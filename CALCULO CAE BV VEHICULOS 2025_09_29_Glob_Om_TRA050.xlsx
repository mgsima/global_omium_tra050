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ctcommodities.sharepoint.com/sites/ACT-FO-IberiaDesk/Shared Documents/Potential client lists/IBERIA POOL/CAE - Energy Efficiency/02 Operaciones/01 Plataformas y herramientas/DevLab (no-tocar)/auto_tra050/data/global_omnium/"/>
    </mc:Choice>
  </mc:AlternateContent>
  <xr:revisionPtr revIDLastSave="2684" documentId="13_ncr:1_{A1587906-1D99-403E-8FC4-A647CE71EFE9}" xr6:coauthVersionLast="47" xr6:coauthVersionMax="47" xr10:uidLastSave="{8FDCF73F-F51C-42B6-9833-9961183FE41E}"/>
  <bookViews>
    <workbookView xWindow="-120" yWindow="-120" windowWidth="29040" windowHeight="17520" tabRatio="665" firstSheet="3" activeTab="1" xr2:uid="{E0F38A7F-4FEC-469A-8A7F-1FFB68252D2F}"/>
  </bookViews>
  <sheets>
    <sheet name="AE GF  (2)" sheetId="14" r:id="rId1"/>
    <sheet name="AE GF " sheetId="13" r:id="rId2"/>
    <sheet name="RESUMEN ACT" sheetId="2" r:id="rId3"/>
    <sheet name="datos anexos" sheetId="15" r:id="rId4"/>
    <sheet name="DATOS Acuerdo GF" sheetId="16" r:id="rId5"/>
    <sheet name="TABLA SOC CAE" sheetId="8" r:id="rId6"/>
    <sheet name="Hoja2" sheetId="10" r:id="rId7"/>
    <sheet name="SUSTITUCIONES " sheetId="11" r:id="rId8"/>
    <sheet name="ALTA 20242025" sheetId="4" r:id="rId9"/>
    <sheet name="BAJA2022202320242025" sheetId="3" r:id="rId10"/>
  </sheets>
  <externalReferences>
    <externalReference r:id="rId11"/>
    <externalReference r:id="rId12"/>
  </externalReferences>
  <definedNames>
    <definedName name="_xlnm._FilterDatabase" localSheetId="8" hidden="1">'ALTA 20242025'!$A$2:$DI$242</definedName>
    <definedName name="_xlnm._FilterDatabase" localSheetId="9" hidden="1">BAJA2022202320242025!$A$2:$DM$245</definedName>
    <definedName name="_xlnm._FilterDatabase" localSheetId="4" hidden="1">'DATOS Acuerdo GF'!$A$7:$B$217</definedName>
    <definedName name="_xlnm._FilterDatabase" localSheetId="3" hidden="1">'datos anexos'!$A$2:$B$2</definedName>
    <definedName name="_xlnm._FilterDatabase" localSheetId="2" hidden="1">'RESUMEN ACT'!$A$2:$B$2</definedName>
    <definedName name="Format">#REF!</definedName>
    <definedName name="Header">#REF!</definedName>
    <definedName name="RawData">'ALTA 20242025'!$A$2:$DI$195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13" l="1"/>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AY159" i="13"/>
  <c r="BE349" i="16"/>
  <c r="BD349" i="16"/>
  <c r="BA349" i="16"/>
  <c r="AX349" i="16"/>
  <c r="AW349" i="16"/>
  <c r="AR349" i="16"/>
  <c r="Z349" i="16"/>
  <c r="R349" i="16"/>
  <c r="AP349" i="16" s="1"/>
  <c r="O349" i="16"/>
  <c r="Q349" i="16" s="1"/>
  <c r="BE348" i="16"/>
  <c r="BD348" i="16"/>
  <c r="BA348" i="16"/>
  <c r="AX348" i="16"/>
  <c r="BB348" i="16" s="1"/>
  <c r="AW348" i="16"/>
  <c r="AR348" i="16"/>
  <c r="Z348" i="16"/>
  <c r="R348" i="16"/>
  <c r="AP348" i="16" s="1"/>
  <c r="O348" i="16"/>
  <c r="Q348" i="16" s="1"/>
  <c r="BE347" i="16"/>
  <c r="BD347" i="16"/>
  <c r="BA347" i="16"/>
  <c r="AX347" i="16"/>
  <c r="AW347" i="16"/>
  <c r="AR347" i="16"/>
  <c r="Z347" i="16"/>
  <c r="R347" i="16"/>
  <c r="AP347" i="16" s="1"/>
  <c r="O347" i="16"/>
  <c r="Q347" i="16" s="1"/>
  <c r="BE346" i="16"/>
  <c r="BD346" i="16"/>
  <c r="BA346" i="16"/>
  <c r="AX346" i="16"/>
  <c r="AW346" i="16"/>
  <c r="AR346" i="16"/>
  <c r="Z346" i="16"/>
  <c r="R346" i="16"/>
  <c r="AP346" i="16" s="1"/>
  <c r="O346" i="16"/>
  <c r="Q346" i="16" s="1"/>
  <c r="BE345" i="16"/>
  <c r="BD345" i="16"/>
  <c r="BA345" i="16"/>
  <c r="AX345" i="16"/>
  <c r="BB345" i="16" s="1"/>
  <c r="AW345" i="16"/>
  <c r="AR345" i="16"/>
  <c r="Z345" i="16"/>
  <c r="R345" i="16"/>
  <c r="AP345" i="16" s="1"/>
  <c r="O345" i="16"/>
  <c r="Q345" i="16" s="1"/>
  <c r="BE344" i="16"/>
  <c r="BD344" i="16"/>
  <c r="BA344" i="16"/>
  <c r="AX344" i="16"/>
  <c r="AW344" i="16"/>
  <c r="AR344" i="16"/>
  <c r="Z344" i="16"/>
  <c r="R344" i="16"/>
  <c r="AP344" i="16" s="1"/>
  <c r="O344" i="16"/>
  <c r="Q344" i="16" s="1"/>
  <c r="BE343" i="16"/>
  <c r="BD343" i="16"/>
  <c r="BA343" i="16"/>
  <c r="AX343" i="16"/>
  <c r="AW343" i="16"/>
  <c r="AR343" i="16"/>
  <c r="Z343" i="16"/>
  <c r="R343" i="16"/>
  <c r="AP343" i="16" s="1"/>
  <c r="O343" i="16"/>
  <c r="Q343" i="16" s="1"/>
  <c r="BE342" i="16"/>
  <c r="BD342" i="16"/>
  <c r="BA342" i="16"/>
  <c r="AX342" i="16"/>
  <c r="AW342" i="16"/>
  <c r="AR342" i="16"/>
  <c r="Z342" i="16"/>
  <c r="R342" i="16"/>
  <c r="AP342" i="16" s="1"/>
  <c r="O342" i="16"/>
  <c r="Q342" i="16" s="1"/>
  <c r="BE341" i="16"/>
  <c r="BD341" i="16"/>
  <c r="BA341" i="16"/>
  <c r="AX341" i="16"/>
  <c r="AW341" i="16"/>
  <c r="AR341" i="16"/>
  <c r="Z341" i="16"/>
  <c r="R341" i="16"/>
  <c r="AP341" i="16" s="1"/>
  <c r="O341" i="16"/>
  <c r="Q341" i="16" s="1"/>
  <c r="BE340" i="16"/>
  <c r="BD340" i="16"/>
  <c r="BA340" i="16"/>
  <c r="AX340" i="16"/>
  <c r="AW340" i="16"/>
  <c r="AR340" i="16"/>
  <c r="Z340" i="16"/>
  <c r="R340" i="16"/>
  <c r="AP340" i="16" s="1"/>
  <c r="O340" i="16"/>
  <c r="Q340" i="16" s="1"/>
  <c r="BE339" i="16"/>
  <c r="BD339" i="16"/>
  <c r="BA339" i="16"/>
  <c r="AX339" i="16"/>
  <c r="AW339" i="16"/>
  <c r="AR339" i="16"/>
  <c r="Z339" i="16"/>
  <c r="R339" i="16"/>
  <c r="AP339" i="16" s="1"/>
  <c r="O339" i="16"/>
  <c r="Q339" i="16" s="1"/>
  <c r="BE338" i="16"/>
  <c r="BD338" i="16"/>
  <c r="BA338" i="16"/>
  <c r="AX338" i="16"/>
  <c r="AW338" i="16"/>
  <c r="AR338" i="16"/>
  <c r="Z338" i="16"/>
  <c r="R338" i="16"/>
  <c r="AP338" i="16" s="1"/>
  <c r="O338" i="16"/>
  <c r="Q338" i="16" s="1"/>
  <c r="BE337" i="16"/>
  <c r="BD337" i="16"/>
  <c r="BA337" i="16"/>
  <c r="AX337" i="16"/>
  <c r="AW337" i="16"/>
  <c r="AR337" i="16"/>
  <c r="Z337" i="16"/>
  <c r="R337" i="16"/>
  <c r="AP337" i="16" s="1"/>
  <c r="O337" i="16"/>
  <c r="Q337" i="16" s="1"/>
  <c r="BE336" i="16"/>
  <c r="BD336" i="16"/>
  <c r="BA336" i="16"/>
  <c r="AX336" i="16"/>
  <c r="BB336" i="16" s="1"/>
  <c r="AW336" i="16"/>
  <c r="AR336" i="16"/>
  <c r="Z336" i="16"/>
  <c r="R336" i="16"/>
  <c r="AP336" i="16" s="1"/>
  <c r="O336" i="16"/>
  <c r="Q336" i="16" s="1"/>
  <c r="BE335" i="16"/>
  <c r="BD335" i="16"/>
  <c r="BA335" i="16"/>
  <c r="AX335" i="16"/>
  <c r="AW335" i="16"/>
  <c r="AR335" i="16"/>
  <c r="Z335" i="16"/>
  <c r="R335" i="16"/>
  <c r="AP335" i="16" s="1"/>
  <c r="O335" i="16"/>
  <c r="Q335" i="16" s="1"/>
  <c r="BE334" i="16"/>
  <c r="BD334" i="16"/>
  <c r="BA334" i="16"/>
  <c r="AX334" i="16"/>
  <c r="AW334" i="16"/>
  <c r="AR334" i="16"/>
  <c r="Z334" i="16"/>
  <c r="R334" i="16"/>
  <c r="AP334" i="16" s="1"/>
  <c r="O334" i="16"/>
  <c r="Q334" i="16" s="1"/>
  <c r="BE333" i="16"/>
  <c r="BD333" i="16"/>
  <c r="BA333" i="16"/>
  <c r="AX333" i="16"/>
  <c r="AW333" i="16"/>
  <c r="AR333" i="16"/>
  <c r="Z333" i="16"/>
  <c r="R333" i="16"/>
  <c r="AP333" i="16" s="1"/>
  <c r="O333" i="16"/>
  <c r="Q333" i="16" s="1"/>
  <c r="BE332" i="16"/>
  <c r="BD332" i="16"/>
  <c r="BA332" i="16"/>
  <c r="AX332" i="16"/>
  <c r="BB332" i="16" s="1"/>
  <c r="AW332" i="16"/>
  <c r="AR332" i="16"/>
  <c r="Z332" i="16"/>
  <c r="R332" i="16"/>
  <c r="AP332" i="16" s="1"/>
  <c r="O332" i="16"/>
  <c r="Q332" i="16" s="1"/>
  <c r="BE331" i="16"/>
  <c r="BD331" i="16"/>
  <c r="BA331" i="16"/>
  <c r="AX331" i="16"/>
  <c r="AW331" i="16"/>
  <c r="AR331" i="16"/>
  <c r="Z331" i="16"/>
  <c r="R331" i="16"/>
  <c r="AP331" i="16" s="1"/>
  <c r="O331" i="16"/>
  <c r="Q331" i="16" s="1"/>
  <c r="BE330" i="16"/>
  <c r="BD330" i="16"/>
  <c r="BA330" i="16"/>
  <c r="AX330" i="16"/>
  <c r="AW330" i="16"/>
  <c r="AR330" i="16"/>
  <c r="Z330" i="16"/>
  <c r="R330" i="16"/>
  <c r="AP330" i="16" s="1"/>
  <c r="O330" i="16"/>
  <c r="Q330" i="16" s="1"/>
  <c r="BE329" i="16"/>
  <c r="BD329" i="16"/>
  <c r="BA329" i="16"/>
  <c r="AX329" i="16"/>
  <c r="BB329" i="16" s="1"/>
  <c r="AW329" i="16"/>
  <c r="AR329" i="16"/>
  <c r="Z329" i="16"/>
  <c r="R329" i="16"/>
  <c r="AP329" i="16" s="1"/>
  <c r="O329" i="16"/>
  <c r="Q329" i="16" s="1"/>
  <c r="BE328" i="16"/>
  <c r="BD328" i="16"/>
  <c r="BA328" i="16"/>
  <c r="AX328" i="16"/>
  <c r="AW328" i="16"/>
  <c r="AR328" i="16"/>
  <c r="Z328" i="16"/>
  <c r="R328" i="16"/>
  <c r="AP328" i="16" s="1"/>
  <c r="O328" i="16"/>
  <c r="Q328" i="16" s="1"/>
  <c r="BE327" i="16"/>
  <c r="BD327" i="16"/>
  <c r="BA327" i="16"/>
  <c r="AX327" i="16"/>
  <c r="AW327" i="16"/>
  <c r="AR327" i="16"/>
  <c r="Z327" i="16"/>
  <c r="R327" i="16"/>
  <c r="AP327" i="16" s="1"/>
  <c r="O327" i="16"/>
  <c r="Q327" i="16" s="1"/>
  <c r="BE326" i="16"/>
  <c r="BD326" i="16"/>
  <c r="BA326" i="16"/>
  <c r="AX326" i="16"/>
  <c r="AW326" i="16"/>
  <c r="AR326" i="16"/>
  <c r="Z326" i="16"/>
  <c r="R326" i="16"/>
  <c r="AP326" i="16" s="1"/>
  <c r="O326" i="16"/>
  <c r="Q326" i="16" s="1"/>
  <c r="BE325" i="16"/>
  <c r="BD325" i="16"/>
  <c r="BA325" i="16"/>
  <c r="AX325" i="16"/>
  <c r="AW325" i="16"/>
  <c r="AR325" i="16"/>
  <c r="Z325" i="16"/>
  <c r="R325" i="16"/>
  <c r="AP325" i="16" s="1"/>
  <c r="O325" i="16"/>
  <c r="Q325" i="16" s="1"/>
  <c r="BE324" i="16"/>
  <c r="BD324" i="16"/>
  <c r="BA324" i="16"/>
  <c r="AX324" i="16"/>
  <c r="AW324" i="16"/>
  <c r="AR324" i="16"/>
  <c r="Z324" i="16"/>
  <c r="R324" i="16"/>
  <c r="AP324" i="16" s="1"/>
  <c r="O324" i="16"/>
  <c r="Q324" i="16" s="1"/>
  <c r="BE323" i="16"/>
  <c r="BD323" i="16"/>
  <c r="BA323" i="16"/>
  <c r="AX323" i="16"/>
  <c r="AW323" i="16"/>
  <c r="AR323" i="16"/>
  <c r="Z323" i="16"/>
  <c r="R323" i="16"/>
  <c r="AP323" i="16" s="1"/>
  <c r="O323" i="16"/>
  <c r="Q323" i="16" s="1"/>
  <c r="BE322" i="16"/>
  <c r="BD322" i="16"/>
  <c r="BA322" i="16"/>
  <c r="AX322" i="16"/>
  <c r="AW322" i="16"/>
  <c r="AR322" i="16"/>
  <c r="Z322" i="16"/>
  <c r="R322" i="16"/>
  <c r="AP322" i="16" s="1"/>
  <c r="O322" i="16"/>
  <c r="Q322" i="16" s="1"/>
  <c r="BE321" i="16"/>
  <c r="BD321" i="16"/>
  <c r="BA321" i="16"/>
  <c r="AX321" i="16"/>
  <c r="AW321" i="16"/>
  <c r="AR321" i="16"/>
  <c r="Z321" i="16"/>
  <c r="R321" i="16"/>
  <c r="AP321" i="16" s="1"/>
  <c r="O321" i="16"/>
  <c r="Q321" i="16" s="1"/>
  <c r="BE320" i="16"/>
  <c r="BD320" i="16"/>
  <c r="BA320" i="16"/>
  <c r="AX320" i="16"/>
  <c r="BB320" i="16" s="1"/>
  <c r="AW320" i="16"/>
  <c r="AR320" i="16"/>
  <c r="Z320" i="16"/>
  <c r="R320" i="16"/>
  <c r="AP320" i="16" s="1"/>
  <c r="O320" i="16"/>
  <c r="Q320" i="16" s="1"/>
  <c r="BE319" i="16"/>
  <c r="BD319" i="16"/>
  <c r="BA319" i="16"/>
  <c r="AX319" i="16"/>
  <c r="AW319" i="16"/>
  <c r="AR319" i="16"/>
  <c r="Z319" i="16"/>
  <c r="R319" i="16"/>
  <c r="AP319" i="16" s="1"/>
  <c r="O319" i="16"/>
  <c r="Q319" i="16" s="1"/>
  <c r="BE318" i="16"/>
  <c r="BD318" i="16"/>
  <c r="BA318" i="16"/>
  <c r="AX318" i="16"/>
  <c r="AW318" i="16"/>
  <c r="AR318" i="16"/>
  <c r="Z318" i="16"/>
  <c r="R318" i="16"/>
  <c r="AP318" i="16" s="1"/>
  <c r="O318" i="16"/>
  <c r="Q318" i="16" s="1"/>
  <c r="BE317" i="16"/>
  <c r="BD317" i="16"/>
  <c r="BA317" i="16"/>
  <c r="AX317" i="16"/>
  <c r="AW317" i="16"/>
  <c r="AR317" i="16"/>
  <c r="Z317" i="16"/>
  <c r="R317" i="16"/>
  <c r="AP317" i="16" s="1"/>
  <c r="O317" i="16"/>
  <c r="Q317" i="16" s="1"/>
  <c r="BE316" i="16"/>
  <c r="BD316" i="16"/>
  <c r="BA316" i="16"/>
  <c r="AX316" i="16"/>
  <c r="BB316" i="16" s="1"/>
  <c r="AW316" i="16"/>
  <c r="AR316" i="16"/>
  <c r="Z316" i="16"/>
  <c r="R316" i="16"/>
  <c r="AP316" i="16" s="1"/>
  <c r="O316" i="16"/>
  <c r="Q316" i="16" s="1"/>
  <c r="BE315" i="16"/>
  <c r="BD315" i="16"/>
  <c r="BA315" i="16"/>
  <c r="AX315" i="16"/>
  <c r="AW315" i="16"/>
  <c r="AR315" i="16"/>
  <c r="Z315" i="16"/>
  <c r="R315" i="16"/>
  <c r="AP315" i="16" s="1"/>
  <c r="O315" i="16"/>
  <c r="Q315" i="16" s="1"/>
  <c r="BE314" i="16"/>
  <c r="BD314" i="16"/>
  <c r="BA314" i="16"/>
  <c r="AX314" i="16"/>
  <c r="AW314" i="16"/>
  <c r="AR314" i="16"/>
  <c r="Z314" i="16"/>
  <c r="R314" i="16"/>
  <c r="AP314" i="16" s="1"/>
  <c r="O314" i="16"/>
  <c r="Q314" i="16" s="1"/>
  <c r="BE313" i="16"/>
  <c r="BD313" i="16"/>
  <c r="BA313" i="16"/>
  <c r="AX313" i="16"/>
  <c r="AW313" i="16"/>
  <c r="AR313" i="16"/>
  <c r="Z313" i="16"/>
  <c r="R313" i="16"/>
  <c r="AP313" i="16" s="1"/>
  <c r="O313" i="16"/>
  <c r="Q313" i="16" s="1"/>
  <c r="BE312" i="16"/>
  <c r="BD312" i="16"/>
  <c r="BA312" i="16"/>
  <c r="AX312" i="16"/>
  <c r="AW312" i="16"/>
  <c r="AR312" i="16"/>
  <c r="Z312" i="16"/>
  <c r="R312" i="16"/>
  <c r="AP312" i="16" s="1"/>
  <c r="O312" i="16"/>
  <c r="Q312" i="16" s="1"/>
  <c r="BE311" i="16"/>
  <c r="BD311" i="16"/>
  <c r="BA311" i="16"/>
  <c r="AX311" i="16"/>
  <c r="AW311" i="16"/>
  <c r="AR311" i="16"/>
  <c r="Z311" i="16"/>
  <c r="R311" i="16"/>
  <c r="AP311" i="16" s="1"/>
  <c r="O311" i="16"/>
  <c r="Q311" i="16" s="1"/>
  <c r="BE310" i="16"/>
  <c r="BD310" i="16"/>
  <c r="BA310" i="16"/>
  <c r="AX310" i="16"/>
  <c r="AW310" i="16"/>
  <c r="AR310" i="16"/>
  <c r="Z310" i="16"/>
  <c r="R310" i="16"/>
  <c r="AP310" i="16" s="1"/>
  <c r="O310" i="16"/>
  <c r="Q310" i="16" s="1"/>
  <c r="BE309" i="16"/>
  <c r="BD309" i="16"/>
  <c r="BA309" i="16"/>
  <c r="AX309" i="16"/>
  <c r="AW309" i="16"/>
  <c r="AR309" i="16"/>
  <c r="Z309" i="16"/>
  <c r="R309" i="16"/>
  <c r="AP309" i="16" s="1"/>
  <c r="O309" i="16"/>
  <c r="Q309" i="16" s="1"/>
  <c r="BE308" i="16"/>
  <c r="BD308" i="16"/>
  <c r="BA308" i="16"/>
  <c r="AX308" i="16"/>
  <c r="BB308" i="16" s="1"/>
  <c r="AW308" i="16"/>
  <c r="AR308" i="16"/>
  <c r="Z308" i="16"/>
  <c r="R308" i="16"/>
  <c r="AP308" i="16" s="1"/>
  <c r="O308" i="16"/>
  <c r="Q308" i="16" s="1"/>
  <c r="BE307" i="16"/>
  <c r="BD307" i="16"/>
  <c r="BA307" i="16"/>
  <c r="AX307" i="16"/>
  <c r="AW307" i="16"/>
  <c r="AR307" i="16"/>
  <c r="Z307" i="16"/>
  <c r="R307" i="16"/>
  <c r="AP307" i="16" s="1"/>
  <c r="O307" i="16"/>
  <c r="Q307" i="16" s="1"/>
  <c r="BE306" i="16"/>
  <c r="BD306" i="16"/>
  <c r="BA306" i="16"/>
  <c r="AX306" i="16"/>
  <c r="AW306" i="16"/>
  <c r="AR306" i="16"/>
  <c r="Z306" i="16"/>
  <c r="R306" i="16"/>
  <c r="AP306" i="16" s="1"/>
  <c r="O306" i="16"/>
  <c r="Q306" i="16" s="1"/>
  <c r="BE305" i="16"/>
  <c r="BA305" i="16"/>
  <c r="AY305" i="16"/>
  <c r="AX305" i="16"/>
  <c r="AW305" i="16"/>
  <c r="AR305" i="16"/>
  <c r="Z305" i="16"/>
  <c r="R305" i="16"/>
  <c r="AP305" i="16" s="1"/>
  <c r="O305" i="16"/>
  <c r="Q305" i="16" s="1"/>
  <c r="BE304" i="16"/>
  <c r="BD304" i="16"/>
  <c r="BA304" i="16"/>
  <c r="AX304" i="16"/>
  <c r="AW304" i="16"/>
  <c r="AR304" i="16"/>
  <c r="Z304" i="16"/>
  <c r="R304" i="16"/>
  <c r="AP304" i="16" s="1"/>
  <c r="O304" i="16"/>
  <c r="Q304" i="16" s="1"/>
  <c r="BE303" i="16"/>
  <c r="BD303" i="16"/>
  <c r="BA303" i="16"/>
  <c r="AX303" i="16"/>
  <c r="AW303" i="16"/>
  <c r="AR303" i="16"/>
  <c r="Z303" i="16"/>
  <c r="R303" i="16"/>
  <c r="AP303" i="16" s="1"/>
  <c r="O303" i="16"/>
  <c r="Q303" i="16" s="1"/>
  <c r="BE302" i="16"/>
  <c r="BD302" i="16"/>
  <c r="BA302" i="16"/>
  <c r="AX302" i="16"/>
  <c r="AW302" i="16"/>
  <c r="AR302" i="16"/>
  <c r="Z302" i="16"/>
  <c r="R302" i="16"/>
  <c r="AP302" i="16" s="1"/>
  <c r="O302" i="16"/>
  <c r="Q302" i="16" s="1"/>
  <c r="BE301" i="16"/>
  <c r="BD301" i="16"/>
  <c r="BA301" i="16"/>
  <c r="AX301" i="16"/>
  <c r="BB301" i="16" s="1"/>
  <c r="AW301" i="16"/>
  <c r="AR301" i="16"/>
  <c r="Z301" i="16"/>
  <c r="R301" i="16"/>
  <c r="AP301" i="16" s="1"/>
  <c r="O301" i="16"/>
  <c r="Q301" i="16" s="1"/>
  <c r="BE300" i="16"/>
  <c r="BD300" i="16"/>
  <c r="BA300" i="16"/>
  <c r="AX300" i="16"/>
  <c r="AW300" i="16"/>
  <c r="AR300" i="16"/>
  <c r="Z300" i="16"/>
  <c r="R300" i="16"/>
  <c r="AP300" i="16" s="1"/>
  <c r="O300" i="16"/>
  <c r="Q300" i="16" s="1"/>
  <c r="BE299" i="16"/>
  <c r="BD299" i="16"/>
  <c r="BA299" i="16"/>
  <c r="AX299" i="16"/>
  <c r="AW299" i="16"/>
  <c r="AR299" i="16"/>
  <c r="Z299" i="16"/>
  <c r="R299" i="16"/>
  <c r="AP299" i="16" s="1"/>
  <c r="O299" i="16"/>
  <c r="Q299" i="16" s="1"/>
  <c r="BE298" i="16"/>
  <c r="BD298" i="16"/>
  <c r="BA298" i="16"/>
  <c r="AX298" i="16"/>
  <c r="AW298" i="16"/>
  <c r="AR298" i="16"/>
  <c r="Z298" i="16"/>
  <c r="R298" i="16"/>
  <c r="AP298" i="16" s="1"/>
  <c r="O298" i="16"/>
  <c r="Q298" i="16" s="1"/>
  <c r="BE297" i="16"/>
  <c r="BD297" i="16"/>
  <c r="BA297" i="16"/>
  <c r="AX297" i="16"/>
  <c r="BB297" i="16" s="1"/>
  <c r="AW297" i="16"/>
  <c r="AR297" i="16"/>
  <c r="Z297" i="16"/>
  <c r="R297" i="16"/>
  <c r="AP297" i="16" s="1"/>
  <c r="O297" i="16"/>
  <c r="Q297" i="16" s="1"/>
  <c r="BE296" i="16"/>
  <c r="BD296" i="16"/>
  <c r="BA296" i="16"/>
  <c r="AX296" i="16"/>
  <c r="AW296" i="16"/>
  <c r="AR296" i="16"/>
  <c r="Z296" i="16"/>
  <c r="R296" i="16"/>
  <c r="AP296" i="16" s="1"/>
  <c r="O296" i="16"/>
  <c r="Q296" i="16" s="1"/>
  <c r="BE295" i="16"/>
  <c r="BD295" i="16"/>
  <c r="BA295" i="16"/>
  <c r="AX295" i="16"/>
  <c r="AW295" i="16"/>
  <c r="AR295" i="16"/>
  <c r="Z295" i="16"/>
  <c r="R295" i="16"/>
  <c r="AP295" i="16" s="1"/>
  <c r="O295" i="16"/>
  <c r="Q295" i="16" s="1"/>
  <c r="BE294" i="16"/>
  <c r="BD294" i="16"/>
  <c r="BA294" i="16"/>
  <c r="AX294" i="16"/>
  <c r="AW294" i="16"/>
  <c r="AR294" i="16"/>
  <c r="Z294" i="16"/>
  <c r="R294" i="16"/>
  <c r="AP294" i="16" s="1"/>
  <c r="O294" i="16"/>
  <c r="Q294" i="16" s="1"/>
  <c r="BE293" i="16"/>
  <c r="BD293" i="16"/>
  <c r="BA293" i="16"/>
  <c r="AX293" i="16"/>
  <c r="BB293" i="16" s="1"/>
  <c r="AW293" i="16"/>
  <c r="AR293" i="16"/>
  <c r="Z293" i="16"/>
  <c r="R293" i="16"/>
  <c r="AP293" i="16" s="1"/>
  <c r="O293" i="16"/>
  <c r="Q293" i="16" s="1"/>
  <c r="BE292" i="16"/>
  <c r="BD292" i="16"/>
  <c r="BA292" i="16"/>
  <c r="AX292" i="16"/>
  <c r="AW292" i="16"/>
  <c r="AR292" i="16"/>
  <c r="Z292" i="16"/>
  <c r="R292" i="16"/>
  <c r="AP292" i="16" s="1"/>
  <c r="O292" i="16"/>
  <c r="Q292" i="16" s="1"/>
  <c r="BE291" i="16"/>
  <c r="BD291" i="16"/>
  <c r="BA291" i="16"/>
  <c r="AX291" i="16"/>
  <c r="BB291" i="16" s="1"/>
  <c r="AW291" i="16"/>
  <c r="AR291" i="16"/>
  <c r="Z291" i="16"/>
  <c r="R291" i="16"/>
  <c r="AP291" i="16" s="1"/>
  <c r="O291" i="16"/>
  <c r="Q291" i="16" s="1"/>
  <c r="BE290" i="16"/>
  <c r="BD290" i="16"/>
  <c r="BA290" i="16"/>
  <c r="AX290" i="16"/>
  <c r="BB290" i="16" s="1"/>
  <c r="AW290" i="16"/>
  <c r="AR290" i="16"/>
  <c r="Z290" i="16"/>
  <c r="R290" i="16"/>
  <c r="AP290" i="16" s="1"/>
  <c r="O290" i="16"/>
  <c r="Q290" i="16" s="1"/>
  <c r="BE289" i="16"/>
  <c r="BD289" i="16"/>
  <c r="BA289" i="16"/>
  <c r="AX289" i="16"/>
  <c r="AW289" i="16"/>
  <c r="AR289" i="16"/>
  <c r="Z289" i="16"/>
  <c r="R289" i="16"/>
  <c r="AP289" i="16" s="1"/>
  <c r="O289" i="16"/>
  <c r="Q289" i="16" s="1"/>
  <c r="BE288" i="16"/>
  <c r="BA288" i="16"/>
  <c r="AY288" i="16"/>
  <c r="AX288" i="16"/>
  <c r="Z288" i="16"/>
  <c r="R288" i="16"/>
  <c r="AP288" i="16" s="1"/>
  <c r="O288" i="16"/>
  <c r="Q288" i="16" s="1"/>
  <c r="BE287" i="16"/>
  <c r="BD287" i="16"/>
  <c r="BA287" i="16"/>
  <c r="AX287" i="16"/>
  <c r="AW287" i="16"/>
  <c r="AR287" i="16"/>
  <c r="Z287" i="16"/>
  <c r="R287" i="16"/>
  <c r="AP287" i="16" s="1"/>
  <c r="O287" i="16"/>
  <c r="Q287" i="16" s="1"/>
  <c r="BE286" i="16"/>
  <c r="BD286" i="16"/>
  <c r="BA286" i="16"/>
  <c r="AX286" i="16"/>
  <c r="AW286" i="16"/>
  <c r="AR286" i="16"/>
  <c r="Z286" i="16"/>
  <c r="R286" i="16"/>
  <c r="AP286" i="16" s="1"/>
  <c r="O286" i="16"/>
  <c r="Q286" i="16" s="1"/>
  <c r="BE285" i="16"/>
  <c r="BD285" i="16"/>
  <c r="BA285" i="16"/>
  <c r="AX285" i="16"/>
  <c r="AW285" i="16"/>
  <c r="AR285" i="16"/>
  <c r="Z285" i="16"/>
  <c r="R285" i="16"/>
  <c r="AP285" i="16" s="1"/>
  <c r="O285" i="16"/>
  <c r="Q285" i="16" s="1"/>
  <c r="BE284" i="16"/>
  <c r="BD284" i="16"/>
  <c r="BA284" i="16"/>
  <c r="AX284" i="16"/>
  <c r="BB284" i="16" s="1"/>
  <c r="AW284" i="16"/>
  <c r="AR284" i="16"/>
  <c r="Z284" i="16"/>
  <c r="R284" i="16"/>
  <c r="AP284" i="16" s="1"/>
  <c r="O284" i="16"/>
  <c r="Q284" i="16" s="1"/>
  <c r="BE283" i="16"/>
  <c r="BD283" i="16"/>
  <c r="BA283" i="16"/>
  <c r="AX283" i="16"/>
  <c r="AW283" i="16"/>
  <c r="AR283" i="16"/>
  <c r="Z283" i="16"/>
  <c r="R283" i="16"/>
  <c r="AP283" i="16" s="1"/>
  <c r="O283" i="16"/>
  <c r="Q283" i="16" s="1"/>
  <c r="BE282" i="16"/>
  <c r="BD282" i="16"/>
  <c r="BA282" i="16"/>
  <c r="AX282" i="16"/>
  <c r="AW282" i="16"/>
  <c r="AR282" i="16"/>
  <c r="Z282" i="16"/>
  <c r="R282" i="16"/>
  <c r="AP282" i="16" s="1"/>
  <c r="O282" i="16"/>
  <c r="Q282" i="16" s="1"/>
  <c r="BE281" i="16"/>
  <c r="BD281" i="16"/>
  <c r="BA281" i="16"/>
  <c r="AX281" i="16"/>
  <c r="BB281" i="16" s="1"/>
  <c r="AW281" i="16"/>
  <c r="AR281" i="16"/>
  <c r="Z281" i="16"/>
  <c r="R281" i="16"/>
  <c r="AP281" i="16" s="1"/>
  <c r="O281" i="16"/>
  <c r="Q281" i="16" s="1"/>
  <c r="BE280" i="16"/>
  <c r="BD280" i="16"/>
  <c r="BA280" i="16"/>
  <c r="AX280" i="16"/>
  <c r="AW280" i="16"/>
  <c r="AR280" i="16"/>
  <c r="Z280" i="16"/>
  <c r="R280" i="16"/>
  <c r="AP280" i="16" s="1"/>
  <c r="O280" i="16"/>
  <c r="Q280" i="16" s="1"/>
  <c r="BE279" i="16"/>
  <c r="BD279" i="16"/>
  <c r="BA279" i="16"/>
  <c r="AX279" i="16"/>
  <c r="AW279" i="16"/>
  <c r="AR279" i="16"/>
  <c r="Z279" i="16"/>
  <c r="R279" i="16"/>
  <c r="AP279" i="16" s="1"/>
  <c r="O279" i="16"/>
  <c r="Q279" i="16" s="1"/>
  <c r="BE278" i="16"/>
  <c r="BD278" i="16"/>
  <c r="BA278" i="16"/>
  <c r="AX278" i="16"/>
  <c r="AW278" i="16"/>
  <c r="AR278" i="16"/>
  <c r="Z278" i="16"/>
  <c r="R278" i="16"/>
  <c r="AP278" i="16" s="1"/>
  <c r="O278" i="16"/>
  <c r="Q278" i="16" s="1"/>
  <c r="BE277" i="16"/>
  <c r="BD277" i="16"/>
  <c r="BA277" i="16"/>
  <c r="AX277" i="16"/>
  <c r="AW277" i="16"/>
  <c r="AR277" i="16"/>
  <c r="Z277" i="16"/>
  <c r="R277" i="16"/>
  <c r="AP277" i="16" s="1"/>
  <c r="O277" i="16"/>
  <c r="Q277" i="16" s="1"/>
  <c r="BE276" i="16"/>
  <c r="BD276" i="16"/>
  <c r="BA276" i="16"/>
  <c r="AX276" i="16"/>
  <c r="BB276" i="16" s="1"/>
  <c r="AW276" i="16"/>
  <c r="AR276" i="16"/>
  <c r="Z276" i="16"/>
  <c r="R276" i="16"/>
  <c r="AP276" i="16" s="1"/>
  <c r="O276" i="16"/>
  <c r="Q276" i="16" s="1"/>
  <c r="BE275" i="16"/>
  <c r="BD275" i="16"/>
  <c r="BA275" i="16"/>
  <c r="AX275" i="16"/>
  <c r="AW275" i="16"/>
  <c r="AR275" i="16"/>
  <c r="Z275" i="16"/>
  <c r="R275" i="16"/>
  <c r="AP275" i="16" s="1"/>
  <c r="O275" i="16"/>
  <c r="Q275" i="16" s="1"/>
  <c r="BE274" i="16"/>
  <c r="BD274" i="16"/>
  <c r="BA274" i="16"/>
  <c r="AX274" i="16"/>
  <c r="AW274" i="16"/>
  <c r="AR274" i="16"/>
  <c r="Z274" i="16"/>
  <c r="R274" i="16"/>
  <c r="AP274" i="16" s="1"/>
  <c r="O274" i="16"/>
  <c r="Q274" i="16" s="1"/>
  <c r="BE273" i="16"/>
  <c r="BD273" i="16"/>
  <c r="BA273" i="16"/>
  <c r="AX273" i="16"/>
  <c r="AW273" i="16"/>
  <c r="AR273" i="16"/>
  <c r="Z273" i="16"/>
  <c r="R273" i="16"/>
  <c r="AP273" i="16" s="1"/>
  <c r="O273" i="16"/>
  <c r="Q273" i="16" s="1"/>
  <c r="BE272" i="16"/>
  <c r="BD272" i="16"/>
  <c r="BA272" i="16"/>
  <c r="AX272" i="16"/>
  <c r="BB272" i="16" s="1"/>
  <c r="AW272" i="16"/>
  <c r="AR272" i="16"/>
  <c r="Z272" i="16"/>
  <c r="R272" i="16"/>
  <c r="AP272" i="16" s="1"/>
  <c r="O272" i="16"/>
  <c r="Q272" i="16" s="1"/>
  <c r="BE271" i="16"/>
  <c r="BD271" i="16"/>
  <c r="BA271" i="16"/>
  <c r="AX271" i="16"/>
  <c r="AW271" i="16"/>
  <c r="AR271" i="16"/>
  <c r="Z271" i="16"/>
  <c r="R271" i="16"/>
  <c r="AP271" i="16" s="1"/>
  <c r="O271" i="16"/>
  <c r="Q271" i="16" s="1"/>
  <c r="BE270" i="16"/>
  <c r="BA270" i="16"/>
  <c r="AX270" i="16"/>
  <c r="AW270" i="16"/>
  <c r="AR270" i="16"/>
  <c r="Z270" i="16"/>
  <c r="R270" i="16"/>
  <c r="AP270" i="16" s="1"/>
  <c r="O270" i="16"/>
  <c r="Q270" i="16" s="1"/>
  <c r="BE269" i="16"/>
  <c r="BA269" i="16"/>
  <c r="AY269" i="16"/>
  <c r="AX269" i="16"/>
  <c r="AW269" i="16"/>
  <c r="AR269" i="16"/>
  <c r="Z269" i="16"/>
  <c r="R269" i="16"/>
  <c r="AP269" i="16" s="1"/>
  <c r="O269" i="16"/>
  <c r="Q269" i="16" s="1"/>
  <c r="BE268" i="16"/>
  <c r="BD268" i="16"/>
  <c r="BA268" i="16"/>
  <c r="AX268" i="16"/>
  <c r="AW268" i="16"/>
  <c r="AR268" i="16"/>
  <c r="Z268" i="16"/>
  <c r="R268" i="16"/>
  <c r="AP268" i="16" s="1"/>
  <c r="O268" i="16"/>
  <c r="Q268" i="16" s="1"/>
  <c r="BE267" i="16"/>
  <c r="BD267" i="16"/>
  <c r="BA267" i="16"/>
  <c r="AX267" i="16"/>
  <c r="AW267" i="16"/>
  <c r="AR267" i="16"/>
  <c r="Z267" i="16"/>
  <c r="R267" i="16"/>
  <c r="AP267" i="16" s="1"/>
  <c r="O267" i="16"/>
  <c r="Q267" i="16" s="1"/>
  <c r="BE266" i="16"/>
  <c r="BD266" i="16"/>
  <c r="BA266" i="16"/>
  <c r="AX266" i="16"/>
  <c r="AW266" i="16"/>
  <c r="AR266" i="16"/>
  <c r="Z266" i="16"/>
  <c r="R266" i="16"/>
  <c r="AP266" i="16" s="1"/>
  <c r="O266" i="16"/>
  <c r="Q266" i="16" s="1"/>
  <c r="BE265" i="16"/>
  <c r="BA265" i="16"/>
  <c r="AY265" i="16"/>
  <c r="AX265" i="16"/>
  <c r="AW265" i="16"/>
  <c r="AR265" i="16"/>
  <c r="Z265" i="16"/>
  <c r="R265" i="16"/>
  <c r="AP265" i="16" s="1"/>
  <c r="O265" i="16"/>
  <c r="Q265" i="16" s="1"/>
  <c r="BE264" i="16"/>
  <c r="BD264" i="16"/>
  <c r="BA264" i="16"/>
  <c r="AX264" i="16"/>
  <c r="AW264" i="16"/>
  <c r="AR264" i="16"/>
  <c r="Z264" i="16"/>
  <c r="R264" i="16"/>
  <c r="AP264" i="16" s="1"/>
  <c r="O264" i="16"/>
  <c r="Q264" i="16" s="1"/>
  <c r="BE263" i="16"/>
  <c r="BD263" i="16"/>
  <c r="BA263" i="16"/>
  <c r="AX263" i="16"/>
  <c r="AW263" i="16"/>
  <c r="AR263" i="16"/>
  <c r="Z263" i="16"/>
  <c r="R263" i="16"/>
  <c r="AP263" i="16" s="1"/>
  <c r="O263" i="16"/>
  <c r="Q263" i="16" s="1"/>
  <c r="BE262" i="16"/>
  <c r="BD262" i="16"/>
  <c r="BA262" i="16"/>
  <c r="AX262" i="16"/>
  <c r="AW262" i="16"/>
  <c r="AR262" i="16"/>
  <c r="Z262" i="16"/>
  <c r="R262" i="16"/>
  <c r="AP262" i="16" s="1"/>
  <c r="O262" i="16"/>
  <c r="Q262" i="16" s="1"/>
  <c r="BE261" i="16"/>
  <c r="BD261" i="16"/>
  <c r="BA261" i="16"/>
  <c r="AX261" i="16"/>
  <c r="AW261" i="16"/>
  <c r="AR261" i="16"/>
  <c r="Z261" i="16"/>
  <c r="R261" i="16"/>
  <c r="AP261" i="16" s="1"/>
  <c r="O261" i="16"/>
  <c r="Q261" i="16" s="1"/>
  <c r="BE260" i="16"/>
  <c r="BD260" i="16"/>
  <c r="BA260" i="16"/>
  <c r="AX260" i="16"/>
  <c r="AW260" i="16"/>
  <c r="AR260" i="16"/>
  <c r="Z260" i="16"/>
  <c r="R260" i="16"/>
  <c r="AP260" i="16" s="1"/>
  <c r="O260" i="16"/>
  <c r="Q260" i="16" s="1"/>
  <c r="BE259" i="16"/>
  <c r="BD259" i="16"/>
  <c r="BA259" i="16"/>
  <c r="AX259" i="16"/>
  <c r="AW259" i="16"/>
  <c r="AR259" i="16"/>
  <c r="Z259" i="16"/>
  <c r="R259" i="16"/>
  <c r="AP259" i="16" s="1"/>
  <c r="O259" i="16"/>
  <c r="Q259" i="16" s="1"/>
  <c r="BE258" i="16"/>
  <c r="BA258" i="16"/>
  <c r="AX258" i="16"/>
  <c r="AW258" i="16"/>
  <c r="AR258" i="16"/>
  <c r="Z258" i="16"/>
  <c r="R258" i="16"/>
  <c r="AP258" i="16" s="1"/>
  <c r="O258" i="16"/>
  <c r="Q258" i="16" s="1"/>
  <c r="BE257" i="16"/>
  <c r="BA257" i="16"/>
  <c r="AY257" i="16"/>
  <c r="AX257" i="16"/>
  <c r="AW257" i="16"/>
  <c r="AR257" i="16"/>
  <c r="Z257" i="16"/>
  <c r="R257" i="16"/>
  <c r="AP257" i="16" s="1"/>
  <c r="O257" i="16"/>
  <c r="Q257" i="16" s="1"/>
  <c r="BE256" i="16"/>
  <c r="BD256" i="16"/>
  <c r="BA256" i="16"/>
  <c r="AX256" i="16"/>
  <c r="AW256" i="16"/>
  <c r="AR256" i="16"/>
  <c r="Z256" i="16"/>
  <c r="R256" i="16"/>
  <c r="AP256" i="16" s="1"/>
  <c r="O256" i="16"/>
  <c r="Q256" i="16" s="1"/>
  <c r="BE255" i="16"/>
  <c r="BD255" i="16"/>
  <c r="BA255" i="16"/>
  <c r="AX255" i="16"/>
  <c r="AW255" i="16"/>
  <c r="AR255" i="16"/>
  <c r="Z255" i="16"/>
  <c r="R255" i="16"/>
  <c r="AP255" i="16" s="1"/>
  <c r="O255" i="16"/>
  <c r="Q255" i="16" s="1"/>
  <c r="BE254" i="16"/>
  <c r="BD254" i="16"/>
  <c r="BA254" i="16"/>
  <c r="AX254" i="16"/>
  <c r="AW254" i="16"/>
  <c r="AR254" i="16"/>
  <c r="Z254" i="16"/>
  <c r="R254" i="16"/>
  <c r="AP254" i="16" s="1"/>
  <c r="O254" i="16"/>
  <c r="Q254" i="16" s="1"/>
  <c r="BE253" i="16"/>
  <c r="BA253" i="16"/>
  <c r="AY253" i="16"/>
  <c r="AX253" i="16"/>
  <c r="AW253" i="16"/>
  <c r="AR253" i="16"/>
  <c r="Z253" i="16"/>
  <c r="R253" i="16"/>
  <c r="AP253" i="16" s="1"/>
  <c r="O253" i="16"/>
  <c r="Q253" i="16" s="1"/>
  <c r="BE252" i="16"/>
  <c r="BD252" i="16"/>
  <c r="BA252" i="16"/>
  <c r="AX252" i="16"/>
  <c r="AW252" i="16"/>
  <c r="AR252" i="16"/>
  <c r="Z252" i="16"/>
  <c r="R252" i="16"/>
  <c r="AP252" i="16" s="1"/>
  <c r="O252" i="16"/>
  <c r="Q252" i="16" s="1"/>
  <c r="BE251" i="16"/>
  <c r="BD251" i="16"/>
  <c r="BA251" i="16"/>
  <c r="AX251" i="16"/>
  <c r="AW251" i="16"/>
  <c r="AR251" i="16"/>
  <c r="Z251" i="16"/>
  <c r="R251" i="16"/>
  <c r="AP251" i="16" s="1"/>
  <c r="O251" i="16"/>
  <c r="Q251" i="16" s="1"/>
  <c r="BE250" i="16"/>
  <c r="BD250" i="16"/>
  <c r="BA250" i="16"/>
  <c r="AX250" i="16"/>
  <c r="AW250" i="16"/>
  <c r="AR250" i="16"/>
  <c r="Z250" i="16"/>
  <c r="R250" i="16"/>
  <c r="AP250" i="16" s="1"/>
  <c r="O250" i="16"/>
  <c r="Q250" i="16" s="1"/>
  <c r="BE249" i="16"/>
  <c r="BD249" i="16"/>
  <c r="BA249" i="16"/>
  <c r="AX249" i="16"/>
  <c r="AW249" i="16"/>
  <c r="AR249" i="16"/>
  <c r="Z249" i="16"/>
  <c r="R249" i="16"/>
  <c r="AP249" i="16" s="1"/>
  <c r="O249" i="16"/>
  <c r="Q249" i="16" s="1"/>
  <c r="BE248" i="16"/>
  <c r="BA248" i="16"/>
  <c r="AY248" i="16"/>
  <c r="BB248" i="16" s="1"/>
  <c r="Z248" i="16"/>
  <c r="R248" i="16"/>
  <c r="AP248" i="16" s="1"/>
  <c r="O248" i="16"/>
  <c r="Q248" i="16" s="1"/>
  <c r="BE247" i="16"/>
  <c r="BD247" i="16"/>
  <c r="BA247" i="16"/>
  <c r="AX247" i="16"/>
  <c r="AW247" i="16"/>
  <c r="AR247" i="16"/>
  <c r="Z247" i="16"/>
  <c r="R247" i="16"/>
  <c r="AP247" i="16" s="1"/>
  <c r="O247" i="16"/>
  <c r="Q247" i="16" s="1"/>
  <c r="BE246" i="16"/>
  <c r="BD246" i="16"/>
  <c r="BA246" i="16"/>
  <c r="AX246" i="16"/>
  <c r="BB246" i="16" s="1"/>
  <c r="AW246" i="16"/>
  <c r="AR246" i="16"/>
  <c r="Z246" i="16"/>
  <c r="R246" i="16"/>
  <c r="AP246" i="16" s="1"/>
  <c r="O246" i="16"/>
  <c r="Q246" i="16" s="1"/>
  <c r="BE245" i="16"/>
  <c r="BD245" i="16"/>
  <c r="BA245" i="16"/>
  <c r="AX245" i="16"/>
  <c r="AW245" i="16"/>
  <c r="AR245" i="16"/>
  <c r="Z245" i="16"/>
  <c r="R245" i="16"/>
  <c r="AP245" i="16" s="1"/>
  <c r="O245" i="16"/>
  <c r="Q245" i="16" s="1"/>
  <c r="BE244" i="16"/>
  <c r="BD244" i="16"/>
  <c r="AY244" i="16"/>
  <c r="AX244" i="16"/>
  <c r="AW244" i="16"/>
  <c r="AR244" i="16"/>
  <c r="Z244" i="16"/>
  <c r="R244" i="16"/>
  <c r="AP244" i="16" s="1"/>
  <c r="O244" i="16"/>
  <c r="Q244" i="16" s="1"/>
  <c r="BE243" i="16"/>
  <c r="BD243" i="16"/>
  <c r="BA243" i="16"/>
  <c r="AX243" i="16"/>
  <c r="AW243" i="16"/>
  <c r="AR243" i="16"/>
  <c r="Z243" i="16"/>
  <c r="R243" i="16"/>
  <c r="AP243" i="16" s="1"/>
  <c r="O243" i="16"/>
  <c r="Q243" i="16" s="1"/>
  <c r="BE242" i="16"/>
  <c r="BD242" i="16"/>
  <c r="BA242" i="16"/>
  <c r="AX242" i="16"/>
  <c r="BB242" i="16" s="1"/>
  <c r="AW242" i="16"/>
  <c r="AR242" i="16"/>
  <c r="Z242" i="16"/>
  <c r="R242" i="16"/>
  <c r="AP242" i="16" s="1"/>
  <c r="O242" i="16"/>
  <c r="Q242" i="16" s="1"/>
  <c r="BE241" i="16"/>
  <c r="BD241" i="16"/>
  <c r="AY241" i="16"/>
  <c r="AX241" i="16"/>
  <c r="AW241" i="16"/>
  <c r="AR241" i="16"/>
  <c r="Z241" i="16"/>
  <c r="R241" i="16"/>
  <c r="AP241" i="16" s="1"/>
  <c r="O241" i="16"/>
  <c r="Q241" i="16" s="1"/>
  <c r="BE240" i="16"/>
  <c r="BD240" i="16"/>
  <c r="AY240" i="16"/>
  <c r="AX240" i="16"/>
  <c r="AW240" i="16"/>
  <c r="AR240" i="16"/>
  <c r="Z240" i="16"/>
  <c r="R240" i="16"/>
  <c r="AP240" i="16" s="1"/>
  <c r="O240" i="16"/>
  <c r="Q240" i="16" s="1"/>
  <c r="BE239" i="16"/>
  <c r="BD239" i="16"/>
  <c r="BA239" i="16"/>
  <c r="AX239" i="16"/>
  <c r="AW239" i="16"/>
  <c r="AR239" i="16"/>
  <c r="Z239" i="16"/>
  <c r="R239" i="16"/>
  <c r="AP239" i="16" s="1"/>
  <c r="O239" i="16"/>
  <c r="Q239" i="16" s="1"/>
  <c r="BE238" i="16"/>
  <c r="BD238" i="16"/>
  <c r="BA238" i="16"/>
  <c r="AX238" i="16"/>
  <c r="AW238" i="16"/>
  <c r="AR238" i="16"/>
  <c r="Z238" i="16"/>
  <c r="R238" i="16"/>
  <c r="AP238" i="16" s="1"/>
  <c r="O238" i="16"/>
  <c r="Q238" i="16" s="1"/>
  <c r="BE237" i="16"/>
  <c r="BD237" i="16"/>
  <c r="AY237" i="16"/>
  <c r="AX237" i="16"/>
  <c r="AW237" i="16"/>
  <c r="AR237" i="16"/>
  <c r="Z237" i="16"/>
  <c r="R237" i="16"/>
  <c r="AP237" i="16" s="1"/>
  <c r="O237" i="16"/>
  <c r="Q237" i="16" s="1"/>
  <c r="BE236" i="16"/>
  <c r="BD236" i="16"/>
  <c r="BA236" i="16"/>
  <c r="AX236" i="16"/>
  <c r="BB236" i="16" s="1"/>
  <c r="AW236" i="16"/>
  <c r="AR236" i="16"/>
  <c r="Z236" i="16"/>
  <c r="R236" i="16"/>
  <c r="AP236" i="16" s="1"/>
  <c r="O236" i="16"/>
  <c r="Q236" i="16" s="1"/>
  <c r="BE235" i="16"/>
  <c r="BD235" i="16"/>
  <c r="AY235" i="16"/>
  <c r="AX235" i="16"/>
  <c r="AW235" i="16"/>
  <c r="AR235" i="16"/>
  <c r="Z235" i="16"/>
  <c r="R235" i="16"/>
  <c r="AP235" i="16" s="1"/>
  <c r="O235" i="16"/>
  <c r="Q235" i="16" s="1"/>
  <c r="BE234" i="16"/>
  <c r="BD234" i="16"/>
  <c r="AY234" i="16"/>
  <c r="AX234" i="16"/>
  <c r="AW234" i="16"/>
  <c r="AR234" i="16"/>
  <c r="Z234" i="16"/>
  <c r="R234" i="16"/>
  <c r="AP234" i="16" s="1"/>
  <c r="O234" i="16"/>
  <c r="Q234" i="16" s="1"/>
  <c r="BE233" i="16"/>
  <c r="BD233" i="16"/>
  <c r="BA233" i="16"/>
  <c r="AX233" i="16"/>
  <c r="AW233" i="16"/>
  <c r="AR233" i="16"/>
  <c r="Z233" i="16"/>
  <c r="R233" i="16"/>
  <c r="AP233" i="16" s="1"/>
  <c r="O233" i="16"/>
  <c r="Q233" i="16" s="1"/>
  <c r="BE232" i="16"/>
  <c r="BD232" i="16"/>
  <c r="BA232" i="16"/>
  <c r="AX232" i="16"/>
  <c r="AW232" i="16"/>
  <c r="AR232" i="16"/>
  <c r="Z232" i="16"/>
  <c r="R232" i="16"/>
  <c r="AP232" i="16" s="1"/>
  <c r="O232" i="16"/>
  <c r="Q232" i="16" s="1"/>
  <c r="BE231" i="16"/>
  <c r="BD231" i="16"/>
  <c r="AY231" i="16"/>
  <c r="AX231" i="16"/>
  <c r="AW231" i="16"/>
  <c r="AR231" i="16"/>
  <c r="Z231" i="16"/>
  <c r="R231" i="16"/>
  <c r="AP231" i="16" s="1"/>
  <c r="O231" i="16"/>
  <c r="Q231" i="16" s="1"/>
  <c r="BE230" i="16"/>
  <c r="BD230" i="16"/>
  <c r="BA230" i="16"/>
  <c r="AX230" i="16"/>
  <c r="AW230" i="16"/>
  <c r="AR230" i="16"/>
  <c r="Z230" i="16"/>
  <c r="R230" i="16"/>
  <c r="AP230" i="16" s="1"/>
  <c r="O230" i="16"/>
  <c r="Q230" i="16" s="1"/>
  <c r="BE229" i="16"/>
  <c r="BD229" i="16"/>
  <c r="BA229" i="16"/>
  <c r="AX229" i="16"/>
  <c r="AW229" i="16"/>
  <c r="AR229" i="16"/>
  <c r="Z229" i="16"/>
  <c r="R229" i="16"/>
  <c r="AP229" i="16" s="1"/>
  <c r="O229" i="16"/>
  <c r="Q229" i="16" s="1"/>
  <c r="BE228" i="16"/>
  <c r="BA228" i="16"/>
  <c r="AY228" i="16"/>
  <c r="AW228" i="16"/>
  <c r="AR228" i="16"/>
  <c r="Z228" i="16"/>
  <c r="R228" i="16"/>
  <c r="AP228" i="16" s="1"/>
  <c r="O228" i="16"/>
  <c r="Q228" i="16" s="1"/>
  <c r="BE227" i="16"/>
  <c r="BA227" i="16"/>
  <c r="AY227" i="16"/>
  <c r="AW227" i="16"/>
  <c r="AR227" i="16"/>
  <c r="Z227" i="16"/>
  <c r="R227" i="16"/>
  <c r="AP227" i="16" s="1"/>
  <c r="O227" i="16"/>
  <c r="Q227" i="16" s="1"/>
  <c r="BE226" i="16"/>
  <c r="BD226" i="16"/>
  <c r="BA226" i="16"/>
  <c r="AX226" i="16"/>
  <c r="AW226" i="16"/>
  <c r="AR226" i="16"/>
  <c r="Z226" i="16"/>
  <c r="R226" i="16"/>
  <c r="AP226" i="16" s="1"/>
  <c r="O226" i="16"/>
  <c r="Q226" i="16" s="1"/>
  <c r="BE225" i="16"/>
  <c r="BD225" i="16"/>
  <c r="BA225" i="16"/>
  <c r="AX225" i="16"/>
  <c r="AW225" i="16"/>
  <c r="AR225" i="16"/>
  <c r="Z225" i="16"/>
  <c r="R225" i="16"/>
  <c r="AP225" i="16" s="1"/>
  <c r="O225" i="16"/>
  <c r="Q225" i="16" s="1"/>
  <c r="BE224" i="16"/>
  <c r="BD224" i="16"/>
  <c r="BA224" i="16"/>
  <c r="AX224" i="16"/>
  <c r="AW224" i="16"/>
  <c r="AR224" i="16"/>
  <c r="Z224" i="16"/>
  <c r="R224" i="16"/>
  <c r="AP224" i="16" s="1"/>
  <c r="O224" i="16"/>
  <c r="Q224" i="16" s="1"/>
  <c r="BE223" i="16"/>
  <c r="BD223" i="16"/>
  <c r="BA223" i="16"/>
  <c r="AX223" i="16"/>
  <c r="AW223" i="16"/>
  <c r="AR223" i="16"/>
  <c r="Z223" i="16"/>
  <c r="R223" i="16"/>
  <c r="AP223" i="16" s="1"/>
  <c r="O223" i="16"/>
  <c r="Q223" i="16" s="1"/>
  <c r="BE222" i="16"/>
  <c r="BD222" i="16"/>
  <c r="BA222" i="16"/>
  <c r="AX222" i="16"/>
  <c r="AW222" i="16"/>
  <c r="AR222" i="16"/>
  <c r="Z222" i="16"/>
  <c r="R222" i="16"/>
  <c r="AP222" i="16" s="1"/>
  <c r="O222" i="16"/>
  <c r="Q222" i="16" s="1"/>
  <c r="BE221" i="16"/>
  <c r="BD221" i="16"/>
  <c r="BA221" i="16"/>
  <c r="AX221" i="16"/>
  <c r="AW221" i="16"/>
  <c r="AR221" i="16"/>
  <c r="Z221" i="16"/>
  <c r="R221" i="16"/>
  <c r="AP221" i="16" s="1"/>
  <c r="O221" i="16"/>
  <c r="Q221" i="16" s="1"/>
  <c r="BE220" i="16"/>
  <c r="BD220" i="16"/>
  <c r="BA220" i="16"/>
  <c r="AX220" i="16"/>
  <c r="AW220" i="16"/>
  <c r="AR220" i="16"/>
  <c r="Z220" i="16"/>
  <c r="R220" i="16"/>
  <c r="AP220" i="16" s="1"/>
  <c r="O220" i="16"/>
  <c r="Q220" i="16" s="1"/>
  <c r="BE219" i="16"/>
  <c r="BA219" i="16"/>
  <c r="AY219" i="16"/>
  <c r="AW219" i="16"/>
  <c r="AR219" i="16"/>
  <c r="Z219" i="16"/>
  <c r="R219" i="16"/>
  <c r="AP219" i="16" s="1"/>
  <c r="O219" i="16"/>
  <c r="Q219" i="16" s="1"/>
  <c r="BE218" i="16"/>
  <c r="BD218" i="16"/>
  <c r="BA218" i="16"/>
  <c r="AX218" i="16"/>
  <c r="AW218" i="16"/>
  <c r="AR218" i="16"/>
  <c r="Z218" i="16"/>
  <c r="R218" i="16"/>
  <c r="AP218" i="16" s="1"/>
  <c r="O218" i="16"/>
  <c r="Q218" i="16" s="1"/>
  <c r="BE217" i="16"/>
  <c r="BA217" i="16"/>
  <c r="AX217" i="16"/>
  <c r="BB217" i="16" s="1"/>
  <c r="AW217" i="16"/>
  <c r="AR217" i="16"/>
  <c r="Z217" i="16"/>
  <c r="R217" i="16"/>
  <c r="AP217" i="16" s="1"/>
  <c r="O217" i="16"/>
  <c r="Q217" i="16" s="1"/>
  <c r="BE216" i="16"/>
  <c r="BA216" i="16"/>
  <c r="AY216" i="16"/>
  <c r="AW216" i="16"/>
  <c r="AR216" i="16"/>
  <c r="Z216" i="16"/>
  <c r="R216" i="16"/>
  <c r="AP216" i="16" s="1"/>
  <c r="O216" i="16"/>
  <c r="Q216" i="16" s="1"/>
  <c r="BE215" i="16"/>
  <c r="BD215" i="16"/>
  <c r="BA215" i="16"/>
  <c r="AX215" i="16"/>
  <c r="AW215" i="16"/>
  <c r="AR215" i="16"/>
  <c r="Z215" i="16"/>
  <c r="R215" i="16"/>
  <c r="AP215" i="16" s="1"/>
  <c r="O215" i="16"/>
  <c r="Q215" i="16" s="1"/>
  <c r="BE214" i="16"/>
  <c r="BA214" i="16"/>
  <c r="AY214" i="16"/>
  <c r="AX214" i="16"/>
  <c r="AW214" i="16"/>
  <c r="AR214" i="16"/>
  <c r="Z214" i="16"/>
  <c r="R214" i="16"/>
  <c r="AP214" i="16" s="1"/>
  <c r="O214" i="16"/>
  <c r="Q214" i="16" s="1"/>
  <c r="BE213" i="16"/>
  <c r="BD213" i="16"/>
  <c r="BA213" i="16"/>
  <c r="AX213" i="16"/>
  <c r="AW213" i="16"/>
  <c r="AR213" i="16"/>
  <c r="Z213" i="16"/>
  <c r="R213" i="16"/>
  <c r="AP213" i="16" s="1"/>
  <c r="O213" i="16"/>
  <c r="Q213" i="16" s="1"/>
  <c r="BE212" i="16"/>
  <c r="BD212" i="16"/>
  <c r="BA212" i="16"/>
  <c r="AX212" i="16"/>
  <c r="AW212" i="16"/>
  <c r="AR212" i="16"/>
  <c r="Z212" i="16"/>
  <c r="R212" i="16"/>
  <c r="AP212" i="16" s="1"/>
  <c r="O212" i="16"/>
  <c r="Q212" i="16" s="1"/>
  <c r="BE211" i="16"/>
  <c r="BD211" i="16"/>
  <c r="BA211" i="16"/>
  <c r="AX211" i="16"/>
  <c r="AW211" i="16"/>
  <c r="AR211" i="16"/>
  <c r="Z211" i="16"/>
  <c r="R211" i="16"/>
  <c r="AP211" i="16" s="1"/>
  <c r="O211" i="16"/>
  <c r="Q211" i="16" s="1"/>
  <c r="BE210" i="16"/>
  <c r="BA210" i="16"/>
  <c r="AY210" i="16"/>
  <c r="AX210" i="16"/>
  <c r="BB210" i="16" s="1"/>
  <c r="AW210" i="16"/>
  <c r="AR210" i="16"/>
  <c r="Z210" i="16"/>
  <c r="R210" i="16"/>
  <c r="AP210" i="16" s="1"/>
  <c r="O210" i="16"/>
  <c r="Q210" i="16" s="1"/>
  <c r="BE209" i="16"/>
  <c r="BD209" i="16"/>
  <c r="BA209" i="16"/>
  <c r="AY209" i="16"/>
  <c r="AX209" i="16"/>
  <c r="AW209" i="16"/>
  <c r="AR209" i="16"/>
  <c r="Z209" i="16"/>
  <c r="R209" i="16"/>
  <c r="AP209" i="16" s="1"/>
  <c r="O209" i="16"/>
  <c r="Q209" i="16" s="1"/>
  <c r="BE208" i="16"/>
  <c r="BD208" i="16"/>
  <c r="BA208" i="16"/>
  <c r="AX208" i="16"/>
  <c r="AW208" i="16"/>
  <c r="AR208" i="16"/>
  <c r="Z208" i="16"/>
  <c r="R208" i="16"/>
  <c r="AP208" i="16" s="1"/>
  <c r="O208" i="16"/>
  <c r="Q208" i="16" s="1"/>
  <c r="BE207" i="16"/>
  <c r="BA207" i="16"/>
  <c r="AY207" i="16"/>
  <c r="AX207" i="16"/>
  <c r="Z207" i="16"/>
  <c r="R207" i="16"/>
  <c r="AP207" i="16" s="1"/>
  <c r="O207" i="16"/>
  <c r="Q207" i="16" s="1"/>
  <c r="BE206" i="16"/>
  <c r="BA206" i="16"/>
  <c r="AY206" i="16"/>
  <c r="AX206" i="16"/>
  <c r="Z206" i="16"/>
  <c r="R206" i="16"/>
  <c r="AP206" i="16" s="1"/>
  <c r="O206" i="16"/>
  <c r="Q206" i="16" s="1"/>
  <c r="BE205" i="16"/>
  <c r="BD205" i="16"/>
  <c r="BA205" i="16"/>
  <c r="AX205" i="16"/>
  <c r="BB205" i="16" s="1"/>
  <c r="AW205" i="16"/>
  <c r="AR205" i="16"/>
  <c r="Z205" i="16"/>
  <c r="R205" i="16"/>
  <c r="AP205" i="16" s="1"/>
  <c r="O205" i="16"/>
  <c r="Q205" i="16" s="1"/>
  <c r="BE204" i="16"/>
  <c r="BA204" i="16"/>
  <c r="AY204" i="16"/>
  <c r="AW204" i="16"/>
  <c r="AR204" i="16"/>
  <c r="Z204" i="16"/>
  <c r="R204" i="16"/>
  <c r="AP204" i="16" s="1"/>
  <c r="O204" i="16"/>
  <c r="Q204" i="16" s="1"/>
  <c r="BE203" i="16"/>
  <c r="BA203" i="16"/>
  <c r="AY203" i="16"/>
  <c r="AW203" i="16"/>
  <c r="AR203" i="16"/>
  <c r="Z203" i="16"/>
  <c r="R203" i="16"/>
  <c r="AP203" i="16" s="1"/>
  <c r="O203" i="16"/>
  <c r="Q203" i="16" s="1"/>
  <c r="BE202" i="16"/>
  <c r="BA202" i="16"/>
  <c r="AY202" i="16"/>
  <c r="BB202" i="16" s="1"/>
  <c r="AW202" i="16"/>
  <c r="AR202" i="16"/>
  <c r="Z202" i="16"/>
  <c r="R202" i="16"/>
  <c r="AP202" i="16" s="1"/>
  <c r="O202" i="16"/>
  <c r="Q202" i="16" s="1"/>
  <c r="BE201" i="16"/>
  <c r="BD201" i="16"/>
  <c r="BA201" i="16"/>
  <c r="AX201" i="16"/>
  <c r="BB201" i="16" s="1"/>
  <c r="AW201" i="16"/>
  <c r="AR201" i="16"/>
  <c r="Z201" i="16"/>
  <c r="R201" i="16"/>
  <c r="AP201" i="16" s="1"/>
  <c r="O201" i="16"/>
  <c r="Q201" i="16" s="1"/>
  <c r="BE200" i="16"/>
  <c r="BA200" i="16"/>
  <c r="AY200" i="16"/>
  <c r="AW200" i="16"/>
  <c r="AR200" i="16"/>
  <c r="Z200" i="16"/>
  <c r="R200" i="16"/>
  <c r="AP200" i="16" s="1"/>
  <c r="O200" i="16"/>
  <c r="Q200" i="16" s="1"/>
  <c r="BE199" i="16"/>
  <c r="BD199" i="16"/>
  <c r="BA199" i="16"/>
  <c r="AX199" i="16"/>
  <c r="AW199" i="16"/>
  <c r="AR199" i="16"/>
  <c r="Z199" i="16"/>
  <c r="R199" i="16"/>
  <c r="AP199" i="16" s="1"/>
  <c r="O199" i="16"/>
  <c r="Q199" i="16" s="1"/>
  <c r="BE198" i="16"/>
  <c r="BA198" i="16"/>
  <c r="AY198" i="16"/>
  <c r="AW198" i="16"/>
  <c r="AR198" i="16"/>
  <c r="Z198" i="16"/>
  <c r="R198" i="16"/>
  <c r="AP198" i="16" s="1"/>
  <c r="O198" i="16"/>
  <c r="Q198" i="16" s="1"/>
  <c r="BE197" i="16"/>
  <c r="BA197" i="16"/>
  <c r="AY197" i="16"/>
  <c r="AW197" i="16"/>
  <c r="AR197" i="16"/>
  <c r="Z197" i="16"/>
  <c r="R197" i="16"/>
  <c r="AP197" i="16" s="1"/>
  <c r="O197" i="16"/>
  <c r="Q197" i="16" s="1"/>
  <c r="BE196" i="16"/>
  <c r="BA196" i="16"/>
  <c r="AY196" i="16"/>
  <c r="AW196" i="16"/>
  <c r="AR196" i="16"/>
  <c r="Z196" i="16"/>
  <c r="R196" i="16"/>
  <c r="AP196" i="16" s="1"/>
  <c r="O196" i="16"/>
  <c r="Q196" i="16" s="1"/>
  <c r="BE195" i="16"/>
  <c r="BA195" i="16"/>
  <c r="AY195" i="16"/>
  <c r="AW195" i="16"/>
  <c r="AR195" i="16"/>
  <c r="Z195" i="16"/>
  <c r="R195" i="16"/>
  <c r="AP195" i="16" s="1"/>
  <c r="O195" i="16"/>
  <c r="Q195" i="16" s="1"/>
  <c r="BE194" i="16"/>
  <c r="BA194" i="16"/>
  <c r="AY194" i="16"/>
  <c r="AW194" i="16"/>
  <c r="AR194" i="16"/>
  <c r="Z194" i="16"/>
  <c r="R194" i="16"/>
  <c r="AP194" i="16" s="1"/>
  <c r="O194" i="16"/>
  <c r="Q194" i="16" s="1"/>
  <c r="BE193" i="16"/>
  <c r="BA193" i="16"/>
  <c r="AY193" i="16"/>
  <c r="AW193" i="16"/>
  <c r="AR193" i="16"/>
  <c r="Z193" i="16"/>
  <c r="R193" i="16"/>
  <c r="AP193" i="16" s="1"/>
  <c r="O193" i="16"/>
  <c r="Q193" i="16" s="1"/>
  <c r="BE192" i="16"/>
  <c r="BD192" i="16"/>
  <c r="BA192" i="16"/>
  <c r="AX192" i="16"/>
  <c r="BB192" i="16" s="1"/>
  <c r="AW192" i="16"/>
  <c r="AR192" i="16"/>
  <c r="Z192" i="16"/>
  <c r="R192" i="16"/>
  <c r="AP192" i="16" s="1"/>
  <c r="O192" i="16"/>
  <c r="Q192" i="16" s="1"/>
  <c r="BE191" i="16"/>
  <c r="BD191" i="16"/>
  <c r="BA191" i="16"/>
  <c r="AX191" i="16"/>
  <c r="AW191" i="16"/>
  <c r="AR191" i="16"/>
  <c r="Z191" i="16"/>
  <c r="R191" i="16"/>
  <c r="AP191" i="16" s="1"/>
  <c r="O191" i="16"/>
  <c r="Q191" i="16" s="1"/>
  <c r="BE190" i="16"/>
  <c r="BD190" i="16"/>
  <c r="BA190" i="16"/>
  <c r="AX190" i="16"/>
  <c r="AW190" i="16"/>
  <c r="AR190" i="16"/>
  <c r="Z190" i="16"/>
  <c r="R190" i="16"/>
  <c r="AP190" i="16" s="1"/>
  <c r="O190" i="16"/>
  <c r="Q190" i="16" s="1"/>
  <c r="BE189" i="16"/>
  <c r="BD189" i="16"/>
  <c r="BA189" i="16"/>
  <c r="AX189" i="16"/>
  <c r="AW189" i="16"/>
  <c r="AR189" i="16"/>
  <c r="Z189" i="16"/>
  <c r="R189" i="16"/>
  <c r="AP189" i="16" s="1"/>
  <c r="O189" i="16"/>
  <c r="Q189" i="16" s="1"/>
  <c r="BE188" i="16"/>
  <c r="BD188" i="16"/>
  <c r="BA188" i="16"/>
  <c r="AX188" i="16"/>
  <c r="AW188" i="16"/>
  <c r="AR188" i="16"/>
  <c r="Z188" i="16"/>
  <c r="R188" i="16"/>
  <c r="AP188" i="16" s="1"/>
  <c r="O188" i="16"/>
  <c r="Q188" i="16" s="1"/>
  <c r="BE187" i="16"/>
  <c r="BD187" i="16"/>
  <c r="BA187" i="16"/>
  <c r="AX187" i="16"/>
  <c r="AW187" i="16"/>
  <c r="AR187" i="16"/>
  <c r="Z187" i="16"/>
  <c r="R187" i="16"/>
  <c r="AP187" i="16" s="1"/>
  <c r="O187" i="16"/>
  <c r="Q187" i="16" s="1"/>
  <c r="BE186" i="16"/>
  <c r="BA186" i="16"/>
  <c r="AY186" i="16"/>
  <c r="BB186" i="16" s="1"/>
  <c r="AW186" i="16"/>
  <c r="AR186" i="16"/>
  <c r="Z186" i="16"/>
  <c r="R186" i="16"/>
  <c r="AP186" i="16" s="1"/>
  <c r="O186" i="16"/>
  <c r="Q186" i="16" s="1"/>
  <c r="BE185" i="16"/>
  <c r="BA185" i="16"/>
  <c r="AY185" i="16"/>
  <c r="BB185" i="16" s="1"/>
  <c r="AW185" i="16"/>
  <c r="AR185" i="16"/>
  <c r="Z185" i="16"/>
  <c r="R185" i="16"/>
  <c r="AP185" i="16" s="1"/>
  <c r="O185" i="16"/>
  <c r="Q185" i="16" s="1"/>
  <c r="BE184" i="16"/>
  <c r="BD184" i="16"/>
  <c r="BA184" i="16"/>
  <c r="AX184" i="16"/>
  <c r="AW184" i="16"/>
  <c r="AR184" i="16"/>
  <c r="Z184" i="16"/>
  <c r="R184" i="16"/>
  <c r="AP184" i="16" s="1"/>
  <c r="O184" i="16"/>
  <c r="Q184" i="16" s="1"/>
  <c r="BE183" i="16"/>
  <c r="BD183" i="16"/>
  <c r="BA183" i="16"/>
  <c r="AX183" i="16"/>
  <c r="AW183" i="16"/>
  <c r="AR183" i="16"/>
  <c r="Z183" i="16"/>
  <c r="R183" i="16"/>
  <c r="AP183" i="16" s="1"/>
  <c r="O183" i="16"/>
  <c r="Q183" i="16" s="1"/>
  <c r="BE182" i="16"/>
  <c r="BA182" i="16"/>
  <c r="AY182" i="16"/>
  <c r="AW182" i="16"/>
  <c r="AR182" i="16"/>
  <c r="Z182" i="16"/>
  <c r="R182" i="16"/>
  <c r="AP182" i="16" s="1"/>
  <c r="O182" i="16"/>
  <c r="Q182" i="16" s="1"/>
  <c r="BE181" i="16"/>
  <c r="BA181" i="16"/>
  <c r="AY181" i="16"/>
  <c r="AW181" i="16"/>
  <c r="AR181" i="16"/>
  <c r="Z181" i="16"/>
  <c r="R181" i="16"/>
  <c r="AP181" i="16" s="1"/>
  <c r="O181" i="16"/>
  <c r="Q181" i="16" s="1"/>
  <c r="BE180" i="16"/>
  <c r="BA180" i="16"/>
  <c r="AY180" i="16"/>
  <c r="Z180" i="16"/>
  <c r="R180" i="16"/>
  <c r="AP180" i="16" s="1"/>
  <c r="O180" i="16"/>
  <c r="Q180" i="16" s="1"/>
  <c r="BE179" i="16"/>
  <c r="BA179" i="16"/>
  <c r="AY179" i="16"/>
  <c r="AW179" i="16"/>
  <c r="AR179" i="16"/>
  <c r="Z179" i="16"/>
  <c r="R179" i="16"/>
  <c r="AP179" i="16" s="1"/>
  <c r="O179" i="16"/>
  <c r="Q179" i="16" s="1"/>
  <c r="BE178" i="16"/>
  <c r="BA178" i="16"/>
  <c r="AY178" i="16"/>
  <c r="AW178" i="16"/>
  <c r="AR178" i="16"/>
  <c r="Z178" i="16"/>
  <c r="R178" i="16"/>
  <c r="AP178" i="16" s="1"/>
  <c r="O178" i="16"/>
  <c r="Q178" i="16" s="1"/>
  <c r="BE177" i="16"/>
  <c r="BA177" i="16"/>
  <c r="AY177" i="16"/>
  <c r="AW177" i="16"/>
  <c r="AR177" i="16"/>
  <c r="Z177" i="16"/>
  <c r="R177" i="16"/>
  <c r="AP177" i="16" s="1"/>
  <c r="O177" i="16"/>
  <c r="Q177" i="16" s="1"/>
  <c r="BE176" i="16"/>
  <c r="BA176" i="16"/>
  <c r="AY176" i="16"/>
  <c r="AW176" i="16"/>
  <c r="AR176" i="16"/>
  <c r="Z176" i="16"/>
  <c r="R176" i="16"/>
  <c r="AP176" i="16" s="1"/>
  <c r="O176" i="16"/>
  <c r="Q176" i="16" s="1"/>
  <c r="BE175" i="16"/>
  <c r="BA175" i="16"/>
  <c r="AY175" i="16"/>
  <c r="AX175" i="16"/>
  <c r="AR175" i="16"/>
  <c r="Z175" i="16"/>
  <c r="R175" i="16"/>
  <c r="AP175" i="16" s="1"/>
  <c r="O175" i="16"/>
  <c r="Q175" i="16" s="1"/>
  <c r="BE174" i="16"/>
  <c r="BA174" i="16"/>
  <c r="AY174" i="16"/>
  <c r="AX174" i="16"/>
  <c r="Z174" i="16"/>
  <c r="R174" i="16"/>
  <c r="AP174" i="16" s="1"/>
  <c r="O174" i="16"/>
  <c r="Q174" i="16" s="1"/>
  <c r="BE173" i="16"/>
  <c r="BA173" i="16"/>
  <c r="AY173" i="16"/>
  <c r="AW173" i="16"/>
  <c r="AR173" i="16"/>
  <c r="Z173" i="16"/>
  <c r="R173" i="16"/>
  <c r="AP173" i="16" s="1"/>
  <c r="O173" i="16"/>
  <c r="Q173" i="16" s="1"/>
  <c r="BE172" i="16"/>
  <c r="BD172" i="16"/>
  <c r="BA172" i="16"/>
  <c r="AX172" i="16"/>
  <c r="BB172" i="16" s="1"/>
  <c r="AW172" i="16"/>
  <c r="AR172" i="16"/>
  <c r="Z172" i="16"/>
  <c r="R172" i="16"/>
  <c r="AP172" i="16" s="1"/>
  <c r="O172" i="16"/>
  <c r="Q172" i="16" s="1"/>
  <c r="BE171" i="16"/>
  <c r="BA171" i="16"/>
  <c r="AY171" i="16"/>
  <c r="AW171" i="16"/>
  <c r="AR171" i="16"/>
  <c r="Z171" i="16"/>
  <c r="R171" i="16"/>
  <c r="AP171" i="16" s="1"/>
  <c r="O171" i="16"/>
  <c r="Q171" i="16" s="1"/>
  <c r="BE170" i="16"/>
  <c r="BA170" i="16"/>
  <c r="AY170" i="16"/>
  <c r="AW170" i="16"/>
  <c r="AR170" i="16"/>
  <c r="Z170" i="16"/>
  <c r="R170" i="16"/>
  <c r="AP170" i="16" s="1"/>
  <c r="O170" i="16"/>
  <c r="Q170" i="16" s="1"/>
  <c r="BE169" i="16"/>
  <c r="BA169" i="16"/>
  <c r="AY169" i="16"/>
  <c r="AX169" i="16"/>
  <c r="Z169" i="16"/>
  <c r="R169" i="16"/>
  <c r="AP169" i="16" s="1"/>
  <c r="O169" i="16"/>
  <c r="Q169" i="16" s="1"/>
  <c r="BE168" i="16"/>
  <c r="BA168" i="16"/>
  <c r="AY168" i="16"/>
  <c r="BB168" i="16" s="1"/>
  <c r="AW168" i="16"/>
  <c r="AR168" i="16"/>
  <c r="Z168" i="16"/>
  <c r="R168" i="16"/>
  <c r="AP168" i="16" s="1"/>
  <c r="O168" i="16"/>
  <c r="Q168" i="16" s="1"/>
  <c r="BE167" i="16"/>
  <c r="BA167" i="16"/>
  <c r="AY167" i="16"/>
  <c r="AW167" i="16"/>
  <c r="AR167" i="16"/>
  <c r="Z167" i="16"/>
  <c r="R167" i="16"/>
  <c r="AP167" i="16" s="1"/>
  <c r="O167" i="16"/>
  <c r="Q167" i="16" s="1"/>
  <c r="BE166" i="16"/>
  <c r="BA166" i="16"/>
  <c r="AY166" i="16"/>
  <c r="AW166" i="16"/>
  <c r="AR166" i="16"/>
  <c r="Z166" i="16"/>
  <c r="R166" i="16"/>
  <c r="AP166" i="16" s="1"/>
  <c r="O166" i="16"/>
  <c r="Q166" i="16" s="1"/>
  <c r="BE165" i="16"/>
  <c r="BA165" i="16"/>
  <c r="AY165" i="16"/>
  <c r="BB165" i="16" s="1"/>
  <c r="AW165" i="16"/>
  <c r="AR165" i="16"/>
  <c r="Z165" i="16"/>
  <c r="R165" i="16"/>
  <c r="AP165" i="16" s="1"/>
  <c r="O165" i="16"/>
  <c r="Q165" i="16" s="1"/>
  <c r="BE164" i="16"/>
  <c r="BD164" i="16"/>
  <c r="BA164" i="16"/>
  <c r="AX164" i="16"/>
  <c r="AW164" i="16"/>
  <c r="AR164" i="16"/>
  <c r="Z164" i="16"/>
  <c r="R164" i="16"/>
  <c r="AP164" i="16" s="1"/>
  <c r="O164" i="16"/>
  <c r="Q164" i="16" s="1"/>
  <c r="BE163" i="16"/>
  <c r="BA163" i="16"/>
  <c r="AY163" i="16"/>
  <c r="BB163" i="16" s="1"/>
  <c r="AR163" i="16"/>
  <c r="Z163" i="16"/>
  <c r="R163" i="16"/>
  <c r="AP163" i="16" s="1"/>
  <c r="O163" i="16"/>
  <c r="Q163" i="16" s="1"/>
  <c r="BE162" i="16"/>
  <c r="BA162" i="16"/>
  <c r="AY162" i="16"/>
  <c r="AR162" i="16"/>
  <c r="Z162" i="16"/>
  <c r="R162" i="16"/>
  <c r="AP162" i="16" s="1"/>
  <c r="O162" i="16"/>
  <c r="Q162" i="16" s="1"/>
  <c r="BE161" i="16"/>
  <c r="BA161" i="16"/>
  <c r="AY161" i="16"/>
  <c r="Z161" i="16"/>
  <c r="R161" i="16"/>
  <c r="AP161" i="16" s="1"/>
  <c r="O161" i="16"/>
  <c r="Q161" i="16" s="1"/>
  <c r="BE160" i="16"/>
  <c r="BA160" i="16"/>
  <c r="AY160" i="16"/>
  <c r="AX160" i="16"/>
  <c r="AW160" i="16"/>
  <c r="AR160" i="16"/>
  <c r="Z160" i="16"/>
  <c r="R160" i="16"/>
  <c r="AP160" i="16" s="1"/>
  <c r="O160" i="16"/>
  <c r="Q160" i="16" s="1"/>
  <c r="BE159" i="16"/>
  <c r="BA159" i="16"/>
  <c r="AY159" i="16"/>
  <c r="AX159" i="16"/>
  <c r="AW159" i="16"/>
  <c r="AR159" i="16"/>
  <c r="Z159" i="16"/>
  <c r="R159" i="16"/>
  <c r="AP159" i="16" s="1"/>
  <c r="O159" i="16"/>
  <c r="Q159" i="16" s="1"/>
  <c r="BE158" i="16"/>
  <c r="BA158" i="16"/>
  <c r="AY158" i="16"/>
  <c r="AX158" i="16"/>
  <c r="AW158" i="16"/>
  <c r="AR158" i="16"/>
  <c r="Z158" i="16"/>
  <c r="R158" i="16"/>
  <c r="AP158" i="16" s="1"/>
  <c r="O158" i="16"/>
  <c r="Q158" i="16" s="1"/>
  <c r="BE157" i="16"/>
  <c r="BA157" i="16"/>
  <c r="AY157" i="16"/>
  <c r="AX157" i="16"/>
  <c r="AW157" i="16"/>
  <c r="AR157" i="16"/>
  <c r="Z157" i="16"/>
  <c r="R157" i="16"/>
  <c r="AP157" i="16" s="1"/>
  <c r="O157" i="16"/>
  <c r="Q157" i="16" s="1"/>
  <c r="BE156" i="16"/>
  <c r="BA156" i="16"/>
  <c r="AY156" i="16"/>
  <c r="Z156" i="16"/>
  <c r="R156" i="16"/>
  <c r="AP156" i="16" s="1"/>
  <c r="O156" i="16"/>
  <c r="Q156" i="16" s="1"/>
  <c r="BE155" i="16"/>
  <c r="BA155" i="16"/>
  <c r="AY155" i="16"/>
  <c r="AW155" i="16"/>
  <c r="AR155" i="16"/>
  <c r="Z155" i="16"/>
  <c r="R155" i="16"/>
  <c r="AP155" i="16" s="1"/>
  <c r="O155" i="16"/>
  <c r="Q155" i="16" s="1"/>
  <c r="BE154" i="16"/>
  <c r="BA154" i="16"/>
  <c r="AY154" i="16"/>
  <c r="BB154" i="16" s="1"/>
  <c r="Z154" i="16"/>
  <c r="R154" i="16"/>
  <c r="AP154" i="16" s="1"/>
  <c r="O154" i="16"/>
  <c r="Q154" i="16" s="1"/>
  <c r="BE153" i="16"/>
  <c r="BA153" i="16"/>
  <c r="AY153" i="16"/>
  <c r="AW153" i="16"/>
  <c r="AR153" i="16"/>
  <c r="Z153" i="16"/>
  <c r="R153" i="16"/>
  <c r="AP153" i="16" s="1"/>
  <c r="O153" i="16"/>
  <c r="Q153" i="16" s="1"/>
  <c r="BE152" i="16"/>
  <c r="BD152" i="16"/>
  <c r="BA152" i="16"/>
  <c r="AX152" i="16"/>
  <c r="AW152" i="16"/>
  <c r="AR152" i="16"/>
  <c r="Z152" i="16"/>
  <c r="R152" i="16"/>
  <c r="AP152" i="16" s="1"/>
  <c r="O152" i="16"/>
  <c r="Q152" i="16" s="1"/>
  <c r="BE151" i="16"/>
  <c r="BA151" i="16"/>
  <c r="AY151" i="16"/>
  <c r="Z151" i="16"/>
  <c r="R151" i="16"/>
  <c r="AP151" i="16" s="1"/>
  <c r="O151" i="16"/>
  <c r="Q151" i="16" s="1"/>
  <c r="BE150" i="16"/>
  <c r="BA150" i="16"/>
  <c r="AY150" i="16"/>
  <c r="AX150" i="16"/>
  <c r="Z150" i="16"/>
  <c r="R150" i="16"/>
  <c r="AP150" i="16" s="1"/>
  <c r="O150" i="16"/>
  <c r="Q150" i="16" s="1"/>
  <c r="BE149" i="16"/>
  <c r="BA149" i="16"/>
  <c r="AY149" i="16"/>
  <c r="AX149" i="16"/>
  <c r="AW149" i="16"/>
  <c r="AR149" i="16"/>
  <c r="Z149" i="16"/>
  <c r="R149" i="16"/>
  <c r="AP149" i="16" s="1"/>
  <c r="O149" i="16"/>
  <c r="Q149" i="16" s="1"/>
  <c r="BE148" i="16"/>
  <c r="BD148" i="16"/>
  <c r="BA148" i="16"/>
  <c r="AX148" i="16"/>
  <c r="AW148" i="16"/>
  <c r="AR148" i="16"/>
  <c r="Z148" i="16"/>
  <c r="R148" i="16"/>
  <c r="AP148" i="16" s="1"/>
  <c r="O148" i="16"/>
  <c r="Q148" i="16" s="1"/>
  <c r="BE147" i="16"/>
  <c r="BA147" i="16"/>
  <c r="AY147" i="16"/>
  <c r="AX147" i="16"/>
  <c r="AW147" i="16"/>
  <c r="AR147" i="16"/>
  <c r="Z147" i="16"/>
  <c r="R147" i="16"/>
  <c r="AP147" i="16" s="1"/>
  <c r="O147" i="16"/>
  <c r="Q147" i="16" s="1"/>
  <c r="BE146" i="16"/>
  <c r="BA146" i="16"/>
  <c r="AY146" i="16"/>
  <c r="BB146" i="16" s="1"/>
  <c r="Z146" i="16"/>
  <c r="R146" i="16"/>
  <c r="AP146" i="16" s="1"/>
  <c r="O146" i="16"/>
  <c r="Q146" i="16" s="1"/>
  <c r="BE145" i="16"/>
  <c r="BA145" i="16"/>
  <c r="AY145" i="16"/>
  <c r="AX145" i="16"/>
  <c r="AW145" i="16"/>
  <c r="AR145" i="16"/>
  <c r="Z145" i="16"/>
  <c r="R145" i="16"/>
  <c r="AP145" i="16" s="1"/>
  <c r="O145" i="16"/>
  <c r="Q145" i="16" s="1"/>
  <c r="BE144" i="16"/>
  <c r="BA144" i="16"/>
  <c r="AY144" i="16"/>
  <c r="AX144" i="16"/>
  <c r="AW144" i="16"/>
  <c r="AR144" i="16"/>
  <c r="Z144" i="16"/>
  <c r="R144" i="16"/>
  <c r="AP144" i="16" s="1"/>
  <c r="O144" i="16"/>
  <c r="Q144" i="16" s="1"/>
  <c r="BE143" i="16"/>
  <c r="BA143" i="16"/>
  <c r="AY143" i="16"/>
  <c r="BB143" i="16" s="1"/>
  <c r="Z143" i="16"/>
  <c r="R143" i="16"/>
  <c r="AP143" i="16" s="1"/>
  <c r="O143" i="16"/>
  <c r="Q143" i="16" s="1"/>
  <c r="BE142" i="16"/>
  <c r="BA142" i="16"/>
  <c r="AY142" i="16"/>
  <c r="AX142" i="16"/>
  <c r="AW142" i="16"/>
  <c r="AR142" i="16"/>
  <c r="Z142" i="16"/>
  <c r="R142" i="16"/>
  <c r="AP142" i="16" s="1"/>
  <c r="O142" i="16"/>
  <c r="Q142" i="16" s="1"/>
  <c r="BE141" i="16"/>
  <c r="BD141" i="16"/>
  <c r="BA141" i="16"/>
  <c r="AX141" i="16"/>
  <c r="BB141" i="16" s="1"/>
  <c r="AW141" i="16"/>
  <c r="AR141" i="16"/>
  <c r="Z141" i="16"/>
  <c r="R141" i="16"/>
  <c r="AP141" i="16" s="1"/>
  <c r="O141" i="16"/>
  <c r="Q141" i="16" s="1"/>
  <c r="BE140" i="16"/>
  <c r="BA140" i="16"/>
  <c r="AY140" i="16"/>
  <c r="AX140" i="16"/>
  <c r="Z140" i="16"/>
  <c r="R140" i="16"/>
  <c r="AP140" i="16" s="1"/>
  <c r="O140" i="16"/>
  <c r="Q140" i="16" s="1"/>
  <c r="BE139" i="16"/>
  <c r="BA139" i="16"/>
  <c r="AY139" i="16"/>
  <c r="BB139" i="16" s="1"/>
  <c r="AW139" i="16"/>
  <c r="AR139" i="16"/>
  <c r="Z139" i="16"/>
  <c r="R139" i="16"/>
  <c r="AP139" i="16" s="1"/>
  <c r="O139" i="16"/>
  <c r="Q139" i="16" s="1"/>
  <c r="BE138" i="16"/>
  <c r="BA138" i="16"/>
  <c r="AY138" i="16"/>
  <c r="Z138" i="16"/>
  <c r="R138" i="16"/>
  <c r="AP138" i="16" s="1"/>
  <c r="O138" i="16"/>
  <c r="Q138" i="16" s="1"/>
  <c r="BE137" i="16"/>
  <c r="BA137" i="16"/>
  <c r="AY137" i="16"/>
  <c r="AW137" i="16"/>
  <c r="AR137" i="16"/>
  <c r="Z137" i="16"/>
  <c r="R137" i="16"/>
  <c r="AP137" i="16" s="1"/>
  <c r="O137" i="16"/>
  <c r="Q137" i="16" s="1"/>
  <c r="BE136" i="16"/>
  <c r="BA136" i="16"/>
  <c r="AY136" i="16"/>
  <c r="AW136" i="16"/>
  <c r="AR136" i="16"/>
  <c r="Z136" i="16"/>
  <c r="R136" i="16"/>
  <c r="AP136" i="16" s="1"/>
  <c r="O136" i="16"/>
  <c r="Q136" i="16" s="1"/>
  <c r="BE135" i="16"/>
  <c r="BA135" i="16"/>
  <c r="AY135" i="16"/>
  <c r="AW135" i="16"/>
  <c r="AR135" i="16"/>
  <c r="Z135" i="16"/>
  <c r="R135" i="16"/>
  <c r="AP135" i="16" s="1"/>
  <c r="O135" i="16"/>
  <c r="Q135" i="16" s="1"/>
  <c r="BE134" i="16"/>
  <c r="BA134" i="16"/>
  <c r="AY134" i="16"/>
  <c r="BB134" i="16" s="1"/>
  <c r="AW134" i="16"/>
  <c r="AR134" i="16"/>
  <c r="Z134" i="16"/>
  <c r="R134" i="16"/>
  <c r="AP134" i="16" s="1"/>
  <c r="O134" i="16"/>
  <c r="Q134" i="16" s="1"/>
  <c r="BE133" i="16"/>
  <c r="BA133" i="16"/>
  <c r="AY133" i="16"/>
  <c r="AW133" i="16"/>
  <c r="AR133" i="16"/>
  <c r="Z133" i="16"/>
  <c r="R133" i="16"/>
  <c r="AP133" i="16" s="1"/>
  <c r="O133" i="16"/>
  <c r="Q133" i="16" s="1"/>
  <c r="BE132" i="16"/>
  <c r="BA132" i="16"/>
  <c r="AY132" i="16"/>
  <c r="AX132" i="16"/>
  <c r="Z132" i="16"/>
  <c r="R132" i="16"/>
  <c r="AP132" i="16" s="1"/>
  <c r="O132" i="16"/>
  <c r="Q132" i="16" s="1"/>
  <c r="BE131" i="16"/>
  <c r="BA131" i="16"/>
  <c r="AY131" i="16"/>
  <c r="AX131" i="16"/>
  <c r="AW131" i="16"/>
  <c r="AR131" i="16"/>
  <c r="Z131" i="16"/>
  <c r="R131" i="16"/>
  <c r="AP131" i="16" s="1"/>
  <c r="O131" i="16"/>
  <c r="Q131" i="16" s="1"/>
  <c r="BE130" i="16"/>
  <c r="BD130" i="16"/>
  <c r="BA130" i="16"/>
  <c r="AX130" i="16"/>
  <c r="BB130" i="16" s="1"/>
  <c r="AW130" i="16"/>
  <c r="AR130" i="16"/>
  <c r="Z130" i="16"/>
  <c r="R130" i="16"/>
  <c r="AP130" i="16" s="1"/>
  <c r="O130" i="16"/>
  <c r="Q130" i="16" s="1"/>
  <c r="BE129" i="16"/>
  <c r="BA129" i="16"/>
  <c r="AY129" i="16"/>
  <c r="AX129" i="16"/>
  <c r="AW129" i="16"/>
  <c r="AR129" i="16"/>
  <c r="Z129" i="16"/>
  <c r="R129" i="16"/>
  <c r="AP129" i="16" s="1"/>
  <c r="O129" i="16"/>
  <c r="Q129" i="16" s="1"/>
  <c r="BE128" i="16"/>
  <c r="BA128" i="16"/>
  <c r="AY128" i="16"/>
  <c r="AW128" i="16"/>
  <c r="AR128" i="16"/>
  <c r="Z128" i="16"/>
  <c r="R128" i="16"/>
  <c r="AP128" i="16" s="1"/>
  <c r="O128" i="16"/>
  <c r="Q128" i="16" s="1"/>
  <c r="BE127" i="16"/>
  <c r="BA127" i="16"/>
  <c r="AY127" i="16"/>
  <c r="Z127" i="16"/>
  <c r="R127" i="16"/>
  <c r="AP127" i="16" s="1"/>
  <c r="O127" i="16"/>
  <c r="Q127" i="16" s="1"/>
  <c r="BE126" i="16"/>
  <c r="BA126" i="16"/>
  <c r="AY126" i="16"/>
  <c r="Z126" i="16"/>
  <c r="R126" i="16"/>
  <c r="AP126" i="16" s="1"/>
  <c r="O126" i="16"/>
  <c r="Q126" i="16" s="1"/>
  <c r="BE125" i="16"/>
  <c r="BA125" i="16"/>
  <c r="AY125" i="16"/>
  <c r="AR125" i="16"/>
  <c r="Z125" i="16"/>
  <c r="R125" i="16"/>
  <c r="AP125" i="16" s="1"/>
  <c r="O125" i="16"/>
  <c r="Q125" i="16" s="1"/>
  <c r="BE124" i="16"/>
  <c r="BD124" i="16"/>
  <c r="BA124" i="16"/>
  <c r="AX124" i="16"/>
  <c r="AW124" i="16"/>
  <c r="AR124" i="16"/>
  <c r="Z124" i="16"/>
  <c r="R124" i="16"/>
  <c r="AP124" i="16" s="1"/>
  <c r="O124" i="16"/>
  <c r="Q124" i="16" s="1"/>
  <c r="BE123" i="16"/>
  <c r="BA123" i="16"/>
  <c r="AY123" i="16"/>
  <c r="AR123" i="16"/>
  <c r="Z123" i="16"/>
  <c r="R123" i="16"/>
  <c r="AP123" i="16" s="1"/>
  <c r="O123" i="16"/>
  <c r="Q123" i="16" s="1"/>
  <c r="BE122" i="16"/>
  <c r="BA122" i="16"/>
  <c r="AY122" i="16"/>
  <c r="AW122" i="16"/>
  <c r="AR122" i="16"/>
  <c r="Z122" i="16"/>
  <c r="R122" i="16"/>
  <c r="AP122" i="16" s="1"/>
  <c r="O122" i="16"/>
  <c r="Q122" i="16" s="1"/>
  <c r="BE121" i="16"/>
  <c r="BA121" i="16"/>
  <c r="AY121" i="16"/>
  <c r="BB121" i="16" s="1"/>
  <c r="AW121" i="16"/>
  <c r="AR121" i="16"/>
  <c r="Z121" i="16"/>
  <c r="R121" i="16"/>
  <c r="AP121" i="16" s="1"/>
  <c r="O121" i="16"/>
  <c r="Q121" i="16" s="1"/>
  <c r="BE120" i="16"/>
  <c r="BA120" i="16"/>
  <c r="AY120" i="16"/>
  <c r="AX120" i="16"/>
  <c r="BB120" i="16" s="1"/>
  <c r="Z120" i="16"/>
  <c r="R120" i="16"/>
  <c r="AP120" i="16" s="1"/>
  <c r="O120" i="16"/>
  <c r="Q120" i="16" s="1"/>
  <c r="BE119" i="16"/>
  <c r="BA119" i="16"/>
  <c r="AY119" i="16"/>
  <c r="AX119" i="16"/>
  <c r="AW119" i="16"/>
  <c r="AR119" i="16"/>
  <c r="Z119" i="16"/>
  <c r="R119" i="16"/>
  <c r="AP119" i="16" s="1"/>
  <c r="O119" i="16"/>
  <c r="Q119" i="16" s="1"/>
  <c r="BE118" i="16"/>
  <c r="BA118" i="16"/>
  <c r="AY118" i="16"/>
  <c r="AX118" i="16"/>
  <c r="AW118" i="16"/>
  <c r="AR118" i="16"/>
  <c r="Z118" i="16"/>
  <c r="R118" i="16"/>
  <c r="AP118" i="16" s="1"/>
  <c r="O118" i="16"/>
  <c r="Q118" i="16" s="1"/>
  <c r="BE117" i="16"/>
  <c r="BA117" i="16"/>
  <c r="AY117" i="16"/>
  <c r="AX117" i="16"/>
  <c r="AW117" i="16"/>
  <c r="AR117" i="16"/>
  <c r="Z117" i="16"/>
  <c r="R117" i="16"/>
  <c r="AP117" i="16" s="1"/>
  <c r="O117" i="16"/>
  <c r="Q117" i="16" s="1"/>
  <c r="BE116" i="16"/>
  <c r="BA116" i="16"/>
  <c r="AY116" i="16"/>
  <c r="AX116" i="16"/>
  <c r="AW116" i="16"/>
  <c r="AR116" i="16"/>
  <c r="Z116" i="16"/>
  <c r="R116" i="16"/>
  <c r="AP116" i="16" s="1"/>
  <c r="O116" i="16"/>
  <c r="Q116" i="16" s="1"/>
  <c r="BE115" i="16"/>
  <c r="BA115" i="16"/>
  <c r="AY115" i="16"/>
  <c r="Z115" i="16"/>
  <c r="R115" i="16"/>
  <c r="AP115" i="16" s="1"/>
  <c r="O115" i="16"/>
  <c r="Q115" i="16" s="1"/>
  <c r="BE114" i="16"/>
  <c r="BA114" i="16"/>
  <c r="AY114" i="16"/>
  <c r="Z114" i="16"/>
  <c r="R114" i="16"/>
  <c r="AP114" i="16" s="1"/>
  <c r="O114" i="16"/>
  <c r="Q114" i="16" s="1"/>
  <c r="BE113" i="16"/>
  <c r="BA113" i="16"/>
  <c r="AY113" i="16"/>
  <c r="AW113" i="16"/>
  <c r="AR113" i="16"/>
  <c r="Z113" i="16"/>
  <c r="R113" i="16"/>
  <c r="AP113" i="16" s="1"/>
  <c r="O113" i="16"/>
  <c r="Q113" i="16" s="1"/>
  <c r="BE112" i="16"/>
  <c r="BA112" i="16"/>
  <c r="AY112" i="16"/>
  <c r="BB112" i="16" s="1"/>
  <c r="Z112" i="16"/>
  <c r="R112" i="16"/>
  <c r="AP112" i="16" s="1"/>
  <c r="O112" i="16"/>
  <c r="Q112" i="16" s="1"/>
  <c r="BE111" i="16"/>
  <c r="BA111" i="16"/>
  <c r="AY111" i="16"/>
  <c r="AX111" i="16"/>
  <c r="Z111" i="16"/>
  <c r="R111" i="16"/>
  <c r="AP111" i="16" s="1"/>
  <c r="O111" i="16"/>
  <c r="Q111" i="16" s="1"/>
  <c r="BE110" i="16"/>
  <c r="BA110" i="16"/>
  <c r="AY110" i="16"/>
  <c r="AX110" i="16"/>
  <c r="Z110" i="16"/>
  <c r="R110" i="16"/>
  <c r="AP110" i="16" s="1"/>
  <c r="O110" i="16"/>
  <c r="Q110" i="16" s="1"/>
  <c r="BE109" i="16"/>
  <c r="BA109" i="16"/>
  <c r="AY109" i="16"/>
  <c r="AX109" i="16"/>
  <c r="Z109" i="16"/>
  <c r="R109" i="16"/>
  <c r="AP109" i="16" s="1"/>
  <c r="O109" i="16"/>
  <c r="Q109" i="16" s="1"/>
  <c r="BE108" i="16"/>
  <c r="BD108" i="16"/>
  <c r="BA108" i="16"/>
  <c r="AX108" i="16"/>
  <c r="AW108" i="16"/>
  <c r="AR108" i="16"/>
  <c r="Z108" i="16"/>
  <c r="R108" i="16"/>
  <c r="AP108" i="16" s="1"/>
  <c r="O108" i="16"/>
  <c r="Q108" i="16" s="1"/>
  <c r="BE107" i="16"/>
  <c r="BA107" i="16"/>
  <c r="AY107" i="16"/>
  <c r="AX107" i="16"/>
  <c r="Z107" i="16"/>
  <c r="R107" i="16"/>
  <c r="AP107" i="16" s="1"/>
  <c r="O107" i="16"/>
  <c r="Q107" i="16" s="1"/>
  <c r="BE106" i="16"/>
  <c r="BA106" i="16"/>
  <c r="AY106" i="16"/>
  <c r="AX106" i="16"/>
  <c r="Z106" i="16"/>
  <c r="R106" i="16"/>
  <c r="AP106" i="16" s="1"/>
  <c r="O106" i="16"/>
  <c r="Q106" i="16" s="1"/>
  <c r="BE105" i="16"/>
  <c r="BA105" i="16"/>
  <c r="AY105" i="16"/>
  <c r="BB105" i="16" s="1"/>
  <c r="AW105" i="16"/>
  <c r="AR105" i="16"/>
  <c r="Z105" i="16"/>
  <c r="R105" i="16"/>
  <c r="AP105" i="16" s="1"/>
  <c r="O105" i="16"/>
  <c r="Q105" i="16" s="1"/>
  <c r="BE104" i="16"/>
  <c r="BA104" i="16"/>
  <c r="AY104" i="16"/>
  <c r="AW104" i="16"/>
  <c r="AR104" i="16"/>
  <c r="Z104" i="16"/>
  <c r="R104" i="16"/>
  <c r="AP104" i="16" s="1"/>
  <c r="O104" i="16"/>
  <c r="Q104" i="16" s="1"/>
  <c r="BE103" i="16"/>
  <c r="BA103" i="16"/>
  <c r="AY103" i="16"/>
  <c r="AW103" i="16"/>
  <c r="AR103" i="16"/>
  <c r="Z103" i="16"/>
  <c r="R103" i="16"/>
  <c r="AP103" i="16" s="1"/>
  <c r="O103" i="16"/>
  <c r="Q103" i="16" s="1"/>
  <c r="BE102" i="16"/>
  <c r="BD102" i="16"/>
  <c r="BA102" i="16"/>
  <c r="AX102" i="16"/>
  <c r="BB102" i="16" s="1"/>
  <c r="AW102" i="16"/>
  <c r="AR102" i="16"/>
  <c r="Z102" i="16"/>
  <c r="R102" i="16"/>
  <c r="AP102" i="16" s="1"/>
  <c r="O102" i="16"/>
  <c r="Q102" i="16" s="1"/>
  <c r="BE101" i="16"/>
  <c r="BA101" i="16"/>
  <c r="AY101" i="16"/>
  <c r="AW101" i="16"/>
  <c r="AR101" i="16"/>
  <c r="Z101" i="16"/>
  <c r="R101" i="16"/>
  <c r="AP101" i="16" s="1"/>
  <c r="O101" i="16"/>
  <c r="Q101" i="16" s="1"/>
  <c r="BE100" i="16"/>
  <c r="BD100" i="16"/>
  <c r="BA100" i="16"/>
  <c r="AX100" i="16"/>
  <c r="BB100" i="16" s="1"/>
  <c r="AW100" i="16"/>
  <c r="AR100" i="16"/>
  <c r="Z100" i="16"/>
  <c r="R100" i="16"/>
  <c r="AP100" i="16" s="1"/>
  <c r="O100" i="16"/>
  <c r="Q100" i="16" s="1"/>
  <c r="BE99" i="16"/>
  <c r="BA99" i="16"/>
  <c r="AY99" i="16"/>
  <c r="AW99" i="16"/>
  <c r="AR99" i="16"/>
  <c r="Z99" i="16"/>
  <c r="R99" i="16"/>
  <c r="AP99" i="16" s="1"/>
  <c r="O99" i="16"/>
  <c r="Q99" i="16" s="1"/>
  <c r="BE98" i="16"/>
  <c r="BA98" i="16"/>
  <c r="AY98" i="16"/>
  <c r="AW98" i="16"/>
  <c r="AR98" i="16"/>
  <c r="Z98" i="16"/>
  <c r="R98" i="16"/>
  <c r="AP98" i="16" s="1"/>
  <c r="O98" i="16"/>
  <c r="Q98" i="16" s="1"/>
  <c r="BE97" i="16"/>
  <c r="BA97" i="16"/>
  <c r="AY97" i="16"/>
  <c r="BB97" i="16" s="1"/>
  <c r="AW97" i="16"/>
  <c r="AR97" i="16"/>
  <c r="Z97" i="16"/>
  <c r="R97" i="16"/>
  <c r="AP97" i="16" s="1"/>
  <c r="O97" i="16"/>
  <c r="Q97" i="16" s="1"/>
  <c r="BE96" i="16"/>
  <c r="BD96" i="16"/>
  <c r="BA96" i="16"/>
  <c r="AX96" i="16"/>
  <c r="AW96" i="16"/>
  <c r="AR96" i="16"/>
  <c r="Z96" i="16"/>
  <c r="R96" i="16"/>
  <c r="AP96" i="16" s="1"/>
  <c r="O96" i="16"/>
  <c r="Q96" i="16" s="1"/>
  <c r="BE95" i="16"/>
  <c r="BA95" i="16"/>
  <c r="AY95" i="16"/>
  <c r="AW95" i="16"/>
  <c r="AR95" i="16"/>
  <c r="Z95" i="16"/>
  <c r="R95" i="16"/>
  <c r="AP95" i="16" s="1"/>
  <c r="O95" i="16"/>
  <c r="Q95" i="16" s="1"/>
  <c r="BE94" i="16"/>
  <c r="BA94" i="16"/>
  <c r="AY94" i="16"/>
  <c r="AW94" i="16"/>
  <c r="AR94" i="16"/>
  <c r="Z94" i="16"/>
  <c r="R94" i="16"/>
  <c r="AP94" i="16" s="1"/>
  <c r="O94" i="16"/>
  <c r="Q94" i="16" s="1"/>
  <c r="BE93" i="16"/>
  <c r="BA93" i="16"/>
  <c r="AY93" i="16"/>
  <c r="BB93" i="16" s="1"/>
  <c r="AW93" i="16"/>
  <c r="AR93" i="16"/>
  <c r="Z93" i="16"/>
  <c r="R93" i="16"/>
  <c r="AP93" i="16" s="1"/>
  <c r="O93" i="16"/>
  <c r="Q93" i="16" s="1"/>
  <c r="BE92" i="16"/>
  <c r="BA92" i="16"/>
  <c r="AY92" i="16"/>
  <c r="Z92" i="16"/>
  <c r="R92" i="16"/>
  <c r="AP92" i="16" s="1"/>
  <c r="O92" i="16"/>
  <c r="Q92" i="16" s="1"/>
  <c r="BE91" i="16"/>
  <c r="BD91" i="16"/>
  <c r="BA91" i="16"/>
  <c r="AX91" i="16"/>
  <c r="AW91" i="16"/>
  <c r="AR91" i="16"/>
  <c r="Z91" i="16"/>
  <c r="R91" i="16"/>
  <c r="AP91" i="16" s="1"/>
  <c r="O91" i="16"/>
  <c r="Q91" i="16" s="1"/>
  <c r="BE90" i="16"/>
  <c r="BA90" i="16"/>
  <c r="AY90" i="16"/>
  <c r="AX90" i="16"/>
  <c r="Z90" i="16"/>
  <c r="R90" i="16"/>
  <c r="AP90" i="16" s="1"/>
  <c r="O90" i="16"/>
  <c r="Q90" i="16" s="1"/>
  <c r="BE89" i="16"/>
  <c r="BA89" i="16"/>
  <c r="AY89" i="16"/>
  <c r="AX89" i="16"/>
  <c r="Z89" i="16"/>
  <c r="R89" i="16"/>
  <c r="AP89" i="16" s="1"/>
  <c r="O89" i="16"/>
  <c r="Q89" i="16" s="1"/>
  <c r="BE88" i="16"/>
  <c r="BA88" i="16"/>
  <c r="AY88" i="16"/>
  <c r="AX88" i="16"/>
  <c r="Z88" i="16"/>
  <c r="R88" i="16"/>
  <c r="AP88" i="16" s="1"/>
  <c r="O88" i="16"/>
  <c r="Q88" i="16" s="1"/>
  <c r="BE87" i="16"/>
  <c r="BA87" i="16"/>
  <c r="AY87" i="16"/>
  <c r="AX87" i="16"/>
  <c r="Z87" i="16"/>
  <c r="R87" i="16"/>
  <c r="AP87" i="16" s="1"/>
  <c r="O87" i="16"/>
  <c r="Q87" i="16" s="1"/>
  <c r="BE86" i="16"/>
  <c r="BA86" i="16"/>
  <c r="AY86" i="16"/>
  <c r="AX86" i="16"/>
  <c r="Z86" i="16"/>
  <c r="R86" i="16"/>
  <c r="AP86" i="16" s="1"/>
  <c r="O86" i="16"/>
  <c r="Q86" i="16" s="1"/>
  <c r="BE85" i="16"/>
  <c r="BD85" i="16"/>
  <c r="BA85" i="16"/>
  <c r="AX85" i="16"/>
  <c r="BB85" i="16" s="1"/>
  <c r="AW85" i="16"/>
  <c r="AR85" i="16"/>
  <c r="Z85" i="16"/>
  <c r="R85" i="16"/>
  <c r="AP85" i="16" s="1"/>
  <c r="O85" i="16"/>
  <c r="Q85" i="16" s="1"/>
  <c r="BE84" i="16"/>
  <c r="BD84" i="16"/>
  <c r="BA84" i="16"/>
  <c r="AX84" i="16"/>
  <c r="AW84" i="16"/>
  <c r="AR84" i="16"/>
  <c r="Z84" i="16"/>
  <c r="R84" i="16"/>
  <c r="AP84" i="16" s="1"/>
  <c r="O84" i="16"/>
  <c r="Q84" i="16" s="1"/>
  <c r="BE83" i="16"/>
  <c r="BA83" i="16"/>
  <c r="AY83" i="16"/>
  <c r="AX83" i="16"/>
  <c r="Z83" i="16"/>
  <c r="R83" i="16"/>
  <c r="AP83" i="16" s="1"/>
  <c r="O83" i="16"/>
  <c r="Q83" i="16" s="1"/>
  <c r="BE82" i="16"/>
  <c r="BD82" i="16"/>
  <c r="BA82" i="16"/>
  <c r="AX82" i="16"/>
  <c r="AW82" i="16"/>
  <c r="AR82" i="16"/>
  <c r="Z82" i="16"/>
  <c r="R82" i="16"/>
  <c r="AP82" i="16" s="1"/>
  <c r="O82" i="16"/>
  <c r="Q82" i="16" s="1"/>
  <c r="BE81" i="16"/>
  <c r="BA81" i="16"/>
  <c r="AY81" i="16"/>
  <c r="AW81" i="16"/>
  <c r="AR81" i="16"/>
  <c r="Z81" i="16"/>
  <c r="R81" i="16"/>
  <c r="AP81" i="16" s="1"/>
  <c r="O81" i="16"/>
  <c r="Q81" i="16" s="1"/>
  <c r="BE80" i="16"/>
  <c r="BA80" i="16"/>
  <c r="AY80" i="16"/>
  <c r="AX80" i="16"/>
  <c r="AW80" i="16"/>
  <c r="AR80" i="16"/>
  <c r="Z80" i="16"/>
  <c r="R80" i="16"/>
  <c r="AP80" i="16" s="1"/>
  <c r="O80" i="16"/>
  <c r="Q80" i="16" s="1"/>
  <c r="BE79" i="16"/>
  <c r="BD79" i="16"/>
  <c r="BA79" i="16"/>
  <c r="AX79" i="16"/>
  <c r="AW79" i="16"/>
  <c r="AR79" i="16"/>
  <c r="Z79" i="16"/>
  <c r="R79" i="16"/>
  <c r="AP79" i="16" s="1"/>
  <c r="O79" i="16"/>
  <c r="Q79" i="16" s="1"/>
  <c r="BE78" i="16"/>
  <c r="BA78" i="16"/>
  <c r="AY78" i="16"/>
  <c r="AX78" i="16"/>
  <c r="AW78" i="16"/>
  <c r="AR78" i="16"/>
  <c r="Z78" i="16"/>
  <c r="R78" i="16"/>
  <c r="AP78" i="16" s="1"/>
  <c r="O78" i="16"/>
  <c r="Q78" i="16" s="1"/>
  <c r="BE77" i="16"/>
  <c r="BA77" i="16"/>
  <c r="AY77" i="16"/>
  <c r="AX77" i="16"/>
  <c r="AW77" i="16"/>
  <c r="AR77" i="16"/>
  <c r="Z77" i="16"/>
  <c r="R77" i="16"/>
  <c r="AP77" i="16" s="1"/>
  <c r="O77" i="16"/>
  <c r="Q77" i="16" s="1"/>
  <c r="BE76" i="16"/>
  <c r="BA76" i="16"/>
  <c r="AY76" i="16"/>
  <c r="AX76" i="16"/>
  <c r="AW76" i="16"/>
  <c r="AR76" i="16"/>
  <c r="Z76" i="16"/>
  <c r="R76" i="16"/>
  <c r="AP76" i="16" s="1"/>
  <c r="O76" i="16"/>
  <c r="Q76" i="16" s="1"/>
  <c r="BE75" i="16"/>
  <c r="BA75" i="16"/>
  <c r="AY75" i="16"/>
  <c r="AX75" i="16"/>
  <c r="AW75" i="16"/>
  <c r="AR75" i="16"/>
  <c r="Z75" i="16"/>
  <c r="R75" i="16"/>
  <c r="AP75" i="16" s="1"/>
  <c r="O75" i="16"/>
  <c r="Q75" i="16" s="1"/>
  <c r="BE74" i="16"/>
  <c r="BA74" i="16"/>
  <c r="AY74" i="16"/>
  <c r="AX74" i="16"/>
  <c r="Z74" i="16"/>
  <c r="R74" i="16"/>
  <c r="AP74" i="16" s="1"/>
  <c r="O74" i="16"/>
  <c r="Q74" i="16" s="1"/>
  <c r="BE73" i="16"/>
  <c r="BA73" i="16"/>
  <c r="AY73" i="16"/>
  <c r="AX73" i="16"/>
  <c r="AW73" i="16"/>
  <c r="AR73" i="16"/>
  <c r="Z73" i="16"/>
  <c r="R73" i="16"/>
  <c r="AP73" i="16" s="1"/>
  <c r="O73" i="16"/>
  <c r="Q73" i="16" s="1"/>
  <c r="BE72" i="16"/>
  <c r="BA72" i="16"/>
  <c r="AY72" i="16"/>
  <c r="AX72" i="16"/>
  <c r="AW72" i="16"/>
  <c r="AR72" i="16"/>
  <c r="Z72" i="16"/>
  <c r="R72" i="16"/>
  <c r="AP72" i="16" s="1"/>
  <c r="O72" i="16"/>
  <c r="Q72" i="16" s="1"/>
  <c r="BE71" i="16"/>
  <c r="BA71" i="16"/>
  <c r="AY71" i="16"/>
  <c r="AX71" i="16"/>
  <c r="AW71" i="16"/>
  <c r="AR71" i="16"/>
  <c r="Z71" i="16"/>
  <c r="R71" i="16"/>
  <c r="AP71" i="16" s="1"/>
  <c r="O71" i="16"/>
  <c r="Q71" i="16" s="1"/>
  <c r="BE70" i="16"/>
  <c r="BA70" i="16"/>
  <c r="AY70" i="16"/>
  <c r="AX70" i="16"/>
  <c r="Z70" i="16"/>
  <c r="R70" i="16"/>
  <c r="AP70" i="16" s="1"/>
  <c r="O70" i="16"/>
  <c r="Q70" i="16" s="1"/>
  <c r="BE69" i="16"/>
  <c r="BD69" i="16"/>
  <c r="BA69" i="16"/>
  <c r="AX69" i="16"/>
  <c r="AW69" i="16"/>
  <c r="AR69" i="16"/>
  <c r="Z69" i="16"/>
  <c r="R69" i="16"/>
  <c r="AP69" i="16" s="1"/>
  <c r="O69" i="16"/>
  <c r="Q69" i="16" s="1"/>
  <c r="BE68" i="16"/>
  <c r="BD68" i="16"/>
  <c r="BA68" i="16"/>
  <c r="AX68" i="16"/>
  <c r="AW68" i="16"/>
  <c r="AR68" i="16"/>
  <c r="Z68" i="16"/>
  <c r="R68" i="16"/>
  <c r="AP68" i="16" s="1"/>
  <c r="O68" i="16"/>
  <c r="Q68" i="16" s="1"/>
  <c r="BE67" i="16"/>
  <c r="BA67" i="16"/>
  <c r="AY67" i="16"/>
  <c r="AX67" i="16"/>
  <c r="AR67" i="16"/>
  <c r="Z67" i="16"/>
  <c r="R67" i="16"/>
  <c r="AP67" i="16" s="1"/>
  <c r="O67" i="16"/>
  <c r="Q67" i="16" s="1"/>
  <c r="BE66" i="16"/>
  <c r="BA66" i="16"/>
  <c r="AY66" i="16"/>
  <c r="AX66" i="16"/>
  <c r="BB66" i="16" s="1"/>
  <c r="Z66" i="16"/>
  <c r="R66" i="16"/>
  <c r="AP66" i="16" s="1"/>
  <c r="O66" i="16"/>
  <c r="Q66" i="16" s="1"/>
  <c r="BE65" i="16"/>
  <c r="BA65" i="16"/>
  <c r="AY65" i="16"/>
  <c r="AX65" i="16"/>
  <c r="AW65" i="16"/>
  <c r="AR65" i="16"/>
  <c r="Z65" i="16"/>
  <c r="R65" i="16"/>
  <c r="AP65" i="16" s="1"/>
  <c r="O65" i="16"/>
  <c r="Q65" i="16" s="1"/>
  <c r="BE64" i="16"/>
  <c r="BA64" i="16"/>
  <c r="AY64" i="16"/>
  <c r="AX64" i="16"/>
  <c r="AW64" i="16"/>
  <c r="AR64" i="16"/>
  <c r="Z64" i="16"/>
  <c r="R64" i="16"/>
  <c r="AP64" i="16" s="1"/>
  <c r="O64" i="16"/>
  <c r="Q64" i="16" s="1"/>
  <c r="BE63" i="16"/>
  <c r="BA63" i="16"/>
  <c r="AY63" i="16"/>
  <c r="AX63" i="16"/>
  <c r="AW63" i="16"/>
  <c r="AR63" i="16"/>
  <c r="Z63" i="16"/>
  <c r="R63" i="16"/>
  <c r="AP63" i="16" s="1"/>
  <c r="O63" i="16"/>
  <c r="Q63" i="16" s="1"/>
  <c r="BE62" i="16"/>
  <c r="BA62" i="16"/>
  <c r="AY62" i="16"/>
  <c r="AX62" i="16"/>
  <c r="AW62" i="16"/>
  <c r="AR62" i="16"/>
  <c r="Z62" i="16"/>
  <c r="R62" i="16"/>
  <c r="AP62" i="16" s="1"/>
  <c r="O62" i="16"/>
  <c r="Q62" i="16" s="1"/>
  <c r="BE61" i="16"/>
  <c r="BA61" i="16"/>
  <c r="AY61" i="16"/>
  <c r="AX61" i="16"/>
  <c r="BB61" i="16" s="1"/>
  <c r="AW61" i="16"/>
  <c r="AR61" i="16"/>
  <c r="Z61" i="16"/>
  <c r="R61" i="16"/>
  <c r="AP61" i="16" s="1"/>
  <c r="O61" i="16"/>
  <c r="Q61" i="16" s="1"/>
  <c r="BE60" i="16"/>
  <c r="BA60" i="16"/>
  <c r="AY60" i="16"/>
  <c r="AX60" i="16"/>
  <c r="AW60" i="16"/>
  <c r="AR60" i="16"/>
  <c r="Z60" i="16"/>
  <c r="R60" i="16"/>
  <c r="AP60" i="16" s="1"/>
  <c r="O60" i="16"/>
  <c r="Q60" i="16" s="1"/>
  <c r="BE59" i="16"/>
  <c r="BD59" i="16"/>
  <c r="BA59" i="16"/>
  <c r="AX59" i="16"/>
  <c r="AW59" i="16"/>
  <c r="AR59" i="16"/>
  <c r="Z59" i="16"/>
  <c r="R59" i="16"/>
  <c r="AP59" i="16" s="1"/>
  <c r="O59" i="16"/>
  <c r="Q59" i="16" s="1"/>
  <c r="BE58" i="16"/>
  <c r="BD58" i="16"/>
  <c r="BA58" i="16"/>
  <c r="AX58" i="16"/>
  <c r="AW58" i="16"/>
  <c r="AR58" i="16"/>
  <c r="Z58" i="16"/>
  <c r="R58" i="16"/>
  <c r="AP58" i="16" s="1"/>
  <c r="O58" i="16"/>
  <c r="Q58" i="16" s="1"/>
  <c r="BE57" i="16"/>
  <c r="BA57" i="16"/>
  <c r="AY57" i="16"/>
  <c r="AX57" i="16"/>
  <c r="AW57" i="16"/>
  <c r="AR57" i="16"/>
  <c r="Z57" i="16"/>
  <c r="R57" i="16"/>
  <c r="AP57" i="16" s="1"/>
  <c r="O57" i="16"/>
  <c r="Q57" i="16" s="1"/>
  <c r="BE56" i="16"/>
  <c r="BA56" i="16"/>
  <c r="AY56" i="16"/>
  <c r="AX56" i="16"/>
  <c r="BB56" i="16" s="1"/>
  <c r="AW56" i="16"/>
  <c r="AR56" i="16"/>
  <c r="Z56" i="16"/>
  <c r="R56" i="16"/>
  <c r="AP56" i="16" s="1"/>
  <c r="O56" i="16"/>
  <c r="Q56" i="16" s="1"/>
  <c r="BE55" i="16"/>
  <c r="BD55" i="16"/>
  <c r="BA55" i="16"/>
  <c r="AX55" i="16"/>
  <c r="AW55" i="16"/>
  <c r="AR55" i="16"/>
  <c r="Z55" i="16"/>
  <c r="R55" i="16"/>
  <c r="AP55" i="16" s="1"/>
  <c r="O55" i="16"/>
  <c r="Q55" i="16" s="1"/>
  <c r="BE54" i="16"/>
  <c r="BD54" i="16"/>
  <c r="BA54" i="16"/>
  <c r="AX54" i="16"/>
  <c r="AW54" i="16"/>
  <c r="AR54" i="16"/>
  <c r="Z54" i="16"/>
  <c r="R54" i="16"/>
  <c r="AP54" i="16" s="1"/>
  <c r="O54" i="16"/>
  <c r="Q54" i="16" s="1"/>
  <c r="BE53" i="16"/>
  <c r="BA53" i="16"/>
  <c r="AY53" i="16"/>
  <c r="AX53" i="16"/>
  <c r="AW53" i="16"/>
  <c r="AR53" i="16"/>
  <c r="Z53" i="16"/>
  <c r="R53" i="16"/>
  <c r="AP53" i="16" s="1"/>
  <c r="O53" i="16"/>
  <c r="Q53" i="16" s="1"/>
  <c r="BE52" i="16"/>
  <c r="BA52" i="16"/>
  <c r="AY52" i="16"/>
  <c r="AX52" i="16"/>
  <c r="AW52" i="16"/>
  <c r="AR52" i="16"/>
  <c r="Z52" i="16"/>
  <c r="R52" i="16"/>
  <c r="AP52" i="16" s="1"/>
  <c r="O52" i="16"/>
  <c r="Q52" i="16" s="1"/>
  <c r="BE51" i="16"/>
  <c r="BA51" i="16"/>
  <c r="AY51" i="16"/>
  <c r="AX51" i="16"/>
  <c r="AW51" i="16"/>
  <c r="AR51" i="16"/>
  <c r="Z51" i="16"/>
  <c r="R51" i="16"/>
  <c r="AP51" i="16" s="1"/>
  <c r="O51" i="16"/>
  <c r="Q51" i="16" s="1"/>
  <c r="BE50" i="16"/>
  <c r="BA50" i="16"/>
  <c r="AY50" i="16"/>
  <c r="AX50" i="16"/>
  <c r="AW50" i="16"/>
  <c r="AR50" i="16"/>
  <c r="Z50" i="16"/>
  <c r="R50" i="16"/>
  <c r="AP50" i="16" s="1"/>
  <c r="O50" i="16"/>
  <c r="Q50" i="16" s="1"/>
  <c r="BE49" i="16"/>
  <c r="BD49" i="16"/>
  <c r="BA49" i="16"/>
  <c r="AX49" i="16"/>
  <c r="BB49" i="16" s="1"/>
  <c r="AW49" i="16"/>
  <c r="AR49" i="16"/>
  <c r="Z49" i="16"/>
  <c r="R49" i="16"/>
  <c r="AP49" i="16" s="1"/>
  <c r="O49" i="16"/>
  <c r="Q49" i="16" s="1"/>
  <c r="BE48" i="16"/>
  <c r="BD48" i="16"/>
  <c r="BA48" i="16"/>
  <c r="AX48" i="16"/>
  <c r="AW48" i="16"/>
  <c r="AR48" i="16"/>
  <c r="Z48" i="16"/>
  <c r="R48" i="16"/>
  <c r="AP48" i="16" s="1"/>
  <c r="O48" i="16"/>
  <c r="Q48" i="16" s="1"/>
  <c r="BE47" i="16"/>
  <c r="BD47" i="16"/>
  <c r="BA47" i="16"/>
  <c r="AX47" i="16"/>
  <c r="BB47" i="16" s="1"/>
  <c r="AW47" i="16"/>
  <c r="AR47" i="16"/>
  <c r="Z47" i="16"/>
  <c r="R47" i="16"/>
  <c r="AP47" i="16" s="1"/>
  <c r="O47" i="16"/>
  <c r="Q47" i="16" s="1"/>
  <c r="BE46" i="16"/>
  <c r="BD46" i="16"/>
  <c r="BA46" i="16"/>
  <c r="AX46" i="16"/>
  <c r="BB46" i="16" s="1"/>
  <c r="AW46" i="16"/>
  <c r="AR46" i="16"/>
  <c r="Z46" i="16"/>
  <c r="R46" i="16"/>
  <c r="AP46" i="16" s="1"/>
  <c r="O46" i="16"/>
  <c r="Q46" i="16" s="1"/>
  <c r="BE45" i="16"/>
  <c r="BD45" i="16"/>
  <c r="BA45" i="16"/>
  <c r="AX45" i="16"/>
  <c r="AW45" i="16"/>
  <c r="AR45" i="16"/>
  <c r="Z45" i="16"/>
  <c r="R45" i="16"/>
  <c r="AP45" i="16" s="1"/>
  <c r="O45" i="16"/>
  <c r="Q45" i="16" s="1"/>
  <c r="BE44" i="16"/>
  <c r="BD44" i="16"/>
  <c r="BA44" i="16"/>
  <c r="AX44" i="16"/>
  <c r="BB44" i="16" s="1"/>
  <c r="AW44" i="16"/>
  <c r="AR44" i="16"/>
  <c r="Z44" i="16"/>
  <c r="R44" i="16"/>
  <c r="AP44" i="16" s="1"/>
  <c r="O44" i="16"/>
  <c r="Q44" i="16" s="1"/>
  <c r="BE43" i="16"/>
  <c r="BD43" i="16"/>
  <c r="BA43" i="16"/>
  <c r="AX43" i="16"/>
  <c r="AW43" i="16"/>
  <c r="AR43" i="16"/>
  <c r="Z43" i="16"/>
  <c r="R43" i="16"/>
  <c r="AP43" i="16" s="1"/>
  <c r="O43" i="16"/>
  <c r="Q43" i="16" s="1"/>
  <c r="BE42" i="16"/>
  <c r="BD42" i="16"/>
  <c r="BA42" i="16"/>
  <c r="AX42" i="16"/>
  <c r="AW42" i="16"/>
  <c r="AR42" i="16"/>
  <c r="Z42" i="16"/>
  <c r="R42" i="16"/>
  <c r="AP42" i="16" s="1"/>
  <c r="O42" i="16"/>
  <c r="Q42" i="16" s="1"/>
  <c r="BE41" i="16"/>
  <c r="BD41" i="16"/>
  <c r="BA41" i="16"/>
  <c r="AX41" i="16"/>
  <c r="BB41" i="16" s="1"/>
  <c r="AW41" i="16"/>
  <c r="AR41" i="16"/>
  <c r="Z41" i="16"/>
  <c r="R41" i="16"/>
  <c r="AP41" i="16" s="1"/>
  <c r="O41" i="16"/>
  <c r="Q41" i="16" s="1"/>
  <c r="BE40" i="16"/>
  <c r="BD40" i="16"/>
  <c r="BA40" i="16"/>
  <c r="AX40" i="16"/>
  <c r="AW40" i="16"/>
  <c r="AR40" i="16"/>
  <c r="Z40" i="16"/>
  <c r="R40" i="16"/>
  <c r="AP40" i="16" s="1"/>
  <c r="O40" i="16"/>
  <c r="Q40" i="16" s="1"/>
  <c r="BE39" i="16"/>
  <c r="BD39" i="16"/>
  <c r="BA39" i="16"/>
  <c r="AX39" i="16"/>
  <c r="AW39" i="16"/>
  <c r="AR39" i="16"/>
  <c r="Z39" i="16"/>
  <c r="R39" i="16"/>
  <c r="AP39" i="16" s="1"/>
  <c r="O39" i="16"/>
  <c r="Q39" i="16" s="1"/>
  <c r="BE38" i="16"/>
  <c r="BD38" i="16"/>
  <c r="BA38" i="16"/>
  <c r="AX38" i="16"/>
  <c r="AW38" i="16"/>
  <c r="AR38" i="16"/>
  <c r="Z38" i="16"/>
  <c r="R38" i="16"/>
  <c r="AP38" i="16" s="1"/>
  <c r="O38" i="16"/>
  <c r="Q38" i="16" s="1"/>
  <c r="BE37" i="16"/>
  <c r="BD37" i="16"/>
  <c r="BA37" i="16"/>
  <c r="AX37" i="16"/>
  <c r="AW37" i="16"/>
  <c r="AR37" i="16"/>
  <c r="Z37" i="16"/>
  <c r="R37" i="16"/>
  <c r="AP37" i="16" s="1"/>
  <c r="O37" i="16"/>
  <c r="Q37" i="16" s="1"/>
  <c r="BE36" i="16"/>
  <c r="BA36" i="16"/>
  <c r="AY36" i="16"/>
  <c r="AX36" i="16"/>
  <c r="AW36" i="16"/>
  <c r="AR36" i="16"/>
  <c r="Z36" i="16"/>
  <c r="R36" i="16"/>
  <c r="AP36" i="16" s="1"/>
  <c r="O36" i="16"/>
  <c r="Q36" i="16" s="1"/>
  <c r="BE35" i="16"/>
  <c r="BD35" i="16"/>
  <c r="BA35" i="16"/>
  <c r="AX35" i="16"/>
  <c r="AW35" i="16"/>
  <c r="AR35" i="16"/>
  <c r="Z35" i="16"/>
  <c r="R35" i="16"/>
  <c r="AP35" i="16" s="1"/>
  <c r="O35" i="16"/>
  <c r="Q35" i="16" s="1"/>
  <c r="BE34" i="16"/>
  <c r="BD34" i="16"/>
  <c r="BA34" i="16"/>
  <c r="AX34" i="16"/>
  <c r="AW34" i="16"/>
  <c r="AR34" i="16"/>
  <c r="Z34" i="16"/>
  <c r="R34" i="16"/>
  <c r="AP34" i="16" s="1"/>
  <c r="O34" i="16"/>
  <c r="Q34" i="16" s="1"/>
  <c r="BE33" i="16"/>
  <c r="BD33" i="16"/>
  <c r="BA33" i="16"/>
  <c r="AX33" i="16"/>
  <c r="AW33" i="16"/>
  <c r="AR33" i="16"/>
  <c r="Z33" i="16"/>
  <c r="R33" i="16"/>
  <c r="AP33" i="16" s="1"/>
  <c r="O33" i="16"/>
  <c r="Q33" i="16" s="1"/>
  <c r="BE32" i="16"/>
  <c r="BD32" i="16"/>
  <c r="BA32" i="16"/>
  <c r="AX32" i="16"/>
  <c r="AW32" i="16"/>
  <c r="AR32" i="16"/>
  <c r="Z32" i="16"/>
  <c r="R32" i="16"/>
  <c r="AP32" i="16" s="1"/>
  <c r="O32" i="16"/>
  <c r="Q32" i="16" s="1"/>
  <c r="BE31" i="16"/>
  <c r="BD31" i="16"/>
  <c r="BA31" i="16"/>
  <c r="AX31" i="16"/>
  <c r="AW31" i="16"/>
  <c r="AR31" i="16"/>
  <c r="Z31" i="16"/>
  <c r="R31" i="16"/>
  <c r="AP31" i="16" s="1"/>
  <c r="O31" i="16"/>
  <c r="Q31" i="16" s="1"/>
  <c r="BE30" i="16"/>
  <c r="BD30" i="16"/>
  <c r="BA30" i="16"/>
  <c r="AX30" i="16"/>
  <c r="AW30" i="16"/>
  <c r="AR30" i="16"/>
  <c r="Z30" i="16"/>
  <c r="R30" i="16"/>
  <c r="AP30" i="16" s="1"/>
  <c r="O30" i="16"/>
  <c r="Q30" i="16" s="1"/>
  <c r="BE29" i="16"/>
  <c r="BD29" i="16"/>
  <c r="BA29" i="16"/>
  <c r="AX29" i="16"/>
  <c r="AW29" i="16"/>
  <c r="AR29" i="16"/>
  <c r="Z29" i="16"/>
  <c r="R29" i="16"/>
  <c r="AP29" i="16" s="1"/>
  <c r="O29" i="16"/>
  <c r="Q29" i="16" s="1"/>
  <c r="BE28" i="16"/>
  <c r="BD28" i="16"/>
  <c r="BA28" i="16"/>
  <c r="AX28" i="16"/>
  <c r="AW28" i="16"/>
  <c r="AR28" i="16"/>
  <c r="Z28" i="16"/>
  <c r="R28" i="16"/>
  <c r="AP28" i="16" s="1"/>
  <c r="O28" i="16"/>
  <c r="Q28" i="16" s="1"/>
  <c r="BE27" i="16"/>
  <c r="BD27" i="16"/>
  <c r="BA27" i="16"/>
  <c r="AX27" i="16"/>
  <c r="AW27" i="16"/>
  <c r="AR27" i="16"/>
  <c r="Z27" i="16"/>
  <c r="R27" i="16"/>
  <c r="AP27" i="16" s="1"/>
  <c r="O27" i="16"/>
  <c r="Q27" i="16" s="1"/>
  <c r="BE26" i="16"/>
  <c r="BA26" i="16"/>
  <c r="AY26" i="16"/>
  <c r="AX26" i="16"/>
  <c r="AW26" i="16"/>
  <c r="AR26" i="16"/>
  <c r="Z26" i="16"/>
  <c r="R26" i="16"/>
  <c r="AP26" i="16" s="1"/>
  <c r="O26" i="16"/>
  <c r="Q26" i="16" s="1"/>
  <c r="BE25" i="16"/>
  <c r="BA25" i="16"/>
  <c r="AY25" i="16"/>
  <c r="AX25" i="16"/>
  <c r="AW25" i="16"/>
  <c r="AR25" i="16"/>
  <c r="Z25" i="16"/>
  <c r="R25" i="16"/>
  <c r="AP25" i="16" s="1"/>
  <c r="O25" i="16"/>
  <c r="Q25" i="16" s="1"/>
  <c r="BE24" i="16"/>
  <c r="BA24" i="16"/>
  <c r="AY24" i="16"/>
  <c r="AX24" i="16"/>
  <c r="AW24" i="16"/>
  <c r="AR24" i="16"/>
  <c r="Z24" i="16"/>
  <c r="R24" i="16"/>
  <c r="AP24" i="16" s="1"/>
  <c r="O24" i="16"/>
  <c r="Q24" i="16" s="1"/>
  <c r="BE23" i="16"/>
  <c r="BA23" i="16"/>
  <c r="AY23" i="16"/>
  <c r="AX23" i="16"/>
  <c r="AW23" i="16"/>
  <c r="AR23" i="16"/>
  <c r="Z23" i="16"/>
  <c r="R23" i="16"/>
  <c r="AP23" i="16" s="1"/>
  <c r="O23" i="16"/>
  <c r="Q23" i="16" s="1"/>
  <c r="BE22" i="16"/>
  <c r="BA22" i="16"/>
  <c r="AY22" i="16"/>
  <c r="AX22" i="16"/>
  <c r="AW22" i="16"/>
  <c r="AR22" i="16"/>
  <c r="Z22" i="16"/>
  <c r="R22" i="16"/>
  <c r="AP22" i="16" s="1"/>
  <c r="O22" i="16"/>
  <c r="Q22" i="16" s="1"/>
  <c r="BE21" i="16"/>
  <c r="BA21" i="16"/>
  <c r="AY21" i="16"/>
  <c r="AX21" i="16"/>
  <c r="AW21" i="16"/>
  <c r="AR21" i="16"/>
  <c r="Z21" i="16"/>
  <c r="R21" i="16"/>
  <c r="AP21" i="16" s="1"/>
  <c r="O21" i="16"/>
  <c r="Q21" i="16" s="1"/>
  <c r="BE20" i="16"/>
  <c r="BA20" i="16"/>
  <c r="AY20" i="16"/>
  <c r="AW20" i="16"/>
  <c r="AR20" i="16"/>
  <c r="Z20" i="16"/>
  <c r="R20" i="16"/>
  <c r="AP20" i="16" s="1"/>
  <c r="O20" i="16"/>
  <c r="Q20" i="16" s="1"/>
  <c r="BE19" i="16"/>
  <c r="BA19" i="16"/>
  <c r="AY19" i="16"/>
  <c r="AW19" i="16"/>
  <c r="AR19" i="16"/>
  <c r="Z19" i="16"/>
  <c r="R19" i="16"/>
  <c r="AP19" i="16" s="1"/>
  <c r="O19" i="16"/>
  <c r="Q19" i="16" s="1"/>
  <c r="BE18" i="16"/>
  <c r="BA18" i="16"/>
  <c r="AY18" i="16"/>
  <c r="AW18" i="16"/>
  <c r="AR18" i="16"/>
  <c r="Z18" i="16"/>
  <c r="R18" i="16"/>
  <c r="AP18" i="16" s="1"/>
  <c r="O18" i="16"/>
  <c r="Q18" i="16" s="1"/>
  <c r="BE17" i="16"/>
  <c r="BA17" i="16"/>
  <c r="AY17" i="16"/>
  <c r="AW17" i="16"/>
  <c r="AR17" i="16"/>
  <c r="Z17" i="16"/>
  <c r="R17" i="16"/>
  <c r="AP17" i="16" s="1"/>
  <c r="O17" i="16"/>
  <c r="Q17" i="16" s="1"/>
  <c r="BE16" i="16"/>
  <c r="BA16" i="16"/>
  <c r="AY16" i="16"/>
  <c r="AW16" i="16"/>
  <c r="AR16" i="16"/>
  <c r="Z16" i="16"/>
  <c r="R16" i="16"/>
  <c r="AP16" i="16" s="1"/>
  <c r="O16" i="16"/>
  <c r="Q16" i="16" s="1"/>
  <c r="BE15" i="16"/>
  <c r="BD15" i="16"/>
  <c r="BA15" i="16"/>
  <c r="AX15" i="16"/>
  <c r="AW15" i="16"/>
  <c r="AR15" i="16"/>
  <c r="Z15" i="16"/>
  <c r="R15" i="16"/>
  <c r="AP15" i="16" s="1"/>
  <c r="O15" i="16"/>
  <c r="Q15" i="16" s="1"/>
  <c r="BE14" i="16"/>
  <c r="BA14" i="16"/>
  <c r="AY14" i="16"/>
  <c r="AX14" i="16"/>
  <c r="AW14" i="16"/>
  <c r="AR14" i="16"/>
  <c r="Z14" i="16"/>
  <c r="R14" i="16"/>
  <c r="AP14" i="16" s="1"/>
  <c r="O14" i="16"/>
  <c r="Q14" i="16" s="1"/>
  <c r="BE13" i="16"/>
  <c r="BA13" i="16"/>
  <c r="AY13" i="16"/>
  <c r="AX13" i="16"/>
  <c r="AW13" i="16"/>
  <c r="AR13" i="16"/>
  <c r="Z13" i="16"/>
  <c r="R13" i="16"/>
  <c r="AP13" i="16" s="1"/>
  <c r="O13" i="16"/>
  <c r="Q13" i="16" s="1"/>
  <c r="BE12" i="16"/>
  <c r="BA12" i="16"/>
  <c r="AY12" i="16"/>
  <c r="AW12" i="16"/>
  <c r="AR12" i="16"/>
  <c r="Z12" i="16"/>
  <c r="R12" i="16"/>
  <c r="AP12" i="16" s="1"/>
  <c r="O12" i="16"/>
  <c r="Q12" i="16" s="1"/>
  <c r="BE11" i="16"/>
  <c r="BA11" i="16"/>
  <c r="AY11" i="16"/>
  <c r="AX11" i="16"/>
  <c r="AW11" i="16"/>
  <c r="AR11" i="16"/>
  <c r="Z11" i="16"/>
  <c r="R11" i="16"/>
  <c r="AP11" i="16" s="1"/>
  <c r="O11" i="16"/>
  <c r="Q11" i="16" s="1"/>
  <c r="BE10" i="16"/>
  <c r="BA10" i="16"/>
  <c r="AY10" i="16"/>
  <c r="AX10" i="16"/>
  <c r="Z10" i="16"/>
  <c r="R10" i="16"/>
  <c r="AP10" i="16" s="1"/>
  <c r="O10" i="16"/>
  <c r="Q10" i="16" s="1"/>
  <c r="BE9" i="16"/>
  <c r="BA9" i="16"/>
  <c r="AY9" i="16"/>
  <c r="AX9" i="16"/>
  <c r="Z9" i="16"/>
  <c r="R9" i="16"/>
  <c r="AP9" i="16" s="1"/>
  <c r="O9" i="16"/>
  <c r="Q9" i="16" s="1"/>
  <c r="BE8" i="16"/>
  <c r="BA8" i="16"/>
  <c r="AY8" i="16"/>
  <c r="AX8" i="16"/>
  <c r="AW8" i="16"/>
  <c r="AR8" i="16"/>
  <c r="Z8" i="16"/>
  <c r="R8" i="16"/>
  <c r="AP8" i="16" s="1"/>
  <c r="O8" i="16"/>
  <c r="Q8" i="16" s="1"/>
  <c r="BE7" i="16"/>
  <c r="BA7" i="16"/>
  <c r="AY7" i="16"/>
  <c r="AX7" i="16"/>
  <c r="AW7" i="16"/>
  <c r="AR7" i="16"/>
  <c r="Z7" i="16"/>
  <c r="R7" i="16"/>
  <c r="AP7" i="16" s="1"/>
  <c r="O7" i="16"/>
  <c r="Q7" i="16" s="1"/>
  <c r="BE6" i="16"/>
  <c r="BD6" i="16"/>
  <c r="BA6" i="16"/>
  <c r="AX6" i="16"/>
  <c r="AW6" i="16"/>
  <c r="AR6" i="16"/>
  <c r="Z6" i="16"/>
  <c r="R6" i="16"/>
  <c r="AP6" i="16" s="1"/>
  <c r="O6" i="16"/>
  <c r="Q6" i="16" s="1"/>
  <c r="BE5" i="16"/>
  <c r="BD5" i="16"/>
  <c r="BA5" i="16"/>
  <c r="AX5" i="16"/>
  <c r="AW5" i="16"/>
  <c r="AR5" i="16"/>
  <c r="Z5" i="16"/>
  <c r="R5" i="16"/>
  <c r="AP5" i="16" s="1"/>
  <c r="O5" i="16"/>
  <c r="Q5" i="16" s="1"/>
  <c r="BE4" i="16"/>
  <c r="BD4" i="16"/>
  <c r="BA4" i="16"/>
  <c r="AX4" i="16"/>
  <c r="AW4" i="16"/>
  <c r="AR4" i="16"/>
  <c r="Z4" i="16"/>
  <c r="R4" i="16"/>
  <c r="AP4" i="16" s="1"/>
  <c r="O4" i="16"/>
  <c r="Q4" i="16" s="1"/>
  <c r="BE3" i="16"/>
  <c r="BD3" i="16"/>
  <c r="BA3" i="16"/>
  <c r="AX3" i="16"/>
  <c r="AW3" i="16"/>
  <c r="AR3" i="16"/>
  <c r="Z3" i="16"/>
  <c r="R3" i="16"/>
  <c r="AP3" i="16" s="1"/>
  <c r="O3" i="16"/>
  <c r="Q3" i="16" s="1"/>
  <c r="BE349" i="15"/>
  <c r="BD349" i="15"/>
  <c r="BA349" i="15"/>
  <c r="AX349" i="15"/>
  <c r="AW349" i="15"/>
  <c r="AR349" i="15"/>
  <c r="Z349" i="15"/>
  <c r="R349" i="15"/>
  <c r="AP349" i="15" s="1"/>
  <c r="O349" i="15"/>
  <c r="Q349" i="15" s="1"/>
  <c r="BE348" i="15"/>
  <c r="BD348" i="15"/>
  <c r="BA348" i="15"/>
  <c r="AX348" i="15"/>
  <c r="BB348" i="15" s="1"/>
  <c r="AW348" i="15"/>
  <c r="AR348" i="15"/>
  <c r="Z348" i="15"/>
  <c r="R348" i="15"/>
  <c r="AP348" i="15" s="1"/>
  <c r="O348" i="15"/>
  <c r="Q348" i="15" s="1"/>
  <c r="BE347" i="15"/>
  <c r="BD347" i="15"/>
  <c r="BA347" i="15"/>
  <c r="AX347" i="15"/>
  <c r="AW347" i="15"/>
  <c r="AR347" i="15"/>
  <c r="Z347" i="15"/>
  <c r="R347" i="15"/>
  <c r="AP347" i="15" s="1"/>
  <c r="O347" i="15"/>
  <c r="Q347" i="15" s="1"/>
  <c r="BE346" i="15"/>
  <c r="BD346" i="15"/>
  <c r="BA346" i="15"/>
  <c r="AX346" i="15"/>
  <c r="AW346" i="15"/>
  <c r="AR346" i="15"/>
  <c r="Z346" i="15"/>
  <c r="R346" i="15"/>
  <c r="AP346" i="15" s="1"/>
  <c r="O346" i="15"/>
  <c r="Q346" i="15" s="1"/>
  <c r="BE345" i="15"/>
  <c r="BD345" i="15"/>
  <c r="BA345" i="15"/>
  <c r="AX345" i="15"/>
  <c r="AW345" i="15"/>
  <c r="AR345" i="15"/>
  <c r="Z345" i="15"/>
  <c r="R345" i="15"/>
  <c r="AP345" i="15" s="1"/>
  <c r="O345" i="15"/>
  <c r="Q345" i="15" s="1"/>
  <c r="BE344" i="15"/>
  <c r="BD344" i="15"/>
  <c r="BA344" i="15"/>
  <c r="AX344" i="15"/>
  <c r="AW344" i="15"/>
  <c r="AR344" i="15"/>
  <c r="Z344" i="15"/>
  <c r="R344" i="15"/>
  <c r="AP344" i="15" s="1"/>
  <c r="O344" i="15"/>
  <c r="Q344" i="15" s="1"/>
  <c r="BE343" i="15"/>
  <c r="BD343" i="15"/>
  <c r="BA343" i="15"/>
  <c r="AX343" i="15"/>
  <c r="BB343" i="15" s="1"/>
  <c r="AW343" i="15"/>
  <c r="AR343" i="15"/>
  <c r="Z343" i="15"/>
  <c r="R343" i="15"/>
  <c r="AP343" i="15" s="1"/>
  <c r="O343" i="15"/>
  <c r="Q343" i="15" s="1"/>
  <c r="BE342" i="15"/>
  <c r="BD342" i="15"/>
  <c r="BA342" i="15"/>
  <c r="AX342" i="15"/>
  <c r="AW342" i="15"/>
  <c r="AR342" i="15"/>
  <c r="Z342" i="15"/>
  <c r="R342" i="15"/>
  <c r="AP342" i="15" s="1"/>
  <c r="O342" i="15"/>
  <c r="Q342" i="15" s="1"/>
  <c r="BE341" i="15"/>
  <c r="BD341" i="15"/>
  <c r="BA341" i="15"/>
  <c r="AX341" i="15"/>
  <c r="AW341" i="15"/>
  <c r="AR341" i="15"/>
  <c r="Z341" i="15"/>
  <c r="R341" i="15"/>
  <c r="AP341" i="15" s="1"/>
  <c r="O341" i="15"/>
  <c r="Q341" i="15" s="1"/>
  <c r="BE340" i="15"/>
  <c r="BD340" i="15"/>
  <c r="BA340" i="15"/>
  <c r="AX340" i="15"/>
  <c r="AW340" i="15"/>
  <c r="AR340" i="15"/>
  <c r="Z340" i="15"/>
  <c r="R340" i="15"/>
  <c r="AP340" i="15" s="1"/>
  <c r="O340" i="15"/>
  <c r="Q340" i="15" s="1"/>
  <c r="BE339" i="15"/>
  <c r="BD339" i="15"/>
  <c r="BA339" i="15"/>
  <c r="AX339" i="15"/>
  <c r="AW339" i="15"/>
  <c r="AR339" i="15"/>
  <c r="Z339" i="15"/>
  <c r="R339" i="15"/>
  <c r="AP339" i="15" s="1"/>
  <c r="O339" i="15"/>
  <c r="Q339" i="15" s="1"/>
  <c r="BE338" i="15"/>
  <c r="BD338" i="15"/>
  <c r="BA338" i="15"/>
  <c r="AX338" i="15"/>
  <c r="AW338" i="15"/>
  <c r="AR338" i="15"/>
  <c r="Z338" i="15"/>
  <c r="R338" i="15"/>
  <c r="AP338" i="15" s="1"/>
  <c r="O338" i="15"/>
  <c r="Q338" i="15" s="1"/>
  <c r="BE337" i="15"/>
  <c r="BD337" i="15"/>
  <c r="BA337" i="15"/>
  <c r="AX337" i="15"/>
  <c r="AW337" i="15"/>
  <c r="AR337" i="15"/>
  <c r="Z337" i="15"/>
  <c r="R337" i="15"/>
  <c r="AP337" i="15" s="1"/>
  <c r="O337" i="15"/>
  <c r="Q337" i="15" s="1"/>
  <c r="BE336" i="15"/>
  <c r="BD336" i="15"/>
  <c r="BA336" i="15"/>
  <c r="AX336" i="15"/>
  <c r="BB336" i="15" s="1"/>
  <c r="AW336" i="15"/>
  <c r="AR336" i="15"/>
  <c r="Z336" i="15"/>
  <c r="R336" i="15"/>
  <c r="AP336" i="15" s="1"/>
  <c r="O336" i="15"/>
  <c r="Q336" i="15" s="1"/>
  <c r="BE335" i="15"/>
  <c r="BD335" i="15"/>
  <c r="BA335" i="15"/>
  <c r="AX335" i="15"/>
  <c r="AW335" i="15"/>
  <c r="AR335" i="15"/>
  <c r="Z335" i="15"/>
  <c r="R335" i="15"/>
  <c r="AP335" i="15" s="1"/>
  <c r="O335" i="15"/>
  <c r="Q335" i="15" s="1"/>
  <c r="BE334" i="15"/>
  <c r="BD334" i="15"/>
  <c r="BA334" i="15"/>
  <c r="AX334" i="15"/>
  <c r="AW334" i="15"/>
  <c r="AR334" i="15"/>
  <c r="Z334" i="15"/>
  <c r="R334" i="15"/>
  <c r="AP334" i="15" s="1"/>
  <c r="O334" i="15"/>
  <c r="Q334" i="15" s="1"/>
  <c r="BE333" i="15"/>
  <c r="BD333" i="15"/>
  <c r="BA333" i="15"/>
  <c r="AX333" i="15"/>
  <c r="AW333" i="15"/>
  <c r="AR333" i="15"/>
  <c r="Z333" i="15"/>
  <c r="R333" i="15"/>
  <c r="AP333" i="15" s="1"/>
  <c r="O333" i="15"/>
  <c r="Q333" i="15" s="1"/>
  <c r="BE332" i="15"/>
  <c r="BD332" i="15"/>
  <c r="BA332" i="15"/>
  <c r="AX332" i="15"/>
  <c r="BB332" i="15" s="1"/>
  <c r="AW332" i="15"/>
  <c r="AR332" i="15"/>
  <c r="Z332" i="15"/>
  <c r="R332" i="15"/>
  <c r="AP332" i="15" s="1"/>
  <c r="O332" i="15"/>
  <c r="Q332" i="15" s="1"/>
  <c r="BE331" i="15"/>
  <c r="BD331" i="15"/>
  <c r="BA331" i="15"/>
  <c r="AX331" i="15"/>
  <c r="AW331" i="15"/>
  <c r="AR331" i="15"/>
  <c r="Z331" i="15"/>
  <c r="R331" i="15"/>
  <c r="AP331" i="15" s="1"/>
  <c r="O331" i="15"/>
  <c r="Q331" i="15" s="1"/>
  <c r="BE330" i="15"/>
  <c r="BD330" i="15"/>
  <c r="BA330" i="15"/>
  <c r="AX330" i="15"/>
  <c r="AW330" i="15"/>
  <c r="AR330" i="15"/>
  <c r="Z330" i="15"/>
  <c r="R330" i="15"/>
  <c r="AP330" i="15" s="1"/>
  <c r="O330" i="15"/>
  <c r="Q330" i="15" s="1"/>
  <c r="BE329" i="15"/>
  <c r="BD329" i="15"/>
  <c r="BA329" i="15"/>
  <c r="AX329" i="15"/>
  <c r="AW329" i="15"/>
  <c r="AR329" i="15"/>
  <c r="Z329" i="15"/>
  <c r="R329" i="15"/>
  <c r="AP329" i="15" s="1"/>
  <c r="O329" i="15"/>
  <c r="Q329" i="15" s="1"/>
  <c r="BE328" i="15"/>
  <c r="BD328" i="15"/>
  <c r="BA328" i="15"/>
  <c r="AX328" i="15"/>
  <c r="AW328" i="15"/>
  <c r="AR328" i="15"/>
  <c r="Z328" i="15"/>
  <c r="R328" i="15"/>
  <c r="AP328" i="15" s="1"/>
  <c r="O328" i="15"/>
  <c r="Q328" i="15" s="1"/>
  <c r="BE327" i="15"/>
  <c r="BD327" i="15"/>
  <c r="BA327" i="15"/>
  <c r="AX327" i="15"/>
  <c r="BB327" i="15" s="1"/>
  <c r="AW327" i="15"/>
  <c r="AR327" i="15"/>
  <c r="Z327" i="15"/>
  <c r="R327" i="15"/>
  <c r="AP327" i="15" s="1"/>
  <c r="O327" i="15"/>
  <c r="Q327" i="15" s="1"/>
  <c r="BE326" i="15"/>
  <c r="BD326" i="15"/>
  <c r="BA326" i="15"/>
  <c r="AX326" i="15"/>
  <c r="AW326" i="15"/>
  <c r="AR326" i="15"/>
  <c r="Z326" i="15"/>
  <c r="R326" i="15"/>
  <c r="AP326" i="15" s="1"/>
  <c r="O326" i="15"/>
  <c r="Q326" i="15" s="1"/>
  <c r="BE325" i="15"/>
  <c r="BD325" i="15"/>
  <c r="BA325" i="15"/>
  <c r="AX325" i="15"/>
  <c r="AW325" i="15"/>
  <c r="AR325" i="15"/>
  <c r="Z325" i="15"/>
  <c r="R325" i="15"/>
  <c r="AP325" i="15" s="1"/>
  <c r="O325" i="15"/>
  <c r="Q325" i="15" s="1"/>
  <c r="BE324" i="15"/>
  <c r="BD324" i="15"/>
  <c r="BA324" i="15"/>
  <c r="AX324" i="15"/>
  <c r="AW324" i="15"/>
  <c r="AR324" i="15"/>
  <c r="Z324" i="15"/>
  <c r="R324" i="15"/>
  <c r="AP324" i="15" s="1"/>
  <c r="O324" i="15"/>
  <c r="Q324" i="15" s="1"/>
  <c r="BE323" i="15"/>
  <c r="BD323" i="15"/>
  <c r="BA323" i="15"/>
  <c r="AX323" i="15"/>
  <c r="AW323" i="15"/>
  <c r="AR323" i="15"/>
  <c r="Z323" i="15"/>
  <c r="R323" i="15"/>
  <c r="AP323" i="15" s="1"/>
  <c r="O323" i="15"/>
  <c r="Q323" i="15" s="1"/>
  <c r="BE322" i="15"/>
  <c r="BD322" i="15"/>
  <c r="BA322" i="15"/>
  <c r="AX322" i="15"/>
  <c r="AW322" i="15"/>
  <c r="AR322" i="15"/>
  <c r="Z322" i="15"/>
  <c r="R322" i="15"/>
  <c r="AP322" i="15" s="1"/>
  <c r="O322" i="15"/>
  <c r="Q322" i="15" s="1"/>
  <c r="BE321" i="15"/>
  <c r="BD321" i="15"/>
  <c r="BA321" i="15"/>
  <c r="AX321" i="15"/>
  <c r="AW321" i="15"/>
  <c r="AR321" i="15"/>
  <c r="Z321" i="15"/>
  <c r="R321" i="15"/>
  <c r="AP321" i="15" s="1"/>
  <c r="O321" i="15"/>
  <c r="Q321" i="15" s="1"/>
  <c r="BE320" i="15"/>
  <c r="BD320" i="15"/>
  <c r="BA320" i="15"/>
  <c r="AX320" i="15"/>
  <c r="AW320" i="15"/>
  <c r="AR320" i="15"/>
  <c r="Z320" i="15"/>
  <c r="R320" i="15"/>
  <c r="AP320" i="15" s="1"/>
  <c r="O320" i="15"/>
  <c r="Q320" i="15" s="1"/>
  <c r="BE319" i="15"/>
  <c r="BD319" i="15"/>
  <c r="BA319" i="15"/>
  <c r="AX319" i="15"/>
  <c r="AW319" i="15"/>
  <c r="AR319" i="15"/>
  <c r="Z319" i="15"/>
  <c r="R319" i="15"/>
  <c r="AP319" i="15" s="1"/>
  <c r="O319" i="15"/>
  <c r="Q319" i="15" s="1"/>
  <c r="BE318" i="15"/>
  <c r="BD318" i="15"/>
  <c r="BA318" i="15"/>
  <c r="AX318" i="15"/>
  <c r="AW318" i="15"/>
  <c r="AR318" i="15"/>
  <c r="Z318" i="15"/>
  <c r="R318" i="15"/>
  <c r="AP318" i="15" s="1"/>
  <c r="O318" i="15"/>
  <c r="Q318" i="15" s="1"/>
  <c r="BE317" i="15"/>
  <c r="BD317" i="15"/>
  <c r="BA317" i="15"/>
  <c r="AX317" i="15"/>
  <c r="AW317" i="15"/>
  <c r="AR317" i="15"/>
  <c r="Z317" i="15"/>
  <c r="R317" i="15"/>
  <c r="AP317" i="15" s="1"/>
  <c r="O317" i="15"/>
  <c r="Q317" i="15" s="1"/>
  <c r="BE316" i="15"/>
  <c r="BD316" i="15"/>
  <c r="BA316" i="15"/>
  <c r="AX316" i="15"/>
  <c r="BB316" i="15" s="1"/>
  <c r="AW316" i="15"/>
  <c r="AR316" i="15"/>
  <c r="Z316" i="15"/>
  <c r="R316" i="15"/>
  <c r="AP316" i="15" s="1"/>
  <c r="O316" i="15"/>
  <c r="Q316" i="15" s="1"/>
  <c r="BE315" i="15"/>
  <c r="BD315" i="15"/>
  <c r="BA315" i="15"/>
  <c r="AX315" i="15"/>
  <c r="AW315" i="15"/>
  <c r="AR315" i="15"/>
  <c r="Z315" i="15"/>
  <c r="R315" i="15"/>
  <c r="AP315" i="15" s="1"/>
  <c r="O315" i="15"/>
  <c r="Q315" i="15" s="1"/>
  <c r="BE314" i="15"/>
  <c r="BD314" i="15"/>
  <c r="BA314" i="15"/>
  <c r="AX314" i="15"/>
  <c r="AW314" i="15"/>
  <c r="AR314" i="15"/>
  <c r="Z314" i="15"/>
  <c r="R314" i="15"/>
  <c r="AP314" i="15" s="1"/>
  <c r="O314" i="15"/>
  <c r="Q314" i="15" s="1"/>
  <c r="BE313" i="15"/>
  <c r="BD313" i="15"/>
  <c r="BA313" i="15"/>
  <c r="AX313" i="15"/>
  <c r="AW313" i="15"/>
  <c r="AR313" i="15"/>
  <c r="Z313" i="15"/>
  <c r="R313" i="15"/>
  <c r="AP313" i="15" s="1"/>
  <c r="O313" i="15"/>
  <c r="Q313" i="15" s="1"/>
  <c r="BE312" i="15"/>
  <c r="BD312" i="15"/>
  <c r="BA312" i="15"/>
  <c r="AX312" i="15"/>
  <c r="AW312" i="15"/>
  <c r="AR312" i="15"/>
  <c r="Z312" i="15"/>
  <c r="R312" i="15"/>
  <c r="AP312" i="15" s="1"/>
  <c r="O312" i="15"/>
  <c r="Q312" i="15" s="1"/>
  <c r="BE311" i="15"/>
  <c r="BD311" i="15"/>
  <c r="BA311" i="15"/>
  <c r="AX311" i="15"/>
  <c r="AW311" i="15"/>
  <c r="AR311" i="15"/>
  <c r="Z311" i="15"/>
  <c r="R311" i="15"/>
  <c r="AP311" i="15" s="1"/>
  <c r="O311" i="15"/>
  <c r="Q311" i="15" s="1"/>
  <c r="BE310" i="15"/>
  <c r="BD310" i="15"/>
  <c r="BA310" i="15"/>
  <c r="AX310" i="15"/>
  <c r="AW310" i="15"/>
  <c r="AR310" i="15"/>
  <c r="Z310" i="15"/>
  <c r="R310" i="15"/>
  <c r="AP310" i="15" s="1"/>
  <c r="O310" i="15"/>
  <c r="Q310" i="15" s="1"/>
  <c r="BE309" i="15"/>
  <c r="BD309" i="15"/>
  <c r="BA309" i="15"/>
  <c r="AX309" i="15"/>
  <c r="AW309" i="15"/>
  <c r="AR309" i="15"/>
  <c r="Z309" i="15"/>
  <c r="R309" i="15"/>
  <c r="AP309" i="15" s="1"/>
  <c r="O309" i="15"/>
  <c r="Q309" i="15" s="1"/>
  <c r="BE308" i="15"/>
  <c r="BD308" i="15"/>
  <c r="BA308" i="15"/>
  <c r="AX308" i="15"/>
  <c r="AW308" i="15"/>
  <c r="AR308" i="15"/>
  <c r="Z308" i="15"/>
  <c r="R308" i="15"/>
  <c r="AP308" i="15" s="1"/>
  <c r="O308" i="15"/>
  <c r="Q308" i="15" s="1"/>
  <c r="BE307" i="15"/>
  <c r="BD307" i="15"/>
  <c r="BA307" i="15"/>
  <c r="AX307" i="15"/>
  <c r="AW307" i="15"/>
  <c r="AR307" i="15"/>
  <c r="Z307" i="15"/>
  <c r="R307" i="15"/>
  <c r="AP307" i="15" s="1"/>
  <c r="O307" i="15"/>
  <c r="Q307" i="15" s="1"/>
  <c r="BE306" i="15"/>
  <c r="BD306" i="15"/>
  <c r="BA306" i="15"/>
  <c r="AX306" i="15"/>
  <c r="AW306" i="15"/>
  <c r="AR306" i="15"/>
  <c r="Z306" i="15"/>
  <c r="R306" i="15"/>
  <c r="AP306" i="15" s="1"/>
  <c r="O306" i="15"/>
  <c r="Q306" i="15" s="1"/>
  <c r="BE305" i="15"/>
  <c r="BA305" i="15"/>
  <c r="AY305" i="15"/>
  <c r="AX305" i="15"/>
  <c r="AW305" i="15"/>
  <c r="AR305" i="15"/>
  <c r="Z305" i="15"/>
  <c r="R305" i="15"/>
  <c r="AP305" i="15" s="1"/>
  <c r="O305" i="15"/>
  <c r="Q305" i="15" s="1"/>
  <c r="BE304" i="15"/>
  <c r="BA304" i="15"/>
  <c r="AX304" i="15"/>
  <c r="AW304" i="15"/>
  <c r="AR304" i="15"/>
  <c r="Z304" i="15"/>
  <c r="R304" i="15"/>
  <c r="AP304" i="15" s="1"/>
  <c r="O304" i="15"/>
  <c r="Q304" i="15" s="1"/>
  <c r="BD304" i="15"/>
  <c r="BE303" i="15"/>
  <c r="BA303" i="15"/>
  <c r="AX303" i="15"/>
  <c r="AW303" i="15"/>
  <c r="AR303" i="15"/>
  <c r="Z303" i="15"/>
  <c r="R303" i="15"/>
  <c r="AP303" i="15" s="1"/>
  <c r="O303" i="15"/>
  <c r="Q303" i="15" s="1"/>
  <c r="BD303" i="15"/>
  <c r="BE302" i="15"/>
  <c r="BD302" i="15"/>
  <c r="BA302" i="15"/>
  <c r="AX302" i="15"/>
  <c r="AW302" i="15"/>
  <c r="AR302" i="15"/>
  <c r="Z302" i="15"/>
  <c r="R302" i="15"/>
  <c r="AP302" i="15" s="1"/>
  <c r="O302" i="15"/>
  <c r="Q302" i="15" s="1"/>
  <c r="BE301" i="15"/>
  <c r="BD301" i="15"/>
  <c r="BA301" i="15"/>
  <c r="AX301" i="15"/>
  <c r="AW301" i="15"/>
  <c r="AR301" i="15"/>
  <c r="Z301" i="15"/>
  <c r="R301" i="15"/>
  <c r="AP301" i="15" s="1"/>
  <c r="O301" i="15"/>
  <c r="Q301" i="15" s="1"/>
  <c r="BE300" i="15"/>
  <c r="BD300" i="15"/>
  <c r="BA300" i="15"/>
  <c r="AX300" i="15"/>
  <c r="AW300" i="15"/>
  <c r="AR300" i="15"/>
  <c r="Z300" i="15"/>
  <c r="R300" i="15"/>
  <c r="AP300" i="15" s="1"/>
  <c r="O300" i="15"/>
  <c r="Q300" i="15" s="1"/>
  <c r="BE299" i="15"/>
  <c r="BA299" i="15"/>
  <c r="AX299" i="15"/>
  <c r="AW299" i="15"/>
  <c r="AR299" i="15"/>
  <c r="Z299" i="15"/>
  <c r="R299" i="15"/>
  <c r="AP299" i="15" s="1"/>
  <c r="O299" i="15"/>
  <c r="Q299" i="15" s="1"/>
  <c r="BD299" i="15"/>
  <c r="BE298" i="15"/>
  <c r="BD298" i="15"/>
  <c r="BA298" i="15"/>
  <c r="AX298" i="15"/>
  <c r="AW298" i="15"/>
  <c r="AR298" i="15"/>
  <c r="Z298" i="15"/>
  <c r="R298" i="15"/>
  <c r="AP298" i="15" s="1"/>
  <c r="O298" i="15"/>
  <c r="Q298" i="15" s="1"/>
  <c r="BE297" i="15"/>
  <c r="BD297" i="15"/>
  <c r="BA297" i="15"/>
  <c r="AX297" i="15"/>
  <c r="BB297" i="15" s="1"/>
  <c r="AW297" i="15"/>
  <c r="AR297" i="15"/>
  <c r="Z297" i="15"/>
  <c r="R297" i="15"/>
  <c r="AP297" i="15" s="1"/>
  <c r="O297" i="15"/>
  <c r="Q297" i="15" s="1"/>
  <c r="BE296" i="15"/>
  <c r="BA296" i="15"/>
  <c r="AX296" i="15"/>
  <c r="AW296" i="15"/>
  <c r="AR296" i="15"/>
  <c r="Z296" i="15"/>
  <c r="R296" i="15"/>
  <c r="AP296" i="15" s="1"/>
  <c r="O296" i="15"/>
  <c r="Q296" i="15" s="1"/>
  <c r="BD296" i="15"/>
  <c r="BE295" i="15"/>
  <c r="BD295" i="15"/>
  <c r="BA295" i="15"/>
  <c r="AX295" i="15"/>
  <c r="AW295" i="15"/>
  <c r="AR295" i="15"/>
  <c r="Z295" i="15"/>
  <c r="R295" i="15"/>
  <c r="AP295" i="15" s="1"/>
  <c r="O295" i="15"/>
  <c r="Q295" i="15" s="1"/>
  <c r="BE294" i="15"/>
  <c r="BD294" i="15"/>
  <c r="BA294" i="15"/>
  <c r="AX294" i="15"/>
  <c r="AW294" i="15"/>
  <c r="AR294" i="15"/>
  <c r="Z294" i="15"/>
  <c r="R294" i="15"/>
  <c r="AP294" i="15" s="1"/>
  <c r="O294" i="15"/>
  <c r="Q294" i="15" s="1"/>
  <c r="BE293" i="15"/>
  <c r="BA293" i="15"/>
  <c r="AX293" i="15"/>
  <c r="AW293" i="15"/>
  <c r="AR293" i="15"/>
  <c r="Z293" i="15"/>
  <c r="R293" i="15"/>
  <c r="AP293" i="15" s="1"/>
  <c r="O293" i="15"/>
  <c r="Q293" i="15" s="1"/>
  <c r="BD293" i="15"/>
  <c r="BE292" i="15"/>
  <c r="BA292" i="15"/>
  <c r="AX292" i="15"/>
  <c r="AW292" i="15"/>
  <c r="AR292" i="15"/>
  <c r="Z292" i="15"/>
  <c r="R292" i="15"/>
  <c r="AP292" i="15" s="1"/>
  <c r="O292" i="15"/>
  <c r="Q292" i="15" s="1"/>
  <c r="BD292" i="15"/>
  <c r="BE291" i="15"/>
  <c r="BA291" i="15"/>
  <c r="AX291" i="15"/>
  <c r="AW291" i="15"/>
  <c r="AR291" i="15"/>
  <c r="Z291" i="15"/>
  <c r="R291" i="15"/>
  <c r="AP291" i="15" s="1"/>
  <c r="O291" i="15"/>
  <c r="Q291" i="15" s="1"/>
  <c r="BD291" i="15"/>
  <c r="BE290" i="15"/>
  <c r="BD290" i="15"/>
  <c r="BA290" i="15"/>
  <c r="AX290" i="15"/>
  <c r="AW290" i="15"/>
  <c r="AR290" i="15"/>
  <c r="Z290" i="15"/>
  <c r="R290" i="15"/>
  <c r="AP290" i="15" s="1"/>
  <c r="O290" i="15"/>
  <c r="Q290" i="15" s="1"/>
  <c r="BE289" i="15"/>
  <c r="BD289" i="15"/>
  <c r="BA289" i="15"/>
  <c r="AX289" i="15"/>
  <c r="AW289" i="15"/>
  <c r="AR289" i="15"/>
  <c r="Z289" i="15"/>
  <c r="R289" i="15"/>
  <c r="AP289" i="15" s="1"/>
  <c r="O289" i="15"/>
  <c r="Q289" i="15" s="1"/>
  <c r="BE288" i="15"/>
  <c r="BA288" i="15"/>
  <c r="AY288" i="15"/>
  <c r="AX288" i="15"/>
  <c r="Z288" i="15"/>
  <c r="R288" i="15"/>
  <c r="AP288" i="15" s="1"/>
  <c r="O288" i="15"/>
  <c r="Q288" i="15" s="1"/>
  <c r="BE287" i="15"/>
  <c r="BA287" i="15"/>
  <c r="AX287" i="15"/>
  <c r="AW287" i="15"/>
  <c r="AR287" i="15"/>
  <c r="Z287" i="15"/>
  <c r="R287" i="15"/>
  <c r="AP287" i="15" s="1"/>
  <c r="O287" i="15"/>
  <c r="Q287" i="15" s="1"/>
  <c r="BD287" i="15"/>
  <c r="BE286" i="15"/>
  <c r="BD286" i="15"/>
  <c r="BA286" i="15"/>
  <c r="AX286" i="15"/>
  <c r="AW286" i="15"/>
  <c r="AR286" i="15"/>
  <c r="Z286" i="15"/>
  <c r="R286" i="15"/>
  <c r="AP286" i="15" s="1"/>
  <c r="O286" i="15"/>
  <c r="Q286" i="15" s="1"/>
  <c r="BE285" i="15"/>
  <c r="BA285" i="15"/>
  <c r="AX285" i="15"/>
  <c r="AW285" i="15"/>
  <c r="AR285" i="15"/>
  <c r="Z285" i="15"/>
  <c r="R285" i="15"/>
  <c r="AP285" i="15" s="1"/>
  <c r="O285" i="15"/>
  <c r="Q285" i="15" s="1"/>
  <c r="BD285" i="15"/>
  <c r="BE284" i="15"/>
  <c r="BD284" i="15"/>
  <c r="BA284" i="15"/>
  <c r="AX284" i="15"/>
  <c r="AW284" i="15"/>
  <c r="AR284" i="15"/>
  <c r="Z284" i="15"/>
  <c r="R284" i="15"/>
  <c r="AP284" i="15" s="1"/>
  <c r="O284" i="15"/>
  <c r="Q284" i="15" s="1"/>
  <c r="BE283" i="15"/>
  <c r="BA283" i="15"/>
  <c r="AX283" i="15"/>
  <c r="AW283" i="15"/>
  <c r="AR283" i="15"/>
  <c r="Z283" i="15"/>
  <c r="R283" i="15"/>
  <c r="AP283" i="15" s="1"/>
  <c r="O283" i="15"/>
  <c r="Q283" i="15" s="1"/>
  <c r="BD283" i="15"/>
  <c r="BE282" i="15"/>
  <c r="BD282" i="15"/>
  <c r="BA282" i="15"/>
  <c r="AX282" i="15"/>
  <c r="AW282" i="15"/>
  <c r="AR282" i="15"/>
  <c r="Z282" i="15"/>
  <c r="R282" i="15"/>
  <c r="AP282" i="15" s="1"/>
  <c r="O282" i="15"/>
  <c r="Q282" i="15" s="1"/>
  <c r="BE281" i="15"/>
  <c r="BA281" i="15"/>
  <c r="AX281" i="15"/>
  <c r="AW281" i="15"/>
  <c r="AR281" i="15"/>
  <c r="Z281" i="15"/>
  <c r="R281" i="15"/>
  <c r="AP281" i="15" s="1"/>
  <c r="O281" i="15"/>
  <c r="Q281" i="15" s="1"/>
  <c r="BD281" i="15"/>
  <c r="BE280" i="15"/>
  <c r="BD280" i="15"/>
  <c r="BA280" i="15"/>
  <c r="AX280" i="15"/>
  <c r="AW280" i="15"/>
  <c r="AR280" i="15"/>
  <c r="Z280" i="15"/>
  <c r="R280" i="15"/>
  <c r="AP280" i="15" s="1"/>
  <c r="O280" i="15"/>
  <c r="Q280" i="15" s="1"/>
  <c r="BE279" i="15"/>
  <c r="BD279" i="15"/>
  <c r="BA279" i="15"/>
  <c r="AX279" i="15"/>
  <c r="AW279" i="15"/>
  <c r="AR279" i="15"/>
  <c r="Z279" i="15"/>
  <c r="R279" i="15"/>
  <c r="AP279" i="15" s="1"/>
  <c r="O279" i="15"/>
  <c r="Q279" i="15" s="1"/>
  <c r="BE278" i="15"/>
  <c r="BA278" i="15"/>
  <c r="AX278" i="15"/>
  <c r="AW278" i="15"/>
  <c r="AR278" i="15"/>
  <c r="Z278" i="15"/>
  <c r="R278" i="15"/>
  <c r="AP278" i="15" s="1"/>
  <c r="O278" i="15"/>
  <c r="Q278" i="15" s="1"/>
  <c r="BD278" i="15"/>
  <c r="BE277" i="15"/>
  <c r="BA277" i="15"/>
  <c r="AX277" i="15"/>
  <c r="AW277" i="15"/>
  <c r="AR277" i="15"/>
  <c r="Z277" i="15"/>
  <c r="R277" i="15"/>
  <c r="AP277" i="15" s="1"/>
  <c r="O277" i="15"/>
  <c r="Q277" i="15" s="1"/>
  <c r="BD277" i="15"/>
  <c r="BE276" i="15"/>
  <c r="BA276" i="15"/>
  <c r="AX276" i="15"/>
  <c r="AW276" i="15"/>
  <c r="AR276" i="15"/>
  <c r="Z276" i="15"/>
  <c r="R276" i="15"/>
  <c r="AP276" i="15" s="1"/>
  <c r="O276" i="15"/>
  <c r="Q276" i="15" s="1"/>
  <c r="BD276" i="15"/>
  <c r="BE275" i="15"/>
  <c r="BD275" i="15"/>
  <c r="BA275" i="15"/>
  <c r="AX275" i="15"/>
  <c r="AW275" i="15"/>
  <c r="AR275" i="15"/>
  <c r="Z275" i="15"/>
  <c r="R275" i="15"/>
  <c r="AP275" i="15" s="1"/>
  <c r="O275" i="15"/>
  <c r="Q275" i="15" s="1"/>
  <c r="BE274" i="15"/>
  <c r="BD274" i="15"/>
  <c r="BA274" i="15"/>
  <c r="AX274" i="15"/>
  <c r="AW274" i="15"/>
  <c r="AR274" i="15"/>
  <c r="Z274" i="15"/>
  <c r="R274" i="15"/>
  <c r="AP274" i="15" s="1"/>
  <c r="O274" i="15"/>
  <c r="Q274" i="15" s="1"/>
  <c r="BE273" i="15"/>
  <c r="BA273" i="15"/>
  <c r="AX273" i="15"/>
  <c r="AW273" i="15"/>
  <c r="AR273" i="15"/>
  <c r="Z273" i="15"/>
  <c r="R273" i="15"/>
  <c r="AP273" i="15" s="1"/>
  <c r="O273" i="15"/>
  <c r="Q273" i="15" s="1"/>
  <c r="BD273" i="15"/>
  <c r="BE272" i="15"/>
  <c r="BA272" i="15"/>
  <c r="AX272" i="15"/>
  <c r="AW272" i="15"/>
  <c r="AR272" i="15"/>
  <c r="Z272" i="15"/>
  <c r="R272" i="15"/>
  <c r="AP272" i="15" s="1"/>
  <c r="O272" i="15"/>
  <c r="Q272" i="15" s="1"/>
  <c r="BD272" i="15"/>
  <c r="BE271" i="15"/>
  <c r="BD271" i="15"/>
  <c r="BA271" i="15"/>
  <c r="AX271" i="15"/>
  <c r="AW271" i="15"/>
  <c r="AR271" i="15"/>
  <c r="Z271" i="15"/>
  <c r="R271" i="15"/>
  <c r="AP271" i="15" s="1"/>
  <c r="O271" i="15"/>
  <c r="Q271" i="15" s="1"/>
  <c r="BE270" i="15"/>
  <c r="BA270" i="15"/>
  <c r="AX270" i="15"/>
  <c r="AW270" i="15"/>
  <c r="AR270" i="15"/>
  <c r="Z270" i="15"/>
  <c r="R270" i="15"/>
  <c r="AP270" i="15" s="1"/>
  <c r="O270" i="15"/>
  <c r="Q270" i="15" s="1"/>
  <c r="BE269" i="15"/>
  <c r="BA269" i="15"/>
  <c r="AY269" i="15"/>
  <c r="AX269" i="15"/>
  <c r="AW269" i="15"/>
  <c r="AR269" i="15"/>
  <c r="Z269" i="15"/>
  <c r="R269" i="15"/>
  <c r="AP269" i="15" s="1"/>
  <c r="O269" i="15"/>
  <c r="Q269" i="15" s="1"/>
  <c r="BE268" i="15"/>
  <c r="BD268" i="15"/>
  <c r="BA268" i="15"/>
  <c r="AX268" i="15"/>
  <c r="AW268" i="15"/>
  <c r="AR268" i="15"/>
  <c r="Z268" i="15"/>
  <c r="R268" i="15"/>
  <c r="AP268" i="15" s="1"/>
  <c r="O268" i="15"/>
  <c r="Q268" i="15" s="1"/>
  <c r="BE267" i="15"/>
  <c r="BD267" i="15"/>
  <c r="BA267" i="15"/>
  <c r="AX267" i="15"/>
  <c r="AW267" i="15"/>
  <c r="AR267" i="15"/>
  <c r="Z267" i="15"/>
  <c r="R267" i="15"/>
  <c r="AP267" i="15" s="1"/>
  <c r="O267" i="15"/>
  <c r="Q267" i="15" s="1"/>
  <c r="BE266" i="15"/>
  <c r="BD266" i="15"/>
  <c r="BA266" i="15"/>
  <c r="AX266" i="15"/>
  <c r="BB266" i="15" s="1"/>
  <c r="AW266" i="15"/>
  <c r="AR266" i="15"/>
  <c r="Z266" i="15"/>
  <c r="R266" i="15"/>
  <c r="AP266" i="15" s="1"/>
  <c r="O266" i="15"/>
  <c r="Q266" i="15" s="1"/>
  <c r="BE265" i="15"/>
  <c r="BA265" i="15"/>
  <c r="AY265" i="15"/>
  <c r="AX265" i="15"/>
  <c r="AW265" i="15"/>
  <c r="AR265" i="15"/>
  <c r="Z265" i="15"/>
  <c r="R265" i="15"/>
  <c r="AP265" i="15" s="1"/>
  <c r="O265" i="15"/>
  <c r="Q265" i="15" s="1"/>
  <c r="BE264" i="15"/>
  <c r="BA264" i="15"/>
  <c r="AX264" i="15"/>
  <c r="AW264" i="15"/>
  <c r="AR264" i="15"/>
  <c r="Z264" i="15"/>
  <c r="R264" i="15"/>
  <c r="AP264" i="15" s="1"/>
  <c r="O264" i="15"/>
  <c r="Q264" i="15" s="1"/>
  <c r="BD264" i="15"/>
  <c r="BE263" i="15"/>
  <c r="BD263" i="15"/>
  <c r="BA263" i="15"/>
  <c r="AX263" i="15"/>
  <c r="AW263" i="15"/>
  <c r="AR263" i="15"/>
  <c r="Z263" i="15"/>
  <c r="R263" i="15"/>
  <c r="AP263" i="15" s="1"/>
  <c r="O263" i="15"/>
  <c r="Q263" i="15" s="1"/>
  <c r="BE262" i="15"/>
  <c r="BD262" i="15"/>
  <c r="BA262" i="15"/>
  <c r="AX262" i="15"/>
  <c r="AW262" i="15"/>
  <c r="AR262" i="15"/>
  <c r="Z262" i="15"/>
  <c r="R262" i="15"/>
  <c r="AP262" i="15" s="1"/>
  <c r="O262" i="15"/>
  <c r="Q262" i="15" s="1"/>
  <c r="BE261" i="15"/>
  <c r="BA261" i="15"/>
  <c r="AX261" i="15"/>
  <c r="BB261" i="15" s="1"/>
  <c r="AW261" i="15"/>
  <c r="AR261" i="15"/>
  <c r="Z261" i="15"/>
  <c r="R261" i="15"/>
  <c r="AP261" i="15" s="1"/>
  <c r="O261" i="15"/>
  <c r="Q261" i="15" s="1"/>
  <c r="BD261" i="15"/>
  <c r="BE260" i="15"/>
  <c r="BD260" i="15"/>
  <c r="BA260" i="15"/>
  <c r="AX260" i="15"/>
  <c r="AW260" i="15"/>
  <c r="AR260" i="15"/>
  <c r="Z260" i="15"/>
  <c r="R260" i="15"/>
  <c r="AP260" i="15" s="1"/>
  <c r="O260" i="15"/>
  <c r="Q260" i="15" s="1"/>
  <c r="BE259" i="15"/>
  <c r="BA259" i="15"/>
  <c r="AX259" i="15"/>
  <c r="AW259" i="15"/>
  <c r="AR259" i="15"/>
  <c r="Z259" i="15"/>
  <c r="R259" i="15"/>
  <c r="AP259" i="15" s="1"/>
  <c r="O259" i="15"/>
  <c r="Q259" i="15" s="1"/>
  <c r="BD259" i="15"/>
  <c r="BE258" i="15"/>
  <c r="BA258" i="15"/>
  <c r="AX258" i="15"/>
  <c r="AW258" i="15"/>
  <c r="AR258" i="15"/>
  <c r="Z258" i="15"/>
  <c r="R258" i="15"/>
  <c r="AP258" i="15" s="1"/>
  <c r="O258" i="15"/>
  <c r="Q258" i="15" s="1"/>
  <c r="BE257" i="15"/>
  <c r="BA257" i="15"/>
  <c r="AY257" i="15"/>
  <c r="AX257" i="15"/>
  <c r="AW257" i="15"/>
  <c r="AR257" i="15"/>
  <c r="Z257" i="15"/>
  <c r="R257" i="15"/>
  <c r="AP257" i="15" s="1"/>
  <c r="O257" i="15"/>
  <c r="Q257" i="15" s="1"/>
  <c r="BE256" i="15"/>
  <c r="BD256" i="15"/>
  <c r="BA256" i="15"/>
  <c r="AX256" i="15"/>
  <c r="AW256" i="15"/>
  <c r="AR256" i="15"/>
  <c r="Z256" i="15"/>
  <c r="R256" i="15"/>
  <c r="AP256" i="15" s="1"/>
  <c r="O256" i="15"/>
  <c r="Q256" i="15" s="1"/>
  <c r="BE255" i="15"/>
  <c r="BA255" i="15"/>
  <c r="AX255" i="15"/>
  <c r="AW255" i="15"/>
  <c r="AR255" i="15"/>
  <c r="Z255" i="15"/>
  <c r="R255" i="15"/>
  <c r="AP255" i="15" s="1"/>
  <c r="O255" i="15"/>
  <c r="Q255" i="15" s="1"/>
  <c r="BD255" i="15"/>
  <c r="BE254" i="15"/>
  <c r="BA254" i="15"/>
  <c r="AX254" i="15"/>
  <c r="AW254" i="15"/>
  <c r="AR254" i="15"/>
  <c r="Z254" i="15"/>
  <c r="R254" i="15"/>
  <c r="AP254" i="15" s="1"/>
  <c r="O254" i="15"/>
  <c r="Q254" i="15" s="1"/>
  <c r="BD254" i="15"/>
  <c r="BE253" i="15"/>
  <c r="BA253" i="15"/>
  <c r="AY253" i="15"/>
  <c r="AX253" i="15"/>
  <c r="AW253" i="15"/>
  <c r="AR253" i="15"/>
  <c r="Z253" i="15"/>
  <c r="R253" i="15"/>
  <c r="AP253" i="15" s="1"/>
  <c r="O253" i="15"/>
  <c r="Q253" i="15" s="1"/>
  <c r="BE252" i="15"/>
  <c r="BA252" i="15"/>
  <c r="AX252" i="15"/>
  <c r="BB252" i="15" s="1"/>
  <c r="AW252" i="15"/>
  <c r="AR252" i="15"/>
  <c r="Z252" i="15"/>
  <c r="R252" i="15"/>
  <c r="AP252" i="15" s="1"/>
  <c r="O252" i="15"/>
  <c r="Q252" i="15" s="1"/>
  <c r="BD252" i="15"/>
  <c r="BE251" i="15"/>
  <c r="BD251" i="15"/>
  <c r="BA251" i="15"/>
  <c r="AX251" i="15"/>
  <c r="BB251" i="15" s="1"/>
  <c r="AW251" i="15"/>
  <c r="AR251" i="15"/>
  <c r="Z251" i="15"/>
  <c r="R251" i="15"/>
  <c r="AP251" i="15" s="1"/>
  <c r="O251" i="15"/>
  <c r="Q251" i="15" s="1"/>
  <c r="BE250" i="15"/>
  <c r="BA250" i="15"/>
  <c r="AX250" i="15"/>
  <c r="AW250" i="15"/>
  <c r="AR250" i="15"/>
  <c r="Z250" i="15"/>
  <c r="R250" i="15"/>
  <c r="AP250" i="15" s="1"/>
  <c r="O250" i="15"/>
  <c r="Q250" i="15" s="1"/>
  <c r="BD250" i="15"/>
  <c r="BE249" i="15"/>
  <c r="BA249" i="15"/>
  <c r="AX249" i="15"/>
  <c r="AW249" i="15"/>
  <c r="AR249" i="15"/>
  <c r="Z249" i="15"/>
  <c r="R249" i="15"/>
  <c r="AP249" i="15" s="1"/>
  <c r="O249" i="15"/>
  <c r="Q249" i="15" s="1"/>
  <c r="BD249" i="15"/>
  <c r="BE248" i="15"/>
  <c r="BA248" i="15"/>
  <c r="AY248" i="15"/>
  <c r="Z248" i="15"/>
  <c r="R248" i="15"/>
  <c r="AP248" i="15" s="1"/>
  <c r="O248" i="15"/>
  <c r="Q248" i="15" s="1"/>
  <c r="BE247" i="15"/>
  <c r="BD247" i="15"/>
  <c r="BA247" i="15"/>
  <c r="AX247" i="15"/>
  <c r="AW247" i="15"/>
  <c r="AR247" i="15"/>
  <c r="Z247" i="15"/>
  <c r="R247" i="15"/>
  <c r="AP247" i="15" s="1"/>
  <c r="O247" i="15"/>
  <c r="Q247" i="15" s="1"/>
  <c r="BE246" i="15"/>
  <c r="BA246" i="15"/>
  <c r="AX246" i="15"/>
  <c r="AW246" i="15"/>
  <c r="AR246" i="15"/>
  <c r="Z246" i="15"/>
  <c r="R246" i="15"/>
  <c r="AP246" i="15" s="1"/>
  <c r="O246" i="15"/>
  <c r="Q246" i="15" s="1"/>
  <c r="BD246" i="15"/>
  <c r="BE245" i="15"/>
  <c r="BA245" i="15"/>
  <c r="AX245" i="15"/>
  <c r="AW245" i="15"/>
  <c r="AR245" i="15"/>
  <c r="Z245" i="15"/>
  <c r="R245" i="15"/>
  <c r="AP245" i="15" s="1"/>
  <c r="O245" i="15"/>
  <c r="Q245" i="15" s="1"/>
  <c r="BD245" i="15"/>
  <c r="BE244" i="15"/>
  <c r="BD244" i="15"/>
  <c r="AY244" i="15"/>
  <c r="AX244" i="15"/>
  <c r="AW244" i="15"/>
  <c r="AR244" i="15"/>
  <c r="Z244" i="15"/>
  <c r="R244" i="15"/>
  <c r="AP244" i="15" s="1"/>
  <c r="O244" i="15"/>
  <c r="Q244" i="15" s="1"/>
  <c r="BE243" i="15"/>
  <c r="BD243" i="15"/>
  <c r="BA243" i="15"/>
  <c r="AX243" i="15"/>
  <c r="AW243" i="15"/>
  <c r="AR243" i="15"/>
  <c r="Z243" i="15"/>
  <c r="R243" i="15"/>
  <c r="AP243" i="15" s="1"/>
  <c r="O243" i="15"/>
  <c r="Q243" i="15" s="1"/>
  <c r="BE242" i="15"/>
  <c r="BA242" i="15"/>
  <c r="AX242" i="15"/>
  <c r="AW242" i="15"/>
  <c r="AR242" i="15"/>
  <c r="Z242" i="15"/>
  <c r="R242" i="15"/>
  <c r="AP242" i="15" s="1"/>
  <c r="O242" i="15"/>
  <c r="Q242" i="15" s="1"/>
  <c r="BD242" i="15"/>
  <c r="BE241" i="15"/>
  <c r="BD241" i="15"/>
  <c r="AY241" i="15"/>
  <c r="AX241" i="15"/>
  <c r="AW241" i="15"/>
  <c r="AR241" i="15"/>
  <c r="Z241" i="15"/>
  <c r="R241" i="15"/>
  <c r="AP241" i="15" s="1"/>
  <c r="O241" i="15"/>
  <c r="Q241" i="15" s="1"/>
  <c r="BE240" i="15"/>
  <c r="AY240" i="15"/>
  <c r="AX240" i="15"/>
  <c r="AW240" i="15"/>
  <c r="AR240" i="15"/>
  <c r="Z240" i="15"/>
  <c r="R240" i="15"/>
  <c r="AP240" i="15" s="1"/>
  <c r="O240" i="15"/>
  <c r="Q240" i="15" s="1"/>
  <c r="BD240" i="15"/>
  <c r="BE239" i="15"/>
  <c r="BD239" i="15"/>
  <c r="BA239" i="15"/>
  <c r="AX239" i="15"/>
  <c r="AW239" i="15"/>
  <c r="AR239" i="15"/>
  <c r="Z239" i="15"/>
  <c r="R239" i="15"/>
  <c r="AP239" i="15" s="1"/>
  <c r="O239" i="15"/>
  <c r="Q239" i="15" s="1"/>
  <c r="BE238" i="15"/>
  <c r="BA238" i="15"/>
  <c r="AX238" i="15"/>
  <c r="BB238" i="15" s="1"/>
  <c r="AW238" i="15"/>
  <c r="AR238" i="15"/>
  <c r="Z238" i="15"/>
  <c r="R238" i="15"/>
  <c r="AP238" i="15" s="1"/>
  <c r="O238" i="15"/>
  <c r="Q238" i="15" s="1"/>
  <c r="BD238" i="15"/>
  <c r="BE237" i="15"/>
  <c r="BD237" i="15"/>
  <c r="AY237" i="15"/>
  <c r="AX237" i="15"/>
  <c r="AW237" i="15"/>
  <c r="AR237" i="15"/>
  <c r="Z237" i="15"/>
  <c r="R237" i="15"/>
  <c r="AP237" i="15" s="1"/>
  <c r="O237" i="15"/>
  <c r="Q237" i="15" s="1"/>
  <c r="BE236" i="15"/>
  <c r="BD236" i="15"/>
  <c r="BA236" i="15"/>
  <c r="AX236" i="15"/>
  <c r="AW236" i="15"/>
  <c r="AR236" i="15"/>
  <c r="Z236" i="15"/>
  <c r="R236" i="15"/>
  <c r="AP236" i="15" s="1"/>
  <c r="O236" i="15"/>
  <c r="Q236" i="15" s="1"/>
  <c r="BE235" i="15"/>
  <c r="BD235" i="15"/>
  <c r="AY235" i="15"/>
  <c r="AX235" i="15"/>
  <c r="AW235" i="15"/>
  <c r="AR235" i="15"/>
  <c r="Z235" i="15"/>
  <c r="R235" i="15"/>
  <c r="AP235" i="15" s="1"/>
  <c r="O235" i="15"/>
  <c r="Q235" i="15" s="1"/>
  <c r="BE234" i="15"/>
  <c r="BD234" i="15"/>
  <c r="AY234" i="15"/>
  <c r="AX234" i="15"/>
  <c r="AW234" i="15"/>
  <c r="AR234" i="15"/>
  <c r="Z234" i="15"/>
  <c r="R234" i="15"/>
  <c r="AP234" i="15" s="1"/>
  <c r="O234" i="15"/>
  <c r="Q234" i="15" s="1"/>
  <c r="BE233" i="15"/>
  <c r="BD233" i="15"/>
  <c r="BA233" i="15"/>
  <c r="AX233" i="15"/>
  <c r="BB233" i="15" s="1"/>
  <c r="AW233" i="15"/>
  <c r="AR233" i="15"/>
  <c r="Z233" i="15"/>
  <c r="R233" i="15"/>
  <c r="AP233" i="15" s="1"/>
  <c r="O233" i="15"/>
  <c r="Q233" i="15" s="1"/>
  <c r="BE232" i="15"/>
  <c r="BA232" i="15"/>
  <c r="AX232" i="15"/>
  <c r="AW232" i="15"/>
  <c r="AR232" i="15"/>
  <c r="Z232" i="15"/>
  <c r="R232" i="15"/>
  <c r="AP232" i="15" s="1"/>
  <c r="O232" i="15"/>
  <c r="Q232" i="15" s="1"/>
  <c r="BD232" i="15"/>
  <c r="BE231" i="15"/>
  <c r="AY231" i="15"/>
  <c r="AX231" i="15"/>
  <c r="AW231" i="15"/>
  <c r="AR231" i="15"/>
  <c r="Z231" i="15"/>
  <c r="R231" i="15"/>
  <c r="AP231" i="15" s="1"/>
  <c r="O231" i="15"/>
  <c r="Q231" i="15" s="1"/>
  <c r="BD231" i="15"/>
  <c r="BE230" i="15"/>
  <c r="BA230" i="15"/>
  <c r="AX230" i="15"/>
  <c r="AW230" i="15"/>
  <c r="AR230" i="15"/>
  <c r="Z230" i="15"/>
  <c r="R230" i="15"/>
  <c r="AP230" i="15" s="1"/>
  <c r="O230" i="15"/>
  <c r="Q230" i="15" s="1"/>
  <c r="BD230" i="15"/>
  <c r="BE229" i="15"/>
  <c r="BA229" i="15"/>
  <c r="AX229" i="15"/>
  <c r="AW229" i="15"/>
  <c r="AR229" i="15"/>
  <c r="Z229" i="15"/>
  <c r="R229" i="15"/>
  <c r="AP229" i="15" s="1"/>
  <c r="O229" i="15"/>
  <c r="Q229" i="15" s="1"/>
  <c r="BD229" i="15"/>
  <c r="BE228" i="15"/>
  <c r="BA228" i="15"/>
  <c r="AY228" i="15"/>
  <c r="AW228" i="15"/>
  <c r="AR228" i="15"/>
  <c r="Z228" i="15"/>
  <c r="R228" i="15"/>
  <c r="AP228" i="15" s="1"/>
  <c r="O228" i="15"/>
  <c r="Q228" i="15" s="1"/>
  <c r="BE227" i="15"/>
  <c r="BA227" i="15"/>
  <c r="AY227" i="15"/>
  <c r="AW227" i="15"/>
  <c r="AR227" i="15"/>
  <c r="Z227" i="15"/>
  <c r="R227" i="15"/>
  <c r="AP227" i="15" s="1"/>
  <c r="O227" i="15"/>
  <c r="Q227" i="15" s="1"/>
  <c r="BE226" i="15"/>
  <c r="BD226" i="15"/>
  <c r="BA226" i="15"/>
  <c r="AX226" i="15"/>
  <c r="AW226" i="15"/>
  <c r="AR226" i="15"/>
  <c r="Z226" i="15"/>
  <c r="R226" i="15"/>
  <c r="AP226" i="15" s="1"/>
  <c r="O226" i="15"/>
  <c r="Q226" i="15" s="1"/>
  <c r="BE225" i="15"/>
  <c r="BA225" i="15"/>
  <c r="AX225" i="15"/>
  <c r="AW225" i="15"/>
  <c r="AR225" i="15"/>
  <c r="Z225" i="15"/>
  <c r="R225" i="15"/>
  <c r="AP225" i="15" s="1"/>
  <c r="O225" i="15"/>
  <c r="Q225" i="15" s="1"/>
  <c r="BD225" i="15"/>
  <c r="BE224" i="15"/>
  <c r="BA224" i="15"/>
  <c r="AX224" i="15"/>
  <c r="AW224" i="15"/>
  <c r="AR224" i="15"/>
  <c r="Z224" i="15"/>
  <c r="R224" i="15"/>
  <c r="AP224" i="15" s="1"/>
  <c r="O224" i="15"/>
  <c r="Q224" i="15" s="1"/>
  <c r="BD224" i="15"/>
  <c r="BE223" i="15"/>
  <c r="BD223" i="15"/>
  <c r="BA223" i="15"/>
  <c r="AX223" i="15"/>
  <c r="AW223" i="15"/>
  <c r="AR223" i="15"/>
  <c r="Z223" i="15"/>
  <c r="R223" i="15"/>
  <c r="AP223" i="15" s="1"/>
  <c r="O223" i="15"/>
  <c r="Q223" i="15" s="1"/>
  <c r="BE222" i="15"/>
  <c r="BD222" i="15"/>
  <c r="BA222" i="15"/>
  <c r="AX222" i="15"/>
  <c r="AW222" i="15"/>
  <c r="AR222" i="15"/>
  <c r="Z222" i="15"/>
  <c r="R222" i="15"/>
  <c r="AP222" i="15" s="1"/>
  <c r="O222" i="15"/>
  <c r="Q222" i="15" s="1"/>
  <c r="BE221" i="15"/>
  <c r="BA221" i="15"/>
  <c r="AX221" i="15"/>
  <c r="AW221" i="15"/>
  <c r="AR221" i="15"/>
  <c r="Z221" i="15"/>
  <c r="R221" i="15"/>
  <c r="AP221" i="15" s="1"/>
  <c r="O221" i="15"/>
  <c r="Q221" i="15" s="1"/>
  <c r="BD221" i="15"/>
  <c r="BE220" i="15"/>
  <c r="BA220" i="15"/>
  <c r="AX220" i="15"/>
  <c r="AW220" i="15"/>
  <c r="AR220" i="15"/>
  <c r="Z220" i="15"/>
  <c r="R220" i="15"/>
  <c r="AP220" i="15" s="1"/>
  <c r="O220" i="15"/>
  <c r="Q220" i="15" s="1"/>
  <c r="BD220" i="15"/>
  <c r="BE219" i="15"/>
  <c r="BA219" i="15"/>
  <c r="AY219" i="15"/>
  <c r="AW219" i="15"/>
  <c r="AR219" i="15"/>
  <c r="Z219" i="15"/>
  <c r="R219" i="15"/>
  <c r="AP219" i="15" s="1"/>
  <c r="O219" i="15"/>
  <c r="Q219" i="15" s="1"/>
  <c r="BE218" i="15"/>
  <c r="BD218" i="15"/>
  <c r="BA218" i="15"/>
  <c r="AX218" i="15"/>
  <c r="AW218" i="15"/>
  <c r="AR218" i="15"/>
  <c r="Z218" i="15"/>
  <c r="R218" i="15"/>
  <c r="AP218" i="15" s="1"/>
  <c r="O218" i="15"/>
  <c r="Q218" i="15" s="1"/>
  <c r="BE217" i="15"/>
  <c r="BA217" i="15"/>
  <c r="AX217" i="15"/>
  <c r="AW217" i="15"/>
  <c r="AR217" i="15"/>
  <c r="Z217" i="15"/>
  <c r="R217" i="15"/>
  <c r="AP217" i="15" s="1"/>
  <c r="O217" i="15"/>
  <c r="Q217" i="15" s="1"/>
  <c r="BE216" i="15"/>
  <c r="BA216" i="15"/>
  <c r="AY216" i="15"/>
  <c r="AW216" i="15"/>
  <c r="AR216" i="15"/>
  <c r="Z216" i="15"/>
  <c r="R216" i="15"/>
  <c r="AP216" i="15" s="1"/>
  <c r="O216" i="15"/>
  <c r="Q216" i="15" s="1"/>
  <c r="BE215" i="15"/>
  <c r="BA215" i="15"/>
  <c r="AX215" i="15"/>
  <c r="AW215" i="15"/>
  <c r="AR215" i="15"/>
  <c r="Z215" i="15"/>
  <c r="R215" i="15"/>
  <c r="AP215" i="15" s="1"/>
  <c r="O215" i="15"/>
  <c r="Q215" i="15" s="1"/>
  <c r="BD215" i="15"/>
  <c r="BE214" i="15"/>
  <c r="BA214" i="15"/>
  <c r="AY214" i="15"/>
  <c r="AX214" i="15"/>
  <c r="AW214" i="15"/>
  <c r="AR214" i="15"/>
  <c r="Z214" i="15"/>
  <c r="R214" i="15"/>
  <c r="AP214" i="15" s="1"/>
  <c r="O214" i="15"/>
  <c r="Q214" i="15" s="1"/>
  <c r="BE213" i="15"/>
  <c r="BA213" i="15"/>
  <c r="AX213" i="15"/>
  <c r="AW213" i="15"/>
  <c r="AR213" i="15"/>
  <c r="Z213" i="15"/>
  <c r="R213" i="15"/>
  <c r="AP213" i="15" s="1"/>
  <c r="O213" i="15"/>
  <c r="Q213" i="15" s="1"/>
  <c r="BD213" i="15"/>
  <c r="BE212" i="15"/>
  <c r="BA212" i="15"/>
  <c r="AX212" i="15"/>
  <c r="AW212" i="15"/>
  <c r="AR212" i="15"/>
  <c r="Z212" i="15"/>
  <c r="R212" i="15"/>
  <c r="AP212" i="15" s="1"/>
  <c r="O212" i="15"/>
  <c r="Q212" i="15" s="1"/>
  <c r="BD212" i="15"/>
  <c r="BE211" i="15"/>
  <c r="BD211" i="15"/>
  <c r="BA211" i="15"/>
  <c r="AX211" i="15"/>
  <c r="AW211" i="15"/>
  <c r="AR211" i="15"/>
  <c r="Z211" i="15"/>
  <c r="R211" i="15"/>
  <c r="AP211" i="15" s="1"/>
  <c r="O211" i="15"/>
  <c r="Q211" i="15" s="1"/>
  <c r="BE210" i="15"/>
  <c r="BA210" i="15"/>
  <c r="AY210" i="15"/>
  <c r="AX210" i="15"/>
  <c r="AW210" i="15"/>
  <c r="AR210" i="15"/>
  <c r="Z210" i="15"/>
  <c r="R210" i="15"/>
  <c r="AP210" i="15" s="1"/>
  <c r="O210" i="15"/>
  <c r="Q210" i="15" s="1"/>
  <c r="BE209" i="15"/>
  <c r="BA209" i="15"/>
  <c r="AY209" i="15"/>
  <c r="AX209" i="15"/>
  <c r="AW209" i="15"/>
  <c r="AR209" i="15"/>
  <c r="Z209" i="15"/>
  <c r="R209" i="15"/>
  <c r="AP209" i="15" s="1"/>
  <c r="O209" i="15"/>
  <c r="Q209" i="15" s="1"/>
  <c r="BD209" i="15"/>
  <c r="BE208" i="15"/>
  <c r="BA208" i="15"/>
  <c r="AX208" i="15"/>
  <c r="AW208" i="15"/>
  <c r="AR208" i="15"/>
  <c r="Z208" i="15"/>
  <c r="R208" i="15"/>
  <c r="AP208" i="15" s="1"/>
  <c r="O208" i="15"/>
  <c r="Q208" i="15" s="1"/>
  <c r="BD208" i="15"/>
  <c r="BE207" i="15"/>
  <c r="BA207" i="15"/>
  <c r="AY207" i="15"/>
  <c r="AX207" i="15"/>
  <c r="Z207" i="15"/>
  <c r="R207" i="15"/>
  <c r="AP207" i="15" s="1"/>
  <c r="O207" i="15"/>
  <c r="Q207" i="15" s="1"/>
  <c r="BE206" i="15"/>
  <c r="BA206" i="15"/>
  <c r="AY206" i="15"/>
  <c r="AX206" i="15"/>
  <c r="Z206" i="15"/>
  <c r="R206" i="15"/>
  <c r="AP206" i="15" s="1"/>
  <c r="O206" i="15"/>
  <c r="Q206" i="15" s="1"/>
  <c r="BE205" i="15"/>
  <c r="BA205" i="15"/>
  <c r="AX205" i="15"/>
  <c r="AW205" i="15"/>
  <c r="AR205" i="15"/>
  <c r="Z205" i="15"/>
  <c r="R205" i="15"/>
  <c r="AP205" i="15" s="1"/>
  <c r="O205" i="15"/>
  <c r="Q205" i="15" s="1"/>
  <c r="BD205" i="15"/>
  <c r="BE204" i="15"/>
  <c r="BA204" i="15"/>
  <c r="AY204" i="15"/>
  <c r="AW204" i="15"/>
  <c r="AR204" i="15"/>
  <c r="Z204" i="15"/>
  <c r="R204" i="15"/>
  <c r="AP204" i="15" s="1"/>
  <c r="O204" i="15"/>
  <c r="Q204" i="15" s="1"/>
  <c r="BE203" i="15"/>
  <c r="BA203" i="15"/>
  <c r="AY203" i="15"/>
  <c r="AW203" i="15"/>
  <c r="AR203" i="15"/>
  <c r="Z203" i="15"/>
  <c r="R203" i="15"/>
  <c r="AP203" i="15" s="1"/>
  <c r="O203" i="15"/>
  <c r="Q203" i="15" s="1"/>
  <c r="BE202" i="15"/>
  <c r="BA202" i="15"/>
  <c r="AY202" i="15"/>
  <c r="AW202" i="15"/>
  <c r="AR202" i="15"/>
  <c r="Z202" i="15"/>
  <c r="R202" i="15"/>
  <c r="AP202" i="15" s="1"/>
  <c r="O202" i="15"/>
  <c r="Q202" i="15" s="1"/>
  <c r="BE201" i="15"/>
  <c r="BA201" i="15"/>
  <c r="AX201" i="15"/>
  <c r="AW201" i="15"/>
  <c r="AR201" i="15"/>
  <c r="Z201" i="15"/>
  <c r="R201" i="15"/>
  <c r="AP201" i="15" s="1"/>
  <c r="O201" i="15"/>
  <c r="Q201" i="15" s="1"/>
  <c r="BD201" i="15"/>
  <c r="BE200" i="15"/>
  <c r="BA200" i="15"/>
  <c r="AY200" i="15"/>
  <c r="AW200" i="15"/>
  <c r="AR200" i="15"/>
  <c r="Z200" i="15"/>
  <c r="R200" i="15"/>
  <c r="AP200" i="15" s="1"/>
  <c r="O200" i="15"/>
  <c r="Q200" i="15" s="1"/>
  <c r="BE199" i="15"/>
  <c r="BA199" i="15"/>
  <c r="AX199" i="15"/>
  <c r="AW199" i="15"/>
  <c r="AR199" i="15"/>
  <c r="Z199" i="15"/>
  <c r="R199" i="15"/>
  <c r="AP199" i="15" s="1"/>
  <c r="O199" i="15"/>
  <c r="Q199" i="15" s="1"/>
  <c r="BD199" i="15"/>
  <c r="BE198" i="15"/>
  <c r="BA198" i="15"/>
  <c r="AY198" i="15"/>
  <c r="AW198" i="15"/>
  <c r="AR198" i="15"/>
  <c r="Z198" i="15"/>
  <c r="R198" i="15"/>
  <c r="AP198" i="15" s="1"/>
  <c r="O198" i="15"/>
  <c r="Q198" i="15" s="1"/>
  <c r="BE197" i="15"/>
  <c r="BA197" i="15"/>
  <c r="AY197" i="15"/>
  <c r="AW197" i="15"/>
  <c r="AR197" i="15"/>
  <c r="Z197" i="15"/>
  <c r="R197" i="15"/>
  <c r="AP197" i="15" s="1"/>
  <c r="O197" i="15"/>
  <c r="Q197" i="15" s="1"/>
  <c r="BE196" i="15"/>
  <c r="BA196" i="15"/>
  <c r="AY196" i="15"/>
  <c r="AW196" i="15"/>
  <c r="AR196" i="15"/>
  <c r="Z196" i="15"/>
  <c r="R196" i="15"/>
  <c r="AP196" i="15" s="1"/>
  <c r="O196" i="15"/>
  <c r="Q196" i="15" s="1"/>
  <c r="BE195" i="15"/>
  <c r="BA195" i="15"/>
  <c r="AY195" i="15"/>
  <c r="AW195" i="15"/>
  <c r="AR195" i="15"/>
  <c r="Z195" i="15"/>
  <c r="R195" i="15"/>
  <c r="AP195" i="15" s="1"/>
  <c r="O195" i="15"/>
  <c r="Q195" i="15" s="1"/>
  <c r="BE194" i="15"/>
  <c r="BA194" i="15"/>
  <c r="AY194" i="15"/>
  <c r="AW194" i="15"/>
  <c r="AR194" i="15"/>
  <c r="Z194" i="15"/>
  <c r="R194" i="15"/>
  <c r="AP194" i="15" s="1"/>
  <c r="O194" i="15"/>
  <c r="Q194" i="15" s="1"/>
  <c r="BE193" i="15"/>
  <c r="BA193" i="15"/>
  <c r="AY193" i="15"/>
  <c r="BB193" i="15" s="1"/>
  <c r="AW193" i="15"/>
  <c r="AR193" i="15"/>
  <c r="Z193" i="15"/>
  <c r="R193" i="15"/>
  <c r="AP193" i="15" s="1"/>
  <c r="O193" i="15"/>
  <c r="Q193" i="15" s="1"/>
  <c r="BE192" i="15"/>
  <c r="BA192" i="15"/>
  <c r="AX192" i="15"/>
  <c r="AW192" i="15"/>
  <c r="AR192" i="15"/>
  <c r="Z192" i="15"/>
  <c r="R192" i="15"/>
  <c r="AP192" i="15" s="1"/>
  <c r="O192" i="15"/>
  <c r="Q192" i="15" s="1"/>
  <c r="BD192" i="15"/>
  <c r="BE191" i="15"/>
  <c r="BA191" i="15"/>
  <c r="AX191" i="15"/>
  <c r="AW191" i="15"/>
  <c r="AR191" i="15"/>
  <c r="Z191" i="15"/>
  <c r="R191" i="15"/>
  <c r="AP191" i="15" s="1"/>
  <c r="O191" i="15"/>
  <c r="Q191" i="15" s="1"/>
  <c r="BD191" i="15"/>
  <c r="BE190" i="15"/>
  <c r="BA190" i="15"/>
  <c r="AX190" i="15"/>
  <c r="AW190" i="15"/>
  <c r="AR190" i="15"/>
  <c r="Z190" i="15"/>
  <c r="R190" i="15"/>
  <c r="AP190" i="15" s="1"/>
  <c r="O190" i="15"/>
  <c r="Q190" i="15" s="1"/>
  <c r="BD190" i="15"/>
  <c r="BE189" i="15"/>
  <c r="BA189" i="15"/>
  <c r="AX189" i="15"/>
  <c r="BB189" i="15" s="1"/>
  <c r="AW189" i="15"/>
  <c r="AR189" i="15"/>
  <c r="Z189" i="15"/>
  <c r="R189" i="15"/>
  <c r="AP189" i="15" s="1"/>
  <c r="O189" i="15"/>
  <c r="Q189" i="15" s="1"/>
  <c r="BD189" i="15"/>
  <c r="BE188" i="15"/>
  <c r="BA188" i="15"/>
  <c r="AX188" i="15"/>
  <c r="AW188" i="15"/>
  <c r="AR188" i="15"/>
  <c r="Z188" i="15"/>
  <c r="R188" i="15"/>
  <c r="AP188" i="15" s="1"/>
  <c r="O188" i="15"/>
  <c r="Q188" i="15" s="1"/>
  <c r="BD188" i="15"/>
  <c r="BE187" i="15"/>
  <c r="BA187" i="15"/>
  <c r="AX187" i="15"/>
  <c r="AW187" i="15"/>
  <c r="AR187" i="15"/>
  <c r="Z187" i="15"/>
  <c r="R187" i="15"/>
  <c r="AP187" i="15" s="1"/>
  <c r="O187" i="15"/>
  <c r="Q187" i="15" s="1"/>
  <c r="BD187" i="15"/>
  <c r="BE186" i="15"/>
  <c r="BA186" i="15"/>
  <c r="AY186" i="15"/>
  <c r="AW186" i="15"/>
  <c r="AR186" i="15"/>
  <c r="Z186" i="15"/>
  <c r="R186" i="15"/>
  <c r="AP186" i="15" s="1"/>
  <c r="O186" i="15"/>
  <c r="Q186" i="15" s="1"/>
  <c r="BE185" i="15"/>
  <c r="BA185" i="15"/>
  <c r="AY185" i="15"/>
  <c r="AW185" i="15"/>
  <c r="AR185" i="15"/>
  <c r="Z185" i="15"/>
  <c r="R185" i="15"/>
  <c r="AP185" i="15" s="1"/>
  <c r="O185" i="15"/>
  <c r="Q185" i="15" s="1"/>
  <c r="BE184" i="15"/>
  <c r="BA184" i="15"/>
  <c r="AX184" i="15"/>
  <c r="AW184" i="15"/>
  <c r="AR184" i="15"/>
  <c r="Z184" i="15"/>
  <c r="R184" i="15"/>
  <c r="AP184" i="15" s="1"/>
  <c r="O184" i="15"/>
  <c r="Q184" i="15" s="1"/>
  <c r="BD184" i="15"/>
  <c r="BE183" i="15"/>
  <c r="BA183" i="15"/>
  <c r="AX183" i="15"/>
  <c r="AW183" i="15"/>
  <c r="AR183" i="15"/>
  <c r="Z183" i="15"/>
  <c r="R183" i="15"/>
  <c r="AP183" i="15" s="1"/>
  <c r="O183" i="15"/>
  <c r="Q183" i="15" s="1"/>
  <c r="BD183" i="15"/>
  <c r="BE182" i="15"/>
  <c r="BA182" i="15"/>
  <c r="AY182" i="15"/>
  <c r="AW182" i="15"/>
  <c r="AR182" i="15"/>
  <c r="Z182" i="15"/>
  <c r="R182" i="15"/>
  <c r="AP182" i="15" s="1"/>
  <c r="O182" i="15"/>
  <c r="Q182" i="15" s="1"/>
  <c r="BE181" i="15"/>
  <c r="BA181" i="15"/>
  <c r="AY181" i="15"/>
  <c r="AW181" i="15"/>
  <c r="AR181" i="15"/>
  <c r="Z181" i="15"/>
  <c r="R181" i="15"/>
  <c r="AP181" i="15" s="1"/>
  <c r="O181" i="15"/>
  <c r="Q181" i="15" s="1"/>
  <c r="BE180" i="15"/>
  <c r="BA180" i="15"/>
  <c r="AY180" i="15"/>
  <c r="BB180" i="15" s="1"/>
  <c r="Z180" i="15"/>
  <c r="R180" i="15"/>
  <c r="AP180" i="15" s="1"/>
  <c r="O180" i="15"/>
  <c r="Q180" i="15" s="1"/>
  <c r="BE179" i="15"/>
  <c r="BA179" i="15"/>
  <c r="AY179" i="15"/>
  <c r="AW179" i="15"/>
  <c r="AR179" i="15"/>
  <c r="Z179" i="15"/>
  <c r="R179" i="15"/>
  <c r="AP179" i="15" s="1"/>
  <c r="O179" i="15"/>
  <c r="Q179" i="15" s="1"/>
  <c r="BE178" i="15"/>
  <c r="BA178" i="15"/>
  <c r="AY178" i="15"/>
  <c r="BB178" i="15" s="1"/>
  <c r="AW178" i="15"/>
  <c r="AR178" i="15"/>
  <c r="Z178" i="15"/>
  <c r="R178" i="15"/>
  <c r="AP178" i="15" s="1"/>
  <c r="O178" i="15"/>
  <c r="Q178" i="15" s="1"/>
  <c r="BE177" i="15"/>
  <c r="BA177" i="15"/>
  <c r="AY177" i="15"/>
  <c r="AW177" i="15"/>
  <c r="AR177" i="15"/>
  <c r="Z177" i="15"/>
  <c r="R177" i="15"/>
  <c r="AP177" i="15" s="1"/>
  <c r="O177" i="15"/>
  <c r="Q177" i="15" s="1"/>
  <c r="BE176" i="15"/>
  <c r="BA176" i="15"/>
  <c r="AY176" i="15"/>
  <c r="AW176" i="15"/>
  <c r="AR176" i="15"/>
  <c r="Z176" i="15"/>
  <c r="R176" i="15"/>
  <c r="AP176" i="15" s="1"/>
  <c r="O176" i="15"/>
  <c r="Q176" i="15" s="1"/>
  <c r="BE175" i="15"/>
  <c r="BA175" i="15"/>
  <c r="AY175" i="15"/>
  <c r="AX175" i="15"/>
  <c r="AR175" i="15"/>
  <c r="Z175" i="15"/>
  <c r="R175" i="15"/>
  <c r="AP175" i="15" s="1"/>
  <c r="O175" i="15"/>
  <c r="Q175" i="15" s="1"/>
  <c r="BE174" i="15"/>
  <c r="BA174" i="15"/>
  <c r="AY174" i="15"/>
  <c r="AX174" i="15"/>
  <c r="Z174" i="15"/>
  <c r="R174" i="15"/>
  <c r="AP174" i="15" s="1"/>
  <c r="O174" i="15"/>
  <c r="Q174" i="15" s="1"/>
  <c r="BE173" i="15"/>
  <c r="BA173" i="15"/>
  <c r="AY173" i="15"/>
  <c r="AW173" i="15"/>
  <c r="AR173" i="15"/>
  <c r="Z173" i="15"/>
  <c r="R173" i="15"/>
  <c r="AP173" i="15" s="1"/>
  <c r="O173" i="15"/>
  <c r="Q173" i="15" s="1"/>
  <c r="BE172" i="15"/>
  <c r="BA172" i="15"/>
  <c r="AX172" i="15"/>
  <c r="AW172" i="15"/>
  <c r="AR172" i="15"/>
  <c r="Z172" i="15"/>
  <c r="R172" i="15"/>
  <c r="AP172" i="15" s="1"/>
  <c r="O172" i="15"/>
  <c r="Q172" i="15" s="1"/>
  <c r="BD172" i="15"/>
  <c r="BE171" i="15"/>
  <c r="BA171" i="15"/>
  <c r="AY171" i="15"/>
  <c r="AW171" i="15"/>
  <c r="AR171" i="15"/>
  <c r="Z171" i="15"/>
  <c r="R171" i="15"/>
  <c r="AP171" i="15" s="1"/>
  <c r="O171" i="15"/>
  <c r="Q171" i="15" s="1"/>
  <c r="BE170" i="15"/>
  <c r="BA170" i="15"/>
  <c r="AY170" i="15"/>
  <c r="AW170" i="15"/>
  <c r="AR170" i="15"/>
  <c r="Z170" i="15"/>
  <c r="R170" i="15"/>
  <c r="AP170" i="15" s="1"/>
  <c r="O170" i="15"/>
  <c r="Q170" i="15" s="1"/>
  <c r="BE169" i="15"/>
  <c r="BA169" i="15"/>
  <c r="AY169" i="15"/>
  <c r="AX169" i="15"/>
  <c r="Z169" i="15"/>
  <c r="R169" i="15"/>
  <c r="AP169" i="15" s="1"/>
  <c r="O169" i="15"/>
  <c r="Q169" i="15" s="1"/>
  <c r="BE168" i="15"/>
  <c r="BA168" i="15"/>
  <c r="AY168" i="15"/>
  <c r="AW168" i="15"/>
  <c r="AR168" i="15"/>
  <c r="Z168" i="15"/>
  <c r="R168" i="15"/>
  <c r="AP168" i="15" s="1"/>
  <c r="O168" i="15"/>
  <c r="Q168" i="15" s="1"/>
  <c r="BE167" i="15"/>
  <c r="BA167" i="15"/>
  <c r="AY167" i="15"/>
  <c r="AW167" i="15"/>
  <c r="AR167" i="15"/>
  <c r="Z167" i="15"/>
  <c r="R167" i="15"/>
  <c r="AP167" i="15" s="1"/>
  <c r="O167" i="15"/>
  <c r="Q167" i="15" s="1"/>
  <c r="BE166" i="15"/>
  <c r="BA166" i="15"/>
  <c r="AY166" i="15"/>
  <c r="AW166" i="15"/>
  <c r="AR166" i="15"/>
  <c r="Z166" i="15"/>
  <c r="R166" i="15"/>
  <c r="AP166" i="15" s="1"/>
  <c r="O166" i="15"/>
  <c r="Q166" i="15" s="1"/>
  <c r="BE165" i="15"/>
  <c r="BA165" i="15"/>
  <c r="AY165" i="15"/>
  <c r="AW165" i="15"/>
  <c r="AR165" i="15"/>
  <c r="Z165" i="15"/>
  <c r="R165" i="15"/>
  <c r="AP165" i="15" s="1"/>
  <c r="O165" i="15"/>
  <c r="Q165" i="15" s="1"/>
  <c r="BE164" i="15"/>
  <c r="BA164" i="15"/>
  <c r="AX164" i="15"/>
  <c r="AW164" i="15"/>
  <c r="AR164" i="15"/>
  <c r="Z164" i="15"/>
  <c r="R164" i="15"/>
  <c r="AP164" i="15" s="1"/>
  <c r="O164" i="15"/>
  <c r="Q164" i="15" s="1"/>
  <c r="BD164" i="15"/>
  <c r="BE163" i="15"/>
  <c r="BA163" i="15"/>
  <c r="AY163" i="15"/>
  <c r="BB163" i="15" s="1"/>
  <c r="AR163" i="15"/>
  <c r="Z163" i="15"/>
  <c r="R163" i="15"/>
  <c r="AP163" i="15" s="1"/>
  <c r="O163" i="15"/>
  <c r="Q163" i="15" s="1"/>
  <c r="BE162" i="15"/>
  <c r="BA162" i="15"/>
  <c r="AY162" i="15"/>
  <c r="AR162" i="15"/>
  <c r="Z162" i="15"/>
  <c r="R162" i="15"/>
  <c r="AP162" i="15" s="1"/>
  <c r="O162" i="15"/>
  <c r="Q162" i="15" s="1"/>
  <c r="BE161" i="15"/>
  <c r="BA161" i="15"/>
  <c r="AY161" i="15"/>
  <c r="Z161" i="15"/>
  <c r="R161" i="15"/>
  <c r="AP161" i="15" s="1"/>
  <c r="O161" i="15"/>
  <c r="Q161" i="15" s="1"/>
  <c r="BE160" i="15"/>
  <c r="BA160" i="15"/>
  <c r="AY160" i="15"/>
  <c r="AX160" i="15"/>
  <c r="AW160" i="15"/>
  <c r="AR160" i="15"/>
  <c r="Z160" i="15"/>
  <c r="R160" i="15"/>
  <c r="AP160" i="15" s="1"/>
  <c r="O160" i="15"/>
  <c r="Q160" i="15" s="1"/>
  <c r="BE159" i="15"/>
  <c r="BA159" i="15"/>
  <c r="AY159" i="15"/>
  <c r="AX159" i="15"/>
  <c r="AW159" i="15"/>
  <c r="AR159" i="15"/>
  <c r="Z159" i="15"/>
  <c r="R159" i="15"/>
  <c r="AP159" i="15" s="1"/>
  <c r="O159" i="15"/>
  <c r="Q159" i="15" s="1"/>
  <c r="BE158" i="15"/>
  <c r="BA158" i="15"/>
  <c r="AY158" i="15"/>
  <c r="AX158" i="15"/>
  <c r="AW158" i="15"/>
  <c r="AR158" i="15"/>
  <c r="Z158" i="15"/>
  <c r="R158" i="15"/>
  <c r="AP158" i="15" s="1"/>
  <c r="O158" i="15"/>
  <c r="Q158" i="15" s="1"/>
  <c r="BE157" i="15"/>
  <c r="BA157" i="15"/>
  <c r="AY157" i="15"/>
  <c r="AX157" i="15"/>
  <c r="AW157" i="15"/>
  <c r="AR157" i="15"/>
  <c r="Z157" i="15"/>
  <c r="R157" i="15"/>
  <c r="AP157" i="15" s="1"/>
  <c r="O157" i="15"/>
  <c r="Q157" i="15" s="1"/>
  <c r="BE156" i="15"/>
  <c r="BA156" i="15"/>
  <c r="AY156" i="15"/>
  <c r="Z156" i="15"/>
  <c r="R156" i="15"/>
  <c r="AP156" i="15" s="1"/>
  <c r="O156" i="15"/>
  <c r="Q156" i="15" s="1"/>
  <c r="BE155" i="15"/>
  <c r="BA155" i="15"/>
  <c r="AY155" i="15"/>
  <c r="AW155" i="15"/>
  <c r="AR155" i="15"/>
  <c r="Z155" i="15"/>
  <c r="R155" i="15"/>
  <c r="AP155" i="15" s="1"/>
  <c r="O155" i="15"/>
  <c r="Q155" i="15" s="1"/>
  <c r="BE154" i="15"/>
  <c r="BA154" i="15"/>
  <c r="AY154" i="15"/>
  <c r="Z154" i="15"/>
  <c r="R154" i="15"/>
  <c r="AP154" i="15" s="1"/>
  <c r="O154" i="15"/>
  <c r="Q154" i="15" s="1"/>
  <c r="BE153" i="15"/>
  <c r="BA153" i="15"/>
  <c r="AY153" i="15"/>
  <c r="AW153" i="15"/>
  <c r="AR153" i="15"/>
  <c r="Z153" i="15"/>
  <c r="R153" i="15"/>
  <c r="AP153" i="15" s="1"/>
  <c r="O153" i="15"/>
  <c r="Q153" i="15" s="1"/>
  <c r="BE152" i="15"/>
  <c r="BD152" i="15"/>
  <c r="BA152" i="15"/>
  <c r="AX152" i="15"/>
  <c r="AW152" i="15"/>
  <c r="AR152" i="15"/>
  <c r="Z152" i="15"/>
  <c r="R152" i="15"/>
  <c r="AP152" i="15" s="1"/>
  <c r="O152" i="15"/>
  <c r="Q152" i="15" s="1"/>
  <c r="BE151" i="15"/>
  <c r="BA151" i="15"/>
  <c r="AY151" i="15"/>
  <c r="Z151" i="15"/>
  <c r="R151" i="15"/>
  <c r="AP151" i="15" s="1"/>
  <c r="O151" i="15"/>
  <c r="Q151" i="15" s="1"/>
  <c r="BE150" i="15"/>
  <c r="BA150" i="15"/>
  <c r="AY150" i="15"/>
  <c r="AX150" i="15"/>
  <c r="Z150" i="15"/>
  <c r="R150" i="15"/>
  <c r="AP150" i="15" s="1"/>
  <c r="O150" i="15"/>
  <c r="Q150" i="15" s="1"/>
  <c r="BE149" i="15"/>
  <c r="BA149" i="15"/>
  <c r="AY149" i="15"/>
  <c r="AX149" i="15"/>
  <c r="AW149" i="15"/>
  <c r="AR149" i="15"/>
  <c r="Z149" i="15"/>
  <c r="R149" i="15"/>
  <c r="AP149" i="15" s="1"/>
  <c r="O149" i="15"/>
  <c r="Q149" i="15" s="1"/>
  <c r="BE148" i="15"/>
  <c r="BA148" i="15"/>
  <c r="AX148" i="15"/>
  <c r="AW148" i="15"/>
  <c r="AR148" i="15"/>
  <c r="Z148" i="15"/>
  <c r="R148" i="15"/>
  <c r="AP148" i="15" s="1"/>
  <c r="O148" i="15"/>
  <c r="Q148" i="15" s="1"/>
  <c r="BD148" i="15"/>
  <c r="BE147" i="15"/>
  <c r="BA147" i="15"/>
  <c r="AY147" i="15"/>
  <c r="AX147" i="15"/>
  <c r="AW147" i="15"/>
  <c r="AR147" i="15"/>
  <c r="Z147" i="15"/>
  <c r="R147" i="15"/>
  <c r="AP147" i="15" s="1"/>
  <c r="O147" i="15"/>
  <c r="Q147" i="15" s="1"/>
  <c r="BE146" i="15"/>
  <c r="BA146" i="15"/>
  <c r="AY146" i="15"/>
  <c r="BB146" i="15" s="1"/>
  <c r="Z146" i="15"/>
  <c r="R146" i="15"/>
  <c r="AP146" i="15" s="1"/>
  <c r="O146" i="15"/>
  <c r="Q146" i="15" s="1"/>
  <c r="BE145" i="15"/>
  <c r="BA145" i="15"/>
  <c r="AY145" i="15"/>
  <c r="AX145" i="15"/>
  <c r="AW145" i="15"/>
  <c r="AR145" i="15"/>
  <c r="Z145" i="15"/>
  <c r="R145" i="15"/>
  <c r="AP145" i="15" s="1"/>
  <c r="O145" i="15"/>
  <c r="Q145" i="15" s="1"/>
  <c r="BE144" i="15"/>
  <c r="BA144" i="15"/>
  <c r="AY144" i="15"/>
  <c r="AX144" i="15"/>
  <c r="AW144" i="15"/>
  <c r="AR144" i="15"/>
  <c r="Z144" i="15"/>
  <c r="R144" i="15"/>
  <c r="AP144" i="15" s="1"/>
  <c r="O144" i="15"/>
  <c r="Q144" i="15" s="1"/>
  <c r="BE143" i="15"/>
  <c r="BA143" i="15"/>
  <c r="AY143" i="15"/>
  <c r="Z143" i="15"/>
  <c r="R143" i="15"/>
  <c r="AP143" i="15" s="1"/>
  <c r="O143" i="15"/>
  <c r="Q143" i="15" s="1"/>
  <c r="BE142" i="15"/>
  <c r="BA142" i="15"/>
  <c r="AY142" i="15"/>
  <c r="AX142" i="15"/>
  <c r="AW142" i="15"/>
  <c r="AR142" i="15"/>
  <c r="Z142" i="15"/>
  <c r="R142" i="15"/>
  <c r="AP142" i="15" s="1"/>
  <c r="O142" i="15"/>
  <c r="Q142" i="15" s="1"/>
  <c r="BE141" i="15"/>
  <c r="BA141" i="15"/>
  <c r="AX141" i="15"/>
  <c r="AW141" i="15"/>
  <c r="AR141" i="15"/>
  <c r="Z141" i="15"/>
  <c r="R141" i="15"/>
  <c r="AP141" i="15" s="1"/>
  <c r="O141" i="15"/>
  <c r="Q141" i="15" s="1"/>
  <c r="BD141" i="15"/>
  <c r="BE140" i="15"/>
  <c r="BA140" i="15"/>
  <c r="AY140" i="15"/>
  <c r="AX140" i="15"/>
  <c r="Z140" i="15"/>
  <c r="R140" i="15"/>
  <c r="AP140" i="15" s="1"/>
  <c r="O140" i="15"/>
  <c r="Q140" i="15" s="1"/>
  <c r="BE139" i="15"/>
  <c r="BA139" i="15"/>
  <c r="AY139" i="15"/>
  <c r="AW139" i="15"/>
  <c r="AR139" i="15"/>
  <c r="Z139" i="15"/>
  <c r="R139" i="15"/>
  <c r="AP139" i="15" s="1"/>
  <c r="O139" i="15"/>
  <c r="Q139" i="15" s="1"/>
  <c r="BE138" i="15"/>
  <c r="BA138" i="15"/>
  <c r="AY138" i="15"/>
  <c r="Z138" i="15"/>
  <c r="R138" i="15"/>
  <c r="AP138" i="15" s="1"/>
  <c r="O138" i="15"/>
  <c r="Q138" i="15" s="1"/>
  <c r="BE137" i="15"/>
  <c r="BA137" i="15"/>
  <c r="AY137" i="15"/>
  <c r="AW137" i="15"/>
  <c r="AR137" i="15"/>
  <c r="Z137" i="15"/>
  <c r="R137" i="15"/>
  <c r="AP137" i="15" s="1"/>
  <c r="O137" i="15"/>
  <c r="Q137" i="15" s="1"/>
  <c r="BE136" i="15"/>
  <c r="BA136" i="15"/>
  <c r="AY136" i="15"/>
  <c r="AW136" i="15"/>
  <c r="AR136" i="15"/>
  <c r="Z136" i="15"/>
  <c r="R136" i="15"/>
  <c r="AP136" i="15" s="1"/>
  <c r="O136" i="15"/>
  <c r="Q136" i="15" s="1"/>
  <c r="BE135" i="15"/>
  <c r="BA135" i="15"/>
  <c r="AY135" i="15"/>
  <c r="AW135" i="15"/>
  <c r="AR135" i="15"/>
  <c r="Z135" i="15"/>
  <c r="R135" i="15"/>
  <c r="AP135" i="15" s="1"/>
  <c r="O135" i="15"/>
  <c r="Q135" i="15" s="1"/>
  <c r="BE134" i="15"/>
  <c r="BA134" i="15"/>
  <c r="AY134" i="15"/>
  <c r="AW134" i="15"/>
  <c r="AR134" i="15"/>
  <c r="Z134" i="15"/>
  <c r="R134" i="15"/>
  <c r="AP134" i="15" s="1"/>
  <c r="O134" i="15"/>
  <c r="Q134" i="15" s="1"/>
  <c r="BE133" i="15"/>
  <c r="BA133" i="15"/>
  <c r="AY133" i="15"/>
  <c r="BB133" i="15" s="1"/>
  <c r="AW133" i="15"/>
  <c r="AR133" i="15"/>
  <c r="Z133" i="15"/>
  <c r="R133" i="15"/>
  <c r="AP133" i="15" s="1"/>
  <c r="O133" i="15"/>
  <c r="Q133" i="15" s="1"/>
  <c r="BE132" i="15"/>
  <c r="BA132" i="15"/>
  <c r="AY132" i="15"/>
  <c r="AX132" i="15"/>
  <c r="Z132" i="15"/>
  <c r="R132" i="15"/>
  <c r="AP132" i="15" s="1"/>
  <c r="O132" i="15"/>
  <c r="Q132" i="15" s="1"/>
  <c r="BE131" i="15"/>
  <c r="BA131" i="15"/>
  <c r="AY131" i="15"/>
  <c r="AX131" i="15"/>
  <c r="AW131" i="15"/>
  <c r="AR131" i="15"/>
  <c r="Z131" i="15"/>
  <c r="R131" i="15"/>
  <c r="AP131" i="15" s="1"/>
  <c r="O131" i="15"/>
  <c r="Q131" i="15" s="1"/>
  <c r="BE130" i="15"/>
  <c r="BA130" i="15"/>
  <c r="AX130" i="15"/>
  <c r="AW130" i="15"/>
  <c r="AR130" i="15"/>
  <c r="Z130" i="15"/>
  <c r="R130" i="15"/>
  <c r="AP130" i="15" s="1"/>
  <c r="O130" i="15"/>
  <c r="Q130" i="15" s="1"/>
  <c r="BD130" i="15"/>
  <c r="BE129" i="15"/>
  <c r="BA129" i="15"/>
  <c r="AY129" i="15"/>
  <c r="AX129" i="15"/>
  <c r="AW129" i="15"/>
  <c r="AR129" i="15"/>
  <c r="Z129" i="15"/>
  <c r="R129" i="15"/>
  <c r="AP129" i="15" s="1"/>
  <c r="O129" i="15"/>
  <c r="Q129" i="15" s="1"/>
  <c r="BE128" i="15"/>
  <c r="BA128" i="15"/>
  <c r="AY128" i="15"/>
  <c r="AW128" i="15"/>
  <c r="AR128" i="15"/>
  <c r="Z128" i="15"/>
  <c r="R128" i="15"/>
  <c r="AP128" i="15" s="1"/>
  <c r="O128" i="15"/>
  <c r="Q128" i="15" s="1"/>
  <c r="BE127" i="15"/>
  <c r="BA127" i="15"/>
  <c r="AY127" i="15"/>
  <c r="BB127" i="15" s="1"/>
  <c r="Z127" i="15"/>
  <c r="R127" i="15"/>
  <c r="AP127" i="15" s="1"/>
  <c r="O127" i="15"/>
  <c r="Q127" i="15" s="1"/>
  <c r="BE126" i="15"/>
  <c r="BA126" i="15"/>
  <c r="AY126" i="15"/>
  <c r="Z126" i="15"/>
  <c r="R126" i="15"/>
  <c r="AP126" i="15" s="1"/>
  <c r="O126" i="15"/>
  <c r="Q126" i="15" s="1"/>
  <c r="BE125" i="15"/>
  <c r="BA125" i="15"/>
  <c r="AY125" i="15"/>
  <c r="AR125" i="15"/>
  <c r="Z125" i="15"/>
  <c r="R125" i="15"/>
  <c r="AP125" i="15" s="1"/>
  <c r="O125" i="15"/>
  <c r="Q125" i="15" s="1"/>
  <c r="BE124" i="15"/>
  <c r="BA124" i="15"/>
  <c r="AX124" i="15"/>
  <c r="AW124" i="15"/>
  <c r="AR124" i="15"/>
  <c r="Z124" i="15"/>
  <c r="R124" i="15"/>
  <c r="AP124" i="15" s="1"/>
  <c r="O124" i="15"/>
  <c r="Q124" i="15" s="1"/>
  <c r="BD124" i="15"/>
  <c r="BE123" i="15"/>
  <c r="BA123" i="15"/>
  <c r="AY123" i="15"/>
  <c r="AR123" i="15"/>
  <c r="Z123" i="15"/>
  <c r="R123" i="15"/>
  <c r="AP123" i="15" s="1"/>
  <c r="O123" i="15"/>
  <c r="Q123" i="15" s="1"/>
  <c r="BE122" i="15"/>
  <c r="BA122" i="15"/>
  <c r="AY122" i="15"/>
  <c r="AW122" i="15"/>
  <c r="AR122" i="15"/>
  <c r="Z122" i="15"/>
  <c r="R122" i="15"/>
  <c r="AP122" i="15" s="1"/>
  <c r="O122" i="15"/>
  <c r="Q122" i="15" s="1"/>
  <c r="BE121" i="15"/>
  <c r="BA121" i="15"/>
  <c r="AY121" i="15"/>
  <c r="AW121" i="15"/>
  <c r="AR121" i="15"/>
  <c r="Z121" i="15"/>
  <c r="R121" i="15"/>
  <c r="AP121" i="15" s="1"/>
  <c r="O121" i="15"/>
  <c r="Q121" i="15" s="1"/>
  <c r="BE120" i="15"/>
  <c r="BA120" i="15"/>
  <c r="AY120" i="15"/>
  <c r="AX120" i="15"/>
  <c r="Z120" i="15"/>
  <c r="R120" i="15"/>
  <c r="AP120" i="15" s="1"/>
  <c r="O120" i="15"/>
  <c r="Q120" i="15" s="1"/>
  <c r="BE119" i="15"/>
  <c r="BA119" i="15"/>
  <c r="AY119" i="15"/>
  <c r="AX119" i="15"/>
  <c r="AW119" i="15"/>
  <c r="AR119" i="15"/>
  <c r="Z119" i="15"/>
  <c r="R119" i="15"/>
  <c r="AP119" i="15" s="1"/>
  <c r="O119" i="15"/>
  <c r="Q119" i="15" s="1"/>
  <c r="BE118" i="15"/>
  <c r="BA118" i="15"/>
  <c r="AY118" i="15"/>
  <c r="AX118" i="15"/>
  <c r="BB118" i="15" s="1"/>
  <c r="AW118" i="15"/>
  <c r="AR118" i="15"/>
  <c r="Z118" i="15"/>
  <c r="R118" i="15"/>
  <c r="AP118" i="15" s="1"/>
  <c r="O118" i="15"/>
  <c r="Q118" i="15" s="1"/>
  <c r="BE117" i="15"/>
  <c r="BA117" i="15"/>
  <c r="AY117" i="15"/>
  <c r="AX117" i="15"/>
  <c r="AW117" i="15"/>
  <c r="AR117" i="15"/>
  <c r="Z117" i="15"/>
  <c r="R117" i="15"/>
  <c r="AP117" i="15" s="1"/>
  <c r="O117" i="15"/>
  <c r="Q117" i="15" s="1"/>
  <c r="BE116" i="15"/>
  <c r="BA116" i="15"/>
  <c r="AY116" i="15"/>
  <c r="AX116" i="15"/>
  <c r="BB116" i="15" s="1"/>
  <c r="AW116" i="15"/>
  <c r="AR116" i="15"/>
  <c r="Z116" i="15"/>
  <c r="R116" i="15"/>
  <c r="AP116" i="15" s="1"/>
  <c r="O116" i="15"/>
  <c r="Q116" i="15" s="1"/>
  <c r="BE115" i="15"/>
  <c r="BA115" i="15"/>
  <c r="AY115" i="15"/>
  <c r="Z115" i="15"/>
  <c r="R115" i="15"/>
  <c r="AP115" i="15" s="1"/>
  <c r="O115" i="15"/>
  <c r="Q115" i="15" s="1"/>
  <c r="BE114" i="15"/>
  <c r="BA114" i="15"/>
  <c r="AY114" i="15"/>
  <c r="Z114" i="15"/>
  <c r="R114" i="15"/>
  <c r="AP114" i="15" s="1"/>
  <c r="O114" i="15"/>
  <c r="Q114" i="15" s="1"/>
  <c r="BE113" i="15"/>
  <c r="BA113" i="15"/>
  <c r="AY113" i="15"/>
  <c r="AW113" i="15"/>
  <c r="AR113" i="15"/>
  <c r="Z113" i="15"/>
  <c r="R113" i="15"/>
  <c r="AP113" i="15" s="1"/>
  <c r="O113" i="15"/>
  <c r="Q113" i="15" s="1"/>
  <c r="BE112" i="15"/>
  <c r="BA112" i="15"/>
  <c r="AY112" i="15"/>
  <c r="Z112" i="15"/>
  <c r="R112" i="15"/>
  <c r="AP112" i="15" s="1"/>
  <c r="O112" i="15"/>
  <c r="Q112" i="15" s="1"/>
  <c r="BE111" i="15"/>
  <c r="BA111" i="15"/>
  <c r="AY111" i="15"/>
  <c r="AX111" i="15"/>
  <c r="Z111" i="15"/>
  <c r="R111" i="15"/>
  <c r="AP111" i="15" s="1"/>
  <c r="O111" i="15"/>
  <c r="Q111" i="15" s="1"/>
  <c r="BE110" i="15"/>
  <c r="BA110" i="15"/>
  <c r="AY110" i="15"/>
  <c r="AX110" i="15"/>
  <c r="Z110" i="15"/>
  <c r="R110" i="15"/>
  <c r="AP110" i="15" s="1"/>
  <c r="O110" i="15"/>
  <c r="Q110" i="15" s="1"/>
  <c r="BE109" i="15"/>
  <c r="BA109" i="15"/>
  <c r="AY109" i="15"/>
  <c r="AX109" i="15"/>
  <c r="Z109" i="15"/>
  <c r="R109" i="15"/>
  <c r="AP109" i="15" s="1"/>
  <c r="O109" i="15"/>
  <c r="Q109" i="15" s="1"/>
  <c r="BE108" i="15"/>
  <c r="BD108" i="15"/>
  <c r="BA108" i="15"/>
  <c r="AX108" i="15"/>
  <c r="BB108" i="15" s="1"/>
  <c r="AW108" i="15"/>
  <c r="AR108" i="15"/>
  <c r="Z108" i="15"/>
  <c r="R108" i="15"/>
  <c r="AP108" i="15" s="1"/>
  <c r="O108" i="15"/>
  <c r="Q108" i="15" s="1"/>
  <c r="BE107" i="15"/>
  <c r="BA107" i="15"/>
  <c r="AY107" i="15"/>
  <c r="AX107" i="15"/>
  <c r="Z107" i="15"/>
  <c r="R107" i="15"/>
  <c r="AP107" i="15" s="1"/>
  <c r="O107" i="15"/>
  <c r="Q107" i="15" s="1"/>
  <c r="BE106" i="15"/>
  <c r="BA106" i="15"/>
  <c r="AY106" i="15"/>
  <c r="AX106" i="15"/>
  <c r="Z106" i="15"/>
  <c r="R106" i="15"/>
  <c r="AP106" i="15" s="1"/>
  <c r="O106" i="15"/>
  <c r="Q106" i="15" s="1"/>
  <c r="BE105" i="15"/>
  <c r="BA105" i="15"/>
  <c r="AY105" i="15"/>
  <c r="AW105" i="15"/>
  <c r="AR105" i="15"/>
  <c r="Z105" i="15"/>
  <c r="R105" i="15"/>
  <c r="AP105" i="15" s="1"/>
  <c r="O105" i="15"/>
  <c r="Q105" i="15" s="1"/>
  <c r="BE104" i="15"/>
  <c r="BA104" i="15"/>
  <c r="AY104" i="15"/>
  <c r="AW104" i="15"/>
  <c r="AR104" i="15"/>
  <c r="Z104" i="15"/>
  <c r="R104" i="15"/>
  <c r="AP104" i="15" s="1"/>
  <c r="O104" i="15"/>
  <c r="Q104" i="15" s="1"/>
  <c r="BE103" i="15"/>
  <c r="BA103" i="15"/>
  <c r="AY103" i="15"/>
  <c r="AW103" i="15"/>
  <c r="AR103" i="15"/>
  <c r="Z103" i="15"/>
  <c r="R103" i="15"/>
  <c r="AP103" i="15" s="1"/>
  <c r="O103" i="15"/>
  <c r="Q103" i="15" s="1"/>
  <c r="BE102" i="15"/>
  <c r="BA102" i="15"/>
  <c r="AX102" i="15"/>
  <c r="AW102" i="15"/>
  <c r="AR102" i="15"/>
  <c r="Z102" i="15"/>
  <c r="R102" i="15"/>
  <c r="AP102" i="15" s="1"/>
  <c r="O102" i="15"/>
  <c r="Q102" i="15" s="1"/>
  <c r="BD102" i="15"/>
  <c r="BE101" i="15"/>
  <c r="BA101" i="15"/>
  <c r="AY101" i="15"/>
  <c r="AW101" i="15"/>
  <c r="AR101" i="15"/>
  <c r="Z101" i="15"/>
  <c r="R101" i="15"/>
  <c r="AP101" i="15" s="1"/>
  <c r="O101" i="15"/>
  <c r="Q101" i="15" s="1"/>
  <c r="BE100" i="15"/>
  <c r="BD100" i="15"/>
  <c r="BA100" i="15"/>
  <c r="AX100" i="15"/>
  <c r="AW100" i="15"/>
  <c r="AR100" i="15"/>
  <c r="Z100" i="15"/>
  <c r="R100" i="15"/>
  <c r="AP100" i="15" s="1"/>
  <c r="O100" i="15"/>
  <c r="Q100" i="15" s="1"/>
  <c r="BE99" i="15"/>
  <c r="BA99" i="15"/>
  <c r="AY99" i="15"/>
  <c r="AW99" i="15"/>
  <c r="AR99" i="15"/>
  <c r="Z99" i="15"/>
  <c r="R99" i="15"/>
  <c r="AP99" i="15" s="1"/>
  <c r="O99" i="15"/>
  <c r="Q99" i="15" s="1"/>
  <c r="BE98" i="15"/>
  <c r="BA98" i="15"/>
  <c r="AY98" i="15"/>
  <c r="AW98" i="15"/>
  <c r="AR98" i="15"/>
  <c r="Z98" i="15"/>
  <c r="R98" i="15"/>
  <c r="AP98" i="15" s="1"/>
  <c r="O98" i="15"/>
  <c r="Q98" i="15" s="1"/>
  <c r="BE97" i="15"/>
  <c r="BA97" i="15"/>
  <c r="AY97" i="15"/>
  <c r="BB97" i="15" s="1"/>
  <c r="AW97" i="15"/>
  <c r="AR97" i="15"/>
  <c r="Z97" i="15"/>
  <c r="R97" i="15"/>
  <c r="AP97" i="15" s="1"/>
  <c r="O97" i="15"/>
  <c r="Q97" i="15" s="1"/>
  <c r="BE96" i="15"/>
  <c r="BA96" i="15"/>
  <c r="AX96" i="15"/>
  <c r="BB96" i="15" s="1"/>
  <c r="AW96" i="15"/>
  <c r="AR96" i="15"/>
  <c r="Z96" i="15"/>
  <c r="R96" i="15"/>
  <c r="AP96" i="15" s="1"/>
  <c r="O96" i="15"/>
  <c r="Q96" i="15" s="1"/>
  <c r="BD96" i="15"/>
  <c r="BE95" i="15"/>
  <c r="BA95" i="15"/>
  <c r="AY95" i="15"/>
  <c r="AW95" i="15"/>
  <c r="AR95" i="15"/>
  <c r="Z95" i="15"/>
  <c r="R95" i="15"/>
  <c r="AP95" i="15" s="1"/>
  <c r="O95" i="15"/>
  <c r="Q95" i="15" s="1"/>
  <c r="BE94" i="15"/>
  <c r="BA94" i="15"/>
  <c r="AY94" i="15"/>
  <c r="BB94" i="15" s="1"/>
  <c r="AW94" i="15"/>
  <c r="AR94" i="15"/>
  <c r="Z94" i="15"/>
  <c r="R94" i="15"/>
  <c r="AP94" i="15" s="1"/>
  <c r="O94" i="15"/>
  <c r="Q94" i="15" s="1"/>
  <c r="BE93" i="15"/>
  <c r="BA93" i="15"/>
  <c r="AY93" i="15"/>
  <c r="AW93" i="15"/>
  <c r="AR93" i="15"/>
  <c r="Z93" i="15"/>
  <c r="R93" i="15"/>
  <c r="AP93" i="15" s="1"/>
  <c r="O93" i="15"/>
  <c r="Q93" i="15" s="1"/>
  <c r="BE92" i="15"/>
  <c r="BA92" i="15"/>
  <c r="AY92" i="15"/>
  <c r="Z92" i="15"/>
  <c r="R92" i="15"/>
  <c r="AP92" i="15" s="1"/>
  <c r="O92" i="15"/>
  <c r="Q92" i="15" s="1"/>
  <c r="BE91" i="15"/>
  <c r="BA91" i="15"/>
  <c r="AX91" i="15"/>
  <c r="AW91" i="15"/>
  <c r="AR91" i="15"/>
  <c r="Z91" i="15"/>
  <c r="R91" i="15"/>
  <c r="AP91" i="15" s="1"/>
  <c r="O91" i="15"/>
  <c r="Q91" i="15" s="1"/>
  <c r="BD91" i="15"/>
  <c r="BE90" i="15"/>
  <c r="BA90" i="15"/>
  <c r="AY90" i="15"/>
  <c r="AX90" i="15"/>
  <c r="Z90" i="15"/>
  <c r="R90" i="15"/>
  <c r="AP90" i="15" s="1"/>
  <c r="O90" i="15"/>
  <c r="Q90" i="15" s="1"/>
  <c r="BE89" i="15"/>
  <c r="BA89" i="15"/>
  <c r="AY89" i="15"/>
  <c r="AX89" i="15"/>
  <c r="Z89" i="15"/>
  <c r="R89" i="15"/>
  <c r="AP89" i="15" s="1"/>
  <c r="O89" i="15"/>
  <c r="Q89" i="15" s="1"/>
  <c r="BE88" i="15"/>
  <c r="BA88" i="15"/>
  <c r="AY88" i="15"/>
  <c r="AX88" i="15"/>
  <c r="Z88" i="15"/>
  <c r="R88" i="15"/>
  <c r="AP88" i="15" s="1"/>
  <c r="O88" i="15"/>
  <c r="Q88" i="15" s="1"/>
  <c r="BE87" i="15"/>
  <c r="BA87" i="15"/>
  <c r="AY87" i="15"/>
  <c r="AX87" i="15"/>
  <c r="Z87" i="15"/>
  <c r="R87" i="15"/>
  <c r="AP87" i="15" s="1"/>
  <c r="O87" i="15"/>
  <c r="Q87" i="15" s="1"/>
  <c r="BE86" i="15"/>
  <c r="BA86" i="15"/>
  <c r="AY86" i="15"/>
  <c r="AX86" i="15"/>
  <c r="Z86" i="15"/>
  <c r="R86" i="15"/>
  <c r="AP86" i="15" s="1"/>
  <c r="O86" i="15"/>
  <c r="Q86" i="15" s="1"/>
  <c r="BE85" i="15"/>
  <c r="BA85" i="15"/>
  <c r="AX85" i="15"/>
  <c r="AW85" i="15"/>
  <c r="AR85" i="15"/>
  <c r="Z85" i="15"/>
  <c r="R85" i="15"/>
  <c r="AP85" i="15" s="1"/>
  <c r="O85" i="15"/>
  <c r="Q85" i="15" s="1"/>
  <c r="BD85" i="15"/>
  <c r="BE84" i="15"/>
  <c r="BA84" i="15"/>
  <c r="AX84" i="15"/>
  <c r="AW84" i="15"/>
  <c r="AR84" i="15"/>
  <c r="Z84" i="15"/>
  <c r="R84" i="15"/>
  <c r="AP84" i="15" s="1"/>
  <c r="O84" i="15"/>
  <c r="Q84" i="15" s="1"/>
  <c r="BD84" i="15"/>
  <c r="BE83" i="15"/>
  <c r="BA83" i="15"/>
  <c r="AY83" i="15"/>
  <c r="AX83" i="15"/>
  <c r="Z83" i="15"/>
  <c r="R83" i="15"/>
  <c r="AP83" i="15" s="1"/>
  <c r="O83" i="15"/>
  <c r="Q83" i="15" s="1"/>
  <c r="BE82" i="15"/>
  <c r="BA82" i="15"/>
  <c r="AX82" i="15"/>
  <c r="AW82" i="15"/>
  <c r="AR82" i="15"/>
  <c r="Z82" i="15"/>
  <c r="R82" i="15"/>
  <c r="AP82" i="15" s="1"/>
  <c r="O82" i="15"/>
  <c r="Q82" i="15" s="1"/>
  <c r="BD82" i="15"/>
  <c r="BE81" i="15"/>
  <c r="BA81" i="15"/>
  <c r="AY81" i="15"/>
  <c r="AW81" i="15"/>
  <c r="AR81" i="15"/>
  <c r="Z81" i="15"/>
  <c r="R81" i="15"/>
  <c r="AP81" i="15" s="1"/>
  <c r="O81" i="15"/>
  <c r="Q81" i="15" s="1"/>
  <c r="BE80" i="15"/>
  <c r="BA80" i="15"/>
  <c r="AY80" i="15"/>
  <c r="AX80" i="15"/>
  <c r="AW80" i="15"/>
  <c r="AR80" i="15"/>
  <c r="Z80" i="15"/>
  <c r="R80" i="15"/>
  <c r="AP80" i="15" s="1"/>
  <c r="O80" i="15"/>
  <c r="Q80" i="15" s="1"/>
  <c r="BE79" i="15"/>
  <c r="BA79" i="15"/>
  <c r="AX79" i="15"/>
  <c r="AW79" i="15"/>
  <c r="AR79" i="15"/>
  <c r="Z79" i="15"/>
  <c r="R79" i="15"/>
  <c r="AP79" i="15" s="1"/>
  <c r="O79" i="15"/>
  <c r="Q79" i="15" s="1"/>
  <c r="BD79" i="15"/>
  <c r="BE78" i="15"/>
  <c r="BA78" i="15"/>
  <c r="AY78" i="15"/>
  <c r="AX78" i="15"/>
  <c r="AW78" i="15"/>
  <c r="AR78" i="15"/>
  <c r="Z78" i="15"/>
  <c r="R78" i="15"/>
  <c r="AP78" i="15" s="1"/>
  <c r="O78" i="15"/>
  <c r="Q78" i="15" s="1"/>
  <c r="BE77" i="15"/>
  <c r="BA77" i="15"/>
  <c r="AY77" i="15"/>
  <c r="AX77" i="15"/>
  <c r="AW77" i="15"/>
  <c r="AR77" i="15"/>
  <c r="Z77" i="15"/>
  <c r="R77" i="15"/>
  <c r="AP77" i="15" s="1"/>
  <c r="O77" i="15"/>
  <c r="Q77" i="15" s="1"/>
  <c r="BE76" i="15"/>
  <c r="BA76" i="15"/>
  <c r="AY76" i="15"/>
  <c r="AX76" i="15"/>
  <c r="AW76" i="15"/>
  <c r="AR76" i="15"/>
  <c r="Z76" i="15"/>
  <c r="R76" i="15"/>
  <c r="AP76" i="15" s="1"/>
  <c r="O76" i="15"/>
  <c r="Q76" i="15" s="1"/>
  <c r="BE75" i="15"/>
  <c r="BA75" i="15"/>
  <c r="AY75" i="15"/>
  <c r="AX75" i="15"/>
  <c r="AW75" i="15"/>
  <c r="AR75" i="15"/>
  <c r="Z75" i="15"/>
  <c r="R75" i="15"/>
  <c r="AP75" i="15" s="1"/>
  <c r="O75" i="15"/>
  <c r="Q75" i="15" s="1"/>
  <c r="BE74" i="15"/>
  <c r="BA74" i="15"/>
  <c r="AY74" i="15"/>
  <c r="AX74" i="15"/>
  <c r="Z74" i="15"/>
  <c r="R74" i="15"/>
  <c r="AP74" i="15" s="1"/>
  <c r="O74" i="15"/>
  <c r="Q74" i="15" s="1"/>
  <c r="BE73" i="15"/>
  <c r="BA73" i="15"/>
  <c r="AY73" i="15"/>
  <c r="AX73" i="15"/>
  <c r="AW73" i="15"/>
  <c r="AR73" i="15"/>
  <c r="Z73" i="15"/>
  <c r="R73" i="15"/>
  <c r="AP73" i="15" s="1"/>
  <c r="O73" i="15"/>
  <c r="Q73" i="15" s="1"/>
  <c r="BE72" i="15"/>
  <c r="BA72" i="15"/>
  <c r="AY72" i="15"/>
  <c r="AX72" i="15"/>
  <c r="AW72" i="15"/>
  <c r="AR72" i="15"/>
  <c r="Z72" i="15"/>
  <c r="R72" i="15"/>
  <c r="AP72" i="15" s="1"/>
  <c r="O72" i="15"/>
  <c r="Q72" i="15" s="1"/>
  <c r="BE71" i="15"/>
  <c r="BA71" i="15"/>
  <c r="AY71" i="15"/>
  <c r="AX71" i="15"/>
  <c r="AW71" i="15"/>
  <c r="AR71" i="15"/>
  <c r="Z71" i="15"/>
  <c r="R71" i="15"/>
  <c r="AP71" i="15" s="1"/>
  <c r="O71" i="15"/>
  <c r="Q71" i="15" s="1"/>
  <c r="BE70" i="15"/>
  <c r="BA70" i="15"/>
  <c r="AY70" i="15"/>
  <c r="AX70" i="15"/>
  <c r="Z70" i="15"/>
  <c r="R70" i="15"/>
  <c r="AP70" i="15" s="1"/>
  <c r="O70" i="15"/>
  <c r="Q70" i="15" s="1"/>
  <c r="BE69" i="15"/>
  <c r="BA69" i="15"/>
  <c r="AX69" i="15"/>
  <c r="BB69" i="15" s="1"/>
  <c r="AW69" i="15"/>
  <c r="AR69" i="15"/>
  <c r="Z69" i="15"/>
  <c r="R69" i="15"/>
  <c r="AP69" i="15" s="1"/>
  <c r="O69" i="15"/>
  <c r="Q69" i="15" s="1"/>
  <c r="BD69" i="15"/>
  <c r="BE68" i="15"/>
  <c r="BA68" i="15"/>
  <c r="AX68" i="15"/>
  <c r="AW68" i="15"/>
  <c r="AR68" i="15"/>
  <c r="Z68" i="15"/>
  <c r="R68" i="15"/>
  <c r="AP68" i="15" s="1"/>
  <c r="O68" i="15"/>
  <c r="Q68" i="15" s="1"/>
  <c r="BD68" i="15"/>
  <c r="BE67" i="15"/>
  <c r="BA67" i="15"/>
  <c r="AY67" i="15"/>
  <c r="AX67" i="15"/>
  <c r="AR67" i="15"/>
  <c r="Z67" i="15"/>
  <c r="R67" i="15"/>
  <c r="AP67" i="15" s="1"/>
  <c r="O67" i="15"/>
  <c r="Q67" i="15" s="1"/>
  <c r="BE66" i="15"/>
  <c r="BA66" i="15"/>
  <c r="AY66" i="15"/>
  <c r="AX66" i="15"/>
  <c r="Z66" i="15"/>
  <c r="R66" i="15"/>
  <c r="AP66" i="15" s="1"/>
  <c r="O66" i="15"/>
  <c r="Q66" i="15" s="1"/>
  <c r="BE65" i="15"/>
  <c r="BA65" i="15"/>
  <c r="AY65" i="15"/>
  <c r="AX65" i="15"/>
  <c r="BB65" i="15" s="1"/>
  <c r="AW65" i="15"/>
  <c r="AR65" i="15"/>
  <c r="Z65" i="15"/>
  <c r="R65" i="15"/>
  <c r="AP65" i="15" s="1"/>
  <c r="O65" i="15"/>
  <c r="Q65" i="15" s="1"/>
  <c r="BE64" i="15"/>
  <c r="BA64" i="15"/>
  <c r="AY64" i="15"/>
  <c r="AX64" i="15"/>
  <c r="AW64" i="15"/>
  <c r="AR64" i="15"/>
  <c r="Z64" i="15"/>
  <c r="R64" i="15"/>
  <c r="AP64" i="15" s="1"/>
  <c r="O64" i="15"/>
  <c r="Q64" i="15" s="1"/>
  <c r="BE63" i="15"/>
  <c r="BA63" i="15"/>
  <c r="AY63" i="15"/>
  <c r="AX63" i="15"/>
  <c r="AW63" i="15"/>
  <c r="AR63" i="15"/>
  <c r="Z63" i="15"/>
  <c r="R63" i="15"/>
  <c r="AP63" i="15" s="1"/>
  <c r="O63" i="15"/>
  <c r="Q63" i="15" s="1"/>
  <c r="BE62" i="15"/>
  <c r="BA62" i="15"/>
  <c r="AY62" i="15"/>
  <c r="AX62" i="15"/>
  <c r="AW62" i="15"/>
  <c r="AR62" i="15"/>
  <c r="Z62" i="15"/>
  <c r="R62" i="15"/>
  <c r="AP62" i="15" s="1"/>
  <c r="O62" i="15"/>
  <c r="Q62" i="15" s="1"/>
  <c r="BE61" i="15"/>
  <c r="BA61" i="15"/>
  <c r="AY61" i="15"/>
  <c r="AX61" i="15"/>
  <c r="AW61" i="15"/>
  <c r="AR61" i="15"/>
  <c r="Z61" i="15"/>
  <c r="R61" i="15"/>
  <c r="AP61" i="15" s="1"/>
  <c r="O61" i="15"/>
  <c r="Q61" i="15" s="1"/>
  <c r="BE60" i="15"/>
  <c r="BA60" i="15"/>
  <c r="AY60" i="15"/>
  <c r="AX60" i="15"/>
  <c r="BB60" i="15" s="1"/>
  <c r="AW60" i="15"/>
  <c r="AR60" i="15"/>
  <c r="Z60" i="15"/>
  <c r="R60" i="15"/>
  <c r="AP60" i="15" s="1"/>
  <c r="O60" i="15"/>
  <c r="Q60" i="15" s="1"/>
  <c r="BE59" i="15"/>
  <c r="BA59" i="15"/>
  <c r="AX59" i="15"/>
  <c r="AW59" i="15"/>
  <c r="AR59" i="15"/>
  <c r="Z59" i="15"/>
  <c r="R59" i="15"/>
  <c r="AP59" i="15" s="1"/>
  <c r="O59" i="15"/>
  <c r="Q59" i="15" s="1"/>
  <c r="BD59" i="15"/>
  <c r="BE58" i="15"/>
  <c r="BD58" i="15"/>
  <c r="BA58" i="15"/>
  <c r="AX58" i="15"/>
  <c r="AW58" i="15"/>
  <c r="AR58" i="15"/>
  <c r="Z58" i="15"/>
  <c r="R58" i="15"/>
  <c r="AP58" i="15" s="1"/>
  <c r="O58" i="15"/>
  <c r="Q58" i="15" s="1"/>
  <c r="BE57" i="15"/>
  <c r="BA57" i="15"/>
  <c r="AY57" i="15"/>
  <c r="AX57" i="15"/>
  <c r="AW57" i="15"/>
  <c r="AR57" i="15"/>
  <c r="Z57" i="15"/>
  <c r="R57" i="15"/>
  <c r="AP57" i="15" s="1"/>
  <c r="O57" i="15"/>
  <c r="Q57" i="15" s="1"/>
  <c r="BE56" i="15"/>
  <c r="BA56" i="15"/>
  <c r="AY56" i="15"/>
  <c r="AX56" i="15"/>
  <c r="AW56" i="15"/>
  <c r="AR56" i="15"/>
  <c r="Z56" i="15"/>
  <c r="R56" i="15"/>
  <c r="AP56" i="15" s="1"/>
  <c r="O56" i="15"/>
  <c r="Q56" i="15" s="1"/>
  <c r="BE55" i="15"/>
  <c r="BA55" i="15"/>
  <c r="AX55" i="15"/>
  <c r="AW55" i="15"/>
  <c r="AR55" i="15"/>
  <c r="Z55" i="15"/>
  <c r="R55" i="15"/>
  <c r="AP55" i="15" s="1"/>
  <c r="O55" i="15"/>
  <c r="Q55" i="15" s="1"/>
  <c r="BD55" i="15"/>
  <c r="BE54" i="15"/>
  <c r="BA54" i="15"/>
  <c r="AX54" i="15"/>
  <c r="AW54" i="15"/>
  <c r="AR54" i="15"/>
  <c r="Z54" i="15"/>
  <c r="R54" i="15"/>
  <c r="AP54" i="15" s="1"/>
  <c r="O54" i="15"/>
  <c r="Q54" i="15" s="1"/>
  <c r="BD54" i="15"/>
  <c r="BE53" i="15"/>
  <c r="BA53" i="15"/>
  <c r="AY53" i="15"/>
  <c r="AX53" i="15"/>
  <c r="AW53" i="15"/>
  <c r="AR53" i="15"/>
  <c r="Z53" i="15"/>
  <c r="R53" i="15"/>
  <c r="AP53" i="15" s="1"/>
  <c r="O53" i="15"/>
  <c r="Q53" i="15" s="1"/>
  <c r="BE52" i="15"/>
  <c r="BA52" i="15"/>
  <c r="AY52" i="15"/>
  <c r="AX52" i="15"/>
  <c r="AW52" i="15"/>
  <c r="AR52" i="15"/>
  <c r="Z52" i="15"/>
  <c r="R52" i="15"/>
  <c r="AP52" i="15" s="1"/>
  <c r="O52" i="15"/>
  <c r="Q52" i="15" s="1"/>
  <c r="BE51" i="15"/>
  <c r="BA51" i="15"/>
  <c r="AY51" i="15"/>
  <c r="AX51" i="15"/>
  <c r="AW51" i="15"/>
  <c r="AR51" i="15"/>
  <c r="Z51" i="15"/>
  <c r="R51" i="15"/>
  <c r="AP51" i="15" s="1"/>
  <c r="O51" i="15"/>
  <c r="Q51" i="15" s="1"/>
  <c r="BE50" i="15"/>
  <c r="BA50" i="15"/>
  <c r="AY50" i="15"/>
  <c r="AX50" i="15"/>
  <c r="BB50" i="15" s="1"/>
  <c r="AW50" i="15"/>
  <c r="AR50" i="15"/>
  <c r="Z50" i="15"/>
  <c r="R50" i="15"/>
  <c r="AP50" i="15" s="1"/>
  <c r="O50" i="15"/>
  <c r="Q50" i="15" s="1"/>
  <c r="BE49" i="15"/>
  <c r="BA49" i="15"/>
  <c r="AX49" i="15"/>
  <c r="AW49" i="15"/>
  <c r="AR49" i="15"/>
  <c r="Z49" i="15"/>
  <c r="R49" i="15"/>
  <c r="AP49" i="15" s="1"/>
  <c r="O49" i="15"/>
  <c r="Q49" i="15" s="1"/>
  <c r="BD49" i="15"/>
  <c r="BE48" i="15"/>
  <c r="BA48" i="15"/>
  <c r="AX48" i="15"/>
  <c r="AW48" i="15"/>
  <c r="AR48" i="15"/>
  <c r="Z48" i="15"/>
  <c r="R48" i="15"/>
  <c r="AP48" i="15" s="1"/>
  <c r="O48" i="15"/>
  <c r="Q48" i="15" s="1"/>
  <c r="BD48" i="15"/>
  <c r="BE47" i="15"/>
  <c r="BD47" i="15"/>
  <c r="BA47" i="15"/>
  <c r="AX47" i="15"/>
  <c r="AW47" i="15"/>
  <c r="AR47" i="15"/>
  <c r="Z47" i="15"/>
  <c r="R47" i="15"/>
  <c r="AP47" i="15" s="1"/>
  <c r="O47" i="15"/>
  <c r="Q47" i="15" s="1"/>
  <c r="BE46" i="15"/>
  <c r="BA46" i="15"/>
  <c r="AX46" i="15"/>
  <c r="AW46" i="15"/>
  <c r="AR46" i="15"/>
  <c r="Z46" i="15"/>
  <c r="R46" i="15"/>
  <c r="AP46" i="15" s="1"/>
  <c r="O46" i="15"/>
  <c r="Q46" i="15" s="1"/>
  <c r="BD46" i="15"/>
  <c r="BE45" i="15"/>
  <c r="BA45" i="15"/>
  <c r="AX45" i="15"/>
  <c r="BB45" i="15" s="1"/>
  <c r="AW45" i="15"/>
  <c r="AR45" i="15"/>
  <c r="Z45" i="15"/>
  <c r="R45" i="15"/>
  <c r="AP45" i="15" s="1"/>
  <c r="O45" i="15"/>
  <c r="Q45" i="15" s="1"/>
  <c r="BD45" i="15"/>
  <c r="BE44" i="15"/>
  <c r="BD44" i="15"/>
  <c r="BA44" i="15"/>
  <c r="AX44" i="15"/>
  <c r="AW44" i="15"/>
  <c r="AR44" i="15"/>
  <c r="Z44" i="15"/>
  <c r="R44" i="15"/>
  <c r="AP44" i="15" s="1"/>
  <c r="O44" i="15"/>
  <c r="Q44" i="15" s="1"/>
  <c r="BE43" i="15"/>
  <c r="BA43" i="15"/>
  <c r="AX43" i="15"/>
  <c r="AW43" i="15"/>
  <c r="AR43" i="15"/>
  <c r="Z43" i="15"/>
  <c r="R43" i="15"/>
  <c r="AP43" i="15" s="1"/>
  <c r="O43" i="15"/>
  <c r="Q43" i="15" s="1"/>
  <c r="BD43" i="15"/>
  <c r="BE42" i="15"/>
  <c r="BA42" i="15"/>
  <c r="AX42" i="15"/>
  <c r="AW42" i="15"/>
  <c r="AR42" i="15"/>
  <c r="Z42" i="15"/>
  <c r="R42" i="15"/>
  <c r="AP42" i="15" s="1"/>
  <c r="O42" i="15"/>
  <c r="Q42" i="15" s="1"/>
  <c r="BD42" i="15"/>
  <c r="BE41" i="15"/>
  <c r="BA41" i="15"/>
  <c r="AX41" i="15"/>
  <c r="BB41" i="15" s="1"/>
  <c r="AW41" i="15"/>
  <c r="AR41" i="15"/>
  <c r="Z41" i="15"/>
  <c r="R41" i="15"/>
  <c r="AP41" i="15" s="1"/>
  <c r="O41" i="15"/>
  <c r="Q41" i="15" s="1"/>
  <c r="BD41" i="15"/>
  <c r="BE40" i="15"/>
  <c r="BA40" i="15"/>
  <c r="AX40" i="15"/>
  <c r="BB40" i="15" s="1"/>
  <c r="AW40" i="15"/>
  <c r="AR40" i="15"/>
  <c r="Z40" i="15"/>
  <c r="R40" i="15"/>
  <c r="AP40" i="15" s="1"/>
  <c r="O40" i="15"/>
  <c r="Q40" i="15" s="1"/>
  <c r="BD40" i="15"/>
  <c r="BE39" i="15"/>
  <c r="BD39" i="15"/>
  <c r="BA39" i="15"/>
  <c r="AX39" i="15"/>
  <c r="AW39" i="15"/>
  <c r="AR39" i="15"/>
  <c r="Z39" i="15"/>
  <c r="R39" i="15"/>
  <c r="AP39" i="15" s="1"/>
  <c r="O39" i="15"/>
  <c r="Q39" i="15" s="1"/>
  <c r="BE38" i="15"/>
  <c r="BA38" i="15"/>
  <c r="AX38" i="15"/>
  <c r="AW38" i="15"/>
  <c r="AR38" i="15"/>
  <c r="Z38" i="15"/>
  <c r="R38" i="15"/>
  <c r="AP38" i="15" s="1"/>
  <c r="O38" i="15"/>
  <c r="Q38" i="15" s="1"/>
  <c r="BD38" i="15"/>
  <c r="BE37" i="15"/>
  <c r="BA37" i="15"/>
  <c r="AX37" i="15"/>
  <c r="AW37" i="15"/>
  <c r="AR37" i="15"/>
  <c r="Z37" i="15"/>
  <c r="R37" i="15"/>
  <c r="AP37" i="15" s="1"/>
  <c r="O37" i="15"/>
  <c r="Q37" i="15" s="1"/>
  <c r="BD37" i="15"/>
  <c r="BE36" i="15"/>
  <c r="BA36" i="15"/>
  <c r="AY36" i="15"/>
  <c r="AX36" i="15"/>
  <c r="AW36" i="15"/>
  <c r="AR36" i="15"/>
  <c r="Z36" i="15"/>
  <c r="R36" i="15"/>
  <c r="AP36" i="15" s="1"/>
  <c r="O36" i="15"/>
  <c r="Q36" i="15" s="1"/>
  <c r="BE35" i="15"/>
  <c r="BA35" i="15"/>
  <c r="AX35" i="15"/>
  <c r="AW35" i="15"/>
  <c r="AR35" i="15"/>
  <c r="Z35" i="15"/>
  <c r="R35" i="15"/>
  <c r="AP35" i="15" s="1"/>
  <c r="O35" i="15"/>
  <c r="Q35" i="15" s="1"/>
  <c r="BD35" i="15"/>
  <c r="BE34" i="15"/>
  <c r="BA34" i="15"/>
  <c r="AX34" i="15"/>
  <c r="AW34" i="15"/>
  <c r="AR34" i="15"/>
  <c r="Z34" i="15"/>
  <c r="R34" i="15"/>
  <c r="AP34" i="15" s="1"/>
  <c r="O34" i="15"/>
  <c r="Q34" i="15" s="1"/>
  <c r="BD34" i="15"/>
  <c r="BE33" i="15"/>
  <c r="BD33" i="15"/>
  <c r="BA33" i="15"/>
  <c r="AX33" i="15"/>
  <c r="BB33" i="15" s="1"/>
  <c r="AW33" i="15"/>
  <c r="AR33" i="15"/>
  <c r="Z33" i="15"/>
  <c r="R33" i="15"/>
  <c r="AP33" i="15" s="1"/>
  <c r="O33" i="15"/>
  <c r="Q33" i="15" s="1"/>
  <c r="BE32" i="15"/>
  <c r="BA32" i="15"/>
  <c r="AX32" i="15"/>
  <c r="AW32" i="15"/>
  <c r="AR32" i="15"/>
  <c r="Z32" i="15"/>
  <c r="R32" i="15"/>
  <c r="AP32" i="15" s="1"/>
  <c r="O32" i="15"/>
  <c r="Q32" i="15" s="1"/>
  <c r="BD32" i="15"/>
  <c r="BE31" i="15"/>
  <c r="BA31" i="15"/>
  <c r="AX31" i="15"/>
  <c r="AW31" i="15"/>
  <c r="AR31" i="15"/>
  <c r="Z31" i="15"/>
  <c r="R31" i="15"/>
  <c r="AP31" i="15" s="1"/>
  <c r="O31" i="15"/>
  <c r="Q31" i="15" s="1"/>
  <c r="BD31" i="15"/>
  <c r="BE30" i="15"/>
  <c r="BA30" i="15"/>
  <c r="AX30" i="15"/>
  <c r="AW30" i="15"/>
  <c r="AR30" i="15"/>
  <c r="Z30" i="15"/>
  <c r="R30" i="15"/>
  <c r="AP30" i="15" s="1"/>
  <c r="O30" i="15"/>
  <c r="Q30" i="15" s="1"/>
  <c r="BD30" i="15"/>
  <c r="BE29" i="15"/>
  <c r="BA29" i="15"/>
  <c r="AX29" i="15"/>
  <c r="AW29" i="15"/>
  <c r="AR29" i="15"/>
  <c r="Z29" i="15"/>
  <c r="R29" i="15"/>
  <c r="AP29" i="15" s="1"/>
  <c r="O29" i="15"/>
  <c r="Q29" i="15" s="1"/>
  <c r="BD29" i="15"/>
  <c r="BE28" i="15"/>
  <c r="BD28" i="15"/>
  <c r="BA28" i="15"/>
  <c r="AX28" i="15"/>
  <c r="AW28" i="15"/>
  <c r="AR28" i="15"/>
  <c r="Z28" i="15"/>
  <c r="R28" i="15"/>
  <c r="AP28" i="15" s="1"/>
  <c r="O28" i="15"/>
  <c r="Q28" i="15" s="1"/>
  <c r="BE27" i="15"/>
  <c r="BA27" i="15"/>
  <c r="AX27" i="15"/>
  <c r="AW27" i="15"/>
  <c r="AR27" i="15"/>
  <c r="Z27" i="15"/>
  <c r="R27" i="15"/>
  <c r="AP27" i="15" s="1"/>
  <c r="O27" i="15"/>
  <c r="Q27" i="15" s="1"/>
  <c r="BD27" i="15"/>
  <c r="BE26" i="15"/>
  <c r="BA26" i="15"/>
  <c r="AY26" i="15"/>
  <c r="AX26" i="15"/>
  <c r="AW26" i="15"/>
  <c r="AR26" i="15"/>
  <c r="Z26" i="15"/>
  <c r="R26" i="15"/>
  <c r="AP26" i="15" s="1"/>
  <c r="O26" i="15"/>
  <c r="Q26" i="15" s="1"/>
  <c r="BE25" i="15"/>
  <c r="BA25" i="15"/>
  <c r="AY25" i="15"/>
  <c r="AX25" i="15"/>
  <c r="AW25" i="15"/>
  <c r="AR25" i="15"/>
  <c r="Z25" i="15"/>
  <c r="R25" i="15"/>
  <c r="AP25" i="15" s="1"/>
  <c r="O25" i="15"/>
  <c r="Q25" i="15" s="1"/>
  <c r="BE24" i="15"/>
  <c r="BA24" i="15"/>
  <c r="AY24" i="15"/>
  <c r="AX24" i="15"/>
  <c r="AW24" i="15"/>
  <c r="AR24" i="15"/>
  <c r="Z24" i="15"/>
  <c r="R24" i="15"/>
  <c r="AP24" i="15" s="1"/>
  <c r="O24" i="15"/>
  <c r="Q24" i="15" s="1"/>
  <c r="BE23" i="15"/>
  <c r="BA23" i="15"/>
  <c r="AY23" i="15"/>
  <c r="AX23" i="15"/>
  <c r="AW23" i="15"/>
  <c r="AR23" i="15"/>
  <c r="Z23" i="15"/>
  <c r="R23" i="15"/>
  <c r="AP23" i="15" s="1"/>
  <c r="O23" i="15"/>
  <c r="Q23" i="15" s="1"/>
  <c r="BE22" i="15"/>
  <c r="BA22" i="15"/>
  <c r="AY22" i="15"/>
  <c r="AX22" i="15"/>
  <c r="AW22" i="15"/>
  <c r="AR22" i="15"/>
  <c r="Z22" i="15"/>
  <c r="R22" i="15"/>
  <c r="AP22" i="15" s="1"/>
  <c r="O22" i="15"/>
  <c r="Q22" i="15" s="1"/>
  <c r="BE21" i="15"/>
  <c r="BA21" i="15"/>
  <c r="AY21" i="15"/>
  <c r="AX21" i="15"/>
  <c r="AW21" i="15"/>
  <c r="AR21" i="15"/>
  <c r="Z21" i="15"/>
  <c r="R21" i="15"/>
  <c r="AP21" i="15" s="1"/>
  <c r="O21" i="15"/>
  <c r="Q21" i="15" s="1"/>
  <c r="BE20" i="15"/>
  <c r="BA20" i="15"/>
  <c r="AY20" i="15"/>
  <c r="AW20" i="15"/>
  <c r="AR20" i="15"/>
  <c r="Z20" i="15"/>
  <c r="R20" i="15"/>
  <c r="AP20" i="15" s="1"/>
  <c r="O20" i="15"/>
  <c r="Q20" i="15" s="1"/>
  <c r="BE19" i="15"/>
  <c r="BA19" i="15"/>
  <c r="AY19" i="15"/>
  <c r="AW19" i="15"/>
  <c r="AR19" i="15"/>
  <c r="Z19" i="15"/>
  <c r="R19" i="15"/>
  <c r="AP19" i="15" s="1"/>
  <c r="O19" i="15"/>
  <c r="Q19" i="15" s="1"/>
  <c r="BE18" i="15"/>
  <c r="BA18" i="15"/>
  <c r="AY18" i="15"/>
  <c r="AW18" i="15"/>
  <c r="AR18" i="15"/>
  <c r="Z18" i="15"/>
  <c r="R18" i="15"/>
  <c r="AP18" i="15" s="1"/>
  <c r="O18" i="15"/>
  <c r="Q18" i="15" s="1"/>
  <c r="BE17" i="15"/>
  <c r="BA17" i="15"/>
  <c r="AY17" i="15"/>
  <c r="BB17" i="15" s="1"/>
  <c r="AW17" i="15"/>
  <c r="AR17" i="15"/>
  <c r="Z17" i="15"/>
  <c r="R17" i="15"/>
  <c r="AP17" i="15" s="1"/>
  <c r="O17" i="15"/>
  <c r="Q17" i="15" s="1"/>
  <c r="BE16" i="15"/>
  <c r="BA16" i="15"/>
  <c r="AY16" i="15"/>
  <c r="BB16" i="15" s="1"/>
  <c r="AW16" i="15"/>
  <c r="AR16" i="15"/>
  <c r="Z16" i="15"/>
  <c r="R16" i="15"/>
  <c r="AP16" i="15" s="1"/>
  <c r="O16" i="15"/>
  <c r="Q16" i="15" s="1"/>
  <c r="BE15" i="15"/>
  <c r="BA15" i="15"/>
  <c r="AX15" i="15"/>
  <c r="AW15" i="15"/>
  <c r="AR15" i="15"/>
  <c r="Z15" i="15"/>
  <c r="R15" i="15"/>
  <c r="AP15" i="15" s="1"/>
  <c r="O15" i="15"/>
  <c r="Q15" i="15" s="1"/>
  <c r="BD15" i="15"/>
  <c r="BE14" i="15"/>
  <c r="BA14" i="15"/>
  <c r="AY14" i="15"/>
  <c r="AX14" i="15"/>
  <c r="AW14" i="15"/>
  <c r="AR14" i="15"/>
  <c r="Z14" i="15"/>
  <c r="R14" i="15"/>
  <c r="AP14" i="15" s="1"/>
  <c r="O14" i="15"/>
  <c r="Q14" i="15" s="1"/>
  <c r="BE13" i="15"/>
  <c r="BA13" i="15"/>
  <c r="AY13" i="15"/>
  <c r="AX13" i="15"/>
  <c r="AW13" i="15"/>
  <c r="AR13" i="15"/>
  <c r="Z13" i="15"/>
  <c r="R13" i="15"/>
  <c r="AP13" i="15" s="1"/>
  <c r="O13" i="15"/>
  <c r="Q13" i="15" s="1"/>
  <c r="BE12" i="15"/>
  <c r="BA12" i="15"/>
  <c r="AY12" i="15"/>
  <c r="AW12" i="15"/>
  <c r="AR12" i="15"/>
  <c r="Z12" i="15"/>
  <c r="R12" i="15"/>
  <c r="AP12" i="15" s="1"/>
  <c r="O12" i="15"/>
  <c r="Q12" i="15" s="1"/>
  <c r="BE11" i="15"/>
  <c r="BA11" i="15"/>
  <c r="AY11" i="15"/>
  <c r="AX11" i="15"/>
  <c r="AW11" i="15"/>
  <c r="AR11" i="15"/>
  <c r="Z11" i="15"/>
  <c r="R11" i="15"/>
  <c r="AP11" i="15" s="1"/>
  <c r="O11" i="15"/>
  <c r="Q11" i="15" s="1"/>
  <c r="BE10" i="15"/>
  <c r="BA10" i="15"/>
  <c r="AY10" i="15"/>
  <c r="AX10" i="15"/>
  <c r="Z10" i="15"/>
  <c r="R10" i="15"/>
  <c r="AP10" i="15" s="1"/>
  <c r="O10" i="15"/>
  <c r="Q10" i="15" s="1"/>
  <c r="BE9" i="15"/>
  <c r="BA9" i="15"/>
  <c r="AY9" i="15"/>
  <c r="AX9" i="15"/>
  <c r="Z9" i="15"/>
  <c r="R9" i="15"/>
  <c r="AP9" i="15" s="1"/>
  <c r="O9" i="15"/>
  <c r="Q9" i="15" s="1"/>
  <c r="BE8" i="15"/>
  <c r="BA8" i="15"/>
  <c r="AY8" i="15"/>
  <c r="AX8" i="15"/>
  <c r="AW8" i="15"/>
  <c r="AR8" i="15"/>
  <c r="Z8" i="15"/>
  <c r="R8" i="15"/>
  <c r="AP8" i="15" s="1"/>
  <c r="O8" i="15"/>
  <c r="Q8" i="15" s="1"/>
  <c r="BE7" i="15"/>
  <c r="BA7" i="15"/>
  <c r="AY7" i="15"/>
  <c r="AX7" i="15"/>
  <c r="AW7" i="15"/>
  <c r="AR7" i="15"/>
  <c r="Z7" i="15"/>
  <c r="R7" i="15"/>
  <c r="AP7" i="15" s="1"/>
  <c r="O7" i="15"/>
  <c r="Q7" i="15" s="1"/>
  <c r="BE6" i="15"/>
  <c r="BD6" i="15"/>
  <c r="BA6" i="15"/>
  <c r="AX6" i="15"/>
  <c r="AW6" i="15"/>
  <c r="AR6" i="15"/>
  <c r="Z6" i="15"/>
  <c r="R6" i="15"/>
  <c r="AP6" i="15" s="1"/>
  <c r="O6" i="15"/>
  <c r="Q6" i="15" s="1"/>
  <c r="BE5" i="15"/>
  <c r="BD5" i="15"/>
  <c r="BA5" i="15"/>
  <c r="AX5" i="15"/>
  <c r="BB5" i="15" s="1"/>
  <c r="AW5" i="15"/>
  <c r="AR5" i="15"/>
  <c r="Z5" i="15"/>
  <c r="R5" i="15"/>
  <c r="AP5" i="15" s="1"/>
  <c r="O5" i="15"/>
  <c r="Q5" i="15" s="1"/>
  <c r="BE4" i="15"/>
  <c r="BD4" i="15"/>
  <c r="BA4" i="15"/>
  <c r="AX4" i="15"/>
  <c r="AW4" i="15"/>
  <c r="AR4" i="15"/>
  <c r="Z4" i="15"/>
  <c r="R4" i="15"/>
  <c r="AP4" i="15" s="1"/>
  <c r="O4" i="15"/>
  <c r="Q4" i="15" s="1"/>
  <c r="BE3" i="15"/>
  <c r="BD3" i="15"/>
  <c r="BA3" i="15"/>
  <c r="AX3" i="15"/>
  <c r="AW3" i="15"/>
  <c r="AR3" i="15"/>
  <c r="Z3" i="15"/>
  <c r="R3" i="15"/>
  <c r="AP3" i="15" s="1"/>
  <c r="O3" i="15"/>
  <c r="Q3" i="15" s="1"/>
  <c r="AV3" i="2"/>
  <c r="AV4" i="2"/>
  <c r="AV5" i="2"/>
  <c r="AV6" i="2"/>
  <c r="AV218" i="2"/>
  <c r="AV306" i="2"/>
  <c r="AV307" i="2"/>
  <c r="AV308" i="2"/>
  <c r="AV309" i="2"/>
  <c r="AV310" i="2"/>
  <c r="AV311" i="2"/>
  <c r="AV312" i="2"/>
  <c r="AV313" i="2"/>
  <c r="AV314" i="2"/>
  <c r="AV315" i="2"/>
  <c r="AV316" i="2"/>
  <c r="AV317" i="2"/>
  <c r="AV318" i="2"/>
  <c r="AV319" i="2"/>
  <c r="AV320" i="2"/>
  <c r="AV321" i="2"/>
  <c r="AV322" i="2"/>
  <c r="AV323" i="2"/>
  <c r="AV324" i="2"/>
  <c r="AV325" i="2"/>
  <c r="AV326" i="2"/>
  <c r="AV327" i="2"/>
  <c r="AV328" i="2"/>
  <c r="AV329" i="2"/>
  <c r="AV330" i="2"/>
  <c r="AV331" i="2"/>
  <c r="AV332" i="2"/>
  <c r="AV333" i="2"/>
  <c r="AV334" i="2"/>
  <c r="AV335" i="2"/>
  <c r="AV336" i="2"/>
  <c r="AV337" i="2"/>
  <c r="AV338" i="2"/>
  <c r="AV339" i="2"/>
  <c r="AV340" i="2"/>
  <c r="AV341" i="2"/>
  <c r="AV342" i="2"/>
  <c r="AV343" i="2"/>
  <c r="AV344" i="2"/>
  <c r="AV345" i="2"/>
  <c r="AV346" i="2"/>
  <c r="AV347" i="2"/>
  <c r="AV348" i="2"/>
  <c r="AV349" i="2"/>
  <c r="AX159" i="14"/>
  <c r="BA4" i="14"/>
  <c r="BB4" i="14"/>
  <c r="BA5" i="14"/>
  <c r="BB5" i="14"/>
  <c r="BA6" i="14"/>
  <c r="BB6" i="14"/>
  <c r="BA7" i="14"/>
  <c r="BB7" i="14"/>
  <c r="BA8" i="14"/>
  <c r="BB8" i="14"/>
  <c r="BA9" i="14"/>
  <c r="BB9" i="14"/>
  <c r="BA10" i="14"/>
  <c r="BB10" i="14"/>
  <c r="BA11" i="14"/>
  <c r="BB11" i="14"/>
  <c r="BA12" i="14"/>
  <c r="BB12" i="14"/>
  <c r="BA13" i="14"/>
  <c r="BB13" i="14"/>
  <c r="BA14" i="14"/>
  <c r="BB14" i="14"/>
  <c r="BA15" i="14"/>
  <c r="BB15" i="14"/>
  <c r="BA16" i="14"/>
  <c r="BB16" i="14"/>
  <c r="BA17" i="14"/>
  <c r="BB17" i="14"/>
  <c r="BA18" i="14"/>
  <c r="BB18" i="14"/>
  <c r="BA19" i="14"/>
  <c r="BB19" i="14"/>
  <c r="BA20" i="14"/>
  <c r="BB20" i="14"/>
  <c r="BA21" i="14"/>
  <c r="BB21" i="14"/>
  <c r="BA22" i="14"/>
  <c r="BB22" i="14"/>
  <c r="BA23" i="14"/>
  <c r="BB23" i="14"/>
  <c r="BA24" i="14"/>
  <c r="BB24" i="14"/>
  <c r="BA25" i="14"/>
  <c r="BB25" i="14"/>
  <c r="BA26" i="14"/>
  <c r="BB26" i="14"/>
  <c r="BA27" i="14"/>
  <c r="BB27" i="14"/>
  <c r="BA28" i="14"/>
  <c r="BB28" i="14"/>
  <c r="BA29" i="14"/>
  <c r="BB29" i="14"/>
  <c r="BA30" i="14"/>
  <c r="BB30" i="14"/>
  <c r="BA31" i="14"/>
  <c r="BB31" i="14"/>
  <c r="BA32" i="14"/>
  <c r="BB32" i="14"/>
  <c r="BA33" i="14"/>
  <c r="BB33" i="14"/>
  <c r="BA34" i="14"/>
  <c r="BB34" i="14"/>
  <c r="BA35" i="14"/>
  <c r="BB35" i="14"/>
  <c r="BA36" i="14"/>
  <c r="BB36" i="14"/>
  <c r="BA37" i="14"/>
  <c r="BB37" i="14"/>
  <c r="BA38" i="14"/>
  <c r="BB38" i="14"/>
  <c r="BA39" i="14"/>
  <c r="BB39" i="14"/>
  <c r="BA40" i="14"/>
  <c r="BB40" i="14"/>
  <c r="BA41" i="14"/>
  <c r="BB41" i="14"/>
  <c r="BA42" i="14"/>
  <c r="BB42" i="14"/>
  <c r="BA43" i="14"/>
  <c r="BB43" i="14"/>
  <c r="BA44" i="14"/>
  <c r="BB44" i="14"/>
  <c r="BA45" i="14"/>
  <c r="BB45" i="14"/>
  <c r="BA46" i="14"/>
  <c r="BB46" i="14"/>
  <c r="BA47" i="14"/>
  <c r="BB47" i="14"/>
  <c r="BA48" i="14"/>
  <c r="BB48" i="14"/>
  <c r="BA49" i="14"/>
  <c r="BB49" i="14"/>
  <c r="BA50" i="14"/>
  <c r="BB50" i="14"/>
  <c r="BA51" i="14"/>
  <c r="BB51" i="14"/>
  <c r="BA52" i="14"/>
  <c r="BB52" i="14"/>
  <c r="BA53" i="14"/>
  <c r="BB53" i="14"/>
  <c r="BA54" i="14"/>
  <c r="BB54" i="14"/>
  <c r="BA55" i="14"/>
  <c r="BB55" i="14"/>
  <c r="BA56" i="14"/>
  <c r="BB56" i="14"/>
  <c r="BA57" i="14"/>
  <c r="BB57" i="14"/>
  <c r="BA58" i="14"/>
  <c r="BB58" i="14"/>
  <c r="BA59" i="14"/>
  <c r="BB59" i="14"/>
  <c r="BA60" i="14"/>
  <c r="BB60" i="14"/>
  <c r="BA61" i="14"/>
  <c r="BB61" i="14"/>
  <c r="BA62" i="14"/>
  <c r="BB62" i="14"/>
  <c r="BA63" i="14"/>
  <c r="BB63" i="14"/>
  <c r="BA64" i="14"/>
  <c r="BB64" i="14"/>
  <c r="BA65" i="14"/>
  <c r="BB65" i="14"/>
  <c r="BA66" i="14"/>
  <c r="BB66" i="14"/>
  <c r="BA67" i="14"/>
  <c r="BB67" i="14"/>
  <c r="BA68" i="14"/>
  <c r="BB68" i="14"/>
  <c r="BA69" i="14"/>
  <c r="BB69" i="14"/>
  <c r="BA70" i="14"/>
  <c r="BB70" i="14"/>
  <c r="BA71" i="14"/>
  <c r="BB71" i="14"/>
  <c r="BA72" i="14"/>
  <c r="BB72" i="14"/>
  <c r="BA73" i="14"/>
  <c r="BB73" i="14"/>
  <c r="BA74" i="14"/>
  <c r="BB74" i="14"/>
  <c r="BA75" i="14"/>
  <c r="BB75" i="14"/>
  <c r="BA76" i="14"/>
  <c r="BB76" i="14"/>
  <c r="BA77" i="14"/>
  <c r="BB77" i="14"/>
  <c r="BA78" i="14"/>
  <c r="BB78" i="14"/>
  <c r="BA79" i="14"/>
  <c r="BB79" i="14"/>
  <c r="BA80" i="14"/>
  <c r="BB80" i="14"/>
  <c r="BA81" i="14"/>
  <c r="BB81" i="14"/>
  <c r="BA82" i="14"/>
  <c r="BB82" i="14"/>
  <c r="BA83" i="14"/>
  <c r="BB83" i="14"/>
  <c r="BA84" i="14"/>
  <c r="BB84" i="14"/>
  <c r="BA85" i="14"/>
  <c r="BB85" i="14"/>
  <c r="BA86" i="14"/>
  <c r="BB86" i="14"/>
  <c r="BA87" i="14"/>
  <c r="BB87" i="14"/>
  <c r="BA88" i="14"/>
  <c r="BB88" i="14"/>
  <c r="BA89" i="14"/>
  <c r="BB89" i="14"/>
  <c r="BA90" i="14"/>
  <c r="BB90" i="14"/>
  <c r="BA91" i="14"/>
  <c r="BB91" i="14"/>
  <c r="BA92" i="14"/>
  <c r="BB92" i="14"/>
  <c r="BA93" i="14"/>
  <c r="BB93" i="14"/>
  <c r="BA94" i="14"/>
  <c r="BB94" i="14"/>
  <c r="BA95" i="14"/>
  <c r="BB95" i="14"/>
  <c r="BA96" i="14"/>
  <c r="BB96" i="14"/>
  <c r="BA97" i="14"/>
  <c r="BB97" i="14"/>
  <c r="BA98" i="14"/>
  <c r="BB98" i="14"/>
  <c r="BA99" i="14"/>
  <c r="BB99" i="14"/>
  <c r="BA100" i="14"/>
  <c r="BB100" i="14"/>
  <c r="BA101" i="14"/>
  <c r="BB101" i="14"/>
  <c r="BA102" i="14"/>
  <c r="BB102" i="14"/>
  <c r="BA103" i="14"/>
  <c r="BB103" i="14"/>
  <c r="BA104" i="14"/>
  <c r="BB104" i="14"/>
  <c r="BA105" i="14"/>
  <c r="BB105" i="14"/>
  <c r="BA106" i="14"/>
  <c r="BB106" i="14"/>
  <c r="BA107" i="14"/>
  <c r="BB107" i="14"/>
  <c r="BA108" i="14"/>
  <c r="BB108" i="14"/>
  <c r="BA109" i="14"/>
  <c r="BB109" i="14"/>
  <c r="BA110" i="14"/>
  <c r="BB110" i="14"/>
  <c r="BA111" i="14"/>
  <c r="BB111" i="14"/>
  <c r="BA112" i="14"/>
  <c r="BB112" i="14"/>
  <c r="BA113" i="14"/>
  <c r="BB113" i="14"/>
  <c r="BA114" i="14"/>
  <c r="BB114" i="14"/>
  <c r="BA115" i="14"/>
  <c r="BB115" i="14"/>
  <c r="BA116" i="14"/>
  <c r="BB116" i="14"/>
  <c r="BA117" i="14"/>
  <c r="BB117" i="14"/>
  <c r="BA118" i="14"/>
  <c r="BB118" i="14"/>
  <c r="BA119" i="14"/>
  <c r="BB119" i="14"/>
  <c r="BA120" i="14"/>
  <c r="BB120" i="14"/>
  <c r="BA121" i="14"/>
  <c r="BB121" i="14"/>
  <c r="BA122" i="14"/>
  <c r="BB122" i="14"/>
  <c r="BA123" i="14"/>
  <c r="BB123" i="14"/>
  <c r="BA124" i="14"/>
  <c r="BB124" i="14"/>
  <c r="BA125" i="14"/>
  <c r="BB125" i="14"/>
  <c r="BA126" i="14"/>
  <c r="BB126" i="14"/>
  <c r="BA127" i="14"/>
  <c r="BB127" i="14"/>
  <c r="BA128" i="14"/>
  <c r="BB128" i="14"/>
  <c r="BA129" i="14"/>
  <c r="BB129" i="14"/>
  <c r="BA130" i="14"/>
  <c r="BB130" i="14"/>
  <c r="BA131" i="14"/>
  <c r="BB131" i="14"/>
  <c r="BA132" i="14"/>
  <c r="BB132" i="14"/>
  <c r="BA133" i="14"/>
  <c r="BB133" i="14"/>
  <c r="BA134" i="14"/>
  <c r="BB134" i="14"/>
  <c r="BA135" i="14"/>
  <c r="BB135" i="14"/>
  <c r="BA136" i="14"/>
  <c r="BB136" i="14"/>
  <c r="BA137" i="14"/>
  <c r="BB137" i="14"/>
  <c r="BA138" i="14"/>
  <c r="BB138" i="14"/>
  <c r="BA139" i="14"/>
  <c r="BB139" i="14"/>
  <c r="BA140" i="14"/>
  <c r="BB140" i="14"/>
  <c r="BA141" i="14"/>
  <c r="BB141" i="14"/>
  <c r="BA142" i="14"/>
  <c r="BB142" i="14"/>
  <c r="BA143" i="14"/>
  <c r="BB143" i="14"/>
  <c r="BA144" i="14"/>
  <c r="BB144" i="14"/>
  <c r="BA145" i="14"/>
  <c r="BB145" i="14"/>
  <c r="BA146" i="14"/>
  <c r="BB146" i="14"/>
  <c r="BA147" i="14"/>
  <c r="BB147" i="14"/>
  <c r="BA148" i="14"/>
  <c r="BB148" i="14"/>
  <c r="BA149" i="14"/>
  <c r="BB149" i="14"/>
  <c r="BA150" i="14"/>
  <c r="BB150" i="14"/>
  <c r="BA151" i="14"/>
  <c r="BB151" i="14"/>
  <c r="BA152" i="14"/>
  <c r="BB152" i="14"/>
  <c r="BA153" i="14"/>
  <c r="BB153" i="14"/>
  <c r="BA154" i="14"/>
  <c r="BB154" i="14"/>
  <c r="BA155" i="14"/>
  <c r="BB155" i="14"/>
  <c r="BA156" i="14"/>
  <c r="BB156" i="14"/>
  <c r="BA157" i="14"/>
  <c r="BB157" i="14"/>
  <c r="BA158" i="14"/>
  <c r="BB158" i="14"/>
  <c r="BD4" i="14" a="1"/>
  <c r="BD4" i="14" s="1"/>
  <c r="BE4" i="14"/>
  <c r="BK4" i="14" s="1"/>
  <c r="BF4" i="14"/>
  <c r="BL4" i="14" s="1"/>
  <c r="BG4" i="14"/>
  <c r="BM4" i="14" s="1"/>
  <c r="BD5" i="14" a="1"/>
  <c r="BD5" i="14"/>
  <c r="BE5" i="14"/>
  <c r="BK5" i="14" s="1"/>
  <c r="BF5" i="14"/>
  <c r="BL5" i="14" s="1"/>
  <c r="BG5" i="14"/>
  <c r="BM5" i="14" s="1"/>
  <c r="BD6" i="14" a="1"/>
  <c r="BD6" i="14" s="1"/>
  <c r="BE6" i="14"/>
  <c r="BK6" i="14" s="1"/>
  <c r="BF6" i="14"/>
  <c r="BL6" i="14" s="1"/>
  <c r="BG6" i="14"/>
  <c r="BM6" i="14" s="1"/>
  <c r="BD7" i="14" a="1"/>
  <c r="BD7" i="14"/>
  <c r="BE7" i="14"/>
  <c r="BK7" i="14" s="1"/>
  <c r="BF7" i="14"/>
  <c r="BL7" i="14" s="1"/>
  <c r="BG7" i="14"/>
  <c r="BM7" i="14" s="1"/>
  <c r="BD8" i="14" a="1"/>
  <c r="BD8" i="14"/>
  <c r="BE8" i="14"/>
  <c r="BK8" i="14" s="1"/>
  <c r="BF8" i="14"/>
  <c r="BL8" i="14" s="1"/>
  <c r="BG8" i="14"/>
  <c r="BM8" i="14" s="1"/>
  <c r="BD9" i="14" a="1"/>
  <c r="BD9" i="14"/>
  <c r="BE9" i="14"/>
  <c r="BK9" i="14" s="1"/>
  <c r="BF9" i="14"/>
  <c r="BL9" i="14" s="1"/>
  <c r="BG9" i="14"/>
  <c r="BM9" i="14" s="1"/>
  <c r="BD10" i="14" a="1"/>
  <c r="BD10" i="14"/>
  <c r="BE10" i="14"/>
  <c r="BK10" i="14" s="1"/>
  <c r="BF10" i="14"/>
  <c r="BL10" i="14" s="1"/>
  <c r="BG10" i="14"/>
  <c r="BM10" i="14" s="1"/>
  <c r="BD11" i="14" a="1"/>
  <c r="BD11" i="14"/>
  <c r="BE11" i="14"/>
  <c r="BK11" i="14" s="1"/>
  <c r="BF11" i="14"/>
  <c r="BL11" i="14" s="1"/>
  <c r="BG11" i="14"/>
  <c r="BM11" i="14" s="1"/>
  <c r="BD12" i="14" a="1"/>
  <c r="BD12" i="14"/>
  <c r="BE12" i="14"/>
  <c r="BK12" i="14" s="1"/>
  <c r="BF12" i="14"/>
  <c r="BL12" i="14" s="1"/>
  <c r="BG12" i="14"/>
  <c r="BM12" i="14" s="1"/>
  <c r="BD13" i="14" a="1"/>
  <c r="BD13" i="14"/>
  <c r="BE13" i="14"/>
  <c r="BK13" i="14" s="1"/>
  <c r="BF13" i="14"/>
  <c r="BL13" i="14" s="1"/>
  <c r="BG13" i="14"/>
  <c r="BM13" i="14" s="1"/>
  <c r="BD14" i="14" a="1"/>
  <c r="BD14" i="14"/>
  <c r="BE14" i="14"/>
  <c r="BK14" i="14" s="1"/>
  <c r="BF14" i="14"/>
  <c r="BL14" i="14" s="1"/>
  <c r="BG14" i="14"/>
  <c r="BM14" i="14" s="1"/>
  <c r="BD15" i="14" a="1"/>
  <c r="BD15" i="14" s="1"/>
  <c r="BE15" i="14"/>
  <c r="BK15" i="14" s="1"/>
  <c r="BF15" i="14"/>
  <c r="BL15" i="14" s="1"/>
  <c r="BG15" i="14"/>
  <c r="BM15" i="14" s="1"/>
  <c r="BD16" i="14" a="1"/>
  <c r="BD16" i="14" s="1"/>
  <c r="BE16" i="14"/>
  <c r="BK16" i="14" s="1"/>
  <c r="BF16" i="14"/>
  <c r="BL16" i="14" s="1"/>
  <c r="BG16" i="14"/>
  <c r="BM16" i="14" s="1"/>
  <c r="BD17" i="14" a="1"/>
  <c r="BD17" i="14" s="1"/>
  <c r="BE17" i="14"/>
  <c r="BK17" i="14" s="1"/>
  <c r="BF17" i="14"/>
  <c r="BL17" i="14" s="1"/>
  <c r="BG17" i="14"/>
  <c r="BM17" i="14" s="1"/>
  <c r="BD18" i="14" a="1"/>
  <c r="BD18" i="14"/>
  <c r="BE18" i="14"/>
  <c r="BK18" i="14" s="1"/>
  <c r="BF18" i="14"/>
  <c r="BL18" i="14" s="1"/>
  <c r="BG18" i="14"/>
  <c r="BM18" i="14" s="1"/>
  <c r="BD19" i="14" a="1"/>
  <c r="BD19" i="14"/>
  <c r="BE19" i="14"/>
  <c r="BK19" i="14" s="1"/>
  <c r="BF19" i="14"/>
  <c r="BL19" i="14" s="1"/>
  <c r="BG19" i="14"/>
  <c r="BM19" i="14" s="1"/>
  <c r="BD20" i="14" a="1"/>
  <c r="BD20" i="14"/>
  <c r="BE20" i="14"/>
  <c r="BK20" i="14" s="1"/>
  <c r="BF20" i="14"/>
  <c r="BL20" i="14" s="1"/>
  <c r="BG20" i="14"/>
  <c r="BM20" i="14" s="1"/>
  <c r="BD21" i="14" a="1"/>
  <c r="BD21" i="14"/>
  <c r="BE21" i="14"/>
  <c r="BK21" i="14" s="1"/>
  <c r="BF21" i="14"/>
  <c r="BL21" i="14" s="1"/>
  <c r="BG21" i="14"/>
  <c r="BM21" i="14" s="1"/>
  <c r="BD22" i="14" a="1"/>
  <c r="BD22" i="14" s="1"/>
  <c r="BE22" i="14"/>
  <c r="BK22" i="14" s="1"/>
  <c r="BF22" i="14"/>
  <c r="BL22" i="14" s="1"/>
  <c r="BG22" i="14"/>
  <c r="BM22" i="14" s="1"/>
  <c r="BD23" i="14" a="1"/>
  <c r="BD23" i="14" s="1"/>
  <c r="BE23" i="14"/>
  <c r="BK23" i="14" s="1"/>
  <c r="BF23" i="14"/>
  <c r="BL23" i="14" s="1"/>
  <c r="BG23" i="14"/>
  <c r="BM23" i="14" s="1"/>
  <c r="BD24" i="14" a="1"/>
  <c r="BD24" i="14"/>
  <c r="BE24" i="14"/>
  <c r="BK24" i="14" s="1"/>
  <c r="BF24" i="14"/>
  <c r="BL24" i="14" s="1"/>
  <c r="BG24" i="14"/>
  <c r="BM24" i="14" s="1"/>
  <c r="BD25" i="14" a="1"/>
  <c r="BD25" i="14"/>
  <c r="BE25" i="14"/>
  <c r="BK25" i="14" s="1"/>
  <c r="BF25" i="14"/>
  <c r="BL25" i="14" s="1"/>
  <c r="BG25" i="14"/>
  <c r="BM25" i="14" s="1"/>
  <c r="BD26" i="14" a="1"/>
  <c r="BD26" i="14" s="1"/>
  <c r="BE26" i="14"/>
  <c r="BK26" i="14" s="1"/>
  <c r="BF26" i="14"/>
  <c r="BL26" i="14" s="1"/>
  <c r="BG26" i="14"/>
  <c r="BM26" i="14" s="1"/>
  <c r="BD27" i="14" a="1"/>
  <c r="BD27" i="14"/>
  <c r="BE27" i="14"/>
  <c r="BK27" i="14" s="1"/>
  <c r="BF27" i="14"/>
  <c r="BL27" i="14" s="1"/>
  <c r="BG27" i="14"/>
  <c r="BM27" i="14" s="1"/>
  <c r="BD28" i="14" a="1"/>
  <c r="BD28" i="14"/>
  <c r="BE28" i="14"/>
  <c r="BK28" i="14" s="1"/>
  <c r="BF28" i="14"/>
  <c r="BL28" i="14" s="1"/>
  <c r="BG28" i="14"/>
  <c r="BM28" i="14" s="1"/>
  <c r="BD29" i="14" a="1"/>
  <c r="BD29" i="14" s="1"/>
  <c r="BE29" i="14"/>
  <c r="BK29" i="14" s="1"/>
  <c r="BF29" i="14"/>
  <c r="BL29" i="14" s="1"/>
  <c r="BG29" i="14"/>
  <c r="BM29" i="14" s="1"/>
  <c r="BD30" i="14" a="1"/>
  <c r="BD30" i="14" s="1"/>
  <c r="BE30" i="14"/>
  <c r="BK30" i="14" s="1"/>
  <c r="BF30" i="14"/>
  <c r="BL30" i="14" s="1"/>
  <c r="BG30" i="14"/>
  <c r="BM30" i="14" s="1"/>
  <c r="BD31" i="14" a="1"/>
  <c r="BD31" i="14" s="1"/>
  <c r="BE31" i="14"/>
  <c r="BK31" i="14" s="1"/>
  <c r="BF31" i="14"/>
  <c r="BL31" i="14" s="1"/>
  <c r="BG31" i="14"/>
  <c r="BM31" i="14" s="1"/>
  <c r="BD32" i="14" a="1"/>
  <c r="BD32" i="14"/>
  <c r="BE32" i="14"/>
  <c r="BK32" i="14" s="1"/>
  <c r="BF32" i="14"/>
  <c r="BL32" i="14" s="1"/>
  <c r="BG32" i="14"/>
  <c r="BM32" i="14" s="1"/>
  <c r="BD33" i="14" a="1"/>
  <c r="BD33" i="14"/>
  <c r="BE33" i="14"/>
  <c r="BK33" i="14" s="1"/>
  <c r="BF33" i="14"/>
  <c r="BG33" i="14"/>
  <c r="BD34" i="14" a="1"/>
  <c r="BD34" i="14"/>
  <c r="BE34" i="14"/>
  <c r="BK34" i="14" s="1"/>
  <c r="BF34" i="14"/>
  <c r="BL34" i="14" s="1"/>
  <c r="BG34" i="14"/>
  <c r="BM34" i="14" s="1"/>
  <c r="BD35" i="14" a="1"/>
  <c r="BD35" i="14"/>
  <c r="BE35" i="14"/>
  <c r="BK35" i="14" s="1"/>
  <c r="BF35" i="14"/>
  <c r="BL35" i="14" s="1"/>
  <c r="BG35" i="14"/>
  <c r="BM35" i="14" s="1"/>
  <c r="BD36" i="14" a="1"/>
  <c r="BD36" i="14" s="1"/>
  <c r="BE36" i="14"/>
  <c r="BK36" i="14" s="1"/>
  <c r="BF36" i="14"/>
  <c r="BL36" i="14" s="1"/>
  <c r="BG36" i="14"/>
  <c r="BM36" i="14" s="1"/>
  <c r="BD37" i="14" a="1"/>
  <c r="BD37" i="14" s="1"/>
  <c r="BE37" i="14"/>
  <c r="BK37" i="14" s="1"/>
  <c r="BF37" i="14"/>
  <c r="BL37" i="14" s="1"/>
  <c r="BG37" i="14"/>
  <c r="BM37" i="14" s="1"/>
  <c r="BD38" i="14" a="1"/>
  <c r="BD38" i="14" s="1"/>
  <c r="BE38" i="14"/>
  <c r="BK38" i="14" s="1"/>
  <c r="BF38" i="14"/>
  <c r="BL38" i="14" s="1"/>
  <c r="BG38" i="14"/>
  <c r="BM38" i="14" s="1"/>
  <c r="BD39" i="14" a="1"/>
  <c r="BD39" i="14"/>
  <c r="BE39" i="14"/>
  <c r="BK39" i="14" s="1"/>
  <c r="BF39" i="14"/>
  <c r="BL39" i="14" s="1"/>
  <c r="BG39" i="14"/>
  <c r="BM39" i="14" s="1"/>
  <c r="BD40" i="14" a="1"/>
  <c r="BD40" i="14" s="1"/>
  <c r="BE40" i="14"/>
  <c r="BK40" i="14" s="1"/>
  <c r="BF40" i="14"/>
  <c r="BL40" i="14" s="1"/>
  <c r="BG40" i="14"/>
  <c r="BM40" i="14" s="1"/>
  <c r="BD41" i="14" a="1"/>
  <c r="BD41" i="14" s="1"/>
  <c r="BE41" i="14"/>
  <c r="BF41" i="14"/>
  <c r="BL41" i="14" s="1"/>
  <c r="BG41" i="14"/>
  <c r="BM41" i="14" s="1"/>
  <c r="BD42" i="14" a="1"/>
  <c r="BD42" i="14"/>
  <c r="BE42" i="14"/>
  <c r="BK42" i="14" s="1"/>
  <c r="BF42" i="14"/>
  <c r="BL42" i="14" s="1"/>
  <c r="BG42" i="14"/>
  <c r="BM42" i="14" s="1"/>
  <c r="BD43" i="14" a="1"/>
  <c r="BD43" i="14" s="1"/>
  <c r="BE43" i="14"/>
  <c r="BK43" i="14" s="1"/>
  <c r="BF43" i="14"/>
  <c r="BL43" i="14" s="1"/>
  <c r="BG43" i="14"/>
  <c r="BM43" i="14" s="1"/>
  <c r="BD44" i="14" a="1"/>
  <c r="BD44" i="14" s="1"/>
  <c r="BE44" i="14"/>
  <c r="BK44" i="14" s="1"/>
  <c r="BF44" i="14"/>
  <c r="BL44" i="14" s="1"/>
  <c r="BG44" i="14"/>
  <c r="BM44" i="14" s="1"/>
  <c r="BD45" i="14" a="1"/>
  <c r="BD45" i="14"/>
  <c r="BE45" i="14"/>
  <c r="BK45" i="14" s="1"/>
  <c r="BF45" i="14"/>
  <c r="BL45" i="14" s="1"/>
  <c r="BG45" i="14"/>
  <c r="BM45" i="14" s="1"/>
  <c r="BD46" i="14" a="1"/>
  <c r="BD46" i="14" s="1"/>
  <c r="BE46" i="14"/>
  <c r="BK46" i="14" s="1"/>
  <c r="BF46" i="14"/>
  <c r="BL46" i="14" s="1"/>
  <c r="BG46" i="14"/>
  <c r="BM46" i="14" s="1"/>
  <c r="BD47" i="14" a="1"/>
  <c r="BD47" i="14" s="1"/>
  <c r="BE47" i="14"/>
  <c r="BK47" i="14" s="1"/>
  <c r="BF47" i="14"/>
  <c r="BL47" i="14" s="1"/>
  <c r="BG47" i="14"/>
  <c r="BM47" i="14" s="1"/>
  <c r="BD48" i="14" a="1"/>
  <c r="BD48" i="14" s="1"/>
  <c r="BE48" i="14"/>
  <c r="BK48" i="14" s="1"/>
  <c r="BF48" i="14"/>
  <c r="BL48" i="14" s="1"/>
  <c r="BG48" i="14"/>
  <c r="BM48" i="14" s="1"/>
  <c r="BD49" i="14" a="1"/>
  <c r="BD49" i="14"/>
  <c r="BE49" i="14"/>
  <c r="BK49" i="14" s="1"/>
  <c r="BF49" i="14"/>
  <c r="BL49" i="14" s="1"/>
  <c r="BG49" i="14"/>
  <c r="BM49" i="14" s="1"/>
  <c r="BD50" i="14" a="1"/>
  <c r="BD50" i="14"/>
  <c r="BE50" i="14"/>
  <c r="BK50" i="14" s="1"/>
  <c r="BF50" i="14"/>
  <c r="BG50" i="14"/>
  <c r="BM50" i="14" s="1"/>
  <c r="BD51" i="14" a="1"/>
  <c r="BD51" i="14" s="1"/>
  <c r="BE51" i="14"/>
  <c r="BK51" i="14" s="1"/>
  <c r="BF51" i="14"/>
  <c r="BL51" i="14" s="1"/>
  <c r="BG51" i="14"/>
  <c r="BM51" i="14" s="1"/>
  <c r="BD52" i="14" a="1"/>
  <c r="BD52" i="14"/>
  <c r="BE52" i="14"/>
  <c r="BK52" i="14" s="1"/>
  <c r="BF52" i="14"/>
  <c r="BL52" i="14" s="1"/>
  <c r="BG52" i="14"/>
  <c r="BM52" i="14" s="1"/>
  <c r="BD53" i="14" a="1"/>
  <c r="BD53" i="14" s="1"/>
  <c r="BE53" i="14"/>
  <c r="BF53" i="14"/>
  <c r="BL53" i="14" s="1"/>
  <c r="BG53" i="14"/>
  <c r="BM53" i="14" s="1"/>
  <c r="BD54" i="14" a="1"/>
  <c r="BD54" i="14" s="1"/>
  <c r="BE54" i="14"/>
  <c r="BK54" i="14" s="1"/>
  <c r="BF54" i="14"/>
  <c r="BL54" i="14" s="1"/>
  <c r="BG54" i="14"/>
  <c r="BM54" i="14" s="1"/>
  <c r="BD55" i="14" a="1"/>
  <c r="BD55" i="14" s="1"/>
  <c r="BE55" i="14"/>
  <c r="BK55" i="14" s="1"/>
  <c r="BF55" i="14"/>
  <c r="BL55" i="14" s="1"/>
  <c r="BG55" i="14"/>
  <c r="BM55" i="14" s="1"/>
  <c r="BD56" i="14" a="1"/>
  <c r="BD56" i="14"/>
  <c r="BE56" i="14"/>
  <c r="BK56" i="14" s="1"/>
  <c r="BF56" i="14"/>
  <c r="BL56" i="14" s="1"/>
  <c r="BG56" i="14"/>
  <c r="BM56" i="14" s="1"/>
  <c r="BD57" i="14" a="1"/>
  <c r="BD57" i="14" s="1"/>
  <c r="BE57" i="14"/>
  <c r="BF57" i="14"/>
  <c r="BL57" i="14" s="1"/>
  <c r="BG57" i="14"/>
  <c r="BM57" i="14" s="1"/>
  <c r="BD58" i="14" a="1"/>
  <c r="BD58" i="14"/>
  <c r="BE58" i="14"/>
  <c r="BK58" i="14" s="1"/>
  <c r="BF58" i="14"/>
  <c r="BL58" i="14" s="1"/>
  <c r="BG58" i="14"/>
  <c r="BM58" i="14" s="1"/>
  <c r="BD59" i="14" a="1"/>
  <c r="BD59" i="14" s="1"/>
  <c r="BE59" i="14"/>
  <c r="BF59" i="14"/>
  <c r="BL59" i="14" s="1"/>
  <c r="BG59" i="14"/>
  <c r="BM59" i="14" s="1"/>
  <c r="BD60" i="14" a="1"/>
  <c r="BD60" i="14" s="1"/>
  <c r="BE60" i="14"/>
  <c r="BK60" i="14" s="1"/>
  <c r="BF60" i="14"/>
  <c r="BL60" i="14" s="1"/>
  <c r="BG60" i="14"/>
  <c r="BM60" i="14" s="1"/>
  <c r="BD61" i="14" a="1"/>
  <c r="BD61" i="14"/>
  <c r="BE61" i="14"/>
  <c r="BK61" i="14" s="1"/>
  <c r="BF61" i="14"/>
  <c r="BL61" i="14" s="1"/>
  <c r="BG61" i="14"/>
  <c r="BD62" i="14" a="1"/>
  <c r="BD62" i="14" s="1"/>
  <c r="BE62" i="14"/>
  <c r="BK62" i="14" s="1"/>
  <c r="BF62" i="14"/>
  <c r="BL62" i="14" s="1"/>
  <c r="BG62" i="14"/>
  <c r="BM62" i="14" s="1"/>
  <c r="BD63" i="14" a="1"/>
  <c r="BD63" i="14" s="1"/>
  <c r="BE63" i="14"/>
  <c r="BF63" i="14"/>
  <c r="BL63" i="14" s="1"/>
  <c r="BG63" i="14"/>
  <c r="BD64" i="14" a="1"/>
  <c r="BD64" i="14"/>
  <c r="BE64" i="14"/>
  <c r="BK64" i="14" s="1"/>
  <c r="BF64" i="14"/>
  <c r="BL64" i="14" s="1"/>
  <c r="BG64" i="14"/>
  <c r="BM64" i="14" s="1"/>
  <c r="BD65" i="14" a="1"/>
  <c r="BD65" i="14" s="1"/>
  <c r="BE65" i="14"/>
  <c r="BK65" i="14" s="1"/>
  <c r="BF65" i="14"/>
  <c r="BL65" i="14" s="1"/>
  <c r="BG65" i="14"/>
  <c r="BM65" i="14" s="1"/>
  <c r="BD66" i="14" a="1"/>
  <c r="BD66" i="14" s="1"/>
  <c r="BE66" i="14"/>
  <c r="BK66" i="14" s="1"/>
  <c r="BF66" i="14"/>
  <c r="BL66" i="14" s="1"/>
  <c r="BG66" i="14"/>
  <c r="BM66" i="14" s="1"/>
  <c r="BD67" i="14" a="1"/>
  <c r="BD67" i="14"/>
  <c r="BE67" i="14"/>
  <c r="BK67" i="14" s="1"/>
  <c r="BF67" i="14"/>
  <c r="BL67" i="14" s="1"/>
  <c r="BG67" i="14"/>
  <c r="BM67" i="14" s="1"/>
  <c r="BD68" i="14" a="1"/>
  <c r="BD68" i="14"/>
  <c r="BE68" i="14"/>
  <c r="BK68" i="14" s="1"/>
  <c r="BF68" i="14"/>
  <c r="BL68" i="14" s="1"/>
  <c r="BG68" i="14"/>
  <c r="BM68" i="14" s="1"/>
  <c r="BD69" i="14" a="1"/>
  <c r="BD69" i="14" s="1"/>
  <c r="BE69" i="14"/>
  <c r="BK69" i="14" s="1"/>
  <c r="BF69" i="14"/>
  <c r="BL69" i="14" s="1"/>
  <c r="BG69" i="14"/>
  <c r="BM69" i="14" s="1"/>
  <c r="BD70" i="14" a="1"/>
  <c r="BD70" i="14" s="1"/>
  <c r="BE70" i="14"/>
  <c r="BK70" i="14" s="1"/>
  <c r="BF70" i="14"/>
  <c r="BL70" i="14" s="1"/>
  <c r="BG70" i="14"/>
  <c r="BM70" i="14" s="1"/>
  <c r="BD71" i="14" a="1"/>
  <c r="BD71" i="14"/>
  <c r="BE71" i="14"/>
  <c r="BK71" i="14" s="1"/>
  <c r="BF71" i="14"/>
  <c r="BL71" i="14" s="1"/>
  <c r="BG71" i="14"/>
  <c r="BM71" i="14" s="1"/>
  <c r="BD72" i="14" a="1"/>
  <c r="BD72" i="14"/>
  <c r="BE72" i="14"/>
  <c r="BK72" i="14" s="1"/>
  <c r="BF72" i="14"/>
  <c r="BL72" i="14" s="1"/>
  <c r="BG72" i="14"/>
  <c r="BM72" i="14" s="1"/>
  <c r="BD73" i="14" a="1"/>
  <c r="BD73" i="14" s="1"/>
  <c r="BE73" i="14"/>
  <c r="BK73" i="14" s="1"/>
  <c r="BF73" i="14"/>
  <c r="BL73" i="14" s="1"/>
  <c r="BG73" i="14"/>
  <c r="BM73" i="14" s="1"/>
  <c r="BD74" i="14" a="1"/>
  <c r="BD74" i="14"/>
  <c r="BE74" i="14"/>
  <c r="BK74" i="14" s="1"/>
  <c r="BF74" i="14"/>
  <c r="BL74" i="14" s="1"/>
  <c r="BG74" i="14"/>
  <c r="BM74" i="14" s="1"/>
  <c r="BD75" i="14" a="1"/>
  <c r="BD75" i="14" s="1"/>
  <c r="BE75" i="14"/>
  <c r="BF75" i="14"/>
  <c r="BL75" i="14" s="1"/>
  <c r="BG75" i="14"/>
  <c r="BM75" i="14" s="1"/>
  <c r="BD76" i="14" a="1"/>
  <c r="BD76" i="14" s="1"/>
  <c r="BE76" i="14"/>
  <c r="BK76" i="14" s="1"/>
  <c r="BF76" i="14"/>
  <c r="BL76" i="14" s="1"/>
  <c r="BG76" i="14"/>
  <c r="BM76" i="14" s="1"/>
  <c r="BD77" i="14" a="1"/>
  <c r="BD77" i="14"/>
  <c r="BE77" i="14"/>
  <c r="BK77" i="14" s="1"/>
  <c r="BF77" i="14"/>
  <c r="BL77" i="14" s="1"/>
  <c r="BG77" i="14"/>
  <c r="BM77" i="14" s="1"/>
  <c r="BD78" i="14" a="1"/>
  <c r="BD78" i="14" s="1"/>
  <c r="BE78" i="14"/>
  <c r="BK78" i="14" s="1"/>
  <c r="BF78" i="14"/>
  <c r="BL78" i="14" s="1"/>
  <c r="BG78" i="14"/>
  <c r="BM78" i="14" s="1"/>
  <c r="BD79" i="14" a="1"/>
  <c r="BD79" i="14" s="1"/>
  <c r="BE79" i="14"/>
  <c r="BK79" i="14" s="1"/>
  <c r="BF79" i="14"/>
  <c r="BL79" i="14" s="1"/>
  <c r="BG79" i="14"/>
  <c r="BM79" i="14" s="1"/>
  <c r="BD80" i="14" a="1"/>
  <c r="BD80" i="14"/>
  <c r="BE80" i="14"/>
  <c r="BK80" i="14" s="1"/>
  <c r="BF80" i="14"/>
  <c r="BL80" i="14" s="1"/>
  <c r="BG80" i="14"/>
  <c r="BM80" i="14" s="1"/>
  <c r="BD81" i="14" a="1"/>
  <c r="BD81" i="14"/>
  <c r="BE81" i="14"/>
  <c r="BK81" i="14" s="1"/>
  <c r="BF81" i="14"/>
  <c r="BL81" i="14" s="1"/>
  <c r="BG81" i="14"/>
  <c r="BM81" i="14" s="1"/>
  <c r="BD82" i="14" a="1"/>
  <c r="BD82" i="14"/>
  <c r="BE82" i="14"/>
  <c r="BK82" i="14" s="1"/>
  <c r="BF82" i="14"/>
  <c r="BL82" i="14" s="1"/>
  <c r="BG82" i="14"/>
  <c r="BM82" i="14" s="1"/>
  <c r="BD83" i="14" a="1"/>
  <c r="BD83" i="14" s="1"/>
  <c r="BE83" i="14"/>
  <c r="BK83" i="14" s="1"/>
  <c r="BF83" i="14"/>
  <c r="BL83" i="14" s="1"/>
  <c r="BG83" i="14"/>
  <c r="BM83" i="14" s="1"/>
  <c r="BD84" i="14" a="1"/>
  <c r="BD84" i="14"/>
  <c r="BE84" i="14"/>
  <c r="BK84" i="14" s="1"/>
  <c r="BF84" i="14"/>
  <c r="BL84" i="14" s="1"/>
  <c r="BG84" i="14"/>
  <c r="BM84" i="14" s="1"/>
  <c r="BD85" i="14" a="1"/>
  <c r="BD85" i="14" s="1"/>
  <c r="BE85" i="14"/>
  <c r="BK85" i="14" s="1"/>
  <c r="BF85" i="14"/>
  <c r="BL85" i="14" s="1"/>
  <c r="BG85" i="14"/>
  <c r="BM85" i="14" s="1"/>
  <c r="BD86" i="14" a="1"/>
  <c r="BD86" i="14" s="1"/>
  <c r="BE86" i="14"/>
  <c r="BK86" i="14" s="1"/>
  <c r="BF86" i="14"/>
  <c r="BL86" i="14" s="1"/>
  <c r="BG86" i="14"/>
  <c r="BM86" i="14" s="1"/>
  <c r="BD87" i="14" a="1"/>
  <c r="BD87" i="14" s="1"/>
  <c r="BE87" i="14"/>
  <c r="BK87" i="14" s="1"/>
  <c r="BF87" i="14"/>
  <c r="BL87" i="14" s="1"/>
  <c r="BG87" i="14"/>
  <c r="BM87" i="14" s="1"/>
  <c r="BD88" i="14" a="1"/>
  <c r="BD88" i="14"/>
  <c r="BE88" i="14"/>
  <c r="BK88" i="14" s="1"/>
  <c r="BF88" i="14"/>
  <c r="BL88" i="14" s="1"/>
  <c r="BG88" i="14"/>
  <c r="BM88" i="14" s="1"/>
  <c r="BD89" i="14" a="1"/>
  <c r="BD89" i="14" s="1"/>
  <c r="BE89" i="14"/>
  <c r="BK89" i="14" s="1"/>
  <c r="BF89" i="14"/>
  <c r="BL89" i="14" s="1"/>
  <c r="BG89" i="14"/>
  <c r="BD90" i="14" a="1"/>
  <c r="BD90" i="14" s="1"/>
  <c r="BE90" i="14"/>
  <c r="BK90" i="14" s="1"/>
  <c r="BF90" i="14"/>
  <c r="BL90" i="14" s="1"/>
  <c r="BG90" i="14"/>
  <c r="BM90" i="14" s="1"/>
  <c r="BD91" i="14" a="1"/>
  <c r="BD91" i="14" s="1"/>
  <c r="BE91" i="14"/>
  <c r="BK91" i="14" s="1"/>
  <c r="BF91" i="14"/>
  <c r="BL91" i="14" s="1"/>
  <c r="BG91" i="14"/>
  <c r="BM91" i="14" s="1"/>
  <c r="BD92" i="14" a="1"/>
  <c r="BD92" i="14" s="1"/>
  <c r="BE92" i="14"/>
  <c r="BK92" i="14" s="1"/>
  <c r="BF92" i="14"/>
  <c r="BL92" i="14" s="1"/>
  <c r="BG92" i="14"/>
  <c r="BM92" i="14" s="1"/>
  <c r="BD93" i="14" a="1"/>
  <c r="BD93" i="14"/>
  <c r="BE93" i="14"/>
  <c r="BK93" i="14" s="1"/>
  <c r="BF93" i="14"/>
  <c r="BL93" i="14" s="1"/>
  <c r="BG93" i="14"/>
  <c r="BM93" i="14" s="1"/>
  <c r="BD94" i="14" a="1"/>
  <c r="BD94" i="14"/>
  <c r="BE94" i="14"/>
  <c r="BK94" i="14" s="1"/>
  <c r="BF94" i="14"/>
  <c r="BL94" i="14" s="1"/>
  <c r="BG94" i="14"/>
  <c r="BM94" i="14" s="1"/>
  <c r="BD95" i="14" a="1"/>
  <c r="BD95" i="14" s="1"/>
  <c r="BE95" i="14"/>
  <c r="BK95" i="14" s="1"/>
  <c r="BF95" i="14"/>
  <c r="BL95" i="14" s="1"/>
  <c r="BG95" i="14"/>
  <c r="BM95" i="14" s="1"/>
  <c r="BD96" i="14" a="1"/>
  <c r="BD96" i="14" s="1"/>
  <c r="BE96" i="14"/>
  <c r="BK96" i="14" s="1"/>
  <c r="BF96" i="14"/>
  <c r="BL96" i="14" s="1"/>
  <c r="BG96" i="14"/>
  <c r="BM96" i="14" s="1"/>
  <c r="BD97" i="14" a="1"/>
  <c r="BD97" i="14" s="1"/>
  <c r="BE97" i="14"/>
  <c r="BK97" i="14" s="1"/>
  <c r="BF97" i="14"/>
  <c r="BL97" i="14" s="1"/>
  <c r="BG97" i="14"/>
  <c r="BM97" i="14" s="1"/>
  <c r="BD98" i="14" a="1"/>
  <c r="BD98" i="14"/>
  <c r="BE98" i="14"/>
  <c r="BK98" i="14" s="1"/>
  <c r="BF98" i="14"/>
  <c r="BL98" i="14" s="1"/>
  <c r="BG98" i="14"/>
  <c r="BM98" i="14" s="1"/>
  <c r="BD99" i="14" a="1"/>
  <c r="BD99" i="14" s="1"/>
  <c r="BE99" i="14"/>
  <c r="BK99" i="14" s="1"/>
  <c r="BF99" i="14"/>
  <c r="BL99" i="14" s="1"/>
  <c r="BG99" i="14"/>
  <c r="BM99" i="14" s="1"/>
  <c r="BD100" i="14" a="1"/>
  <c r="BD100" i="14"/>
  <c r="BE100" i="14"/>
  <c r="BK100" i="14" s="1"/>
  <c r="BF100" i="14"/>
  <c r="BL100" i="14" s="1"/>
  <c r="BG100" i="14"/>
  <c r="BM100" i="14" s="1"/>
  <c r="BD101" i="14" a="1"/>
  <c r="BD101" i="14" s="1"/>
  <c r="BE101" i="14"/>
  <c r="BK101" i="14" s="1"/>
  <c r="BF101" i="14"/>
  <c r="BL101" i="14" s="1"/>
  <c r="BG101" i="14"/>
  <c r="BM101" i="14" s="1"/>
  <c r="BD102" i="14" a="1"/>
  <c r="BD102" i="14" s="1"/>
  <c r="BE102" i="14"/>
  <c r="BK102" i="14" s="1"/>
  <c r="BF102" i="14"/>
  <c r="BL102" i="14" s="1"/>
  <c r="BG102" i="14"/>
  <c r="BM102" i="14" s="1"/>
  <c r="BD103" i="14" a="1"/>
  <c r="BD103" i="14" s="1"/>
  <c r="BE103" i="14"/>
  <c r="BK103" i="14" s="1"/>
  <c r="BF103" i="14"/>
  <c r="BL103" i="14" s="1"/>
  <c r="BG103" i="14"/>
  <c r="BM103" i="14" s="1"/>
  <c r="BD104" i="14" a="1"/>
  <c r="BD104" i="14"/>
  <c r="BE104" i="14"/>
  <c r="BK104" i="14" s="1"/>
  <c r="BF104" i="14"/>
  <c r="BL104" i="14" s="1"/>
  <c r="BG104" i="14"/>
  <c r="BM104" i="14" s="1"/>
  <c r="BD105" i="14" a="1"/>
  <c r="BD105" i="14"/>
  <c r="BE105" i="14"/>
  <c r="BK105" i="14" s="1"/>
  <c r="BF105" i="14"/>
  <c r="BL105" i="14" s="1"/>
  <c r="BG105" i="14"/>
  <c r="BM105" i="14" s="1"/>
  <c r="BD106" i="14" a="1"/>
  <c r="BD106" i="14" s="1"/>
  <c r="BE106" i="14"/>
  <c r="BK106" i="14" s="1"/>
  <c r="BF106" i="14"/>
  <c r="BL106" i="14" s="1"/>
  <c r="BG106" i="14"/>
  <c r="BM106" i="14" s="1"/>
  <c r="BD107" i="14" a="1"/>
  <c r="BD107" i="14"/>
  <c r="BE107" i="14"/>
  <c r="BK107" i="14" s="1"/>
  <c r="BF107" i="14"/>
  <c r="BL107" i="14" s="1"/>
  <c r="BG107" i="14"/>
  <c r="BM107" i="14" s="1"/>
  <c r="BD108" i="14" a="1"/>
  <c r="BD108" i="14" s="1"/>
  <c r="BE108" i="14"/>
  <c r="BK108" i="14" s="1"/>
  <c r="BF108" i="14"/>
  <c r="BL108" i="14" s="1"/>
  <c r="BG108" i="14"/>
  <c r="BM108" i="14" s="1"/>
  <c r="BD109" i="14" a="1"/>
  <c r="BD109" i="14" s="1"/>
  <c r="BE109" i="14"/>
  <c r="BK109" i="14" s="1"/>
  <c r="BF109" i="14"/>
  <c r="BL109" i="14" s="1"/>
  <c r="BG109" i="14"/>
  <c r="BM109" i="14" s="1"/>
  <c r="BD110" i="14" a="1"/>
  <c r="BD110" i="14"/>
  <c r="BE110" i="14"/>
  <c r="BK110" i="14" s="1"/>
  <c r="BF110" i="14"/>
  <c r="BL110" i="14" s="1"/>
  <c r="BG110" i="14"/>
  <c r="BM110" i="14" s="1"/>
  <c r="BD111" i="14" a="1"/>
  <c r="BD111" i="14" s="1"/>
  <c r="BE111" i="14"/>
  <c r="BK111" i="14" s="1"/>
  <c r="BF111" i="14"/>
  <c r="BL111" i="14" s="1"/>
  <c r="BG111" i="14"/>
  <c r="BM111" i="14" s="1"/>
  <c r="BD112" i="14" a="1"/>
  <c r="BD112" i="14"/>
  <c r="BE112" i="14"/>
  <c r="BK112" i="14" s="1"/>
  <c r="BF112" i="14"/>
  <c r="BL112" i="14" s="1"/>
  <c r="BG112" i="14"/>
  <c r="BM112" i="14" s="1"/>
  <c r="BD113" i="14" a="1"/>
  <c r="BD113" i="14" s="1"/>
  <c r="BE113" i="14"/>
  <c r="BK113" i="14" s="1"/>
  <c r="BF113" i="14"/>
  <c r="BL113" i="14" s="1"/>
  <c r="BG113" i="14"/>
  <c r="BM113" i="14" s="1"/>
  <c r="BD114" i="14" a="1"/>
  <c r="BD114" i="14" s="1"/>
  <c r="BE114" i="14"/>
  <c r="BK114" i="14" s="1"/>
  <c r="BF114" i="14"/>
  <c r="BL114" i="14" s="1"/>
  <c r="BG114" i="14"/>
  <c r="BM114" i="14" s="1"/>
  <c r="BD115" i="14" a="1"/>
  <c r="BD115" i="14" s="1"/>
  <c r="BE115" i="14"/>
  <c r="BK115" i="14" s="1"/>
  <c r="BF115" i="14"/>
  <c r="BL115" i="14" s="1"/>
  <c r="BG115" i="14"/>
  <c r="BM115" i="14" s="1"/>
  <c r="BD116" i="14" a="1"/>
  <c r="BD116" i="14"/>
  <c r="BE116" i="14"/>
  <c r="BK116" i="14" s="1"/>
  <c r="BF116" i="14"/>
  <c r="BL116" i="14" s="1"/>
  <c r="BG116" i="14"/>
  <c r="BM116" i="14" s="1"/>
  <c r="BD117" i="14" a="1"/>
  <c r="BD117" i="14"/>
  <c r="BE117" i="14"/>
  <c r="BK117" i="14" s="1"/>
  <c r="BF117" i="14"/>
  <c r="BL117" i="14" s="1"/>
  <c r="BG117" i="14"/>
  <c r="BM117" i="14" s="1"/>
  <c r="BD118" i="14" a="1"/>
  <c r="BD118" i="14" s="1"/>
  <c r="BE118" i="14"/>
  <c r="BK118" i="14" s="1"/>
  <c r="BF118" i="14"/>
  <c r="BL118" i="14" s="1"/>
  <c r="BG118" i="14"/>
  <c r="BM118" i="14" s="1"/>
  <c r="BD119" i="14" a="1"/>
  <c r="BD119" i="14"/>
  <c r="BE119" i="14"/>
  <c r="BK119" i="14" s="1"/>
  <c r="BF119" i="14"/>
  <c r="BL119" i="14" s="1"/>
  <c r="BG119" i="14"/>
  <c r="BM119" i="14" s="1"/>
  <c r="BD120" i="14" a="1"/>
  <c r="BD120" i="14" s="1"/>
  <c r="BE120" i="14"/>
  <c r="BK120" i="14" s="1"/>
  <c r="BF120" i="14"/>
  <c r="BL120" i="14" s="1"/>
  <c r="BG120" i="14"/>
  <c r="BM120" i="14" s="1"/>
  <c r="BD121" i="14" a="1"/>
  <c r="BD121" i="14" s="1"/>
  <c r="BE121" i="14"/>
  <c r="BK121" i="14" s="1"/>
  <c r="BF121" i="14"/>
  <c r="BL121" i="14" s="1"/>
  <c r="BG121" i="14"/>
  <c r="BM121" i="14" s="1"/>
  <c r="BD122" i="14" a="1"/>
  <c r="BD122" i="14" s="1"/>
  <c r="BE122" i="14"/>
  <c r="BK122" i="14" s="1"/>
  <c r="BF122" i="14"/>
  <c r="BL122" i="14" s="1"/>
  <c r="BG122" i="14"/>
  <c r="BM122" i="14" s="1"/>
  <c r="BD123" i="14" a="1"/>
  <c r="BD123" i="14"/>
  <c r="BE123" i="14"/>
  <c r="BF123" i="14"/>
  <c r="BL123" i="14" s="1"/>
  <c r="BG123" i="14"/>
  <c r="BM123" i="14" s="1"/>
  <c r="BD124" i="14" a="1"/>
  <c r="BD124" i="14" s="1"/>
  <c r="BE124" i="14"/>
  <c r="BK124" i="14" s="1"/>
  <c r="BF124" i="14"/>
  <c r="BL124" i="14" s="1"/>
  <c r="BG124" i="14"/>
  <c r="BM124" i="14" s="1"/>
  <c r="BD125" i="14" a="1"/>
  <c r="BD125" i="14"/>
  <c r="BE125" i="14"/>
  <c r="BK125" i="14" s="1"/>
  <c r="BF125" i="14"/>
  <c r="BL125" i="14" s="1"/>
  <c r="BG125" i="14"/>
  <c r="BM125" i="14" s="1"/>
  <c r="BD126" i="14" a="1"/>
  <c r="BD126" i="14"/>
  <c r="BE126" i="14"/>
  <c r="BK126" i="14" s="1"/>
  <c r="BF126" i="14"/>
  <c r="BL126" i="14" s="1"/>
  <c r="BG126" i="14"/>
  <c r="BM126" i="14" s="1"/>
  <c r="BD127" i="14" a="1"/>
  <c r="BD127" i="14" s="1"/>
  <c r="BE127" i="14"/>
  <c r="BK127" i="14" s="1"/>
  <c r="BF127" i="14"/>
  <c r="BL127" i="14" s="1"/>
  <c r="BG127" i="14"/>
  <c r="BM127" i="14" s="1"/>
  <c r="BD128" i="14" a="1"/>
  <c r="BD128" i="14"/>
  <c r="BE128" i="14"/>
  <c r="BK128" i="14" s="1"/>
  <c r="BF128" i="14"/>
  <c r="BL128" i="14" s="1"/>
  <c r="BG128" i="14"/>
  <c r="BM128" i="14" s="1"/>
  <c r="BD129" i="14" a="1"/>
  <c r="BD129" i="14"/>
  <c r="BE129" i="14"/>
  <c r="BK129" i="14" s="1"/>
  <c r="BF129" i="14"/>
  <c r="BL129" i="14" s="1"/>
  <c r="BG129" i="14"/>
  <c r="BM129" i="14" s="1"/>
  <c r="BD130" i="14" a="1"/>
  <c r="BD130" i="14"/>
  <c r="BE130" i="14"/>
  <c r="BK130" i="14" s="1"/>
  <c r="BF130" i="14"/>
  <c r="BL130" i="14" s="1"/>
  <c r="BG130" i="14"/>
  <c r="BM130" i="14" s="1"/>
  <c r="BD131" i="14" a="1"/>
  <c r="BD131" i="14" s="1"/>
  <c r="BE131" i="14"/>
  <c r="BK131" i="14" s="1"/>
  <c r="BF131" i="14"/>
  <c r="BL131" i="14" s="1"/>
  <c r="BG131" i="14"/>
  <c r="BM131" i="14" s="1"/>
  <c r="BD132" i="14" a="1"/>
  <c r="BD132" i="14" s="1"/>
  <c r="BE132" i="14"/>
  <c r="BK132" i="14" s="1"/>
  <c r="BF132" i="14"/>
  <c r="BL132" i="14" s="1"/>
  <c r="BG132" i="14"/>
  <c r="BM132" i="14" s="1"/>
  <c r="BD133" i="14" a="1"/>
  <c r="BD133" i="14"/>
  <c r="BE133" i="14"/>
  <c r="BK133" i="14" s="1"/>
  <c r="BF133" i="14"/>
  <c r="BL133" i="14" s="1"/>
  <c r="BG133" i="14"/>
  <c r="BM133" i="14" s="1"/>
  <c r="BD134" i="14" a="1"/>
  <c r="BD134" i="14" s="1"/>
  <c r="BE134" i="14"/>
  <c r="BK134" i="14" s="1"/>
  <c r="BF134" i="14"/>
  <c r="BL134" i="14" s="1"/>
  <c r="BG134" i="14"/>
  <c r="BD135" i="14" a="1"/>
  <c r="BD135" i="14"/>
  <c r="BE135" i="14"/>
  <c r="BK135" i="14" s="1"/>
  <c r="BF135" i="14"/>
  <c r="BL135" i="14" s="1"/>
  <c r="BG135" i="14"/>
  <c r="BM135" i="14" s="1"/>
  <c r="BD136" i="14" a="1"/>
  <c r="BD136" i="14"/>
  <c r="BE136" i="14"/>
  <c r="BK136" i="14" s="1"/>
  <c r="BF136" i="14"/>
  <c r="BL136" i="14" s="1"/>
  <c r="BG136" i="14"/>
  <c r="BM136" i="14" s="1"/>
  <c r="BD137" i="14" a="1"/>
  <c r="BD137" i="14"/>
  <c r="BE137" i="14"/>
  <c r="BK137" i="14" s="1"/>
  <c r="BF137" i="14"/>
  <c r="BL137" i="14" s="1"/>
  <c r="BG137" i="14"/>
  <c r="BM137" i="14" s="1"/>
  <c r="BD138" i="14" a="1"/>
  <c r="BD138" i="14"/>
  <c r="BE138" i="14"/>
  <c r="BK138" i="14" s="1"/>
  <c r="BF138" i="14"/>
  <c r="BL138" i="14" s="1"/>
  <c r="BG138" i="14"/>
  <c r="BM138" i="14" s="1"/>
  <c r="BD139" i="14" a="1"/>
  <c r="BD139" i="14"/>
  <c r="BE139" i="14"/>
  <c r="BK139" i="14" s="1"/>
  <c r="BF139" i="14"/>
  <c r="BL139" i="14" s="1"/>
  <c r="BG139" i="14"/>
  <c r="BM139" i="14" s="1"/>
  <c r="BD140" i="14" a="1"/>
  <c r="BD140" i="14"/>
  <c r="BE140" i="14"/>
  <c r="BK140" i="14" s="1"/>
  <c r="BF140" i="14"/>
  <c r="BL140" i="14" s="1"/>
  <c r="BG140" i="14"/>
  <c r="BM140" i="14" s="1"/>
  <c r="BD141" i="14" a="1"/>
  <c r="BD141" i="14" s="1"/>
  <c r="BE141" i="14"/>
  <c r="BK141" i="14" s="1"/>
  <c r="BF141" i="14"/>
  <c r="BL141" i="14" s="1"/>
  <c r="BG141" i="14"/>
  <c r="BD142" i="14" a="1"/>
  <c r="BD142" i="14" s="1"/>
  <c r="BE142" i="14"/>
  <c r="BK142" i="14" s="1"/>
  <c r="BF142" i="14"/>
  <c r="BL142" i="14" s="1"/>
  <c r="BG142" i="14"/>
  <c r="BM142" i="14" s="1"/>
  <c r="BD143" i="14" a="1"/>
  <c r="BD143" i="14" s="1"/>
  <c r="BE143" i="14"/>
  <c r="BK143" i="14" s="1"/>
  <c r="BF143" i="14"/>
  <c r="BL143" i="14" s="1"/>
  <c r="BG143" i="14"/>
  <c r="BM143" i="14" s="1"/>
  <c r="BD144" i="14" a="1"/>
  <c r="BD144" i="14"/>
  <c r="BE144" i="14"/>
  <c r="BK144" i="14" s="1"/>
  <c r="BF144" i="14"/>
  <c r="BL144" i="14" s="1"/>
  <c r="BG144" i="14"/>
  <c r="BM144" i="14" s="1"/>
  <c r="BD145" i="14" a="1"/>
  <c r="BD145" i="14"/>
  <c r="BE145" i="14"/>
  <c r="BK145" i="14" s="1"/>
  <c r="BF145" i="14"/>
  <c r="BL145" i="14" s="1"/>
  <c r="BG145" i="14"/>
  <c r="BM145" i="14" s="1"/>
  <c r="BD146" i="14" a="1"/>
  <c r="BD146" i="14"/>
  <c r="BE146" i="14"/>
  <c r="BK146" i="14" s="1"/>
  <c r="BF146" i="14"/>
  <c r="BL146" i="14" s="1"/>
  <c r="BG146" i="14"/>
  <c r="BM146" i="14" s="1"/>
  <c r="BD147" i="14" a="1"/>
  <c r="BD147" i="14" s="1"/>
  <c r="BE147" i="14"/>
  <c r="BK147" i="14" s="1"/>
  <c r="BF147" i="14"/>
  <c r="BL147" i="14" s="1"/>
  <c r="BG147" i="14"/>
  <c r="BM147" i="14" s="1"/>
  <c r="BD148" i="14" a="1"/>
  <c r="BD148" i="14"/>
  <c r="BE148" i="14"/>
  <c r="BK148" i="14" s="1"/>
  <c r="BF148" i="14"/>
  <c r="BL148" i="14" s="1"/>
  <c r="BG148" i="14"/>
  <c r="BM148" i="14" s="1"/>
  <c r="BD149" i="14" a="1"/>
  <c r="BD149" i="14"/>
  <c r="BE149" i="14"/>
  <c r="BK149" i="14" s="1"/>
  <c r="BF149" i="14"/>
  <c r="BL149" i="14" s="1"/>
  <c r="BG149" i="14"/>
  <c r="BM149" i="14" s="1"/>
  <c r="BD150" i="14" a="1"/>
  <c r="BD150" i="14" s="1"/>
  <c r="BE150" i="14"/>
  <c r="BK150" i="14" s="1"/>
  <c r="BF150" i="14"/>
  <c r="BL150" i="14" s="1"/>
  <c r="BG150" i="14"/>
  <c r="BM150" i="14" s="1"/>
  <c r="BD151" i="14" a="1"/>
  <c r="BD151" i="14" s="1"/>
  <c r="BE151" i="14"/>
  <c r="BK151" i="14" s="1"/>
  <c r="BF151" i="14"/>
  <c r="BL151" i="14" s="1"/>
  <c r="BG151" i="14"/>
  <c r="BM151" i="14" s="1"/>
  <c r="BD152" i="14" a="1"/>
  <c r="BD152" i="14"/>
  <c r="BE152" i="14"/>
  <c r="BK152" i="14" s="1"/>
  <c r="BF152" i="14"/>
  <c r="BL152" i="14" s="1"/>
  <c r="BG152" i="14"/>
  <c r="BM152" i="14" s="1"/>
  <c r="BD153" i="14" a="1"/>
  <c r="BD153" i="14"/>
  <c r="BE153" i="14"/>
  <c r="BK153" i="14" s="1"/>
  <c r="BF153" i="14"/>
  <c r="BL153" i="14" s="1"/>
  <c r="BG153" i="14"/>
  <c r="BM153" i="14" s="1"/>
  <c r="BD154" i="14" a="1"/>
  <c r="BD154" i="14" s="1"/>
  <c r="BE154" i="14"/>
  <c r="BK154" i="14" s="1"/>
  <c r="BF154" i="14"/>
  <c r="BL154" i="14" s="1"/>
  <c r="BG154" i="14"/>
  <c r="BM154" i="14" s="1"/>
  <c r="BD155" i="14" a="1"/>
  <c r="BD155" i="14"/>
  <c r="BE155" i="14"/>
  <c r="BK155" i="14" s="1"/>
  <c r="BF155" i="14"/>
  <c r="BL155" i="14" s="1"/>
  <c r="BG155" i="14"/>
  <c r="BM155" i="14" s="1"/>
  <c r="BD156" i="14" a="1"/>
  <c r="BD156" i="14"/>
  <c r="BE156" i="14"/>
  <c r="BK156" i="14" s="1"/>
  <c r="BF156" i="14"/>
  <c r="BL156" i="14" s="1"/>
  <c r="BG156" i="14"/>
  <c r="BM156" i="14" s="1"/>
  <c r="BD157" i="14" a="1"/>
  <c r="BD157" i="14"/>
  <c r="BE157" i="14"/>
  <c r="BK157" i="14" s="1"/>
  <c r="BF157" i="14"/>
  <c r="BL157" i="14" s="1"/>
  <c r="BG157" i="14"/>
  <c r="BM157" i="14" s="1"/>
  <c r="BD158" i="14" a="1"/>
  <c r="BD158" i="14" s="1"/>
  <c r="BE158" i="14"/>
  <c r="BK158" i="14" s="1"/>
  <c r="BF158" i="14"/>
  <c r="BL158" i="14" s="1"/>
  <c r="BG158" i="14"/>
  <c r="BM158" i="14" s="1"/>
  <c r="BK63" i="14"/>
  <c r="BM63" i="14"/>
  <c r="BK57" i="14"/>
  <c r="BK53" i="14"/>
  <c r="BL50" i="14"/>
  <c r="BK41" i="14"/>
  <c r="BH41" i="14"/>
  <c r="BM33" i="14"/>
  <c r="BL33" i="14"/>
  <c r="B305" i="2"/>
  <c r="B304" i="2"/>
  <c r="AV304" i="2" s="1"/>
  <c r="B303" i="2"/>
  <c r="AV303" i="2" s="1"/>
  <c r="B302" i="2"/>
  <c r="AV302" i="2" s="1"/>
  <c r="B301" i="2"/>
  <c r="AV301" i="2" s="1"/>
  <c r="B300" i="2"/>
  <c r="AV300" i="2" s="1"/>
  <c r="B299" i="2"/>
  <c r="AV299" i="2" s="1"/>
  <c r="B298" i="2"/>
  <c r="AV298" i="2" s="1"/>
  <c r="B297" i="2"/>
  <c r="AV297" i="2" s="1"/>
  <c r="B296" i="2"/>
  <c r="AV296" i="2" s="1"/>
  <c r="B295" i="2"/>
  <c r="AV295" i="2" s="1"/>
  <c r="B294" i="2"/>
  <c r="AV294" i="2" s="1"/>
  <c r="B293" i="2"/>
  <c r="AV293" i="2" s="1"/>
  <c r="B292" i="2"/>
  <c r="AV292" i="2" s="1"/>
  <c r="B291" i="2"/>
  <c r="AV291" i="2" s="1"/>
  <c r="B290" i="2"/>
  <c r="AV290" i="2" s="1"/>
  <c r="B289" i="2"/>
  <c r="AV289" i="2" s="1"/>
  <c r="B288" i="2"/>
  <c r="B287" i="2"/>
  <c r="AV287" i="2" s="1"/>
  <c r="B286" i="2"/>
  <c r="AV286" i="2" s="1"/>
  <c r="B285" i="2"/>
  <c r="AV285" i="2" s="1"/>
  <c r="B284" i="2"/>
  <c r="AV284" i="2" s="1"/>
  <c r="B283" i="2"/>
  <c r="AV283" i="2" s="1"/>
  <c r="B282" i="2"/>
  <c r="AV282" i="2" s="1"/>
  <c r="B281" i="2"/>
  <c r="AV281" i="2" s="1"/>
  <c r="B280" i="2"/>
  <c r="AV280" i="2" s="1"/>
  <c r="B279" i="2"/>
  <c r="AV279" i="2" s="1"/>
  <c r="B278" i="2"/>
  <c r="AV278" i="2" s="1"/>
  <c r="B277" i="2"/>
  <c r="AV277" i="2" s="1"/>
  <c r="B276" i="2"/>
  <c r="AV276" i="2" s="1"/>
  <c r="B275" i="2"/>
  <c r="AV275" i="2" s="1"/>
  <c r="B274" i="2"/>
  <c r="AV274" i="2" s="1"/>
  <c r="B273" i="2"/>
  <c r="AV273" i="2" s="1"/>
  <c r="B272" i="2"/>
  <c r="AV272" i="2" s="1"/>
  <c r="B271" i="2"/>
  <c r="AV271" i="2" s="1"/>
  <c r="B270" i="2"/>
  <c r="B269" i="2"/>
  <c r="B268" i="2"/>
  <c r="AV268" i="2" s="1"/>
  <c r="B267" i="2"/>
  <c r="AV267" i="2" s="1"/>
  <c r="B266" i="2"/>
  <c r="AV266" i="2" s="1"/>
  <c r="B265" i="2"/>
  <c r="B264" i="2"/>
  <c r="AV264" i="2" s="1"/>
  <c r="B263" i="2"/>
  <c r="AV263" i="2" s="1"/>
  <c r="B262" i="2"/>
  <c r="AV262" i="2" s="1"/>
  <c r="B261" i="2"/>
  <c r="AV261" i="2" s="1"/>
  <c r="B260" i="2"/>
  <c r="AV260" i="2" s="1"/>
  <c r="B259" i="2"/>
  <c r="AV259" i="2" s="1"/>
  <c r="B258" i="2"/>
  <c r="B257" i="2"/>
  <c r="B256" i="2"/>
  <c r="AV256" i="2" s="1"/>
  <c r="B255" i="2"/>
  <c r="AV255" i="2" s="1"/>
  <c r="B254" i="2"/>
  <c r="AV254" i="2" s="1"/>
  <c r="B253" i="2"/>
  <c r="B252" i="2"/>
  <c r="AV252" i="2" s="1"/>
  <c r="B251" i="2"/>
  <c r="AV251" i="2" s="1"/>
  <c r="B250" i="2"/>
  <c r="AV250" i="2" s="1"/>
  <c r="B249" i="2"/>
  <c r="AV249" i="2" s="1"/>
  <c r="B248" i="2"/>
  <c r="B247" i="2"/>
  <c r="AV247" i="2" s="1"/>
  <c r="B246" i="2"/>
  <c r="AV246" i="2" s="1"/>
  <c r="B245" i="2"/>
  <c r="AV245" i="2" s="1"/>
  <c r="B244" i="2"/>
  <c r="AV244" i="2" s="1"/>
  <c r="B243" i="2"/>
  <c r="AV243" i="2" s="1"/>
  <c r="B242" i="2"/>
  <c r="AV242" i="2" s="1"/>
  <c r="B241" i="2"/>
  <c r="AV241" i="2" s="1"/>
  <c r="B240" i="2"/>
  <c r="AV240" i="2" s="1"/>
  <c r="B239" i="2"/>
  <c r="AV239" i="2" s="1"/>
  <c r="B238" i="2"/>
  <c r="AV238" i="2" s="1"/>
  <c r="B237" i="2"/>
  <c r="AV237" i="2" s="1"/>
  <c r="B236" i="2"/>
  <c r="AV236" i="2" s="1"/>
  <c r="B235" i="2"/>
  <c r="AV235" i="2" s="1"/>
  <c r="B234" i="2"/>
  <c r="AV234" i="2" s="1"/>
  <c r="B233" i="2"/>
  <c r="AV233" i="2" s="1"/>
  <c r="B232" i="2"/>
  <c r="AV232" i="2" s="1"/>
  <c r="B231" i="2"/>
  <c r="AV231" i="2" s="1"/>
  <c r="B230" i="2"/>
  <c r="AV230" i="2" s="1"/>
  <c r="B229" i="2"/>
  <c r="AV229" i="2" s="1"/>
  <c r="B228" i="2"/>
  <c r="B227" i="2"/>
  <c r="B226" i="2"/>
  <c r="AV226" i="2" s="1"/>
  <c r="B225" i="2"/>
  <c r="AV225" i="2" s="1"/>
  <c r="B224" i="2"/>
  <c r="AV224" i="2" s="1"/>
  <c r="B223" i="2"/>
  <c r="AV223" i="2" s="1"/>
  <c r="B222" i="2"/>
  <c r="AV222" i="2" s="1"/>
  <c r="B221" i="2"/>
  <c r="AV221" i="2" s="1"/>
  <c r="B220" i="2"/>
  <c r="AV220" i="2" s="1"/>
  <c r="B219" i="2"/>
  <c r="B8" i="2"/>
  <c r="B9" i="2"/>
  <c r="B10" i="2"/>
  <c r="B11" i="2"/>
  <c r="B12" i="2"/>
  <c r="B13" i="2"/>
  <c r="B14" i="2"/>
  <c r="B15" i="2"/>
  <c r="AV15" i="2" s="1"/>
  <c r="B16" i="2"/>
  <c r="B17" i="2"/>
  <c r="B18" i="2"/>
  <c r="B19" i="2"/>
  <c r="B20" i="2"/>
  <c r="B21" i="2"/>
  <c r="B22" i="2"/>
  <c r="B23" i="2"/>
  <c r="B24" i="2"/>
  <c r="B25" i="2"/>
  <c r="B26" i="2"/>
  <c r="B27" i="2"/>
  <c r="AV27" i="2" s="1"/>
  <c r="B28" i="2"/>
  <c r="AV28" i="2" s="1"/>
  <c r="B29" i="2"/>
  <c r="AV29" i="2" s="1"/>
  <c r="B30" i="2"/>
  <c r="AV30" i="2" s="1"/>
  <c r="B31" i="2"/>
  <c r="AV31" i="2" s="1"/>
  <c r="B32" i="2"/>
  <c r="AV32" i="2" s="1"/>
  <c r="B33" i="2"/>
  <c r="AV33" i="2" s="1"/>
  <c r="B34" i="2"/>
  <c r="AV34" i="2" s="1"/>
  <c r="B35" i="2"/>
  <c r="AV35" i="2" s="1"/>
  <c r="B36" i="2"/>
  <c r="B37" i="2"/>
  <c r="AV37" i="2" s="1"/>
  <c r="B38" i="2"/>
  <c r="AV38" i="2" s="1"/>
  <c r="B39" i="2"/>
  <c r="AV39" i="2" s="1"/>
  <c r="B40" i="2"/>
  <c r="AV40" i="2" s="1"/>
  <c r="B41" i="2"/>
  <c r="AV41" i="2" s="1"/>
  <c r="B42" i="2"/>
  <c r="AV42" i="2" s="1"/>
  <c r="B43" i="2"/>
  <c r="AV43" i="2" s="1"/>
  <c r="B44" i="2"/>
  <c r="AV44" i="2" s="1"/>
  <c r="B45" i="2"/>
  <c r="AV45" i="2" s="1"/>
  <c r="B46" i="2"/>
  <c r="AV46" i="2" s="1"/>
  <c r="B47" i="2"/>
  <c r="AV47" i="2" s="1"/>
  <c r="B48" i="2"/>
  <c r="AV48" i="2" s="1"/>
  <c r="B49" i="2"/>
  <c r="AV49" i="2" s="1"/>
  <c r="B50" i="2"/>
  <c r="B51" i="2"/>
  <c r="B52" i="2"/>
  <c r="B53" i="2"/>
  <c r="B54" i="2"/>
  <c r="AV54" i="2" s="1"/>
  <c r="B55" i="2"/>
  <c r="AV55" i="2" s="1"/>
  <c r="B56" i="2"/>
  <c r="B57" i="2"/>
  <c r="B58" i="2"/>
  <c r="AV58" i="2" s="1"/>
  <c r="B59" i="2"/>
  <c r="AV59" i="2" s="1"/>
  <c r="B60" i="2"/>
  <c r="B61" i="2"/>
  <c r="B62" i="2"/>
  <c r="B63" i="2"/>
  <c r="B64" i="2"/>
  <c r="B65" i="2"/>
  <c r="B66" i="2"/>
  <c r="B67" i="2"/>
  <c r="B68" i="2"/>
  <c r="AV68" i="2" s="1"/>
  <c r="B69" i="2"/>
  <c r="AV69" i="2" s="1"/>
  <c r="B70" i="2"/>
  <c r="B71" i="2"/>
  <c r="B72" i="2"/>
  <c r="B73" i="2"/>
  <c r="AV73" i="2" s="1"/>
  <c r="B74" i="2"/>
  <c r="B75" i="2"/>
  <c r="B76" i="2"/>
  <c r="B77" i="2"/>
  <c r="B78" i="2"/>
  <c r="B79" i="2"/>
  <c r="AV79" i="2" s="1"/>
  <c r="B80" i="2"/>
  <c r="B81" i="2"/>
  <c r="B82" i="2"/>
  <c r="AV82" i="2" s="1"/>
  <c r="B83" i="2"/>
  <c r="B84" i="2"/>
  <c r="AV84" i="2" s="1"/>
  <c r="B85" i="2"/>
  <c r="AV85" i="2" s="1"/>
  <c r="B86" i="2"/>
  <c r="B87" i="2"/>
  <c r="B88" i="2"/>
  <c r="B89" i="2"/>
  <c r="B90" i="2"/>
  <c r="B91" i="2"/>
  <c r="AV91" i="2" s="1"/>
  <c r="B92" i="2"/>
  <c r="B93" i="2"/>
  <c r="B94" i="2"/>
  <c r="B95" i="2"/>
  <c r="B96" i="2"/>
  <c r="AV96" i="2" s="1"/>
  <c r="B97" i="2"/>
  <c r="B98" i="2"/>
  <c r="B99" i="2"/>
  <c r="B100" i="2"/>
  <c r="AV100" i="2" s="1"/>
  <c r="B101" i="2"/>
  <c r="B102" i="2"/>
  <c r="AV102" i="2" s="1"/>
  <c r="B103" i="2"/>
  <c r="B104" i="2"/>
  <c r="B105" i="2"/>
  <c r="B106" i="2"/>
  <c r="B107" i="2"/>
  <c r="B108" i="2"/>
  <c r="AV108" i="2" s="1"/>
  <c r="B109" i="2"/>
  <c r="B110" i="2"/>
  <c r="B111" i="2"/>
  <c r="B112" i="2"/>
  <c r="B113" i="2"/>
  <c r="B114" i="2"/>
  <c r="B115" i="2"/>
  <c r="B116" i="2"/>
  <c r="B117" i="2"/>
  <c r="B118" i="2"/>
  <c r="B119" i="2"/>
  <c r="B120" i="2"/>
  <c r="B121" i="2"/>
  <c r="B122" i="2"/>
  <c r="B123" i="2"/>
  <c r="B124" i="2"/>
  <c r="AV124" i="2" s="1"/>
  <c r="B125" i="2"/>
  <c r="B126" i="2"/>
  <c r="B127" i="2"/>
  <c r="B128" i="2"/>
  <c r="B129" i="2"/>
  <c r="B130" i="2"/>
  <c r="AV130" i="2" s="1"/>
  <c r="B131" i="2"/>
  <c r="B132" i="2"/>
  <c r="B133" i="2"/>
  <c r="B134" i="2"/>
  <c r="B135" i="2"/>
  <c r="B136" i="2"/>
  <c r="B137" i="2"/>
  <c r="B138" i="2"/>
  <c r="B139" i="2"/>
  <c r="B140" i="2"/>
  <c r="B141" i="2"/>
  <c r="AV141" i="2" s="1"/>
  <c r="B142" i="2"/>
  <c r="B143" i="2"/>
  <c r="B144" i="2"/>
  <c r="B145" i="2"/>
  <c r="B146" i="2"/>
  <c r="B147" i="2"/>
  <c r="B148" i="2"/>
  <c r="AV148" i="2" s="1"/>
  <c r="B149" i="2"/>
  <c r="B150" i="2"/>
  <c r="B151" i="2"/>
  <c r="B152" i="2"/>
  <c r="AV152" i="2" s="1"/>
  <c r="B153" i="2"/>
  <c r="B154" i="2"/>
  <c r="B155" i="2"/>
  <c r="B156" i="2"/>
  <c r="B157" i="2"/>
  <c r="B158" i="2"/>
  <c r="B159" i="2"/>
  <c r="B160" i="2"/>
  <c r="B161" i="2"/>
  <c r="B162" i="2"/>
  <c r="B163" i="2"/>
  <c r="B164" i="2"/>
  <c r="AV164" i="2" s="1"/>
  <c r="B165" i="2"/>
  <c r="B166" i="2"/>
  <c r="B167" i="2"/>
  <c r="B168" i="2"/>
  <c r="B169" i="2"/>
  <c r="B170" i="2"/>
  <c r="B171" i="2"/>
  <c r="B172" i="2"/>
  <c r="AV172" i="2" s="1"/>
  <c r="B173" i="2"/>
  <c r="B174" i="2"/>
  <c r="B175" i="2"/>
  <c r="B176" i="2"/>
  <c r="B177" i="2"/>
  <c r="B178" i="2"/>
  <c r="B179" i="2"/>
  <c r="B180" i="2"/>
  <c r="B181" i="2"/>
  <c r="B182" i="2"/>
  <c r="B183" i="2"/>
  <c r="AV183" i="2" s="1"/>
  <c r="B184" i="2"/>
  <c r="AV184" i="2" s="1"/>
  <c r="B185" i="2"/>
  <c r="B186" i="2"/>
  <c r="B187" i="2"/>
  <c r="AV187" i="2" s="1"/>
  <c r="B188" i="2"/>
  <c r="AV188" i="2" s="1"/>
  <c r="B189" i="2"/>
  <c r="AV189" i="2" s="1"/>
  <c r="B190" i="2"/>
  <c r="AV190" i="2" s="1"/>
  <c r="B191" i="2"/>
  <c r="AV191" i="2" s="1"/>
  <c r="B192" i="2"/>
  <c r="AV192" i="2" s="1"/>
  <c r="B193" i="2"/>
  <c r="B194" i="2"/>
  <c r="B195" i="2"/>
  <c r="B196" i="2"/>
  <c r="B197" i="2"/>
  <c r="B198" i="2"/>
  <c r="B199" i="2"/>
  <c r="AV199" i="2" s="1"/>
  <c r="B200" i="2"/>
  <c r="B201" i="2"/>
  <c r="AV201" i="2" s="1"/>
  <c r="B202" i="2"/>
  <c r="B203" i="2"/>
  <c r="B204" i="2"/>
  <c r="B205" i="2"/>
  <c r="AV205" i="2" s="1"/>
  <c r="B206" i="2"/>
  <c r="B207" i="2"/>
  <c r="B208" i="2"/>
  <c r="AV208" i="2" s="1"/>
  <c r="B209" i="2"/>
  <c r="AV209" i="2" s="1"/>
  <c r="B210" i="2"/>
  <c r="B211" i="2"/>
  <c r="AV211" i="2" s="1"/>
  <c r="B212" i="2"/>
  <c r="AV212" i="2" s="1"/>
  <c r="B213" i="2"/>
  <c r="AV213" i="2" s="1"/>
  <c r="B214" i="2"/>
  <c r="B215" i="2"/>
  <c r="AV215" i="2" s="1"/>
  <c r="B216" i="2"/>
  <c r="B217" i="2"/>
  <c r="B7" i="2"/>
  <c r="BG158" i="13"/>
  <c r="BM158" i="13" s="1"/>
  <c r="BF158" i="13"/>
  <c r="BL158" i="13" s="1"/>
  <c r="BE158" i="13"/>
  <c r="BK158" i="13" s="1"/>
  <c r="BD158" i="13" a="1"/>
  <c r="BD158" i="13" s="1"/>
  <c r="BH158" i="13" s="1"/>
  <c r="BC158" i="13"/>
  <c r="BB158" i="13"/>
  <c r="BG157" i="13"/>
  <c r="BM157" i="13" s="1"/>
  <c r="BF157" i="13"/>
  <c r="BL157" i="13" s="1"/>
  <c r="BE157" i="13"/>
  <c r="BK157" i="13" s="1"/>
  <c r="BD157" i="13" a="1"/>
  <c r="BD157" i="13" s="1"/>
  <c r="BH157" i="13" s="1"/>
  <c r="BC157" i="13"/>
  <c r="BB157" i="13"/>
  <c r="BG156" i="13"/>
  <c r="BM156" i="13" s="1"/>
  <c r="BF156" i="13"/>
  <c r="BL156" i="13" s="1"/>
  <c r="BE156" i="13"/>
  <c r="BK156" i="13" s="1"/>
  <c r="BD156" i="13" a="1"/>
  <c r="BD156" i="13" s="1"/>
  <c r="BH156" i="13" s="1"/>
  <c r="BC156" i="13"/>
  <c r="BB156" i="13"/>
  <c r="BG155" i="13"/>
  <c r="BM155" i="13" s="1"/>
  <c r="BF155" i="13"/>
  <c r="BL155" i="13" s="1"/>
  <c r="BE155" i="13"/>
  <c r="BK155" i="13" s="1"/>
  <c r="BD155" i="13" a="1"/>
  <c r="BD155" i="13" s="1"/>
  <c r="BH155" i="13" s="1"/>
  <c r="BC155" i="13"/>
  <c r="BB155" i="13"/>
  <c r="BG154" i="13"/>
  <c r="BM154" i="13" s="1"/>
  <c r="BF154" i="13"/>
  <c r="BL154" i="13" s="1"/>
  <c r="BE154" i="13"/>
  <c r="BK154" i="13" s="1"/>
  <c r="BD154" i="13" a="1"/>
  <c r="BD154" i="13" s="1"/>
  <c r="BC154" i="13"/>
  <c r="BB154" i="13"/>
  <c r="BG153" i="13"/>
  <c r="BM153" i="13" s="1"/>
  <c r="BF153" i="13"/>
  <c r="BL153" i="13" s="1"/>
  <c r="BE153" i="13"/>
  <c r="BK153" i="13" s="1"/>
  <c r="BD153" i="13" a="1"/>
  <c r="BD153" i="13" s="1"/>
  <c r="BH153" i="13" s="1"/>
  <c r="BC153" i="13"/>
  <c r="BB153" i="13"/>
  <c r="BG152" i="13"/>
  <c r="BM152" i="13" s="1"/>
  <c r="BF152" i="13"/>
  <c r="BL152" i="13" s="1"/>
  <c r="BE152" i="13"/>
  <c r="BK152" i="13" s="1"/>
  <c r="BD152" i="13" a="1"/>
  <c r="BD152" i="13" s="1"/>
  <c r="BC152" i="13"/>
  <c r="BB152" i="13"/>
  <c r="BG151" i="13"/>
  <c r="BM151" i="13" s="1"/>
  <c r="BF151" i="13"/>
  <c r="BL151" i="13" s="1"/>
  <c r="BE151" i="13"/>
  <c r="BK151" i="13" s="1"/>
  <c r="BD151" i="13" a="1"/>
  <c r="BD151" i="13" s="1"/>
  <c r="BH151" i="13" s="1"/>
  <c r="BC151" i="13"/>
  <c r="BB151" i="13"/>
  <c r="BG150" i="13"/>
  <c r="BM150" i="13" s="1"/>
  <c r="BF150" i="13"/>
  <c r="BE150" i="13"/>
  <c r="BK150" i="13" s="1"/>
  <c r="BD150" i="13" a="1"/>
  <c r="BD150" i="13" s="1"/>
  <c r="BC150" i="13"/>
  <c r="BB150" i="13"/>
  <c r="BG149" i="13"/>
  <c r="BM149" i="13" s="1"/>
  <c r="BF149" i="13"/>
  <c r="BL149" i="13" s="1"/>
  <c r="BE149" i="13"/>
  <c r="BK149" i="13" s="1"/>
  <c r="BD149" i="13" a="1"/>
  <c r="BD149" i="13" s="1"/>
  <c r="BH149" i="13" s="1"/>
  <c r="BC149" i="13"/>
  <c r="BB149" i="13"/>
  <c r="BG148" i="13"/>
  <c r="BM148" i="13" s="1"/>
  <c r="BF148" i="13"/>
  <c r="BL148" i="13" s="1"/>
  <c r="BE148" i="13"/>
  <c r="BK148" i="13" s="1"/>
  <c r="BD148" i="13" a="1"/>
  <c r="BD148" i="13" s="1"/>
  <c r="BH148" i="13" s="1"/>
  <c r="BC148" i="13"/>
  <c r="BB148" i="13"/>
  <c r="BG147" i="13"/>
  <c r="BM147" i="13" s="1"/>
  <c r="BF147" i="13"/>
  <c r="BL147" i="13" s="1"/>
  <c r="BE147" i="13"/>
  <c r="BK147" i="13" s="1"/>
  <c r="BD147" i="13" a="1"/>
  <c r="BD147" i="13" s="1"/>
  <c r="BH147" i="13" s="1"/>
  <c r="BC147" i="13"/>
  <c r="BB147" i="13"/>
  <c r="BG146" i="13"/>
  <c r="BM146" i="13" s="1"/>
  <c r="BF146" i="13"/>
  <c r="BL146" i="13" s="1"/>
  <c r="BE146" i="13"/>
  <c r="BK146" i="13" s="1"/>
  <c r="BD146" i="13" a="1"/>
  <c r="BD146" i="13" s="1"/>
  <c r="BC146" i="13"/>
  <c r="BB146" i="13"/>
  <c r="BG145" i="13"/>
  <c r="BM145" i="13" s="1"/>
  <c r="BF145" i="13"/>
  <c r="BL145" i="13" s="1"/>
  <c r="BE145" i="13"/>
  <c r="BK145" i="13" s="1"/>
  <c r="BD145" i="13" a="1"/>
  <c r="BD145" i="13" s="1"/>
  <c r="BH145" i="13" s="1"/>
  <c r="BC145" i="13"/>
  <c r="BB145" i="13"/>
  <c r="BG144" i="13"/>
  <c r="BM144" i="13" s="1"/>
  <c r="BF144" i="13"/>
  <c r="BL144" i="13" s="1"/>
  <c r="BE144" i="13"/>
  <c r="BK144" i="13" s="1"/>
  <c r="BD144" i="13" a="1"/>
  <c r="BD144" i="13" s="1"/>
  <c r="BH144" i="13" s="1"/>
  <c r="BC144" i="13"/>
  <c r="BB144" i="13"/>
  <c r="BG143" i="13"/>
  <c r="BM143" i="13" s="1"/>
  <c r="BF143" i="13"/>
  <c r="BL143" i="13" s="1"/>
  <c r="BE143" i="13"/>
  <c r="BK143" i="13" s="1"/>
  <c r="BD143" i="13" a="1"/>
  <c r="BD143" i="13" s="1"/>
  <c r="BC143" i="13"/>
  <c r="BB143" i="13"/>
  <c r="BG142" i="13"/>
  <c r="BM142" i="13" s="1"/>
  <c r="BF142" i="13"/>
  <c r="BL142" i="13" s="1"/>
  <c r="BE142" i="13"/>
  <c r="BK142" i="13" s="1"/>
  <c r="BD142" i="13" a="1"/>
  <c r="BD142" i="13" s="1"/>
  <c r="BH142" i="13" s="1"/>
  <c r="BC142" i="13"/>
  <c r="BB142" i="13"/>
  <c r="BG141" i="13"/>
  <c r="BM141" i="13" s="1"/>
  <c r="BF141" i="13"/>
  <c r="BL141" i="13" s="1"/>
  <c r="BE141" i="13"/>
  <c r="BK141" i="13" s="1"/>
  <c r="BD141" i="13" a="1"/>
  <c r="BD141" i="13" s="1"/>
  <c r="BH141" i="13" s="1"/>
  <c r="BC141" i="13"/>
  <c r="BB141" i="13"/>
  <c r="BG140" i="13"/>
  <c r="BM140" i="13" s="1"/>
  <c r="BF140" i="13"/>
  <c r="BL140" i="13" s="1"/>
  <c r="BE140" i="13"/>
  <c r="BK140" i="13" s="1"/>
  <c r="BD140" i="13" a="1"/>
  <c r="BD140" i="13" s="1"/>
  <c r="BH140" i="13" s="1"/>
  <c r="BC140" i="13"/>
  <c r="BB140" i="13"/>
  <c r="BG139" i="13"/>
  <c r="BM139" i="13" s="1"/>
  <c r="BF139" i="13"/>
  <c r="BL139" i="13" s="1"/>
  <c r="BE139" i="13"/>
  <c r="BK139" i="13" s="1"/>
  <c r="BD139" i="13" a="1"/>
  <c r="BD139" i="13" s="1"/>
  <c r="BH139" i="13" s="1"/>
  <c r="BC139" i="13"/>
  <c r="BB139" i="13"/>
  <c r="BG138" i="13"/>
  <c r="BM138" i="13" s="1"/>
  <c r="BF138" i="13"/>
  <c r="BL138" i="13" s="1"/>
  <c r="BE138" i="13"/>
  <c r="BK138" i="13" s="1"/>
  <c r="BD138" i="13" a="1"/>
  <c r="BD138" i="13" s="1"/>
  <c r="BH138" i="13" s="1"/>
  <c r="BC138" i="13"/>
  <c r="BB138" i="13"/>
  <c r="BG137" i="13"/>
  <c r="BM137" i="13" s="1"/>
  <c r="BF137" i="13"/>
  <c r="BL137" i="13" s="1"/>
  <c r="BE137" i="13"/>
  <c r="BK137" i="13" s="1"/>
  <c r="BD137" i="13" a="1"/>
  <c r="BD137" i="13" s="1"/>
  <c r="BC137" i="13"/>
  <c r="BB137" i="13"/>
  <c r="BG136" i="13"/>
  <c r="BM136" i="13" s="1"/>
  <c r="BF136" i="13"/>
  <c r="BL136" i="13" s="1"/>
  <c r="BE136" i="13"/>
  <c r="BK136" i="13" s="1"/>
  <c r="BD136" i="13" a="1"/>
  <c r="BD136" i="13" s="1"/>
  <c r="BH136" i="13" s="1"/>
  <c r="BC136" i="13"/>
  <c r="BB136" i="13"/>
  <c r="BG135" i="13"/>
  <c r="BM135" i="13" s="1"/>
  <c r="BF135" i="13"/>
  <c r="BL135" i="13" s="1"/>
  <c r="BE135" i="13"/>
  <c r="BK135" i="13" s="1"/>
  <c r="BD135" i="13" a="1"/>
  <c r="BD135" i="13" s="1"/>
  <c r="BC135" i="13"/>
  <c r="BB135" i="13"/>
  <c r="BG134" i="13"/>
  <c r="BM134" i="13" s="1"/>
  <c r="BF134" i="13"/>
  <c r="BL134" i="13" s="1"/>
  <c r="BE134" i="13"/>
  <c r="BK134" i="13" s="1"/>
  <c r="BD134" i="13" a="1"/>
  <c r="BD134" i="13" s="1"/>
  <c r="BC134" i="13"/>
  <c r="BB134" i="13"/>
  <c r="BG133" i="13"/>
  <c r="BM133" i="13" s="1"/>
  <c r="BF133" i="13"/>
  <c r="BL133" i="13" s="1"/>
  <c r="BE133" i="13"/>
  <c r="BK133" i="13" s="1"/>
  <c r="BD133" i="13" a="1"/>
  <c r="BD133" i="13" s="1"/>
  <c r="BC133" i="13"/>
  <c r="BB133" i="13"/>
  <c r="BG132" i="13"/>
  <c r="BM132" i="13" s="1"/>
  <c r="BF132" i="13"/>
  <c r="BL132" i="13" s="1"/>
  <c r="BE132" i="13"/>
  <c r="BK132" i="13" s="1"/>
  <c r="BD132" i="13" a="1"/>
  <c r="BD132" i="13" s="1"/>
  <c r="BH132" i="13" s="1"/>
  <c r="BC132" i="13"/>
  <c r="BB132" i="13"/>
  <c r="BG131" i="13"/>
  <c r="BM131" i="13" s="1"/>
  <c r="BF131" i="13"/>
  <c r="BL131" i="13" s="1"/>
  <c r="BE131" i="13"/>
  <c r="BK131" i="13" s="1"/>
  <c r="BD131" i="13" a="1"/>
  <c r="BD131" i="13" s="1"/>
  <c r="BH131" i="13" s="1"/>
  <c r="BC131" i="13"/>
  <c r="BB131" i="13"/>
  <c r="BG130" i="13"/>
  <c r="BM130" i="13" s="1"/>
  <c r="BF130" i="13"/>
  <c r="BL130" i="13" s="1"/>
  <c r="BE130" i="13"/>
  <c r="BK130" i="13" s="1"/>
  <c r="BD130" i="13" a="1"/>
  <c r="BD130" i="13" s="1"/>
  <c r="BH130" i="13" s="1"/>
  <c r="BC130" i="13"/>
  <c r="BB130" i="13"/>
  <c r="BG129" i="13"/>
  <c r="BM129" i="13" s="1"/>
  <c r="BF129" i="13"/>
  <c r="BL129" i="13" s="1"/>
  <c r="BE129" i="13"/>
  <c r="BK129" i="13" s="1"/>
  <c r="BD129" i="13" a="1"/>
  <c r="BD129" i="13" s="1"/>
  <c r="BH129" i="13" s="1"/>
  <c r="BC129" i="13"/>
  <c r="BB129" i="13"/>
  <c r="BG128" i="13"/>
  <c r="BM128" i="13" s="1"/>
  <c r="BF128" i="13"/>
  <c r="BL128" i="13" s="1"/>
  <c r="BE128" i="13"/>
  <c r="BK128" i="13" s="1"/>
  <c r="BD128" i="13" a="1"/>
  <c r="BD128" i="13" s="1"/>
  <c r="BH128" i="13" s="1"/>
  <c r="BC128" i="13"/>
  <c r="BB128" i="13"/>
  <c r="BG127" i="13"/>
  <c r="BM127" i="13" s="1"/>
  <c r="BF127" i="13"/>
  <c r="BL127" i="13" s="1"/>
  <c r="BE127" i="13"/>
  <c r="BK127" i="13" s="1"/>
  <c r="BD127" i="13" a="1"/>
  <c r="BD127" i="13" s="1"/>
  <c r="BH127" i="13" s="1"/>
  <c r="BC127" i="13"/>
  <c r="BB127" i="13"/>
  <c r="BG126" i="13"/>
  <c r="BM126" i="13" s="1"/>
  <c r="BF126" i="13"/>
  <c r="BL126" i="13" s="1"/>
  <c r="BE126" i="13"/>
  <c r="BK126" i="13" s="1"/>
  <c r="BD126" i="13" a="1"/>
  <c r="BD126" i="13" s="1"/>
  <c r="BH126" i="13" s="1"/>
  <c r="BC126" i="13"/>
  <c r="BB126" i="13"/>
  <c r="BG125" i="13"/>
  <c r="BM125" i="13" s="1"/>
  <c r="BF125" i="13"/>
  <c r="BL125" i="13" s="1"/>
  <c r="BE125" i="13"/>
  <c r="BK125" i="13" s="1"/>
  <c r="BD125" i="13" a="1"/>
  <c r="BD125" i="13" s="1"/>
  <c r="BH125" i="13" s="1"/>
  <c r="BC125" i="13"/>
  <c r="BB125" i="13"/>
  <c r="BG124" i="13"/>
  <c r="BM124" i="13" s="1"/>
  <c r="BF124" i="13"/>
  <c r="BL124" i="13" s="1"/>
  <c r="BE124" i="13"/>
  <c r="BK124" i="13" s="1"/>
  <c r="BD124" i="13" a="1"/>
  <c r="BD124" i="13" s="1"/>
  <c r="BC124" i="13"/>
  <c r="BB124" i="13"/>
  <c r="BG123" i="13"/>
  <c r="BM123" i="13" s="1"/>
  <c r="BF123" i="13"/>
  <c r="BL123" i="13" s="1"/>
  <c r="BE123" i="13"/>
  <c r="BK123" i="13" s="1"/>
  <c r="BD123" i="13" a="1"/>
  <c r="BD123" i="13" s="1"/>
  <c r="BH123" i="13" s="1"/>
  <c r="BC123" i="13"/>
  <c r="BB123" i="13"/>
  <c r="BG122" i="13"/>
  <c r="BM122" i="13" s="1"/>
  <c r="BF122" i="13"/>
  <c r="BL122" i="13" s="1"/>
  <c r="BE122" i="13"/>
  <c r="BK122" i="13" s="1"/>
  <c r="BD122" i="13" a="1"/>
  <c r="BD122" i="13" s="1"/>
  <c r="BH122" i="13" s="1"/>
  <c r="BC122" i="13"/>
  <c r="BB122" i="13"/>
  <c r="BG121" i="13"/>
  <c r="BM121" i="13" s="1"/>
  <c r="BF121" i="13"/>
  <c r="BL121" i="13" s="1"/>
  <c r="BE121" i="13"/>
  <c r="BK121" i="13" s="1"/>
  <c r="BD121" i="13" a="1"/>
  <c r="BD121" i="13" s="1"/>
  <c r="BH121" i="13" s="1"/>
  <c r="BC121" i="13"/>
  <c r="BB121" i="13"/>
  <c r="BG120" i="13"/>
  <c r="BM120" i="13" s="1"/>
  <c r="BF120" i="13"/>
  <c r="BL120" i="13" s="1"/>
  <c r="BE120" i="13"/>
  <c r="BK120" i="13" s="1"/>
  <c r="BD120" i="13" a="1"/>
  <c r="BD120" i="13" s="1"/>
  <c r="BC120" i="13"/>
  <c r="BB120" i="13"/>
  <c r="BG119" i="13"/>
  <c r="BM119" i="13" s="1"/>
  <c r="BF119" i="13"/>
  <c r="BL119" i="13" s="1"/>
  <c r="BE119" i="13"/>
  <c r="BK119" i="13" s="1"/>
  <c r="BD119" i="13" a="1"/>
  <c r="BD119" i="13" s="1"/>
  <c r="BH119" i="13" s="1"/>
  <c r="BC119" i="13"/>
  <c r="BB119" i="13"/>
  <c r="BG118" i="13"/>
  <c r="BM118" i="13" s="1"/>
  <c r="BF118" i="13"/>
  <c r="BL118" i="13" s="1"/>
  <c r="BE118" i="13"/>
  <c r="BK118" i="13" s="1"/>
  <c r="BD118" i="13" a="1"/>
  <c r="BD118" i="13" s="1"/>
  <c r="BC118" i="13"/>
  <c r="BB118" i="13"/>
  <c r="BG117" i="13"/>
  <c r="BM117" i="13" s="1"/>
  <c r="BF117" i="13"/>
  <c r="BL117" i="13" s="1"/>
  <c r="BE117" i="13"/>
  <c r="BK117" i="13" s="1"/>
  <c r="BD117" i="13" a="1"/>
  <c r="BD117" i="13" s="1"/>
  <c r="BC117" i="13"/>
  <c r="BB117" i="13"/>
  <c r="BG116" i="13"/>
  <c r="BM116" i="13" s="1"/>
  <c r="BF116" i="13"/>
  <c r="BL116" i="13" s="1"/>
  <c r="BE116" i="13"/>
  <c r="BK116" i="13" s="1"/>
  <c r="BD116" i="13" a="1"/>
  <c r="BD116" i="13" s="1"/>
  <c r="BH116" i="13" s="1"/>
  <c r="BC116" i="13"/>
  <c r="BB116" i="13"/>
  <c r="BG115" i="13"/>
  <c r="BM115" i="13" s="1"/>
  <c r="BF115" i="13"/>
  <c r="BL115" i="13" s="1"/>
  <c r="BE115" i="13"/>
  <c r="BK115" i="13" s="1"/>
  <c r="BD115" i="13" a="1"/>
  <c r="BD115" i="13" s="1"/>
  <c r="BC115" i="13"/>
  <c r="BB115" i="13"/>
  <c r="BG114" i="13"/>
  <c r="BM114" i="13" s="1"/>
  <c r="BF114" i="13"/>
  <c r="BL114" i="13" s="1"/>
  <c r="BE114" i="13"/>
  <c r="BK114" i="13" s="1"/>
  <c r="BD114" i="13" a="1"/>
  <c r="BD114" i="13" s="1"/>
  <c r="BH114" i="13" s="1"/>
  <c r="BC114" i="13"/>
  <c r="BB114" i="13"/>
  <c r="BG113" i="13"/>
  <c r="BM113" i="13" s="1"/>
  <c r="BF113" i="13"/>
  <c r="BL113" i="13" s="1"/>
  <c r="BE113" i="13"/>
  <c r="BK113" i="13" s="1"/>
  <c r="BD113" i="13" a="1"/>
  <c r="BD113" i="13" s="1"/>
  <c r="BC113" i="13"/>
  <c r="BB113" i="13"/>
  <c r="BG112" i="13"/>
  <c r="BM112" i="13" s="1"/>
  <c r="BF112" i="13"/>
  <c r="BL112" i="13" s="1"/>
  <c r="BE112" i="13"/>
  <c r="BK112" i="13" s="1"/>
  <c r="BD112" i="13" a="1"/>
  <c r="BD112" i="13" s="1"/>
  <c r="BH112" i="13" s="1"/>
  <c r="BC112" i="13"/>
  <c r="BB112" i="13"/>
  <c r="BG111" i="13"/>
  <c r="BM111" i="13" s="1"/>
  <c r="BF111" i="13"/>
  <c r="BL111" i="13" s="1"/>
  <c r="BE111" i="13"/>
  <c r="BK111" i="13" s="1"/>
  <c r="BD111" i="13" a="1"/>
  <c r="BD111" i="13" s="1"/>
  <c r="BC111" i="13"/>
  <c r="BB111" i="13"/>
  <c r="BG110" i="13"/>
  <c r="BM110" i="13" s="1"/>
  <c r="BF110" i="13"/>
  <c r="BL110" i="13" s="1"/>
  <c r="BE110" i="13"/>
  <c r="BK110" i="13" s="1"/>
  <c r="BD110" i="13" a="1"/>
  <c r="BD110" i="13" s="1"/>
  <c r="BH110" i="13" s="1"/>
  <c r="BC110" i="13"/>
  <c r="BB110" i="13"/>
  <c r="BG109" i="13"/>
  <c r="BM109" i="13" s="1"/>
  <c r="BF109" i="13"/>
  <c r="BL109" i="13" s="1"/>
  <c r="BE109" i="13"/>
  <c r="BK109" i="13" s="1"/>
  <c r="BD109" i="13" a="1"/>
  <c r="BD109" i="13" s="1"/>
  <c r="BC109" i="13"/>
  <c r="BB109" i="13"/>
  <c r="BG108" i="13"/>
  <c r="BM108" i="13" s="1"/>
  <c r="BF108" i="13"/>
  <c r="BL108" i="13" s="1"/>
  <c r="BE108" i="13"/>
  <c r="BK108" i="13" s="1"/>
  <c r="BD108" i="13" a="1"/>
  <c r="BD108" i="13" s="1"/>
  <c r="BH108" i="13" s="1"/>
  <c r="BC108" i="13"/>
  <c r="BB108" i="13"/>
  <c r="BG107" i="13"/>
  <c r="BM107" i="13" s="1"/>
  <c r="BF107" i="13"/>
  <c r="BL107" i="13" s="1"/>
  <c r="BE107" i="13"/>
  <c r="BK107" i="13" s="1"/>
  <c r="BD107" i="13" a="1"/>
  <c r="BD107" i="13" s="1"/>
  <c r="BC107" i="13"/>
  <c r="BB107" i="13"/>
  <c r="BG106" i="13"/>
  <c r="BM106" i="13" s="1"/>
  <c r="BF106" i="13"/>
  <c r="BL106" i="13" s="1"/>
  <c r="BE106" i="13"/>
  <c r="BK106" i="13" s="1"/>
  <c r="BD106" i="13" a="1"/>
  <c r="BD106" i="13" s="1"/>
  <c r="BH106" i="13" s="1"/>
  <c r="BC106" i="13"/>
  <c r="BB106" i="13"/>
  <c r="BG105" i="13"/>
  <c r="BM105" i="13" s="1"/>
  <c r="BF105" i="13"/>
  <c r="BL105" i="13" s="1"/>
  <c r="BE105" i="13"/>
  <c r="BK105" i="13" s="1"/>
  <c r="BD105" i="13" a="1"/>
  <c r="BD105" i="13" s="1"/>
  <c r="BC105" i="13"/>
  <c r="BB105" i="13"/>
  <c r="BG104" i="13"/>
  <c r="BM104" i="13" s="1"/>
  <c r="BF104" i="13"/>
  <c r="BL104" i="13" s="1"/>
  <c r="BE104" i="13"/>
  <c r="BK104" i="13" s="1"/>
  <c r="BD104" i="13" a="1"/>
  <c r="BD104" i="13" s="1"/>
  <c r="BH104" i="13" s="1"/>
  <c r="BC104" i="13"/>
  <c r="BB104" i="13"/>
  <c r="BG103" i="13"/>
  <c r="BM103" i="13" s="1"/>
  <c r="BF103" i="13"/>
  <c r="BL103" i="13" s="1"/>
  <c r="BE103" i="13"/>
  <c r="BK103" i="13" s="1"/>
  <c r="BD103" i="13" a="1"/>
  <c r="BD103" i="13" s="1"/>
  <c r="BH103" i="13" s="1"/>
  <c r="BC103" i="13"/>
  <c r="BB103" i="13"/>
  <c r="BG102" i="13"/>
  <c r="BM102" i="13" s="1"/>
  <c r="BF102" i="13"/>
  <c r="BE102" i="13"/>
  <c r="BK102" i="13" s="1"/>
  <c r="BD102" i="13" a="1"/>
  <c r="BD102" i="13" s="1"/>
  <c r="BC102" i="13"/>
  <c r="BB102" i="13"/>
  <c r="BG101" i="13"/>
  <c r="BM101" i="13" s="1"/>
  <c r="BF101" i="13"/>
  <c r="BL101" i="13" s="1"/>
  <c r="BE101" i="13"/>
  <c r="BK101" i="13" s="1"/>
  <c r="BD101" i="13" a="1"/>
  <c r="BD101" i="13" s="1"/>
  <c r="BC101" i="13"/>
  <c r="BB101" i="13"/>
  <c r="BG100" i="13"/>
  <c r="BM100" i="13" s="1"/>
  <c r="BF100" i="13"/>
  <c r="BL100" i="13" s="1"/>
  <c r="BE100" i="13"/>
  <c r="BK100" i="13" s="1"/>
  <c r="BD100" i="13" a="1"/>
  <c r="BD100" i="13" s="1"/>
  <c r="BH100" i="13" s="1"/>
  <c r="BC100" i="13"/>
  <c r="BB100" i="13"/>
  <c r="BG99" i="13"/>
  <c r="BM99" i="13" s="1"/>
  <c r="BF99" i="13"/>
  <c r="BL99" i="13" s="1"/>
  <c r="BE99" i="13"/>
  <c r="BK99" i="13" s="1"/>
  <c r="BD99" i="13" a="1"/>
  <c r="BD99" i="13" s="1"/>
  <c r="BH99" i="13" s="1"/>
  <c r="BC99" i="13"/>
  <c r="BB99" i="13"/>
  <c r="BG98" i="13"/>
  <c r="BM98" i="13" s="1"/>
  <c r="BF98" i="13"/>
  <c r="BL98" i="13" s="1"/>
  <c r="BE98" i="13"/>
  <c r="BK98" i="13" s="1"/>
  <c r="BD98" i="13" a="1"/>
  <c r="BD98" i="13" s="1"/>
  <c r="BH98" i="13" s="1"/>
  <c r="BC98" i="13"/>
  <c r="BB98" i="13"/>
  <c r="BG97" i="13"/>
  <c r="BM97" i="13" s="1"/>
  <c r="BF97" i="13"/>
  <c r="BL97" i="13" s="1"/>
  <c r="BE97" i="13"/>
  <c r="BK97" i="13" s="1"/>
  <c r="BD97" i="13" a="1"/>
  <c r="BD97" i="13" s="1"/>
  <c r="BH97" i="13" s="1"/>
  <c r="BC97" i="13"/>
  <c r="BB97" i="13"/>
  <c r="BG96" i="13"/>
  <c r="BM96" i="13" s="1"/>
  <c r="BF96" i="13"/>
  <c r="BL96" i="13" s="1"/>
  <c r="BE96" i="13"/>
  <c r="BK96" i="13" s="1"/>
  <c r="BD96" i="13" a="1"/>
  <c r="BD96" i="13" s="1"/>
  <c r="BH96" i="13" s="1"/>
  <c r="BC96" i="13"/>
  <c r="BB96" i="13"/>
  <c r="BG95" i="13"/>
  <c r="BM95" i="13" s="1"/>
  <c r="BF95" i="13"/>
  <c r="BL95" i="13" s="1"/>
  <c r="BE95" i="13"/>
  <c r="BK95" i="13" s="1"/>
  <c r="BD95" i="13" a="1"/>
  <c r="BD95" i="13" s="1"/>
  <c r="BH95" i="13" s="1"/>
  <c r="BC95" i="13"/>
  <c r="BB95" i="13"/>
  <c r="BG94" i="13"/>
  <c r="BM94" i="13" s="1"/>
  <c r="BF94" i="13"/>
  <c r="BL94" i="13" s="1"/>
  <c r="BE94" i="13"/>
  <c r="BK94" i="13" s="1"/>
  <c r="BD94" i="13" a="1"/>
  <c r="BD94" i="13" s="1"/>
  <c r="BC94" i="13"/>
  <c r="BB94" i="13"/>
  <c r="BG93" i="13"/>
  <c r="BM93" i="13" s="1"/>
  <c r="BF93" i="13"/>
  <c r="BL93" i="13" s="1"/>
  <c r="BE93" i="13"/>
  <c r="BK93" i="13" s="1"/>
  <c r="BD93" i="13" a="1"/>
  <c r="BD93" i="13" s="1"/>
  <c r="BH93" i="13" s="1"/>
  <c r="BC93" i="13"/>
  <c r="BB93" i="13"/>
  <c r="BG92" i="13"/>
  <c r="BM92" i="13" s="1"/>
  <c r="BF92" i="13"/>
  <c r="BL92" i="13" s="1"/>
  <c r="BE92" i="13"/>
  <c r="BK92" i="13" s="1"/>
  <c r="BD92" i="13" a="1"/>
  <c r="BD92" i="13" s="1"/>
  <c r="BH92" i="13" s="1"/>
  <c r="BC92" i="13"/>
  <c r="BB92" i="13"/>
  <c r="BG91" i="13"/>
  <c r="BM91" i="13" s="1"/>
  <c r="BF91" i="13"/>
  <c r="BL91" i="13" s="1"/>
  <c r="BE91" i="13"/>
  <c r="BK91" i="13" s="1"/>
  <c r="BD91" i="13" a="1"/>
  <c r="BD91" i="13" s="1"/>
  <c r="BH91" i="13" s="1"/>
  <c r="BC91" i="13"/>
  <c r="BB91" i="13"/>
  <c r="BG90" i="13"/>
  <c r="BM90" i="13" s="1"/>
  <c r="BF90" i="13"/>
  <c r="BL90" i="13" s="1"/>
  <c r="BE90" i="13"/>
  <c r="BK90" i="13" s="1"/>
  <c r="BD90" i="13" a="1"/>
  <c r="BD90" i="13" s="1"/>
  <c r="BH90" i="13" s="1"/>
  <c r="BC90" i="13"/>
  <c r="BB90" i="13"/>
  <c r="BG89" i="13"/>
  <c r="BM89" i="13" s="1"/>
  <c r="BF89" i="13"/>
  <c r="BL89" i="13" s="1"/>
  <c r="BE89" i="13"/>
  <c r="BK89" i="13" s="1"/>
  <c r="BD89" i="13" a="1"/>
  <c r="BD89" i="13" s="1"/>
  <c r="BH89" i="13" s="1"/>
  <c r="BC89" i="13"/>
  <c r="BB89" i="13"/>
  <c r="BG88" i="13"/>
  <c r="BM88" i="13" s="1"/>
  <c r="BF88" i="13"/>
  <c r="BL88" i="13" s="1"/>
  <c r="BE88" i="13"/>
  <c r="BK88" i="13" s="1"/>
  <c r="BD88" i="13" a="1"/>
  <c r="BD88" i="13" s="1"/>
  <c r="BC88" i="13"/>
  <c r="BB88" i="13"/>
  <c r="BG87" i="13"/>
  <c r="BM87" i="13" s="1"/>
  <c r="BF87" i="13"/>
  <c r="BL87" i="13" s="1"/>
  <c r="BE87" i="13"/>
  <c r="BK87" i="13" s="1"/>
  <c r="BD87" i="13" a="1"/>
  <c r="BD87" i="13" s="1"/>
  <c r="BH87" i="13" s="1"/>
  <c r="BC87" i="13"/>
  <c r="BB87" i="13"/>
  <c r="BG86" i="13"/>
  <c r="BM86" i="13" s="1"/>
  <c r="BF86" i="13"/>
  <c r="BL86" i="13" s="1"/>
  <c r="BE86" i="13"/>
  <c r="BK86" i="13" s="1"/>
  <c r="BD86" i="13" a="1"/>
  <c r="BD86" i="13" s="1"/>
  <c r="BH86" i="13" s="1"/>
  <c r="BC86" i="13"/>
  <c r="BB86" i="13"/>
  <c r="BG85" i="13"/>
  <c r="BM85" i="13" s="1"/>
  <c r="BF85" i="13"/>
  <c r="BL85" i="13" s="1"/>
  <c r="BE85" i="13"/>
  <c r="BK85" i="13" s="1"/>
  <c r="BD85" i="13" a="1"/>
  <c r="BD85" i="13" s="1"/>
  <c r="BH85" i="13" s="1"/>
  <c r="BC85" i="13"/>
  <c r="BB85" i="13"/>
  <c r="BG84" i="13"/>
  <c r="BM84" i="13" s="1"/>
  <c r="BF84" i="13"/>
  <c r="BL84" i="13" s="1"/>
  <c r="BE84" i="13"/>
  <c r="BK84" i="13" s="1"/>
  <c r="BD84" i="13" a="1"/>
  <c r="BD84" i="13" s="1"/>
  <c r="BH84" i="13" s="1"/>
  <c r="BC84" i="13"/>
  <c r="BB84" i="13"/>
  <c r="BG83" i="13"/>
  <c r="BM83" i="13" s="1"/>
  <c r="BF83" i="13"/>
  <c r="BL83" i="13" s="1"/>
  <c r="BE83" i="13"/>
  <c r="BK83" i="13" s="1"/>
  <c r="BD83" i="13" a="1"/>
  <c r="BD83" i="13" s="1"/>
  <c r="BH83" i="13" s="1"/>
  <c r="BC83" i="13"/>
  <c r="BB83" i="13"/>
  <c r="BG82" i="13"/>
  <c r="BM82" i="13" s="1"/>
  <c r="BF82" i="13"/>
  <c r="BL82" i="13" s="1"/>
  <c r="BE82" i="13"/>
  <c r="BK82" i="13" s="1"/>
  <c r="BD82" i="13" a="1"/>
  <c r="BD82" i="13" s="1"/>
  <c r="BH82" i="13" s="1"/>
  <c r="BC82" i="13"/>
  <c r="BB82" i="13"/>
  <c r="BG81" i="13"/>
  <c r="BM81" i="13" s="1"/>
  <c r="BF81" i="13"/>
  <c r="BL81" i="13" s="1"/>
  <c r="BE81" i="13"/>
  <c r="BK81" i="13" s="1"/>
  <c r="BD81" i="13" a="1"/>
  <c r="BD81" i="13" s="1"/>
  <c r="BH81" i="13" s="1"/>
  <c r="BC81" i="13"/>
  <c r="BB81" i="13"/>
  <c r="BG80" i="13"/>
  <c r="BM80" i="13" s="1"/>
  <c r="BF80" i="13"/>
  <c r="BL80" i="13" s="1"/>
  <c r="BE80" i="13"/>
  <c r="BK80" i="13" s="1"/>
  <c r="BD80" i="13" a="1"/>
  <c r="BD80" i="13" s="1"/>
  <c r="BH80" i="13" s="1"/>
  <c r="BC80" i="13"/>
  <c r="BB80" i="13"/>
  <c r="BG79" i="13"/>
  <c r="BM79" i="13" s="1"/>
  <c r="BF79" i="13"/>
  <c r="BL79" i="13" s="1"/>
  <c r="BE79" i="13"/>
  <c r="BK79" i="13" s="1"/>
  <c r="BD79" i="13" a="1"/>
  <c r="BD79" i="13" s="1"/>
  <c r="BH79" i="13" s="1"/>
  <c r="BC79" i="13"/>
  <c r="BB79" i="13"/>
  <c r="BG78" i="13"/>
  <c r="BM78" i="13" s="1"/>
  <c r="BF78" i="13"/>
  <c r="BL78" i="13" s="1"/>
  <c r="BE78" i="13"/>
  <c r="BK78" i="13" s="1"/>
  <c r="BD78" i="13" a="1"/>
  <c r="BD78" i="13" s="1"/>
  <c r="BH78" i="13" s="1"/>
  <c r="BC78" i="13"/>
  <c r="BB78" i="13"/>
  <c r="BG77" i="13"/>
  <c r="BM77" i="13" s="1"/>
  <c r="BF77" i="13"/>
  <c r="BL77" i="13" s="1"/>
  <c r="BE77" i="13"/>
  <c r="BK77" i="13" s="1"/>
  <c r="BD77" i="13" a="1"/>
  <c r="BD77" i="13" s="1"/>
  <c r="BH77" i="13" s="1"/>
  <c r="BC77" i="13"/>
  <c r="BB77" i="13"/>
  <c r="BG76" i="13"/>
  <c r="BM76" i="13" s="1"/>
  <c r="BF76" i="13"/>
  <c r="BE76" i="13"/>
  <c r="BK76" i="13" s="1"/>
  <c r="BD76" i="13" a="1"/>
  <c r="BD76" i="13" s="1"/>
  <c r="BC76" i="13"/>
  <c r="BB76" i="13"/>
  <c r="BG75" i="13"/>
  <c r="BM75" i="13" s="1"/>
  <c r="BF75" i="13"/>
  <c r="BL75" i="13" s="1"/>
  <c r="BE75" i="13"/>
  <c r="BK75" i="13" s="1"/>
  <c r="BD75" i="13" a="1"/>
  <c r="BD75" i="13" s="1"/>
  <c r="BH75" i="13" s="1"/>
  <c r="BC75" i="13"/>
  <c r="BB75" i="13"/>
  <c r="BG74" i="13"/>
  <c r="BM74" i="13" s="1"/>
  <c r="BF74" i="13"/>
  <c r="BL74" i="13" s="1"/>
  <c r="BE74" i="13"/>
  <c r="BK74" i="13" s="1"/>
  <c r="BD74" i="13" a="1"/>
  <c r="BD74" i="13" s="1"/>
  <c r="BH74" i="13" s="1"/>
  <c r="BC74" i="13"/>
  <c r="BB74" i="13"/>
  <c r="BG73" i="13"/>
  <c r="BM73" i="13" s="1"/>
  <c r="BF73" i="13"/>
  <c r="BL73" i="13" s="1"/>
  <c r="BE73" i="13"/>
  <c r="BK73" i="13" s="1"/>
  <c r="BD73" i="13" a="1"/>
  <c r="BD73" i="13" s="1"/>
  <c r="BH73" i="13" s="1"/>
  <c r="BC73" i="13"/>
  <c r="BB73" i="13"/>
  <c r="BG72" i="13"/>
  <c r="BM72" i="13" s="1"/>
  <c r="BF72" i="13"/>
  <c r="BL72" i="13" s="1"/>
  <c r="BE72" i="13"/>
  <c r="BK72" i="13" s="1"/>
  <c r="BD72" i="13" a="1"/>
  <c r="BD72" i="13" s="1"/>
  <c r="BH72" i="13" s="1"/>
  <c r="BC72" i="13"/>
  <c r="BB72" i="13"/>
  <c r="BG71" i="13"/>
  <c r="BM71" i="13" s="1"/>
  <c r="BF71" i="13"/>
  <c r="BL71" i="13" s="1"/>
  <c r="BE71" i="13"/>
  <c r="BK71" i="13" s="1"/>
  <c r="BD71" i="13" a="1"/>
  <c r="BD71" i="13" s="1"/>
  <c r="BH71" i="13" s="1"/>
  <c r="BC71" i="13"/>
  <c r="BB71" i="13"/>
  <c r="BG70" i="13"/>
  <c r="BM70" i="13" s="1"/>
  <c r="BF70" i="13"/>
  <c r="BE70" i="13"/>
  <c r="BK70" i="13" s="1"/>
  <c r="BD70" i="13" a="1"/>
  <c r="BD70" i="13" s="1"/>
  <c r="BC70" i="13"/>
  <c r="BB70" i="13"/>
  <c r="BG69" i="13"/>
  <c r="BM69" i="13" s="1"/>
  <c r="BF69" i="13"/>
  <c r="BL69" i="13" s="1"/>
  <c r="BE69" i="13"/>
  <c r="BK69" i="13" s="1"/>
  <c r="BD69" i="13" a="1"/>
  <c r="BD69" i="13" s="1"/>
  <c r="BH69" i="13" s="1"/>
  <c r="BC69" i="13"/>
  <c r="BB69" i="13"/>
  <c r="BG68" i="13"/>
  <c r="BM68" i="13" s="1"/>
  <c r="BF68" i="13"/>
  <c r="BL68" i="13" s="1"/>
  <c r="BE68" i="13"/>
  <c r="BK68" i="13" s="1"/>
  <c r="BD68" i="13" a="1"/>
  <c r="BD68" i="13" s="1"/>
  <c r="BH68" i="13" s="1"/>
  <c r="BC68" i="13"/>
  <c r="BB68" i="13"/>
  <c r="BG67" i="13"/>
  <c r="BM67" i="13" s="1"/>
  <c r="BF67" i="13"/>
  <c r="BL67" i="13" s="1"/>
  <c r="BE67" i="13"/>
  <c r="BK67" i="13" s="1"/>
  <c r="BD67" i="13" a="1"/>
  <c r="BD67" i="13" s="1"/>
  <c r="BC67" i="13"/>
  <c r="BB67" i="13"/>
  <c r="BG66" i="13"/>
  <c r="BM66" i="13" s="1"/>
  <c r="BF66" i="13"/>
  <c r="BL66" i="13" s="1"/>
  <c r="BE66" i="13"/>
  <c r="BK66" i="13" s="1"/>
  <c r="BD66" i="13" a="1"/>
  <c r="BD66" i="13" s="1"/>
  <c r="BH66" i="13" s="1"/>
  <c r="BC66" i="13"/>
  <c r="BB66" i="13"/>
  <c r="BG65" i="13"/>
  <c r="BM65" i="13" s="1"/>
  <c r="BF65" i="13"/>
  <c r="BL65" i="13" s="1"/>
  <c r="BE65" i="13"/>
  <c r="BK65" i="13" s="1"/>
  <c r="BD65" i="13" a="1"/>
  <c r="BD65" i="13" s="1"/>
  <c r="BH65" i="13" s="1"/>
  <c r="BC65" i="13"/>
  <c r="BB65" i="13"/>
  <c r="BG64" i="13"/>
  <c r="BM64" i="13" s="1"/>
  <c r="BF64" i="13"/>
  <c r="BL64" i="13" s="1"/>
  <c r="BE64" i="13"/>
  <c r="BK64" i="13" s="1"/>
  <c r="BD64" i="13" a="1"/>
  <c r="BD64" i="13" s="1"/>
  <c r="BH64" i="13" s="1"/>
  <c r="BC64" i="13"/>
  <c r="BB64" i="13"/>
  <c r="BG63" i="13"/>
  <c r="BM63" i="13" s="1"/>
  <c r="BF63" i="13"/>
  <c r="BL63" i="13" s="1"/>
  <c r="BE63" i="13"/>
  <c r="BK63" i="13" s="1"/>
  <c r="BD63" i="13" a="1"/>
  <c r="BD63" i="13" s="1"/>
  <c r="BC63" i="13"/>
  <c r="BB63" i="13"/>
  <c r="BG62" i="13"/>
  <c r="BM62" i="13" s="1"/>
  <c r="BF62" i="13"/>
  <c r="BL62" i="13" s="1"/>
  <c r="BE62" i="13"/>
  <c r="BK62" i="13" s="1"/>
  <c r="BD62" i="13" a="1"/>
  <c r="BD62" i="13" s="1"/>
  <c r="BH62" i="13" s="1"/>
  <c r="BC62" i="13"/>
  <c r="BB62" i="13"/>
  <c r="BG61" i="13"/>
  <c r="BM61" i="13" s="1"/>
  <c r="BF61" i="13"/>
  <c r="BL61" i="13" s="1"/>
  <c r="BE61" i="13"/>
  <c r="BK61" i="13" s="1"/>
  <c r="BD61" i="13" a="1"/>
  <c r="BD61" i="13" s="1"/>
  <c r="BH61" i="13" s="1"/>
  <c r="BC61" i="13"/>
  <c r="BB61" i="13"/>
  <c r="BG60" i="13"/>
  <c r="BM60" i="13" s="1"/>
  <c r="BF60" i="13"/>
  <c r="BL60" i="13" s="1"/>
  <c r="BE60" i="13"/>
  <c r="BK60" i="13" s="1"/>
  <c r="BD60" i="13" a="1"/>
  <c r="BD60" i="13" s="1"/>
  <c r="BH60" i="13" s="1"/>
  <c r="BC60" i="13"/>
  <c r="BB60" i="13"/>
  <c r="BG59" i="13"/>
  <c r="BM59" i="13" s="1"/>
  <c r="BF59" i="13"/>
  <c r="BL59" i="13" s="1"/>
  <c r="BE59" i="13"/>
  <c r="BK59" i="13" s="1"/>
  <c r="BD59" i="13" a="1"/>
  <c r="BD59" i="13" s="1"/>
  <c r="BH59" i="13" s="1"/>
  <c r="BC59" i="13"/>
  <c r="BB59" i="13"/>
  <c r="BG58" i="13"/>
  <c r="BM58" i="13" s="1"/>
  <c r="BF58" i="13"/>
  <c r="BL58" i="13" s="1"/>
  <c r="BE58" i="13"/>
  <c r="BK58" i="13" s="1"/>
  <c r="BD58" i="13" a="1"/>
  <c r="BD58" i="13" s="1"/>
  <c r="BH58" i="13" s="1"/>
  <c r="BC58" i="13"/>
  <c r="BB58" i="13"/>
  <c r="BG57" i="13"/>
  <c r="BM57" i="13" s="1"/>
  <c r="BF57" i="13"/>
  <c r="BL57" i="13" s="1"/>
  <c r="BE57" i="13"/>
  <c r="BK57" i="13" s="1"/>
  <c r="BD57" i="13" a="1"/>
  <c r="BD57" i="13" s="1"/>
  <c r="BH57" i="13" s="1"/>
  <c r="BC57" i="13"/>
  <c r="BB57" i="13"/>
  <c r="BG56" i="13"/>
  <c r="BM56" i="13" s="1"/>
  <c r="BF56" i="13"/>
  <c r="BL56" i="13" s="1"/>
  <c r="BE56" i="13"/>
  <c r="BK56" i="13" s="1"/>
  <c r="BD56" i="13" a="1"/>
  <c r="BD56" i="13" s="1"/>
  <c r="BC56" i="13"/>
  <c r="BB56" i="13"/>
  <c r="BG55" i="13"/>
  <c r="BM55" i="13" s="1"/>
  <c r="BF55" i="13"/>
  <c r="BL55" i="13" s="1"/>
  <c r="BE55" i="13"/>
  <c r="BK55" i="13" s="1"/>
  <c r="BD55" i="13" a="1"/>
  <c r="BD55" i="13" s="1"/>
  <c r="BH55" i="13" s="1"/>
  <c r="BC55" i="13"/>
  <c r="BB55" i="13"/>
  <c r="BG54" i="13"/>
  <c r="BM54" i="13" s="1"/>
  <c r="BF54" i="13"/>
  <c r="BL54" i="13" s="1"/>
  <c r="BE54" i="13"/>
  <c r="BK54" i="13" s="1"/>
  <c r="BD54" i="13" a="1"/>
  <c r="BD54" i="13" s="1"/>
  <c r="BH54" i="13" s="1"/>
  <c r="BC54" i="13"/>
  <c r="BB54" i="13"/>
  <c r="BG53" i="13"/>
  <c r="BM53" i="13" s="1"/>
  <c r="BF53" i="13"/>
  <c r="BL53" i="13" s="1"/>
  <c r="BE53" i="13"/>
  <c r="BK53" i="13" s="1"/>
  <c r="BD53" i="13" a="1"/>
  <c r="BD53" i="13" s="1"/>
  <c r="BH53" i="13" s="1"/>
  <c r="BC53" i="13"/>
  <c r="BB53" i="13"/>
  <c r="BG52" i="13"/>
  <c r="BM52" i="13" s="1"/>
  <c r="BF52" i="13"/>
  <c r="BL52" i="13" s="1"/>
  <c r="BE52" i="13"/>
  <c r="BK52" i="13" s="1"/>
  <c r="BD52" i="13" a="1"/>
  <c r="BD52" i="13" s="1"/>
  <c r="BH52" i="13" s="1"/>
  <c r="BC52" i="13"/>
  <c r="BB52" i="13"/>
  <c r="BG51" i="13"/>
  <c r="BM51" i="13" s="1"/>
  <c r="BF51" i="13"/>
  <c r="BL51" i="13" s="1"/>
  <c r="BE51" i="13"/>
  <c r="BK51" i="13" s="1"/>
  <c r="BD51" i="13" a="1"/>
  <c r="BD51" i="13" s="1"/>
  <c r="BC51" i="13"/>
  <c r="BB51" i="13"/>
  <c r="BG50" i="13"/>
  <c r="BM50" i="13" s="1"/>
  <c r="BF50" i="13"/>
  <c r="BL50" i="13" s="1"/>
  <c r="BE50" i="13"/>
  <c r="BK50" i="13" s="1"/>
  <c r="BD50" i="13" a="1"/>
  <c r="BD50" i="13" s="1"/>
  <c r="BH50" i="13" s="1"/>
  <c r="BC50" i="13"/>
  <c r="BB50" i="13"/>
  <c r="BG49" i="13"/>
  <c r="BM49" i="13" s="1"/>
  <c r="BF49" i="13"/>
  <c r="BL49" i="13" s="1"/>
  <c r="BE49" i="13"/>
  <c r="BK49" i="13" s="1"/>
  <c r="BD49" i="13" a="1"/>
  <c r="BD49" i="13" s="1"/>
  <c r="BH49" i="13" s="1"/>
  <c r="BC49" i="13"/>
  <c r="BB49" i="13"/>
  <c r="BG48" i="13"/>
  <c r="BM48" i="13" s="1"/>
  <c r="BF48" i="13"/>
  <c r="BL48" i="13" s="1"/>
  <c r="BE48" i="13"/>
  <c r="BK48" i="13" s="1"/>
  <c r="BD48" i="13" a="1"/>
  <c r="BD48" i="13" s="1"/>
  <c r="BH48" i="13" s="1"/>
  <c r="BC48" i="13"/>
  <c r="BB48" i="13"/>
  <c r="BG47" i="13"/>
  <c r="BM47" i="13" s="1"/>
  <c r="BF47" i="13"/>
  <c r="BL47" i="13" s="1"/>
  <c r="BE47" i="13"/>
  <c r="BK47" i="13" s="1"/>
  <c r="BD47" i="13" a="1"/>
  <c r="BD47" i="13" s="1"/>
  <c r="BH47" i="13" s="1"/>
  <c r="BC47" i="13"/>
  <c r="BB47" i="13"/>
  <c r="BG46" i="13"/>
  <c r="BM46" i="13" s="1"/>
  <c r="BF46" i="13"/>
  <c r="BL46" i="13" s="1"/>
  <c r="BE46" i="13"/>
  <c r="BK46" i="13" s="1"/>
  <c r="BD46" i="13" a="1"/>
  <c r="BD46" i="13" s="1"/>
  <c r="BC46" i="13"/>
  <c r="BB46" i="13"/>
  <c r="BG45" i="13"/>
  <c r="BM45" i="13" s="1"/>
  <c r="BF45" i="13"/>
  <c r="BL45" i="13" s="1"/>
  <c r="BE45" i="13"/>
  <c r="BK45" i="13" s="1"/>
  <c r="BD45" i="13" a="1"/>
  <c r="BD45" i="13" s="1"/>
  <c r="BH45" i="13" s="1"/>
  <c r="BC45" i="13"/>
  <c r="BB45" i="13"/>
  <c r="BG44" i="13"/>
  <c r="BM44" i="13" s="1"/>
  <c r="BF44" i="13"/>
  <c r="BL44" i="13" s="1"/>
  <c r="BE44" i="13"/>
  <c r="BK44" i="13" s="1"/>
  <c r="BD44" i="13" a="1"/>
  <c r="BD44" i="13" s="1"/>
  <c r="BH44" i="13" s="1"/>
  <c r="BC44" i="13"/>
  <c r="BB44" i="13"/>
  <c r="BG43" i="13"/>
  <c r="BM43" i="13" s="1"/>
  <c r="BF43" i="13"/>
  <c r="BL43" i="13" s="1"/>
  <c r="BE43" i="13"/>
  <c r="BK43" i="13" s="1"/>
  <c r="BD43" i="13" a="1"/>
  <c r="BD43" i="13" s="1"/>
  <c r="BH43" i="13" s="1"/>
  <c r="BC43" i="13"/>
  <c r="BB43" i="13"/>
  <c r="BG42" i="13"/>
  <c r="BM42" i="13" s="1"/>
  <c r="BF42" i="13"/>
  <c r="BL42" i="13" s="1"/>
  <c r="BE42" i="13"/>
  <c r="BK42" i="13" s="1"/>
  <c r="BD42" i="13" a="1"/>
  <c r="BD42" i="13" s="1"/>
  <c r="BH42" i="13" s="1"/>
  <c r="BC42" i="13"/>
  <c r="BB42" i="13"/>
  <c r="BG41" i="13"/>
  <c r="BF41" i="13"/>
  <c r="BL41" i="13" s="1"/>
  <c r="BE41" i="13"/>
  <c r="BK41" i="13" s="1"/>
  <c r="BD41" i="13" a="1"/>
  <c r="BD41" i="13" s="1"/>
  <c r="BC41" i="13"/>
  <c r="BB41" i="13"/>
  <c r="BG40" i="13"/>
  <c r="BM40" i="13" s="1"/>
  <c r="BF40" i="13"/>
  <c r="BL40" i="13" s="1"/>
  <c r="BE40" i="13"/>
  <c r="BK40" i="13" s="1"/>
  <c r="BD40" i="13" a="1"/>
  <c r="BD40" i="13" s="1"/>
  <c r="BH40" i="13" s="1"/>
  <c r="BC40" i="13"/>
  <c r="BB40" i="13"/>
  <c r="BG39" i="13"/>
  <c r="BM39" i="13" s="1"/>
  <c r="BF39" i="13"/>
  <c r="BL39" i="13" s="1"/>
  <c r="BE39" i="13"/>
  <c r="BK39" i="13" s="1"/>
  <c r="BD39" i="13" a="1"/>
  <c r="BD39" i="13" s="1"/>
  <c r="BH39" i="13" s="1"/>
  <c r="BC39" i="13"/>
  <c r="BB39" i="13"/>
  <c r="BG38" i="13"/>
  <c r="BM38" i="13" s="1"/>
  <c r="BF38" i="13"/>
  <c r="BL38" i="13" s="1"/>
  <c r="BE38" i="13"/>
  <c r="BK38" i="13" s="1"/>
  <c r="BD38" i="13" a="1"/>
  <c r="BD38" i="13" s="1"/>
  <c r="BC38" i="13"/>
  <c r="BB38" i="13"/>
  <c r="BG37" i="13"/>
  <c r="BM37" i="13" s="1"/>
  <c r="BF37" i="13"/>
  <c r="BL37" i="13" s="1"/>
  <c r="BE37" i="13"/>
  <c r="BK37" i="13" s="1"/>
  <c r="BD37" i="13" a="1"/>
  <c r="BD37" i="13" s="1"/>
  <c r="BH37" i="13" s="1"/>
  <c r="BC37" i="13"/>
  <c r="BB37" i="13"/>
  <c r="BG36" i="13"/>
  <c r="BM36" i="13" s="1"/>
  <c r="BF36" i="13"/>
  <c r="BL36" i="13" s="1"/>
  <c r="BE36" i="13"/>
  <c r="BK36" i="13" s="1"/>
  <c r="BD36" i="13" a="1"/>
  <c r="BD36" i="13" s="1"/>
  <c r="BH36" i="13" s="1"/>
  <c r="BC36" i="13"/>
  <c r="BB36" i="13"/>
  <c r="BG35" i="13"/>
  <c r="BM35" i="13" s="1"/>
  <c r="BF35" i="13"/>
  <c r="BL35" i="13" s="1"/>
  <c r="BE35" i="13"/>
  <c r="BK35" i="13" s="1"/>
  <c r="BD35" i="13" a="1"/>
  <c r="BD35" i="13" s="1"/>
  <c r="BC35" i="13"/>
  <c r="BB35" i="13"/>
  <c r="BG34" i="13"/>
  <c r="BM34" i="13" s="1"/>
  <c r="BF34" i="13"/>
  <c r="BL34" i="13" s="1"/>
  <c r="BE34" i="13"/>
  <c r="BK34" i="13" s="1"/>
  <c r="BD34" i="13" a="1"/>
  <c r="BD34" i="13" s="1"/>
  <c r="BH34" i="13" s="1"/>
  <c r="BC34" i="13"/>
  <c r="BB34" i="13"/>
  <c r="BG33" i="13"/>
  <c r="BM33" i="13" s="1"/>
  <c r="BF33" i="13"/>
  <c r="BL33" i="13" s="1"/>
  <c r="BE33" i="13"/>
  <c r="BK33" i="13" s="1"/>
  <c r="BD33" i="13" a="1"/>
  <c r="BD33" i="13" s="1"/>
  <c r="BH33" i="13" s="1"/>
  <c r="BC33" i="13"/>
  <c r="BB33" i="13"/>
  <c r="BG32" i="13"/>
  <c r="BM32" i="13" s="1"/>
  <c r="BF32" i="13"/>
  <c r="BL32" i="13" s="1"/>
  <c r="BE32" i="13"/>
  <c r="BK32" i="13" s="1"/>
  <c r="BD32" i="13" a="1"/>
  <c r="BD32" i="13" s="1"/>
  <c r="BH32" i="13" s="1"/>
  <c r="BC32" i="13"/>
  <c r="BB32" i="13"/>
  <c r="BG31" i="13"/>
  <c r="BM31" i="13" s="1"/>
  <c r="BF31" i="13"/>
  <c r="BL31" i="13" s="1"/>
  <c r="BE31" i="13"/>
  <c r="BK31" i="13" s="1"/>
  <c r="BD31" i="13" a="1"/>
  <c r="BD31" i="13" s="1"/>
  <c r="BH31" i="13" s="1"/>
  <c r="BC31" i="13"/>
  <c r="BB31" i="13"/>
  <c r="BG30" i="13"/>
  <c r="BM30" i="13" s="1"/>
  <c r="BF30" i="13"/>
  <c r="BL30" i="13" s="1"/>
  <c r="BE30" i="13"/>
  <c r="BK30" i="13" s="1"/>
  <c r="BD30" i="13" a="1"/>
  <c r="BD30" i="13" s="1"/>
  <c r="BH30" i="13" s="1"/>
  <c r="BC30" i="13"/>
  <c r="BB30" i="13"/>
  <c r="BG29" i="13"/>
  <c r="BM29" i="13" s="1"/>
  <c r="BF29" i="13"/>
  <c r="BL29" i="13" s="1"/>
  <c r="BE29" i="13"/>
  <c r="BK29" i="13" s="1"/>
  <c r="BD29" i="13" a="1"/>
  <c r="BD29" i="13" s="1"/>
  <c r="BC29" i="13"/>
  <c r="BB29" i="13"/>
  <c r="BG28" i="13"/>
  <c r="BM28" i="13" s="1"/>
  <c r="BF28" i="13"/>
  <c r="BL28" i="13" s="1"/>
  <c r="BE28" i="13"/>
  <c r="BK28" i="13" s="1"/>
  <c r="BD28" i="13" a="1"/>
  <c r="BD28" i="13" s="1"/>
  <c r="BH28" i="13" s="1"/>
  <c r="BC28" i="13"/>
  <c r="BB28" i="13"/>
  <c r="BG27" i="13"/>
  <c r="BM27" i="13" s="1"/>
  <c r="BF27" i="13"/>
  <c r="BL27" i="13" s="1"/>
  <c r="BE27" i="13"/>
  <c r="BK27" i="13" s="1"/>
  <c r="BD27" i="13" a="1"/>
  <c r="BD27" i="13" s="1"/>
  <c r="BH27" i="13" s="1"/>
  <c r="BC27" i="13"/>
  <c r="BB27" i="13"/>
  <c r="BG26" i="13"/>
  <c r="BM26" i="13" s="1"/>
  <c r="BF26" i="13"/>
  <c r="BL26" i="13" s="1"/>
  <c r="BE26" i="13"/>
  <c r="BK26" i="13" s="1"/>
  <c r="BD26" i="13" a="1"/>
  <c r="BD26" i="13" s="1"/>
  <c r="BH26" i="13" s="1"/>
  <c r="BC26" i="13"/>
  <c r="BB26" i="13"/>
  <c r="BG25" i="13"/>
  <c r="BM25" i="13" s="1"/>
  <c r="BF25" i="13"/>
  <c r="BL25" i="13" s="1"/>
  <c r="BE25" i="13"/>
  <c r="BK25" i="13" s="1"/>
  <c r="BD25" i="13" a="1"/>
  <c r="BD25" i="13" s="1"/>
  <c r="BH25" i="13" s="1"/>
  <c r="BC25" i="13"/>
  <c r="BB25" i="13"/>
  <c r="BG24" i="13"/>
  <c r="BM24" i="13" s="1"/>
  <c r="BF24" i="13"/>
  <c r="BL24" i="13" s="1"/>
  <c r="BE24" i="13"/>
  <c r="BK24" i="13" s="1"/>
  <c r="BD24" i="13" a="1"/>
  <c r="BD24" i="13" s="1"/>
  <c r="BH24" i="13" s="1"/>
  <c r="BC24" i="13"/>
  <c r="BB24" i="13"/>
  <c r="BG23" i="13"/>
  <c r="BM23" i="13" s="1"/>
  <c r="BF23" i="13"/>
  <c r="BL23" i="13" s="1"/>
  <c r="BE23" i="13"/>
  <c r="BK23" i="13" s="1"/>
  <c r="BD23" i="13" a="1"/>
  <c r="BD23" i="13" s="1"/>
  <c r="BH23" i="13" s="1"/>
  <c r="BC23" i="13"/>
  <c r="BB23" i="13"/>
  <c r="BG22" i="13"/>
  <c r="BM22" i="13" s="1"/>
  <c r="BF22" i="13"/>
  <c r="BL22" i="13" s="1"/>
  <c r="BE22" i="13"/>
  <c r="BK22" i="13" s="1"/>
  <c r="BD22" i="13" a="1"/>
  <c r="BD22" i="13" s="1"/>
  <c r="BH22" i="13" s="1"/>
  <c r="BC22" i="13"/>
  <c r="BB22" i="13"/>
  <c r="BG21" i="13"/>
  <c r="BM21" i="13" s="1"/>
  <c r="BF21" i="13"/>
  <c r="BL21" i="13" s="1"/>
  <c r="BE21" i="13"/>
  <c r="BK21" i="13" s="1"/>
  <c r="BD21" i="13" a="1"/>
  <c r="BD21" i="13" s="1"/>
  <c r="BH21" i="13" s="1"/>
  <c r="BC21" i="13"/>
  <c r="BB21" i="13"/>
  <c r="BG20" i="13"/>
  <c r="BM20" i="13" s="1"/>
  <c r="BF20" i="13"/>
  <c r="BL20" i="13" s="1"/>
  <c r="BE20" i="13"/>
  <c r="BK20" i="13" s="1"/>
  <c r="BD20" i="13" a="1"/>
  <c r="BD20" i="13" s="1"/>
  <c r="BC20" i="13"/>
  <c r="BB20" i="13"/>
  <c r="BG19" i="13"/>
  <c r="BM19" i="13" s="1"/>
  <c r="BF19" i="13"/>
  <c r="BL19" i="13" s="1"/>
  <c r="BE19" i="13"/>
  <c r="BK19" i="13" s="1"/>
  <c r="BD19" i="13" a="1"/>
  <c r="BD19" i="13" s="1"/>
  <c r="BH19" i="13" s="1"/>
  <c r="BC19" i="13"/>
  <c r="BB19" i="13"/>
  <c r="BG18" i="13"/>
  <c r="BM18" i="13" s="1"/>
  <c r="BF18" i="13"/>
  <c r="BL18" i="13" s="1"/>
  <c r="BE18" i="13"/>
  <c r="BK18" i="13" s="1"/>
  <c r="BD18" i="13" a="1"/>
  <c r="BD18" i="13" s="1"/>
  <c r="BH18" i="13" s="1"/>
  <c r="BC18" i="13"/>
  <c r="BB18" i="13"/>
  <c r="BG17" i="13"/>
  <c r="BM17" i="13" s="1"/>
  <c r="BF17" i="13"/>
  <c r="BL17" i="13" s="1"/>
  <c r="BE17" i="13"/>
  <c r="BK17" i="13" s="1"/>
  <c r="BD17" i="13" a="1"/>
  <c r="BD17" i="13" s="1"/>
  <c r="BH17" i="13" s="1"/>
  <c r="BC17" i="13"/>
  <c r="BB17" i="13"/>
  <c r="BG16" i="13"/>
  <c r="BM16" i="13" s="1"/>
  <c r="BF16" i="13"/>
  <c r="BL16" i="13" s="1"/>
  <c r="BE16" i="13"/>
  <c r="BK16" i="13" s="1"/>
  <c r="BD16" i="13" a="1"/>
  <c r="BD16" i="13" s="1"/>
  <c r="BH16" i="13" s="1"/>
  <c r="BC16" i="13"/>
  <c r="BB16" i="13"/>
  <c r="BG15" i="13"/>
  <c r="BM15" i="13" s="1"/>
  <c r="BF15" i="13"/>
  <c r="BL15" i="13" s="1"/>
  <c r="BE15" i="13"/>
  <c r="BK15" i="13" s="1"/>
  <c r="BD15" i="13" a="1"/>
  <c r="BD15" i="13" s="1"/>
  <c r="BH15" i="13" s="1"/>
  <c r="BC15" i="13"/>
  <c r="BB15" i="13"/>
  <c r="BG14" i="13"/>
  <c r="BM14" i="13" s="1"/>
  <c r="BF14" i="13"/>
  <c r="BL14" i="13" s="1"/>
  <c r="BE14" i="13"/>
  <c r="BK14" i="13" s="1"/>
  <c r="BD14" i="13" a="1"/>
  <c r="BD14" i="13" s="1"/>
  <c r="BC14" i="13"/>
  <c r="BB14" i="13"/>
  <c r="BG13" i="13"/>
  <c r="BM13" i="13" s="1"/>
  <c r="BF13" i="13"/>
  <c r="BL13" i="13" s="1"/>
  <c r="BE13" i="13"/>
  <c r="BK13" i="13" s="1"/>
  <c r="BD13" i="13" a="1"/>
  <c r="BD13" i="13" s="1"/>
  <c r="BH13" i="13" s="1"/>
  <c r="BC13" i="13"/>
  <c r="BB13" i="13"/>
  <c r="BG12" i="13"/>
  <c r="BM12" i="13" s="1"/>
  <c r="BF12" i="13"/>
  <c r="BL12" i="13" s="1"/>
  <c r="BE12" i="13"/>
  <c r="BK12" i="13" s="1"/>
  <c r="BD12" i="13" a="1"/>
  <c r="BD12" i="13" s="1"/>
  <c r="BH12" i="13" s="1"/>
  <c r="BC12" i="13"/>
  <c r="BB12" i="13"/>
  <c r="BG11" i="13"/>
  <c r="BM11" i="13" s="1"/>
  <c r="BF11" i="13"/>
  <c r="BL11" i="13" s="1"/>
  <c r="BE11" i="13"/>
  <c r="BK11" i="13" s="1"/>
  <c r="BD11" i="13" a="1"/>
  <c r="BD11" i="13" s="1"/>
  <c r="BH11" i="13" s="1"/>
  <c r="BC11" i="13"/>
  <c r="BB11" i="13"/>
  <c r="BG10" i="13"/>
  <c r="BM10" i="13" s="1"/>
  <c r="BF10" i="13"/>
  <c r="BL10" i="13" s="1"/>
  <c r="BE10" i="13"/>
  <c r="BK10" i="13" s="1"/>
  <c r="BD10" i="13" a="1"/>
  <c r="BD10" i="13" s="1"/>
  <c r="BH10" i="13" s="1"/>
  <c r="BC10" i="13"/>
  <c r="BB10" i="13"/>
  <c r="BG9" i="13"/>
  <c r="BM9" i="13" s="1"/>
  <c r="BF9" i="13"/>
  <c r="BL9" i="13" s="1"/>
  <c r="BE9" i="13"/>
  <c r="BK9" i="13" s="1"/>
  <c r="BD9" i="13" a="1"/>
  <c r="BD9" i="13" s="1"/>
  <c r="BH9" i="13" s="1"/>
  <c r="BC9" i="13"/>
  <c r="BB9" i="13"/>
  <c r="BG8" i="13"/>
  <c r="BM8" i="13" s="1"/>
  <c r="BF8" i="13"/>
  <c r="BL8" i="13" s="1"/>
  <c r="BE8" i="13"/>
  <c r="BK8" i="13" s="1"/>
  <c r="BD8" i="13" a="1"/>
  <c r="BD8" i="13" s="1"/>
  <c r="BH8" i="13" s="1"/>
  <c r="BC8" i="13"/>
  <c r="BB8" i="13"/>
  <c r="BG7" i="13"/>
  <c r="BM7" i="13" s="1"/>
  <c r="BF7" i="13"/>
  <c r="BL7" i="13" s="1"/>
  <c r="BE7" i="13"/>
  <c r="BK7" i="13" s="1"/>
  <c r="BD7" i="13" a="1"/>
  <c r="BD7" i="13" s="1"/>
  <c r="BH7" i="13" s="1"/>
  <c r="BC7" i="13"/>
  <c r="BB7" i="13"/>
  <c r="BG6" i="13"/>
  <c r="BM6" i="13" s="1"/>
  <c r="BF6" i="13"/>
  <c r="BL6" i="13" s="1"/>
  <c r="BE6" i="13"/>
  <c r="BK6" i="13" s="1"/>
  <c r="BD6" i="13" a="1"/>
  <c r="BD6" i="13" s="1"/>
  <c r="BH6" i="13" s="1"/>
  <c r="BC6" i="13"/>
  <c r="BB6" i="13"/>
  <c r="BG5" i="13"/>
  <c r="BM5" i="13" s="1"/>
  <c r="BF5" i="13"/>
  <c r="BL5" i="13" s="1"/>
  <c r="BE5" i="13"/>
  <c r="BK5" i="13" s="1"/>
  <c r="BD5" i="13" a="1"/>
  <c r="BD5" i="13" s="1"/>
  <c r="BH5" i="13" s="1"/>
  <c r="BC5" i="13"/>
  <c r="BB5" i="13"/>
  <c r="BG4" i="13"/>
  <c r="BM4" i="13" s="1"/>
  <c r="BF4" i="13"/>
  <c r="BL4" i="13" s="1"/>
  <c r="BE4" i="13"/>
  <c r="BK4" i="13" s="1"/>
  <c r="BD4" i="13" a="1"/>
  <c r="BD4" i="13" s="1"/>
  <c r="BH4" i="13" s="1"/>
  <c r="BC4" i="13"/>
  <c r="BB4" i="13"/>
  <c r="BD73" i="16" l="1"/>
  <c r="BD73" i="15"/>
  <c r="BB330" i="16"/>
  <c r="BB188" i="16"/>
  <c r="BB238" i="16"/>
  <c r="BB325" i="16"/>
  <c r="BB341" i="16"/>
  <c r="BB32" i="16"/>
  <c r="BB39" i="16"/>
  <c r="BB95" i="16"/>
  <c r="BB226" i="16"/>
  <c r="BB322" i="16"/>
  <c r="BB340" i="16"/>
  <c r="BB110" i="16"/>
  <c r="BB116" i="16"/>
  <c r="BB269" i="16"/>
  <c r="BB17" i="16"/>
  <c r="BB27" i="16"/>
  <c r="BB82" i="16"/>
  <c r="BB123" i="16"/>
  <c r="BB189" i="16"/>
  <c r="BB239" i="16"/>
  <c r="BB285" i="16"/>
  <c r="BB349" i="16"/>
  <c r="BB124" i="16"/>
  <c r="BB148" i="16"/>
  <c r="BB190" i="16"/>
  <c r="BB222" i="16"/>
  <c r="BB318" i="16"/>
  <c r="BB215" i="16"/>
  <c r="BB233" i="16"/>
  <c r="BB251" i="16"/>
  <c r="BB304" i="16"/>
  <c r="BB311" i="16"/>
  <c r="BB327" i="16"/>
  <c r="BB10" i="16"/>
  <c r="BB119" i="16"/>
  <c r="BB22" i="16"/>
  <c r="BB48" i="16"/>
  <c r="BB58" i="16"/>
  <c r="BB63" i="16"/>
  <c r="BB80" i="16"/>
  <c r="BB104" i="16"/>
  <c r="BB106" i="16"/>
  <c r="BB187" i="16"/>
  <c r="BB315" i="16"/>
  <c r="BB323" i="16"/>
  <c r="BB152" i="16"/>
  <c r="BB343" i="16"/>
  <c r="BB214" i="16"/>
  <c r="BB50" i="16"/>
  <c r="BB5" i="16"/>
  <c r="BB43" i="16"/>
  <c r="BB84" i="16"/>
  <c r="BB138" i="16"/>
  <c r="BB171" i="16"/>
  <c r="BB250" i="16"/>
  <c r="BB257" i="16"/>
  <c r="BB264" i="16"/>
  <c r="BB303" i="16"/>
  <c r="BB310" i="16"/>
  <c r="BB342" i="16"/>
  <c r="BB339" i="16"/>
  <c r="BB72" i="16"/>
  <c r="BB36" i="16"/>
  <c r="BB90" i="16"/>
  <c r="BB271" i="16"/>
  <c r="BB260" i="16"/>
  <c r="BB319" i="16"/>
  <c r="BB211" i="16"/>
  <c r="BB218" i="16"/>
  <c r="BB53" i="16"/>
  <c r="BB346" i="16"/>
  <c r="BB162" i="16"/>
  <c r="BB223" i="16"/>
  <c r="BB296" i="16"/>
  <c r="BB45" i="16"/>
  <c r="BB173" i="16"/>
  <c r="BB184" i="16"/>
  <c r="BB200" i="16"/>
  <c r="BB216" i="16"/>
  <c r="BB252" i="16"/>
  <c r="BB280" i="16"/>
  <c r="BB312" i="16"/>
  <c r="BB328" i="16"/>
  <c r="BB277" i="16"/>
  <c r="BB65" i="16"/>
  <c r="BB151" i="16"/>
  <c r="BB157" i="16"/>
  <c r="BB193" i="16"/>
  <c r="BB243" i="16"/>
  <c r="BB331" i="16"/>
  <c r="BB40" i="16"/>
  <c r="BB107" i="16"/>
  <c r="BB115" i="16"/>
  <c r="BB133" i="16"/>
  <c r="BB177" i="16"/>
  <c r="BB195" i="16"/>
  <c r="BB206" i="16"/>
  <c r="BB227" i="16"/>
  <c r="BB229" i="16"/>
  <c r="BB245" i="16"/>
  <c r="BB254" i="16"/>
  <c r="BB266" i="16"/>
  <c r="BB335" i="16"/>
  <c r="BB258" i="16"/>
  <c r="BB11" i="16"/>
  <c r="BB83" i="16"/>
  <c r="BB109" i="16"/>
  <c r="BB87" i="16"/>
  <c r="BB4" i="16"/>
  <c r="BB23" i="16"/>
  <c r="BB35" i="16"/>
  <c r="BB42" i="16"/>
  <c r="BB98" i="16"/>
  <c r="BB113" i="16"/>
  <c r="BB122" i="16"/>
  <c r="BB126" i="16"/>
  <c r="BB128" i="16"/>
  <c r="BB135" i="16"/>
  <c r="BB170" i="16"/>
  <c r="BB181" i="16"/>
  <c r="BB197" i="16"/>
  <c r="BB208" i="16"/>
  <c r="BB247" i="16"/>
  <c r="BB249" i="16"/>
  <c r="BB256" i="16"/>
  <c r="BB268" i="16"/>
  <c r="BB275" i="16"/>
  <c r="BB300" i="16"/>
  <c r="BB307" i="16"/>
  <c r="BB262" i="16"/>
  <c r="BB292" i="16"/>
  <c r="BB306" i="16"/>
  <c r="BB255" i="16"/>
  <c r="BB261" i="16"/>
  <c r="BB305" i="16"/>
  <c r="BB324" i="16"/>
  <c r="BB347" i="16"/>
  <c r="BB7" i="16"/>
  <c r="BB74" i="16"/>
  <c r="BB160" i="16"/>
  <c r="BB182" i="16"/>
  <c r="BB198" i="16"/>
  <c r="BB228" i="16"/>
  <c r="BB253" i="16"/>
  <c r="BB270" i="16"/>
  <c r="BB288" i="16"/>
  <c r="BB309" i="16"/>
  <c r="BB344" i="16"/>
  <c r="BB129" i="16"/>
  <c r="BB14" i="16"/>
  <c r="BB21" i="16"/>
  <c r="BB31" i="16"/>
  <c r="BB38" i="16"/>
  <c r="BB57" i="16"/>
  <c r="BB164" i="16"/>
  <c r="BB191" i="16"/>
  <c r="BB221" i="16"/>
  <c r="BB230" i="16"/>
  <c r="BB25" i="16"/>
  <c r="BB265" i="16"/>
  <c r="BB338" i="16"/>
  <c r="BB287" i="16"/>
  <c r="BB224" i="16"/>
  <c r="BB267" i="16"/>
  <c r="BB337" i="16"/>
  <c r="BB78" i="16"/>
  <c r="BB219" i="16"/>
  <c r="BB313" i="16"/>
  <c r="BB299" i="16"/>
  <c r="BB317" i="16"/>
  <c r="BB286" i="16"/>
  <c r="BB6" i="16"/>
  <c r="BB69" i="16"/>
  <c r="BB94" i="16"/>
  <c r="BB136" i="16"/>
  <c r="BB147" i="16"/>
  <c r="BB158" i="16"/>
  <c r="BB167" i="16"/>
  <c r="BB169" i="16"/>
  <c r="BB176" i="16"/>
  <c r="BB194" i="16"/>
  <c r="BB220" i="16"/>
  <c r="BB225" i="16"/>
  <c r="BB263" i="16"/>
  <c r="BB278" i="16"/>
  <c r="BB298" i="16"/>
  <c r="BB314" i="16"/>
  <c r="BB334" i="16"/>
  <c r="BB289" i="16"/>
  <c r="BB259" i="16"/>
  <c r="BB294" i="16"/>
  <c r="BB274" i="16"/>
  <c r="BB108" i="16"/>
  <c r="BB71" i="16"/>
  <c r="BB333" i="16"/>
  <c r="BB117" i="16"/>
  <c r="BB159" i="16"/>
  <c r="BB279" i="16"/>
  <c r="BB3" i="16"/>
  <c r="BB28" i="16"/>
  <c r="BB64" i="16"/>
  <c r="BB76" i="16"/>
  <c r="BB81" i="16"/>
  <c r="BB96" i="16"/>
  <c r="BB103" i="16"/>
  <c r="BB178" i="16"/>
  <c r="BB180" i="16"/>
  <c r="BB196" i="16"/>
  <c r="BB207" i="16"/>
  <c r="BB232" i="16"/>
  <c r="BB273" i="16"/>
  <c r="BB283" i="16"/>
  <c r="BB295" i="16"/>
  <c r="BB321" i="16"/>
  <c r="BB203" i="16"/>
  <c r="BB33" i="16"/>
  <c r="BB92" i="16"/>
  <c r="BB75" i="16"/>
  <c r="BB144" i="16"/>
  <c r="BB77" i="16"/>
  <c r="BB131" i="16"/>
  <c r="BB8" i="16"/>
  <c r="BB155" i="16"/>
  <c r="BB34" i="16"/>
  <c r="BB60" i="16"/>
  <c r="BB150" i="16"/>
  <c r="BB15" i="16"/>
  <c r="BB91" i="16"/>
  <c r="BB140" i="16"/>
  <c r="BB54" i="16"/>
  <c r="BB125" i="16"/>
  <c r="BB127" i="16"/>
  <c r="BB132" i="16"/>
  <c r="BB174" i="16"/>
  <c r="BB179" i="16"/>
  <c r="BB30" i="16"/>
  <c r="BB24" i="16"/>
  <c r="BB161" i="16"/>
  <c r="BB16" i="16"/>
  <c r="BB204" i="16"/>
  <c r="BB199" i="16"/>
  <c r="BB213" i="16"/>
  <c r="BB118" i="16"/>
  <c r="BB29" i="16"/>
  <c r="BB111" i="16"/>
  <c r="BB12" i="16"/>
  <c r="BB51" i="16"/>
  <c r="BB73" i="16"/>
  <c r="BB86" i="16"/>
  <c r="BB142" i="16"/>
  <c r="BB19" i="16"/>
  <c r="BB114" i="16"/>
  <c r="BB137" i="16"/>
  <c r="BB153" i="16"/>
  <c r="BB175" i="16"/>
  <c r="BB55" i="16"/>
  <c r="BB99" i="16"/>
  <c r="BB37" i="16"/>
  <c r="BB52" i="16"/>
  <c r="BB89" i="16"/>
  <c r="BB20" i="16"/>
  <c r="BB26" i="16"/>
  <c r="BB68" i="16"/>
  <c r="BB9" i="16"/>
  <c r="BB59" i="16"/>
  <c r="BB67" i="16"/>
  <c r="BB88" i="16"/>
  <c r="BB149" i="16"/>
  <c r="BB156" i="16"/>
  <c r="BB183" i="16"/>
  <c r="BB212" i="16"/>
  <c r="BB70" i="16"/>
  <c r="BB101" i="16"/>
  <c r="BB18" i="16"/>
  <c r="BB62" i="16"/>
  <c r="BB282" i="16"/>
  <c r="BB326" i="16"/>
  <c r="BB79" i="16"/>
  <c r="BB166" i="16"/>
  <c r="BB302" i="16"/>
  <c r="BB13" i="16"/>
  <c r="BB145" i="16"/>
  <c r="BB293" i="15"/>
  <c r="BB314" i="15"/>
  <c r="BB149" i="15"/>
  <c r="BB198" i="15"/>
  <c r="BB211" i="15"/>
  <c r="BB227" i="15"/>
  <c r="BB291" i="15"/>
  <c r="BB300" i="15"/>
  <c r="BB307" i="15"/>
  <c r="BB285" i="15"/>
  <c r="BB166" i="15"/>
  <c r="BB309" i="15"/>
  <c r="BB325" i="15"/>
  <c r="BB67" i="15"/>
  <c r="BB120" i="15"/>
  <c r="BB159" i="15"/>
  <c r="BB184" i="15"/>
  <c r="BB199" i="15"/>
  <c r="BB243" i="15"/>
  <c r="BB44" i="15"/>
  <c r="BB248" i="15"/>
  <c r="BB91" i="15"/>
  <c r="BB93" i="15"/>
  <c r="BB141" i="15"/>
  <c r="BB78" i="15"/>
  <c r="BB144" i="15"/>
  <c r="BB107" i="15"/>
  <c r="BB269" i="15"/>
  <c r="BB32" i="15"/>
  <c r="BB58" i="15"/>
  <c r="BB95" i="15"/>
  <c r="BB21" i="15"/>
  <c r="BB31" i="15"/>
  <c r="BB47" i="15"/>
  <c r="BB52" i="15"/>
  <c r="BB62" i="15"/>
  <c r="BB103" i="15"/>
  <c r="BB35" i="15"/>
  <c r="BB54" i="15"/>
  <c r="BB98" i="15"/>
  <c r="BB113" i="15"/>
  <c r="BB117" i="15"/>
  <c r="BB122" i="15"/>
  <c r="BB135" i="15"/>
  <c r="BB154" i="15"/>
  <c r="BB173" i="15"/>
  <c r="BB197" i="15"/>
  <c r="BB217" i="15"/>
  <c r="BB260" i="15"/>
  <c r="BB267" i="15"/>
  <c r="BB274" i="15"/>
  <c r="BB322" i="15"/>
  <c r="BB181" i="15"/>
  <c r="BB190" i="15"/>
  <c r="BB201" i="15"/>
  <c r="BB212" i="15"/>
  <c r="BB303" i="15"/>
  <c r="BB206" i="15"/>
  <c r="BB142" i="15"/>
  <c r="BB161" i="15"/>
  <c r="BB182" i="15"/>
  <c r="BB277" i="15"/>
  <c r="BB286" i="15"/>
  <c r="BB295" i="15"/>
  <c r="BB318" i="15"/>
  <c r="BB334" i="15"/>
  <c r="BB25" i="15"/>
  <c r="BB39" i="15"/>
  <c r="BB46" i="15"/>
  <c r="BB75" i="15"/>
  <c r="BB221" i="15"/>
  <c r="BB8" i="15"/>
  <c r="BB341" i="15"/>
  <c r="BB49" i="15"/>
  <c r="BB59" i="15"/>
  <c r="BB64" i="15"/>
  <c r="BB111" i="15"/>
  <c r="BB156" i="15"/>
  <c r="BB171" i="15"/>
  <c r="BB56" i="15"/>
  <c r="BB124" i="15"/>
  <c r="BB228" i="15"/>
  <c r="BB12" i="15"/>
  <c r="BB230" i="15"/>
  <c r="BB342" i="15"/>
  <c r="BB36" i="15"/>
  <c r="BB66" i="15"/>
  <c r="BB10" i="15"/>
  <c r="BB80" i="15"/>
  <c r="BB104" i="15"/>
  <c r="BB112" i="15"/>
  <c r="BB61" i="15"/>
  <c r="BB89" i="15"/>
  <c r="BB20" i="15"/>
  <c r="BB30" i="15"/>
  <c r="BB37" i="15"/>
  <c r="BB137" i="15"/>
  <c r="BB139" i="15"/>
  <c r="BB219" i="15"/>
  <c r="BB226" i="15"/>
  <c r="BB272" i="15"/>
  <c r="BB329" i="15"/>
  <c r="BB345" i="15"/>
  <c r="BB299" i="15"/>
  <c r="BB143" i="15"/>
  <c r="BB162" i="15"/>
  <c r="BB179" i="15"/>
  <c r="BB214" i="15"/>
  <c r="BB262" i="15"/>
  <c r="BB283" i="15"/>
  <c r="BB308" i="15"/>
  <c r="BB183" i="15"/>
  <c r="BB192" i="15"/>
  <c r="BB205" i="15"/>
  <c r="BB239" i="15"/>
  <c r="BB246" i="15"/>
  <c r="BB255" i="15"/>
  <c r="BB294" i="15"/>
  <c r="BB317" i="15"/>
  <c r="BB63" i="15"/>
  <c r="BB82" i="15"/>
  <c r="BB170" i="15"/>
  <c r="BB174" i="15"/>
  <c r="BB185" i="15"/>
  <c r="BB196" i="15"/>
  <c r="BB216" i="15"/>
  <c r="BB250" i="15"/>
  <c r="BB278" i="15"/>
  <c r="BB319" i="15"/>
  <c r="BB335" i="15"/>
  <c r="BB19" i="15"/>
  <c r="BB84" i="15"/>
  <c r="BB86" i="15"/>
  <c r="BB138" i="15"/>
  <c r="BB155" i="15"/>
  <c r="BB187" i="15"/>
  <c r="BB218" i="15"/>
  <c r="BB280" i="15"/>
  <c r="BB289" i="15"/>
  <c r="BB312" i="15"/>
  <c r="BB328" i="15"/>
  <c r="BB151" i="15"/>
  <c r="BB18" i="15"/>
  <c r="BB22" i="15"/>
  <c r="BB79" i="15"/>
  <c r="BB110" i="15"/>
  <c r="BB340" i="15"/>
  <c r="BB7" i="15"/>
  <c r="BB34" i="15"/>
  <c r="BB99" i="15"/>
  <c r="BB158" i="15"/>
  <c r="BB175" i="15"/>
  <c r="BB186" i="15"/>
  <c r="BB208" i="15"/>
  <c r="BB222" i="15"/>
  <c r="BB229" i="15"/>
  <c r="BB259" i="15"/>
  <c r="BB310" i="15"/>
  <c r="BB326" i="15"/>
  <c r="BB333" i="15"/>
  <c r="BB349" i="15"/>
  <c r="BB140" i="15"/>
  <c r="BB126" i="15"/>
  <c r="BB109" i="15"/>
  <c r="BB128" i="15"/>
  <c r="BB24" i="15"/>
  <c r="BB14" i="15"/>
  <c r="BB43" i="15"/>
  <c r="BB101" i="15"/>
  <c r="BB134" i="15"/>
  <c r="BB164" i="15"/>
  <c r="BB177" i="15"/>
  <c r="BB249" i="15"/>
  <c r="BB256" i="15"/>
  <c r="BB263" i="15"/>
  <c r="BB282" i="15"/>
  <c r="BB305" i="15"/>
  <c r="BB321" i="15"/>
  <c r="BB6" i="15"/>
  <c r="BB29" i="15"/>
  <c r="BB213" i="15"/>
  <c r="BB264" i="15"/>
  <c r="BB276" i="15"/>
  <c r="BB346" i="15"/>
  <c r="BB324" i="15"/>
  <c r="BB331" i="15"/>
  <c r="BB304" i="15"/>
  <c r="BB245" i="15"/>
  <c r="BB311" i="15"/>
  <c r="BB148" i="15"/>
  <c r="BB152" i="15"/>
  <c r="BB191" i="15"/>
  <c r="BB225" i="15"/>
  <c r="BB302" i="15"/>
  <c r="BB236" i="15"/>
  <c r="BB223" i="15"/>
  <c r="BB83" i="15"/>
  <c r="BB125" i="15"/>
  <c r="BB254" i="15"/>
  <c r="BB53" i="15"/>
  <c r="BB13" i="15"/>
  <c r="BB71" i="15"/>
  <c r="BB27" i="15"/>
  <c r="BB42" i="15"/>
  <c r="BB55" i="15"/>
  <c r="BB100" i="15"/>
  <c r="BB105" i="15"/>
  <c r="BB119" i="15"/>
  <c r="BB136" i="15"/>
  <c r="BB172" i="15"/>
  <c r="BB203" i="15"/>
  <c r="BB210" i="15"/>
  <c r="BB268" i="15"/>
  <c r="BB271" i="15"/>
  <c r="BB279" i="15"/>
  <c r="BB284" i="15"/>
  <c r="BB323" i="15"/>
  <c r="BB330" i="15"/>
  <c r="BB347" i="15"/>
  <c r="BB290" i="15"/>
  <c r="BB204" i="15"/>
  <c r="BB11" i="15"/>
  <c r="BB72" i="15"/>
  <c r="BB301" i="15"/>
  <c r="BB337" i="15"/>
  <c r="BB202" i="15"/>
  <c r="BB38" i="15"/>
  <c r="BB85" i="15"/>
  <c r="BB87" i="15"/>
  <c r="BB131" i="15"/>
  <c r="BB287" i="15"/>
  <c r="BB76" i="15"/>
  <c r="BB165" i="15"/>
  <c r="BB188" i="15"/>
  <c r="BB207" i="15"/>
  <c r="BB215" i="15"/>
  <c r="BB258" i="15"/>
  <c r="BB194" i="15"/>
  <c r="BB275" i="15"/>
  <c r="BB292" i="15"/>
  <c r="BB338" i="15"/>
  <c r="BB253" i="15"/>
  <c r="BB88" i="15"/>
  <c r="BB4" i="15"/>
  <c r="BB15" i="15"/>
  <c r="BB68" i="15"/>
  <c r="BB121" i="15"/>
  <c r="BB130" i="15"/>
  <c r="BB145" i="15"/>
  <c r="BB176" i="15"/>
  <c r="BB220" i="15"/>
  <c r="BB242" i="15"/>
  <c r="BB247" i="15"/>
  <c r="BB265" i="15"/>
  <c r="BB281" i="15"/>
  <c r="BB296" i="15"/>
  <c r="BB306" i="15"/>
  <c r="BB313" i="15"/>
  <c r="BB339" i="15"/>
  <c r="BB9" i="15"/>
  <c r="BB129" i="15"/>
  <c r="BB77" i="15"/>
  <c r="BB168" i="15"/>
  <c r="BB23" i="15"/>
  <c r="BB57" i="15"/>
  <c r="BB288" i="15"/>
  <c r="BB344" i="15"/>
  <c r="BB157" i="15"/>
  <c r="BB51" i="15"/>
  <c r="BB224" i="15"/>
  <c r="BB73" i="15"/>
  <c r="BB160" i="15"/>
  <c r="BB70" i="15"/>
  <c r="BB81" i="15"/>
  <c r="BB102" i="15"/>
  <c r="BB115" i="15"/>
  <c r="BB123" i="15"/>
  <c r="BB147" i="15"/>
  <c r="BB167" i="15"/>
  <c r="BB169" i="15"/>
  <c r="BB200" i="15"/>
  <c r="BB232" i="15"/>
  <c r="BB257" i="15"/>
  <c r="BB270" i="15"/>
  <c r="BB273" i="15"/>
  <c r="BB298" i="15"/>
  <c r="BB315" i="15"/>
  <c r="BB320" i="15"/>
  <c r="BB90" i="15"/>
  <c r="BB74" i="15"/>
  <c r="BB3" i="15"/>
  <c r="BB106" i="15"/>
  <c r="BB132" i="15"/>
  <c r="BB28" i="15"/>
  <c r="BB153" i="15"/>
  <c r="BB195" i="15"/>
  <c r="BB26" i="15"/>
  <c r="BB48" i="15"/>
  <c r="BB92" i="15"/>
  <c r="BB114" i="15"/>
  <c r="BB150" i="15"/>
  <c r="BH134" i="14"/>
  <c r="BH135" i="14"/>
  <c r="BH157" i="14"/>
  <c r="BH53" i="14"/>
  <c r="BH4" i="14"/>
  <c r="BH90" i="14"/>
  <c r="BH71" i="14"/>
  <c r="BH46" i="14"/>
  <c r="BH63" i="14"/>
  <c r="BH114" i="14"/>
  <c r="BH107" i="14"/>
  <c r="BH61" i="14"/>
  <c r="BH124" i="14"/>
  <c r="BH95" i="14"/>
  <c r="BH148" i="14"/>
  <c r="BH155" i="14"/>
  <c r="BH51" i="14"/>
  <c r="BH40" i="14"/>
  <c r="BH57" i="14"/>
  <c r="BH70" i="14"/>
  <c r="BH152" i="14"/>
  <c r="BH30" i="14"/>
  <c r="BH20" i="14"/>
  <c r="BH87" i="14"/>
  <c r="BH97" i="14"/>
  <c r="BH6" i="14"/>
  <c r="BH10" i="14"/>
  <c r="BH43" i="14"/>
  <c r="BH36" i="14"/>
  <c r="BH16" i="14"/>
  <c r="BH83" i="14"/>
  <c r="BH29" i="14"/>
  <c r="BH9" i="14"/>
  <c r="BH56" i="14"/>
  <c r="BH86" i="14"/>
  <c r="BH69" i="14"/>
  <c r="BH49" i="14"/>
  <c r="BH32" i="14"/>
  <c r="BH127" i="14"/>
  <c r="BH79" i="14"/>
  <c r="BH150" i="14"/>
  <c r="BH130" i="14"/>
  <c r="BH123" i="14"/>
  <c r="BH120" i="14"/>
  <c r="BH113" i="14"/>
  <c r="BH62" i="14"/>
  <c r="BH45" i="14"/>
  <c r="BH143" i="14"/>
  <c r="BH106" i="14"/>
  <c r="BK123" i="14"/>
  <c r="BH156" i="14"/>
  <c r="BH136" i="14"/>
  <c r="BH149" i="14"/>
  <c r="BH119" i="14"/>
  <c r="BH102" i="14"/>
  <c r="BH72" i="14"/>
  <c r="BH92" i="14"/>
  <c r="BH25" i="14"/>
  <c r="BH85" i="14"/>
  <c r="BH55" i="14"/>
  <c r="BH88" i="14"/>
  <c r="BH34" i="14"/>
  <c r="BH108" i="14"/>
  <c r="BH8" i="14"/>
  <c r="BH67" i="14"/>
  <c r="BH151" i="14"/>
  <c r="BH118" i="14"/>
  <c r="BH54" i="14"/>
  <c r="BH24" i="14"/>
  <c r="BH144" i="14"/>
  <c r="BH104" i="14"/>
  <c r="BH47" i="14"/>
  <c r="BH99" i="14"/>
  <c r="BH22" i="14"/>
  <c r="BH65" i="14"/>
  <c r="BH78" i="14"/>
  <c r="BH38" i="14"/>
  <c r="BH48" i="14"/>
  <c r="BH18" i="14"/>
  <c r="BH111" i="14"/>
  <c r="BH81" i="14"/>
  <c r="BH31" i="14"/>
  <c r="BH128" i="14"/>
  <c r="BH44" i="14"/>
  <c r="BH64" i="14"/>
  <c r="BH13" i="14"/>
  <c r="BH17" i="14"/>
  <c r="BH66" i="14"/>
  <c r="BK59" i="14"/>
  <c r="BH59" i="14"/>
  <c r="BH52" i="14"/>
  <c r="BH68" i="14"/>
  <c r="BH82" i="14"/>
  <c r="BH77" i="14"/>
  <c r="BH98" i="14"/>
  <c r="BH110" i="14"/>
  <c r="BH5" i="14"/>
  <c r="BH21" i="14"/>
  <c r="BH73" i="14"/>
  <c r="BH33" i="14"/>
  <c r="BH26" i="14"/>
  <c r="BH19" i="14"/>
  <c r="BH14" i="14"/>
  <c r="BH80" i="14"/>
  <c r="BK75" i="14"/>
  <c r="BH75" i="14"/>
  <c r="BM61" i="14"/>
  <c r="BH94" i="14"/>
  <c r="BH28" i="14"/>
  <c r="BH101" i="14"/>
  <c r="BH42" i="14"/>
  <c r="BH89" i="14"/>
  <c r="BH96" i="14"/>
  <c r="BH91" i="14"/>
  <c r="BH129" i="14"/>
  <c r="BH122" i="14"/>
  <c r="BH117" i="14"/>
  <c r="BH93" i="14"/>
  <c r="BH145" i="14"/>
  <c r="BH138" i="14"/>
  <c r="BH131" i="14"/>
  <c r="BH154" i="14"/>
  <c r="BH140" i="14"/>
  <c r="BH133" i="14"/>
  <c r="BH126" i="14"/>
  <c r="BH112" i="14"/>
  <c r="BH84" i="14"/>
  <c r="BH37" i="14"/>
  <c r="BH58" i="14"/>
  <c r="BH7" i="14"/>
  <c r="BH74" i="14"/>
  <c r="BH116" i="14"/>
  <c r="BH132" i="14"/>
  <c r="BH137" i="14"/>
  <c r="BH23" i="14"/>
  <c r="BH146" i="14"/>
  <c r="BH39" i="14"/>
  <c r="BH27" i="14"/>
  <c r="BH142" i="14"/>
  <c r="BH100" i="14"/>
  <c r="BH158" i="14"/>
  <c r="BH109" i="14"/>
  <c r="BM141" i="14"/>
  <c r="BH141" i="14"/>
  <c r="BH153" i="14"/>
  <c r="BH11" i="14"/>
  <c r="BH76" i="14"/>
  <c r="BH125" i="14"/>
  <c r="BH35" i="14"/>
  <c r="BH60" i="14"/>
  <c r="BH50" i="14"/>
  <c r="BM89" i="14"/>
  <c r="BM134" i="14"/>
  <c r="BH147" i="14"/>
  <c r="BH15" i="14"/>
  <c r="BH139" i="14"/>
  <c r="BH105" i="14"/>
  <c r="BH115" i="14"/>
  <c r="BH12" i="14"/>
  <c r="BH121" i="14"/>
  <c r="BH103" i="14"/>
  <c r="BH41" i="13"/>
  <c r="BH20" i="13"/>
  <c r="BH29" i="13"/>
  <c r="BH67" i="13"/>
  <c r="BH94" i="13"/>
  <c r="BH105" i="13"/>
  <c r="BH111" i="13"/>
  <c r="BH137" i="13"/>
  <c r="BH152" i="13"/>
  <c r="BH154" i="13"/>
  <c r="BH76" i="13"/>
  <c r="BH56" i="13"/>
  <c r="BH88" i="13"/>
  <c r="BH107" i="13"/>
  <c r="BH109" i="13"/>
  <c r="BH113" i="13"/>
  <c r="BH133" i="13"/>
  <c r="BH135" i="13"/>
  <c r="BH150" i="13"/>
  <c r="BL150" i="13"/>
  <c r="BH134" i="13"/>
  <c r="BH14" i="13"/>
  <c r="BH35" i="13"/>
  <c r="BH63" i="13"/>
  <c r="BH101" i="13"/>
  <c r="BH120" i="13"/>
  <c r="BH146" i="13"/>
  <c r="BM41" i="13"/>
  <c r="BL76" i="13"/>
  <c r="BH46" i="13"/>
  <c r="BH115" i="13"/>
  <c r="BH117" i="13"/>
  <c r="BH51" i="13"/>
  <c r="BL70" i="13"/>
  <c r="BH70" i="13"/>
  <c r="BH143" i="13"/>
  <c r="BH102" i="13"/>
  <c r="BL102" i="13"/>
  <c r="BH124" i="13"/>
  <c r="BH38" i="13"/>
  <c r="BH118" i="13"/>
  <c r="BD149" i="16" l="1"/>
  <c r="AV149" i="2"/>
  <c r="BD149" i="15"/>
  <c r="BD169" i="16"/>
  <c r="BD169" i="15"/>
  <c r="AV169" i="2"/>
  <c r="BD16" i="16"/>
  <c r="BD16" i="15"/>
  <c r="AV16" i="2"/>
  <c r="BD162" i="16"/>
  <c r="BD162" i="15"/>
  <c r="AV162" i="2"/>
  <c r="BD151" i="16"/>
  <c r="AV151" i="2"/>
  <c r="BD151" i="15"/>
  <c r="BD196" i="16"/>
  <c r="BD196" i="15"/>
  <c r="AV196" i="2"/>
  <c r="BD19" i="16"/>
  <c r="BD19" i="15"/>
  <c r="AV19" i="2"/>
  <c r="BD207" i="16"/>
  <c r="BD207" i="15"/>
  <c r="AV207" i="2"/>
  <c r="BD86" i="16"/>
  <c r="BD86" i="15"/>
  <c r="AV86" i="2"/>
  <c r="BD98" i="16"/>
  <c r="BD98" i="15"/>
  <c r="AV98" i="2"/>
  <c r="BD65" i="16"/>
  <c r="BD65" i="15"/>
  <c r="AV65" i="2"/>
  <c r="BD174" i="16"/>
  <c r="AV174" i="2"/>
  <c r="BD174" i="15"/>
  <c r="BD117" i="16"/>
  <c r="BD117" i="15"/>
  <c r="AV117" i="2"/>
  <c r="BD14" i="16"/>
  <c r="BD14" i="15"/>
  <c r="AV14" i="2"/>
  <c r="BD253" i="16"/>
  <c r="BD253" i="15"/>
  <c r="AV253" i="2"/>
  <c r="BD198" i="16"/>
  <c r="BD198" i="15"/>
  <c r="AV198" i="2"/>
  <c r="BD156" i="16"/>
  <c r="AV156" i="2"/>
  <c r="BD156" i="15"/>
  <c r="BD305" i="16"/>
  <c r="BD305" i="15"/>
  <c r="AV305" i="2"/>
  <c r="BD144" i="16"/>
  <c r="BD144" i="15"/>
  <c r="AV144" i="2"/>
  <c r="BD200" i="16"/>
  <c r="AV200" i="2"/>
  <c r="BD200" i="15"/>
  <c r="BD53" i="16"/>
  <c r="BD53" i="15"/>
  <c r="AV53" i="2"/>
  <c r="BD71" i="16"/>
  <c r="BD71" i="15"/>
  <c r="AV71" i="2"/>
  <c r="BD206" i="16"/>
  <c r="BD206" i="15"/>
  <c r="AV206" i="2"/>
  <c r="BD36" i="16"/>
  <c r="BD36" i="15"/>
  <c r="AV36" i="2"/>
  <c r="BD194" i="16"/>
  <c r="AV194" i="2"/>
  <c r="BD194" i="15"/>
  <c r="BD181" i="16"/>
  <c r="BD181" i="15"/>
  <c r="AV181" i="2"/>
  <c r="BD163" i="16"/>
  <c r="AV163" i="2"/>
  <c r="BD163" i="15"/>
  <c r="BD115" i="16"/>
  <c r="BD115" i="15"/>
  <c r="AV115" i="2"/>
  <c r="BD10" i="16"/>
  <c r="BD10" i="15"/>
  <c r="AV10" i="2"/>
  <c r="BD95" i="16"/>
  <c r="BD95" i="15"/>
  <c r="AV95" i="2"/>
  <c r="BD67" i="16"/>
  <c r="BD67" i="15"/>
  <c r="AV67" i="2"/>
  <c r="BD126" i="16"/>
  <c r="BD126" i="15"/>
  <c r="AV126" i="2"/>
  <c r="BD159" i="16"/>
  <c r="BD159" i="15"/>
  <c r="AV159" i="2"/>
  <c r="BD175" i="16"/>
  <c r="BD175" i="15"/>
  <c r="AV175" i="2"/>
  <c r="BD182" i="16"/>
  <c r="AV182" i="2"/>
  <c r="BD182" i="15"/>
  <c r="BD197" i="16"/>
  <c r="BD197" i="15"/>
  <c r="AV197" i="2"/>
  <c r="BD257" i="16"/>
  <c r="BD257" i="15"/>
  <c r="AV257" i="2"/>
  <c r="BD180" i="16"/>
  <c r="BD180" i="15"/>
  <c r="AV180" i="2"/>
  <c r="BD195" i="16"/>
  <c r="AV195" i="2"/>
  <c r="BD195" i="15"/>
  <c r="BH159" i="14"/>
  <c r="BD204" i="16"/>
  <c r="AV204" i="2"/>
  <c r="BD204" i="15"/>
  <c r="BD136" i="16"/>
  <c r="BD136" i="15"/>
  <c r="AV136" i="2"/>
  <c r="BD165" i="16"/>
  <c r="BD165" i="15"/>
  <c r="AV165" i="2"/>
  <c r="BD170" i="16"/>
  <c r="AV170" i="2"/>
  <c r="BD170" i="15"/>
  <c r="BD178" i="16"/>
  <c r="BD178" i="15"/>
  <c r="AV178" i="2"/>
  <c r="BD134" i="16"/>
  <c r="BD134" i="15"/>
  <c r="AV134" i="2"/>
  <c r="BD139" i="16"/>
  <c r="BD139" i="15"/>
  <c r="AV139" i="2"/>
  <c r="BD132" i="16"/>
  <c r="BD132" i="15"/>
  <c r="AV132" i="2"/>
  <c r="BD74" i="16"/>
  <c r="BD74" i="15"/>
  <c r="AV74" i="2"/>
  <c r="BD145" i="16"/>
  <c r="BD145" i="15"/>
  <c r="AV145" i="2"/>
  <c r="BD56" i="16"/>
  <c r="BD56" i="15"/>
  <c r="AV56" i="2"/>
  <c r="BD137" i="16"/>
  <c r="BD137" i="15"/>
  <c r="AV137" i="2"/>
  <c r="BD116" i="16"/>
  <c r="BD116" i="15"/>
  <c r="AV116" i="2"/>
  <c r="BD121" i="16"/>
  <c r="BD121" i="15"/>
  <c r="AV121" i="2"/>
  <c r="BD18" i="16"/>
  <c r="BD18" i="15"/>
  <c r="AV18" i="2"/>
  <c r="BD23" i="16"/>
  <c r="BD23" i="15"/>
  <c r="AV23" i="2"/>
  <c r="BD52" i="16"/>
  <c r="BD52" i="15"/>
  <c r="AV52" i="2"/>
  <c r="BD63" i="16"/>
  <c r="BD63" i="15"/>
  <c r="AV63" i="2"/>
  <c r="BD114" i="16"/>
  <c r="BD114" i="15"/>
  <c r="AV114" i="2"/>
  <c r="BD25" i="16"/>
  <c r="BD25" i="15"/>
  <c r="AV25" i="2"/>
  <c r="BD8" i="16"/>
  <c r="BD8" i="15"/>
  <c r="AV8" i="2"/>
  <c r="BD157" i="16"/>
  <c r="BD157" i="15"/>
  <c r="AV157" i="2"/>
  <c r="BD142" i="16"/>
  <c r="BD142" i="15"/>
  <c r="AV142" i="2"/>
  <c r="BD118" i="16"/>
  <c r="BD118" i="15"/>
  <c r="AV118" i="2"/>
  <c r="BD123" i="16"/>
  <c r="BD123" i="15"/>
  <c r="AV123" i="2"/>
  <c r="BD109" i="16"/>
  <c r="BD109" i="15"/>
  <c r="AV109" i="2"/>
  <c r="BD88" i="16"/>
  <c r="BD88" i="15"/>
  <c r="AV88" i="2"/>
  <c r="BD97" i="16"/>
  <c r="BD97" i="15"/>
  <c r="AV97" i="2"/>
  <c r="BD106" i="16"/>
  <c r="BD106" i="15"/>
  <c r="AV106" i="2"/>
  <c r="BD21" i="16"/>
  <c r="BD21" i="15"/>
  <c r="AV21" i="2"/>
  <c r="BD17" i="16"/>
  <c r="BD17" i="15"/>
  <c r="AV17" i="2"/>
  <c r="BD104" i="16"/>
  <c r="BD104" i="15"/>
  <c r="AV104" i="2"/>
  <c r="BD76" i="16"/>
  <c r="BD76" i="15"/>
  <c r="AV76" i="2"/>
  <c r="BD177" i="16"/>
  <c r="BD177" i="15"/>
  <c r="AV177" i="2"/>
  <c r="BD61" i="16"/>
  <c r="BD61" i="15"/>
  <c r="AV61" i="2"/>
  <c r="BD122" i="16"/>
  <c r="BD122" i="15"/>
  <c r="AV122" i="2"/>
  <c r="BD158" i="16"/>
  <c r="AV158" i="2"/>
  <c r="BD158" i="15"/>
  <c r="BD22" i="16"/>
  <c r="BD22" i="15"/>
  <c r="AV22" i="2"/>
  <c r="BD81" i="16"/>
  <c r="BD81" i="15"/>
  <c r="AV81" i="2"/>
  <c r="BD70" i="16"/>
  <c r="BD70" i="15"/>
  <c r="AV70" i="2"/>
  <c r="BD119" i="16"/>
  <c r="BD119" i="15"/>
  <c r="AV119" i="2"/>
  <c r="BD105" i="16"/>
  <c r="BD105" i="15"/>
  <c r="AV105" i="2"/>
  <c r="BD26" i="16"/>
  <c r="BD26" i="15"/>
  <c r="AV26" i="2"/>
  <c r="BD143" i="16"/>
  <c r="BD143" i="15"/>
  <c r="AV143" i="2"/>
  <c r="BD150" i="16"/>
  <c r="BD150" i="15"/>
  <c r="AV150" i="2"/>
  <c r="BD50" i="16"/>
  <c r="BD50" i="15"/>
  <c r="AV50" i="2"/>
  <c r="BD90" i="16"/>
  <c r="BD90" i="15"/>
  <c r="AV90" i="2"/>
  <c r="BD166" i="16"/>
  <c r="AV166" i="2"/>
  <c r="BD166" i="15"/>
  <c r="BD219" i="16"/>
  <c r="BD217" i="16"/>
  <c r="BD219" i="15"/>
  <c r="BD217" i="15"/>
  <c r="AV217" i="2"/>
  <c r="AV219" i="2"/>
  <c r="BD107" i="16"/>
  <c r="BD107" i="15"/>
  <c r="AV107" i="2"/>
  <c r="BD11" i="16"/>
  <c r="BD11" i="15"/>
  <c r="AV11" i="2"/>
  <c r="BD155" i="16"/>
  <c r="BD155" i="15"/>
  <c r="AV155" i="2"/>
  <c r="BD64" i="16"/>
  <c r="BD64" i="15"/>
  <c r="AV64" i="2"/>
  <c r="BD131" i="16"/>
  <c r="BD131" i="15"/>
  <c r="AV131" i="2"/>
  <c r="BD92" i="16"/>
  <c r="BD92" i="15"/>
  <c r="AV92" i="2"/>
  <c r="BD127" i="16"/>
  <c r="BD127" i="15"/>
  <c r="AV127" i="2"/>
  <c r="BD51" i="16"/>
  <c r="BD51" i="15"/>
  <c r="AV51" i="2"/>
  <c r="BD135" i="16"/>
  <c r="BD135" i="15"/>
  <c r="AV135" i="2"/>
  <c r="BD113" i="16"/>
  <c r="BD113" i="15"/>
  <c r="AV113" i="2"/>
  <c r="BD147" i="16"/>
  <c r="BD147" i="15"/>
  <c r="AV147" i="2"/>
  <c r="BD167" i="16"/>
  <c r="BD167" i="15"/>
  <c r="AV167" i="2"/>
  <c r="BD214" i="16"/>
  <c r="AV214" i="2"/>
  <c r="BD214" i="15"/>
  <c r="BD193" i="16"/>
  <c r="BD193" i="15"/>
  <c r="AV193" i="2"/>
  <c r="BD269" i="16"/>
  <c r="BD269" i="15"/>
  <c r="AV269" i="2"/>
  <c r="BD153" i="16"/>
  <c r="BD153" i="15"/>
  <c r="AV153" i="2"/>
  <c r="BD202" i="16"/>
  <c r="BD202" i="15"/>
  <c r="AV202" i="2"/>
  <c r="BD77" i="16"/>
  <c r="BD77" i="15"/>
  <c r="AV77" i="2"/>
  <c r="BD101" i="16"/>
  <c r="BD101" i="15"/>
  <c r="AV101" i="2"/>
  <c r="BD160" i="16"/>
  <c r="AV160" i="2"/>
  <c r="BD160" i="15"/>
  <c r="BD168" i="16"/>
  <c r="BD168" i="15"/>
  <c r="AV168" i="2"/>
  <c r="BD171" i="16"/>
  <c r="AV171" i="2"/>
  <c r="BD171" i="15"/>
  <c r="BD179" i="16"/>
  <c r="BD179" i="15"/>
  <c r="AV179" i="2"/>
  <c r="BD216" i="16"/>
  <c r="BD216" i="15"/>
  <c r="AV216" i="2"/>
  <c r="BD120" i="16"/>
  <c r="BD120" i="15"/>
  <c r="AV120" i="2"/>
  <c r="BD176" i="16"/>
  <c r="AV176" i="2"/>
  <c r="BD176" i="15"/>
  <c r="BD62" i="16"/>
  <c r="BD62" i="15"/>
  <c r="AV62" i="2"/>
  <c r="BD83" i="16"/>
  <c r="BD83" i="15"/>
  <c r="AV83" i="2"/>
  <c r="BD110" i="16"/>
  <c r="BD110" i="15"/>
  <c r="AV110" i="2"/>
  <c r="BD128" i="16"/>
  <c r="BD128" i="15"/>
  <c r="AV128" i="2"/>
  <c r="BD93" i="16"/>
  <c r="BD93" i="15"/>
  <c r="AV93" i="2"/>
  <c r="BD12" i="16"/>
  <c r="BD12" i="15"/>
  <c r="AV12" i="2"/>
  <c r="BD57" i="16"/>
  <c r="BD57" i="15"/>
  <c r="AV57" i="2"/>
  <c r="BD125" i="16"/>
  <c r="BD125" i="15"/>
  <c r="AV125" i="2"/>
  <c r="BD20" i="16"/>
  <c r="BD20" i="15"/>
  <c r="AV20" i="2"/>
  <c r="BD66" i="16"/>
  <c r="BD66" i="15"/>
  <c r="AV66" i="2"/>
  <c r="BD75" i="16"/>
  <c r="BD75" i="15"/>
  <c r="AV75" i="2"/>
  <c r="BD13" i="16"/>
  <c r="BD13" i="15"/>
  <c r="AV13" i="2"/>
  <c r="BD9" i="16"/>
  <c r="BD9" i="15"/>
  <c r="AV9" i="2"/>
  <c r="BD140" i="16"/>
  <c r="BD140" i="15"/>
  <c r="AV140" i="2"/>
  <c r="BD129" i="16"/>
  <c r="BD129" i="15"/>
  <c r="AV129" i="2"/>
  <c r="BD24" i="16"/>
  <c r="BD24" i="15"/>
  <c r="AV24" i="2"/>
  <c r="BD60" i="16"/>
  <c r="BD60" i="15"/>
  <c r="AV60" i="2"/>
  <c r="BD248" i="16"/>
  <c r="BD248" i="15"/>
  <c r="AV248" i="2"/>
  <c r="BD111" i="16"/>
  <c r="BD111" i="15"/>
  <c r="AV111" i="2"/>
  <c r="BD94" i="16"/>
  <c r="BD94" i="15"/>
  <c r="AV94" i="2"/>
  <c r="BD72" i="16"/>
  <c r="BD72" i="15"/>
  <c r="AV72" i="2"/>
  <c r="BD87" i="16"/>
  <c r="BD87" i="15"/>
  <c r="AV87" i="2"/>
  <c r="BD265" i="16"/>
  <c r="BD258" i="16"/>
  <c r="BD265" i="15"/>
  <c r="BD258" i="15"/>
  <c r="AV258" i="2"/>
  <c r="AV265" i="2"/>
  <c r="BD210" i="16"/>
  <c r="AV210" i="2"/>
  <c r="BD210" i="15"/>
  <c r="BD138" i="16"/>
  <c r="BD138" i="15"/>
  <c r="AV138" i="2"/>
  <c r="BD173" i="16"/>
  <c r="BD173" i="15"/>
  <c r="AV173" i="2"/>
  <c r="BD99" i="16"/>
  <c r="BD99" i="15"/>
  <c r="AV99" i="2"/>
  <c r="BD154" i="16"/>
  <c r="AV154" i="2"/>
  <c r="BD154" i="15"/>
  <c r="BD161" i="16"/>
  <c r="BD161" i="15"/>
  <c r="AV161" i="2"/>
  <c r="BD103" i="16"/>
  <c r="BD103" i="15"/>
  <c r="AV103" i="2"/>
  <c r="BD78" i="16"/>
  <c r="BD78" i="15"/>
  <c r="AV78" i="2"/>
  <c r="BD112" i="16"/>
  <c r="BD112" i="15"/>
  <c r="AV112" i="2"/>
  <c r="BD133" i="16"/>
  <c r="BD133" i="15"/>
  <c r="AV133" i="2"/>
  <c r="AV7" i="2"/>
  <c r="BD7" i="16"/>
  <c r="BD7" i="15"/>
  <c r="BD89" i="16"/>
  <c r="BD89" i="15"/>
  <c r="AV89" i="2"/>
  <c r="BD288" i="16"/>
  <c r="BD270" i="16"/>
  <c r="BD288" i="15"/>
  <c r="BD270" i="15"/>
  <c r="AV270" i="2"/>
  <c r="AV288" i="2"/>
  <c r="BD186" i="16"/>
  <c r="AV186" i="2"/>
  <c r="BD186" i="15"/>
  <c r="BD185" i="16"/>
  <c r="BD185" i="15"/>
  <c r="AV185" i="2"/>
  <c r="BB350" i="16"/>
  <c r="BB350" i="15"/>
  <c r="BD350" i="15"/>
  <c r="BH159" i="13"/>
  <c r="O3" i="2"/>
  <c r="Q3" i="2" s="1"/>
  <c r="O4" i="2"/>
  <c r="Q4" i="2" s="1"/>
  <c r="O5" i="2"/>
  <c r="Q5" i="2" s="1"/>
  <c r="O6" i="2"/>
  <c r="Q6" i="2" s="1"/>
  <c r="O7" i="2"/>
  <c r="Q7" i="2" s="1"/>
  <c r="O8" i="2"/>
  <c r="Q8" i="2" s="1"/>
  <c r="O169" i="2"/>
  <c r="Q169" i="2" s="1"/>
  <c r="O174" i="2"/>
  <c r="Q174" i="2" s="1"/>
  <c r="O175" i="2"/>
  <c r="Q175" i="2" s="1"/>
  <c r="O9" i="2"/>
  <c r="Q9" i="2" s="1"/>
  <c r="O10" i="2"/>
  <c r="Q10" i="2" s="1"/>
  <c r="O11" i="2"/>
  <c r="Q11" i="2" s="1"/>
  <c r="O15" i="2"/>
  <c r="Q15" i="2" s="1"/>
  <c r="O16" i="2"/>
  <c r="Q16" i="2" s="1"/>
  <c r="O17" i="2"/>
  <c r="Q17" i="2" s="1"/>
  <c r="O18" i="2"/>
  <c r="Q18" i="2" s="1"/>
  <c r="O19" i="2"/>
  <c r="Q19" i="2" s="1"/>
  <c r="O20" i="2"/>
  <c r="Q20" i="2" s="1"/>
  <c r="O21" i="2"/>
  <c r="Q21" i="2" s="1"/>
  <c r="O22" i="2"/>
  <c r="Q22" i="2" s="1"/>
  <c r="O23" i="2"/>
  <c r="Q23" i="2" s="1"/>
  <c r="O24" i="2"/>
  <c r="Q24" i="2" s="1"/>
  <c r="O25" i="2"/>
  <c r="Q25" i="2" s="1"/>
  <c r="O26" i="2"/>
  <c r="Q26" i="2" s="1"/>
  <c r="O27" i="2"/>
  <c r="Q27" i="2" s="1"/>
  <c r="O28" i="2"/>
  <c r="Q28" i="2" s="1"/>
  <c r="O29" i="2"/>
  <c r="Q29" i="2" s="1"/>
  <c r="O30" i="2"/>
  <c r="Q30" i="2" s="1"/>
  <c r="O31" i="2"/>
  <c r="Q31" i="2" s="1"/>
  <c r="O32" i="2"/>
  <c r="Q32" i="2" s="1"/>
  <c r="O33" i="2"/>
  <c r="Q33" i="2" s="1"/>
  <c r="O34" i="2"/>
  <c r="Q34" i="2" s="1"/>
  <c r="O35" i="2"/>
  <c r="Q35" i="2" s="1"/>
  <c r="O36" i="2"/>
  <c r="Q36" i="2" s="1"/>
  <c r="O37" i="2"/>
  <c r="Q37" i="2" s="1"/>
  <c r="O38" i="2"/>
  <c r="Q38" i="2" s="1"/>
  <c r="O39" i="2"/>
  <c r="Q39" i="2" s="1"/>
  <c r="O40" i="2"/>
  <c r="Q40" i="2" s="1"/>
  <c r="O41" i="2"/>
  <c r="Q41" i="2" s="1"/>
  <c r="O42" i="2"/>
  <c r="Q42" i="2" s="1"/>
  <c r="O43" i="2"/>
  <c r="Q43" i="2" s="1"/>
  <c r="O44" i="2"/>
  <c r="Q44" i="2" s="1"/>
  <c r="O45" i="2"/>
  <c r="Q45" i="2" s="1"/>
  <c r="O46" i="2"/>
  <c r="Q46" i="2" s="1"/>
  <c r="O47" i="2"/>
  <c r="Q47" i="2" s="1"/>
  <c r="O48" i="2"/>
  <c r="Q48" i="2" s="1"/>
  <c r="O49" i="2"/>
  <c r="Q49" i="2" s="1"/>
  <c r="O50" i="2"/>
  <c r="Q50" i="2" s="1"/>
  <c r="O51" i="2"/>
  <c r="Q51" i="2" s="1"/>
  <c r="O52" i="2"/>
  <c r="Q52" i="2" s="1"/>
  <c r="O53" i="2"/>
  <c r="Q53" i="2" s="1"/>
  <c r="O54" i="2"/>
  <c r="Q54" i="2" s="1"/>
  <c r="O55" i="2"/>
  <c r="Q55" i="2" s="1"/>
  <c r="O56" i="2"/>
  <c r="Q56" i="2" s="1"/>
  <c r="O57" i="2"/>
  <c r="Q57" i="2" s="1"/>
  <c r="O58" i="2"/>
  <c r="Q58" i="2" s="1"/>
  <c r="O59" i="2"/>
  <c r="Q59" i="2" s="1"/>
  <c r="O60" i="2"/>
  <c r="Q60" i="2" s="1"/>
  <c r="O61" i="2"/>
  <c r="Q61" i="2" s="1"/>
  <c r="O62" i="2"/>
  <c r="Q62" i="2" s="1"/>
  <c r="O63" i="2"/>
  <c r="Q63" i="2" s="1"/>
  <c r="O64" i="2"/>
  <c r="Q64" i="2" s="1"/>
  <c r="O65" i="2"/>
  <c r="Q65" i="2" s="1"/>
  <c r="O66" i="2"/>
  <c r="Q66" i="2" s="1"/>
  <c r="O67" i="2"/>
  <c r="Q67" i="2" s="1"/>
  <c r="O68" i="2"/>
  <c r="Q68" i="2" s="1"/>
  <c r="O69" i="2"/>
  <c r="Q69" i="2" s="1"/>
  <c r="O70" i="2"/>
  <c r="Q70" i="2" s="1"/>
  <c r="O71" i="2"/>
  <c r="Q71" i="2" s="1"/>
  <c r="O72" i="2"/>
  <c r="Q72" i="2" s="1"/>
  <c r="O73" i="2"/>
  <c r="Q73" i="2" s="1"/>
  <c r="O74" i="2"/>
  <c r="Q74" i="2" s="1"/>
  <c r="O75" i="2"/>
  <c r="Q75" i="2" s="1"/>
  <c r="O76" i="2"/>
  <c r="Q76" i="2" s="1"/>
  <c r="O77" i="2"/>
  <c r="Q77" i="2" s="1"/>
  <c r="O78" i="2"/>
  <c r="Q78" i="2" s="1"/>
  <c r="O79" i="2"/>
  <c r="Q79" i="2" s="1"/>
  <c r="O80" i="2"/>
  <c r="Q80" i="2" s="1"/>
  <c r="O176" i="2"/>
  <c r="Q176" i="2" s="1"/>
  <c r="O82" i="2"/>
  <c r="Q82" i="2" s="1"/>
  <c r="O12" i="2"/>
  <c r="Q12" i="2" s="1"/>
  <c r="O84" i="2"/>
  <c r="Q84" i="2" s="1"/>
  <c r="O85" i="2"/>
  <c r="Q85" i="2" s="1"/>
  <c r="O13" i="2"/>
  <c r="Q13" i="2" s="1"/>
  <c r="O14" i="2"/>
  <c r="Q14" i="2" s="1"/>
  <c r="O81" i="2"/>
  <c r="Q81" i="2" s="1"/>
  <c r="O203" i="2"/>
  <c r="Q203" i="2" s="1"/>
  <c r="O204" i="2"/>
  <c r="Q204" i="2" s="1"/>
  <c r="O91" i="2"/>
  <c r="Q91" i="2" s="1"/>
  <c r="O92" i="2"/>
  <c r="Q92" i="2" s="1"/>
  <c r="O93" i="2"/>
  <c r="Q93" i="2" s="1"/>
  <c r="O94" i="2"/>
  <c r="Q94" i="2" s="1"/>
  <c r="O95" i="2"/>
  <c r="Q95" i="2" s="1"/>
  <c r="O96" i="2"/>
  <c r="Q96" i="2" s="1"/>
  <c r="O97" i="2"/>
  <c r="Q97" i="2" s="1"/>
  <c r="O98" i="2"/>
  <c r="Q98" i="2" s="1"/>
  <c r="O99" i="2"/>
  <c r="Q99" i="2" s="1"/>
  <c r="O100" i="2"/>
  <c r="Q100" i="2" s="1"/>
  <c r="O101" i="2"/>
  <c r="Q101" i="2" s="1"/>
  <c r="O102" i="2"/>
  <c r="Q102" i="2" s="1"/>
  <c r="O103" i="2"/>
  <c r="Q103" i="2" s="1"/>
  <c r="O104" i="2"/>
  <c r="Q104" i="2" s="1"/>
  <c r="O105" i="2"/>
  <c r="Q105" i="2" s="1"/>
  <c r="O83" i="2"/>
  <c r="Q83" i="2" s="1"/>
  <c r="O86" i="2"/>
  <c r="Q86" i="2" s="1"/>
  <c r="O108" i="2"/>
  <c r="Q108" i="2" s="1"/>
  <c r="O87" i="2"/>
  <c r="Q87" i="2" s="1"/>
  <c r="O88" i="2"/>
  <c r="Q88" i="2" s="1"/>
  <c r="O89" i="2"/>
  <c r="Q89" i="2" s="1"/>
  <c r="O112" i="2"/>
  <c r="Q112" i="2" s="1"/>
  <c r="O113" i="2"/>
  <c r="Q113" i="2" s="1"/>
  <c r="O114" i="2"/>
  <c r="Q114" i="2" s="1"/>
  <c r="O115" i="2"/>
  <c r="Q115" i="2" s="1"/>
  <c r="O116" i="2"/>
  <c r="Q116" i="2" s="1"/>
  <c r="O117" i="2"/>
  <c r="Q117" i="2" s="1"/>
  <c r="O118" i="2"/>
  <c r="Q118" i="2" s="1"/>
  <c r="O119" i="2"/>
  <c r="Q119" i="2" s="1"/>
  <c r="O120" i="2"/>
  <c r="Q120" i="2" s="1"/>
  <c r="O206" i="2"/>
  <c r="Q206" i="2" s="1"/>
  <c r="O90" i="2"/>
  <c r="Q90" i="2" s="1"/>
  <c r="O106" i="2"/>
  <c r="Q106" i="2" s="1"/>
  <c r="O124" i="2"/>
  <c r="Q124" i="2" s="1"/>
  <c r="O107" i="2"/>
  <c r="Q107" i="2" s="1"/>
  <c r="O109" i="2"/>
  <c r="Q109" i="2" s="1"/>
  <c r="O110" i="2"/>
  <c r="Q110" i="2" s="1"/>
  <c r="O111" i="2"/>
  <c r="Q111" i="2" s="1"/>
  <c r="O129" i="2"/>
  <c r="Q129" i="2" s="1"/>
  <c r="O130" i="2"/>
  <c r="Q130" i="2" s="1"/>
  <c r="O131" i="2"/>
  <c r="Q131" i="2" s="1"/>
  <c r="O132" i="2"/>
  <c r="Q132" i="2" s="1"/>
  <c r="O121" i="2"/>
  <c r="Q121" i="2" s="1"/>
  <c r="O122" i="2"/>
  <c r="Q122" i="2" s="1"/>
  <c r="O123" i="2"/>
  <c r="Q123" i="2" s="1"/>
  <c r="O125" i="2"/>
  <c r="Q125" i="2" s="1"/>
  <c r="O126" i="2"/>
  <c r="Q126" i="2" s="1"/>
  <c r="O127" i="2"/>
  <c r="Q127" i="2" s="1"/>
  <c r="O128" i="2"/>
  <c r="Q128" i="2" s="1"/>
  <c r="O133" i="2"/>
  <c r="Q133" i="2" s="1"/>
  <c r="O141" i="2"/>
  <c r="Q141" i="2" s="1"/>
  <c r="O134" i="2"/>
  <c r="Q134" i="2" s="1"/>
  <c r="O135" i="2"/>
  <c r="Q135" i="2" s="1"/>
  <c r="O136" i="2"/>
  <c r="Q136" i="2" s="1"/>
  <c r="O137" i="2"/>
  <c r="Q137" i="2" s="1"/>
  <c r="O138" i="2"/>
  <c r="Q138" i="2" s="1"/>
  <c r="O147" i="2"/>
  <c r="Q147" i="2" s="1"/>
  <c r="O148" i="2"/>
  <c r="Q148" i="2" s="1"/>
  <c r="O149" i="2"/>
  <c r="Q149" i="2" s="1"/>
  <c r="O150" i="2"/>
  <c r="Q150" i="2" s="1"/>
  <c r="O207" i="2"/>
  <c r="Q207" i="2" s="1"/>
  <c r="O152" i="2"/>
  <c r="Q152" i="2" s="1"/>
  <c r="O153" i="2"/>
  <c r="Q153" i="2" s="1"/>
  <c r="O139" i="2"/>
  <c r="Q139" i="2" s="1"/>
  <c r="O155" i="2"/>
  <c r="Q155" i="2" s="1"/>
  <c r="O140" i="2"/>
  <c r="Q140" i="2" s="1"/>
  <c r="O157" i="2"/>
  <c r="Q157" i="2" s="1"/>
  <c r="O158" i="2"/>
  <c r="Q158" i="2" s="1"/>
  <c r="O159" i="2"/>
  <c r="Q159" i="2" s="1"/>
  <c r="O160" i="2"/>
  <c r="Q160" i="2" s="1"/>
  <c r="O142" i="2"/>
  <c r="Q142" i="2" s="1"/>
  <c r="O162" i="2"/>
  <c r="Q162" i="2" s="1"/>
  <c r="O163" i="2"/>
  <c r="Q163" i="2" s="1"/>
  <c r="O164" i="2"/>
  <c r="Q164" i="2" s="1"/>
  <c r="O165" i="2"/>
  <c r="Q165" i="2" s="1"/>
  <c r="O166" i="2"/>
  <c r="Q166" i="2" s="1"/>
  <c r="O143" i="2"/>
  <c r="Q143" i="2" s="1"/>
  <c r="O144" i="2"/>
  <c r="Q144" i="2" s="1"/>
  <c r="O145" i="2"/>
  <c r="Q145" i="2" s="1"/>
  <c r="O170" i="2"/>
  <c r="Q170" i="2" s="1"/>
  <c r="O171" i="2"/>
  <c r="Q171" i="2" s="1"/>
  <c r="O172" i="2"/>
  <c r="Q172" i="2" s="1"/>
  <c r="O173" i="2"/>
  <c r="Q173" i="2" s="1"/>
  <c r="O146" i="2"/>
  <c r="Q146" i="2" s="1"/>
  <c r="O151" i="2"/>
  <c r="Q151" i="2" s="1"/>
  <c r="O154" i="2"/>
  <c r="Q154" i="2" s="1"/>
  <c r="O177" i="2"/>
  <c r="Q177" i="2" s="1"/>
  <c r="O178" i="2"/>
  <c r="Q178" i="2" s="1"/>
  <c r="O179" i="2"/>
  <c r="Q179" i="2" s="1"/>
  <c r="O180" i="2"/>
  <c r="Q180" i="2" s="1"/>
  <c r="O181" i="2"/>
  <c r="Q181" i="2" s="1"/>
  <c r="O182" i="2"/>
  <c r="Q182" i="2" s="1"/>
  <c r="O183" i="2"/>
  <c r="Q183" i="2" s="1"/>
  <c r="O184" i="2"/>
  <c r="Q184" i="2" s="1"/>
  <c r="O185" i="2"/>
  <c r="Q185" i="2" s="1"/>
  <c r="O186" i="2"/>
  <c r="Q186" i="2" s="1"/>
  <c r="O187" i="2"/>
  <c r="Q187" i="2" s="1"/>
  <c r="O188" i="2"/>
  <c r="Q188" i="2" s="1"/>
  <c r="O189" i="2"/>
  <c r="Q189" i="2" s="1"/>
  <c r="O190" i="2"/>
  <c r="Q190" i="2" s="1"/>
  <c r="O191" i="2"/>
  <c r="Q191" i="2" s="1"/>
  <c r="O192" i="2"/>
  <c r="Q192" i="2" s="1"/>
  <c r="O193" i="2"/>
  <c r="Q193" i="2" s="1"/>
  <c r="O194" i="2"/>
  <c r="Q194" i="2" s="1"/>
  <c r="O195" i="2"/>
  <c r="Q195" i="2" s="1"/>
  <c r="O196" i="2"/>
  <c r="Q196" i="2" s="1"/>
  <c r="O197" i="2"/>
  <c r="Q197" i="2" s="1"/>
  <c r="O198" i="2"/>
  <c r="Q198" i="2" s="1"/>
  <c r="O199" i="2"/>
  <c r="Q199" i="2" s="1"/>
  <c r="O200" i="2"/>
  <c r="Q200" i="2" s="1"/>
  <c r="O201" i="2"/>
  <c r="Q201" i="2" s="1"/>
  <c r="O202" i="2"/>
  <c r="Q202" i="2" s="1"/>
  <c r="O156" i="2"/>
  <c r="Q156" i="2" s="1"/>
  <c r="O161" i="2"/>
  <c r="Q161" i="2" s="1"/>
  <c r="O205" i="2"/>
  <c r="Q205" i="2" s="1"/>
  <c r="O167" i="2"/>
  <c r="Q167" i="2" s="1"/>
  <c r="O168" i="2"/>
  <c r="Q168" i="2" s="1"/>
  <c r="O208" i="2"/>
  <c r="Q208" i="2" s="1"/>
  <c r="O209" i="2"/>
  <c r="Q209" i="2" s="1"/>
  <c r="O210" i="2"/>
  <c r="Q210" i="2" s="1"/>
  <c r="O211" i="2"/>
  <c r="Q211" i="2" s="1"/>
  <c r="O212" i="2"/>
  <c r="Q212" i="2" s="1"/>
  <c r="O213" i="2"/>
  <c r="Q213" i="2" s="1"/>
  <c r="O214" i="2"/>
  <c r="Q214" i="2" s="1"/>
  <c r="O215" i="2"/>
  <c r="Q215" i="2" s="1"/>
  <c r="O216" i="2"/>
  <c r="Q216" i="2" s="1"/>
  <c r="O217" i="2"/>
  <c r="Q217" i="2" s="1"/>
  <c r="O218" i="2"/>
  <c r="Q218" i="2" s="1"/>
  <c r="O219" i="2"/>
  <c r="Q219" i="2" s="1"/>
  <c r="O220" i="2"/>
  <c r="Q220" i="2" s="1"/>
  <c r="O221" i="2"/>
  <c r="Q221" i="2" s="1"/>
  <c r="O222" i="2"/>
  <c r="Q222" i="2" s="1"/>
  <c r="O223" i="2"/>
  <c r="Q223" i="2" s="1"/>
  <c r="O224" i="2"/>
  <c r="Q224" i="2" s="1"/>
  <c r="O225" i="2"/>
  <c r="Q225" i="2" s="1"/>
  <c r="O226" i="2"/>
  <c r="Q226" i="2" s="1"/>
  <c r="O227" i="2"/>
  <c r="Q227" i="2" s="1"/>
  <c r="O228" i="2"/>
  <c r="Q228" i="2" s="1"/>
  <c r="O229" i="2"/>
  <c r="Q229" i="2" s="1"/>
  <c r="O230" i="2"/>
  <c r="Q230" i="2" s="1"/>
  <c r="O231" i="2"/>
  <c r="Q231" i="2" s="1"/>
  <c r="O232" i="2"/>
  <c r="Q232" i="2" s="1"/>
  <c r="O233" i="2"/>
  <c r="Q233" i="2" s="1"/>
  <c r="O234" i="2"/>
  <c r="Q234" i="2" s="1"/>
  <c r="O235" i="2"/>
  <c r="Q235" i="2" s="1"/>
  <c r="O236" i="2"/>
  <c r="Q236" i="2" s="1"/>
  <c r="O237" i="2"/>
  <c r="Q237" i="2" s="1"/>
  <c r="O238" i="2"/>
  <c r="Q238" i="2" s="1"/>
  <c r="O239" i="2"/>
  <c r="Q239" i="2" s="1"/>
  <c r="O240" i="2"/>
  <c r="Q240" i="2" s="1"/>
  <c r="O241" i="2"/>
  <c r="Q241" i="2" s="1"/>
  <c r="O242" i="2"/>
  <c r="Q242" i="2" s="1"/>
  <c r="O243" i="2"/>
  <c r="Q243" i="2" s="1"/>
  <c r="O244" i="2"/>
  <c r="Q244" i="2" s="1"/>
  <c r="O245" i="2"/>
  <c r="Q245" i="2" s="1"/>
  <c r="O246" i="2"/>
  <c r="Q246" i="2" s="1"/>
  <c r="O247" i="2"/>
  <c r="Q247" i="2" s="1"/>
  <c r="O248" i="2"/>
  <c r="Q248" i="2" s="1"/>
  <c r="O249" i="2"/>
  <c r="Q249" i="2" s="1"/>
  <c r="O250" i="2"/>
  <c r="Q250" i="2" s="1"/>
  <c r="O251" i="2"/>
  <c r="Q251" i="2" s="1"/>
  <c r="O252" i="2"/>
  <c r="Q252" i="2" s="1"/>
  <c r="O253" i="2"/>
  <c r="Q253" i="2" s="1"/>
  <c r="O254" i="2"/>
  <c r="Q254" i="2" s="1"/>
  <c r="O255" i="2"/>
  <c r="Q255" i="2" s="1"/>
  <c r="O256" i="2"/>
  <c r="Q256" i="2" s="1"/>
  <c r="O257" i="2"/>
  <c r="Q257" i="2" s="1"/>
  <c r="O258" i="2"/>
  <c r="Q258" i="2" s="1"/>
  <c r="O259" i="2"/>
  <c r="Q259" i="2" s="1"/>
  <c r="O260" i="2"/>
  <c r="Q260" i="2" s="1"/>
  <c r="O261" i="2"/>
  <c r="Q261" i="2" s="1"/>
  <c r="O262" i="2"/>
  <c r="Q262" i="2" s="1"/>
  <c r="O263" i="2"/>
  <c r="Q263" i="2" s="1"/>
  <c r="O264" i="2"/>
  <c r="Q264" i="2" s="1"/>
  <c r="O265" i="2"/>
  <c r="Q265" i="2" s="1"/>
  <c r="O266" i="2"/>
  <c r="Q266" i="2" s="1"/>
  <c r="O267" i="2"/>
  <c r="Q267" i="2" s="1"/>
  <c r="O268" i="2"/>
  <c r="Q268" i="2" s="1"/>
  <c r="O269" i="2"/>
  <c r="Q269" i="2" s="1"/>
  <c r="O270" i="2"/>
  <c r="Q270" i="2" s="1"/>
  <c r="O271" i="2"/>
  <c r="Q271" i="2" s="1"/>
  <c r="O272" i="2"/>
  <c r="Q272" i="2" s="1"/>
  <c r="O273" i="2"/>
  <c r="Q273" i="2" s="1"/>
  <c r="O274" i="2"/>
  <c r="Q274" i="2" s="1"/>
  <c r="O275" i="2"/>
  <c r="Q275" i="2" s="1"/>
  <c r="O276" i="2"/>
  <c r="Q276" i="2" s="1"/>
  <c r="O277" i="2"/>
  <c r="Q277" i="2" s="1"/>
  <c r="O278" i="2"/>
  <c r="Q278" i="2" s="1"/>
  <c r="O279" i="2"/>
  <c r="Q279" i="2" s="1"/>
  <c r="O280" i="2"/>
  <c r="Q280" i="2" s="1"/>
  <c r="O281" i="2"/>
  <c r="Q281" i="2" s="1"/>
  <c r="O282" i="2"/>
  <c r="Q282" i="2" s="1"/>
  <c r="O283" i="2"/>
  <c r="Q283" i="2" s="1"/>
  <c r="O284" i="2"/>
  <c r="Q284" i="2" s="1"/>
  <c r="O285" i="2"/>
  <c r="Q285" i="2" s="1"/>
  <c r="O286" i="2"/>
  <c r="Q286" i="2" s="1"/>
  <c r="O287" i="2"/>
  <c r="Q287" i="2" s="1"/>
  <c r="O288" i="2"/>
  <c r="Q288" i="2" s="1"/>
  <c r="O289" i="2"/>
  <c r="Q289" i="2" s="1"/>
  <c r="O290" i="2"/>
  <c r="Q290" i="2" s="1"/>
  <c r="O291" i="2"/>
  <c r="Q291" i="2" s="1"/>
  <c r="O292" i="2"/>
  <c r="Q292" i="2" s="1"/>
  <c r="O293" i="2"/>
  <c r="Q293" i="2" s="1"/>
  <c r="O294" i="2"/>
  <c r="Q294" i="2" s="1"/>
  <c r="O295" i="2"/>
  <c r="Q295" i="2" s="1"/>
  <c r="O296" i="2"/>
  <c r="Q296" i="2" s="1"/>
  <c r="O297" i="2"/>
  <c r="Q297" i="2" s="1"/>
  <c r="O298" i="2"/>
  <c r="Q298" i="2" s="1"/>
  <c r="O299" i="2"/>
  <c r="Q299" i="2" s="1"/>
  <c r="O300" i="2"/>
  <c r="Q300" i="2" s="1"/>
  <c r="O301" i="2"/>
  <c r="Q301" i="2" s="1"/>
  <c r="O302" i="2"/>
  <c r="Q302" i="2" s="1"/>
  <c r="O303" i="2"/>
  <c r="Q303" i="2" s="1"/>
  <c r="O304" i="2"/>
  <c r="Q304" i="2" s="1"/>
  <c r="O305" i="2"/>
  <c r="Q305" i="2" s="1"/>
  <c r="O306" i="2"/>
  <c r="Q306" i="2" s="1"/>
  <c r="O307" i="2"/>
  <c r="Q307" i="2" s="1"/>
  <c r="O308" i="2"/>
  <c r="Q308" i="2" s="1"/>
  <c r="O309" i="2"/>
  <c r="Q309" i="2" s="1"/>
  <c r="O310" i="2"/>
  <c r="Q310" i="2" s="1"/>
  <c r="O311" i="2"/>
  <c r="Q311" i="2" s="1"/>
  <c r="O312" i="2"/>
  <c r="Q312" i="2" s="1"/>
  <c r="O313" i="2"/>
  <c r="Q313" i="2" s="1"/>
  <c r="O314" i="2"/>
  <c r="Q314" i="2" s="1"/>
  <c r="O315" i="2"/>
  <c r="Q315" i="2" s="1"/>
  <c r="O316" i="2"/>
  <c r="Q316" i="2" s="1"/>
  <c r="O317" i="2"/>
  <c r="Q317" i="2" s="1"/>
  <c r="O318" i="2"/>
  <c r="Q318" i="2" s="1"/>
  <c r="O319" i="2"/>
  <c r="Q319" i="2" s="1"/>
  <c r="O320" i="2"/>
  <c r="Q320" i="2" s="1"/>
  <c r="O321" i="2"/>
  <c r="Q321" i="2" s="1"/>
  <c r="O322" i="2"/>
  <c r="Q322" i="2" s="1"/>
  <c r="O323" i="2"/>
  <c r="Q323" i="2" s="1"/>
  <c r="O324" i="2"/>
  <c r="Q324" i="2" s="1"/>
  <c r="O325" i="2"/>
  <c r="Q325" i="2" s="1"/>
  <c r="O326" i="2"/>
  <c r="Q326" i="2" s="1"/>
  <c r="O327" i="2"/>
  <c r="Q327" i="2" s="1"/>
  <c r="O328" i="2"/>
  <c r="Q328" i="2" s="1"/>
  <c r="O329" i="2"/>
  <c r="Q329" i="2" s="1"/>
  <c r="O330" i="2"/>
  <c r="Q330" i="2" s="1"/>
  <c r="O331" i="2"/>
  <c r="Q331" i="2" s="1"/>
  <c r="O332" i="2"/>
  <c r="Q332" i="2" s="1"/>
  <c r="O333" i="2"/>
  <c r="Q333" i="2" s="1"/>
  <c r="O334" i="2"/>
  <c r="Q334" i="2" s="1"/>
  <c r="O335" i="2"/>
  <c r="Q335" i="2" s="1"/>
  <c r="O336" i="2"/>
  <c r="Q336" i="2" s="1"/>
  <c r="O337" i="2"/>
  <c r="Q337" i="2" s="1"/>
  <c r="O338" i="2"/>
  <c r="Q338" i="2" s="1"/>
  <c r="O339" i="2"/>
  <c r="Q339" i="2" s="1"/>
  <c r="O340" i="2"/>
  <c r="Q340" i="2" s="1"/>
  <c r="O341" i="2"/>
  <c r="Q341" i="2" s="1"/>
  <c r="O342" i="2"/>
  <c r="Q342" i="2" s="1"/>
  <c r="O343" i="2"/>
  <c r="Q343" i="2" s="1"/>
  <c r="O344" i="2"/>
  <c r="Q344" i="2" s="1"/>
  <c r="O345" i="2"/>
  <c r="Q345" i="2" s="1"/>
  <c r="O346" i="2"/>
  <c r="Q346" i="2" s="1"/>
  <c r="O347" i="2"/>
  <c r="Q347" i="2" s="1"/>
  <c r="O348" i="2"/>
  <c r="Q348" i="2" s="1"/>
  <c r="O349" i="2"/>
  <c r="Q349" i="2" s="1"/>
  <c r="N1" i="11"/>
  <c r="AP7" i="2"/>
  <c r="AQ7" i="2"/>
  <c r="AW3" i="2"/>
  <c r="AW4" i="2"/>
  <c r="AW5" i="2"/>
  <c r="AW6" i="2"/>
  <c r="AW7" i="2"/>
  <c r="AW8" i="2"/>
  <c r="AW169" i="2"/>
  <c r="AW174" i="2"/>
  <c r="AW175" i="2"/>
  <c r="AW9" i="2"/>
  <c r="AW10" i="2"/>
  <c r="AW11" i="2"/>
  <c r="AW15" i="2"/>
  <c r="AW16" i="2"/>
  <c r="AW17" i="2"/>
  <c r="AW18" i="2"/>
  <c r="AW19" i="2"/>
  <c r="AW20" i="2"/>
  <c r="AW21" i="2"/>
  <c r="AW22" i="2"/>
  <c r="AW23" i="2"/>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3" i="2"/>
  <c r="AW64" i="2"/>
  <c r="AW65" i="2"/>
  <c r="AW66" i="2"/>
  <c r="AW67" i="2"/>
  <c r="AW68" i="2"/>
  <c r="AW69" i="2"/>
  <c r="AW70" i="2"/>
  <c r="AW71" i="2"/>
  <c r="AW72" i="2"/>
  <c r="AW73" i="2"/>
  <c r="AW74" i="2"/>
  <c r="AW75" i="2"/>
  <c r="AW76" i="2"/>
  <c r="AW77" i="2"/>
  <c r="AW78" i="2"/>
  <c r="AW79" i="2"/>
  <c r="AW80" i="2"/>
  <c r="AW176" i="2"/>
  <c r="AW82" i="2"/>
  <c r="AW12" i="2"/>
  <c r="AW84" i="2"/>
  <c r="AW85" i="2"/>
  <c r="AW13" i="2"/>
  <c r="AW14" i="2"/>
  <c r="AW81" i="2"/>
  <c r="AW203" i="2"/>
  <c r="AW204" i="2"/>
  <c r="AW91" i="2"/>
  <c r="AW92" i="2"/>
  <c r="AW93" i="2"/>
  <c r="AW94" i="2"/>
  <c r="AW95" i="2"/>
  <c r="AW96" i="2"/>
  <c r="AW97" i="2"/>
  <c r="AW98" i="2"/>
  <c r="AW99" i="2"/>
  <c r="AW100" i="2"/>
  <c r="AW101" i="2"/>
  <c r="AW102" i="2"/>
  <c r="AW103" i="2"/>
  <c r="AW104" i="2"/>
  <c r="AW105" i="2"/>
  <c r="AW83" i="2"/>
  <c r="AW86" i="2"/>
  <c r="AW108" i="2"/>
  <c r="AW87" i="2"/>
  <c r="AW88" i="2"/>
  <c r="AW89" i="2"/>
  <c r="AW112" i="2"/>
  <c r="AW113" i="2"/>
  <c r="AW114" i="2"/>
  <c r="AW115" i="2"/>
  <c r="AW116" i="2"/>
  <c r="AW117" i="2"/>
  <c r="AW118" i="2"/>
  <c r="AW119" i="2"/>
  <c r="AW120" i="2"/>
  <c r="AW206" i="2"/>
  <c r="AW90" i="2"/>
  <c r="AW106" i="2"/>
  <c r="AW124" i="2"/>
  <c r="AW107" i="2"/>
  <c r="AW109" i="2"/>
  <c r="AW110" i="2"/>
  <c r="AW111" i="2"/>
  <c r="AW129" i="2"/>
  <c r="AW130" i="2"/>
  <c r="AW131" i="2"/>
  <c r="AW132" i="2"/>
  <c r="AW121" i="2"/>
  <c r="AW122" i="2"/>
  <c r="AW123" i="2"/>
  <c r="AW125" i="2"/>
  <c r="AW126" i="2"/>
  <c r="AW127" i="2"/>
  <c r="AW128" i="2"/>
  <c r="AW133" i="2"/>
  <c r="AW141" i="2"/>
  <c r="AW134" i="2"/>
  <c r="AW135" i="2"/>
  <c r="AW136" i="2"/>
  <c r="AW137" i="2"/>
  <c r="AW138" i="2"/>
  <c r="AW147" i="2"/>
  <c r="AW148" i="2"/>
  <c r="AW149" i="2"/>
  <c r="AW150" i="2"/>
  <c r="AW207" i="2"/>
  <c r="AW152" i="2"/>
  <c r="AW153" i="2"/>
  <c r="AW139" i="2"/>
  <c r="AW155" i="2"/>
  <c r="AW140" i="2"/>
  <c r="AW157" i="2"/>
  <c r="AW158" i="2"/>
  <c r="AW159" i="2"/>
  <c r="AW160" i="2"/>
  <c r="AW142" i="2"/>
  <c r="AW162" i="2"/>
  <c r="AW163" i="2"/>
  <c r="AW164" i="2"/>
  <c r="AW165" i="2"/>
  <c r="AW166" i="2"/>
  <c r="AW143" i="2"/>
  <c r="AW144" i="2"/>
  <c r="AW145" i="2"/>
  <c r="AW170" i="2"/>
  <c r="AW171" i="2"/>
  <c r="AW172" i="2"/>
  <c r="AW173" i="2"/>
  <c r="AW146" i="2"/>
  <c r="AW151" i="2"/>
  <c r="AW154" i="2"/>
  <c r="AW177" i="2"/>
  <c r="AW178" i="2"/>
  <c r="AW179" i="2"/>
  <c r="AW180" i="2"/>
  <c r="AW181" i="2"/>
  <c r="AW182" i="2"/>
  <c r="AW183" i="2"/>
  <c r="AW184" i="2"/>
  <c r="AW185" i="2"/>
  <c r="AW186" i="2"/>
  <c r="AW187" i="2"/>
  <c r="AW188" i="2"/>
  <c r="AW189" i="2"/>
  <c r="AW190" i="2"/>
  <c r="AW191" i="2"/>
  <c r="AW192" i="2"/>
  <c r="AW193" i="2"/>
  <c r="AW194" i="2"/>
  <c r="AW195" i="2"/>
  <c r="AW196" i="2"/>
  <c r="AW197" i="2"/>
  <c r="AW198" i="2"/>
  <c r="AW199" i="2"/>
  <c r="AW200" i="2"/>
  <c r="AW201" i="2"/>
  <c r="AW202" i="2"/>
  <c r="AW156" i="2"/>
  <c r="AW161" i="2"/>
  <c r="AW205" i="2"/>
  <c r="AW167" i="2"/>
  <c r="AW168" i="2"/>
  <c r="AW208" i="2"/>
  <c r="AW209" i="2"/>
  <c r="AW210" i="2"/>
  <c r="AW211" i="2"/>
  <c r="AW212" i="2"/>
  <c r="AW213" i="2"/>
  <c r="AW214" i="2"/>
  <c r="AW215" i="2"/>
  <c r="AW216" i="2"/>
  <c r="AW217" i="2"/>
  <c r="AW218" i="2"/>
  <c r="AW219" i="2"/>
  <c r="AW220" i="2"/>
  <c r="AW221" i="2"/>
  <c r="AW222" i="2"/>
  <c r="AW223" i="2"/>
  <c r="AW224" i="2"/>
  <c r="AW225" i="2"/>
  <c r="AW226" i="2"/>
  <c r="AW227" i="2"/>
  <c r="AW228" i="2"/>
  <c r="AW229" i="2"/>
  <c r="AW230" i="2"/>
  <c r="AW231" i="2"/>
  <c r="AW232" i="2"/>
  <c r="AW233" i="2"/>
  <c r="AW234" i="2"/>
  <c r="AW235" i="2"/>
  <c r="AW236" i="2"/>
  <c r="AW237" i="2"/>
  <c r="AW238" i="2"/>
  <c r="AW239" i="2"/>
  <c r="AW240" i="2"/>
  <c r="AW241" i="2"/>
  <c r="AW242" i="2"/>
  <c r="AW243" i="2"/>
  <c r="AW244" i="2"/>
  <c r="AW245" i="2"/>
  <c r="AW246" i="2"/>
  <c r="AW247" i="2"/>
  <c r="AW248" i="2"/>
  <c r="AW249" i="2"/>
  <c r="AW250" i="2"/>
  <c r="AW251" i="2"/>
  <c r="AW252" i="2"/>
  <c r="AW253" i="2"/>
  <c r="AW254" i="2"/>
  <c r="AW255" i="2"/>
  <c r="AW256" i="2"/>
  <c r="AW257" i="2"/>
  <c r="AW258" i="2"/>
  <c r="AW259" i="2"/>
  <c r="AW260" i="2"/>
  <c r="AW261" i="2"/>
  <c r="AW262" i="2"/>
  <c r="AW263" i="2"/>
  <c r="AW264" i="2"/>
  <c r="AW265" i="2"/>
  <c r="AW266" i="2"/>
  <c r="AW267" i="2"/>
  <c r="AW268" i="2"/>
  <c r="AW269" i="2"/>
  <c r="AW270" i="2"/>
  <c r="AW271" i="2"/>
  <c r="AW272" i="2"/>
  <c r="AW273" i="2"/>
  <c r="AW274" i="2"/>
  <c r="AW275" i="2"/>
  <c r="AW276" i="2"/>
  <c r="AW277" i="2"/>
  <c r="AW278" i="2"/>
  <c r="AW279" i="2"/>
  <c r="AW280" i="2"/>
  <c r="AW281" i="2"/>
  <c r="AW282" i="2"/>
  <c r="AW283" i="2"/>
  <c r="AW284" i="2"/>
  <c r="AW285" i="2"/>
  <c r="AW286" i="2"/>
  <c r="AW287" i="2"/>
  <c r="AW288" i="2"/>
  <c r="AW289" i="2"/>
  <c r="AW290" i="2"/>
  <c r="AW291" i="2"/>
  <c r="AW292" i="2"/>
  <c r="AW293" i="2"/>
  <c r="AW294" i="2"/>
  <c r="AW295" i="2"/>
  <c r="AW296" i="2"/>
  <c r="AW297" i="2"/>
  <c r="AW298" i="2"/>
  <c r="AW299" i="2"/>
  <c r="AW300" i="2"/>
  <c r="AW301" i="2"/>
  <c r="AW302" i="2"/>
  <c r="AW303" i="2"/>
  <c r="AW304" i="2"/>
  <c r="AW305" i="2"/>
  <c r="AW306" i="2"/>
  <c r="AW307" i="2"/>
  <c r="AW308" i="2"/>
  <c r="AW309" i="2"/>
  <c r="AW310" i="2"/>
  <c r="AW311" i="2"/>
  <c r="AW312" i="2"/>
  <c r="AW313" i="2"/>
  <c r="AW314" i="2"/>
  <c r="AW315" i="2"/>
  <c r="AW316" i="2"/>
  <c r="AW317" i="2"/>
  <c r="AW318" i="2"/>
  <c r="AW319" i="2"/>
  <c r="AW320" i="2"/>
  <c r="AW321" i="2"/>
  <c r="AW322" i="2"/>
  <c r="AW323" i="2"/>
  <c r="AW324" i="2"/>
  <c r="AW325" i="2"/>
  <c r="AW326" i="2"/>
  <c r="AW327" i="2"/>
  <c r="AW328" i="2"/>
  <c r="AW329" i="2"/>
  <c r="AW330" i="2"/>
  <c r="AW331" i="2"/>
  <c r="AW332" i="2"/>
  <c r="AW333" i="2"/>
  <c r="AW334" i="2"/>
  <c r="AW335" i="2"/>
  <c r="AW336" i="2"/>
  <c r="AW337" i="2"/>
  <c r="AW338" i="2"/>
  <c r="AW339" i="2"/>
  <c r="AW340" i="2"/>
  <c r="AW341" i="2"/>
  <c r="AW342" i="2"/>
  <c r="AW343" i="2"/>
  <c r="AW344" i="2"/>
  <c r="AW345" i="2"/>
  <c r="AW346" i="2"/>
  <c r="AW347" i="2"/>
  <c r="AW348" i="2"/>
  <c r="AW349" i="2"/>
  <c r="AO139" i="2"/>
  <c r="R305" i="2"/>
  <c r="AH305" i="2" s="1"/>
  <c r="R288" i="2"/>
  <c r="AH288" i="2" s="1"/>
  <c r="R269" i="2"/>
  <c r="AH269" i="2" s="1"/>
  <c r="R265" i="2"/>
  <c r="AH265" i="2" s="1"/>
  <c r="R257" i="2"/>
  <c r="AH257" i="2" s="1"/>
  <c r="R253" i="2"/>
  <c r="AH253" i="2" s="1"/>
  <c r="R248" i="2"/>
  <c r="AH248" i="2" s="1"/>
  <c r="R228" i="2"/>
  <c r="AH228" i="2" s="1"/>
  <c r="R227" i="2"/>
  <c r="AH227" i="2" s="1"/>
  <c r="R219" i="2"/>
  <c r="AH219" i="2" s="1"/>
  <c r="R216" i="2"/>
  <c r="AH216" i="2" s="1"/>
  <c r="R214" i="2"/>
  <c r="AH214" i="2" s="1"/>
  <c r="R210" i="2"/>
  <c r="AH210" i="2" s="1"/>
  <c r="R168" i="2"/>
  <c r="AH168" i="2" s="1"/>
  <c r="R167" i="2"/>
  <c r="AH167" i="2" s="1"/>
  <c r="R161" i="2"/>
  <c r="AH161" i="2" s="1"/>
  <c r="R156" i="2"/>
  <c r="AH156" i="2" s="1"/>
  <c r="R202" i="2"/>
  <c r="AH202" i="2" s="1"/>
  <c r="R200" i="2"/>
  <c r="AH200" i="2" s="1"/>
  <c r="R198" i="2"/>
  <c r="AH198" i="2" s="1"/>
  <c r="R197" i="2"/>
  <c r="AH197" i="2" s="1"/>
  <c r="R196" i="2"/>
  <c r="AH196" i="2" s="1"/>
  <c r="R195" i="2"/>
  <c r="AH195" i="2" s="1"/>
  <c r="R194" i="2"/>
  <c r="AH194" i="2" s="1"/>
  <c r="R193" i="2"/>
  <c r="AH193" i="2" s="1"/>
  <c r="R186" i="2"/>
  <c r="AH186" i="2" s="1"/>
  <c r="R185" i="2"/>
  <c r="AH185" i="2" s="1"/>
  <c r="R182" i="2"/>
  <c r="AH182" i="2" s="1"/>
  <c r="R181" i="2"/>
  <c r="AH181" i="2" s="1"/>
  <c r="R180" i="2"/>
  <c r="AH180" i="2" s="1"/>
  <c r="R179" i="2"/>
  <c r="AH179" i="2" s="1"/>
  <c r="R178" i="2"/>
  <c r="AH178" i="2" s="1"/>
  <c r="R177" i="2"/>
  <c r="AH177" i="2" s="1"/>
  <c r="R154" i="2"/>
  <c r="AH154" i="2" s="1"/>
  <c r="R151" i="2"/>
  <c r="AH151" i="2" s="1"/>
  <c r="R146" i="2"/>
  <c r="AH146" i="2" s="1"/>
  <c r="R173" i="2"/>
  <c r="AH173" i="2" s="1"/>
  <c r="R171" i="2"/>
  <c r="AH171" i="2" s="1"/>
  <c r="R170" i="2"/>
  <c r="AH170" i="2" s="1"/>
  <c r="R145" i="2"/>
  <c r="AH145" i="2" s="1"/>
  <c r="R144" i="2"/>
  <c r="AH144" i="2" s="1"/>
  <c r="R143" i="2"/>
  <c r="AH143" i="2" s="1"/>
  <c r="R166" i="2"/>
  <c r="AH166" i="2" s="1"/>
  <c r="R165" i="2"/>
  <c r="AH165" i="2" s="1"/>
  <c r="R164" i="2"/>
  <c r="AH164" i="2" s="1"/>
  <c r="R163" i="2"/>
  <c r="AH163" i="2" s="1"/>
  <c r="R162" i="2"/>
  <c r="AH162" i="2" s="1"/>
  <c r="R142" i="2"/>
  <c r="AH142" i="2" s="1"/>
  <c r="R160" i="2"/>
  <c r="AH160" i="2" s="1"/>
  <c r="R159" i="2"/>
  <c r="AH159" i="2" s="1"/>
  <c r="R158" i="2"/>
  <c r="AH158" i="2" s="1"/>
  <c r="R157" i="2"/>
  <c r="AH157" i="2" s="1"/>
  <c r="R140" i="2"/>
  <c r="AH140" i="2" s="1"/>
  <c r="R155" i="2"/>
  <c r="AH155" i="2" s="1"/>
  <c r="R139" i="2"/>
  <c r="AH139" i="2" s="1"/>
  <c r="R153" i="2"/>
  <c r="AH153" i="2" s="1"/>
  <c r="R207" i="2"/>
  <c r="AH207" i="2" s="1"/>
  <c r="R150" i="2"/>
  <c r="AH150" i="2" s="1"/>
  <c r="R149" i="2"/>
  <c r="AH149" i="2" s="1"/>
  <c r="R147" i="2"/>
  <c r="AH147" i="2" s="1"/>
  <c r="R138" i="2"/>
  <c r="AH138" i="2" s="1"/>
  <c r="R137" i="2"/>
  <c r="AH137" i="2" s="1"/>
  <c r="R136" i="2"/>
  <c r="AH136" i="2" s="1"/>
  <c r="R135" i="2"/>
  <c r="AH135" i="2" s="1"/>
  <c r="R134" i="2"/>
  <c r="AH134" i="2" s="1"/>
  <c r="R133" i="2"/>
  <c r="AH133" i="2" s="1"/>
  <c r="R128" i="2"/>
  <c r="AH128" i="2" s="1"/>
  <c r="R127" i="2"/>
  <c r="AH127" i="2" s="1"/>
  <c r="R126" i="2"/>
  <c r="AH126" i="2" s="1"/>
  <c r="R125" i="2"/>
  <c r="AH125" i="2" s="1"/>
  <c r="R123" i="2"/>
  <c r="AH123" i="2" s="1"/>
  <c r="R122" i="2"/>
  <c r="AH122" i="2" s="1"/>
  <c r="R121" i="2"/>
  <c r="AH121" i="2" s="1"/>
  <c r="R132" i="2"/>
  <c r="AH132" i="2" s="1"/>
  <c r="R131" i="2"/>
  <c r="AH131" i="2" s="1"/>
  <c r="R129" i="2"/>
  <c r="AH129" i="2" s="1"/>
  <c r="R111" i="2"/>
  <c r="AH111" i="2" s="1"/>
  <c r="R110" i="2"/>
  <c r="AH110" i="2" s="1"/>
  <c r="R109" i="2"/>
  <c r="AH109" i="2" s="1"/>
  <c r="R107" i="2"/>
  <c r="AH107" i="2" s="1"/>
  <c r="R106" i="2"/>
  <c r="AH106" i="2" s="1"/>
  <c r="R90" i="2"/>
  <c r="AH90" i="2" s="1"/>
  <c r="R206" i="2"/>
  <c r="AH206" i="2" s="1"/>
  <c r="R120" i="2"/>
  <c r="AH120" i="2" s="1"/>
  <c r="R119" i="2"/>
  <c r="AH119" i="2" s="1"/>
  <c r="R118" i="2"/>
  <c r="AH118" i="2" s="1"/>
  <c r="R117" i="2"/>
  <c r="AH117" i="2" s="1"/>
  <c r="R116" i="2"/>
  <c r="AH116" i="2" s="1"/>
  <c r="R115" i="2"/>
  <c r="AH115" i="2" s="1"/>
  <c r="R114" i="2"/>
  <c r="AH114" i="2" s="1"/>
  <c r="R113" i="2"/>
  <c r="AH113" i="2" s="1"/>
  <c r="R112" i="2"/>
  <c r="AH112" i="2" s="1"/>
  <c r="R89" i="2"/>
  <c r="AH89" i="2" s="1"/>
  <c r="R88" i="2"/>
  <c r="AH88" i="2" s="1"/>
  <c r="R87" i="2"/>
  <c r="AH87" i="2" s="1"/>
  <c r="R86" i="2"/>
  <c r="AH86" i="2" s="1"/>
  <c r="R83" i="2"/>
  <c r="AH83" i="2" s="1"/>
  <c r="R105" i="2"/>
  <c r="AH105" i="2" s="1"/>
  <c r="R104" i="2"/>
  <c r="AH104" i="2" s="1"/>
  <c r="R103" i="2"/>
  <c r="AH103" i="2" s="1"/>
  <c r="R101" i="2"/>
  <c r="AH101" i="2" s="1"/>
  <c r="R99" i="2"/>
  <c r="AH99" i="2" s="1"/>
  <c r="R98" i="2"/>
  <c r="AH98" i="2" s="1"/>
  <c r="R97" i="2"/>
  <c r="AH97" i="2" s="1"/>
  <c r="R95" i="2"/>
  <c r="AH95" i="2" s="1"/>
  <c r="R94" i="2"/>
  <c r="AH94" i="2" s="1"/>
  <c r="R93" i="2"/>
  <c r="AH93" i="2" s="1"/>
  <c r="R92" i="2"/>
  <c r="AH92" i="2" s="1"/>
  <c r="R204" i="2"/>
  <c r="AH204" i="2" s="1"/>
  <c r="R203" i="2"/>
  <c r="AH203" i="2" s="1"/>
  <c r="R81" i="2"/>
  <c r="AH81" i="2" s="1"/>
  <c r="R14" i="2"/>
  <c r="AH14" i="2" s="1"/>
  <c r="R13" i="2"/>
  <c r="AH13" i="2" s="1"/>
  <c r="R12" i="2"/>
  <c r="AH12" i="2" s="1"/>
  <c r="R176" i="2"/>
  <c r="AH176" i="2" s="1"/>
  <c r="R80" i="2"/>
  <c r="AH80" i="2" s="1"/>
  <c r="R78" i="2"/>
  <c r="AH78" i="2" s="1"/>
  <c r="R77" i="2"/>
  <c r="AH77" i="2" s="1"/>
  <c r="R76" i="2"/>
  <c r="AH76" i="2" s="1"/>
  <c r="R75" i="2"/>
  <c r="AH75" i="2" s="1"/>
  <c r="R74" i="2"/>
  <c r="AH74" i="2" s="1"/>
  <c r="R73" i="2"/>
  <c r="AH73" i="2" s="1"/>
  <c r="R72" i="2"/>
  <c r="AH72" i="2" s="1"/>
  <c r="R71" i="2"/>
  <c r="AH71" i="2" s="1"/>
  <c r="R70" i="2"/>
  <c r="AH70" i="2" s="1"/>
  <c r="R67" i="2"/>
  <c r="AH67" i="2" s="1"/>
  <c r="R66" i="2"/>
  <c r="AH66" i="2" s="1"/>
  <c r="R65" i="2"/>
  <c r="AH65" i="2" s="1"/>
  <c r="R64" i="2"/>
  <c r="AH64" i="2" s="1"/>
  <c r="R63" i="2"/>
  <c r="AH63" i="2" s="1"/>
  <c r="R62" i="2"/>
  <c r="AH62" i="2" s="1"/>
  <c r="R61" i="2"/>
  <c r="AH61" i="2" s="1"/>
  <c r="R60" i="2"/>
  <c r="AH60" i="2" s="1"/>
  <c r="R57" i="2"/>
  <c r="AH57" i="2" s="1"/>
  <c r="R56" i="2"/>
  <c r="AH56" i="2" s="1"/>
  <c r="R53" i="2"/>
  <c r="AH53" i="2" s="1"/>
  <c r="R52" i="2"/>
  <c r="AH52" i="2" s="1"/>
  <c r="R51" i="2"/>
  <c r="AH51" i="2" s="1"/>
  <c r="R50" i="2"/>
  <c r="AH50" i="2" s="1"/>
  <c r="R36" i="2"/>
  <c r="AH36" i="2" s="1"/>
  <c r="R26" i="2"/>
  <c r="AH26" i="2" s="1"/>
  <c r="R25" i="2"/>
  <c r="AH25" i="2" s="1"/>
  <c r="R24" i="2"/>
  <c r="AH24" i="2" s="1"/>
  <c r="R23" i="2"/>
  <c r="AH23" i="2" s="1"/>
  <c r="R22" i="2"/>
  <c r="AH22" i="2" s="1"/>
  <c r="R21" i="2"/>
  <c r="AH21" i="2" s="1"/>
  <c r="R20" i="2"/>
  <c r="AH20" i="2" s="1"/>
  <c r="R19" i="2"/>
  <c r="AH19" i="2" s="1"/>
  <c r="R18" i="2"/>
  <c r="AH18" i="2" s="1"/>
  <c r="R17" i="2"/>
  <c r="AH17" i="2" s="1"/>
  <c r="R16" i="2"/>
  <c r="AH16" i="2" s="1"/>
  <c r="R11" i="2"/>
  <c r="AH11" i="2" s="1"/>
  <c r="R10" i="2"/>
  <c r="AH10" i="2" s="1"/>
  <c r="R9" i="2"/>
  <c r="AH9" i="2" s="1"/>
  <c r="R175" i="2"/>
  <c r="AH175" i="2" s="1"/>
  <c r="R174" i="2"/>
  <c r="AH174" i="2" s="1"/>
  <c r="R169" i="2"/>
  <c r="AH169" i="2" s="1"/>
  <c r="R8" i="2"/>
  <c r="AH8" i="2" s="1"/>
  <c r="R3" i="2"/>
  <c r="AH3" i="2" s="1"/>
  <c r="R4" i="2"/>
  <c r="AH4" i="2" s="1"/>
  <c r="R5" i="2"/>
  <c r="AH5" i="2" s="1"/>
  <c r="R6" i="2"/>
  <c r="AH6" i="2" s="1"/>
  <c r="R7" i="2"/>
  <c r="AH7" i="2" s="1"/>
  <c r="R15" i="2"/>
  <c r="AH15" i="2" s="1"/>
  <c r="R27" i="2"/>
  <c r="AH27" i="2" s="1"/>
  <c r="R28" i="2"/>
  <c r="AH28" i="2" s="1"/>
  <c r="R29" i="2"/>
  <c r="AH29" i="2" s="1"/>
  <c r="R30" i="2"/>
  <c r="AH30" i="2" s="1"/>
  <c r="R31" i="2"/>
  <c r="AH31" i="2" s="1"/>
  <c r="R32" i="2"/>
  <c r="AH32" i="2" s="1"/>
  <c r="R33" i="2"/>
  <c r="AH33" i="2" s="1"/>
  <c r="R34" i="2"/>
  <c r="AH34" i="2" s="1"/>
  <c r="R35" i="2"/>
  <c r="AH35" i="2" s="1"/>
  <c r="R37" i="2"/>
  <c r="AH37" i="2" s="1"/>
  <c r="R38" i="2"/>
  <c r="AH38" i="2" s="1"/>
  <c r="R39" i="2"/>
  <c r="AH39" i="2" s="1"/>
  <c r="R40" i="2"/>
  <c r="AH40" i="2" s="1"/>
  <c r="R41" i="2"/>
  <c r="AH41" i="2" s="1"/>
  <c r="R42" i="2"/>
  <c r="AH42" i="2" s="1"/>
  <c r="R43" i="2"/>
  <c r="AH43" i="2" s="1"/>
  <c r="R44" i="2"/>
  <c r="AH44" i="2" s="1"/>
  <c r="R45" i="2"/>
  <c r="AH45" i="2" s="1"/>
  <c r="R46" i="2"/>
  <c r="AH46" i="2" s="1"/>
  <c r="R47" i="2"/>
  <c r="AH47" i="2" s="1"/>
  <c r="R48" i="2"/>
  <c r="AH48" i="2" s="1"/>
  <c r="R49" i="2"/>
  <c r="AH49" i="2" s="1"/>
  <c r="R54" i="2"/>
  <c r="AH54" i="2" s="1"/>
  <c r="R55" i="2"/>
  <c r="AH55" i="2" s="1"/>
  <c r="R58" i="2"/>
  <c r="AH58" i="2" s="1"/>
  <c r="R59" i="2"/>
  <c r="AH59" i="2" s="1"/>
  <c r="R68" i="2"/>
  <c r="AH68" i="2" s="1"/>
  <c r="R69" i="2"/>
  <c r="AH69" i="2" s="1"/>
  <c r="R79" i="2"/>
  <c r="AH79" i="2" s="1"/>
  <c r="R82" i="2"/>
  <c r="AH82" i="2" s="1"/>
  <c r="R84" i="2"/>
  <c r="AH84" i="2" s="1"/>
  <c r="R85" i="2"/>
  <c r="AH85" i="2" s="1"/>
  <c r="R91" i="2"/>
  <c r="AH91" i="2" s="1"/>
  <c r="R96" i="2"/>
  <c r="AH96" i="2" s="1"/>
  <c r="R100" i="2"/>
  <c r="AH100" i="2" s="1"/>
  <c r="R102" i="2"/>
  <c r="AH102" i="2" s="1"/>
  <c r="R108" i="2"/>
  <c r="AH108" i="2" s="1"/>
  <c r="R124" i="2"/>
  <c r="AH124" i="2" s="1"/>
  <c r="R130" i="2"/>
  <c r="AH130" i="2" s="1"/>
  <c r="R141" i="2"/>
  <c r="AH141" i="2" s="1"/>
  <c r="R148" i="2"/>
  <c r="AH148" i="2" s="1"/>
  <c r="R152" i="2"/>
  <c r="AH152" i="2" s="1"/>
  <c r="R172" i="2"/>
  <c r="AH172" i="2" s="1"/>
  <c r="R183" i="2"/>
  <c r="AH183" i="2" s="1"/>
  <c r="R184" i="2"/>
  <c r="AH184" i="2" s="1"/>
  <c r="R187" i="2"/>
  <c r="AH187" i="2" s="1"/>
  <c r="R188" i="2"/>
  <c r="AH188" i="2" s="1"/>
  <c r="R189" i="2"/>
  <c r="AH189" i="2" s="1"/>
  <c r="R190" i="2"/>
  <c r="AH190" i="2" s="1"/>
  <c r="R191" i="2"/>
  <c r="AH191" i="2" s="1"/>
  <c r="R192" i="2"/>
  <c r="AH192" i="2" s="1"/>
  <c r="R199" i="2"/>
  <c r="AH199" i="2" s="1"/>
  <c r="R201" i="2"/>
  <c r="AH201" i="2" s="1"/>
  <c r="R205" i="2"/>
  <c r="AH205" i="2" s="1"/>
  <c r="R208" i="2"/>
  <c r="AH208" i="2" s="1"/>
  <c r="R209" i="2"/>
  <c r="AH209" i="2" s="1"/>
  <c r="R211" i="2"/>
  <c r="AH211" i="2" s="1"/>
  <c r="R212" i="2"/>
  <c r="AH212" i="2" s="1"/>
  <c r="R213" i="2"/>
  <c r="AH213" i="2" s="1"/>
  <c r="R215" i="2"/>
  <c r="AH215" i="2" s="1"/>
  <c r="R217" i="2"/>
  <c r="AH217" i="2" s="1"/>
  <c r="R218" i="2"/>
  <c r="AH218" i="2" s="1"/>
  <c r="R220" i="2"/>
  <c r="AH220" i="2" s="1"/>
  <c r="R221" i="2"/>
  <c r="AH221" i="2" s="1"/>
  <c r="R222" i="2"/>
  <c r="AH222" i="2" s="1"/>
  <c r="R223" i="2"/>
  <c r="AH223" i="2" s="1"/>
  <c r="R224" i="2"/>
  <c r="AH224" i="2" s="1"/>
  <c r="R225" i="2"/>
  <c r="AH225" i="2" s="1"/>
  <c r="R226" i="2"/>
  <c r="AH226" i="2" s="1"/>
  <c r="R229" i="2"/>
  <c r="AH229" i="2" s="1"/>
  <c r="R230" i="2"/>
  <c r="AH230" i="2" s="1"/>
  <c r="R231" i="2"/>
  <c r="AH231" i="2" s="1"/>
  <c r="R232" i="2"/>
  <c r="AH232" i="2" s="1"/>
  <c r="R233" i="2"/>
  <c r="AH233" i="2" s="1"/>
  <c r="R234" i="2"/>
  <c r="AH234" i="2" s="1"/>
  <c r="R235" i="2"/>
  <c r="AH235" i="2" s="1"/>
  <c r="R236" i="2"/>
  <c r="AH236" i="2" s="1"/>
  <c r="R237" i="2"/>
  <c r="AH237" i="2" s="1"/>
  <c r="R238" i="2"/>
  <c r="AH238" i="2" s="1"/>
  <c r="R239" i="2"/>
  <c r="AH239" i="2" s="1"/>
  <c r="R240" i="2"/>
  <c r="AH240" i="2" s="1"/>
  <c r="R241" i="2"/>
  <c r="AH241" i="2" s="1"/>
  <c r="R242" i="2"/>
  <c r="AH242" i="2" s="1"/>
  <c r="R243" i="2"/>
  <c r="AH243" i="2" s="1"/>
  <c r="R244" i="2"/>
  <c r="AH244" i="2" s="1"/>
  <c r="R245" i="2"/>
  <c r="AH245" i="2" s="1"/>
  <c r="R246" i="2"/>
  <c r="AH246" i="2" s="1"/>
  <c r="R247" i="2"/>
  <c r="AH247" i="2" s="1"/>
  <c r="R249" i="2"/>
  <c r="AH249" i="2" s="1"/>
  <c r="R250" i="2"/>
  <c r="AH250" i="2" s="1"/>
  <c r="R251" i="2"/>
  <c r="AH251" i="2" s="1"/>
  <c r="R252" i="2"/>
  <c r="AH252" i="2" s="1"/>
  <c r="R254" i="2"/>
  <c r="AH254" i="2" s="1"/>
  <c r="R255" i="2"/>
  <c r="AH255" i="2" s="1"/>
  <c r="R256" i="2"/>
  <c r="AH256" i="2" s="1"/>
  <c r="R258" i="2"/>
  <c r="AH258" i="2" s="1"/>
  <c r="R259" i="2"/>
  <c r="AH259" i="2" s="1"/>
  <c r="R260" i="2"/>
  <c r="AH260" i="2" s="1"/>
  <c r="R261" i="2"/>
  <c r="AH261" i="2" s="1"/>
  <c r="R262" i="2"/>
  <c r="AH262" i="2" s="1"/>
  <c r="R263" i="2"/>
  <c r="AH263" i="2" s="1"/>
  <c r="R264" i="2"/>
  <c r="AH264" i="2" s="1"/>
  <c r="R266" i="2"/>
  <c r="AH266" i="2" s="1"/>
  <c r="R267" i="2"/>
  <c r="AH267" i="2" s="1"/>
  <c r="R268" i="2"/>
  <c r="AH268" i="2" s="1"/>
  <c r="R270" i="2"/>
  <c r="AH270" i="2" s="1"/>
  <c r="R271" i="2"/>
  <c r="AH271" i="2" s="1"/>
  <c r="R272" i="2"/>
  <c r="AH272" i="2" s="1"/>
  <c r="R273" i="2"/>
  <c r="AH273" i="2" s="1"/>
  <c r="R274" i="2"/>
  <c r="AH274" i="2" s="1"/>
  <c r="R275" i="2"/>
  <c r="AH275" i="2" s="1"/>
  <c r="R276" i="2"/>
  <c r="AH276" i="2" s="1"/>
  <c r="R277" i="2"/>
  <c r="AH277" i="2" s="1"/>
  <c r="R278" i="2"/>
  <c r="AH278" i="2" s="1"/>
  <c r="R279" i="2"/>
  <c r="AH279" i="2" s="1"/>
  <c r="R280" i="2"/>
  <c r="AH280" i="2" s="1"/>
  <c r="R281" i="2"/>
  <c r="AH281" i="2" s="1"/>
  <c r="R282" i="2"/>
  <c r="AH282" i="2" s="1"/>
  <c r="R283" i="2"/>
  <c r="AH283" i="2" s="1"/>
  <c r="R284" i="2"/>
  <c r="AH284" i="2" s="1"/>
  <c r="R285" i="2"/>
  <c r="AH285" i="2" s="1"/>
  <c r="R286" i="2"/>
  <c r="AH286" i="2" s="1"/>
  <c r="R287" i="2"/>
  <c r="AH287" i="2" s="1"/>
  <c r="R289" i="2"/>
  <c r="AH289" i="2" s="1"/>
  <c r="R290" i="2"/>
  <c r="AH290" i="2" s="1"/>
  <c r="R291" i="2"/>
  <c r="AH291" i="2" s="1"/>
  <c r="R292" i="2"/>
  <c r="AH292" i="2" s="1"/>
  <c r="R293" i="2"/>
  <c r="AH293" i="2" s="1"/>
  <c r="R294" i="2"/>
  <c r="AH294" i="2" s="1"/>
  <c r="R295" i="2"/>
  <c r="AH295" i="2" s="1"/>
  <c r="R296" i="2"/>
  <c r="AH296" i="2" s="1"/>
  <c r="R297" i="2"/>
  <c r="AH297" i="2" s="1"/>
  <c r="R298" i="2"/>
  <c r="AH298" i="2" s="1"/>
  <c r="R299" i="2"/>
  <c r="AH299" i="2" s="1"/>
  <c r="R300" i="2"/>
  <c r="AH300" i="2" s="1"/>
  <c r="R301" i="2"/>
  <c r="AH301" i="2" s="1"/>
  <c r="R302" i="2"/>
  <c r="AH302" i="2" s="1"/>
  <c r="R303" i="2"/>
  <c r="AH303" i="2" s="1"/>
  <c r="R304" i="2"/>
  <c r="AH304" i="2" s="1"/>
  <c r="R306" i="2"/>
  <c r="AH306" i="2" s="1"/>
  <c r="R307" i="2"/>
  <c r="AH307" i="2" s="1"/>
  <c r="R308" i="2"/>
  <c r="AH308" i="2" s="1"/>
  <c r="R309" i="2"/>
  <c r="AH309" i="2" s="1"/>
  <c r="R310" i="2"/>
  <c r="AH310" i="2" s="1"/>
  <c r="R311" i="2"/>
  <c r="AH311" i="2" s="1"/>
  <c r="R312" i="2"/>
  <c r="AH312" i="2" s="1"/>
  <c r="R313" i="2"/>
  <c r="AH313" i="2" s="1"/>
  <c r="R314" i="2"/>
  <c r="AH314" i="2" s="1"/>
  <c r="R315" i="2"/>
  <c r="AH315" i="2" s="1"/>
  <c r="R316" i="2"/>
  <c r="AH316" i="2" s="1"/>
  <c r="R317" i="2"/>
  <c r="AH317" i="2" s="1"/>
  <c r="R318" i="2"/>
  <c r="AH318" i="2" s="1"/>
  <c r="R319" i="2"/>
  <c r="AH319" i="2" s="1"/>
  <c r="R320" i="2"/>
  <c r="AH320" i="2" s="1"/>
  <c r="R321" i="2"/>
  <c r="AH321" i="2" s="1"/>
  <c r="R322" i="2"/>
  <c r="AH322" i="2" s="1"/>
  <c r="R323" i="2"/>
  <c r="AH323" i="2" s="1"/>
  <c r="R324" i="2"/>
  <c r="AH324" i="2" s="1"/>
  <c r="R325" i="2"/>
  <c r="AH325" i="2" s="1"/>
  <c r="R326" i="2"/>
  <c r="AH326" i="2" s="1"/>
  <c r="R327" i="2"/>
  <c r="AH327" i="2" s="1"/>
  <c r="R328" i="2"/>
  <c r="AH328" i="2" s="1"/>
  <c r="R329" i="2"/>
  <c r="AH329" i="2" s="1"/>
  <c r="R330" i="2"/>
  <c r="AH330" i="2" s="1"/>
  <c r="R331" i="2"/>
  <c r="AH331" i="2" s="1"/>
  <c r="R332" i="2"/>
  <c r="AH332" i="2" s="1"/>
  <c r="R333" i="2"/>
  <c r="AH333" i="2" s="1"/>
  <c r="R334" i="2"/>
  <c r="AH334" i="2" s="1"/>
  <c r="R335" i="2"/>
  <c r="AH335" i="2" s="1"/>
  <c r="R336" i="2"/>
  <c r="AH336" i="2" s="1"/>
  <c r="R337" i="2"/>
  <c r="AH337" i="2" s="1"/>
  <c r="R338" i="2"/>
  <c r="AH338" i="2" s="1"/>
  <c r="R339" i="2"/>
  <c r="AH339" i="2" s="1"/>
  <c r="R340" i="2"/>
  <c r="AH340" i="2" s="1"/>
  <c r="R341" i="2"/>
  <c r="AH341" i="2" s="1"/>
  <c r="R342" i="2"/>
  <c r="AH342" i="2" s="1"/>
  <c r="R343" i="2"/>
  <c r="AH343" i="2" s="1"/>
  <c r="R344" i="2"/>
  <c r="AH344" i="2" s="1"/>
  <c r="R345" i="2"/>
  <c r="AH345" i="2" s="1"/>
  <c r="R346" i="2"/>
  <c r="AH346" i="2" s="1"/>
  <c r="R347" i="2"/>
  <c r="AH347" i="2" s="1"/>
  <c r="R348" i="2"/>
  <c r="AH348" i="2" s="1"/>
  <c r="R349" i="2"/>
  <c r="AH349" i="2" s="1"/>
  <c r="AO3" i="2"/>
  <c r="AO4" i="2"/>
  <c r="AO5" i="2"/>
  <c r="AO6" i="2"/>
  <c r="AO15" i="2"/>
  <c r="AO27" i="2"/>
  <c r="AO28" i="2"/>
  <c r="AO29" i="2"/>
  <c r="AO30" i="2"/>
  <c r="AO31" i="2"/>
  <c r="AO32" i="2"/>
  <c r="AO33" i="2"/>
  <c r="AO34" i="2"/>
  <c r="AO35" i="2"/>
  <c r="AO37" i="2"/>
  <c r="AO38" i="2"/>
  <c r="AO39" i="2"/>
  <c r="AO40" i="2"/>
  <c r="AO41" i="2"/>
  <c r="AO42" i="2"/>
  <c r="AO43" i="2"/>
  <c r="AO44" i="2"/>
  <c r="AO45" i="2"/>
  <c r="AO46" i="2"/>
  <c r="AO47" i="2"/>
  <c r="AO48" i="2"/>
  <c r="AO49" i="2"/>
  <c r="AO54" i="2"/>
  <c r="AO55" i="2"/>
  <c r="AO58" i="2"/>
  <c r="AO59" i="2"/>
  <c r="AO68" i="2"/>
  <c r="AO69" i="2"/>
  <c r="AO79" i="2"/>
  <c r="AO82" i="2"/>
  <c r="AO84" i="2"/>
  <c r="AO85" i="2"/>
  <c r="AO91" i="2"/>
  <c r="AO96" i="2"/>
  <c r="AO100" i="2"/>
  <c r="AO102" i="2"/>
  <c r="AO108" i="2"/>
  <c r="AO124" i="2"/>
  <c r="AO130" i="2"/>
  <c r="AO141" i="2"/>
  <c r="AO148" i="2"/>
  <c r="AO152" i="2"/>
  <c r="AO164" i="2"/>
  <c r="AO172" i="2"/>
  <c r="AO183" i="2"/>
  <c r="AO184" i="2"/>
  <c r="AO187" i="2"/>
  <c r="AO188" i="2"/>
  <c r="AO189" i="2"/>
  <c r="AO190" i="2"/>
  <c r="AO191" i="2"/>
  <c r="AO192" i="2"/>
  <c r="AO199" i="2"/>
  <c r="AO201" i="2"/>
  <c r="AO205" i="2"/>
  <c r="AO208" i="2"/>
  <c r="AO211" i="2"/>
  <c r="AO212" i="2"/>
  <c r="AO213" i="2"/>
  <c r="AO215" i="2"/>
  <c r="AO217" i="2"/>
  <c r="AO218" i="2"/>
  <c r="AO220" i="2"/>
  <c r="AO221" i="2"/>
  <c r="AO222" i="2"/>
  <c r="AO223" i="2"/>
  <c r="AO224" i="2"/>
  <c r="AO225" i="2"/>
  <c r="AO226" i="2"/>
  <c r="AO229" i="2"/>
  <c r="AO230" i="2"/>
  <c r="AO232" i="2"/>
  <c r="AO233" i="2"/>
  <c r="AO236" i="2"/>
  <c r="AO238" i="2"/>
  <c r="AO239" i="2"/>
  <c r="AO242" i="2"/>
  <c r="AO243" i="2"/>
  <c r="AO245" i="2"/>
  <c r="AO246" i="2"/>
  <c r="AO247" i="2"/>
  <c r="AO249" i="2"/>
  <c r="AO250" i="2"/>
  <c r="AO251" i="2"/>
  <c r="AO252" i="2"/>
  <c r="AO254" i="2"/>
  <c r="AO255" i="2"/>
  <c r="AO256" i="2"/>
  <c r="AO258" i="2"/>
  <c r="AO259" i="2"/>
  <c r="AO260" i="2"/>
  <c r="AO261" i="2"/>
  <c r="AO262" i="2"/>
  <c r="AO263" i="2"/>
  <c r="AO264" i="2"/>
  <c r="AO266" i="2"/>
  <c r="AO267" i="2"/>
  <c r="AO268" i="2"/>
  <c r="AO270" i="2"/>
  <c r="AO271" i="2"/>
  <c r="AO272" i="2"/>
  <c r="AO273" i="2"/>
  <c r="AO274" i="2"/>
  <c r="AO275" i="2"/>
  <c r="AO276" i="2"/>
  <c r="AO277" i="2"/>
  <c r="AO278" i="2"/>
  <c r="AO279" i="2"/>
  <c r="AO280" i="2"/>
  <c r="AO281" i="2"/>
  <c r="AO282" i="2"/>
  <c r="AO283" i="2"/>
  <c r="AO284" i="2"/>
  <c r="AO285" i="2"/>
  <c r="AO286" i="2"/>
  <c r="AO287" i="2"/>
  <c r="AO289" i="2"/>
  <c r="AO290" i="2"/>
  <c r="AO291" i="2"/>
  <c r="AO292" i="2"/>
  <c r="AO293" i="2"/>
  <c r="AO294" i="2"/>
  <c r="AO295" i="2"/>
  <c r="AO296" i="2"/>
  <c r="AO297" i="2"/>
  <c r="AO298" i="2"/>
  <c r="AO299" i="2"/>
  <c r="AO300" i="2"/>
  <c r="AO301" i="2"/>
  <c r="AO302" i="2"/>
  <c r="AO303" i="2"/>
  <c r="AO304"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BD350" i="16" l="1"/>
  <c r="AV350" i="2"/>
  <c r="AJ3" i="2"/>
  <c r="AJ4" i="2"/>
  <c r="AJ5" i="2"/>
  <c r="AJ6" i="2"/>
  <c r="AJ7" i="2"/>
  <c r="AJ8" i="2"/>
  <c r="AJ175" i="2"/>
  <c r="AJ11"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7" i="2"/>
  <c r="AJ68" i="2"/>
  <c r="AJ69" i="2"/>
  <c r="AJ71" i="2"/>
  <c r="AJ72" i="2"/>
  <c r="AJ73" i="2"/>
  <c r="AJ75" i="2"/>
  <c r="AJ76" i="2"/>
  <c r="AJ77" i="2"/>
  <c r="AJ78" i="2"/>
  <c r="AJ79" i="2"/>
  <c r="AJ80" i="2"/>
  <c r="AJ176" i="2"/>
  <c r="AJ82" i="2"/>
  <c r="AJ12" i="2"/>
  <c r="AJ84" i="2"/>
  <c r="AJ85" i="2"/>
  <c r="AJ13" i="2"/>
  <c r="AJ14" i="2"/>
  <c r="AJ81" i="2"/>
  <c r="AJ203" i="2"/>
  <c r="AJ204" i="2"/>
  <c r="AJ91" i="2"/>
  <c r="AJ93" i="2"/>
  <c r="AJ94" i="2"/>
  <c r="AJ95" i="2"/>
  <c r="AJ96" i="2"/>
  <c r="AJ97" i="2"/>
  <c r="AJ98" i="2"/>
  <c r="AJ99" i="2"/>
  <c r="AJ100" i="2"/>
  <c r="AJ101" i="2"/>
  <c r="AJ102" i="2"/>
  <c r="AJ103" i="2"/>
  <c r="AJ104" i="2"/>
  <c r="AJ105" i="2"/>
  <c r="AJ108" i="2"/>
  <c r="AJ113" i="2"/>
  <c r="AJ116" i="2"/>
  <c r="AJ117" i="2"/>
  <c r="AJ118" i="2"/>
  <c r="AJ119" i="2"/>
  <c r="AJ124" i="2"/>
  <c r="AJ129" i="2"/>
  <c r="AJ130" i="2"/>
  <c r="AJ131" i="2"/>
  <c r="AJ121" i="2"/>
  <c r="AJ122" i="2"/>
  <c r="AJ123" i="2"/>
  <c r="AJ125" i="2"/>
  <c r="AJ128" i="2"/>
  <c r="AJ133" i="2"/>
  <c r="AJ141" i="2"/>
  <c r="AJ134" i="2"/>
  <c r="AJ135" i="2"/>
  <c r="AJ136" i="2"/>
  <c r="AJ137" i="2"/>
  <c r="AJ147" i="2"/>
  <c r="AJ148" i="2"/>
  <c r="AJ149" i="2"/>
  <c r="AJ152" i="2"/>
  <c r="AJ153" i="2"/>
  <c r="AJ139" i="2"/>
  <c r="AJ155" i="2"/>
  <c r="AJ157" i="2"/>
  <c r="AJ158" i="2"/>
  <c r="AJ159" i="2"/>
  <c r="AJ160" i="2"/>
  <c r="AJ142" i="2"/>
  <c r="AJ162" i="2"/>
  <c r="AJ163" i="2"/>
  <c r="AJ164" i="2"/>
  <c r="AJ165" i="2"/>
  <c r="AJ166" i="2"/>
  <c r="AJ144" i="2"/>
  <c r="AJ145" i="2"/>
  <c r="AJ170" i="2"/>
  <c r="AJ171" i="2"/>
  <c r="AJ172" i="2"/>
  <c r="AJ173" i="2"/>
  <c r="AJ177" i="2"/>
  <c r="AJ178" i="2"/>
  <c r="AJ179" i="2"/>
  <c r="AJ181" i="2"/>
  <c r="AJ182" i="2"/>
  <c r="AJ183" i="2"/>
  <c r="AJ184" i="2"/>
  <c r="AJ185" i="2"/>
  <c r="AJ186" i="2"/>
  <c r="AJ187" i="2"/>
  <c r="AJ188" i="2"/>
  <c r="AJ189" i="2"/>
  <c r="AJ190" i="2"/>
  <c r="AJ191" i="2"/>
  <c r="AJ192" i="2"/>
  <c r="AJ193" i="2"/>
  <c r="AJ194" i="2"/>
  <c r="AJ195" i="2"/>
  <c r="AJ196" i="2"/>
  <c r="AJ197" i="2"/>
  <c r="AJ198" i="2"/>
  <c r="AJ199" i="2"/>
  <c r="AJ200" i="2"/>
  <c r="AJ201" i="2"/>
  <c r="AJ202" i="2"/>
  <c r="AJ205" i="2"/>
  <c r="AJ167" i="2"/>
  <c r="AJ168"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N8" i="8"/>
  <c r="J21" i="8"/>
  <c r="AP3" i="2"/>
  <c r="AP4" i="2"/>
  <c r="AP5" i="2"/>
  <c r="AP6" i="2"/>
  <c r="AP8" i="2"/>
  <c r="AP169" i="2"/>
  <c r="AP174" i="2"/>
  <c r="AP175" i="2"/>
  <c r="AP9" i="2"/>
  <c r="AP10" i="2"/>
  <c r="AP11" i="2"/>
  <c r="AP15"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2" i="2"/>
  <c r="AP84" i="2"/>
  <c r="AP85" i="2"/>
  <c r="AP13" i="2"/>
  <c r="AP14" i="2"/>
  <c r="AP91" i="2"/>
  <c r="AP96" i="2"/>
  <c r="AP100" i="2"/>
  <c r="AP102" i="2"/>
  <c r="AP83" i="2"/>
  <c r="AP86" i="2"/>
  <c r="AP108" i="2"/>
  <c r="AP87" i="2"/>
  <c r="AP88" i="2"/>
  <c r="AP89" i="2"/>
  <c r="AP116" i="2"/>
  <c r="AP117" i="2"/>
  <c r="AP118" i="2"/>
  <c r="AP119" i="2"/>
  <c r="AP120" i="2"/>
  <c r="AP206" i="2"/>
  <c r="AP90" i="2"/>
  <c r="AP106" i="2"/>
  <c r="AP124" i="2"/>
  <c r="AP107" i="2"/>
  <c r="AP109" i="2"/>
  <c r="AP110" i="2"/>
  <c r="AP111" i="2"/>
  <c r="AP129" i="2"/>
  <c r="AP130" i="2"/>
  <c r="AP131" i="2"/>
  <c r="AP132" i="2"/>
  <c r="AP141" i="2"/>
  <c r="AP147" i="2"/>
  <c r="AP148" i="2"/>
  <c r="AP149" i="2"/>
  <c r="AP150" i="2"/>
  <c r="AP207" i="2"/>
  <c r="AP152" i="2"/>
  <c r="AP140" i="2"/>
  <c r="AP157" i="2"/>
  <c r="AP158" i="2"/>
  <c r="AP159" i="2"/>
  <c r="AP160" i="2"/>
  <c r="AP142" i="2"/>
  <c r="AP164" i="2"/>
  <c r="AP144" i="2"/>
  <c r="AP145" i="2"/>
  <c r="AP172" i="2"/>
  <c r="AP183" i="2"/>
  <c r="AP184" i="2"/>
  <c r="AP187" i="2"/>
  <c r="AP188" i="2"/>
  <c r="AP189" i="2"/>
  <c r="AP190" i="2"/>
  <c r="AP191" i="2"/>
  <c r="AP192" i="2"/>
  <c r="AP199" i="2"/>
  <c r="AP201" i="2"/>
  <c r="AP205" i="2"/>
  <c r="AP208" i="2"/>
  <c r="AP209" i="2"/>
  <c r="AP210" i="2"/>
  <c r="AP211" i="2"/>
  <c r="AP212" i="2"/>
  <c r="AP213" i="2"/>
  <c r="AP214" i="2"/>
  <c r="AP215" i="2"/>
  <c r="AP217" i="2"/>
  <c r="AP218" i="2"/>
  <c r="AP220" i="2"/>
  <c r="AP221" i="2"/>
  <c r="AP222" i="2"/>
  <c r="AP223" i="2"/>
  <c r="AP224" i="2"/>
  <c r="AP225" i="2"/>
  <c r="AP226" i="2"/>
  <c r="AP229" i="2"/>
  <c r="AP230" i="2"/>
  <c r="AP231" i="2"/>
  <c r="AP232" i="2"/>
  <c r="AP233" i="2"/>
  <c r="AP234" i="2"/>
  <c r="AP235" i="2"/>
  <c r="AP236" i="2"/>
  <c r="AP237" i="2"/>
  <c r="AP238" i="2"/>
  <c r="AP239" i="2"/>
  <c r="AP240" i="2"/>
  <c r="AP241" i="2"/>
  <c r="AP242" i="2"/>
  <c r="AP243" i="2"/>
  <c r="AP244" i="2"/>
  <c r="AP245" i="2"/>
  <c r="AP246" i="2"/>
  <c r="AP247"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P313" i="2"/>
  <c r="AP314" i="2"/>
  <c r="AP315" i="2"/>
  <c r="AP316" i="2"/>
  <c r="AP317" i="2"/>
  <c r="AP318" i="2"/>
  <c r="AP319" i="2"/>
  <c r="AP320" i="2"/>
  <c r="AP321" i="2"/>
  <c r="AP322" i="2"/>
  <c r="AP323" i="2"/>
  <c r="AP324" i="2"/>
  <c r="AP325" i="2"/>
  <c r="AP326" i="2"/>
  <c r="AP327" i="2"/>
  <c r="AP328" i="2"/>
  <c r="AP329" i="2"/>
  <c r="AP330" i="2"/>
  <c r="AP331" i="2"/>
  <c r="AP332" i="2"/>
  <c r="AP333" i="2"/>
  <c r="AP334" i="2"/>
  <c r="AP335" i="2"/>
  <c r="AP336" i="2"/>
  <c r="AP337" i="2"/>
  <c r="AP338" i="2"/>
  <c r="AP339" i="2"/>
  <c r="AP340" i="2"/>
  <c r="AP341" i="2"/>
  <c r="AP342" i="2"/>
  <c r="AP343" i="2"/>
  <c r="AP344" i="2"/>
  <c r="AP345" i="2"/>
  <c r="AP346" i="2"/>
  <c r="AP347" i="2"/>
  <c r="AP348" i="2"/>
  <c r="AP349" i="2"/>
  <c r="AS3" i="2"/>
  <c r="AS4" i="2"/>
  <c r="AS5" i="2"/>
  <c r="AS6" i="2"/>
  <c r="AS7" i="2"/>
  <c r="AT7" i="2" s="1"/>
  <c r="AS8" i="2"/>
  <c r="AS169" i="2"/>
  <c r="AS174" i="2"/>
  <c r="AS175" i="2"/>
  <c r="AS9" i="2"/>
  <c r="AS10" i="2"/>
  <c r="AS11"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176" i="2"/>
  <c r="AS82" i="2"/>
  <c r="AS12" i="2"/>
  <c r="AS84" i="2"/>
  <c r="AS85" i="2"/>
  <c r="AS13" i="2"/>
  <c r="AS14" i="2"/>
  <c r="AS81" i="2"/>
  <c r="AS203" i="2"/>
  <c r="AS204" i="2"/>
  <c r="AS91" i="2"/>
  <c r="AS92" i="2"/>
  <c r="AS93" i="2"/>
  <c r="AS94" i="2"/>
  <c r="AS95" i="2"/>
  <c r="AS96" i="2"/>
  <c r="AS97" i="2"/>
  <c r="AS98" i="2"/>
  <c r="AS99" i="2"/>
  <c r="AS100" i="2"/>
  <c r="AS101" i="2"/>
  <c r="AS102" i="2"/>
  <c r="AS103" i="2"/>
  <c r="AS104" i="2"/>
  <c r="AS105" i="2"/>
  <c r="AS83" i="2"/>
  <c r="AS86" i="2"/>
  <c r="AS108" i="2"/>
  <c r="AS87" i="2"/>
  <c r="AS88" i="2"/>
  <c r="AS89" i="2"/>
  <c r="AS112" i="2"/>
  <c r="AS113" i="2"/>
  <c r="AS114" i="2"/>
  <c r="AS115" i="2"/>
  <c r="AS116" i="2"/>
  <c r="AS117" i="2"/>
  <c r="AS118" i="2"/>
  <c r="AS119" i="2"/>
  <c r="AS120" i="2"/>
  <c r="AS206" i="2"/>
  <c r="AS90" i="2"/>
  <c r="AS106" i="2"/>
  <c r="AS124" i="2"/>
  <c r="AS107" i="2"/>
  <c r="AS109" i="2"/>
  <c r="AS110" i="2"/>
  <c r="AS111" i="2"/>
  <c r="AS129" i="2"/>
  <c r="AS130" i="2"/>
  <c r="AS131" i="2"/>
  <c r="AS132" i="2"/>
  <c r="AS121" i="2"/>
  <c r="AS122" i="2"/>
  <c r="AS123" i="2"/>
  <c r="AS125" i="2"/>
  <c r="AS126" i="2"/>
  <c r="AS127" i="2"/>
  <c r="AS128" i="2"/>
  <c r="AS133" i="2"/>
  <c r="AS141" i="2"/>
  <c r="AS134" i="2"/>
  <c r="AS135" i="2"/>
  <c r="AS136" i="2"/>
  <c r="AS137" i="2"/>
  <c r="AS138" i="2"/>
  <c r="AS147" i="2"/>
  <c r="AS148" i="2"/>
  <c r="AS149" i="2"/>
  <c r="AS150" i="2"/>
  <c r="AS207" i="2"/>
  <c r="AS152" i="2"/>
  <c r="AS153" i="2"/>
  <c r="AS139" i="2"/>
  <c r="AS155" i="2"/>
  <c r="AS140" i="2"/>
  <c r="AS157" i="2"/>
  <c r="AS158" i="2"/>
  <c r="AS159" i="2"/>
  <c r="AS160" i="2"/>
  <c r="AS142" i="2"/>
  <c r="AS162" i="2"/>
  <c r="AS163" i="2"/>
  <c r="AS164" i="2"/>
  <c r="AS165" i="2"/>
  <c r="AS166" i="2"/>
  <c r="AS143" i="2"/>
  <c r="AS144" i="2"/>
  <c r="AS145" i="2"/>
  <c r="AS170" i="2"/>
  <c r="AS171" i="2"/>
  <c r="AS172" i="2"/>
  <c r="AS173" i="2"/>
  <c r="AS146" i="2"/>
  <c r="AS151" i="2"/>
  <c r="AS154"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156" i="2"/>
  <c r="AS161" i="2"/>
  <c r="AS205" i="2"/>
  <c r="AS167" i="2"/>
  <c r="AS168"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2" i="2"/>
  <c r="AS233" i="2"/>
  <c r="AS236" i="2"/>
  <c r="AS238" i="2"/>
  <c r="AS239" i="2"/>
  <c r="AS242" i="2"/>
  <c r="AS243"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S313" i="2"/>
  <c r="AS314" i="2"/>
  <c r="AS315" i="2"/>
  <c r="AS316" i="2"/>
  <c r="AS317" i="2"/>
  <c r="AS318" i="2"/>
  <c r="AS319" i="2"/>
  <c r="AS320" i="2"/>
  <c r="AS321" i="2"/>
  <c r="AS322" i="2"/>
  <c r="AS323" i="2"/>
  <c r="AS324" i="2"/>
  <c r="AS325" i="2"/>
  <c r="AS326" i="2"/>
  <c r="AS327" i="2"/>
  <c r="AS328" i="2"/>
  <c r="AS329" i="2"/>
  <c r="AS330" i="2"/>
  <c r="AS331" i="2"/>
  <c r="AS332" i="2"/>
  <c r="AS333" i="2"/>
  <c r="AS334" i="2"/>
  <c r="AS335" i="2"/>
  <c r="AS336" i="2"/>
  <c r="AS337" i="2"/>
  <c r="AS338" i="2"/>
  <c r="AS339" i="2"/>
  <c r="AS340" i="2"/>
  <c r="AS341" i="2"/>
  <c r="AS342" i="2"/>
  <c r="AS343" i="2"/>
  <c r="AS344" i="2"/>
  <c r="AS345" i="2"/>
  <c r="AS346" i="2"/>
  <c r="AS347" i="2"/>
  <c r="AS348" i="2"/>
  <c r="AS349" i="2"/>
  <c r="AQ70" i="2"/>
  <c r="AQ288" i="2"/>
  <c r="AQ244" i="2"/>
  <c r="AQ154" i="2"/>
  <c r="AQ132" i="2"/>
  <c r="AQ120" i="2"/>
  <c r="AQ115" i="2"/>
  <c r="AQ67" i="2"/>
  <c r="AQ66" i="2"/>
  <c r="AQ175" i="2"/>
  <c r="AQ265" i="2"/>
  <c r="AQ253" i="2"/>
  <c r="AQ241" i="2"/>
  <c r="AQ240" i="2"/>
  <c r="AQ237" i="2"/>
  <c r="AQ235" i="2"/>
  <c r="AQ227" i="2"/>
  <c r="AQ219" i="2"/>
  <c r="AQ216" i="2"/>
  <c r="AQ214" i="2"/>
  <c r="AQ209" i="2"/>
  <c r="AQ202" i="2"/>
  <c r="AQ200" i="2"/>
  <c r="AQ198" i="2"/>
  <c r="AQ197" i="2"/>
  <c r="AQ196" i="2"/>
  <c r="AQ195" i="2"/>
  <c r="AQ194" i="2"/>
  <c r="AQ193" i="2"/>
  <c r="AQ186" i="2"/>
  <c r="AQ185" i="2"/>
  <c r="AQ182" i="2"/>
  <c r="AQ181" i="2"/>
  <c r="AQ173" i="2"/>
  <c r="AQ171" i="2"/>
  <c r="AQ145" i="2"/>
  <c r="AQ144" i="2"/>
  <c r="AQ166" i="2"/>
  <c r="AQ165" i="2"/>
  <c r="AQ160" i="2"/>
  <c r="AQ159" i="2"/>
  <c r="AQ139" i="2"/>
  <c r="AQ137" i="2"/>
  <c r="AQ136" i="2"/>
  <c r="AQ135" i="2"/>
  <c r="AQ134" i="2"/>
  <c r="AQ133" i="2"/>
  <c r="AQ128" i="2"/>
  <c r="AQ121" i="2"/>
  <c r="AQ119" i="2"/>
  <c r="AQ118" i="2"/>
  <c r="AQ113" i="2"/>
  <c r="AQ101" i="2"/>
  <c r="AQ97" i="2"/>
  <c r="AQ95" i="2"/>
  <c r="AQ204" i="2"/>
  <c r="AQ203" i="2"/>
  <c r="AQ13" i="2"/>
  <c r="AQ12" i="2"/>
  <c r="AQ80" i="2"/>
  <c r="AQ78" i="2"/>
  <c r="AQ77" i="2"/>
  <c r="AQ76" i="2"/>
  <c r="AQ75" i="2"/>
  <c r="AQ65" i="2"/>
  <c r="AQ64" i="2"/>
  <c r="AQ63" i="2"/>
  <c r="AQ62" i="2"/>
  <c r="AQ61" i="2"/>
  <c r="AQ20" i="2"/>
  <c r="AQ19" i="2"/>
  <c r="AQ18" i="2"/>
  <c r="AQ17" i="2"/>
  <c r="AQ16" i="2"/>
  <c r="AQ11" i="2"/>
  <c r="AQ8" i="2"/>
  <c r="AQ161" i="2"/>
  <c r="AQ151" i="2"/>
  <c r="AQ150" i="2"/>
  <c r="AQ127" i="2"/>
  <c r="AQ126" i="2"/>
  <c r="AQ111" i="2"/>
  <c r="AQ110" i="2"/>
  <c r="AQ109" i="2"/>
  <c r="AQ114" i="2"/>
  <c r="AQ112" i="2"/>
  <c r="AQ83" i="2"/>
  <c r="AQ105" i="2"/>
  <c r="AQ10" i="2"/>
  <c r="AQ174" i="2"/>
  <c r="AQ248" i="2"/>
  <c r="AQ140" i="2"/>
  <c r="AQ87" i="2"/>
  <c r="AQ86" i="2"/>
  <c r="AQ107" i="2"/>
  <c r="AQ106" i="2"/>
  <c r="AQ89" i="2"/>
  <c r="AQ9" i="2"/>
  <c r="AQ156" i="2"/>
  <c r="AQ146" i="2"/>
  <c r="AQ138" i="2"/>
  <c r="AQ90" i="2"/>
  <c r="AQ88" i="2"/>
  <c r="AQ180" i="2"/>
  <c r="AQ143" i="2"/>
  <c r="AQ163" i="2"/>
  <c r="AQ162" i="2"/>
  <c r="AQ125" i="2"/>
  <c r="AQ123" i="2"/>
  <c r="AQ206" i="2"/>
  <c r="AQ92" i="2"/>
  <c r="AQ74" i="2"/>
  <c r="AQ169" i="2"/>
  <c r="AQ305" i="2"/>
  <c r="AQ269" i="2"/>
  <c r="AQ257" i="2"/>
  <c r="AQ234" i="2"/>
  <c r="AQ231" i="2"/>
  <c r="AQ228" i="2"/>
  <c r="AQ210" i="2"/>
  <c r="AQ168" i="2"/>
  <c r="AQ167" i="2"/>
  <c r="AQ179" i="2"/>
  <c r="AQ178" i="2"/>
  <c r="AQ177" i="2"/>
  <c r="AQ170" i="2"/>
  <c r="AQ142" i="2"/>
  <c r="AQ158" i="2"/>
  <c r="AQ157" i="2"/>
  <c r="AQ155" i="2"/>
  <c r="AQ153" i="2"/>
  <c r="AQ149" i="2"/>
  <c r="AQ147" i="2"/>
  <c r="AQ122" i="2"/>
  <c r="AQ131" i="2"/>
  <c r="AQ129" i="2"/>
  <c r="AQ117" i="2"/>
  <c r="AQ116" i="2"/>
  <c r="AQ104" i="2"/>
  <c r="AQ103" i="2"/>
  <c r="AQ99" i="2"/>
  <c r="AQ98" i="2"/>
  <c r="AQ94" i="2"/>
  <c r="AQ93" i="2"/>
  <c r="AQ81" i="2"/>
  <c r="AQ14" i="2"/>
  <c r="AQ176" i="2"/>
  <c r="AQ73" i="2"/>
  <c r="AQ72" i="2"/>
  <c r="AQ71" i="2"/>
  <c r="AQ60" i="2"/>
  <c r="AQ57" i="2"/>
  <c r="AQ56" i="2"/>
  <c r="AQ53" i="2"/>
  <c r="AQ52" i="2"/>
  <c r="AQ51" i="2"/>
  <c r="AQ50" i="2"/>
  <c r="AQ36" i="2"/>
  <c r="AQ26" i="2"/>
  <c r="AQ25" i="2"/>
  <c r="AQ24" i="2"/>
  <c r="AQ23" i="2"/>
  <c r="AQ22" i="2"/>
  <c r="AQ21" i="2"/>
  <c r="AQ207" i="2"/>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N245" i="3"/>
  <c r="O245" i="3" s="1" a="1"/>
  <c r="O245" i="3" s="1"/>
  <c r="N244" i="3"/>
  <c r="O244" i="3" s="1" a="1"/>
  <c r="O244" i="3" s="1"/>
  <c r="N243" i="3"/>
  <c r="O243" i="3" s="1" a="1"/>
  <c r="O243" i="3" s="1"/>
  <c r="N242" i="3"/>
  <c r="O242" i="3" s="1" a="1"/>
  <c r="O242" i="3" s="1"/>
  <c r="N241" i="3"/>
  <c r="O241" i="3" s="1" a="1"/>
  <c r="O241" i="3" s="1"/>
  <c r="N240" i="3"/>
  <c r="O240" i="3" s="1" a="1"/>
  <c r="O240" i="3" s="1"/>
  <c r="N239" i="3"/>
  <c r="O239" i="3" s="1" a="1"/>
  <c r="O239" i="3" s="1"/>
  <c r="N238" i="3"/>
  <c r="O238" i="3" s="1" a="1"/>
  <c r="O238" i="3" s="1"/>
  <c r="N237" i="3"/>
  <c r="O237" i="3" s="1" a="1"/>
  <c r="O237" i="3" s="1"/>
  <c r="N236" i="3"/>
  <c r="O236" i="3" s="1" a="1"/>
  <c r="O236" i="3" s="1"/>
  <c r="N235" i="3"/>
  <c r="O235" i="3" s="1" a="1"/>
  <c r="O235" i="3" s="1"/>
  <c r="N234" i="3"/>
  <c r="O234" i="3" s="1" a="1"/>
  <c r="O234" i="3" s="1"/>
  <c r="N233" i="3"/>
  <c r="O233" i="3" s="1" a="1"/>
  <c r="O233" i="3" s="1"/>
  <c r="N232" i="3"/>
  <c r="O232" i="3" s="1" a="1"/>
  <c r="O232" i="3" s="1"/>
  <c r="N231" i="3"/>
  <c r="O231" i="3" s="1" a="1"/>
  <c r="O231" i="3" s="1"/>
  <c r="N230" i="3"/>
  <c r="O230" i="3" s="1" a="1"/>
  <c r="O230" i="3" s="1"/>
  <c r="N229" i="3"/>
  <c r="O229" i="3" s="1" a="1"/>
  <c r="O229" i="3" s="1"/>
  <c r="N228" i="3"/>
  <c r="O228" i="3" s="1" a="1"/>
  <c r="O228" i="3" s="1"/>
  <c r="N227" i="3"/>
  <c r="O227" i="3" s="1" a="1"/>
  <c r="O227" i="3" s="1"/>
  <c r="N226" i="3"/>
  <c r="O226" i="3" s="1" a="1"/>
  <c r="O226" i="3" s="1"/>
  <c r="N225" i="3"/>
  <c r="O225" i="3" s="1" a="1"/>
  <c r="O225" i="3" s="1"/>
  <c r="N224" i="3"/>
  <c r="O224" i="3" s="1" a="1"/>
  <c r="O224" i="3" s="1"/>
  <c r="N223" i="3"/>
  <c r="O223" i="3" s="1" a="1"/>
  <c r="O223" i="3" s="1"/>
  <c r="N222" i="3"/>
  <c r="O222" i="3" s="1" a="1"/>
  <c r="O222" i="3" s="1"/>
  <c r="N221" i="3"/>
  <c r="O221" i="3" s="1" a="1"/>
  <c r="O221" i="3" s="1"/>
  <c r="N220" i="3"/>
  <c r="O220" i="3" s="1" a="1"/>
  <c r="O220" i="3" s="1"/>
  <c r="N219" i="3"/>
  <c r="O219" i="3" s="1" a="1"/>
  <c r="O219" i="3" s="1"/>
  <c r="N218" i="3"/>
  <c r="O218" i="3" s="1" a="1"/>
  <c r="O218" i="3" s="1"/>
  <c r="N217" i="3"/>
  <c r="O217" i="3" s="1" a="1"/>
  <c r="O217" i="3" s="1"/>
  <c r="N216" i="3"/>
  <c r="O216" i="3" s="1" a="1"/>
  <c r="O216" i="3" s="1"/>
  <c r="N215" i="3"/>
  <c r="O215" i="3" s="1" a="1"/>
  <c r="O215" i="3" s="1"/>
  <c r="N214" i="3"/>
  <c r="O214" i="3" s="1" a="1"/>
  <c r="O214" i="3" s="1"/>
  <c r="N213" i="3"/>
  <c r="O213" i="3" s="1" a="1"/>
  <c r="O213" i="3" s="1"/>
  <c r="N212" i="3"/>
  <c r="O212" i="3" s="1" a="1"/>
  <c r="O212" i="3" s="1"/>
  <c r="N211" i="3"/>
  <c r="O211" i="3" s="1" a="1"/>
  <c r="O211" i="3" s="1"/>
  <c r="N210" i="3"/>
  <c r="O210" i="3" s="1" a="1"/>
  <c r="O210" i="3" s="1"/>
  <c r="N209" i="3"/>
  <c r="O209" i="3" s="1" a="1"/>
  <c r="O209" i="3" s="1"/>
  <c r="N208" i="3"/>
  <c r="O208" i="3" s="1" a="1"/>
  <c r="O208" i="3" s="1"/>
  <c r="N207" i="3"/>
  <c r="O207" i="3" s="1" a="1"/>
  <c r="O207" i="3" s="1"/>
  <c r="N206" i="3"/>
  <c r="O206" i="3" s="1" a="1"/>
  <c r="O206" i="3" s="1"/>
  <c r="N205" i="3"/>
  <c r="O205" i="3" s="1" a="1"/>
  <c r="O205" i="3" s="1"/>
  <c r="N204" i="3"/>
  <c r="O204" i="3" s="1" a="1"/>
  <c r="O204" i="3" s="1"/>
  <c r="N203" i="3"/>
  <c r="O203" i="3" s="1" a="1"/>
  <c r="O203" i="3" s="1"/>
  <c r="N202" i="3"/>
  <c r="O202" i="3" s="1" a="1"/>
  <c r="O202" i="3" s="1"/>
  <c r="N201" i="3"/>
  <c r="O201" i="3" s="1" a="1"/>
  <c r="O201" i="3" s="1"/>
  <c r="N200" i="3"/>
  <c r="O200" i="3" s="1" a="1"/>
  <c r="O200" i="3" s="1"/>
  <c r="N199" i="3"/>
  <c r="O199" i="3" s="1" a="1"/>
  <c r="O199" i="3" s="1"/>
  <c r="N198" i="3"/>
  <c r="O198" i="3" s="1" a="1"/>
  <c r="O198" i="3" s="1"/>
  <c r="N197" i="3"/>
  <c r="O197" i="3" s="1" a="1"/>
  <c r="O197" i="3" s="1"/>
  <c r="N196" i="3"/>
  <c r="O196" i="3" s="1" a="1"/>
  <c r="O196" i="3" s="1"/>
  <c r="N195" i="3"/>
  <c r="O195" i="3" s="1" a="1"/>
  <c r="O195" i="3" s="1"/>
  <c r="N194" i="3"/>
  <c r="O194" i="3" s="1" a="1"/>
  <c r="O194" i="3" s="1"/>
  <c r="N193" i="3"/>
  <c r="O193" i="3" s="1" a="1"/>
  <c r="O193" i="3" s="1"/>
  <c r="N192" i="3"/>
  <c r="O192" i="3" s="1" a="1"/>
  <c r="O192" i="3" s="1"/>
  <c r="N191" i="3"/>
  <c r="O191" i="3" s="1" a="1"/>
  <c r="O191" i="3" s="1"/>
  <c r="N190" i="3"/>
  <c r="O190" i="3" s="1" a="1"/>
  <c r="O190" i="3" s="1"/>
  <c r="N189" i="3"/>
  <c r="O189" i="3" s="1" a="1"/>
  <c r="O189" i="3" s="1"/>
  <c r="N188" i="3"/>
  <c r="O188" i="3" s="1" a="1"/>
  <c r="O188" i="3" s="1"/>
  <c r="N187" i="3"/>
  <c r="O187" i="3" s="1" a="1"/>
  <c r="O187" i="3" s="1"/>
  <c r="N186" i="3"/>
  <c r="O186" i="3" s="1" a="1"/>
  <c r="O186" i="3" s="1"/>
  <c r="N185" i="3"/>
  <c r="O185" i="3" s="1" a="1"/>
  <c r="O185" i="3" s="1"/>
  <c r="N184" i="3"/>
  <c r="O184" i="3" s="1" a="1"/>
  <c r="O184" i="3" s="1"/>
  <c r="N183" i="3"/>
  <c r="O183" i="3" s="1" a="1"/>
  <c r="O183" i="3" s="1"/>
  <c r="N182" i="3"/>
  <c r="O182" i="3" s="1" a="1"/>
  <c r="O182" i="3" s="1"/>
  <c r="N181" i="3"/>
  <c r="O181" i="3" s="1" a="1"/>
  <c r="O181" i="3" s="1"/>
  <c r="N180" i="3"/>
  <c r="O180" i="3" s="1" a="1"/>
  <c r="O180" i="3" s="1"/>
  <c r="N179" i="3"/>
  <c r="O179" i="3" s="1" a="1"/>
  <c r="O179" i="3" s="1"/>
  <c r="N178" i="3"/>
  <c r="O178" i="3" s="1" a="1"/>
  <c r="O178" i="3" s="1"/>
  <c r="N177" i="3"/>
  <c r="O177" i="3" s="1" a="1"/>
  <c r="O177" i="3" s="1"/>
  <c r="N176" i="3"/>
  <c r="O176" i="3" s="1" a="1"/>
  <c r="O176" i="3" s="1"/>
  <c r="N175" i="3"/>
  <c r="O175" i="3" s="1" a="1"/>
  <c r="O175" i="3" s="1"/>
  <c r="N174" i="3"/>
  <c r="O174" i="3" s="1" a="1"/>
  <c r="O174" i="3" s="1"/>
  <c r="N173" i="3"/>
  <c r="O173" i="3" s="1" a="1"/>
  <c r="O173" i="3" s="1"/>
  <c r="N172" i="3"/>
  <c r="O172" i="3" s="1" a="1"/>
  <c r="O172" i="3" s="1"/>
  <c r="N171" i="3"/>
  <c r="O171" i="3" s="1" a="1"/>
  <c r="O171" i="3" s="1"/>
  <c r="N170" i="3"/>
  <c r="O170" i="3" s="1" a="1"/>
  <c r="O170" i="3" s="1"/>
  <c r="N169" i="3"/>
  <c r="O169" i="3" s="1" a="1"/>
  <c r="O169" i="3" s="1"/>
  <c r="N168" i="3"/>
  <c r="O168" i="3" s="1" a="1"/>
  <c r="O168" i="3" s="1"/>
  <c r="N167" i="3"/>
  <c r="O167" i="3" s="1" a="1"/>
  <c r="O167" i="3" s="1"/>
  <c r="N166" i="3"/>
  <c r="O166" i="3" s="1" a="1"/>
  <c r="O166" i="3" s="1"/>
  <c r="N165" i="3"/>
  <c r="O165" i="3" s="1" a="1"/>
  <c r="O165" i="3" s="1"/>
  <c r="N164" i="3"/>
  <c r="O164" i="3" s="1" a="1"/>
  <c r="O164" i="3" s="1"/>
  <c r="N163" i="3"/>
  <c r="O163" i="3" s="1" a="1"/>
  <c r="O163" i="3" s="1"/>
  <c r="N162" i="3"/>
  <c r="O162" i="3" s="1" a="1"/>
  <c r="O162" i="3" s="1"/>
  <c r="N161" i="3"/>
  <c r="O161" i="3" s="1" a="1"/>
  <c r="O161" i="3" s="1"/>
  <c r="N160" i="3"/>
  <c r="O160" i="3" s="1" a="1"/>
  <c r="O160" i="3" s="1"/>
  <c r="N159" i="3"/>
  <c r="O159" i="3" s="1" a="1"/>
  <c r="O159" i="3" s="1"/>
  <c r="N158" i="3"/>
  <c r="O158" i="3" s="1" a="1"/>
  <c r="O158" i="3" s="1"/>
  <c r="N157" i="3"/>
  <c r="O157" i="3" s="1" a="1"/>
  <c r="O157" i="3" s="1"/>
  <c r="N156" i="3"/>
  <c r="O156" i="3" s="1" a="1"/>
  <c r="O156" i="3" s="1"/>
  <c r="N155" i="3"/>
  <c r="O155" i="3" s="1" a="1"/>
  <c r="O155" i="3" s="1"/>
  <c r="N154" i="3"/>
  <c r="O154" i="3" s="1" a="1"/>
  <c r="O154" i="3" s="1"/>
  <c r="N153" i="3"/>
  <c r="O153" i="3" s="1" a="1"/>
  <c r="O153" i="3" s="1"/>
  <c r="N152" i="3"/>
  <c r="O152" i="3" s="1" a="1"/>
  <c r="O152" i="3" s="1"/>
  <c r="N151" i="3"/>
  <c r="O151" i="3" s="1" a="1"/>
  <c r="O151" i="3" s="1"/>
  <c r="N150" i="3"/>
  <c r="O150" i="3" s="1" a="1"/>
  <c r="O150" i="3" s="1"/>
  <c r="N149" i="3"/>
  <c r="O149" i="3" s="1" a="1"/>
  <c r="O149" i="3" s="1"/>
  <c r="N148" i="3"/>
  <c r="O148" i="3" s="1" a="1"/>
  <c r="O148" i="3" s="1"/>
  <c r="N147" i="3"/>
  <c r="O147" i="3" s="1" a="1"/>
  <c r="O147" i="3" s="1"/>
  <c r="N146" i="3"/>
  <c r="O146" i="3" s="1" a="1"/>
  <c r="O146" i="3" s="1"/>
  <c r="N145" i="3"/>
  <c r="O145" i="3" s="1" a="1"/>
  <c r="O145" i="3" s="1"/>
  <c r="N144" i="3"/>
  <c r="O144" i="3" s="1" a="1"/>
  <c r="O144" i="3" s="1"/>
  <c r="N143" i="3"/>
  <c r="O143" i="3" s="1" a="1"/>
  <c r="O143" i="3" s="1"/>
  <c r="N142" i="3"/>
  <c r="O142" i="3" s="1" a="1"/>
  <c r="O142" i="3" s="1"/>
  <c r="N141" i="3"/>
  <c r="O141" i="3" s="1" a="1"/>
  <c r="O141" i="3" s="1"/>
  <c r="N140" i="3"/>
  <c r="O140" i="3" s="1" a="1"/>
  <c r="O140" i="3" s="1"/>
  <c r="N139" i="3"/>
  <c r="O139" i="3" s="1" a="1"/>
  <c r="O139" i="3" s="1"/>
  <c r="N138" i="3"/>
  <c r="O138" i="3" s="1" a="1"/>
  <c r="O138" i="3" s="1"/>
  <c r="N137" i="3"/>
  <c r="O137" i="3" s="1" a="1"/>
  <c r="O137" i="3" s="1"/>
  <c r="N136" i="3"/>
  <c r="O136" i="3" s="1" a="1"/>
  <c r="O136" i="3" s="1"/>
  <c r="N135" i="3"/>
  <c r="O135" i="3" s="1" a="1"/>
  <c r="O135" i="3" s="1"/>
  <c r="N134" i="3"/>
  <c r="O134" i="3" s="1" a="1"/>
  <c r="O134" i="3" s="1"/>
  <c r="N133" i="3"/>
  <c r="O133" i="3" s="1" a="1"/>
  <c r="O133" i="3" s="1"/>
  <c r="N132" i="3"/>
  <c r="O132" i="3" s="1" a="1"/>
  <c r="O132" i="3" s="1"/>
  <c r="N131" i="3"/>
  <c r="O131" i="3" s="1" a="1"/>
  <c r="O131" i="3" s="1"/>
  <c r="N130" i="3"/>
  <c r="O130" i="3" s="1" a="1"/>
  <c r="O130" i="3" s="1"/>
  <c r="N129" i="3"/>
  <c r="O129" i="3" s="1" a="1"/>
  <c r="O129" i="3" s="1"/>
  <c r="N128" i="3"/>
  <c r="O128" i="3" s="1" a="1"/>
  <c r="O128" i="3" s="1"/>
  <c r="N127" i="3"/>
  <c r="O127" i="3" s="1" a="1"/>
  <c r="O127" i="3" s="1"/>
  <c r="N126" i="3"/>
  <c r="O126" i="3" s="1" a="1"/>
  <c r="O126" i="3" s="1"/>
  <c r="N125" i="3"/>
  <c r="O125" i="3" s="1" a="1"/>
  <c r="O125" i="3" s="1"/>
  <c r="N124" i="3"/>
  <c r="O124" i="3" s="1" a="1"/>
  <c r="O124" i="3" s="1"/>
  <c r="N123" i="3"/>
  <c r="O123" i="3" s="1" a="1"/>
  <c r="O123" i="3" s="1"/>
  <c r="N122" i="3"/>
  <c r="O122" i="3" s="1" a="1"/>
  <c r="O122" i="3" s="1"/>
  <c r="N121" i="3"/>
  <c r="O121" i="3" s="1" a="1"/>
  <c r="O121" i="3" s="1"/>
  <c r="N120" i="3"/>
  <c r="O120" i="3" s="1" a="1"/>
  <c r="O120" i="3" s="1"/>
  <c r="N119" i="3"/>
  <c r="O119" i="3" s="1" a="1"/>
  <c r="O119" i="3" s="1"/>
  <c r="N118" i="3"/>
  <c r="O118" i="3" s="1" a="1"/>
  <c r="O118" i="3" s="1"/>
  <c r="N117" i="3"/>
  <c r="O117" i="3" s="1" a="1"/>
  <c r="O117" i="3" s="1"/>
  <c r="N116" i="3"/>
  <c r="O116" i="3" s="1" a="1"/>
  <c r="O116" i="3" s="1"/>
  <c r="N115" i="3"/>
  <c r="O115" i="3" s="1" a="1"/>
  <c r="O115" i="3" s="1"/>
  <c r="N114" i="3"/>
  <c r="O114" i="3" s="1" a="1"/>
  <c r="O114" i="3" s="1"/>
  <c r="N113" i="3"/>
  <c r="O113" i="3" s="1" a="1"/>
  <c r="O113" i="3" s="1"/>
  <c r="N112" i="3"/>
  <c r="O112" i="3" s="1" a="1"/>
  <c r="O112" i="3" s="1"/>
  <c r="N111" i="3"/>
  <c r="O111" i="3" s="1" a="1"/>
  <c r="O111" i="3" s="1"/>
  <c r="N110" i="3"/>
  <c r="O110" i="3" s="1" a="1"/>
  <c r="O110" i="3" s="1"/>
  <c r="N109" i="3"/>
  <c r="O109" i="3" s="1" a="1"/>
  <c r="O109" i="3" s="1"/>
  <c r="N108" i="3"/>
  <c r="O108" i="3" s="1" a="1"/>
  <c r="O108" i="3" s="1"/>
  <c r="N107" i="3"/>
  <c r="O107" i="3" s="1" a="1"/>
  <c r="O107" i="3" s="1"/>
  <c r="N106" i="3"/>
  <c r="O106" i="3" s="1" a="1"/>
  <c r="O106" i="3" s="1"/>
  <c r="N105" i="3"/>
  <c r="O105" i="3" s="1" a="1"/>
  <c r="O105" i="3" s="1"/>
  <c r="N104" i="3"/>
  <c r="O104" i="3" s="1" a="1"/>
  <c r="O104" i="3" s="1"/>
  <c r="N103" i="3"/>
  <c r="O103" i="3" s="1" a="1"/>
  <c r="O103" i="3" s="1"/>
  <c r="N102" i="3"/>
  <c r="O102" i="3" s="1" a="1"/>
  <c r="O102" i="3" s="1"/>
  <c r="N101" i="3"/>
  <c r="O101" i="3" s="1" a="1"/>
  <c r="O101" i="3" s="1"/>
  <c r="N100" i="3"/>
  <c r="O100" i="3" s="1" a="1"/>
  <c r="O100" i="3" s="1"/>
  <c r="N99" i="3"/>
  <c r="O99" i="3" s="1" a="1"/>
  <c r="O99" i="3" s="1"/>
  <c r="N98" i="3"/>
  <c r="O98" i="3" s="1" a="1"/>
  <c r="O98" i="3" s="1"/>
  <c r="N97" i="3"/>
  <c r="O97" i="3" s="1" a="1"/>
  <c r="O97" i="3" s="1"/>
  <c r="N96" i="3"/>
  <c r="O96" i="3" s="1" a="1"/>
  <c r="O96" i="3" s="1"/>
  <c r="N95" i="3"/>
  <c r="O95" i="3" s="1" a="1"/>
  <c r="O95" i="3" s="1"/>
  <c r="N94" i="3"/>
  <c r="O94" i="3" s="1" a="1"/>
  <c r="O94" i="3" s="1"/>
  <c r="N93" i="3"/>
  <c r="O93" i="3" s="1" a="1"/>
  <c r="O93" i="3" s="1"/>
  <c r="N92" i="3"/>
  <c r="O92" i="3" s="1" a="1"/>
  <c r="O92" i="3" s="1"/>
  <c r="N91" i="3"/>
  <c r="O91" i="3" s="1" a="1"/>
  <c r="O91" i="3" s="1"/>
  <c r="N90" i="3"/>
  <c r="O90" i="3" s="1" a="1"/>
  <c r="O90" i="3" s="1"/>
  <c r="N89" i="3"/>
  <c r="O89" i="3" s="1" a="1"/>
  <c r="O89" i="3" s="1"/>
  <c r="N88" i="3"/>
  <c r="O88" i="3" s="1" a="1"/>
  <c r="O88" i="3" s="1"/>
  <c r="N87" i="3"/>
  <c r="O87" i="3" s="1" a="1"/>
  <c r="O87" i="3" s="1"/>
  <c r="N86" i="3"/>
  <c r="O86" i="3" s="1" a="1"/>
  <c r="O86" i="3" s="1"/>
  <c r="N85" i="3"/>
  <c r="O85" i="3" s="1" a="1"/>
  <c r="O85" i="3" s="1"/>
  <c r="N84" i="3"/>
  <c r="O84" i="3" s="1" a="1"/>
  <c r="O84" i="3" s="1"/>
  <c r="N83" i="3"/>
  <c r="O83" i="3" s="1" a="1"/>
  <c r="O83" i="3" s="1"/>
  <c r="N82" i="3"/>
  <c r="O82" i="3" s="1" a="1"/>
  <c r="O82" i="3" s="1"/>
  <c r="N81" i="3"/>
  <c r="O81" i="3" s="1" a="1"/>
  <c r="O81" i="3" s="1"/>
  <c r="N80" i="3"/>
  <c r="O80" i="3" s="1" a="1"/>
  <c r="O80" i="3" s="1"/>
  <c r="N79" i="3"/>
  <c r="O79" i="3" s="1" a="1"/>
  <c r="O79" i="3" s="1"/>
  <c r="N78" i="3"/>
  <c r="O78" i="3" s="1" a="1"/>
  <c r="O78" i="3" s="1"/>
  <c r="N77" i="3"/>
  <c r="O77" i="3" s="1" a="1"/>
  <c r="O77" i="3" s="1"/>
  <c r="N76" i="3"/>
  <c r="O76" i="3" s="1" a="1"/>
  <c r="O76" i="3" s="1"/>
  <c r="N75" i="3"/>
  <c r="O75" i="3" s="1" a="1"/>
  <c r="O75" i="3" s="1"/>
  <c r="N74" i="3"/>
  <c r="O74" i="3" s="1" a="1"/>
  <c r="O74" i="3" s="1"/>
  <c r="N73" i="3"/>
  <c r="O73" i="3" s="1" a="1"/>
  <c r="O73" i="3" s="1"/>
  <c r="N72" i="3"/>
  <c r="O72" i="3" s="1" a="1"/>
  <c r="O72" i="3" s="1"/>
  <c r="N71" i="3"/>
  <c r="O71" i="3" s="1" a="1"/>
  <c r="O71" i="3" s="1"/>
  <c r="N70" i="3"/>
  <c r="O70" i="3" s="1" a="1"/>
  <c r="O70" i="3" s="1"/>
  <c r="N69" i="3"/>
  <c r="O69" i="3" s="1" a="1"/>
  <c r="O69" i="3" s="1"/>
  <c r="N68" i="3"/>
  <c r="O68" i="3" s="1" a="1"/>
  <c r="O68" i="3" s="1"/>
  <c r="N67" i="3"/>
  <c r="O67" i="3" s="1" a="1"/>
  <c r="O67" i="3" s="1"/>
  <c r="N66" i="3"/>
  <c r="O66" i="3" s="1" a="1"/>
  <c r="O66" i="3" s="1"/>
  <c r="N65" i="3"/>
  <c r="O65" i="3" s="1" a="1"/>
  <c r="O65" i="3" s="1"/>
  <c r="N64" i="3"/>
  <c r="O64" i="3" s="1" a="1"/>
  <c r="O64" i="3" s="1"/>
  <c r="N63" i="3"/>
  <c r="O63" i="3" s="1" a="1"/>
  <c r="O63" i="3" s="1"/>
  <c r="N62" i="3"/>
  <c r="O62" i="3" s="1" a="1"/>
  <c r="O62" i="3" s="1"/>
  <c r="N61" i="3"/>
  <c r="O61" i="3" s="1" a="1"/>
  <c r="O61" i="3" s="1"/>
  <c r="N60" i="3"/>
  <c r="O60" i="3" s="1" a="1"/>
  <c r="O60" i="3" s="1"/>
  <c r="N59" i="3"/>
  <c r="O59" i="3" s="1" a="1"/>
  <c r="O59" i="3" s="1"/>
  <c r="N58" i="3"/>
  <c r="O58" i="3" s="1" a="1"/>
  <c r="O58" i="3" s="1"/>
  <c r="N57" i="3"/>
  <c r="O57" i="3" s="1" a="1"/>
  <c r="O57" i="3" s="1"/>
  <c r="N56" i="3"/>
  <c r="O56" i="3" s="1" a="1"/>
  <c r="O56" i="3" s="1"/>
  <c r="N55" i="3"/>
  <c r="O55" i="3" s="1" a="1"/>
  <c r="O55" i="3" s="1"/>
  <c r="N54" i="3"/>
  <c r="O54" i="3" s="1" a="1"/>
  <c r="O54" i="3" s="1"/>
  <c r="N53" i="3"/>
  <c r="O53" i="3" s="1" a="1"/>
  <c r="O53" i="3" s="1"/>
  <c r="N52" i="3"/>
  <c r="O52" i="3" s="1" a="1"/>
  <c r="O52" i="3" s="1"/>
  <c r="N51" i="3"/>
  <c r="O51" i="3" s="1" a="1"/>
  <c r="O51" i="3" s="1"/>
  <c r="N50" i="3"/>
  <c r="O50" i="3" s="1" a="1"/>
  <c r="O50" i="3" s="1"/>
  <c r="N49" i="3"/>
  <c r="O49" i="3" s="1" a="1"/>
  <c r="O49" i="3" s="1"/>
  <c r="N48" i="3"/>
  <c r="O48" i="3" s="1" a="1"/>
  <c r="O48" i="3" s="1"/>
  <c r="N47" i="3"/>
  <c r="O47" i="3" s="1" a="1"/>
  <c r="O47" i="3" s="1"/>
  <c r="N46" i="3"/>
  <c r="O46" i="3" s="1" a="1"/>
  <c r="O46" i="3" s="1"/>
  <c r="N45" i="3"/>
  <c r="O45" i="3" s="1" a="1"/>
  <c r="O45" i="3" s="1"/>
  <c r="N44" i="3"/>
  <c r="O44" i="3" s="1" a="1"/>
  <c r="O44" i="3" s="1"/>
  <c r="N43" i="3"/>
  <c r="O43" i="3" s="1" a="1"/>
  <c r="O43" i="3" s="1"/>
  <c r="N42" i="3"/>
  <c r="O42" i="3" s="1" a="1"/>
  <c r="O42" i="3" s="1"/>
  <c r="N41" i="3"/>
  <c r="O41" i="3" s="1" a="1"/>
  <c r="O41" i="3" s="1"/>
  <c r="N40" i="3"/>
  <c r="O40" i="3" s="1" a="1"/>
  <c r="O40" i="3" s="1"/>
  <c r="N39" i="3"/>
  <c r="O39" i="3" s="1" a="1"/>
  <c r="O39" i="3" s="1"/>
  <c r="N38" i="3"/>
  <c r="O38" i="3" s="1" a="1"/>
  <c r="O38" i="3" s="1"/>
  <c r="N37" i="3"/>
  <c r="O37" i="3" s="1" a="1"/>
  <c r="O37" i="3" s="1"/>
  <c r="N36" i="3"/>
  <c r="O36" i="3" s="1" a="1"/>
  <c r="O36" i="3" s="1"/>
  <c r="N35" i="3"/>
  <c r="O35" i="3" s="1" a="1"/>
  <c r="O35" i="3" s="1"/>
  <c r="N34" i="3"/>
  <c r="O34" i="3" s="1" a="1"/>
  <c r="O34" i="3" s="1"/>
  <c r="N33" i="3"/>
  <c r="O33" i="3" s="1" a="1"/>
  <c r="O33" i="3" s="1"/>
  <c r="N32" i="3"/>
  <c r="O32" i="3" s="1" a="1"/>
  <c r="O32" i="3" s="1"/>
  <c r="N31" i="3"/>
  <c r="O31" i="3" s="1" a="1"/>
  <c r="O31" i="3" s="1"/>
  <c r="N30" i="3"/>
  <c r="O30" i="3" s="1" a="1"/>
  <c r="O30" i="3" s="1"/>
  <c r="N29" i="3"/>
  <c r="O29" i="3" s="1" a="1"/>
  <c r="O29" i="3" s="1"/>
  <c r="N28" i="3"/>
  <c r="O28" i="3" s="1" a="1"/>
  <c r="O28" i="3" s="1"/>
  <c r="N27" i="3"/>
  <c r="O27" i="3" s="1" a="1"/>
  <c r="O27" i="3" s="1"/>
  <c r="N26" i="3"/>
  <c r="O26" i="3" s="1" a="1"/>
  <c r="O26" i="3" s="1"/>
  <c r="N25" i="3"/>
  <c r="O25" i="3" s="1" a="1"/>
  <c r="O25" i="3" s="1"/>
  <c r="N24" i="3"/>
  <c r="O24" i="3" s="1" a="1"/>
  <c r="O24" i="3" s="1"/>
  <c r="N23" i="3"/>
  <c r="O23" i="3" s="1" a="1"/>
  <c r="O23" i="3" s="1"/>
  <c r="N22" i="3"/>
  <c r="O22" i="3" s="1" a="1"/>
  <c r="O22" i="3" s="1"/>
  <c r="N21" i="3"/>
  <c r="O21" i="3" s="1" a="1"/>
  <c r="O21" i="3" s="1"/>
  <c r="N20" i="3"/>
  <c r="O20" i="3" s="1" a="1"/>
  <c r="O20" i="3" s="1"/>
  <c r="N19" i="3"/>
  <c r="O19" i="3" s="1" a="1"/>
  <c r="O19" i="3" s="1"/>
  <c r="N18" i="3"/>
  <c r="O18" i="3" s="1" a="1"/>
  <c r="O18" i="3" s="1"/>
  <c r="N17" i="3"/>
  <c r="O17" i="3" s="1" a="1"/>
  <c r="O17" i="3" s="1"/>
  <c r="N16" i="3"/>
  <c r="O16" i="3" s="1" a="1"/>
  <c r="O16" i="3" s="1"/>
  <c r="N15" i="3"/>
  <c r="O15" i="3" s="1" a="1"/>
  <c r="O15" i="3" s="1"/>
  <c r="N14" i="3"/>
  <c r="O14" i="3" s="1" a="1"/>
  <c r="O14" i="3" s="1"/>
  <c r="N13" i="3"/>
  <c r="O13" i="3" s="1" a="1"/>
  <c r="O13" i="3" s="1"/>
  <c r="N12" i="3"/>
  <c r="O12" i="3" s="1" a="1"/>
  <c r="O12" i="3" s="1"/>
  <c r="N11" i="3"/>
  <c r="O11" i="3" s="1" a="1"/>
  <c r="O11" i="3" s="1"/>
  <c r="N10" i="3"/>
  <c r="O10" i="3" s="1" a="1"/>
  <c r="O10" i="3" s="1"/>
  <c r="N9" i="3"/>
  <c r="O9" i="3" s="1" a="1"/>
  <c r="O9" i="3" s="1"/>
  <c r="N8" i="3"/>
  <c r="O8" i="3" s="1" a="1"/>
  <c r="O8" i="3" s="1"/>
  <c r="N7" i="3"/>
  <c r="O7" i="3" s="1" a="1"/>
  <c r="O7" i="3" s="1"/>
  <c r="N6" i="3"/>
  <c r="O6" i="3" s="1" a="1"/>
  <c r="O6" i="3" s="1"/>
  <c r="N5" i="3"/>
  <c r="O5" i="3" s="1" a="1"/>
  <c r="O5" i="3" s="1"/>
  <c r="N4" i="3"/>
  <c r="O4" i="3" s="1" a="1"/>
  <c r="O4" i="3" s="1"/>
  <c r="N3" i="3"/>
  <c r="O3" i="3" s="1" a="1"/>
  <c r="O3" i="3" s="1"/>
  <c r="Z349" i="2"/>
  <c r="Z348" i="2"/>
  <c r="Z347" i="2"/>
  <c r="Z346" i="2"/>
  <c r="Z345" i="2"/>
  <c r="Z344" i="2"/>
  <c r="Z343" i="2"/>
  <c r="Z342" i="2"/>
  <c r="Z341" i="2"/>
  <c r="Z340" i="2"/>
  <c r="Z339" i="2"/>
  <c r="Z338" i="2"/>
  <c r="Z337" i="2"/>
  <c r="Z336" i="2"/>
  <c r="Z335" i="2"/>
  <c r="Z334" i="2"/>
  <c r="Z333" i="2"/>
  <c r="Z332" i="2"/>
  <c r="Z331" i="2"/>
  <c r="Z330" i="2"/>
  <c r="Z329" i="2"/>
  <c r="Z328" i="2"/>
  <c r="Z327" i="2"/>
  <c r="Z326" i="2"/>
  <c r="Z325" i="2"/>
  <c r="Z324" i="2"/>
  <c r="Z323" i="2"/>
  <c r="Z322" i="2"/>
  <c r="Z321" i="2"/>
  <c r="Z320" i="2"/>
  <c r="Z319" i="2"/>
  <c r="Z318" i="2"/>
  <c r="Z317" i="2"/>
  <c r="Z316" i="2"/>
  <c r="Z315" i="2"/>
  <c r="Z314" i="2"/>
  <c r="Z313" i="2"/>
  <c r="Z312" i="2"/>
  <c r="Z311" i="2"/>
  <c r="Z310" i="2"/>
  <c r="Z309" i="2"/>
  <c r="Z308" i="2"/>
  <c r="Z307" i="2"/>
  <c r="Z306" i="2"/>
  <c r="Z21" i="2"/>
  <c r="Z304" i="2"/>
  <c r="Z303" i="2"/>
  <c r="Z302" i="2"/>
  <c r="Z301" i="2"/>
  <c r="Z300" i="2"/>
  <c r="Z299" i="2"/>
  <c r="Z298" i="2"/>
  <c r="Z297" i="2"/>
  <c r="Z296" i="2"/>
  <c r="Z295" i="2"/>
  <c r="Z294" i="2"/>
  <c r="Z293" i="2"/>
  <c r="Z292" i="2"/>
  <c r="Z291" i="2"/>
  <c r="Z290" i="2"/>
  <c r="Z289" i="2"/>
  <c r="Z202" i="2"/>
  <c r="Z287" i="2"/>
  <c r="Z286" i="2"/>
  <c r="Z285" i="2"/>
  <c r="Z284" i="2"/>
  <c r="Z283" i="2"/>
  <c r="Z282" i="2"/>
  <c r="Z281" i="2"/>
  <c r="Z280" i="2"/>
  <c r="Z279" i="2"/>
  <c r="Z278" i="2"/>
  <c r="Z277" i="2"/>
  <c r="Z276" i="2"/>
  <c r="Z275" i="2"/>
  <c r="Z274" i="2"/>
  <c r="Z273" i="2"/>
  <c r="Z272" i="2"/>
  <c r="Z271" i="2"/>
  <c r="Z270" i="2"/>
  <c r="Z180" i="2"/>
  <c r="Z268" i="2"/>
  <c r="Z267" i="2"/>
  <c r="Z266" i="2"/>
  <c r="Z200" i="2"/>
  <c r="Z264" i="2"/>
  <c r="Z263" i="2"/>
  <c r="Z262" i="2"/>
  <c r="Z261" i="2"/>
  <c r="Z260" i="2"/>
  <c r="Z259" i="2"/>
  <c r="Z258" i="2"/>
  <c r="Z198" i="2"/>
  <c r="Z256" i="2"/>
  <c r="Z255" i="2"/>
  <c r="Z254" i="2"/>
  <c r="Z197" i="2"/>
  <c r="Z252" i="2"/>
  <c r="Z251" i="2"/>
  <c r="Z250" i="2"/>
  <c r="Z249" i="2"/>
  <c r="Z67" i="2"/>
  <c r="Z247" i="2"/>
  <c r="Z246" i="2"/>
  <c r="Z245" i="2"/>
  <c r="Z196" i="2"/>
  <c r="Z243" i="2"/>
  <c r="Z242" i="2"/>
  <c r="Z195" i="2"/>
  <c r="Z194" i="2"/>
  <c r="Z239" i="2"/>
  <c r="Z238" i="2"/>
  <c r="Z193" i="2"/>
  <c r="Z236" i="2"/>
  <c r="Z186" i="2"/>
  <c r="Z24" i="2"/>
  <c r="Z233" i="2"/>
  <c r="Z232" i="2"/>
  <c r="Z185" i="2"/>
  <c r="Z230" i="2"/>
  <c r="Z229" i="2"/>
  <c r="Z179" i="2"/>
  <c r="Z182" i="2"/>
  <c r="Z226" i="2"/>
  <c r="Z225" i="2"/>
  <c r="Z224" i="2"/>
  <c r="Z223" i="2"/>
  <c r="Z222" i="2"/>
  <c r="Z221" i="2"/>
  <c r="Z220" i="2"/>
  <c r="Z160" i="2"/>
  <c r="Z218" i="2"/>
  <c r="Z217" i="2"/>
  <c r="Z65" i="2"/>
  <c r="Z215" i="2"/>
  <c r="Z244" i="2"/>
  <c r="Z213" i="2"/>
  <c r="Z212" i="2"/>
  <c r="Z211" i="2"/>
  <c r="Z23" i="2"/>
  <c r="Z234" i="2"/>
  <c r="Z208" i="2"/>
  <c r="Z64" i="2"/>
  <c r="Z181" i="2"/>
  <c r="Z205" i="2"/>
  <c r="Z66" i="2"/>
  <c r="Z173" i="2"/>
  <c r="Z137" i="2"/>
  <c r="Z201" i="2"/>
  <c r="Z178" i="2"/>
  <c r="Z199" i="2"/>
  <c r="Z136" i="2"/>
  <c r="Z97" i="2"/>
  <c r="Z70" i="2"/>
  <c r="Z155" i="2"/>
  <c r="Z149" i="2"/>
  <c r="Z60" i="2"/>
  <c r="Z192" i="2"/>
  <c r="Z191" i="2"/>
  <c r="Z190" i="2"/>
  <c r="Z189" i="2"/>
  <c r="Z188" i="2"/>
  <c r="Z187" i="2"/>
  <c r="Z99" i="2"/>
  <c r="Z98" i="2"/>
  <c r="Z184" i="2"/>
  <c r="Z183" i="2"/>
  <c r="Z95" i="2"/>
  <c r="Z168" i="2"/>
  <c r="Z167" i="2"/>
  <c r="Z209" i="2"/>
  <c r="Z57" i="2"/>
  <c r="Z56" i="2"/>
  <c r="Z63" i="2"/>
  <c r="Z53" i="2"/>
  <c r="Z94" i="2"/>
  <c r="Z22" i="2"/>
  <c r="Z172" i="2"/>
  <c r="Z105" i="2"/>
  <c r="Z62" i="2"/>
  <c r="Z61" i="2"/>
  <c r="Z158" i="2"/>
  <c r="Z257" i="2"/>
  <c r="Z305" i="2"/>
  <c r="Z20" i="2"/>
  <c r="Z164" i="2"/>
  <c r="Z12" i="2"/>
  <c r="Z159" i="2"/>
  <c r="Z157" i="2"/>
  <c r="Z52" i="2"/>
  <c r="Z51" i="2"/>
  <c r="Z50" i="2"/>
  <c r="Z36" i="2"/>
  <c r="Z26" i="2"/>
  <c r="Z25" i="2"/>
  <c r="Z269" i="2"/>
  <c r="Z163" i="2"/>
  <c r="Z152" i="2"/>
  <c r="Z73" i="2"/>
  <c r="Z78" i="2"/>
  <c r="Z101" i="2"/>
  <c r="Z148" i="2"/>
  <c r="Z14" i="2"/>
  <c r="Z93" i="2"/>
  <c r="Z162" i="2"/>
  <c r="Z19" i="2"/>
  <c r="Z18" i="2"/>
  <c r="Z17" i="2"/>
  <c r="Z141" i="2"/>
  <c r="Z166" i="2"/>
  <c r="Z165" i="2"/>
  <c r="Z72" i="2"/>
  <c r="Z241" i="2"/>
  <c r="Z92" i="2"/>
  <c r="Z135" i="2"/>
  <c r="Z134" i="2"/>
  <c r="Z133" i="2"/>
  <c r="Z132" i="2"/>
  <c r="Z125" i="2"/>
  <c r="Z130" i="2"/>
  <c r="Z77" i="2"/>
  <c r="Z240" i="2"/>
  <c r="Z145" i="2"/>
  <c r="Z122" i="2"/>
  <c r="Z142" i="2"/>
  <c r="Z124" i="2"/>
  <c r="Z170" i="2"/>
  <c r="Z123" i="2"/>
  <c r="Z237" i="2"/>
  <c r="Z128" i="2"/>
  <c r="Z177" i="2"/>
  <c r="Z207" i="2"/>
  <c r="Z11" i="2"/>
  <c r="Z144" i="2"/>
  <c r="Z8" i="2"/>
  <c r="Z80" i="2"/>
  <c r="Z110" i="2"/>
  <c r="Z90" i="2"/>
  <c r="Z88" i="2"/>
  <c r="Z127" i="2"/>
  <c r="Z126" i="2"/>
  <c r="Z108" i="2"/>
  <c r="Z111" i="2"/>
  <c r="Z114" i="2"/>
  <c r="Z74" i="2"/>
  <c r="Z206" i="2"/>
  <c r="Z103" i="2"/>
  <c r="Z102" i="2"/>
  <c r="Z119" i="2"/>
  <c r="Z100" i="2"/>
  <c r="Z7" i="2"/>
  <c r="Z13" i="2"/>
  <c r="Z139" i="2"/>
  <c r="Z96" i="2"/>
  <c r="Z112" i="2"/>
  <c r="Z121" i="2"/>
  <c r="Z204" i="2"/>
  <c r="Z150" i="2"/>
  <c r="Z91" i="2"/>
  <c r="Z147" i="2"/>
  <c r="Z235" i="2"/>
  <c r="Z83" i="2"/>
  <c r="Z169" i="2"/>
  <c r="Z10" i="2"/>
  <c r="Z85" i="2"/>
  <c r="Z84" i="2"/>
  <c r="Z107" i="2"/>
  <c r="Z82" i="2"/>
  <c r="Z89" i="2"/>
  <c r="Z106" i="2"/>
  <c r="Z79" i="2"/>
  <c r="Z9" i="2"/>
  <c r="Z109" i="2"/>
  <c r="Z203" i="2"/>
  <c r="Z175" i="2"/>
  <c r="Z174" i="2"/>
  <c r="Z214" i="2"/>
  <c r="Z76" i="2"/>
  <c r="Z228" i="2"/>
  <c r="Z81" i="2"/>
  <c r="Z69" i="2"/>
  <c r="Z68" i="2"/>
  <c r="Z161" i="2"/>
  <c r="Z151" i="2"/>
  <c r="Z154" i="2"/>
  <c r="Z115" i="2"/>
  <c r="Z253" i="2"/>
  <c r="Z210" i="2"/>
  <c r="Z265" i="2"/>
  <c r="Z288" i="2"/>
  <c r="Z59" i="2"/>
  <c r="Z58" i="2"/>
  <c r="Z138" i="2"/>
  <c r="Z156" i="2"/>
  <c r="Z55" i="2"/>
  <c r="Z54" i="2"/>
  <c r="Z140" i="2"/>
  <c r="Z75" i="2"/>
  <c r="Z117" i="2"/>
  <c r="Z71" i="2"/>
  <c r="Z49" i="2"/>
  <c r="Z48" i="2"/>
  <c r="Z47" i="2"/>
  <c r="Z46" i="2"/>
  <c r="Z45" i="2"/>
  <c r="Z44" i="2"/>
  <c r="Z43" i="2"/>
  <c r="Z42" i="2"/>
  <c r="Z41" i="2"/>
  <c r="Z40" i="2"/>
  <c r="Z39" i="2"/>
  <c r="Z38" i="2"/>
  <c r="Z37" i="2"/>
  <c r="Z131" i="2"/>
  <c r="Z35" i="2"/>
  <c r="Z34" i="2"/>
  <c r="Z33" i="2"/>
  <c r="Z32" i="2"/>
  <c r="Z31" i="2"/>
  <c r="Z30" i="2"/>
  <c r="Z29" i="2"/>
  <c r="Z28" i="2"/>
  <c r="Z27" i="2"/>
  <c r="Z231" i="2"/>
  <c r="Z120" i="2"/>
  <c r="Z129" i="2"/>
  <c r="Z113" i="2"/>
  <c r="Z116" i="2"/>
  <c r="Z248" i="2"/>
  <c r="Z118" i="2"/>
  <c r="Z87" i="2"/>
  <c r="Z86" i="2"/>
  <c r="Z16" i="2"/>
  <c r="Z104" i="2"/>
  <c r="Z15" i="2"/>
  <c r="Z171" i="2"/>
  <c r="Z153" i="2"/>
  <c r="Z227" i="2"/>
  <c r="Z219" i="2"/>
  <c r="Z216" i="2"/>
  <c r="Z176" i="2"/>
  <c r="Z143" i="2"/>
  <c r="Z146" i="2"/>
  <c r="Z6" i="2"/>
  <c r="Z5" i="2"/>
  <c r="Z4" i="2"/>
  <c r="Z3" i="2"/>
  <c r="AT216" i="2" l="1"/>
  <c r="AT162" i="2"/>
  <c r="AT198" i="2"/>
  <c r="AT41" i="2"/>
  <c r="AT137" i="2"/>
  <c r="AT18" i="2"/>
  <c r="AT236" i="2"/>
  <c r="AT217" i="2"/>
  <c r="AT324" i="2"/>
  <c r="AT308" i="2"/>
  <c r="AT276" i="2"/>
  <c r="AT260" i="2"/>
  <c r="AT281" i="2"/>
  <c r="AT297" i="2"/>
  <c r="AT349" i="2"/>
  <c r="AT69" i="2"/>
  <c r="AT178" i="2"/>
  <c r="AT328" i="2"/>
  <c r="AT280" i="2"/>
  <c r="AT172" i="2"/>
  <c r="AT210" i="2"/>
  <c r="AT146" i="2"/>
  <c r="AT269" i="2"/>
  <c r="AT321" i="2"/>
  <c r="AT273" i="2"/>
  <c r="AT226" i="2"/>
  <c r="AT77" i="2"/>
  <c r="AT29" i="2"/>
  <c r="AT205" i="2"/>
  <c r="AT173" i="2"/>
  <c r="AT200" i="2"/>
  <c r="AT104" i="2"/>
  <c r="AT40" i="2"/>
  <c r="AT6" i="2"/>
  <c r="AT304" i="2"/>
  <c r="AT256" i="2"/>
  <c r="AT181" i="2"/>
  <c r="AT227" i="2"/>
  <c r="AT5" i="2"/>
  <c r="AT206" i="2"/>
  <c r="AT179" i="2"/>
  <c r="AT175" i="2"/>
  <c r="AT277" i="2"/>
  <c r="AT57" i="2"/>
  <c r="AT119" i="2"/>
  <c r="AT120" i="2"/>
  <c r="AT307" i="2"/>
  <c r="AT259" i="2"/>
  <c r="AT86" i="2"/>
  <c r="AT43" i="2"/>
  <c r="AT79" i="2"/>
  <c r="AT139" i="2"/>
  <c r="AT325" i="2"/>
  <c r="AT293" i="2"/>
  <c r="AT142" i="2"/>
  <c r="AT108" i="2"/>
  <c r="AT215" i="2"/>
  <c r="AT143" i="2"/>
  <c r="AT338" i="2"/>
  <c r="AT306" i="2"/>
  <c r="AT290" i="2"/>
  <c r="AT258" i="2"/>
  <c r="AT223" i="2"/>
  <c r="AT109" i="2"/>
  <c r="AT166" i="2"/>
  <c r="AT289" i="2"/>
  <c r="AT257" i="2"/>
  <c r="AT222" i="2"/>
  <c r="AT107" i="2"/>
  <c r="AT102" i="2"/>
  <c r="AT66" i="2"/>
  <c r="AT261" i="2"/>
  <c r="AT44" i="2"/>
  <c r="AT348" i="2"/>
  <c r="AT316" i="2"/>
  <c r="AT268" i="2"/>
  <c r="AT165" i="2"/>
  <c r="AT85" i="2"/>
  <c r="AT21" i="2"/>
  <c r="AT239" i="2"/>
  <c r="AT221" i="2"/>
  <c r="AT191" i="2"/>
  <c r="AT124" i="2"/>
  <c r="AT246" i="2"/>
  <c r="AT47" i="2"/>
  <c r="AT202" i="2"/>
  <c r="AT134" i="2"/>
  <c r="AT228" i="2"/>
  <c r="AT196" i="2"/>
  <c r="AT164" i="2"/>
  <c r="AT132" i="2"/>
  <c r="AT52" i="2"/>
  <c r="AT20" i="2"/>
  <c r="AT220" i="2"/>
  <c r="AT190" i="2"/>
  <c r="AT96" i="2"/>
  <c r="AT113" i="2"/>
  <c r="AT105" i="2"/>
  <c r="AT225" i="2"/>
  <c r="AT135" i="2"/>
  <c r="AT195" i="2"/>
  <c r="AT163" i="2"/>
  <c r="AT115" i="2"/>
  <c r="AT35" i="2"/>
  <c r="AT19" i="2"/>
  <c r="AT189" i="2"/>
  <c r="AT91" i="2"/>
  <c r="AT17" i="2"/>
  <c r="AT31" i="2"/>
  <c r="AT341" i="2"/>
  <c r="AT155" i="2"/>
  <c r="AT60" i="2"/>
  <c r="AT136" i="2"/>
  <c r="AT82" i="2"/>
  <c r="AT34" i="2"/>
  <c r="AT317" i="2"/>
  <c r="AT53" i="2"/>
  <c r="AT100" i="2"/>
  <c r="AT318" i="2"/>
  <c r="AT218" i="2"/>
  <c r="AT22" i="2"/>
  <c r="AT12" i="2"/>
  <c r="AT248" i="2"/>
  <c r="AT33" i="2"/>
  <c r="AT149" i="2"/>
  <c r="AT36" i="2"/>
  <c r="AT15" i="2"/>
  <c r="AT305" i="2"/>
  <c r="AT126" i="2"/>
  <c r="AT83" i="2"/>
  <c r="AT26" i="2"/>
  <c r="AT185" i="2"/>
  <c r="AT238" i="2"/>
  <c r="AT54" i="2"/>
  <c r="AT301" i="2"/>
  <c r="AT253" i="2"/>
  <c r="AT192" i="2"/>
  <c r="AT180" i="2"/>
  <c r="AT203" i="2"/>
  <c r="AT197" i="2"/>
  <c r="AT168" i="2"/>
  <c r="AT58" i="2"/>
  <c r="AT71" i="2"/>
  <c r="AT99" i="2"/>
  <c r="AT302" i="2"/>
  <c r="AT204" i="2"/>
  <c r="AT94" i="2"/>
  <c r="AT329" i="2"/>
  <c r="AT313" i="2"/>
  <c r="AT65" i="2"/>
  <c r="AT4" i="2"/>
  <c r="AT141" i="2"/>
  <c r="AT247" i="2"/>
  <c r="AT211" i="2"/>
  <c r="AT80" i="2"/>
  <c r="AT48" i="2"/>
  <c r="AT32" i="2"/>
  <c r="AT254" i="2"/>
  <c r="AT70" i="2"/>
  <c r="AT37" i="2"/>
  <c r="AT114" i="2"/>
  <c r="AT92" i="2"/>
  <c r="AT343" i="2"/>
  <c r="AT295" i="2"/>
  <c r="AT230" i="2"/>
  <c r="AT174" i="2"/>
  <c r="AT153" i="2"/>
  <c r="AT127" i="2"/>
  <c r="AT42" i="2"/>
  <c r="AT72" i="2"/>
  <c r="AT87" i="2"/>
  <c r="AT186" i="2"/>
  <c r="AT270" i="2"/>
  <c r="AT38" i="2"/>
  <c r="AT333" i="2"/>
  <c r="AT150" i="2"/>
  <c r="AT73" i="2"/>
  <c r="AT101" i="2"/>
  <c r="AT128" i="2"/>
  <c r="AT342" i="2"/>
  <c r="AT326" i="2"/>
  <c r="AT294" i="2"/>
  <c r="AT278" i="2"/>
  <c r="AT245" i="2"/>
  <c r="AT130" i="2"/>
  <c r="AT46" i="2"/>
  <c r="AT30" i="2"/>
  <c r="AT121" i="2"/>
  <c r="AT336" i="2"/>
  <c r="AT320" i="2"/>
  <c r="AT288" i="2"/>
  <c r="AT272" i="2"/>
  <c r="AT140" i="2"/>
  <c r="AT56" i="2"/>
  <c r="AT24" i="2"/>
  <c r="AT3" i="2"/>
  <c r="AT319" i="2"/>
  <c r="AT271" i="2"/>
  <c r="AT152" i="2"/>
  <c r="AT55" i="2"/>
  <c r="AT345" i="2"/>
  <c r="AT249" i="2"/>
  <c r="AT194" i="2"/>
  <c r="AT138" i="2"/>
  <c r="AT98" i="2"/>
  <c r="AT188" i="2"/>
  <c r="AT193" i="2"/>
  <c r="AT177" i="2"/>
  <c r="AT129" i="2"/>
  <c r="AT97" i="2"/>
  <c r="AT176" i="2"/>
  <c r="AT332" i="2"/>
  <c r="AT300" i="2"/>
  <c r="AT284" i="2"/>
  <c r="AT252" i="2"/>
  <c r="AT68" i="2"/>
  <c r="AT208" i="2"/>
  <c r="AT154" i="2"/>
  <c r="AT160" i="2"/>
  <c r="AT111" i="2"/>
  <c r="AT112" i="2"/>
  <c r="AT64" i="2"/>
  <c r="AT16" i="2"/>
  <c r="AT331" i="2"/>
  <c r="AT283" i="2"/>
  <c r="AT214" i="2"/>
  <c r="AT148" i="2"/>
  <c r="AT67" i="2"/>
  <c r="AT11" i="2"/>
  <c r="AT151" i="2"/>
  <c r="AT95" i="2"/>
  <c r="AT330" i="2"/>
  <c r="AT314" i="2"/>
  <c r="AT282" i="2"/>
  <c r="AT266" i="2"/>
  <c r="AT233" i="2"/>
  <c r="AT213" i="2"/>
  <c r="AT118" i="2"/>
  <c r="AT84" i="2"/>
  <c r="AT50" i="2"/>
  <c r="AT10" i="2"/>
  <c r="AT309" i="2"/>
  <c r="AT167" i="2"/>
  <c r="AT265" i="2"/>
  <c r="AT117" i="2"/>
  <c r="AT49" i="2"/>
  <c r="AT340" i="2"/>
  <c r="AT292" i="2"/>
  <c r="AT243" i="2"/>
  <c r="AT93" i="2"/>
  <c r="AT45" i="2"/>
  <c r="AT344" i="2"/>
  <c r="AT312" i="2"/>
  <c r="AT296" i="2"/>
  <c r="AT264" i="2"/>
  <c r="AT145" i="2"/>
  <c r="AT116" i="2"/>
  <c r="AT161" i="2"/>
  <c r="AT133" i="2"/>
  <c r="AT76" i="2"/>
  <c r="AT28" i="2"/>
  <c r="AT9" i="2"/>
  <c r="AT144" i="2"/>
  <c r="AT131" i="2"/>
  <c r="AT219" i="2"/>
  <c r="AT156" i="2"/>
  <c r="AT171" i="2"/>
  <c r="AT59" i="2"/>
  <c r="AT229" i="2"/>
  <c r="AT78" i="2"/>
  <c r="AT62" i="2"/>
  <c r="AT169" i="2"/>
  <c r="AT170" i="2"/>
  <c r="AT61" i="2"/>
  <c r="AT201" i="2"/>
  <c r="AT125" i="2"/>
  <c r="AT81" i="2"/>
  <c r="AT123" i="2"/>
  <c r="AT103" i="2"/>
  <c r="AT23" i="2"/>
  <c r="AT158" i="2"/>
  <c r="AT74" i="2"/>
  <c r="AT285" i="2"/>
  <c r="AT182" i="2"/>
  <c r="AT122" i="2"/>
  <c r="AT337" i="2"/>
  <c r="AT157" i="2"/>
  <c r="AT25" i="2"/>
  <c r="AT147" i="2"/>
  <c r="AT232" i="2"/>
  <c r="AT106" i="2"/>
  <c r="AT199" i="2"/>
  <c r="AT90" i="2"/>
  <c r="AT339" i="2"/>
  <c r="AT327" i="2"/>
  <c r="AT315" i="2"/>
  <c r="AT303" i="2"/>
  <c r="AT291" i="2"/>
  <c r="AT279" i="2"/>
  <c r="AT267" i="2"/>
  <c r="AT255" i="2"/>
  <c r="AT242" i="2"/>
  <c r="AT159" i="2"/>
  <c r="AT75" i="2"/>
  <c r="AT63" i="2"/>
  <c r="AT51" i="2"/>
  <c r="AT39" i="2"/>
  <c r="AT27" i="2"/>
  <c r="AT212" i="2"/>
  <c r="AT187" i="2"/>
  <c r="AT13" i="2"/>
  <c r="AT347" i="2"/>
  <c r="AT335" i="2"/>
  <c r="AT323" i="2"/>
  <c r="AT311" i="2"/>
  <c r="AT299" i="2"/>
  <c r="AT287" i="2"/>
  <c r="AT275" i="2"/>
  <c r="AT263" i="2"/>
  <c r="AT251" i="2"/>
  <c r="AT224" i="2"/>
  <c r="AT184" i="2"/>
  <c r="AT110" i="2"/>
  <c r="AT89" i="2"/>
  <c r="AT14" i="2"/>
  <c r="AT8" i="2"/>
  <c r="AT346" i="2"/>
  <c r="AT334" i="2"/>
  <c r="AT322" i="2"/>
  <c r="AT310" i="2"/>
  <c r="AT298" i="2"/>
  <c r="AT286" i="2"/>
  <c r="AT274" i="2"/>
  <c r="AT262" i="2"/>
  <c r="AT250" i="2"/>
  <c r="AT183" i="2"/>
  <c r="AT207" i="2"/>
  <c r="AT88" i="2"/>
  <c r="AT350" i="2" l="1"/>
  <c r="AO241" i="2"/>
  <c r="AO136" i="2"/>
  <c r="AO240" i="2"/>
  <c r="AO202" i="2"/>
  <c r="AO135" i="2"/>
  <c r="AO257" i="2"/>
  <c r="AO173" i="2"/>
  <c r="AO134" i="2"/>
  <c r="AO80" i="2"/>
  <c r="AO305" i="2"/>
  <c r="AO219" i="2"/>
  <c r="AO237" i="2"/>
  <c r="AO193" i="2"/>
  <c r="AO171" i="2"/>
  <c r="AO133" i="2"/>
  <c r="AO78" i="2"/>
  <c r="AO170" i="2"/>
  <c r="AO128" i="2"/>
  <c r="AO77" i="2"/>
  <c r="AO253" i="2"/>
  <c r="AO235" i="2"/>
  <c r="AO76" i="2"/>
  <c r="AO269" i="2"/>
  <c r="AO234" i="2"/>
  <c r="AO160" i="2"/>
  <c r="AO75" i="2"/>
  <c r="AO159" i="2"/>
  <c r="AO158" i="2"/>
  <c r="AO95" i="2"/>
  <c r="AO26" i="2"/>
  <c r="AO209" i="2"/>
  <c r="AO157" i="2"/>
  <c r="AO94" i="2"/>
  <c r="AO186" i="2"/>
  <c r="AO93" i="2"/>
  <c r="AO64" i="2"/>
  <c r="AO168" i="2"/>
  <c r="AO155" i="2"/>
  <c r="AO62" i="2"/>
  <c r="AO167" i="2"/>
  <c r="AO61" i="2"/>
  <c r="AO177" i="2"/>
  <c r="AO204" i="2"/>
  <c r="AO60" i="2"/>
  <c r="AO16" i="2"/>
  <c r="AO63" i="2"/>
  <c r="AO11" i="2"/>
  <c r="AO8" i="2"/>
  <c r="AO7" i="2"/>
  <c r="AO22" i="2"/>
  <c r="AO21" i="2"/>
  <c r="AO20" i="2"/>
  <c r="AO19" i="2"/>
  <c r="AO165" i="2"/>
  <c r="AO153" i="2"/>
  <c r="AO105" i="2"/>
  <c r="AO203" i="2"/>
  <c r="AO73" i="2"/>
  <c r="AO57" i="2"/>
  <c r="AO25" i="2"/>
  <c r="AO265" i="2"/>
  <c r="AO185" i="2"/>
  <c r="AO145" i="2"/>
  <c r="AO104" i="2"/>
  <c r="AO81" i="2"/>
  <c r="AO72" i="2"/>
  <c r="AO56" i="2"/>
  <c r="AO24" i="2"/>
  <c r="AO216" i="2"/>
  <c r="AO200" i="2"/>
  <c r="AO144" i="2"/>
  <c r="AO119" i="2"/>
  <c r="AO103" i="2"/>
  <c r="AO14" i="2"/>
  <c r="AO71" i="2"/>
  <c r="AO23" i="2"/>
  <c r="AO231" i="2"/>
  <c r="AO122" i="2"/>
  <c r="AO118" i="2"/>
  <c r="AO13" i="2"/>
  <c r="AO214" i="2"/>
  <c r="AO198" i="2"/>
  <c r="AO182" i="2"/>
  <c r="AO166" i="2"/>
  <c r="AO149" i="2"/>
  <c r="AO121" i="2"/>
  <c r="AO117" i="2"/>
  <c r="AO101" i="2"/>
  <c r="AO53" i="2"/>
  <c r="AO197" i="2"/>
  <c r="AO181" i="2"/>
  <c r="AO116" i="2"/>
  <c r="AO52" i="2"/>
  <c r="AO36" i="2"/>
  <c r="AO244" i="2"/>
  <c r="AO228" i="2"/>
  <c r="AO196" i="2"/>
  <c r="AO147" i="2"/>
  <c r="AO131" i="2"/>
  <c r="AO99" i="2"/>
  <c r="AO12" i="2"/>
  <c r="AO51" i="2"/>
  <c r="AO227" i="2"/>
  <c r="AO195" i="2"/>
  <c r="AO179" i="2"/>
  <c r="AO98" i="2"/>
  <c r="AO50" i="2"/>
  <c r="AO18" i="2"/>
  <c r="AO210" i="2"/>
  <c r="AO194" i="2"/>
  <c r="AO178" i="2"/>
  <c r="AO142" i="2"/>
  <c r="AO137" i="2"/>
  <c r="AO129" i="2"/>
  <c r="AO113" i="2"/>
  <c r="AO97" i="2"/>
  <c r="AO176" i="2"/>
  <c r="AO65" i="2"/>
  <c r="AO17" i="2"/>
  <c r="M3" i="11"/>
  <c r="M5" i="11"/>
  <c r="M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tc={47D6EFEC-1D7A-4ADE-8BF6-02EE1CFADFF1}</author>
    <author>tc={2AA67F23-E0C7-4A0B-ACBA-92B74798E588}</author>
    <author>tc={669FA5EC-D782-4F8E-9105-3E18F31F4D3B}</author>
    <author>tc={B37757C6-6FE9-4FD2-9C68-2B70DB1A8207}</author>
    <author>tc={FC92BED4-6206-413F-9849-6C8FB484F7C3}</author>
    <author>tc={875C6C7A-C5E2-4C69-AA04-A75B26A484AE}</author>
    <author>tc={ED292C9D-296E-4D8C-BFC7-FB01F2D5FAAE}</author>
    <author>tc={5F0A93B4-ABEE-470E-AB51-8E028C07758D}</author>
    <author>tc={C1A4BDC3-E5B6-477D-B533-2F616A49FE89}</author>
    <author>tc={45BBCE39-6CCB-44BB-8E76-AC567D7ED5C2}</author>
    <author>tc={F3C6645B-3541-4753-8432-94AFB1C27E21}</author>
    <author>tc={F0FCAE1C-6CCE-4E20-AE13-88BF54739C3C}</author>
  </authors>
  <commentList>
    <comment ref="D16" authorId="0" shapeId="0" xr:uid="{47D6EFEC-1D7A-4ADE-8BF6-02EE1CFADF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17" authorId="1" shapeId="0" xr:uid="{2AA67F23-E0C7-4A0B-ACBA-92B74798E58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18" authorId="2" shapeId="0" xr:uid="{669FA5EC-D782-4F8E-9105-3E18F31F4D3B}">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9" authorId="3" shapeId="0" xr:uid="{B37757C6-6FE9-4FD2-9C68-2B70DB1A820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han colocado facturas de mantenimiento, esto justifica la propiedad? </t>
      </text>
    </comment>
    <comment ref="D20" authorId="4" shapeId="0" xr:uid="{FC92BED4-6206-413F-9849-6C8FB484F7C3}">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62" authorId="5" shapeId="0" xr:uid="{875C6C7A-C5E2-4C69-AA04-A75B26A484AE}">
      <text>
        <t>[Comentario encadenado]
Su versión de Excel le permite leer este comentario encadenado; sin embargo, las ediciones que se apliquen se quitarán si el archivo se abre en una versión más reciente de Excel. Más información: https://go.microsoft.com/fwlink/?linkid=870924
Comentario:
    Se han colocado facturas de mantenimiento, esto justifica la propiedad? 
Respuesta:
    FACTURA AÑADIDA</t>
      </text>
    </comment>
    <comment ref="D163" authorId="6" shapeId="0" xr:uid="{ED292C9D-296E-4D8C-BFC7-FB01F2D5FAAE}">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66" authorId="7" shapeId="0" xr:uid="{5F0A93B4-ABEE-470E-AB51-8E028C07758D}">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C170" authorId="8" shapeId="0" xr:uid="{C1A4BDC3-E5B6-477D-B533-2F616A49FE89}">
      <text>
        <t>[Comentario encadenado]
Su versión de Excel le permite leer este comentario encadenado; sin embargo, las ediciones que se apliquen se quitarán si el archivo se abre en una versión más reciente de Excel. Más información: https://go.microsoft.com/fwlink/?linkid=870924
Comentario:
    CADAGUA, tenemos info de empresa?</t>
      </text>
    </comment>
    <comment ref="D216" authorId="9" shapeId="0" xr:uid="{45BBCE39-6CCB-44BB-8E76-AC567D7ED5C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219" authorId="10" shapeId="0" xr:uid="{F3C6645B-3541-4753-8432-94AFB1C27E21}">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C228" authorId="11" shapeId="0" xr:uid="{F0FCAE1C-6CCE-4E20-AE13-88BF54739C3C}">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documentación, igual se elimina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tc={B9C71BDE-328B-494F-8B0A-8273BD3D59A4}</author>
    <author>tc={A502BFE0-F415-470E-A5D0-603E0BE3C8DE}</author>
    <author>tc={40F48E98-3983-412C-8648-4F5B453DDD86}</author>
    <author>tc={91691E9D-6FED-4125-BC04-113451156337}</author>
    <author>tc={83B70D46-E4B8-4E93-AEBA-9D456875999D}</author>
    <author>tc={7B3DF252-7B2E-41A7-8C4E-0CC87005C6B7}</author>
    <author>tc={D8AF3428-43F5-43AF-8ACA-DFAE66589CA8}</author>
    <author>tc={17EA0606-4B10-47DB-8B0E-91726F672DB1}</author>
    <author>tc={BE70567F-1269-4375-B2D6-D8537B784929}</author>
    <author>tc={8A9114F6-5E45-4843-97B6-1B85F42DDF7E}</author>
    <author>tc={5F86C383-6D72-47B2-99B5-00E65B977F97}</author>
    <author>tc={D9981F08-231F-47E4-B4DA-3774A179A1D8}</author>
  </authors>
  <commentList>
    <comment ref="D16" authorId="0" shapeId="0" xr:uid="{B9C71BDE-328B-494F-8B0A-8273BD3D59A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17" authorId="1" shapeId="0" xr:uid="{A502BFE0-F415-470E-A5D0-603E0BE3C8D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18" authorId="2" shapeId="0" xr:uid="{40F48E98-3983-412C-8648-4F5B453DDD86}">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9" authorId="3" shapeId="0" xr:uid="{91691E9D-6FED-4125-BC04-11345115633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han colocado facturas de mantenimiento, esto justifica la propiedad? </t>
      </text>
    </comment>
    <comment ref="D20" authorId="4" shapeId="0" xr:uid="{83B70D46-E4B8-4E93-AEBA-9D456875999D}">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62" authorId="5" shapeId="0" xr:uid="{7B3DF252-7B2E-41A7-8C4E-0CC87005C6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han colocado facturas de mantenimiento, esto justifica la propiedad? 
Respuesta:
    FACTURA AÑADIDA</t>
      </text>
    </comment>
    <comment ref="D163" authorId="6" shapeId="0" xr:uid="{D8AF3428-43F5-43AF-8ACA-DFAE66589CA8}">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66" authorId="7" shapeId="0" xr:uid="{17EA0606-4B10-47DB-8B0E-91726F672DB1}">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C170" authorId="8" shapeId="0" xr:uid="{BE70567F-1269-4375-B2D6-D8537B784929}">
      <text>
        <t>[Comentario encadenado]
Su versión de Excel le permite leer este comentario encadenado; sin embargo, las ediciones que se apliquen se quitarán si el archivo se abre en una versión más reciente de Excel. Más información: https://go.microsoft.com/fwlink/?linkid=870924
Comentario:
    CADAGUA, tenemos info de empresa?</t>
      </text>
    </comment>
    <comment ref="D216" authorId="9" shapeId="0" xr:uid="{8A9114F6-5E45-4843-97B6-1B85F42DDF7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219" authorId="10" shapeId="0" xr:uid="{5F86C383-6D72-47B2-99B5-00E65B977F97}">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C228" authorId="11" shapeId="0" xr:uid="{D9981F08-231F-47E4-B4DA-3774A179A1D8}">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documentación, igual se elimina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tc={C711759D-2C35-40F0-B25E-F88F14F73E2C}</author>
    <author>tc={2CDA0FBA-98FF-47C3-94BB-622B82F87D75}</author>
    <author>tc={40C6566D-D793-4DAE-A64F-EF307E7727E4}</author>
    <author>tc={ECFB164D-35DD-429E-8945-F2B45D61BC03}</author>
    <author>tc={1CA7B3F0-E23B-4630-A3C7-001D34F688A3}</author>
    <author>tc={0A6842BA-095E-4AE0-9EE5-0C3B89B4C063}</author>
    <author>tc={EBF82F7C-FAC4-4B35-A902-A683BE8A6FB0}</author>
    <author>tc={7F67E6B0-84FC-48B3-9476-159582485466}</author>
    <author>tc={5FCE39F2-C24C-4C0C-BBDE-206073E670C0}</author>
    <author>tc={42B5A906-681A-414E-AB5D-A2FED9A3239C}</author>
    <author>tc={01322E24-7F3F-4402-A980-80CC32928D79}</author>
    <author>tc={289CAA79-314C-43DB-AD8B-CA88B7F4E95C}</author>
  </authors>
  <commentList>
    <comment ref="D16" authorId="0" shapeId="0" xr:uid="{C711759D-2C35-40F0-B25E-F88F14F73E2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17" authorId="1" shapeId="0" xr:uid="{2CDA0FBA-98FF-47C3-94BB-622B82F87D7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18" authorId="2" shapeId="0" xr:uid="{40C6566D-D793-4DAE-A64F-EF307E7727E4}">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9" authorId="3" shapeId="0" xr:uid="{ECFB164D-35DD-429E-8945-F2B45D61BC0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han colocado facturas de mantenimiento, esto justifica la propiedad? </t>
      </text>
    </comment>
    <comment ref="D20" authorId="4" shapeId="0" xr:uid="{1CA7B3F0-E23B-4630-A3C7-001D34F688A3}">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62" authorId="5" shapeId="0" xr:uid="{0A6842BA-095E-4AE0-9EE5-0C3B89B4C06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han colocado facturas de mantenimiento, esto justifica la propiedad? 
Respuesta:
    FACTURA AÑADIDA</t>
      </text>
    </comment>
    <comment ref="D163" authorId="6" shapeId="0" xr:uid="{EBF82F7C-FAC4-4B35-A902-A683BE8A6FB0}">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D166" authorId="7" shapeId="0" xr:uid="{7F67E6B0-84FC-48B3-9476-159582485466}">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C170" authorId="8" shapeId="0" xr:uid="{5FCE39F2-C24C-4C0C-BBDE-206073E670C0}">
      <text>
        <t>[Comentario encadenado]
Su versión de Excel le permite leer este comentario encadenado; sin embargo, las ediciones que se apliquen se quitarán si el archivo se abre en una versión más reciente de Excel. Más información: https://go.microsoft.com/fwlink/?linkid=870924
Comentario:
    CADAGUA, tenemos info de empresa?</t>
      </text>
    </comment>
    <comment ref="D216" authorId="9" shapeId="0" xr:uid="{42B5A906-681A-414E-AB5D-A2FED9A323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FACTURA
</t>
      </text>
    </comment>
    <comment ref="D219" authorId="10" shapeId="0" xr:uid="{01322E24-7F3F-4402-A980-80CC32928D79}">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FACTURA</t>
      </text>
    </comment>
    <comment ref="C228" authorId="11" shapeId="0" xr:uid="{289CAA79-314C-43DB-AD8B-CA88B7F4E95C}">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documentación, igual se elimina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<sst xmlns="http://schemas.openxmlformats.org/spreadsheetml/2006/main" count="77223" uniqueCount="4788">
  <si>
    <t>J (Ficha técnica)</t>
  </si>
  <si>
    <t>P3 (Permiso circulación)</t>
  </si>
  <si>
    <t>CALCULOS GLOBAL OMNIUM</t>
  </si>
  <si>
    <t>CALCULOS GLOBAL FACTOR</t>
  </si>
  <si>
    <t>ID CAE</t>
  </si>
  <si>
    <t>Matricula</t>
  </si>
  <si>
    <t>TIPO VEHÍCULO</t>
  </si>
  <si>
    <t>COMBUSTIBLE</t>
  </si>
  <si>
    <t>Columna4</t>
  </si>
  <si>
    <t>Columna5</t>
  </si>
  <si>
    <t>Contrato</t>
  </si>
  <si>
    <t>Acta de Entrega</t>
  </si>
  <si>
    <t>Acta Devolución</t>
  </si>
  <si>
    <t>BAJA</t>
  </si>
  <si>
    <t>Ficha Técnica</t>
  </si>
  <si>
    <t>Permiso de Circulación</t>
  </si>
  <si>
    <t>IVTM</t>
  </si>
  <si>
    <t>Compañía/Proveedor</t>
  </si>
  <si>
    <t>Cod.Tipo Contrato</t>
  </si>
  <si>
    <t>Tipo Contrato</t>
  </si>
  <si>
    <t>Situación Contrato</t>
  </si>
  <si>
    <t>f Vig Inicio</t>
  </si>
  <si>
    <t>F.Vig.Final</t>
  </si>
  <si>
    <t>Tiempo Prop</t>
  </si>
  <si>
    <t>Año</t>
  </si>
  <si>
    <t>Cod.Sit.Contrato</t>
  </si>
  <si>
    <t>Combustible2</t>
  </si>
  <si>
    <t>Marca</t>
  </si>
  <si>
    <t>Modelo/Versión</t>
  </si>
  <si>
    <t>Cod.Sociedad</t>
  </si>
  <si>
    <t>Sociedad</t>
  </si>
  <si>
    <t>Ceco.Imput</t>
  </si>
  <si>
    <t>Columna1</t>
  </si>
  <si>
    <t>Matricula nueva</t>
  </si>
  <si>
    <t>Marca2</t>
  </si>
  <si>
    <t>Modelo/Versión3</t>
  </si>
  <si>
    <t>Combustible4</t>
  </si>
  <si>
    <t>Ceco</t>
  </si>
  <si>
    <t>Renov. Flota</t>
  </si>
  <si>
    <t>Fecha Alta</t>
  </si>
  <si>
    <t>Columna3</t>
  </si>
  <si>
    <t>Cod.Sociedad5</t>
  </si>
  <si>
    <t>Pedido</t>
  </si>
  <si>
    <t>Sociedad6</t>
  </si>
  <si>
    <t>Ceco imputado</t>
  </si>
  <si>
    <t>Factura</t>
  </si>
  <si>
    <t>Comunidad Autonoma</t>
  </si>
  <si>
    <t>CHASIS/Bastidor</t>
  </si>
  <si>
    <t>CVA</t>
  </si>
  <si>
    <t>F</t>
  </si>
  <si>
    <t>CVN</t>
  </si>
  <si>
    <t>L</t>
  </si>
  <si>
    <t>AE</t>
  </si>
  <si>
    <t>Columna2</t>
  </si>
  <si>
    <t>Vacias</t>
  </si>
  <si>
    <t>Tipo vehículo2</t>
  </si>
  <si>
    <t>Tipo combustible</t>
  </si>
  <si>
    <t>ID CAE2</t>
  </si>
  <si>
    <t>CVA2</t>
  </si>
  <si>
    <t>f2</t>
  </si>
  <si>
    <t>CVN2</t>
  </si>
  <si>
    <t>L2</t>
  </si>
  <si>
    <t>AE [kWh]</t>
  </si>
  <si>
    <t>Comprobación</t>
  </si>
  <si>
    <t>Comprobación 2</t>
  </si>
  <si>
    <t>f23</t>
  </si>
  <si>
    <t>CVN22</t>
  </si>
  <si>
    <t>L23</t>
  </si>
  <si>
    <t>CAE500001</t>
  </si>
  <si>
    <t>9853KXP</t>
  </si>
  <si>
    <t>M1</t>
  </si>
  <si>
    <t>GASOLINA</t>
  </si>
  <si>
    <t>X</t>
  </si>
  <si>
    <t>AYVENS</t>
  </si>
  <si>
    <t>3</t>
  </si>
  <si>
    <t>ALQUILER</t>
  </si>
  <si>
    <t>DEVUELTO</t>
  </si>
  <si>
    <t>7</t>
  </si>
  <si>
    <t>DIESEL</t>
  </si>
  <si>
    <t>PEUGEOT</t>
  </si>
  <si>
    <t>208</t>
  </si>
  <si>
    <t>1021</t>
  </si>
  <si>
    <t>MEDICION AVANZADA CONTAD.</t>
  </si>
  <si>
    <t>357712</t>
  </si>
  <si>
    <t>0696MWT</t>
  </si>
  <si>
    <t>RENAULT</t>
  </si>
  <si>
    <t>KANGOO VAN E-TECH ELECTRIC</t>
  </si>
  <si>
    <t>ELECTRICO</t>
  </si>
  <si>
    <t>357107</t>
  </si>
  <si>
    <t>2024</t>
  </si>
  <si>
    <t>4500426762</t>
  </si>
  <si>
    <t>COMUNIDAD VALENCIANA</t>
  </si>
  <si>
    <t>VF1RFK00273824834</t>
  </si>
  <si>
    <t>CORRECTO ALQUILER</t>
  </si>
  <si>
    <t>CAE500002</t>
  </si>
  <si>
    <t>3483KWB</t>
  </si>
  <si>
    <t>0699MWT</t>
  </si>
  <si>
    <t>4500426781</t>
  </si>
  <si>
    <t>VF1RFK00473824835</t>
  </si>
  <si>
    <t>CAE500003</t>
  </si>
  <si>
    <t>0041LWY</t>
  </si>
  <si>
    <t>208 100 CV</t>
  </si>
  <si>
    <t>1505</t>
  </si>
  <si>
    <t>CGAC</t>
  </si>
  <si>
    <t>355589</t>
  </si>
  <si>
    <t>1255MJM</t>
  </si>
  <si>
    <t>E-EXPERT PRO 100 KW</t>
  </si>
  <si>
    <t>725455</t>
  </si>
  <si>
    <t>2023</t>
  </si>
  <si>
    <t>CATALUÑA</t>
  </si>
  <si>
    <t>VF3V1ZKXZPZ005196</t>
  </si>
  <si>
    <t>CAE500004</t>
  </si>
  <si>
    <t>5713LWX</t>
  </si>
  <si>
    <t>2120MFK</t>
  </si>
  <si>
    <t>KANGOO VAN E-TECH</t>
  </si>
  <si>
    <t>725465</t>
  </si>
  <si>
    <t>VF1RFK00970687019</t>
  </si>
  <si>
    <t>CAE500005</t>
  </si>
  <si>
    <t>5056LWD</t>
  </si>
  <si>
    <t>1001</t>
  </si>
  <si>
    <t>AVSA</t>
  </si>
  <si>
    <t>201347</t>
  </si>
  <si>
    <t>2788MXG</t>
  </si>
  <si>
    <t>201420</t>
  </si>
  <si>
    <t>4500426876</t>
  </si>
  <si>
    <t>VF1RFK00273934296</t>
  </si>
  <si>
    <t>CAE500006</t>
  </si>
  <si>
    <t>0370LXS</t>
  </si>
  <si>
    <t>N1</t>
  </si>
  <si>
    <t>TLM</t>
  </si>
  <si>
    <t>BOXER L2 H2 140 CV</t>
  </si>
  <si>
    <t>1066</t>
  </si>
  <si>
    <t>CANALIZ. CIVILES S.A.</t>
  </si>
  <si>
    <t>10669101</t>
  </si>
  <si>
    <t>8651MWT</t>
  </si>
  <si>
    <t>10669120</t>
  </si>
  <si>
    <t>4500426872</t>
  </si>
  <si>
    <t>VF1RFK00073824833</t>
  </si>
  <si>
    <t>CAE500007</t>
  </si>
  <si>
    <t>1865LDL</t>
  </si>
  <si>
    <t>CITROEN</t>
  </si>
  <si>
    <t>C3</t>
  </si>
  <si>
    <t>0695MWT</t>
  </si>
  <si>
    <t>357706</t>
  </si>
  <si>
    <t>4500426841</t>
  </si>
  <si>
    <t>VF1RFK00773824845</t>
  </si>
  <si>
    <t>CAE500008</t>
  </si>
  <si>
    <t>4295MRH</t>
  </si>
  <si>
    <t>C3 100 CV</t>
  </si>
  <si>
    <t>101353</t>
  </si>
  <si>
    <t>6015MWV</t>
  </si>
  <si>
    <t>Ë-C3 ELÉCTRICO MAX</t>
  </si>
  <si>
    <t>200567</t>
  </si>
  <si>
    <t>4500424209</t>
  </si>
  <si>
    <t>VR7CBZYAXRT152191</t>
  </si>
  <si>
    <t>CAE500010</t>
  </si>
  <si>
    <t>8213KFW</t>
  </si>
  <si>
    <t>L3e</t>
  </si>
  <si>
    <t>PROPIEDAD</t>
  </si>
  <si>
    <t>5</t>
  </si>
  <si>
    <t>CANCELADO POR SINIESTRO</t>
  </si>
  <si>
    <t>6</t>
  </si>
  <si>
    <t>KYMCO</t>
  </si>
  <si>
    <t>AGILITY CITY 125 CC</t>
  </si>
  <si>
    <t>357108</t>
  </si>
  <si>
    <t>0692MWT</t>
  </si>
  <si>
    <t>4500426794</t>
  </si>
  <si>
    <t>VF1RFK00173824842</t>
  </si>
  <si>
    <t>CORRECTO PROPIEDAD</t>
  </si>
  <si>
    <t>CAE500011</t>
  </si>
  <si>
    <t>0909HZB</t>
  </si>
  <si>
    <t>CANCELADO</t>
  </si>
  <si>
    <t>4</t>
  </si>
  <si>
    <t>0773MXH</t>
  </si>
  <si>
    <t>357708</t>
  </si>
  <si>
    <t>4500426849</t>
  </si>
  <si>
    <t>VF1RFK00473824852</t>
  </si>
  <si>
    <t>CAE500012</t>
  </si>
  <si>
    <t>1987HGR</t>
  </si>
  <si>
    <t>0823MXH</t>
  </si>
  <si>
    <t>357752</t>
  </si>
  <si>
    <t>4500426870</t>
  </si>
  <si>
    <t>VF1RFK00873824854</t>
  </si>
  <si>
    <t>CAE500013</t>
  </si>
  <si>
    <t>8449HKF</t>
  </si>
  <si>
    <t>0971MXH</t>
  </si>
  <si>
    <t>4500426847</t>
  </si>
  <si>
    <t>VF1RFK00073824847</t>
  </si>
  <si>
    <t>CAE500014</t>
  </si>
  <si>
    <t>4579KCW</t>
  </si>
  <si>
    <t>1053</t>
  </si>
  <si>
    <t>ISG</t>
  </si>
  <si>
    <t>355521</t>
  </si>
  <si>
    <t>8349MXG</t>
  </si>
  <si>
    <t>355528</t>
  </si>
  <si>
    <t>4500426779</t>
  </si>
  <si>
    <t>VF1RFK00373934291</t>
  </si>
  <si>
    <t>CAE500015</t>
  </si>
  <si>
    <t>1485LSB</t>
  </si>
  <si>
    <t>GASOLINA - Híbridos (HEV)</t>
  </si>
  <si>
    <t>1</t>
  </si>
  <si>
    <t>RENTING</t>
  </si>
  <si>
    <t>HÍBRIDO</t>
  </si>
  <si>
    <t>ARKANA TCE 140 CV</t>
  </si>
  <si>
    <t>1200</t>
  </si>
  <si>
    <t>EMIVASA</t>
  </si>
  <si>
    <t>12009006</t>
  </si>
  <si>
    <t>3143MWZ</t>
  </si>
  <si>
    <t>100011</t>
  </si>
  <si>
    <t>4500424885</t>
  </si>
  <si>
    <t>VR7CBZYA5RT154432</t>
  </si>
  <si>
    <t>CAE500016</t>
  </si>
  <si>
    <t>3931LLT</t>
  </si>
  <si>
    <t>SEAT</t>
  </si>
  <si>
    <t>ARONA 1.0 TSI 115 CV</t>
  </si>
  <si>
    <t>1203</t>
  </si>
  <si>
    <t>E.Mixta Metropolitana, SA</t>
  </si>
  <si>
    <t>12039060</t>
  </si>
  <si>
    <t>6082MWV</t>
  </si>
  <si>
    <t>4500424805</t>
  </si>
  <si>
    <t>VR7CBZYA7RT153038</t>
  </si>
  <si>
    <t>CAE500017</t>
  </si>
  <si>
    <t>5829LLX</t>
  </si>
  <si>
    <t>200590</t>
  </si>
  <si>
    <t>9050MWN</t>
  </si>
  <si>
    <t>200541</t>
  </si>
  <si>
    <t>4500424807</t>
  </si>
  <si>
    <t>VR7CBZYA1RT152189</t>
  </si>
  <si>
    <t>CAE500018</t>
  </si>
  <si>
    <t>3904LLT</t>
  </si>
  <si>
    <t>12009060</t>
  </si>
  <si>
    <t>3133MWZ</t>
  </si>
  <si>
    <t>200020</t>
  </si>
  <si>
    <t>4500424896</t>
  </si>
  <si>
    <t>VR7CBZYA2RT154436</t>
  </si>
  <si>
    <t>CAE500019</t>
  </si>
  <si>
    <t>9417LKC</t>
  </si>
  <si>
    <t>ARONA 1.6 TDI 95 CV</t>
  </si>
  <si>
    <t>3105MWZ</t>
  </si>
  <si>
    <t>4500424877</t>
  </si>
  <si>
    <t>VR7CBZYA3RT153022</t>
  </si>
  <si>
    <t>CAE500020</t>
  </si>
  <si>
    <t>9418LKC</t>
  </si>
  <si>
    <t>101702</t>
  </si>
  <si>
    <t>6028MWV</t>
  </si>
  <si>
    <t>4500424796</t>
  </si>
  <si>
    <t>VR7CBZYA2RT152184</t>
  </si>
  <si>
    <t>CAE500030</t>
  </si>
  <si>
    <t>9428LKC</t>
  </si>
  <si>
    <t>x</t>
  </si>
  <si>
    <t>200750</t>
  </si>
  <si>
    <t>6029MWV</t>
  </si>
  <si>
    <t>200714</t>
  </si>
  <si>
    <t>4500424793</t>
  </si>
  <si>
    <t>VR7CBZYA7RT152178</t>
  </si>
  <si>
    <t>FALSO ALQUILER</t>
  </si>
  <si>
    <t>CAE500044</t>
  </si>
  <si>
    <t>9431LKC</t>
  </si>
  <si>
    <t>200300</t>
  </si>
  <si>
    <t>6042MWV</t>
  </si>
  <si>
    <t>201510</t>
  </si>
  <si>
    <t>4500424791</t>
  </si>
  <si>
    <t>VR7CBZYA0RT152183</t>
  </si>
  <si>
    <t>CAE500045</t>
  </si>
  <si>
    <t>9494LKC</t>
  </si>
  <si>
    <t>200542</t>
  </si>
  <si>
    <t>6046MWV</t>
  </si>
  <si>
    <t>200560</t>
  </si>
  <si>
    <t>4500424792</t>
  </si>
  <si>
    <t>VR7CBZYA9RT152182</t>
  </si>
  <si>
    <t>CAE500046</t>
  </si>
  <si>
    <t>0818LKK</t>
  </si>
  <si>
    <t>6492MWV</t>
  </si>
  <si>
    <t>4500424794</t>
  </si>
  <si>
    <t>VR7CBZYA5RT154429</t>
  </si>
  <si>
    <t>CAE500047</t>
  </si>
  <si>
    <t>4170LKY</t>
  </si>
  <si>
    <t>3121MWZ</t>
  </si>
  <si>
    <t>100041</t>
  </si>
  <si>
    <t>4500424898</t>
  </si>
  <si>
    <t>VR7CBZYA1RT153035</t>
  </si>
  <si>
    <t>CAE500050</t>
  </si>
  <si>
    <t>8030LKY</t>
  </si>
  <si>
    <t>6493MWV</t>
  </si>
  <si>
    <t>4500424809</t>
  </si>
  <si>
    <t>VR7CBZYA2RT152198</t>
  </si>
  <si>
    <t>CAE500051</t>
  </si>
  <si>
    <t>8066LKY</t>
  </si>
  <si>
    <t>3122MWZ</t>
  </si>
  <si>
    <t>200028</t>
  </si>
  <si>
    <t>4500424889</t>
  </si>
  <si>
    <t>VR7CBZYA7RT154433</t>
  </si>
  <si>
    <t>CAE500054</t>
  </si>
  <si>
    <t>0269LLK</t>
  </si>
  <si>
    <t>201701</t>
  </si>
  <si>
    <t>6094MWV</t>
  </si>
  <si>
    <t>200317</t>
  </si>
  <si>
    <t>4500426700</t>
  </si>
  <si>
    <t>VR7CBZYA4ST000168</t>
  </si>
  <si>
    <t>CAE500055</t>
  </si>
  <si>
    <t>9413LKC</t>
  </si>
  <si>
    <t>205567</t>
  </si>
  <si>
    <t>8606MWT</t>
  </si>
  <si>
    <t>355577</t>
  </si>
  <si>
    <t>4500426774</t>
  </si>
  <si>
    <t>VF1RFK00073824797</t>
  </si>
  <si>
    <t>CAE500056</t>
  </si>
  <si>
    <t>9455LKC</t>
  </si>
  <si>
    <t>1064</t>
  </si>
  <si>
    <t>AYWA SER.AMBIENTALES SL</t>
  </si>
  <si>
    <t>10649080</t>
  </si>
  <si>
    <t>3147MXJ</t>
  </si>
  <si>
    <t>DEFINIR</t>
  </si>
  <si>
    <t>VF1RFK00073934300</t>
  </si>
  <si>
    <t>CAE500057</t>
  </si>
  <si>
    <t>5243LKX</t>
  </si>
  <si>
    <t>10669100</t>
  </si>
  <si>
    <t>8658MWT</t>
  </si>
  <si>
    <t>356006</t>
  </si>
  <si>
    <t>4500426798</t>
  </si>
  <si>
    <t>VF1RFK00273824820</t>
  </si>
  <si>
    <t>CAE500058</t>
  </si>
  <si>
    <t>5255LKX</t>
  </si>
  <si>
    <t>200784</t>
  </si>
  <si>
    <t>6370MXF</t>
  </si>
  <si>
    <t>350535</t>
  </si>
  <si>
    <t>4500426771</t>
  </si>
  <si>
    <t>VF1RFK00373824888</t>
  </si>
  <si>
    <t>CAE500059</t>
  </si>
  <si>
    <t>9276LMB</t>
  </si>
  <si>
    <t>8392MXG</t>
  </si>
  <si>
    <t>355457</t>
  </si>
  <si>
    <t>4500426874</t>
  </si>
  <si>
    <t>VF1RFK00273934282</t>
  </si>
  <si>
    <t>CAE500060</t>
  </si>
  <si>
    <t>4988LLY</t>
  </si>
  <si>
    <t>1004</t>
  </si>
  <si>
    <t>G.O.MEDIOAMBIENTE S.L.</t>
  </si>
  <si>
    <t>204427</t>
  </si>
  <si>
    <t>6051KRV</t>
  </si>
  <si>
    <t>ZOE 40</t>
  </si>
  <si>
    <t>724317</t>
  </si>
  <si>
    <t>VF1AG000561226133</t>
  </si>
  <si>
    <t>CAE500061</t>
  </si>
  <si>
    <t>0251LLK</t>
  </si>
  <si>
    <t>355539</t>
  </si>
  <si>
    <t>0602KHK</t>
  </si>
  <si>
    <t>4500409585</t>
  </si>
  <si>
    <t>VF1AGVYF059267878</t>
  </si>
  <si>
    <t>CAE500064</t>
  </si>
  <si>
    <t>0246LLK</t>
  </si>
  <si>
    <t>200101</t>
  </si>
  <si>
    <t>6727LMH</t>
  </si>
  <si>
    <t>SILENCE</t>
  </si>
  <si>
    <t>SEAT MO E 125 CC</t>
  </si>
  <si>
    <t>724236</t>
  </si>
  <si>
    <t>UCYS01S0ZMB000266</t>
  </si>
  <si>
    <t>CAE500065</t>
  </si>
  <si>
    <t>4456KVD</t>
  </si>
  <si>
    <t>OPEL</t>
  </si>
  <si>
    <t>ASTRA 1.6 CDTI 110 CV</t>
  </si>
  <si>
    <t>6022MWV</t>
  </si>
  <si>
    <t>4500426701</t>
  </si>
  <si>
    <t>VR7CBZYA1ST000158</t>
  </si>
  <si>
    <t>CAE500066</t>
  </si>
  <si>
    <t>8298KZS</t>
  </si>
  <si>
    <t>10019946</t>
  </si>
  <si>
    <t>6007MWV</t>
  </si>
  <si>
    <t>200738</t>
  </si>
  <si>
    <t>4500424789</t>
  </si>
  <si>
    <t>VR7CBZYA9RT152179</t>
  </si>
  <si>
    <t>CAE500067</t>
  </si>
  <si>
    <t>9019LBN</t>
  </si>
  <si>
    <t>10049946</t>
  </si>
  <si>
    <t>6442MWV</t>
  </si>
  <si>
    <t>4500424798</t>
  </si>
  <si>
    <t>VR7CBZYA9RT153042</t>
  </si>
  <si>
    <t>CAE500068</t>
  </si>
  <si>
    <t>9105KTC</t>
  </si>
  <si>
    <t>1178MSX</t>
  </si>
  <si>
    <t>NISSAN</t>
  </si>
  <si>
    <t>TOWNSTAR</t>
  </si>
  <si>
    <t>724557</t>
  </si>
  <si>
    <t>VNVNFK00X70248339</t>
  </si>
  <si>
    <t>CAE500069</t>
  </si>
  <si>
    <t>4793KWD</t>
  </si>
  <si>
    <t>200783</t>
  </si>
  <si>
    <t>2705MXG</t>
  </si>
  <si>
    <t>4500426873</t>
  </si>
  <si>
    <t>VF1RFK00073934264</t>
  </si>
  <si>
    <t>CAE500070</t>
  </si>
  <si>
    <t>4296LBD</t>
  </si>
  <si>
    <t>10669121</t>
  </si>
  <si>
    <t>8626MWT</t>
  </si>
  <si>
    <t>4500426766</t>
  </si>
  <si>
    <t>VF1RFK00X73824810</t>
  </si>
  <si>
    <t>CAE500071</t>
  </si>
  <si>
    <t>7017KWW</t>
  </si>
  <si>
    <t>5360MXF</t>
  </si>
  <si>
    <t>4500426758</t>
  </si>
  <si>
    <t>VF1RFK00873824885</t>
  </si>
  <si>
    <t>CAE500072</t>
  </si>
  <si>
    <t>8891LBN</t>
  </si>
  <si>
    <t>1002</t>
  </si>
  <si>
    <t>G.O.INVERSIONES S.L.</t>
  </si>
  <si>
    <t>10029200</t>
  </si>
  <si>
    <t>6952MXF</t>
  </si>
  <si>
    <t>200370</t>
  </si>
  <si>
    <t>4500426808</t>
  </si>
  <si>
    <t>VF1RFK00873934304</t>
  </si>
  <si>
    <t>CAE500074</t>
  </si>
  <si>
    <t>7190JDY</t>
  </si>
  <si>
    <t>M/G</t>
  </si>
  <si>
    <t>OTROS</t>
  </si>
  <si>
    <t>8</t>
  </si>
  <si>
    <t>OTROS AUTORIZADOS</t>
  </si>
  <si>
    <t>TOYOTA</t>
  </si>
  <si>
    <t>AURIS</t>
  </si>
  <si>
    <t>2737MXG</t>
  </si>
  <si>
    <t>100599</t>
  </si>
  <si>
    <t>4500426786</t>
  </si>
  <si>
    <t>VF1RFK00573824889</t>
  </si>
  <si>
    <t>Es GASOLINA, pone M/G</t>
  </si>
  <si>
    <t>CAE500075</t>
  </si>
  <si>
    <t>4161FVT</t>
  </si>
  <si>
    <t>GASOIL</t>
  </si>
  <si>
    <t>CABSTAR 130 CV</t>
  </si>
  <si>
    <t>356004</t>
  </si>
  <si>
    <t>6037MWV</t>
  </si>
  <si>
    <t>356010</t>
  </si>
  <si>
    <t>4500426703</t>
  </si>
  <si>
    <t>VR7CBZYA9ST000165</t>
  </si>
  <si>
    <t>CAE500077</t>
  </si>
  <si>
    <t>4836MGD</t>
  </si>
  <si>
    <t>CLIO 1.5 DCI 100 CV</t>
  </si>
  <si>
    <t>2087MJP</t>
  </si>
  <si>
    <t>VF1RFK00670686992</t>
  </si>
  <si>
    <t>CAE500080</t>
  </si>
  <si>
    <t>7621KGX</t>
  </si>
  <si>
    <t>CLIO 1.5 DCI 75 CV</t>
  </si>
  <si>
    <t>725485</t>
  </si>
  <si>
    <t>0767MJM</t>
  </si>
  <si>
    <t>E-PARTNER PRO 100 KW</t>
  </si>
  <si>
    <t>VR3EAZKXZPJ701046</t>
  </si>
  <si>
    <t>CAE500081</t>
  </si>
  <si>
    <t>7706KJH</t>
  </si>
  <si>
    <t>0777MJM</t>
  </si>
  <si>
    <t>VR3EAZKXZPJ701037</t>
  </si>
  <si>
    <t>CAE500082</t>
  </si>
  <si>
    <t>5351MGK</t>
  </si>
  <si>
    <t>CLIO DCI 100 CV</t>
  </si>
  <si>
    <t>1666MGR</t>
  </si>
  <si>
    <t>VIVARO E-FURGON</t>
  </si>
  <si>
    <t>VXEV1ZKXZPZ019578</t>
  </si>
  <si>
    <t>CAE500083</t>
  </si>
  <si>
    <t>5262MGK</t>
  </si>
  <si>
    <t>1258MJM</t>
  </si>
  <si>
    <t>725441</t>
  </si>
  <si>
    <t>VF3V1ZKXZPZ027825</t>
  </si>
  <si>
    <t>CAE500084</t>
  </si>
  <si>
    <t>4655MGJ</t>
  </si>
  <si>
    <t>CORSA 1.5 D 100 CV</t>
  </si>
  <si>
    <t>1667MGR</t>
  </si>
  <si>
    <t>VXEV1ZKXZPZ019580</t>
  </si>
  <si>
    <t>CAE500086</t>
  </si>
  <si>
    <t>4223LJV</t>
  </si>
  <si>
    <t>VWRENTING</t>
  </si>
  <si>
    <t>VOLKSWAGEN</t>
  </si>
  <si>
    <t>CADDY 2.0 TDI 102 CV</t>
  </si>
  <si>
    <t>1507</t>
  </si>
  <si>
    <t>EMP.AG.POTABL.MALGRAT SA</t>
  </si>
  <si>
    <t>201507</t>
  </si>
  <si>
    <t>4621MVB</t>
  </si>
  <si>
    <t>VNVNFK00X70531114</t>
  </si>
  <si>
    <t>CAE500087</t>
  </si>
  <si>
    <t>3043KBJ</t>
  </si>
  <si>
    <t>CADDY 4*4 2.0 TDI 122 CV</t>
  </si>
  <si>
    <t>355458</t>
  </si>
  <si>
    <t>6128MWV</t>
  </si>
  <si>
    <t>4500424790</t>
  </si>
  <si>
    <t>VR7CBZYA8RT154442</t>
  </si>
  <si>
    <t>CAE500088</t>
  </si>
  <si>
    <t>3598LKS</t>
  </si>
  <si>
    <t>6087MWV</t>
  </si>
  <si>
    <t>4500424802</t>
  </si>
  <si>
    <t>VR7CBZYA7RT152214</t>
  </si>
  <si>
    <t>CAE500089</t>
  </si>
  <si>
    <t>5013LLF</t>
  </si>
  <si>
    <t>8387MXG</t>
  </si>
  <si>
    <t>4500426879</t>
  </si>
  <si>
    <t>VF1RFK00973934294</t>
  </si>
  <si>
    <t>CAE500091</t>
  </si>
  <si>
    <t>3569LKS</t>
  </si>
  <si>
    <t>355490</t>
  </si>
  <si>
    <t>8616MWT</t>
  </si>
  <si>
    <t>205351</t>
  </si>
  <si>
    <t>4500426787</t>
  </si>
  <si>
    <t>VF1RFK00273824803</t>
  </si>
  <si>
    <t>CAE500092</t>
  </si>
  <si>
    <t>5443LLD</t>
  </si>
  <si>
    <t>CADDY 4*4 2.0 TDI 122 CV KOMBI</t>
  </si>
  <si>
    <t>10019060</t>
  </si>
  <si>
    <t>6089MWV</t>
  </si>
  <si>
    <t>4500424812</t>
  </si>
  <si>
    <t>VR7CBZYA7RT152181</t>
  </si>
  <si>
    <t>CAE500093</t>
  </si>
  <si>
    <t>5493LLD</t>
  </si>
  <si>
    <t>101224</t>
  </si>
  <si>
    <t>6245MWV</t>
  </si>
  <si>
    <t>101243</t>
  </si>
  <si>
    <t>4500424806</t>
  </si>
  <si>
    <t>VR7CBZYA5RT153040</t>
  </si>
  <si>
    <t>Pone M/G</t>
  </si>
  <si>
    <t>M</t>
  </si>
  <si>
    <t>CAE500095</t>
  </si>
  <si>
    <t>3128GKL</t>
  </si>
  <si>
    <t>N3</t>
  </si>
  <si>
    <t>CAMION CISTERNA 18 TN</t>
  </si>
  <si>
    <t>357710</t>
  </si>
  <si>
    <t>8249MXG</t>
  </si>
  <si>
    <t>4500426783</t>
  </si>
  <si>
    <t>VF1RFK00273934279</t>
  </si>
  <si>
    <t>CAE500097</t>
  </si>
  <si>
    <t>9165FXM</t>
  </si>
  <si>
    <t>VOLVO</t>
  </si>
  <si>
    <t>CAMION CISTERNA 26 TN</t>
  </si>
  <si>
    <t>6125MWV</t>
  </si>
  <si>
    <t>4500424814</t>
  </si>
  <si>
    <t>VR7CBZYA4RT153045</t>
  </si>
  <si>
    <t>CAE500098</t>
  </si>
  <si>
    <t>V6288GB</t>
  </si>
  <si>
    <t>MITSUBISHI</t>
  </si>
  <si>
    <t>CAMION CISTERNA 3.5 TN</t>
  </si>
  <si>
    <t>357711</t>
  </si>
  <si>
    <t>6124MWV</t>
  </si>
  <si>
    <t>355703</t>
  </si>
  <si>
    <t>4500424819</t>
  </si>
  <si>
    <t>VR7CBZYA3RT154445</t>
  </si>
  <si>
    <t>Es N1</t>
  </si>
  <si>
    <t>CAE500099</t>
  </si>
  <si>
    <t>C0296BMW</t>
  </si>
  <si>
    <t>CICLOMOTOR TREKKER 50</t>
  </si>
  <si>
    <t>1490</t>
  </si>
  <si>
    <t>EMPRESA MIXTA CALPE</t>
  </si>
  <si>
    <t>208754</t>
  </si>
  <si>
    <t>7151MXV</t>
  </si>
  <si>
    <t>908755</t>
  </si>
  <si>
    <t>2025</t>
  </si>
  <si>
    <t>4500426844</t>
  </si>
  <si>
    <t>VF1RFK00073824864</t>
  </si>
  <si>
    <t>FALSO PROPIEDAD</t>
  </si>
  <si>
    <t>CAE500100</t>
  </si>
  <si>
    <t>5244MGJ</t>
  </si>
  <si>
    <t>1256MJM</t>
  </si>
  <si>
    <t>VF3V1ZKXZPZ010849</t>
  </si>
  <si>
    <t>CAE500101</t>
  </si>
  <si>
    <t>6742MGH</t>
  </si>
  <si>
    <t>1261MJM</t>
  </si>
  <si>
    <t>VF3V1ZKXZPZ005194</t>
  </si>
  <si>
    <t>CAE500103</t>
  </si>
  <si>
    <t>5188MGJ</t>
  </si>
  <si>
    <t>8654MCZ</t>
  </si>
  <si>
    <t>725565</t>
  </si>
  <si>
    <t>VF1RFK00670026502</t>
  </si>
  <si>
    <t>CAE500104</t>
  </si>
  <si>
    <t>5249MGJ</t>
  </si>
  <si>
    <t>8328MCZ</t>
  </si>
  <si>
    <t>725586</t>
  </si>
  <si>
    <t>VF1RFK00169330329</t>
  </si>
  <si>
    <t>CAE500105</t>
  </si>
  <si>
    <t>1918LMY</t>
  </si>
  <si>
    <t>CORSA 1.5 D100 CV</t>
  </si>
  <si>
    <t>725496</t>
  </si>
  <si>
    <t>2043MJP</t>
  </si>
  <si>
    <t>725472</t>
  </si>
  <si>
    <t>VF1RFK00670693201</t>
  </si>
  <si>
    <t>CAE500106</t>
  </si>
  <si>
    <t>2258JPC</t>
  </si>
  <si>
    <t>COMBO 1.3 CDTI 90 CV</t>
  </si>
  <si>
    <t>205335</t>
  </si>
  <si>
    <t>2062MJP</t>
  </si>
  <si>
    <t>VF1RFK00370927200</t>
  </si>
  <si>
    <t>CAE500107</t>
  </si>
  <si>
    <t>0290JLY</t>
  </si>
  <si>
    <t>1400</t>
  </si>
  <si>
    <t>EGEVASA</t>
  </si>
  <si>
    <t>208405</t>
  </si>
  <si>
    <t>3191MXJ</t>
  </si>
  <si>
    <t>208356</t>
  </si>
  <si>
    <t>4500426875</t>
  </si>
  <si>
    <t>VF1RFK00973824863</t>
  </si>
  <si>
    <t>CAE500108</t>
  </si>
  <si>
    <t>9094KRJ</t>
  </si>
  <si>
    <t>COMBO 1.3 CDTI 95 CV</t>
  </si>
  <si>
    <t>205324</t>
  </si>
  <si>
    <t>8623MCZ</t>
  </si>
  <si>
    <t>VF1RFK00870026503</t>
  </si>
  <si>
    <t>CAE500109</t>
  </si>
  <si>
    <t>6586KPD</t>
  </si>
  <si>
    <t>725468</t>
  </si>
  <si>
    <t>8868KDN</t>
  </si>
  <si>
    <t>VF1AGVYC058921527</t>
  </si>
  <si>
    <t>CAE500110</t>
  </si>
  <si>
    <t>7960KHZ</t>
  </si>
  <si>
    <t>CORSA 1.3 CDTI 75 CV 5P</t>
  </si>
  <si>
    <t>0210MWZ</t>
  </si>
  <si>
    <t>4500424902</t>
  </si>
  <si>
    <t>VR7CBZYA5RT153037</t>
  </si>
  <si>
    <t>CAE500111</t>
  </si>
  <si>
    <t>8288KJX</t>
  </si>
  <si>
    <t>356018</t>
  </si>
  <si>
    <t>6033MWV</t>
  </si>
  <si>
    <t>4500424801</t>
  </si>
  <si>
    <t>VR7CBZYAXRT152210</t>
  </si>
  <si>
    <t>CAE500112</t>
  </si>
  <si>
    <t>0426KHR</t>
  </si>
  <si>
    <t>2704MXG</t>
  </si>
  <si>
    <t>200599</t>
  </si>
  <si>
    <t>4500426846</t>
  </si>
  <si>
    <t>VF1RFK00073934278</t>
  </si>
  <si>
    <t>CAE500113</t>
  </si>
  <si>
    <t>2825KMP</t>
  </si>
  <si>
    <t>356001</t>
  </si>
  <si>
    <t>8637MWT</t>
  </si>
  <si>
    <t>4500426776</t>
  </si>
  <si>
    <t>VF1RFK00973824815</t>
  </si>
  <si>
    <t>CAE500114</t>
  </si>
  <si>
    <t>2179KNN</t>
  </si>
  <si>
    <t>350469</t>
  </si>
  <si>
    <t>5566KSD</t>
  </si>
  <si>
    <t>724359</t>
  </si>
  <si>
    <t>VF1AG000861226255</t>
  </si>
  <si>
    <t>CAE500115</t>
  </si>
  <si>
    <t>8170LCK</t>
  </si>
  <si>
    <t>EXPERT 1.5 HDI 102 CV</t>
  </si>
  <si>
    <t>306050</t>
  </si>
  <si>
    <t>8636MWT</t>
  </si>
  <si>
    <t>10669109</t>
  </si>
  <si>
    <t>4500426780</t>
  </si>
  <si>
    <t>VF1RFK00073824816</t>
  </si>
  <si>
    <t>CAE500116</t>
  </si>
  <si>
    <t>3310MDB</t>
  </si>
  <si>
    <t>EXPRESS 1.5 DCI 95 CV</t>
  </si>
  <si>
    <t>6445MWV</t>
  </si>
  <si>
    <t>4500424838</t>
  </si>
  <si>
    <t>VR7CBZYAXRT153017</t>
  </si>
  <si>
    <t>CAE500117</t>
  </si>
  <si>
    <t>1722MGL</t>
  </si>
  <si>
    <t>5020MWL</t>
  </si>
  <si>
    <t>205337</t>
  </si>
  <si>
    <t>4500423385</t>
  </si>
  <si>
    <t>VNVNFK00571491969</t>
  </si>
  <si>
    <t>CAE500119</t>
  </si>
  <si>
    <t>8677MGK</t>
  </si>
  <si>
    <t>725400</t>
  </si>
  <si>
    <t>6847MWL</t>
  </si>
  <si>
    <t>4500423384</t>
  </si>
  <si>
    <t>VNVNFK00171491399</t>
  </si>
  <si>
    <t>CAE500120</t>
  </si>
  <si>
    <t>2502LZC</t>
  </si>
  <si>
    <t>8539MDK</t>
  </si>
  <si>
    <t>VF1RFK00170026505</t>
  </si>
  <si>
    <t>CAE500121</t>
  </si>
  <si>
    <t>2842LYK</t>
  </si>
  <si>
    <t>8533MDK</t>
  </si>
  <si>
    <t>VF1RFK00370026442</t>
  </si>
  <si>
    <t>CAE500122</t>
  </si>
  <si>
    <t>3264MDB</t>
  </si>
  <si>
    <t>4073MXK</t>
  </si>
  <si>
    <t>205584</t>
  </si>
  <si>
    <t>4500426777</t>
  </si>
  <si>
    <t>VF1RFK00073824878</t>
  </si>
  <si>
    <t>CAE500123</t>
  </si>
  <si>
    <t>9778KJG</t>
  </si>
  <si>
    <t>GLP</t>
  </si>
  <si>
    <t>CROSSLAND X 1.2 80 CV GLP</t>
  </si>
  <si>
    <t>0213MWZ</t>
  </si>
  <si>
    <t>4500424867</t>
  </si>
  <si>
    <t>VR7CBZYA6RT153032</t>
  </si>
  <si>
    <t>CAE500125</t>
  </si>
  <si>
    <t>0842KVR</t>
  </si>
  <si>
    <t>B/GLP</t>
  </si>
  <si>
    <t>12009082</t>
  </si>
  <si>
    <t>0224MWZ</t>
  </si>
  <si>
    <t>4500424886</t>
  </si>
  <si>
    <t>VR7CBZYA2RT153027</t>
  </si>
  <si>
    <t>CAE500126</t>
  </si>
  <si>
    <t>2316KZH</t>
  </si>
  <si>
    <t>CROSSLAND X 1.5 CDTI 102 CV</t>
  </si>
  <si>
    <t>1591</t>
  </si>
  <si>
    <t>EMP.MUN.SERVEIS PUBLICS</t>
  </si>
  <si>
    <t>201591</t>
  </si>
  <si>
    <t>1428KDP</t>
  </si>
  <si>
    <t>VF1AGVYC059144786</t>
  </si>
  <si>
    <t>CAE500127</t>
  </si>
  <si>
    <t>6909MPH</t>
  </si>
  <si>
    <t>725498</t>
  </si>
  <si>
    <t>8597MWT</t>
  </si>
  <si>
    <t>205571</t>
  </si>
  <si>
    <t>4500426784</t>
  </si>
  <si>
    <t>VF1RFK00973824801</t>
  </si>
  <si>
    <t>CAE500128</t>
  </si>
  <si>
    <t>6937MPH</t>
  </si>
  <si>
    <t>8601MWT</t>
  </si>
  <si>
    <t>4500426757</t>
  </si>
  <si>
    <t>VF1RFK00073824783</t>
  </si>
  <si>
    <t>CAE500129</t>
  </si>
  <si>
    <t>7017MPH</t>
  </si>
  <si>
    <t>8603MWT</t>
  </si>
  <si>
    <t>4500426788</t>
  </si>
  <si>
    <t>VF1RFK00673824805</t>
  </si>
  <si>
    <t>CAE500130</t>
  </si>
  <si>
    <t>6901MPH</t>
  </si>
  <si>
    <t>8617MWT</t>
  </si>
  <si>
    <t>205327</t>
  </si>
  <si>
    <t>4500426773</t>
  </si>
  <si>
    <t>VF1RFK00573824794</t>
  </si>
  <si>
    <t>CAE500131</t>
  </si>
  <si>
    <t>8497MPH</t>
  </si>
  <si>
    <t>355470</t>
  </si>
  <si>
    <t>8618MWT</t>
  </si>
  <si>
    <t>4500426845</t>
  </si>
  <si>
    <t>VF1RFK00X73824807</t>
  </si>
  <si>
    <t>CAE500132</t>
  </si>
  <si>
    <t>5875KPY</t>
  </si>
  <si>
    <t>NORTHGATE</t>
  </si>
  <si>
    <t>FIAT</t>
  </si>
  <si>
    <t>FIORINO 1.3 MULTIJET 80 CV</t>
  </si>
  <si>
    <t>2340MGR</t>
  </si>
  <si>
    <t>VXEV1ZKXZPZ019575</t>
  </si>
  <si>
    <t>CAE500133</t>
  </si>
  <si>
    <t>0360KLY</t>
  </si>
  <si>
    <t>KANGOO</t>
  </si>
  <si>
    <t>0693MWT</t>
  </si>
  <si>
    <t>4500426790</t>
  </si>
  <si>
    <t>VF1RFK00873824837</t>
  </si>
  <si>
    <t>CAE500134</t>
  </si>
  <si>
    <t>0824MCY</t>
  </si>
  <si>
    <t>SKODA</t>
  </si>
  <si>
    <t>KAROQ 2.0 TDI 150 CV DSG</t>
  </si>
  <si>
    <t>205051</t>
  </si>
  <si>
    <t>0800MJM</t>
  </si>
  <si>
    <t>VR3EAZKXZPJ701039</t>
  </si>
  <si>
    <t>CAE500136</t>
  </si>
  <si>
    <t>2653LTG</t>
  </si>
  <si>
    <t>LEON 2.0 TDI</t>
  </si>
  <si>
    <t>900074</t>
  </si>
  <si>
    <t>6439MWV</t>
  </si>
  <si>
    <t>4500424787</t>
  </si>
  <si>
    <t>VR7CBZYA6RT152219</t>
  </si>
  <si>
    <t>CAE500137</t>
  </si>
  <si>
    <t>3452LZP</t>
  </si>
  <si>
    <t>MASTER L2H2 2.3 DCI 135 CV</t>
  </si>
  <si>
    <t>356016</t>
  </si>
  <si>
    <t>0682MWF</t>
  </si>
  <si>
    <t>VNVNFK00171491645</t>
  </si>
  <si>
    <t>CAE500138</t>
  </si>
  <si>
    <t>6529LTJ</t>
  </si>
  <si>
    <t>MEGANE DCI 115 CV</t>
  </si>
  <si>
    <t>3116MXJ</t>
  </si>
  <si>
    <t>724362</t>
  </si>
  <si>
    <t>4500426850</t>
  </si>
  <si>
    <t>VF1RFK00673934284</t>
  </si>
  <si>
    <t>CAE500139</t>
  </si>
  <si>
    <t>0289LJZ</t>
  </si>
  <si>
    <t>3103MXJ</t>
  </si>
  <si>
    <t>VF1RFK00373934288</t>
  </si>
  <si>
    <t>CAE500141</t>
  </si>
  <si>
    <t>9763LDB</t>
  </si>
  <si>
    <t>GRANDLAND X 1.5 CDTI 130 CV</t>
  </si>
  <si>
    <t>10019700</t>
  </si>
  <si>
    <t>2732MWP</t>
  </si>
  <si>
    <t>4500424775</t>
  </si>
  <si>
    <t>VR7CBZYA6RT152186</t>
  </si>
  <si>
    <t>CAE500143</t>
  </si>
  <si>
    <t>9504LDD</t>
  </si>
  <si>
    <t>10019931</t>
  </si>
  <si>
    <t>6097MWV</t>
  </si>
  <si>
    <t>4500424813</t>
  </si>
  <si>
    <t>VR7CBZYA1RT152192</t>
  </si>
  <si>
    <t>CAE500144</t>
  </si>
  <si>
    <t>9106LCH</t>
  </si>
  <si>
    <t>15059580</t>
  </si>
  <si>
    <t>2076MJP</t>
  </si>
  <si>
    <t>VF1RFK00370927245</t>
  </si>
  <si>
    <t>CAE500145</t>
  </si>
  <si>
    <t>3447KFH</t>
  </si>
  <si>
    <t>NV 200 1.5 DCI 90 CV</t>
  </si>
  <si>
    <t>8697MCZ</t>
  </si>
  <si>
    <t>VF1RFK00869330327</t>
  </si>
  <si>
    <t>CAE500147</t>
  </si>
  <si>
    <t>5682FHK</t>
  </si>
  <si>
    <t>INTERSTAR</t>
  </si>
  <si>
    <t>356011</t>
  </si>
  <si>
    <t>6005MWV</t>
  </si>
  <si>
    <t>4500424804</t>
  </si>
  <si>
    <t>VR7CBZYA1RT152211</t>
  </si>
  <si>
    <t>CAE500148</t>
  </si>
  <si>
    <t>1947LMM</t>
  </si>
  <si>
    <t>NV250 1.5 DCI L1H1 95 CV</t>
  </si>
  <si>
    <t>8867KDN</t>
  </si>
  <si>
    <t>VF1AGVYC058921493</t>
  </si>
  <si>
    <t>CAE500149</t>
  </si>
  <si>
    <t>9977LLM</t>
  </si>
  <si>
    <t>KANGOO 1.5 DCI 95 CV KOMBI</t>
  </si>
  <si>
    <t>354093</t>
  </si>
  <si>
    <t>6559MWV</t>
  </si>
  <si>
    <t>724358</t>
  </si>
  <si>
    <t>4500425488</t>
  </si>
  <si>
    <t>VR7CBZYA2RT153044</t>
  </si>
  <si>
    <t>CAE500150</t>
  </si>
  <si>
    <t>3595KDF</t>
  </si>
  <si>
    <t>PARTNER 1.6 HDI 75 CV</t>
  </si>
  <si>
    <t>2343MGR</t>
  </si>
  <si>
    <t>VXEV1ZKXZPZ019576</t>
  </si>
  <si>
    <t>CAE500151</t>
  </si>
  <si>
    <t>5919LKM</t>
  </si>
  <si>
    <t>LEON 1.6 TDI 115 CV</t>
  </si>
  <si>
    <t>6055MWV</t>
  </si>
  <si>
    <t>4500424803</t>
  </si>
  <si>
    <t>VR7CBZYAXRT152188</t>
  </si>
  <si>
    <t>CAE500152</t>
  </si>
  <si>
    <t>7229LKV</t>
  </si>
  <si>
    <t>6084MWV</t>
  </si>
  <si>
    <t>4500424818</t>
  </si>
  <si>
    <t>VR7CBZYA5RT152194</t>
  </si>
  <si>
    <t>CAE500153</t>
  </si>
  <si>
    <t>5996LKM</t>
  </si>
  <si>
    <t>8647MWT</t>
  </si>
  <si>
    <t>10669105</t>
  </si>
  <si>
    <t>4500426761</t>
  </si>
  <si>
    <t>VF1RFK00173824808</t>
  </si>
  <si>
    <t>CAE500154</t>
  </si>
  <si>
    <t>0019LLR</t>
  </si>
  <si>
    <t>8619MWT</t>
  </si>
  <si>
    <t>205359</t>
  </si>
  <si>
    <t>4500426770</t>
  </si>
  <si>
    <t>VF1RFK00873824790</t>
  </si>
  <si>
    <t>CAE500155</t>
  </si>
  <si>
    <t>4535KFH</t>
  </si>
  <si>
    <t>8675MCZ</t>
  </si>
  <si>
    <t>VF1RFK00569907668</t>
  </si>
  <si>
    <t>CAE500156</t>
  </si>
  <si>
    <t>9191HTG</t>
  </si>
  <si>
    <t>PIAGGIO</t>
  </si>
  <si>
    <t>LIBERTY 125 CC</t>
  </si>
  <si>
    <t>4000MWL</t>
  </si>
  <si>
    <t>4500423383</t>
  </si>
  <si>
    <t>VNVNFK00071492253</t>
  </si>
  <si>
    <t>CAE500157</t>
  </si>
  <si>
    <t>0297JBF</t>
  </si>
  <si>
    <t>4004MWL</t>
  </si>
  <si>
    <t>4500423228</t>
  </si>
  <si>
    <t>VNVNFK00571491972</t>
  </si>
  <si>
    <t>CAE500159</t>
  </si>
  <si>
    <t>9244JFB</t>
  </si>
  <si>
    <t>0700MWT</t>
  </si>
  <si>
    <t>4500426792</t>
  </si>
  <si>
    <t>VF1RFK00X73824841</t>
  </si>
  <si>
    <t>CAE500160</t>
  </si>
  <si>
    <t>0305JBF</t>
  </si>
  <si>
    <t>0701MWT</t>
  </si>
  <si>
    <t>4500426840</t>
  </si>
  <si>
    <t>VF1RFK00573824844</t>
  </si>
  <si>
    <t>CAE500161</t>
  </si>
  <si>
    <t>2042MSX</t>
  </si>
  <si>
    <t>MALCO</t>
  </si>
  <si>
    <t>PARTNER 2024 STANDARD</t>
  </si>
  <si>
    <t>6444MWV</t>
  </si>
  <si>
    <t>4500424800</t>
  </si>
  <si>
    <t>VR7CBZYA4RT154440</t>
  </si>
  <si>
    <t>CAE500162</t>
  </si>
  <si>
    <t>2056MSX</t>
  </si>
  <si>
    <t>6558MWV</t>
  </si>
  <si>
    <t>724361</t>
  </si>
  <si>
    <t>4500424799</t>
  </si>
  <si>
    <t>VR7CBZYA0RT153043</t>
  </si>
  <si>
    <t>CAE500163</t>
  </si>
  <si>
    <t>6994KGK</t>
  </si>
  <si>
    <t>208 1.2 82 CV</t>
  </si>
  <si>
    <t>350468</t>
  </si>
  <si>
    <t>1165MSX</t>
  </si>
  <si>
    <t>VNVNFK00671230883</t>
  </si>
  <si>
    <t>CAE500164</t>
  </si>
  <si>
    <t>2138CTS</t>
  </si>
  <si>
    <t>CEDIDO</t>
  </si>
  <si>
    <t>CEDIDO (por ayto, planta.</t>
  </si>
  <si>
    <t>IVECO</t>
  </si>
  <si>
    <t>ML 180</t>
  </si>
  <si>
    <t>6398MWV</t>
  </si>
  <si>
    <t>4500424827</t>
  </si>
  <si>
    <t>VR7CBZYA9RT152196</t>
  </si>
  <si>
    <t>CAE500165</t>
  </si>
  <si>
    <t>0351JWC</t>
  </si>
  <si>
    <t>MOVANO 2.3 CDTI 130 CV</t>
  </si>
  <si>
    <t>14009609</t>
  </si>
  <si>
    <t>3157MXJ</t>
  </si>
  <si>
    <t>368540</t>
  </si>
  <si>
    <t>4500427622</t>
  </si>
  <si>
    <t>VF1RFK00373824857</t>
  </si>
  <si>
    <t>CAE500167</t>
  </si>
  <si>
    <t>4450LLV</t>
  </si>
  <si>
    <t>MULTIVAN 2.0 TDI 198 CV</t>
  </si>
  <si>
    <t>6271MXF</t>
  </si>
  <si>
    <t>4500426868</t>
  </si>
  <si>
    <t>VF1RFK00173934256</t>
  </si>
  <si>
    <t>CAE500168</t>
  </si>
  <si>
    <t>2675KGJ</t>
  </si>
  <si>
    <t>9605MMH</t>
  </si>
  <si>
    <t>724378</t>
  </si>
  <si>
    <t>VF1RFK00770927247</t>
  </si>
  <si>
    <t>CAE500169</t>
  </si>
  <si>
    <t>2678KGJ</t>
  </si>
  <si>
    <t>1108KHK</t>
  </si>
  <si>
    <t>4500408050</t>
  </si>
  <si>
    <t>VF1AGVYF059267966</t>
  </si>
  <si>
    <t>CAE500170</t>
  </si>
  <si>
    <t>4533JFF</t>
  </si>
  <si>
    <t>BOXER 110 CV</t>
  </si>
  <si>
    <t>5665MWP</t>
  </si>
  <si>
    <t>4500424795</t>
  </si>
  <si>
    <t>VR7CBZYA3RT152209</t>
  </si>
  <si>
    <t>CAE500171</t>
  </si>
  <si>
    <t>9305LMG</t>
  </si>
  <si>
    <t>PARTNER 1.5 HDI 98 CV</t>
  </si>
  <si>
    <t>6126MWV</t>
  </si>
  <si>
    <t>4500424816</t>
  </si>
  <si>
    <t>VR7CBZYAXRT154443</t>
  </si>
  <si>
    <t>CAE500172</t>
  </si>
  <si>
    <t>5937LLV</t>
  </si>
  <si>
    <t>6102MWV</t>
  </si>
  <si>
    <t>4500424815</t>
  </si>
  <si>
    <t>VR7CBZYA3RT152193</t>
  </si>
  <si>
    <t>CAE500173</t>
  </si>
  <si>
    <t>7001LLV</t>
  </si>
  <si>
    <t>9546MWW</t>
  </si>
  <si>
    <t>4500424817</t>
  </si>
  <si>
    <t>VR7CBZYA4RT152199</t>
  </si>
  <si>
    <t>CAE500174</t>
  </si>
  <si>
    <t>5949LLV</t>
  </si>
  <si>
    <t>8994MSH</t>
  </si>
  <si>
    <t>VNVNFK00770531118</t>
  </si>
  <si>
    <t>CAE500175</t>
  </si>
  <si>
    <t>4926LMS</t>
  </si>
  <si>
    <t>6334MXF</t>
  </si>
  <si>
    <t>4500426867</t>
  </si>
  <si>
    <t>VF1RFK00073934281</t>
  </si>
  <si>
    <t>CAE500176</t>
  </si>
  <si>
    <t>5918LLV</t>
  </si>
  <si>
    <t>8436MXG</t>
  </si>
  <si>
    <t>4500426765</t>
  </si>
  <si>
    <t>VF1RFK00173934306</t>
  </si>
  <si>
    <t>CAE500179</t>
  </si>
  <si>
    <t>3575LMF</t>
  </si>
  <si>
    <t>8496MXG</t>
  </si>
  <si>
    <t>355529</t>
  </si>
  <si>
    <t>4500428761</t>
  </si>
  <si>
    <t>VF1RFK00973934263</t>
  </si>
  <si>
    <t>CAE500180</t>
  </si>
  <si>
    <t>5969LLV</t>
  </si>
  <si>
    <t>1009</t>
  </si>
  <si>
    <t>GAMASER</t>
  </si>
  <si>
    <t>351379</t>
  </si>
  <si>
    <t>7830MXF</t>
  </si>
  <si>
    <t>4500426871</t>
  </si>
  <si>
    <t>VF1RFK00073934295</t>
  </si>
  <si>
    <t>CAE500187</t>
  </si>
  <si>
    <t>6736LLV</t>
  </si>
  <si>
    <t>3154MXJ</t>
  </si>
  <si>
    <t>VF1RFK00673934303</t>
  </si>
  <si>
    <t>CAE500188</t>
  </si>
  <si>
    <t>7015LLV</t>
  </si>
  <si>
    <t>3178MXJ</t>
  </si>
  <si>
    <t>VF1RFK00573934261</t>
  </si>
  <si>
    <t>CAE500189</t>
  </si>
  <si>
    <t>6987LLV</t>
  </si>
  <si>
    <t>3186MXJ</t>
  </si>
  <si>
    <t>VF1RFK00473934266</t>
  </si>
  <si>
    <t>CAE500190</t>
  </si>
  <si>
    <t>6741LLV</t>
  </si>
  <si>
    <t>208351</t>
  </si>
  <si>
    <t>3214MXJ</t>
  </si>
  <si>
    <t>VF1RFK00873934299</t>
  </si>
  <si>
    <t>CAE500191</t>
  </si>
  <si>
    <t>6794LLV</t>
  </si>
  <si>
    <t>1319</t>
  </si>
  <si>
    <t>UTE CHIVA(AV/EG)</t>
  </si>
  <si>
    <t>201319</t>
  </si>
  <si>
    <t>5230MXL</t>
  </si>
  <si>
    <t>4500426843</t>
  </si>
  <si>
    <t>VF1RFK00773824876</t>
  </si>
  <si>
    <t>CAE500192</t>
  </si>
  <si>
    <t>5932LLV</t>
  </si>
  <si>
    <t>205222</t>
  </si>
  <si>
    <t>8624MWT</t>
  </si>
  <si>
    <t>4500426782</t>
  </si>
  <si>
    <t>VF1RFK00273824798</t>
  </si>
  <si>
    <t>CAE500194</t>
  </si>
  <si>
    <t>6756LLV</t>
  </si>
  <si>
    <t>8625MWT</t>
  </si>
  <si>
    <t>4500426759</t>
  </si>
  <si>
    <t>VF1RFK00X73824788</t>
  </si>
  <si>
    <t>CAE500196</t>
  </si>
  <si>
    <t>7052LLV</t>
  </si>
  <si>
    <t>10049629</t>
  </si>
  <si>
    <t>8711MXK</t>
  </si>
  <si>
    <t>VF1RFK00673934270</t>
  </si>
  <si>
    <t>CAE500197</t>
  </si>
  <si>
    <t>8983LFG</t>
  </si>
  <si>
    <t>GAS LICUADO PETROLEO</t>
  </si>
  <si>
    <t>CABSTAR GRUA</t>
  </si>
  <si>
    <t>8627MWT</t>
  </si>
  <si>
    <t>4500426785</t>
  </si>
  <si>
    <t>VF1RFK00273824817</t>
  </si>
  <si>
    <t>CAE500198</t>
  </si>
  <si>
    <t>6338KKX</t>
  </si>
  <si>
    <t>CABSTAR NT400</t>
  </si>
  <si>
    <t>8634MWT</t>
  </si>
  <si>
    <t>4500426851</t>
  </si>
  <si>
    <t>VF1RFK00873824823</t>
  </si>
  <si>
    <t>CAE500200</t>
  </si>
  <si>
    <t>7431JTL</t>
  </si>
  <si>
    <t>CORSA 1.4 90 CV</t>
  </si>
  <si>
    <t>1177MSX</t>
  </si>
  <si>
    <t>VNVNFK00770690091</t>
  </si>
  <si>
    <t>CAE500201</t>
  </si>
  <si>
    <t>1188JZF</t>
  </si>
  <si>
    <t>GASOIL (DIESEL)</t>
  </si>
  <si>
    <t>HYLUX 2.4 KOMBI</t>
  </si>
  <si>
    <t>1066MWL</t>
  </si>
  <si>
    <t>Ë-BERLINGO 136 CV</t>
  </si>
  <si>
    <t>VR7EMZKUXRJ852424</t>
  </si>
  <si>
    <t>CAE500204</t>
  </si>
  <si>
    <t>9052KZG</t>
  </si>
  <si>
    <t>ARVAL SERV</t>
  </si>
  <si>
    <t>RAV 4 2.5 LUXURY 4WD</t>
  </si>
  <si>
    <t>2720MWP</t>
  </si>
  <si>
    <t>4500424788</t>
  </si>
  <si>
    <t>VR7CBZYA5RT152213</t>
  </si>
  <si>
    <t>CAE500208</t>
  </si>
  <si>
    <t>2657KZK</t>
  </si>
  <si>
    <t>10019920</t>
  </si>
  <si>
    <t>2722MXG</t>
  </si>
  <si>
    <t>4500426793</t>
  </si>
  <si>
    <t>VF1RFK00573824892</t>
  </si>
  <si>
    <t>Es DIESEL</t>
  </si>
  <si>
    <t>CAE500210</t>
  </si>
  <si>
    <t>7656KSV</t>
  </si>
  <si>
    <t>SCANIA</t>
  </si>
  <si>
    <t>RSU</t>
  </si>
  <si>
    <t>1006</t>
  </si>
  <si>
    <t>ARAGONESA SER.PUBLICOS SL</t>
  </si>
  <si>
    <t>733618</t>
  </si>
  <si>
    <t>1954MXT</t>
  </si>
  <si>
    <t>200652</t>
  </si>
  <si>
    <t>4500426789</t>
  </si>
  <si>
    <t>ARAGON</t>
  </si>
  <si>
    <t>VF1RFK00673824884</t>
  </si>
  <si>
    <t>CAE500211</t>
  </si>
  <si>
    <t>7992FRV</t>
  </si>
  <si>
    <t>RSU - CARTONERO</t>
  </si>
  <si>
    <t>1970MXT</t>
  </si>
  <si>
    <t>4500426778</t>
  </si>
  <si>
    <t>VF1RFK00473824883</t>
  </si>
  <si>
    <t>CAE500221</t>
  </si>
  <si>
    <t>T5455BB</t>
  </si>
  <si>
    <t>FORD</t>
  </si>
  <si>
    <t>TRANSIT 1.8 TDCI 80 CV</t>
  </si>
  <si>
    <t>0778MJM</t>
  </si>
  <si>
    <t>VR3EAZKXZPJ701041</t>
  </si>
  <si>
    <t>CAE500226</t>
  </si>
  <si>
    <t>1751LHM</t>
  </si>
  <si>
    <t>T-ROC 1.6 TDI 115 CV</t>
  </si>
  <si>
    <t>10099039</t>
  </si>
  <si>
    <t>7775MXF</t>
  </si>
  <si>
    <t>350108</t>
  </si>
  <si>
    <t>4500426769</t>
  </si>
  <si>
    <t>VF1RFK00773934312</t>
  </si>
  <si>
    <t>CAE500230</t>
  </si>
  <si>
    <t>7970LKX</t>
  </si>
  <si>
    <t>V60 2.0 T6 AWD 340 CV</t>
  </si>
  <si>
    <t>12009935</t>
  </si>
  <si>
    <t>3111MWZ</t>
  </si>
  <si>
    <t>4500424893</t>
  </si>
  <si>
    <t>VR7CBZYA9RT154434</t>
  </si>
  <si>
    <t>Es GASOLINA</t>
  </si>
  <si>
    <t>CAE500231</t>
  </si>
  <si>
    <t>5239JVL</t>
  </si>
  <si>
    <t>M1G</t>
  </si>
  <si>
    <t>XC 60 2.4 D4 AWD SUMMUM</t>
  </si>
  <si>
    <t>2717MXG</t>
  </si>
  <si>
    <t>4500426795</t>
  </si>
  <si>
    <t>VF1RFK00473824897</t>
  </si>
  <si>
    <t>CAE500235</t>
  </si>
  <si>
    <t>0383LKK</t>
  </si>
  <si>
    <t>XC40 1.5 T5 TRI 262 CV</t>
  </si>
  <si>
    <t>3095MWZ</t>
  </si>
  <si>
    <t>4500424883</t>
  </si>
  <si>
    <t>VR7CBZYA9RT153025</t>
  </si>
  <si>
    <t>CAE500236</t>
  </si>
  <si>
    <t>4719KYS</t>
  </si>
  <si>
    <t>XC60</t>
  </si>
  <si>
    <t>15059901</t>
  </si>
  <si>
    <t>8877KDN</t>
  </si>
  <si>
    <t>VF1AGVYC058921366</t>
  </si>
  <si>
    <t>CAE500253</t>
  </si>
  <si>
    <t>7962LKX</t>
  </si>
  <si>
    <t>XC60 2.0 T6 AWD 340 CV</t>
  </si>
  <si>
    <t>10019904</t>
  </si>
  <si>
    <t>6083MWV</t>
  </si>
  <si>
    <t>4500424797</t>
  </si>
  <si>
    <t>VR7CBZYA4RT152185</t>
  </si>
  <si>
    <t>Es M1G y GASOLINA-Híbrido Enchufable (PHEV)</t>
  </si>
  <si>
    <t>MIRAR</t>
  </si>
  <si>
    <t>Fecha Devolución</t>
  </si>
  <si>
    <t>F3</t>
  </si>
  <si>
    <t>VEHICULO DADO DE BAJA</t>
  </si>
  <si>
    <t>SUSTITUCIÓN A VEHICULO ELECTRICO</t>
  </si>
  <si>
    <t>CÁLCULO DE AHORROS</t>
  </si>
  <si>
    <t>OK DE GF</t>
  </si>
  <si>
    <t>Combustible</t>
  </si>
  <si>
    <t>CALCULO GF</t>
  </si>
  <si>
    <t>3299KTP</t>
  </si>
  <si>
    <t>XC40 2.0 D3 AWD MOMENTUM</t>
  </si>
  <si>
    <t>8001</t>
  </si>
  <si>
    <t>FUCSA</t>
  </si>
  <si>
    <t>4215KVS</t>
  </si>
  <si>
    <t>PRE-ENTREGA</t>
  </si>
  <si>
    <t>1201</t>
  </si>
  <si>
    <t>SASTESA</t>
  </si>
  <si>
    <t>352094</t>
  </si>
  <si>
    <t>B36750049</t>
  </si>
  <si>
    <t>BOBCAT</t>
  </si>
  <si>
    <t>MANIPULADORA TELESCOPICA</t>
  </si>
  <si>
    <t>1326</t>
  </si>
  <si>
    <t>UTE EDAR TABLADA</t>
  </si>
  <si>
    <t>721326</t>
  </si>
  <si>
    <t>5554FNN</t>
  </si>
  <si>
    <t>VIVARO 2.0 CDTI 114 CV</t>
  </si>
  <si>
    <t>1069</t>
  </si>
  <si>
    <t>JEMAR E HIJOS S.L.</t>
  </si>
  <si>
    <t>CAE500009</t>
  </si>
  <si>
    <t>0962LBT</t>
  </si>
  <si>
    <t>WASTERENT</t>
  </si>
  <si>
    <t>EUROCARGO 180</t>
  </si>
  <si>
    <t>730629</t>
  </si>
  <si>
    <t>CAE500021</t>
  </si>
  <si>
    <t>0986LVB</t>
  </si>
  <si>
    <t>FM 500 4 EJES</t>
  </si>
  <si>
    <t>CAE500022</t>
  </si>
  <si>
    <t>1469CWR</t>
  </si>
  <si>
    <t>PREMIUM 440</t>
  </si>
  <si>
    <t>CAE500023</t>
  </si>
  <si>
    <t>1473CWR</t>
  </si>
  <si>
    <t>MAGNUM 480 18 T</t>
  </si>
  <si>
    <t>CAE500024</t>
  </si>
  <si>
    <t>1601JCF</t>
  </si>
  <si>
    <t>460</t>
  </si>
  <si>
    <t>CAE500025</t>
  </si>
  <si>
    <t>4006CVG</t>
  </si>
  <si>
    <t>FH 12 D 460</t>
  </si>
  <si>
    <t>CAE500026</t>
  </si>
  <si>
    <t>5106JCS</t>
  </si>
  <si>
    <t>FM 11450</t>
  </si>
  <si>
    <t>CAE500027</t>
  </si>
  <si>
    <t>6112LXB</t>
  </si>
  <si>
    <t>XC 90 B5 D 235 CV</t>
  </si>
  <si>
    <t>CAE500028</t>
  </si>
  <si>
    <t>7275KFD</t>
  </si>
  <si>
    <t>CAE500029</t>
  </si>
  <si>
    <t>8343CKG</t>
  </si>
  <si>
    <t>FM 12380- 3 EJES</t>
  </si>
  <si>
    <t>CAE500031</t>
  </si>
  <si>
    <t>9438LGT</t>
  </si>
  <si>
    <t>T 480</t>
  </si>
  <si>
    <t>CAE500032</t>
  </si>
  <si>
    <t>E1476BDM</t>
  </si>
  <si>
    <t>JOHN DEERE</t>
  </si>
  <si>
    <t>TRACTOR AGRICOLA</t>
  </si>
  <si>
    <t>CAE500033</t>
  </si>
  <si>
    <t>R0732BDB</t>
  </si>
  <si>
    <t>LEGRAS</t>
  </si>
  <si>
    <t>SBS2220</t>
  </si>
  <si>
    <t>CAE500034</t>
  </si>
  <si>
    <t>R1645BBR</t>
  </si>
  <si>
    <t>LECITRAILER</t>
  </si>
  <si>
    <t>3E20</t>
  </si>
  <si>
    <t>CAE500035</t>
  </si>
  <si>
    <t>R4952BBT</t>
  </si>
  <si>
    <t>TISVOL</t>
  </si>
  <si>
    <t>950190LAL</t>
  </si>
  <si>
    <t>CAE500036</t>
  </si>
  <si>
    <t>R4991BCP</t>
  </si>
  <si>
    <t>GRANALU</t>
  </si>
  <si>
    <t>PM 136</t>
  </si>
  <si>
    <t>CAE500037</t>
  </si>
  <si>
    <t>R7781BCD</t>
  </si>
  <si>
    <t>H 1700</t>
  </si>
  <si>
    <t>CAE500038</t>
  </si>
  <si>
    <t>R9871BBD</t>
  </si>
  <si>
    <t>A 960170 EAL</t>
  </si>
  <si>
    <t>CAE500039</t>
  </si>
  <si>
    <t>V1409HD</t>
  </si>
  <si>
    <t>MERCEDES</t>
  </si>
  <si>
    <t>SK2538 3 EJES</t>
  </si>
  <si>
    <t>CAE500040</t>
  </si>
  <si>
    <t>V15847R</t>
  </si>
  <si>
    <t>1010170 EAL BASCULANTE</t>
  </si>
  <si>
    <t>CAE500041</t>
  </si>
  <si>
    <t>V96122VE</t>
  </si>
  <si>
    <t>CASE</t>
  </si>
  <si>
    <t>PALA CARGADORA</t>
  </si>
  <si>
    <t>CAE500042</t>
  </si>
  <si>
    <t>9752BFB</t>
  </si>
  <si>
    <t>CAMION RSU</t>
  </si>
  <si>
    <t>CAE500043</t>
  </si>
  <si>
    <t>0722KVP</t>
  </si>
  <si>
    <t>208379</t>
  </si>
  <si>
    <t>CAE500048</t>
  </si>
  <si>
    <t>1541LDT</t>
  </si>
  <si>
    <t>733615</t>
  </si>
  <si>
    <t>CAE500049</t>
  </si>
  <si>
    <t>6426GPD</t>
  </si>
  <si>
    <t>CAE500052</t>
  </si>
  <si>
    <t>2933GFR</t>
  </si>
  <si>
    <t>R 420 L4X2MNA</t>
  </si>
  <si>
    <t>CAE500053</t>
  </si>
  <si>
    <t>3264KSC</t>
  </si>
  <si>
    <t>CAE500062</t>
  </si>
  <si>
    <t>4979LFG</t>
  </si>
  <si>
    <t>MÉGANE 1.5 DCI 110CV</t>
  </si>
  <si>
    <t>8009</t>
  </si>
  <si>
    <t>VALORIA 2015 SLU</t>
  </si>
  <si>
    <t>CAE500063</t>
  </si>
  <si>
    <t>4939LFG</t>
  </si>
  <si>
    <t>8132</t>
  </si>
  <si>
    <t>GLOBAL OMNIUM IDRICA SL</t>
  </si>
  <si>
    <t>CAE500073</t>
  </si>
  <si>
    <t>5113CNG</t>
  </si>
  <si>
    <t>C 3 1.4</t>
  </si>
  <si>
    <t>1329</t>
  </si>
  <si>
    <t>UTE SOFTCAD-VANAGUA</t>
  </si>
  <si>
    <t>351329</t>
  </si>
  <si>
    <t>CAE500076</t>
  </si>
  <si>
    <t>6061KRD</t>
  </si>
  <si>
    <t>CORSA 1.4 90 CV GLP 5P</t>
  </si>
  <si>
    <t>CAE500078</t>
  </si>
  <si>
    <t>BR534034</t>
  </si>
  <si>
    <t>HERMANOS GARCIA</t>
  </si>
  <si>
    <t>REMOLQUE AGRICOLA BASCULANTE</t>
  </si>
  <si>
    <t>CAE500079</t>
  </si>
  <si>
    <t>BR534037</t>
  </si>
  <si>
    <t>CAE500085</t>
  </si>
  <si>
    <t>C4053BMN</t>
  </si>
  <si>
    <t>ADLY</t>
  </si>
  <si>
    <t>CICLOMOTOR QWAD ATV 50 W</t>
  </si>
  <si>
    <t>CAE500090</t>
  </si>
  <si>
    <t>3283KXV</t>
  </si>
  <si>
    <t>1202</t>
  </si>
  <si>
    <t>AIGÜES DE SAGUNT, S.A.</t>
  </si>
  <si>
    <t>201202</t>
  </si>
  <si>
    <t>CAE500094</t>
  </si>
  <si>
    <t>0841KWW</t>
  </si>
  <si>
    <t>358530</t>
  </si>
  <si>
    <t>CAE500096</t>
  </si>
  <si>
    <t>4058LHB</t>
  </si>
  <si>
    <t>T ROC 1.6 TDI 115 CV</t>
  </si>
  <si>
    <t>CAE500102</t>
  </si>
  <si>
    <t>6006KNB</t>
  </si>
  <si>
    <t>AUDI</t>
  </si>
  <si>
    <t>Q5 2.0 TDI 180 CV QUATTR0 S</t>
  </si>
  <si>
    <t>CAE500118</t>
  </si>
  <si>
    <t>E6404BGM</t>
  </si>
  <si>
    <t>DAVID</t>
  </si>
  <si>
    <t>DISTRIBUIDOR ESTIERCOL</t>
  </si>
  <si>
    <t>358527</t>
  </si>
  <si>
    <t>CAE500124</t>
  </si>
  <si>
    <t>9471LKC</t>
  </si>
  <si>
    <t>208413</t>
  </si>
  <si>
    <t>CAE500135</t>
  </si>
  <si>
    <t>9083LCH</t>
  </si>
  <si>
    <t>CAE500140</t>
  </si>
  <si>
    <t>1947KMM</t>
  </si>
  <si>
    <t>0477MGW</t>
  </si>
  <si>
    <t>VXEV1ZKXZPZ019579</t>
  </si>
  <si>
    <t>CAE500142</t>
  </si>
  <si>
    <t>9197LKX</t>
  </si>
  <si>
    <t>200722</t>
  </si>
  <si>
    <t>CAE500146</t>
  </si>
  <si>
    <t>5002LLF</t>
  </si>
  <si>
    <t>1019</t>
  </si>
  <si>
    <t>MORELLA</t>
  </si>
  <si>
    <t>200319</t>
  </si>
  <si>
    <t>CAE500158</t>
  </si>
  <si>
    <t>5478LLD</t>
  </si>
  <si>
    <t>CAE500166</t>
  </si>
  <si>
    <t>3200LLY</t>
  </si>
  <si>
    <t>208374</t>
  </si>
  <si>
    <t>CAE500177</t>
  </si>
  <si>
    <t>3189LLY</t>
  </si>
  <si>
    <t>208375</t>
  </si>
  <si>
    <t>CAE500178</t>
  </si>
  <si>
    <t>5941LLV</t>
  </si>
  <si>
    <t>358504</t>
  </si>
  <si>
    <t>CAE500181</t>
  </si>
  <si>
    <t>6744LLV</t>
  </si>
  <si>
    <t>CAE500182</t>
  </si>
  <si>
    <t>6783LLV</t>
  </si>
  <si>
    <t>352088</t>
  </si>
  <si>
    <t>CAE500183</t>
  </si>
  <si>
    <t>6844LLV</t>
  </si>
  <si>
    <t>208370</t>
  </si>
  <si>
    <t>CAE500184</t>
  </si>
  <si>
    <t>5494LLD</t>
  </si>
  <si>
    <t>CAE500185</t>
  </si>
  <si>
    <t>8313LLZ</t>
  </si>
  <si>
    <t>108440</t>
  </si>
  <si>
    <t>CAE500186</t>
  </si>
  <si>
    <t>9275LMG</t>
  </si>
  <si>
    <t>CAE500193</t>
  </si>
  <si>
    <t>9416LMG</t>
  </si>
  <si>
    <t>108361</t>
  </si>
  <si>
    <t>CAE500195</t>
  </si>
  <si>
    <t>0168KYM</t>
  </si>
  <si>
    <t>CAE500199</t>
  </si>
  <si>
    <t>9369LMG</t>
  </si>
  <si>
    <t>CAE500202</t>
  </si>
  <si>
    <t>7399LLP</t>
  </si>
  <si>
    <t>CAE500203</t>
  </si>
  <si>
    <t>B04590606</t>
  </si>
  <si>
    <t>REMOLQUES TUDELA</t>
  </si>
  <si>
    <t>PORTA VEHICULOS</t>
  </si>
  <si>
    <t>8781MXK</t>
  </si>
  <si>
    <t>CAE500205</t>
  </si>
  <si>
    <t>7469LLP</t>
  </si>
  <si>
    <t>TRAFIC L1H1 2.0 DCI 120 CV</t>
  </si>
  <si>
    <t>CAE500206</t>
  </si>
  <si>
    <t>BASE40</t>
  </si>
  <si>
    <t>TARJETA SOLRED</t>
  </si>
  <si>
    <t>1358</t>
  </si>
  <si>
    <t>UTE EXPLT. ETAPS ZONA EST</t>
  </si>
  <si>
    <t>351358</t>
  </si>
  <si>
    <t>CAE500207</t>
  </si>
  <si>
    <t>BASE41</t>
  </si>
  <si>
    <t>CAE500209</t>
  </si>
  <si>
    <t>BASE44</t>
  </si>
  <si>
    <t>301004</t>
  </si>
  <si>
    <t>2517LSG</t>
  </si>
  <si>
    <t>DACIA</t>
  </si>
  <si>
    <t>SANDERO STEPWAY ECO 100 CV</t>
  </si>
  <si>
    <t>2096LKP</t>
  </si>
  <si>
    <t>KADJAR 1.5 DCI 115 CV</t>
  </si>
  <si>
    <t>CAE500212</t>
  </si>
  <si>
    <t>8896LLB</t>
  </si>
  <si>
    <t>KADJAR 4*4 1.8 DCI 150 CV</t>
  </si>
  <si>
    <t>10019911</t>
  </si>
  <si>
    <t>CAE500213</t>
  </si>
  <si>
    <t>0060KDD</t>
  </si>
  <si>
    <t>CAE500214</t>
  </si>
  <si>
    <t>3942LLT</t>
  </si>
  <si>
    <t>CAE500215</t>
  </si>
  <si>
    <t>0130KZP</t>
  </si>
  <si>
    <t>JEEP</t>
  </si>
  <si>
    <t>RENEGADE</t>
  </si>
  <si>
    <t>724074</t>
  </si>
  <si>
    <t>CAE500216</t>
  </si>
  <si>
    <t>0195KZP</t>
  </si>
  <si>
    <t>RENEGADE 2.0 140 CV</t>
  </si>
  <si>
    <t>CAE500217</t>
  </si>
  <si>
    <t>0351KGD</t>
  </si>
  <si>
    <t>CABSTAR NT400 VOLQUETE + CAJÓN</t>
  </si>
  <si>
    <t>CAE500218</t>
  </si>
  <si>
    <t>0429KHR</t>
  </si>
  <si>
    <t>1188</t>
  </si>
  <si>
    <t>UTE[AGUAS DE ALTEA]AVSA/T</t>
  </si>
  <si>
    <t>201080</t>
  </si>
  <si>
    <t>CAE500219</t>
  </si>
  <si>
    <t>R3474BBH</t>
  </si>
  <si>
    <t>SR 3E 195</t>
  </si>
  <si>
    <t>1976MXT</t>
  </si>
  <si>
    <t>CAE500220</t>
  </si>
  <si>
    <t>4921LGX</t>
  </si>
  <si>
    <t>YAMAHA</t>
  </si>
  <si>
    <t>T MAX 500</t>
  </si>
  <si>
    <t>0649MWZ</t>
  </si>
  <si>
    <t>200032</t>
  </si>
  <si>
    <t>1451LDY</t>
  </si>
  <si>
    <t>GRANDLAND X 1.5 CDTI 130 CV AUTO</t>
  </si>
  <si>
    <t>1244KBM</t>
  </si>
  <si>
    <t>NV200 90 CV</t>
  </si>
  <si>
    <t>336003</t>
  </si>
  <si>
    <t>PGASTON</t>
  </si>
  <si>
    <t>6019MWV</t>
  </si>
  <si>
    <t>1345KBD</t>
  </si>
  <si>
    <t>1433LTN</t>
  </si>
  <si>
    <t>BERLINGO 1.6 HDI 75 CV</t>
  </si>
  <si>
    <t>1343</t>
  </si>
  <si>
    <t>UTE CAMPO CARTAGENA</t>
  </si>
  <si>
    <t>721268</t>
  </si>
  <si>
    <t>BASEJ</t>
  </si>
  <si>
    <t>10019915</t>
  </si>
  <si>
    <t>9049MWN</t>
  </si>
  <si>
    <t>JGRAS</t>
  </si>
  <si>
    <t>356005</t>
  </si>
  <si>
    <t>8628MWT</t>
  </si>
  <si>
    <t>1804KCY</t>
  </si>
  <si>
    <t>14009060</t>
  </si>
  <si>
    <t>JOMOCHE</t>
  </si>
  <si>
    <t>8640MWT</t>
  </si>
  <si>
    <t>1826KCY</t>
  </si>
  <si>
    <t>1974KGV</t>
  </si>
  <si>
    <t>TRANSTEL</t>
  </si>
  <si>
    <t>CABSTAR NT400 GRUA FASSI F40B</t>
  </si>
  <si>
    <t>VBOIX</t>
  </si>
  <si>
    <t>8642MWT</t>
  </si>
  <si>
    <t>BRODRIGO</t>
  </si>
  <si>
    <t>8644MWT</t>
  </si>
  <si>
    <t>2134JVZ</t>
  </si>
  <si>
    <t>2150JZT</t>
  </si>
  <si>
    <t>PARTNER</t>
  </si>
  <si>
    <t>BASE43</t>
  </si>
  <si>
    <t>5995KSD</t>
  </si>
  <si>
    <t>6997LLV</t>
  </si>
  <si>
    <t>2177KNN</t>
  </si>
  <si>
    <t>GRANDLAND X 1.6 CDTI 120 CV</t>
  </si>
  <si>
    <t>10019012</t>
  </si>
  <si>
    <t>2178KNN</t>
  </si>
  <si>
    <t>CAE500222</t>
  </si>
  <si>
    <t>2414KJX</t>
  </si>
  <si>
    <t>YARIS 1.5 HYBRID ACTIVE 100 CV</t>
  </si>
  <si>
    <t>724320</t>
  </si>
  <si>
    <t>CAE500223</t>
  </si>
  <si>
    <t>8767LLW</t>
  </si>
  <si>
    <t>CAE500224</t>
  </si>
  <si>
    <t>2612JYB</t>
  </si>
  <si>
    <t>14009070</t>
  </si>
  <si>
    <t>CAE500225</t>
  </si>
  <si>
    <t>2970KPX</t>
  </si>
  <si>
    <t>CAE500227</t>
  </si>
  <si>
    <t>3324HZP</t>
  </si>
  <si>
    <t>D 18 WINE DESATASCADOR</t>
  </si>
  <si>
    <t>CAE500228</t>
  </si>
  <si>
    <t>3332KZT</t>
  </si>
  <si>
    <t>FE S42R</t>
  </si>
  <si>
    <t>CAE500229</t>
  </si>
  <si>
    <t>3488JYZ</t>
  </si>
  <si>
    <t>3520KGX</t>
  </si>
  <si>
    <t>356012</t>
  </si>
  <si>
    <t>CAE500232</t>
  </si>
  <si>
    <t>3868KNX</t>
  </si>
  <si>
    <t>10669103</t>
  </si>
  <si>
    <t>CAE500233</t>
  </si>
  <si>
    <t>9377LMG</t>
  </si>
  <si>
    <t>200310</t>
  </si>
  <si>
    <t>CAE500234</t>
  </si>
  <si>
    <t>4094KNP</t>
  </si>
  <si>
    <t>4299JSX</t>
  </si>
  <si>
    <t>10669102</t>
  </si>
  <si>
    <t>4399KGX</t>
  </si>
  <si>
    <t>4405KGX</t>
  </si>
  <si>
    <t>4574KMR</t>
  </si>
  <si>
    <t>5270KLB</t>
  </si>
  <si>
    <t>5305JYK</t>
  </si>
  <si>
    <t>354096</t>
  </si>
  <si>
    <t>5848KKV</t>
  </si>
  <si>
    <t>CAE500237</t>
  </si>
  <si>
    <t>5962KYR</t>
  </si>
  <si>
    <t>350527</t>
  </si>
  <si>
    <t>CAE500238</t>
  </si>
  <si>
    <t>6390KXM</t>
  </si>
  <si>
    <t>CAE500239</t>
  </si>
  <si>
    <t>6505KNH</t>
  </si>
  <si>
    <t>DOKKER 1.6 102 CV GLP</t>
  </si>
  <si>
    <t>CAE500240</t>
  </si>
  <si>
    <t>6518KNH</t>
  </si>
  <si>
    <t>CAE500241</t>
  </si>
  <si>
    <t>6522KPD</t>
  </si>
  <si>
    <t>355469</t>
  </si>
  <si>
    <t>CAE500242</t>
  </si>
  <si>
    <t>6581KPD</t>
  </si>
  <si>
    <t>205579</t>
  </si>
  <si>
    <t>CAE500243</t>
  </si>
  <si>
    <t>6614KNM</t>
  </si>
  <si>
    <t>CAE500244</t>
  </si>
  <si>
    <t>6620KNH</t>
  </si>
  <si>
    <t>CAE500245</t>
  </si>
  <si>
    <t>6704KKS</t>
  </si>
  <si>
    <t>705335</t>
  </si>
  <si>
    <t>CAE500246</t>
  </si>
  <si>
    <t>6722KKS</t>
  </si>
  <si>
    <t>CAE500247</t>
  </si>
  <si>
    <t>6739KKS</t>
  </si>
  <si>
    <t>6749KKS</t>
  </si>
  <si>
    <t>6755KKS</t>
  </si>
  <si>
    <t>6763KKS</t>
  </si>
  <si>
    <t>6778KKS</t>
  </si>
  <si>
    <t>COMBO 1.6 CDTI 105 CV L2H2</t>
  </si>
  <si>
    <t>6866KNT</t>
  </si>
  <si>
    <t>HILUX 2P 7G</t>
  </si>
  <si>
    <t>350476</t>
  </si>
  <si>
    <t>6939JSF</t>
  </si>
  <si>
    <t>14009016</t>
  </si>
  <si>
    <t>7308KPB</t>
  </si>
  <si>
    <t>7055LLV</t>
  </si>
  <si>
    <t>10049630</t>
  </si>
  <si>
    <t>7499KKT</t>
  </si>
  <si>
    <t>7768KJH</t>
  </si>
  <si>
    <t>XC 60 2.4 D5 AWD R DESIGN</t>
  </si>
  <si>
    <t>1898</t>
  </si>
  <si>
    <t>Valenciana Servicios ITV</t>
  </si>
  <si>
    <t>7769KJH</t>
  </si>
  <si>
    <t>7824KHZ</t>
  </si>
  <si>
    <t>8136</t>
  </si>
  <si>
    <t>FUNDACIÓN AZUL MARINO</t>
  </si>
  <si>
    <t>10639901</t>
  </si>
  <si>
    <t>7826KHG</t>
  </si>
  <si>
    <t>359805</t>
  </si>
  <si>
    <t>4938LMS</t>
  </si>
  <si>
    <t>205575</t>
  </si>
  <si>
    <t>7963KLN</t>
  </si>
  <si>
    <t>VIVARO 1.3 CDTI 95 CV</t>
  </si>
  <si>
    <t>1058</t>
  </si>
  <si>
    <t>SAMAS S.L.</t>
  </si>
  <si>
    <t>355880</t>
  </si>
  <si>
    <t>7966KHZ</t>
  </si>
  <si>
    <t>7973KHZ</t>
  </si>
  <si>
    <t>CAE500248</t>
  </si>
  <si>
    <t>8051JYW</t>
  </si>
  <si>
    <t>300074</t>
  </si>
  <si>
    <t>CAE500249</t>
  </si>
  <si>
    <t>8250KDH</t>
  </si>
  <si>
    <t>1199</t>
  </si>
  <si>
    <t>UTE AAPP Y ALC. TERUEL</t>
  </si>
  <si>
    <t>201199</t>
  </si>
  <si>
    <t>CAE500250</t>
  </si>
  <si>
    <t>1192LPK</t>
  </si>
  <si>
    <t>15059570</t>
  </si>
  <si>
    <t>CAE500251</t>
  </si>
  <si>
    <t>8429CKY</t>
  </si>
  <si>
    <t>TOLEDO 1.9 TDI</t>
  </si>
  <si>
    <t>CAE500252</t>
  </si>
  <si>
    <t>8490KKD</t>
  </si>
  <si>
    <t>VIVARO 1.6 CDTI 120 CV</t>
  </si>
  <si>
    <t>CAE500254</t>
  </si>
  <si>
    <t>8546KHZ</t>
  </si>
  <si>
    <t>CAE500255</t>
  </si>
  <si>
    <t>8550KFJ</t>
  </si>
  <si>
    <t>XC 90 D5 235 CV</t>
  </si>
  <si>
    <t>CAE500256</t>
  </si>
  <si>
    <t>8552KHZ</t>
  </si>
  <si>
    <t>CAE500257</t>
  </si>
  <si>
    <t>8567KHZ</t>
  </si>
  <si>
    <t>CAE500258</t>
  </si>
  <si>
    <t>7995LKS</t>
  </si>
  <si>
    <t>CAE500259</t>
  </si>
  <si>
    <t>8581KLW</t>
  </si>
  <si>
    <t>728084</t>
  </si>
  <si>
    <t>CAE500260</t>
  </si>
  <si>
    <t>8618KHZ</t>
  </si>
  <si>
    <t>COMBO 1.3 CDTI 95 CV KOMBI</t>
  </si>
  <si>
    <t>CAE500261</t>
  </si>
  <si>
    <t>8622KHZ</t>
  </si>
  <si>
    <t>CAE500262</t>
  </si>
  <si>
    <t>8640KHZ</t>
  </si>
  <si>
    <t>CAE500263</t>
  </si>
  <si>
    <t>8794KRZ</t>
  </si>
  <si>
    <t>BOXER L1H1 110 CV</t>
  </si>
  <si>
    <t>CAE500264</t>
  </si>
  <si>
    <t>8819KPD</t>
  </si>
  <si>
    <t>105564</t>
  </si>
  <si>
    <t>CAE500265</t>
  </si>
  <si>
    <t>8820KPD</t>
  </si>
  <si>
    <t>CAE500266</t>
  </si>
  <si>
    <t>8821KPD</t>
  </si>
  <si>
    <t>CAE500267</t>
  </si>
  <si>
    <t>8833KPS</t>
  </si>
  <si>
    <t>CAE500268</t>
  </si>
  <si>
    <t>8835KPS</t>
  </si>
  <si>
    <t>CAE500269</t>
  </si>
  <si>
    <t>8840JZH</t>
  </si>
  <si>
    <t>CAE500270</t>
  </si>
  <si>
    <t>8848KVL</t>
  </si>
  <si>
    <t>FIORINO 100 % ELECTRICA</t>
  </si>
  <si>
    <t>724348</t>
  </si>
  <si>
    <t>CAE500271</t>
  </si>
  <si>
    <t>8902JYW</t>
  </si>
  <si>
    <t>208426</t>
  </si>
  <si>
    <t>CAE500272</t>
  </si>
  <si>
    <t>8952JYW</t>
  </si>
  <si>
    <t>728004</t>
  </si>
  <si>
    <t>CAE500273</t>
  </si>
  <si>
    <t>8974LJM</t>
  </si>
  <si>
    <t>BOXER L1 H1</t>
  </si>
  <si>
    <t>CAE500274</t>
  </si>
  <si>
    <t>9074KLD</t>
  </si>
  <si>
    <t>CAE500275</t>
  </si>
  <si>
    <t>9103JYZ</t>
  </si>
  <si>
    <t>CAE500276</t>
  </si>
  <si>
    <t>9128JYZ</t>
  </si>
  <si>
    <t>728048</t>
  </si>
  <si>
    <t>CAE500277</t>
  </si>
  <si>
    <t>9139KKY</t>
  </si>
  <si>
    <t>T-ROC 2.0 TDI 150 CV</t>
  </si>
  <si>
    <t>CAE500278</t>
  </si>
  <si>
    <t>9161JYZ</t>
  </si>
  <si>
    <t>1008</t>
  </si>
  <si>
    <t>VANAGUA, S.L.</t>
  </si>
  <si>
    <t>350803</t>
  </si>
  <si>
    <t>CAE500279</t>
  </si>
  <si>
    <t>9288KMG</t>
  </si>
  <si>
    <t>CAE500280</t>
  </si>
  <si>
    <t>9309KSR</t>
  </si>
  <si>
    <t>Q8 3.0 TDI QUATTRO 286 CV</t>
  </si>
  <si>
    <t>CAE500281</t>
  </si>
  <si>
    <t>9396KBG</t>
  </si>
  <si>
    <t>CAE500282</t>
  </si>
  <si>
    <t>9397KBG</t>
  </si>
  <si>
    <t>CAE500283</t>
  </si>
  <si>
    <t>9402KBG</t>
  </si>
  <si>
    <t>CAE500284</t>
  </si>
  <si>
    <t>9422KDL</t>
  </si>
  <si>
    <t>733627</t>
  </si>
  <si>
    <t>CAE500285</t>
  </si>
  <si>
    <t>9503KHD</t>
  </si>
  <si>
    <t>10049636</t>
  </si>
  <si>
    <t>9538JVN</t>
  </si>
  <si>
    <t>8131</t>
  </si>
  <si>
    <t>ECO GLOBAL WASTE SOLUTION</t>
  </si>
  <si>
    <t>100012</t>
  </si>
  <si>
    <t>9627KCJ</t>
  </si>
  <si>
    <t>101244</t>
  </si>
  <si>
    <t>9659KJV</t>
  </si>
  <si>
    <t>YARIS 1.5 HYBRIC ACTIVE 100 CV</t>
  </si>
  <si>
    <t>9659KMR</t>
  </si>
  <si>
    <t>10019917</t>
  </si>
  <si>
    <t>9660KJV</t>
  </si>
  <si>
    <t>9822KCJ</t>
  </si>
  <si>
    <t>358538</t>
  </si>
  <si>
    <t>9927KZM</t>
  </si>
  <si>
    <t>CISTERNA MAGIRUS 8*8</t>
  </si>
  <si>
    <t>9982KNR</t>
  </si>
  <si>
    <t>BAEL6390KXM</t>
  </si>
  <si>
    <t>OVERLEASE</t>
  </si>
  <si>
    <t>ZOE</t>
  </si>
  <si>
    <t>FRAMONLO</t>
  </si>
  <si>
    <t>R7772BDJ</t>
  </si>
  <si>
    <t>HIDRASOL</t>
  </si>
  <si>
    <t>PISO MOVIL RSU</t>
  </si>
  <si>
    <t>RAVALIAR</t>
  </si>
  <si>
    <t>Sustitución de vehículo de combustión por eléctrico</t>
  </si>
  <si>
    <t>Matricula Antigua</t>
  </si>
  <si>
    <t>Localidad</t>
  </si>
  <si>
    <t>Provincia</t>
  </si>
  <si>
    <t>Com. Aut.</t>
  </si>
  <si>
    <t>Dirección</t>
  </si>
  <si>
    <t>Huso</t>
  </si>
  <si>
    <t>Coord.</t>
  </si>
  <si>
    <t>Referencia Catastral</t>
  </si>
  <si>
    <t>Descripción de la actuación</t>
  </si>
  <si>
    <t>Comunidad Autonoma2</t>
  </si>
  <si>
    <t>Ahorro estimado</t>
  </si>
  <si>
    <t>Valencia</t>
  </si>
  <si>
    <t>Comunidad Valenciana</t>
  </si>
  <si>
    <t>Gran Vía Marques del Turia 19</t>
  </si>
  <si>
    <t>UTM 30 ETRS89</t>
  </si>
  <si>
    <t>726043.16  4371771.79</t>
  </si>
  <si>
    <t>6019215YJ2761G0001XI</t>
  </si>
  <si>
    <t>CIA.GRAL.AIGÜES D CATALUNYA,SA</t>
  </si>
  <si>
    <t>Barcelona</t>
  </si>
  <si>
    <t>Cataluña</t>
  </si>
  <si>
    <t>Aribau 112</t>
  </si>
  <si>
    <t>UTM 31 ETRS89</t>
  </si>
  <si>
    <t>429520.47  4582478.80</t>
  </si>
  <si>
    <t>9626426DF2892F0001ZO</t>
  </si>
  <si>
    <t>AGUAS DE VALENCIA SA</t>
  </si>
  <si>
    <t>Llanterners 3</t>
  </si>
  <si>
    <t>723014.22  4371274.90</t>
  </si>
  <si>
    <t>3114104YJ2731C0001SY</t>
  </si>
  <si>
    <t>IMPL.SISTEMAS DE GESTION, S.L.</t>
  </si>
  <si>
    <t>Pedrapiquers 4</t>
  </si>
  <si>
    <t>723006.99  4370803.79</t>
  </si>
  <si>
    <t>3110819YJ2730G0001DW</t>
  </si>
  <si>
    <t>Gran Vía Marques del Turia 17</t>
  </si>
  <si>
    <t>726013.62  4371779.06</t>
  </si>
  <si>
    <t>6019216YJ2761G0001II</t>
  </si>
  <si>
    <t>Malgrat de Mar</t>
  </si>
  <si>
    <t>Avda bon Pastor 9</t>
  </si>
  <si>
    <t>478198.75  4610161.48</t>
  </si>
  <si>
    <t>8302001DG7180S0029UZ</t>
  </si>
  <si>
    <t>Calpe</t>
  </si>
  <si>
    <t>Alicante</t>
  </si>
  <si>
    <t>Diputación 6</t>
  </si>
  <si>
    <t>242291.31  4281546.37</t>
  </si>
  <si>
    <t>4619101YH6841N0018BI</t>
  </si>
  <si>
    <t>Gran Vía Marqués del Turia, 17-1º-4</t>
  </si>
  <si>
    <t>6019216YJ2761G0003PP</t>
  </si>
  <si>
    <t>Tortosa</t>
  </si>
  <si>
    <t>Tarragona</t>
  </si>
  <si>
    <t>Plaça d'Espanya 1</t>
  </si>
  <si>
    <t>290930.83  4520735.40</t>
  </si>
  <si>
    <t>1009701BF9210G0001RE</t>
  </si>
  <si>
    <t>C/Corretger 51</t>
  </si>
  <si>
    <t>719008.27  4377344.83</t>
  </si>
  <si>
    <t>9274309YJ1797S0001MB</t>
  </si>
  <si>
    <t>Teruel</t>
  </si>
  <si>
    <t>Aragón</t>
  </si>
  <si>
    <t>Cuesta de la Enriqueta 3</t>
  </si>
  <si>
    <t xml:space="preserve"> UTM 30 ETRS89</t>
  </si>
  <si>
    <t>661217.03  4466797.39</t>
  </si>
  <si>
    <t>1470003XK6616G</t>
  </si>
  <si>
    <t>Coordenadas</t>
  </si>
  <si>
    <t>Descripción de Actuación</t>
  </si>
  <si>
    <t>Suma de AE (kWh)</t>
  </si>
  <si>
    <t>Suma de Suma de AE (kWh)</t>
  </si>
  <si>
    <t xml:space="preserve">no es un problema. En que comunidad automana tiene su sede </t>
  </si>
  <si>
    <t>Afinar por el convenio cae. El propietario que realiza la inversión, esos propietarios. Firmar un convenio CAE por cada. BV agrupar las actuaciones, con dos criterios, en que año se ha comprado (2023, 2024, 2025) por comunidad autonoma</t>
  </si>
  <si>
    <t>Total general</t>
  </si>
  <si>
    <t>NUEVAS MATRÍCULAS</t>
  </si>
  <si>
    <t>CHASIS</t>
  </si>
  <si>
    <t>VF1RFK00173824811</t>
  </si>
  <si>
    <t>4280MXL</t>
  </si>
  <si>
    <t>VF1RFK00173934290</t>
  </si>
  <si>
    <t>4258MXL</t>
  </si>
  <si>
    <t>VF1RFK00273934265</t>
  </si>
  <si>
    <t>4255MXL</t>
  </si>
  <si>
    <t>VF1RFK00273934301</t>
  </si>
  <si>
    <t>VF1RFK00373824812</t>
  </si>
  <si>
    <t>5244MXL</t>
  </si>
  <si>
    <t>VF1RFK00373824874</t>
  </si>
  <si>
    <t>4257MXL</t>
  </si>
  <si>
    <t>VF1RFK00373934307</t>
  </si>
  <si>
    <t>4260MXL</t>
  </si>
  <si>
    <t>VF1RFK00373934310</t>
  </si>
  <si>
    <t>VF1RFK00473824818</t>
  </si>
  <si>
    <t>4266MXL</t>
  </si>
  <si>
    <t>VF1RFK00473934283</t>
  </si>
  <si>
    <t>4261MXL</t>
  </si>
  <si>
    <t>VF1RFK00473934297</t>
  </si>
  <si>
    <t>4282MXL</t>
  </si>
  <si>
    <t>VF1RFK00473934302</t>
  </si>
  <si>
    <t>4265MXL</t>
  </si>
  <si>
    <t>VF1RFK00573934289</t>
  </si>
  <si>
    <t>4263MXL</t>
  </si>
  <si>
    <t>VF1RFK00573934308</t>
  </si>
  <si>
    <t>3256MXH</t>
  </si>
  <si>
    <t>VF1RFK00573934311</t>
  </si>
  <si>
    <t>4300MXL</t>
  </si>
  <si>
    <t>VF1RFK00773934262</t>
  </si>
  <si>
    <t>4268MXL</t>
  </si>
  <si>
    <t>VF1RFK00773934293</t>
  </si>
  <si>
    <t>8796MXK</t>
  </si>
  <si>
    <t>VF1RFK00773934309</t>
  </si>
  <si>
    <t>VF1RFK00973824846</t>
  </si>
  <si>
    <t>VF1RFK00973824880</t>
  </si>
  <si>
    <t>4267MXL</t>
  </si>
  <si>
    <t>VF1RFK00973934280</t>
  </si>
  <si>
    <t>0686MWT</t>
  </si>
  <si>
    <t>VF1RFK00X73824838</t>
  </si>
  <si>
    <t>7725MXF</t>
  </si>
  <si>
    <t>VF1RFK00X73934269</t>
  </si>
  <si>
    <t>4284MXL</t>
  </si>
  <si>
    <t>VF1RFK00X73934286</t>
  </si>
  <si>
    <t>3246MXJ</t>
  </si>
  <si>
    <t>VF1RFK00X73934305</t>
  </si>
  <si>
    <t>0650MXH</t>
  </si>
  <si>
    <t>VF1RFK00073824850</t>
  </si>
  <si>
    <t>VF1RFK00473824821</t>
  </si>
  <si>
    <t>4082MXJ</t>
  </si>
  <si>
    <t>VF1RFK00673934267</t>
  </si>
  <si>
    <t>2604MXV</t>
  </si>
  <si>
    <t>VF1RFK00973824877</t>
  </si>
  <si>
    <t>0192MWZ</t>
  </si>
  <si>
    <t>VR7CBZYA1RT153018</t>
  </si>
  <si>
    <t>9928MWY</t>
  </si>
  <si>
    <t>VR7CBZYA7RT152200</t>
  </si>
  <si>
    <t>9930MWY</t>
  </si>
  <si>
    <t>VR7CBZYA3RT153019</t>
  </si>
  <si>
    <t>9929MWY</t>
  </si>
  <si>
    <t>VR7CBZYAXRT153020</t>
  </si>
  <si>
    <t>3155MWZ</t>
  </si>
  <si>
    <t>VR7CBZYA1RT154430</t>
  </si>
  <si>
    <t>0176MWZ</t>
  </si>
  <si>
    <t>VR7CBZYA1RT153021</t>
  </si>
  <si>
    <t>3148MWZ</t>
  </si>
  <si>
    <t>VR7CBZYA3RT154431</t>
  </si>
  <si>
    <t>0189MWZ</t>
  </si>
  <si>
    <t>VR7CBZYA5RT153023</t>
  </si>
  <si>
    <t>8479MWP</t>
  </si>
  <si>
    <t>VR7CBZYA2RT152203</t>
  </si>
  <si>
    <t>9273MWZ</t>
  </si>
  <si>
    <t>VR7CBZYA0RT152202</t>
  </si>
  <si>
    <t>0182MWZ</t>
  </si>
  <si>
    <t>VR7CBZYA7RT153024</t>
  </si>
  <si>
    <t>8480MWP</t>
  </si>
  <si>
    <t>VR7CBZYA4RT152204</t>
  </si>
  <si>
    <t>3173MWZ</t>
  </si>
  <si>
    <t>VR7CBZYA0RT153026</t>
  </si>
  <si>
    <t>6209MWV</t>
  </si>
  <si>
    <t>VR7CBZYA0RT152197</t>
  </si>
  <si>
    <t>3489MWR</t>
  </si>
  <si>
    <t>VR7CBZYA3RT152212</t>
  </si>
  <si>
    <t>0191MWZ</t>
  </si>
  <si>
    <t>VR7CBZYA4RT153028</t>
  </si>
  <si>
    <t>8487MWP</t>
  </si>
  <si>
    <t>VR7CBZYA8RT152206</t>
  </si>
  <si>
    <t>8488MWP</t>
  </si>
  <si>
    <t>VR7CBZYAXRT152207</t>
  </si>
  <si>
    <t>8486MWP</t>
  </si>
  <si>
    <t>VR7CBZYA1RT152208</t>
  </si>
  <si>
    <t>0190MWZ</t>
  </si>
  <si>
    <t>VR7CBZYA2RT153030</t>
  </si>
  <si>
    <t>3168MWZ</t>
  </si>
  <si>
    <t>VR7CBZYA9RT152215</t>
  </si>
  <si>
    <t>3160MWZ</t>
  </si>
  <si>
    <t>VR7CBZYA0RT154435</t>
  </si>
  <si>
    <t>9931MWY</t>
  </si>
  <si>
    <t>VR7CBZYA8RT153033</t>
  </si>
  <si>
    <t>VR7CBZYAXRT153034</t>
  </si>
  <si>
    <t>9926MWY</t>
  </si>
  <si>
    <t>VR7CBZYA0RT152216</t>
  </si>
  <si>
    <t>6248MWV</t>
  </si>
  <si>
    <t>VR7CBZYA8RT154439</t>
  </si>
  <si>
    <t>8481MWP</t>
  </si>
  <si>
    <t>VR7CBZYA2RT152217</t>
  </si>
  <si>
    <t>0178MWZ</t>
  </si>
  <si>
    <t>VR7CBZYA3RT153036</t>
  </si>
  <si>
    <t>9275MWZ</t>
  </si>
  <si>
    <t>VR7CBZYA4RT154437</t>
  </si>
  <si>
    <t>9925MWY</t>
  </si>
  <si>
    <t>VR7CBZYA4RT152218</t>
  </si>
  <si>
    <t>3163MWZ</t>
  </si>
  <si>
    <t>VR7CBZYA6RT154438</t>
  </si>
  <si>
    <t>VR7CBZYA7ST000178</t>
  </si>
  <si>
    <t>0199MWZ</t>
  </si>
  <si>
    <t>VR7CBZYA9RT153039</t>
  </si>
  <si>
    <t>6109MWV</t>
  </si>
  <si>
    <t>VR7CBZYA6RT153046</t>
  </si>
  <si>
    <t>VR7CBZYA8RT152190</t>
  </si>
  <si>
    <t>9927MWY</t>
  </si>
  <si>
    <t>VR7CBZYA5RT152180</t>
  </si>
  <si>
    <t>8632NDZ</t>
  </si>
  <si>
    <t>VF1RCB00074370442</t>
  </si>
  <si>
    <t>8869NDZ</t>
  </si>
  <si>
    <t>VF1RCB00374368264</t>
  </si>
  <si>
    <t>8634NDZ</t>
  </si>
  <si>
    <t>VF1RCB00674370431</t>
  </si>
  <si>
    <t>8636NDZ</t>
  </si>
  <si>
    <t>VF1RCB00474370430</t>
  </si>
  <si>
    <t>8638NDZ</t>
  </si>
  <si>
    <t>VF1RCB00574370436</t>
  </si>
  <si>
    <t>8947NDZ</t>
  </si>
  <si>
    <t>VF1RCB00074370439</t>
  </si>
  <si>
    <t>9194NDZ</t>
  </si>
  <si>
    <t>VF1RCB00174368330</t>
  </si>
  <si>
    <t>9200NDZ</t>
  </si>
  <si>
    <t>VF1RCB00574368329</t>
  </si>
  <si>
    <t>9099NDZ</t>
  </si>
  <si>
    <t>VF1RCB00974370438</t>
  </si>
  <si>
    <t>9100NDZ</t>
  </si>
  <si>
    <t>VF1RCB00774370437</t>
  </si>
  <si>
    <t>9108NDZ</t>
  </si>
  <si>
    <t>VF1RCB00974368270</t>
  </si>
  <si>
    <t>6554NFB</t>
  </si>
  <si>
    <t>VF1RCB00174368280</t>
  </si>
  <si>
    <t>9183NDZ</t>
  </si>
  <si>
    <t>VF1RCB00074370425</t>
  </si>
  <si>
    <t>9184NDZ</t>
  </si>
  <si>
    <t>VF1RCB00074368271</t>
  </si>
  <si>
    <t>8787NDZ</t>
  </si>
  <si>
    <t>VF1RCB00774368333</t>
  </si>
  <si>
    <t>9102NDZ</t>
  </si>
  <si>
    <t>VF1RCB00674368310</t>
  </si>
  <si>
    <t>9107NDZ</t>
  </si>
  <si>
    <t>VF1RCB00974368267</t>
  </si>
  <si>
    <t>8813MZR</t>
  </si>
  <si>
    <t>WV1ZZZSK1SX075211</t>
  </si>
  <si>
    <t>1109MZX</t>
  </si>
  <si>
    <t>WV1ZZZSK0SX074700</t>
  </si>
  <si>
    <t>8757NBF</t>
  </si>
  <si>
    <t>WV1ZZZSK0SX075166</t>
  </si>
  <si>
    <t>8912MZR</t>
  </si>
  <si>
    <t>WV1ZZZSK2SX071121</t>
  </si>
  <si>
    <t>8754MZR</t>
  </si>
  <si>
    <t>WV1ZZZSK2SX071636</t>
  </si>
  <si>
    <t>5311NBC</t>
  </si>
  <si>
    <t>WV2ZZZSK0SX066981</t>
  </si>
  <si>
    <t>2816MZS</t>
  </si>
  <si>
    <t>WV1ZZZSK2SX071958</t>
  </si>
  <si>
    <t>8762MZR</t>
  </si>
  <si>
    <t>WV1ZZZSK3SX072178</t>
  </si>
  <si>
    <t>6705NBN</t>
  </si>
  <si>
    <t>WV2ZZZSK0SX067547</t>
  </si>
  <si>
    <t>8759MZR</t>
  </si>
  <si>
    <t>WV1ZZZSK4SX072920</t>
  </si>
  <si>
    <t>8753MZR</t>
  </si>
  <si>
    <t>WV1ZZZSK1SX072437</t>
  </si>
  <si>
    <t>5312NBC </t>
  </si>
  <si>
    <t>WV2ZZZSK1SX066648</t>
  </si>
  <si>
    <t>5411NBC </t>
  </si>
  <si>
    <t>WV2ZZZSK8SX066646</t>
  </si>
  <si>
    <t>6722NBC </t>
  </si>
  <si>
    <t>WV2ZZZSK9SX067787</t>
  </si>
  <si>
    <t>8749MZR</t>
  </si>
  <si>
    <t>WV1ZZZSK4SX074473</t>
  </si>
  <si>
    <t>8755MZR</t>
  </si>
  <si>
    <t>WV1ZZZSK5SX073803</t>
  </si>
  <si>
    <t>8818MZR</t>
  </si>
  <si>
    <t>WV1ZZZSK5SX075406</t>
  </si>
  <si>
    <t>5412NBC</t>
  </si>
  <si>
    <t>WV2ZZZSK1SX067993</t>
  </si>
  <si>
    <t>5414NBC </t>
  </si>
  <si>
    <t>WV2ZZZSK2SX066982</t>
  </si>
  <si>
    <t>8910MZR</t>
  </si>
  <si>
    <t>WV1ZZZSK4SX073937</t>
  </si>
  <si>
    <t>8750MZR</t>
  </si>
  <si>
    <t>WV1ZZZSK1SX075208</t>
  </si>
  <si>
    <t>5413NBC </t>
  </si>
  <si>
    <t>WV2ZZZSK4SX066790</t>
  </si>
  <si>
    <t>8748MZR</t>
  </si>
  <si>
    <t>WV1ZZZSK7SX071955</t>
  </si>
  <si>
    <t>8752MZR</t>
  </si>
  <si>
    <t>WV1ZZZSK7SX074385</t>
  </si>
  <si>
    <t>8909MZR</t>
  </si>
  <si>
    <t>WV1ZZZSK8SX074475</t>
  </si>
  <si>
    <t>5313NBC </t>
  </si>
  <si>
    <t>WV2ZZZSK4SX067700</t>
  </si>
  <si>
    <t>8758MZR</t>
  </si>
  <si>
    <t>WV1ZZZSK8SX073777</t>
  </si>
  <si>
    <t>6723NBC </t>
  </si>
  <si>
    <t>WV2ZZZSK7SX068419</t>
  </si>
  <si>
    <t>5410NBC </t>
  </si>
  <si>
    <t>WV2ZZZSKXSX067992</t>
  </si>
  <si>
    <t>8751MZR</t>
  </si>
  <si>
    <t>WV1ZZZSK8SX075240</t>
  </si>
  <si>
    <t>8785MZR</t>
  </si>
  <si>
    <t>WV1ZZZSK4SX073985</t>
  </si>
  <si>
    <t>COMPLETO</t>
  </si>
  <si>
    <t>Ficha tecnica</t>
  </si>
  <si>
    <t>Condiciones /acta devolucion</t>
  </si>
  <si>
    <t>9850JTR</t>
  </si>
  <si>
    <t>RENOV.2016</t>
  </si>
  <si>
    <t>Ficha técnica</t>
  </si>
  <si>
    <t>Fecha adquisición</t>
  </si>
  <si>
    <t>Situac.</t>
  </si>
  <si>
    <t>Matrícula</t>
  </si>
  <si>
    <t>Cod.Soc.Subro DE</t>
  </si>
  <si>
    <t>Soc.subrogación DE</t>
  </si>
  <si>
    <t>Cod.Soc.Pte.Sub A</t>
  </si>
  <si>
    <t>Soc.Pte.Subrogación A</t>
  </si>
  <si>
    <t>Nuesta Sol.Compras</t>
  </si>
  <si>
    <t>Ref/Pedido Prov.</t>
  </si>
  <si>
    <t>Cont.Marco Prov.</t>
  </si>
  <si>
    <t>CPER/Pedido</t>
  </si>
  <si>
    <t>Solicitada Devol.</t>
  </si>
  <si>
    <t>Cod.Periodicidad</t>
  </si>
  <si>
    <t>Periodicidad</t>
  </si>
  <si>
    <t>Ind.IVA</t>
  </si>
  <si>
    <t>KM Contratados</t>
  </si>
  <si>
    <t>Cod.Tipo KM Contratados</t>
  </si>
  <si>
    <t>Tipo KM Contratados</t>
  </si>
  <si>
    <t>Cod.Tipo Prorroga</t>
  </si>
  <si>
    <t>Tipo Prorroga</t>
  </si>
  <si>
    <t>Cód.Rotulación</t>
  </si>
  <si>
    <t>Rotulación</t>
  </si>
  <si>
    <t>Baca</t>
  </si>
  <si>
    <t>Enganche</t>
  </si>
  <si>
    <t>Separador</t>
  </si>
  <si>
    <t>Cod. Combustible</t>
  </si>
  <si>
    <t>Cód.Vehículo Taller</t>
  </si>
  <si>
    <t>Tipo Vehículo Taller</t>
  </si>
  <si>
    <t>Accesorios particulares</t>
  </si>
  <si>
    <t>Lugar de Pernota</t>
  </si>
  <si>
    <t>Renov.Flota Año</t>
  </si>
  <si>
    <t>Renov.Flota Mes</t>
  </si>
  <si>
    <t>Cambio Vehículo por</t>
  </si>
  <si>
    <t>DNI Conductor</t>
  </si>
  <si>
    <t>Nombre Conductor</t>
  </si>
  <si>
    <t>Compartido con</t>
  </si>
  <si>
    <t>DNI Resp.Notif</t>
  </si>
  <si>
    <t>Nombre Resp.Notificación</t>
  </si>
  <si>
    <t>Origen Toma KM</t>
  </si>
  <si>
    <t>Veh.Sustitución</t>
  </si>
  <si>
    <t>Soc.Imput</t>
  </si>
  <si>
    <t>Cebe</t>
  </si>
  <si>
    <t>Orden.Imput</t>
  </si>
  <si>
    <t>¿Refactura Grupo?</t>
  </si>
  <si>
    <t>Cod.Zona</t>
  </si>
  <si>
    <t>Zona</t>
  </si>
  <si>
    <t>Cod.Delegación.</t>
  </si>
  <si>
    <t>Delegación</t>
  </si>
  <si>
    <t>Responsable</t>
  </si>
  <si>
    <t>Línea negocio</t>
  </si>
  <si>
    <t>Nº Tarjetas en vigor</t>
  </si>
  <si>
    <t>Anexos</t>
  </si>
  <si>
    <t>Cód.Servicio</t>
  </si>
  <si>
    <t>Prorrateo</t>
  </si>
  <si>
    <t>Anticipado</t>
  </si>
  <si>
    <t>Observaciones</t>
  </si>
  <si>
    <t>Cód.Centro trabajo</t>
  </si>
  <si>
    <t>Nom.Centro trabajo</t>
  </si>
  <si>
    <t>Categoría Veh.</t>
  </si>
  <si>
    <t>Nom.Categoría Veh.</t>
  </si>
  <si>
    <t>Via-T Solred</t>
  </si>
  <si>
    <t>Inst.con Depósito</t>
  </si>
  <si>
    <t>H24</t>
  </si>
  <si>
    <t>Límite H24</t>
  </si>
  <si>
    <t>Tarjeta SOLRED</t>
  </si>
  <si>
    <t>Recurso compar.</t>
  </si>
  <si>
    <t>Uso Mixto</t>
  </si>
  <si>
    <t>Tfno.contacto</t>
  </si>
  <si>
    <t>Persona contacto entrega</t>
  </si>
  <si>
    <t>Nom.Persona contacto entrega</t>
  </si>
  <si>
    <t>GPS</t>
  </si>
  <si>
    <t>Código.GPS</t>
  </si>
  <si>
    <t>Nombre.GPS</t>
  </si>
  <si>
    <t>Cod.Tipología</t>
  </si>
  <si>
    <t>Tipología</t>
  </si>
  <si>
    <t>Notifica envío KM</t>
  </si>
  <si>
    <t>Fecha efectiva Sub.</t>
  </si>
  <si>
    <t>F.Alta Veh</t>
  </si>
  <si>
    <t>F.Vig.Inicio</t>
  </si>
  <si>
    <t>F.Devolución/Baja</t>
  </si>
  <si>
    <t>Nº cuotas Ini.Rent.</t>
  </si>
  <si>
    <t>Nº cuotas Re-renting</t>
  </si>
  <si>
    <t>Imp.Cuota SIN IVA</t>
  </si>
  <si>
    <t>Imp.Cuota Suplidos</t>
  </si>
  <si>
    <t>Imp.Cuota Veh.</t>
  </si>
  <si>
    <t>Imp.Cuota CON IVA</t>
  </si>
  <si>
    <t>Nº cuotas Prorroga</t>
  </si>
  <si>
    <t>F.Fin Prórroga</t>
  </si>
  <si>
    <t>KM Recorridos</t>
  </si>
  <si>
    <t>Fecha Toma KM</t>
  </si>
  <si>
    <t>F.Revisión ITV</t>
  </si>
  <si>
    <t>Kms.Próxima Revisión</t>
  </si>
  <si>
    <t>F.Alta Sustitución</t>
  </si>
  <si>
    <t>F.Baja Sustitución</t>
  </si>
  <si>
    <t>%.Imput</t>
  </si>
  <si>
    <t>F.Vigencia</t>
  </si>
  <si>
    <t>F.Hasta Imput.</t>
  </si>
  <si>
    <t>F.Prevista Entrega</t>
  </si>
  <si>
    <t>F.Prevista Devolución</t>
  </si>
  <si>
    <t>Coef.Exceso Km</t>
  </si>
  <si>
    <t>Coef.Defecto Km</t>
  </si>
  <si>
    <t>P8325BDH</t>
  </si>
  <si>
    <t>ACTIVO</t>
  </si>
  <si>
    <t>2</t>
  </si>
  <si>
    <t>8010</t>
  </si>
  <si>
    <t>VALORIA INVESTMENTS 2011</t>
  </si>
  <si>
    <t/>
  </si>
  <si>
    <t>Mensual</t>
  </si>
  <si>
    <t>TR</t>
  </si>
  <si>
    <t>0</t>
  </si>
  <si>
    <t>CORVUS</t>
  </si>
  <si>
    <t>UTV TERRAIN</t>
  </si>
  <si>
    <t>ESPECIAL</t>
  </si>
  <si>
    <t>NO</t>
  </si>
  <si>
    <t>SI</t>
  </si>
  <si>
    <t>04</t>
  </si>
  <si>
    <t>MASIA BELLVER</t>
  </si>
  <si>
    <t>ALTANECESIDAD</t>
  </si>
  <si>
    <t>NOAPLICA</t>
  </si>
  <si>
    <t>No</t>
  </si>
  <si>
    <t>18915493V</t>
  </si>
  <si>
    <t>DESIDERIO NEBOT CABALLER</t>
  </si>
  <si>
    <t>VEH</t>
  </si>
  <si>
    <t>MATRÍCULA DEFINITIVA: E6747BHW</t>
  </si>
  <si>
    <t>15</t>
  </si>
  <si>
    <t>Maquinaria Auxiliar</t>
  </si>
  <si>
    <t>01</t>
  </si>
  <si>
    <t>TURISMO LIGERO</t>
  </si>
  <si>
    <t>3219MHW</t>
  </si>
  <si>
    <t>10151293</t>
  </si>
  <si>
    <t>39</t>
  </si>
  <si>
    <t>AIGUES.CAT</t>
  </si>
  <si>
    <t>EDAR MONTSIA</t>
  </si>
  <si>
    <t>47829345V</t>
  </si>
  <si>
    <t>ORIOL SANCHO SUBIRATS</t>
  </si>
  <si>
    <t>40925697A</t>
  </si>
  <si>
    <t>SERGIO REBULL FATSINI</t>
  </si>
  <si>
    <t>0000005485</t>
  </si>
  <si>
    <t>005</t>
  </si>
  <si>
    <t>D.EDARS</t>
  </si>
  <si>
    <t>509</t>
  </si>
  <si>
    <t>SUSANNA ABELLA</t>
  </si>
  <si>
    <t>SABELLA</t>
  </si>
  <si>
    <t>0200_EDAR'S</t>
  </si>
  <si>
    <t>ACTIVO FIJO: 1632-0</t>
  </si>
  <si>
    <t>CT0624</t>
  </si>
  <si>
    <t>EDAR LA RAPITA</t>
  </si>
  <si>
    <t>Furgoneta/Furgón</t>
  </si>
  <si>
    <t>FURGONETA</t>
  </si>
  <si>
    <t>3201MHW</t>
  </si>
  <si>
    <t>10151295</t>
  </si>
  <si>
    <t>ACTIVO FIJO: 1634-0</t>
  </si>
  <si>
    <t>3192MHW</t>
  </si>
  <si>
    <t>10151294</t>
  </si>
  <si>
    <t>ACTIVO FIJO: 1633-0</t>
  </si>
  <si>
    <t>3140MHW</t>
  </si>
  <si>
    <t>10151093</t>
  </si>
  <si>
    <t>ACTIVO FIJO: 1631-0</t>
  </si>
  <si>
    <t>4564MHF</t>
  </si>
  <si>
    <t>10159597</t>
  </si>
  <si>
    <t>EDARS PALLARS</t>
  </si>
  <si>
    <t>78093855T</t>
  </si>
  <si>
    <t>ESTER PUBILL GASET</t>
  </si>
  <si>
    <t>Si</t>
  </si>
  <si>
    <t>78076392V</t>
  </si>
  <si>
    <t>ANGEL PERATI LLOAN</t>
  </si>
  <si>
    <t>725449</t>
  </si>
  <si>
    <t>0000005449</t>
  </si>
  <si>
    <t>517</t>
  </si>
  <si>
    <t>ANGEL PERATI</t>
  </si>
  <si>
    <t>ANPELLO</t>
  </si>
  <si>
    <t>ACTIVO FIJO: 1674-0</t>
  </si>
  <si>
    <t>CT0616</t>
  </si>
  <si>
    <t>EDAR SORT</t>
  </si>
  <si>
    <t>0404MGW</t>
  </si>
  <si>
    <t>10151481</t>
  </si>
  <si>
    <t>40930643G</t>
  </si>
  <si>
    <t>SUSANNA ABELLA CODORNIU</t>
  </si>
  <si>
    <t>N.º ACTIVO FIJO: 1641-0.</t>
  </si>
  <si>
    <t>05</t>
  </si>
  <si>
    <t>FURGONA</t>
  </si>
  <si>
    <t>0408MGW</t>
  </si>
  <si>
    <t>10151478</t>
  </si>
  <si>
    <t>N.º ACTIVO FIJO: 1639-0</t>
  </si>
  <si>
    <t>5357MDX</t>
  </si>
  <si>
    <t>E-TUK FACTORY</t>
  </si>
  <si>
    <t>LIMO GT</t>
  </si>
  <si>
    <t>16</t>
  </si>
  <si>
    <t>SIN ROTULAR</t>
  </si>
  <si>
    <t>Turismo</t>
  </si>
  <si>
    <t>44</t>
  </si>
  <si>
    <t>GRUPO GLOBAL OMNIUM</t>
  </si>
  <si>
    <t>EDAR UTIEL</t>
  </si>
  <si>
    <t>12</t>
  </si>
  <si>
    <t>44879969T</t>
  </si>
  <si>
    <t>DULCE RICART MADRID</t>
  </si>
  <si>
    <t>0000004359</t>
  </si>
  <si>
    <t>616</t>
  </si>
  <si>
    <t>EDARS R16</t>
  </si>
  <si>
    <t>MDELCAMPO</t>
  </si>
  <si>
    <t>8862KDN</t>
  </si>
  <si>
    <t>CT0386</t>
  </si>
  <si>
    <t>UTIEL EDAR</t>
  </si>
  <si>
    <t>10151480</t>
  </si>
  <si>
    <t>N.º ACTIVO FIJO: 1640-0</t>
  </si>
  <si>
    <t>10169918</t>
  </si>
  <si>
    <t>SUELO FENÓLICO</t>
  </si>
  <si>
    <t>EDAR ALT EMPO</t>
  </si>
  <si>
    <t>40358725G</t>
  </si>
  <si>
    <t>MARIONA CASADEVALL SALA</t>
  </si>
  <si>
    <t>0000005455</t>
  </si>
  <si>
    <t>515</t>
  </si>
  <si>
    <t>MARIONA CASADEVALL</t>
  </si>
  <si>
    <t>MACASA</t>
  </si>
  <si>
    <t>ACTIVO FIJO: 1696-0</t>
  </si>
  <si>
    <t>10169919</t>
  </si>
  <si>
    <t>ACTIVO FIJO: 1701-0</t>
  </si>
  <si>
    <t>10169920</t>
  </si>
  <si>
    <t>ACTIVO FIJO: 1700-0</t>
  </si>
  <si>
    <t>10169921</t>
  </si>
  <si>
    <t>ACTIVO FIJO: 1699-0</t>
  </si>
  <si>
    <t>10151477</t>
  </si>
  <si>
    <t>Nº ACTIVO FIJO: 1636-0.</t>
  </si>
  <si>
    <t>10151301</t>
  </si>
  <si>
    <t>EDAR NOGUERA</t>
  </si>
  <si>
    <t>3440LXD</t>
  </si>
  <si>
    <t>78070758H</t>
  </si>
  <si>
    <t>JOSEP MARIA SOLANS BALDOMA</t>
  </si>
  <si>
    <t>17728858K</t>
  </si>
  <si>
    <t>ANGEL LAZARO GASTON</t>
  </si>
  <si>
    <t>0000005465</t>
  </si>
  <si>
    <t>506</t>
  </si>
  <si>
    <t>ANGEL LAZARO</t>
  </si>
  <si>
    <t>ALAZARO</t>
  </si>
  <si>
    <t>Nº ACTIVO FIJO: 1623-0.</t>
  </si>
  <si>
    <t>CT0429</t>
  </si>
  <si>
    <t>EDAR BALAGUER</t>
  </si>
  <si>
    <t>10188743</t>
  </si>
  <si>
    <t>BAJO CINCA</t>
  </si>
  <si>
    <t>73202059M</t>
  </si>
  <si>
    <t>LIDIA ENRECH ALEGRE</t>
  </si>
  <si>
    <t>0000004378</t>
  </si>
  <si>
    <t>651</t>
  </si>
  <si>
    <t>EDARS R51</t>
  </si>
  <si>
    <t>GFAYOS</t>
  </si>
  <si>
    <t>CT0648</t>
  </si>
  <si>
    <t>EDAR FRAGA</t>
  </si>
  <si>
    <t>10148502</t>
  </si>
  <si>
    <t>JEFE DE PLANTA</t>
  </si>
  <si>
    <t>LA BISBAL</t>
  </si>
  <si>
    <t>41558453Y</t>
  </si>
  <si>
    <t>ENRIC GIRONELLA FERNANDEZ</t>
  </si>
  <si>
    <t>51494546F</t>
  </si>
  <si>
    <t>GABRIELA PEREYRA CARRERAS</t>
  </si>
  <si>
    <t>0000005586</t>
  </si>
  <si>
    <t>521</t>
  </si>
  <si>
    <t>GABRIELA PEREYRA</t>
  </si>
  <si>
    <t>GAPERCA</t>
  </si>
  <si>
    <t>ACTIVO FIJO: 1614-0</t>
  </si>
  <si>
    <t>CT0619</t>
  </si>
  <si>
    <t>EDAR BISBAL D´EMPORDA</t>
  </si>
  <si>
    <t>8873KDN</t>
  </si>
  <si>
    <t>10182077</t>
  </si>
  <si>
    <t>32</t>
  </si>
  <si>
    <t>GAMASER + GO LAB</t>
  </si>
  <si>
    <t>GO LAB</t>
  </si>
  <si>
    <t>11</t>
  </si>
  <si>
    <t>24339354H</t>
  </si>
  <si>
    <t>CLEMENTE PEREZ CABELLO</t>
  </si>
  <si>
    <t>45630577A</t>
  </si>
  <si>
    <t>IVAN GURRUCHAGA HERMIDA</t>
  </si>
  <si>
    <t>361447</t>
  </si>
  <si>
    <t>0000001447</t>
  </si>
  <si>
    <t>091</t>
  </si>
  <si>
    <t>LABORATORIO</t>
  </si>
  <si>
    <t>CGONZALEZ</t>
  </si>
  <si>
    <t>0700_D.SERVICIOS Y OTROS NEGOCIOS</t>
  </si>
  <si>
    <t>CT0593</t>
  </si>
  <si>
    <t>GOLAB</t>
  </si>
  <si>
    <t>10151436</t>
  </si>
  <si>
    <t>JEFE DE PROCESO</t>
  </si>
  <si>
    <t>CASSÀ DE LA S</t>
  </si>
  <si>
    <t>ACTIVO FIJO: 1635-0</t>
  </si>
  <si>
    <t>10148178</t>
  </si>
  <si>
    <t>EDAR LA ROCA</t>
  </si>
  <si>
    <t>Y7874607L</t>
  </si>
  <si>
    <t>ADRIANA KARINA GARCIA</t>
  </si>
  <si>
    <t>77612219F</t>
  </si>
  <si>
    <t>MERITXELL FARRES COMA</t>
  </si>
  <si>
    <t>0000005565</t>
  </si>
  <si>
    <t>504</t>
  </si>
  <si>
    <t>MERITXELL FARRES</t>
  </si>
  <si>
    <t>MFARRES</t>
  </si>
  <si>
    <t>ACTIVO FIJO: 1616-0</t>
  </si>
  <si>
    <t>0207</t>
  </si>
  <si>
    <t>EDAR LA JONQUERA</t>
  </si>
  <si>
    <t>10169925</t>
  </si>
  <si>
    <t>ACTIVO FIJO: 1697-0</t>
  </si>
  <si>
    <t>10169914</t>
  </si>
  <si>
    <t>EDAR GARRIGUE</t>
  </si>
  <si>
    <t>47606069W</t>
  </si>
  <si>
    <t>XAVIER DEVESA LINARES</t>
  </si>
  <si>
    <t>0000005441</t>
  </si>
  <si>
    <t>510</t>
  </si>
  <si>
    <t>XAVIER DEVESA</t>
  </si>
  <si>
    <t>XADELI</t>
  </si>
  <si>
    <t>ACTIVO FIJO: 1702-0</t>
  </si>
  <si>
    <t>10169915</t>
  </si>
  <si>
    <t>ACTIVO FIJO: 1705-0</t>
  </si>
  <si>
    <t>10169923</t>
  </si>
  <si>
    <t>ACTIVO FIJO: 1698-0</t>
  </si>
  <si>
    <t>10149123</t>
  </si>
  <si>
    <t>47681409V</t>
  </si>
  <si>
    <t>IGNASI LLOBERA ROMA</t>
  </si>
  <si>
    <t>ACTIVO FIJO: 1620-0</t>
  </si>
  <si>
    <t>CT0400</t>
  </si>
  <si>
    <t>EDAR ALBESA</t>
  </si>
  <si>
    <t>10149120</t>
  </si>
  <si>
    <t>46606286Y</t>
  </si>
  <si>
    <t>ANTONIO RODRIGUEZ ZAMBRANO</t>
  </si>
  <si>
    <t>ACTIVO FIJO: 1619-0</t>
  </si>
  <si>
    <t>10169917</t>
  </si>
  <si>
    <t>ACTIVO FIJO: 1703-0</t>
  </si>
  <si>
    <t>1406KDP</t>
  </si>
  <si>
    <t>10151889</t>
  </si>
  <si>
    <t>0411LVK</t>
  </si>
  <si>
    <t>20159007J</t>
  </si>
  <si>
    <t>FRANCISCO ALIAGA DURAN</t>
  </si>
  <si>
    <t>0000007706</t>
  </si>
  <si>
    <t>010</t>
  </si>
  <si>
    <t>SERVICIOS CONTADORES MACSA</t>
  </si>
  <si>
    <t>ALBEPALOA</t>
  </si>
  <si>
    <t>10169916</t>
  </si>
  <si>
    <t>ACTIVO FIJO: 1704-0</t>
  </si>
  <si>
    <t>10148507</t>
  </si>
  <si>
    <t>37</t>
  </si>
  <si>
    <t>TORTOSA</t>
  </si>
  <si>
    <t>40935459J</t>
  </si>
  <si>
    <t>JOSE MANUEL RILLO LLEIXA</t>
  </si>
  <si>
    <t>0000001591</t>
  </si>
  <si>
    <t>011</t>
  </si>
  <si>
    <t>D.OPERACIONES ZONA EXTERIOR</t>
  </si>
  <si>
    <t>209</t>
  </si>
  <si>
    <t>DELEGACION TORTOSA</t>
  </si>
  <si>
    <t>MRILLO</t>
  </si>
  <si>
    <t>0100_AGUA Y ALCANTARILLADO</t>
  </si>
  <si>
    <t>ACTIVO FIJO: 935-0</t>
  </si>
  <si>
    <t>10149931</t>
  </si>
  <si>
    <t>6515KPD</t>
  </si>
  <si>
    <t>78086533S</t>
  </si>
  <si>
    <t>DANIEL UROZ GONZALEZ</t>
  </si>
  <si>
    <t>0000005472</t>
  </si>
  <si>
    <t>522</t>
  </si>
  <si>
    <t>MIRIAM SUBIRÀ</t>
  </si>
  <si>
    <t>MISURI</t>
  </si>
  <si>
    <t>ACTIVO FIJO: 1630-0</t>
  </si>
  <si>
    <t>CT0636</t>
  </si>
  <si>
    <t>EDAR ISONA</t>
  </si>
  <si>
    <t>10149139</t>
  </si>
  <si>
    <t>43744783W</t>
  </si>
  <si>
    <t>LLUIS ESTRADA FONT</t>
  </si>
  <si>
    <t>ACTIVO FIJO: 1622-0</t>
  </si>
  <si>
    <t>10149134</t>
  </si>
  <si>
    <t>ACTIVO FIJO: 1621-0</t>
  </si>
  <si>
    <t>10151136</t>
  </si>
  <si>
    <t>Nº ACTIVO FIJO: 1638-0.</t>
  </si>
  <si>
    <t>10151302</t>
  </si>
  <si>
    <t>5851LXM</t>
  </si>
  <si>
    <t>47172414N</t>
  </si>
  <si>
    <t>DAVID HERRERA HERNANDEZ</t>
  </si>
  <si>
    <t>Nº ACTIVO FIJO: 1624-0.</t>
  </si>
  <si>
    <t>CT0142</t>
  </si>
  <si>
    <t>EDAR ARTESA DE SEGRE</t>
  </si>
  <si>
    <t>@01@</t>
  </si>
  <si>
    <t>10227630</t>
  </si>
  <si>
    <t>4500424875</t>
  </si>
  <si>
    <t>VARA DE QUART</t>
  </si>
  <si>
    <t>52689803T</t>
  </si>
  <si>
    <t>JOSE ANTONIO REQUENA TIERNO</t>
  </si>
  <si>
    <t>24372594T</t>
  </si>
  <si>
    <t>JUAN ESTEVE LEGUA</t>
  </si>
  <si>
    <t>600020</t>
  </si>
  <si>
    <t>0000000020</t>
  </si>
  <si>
    <t>007</t>
  </si>
  <si>
    <t>D.OPERACIONES AGUA EN BAJA VALENCIA</t>
  </si>
  <si>
    <t>ANPELLE</t>
  </si>
  <si>
    <t>ACTIVO FIJO 1517 - 0</t>
  </si>
  <si>
    <t>CT0344</t>
  </si>
  <si>
    <t>VALENCIA VARA DE QUART</t>
  </si>
  <si>
    <t xml:space="preserve"> 4</t>
  </si>
  <si>
    <t>10227693</t>
  </si>
  <si>
    <t>4500424899</t>
  </si>
  <si>
    <t>PLANTA MANISE</t>
  </si>
  <si>
    <t>29194705T</t>
  </si>
  <si>
    <t>MIGUEL AÑO SOTO</t>
  </si>
  <si>
    <t>48387387X</t>
  </si>
  <si>
    <t>SERGIO FERRIZ SANCHEZ</t>
  </si>
  <si>
    <t>0000000011</t>
  </si>
  <si>
    <t>107</t>
  </si>
  <si>
    <t>D.OPER.CALIDAD DEL AGUA + ETAPS</t>
  </si>
  <si>
    <t>SFERRIZ</t>
  </si>
  <si>
    <t>ACTIVO FIJO 1489 - 0</t>
  </si>
  <si>
    <t>CT0280</t>
  </si>
  <si>
    <t>PLANTA LA PRESA</t>
  </si>
  <si>
    <t>10227640</t>
  </si>
  <si>
    <t>4500424881</t>
  </si>
  <si>
    <t>22697585N</t>
  </si>
  <si>
    <t>DANIEL ROMERO MARTIN</t>
  </si>
  <si>
    <t>29194173C</t>
  </si>
  <si>
    <t>ANDROSS PEREZ LLEO</t>
  </si>
  <si>
    <t>ACTIVO FIJO 1501 - 0</t>
  </si>
  <si>
    <t>10227634</t>
  </si>
  <si>
    <t>4500424878</t>
  </si>
  <si>
    <t>ACTIVO FIJO 1499 - 0</t>
  </si>
  <si>
    <t>10227673</t>
  </si>
  <si>
    <t>4500424892</t>
  </si>
  <si>
    <t>PLANTA PICASS</t>
  </si>
  <si>
    <t>45633221W</t>
  </si>
  <si>
    <t>RAQUEL RIBERA ORTS</t>
  </si>
  <si>
    <t>0000000012</t>
  </si>
  <si>
    <t>RRORTS</t>
  </si>
  <si>
    <t>ACTIVO FIJO 1492 - 0</t>
  </si>
  <si>
    <t>CT0281</t>
  </si>
  <si>
    <t>PLANTA PICASSENT</t>
  </si>
  <si>
    <t>10227664</t>
  </si>
  <si>
    <t>4500424887</t>
  </si>
  <si>
    <t>53058715S</t>
  </si>
  <si>
    <t>GABRIEL GOMEZ MARTINEZ</t>
  </si>
  <si>
    <t>ACTIVO FIJO 1518 - 0</t>
  </si>
  <si>
    <t>10226817</t>
  </si>
  <si>
    <t>4500424864</t>
  </si>
  <si>
    <t>MO</t>
  </si>
  <si>
    <t>TACTICA</t>
  </si>
  <si>
    <t>0335LVK</t>
  </si>
  <si>
    <t>24344039B</t>
  </si>
  <si>
    <t>MARIA JOSE SANCHEZ ORMEÑO</t>
  </si>
  <si>
    <t>0012009060</t>
  </si>
  <si>
    <t>003</t>
  </si>
  <si>
    <t>AREA INGENIERIA</t>
  </si>
  <si>
    <t>HSANCHO</t>
  </si>
  <si>
    <t>0310_OBRAS AREA INGENIERIA</t>
  </si>
  <si>
    <t>ACTIVO FIJO 1522 - 0</t>
  </si>
  <si>
    <t>10227701</t>
  </si>
  <si>
    <t>4500424904</t>
  </si>
  <si>
    <t>53098056A</t>
  </si>
  <si>
    <t>JORDI BLASCO PLA</t>
  </si>
  <si>
    <t>ACTIVO FIJO 1510 - 0</t>
  </si>
  <si>
    <t>10227699</t>
  </si>
  <si>
    <t>33403481Y</t>
  </si>
  <si>
    <t>MANUEL SORIANO VILLAGRASA</t>
  </si>
  <si>
    <t>24379394S</t>
  </si>
  <si>
    <t>PURA ISABEL ALMENAR LLORENS</t>
  </si>
  <si>
    <t>ACTIVO FIJO 1491 - 0</t>
  </si>
  <si>
    <t>10227419</t>
  </si>
  <si>
    <t>ACTIVO FIJO 1525 - 0</t>
  </si>
  <si>
    <t>10227663</t>
  </si>
  <si>
    <t>21008035L</t>
  </si>
  <si>
    <t>PEDRO GANDIA SANCHEZ</t>
  </si>
  <si>
    <t>ACTIVO FIJO 1505 - 0</t>
  </si>
  <si>
    <t>CT0678</t>
  </si>
  <si>
    <t>VALENCIA VARA DE QUART 3 EDIF IMPER</t>
  </si>
  <si>
    <t>10227677</t>
  </si>
  <si>
    <t>4500424895</t>
  </si>
  <si>
    <t>44853822G</t>
  </si>
  <si>
    <t>CARMEN SANCHEZ BRIONES</t>
  </si>
  <si>
    <t>0000000032</t>
  </si>
  <si>
    <t>ACTIVO FIJO 1514 - 0</t>
  </si>
  <si>
    <t>10229054</t>
  </si>
  <si>
    <t>4500426848</t>
  </si>
  <si>
    <t>33</t>
  </si>
  <si>
    <t>MACSA</t>
  </si>
  <si>
    <t>SUELO FENOLICO</t>
  </si>
  <si>
    <t>7006LLV</t>
  </si>
  <si>
    <t>44799140Q</t>
  </si>
  <si>
    <t>JORDI ANDREU RAMA</t>
  </si>
  <si>
    <t>ACTIVO FIJO 776-0</t>
  </si>
  <si>
    <t xml:space="preserve"> 5</t>
  </si>
  <si>
    <t>0677MWF</t>
  </si>
  <si>
    <t>10218115</t>
  </si>
  <si>
    <t>4500416156</t>
  </si>
  <si>
    <t xml:space="preserve"> 1</t>
  </si>
  <si>
    <t>ACTIVO FIJO 1423-0</t>
  </si>
  <si>
    <t>0679MWF</t>
  </si>
  <si>
    <t>10219156</t>
  </si>
  <si>
    <t>4500418193</t>
  </si>
  <si>
    <t>BENETUSSER</t>
  </si>
  <si>
    <t>48443004J</t>
  </si>
  <si>
    <t>ALEJANDRA DURBAN MARTIN</t>
  </si>
  <si>
    <t>73557491H</t>
  </si>
  <si>
    <t>ROBERTO GARCIA MARTINEZ</t>
  </si>
  <si>
    <t>0000007710</t>
  </si>
  <si>
    <t>Z00</t>
  </si>
  <si>
    <t>AGUA Y ALCANTARILLADO</t>
  </si>
  <si>
    <t>355</t>
  </si>
  <si>
    <t>ALCANTARILLADO</t>
  </si>
  <si>
    <t>RGMARTINEZ</t>
  </si>
  <si>
    <t>ACTIVO FIJO 1166-0</t>
  </si>
  <si>
    <t>CT0053</t>
  </si>
  <si>
    <t>10222992</t>
  </si>
  <si>
    <t>4500421017</t>
  </si>
  <si>
    <t>40</t>
  </si>
  <si>
    <t>CCSA</t>
  </si>
  <si>
    <t>ESTANTERÍAS</t>
  </si>
  <si>
    <t>5922LXM</t>
  </si>
  <si>
    <t>53204397S</t>
  </si>
  <si>
    <t>EUSEBIO BUENDIA CUADRA</t>
  </si>
  <si>
    <t>52681981K</t>
  </si>
  <si>
    <t>ANTONIO FERRA DEL RIO</t>
  </si>
  <si>
    <t>0000006001</t>
  </si>
  <si>
    <t>P196001004</t>
  </si>
  <si>
    <t>MAN</t>
  </si>
  <si>
    <t>DIRECCION MANTENIMIENTO CCSA</t>
  </si>
  <si>
    <t>VDURAN</t>
  </si>
  <si>
    <t>0330_OBRAS_CCSA</t>
  </si>
  <si>
    <t>ACTIVO FIJO 487-0</t>
  </si>
  <si>
    <t>CT0582</t>
  </si>
  <si>
    <t>VALENCIA LLANTERNERS</t>
  </si>
  <si>
    <t>10229016</t>
  </si>
  <si>
    <t>4500426791</t>
  </si>
  <si>
    <t>5968LLV</t>
  </si>
  <si>
    <t>24349212D</t>
  </si>
  <si>
    <t>JOSE ENRIQUE BLANES TORRES</t>
  </si>
  <si>
    <t>ACTIVO FIJO 769 - 0</t>
  </si>
  <si>
    <t>10229021</t>
  </si>
  <si>
    <t>5972LLV</t>
  </si>
  <si>
    <t>52705900C</t>
  </si>
  <si>
    <t>JOSE IGNACIO LORENZO LAPEÑA</t>
  </si>
  <si>
    <t>ACTIVO FIJO 771 - 0</t>
  </si>
  <si>
    <t>10229012</t>
  </si>
  <si>
    <t>5967LLV</t>
  </si>
  <si>
    <t>ACTIVO FIJO 768 - 0</t>
  </si>
  <si>
    <t>10229047</t>
  </si>
  <si>
    <t>6786LLV</t>
  </si>
  <si>
    <t>44874229X</t>
  </si>
  <si>
    <t>ANGEL HERNANDEZ FERNANDEZ</t>
  </si>
  <si>
    <t>ACTIVO FIJO 773-0</t>
  </si>
  <si>
    <t>10228811</t>
  </si>
  <si>
    <t>3303LXK</t>
  </si>
  <si>
    <t>0000007107</t>
  </si>
  <si>
    <t>ACTIVO FIJO 766 - 0</t>
  </si>
  <si>
    <t>10228962</t>
  </si>
  <si>
    <t>5924LLV</t>
  </si>
  <si>
    <t>22589981W</t>
  </si>
  <si>
    <t>RAMON SERRA MINGUEZ</t>
  </si>
  <si>
    <t>20424808A</t>
  </si>
  <si>
    <t>ELIAS NAVARRO RAGA</t>
  </si>
  <si>
    <t>ACTIVO FIJO 767 - 0</t>
  </si>
  <si>
    <t>10229018</t>
  </si>
  <si>
    <t>5970LLV</t>
  </si>
  <si>
    <t>24383332C</t>
  </si>
  <si>
    <t>DIEGO PEREZ MARTINEZ</t>
  </si>
  <si>
    <t>0000007708</t>
  </si>
  <si>
    <t>ACTIVO FIJO 770 - 0</t>
  </si>
  <si>
    <t>10229046</t>
  </si>
  <si>
    <t>6785LLV</t>
  </si>
  <si>
    <t>29174378M</t>
  </si>
  <si>
    <t>MANUEL GUANTER SEGURA</t>
  </si>
  <si>
    <t>ACTIVO FIJO 772 - 0</t>
  </si>
  <si>
    <t>10229055</t>
  </si>
  <si>
    <t>7026LLV</t>
  </si>
  <si>
    <t>29188282V</t>
  </si>
  <si>
    <t>FRANCISCO SANCHEZ MORENO</t>
  </si>
  <si>
    <t>ACTIVO FIJO 777 - 0</t>
  </si>
  <si>
    <t>10229222</t>
  </si>
  <si>
    <t>27</t>
  </si>
  <si>
    <t>EAR (EQUIPO DE AUSCULTACIÓN DE</t>
  </si>
  <si>
    <t>ALCIRA</t>
  </si>
  <si>
    <t>5428LWC</t>
  </si>
  <si>
    <t>24393360C</t>
  </si>
  <si>
    <t>JOAN PERIS ROIG</t>
  </si>
  <si>
    <t>35596639E</t>
  </si>
  <si>
    <t>IGNACIO MORENO ARGUEDAS</t>
  </si>
  <si>
    <t>0000007752</t>
  </si>
  <si>
    <t>013</t>
  </si>
  <si>
    <t>MEJORA RDTO MACSA</t>
  </si>
  <si>
    <t>MCASANY</t>
  </si>
  <si>
    <t>@AR@</t>
  </si>
  <si>
    <t>ACTIVO FIJO 778 - 0</t>
  </si>
  <si>
    <t>10229053</t>
  </si>
  <si>
    <t>25415711K</t>
  </si>
  <si>
    <t>JOSE FCO PERPIÑA RAMON</t>
  </si>
  <si>
    <t>ACTIVO FIJO 775 - 0</t>
  </si>
  <si>
    <t>10224970</t>
  </si>
  <si>
    <t>EDAR RIPOLLES</t>
  </si>
  <si>
    <t>45833310Z</t>
  </si>
  <si>
    <t>ORIOL REGAS CABRA</t>
  </si>
  <si>
    <t>0000005498</t>
  </si>
  <si>
    <t>528</t>
  </si>
  <si>
    <t>ZONA RIPOLLÉS</t>
  </si>
  <si>
    <t>XGRANES</t>
  </si>
  <si>
    <t>ACTIVO FIJO 1898 - 0</t>
  </si>
  <si>
    <t>10208968</t>
  </si>
  <si>
    <t>POBLA FARNALS</t>
  </si>
  <si>
    <t xml:space="preserve"> 7</t>
  </si>
  <si>
    <t>53054057A</t>
  </si>
  <si>
    <t>LAURA RUIZ FORNER</t>
  </si>
  <si>
    <t>0000004557</t>
  </si>
  <si>
    <t>653</t>
  </si>
  <si>
    <t>EDARS R53</t>
  </si>
  <si>
    <t>ACTIVO FIJO: 2915-0</t>
  </si>
  <si>
    <t>CT0658</t>
  </si>
  <si>
    <t>POBLA DE FARNALS EDAR</t>
  </si>
  <si>
    <t>10208975</t>
  </si>
  <si>
    <t>POBLA DE FARN</t>
  </si>
  <si>
    <t>20160038D</t>
  </si>
  <si>
    <t>RAUL RUBIRA FERNANDEZ</t>
  </si>
  <si>
    <t>ACTIVO FIJO: 2912-0</t>
  </si>
  <si>
    <t>10208979</t>
  </si>
  <si>
    <t>29170975Y</t>
  </si>
  <si>
    <t>CARLOS JAVIER ANTON MOSCARDO</t>
  </si>
  <si>
    <t>ACTIVO FIJO: 2913-0 (CECO SISTEMAS 10589910)</t>
  </si>
  <si>
    <t>10208972</t>
  </si>
  <si>
    <t>73580219E</t>
  </si>
  <si>
    <t>JOAQUIN PARDO ALARCON</t>
  </si>
  <si>
    <t>ACTIVO FIJO: 2911-0</t>
  </si>
  <si>
    <t>10229052</t>
  </si>
  <si>
    <t>TERUEL</t>
  </si>
  <si>
    <t>18436766N</t>
  </si>
  <si>
    <t>OSCAR LACUESTA GILABERTE</t>
  </si>
  <si>
    <t>18446843S</t>
  </si>
  <si>
    <t>RAQUEL NAVARRO MARTIN</t>
  </si>
  <si>
    <t>0000000599</t>
  </si>
  <si>
    <t>027</t>
  </si>
  <si>
    <t>DELEGACION TERUEL</t>
  </si>
  <si>
    <t>PNOLASCO</t>
  </si>
  <si>
    <t>ACTIVO FIJO 7939-0</t>
  </si>
  <si>
    <t>CT0328</t>
  </si>
  <si>
    <t>10229231</t>
  </si>
  <si>
    <t>SILLA</t>
  </si>
  <si>
    <t>52634943H</t>
  </si>
  <si>
    <t>ENRIQUE JOSE MORA FELIPO</t>
  </si>
  <si>
    <t>52676772X</t>
  </si>
  <si>
    <t>JESUS LOPEZ HIGUERAS</t>
  </si>
  <si>
    <t>0000000567</t>
  </si>
  <si>
    <t>004</t>
  </si>
  <si>
    <t>D.OPERACIONES VALENCIA HORTA</t>
  </si>
  <si>
    <t>041</t>
  </si>
  <si>
    <t>DELEGACION VALENCIA HORTA SUD</t>
  </si>
  <si>
    <t>JLOPEZ</t>
  </si>
  <si>
    <t>ACTIVO FIJO 7942 - 0</t>
  </si>
  <si>
    <t>CT0591</t>
  </si>
  <si>
    <t>10229022</t>
  </si>
  <si>
    <t>ESTANTERIA</t>
  </si>
  <si>
    <t>GANDIA</t>
  </si>
  <si>
    <t>5974LMG</t>
  </si>
  <si>
    <t>20413414V</t>
  </si>
  <si>
    <t>ENRIQUE GILABERT GINER</t>
  </si>
  <si>
    <t>73556107Z</t>
  </si>
  <si>
    <t>JAVIER PONS MINGUEZ</t>
  </si>
  <si>
    <t>0000000714</t>
  </si>
  <si>
    <t>ALG</t>
  </si>
  <si>
    <t>D.OPERACIONES VALENCIA SAFOR</t>
  </si>
  <si>
    <t>113</t>
  </si>
  <si>
    <t>D.OPERACIONES VALENCIA SAFOR OESTE</t>
  </si>
  <si>
    <t>JPONS</t>
  </si>
  <si>
    <t>ACTIVO FIJO 7938-0</t>
  </si>
  <si>
    <t>CT0068</t>
  </si>
  <si>
    <t>BENIGANIM</t>
  </si>
  <si>
    <t>10226809</t>
  </si>
  <si>
    <t>0000001701</t>
  </si>
  <si>
    <t>015</t>
  </si>
  <si>
    <t>D.OPERACIONES VALENCIA SAFOR ESTE</t>
  </si>
  <si>
    <t>ACTIVO FIJO 7906 - 0</t>
  </si>
  <si>
    <t>10229020</t>
  </si>
  <si>
    <t>CHESTE</t>
  </si>
  <si>
    <t>5971LLV</t>
  </si>
  <si>
    <t>52749839Y</t>
  </si>
  <si>
    <t>EMILIO PEREZ LOZANO</t>
  </si>
  <si>
    <t>45796613W</t>
  </si>
  <si>
    <t>FERNANDO AVILA MARTINEZ</t>
  </si>
  <si>
    <t>0000000738</t>
  </si>
  <si>
    <t>021</t>
  </si>
  <si>
    <t>D.OPERACIONES VALENCIA OEST HOYA BUÑOL</t>
  </si>
  <si>
    <t>FAVILA</t>
  </si>
  <si>
    <t>ACTIVO FIJO 7947-0</t>
  </si>
  <si>
    <t>CT0127</t>
  </si>
  <si>
    <t>CHESTE (BASE II)</t>
  </si>
  <si>
    <t>10227423</t>
  </si>
  <si>
    <t>4529LRL</t>
  </si>
  <si>
    <t>0010019060</t>
  </si>
  <si>
    <t>D.AREA INGENIERIA</t>
  </si>
  <si>
    <t>ACTIVO FIJO 7905 - 0</t>
  </si>
  <si>
    <t>10229002</t>
  </si>
  <si>
    <t>18437924C</t>
  </si>
  <si>
    <t>RAQUEL GUZMAN MORANTE</t>
  </si>
  <si>
    <t>ACTIVO FIJO 7946-0</t>
  </si>
  <si>
    <t>CT0282</t>
  </si>
  <si>
    <t>PLANTA POTABILIZADORA</t>
  </si>
  <si>
    <t>10229239</t>
  </si>
  <si>
    <t>MASSSAMAGRELL</t>
  </si>
  <si>
    <t>3769LWS</t>
  </si>
  <si>
    <t>53876311F</t>
  </si>
  <si>
    <t>JORGE JOHN FLOREZ CASTRO</t>
  </si>
  <si>
    <t>48584391L</t>
  </si>
  <si>
    <t>CARLOS SOLER SANCHIS</t>
  </si>
  <si>
    <t>0000001420</t>
  </si>
  <si>
    <t>044</t>
  </si>
  <si>
    <t>DELEGACION VALENCIA HORTA NORD</t>
  </si>
  <si>
    <t>JEFARA</t>
  </si>
  <si>
    <t>ACTIVO FIJO 7943-0</t>
  </si>
  <si>
    <t>CT0234</t>
  </si>
  <si>
    <t>MASSAMAGRELL</t>
  </si>
  <si>
    <t>3020MRW</t>
  </si>
  <si>
    <t>1070</t>
  </si>
  <si>
    <t>TRAKTA CONTROL Y TRATAM.</t>
  </si>
  <si>
    <t>TRAKTA</t>
  </si>
  <si>
    <t>10227645</t>
  </si>
  <si>
    <t>24386604A</t>
  </si>
  <si>
    <t>RAFAEL CASTRO MARTIN</t>
  </si>
  <si>
    <t>ACTIVO FIJO 1503 - 0</t>
  </si>
  <si>
    <t>33462166H</t>
  </si>
  <si>
    <t>VICENTE SILVESTRE REMESAL</t>
  </si>
  <si>
    <t>0010649080</t>
  </si>
  <si>
    <t>JMONRABAL</t>
  </si>
  <si>
    <t>0500_OTROS</t>
  </si>
  <si>
    <t>10227633</t>
  </si>
  <si>
    <t>24339817K</t>
  </si>
  <si>
    <t>ENRIQUE SORIANO HERNANDEZ</t>
  </si>
  <si>
    <t>ACTIVO FIJO 1498 - 0</t>
  </si>
  <si>
    <t>10227675</t>
  </si>
  <si>
    <t>22597889K</t>
  </si>
  <si>
    <t>FELIPE GALAN MARTIN</t>
  </si>
  <si>
    <t>ACTIVO FIJO 1493 - 0</t>
  </si>
  <si>
    <t>10229056</t>
  </si>
  <si>
    <t xml:space="preserve"> EDAR CALPE</t>
  </si>
  <si>
    <t>CONDU00035</t>
  </si>
  <si>
    <t>OPERARIOS</t>
  </si>
  <si>
    <t>53627455B</t>
  </si>
  <si>
    <t>FERRAN DOMINGUIS PUIG</t>
  </si>
  <si>
    <t>0000004362</t>
  </si>
  <si>
    <t>618</t>
  </si>
  <si>
    <t>EDARS R18</t>
  </si>
  <si>
    <t>JMUT</t>
  </si>
  <si>
    <t>ACTIVO FIJO 2984 - 0</t>
  </si>
  <si>
    <t>10227687</t>
  </si>
  <si>
    <t>48586173F</t>
  </si>
  <si>
    <t>M CARMEN BARRACHINA GIMENO</t>
  </si>
  <si>
    <t>33459710T</t>
  </si>
  <si>
    <t>M ARANZAZU GAMON COMPANY</t>
  </si>
  <si>
    <t>0000000041</t>
  </si>
  <si>
    <t>008</t>
  </si>
  <si>
    <t>D.OPERACIONES AGUA EN ALTA VALENCIA</t>
  </si>
  <si>
    <t>JDIAZ</t>
  </si>
  <si>
    <t>ACTIVO FIJO 1495 - 0</t>
  </si>
  <si>
    <t>10227669</t>
  </si>
  <si>
    <t>0000000028</t>
  </si>
  <si>
    <t>PAVELLAN</t>
  </si>
  <si>
    <t>ACTIVO FIJO 1512 - 0</t>
  </si>
  <si>
    <t>10227680</t>
  </si>
  <si>
    <t>44507764G</t>
  </si>
  <si>
    <t>FCO JAVIER CANO MARTINEZ</t>
  </si>
  <si>
    <t>ACTIVO FIJO 1508 - 0</t>
  </si>
  <si>
    <t>10227648</t>
  </si>
  <si>
    <t>ACTIVO FIJO 1488 - 0</t>
  </si>
  <si>
    <t>TUAWA</t>
  </si>
  <si>
    <t>10227632</t>
  </si>
  <si>
    <t>4500424876</t>
  </si>
  <si>
    <t>53050129P</t>
  </si>
  <si>
    <t>LOURDES NAJERA MAIZ</t>
  </si>
  <si>
    <t>ACTIVO FIJO 1511 - 0</t>
  </si>
  <si>
    <t>5931LLV</t>
  </si>
  <si>
    <t>10227629</t>
  </si>
  <si>
    <t>4500424874</t>
  </si>
  <si>
    <t>44856076G</t>
  </si>
  <si>
    <t>MANUEL VALERO ALIAGA</t>
  </si>
  <si>
    <t>ACTIVO FIJO 1516 - 0</t>
  </si>
  <si>
    <t>10230128</t>
  </si>
  <si>
    <t>0000008540</t>
  </si>
  <si>
    <t>012</t>
  </si>
  <si>
    <t>D.SERVICIOS Y OTROS NEGOCIOS</t>
  </si>
  <si>
    <t>ACTIVO FIJO 6041 - 0</t>
  </si>
  <si>
    <t>10227417</t>
  </si>
  <si>
    <t>4500424866</t>
  </si>
  <si>
    <t>3967LRM</t>
  </si>
  <si>
    <t>24387541C</t>
  </si>
  <si>
    <t>JOSE RAMON VAZQUEZ LEIDA</t>
  </si>
  <si>
    <t>ACTIVO FIJO 1524 - 0</t>
  </si>
  <si>
    <t>CT0459</t>
  </si>
  <si>
    <t>PATERNA (P. E.TÁCTICA)</t>
  </si>
  <si>
    <t>10227479</t>
  </si>
  <si>
    <t>4500424869</t>
  </si>
  <si>
    <t>33401091P</t>
  </si>
  <si>
    <t>ELISA BORRAS NAVARRO</t>
  </si>
  <si>
    <t>ACTIVO FIJO 1527 - 0</t>
  </si>
  <si>
    <t>0459</t>
  </si>
  <si>
    <t>10227394</t>
  </si>
  <si>
    <t>4500424865</t>
  </si>
  <si>
    <t>ACTIVO FIJO 1523 - 0</t>
  </si>
  <si>
    <t>10227647</t>
  </si>
  <si>
    <t>4500424884</t>
  </si>
  <si>
    <t>25423137H</t>
  </si>
  <si>
    <t>JOSE VTE RIOS IBAÑEZ</t>
  </si>
  <si>
    <t>ACTIVO FIJO 1504 - 0</t>
  </si>
  <si>
    <t>10229237</t>
  </si>
  <si>
    <t>POBLA VALLBON</t>
  </si>
  <si>
    <t>2374LVY</t>
  </si>
  <si>
    <t>48286799R</t>
  </si>
  <si>
    <t>IGNACIO VAÑO BENEYTO</t>
  </si>
  <si>
    <t>73543240G</t>
  </si>
  <si>
    <t>JOSE ROS MIRAS</t>
  </si>
  <si>
    <t>0000008356</t>
  </si>
  <si>
    <t>017</t>
  </si>
  <si>
    <t>DELEGACION EGEVASA ZONA SUR</t>
  </si>
  <si>
    <t>016</t>
  </si>
  <si>
    <t>DELEGACION ONTINYENT</t>
  </si>
  <si>
    <t>ANSORE</t>
  </si>
  <si>
    <t>ACTIVO FIJO 6039 - 0</t>
  </si>
  <si>
    <t>CT0083</t>
  </si>
  <si>
    <t>BOCAIRENT</t>
  </si>
  <si>
    <t>FUENTE JARRO</t>
  </si>
  <si>
    <t>5460LWC</t>
  </si>
  <si>
    <t>10228808</t>
  </si>
  <si>
    <t>4500426760</t>
  </si>
  <si>
    <t>ESTANTERIAS</t>
  </si>
  <si>
    <t>ONTINYENT</t>
  </si>
  <si>
    <t>48288156R</t>
  </si>
  <si>
    <t>RAUL PADILLA MARIN</t>
  </si>
  <si>
    <t>0000005528</t>
  </si>
  <si>
    <t>ACTIVO FIJO 1176-0</t>
  </si>
  <si>
    <t>CT0443</t>
  </si>
  <si>
    <t>ONTINYENT AP NAVE</t>
  </si>
  <si>
    <t>1832</t>
  </si>
  <si>
    <t>COSTA BELLVER SA</t>
  </si>
  <si>
    <t>46</t>
  </si>
  <si>
    <t>COSTA BELLVER</t>
  </si>
  <si>
    <t>2544MLS</t>
  </si>
  <si>
    <t>10220305</t>
  </si>
  <si>
    <t>0000007108</t>
  </si>
  <si>
    <t>ACTIVO FIJO 758 - 0</t>
  </si>
  <si>
    <t>10225533</t>
  </si>
  <si>
    <t>0334LXP</t>
  </si>
  <si>
    <t>ACTIVO FIJO 759 - 0</t>
  </si>
  <si>
    <t>10228941</t>
  </si>
  <si>
    <t>SEROS</t>
  </si>
  <si>
    <t>5907LLV</t>
  </si>
  <si>
    <t>47684890W</t>
  </si>
  <si>
    <t>RICARD FERNANDEZ ARGENTE</t>
  </si>
  <si>
    <t>78578848S</t>
  </si>
  <si>
    <t>RAMON GIRONES ARAGO</t>
  </si>
  <si>
    <t>0000005584</t>
  </si>
  <si>
    <t>D.OPERACIONES CATALUNYA</t>
  </si>
  <si>
    <t>D29</t>
  </si>
  <si>
    <t>DELEGACION CATALUNYA (Concesiones)</t>
  </si>
  <si>
    <t>RGIRONES</t>
  </si>
  <si>
    <t>ACTIVO FIJO 1930-0</t>
  </si>
  <si>
    <t>CT0404</t>
  </si>
  <si>
    <t>6750LLV</t>
  </si>
  <si>
    <t>10229073</t>
  </si>
  <si>
    <t>4500426860</t>
  </si>
  <si>
    <t>ACTIVO FIJO 1538 - 0</t>
  </si>
  <si>
    <t>10229077</t>
  </si>
  <si>
    <t>4500426864</t>
  </si>
  <si>
    <t>29179124J</t>
  </si>
  <si>
    <t>SERGIO LORENTE SANCHEZ</t>
  </si>
  <si>
    <t>22582268V</t>
  </si>
  <si>
    <t>JOSE MANUEL GOIG ALIQUE</t>
  </si>
  <si>
    <t>ACTIVO FIJO 1542 - 0</t>
  </si>
  <si>
    <t>10229074</t>
  </si>
  <si>
    <t>4500426861</t>
  </si>
  <si>
    <t>ACTIVO FIJO 1539 - 0</t>
  </si>
  <si>
    <t>10229075</t>
  </si>
  <si>
    <t>4500426862</t>
  </si>
  <si>
    <t>85075225L</t>
  </si>
  <si>
    <t>FCO.JAVIER DURA ASENSI</t>
  </si>
  <si>
    <t>ACTIVO FIJO 1540 - 0</t>
  </si>
  <si>
    <t>10229067</t>
  </si>
  <si>
    <t>4500426855</t>
  </si>
  <si>
    <t>44794221L</t>
  </si>
  <si>
    <t>FCO JOSE MORAL MELERO</t>
  </si>
  <si>
    <t>ACTIVO FIJO 1534 - 0</t>
  </si>
  <si>
    <t>10229065</t>
  </si>
  <si>
    <t>4500426854</t>
  </si>
  <si>
    <t>22531980F</t>
  </si>
  <si>
    <t>JOSE MULA CODINA</t>
  </si>
  <si>
    <t>ACTIVO FIJO 1533-0</t>
  </si>
  <si>
    <t>0344</t>
  </si>
  <si>
    <t>VALENCIA Vara de Quart</t>
  </si>
  <si>
    <t>10229069</t>
  </si>
  <si>
    <t>4500426857</t>
  </si>
  <si>
    <t>24365277C</t>
  </si>
  <si>
    <t>MANUEL ROCA SERRANO</t>
  </si>
  <si>
    <t>ACTIVO FIJO 1535-0</t>
  </si>
  <si>
    <t>10229071</t>
  </si>
  <si>
    <t>4500426859</t>
  </si>
  <si>
    <t>CONDU00046</t>
  </si>
  <si>
    <t>M-74 VARIOS CONDUCTORES</t>
  </si>
  <si>
    <t>ACTIVO FIJO 1537-0</t>
  </si>
  <si>
    <t>10229076</t>
  </si>
  <si>
    <t>4500426863</t>
  </si>
  <si>
    <t>24337841T</t>
  </si>
  <si>
    <t>JUAN ANTONIO CAÑAMERO PALOMO</t>
  </si>
  <si>
    <t>ACTIVO FIJO 1541-0</t>
  </si>
  <si>
    <t>10229070</t>
  </si>
  <si>
    <t>4500426858</t>
  </si>
  <si>
    <t>ACTIVO FIJO 1536 - 0</t>
  </si>
  <si>
    <t>10228963</t>
  </si>
  <si>
    <t>29178482S</t>
  </si>
  <si>
    <t>MANUEL ARTIGUES PIÑERO</t>
  </si>
  <si>
    <t>ACTIVO FIJO 1532-0</t>
  </si>
  <si>
    <t>10229079</t>
  </si>
  <si>
    <t>4500426866</t>
  </si>
  <si>
    <t>26746729Y</t>
  </si>
  <si>
    <t>EDUARDO PRIETO MARI</t>
  </si>
  <si>
    <t>ACTIVO FIJO 1544-0</t>
  </si>
  <si>
    <t>10229297</t>
  </si>
  <si>
    <t>4500426882</t>
  </si>
  <si>
    <t>2893LWR</t>
  </si>
  <si>
    <t>300150</t>
  </si>
  <si>
    <t>0000000150</t>
  </si>
  <si>
    <t>F240150001</t>
  </si>
  <si>
    <t>031</t>
  </si>
  <si>
    <t>D.OBRAS VALENCIA</t>
  </si>
  <si>
    <t>ACTIVO FIJO 1582 - 0</t>
  </si>
  <si>
    <t>10229078</t>
  </si>
  <si>
    <t>4500426865</t>
  </si>
  <si>
    <t>48590594N</t>
  </si>
  <si>
    <t>RAUL YUSTE MARTINEZ</t>
  </si>
  <si>
    <t>ACTIVO FIJO 1543-0</t>
  </si>
  <si>
    <t>10215288</t>
  </si>
  <si>
    <t>MALGRAT DEL M</t>
  </si>
  <si>
    <t xml:space="preserve"> 9</t>
  </si>
  <si>
    <t>47703826D</t>
  </si>
  <si>
    <t>GEMMA BORRAS BLANCO</t>
  </si>
  <si>
    <t>0000001507</t>
  </si>
  <si>
    <t>000</t>
  </si>
  <si>
    <t>DGA OPERACIONES</t>
  </si>
  <si>
    <t>GBORRAS</t>
  </si>
  <si>
    <t>ACTIVO FIJO: 78-0</t>
  </si>
  <si>
    <t>4622MVB</t>
  </si>
  <si>
    <t>10215292</t>
  </si>
  <si>
    <t>ACTIVO FIJO: 77-0</t>
  </si>
  <si>
    <t>4623MVB</t>
  </si>
  <si>
    <t>10215283</t>
  </si>
  <si>
    <t>ACTIVO FIJO: 76-0</t>
  </si>
  <si>
    <t>10221892</t>
  </si>
  <si>
    <t>DELTEBRE</t>
  </si>
  <si>
    <t>7133MNH</t>
  </si>
  <si>
    <t>52607690C</t>
  </si>
  <si>
    <t>OSCAR ALIAU CAMPOS</t>
  </si>
  <si>
    <t>47628991Q</t>
  </si>
  <si>
    <t>ANNA MARIA PALLART ZARAGOZA</t>
  </si>
  <si>
    <t>0000005337</t>
  </si>
  <si>
    <t>APALLART</t>
  </si>
  <si>
    <t>ACTIVO FIJO 1903 - 0</t>
  </si>
  <si>
    <t>CT0654</t>
  </si>
  <si>
    <t>10229049</t>
  </si>
  <si>
    <t>CHIVA</t>
  </si>
  <si>
    <t>25396912J</t>
  </si>
  <si>
    <t>RAFAEL BARRERO GRILO</t>
  </si>
  <si>
    <t>0000001319</t>
  </si>
  <si>
    <t>D.OPERACIONES Z.RIBERA/H.BUÑOL/REQUENA</t>
  </si>
  <si>
    <t>SUBDELEGACION HOYA BUÑOL</t>
  </si>
  <si>
    <t>ACTIVO FIJO 172-0</t>
  </si>
  <si>
    <t>10228805</t>
  </si>
  <si>
    <t>4500426763</t>
  </si>
  <si>
    <t>2213LWX</t>
  </si>
  <si>
    <t>73648674Y</t>
  </si>
  <si>
    <t>ALBERTO ALEXANDER ZAPATER SANCHEZ</t>
  </si>
  <si>
    <t>201078</t>
  </si>
  <si>
    <t>0000001078</t>
  </si>
  <si>
    <t>ACTIVO FIJO 171-0</t>
  </si>
  <si>
    <t>10228804</t>
  </si>
  <si>
    <t>ETAP SAGUNTO</t>
  </si>
  <si>
    <t>0312LXY</t>
  </si>
  <si>
    <t>33566238S</t>
  </si>
  <si>
    <t>JOSE MANUEL PERALTA PATROCINIO</t>
  </si>
  <si>
    <t>48312313P</t>
  </si>
  <si>
    <t>JARED MATUTANO COZAR</t>
  </si>
  <si>
    <t>0000000535</t>
  </si>
  <si>
    <t>ETA</t>
  </si>
  <si>
    <t>073</t>
  </si>
  <si>
    <t>ETAPS</t>
  </si>
  <si>
    <t>PALMENAR</t>
  </si>
  <si>
    <t>ACTIVO FIJO 7944 - 0</t>
  </si>
  <si>
    <t>CT0310</t>
  </si>
  <si>
    <t>SAGUNTO ETAP</t>
  </si>
  <si>
    <t>10226832</t>
  </si>
  <si>
    <t>19897090C</t>
  </si>
  <si>
    <t>JOSE BOTELLA GRAS</t>
  </si>
  <si>
    <t>0010669100</t>
  </si>
  <si>
    <t>EFONT</t>
  </si>
  <si>
    <t>ACTIVO FIJO 499 - 0</t>
  </si>
  <si>
    <t>10227447</t>
  </si>
  <si>
    <t>6439LPM</t>
  </si>
  <si>
    <t>25383966Q</t>
  </si>
  <si>
    <t>JOSE EMILIO VIDAL ZANON</t>
  </si>
  <si>
    <t>ACTIVO FIJO 501-0</t>
  </si>
  <si>
    <t>CT0466</t>
  </si>
  <si>
    <t>PUERTO DE SAGUNTO</t>
  </si>
  <si>
    <t>10226819</t>
  </si>
  <si>
    <t>0340LVK</t>
  </si>
  <si>
    <t>24383175R</t>
  </si>
  <si>
    <t>ANTONIO SANCHO ORTIZ</t>
  </si>
  <si>
    <t>ACTIVO FIJO 7907 - 0</t>
  </si>
  <si>
    <t>10226760</t>
  </si>
  <si>
    <t>24368631Q</t>
  </si>
  <si>
    <t>M LOURDES QUILIS FORTEA</t>
  </si>
  <si>
    <t>ACTIVO FIJO 7899 - 0</t>
  </si>
  <si>
    <t>10229246</t>
  </si>
  <si>
    <t>4500426702</t>
  </si>
  <si>
    <t>8480LZJ</t>
  </si>
  <si>
    <t>04599031C</t>
  </si>
  <si>
    <t>JESUS SAEZ CARRAMOLINO</t>
  </si>
  <si>
    <t>0010669120</t>
  </si>
  <si>
    <t>OBR</t>
  </si>
  <si>
    <t>DIRECCION OBRAS CCSA</t>
  </si>
  <si>
    <t>JLOPEZV</t>
  </si>
  <si>
    <t>ACTIVO FIJO 506 - 0</t>
  </si>
  <si>
    <t>10229245</t>
  </si>
  <si>
    <t>7264MCH</t>
  </si>
  <si>
    <t>29205557L</t>
  </si>
  <si>
    <t>IRENE ANDREU BUESO</t>
  </si>
  <si>
    <t>ACTIVO FIJO 505 - 0</t>
  </si>
  <si>
    <t>10226833</t>
  </si>
  <si>
    <t>ALAQUAS</t>
  </si>
  <si>
    <t>2567LSG</t>
  </si>
  <si>
    <t>21795398T</t>
  </si>
  <si>
    <t>LOURDES MARIA COLLADO QUILIS</t>
  </si>
  <si>
    <t>0000000590</t>
  </si>
  <si>
    <t>042</t>
  </si>
  <si>
    <t>DELEGACION VALENCIA HORTA OEST</t>
  </si>
  <si>
    <t>PPUIG</t>
  </si>
  <si>
    <t>ACTIVO FIJO 7911 - 0</t>
  </si>
  <si>
    <t>CT0290</t>
  </si>
  <si>
    <t>QUART DE POBLET</t>
  </si>
  <si>
    <t>10226829</t>
  </si>
  <si>
    <t>1189LPK</t>
  </si>
  <si>
    <t>ACTIVO FIJO 7910 - 0</t>
  </si>
  <si>
    <t>10227437</t>
  </si>
  <si>
    <t>VALENCIA</t>
  </si>
  <si>
    <t>29200177K</t>
  </si>
  <si>
    <t>JUAN CARLOS ANGULO RODRIGUEZ</t>
  </si>
  <si>
    <t>ACTIVO FIJO 500 - 0</t>
  </si>
  <si>
    <t>10229248</t>
  </si>
  <si>
    <t>5291LZW</t>
  </si>
  <si>
    <t>0000006010</t>
  </si>
  <si>
    <t>P196010001</t>
  </si>
  <si>
    <t>Nº ACTIVO FIJO 507-0.</t>
  </si>
  <si>
    <t>10226824</t>
  </si>
  <si>
    <t>1200LVM</t>
  </si>
  <si>
    <t>20825592N</t>
  </si>
  <si>
    <t>JUAN ESTEVE AHUIR</t>
  </si>
  <si>
    <t>0000001510</t>
  </si>
  <si>
    <t>ACTIVO FIJO 7908 - 0</t>
  </si>
  <si>
    <t>CT0405</t>
  </si>
  <si>
    <t>FUENTE DEL JARRO</t>
  </si>
  <si>
    <t>10226826</t>
  </si>
  <si>
    <t>BURJASOT</t>
  </si>
  <si>
    <t>1197LPK</t>
  </si>
  <si>
    <t>20024335Y</t>
  </si>
  <si>
    <t>PAU PUIG COSTA</t>
  </si>
  <si>
    <t>73394994Q</t>
  </si>
  <si>
    <t>MARIA SILVESTRE PORCAR</t>
  </si>
  <si>
    <t>0000000560</t>
  </si>
  <si>
    <t>ACTIVO FIJO 7909 - 0</t>
  </si>
  <si>
    <t>10227443</t>
  </si>
  <si>
    <t>ACTIVO FIJO 7914 - 0</t>
  </si>
  <si>
    <t>10227397</t>
  </si>
  <si>
    <t>0012039060</t>
  </si>
  <si>
    <t>ACTIVO FIJO 186 - 0</t>
  </si>
  <si>
    <t>10226834</t>
  </si>
  <si>
    <t>2901LRJ</t>
  </si>
  <si>
    <t>ACTIVO FIJO 7912 - 0</t>
  </si>
  <si>
    <t>10227574</t>
  </si>
  <si>
    <t>MONCADA</t>
  </si>
  <si>
    <t>0000000542</t>
  </si>
  <si>
    <t>FMARTI</t>
  </si>
  <si>
    <t>ACTIVO FIJO 7920 - 0</t>
  </si>
  <si>
    <t>10227439</t>
  </si>
  <si>
    <t>0000000784</t>
  </si>
  <si>
    <t>ACTIVO FIJO 7913 - 0</t>
  </si>
  <si>
    <t>10227552</t>
  </si>
  <si>
    <t>ULL DEL BOU</t>
  </si>
  <si>
    <t>20034294Y</t>
  </si>
  <si>
    <t>MARTA DIAZ BUIGUES</t>
  </si>
  <si>
    <t>0000001702</t>
  </si>
  <si>
    <t>112</t>
  </si>
  <si>
    <t>D.OPERACIONES DESALACION</t>
  </si>
  <si>
    <t>MDIAZ</t>
  </si>
  <si>
    <t>ACTIVO FIJO 7917 - 0</t>
  </si>
  <si>
    <t>10229241</t>
  </si>
  <si>
    <t>BURJASSOT</t>
  </si>
  <si>
    <t>7464LVN</t>
  </si>
  <si>
    <t>0000000317</t>
  </si>
  <si>
    <t>ACTIVO FIJO 7937 - 0</t>
  </si>
  <si>
    <t>10227553</t>
  </si>
  <si>
    <t>0000000300</t>
  </si>
  <si>
    <t>ACTIVO FIJO 7918 - 0</t>
  </si>
  <si>
    <t>10227564</t>
  </si>
  <si>
    <t>9460LKC</t>
  </si>
  <si>
    <t>18439627K</t>
  </si>
  <si>
    <t>PEDRO NOLASCO SANCHEZ</t>
  </si>
  <si>
    <t>ACTIVO FIJO 7919 - 0</t>
  </si>
  <si>
    <t>10227537</t>
  </si>
  <si>
    <t>4500424810</t>
  </si>
  <si>
    <t>25414350V</t>
  </si>
  <si>
    <t>PABLO MARTINEZ GONZALEZ</t>
  </si>
  <si>
    <t>ACTIVO FIJO 1170 - 0</t>
  </si>
  <si>
    <t>10227576</t>
  </si>
  <si>
    <t>9583LTT</t>
  </si>
  <si>
    <t>53050170A</t>
  </si>
  <si>
    <t>SERGIO CORTES MACHUCA</t>
  </si>
  <si>
    <t>22557375X</t>
  </si>
  <si>
    <t>FERNANDO JOSE SANCHIS LLEDO</t>
  </si>
  <si>
    <t>0000005703</t>
  </si>
  <si>
    <t>FSANCHIS</t>
  </si>
  <si>
    <t>ACTIVO FIJO 1173 - 0</t>
  </si>
  <si>
    <t>10227555</t>
  </si>
  <si>
    <t>9432LKC</t>
  </si>
  <si>
    <t>29210932N</t>
  </si>
  <si>
    <t>PAULA SALAS GARCIA</t>
  </si>
  <si>
    <t>ACTIVO FIJO 1171 - 0</t>
  </si>
  <si>
    <t>10227569</t>
  </si>
  <si>
    <t>9467LKC</t>
  </si>
  <si>
    <t>44791845N</t>
  </si>
  <si>
    <t>ENRIQUE ESTEVE MORENO</t>
  </si>
  <si>
    <t>ACTIVO FIJO 1172 - 0</t>
  </si>
  <si>
    <t>10226807</t>
  </si>
  <si>
    <t>CICLO</t>
  </si>
  <si>
    <t>25388439G</t>
  </si>
  <si>
    <t>SALVADOR GIL FONS</t>
  </si>
  <si>
    <t>0000005539</t>
  </si>
  <si>
    <t>CSORIANO</t>
  </si>
  <si>
    <t>ACTIVO FIJO 1169 - 0</t>
  </si>
  <si>
    <t>10226831</t>
  </si>
  <si>
    <t>4500424826</t>
  </si>
  <si>
    <t>MALGRAT</t>
  </si>
  <si>
    <t>1619MBC</t>
  </si>
  <si>
    <t>38836591X</t>
  </si>
  <si>
    <t>RAFAEL VERGEL ESCRIBANO</t>
  </si>
  <si>
    <t>ACTIVO FIJO 82 - 0</t>
  </si>
  <si>
    <t>CT0644</t>
  </si>
  <si>
    <t>MALGRAT DE MAR</t>
  </si>
  <si>
    <t>10227465</t>
  </si>
  <si>
    <t>6448LPM</t>
  </si>
  <si>
    <t>48588845B</t>
  </si>
  <si>
    <t>ALEJANDRO FERRIZ SANCHEZ</t>
  </si>
  <si>
    <t>0000001243</t>
  </si>
  <si>
    <t>D.OPERACIONES AGUA EN ALTA</t>
  </si>
  <si>
    <t>ACTIVO FIJO 187 - 0</t>
  </si>
  <si>
    <t>10227449</t>
  </si>
  <si>
    <t>4500424808</t>
  </si>
  <si>
    <t>SAGUNTO</t>
  </si>
  <si>
    <t>6440LLT</t>
  </si>
  <si>
    <t>33565307G</t>
  </si>
  <si>
    <t>MARIA LAGUARDA FRECHINA</t>
  </si>
  <si>
    <t>200640</t>
  </si>
  <si>
    <t>0000000640</t>
  </si>
  <si>
    <t>NOR</t>
  </si>
  <si>
    <t>D.OPERACIONES VALENCIA NORTE</t>
  </si>
  <si>
    <t>CARSOSAN</t>
  </si>
  <si>
    <t>ACTIVO FIJO 4701 - 0</t>
  </si>
  <si>
    <t>0308</t>
  </si>
  <si>
    <t>SAGUNTO 2</t>
  </si>
  <si>
    <t>10229081</t>
  </si>
  <si>
    <t>3766LWM</t>
  </si>
  <si>
    <t>18448176Z</t>
  </si>
  <si>
    <t>DAVID ROS CATALAN</t>
  </si>
  <si>
    <t>ACTIVO FIJO 7941 - 0</t>
  </si>
  <si>
    <t>10229080</t>
  </si>
  <si>
    <t>4188LXH</t>
  </si>
  <si>
    <t>ACTIVO FIJO 7940-0</t>
  </si>
  <si>
    <t>10228847</t>
  </si>
  <si>
    <t>5156KZS</t>
  </si>
  <si>
    <t>19098676M</t>
  </si>
  <si>
    <t>EMILIO SOTOS RAIMUNDO</t>
  </si>
  <si>
    <t>ACTIVO FIJO 7945 - 0</t>
  </si>
  <si>
    <t>10226882</t>
  </si>
  <si>
    <t>SANT ANTONI D</t>
  </si>
  <si>
    <t>3698LVX</t>
  </si>
  <si>
    <t>46739401C</t>
  </si>
  <si>
    <t>ALBERT GONZALEZ MARQUEZ</t>
  </si>
  <si>
    <t>0000005577</t>
  </si>
  <si>
    <t>ACTIVO FIJO 1913 - 0</t>
  </si>
  <si>
    <t>CT0314</t>
  </si>
  <si>
    <t>SANT ANTONI DE VILAMAJOR</t>
  </si>
  <si>
    <t>10226769</t>
  </si>
  <si>
    <t>ASPE</t>
  </si>
  <si>
    <t>48348943E</t>
  </si>
  <si>
    <t>CRUZ MARIA BOX POVEDA</t>
  </si>
  <si>
    <t>44753015Y</t>
  </si>
  <si>
    <t>MANUEL ALIAGA GIL</t>
  </si>
  <si>
    <t>0000000101</t>
  </si>
  <si>
    <t>111</t>
  </si>
  <si>
    <t>Reparto 1004D111-R</t>
  </si>
  <si>
    <t>CBOX</t>
  </si>
  <si>
    <t>ACTIVO FIJO 2968 - 0</t>
  </si>
  <si>
    <t>CT0042</t>
  </si>
  <si>
    <t>10227414</t>
  </si>
  <si>
    <t>ONTENIENTE</t>
  </si>
  <si>
    <t>48289563M</t>
  </si>
  <si>
    <t>ISABEL PENADES LINARES</t>
  </si>
  <si>
    <t>0000004427</t>
  </si>
  <si>
    <t>COV</t>
  </si>
  <si>
    <t>D.OPERACIONES VALENCIA SUR</t>
  </si>
  <si>
    <t>ISAPENLI</t>
  </si>
  <si>
    <t>ACTIVO FIJO 2969 - 0</t>
  </si>
  <si>
    <t>10227433</t>
  </si>
  <si>
    <t>24372719X</t>
  </si>
  <si>
    <t>MIGUEL ANGEL PARIS HUERTA</t>
  </si>
  <si>
    <t>ACTIVO FIJO 2971 - 0</t>
  </si>
  <si>
    <t>10227547</t>
  </si>
  <si>
    <t>BEGUR</t>
  </si>
  <si>
    <t>41529188C</t>
  </si>
  <si>
    <t>QUERALT MERCADER PORT</t>
  </si>
  <si>
    <t>0000005567</t>
  </si>
  <si>
    <t>QUEMERPO</t>
  </si>
  <si>
    <t>ACTIVO FIJO 1915 - 0</t>
  </si>
  <si>
    <t>CT0559</t>
  </si>
  <si>
    <t>10226828</t>
  </si>
  <si>
    <t>ACTIVO FIJO 763 - 0</t>
  </si>
  <si>
    <t>10227475</t>
  </si>
  <si>
    <t>29174647K</t>
  </si>
  <si>
    <t>ALBERTO PALOMAR ABAD</t>
  </si>
  <si>
    <t>ACTIVO FIJO 764 - 0</t>
  </si>
  <si>
    <t>10227427</t>
  </si>
  <si>
    <t>EDAR DENIA</t>
  </si>
  <si>
    <t>4767LKD</t>
  </si>
  <si>
    <t>05641017Z</t>
  </si>
  <si>
    <t>ANA MARIA GALLARDO HERREROS</t>
  </si>
  <si>
    <t>0000004361</t>
  </si>
  <si>
    <t>633</t>
  </si>
  <si>
    <t>EDARS R33</t>
  </si>
  <si>
    <t>ANAGAHE</t>
  </si>
  <si>
    <t>ACTIVO FIJO 2970 - 0</t>
  </si>
  <si>
    <t>CT0585</t>
  </si>
  <si>
    <t>DENIA EDAR</t>
  </si>
  <si>
    <t>10228045</t>
  </si>
  <si>
    <t>EDAR CARLET</t>
  </si>
  <si>
    <t>73765813Y</t>
  </si>
  <si>
    <t>ANTONIO AVELLANA SAFRANEZ</t>
  </si>
  <si>
    <t>0000004358</t>
  </si>
  <si>
    <t>EDA</t>
  </si>
  <si>
    <t>D.EDARS SEASA</t>
  </si>
  <si>
    <t>617</t>
  </si>
  <si>
    <t>EDARS R17</t>
  </si>
  <si>
    <t>AAVELLANA</t>
  </si>
  <si>
    <t>ACTIVO FIJO 2972 - 0</t>
  </si>
  <si>
    <t>CT0387</t>
  </si>
  <si>
    <t>CARLET EDAR</t>
  </si>
  <si>
    <t>10199604</t>
  </si>
  <si>
    <t>SANTA POLA</t>
  </si>
  <si>
    <t>74359278W</t>
  </si>
  <si>
    <t>JOSE MIGUEL SEMPERE PICO</t>
  </si>
  <si>
    <t>0000004236</t>
  </si>
  <si>
    <t>624</t>
  </si>
  <si>
    <t>EDARS R24</t>
  </si>
  <si>
    <t>JJGISBERT</t>
  </si>
  <si>
    <t>ACTIVO FIJO 2873-0</t>
  </si>
  <si>
    <t xml:space="preserve"> 2</t>
  </si>
  <si>
    <t>Motocicleta</t>
  </si>
  <si>
    <t>07</t>
  </si>
  <si>
    <t>MOTOCICLETA</t>
  </si>
  <si>
    <t>10221891</t>
  </si>
  <si>
    <t>7143MNH</t>
  </si>
  <si>
    <t>52606604S</t>
  </si>
  <si>
    <t>CARLOS TORRES CASANOVA</t>
  </si>
  <si>
    <t>ACTIVO FIJO 1902 - 0</t>
  </si>
  <si>
    <t>10229024</t>
  </si>
  <si>
    <t>6047LMG</t>
  </si>
  <si>
    <t>46186804K</t>
  </si>
  <si>
    <t>ALEJO EZEQUIEL CAMACHO REZZONICO</t>
  </si>
  <si>
    <t>0000000370</t>
  </si>
  <si>
    <t>DELEGACION L´HORTA OEST</t>
  </si>
  <si>
    <t>ACTIVO FIJO 4705 - 0</t>
  </si>
  <si>
    <t>CT0242</t>
  </si>
  <si>
    <t>10230148</t>
  </si>
  <si>
    <t>4500427623</t>
  </si>
  <si>
    <t>ACTIVO FIJO 1452 - 0</t>
  </si>
  <si>
    <t>10228816</t>
  </si>
  <si>
    <t>48314641J</t>
  </si>
  <si>
    <t>J JOAQUIN TORNERO LOPEZ</t>
  </si>
  <si>
    <t>0000000108</t>
  </si>
  <si>
    <t>090</t>
  </si>
  <si>
    <t>CALIDAD DEL AGUA</t>
  </si>
  <si>
    <t>PACEVI</t>
  </si>
  <si>
    <t>ACTIVO FIJO 1447 - 0</t>
  </si>
  <si>
    <t>10229226</t>
  </si>
  <si>
    <t>7653LWR</t>
  </si>
  <si>
    <t>52641296T</t>
  </si>
  <si>
    <t>MIGUEL ANG CASAÑ PEREZ</t>
  </si>
  <si>
    <t>0000001379</t>
  </si>
  <si>
    <t>ACTIVO FIJO 1448-0</t>
  </si>
  <si>
    <t>10228972</t>
  </si>
  <si>
    <t>5928LLV</t>
  </si>
  <si>
    <t>22692949E</t>
  </si>
  <si>
    <t>JAVIER LLOPIS VAYA</t>
  </si>
  <si>
    <t>ACTIVO FIJO 1179-0</t>
  </si>
  <si>
    <t>10228950</t>
  </si>
  <si>
    <t>20784720B</t>
  </si>
  <si>
    <t>ANGEL PEREZ GOMEZ</t>
  </si>
  <si>
    <t>ACTIVO FIJO 1178 - 0</t>
  </si>
  <si>
    <t>10229094</t>
  </si>
  <si>
    <t>2203LWX</t>
  </si>
  <si>
    <t>73567620G</t>
  </si>
  <si>
    <t>SALVADOR GIMENO UROZ</t>
  </si>
  <si>
    <t>0000005458</t>
  </si>
  <si>
    <t>ACTIVO FIJO 1180 - 0</t>
  </si>
  <si>
    <t>10229232</t>
  </si>
  <si>
    <t>QUART POBLET</t>
  </si>
  <si>
    <t>2326LVY</t>
  </si>
  <si>
    <t>53054532H</t>
  </si>
  <si>
    <t>RAUL SANCHEZ BAUTISTA</t>
  </si>
  <si>
    <t>0000005457</t>
  </si>
  <si>
    <t>ACTIVO FIJO 1181-0</t>
  </si>
  <si>
    <t>CT0447</t>
  </si>
  <si>
    <t>PAIPORTA</t>
  </si>
  <si>
    <t>10228813</t>
  </si>
  <si>
    <t>3564LMF</t>
  </si>
  <si>
    <t>33454743R</t>
  </si>
  <si>
    <t>RAFAEL RAMON ROIG LIMA</t>
  </si>
  <si>
    <t>ACTIVO FIJO 1177-0</t>
  </si>
  <si>
    <t>10227637</t>
  </si>
  <si>
    <t>4500424879</t>
  </si>
  <si>
    <t>52679691P</t>
  </si>
  <si>
    <t>JUAN CARLOS PONCE HUERTA</t>
  </si>
  <si>
    <t>ACTIVO FIJO 1513 - 0</t>
  </si>
  <si>
    <t>10227641</t>
  </si>
  <si>
    <t>4500424882</t>
  </si>
  <si>
    <t>29213521W</t>
  </si>
  <si>
    <t>JAVIER SANCHO ZARAGOZA</t>
  </si>
  <si>
    <t>ACTIVO FIJO 1502 - 0</t>
  </si>
  <si>
    <t>10227467</t>
  </si>
  <si>
    <t>4500424868</t>
  </si>
  <si>
    <t>6465LPM</t>
  </si>
  <si>
    <t>ACTIVO FIJO 1526 - 0</t>
  </si>
  <si>
    <t>10227672</t>
  </si>
  <si>
    <t>4500424891</t>
  </si>
  <si>
    <t>24385638A</t>
  </si>
  <si>
    <t>CARLOS MONTAÑANA CORTIJO</t>
  </si>
  <si>
    <t>ACTIVO FIJO 1519 - 0</t>
  </si>
  <si>
    <t>10227665</t>
  </si>
  <si>
    <t>4500424888</t>
  </si>
  <si>
    <t>33405031S</t>
  </si>
  <si>
    <t>GUILLERMO MORENO PARDO</t>
  </si>
  <si>
    <t>ACTIVO FIJO 1506 - 0</t>
  </si>
  <si>
    <t>10227671</t>
  </si>
  <si>
    <t>4500424890</t>
  </si>
  <si>
    <t>22588705Z</t>
  </si>
  <si>
    <t>ANGELA ALCAIDE ROYO</t>
  </si>
  <si>
    <t>ACTIVO FIJO 1507 - 0</t>
  </si>
  <si>
    <t>10231171</t>
  </si>
  <si>
    <t>2856LWR</t>
  </si>
  <si>
    <t>33450942H</t>
  </si>
  <si>
    <t>FERNANDO DE HARO SIMON</t>
  </si>
  <si>
    <t>0000005529</t>
  </si>
  <si>
    <t>ACTIVO FIJO 1182-0</t>
  </si>
  <si>
    <t>10228988</t>
  </si>
  <si>
    <t>ESTANTERIA + TORNILLO DE BANCO</t>
  </si>
  <si>
    <t>52153200X</t>
  </si>
  <si>
    <t>JORDI MARTI AULADELL</t>
  </si>
  <si>
    <t>41576096P</t>
  </si>
  <si>
    <t>ANNA BOADELLA SAUBI</t>
  </si>
  <si>
    <t>0000005571</t>
  </si>
  <si>
    <t>SOQUINPLAN</t>
  </si>
  <si>
    <t>ACTIVO FIJO 1932-0</t>
  </si>
  <si>
    <t>CT0316</t>
  </si>
  <si>
    <t>SANT PERE DE VILAMAJOR</t>
  </si>
  <si>
    <t>10228789</t>
  </si>
  <si>
    <t>0307LXY</t>
  </si>
  <si>
    <t>0000005335</t>
  </si>
  <si>
    <t>ACTIVO FIJO 1924 - 0</t>
  </si>
  <si>
    <t>10229008</t>
  </si>
  <si>
    <t>ST.CARLES.DE</t>
  </si>
  <si>
    <t>5951LLV</t>
  </si>
  <si>
    <t>47855673X</t>
  </si>
  <si>
    <t>OSCAR BARBERA PEPIOL</t>
  </si>
  <si>
    <t>Nº ACTIVO FIJO 1934-0.</t>
  </si>
  <si>
    <t>CT0315</t>
  </si>
  <si>
    <t>SANT CARLES DE LA RAPITA</t>
  </si>
  <si>
    <t>10228917</t>
  </si>
  <si>
    <t>5723LMY</t>
  </si>
  <si>
    <t>53837482W</t>
  </si>
  <si>
    <t>JUAN JOSE ROSAL CABALLERO</t>
  </si>
  <si>
    <t>ACTIVO FIJO 1928 - 0</t>
  </si>
  <si>
    <t>10229005</t>
  </si>
  <si>
    <t>ST.CARLES RAP</t>
  </si>
  <si>
    <t>47620501J</t>
  </si>
  <si>
    <t>VICENT BERNAD PLA</t>
  </si>
  <si>
    <t>0000005351</t>
  </si>
  <si>
    <t>ACTIVO FIJO 1933 - 0</t>
  </si>
  <si>
    <t>CT0094</t>
  </si>
  <si>
    <t>CAMARLES</t>
  </si>
  <si>
    <t>10228915</t>
  </si>
  <si>
    <t>ESTANTERÍAS + CANDADO SEGURIDAD</t>
  </si>
  <si>
    <t>SANTA PAU</t>
  </si>
  <si>
    <t>5652LMY</t>
  </si>
  <si>
    <t>0000005327</t>
  </si>
  <si>
    <t>ACTIVO FIJO 1927 - 0</t>
  </si>
  <si>
    <t>10229051</t>
  </si>
  <si>
    <t>6984LLV</t>
  </si>
  <si>
    <t>40518892E</t>
  </si>
  <si>
    <t>MANUEL ANTONIO CANO MORENO</t>
  </si>
  <si>
    <t>Nº ACTIVO FIJO 1935-0.</t>
  </si>
  <si>
    <t>10228841</t>
  </si>
  <si>
    <t>ALTAFULLA</t>
  </si>
  <si>
    <t>4980LXL</t>
  </si>
  <si>
    <t>34946968D</t>
  </si>
  <si>
    <t>ANTONIO DIEGUEZ FERNANDEZ</t>
  </si>
  <si>
    <t>0000005359</t>
  </si>
  <si>
    <t>SERLLAVI</t>
  </si>
  <si>
    <t>ACTIVO FIJO 1926 - 0</t>
  </si>
  <si>
    <t>CT0248</t>
  </si>
  <si>
    <t>MORA LA NOVA</t>
  </si>
  <si>
    <t>5927LLV</t>
  </si>
  <si>
    <t>78002499T</t>
  </si>
  <si>
    <t>JAIME CARBO GOMEZ</t>
  </si>
  <si>
    <t>ACTIVO FIJO 1931 - 0</t>
  </si>
  <si>
    <t>10228807</t>
  </si>
  <si>
    <t>2590LLY</t>
  </si>
  <si>
    <t>ACTIVO FIJO 1925 - 0</t>
  </si>
  <si>
    <t>10228814</t>
  </si>
  <si>
    <t>3635LWM</t>
  </si>
  <si>
    <t>25388508G</t>
  </si>
  <si>
    <t>RAMON CARDENETE ALCALA</t>
  </si>
  <si>
    <t>0000006006</t>
  </si>
  <si>
    <t>ACTIVO FIJO 509-0</t>
  </si>
  <si>
    <t>10228999</t>
  </si>
  <si>
    <t>PALMA GANDIA</t>
  </si>
  <si>
    <t>5935LLV</t>
  </si>
  <si>
    <t>20027436W</t>
  </si>
  <si>
    <t>MARIA JOSE RIPOLL CLEMENTE</t>
  </si>
  <si>
    <t>0000006018</t>
  </si>
  <si>
    <t>ACTIVO FIJO 514-0</t>
  </si>
  <si>
    <t>CT0266</t>
  </si>
  <si>
    <t>PALMA DE GANDIA-ADOR EDAR</t>
  </si>
  <si>
    <t>10229045</t>
  </si>
  <si>
    <t>4500426799</t>
  </si>
  <si>
    <t>ALZIRA</t>
  </si>
  <si>
    <t>6777LLV</t>
  </si>
  <si>
    <t>29189359J</t>
  </si>
  <si>
    <t>JAVIER CIUDAD REAL DOTOR</t>
  </si>
  <si>
    <t>ACTIVO FIJO 517-0</t>
  </si>
  <si>
    <t>CT0570</t>
  </si>
  <si>
    <t>ALCIRA-BENIFAIO</t>
  </si>
  <si>
    <t>10229057</t>
  </si>
  <si>
    <t>33453006N</t>
  </si>
  <si>
    <t>ENRIQUE SEBASTIAN BERMUDEZ MORENO</t>
  </si>
  <si>
    <t>0000006004</t>
  </si>
  <si>
    <t>ACTIVO FIJO 518-0</t>
  </si>
  <si>
    <t>10228953</t>
  </si>
  <si>
    <t>5922LLV</t>
  </si>
  <si>
    <t>20018221X</t>
  </si>
  <si>
    <t>JOSE MANUEL GOZALVEZ LLAVORI</t>
  </si>
  <si>
    <t>0010669109</t>
  </si>
  <si>
    <t>ACTIVO FIJO 513-0</t>
  </si>
  <si>
    <t>CT0576</t>
  </si>
  <si>
    <t>10228936</t>
  </si>
  <si>
    <t>5884LXM</t>
  </si>
  <si>
    <t>44879357D</t>
  </si>
  <si>
    <t>SERGIO NUEDA GARCIA</t>
  </si>
  <si>
    <t>ACTIVO FIJO 512 - 0</t>
  </si>
  <si>
    <t>10229023</t>
  </si>
  <si>
    <t>4500426797</t>
  </si>
  <si>
    <t>6041LXM</t>
  </si>
  <si>
    <t>24373167K</t>
  </si>
  <si>
    <t>PEDRO MORCILLO MENDEZ</t>
  </si>
  <si>
    <t>ACTIVO FIJO 515-0</t>
  </si>
  <si>
    <t>10228815</t>
  </si>
  <si>
    <t>4500426768</t>
  </si>
  <si>
    <t>3685LWM</t>
  </si>
  <si>
    <t>73912816Q</t>
  </si>
  <si>
    <t>ANTONIO JOSE VIADEL SAN BLAS</t>
  </si>
  <si>
    <t>0000006016</t>
  </si>
  <si>
    <t>ACTIVO FIJO 510-0</t>
  </si>
  <si>
    <t>10228879</t>
  </si>
  <si>
    <t>4500426772</t>
  </si>
  <si>
    <t>5417LWC</t>
  </si>
  <si>
    <t>22558148R</t>
  </si>
  <si>
    <t>IGNACIO HERNANDEZ MORERA</t>
  </si>
  <si>
    <t>ACTIVO FIJO 511-0</t>
  </si>
  <si>
    <t>10228810</t>
  </si>
  <si>
    <t>3285LXK</t>
  </si>
  <si>
    <t>22640459H</t>
  </si>
  <si>
    <t>JOSE VICENTE VIDAL SELVI</t>
  </si>
  <si>
    <t>0010669105</t>
  </si>
  <si>
    <t>ACTIVO FIJO 508-0</t>
  </si>
  <si>
    <t>10229228</t>
  </si>
  <si>
    <t>2565LWN</t>
  </si>
  <si>
    <t>53209918Q</t>
  </si>
  <si>
    <t>DANIEL PLANELLS MEDINA</t>
  </si>
  <si>
    <t>ACTIVO FIJO 519-0</t>
  </si>
  <si>
    <t>10229044</t>
  </si>
  <si>
    <t>6737LLV</t>
  </si>
  <si>
    <t>44933129F</t>
  </si>
  <si>
    <t>FRANCISCO RICARDO MARTINEZ PIZARRO</t>
  </si>
  <si>
    <t>ACTIVO FIJO 516 - 0</t>
  </si>
  <si>
    <t>10233242</t>
  </si>
  <si>
    <t>4500426842</t>
  </si>
  <si>
    <t>6789LLV</t>
  </si>
  <si>
    <t>48285529L</t>
  </si>
  <si>
    <t>MIGUEL ANGEL SANZ JUAN</t>
  </si>
  <si>
    <t>ACTIVO FIJO 774 - 0</t>
  </si>
  <si>
    <t>10229059</t>
  </si>
  <si>
    <t>4500426852</t>
  </si>
  <si>
    <t>PICASSENT</t>
  </si>
  <si>
    <t>ACTIVO FIJO 1531 - 0</t>
  </si>
  <si>
    <t>10206920</t>
  </si>
  <si>
    <t xml:space="preserve"> 6</t>
  </si>
  <si>
    <t>90002118J</t>
  </si>
  <si>
    <t>JORDI RIUS CAMPRUBI</t>
  </si>
  <si>
    <t>ACTIVO FIJO 1842 - 0</t>
  </si>
  <si>
    <t>CT0655</t>
  </si>
  <si>
    <t>EDAR RIPOLL</t>
  </si>
  <si>
    <t>8998MSH</t>
  </si>
  <si>
    <t>10207345</t>
  </si>
  <si>
    <t>46134171N</t>
  </si>
  <si>
    <t>PEDRO COMELLA FOLCRA</t>
  </si>
  <si>
    <t>ACTIVO FIJO 1845 - 0</t>
  </si>
  <si>
    <t>8999MSH</t>
  </si>
  <si>
    <t>10207346</t>
  </si>
  <si>
    <t>40558238S</t>
  </si>
  <si>
    <t>JOSE ANTONIO FARGAS BAYONA</t>
  </si>
  <si>
    <t>ACTIVO FIJO 1846 - 0</t>
  </si>
  <si>
    <t>10227541</t>
  </si>
  <si>
    <t>4500424811</t>
  </si>
  <si>
    <t>9359LTT</t>
  </si>
  <si>
    <t>ACTIVO FIJO 7916 - 0</t>
  </si>
  <si>
    <t>10227469</t>
  </si>
  <si>
    <t>PUZOL</t>
  </si>
  <si>
    <t>6500LSL</t>
  </si>
  <si>
    <t>44876722L</t>
  </si>
  <si>
    <t>SANDRA ORTIZ ARRABAL</t>
  </si>
  <si>
    <t>0000000541</t>
  </si>
  <si>
    <t>043</t>
  </si>
  <si>
    <t>D.OPERACIONES VALENCIA NORTE HORTA NORD</t>
  </si>
  <si>
    <t>ACTIVO FIJO 7915 - 0</t>
  </si>
  <si>
    <t>CT0289</t>
  </si>
  <si>
    <t>9061MVW</t>
  </si>
  <si>
    <t>BENICASSIM</t>
  </si>
  <si>
    <t>10</t>
  </si>
  <si>
    <t>10227638</t>
  </si>
  <si>
    <t>4500424880</t>
  </si>
  <si>
    <t>53090332F</t>
  </si>
  <si>
    <t>ENRIQUE ALDEHUELA LLATAS</t>
  </si>
  <si>
    <t>ACTIVO FIJO 1500 - 0</t>
  </si>
  <si>
    <t>10227695</t>
  </si>
  <si>
    <t>4500424900</t>
  </si>
  <si>
    <t>33473754Z</t>
  </si>
  <si>
    <t>FRANCISCO JOSE PERALTA PATROCINIO</t>
  </si>
  <si>
    <t>ACTIVO FIJO 1490 - 0</t>
  </si>
  <si>
    <t>10227570</t>
  </si>
  <si>
    <t>9470LKC</t>
  </si>
  <si>
    <t>CONDU00019</t>
  </si>
  <si>
    <t>EGEVASA LECTURA CONTADORES</t>
  </si>
  <si>
    <t>ACTIVO FIJO 765 - 0</t>
  </si>
  <si>
    <t>10227698</t>
  </si>
  <si>
    <t>4500424901</t>
  </si>
  <si>
    <t>ACTIVO FIJO 1509 - 0</t>
  </si>
  <si>
    <t>10227682</t>
  </si>
  <si>
    <t>4500424897</t>
  </si>
  <si>
    <t>ETAP REALON</t>
  </si>
  <si>
    <t>53056043B</t>
  </si>
  <si>
    <t>JUAN BAUTISTA DEVIS NAVARRO</t>
  </si>
  <si>
    <t>ACTIVO FIJO 1494 - 0</t>
  </si>
  <si>
    <t>10227548</t>
  </si>
  <si>
    <t>4500424870</t>
  </si>
  <si>
    <t>ACTIVO FIJO 1521 - 0</t>
  </si>
  <si>
    <t>10227618</t>
  </si>
  <si>
    <t>4500424871</t>
  </si>
  <si>
    <t>0353KDN</t>
  </si>
  <si>
    <t>ACTIVO FIJO 1496 - 0</t>
  </si>
  <si>
    <t>10227624</t>
  </si>
  <si>
    <t>4500424873</t>
  </si>
  <si>
    <t>24362589T</t>
  </si>
  <si>
    <t>JOSE LUIS RODRIGO GARCIA</t>
  </si>
  <si>
    <t>ACTIVO FIJO 1515 - 0</t>
  </si>
  <si>
    <t>10227620</t>
  </si>
  <si>
    <t>4500424872</t>
  </si>
  <si>
    <t>ACTIVO FIJO 1497 - 0</t>
  </si>
  <si>
    <t>10227676</t>
  </si>
  <si>
    <t>4500424894</t>
  </si>
  <si>
    <t>24338662Q</t>
  </si>
  <si>
    <t>JAVIER GIMENEZ GINER</t>
  </si>
  <si>
    <t>ACTIVO FIJO 1520 - 0</t>
  </si>
  <si>
    <t>10200081</t>
  </si>
  <si>
    <t>EDAR QUART BE</t>
  </si>
  <si>
    <t>33460391Z</t>
  </si>
  <si>
    <t>PAU GRANELL MUÑOZ</t>
  </si>
  <si>
    <t>0000004317</t>
  </si>
  <si>
    <t>623</t>
  </si>
  <si>
    <t>EDARS R23</t>
  </si>
  <si>
    <t>PGRANELL</t>
  </si>
  <si>
    <t>ACTIVO FIJO 2877-0</t>
  </si>
  <si>
    <t>CT0291</t>
  </si>
  <si>
    <t>QUART BENAGER EDAR</t>
  </si>
  <si>
    <t>10210083</t>
  </si>
  <si>
    <t>52658388A</t>
  </si>
  <si>
    <t>VICENTE BOIX CERDA</t>
  </si>
  <si>
    <t>10200080</t>
  </si>
  <si>
    <t>9186LLP</t>
  </si>
  <si>
    <t>ACTIVO FIJO 2876-0</t>
  </si>
  <si>
    <t>4597LGC</t>
  </si>
  <si>
    <t>10197958</t>
  </si>
  <si>
    <t>5700007872</t>
  </si>
  <si>
    <t>E-TGE</t>
  </si>
  <si>
    <t>ACTIVO FIJO 1154-0</t>
  </si>
  <si>
    <t>10229010</t>
  </si>
  <si>
    <t>ANDORRA</t>
  </si>
  <si>
    <t>5953LLV</t>
  </si>
  <si>
    <t>43700095A</t>
  </si>
  <si>
    <t>SATURNINO GONZALEZ GIMENEZ</t>
  </si>
  <si>
    <t>0000000652</t>
  </si>
  <si>
    <t>001</t>
  </si>
  <si>
    <t>DELEGACION ARAGON</t>
  </si>
  <si>
    <t>ASERRANO</t>
  </si>
  <si>
    <t>Nº ACTIVO FIJO 282-0.</t>
  </si>
  <si>
    <t>CT0038</t>
  </si>
  <si>
    <t>ANDORRA OFICINA</t>
  </si>
  <si>
    <t>10228949</t>
  </si>
  <si>
    <t>5916LLV</t>
  </si>
  <si>
    <t>CONDU00044</t>
  </si>
  <si>
    <t>OPERARIOS ANDORRA_2</t>
  </si>
  <si>
    <t>Nº ACTIVO FIJO 281-0.</t>
  </si>
  <si>
    <t>10228812</t>
  </si>
  <si>
    <t>4500426764</t>
  </si>
  <si>
    <t>3524LMF</t>
  </si>
  <si>
    <t>73259399Y</t>
  </si>
  <si>
    <t>SERAFIN ALLOZA ARIÑO</t>
  </si>
  <si>
    <t>Nº ACTIVO FIJO 283-0.</t>
  </si>
  <si>
    <t>TORRE BELLVER</t>
  </si>
  <si>
    <t>6233MXY</t>
  </si>
  <si>
    <t>10233654</t>
  </si>
  <si>
    <t>4500430884</t>
  </si>
  <si>
    <t>GIRONA</t>
  </si>
  <si>
    <t>40370783X</t>
  </si>
  <si>
    <t>PILAR DALMAU PUIG</t>
  </si>
  <si>
    <t>79301410D</t>
  </si>
  <si>
    <t>JORDI BATLLOSERA BATLLOSERA</t>
  </si>
  <si>
    <t>0000005589</t>
  </si>
  <si>
    <t>JBATLLOSER</t>
  </si>
  <si>
    <t>ACTIVO FIJO 1951-0</t>
  </si>
  <si>
    <t>CT0264</t>
  </si>
  <si>
    <t>PALAFRUGELL</t>
  </si>
  <si>
    <t>10229050</t>
  </si>
  <si>
    <t>CALPE</t>
  </si>
  <si>
    <t>6796LLV</t>
  </si>
  <si>
    <t>25127226W</t>
  </si>
  <si>
    <t>JESUS GUERRERO LOPEZ</t>
  </si>
  <si>
    <t>53212221L</t>
  </si>
  <si>
    <t>ALEJANDRO FORNES GAVILA</t>
  </si>
  <si>
    <t>0000008755</t>
  </si>
  <si>
    <t>ZONA CALPE</t>
  </si>
  <si>
    <t>018</t>
  </si>
  <si>
    <t>DELEGACION CALPE</t>
  </si>
  <si>
    <t>AFORNES</t>
  </si>
  <si>
    <t>Nº ACTIVO FIJO 462-0.</t>
  </si>
  <si>
    <t>CT0090</t>
  </si>
  <si>
    <t>8662NDJ</t>
  </si>
  <si>
    <t>POLESTAR</t>
  </si>
  <si>
    <t>POLESTAR 2</t>
  </si>
  <si>
    <t>0047LPR</t>
  </si>
  <si>
    <t>44515813A</t>
  </si>
  <si>
    <t>JUAN MONRABAL MARTINEZ</t>
  </si>
  <si>
    <t>12009932</t>
  </si>
  <si>
    <t>0012009932</t>
  </si>
  <si>
    <t>GGA</t>
  </si>
  <si>
    <t>GASTOS GENERALES ADMINISTRACION</t>
  </si>
  <si>
    <t>0600_GASTOS GENERALES DE ADMINISTRA</t>
  </si>
  <si>
    <t>CT0346</t>
  </si>
  <si>
    <t>VALENCIA, GRAN VIA 19</t>
  </si>
  <si>
    <t>03</t>
  </si>
  <si>
    <t>BERLINA</t>
  </si>
  <si>
    <t>1634LRB</t>
  </si>
  <si>
    <t>10245507</t>
  </si>
  <si>
    <t>4500443057</t>
  </si>
  <si>
    <t>VARA</t>
  </si>
  <si>
    <t>ACTIVO FIJO 1618-0</t>
  </si>
  <si>
    <t>@02@</t>
  </si>
  <si>
    <t>3487010/1</t>
  </si>
  <si>
    <t xml:space="preserve"> 15000</t>
  </si>
  <si>
    <t>A</t>
  </si>
  <si>
    <t>Anuales</t>
  </si>
  <si>
    <t>2019</t>
  </si>
  <si>
    <t>48381227Z</t>
  </si>
  <si>
    <t>JUAN M CELDA GARCIA</t>
  </si>
  <si>
    <t>A004</t>
  </si>
  <si>
    <t>MERCEDES CALABUIG</t>
  </si>
  <si>
    <t>RENOV.2020</t>
  </si>
  <si>
    <t>8500006355</t>
  </si>
  <si>
    <t>Tácita</t>
  </si>
  <si>
    <t>2020</t>
  </si>
  <si>
    <t>3334KFH</t>
  </si>
  <si>
    <t>18430146Q</t>
  </si>
  <si>
    <t>DANIEL SORIANO LORENTE</t>
  </si>
  <si>
    <t>REPSOLCOME</t>
  </si>
  <si>
    <t>0000002094</t>
  </si>
  <si>
    <t>025</t>
  </si>
  <si>
    <t>IMARIN</t>
  </si>
  <si>
    <t>27303764G</t>
  </si>
  <si>
    <t>REYES MORENO MEDINA</t>
  </si>
  <si>
    <t>0000001326</t>
  </si>
  <si>
    <t>642</t>
  </si>
  <si>
    <t>EDARS R42</t>
  </si>
  <si>
    <t>REYMOME</t>
  </si>
  <si>
    <t>17</t>
  </si>
  <si>
    <t>EXCAVADORA</t>
  </si>
  <si>
    <t>JEMAR E HIJOS</t>
  </si>
  <si>
    <t>2010</t>
  </si>
  <si>
    <t>29180930W</t>
  </si>
  <si>
    <t>PEDRO TOMAS ROJO JARABA</t>
  </si>
  <si>
    <t>1856</t>
  </si>
  <si>
    <t>8500007878</t>
  </si>
  <si>
    <t>RENOV.2022</t>
  </si>
  <si>
    <t>22338</t>
  </si>
  <si>
    <t>8500007601</t>
  </si>
  <si>
    <t>2022</t>
  </si>
  <si>
    <t>53356771Z</t>
  </si>
  <si>
    <t>MIGUEL ANGEL MARTORELL EXPOSITO</t>
  </si>
  <si>
    <t>08</t>
  </si>
  <si>
    <t>CAMIÓN</t>
  </si>
  <si>
    <t>22178</t>
  </si>
  <si>
    <t>8500006175</t>
  </si>
  <si>
    <t xml:space="preserve"> 3</t>
  </si>
  <si>
    <t>5396JBW</t>
  </si>
  <si>
    <t>0010669101</t>
  </si>
  <si>
    <t>10003211</t>
  </si>
  <si>
    <t>CALAMOCHA</t>
  </si>
  <si>
    <t>04596475V</t>
  </si>
  <si>
    <t>JOSE MANUEL CASTAÑO REBOLLERO</t>
  </si>
  <si>
    <t>18434121N</t>
  </si>
  <si>
    <t>ALBERTO MOLINER JORDAN</t>
  </si>
  <si>
    <t>SOLRED</t>
  </si>
  <si>
    <t>0000003618</t>
  </si>
  <si>
    <t>D.RSU Y LV</t>
  </si>
  <si>
    <t>AMOLINER</t>
  </si>
  <si>
    <t>0400_RSU Y LV</t>
  </si>
  <si>
    <t>Nº ACTIVO FIJO 231-0</t>
  </si>
  <si>
    <t>0243</t>
  </si>
  <si>
    <t>MONREAL DEL CAMPO</t>
  </si>
  <si>
    <t>Camión</t>
  </si>
  <si>
    <t>10021016</t>
  </si>
  <si>
    <t>18426426E</t>
  </si>
  <si>
    <t>ANTONIO JOSE MUÑOZ FUERTES</t>
  </si>
  <si>
    <t>Nº ACTIVO FIJO 240-0</t>
  </si>
  <si>
    <t>SIN DATO</t>
  </si>
  <si>
    <t>SR</t>
  </si>
  <si>
    <t>NODISPONIBLE</t>
  </si>
  <si>
    <t>Remolque</t>
  </si>
  <si>
    <t>REMOLQUE</t>
  </si>
  <si>
    <t>2006</t>
  </si>
  <si>
    <t>44864477X</t>
  </si>
  <si>
    <t>ANDRES REINA GARCIA</t>
  </si>
  <si>
    <t>0000006011</t>
  </si>
  <si>
    <t>16/12349</t>
  </si>
  <si>
    <t>8650306</t>
  </si>
  <si>
    <t>5067758</t>
  </si>
  <si>
    <t>8500004856</t>
  </si>
  <si>
    <t xml:space="preserve"> 25000</t>
  </si>
  <si>
    <t>CAJA CERDADA + PLATAFORMA ELEVADORA</t>
  </si>
  <si>
    <t>EDAR LLAURI</t>
  </si>
  <si>
    <t>2017</t>
  </si>
  <si>
    <t>1883GZX</t>
  </si>
  <si>
    <t>20806439H</t>
  </si>
  <si>
    <t>JOSE TORRES FERRERO</t>
  </si>
  <si>
    <t>48622365C</t>
  </si>
  <si>
    <t>MAURO ORTS ZAMORANO</t>
  </si>
  <si>
    <t>0014009609</t>
  </si>
  <si>
    <t>609</t>
  </si>
  <si>
    <t>EDARS R9</t>
  </si>
  <si>
    <t>PFALOMIR</t>
  </si>
  <si>
    <t>CT0012</t>
  </si>
  <si>
    <t>ALCANTERA DEL XUQUER EDAR</t>
  </si>
  <si>
    <t>10127551</t>
  </si>
  <si>
    <t>8500007410</t>
  </si>
  <si>
    <t>0000000629</t>
  </si>
  <si>
    <t>1065</t>
  </si>
  <si>
    <t>EXTR.LIMPIEZAS MAR-MI SL</t>
  </si>
  <si>
    <t>1998</t>
  </si>
  <si>
    <t>0000007711</t>
  </si>
  <si>
    <t>ACTIVO FIJO: 1043-0/1044-0</t>
  </si>
  <si>
    <t>17/18775</t>
  </si>
  <si>
    <t>02</t>
  </si>
  <si>
    <t>ACTIVOS FIJOS: 124-0 Y 124-1</t>
  </si>
  <si>
    <t>EDAR LA RAPIT</t>
  </si>
  <si>
    <t>38131820M</t>
  </si>
  <si>
    <t>LUCIA FERNANDEZ VEGA</t>
  </si>
  <si>
    <t>EDAR AMPOSTA</t>
  </si>
  <si>
    <t>CT0621</t>
  </si>
  <si>
    <t>17/17702</t>
  </si>
  <si>
    <t>5690789</t>
  </si>
  <si>
    <t>383.282</t>
  </si>
  <si>
    <t>8500005337</t>
  </si>
  <si>
    <t xml:space="preserve"> 20000</t>
  </si>
  <si>
    <t>2018</t>
  </si>
  <si>
    <t>6363JJD</t>
  </si>
  <si>
    <t>22547846A</t>
  </si>
  <si>
    <t>JOSE JUAN VIDAL OLIVARES</t>
  </si>
  <si>
    <t>013216046-00193</t>
  </si>
  <si>
    <t>40294999B</t>
  </si>
  <si>
    <t>CARLOS MATAMOROS REVERTE</t>
  </si>
  <si>
    <t>5690791</t>
  </si>
  <si>
    <t>8500005377</t>
  </si>
  <si>
    <t>7484JJM</t>
  </si>
  <si>
    <t>53050082F</t>
  </si>
  <si>
    <t>FEDERICO SOUCASE GARCIA</t>
  </si>
  <si>
    <t>1204</t>
  </si>
  <si>
    <t>Act.Ambientals Integrals</t>
  </si>
  <si>
    <t>10142730</t>
  </si>
  <si>
    <t>8353884</t>
  </si>
  <si>
    <t>4811541</t>
  </si>
  <si>
    <t>8500007812</t>
  </si>
  <si>
    <t>CANET BERENGU</t>
  </si>
  <si>
    <t>2016</t>
  </si>
  <si>
    <t>5896HHR</t>
  </si>
  <si>
    <t>26761642S</t>
  </si>
  <si>
    <t>MIGUEL TORTOLA CASTRO</t>
  </si>
  <si>
    <t>29171177R</t>
  </si>
  <si>
    <t>JOSE MARCO GISBERT</t>
  </si>
  <si>
    <t>0000008405</t>
  </si>
  <si>
    <t>DELEGACION EGEVASA ZONA NORTE</t>
  </si>
  <si>
    <t>022</t>
  </si>
  <si>
    <t>SUBDELEGACION CAMP MORVEDRE</t>
  </si>
  <si>
    <t>PMARCO</t>
  </si>
  <si>
    <t>CT0126</t>
  </si>
  <si>
    <t>SINDATO</t>
  </si>
  <si>
    <t>5694277</t>
  </si>
  <si>
    <t>8500005378</t>
  </si>
  <si>
    <t>GERMAN RODRIGUEZ FONTANA</t>
  </si>
  <si>
    <t>TURISMO MEDIO</t>
  </si>
  <si>
    <t>10131796</t>
  </si>
  <si>
    <t>5908534</t>
  </si>
  <si>
    <t>417.134</t>
  </si>
  <si>
    <t>8500007447</t>
  </si>
  <si>
    <t>MIRANDA EBRO</t>
  </si>
  <si>
    <t xml:space="preserve"> 8</t>
  </si>
  <si>
    <t>28848187T</t>
  </si>
  <si>
    <t>MARIA GONZALEZ DIAZ</t>
  </si>
  <si>
    <t>0000000469</t>
  </si>
  <si>
    <t>LICITACIONES OBRAS</t>
  </si>
  <si>
    <t>JLBELLOVI</t>
  </si>
  <si>
    <t>ALARGAMOS HASTA DICIEMBRE</t>
  </si>
  <si>
    <t>09</t>
  </si>
  <si>
    <t>CARLOS SORIANO ZOMEÑO</t>
  </si>
  <si>
    <t>2021</t>
  </si>
  <si>
    <t>38 L/KM</t>
  </si>
  <si>
    <t>BRANDON MCAUSLIFFE</t>
  </si>
  <si>
    <t>2004</t>
  </si>
  <si>
    <t>42 L/KM</t>
  </si>
  <si>
    <t>LUIS GARCÍA LILLO</t>
  </si>
  <si>
    <t>44 L/KM</t>
  </si>
  <si>
    <t>FRANCISCO FUENTES DE LA FUENTE</t>
  </si>
  <si>
    <t>RICARDO MONTERO LÓPEZ</t>
  </si>
  <si>
    <t>2015</t>
  </si>
  <si>
    <t>JUAN M.TORRES SERRANO</t>
  </si>
  <si>
    <t>17391912/3</t>
  </si>
  <si>
    <t xml:space="preserve"> 30000</t>
  </si>
  <si>
    <t>PEPE FUENTES CORBIN</t>
  </si>
  <si>
    <t>DEMETRIO VELIZ</t>
  </si>
  <si>
    <t>2003</t>
  </si>
  <si>
    <t>35 L/KM</t>
  </si>
  <si>
    <t>10006562</t>
  </si>
  <si>
    <t>6276241</t>
  </si>
  <si>
    <t>8500005755</t>
  </si>
  <si>
    <t xml:space="preserve"> 40000</t>
  </si>
  <si>
    <t>7024HZZ</t>
  </si>
  <si>
    <t>52604898B</t>
  </si>
  <si>
    <t>JOAN FRANCESC MORENO ROS</t>
  </si>
  <si>
    <t>24342693E</t>
  </si>
  <si>
    <t>RAFAEL RUBIO LLUCH</t>
  </si>
  <si>
    <t>0012009082</t>
  </si>
  <si>
    <t>014</t>
  </si>
  <si>
    <t>D.SISTEMAS FACT/ABONADOS</t>
  </si>
  <si>
    <t>RMOLADA</t>
  </si>
  <si>
    <t>LUIS A.VALVUENA GARCÍA</t>
  </si>
  <si>
    <t>36 L/KM</t>
  </si>
  <si>
    <t>Tractor</t>
  </si>
  <si>
    <t>2000</t>
  </si>
  <si>
    <t>JUAN CARLOS GOMEZ MARTINEZ</t>
  </si>
  <si>
    <t>1990</t>
  </si>
  <si>
    <t>1997</t>
  </si>
  <si>
    <t>1999</t>
  </si>
  <si>
    <t>ML 130 E</t>
  </si>
  <si>
    <t>COMARCA ANDORRA - SIERRA DE ARCOS</t>
  </si>
  <si>
    <t>10011026</t>
  </si>
  <si>
    <t>6254596</t>
  </si>
  <si>
    <t>383.283</t>
  </si>
  <si>
    <t>8500005756</t>
  </si>
  <si>
    <t xml:space="preserve"> 50000</t>
  </si>
  <si>
    <t>G.O. REDUCIDA</t>
  </si>
  <si>
    <t>4089KPS</t>
  </si>
  <si>
    <t>24371109X</t>
  </si>
  <si>
    <t>ALEJANDRO GARCIA POLO</t>
  </si>
  <si>
    <t>0000008379</t>
  </si>
  <si>
    <t>023</t>
  </si>
  <si>
    <t>DELEGACION ZN (REQUENA)</t>
  </si>
  <si>
    <t>AGPOLO</t>
  </si>
  <si>
    <t>CT0344-2</t>
  </si>
  <si>
    <t>VALENCIA VARA DE QUART 2</t>
  </si>
  <si>
    <t>RENOV.2019</t>
  </si>
  <si>
    <t>6231132</t>
  </si>
  <si>
    <t>8500005860</t>
  </si>
  <si>
    <t xml:space="preserve"> 35000</t>
  </si>
  <si>
    <t>52739136K</t>
  </si>
  <si>
    <t>JUAN VICENTE GARCIA BENLLOCH</t>
  </si>
  <si>
    <t>RENOV.2018</t>
  </si>
  <si>
    <t>5704618</t>
  </si>
  <si>
    <t>8500005869</t>
  </si>
  <si>
    <t>X5992840Y</t>
  </si>
  <si>
    <t>PAULO GASTON HUNZINGER</t>
  </si>
  <si>
    <t>0576</t>
  </si>
  <si>
    <t>10012900</t>
  </si>
  <si>
    <t>6289255</t>
  </si>
  <si>
    <t>486.727</t>
  </si>
  <si>
    <t>8500006205</t>
  </si>
  <si>
    <t>BENIFAIO</t>
  </si>
  <si>
    <t>5823KRG</t>
  </si>
  <si>
    <t>29179673X</t>
  </si>
  <si>
    <t>GIL ROGER ANTON</t>
  </si>
  <si>
    <t>INGENICO</t>
  </si>
  <si>
    <t>0000000783</t>
  </si>
  <si>
    <t>SUBDELEGACION ZONA RIBERA</t>
  </si>
  <si>
    <t>FPELLICER</t>
  </si>
  <si>
    <t>CT0035</t>
  </si>
  <si>
    <t xml:space="preserve"> 300</t>
  </si>
  <si>
    <t>RENOV.2023</t>
  </si>
  <si>
    <t>407699</t>
  </si>
  <si>
    <t>436446</t>
  </si>
  <si>
    <t>8500007877</t>
  </si>
  <si>
    <t>TREMP</t>
  </si>
  <si>
    <t>9593LVN</t>
  </si>
  <si>
    <t>53285014V</t>
  </si>
  <si>
    <t>JOSE A NAVARRO MELERO</t>
  </si>
  <si>
    <t>47682451R</t>
  </si>
  <si>
    <t>VANESSA ESTEVE LATORRE</t>
  </si>
  <si>
    <t>0000005051</t>
  </si>
  <si>
    <t>CT0601</t>
  </si>
  <si>
    <t>AGER</t>
  </si>
  <si>
    <t>Todo Terreno</t>
  </si>
  <si>
    <t>06</t>
  </si>
  <si>
    <t>TODOTERRENO</t>
  </si>
  <si>
    <t>10120580</t>
  </si>
  <si>
    <t>8500006873</t>
  </si>
  <si>
    <t>0000003615</t>
  </si>
  <si>
    <t>73078477W</t>
  </si>
  <si>
    <t>JOSE ANTONIO GIMENEZ CASTRO</t>
  </si>
  <si>
    <t>A.F. 133</t>
  </si>
  <si>
    <t>CT0243</t>
  </si>
  <si>
    <t>CE/0820-2023-00391</t>
  </si>
  <si>
    <t>0000006324</t>
  </si>
  <si>
    <t>8500007880</t>
  </si>
  <si>
    <t>CE/0820-2023-00394</t>
  </si>
  <si>
    <t>8500007882</t>
  </si>
  <si>
    <t>25140229X</t>
  </si>
  <si>
    <t>JESUS ANGEL LACRUZ VICENTE</t>
  </si>
  <si>
    <t>Nº ACTIVO FIJO 230-0</t>
  </si>
  <si>
    <t>A444285</t>
  </si>
  <si>
    <t>284322</t>
  </si>
  <si>
    <t>8500005903</t>
  </si>
  <si>
    <t xml:space="preserve"> 80000</t>
  </si>
  <si>
    <t>38143128C</t>
  </si>
  <si>
    <t>MARC PIFARRE ESTRADA</t>
  </si>
  <si>
    <t>0015059901</t>
  </si>
  <si>
    <t>DGCOMIN</t>
  </si>
  <si>
    <t>CT0618</t>
  </si>
  <si>
    <t>BARCELONA ARIBAU</t>
  </si>
  <si>
    <t>3003141862</t>
  </si>
  <si>
    <t>8500004838</t>
  </si>
  <si>
    <t>1780HHN</t>
  </si>
  <si>
    <t>22527761C</t>
  </si>
  <si>
    <t>ENRIQUE SANCHEZ MOLINO</t>
  </si>
  <si>
    <t>0010019920</t>
  </si>
  <si>
    <t>FC</t>
  </si>
  <si>
    <t>DGA.FINANZAS Y CONTROL</t>
  </si>
  <si>
    <t>AMELCHORI</t>
  </si>
  <si>
    <t>0346</t>
  </si>
  <si>
    <t>VALENCIA, Gran Via 19</t>
  </si>
  <si>
    <t xml:space="preserve"> 600</t>
  </si>
  <si>
    <t>4372058/2</t>
  </si>
  <si>
    <t>8500007642</t>
  </si>
  <si>
    <t>7662JGG</t>
  </si>
  <si>
    <t>0010019931</t>
  </si>
  <si>
    <t>GR</t>
  </si>
  <si>
    <t>D.GENERAL</t>
  </si>
  <si>
    <t>01RN92041137</t>
  </si>
  <si>
    <t>CMRN051873</t>
  </si>
  <si>
    <t>8500006263</t>
  </si>
  <si>
    <t>29218777Z</t>
  </si>
  <si>
    <t>GUILLERMO GARCIA CALABUIG</t>
  </si>
  <si>
    <t>0010099039</t>
  </si>
  <si>
    <t>0409</t>
  </si>
  <si>
    <t>PARQUE TECNOLOGICO PATERNA</t>
  </si>
  <si>
    <t>18/12558</t>
  </si>
  <si>
    <t>6047573</t>
  </si>
  <si>
    <t>70.262.446</t>
  </si>
  <si>
    <t>8500005521</t>
  </si>
  <si>
    <t>EDARS TERRASS</t>
  </si>
  <si>
    <t>7315KMB</t>
  </si>
  <si>
    <t>77628841T</t>
  </si>
  <si>
    <t>JOSE MANUEL COBOS ENAMORADO</t>
  </si>
  <si>
    <t>0000005468</t>
  </si>
  <si>
    <t>524</t>
  </si>
  <si>
    <t>ESTEFANIA VIDAL</t>
  </si>
  <si>
    <t>ORECA</t>
  </si>
  <si>
    <t>CT0565</t>
  </si>
  <si>
    <t>EDAR TERRASSA</t>
  </si>
  <si>
    <t>8500007966</t>
  </si>
  <si>
    <t>CE/0820-2023-00392</t>
  </si>
  <si>
    <t>8500007879</t>
  </si>
  <si>
    <t>CE/0820-2023-00393</t>
  </si>
  <si>
    <t>8500007881</t>
  </si>
  <si>
    <t>6694842</t>
  </si>
  <si>
    <t>524.855</t>
  </si>
  <si>
    <t>IDRICA</t>
  </si>
  <si>
    <t>48472174L</t>
  </si>
  <si>
    <t>FCO JAVIER SALGUERO BARCELO</t>
  </si>
  <si>
    <t>44874145H</t>
  </si>
  <si>
    <t>AMPARO MENDOZA SANCHO</t>
  </si>
  <si>
    <t>0443</t>
  </si>
  <si>
    <t>6694866</t>
  </si>
  <si>
    <t>44804047R</t>
  </si>
  <si>
    <t>ALVARO BALDAYO NEBOT</t>
  </si>
  <si>
    <t>10165359</t>
  </si>
  <si>
    <t>23231</t>
  </si>
  <si>
    <t>8500007226</t>
  </si>
  <si>
    <t>33412368S</t>
  </si>
  <si>
    <t>GUILLERMO VICENT MAHEDERO</t>
  </si>
  <si>
    <t>35057939M</t>
  </si>
  <si>
    <t>JOSE MARIA CLAVEL PADRO</t>
  </si>
  <si>
    <t>0012009935</t>
  </si>
  <si>
    <t>JMCLAVEL</t>
  </si>
  <si>
    <t>6289356</t>
  </si>
  <si>
    <t>8500006063</t>
  </si>
  <si>
    <t>2100JNW</t>
  </si>
  <si>
    <t>19901707Z</t>
  </si>
  <si>
    <t>VICENTE DURAN BETETA</t>
  </si>
  <si>
    <t>0010669121</t>
  </si>
  <si>
    <t>8500005972</t>
  </si>
  <si>
    <t>5252JGR</t>
  </si>
  <si>
    <t>10092843</t>
  </si>
  <si>
    <t>486728</t>
  </si>
  <si>
    <t>404051</t>
  </si>
  <si>
    <t>8500006841</t>
  </si>
  <si>
    <t>GRAN CANARIA</t>
  </si>
  <si>
    <t>44511614J</t>
  </si>
  <si>
    <t>CARLOS CANO BETORET</t>
  </si>
  <si>
    <t>19845709K</t>
  </si>
  <si>
    <t>JOSE LUIS BELLO VICENTE</t>
  </si>
  <si>
    <t>0000000468</t>
  </si>
  <si>
    <t>404052</t>
  </si>
  <si>
    <t>8500006862</t>
  </si>
  <si>
    <t>53206116D</t>
  </si>
  <si>
    <t>MIGUEL BOIX ROCA</t>
  </si>
  <si>
    <t>2020/254</t>
  </si>
  <si>
    <t>8500006251</t>
  </si>
  <si>
    <t>7391GKB</t>
  </si>
  <si>
    <t>20166531Q</t>
  </si>
  <si>
    <t>CARLOS RUIZ RODRIGUEZ</t>
  </si>
  <si>
    <t>P196001010</t>
  </si>
  <si>
    <t>Camión Caja</t>
  </si>
  <si>
    <t>10176023</t>
  </si>
  <si>
    <t>80001785</t>
  </si>
  <si>
    <t>448558</t>
  </si>
  <si>
    <t>8500008197</t>
  </si>
  <si>
    <t>COSTA BRAVA</t>
  </si>
  <si>
    <t>448564</t>
  </si>
  <si>
    <t>8500008194</t>
  </si>
  <si>
    <t>44139805E</t>
  </si>
  <si>
    <t>JOSU PRIETO ZUGASTI</t>
  </si>
  <si>
    <t>0000001329</t>
  </si>
  <si>
    <t>EXT</t>
  </si>
  <si>
    <t>D. ZONA EXTERIOR</t>
  </si>
  <si>
    <t>JPRIETO</t>
  </si>
  <si>
    <t>448559</t>
  </si>
  <si>
    <t>8500008198</t>
  </si>
  <si>
    <t>448562</t>
  </si>
  <si>
    <t>8500008200</t>
  </si>
  <si>
    <t>6107307</t>
  </si>
  <si>
    <t>383.284</t>
  </si>
  <si>
    <t>8500005571</t>
  </si>
  <si>
    <t>CASTELLON</t>
  </si>
  <si>
    <t>29777552G</t>
  </si>
  <si>
    <t>GUILLERMO NUÑEZ TORRES</t>
  </si>
  <si>
    <t>0567</t>
  </si>
  <si>
    <t>DOS HERMANAS (SEVILLA)</t>
  </si>
  <si>
    <t>448556</t>
  </si>
  <si>
    <t>8500008203</t>
  </si>
  <si>
    <t>10188975</t>
  </si>
  <si>
    <t>452557</t>
  </si>
  <si>
    <t>8500008202</t>
  </si>
  <si>
    <t>10095149</t>
  </si>
  <si>
    <t>406863</t>
  </si>
  <si>
    <t>8500006882</t>
  </si>
  <si>
    <t>44883953M</t>
  </si>
  <si>
    <t>JOSE MIGUEL GALBIS BERNACER</t>
  </si>
  <si>
    <t>448555</t>
  </si>
  <si>
    <t>8500008196</t>
  </si>
  <si>
    <t>25377439K</t>
  </si>
  <si>
    <t>FRANCISCO JAVIER GRAS BORT</t>
  </si>
  <si>
    <t>0000006005</t>
  </si>
  <si>
    <t>0582</t>
  </si>
  <si>
    <t>VALENCIA Llanterners</t>
  </si>
  <si>
    <t>6331155</t>
  </si>
  <si>
    <t>8500006092</t>
  </si>
  <si>
    <t>4492JHV</t>
  </si>
  <si>
    <t>21482481K</t>
  </si>
  <si>
    <t>FCO JAVIER SANCHIS CARBONELL</t>
  </si>
  <si>
    <t>0010019700</t>
  </si>
  <si>
    <t>JSANCHIS</t>
  </si>
  <si>
    <t>CT0184</t>
  </si>
  <si>
    <t>GANDIA OFICINA</t>
  </si>
  <si>
    <t>REQUENA</t>
  </si>
  <si>
    <t>Ciclomotor</t>
  </si>
  <si>
    <t>6331116</t>
  </si>
  <si>
    <t>8500006094</t>
  </si>
  <si>
    <t>1244JJN</t>
  </si>
  <si>
    <t>52158054B</t>
  </si>
  <si>
    <t>DAVID GARCIA CASAS</t>
  </si>
  <si>
    <t>0015059580</t>
  </si>
  <si>
    <t>DGCASAS</t>
  </si>
  <si>
    <t>21016</t>
  </si>
  <si>
    <t>8500005933</t>
  </si>
  <si>
    <t>52648015A</t>
  </si>
  <si>
    <t>TOMAS LOPEZ FERNANDEZ</t>
  </si>
  <si>
    <t>10163426</t>
  </si>
  <si>
    <t>23163</t>
  </si>
  <si>
    <t>8500007949</t>
  </si>
  <si>
    <t>33456026L</t>
  </si>
  <si>
    <t>RUBEN OLMEDO POVEDA</t>
  </si>
  <si>
    <t>0000006050</t>
  </si>
  <si>
    <t>F226050007</t>
  </si>
  <si>
    <t>8421130</t>
  </si>
  <si>
    <t>4858766</t>
  </si>
  <si>
    <t>8500007814</t>
  </si>
  <si>
    <t>LA RAPITA</t>
  </si>
  <si>
    <t>7781GZZ</t>
  </si>
  <si>
    <t>INSTALAR ENGANCHE</t>
  </si>
  <si>
    <t>10016542</t>
  </si>
  <si>
    <t>6383935</t>
  </si>
  <si>
    <t>387.932</t>
  </si>
  <si>
    <t>8500005806</t>
  </si>
  <si>
    <t>26745648Y</t>
  </si>
  <si>
    <t>SERGIO GARCIA GARCIA</t>
  </si>
  <si>
    <t>24374179K</t>
  </si>
  <si>
    <t>CARMEN AGUILAR  SORIANO</t>
  </si>
  <si>
    <t>0000001202</t>
  </si>
  <si>
    <t>D.OPERACIONES ZONA SAGUNTO/CAMP MORVEDRE</t>
  </si>
  <si>
    <t>024</t>
  </si>
  <si>
    <t>DELEGACION SAGUNTO</t>
  </si>
  <si>
    <t>CAGUILAR</t>
  </si>
  <si>
    <t>CT0308</t>
  </si>
  <si>
    <t>8500008304</t>
  </si>
  <si>
    <t>HUELVA</t>
  </si>
  <si>
    <t>77804366N</t>
  </si>
  <si>
    <t>DANIEL MUÑOZ PICON</t>
  </si>
  <si>
    <t>0000007712</t>
  </si>
  <si>
    <t>SERVICIOS ZONA SUR</t>
  </si>
  <si>
    <t>DAMUPI</t>
  </si>
  <si>
    <t>8500008315</t>
  </si>
  <si>
    <t>8500008306</t>
  </si>
  <si>
    <t>6289320</t>
  </si>
  <si>
    <t>8500005785</t>
  </si>
  <si>
    <t>9509JFR</t>
  </si>
  <si>
    <t>0000008530</t>
  </si>
  <si>
    <t>8500005855</t>
  </si>
  <si>
    <t>22577083F</t>
  </si>
  <si>
    <t>FRANCISCO RAMON ALABAU ORTEGA</t>
  </si>
  <si>
    <t>6694854</t>
  </si>
  <si>
    <t>48291844D</t>
  </si>
  <si>
    <t>JOSEP REGUART SERNA</t>
  </si>
  <si>
    <t>0089</t>
  </si>
  <si>
    <t>PATERNA</t>
  </si>
  <si>
    <t>ACTIVO FIJO: 501-2</t>
  </si>
  <si>
    <t>10150677</t>
  </si>
  <si>
    <t>434619</t>
  </si>
  <si>
    <t>8500007876</t>
  </si>
  <si>
    <t>LANZAROTE</t>
  </si>
  <si>
    <t>20799095B</t>
  </si>
  <si>
    <t>JESUS LOPEZ MORALES</t>
  </si>
  <si>
    <t>6110751</t>
  </si>
  <si>
    <t>8500007805</t>
  </si>
  <si>
    <t>TOLEDO</t>
  </si>
  <si>
    <t>29164654X</t>
  </si>
  <si>
    <t>IGNACIO ANDRES ANDRES</t>
  </si>
  <si>
    <t>24245272Y</t>
  </si>
  <si>
    <t>HECTOR E RODRIGUEZ FORTIS</t>
  </si>
  <si>
    <t>0010049946</t>
  </si>
  <si>
    <t>FGRIERA</t>
  </si>
  <si>
    <t>0349</t>
  </si>
  <si>
    <t>VALENCIA Gran Via 17</t>
  </si>
  <si>
    <t>6107612</t>
  </si>
  <si>
    <t>8500005567</t>
  </si>
  <si>
    <t>3142JCC</t>
  </si>
  <si>
    <t>38077053R</t>
  </si>
  <si>
    <t>ENRIQUE GARCES SAN MIGUEL</t>
  </si>
  <si>
    <t>0000005324</t>
  </si>
  <si>
    <t>ABOASAU</t>
  </si>
  <si>
    <t>10192632</t>
  </si>
  <si>
    <t>454460</t>
  </si>
  <si>
    <t>8500008361</t>
  </si>
  <si>
    <t>EDAR VILANOVA</t>
  </si>
  <si>
    <t>0000005496</t>
  </si>
  <si>
    <t>523</t>
  </si>
  <si>
    <t>OSCAR OLOZABAL</t>
  </si>
  <si>
    <t>OSOLOCAR</t>
  </si>
  <si>
    <t>4500604692</t>
  </si>
  <si>
    <t>3004004523</t>
  </si>
  <si>
    <t>FOMENTO</t>
  </si>
  <si>
    <t>JORGE DE DIEGO</t>
  </si>
  <si>
    <t>10191355</t>
  </si>
  <si>
    <t>454314</t>
  </si>
  <si>
    <t>8500008362</t>
  </si>
  <si>
    <t>47827555K</t>
  </si>
  <si>
    <t>ANTONIO JOSE MARTINEZ MARTI</t>
  </si>
  <si>
    <t>454313</t>
  </si>
  <si>
    <t>8500008363</t>
  </si>
  <si>
    <t>448561</t>
  </si>
  <si>
    <t>8500008201</t>
  </si>
  <si>
    <t>448557</t>
  </si>
  <si>
    <t>8500008195</t>
  </si>
  <si>
    <t>448560</t>
  </si>
  <si>
    <t>8500008199</t>
  </si>
  <si>
    <t>20762887M</t>
  </si>
  <si>
    <t>FRANCISCO BERNARD MARTI FURIO</t>
  </si>
  <si>
    <t>24351254G</t>
  </si>
  <si>
    <t>FERNANDO GONZALEZ RIERA</t>
  </si>
  <si>
    <t>0010019946</t>
  </si>
  <si>
    <t>0405</t>
  </si>
  <si>
    <t>8500008305</t>
  </si>
  <si>
    <t>10196412</t>
  </si>
  <si>
    <t>456030</t>
  </si>
  <si>
    <t>8500008359</t>
  </si>
  <si>
    <t>MADRID</t>
  </si>
  <si>
    <t>01183148M</t>
  </si>
  <si>
    <t>DANIEL CABALLERO MEJIA</t>
  </si>
  <si>
    <t>10196163</t>
  </si>
  <si>
    <t>284410</t>
  </si>
  <si>
    <t>458455</t>
  </si>
  <si>
    <t>8500008419</t>
  </si>
  <si>
    <t>QUART DE POBL</t>
  </si>
  <si>
    <t>44758566Z</t>
  </si>
  <si>
    <t>JESUS FERNANDO LOPEZ VILLAPLANA</t>
  </si>
  <si>
    <t>0000001347</t>
  </si>
  <si>
    <t>17/11367</t>
  </si>
  <si>
    <t>284110</t>
  </si>
  <si>
    <t>325804</t>
  </si>
  <si>
    <t>8500005436</t>
  </si>
  <si>
    <t>SANT SADURNI</t>
  </si>
  <si>
    <t>4205HBB</t>
  </si>
  <si>
    <t>52219714P</t>
  </si>
  <si>
    <t>JOSEP CARLES CANTON RODRIGUEZ</t>
  </si>
  <si>
    <t>39722251D</t>
  </si>
  <si>
    <t>NURIA CARALT ESCAMILLA</t>
  </si>
  <si>
    <t>0000005400</t>
  </si>
  <si>
    <t>505</t>
  </si>
  <si>
    <t>NURIA CARALT</t>
  </si>
  <si>
    <t>NCARALT</t>
  </si>
  <si>
    <t>CT0160</t>
  </si>
  <si>
    <t>EDAR SANT SADURNI D ANOIA</t>
  </si>
  <si>
    <t>PICKUP</t>
  </si>
  <si>
    <t>RENOV.2021</t>
  </si>
  <si>
    <t>7014284</t>
  </si>
  <si>
    <t>387.938</t>
  </si>
  <si>
    <t>8500006678</t>
  </si>
  <si>
    <t>ESTANTERÍA</t>
  </si>
  <si>
    <t>4466JHV</t>
  </si>
  <si>
    <t>454456</t>
  </si>
  <si>
    <t>8500008364</t>
  </si>
  <si>
    <t>73761375F</t>
  </si>
  <si>
    <t>JOSE MORA CHECA</t>
  </si>
  <si>
    <t>Excavadora</t>
  </si>
  <si>
    <t>454458</t>
  </si>
  <si>
    <t>8500008360</t>
  </si>
  <si>
    <t>15/14802</t>
  </si>
  <si>
    <t>0000008527</t>
  </si>
  <si>
    <t>699</t>
  </si>
  <si>
    <t>OTROS EDARS</t>
  </si>
  <si>
    <t>10203696</t>
  </si>
  <si>
    <t>459593</t>
  </si>
  <si>
    <t>8500008458</t>
  </si>
  <si>
    <t>25410593D</t>
  </si>
  <si>
    <t>JAVIER GOZALVEZ ZAFRILLA</t>
  </si>
  <si>
    <t>73770106K</t>
  </si>
  <si>
    <t>BEGOÑA SANCHO LOZANO</t>
  </si>
  <si>
    <t>0000000074</t>
  </si>
  <si>
    <t>074</t>
  </si>
  <si>
    <t>OBRAS Y DIVERSOS EDARS</t>
  </si>
  <si>
    <t>454457</t>
  </si>
  <si>
    <t>8500008365</t>
  </si>
  <si>
    <t>617665</t>
  </si>
  <si>
    <t>459616</t>
  </si>
  <si>
    <t>0000006003</t>
  </si>
  <si>
    <t>6289332</t>
  </si>
  <si>
    <t>8500005779</t>
  </si>
  <si>
    <t>CORDOBA</t>
  </si>
  <si>
    <t>9508JFR</t>
  </si>
  <si>
    <t>75755079W</t>
  </si>
  <si>
    <t>RAFAEL ORTEGA GARCIA</t>
  </si>
  <si>
    <t>CT0464</t>
  </si>
  <si>
    <t>SEVILLA AQUAGESTION</t>
  </si>
  <si>
    <t>6974051</t>
  </si>
  <si>
    <t>460.981</t>
  </si>
  <si>
    <t>8500007655</t>
  </si>
  <si>
    <t>CATARROJA</t>
  </si>
  <si>
    <t>2647JLY</t>
  </si>
  <si>
    <t>45631672V</t>
  </si>
  <si>
    <t>FRANCISCO JAVIER MATEU MONTAGUDO</t>
  </si>
  <si>
    <t>0000008413</t>
  </si>
  <si>
    <t>DELEGACION BENETUSSER</t>
  </si>
  <si>
    <t>GUIMANSA</t>
  </si>
  <si>
    <t>CT0112</t>
  </si>
  <si>
    <t>454459</t>
  </si>
  <si>
    <t>8500008366</t>
  </si>
  <si>
    <t>6464496</t>
  </si>
  <si>
    <t>403.306</t>
  </si>
  <si>
    <t>8500006002</t>
  </si>
  <si>
    <t>7614JSD</t>
  </si>
  <si>
    <t>18981071E</t>
  </si>
  <si>
    <t>CARLOS AYZA PRATS</t>
  </si>
  <si>
    <t>CAMBIO AUTOMÁTICO</t>
  </si>
  <si>
    <t>460660</t>
  </si>
  <si>
    <t>8500008496</t>
  </si>
  <si>
    <t>460661</t>
  </si>
  <si>
    <t>8500008497</t>
  </si>
  <si>
    <t>460662</t>
  </si>
  <si>
    <t>8500008498</t>
  </si>
  <si>
    <t>01RN22001674</t>
  </si>
  <si>
    <t>CMRN054913</t>
  </si>
  <si>
    <t>8500008083</t>
  </si>
  <si>
    <t>STARRESSA</t>
  </si>
  <si>
    <t>REVISAR ESTANTERÍAS</t>
  </si>
  <si>
    <t>22677300J</t>
  </si>
  <si>
    <t>BERNARDO RODRIGO GANDARA</t>
  </si>
  <si>
    <t>10031664</t>
  </si>
  <si>
    <t>6345236</t>
  </si>
  <si>
    <t>8500006142</t>
  </si>
  <si>
    <t>85085368L</t>
  </si>
  <si>
    <t>MARIA PILAR MONCHO MATOSES</t>
  </si>
  <si>
    <t>15/02500</t>
  </si>
  <si>
    <t>ALTA AF 106-0</t>
  </si>
  <si>
    <t>14/14366</t>
  </si>
  <si>
    <t>ACTIVO FIJO: 102-0</t>
  </si>
  <si>
    <t>2014</t>
  </si>
  <si>
    <t>6331131</t>
  </si>
  <si>
    <t>8500006081</t>
  </si>
  <si>
    <t>8251JCW</t>
  </si>
  <si>
    <t>47629922G</t>
  </si>
  <si>
    <t>HONORIO ROYO LLEIXA</t>
  </si>
  <si>
    <t>CT0396</t>
  </si>
  <si>
    <t>TORTOSA OF</t>
  </si>
  <si>
    <t>16/15453</t>
  </si>
  <si>
    <t>17/04287</t>
  </si>
  <si>
    <t>2011</t>
  </si>
  <si>
    <t>ALTA AF 119-0</t>
  </si>
  <si>
    <t>12/02864</t>
  </si>
  <si>
    <t>2012</t>
  </si>
  <si>
    <t>24363348T</t>
  </si>
  <si>
    <t>JUAN MANUEL FERNANDEZ MEDINA</t>
  </si>
  <si>
    <t>ALTA AF 84-0</t>
  </si>
  <si>
    <t>13/12449</t>
  </si>
  <si>
    <t>2013</t>
  </si>
  <si>
    <t>ALTA AF 92-0</t>
  </si>
  <si>
    <t>10193693</t>
  </si>
  <si>
    <t>5299918</t>
  </si>
  <si>
    <t>8500008341</t>
  </si>
  <si>
    <t>20823850H</t>
  </si>
  <si>
    <t>GUSTAVO MARTI LLOPIS</t>
  </si>
  <si>
    <t>FURGONETA 4*4</t>
  </si>
  <si>
    <t>10205669</t>
  </si>
  <si>
    <t>461125</t>
  </si>
  <si>
    <t>8500008626</t>
  </si>
  <si>
    <t>PLA DE L´ARC</t>
  </si>
  <si>
    <t>1353</t>
  </si>
  <si>
    <t>0000001353</t>
  </si>
  <si>
    <t>6982704</t>
  </si>
  <si>
    <t>8500008272</t>
  </si>
  <si>
    <t>3671JTZ</t>
  </si>
  <si>
    <t>73559601N</t>
  </si>
  <si>
    <t>MIGUEL ANGEL HUERTA GONZALEZ</t>
  </si>
  <si>
    <t>0000000722</t>
  </si>
  <si>
    <t>CT0300</t>
  </si>
  <si>
    <t>ACTIVO FIJO: 645-0 (EGEVASA AF. 3127)</t>
  </si>
  <si>
    <t>6536009</t>
  </si>
  <si>
    <t>8500008459</t>
  </si>
  <si>
    <t>9088KRC</t>
  </si>
  <si>
    <t>44517255L</t>
  </si>
  <si>
    <t>JAVIER SANTIAGO FORNES GIL</t>
  </si>
  <si>
    <t>18440614L</t>
  </si>
  <si>
    <t>JORGE BAREA MENGOD</t>
  </si>
  <si>
    <t>0010029200</t>
  </si>
  <si>
    <t>JMGANDIA</t>
  </si>
  <si>
    <t>10029445</t>
  </si>
  <si>
    <t>6538468</t>
  </si>
  <si>
    <t>8500006062</t>
  </si>
  <si>
    <t>ALICANTE</t>
  </si>
  <si>
    <t>44751487L</t>
  </si>
  <si>
    <t>EDUARDO VICENTE NAVARRO</t>
  </si>
  <si>
    <t>CT0403</t>
  </si>
  <si>
    <t>MONOVAR (46)</t>
  </si>
  <si>
    <t>6986038</t>
  </si>
  <si>
    <t>387.934</t>
  </si>
  <si>
    <t>8500009020</t>
  </si>
  <si>
    <t>ESTANTERÍA + NI</t>
  </si>
  <si>
    <t>7106JRK</t>
  </si>
  <si>
    <t>73384817M</t>
  </si>
  <si>
    <t>ARMANDO ULLDEMOLINS PLA</t>
  </si>
  <si>
    <t>0000000319</t>
  </si>
  <si>
    <t>CAYZA</t>
  </si>
  <si>
    <t>CT0377</t>
  </si>
  <si>
    <t>Nº ACTIVO FIJO: 103-0</t>
  </si>
  <si>
    <t>11071667/1</t>
  </si>
  <si>
    <t>8500008470</t>
  </si>
  <si>
    <t>0662JDX</t>
  </si>
  <si>
    <t>24346189E</t>
  </si>
  <si>
    <t>V JAVIER MACIAN CERVERA</t>
  </si>
  <si>
    <t>0012009006</t>
  </si>
  <si>
    <t>DGA.OPERACIONES VALENCIA</t>
  </si>
  <si>
    <t>JMACIAN</t>
  </si>
  <si>
    <t>6979503</t>
  </si>
  <si>
    <t>8500008563</t>
  </si>
  <si>
    <t>3699JRH</t>
  </si>
  <si>
    <t>6979402</t>
  </si>
  <si>
    <t>8500006292</t>
  </si>
  <si>
    <t>2670JLY</t>
  </si>
  <si>
    <t>CT0189</t>
  </si>
  <si>
    <t>GANDIA  (PLANTA ULL DEL BOU)</t>
  </si>
  <si>
    <t>6967901</t>
  </si>
  <si>
    <t>8500006294</t>
  </si>
  <si>
    <t>ALGEMESI</t>
  </si>
  <si>
    <t>5930JPT</t>
  </si>
  <si>
    <t>20836317L</t>
  </si>
  <si>
    <t>JOSE MARIA TRULL POLICARPO</t>
  </si>
  <si>
    <t>20815610N</t>
  </si>
  <si>
    <t>PATRICIA CERVERO BAQUEDANO</t>
  </si>
  <si>
    <t>0000000750</t>
  </si>
  <si>
    <t>019</t>
  </si>
  <si>
    <t>D.OPERACIONES VALENCIA RIBERAS OESTE</t>
  </si>
  <si>
    <t>PCERVERO</t>
  </si>
  <si>
    <t>CT0020</t>
  </si>
  <si>
    <t>ALGEMESÍ</t>
  </si>
  <si>
    <t>6967825</t>
  </si>
  <si>
    <t>8500006296</t>
  </si>
  <si>
    <t>7087KCR</t>
  </si>
  <si>
    <t>24385671J</t>
  </si>
  <si>
    <t>ALBERTO MAICAS JARQUE</t>
  </si>
  <si>
    <t>6967899</t>
  </si>
  <si>
    <t>8500006298</t>
  </si>
  <si>
    <t>2671JLY</t>
  </si>
  <si>
    <t>24358949V</t>
  </si>
  <si>
    <t>FELIPE MARTI PEIRO</t>
  </si>
  <si>
    <t>6975635</t>
  </si>
  <si>
    <t>404.933</t>
  </si>
  <si>
    <t>8500006308</t>
  </si>
  <si>
    <t>6622JTR</t>
  </si>
  <si>
    <t>6982526</t>
  </si>
  <si>
    <t>8500008056</t>
  </si>
  <si>
    <t>4894JSG</t>
  </si>
  <si>
    <t>6982565</t>
  </si>
  <si>
    <t>717.134</t>
  </si>
  <si>
    <t>8500009558</t>
  </si>
  <si>
    <t>0199JST</t>
  </si>
  <si>
    <t>10204052</t>
  </si>
  <si>
    <t>2024/252</t>
  </si>
  <si>
    <t>8500007944</t>
  </si>
  <si>
    <t>7079591</t>
  </si>
  <si>
    <t>8500006462</t>
  </si>
  <si>
    <t>4497JHV</t>
  </si>
  <si>
    <t>FURGONETA 4*4 KOMBI</t>
  </si>
  <si>
    <t>17/12879</t>
  </si>
  <si>
    <t>22582371M</t>
  </si>
  <si>
    <t>RAFAEL SANCHEZ FERNANDEZ</t>
  </si>
  <si>
    <t>0000005521</t>
  </si>
  <si>
    <t>352</t>
  </si>
  <si>
    <t>ATENCION AL PUBLICO</t>
  </si>
  <si>
    <t>357</t>
  </si>
  <si>
    <t>SERVICIO APOYO GESTION CLIENTES</t>
  </si>
  <si>
    <t>ACTIVO FIJO: 783-0</t>
  </si>
  <si>
    <t>11280983/1</t>
  </si>
  <si>
    <t>8500006372</t>
  </si>
  <si>
    <t>3098JNV</t>
  </si>
  <si>
    <t>73555084A</t>
  </si>
  <si>
    <t>VICENTE FAJARDO MONTAÑANA</t>
  </si>
  <si>
    <t>0010019904</t>
  </si>
  <si>
    <t>VFAJARDO</t>
  </si>
  <si>
    <t>11073892/1</t>
  </si>
  <si>
    <t>8500006398</t>
  </si>
  <si>
    <t>6514JPH</t>
  </si>
  <si>
    <t>6981304</t>
  </si>
  <si>
    <t>8500008891</t>
  </si>
  <si>
    <t>0342JTZ</t>
  </si>
  <si>
    <t>6979895</t>
  </si>
  <si>
    <t>8500006326</t>
  </si>
  <si>
    <t>4866JNV</t>
  </si>
  <si>
    <t>CAMBIAR POR FURGONETA COMBI</t>
  </si>
  <si>
    <t>1590</t>
  </si>
  <si>
    <t>MIXTA AIGÜES D'ALTAFULLA</t>
  </si>
  <si>
    <t>6978082</t>
  </si>
  <si>
    <t xml:space="preserve"> 45000</t>
  </si>
  <si>
    <t>BARCELONA</t>
  </si>
  <si>
    <t>5412JKY</t>
  </si>
  <si>
    <t>0000008754</t>
  </si>
  <si>
    <t>7093486</t>
  </si>
  <si>
    <t>8500006580</t>
  </si>
  <si>
    <t>4686JTW</t>
  </si>
  <si>
    <t>20415302L</t>
  </si>
  <si>
    <t>HECTOR ANT SANFELIX GOZALVEZ</t>
  </si>
  <si>
    <t>0000008374</t>
  </si>
  <si>
    <t>SUBDELEGACION CANALS</t>
  </si>
  <si>
    <t>APLA</t>
  </si>
  <si>
    <t>CT0016</t>
  </si>
  <si>
    <t>ALCUDIA DE CRESPINS L'</t>
  </si>
  <si>
    <t>7085409</t>
  </si>
  <si>
    <t>387.935</t>
  </si>
  <si>
    <t>8500006573</t>
  </si>
  <si>
    <t>9716JMG</t>
  </si>
  <si>
    <t>6984466</t>
  </si>
  <si>
    <t>8500006368</t>
  </si>
  <si>
    <t>4611JTW</t>
  </si>
  <si>
    <t>52706784F</t>
  </si>
  <si>
    <t>JUAN JOSE CAMAÑES GONZALEZ</t>
  </si>
  <si>
    <t>6982146</t>
  </si>
  <si>
    <t>8500006396</t>
  </si>
  <si>
    <t>8517JPS</t>
  </si>
  <si>
    <t>6982209</t>
  </si>
  <si>
    <t>8500006390</t>
  </si>
  <si>
    <t>7997JNR</t>
  </si>
  <si>
    <t>6982312</t>
  </si>
  <si>
    <t>470.465</t>
  </si>
  <si>
    <t>8500006984</t>
  </si>
  <si>
    <t>2667JLY</t>
  </si>
  <si>
    <t>6982096</t>
  </si>
  <si>
    <t>8500006399</t>
  </si>
  <si>
    <t>2927JNS</t>
  </si>
  <si>
    <t>10094057</t>
  </si>
  <si>
    <t>Nº ACTIVO FIJO: 170-0.</t>
  </si>
  <si>
    <t>A200003758</t>
  </si>
  <si>
    <t>A200003757</t>
  </si>
  <si>
    <t>6985804</t>
  </si>
  <si>
    <t>8500009099</t>
  </si>
  <si>
    <t>1501JRZ</t>
  </si>
  <si>
    <t>20150262P</t>
  </si>
  <si>
    <t>MIGUEL ANTONIO GIMENEZ ZORRILLA</t>
  </si>
  <si>
    <t>7093536</t>
  </si>
  <si>
    <t>8500006579</t>
  </si>
  <si>
    <t>4635JTW</t>
  </si>
  <si>
    <t>X6447964Y</t>
  </si>
  <si>
    <t>HUBERT STEFAN BICFOALVI</t>
  </si>
  <si>
    <t>0000008375</t>
  </si>
  <si>
    <t>115</t>
  </si>
  <si>
    <t>SUBDELEGACION ALBAIDA</t>
  </si>
  <si>
    <t>RENOVAR POR TURISMO LIGERO</t>
  </si>
  <si>
    <t>7091908</t>
  </si>
  <si>
    <t>8500006597</t>
  </si>
  <si>
    <t>BELLREGUARD</t>
  </si>
  <si>
    <t>1902JVK</t>
  </si>
  <si>
    <t>20016766G</t>
  </si>
  <si>
    <t>JAVIER BARRANCA ALBORCH</t>
  </si>
  <si>
    <t>29195607M</t>
  </si>
  <si>
    <t>JOSE ALLEANZA FORT</t>
  </si>
  <si>
    <t>0000008504</t>
  </si>
  <si>
    <t>6986610</t>
  </si>
  <si>
    <t>8500006369</t>
  </si>
  <si>
    <t>7620JSD</t>
  </si>
  <si>
    <t>7078948</t>
  </si>
  <si>
    <t>8500006404</t>
  </si>
  <si>
    <t>8397JVB</t>
  </si>
  <si>
    <t>48439803D</t>
  </si>
  <si>
    <t>IVAN SANFELIX DOMINGO</t>
  </si>
  <si>
    <t>33562692B</t>
  </si>
  <si>
    <t>FRANCISCO VICENTE BIEL SANCHIS</t>
  </si>
  <si>
    <t>0000001224</t>
  </si>
  <si>
    <t>CAMBIAR POR DACIA DUSTER</t>
  </si>
  <si>
    <t>7097176</t>
  </si>
  <si>
    <t>8500006603</t>
  </si>
  <si>
    <t>0169JLY</t>
  </si>
  <si>
    <t>79102880S</t>
  </si>
  <si>
    <t>VICENTE LOPEZ PUJALTE</t>
  </si>
  <si>
    <t>7013299</t>
  </si>
  <si>
    <t>387.941</t>
  </si>
  <si>
    <t>8500006568</t>
  </si>
  <si>
    <t>14</t>
  </si>
  <si>
    <t>NEUMÁTICOS DE INVIERNO</t>
  </si>
  <si>
    <t>0209JLY</t>
  </si>
  <si>
    <t>18442427S</t>
  </si>
  <si>
    <t>MIGUEL ANG BLESA SERRA</t>
  </si>
  <si>
    <t>0000002088</t>
  </si>
  <si>
    <t>7097431</t>
  </si>
  <si>
    <t>8500006606</t>
  </si>
  <si>
    <t>VILLAR ARZOBI</t>
  </si>
  <si>
    <t>9689JTR</t>
  </si>
  <si>
    <t>44869761G</t>
  </si>
  <si>
    <t>JOAQUIN A FERNANDEZ GALVEZ</t>
  </si>
  <si>
    <t>0000008370</t>
  </si>
  <si>
    <t>CT0099</t>
  </si>
  <si>
    <t>CANET D'EN BERENGUER</t>
  </si>
  <si>
    <t>6986673</t>
  </si>
  <si>
    <t>8500006405</t>
  </si>
  <si>
    <t>8955JDK</t>
  </si>
  <si>
    <t>7097342</t>
  </si>
  <si>
    <t>8500006611</t>
  </si>
  <si>
    <t>4627JTW</t>
  </si>
  <si>
    <t>48289216A</t>
  </si>
  <si>
    <t>JOSE VIDAL NAVARRO</t>
  </si>
  <si>
    <t>0000008440</t>
  </si>
  <si>
    <t>7097265</t>
  </si>
  <si>
    <t>8500006616</t>
  </si>
  <si>
    <t>2188KZN</t>
  </si>
  <si>
    <t>6979580</t>
  </si>
  <si>
    <t>383.284/5</t>
  </si>
  <si>
    <t>8500006366</t>
  </si>
  <si>
    <t>2678JLY</t>
  </si>
  <si>
    <t>20028973K</t>
  </si>
  <si>
    <t>PAU COMAS GOMAR</t>
  </si>
  <si>
    <t>6331143</t>
  </si>
  <si>
    <t>8500008619</t>
  </si>
  <si>
    <t>4494JHV</t>
  </si>
  <si>
    <t>JAUME AVELLA</t>
  </si>
  <si>
    <t>7115897</t>
  </si>
  <si>
    <t>8500006530</t>
  </si>
  <si>
    <t>3462JTK</t>
  </si>
  <si>
    <t>46825219W</t>
  </si>
  <si>
    <t>JESUS DE MARCO ANDREU</t>
  </si>
  <si>
    <t>0000004093</t>
  </si>
  <si>
    <t>026</t>
  </si>
  <si>
    <t>D.OPERACIONES ARAGON</t>
  </si>
  <si>
    <t>CT0584</t>
  </si>
  <si>
    <t>CUENCA</t>
  </si>
  <si>
    <t>13</t>
  </si>
  <si>
    <t>FURGONETA KOMBI</t>
  </si>
  <si>
    <t>6980218</t>
  </si>
  <si>
    <t>486.727/5</t>
  </si>
  <si>
    <t>8500006379</t>
  </si>
  <si>
    <t>2651JLY</t>
  </si>
  <si>
    <t>1033</t>
  </si>
  <si>
    <t>G.O.REGADIO S.A.</t>
  </si>
  <si>
    <t>6985778</t>
  </si>
  <si>
    <t>387.940/5</t>
  </si>
  <si>
    <t>8500007395</t>
  </si>
  <si>
    <t>7649JSD</t>
  </si>
  <si>
    <t>78079398X</t>
  </si>
  <si>
    <t>ANTONIO ESCUER TERRATS</t>
  </si>
  <si>
    <t>0000005490</t>
  </si>
  <si>
    <t>CT0227</t>
  </si>
  <si>
    <t>MAIALS</t>
  </si>
  <si>
    <t>460659</t>
  </si>
  <si>
    <t>8500008495</t>
  </si>
  <si>
    <t>7013186</t>
  </si>
  <si>
    <t>8500007654</t>
  </si>
  <si>
    <t>1947JVK</t>
  </si>
  <si>
    <t>20019746V</t>
  </si>
  <si>
    <t>VICTOR LLOPIS ROCA</t>
  </si>
  <si>
    <t>0000008361</t>
  </si>
  <si>
    <t>DELEGACION ZS (Safor)</t>
  </si>
  <si>
    <t>SUBDELEGACION LA SAFOR</t>
  </si>
  <si>
    <t>MESCRIVA</t>
  </si>
  <si>
    <t>CT0275</t>
  </si>
  <si>
    <t>PILES</t>
  </si>
  <si>
    <t>7133846</t>
  </si>
  <si>
    <t>387.944</t>
  </si>
  <si>
    <t>8500007675</t>
  </si>
  <si>
    <t>8060KZF</t>
  </si>
  <si>
    <t>10174874</t>
  </si>
  <si>
    <t>2024/290</t>
  </si>
  <si>
    <t>8500008183</t>
  </si>
  <si>
    <t>29171402L</t>
  </si>
  <si>
    <t>FELIX PEINADO FERNANDEZ</t>
  </si>
  <si>
    <t>10210845</t>
  </si>
  <si>
    <t>464354</t>
  </si>
  <si>
    <t>8500009523</t>
  </si>
  <si>
    <t>28925590P</t>
  </si>
  <si>
    <t>GUSTAVO ARIAS ALVAREZ</t>
  </si>
  <si>
    <t>53289899A</t>
  </si>
  <si>
    <t>URSULA CARDENAS MORENO</t>
  </si>
  <si>
    <t>0000005470</t>
  </si>
  <si>
    <t>01RN92044148</t>
  </si>
  <si>
    <t>SHMGM9L004</t>
  </si>
  <si>
    <t>8500006505</t>
  </si>
  <si>
    <t>GRAN VIA</t>
  </si>
  <si>
    <t>0959JVM</t>
  </si>
  <si>
    <t>10069483</t>
  </si>
  <si>
    <t>7145789</t>
  </si>
  <si>
    <t>387.938/5</t>
  </si>
  <si>
    <t>8500007643</t>
  </si>
  <si>
    <t>7009019</t>
  </si>
  <si>
    <t>8500006690</t>
  </si>
  <si>
    <t>9429JGN</t>
  </si>
  <si>
    <t>7115481</t>
  </si>
  <si>
    <t>8500006730</t>
  </si>
  <si>
    <t>6994KDH</t>
  </si>
  <si>
    <t>6980687</t>
  </si>
  <si>
    <t>8500006508</t>
  </si>
  <si>
    <t>2319JMP</t>
  </si>
  <si>
    <t>20013320P</t>
  </si>
  <si>
    <t>MIGUEL ANGEL FAUS BATALLER</t>
  </si>
  <si>
    <t>7039960</t>
  </si>
  <si>
    <t>8500006763</t>
  </si>
  <si>
    <t>EQUIPAMIENTO ESTÁNDAR FURGÓN CCSA</t>
  </si>
  <si>
    <t>5729JMW</t>
  </si>
  <si>
    <t>23935394F</t>
  </si>
  <si>
    <t>DENIS ANDRES BELTRAN EGAS</t>
  </si>
  <si>
    <t>GRAN VIA 19</t>
  </si>
  <si>
    <t>19888591P</t>
  </si>
  <si>
    <t>JAVIER BELENGUER RODRIGO</t>
  </si>
  <si>
    <t>0010019915</t>
  </si>
  <si>
    <t>INT</t>
  </si>
  <si>
    <t>ORGANIZACION INTERNA</t>
  </si>
  <si>
    <t>JABERO</t>
  </si>
  <si>
    <t>Grupo Electrógeno</t>
  </si>
  <si>
    <t>7081149</t>
  </si>
  <si>
    <t>8500006509</t>
  </si>
  <si>
    <t>9546JVN</t>
  </si>
  <si>
    <t>44856073R</t>
  </si>
  <si>
    <t>RUT PEREZ FERNANDEZ</t>
  </si>
  <si>
    <t>7039314</t>
  </si>
  <si>
    <t>8500006822</t>
  </si>
  <si>
    <t>7780HVD</t>
  </si>
  <si>
    <t>ARRIGORRIAGA</t>
  </si>
  <si>
    <t>16061872Y</t>
  </si>
  <si>
    <t>JOSU ATXURRA URIGUEN</t>
  </si>
  <si>
    <t>0000001358</t>
  </si>
  <si>
    <t>LUDEJUMU</t>
  </si>
  <si>
    <t>0000001004</t>
  </si>
  <si>
    <t>X1004V1358</t>
  </si>
  <si>
    <t>009</t>
  </si>
  <si>
    <t>OTROS GOMSL</t>
  </si>
  <si>
    <t>7145777</t>
  </si>
  <si>
    <t>8500006556</t>
  </si>
  <si>
    <t>7284407</t>
  </si>
  <si>
    <t>8500006891</t>
  </si>
  <si>
    <t>1348KBD</t>
  </si>
  <si>
    <t>10059378</t>
  </si>
  <si>
    <t>6989367</t>
  </si>
  <si>
    <t>8500007669</t>
  </si>
  <si>
    <t>07960420M</t>
  </si>
  <si>
    <t>JESUS CACHAZA GIANZO</t>
  </si>
  <si>
    <t>6982577</t>
  </si>
  <si>
    <t>8500006464</t>
  </si>
  <si>
    <t>5600JWW</t>
  </si>
  <si>
    <t>6989355</t>
  </si>
  <si>
    <t>1098014</t>
  </si>
  <si>
    <t>8500006373</t>
  </si>
  <si>
    <t>4975JVS</t>
  </si>
  <si>
    <t>25384174V</t>
  </si>
  <si>
    <t>ELIAS COLOM HERNANDEZ</t>
  </si>
  <si>
    <t>0010019911</t>
  </si>
  <si>
    <t>ECOLOM</t>
  </si>
  <si>
    <t>7085067</t>
  </si>
  <si>
    <t>8500008295</t>
  </si>
  <si>
    <t>0345JTZ</t>
  </si>
  <si>
    <t>7014447</t>
  </si>
  <si>
    <t>8500006544</t>
  </si>
  <si>
    <t>9597JNY</t>
  </si>
  <si>
    <t>7014853</t>
  </si>
  <si>
    <t>8500006537</t>
  </si>
  <si>
    <t>4459JHV</t>
  </si>
  <si>
    <t>6692864</t>
  </si>
  <si>
    <t>8500008390</t>
  </si>
  <si>
    <t>GANDÍA</t>
  </si>
  <si>
    <t>7014308</t>
  </si>
  <si>
    <t>8500006542</t>
  </si>
  <si>
    <t>4620JTW</t>
  </si>
  <si>
    <t>20433233X</t>
  </si>
  <si>
    <t>JESUS OLTRA CUQUERELLA</t>
  </si>
  <si>
    <t>CAMBIAR POR FURGONETA 4*4</t>
  </si>
  <si>
    <t>7085498</t>
  </si>
  <si>
    <t>8500006565</t>
  </si>
  <si>
    <t>2654JLY</t>
  </si>
  <si>
    <t>7014474</t>
  </si>
  <si>
    <t>8500006964</t>
  </si>
  <si>
    <t>9605JNY</t>
  </si>
  <si>
    <t>X6461514D</t>
  </si>
  <si>
    <t>DOBROMIR ZHELYAZKOV DIMOV</t>
  </si>
  <si>
    <t>29181221V</t>
  </si>
  <si>
    <t>M JOSE GINER CASINO</t>
  </si>
  <si>
    <t>7093448</t>
  </si>
  <si>
    <t>9756JNY</t>
  </si>
  <si>
    <t>7097289</t>
  </si>
  <si>
    <t>1903JVK</t>
  </si>
  <si>
    <t>7010884</t>
  </si>
  <si>
    <t>2589JPY</t>
  </si>
  <si>
    <t>7093563</t>
  </si>
  <si>
    <t>3645JTZ</t>
  </si>
  <si>
    <t>0000008351</t>
  </si>
  <si>
    <t>7014575</t>
  </si>
  <si>
    <t>8500007676</t>
  </si>
  <si>
    <t>NEUMATICOS DE INVIERNO</t>
  </si>
  <si>
    <t>5220JTT</t>
  </si>
  <si>
    <t>6979919</t>
  </si>
  <si>
    <t>8500008502</t>
  </si>
  <si>
    <t>9416JXB</t>
  </si>
  <si>
    <t>7013263</t>
  </si>
  <si>
    <t>8500006529</t>
  </si>
  <si>
    <t>EDAR CALPE</t>
  </si>
  <si>
    <t>4463JHV</t>
  </si>
  <si>
    <t>7015076</t>
  </si>
  <si>
    <t>412.489</t>
  </si>
  <si>
    <t>8500006574</t>
  </si>
  <si>
    <t>4460JHV</t>
  </si>
  <si>
    <t>29168623T</t>
  </si>
  <si>
    <t>MIGUEL ANGEL LEON FLORES</t>
  </si>
  <si>
    <t>7010315</t>
  </si>
  <si>
    <t>8500006621</t>
  </si>
  <si>
    <t>9440JPD</t>
  </si>
  <si>
    <t>47104833M</t>
  </si>
  <si>
    <t>RAUL ROMERO RIUS</t>
  </si>
  <si>
    <t>0000005222</t>
  </si>
  <si>
    <t>CT0594</t>
  </si>
  <si>
    <t>SANT GUIM DE FREIXENET</t>
  </si>
  <si>
    <t>7008906</t>
  </si>
  <si>
    <t>8500006654</t>
  </si>
  <si>
    <t>5205JLZ</t>
  </si>
  <si>
    <t>22681393N</t>
  </si>
  <si>
    <t>JAVIER HERNANDEZ SALORT</t>
  </si>
  <si>
    <t>0000000310</t>
  </si>
  <si>
    <t>7010264</t>
  </si>
  <si>
    <t>8500006717</t>
  </si>
  <si>
    <t>7099KBV</t>
  </si>
  <si>
    <t>7009472</t>
  </si>
  <si>
    <t>8500006716</t>
  </si>
  <si>
    <t>0050JYW</t>
  </si>
  <si>
    <t>7013225</t>
  </si>
  <si>
    <t>2367JPY</t>
  </si>
  <si>
    <t>0010049629</t>
  </si>
  <si>
    <t>629</t>
  </si>
  <si>
    <t>EDARS R29</t>
  </si>
  <si>
    <t>CERRADO</t>
  </si>
  <si>
    <t>7013213</t>
  </si>
  <si>
    <t>2347JPY</t>
  </si>
  <si>
    <t>0010049630</t>
  </si>
  <si>
    <t>630</t>
  </si>
  <si>
    <t>EDARS R30</t>
  </si>
  <si>
    <t>10067312</t>
  </si>
  <si>
    <t>7145815</t>
  </si>
  <si>
    <t>8500008274</t>
  </si>
  <si>
    <t>20428201S</t>
  </si>
  <si>
    <t>RUBEN RAMON LLUCH</t>
  </si>
  <si>
    <t>20913472D</t>
  </si>
  <si>
    <t>SOFIA QUINTANA PLANCHADELL</t>
  </si>
  <si>
    <t>0000005575</t>
  </si>
  <si>
    <t>CT0642</t>
  </si>
  <si>
    <t>SUBIRATS</t>
  </si>
  <si>
    <t>7284468</t>
  </si>
  <si>
    <t>8500006808</t>
  </si>
  <si>
    <t>3613JNF</t>
  </si>
  <si>
    <t>36985731Y</t>
  </si>
  <si>
    <t>MARC MARZABAL LUNA</t>
  </si>
  <si>
    <t>0015059570</t>
  </si>
  <si>
    <t>CT0651</t>
  </si>
  <si>
    <t>STA PERPETUA DE MOGODA</t>
  </si>
  <si>
    <t>7291488</t>
  </si>
  <si>
    <t>8500006854</t>
  </si>
  <si>
    <t>8386JYJ</t>
  </si>
  <si>
    <t>79140132F</t>
  </si>
  <si>
    <t>JOSE LUIS MARTINEZ ANDRES</t>
  </si>
  <si>
    <t>7048525</t>
  </si>
  <si>
    <t>8500009487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</si>
</sst>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2" x14ac:knownFonts="1">
    <font>
      <sz val="11"/>
      <color theme="1"/>
      <name val="Aptos Narrow"/>
      <family val="2"/>
      <scheme val="minor"/>
    </font>
    <font>
      <sz val="10"/>
      <name val="Arial"/>
      <family val="2"/>
    </font>
    <font>
      <b/>
      <sz val="10"/>
      <name val="Arial"/>
      <family val="2"/>
    </font>
    <font>
      <sz val="10"/>
      <color theme="0"/>
      <name val="Arial"/>
      <family val="2"/>
    </font>
    <font>
      <b/>
      <sz val="10"/>
      <color theme="0"/>
      <name val="Arial"/>
      <family val="2"/>
    </font>
    <font>
      <sz val="11"/>
      <color theme="0"/>
      <name val="Arial"/>
      <family val="2"/>
    </font>
    <font>
      <b/>
      <sz val="11"/>
      <color theme="1"/>
      <name val="Aptos Narrow"/>
      <family val="2"/>
      <scheme val="minor"/>
    </font>
    <font>
      <sz val="8"/>
      <name val="Aptos Narrow"/>
      <family val="2"/>
      <scheme val="minor"/>
    </font>
    <font>
      <sz val="10"/>
      <color rgb="FFFF0000"/>
      <name val="Arial"/>
      <family val="2"/>
    </font>
    <font>
      <b/>
      <sz val="9"/>
      <name val="Cambria"/>
      <family val="1"/>
    </font>
    <font>
      <sz val="9"/>
      <name val="Cambria"/>
      <family val="1"/>
    </font>
    <font>
      <sz val="9"/>
      <color theme="1"/>
      <name val="Cambria"/>
      <family val="1"/>
    </font>
    <font>
      <sz val="10"/>
      <color theme="1"/>
      <name val="Arial"/>
      <family val="2"/>
    </font>
    <font>
      <strike/>
      <sz val="10"/>
      <color rgb="FFFF0000"/>
      <name val="Arial"/>
      <family val="2"/>
    </font>
    <font>
      <sz val="10"/>
      <color theme="9"/>
      <name val="Arial"/>
      <family val="2"/>
    </font>
    <font>
      <sz val="11"/>
      <color theme="1"/>
      <name val="Aptos Narrow"/>
      <family val="2"/>
      <scheme val="minor"/>
    </font>
    <font>
      <sz val="8"/>
      <color rgb="FF222222"/>
      <name val="Arial"/>
      <family val="2"/>
    </font>
    <font>
      <sz val="10"/>
      <color theme="1"/>
      <name val="Aptos Narrow"/>
      <family val="2"/>
      <scheme val="minor"/>
    </font>
    <font>
      <sz val="9"/>
      <name val="Arial"/>
      <family val="2"/>
    </font>
    <font>
      <b/>
      <sz val="11"/>
      <name val="Arial"/>
      <family val="2"/>
    </font>
    <font>
      <sz val="10"/>
      <name val="Arial"/>
      <family val="2"/>
    </font>
    <font>
      <sz val="11"/>
      <color rgb="FF242424"/>
      <name val="Aptos Narrow"/>
      <family val="2"/>
    </font>
  </fonts>
  <fills count="24">
    <fill>
      <patternFill patternType="none"/>
    </fill>
    <fill>
      <patternFill patternType="gray125"/>
    </fill>
    <fill>
      <patternFill patternType="solid">
        <fgColor indexed="23"/>
        <bgColor indexed="64"/>
      </patternFill>
    </fill>
    <fill>
      <patternFill patternType="solid">
        <fgColor theme="1"/>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FC000"/>
        <bgColor indexed="64"/>
      </patternFill>
    </fill>
    <fill>
      <patternFill patternType="solid">
        <fgColor theme="9" tint="0.79998168889431442"/>
        <bgColor rgb="FF000000"/>
      </patternFill>
    </fill>
    <fill>
      <patternFill patternType="solid">
        <fgColor rgb="FFC1F0C8"/>
        <bgColor rgb="FF000000"/>
      </patternFill>
    </fill>
    <fill>
      <patternFill patternType="solid">
        <fgColor theme="5" tint="-0.249977111117893"/>
        <bgColor indexed="64"/>
      </patternFill>
    </fill>
    <fill>
      <patternFill patternType="solid">
        <fgColor theme="5" tint="-0.249977111117893"/>
        <bgColor rgb="FF000000"/>
      </patternFill>
    </fill>
    <fill>
      <patternFill patternType="solid">
        <fgColor theme="2" tint="-0.249977111117893"/>
        <bgColor indexed="64"/>
      </patternFill>
    </fill>
    <fill>
      <patternFill patternType="solid">
        <fgColor theme="5" tint="0.59999389629810485"/>
        <bgColor indexed="64"/>
      </patternFill>
    </fill>
    <fill>
      <patternFill patternType="solid">
        <fgColor rgb="FF00B050"/>
        <bgColor rgb="FF000000"/>
      </patternFill>
    </fill>
    <fill>
      <patternFill patternType="solid">
        <fgColor theme="4" tint="0.79998168889431442"/>
        <bgColor indexed="64"/>
      </patternFill>
    </fill>
  </fills>
  <borders count="61">
    <border>
      <left/>
      <right/>
      <top/>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top style="medium">
        <color indexed="64"/>
      </top>
      <bottom/>
      <diagonal/>
    </border>
    <border>
      <left/>
      <right style="medium">
        <color indexed="64"/>
      </right>
      <top style="medium">
        <color indexed="64"/>
      </top>
      <bottom style="thin">
        <color indexed="8"/>
      </bottom>
      <diagonal/>
    </border>
    <border>
      <left/>
      <right/>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medium">
        <color indexed="64"/>
      </left>
      <right style="medium">
        <color indexed="64"/>
      </right>
      <top style="medium">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style="medium">
        <color indexed="64"/>
      </left>
      <right/>
      <top style="thin">
        <color indexed="8"/>
      </top>
      <bottom style="medium">
        <color indexed="64"/>
      </bottom>
      <diagonal/>
    </border>
    <border>
      <left/>
      <right/>
      <top style="thin">
        <color indexed="8"/>
      </top>
      <bottom style="thin">
        <color indexed="8"/>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style="thin">
        <color indexed="8"/>
      </top>
      <bottom/>
      <diagonal/>
    </border>
    <border>
      <left style="thin">
        <color rgb="FF000000"/>
      </left>
      <right style="thin">
        <color rgb="FF000000"/>
      </right>
      <top style="thin">
        <color rgb="FF000000"/>
      </top>
      <bottom/>
      <diagonal/>
    </border>
    <border>
      <left style="medium">
        <color indexed="64"/>
      </left>
      <right/>
      <top style="thin">
        <color indexed="8"/>
      </top>
      <bottom style="thin">
        <color indexed="8"/>
      </bottom>
      <diagonal/>
    </border>
    <border>
      <left style="medium">
        <color indexed="64"/>
      </left>
      <right style="thin">
        <color indexed="8"/>
      </right>
      <top style="medium">
        <color indexed="64"/>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8"/>
      </top>
      <bottom style="medium">
        <color indexed="64"/>
      </bottom>
      <diagonal/>
    </border>
    <border>
      <left style="thin">
        <color rgb="FF000000"/>
      </left>
      <right style="thin">
        <color rgb="FF000000"/>
      </right>
      <top/>
      <bottom style="thin">
        <color rgb="FF000000"/>
      </bottom>
      <diagonal/>
    </border>
  </borders>
  <cellStyleXfs count="3">
    <xf numFmtId="0" fontId="0" fillId="0" borderId="0"/>
    <xf numFmtId="0" fontId="1" fillId="0" borderId="0"/>
    <xf numFmtId="43" fontId="15" fillId="0" borderId="0" applyFont="0" applyFill="0" applyBorder="0" applyAlignment="0" applyProtection="0"/>
  </cellStyleXfs>
  <cellXfs count="390">
    <xf numFmtId="0" fontId="0" fillId="0" borderId="0" xfId="0"/>
    <xf numFmtId="0" fontId="1" fillId="0" borderId="0" xfId="1"/>
    <xf numFmtId="0" fontId="3" fillId="2" borderId="6" xfId="1" applyFont="1" applyFill="1" applyBorder="1"/>
    <xf numFmtId="0" fontId="3" fillId="2" borderId="7" xfId="1" applyFont="1" applyFill="1" applyBorder="1"/>
    <xf numFmtId="0" fontId="3" fillId="2" borderId="8" xfId="1" applyFont="1" applyFill="1" applyBorder="1"/>
    <xf numFmtId="0" fontId="4" fillId="3" borderId="9" xfId="1" applyFont="1" applyFill="1" applyBorder="1"/>
    <xf numFmtId="0" fontId="3" fillId="2" borderId="10" xfId="1" applyFont="1" applyFill="1" applyBorder="1"/>
    <xf numFmtId="0" fontId="3" fillId="2" borderId="11" xfId="1" applyFont="1" applyFill="1" applyBorder="1"/>
    <xf numFmtId="0" fontId="4" fillId="4" borderId="12" xfId="1" applyFont="1" applyFill="1" applyBorder="1"/>
    <xf numFmtId="0" fontId="4" fillId="4" borderId="13" xfId="1" applyFont="1" applyFill="1" applyBorder="1"/>
    <xf numFmtId="0" fontId="4" fillId="4" borderId="14" xfId="1" applyFont="1" applyFill="1" applyBorder="1"/>
    <xf numFmtId="0" fontId="4" fillId="3" borderId="15" xfId="1" applyFont="1" applyFill="1" applyBorder="1"/>
    <xf numFmtId="0" fontId="3" fillId="2" borderId="16" xfId="1" applyFont="1" applyFill="1" applyBorder="1"/>
    <xf numFmtId="0" fontId="3" fillId="0" borderId="0" xfId="1" applyFont="1"/>
    <xf numFmtId="49" fontId="1" fillId="0" borderId="16" xfId="1" applyNumberFormat="1" applyBorder="1"/>
    <xf numFmtId="14" fontId="1" fillId="0" borderId="17" xfId="1" applyNumberFormat="1" applyBorder="1"/>
    <xf numFmtId="2" fontId="1" fillId="0" borderId="16" xfId="1" applyNumberFormat="1" applyBorder="1"/>
    <xf numFmtId="14" fontId="1" fillId="0" borderId="16" xfId="1" applyNumberFormat="1" applyBorder="1"/>
    <xf numFmtId="0" fontId="1" fillId="0" borderId="16" xfId="1" applyBorder="1" applyAlignment="1">
      <alignment vertical="top"/>
    </xf>
    <xf numFmtId="0" fontId="1" fillId="0" borderId="16" xfId="1" applyBorder="1"/>
    <xf numFmtId="4" fontId="1" fillId="0" borderId="16" xfId="1" applyNumberFormat="1" applyBorder="1"/>
    <xf numFmtId="14" fontId="1" fillId="0" borderId="18" xfId="1" applyNumberFormat="1" applyBorder="1"/>
    <xf numFmtId="14" fontId="1" fillId="0" borderId="13" xfId="1" applyNumberFormat="1" applyBorder="1"/>
    <xf numFmtId="49" fontId="1" fillId="0" borderId="19" xfId="1" applyNumberFormat="1" applyBorder="1"/>
    <xf numFmtId="14" fontId="2" fillId="5" borderId="20" xfId="1" applyNumberFormat="1" applyFont="1" applyFill="1" applyBorder="1"/>
    <xf numFmtId="49" fontId="1" fillId="0" borderId="21" xfId="1" applyNumberFormat="1" applyBorder="1"/>
    <xf numFmtId="2" fontId="1" fillId="0" borderId="19" xfId="1" applyNumberFormat="1" applyBorder="1"/>
    <xf numFmtId="14" fontId="1" fillId="0" borderId="21" xfId="1" applyNumberFormat="1" applyBorder="1"/>
    <xf numFmtId="14" fontId="2" fillId="5" borderId="22" xfId="1" applyNumberFormat="1" applyFont="1" applyFill="1" applyBorder="1"/>
    <xf numFmtId="14" fontId="2" fillId="5" borderId="23" xfId="1" applyNumberFormat="1" applyFont="1" applyFill="1" applyBorder="1"/>
    <xf numFmtId="14" fontId="2" fillId="5" borderId="9" xfId="1" applyNumberFormat="1" applyFont="1" applyFill="1" applyBorder="1"/>
    <xf numFmtId="0" fontId="1" fillId="0" borderId="0" xfId="1" applyAlignment="1">
      <alignment vertical="top"/>
    </xf>
    <xf numFmtId="14" fontId="1" fillId="0" borderId="0" xfId="1" applyNumberFormat="1" applyAlignment="1">
      <alignment horizontal="right" vertical="top"/>
    </xf>
    <xf numFmtId="49" fontId="1" fillId="0" borderId="0" xfId="1" applyNumberFormat="1"/>
    <xf numFmtId="14" fontId="1" fillId="0" borderId="0" xfId="1" applyNumberFormat="1"/>
    <xf numFmtId="4" fontId="1" fillId="0" borderId="0" xfId="1" applyNumberFormat="1"/>
    <xf numFmtId="14" fontId="2" fillId="5" borderId="15" xfId="1" applyNumberFormat="1" applyFont="1" applyFill="1" applyBorder="1"/>
    <xf numFmtId="14" fontId="2" fillId="5" borderId="24" xfId="1" applyNumberFormat="1" applyFont="1" applyFill="1" applyBorder="1"/>
    <xf numFmtId="0" fontId="3" fillId="3" borderId="16" xfId="1" applyFont="1" applyFill="1" applyBorder="1"/>
    <xf numFmtId="0" fontId="3" fillId="4" borderId="16" xfId="1" applyFont="1" applyFill="1" applyBorder="1"/>
    <xf numFmtId="2" fontId="1" fillId="0" borderId="0" xfId="1" applyNumberFormat="1"/>
    <xf numFmtId="0" fontId="5" fillId="2" borderId="16" xfId="1" applyFont="1" applyFill="1" applyBorder="1"/>
    <xf numFmtId="0" fontId="5" fillId="0" borderId="0" xfId="1" applyFont="1"/>
    <xf numFmtId="0" fontId="1" fillId="0" borderId="0" xfId="1" applyAlignment="1">
      <alignment horizontal="center" vertical="center"/>
    </xf>
    <xf numFmtId="2" fontId="1" fillId="0" borderId="0" xfId="1" applyNumberFormat="1" applyAlignment="1">
      <alignment horizontal="center" vertical="center"/>
    </xf>
    <xf numFmtId="164" fontId="1" fillId="0" borderId="0" xfId="1" applyNumberFormat="1" applyAlignment="1">
      <alignment horizontal="center" vertical="center"/>
    </xf>
    <xf numFmtId="3" fontId="1" fillId="0" borderId="0" xfId="1" applyNumberFormat="1" applyAlignment="1">
      <alignment horizontal="center" vertical="center"/>
    </xf>
    <xf numFmtId="3" fontId="1" fillId="0" borderId="0" xfId="1" applyNumberFormat="1"/>
    <xf numFmtId="2" fontId="1" fillId="0" borderId="13" xfId="1" applyNumberFormat="1" applyBorder="1"/>
    <xf numFmtId="0" fontId="1" fillId="0" borderId="13" xfId="1" applyBorder="1" applyAlignment="1">
      <alignment vertical="top"/>
    </xf>
    <xf numFmtId="0" fontId="1" fillId="0" borderId="13" xfId="1" applyBorder="1"/>
    <xf numFmtId="0" fontId="0" fillId="0" borderId="0" xfId="0" applyAlignment="1">
      <alignment horizontal="left"/>
    </xf>
    <xf numFmtId="0" fontId="0" fillId="0" borderId="25" xfId="0" applyBorder="1" applyAlignment="1">
      <alignment horizontal="center"/>
    </xf>
    <xf numFmtId="0" fontId="0" fillId="0" borderId="25" xfId="0" applyBorder="1"/>
    <xf numFmtId="2" fontId="0" fillId="0" borderId="25" xfId="0" applyNumberFormat="1" applyBorder="1"/>
    <xf numFmtId="0" fontId="6" fillId="0" borderId="25" xfId="0" applyFont="1" applyBorder="1" applyAlignment="1">
      <alignment horizontal="center"/>
    </xf>
    <xf numFmtId="2" fontId="0" fillId="0" borderId="0" xfId="0" applyNumberFormat="1"/>
    <xf numFmtId="2" fontId="0" fillId="0" borderId="25" xfId="0" applyNumberFormat="1" applyBorder="1" applyAlignment="1">
      <alignment horizontal="center"/>
    </xf>
    <xf numFmtId="2" fontId="6" fillId="0" borderId="25" xfId="0" applyNumberFormat="1" applyFont="1" applyBorder="1" applyAlignment="1">
      <alignment horizontal="center"/>
    </xf>
    <xf numFmtId="0" fontId="6" fillId="0" borderId="25" xfId="0" applyFont="1" applyBorder="1"/>
    <xf numFmtId="0" fontId="1" fillId="0" borderId="19" xfId="1" applyBorder="1"/>
    <xf numFmtId="0" fontId="2" fillId="6" borderId="26" xfId="1" applyFont="1" applyFill="1" applyBorder="1" applyAlignment="1">
      <alignment horizontal="center" vertical="center"/>
    </xf>
    <xf numFmtId="0" fontId="2" fillId="6" borderId="27" xfId="1" applyFont="1" applyFill="1" applyBorder="1" applyAlignment="1">
      <alignment horizontal="center" vertical="center"/>
    </xf>
    <xf numFmtId="3" fontId="2" fillId="6" borderId="27" xfId="1" applyNumberFormat="1" applyFont="1" applyFill="1" applyBorder="1" applyAlignment="1">
      <alignment horizontal="center" vertical="center"/>
    </xf>
    <xf numFmtId="0" fontId="2" fillId="6" borderId="28" xfId="1" applyFont="1" applyFill="1" applyBorder="1" applyAlignment="1">
      <alignment horizontal="center" vertical="center"/>
    </xf>
    <xf numFmtId="0" fontId="1" fillId="6" borderId="29" xfId="1" applyFill="1" applyBorder="1" applyAlignment="1">
      <alignment horizontal="center" vertical="center"/>
    </xf>
    <xf numFmtId="2" fontId="1" fillId="6" borderId="3" xfId="1" applyNumberFormat="1" applyFill="1" applyBorder="1" applyAlignment="1">
      <alignment horizontal="center" vertical="center"/>
    </xf>
    <xf numFmtId="164" fontId="1" fillId="6" borderId="3" xfId="1" applyNumberFormat="1" applyFill="1" applyBorder="1" applyAlignment="1">
      <alignment horizontal="center" vertical="center"/>
    </xf>
    <xf numFmtId="3" fontId="1" fillId="6" borderId="3" xfId="1" applyNumberFormat="1" applyFill="1" applyBorder="1" applyAlignment="1">
      <alignment horizontal="center" vertical="center"/>
    </xf>
    <xf numFmtId="0" fontId="1" fillId="6" borderId="30" xfId="1" applyFill="1" applyBorder="1" applyAlignment="1">
      <alignment horizontal="center" vertical="center"/>
    </xf>
    <xf numFmtId="0" fontId="1" fillId="6" borderId="31" xfId="1" applyFill="1" applyBorder="1" applyAlignment="1">
      <alignment horizontal="center" vertical="center"/>
    </xf>
    <xf numFmtId="2" fontId="1" fillId="6" borderId="0" xfId="1" applyNumberFormat="1" applyFill="1" applyAlignment="1">
      <alignment horizontal="center" vertical="center"/>
    </xf>
    <xf numFmtId="164" fontId="1" fillId="6" borderId="0" xfId="1" applyNumberFormat="1" applyFill="1" applyAlignment="1">
      <alignment horizontal="center" vertical="center"/>
    </xf>
    <xf numFmtId="3" fontId="1" fillId="6" borderId="0" xfId="1" applyNumberFormat="1" applyFill="1" applyAlignment="1">
      <alignment horizontal="center" vertical="center"/>
    </xf>
    <xf numFmtId="0" fontId="1" fillId="6" borderId="32" xfId="1" applyFill="1" applyBorder="1" applyAlignment="1">
      <alignment horizontal="center" vertical="center"/>
    </xf>
    <xf numFmtId="0" fontId="1" fillId="6" borderId="33" xfId="1" applyFill="1" applyBorder="1" applyAlignment="1">
      <alignment horizontal="center" vertical="center"/>
    </xf>
    <xf numFmtId="2" fontId="1" fillId="6" borderId="34" xfId="1" applyNumberFormat="1" applyFill="1" applyBorder="1" applyAlignment="1">
      <alignment horizontal="center" vertical="center"/>
    </xf>
    <xf numFmtId="164" fontId="1" fillId="6" borderId="34" xfId="1" applyNumberFormat="1" applyFill="1" applyBorder="1" applyAlignment="1">
      <alignment horizontal="center" vertical="center"/>
    </xf>
    <xf numFmtId="3" fontId="1" fillId="6" borderId="34" xfId="1" applyNumberFormat="1" applyFill="1" applyBorder="1" applyAlignment="1">
      <alignment horizontal="center" vertical="center"/>
    </xf>
    <xf numFmtId="0" fontId="1" fillId="6" borderId="35" xfId="1" applyFill="1" applyBorder="1" applyAlignment="1">
      <alignment horizontal="center" vertical="center"/>
    </xf>
    <xf numFmtId="0" fontId="1" fillId="6" borderId="26" xfId="1" applyFill="1" applyBorder="1" applyAlignment="1">
      <alignment horizontal="center" vertical="center"/>
    </xf>
    <xf numFmtId="2" fontId="1" fillId="6" borderId="27" xfId="1" applyNumberFormat="1" applyFill="1" applyBorder="1" applyAlignment="1">
      <alignment horizontal="center" vertical="center"/>
    </xf>
    <xf numFmtId="164" fontId="1" fillId="6" borderId="27" xfId="1" applyNumberFormat="1" applyFill="1" applyBorder="1" applyAlignment="1">
      <alignment horizontal="center" vertical="center"/>
    </xf>
    <xf numFmtId="3" fontId="1" fillId="6" borderId="27" xfId="1" applyNumberFormat="1" applyFill="1" applyBorder="1" applyAlignment="1">
      <alignment horizontal="center" vertical="center"/>
    </xf>
    <xf numFmtId="0" fontId="1" fillId="6" borderId="28" xfId="1" applyFill="1" applyBorder="1" applyAlignment="1">
      <alignment horizontal="center" vertical="center"/>
    </xf>
    <xf numFmtId="0" fontId="6" fillId="7" borderId="36" xfId="0" applyFont="1" applyFill="1" applyBorder="1" applyAlignment="1">
      <alignment horizontal="left"/>
    </xf>
    <xf numFmtId="2" fontId="6" fillId="7" borderId="36" xfId="0" applyNumberFormat="1" applyFont="1" applyFill="1" applyBorder="1"/>
    <xf numFmtId="14" fontId="2" fillId="5" borderId="1" xfId="1" applyNumberFormat="1" applyFont="1" applyFill="1" applyBorder="1"/>
    <xf numFmtId="14" fontId="2" fillId="5" borderId="37" xfId="1" applyNumberFormat="1" applyFont="1" applyFill="1" applyBorder="1"/>
    <xf numFmtId="14" fontId="2" fillId="5" borderId="26" xfId="1" applyNumberFormat="1" applyFont="1" applyFill="1" applyBorder="1"/>
    <xf numFmtId="0" fontId="1" fillId="6" borderId="3" xfId="1" applyFill="1" applyBorder="1" applyAlignment="1">
      <alignment horizontal="center" vertical="center"/>
    </xf>
    <xf numFmtId="0" fontId="1" fillId="6" borderId="34" xfId="1" applyFill="1" applyBorder="1" applyAlignment="1">
      <alignment horizontal="center" vertical="center"/>
    </xf>
    <xf numFmtId="0" fontId="1" fillId="6" borderId="27" xfId="1" applyFill="1" applyBorder="1" applyAlignment="1">
      <alignment horizontal="center" vertical="center"/>
    </xf>
    <xf numFmtId="2" fontId="1" fillId="0" borderId="18" xfId="1" applyNumberFormat="1" applyBorder="1"/>
    <xf numFmtId="0" fontId="1" fillId="0" borderId="18" xfId="1" applyBorder="1" applyAlignment="1">
      <alignment vertical="top"/>
    </xf>
    <xf numFmtId="0" fontId="1" fillId="0" borderId="18" xfId="1" applyBorder="1"/>
    <xf numFmtId="49" fontId="1" fillId="0" borderId="25" xfId="1" applyNumberFormat="1" applyBorder="1"/>
    <xf numFmtId="14" fontId="2" fillId="5" borderId="25" xfId="1" applyNumberFormat="1" applyFont="1" applyFill="1" applyBorder="1"/>
    <xf numFmtId="2" fontId="1" fillId="0" borderId="25" xfId="1" applyNumberFormat="1" applyBorder="1"/>
    <xf numFmtId="14" fontId="1" fillId="0" borderId="25" xfId="1" applyNumberFormat="1" applyBorder="1"/>
    <xf numFmtId="0" fontId="1" fillId="0" borderId="25" xfId="1" applyBorder="1" applyAlignment="1">
      <alignment vertical="top"/>
    </xf>
    <xf numFmtId="0" fontId="1" fillId="0" borderId="25" xfId="1" applyBorder="1"/>
    <xf numFmtId="0" fontId="3" fillId="2" borderId="10" xfId="1" applyFont="1" applyFill="1" applyBorder="1" applyAlignment="1">
      <alignment horizontal="center"/>
    </xf>
    <xf numFmtId="49" fontId="1" fillId="0" borderId="16" xfId="1" applyNumberFormat="1" applyBorder="1" applyAlignment="1">
      <alignment horizontal="center"/>
    </xf>
    <xf numFmtId="49" fontId="1" fillId="0" borderId="25" xfId="1" applyNumberFormat="1" applyBorder="1" applyAlignment="1">
      <alignment horizontal="center"/>
    </xf>
    <xf numFmtId="0" fontId="1" fillId="0" borderId="0" xfId="0" applyFont="1" applyAlignment="1">
      <alignment horizontal="center" vertical="top"/>
    </xf>
    <xf numFmtId="0" fontId="1" fillId="0" borderId="0" xfId="1" applyAlignment="1">
      <alignment horizontal="center"/>
    </xf>
    <xf numFmtId="0" fontId="1" fillId="0" borderId="19" xfId="1" applyBorder="1" applyAlignment="1">
      <alignment vertical="top"/>
    </xf>
    <xf numFmtId="0" fontId="1" fillId="0" borderId="13" xfId="0" applyFont="1" applyBorder="1" applyAlignment="1">
      <alignment vertical="top"/>
    </xf>
    <xf numFmtId="0" fontId="1" fillId="6" borderId="19" xfId="1" applyFill="1" applyBorder="1" applyAlignment="1">
      <alignment vertical="top"/>
    </xf>
    <xf numFmtId="0" fontId="1" fillId="6" borderId="25" xfId="1" applyFill="1" applyBorder="1" applyAlignment="1">
      <alignment vertical="top"/>
    </xf>
    <xf numFmtId="0" fontId="2" fillId="0" borderId="0" xfId="1" applyFont="1" applyAlignment="1">
      <alignment horizontal="center"/>
    </xf>
    <xf numFmtId="49" fontId="8" fillId="0" borderId="21" xfId="1" applyNumberFormat="1" applyFont="1" applyBorder="1"/>
    <xf numFmtId="49" fontId="1" fillId="0" borderId="39" xfId="1" applyNumberFormat="1" applyBorder="1"/>
    <xf numFmtId="0" fontId="0" fillId="0" borderId="40" xfId="0" applyBorder="1"/>
    <xf numFmtId="0" fontId="1" fillId="0" borderId="0" xfId="0" applyFont="1"/>
    <xf numFmtId="0" fontId="1" fillId="0" borderId="13" xfId="0" applyFont="1" applyBorder="1"/>
    <xf numFmtId="0" fontId="4" fillId="4" borderId="0" xfId="1" applyFont="1" applyFill="1" applyAlignment="1">
      <alignment horizontal="center"/>
    </xf>
    <xf numFmtId="0" fontId="1" fillId="0" borderId="13" xfId="0" applyFont="1" applyBorder="1" applyAlignment="1">
      <alignment horizontal="center"/>
    </xf>
    <xf numFmtId="0" fontId="1" fillId="0" borderId="0" xfId="0" applyFont="1" applyAlignment="1">
      <alignment vertical="top"/>
    </xf>
    <xf numFmtId="14" fontId="1" fillId="0" borderId="0" xfId="0" applyNumberFormat="1" applyFont="1" applyAlignment="1">
      <alignment horizontal="right" vertical="top"/>
    </xf>
    <xf numFmtId="2" fontId="1" fillId="0" borderId="13" xfId="0" applyNumberFormat="1" applyFont="1" applyBorder="1"/>
    <xf numFmtId="14" fontId="1" fillId="0" borderId="13" xfId="0" applyNumberFormat="1" applyFont="1" applyBorder="1"/>
    <xf numFmtId="3" fontId="1" fillId="0" borderId="0" xfId="0" applyNumberFormat="1" applyFont="1"/>
    <xf numFmtId="3" fontId="2" fillId="0" borderId="25" xfId="0" applyNumberFormat="1" applyFont="1" applyBorder="1"/>
    <xf numFmtId="0" fontId="9" fillId="0" borderId="25" xfId="1" applyFont="1" applyBorder="1" applyAlignment="1">
      <alignment horizontal="center" vertical="center" wrapText="1"/>
    </xf>
    <xf numFmtId="0" fontId="10" fillId="0" borderId="25" xfId="0" applyFont="1" applyBorder="1" applyAlignment="1">
      <alignment horizontal="center" vertical="center"/>
    </xf>
    <xf numFmtId="0" fontId="11" fillId="0" borderId="25" xfId="0" applyFont="1" applyBorder="1" applyAlignment="1">
      <alignment horizontal="center"/>
    </xf>
    <xf numFmtId="0" fontId="11" fillId="8" borderId="25" xfId="0" applyFont="1" applyFill="1" applyBorder="1" applyAlignment="1">
      <alignment horizontal="center"/>
    </xf>
    <xf numFmtId="0" fontId="11" fillId="0" borderId="25" xfId="0" applyFont="1" applyBorder="1" applyAlignment="1">
      <alignment horizontal="center" vertical="center"/>
    </xf>
    <xf numFmtId="0" fontId="11" fillId="0" borderId="41" xfId="0" applyFont="1" applyBorder="1" applyAlignment="1">
      <alignment horizontal="center"/>
    </xf>
    <xf numFmtId="0" fontId="10" fillId="0" borderId="25" xfId="0" applyFont="1" applyBorder="1" applyAlignment="1">
      <alignment horizontal="center" vertical="top"/>
    </xf>
    <xf numFmtId="0" fontId="10" fillId="0" borderId="25" xfId="1" applyFont="1" applyBorder="1" applyAlignment="1">
      <alignment horizontal="center" vertical="top" wrapText="1"/>
    </xf>
    <xf numFmtId="49" fontId="11" fillId="0" borderId="25" xfId="0" applyNumberFormat="1" applyFont="1" applyBorder="1" applyAlignment="1">
      <alignment horizontal="center" vertical="top"/>
    </xf>
    <xf numFmtId="0" fontId="11" fillId="9" borderId="25" xfId="0" applyFont="1" applyFill="1" applyBorder="1" applyAlignment="1">
      <alignment horizontal="center" vertical="center"/>
    </xf>
    <xf numFmtId="0" fontId="11" fillId="10" borderId="25" xfId="0" applyFont="1" applyFill="1" applyBorder="1" applyAlignment="1">
      <alignment horizontal="center" vertical="center"/>
    </xf>
    <xf numFmtId="2" fontId="4" fillId="4" borderId="42" xfId="1" applyNumberFormat="1" applyFont="1" applyFill="1" applyBorder="1"/>
    <xf numFmtId="2" fontId="1" fillId="0" borderId="21" xfId="1" applyNumberFormat="1" applyBorder="1"/>
    <xf numFmtId="0" fontId="4" fillId="3" borderId="34" xfId="1" applyFont="1" applyFill="1" applyBorder="1"/>
    <xf numFmtId="14" fontId="2" fillId="5" borderId="5" xfId="1" applyNumberFormat="1" applyFont="1" applyFill="1" applyBorder="1"/>
    <xf numFmtId="14" fontId="2" fillId="5" borderId="0" xfId="1" applyNumberFormat="1" applyFont="1" applyFill="1"/>
    <xf numFmtId="0" fontId="2" fillId="5" borderId="38" xfId="1" applyFont="1" applyFill="1" applyBorder="1"/>
    <xf numFmtId="0" fontId="2" fillId="0" borderId="0" xfId="1" applyFont="1"/>
    <xf numFmtId="0" fontId="4" fillId="4" borderId="0" xfId="1" applyFont="1" applyFill="1"/>
    <xf numFmtId="0" fontId="1" fillId="0" borderId="0" xfId="1" applyAlignment="1">
      <alignment wrapText="1"/>
    </xf>
    <xf numFmtId="0" fontId="2" fillId="0" borderId="0" xfId="1" applyFont="1" applyAlignment="1">
      <alignment horizontal="center" vertical="center"/>
    </xf>
    <xf numFmtId="49" fontId="12" fillId="0" borderId="21" xfId="1" applyNumberFormat="1" applyFont="1" applyBorder="1"/>
    <xf numFmtId="0" fontId="0" fillId="0" borderId="0" xfId="0" applyAlignment="1">
      <alignment horizontal="center"/>
    </xf>
    <xf numFmtId="0" fontId="0" fillId="0" borderId="43" xfId="0" applyBorder="1"/>
    <xf numFmtId="49" fontId="13" fillId="0" borderId="39" xfId="1" applyNumberFormat="1" applyFont="1" applyBorder="1"/>
    <xf numFmtId="0" fontId="3" fillId="2" borderId="34" xfId="1" applyFont="1" applyFill="1" applyBorder="1"/>
    <xf numFmtId="0" fontId="1" fillId="0" borderId="38" xfId="1" applyBorder="1"/>
    <xf numFmtId="0" fontId="1" fillId="0" borderId="17" xfId="1" applyBorder="1"/>
    <xf numFmtId="0" fontId="1" fillId="0" borderId="42" xfId="1" applyBorder="1"/>
    <xf numFmtId="0" fontId="1" fillId="0" borderId="5" xfId="1" applyBorder="1"/>
    <xf numFmtId="14" fontId="1" fillId="0" borderId="38" xfId="1" applyNumberFormat="1" applyBorder="1"/>
    <xf numFmtId="14" fontId="1" fillId="0" borderId="42" xfId="1" applyNumberFormat="1" applyBorder="1"/>
    <xf numFmtId="14" fontId="1" fillId="0" borderId="5" xfId="1" applyNumberFormat="1" applyBorder="1"/>
    <xf numFmtId="2" fontId="2" fillId="5" borderId="38" xfId="1" applyNumberFormat="1" applyFont="1" applyFill="1" applyBorder="1"/>
    <xf numFmtId="2" fontId="2" fillId="5" borderId="42" xfId="1" applyNumberFormat="1" applyFont="1" applyFill="1" applyBorder="1"/>
    <xf numFmtId="2" fontId="1" fillId="0" borderId="17" xfId="1" applyNumberFormat="1" applyBorder="1"/>
    <xf numFmtId="2" fontId="2" fillId="5" borderId="5" xfId="1" applyNumberFormat="1" applyFont="1" applyFill="1" applyBorder="1"/>
    <xf numFmtId="2" fontId="2" fillId="5" borderId="0" xfId="1" applyNumberFormat="1" applyFont="1" applyFill="1"/>
    <xf numFmtId="14" fontId="2" fillId="5" borderId="44" xfId="1" applyNumberFormat="1" applyFont="1" applyFill="1" applyBorder="1"/>
    <xf numFmtId="2" fontId="2" fillId="5" borderId="25" xfId="1" applyNumberFormat="1" applyFont="1" applyFill="1" applyBorder="1"/>
    <xf numFmtId="49" fontId="1" fillId="0" borderId="13" xfId="1" applyNumberFormat="1" applyBorder="1"/>
    <xf numFmtId="4" fontId="1" fillId="0" borderId="13" xfId="1" applyNumberFormat="1" applyBorder="1"/>
    <xf numFmtId="49" fontId="1" fillId="0" borderId="40" xfId="1" applyNumberFormat="1" applyBorder="1"/>
    <xf numFmtId="14" fontId="1" fillId="0" borderId="40" xfId="1" applyNumberFormat="1" applyBorder="1"/>
    <xf numFmtId="2" fontId="1" fillId="0" borderId="40" xfId="1" applyNumberFormat="1" applyBorder="1"/>
    <xf numFmtId="0" fontId="1" fillId="0" borderId="40" xfId="1" applyBorder="1"/>
    <xf numFmtId="4" fontId="1" fillId="0" borderId="40" xfId="1" applyNumberFormat="1" applyBorder="1"/>
    <xf numFmtId="49" fontId="14" fillId="0" borderId="0" xfId="1" applyNumberFormat="1" applyFont="1"/>
    <xf numFmtId="49" fontId="8" fillId="0" borderId="12" xfId="1" applyNumberFormat="1" applyFont="1" applyBorder="1"/>
    <xf numFmtId="49" fontId="1" fillId="0" borderId="13" xfId="1" applyNumberFormat="1" applyBorder="1" applyAlignment="1">
      <alignment horizontal="center"/>
    </xf>
    <xf numFmtId="49" fontId="1" fillId="0" borderId="14" xfId="1" applyNumberFormat="1" applyBorder="1"/>
    <xf numFmtId="14" fontId="0" fillId="0" borderId="0" xfId="0" applyNumberFormat="1"/>
    <xf numFmtId="4" fontId="0" fillId="0" borderId="0" xfId="0" applyNumberFormat="1"/>
    <xf numFmtId="0" fontId="0" fillId="0" borderId="0" xfId="0" applyAlignment="1">
      <alignment horizontal="center" vertical="center"/>
    </xf>
    <xf numFmtId="0" fontId="3" fillId="2" borderId="45" xfId="1" applyFont="1" applyFill="1" applyBorder="1" applyAlignment="1">
      <alignment horizontal="center" vertical="center"/>
    </xf>
    <xf numFmtId="0" fontId="3" fillId="13" borderId="46" xfId="1" applyFont="1" applyFill="1" applyBorder="1" applyAlignment="1">
      <alignment horizontal="center" vertical="center"/>
    </xf>
    <xf numFmtId="0" fontId="3" fillId="2" borderId="46" xfId="1" applyFont="1" applyFill="1" applyBorder="1" applyAlignment="1">
      <alignment horizontal="center" vertical="center"/>
    </xf>
    <xf numFmtId="0" fontId="3" fillId="2" borderId="47" xfId="1" applyFont="1" applyFill="1" applyBorder="1" applyAlignment="1">
      <alignment horizontal="center" vertical="center"/>
    </xf>
    <xf numFmtId="0" fontId="3" fillId="2" borderId="48" xfId="1" applyFont="1" applyFill="1" applyBorder="1" applyAlignment="1">
      <alignment horizontal="center" vertical="center"/>
    </xf>
    <xf numFmtId="0" fontId="3" fillId="2" borderId="3" xfId="1" applyFont="1" applyFill="1" applyBorder="1" applyAlignment="1">
      <alignment horizontal="center" vertical="center"/>
    </xf>
    <xf numFmtId="0" fontId="4" fillId="3" borderId="15" xfId="1" applyFont="1" applyFill="1" applyBorder="1" applyAlignment="1">
      <alignment horizontal="center" vertical="center"/>
    </xf>
    <xf numFmtId="0" fontId="4" fillId="3" borderId="3" xfId="1" applyFont="1" applyFill="1" applyBorder="1" applyAlignment="1">
      <alignment horizontal="center" vertical="center"/>
    </xf>
    <xf numFmtId="0" fontId="3" fillId="2" borderId="49" xfId="1" applyFont="1" applyFill="1" applyBorder="1" applyAlignment="1">
      <alignment horizontal="center" vertical="center"/>
    </xf>
    <xf numFmtId="0" fontId="4" fillId="4" borderId="46" xfId="1" applyFont="1" applyFill="1" applyBorder="1" applyAlignment="1">
      <alignment horizontal="center" vertical="center"/>
    </xf>
    <xf numFmtId="0" fontId="4" fillId="4" borderId="47" xfId="1" applyFont="1" applyFill="1" applyBorder="1" applyAlignment="1">
      <alignment horizontal="center" vertical="center"/>
    </xf>
    <xf numFmtId="0" fontId="4" fillId="4" borderId="48" xfId="1" applyFont="1" applyFill="1" applyBorder="1" applyAlignment="1">
      <alignment horizontal="center" vertical="center"/>
    </xf>
    <xf numFmtId="2" fontId="4" fillId="4" borderId="3" xfId="1" applyNumberFormat="1" applyFont="1" applyFill="1" applyBorder="1" applyAlignment="1">
      <alignment horizontal="center" vertical="center"/>
    </xf>
    <xf numFmtId="0" fontId="4" fillId="4" borderId="3" xfId="1" applyFont="1" applyFill="1" applyBorder="1" applyAlignment="1">
      <alignment horizontal="center" vertical="center"/>
    </xf>
    <xf numFmtId="0" fontId="2" fillId="6" borderId="29" xfId="1" applyFont="1" applyFill="1" applyBorder="1" applyAlignment="1">
      <alignment horizontal="center" vertical="center"/>
    </xf>
    <xf numFmtId="0" fontId="2" fillId="6" borderId="3" xfId="1" applyFont="1" applyFill="1" applyBorder="1" applyAlignment="1">
      <alignment horizontal="center" vertical="center"/>
    </xf>
    <xf numFmtId="3" fontId="2" fillId="6" borderId="3" xfId="1" applyNumberFormat="1" applyFont="1" applyFill="1" applyBorder="1" applyAlignment="1">
      <alignment horizontal="center" vertical="center"/>
    </xf>
    <xf numFmtId="0" fontId="2" fillId="6" borderId="30" xfId="1" applyFont="1" applyFill="1" applyBorder="1" applyAlignment="1">
      <alignment horizontal="center" vertical="center"/>
    </xf>
    <xf numFmtId="0" fontId="2" fillId="0" borderId="3" xfId="1" applyFont="1" applyBorder="1" applyAlignment="1">
      <alignment horizontal="center" vertical="center"/>
    </xf>
    <xf numFmtId="0" fontId="0" fillId="0" borderId="3" xfId="0" applyBorder="1" applyAlignment="1">
      <alignment horizontal="center" vertical="center"/>
    </xf>
    <xf numFmtId="0" fontId="12" fillId="14" borderId="3" xfId="1" applyFont="1" applyFill="1" applyBorder="1" applyAlignment="1">
      <alignment horizontal="center" vertical="center"/>
    </xf>
    <xf numFmtId="0" fontId="12" fillId="15" borderId="3" xfId="1" applyFont="1" applyFill="1" applyBorder="1" applyAlignment="1">
      <alignment horizontal="center" vertical="center"/>
    </xf>
    <xf numFmtId="0" fontId="12" fillId="15" borderId="30" xfId="1" applyFont="1" applyFill="1" applyBorder="1" applyAlignment="1">
      <alignment horizontal="center" vertical="center"/>
    </xf>
    <xf numFmtId="0" fontId="0" fillId="0" borderId="50" xfId="0" applyBorder="1" applyAlignment="1">
      <alignment horizontal="center" vertical="center"/>
    </xf>
    <xf numFmtId="49" fontId="1" fillId="0" borderId="25" xfId="1" applyNumberFormat="1" applyBorder="1" applyAlignment="1">
      <alignment horizontal="center" vertical="center"/>
    </xf>
    <xf numFmtId="14" fontId="1" fillId="0" borderId="25" xfId="1" applyNumberFormat="1" applyBorder="1" applyAlignment="1">
      <alignment horizontal="center" vertical="center"/>
    </xf>
    <xf numFmtId="14" fontId="2" fillId="5" borderId="25" xfId="1" applyNumberFormat="1" applyFont="1" applyFill="1" applyBorder="1" applyAlignment="1">
      <alignment horizontal="center" vertical="center"/>
    </xf>
    <xf numFmtId="2" fontId="2" fillId="5" borderId="25" xfId="1" applyNumberFormat="1" applyFont="1" applyFill="1" applyBorder="1" applyAlignment="1">
      <alignment horizontal="center" vertical="center"/>
    </xf>
    <xf numFmtId="0" fontId="2" fillId="5" borderId="25" xfId="1" applyFont="1" applyFill="1" applyBorder="1" applyAlignment="1">
      <alignment horizontal="center" vertical="center"/>
    </xf>
    <xf numFmtId="2" fontId="1" fillId="0" borderId="25" xfId="1" applyNumberFormat="1" applyBorder="1" applyAlignment="1">
      <alignment horizontal="center" vertical="center"/>
    </xf>
    <xf numFmtId="0" fontId="1" fillId="0" borderId="25" xfId="1" applyBorder="1" applyAlignment="1">
      <alignment horizontal="center" vertical="center"/>
    </xf>
    <xf numFmtId="0" fontId="1" fillId="6" borderId="25" xfId="1" applyFill="1" applyBorder="1" applyAlignment="1">
      <alignment horizontal="center" vertical="center"/>
    </xf>
    <xf numFmtId="2" fontId="1" fillId="6" borderId="25" xfId="1" applyNumberFormat="1" applyFill="1" applyBorder="1" applyAlignment="1">
      <alignment horizontal="center" vertical="center"/>
    </xf>
    <xf numFmtId="164" fontId="1" fillId="6" borderId="25" xfId="1" applyNumberFormat="1" applyFill="1" applyBorder="1" applyAlignment="1">
      <alignment horizontal="center" vertical="center"/>
    </xf>
    <xf numFmtId="3" fontId="1" fillId="6" borderId="25" xfId="1" applyNumberFormat="1" applyFill="1" applyBorder="1" applyAlignment="1">
      <alignment horizontal="center" vertical="center"/>
    </xf>
    <xf numFmtId="0" fontId="0" fillId="0" borderId="25" xfId="0" applyBorder="1" applyAlignment="1">
      <alignment horizontal="center" vertical="center"/>
    </xf>
    <xf numFmtId="0" fontId="1" fillId="16" borderId="25" xfId="1" applyFill="1" applyBorder="1" applyAlignment="1">
      <alignment horizontal="center" vertical="center"/>
    </xf>
    <xf numFmtId="165" fontId="1" fillId="16" borderId="25" xfId="2" applyNumberFormat="1" applyFont="1" applyFill="1" applyBorder="1" applyAlignment="1">
      <alignment horizontal="center" vertical="center"/>
    </xf>
    <xf numFmtId="165" fontId="1" fillId="16" borderId="25" xfId="1" applyNumberFormat="1" applyFill="1" applyBorder="1" applyAlignment="1">
      <alignment horizontal="center" vertical="center"/>
    </xf>
    <xf numFmtId="0" fontId="1" fillId="17" borderId="25" xfId="1" applyFill="1" applyBorder="1" applyAlignment="1">
      <alignment horizontal="center" vertical="center"/>
    </xf>
    <xf numFmtId="0" fontId="1" fillId="17" borderId="51" xfId="1" applyFill="1" applyBorder="1" applyAlignment="1">
      <alignment horizontal="center" vertical="center"/>
    </xf>
    <xf numFmtId="0" fontId="1" fillId="0" borderId="25" xfId="1" applyBorder="1" applyAlignment="1">
      <alignment horizontal="center" vertical="center" wrapText="1"/>
    </xf>
    <xf numFmtId="0" fontId="0" fillId="18" borderId="0" xfId="0" applyFill="1"/>
    <xf numFmtId="0" fontId="0" fillId="18" borderId="50" xfId="0" applyFill="1" applyBorder="1" applyAlignment="1">
      <alignment horizontal="center" vertical="center"/>
    </xf>
    <xf numFmtId="49" fontId="8" fillId="18" borderId="25" xfId="1" applyNumberFormat="1" applyFont="1" applyFill="1" applyBorder="1" applyAlignment="1">
      <alignment horizontal="center" vertical="center"/>
    </xf>
    <xf numFmtId="49" fontId="1" fillId="18" borderId="25" xfId="1" applyNumberFormat="1" applyFill="1" applyBorder="1" applyAlignment="1">
      <alignment horizontal="center" vertical="center"/>
    </xf>
    <xf numFmtId="2" fontId="1" fillId="18" borderId="25" xfId="1" applyNumberFormat="1" applyFill="1" applyBorder="1" applyAlignment="1">
      <alignment horizontal="center" vertical="center"/>
    </xf>
    <xf numFmtId="164" fontId="1" fillId="18" borderId="25" xfId="1" applyNumberFormat="1" applyFill="1" applyBorder="1" applyAlignment="1">
      <alignment horizontal="center" vertical="center"/>
    </xf>
    <xf numFmtId="3" fontId="1" fillId="18" borderId="25" xfId="1" applyNumberFormat="1" applyFill="1" applyBorder="1" applyAlignment="1">
      <alignment horizontal="center" vertical="center"/>
    </xf>
    <xf numFmtId="0" fontId="1" fillId="18" borderId="25" xfId="1" applyFill="1" applyBorder="1" applyAlignment="1">
      <alignment horizontal="center" vertical="center"/>
    </xf>
    <xf numFmtId="0" fontId="0" fillId="18" borderId="25" xfId="0" applyFill="1" applyBorder="1" applyAlignment="1">
      <alignment horizontal="center" vertical="center"/>
    </xf>
    <xf numFmtId="0" fontId="1" fillId="19" borderId="25" xfId="1" applyFill="1" applyBorder="1" applyAlignment="1">
      <alignment horizontal="center" vertical="center"/>
    </xf>
    <xf numFmtId="165" fontId="1" fillId="19" borderId="25" xfId="2" applyNumberFormat="1" applyFont="1" applyFill="1" applyBorder="1" applyAlignment="1">
      <alignment horizontal="center" vertical="center"/>
    </xf>
    <xf numFmtId="165" fontId="1" fillId="19" borderId="25" xfId="1" applyNumberFormat="1" applyFill="1" applyBorder="1" applyAlignment="1">
      <alignment horizontal="center" vertical="center"/>
    </xf>
    <xf numFmtId="49" fontId="12" fillId="0" borderId="25" xfId="1" applyNumberFormat="1" applyFont="1" applyBorder="1" applyAlignment="1">
      <alignment horizontal="center" vertical="center"/>
    </xf>
    <xf numFmtId="0" fontId="0" fillId="20" borderId="25" xfId="0" applyFill="1" applyBorder="1" applyAlignment="1">
      <alignment horizontal="center" vertical="center"/>
    </xf>
    <xf numFmtId="0" fontId="0" fillId="20" borderId="0" xfId="0" applyFill="1"/>
    <xf numFmtId="0" fontId="0" fillId="21" borderId="25" xfId="0" applyFill="1" applyBorder="1" applyAlignment="1">
      <alignment horizontal="center" vertical="center"/>
    </xf>
    <xf numFmtId="0" fontId="0" fillId="21" borderId="0" xfId="0" applyFill="1"/>
    <xf numFmtId="0" fontId="2" fillId="17" borderId="25" xfId="1" applyFont="1" applyFill="1" applyBorder="1" applyAlignment="1">
      <alignment horizontal="center" vertical="center"/>
    </xf>
    <xf numFmtId="14" fontId="2" fillId="0" borderId="25" xfId="1" applyNumberFormat="1" applyFont="1" applyBorder="1" applyAlignment="1">
      <alignment horizontal="center" vertical="center"/>
    </xf>
    <xf numFmtId="2" fontId="2" fillId="0" borderId="25" xfId="1" applyNumberFormat="1" applyFont="1" applyBorder="1" applyAlignment="1">
      <alignment horizontal="center" vertical="center"/>
    </xf>
    <xf numFmtId="0" fontId="2" fillId="0" borderId="25" xfId="1" applyFont="1" applyBorder="1" applyAlignment="1">
      <alignment horizontal="center" vertical="center"/>
    </xf>
    <xf numFmtId="0" fontId="1" fillId="8" borderId="25" xfId="1" applyFill="1" applyBorder="1" applyAlignment="1">
      <alignment horizontal="center" vertical="center"/>
    </xf>
    <xf numFmtId="165" fontId="1" fillId="8" borderId="25" xfId="2" applyNumberFormat="1" applyFont="1" applyFill="1" applyBorder="1" applyAlignment="1">
      <alignment horizontal="center" vertical="center"/>
    </xf>
    <xf numFmtId="165" fontId="1" fillId="8" borderId="25" xfId="1" applyNumberFormat="1" applyFill="1" applyBorder="1" applyAlignment="1">
      <alignment horizontal="center" vertical="center"/>
    </xf>
    <xf numFmtId="0" fontId="1" fillId="0" borderId="51" xfId="1" applyBorder="1" applyAlignment="1">
      <alignment horizontal="center" vertical="center"/>
    </xf>
    <xf numFmtId="49" fontId="1" fillId="9" borderId="25" xfId="1" applyNumberFormat="1" applyFill="1" applyBorder="1" applyAlignment="1">
      <alignment horizontal="center" vertical="center"/>
    </xf>
    <xf numFmtId="14" fontId="1" fillId="9" borderId="25" xfId="1" applyNumberFormat="1" applyFill="1" applyBorder="1" applyAlignment="1">
      <alignment horizontal="center" vertical="center"/>
    </xf>
    <xf numFmtId="14" fontId="2" fillId="9" borderId="25" xfId="1" applyNumberFormat="1" applyFont="1" applyFill="1" applyBorder="1" applyAlignment="1">
      <alignment horizontal="center" vertical="center"/>
    </xf>
    <xf numFmtId="2" fontId="2" fillId="9" borderId="25" xfId="1" applyNumberFormat="1" applyFont="1" applyFill="1" applyBorder="1" applyAlignment="1">
      <alignment horizontal="center" vertical="center"/>
    </xf>
    <xf numFmtId="0" fontId="2" fillId="9" borderId="25" xfId="1" applyFont="1" applyFill="1" applyBorder="1" applyAlignment="1">
      <alignment horizontal="center" vertical="center"/>
    </xf>
    <xf numFmtId="2" fontId="1" fillId="9" borderId="25" xfId="1" applyNumberFormat="1" applyFill="1" applyBorder="1" applyAlignment="1">
      <alignment horizontal="center" vertical="center"/>
    </xf>
    <xf numFmtId="0" fontId="1" fillId="9" borderId="25" xfId="1" applyFill="1" applyBorder="1" applyAlignment="1">
      <alignment horizontal="center" vertical="center"/>
    </xf>
    <xf numFmtId="0" fontId="0" fillId="0" borderId="52" xfId="0" applyBorder="1" applyAlignment="1">
      <alignment horizontal="center" vertical="center"/>
    </xf>
    <xf numFmtId="49" fontId="1" fillId="0" borderId="53" xfId="1" applyNumberFormat="1" applyBorder="1" applyAlignment="1">
      <alignment horizontal="center" vertical="center"/>
    </xf>
    <xf numFmtId="0" fontId="1" fillId="0" borderId="53" xfId="1" applyBorder="1" applyAlignment="1">
      <alignment horizontal="center" vertical="center"/>
    </xf>
    <xf numFmtId="14" fontId="2" fillId="5" borderId="53" xfId="1" applyNumberFormat="1" applyFont="1" applyFill="1" applyBorder="1" applyAlignment="1">
      <alignment horizontal="center" vertical="center"/>
    </xf>
    <xf numFmtId="2" fontId="2" fillId="5" borderId="53" xfId="1" applyNumberFormat="1" applyFont="1" applyFill="1" applyBorder="1" applyAlignment="1">
      <alignment horizontal="center" vertical="center"/>
    </xf>
    <xf numFmtId="0" fontId="2" fillId="5" borderId="53" xfId="1" applyFont="1" applyFill="1" applyBorder="1" applyAlignment="1">
      <alignment horizontal="center" vertical="center"/>
    </xf>
    <xf numFmtId="2" fontId="1" fillId="0" borderId="53" xfId="1" applyNumberFormat="1" applyBorder="1" applyAlignment="1">
      <alignment horizontal="center" vertical="center"/>
    </xf>
    <xf numFmtId="14" fontId="1" fillId="0" borderId="53" xfId="1" applyNumberFormat="1" applyBorder="1" applyAlignment="1">
      <alignment horizontal="center" vertical="center"/>
    </xf>
    <xf numFmtId="0" fontId="1" fillId="6" borderId="53" xfId="1" applyFill="1" applyBorder="1" applyAlignment="1">
      <alignment horizontal="center" vertical="center"/>
    </xf>
    <xf numFmtId="2" fontId="1" fillId="6" borderId="53" xfId="1" applyNumberFormat="1" applyFill="1" applyBorder="1" applyAlignment="1">
      <alignment horizontal="center" vertical="center"/>
    </xf>
    <xf numFmtId="164" fontId="1" fillId="6" borderId="53" xfId="1" applyNumberFormat="1" applyFill="1" applyBorder="1" applyAlignment="1">
      <alignment horizontal="center" vertical="center"/>
    </xf>
    <xf numFmtId="3" fontId="1" fillId="6" borderId="53" xfId="1" applyNumberFormat="1" applyFill="1" applyBorder="1" applyAlignment="1">
      <alignment horizontal="center" vertical="center"/>
    </xf>
    <xf numFmtId="0" fontId="0" fillId="21" borderId="53" xfId="0" applyFill="1" applyBorder="1" applyAlignment="1">
      <alignment horizontal="center" vertical="center"/>
    </xf>
    <xf numFmtId="0" fontId="1" fillId="16" borderId="53" xfId="1" applyFill="1" applyBorder="1" applyAlignment="1">
      <alignment horizontal="center" vertical="center"/>
    </xf>
    <xf numFmtId="165" fontId="1" fillId="16" borderId="53" xfId="2" applyNumberFormat="1" applyFont="1" applyFill="1" applyBorder="1" applyAlignment="1">
      <alignment horizontal="center" vertical="center"/>
    </xf>
    <xf numFmtId="165" fontId="1" fillId="16" borderId="53" xfId="1" applyNumberFormat="1" applyFill="1" applyBorder="1" applyAlignment="1">
      <alignment horizontal="center" vertical="center"/>
    </xf>
    <xf numFmtId="0" fontId="1" fillId="17" borderId="53" xfId="1" applyFill="1" applyBorder="1" applyAlignment="1">
      <alignment horizontal="center" vertical="center"/>
    </xf>
    <xf numFmtId="0" fontId="1" fillId="17" borderId="54" xfId="1" applyFill="1" applyBorder="1" applyAlignment="1">
      <alignment horizontal="center" vertical="center"/>
    </xf>
    <xf numFmtId="0" fontId="0" fillId="0" borderId="55" xfId="0" applyBorder="1" applyAlignment="1">
      <alignment horizontal="center" vertical="center"/>
    </xf>
    <xf numFmtId="49" fontId="1" fillId="0" borderId="56" xfId="0" applyNumberFormat="1" applyFont="1" applyBorder="1" applyAlignment="1">
      <alignment horizontal="center" vertical="center"/>
    </xf>
    <xf numFmtId="49" fontId="1" fillId="0" borderId="57" xfId="0" applyNumberFormat="1" applyFont="1" applyBorder="1" applyAlignment="1">
      <alignment horizontal="center" vertical="center"/>
    </xf>
    <xf numFmtId="0" fontId="1" fillId="0" borderId="57" xfId="0" applyFont="1" applyBorder="1" applyAlignment="1">
      <alignment horizontal="center" vertical="center"/>
    </xf>
    <xf numFmtId="14" fontId="2" fillId="5" borderId="57" xfId="0" applyNumberFormat="1" applyFont="1" applyFill="1" applyBorder="1" applyAlignment="1">
      <alignment horizontal="center" vertical="center"/>
    </xf>
    <xf numFmtId="2" fontId="2" fillId="5" borderId="0" xfId="0" applyNumberFormat="1" applyFont="1" applyFill="1" applyAlignment="1">
      <alignment horizontal="center" vertical="center"/>
    </xf>
    <xf numFmtId="0" fontId="2" fillId="5" borderId="0" xfId="0" applyFont="1" applyFill="1" applyAlignment="1">
      <alignment horizontal="center" vertical="center"/>
    </xf>
    <xf numFmtId="2" fontId="1" fillId="0" borderId="57" xfId="0" applyNumberFormat="1" applyFont="1" applyBorder="1" applyAlignment="1">
      <alignment horizontal="center" vertical="center"/>
    </xf>
    <xf numFmtId="2" fontId="1" fillId="0" borderId="0" xfId="0" applyNumberFormat="1" applyFont="1" applyAlignment="1">
      <alignment horizontal="center" vertical="center"/>
    </xf>
    <xf numFmtId="14" fontId="2" fillId="5" borderId="31" xfId="0" applyNumberFormat="1" applyFont="1" applyFill="1" applyBorder="1" applyAlignment="1">
      <alignment horizontal="center" vertical="center"/>
    </xf>
    <xf numFmtId="14" fontId="1" fillId="0" borderId="57" xfId="0" applyNumberFormat="1" applyFont="1" applyBorder="1" applyAlignment="1">
      <alignment horizontal="center" vertical="center"/>
    </xf>
    <xf numFmtId="0" fontId="1" fillId="0" borderId="0" xfId="0" applyFont="1" applyAlignment="1">
      <alignment horizontal="center" vertical="center"/>
    </xf>
    <xf numFmtId="0" fontId="1" fillId="6" borderId="0" xfId="0" applyFont="1" applyFill="1" applyAlignment="1">
      <alignment horizontal="center" vertical="center"/>
    </xf>
    <xf numFmtId="2" fontId="1"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3" fontId="1" fillId="6" borderId="0" xfId="0" applyNumberFormat="1" applyFont="1" applyFill="1" applyAlignment="1">
      <alignment horizontal="center" vertical="center"/>
    </xf>
    <xf numFmtId="4" fontId="1" fillId="6" borderId="32" xfId="0" applyNumberFormat="1" applyFont="1" applyFill="1" applyBorder="1" applyAlignment="1">
      <alignment horizontal="center" vertical="center"/>
    </xf>
    <xf numFmtId="0" fontId="1" fillId="6" borderId="32" xfId="0" applyFont="1" applyFill="1" applyBorder="1" applyAlignment="1">
      <alignment horizontal="center" vertical="center"/>
    </xf>
    <xf numFmtId="0" fontId="1" fillId="16" borderId="0" xfId="0" applyFont="1" applyFill="1" applyAlignment="1">
      <alignment horizontal="center" vertical="center"/>
    </xf>
    <xf numFmtId="165" fontId="1" fillId="22" borderId="24" xfId="0" applyNumberFormat="1" applyFont="1" applyFill="1" applyBorder="1" applyAlignment="1">
      <alignment horizontal="center" vertical="center"/>
    </xf>
    <xf numFmtId="0" fontId="1" fillId="17" borderId="0" xfId="0" applyFont="1" applyFill="1" applyAlignment="1">
      <alignment horizontal="center" vertical="center"/>
    </xf>
    <xf numFmtId="0" fontId="3" fillId="2" borderId="6" xfId="1" applyFont="1" applyFill="1" applyBorder="1" applyAlignment="1">
      <alignment horizontal="center" vertical="center"/>
    </xf>
    <xf numFmtId="0" fontId="2" fillId="6" borderId="0" xfId="1" applyFont="1" applyFill="1" applyAlignment="1">
      <alignment horizontal="center" vertical="center"/>
    </xf>
    <xf numFmtId="0" fontId="1" fillId="6" borderId="0" xfId="1" applyFill="1" applyAlignment="1">
      <alignment horizontal="center" vertical="center"/>
    </xf>
    <xf numFmtId="165" fontId="0" fillId="16" borderId="0" xfId="0" applyNumberFormat="1" applyFill="1" applyAlignment="1">
      <alignment horizontal="center" vertical="center"/>
    </xf>
    <xf numFmtId="0" fontId="2" fillId="23" borderId="26" xfId="1" applyFont="1" applyFill="1" applyBorder="1" applyAlignment="1">
      <alignment horizontal="center" vertical="center"/>
    </xf>
    <xf numFmtId="0" fontId="2" fillId="23" borderId="27" xfId="1" applyFont="1" applyFill="1" applyBorder="1" applyAlignment="1">
      <alignment horizontal="center" vertical="center"/>
    </xf>
    <xf numFmtId="3" fontId="2" fillId="23" borderId="27" xfId="1" applyNumberFormat="1" applyFont="1" applyFill="1" applyBorder="1" applyAlignment="1">
      <alignment horizontal="center" vertical="center"/>
    </xf>
    <xf numFmtId="0" fontId="2" fillId="23" borderId="10" xfId="1" applyFont="1" applyFill="1" applyBorder="1" applyAlignment="1">
      <alignment horizontal="center"/>
    </xf>
    <xf numFmtId="0" fontId="2" fillId="23" borderId="7" xfId="1" applyFont="1" applyFill="1" applyBorder="1"/>
    <xf numFmtId="0" fontId="2" fillId="23" borderId="8" xfId="1" applyFont="1" applyFill="1" applyBorder="1"/>
    <xf numFmtId="0" fontId="2" fillId="23" borderId="34" xfId="1" applyFont="1" applyFill="1" applyBorder="1"/>
    <xf numFmtId="0" fontId="2" fillId="23" borderId="9" xfId="1" applyFont="1" applyFill="1" applyBorder="1"/>
    <xf numFmtId="0" fontId="2" fillId="23" borderId="10" xfId="1" applyFont="1" applyFill="1" applyBorder="1"/>
    <xf numFmtId="0" fontId="2" fillId="23" borderId="12" xfId="1" applyFont="1" applyFill="1" applyBorder="1"/>
    <xf numFmtId="0" fontId="2" fillId="23" borderId="13" xfId="1" applyFont="1" applyFill="1" applyBorder="1"/>
    <xf numFmtId="0" fontId="2" fillId="23" borderId="14" xfId="1" applyFont="1" applyFill="1" applyBorder="1"/>
    <xf numFmtId="2" fontId="2" fillId="23" borderId="42" xfId="1" applyNumberFormat="1" applyFont="1" applyFill="1" applyBorder="1"/>
    <xf numFmtId="0" fontId="2" fillId="23" borderId="0" xfId="1" applyFont="1" applyFill="1"/>
    <xf numFmtId="0" fontId="2" fillId="23" borderId="0" xfId="1" applyFont="1" applyFill="1" applyAlignment="1">
      <alignment horizontal="center"/>
    </xf>
    <xf numFmtId="3" fontId="1" fillId="0" borderId="25" xfId="1" applyNumberFormat="1" applyBorder="1"/>
    <xf numFmtId="0" fontId="1" fillId="0" borderId="25" xfId="1" applyBorder="1" applyAlignment="1">
      <alignment wrapText="1"/>
    </xf>
    <xf numFmtId="164" fontId="1" fillId="0" borderId="25" xfId="1" applyNumberFormat="1" applyBorder="1" applyAlignment="1">
      <alignment horizontal="center" vertical="center"/>
    </xf>
    <xf numFmtId="3" fontId="1" fillId="0" borderId="25" xfId="1" applyNumberFormat="1" applyBorder="1" applyAlignment="1">
      <alignment horizontal="center" vertical="center"/>
    </xf>
    <xf numFmtId="14" fontId="1" fillId="0" borderId="25" xfId="1" applyNumberFormat="1" applyBorder="1" applyAlignment="1">
      <alignment horizontal="right" vertical="top"/>
    </xf>
    <xf numFmtId="14" fontId="2" fillId="0" borderId="25" xfId="1" applyNumberFormat="1" applyFont="1" applyBorder="1"/>
    <xf numFmtId="2" fontId="2" fillId="0" borderId="25" xfId="1" applyNumberFormat="1" applyFont="1" applyBorder="1"/>
    <xf numFmtId="0" fontId="2" fillId="0" borderId="25" xfId="1" applyFont="1" applyBorder="1"/>
    <xf numFmtId="3" fontId="2" fillId="0" borderId="25" xfId="0" applyNumberFormat="1" applyFont="1" applyBorder="1" applyAlignment="1">
      <alignment horizontal="center"/>
    </xf>
    <xf numFmtId="2" fontId="1" fillId="0" borderId="41" xfId="1" applyNumberFormat="1" applyBorder="1"/>
    <xf numFmtId="2" fontId="1" fillId="0" borderId="57" xfId="1" applyNumberFormat="1" applyBorder="1"/>
    <xf numFmtId="2" fontId="1" fillId="0" borderId="58" xfId="1" applyNumberFormat="1" applyBorder="1"/>
    <xf numFmtId="2" fontId="1" fillId="0" borderId="14" xfId="0" applyNumberFormat="1" applyFont="1" applyBorder="1"/>
    <xf numFmtId="2" fontId="1" fillId="0" borderId="12" xfId="0" applyNumberFormat="1" applyFont="1" applyBorder="1"/>
    <xf numFmtId="2" fontId="1" fillId="0" borderId="0" xfId="0" applyNumberFormat="1" applyFont="1"/>
    <xf numFmtId="14" fontId="1" fillId="0" borderId="0" xfId="0" applyNumberFormat="1" applyFont="1"/>
    <xf numFmtId="14" fontId="1" fillId="0" borderId="0" xfId="0" applyNumberFormat="1" applyFont="1" applyAlignment="1">
      <alignment horizontal="center"/>
    </xf>
    <xf numFmtId="0" fontId="2" fillId="23" borderId="59" xfId="1" applyFont="1" applyFill="1" applyBorder="1" applyAlignment="1">
      <alignment horizontal="center" vertical="center"/>
    </xf>
    <xf numFmtId="49" fontId="1" fillId="0" borderId="18" xfId="1" applyNumberFormat="1" applyBorder="1"/>
    <xf numFmtId="0" fontId="2" fillId="23" borderId="25" xfId="1" applyFont="1" applyFill="1" applyBorder="1"/>
    <xf numFmtId="0" fontId="2" fillId="23" borderId="25" xfId="1" applyFont="1" applyFill="1" applyBorder="1" applyAlignment="1">
      <alignment wrapText="1"/>
    </xf>
    <xf numFmtId="49" fontId="1" fillId="0" borderId="25" xfId="1" applyNumberFormat="1" applyBorder="1" applyAlignment="1">
      <alignment wrapText="1"/>
    </xf>
    <xf numFmtId="49" fontId="0" fillId="0" borderId="16" xfId="0" applyNumberFormat="1" applyBorder="1" applyAlignment="1">
      <alignment wrapText="1"/>
    </xf>
    <xf numFmtId="0" fontId="1" fillId="0" borderId="0" xfId="0" applyFont="1" applyAlignment="1">
      <alignment vertical="top" wrapText="1"/>
    </xf>
    <xf numFmtId="0" fontId="2" fillId="23" borderId="25" xfId="1" applyFont="1" applyFill="1" applyBorder="1" applyAlignment="1">
      <alignment horizontal="center" wrapText="1"/>
    </xf>
    <xf numFmtId="3" fontId="2" fillId="23" borderId="25" xfId="1" applyNumberFormat="1" applyFont="1" applyFill="1" applyBorder="1" applyAlignment="1">
      <alignment horizontal="center" vertical="center" wrapText="1"/>
    </xf>
    <xf numFmtId="2" fontId="1" fillId="0" borderId="25" xfId="1" applyNumberFormat="1" applyBorder="1" applyAlignment="1">
      <alignment wrapText="1"/>
    </xf>
    <xf numFmtId="0" fontId="16" fillId="0" borderId="0" xfId="0" applyFont="1" applyAlignment="1">
      <alignment wrapText="1"/>
    </xf>
    <xf numFmtId="0" fontId="16" fillId="0" borderId="41" xfId="0" applyFont="1" applyBorder="1" applyAlignment="1">
      <alignment wrapText="1"/>
    </xf>
    <xf numFmtId="2" fontId="1" fillId="0" borderId="41" xfId="1" applyNumberFormat="1" applyBorder="1" applyAlignment="1">
      <alignment wrapText="1"/>
    </xf>
    <xf numFmtId="49" fontId="0" fillId="0" borderId="19" xfId="0" applyNumberFormat="1" applyBorder="1" applyAlignment="1">
      <alignment wrapText="1"/>
    </xf>
    <xf numFmtId="0" fontId="16" fillId="0" borderId="25" xfId="0" applyFont="1" applyBorder="1" applyAlignment="1">
      <alignment wrapText="1"/>
    </xf>
    <xf numFmtId="0" fontId="0" fillId="0" borderId="0" xfId="0" applyAlignment="1">
      <alignment wrapText="1"/>
    </xf>
    <xf numFmtId="0" fontId="0" fillId="0" borderId="25" xfId="0" applyBorder="1" applyAlignment="1">
      <alignment wrapText="1"/>
    </xf>
    <xf numFmtId="0" fontId="16" fillId="0" borderId="58" xfId="0" applyFont="1" applyBorder="1" applyAlignment="1">
      <alignment wrapText="1"/>
    </xf>
    <xf numFmtId="2" fontId="1" fillId="0" borderId="58" xfId="1" applyNumberFormat="1" applyBorder="1" applyAlignment="1">
      <alignment wrapText="1"/>
    </xf>
    <xf numFmtId="49" fontId="17" fillId="0" borderId="25" xfId="0" applyNumberFormat="1" applyFont="1" applyBorder="1" applyAlignment="1">
      <alignment wrapText="1"/>
    </xf>
    <xf numFmtId="14" fontId="2" fillId="0" borderId="25" xfId="1" applyNumberFormat="1" applyFont="1" applyBorder="1" applyAlignment="1">
      <alignment wrapText="1"/>
    </xf>
    <xf numFmtId="14" fontId="1" fillId="0" borderId="25" xfId="1" applyNumberFormat="1" applyBorder="1" applyAlignment="1">
      <alignment horizontal="center" wrapText="1"/>
    </xf>
    <xf numFmtId="3" fontId="1" fillId="0" borderId="25" xfId="1" applyNumberFormat="1" applyBorder="1" applyAlignment="1">
      <alignment horizontal="center" vertical="center" wrapText="1"/>
    </xf>
    <xf numFmtId="2" fontId="18" fillId="0" borderId="25" xfId="1" applyNumberFormat="1" applyFont="1" applyBorder="1" applyAlignment="1">
      <alignment wrapText="1"/>
    </xf>
    <xf numFmtId="49" fontId="8" fillId="0" borderId="25" xfId="1" applyNumberFormat="1" applyFont="1" applyBorder="1" applyAlignment="1">
      <alignment wrapText="1"/>
    </xf>
    <xf numFmtId="49" fontId="12" fillId="0" borderId="25" xfId="1" applyNumberFormat="1" applyFont="1" applyBorder="1" applyAlignment="1">
      <alignment wrapText="1"/>
    </xf>
    <xf numFmtId="0" fontId="16" fillId="0" borderId="57" xfId="0" applyFont="1" applyBorder="1" applyAlignment="1">
      <alignment wrapText="1"/>
    </xf>
    <xf numFmtId="2" fontId="1" fillId="0" borderId="57" xfId="1" applyNumberFormat="1" applyBorder="1" applyAlignment="1">
      <alignment wrapText="1"/>
    </xf>
    <xf numFmtId="0" fontId="0" fillId="0" borderId="41" xfId="0" applyBorder="1" applyAlignment="1">
      <alignment wrapText="1"/>
    </xf>
    <xf numFmtId="0" fontId="0" fillId="0" borderId="58" xfId="0" applyBorder="1" applyAlignment="1">
      <alignment wrapText="1"/>
    </xf>
    <xf numFmtId="49" fontId="0" fillId="0" borderId="25" xfId="0" applyNumberFormat="1" applyBorder="1" applyAlignment="1">
      <alignment wrapText="1"/>
    </xf>
    <xf numFmtId="0" fontId="1" fillId="0" borderId="25" xfId="0" applyFont="1" applyBorder="1" applyAlignment="1">
      <alignment horizontal="center" vertical="center"/>
    </xf>
    <xf numFmtId="165" fontId="0" fillId="0" borderId="0" xfId="0" applyNumberFormat="1" applyAlignment="1">
      <alignment horizontal="center" vertical="center"/>
    </xf>
    <xf numFmtId="0" fontId="20" fillId="0" borderId="40" xfId="0" applyFont="1" applyBorder="1"/>
    <xf numFmtId="0" fontId="20" fillId="0" borderId="60" xfId="0" applyFont="1" applyBorder="1"/>
    <xf numFmtId="0" fontId="21" fillId="0" borderId="0" xfId="0" applyFont="1"/>
    <xf numFmtId="165" fontId="0" fillId="16" borderId="0" xfId="0" applyNumberFormat="1" applyFont="1" applyFill="1" applyAlignment="1">
      <alignment horizontal="center" vertical="center"/>
    </xf>
    <xf numFmtId="0" fontId="6" fillId="11" borderId="26" xfId="0" applyFont="1" applyFill="1" applyBorder="1" applyAlignment="1">
      <alignment horizontal="center" vertical="center"/>
    </xf>
    <xf numFmtId="0" fontId="6" fillId="11" borderId="27" xfId="0" applyFont="1" applyFill="1" applyBorder="1" applyAlignment="1">
      <alignment horizontal="center" vertical="center"/>
    </xf>
    <xf numFmtId="0" fontId="6" fillId="11" borderId="28" xfId="0" applyFont="1" applyFill="1" applyBorder="1" applyAlignment="1">
      <alignment horizontal="center" vertical="center"/>
    </xf>
    <xf numFmtId="0" fontId="6" fillId="12" borderId="26" xfId="0" applyFont="1" applyFill="1" applyBorder="1" applyAlignment="1">
      <alignment horizontal="center" vertical="center"/>
    </xf>
    <xf numFmtId="0" fontId="6" fillId="12" borderId="27" xfId="0" applyFont="1" applyFill="1" applyBorder="1" applyAlignment="1">
      <alignment horizontal="center" vertical="center"/>
    </xf>
    <xf numFmtId="0" fontId="6" fillId="12" borderId="28" xfId="0" applyFont="1" applyFill="1" applyBorder="1" applyAlignment="1">
      <alignment horizontal="center" vertical="center"/>
    </xf>
    <xf numFmtId="0" fontId="0" fillId="0" borderId="0" xfId="0" applyAlignment="1">
      <alignment horizontal="center" vertical="center"/>
    </xf>
    <xf numFmtId="0" fontId="6" fillId="11" borderId="29"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30" xfId="0" applyFont="1" applyFill="1" applyBorder="1" applyAlignment="1">
      <alignment horizontal="center" vertical="center"/>
    </xf>
    <xf numFmtId="0" fontId="6" fillId="12" borderId="29" xfId="0" applyFont="1" applyFill="1" applyBorder="1" applyAlignment="1">
      <alignment horizontal="center" vertical="center"/>
    </xf>
    <xf numFmtId="0" fontId="6" fillId="12" borderId="3" xfId="0" applyFont="1" applyFill="1" applyBorder="1" applyAlignment="1">
      <alignment horizontal="center" vertical="center"/>
    </xf>
    <xf numFmtId="0" fontId="6" fillId="12" borderId="30" xfId="0" applyFont="1" applyFill="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2" fillId="0" borderId="4" xfId="1" applyFont="1" applyBorder="1" applyAlignment="1">
      <alignment horizontal="center"/>
    </xf>
    <xf numFmtId="0" fontId="2" fillId="0" borderId="5" xfId="1" applyFont="1" applyBorder="1" applyAlignment="1">
      <alignment horizontal="center"/>
    </xf>
    <xf numFmtId="0" fontId="2" fillId="0" borderId="0" xfId="1" applyFont="1" applyAlignment="1">
      <alignment horizontal="center"/>
    </xf>
    <xf numFmtId="2" fontId="2" fillId="0" borderId="5" xfId="1" applyNumberFormat="1" applyFont="1" applyBorder="1" applyAlignment="1">
      <alignment horizontal="center"/>
    </xf>
    <xf numFmtId="0" fontId="2" fillId="0" borderId="26" xfId="1" applyFont="1" applyBorder="1" applyAlignment="1">
      <alignment horizontal="center" vertical="center"/>
    </xf>
    <xf numFmtId="0" fontId="2" fillId="0" borderId="27" xfId="1" applyFont="1" applyBorder="1" applyAlignment="1">
      <alignment horizontal="center" vertical="center"/>
    </xf>
    <xf numFmtId="0" fontId="2" fillId="0" borderId="28" xfId="1" applyFont="1" applyBorder="1" applyAlignment="1">
      <alignment horizontal="center" vertical="center"/>
    </xf>
    <xf numFmtId="0" fontId="19" fillId="0" borderId="0" xfId="1" applyFont="1" applyAlignment="1">
      <alignment horizontal="center"/>
    </xf>
    <xf numFmtId="0" fontId="0" fillId="0" borderId="0" xfId="0" applyAlignment="1">
      <alignment horizontal="center"/>
    </xf>
  </cellXfs>
  <cellStyles count="3">
    <cellStyle name="Millares" xfId="2" builtinId="3"/>
    <cellStyle name="Normal" xfId="0" builtinId="0"/>
    <cellStyle name="Normal 2" xfId="1" xr:uid="{DC5303A8-3BE6-4D91-B329-896538E97E5F}"/>
  </cellStyles>
  <dxfs count="5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dxf>
    <dxf>
      <numFmt numFmtId="0" formatCode="General"/>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dxf>
    <dxf>
      <font>
        <b val="0"/>
        <i val="0"/>
        <strike val="0"/>
        <condense val="0"/>
        <extend val="0"/>
        <outline val="0"/>
        <shadow val="0"/>
        <u val="none"/>
        <vertAlign val="baseline"/>
        <sz val="10"/>
        <color auto="1"/>
        <name val="Arial"/>
        <family val="2"/>
        <scheme val="none"/>
      </font>
      <numFmt numFmtId="3" formatCode="#,##0"/>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numFmt numFmtId="0" formatCode="General"/>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indexed="8"/>
        </left>
        <right style="thin">
          <color indexed="8"/>
        </right>
        <top style="thin">
          <color indexed="8"/>
        </top>
        <bottom/>
      </border>
    </dxf>
    <dxf>
      <numFmt numFmtId="0" formatCode="General"/>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border diagonalUp="0" diagonalDown="0" outline="0">
        <left style="thin">
          <color indexed="8"/>
        </left>
        <right style="thin">
          <color indexed="8"/>
        </right>
        <top style="thin">
          <color indexed="8"/>
        </top>
        <bottom/>
      </border>
    </dxf>
    <dxf>
      <numFmt numFmtId="0" formatCode="General"/>
      <alignment horizontal="general" vertical="top" textRotation="0" wrapText="0"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border diagonalUp="0" diagonalDown="0" outline="0">
        <left style="thin">
          <color indexed="8"/>
        </left>
        <right style="thin">
          <color indexed="8"/>
        </right>
        <top style="thin">
          <color indexed="8"/>
        </top>
        <bottom/>
      </border>
    </dxf>
    <dxf>
      <alignment horizontal="general" vertical="top" textRotation="0" wrapText="0"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19" formatCode="dd/mm/yyyy"/>
      <alignment horizontal="center" vertical="bottom" textRotation="0" wrapText="0" indent="0" justifyLastLine="0" shrinkToFit="0" readingOrder="0"/>
    </dxf>
    <dxf>
      <numFmt numFmtId="19" formatCode="dd/mm/yyyy"/>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19" formatCode="dd/mm/yyyy"/>
    </dxf>
    <dxf>
      <numFmt numFmtId="19" formatCode="dd/mm/yyyy"/>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rgb="FFFFC7CE"/>
          <bgColor indexed="65"/>
        </patternFill>
      </fill>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numFmt numFmtId="0" formatCode="General"/>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numFmt numFmtId="0" formatCode="General"/>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numFmt numFmtId="3"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dxf>
    <dxf>
      <font>
        <b val="0"/>
        <i val="0"/>
        <strike val="0"/>
        <condense val="0"/>
        <extend val="0"/>
        <outline val="0"/>
        <shadow val="0"/>
        <u val="none"/>
        <vertAlign val="baseline"/>
        <sz val="10"/>
        <color auto="1"/>
        <name val="Arial"/>
        <family val="2"/>
        <scheme val="none"/>
      </font>
      <numFmt numFmtId="3" formatCode="#,##0"/>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numFmt numFmtId="0" formatCode="General"/>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indexed="8"/>
        </left>
        <right style="thin">
          <color indexed="8"/>
        </right>
        <top style="thin">
          <color indexed="8"/>
        </top>
        <bottom/>
      </border>
    </dxf>
    <dxf>
      <numFmt numFmtId="0" formatCode="General"/>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border diagonalUp="0" diagonalDown="0" outline="0">
        <left style="thin">
          <color indexed="8"/>
        </left>
        <right style="thin">
          <color indexed="8"/>
        </right>
        <top style="thin">
          <color indexed="8"/>
        </top>
        <bottom/>
      </border>
    </dxf>
    <dxf>
      <numFmt numFmtId="0" formatCode="General"/>
      <alignment horizontal="general" vertical="top" textRotation="0" wrapText="0"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border diagonalUp="0" diagonalDown="0" outline="0">
        <left style="thin">
          <color indexed="8"/>
        </left>
        <right style="thin">
          <color indexed="8"/>
        </right>
        <top style="thin">
          <color indexed="8"/>
        </top>
        <bottom/>
      </border>
    </dxf>
    <dxf>
      <alignment horizontal="general" vertical="top" textRotation="0" wrapText="0"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19" formatCode="dd/mm/yyyy"/>
      <alignment horizontal="center" vertical="bottom" textRotation="0" wrapText="0" indent="0" justifyLastLine="0" shrinkToFit="0" readingOrder="0"/>
    </dxf>
    <dxf>
      <numFmt numFmtId="19" formatCode="dd/mm/yyyy"/>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19" formatCode="dd/mm/yyyy"/>
    </dxf>
    <dxf>
      <numFmt numFmtId="19" formatCode="dd/mm/yyyy"/>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rgb="FFFFC7CE"/>
          <bgColor indexed="65"/>
        </patternFill>
      </fill>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numFmt numFmtId="0" formatCode="General"/>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numFmt numFmtId="0" formatCode="General"/>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numFmt numFmtId="3" formatCode="#,##0"/>
      <border diagonalUp="0" diagonalDown="0" outline="0">
        <left style="thin">
          <color indexed="64"/>
        </left>
        <right style="thin">
          <color indexed="64"/>
        </right>
        <top style="thin">
          <color indexed="64"/>
        </top>
        <bottom style="thin">
          <color indexed="64"/>
        </bottom>
      </border>
    </dxf>
    <dxf>
      <numFmt numFmtId="3" formatCode="#,##0"/>
    </dxf>
    <dxf>
      <font>
        <b val="0"/>
        <i val="0"/>
        <strike val="0"/>
        <condense val="0"/>
        <extend val="0"/>
        <outline val="0"/>
        <shadow val="0"/>
        <u val="none"/>
        <vertAlign val="baseline"/>
        <sz val="10"/>
        <color auto="1"/>
        <name val="Arial"/>
        <family val="2"/>
        <scheme val="none"/>
      </font>
      <numFmt numFmtId="3" formatCode="#,##0"/>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numFmt numFmtId="0" formatCode="General"/>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indexed="8"/>
        </left>
        <right style="thin">
          <color indexed="8"/>
        </right>
        <top style="thin">
          <color indexed="8"/>
        </top>
        <bottom/>
      </border>
    </dxf>
    <dxf>
      <numFmt numFmtId="0" formatCode="General"/>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font>
        <b val="0"/>
        <i val="0"/>
        <strike val="0"/>
        <condense val="0"/>
        <extend val="0"/>
        <outline val="0"/>
        <shadow val="0"/>
        <u val="none"/>
        <vertAlign val="baseline"/>
        <sz val="10"/>
        <color auto="1"/>
        <name val="Arial"/>
        <family val="2"/>
        <scheme val="none"/>
      </font>
      <border diagonalUp="0" diagonalDown="0" outline="0">
        <left style="thin">
          <color indexed="8"/>
        </left>
        <right style="thin">
          <color indexed="8"/>
        </right>
        <top style="thin">
          <color indexed="8"/>
        </top>
        <bottom/>
      </border>
    </dxf>
    <dxf>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border diagonalUp="0" diagonalDown="0" outline="0">
        <left style="thin">
          <color indexed="8"/>
        </left>
        <right style="thin">
          <color indexed="8"/>
        </right>
        <top style="thin">
          <color indexed="8"/>
        </top>
        <bottom/>
      </border>
    </dxf>
    <dxf>
      <numFmt numFmtId="0" formatCode="General"/>
      <alignment horizontal="general" vertical="top" textRotation="0" wrapText="0"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border diagonalUp="0" diagonalDown="0" outline="0">
        <left style="thin">
          <color indexed="8"/>
        </left>
        <right style="thin">
          <color indexed="8"/>
        </right>
        <top style="thin">
          <color indexed="8"/>
        </top>
        <bottom/>
      </border>
    </dxf>
    <dxf>
      <alignment horizontal="general" vertical="top" textRotation="0" wrapText="0"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19" formatCode="dd/mm/yyyy"/>
      <border diagonalUp="0" diagonalDown="0" outline="0">
        <left style="thin">
          <color indexed="8"/>
        </left>
        <right style="thin">
          <color indexed="8"/>
        </right>
        <top style="thin">
          <color indexed="8"/>
        </top>
        <bottom/>
      </border>
    </dxf>
    <dxf>
      <numFmt numFmtId="19" formatCode="dd/mm/yyyy"/>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19" formatCode="dd/mm/yyyy"/>
      <border diagonalUp="0" diagonalDown="0" outline="0">
        <left style="thin">
          <color indexed="8"/>
        </left>
        <right style="thin">
          <color indexed="8"/>
        </right>
        <top style="thin">
          <color indexed="8"/>
        </top>
        <bottom/>
      </border>
    </dxf>
    <dxf>
      <numFmt numFmtId="19" formatCode="dd/mm/yyyy"/>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numFmt numFmtId="2" formatCode="0.00"/>
      <border diagonalUp="0" diagonalDown="0" outline="0">
        <left style="thin">
          <color indexed="8"/>
        </left>
        <right style="thin">
          <color indexed="8"/>
        </right>
        <top style="thin">
          <color indexed="8"/>
        </top>
        <bottom/>
      </border>
    </dxf>
    <dxf>
      <numFmt numFmtId="2" formatCode="0.0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right" vertical="top" textRotation="0" wrapText="0" indent="0" justifyLastLine="0" shrinkToFit="0" readingOrder="0"/>
    </dxf>
    <dxf>
      <numFmt numFmtId="19" formatCode="dd/mm/yyyy"/>
      <alignment horizontal="righ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rgb="FFFFC7CE"/>
          <bgColor indexed="65"/>
        </patternFill>
      </fill>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numFmt numFmtId="0" formatCode="General"/>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numFmt numFmtId="0" formatCode="General"/>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5" formatCode="_-* #,##0_-;\-* #,##0_-;_-* &quot;-&quot;??_-;_-@_-"/>
      <fill>
        <patternFill patternType="solid">
          <fgColor rgb="FF000000"/>
          <bgColor rgb="FF00B050"/>
        </patternFill>
      </fill>
      <alignment horizontal="center" vertical="center" textRotation="0" wrapText="0" indent="0" justifyLastLine="0" shrinkToFit="0" readingOrder="0"/>
      <border diagonalUp="0" diagonalDown="0" outline="0">
        <left style="medium">
          <color indexed="64"/>
        </left>
        <right style="medium">
          <color indexed="64"/>
        </right>
        <top/>
        <bottom style="medium">
          <color indexed="64"/>
        </bottom>
      </border>
    </dxf>
    <dxf>
      <numFmt numFmtId="165" formatCode="_-* #,##0_-;\-* #,##0_-;_-* &quot;-&quot;??_-;_-@_-"/>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5" formatCode="_-* #,##0_-;\-* #,##0_-;_-* &quot;-&quot;??_-;_-@_-"/>
      <fill>
        <patternFill patternType="solid">
          <fgColor rgb="FF000000"/>
          <bgColor theme="9" tint="0.79998168889431442"/>
        </patternFill>
      </fill>
      <alignment horizontal="center" vertical="center" textRotation="0" wrapText="0" indent="0" justifyLastLine="0" shrinkToFit="0" readingOrder="0"/>
    </dxf>
    <dxf>
      <numFmt numFmtId="165" formatCode="_-* #,##0_-;\-* #,##0_-;_-* &quot;-&quot;??_-;_-@_-"/>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theme="9" tint="0.79998168889431442"/>
        </patternFill>
      </fill>
      <alignment horizontal="center" vertical="center" textRotation="0" wrapText="0" indent="0" justifyLastLine="0" shrinkToFit="0" readingOrder="0"/>
    </dxf>
    <dxf>
      <numFmt numFmtId="0" formatCode="General"/>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theme="9" tint="0.79998168889431442"/>
        </patternFill>
      </fill>
      <alignment horizontal="center" vertical="center" textRotation="0" wrapText="0" indent="0" justifyLastLine="0" shrinkToFit="0" readingOrder="0"/>
    </dxf>
    <dxf>
      <numFmt numFmtId="0" formatCode="General"/>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theme="9" tint="0.79998168889431442"/>
        </patternFill>
      </fill>
      <alignment horizontal="center" vertical="center" textRotation="0" wrapText="0" indent="0" justifyLastLine="0" shrinkToFit="0" readingOrder="0"/>
    </dxf>
    <dxf>
      <numFmt numFmtId="0" formatCode="General"/>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right style="medium">
          <color indexed="64"/>
        </right>
        <top/>
        <bottom/>
      </border>
    </dxf>
    <dxf>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4" formatCode="#,##0.00"/>
      <fill>
        <patternFill patternType="solid">
          <fgColor indexed="64"/>
          <bgColor theme="6" tint="0.79998168889431442"/>
        </patternFill>
      </fill>
      <alignment horizontal="center" vertical="center" textRotation="0" wrapText="0" indent="0" justifyLastLine="0" shrinkToFit="0" readingOrder="0"/>
      <border diagonalUp="0" diagonalDown="0" outline="0">
        <left/>
        <right style="medium">
          <color indexed="64"/>
        </right>
        <top/>
        <bottom/>
      </border>
    </dxf>
    <dxf>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6" tint="0.79998168889431442"/>
        </patternFill>
      </fill>
      <alignment horizontal="center" vertical="center" textRotation="0" wrapText="0" indent="0" justifyLastLine="0" shrinkToFit="0" readingOrder="0"/>
    </dxf>
    <dxf>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0.0"/>
      <fill>
        <patternFill patternType="solid">
          <fgColor indexed="64"/>
          <bgColor theme="6" tint="0.79998168889431442"/>
        </patternFill>
      </fill>
      <alignment horizontal="center" vertical="center" textRotation="0" wrapText="0" indent="0" justifyLastLine="0" shrinkToFit="0" readingOrder="0"/>
    </dxf>
    <dxf>
      <numFmt numFmtId="164"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6" tint="0.79998168889431442"/>
        </patternFill>
      </fill>
      <alignment horizontal="center" vertical="center" textRotation="0" wrapText="0" indent="0" justifyLastLine="0" shrinkToFit="0" readingOrder="0"/>
    </dxf>
    <dxf>
      <numFmt numFmtId="2" formatCode="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6" tint="0.79998168889431442"/>
        </patternFill>
      </fill>
      <alignment horizontal="center" vertical="center" textRotation="0" wrapText="0" indent="0" justifyLastLine="0" shrinkToFit="0" readingOrder="0"/>
    </dxf>
    <dxf>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wrapText="0" indent="0" justifyLastLine="0" shrinkToFit="0" readingOrder="0"/>
      <border diagonalUp="0" diagonalDown="0" outline="0">
        <left style="medium">
          <color indexed="64"/>
        </left>
        <right/>
        <top/>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numFmt numFmtId="2" formatCode="0.00"/>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30" formatCode="@"/>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rgb="FF000000"/>
        </left>
        <right style="thin">
          <color rgb="FF000000"/>
        </right>
        <top/>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fill>
        <patternFill patternType="solid">
          <fgColor rgb="FF000000"/>
          <bgColor rgb="FFC1F0C8"/>
        </patternFill>
      </fill>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numFmt numFmtId="0" formatCode="General"/>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numFmt numFmtId="0" formatCode="General"/>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rgb="FFC1F0C8"/>
        </patternFill>
      </fill>
      <alignment horizontal="center" vertical="center" textRotation="0" wrapText="0" indent="0" justifyLastLine="0" shrinkToFit="0" readingOrder="0"/>
    </dxf>
    <dxf>
      <fill>
        <patternFill patternType="solid">
          <fgColor rgb="FF000000"/>
          <bgColor rgb="FFC1F0C8"/>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5" formatCode="_-* #,##0_-;\-* #,##0_-;_-* &quot;-&quot;??_-;_-@_-"/>
      <fill>
        <patternFill patternType="solid">
          <fgColor rgb="FF000000"/>
          <bgColor rgb="FF00B050"/>
        </patternFill>
      </fill>
      <alignment horizontal="center" vertical="center" textRotation="0" wrapText="0" indent="0" justifyLastLine="0" shrinkToFit="0" readingOrder="0"/>
      <border diagonalUp="0" diagonalDown="0" outline="0">
        <left style="medium">
          <color indexed="64"/>
        </left>
        <right style="medium">
          <color indexed="64"/>
        </right>
        <top/>
        <bottom style="medium">
          <color indexed="64"/>
        </bottom>
      </border>
    </dxf>
    <dxf>
      <numFmt numFmtId="165" formatCode="_-* #,##0_-;\-* #,##0_-;_-* &quot;-&quot;??_-;_-@_-"/>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5" formatCode="_-* #,##0_-;\-* #,##0_-;_-* &quot;-&quot;??_-;_-@_-"/>
      <fill>
        <patternFill patternType="solid">
          <fgColor rgb="FF000000"/>
          <bgColor theme="9" tint="0.79998168889431442"/>
        </patternFill>
      </fill>
      <alignment horizontal="center" vertical="center" textRotation="0" wrapText="0" indent="0" justifyLastLine="0" shrinkToFit="0" readingOrder="0"/>
    </dxf>
    <dxf>
      <numFmt numFmtId="165" formatCode="_-* #,##0_-;\-* #,##0_-;_-* &quot;-&quot;??_-;_-@_-"/>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theme="9" tint="0.79998168889431442"/>
        </patternFill>
      </fill>
      <alignment horizontal="center" vertical="center" textRotation="0" wrapText="0" indent="0" justifyLastLine="0" shrinkToFit="0" readingOrder="0"/>
    </dxf>
    <dxf>
      <numFmt numFmtId="0" formatCode="General"/>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theme="9" tint="0.79998168889431442"/>
        </patternFill>
      </fill>
      <alignment horizontal="center" vertical="center" textRotation="0" wrapText="0" indent="0" justifyLastLine="0" shrinkToFit="0" readingOrder="0"/>
    </dxf>
    <dxf>
      <numFmt numFmtId="0" formatCode="General"/>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000000"/>
          <bgColor theme="9" tint="0.79998168889431442"/>
        </patternFill>
      </fill>
      <alignment horizontal="center" vertical="center" textRotation="0" wrapText="0" indent="0" justifyLastLine="0" shrinkToFit="0" readingOrder="0"/>
    </dxf>
    <dxf>
      <numFmt numFmtId="0" formatCode="General"/>
      <fill>
        <patternFill patternType="solid">
          <fgColor rgb="FF000000"/>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30" formatCode="@"/>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right style="medium">
          <color indexed="64"/>
        </right>
        <top/>
        <bottom/>
      </border>
    </dxf>
    <dxf>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4" formatCode="#,##0.00"/>
      <fill>
        <patternFill patternType="solid">
          <fgColor indexed="64"/>
          <bgColor theme="6" tint="0.79998168889431442"/>
        </patternFill>
      </fill>
      <alignment horizontal="center" vertical="center" textRotation="0" wrapText="0" indent="0" justifyLastLine="0" shrinkToFit="0" readingOrder="0"/>
      <border diagonalUp="0" diagonalDown="0" outline="0">
        <left/>
        <right style="medium">
          <color indexed="64"/>
        </right>
        <top/>
        <bottom/>
      </border>
    </dxf>
    <dxf>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6" tint="0.79998168889431442"/>
        </patternFill>
      </fill>
      <alignment horizontal="center" vertical="center" textRotation="0" wrapText="0" indent="0" justifyLastLine="0" shrinkToFit="0" readingOrder="0"/>
    </dxf>
    <dxf>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0.0"/>
      <fill>
        <patternFill patternType="solid">
          <fgColor indexed="64"/>
          <bgColor theme="6" tint="0.79998168889431442"/>
        </patternFill>
      </fill>
      <alignment horizontal="center" vertical="center" textRotation="0" wrapText="0" indent="0" justifyLastLine="0" shrinkToFit="0" readingOrder="0"/>
    </dxf>
    <dxf>
      <numFmt numFmtId="164" formatCode="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6" tint="0.79998168889431442"/>
        </patternFill>
      </fill>
      <alignment horizontal="center" vertical="center" textRotation="0" wrapText="0" indent="0" justifyLastLine="0" shrinkToFit="0" readingOrder="0"/>
    </dxf>
    <dxf>
      <numFmt numFmtId="2" formatCode="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6" tint="0.79998168889431442"/>
        </patternFill>
      </fill>
      <alignment horizontal="center" vertical="center" textRotation="0" wrapText="0" indent="0" justifyLastLine="0" shrinkToFit="0" readingOrder="0"/>
    </dxf>
    <dxf>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wrapText="0" indent="0" justifyLastLine="0" shrinkToFit="0" readingOrder="0"/>
      <border diagonalUp="0" diagonalDown="0" outline="0">
        <left style="medium">
          <color indexed="64"/>
        </left>
        <right/>
        <top/>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numFmt numFmtId="2" formatCode="0.00"/>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2" formatCode="0.00"/>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auto="1"/>
        <name val="Arial"/>
        <family val="2"/>
        <scheme val="none"/>
      </font>
      <numFmt numFmtId="19" formatCode="dd/mm/yyyy"/>
      <fill>
        <patternFill patternType="solid">
          <fgColor indexed="64"/>
          <bgColor theme="3" tint="0.7999816888943144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alignment horizontal="center" vertical="center" textRotation="0" wrapText="0" indent="0" justifyLastLine="0" shrinkToFit="0" readingOrder="0"/>
      <border diagonalUp="0" diagonalDown="0" outline="0">
        <left/>
        <right style="thin">
          <color indexed="64"/>
        </right>
        <top/>
        <bottom/>
      </border>
    </dxf>
    <dxf>
      <numFmt numFmtId="30" formatCode="@"/>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dxf>
    <dxf>
      <numFmt numFmtId="30" formatCode="@"/>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rgb="FF000000"/>
        </left>
        <right style="thin">
          <color rgb="FF000000"/>
        </right>
        <top/>
        <bottom/>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fill>
        <patternFill patternType="solid">
          <fgColor rgb="FF000000"/>
          <bgColor rgb="FFC1F0C8"/>
        </patternFill>
      </fill>
      <alignment horizontal="center" vertical="center"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FF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Z:\3.Consultoria\3.3.Proyectos\3.3.2.Industrial\B4000_CAEs\B4000_132_Ahorros%20Global%20Omnium_MAEs%20Varias\1.%20Comercial\0.%20Informaci&#243;n%20Cliente\1.%20Informaci&#243;n%20inicial\Documentaci&#243;n%20veh&#237;culos\C&#225;lculos_Sust%20vehi_20251128_2_June.xlsx" TargetMode="External"/><Relationship Id="rId2" Type="http://schemas.microsoft.com/office/2019/04/relationships/externalLinkLongPath" Target="file:///Z:\3.Consultoria\3.3.Proyectos\3.3.2.Industrial\B4000_CAEs\B4000_132_Ahorros%20Global%20Omnium_MAEs%20Varias\1.%20Comercial\0.%20Informaci&#243;n%20Cliente\1.%20Informaci&#243;n%20inicial\Documentaci&#243;n%20veh&#237;culos\C&#225;lculos_Sust%20vehi_20251128_2_June.xlsx?07ABCAA7" TargetMode="External"/><Relationship Id="rId1" Type="http://schemas.openxmlformats.org/officeDocument/2006/relationships/externalLinkPath" Target="file:///\\07ABCAA7\C&#225;lculos_Sust%20vehi_20251128_2_Jun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salazar\Downloads\SUSTITUCION%20DE%20VEHICULOS\CORREGIDO%20CON%20DATOS%20DIMAS\ALTAS%20Y%20BAJAS%20VEHICULOS%20PARA%20CAES%20CORREGIDO%20sin%202022.xlsx" TargetMode="External"/><Relationship Id="rId1" Type="http://schemas.openxmlformats.org/officeDocument/2006/relationships/externalLinkPath" Target="/Users/amsalazar/Downloads/SUSTITUCION%20DE%20VEHICULOS/CORREGIDO%20CON%20DATOS%20DIMAS/ALTAS%20Y%20BAJAS%20VEHICULOS%20PARA%20CAES%20CORREGIDO%20sin%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atos brutos"/>
      <sheetName val="Vehículos fuera SIN doc"/>
      <sheetName val="Datos trabajados (2)"/>
      <sheetName val="AE GF"/>
      <sheetName val="AE GF (2)"/>
      <sheetName val="Comprobación"/>
      <sheetName val="Anexos FICHA TRA050"/>
    </sheetNames>
    <sheetDataSet>
      <sheetData sheetId="0"/>
      <sheetData sheetId="1"/>
      <sheetData sheetId="2"/>
      <sheetData sheetId="3"/>
      <sheetData sheetId="4"/>
      <sheetData sheetId="5"/>
      <sheetData sheetId="6">
        <row r="4">
          <cell r="B4">
            <v>10</v>
          </cell>
          <cell r="C4" t="str">
            <v>DIESEL</v>
          </cell>
        </row>
        <row r="5">
          <cell r="B5">
            <v>9.19</v>
          </cell>
          <cell r="C5" t="str">
            <v>GASOLINA</v>
          </cell>
        </row>
        <row r="6">
          <cell r="B6">
            <v>7.16</v>
          </cell>
          <cell r="C6" t="str">
            <v>GLP</v>
          </cell>
        </row>
        <row r="7">
          <cell r="B7">
            <v>13.33</v>
          </cell>
          <cell r="C7" t="str">
            <v>GAS NATURAL</v>
          </cell>
        </row>
        <row r="14">
          <cell r="C14">
            <v>17.920000000000002</v>
          </cell>
          <cell r="D14" t="str">
            <v>M1</v>
          </cell>
        </row>
        <row r="15">
          <cell r="C15">
            <v>86.7</v>
          </cell>
          <cell r="D15" t="str">
            <v>M3</v>
          </cell>
        </row>
        <row r="16">
          <cell r="C16">
            <v>20.84</v>
          </cell>
          <cell r="D16" t="str">
            <v>N1</v>
          </cell>
        </row>
        <row r="17">
          <cell r="C17">
            <v>47.71</v>
          </cell>
          <cell r="D17" t="str">
            <v>N2</v>
          </cell>
        </row>
        <row r="18">
          <cell r="C18">
            <v>118.53</v>
          </cell>
          <cell r="D18" t="str">
            <v>N3</v>
          </cell>
        </row>
        <row r="19">
          <cell r="C19">
            <v>4.84</v>
          </cell>
          <cell r="D19" t="str">
            <v>L</v>
          </cell>
        </row>
        <row r="20">
          <cell r="C20">
            <v>9.34</v>
          </cell>
          <cell r="D20" t="str">
            <v>L</v>
          </cell>
        </row>
        <row r="21">
          <cell r="C21">
            <v>19.45</v>
          </cell>
          <cell r="D21" t="str">
            <v>L</v>
          </cell>
        </row>
        <row r="22">
          <cell r="C22">
            <v>18.54</v>
          </cell>
          <cell r="D22" t="str">
            <v>L</v>
          </cell>
        </row>
        <row r="27">
          <cell r="D27">
            <v>7.89</v>
          </cell>
          <cell r="E27" t="str">
            <v>M1</v>
          </cell>
          <cell r="F27" t="str">
            <v>GASOLINA</v>
          </cell>
        </row>
        <row r="28">
          <cell r="D28">
            <v>6.99</v>
          </cell>
          <cell r="E28" t="str">
            <v>M1</v>
          </cell>
          <cell r="F28" t="str">
            <v>DIESEL</v>
          </cell>
        </row>
        <row r="29">
          <cell r="D29">
            <v>6.45</v>
          </cell>
          <cell r="E29" t="str">
            <v>M1</v>
          </cell>
          <cell r="F29" t="str">
            <v>GLP</v>
          </cell>
        </row>
        <row r="30">
          <cell r="D30">
            <v>4.88</v>
          </cell>
          <cell r="E30" t="str">
            <v>M1</v>
          </cell>
          <cell r="F30" t="str">
            <v>GAS NATURAL</v>
          </cell>
        </row>
        <row r="31">
          <cell r="D31">
            <v>5.1349999999999998</v>
          </cell>
          <cell r="E31" t="str">
            <v>M1</v>
          </cell>
          <cell r="F31" t="str">
            <v>GASOLINA - Híbridos (HEV)</v>
          </cell>
        </row>
        <row r="32">
          <cell r="D32">
            <v>5.18</v>
          </cell>
          <cell r="E32" t="str">
            <v>M1</v>
          </cell>
        </row>
        <row r="33">
          <cell r="D33">
            <v>7.05</v>
          </cell>
          <cell r="E33" t="str">
            <v>N1</v>
          </cell>
          <cell r="F33" t="str">
            <v>GASOLINA</v>
          </cell>
        </row>
        <row r="34">
          <cell r="D34">
            <v>5.63</v>
          </cell>
          <cell r="E34" t="str">
            <v>N1</v>
          </cell>
          <cell r="F34" t="str">
            <v>DIESEL</v>
          </cell>
        </row>
        <row r="35">
          <cell r="D35">
            <v>8.2799999999999994</v>
          </cell>
          <cell r="E35" t="str">
            <v>N1</v>
          </cell>
          <cell r="F35" t="str">
            <v>GAS NATURAL</v>
          </cell>
        </row>
        <row r="36">
          <cell r="D36">
            <v>6.22</v>
          </cell>
          <cell r="E36" t="str">
            <v>M1</v>
          </cell>
          <cell r="F36" t="str">
            <v>GASOLINA</v>
          </cell>
        </row>
        <row r="37">
          <cell r="D37">
            <v>7.4</v>
          </cell>
          <cell r="E37" t="str">
            <v>M1</v>
          </cell>
          <cell r="F37" t="str">
            <v>DIESEL</v>
          </cell>
        </row>
        <row r="38">
          <cell r="D38">
            <v>11.5</v>
          </cell>
          <cell r="E38" t="str">
            <v>N1</v>
          </cell>
          <cell r="F38" t="str">
            <v>DIESEL</v>
          </cell>
        </row>
        <row r="39">
          <cell r="D39">
            <v>19</v>
          </cell>
          <cell r="E39" t="str">
            <v>N2</v>
          </cell>
          <cell r="F39" t="str">
            <v>DIESEL</v>
          </cell>
        </row>
        <row r="40">
          <cell r="D40">
            <v>35</v>
          </cell>
          <cell r="E40" t="str">
            <v>N3</v>
          </cell>
          <cell r="F40" t="str">
            <v>DIESEL</v>
          </cell>
        </row>
        <row r="41">
          <cell r="D41">
            <v>15.5</v>
          </cell>
          <cell r="E41" t="str">
            <v>M2</v>
          </cell>
          <cell r="F41" t="str">
            <v>DIESEL</v>
          </cell>
        </row>
        <row r="42">
          <cell r="D42">
            <v>21</v>
          </cell>
          <cell r="E42" t="str">
            <v>M3</v>
          </cell>
          <cell r="F42" t="str">
            <v>DIESEL</v>
          </cell>
        </row>
        <row r="43">
          <cell r="D43">
            <v>36.6</v>
          </cell>
          <cell r="E43" t="str">
            <v>M3</v>
          </cell>
          <cell r="F43" t="str">
            <v>GAS NATURAL</v>
          </cell>
        </row>
        <row r="44">
          <cell r="D44">
            <v>2.9</v>
          </cell>
          <cell r="E44" t="str">
            <v>L</v>
          </cell>
          <cell r="F44" t="str">
            <v>GASOLINA</v>
          </cell>
        </row>
        <row r="49">
          <cell r="C49">
            <v>1759</v>
          </cell>
        </row>
        <row r="50">
          <cell r="C50">
            <v>2831</v>
          </cell>
          <cell r="D50" t="str">
            <v>L</v>
          </cell>
        </row>
        <row r="51">
          <cell r="C51">
            <v>13073</v>
          </cell>
          <cell r="D51" t="str">
            <v>M1</v>
          </cell>
        </row>
        <row r="52">
          <cell r="C52">
            <v>15815</v>
          </cell>
          <cell r="D52" t="str">
            <v>N1</v>
          </cell>
        </row>
        <row r="53">
          <cell r="C53">
            <v>53508</v>
          </cell>
          <cell r="D53" t="str">
            <v>N3</v>
          </cell>
        </row>
        <row r="54">
          <cell r="C54">
            <v>46607</v>
          </cell>
          <cell r="D54" t="str">
            <v>Z</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RESUMEN ACT"/>
      <sheetName val="ALTA 20242025"/>
      <sheetName val="PROCESO"/>
      <sheetName val="BAJA2022202320242025"/>
      <sheetName val="Baja 2022 - 2023 - 2024 - 2025"/>
      <sheetName val="Hoja1"/>
    </sheetNames>
    <sheetDataSet>
      <sheetData sheetId="0" refreshError="1"/>
      <sheetData sheetId="1" refreshError="1"/>
      <sheetData sheetId="2" refreshError="1">
        <row r="2">
          <cell r="B2" t="str">
            <v>P8325BDH</v>
          </cell>
          <cell r="I2" t="str">
            <v>VALORIA INVESTMENTS 2011</v>
          </cell>
          <cell r="J2">
            <v>1</v>
          </cell>
        </row>
        <row r="3">
          <cell r="B3" t="str">
            <v>3219MHW</v>
          </cell>
          <cell r="I3" t="str">
            <v>CGAC</v>
          </cell>
          <cell r="J3">
            <v>1</v>
          </cell>
        </row>
        <row r="4">
          <cell r="B4" t="str">
            <v>3201MHW</v>
          </cell>
          <cell r="I4" t="str">
            <v>CGAC</v>
          </cell>
          <cell r="J4">
            <v>2</v>
          </cell>
        </row>
        <row r="5">
          <cell r="B5" t="str">
            <v>3192MHW</v>
          </cell>
          <cell r="I5" t="str">
            <v>CGAC</v>
          </cell>
          <cell r="J5">
            <v>3</v>
          </cell>
        </row>
        <row r="6">
          <cell r="B6" t="str">
            <v>3140MHW</v>
          </cell>
          <cell r="I6" t="str">
            <v>CGAC</v>
          </cell>
          <cell r="J6">
            <v>4</v>
          </cell>
        </row>
        <row r="7">
          <cell r="B7" t="str">
            <v>4564MHF</v>
          </cell>
          <cell r="I7" t="str">
            <v>CGAC</v>
          </cell>
          <cell r="J7">
            <v>5</v>
          </cell>
        </row>
        <row r="8">
          <cell r="B8" t="str">
            <v>0404MGW</v>
          </cell>
          <cell r="I8" t="str">
            <v>CGAC</v>
          </cell>
          <cell r="J8">
            <v>6</v>
          </cell>
        </row>
        <row r="9">
          <cell r="B9" t="str">
            <v>0408MGW</v>
          </cell>
          <cell r="I9" t="str">
            <v>CGAC</v>
          </cell>
          <cell r="J9">
            <v>7</v>
          </cell>
        </row>
        <row r="10">
          <cell r="B10" t="str">
            <v>5357MDX</v>
          </cell>
          <cell r="I10" t="str">
            <v>VALORIA INVESTMENTS 2011</v>
          </cell>
          <cell r="J10">
            <v>2</v>
          </cell>
        </row>
        <row r="11">
          <cell r="B11" t="str">
            <v>5566KSD</v>
          </cell>
          <cell r="I11" t="str">
            <v>G.O.MEDIOAMBIENTE S.L.</v>
          </cell>
          <cell r="J11">
            <v>1</v>
          </cell>
        </row>
        <row r="12">
          <cell r="B12" t="str">
            <v>0477MGW</v>
          </cell>
          <cell r="I12" t="str">
            <v>CGAC</v>
          </cell>
          <cell r="J12">
            <v>8</v>
          </cell>
        </row>
        <row r="13">
          <cell r="B13" t="str">
            <v>0767MJM</v>
          </cell>
          <cell r="I13" t="str">
            <v>CGAC</v>
          </cell>
          <cell r="J13">
            <v>9</v>
          </cell>
        </row>
        <row r="14">
          <cell r="B14" t="str">
            <v>0777MJM</v>
          </cell>
          <cell r="I14" t="str">
            <v>CGAC</v>
          </cell>
          <cell r="J14">
            <v>10</v>
          </cell>
        </row>
        <row r="15">
          <cell r="B15" t="str">
            <v>0778MJM</v>
          </cell>
          <cell r="I15" t="str">
            <v>CGAC</v>
          </cell>
          <cell r="J15">
            <v>11</v>
          </cell>
        </row>
        <row r="16">
          <cell r="B16" t="str">
            <v>0800MJM</v>
          </cell>
          <cell r="I16" t="str">
            <v>CGAC</v>
          </cell>
          <cell r="J16">
            <v>12</v>
          </cell>
        </row>
        <row r="17">
          <cell r="B17" t="str">
            <v>2343MGR</v>
          </cell>
          <cell r="I17" t="str">
            <v>CGAC</v>
          </cell>
          <cell r="J17">
            <v>13</v>
          </cell>
        </row>
        <row r="18">
          <cell r="B18" t="str">
            <v>2340MGR</v>
          </cell>
          <cell r="I18" t="str">
            <v>CGAC</v>
          </cell>
          <cell r="J18">
            <v>14</v>
          </cell>
        </row>
        <row r="19">
          <cell r="B19" t="str">
            <v>9605MMH</v>
          </cell>
          <cell r="I19" t="str">
            <v>G.O.MEDIOAMBIENTE S.L.</v>
          </cell>
          <cell r="J19">
            <v>2</v>
          </cell>
        </row>
        <row r="20">
          <cell r="B20" t="str">
            <v>8877KDN</v>
          </cell>
          <cell r="I20" t="str">
            <v>CGAC</v>
          </cell>
          <cell r="J20">
            <v>15</v>
          </cell>
        </row>
        <row r="21">
          <cell r="B21" t="str">
            <v>8873KDN</v>
          </cell>
          <cell r="I21" t="str">
            <v>GAMASER</v>
          </cell>
          <cell r="J21">
            <v>1</v>
          </cell>
        </row>
        <row r="22">
          <cell r="B22" t="str">
            <v>8868KDN</v>
          </cell>
          <cell r="I22" t="str">
            <v>CGAC</v>
          </cell>
          <cell r="J22">
            <v>16</v>
          </cell>
        </row>
        <row r="23">
          <cell r="B23" t="str">
            <v>8867KDN</v>
          </cell>
          <cell r="I23" t="str">
            <v>CGAC</v>
          </cell>
          <cell r="J23">
            <v>17</v>
          </cell>
        </row>
        <row r="24">
          <cell r="B24" t="str">
            <v>1255MJM</v>
          </cell>
          <cell r="I24" t="str">
            <v>CGAC</v>
          </cell>
          <cell r="J24">
            <v>18</v>
          </cell>
        </row>
        <row r="25">
          <cell r="B25" t="str">
            <v>1256MJM</v>
          </cell>
          <cell r="I25" t="str">
            <v>CGAC</v>
          </cell>
          <cell r="J25">
            <v>19</v>
          </cell>
        </row>
        <row r="26">
          <cell r="B26" t="str">
            <v>1258MJM</v>
          </cell>
          <cell r="I26" t="str">
            <v>CGAC</v>
          </cell>
          <cell r="J26">
            <v>20</v>
          </cell>
        </row>
        <row r="27">
          <cell r="B27" t="str">
            <v>1261MJM</v>
          </cell>
          <cell r="I27" t="str">
            <v>CGAC</v>
          </cell>
          <cell r="J27">
            <v>21</v>
          </cell>
        </row>
        <row r="28">
          <cell r="B28" t="str">
            <v>2120MFK</v>
          </cell>
          <cell r="I28" t="str">
            <v>CGAC</v>
          </cell>
          <cell r="J28">
            <v>22</v>
          </cell>
        </row>
        <row r="29">
          <cell r="B29" t="str">
            <v>2087MJP</v>
          </cell>
          <cell r="I29" t="str">
            <v>CGAC</v>
          </cell>
          <cell r="J29">
            <v>23</v>
          </cell>
        </row>
        <row r="30">
          <cell r="B30" t="str">
            <v>2076MJP</v>
          </cell>
          <cell r="I30" t="str">
            <v>CGAC</v>
          </cell>
          <cell r="J30">
            <v>24</v>
          </cell>
        </row>
        <row r="31">
          <cell r="B31" t="str">
            <v>1406KDP</v>
          </cell>
          <cell r="I31" t="str">
            <v>MEDICION AVANZADA CONTAD.</v>
          </cell>
          <cell r="J31">
            <v>1</v>
          </cell>
        </row>
        <row r="32">
          <cell r="B32" t="str">
            <v>2062MJP</v>
          </cell>
          <cell r="I32" t="str">
            <v>CGAC</v>
          </cell>
          <cell r="J32">
            <v>25</v>
          </cell>
        </row>
        <row r="33">
          <cell r="B33" t="str">
            <v>1428KDP</v>
          </cell>
          <cell r="I33" t="str">
            <v>EMP.MUN.SERVEIS PUBLICS</v>
          </cell>
          <cell r="J33">
            <v>1</v>
          </cell>
        </row>
        <row r="34">
          <cell r="B34" t="str">
            <v>2043MJP</v>
          </cell>
          <cell r="I34" t="str">
            <v>CGAC</v>
          </cell>
          <cell r="J34">
            <v>26</v>
          </cell>
        </row>
        <row r="35">
          <cell r="B35" t="str">
            <v>8539MDK</v>
          </cell>
          <cell r="I35" t="str">
            <v>CGAC</v>
          </cell>
          <cell r="J35">
            <v>27</v>
          </cell>
        </row>
        <row r="36">
          <cell r="B36" t="str">
            <v>8533MDK</v>
          </cell>
          <cell r="I36" t="str">
            <v>CGAC</v>
          </cell>
          <cell r="J36">
            <v>28</v>
          </cell>
        </row>
        <row r="37">
          <cell r="B37" t="str">
            <v>1666MGR</v>
          </cell>
          <cell r="I37" t="str">
            <v>CGAC</v>
          </cell>
          <cell r="J37">
            <v>29</v>
          </cell>
        </row>
        <row r="38">
          <cell r="B38" t="str">
            <v>1667MGR</v>
          </cell>
          <cell r="I38" t="str">
            <v>CGAC</v>
          </cell>
          <cell r="J38">
            <v>30</v>
          </cell>
        </row>
        <row r="39">
          <cell r="B39" t="str">
            <v>0176MWZ</v>
          </cell>
          <cell r="I39" t="str">
            <v>EMIVASA</v>
          </cell>
          <cell r="J39">
            <v>1</v>
          </cell>
        </row>
        <row r="40">
          <cell r="B40" t="str">
            <v>0178MWZ</v>
          </cell>
          <cell r="I40" t="str">
            <v>EMIVASA</v>
          </cell>
          <cell r="J40">
            <v>2</v>
          </cell>
        </row>
        <row r="41">
          <cell r="B41" t="str">
            <v>0182MWZ</v>
          </cell>
          <cell r="I41" t="str">
            <v>EMIVASA</v>
          </cell>
          <cell r="J41">
            <v>3</v>
          </cell>
        </row>
        <row r="42">
          <cell r="B42" t="str">
            <v>0189MWZ</v>
          </cell>
          <cell r="I42" t="str">
            <v>EMIVASA</v>
          </cell>
          <cell r="J42">
            <v>4</v>
          </cell>
        </row>
        <row r="43">
          <cell r="B43" t="str">
            <v>0190MWZ</v>
          </cell>
          <cell r="I43" t="str">
            <v>EMIVASA</v>
          </cell>
          <cell r="J43">
            <v>5</v>
          </cell>
        </row>
        <row r="44">
          <cell r="B44" t="str">
            <v>0191MWZ</v>
          </cell>
          <cell r="I44" t="str">
            <v>EMIVASA</v>
          </cell>
          <cell r="J44">
            <v>6</v>
          </cell>
        </row>
        <row r="45">
          <cell r="B45" t="str">
            <v>0192MWZ</v>
          </cell>
          <cell r="I45" t="str">
            <v>EMIVASA</v>
          </cell>
          <cell r="J45">
            <v>7</v>
          </cell>
        </row>
        <row r="46">
          <cell r="B46" t="str">
            <v>0199MWZ</v>
          </cell>
          <cell r="I46" t="str">
            <v>EMIVASA</v>
          </cell>
          <cell r="J46">
            <v>8</v>
          </cell>
        </row>
        <row r="47">
          <cell r="B47" t="str">
            <v>0210MWZ</v>
          </cell>
          <cell r="I47" t="str">
            <v>EMIVASA</v>
          </cell>
          <cell r="J47">
            <v>9</v>
          </cell>
        </row>
        <row r="48">
          <cell r="B48" t="str">
            <v>0213MWZ</v>
          </cell>
          <cell r="I48" t="str">
            <v>EMIVASA</v>
          </cell>
          <cell r="J48">
            <v>10</v>
          </cell>
        </row>
        <row r="49">
          <cell r="B49" t="str">
            <v>0224MWZ</v>
          </cell>
          <cell r="I49" t="str">
            <v>EMIVASA</v>
          </cell>
          <cell r="J49">
            <v>11</v>
          </cell>
        </row>
        <row r="50">
          <cell r="B50" t="str">
            <v>0649MWZ</v>
          </cell>
          <cell r="I50" t="str">
            <v>EMIVASA</v>
          </cell>
          <cell r="J50">
            <v>12</v>
          </cell>
        </row>
        <row r="51">
          <cell r="B51" t="str">
            <v>0650MXH</v>
          </cell>
          <cell r="I51" t="str">
            <v>MEDICION AVANZADA CONTAD.</v>
          </cell>
          <cell r="J51">
            <v>2</v>
          </cell>
        </row>
        <row r="52">
          <cell r="B52" t="str">
            <v>0677MWF</v>
          </cell>
          <cell r="I52" t="str">
            <v>GAMASER</v>
          </cell>
          <cell r="J52">
            <v>2</v>
          </cell>
        </row>
        <row r="53">
          <cell r="B53" t="str">
            <v>0679MWF</v>
          </cell>
          <cell r="I53" t="str">
            <v>ISG</v>
          </cell>
          <cell r="J53">
            <v>1</v>
          </cell>
        </row>
        <row r="54">
          <cell r="B54" t="str">
            <v>0682MWF</v>
          </cell>
          <cell r="I54" t="str">
            <v>CANALIZ. CIVILES S.A.</v>
          </cell>
          <cell r="J54">
            <v>1</v>
          </cell>
        </row>
        <row r="55">
          <cell r="B55" t="str">
            <v>0686MWT</v>
          </cell>
          <cell r="I55" t="str">
            <v>MEDICION AVANZADA CONTAD.</v>
          </cell>
          <cell r="J55">
            <v>3</v>
          </cell>
        </row>
        <row r="56">
          <cell r="B56" t="str">
            <v>0692MWT</v>
          </cell>
          <cell r="I56" t="str">
            <v>MEDICION AVANZADA CONTAD.</v>
          </cell>
          <cell r="J56">
            <v>4</v>
          </cell>
        </row>
        <row r="57">
          <cell r="B57" t="str">
            <v>0693MWT</v>
          </cell>
          <cell r="I57" t="str">
            <v>MEDICION AVANZADA CONTAD.</v>
          </cell>
          <cell r="J57">
            <v>5</v>
          </cell>
        </row>
        <row r="58">
          <cell r="B58" t="str">
            <v>0695MWT</v>
          </cell>
          <cell r="I58" t="str">
            <v>MEDICION AVANZADA CONTAD.</v>
          </cell>
          <cell r="J58">
            <v>6</v>
          </cell>
        </row>
        <row r="59">
          <cell r="B59" t="str">
            <v>0696MWT</v>
          </cell>
          <cell r="I59" t="str">
            <v>MEDICION AVANZADA CONTAD.</v>
          </cell>
          <cell r="J59">
            <v>7</v>
          </cell>
        </row>
        <row r="60">
          <cell r="B60" t="str">
            <v>0699MWT</v>
          </cell>
          <cell r="I60" t="str">
            <v>MEDICION AVANZADA CONTAD.</v>
          </cell>
          <cell r="J60">
            <v>8</v>
          </cell>
        </row>
        <row r="61">
          <cell r="B61" t="str">
            <v>0700MWT</v>
          </cell>
          <cell r="I61" t="str">
            <v>MEDICION AVANZADA CONTAD.</v>
          </cell>
          <cell r="J61">
            <v>9</v>
          </cell>
        </row>
        <row r="62">
          <cell r="B62" t="str">
            <v>0701MWT</v>
          </cell>
          <cell r="I62" t="str">
            <v>MEDICION AVANZADA CONTAD.</v>
          </cell>
          <cell r="J62">
            <v>10</v>
          </cell>
        </row>
        <row r="63">
          <cell r="B63" t="str">
            <v>0773MXH</v>
          </cell>
          <cell r="I63" t="str">
            <v>MEDICION AVANZADA CONTAD.</v>
          </cell>
          <cell r="J63">
            <v>11</v>
          </cell>
        </row>
        <row r="64">
          <cell r="B64" t="str">
            <v>0823MXH</v>
          </cell>
          <cell r="I64" t="str">
            <v>MEDICION AVANZADA CONTAD.</v>
          </cell>
          <cell r="J64">
            <v>12</v>
          </cell>
        </row>
        <row r="65">
          <cell r="B65" t="str">
            <v>0971MXH</v>
          </cell>
          <cell r="I65" t="str">
            <v>MEDICION AVANZADA CONTAD.</v>
          </cell>
          <cell r="J65">
            <v>13</v>
          </cell>
        </row>
        <row r="66">
          <cell r="B66" t="str">
            <v>1066MWL</v>
          </cell>
          <cell r="I66" t="str">
            <v>CGAC</v>
          </cell>
          <cell r="J66">
            <v>31</v>
          </cell>
        </row>
        <row r="67">
          <cell r="B67" t="str">
            <v>1108KHK</v>
          </cell>
          <cell r="I67" t="str">
            <v>G.O.MEDIOAMBIENTE S.L.</v>
          </cell>
          <cell r="J67">
            <v>3</v>
          </cell>
        </row>
        <row r="68">
          <cell r="B68" t="str">
            <v>1165MSX</v>
          </cell>
          <cell r="I68" t="str">
            <v>G.O.MEDIOAMBIENTE S.L.</v>
          </cell>
          <cell r="J68">
            <v>4</v>
          </cell>
        </row>
        <row r="69">
          <cell r="B69" t="str">
            <v>1177MSX</v>
          </cell>
          <cell r="I69" t="str">
            <v>G.O.MEDIOAMBIENTE S.L.</v>
          </cell>
          <cell r="J69">
            <v>5</v>
          </cell>
        </row>
        <row r="70">
          <cell r="B70" t="str">
            <v>1178MSX</v>
          </cell>
          <cell r="I70" t="str">
            <v>G.O.MEDIOAMBIENTE S.L.</v>
          </cell>
          <cell r="J70">
            <v>6</v>
          </cell>
        </row>
        <row r="71">
          <cell r="B71" t="str">
            <v>2704MXG</v>
          </cell>
          <cell r="I71" t="str">
            <v>AVSA</v>
          </cell>
          <cell r="J71">
            <v>1</v>
          </cell>
        </row>
        <row r="72">
          <cell r="B72" t="str">
            <v>2705MXG</v>
          </cell>
          <cell r="I72" t="str">
            <v>AVSA</v>
          </cell>
          <cell r="J72">
            <v>2</v>
          </cell>
        </row>
        <row r="73">
          <cell r="B73" t="str">
            <v>2717MXG</v>
          </cell>
          <cell r="I73" t="str">
            <v>AVSA</v>
          </cell>
          <cell r="J73">
            <v>3</v>
          </cell>
        </row>
        <row r="74">
          <cell r="B74" t="str">
            <v>2720MWP</v>
          </cell>
          <cell r="I74" t="str">
            <v>AVSA</v>
          </cell>
          <cell r="J74">
            <v>4</v>
          </cell>
        </row>
        <row r="75">
          <cell r="B75" t="str">
            <v>2722MXG</v>
          </cell>
          <cell r="I75" t="str">
            <v>AVSA</v>
          </cell>
          <cell r="J75">
            <v>5</v>
          </cell>
        </row>
        <row r="76">
          <cell r="B76" t="str">
            <v>2732MWP</v>
          </cell>
          <cell r="I76" t="str">
            <v>AVSA</v>
          </cell>
          <cell r="J76">
            <v>6</v>
          </cell>
        </row>
        <row r="77">
          <cell r="B77" t="str">
            <v>2737MXG</v>
          </cell>
          <cell r="I77" t="str">
            <v>AVSA</v>
          </cell>
          <cell r="J77">
            <v>7</v>
          </cell>
        </row>
        <row r="78">
          <cell r="B78" t="str">
            <v>2788MXG</v>
          </cell>
          <cell r="I78" t="str">
            <v>AVSA</v>
          </cell>
          <cell r="J78">
            <v>8</v>
          </cell>
        </row>
        <row r="79">
          <cell r="B79" t="str">
            <v>3020MRW</v>
          </cell>
          <cell r="I79" t="str">
            <v>TRAKTA CONTROL Y TRATAM.</v>
          </cell>
          <cell r="J79">
            <v>1</v>
          </cell>
        </row>
        <row r="80">
          <cell r="B80" t="str">
            <v>3095MWZ</v>
          </cell>
          <cell r="I80" t="str">
            <v>EMIVASA</v>
          </cell>
          <cell r="J80">
            <v>13</v>
          </cell>
        </row>
        <row r="81">
          <cell r="B81" t="str">
            <v>3103MXJ</v>
          </cell>
          <cell r="I81" t="str">
            <v>AYWA SER.AMBIENTALES SL</v>
          </cell>
          <cell r="J81">
            <v>1</v>
          </cell>
        </row>
        <row r="82">
          <cell r="B82" t="str">
            <v>3105MWZ</v>
          </cell>
          <cell r="I82" t="str">
            <v>EMIVASA</v>
          </cell>
          <cell r="J82">
            <v>14</v>
          </cell>
        </row>
        <row r="83">
          <cell r="B83" t="str">
            <v>3111MWZ</v>
          </cell>
          <cell r="I83" t="str">
            <v>EMIVASA</v>
          </cell>
          <cell r="J83">
            <v>15</v>
          </cell>
        </row>
        <row r="84">
          <cell r="B84" t="str">
            <v>3116MXJ</v>
          </cell>
          <cell r="I84" t="str">
            <v>G.O.MEDIOAMBIENTE S.L.</v>
          </cell>
          <cell r="J84">
            <v>7</v>
          </cell>
        </row>
        <row r="85">
          <cell r="B85" t="str">
            <v>3121MWZ</v>
          </cell>
          <cell r="I85" t="str">
            <v>EMIVASA</v>
          </cell>
          <cell r="J85">
            <v>16</v>
          </cell>
        </row>
        <row r="86">
          <cell r="B86" t="str">
            <v>3122MWZ</v>
          </cell>
          <cell r="I86" t="str">
            <v>EMIVASA</v>
          </cell>
          <cell r="J86">
            <v>17</v>
          </cell>
        </row>
        <row r="87">
          <cell r="B87" t="str">
            <v>3133MWZ</v>
          </cell>
          <cell r="I87" t="str">
            <v>EMIVASA</v>
          </cell>
          <cell r="J87">
            <v>18</v>
          </cell>
        </row>
        <row r="88">
          <cell r="B88" t="str">
            <v>3143MWZ</v>
          </cell>
          <cell r="I88" t="str">
            <v>EMIVASA</v>
          </cell>
          <cell r="J88">
            <v>19</v>
          </cell>
        </row>
        <row r="89">
          <cell r="B89" t="str">
            <v>3147MXJ</v>
          </cell>
          <cell r="I89" t="str">
            <v>AYWA SER.AMBIENTALES SL</v>
          </cell>
          <cell r="J89">
            <v>2</v>
          </cell>
        </row>
        <row r="90">
          <cell r="B90" t="str">
            <v>3148MWZ</v>
          </cell>
          <cell r="I90" t="str">
            <v>EMIVASA</v>
          </cell>
          <cell r="J90">
            <v>20</v>
          </cell>
        </row>
        <row r="91">
          <cell r="B91" t="str">
            <v>3154MXJ</v>
          </cell>
          <cell r="I91" t="str">
            <v>AYWA SER.AMBIENTALES SL</v>
          </cell>
          <cell r="J91">
            <v>3</v>
          </cell>
        </row>
        <row r="92">
          <cell r="B92" t="str">
            <v>3155MWZ</v>
          </cell>
          <cell r="I92" t="str">
            <v>EMIVASA</v>
          </cell>
          <cell r="J92">
            <v>21</v>
          </cell>
        </row>
        <row r="93">
          <cell r="B93" t="str">
            <v>3157MXJ</v>
          </cell>
          <cell r="I93" t="str">
            <v>EGEVASA</v>
          </cell>
          <cell r="J93">
            <v>1</v>
          </cell>
        </row>
        <row r="94">
          <cell r="B94" t="str">
            <v>3160MWZ</v>
          </cell>
          <cell r="I94" t="str">
            <v>EMIVASA</v>
          </cell>
          <cell r="J94">
            <v>22</v>
          </cell>
        </row>
        <row r="95">
          <cell r="B95" t="str">
            <v>3163MWZ</v>
          </cell>
          <cell r="I95" t="str">
            <v>EMIVASA</v>
          </cell>
          <cell r="J95">
            <v>23</v>
          </cell>
        </row>
        <row r="96">
          <cell r="B96" t="str">
            <v>3168MWZ</v>
          </cell>
          <cell r="I96" t="str">
            <v>EMIVASA</v>
          </cell>
          <cell r="J96">
            <v>24</v>
          </cell>
        </row>
        <row r="97">
          <cell r="B97" t="str">
            <v>3173MWZ</v>
          </cell>
          <cell r="I97" t="str">
            <v>EMIVASA</v>
          </cell>
          <cell r="J97">
            <v>25</v>
          </cell>
        </row>
        <row r="98">
          <cell r="B98" t="str">
            <v>3178MXJ</v>
          </cell>
          <cell r="I98" t="str">
            <v>AYWA SER.AMBIENTALES SL</v>
          </cell>
          <cell r="J98">
            <v>4</v>
          </cell>
        </row>
        <row r="99">
          <cell r="B99" t="str">
            <v>3186MXJ</v>
          </cell>
          <cell r="I99" t="str">
            <v>AYWA SER.AMBIENTALES SL</v>
          </cell>
          <cell r="J99">
            <v>5</v>
          </cell>
        </row>
        <row r="100">
          <cell r="B100" t="str">
            <v>3191MXJ</v>
          </cell>
          <cell r="I100" t="str">
            <v>EGEVASA</v>
          </cell>
          <cell r="J100">
            <v>2</v>
          </cell>
        </row>
        <row r="101">
          <cell r="B101" t="str">
            <v>3214MXJ</v>
          </cell>
          <cell r="I101" t="str">
            <v>AYWA SER.AMBIENTALES SL</v>
          </cell>
          <cell r="J101">
            <v>6</v>
          </cell>
        </row>
        <row r="102">
          <cell r="B102" t="str">
            <v>3246MXJ</v>
          </cell>
          <cell r="I102" t="str">
            <v>AYWA SER.AMBIENTALES SL</v>
          </cell>
          <cell r="J102">
            <v>7</v>
          </cell>
        </row>
        <row r="103">
          <cell r="B103" t="str">
            <v>3256MXH</v>
          </cell>
          <cell r="I103" t="str">
            <v>ISG</v>
          </cell>
          <cell r="J103">
            <v>2</v>
          </cell>
        </row>
        <row r="104">
          <cell r="B104" t="str">
            <v>3489MWR</v>
          </cell>
          <cell r="I104" t="str">
            <v>COSTA BELLVER SA</v>
          </cell>
          <cell r="J104">
            <v>1</v>
          </cell>
        </row>
        <row r="105">
          <cell r="B105" t="str">
            <v>4000MWL</v>
          </cell>
          <cell r="I105" t="str">
            <v>MEDICION AVANZADA CONTAD.</v>
          </cell>
          <cell r="J105">
            <v>14</v>
          </cell>
        </row>
        <row r="106">
          <cell r="B106" t="str">
            <v>4004MWL</v>
          </cell>
          <cell r="I106" t="str">
            <v>MEDICION AVANZADA CONTAD.</v>
          </cell>
          <cell r="J106">
            <v>15</v>
          </cell>
        </row>
        <row r="107">
          <cell r="B107" t="str">
            <v>4073MXK</v>
          </cell>
          <cell r="I107" t="str">
            <v>CGAC</v>
          </cell>
          <cell r="J107">
            <v>32</v>
          </cell>
        </row>
        <row r="108">
          <cell r="B108" t="str">
            <v>4082MXJ</v>
          </cell>
          <cell r="I108" t="str">
            <v>VALORIA INVESTMENTS 2011</v>
          </cell>
          <cell r="J108">
            <v>3</v>
          </cell>
        </row>
        <row r="109">
          <cell r="B109" t="str">
            <v>4255MXL</v>
          </cell>
          <cell r="I109" t="str">
            <v>EMIVASA</v>
          </cell>
          <cell r="J109">
            <v>26</v>
          </cell>
        </row>
        <row r="110">
          <cell r="B110" t="str">
            <v>4257MXL</v>
          </cell>
          <cell r="I110" t="str">
            <v>EMIVASA</v>
          </cell>
          <cell r="J110">
            <v>27</v>
          </cell>
        </row>
        <row r="111">
          <cell r="B111" t="str">
            <v>4258MXL</v>
          </cell>
          <cell r="I111" t="str">
            <v>EMIVASA</v>
          </cell>
          <cell r="J111">
            <v>28</v>
          </cell>
        </row>
        <row r="112">
          <cell r="B112" t="str">
            <v>4260MXL</v>
          </cell>
          <cell r="I112" t="str">
            <v>EMIVASA</v>
          </cell>
          <cell r="J112">
            <v>29</v>
          </cell>
        </row>
        <row r="113">
          <cell r="B113" t="str">
            <v>4261MXL</v>
          </cell>
          <cell r="I113" t="str">
            <v>EMIVASA</v>
          </cell>
          <cell r="J113">
            <v>30</v>
          </cell>
        </row>
        <row r="114">
          <cell r="B114" t="str">
            <v>4263MXL</v>
          </cell>
          <cell r="I114" t="str">
            <v>EMIVASA</v>
          </cell>
          <cell r="J114">
            <v>31</v>
          </cell>
        </row>
        <row r="115">
          <cell r="B115" t="str">
            <v>4265MXL</v>
          </cell>
          <cell r="I115" t="str">
            <v>EMIVASA</v>
          </cell>
          <cell r="J115">
            <v>32</v>
          </cell>
        </row>
        <row r="116">
          <cell r="B116" t="str">
            <v>4266MXL</v>
          </cell>
          <cell r="I116" t="str">
            <v>EMIVASA</v>
          </cell>
          <cell r="J116">
            <v>33</v>
          </cell>
        </row>
        <row r="117">
          <cell r="B117" t="str">
            <v>4267MXL</v>
          </cell>
          <cell r="I117" t="str">
            <v>EMIVASA</v>
          </cell>
          <cell r="J117">
            <v>34</v>
          </cell>
        </row>
        <row r="118">
          <cell r="B118" t="str">
            <v>4268MXL</v>
          </cell>
          <cell r="I118" t="str">
            <v>EMIVASA</v>
          </cell>
          <cell r="J118">
            <v>35</v>
          </cell>
        </row>
        <row r="119">
          <cell r="B119" t="str">
            <v>4280MXL</v>
          </cell>
          <cell r="I119" t="str">
            <v>EMIVASA</v>
          </cell>
          <cell r="J119">
            <v>36</v>
          </cell>
        </row>
        <row r="120">
          <cell r="B120" t="str">
            <v>4282MXL</v>
          </cell>
          <cell r="I120" t="str">
            <v>EMIVASA</v>
          </cell>
          <cell r="J120">
            <v>37</v>
          </cell>
        </row>
        <row r="121">
          <cell r="B121" t="str">
            <v>4284MXL</v>
          </cell>
          <cell r="I121" t="str">
            <v>EMIVASA</v>
          </cell>
          <cell r="J121">
            <v>38</v>
          </cell>
        </row>
        <row r="122">
          <cell r="B122" t="str">
            <v>4300MXL</v>
          </cell>
          <cell r="I122" t="str">
            <v>EMIVASA</v>
          </cell>
          <cell r="J122">
            <v>39</v>
          </cell>
        </row>
        <row r="123">
          <cell r="B123" t="str">
            <v>4621MVB</v>
          </cell>
          <cell r="I123" t="str">
            <v>EMP.AG.POTABL.MALGRAT SA</v>
          </cell>
          <cell r="J123">
            <v>1</v>
          </cell>
        </row>
        <row r="124">
          <cell r="B124" t="str">
            <v>4622MVB</v>
          </cell>
          <cell r="I124" t="str">
            <v>EMP.AG.POTABL.MALGRAT SA</v>
          </cell>
          <cell r="J124">
            <v>2</v>
          </cell>
        </row>
        <row r="125">
          <cell r="B125" t="str">
            <v>4623MVB</v>
          </cell>
          <cell r="I125" t="str">
            <v>EMP.AG.POTABL.MALGRAT SA</v>
          </cell>
          <cell r="J125">
            <v>3</v>
          </cell>
        </row>
        <row r="126">
          <cell r="B126" t="str">
            <v>5020MWL</v>
          </cell>
          <cell r="I126" t="str">
            <v>CGAC</v>
          </cell>
          <cell r="J126">
            <v>33</v>
          </cell>
        </row>
        <row r="127">
          <cell r="B127" t="str">
            <v>5230MXL</v>
          </cell>
          <cell r="I127" t="str">
            <v>UTE CHIVA(AV/EG)</v>
          </cell>
          <cell r="J127">
            <v>1</v>
          </cell>
        </row>
        <row r="128">
          <cell r="B128" t="str">
            <v>5244MXL</v>
          </cell>
          <cell r="I128" t="str">
            <v>UTE CHIVA(AV/EG)</v>
          </cell>
          <cell r="J128">
            <v>2</v>
          </cell>
        </row>
        <row r="129">
          <cell r="B129" t="str">
            <v>5360MXF</v>
          </cell>
          <cell r="I129" t="str">
            <v>AVSA</v>
          </cell>
          <cell r="J129">
            <v>9</v>
          </cell>
        </row>
        <row r="130">
          <cell r="B130" t="str">
            <v>5665MWP</v>
          </cell>
          <cell r="I130" t="str">
            <v>CANALIZ. CIVILES S.A.</v>
          </cell>
          <cell r="J130">
            <v>2</v>
          </cell>
        </row>
        <row r="131">
          <cell r="B131" t="str">
            <v>6005MWV</v>
          </cell>
          <cell r="I131" t="str">
            <v>CANALIZ. CIVILES S.A.</v>
          </cell>
          <cell r="J131">
            <v>3</v>
          </cell>
        </row>
        <row r="132">
          <cell r="B132" t="str">
            <v>6007MWV</v>
          </cell>
          <cell r="I132" t="str">
            <v>AVSA</v>
          </cell>
          <cell r="J132">
            <v>10</v>
          </cell>
        </row>
        <row r="133">
          <cell r="B133" t="str">
            <v>6015MWV</v>
          </cell>
          <cell r="I133" t="str">
            <v>AVSA</v>
          </cell>
          <cell r="J133">
            <v>11</v>
          </cell>
        </row>
        <row r="134">
          <cell r="B134" t="str">
            <v>6019MWV</v>
          </cell>
          <cell r="I134" t="str">
            <v>CANALIZ. CIVILES S.A.</v>
          </cell>
          <cell r="J134">
            <v>4</v>
          </cell>
        </row>
        <row r="135">
          <cell r="B135" t="str">
            <v>6022MWV</v>
          </cell>
          <cell r="I135" t="str">
            <v>CANALIZ. CIVILES S.A.</v>
          </cell>
          <cell r="J135">
            <v>5</v>
          </cell>
        </row>
        <row r="136">
          <cell r="B136" t="str">
            <v>6028MWV</v>
          </cell>
          <cell r="I136" t="str">
            <v>AVSA</v>
          </cell>
          <cell r="J136">
            <v>12</v>
          </cell>
        </row>
        <row r="137">
          <cell r="B137" t="str">
            <v>6029MWV</v>
          </cell>
          <cell r="I137" t="str">
            <v>AVSA</v>
          </cell>
          <cell r="J137">
            <v>13</v>
          </cell>
        </row>
        <row r="138">
          <cell r="B138" t="str">
            <v>6033MWV</v>
          </cell>
          <cell r="I138" t="str">
            <v>CANALIZ. CIVILES S.A.</v>
          </cell>
          <cell r="J138">
            <v>6</v>
          </cell>
        </row>
        <row r="139">
          <cell r="B139" t="str">
            <v>6037MWV</v>
          </cell>
          <cell r="I139" t="str">
            <v>CANALIZ. CIVILES S.A.</v>
          </cell>
          <cell r="J139">
            <v>7</v>
          </cell>
        </row>
        <row r="140">
          <cell r="B140" t="str">
            <v>6042MWV</v>
          </cell>
          <cell r="I140" t="str">
            <v>AVSA</v>
          </cell>
          <cell r="J140">
            <v>14</v>
          </cell>
        </row>
        <row r="141">
          <cell r="B141" t="str">
            <v>6046MWV</v>
          </cell>
          <cell r="I141" t="str">
            <v>AVSA</v>
          </cell>
          <cell r="J141">
            <v>15</v>
          </cell>
        </row>
        <row r="142">
          <cell r="B142" t="str">
            <v>6055MWV</v>
          </cell>
          <cell r="I142" t="str">
            <v>AVSA</v>
          </cell>
          <cell r="J142">
            <v>16</v>
          </cell>
        </row>
        <row r="143">
          <cell r="B143" t="str">
            <v>6082MWV</v>
          </cell>
          <cell r="I143" t="str">
            <v>E.Mixta Metropolitana, SA</v>
          </cell>
          <cell r="J143">
            <v>1</v>
          </cell>
        </row>
        <row r="144">
          <cell r="B144" t="str">
            <v>6083MWV</v>
          </cell>
          <cell r="I144" t="str">
            <v>AVSA</v>
          </cell>
          <cell r="J144">
            <v>17</v>
          </cell>
        </row>
        <row r="145">
          <cell r="B145" t="str">
            <v>6084MWV</v>
          </cell>
          <cell r="I145" t="str">
            <v>AVSA</v>
          </cell>
          <cell r="J145">
            <v>18</v>
          </cell>
        </row>
        <row r="146">
          <cell r="B146" t="str">
            <v>6087MWV</v>
          </cell>
          <cell r="I146" t="str">
            <v>AVSA</v>
          </cell>
          <cell r="J146">
            <v>19</v>
          </cell>
        </row>
        <row r="147">
          <cell r="B147" t="str">
            <v>6089MWV</v>
          </cell>
          <cell r="I147" t="str">
            <v>AVSA</v>
          </cell>
          <cell r="J147">
            <v>20</v>
          </cell>
        </row>
        <row r="148">
          <cell r="B148" t="str">
            <v>6094MWV</v>
          </cell>
          <cell r="I148" t="str">
            <v>AVSA</v>
          </cell>
          <cell r="J148">
            <v>21</v>
          </cell>
        </row>
        <row r="149">
          <cell r="B149" t="str">
            <v>6097MWV</v>
          </cell>
          <cell r="I149" t="str">
            <v>AVSA</v>
          </cell>
          <cell r="J149">
            <v>22</v>
          </cell>
        </row>
        <row r="150">
          <cell r="B150" t="str">
            <v>6102MWV</v>
          </cell>
          <cell r="I150" t="str">
            <v>AVSA</v>
          </cell>
          <cell r="J150">
            <v>23</v>
          </cell>
        </row>
        <row r="151">
          <cell r="B151" t="str">
            <v>6109MWV</v>
          </cell>
          <cell r="I151" t="str">
            <v>ISG</v>
          </cell>
          <cell r="J151">
            <v>3</v>
          </cell>
        </row>
        <row r="152">
          <cell r="B152" t="str">
            <v>6124MWV</v>
          </cell>
          <cell r="I152" t="str">
            <v>ISG</v>
          </cell>
          <cell r="J152">
            <v>4</v>
          </cell>
        </row>
        <row r="153">
          <cell r="B153" t="str">
            <v>6125MWV</v>
          </cell>
          <cell r="I153" t="str">
            <v>ISG</v>
          </cell>
          <cell r="J153">
            <v>5</v>
          </cell>
        </row>
        <row r="154">
          <cell r="B154" t="str">
            <v>6126MWV</v>
          </cell>
          <cell r="I154" t="str">
            <v>ISG</v>
          </cell>
          <cell r="J154">
            <v>6</v>
          </cell>
        </row>
        <row r="155">
          <cell r="B155" t="str">
            <v>6128MWV</v>
          </cell>
          <cell r="I155" t="str">
            <v>ISG</v>
          </cell>
          <cell r="J155">
            <v>7</v>
          </cell>
        </row>
        <row r="156">
          <cell r="B156" t="str">
            <v>6209MWV</v>
          </cell>
          <cell r="I156" t="str">
            <v>EMP.AG.POTABL.MALGRAT SA</v>
          </cell>
          <cell r="J156">
            <v>4</v>
          </cell>
        </row>
        <row r="157">
          <cell r="B157" t="str">
            <v>6245MWV</v>
          </cell>
          <cell r="I157" t="str">
            <v>E.Mixta Metropolitana, SA</v>
          </cell>
          <cell r="J157">
            <v>2</v>
          </cell>
        </row>
        <row r="158">
          <cell r="B158" t="str">
            <v>6248MWV</v>
          </cell>
          <cell r="I158" t="str">
            <v>G.O.INVERSIONES S.L.</v>
          </cell>
          <cell r="J158">
            <v>1</v>
          </cell>
        </row>
        <row r="159">
          <cell r="B159" t="str">
            <v>6271MXF</v>
          </cell>
          <cell r="I159" t="str">
            <v>AVSA</v>
          </cell>
          <cell r="J159">
            <v>24</v>
          </cell>
        </row>
        <row r="160">
          <cell r="B160" t="str">
            <v>6334MXF</v>
          </cell>
          <cell r="I160" t="str">
            <v>AVSA</v>
          </cell>
          <cell r="J160">
            <v>25</v>
          </cell>
        </row>
        <row r="161">
          <cell r="B161" t="str">
            <v>6370MXF</v>
          </cell>
          <cell r="I161" t="str">
            <v>AVSA</v>
          </cell>
          <cell r="J161">
            <v>26</v>
          </cell>
        </row>
        <row r="162">
          <cell r="B162" t="str">
            <v>6398MWV</v>
          </cell>
          <cell r="I162" t="str">
            <v>CGAC</v>
          </cell>
          <cell r="J162">
            <v>34</v>
          </cell>
        </row>
        <row r="163">
          <cell r="B163" t="str">
            <v>6439MWV</v>
          </cell>
          <cell r="I163" t="str">
            <v>G.O.MEDIOAMBIENTE S.L.</v>
          </cell>
          <cell r="J163">
            <v>8</v>
          </cell>
        </row>
        <row r="164">
          <cell r="B164" t="str">
            <v>6442MWV</v>
          </cell>
          <cell r="I164" t="str">
            <v>G.O.MEDIOAMBIENTE S.L.</v>
          </cell>
          <cell r="J164">
            <v>9</v>
          </cell>
        </row>
        <row r="165">
          <cell r="B165" t="str">
            <v>6444MWV</v>
          </cell>
          <cell r="I165" t="str">
            <v>G.O.MEDIOAMBIENTE S.L.</v>
          </cell>
          <cell r="J165">
            <v>10</v>
          </cell>
        </row>
        <row r="166">
          <cell r="B166" t="str">
            <v>6445MWV</v>
          </cell>
          <cell r="I166" t="str">
            <v>CGAC</v>
          </cell>
          <cell r="J166">
            <v>35</v>
          </cell>
        </row>
        <row r="167">
          <cell r="B167" t="str">
            <v>6492MWV</v>
          </cell>
          <cell r="I167" t="str">
            <v>MEDICION AVANZADA CONTAD.</v>
          </cell>
          <cell r="J167">
            <v>16</v>
          </cell>
        </row>
        <row r="168">
          <cell r="B168" t="str">
            <v>6493MWV</v>
          </cell>
          <cell r="I168" t="str">
            <v>MEDICION AVANZADA CONTAD.</v>
          </cell>
          <cell r="J168">
            <v>17</v>
          </cell>
        </row>
        <row r="169">
          <cell r="B169" t="str">
            <v>6558MWV</v>
          </cell>
          <cell r="I169" t="str">
            <v>G.O.MEDIOAMBIENTE S.L.</v>
          </cell>
          <cell r="J169">
            <v>11</v>
          </cell>
        </row>
        <row r="170">
          <cell r="B170" t="str">
            <v>6559MWV</v>
          </cell>
          <cell r="I170" t="str">
            <v>G.O.MEDIOAMBIENTE S.L.</v>
          </cell>
          <cell r="J170">
            <v>12</v>
          </cell>
        </row>
        <row r="171">
          <cell r="B171" t="str">
            <v>6727LMH</v>
          </cell>
          <cell r="I171" t="str">
            <v>G.O.MEDIOAMBIENTE S.L.</v>
          </cell>
          <cell r="J171">
            <v>13</v>
          </cell>
        </row>
        <row r="172">
          <cell r="B172" t="str">
            <v>6847MWL</v>
          </cell>
          <cell r="I172" t="str">
            <v>CGAC</v>
          </cell>
          <cell r="J172">
            <v>36</v>
          </cell>
        </row>
        <row r="173">
          <cell r="B173" t="str">
            <v>6952MXF</v>
          </cell>
          <cell r="I173" t="str">
            <v>G.O.INVERSIONES S.L.</v>
          </cell>
          <cell r="J173">
            <v>2</v>
          </cell>
        </row>
        <row r="174">
          <cell r="B174" t="str">
            <v>7725MXF</v>
          </cell>
          <cell r="I174" t="str">
            <v>GAMASER</v>
          </cell>
          <cell r="J174">
            <v>3</v>
          </cell>
        </row>
        <row r="175">
          <cell r="B175" t="str">
            <v>7775MXF</v>
          </cell>
          <cell r="I175" t="str">
            <v>GAMASER</v>
          </cell>
          <cell r="J175">
            <v>4</v>
          </cell>
        </row>
        <row r="176">
          <cell r="B176" t="str">
            <v>7830MXF</v>
          </cell>
          <cell r="I176" t="str">
            <v>GAMASER</v>
          </cell>
          <cell r="J176">
            <v>5</v>
          </cell>
        </row>
        <row r="177">
          <cell r="B177" t="str">
            <v>8249MXG</v>
          </cell>
          <cell r="I177" t="str">
            <v>ISG</v>
          </cell>
          <cell r="J177">
            <v>8</v>
          </cell>
        </row>
        <row r="178">
          <cell r="B178" t="str">
            <v>8349MXG</v>
          </cell>
          <cell r="I178" t="str">
            <v>ISG</v>
          </cell>
          <cell r="J178">
            <v>9</v>
          </cell>
        </row>
        <row r="179">
          <cell r="B179" t="str">
            <v>8387MXG</v>
          </cell>
          <cell r="I179" t="str">
            <v>ISG</v>
          </cell>
          <cell r="J179">
            <v>10</v>
          </cell>
        </row>
        <row r="180">
          <cell r="B180" t="str">
            <v>8392MXG</v>
          </cell>
          <cell r="I180" t="str">
            <v>ISG</v>
          </cell>
          <cell r="J180">
            <v>11</v>
          </cell>
        </row>
        <row r="181">
          <cell r="B181" t="str">
            <v>8436MXG</v>
          </cell>
          <cell r="I181" t="str">
            <v>ISG</v>
          </cell>
          <cell r="J181">
            <v>12</v>
          </cell>
        </row>
        <row r="182">
          <cell r="B182" t="str">
            <v>8479MWP</v>
          </cell>
          <cell r="I182" t="str">
            <v>EMIVASA</v>
          </cell>
          <cell r="J182">
            <v>40</v>
          </cell>
        </row>
        <row r="183">
          <cell r="B183" t="str">
            <v>8480MWP</v>
          </cell>
          <cell r="I183" t="str">
            <v>EMIVASA</v>
          </cell>
          <cell r="J183">
            <v>41</v>
          </cell>
        </row>
        <row r="184">
          <cell r="B184" t="str">
            <v>8481MWP</v>
          </cell>
          <cell r="I184" t="str">
            <v>EMIVASA</v>
          </cell>
          <cell r="J184">
            <v>42</v>
          </cell>
        </row>
        <row r="185">
          <cell r="B185" t="str">
            <v>8486MWP</v>
          </cell>
          <cell r="I185" t="str">
            <v>EMIVASA</v>
          </cell>
          <cell r="J185">
            <v>43</v>
          </cell>
        </row>
        <row r="186">
          <cell r="B186" t="str">
            <v>8487MWP</v>
          </cell>
          <cell r="I186" t="str">
            <v>EMIVASA</v>
          </cell>
          <cell r="J186">
            <v>44</v>
          </cell>
        </row>
        <row r="187">
          <cell r="B187" t="str">
            <v>8488MWP</v>
          </cell>
          <cell r="I187" t="str">
            <v>EMIVASA</v>
          </cell>
          <cell r="J187">
            <v>45</v>
          </cell>
        </row>
        <row r="188">
          <cell r="B188" t="str">
            <v>8496MXG</v>
          </cell>
          <cell r="I188" t="str">
            <v>ISG</v>
          </cell>
          <cell r="J188">
            <v>13</v>
          </cell>
        </row>
        <row r="189">
          <cell r="B189" t="str">
            <v>8597MWT</v>
          </cell>
          <cell r="I189" t="str">
            <v>CGAC</v>
          </cell>
          <cell r="J189">
            <v>37</v>
          </cell>
        </row>
        <row r="190">
          <cell r="B190" t="str">
            <v>8601MWT</v>
          </cell>
          <cell r="I190" t="str">
            <v>CGAC</v>
          </cell>
          <cell r="J190">
            <v>38</v>
          </cell>
        </row>
        <row r="191">
          <cell r="B191" t="str">
            <v>8603MWT</v>
          </cell>
          <cell r="I191" t="str">
            <v>CGAC</v>
          </cell>
          <cell r="J191">
            <v>39</v>
          </cell>
        </row>
        <row r="192">
          <cell r="B192" t="str">
            <v>8606MWT</v>
          </cell>
          <cell r="I192" t="str">
            <v>CGAC</v>
          </cell>
          <cell r="J192">
            <v>40</v>
          </cell>
        </row>
        <row r="193">
          <cell r="B193" t="str">
            <v>8616MWT</v>
          </cell>
          <cell r="I193" t="str">
            <v>CGAC</v>
          </cell>
          <cell r="J193">
            <v>41</v>
          </cell>
        </row>
        <row r="194">
          <cell r="B194" t="str">
            <v>8617MWT</v>
          </cell>
          <cell r="I194" t="str">
            <v>CGAC</v>
          </cell>
          <cell r="J194">
            <v>42</v>
          </cell>
        </row>
        <row r="195">
          <cell r="B195" t="str">
            <v>8618MWT</v>
          </cell>
          <cell r="I195" t="str">
            <v>CGAC</v>
          </cell>
          <cell r="J195">
            <v>43</v>
          </cell>
        </row>
        <row r="196">
          <cell r="B196" t="str">
            <v>8619MWT</v>
          </cell>
          <cell r="I196" t="str">
            <v>CGAC</v>
          </cell>
          <cell r="J196">
            <v>44</v>
          </cell>
        </row>
        <row r="197">
          <cell r="B197" t="str">
            <v>8624MWT</v>
          </cell>
          <cell r="I197" t="str">
            <v>CGAC</v>
          </cell>
          <cell r="J197">
            <v>45</v>
          </cell>
        </row>
        <row r="198">
          <cell r="B198" t="str">
            <v>8625MWT</v>
          </cell>
          <cell r="I198" t="str">
            <v>CGAC</v>
          </cell>
          <cell r="J198">
            <v>46</v>
          </cell>
        </row>
        <row r="199">
          <cell r="B199" t="str">
            <v>8626MWT</v>
          </cell>
          <cell r="I199" t="str">
            <v>CANALIZ. CIVILES S.A.</v>
          </cell>
          <cell r="J199">
            <v>8</v>
          </cell>
        </row>
        <row r="200">
          <cell r="B200" t="str">
            <v>8627MWT</v>
          </cell>
          <cell r="I200" t="str">
            <v>CANALIZ. CIVILES S.A.</v>
          </cell>
          <cell r="J200">
            <v>9</v>
          </cell>
        </row>
        <row r="201">
          <cell r="B201" t="str">
            <v>8628MWT</v>
          </cell>
          <cell r="I201" t="str">
            <v>CANALIZ. CIVILES S.A.</v>
          </cell>
          <cell r="J201">
            <v>10</v>
          </cell>
        </row>
        <row r="202">
          <cell r="B202" t="str">
            <v>8634MWT</v>
          </cell>
          <cell r="I202" t="str">
            <v>CANALIZ. CIVILES S.A.</v>
          </cell>
          <cell r="J202">
            <v>11</v>
          </cell>
        </row>
        <row r="203">
          <cell r="B203" t="str">
            <v>8636MWT</v>
          </cell>
          <cell r="I203" t="str">
            <v>CANALIZ. CIVILES S.A.</v>
          </cell>
          <cell r="J203">
            <v>12</v>
          </cell>
        </row>
        <row r="204">
          <cell r="B204" t="str">
            <v>8637MWT</v>
          </cell>
          <cell r="I204" t="str">
            <v>CANALIZ. CIVILES S.A.</v>
          </cell>
          <cell r="J204">
            <v>13</v>
          </cell>
        </row>
        <row r="205">
          <cell r="B205" t="str">
            <v>8640MWT</v>
          </cell>
          <cell r="I205" t="str">
            <v>CANALIZ. CIVILES S.A.</v>
          </cell>
          <cell r="J205">
            <v>14</v>
          </cell>
        </row>
        <row r="206">
          <cell r="B206" t="str">
            <v>8642MWT</v>
          </cell>
          <cell r="I206" t="str">
            <v>CANALIZ. CIVILES S.A.</v>
          </cell>
          <cell r="J206">
            <v>15</v>
          </cell>
        </row>
        <row r="207">
          <cell r="B207" t="str">
            <v>8644MWT</v>
          </cell>
          <cell r="I207" t="str">
            <v>CANALIZ. CIVILES S.A.</v>
          </cell>
          <cell r="J207">
            <v>16</v>
          </cell>
        </row>
        <row r="208">
          <cell r="B208" t="str">
            <v>8647MWT</v>
          </cell>
          <cell r="I208" t="str">
            <v>CANALIZ. CIVILES S.A.</v>
          </cell>
          <cell r="J208">
            <v>17</v>
          </cell>
        </row>
        <row r="209">
          <cell r="B209" t="str">
            <v>8651MWT</v>
          </cell>
          <cell r="I209" t="str">
            <v>CANALIZ. CIVILES S.A.</v>
          </cell>
          <cell r="J209">
            <v>18</v>
          </cell>
        </row>
        <row r="210">
          <cell r="B210" t="str">
            <v>8658MWT</v>
          </cell>
          <cell r="I210" t="str">
            <v>CANALIZ. CIVILES S.A.</v>
          </cell>
          <cell r="J210">
            <v>19</v>
          </cell>
        </row>
        <row r="211">
          <cell r="B211" t="str">
            <v>8711MXK</v>
          </cell>
          <cell r="I211" t="str">
            <v>AYWA SER.AMBIENTALES SL</v>
          </cell>
          <cell r="J211">
            <v>8</v>
          </cell>
        </row>
        <row r="212">
          <cell r="B212" t="str">
            <v>8781MXK</v>
          </cell>
          <cell r="I212" t="str">
            <v>MEDICION AVANZADA CONTAD.</v>
          </cell>
          <cell r="J212">
            <v>18</v>
          </cell>
        </row>
        <row r="213">
          <cell r="B213" t="str">
            <v>8796MXK</v>
          </cell>
          <cell r="I213" t="str">
            <v>EMIVASA</v>
          </cell>
          <cell r="J213">
            <v>46</v>
          </cell>
        </row>
        <row r="214">
          <cell r="B214" t="str">
            <v>8994MSH</v>
          </cell>
          <cell r="I214" t="str">
            <v>CGAC</v>
          </cell>
          <cell r="J214">
            <v>47</v>
          </cell>
        </row>
        <row r="215">
          <cell r="B215" t="str">
            <v>8998MSH</v>
          </cell>
          <cell r="I215" t="str">
            <v>CGAC</v>
          </cell>
          <cell r="J215">
            <v>48</v>
          </cell>
        </row>
        <row r="216">
          <cell r="B216" t="str">
            <v>8999MSH</v>
          </cell>
          <cell r="I216" t="str">
            <v>CGAC</v>
          </cell>
          <cell r="J216">
            <v>49</v>
          </cell>
        </row>
        <row r="217">
          <cell r="B217" t="str">
            <v>9049MWN</v>
          </cell>
          <cell r="I217" t="str">
            <v>AVSA</v>
          </cell>
          <cell r="J217">
            <v>27</v>
          </cell>
        </row>
        <row r="218">
          <cell r="B218" t="str">
            <v>9050MWN</v>
          </cell>
          <cell r="I218" t="str">
            <v>AVSA</v>
          </cell>
          <cell r="J218">
            <v>28</v>
          </cell>
        </row>
        <row r="219">
          <cell r="B219" t="str">
            <v>9061MVW</v>
          </cell>
          <cell r="I219" t="str">
            <v>COSTA BELLVER SA</v>
          </cell>
          <cell r="J219">
            <v>2</v>
          </cell>
        </row>
        <row r="220">
          <cell r="B220" t="str">
            <v>9273MWZ</v>
          </cell>
          <cell r="I220" t="str">
            <v>EMIVASA</v>
          </cell>
          <cell r="J220">
            <v>47</v>
          </cell>
        </row>
        <row r="221">
          <cell r="B221" t="str">
            <v>9275MWZ</v>
          </cell>
          <cell r="I221" t="str">
            <v>EMIVASA</v>
          </cell>
          <cell r="J221">
            <v>48</v>
          </cell>
        </row>
        <row r="222">
          <cell r="B222" t="str">
            <v>9546MWW</v>
          </cell>
          <cell r="I222" t="str">
            <v>MEDICION AVANZADA CONTAD.</v>
          </cell>
          <cell r="J222">
            <v>19</v>
          </cell>
        </row>
        <row r="223">
          <cell r="B223" t="str">
            <v>9925MWY</v>
          </cell>
          <cell r="I223" t="str">
            <v>EMIVASA</v>
          </cell>
          <cell r="J223">
            <v>49</v>
          </cell>
        </row>
        <row r="224">
          <cell r="B224" t="str">
            <v>9926MWY</v>
          </cell>
          <cell r="I224" t="str">
            <v>EMIVASA</v>
          </cell>
          <cell r="J224">
            <v>50</v>
          </cell>
        </row>
        <row r="225">
          <cell r="B225" t="str">
            <v>9927MWY</v>
          </cell>
          <cell r="I225" t="str">
            <v>EMIVASA</v>
          </cell>
          <cell r="J225">
            <v>51</v>
          </cell>
        </row>
        <row r="226">
          <cell r="B226" t="str">
            <v>9928MWY</v>
          </cell>
          <cell r="I226" t="str">
            <v>EMIVASA</v>
          </cell>
          <cell r="J226">
            <v>52</v>
          </cell>
        </row>
        <row r="227">
          <cell r="B227" t="str">
            <v>9929MWY</v>
          </cell>
          <cell r="I227" t="str">
            <v>EMIVASA</v>
          </cell>
          <cell r="J227">
            <v>53</v>
          </cell>
        </row>
        <row r="228">
          <cell r="B228" t="str">
            <v>9930MWY</v>
          </cell>
          <cell r="I228" t="str">
            <v>EMIVASA</v>
          </cell>
          <cell r="J228">
            <v>54</v>
          </cell>
        </row>
        <row r="229">
          <cell r="B229" t="str">
            <v>9931MWY</v>
          </cell>
          <cell r="I229" t="str">
            <v>EMIVASA</v>
          </cell>
          <cell r="J229">
            <v>55</v>
          </cell>
        </row>
        <row r="230">
          <cell r="B230" t="str">
            <v>6051KRV</v>
          </cell>
          <cell r="I230" t="str">
            <v>G.O.MEDIOAMBIENTE S.L.</v>
          </cell>
          <cell r="J230">
            <v>14</v>
          </cell>
        </row>
        <row r="231">
          <cell r="B231" t="str">
            <v>0602KHK</v>
          </cell>
          <cell r="I231" t="str">
            <v>ISG</v>
          </cell>
          <cell r="J231">
            <v>14</v>
          </cell>
        </row>
        <row r="232">
          <cell r="B232" t="str">
            <v>5995KSD</v>
          </cell>
          <cell r="I232" t="str">
            <v>G.O.MEDIOAMBIENTE S.L.</v>
          </cell>
          <cell r="J232">
            <v>15</v>
          </cell>
        </row>
        <row r="233">
          <cell r="B233" t="str">
            <v>4597LGC</v>
          </cell>
          <cell r="I233" t="str">
            <v>ISG</v>
          </cell>
          <cell r="J233">
            <v>15</v>
          </cell>
        </row>
        <row r="234">
          <cell r="B234" t="str">
            <v>1954MXT</v>
          </cell>
          <cell r="I234" t="str">
            <v>ARAGONESA SER.PUBLICOS SL</v>
          </cell>
          <cell r="J234">
            <v>1</v>
          </cell>
        </row>
        <row r="235">
          <cell r="B235" t="str">
            <v>1970MXT</v>
          </cell>
          <cell r="I235" t="str">
            <v>ARAGONESA SER.PUBLICOS SL</v>
          </cell>
          <cell r="J235">
            <v>2</v>
          </cell>
        </row>
        <row r="236">
          <cell r="B236" t="str">
            <v>1976MXT</v>
          </cell>
          <cell r="I236" t="str">
            <v>ARAGONESA SER.PUBLICOS SL</v>
          </cell>
          <cell r="J236">
            <v>3</v>
          </cell>
        </row>
        <row r="237">
          <cell r="B237" t="str">
            <v>2604MXV</v>
          </cell>
          <cell r="I237" t="str">
            <v>COSTA BELLVER SA</v>
          </cell>
          <cell r="J237">
            <v>3</v>
          </cell>
        </row>
        <row r="238">
          <cell r="B238" t="str">
            <v>6233MXY</v>
          </cell>
          <cell r="I238" t="str">
            <v>CGAC</v>
          </cell>
          <cell r="J238">
            <v>50</v>
          </cell>
        </row>
        <row r="239">
          <cell r="B239" t="str">
            <v>7151MXV</v>
          </cell>
          <cell r="I239" t="str">
            <v>EMPRESA MIXTA CALPE</v>
          </cell>
          <cell r="J239">
            <v>1</v>
          </cell>
        </row>
        <row r="240">
          <cell r="B240" t="str">
            <v>8662NDJ</v>
          </cell>
          <cell r="I240" t="str">
            <v>EMIVASA</v>
          </cell>
          <cell r="J240">
            <v>56</v>
          </cell>
        </row>
        <row r="241">
          <cell r="B241" t="str">
            <v>1634LRB</v>
          </cell>
          <cell r="I241" t="str">
            <v>EMIVASA</v>
          </cell>
          <cell r="J241">
            <v>57</v>
          </cell>
        </row>
      </sheetData>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Alejandro Miguel Salazar Calderon" id="{65F108A7-3A85-4C73-8FF1-6D14A00458DF}" userId="S::amsalazar@globalomnium.com::492d06ea-6be2-4ecf-8f67-3f1b44500c8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5A27E-4BC3-4DAE-849D-8B376FC023ED}" name="Tabla467824" displayName="Tabla467824" ref="B3:BM159" totalsRowCount="1" headerRowDxfId="573" dataDxfId="572" totalsRowDxfId="571" dataCellStyle="Normal 2">
  <autoFilter ref="B3:BM158" xr:uid="{FFC8736B-41AF-45C9-8491-7A69ED1780B0}"/>
  <tableColumns count="64">
    <tableColumn id="1" xr3:uid="{130E9A6B-0BCC-4061-9996-CE42704BF26F}" name="ID CAE" dataDxfId="570" totalsRowDxfId="569"/>
    <tableColumn id="2" xr3:uid="{0BD5A2D4-3497-4D2D-9D33-899490ADE6AC}" name="Matricula" dataDxfId="568" totalsRowDxfId="567" dataCellStyle="Normal 2"/>
    <tableColumn id="3" xr3:uid="{7C8F83E4-78A7-46DC-A18B-C4AFFE79FFAD}" name="TIPO VEHÍCULO" dataDxfId="566" totalsRowDxfId="565" dataCellStyle="Normal 2"/>
    <tableColumn id="4" xr3:uid="{1EDA0DEF-404D-4947-BD04-15DFB9450756}" name="COMBUSTIBLE" dataDxfId="564" totalsRowDxfId="563" dataCellStyle="Normal 2"/>
    <tableColumn id="5" xr3:uid="{06E81A2D-D616-4332-A1FF-1A79D879CA29}" name="Columna4" dataDxfId="562" totalsRowDxfId="561" dataCellStyle="Normal 2"/>
    <tableColumn id="6" xr3:uid="{86E1F95A-9234-4EB1-8A6C-22CEE4E29721}" name="Columna5" dataDxfId="560" totalsRowDxfId="559" dataCellStyle="Normal 2"/>
    <tableColumn id="7" xr3:uid="{1EEFFAFC-ED91-46F6-BDF3-976C8CCB349C}" name="Contrato" dataDxfId="558" totalsRowDxfId="557" dataCellStyle="Normal 2"/>
    <tableColumn id="8" xr3:uid="{6ED3DC83-BD32-4A92-A9CE-E8E19CFDD380}" name="Acta de Entrega" dataDxfId="556" totalsRowDxfId="555" dataCellStyle="Normal 2"/>
    <tableColumn id="9" xr3:uid="{87ADEF50-B49B-4483-83AA-025A95E02B12}" name="Acta Devolución" dataDxfId="554" totalsRowDxfId="553" dataCellStyle="Normal 2"/>
    <tableColumn id="10" xr3:uid="{FD771B78-7635-4C46-B159-F7BE5B5AF63C}" name="BAJA" dataDxfId="552" totalsRowDxfId="551" dataCellStyle="Normal 2"/>
    <tableColumn id="11" xr3:uid="{93891334-A713-44D3-9CBF-75E49994B9B7}" name="Ficha Técnica" dataDxfId="550" totalsRowDxfId="549" dataCellStyle="Normal 2"/>
    <tableColumn id="12" xr3:uid="{7499F9FB-E35B-4FE0-A5A2-C23EDA086F23}" name="Permiso de Circulación" dataDxfId="548" totalsRowDxfId="547" dataCellStyle="Normal 2"/>
    <tableColumn id="13" xr3:uid="{74D677FC-F5D9-466D-9881-3767AF9360D1}" name="IVTM" dataDxfId="546" totalsRowDxfId="545" dataCellStyle="Normal 2"/>
    <tableColumn id="14" xr3:uid="{93622A76-D3F4-4268-8B8A-964A327011E7}" name="Compañía/Proveedor" dataDxfId="544" totalsRowDxfId="543" dataCellStyle="Normal 2"/>
    <tableColumn id="15" xr3:uid="{999F119F-AA5B-4827-BDBD-99EFE23469EA}" name="Cod.Tipo Contrato" dataDxfId="542" totalsRowDxfId="541" dataCellStyle="Normal 2"/>
    <tableColumn id="16" xr3:uid="{BB49227C-6528-402E-88AE-C0079FEB73BE}" name="Tipo Contrato" dataDxfId="540" totalsRowDxfId="539" dataCellStyle="Normal 2"/>
    <tableColumn id="17" xr3:uid="{83202AAC-C263-495A-A201-7ECD12798A0F}" name="Situación Contrato" dataDxfId="538" totalsRowDxfId="537" dataCellStyle="Normal 2"/>
    <tableColumn id="18" xr3:uid="{0DA8E175-1E18-4AAC-9043-17F867792F95}" name="f Vig Inicio" dataDxfId="536" totalsRowDxfId="535" dataCellStyle="Normal 2"/>
    <tableColumn id="19" xr3:uid="{D81A6390-62AA-450E-AC55-D2D707788C6D}" name="F.Vig.Final" dataDxfId="534" totalsRowDxfId="533" dataCellStyle="Normal 2"/>
    <tableColumn id="20" xr3:uid="{4F87DF28-6106-4C96-B6D7-4F00A3E41F65}" name="Tiempo Prop" dataDxfId="532" totalsRowDxfId="531" dataCellStyle="Normal 2"/>
    <tableColumn id="21" xr3:uid="{E8070C23-2661-4358-8DB3-B503CD29CC9F}" name="Año" dataDxfId="530" totalsRowDxfId="529" dataCellStyle="Normal 2"/>
    <tableColumn id="22" xr3:uid="{C0C6F82B-FF15-4A11-8601-450930ECE628}" name="Cod.Sit.Contrato" dataDxfId="528" totalsRowDxfId="527" dataCellStyle="Normal 2"/>
    <tableColumn id="23" xr3:uid="{EF070C9C-E420-4643-A7B4-D2EE4FE523AA}" name="Combustible2" dataDxfId="526" totalsRowDxfId="525" dataCellStyle="Normal 2"/>
    <tableColumn id="24" xr3:uid="{FF9D7365-28A0-40FE-AA6B-0C68776812AE}" name="Marca" dataDxfId="524" totalsRowDxfId="523" dataCellStyle="Normal 2"/>
    <tableColumn id="25" xr3:uid="{F04F30A8-120F-4FAC-998E-1D1D9F9DD5A8}" name="Modelo/Versión" dataDxfId="522" totalsRowDxfId="521" dataCellStyle="Normal 2"/>
    <tableColumn id="26" xr3:uid="{8C57C7B1-0D91-462C-9CA1-40271B3439A1}" name="Cod.Sociedad" dataDxfId="520" totalsRowDxfId="519" dataCellStyle="Normal 2"/>
    <tableColumn id="27" xr3:uid="{8DE38B0B-11B7-4193-8B42-A2CC6B7C4115}" name="Sociedad" dataDxfId="518" totalsRowDxfId="517" dataCellStyle="Normal 2"/>
    <tableColumn id="28" xr3:uid="{FA49BC36-8398-49D3-B10E-988DFA96034F}" name="Ceco.Imput" dataDxfId="516" totalsRowDxfId="515" dataCellStyle="Normal 2"/>
    <tableColumn id="29" xr3:uid="{E43DCCC3-541D-4D60-893F-BE1729462EF8}" name="Columna1" dataDxfId="514" totalsRowDxfId="513" dataCellStyle="Normal 2"/>
    <tableColumn id="30" xr3:uid="{F213DDE3-82DD-47B1-B35C-338702C22216}" name="Matricula nueva" dataDxfId="512" totalsRowDxfId="511" dataCellStyle="Normal 2"/>
    <tableColumn id="31" xr3:uid="{8E0CA838-0185-45F7-851D-FEF540F7680A}" name="Marca2" dataDxfId="510" totalsRowDxfId="509" dataCellStyle="Normal 2"/>
    <tableColumn id="32" xr3:uid="{3BAD726D-2F94-4B31-9AF4-69ACFFEA9CB4}" name="Modelo/Versión3" dataDxfId="508" totalsRowDxfId="507" dataCellStyle="Normal 2"/>
    <tableColumn id="33" xr3:uid="{29BA22B1-0D25-42EA-9178-D506C09B5385}" name="Combustible4" dataDxfId="506" totalsRowDxfId="505" dataCellStyle="Normal 2"/>
    <tableColumn id="34" xr3:uid="{87C9774C-D780-457E-B8A1-3F0EDD67D801}" name="Ceco" dataDxfId="504" totalsRowDxfId="503" dataCellStyle="Normal 2"/>
    <tableColumn id="35" xr3:uid="{4526AE61-1B9D-4A13-B58C-BF6C14B1FFFA}" name="Renov. Flota" dataDxfId="502" totalsRowDxfId="501" dataCellStyle="Normal 2"/>
    <tableColumn id="36" xr3:uid="{4A9A6955-3E13-436B-9238-3887323F1C92}" name="Fecha Alta" dataDxfId="500" totalsRowDxfId="499" dataCellStyle="Normal 2"/>
    <tableColumn id="37" xr3:uid="{83658FC0-2EA5-4EBE-B227-CC05A1FD5A02}" name="Columna3" dataDxfId="498" totalsRowDxfId="497" dataCellStyle="Normal 2"/>
    <tableColumn id="38" xr3:uid="{E002FCFD-8E7C-41F8-B611-DA46E524AEF8}" name="Cod.Sociedad5" dataDxfId="496" totalsRowDxfId="495" dataCellStyle="Normal 2"/>
    <tableColumn id="39" xr3:uid="{A0050545-95F1-4787-8F9A-67103D678FB3}" name="Pedido" dataDxfId="494" totalsRowDxfId="493" dataCellStyle="Normal 2"/>
    <tableColumn id="40" xr3:uid="{D52918AB-62F5-4256-917D-6235AF284FBB}" name="Sociedad6" dataDxfId="492" totalsRowDxfId="491" dataCellStyle="Normal 2"/>
    <tableColumn id="41" xr3:uid="{509B4F0F-53D9-4C64-A2CA-A71736F638DA}" name="Ceco imputado" dataDxfId="490" totalsRowDxfId="489" dataCellStyle="Normal 2"/>
    <tableColumn id="42" xr3:uid="{F6F416CE-3C9E-4A1B-A7CF-05B9E093CADC}" name="Factura" dataDxfId="488" totalsRowDxfId="487" dataCellStyle="Normal 2"/>
    <tableColumn id="43" xr3:uid="{462405C4-4943-4B1D-8ECE-10FB99C36891}" name="Comunidad Autonoma" dataDxfId="486" totalsRowDxfId="485" dataCellStyle="Normal 2"/>
    <tableColumn id="44" xr3:uid="{4B8D9A72-3FF1-417B-898C-E1BD5446A6AF}" name="CHASIS/Bastidor" dataDxfId="484" totalsRowDxfId="483" dataCellStyle="Normal 2"/>
    <tableColumn id="45" xr3:uid="{74B70B7C-A627-4DD9-84B8-1E7891DD8F7F}" name="CVA" dataDxfId="482" totalsRowDxfId="481" dataCellStyle="Normal 2"/>
    <tableColumn id="46" xr3:uid="{BE1198CB-83F4-4F2E-9495-B6ABFABFDDC4}" name="F" dataDxfId="480" totalsRowDxfId="479" dataCellStyle="Normal 2"/>
    <tableColumn id="47" xr3:uid="{D49611AC-6081-42C3-9983-07EAC1245150}" name="CVN" dataDxfId="478" totalsRowDxfId="477" dataCellStyle="Normal 2"/>
    <tableColumn id="48" xr3:uid="{530F033D-CE6B-4B53-AD78-C4A04D85253D}" name="L" dataDxfId="476" totalsRowDxfId="475" dataCellStyle="Normal 2"/>
    <tableColumn id="49" xr3:uid="{A42E7FC4-4A3D-44B7-995C-093672CEA5FF}" name="AE" totalsRowFunction="custom" dataDxfId="474" totalsRowDxfId="473" dataCellStyle="Normal 2">
      <totalsRowFormula>SUM(Tabla467824[AE])</totalsRowFormula>
    </tableColumn>
    <tableColumn id="50" xr3:uid="{F304079F-80D0-4D4C-8F7A-8386810D726E}" name="Columna2" dataDxfId="472" totalsRowDxfId="471" dataCellStyle="Normal 2"/>
    <tableColumn id="51" xr3:uid="{8456AE13-A117-45F5-A260-EA502D707BC4}" name="Vacias" dataDxfId="470" totalsRowDxfId="469" dataCellStyle="Normal 2"/>
    <tableColumn id="58" xr3:uid="{DB8EB308-4F60-4FC5-9406-BAC6D3DF5E53}" name="Tipo vehículo2" dataDxfId="468" totalsRowDxfId="467" dataCellStyle="Normal 2">
      <calculatedColumnFormula>+IF(Tabla467824[[#This Row],[TIPO VEHÍCULO]]=Tabla467824[[#This Row],[Columna2]], "IGUAL", "DISTINTO")</calculatedColumnFormula>
    </tableColumn>
    <tableColumn id="57" xr3:uid="{9D0058E3-7E8C-40E9-B98D-E774E9F45352}" name="Tipo combustible" dataDxfId="466" totalsRowDxfId="465" dataCellStyle="Normal 2">
      <calculatedColumnFormula>+IF(Tabla467824[[#This Row],[Columna4]]=Tabla467824[[#This Row],[Combustible2]], "IGUAL", "DISTINTO")</calculatedColumnFormula>
    </tableColumn>
    <tableColumn id="61" xr3:uid="{B28E96FA-C4EE-42A1-8018-E70E94FC5B86}" name="ID CAE2" dataDxfId="464" totalsRowDxfId="463" dataCellStyle="Normal 2"/>
    <tableColumn id="52" xr3:uid="{DB551BCD-0B43-4745-BC67-F7F3E4D02C63}" name="CVA2" dataDxfId="462" totalsRowDxfId="461" dataCellStyle="Normal 2">
      <calculatedColumnFormula array="1">IFERROR(INDEX('[1]Anexos FICHA TRA050'!$D$27:$D$44, MATCH(Tabla467824[[#This Row],[Columna5]]&amp;Tabla467824[[#This Row],[Columna4]], '[1]Anexos FICHA TRA050'!$E$27:$E$44&amp;'[1]Anexos FICHA TRA050'!$F$27:$F$44, 0)), "")</calculatedColumnFormula>
    </tableColumn>
    <tableColumn id="53" xr3:uid="{BD0C6A5F-8BFB-47F1-A895-15727E16E220}" name="f2" dataDxfId="460" totalsRowDxfId="459" dataCellStyle="Normal 2">
      <calculatedColumnFormula>IFERROR(INDEX('[1]Anexos FICHA TRA050'!$B$4:$B$7, MATCH(Tabla467824[[#This Row],[Columna4]], '[1]Anexos FICHA TRA050'!$C$4:$C$7, 0)), "")</calculatedColumnFormula>
    </tableColumn>
    <tableColumn id="54" xr3:uid="{F41DC843-D9D0-44BB-A623-83612BD8B796}" name="CVN2" dataDxfId="458" totalsRowDxfId="457" dataCellStyle="Normal 2">
      <calculatedColumnFormula>IFERROR(INDEX('[1]Anexos FICHA TRA050'!$C$14:$C$22, MATCH(Tabla467824[[#This Row],[Columna5]], '[1]Anexos FICHA TRA050'!$D$14:$D$22, 0)), "")</calculatedColumnFormula>
    </tableColumn>
    <tableColumn id="55" xr3:uid="{042BD9AD-ABAD-4432-AEC0-800ABC35DCED}" name="L2" dataDxfId="456" totalsRowDxfId="455" dataCellStyle="Millares">
      <calculatedColumnFormula>IFERROR(INDEX('[1]Anexos FICHA TRA050'!$C$49:$C$54, MATCH(Tabla467824[[#This Row],[Columna5]], '[1]Anexos FICHA TRA050'!$D$49:$D$54, 0)), "")</calculatedColumnFormula>
    </tableColumn>
    <tableColumn id="56" xr3:uid="{E45BE0CC-81C7-4485-B2FF-3EF01DD194B0}" name="AE [kWh]" totalsRowFunction="custom" dataDxfId="454" totalsRowDxfId="453" dataCellStyle="Normal 2">
      <calculatedColumnFormula>+(((Tabla467824[[#This Row],[CVA2]]*Tabla467824[[#This Row],[f2]])-Tabla467824[[#This Row],[CVN2]])/100)*Tabla467824[[#This Row],[L2]]</calculatedColumnFormula>
      <totalsRowFormula>+SUM(BH145:BH158,BH48:BH143,BH4:BH46)</totalsRowFormula>
    </tableColumn>
    <tableColumn id="59" xr3:uid="{D03F2FCF-EE39-416C-8A13-7D40C4EAF279}" name="Comprobación" dataDxfId="452" totalsRowDxfId="451" dataCellStyle="Normal 2"/>
    <tableColumn id="60" xr3:uid="{8BD7D717-550B-4C96-B867-B338AD009DFC}" name="Comprobación 2" dataDxfId="450" totalsRowDxfId="449" dataCellStyle="Normal 2"/>
    <tableColumn id="62" xr3:uid="{841E1BD3-BDF2-4BEF-91F3-B8DC2F99B30C}" name="f23" dataDxfId="448" totalsRowDxfId="447" dataCellStyle="Normal 2">
      <calculatedColumnFormula>+IF(Tabla467824[[#This Row],[F]]=Tabla467824[[#This Row],[f2]], "IGUAL", "DISTINTO")</calculatedColumnFormula>
    </tableColumn>
    <tableColumn id="63" xr3:uid="{8F13773A-1861-4827-A796-B9B32DAE7A27}" name="CVN22" dataDxfId="446" totalsRowDxfId="445" dataCellStyle="Normal 2">
      <calculatedColumnFormula>+IF(Tabla467824[[#This Row],[CVN]]=Tabla467824[[#This Row],[CVN2]], "IGUAL", "DISTINTO")</calculatedColumnFormula>
    </tableColumn>
    <tableColumn id="64" xr3:uid="{CB0BA1BD-25C2-42DB-86B4-E6DAF498FDFD}" name="L23" dataDxfId="444" totalsRowDxfId="443" dataCellStyle="Normal 2">
      <calculatedColumnFormula>+IF(Tabla467824[[#This Row],[L]]=Tabla467824[[#This Row],[L2]], "IGUAL", "DISTINTO")</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EB254F-8DA0-47C7-9420-1EBAC74668E3}" name="Tabla46782" displayName="Tabla46782" ref="B3:BM159" totalsRowCount="1" headerRowDxfId="442" dataDxfId="441" totalsRowDxfId="440" dataCellStyle="Normal 2">
  <autoFilter ref="B3:BM158" xr:uid="{FFC8736B-41AF-45C9-8491-7A69ED1780B0}"/>
  <tableColumns count="64">
    <tableColumn id="1" xr3:uid="{BADE59C6-4529-4857-B3CF-2C398DB4DB33}" name="ID CAE" dataDxfId="439" totalsRowDxfId="438"/>
    <tableColumn id="2" xr3:uid="{8B9D5205-7896-492C-A923-F2459C8A0CED}" name="Matricula" dataDxfId="437" totalsRowDxfId="436" dataCellStyle="Normal 2"/>
    <tableColumn id="3" xr3:uid="{71F59E37-C510-49E4-BAF8-B20F2F55D528}" name="TIPO VEHÍCULO" dataDxfId="435" totalsRowDxfId="434" dataCellStyle="Normal 2"/>
    <tableColumn id="4" xr3:uid="{387C2FFD-19FD-432F-BE09-FE68AE238962}" name="COMBUSTIBLE" dataDxfId="433" totalsRowDxfId="432" dataCellStyle="Normal 2"/>
    <tableColumn id="5" xr3:uid="{7EB76A88-F23C-4108-89B9-8CB9D117790B}" name="Columna4" dataDxfId="431" totalsRowDxfId="430" dataCellStyle="Normal 2"/>
    <tableColumn id="6" xr3:uid="{8D80B273-8602-49AE-853A-E64FF58FB208}" name="Columna5" dataDxfId="429" totalsRowDxfId="428" dataCellStyle="Normal 2"/>
    <tableColumn id="7" xr3:uid="{98131072-9E29-459C-82DD-943FB92C8622}" name="Contrato" dataDxfId="427" totalsRowDxfId="426" dataCellStyle="Normal 2"/>
    <tableColumn id="8" xr3:uid="{DEDD4988-9379-4D60-898C-26426806717E}" name="Acta de Entrega" dataDxfId="425" totalsRowDxfId="424" dataCellStyle="Normal 2"/>
    <tableColumn id="9" xr3:uid="{763A6F31-7A0A-41AE-AA07-CAF61D2E68D2}" name="Acta Devolución" dataDxfId="423" totalsRowDxfId="422" dataCellStyle="Normal 2"/>
    <tableColumn id="10" xr3:uid="{0EEBC079-EE88-489D-8761-DDE185AF1674}" name="BAJA" dataDxfId="421" totalsRowDxfId="420" dataCellStyle="Normal 2"/>
    <tableColumn id="11" xr3:uid="{C4DF258A-9791-489B-B33A-C41AD2D63BE5}" name="Ficha Técnica" dataDxfId="419" totalsRowDxfId="418" dataCellStyle="Normal 2"/>
    <tableColumn id="12" xr3:uid="{F1242BB2-C044-4A10-888F-5F28BFBD6A88}" name="Permiso de Circulación" dataDxfId="417" totalsRowDxfId="416" dataCellStyle="Normal 2"/>
    <tableColumn id="13" xr3:uid="{616C8986-98A0-42C6-8E74-F4A833B33526}" name="IVTM" dataDxfId="415" totalsRowDxfId="414" dataCellStyle="Normal 2"/>
    <tableColumn id="14" xr3:uid="{21D4539F-F79A-4431-AB9C-52A91FD87925}" name="Compañía/Proveedor" dataDxfId="413" totalsRowDxfId="412" dataCellStyle="Normal 2"/>
    <tableColumn id="15" xr3:uid="{E99CF1FE-B92D-461A-B9B3-AA7FB03524FB}" name="Cod.Tipo Contrato" dataDxfId="411" totalsRowDxfId="410" dataCellStyle="Normal 2"/>
    <tableColumn id="16" xr3:uid="{2282B910-FD62-461F-8C1F-C493239E5FCF}" name="Tipo Contrato" dataDxfId="409" totalsRowDxfId="408" dataCellStyle="Normal 2"/>
    <tableColumn id="17" xr3:uid="{67D1BE1C-03CF-44F5-83CB-C1507EA36F07}" name="Situación Contrato" dataDxfId="407" totalsRowDxfId="406" dataCellStyle="Normal 2"/>
    <tableColumn id="18" xr3:uid="{A6B8F407-14CE-4F3A-A5FB-8B5CF1F476D4}" name="f Vig Inicio" dataDxfId="405" totalsRowDxfId="404" dataCellStyle="Normal 2"/>
    <tableColumn id="19" xr3:uid="{6F7DCA5D-CAF1-4BFC-AC3B-7ED371776C53}" name="F.Vig.Final" dataDxfId="403" totalsRowDxfId="402" dataCellStyle="Normal 2"/>
    <tableColumn id="65" xr3:uid="{5506C0E5-36B4-44CA-AA03-5692488E6271}" name="Fecha Devolución" dataDxfId="401" totalsRowDxfId="400" dataCellStyle="Normal 2">
      <calculatedColumnFormula>VLOOKUP(Tabla46782[[#This Row],[Matricula]],BAJA2022202320242025!$B$3:$CR$245,95,FALSE)</calculatedColumnFormula>
    </tableColumn>
    <tableColumn id="20" xr3:uid="{8E4691A5-CAC6-46B4-8559-1975F66CD1D8}" name="Tiempo Prop" dataDxfId="399" totalsRowDxfId="398" dataCellStyle="Normal 2"/>
    <tableColumn id="21" xr3:uid="{7E20ACC8-75C5-4EE9-9B07-A20DF9006E39}" name="Año" dataDxfId="397" totalsRowDxfId="396" dataCellStyle="Normal 2"/>
    <tableColumn id="22" xr3:uid="{1164AB7F-6B4E-4E86-806E-E63AFDB1AAD3}" name="Cod.Sit.Contrato" dataDxfId="395" totalsRowDxfId="394" dataCellStyle="Normal 2"/>
    <tableColumn id="23" xr3:uid="{748D5CC8-1145-4571-88D2-2D8F73E3455B}" name="Combustible2" dataDxfId="393" totalsRowDxfId="392" dataCellStyle="Normal 2"/>
    <tableColumn id="24" xr3:uid="{76DC2EDB-30F4-44ED-8FC6-9EA43FA9D4B2}" name="Marca" dataDxfId="391" totalsRowDxfId="390" dataCellStyle="Normal 2"/>
    <tableColumn id="25" xr3:uid="{7B2C3C44-A83C-4F48-B81A-858635A65C50}" name="Modelo/Versión" dataDxfId="389" totalsRowDxfId="388" dataCellStyle="Normal 2"/>
    <tableColumn id="26" xr3:uid="{99331475-8792-4897-8D62-BAFEBCF73318}" name="Cod.Sociedad" dataDxfId="387" totalsRowDxfId="386" dataCellStyle="Normal 2"/>
    <tableColumn id="27" xr3:uid="{CADEBB00-F506-4D67-A105-BA85385C0DEE}" name="Sociedad" dataDxfId="385" totalsRowDxfId="384" dataCellStyle="Normal 2"/>
    <tableColumn id="28" xr3:uid="{ED8804D5-32A8-405C-9D7B-0242078DA60C}" name="Ceco.Imput" dataDxfId="383" totalsRowDxfId="382" dataCellStyle="Normal 2"/>
    <tableColumn id="29" xr3:uid="{5B9F2024-D2C4-4924-B382-4736F4F01888}" name="Columna1" dataDxfId="381" totalsRowDxfId="380" dataCellStyle="Normal 2"/>
    <tableColumn id="30" xr3:uid="{C1B72683-909C-44D6-8EFB-BE25F48D7219}" name="Matricula nueva" dataDxfId="379" totalsRowDxfId="378" dataCellStyle="Normal 2"/>
    <tableColumn id="31" xr3:uid="{BDBB2759-C416-47E6-8BE2-2A94D5E35664}" name="Marca2" dataDxfId="377" totalsRowDxfId="376" dataCellStyle="Normal 2"/>
    <tableColumn id="32" xr3:uid="{2468688E-73F0-4C1E-9E25-9CC04A1A5D8D}" name="Modelo/Versión3" dataDxfId="375" totalsRowDxfId="374" dataCellStyle="Normal 2"/>
    <tableColumn id="33" xr3:uid="{BA34622E-8CF9-4F80-AAD6-19C9F05D1FBA}" name="Combustible4" dataDxfId="373" totalsRowDxfId="372" dataCellStyle="Normal 2"/>
    <tableColumn id="34" xr3:uid="{ABB0D42D-6619-4A5B-8B60-7B40B9E015DA}" name="Ceco" dataDxfId="371" totalsRowDxfId="370" dataCellStyle="Normal 2"/>
    <tableColumn id="35" xr3:uid="{F844E1F0-50C3-4C89-ADDD-FFFFA95C85E0}" name="Renov. Flota" dataDxfId="369" totalsRowDxfId="368" dataCellStyle="Normal 2"/>
    <tableColumn id="36" xr3:uid="{2DDC2C51-FEA1-48E9-A84E-95085B99CDA3}" name="Fecha Alta" dataDxfId="367" totalsRowDxfId="366" dataCellStyle="Normal 2"/>
    <tableColumn id="37" xr3:uid="{7FABA71B-998E-4756-B8B3-2F448EB1647E}" name="Columna3" dataDxfId="365" totalsRowDxfId="364" dataCellStyle="Normal 2"/>
    <tableColumn id="38" xr3:uid="{BF56DEF8-F8A9-49D0-B5AD-D8B228FF0273}" name="Cod.Sociedad5" dataDxfId="363" totalsRowDxfId="362" dataCellStyle="Normal 2"/>
    <tableColumn id="39" xr3:uid="{C9B5A6BC-4203-44AC-A256-265B00B4A42E}" name="Pedido" dataDxfId="361" totalsRowDxfId="360" dataCellStyle="Normal 2"/>
    <tableColumn id="40" xr3:uid="{03871DCB-A370-4F5B-ADFD-539C6A5CA42D}" name="Sociedad6" dataDxfId="359" totalsRowDxfId="358" dataCellStyle="Normal 2"/>
    <tableColumn id="41" xr3:uid="{16C69ABC-F00C-42A7-AF15-7EA0560FE01A}" name="Ceco imputado" dataDxfId="357" totalsRowDxfId="356" dataCellStyle="Normal 2"/>
    <tableColumn id="42" xr3:uid="{9D550C5D-C2A4-4CFB-AB95-197EDE4A47CE}" name="Factura" dataDxfId="355" totalsRowDxfId="354" dataCellStyle="Normal 2"/>
    <tableColumn id="43" xr3:uid="{BF6423CA-18C8-4567-BD68-15443CFA2EE9}" name="Comunidad Autonoma" dataDxfId="353" totalsRowDxfId="352" dataCellStyle="Normal 2"/>
    <tableColumn id="44" xr3:uid="{BF33FE55-8BA5-4985-9DC7-3F80110D784B}" name="CHASIS/Bastidor" dataDxfId="351" totalsRowDxfId="350" dataCellStyle="Normal 2"/>
    <tableColumn id="45" xr3:uid="{9F0031BE-5019-4371-A2C5-0A8C03B010AF}" name="CVA" dataDxfId="349" totalsRowDxfId="348" dataCellStyle="Normal 2"/>
    <tableColumn id="46" xr3:uid="{93FF13B8-ABF6-4079-90A5-96B490482ECB}" name="F3" dataDxfId="347" totalsRowDxfId="346" dataCellStyle="Normal 2"/>
    <tableColumn id="47" xr3:uid="{3CA1BFB4-E06B-4D5D-A698-CD6C28BCD448}" name="CVN" dataDxfId="345" totalsRowDxfId="344" dataCellStyle="Normal 2"/>
    <tableColumn id="48" xr3:uid="{6E265A72-A4A4-4000-A9D1-8AF70AC727BE}" name="L" dataDxfId="343" totalsRowDxfId="342" dataCellStyle="Normal 2"/>
    <tableColumn id="49" xr3:uid="{CA1265E8-B39B-4197-A5EE-5E9B9DF87083}" name="AE" totalsRowFunction="custom" dataDxfId="341" totalsRowDxfId="340" dataCellStyle="Normal 2">
      <totalsRowFormula>SUM(Tabla46782[AE])</totalsRowFormula>
    </tableColumn>
    <tableColumn id="50" xr3:uid="{75029249-A0EB-4FF3-8B12-39DBF2F7D06E}" name="Columna2" dataDxfId="339" totalsRowDxfId="338" dataCellStyle="Normal 2"/>
    <tableColumn id="51" xr3:uid="{F2651F4E-A744-4C89-BE4D-A2F8426FDD61}" name="Vacias" dataDxfId="337" totalsRowDxfId="336" dataCellStyle="Normal 2"/>
    <tableColumn id="58" xr3:uid="{E2DD6130-4B11-41B0-848F-D024E3E415FE}" name="Tipo vehículo2" dataDxfId="335" totalsRowDxfId="334" dataCellStyle="Normal 2">
      <calculatedColumnFormula>+IF(Tabla46782[[#This Row],[TIPO VEHÍCULO]]=Tabla46782[[#This Row],[Columna2]], "IGUAL", "DISTINTO")</calculatedColumnFormula>
    </tableColumn>
    <tableColumn id="57" xr3:uid="{36C93EA6-D003-4E71-888D-75519077BFC2}" name="Tipo combustible" dataDxfId="333" totalsRowDxfId="332" dataCellStyle="Normal 2">
      <calculatedColumnFormula>+IF(Tabla46782[[#This Row],[Columna4]]=Tabla46782[[#This Row],[Combustible2]], "IGUAL", "DISTINTO")</calculatedColumnFormula>
    </tableColumn>
    <tableColumn id="52" xr3:uid="{2F6D9888-C71B-4A85-AC26-D994A55A4FA3}" name="CVA2" dataDxfId="331" totalsRowDxfId="330" dataCellStyle="Normal 2">
      <calculatedColumnFormula array="1">IFERROR(INDEX('[1]Anexos FICHA TRA050'!$D$27:$D$44, MATCH(Tabla46782[[#This Row],[Columna5]]&amp;Tabla46782[[#This Row],[Columna4]], '[1]Anexos FICHA TRA050'!$E$27:$E$44&amp;'[1]Anexos FICHA TRA050'!$F$27:$F$44, 0)), "")</calculatedColumnFormula>
    </tableColumn>
    <tableColumn id="53" xr3:uid="{9D3281B1-3B64-4809-AAC2-2002A3BAC3D6}" name="f2" dataDxfId="329" totalsRowDxfId="328" dataCellStyle="Normal 2">
      <calculatedColumnFormula>IFERROR(INDEX('[1]Anexos FICHA TRA050'!$B$4:$B$7, MATCH(Tabla46782[[#This Row],[Columna4]], '[1]Anexos FICHA TRA050'!$C$4:$C$7, 0)), "")</calculatedColumnFormula>
    </tableColumn>
    <tableColumn id="54" xr3:uid="{6ECC1969-84AC-417C-92A8-5877E47E080A}" name="CVN2" dataDxfId="327" totalsRowDxfId="326" dataCellStyle="Normal 2">
      <calculatedColumnFormula>IFERROR(INDEX('[1]Anexos FICHA TRA050'!$C$14:$C$22, MATCH(Tabla46782[[#This Row],[Columna5]], '[1]Anexos FICHA TRA050'!$D$14:$D$22, 0)), "")</calculatedColumnFormula>
    </tableColumn>
    <tableColumn id="55" xr3:uid="{AF4B747E-0117-418C-9AB5-5C18C1010C4E}" name="L2" dataDxfId="325" totalsRowDxfId="324" dataCellStyle="Millares">
      <calculatedColumnFormula>IFERROR(INDEX('[1]Anexos FICHA TRA050'!$C$49:$C$54, MATCH(Tabla46782[[#This Row],[Columna5]], '[1]Anexos FICHA TRA050'!$D$49:$D$54, 0)), "")</calculatedColumnFormula>
    </tableColumn>
    <tableColumn id="56" xr3:uid="{113A44A6-E622-4755-A91D-4988AEEA5E9D}" name="AE [kWh]" totalsRowFunction="custom" dataDxfId="323" totalsRowDxfId="322" dataCellStyle="Normal 2">
      <calculatedColumnFormula>+(((Tabla46782[[#This Row],[CVA2]]*Tabla46782[[#This Row],[f2]])-Tabla46782[[#This Row],[CVN2]])/100)*Tabla46782[[#This Row],[L2]]</calculatedColumnFormula>
      <totalsRowFormula>+SUM(BH145:BH158,BH48:BH143,BH4:BH46)</totalsRowFormula>
    </tableColumn>
    <tableColumn id="59" xr3:uid="{B37A0C47-B622-46EF-8929-0C78F703DE88}" name="Comprobación" dataDxfId="321" totalsRowDxfId="320" dataCellStyle="Normal 2"/>
    <tableColumn id="60" xr3:uid="{068EE019-8096-4E35-813A-64A541310BDE}" name="Comprobación 2" dataDxfId="319" totalsRowDxfId="318" dataCellStyle="Normal 2"/>
    <tableColumn id="62" xr3:uid="{523491A3-C5DB-4679-BBD3-43339D0F16AE}" name="f23" dataDxfId="317" totalsRowDxfId="316" dataCellStyle="Normal 2">
      <calculatedColumnFormula>+IF(Tabla46782[[#This Row],[F3]]=Tabla46782[[#This Row],[f2]], "IGUAL", "DISTINTO")</calculatedColumnFormula>
    </tableColumn>
    <tableColumn id="63" xr3:uid="{A58F3BDC-5C7C-42AA-96E7-7AD72D21D114}" name="CVN22" dataDxfId="315" totalsRowDxfId="314" dataCellStyle="Normal 2">
      <calculatedColumnFormula>+IF(Tabla46782[[#This Row],[CVN]]=Tabla46782[[#This Row],[CVN2]], "IGUAL", "DISTINTO")</calculatedColumnFormula>
    </tableColumn>
    <tableColumn id="64" xr3:uid="{D3C3F0CF-1397-43F4-9CED-7492E5AB4484}" name="L23" dataDxfId="313" totalsRowDxfId="312" dataCellStyle="Normal 2">
      <calculatedColumnFormula>+IF(Tabla46782[[#This Row],[L]]=Tabla46782[[#This Row],[L2]], "IGUAL", "DISTINTO")</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4584B-7D2B-4BA9-A360-534E42FF502A}" name="Tabla1" displayName="Tabla1" ref="C2:AW350" totalsRowCount="1" headerRowDxfId="311" headerRowCellStyle="Normal 2" dataCellStyle="Normal 2">
  <autoFilter ref="C2:AW349" xr:uid="{2B04584B-7D2B-4BA9-A360-534E42FF502A}">
    <filterColumn colId="24">
      <filters>
        <filter val="0210MWZ"/>
        <filter val="0213MWZ"/>
        <filter val="0224MWZ"/>
        <filter val="0477MGW"/>
        <filter val="0602KHK"/>
        <filter val="0649MWZ"/>
        <filter val="0682MWF"/>
        <filter val="0692MWT"/>
        <filter val="0693MWT"/>
        <filter val="0695MWT"/>
        <filter val="0696MWT"/>
        <filter val="0699MWT"/>
        <filter val="0700MWT"/>
        <filter val="0701MWT"/>
        <filter val="0767MJM"/>
        <filter val="0773MXH"/>
        <filter val="0777MJM"/>
        <filter val="0778MJM"/>
        <filter val="0800MJM"/>
        <filter val="0823MXH"/>
        <filter val="0971MXH"/>
        <filter val="1066MWL"/>
        <filter val="1108KHK"/>
        <filter val="1165MSX"/>
        <filter val="1177MSX"/>
        <filter val="1178MSX"/>
        <filter val="1255MJM"/>
        <filter val="1256MJM"/>
        <filter val="1258MJM"/>
        <filter val="1261MJM"/>
        <filter val="1428KDP"/>
        <filter val="1666MGR"/>
        <filter val="1667MGR"/>
        <filter val="1954MXT"/>
        <filter val="1970MXT"/>
        <filter val="1976MXT"/>
        <filter val="2043MJP"/>
        <filter val="2062MJP"/>
        <filter val="2076MJP"/>
        <filter val="2087MJP"/>
        <filter val="2120MFK"/>
        <filter val="2340MGR"/>
        <filter val="2343MGR"/>
        <filter val="2704MXG"/>
        <filter val="2705MXG"/>
        <filter val="2717MXG"/>
        <filter val="2720MWP"/>
        <filter val="2722MXG"/>
        <filter val="2732MWP"/>
        <filter val="2737MXG"/>
        <filter val="2788MXG"/>
        <filter val="3095MWZ"/>
        <filter val="3103MXJ"/>
        <filter val="3105MWZ"/>
        <filter val="3111MWZ"/>
        <filter val="3116MXJ"/>
        <filter val="3121MWZ"/>
        <filter val="3122MWZ"/>
        <filter val="3133MWZ"/>
        <filter val="3143MWZ"/>
        <filter val="3147MXJ"/>
        <filter val="3154MXJ"/>
        <filter val="3157MXJ"/>
        <filter val="3178MXJ"/>
        <filter val="3186MXJ"/>
        <filter val="3191MXJ"/>
        <filter val="3214MXJ"/>
        <filter val="4000MWL"/>
        <filter val="4004MWL"/>
        <filter val="4073MXK"/>
        <filter val="4621MVB"/>
        <filter val="5020MWL"/>
        <filter val="5230MXL"/>
        <filter val="5360MXF"/>
        <filter val="5566KSD"/>
        <filter val="5665MWP"/>
        <filter val="5995KSD"/>
        <filter val="6005MWV"/>
        <filter val="6007MWV"/>
        <filter val="6015MWV"/>
        <filter val="6019MWV"/>
        <filter val="6022MWV"/>
        <filter val="6028MWV"/>
        <filter val="6029MWV"/>
        <filter val="6033MWV"/>
        <filter val="6037MWV"/>
        <filter val="6042MWV"/>
        <filter val="6046MWV"/>
        <filter val="6051KRV"/>
        <filter val="6055MWV"/>
        <filter val="6082MWV"/>
        <filter val="6083MWV"/>
        <filter val="6084MWV"/>
        <filter val="6087MWV"/>
        <filter val="6089MWV"/>
        <filter val="6094MWV"/>
        <filter val="6097MWV"/>
        <filter val="6102MWV"/>
        <filter val="6124MWV"/>
        <filter val="6125MWV"/>
        <filter val="6126MWV"/>
        <filter val="6128MWV"/>
        <filter val="6245MWV"/>
        <filter val="6271MXF"/>
        <filter val="6334MXF"/>
        <filter val="6370MXF"/>
        <filter val="6398MWV"/>
        <filter val="6439MWV"/>
        <filter val="6442MWV"/>
        <filter val="6444MWV"/>
        <filter val="6445MWV"/>
        <filter val="6492MWV"/>
        <filter val="6493MWV"/>
        <filter val="6558MWV"/>
        <filter val="6559MWV"/>
        <filter val="6727LMH"/>
        <filter val="6847MWL"/>
        <filter val="6952MXF"/>
        <filter val="7151MXV"/>
        <filter val="7775MXF"/>
        <filter val="7830MXF"/>
        <filter val="8249MXG"/>
        <filter val="8328MCZ"/>
        <filter val="8349MXG"/>
        <filter val="8387MXG"/>
        <filter val="8392MXG"/>
        <filter val="8436MXG"/>
        <filter val="8496MXG"/>
        <filter val="8533MDK"/>
        <filter val="8539MDK"/>
        <filter val="8597MWT"/>
        <filter val="8601MWT"/>
        <filter val="8603MWT"/>
        <filter val="8606MWT"/>
        <filter val="8616MWT"/>
        <filter val="8617MWT"/>
        <filter val="8618MWT"/>
        <filter val="8619MWT"/>
        <filter val="8623MCZ"/>
        <filter val="8624MWT"/>
        <filter val="8625MWT"/>
        <filter val="8626MWT"/>
        <filter val="8627MWT"/>
        <filter val="8628MWT"/>
        <filter val="8634MWT"/>
        <filter val="8636MWT"/>
        <filter val="8637MWT"/>
        <filter val="8640MWT"/>
        <filter val="8642MWT"/>
        <filter val="8644MWT"/>
        <filter val="8647MWT"/>
        <filter val="8651MWT"/>
        <filter val="8654MCZ"/>
        <filter val="8658MWT"/>
        <filter val="8675MCZ"/>
        <filter val="8697MCZ"/>
        <filter val="8711MXK"/>
        <filter val="8781MXK"/>
        <filter val="8867KDN"/>
        <filter val="8868KDN"/>
        <filter val="8877KDN"/>
        <filter val="8994MSH"/>
        <filter val="9049MWN"/>
        <filter val="9050MWN"/>
        <filter val="9546MWW"/>
        <filter val="9605MMH"/>
      </filters>
    </filterColumn>
    <filterColumn colId="43">
      <filters>
        <filter val="178.021"/>
        <filter val="178.503"/>
        <filter val="188"/>
        <filter val="2.630"/>
        <filter val="2.981"/>
        <filter val="2.994"/>
        <filter val="265"/>
        <filter val="290"/>
        <filter val="3.513"/>
        <filter val="3.700"/>
        <filter val="3.866"/>
        <filter val="3.983"/>
        <filter val="4.053"/>
        <filter val="4.388"/>
        <filter val="4.406"/>
        <filter val="4.412"/>
        <filter val="4.523"/>
        <filter val="4.929"/>
        <filter val="5.266"/>
        <filter val="5.693"/>
        <filter val="5.752"/>
        <filter val="6.120"/>
        <filter val="6.263"/>
        <filter val="6.753"/>
      </filters>
    </filterColumn>
  </autoFilter>
  <sortState xmlns:xlrd2="http://schemas.microsoft.com/office/spreadsheetml/2017/richdata2" ref="C3:AW349">
    <sortCondition sortBy="cellColor" ref="Q2" dxfId="310"/>
  </sortState>
  <tableColumns count="47">
    <tableColumn id="1" xr3:uid="{3D762C7C-0EE3-4B82-B888-F850674C68FD}" name="Matricula" dataDxfId="309" totalsRowDxfId="308" dataCellStyle="Normal 2"/>
    <tableColumn id="31" xr3:uid="{2771CF5C-6775-42BF-99E1-320FC6742573}" name="Contrato" dataDxfId="307" totalsRowDxfId="306" dataCellStyle="Normal 2"/>
    <tableColumn id="32" xr3:uid="{DCCD9A55-684B-454A-BBF9-19FCB001ADC4}" name="Acta de Entrega" dataDxfId="305" totalsRowDxfId="304" dataCellStyle="Normal 2"/>
    <tableColumn id="33" xr3:uid="{BA52E376-5029-4C56-9ABF-585C13634F8D}" name="Acta Devolución" dataDxfId="303" totalsRowDxfId="302" dataCellStyle="Normal 2"/>
    <tableColumn id="30" xr3:uid="{74F17667-3A92-49A5-B359-395CE94718A2}" name="BAJA" dataDxfId="301" totalsRowDxfId="300" dataCellStyle="Normal 2"/>
    <tableColumn id="34" xr3:uid="{42F240D8-1EA7-4A6D-9476-4B328DE9F39C}" name="Ficha Técnica" dataDxfId="299" totalsRowDxfId="298" dataCellStyle="Normal 2"/>
    <tableColumn id="35" xr3:uid="{6021CBCB-B8F8-4E52-B254-4868FBDEB7CF}" name="Permiso de Circulación" dataDxfId="297" totalsRowDxfId="296" dataCellStyle="Normal 2"/>
    <tableColumn id="36" xr3:uid="{909230D1-99C9-4A6F-99CB-9026A39E6EEA}" name="IVTM" dataDxfId="295" totalsRowDxfId="294" dataCellStyle="Normal 2"/>
    <tableColumn id="2" xr3:uid="{A924143F-0ED6-4017-9605-EFDCD22095ED}" name="Compañía/Proveedor" dataDxfId="293" totalsRowDxfId="292" dataCellStyle="Normal 2"/>
    <tableColumn id="3" xr3:uid="{2024A04B-728B-4D16-8797-35A40D01B8E7}" name="Cod.Tipo Contrato" dataDxfId="291" totalsRowDxfId="290" dataCellStyle="Normal 2"/>
    <tableColumn id="4" xr3:uid="{AA160087-FA30-4BC6-B7FD-F857458803D8}" name="Tipo Contrato" dataDxfId="289" totalsRowDxfId="288" dataCellStyle="Normal 2"/>
    <tableColumn id="5" xr3:uid="{296BD109-6DD0-4CC1-84B7-0C2D9BFFE5DF}" name="Situación Contrato" dataDxfId="287" totalsRowDxfId="286" dataCellStyle="Normal 2"/>
    <tableColumn id="45" xr3:uid="{3650FDE9-BF18-4871-83F5-128AF978C0BC}" name="f Vig Inicio" dataDxfId="285" totalsRowDxfId="284" dataCellStyle="Normal 2">
      <calculatedColumnFormula>VLOOKUP(Tabla1[[#This Row],[Matricula]],BAJA2022202320242025!$B$3:$CR$245,93,FALSE)</calculatedColumnFormula>
    </tableColumn>
    <tableColumn id="6" xr3:uid="{4ECA4B38-79F7-412C-9AB9-2FC8CD2E61E3}" name="F.Vig.Final" dataDxfId="283" totalsRowDxfId="282" dataCellStyle="Normal 2"/>
    <tableColumn id="46" xr3:uid="{5E0D3B95-8DB4-4A39-A705-EE809D55B06D}" name="Tiempo Prop" dataDxfId="281" totalsRowDxfId="280" dataCellStyle="Normal 2">
      <calculatedColumnFormula>Tabla1[[#This Row],[F.Vig.Final]]-Tabla1[[#This Row],[f Vig Inicio]]</calculatedColumnFormula>
    </tableColumn>
    <tableColumn id="42" xr3:uid="{907BF01E-3CA9-44DF-844C-F3C5D498E68B}" name="Año" dataDxfId="279" totalsRowDxfId="278" dataCellStyle="Normal 2">
      <calculatedColumnFormula>YEAR(Tabla1[[#This Row],[F.Vig.Final]])</calculatedColumnFormula>
    </tableColumn>
    <tableColumn id="7" xr3:uid="{6DA9D2D7-B041-4270-8E10-84133776B47E}" name="Cod.Sit.Contrato" dataDxfId="277" totalsRowDxfId="276" dataCellStyle="Normal 2"/>
    <tableColumn id="8" xr3:uid="{7246D636-86D0-4775-899F-D918924CF702}" name="Combustible" dataDxfId="275" totalsRowDxfId="274" dataCellStyle="Normal 2"/>
    <tableColumn id="9" xr3:uid="{84F0AAE9-9376-4FA9-9EAD-A49F555912D0}" name="Marca" dataDxfId="273" totalsRowDxfId="272" dataCellStyle="Normal 2"/>
    <tableColumn id="10" xr3:uid="{A7E9C766-F298-4CDC-A9DA-5D3F10BCF49B}" name="Modelo/Versión" dataDxfId="271" totalsRowDxfId="270" dataCellStyle="Normal 2"/>
    <tableColumn id="11" xr3:uid="{CF6FB7C8-AA95-4AE6-AD27-387590C7939C}" name="Cod.Sociedad" dataDxfId="269" totalsRowDxfId="268" dataCellStyle="Normal 2"/>
    <tableColumn id="12" xr3:uid="{39DA47BC-0D6C-4B54-82A1-4CB2F6B1D695}" name="Sociedad" dataDxfId="267" totalsRowDxfId="266" dataCellStyle="Normal 2"/>
    <tableColumn id="13" xr3:uid="{E128CB49-1EE4-4DEB-B198-94805A8D092A}" name="Ceco.Imput" dataDxfId="265" totalsRowDxfId="264" dataCellStyle="Normal 2"/>
    <tableColumn id="14" xr3:uid="{EA432195-8489-4645-AAB2-4CFBF7C32A21}" name="Columna1" dataDxfId="263" totalsRowDxfId="262" dataCellStyle="Normal 2">
      <calculatedColumnFormula>COUNTIF($X$3:X3, X3)</calculatedColumnFormula>
    </tableColumn>
    <tableColumn id="15" xr3:uid="{23378293-49BD-46B2-9185-EBE40B918ACA}" name="Matricula nueva" dataDxfId="261" totalsRowDxfId="260" dataCellStyle="Normal 2"/>
    <tableColumn id="16" xr3:uid="{05FD5DCC-A168-4758-A2CB-A9B0A662CABD}" name="Marca2" dataDxfId="259" totalsRowDxfId="258" dataCellStyle="Normal 2"/>
    <tableColumn id="17" xr3:uid="{76B26D1E-7A18-4FC2-B205-091D6FFEFD12}" name="Modelo/Versión3" dataDxfId="257" totalsRowDxfId="256" dataCellStyle="Normal 2"/>
    <tableColumn id="18" xr3:uid="{64B6B343-D060-46A7-959E-6143E3397234}" name="Combustible4" dataDxfId="255" totalsRowDxfId="254" dataCellStyle="Normal 2"/>
    <tableColumn id="19" xr3:uid="{7D41563A-E52E-48F6-83A1-264220A825D6}" name="Ceco" dataDxfId="253" totalsRowDxfId="252" dataCellStyle="Normal 2"/>
    <tableColumn id="20" xr3:uid="{31ED1EA1-00DB-4D6B-8017-7E022CAB81FB}" name="Renov. Flota" dataDxfId="251" totalsRowDxfId="250" dataCellStyle="Normal 2"/>
    <tableColumn id="21" xr3:uid="{8ADB01BE-D372-4D2E-8347-B805C1838850}" name="Fecha Alta" dataDxfId="249" totalsRowDxfId="248" dataCellStyle="Normal 2"/>
    <tableColumn id="41" xr3:uid="{E887C2AD-A74E-4CCE-BAD8-990A4514AE53}" name="Columna3" dataDxfId="247" totalsRowDxfId="246" dataCellStyle="Normal 2">
      <calculatedColumnFormula>Tabla1[[#This Row],[Renov. Flota]]-Tabla1[[#This Row],[Año]]</calculatedColumnFormula>
    </tableColumn>
    <tableColumn id="22" xr3:uid="{F2A7ACAD-B6AB-4B8F-B314-70F7605251EA}" name="Cod.Sociedad5" dataDxfId="245" totalsRowDxfId="244" dataCellStyle="Normal 2"/>
    <tableColumn id="37" xr3:uid="{52D1D4FD-E2C8-4A1F-B960-DF67959C0F05}" name="Pedido" dataDxfId="243" totalsRowDxfId="242" dataCellStyle="Normal 2">
      <calculatedColumnFormula>VLOOKUP(Tabla1[[#This Row],[Matricula nueva]],'ALTA 20242025'!$B$2:$P$242,15,FALSE)</calculatedColumnFormula>
    </tableColumn>
    <tableColumn id="23" xr3:uid="{FB179142-0DC0-4F15-A827-7EA80CC83FE3}" name="Sociedad6" dataDxfId="241" totalsRowDxfId="240" dataCellStyle="Normal 2"/>
    <tableColumn id="44" xr3:uid="{0D102C0B-3B3D-4EBF-AF46-06B013524198}" name="Ceco imputado" totalsRowDxfId="239" dataCellStyle="Normal 2"/>
    <tableColumn id="38" xr3:uid="{1D7F0E13-D474-47E7-92DC-D18BA4D022BE}" name="Factura" totalsRowDxfId="238" dataCellStyle="Normal 2"/>
    <tableColumn id="39" xr3:uid="{F716A858-7DF7-45C2-BAD6-93735E113096}" name="Comunidad Autonoma" totalsRowDxfId="237" dataCellStyle="Normal 2"/>
    <tableColumn id="40" xr3:uid="{E0EABA78-B5E8-4C69-A388-33F49E5421E0}" name="CHASIS/Bastidor" dataDxfId="236" totalsRowDxfId="235" dataCellStyle="Normal 2">
      <calculatedColumnFormula>VLOOKUP(Tabla1[[#This Row],[Matricula nueva]],Hoja2!$A$1:$B$224,2,FALSE)</calculatedColumnFormula>
    </tableColumn>
    <tableColumn id="24" xr3:uid="{5429694D-DC4F-43A2-8E9C-42C1316710B2}" name="CVA" dataDxfId="234" totalsRowDxfId="233" dataCellStyle="Normal 2">
      <calculatedColumnFormula>IF(Tabla1[[#This Row],[Columna2]]="M1",5.1,"")</calculatedColumnFormula>
    </tableColumn>
    <tableColumn id="25" xr3:uid="{E11D3B26-07DE-4C52-B5F6-EDB453BB8C6F}" name="F" totalsRowDxfId="232" dataCellStyle="Normal 2"/>
    <tableColumn id="26" xr3:uid="{781CB8BF-B42B-4A69-8616-00A09EFD5721}" name="CVN" totalsRowDxfId="231" dataCellStyle="Normal 2"/>
    <tableColumn id="27" xr3:uid="{C41E18B5-729E-4B00-82A0-872B2351B32D}" name="L" dataDxfId="230" totalsRowDxfId="229" dataCellStyle="Normal 2">
      <calculatedColumnFormula>IF(Tabla1[[#This Row],[Columna2]]="M1",13073,IF(Tabla1[[#This Row],[Columna2]]="N1",15815,IF(Tabla1[[#This Row],[Columna2]]="L3e",2831,53508)))</calculatedColumnFormula>
    </tableColumn>
    <tableColumn id="28" xr3:uid="{CCCAC55D-0131-4ABF-AC7E-5B2A37CE209F}" name="AE" totalsRowFunction="sum" dataDxfId="228" totalsRowDxfId="227" dataCellStyle="Normal 2">
      <calculatedColumnFormula>(Tabla1[[#This Row],[CVA]]*Tabla1[[#This Row],[F]]-Tabla1[[#This Row],[CVN]])/100*Tabla1[[#This Row],[L]]</calculatedColumnFormula>
    </tableColumn>
    <tableColumn id="29" xr3:uid="{252B024C-6BCC-4998-BE3A-D8044E5FB19E}" name="Columna2" totalsRowDxfId="226" dataCellStyle="Normal 2"/>
    <tableColumn id="47" xr3:uid="{9C0A6101-258E-4B40-ADD4-951BC1385193}" name="CALCULO GF" totalsRowFunction="sum" dataDxfId="225" totalsRowDxfId="224" dataCellStyle="Normal 2">
      <calculatedColumnFormula>VLOOKUP(B3,Tabla467824[[ID CAE2]:[AE '[kWh']]],6,FALSE)</calculatedColumnFormula>
    </tableColumn>
    <tableColumn id="43" xr3:uid="{C54439F6-FDC4-4439-9A9D-C41F07178F6A}" name="Vacias" dataDxfId="223" totalsRowDxfId="222" dataCellStyle="Normal 2">
      <calculatedColumnFormula>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calculatedColumnFormula>
    </tableColumn>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8DD306-9215-4201-966E-B56D6C4BA92B}" name="Tabla15" displayName="Tabla15" ref="C2:BE350" totalsRowCount="1" headerRowDxfId="221" headerRowCellStyle="Normal 2" dataCellStyle="Normal 2">
  <autoFilter ref="C2:BE349" xr:uid="{2B04584B-7D2B-4BA9-A360-534E42FF502A}">
    <filterColumn colId="51">
      <filters>
        <filter val="178.021"/>
        <filter val="178.503"/>
        <filter val="188"/>
        <filter val="2.630"/>
        <filter val="2.981"/>
        <filter val="2.994"/>
        <filter val="265"/>
        <filter val="290"/>
        <filter val="3.513"/>
        <filter val="3.700"/>
        <filter val="3.866"/>
        <filter val="3.983"/>
        <filter val="4.053"/>
        <filter val="4.388"/>
        <filter val="4.406"/>
        <filter val="4.412"/>
        <filter val="4.523"/>
        <filter val="4.929"/>
        <filter val="5.266"/>
        <filter val="5.693"/>
        <filter val="5.752"/>
        <filter val="6.120"/>
        <filter val="6.263"/>
        <filter val="6.753"/>
      </filters>
    </filterColumn>
  </autoFilter>
  <sortState xmlns:xlrd2="http://schemas.microsoft.com/office/spreadsheetml/2017/richdata2" ref="C3:BE349">
    <sortCondition sortBy="cellColor" ref="Q2" dxfId="220"/>
  </sortState>
  <tableColumns count="55">
    <tableColumn id="1" xr3:uid="{05FFDB68-8EE1-4593-BD00-17712489EF73}" name="Matricula Antigua" dataDxfId="219" totalsRowDxfId="218" dataCellStyle="Normal 2"/>
    <tableColumn id="31" xr3:uid="{C78E0827-1BD7-45DE-B257-E59F78450908}" name="Contrato" dataDxfId="217" totalsRowDxfId="216" dataCellStyle="Normal 2"/>
    <tableColumn id="32" xr3:uid="{B277D949-321E-4BB8-8794-4EFDCAC4DDD1}" name="Acta de Entrega" dataDxfId="215" totalsRowDxfId="214" dataCellStyle="Normal 2"/>
    <tableColumn id="33" xr3:uid="{E95CACB9-3A57-435D-81F2-9E45EE2F5565}" name="Acta Devolución" dataDxfId="213" totalsRowDxfId="212" dataCellStyle="Normal 2"/>
    <tableColumn id="30" xr3:uid="{59637DB8-BE3F-4FB7-9D40-1E3CE9ADCA83}" name="BAJA" dataDxfId="211" totalsRowDxfId="210" dataCellStyle="Normal 2"/>
    <tableColumn id="34" xr3:uid="{696DE126-7373-480C-A8F0-B6C05DE42F12}" name="Ficha Técnica" dataDxfId="209" totalsRowDxfId="208" dataCellStyle="Normal 2"/>
    <tableColumn id="35" xr3:uid="{E18DEB34-4A3A-4E81-B385-6D898DD0ABF9}" name="Permiso de Circulación" dataDxfId="207" totalsRowDxfId="206" dataCellStyle="Normal 2"/>
    <tableColumn id="36" xr3:uid="{28CF21E0-98B4-400A-A559-C691374D3324}" name="IVTM" dataDxfId="205" totalsRowDxfId="204" dataCellStyle="Normal 2"/>
    <tableColumn id="2" xr3:uid="{26FD5F8E-F145-44AA-9790-3E3367CE74DC}" name="Compañía/Proveedor" dataDxfId="203" totalsRowDxfId="202" dataCellStyle="Normal 2"/>
    <tableColumn id="3" xr3:uid="{47B5E6ED-E937-49C9-8CD1-1B66B4FC151A}" name="Cod.Tipo Contrato" dataDxfId="201" totalsRowDxfId="200" dataCellStyle="Normal 2"/>
    <tableColumn id="4" xr3:uid="{0F4CC80A-D2DD-46BE-8E68-A26EDC8F080D}" name="Tipo Contrato" dataDxfId="199" totalsRowDxfId="198" dataCellStyle="Normal 2"/>
    <tableColumn id="5" xr3:uid="{8EBB8C68-3453-443B-AE36-17A3790DF01D}" name="Situación Contrato" dataDxfId="197" totalsRowDxfId="196" dataCellStyle="Normal 2"/>
    <tableColumn id="45" xr3:uid="{1408CBFC-9031-44D7-80DA-B103F95B81AD}" name="f Vig Inicio" dataDxfId="195" totalsRowDxfId="194" dataCellStyle="Normal 2">
      <calculatedColumnFormula>VLOOKUP(Tabla15[[#This Row],[Matricula Antigua]],BAJA2022202320242025!$B$3:$CR$245,93,FALSE)</calculatedColumnFormula>
    </tableColumn>
    <tableColumn id="6" xr3:uid="{E476A3B5-57A3-4DCB-9AFD-0EB1ABB82E9D}" name="F.Vig.Final" dataDxfId="193" totalsRowDxfId="192" dataCellStyle="Normal 2"/>
    <tableColumn id="46" xr3:uid="{FECCE649-ADAE-428A-BECF-AFCC37B9CE36}" name="Tiempo Prop" dataDxfId="191" totalsRowDxfId="190" dataCellStyle="Normal 2">
      <calculatedColumnFormula>Tabla15[[#This Row],[F.Vig.Final]]-Tabla15[[#This Row],[f Vig Inicio]]</calculatedColumnFormula>
    </tableColumn>
    <tableColumn id="42" xr3:uid="{4F4D2F87-E29F-45BF-8F39-626C06F5DD5F}" name="Año" dataDxfId="189" totalsRowDxfId="188" dataCellStyle="Normal 2">
      <calculatedColumnFormula>YEAR(Tabla15[[#This Row],[F.Vig.Final]])</calculatedColumnFormula>
    </tableColumn>
    <tableColumn id="7" xr3:uid="{A522E66B-390A-4813-A999-609A7368724C}" name="Cod.Sit.Contrato" dataDxfId="187" totalsRowDxfId="186" dataCellStyle="Normal 2"/>
    <tableColumn id="8" xr3:uid="{AF365F21-937E-41CF-B32B-5A18202A8B64}" name="Combustible" dataDxfId="185" totalsRowDxfId="184" dataCellStyle="Normal 2"/>
    <tableColumn id="9" xr3:uid="{07565A6F-E595-4A54-B0B1-36941504DFD7}" name="Marca" dataDxfId="183" totalsRowDxfId="182" dataCellStyle="Normal 2"/>
    <tableColumn id="10" xr3:uid="{209F5CEB-A66B-4D67-BB9A-020ECEF68411}" name="Modelo/Versión" dataDxfId="181" totalsRowDxfId="180" dataCellStyle="Normal 2"/>
    <tableColumn id="11" xr3:uid="{C58C8C1A-179B-4F30-8786-E1BCBB951019}" name="Cod.Sociedad" dataDxfId="179" totalsRowDxfId="178" dataCellStyle="Normal 2"/>
    <tableColumn id="12" xr3:uid="{934FC420-CD4D-4C55-AEDF-640E2B142360}" name="Sociedad" dataDxfId="177" totalsRowDxfId="176" dataCellStyle="Normal 2"/>
    <tableColumn id="13" xr3:uid="{979F1A4C-B5F9-413A-B806-492DB4512612}" name="Ceco.Imput" dataDxfId="175" totalsRowDxfId="174" dataCellStyle="Normal 2"/>
    <tableColumn id="14" xr3:uid="{D1D91600-448D-462B-ADA7-73EC8344A685}" name="Columna1" dataDxfId="173" totalsRowDxfId="172" dataCellStyle="Normal 2">
      <calculatedColumnFormula>COUNTIF($X$3:X3, X3)</calculatedColumnFormula>
    </tableColumn>
    <tableColumn id="48" xr3:uid="{CD6341AA-0B5E-4733-BE8C-8F9DA930FFB3}" name="Localidad" dataDxfId="171" totalsRowDxfId="170" dataCellStyle="Normal 2"/>
    <tableColumn id="49" xr3:uid="{656CA8AF-14B2-479C-BBC3-172FB42976E2}" name="Provincia" dataDxfId="169" totalsRowDxfId="168" dataCellStyle="Normal 2"/>
    <tableColumn id="50" xr3:uid="{33A324CE-9E4A-4322-BB2D-CE28B4696318}" name="Com. Aut." dataDxfId="167" totalsRowDxfId="166" dataCellStyle="Normal 2"/>
    <tableColumn id="51" xr3:uid="{A961D1BD-560D-4F3A-9DC0-CF9DD1BD58D0}" name="Dirección" dataDxfId="165" totalsRowDxfId="164" dataCellStyle="Normal 2"/>
    <tableColumn id="55" xr3:uid="{7603E39D-3109-474A-B71E-DD5BB84A195C}" name="Huso" dataDxfId="163" totalsRowDxfId="162" dataCellStyle="Normal 2"/>
    <tableColumn id="52" xr3:uid="{B9A16202-FDF5-449B-BFFD-B6DFB177F847}" name="Coord." dataDxfId="161" totalsRowDxfId="160" dataCellStyle="Normal 2"/>
    <tableColumn id="53" xr3:uid="{9CDC4312-6A5D-4FD5-9B49-2C7578079CDD}" name="Referencia Catastral" dataDxfId="159" totalsRowDxfId="158" dataCellStyle="Normal 2"/>
    <tableColumn id="54" xr3:uid="{8CA9BB18-054E-4FA1-AC00-F68B1DE341FB}" name="Descripción de la actuación" dataDxfId="157" totalsRowDxfId="156" dataCellStyle="Normal 2"/>
    <tableColumn id="15" xr3:uid="{61DE30C4-8F68-4641-AF08-BD435C86C652}" name="Matricula nueva" dataDxfId="155" totalsRowDxfId="154" dataCellStyle="Normal 2"/>
    <tableColumn id="16" xr3:uid="{4212D281-6519-45B5-AE72-920B58450F14}" name="Marca2" dataDxfId="153" totalsRowDxfId="152" dataCellStyle="Normal 2"/>
    <tableColumn id="17" xr3:uid="{83955AF7-EF71-415D-8A0C-2787D1E09295}" name="Modelo/Versión3" dataDxfId="151" totalsRowDxfId="150" dataCellStyle="Normal 2"/>
    <tableColumn id="18" xr3:uid="{D6EDFB1E-4EDE-4CEE-B5BC-785D289F5C27}" name="Combustible4" dataDxfId="149" totalsRowDxfId="148" dataCellStyle="Normal 2"/>
    <tableColumn id="19" xr3:uid="{4A782637-593F-4D06-B3E2-E55C26F80B16}" name="Ceco" dataDxfId="147" totalsRowDxfId="146" dataCellStyle="Normal 2"/>
    <tableColumn id="20" xr3:uid="{B1D7FA98-3FE8-4865-814A-9D8EE3AD1F79}" name="Renov. Flota" dataDxfId="145" totalsRowDxfId="144" dataCellStyle="Normal 2"/>
    <tableColumn id="21" xr3:uid="{C9A79A4A-D93F-4EEC-AF46-83C93E06ADAE}" name="Fecha Alta" dataDxfId="143" totalsRowDxfId="142" dataCellStyle="Normal 2"/>
    <tableColumn id="41" xr3:uid="{81C47D33-A017-41F8-A843-CB1081A78398}" name="Columna3" dataDxfId="141" totalsRowDxfId="140" dataCellStyle="Normal 2">
      <calculatedColumnFormula>Tabla15[[#This Row],[Renov. Flota]]-Tabla15[[#This Row],[Año]]</calculatedColumnFormula>
    </tableColumn>
    <tableColumn id="22" xr3:uid="{2D287CDC-10FA-41E4-BB0E-A0F5196FDA3A}" name="Cod.Sociedad5" dataDxfId="139" totalsRowDxfId="138" dataCellStyle="Normal 2"/>
    <tableColumn id="37" xr3:uid="{6ECC6F6E-D4F0-44C2-8AA3-866C4B539F0C}" name="Pedido" dataDxfId="137" totalsRowDxfId="136" dataCellStyle="Normal 2">
      <calculatedColumnFormula>VLOOKUP(Tabla15[[#This Row],[Matricula nueva]],'ALTA 20242025'!$B$2:$P$242,15,FALSE)</calculatedColumnFormula>
    </tableColumn>
    <tableColumn id="23" xr3:uid="{4C3FE827-45A1-4C31-874C-53048F010B0B}" name="Sociedad6" dataDxfId="135" totalsRowDxfId="134" dataCellStyle="Normal 2"/>
    <tableColumn id="44" xr3:uid="{DD769C63-6807-41B9-9095-1423C23188FA}" name="Ceco imputado" totalsRowDxfId="133" dataCellStyle="Normal 2"/>
    <tableColumn id="38" xr3:uid="{82B01B49-B6A3-476B-833C-4692841F7D55}" name="Factura" totalsRowDxfId="132" dataCellStyle="Normal 2"/>
    <tableColumn id="39" xr3:uid="{F517E830-DAC6-4A05-B187-9A6CC5029838}" name="Comunidad Autonoma2" totalsRowDxfId="131" dataCellStyle="Normal 2"/>
    <tableColumn id="40" xr3:uid="{AB2A9AD4-2B67-4496-84A5-7576F773C039}" name="CHASIS/Bastidor" dataDxfId="130" totalsRowDxfId="129" dataCellStyle="Normal 2">
      <calculatedColumnFormula>VLOOKUP(Tabla15[[#This Row],[Matricula nueva]],Hoja2!$A$1:$B$224,2,FALSE)</calculatedColumnFormula>
    </tableColumn>
    <tableColumn id="24" xr3:uid="{456672C0-EEF8-473C-A67D-C650928B8619}" name="CVA" dataDxfId="128" totalsRowDxfId="127" dataCellStyle="Normal 2">
      <calculatedColumnFormula>IF(Tabla15[[#This Row],[Columna2]]="M1",5.1,"")</calculatedColumnFormula>
    </tableColumn>
    <tableColumn id="25" xr3:uid="{17916141-53F7-4543-B8E7-E1E2EC80BFEA}" name="F" totalsRowDxfId="126" dataCellStyle="Normal 2"/>
    <tableColumn id="26" xr3:uid="{3F4AD217-A443-48CA-93FB-6F71404787B4}" name="CVN" totalsRowDxfId="125" dataCellStyle="Normal 2"/>
    <tableColumn id="27" xr3:uid="{66877BB2-3213-43B6-B905-981C5EAB4930}" name="L" dataDxfId="124" totalsRowDxfId="123" dataCellStyle="Normal 2">
      <calculatedColumnFormula>IF(Tabla15[[#This Row],[Columna2]]="M1",13073,IF(Tabla15[[#This Row],[Columna2]]="N1",15815,IF(Tabla15[[#This Row],[Columna2]]="L3e",2831,53508)))</calculatedColumnFormula>
    </tableColumn>
    <tableColumn id="28" xr3:uid="{F25EE223-B06C-45F8-9736-D4EBDDF38DAB}" name="Ahorro estimado" totalsRowFunction="sum" dataDxfId="122" totalsRowDxfId="121" dataCellStyle="Normal 2">
      <calculatedColumnFormula>(Tabla15[[#This Row],[CVA]]*Tabla15[[#This Row],[F]]-Tabla15[[#This Row],[CVN]])/100*Tabla15[[#This Row],[L]]</calculatedColumnFormula>
    </tableColumn>
    <tableColumn id="29" xr3:uid="{2B628C3F-CACD-4F18-811B-97F3A8786B9B}" name="Columna2" totalsRowDxfId="120" dataCellStyle="Normal 2"/>
    <tableColumn id="47" xr3:uid="{87CB6DCE-38D4-4623-8010-BCB79F2D3AA9}" name="CALCULO GF" totalsRowFunction="sum" dataDxfId="119" totalsRowDxfId="118" dataCellStyle="Normal 2">
      <calculatedColumnFormula>VLOOKUP(B3,Tabla467824[[ID CAE2]:[AE '[kWh']]],6,FALSE)</calculatedColumnFormula>
    </tableColumn>
    <tableColumn id="43" xr3:uid="{B4C2A6DE-CBD0-4449-907E-8EEC49E903C3}" name="Vacias" dataDxfId="117" totalsRowDxfId="116" dataCellStyle="Normal 2">
      <calculatedColumnFormula>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calculatedColumnFormula>
    </tableColum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DBF80B-DF60-45EA-95B4-35CA7B09EFA3}" name="Tabla156" displayName="Tabla156" ref="C2:BE350" totalsRowCount="1" headerRowDxfId="115" headerRowCellStyle="Normal 2" dataCellStyle="Normal 2">
  <autoFilter ref="C2:BE349" xr:uid="{2B04584B-7D2B-4BA9-A360-534E42FF502A}">
    <filterColumn colId="51">
      <filters>
        <filter val="178.021"/>
        <filter val="178.503"/>
        <filter val="188"/>
        <filter val="2.630"/>
        <filter val="2.981"/>
        <filter val="2.994"/>
        <filter val="265"/>
        <filter val="290"/>
        <filter val="3.513"/>
        <filter val="3.700"/>
        <filter val="3.866"/>
        <filter val="3.983"/>
        <filter val="4.053"/>
        <filter val="4.388"/>
        <filter val="4.406"/>
        <filter val="4.412"/>
        <filter val="4.523"/>
        <filter val="4.929"/>
        <filter val="5.266"/>
        <filter val="5.693"/>
        <filter val="5.752"/>
        <filter val="6.120"/>
        <filter val="6.263"/>
        <filter val="6.753"/>
      </filters>
    </filterColumn>
  </autoFilter>
  <sortState xmlns:xlrd2="http://schemas.microsoft.com/office/spreadsheetml/2017/richdata2" ref="C3:BE349">
    <sortCondition sortBy="cellColor" ref="Q2" dxfId="114"/>
  </sortState>
  <tableColumns count="55">
    <tableColumn id="1" xr3:uid="{CD6DEF76-638F-4E4D-9FBA-AFD0DB52E790}" name="Matricula Antigua" dataDxfId="113" totalsRowDxfId="112" dataCellStyle="Normal 2"/>
    <tableColumn id="31" xr3:uid="{4F096C08-ACC0-43A7-BFE3-878B1AFE31AA}" name="Contrato" dataDxfId="111" totalsRowDxfId="110" dataCellStyle="Normal 2"/>
    <tableColumn id="32" xr3:uid="{6B02FE8C-67B6-4966-AF61-8C45926C5244}" name="Acta de Entrega" dataDxfId="109" totalsRowDxfId="108" dataCellStyle="Normal 2"/>
    <tableColumn id="33" xr3:uid="{F2A7B9A6-8459-4300-AA7F-8C9F46F04309}" name="Acta Devolución" dataDxfId="107" totalsRowDxfId="106" dataCellStyle="Normal 2"/>
    <tableColumn id="30" xr3:uid="{DC82E6A5-30F8-420F-AB8D-F577F3950A50}" name="BAJA" dataDxfId="105" totalsRowDxfId="104" dataCellStyle="Normal 2"/>
    <tableColumn id="34" xr3:uid="{0715A45C-510B-4D16-B2DD-49039F8F6CB9}" name="Ficha Técnica" dataDxfId="103" totalsRowDxfId="102" dataCellStyle="Normal 2"/>
    <tableColumn id="35" xr3:uid="{11F5C802-65EC-44F4-B206-5CC60EEEC052}" name="Permiso de Circulación" dataDxfId="101" totalsRowDxfId="100" dataCellStyle="Normal 2"/>
    <tableColumn id="36" xr3:uid="{C32CF8EB-236C-4FC2-A773-207F51F5A70D}" name="IVTM" dataDxfId="99" totalsRowDxfId="98" dataCellStyle="Normal 2"/>
    <tableColumn id="2" xr3:uid="{FFA313E8-7EFA-4FF7-8B60-A27ACE4B66E8}" name="Compañía/Proveedor" dataDxfId="97" totalsRowDxfId="96" dataCellStyle="Normal 2"/>
    <tableColumn id="3" xr3:uid="{3135923D-C12C-4A79-AC74-6B9CFD85AE11}" name="Cod.Tipo Contrato" dataDxfId="95" totalsRowDxfId="94" dataCellStyle="Normal 2"/>
    <tableColumn id="4" xr3:uid="{0D2777AB-016B-4C48-91A0-5CBC5B1B9F95}" name="Tipo Contrato" dataDxfId="93" totalsRowDxfId="92" dataCellStyle="Normal 2"/>
    <tableColumn id="5" xr3:uid="{FF277859-40FA-4EA3-A064-D190DB1627C7}" name="Situación Contrato" dataDxfId="91" totalsRowDxfId="90" dataCellStyle="Normal 2"/>
    <tableColumn id="45" xr3:uid="{2BBF22C5-58E0-45DE-B715-A8024A5CE7D9}" name="f Vig Inicio" dataDxfId="89" totalsRowDxfId="88" dataCellStyle="Normal 2">
      <calculatedColumnFormula>VLOOKUP(Tabla156[[#This Row],[Matricula Antigua]],BAJA2022202320242025!$B$3:$CR$245,93,FALSE)</calculatedColumnFormula>
    </tableColumn>
    <tableColumn id="6" xr3:uid="{46F43EDC-30BD-4FDF-8B8C-67A6C81A8E55}" name="F.Vig.Final" dataDxfId="87" totalsRowDxfId="86" dataCellStyle="Normal 2"/>
    <tableColumn id="46" xr3:uid="{B0158920-5C51-4631-885F-0BB9E6B73EA8}" name="Tiempo Prop" dataDxfId="85" totalsRowDxfId="84" dataCellStyle="Normal 2">
      <calculatedColumnFormula>Tabla156[[#This Row],[F.Vig.Final]]-Tabla156[[#This Row],[f Vig Inicio]]</calculatedColumnFormula>
    </tableColumn>
    <tableColumn id="42" xr3:uid="{747C0010-6B37-4CB0-8A1E-92762CF2FEB8}" name="Año" dataDxfId="83" totalsRowDxfId="82" dataCellStyle="Normal 2">
      <calculatedColumnFormula>YEAR(Tabla156[[#This Row],[F.Vig.Final]])</calculatedColumnFormula>
    </tableColumn>
    <tableColumn id="7" xr3:uid="{15793516-DE6C-4141-AC7F-DD518F6DE653}" name="Cod.Sit.Contrato" dataDxfId="81" totalsRowDxfId="80" dataCellStyle="Normal 2"/>
    <tableColumn id="8" xr3:uid="{5BB15CE4-2D84-490E-AD2E-FC72DA5A0408}" name="Combustible" dataDxfId="79" totalsRowDxfId="78" dataCellStyle="Normal 2"/>
    <tableColumn id="9" xr3:uid="{9768E731-FCF6-4D55-BAC6-EA395C0A5EDF}" name="Marca" dataDxfId="77" totalsRowDxfId="76" dataCellStyle="Normal 2"/>
    <tableColumn id="10" xr3:uid="{408D99A5-3FCA-4889-89F2-A6D6AAD5C7B3}" name="Modelo/Versión" dataDxfId="75" totalsRowDxfId="74" dataCellStyle="Normal 2"/>
    <tableColumn id="11" xr3:uid="{7D8F3419-E59F-42DF-B8EA-DD960C58031C}" name="Cod.Sociedad" dataDxfId="73" totalsRowDxfId="72" dataCellStyle="Normal 2"/>
    <tableColumn id="12" xr3:uid="{FD19DFF7-0E45-4C70-922B-A8A35BE81850}" name="Sociedad" dataDxfId="71" totalsRowDxfId="70" dataCellStyle="Normal 2"/>
    <tableColumn id="13" xr3:uid="{E9A13680-EA6A-4DA1-B0E6-FD0B7049D714}" name="Ceco.Imput" dataDxfId="69" totalsRowDxfId="68" dataCellStyle="Normal 2"/>
    <tableColumn id="14" xr3:uid="{317FC390-6DF2-407B-9DF1-9D8AC0EE9F2F}" name="Columna1" dataDxfId="67" totalsRowDxfId="66" dataCellStyle="Normal 2">
      <calculatedColumnFormula>COUNTIF($X$3:X3, X3)</calculatedColumnFormula>
    </tableColumn>
    <tableColumn id="48" xr3:uid="{419578E5-DF2E-45B6-9B18-408C30336F2A}" name="Localidad" dataDxfId="65" totalsRowDxfId="64" dataCellStyle="Normal 2"/>
    <tableColumn id="49" xr3:uid="{76C99240-B368-44E6-9B94-8A71C919770D}" name="Provincia" dataDxfId="63" totalsRowDxfId="62" dataCellStyle="Normal 2"/>
    <tableColumn id="50" xr3:uid="{2DD0275F-420B-4E3C-ADD4-7336AC1451DE}" name="Com. Aut." dataDxfId="61" totalsRowDxfId="60" dataCellStyle="Normal 2"/>
    <tableColumn id="51" xr3:uid="{248759E4-F7CF-4F9C-AFEC-861C37ED0ECA}" name="Dirección" dataDxfId="59" totalsRowDxfId="58" dataCellStyle="Normal 2"/>
    <tableColumn id="55" xr3:uid="{C04A4C82-CCEE-4FCE-A577-BBB99BC1735D}" name="Huso" dataDxfId="57" totalsRowDxfId="56" dataCellStyle="Normal 2"/>
    <tableColumn id="52" xr3:uid="{5D9FAC04-BA9E-4714-9D92-1431106C743E}" name="Coord." dataDxfId="55" totalsRowDxfId="54" dataCellStyle="Normal 2"/>
    <tableColumn id="53" xr3:uid="{8B0CC724-C5B2-47C1-9044-7F35F39A03D8}" name="Referencia Catastral" dataDxfId="53" totalsRowDxfId="52" dataCellStyle="Normal 2"/>
    <tableColumn id="54" xr3:uid="{51CBA3BD-2907-4AE9-BA31-6B2C304196F3}" name="Descripción de la actuación" dataDxfId="51" totalsRowDxfId="50" dataCellStyle="Normal 2"/>
    <tableColumn id="15" xr3:uid="{1E2E78D9-C5D7-4627-B54A-17680526D6FD}" name="Matricula nueva" dataDxfId="49" totalsRowDxfId="48" dataCellStyle="Normal 2"/>
    <tableColumn id="16" xr3:uid="{2EAF6CE6-4ACA-4CB4-8E13-C793DA5D1284}" name="Marca2" dataDxfId="47" totalsRowDxfId="46" dataCellStyle="Normal 2"/>
    <tableColumn id="17" xr3:uid="{AC5FA06D-95E5-4E48-BE1D-DAD50DE209F8}" name="Modelo/Versión3" dataDxfId="45" totalsRowDxfId="44" dataCellStyle="Normal 2"/>
    <tableColumn id="18" xr3:uid="{5FC8EB8A-ACE2-44A1-AF38-E9C1394BC818}" name="Combustible4" dataDxfId="43" totalsRowDxfId="42" dataCellStyle="Normal 2"/>
    <tableColumn id="19" xr3:uid="{5EDE8533-897E-4116-A9D8-6553AE6D2837}" name="Ceco" dataDxfId="41" totalsRowDxfId="40" dataCellStyle="Normal 2"/>
    <tableColumn id="20" xr3:uid="{E1C08FE3-3334-423A-94A9-93F3709D0098}" name="Renov. Flota" dataDxfId="39" totalsRowDxfId="38" dataCellStyle="Normal 2"/>
    <tableColumn id="21" xr3:uid="{0D76ACCF-312D-44CE-A216-D59239AC2280}" name="Fecha Alta" dataDxfId="37" totalsRowDxfId="36" dataCellStyle="Normal 2"/>
    <tableColumn id="41" xr3:uid="{280E2467-4B0C-41AE-9F89-A1592B00ECD0}" name="Columna3" dataDxfId="35" totalsRowDxfId="34" dataCellStyle="Normal 2">
      <calculatedColumnFormula>Tabla156[[#This Row],[Renov. Flota]]-Tabla156[[#This Row],[Año]]</calculatedColumnFormula>
    </tableColumn>
    <tableColumn id="22" xr3:uid="{F8129605-2DDB-4B11-A85E-F50060FB426F}" name="Cod.Sociedad5" dataDxfId="33" totalsRowDxfId="32" dataCellStyle="Normal 2"/>
    <tableColumn id="37" xr3:uid="{6FA36350-64DE-4F7A-98C6-9DB5075B10E4}" name="Pedido" dataDxfId="31" totalsRowDxfId="30" dataCellStyle="Normal 2">
      <calculatedColumnFormula>VLOOKUP(Tabla156[[#This Row],[Matricula nueva]],'ALTA 20242025'!$B$2:$P$242,15,FALSE)</calculatedColumnFormula>
    </tableColumn>
    <tableColumn id="23" xr3:uid="{2DE439DE-3675-4AFD-8C58-D7AAC9EC6049}" name="Sociedad6" dataDxfId="29" totalsRowDxfId="28" dataCellStyle="Normal 2"/>
    <tableColumn id="44" xr3:uid="{CBC0A0D1-0AC1-4C1D-ADEE-7D368795CD98}" name="Ceco imputado" totalsRowDxfId="27" dataCellStyle="Normal 2"/>
    <tableColumn id="38" xr3:uid="{D4494F33-1FCA-4B50-AD22-A45B46427A9C}" name="Factura" totalsRowDxfId="26" dataCellStyle="Normal 2"/>
    <tableColumn id="39" xr3:uid="{6F9E7B00-E8D5-40A9-909A-A0B2CBD89534}" name="Comunidad Autonoma2" totalsRowDxfId="25" dataCellStyle="Normal 2"/>
    <tableColumn id="40" xr3:uid="{75FDE68E-ED33-4D00-8A5C-07F4A39EC26B}" name="CHASIS/Bastidor" dataDxfId="24" totalsRowDxfId="23" dataCellStyle="Normal 2">
      <calculatedColumnFormula>VLOOKUP(Tabla156[[#This Row],[Matricula nueva]],Hoja2!$A$1:$B$224,2,FALSE)</calculatedColumnFormula>
    </tableColumn>
    <tableColumn id="24" xr3:uid="{CA16086B-EE4D-4F26-921D-94AF81FE6B37}" name="CVA" dataDxfId="22" totalsRowDxfId="21" dataCellStyle="Normal 2">
      <calculatedColumnFormula>IF(Tabla156[[#This Row],[Columna2]]="M1",5.1,"")</calculatedColumnFormula>
    </tableColumn>
    <tableColumn id="25" xr3:uid="{13E7C580-144D-486A-A848-D79200B192D9}" name="F" totalsRowDxfId="20" dataCellStyle="Normal 2"/>
    <tableColumn id="26" xr3:uid="{611B4F7B-92D8-4658-92E8-2AFDC390EA00}" name="CVN" totalsRowDxfId="19" dataCellStyle="Normal 2"/>
    <tableColumn id="27" xr3:uid="{9EB11B2E-EFD1-4A9B-9A61-8D716F8E663A}" name="L" dataDxfId="18" totalsRowDxfId="17" dataCellStyle="Normal 2">
      <calculatedColumnFormula>IF(Tabla156[[#This Row],[Columna2]]="M1",13073,IF(Tabla156[[#This Row],[Columna2]]="N1",15815,IF(Tabla156[[#This Row],[Columna2]]="L3e",2831,53508)))</calculatedColumnFormula>
    </tableColumn>
    <tableColumn id="28" xr3:uid="{F0305BDE-DBD7-4BF9-B8F5-C7978AEA72C5}" name="Ahorro estimado" totalsRowFunction="sum" dataDxfId="16" totalsRowDxfId="15" dataCellStyle="Normal 2">
      <calculatedColumnFormula>(Tabla156[[#This Row],[CVA]]*Tabla156[[#This Row],[F]]-Tabla156[[#This Row],[CVN]])/100*Tabla156[[#This Row],[L]]</calculatedColumnFormula>
    </tableColumn>
    <tableColumn id="29" xr3:uid="{0EAC385B-DFB1-4C79-90EA-1396CB3D8ECE}" name="Columna2" totalsRowDxfId="14" dataCellStyle="Normal 2"/>
    <tableColumn id="47" xr3:uid="{3D9C08D6-06B8-4764-865F-67B85D303035}" name="CALCULO GF" totalsRowFunction="sum" dataDxfId="13" totalsRowDxfId="12" dataCellStyle="Normal 2">
      <calculatedColumnFormula>VLOOKUP(B3,Tabla467824[[ID CAE2]:[AE '[kWh']]],6,FALSE)</calculatedColumnFormula>
    </tableColumn>
    <tableColumn id="43" xr3:uid="{6EAC6C56-55D0-4815-97D5-1CC022C663F1}" name="Vacias" dataDxfId="11" totalsRowDxfId="10" dataCellStyle="Normal 2">
      <calculatedColumnFormula>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calculatedColumnFormula>
    </tableColumn>
  </tableColumns>
  <tableStyleInfo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6" dT="2025-11-13T12:22:27.35" personId="{65F108A7-3A85-4C73-8FF1-6D14A00458DF}" id="{47D6EFEC-1D7A-4ADE-8BF6-02EE1CFADFF1}">
    <text xml:space="preserve">FACTURA
</text>
  </threadedComment>
  <threadedComment ref="D17" dT="2025-11-13T11:41:40.37" personId="{65F108A7-3A85-4C73-8FF1-6D14A00458DF}" id="{2AA67F23-E0C7-4A0B-ACBA-92B74798E588}">
    <text xml:space="preserve">FACTURA
</text>
  </threadedComment>
  <threadedComment ref="D18" dT="2025-11-13T13:10:57.16" personId="{65F108A7-3A85-4C73-8FF1-6D14A00458DF}" id="{669FA5EC-D782-4F8E-9105-3E18F31F4D3B}">
    <text>FACTURA</text>
  </threadedComment>
  <threadedComment ref="D19" dT="2025-11-03T09:39:56.76" personId="{65F108A7-3A85-4C73-8FF1-6D14A00458DF}" id="{B37757C6-6FE9-4FD2-9C68-2B70DB1A8207}">
    <text xml:space="preserve">Se han colocado facturas de mantenimiento, esto justifica la propiedad? </text>
  </threadedComment>
  <threadedComment ref="D20" dT="2025-11-13T11:47:05.74" personId="{65F108A7-3A85-4C73-8FF1-6D14A00458DF}" id="{FC92BED4-6206-413F-9849-6C8FB484F7C3}">
    <text>FACTURA</text>
  </threadedComment>
  <threadedComment ref="D162" dT="2025-11-03T09:38:24.76" personId="{65F108A7-3A85-4C73-8FF1-6D14A00458DF}" id="{875C6C7A-C5E2-4C69-AA04-A75B26A484AE}">
    <text xml:space="preserve">Se han colocado facturas de mantenimiento, esto justifica la propiedad? </text>
  </threadedComment>
  <threadedComment ref="D162" dT="2025-11-13T12:24:20.65" personId="{65F108A7-3A85-4C73-8FF1-6D14A00458DF}" id="{756EC016-19A6-4599-8F8F-3F72423CE45E}" parentId="{875C6C7A-C5E2-4C69-AA04-A75B26A484AE}">
    <text>FACTURA AÑADIDA</text>
  </threadedComment>
  <threadedComment ref="D163" dT="2025-11-13T11:38:21.30" personId="{65F108A7-3A85-4C73-8FF1-6D14A00458DF}" id="{ED292C9D-296E-4D8C-BFC7-FB01F2D5FAAE}">
    <text>FACTURA</text>
  </threadedComment>
  <threadedComment ref="D166" dT="2025-11-13T11:41:22.27" personId="{65F108A7-3A85-4C73-8FF1-6D14A00458DF}" id="{5F0A93B4-ABEE-470E-AB51-8E028C07758D}">
    <text>FACTURA</text>
  </threadedComment>
  <threadedComment ref="C170" dT="2025-11-14T07:43:50.12" personId="{65F108A7-3A85-4C73-8FF1-6D14A00458DF}" id="{C1A4BDC3-E5B6-477D-B533-2F616A49FE89}">
    <text>CADAGUA, tenemos info de empresa?</text>
  </threadedComment>
  <threadedComment ref="D216" dT="2025-11-13T12:17:05.20" personId="{65F108A7-3A85-4C73-8FF1-6D14A00458DF}" id="{45BBCE39-6CCB-44BB-8E76-AC567D7ED5C2}">
    <text xml:space="preserve">FACTURA
</text>
  </threadedComment>
  <threadedComment ref="D219" dT="2025-11-13T12:21:26.57" personId="{65F108A7-3A85-4C73-8FF1-6D14A00458DF}" id="{F3C6645B-3541-4753-8432-94AFB1C27E21}">
    <text>FACTURA</text>
  </threadedComment>
  <threadedComment ref="C228" dT="2025-11-14T07:47:15.99" personId="{65F108A7-3A85-4C73-8FF1-6D14A00458DF}" id="{F0FCAE1C-6CCE-4E20-AE13-88BF54739C3C}">
    <text>no hay documentación, igual se elimina</text>
  </threadedComment>
</ThreadedComments>
</file>

<file path=xl/threadedComments/threadedComment2.xml><?xml version="1.0" encoding="utf-8"?>
<ThreadedComments xmlns="http://schemas.microsoft.com/office/spreadsheetml/2018/threadedcomments" xmlns:x="http://schemas.openxmlformats.org/spreadsheetml/2006/main">
  <threadedComment ref="D16" dT="2025-11-13T12:22:27.35" personId="{65F108A7-3A85-4C73-8FF1-6D14A00458DF}" id="{B9C71BDE-328B-494F-8B0A-8273BD3D59A4}">
    <text xml:space="preserve">FACTURA
</text>
  </threadedComment>
  <threadedComment ref="D17" dT="2025-11-13T11:41:40.37" personId="{65F108A7-3A85-4C73-8FF1-6D14A00458DF}" id="{A502BFE0-F415-470E-A5D0-603E0BE3C8DE}">
    <text xml:space="preserve">FACTURA
</text>
  </threadedComment>
  <threadedComment ref="D18" dT="2025-11-13T13:10:57.16" personId="{65F108A7-3A85-4C73-8FF1-6D14A00458DF}" id="{40F48E98-3983-412C-8648-4F5B453DDD86}">
    <text>FACTURA</text>
  </threadedComment>
  <threadedComment ref="D19" dT="2025-11-03T09:39:56.76" personId="{65F108A7-3A85-4C73-8FF1-6D14A00458DF}" id="{91691E9D-6FED-4125-BC04-113451156337}">
    <text xml:space="preserve">Se han colocado facturas de mantenimiento, esto justifica la propiedad? </text>
  </threadedComment>
  <threadedComment ref="D20" dT="2025-11-13T11:47:05.74" personId="{65F108A7-3A85-4C73-8FF1-6D14A00458DF}" id="{83B70D46-E4B8-4E93-AEBA-9D456875999D}">
    <text>FACTURA</text>
  </threadedComment>
  <threadedComment ref="D162" dT="2025-11-03T09:38:24.76" personId="{65F108A7-3A85-4C73-8FF1-6D14A00458DF}" id="{7B3DF252-7B2E-41A7-8C4E-0CC87005C6B7}">
    <text xml:space="preserve">Se han colocado facturas de mantenimiento, esto justifica la propiedad? </text>
  </threadedComment>
  <threadedComment ref="D162" dT="2025-11-13T12:24:20.65" personId="{65F108A7-3A85-4C73-8FF1-6D14A00458DF}" id="{8D63DA08-24E3-44B4-8A66-DAF515188957}" parentId="{7B3DF252-7B2E-41A7-8C4E-0CC87005C6B7}">
    <text>FACTURA AÑADIDA</text>
  </threadedComment>
  <threadedComment ref="D163" dT="2025-11-13T11:38:21.30" personId="{65F108A7-3A85-4C73-8FF1-6D14A00458DF}" id="{D8AF3428-43F5-43AF-8ACA-DFAE66589CA8}">
    <text>FACTURA</text>
  </threadedComment>
  <threadedComment ref="D166" dT="2025-11-13T11:41:22.27" personId="{65F108A7-3A85-4C73-8FF1-6D14A00458DF}" id="{17EA0606-4B10-47DB-8B0E-91726F672DB1}">
    <text>FACTURA</text>
  </threadedComment>
  <threadedComment ref="C170" dT="2025-11-14T07:43:50.12" personId="{65F108A7-3A85-4C73-8FF1-6D14A00458DF}" id="{BE70567F-1269-4375-B2D6-D8537B784929}">
    <text>CADAGUA, tenemos info de empresa?</text>
  </threadedComment>
  <threadedComment ref="D216" dT="2025-11-13T12:17:05.20" personId="{65F108A7-3A85-4C73-8FF1-6D14A00458DF}" id="{8A9114F6-5E45-4843-97B6-1B85F42DDF7E}">
    <text xml:space="preserve">FACTURA
</text>
  </threadedComment>
  <threadedComment ref="D219" dT="2025-11-13T12:21:26.57" personId="{65F108A7-3A85-4C73-8FF1-6D14A00458DF}" id="{5F86C383-6D72-47B2-99B5-00E65B977F97}">
    <text>FACTURA</text>
  </threadedComment>
  <threadedComment ref="C228" dT="2025-11-14T07:47:15.99" personId="{65F108A7-3A85-4C73-8FF1-6D14A00458DF}" id="{D9981F08-231F-47E4-B4DA-3774A179A1D8}">
    <text>no hay documentación, igual se elimina</text>
  </threadedComment>
</ThreadedComments>
</file>

<file path=xl/threadedComments/threadedComment3.xml><?xml version="1.0" encoding="utf-8"?>
<ThreadedComments xmlns="http://schemas.microsoft.com/office/spreadsheetml/2018/threadedcomments" xmlns:x="http://schemas.openxmlformats.org/spreadsheetml/2006/main">
  <threadedComment ref="D16" dT="2025-11-13T12:22:27.35" personId="{65F108A7-3A85-4C73-8FF1-6D14A00458DF}" id="{C711759D-2C35-40F0-B25E-F88F14F73E2C}">
    <text xml:space="preserve">FACTURA
</text>
  </threadedComment>
  <threadedComment ref="D17" dT="2025-11-13T11:41:40.37" personId="{65F108A7-3A85-4C73-8FF1-6D14A00458DF}" id="{2CDA0FBA-98FF-47C3-94BB-622B82F87D75}">
    <text xml:space="preserve">FACTURA
</text>
  </threadedComment>
  <threadedComment ref="D18" dT="2025-11-13T13:10:57.16" personId="{65F108A7-3A85-4C73-8FF1-6D14A00458DF}" id="{40C6566D-D793-4DAE-A64F-EF307E7727E4}">
    <text>FACTURA</text>
  </threadedComment>
  <threadedComment ref="D19" dT="2025-11-03T09:39:56.76" personId="{65F108A7-3A85-4C73-8FF1-6D14A00458DF}" id="{ECFB164D-35DD-429E-8945-F2B45D61BC03}">
    <text xml:space="preserve">Se han colocado facturas de mantenimiento, esto justifica la propiedad? </text>
  </threadedComment>
  <threadedComment ref="D20" dT="2025-11-13T11:47:05.74" personId="{65F108A7-3A85-4C73-8FF1-6D14A00458DF}" id="{1CA7B3F0-E23B-4630-A3C7-001D34F688A3}">
    <text>FACTURA</text>
  </threadedComment>
  <threadedComment ref="D162" dT="2025-11-03T09:38:24.76" personId="{65F108A7-3A85-4C73-8FF1-6D14A00458DF}" id="{0A6842BA-095E-4AE0-9EE5-0C3B89B4C063}">
    <text xml:space="preserve">Se han colocado facturas de mantenimiento, esto justifica la propiedad? </text>
  </threadedComment>
  <threadedComment ref="D162" dT="2025-11-13T12:24:20.65" personId="{65F108A7-3A85-4C73-8FF1-6D14A00458DF}" id="{74B89144-5C6E-41F6-BD95-552E10D83819}" parentId="{0A6842BA-095E-4AE0-9EE5-0C3B89B4C063}">
    <text>FACTURA AÑADIDA</text>
  </threadedComment>
  <threadedComment ref="D163" dT="2025-11-13T11:38:21.30" personId="{65F108A7-3A85-4C73-8FF1-6D14A00458DF}" id="{EBF82F7C-FAC4-4B35-A902-A683BE8A6FB0}">
    <text>FACTURA</text>
  </threadedComment>
  <threadedComment ref="D166" dT="2025-11-13T11:41:22.27" personId="{65F108A7-3A85-4C73-8FF1-6D14A00458DF}" id="{7F67E6B0-84FC-48B3-9476-159582485466}">
    <text>FACTURA</text>
  </threadedComment>
  <threadedComment ref="C170" dT="2025-11-14T07:43:50.12" personId="{65F108A7-3A85-4C73-8FF1-6D14A00458DF}" id="{5FCE39F2-C24C-4C0C-BBDE-206073E670C0}">
    <text>CADAGUA, tenemos info de empresa?</text>
  </threadedComment>
  <threadedComment ref="D216" dT="2025-11-13T12:17:05.20" personId="{65F108A7-3A85-4C73-8FF1-6D14A00458DF}" id="{42B5A906-681A-414E-AB5D-A2FED9A3239C}">
    <text xml:space="preserve">FACTURA
</text>
  </threadedComment>
  <threadedComment ref="D219" dT="2025-11-13T12:21:26.57" personId="{65F108A7-3A85-4C73-8FF1-6D14A00458DF}" id="{01322E24-7F3F-4402-A980-80CC32928D79}">
    <text>FACTURA</text>
  </threadedComment>
  <threadedComment ref="C228" dT="2025-11-14T07:47:15.99" personId="{65F108A7-3A85-4C73-8FF1-6D14A00458DF}" id="{289CAA79-314C-43DB-AD8B-CA88B7F4E95C}">
    <text>no hay documentación, igual se elimina</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7E93-31FD-461F-87C3-FA1986DF89CF}">
  <sheetPr>
    <tabColor theme="4" tint="0.59999389629810485"/>
  </sheetPr>
  <dimension ref="A1:EP161"/>
  <sheetViews>
    <sheetView zoomScale="70" zoomScaleNormal="85" workbookViewId="0">
      <selection activeCell="AJ154" sqref="AJ154"/>
    </sheetView>
  </sheetViews>
  <sheetFormatPr baseColWidth="10" defaultColWidth="11.42578125" defaultRowHeight="15" x14ac:dyDescent="0.25"/>
  <cols>
    <col min="2" max="2" width="17.7109375" style="178" customWidth="1"/>
    <col min="3" max="3" width="10.85546875" style="178"/>
    <col min="4" max="4" width="16.42578125" style="178" customWidth="1"/>
    <col min="5" max="6" width="24" style="178" bestFit="1" customWidth="1"/>
    <col min="7" max="7" width="11.140625" style="178" customWidth="1"/>
    <col min="8" max="8" width="10.85546875" style="178" hidden="1" customWidth="1"/>
    <col min="9" max="10" width="16.140625" style="178" hidden="1" customWidth="1"/>
    <col min="11" max="11" width="10.85546875" style="178" hidden="1" customWidth="1"/>
    <col min="12" max="12" width="14.42578125" style="178" hidden="1" customWidth="1"/>
    <col min="13" max="13" width="21.7109375" style="178" hidden="1" customWidth="1"/>
    <col min="14" max="14" width="11.85546875" style="178" hidden="1" customWidth="1"/>
    <col min="15" max="15" width="23.5703125" style="178" hidden="1" customWidth="1"/>
    <col min="16" max="16" width="20.7109375" style="178" hidden="1" customWidth="1"/>
    <col min="17" max="17" width="22.5703125" style="178" hidden="1" customWidth="1"/>
    <col min="18" max="18" width="26.7109375" style="178" hidden="1" customWidth="1"/>
    <col min="19" max="19" width="13.5703125" style="178" hidden="1" customWidth="1"/>
    <col min="20" max="20" width="12.42578125" style="178" hidden="1" customWidth="1"/>
    <col min="21" max="21" width="14.28515625" style="178" hidden="1" customWidth="1"/>
    <col min="22" max="22" width="10.85546875" style="178" hidden="1" customWidth="1"/>
    <col min="23" max="23" width="16.42578125" style="178" hidden="1" customWidth="1"/>
    <col min="24" max="24" width="14" style="178" hidden="1" customWidth="1"/>
    <col min="25" max="25" width="10.85546875" style="178" hidden="1" customWidth="1"/>
    <col min="26" max="26" width="15.5703125" style="178" hidden="1" customWidth="1"/>
    <col min="27" max="27" width="14.42578125" style="178" hidden="1" customWidth="1"/>
    <col min="28" max="28" width="10.85546875" style="178" hidden="1" customWidth="1"/>
    <col min="29" max="29" width="12.140625" style="178" hidden="1" customWidth="1"/>
    <col min="30" max="30" width="11.140625" style="178" hidden="1" customWidth="1"/>
    <col min="31" max="31" width="17.5703125" style="178" hidden="1" customWidth="1"/>
    <col min="32" max="32" width="10.85546875" style="178" hidden="1" customWidth="1"/>
    <col min="33" max="33" width="18.28515625" style="178" hidden="1" customWidth="1"/>
    <col min="34" max="34" width="15.42578125" style="178" hidden="1" customWidth="1"/>
    <col min="35" max="35" width="13.42578125" style="178" bestFit="1" customWidth="1"/>
    <col min="36" max="36" width="15.42578125" style="178" customWidth="1"/>
    <col min="37" max="37" width="12.42578125" style="178" hidden="1" customWidth="1"/>
    <col min="38" max="38" width="11.85546875" style="178" hidden="1" customWidth="1"/>
    <col min="39" max="39" width="16.42578125" style="178" hidden="1" customWidth="1"/>
    <col min="40" max="40" width="10.85546875" style="178" hidden="1" customWidth="1"/>
    <col min="41" max="41" width="12.42578125" style="178" hidden="1" customWidth="1"/>
    <col min="42" max="42" width="16.42578125" style="178" hidden="1" customWidth="1"/>
    <col min="43" max="43" width="10.85546875" style="178" hidden="1" customWidth="1"/>
    <col min="44" max="44" width="30.28515625" style="178" bestFit="1" customWidth="1"/>
    <col min="45" max="45" width="17.5703125" style="178" hidden="1" customWidth="1"/>
    <col min="46" max="46" width="12.5703125" style="178" bestFit="1" customWidth="1"/>
    <col min="47" max="48" width="10.85546875" style="178" customWidth="1"/>
    <col min="49" max="49" width="9.42578125" style="178" customWidth="1"/>
    <col min="50" max="50" width="16.28515625" style="178" customWidth="1"/>
    <col min="51" max="51" width="11.85546875" style="178" customWidth="1"/>
    <col min="52" max="52" width="22.42578125" style="178" customWidth="1"/>
    <col min="53" max="53" width="16.42578125" style="178" customWidth="1"/>
    <col min="54" max="54" width="19" style="178" customWidth="1"/>
    <col min="55" max="55" width="17.7109375" style="178" customWidth="1"/>
    <col min="56" max="59" width="10.85546875" style="178"/>
    <col min="60" max="60" width="17.28515625" style="178" bestFit="1" customWidth="1"/>
    <col min="61" max="61" width="41.42578125" style="178" bestFit="1" customWidth="1"/>
    <col min="62" max="65" width="10.85546875" style="178"/>
  </cols>
  <sheetData>
    <row r="1" spans="1:65" ht="15.75" thickBot="1" x14ac:dyDescent="0.3"/>
    <row r="2" spans="1:65" ht="15.75" thickBot="1" x14ac:dyDescent="0.3">
      <c r="D2" s="178" t="s">
        <v>0</v>
      </c>
      <c r="E2" s="178" t="s">
        <v>1</v>
      </c>
      <c r="AT2" s="365" t="s">
        <v>2</v>
      </c>
      <c r="AU2" s="366"/>
      <c r="AV2" s="366"/>
      <c r="AW2" s="366"/>
      <c r="AX2" s="366"/>
      <c r="AY2" s="367"/>
      <c r="BD2" s="368" t="s">
        <v>3</v>
      </c>
      <c r="BE2" s="369"/>
      <c r="BF2" s="369"/>
      <c r="BG2" s="369"/>
      <c r="BH2" s="370"/>
      <c r="BK2" s="371"/>
      <c r="BL2" s="371"/>
      <c r="BM2" s="371"/>
    </row>
    <row r="3" spans="1:65" x14ac:dyDescent="0.25">
      <c r="B3" s="179" t="s">
        <v>4</v>
      </c>
      <c r="C3" s="179" t="s">
        <v>5</v>
      </c>
      <c r="D3" s="180" t="s">
        <v>6</v>
      </c>
      <c r="E3" s="180" t="s">
        <v>7</v>
      </c>
      <c r="F3" s="180" t="s">
        <v>8</v>
      </c>
      <c r="G3" s="180" t="s">
        <v>9</v>
      </c>
      <c r="H3" s="181" t="s">
        <v>10</v>
      </c>
      <c r="I3" s="181" t="s">
        <v>11</v>
      </c>
      <c r="J3" s="181" t="s">
        <v>12</v>
      </c>
      <c r="K3" s="181" t="s">
        <v>13</v>
      </c>
      <c r="L3" s="181" t="s">
        <v>14</v>
      </c>
      <c r="M3" s="181" t="s">
        <v>15</v>
      </c>
      <c r="N3" s="181" t="s">
        <v>16</v>
      </c>
      <c r="O3" s="182" t="s">
        <v>17</v>
      </c>
      <c r="P3" s="182" t="s">
        <v>18</v>
      </c>
      <c r="Q3" s="182" t="s">
        <v>19</v>
      </c>
      <c r="R3" s="183" t="s">
        <v>20</v>
      </c>
      <c r="S3" s="184" t="s">
        <v>21</v>
      </c>
      <c r="T3" s="185" t="s">
        <v>22</v>
      </c>
      <c r="U3" s="186" t="s">
        <v>23</v>
      </c>
      <c r="V3" s="186" t="s">
        <v>24</v>
      </c>
      <c r="W3" s="181" t="s">
        <v>25</v>
      </c>
      <c r="X3" s="182" t="s">
        <v>26</v>
      </c>
      <c r="Y3" s="182" t="s">
        <v>27</v>
      </c>
      <c r="Z3" s="182" t="s">
        <v>28</v>
      </c>
      <c r="AA3" s="182" t="s">
        <v>29</v>
      </c>
      <c r="AB3" s="182" t="s">
        <v>30</v>
      </c>
      <c r="AC3" s="182" t="s">
        <v>31</v>
      </c>
      <c r="AD3" s="187" t="s">
        <v>32</v>
      </c>
      <c r="AE3" s="188" t="s">
        <v>33</v>
      </c>
      <c r="AF3" s="189" t="s">
        <v>34</v>
      </c>
      <c r="AG3" s="189" t="s">
        <v>35</v>
      </c>
      <c r="AH3" s="189" t="s">
        <v>36</v>
      </c>
      <c r="AI3" s="190" t="s">
        <v>37</v>
      </c>
      <c r="AJ3" s="185" t="s">
        <v>38</v>
      </c>
      <c r="AK3" s="188" t="s">
        <v>39</v>
      </c>
      <c r="AL3" s="191" t="s">
        <v>40</v>
      </c>
      <c r="AM3" s="190" t="s">
        <v>41</v>
      </c>
      <c r="AN3" s="190" t="s">
        <v>42</v>
      </c>
      <c r="AO3" s="190" t="s">
        <v>43</v>
      </c>
      <c r="AP3" s="192" t="s">
        <v>44</v>
      </c>
      <c r="AQ3" s="192" t="s">
        <v>45</v>
      </c>
      <c r="AR3" s="192" t="s">
        <v>46</v>
      </c>
      <c r="AS3" s="192" t="s">
        <v>47</v>
      </c>
      <c r="AT3" s="193" t="s">
        <v>48</v>
      </c>
      <c r="AU3" s="194" t="s">
        <v>49</v>
      </c>
      <c r="AV3" s="194" t="s">
        <v>50</v>
      </c>
      <c r="AW3" s="195" t="s">
        <v>51</v>
      </c>
      <c r="AX3" s="195" t="s">
        <v>52</v>
      </c>
      <c r="AY3" s="196" t="s">
        <v>53</v>
      </c>
      <c r="AZ3" s="197" t="s">
        <v>54</v>
      </c>
      <c r="BA3" s="198" t="s">
        <v>55</v>
      </c>
      <c r="BB3" s="198" t="s">
        <v>56</v>
      </c>
      <c r="BC3" s="179" t="s">
        <v>57</v>
      </c>
      <c r="BD3" s="199" t="s">
        <v>58</v>
      </c>
      <c r="BE3" s="199" t="s">
        <v>59</v>
      </c>
      <c r="BF3" s="199" t="s">
        <v>60</v>
      </c>
      <c r="BG3" s="199" t="s">
        <v>61</v>
      </c>
      <c r="BH3" s="199" t="s">
        <v>62</v>
      </c>
      <c r="BI3" s="198" t="s">
        <v>63</v>
      </c>
      <c r="BJ3" s="198" t="s">
        <v>64</v>
      </c>
      <c r="BK3" s="200" t="s">
        <v>65</v>
      </c>
      <c r="BL3" s="200" t="s">
        <v>66</v>
      </c>
      <c r="BM3" s="201" t="s">
        <v>67</v>
      </c>
    </row>
    <row r="4" spans="1:65" ht="14.1" customHeight="1" x14ac:dyDescent="0.25">
      <c r="A4">
        <v>1</v>
      </c>
      <c r="B4" s="202" t="s">
        <v>68</v>
      </c>
      <c r="C4" s="203" t="s">
        <v>69</v>
      </c>
      <c r="D4" s="203" t="s">
        <v>70</v>
      </c>
      <c r="E4" s="203" t="s">
        <v>71</v>
      </c>
      <c r="F4" s="203" t="s">
        <v>71</v>
      </c>
      <c r="G4" s="203" t="s">
        <v>70</v>
      </c>
      <c r="H4" s="203" t="s">
        <v>72</v>
      </c>
      <c r="I4" s="203" t="s">
        <v>72</v>
      </c>
      <c r="J4" s="203" t="s">
        <v>72</v>
      </c>
      <c r="K4" s="203"/>
      <c r="L4" s="203" t="s">
        <v>72</v>
      </c>
      <c r="M4" s="203" t="s">
        <v>72</v>
      </c>
      <c r="N4" s="203"/>
      <c r="O4" s="203" t="s">
        <v>73</v>
      </c>
      <c r="P4" s="203" t="s">
        <v>74</v>
      </c>
      <c r="Q4" s="203" t="s">
        <v>75</v>
      </c>
      <c r="R4" s="203" t="s">
        <v>76</v>
      </c>
      <c r="S4" s="204">
        <v>45286</v>
      </c>
      <c r="T4" s="205">
        <v>45322</v>
      </c>
      <c r="U4" s="206">
        <v>36</v>
      </c>
      <c r="V4" s="207">
        <v>2024</v>
      </c>
      <c r="W4" s="203" t="s">
        <v>77</v>
      </c>
      <c r="X4" s="203" t="s">
        <v>78</v>
      </c>
      <c r="Y4" s="203" t="s">
        <v>79</v>
      </c>
      <c r="Z4" s="203" t="s">
        <v>80</v>
      </c>
      <c r="AA4" s="203" t="s">
        <v>81</v>
      </c>
      <c r="AB4" s="203" t="s">
        <v>82</v>
      </c>
      <c r="AC4" s="203" t="s">
        <v>83</v>
      </c>
      <c r="AD4" s="208">
        <v>1</v>
      </c>
      <c r="AE4" s="208" t="s">
        <v>84</v>
      </c>
      <c r="AF4" s="208" t="s">
        <v>85</v>
      </c>
      <c r="AG4" s="208" t="s">
        <v>86</v>
      </c>
      <c r="AH4" s="208" t="s">
        <v>87</v>
      </c>
      <c r="AI4" s="208" t="s">
        <v>88</v>
      </c>
      <c r="AJ4" s="205" t="s">
        <v>89</v>
      </c>
      <c r="AK4" s="204">
        <v>45625</v>
      </c>
      <c r="AL4" s="208">
        <v>0</v>
      </c>
      <c r="AM4" s="209" t="s">
        <v>81</v>
      </c>
      <c r="AN4" s="209" t="s">
        <v>90</v>
      </c>
      <c r="AO4" s="209" t="s">
        <v>82</v>
      </c>
      <c r="AP4" s="209"/>
      <c r="AQ4" s="209" t="s">
        <v>72</v>
      </c>
      <c r="AR4" s="209" t="s">
        <v>91</v>
      </c>
      <c r="AS4" s="209" t="s">
        <v>92</v>
      </c>
      <c r="AT4" s="210">
        <v>5.0999999999999996</v>
      </c>
      <c r="AU4" s="211">
        <v>10</v>
      </c>
      <c r="AV4" s="212">
        <v>17.3</v>
      </c>
      <c r="AW4" s="213">
        <v>13073</v>
      </c>
      <c r="AX4" s="213">
        <v>4405.6010000000006</v>
      </c>
      <c r="AY4" s="210" t="s">
        <v>70</v>
      </c>
      <c r="AZ4" s="209" t="s">
        <v>93</v>
      </c>
      <c r="BA4" s="214" t="str">
        <f>+IF(Tabla467824[[#This Row],[TIPO VEHÍCULO]]=Tabla467824[[#This Row],[Columna2]], "IGUAL", "DISTINTO")</f>
        <v>IGUAL</v>
      </c>
      <c r="BB4" s="214" t="str">
        <f>+IF(Tabla467824[[#This Row],[Columna4]]=Tabla467824[[#This Row],[Combustible2]], "IGUAL", "DISTINTO")</f>
        <v>DISTINTO</v>
      </c>
      <c r="BC4" s="202" t="s">
        <v>68</v>
      </c>
      <c r="BD4" s="215" cm="1">
        <f t="array" ref="BD4">IFERROR(INDEX('[1]Anexos FICHA TRA050'!$D$27:$D$44, MATCH(Tabla467824[[#This Row],[Columna5]]&amp;Tabla467824[[#This Row],[Columna4]], '[1]Anexos FICHA TRA050'!$E$27:$E$44&amp;'[1]Anexos FICHA TRA050'!$F$27:$F$44, 0)), "")</f>
        <v>7.89</v>
      </c>
      <c r="BE4" s="215">
        <f>IFERROR(INDEX('[1]Anexos FICHA TRA050'!$B$4:$B$7, MATCH(Tabla467824[[#This Row],[Columna4]], '[1]Anexos FICHA TRA050'!$C$4:$C$7, 0)), "")</f>
        <v>9.19</v>
      </c>
      <c r="BF4" s="215">
        <f>IFERROR(INDEX('[1]Anexos FICHA TRA050'!$C$14:$C$22, MATCH(Tabla467824[[#This Row],[Columna5]], '[1]Anexos FICHA TRA050'!$D$14:$D$22, 0)), "")</f>
        <v>17.920000000000002</v>
      </c>
      <c r="BG4" s="216">
        <f>IFERROR(INDEX('[1]Anexos FICHA TRA050'!$C$49:$C$54, MATCH(Tabla467824[[#This Row],[Columna5]], '[1]Anexos FICHA TRA050'!$D$49:$D$54, 0)), "")</f>
        <v>13073</v>
      </c>
      <c r="BH4" s="217">
        <f>+(((Tabla467824[[#This Row],[CVA2]]*Tabla467824[[#This Row],[f2]])-Tabla467824[[#This Row],[CVN2]])/100)*Tabla467824[[#This Row],[L2]]</f>
        <v>7136.4330429999991</v>
      </c>
      <c r="BI4" s="218"/>
      <c r="BJ4" s="218"/>
      <c r="BK4" s="218" t="str">
        <f>+IF(Tabla467824[[#This Row],[F]]=Tabla467824[[#This Row],[f2]], "IGUAL", "DISTINTO")</f>
        <v>DISTINTO</v>
      </c>
      <c r="BL4" s="218" t="str">
        <f>+IF(Tabla467824[[#This Row],[CVN]]=Tabla467824[[#This Row],[CVN2]], "IGUAL", "DISTINTO")</f>
        <v>DISTINTO</v>
      </c>
      <c r="BM4" s="219" t="str">
        <f>+IF(Tabla467824[[#This Row],[L]]=Tabla467824[[#This Row],[L2]], "IGUAL", "DISTINTO")</f>
        <v>IGUAL</v>
      </c>
    </row>
    <row r="5" spans="1:65" x14ac:dyDescent="0.25">
      <c r="A5">
        <v>2</v>
      </c>
      <c r="B5" s="202" t="s">
        <v>94</v>
      </c>
      <c r="C5" s="203" t="s">
        <v>95</v>
      </c>
      <c r="D5" s="203" t="s">
        <v>70</v>
      </c>
      <c r="E5" s="203" t="s">
        <v>78</v>
      </c>
      <c r="F5" s="203" t="s">
        <v>78</v>
      </c>
      <c r="G5" s="203" t="s">
        <v>70</v>
      </c>
      <c r="H5" s="203" t="s">
        <v>72</v>
      </c>
      <c r="I5" s="203" t="s">
        <v>72</v>
      </c>
      <c r="J5" s="203" t="s">
        <v>72</v>
      </c>
      <c r="K5" s="203"/>
      <c r="L5" s="203" t="s">
        <v>72</v>
      </c>
      <c r="M5" s="203" t="s">
        <v>72</v>
      </c>
      <c r="N5" s="203"/>
      <c r="O5" s="203" t="s">
        <v>73</v>
      </c>
      <c r="P5" s="203" t="s">
        <v>74</v>
      </c>
      <c r="Q5" s="203" t="s">
        <v>75</v>
      </c>
      <c r="R5" s="203" t="s">
        <v>76</v>
      </c>
      <c r="S5" s="204">
        <v>45282</v>
      </c>
      <c r="T5" s="205">
        <v>45393</v>
      </c>
      <c r="U5" s="206">
        <v>111</v>
      </c>
      <c r="V5" s="207">
        <v>2024</v>
      </c>
      <c r="W5" s="203" t="s">
        <v>77</v>
      </c>
      <c r="X5" s="203" t="s">
        <v>78</v>
      </c>
      <c r="Y5" s="203" t="s">
        <v>79</v>
      </c>
      <c r="Z5" s="203" t="s">
        <v>80</v>
      </c>
      <c r="AA5" s="203" t="s">
        <v>81</v>
      </c>
      <c r="AB5" s="203" t="s">
        <v>82</v>
      </c>
      <c r="AC5" s="203" t="s">
        <v>83</v>
      </c>
      <c r="AD5" s="208">
        <v>2</v>
      </c>
      <c r="AE5" s="208" t="s">
        <v>96</v>
      </c>
      <c r="AF5" s="208" t="s">
        <v>85</v>
      </c>
      <c r="AG5" s="208" t="s">
        <v>86</v>
      </c>
      <c r="AH5" s="208" t="s">
        <v>87</v>
      </c>
      <c r="AI5" s="208" t="s">
        <v>88</v>
      </c>
      <c r="AJ5" s="205" t="s">
        <v>89</v>
      </c>
      <c r="AK5" s="204">
        <v>45625</v>
      </c>
      <c r="AL5" s="208">
        <v>0</v>
      </c>
      <c r="AM5" s="209" t="s">
        <v>81</v>
      </c>
      <c r="AN5" s="209" t="s">
        <v>97</v>
      </c>
      <c r="AO5" s="209" t="s">
        <v>82</v>
      </c>
      <c r="AP5" s="209"/>
      <c r="AQ5" s="209" t="s">
        <v>72</v>
      </c>
      <c r="AR5" s="209" t="s">
        <v>91</v>
      </c>
      <c r="AS5" s="209" t="s">
        <v>98</v>
      </c>
      <c r="AT5" s="210">
        <v>5.0999999999999996</v>
      </c>
      <c r="AU5" s="211">
        <v>10</v>
      </c>
      <c r="AV5" s="212">
        <v>17.3</v>
      </c>
      <c r="AW5" s="213">
        <v>13073</v>
      </c>
      <c r="AX5" s="213">
        <v>4405.6010000000006</v>
      </c>
      <c r="AY5" s="210" t="s">
        <v>70</v>
      </c>
      <c r="AZ5" s="209" t="s">
        <v>93</v>
      </c>
      <c r="BA5" s="214" t="str">
        <f>+IF(Tabla467824[[#This Row],[TIPO VEHÍCULO]]=Tabla467824[[#This Row],[Columna2]], "IGUAL", "DISTINTO")</f>
        <v>IGUAL</v>
      </c>
      <c r="BB5" s="214" t="str">
        <f>+IF(Tabla467824[[#This Row],[Columna4]]=Tabla467824[[#This Row],[Combustible2]], "IGUAL", "DISTINTO")</f>
        <v>IGUAL</v>
      </c>
      <c r="BC5" s="202" t="s">
        <v>94</v>
      </c>
      <c r="BD5" s="215" cm="1">
        <f t="array" ref="BD5">IFERROR(INDEX('[1]Anexos FICHA TRA050'!$D$27:$D$44, MATCH(Tabla467824[[#This Row],[Columna5]]&amp;Tabla467824[[#This Row],[Columna4]], '[1]Anexos FICHA TRA050'!$E$27:$E$44&amp;'[1]Anexos FICHA TRA050'!$F$27:$F$44, 0)), "")</f>
        <v>6.99</v>
      </c>
      <c r="BE5" s="215">
        <f>IFERROR(INDEX('[1]Anexos FICHA TRA050'!$B$4:$B$7, MATCH(Tabla467824[[#This Row],[Columna4]], '[1]Anexos FICHA TRA050'!$C$4:$C$7, 0)), "")</f>
        <v>10</v>
      </c>
      <c r="BF5" s="215">
        <f>IFERROR(INDEX('[1]Anexos FICHA TRA050'!$C$14:$C$22, MATCH(Tabla467824[[#This Row],[Columna5]], '[1]Anexos FICHA TRA050'!$D$14:$D$22, 0)), "")</f>
        <v>17.920000000000002</v>
      </c>
      <c r="BG5" s="216">
        <f>IFERROR(INDEX('[1]Anexos FICHA TRA050'!$C$49:$C$54, MATCH(Tabla467824[[#This Row],[Columna5]], '[1]Anexos FICHA TRA050'!$D$49:$D$54, 0)), "")</f>
        <v>13073</v>
      </c>
      <c r="BH5" s="217">
        <f>+(((Tabla467824[[#This Row],[CVA2]]*Tabla467824[[#This Row],[f2]])-Tabla467824[[#This Row],[CVN2]])/100)*Tabla467824[[#This Row],[L2]]</f>
        <v>6795.3454000000002</v>
      </c>
      <c r="BI5" s="218"/>
      <c r="BJ5" s="218"/>
      <c r="BK5" s="218" t="str">
        <f>+IF(Tabla467824[[#This Row],[F]]=Tabla467824[[#This Row],[f2]], "IGUAL", "DISTINTO")</f>
        <v>IGUAL</v>
      </c>
      <c r="BL5" s="218" t="str">
        <f>+IF(Tabla467824[[#This Row],[CVN]]=Tabla467824[[#This Row],[CVN2]], "IGUAL", "DISTINTO")</f>
        <v>DISTINTO</v>
      </c>
      <c r="BM5" s="219" t="str">
        <f>+IF(Tabla467824[[#This Row],[L]]=Tabla467824[[#This Row],[L2]], "IGUAL", "DISTINTO")</f>
        <v>IGUAL</v>
      </c>
    </row>
    <row r="6" spans="1:65" x14ac:dyDescent="0.25">
      <c r="A6">
        <v>3</v>
      </c>
      <c r="B6" s="202" t="s">
        <v>99</v>
      </c>
      <c r="C6" s="203" t="s">
        <v>100</v>
      </c>
      <c r="D6" s="203" t="s">
        <v>70</v>
      </c>
      <c r="E6" s="203" t="s">
        <v>78</v>
      </c>
      <c r="F6" s="203" t="s">
        <v>78</v>
      </c>
      <c r="G6" s="203" t="s">
        <v>70</v>
      </c>
      <c r="H6" s="203" t="s">
        <v>72</v>
      </c>
      <c r="I6" s="203"/>
      <c r="J6" s="203" t="s">
        <v>72</v>
      </c>
      <c r="K6" s="203"/>
      <c r="L6" s="203" t="s">
        <v>72</v>
      </c>
      <c r="M6" s="203" t="s">
        <v>72</v>
      </c>
      <c r="N6" s="203"/>
      <c r="O6" s="203" t="s">
        <v>73</v>
      </c>
      <c r="P6" s="203" t="s">
        <v>74</v>
      </c>
      <c r="Q6" s="203" t="s">
        <v>75</v>
      </c>
      <c r="R6" s="203" t="s">
        <v>76</v>
      </c>
      <c r="S6" s="204">
        <v>45202</v>
      </c>
      <c r="T6" s="205">
        <v>45259</v>
      </c>
      <c r="U6" s="206">
        <v>57</v>
      </c>
      <c r="V6" s="207">
        <v>2023</v>
      </c>
      <c r="W6" s="203" t="s">
        <v>77</v>
      </c>
      <c r="X6" s="203" t="s">
        <v>78</v>
      </c>
      <c r="Y6" s="203" t="s">
        <v>79</v>
      </c>
      <c r="Z6" s="203" t="s">
        <v>101</v>
      </c>
      <c r="AA6" s="203" t="s">
        <v>102</v>
      </c>
      <c r="AB6" s="203" t="s">
        <v>103</v>
      </c>
      <c r="AC6" s="203" t="s">
        <v>104</v>
      </c>
      <c r="AD6" s="208">
        <v>1</v>
      </c>
      <c r="AE6" s="208" t="s">
        <v>105</v>
      </c>
      <c r="AF6" s="208" t="s">
        <v>79</v>
      </c>
      <c r="AG6" s="208" t="s">
        <v>106</v>
      </c>
      <c r="AH6" s="208" t="s">
        <v>87</v>
      </c>
      <c r="AI6" s="208" t="s">
        <v>107</v>
      </c>
      <c r="AJ6" s="205" t="s">
        <v>108</v>
      </c>
      <c r="AK6" s="204">
        <v>45133</v>
      </c>
      <c r="AL6" s="208">
        <v>0</v>
      </c>
      <c r="AM6" s="209" t="s">
        <v>102</v>
      </c>
      <c r="AN6" s="210">
        <v>4500370218</v>
      </c>
      <c r="AO6" s="209" t="s">
        <v>103</v>
      </c>
      <c r="AP6" s="209"/>
      <c r="AQ6" s="209" t="s">
        <v>72</v>
      </c>
      <c r="AR6" s="209" t="s">
        <v>109</v>
      </c>
      <c r="AS6" s="209" t="s">
        <v>110</v>
      </c>
      <c r="AT6" s="210">
        <v>5.0999999999999996</v>
      </c>
      <c r="AU6" s="211">
        <v>10</v>
      </c>
      <c r="AV6" s="212">
        <v>28.2</v>
      </c>
      <c r="AW6" s="213">
        <v>13073</v>
      </c>
      <c r="AX6" s="213">
        <v>2980.6440000000002</v>
      </c>
      <c r="AY6" s="210" t="s">
        <v>70</v>
      </c>
      <c r="AZ6" s="209" t="s">
        <v>93</v>
      </c>
      <c r="BA6" s="214" t="str">
        <f>+IF(Tabla467824[[#This Row],[TIPO VEHÍCULO]]=Tabla467824[[#This Row],[Columna2]], "IGUAL", "DISTINTO")</f>
        <v>IGUAL</v>
      </c>
      <c r="BB6" s="214" t="str">
        <f>+IF(Tabla467824[[#This Row],[Columna4]]=Tabla467824[[#This Row],[Combustible2]], "IGUAL", "DISTINTO")</f>
        <v>IGUAL</v>
      </c>
      <c r="BC6" s="202" t="s">
        <v>99</v>
      </c>
      <c r="BD6" s="215" cm="1">
        <f t="array" ref="BD6">IFERROR(INDEX('[1]Anexos FICHA TRA050'!$D$27:$D$44, MATCH(Tabla467824[[#This Row],[Columna5]]&amp;Tabla467824[[#This Row],[Columna4]], '[1]Anexos FICHA TRA050'!$E$27:$E$44&amp;'[1]Anexos FICHA TRA050'!$F$27:$F$44, 0)), "")</f>
        <v>6.99</v>
      </c>
      <c r="BE6" s="215">
        <f>IFERROR(INDEX('[1]Anexos FICHA TRA050'!$B$4:$B$7, MATCH(Tabla467824[[#This Row],[Columna4]], '[1]Anexos FICHA TRA050'!$C$4:$C$7, 0)), "")</f>
        <v>10</v>
      </c>
      <c r="BF6" s="215">
        <f>IFERROR(INDEX('[1]Anexos FICHA TRA050'!$C$14:$C$22, MATCH(Tabla467824[[#This Row],[Columna5]], '[1]Anexos FICHA TRA050'!$D$14:$D$22, 0)), "")</f>
        <v>17.920000000000002</v>
      </c>
      <c r="BG6" s="216">
        <f>IFERROR(INDEX('[1]Anexos FICHA TRA050'!$C$49:$C$54, MATCH(Tabla467824[[#This Row],[Columna5]], '[1]Anexos FICHA TRA050'!$D$49:$D$54, 0)), "")</f>
        <v>13073</v>
      </c>
      <c r="BH6" s="217">
        <f>+(((Tabla467824[[#This Row],[CVA2]]*Tabla467824[[#This Row],[f2]])-Tabla467824[[#This Row],[CVN2]])/100)*Tabla467824[[#This Row],[L2]]</f>
        <v>6795.3454000000002</v>
      </c>
      <c r="BI6" s="218"/>
      <c r="BJ6" s="218"/>
      <c r="BK6" s="218" t="str">
        <f>+IF(Tabla467824[[#This Row],[F]]=Tabla467824[[#This Row],[f2]], "IGUAL", "DISTINTO")</f>
        <v>IGUAL</v>
      </c>
      <c r="BL6" s="218" t="str">
        <f>+IF(Tabla467824[[#This Row],[CVN]]=Tabla467824[[#This Row],[CVN2]], "IGUAL", "DISTINTO")</f>
        <v>DISTINTO</v>
      </c>
      <c r="BM6" s="219" t="str">
        <f>+IF(Tabla467824[[#This Row],[L]]=Tabla467824[[#This Row],[L2]], "IGUAL", "DISTINTO")</f>
        <v>IGUAL</v>
      </c>
    </row>
    <row r="7" spans="1:65" x14ac:dyDescent="0.25">
      <c r="A7">
        <v>4</v>
      </c>
      <c r="B7" s="202" t="s">
        <v>111</v>
      </c>
      <c r="C7" s="203" t="s">
        <v>112</v>
      </c>
      <c r="D7" s="203" t="s">
        <v>70</v>
      </c>
      <c r="E7" s="203" t="s">
        <v>78</v>
      </c>
      <c r="F7" s="203" t="s">
        <v>78</v>
      </c>
      <c r="G7" s="203" t="s">
        <v>70</v>
      </c>
      <c r="H7" s="203" t="s">
        <v>72</v>
      </c>
      <c r="I7" s="203" t="s">
        <v>72</v>
      </c>
      <c r="J7" s="203" t="s">
        <v>72</v>
      </c>
      <c r="K7" s="203"/>
      <c r="L7" s="203" t="s">
        <v>72</v>
      </c>
      <c r="M7" s="203" t="s">
        <v>72</v>
      </c>
      <c r="N7" s="203"/>
      <c r="O7" s="203" t="s">
        <v>73</v>
      </c>
      <c r="P7" s="203" t="s">
        <v>74</v>
      </c>
      <c r="Q7" s="203" t="s">
        <v>75</v>
      </c>
      <c r="R7" s="203" t="s">
        <v>76</v>
      </c>
      <c r="S7" s="204">
        <v>45202</v>
      </c>
      <c r="T7" s="205">
        <v>45261</v>
      </c>
      <c r="U7" s="206">
        <v>59</v>
      </c>
      <c r="V7" s="207">
        <v>2023</v>
      </c>
      <c r="W7" s="203" t="s">
        <v>77</v>
      </c>
      <c r="X7" s="203" t="s">
        <v>78</v>
      </c>
      <c r="Y7" s="203" t="s">
        <v>79</v>
      </c>
      <c r="Z7" s="203" t="s">
        <v>101</v>
      </c>
      <c r="AA7" s="203" t="s">
        <v>102</v>
      </c>
      <c r="AB7" s="203" t="s">
        <v>103</v>
      </c>
      <c r="AC7" s="203" t="s">
        <v>104</v>
      </c>
      <c r="AD7" s="208">
        <v>2</v>
      </c>
      <c r="AE7" s="208" t="s">
        <v>113</v>
      </c>
      <c r="AF7" s="208" t="s">
        <v>85</v>
      </c>
      <c r="AG7" s="208" t="s">
        <v>114</v>
      </c>
      <c r="AH7" s="208" t="s">
        <v>87</v>
      </c>
      <c r="AI7" s="208" t="s">
        <v>115</v>
      </c>
      <c r="AJ7" s="205" t="s">
        <v>108</v>
      </c>
      <c r="AK7" s="204">
        <v>44994</v>
      </c>
      <c r="AL7" s="208">
        <v>0</v>
      </c>
      <c r="AM7" s="209" t="s">
        <v>102</v>
      </c>
      <c r="AN7" s="210">
        <v>4500351521</v>
      </c>
      <c r="AO7" s="209" t="s">
        <v>103</v>
      </c>
      <c r="AP7" s="209"/>
      <c r="AQ7" s="209" t="s">
        <v>72</v>
      </c>
      <c r="AR7" s="209" t="s">
        <v>109</v>
      </c>
      <c r="AS7" s="209" t="s">
        <v>116</v>
      </c>
      <c r="AT7" s="210">
        <v>5.0999999999999996</v>
      </c>
      <c r="AU7" s="211">
        <v>10</v>
      </c>
      <c r="AV7" s="212">
        <v>17.3</v>
      </c>
      <c r="AW7" s="213">
        <v>13073</v>
      </c>
      <c r="AX7" s="213">
        <v>4405.6010000000006</v>
      </c>
      <c r="AY7" s="210" t="s">
        <v>70</v>
      </c>
      <c r="AZ7" s="209" t="s">
        <v>93</v>
      </c>
      <c r="BA7" s="214" t="str">
        <f>+IF(Tabla467824[[#This Row],[TIPO VEHÍCULO]]=Tabla467824[[#This Row],[Columna2]], "IGUAL", "DISTINTO")</f>
        <v>IGUAL</v>
      </c>
      <c r="BB7" s="214" t="str">
        <f>+IF(Tabla467824[[#This Row],[Columna4]]=Tabla467824[[#This Row],[Combustible2]], "IGUAL", "DISTINTO")</f>
        <v>IGUAL</v>
      </c>
      <c r="BC7" s="202" t="s">
        <v>111</v>
      </c>
      <c r="BD7" s="215" cm="1">
        <f t="array" ref="BD7">IFERROR(INDEX('[1]Anexos FICHA TRA050'!$D$27:$D$44, MATCH(Tabla467824[[#This Row],[Columna5]]&amp;Tabla467824[[#This Row],[Columna4]], '[1]Anexos FICHA TRA050'!$E$27:$E$44&amp;'[1]Anexos FICHA TRA050'!$F$27:$F$44, 0)), "")</f>
        <v>6.99</v>
      </c>
      <c r="BE7" s="215">
        <f>IFERROR(INDEX('[1]Anexos FICHA TRA050'!$B$4:$B$7, MATCH(Tabla467824[[#This Row],[Columna4]], '[1]Anexos FICHA TRA050'!$C$4:$C$7, 0)), "")</f>
        <v>10</v>
      </c>
      <c r="BF7" s="215">
        <f>IFERROR(INDEX('[1]Anexos FICHA TRA050'!$C$14:$C$22, MATCH(Tabla467824[[#This Row],[Columna5]], '[1]Anexos FICHA TRA050'!$D$14:$D$22, 0)), "")</f>
        <v>17.920000000000002</v>
      </c>
      <c r="BG7" s="216">
        <f>IFERROR(INDEX('[1]Anexos FICHA TRA050'!$C$49:$C$54, MATCH(Tabla467824[[#This Row],[Columna5]], '[1]Anexos FICHA TRA050'!$D$49:$D$54, 0)), "")</f>
        <v>13073</v>
      </c>
      <c r="BH7" s="217">
        <f>+(((Tabla467824[[#This Row],[CVA2]]*Tabla467824[[#This Row],[f2]])-Tabla467824[[#This Row],[CVN2]])/100)*Tabla467824[[#This Row],[L2]]</f>
        <v>6795.3454000000002</v>
      </c>
      <c r="BI7" s="218"/>
      <c r="BJ7" s="218"/>
      <c r="BK7" s="218" t="str">
        <f>+IF(Tabla467824[[#This Row],[F]]=Tabla467824[[#This Row],[f2]], "IGUAL", "DISTINTO")</f>
        <v>IGUAL</v>
      </c>
      <c r="BL7" s="218" t="str">
        <f>+IF(Tabla467824[[#This Row],[CVN]]=Tabla467824[[#This Row],[CVN2]], "IGUAL", "DISTINTO")</f>
        <v>DISTINTO</v>
      </c>
      <c r="BM7" s="219" t="str">
        <f>+IF(Tabla467824[[#This Row],[L]]=Tabla467824[[#This Row],[L2]], "IGUAL", "DISTINTO")</f>
        <v>IGUAL</v>
      </c>
    </row>
    <row r="8" spans="1:65" x14ac:dyDescent="0.25">
      <c r="A8">
        <v>5</v>
      </c>
      <c r="B8" s="202" t="s">
        <v>117</v>
      </c>
      <c r="C8" s="203" t="s">
        <v>118</v>
      </c>
      <c r="D8" s="203" t="s">
        <v>70</v>
      </c>
      <c r="E8" s="203" t="s">
        <v>78</v>
      </c>
      <c r="F8" s="203" t="s">
        <v>78</v>
      </c>
      <c r="G8" s="203" t="s">
        <v>70</v>
      </c>
      <c r="H8" s="203" t="s">
        <v>72</v>
      </c>
      <c r="I8" s="203"/>
      <c r="J8" s="203" t="s">
        <v>72</v>
      </c>
      <c r="K8" s="203"/>
      <c r="L8" s="203" t="s">
        <v>72</v>
      </c>
      <c r="M8" s="203" t="s">
        <v>72</v>
      </c>
      <c r="N8" s="203"/>
      <c r="O8" s="203" t="s">
        <v>73</v>
      </c>
      <c r="P8" s="203" t="s">
        <v>74</v>
      </c>
      <c r="Q8" s="203" t="s">
        <v>75</v>
      </c>
      <c r="R8" s="203" t="s">
        <v>76</v>
      </c>
      <c r="S8" s="204">
        <v>45397</v>
      </c>
      <c r="T8" s="205">
        <v>45414</v>
      </c>
      <c r="U8" s="206">
        <v>17</v>
      </c>
      <c r="V8" s="207">
        <v>2024</v>
      </c>
      <c r="W8" s="203" t="s">
        <v>77</v>
      </c>
      <c r="X8" s="203" t="s">
        <v>78</v>
      </c>
      <c r="Y8" s="203" t="s">
        <v>79</v>
      </c>
      <c r="Z8" s="203" t="s">
        <v>101</v>
      </c>
      <c r="AA8" s="203" t="s">
        <v>119</v>
      </c>
      <c r="AB8" s="203" t="s">
        <v>120</v>
      </c>
      <c r="AC8" s="203" t="s">
        <v>121</v>
      </c>
      <c r="AD8" s="208">
        <v>1</v>
      </c>
      <c r="AE8" s="208" t="s">
        <v>122</v>
      </c>
      <c r="AF8" s="208" t="s">
        <v>85</v>
      </c>
      <c r="AG8" s="208" t="s">
        <v>86</v>
      </c>
      <c r="AH8" s="208" t="s">
        <v>87</v>
      </c>
      <c r="AI8" s="208" t="s">
        <v>123</v>
      </c>
      <c r="AJ8" s="205" t="s">
        <v>89</v>
      </c>
      <c r="AK8" s="204">
        <v>45645</v>
      </c>
      <c r="AL8" s="208">
        <v>0</v>
      </c>
      <c r="AM8" s="209" t="s">
        <v>119</v>
      </c>
      <c r="AN8" s="209" t="s">
        <v>124</v>
      </c>
      <c r="AO8" s="209" t="s">
        <v>120</v>
      </c>
      <c r="AP8" s="209"/>
      <c r="AQ8" s="209" t="s">
        <v>72</v>
      </c>
      <c r="AR8" s="209" t="s">
        <v>91</v>
      </c>
      <c r="AS8" s="209" t="s">
        <v>125</v>
      </c>
      <c r="AT8" s="210">
        <v>5.0999999999999996</v>
      </c>
      <c r="AU8" s="211">
        <v>10</v>
      </c>
      <c r="AV8" s="212">
        <v>17.3</v>
      </c>
      <c r="AW8" s="213">
        <v>13073</v>
      </c>
      <c r="AX8" s="213">
        <v>4405.6010000000006</v>
      </c>
      <c r="AY8" s="210" t="s">
        <v>70</v>
      </c>
      <c r="AZ8" s="209" t="s">
        <v>93</v>
      </c>
      <c r="BA8" s="214" t="str">
        <f>+IF(Tabla467824[[#This Row],[TIPO VEHÍCULO]]=Tabla467824[[#This Row],[Columna2]], "IGUAL", "DISTINTO")</f>
        <v>IGUAL</v>
      </c>
      <c r="BB8" s="214" t="str">
        <f>+IF(Tabla467824[[#This Row],[Columna4]]=Tabla467824[[#This Row],[Combustible2]], "IGUAL", "DISTINTO")</f>
        <v>IGUAL</v>
      </c>
      <c r="BC8" s="202" t="s">
        <v>117</v>
      </c>
      <c r="BD8" s="215" cm="1">
        <f t="array" ref="BD8">IFERROR(INDEX('[1]Anexos FICHA TRA050'!$D$27:$D$44, MATCH(Tabla467824[[#This Row],[Columna5]]&amp;Tabla467824[[#This Row],[Columna4]], '[1]Anexos FICHA TRA050'!$E$27:$E$44&amp;'[1]Anexos FICHA TRA050'!$F$27:$F$44, 0)), "")</f>
        <v>6.99</v>
      </c>
      <c r="BE8" s="215">
        <f>IFERROR(INDEX('[1]Anexos FICHA TRA050'!$B$4:$B$7, MATCH(Tabla467824[[#This Row],[Columna4]], '[1]Anexos FICHA TRA050'!$C$4:$C$7, 0)), "")</f>
        <v>10</v>
      </c>
      <c r="BF8" s="215">
        <f>IFERROR(INDEX('[1]Anexos FICHA TRA050'!$C$14:$C$22, MATCH(Tabla467824[[#This Row],[Columna5]], '[1]Anexos FICHA TRA050'!$D$14:$D$22, 0)), "")</f>
        <v>17.920000000000002</v>
      </c>
      <c r="BG8" s="216">
        <f>IFERROR(INDEX('[1]Anexos FICHA TRA050'!$C$49:$C$54, MATCH(Tabla467824[[#This Row],[Columna5]], '[1]Anexos FICHA TRA050'!$D$49:$D$54, 0)), "")</f>
        <v>13073</v>
      </c>
      <c r="BH8" s="217">
        <f>+(((Tabla467824[[#This Row],[CVA2]]*Tabla467824[[#This Row],[f2]])-Tabla467824[[#This Row],[CVN2]])/100)*Tabla467824[[#This Row],[L2]]</f>
        <v>6795.3454000000002</v>
      </c>
      <c r="BI8" s="218"/>
      <c r="BJ8" s="218"/>
      <c r="BK8" s="218" t="str">
        <f>+IF(Tabla467824[[#This Row],[F]]=Tabla467824[[#This Row],[f2]], "IGUAL", "DISTINTO")</f>
        <v>IGUAL</v>
      </c>
      <c r="BL8" s="218" t="str">
        <f>+IF(Tabla467824[[#This Row],[CVN]]=Tabla467824[[#This Row],[CVN2]], "IGUAL", "DISTINTO")</f>
        <v>DISTINTO</v>
      </c>
      <c r="BM8" s="219" t="str">
        <f>+IF(Tabla467824[[#This Row],[L]]=Tabla467824[[#This Row],[L2]], "IGUAL", "DISTINTO")</f>
        <v>IGUAL</v>
      </c>
    </row>
    <row r="9" spans="1:65" x14ac:dyDescent="0.25">
      <c r="A9">
        <v>6</v>
      </c>
      <c r="B9" s="202" t="s">
        <v>126</v>
      </c>
      <c r="C9" s="203" t="s">
        <v>127</v>
      </c>
      <c r="D9" s="203" t="s">
        <v>128</v>
      </c>
      <c r="E9" s="203" t="s">
        <v>78</v>
      </c>
      <c r="F9" s="203" t="s">
        <v>78</v>
      </c>
      <c r="G9" s="203" t="s">
        <v>128</v>
      </c>
      <c r="H9" s="203" t="s">
        <v>72</v>
      </c>
      <c r="I9" s="203"/>
      <c r="J9" s="203" t="s">
        <v>72</v>
      </c>
      <c r="K9" s="203"/>
      <c r="L9" s="203" t="s">
        <v>72</v>
      </c>
      <c r="M9" s="203" t="s">
        <v>72</v>
      </c>
      <c r="N9" s="203"/>
      <c r="O9" s="203" t="s">
        <v>129</v>
      </c>
      <c r="P9" s="203" t="s">
        <v>74</v>
      </c>
      <c r="Q9" s="203" t="s">
        <v>75</v>
      </c>
      <c r="R9" s="203" t="s">
        <v>76</v>
      </c>
      <c r="S9" s="204">
        <v>45447</v>
      </c>
      <c r="T9" s="205">
        <v>45657</v>
      </c>
      <c r="U9" s="206">
        <v>210</v>
      </c>
      <c r="V9" s="207">
        <v>2024</v>
      </c>
      <c r="W9" s="203" t="s">
        <v>77</v>
      </c>
      <c r="X9" s="203" t="s">
        <v>78</v>
      </c>
      <c r="Y9" s="203" t="s">
        <v>79</v>
      </c>
      <c r="Z9" s="203" t="s">
        <v>130</v>
      </c>
      <c r="AA9" s="203" t="s">
        <v>131</v>
      </c>
      <c r="AB9" s="203" t="s">
        <v>132</v>
      </c>
      <c r="AC9" s="203" t="s">
        <v>133</v>
      </c>
      <c r="AD9" s="208">
        <v>1</v>
      </c>
      <c r="AE9" s="208" t="s">
        <v>134</v>
      </c>
      <c r="AF9" s="208" t="s">
        <v>85</v>
      </c>
      <c r="AG9" s="208" t="s">
        <v>86</v>
      </c>
      <c r="AH9" s="208" t="s">
        <v>87</v>
      </c>
      <c r="AI9" s="208" t="s">
        <v>135</v>
      </c>
      <c r="AJ9" s="205" t="s">
        <v>89</v>
      </c>
      <c r="AK9" s="204">
        <v>45625</v>
      </c>
      <c r="AL9" s="208">
        <v>0</v>
      </c>
      <c r="AM9" s="209" t="s">
        <v>131</v>
      </c>
      <c r="AN9" s="209" t="s">
        <v>136</v>
      </c>
      <c r="AO9" s="209" t="s">
        <v>132</v>
      </c>
      <c r="AP9" s="209"/>
      <c r="AQ9" s="209" t="s">
        <v>72</v>
      </c>
      <c r="AR9" s="209" t="s">
        <v>91</v>
      </c>
      <c r="AS9" s="209" t="s">
        <v>137</v>
      </c>
      <c r="AT9" s="210">
        <v>5.6</v>
      </c>
      <c r="AU9" s="211">
        <v>10</v>
      </c>
      <c r="AV9" s="212">
        <v>17.3</v>
      </c>
      <c r="AW9" s="213">
        <v>15815</v>
      </c>
      <c r="AX9" s="213">
        <v>6120.4049999999997</v>
      </c>
      <c r="AY9" s="210" t="s">
        <v>128</v>
      </c>
      <c r="AZ9" s="209" t="s">
        <v>93</v>
      </c>
      <c r="BA9" s="214" t="str">
        <f>+IF(Tabla467824[[#This Row],[TIPO VEHÍCULO]]=Tabla467824[[#This Row],[Columna2]], "IGUAL", "DISTINTO")</f>
        <v>IGUAL</v>
      </c>
      <c r="BB9" s="214" t="str">
        <f>+IF(Tabla467824[[#This Row],[Columna4]]=Tabla467824[[#This Row],[Combustible2]], "IGUAL", "DISTINTO")</f>
        <v>IGUAL</v>
      </c>
      <c r="BC9" s="202" t="s">
        <v>126</v>
      </c>
      <c r="BD9" s="215" cm="1">
        <f t="array" ref="BD9">IFERROR(INDEX('[1]Anexos FICHA TRA050'!$D$27:$D$44, MATCH(Tabla467824[[#This Row],[Columna5]]&amp;Tabla467824[[#This Row],[Columna4]], '[1]Anexos FICHA TRA050'!$E$27:$E$44&amp;'[1]Anexos FICHA TRA050'!$F$27:$F$44, 0)), "")</f>
        <v>5.63</v>
      </c>
      <c r="BE9" s="215">
        <f>IFERROR(INDEX('[1]Anexos FICHA TRA050'!$B$4:$B$7, MATCH(Tabla467824[[#This Row],[Columna4]], '[1]Anexos FICHA TRA050'!$C$4:$C$7, 0)), "")</f>
        <v>10</v>
      </c>
      <c r="BF9" s="215">
        <f>IFERROR(INDEX('[1]Anexos FICHA TRA050'!$C$14:$C$22, MATCH(Tabla467824[[#This Row],[Columna5]], '[1]Anexos FICHA TRA050'!$D$14:$D$22, 0)), "")</f>
        <v>20.84</v>
      </c>
      <c r="BG9" s="216">
        <f>IFERROR(INDEX('[1]Anexos FICHA TRA050'!$C$49:$C$54, MATCH(Tabla467824[[#This Row],[Columna5]], '[1]Anexos FICHA TRA050'!$D$49:$D$54, 0)), "")</f>
        <v>15815</v>
      </c>
      <c r="BH9" s="217">
        <f>+(((Tabla467824[[#This Row],[CVA2]]*Tabla467824[[#This Row],[f2]])-Tabla467824[[#This Row],[CVN2]])/100)*Tabla467824[[#This Row],[L2]]</f>
        <v>5607.9989999999989</v>
      </c>
      <c r="BI9" s="218"/>
      <c r="BJ9" s="218"/>
      <c r="BK9" s="218" t="str">
        <f>+IF(Tabla467824[[#This Row],[F]]=Tabla467824[[#This Row],[f2]], "IGUAL", "DISTINTO")</f>
        <v>IGUAL</v>
      </c>
      <c r="BL9" s="218" t="str">
        <f>+IF(Tabla467824[[#This Row],[CVN]]=Tabla467824[[#This Row],[CVN2]], "IGUAL", "DISTINTO")</f>
        <v>DISTINTO</v>
      </c>
      <c r="BM9" s="219" t="str">
        <f>+IF(Tabla467824[[#This Row],[L]]=Tabla467824[[#This Row],[L2]], "IGUAL", "DISTINTO")</f>
        <v>IGUAL</v>
      </c>
    </row>
    <row r="10" spans="1:65" x14ac:dyDescent="0.25">
      <c r="A10">
        <v>7</v>
      </c>
      <c r="B10" s="202" t="s">
        <v>138</v>
      </c>
      <c r="C10" s="203" t="s">
        <v>139</v>
      </c>
      <c r="D10" s="203" t="s">
        <v>70</v>
      </c>
      <c r="E10" s="203" t="s">
        <v>78</v>
      </c>
      <c r="F10" s="203" t="s">
        <v>78</v>
      </c>
      <c r="G10" s="203" t="s">
        <v>70</v>
      </c>
      <c r="H10" s="203" t="s">
        <v>72</v>
      </c>
      <c r="I10" s="203" t="s">
        <v>72</v>
      </c>
      <c r="J10" s="203" t="s">
        <v>72</v>
      </c>
      <c r="K10" s="203"/>
      <c r="L10" s="203" t="s">
        <v>72</v>
      </c>
      <c r="M10" s="203" t="s">
        <v>72</v>
      </c>
      <c r="N10" s="203"/>
      <c r="O10" s="203" t="s">
        <v>73</v>
      </c>
      <c r="P10" s="203" t="s">
        <v>74</v>
      </c>
      <c r="Q10" s="203" t="s">
        <v>75</v>
      </c>
      <c r="R10" s="203" t="s">
        <v>76</v>
      </c>
      <c r="S10" s="204">
        <v>45282</v>
      </c>
      <c r="T10" s="205">
        <v>45321</v>
      </c>
      <c r="U10" s="206">
        <v>39</v>
      </c>
      <c r="V10" s="207">
        <v>2024</v>
      </c>
      <c r="W10" s="203" t="s">
        <v>77</v>
      </c>
      <c r="X10" s="203" t="s">
        <v>78</v>
      </c>
      <c r="Y10" s="203" t="s">
        <v>140</v>
      </c>
      <c r="Z10" s="203" t="s">
        <v>141</v>
      </c>
      <c r="AA10" s="203" t="s">
        <v>81</v>
      </c>
      <c r="AB10" s="203" t="s">
        <v>82</v>
      </c>
      <c r="AC10" s="203" t="s">
        <v>83</v>
      </c>
      <c r="AD10" s="208">
        <v>3</v>
      </c>
      <c r="AE10" s="208" t="s">
        <v>142</v>
      </c>
      <c r="AF10" s="208" t="s">
        <v>85</v>
      </c>
      <c r="AG10" s="208" t="s">
        <v>86</v>
      </c>
      <c r="AH10" s="208" t="s">
        <v>87</v>
      </c>
      <c r="AI10" s="208" t="s">
        <v>143</v>
      </c>
      <c r="AJ10" s="205" t="s">
        <v>89</v>
      </c>
      <c r="AK10" s="204">
        <v>45625</v>
      </c>
      <c r="AL10" s="208">
        <v>0</v>
      </c>
      <c r="AM10" s="209" t="s">
        <v>81</v>
      </c>
      <c r="AN10" s="209" t="s">
        <v>144</v>
      </c>
      <c r="AO10" s="209" t="s">
        <v>82</v>
      </c>
      <c r="AP10" s="209"/>
      <c r="AQ10" s="209" t="s">
        <v>72</v>
      </c>
      <c r="AR10" s="209" t="s">
        <v>91</v>
      </c>
      <c r="AS10" s="209" t="s">
        <v>145</v>
      </c>
      <c r="AT10" s="210">
        <v>5.0999999999999996</v>
      </c>
      <c r="AU10" s="211">
        <v>10</v>
      </c>
      <c r="AV10" s="212">
        <v>17.3</v>
      </c>
      <c r="AW10" s="213">
        <v>13073</v>
      </c>
      <c r="AX10" s="213">
        <v>4405.6010000000006</v>
      </c>
      <c r="AY10" s="210" t="s">
        <v>70</v>
      </c>
      <c r="AZ10" s="209" t="s">
        <v>93</v>
      </c>
      <c r="BA10" s="214" t="str">
        <f>+IF(Tabla467824[[#This Row],[TIPO VEHÍCULO]]=Tabla467824[[#This Row],[Columna2]], "IGUAL", "DISTINTO")</f>
        <v>IGUAL</v>
      </c>
      <c r="BB10" s="214" t="str">
        <f>+IF(Tabla467824[[#This Row],[Columna4]]=Tabla467824[[#This Row],[Combustible2]], "IGUAL", "DISTINTO")</f>
        <v>IGUAL</v>
      </c>
      <c r="BC10" s="202" t="s">
        <v>138</v>
      </c>
      <c r="BD10" s="215" cm="1">
        <f t="array" ref="BD10">IFERROR(INDEX('[1]Anexos FICHA TRA050'!$D$27:$D$44, MATCH(Tabla467824[[#This Row],[Columna5]]&amp;Tabla467824[[#This Row],[Columna4]], '[1]Anexos FICHA TRA050'!$E$27:$E$44&amp;'[1]Anexos FICHA TRA050'!$F$27:$F$44, 0)), "")</f>
        <v>6.99</v>
      </c>
      <c r="BE10" s="215">
        <f>IFERROR(INDEX('[1]Anexos FICHA TRA050'!$B$4:$B$7, MATCH(Tabla467824[[#This Row],[Columna4]], '[1]Anexos FICHA TRA050'!$C$4:$C$7, 0)), "")</f>
        <v>10</v>
      </c>
      <c r="BF10" s="215">
        <f>IFERROR(INDEX('[1]Anexos FICHA TRA050'!$C$14:$C$22, MATCH(Tabla467824[[#This Row],[Columna5]], '[1]Anexos FICHA TRA050'!$D$14:$D$22, 0)), "")</f>
        <v>17.920000000000002</v>
      </c>
      <c r="BG10" s="216">
        <f>IFERROR(INDEX('[1]Anexos FICHA TRA050'!$C$49:$C$54, MATCH(Tabla467824[[#This Row],[Columna5]], '[1]Anexos FICHA TRA050'!$D$49:$D$54, 0)), "")</f>
        <v>13073</v>
      </c>
      <c r="BH10" s="217">
        <f>+(((Tabla467824[[#This Row],[CVA2]]*Tabla467824[[#This Row],[f2]])-Tabla467824[[#This Row],[CVN2]])/100)*Tabla467824[[#This Row],[L2]]</f>
        <v>6795.3454000000002</v>
      </c>
      <c r="BI10" s="218"/>
      <c r="BJ10" s="218"/>
      <c r="BK10" s="218" t="str">
        <f>+IF(Tabla467824[[#This Row],[F]]=Tabla467824[[#This Row],[f2]], "IGUAL", "DISTINTO")</f>
        <v>IGUAL</v>
      </c>
      <c r="BL10" s="218" t="str">
        <f>+IF(Tabla467824[[#This Row],[CVN]]=Tabla467824[[#This Row],[CVN2]], "IGUAL", "DISTINTO")</f>
        <v>DISTINTO</v>
      </c>
      <c r="BM10" s="219" t="str">
        <f>+IF(Tabla467824[[#This Row],[L]]=Tabla467824[[#This Row],[L2]], "IGUAL", "DISTINTO")</f>
        <v>IGUAL</v>
      </c>
    </row>
    <row r="11" spans="1:65" ht="15.6" customHeight="1" x14ac:dyDescent="0.25">
      <c r="A11">
        <v>8</v>
      </c>
      <c r="B11" s="202" t="s">
        <v>146</v>
      </c>
      <c r="C11" s="203" t="s">
        <v>147</v>
      </c>
      <c r="D11" s="203" t="s">
        <v>70</v>
      </c>
      <c r="E11" s="203" t="s">
        <v>78</v>
      </c>
      <c r="F11" s="203" t="s">
        <v>78</v>
      </c>
      <c r="G11" s="203" t="s">
        <v>70</v>
      </c>
      <c r="H11" s="203" t="s">
        <v>72</v>
      </c>
      <c r="I11" s="203"/>
      <c r="J11" s="203" t="s">
        <v>72</v>
      </c>
      <c r="K11" s="203"/>
      <c r="L11" s="203" t="s">
        <v>72</v>
      </c>
      <c r="M11" s="203" t="s">
        <v>72</v>
      </c>
      <c r="N11" s="203"/>
      <c r="O11" s="203" t="s">
        <v>73</v>
      </c>
      <c r="P11" s="203" t="s">
        <v>74</v>
      </c>
      <c r="Q11" s="203" t="s">
        <v>75</v>
      </c>
      <c r="R11" s="203" t="s">
        <v>76</v>
      </c>
      <c r="S11" s="204">
        <v>45451</v>
      </c>
      <c r="T11" s="205">
        <v>45565</v>
      </c>
      <c r="U11" s="206">
        <v>114</v>
      </c>
      <c r="V11" s="207">
        <v>2024</v>
      </c>
      <c r="W11" s="203" t="s">
        <v>77</v>
      </c>
      <c r="X11" s="203" t="s">
        <v>78</v>
      </c>
      <c r="Y11" s="203" t="s">
        <v>140</v>
      </c>
      <c r="Z11" s="203" t="s">
        <v>148</v>
      </c>
      <c r="AA11" s="203" t="s">
        <v>119</v>
      </c>
      <c r="AB11" s="203" t="s">
        <v>120</v>
      </c>
      <c r="AC11" s="203" t="s">
        <v>149</v>
      </c>
      <c r="AD11" s="208">
        <v>2</v>
      </c>
      <c r="AE11" s="208" t="s">
        <v>150</v>
      </c>
      <c r="AF11" s="208" t="s">
        <v>140</v>
      </c>
      <c r="AG11" s="208" t="s">
        <v>151</v>
      </c>
      <c r="AH11" s="208" t="s">
        <v>87</v>
      </c>
      <c r="AI11" s="208" t="s">
        <v>152</v>
      </c>
      <c r="AJ11" s="205" t="s">
        <v>89</v>
      </c>
      <c r="AK11" s="204">
        <v>45622</v>
      </c>
      <c r="AL11" s="208">
        <v>0</v>
      </c>
      <c r="AM11" s="209" t="s">
        <v>119</v>
      </c>
      <c r="AN11" s="209" t="s">
        <v>153</v>
      </c>
      <c r="AO11" s="209" t="s">
        <v>120</v>
      </c>
      <c r="AP11" s="209"/>
      <c r="AQ11" s="209" t="s">
        <v>72</v>
      </c>
      <c r="AR11" s="209" t="s">
        <v>91</v>
      </c>
      <c r="AS11" s="209" t="s">
        <v>154</v>
      </c>
      <c r="AT11" s="210">
        <v>5.0999999999999996</v>
      </c>
      <c r="AU11" s="211">
        <v>10</v>
      </c>
      <c r="AV11" s="212">
        <v>16.399999999999999</v>
      </c>
      <c r="AW11" s="213">
        <v>13073</v>
      </c>
      <c r="AX11" s="213">
        <v>4523.2580000000007</v>
      </c>
      <c r="AY11" s="210" t="s">
        <v>70</v>
      </c>
      <c r="AZ11" s="209" t="s">
        <v>93</v>
      </c>
      <c r="BA11" s="214" t="str">
        <f>+IF(Tabla467824[[#This Row],[TIPO VEHÍCULO]]=Tabla467824[[#This Row],[Columna2]], "IGUAL", "DISTINTO")</f>
        <v>IGUAL</v>
      </c>
      <c r="BB11" s="214" t="str">
        <f>+IF(Tabla467824[[#This Row],[Columna4]]=Tabla467824[[#This Row],[Combustible2]], "IGUAL", "DISTINTO")</f>
        <v>IGUAL</v>
      </c>
      <c r="BC11" s="202" t="s">
        <v>146</v>
      </c>
      <c r="BD11" s="215" cm="1">
        <f t="array" ref="BD11">IFERROR(INDEX('[1]Anexos FICHA TRA050'!$D$27:$D$44, MATCH(Tabla467824[[#This Row],[Columna5]]&amp;Tabla467824[[#This Row],[Columna4]], '[1]Anexos FICHA TRA050'!$E$27:$E$44&amp;'[1]Anexos FICHA TRA050'!$F$27:$F$44, 0)), "")</f>
        <v>6.99</v>
      </c>
      <c r="BE11" s="215">
        <f>IFERROR(INDEX('[1]Anexos FICHA TRA050'!$B$4:$B$7, MATCH(Tabla467824[[#This Row],[Columna4]], '[1]Anexos FICHA TRA050'!$C$4:$C$7, 0)), "")</f>
        <v>10</v>
      </c>
      <c r="BF11" s="215">
        <f>IFERROR(INDEX('[1]Anexos FICHA TRA050'!$C$14:$C$22, MATCH(Tabla467824[[#This Row],[Columna5]], '[1]Anexos FICHA TRA050'!$D$14:$D$22, 0)), "")</f>
        <v>17.920000000000002</v>
      </c>
      <c r="BG11" s="216">
        <f>IFERROR(INDEX('[1]Anexos FICHA TRA050'!$C$49:$C$54, MATCH(Tabla467824[[#This Row],[Columna5]], '[1]Anexos FICHA TRA050'!$D$49:$D$54, 0)), "")</f>
        <v>13073</v>
      </c>
      <c r="BH11" s="217">
        <f>+(((Tabla467824[[#This Row],[CVA2]]*Tabla467824[[#This Row],[f2]])-Tabla467824[[#This Row],[CVN2]])/100)*Tabla467824[[#This Row],[L2]]</f>
        <v>6795.3454000000002</v>
      </c>
      <c r="BI11" s="218"/>
      <c r="BJ11" s="218"/>
      <c r="BK11" s="218" t="str">
        <f>+IF(Tabla467824[[#This Row],[F]]=Tabla467824[[#This Row],[f2]], "IGUAL", "DISTINTO")</f>
        <v>IGUAL</v>
      </c>
      <c r="BL11" s="218" t="str">
        <f>+IF(Tabla467824[[#This Row],[CVN]]=Tabla467824[[#This Row],[CVN2]], "IGUAL", "DISTINTO")</f>
        <v>DISTINTO</v>
      </c>
      <c r="BM11" s="219" t="str">
        <f>+IF(Tabla467824[[#This Row],[L]]=Tabla467824[[#This Row],[L2]], "IGUAL", "DISTINTO")</f>
        <v>IGUAL</v>
      </c>
    </row>
    <row r="12" spans="1:65" x14ac:dyDescent="0.25">
      <c r="A12">
        <v>9</v>
      </c>
      <c r="B12" s="202" t="s">
        <v>155</v>
      </c>
      <c r="C12" s="203" t="s">
        <v>156</v>
      </c>
      <c r="D12" s="203" t="s">
        <v>157</v>
      </c>
      <c r="E12" s="203" t="s">
        <v>71</v>
      </c>
      <c r="F12" s="203" t="s">
        <v>71</v>
      </c>
      <c r="G12" s="203" t="s">
        <v>51</v>
      </c>
      <c r="H12" s="203" t="s">
        <v>72</v>
      </c>
      <c r="I12" s="203"/>
      <c r="J12" s="203"/>
      <c r="K12" s="203" t="s">
        <v>72</v>
      </c>
      <c r="L12" s="203" t="s">
        <v>72</v>
      </c>
      <c r="M12" s="203" t="s">
        <v>72</v>
      </c>
      <c r="N12" s="203"/>
      <c r="O12" s="203" t="s">
        <v>158</v>
      </c>
      <c r="P12" s="203" t="s">
        <v>159</v>
      </c>
      <c r="Q12" s="203" t="s">
        <v>158</v>
      </c>
      <c r="R12" s="203" t="s">
        <v>160</v>
      </c>
      <c r="S12" s="204">
        <v>43073</v>
      </c>
      <c r="T12" s="205">
        <v>44974</v>
      </c>
      <c r="U12" s="206">
        <v>1901</v>
      </c>
      <c r="V12" s="207">
        <v>2023</v>
      </c>
      <c r="W12" s="203" t="s">
        <v>161</v>
      </c>
      <c r="X12" s="203" t="s">
        <v>71</v>
      </c>
      <c r="Y12" s="203" t="s">
        <v>162</v>
      </c>
      <c r="Z12" s="203" t="s">
        <v>163</v>
      </c>
      <c r="AA12" s="203" t="s">
        <v>81</v>
      </c>
      <c r="AB12" s="203" t="s">
        <v>82</v>
      </c>
      <c r="AC12" s="203" t="s">
        <v>164</v>
      </c>
      <c r="AD12" s="208">
        <v>4</v>
      </c>
      <c r="AE12" s="208" t="s">
        <v>165</v>
      </c>
      <c r="AF12" s="208" t="s">
        <v>85</v>
      </c>
      <c r="AG12" s="208" t="s">
        <v>86</v>
      </c>
      <c r="AH12" s="208" t="s">
        <v>87</v>
      </c>
      <c r="AI12" s="208" t="s">
        <v>143</v>
      </c>
      <c r="AJ12" s="205" t="s">
        <v>89</v>
      </c>
      <c r="AK12" s="204">
        <v>45625</v>
      </c>
      <c r="AL12" s="208">
        <v>1</v>
      </c>
      <c r="AM12" s="209" t="s">
        <v>81</v>
      </c>
      <c r="AN12" s="209" t="s">
        <v>166</v>
      </c>
      <c r="AO12" s="209" t="s">
        <v>82</v>
      </c>
      <c r="AP12" s="209"/>
      <c r="AQ12" s="209" t="s">
        <v>72</v>
      </c>
      <c r="AR12" s="209" t="s">
        <v>91</v>
      </c>
      <c r="AS12" s="209" t="s">
        <v>167</v>
      </c>
      <c r="AT12" s="210">
        <v>2.9</v>
      </c>
      <c r="AU12" s="211">
        <v>9.19</v>
      </c>
      <c r="AV12" s="212">
        <v>17.3</v>
      </c>
      <c r="AW12" s="213">
        <v>2831</v>
      </c>
      <c r="AX12" s="213">
        <v>264.72680999999989</v>
      </c>
      <c r="AY12" s="210" t="s">
        <v>157</v>
      </c>
      <c r="AZ12" s="209" t="s">
        <v>168</v>
      </c>
      <c r="BA12" s="214" t="str">
        <f>+IF(Tabla467824[[#This Row],[TIPO VEHÍCULO]]=Tabla467824[[#This Row],[Columna2]], "IGUAL", "DISTINTO")</f>
        <v>IGUAL</v>
      </c>
      <c r="BB12" s="214" t="str">
        <f>+IF(Tabla467824[[#This Row],[Columna4]]=Tabla467824[[#This Row],[Combustible2]], "IGUAL", "DISTINTO")</f>
        <v>IGUAL</v>
      </c>
      <c r="BC12" s="202" t="s">
        <v>155</v>
      </c>
      <c r="BD12" s="215" cm="1">
        <f t="array" ref="BD12">IFERROR(INDEX('[1]Anexos FICHA TRA050'!$D$27:$D$44, MATCH(Tabla467824[[#This Row],[Columna5]]&amp;Tabla467824[[#This Row],[Columna4]], '[1]Anexos FICHA TRA050'!$E$27:$E$44&amp;'[1]Anexos FICHA TRA050'!$F$27:$F$44, 0)), "")</f>
        <v>2.9</v>
      </c>
      <c r="BE12" s="215">
        <f>IFERROR(INDEX('[1]Anexos FICHA TRA050'!$B$4:$B$7, MATCH(Tabla467824[[#This Row],[Columna4]], '[1]Anexos FICHA TRA050'!$C$4:$C$7, 0)), "")</f>
        <v>9.19</v>
      </c>
      <c r="BF12" s="215">
        <f>IFERROR(INDEX('[1]Anexos FICHA TRA050'!$C$14:$C$22, MATCH(Tabla467824[[#This Row],[Columna5]], '[1]Anexos FICHA TRA050'!$D$14:$D$22, 0)), "")</f>
        <v>4.84</v>
      </c>
      <c r="BG12" s="216">
        <f>IFERROR(INDEX('[1]Anexos FICHA TRA050'!$C$49:$C$54, MATCH(Tabla467824[[#This Row],[Columna5]], '[1]Anexos FICHA TRA050'!$D$49:$D$54, 0)), "")</f>
        <v>2831</v>
      </c>
      <c r="BH12" s="217">
        <f>+(((Tabla467824[[#This Row],[CVA2]]*Tabla467824[[#This Row],[f2]])-Tabla467824[[#This Row],[CVN2]])/100)*Tabla467824[[#This Row],[L2]]</f>
        <v>617.46940999999993</v>
      </c>
      <c r="BI12" s="218"/>
      <c r="BJ12" s="218"/>
      <c r="BK12" s="218" t="str">
        <f>+IF(Tabla467824[[#This Row],[F]]=Tabla467824[[#This Row],[f2]], "IGUAL", "DISTINTO")</f>
        <v>IGUAL</v>
      </c>
      <c r="BL12" s="218" t="str">
        <f>+IF(Tabla467824[[#This Row],[CVN]]=Tabla467824[[#This Row],[CVN2]], "IGUAL", "DISTINTO")</f>
        <v>DISTINTO</v>
      </c>
      <c r="BM12" s="219" t="str">
        <f>+IF(Tabla467824[[#This Row],[L]]=Tabla467824[[#This Row],[L2]], "IGUAL", "DISTINTO")</f>
        <v>IGUAL</v>
      </c>
    </row>
    <row r="13" spans="1:65" x14ac:dyDescent="0.25">
      <c r="A13">
        <v>10</v>
      </c>
      <c r="B13" s="202" t="s">
        <v>169</v>
      </c>
      <c r="C13" s="203" t="s">
        <v>170</v>
      </c>
      <c r="D13" s="203" t="s">
        <v>157</v>
      </c>
      <c r="E13" s="203" t="s">
        <v>71</v>
      </c>
      <c r="F13" s="203" t="s">
        <v>71</v>
      </c>
      <c r="G13" s="203" t="s">
        <v>51</v>
      </c>
      <c r="H13" s="203" t="s">
        <v>72</v>
      </c>
      <c r="I13" s="203"/>
      <c r="J13" s="203"/>
      <c r="K13" s="203" t="s">
        <v>72</v>
      </c>
      <c r="L13" s="203" t="s">
        <v>72</v>
      </c>
      <c r="M13" s="203" t="s">
        <v>72</v>
      </c>
      <c r="N13" s="203"/>
      <c r="O13" s="203" t="s">
        <v>158</v>
      </c>
      <c r="P13" s="203" t="s">
        <v>159</v>
      </c>
      <c r="Q13" s="203" t="s">
        <v>158</v>
      </c>
      <c r="R13" s="203" t="s">
        <v>171</v>
      </c>
      <c r="S13" s="204">
        <v>42641</v>
      </c>
      <c r="T13" s="205">
        <v>45561</v>
      </c>
      <c r="U13" s="206">
        <v>2920</v>
      </c>
      <c r="V13" s="207">
        <v>2024</v>
      </c>
      <c r="W13" s="203" t="s">
        <v>172</v>
      </c>
      <c r="X13" s="203" t="s">
        <v>71</v>
      </c>
      <c r="Y13" s="203" t="s">
        <v>162</v>
      </c>
      <c r="Z13" s="203" t="s">
        <v>163</v>
      </c>
      <c r="AA13" s="203" t="s">
        <v>81</v>
      </c>
      <c r="AB13" s="203" t="s">
        <v>82</v>
      </c>
      <c r="AC13" s="203" t="s">
        <v>164</v>
      </c>
      <c r="AD13" s="208">
        <v>5</v>
      </c>
      <c r="AE13" s="208" t="s">
        <v>173</v>
      </c>
      <c r="AF13" s="208" t="s">
        <v>85</v>
      </c>
      <c r="AG13" s="208" t="s">
        <v>86</v>
      </c>
      <c r="AH13" s="208" t="s">
        <v>87</v>
      </c>
      <c r="AI13" s="208" t="s">
        <v>174</v>
      </c>
      <c r="AJ13" s="205" t="s">
        <v>89</v>
      </c>
      <c r="AK13" s="204">
        <v>45646</v>
      </c>
      <c r="AL13" s="208">
        <v>0</v>
      </c>
      <c r="AM13" s="209" t="s">
        <v>81</v>
      </c>
      <c r="AN13" s="209" t="s">
        <v>175</v>
      </c>
      <c r="AO13" s="209" t="s">
        <v>82</v>
      </c>
      <c r="AP13" s="209"/>
      <c r="AQ13" s="209" t="s">
        <v>72</v>
      </c>
      <c r="AR13" s="209" t="s">
        <v>91</v>
      </c>
      <c r="AS13" s="209" t="s">
        <v>176</v>
      </c>
      <c r="AT13" s="210">
        <v>2.9</v>
      </c>
      <c r="AU13" s="211">
        <v>9.19</v>
      </c>
      <c r="AV13" s="212">
        <v>17.3</v>
      </c>
      <c r="AW13" s="213">
        <v>2831</v>
      </c>
      <c r="AX13" s="213">
        <v>264.72680999999989</v>
      </c>
      <c r="AY13" s="210" t="s">
        <v>157</v>
      </c>
      <c r="AZ13" s="209" t="s">
        <v>168</v>
      </c>
      <c r="BA13" s="214" t="str">
        <f>+IF(Tabla467824[[#This Row],[TIPO VEHÍCULO]]=Tabla467824[[#This Row],[Columna2]], "IGUAL", "DISTINTO")</f>
        <v>IGUAL</v>
      </c>
      <c r="BB13" s="214" t="str">
        <f>+IF(Tabla467824[[#This Row],[Columna4]]=Tabla467824[[#This Row],[Combustible2]], "IGUAL", "DISTINTO")</f>
        <v>IGUAL</v>
      </c>
      <c r="BC13" s="202" t="s">
        <v>169</v>
      </c>
      <c r="BD13" s="215" cm="1">
        <f t="array" ref="BD13">IFERROR(INDEX('[1]Anexos FICHA TRA050'!$D$27:$D$44, MATCH(Tabla467824[[#This Row],[Columna5]]&amp;Tabla467824[[#This Row],[Columna4]], '[1]Anexos FICHA TRA050'!$E$27:$E$44&amp;'[1]Anexos FICHA TRA050'!$F$27:$F$44, 0)), "")</f>
        <v>2.9</v>
      </c>
      <c r="BE13" s="215">
        <f>IFERROR(INDEX('[1]Anexos FICHA TRA050'!$B$4:$B$7, MATCH(Tabla467824[[#This Row],[Columna4]], '[1]Anexos FICHA TRA050'!$C$4:$C$7, 0)), "")</f>
        <v>9.19</v>
      </c>
      <c r="BF13" s="215">
        <f>IFERROR(INDEX('[1]Anexos FICHA TRA050'!$C$14:$C$22, MATCH(Tabla467824[[#This Row],[Columna5]], '[1]Anexos FICHA TRA050'!$D$14:$D$22, 0)), "")</f>
        <v>4.84</v>
      </c>
      <c r="BG13" s="216">
        <f>IFERROR(INDEX('[1]Anexos FICHA TRA050'!$C$49:$C$54, MATCH(Tabla467824[[#This Row],[Columna5]], '[1]Anexos FICHA TRA050'!$D$49:$D$54, 0)), "")</f>
        <v>2831</v>
      </c>
      <c r="BH13" s="217">
        <f>+(((Tabla467824[[#This Row],[CVA2]]*Tabla467824[[#This Row],[f2]])-Tabla467824[[#This Row],[CVN2]])/100)*Tabla467824[[#This Row],[L2]]</f>
        <v>617.46940999999993</v>
      </c>
      <c r="BI13" s="218"/>
      <c r="BJ13" s="218"/>
      <c r="BK13" s="218" t="str">
        <f>+IF(Tabla467824[[#This Row],[F]]=Tabla467824[[#This Row],[f2]], "IGUAL", "DISTINTO")</f>
        <v>IGUAL</v>
      </c>
      <c r="BL13" s="218" t="str">
        <f>+IF(Tabla467824[[#This Row],[CVN]]=Tabla467824[[#This Row],[CVN2]], "IGUAL", "DISTINTO")</f>
        <v>DISTINTO</v>
      </c>
      <c r="BM13" s="219" t="str">
        <f>+IF(Tabla467824[[#This Row],[L]]=Tabla467824[[#This Row],[L2]], "IGUAL", "DISTINTO")</f>
        <v>IGUAL</v>
      </c>
    </row>
    <row r="14" spans="1:65" x14ac:dyDescent="0.25">
      <c r="A14">
        <v>11</v>
      </c>
      <c r="B14" s="202" t="s">
        <v>177</v>
      </c>
      <c r="C14" s="203" t="s">
        <v>178</v>
      </c>
      <c r="D14" s="203" t="s">
        <v>157</v>
      </c>
      <c r="E14" s="203" t="s">
        <v>71</v>
      </c>
      <c r="F14" s="203" t="s">
        <v>71</v>
      </c>
      <c r="G14" s="203" t="s">
        <v>51</v>
      </c>
      <c r="H14" s="203" t="s">
        <v>72</v>
      </c>
      <c r="I14" s="203"/>
      <c r="J14" s="203"/>
      <c r="K14" s="203" t="s">
        <v>72</v>
      </c>
      <c r="L14" s="203" t="s">
        <v>72</v>
      </c>
      <c r="M14" s="203" t="s">
        <v>72</v>
      </c>
      <c r="N14" s="203"/>
      <c r="O14" s="203" t="s">
        <v>158</v>
      </c>
      <c r="P14" s="203" t="s">
        <v>159</v>
      </c>
      <c r="Q14" s="203" t="s">
        <v>158</v>
      </c>
      <c r="R14" s="203" t="s">
        <v>171</v>
      </c>
      <c r="S14" s="204">
        <v>40830</v>
      </c>
      <c r="T14" s="205">
        <v>45561</v>
      </c>
      <c r="U14" s="206">
        <v>4731</v>
      </c>
      <c r="V14" s="207">
        <v>2024</v>
      </c>
      <c r="W14" s="203" t="s">
        <v>172</v>
      </c>
      <c r="X14" s="203" t="s">
        <v>71</v>
      </c>
      <c r="Y14" s="203" t="s">
        <v>162</v>
      </c>
      <c r="Z14" s="203" t="s">
        <v>163</v>
      </c>
      <c r="AA14" s="203" t="s">
        <v>81</v>
      </c>
      <c r="AB14" s="203" t="s">
        <v>82</v>
      </c>
      <c r="AC14" s="203" t="s">
        <v>164</v>
      </c>
      <c r="AD14" s="208">
        <v>6</v>
      </c>
      <c r="AE14" s="208" t="s">
        <v>179</v>
      </c>
      <c r="AF14" s="208" t="s">
        <v>85</v>
      </c>
      <c r="AG14" s="208" t="s">
        <v>86</v>
      </c>
      <c r="AH14" s="208" t="s">
        <v>87</v>
      </c>
      <c r="AI14" s="208" t="s">
        <v>180</v>
      </c>
      <c r="AJ14" s="205" t="s">
        <v>89</v>
      </c>
      <c r="AK14" s="204">
        <v>45646</v>
      </c>
      <c r="AL14" s="208">
        <v>0</v>
      </c>
      <c r="AM14" s="209" t="s">
        <v>81</v>
      </c>
      <c r="AN14" s="209" t="s">
        <v>181</v>
      </c>
      <c r="AO14" s="209" t="s">
        <v>82</v>
      </c>
      <c r="AP14" s="209"/>
      <c r="AQ14" s="209" t="s">
        <v>72</v>
      </c>
      <c r="AR14" s="209" t="s">
        <v>91</v>
      </c>
      <c r="AS14" s="209" t="s">
        <v>182</v>
      </c>
      <c r="AT14" s="210">
        <v>2.9</v>
      </c>
      <c r="AU14" s="211">
        <v>9.19</v>
      </c>
      <c r="AV14" s="212">
        <v>17.3</v>
      </c>
      <c r="AW14" s="213">
        <v>2831</v>
      </c>
      <c r="AX14" s="213">
        <v>264.72680999999989</v>
      </c>
      <c r="AY14" s="210" t="s">
        <v>157</v>
      </c>
      <c r="AZ14" s="209" t="s">
        <v>168</v>
      </c>
      <c r="BA14" s="214" t="str">
        <f>+IF(Tabla467824[[#This Row],[TIPO VEHÍCULO]]=Tabla467824[[#This Row],[Columna2]], "IGUAL", "DISTINTO")</f>
        <v>IGUAL</v>
      </c>
      <c r="BB14" s="214" t="str">
        <f>+IF(Tabla467824[[#This Row],[Columna4]]=Tabla467824[[#This Row],[Combustible2]], "IGUAL", "DISTINTO")</f>
        <v>IGUAL</v>
      </c>
      <c r="BC14" s="202" t="s">
        <v>177</v>
      </c>
      <c r="BD14" s="215" cm="1">
        <f t="array" ref="BD14">IFERROR(INDEX('[1]Anexos FICHA TRA050'!$D$27:$D$44, MATCH(Tabla467824[[#This Row],[Columna5]]&amp;Tabla467824[[#This Row],[Columna4]], '[1]Anexos FICHA TRA050'!$E$27:$E$44&amp;'[1]Anexos FICHA TRA050'!$F$27:$F$44, 0)), "")</f>
        <v>2.9</v>
      </c>
      <c r="BE14" s="215">
        <f>IFERROR(INDEX('[1]Anexos FICHA TRA050'!$B$4:$B$7, MATCH(Tabla467824[[#This Row],[Columna4]], '[1]Anexos FICHA TRA050'!$C$4:$C$7, 0)), "")</f>
        <v>9.19</v>
      </c>
      <c r="BF14" s="215">
        <f>IFERROR(INDEX('[1]Anexos FICHA TRA050'!$C$14:$C$22, MATCH(Tabla467824[[#This Row],[Columna5]], '[1]Anexos FICHA TRA050'!$D$14:$D$22, 0)), "")</f>
        <v>4.84</v>
      </c>
      <c r="BG14" s="216">
        <f>IFERROR(INDEX('[1]Anexos FICHA TRA050'!$C$49:$C$54, MATCH(Tabla467824[[#This Row],[Columna5]], '[1]Anexos FICHA TRA050'!$D$49:$D$54, 0)), "")</f>
        <v>2831</v>
      </c>
      <c r="BH14" s="217">
        <f>+(((Tabla467824[[#This Row],[CVA2]]*Tabla467824[[#This Row],[f2]])-Tabla467824[[#This Row],[CVN2]])/100)*Tabla467824[[#This Row],[L2]]</f>
        <v>617.46940999999993</v>
      </c>
      <c r="BI14" s="218"/>
      <c r="BJ14" s="218"/>
      <c r="BK14" s="218" t="str">
        <f>+IF(Tabla467824[[#This Row],[F]]=Tabla467824[[#This Row],[f2]], "IGUAL", "DISTINTO")</f>
        <v>IGUAL</v>
      </c>
      <c r="BL14" s="218" t="str">
        <f>+IF(Tabla467824[[#This Row],[CVN]]=Tabla467824[[#This Row],[CVN2]], "IGUAL", "DISTINTO")</f>
        <v>DISTINTO</v>
      </c>
      <c r="BM14" s="219" t="str">
        <f>+IF(Tabla467824[[#This Row],[L]]=Tabla467824[[#This Row],[L2]], "IGUAL", "DISTINTO")</f>
        <v>IGUAL</v>
      </c>
    </row>
    <row r="15" spans="1:65" x14ac:dyDescent="0.25">
      <c r="A15">
        <v>12</v>
      </c>
      <c r="B15" s="202" t="s">
        <v>183</v>
      </c>
      <c r="C15" s="203" t="s">
        <v>184</v>
      </c>
      <c r="D15" s="203" t="s">
        <v>157</v>
      </c>
      <c r="E15" s="203" t="s">
        <v>71</v>
      </c>
      <c r="F15" s="203" t="s">
        <v>71</v>
      </c>
      <c r="G15" s="203" t="s">
        <v>51</v>
      </c>
      <c r="H15" s="203"/>
      <c r="I15" s="203"/>
      <c r="J15" s="203"/>
      <c r="K15" s="203" t="s">
        <v>72</v>
      </c>
      <c r="L15" s="203" t="s">
        <v>72</v>
      </c>
      <c r="M15" s="203" t="s">
        <v>72</v>
      </c>
      <c r="N15" s="203" t="s">
        <v>72</v>
      </c>
      <c r="O15" s="203" t="s">
        <v>158</v>
      </c>
      <c r="P15" s="203" t="s">
        <v>159</v>
      </c>
      <c r="Q15" s="203" t="s">
        <v>158</v>
      </c>
      <c r="R15" s="203" t="s">
        <v>171</v>
      </c>
      <c r="S15" s="204">
        <v>41017</v>
      </c>
      <c r="T15" s="205">
        <v>45561</v>
      </c>
      <c r="U15" s="206">
        <v>4544</v>
      </c>
      <c r="V15" s="207">
        <v>2024</v>
      </c>
      <c r="W15" s="203" t="s">
        <v>172</v>
      </c>
      <c r="X15" s="203" t="s">
        <v>71</v>
      </c>
      <c r="Y15" s="203" t="s">
        <v>162</v>
      </c>
      <c r="Z15" s="203" t="s">
        <v>163</v>
      </c>
      <c r="AA15" s="203" t="s">
        <v>81</v>
      </c>
      <c r="AB15" s="203" t="s">
        <v>82</v>
      </c>
      <c r="AC15" s="203" t="s">
        <v>164</v>
      </c>
      <c r="AD15" s="208">
        <v>7</v>
      </c>
      <c r="AE15" s="208" t="s">
        <v>185</v>
      </c>
      <c r="AF15" s="208" t="s">
        <v>85</v>
      </c>
      <c r="AG15" s="208" t="s">
        <v>86</v>
      </c>
      <c r="AH15" s="208" t="s">
        <v>87</v>
      </c>
      <c r="AI15" s="208" t="s">
        <v>174</v>
      </c>
      <c r="AJ15" s="205" t="s">
        <v>89</v>
      </c>
      <c r="AK15" s="204">
        <v>45646</v>
      </c>
      <c r="AL15" s="208">
        <v>0</v>
      </c>
      <c r="AM15" s="209" t="s">
        <v>81</v>
      </c>
      <c r="AN15" s="209" t="s">
        <v>186</v>
      </c>
      <c r="AO15" s="209" t="s">
        <v>82</v>
      </c>
      <c r="AP15" s="209"/>
      <c r="AQ15" s="209" t="s">
        <v>72</v>
      </c>
      <c r="AR15" s="209" t="s">
        <v>91</v>
      </c>
      <c r="AS15" s="209" t="s">
        <v>187</v>
      </c>
      <c r="AT15" s="210">
        <v>2.9</v>
      </c>
      <c r="AU15" s="211">
        <v>9.19</v>
      </c>
      <c r="AV15" s="212">
        <v>17.3</v>
      </c>
      <c r="AW15" s="213">
        <v>2831</v>
      </c>
      <c r="AX15" s="213">
        <v>264.72680999999989</v>
      </c>
      <c r="AY15" s="210" t="s">
        <v>157</v>
      </c>
      <c r="AZ15" s="209" t="s">
        <v>168</v>
      </c>
      <c r="BA15" s="214" t="str">
        <f>+IF(Tabla467824[[#This Row],[TIPO VEHÍCULO]]=Tabla467824[[#This Row],[Columna2]], "IGUAL", "DISTINTO")</f>
        <v>IGUAL</v>
      </c>
      <c r="BB15" s="214" t="str">
        <f>+IF(Tabla467824[[#This Row],[Columna4]]=Tabla467824[[#This Row],[Combustible2]], "IGUAL", "DISTINTO")</f>
        <v>IGUAL</v>
      </c>
      <c r="BC15" s="202" t="s">
        <v>183</v>
      </c>
      <c r="BD15" s="215" cm="1">
        <f t="array" ref="BD15">IFERROR(INDEX('[1]Anexos FICHA TRA050'!$D$27:$D$44, MATCH(Tabla467824[[#This Row],[Columna5]]&amp;Tabla467824[[#This Row],[Columna4]], '[1]Anexos FICHA TRA050'!$E$27:$E$44&amp;'[1]Anexos FICHA TRA050'!$F$27:$F$44, 0)), "")</f>
        <v>2.9</v>
      </c>
      <c r="BE15" s="215">
        <f>IFERROR(INDEX('[1]Anexos FICHA TRA050'!$B$4:$B$7, MATCH(Tabla467824[[#This Row],[Columna4]], '[1]Anexos FICHA TRA050'!$C$4:$C$7, 0)), "")</f>
        <v>9.19</v>
      </c>
      <c r="BF15" s="215">
        <f>IFERROR(INDEX('[1]Anexos FICHA TRA050'!$C$14:$C$22, MATCH(Tabla467824[[#This Row],[Columna5]], '[1]Anexos FICHA TRA050'!$D$14:$D$22, 0)), "")</f>
        <v>4.84</v>
      </c>
      <c r="BG15" s="216">
        <f>IFERROR(INDEX('[1]Anexos FICHA TRA050'!$C$49:$C$54, MATCH(Tabla467824[[#This Row],[Columna5]], '[1]Anexos FICHA TRA050'!$D$49:$D$54, 0)), "")</f>
        <v>2831</v>
      </c>
      <c r="BH15" s="217">
        <f>+(((Tabla467824[[#This Row],[CVA2]]*Tabla467824[[#This Row],[f2]])-Tabla467824[[#This Row],[CVN2]])/100)*Tabla467824[[#This Row],[L2]]</f>
        <v>617.46940999999993</v>
      </c>
      <c r="BI15" s="218"/>
      <c r="BJ15" s="218"/>
      <c r="BK15" s="218" t="str">
        <f>+IF(Tabla467824[[#This Row],[F]]=Tabla467824[[#This Row],[f2]], "IGUAL", "DISTINTO")</f>
        <v>IGUAL</v>
      </c>
      <c r="BL15" s="218" t="str">
        <f>+IF(Tabla467824[[#This Row],[CVN]]=Tabla467824[[#This Row],[CVN2]], "IGUAL", "DISTINTO")</f>
        <v>DISTINTO</v>
      </c>
      <c r="BM15" s="219" t="str">
        <f>+IF(Tabla467824[[#This Row],[L]]=Tabla467824[[#This Row],[L2]], "IGUAL", "DISTINTO")</f>
        <v>IGUAL</v>
      </c>
    </row>
    <row r="16" spans="1:65" x14ac:dyDescent="0.25">
      <c r="A16">
        <v>13</v>
      </c>
      <c r="B16" s="202" t="s">
        <v>188</v>
      </c>
      <c r="C16" s="203" t="s">
        <v>189</v>
      </c>
      <c r="D16" s="203" t="s">
        <v>157</v>
      </c>
      <c r="E16" s="203" t="s">
        <v>71</v>
      </c>
      <c r="F16" s="203" t="s">
        <v>71</v>
      </c>
      <c r="G16" s="203" t="s">
        <v>51</v>
      </c>
      <c r="H16" s="203" t="s">
        <v>72</v>
      </c>
      <c r="I16" s="203"/>
      <c r="J16" s="203"/>
      <c r="K16" s="203" t="s">
        <v>72</v>
      </c>
      <c r="L16" s="203" t="s">
        <v>72</v>
      </c>
      <c r="M16" s="203" t="s">
        <v>72</v>
      </c>
      <c r="N16" s="203"/>
      <c r="O16" s="203" t="s">
        <v>158</v>
      </c>
      <c r="P16" s="203" t="s">
        <v>159</v>
      </c>
      <c r="Q16" s="203" t="s">
        <v>158</v>
      </c>
      <c r="R16" s="203" t="s">
        <v>171</v>
      </c>
      <c r="S16" s="204">
        <v>42983</v>
      </c>
      <c r="T16" s="205">
        <v>45604</v>
      </c>
      <c r="U16" s="206">
        <v>2621</v>
      </c>
      <c r="V16" s="207">
        <v>2024</v>
      </c>
      <c r="W16" s="203" t="s">
        <v>172</v>
      </c>
      <c r="X16" s="203" t="s">
        <v>71</v>
      </c>
      <c r="Y16" s="203" t="s">
        <v>162</v>
      </c>
      <c r="Z16" s="203" t="s">
        <v>163</v>
      </c>
      <c r="AA16" s="203" t="s">
        <v>190</v>
      </c>
      <c r="AB16" s="203" t="s">
        <v>191</v>
      </c>
      <c r="AC16" s="203" t="s">
        <v>192</v>
      </c>
      <c r="AD16" s="208">
        <v>1</v>
      </c>
      <c r="AE16" s="208" t="s">
        <v>193</v>
      </c>
      <c r="AF16" s="208" t="s">
        <v>85</v>
      </c>
      <c r="AG16" s="208" t="s">
        <v>86</v>
      </c>
      <c r="AH16" s="208" t="s">
        <v>87</v>
      </c>
      <c r="AI16" s="208" t="s">
        <v>194</v>
      </c>
      <c r="AJ16" s="205" t="s">
        <v>89</v>
      </c>
      <c r="AK16" s="204">
        <v>45646</v>
      </c>
      <c r="AL16" s="208">
        <v>0</v>
      </c>
      <c r="AM16" s="209" t="s">
        <v>190</v>
      </c>
      <c r="AN16" s="209" t="s">
        <v>195</v>
      </c>
      <c r="AO16" s="209" t="s">
        <v>191</v>
      </c>
      <c r="AP16" s="209"/>
      <c r="AQ16" s="209" t="s">
        <v>72</v>
      </c>
      <c r="AR16" s="209" t="s">
        <v>91</v>
      </c>
      <c r="AS16" s="209" t="s">
        <v>196</v>
      </c>
      <c r="AT16" s="210">
        <v>2.9</v>
      </c>
      <c r="AU16" s="211">
        <v>9.19</v>
      </c>
      <c r="AV16" s="212">
        <v>17.3</v>
      </c>
      <c r="AW16" s="213">
        <v>2831</v>
      </c>
      <c r="AX16" s="213">
        <v>264.72680999999989</v>
      </c>
      <c r="AY16" s="210" t="s">
        <v>157</v>
      </c>
      <c r="AZ16" s="209" t="s">
        <v>168</v>
      </c>
      <c r="BA16" s="214" t="str">
        <f>+IF(Tabla467824[[#This Row],[TIPO VEHÍCULO]]=Tabla467824[[#This Row],[Columna2]], "IGUAL", "DISTINTO")</f>
        <v>IGUAL</v>
      </c>
      <c r="BB16" s="214" t="str">
        <f>+IF(Tabla467824[[#This Row],[Columna4]]=Tabla467824[[#This Row],[Combustible2]], "IGUAL", "DISTINTO")</f>
        <v>IGUAL</v>
      </c>
      <c r="BC16" s="202" t="s">
        <v>188</v>
      </c>
      <c r="BD16" s="215" cm="1">
        <f t="array" ref="BD16">IFERROR(INDEX('[1]Anexos FICHA TRA050'!$D$27:$D$44, MATCH(Tabla467824[[#This Row],[Columna5]]&amp;Tabla467824[[#This Row],[Columna4]], '[1]Anexos FICHA TRA050'!$E$27:$E$44&amp;'[1]Anexos FICHA TRA050'!$F$27:$F$44, 0)), "")</f>
        <v>2.9</v>
      </c>
      <c r="BE16" s="215">
        <f>IFERROR(INDEX('[1]Anexos FICHA TRA050'!$B$4:$B$7, MATCH(Tabla467824[[#This Row],[Columna4]], '[1]Anexos FICHA TRA050'!$C$4:$C$7, 0)), "")</f>
        <v>9.19</v>
      </c>
      <c r="BF16" s="215">
        <f>IFERROR(INDEX('[1]Anexos FICHA TRA050'!$C$14:$C$22, MATCH(Tabla467824[[#This Row],[Columna5]], '[1]Anexos FICHA TRA050'!$D$14:$D$22, 0)), "")</f>
        <v>4.84</v>
      </c>
      <c r="BG16" s="216">
        <f>IFERROR(INDEX('[1]Anexos FICHA TRA050'!$C$49:$C$54, MATCH(Tabla467824[[#This Row],[Columna5]], '[1]Anexos FICHA TRA050'!$D$49:$D$54, 0)), "")</f>
        <v>2831</v>
      </c>
      <c r="BH16" s="217">
        <f>+(((Tabla467824[[#This Row],[CVA2]]*Tabla467824[[#This Row],[f2]])-Tabla467824[[#This Row],[CVN2]])/100)*Tabla467824[[#This Row],[L2]]</f>
        <v>617.46940999999993</v>
      </c>
      <c r="BI16" s="218"/>
      <c r="BJ16" s="218"/>
      <c r="BK16" s="218" t="str">
        <f>+IF(Tabla467824[[#This Row],[F]]=Tabla467824[[#This Row],[f2]], "IGUAL", "DISTINTO")</f>
        <v>IGUAL</v>
      </c>
      <c r="BL16" s="218" t="str">
        <f>+IF(Tabla467824[[#This Row],[CVN]]=Tabla467824[[#This Row],[CVN2]], "IGUAL", "DISTINTO")</f>
        <v>DISTINTO</v>
      </c>
      <c r="BM16" s="219" t="str">
        <f>+IF(Tabla467824[[#This Row],[L]]=Tabla467824[[#This Row],[L2]], "IGUAL", "DISTINTO")</f>
        <v>IGUAL</v>
      </c>
    </row>
    <row r="17" spans="1:65" x14ac:dyDescent="0.25">
      <c r="A17">
        <v>14</v>
      </c>
      <c r="B17" s="202" t="s">
        <v>197</v>
      </c>
      <c r="C17" s="203" t="s">
        <v>198</v>
      </c>
      <c r="D17" s="203" t="s">
        <v>70</v>
      </c>
      <c r="E17" s="203" t="s">
        <v>199</v>
      </c>
      <c r="F17" s="203" t="s">
        <v>199</v>
      </c>
      <c r="G17" s="203" t="s">
        <v>70</v>
      </c>
      <c r="H17" s="203" t="s">
        <v>72</v>
      </c>
      <c r="I17" s="203" t="s">
        <v>72</v>
      </c>
      <c r="J17" s="203" t="s">
        <v>72</v>
      </c>
      <c r="K17" s="203"/>
      <c r="L17" s="203" t="s">
        <v>72</v>
      </c>
      <c r="M17" s="203" t="s">
        <v>72</v>
      </c>
      <c r="N17" s="203"/>
      <c r="O17" s="203" t="s">
        <v>73</v>
      </c>
      <c r="P17" s="203" t="s">
        <v>200</v>
      </c>
      <c r="Q17" s="203" t="s">
        <v>201</v>
      </c>
      <c r="R17" s="203" t="s">
        <v>76</v>
      </c>
      <c r="S17" s="209">
        <v>44414</v>
      </c>
      <c r="T17" s="205">
        <v>45875</v>
      </c>
      <c r="U17" s="206">
        <v>1461</v>
      </c>
      <c r="V17" s="207">
        <v>2025</v>
      </c>
      <c r="W17" s="203" t="s">
        <v>77</v>
      </c>
      <c r="X17" s="203" t="s">
        <v>202</v>
      </c>
      <c r="Y17" s="203" t="s">
        <v>85</v>
      </c>
      <c r="Z17" s="203" t="s">
        <v>203</v>
      </c>
      <c r="AA17" s="203" t="s">
        <v>204</v>
      </c>
      <c r="AB17" s="203" t="s">
        <v>205</v>
      </c>
      <c r="AC17" s="203" t="s">
        <v>206</v>
      </c>
      <c r="AD17" s="208">
        <v>1</v>
      </c>
      <c r="AE17" s="208" t="s">
        <v>207</v>
      </c>
      <c r="AF17" s="208" t="s">
        <v>140</v>
      </c>
      <c r="AG17" s="208" t="s">
        <v>151</v>
      </c>
      <c r="AH17" s="208" t="s">
        <v>87</v>
      </c>
      <c r="AI17" s="208" t="s">
        <v>208</v>
      </c>
      <c r="AJ17" s="205" t="s">
        <v>89</v>
      </c>
      <c r="AK17" s="204">
        <v>45638</v>
      </c>
      <c r="AL17" s="208">
        <v>-1</v>
      </c>
      <c r="AM17" s="209" t="s">
        <v>204</v>
      </c>
      <c r="AN17" s="209" t="s">
        <v>209</v>
      </c>
      <c r="AO17" s="209" t="s">
        <v>205</v>
      </c>
      <c r="AP17" s="209"/>
      <c r="AQ17" s="209" t="s">
        <v>72</v>
      </c>
      <c r="AR17" s="209" t="s">
        <v>91</v>
      </c>
      <c r="AS17" s="209" t="s">
        <v>210</v>
      </c>
      <c r="AT17" s="210">
        <v>5.0999999999999996</v>
      </c>
      <c r="AU17" s="211">
        <v>9.19</v>
      </c>
      <c r="AV17" s="212">
        <v>16.399999999999999</v>
      </c>
      <c r="AW17" s="213">
        <v>13073</v>
      </c>
      <c r="AX17" s="213">
        <v>3983.2123699999993</v>
      </c>
      <c r="AY17" s="210" t="s">
        <v>70</v>
      </c>
      <c r="AZ17" s="209" t="s">
        <v>93</v>
      </c>
      <c r="BA17" s="214" t="str">
        <f>+IF(Tabla467824[[#This Row],[TIPO VEHÍCULO]]=Tabla467824[[#This Row],[Columna2]], "IGUAL", "DISTINTO")</f>
        <v>IGUAL</v>
      </c>
      <c r="BB17" s="214" t="str">
        <f>+IF(Tabla467824[[#This Row],[Columna4]]=Tabla467824[[#This Row],[Combustible2]], "IGUAL", "DISTINTO")</f>
        <v>DISTINTO</v>
      </c>
      <c r="BC17" s="202" t="s">
        <v>197</v>
      </c>
      <c r="BD17" s="215" cm="1">
        <f t="array" ref="BD17">IFERROR(INDEX('[1]Anexos FICHA TRA050'!$D$27:$D$44, MATCH(Tabla467824[[#This Row],[Columna5]]&amp;Tabla467824[[#This Row],[Columna4]], '[1]Anexos FICHA TRA050'!$E$27:$E$44&amp;'[1]Anexos FICHA TRA050'!$F$27:$F$44, 0)), "")</f>
        <v>5.1349999999999998</v>
      </c>
      <c r="BE17" s="215">
        <f>+'[1]Anexos FICHA TRA050'!B5</f>
        <v>9.19</v>
      </c>
      <c r="BF17" s="215">
        <f>IFERROR(INDEX('[1]Anexos FICHA TRA050'!$C$14:$C$22, MATCH(Tabla467824[[#This Row],[Columna5]], '[1]Anexos FICHA TRA050'!$D$14:$D$22, 0)), "")</f>
        <v>17.920000000000002</v>
      </c>
      <c r="BG17" s="216">
        <f>IFERROR(INDEX('[1]Anexos FICHA TRA050'!$C$49:$C$54, MATCH(Tabla467824[[#This Row],[Columna5]], '[1]Anexos FICHA TRA050'!$D$49:$D$54, 0)), "")</f>
        <v>13073</v>
      </c>
      <c r="BH17" s="217">
        <f>+(((Tabla467824[[#This Row],[CVA2]]*Tabla467824[[#This Row],[f2]])-Tabla467824[[#This Row],[CVN2]])/100)*Tabla467824[[#This Row],[L2]]</f>
        <v>3826.5520744999999</v>
      </c>
      <c r="BI17" s="218"/>
      <c r="BJ17" s="218"/>
      <c r="BK17" s="218" t="str">
        <f>+IF(Tabla467824[[#This Row],[F]]=Tabla467824[[#This Row],[f2]], "IGUAL", "DISTINTO")</f>
        <v>IGUAL</v>
      </c>
      <c r="BL17" s="218" t="str">
        <f>+IF(Tabla467824[[#This Row],[CVN]]=Tabla467824[[#This Row],[CVN2]], "IGUAL", "DISTINTO")</f>
        <v>DISTINTO</v>
      </c>
      <c r="BM17" s="219" t="str">
        <f>+IF(Tabla467824[[#This Row],[L]]=Tabla467824[[#This Row],[L2]], "IGUAL", "DISTINTO")</f>
        <v>IGUAL</v>
      </c>
    </row>
    <row r="18" spans="1:65" x14ac:dyDescent="0.25">
      <c r="A18">
        <v>15</v>
      </c>
      <c r="B18" s="202" t="s">
        <v>211</v>
      </c>
      <c r="C18" s="203" t="s">
        <v>212</v>
      </c>
      <c r="D18" s="203" t="s">
        <v>70</v>
      </c>
      <c r="E18" s="203" t="s">
        <v>71</v>
      </c>
      <c r="F18" s="203" t="s">
        <v>71</v>
      </c>
      <c r="G18" s="203" t="s">
        <v>70</v>
      </c>
      <c r="H18" s="203" t="s">
        <v>72</v>
      </c>
      <c r="I18" s="203"/>
      <c r="J18" s="203" t="s">
        <v>72</v>
      </c>
      <c r="K18" s="203"/>
      <c r="L18" s="203" t="s">
        <v>72</v>
      </c>
      <c r="M18" s="203"/>
      <c r="N18" s="203"/>
      <c r="O18" s="203" t="s">
        <v>73</v>
      </c>
      <c r="P18" s="203" t="s">
        <v>200</v>
      </c>
      <c r="Q18" s="203" t="s">
        <v>201</v>
      </c>
      <c r="R18" s="203" t="s">
        <v>76</v>
      </c>
      <c r="S18" s="209">
        <v>44224</v>
      </c>
      <c r="T18" s="205">
        <v>45685</v>
      </c>
      <c r="U18" s="206">
        <v>1461</v>
      </c>
      <c r="V18" s="207">
        <v>2025</v>
      </c>
      <c r="W18" s="203" t="s">
        <v>77</v>
      </c>
      <c r="X18" s="203" t="s">
        <v>71</v>
      </c>
      <c r="Y18" s="203" t="s">
        <v>213</v>
      </c>
      <c r="Z18" s="203" t="s">
        <v>214</v>
      </c>
      <c r="AA18" s="203" t="s">
        <v>215</v>
      </c>
      <c r="AB18" s="203" t="s">
        <v>216</v>
      </c>
      <c r="AC18" s="203" t="s">
        <v>217</v>
      </c>
      <c r="AD18" s="208">
        <v>1</v>
      </c>
      <c r="AE18" s="208" t="s">
        <v>218</v>
      </c>
      <c r="AF18" s="208" t="s">
        <v>140</v>
      </c>
      <c r="AG18" s="208" t="s">
        <v>151</v>
      </c>
      <c r="AH18" s="208" t="s">
        <v>87</v>
      </c>
      <c r="AI18" s="208" t="s">
        <v>217</v>
      </c>
      <c r="AJ18" s="205" t="s">
        <v>89</v>
      </c>
      <c r="AK18" s="204">
        <v>45625</v>
      </c>
      <c r="AL18" s="208">
        <v>-1</v>
      </c>
      <c r="AM18" s="209" t="s">
        <v>215</v>
      </c>
      <c r="AN18" s="209" t="s">
        <v>219</v>
      </c>
      <c r="AO18" s="209" t="s">
        <v>216</v>
      </c>
      <c r="AP18" s="209"/>
      <c r="AQ18" s="209" t="s">
        <v>72</v>
      </c>
      <c r="AR18" s="209" t="s">
        <v>91</v>
      </c>
      <c r="AS18" s="209" t="s">
        <v>220</v>
      </c>
      <c r="AT18" s="210">
        <v>5.0999999999999996</v>
      </c>
      <c r="AU18" s="211">
        <v>9.19</v>
      </c>
      <c r="AV18" s="212">
        <v>16.399999999999999</v>
      </c>
      <c r="AW18" s="213">
        <v>13073</v>
      </c>
      <c r="AX18" s="213">
        <v>3983.2123699999993</v>
      </c>
      <c r="AY18" s="210" t="s">
        <v>70</v>
      </c>
      <c r="AZ18" s="209" t="s">
        <v>93</v>
      </c>
      <c r="BA18" s="214" t="str">
        <f>+IF(Tabla467824[[#This Row],[TIPO VEHÍCULO]]=Tabla467824[[#This Row],[Columna2]], "IGUAL", "DISTINTO")</f>
        <v>IGUAL</v>
      </c>
      <c r="BB18" s="214" t="str">
        <f>+IF(Tabla467824[[#This Row],[Columna4]]=Tabla467824[[#This Row],[Combustible2]], "IGUAL", "DISTINTO")</f>
        <v>IGUAL</v>
      </c>
      <c r="BC18" s="202" t="s">
        <v>211</v>
      </c>
      <c r="BD18" s="215" cm="1">
        <f t="array" ref="BD18">IFERROR(INDEX('[1]Anexos FICHA TRA050'!$D$27:$D$44, MATCH(Tabla467824[[#This Row],[Columna5]]&amp;Tabla467824[[#This Row],[Columna4]], '[1]Anexos FICHA TRA050'!$E$27:$E$44&amp;'[1]Anexos FICHA TRA050'!$F$27:$F$44, 0)), "")</f>
        <v>7.89</v>
      </c>
      <c r="BE18" s="215">
        <f>IFERROR(INDEX('[1]Anexos FICHA TRA050'!$B$4:$B$7, MATCH(Tabla467824[[#This Row],[Columna4]], '[1]Anexos FICHA TRA050'!$C$4:$C$7, 0)), "")</f>
        <v>9.19</v>
      </c>
      <c r="BF18" s="215">
        <f>IFERROR(INDEX('[1]Anexos FICHA TRA050'!$C$14:$C$22, MATCH(Tabla467824[[#This Row],[Columna5]], '[1]Anexos FICHA TRA050'!$D$14:$D$22, 0)), "")</f>
        <v>17.920000000000002</v>
      </c>
      <c r="BG18" s="216">
        <f>IFERROR(INDEX('[1]Anexos FICHA TRA050'!$C$49:$C$54, MATCH(Tabla467824[[#This Row],[Columna5]], '[1]Anexos FICHA TRA050'!$D$49:$D$54, 0)), "")</f>
        <v>13073</v>
      </c>
      <c r="BH18" s="217">
        <f>+(((Tabla467824[[#This Row],[CVA2]]*Tabla467824[[#This Row],[f2]])-Tabla467824[[#This Row],[CVN2]])/100)*Tabla467824[[#This Row],[L2]]</f>
        <v>7136.4330429999991</v>
      </c>
      <c r="BI18" s="218"/>
      <c r="BJ18" s="218"/>
      <c r="BK18" s="218" t="str">
        <f>+IF(Tabla467824[[#This Row],[F]]=Tabla467824[[#This Row],[f2]], "IGUAL", "DISTINTO")</f>
        <v>IGUAL</v>
      </c>
      <c r="BL18" s="218" t="str">
        <f>+IF(Tabla467824[[#This Row],[CVN]]=Tabla467824[[#This Row],[CVN2]], "IGUAL", "DISTINTO")</f>
        <v>DISTINTO</v>
      </c>
      <c r="BM18" s="219" t="str">
        <f>+IF(Tabla467824[[#This Row],[L]]=Tabla467824[[#This Row],[L2]], "IGUAL", "DISTINTO")</f>
        <v>IGUAL</v>
      </c>
    </row>
    <row r="19" spans="1:65" x14ac:dyDescent="0.25">
      <c r="A19">
        <v>16</v>
      </c>
      <c r="B19" s="202" t="s">
        <v>221</v>
      </c>
      <c r="C19" s="203" t="s">
        <v>222</v>
      </c>
      <c r="D19" s="203" t="s">
        <v>70</v>
      </c>
      <c r="E19" s="203" t="s">
        <v>71</v>
      </c>
      <c r="F19" s="203" t="s">
        <v>71</v>
      </c>
      <c r="G19" s="203" t="s">
        <v>70</v>
      </c>
      <c r="H19" s="203" t="s">
        <v>72</v>
      </c>
      <c r="I19" s="203"/>
      <c r="J19" s="203" t="s">
        <v>72</v>
      </c>
      <c r="K19" s="203"/>
      <c r="L19" s="203" t="s">
        <v>72</v>
      </c>
      <c r="M19" s="203" t="s">
        <v>72</v>
      </c>
      <c r="N19" s="203"/>
      <c r="O19" s="203" t="s">
        <v>73</v>
      </c>
      <c r="P19" s="203" t="s">
        <v>200</v>
      </c>
      <c r="Q19" s="203" t="s">
        <v>201</v>
      </c>
      <c r="R19" s="203" t="s">
        <v>76</v>
      </c>
      <c r="S19" s="209">
        <v>44215</v>
      </c>
      <c r="T19" s="205">
        <v>45676</v>
      </c>
      <c r="U19" s="206">
        <v>1461</v>
      </c>
      <c r="V19" s="207">
        <v>2025</v>
      </c>
      <c r="W19" s="203" t="s">
        <v>77</v>
      </c>
      <c r="X19" s="203" t="s">
        <v>71</v>
      </c>
      <c r="Y19" s="203" t="s">
        <v>213</v>
      </c>
      <c r="Z19" s="203" t="s">
        <v>214</v>
      </c>
      <c r="AA19" s="203" t="s">
        <v>119</v>
      </c>
      <c r="AB19" s="203" t="s">
        <v>120</v>
      </c>
      <c r="AC19" s="203" t="s">
        <v>223</v>
      </c>
      <c r="AD19" s="208">
        <v>3</v>
      </c>
      <c r="AE19" s="208" t="s">
        <v>224</v>
      </c>
      <c r="AF19" s="208" t="s">
        <v>140</v>
      </c>
      <c r="AG19" s="208" t="s">
        <v>151</v>
      </c>
      <c r="AH19" s="208" t="s">
        <v>87</v>
      </c>
      <c r="AI19" s="208" t="s">
        <v>225</v>
      </c>
      <c r="AJ19" s="205" t="s">
        <v>89</v>
      </c>
      <c r="AK19" s="204">
        <v>45622</v>
      </c>
      <c r="AL19" s="208">
        <v>-1</v>
      </c>
      <c r="AM19" s="209" t="s">
        <v>119</v>
      </c>
      <c r="AN19" s="209" t="s">
        <v>226</v>
      </c>
      <c r="AO19" s="209" t="s">
        <v>120</v>
      </c>
      <c r="AP19" s="209"/>
      <c r="AQ19" s="209" t="s">
        <v>72</v>
      </c>
      <c r="AR19" s="209" t="s">
        <v>91</v>
      </c>
      <c r="AS19" s="209" t="s">
        <v>227</v>
      </c>
      <c r="AT19" s="210">
        <v>5.0999999999999996</v>
      </c>
      <c r="AU19" s="211">
        <v>9.19</v>
      </c>
      <c r="AV19" s="212">
        <v>16.399999999999999</v>
      </c>
      <c r="AW19" s="213">
        <v>13073</v>
      </c>
      <c r="AX19" s="213">
        <v>3983.2123699999993</v>
      </c>
      <c r="AY19" s="210" t="s">
        <v>70</v>
      </c>
      <c r="AZ19" s="209" t="s">
        <v>93</v>
      </c>
      <c r="BA19" s="214" t="str">
        <f>+IF(Tabla467824[[#This Row],[TIPO VEHÍCULO]]=Tabla467824[[#This Row],[Columna2]], "IGUAL", "DISTINTO")</f>
        <v>IGUAL</v>
      </c>
      <c r="BB19" s="214" t="str">
        <f>+IF(Tabla467824[[#This Row],[Columna4]]=Tabla467824[[#This Row],[Combustible2]], "IGUAL", "DISTINTO")</f>
        <v>IGUAL</v>
      </c>
      <c r="BC19" s="202" t="s">
        <v>221</v>
      </c>
      <c r="BD19" s="215" cm="1">
        <f t="array" ref="BD19">IFERROR(INDEX('[1]Anexos FICHA TRA050'!$D$27:$D$44, MATCH(Tabla467824[[#This Row],[Columna5]]&amp;Tabla467824[[#This Row],[Columna4]], '[1]Anexos FICHA TRA050'!$E$27:$E$44&amp;'[1]Anexos FICHA TRA050'!$F$27:$F$44, 0)), "")</f>
        <v>7.89</v>
      </c>
      <c r="BE19" s="215">
        <f>IFERROR(INDEX('[1]Anexos FICHA TRA050'!$B$4:$B$7, MATCH(Tabla467824[[#This Row],[Columna4]], '[1]Anexos FICHA TRA050'!$C$4:$C$7, 0)), "")</f>
        <v>9.19</v>
      </c>
      <c r="BF19" s="215">
        <f>IFERROR(INDEX('[1]Anexos FICHA TRA050'!$C$14:$C$22, MATCH(Tabla467824[[#This Row],[Columna5]], '[1]Anexos FICHA TRA050'!$D$14:$D$22, 0)), "")</f>
        <v>17.920000000000002</v>
      </c>
      <c r="BG19" s="216">
        <f>IFERROR(INDEX('[1]Anexos FICHA TRA050'!$C$49:$C$54, MATCH(Tabla467824[[#This Row],[Columna5]], '[1]Anexos FICHA TRA050'!$D$49:$D$54, 0)), "")</f>
        <v>13073</v>
      </c>
      <c r="BH19" s="217">
        <f>+(((Tabla467824[[#This Row],[CVA2]]*Tabla467824[[#This Row],[f2]])-Tabla467824[[#This Row],[CVN2]])/100)*Tabla467824[[#This Row],[L2]]</f>
        <v>7136.4330429999991</v>
      </c>
      <c r="BI19" s="218"/>
      <c r="BJ19" s="218"/>
      <c r="BK19" s="218" t="str">
        <f>+IF(Tabla467824[[#This Row],[F]]=Tabla467824[[#This Row],[f2]], "IGUAL", "DISTINTO")</f>
        <v>IGUAL</v>
      </c>
      <c r="BL19" s="218" t="str">
        <f>+IF(Tabla467824[[#This Row],[CVN]]=Tabla467824[[#This Row],[CVN2]], "IGUAL", "DISTINTO")</f>
        <v>DISTINTO</v>
      </c>
      <c r="BM19" s="219" t="str">
        <f>+IF(Tabla467824[[#This Row],[L]]=Tabla467824[[#This Row],[L2]], "IGUAL", "DISTINTO")</f>
        <v>IGUAL</v>
      </c>
    </row>
    <row r="20" spans="1:65" x14ac:dyDescent="0.25">
      <c r="A20">
        <v>17</v>
      </c>
      <c r="B20" s="202" t="s">
        <v>228</v>
      </c>
      <c r="C20" s="203" t="s">
        <v>229</v>
      </c>
      <c r="D20" s="203" t="s">
        <v>70</v>
      </c>
      <c r="E20" s="203" t="s">
        <v>71</v>
      </c>
      <c r="F20" s="203" t="s">
        <v>71</v>
      </c>
      <c r="G20" s="203" t="s">
        <v>70</v>
      </c>
      <c r="H20" s="203" t="s">
        <v>72</v>
      </c>
      <c r="I20" s="203"/>
      <c r="J20" s="203" t="s">
        <v>72</v>
      </c>
      <c r="K20" s="203"/>
      <c r="L20" s="203" t="s">
        <v>72</v>
      </c>
      <c r="M20" s="203" t="s">
        <v>72</v>
      </c>
      <c r="N20" s="203"/>
      <c r="O20" s="203" t="s">
        <v>73</v>
      </c>
      <c r="P20" s="203" t="s">
        <v>200</v>
      </c>
      <c r="Q20" s="203" t="s">
        <v>201</v>
      </c>
      <c r="R20" s="203" t="s">
        <v>76</v>
      </c>
      <c r="S20" s="209">
        <v>44224</v>
      </c>
      <c r="T20" s="205">
        <v>45689</v>
      </c>
      <c r="U20" s="206">
        <v>1465</v>
      </c>
      <c r="V20" s="207">
        <v>2025</v>
      </c>
      <c r="W20" s="203" t="s">
        <v>77</v>
      </c>
      <c r="X20" s="203" t="s">
        <v>71</v>
      </c>
      <c r="Y20" s="203" t="s">
        <v>213</v>
      </c>
      <c r="Z20" s="203" t="s">
        <v>214</v>
      </c>
      <c r="AA20" s="203" t="s">
        <v>204</v>
      </c>
      <c r="AB20" s="203" t="s">
        <v>205</v>
      </c>
      <c r="AC20" s="203" t="s">
        <v>230</v>
      </c>
      <c r="AD20" s="208">
        <v>2</v>
      </c>
      <c r="AE20" s="208" t="s">
        <v>231</v>
      </c>
      <c r="AF20" s="208" t="s">
        <v>140</v>
      </c>
      <c r="AG20" s="208" t="s">
        <v>151</v>
      </c>
      <c r="AH20" s="208" t="s">
        <v>87</v>
      </c>
      <c r="AI20" s="208" t="s">
        <v>232</v>
      </c>
      <c r="AJ20" s="205" t="s">
        <v>89</v>
      </c>
      <c r="AK20" s="204">
        <v>45638</v>
      </c>
      <c r="AL20" s="208">
        <v>-1</v>
      </c>
      <c r="AM20" s="209" t="s">
        <v>204</v>
      </c>
      <c r="AN20" s="209" t="s">
        <v>233</v>
      </c>
      <c r="AO20" s="209" t="s">
        <v>205</v>
      </c>
      <c r="AP20" s="209"/>
      <c r="AQ20" s="209" t="s">
        <v>72</v>
      </c>
      <c r="AR20" s="209" t="s">
        <v>91</v>
      </c>
      <c r="AS20" s="209" t="s">
        <v>234</v>
      </c>
      <c r="AT20" s="210">
        <v>5.0999999999999996</v>
      </c>
      <c r="AU20" s="211">
        <v>9.19</v>
      </c>
      <c r="AV20" s="212">
        <v>16.399999999999999</v>
      </c>
      <c r="AW20" s="213">
        <v>13073</v>
      </c>
      <c r="AX20" s="213">
        <v>3983.2123699999993</v>
      </c>
      <c r="AY20" s="210" t="s">
        <v>70</v>
      </c>
      <c r="AZ20" s="209" t="s">
        <v>93</v>
      </c>
      <c r="BA20" s="214" t="str">
        <f>+IF(Tabla467824[[#This Row],[TIPO VEHÍCULO]]=Tabla467824[[#This Row],[Columna2]], "IGUAL", "DISTINTO")</f>
        <v>IGUAL</v>
      </c>
      <c r="BB20" s="214" t="str">
        <f>+IF(Tabla467824[[#This Row],[Columna4]]=Tabla467824[[#This Row],[Combustible2]], "IGUAL", "DISTINTO")</f>
        <v>IGUAL</v>
      </c>
      <c r="BC20" s="202" t="s">
        <v>228</v>
      </c>
      <c r="BD20" s="215" cm="1">
        <f t="array" ref="BD20">IFERROR(INDEX('[1]Anexos FICHA TRA050'!$D$27:$D$44, MATCH(Tabla467824[[#This Row],[Columna5]]&amp;Tabla467824[[#This Row],[Columna4]], '[1]Anexos FICHA TRA050'!$E$27:$E$44&amp;'[1]Anexos FICHA TRA050'!$F$27:$F$44, 0)), "")</f>
        <v>7.89</v>
      </c>
      <c r="BE20" s="215">
        <f>IFERROR(INDEX('[1]Anexos FICHA TRA050'!$B$4:$B$7, MATCH(Tabla467824[[#This Row],[Columna4]], '[1]Anexos FICHA TRA050'!$C$4:$C$7, 0)), "")</f>
        <v>9.19</v>
      </c>
      <c r="BF20" s="215">
        <f>IFERROR(INDEX('[1]Anexos FICHA TRA050'!$C$14:$C$22, MATCH(Tabla467824[[#This Row],[Columna5]], '[1]Anexos FICHA TRA050'!$D$14:$D$22, 0)), "")</f>
        <v>17.920000000000002</v>
      </c>
      <c r="BG20" s="216">
        <f>IFERROR(INDEX('[1]Anexos FICHA TRA050'!$C$49:$C$54, MATCH(Tabla467824[[#This Row],[Columna5]], '[1]Anexos FICHA TRA050'!$D$49:$D$54, 0)), "")</f>
        <v>13073</v>
      </c>
      <c r="BH20" s="217">
        <f>+(((Tabla467824[[#This Row],[CVA2]]*Tabla467824[[#This Row],[f2]])-Tabla467824[[#This Row],[CVN2]])/100)*Tabla467824[[#This Row],[L2]]</f>
        <v>7136.4330429999991</v>
      </c>
      <c r="BI20" s="218"/>
      <c r="BJ20" s="218"/>
      <c r="BK20" s="218" t="str">
        <f>+IF(Tabla467824[[#This Row],[F]]=Tabla467824[[#This Row],[f2]], "IGUAL", "DISTINTO")</f>
        <v>IGUAL</v>
      </c>
      <c r="BL20" s="218" t="str">
        <f>+IF(Tabla467824[[#This Row],[CVN]]=Tabla467824[[#This Row],[CVN2]], "IGUAL", "DISTINTO")</f>
        <v>DISTINTO</v>
      </c>
      <c r="BM20" s="219" t="str">
        <f>+IF(Tabla467824[[#This Row],[L]]=Tabla467824[[#This Row],[L2]], "IGUAL", "DISTINTO")</f>
        <v>IGUAL</v>
      </c>
    </row>
    <row r="21" spans="1:65" x14ac:dyDescent="0.25">
      <c r="A21">
        <v>18</v>
      </c>
      <c r="B21" s="202" t="s">
        <v>235</v>
      </c>
      <c r="C21" s="203" t="s">
        <v>236</v>
      </c>
      <c r="D21" s="203" t="s">
        <v>70</v>
      </c>
      <c r="E21" s="203" t="s">
        <v>78</v>
      </c>
      <c r="F21" s="203" t="s">
        <v>78</v>
      </c>
      <c r="G21" s="203" t="s">
        <v>70</v>
      </c>
      <c r="H21" s="203" t="s">
        <v>72</v>
      </c>
      <c r="I21" s="203"/>
      <c r="J21" s="203" t="s">
        <v>72</v>
      </c>
      <c r="K21" s="203"/>
      <c r="L21" s="203" t="s">
        <v>72</v>
      </c>
      <c r="M21" s="203"/>
      <c r="N21" s="203"/>
      <c r="O21" s="203" t="s">
        <v>73</v>
      </c>
      <c r="P21" s="203" t="s">
        <v>200</v>
      </c>
      <c r="Q21" s="203" t="s">
        <v>201</v>
      </c>
      <c r="R21" s="203" t="s">
        <v>76</v>
      </c>
      <c r="S21" s="209">
        <v>44133</v>
      </c>
      <c r="T21" s="205">
        <v>45594</v>
      </c>
      <c r="U21" s="206">
        <v>1461</v>
      </c>
      <c r="V21" s="207">
        <v>2024</v>
      </c>
      <c r="W21" s="203" t="s">
        <v>77</v>
      </c>
      <c r="X21" s="203" t="s">
        <v>78</v>
      </c>
      <c r="Y21" s="203" t="s">
        <v>213</v>
      </c>
      <c r="Z21" s="203" t="s">
        <v>237</v>
      </c>
      <c r="AA21" s="203" t="s">
        <v>204</v>
      </c>
      <c r="AB21" s="203" t="s">
        <v>205</v>
      </c>
      <c r="AC21" s="203" t="s">
        <v>230</v>
      </c>
      <c r="AD21" s="208">
        <v>3</v>
      </c>
      <c r="AE21" s="208" t="s">
        <v>238</v>
      </c>
      <c r="AF21" s="208" t="s">
        <v>140</v>
      </c>
      <c r="AG21" s="208" t="s">
        <v>151</v>
      </c>
      <c r="AH21" s="208" t="s">
        <v>87</v>
      </c>
      <c r="AI21" s="208" t="s">
        <v>232</v>
      </c>
      <c r="AJ21" s="205" t="s">
        <v>89</v>
      </c>
      <c r="AK21" s="204">
        <v>45638</v>
      </c>
      <c r="AL21" s="208">
        <v>0</v>
      </c>
      <c r="AM21" s="209" t="s">
        <v>204</v>
      </c>
      <c r="AN21" s="209" t="s">
        <v>239</v>
      </c>
      <c r="AO21" s="209" t="s">
        <v>205</v>
      </c>
      <c r="AP21" s="209"/>
      <c r="AQ21" s="209" t="s">
        <v>72</v>
      </c>
      <c r="AR21" s="209" t="s">
        <v>91</v>
      </c>
      <c r="AS21" s="209" t="s">
        <v>240</v>
      </c>
      <c r="AT21" s="210">
        <v>5.0999999999999996</v>
      </c>
      <c r="AU21" s="211">
        <v>10</v>
      </c>
      <c r="AV21" s="212">
        <v>16.399999999999999</v>
      </c>
      <c r="AW21" s="213">
        <v>13073</v>
      </c>
      <c r="AX21" s="213">
        <v>4523.2580000000007</v>
      </c>
      <c r="AY21" s="210" t="s">
        <v>70</v>
      </c>
      <c r="AZ21" s="209" t="s">
        <v>93</v>
      </c>
      <c r="BA21" s="214" t="str">
        <f>+IF(Tabla467824[[#This Row],[TIPO VEHÍCULO]]=Tabla467824[[#This Row],[Columna2]], "IGUAL", "DISTINTO")</f>
        <v>IGUAL</v>
      </c>
      <c r="BB21" s="214" t="str">
        <f>+IF(Tabla467824[[#This Row],[Columna4]]=Tabla467824[[#This Row],[Combustible2]], "IGUAL", "DISTINTO")</f>
        <v>IGUAL</v>
      </c>
      <c r="BC21" s="202" t="s">
        <v>235</v>
      </c>
      <c r="BD21" s="215" cm="1">
        <f t="array" ref="BD21">IFERROR(INDEX('[1]Anexos FICHA TRA050'!$D$27:$D$44, MATCH(Tabla467824[[#This Row],[Columna5]]&amp;Tabla467824[[#This Row],[Columna4]], '[1]Anexos FICHA TRA050'!$E$27:$E$44&amp;'[1]Anexos FICHA TRA050'!$F$27:$F$44, 0)), "")</f>
        <v>6.99</v>
      </c>
      <c r="BE21" s="215">
        <f>IFERROR(INDEX('[1]Anexos FICHA TRA050'!$B$4:$B$7, MATCH(Tabla467824[[#This Row],[Columna4]], '[1]Anexos FICHA TRA050'!$C$4:$C$7, 0)), "")</f>
        <v>10</v>
      </c>
      <c r="BF21" s="215">
        <f>IFERROR(INDEX('[1]Anexos FICHA TRA050'!$C$14:$C$22, MATCH(Tabla467824[[#This Row],[Columna5]], '[1]Anexos FICHA TRA050'!$D$14:$D$22, 0)), "")</f>
        <v>17.920000000000002</v>
      </c>
      <c r="BG21" s="216">
        <f>IFERROR(INDEX('[1]Anexos FICHA TRA050'!$C$49:$C$54, MATCH(Tabla467824[[#This Row],[Columna5]], '[1]Anexos FICHA TRA050'!$D$49:$D$54, 0)), "")</f>
        <v>13073</v>
      </c>
      <c r="BH21" s="217">
        <f>+(((Tabla467824[[#This Row],[CVA2]]*Tabla467824[[#This Row],[f2]])-Tabla467824[[#This Row],[CVN2]])/100)*Tabla467824[[#This Row],[L2]]</f>
        <v>6795.3454000000002</v>
      </c>
      <c r="BI21" s="218"/>
      <c r="BJ21" s="218"/>
      <c r="BK21" s="218" t="str">
        <f>+IF(Tabla467824[[#This Row],[F]]=Tabla467824[[#This Row],[f2]], "IGUAL", "DISTINTO")</f>
        <v>IGUAL</v>
      </c>
      <c r="BL21" s="218" t="str">
        <f>+IF(Tabla467824[[#This Row],[CVN]]=Tabla467824[[#This Row],[CVN2]], "IGUAL", "DISTINTO")</f>
        <v>DISTINTO</v>
      </c>
      <c r="BM21" s="219" t="str">
        <f>+IF(Tabla467824[[#This Row],[L]]=Tabla467824[[#This Row],[L2]], "IGUAL", "DISTINTO")</f>
        <v>IGUAL</v>
      </c>
    </row>
    <row r="22" spans="1:65" x14ac:dyDescent="0.25">
      <c r="A22">
        <v>19</v>
      </c>
      <c r="B22" s="202" t="s">
        <v>241</v>
      </c>
      <c r="C22" s="203" t="s">
        <v>242</v>
      </c>
      <c r="D22" s="203" t="s">
        <v>70</v>
      </c>
      <c r="E22" s="203" t="s">
        <v>78</v>
      </c>
      <c r="F22" s="203" t="s">
        <v>78</v>
      </c>
      <c r="G22" s="203" t="s">
        <v>70</v>
      </c>
      <c r="H22" s="203" t="s">
        <v>72</v>
      </c>
      <c r="I22" s="203"/>
      <c r="J22" s="203" t="s">
        <v>72</v>
      </c>
      <c r="K22" s="203"/>
      <c r="L22" s="203" t="s">
        <v>72</v>
      </c>
      <c r="M22" s="203" t="s">
        <v>72</v>
      </c>
      <c r="N22" s="203"/>
      <c r="O22" s="203" t="s">
        <v>73</v>
      </c>
      <c r="P22" s="203" t="s">
        <v>200</v>
      </c>
      <c r="Q22" s="203" t="s">
        <v>201</v>
      </c>
      <c r="R22" s="203" t="s">
        <v>76</v>
      </c>
      <c r="S22" s="209">
        <v>44133</v>
      </c>
      <c r="T22" s="205">
        <v>45594</v>
      </c>
      <c r="U22" s="206">
        <v>1461</v>
      </c>
      <c r="V22" s="207">
        <v>2024</v>
      </c>
      <c r="W22" s="203" t="s">
        <v>77</v>
      </c>
      <c r="X22" s="203" t="s">
        <v>78</v>
      </c>
      <c r="Y22" s="203" t="s">
        <v>213</v>
      </c>
      <c r="Z22" s="203" t="s">
        <v>237</v>
      </c>
      <c r="AA22" s="203" t="s">
        <v>119</v>
      </c>
      <c r="AB22" s="203" t="s">
        <v>120</v>
      </c>
      <c r="AC22" s="203" t="s">
        <v>243</v>
      </c>
      <c r="AD22" s="208">
        <v>4</v>
      </c>
      <c r="AE22" s="208" t="s">
        <v>244</v>
      </c>
      <c r="AF22" s="208" t="s">
        <v>140</v>
      </c>
      <c r="AG22" s="208" t="s">
        <v>151</v>
      </c>
      <c r="AH22" s="208" t="s">
        <v>87</v>
      </c>
      <c r="AI22" s="208" t="s">
        <v>223</v>
      </c>
      <c r="AJ22" s="205" t="s">
        <v>89</v>
      </c>
      <c r="AK22" s="204">
        <v>45622</v>
      </c>
      <c r="AL22" s="208">
        <v>0</v>
      </c>
      <c r="AM22" s="209" t="s">
        <v>119</v>
      </c>
      <c r="AN22" s="209" t="s">
        <v>245</v>
      </c>
      <c r="AO22" s="209" t="s">
        <v>120</v>
      </c>
      <c r="AP22" s="209"/>
      <c r="AQ22" s="209" t="s">
        <v>72</v>
      </c>
      <c r="AR22" s="209" t="s">
        <v>91</v>
      </c>
      <c r="AS22" s="209" t="s">
        <v>246</v>
      </c>
      <c r="AT22" s="210">
        <v>5.0999999999999996</v>
      </c>
      <c r="AU22" s="211">
        <v>10</v>
      </c>
      <c r="AV22" s="212">
        <v>16.399999999999999</v>
      </c>
      <c r="AW22" s="213">
        <v>13073</v>
      </c>
      <c r="AX22" s="213">
        <v>4523.2580000000007</v>
      </c>
      <c r="AY22" s="210" t="s">
        <v>70</v>
      </c>
      <c r="AZ22" s="209" t="s">
        <v>93</v>
      </c>
      <c r="BA22" s="214" t="str">
        <f>+IF(Tabla467824[[#This Row],[TIPO VEHÍCULO]]=Tabla467824[[#This Row],[Columna2]], "IGUAL", "DISTINTO")</f>
        <v>IGUAL</v>
      </c>
      <c r="BB22" s="214" t="str">
        <f>+IF(Tabla467824[[#This Row],[Columna4]]=Tabla467824[[#This Row],[Combustible2]], "IGUAL", "DISTINTO")</f>
        <v>IGUAL</v>
      </c>
      <c r="BC22" s="202" t="s">
        <v>241</v>
      </c>
      <c r="BD22" s="215" cm="1">
        <f t="array" ref="BD22">IFERROR(INDEX('[1]Anexos FICHA TRA050'!$D$27:$D$44, MATCH(Tabla467824[[#This Row],[Columna5]]&amp;Tabla467824[[#This Row],[Columna4]], '[1]Anexos FICHA TRA050'!$E$27:$E$44&amp;'[1]Anexos FICHA TRA050'!$F$27:$F$44, 0)), "")</f>
        <v>6.99</v>
      </c>
      <c r="BE22" s="215">
        <f>IFERROR(INDEX('[1]Anexos FICHA TRA050'!$B$4:$B$7, MATCH(Tabla467824[[#This Row],[Columna4]], '[1]Anexos FICHA TRA050'!$C$4:$C$7, 0)), "")</f>
        <v>10</v>
      </c>
      <c r="BF22" s="215">
        <f>IFERROR(INDEX('[1]Anexos FICHA TRA050'!$C$14:$C$22, MATCH(Tabla467824[[#This Row],[Columna5]], '[1]Anexos FICHA TRA050'!$D$14:$D$22, 0)), "")</f>
        <v>17.920000000000002</v>
      </c>
      <c r="BG22" s="216">
        <f>IFERROR(INDEX('[1]Anexos FICHA TRA050'!$C$49:$C$54, MATCH(Tabla467824[[#This Row],[Columna5]], '[1]Anexos FICHA TRA050'!$D$49:$D$54, 0)), "")</f>
        <v>13073</v>
      </c>
      <c r="BH22" s="217">
        <f>+(((Tabla467824[[#This Row],[CVA2]]*Tabla467824[[#This Row],[f2]])-Tabla467824[[#This Row],[CVN2]])/100)*Tabla467824[[#This Row],[L2]]</f>
        <v>6795.3454000000002</v>
      </c>
      <c r="BI22" s="218"/>
      <c r="BJ22" s="218"/>
      <c r="BK22" s="218" t="str">
        <f>+IF(Tabla467824[[#This Row],[F]]=Tabla467824[[#This Row],[f2]], "IGUAL", "DISTINTO")</f>
        <v>IGUAL</v>
      </c>
      <c r="BL22" s="218" t="str">
        <f>+IF(Tabla467824[[#This Row],[CVN]]=Tabla467824[[#This Row],[CVN2]], "IGUAL", "DISTINTO")</f>
        <v>DISTINTO</v>
      </c>
      <c r="BM22" s="219" t="str">
        <f>+IF(Tabla467824[[#This Row],[L]]=Tabla467824[[#This Row],[L2]], "IGUAL", "DISTINTO")</f>
        <v>IGUAL</v>
      </c>
    </row>
    <row r="23" spans="1:65" x14ac:dyDescent="0.25">
      <c r="A23">
        <v>20</v>
      </c>
      <c r="B23" s="202" t="s">
        <v>247</v>
      </c>
      <c r="C23" s="203" t="s">
        <v>248</v>
      </c>
      <c r="D23" s="203" t="s">
        <v>70</v>
      </c>
      <c r="E23" s="203" t="s">
        <v>78</v>
      </c>
      <c r="F23" s="203" t="s">
        <v>78</v>
      </c>
      <c r="G23" s="203" t="s">
        <v>70</v>
      </c>
      <c r="H23" s="203" t="s">
        <v>72</v>
      </c>
      <c r="I23" s="203"/>
      <c r="J23" s="203"/>
      <c r="K23" s="203"/>
      <c r="L23" s="203" t="s">
        <v>249</v>
      </c>
      <c r="M23" s="203" t="s">
        <v>249</v>
      </c>
      <c r="N23" s="203"/>
      <c r="O23" s="203" t="s">
        <v>73</v>
      </c>
      <c r="P23" s="203" t="s">
        <v>200</v>
      </c>
      <c r="Q23" s="203" t="s">
        <v>201</v>
      </c>
      <c r="R23" s="203" t="s">
        <v>160</v>
      </c>
      <c r="S23" s="209">
        <v>44133</v>
      </c>
      <c r="T23" s="205">
        <v>45594</v>
      </c>
      <c r="U23" s="206">
        <v>1461</v>
      </c>
      <c r="V23" s="207">
        <v>2024</v>
      </c>
      <c r="W23" s="203" t="s">
        <v>161</v>
      </c>
      <c r="X23" s="203" t="s">
        <v>78</v>
      </c>
      <c r="Y23" s="203" t="s">
        <v>213</v>
      </c>
      <c r="Z23" s="203" t="s">
        <v>237</v>
      </c>
      <c r="AA23" s="203" t="s">
        <v>119</v>
      </c>
      <c r="AB23" s="203" t="s">
        <v>120</v>
      </c>
      <c r="AC23" s="203" t="s">
        <v>250</v>
      </c>
      <c r="AD23" s="208">
        <v>5</v>
      </c>
      <c r="AE23" s="208" t="s">
        <v>251</v>
      </c>
      <c r="AF23" s="208" t="s">
        <v>140</v>
      </c>
      <c r="AG23" s="208" t="s">
        <v>151</v>
      </c>
      <c r="AH23" s="208" t="s">
        <v>87</v>
      </c>
      <c r="AI23" s="208" t="s">
        <v>252</v>
      </c>
      <c r="AJ23" s="205" t="s">
        <v>89</v>
      </c>
      <c r="AK23" s="204">
        <v>45625</v>
      </c>
      <c r="AL23" s="208">
        <v>0</v>
      </c>
      <c r="AM23" s="209" t="s">
        <v>119</v>
      </c>
      <c r="AN23" s="209" t="s">
        <v>253</v>
      </c>
      <c r="AO23" s="209" t="s">
        <v>120</v>
      </c>
      <c r="AP23" s="209"/>
      <c r="AQ23" s="209" t="s">
        <v>72</v>
      </c>
      <c r="AR23" s="209" t="s">
        <v>91</v>
      </c>
      <c r="AS23" s="209" t="s">
        <v>254</v>
      </c>
      <c r="AT23" s="210">
        <v>5.0999999999999996</v>
      </c>
      <c r="AU23" s="211">
        <v>10</v>
      </c>
      <c r="AV23" s="212">
        <v>16.399999999999999</v>
      </c>
      <c r="AW23" s="213">
        <v>13073</v>
      </c>
      <c r="AX23" s="213">
        <v>4523.2580000000007</v>
      </c>
      <c r="AY23" s="210" t="s">
        <v>70</v>
      </c>
      <c r="AZ23" s="209" t="s">
        <v>255</v>
      </c>
      <c r="BA23" s="214" t="str">
        <f>+IF(Tabla467824[[#This Row],[TIPO VEHÍCULO]]=Tabla467824[[#This Row],[Columna2]], "IGUAL", "DISTINTO")</f>
        <v>IGUAL</v>
      </c>
      <c r="BB23" s="214" t="str">
        <f>+IF(Tabla467824[[#This Row],[Columna4]]=Tabla467824[[#This Row],[Combustible2]], "IGUAL", "DISTINTO")</f>
        <v>IGUAL</v>
      </c>
      <c r="BC23" s="202" t="s">
        <v>247</v>
      </c>
      <c r="BD23" s="215" cm="1">
        <f t="array" ref="BD23">IFERROR(INDEX('[1]Anexos FICHA TRA050'!$D$27:$D$44, MATCH(Tabla467824[[#This Row],[Columna5]]&amp;Tabla467824[[#This Row],[Columna4]], '[1]Anexos FICHA TRA050'!$E$27:$E$44&amp;'[1]Anexos FICHA TRA050'!$F$27:$F$44, 0)), "")</f>
        <v>6.99</v>
      </c>
      <c r="BE23" s="215">
        <f>IFERROR(INDEX('[1]Anexos FICHA TRA050'!$B$4:$B$7, MATCH(Tabla467824[[#This Row],[Columna4]], '[1]Anexos FICHA TRA050'!$C$4:$C$7, 0)), "")</f>
        <v>10</v>
      </c>
      <c r="BF23" s="215">
        <f>IFERROR(INDEX('[1]Anexos FICHA TRA050'!$C$14:$C$22, MATCH(Tabla467824[[#This Row],[Columna5]], '[1]Anexos FICHA TRA050'!$D$14:$D$22, 0)), "")</f>
        <v>17.920000000000002</v>
      </c>
      <c r="BG23" s="216">
        <f>IFERROR(INDEX('[1]Anexos FICHA TRA050'!$C$49:$C$54, MATCH(Tabla467824[[#This Row],[Columna5]], '[1]Anexos FICHA TRA050'!$D$49:$D$54, 0)), "")</f>
        <v>13073</v>
      </c>
      <c r="BH23" s="217">
        <f>+(((Tabla467824[[#This Row],[CVA2]]*Tabla467824[[#This Row],[f2]])-Tabla467824[[#This Row],[CVN2]])/100)*Tabla467824[[#This Row],[L2]]</f>
        <v>6795.3454000000002</v>
      </c>
      <c r="BI23" s="218"/>
      <c r="BJ23" s="218"/>
      <c r="BK23" s="218" t="str">
        <f>+IF(Tabla467824[[#This Row],[F]]=Tabla467824[[#This Row],[f2]], "IGUAL", "DISTINTO")</f>
        <v>IGUAL</v>
      </c>
      <c r="BL23" s="218" t="str">
        <f>+IF(Tabla467824[[#This Row],[CVN]]=Tabla467824[[#This Row],[CVN2]], "IGUAL", "DISTINTO")</f>
        <v>DISTINTO</v>
      </c>
      <c r="BM23" s="219" t="str">
        <f>+IF(Tabla467824[[#This Row],[L]]=Tabla467824[[#This Row],[L2]], "IGUAL", "DISTINTO")</f>
        <v>IGUAL</v>
      </c>
    </row>
    <row r="24" spans="1:65" x14ac:dyDescent="0.25">
      <c r="A24">
        <v>21</v>
      </c>
      <c r="B24" s="202" t="s">
        <v>256</v>
      </c>
      <c r="C24" s="203" t="s">
        <v>257</v>
      </c>
      <c r="D24" s="203" t="s">
        <v>70</v>
      </c>
      <c r="E24" s="203" t="s">
        <v>78</v>
      </c>
      <c r="F24" s="203" t="s">
        <v>78</v>
      </c>
      <c r="G24" s="203" t="s">
        <v>70</v>
      </c>
      <c r="H24" s="203" t="s">
        <v>72</v>
      </c>
      <c r="I24" s="203"/>
      <c r="J24" s="203" t="s">
        <v>72</v>
      </c>
      <c r="K24" s="203"/>
      <c r="L24" s="203" t="s">
        <v>72</v>
      </c>
      <c r="M24" s="203" t="s">
        <v>72</v>
      </c>
      <c r="N24" s="203"/>
      <c r="O24" s="203" t="s">
        <v>73</v>
      </c>
      <c r="P24" s="203" t="s">
        <v>200</v>
      </c>
      <c r="Q24" s="203" t="s">
        <v>201</v>
      </c>
      <c r="R24" s="203" t="s">
        <v>76</v>
      </c>
      <c r="S24" s="209">
        <v>44133</v>
      </c>
      <c r="T24" s="205">
        <v>45594</v>
      </c>
      <c r="U24" s="206">
        <v>1461</v>
      </c>
      <c r="V24" s="207">
        <v>2024</v>
      </c>
      <c r="W24" s="203" t="s">
        <v>77</v>
      </c>
      <c r="X24" s="203" t="s">
        <v>78</v>
      </c>
      <c r="Y24" s="203" t="s">
        <v>213</v>
      </c>
      <c r="Z24" s="203" t="s">
        <v>237</v>
      </c>
      <c r="AA24" s="203" t="s">
        <v>119</v>
      </c>
      <c r="AB24" s="203" t="s">
        <v>120</v>
      </c>
      <c r="AC24" s="203" t="s">
        <v>258</v>
      </c>
      <c r="AD24" s="208">
        <v>6</v>
      </c>
      <c r="AE24" s="208" t="s">
        <v>259</v>
      </c>
      <c r="AF24" s="208" t="s">
        <v>140</v>
      </c>
      <c r="AG24" s="208" t="s">
        <v>151</v>
      </c>
      <c r="AH24" s="208" t="s">
        <v>87</v>
      </c>
      <c r="AI24" s="208" t="s">
        <v>260</v>
      </c>
      <c r="AJ24" s="205" t="s">
        <v>89</v>
      </c>
      <c r="AK24" s="204">
        <v>45625</v>
      </c>
      <c r="AL24" s="208">
        <v>0</v>
      </c>
      <c r="AM24" s="209" t="s">
        <v>119</v>
      </c>
      <c r="AN24" s="209" t="s">
        <v>261</v>
      </c>
      <c r="AO24" s="209" t="s">
        <v>120</v>
      </c>
      <c r="AP24" s="209"/>
      <c r="AQ24" s="209" t="s">
        <v>72</v>
      </c>
      <c r="AR24" s="209" t="s">
        <v>91</v>
      </c>
      <c r="AS24" s="209" t="s">
        <v>262</v>
      </c>
      <c r="AT24" s="210">
        <v>5.0999999999999996</v>
      </c>
      <c r="AU24" s="211">
        <v>10</v>
      </c>
      <c r="AV24" s="212">
        <v>16.399999999999999</v>
      </c>
      <c r="AW24" s="213">
        <v>13073</v>
      </c>
      <c r="AX24" s="213">
        <v>4523.2580000000007</v>
      </c>
      <c r="AY24" s="210" t="s">
        <v>70</v>
      </c>
      <c r="AZ24" s="209" t="s">
        <v>93</v>
      </c>
      <c r="BA24" s="214" t="str">
        <f>+IF(Tabla467824[[#This Row],[TIPO VEHÍCULO]]=Tabla467824[[#This Row],[Columna2]], "IGUAL", "DISTINTO")</f>
        <v>IGUAL</v>
      </c>
      <c r="BB24" s="214" t="str">
        <f>+IF(Tabla467824[[#This Row],[Columna4]]=Tabla467824[[#This Row],[Combustible2]], "IGUAL", "DISTINTO")</f>
        <v>IGUAL</v>
      </c>
      <c r="BC24" s="202" t="s">
        <v>256</v>
      </c>
      <c r="BD24" s="215" cm="1">
        <f t="array" ref="BD24">IFERROR(INDEX('[1]Anexos FICHA TRA050'!$D$27:$D$44, MATCH(Tabla467824[[#This Row],[Columna5]]&amp;Tabla467824[[#This Row],[Columna4]], '[1]Anexos FICHA TRA050'!$E$27:$E$44&amp;'[1]Anexos FICHA TRA050'!$F$27:$F$44, 0)), "")</f>
        <v>6.99</v>
      </c>
      <c r="BE24" s="215">
        <f>IFERROR(INDEX('[1]Anexos FICHA TRA050'!$B$4:$B$7, MATCH(Tabla467824[[#This Row],[Columna4]], '[1]Anexos FICHA TRA050'!$C$4:$C$7, 0)), "")</f>
        <v>10</v>
      </c>
      <c r="BF24" s="215">
        <f>IFERROR(INDEX('[1]Anexos FICHA TRA050'!$C$14:$C$22, MATCH(Tabla467824[[#This Row],[Columna5]], '[1]Anexos FICHA TRA050'!$D$14:$D$22, 0)), "")</f>
        <v>17.920000000000002</v>
      </c>
      <c r="BG24" s="216">
        <f>IFERROR(INDEX('[1]Anexos FICHA TRA050'!$C$49:$C$54, MATCH(Tabla467824[[#This Row],[Columna5]], '[1]Anexos FICHA TRA050'!$D$49:$D$54, 0)), "")</f>
        <v>13073</v>
      </c>
      <c r="BH24" s="217">
        <f>+(((Tabla467824[[#This Row],[CVA2]]*Tabla467824[[#This Row],[f2]])-Tabla467824[[#This Row],[CVN2]])/100)*Tabla467824[[#This Row],[L2]]</f>
        <v>6795.3454000000002</v>
      </c>
      <c r="BI24" s="218"/>
      <c r="BJ24" s="218"/>
      <c r="BK24" s="218" t="str">
        <f>+IF(Tabla467824[[#This Row],[F]]=Tabla467824[[#This Row],[f2]], "IGUAL", "DISTINTO")</f>
        <v>IGUAL</v>
      </c>
      <c r="BL24" s="218" t="str">
        <f>+IF(Tabla467824[[#This Row],[CVN]]=Tabla467824[[#This Row],[CVN2]], "IGUAL", "DISTINTO")</f>
        <v>DISTINTO</v>
      </c>
      <c r="BM24" s="219" t="str">
        <f>+IF(Tabla467824[[#This Row],[L]]=Tabla467824[[#This Row],[L2]], "IGUAL", "DISTINTO")</f>
        <v>IGUAL</v>
      </c>
    </row>
    <row r="25" spans="1:65" x14ac:dyDescent="0.25">
      <c r="A25">
        <v>22</v>
      </c>
      <c r="B25" s="202" t="s">
        <v>263</v>
      </c>
      <c r="C25" s="203" t="s">
        <v>264</v>
      </c>
      <c r="D25" s="203" t="s">
        <v>70</v>
      </c>
      <c r="E25" s="203" t="s">
        <v>78</v>
      </c>
      <c r="F25" s="203" t="s">
        <v>78</v>
      </c>
      <c r="G25" s="203" t="s">
        <v>70</v>
      </c>
      <c r="H25" s="203" t="s">
        <v>72</v>
      </c>
      <c r="I25" s="203"/>
      <c r="J25" s="203" t="s">
        <v>72</v>
      </c>
      <c r="K25" s="203"/>
      <c r="L25" s="203" t="s">
        <v>72</v>
      </c>
      <c r="M25" s="203" t="s">
        <v>72</v>
      </c>
      <c r="N25" s="203"/>
      <c r="O25" s="203" t="s">
        <v>73</v>
      </c>
      <c r="P25" s="203" t="s">
        <v>200</v>
      </c>
      <c r="Q25" s="203" t="s">
        <v>201</v>
      </c>
      <c r="R25" s="203" t="s">
        <v>76</v>
      </c>
      <c r="S25" s="209">
        <v>44133</v>
      </c>
      <c r="T25" s="205">
        <v>45594</v>
      </c>
      <c r="U25" s="206">
        <v>1461</v>
      </c>
      <c r="V25" s="207">
        <v>2024</v>
      </c>
      <c r="W25" s="203" t="s">
        <v>77</v>
      </c>
      <c r="X25" s="203" t="s">
        <v>78</v>
      </c>
      <c r="Y25" s="203" t="s">
        <v>213</v>
      </c>
      <c r="Z25" s="203" t="s">
        <v>237</v>
      </c>
      <c r="AA25" s="203" t="s">
        <v>119</v>
      </c>
      <c r="AB25" s="203" t="s">
        <v>120</v>
      </c>
      <c r="AC25" s="203" t="s">
        <v>265</v>
      </c>
      <c r="AD25" s="208">
        <v>7</v>
      </c>
      <c r="AE25" s="208" t="s">
        <v>266</v>
      </c>
      <c r="AF25" s="208" t="s">
        <v>140</v>
      </c>
      <c r="AG25" s="208" t="s">
        <v>151</v>
      </c>
      <c r="AH25" s="208" t="s">
        <v>87</v>
      </c>
      <c r="AI25" s="208" t="s">
        <v>267</v>
      </c>
      <c r="AJ25" s="205" t="s">
        <v>89</v>
      </c>
      <c r="AK25" s="204">
        <v>45625</v>
      </c>
      <c r="AL25" s="208">
        <v>0</v>
      </c>
      <c r="AM25" s="209" t="s">
        <v>119</v>
      </c>
      <c r="AN25" s="209" t="s">
        <v>268</v>
      </c>
      <c r="AO25" s="209" t="s">
        <v>120</v>
      </c>
      <c r="AP25" s="209"/>
      <c r="AQ25" s="209" t="s">
        <v>72</v>
      </c>
      <c r="AR25" s="209" t="s">
        <v>91</v>
      </c>
      <c r="AS25" s="209" t="s">
        <v>269</v>
      </c>
      <c r="AT25" s="210">
        <v>5.0999999999999996</v>
      </c>
      <c r="AU25" s="211">
        <v>10</v>
      </c>
      <c r="AV25" s="212">
        <v>16.399999999999999</v>
      </c>
      <c r="AW25" s="213">
        <v>13073</v>
      </c>
      <c r="AX25" s="213">
        <v>4523.2580000000007</v>
      </c>
      <c r="AY25" s="210" t="s">
        <v>70</v>
      </c>
      <c r="AZ25" s="209" t="s">
        <v>93</v>
      </c>
      <c r="BA25" s="214" t="str">
        <f>+IF(Tabla467824[[#This Row],[TIPO VEHÍCULO]]=Tabla467824[[#This Row],[Columna2]], "IGUAL", "DISTINTO")</f>
        <v>IGUAL</v>
      </c>
      <c r="BB25" s="214" t="str">
        <f>+IF(Tabla467824[[#This Row],[Columna4]]=Tabla467824[[#This Row],[Combustible2]], "IGUAL", "DISTINTO")</f>
        <v>IGUAL</v>
      </c>
      <c r="BC25" s="202" t="s">
        <v>263</v>
      </c>
      <c r="BD25" s="215" cm="1">
        <f t="array" ref="BD25">IFERROR(INDEX('[1]Anexos FICHA TRA050'!$D$27:$D$44, MATCH(Tabla467824[[#This Row],[Columna5]]&amp;Tabla467824[[#This Row],[Columna4]], '[1]Anexos FICHA TRA050'!$E$27:$E$44&amp;'[1]Anexos FICHA TRA050'!$F$27:$F$44, 0)), "")</f>
        <v>6.99</v>
      </c>
      <c r="BE25" s="215">
        <f>IFERROR(INDEX('[1]Anexos FICHA TRA050'!$B$4:$B$7, MATCH(Tabla467824[[#This Row],[Columna4]], '[1]Anexos FICHA TRA050'!$C$4:$C$7, 0)), "")</f>
        <v>10</v>
      </c>
      <c r="BF25" s="215">
        <f>IFERROR(INDEX('[1]Anexos FICHA TRA050'!$C$14:$C$22, MATCH(Tabla467824[[#This Row],[Columna5]], '[1]Anexos FICHA TRA050'!$D$14:$D$22, 0)), "")</f>
        <v>17.920000000000002</v>
      </c>
      <c r="BG25" s="216">
        <f>IFERROR(INDEX('[1]Anexos FICHA TRA050'!$C$49:$C$54, MATCH(Tabla467824[[#This Row],[Columna5]], '[1]Anexos FICHA TRA050'!$D$49:$D$54, 0)), "")</f>
        <v>13073</v>
      </c>
      <c r="BH25" s="217">
        <f>+(((Tabla467824[[#This Row],[CVA2]]*Tabla467824[[#This Row],[f2]])-Tabla467824[[#This Row],[CVN2]])/100)*Tabla467824[[#This Row],[L2]]</f>
        <v>6795.3454000000002</v>
      </c>
      <c r="BI25" s="218"/>
      <c r="BJ25" s="218"/>
      <c r="BK25" s="218" t="str">
        <f>+IF(Tabla467824[[#This Row],[F]]=Tabla467824[[#This Row],[f2]], "IGUAL", "DISTINTO")</f>
        <v>IGUAL</v>
      </c>
      <c r="BL25" s="218" t="str">
        <f>+IF(Tabla467824[[#This Row],[CVN]]=Tabla467824[[#This Row],[CVN2]], "IGUAL", "DISTINTO")</f>
        <v>DISTINTO</v>
      </c>
      <c r="BM25" s="219" t="str">
        <f>+IF(Tabla467824[[#This Row],[L]]=Tabla467824[[#This Row],[L2]], "IGUAL", "DISTINTO")</f>
        <v>IGUAL</v>
      </c>
    </row>
    <row r="26" spans="1:65" x14ac:dyDescent="0.25">
      <c r="A26">
        <v>23</v>
      </c>
      <c r="B26" s="202" t="s">
        <v>270</v>
      </c>
      <c r="C26" s="203" t="s">
        <v>271</v>
      </c>
      <c r="D26" s="203" t="s">
        <v>70</v>
      </c>
      <c r="E26" s="203" t="s">
        <v>78</v>
      </c>
      <c r="F26" s="203" t="s">
        <v>78</v>
      </c>
      <c r="G26" s="203" t="s">
        <v>70</v>
      </c>
      <c r="H26" s="203" t="s">
        <v>72</v>
      </c>
      <c r="I26" s="203"/>
      <c r="J26" s="203" t="s">
        <v>72</v>
      </c>
      <c r="K26" s="203"/>
      <c r="L26" s="203" t="s">
        <v>72</v>
      </c>
      <c r="M26" s="203" t="s">
        <v>72</v>
      </c>
      <c r="N26" s="203"/>
      <c r="O26" s="203" t="s">
        <v>73</v>
      </c>
      <c r="P26" s="203" t="s">
        <v>200</v>
      </c>
      <c r="Q26" s="203" t="s">
        <v>201</v>
      </c>
      <c r="R26" s="203" t="s">
        <v>76</v>
      </c>
      <c r="S26" s="209">
        <v>44134</v>
      </c>
      <c r="T26" s="205">
        <v>45595</v>
      </c>
      <c r="U26" s="206">
        <v>1461</v>
      </c>
      <c r="V26" s="207">
        <v>2024</v>
      </c>
      <c r="W26" s="203" t="s">
        <v>77</v>
      </c>
      <c r="X26" s="203" t="s">
        <v>78</v>
      </c>
      <c r="Y26" s="203" t="s">
        <v>213</v>
      </c>
      <c r="Z26" s="203" t="s">
        <v>237</v>
      </c>
      <c r="AA26" s="203" t="s">
        <v>81</v>
      </c>
      <c r="AB26" s="203" t="s">
        <v>82</v>
      </c>
      <c r="AC26" s="203" t="s">
        <v>164</v>
      </c>
      <c r="AD26" s="208">
        <v>8</v>
      </c>
      <c r="AE26" s="208" t="s">
        <v>272</v>
      </c>
      <c r="AF26" s="208" t="s">
        <v>140</v>
      </c>
      <c r="AG26" s="208" t="s">
        <v>151</v>
      </c>
      <c r="AH26" s="208" t="s">
        <v>87</v>
      </c>
      <c r="AI26" s="208" t="s">
        <v>164</v>
      </c>
      <c r="AJ26" s="205" t="s">
        <v>89</v>
      </c>
      <c r="AK26" s="204">
        <v>45625</v>
      </c>
      <c r="AL26" s="208">
        <v>0</v>
      </c>
      <c r="AM26" s="209" t="s">
        <v>81</v>
      </c>
      <c r="AN26" s="209" t="s">
        <v>273</v>
      </c>
      <c r="AO26" s="209" t="s">
        <v>82</v>
      </c>
      <c r="AP26" s="209"/>
      <c r="AQ26" s="209" t="s">
        <v>72</v>
      </c>
      <c r="AR26" s="209" t="s">
        <v>91</v>
      </c>
      <c r="AS26" s="209" t="s">
        <v>274</v>
      </c>
      <c r="AT26" s="210">
        <v>5.0999999999999996</v>
      </c>
      <c r="AU26" s="211">
        <v>10</v>
      </c>
      <c r="AV26" s="212">
        <v>16.399999999999999</v>
      </c>
      <c r="AW26" s="213">
        <v>13073</v>
      </c>
      <c r="AX26" s="213">
        <v>4523.2580000000007</v>
      </c>
      <c r="AY26" s="210" t="s">
        <v>70</v>
      </c>
      <c r="AZ26" s="209" t="s">
        <v>93</v>
      </c>
      <c r="BA26" s="214" t="str">
        <f>+IF(Tabla467824[[#This Row],[TIPO VEHÍCULO]]=Tabla467824[[#This Row],[Columna2]], "IGUAL", "DISTINTO")</f>
        <v>IGUAL</v>
      </c>
      <c r="BB26" s="214" t="str">
        <f>+IF(Tabla467824[[#This Row],[Columna4]]=Tabla467824[[#This Row],[Combustible2]], "IGUAL", "DISTINTO")</f>
        <v>IGUAL</v>
      </c>
      <c r="BC26" s="202" t="s">
        <v>270</v>
      </c>
      <c r="BD26" s="215" cm="1">
        <f t="array" ref="BD26">IFERROR(INDEX('[1]Anexos FICHA TRA050'!$D$27:$D$44, MATCH(Tabla467824[[#This Row],[Columna5]]&amp;Tabla467824[[#This Row],[Columna4]], '[1]Anexos FICHA TRA050'!$E$27:$E$44&amp;'[1]Anexos FICHA TRA050'!$F$27:$F$44, 0)), "")</f>
        <v>6.99</v>
      </c>
      <c r="BE26" s="215">
        <f>IFERROR(INDEX('[1]Anexos FICHA TRA050'!$B$4:$B$7, MATCH(Tabla467824[[#This Row],[Columna4]], '[1]Anexos FICHA TRA050'!$C$4:$C$7, 0)), "")</f>
        <v>10</v>
      </c>
      <c r="BF26" s="215">
        <f>IFERROR(INDEX('[1]Anexos FICHA TRA050'!$C$14:$C$22, MATCH(Tabla467824[[#This Row],[Columna5]], '[1]Anexos FICHA TRA050'!$D$14:$D$22, 0)), "")</f>
        <v>17.920000000000002</v>
      </c>
      <c r="BG26" s="216">
        <f>IFERROR(INDEX('[1]Anexos FICHA TRA050'!$C$49:$C$54, MATCH(Tabla467824[[#This Row],[Columna5]], '[1]Anexos FICHA TRA050'!$D$49:$D$54, 0)), "")</f>
        <v>13073</v>
      </c>
      <c r="BH26" s="217">
        <f>+(((Tabla467824[[#This Row],[CVA2]]*Tabla467824[[#This Row],[f2]])-Tabla467824[[#This Row],[CVN2]])/100)*Tabla467824[[#This Row],[L2]]</f>
        <v>6795.3454000000002</v>
      </c>
      <c r="BI26" s="218"/>
      <c r="BJ26" s="218"/>
      <c r="BK26" s="218" t="str">
        <f>+IF(Tabla467824[[#This Row],[F]]=Tabla467824[[#This Row],[f2]], "IGUAL", "DISTINTO")</f>
        <v>IGUAL</v>
      </c>
      <c r="BL26" s="218" t="str">
        <f>+IF(Tabla467824[[#This Row],[CVN]]=Tabla467824[[#This Row],[CVN2]], "IGUAL", "DISTINTO")</f>
        <v>DISTINTO</v>
      </c>
      <c r="BM26" s="219" t="str">
        <f>+IF(Tabla467824[[#This Row],[L]]=Tabla467824[[#This Row],[L2]], "IGUAL", "DISTINTO")</f>
        <v>IGUAL</v>
      </c>
    </row>
    <row r="27" spans="1:65" x14ac:dyDescent="0.25">
      <c r="A27">
        <v>24</v>
      </c>
      <c r="B27" s="202" t="s">
        <v>275</v>
      </c>
      <c r="C27" s="203" t="s">
        <v>276</v>
      </c>
      <c r="D27" s="203" t="s">
        <v>70</v>
      </c>
      <c r="E27" s="203" t="s">
        <v>78</v>
      </c>
      <c r="F27" s="203" t="s">
        <v>78</v>
      </c>
      <c r="G27" s="203" t="s">
        <v>70</v>
      </c>
      <c r="H27" s="203" t="s">
        <v>72</v>
      </c>
      <c r="I27" s="203"/>
      <c r="J27" s="203" t="s">
        <v>72</v>
      </c>
      <c r="K27" s="203"/>
      <c r="L27" s="203" t="s">
        <v>72</v>
      </c>
      <c r="M27" s="203" t="s">
        <v>72</v>
      </c>
      <c r="N27" s="203"/>
      <c r="O27" s="203" t="s">
        <v>73</v>
      </c>
      <c r="P27" s="203" t="s">
        <v>200</v>
      </c>
      <c r="Q27" s="203" t="s">
        <v>201</v>
      </c>
      <c r="R27" s="203" t="s">
        <v>76</v>
      </c>
      <c r="S27" s="209">
        <v>44166</v>
      </c>
      <c r="T27" s="205">
        <v>45627</v>
      </c>
      <c r="U27" s="206">
        <v>1461</v>
      </c>
      <c r="V27" s="207">
        <v>2024</v>
      </c>
      <c r="W27" s="203" t="s">
        <v>77</v>
      </c>
      <c r="X27" s="203" t="s">
        <v>78</v>
      </c>
      <c r="Y27" s="203" t="s">
        <v>213</v>
      </c>
      <c r="Z27" s="203" t="s">
        <v>237</v>
      </c>
      <c r="AA27" s="203" t="s">
        <v>204</v>
      </c>
      <c r="AB27" s="203" t="s">
        <v>205</v>
      </c>
      <c r="AC27" s="203" t="s">
        <v>230</v>
      </c>
      <c r="AD27" s="208">
        <v>4</v>
      </c>
      <c r="AE27" s="208" t="s">
        <v>277</v>
      </c>
      <c r="AF27" s="208" t="s">
        <v>140</v>
      </c>
      <c r="AG27" s="208" t="s">
        <v>151</v>
      </c>
      <c r="AH27" s="208" t="s">
        <v>87</v>
      </c>
      <c r="AI27" s="208" t="s">
        <v>278</v>
      </c>
      <c r="AJ27" s="205" t="s">
        <v>89</v>
      </c>
      <c r="AK27" s="204">
        <v>45638</v>
      </c>
      <c r="AL27" s="208">
        <v>0</v>
      </c>
      <c r="AM27" s="209" t="s">
        <v>204</v>
      </c>
      <c r="AN27" s="209" t="s">
        <v>279</v>
      </c>
      <c r="AO27" s="209" t="s">
        <v>205</v>
      </c>
      <c r="AP27" s="209"/>
      <c r="AQ27" s="209" t="s">
        <v>72</v>
      </c>
      <c r="AR27" s="209" t="s">
        <v>91</v>
      </c>
      <c r="AS27" s="209" t="s">
        <v>280</v>
      </c>
      <c r="AT27" s="210">
        <v>5.0999999999999996</v>
      </c>
      <c r="AU27" s="211">
        <v>10</v>
      </c>
      <c r="AV27" s="212">
        <v>16.399999999999999</v>
      </c>
      <c r="AW27" s="213">
        <v>13073</v>
      </c>
      <c r="AX27" s="213">
        <v>4523.2580000000007</v>
      </c>
      <c r="AY27" s="210" t="s">
        <v>70</v>
      </c>
      <c r="AZ27" s="209" t="s">
        <v>93</v>
      </c>
      <c r="BA27" s="214" t="str">
        <f>+IF(Tabla467824[[#This Row],[TIPO VEHÍCULO]]=Tabla467824[[#This Row],[Columna2]], "IGUAL", "DISTINTO")</f>
        <v>IGUAL</v>
      </c>
      <c r="BB27" s="214" t="str">
        <f>+IF(Tabla467824[[#This Row],[Columna4]]=Tabla467824[[#This Row],[Combustible2]], "IGUAL", "DISTINTO")</f>
        <v>IGUAL</v>
      </c>
      <c r="BC27" s="202" t="s">
        <v>275</v>
      </c>
      <c r="BD27" s="215" cm="1">
        <f t="array" ref="BD27">IFERROR(INDEX('[1]Anexos FICHA TRA050'!$D$27:$D$44, MATCH(Tabla467824[[#This Row],[Columna5]]&amp;Tabla467824[[#This Row],[Columna4]], '[1]Anexos FICHA TRA050'!$E$27:$E$44&amp;'[1]Anexos FICHA TRA050'!$F$27:$F$44, 0)), "")</f>
        <v>6.99</v>
      </c>
      <c r="BE27" s="215">
        <f>IFERROR(INDEX('[1]Anexos FICHA TRA050'!$B$4:$B$7, MATCH(Tabla467824[[#This Row],[Columna4]], '[1]Anexos FICHA TRA050'!$C$4:$C$7, 0)), "")</f>
        <v>10</v>
      </c>
      <c r="BF27" s="215">
        <f>IFERROR(INDEX('[1]Anexos FICHA TRA050'!$C$14:$C$22, MATCH(Tabla467824[[#This Row],[Columna5]], '[1]Anexos FICHA TRA050'!$D$14:$D$22, 0)), "")</f>
        <v>17.920000000000002</v>
      </c>
      <c r="BG27" s="216">
        <f>IFERROR(INDEX('[1]Anexos FICHA TRA050'!$C$49:$C$54, MATCH(Tabla467824[[#This Row],[Columna5]], '[1]Anexos FICHA TRA050'!$D$49:$D$54, 0)), "")</f>
        <v>13073</v>
      </c>
      <c r="BH27" s="217">
        <f>+(((Tabla467824[[#This Row],[CVA2]]*Tabla467824[[#This Row],[f2]])-Tabla467824[[#This Row],[CVN2]])/100)*Tabla467824[[#This Row],[L2]]</f>
        <v>6795.3454000000002</v>
      </c>
      <c r="BI27" s="218"/>
      <c r="BJ27" s="218"/>
      <c r="BK27" s="218" t="str">
        <f>+IF(Tabla467824[[#This Row],[F]]=Tabla467824[[#This Row],[f2]], "IGUAL", "DISTINTO")</f>
        <v>IGUAL</v>
      </c>
      <c r="BL27" s="218" t="str">
        <f>+IF(Tabla467824[[#This Row],[CVN]]=Tabla467824[[#This Row],[CVN2]], "IGUAL", "DISTINTO")</f>
        <v>DISTINTO</v>
      </c>
      <c r="BM27" s="219" t="str">
        <f>+IF(Tabla467824[[#This Row],[L]]=Tabla467824[[#This Row],[L2]], "IGUAL", "DISTINTO")</f>
        <v>IGUAL</v>
      </c>
    </row>
    <row r="28" spans="1:65" x14ac:dyDescent="0.25">
      <c r="A28">
        <v>25</v>
      </c>
      <c r="B28" s="202" t="s">
        <v>281</v>
      </c>
      <c r="C28" s="203" t="s">
        <v>282</v>
      </c>
      <c r="D28" s="203" t="s">
        <v>70</v>
      </c>
      <c r="E28" s="203" t="s">
        <v>78</v>
      </c>
      <c r="F28" s="203" t="s">
        <v>78</v>
      </c>
      <c r="G28" s="203" t="s">
        <v>70</v>
      </c>
      <c r="H28" s="203" t="s">
        <v>72</v>
      </c>
      <c r="I28" s="203"/>
      <c r="J28" s="203" t="s">
        <v>72</v>
      </c>
      <c r="K28" s="203"/>
      <c r="L28" s="203" t="s">
        <v>72</v>
      </c>
      <c r="M28" s="203" t="s">
        <v>72</v>
      </c>
      <c r="N28" s="203"/>
      <c r="O28" s="203" t="s">
        <v>73</v>
      </c>
      <c r="P28" s="203" t="s">
        <v>200</v>
      </c>
      <c r="Q28" s="203" t="s">
        <v>201</v>
      </c>
      <c r="R28" s="203" t="s">
        <v>76</v>
      </c>
      <c r="S28" s="209">
        <v>44166</v>
      </c>
      <c r="T28" s="205">
        <v>45627</v>
      </c>
      <c r="U28" s="206">
        <v>1461</v>
      </c>
      <c r="V28" s="207">
        <v>2024</v>
      </c>
      <c r="W28" s="203" t="s">
        <v>77</v>
      </c>
      <c r="X28" s="203" t="s">
        <v>78</v>
      </c>
      <c r="Y28" s="203" t="s">
        <v>213</v>
      </c>
      <c r="Z28" s="203" t="s">
        <v>237</v>
      </c>
      <c r="AA28" s="203" t="s">
        <v>81</v>
      </c>
      <c r="AB28" s="203" t="s">
        <v>82</v>
      </c>
      <c r="AC28" s="203" t="s">
        <v>88</v>
      </c>
      <c r="AD28" s="208">
        <v>9</v>
      </c>
      <c r="AE28" s="208" t="s">
        <v>283</v>
      </c>
      <c r="AF28" s="208" t="s">
        <v>140</v>
      </c>
      <c r="AG28" s="208" t="s">
        <v>151</v>
      </c>
      <c r="AH28" s="208" t="s">
        <v>87</v>
      </c>
      <c r="AI28" s="208" t="s">
        <v>88</v>
      </c>
      <c r="AJ28" s="205" t="s">
        <v>89</v>
      </c>
      <c r="AK28" s="204">
        <v>45625</v>
      </c>
      <c r="AL28" s="208">
        <v>0</v>
      </c>
      <c r="AM28" s="209" t="s">
        <v>81</v>
      </c>
      <c r="AN28" s="209" t="s">
        <v>284</v>
      </c>
      <c r="AO28" s="209" t="s">
        <v>82</v>
      </c>
      <c r="AP28" s="209"/>
      <c r="AQ28" s="209" t="s">
        <v>72</v>
      </c>
      <c r="AR28" s="209" t="s">
        <v>91</v>
      </c>
      <c r="AS28" s="209" t="s">
        <v>285</v>
      </c>
      <c r="AT28" s="210">
        <v>5.0999999999999996</v>
      </c>
      <c r="AU28" s="211">
        <v>10</v>
      </c>
      <c r="AV28" s="212">
        <v>16.399999999999999</v>
      </c>
      <c r="AW28" s="213">
        <v>13073</v>
      </c>
      <c r="AX28" s="213">
        <v>4523.2580000000007</v>
      </c>
      <c r="AY28" s="210" t="s">
        <v>70</v>
      </c>
      <c r="AZ28" s="209" t="s">
        <v>93</v>
      </c>
      <c r="BA28" s="214" t="str">
        <f>+IF(Tabla467824[[#This Row],[TIPO VEHÍCULO]]=Tabla467824[[#This Row],[Columna2]], "IGUAL", "DISTINTO")</f>
        <v>IGUAL</v>
      </c>
      <c r="BB28" s="214" t="str">
        <f>+IF(Tabla467824[[#This Row],[Columna4]]=Tabla467824[[#This Row],[Combustible2]], "IGUAL", "DISTINTO")</f>
        <v>IGUAL</v>
      </c>
      <c r="BC28" s="202" t="s">
        <v>281</v>
      </c>
      <c r="BD28" s="215" cm="1">
        <f t="array" ref="BD28">IFERROR(INDEX('[1]Anexos FICHA TRA050'!$D$27:$D$44, MATCH(Tabla467824[[#This Row],[Columna5]]&amp;Tabla467824[[#This Row],[Columna4]], '[1]Anexos FICHA TRA050'!$E$27:$E$44&amp;'[1]Anexos FICHA TRA050'!$F$27:$F$44, 0)), "")</f>
        <v>6.99</v>
      </c>
      <c r="BE28" s="215">
        <f>IFERROR(INDEX('[1]Anexos FICHA TRA050'!$B$4:$B$7, MATCH(Tabla467824[[#This Row],[Columna4]], '[1]Anexos FICHA TRA050'!$C$4:$C$7, 0)), "")</f>
        <v>10</v>
      </c>
      <c r="BF28" s="215">
        <f>IFERROR(INDEX('[1]Anexos FICHA TRA050'!$C$14:$C$22, MATCH(Tabla467824[[#This Row],[Columna5]], '[1]Anexos FICHA TRA050'!$D$14:$D$22, 0)), "")</f>
        <v>17.920000000000002</v>
      </c>
      <c r="BG28" s="216">
        <f>IFERROR(INDEX('[1]Anexos FICHA TRA050'!$C$49:$C$54, MATCH(Tabla467824[[#This Row],[Columna5]], '[1]Anexos FICHA TRA050'!$D$49:$D$54, 0)), "")</f>
        <v>13073</v>
      </c>
      <c r="BH28" s="217">
        <f>+(((Tabla467824[[#This Row],[CVA2]]*Tabla467824[[#This Row],[f2]])-Tabla467824[[#This Row],[CVN2]])/100)*Tabla467824[[#This Row],[L2]]</f>
        <v>6795.3454000000002</v>
      </c>
      <c r="BI28" s="218"/>
      <c r="BJ28" s="218"/>
      <c r="BK28" s="218" t="str">
        <f>+IF(Tabla467824[[#This Row],[F]]=Tabla467824[[#This Row],[f2]], "IGUAL", "DISTINTO")</f>
        <v>IGUAL</v>
      </c>
      <c r="BL28" s="218" t="str">
        <f>+IF(Tabla467824[[#This Row],[CVN]]=Tabla467824[[#This Row],[CVN2]], "IGUAL", "DISTINTO")</f>
        <v>DISTINTO</v>
      </c>
      <c r="BM28" s="219" t="str">
        <f>+IF(Tabla467824[[#This Row],[L]]=Tabla467824[[#This Row],[L2]], "IGUAL", "DISTINTO")</f>
        <v>IGUAL</v>
      </c>
    </row>
    <row r="29" spans="1:65" x14ac:dyDescent="0.25">
      <c r="A29">
        <v>26</v>
      </c>
      <c r="B29" s="202" t="s">
        <v>286</v>
      </c>
      <c r="C29" s="203" t="s">
        <v>287</v>
      </c>
      <c r="D29" s="203" t="s">
        <v>70</v>
      </c>
      <c r="E29" s="203" t="s">
        <v>78</v>
      </c>
      <c r="F29" s="203" t="s">
        <v>78</v>
      </c>
      <c r="G29" s="203" t="s">
        <v>70</v>
      </c>
      <c r="H29" s="203" t="s">
        <v>72</v>
      </c>
      <c r="I29" s="203"/>
      <c r="J29" s="203" t="s">
        <v>72</v>
      </c>
      <c r="K29" s="203"/>
      <c r="L29" s="203" t="s">
        <v>72</v>
      </c>
      <c r="M29" s="203" t="s">
        <v>72</v>
      </c>
      <c r="N29" s="203"/>
      <c r="O29" s="203" t="s">
        <v>73</v>
      </c>
      <c r="P29" s="203" t="s">
        <v>200</v>
      </c>
      <c r="Q29" s="203" t="s">
        <v>201</v>
      </c>
      <c r="R29" s="203" t="s">
        <v>76</v>
      </c>
      <c r="S29" s="209">
        <v>44166</v>
      </c>
      <c r="T29" s="205">
        <v>45627</v>
      </c>
      <c r="U29" s="206">
        <v>1461</v>
      </c>
      <c r="V29" s="207">
        <v>2024</v>
      </c>
      <c r="W29" s="203" t="s">
        <v>77</v>
      </c>
      <c r="X29" s="203" t="s">
        <v>78</v>
      </c>
      <c r="Y29" s="203" t="s">
        <v>213</v>
      </c>
      <c r="Z29" s="203" t="s">
        <v>237</v>
      </c>
      <c r="AA29" s="203" t="s">
        <v>204</v>
      </c>
      <c r="AB29" s="203" t="s">
        <v>205</v>
      </c>
      <c r="AC29" s="203" t="s">
        <v>230</v>
      </c>
      <c r="AD29" s="208">
        <v>5</v>
      </c>
      <c r="AE29" s="208" t="s">
        <v>288</v>
      </c>
      <c r="AF29" s="208" t="s">
        <v>140</v>
      </c>
      <c r="AG29" s="208" t="s">
        <v>151</v>
      </c>
      <c r="AH29" s="208" t="s">
        <v>87</v>
      </c>
      <c r="AI29" s="208" t="s">
        <v>289</v>
      </c>
      <c r="AJ29" s="205" t="s">
        <v>89</v>
      </c>
      <c r="AK29" s="204">
        <v>45638</v>
      </c>
      <c r="AL29" s="208">
        <v>0</v>
      </c>
      <c r="AM29" s="209" t="s">
        <v>204</v>
      </c>
      <c r="AN29" s="209" t="s">
        <v>290</v>
      </c>
      <c r="AO29" s="209" t="s">
        <v>205</v>
      </c>
      <c r="AP29" s="209"/>
      <c r="AQ29" s="209" t="s">
        <v>72</v>
      </c>
      <c r="AR29" s="209" t="s">
        <v>91</v>
      </c>
      <c r="AS29" s="209" t="s">
        <v>291</v>
      </c>
      <c r="AT29" s="210">
        <v>5.0999999999999996</v>
      </c>
      <c r="AU29" s="211">
        <v>10</v>
      </c>
      <c r="AV29" s="212">
        <v>16.399999999999999</v>
      </c>
      <c r="AW29" s="213">
        <v>13073</v>
      </c>
      <c r="AX29" s="213">
        <v>4523.2580000000007</v>
      </c>
      <c r="AY29" s="210" t="s">
        <v>70</v>
      </c>
      <c r="AZ29" s="209" t="s">
        <v>93</v>
      </c>
      <c r="BA29" s="214" t="str">
        <f>+IF(Tabla467824[[#This Row],[TIPO VEHÍCULO]]=Tabla467824[[#This Row],[Columna2]], "IGUAL", "DISTINTO")</f>
        <v>IGUAL</v>
      </c>
      <c r="BB29" s="214" t="str">
        <f>+IF(Tabla467824[[#This Row],[Columna4]]=Tabla467824[[#This Row],[Combustible2]], "IGUAL", "DISTINTO")</f>
        <v>IGUAL</v>
      </c>
      <c r="BC29" s="202" t="s">
        <v>286</v>
      </c>
      <c r="BD29" s="215" cm="1">
        <f t="array" ref="BD29">IFERROR(INDEX('[1]Anexos FICHA TRA050'!$D$27:$D$44, MATCH(Tabla467824[[#This Row],[Columna5]]&amp;Tabla467824[[#This Row],[Columna4]], '[1]Anexos FICHA TRA050'!$E$27:$E$44&amp;'[1]Anexos FICHA TRA050'!$F$27:$F$44, 0)), "")</f>
        <v>6.99</v>
      </c>
      <c r="BE29" s="215">
        <f>IFERROR(INDEX('[1]Anexos FICHA TRA050'!$B$4:$B$7, MATCH(Tabla467824[[#This Row],[Columna4]], '[1]Anexos FICHA TRA050'!$C$4:$C$7, 0)), "")</f>
        <v>10</v>
      </c>
      <c r="BF29" s="215">
        <f>IFERROR(INDEX('[1]Anexos FICHA TRA050'!$C$14:$C$22, MATCH(Tabla467824[[#This Row],[Columna5]], '[1]Anexos FICHA TRA050'!$D$14:$D$22, 0)), "")</f>
        <v>17.920000000000002</v>
      </c>
      <c r="BG29" s="216">
        <f>IFERROR(INDEX('[1]Anexos FICHA TRA050'!$C$49:$C$54, MATCH(Tabla467824[[#This Row],[Columna5]], '[1]Anexos FICHA TRA050'!$D$49:$D$54, 0)), "")</f>
        <v>13073</v>
      </c>
      <c r="BH29" s="217">
        <f>+(((Tabla467824[[#This Row],[CVA2]]*Tabla467824[[#This Row],[f2]])-Tabla467824[[#This Row],[CVN2]])/100)*Tabla467824[[#This Row],[L2]]</f>
        <v>6795.3454000000002</v>
      </c>
      <c r="BI29" s="218"/>
      <c r="BJ29" s="218"/>
      <c r="BK29" s="218" t="str">
        <f>+IF(Tabla467824[[#This Row],[F]]=Tabla467824[[#This Row],[f2]], "IGUAL", "DISTINTO")</f>
        <v>IGUAL</v>
      </c>
      <c r="BL29" s="218" t="str">
        <f>+IF(Tabla467824[[#This Row],[CVN]]=Tabla467824[[#This Row],[CVN2]], "IGUAL", "DISTINTO")</f>
        <v>DISTINTO</v>
      </c>
      <c r="BM29" s="219" t="str">
        <f>+IF(Tabla467824[[#This Row],[L]]=Tabla467824[[#This Row],[L2]], "IGUAL", "DISTINTO")</f>
        <v>IGUAL</v>
      </c>
    </row>
    <row r="30" spans="1:65" x14ac:dyDescent="0.25">
      <c r="A30">
        <v>27</v>
      </c>
      <c r="B30" s="202" t="s">
        <v>292</v>
      </c>
      <c r="C30" s="203" t="s">
        <v>293</v>
      </c>
      <c r="D30" s="203" t="s">
        <v>70</v>
      </c>
      <c r="E30" s="203" t="s">
        <v>78</v>
      </c>
      <c r="F30" s="203" t="s">
        <v>78</v>
      </c>
      <c r="G30" s="203" t="s">
        <v>70</v>
      </c>
      <c r="H30" s="203" t="s">
        <v>72</v>
      </c>
      <c r="I30" s="203"/>
      <c r="J30" s="203" t="s">
        <v>72</v>
      </c>
      <c r="K30" s="203"/>
      <c r="L30" s="203" t="s">
        <v>72</v>
      </c>
      <c r="M30" s="203" t="s">
        <v>72</v>
      </c>
      <c r="N30" s="203"/>
      <c r="O30" s="203" t="s">
        <v>73</v>
      </c>
      <c r="P30" s="203" t="s">
        <v>200</v>
      </c>
      <c r="Q30" s="203" t="s">
        <v>201</v>
      </c>
      <c r="R30" s="203" t="s">
        <v>76</v>
      </c>
      <c r="S30" s="209">
        <v>44179</v>
      </c>
      <c r="T30" s="205">
        <v>45640</v>
      </c>
      <c r="U30" s="206">
        <v>1461</v>
      </c>
      <c r="V30" s="207">
        <v>2024</v>
      </c>
      <c r="W30" s="203" t="s">
        <v>77</v>
      </c>
      <c r="X30" s="203" t="s">
        <v>78</v>
      </c>
      <c r="Y30" s="203" t="s">
        <v>213</v>
      </c>
      <c r="Z30" s="203" t="s">
        <v>237</v>
      </c>
      <c r="AA30" s="203" t="s">
        <v>119</v>
      </c>
      <c r="AB30" s="203" t="s">
        <v>120</v>
      </c>
      <c r="AC30" s="203" t="s">
        <v>294</v>
      </c>
      <c r="AD30" s="208">
        <v>8</v>
      </c>
      <c r="AE30" s="208" t="s">
        <v>295</v>
      </c>
      <c r="AF30" s="208" t="s">
        <v>140</v>
      </c>
      <c r="AG30" s="208" t="s">
        <v>151</v>
      </c>
      <c r="AH30" s="208" t="s">
        <v>87</v>
      </c>
      <c r="AI30" s="208" t="s">
        <v>296</v>
      </c>
      <c r="AJ30" s="205" t="s">
        <v>89</v>
      </c>
      <c r="AK30" s="204">
        <v>45625</v>
      </c>
      <c r="AL30" s="208">
        <v>0</v>
      </c>
      <c r="AM30" s="209" t="s">
        <v>119</v>
      </c>
      <c r="AN30" s="209" t="s">
        <v>297</v>
      </c>
      <c r="AO30" s="209" t="s">
        <v>120</v>
      </c>
      <c r="AP30" s="209"/>
      <c r="AQ30" s="209" t="s">
        <v>72</v>
      </c>
      <c r="AR30" s="209" t="s">
        <v>91</v>
      </c>
      <c r="AS30" s="209" t="s">
        <v>298</v>
      </c>
      <c r="AT30" s="210">
        <v>5.0999999999999996</v>
      </c>
      <c r="AU30" s="211">
        <v>10</v>
      </c>
      <c r="AV30" s="212">
        <v>16.399999999999999</v>
      </c>
      <c r="AW30" s="213">
        <v>13073</v>
      </c>
      <c r="AX30" s="213">
        <v>4523.2580000000007</v>
      </c>
      <c r="AY30" s="210" t="s">
        <v>70</v>
      </c>
      <c r="AZ30" s="209" t="s">
        <v>93</v>
      </c>
      <c r="BA30" s="214" t="str">
        <f>+IF(Tabla467824[[#This Row],[TIPO VEHÍCULO]]=Tabla467824[[#This Row],[Columna2]], "IGUAL", "DISTINTO")</f>
        <v>IGUAL</v>
      </c>
      <c r="BB30" s="214" t="str">
        <f>+IF(Tabla467824[[#This Row],[Columna4]]=Tabla467824[[#This Row],[Combustible2]], "IGUAL", "DISTINTO")</f>
        <v>IGUAL</v>
      </c>
      <c r="BC30" s="202" t="s">
        <v>292</v>
      </c>
      <c r="BD30" s="215" cm="1">
        <f t="array" ref="BD30">IFERROR(INDEX('[1]Anexos FICHA TRA050'!$D$27:$D$44, MATCH(Tabla467824[[#This Row],[Columna5]]&amp;Tabla467824[[#This Row],[Columna4]], '[1]Anexos FICHA TRA050'!$E$27:$E$44&amp;'[1]Anexos FICHA TRA050'!$F$27:$F$44, 0)), "")</f>
        <v>6.99</v>
      </c>
      <c r="BE30" s="215">
        <f>IFERROR(INDEX('[1]Anexos FICHA TRA050'!$B$4:$B$7, MATCH(Tabla467824[[#This Row],[Columna4]], '[1]Anexos FICHA TRA050'!$C$4:$C$7, 0)), "")</f>
        <v>10</v>
      </c>
      <c r="BF30" s="215">
        <f>IFERROR(INDEX('[1]Anexos FICHA TRA050'!$C$14:$C$22, MATCH(Tabla467824[[#This Row],[Columna5]], '[1]Anexos FICHA TRA050'!$D$14:$D$22, 0)), "")</f>
        <v>17.920000000000002</v>
      </c>
      <c r="BG30" s="216">
        <f>IFERROR(INDEX('[1]Anexos FICHA TRA050'!$C$49:$C$54, MATCH(Tabla467824[[#This Row],[Columna5]], '[1]Anexos FICHA TRA050'!$D$49:$D$54, 0)), "")</f>
        <v>13073</v>
      </c>
      <c r="BH30" s="217">
        <f>+(((Tabla467824[[#This Row],[CVA2]]*Tabla467824[[#This Row],[f2]])-Tabla467824[[#This Row],[CVN2]])/100)*Tabla467824[[#This Row],[L2]]</f>
        <v>6795.3454000000002</v>
      </c>
      <c r="BI30" s="218"/>
      <c r="BJ30" s="218"/>
      <c r="BK30" s="218" t="str">
        <f>+IF(Tabla467824[[#This Row],[F]]=Tabla467824[[#This Row],[f2]], "IGUAL", "DISTINTO")</f>
        <v>IGUAL</v>
      </c>
      <c r="BL30" s="218" t="str">
        <f>+IF(Tabla467824[[#This Row],[CVN]]=Tabla467824[[#This Row],[CVN2]], "IGUAL", "DISTINTO")</f>
        <v>DISTINTO</v>
      </c>
      <c r="BM30" s="219" t="str">
        <f>+IF(Tabla467824[[#This Row],[L]]=Tabla467824[[#This Row],[L2]], "IGUAL", "DISTINTO")</f>
        <v>IGUAL</v>
      </c>
    </row>
    <row r="31" spans="1:65" x14ac:dyDescent="0.25">
      <c r="A31">
        <v>28</v>
      </c>
      <c r="B31" s="202" t="s">
        <v>299</v>
      </c>
      <c r="C31" s="203" t="s">
        <v>300</v>
      </c>
      <c r="D31" s="203" t="s">
        <v>70</v>
      </c>
      <c r="E31" s="203" t="s">
        <v>78</v>
      </c>
      <c r="F31" s="203" t="s">
        <v>78</v>
      </c>
      <c r="G31" s="203" t="s">
        <v>70</v>
      </c>
      <c r="H31" s="203" t="s">
        <v>72</v>
      </c>
      <c r="I31" s="203"/>
      <c r="J31" s="203" t="s">
        <v>72</v>
      </c>
      <c r="K31" s="203"/>
      <c r="L31" s="203" t="s">
        <v>72</v>
      </c>
      <c r="M31" s="203" t="s">
        <v>72</v>
      </c>
      <c r="N31" s="203"/>
      <c r="O31" s="203" t="s">
        <v>73</v>
      </c>
      <c r="P31" s="203" t="s">
        <v>200</v>
      </c>
      <c r="Q31" s="203" t="s">
        <v>201</v>
      </c>
      <c r="R31" s="203" t="s">
        <v>76</v>
      </c>
      <c r="S31" s="209">
        <v>44153</v>
      </c>
      <c r="T31" s="205">
        <v>45614</v>
      </c>
      <c r="U31" s="206">
        <v>1461</v>
      </c>
      <c r="V31" s="207">
        <v>2024</v>
      </c>
      <c r="W31" s="203" t="s">
        <v>77</v>
      </c>
      <c r="X31" s="203" t="s">
        <v>78</v>
      </c>
      <c r="Y31" s="203" t="s">
        <v>213</v>
      </c>
      <c r="Z31" s="203" t="s">
        <v>237</v>
      </c>
      <c r="AA31" s="203" t="s">
        <v>102</v>
      </c>
      <c r="AB31" s="203" t="s">
        <v>103</v>
      </c>
      <c r="AC31" s="203" t="s">
        <v>301</v>
      </c>
      <c r="AD31" s="208">
        <v>3</v>
      </c>
      <c r="AE31" s="208" t="s">
        <v>302</v>
      </c>
      <c r="AF31" s="208" t="s">
        <v>85</v>
      </c>
      <c r="AG31" s="208" t="s">
        <v>86</v>
      </c>
      <c r="AH31" s="208" t="s">
        <v>87</v>
      </c>
      <c r="AI31" s="208" t="s">
        <v>303</v>
      </c>
      <c r="AJ31" s="205" t="s">
        <v>89</v>
      </c>
      <c r="AK31" s="204">
        <v>45625</v>
      </c>
      <c r="AL31" s="208">
        <v>0</v>
      </c>
      <c r="AM31" s="209" t="s">
        <v>102</v>
      </c>
      <c r="AN31" s="209" t="s">
        <v>304</v>
      </c>
      <c r="AO31" s="209" t="s">
        <v>103</v>
      </c>
      <c r="AP31" s="209"/>
      <c r="AQ31" s="209" t="s">
        <v>72</v>
      </c>
      <c r="AR31" s="209" t="s">
        <v>109</v>
      </c>
      <c r="AS31" s="209" t="s">
        <v>305</v>
      </c>
      <c r="AT31" s="210">
        <v>5.0999999999999996</v>
      </c>
      <c r="AU31" s="211">
        <v>10</v>
      </c>
      <c r="AV31" s="212">
        <v>17.3</v>
      </c>
      <c r="AW31" s="213">
        <v>13073</v>
      </c>
      <c r="AX31" s="213">
        <v>4405.6010000000006</v>
      </c>
      <c r="AY31" s="210" t="s">
        <v>70</v>
      </c>
      <c r="AZ31" s="209" t="s">
        <v>93</v>
      </c>
      <c r="BA31" s="214" t="str">
        <f>+IF(Tabla467824[[#This Row],[TIPO VEHÍCULO]]=Tabla467824[[#This Row],[Columna2]], "IGUAL", "DISTINTO")</f>
        <v>IGUAL</v>
      </c>
      <c r="BB31" s="214" t="str">
        <f>+IF(Tabla467824[[#This Row],[Columna4]]=Tabla467824[[#This Row],[Combustible2]], "IGUAL", "DISTINTO")</f>
        <v>IGUAL</v>
      </c>
      <c r="BC31" s="202" t="s">
        <v>299</v>
      </c>
      <c r="BD31" s="215" cm="1">
        <f t="array" ref="BD31">IFERROR(INDEX('[1]Anexos FICHA TRA050'!$D$27:$D$44, MATCH(Tabla467824[[#This Row],[Columna5]]&amp;Tabla467824[[#This Row],[Columna4]], '[1]Anexos FICHA TRA050'!$E$27:$E$44&amp;'[1]Anexos FICHA TRA050'!$F$27:$F$44, 0)), "")</f>
        <v>6.99</v>
      </c>
      <c r="BE31" s="215">
        <f>IFERROR(INDEX('[1]Anexos FICHA TRA050'!$B$4:$B$7, MATCH(Tabla467824[[#This Row],[Columna4]], '[1]Anexos FICHA TRA050'!$C$4:$C$7, 0)), "")</f>
        <v>10</v>
      </c>
      <c r="BF31" s="215">
        <f>IFERROR(INDEX('[1]Anexos FICHA TRA050'!$C$14:$C$22, MATCH(Tabla467824[[#This Row],[Columna5]], '[1]Anexos FICHA TRA050'!$D$14:$D$22, 0)), "")</f>
        <v>17.920000000000002</v>
      </c>
      <c r="BG31" s="216">
        <f>IFERROR(INDEX('[1]Anexos FICHA TRA050'!$C$49:$C$54, MATCH(Tabla467824[[#This Row],[Columna5]], '[1]Anexos FICHA TRA050'!$D$49:$D$54, 0)), "")</f>
        <v>13073</v>
      </c>
      <c r="BH31" s="217">
        <f>+(((Tabla467824[[#This Row],[CVA2]]*Tabla467824[[#This Row],[f2]])-Tabla467824[[#This Row],[CVN2]])/100)*Tabla467824[[#This Row],[L2]]</f>
        <v>6795.3454000000002</v>
      </c>
      <c r="BI31" s="218"/>
      <c r="BJ31" s="218"/>
      <c r="BK31" s="218" t="str">
        <f>+IF(Tabla467824[[#This Row],[F]]=Tabla467824[[#This Row],[f2]], "IGUAL", "DISTINTO")</f>
        <v>IGUAL</v>
      </c>
      <c r="BL31" s="218" t="str">
        <f>+IF(Tabla467824[[#This Row],[CVN]]=Tabla467824[[#This Row],[CVN2]], "IGUAL", "DISTINTO")</f>
        <v>DISTINTO</v>
      </c>
      <c r="BM31" s="219" t="str">
        <f>+IF(Tabla467824[[#This Row],[L]]=Tabla467824[[#This Row],[L2]], "IGUAL", "DISTINTO")</f>
        <v>IGUAL</v>
      </c>
    </row>
    <row r="32" spans="1:65" x14ac:dyDescent="0.25">
      <c r="A32">
        <v>29</v>
      </c>
      <c r="B32" s="202" t="s">
        <v>306</v>
      </c>
      <c r="C32" s="203" t="s">
        <v>307</v>
      </c>
      <c r="D32" s="203" t="s">
        <v>70</v>
      </c>
      <c r="E32" s="203" t="s">
        <v>78</v>
      </c>
      <c r="F32" s="203" t="s">
        <v>78</v>
      </c>
      <c r="G32" s="203" t="s">
        <v>70</v>
      </c>
      <c r="H32" s="203" t="s">
        <v>72</v>
      </c>
      <c r="I32" s="203"/>
      <c r="J32" s="203" t="s">
        <v>72</v>
      </c>
      <c r="K32" s="203"/>
      <c r="L32" s="203" t="s">
        <v>72</v>
      </c>
      <c r="M32" s="203" t="s">
        <v>72</v>
      </c>
      <c r="N32" s="203"/>
      <c r="O32" s="203" t="s">
        <v>73</v>
      </c>
      <c r="P32" s="203" t="s">
        <v>200</v>
      </c>
      <c r="Q32" s="203" t="s">
        <v>201</v>
      </c>
      <c r="R32" s="203" t="s">
        <v>76</v>
      </c>
      <c r="S32" s="209">
        <v>44153</v>
      </c>
      <c r="T32" s="205">
        <v>45614</v>
      </c>
      <c r="U32" s="206">
        <v>1461</v>
      </c>
      <c r="V32" s="207">
        <v>2024</v>
      </c>
      <c r="W32" s="203" t="s">
        <v>77</v>
      </c>
      <c r="X32" s="203" t="s">
        <v>78</v>
      </c>
      <c r="Y32" s="203" t="s">
        <v>213</v>
      </c>
      <c r="Z32" s="203" t="s">
        <v>237</v>
      </c>
      <c r="AA32" s="203" t="s">
        <v>308</v>
      </c>
      <c r="AB32" s="203" t="s">
        <v>309</v>
      </c>
      <c r="AC32" s="203" t="s">
        <v>310</v>
      </c>
      <c r="AD32" s="208">
        <v>1</v>
      </c>
      <c r="AE32" s="208" t="s">
        <v>311</v>
      </c>
      <c r="AF32" s="208" t="s">
        <v>85</v>
      </c>
      <c r="AG32" s="208" t="s">
        <v>86</v>
      </c>
      <c r="AH32" s="208" t="s">
        <v>87</v>
      </c>
      <c r="AI32" s="208" t="s">
        <v>312</v>
      </c>
      <c r="AJ32" s="205" t="s">
        <v>89</v>
      </c>
      <c r="AK32" s="204">
        <v>45649</v>
      </c>
      <c r="AL32" s="208">
        <v>0</v>
      </c>
      <c r="AM32" s="209" t="s">
        <v>308</v>
      </c>
      <c r="AN32" s="209" t="s">
        <v>72</v>
      </c>
      <c r="AO32" s="209" t="s">
        <v>309</v>
      </c>
      <c r="AP32" s="209"/>
      <c r="AQ32" s="209" t="s">
        <v>72</v>
      </c>
      <c r="AR32" s="209" t="s">
        <v>91</v>
      </c>
      <c r="AS32" s="209" t="s">
        <v>313</v>
      </c>
      <c r="AT32" s="210">
        <v>5.0999999999999996</v>
      </c>
      <c r="AU32" s="211">
        <v>10</v>
      </c>
      <c r="AV32" s="212">
        <v>17.3</v>
      </c>
      <c r="AW32" s="213">
        <v>13073</v>
      </c>
      <c r="AX32" s="213">
        <v>4405.6010000000006</v>
      </c>
      <c r="AY32" s="210" t="s">
        <v>70</v>
      </c>
      <c r="AZ32" s="209" t="s">
        <v>93</v>
      </c>
      <c r="BA32" s="214" t="str">
        <f>+IF(Tabla467824[[#This Row],[TIPO VEHÍCULO]]=Tabla467824[[#This Row],[Columna2]], "IGUAL", "DISTINTO")</f>
        <v>IGUAL</v>
      </c>
      <c r="BB32" s="214" t="str">
        <f>+IF(Tabla467824[[#This Row],[Columna4]]=Tabla467824[[#This Row],[Combustible2]], "IGUAL", "DISTINTO")</f>
        <v>IGUAL</v>
      </c>
      <c r="BC32" s="202" t="s">
        <v>306</v>
      </c>
      <c r="BD32" s="215" cm="1">
        <f t="array" ref="BD32">IFERROR(INDEX('[1]Anexos FICHA TRA050'!$D$27:$D$44, MATCH(Tabla467824[[#This Row],[Columna5]]&amp;Tabla467824[[#This Row],[Columna4]], '[1]Anexos FICHA TRA050'!$E$27:$E$44&amp;'[1]Anexos FICHA TRA050'!$F$27:$F$44, 0)), "")</f>
        <v>6.99</v>
      </c>
      <c r="BE32" s="215">
        <f>IFERROR(INDEX('[1]Anexos FICHA TRA050'!$B$4:$B$7, MATCH(Tabla467824[[#This Row],[Columna4]], '[1]Anexos FICHA TRA050'!$C$4:$C$7, 0)), "")</f>
        <v>10</v>
      </c>
      <c r="BF32" s="215">
        <f>IFERROR(INDEX('[1]Anexos FICHA TRA050'!$C$14:$C$22, MATCH(Tabla467824[[#This Row],[Columna5]], '[1]Anexos FICHA TRA050'!$D$14:$D$22, 0)), "")</f>
        <v>17.920000000000002</v>
      </c>
      <c r="BG32" s="216">
        <f>IFERROR(INDEX('[1]Anexos FICHA TRA050'!$C$49:$C$54, MATCH(Tabla467824[[#This Row],[Columna5]], '[1]Anexos FICHA TRA050'!$D$49:$D$54, 0)), "")</f>
        <v>13073</v>
      </c>
      <c r="BH32" s="217">
        <f>+(((Tabla467824[[#This Row],[CVA2]]*Tabla467824[[#This Row],[f2]])-Tabla467824[[#This Row],[CVN2]])/100)*Tabla467824[[#This Row],[L2]]</f>
        <v>6795.3454000000002</v>
      </c>
      <c r="BI32" s="218"/>
      <c r="BJ32" s="218"/>
      <c r="BK32" s="218" t="str">
        <f>+IF(Tabla467824[[#This Row],[F]]=Tabla467824[[#This Row],[f2]], "IGUAL", "DISTINTO")</f>
        <v>IGUAL</v>
      </c>
      <c r="BL32" s="218" t="str">
        <f>+IF(Tabla467824[[#This Row],[CVN]]=Tabla467824[[#This Row],[CVN2]], "IGUAL", "DISTINTO")</f>
        <v>DISTINTO</v>
      </c>
      <c r="BM32" s="219" t="str">
        <f>+IF(Tabla467824[[#This Row],[L]]=Tabla467824[[#This Row],[L2]], "IGUAL", "DISTINTO")</f>
        <v>IGUAL</v>
      </c>
    </row>
    <row r="33" spans="1:146" x14ac:dyDescent="0.25">
      <c r="A33">
        <v>30</v>
      </c>
      <c r="B33" s="202" t="s">
        <v>314</v>
      </c>
      <c r="C33" s="203" t="s">
        <v>315</v>
      </c>
      <c r="D33" s="203" t="s">
        <v>70</v>
      </c>
      <c r="E33" s="203" t="s">
        <v>78</v>
      </c>
      <c r="F33" s="203" t="s">
        <v>78</v>
      </c>
      <c r="G33" s="203" t="s">
        <v>70</v>
      </c>
      <c r="H33" s="203" t="s">
        <v>72</v>
      </c>
      <c r="I33" s="203"/>
      <c r="J33" s="203" t="s">
        <v>72</v>
      </c>
      <c r="K33" s="203"/>
      <c r="L33" s="203" t="s">
        <v>72</v>
      </c>
      <c r="M33" s="203" t="s">
        <v>72</v>
      </c>
      <c r="N33" s="203"/>
      <c r="O33" s="203" t="s">
        <v>73</v>
      </c>
      <c r="P33" s="203" t="s">
        <v>200</v>
      </c>
      <c r="Q33" s="203" t="s">
        <v>201</v>
      </c>
      <c r="R33" s="203" t="s">
        <v>76</v>
      </c>
      <c r="S33" s="209">
        <v>44166</v>
      </c>
      <c r="T33" s="205">
        <v>45627</v>
      </c>
      <c r="U33" s="206">
        <v>1461</v>
      </c>
      <c r="V33" s="207">
        <v>2024</v>
      </c>
      <c r="W33" s="203" t="s">
        <v>77</v>
      </c>
      <c r="X33" s="203" t="s">
        <v>78</v>
      </c>
      <c r="Y33" s="203" t="s">
        <v>213</v>
      </c>
      <c r="Z33" s="203" t="s">
        <v>237</v>
      </c>
      <c r="AA33" s="203" t="s">
        <v>131</v>
      </c>
      <c r="AB33" s="203" t="s">
        <v>132</v>
      </c>
      <c r="AC33" s="203" t="s">
        <v>316</v>
      </c>
      <c r="AD33" s="208">
        <v>2</v>
      </c>
      <c r="AE33" s="208" t="s">
        <v>317</v>
      </c>
      <c r="AF33" s="208" t="s">
        <v>85</v>
      </c>
      <c r="AG33" s="208" t="s">
        <v>86</v>
      </c>
      <c r="AH33" s="208" t="s">
        <v>87</v>
      </c>
      <c r="AI33" s="208" t="s">
        <v>318</v>
      </c>
      <c r="AJ33" s="205" t="s">
        <v>89</v>
      </c>
      <c r="AK33" s="204">
        <v>45625</v>
      </c>
      <c r="AL33" s="208">
        <v>0</v>
      </c>
      <c r="AM33" s="209" t="s">
        <v>131</v>
      </c>
      <c r="AN33" s="209" t="s">
        <v>319</v>
      </c>
      <c r="AO33" s="209" t="s">
        <v>132</v>
      </c>
      <c r="AP33" s="209"/>
      <c r="AQ33" s="209" t="s">
        <v>72</v>
      </c>
      <c r="AR33" s="209" t="s">
        <v>91</v>
      </c>
      <c r="AS33" s="209" t="s">
        <v>320</v>
      </c>
      <c r="AT33" s="210">
        <v>5.0999999999999996</v>
      </c>
      <c r="AU33" s="211">
        <v>10</v>
      </c>
      <c r="AV33" s="212">
        <v>17.3</v>
      </c>
      <c r="AW33" s="213">
        <v>13073</v>
      </c>
      <c r="AX33" s="213">
        <v>4405.6010000000006</v>
      </c>
      <c r="AY33" s="210" t="s">
        <v>70</v>
      </c>
      <c r="AZ33" s="209" t="s">
        <v>93</v>
      </c>
      <c r="BA33" s="214" t="str">
        <f>+IF(Tabla467824[[#This Row],[TIPO VEHÍCULO]]=Tabla467824[[#This Row],[Columna2]], "IGUAL", "DISTINTO")</f>
        <v>IGUAL</v>
      </c>
      <c r="BB33" s="214" t="str">
        <f>+IF(Tabla467824[[#This Row],[Columna4]]=Tabla467824[[#This Row],[Combustible2]], "IGUAL", "DISTINTO")</f>
        <v>IGUAL</v>
      </c>
      <c r="BC33" s="202" t="s">
        <v>314</v>
      </c>
      <c r="BD33" s="215" cm="1">
        <f t="array" ref="BD33">IFERROR(INDEX('[1]Anexos FICHA TRA050'!$D$27:$D$44, MATCH(Tabla467824[[#This Row],[Columna5]]&amp;Tabla467824[[#This Row],[Columna4]], '[1]Anexos FICHA TRA050'!$E$27:$E$44&amp;'[1]Anexos FICHA TRA050'!$F$27:$F$44, 0)), "")</f>
        <v>6.99</v>
      </c>
      <c r="BE33" s="215">
        <f>IFERROR(INDEX('[1]Anexos FICHA TRA050'!$B$4:$B$7, MATCH(Tabla467824[[#This Row],[Columna4]], '[1]Anexos FICHA TRA050'!$C$4:$C$7, 0)), "")</f>
        <v>10</v>
      </c>
      <c r="BF33" s="215">
        <f>IFERROR(INDEX('[1]Anexos FICHA TRA050'!$C$14:$C$22, MATCH(Tabla467824[[#This Row],[Columna5]], '[1]Anexos FICHA TRA050'!$D$14:$D$22, 0)), "")</f>
        <v>17.920000000000002</v>
      </c>
      <c r="BG33" s="216">
        <f>IFERROR(INDEX('[1]Anexos FICHA TRA050'!$C$49:$C$54, MATCH(Tabla467824[[#This Row],[Columna5]], '[1]Anexos FICHA TRA050'!$D$49:$D$54, 0)), "")</f>
        <v>13073</v>
      </c>
      <c r="BH33" s="217">
        <f>+(((Tabla467824[[#This Row],[CVA2]]*Tabla467824[[#This Row],[f2]])-Tabla467824[[#This Row],[CVN2]])/100)*Tabla467824[[#This Row],[L2]]</f>
        <v>6795.3454000000002</v>
      </c>
      <c r="BI33" s="218"/>
      <c r="BJ33" s="218"/>
      <c r="BK33" s="218" t="str">
        <f>+IF(Tabla467824[[#This Row],[F]]=Tabla467824[[#This Row],[f2]], "IGUAL", "DISTINTO")</f>
        <v>IGUAL</v>
      </c>
      <c r="BL33" s="218" t="str">
        <f>+IF(Tabla467824[[#This Row],[CVN]]=Tabla467824[[#This Row],[CVN2]], "IGUAL", "DISTINTO")</f>
        <v>DISTINTO</v>
      </c>
      <c r="BM33" s="219" t="str">
        <f>+IF(Tabla467824[[#This Row],[L]]=Tabla467824[[#This Row],[L2]], "IGUAL", "DISTINTO")</f>
        <v>IGUAL</v>
      </c>
    </row>
    <row r="34" spans="1:146" x14ac:dyDescent="0.25">
      <c r="A34">
        <v>31</v>
      </c>
      <c r="B34" s="202" t="s">
        <v>321</v>
      </c>
      <c r="C34" s="203" t="s">
        <v>322</v>
      </c>
      <c r="D34" s="203" t="s">
        <v>70</v>
      </c>
      <c r="E34" s="203" t="s">
        <v>78</v>
      </c>
      <c r="F34" s="203" t="s">
        <v>78</v>
      </c>
      <c r="G34" s="203" t="s">
        <v>70</v>
      </c>
      <c r="H34" s="203" t="s">
        <v>72</v>
      </c>
      <c r="I34" s="203"/>
      <c r="J34" s="203" t="s">
        <v>72</v>
      </c>
      <c r="K34" s="203"/>
      <c r="L34" s="203" t="s">
        <v>72</v>
      </c>
      <c r="M34" s="203" t="s">
        <v>72</v>
      </c>
      <c r="N34" s="203"/>
      <c r="O34" s="203" t="s">
        <v>73</v>
      </c>
      <c r="P34" s="203" t="s">
        <v>200</v>
      </c>
      <c r="Q34" s="203" t="s">
        <v>201</v>
      </c>
      <c r="R34" s="203" t="s">
        <v>76</v>
      </c>
      <c r="S34" s="209">
        <v>44215</v>
      </c>
      <c r="T34" s="205">
        <v>45676</v>
      </c>
      <c r="U34" s="206">
        <v>1461</v>
      </c>
      <c r="V34" s="207">
        <v>2025</v>
      </c>
      <c r="W34" s="203" t="s">
        <v>77</v>
      </c>
      <c r="X34" s="203" t="s">
        <v>78</v>
      </c>
      <c r="Y34" s="203" t="s">
        <v>213</v>
      </c>
      <c r="Z34" s="203" t="s">
        <v>237</v>
      </c>
      <c r="AA34" s="203" t="s">
        <v>119</v>
      </c>
      <c r="AB34" s="203" t="s">
        <v>120</v>
      </c>
      <c r="AC34" s="203" t="s">
        <v>323</v>
      </c>
      <c r="AD34" s="208">
        <v>9</v>
      </c>
      <c r="AE34" s="208" t="s">
        <v>324</v>
      </c>
      <c r="AF34" s="208" t="s">
        <v>85</v>
      </c>
      <c r="AG34" s="208" t="s">
        <v>86</v>
      </c>
      <c r="AH34" s="208" t="s">
        <v>87</v>
      </c>
      <c r="AI34" s="208" t="s">
        <v>325</v>
      </c>
      <c r="AJ34" s="205" t="s">
        <v>89</v>
      </c>
      <c r="AK34" s="204">
        <v>45645</v>
      </c>
      <c r="AL34" s="208">
        <v>-1</v>
      </c>
      <c r="AM34" s="209" t="s">
        <v>119</v>
      </c>
      <c r="AN34" s="209" t="s">
        <v>326</v>
      </c>
      <c r="AO34" s="209" t="s">
        <v>120</v>
      </c>
      <c r="AP34" s="209"/>
      <c r="AQ34" s="209" t="s">
        <v>72</v>
      </c>
      <c r="AR34" s="209" t="s">
        <v>91</v>
      </c>
      <c r="AS34" s="209" t="s">
        <v>327</v>
      </c>
      <c r="AT34" s="210">
        <v>5.0999999999999996</v>
      </c>
      <c r="AU34" s="211">
        <v>10</v>
      </c>
      <c r="AV34" s="212">
        <v>17.3</v>
      </c>
      <c r="AW34" s="213">
        <v>13073</v>
      </c>
      <c r="AX34" s="213">
        <v>4405.6010000000006</v>
      </c>
      <c r="AY34" s="210" t="s">
        <v>70</v>
      </c>
      <c r="AZ34" s="209" t="s">
        <v>93</v>
      </c>
      <c r="BA34" s="214" t="str">
        <f>+IF(Tabla467824[[#This Row],[TIPO VEHÍCULO]]=Tabla467824[[#This Row],[Columna2]], "IGUAL", "DISTINTO")</f>
        <v>IGUAL</v>
      </c>
      <c r="BB34" s="214" t="str">
        <f>+IF(Tabla467824[[#This Row],[Columna4]]=Tabla467824[[#This Row],[Combustible2]], "IGUAL", "DISTINTO")</f>
        <v>IGUAL</v>
      </c>
      <c r="BC34" s="202" t="s">
        <v>321</v>
      </c>
      <c r="BD34" s="215" cm="1">
        <f t="array" ref="BD34">IFERROR(INDEX('[1]Anexos FICHA TRA050'!$D$27:$D$44, MATCH(Tabla467824[[#This Row],[Columna5]]&amp;Tabla467824[[#This Row],[Columna4]], '[1]Anexos FICHA TRA050'!$E$27:$E$44&amp;'[1]Anexos FICHA TRA050'!$F$27:$F$44, 0)), "")</f>
        <v>6.99</v>
      </c>
      <c r="BE34" s="215">
        <f>IFERROR(INDEX('[1]Anexos FICHA TRA050'!$B$4:$B$7, MATCH(Tabla467824[[#This Row],[Columna4]], '[1]Anexos FICHA TRA050'!$C$4:$C$7, 0)), "")</f>
        <v>10</v>
      </c>
      <c r="BF34" s="215">
        <f>IFERROR(INDEX('[1]Anexos FICHA TRA050'!$C$14:$C$22, MATCH(Tabla467824[[#This Row],[Columna5]], '[1]Anexos FICHA TRA050'!$D$14:$D$22, 0)), "")</f>
        <v>17.920000000000002</v>
      </c>
      <c r="BG34" s="216">
        <f>IFERROR(INDEX('[1]Anexos FICHA TRA050'!$C$49:$C$54, MATCH(Tabla467824[[#This Row],[Columna5]], '[1]Anexos FICHA TRA050'!$D$49:$D$54, 0)), "")</f>
        <v>13073</v>
      </c>
      <c r="BH34" s="217">
        <f>+(((Tabla467824[[#This Row],[CVA2]]*Tabla467824[[#This Row],[f2]])-Tabla467824[[#This Row],[CVN2]])/100)*Tabla467824[[#This Row],[L2]]</f>
        <v>6795.3454000000002</v>
      </c>
      <c r="BI34" s="218"/>
      <c r="BJ34" s="218"/>
      <c r="BK34" s="218" t="str">
        <f>+IF(Tabla467824[[#This Row],[F]]=Tabla467824[[#This Row],[f2]], "IGUAL", "DISTINTO")</f>
        <v>IGUAL</v>
      </c>
      <c r="BL34" s="218" t="str">
        <f>+IF(Tabla467824[[#This Row],[CVN]]=Tabla467824[[#This Row],[CVN2]], "IGUAL", "DISTINTO")</f>
        <v>DISTINTO</v>
      </c>
      <c r="BM34" s="219" t="str">
        <f>+IF(Tabla467824[[#This Row],[L]]=Tabla467824[[#This Row],[L2]], "IGUAL", "DISTINTO")</f>
        <v>IGUAL</v>
      </c>
    </row>
    <row r="35" spans="1:146" x14ac:dyDescent="0.25">
      <c r="A35">
        <v>32</v>
      </c>
      <c r="B35" s="202" t="s">
        <v>328</v>
      </c>
      <c r="C35" s="203" t="s">
        <v>329</v>
      </c>
      <c r="D35" s="203" t="s">
        <v>70</v>
      </c>
      <c r="E35" s="203" t="s">
        <v>78</v>
      </c>
      <c r="F35" s="203" t="s">
        <v>78</v>
      </c>
      <c r="G35" s="203" t="s">
        <v>70</v>
      </c>
      <c r="H35" s="203" t="s">
        <v>72</v>
      </c>
      <c r="I35" s="203"/>
      <c r="J35" s="203" t="s">
        <v>72</v>
      </c>
      <c r="K35" s="203"/>
      <c r="L35" s="203" t="s">
        <v>249</v>
      </c>
      <c r="M35" s="203" t="s">
        <v>249</v>
      </c>
      <c r="N35" s="203"/>
      <c r="O35" s="203" t="s">
        <v>73</v>
      </c>
      <c r="P35" s="203" t="s">
        <v>200</v>
      </c>
      <c r="Q35" s="203" t="s">
        <v>201</v>
      </c>
      <c r="R35" s="203" t="s">
        <v>76</v>
      </c>
      <c r="S35" s="209">
        <v>44215</v>
      </c>
      <c r="T35" s="205">
        <v>45676</v>
      </c>
      <c r="U35" s="206">
        <v>1461</v>
      </c>
      <c r="V35" s="207">
        <v>2025</v>
      </c>
      <c r="W35" s="203" t="s">
        <v>77</v>
      </c>
      <c r="X35" s="203" t="s">
        <v>78</v>
      </c>
      <c r="Y35" s="203" t="s">
        <v>213</v>
      </c>
      <c r="Z35" s="203" t="s">
        <v>237</v>
      </c>
      <c r="AA35" s="203" t="s">
        <v>190</v>
      </c>
      <c r="AB35" s="203" t="s">
        <v>191</v>
      </c>
      <c r="AC35" s="203" t="s">
        <v>194</v>
      </c>
      <c r="AD35" s="208">
        <v>2</v>
      </c>
      <c r="AE35" s="208" t="s">
        <v>330</v>
      </c>
      <c r="AF35" s="208" t="s">
        <v>85</v>
      </c>
      <c r="AG35" s="208" t="s">
        <v>86</v>
      </c>
      <c r="AH35" s="208" t="s">
        <v>87</v>
      </c>
      <c r="AI35" s="208" t="s">
        <v>331</v>
      </c>
      <c r="AJ35" s="205" t="s">
        <v>89</v>
      </c>
      <c r="AK35" s="204">
        <v>45646</v>
      </c>
      <c r="AL35" s="208">
        <v>-1</v>
      </c>
      <c r="AM35" s="209" t="s">
        <v>190</v>
      </c>
      <c r="AN35" s="209" t="s">
        <v>332</v>
      </c>
      <c r="AO35" s="209" t="s">
        <v>191</v>
      </c>
      <c r="AP35" s="209"/>
      <c r="AQ35" s="209" t="s">
        <v>72</v>
      </c>
      <c r="AR35" s="209" t="s">
        <v>91</v>
      </c>
      <c r="AS35" s="209" t="s">
        <v>333</v>
      </c>
      <c r="AT35" s="210">
        <v>5.0999999999999996</v>
      </c>
      <c r="AU35" s="211">
        <v>10</v>
      </c>
      <c r="AV35" s="212">
        <v>17.3</v>
      </c>
      <c r="AW35" s="213">
        <v>13073</v>
      </c>
      <c r="AX35" s="213">
        <v>4405.6010000000006</v>
      </c>
      <c r="AY35" s="210" t="s">
        <v>70</v>
      </c>
      <c r="AZ35" s="209" t="s">
        <v>93</v>
      </c>
      <c r="BA35" s="214" t="str">
        <f>+IF(Tabla467824[[#This Row],[TIPO VEHÍCULO]]=Tabla467824[[#This Row],[Columna2]], "IGUAL", "DISTINTO")</f>
        <v>IGUAL</v>
      </c>
      <c r="BB35" s="214" t="str">
        <f>+IF(Tabla467824[[#This Row],[Columna4]]=Tabla467824[[#This Row],[Combustible2]], "IGUAL", "DISTINTO")</f>
        <v>IGUAL</v>
      </c>
      <c r="BC35" s="202" t="s">
        <v>328</v>
      </c>
      <c r="BD35" s="215" cm="1">
        <f t="array" ref="BD35">IFERROR(INDEX('[1]Anexos FICHA TRA050'!$D$27:$D$44, MATCH(Tabla467824[[#This Row],[Columna5]]&amp;Tabla467824[[#This Row],[Columna4]], '[1]Anexos FICHA TRA050'!$E$27:$E$44&amp;'[1]Anexos FICHA TRA050'!$F$27:$F$44, 0)), "")</f>
        <v>6.99</v>
      </c>
      <c r="BE35" s="215">
        <f>IFERROR(INDEX('[1]Anexos FICHA TRA050'!$B$4:$B$7, MATCH(Tabla467824[[#This Row],[Columna4]], '[1]Anexos FICHA TRA050'!$C$4:$C$7, 0)), "")</f>
        <v>10</v>
      </c>
      <c r="BF35" s="215">
        <f>IFERROR(INDEX('[1]Anexos FICHA TRA050'!$C$14:$C$22, MATCH(Tabla467824[[#This Row],[Columna5]], '[1]Anexos FICHA TRA050'!$D$14:$D$22, 0)), "")</f>
        <v>17.920000000000002</v>
      </c>
      <c r="BG35" s="216">
        <f>IFERROR(INDEX('[1]Anexos FICHA TRA050'!$C$49:$C$54, MATCH(Tabla467824[[#This Row],[Columna5]], '[1]Anexos FICHA TRA050'!$D$49:$D$54, 0)), "")</f>
        <v>13073</v>
      </c>
      <c r="BH35" s="217">
        <f>+(((Tabla467824[[#This Row],[CVA2]]*Tabla467824[[#This Row],[f2]])-Tabla467824[[#This Row],[CVN2]])/100)*Tabla467824[[#This Row],[L2]]</f>
        <v>6795.3454000000002</v>
      </c>
      <c r="BI35" s="218"/>
      <c r="BJ35" s="218"/>
      <c r="BK35" s="218" t="str">
        <f>+IF(Tabla467824[[#This Row],[F]]=Tabla467824[[#This Row],[f2]], "IGUAL", "DISTINTO")</f>
        <v>IGUAL</v>
      </c>
      <c r="BL35" s="218" t="str">
        <f>+IF(Tabla467824[[#This Row],[CVN]]=Tabla467824[[#This Row],[CVN2]], "IGUAL", "DISTINTO")</f>
        <v>DISTINTO</v>
      </c>
      <c r="BM35" s="219" t="str">
        <f>+IF(Tabla467824[[#This Row],[L]]=Tabla467824[[#This Row],[L2]], "IGUAL", "DISTINTO")</f>
        <v>IGUAL</v>
      </c>
    </row>
    <row r="36" spans="1:146" ht="15" customHeight="1" x14ac:dyDescent="0.25">
      <c r="A36">
        <v>33</v>
      </c>
      <c r="B36" s="202" t="s">
        <v>334</v>
      </c>
      <c r="C36" s="203" t="s">
        <v>335</v>
      </c>
      <c r="D36" s="203" t="s">
        <v>70</v>
      </c>
      <c r="E36" s="203" t="s">
        <v>78</v>
      </c>
      <c r="F36" s="203" t="s">
        <v>78</v>
      </c>
      <c r="G36" s="203" t="s">
        <v>70</v>
      </c>
      <c r="H36" s="203" t="s">
        <v>72</v>
      </c>
      <c r="I36" s="203"/>
      <c r="J36" s="203" t="s">
        <v>72</v>
      </c>
      <c r="K36" s="203"/>
      <c r="L36" s="203" t="s">
        <v>72</v>
      </c>
      <c r="M36" s="203" t="s">
        <v>72</v>
      </c>
      <c r="N36" s="203"/>
      <c r="O36" s="203" t="s">
        <v>73</v>
      </c>
      <c r="P36" s="203" t="s">
        <v>200</v>
      </c>
      <c r="Q36" s="203" t="s">
        <v>201</v>
      </c>
      <c r="R36" s="203" t="s">
        <v>76</v>
      </c>
      <c r="S36" s="209">
        <v>44215</v>
      </c>
      <c r="T36" s="205">
        <v>45676</v>
      </c>
      <c r="U36" s="206">
        <v>1461</v>
      </c>
      <c r="V36" s="207">
        <v>2025</v>
      </c>
      <c r="W36" s="203" t="s">
        <v>77</v>
      </c>
      <c r="X36" s="203" t="s">
        <v>78</v>
      </c>
      <c r="Y36" s="203" t="s">
        <v>213</v>
      </c>
      <c r="Z36" s="203" t="s">
        <v>237</v>
      </c>
      <c r="AA36" s="203" t="s">
        <v>336</v>
      </c>
      <c r="AB36" s="203" t="s">
        <v>337</v>
      </c>
      <c r="AC36" s="203" t="s">
        <v>338</v>
      </c>
      <c r="AD36" s="208">
        <v>1</v>
      </c>
      <c r="AE36" s="208" t="s">
        <v>339</v>
      </c>
      <c r="AF36" s="208" t="s">
        <v>85</v>
      </c>
      <c r="AG36" s="208" t="s">
        <v>340</v>
      </c>
      <c r="AH36" s="208" t="s">
        <v>87</v>
      </c>
      <c r="AI36" s="208" t="s">
        <v>341</v>
      </c>
      <c r="AJ36" s="205" t="s">
        <v>89</v>
      </c>
      <c r="AK36" s="204">
        <v>43435</v>
      </c>
      <c r="AL36" s="208">
        <v>-1</v>
      </c>
      <c r="AM36" s="209" t="s">
        <v>336</v>
      </c>
      <c r="AN36" s="210">
        <v>4500399254</v>
      </c>
      <c r="AO36" s="209" t="s">
        <v>337</v>
      </c>
      <c r="AP36" s="209"/>
      <c r="AQ36" s="209" t="s">
        <v>72</v>
      </c>
      <c r="AR36" s="209" t="s">
        <v>91</v>
      </c>
      <c r="AS36" s="220" t="s">
        <v>342</v>
      </c>
      <c r="AT36" s="210">
        <v>5.0999999999999996</v>
      </c>
      <c r="AU36" s="211">
        <v>10</v>
      </c>
      <c r="AV36" s="212">
        <v>13.3</v>
      </c>
      <c r="AW36" s="213">
        <v>13073</v>
      </c>
      <c r="AX36" s="213">
        <v>4928.5209999999997</v>
      </c>
      <c r="AY36" s="210" t="s">
        <v>70</v>
      </c>
      <c r="AZ36" s="209" t="s">
        <v>93</v>
      </c>
      <c r="BA36" s="214" t="str">
        <f>+IF(Tabla467824[[#This Row],[TIPO VEHÍCULO]]=Tabla467824[[#This Row],[Columna2]], "IGUAL", "DISTINTO")</f>
        <v>IGUAL</v>
      </c>
      <c r="BB36" s="214" t="str">
        <f>+IF(Tabla467824[[#This Row],[Columna4]]=Tabla467824[[#This Row],[Combustible2]], "IGUAL", "DISTINTO")</f>
        <v>IGUAL</v>
      </c>
      <c r="BC36" s="202" t="s">
        <v>334</v>
      </c>
      <c r="BD36" s="215" cm="1">
        <f t="array" ref="BD36">IFERROR(INDEX('[1]Anexos FICHA TRA050'!$D$27:$D$44, MATCH(Tabla467824[[#This Row],[Columna5]]&amp;Tabla467824[[#This Row],[Columna4]], '[1]Anexos FICHA TRA050'!$E$27:$E$44&amp;'[1]Anexos FICHA TRA050'!$F$27:$F$44, 0)), "")</f>
        <v>6.99</v>
      </c>
      <c r="BE36" s="215">
        <f>IFERROR(INDEX('[1]Anexos FICHA TRA050'!$B$4:$B$7, MATCH(Tabla467824[[#This Row],[Columna4]], '[1]Anexos FICHA TRA050'!$C$4:$C$7, 0)), "")</f>
        <v>10</v>
      </c>
      <c r="BF36" s="215">
        <f>IFERROR(INDEX('[1]Anexos FICHA TRA050'!$C$14:$C$22, MATCH(Tabla467824[[#This Row],[Columna5]], '[1]Anexos FICHA TRA050'!$D$14:$D$22, 0)), "")</f>
        <v>17.920000000000002</v>
      </c>
      <c r="BG36" s="216">
        <f>IFERROR(INDEX('[1]Anexos FICHA TRA050'!$C$49:$C$54, MATCH(Tabla467824[[#This Row],[Columna5]], '[1]Anexos FICHA TRA050'!$D$49:$D$54, 0)), "")</f>
        <v>13073</v>
      </c>
      <c r="BH36" s="217">
        <f>+(((Tabla467824[[#This Row],[CVA2]]*Tabla467824[[#This Row],[f2]])-Tabla467824[[#This Row],[CVN2]])/100)*Tabla467824[[#This Row],[L2]]</f>
        <v>6795.3454000000002</v>
      </c>
      <c r="BI36" s="218"/>
      <c r="BJ36" s="218"/>
      <c r="BK36" s="218" t="str">
        <f>+IF(Tabla467824[[#This Row],[F]]=Tabla467824[[#This Row],[f2]], "IGUAL", "DISTINTO")</f>
        <v>IGUAL</v>
      </c>
      <c r="BL36" s="218" t="str">
        <f>+IF(Tabla467824[[#This Row],[CVN]]=Tabla467824[[#This Row],[CVN2]], "IGUAL", "DISTINTO")</f>
        <v>DISTINTO</v>
      </c>
      <c r="BM36" s="219" t="str">
        <f>+IF(Tabla467824[[#This Row],[L]]=Tabla467824[[#This Row],[L2]], "IGUAL", "DISTINTO")</f>
        <v>IGUAL</v>
      </c>
    </row>
    <row r="37" spans="1:146" x14ac:dyDescent="0.25">
      <c r="A37">
        <v>34</v>
      </c>
      <c r="B37" s="202" t="s">
        <v>343</v>
      </c>
      <c r="C37" s="203" t="s">
        <v>344</v>
      </c>
      <c r="D37" s="203" t="s">
        <v>70</v>
      </c>
      <c r="E37" s="203" t="s">
        <v>78</v>
      </c>
      <c r="F37" s="203" t="s">
        <v>78</v>
      </c>
      <c r="G37" s="203" t="s">
        <v>70</v>
      </c>
      <c r="H37" s="203" t="s">
        <v>72</v>
      </c>
      <c r="I37" s="203"/>
      <c r="J37" s="203" t="s">
        <v>72</v>
      </c>
      <c r="K37" s="203"/>
      <c r="L37" s="203" t="s">
        <v>72</v>
      </c>
      <c r="M37" s="203" t="s">
        <v>72</v>
      </c>
      <c r="N37" s="203"/>
      <c r="O37" s="203" t="s">
        <v>73</v>
      </c>
      <c r="P37" s="203" t="s">
        <v>200</v>
      </c>
      <c r="Q37" s="203" t="s">
        <v>201</v>
      </c>
      <c r="R37" s="203" t="s">
        <v>160</v>
      </c>
      <c r="S37" s="209">
        <v>44237</v>
      </c>
      <c r="T37" s="205">
        <v>45698</v>
      </c>
      <c r="U37" s="206">
        <v>1461</v>
      </c>
      <c r="V37" s="207">
        <v>2025</v>
      </c>
      <c r="W37" s="203" t="s">
        <v>161</v>
      </c>
      <c r="X37" s="203" t="s">
        <v>78</v>
      </c>
      <c r="Y37" s="203" t="s">
        <v>213</v>
      </c>
      <c r="Z37" s="203" t="s">
        <v>237</v>
      </c>
      <c r="AA37" s="203" t="s">
        <v>190</v>
      </c>
      <c r="AB37" s="203" t="s">
        <v>191</v>
      </c>
      <c r="AC37" s="203" t="s">
        <v>345</v>
      </c>
      <c r="AD37" s="208">
        <v>3</v>
      </c>
      <c r="AE37" s="208" t="s">
        <v>346</v>
      </c>
      <c r="AF37" s="208" t="s">
        <v>85</v>
      </c>
      <c r="AG37" s="208" t="s">
        <v>340</v>
      </c>
      <c r="AH37" s="208" t="s">
        <v>87</v>
      </c>
      <c r="AI37" s="208" t="s">
        <v>345</v>
      </c>
      <c r="AJ37" s="205" t="s">
        <v>89</v>
      </c>
      <c r="AK37" s="204">
        <v>43140</v>
      </c>
      <c r="AL37" s="208">
        <v>-1</v>
      </c>
      <c r="AM37" s="209" t="s">
        <v>190</v>
      </c>
      <c r="AN37" s="209" t="s">
        <v>347</v>
      </c>
      <c r="AO37" s="209" t="s">
        <v>191</v>
      </c>
      <c r="AP37" s="209"/>
      <c r="AQ37" s="209" t="s">
        <v>72</v>
      </c>
      <c r="AR37" s="209" t="s">
        <v>91</v>
      </c>
      <c r="AS37" s="209" t="s">
        <v>348</v>
      </c>
      <c r="AT37" s="210">
        <v>5.0999999999999996</v>
      </c>
      <c r="AU37" s="211">
        <v>10</v>
      </c>
      <c r="AV37" s="212">
        <v>13.3</v>
      </c>
      <c r="AW37" s="213">
        <v>13073</v>
      </c>
      <c r="AX37" s="213">
        <v>4928.5209999999997</v>
      </c>
      <c r="AY37" s="210" t="s">
        <v>70</v>
      </c>
      <c r="AZ37" s="209" t="s">
        <v>93</v>
      </c>
      <c r="BA37" s="214" t="str">
        <f>+IF(Tabla467824[[#This Row],[TIPO VEHÍCULO]]=Tabla467824[[#This Row],[Columna2]], "IGUAL", "DISTINTO")</f>
        <v>IGUAL</v>
      </c>
      <c r="BB37" s="214" t="str">
        <f>+IF(Tabla467824[[#This Row],[Columna4]]=Tabla467824[[#This Row],[Combustible2]], "IGUAL", "DISTINTO")</f>
        <v>IGUAL</v>
      </c>
      <c r="BC37" s="202" t="s">
        <v>343</v>
      </c>
      <c r="BD37" s="215" cm="1">
        <f t="array" ref="BD37">IFERROR(INDEX('[1]Anexos FICHA TRA050'!$D$27:$D$44, MATCH(Tabla467824[[#This Row],[Columna5]]&amp;Tabla467824[[#This Row],[Columna4]], '[1]Anexos FICHA TRA050'!$E$27:$E$44&amp;'[1]Anexos FICHA TRA050'!$F$27:$F$44, 0)), "")</f>
        <v>6.99</v>
      </c>
      <c r="BE37" s="215">
        <f>IFERROR(INDEX('[1]Anexos FICHA TRA050'!$B$4:$B$7, MATCH(Tabla467824[[#This Row],[Columna4]], '[1]Anexos FICHA TRA050'!$C$4:$C$7, 0)), "")</f>
        <v>10</v>
      </c>
      <c r="BF37" s="215">
        <f>IFERROR(INDEX('[1]Anexos FICHA TRA050'!$C$14:$C$22, MATCH(Tabla467824[[#This Row],[Columna5]], '[1]Anexos FICHA TRA050'!$D$14:$D$22, 0)), "")</f>
        <v>17.920000000000002</v>
      </c>
      <c r="BG37" s="216">
        <f>IFERROR(INDEX('[1]Anexos FICHA TRA050'!$C$49:$C$54, MATCH(Tabla467824[[#This Row],[Columna5]], '[1]Anexos FICHA TRA050'!$D$49:$D$54, 0)), "")</f>
        <v>13073</v>
      </c>
      <c r="BH37" s="217">
        <f>+(((Tabla467824[[#This Row],[CVA2]]*Tabla467824[[#This Row],[f2]])-Tabla467824[[#This Row],[CVN2]])/100)*Tabla467824[[#This Row],[L2]]</f>
        <v>6795.3454000000002</v>
      </c>
      <c r="BI37" s="218"/>
      <c r="BJ37" s="218"/>
      <c r="BK37" s="218" t="str">
        <f>+IF(Tabla467824[[#This Row],[F]]=Tabla467824[[#This Row],[f2]], "IGUAL", "DISTINTO")</f>
        <v>IGUAL</v>
      </c>
      <c r="BL37" s="218" t="str">
        <f>+IF(Tabla467824[[#This Row],[CVN]]=Tabla467824[[#This Row],[CVN2]], "IGUAL", "DISTINTO")</f>
        <v>DISTINTO</v>
      </c>
      <c r="BM37" s="219" t="str">
        <f>+IF(Tabla467824[[#This Row],[L]]=Tabla467824[[#This Row],[L2]], "IGUAL", "DISTINTO")</f>
        <v>IGUAL</v>
      </c>
    </row>
    <row r="38" spans="1:146" x14ac:dyDescent="0.25">
      <c r="A38">
        <v>35</v>
      </c>
      <c r="B38" s="202" t="s">
        <v>349</v>
      </c>
      <c r="C38" s="203" t="s">
        <v>350</v>
      </c>
      <c r="D38" s="203" t="s">
        <v>70</v>
      </c>
      <c r="E38" s="203" t="s">
        <v>78</v>
      </c>
      <c r="F38" s="203" t="s">
        <v>78</v>
      </c>
      <c r="G38" s="203" t="s">
        <v>70</v>
      </c>
      <c r="H38" s="203" t="s">
        <v>72</v>
      </c>
      <c r="I38" s="203"/>
      <c r="J38" s="203" t="s">
        <v>72</v>
      </c>
      <c r="K38" s="203"/>
      <c r="L38" s="203" t="s">
        <v>72</v>
      </c>
      <c r="M38" s="203" t="s">
        <v>72</v>
      </c>
      <c r="N38" s="203"/>
      <c r="O38" s="203" t="s">
        <v>73</v>
      </c>
      <c r="P38" s="203" t="s">
        <v>200</v>
      </c>
      <c r="Q38" s="203" t="s">
        <v>201</v>
      </c>
      <c r="R38" s="203" t="s">
        <v>76</v>
      </c>
      <c r="S38" s="209">
        <v>44186</v>
      </c>
      <c r="T38" s="205">
        <v>45647</v>
      </c>
      <c r="U38" s="206">
        <v>1461</v>
      </c>
      <c r="V38" s="207">
        <v>2024</v>
      </c>
      <c r="W38" s="203" t="s">
        <v>77</v>
      </c>
      <c r="X38" s="203" t="s">
        <v>78</v>
      </c>
      <c r="Y38" s="203" t="s">
        <v>213</v>
      </c>
      <c r="Z38" s="203" t="s">
        <v>237</v>
      </c>
      <c r="AA38" s="203" t="s">
        <v>336</v>
      </c>
      <c r="AB38" s="203" t="s">
        <v>337</v>
      </c>
      <c r="AC38" s="203" t="s">
        <v>351</v>
      </c>
      <c r="AD38" s="208">
        <v>2</v>
      </c>
      <c r="AE38" s="208" t="s">
        <v>352</v>
      </c>
      <c r="AF38" s="208" t="s">
        <v>353</v>
      </c>
      <c r="AG38" s="208" t="s">
        <v>354</v>
      </c>
      <c r="AH38" s="208" t="s">
        <v>87</v>
      </c>
      <c r="AI38" s="208" t="s">
        <v>355</v>
      </c>
      <c r="AJ38" s="205" t="s">
        <v>89</v>
      </c>
      <c r="AK38" s="204">
        <v>45391</v>
      </c>
      <c r="AL38" s="208">
        <v>0</v>
      </c>
      <c r="AM38" s="209" t="s">
        <v>336</v>
      </c>
      <c r="AN38" s="210">
        <v>4500398936</v>
      </c>
      <c r="AO38" s="209" t="s">
        <v>337</v>
      </c>
      <c r="AP38" s="209"/>
      <c r="AQ38" s="209" t="s">
        <v>72</v>
      </c>
      <c r="AR38" s="209" t="s">
        <v>91</v>
      </c>
      <c r="AS38" s="209" t="s">
        <v>356</v>
      </c>
      <c r="AT38" s="210">
        <v>5.0999999999999996</v>
      </c>
      <c r="AU38" s="211">
        <v>10</v>
      </c>
      <c r="AV38" s="212">
        <v>7</v>
      </c>
      <c r="AW38" s="213">
        <v>13073</v>
      </c>
      <c r="AX38" s="213">
        <v>5752.12</v>
      </c>
      <c r="AY38" s="210" t="s">
        <v>70</v>
      </c>
      <c r="AZ38" s="209" t="s">
        <v>93</v>
      </c>
      <c r="BA38" s="214" t="str">
        <f>+IF(Tabla467824[[#This Row],[TIPO VEHÍCULO]]=Tabla467824[[#This Row],[Columna2]], "IGUAL", "DISTINTO")</f>
        <v>IGUAL</v>
      </c>
      <c r="BB38" s="214" t="str">
        <f>+IF(Tabla467824[[#This Row],[Columna4]]=Tabla467824[[#This Row],[Combustible2]], "IGUAL", "DISTINTO")</f>
        <v>IGUAL</v>
      </c>
      <c r="BC38" s="202" t="s">
        <v>349</v>
      </c>
      <c r="BD38" s="215" cm="1">
        <f t="array" ref="BD38">IFERROR(INDEX('[1]Anexos FICHA TRA050'!$D$27:$D$44, MATCH(Tabla467824[[#This Row],[Columna5]]&amp;Tabla467824[[#This Row],[Columna4]], '[1]Anexos FICHA TRA050'!$E$27:$E$44&amp;'[1]Anexos FICHA TRA050'!$F$27:$F$44, 0)), "")</f>
        <v>6.99</v>
      </c>
      <c r="BE38" s="215">
        <f>IFERROR(INDEX('[1]Anexos FICHA TRA050'!$B$4:$B$7, MATCH(Tabla467824[[#This Row],[Columna4]], '[1]Anexos FICHA TRA050'!$C$4:$C$7, 0)), "")</f>
        <v>10</v>
      </c>
      <c r="BF38" s="215">
        <f>IFERROR(INDEX('[1]Anexos FICHA TRA050'!$C$14:$C$22, MATCH(Tabla467824[[#This Row],[Columna5]], '[1]Anexos FICHA TRA050'!$D$14:$D$22, 0)), "")</f>
        <v>17.920000000000002</v>
      </c>
      <c r="BG38" s="216">
        <f>IFERROR(INDEX('[1]Anexos FICHA TRA050'!$C$49:$C$54, MATCH(Tabla467824[[#This Row],[Columna5]], '[1]Anexos FICHA TRA050'!$D$49:$D$54, 0)), "")</f>
        <v>13073</v>
      </c>
      <c r="BH38" s="217">
        <f>+(((Tabla467824[[#This Row],[CVA2]]*Tabla467824[[#This Row],[f2]])-Tabla467824[[#This Row],[CVN2]])/100)*Tabla467824[[#This Row],[L2]]</f>
        <v>6795.3454000000002</v>
      </c>
      <c r="BI38" s="218"/>
      <c r="BJ38" s="218"/>
      <c r="BK38" s="218" t="str">
        <f>+IF(Tabla467824[[#This Row],[F]]=Tabla467824[[#This Row],[f2]], "IGUAL", "DISTINTO")</f>
        <v>IGUAL</v>
      </c>
      <c r="BL38" s="218" t="str">
        <f>+IF(Tabla467824[[#This Row],[CVN]]=Tabla467824[[#This Row],[CVN2]], "IGUAL", "DISTINTO")</f>
        <v>DISTINTO</v>
      </c>
      <c r="BM38" s="219" t="str">
        <f>+IF(Tabla467824[[#This Row],[L]]=Tabla467824[[#This Row],[L2]], "IGUAL", "DISTINTO")</f>
        <v>IGUAL</v>
      </c>
    </row>
    <row r="39" spans="1:146" x14ac:dyDescent="0.25">
      <c r="A39">
        <v>36</v>
      </c>
      <c r="B39" s="202" t="s">
        <v>357</v>
      </c>
      <c r="C39" s="203" t="s">
        <v>358</v>
      </c>
      <c r="D39" s="203" t="s">
        <v>70</v>
      </c>
      <c r="E39" s="203" t="s">
        <v>78</v>
      </c>
      <c r="F39" s="203" t="s">
        <v>78</v>
      </c>
      <c r="G39" s="203" t="s">
        <v>70</v>
      </c>
      <c r="H39" s="203" t="s">
        <v>72</v>
      </c>
      <c r="I39" s="203" t="s">
        <v>72</v>
      </c>
      <c r="J39" s="203" t="s">
        <v>72</v>
      </c>
      <c r="K39" s="203"/>
      <c r="L39" s="203" t="s">
        <v>72</v>
      </c>
      <c r="M39" s="203" t="s">
        <v>72</v>
      </c>
      <c r="N39" s="203"/>
      <c r="O39" s="203" t="s">
        <v>73</v>
      </c>
      <c r="P39" s="203" t="s">
        <v>200</v>
      </c>
      <c r="Q39" s="203" t="s">
        <v>201</v>
      </c>
      <c r="R39" s="203" t="s">
        <v>76</v>
      </c>
      <c r="S39" s="209">
        <v>43578</v>
      </c>
      <c r="T39" s="205">
        <v>45039</v>
      </c>
      <c r="U39" s="206">
        <v>1461</v>
      </c>
      <c r="V39" s="207">
        <v>2023</v>
      </c>
      <c r="W39" s="203" t="s">
        <v>77</v>
      </c>
      <c r="X39" s="203" t="s">
        <v>78</v>
      </c>
      <c r="Y39" s="203" t="s">
        <v>359</v>
      </c>
      <c r="Z39" s="203" t="s">
        <v>360</v>
      </c>
      <c r="AA39" s="203" t="s">
        <v>131</v>
      </c>
      <c r="AB39" s="203" t="s">
        <v>132</v>
      </c>
      <c r="AC39" s="203" t="s">
        <v>133</v>
      </c>
      <c r="AD39" s="208">
        <v>3</v>
      </c>
      <c r="AE39" s="208" t="s">
        <v>361</v>
      </c>
      <c r="AF39" s="208" t="s">
        <v>140</v>
      </c>
      <c r="AG39" s="208" t="s">
        <v>151</v>
      </c>
      <c r="AH39" s="208" t="s">
        <v>87</v>
      </c>
      <c r="AI39" s="208" t="s">
        <v>135</v>
      </c>
      <c r="AJ39" s="205" t="s">
        <v>89</v>
      </c>
      <c r="AK39" s="204">
        <v>45625</v>
      </c>
      <c r="AL39" s="208">
        <v>1</v>
      </c>
      <c r="AM39" s="209" t="s">
        <v>131</v>
      </c>
      <c r="AN39" s="209" t="s">
        <v>362</v>
      </c>
      <c r="AO39" s="209" t="s">
        <v>132</v>
      </c>
      <c r="AP39" s="209"/>
      <c r="AQ39" s="209" t="s">
        <v>72</v>
      </c>
      <c r="AR39" s="209" t="s">
        <v>91</v>
      </c>
      <c r="AS39" s="209" t="s">
        <v>363</v>
      </c>
      <c r="AT39" s="210">
        <v>5.0999999999999996</v>
      </c>
      <c r="AU39" s="211">
        <v>10</v>
      </c>
      <c r="AV39" s="212">
        <v>16.399999999999999</v>
      </c>
      <c r="AW39" s="213">
        <v>13073</v>
      </c>
      <c r="AX39" s="213">
        <v>4523.2580000000007</v>
      </c>
      <c r="AY39" s="210" t="s">
        <v>70</v>
      </c>
      <c r="AZ39" s="209" t="s">
        <v>93</v>
      </c>
      <c r="BA39" s="214" t="str">
        <f>+IF(Tabla467824[[#This Row],[TIPO VEHÍCULO]]=Tabla467824[[#This Row],[Columna2]], "IGUAL", "DISTINTO")</f>
        <v>IGUAL</v>
      </c>
      <c r="BB39" s="214" t="str">
        <f>+IF(Tabla467824[[#This Row],[Columna4]]=Tabla467824[[#This Row],[Combustible2]], "IGUAL", "DISTINTO")</f>
        <v>IGUAL</v>
      </c>
      <c r="BC39" s="202" t="s">
        <v>357</v>
      </c>
      <c r="BD39" s="215" cm="1">
        <f t="array" ref="BD39">IFERROR(INDEX('[1]Anexos FICHA TRA050'!$D$27:$D$44, MATCH(Tabla467824[[#This Row],[Columna5]]&amp;Tabla467824[[#This Row],[Columna4]], '[1]Anexos FICHA TRA050'!$E$27:$E$44&amp;'[1]Anexos FICHA TRA050'!$F$27:$F$44, 0)), "")</f>
        <v>6.99</v>
      </c>
      <c r="BE39" s="215">
        <f>IFERROR(INDEX('[1]Anexos FICHA TRA050'!$B$4:$B$7, MATCH(Tabla467824[[#This Row],[Columna4]], '[1]Anexos FICHA TRA050'!$C$4:$C$7, 0)), "")</f>
        <v>10</v>
      </c>
      <c r="BF39" s="215">
        <f>IFERROR(INDEX('[1]Anexos FICHA TRA050'!$C$14:$C$22, MATCH(Tabla467824[[#This Row],[Columna5]], '[1]Anexos FICHA TRA050'!$D$14:$D$22, 0)), "")</f>
        <v>17.920000000000002</v>
      </c>
      <c r="BG39" s="216">
        <f>IFERROR(INDEX('[1]Anexos FICHA TRA050'!$C$49:$C$54, MATCH(Tabla467824[[#This Row],[Columna5]], '[1]Anexos FICHA TRA050'!$D$49:$D$54, 0)), "")</f>
        <v>13073</v>
      </c>
      <c r="BH39" s="217">
        <f>+(((Tabla467824[[#This Row],[CVA2]]*Tabla467824[[#This Row],[f2]])-Tabla467824[[#This Row],[CVN2]])/100)*Tabla467824[[#This Row],[L2]]</f>
        <v>6795.3454000000002</v>
      </c>
      <c r="BI39" s="218"/>
      <c r="BJ39" s="218"/>
      <c r="BK39" s="218" t="str">
        <f>+IF(Tabla467824[[#This Row],[F]]=Tabla467824[[#This Row],[f2]], "IGUAL", "DISTINTO")</f>
        <v>IGUAL</v>
      </c>
      <c r="BL39" s="218" t="str">
        <f>+IF(Tabla467824[[#This Row],[CVN]]=Tabla467824[[#This Row],[CVN2]], "IGUAL", "DISTINTO")</f>
        <v>DISTINTO</v>
      </c>
      <c r="BM39" s="219" t="str">
        <f>+IF(Tabla467824[[#This Row],[L]]=Tabla467824[[#This Row],[L2]], "IGUAL", "DISTINTO")</f>
        <v>IGUAL</v>
      </c>
    </row>
    <row r="40" spans="1:146" x14ac:dyDescent="0.25">
      <c r="A40">
        <v>37</v>
      </c>
      <c r="B40" s="202" t="s">
        <v>364</v>
      </c>
      <c r="C40" s="203" t="s">
        <v>365</v>
      </c>
      <c r="D40" s="203" t="s">
        <v>70</v>
      </c>
      <c r="E40" s="203" t="s">
        <v>78</v>
      </c>
      <c r="F40" s="203" t="s">
        <v>78</v>
      </c>
      <c r="G40" s="203" t="s">
        <v>70</v>
      </c>
      <c r="H40" s="203" t="s">
        <v>72</v>
      </c>
      <c r="I40" s="203"/>
      <c r="J40" s="203" t="s">
        <v>72</v>
      </c>
      <c r="K40" s="203"/>
      <c r="L40" s="203" t="s">
        <v>72</v>
      </c>
      <c r="M40" s="203" t="s">
        <v>72</v>
      </c>
      <c r="N40" s="203"/>
      <c r="O40" s="203" t="s">
        <v>73</v>
      </c>
      <c r="P40" s="203" t="s">
        <v>200</v>
      </c>
      <c r="Q40" s="203" t="s">
        <v>201</v>
      </c>
      <c r="R40" s="203" t="s">
        <v>76</v>
      </c>
      <c r="S40" s="209">
        <v>43726</v>
      </c>
      <c r="T40" s="205">
        <v>45553</v>
      </c>
      <c r="U40" s="206">
        <v>1827</v>
      </c>
      <c r="V40" s="207">
        <v>2024</v>
      </c>
      <c r="W40" s="203" t="s">
        <v>77</v>
      </c>
      <c r="X40" s="203" t="s">
        <v>78</v>
      </c>
      <c r="Y40" s="203" t="s">
        <v>359</v>
      </c>
      <c r="Z40" s="203" t="s">
        <v>360</v>
      </c>
      <c r="AA40" s="203" t="s">
        <v>119</v>
      </c>
      <c r="AB40" s="203" t="s">
        <v>120</v>
      </c>
      <c r="AC40" s="203" t="s">
        <v>366</v>
      </c>
      <c r="AD40" s="208">
        <v>10</v>
      </c>
      <c r="AE40" s="208" t="s">
        <v>367</v>
      </c>
      <c r="AF40" s="208" t="s">
        <v>140</v>
      </c>
      <c r="AG40" s="208" t="s">
        <v>151</v>
      </c>
      <c r="AH40" s="208" t="s">
        <v>87</v>
      </c>
      <c r="AI40" s="208" t="s">
        <v>368</v>
      </c>
      <c r="AJ40" s="205" t="s">
        <v>89</v>
      </c>
      <c r="AK40" s="204">
        <v>45622</v>
      </c>
      <c r="AL40" s="208">
        <v>0</v>
      </c>
      <c r="AM40" s="209" t="s">
        <v>119</v>
      </c>
      <c r="AN40" s="209" t="s">
        <v>369</v>
      </c>
      <c r="AO40" s="209" t="s">
        <v>120</v>
      </c>
      <c r="AP40" s="209"/>
      <c r="AQ40" s="209" t="s">
        <v>72</v>
      </c>
      <c r="AR40" s="209" t="s">
        <v>91</v>
      </c>
      <c r="AS40" s="209" t="s">
        <v>370</v>
      </c>
      <c r="AT40" s="210">
        <v>5.0999999999999996</v>
      </c>
      <c r="AU40" s="211">
        <v>10</v>
      </c>
      <c r="AV40" s="212">
        <v>16.399999999999999</v>
      </c>
      <c r="AW40" s="213">
        <v>13073</v>
      </c>
      <c r="AX40" s="213">
        <v>4523.2580000000007</v>
      </c>
      <c r="AY40" s="210" t="s">
        <v>70</v>
      </c>
      <c r="AZ40" s="209" t="s">
        <v>93</v>
      </c>
      <c r="BA40" s="214" t="str">
        <f>+IF(Tabla467824[[#This Row],[TIPO VEHÍCULO]]=Tabla467824[[#This Row],[Columna2]], "IGUAL", "DISTINTO")</f>
        <v>IGUAL</v>
      </c>
      <c r="BB40" s="214" t="str">
        <f>+IF(Tabla467824[[#This Row],[Columna4]]=Tabla467824[[#This Row],[Combustible2]], "IGUAL", "DISTINTO")</f>
        <v>IGUAL</v>
      </c>
      <c r="BC40" s="202" t="s">
        <v>364</v>
      </c>
      <c r="BD40" s="215" cm="1">
        <f t="array" ref="BD40">IFERROR(INDEX('[1]Anexos FICHA TRA050'!$D$27:$D$44, MATCH(Tabla467824[[#This Row],[Columna5]]&amp;Tabla467824[[#This Row],[Columna4]], '[1]Anexos FICHA TRA050'!$E$27:$E$44&amp;'[1]Anexos FICHA TRA050'!$F$27:$F$44, 0)), "")</f>
        <v>6.99</v>
      </c>
      <c r="BE40" s="215">
        <f>IFERROR(INDEX('[1]Anexos FICHA TRA050'!$B$4:$B$7, MATCH(Tabla467824[[#This Row],[Columna4]], '[1]Anexos FICHA TRA050'!$C$4:$C$7, 0)), "")</f>
        <v>10</v>
      </c>
      <c r="BF40" s="215">
        <f>IFERROR(INDEX('[1]Anexos FICHA TRA050'!$C$14:$C$22, MATCH(Tabla467824[[#This Row],[Columna5]], '[1]Anexos FICHA TRA050'!$D$14:$D$22, 0)), "")</f>
        <v>17.920000000000002</v>
      </c>
      <c r="BG40" s="216">
        <f>IFERROR(INDEX('[1]Anexos FICHA TRA050'!$C$49:$C$54, MATCH(Tabla467824[[#This Row],[Columna5]], '[1]Anexos FICHA TRA050'!$D$49:$D$54, 0)), "")</f>
        <v>13073</v>
      </c>
      <c r="BH40" s="217">
        <f>+(((Tabla467824[[#This Row],[CVA2]]*Tabla467824[[#This Row],[f2]])-Tabla467824[[#This Row],[CVN2]])/100)*Tabla467824[[#This Row],[L2]]</f>
        <v>6795.3454000000002</v>
      </c>
      <c r="BI40" s="218"/>
      <c r="BJ40" s="218"/>
      <c r="BK40" s="218" t="str">
        <f>+IF(Tabla467824[[#This Row],[F]]=Tabla467824[[#This Row],[f2]], "IGUAL", "DISTINTO")</f>
        <v>IGUAL</v>
      </c>
      <c r="BL40" s="218" t="str">
        <f>+IF(Tabla467824[[#This Row],[CVN]]=Tabla467824[[#This Row],[CVN2]], "IGUAL", "DISTINTO")</f>
        <v>DISTINTO</v>
      </c>
      <c r="BM40" s="219" t="str">
        <f>+IF(Tabla467824[[#This Row],[L]]=Tabla467824[[#This Row],[L2]], "IGUAL", "DISTINTO")</f>
        <v>IGUAL</v>
      </c>
    </row>
    <row r="41" spans="1:146" x14ac:dyDescent="0.25">
      <c r="A41">
        <v>38</v>
      </c>
      <c r="B41" s="202" t="s">
        <v>371</v>
      </c>
      <c r="C41" s="203" t="s">
        <v>372</v>
      </c>
      <c r="D41" s="203" t="s">
        <v>70</v>
      </c>
      <c r="E41" s="203" t="s">
        <v>78</v>
      </c>
      <c r="F41" s="203" t="s">
        <v>78</v>
      </c>
      <c r="G41" s="203" t="s">
        <v>70</v>
      </c>
      <c r="H41" s="203" t="s">
        <v>72</v>
      </c>
      <c r="I41" s="203" t="s">
        <v>72</v>
      </c>
      <c r="J41" s="203" t="s">
        <v>72</v>
      </c>
      <c r="K41" s="203"/>
      <c r="L41" s="203" t="s">
        <v>72</v>
      </c>
      <c r="M41" s="203" t="s">
        <v>72</v>
      </c>
      <c r="N41" s="203"/>
      <c r="O41" s="203" t="s">
        <v>73</v>
      </c>
      <c r="P41" s="203" t="s">
        <v>200</v>
      </c>
      <c r="Q41" s="203" t="s">
        <v>201</v>
      </c>
      <c r="R41" s="203" t="s">
        <v>76</v>
      </c>
      <c r="S41" s="209">
        <v>43749</v>
      </c>
      <c r="T41" s="205">
        <v>45576</v>
      </c>
      <c r="U41" s="206">
        <v>1827</v>
      </c>
      <c r="V41" s="207">
        <v>2024</v>
      </c>
      <c r="W41" s="203" t="s">
        <v>77</v>
      </c>
      <c r="X41" s="203" t="s">
        <v>78</v>
      </c>
      <c r="Y41" s="203" t="s">
        <v>359</v>
      </c>
      <c r="Z41" s="203" t="s">
        <v>360</v>
      </c>
      <c r="AA41" s="203" t="s">
        <v>336</v>
      </c>
      <c r="AB41" s="203" t="s">
        <v>337</v>
      </c>
      <c r="AC41" s="203" t="s">
        <v>373</v>
      </c>
      <c r="AD41" s="208">
        <v>3</v>
      </c>
      <c r="AE41" s="208" t="s">
        <v>374</v>
      </c>
      <c r="AF41" s="208" t="s">
        <v>140</v>
      </c>
      <c r="AG41" s="208" t="s">
        <v>151</v>
      </c>
      <c r="AH41" s="208" t="s">
        <v>87</v>
      </c>
      <c r="AI41" s="208" t="s">
        <v>338</v>
      </c>
      <c r="AJ41" s="205" t="s">
        <v>89</v>
      </c>
      <c r="AK41" s="204">
        <v>45625</v>
      </c>
      <c r="AL41" s="208">
        <v>0</v>
      </c>
      <c r="AM41" s="209" t="s">
        <v>336</v>
      </c>
      <c r="AN41" s="209" t="s">
        <v>375</v>
      </c>
      <c r="AO41" s="209" t="s">
        <v>337</v>
      </c>
      <c r="AP41" s="209"/>
      <c r="AQ41" s="209" t="s">
        <v>72</v>
      </c>
      <c r="AR41" s="209" t="s">
        <v>91</v>
      </c>
      <c r="AS41" s="209" t="s">
        <v>376</v>
      </c>
      <c r="AT41" s="210">
        <v>5.0999999999999996</v>
      </c>
      <c r="AU41" s="211">
        <v>10</v>
      </c>
      <c r="AV41" s="212">
        <v>16.399999999999999</v>
      </c>
      <c r="AW41" s="213">
        <v>13073</v>
      </c>
      <c r="AX41" s="213">
        <v>4523.2580000000007</v>
      </c>
      <c r="AY41" s="210" t="s">
        <v>70</v>
      </c>
      <c r="AZ41" s="209" t="s">
        <v>93</v>
      </c>
      <c r="BA41" s="214" t="str">
        <f>+IF(Tabla467824[[#This Row],[TIPO VEHÍCULO]]=Tabla467824[[#This Row],[Columna2]], "IGUAL", "DISTINTO")</f>
        <v>IGUAL</v>
      </c>
      <c r="BB41" s="214" t="str">
        <f>+IF(Tabla467824[[#This Row],[Columna4]]=Tabla467824[[#This Row],[Combustible2]], "IGUAL", "DISTINTO")</f>
        <v>IGUAL</v>
      </c>
      <c r="BC41" s="202" t="s">
        <v>371</v>
      </c>
      <c r="BD41" s="215" cm="1">
        <f t="array" ref="BD41">IFERROR(INDEX('[1]Anexos FICHA TRA050'!$D$27:$D$44, MATCH(Tabla467824[[#This Row],[Columna5]]&amp;Tabla467824[[#This Row],[Columna4]], '[1]Anexos FICHA TRA050'!$E$27:$E$44&amp;'[1]Anexos FICHA TRA050'!$F$27:$F$44, 0)), "")</f>
        <v>6.99</v>
      </c>
      <c r="BE41" s="215">
        <f>IFERROR(INDEX('[1]Anexos FICHA TRA050'!$B$4:$B$7, MATCH(Tabla467824[[#This Row],[Columna4]], '[1]Anexos FICHA TRA050'!$C$4:$C$7, 0)), "")</f>
        <v>10</v>
      </c>
      <c r="BF41" s="215">
        <f>IFERROR(INDEX('[1]Anexos FICHA TRA050'!$C$14:$C$22, MATCH(Tabla467824[[#This Row],[Columna5]], '[1]Anexos FICHA TRA050'!$D$14:$D$22, 0)), "")</f>
        <v>17.920000000000002</v>
      </c>
      <c r="BG41" s="216">
        <f>IFERROR(INDEX('[1]Anexos FICHA TRA050'!$C$49:$C$54, MATCH(Tabla467824[[#This Row],[Columna5]], '[1]Anexos FICHA TRA050'!$D$49:$D$54, 0)), "")</f>
        <v>13073</v>
      </c>
      <c r="BH41" s="217">
        <f>+(((Tabla467824[[#This Row],[CVA2]]*Tabla467824[[#This Row],[f2]])-Tabla467824[[#This Row],[CVN2]])/100)*Tabla467824[[#This Row],[L2]]</f>
        <v>6795.3454000000002</v>
      </c>
      <c r="BI41" s="218"/>
      <c r="BJ41" s="218"/>
      <c r="BK41" s="218" t="str">
        <f>+IF(Tabla467824[[#This Row],[F]]=Tabla467824[[#This Row],[f2]], "IGUAL", "DISTINTO")</f>
        <v>IGUAL</v>
      </c>
      <c r="BL41" s="218" t="str">
        <f>+IF(Tabla467824[[#This Row],[CVN]]=Tabla467824[[#This Row],[CVN2]], "IGUAL", "DISTINTO")</f>
        <v>DISTINTO</v>
      </c>
      <c r="BM41" s="219" t="str">
        <f>+IF(Tabla467824[[#This Row],[L]]=Tabla467824[[#This Row],[L2]], "IGUAL", "DISTINTO")</f>
        <v>IGUAL</v>
      </c>
    </row>
    <row r="42" spans="1:146" x14ac:dyDescent="0.25">
      <c r="A42">
        <v>39</v>
      </c>
      <c r="B42" s="202" t="s">
        <v>377</v>
      </c>
      <c r="C42" s="203" t="s">
        <v>378</v>
      </c>
      <c r="D42" s="203" t="s">
        <v>70</v>
      </c>
      <c r="E42" s="203" t="s">
        <v>78</v>
      </c>
      <c r="F42" s="203" t="s">
        <v>78</v>
      </c>
      <c r="G42" s="203" t="s">
        <v>70</v>
      </c>
      <c r="H42" s="203" t="s">
        <v>72</v>
      </c>
      <c r="I42" s="203" t="s">
        <v>72</v>
      </c>
      <c r="J42" s="203" t="s">
        <v>72</v>
      </c>
      <c r="K42" s="203"/>
      <c r="L42" s="203" t="s">
        <v>72</v>
      </c>
      <c r="M42" s="203" t="s">
        <v>72</v>
      </c>
      <c r="N42" s="203"/>
      <c r="O42" s="203" t="s">
        <v>73</v>
      </c>
      <c r="P42" s="203" t="s">
        <v>200</v>
      </c>
      <c r="Q42" s="203" t="s">
        <v>201</v>
      </c>
      <c r="R42" s="203" t="s">
        <v>160</v>
      </c>
      <c r="S42" s="209">
        <v>43522</v>
      </c>
      <c r="T42" s="205">
        <v>45348</v>
      </c>
      <c r="U42" s="206">
        <v>1826</v>
      </c>
      <c r="V42" s="207">
        <v>2024</v>
      </c>
      <c r="W42" s="203" t="s">
        <v>161</v>
      </c>
      <c r="X42" s="203" t="s">
        <v>78</v>
      </c>
      <c r="Y42" s="203" t="s">
        <v>359</v>
      </c>
      <c r="Z42" s="203" t="s">
        <v>360</v>
      </c>
      <c r="AA42" s="203" t="s">
        <v>336</v>
      </c>
      <c r="AB42" s="203" t="s">
        <v>337</v>
      </c>
      <c r="AC42" s="203" t="s">
        <v>373</v>
      </c>
      <c r="AD42" s="208">
        <v>4</v>
      </c>
      <c r="AE42" s="208" t="s">
        <v>379</v>
      </c>
      <c r="AF42" s="208" t="s">
        <v>380</v>
      </c>
      <c r="AG42" s="208" t="s">
        <v>381</v>
      </c>
      <c r="AH42" s="208" t="s">
        <v>87</v>
      </c>
      <c r="AI42" s="208" t="s">
        <v>382</v>
      </c>
      <c r="AJ42" s="205" t="s">
        <v>89</v>
      </c>
      <c r="AK42" s="204">
        <v>45483</v>
      </c>
      <c r="AL42" s="208">
        <v>0</v>
      </c>
      <c r="AM42" s="209" t="s">
        <v>336</v>
      </c>
      <c r="AN42" s="210">
        <v>4500407442</v>
      </c>
      <c r="AO42" s="209" t="s">
        <v>337</v>
      </c>
      <c r="AP42" s="209"/>
      <c r="AQ42" s="209" t="s">
        <v>72</v>
      </c>
      <c r="AR42" s="209" t="s">
        <v>91</v>
      </c>
      <c r="AS42" s="209" t="s">
        <v>383</v>
      </c>
      <c r="AT42" s="210">
        <v>5.0999999999999996</v>
      </c>
      <c r="AU42" s="211">
        <v>10</v>
      </c>
      <c r="AV42" s="212">
        <v>20</v>
      </c>
      <c r="AW42" s="213">
        <v>13073</v>
      </c>
      <c r="AX42" s="213">
        <v>4052.63</v>
      </c>
      <c r="AY42" s="210" t="s">
        <v>70</v>
      </c>
      <c r="AZ42" s="209" t="s">
        <v>93</v>
      </c>
      <c r="BA42" s="214" t="str">
        <f>+IF(Tabla467824[[#This Row],[TIPO VEHÍCULO]]=Tabla467824[[#This Row],[Columna2]], "IGUAL", "DISTINTO")</f>
        <v>IGUAL</v>
      </c>
      <c r="BB42" s="214" t="str">
        <f>+IF(Tabla467824[[#This Row],[Columna4]]=Tabla467824[[#This Row],[Combustible2]], "IGUAL", "DISTINTO")</f>
        <v>IGUAL</v>
      </c>
      <c r="BC42" s="202" t="s">
        <v>377</v>
      </c>
      <c r="BD42" s="215" cm="1">
        <f t="array" ref="BD42">IFERROR(INDEX('[1]Anexos FICHA TRA050'!$D$27:$D$44, MATCH(Tabla467824[[#This Row],[Columna5]]&amp;Tabla467824[[#This Row],[Columna4]], '[1]Anexos FICHA TRA050'!$E$27:$E$44&amp;'[1]Anexos FICHA TRA050'!$F$27:$F$44, 0)), "")</f>
        <v>6.99</v>
      </c>
      <c r="BE42" s="215">
        <f>IFERROR(INDEX('[1]Anexos FICHA TRA050'!$B$4:$B$7, MATCH(Tabla467824[[#This Row],[Columna4]], '[1]Anexos FICHA TRA050'!$C$4:$C$7, 0)), "")</f>
        <v>10</v>
      </c>
      <c r="BF42" s="215">
        <f>IFERROR(INDEX('[1]Anexos FICHA TRA050'!$C$14:$C$22, MATCH(Tabla467824[[#This Row],[Columna5]], '[1]Anexos FICHA TRA050'!$D$14:$D$22, 0)), "")</f>
        <v>17.920000000000002</v>
      </c>
      <c r="BG42" s="216">
        <f>IFERROR(INDEX('[1]Anexos FICHA TRA050'!$C$49:$C$54, MATCH(Tabla467824[[#This Row],[Columna5]], '[1]Anexos FICHA TRA050'!$D$49:$D$54, 0)), "")</f>
        <v>13073</v>
      </c>
      <c r="BH42" s="217">
        <f>+(((Tabla467824[[#This Row],[CVA2]]*Tabla467824[[#This Row],[f2]])-Tabla467824[[#This Row],[CVN2]])/100)*Tabla467824[[#This Row],[L2]]</f>
        <v>6795.3454000000002</v>
      </c>
      <c r="BI42" s="218"/>
      <c r="BJ42" s="218"/>
      <c r="BK42" s="218" t="str">
        <f>+IF(Tabla467824[[#This Row],[F]]=Tabla467824[[#This Row],[f2]], "IGUAL", "DISTINTO")</f>
        <v>IGUAL</v>
      </c>
      <c r="BL42" s="218" t="str">
        <f>+IF(Tabla467824[[#This Row],[CVN]]=Tabla467824[[#This Row],[CVN2]], "IGUAL", "DISTINTO")</f>
        <v>DISTINTO</v>
      </c>
      <c r="BM42" s="219" t="str">
        <f>+IF(Tabla467824[[#This Row],[L]]=Tabla467824[[#This Row],[L2]], "IGUAL", "DISTINTO")</f>
        <v>IGUAL</v>
      </c>
    </row>
    <row r="43" spans="1:146" x14ac:dyDescent="0.25">
      <c r="A43">
        <v>40</v>
      </c>
      <c r="B43" s="202" t="s">
        <v>384</v>
      </c>
      <c r="C43" s="203" t="s">
        <v>385</v>
      </c>
      <c r="D43" s="203" t="s">
        <v>70</v>
      </c>
      <c r="E43" s="203" t="s">
        <v>78</v>
      </c>
      <c r="F43" s="203" t="s">
        <v>78</v>
      </c>
      <c r="G43" s="203" t="s">
        <v>70</v>
      </c>
      <c r="H43" s="203" t="s">
        <v>72</v>
      </c>
      <c r="I43" s="203"/>
      <c r="J43" s="203" t="s">
        <v>72</v>
      </c>
      <c r="K43" s="203"/>
      <c r="L43" s="203" t="s">
        <v>72</v>
      </c>
      <c r="M43" s="203" t="s">
        <v>72</v>
      </c>
      <c r="N43" s="203"/>
      <c r="O43" s="203" t="s">
        <v>73</v>
      </c>
      <c r="P43" s="203" t="s">
        <v>200</v>
      </c>
      <c r="Q43" s="203" t="s">
        <v>201</v>
      </c>
      <c r="R43" s="203" t="s">
        <v>76</v>
      </c>
      <c r="S43" s="209">
        <v>43584</v>
      </c>
      <c r="T43" s="205">
        <v>45045</v>
      </c>
      <c r="U43" s="206">
        <v>1461</v>
      </c>
      <c r="V43" s="207">
        <v>2023</v>
      </c>
      <c r="W43" s="203" t="s">
        <v>77</v>
      </c>
      <c r="X43" s="203" t="s">
        <v>78</v>
      </c>
      <c r="Y43" s="203" t="s">
        <v>359</v>
      </c>
      <c r="Z43" s="203" t="s">
        <v>360</v>
      </c>
      <c r="AA43" s="203" t="s">
        <v>119</v>
      </c>
      <c r="AB43" s="203" t="s">
        <v>120</v>
      </c>
      <c r="AC43" s="203" t="s">
        <v>386</v>
      </c>
      <c r="AD43" s="208">
        <v>11</v>
      </c>
      <c r="AE43" s="208" t="s">
        <v>387</v>
      </c>
      <c r="AF43" s="208" t="s">
        <v>85</v>
      </c>
      <c r="AG43" s="208" t="s">
        <v>86</v>
      </c>
      <c r="AH43" s="208" t="s">
        <v>87</v>
      </c>
      <c r="AI43" s="208" t="s">
        <v>152</v>
      </c>
      <c r="AJ43" s="205" t="s">
        <v>89</v>
      </c>
      <c r="AK43" s="204">
        <v>45645</v>
      </c>
      <c r="AL43" s="208">
        <v>1</v>
      </c>
      <c r="AM43" s="209" t="s">
        <v>119</v>
      </c>
      <c r="AN43" s="209" t="s">
        <v>388</v>
      </c>
      <c r="AO43" s="209" t="s">
        <v>120</v>
      </c>
      <c r="AP43" s="209"/>
      <c r="AQ43" s="209" t="s">
        <v>72</v>
      </c>
      <c r="AR43" s="209" t="s">
        <v>91</v>
      </c>
      <c r="AS43" s="209" t="s">
        <v>389</v>
      </c>
      <c r="AT43" s="210">
        <v>5.0999999999999996</v>
      </c>
      <c r="AU43" s="211">
        <v>10</v>
      </c>
      <c r="AV43" s="212">
        <v>17.3</v>
      </c>
      <c r="AW43" s="213">
        <v>13073</v>
      </c>
      <c r="AX43" s="213">
        <v>4405.6010000000006</v>
      </c>
      <c r="AY43" s="210" t="s">
        <v>70</v>
      </c>
      <c r="AZ43" s="209" t="s">
        <v>93</v>
      </c>
      <c r="BA43" s="214" t="str">
        <f>+IF(Tabla467824[[#This Row],[TIPO VEHÍCULO]]=Tabla467824[[#This Row],[Columna2]], "IGUAL", "DISTINTO")</f>
        <v>IGUAL</v>
      </c>
      <c r="BB43" s="214" t="str">
        <f>+IF(Tabla467824[[#This Row],[Columna4]]=Tabla467824[[#This Row],[Combustible2]], "IGUAL", "DISTINTO")</f>
        <v>IGUAL</v>
      </c>
      <c r="BC43" s="202" t="s">
        <v>384</v>
      </c>
      <c r="BD43" s="215" cm="1">
        <f t="array" ref="BD43">IFERROR(INDEX('[1]Anexos FICHA TRA050'!$D$27:$D$44, MATCH(Tabla467824[[#This Row],[Columna5]]&amp;Tabla467824[[#This Row],[Columna4]], '[1]Anexos FICHA TRA050'!$E$27:$E$44&amp;'[1]Anexos FICHA TRA050'!$F$27:$F$44, 0)), "")</f>
        <v>6.99</v>
      </c>
      <c r="BE43" s="215">
        <f>IFERROR(INDEX('[1]Anexos FICHA TRA050'!$B$4:$B$7, MATCH(Tabla467824[[#This Row],[Columna4]], '[1]Anexos FICHA TRA050'!$C$4:$C$7, 0)), "")</f>
        <v>10</v>
      </c>
      <c r="BF43" s="215">
        <f>IFERROR(INDEX('[1]Anexos FICHA TRA050'!$C$14:$C$22, MATCH(Tabla467824[[#This Row],[Columna5]], '[1]Anexos FICHA TRA050'!$D$14:$D$22, 0)), "")</f>
        <v>17.920000000000002</v>
      </c>
      <c r="BG43" s="216">
        <f>IFERROR(INDEX('[1]Anexos FICHA TRA050'!$C$49:$C$54, MATCH(Tabla467824[[#This Row],[Columna5]], '[1]Anexos FICHA TRA050'!$D$49:$D$54, 0)), "")</f>
        <v>13073</v>
      </c>
      <c r="BH43" s="217">
        <f>+(((Tabla467824[[#This Row],[CVA2]]*Tabla467824[[#This Row],[f2]])-Tabla467824[[#This Row],[CVN2]])/100)*Tabla467824[[#This Row],[L2]]</f>
        <v>6795.3454000000002</v>
      </c>
      <c r="BI43" s="218"/>
      <c r="BJ43" s="218"/>
      <c r="BK43" s="218" t="str">
        <f>+IF(Tabla467824[[#This Row],[F]]=Tabla467824[[#This Row],[f2]], "IGUAL", "DISTINTO")</f>
        <v>IGUAL</v>
      </c>
      <c r="BL43" s="218" t="str">
        <f>+IF(Tabla467824[[#This Row],[CVN]]=Tabla467824[[#This Row],[CVN2]], "IGUAL", "DISTINTO")</f>
        <v>DISTINTO</v>
      </c>
      <c r="BM43" s="219" t="str">
        <f>+IF(Tabla467824[[#This Row],[L]]=Tabla467824[[#This Row],[L2]], "IGUAL", "DISTINTO")</f>
        <v>IGUAL</v>
      </c>
    </row>
    <row r="44" spans="1:146" x14ac:dyDescent="0.25">
      <c r="A44">
        <v>41</v>
      </c>
      <c r="B44" s="202" t="s">
        <v>390</v>
      </c>
      <c r="C44" s="203" t="s">
        <v>391</v>
      </c>
      <c r="D44" s="203" t="s">
        <v>70</v>
      </c>
      <c r="E44" s="203" t="s">
        <v>78</v>
      </c>
      <c r="F44" s="203" t="s">
        <v>78</v>
      </c>
      <c r="G44" s="203" t="s">
        <v>70</v>
      </c>
      <c r="H44" s="203" t="s">
        <v>72</v>
      </c>
      <c r="I44" s="203"/>
      <c r="J44" s="203" t="s">
        <v>72</v>
      </c>
      <c r="K44" s="203"/>
      <c r="L44" s="203" t="s">
        <v>72</v>
      </c>
      <c r="M44" s="203" t="s">
        <v>72</v>
      </c>
      <c r="N44" s="203"/>
      <c r="O44" s="203" t="s">
        <v>73</v>
      </c>
      <c r="P44" s="203" t="s">
        <v>200</v>
      </c>
      <c r="Q44" s="203" t="s">
        <v>201</v>
      </c>
      <c r="R44" s="203" t="s">
        <v>76</v>
      </c>
      <c r="S44" s="209">
        <v>43747</v>
      </c>
      <c r="T44" s="205">
        <v>45208</v>
      </c>
      <c r="U44" s="206">
        <v>1461</v>
      </c>
      <c r="V44" s="207">
        <v>2023</v>
      </c>
      <c r="W44" s="203" t="s">
        <v>77</v>
      </c>
      <c r="X44" s="203" t="s">
        <v>78</v>
      </c>
      <c r="Y44" s="203" t="s">
        <v>359</v>
      </c>
      <c r="Z44" s="203" t="s">
        <v>360</v>
      </c>
      <c r="AA44" s="203" t="s">
        <v>131</v>
      </c>
      <c r="AB44" s="203" t="s">
        <v>132</v>
      </c>
      <c r="AC44" s="203" t="s">
        <v>392</v>
      </c>
      <c r="AD44" s="208">
        <v>4</v>
      </c>
      <c r="AE44" s="208" t="s">
        <v>393</v>
      </c>
      <c r="AF44" s="208" t="s">
        <v>85</v>
      </c>
      <c r="AG44" s="208" t="s">
        <v>86</v>
      </c>
      <c r="AH44" s="208" t="s">
        <v>87</v>
      </c>
      <c r="AI44" s="208" t="s">
        <v>318</v>
      </c>
      <c r="AJ44" s="205" t="s">
        <v>89</v>
      </c>
      <c r="AK44" s="204">
        <v>45625</v>
      </c>
      <c r="AL44" s="208">
        <v>1</v>
      </c>
      <c r="AM44" s="209" t="s">
        <v>131</v>
      </c>
      <c r="AN44" s="209" t="s">
        <v>394</v>
      </c>
      <c r="AO44" s="209" t="s">
        <v>132</v>
      </c>
      <c r="AP44" s="209"/>
      <c r="AQ44" s="209" t="s">
        <v>72</v>
      </c>
      <c r="AR44" s="209" t="s">
        <v>91</v>
      </c>
      <c r="AS44" s="209" t="s">
        <v>395</v>
      </c>
      <c r="AT44" s="210">
        <v>5.0999999999999996</v>
      </c>
      <c r="AU44" s="211">
        <v>10</v>
      </c>
      <c r="AV44" s="212">
        <v>17.3</v>
      </c>
      <c r="AW44" s="213">
        <v>13073</v>
      </c>
      <c r="AX44" s="213">
        <v>4405.6010000000006</v>
      </c>
      <c r="AY44" s="210" t="s">
        <v>70</v>
      </c>
      <c r="AZ44" s="209" t="s">
        <v>93</v>
      </c>
      <c r="BA44" s="214" t="str">
        <f>+IF(Tabla467824[[#This Row],[TIPO VEHÍCULO]]=Tabla467824[[#This Row],[Columna2]], "IGUAL", "DISTINTO")</f>
        <v>IGUAL</v>
      </c>
      <c r="BB44" s="214" t="str">
        <f>+IF(Tabla467824[[#This Row],[Columna4]]=Tabla467824[[#This Row],[Combustible2]], "IGUAL", "DISTINTO")</f>
        <v>IGUAL</v>
      </c>
      <c r="BC44" s="202" t="s">
        <v>390</v>
      </c>
      <c r="BD44" s="215" cm="1">
        <f t="array" ref="BD44">IFERROR(INDEX('[1]Anexos FICHA TRA050'!$D$27:$D$44, MATCH(Tabla467824[[#This Row],[Columna5]]&amp;Tabla467824[[#This Row],[Columna4]], '[1]Anexos FICHA TRA050'!$E$27:$E$44&amp;'[1]Anexos FICHA TRA050'!$F$27:$F$44, 0)), "")</f>
        <v>6.99</v>
      </c>
      <c r="BE44" s="215">
        <f>IFERROR(INDEX('[1]Anexos FICHA TRA050'!$B$4:$B$7, MATCH(Tabla467824[[#This Row],[Columna4]], '[1]Anexos FICHA TRA050'!$C$4:$C$7, 0)), "")</f>
        <v>10</v>
      </c>
      <c r="BF44" s="215">
        <f>IFERROR(INDEX('[1]Anexos FICHA TRA050'!$C$14:$C$22, MATCH(Tabla467824[[#This Row],[Columna5]], '[1]Anexos FICHA TRA050'!$D$14:$D$22, 0)), "")</f>
        <v>17.920000000000002</v>
      </c>
      <c r="BG44" s="216">
        <f>IFERROR(INDEX('[1]Anexos FICHA TRA050'!$C$49:$C$54, MATCH(Tabla467824[[#This Row],[Columna5]], '[1]Anexos FICHA TRA050'!$D$49:$D$54, 0)), "")</f>
        <v>13073</v>
      </c>
      <c r="BH44" s="217">
        <f>+(((Tabla467824[[#This Row],[CVA2]]*Tabla467824[[#This Row],[f2]])-Tabla467824[[#This Row],[CVN2]])/100)*Tabla467824[[#This Row],[L2]]</f>
        <v>6795.3454000000002</v>
      </c>
      <c r="BI44" s="218"/>
      <c r="BJ44" s="218"/>
      <c r="BK44" s="218" t="str">
        <f>+IF(Tabla467824[[#This Row],[F]]=Tabla467824[[#This Row],[f2]], "IGUAL", "DISTINTO")</f>
        <v>IGUAL</v>
      </c>
      <c r="BL44" s="218" t="str">
        <f>+IF(Tabla467824[[#This Row],[CVN]]=Tabla467824[[#This Row],[CVN2]], "IGUAL", "DISTINTO")</f>
        <v>DISTINTO</v>
      </c>
      <c r="BM44" s="219" t="str">
        <f>+IF(Tabla467824[[#This Row],[L]]=Tabla467824[[#This Row],[L2]], "IGUAL", "DISTINTO")</f>
        <v>IGUAL</v>
      </c>
    </row>
    <row r="45" spans="1:146" x14ac:dyDescent="0.25">
      <c r="A45">
        <v>42</v>
      </c>
      <c r="B45" s="202" t="s">
        <v>396</v>
      </c>
      <c r="C45" s="203" t="s">
        <v>397</v>
      </c>
      <c r="D45" s="203" t="s">
        <v>70</v>
      </c>
      <c r="E45" s="203" t="s">
        <v>78</v>
      </c>
      <c r="F45" s="203" t="s">
        <v>78</v>
      </c>
      <c r="G45" s="203" t="s">
        <v>70</v>
      </c>
      <c r="H45" s="203" t="s">
        <v>72</v>
      </c>
      <c r="I45" s="203"/>
      <c r="J45" s="203" t="s">
        <v>72</v>
      </c>
      <c r="K45" s="203"/>
      <c r="L45" s="203" t="s">
        <v>72</v>
      </c>
      <c r="M45" s="203" t="s">
        <v>72</v>
      </c>
      <c r="N45" s="203"/>
      <c r="O45" s="203" t="s">
        <v>73</v>
      </c>
      <c r="P45" s="203" t="s">
        <v>200</v>
      </c>
      <c r="Q45" s="203" t="s">
        <v>201</v>
      </c>
      <c r="R45" s="203" t="s">
        <v>76</v>
      </c>
      <c r="S45" s="209">
        <v>43619</v>
      </c>
      <c r="T45" s="205">
        <v>45476</v>
      </c>
      <c r="U45" s="206">
        <v>1857</v>
      </c>
      <c r="V45" s="207">
        <v>2024</v>
      </c>
      <c r="W45" s="203" t="s">
        <v>77</v>
      </c>
      <c r="X45" s="203" t="s">
        <v>78</v>
      </c>
      <c r="Y45" s="203" t="s">
        <v>359</v>
      </c>
      <c r="Z45" s="203" t="s">
        <v>360</v>
      </c>
      <c r="AA45" s="203" t="s">
        <v>119</v>
      </c>
      <c r="AB45" s="203" t="s">
        <v>120</v>
      </c>
      <c r="AC45" s="203" t="s">
        <v>366</v>
      </c>
      <c r="AD45" s="208">
        <v>12</v>
      </c>
      <c r="AE45" s="208" t="s">
        <v>398</v>
      </c>
      <c r="AF45" s="208" t="s">
        <v>85</v>
      </c>
      <c r="AG45" s="208" t="s">
        <v>86</v>
      </c>
      <c r="AH45" s="208" t="s">
        <v>87</v>
      </c>
      <c r="AI45" s="208" t="s">
        <v>325</v>
      </c>
      <c r="AJ45" s="205" t="s">
        <v>89</v>
      </c>
      <c r="AK45" s="204">
        <v>45645</v>
      </c>
      <c r="AL45" s="208">
        <v>0</v>
      </c>
      <c r="AM45" s="209" t="s">
        <v>119</v>
      </c>
      <c r="AN45" s="209" t="s">
        <v>399</v>
      </c>
      <c r="AO45" s="209" t="s">
        <v>120</v>
      </c>
      <c r="AP45" s="209"/>
      <c r="AQ45" s="209" t="s">
        <v>72</v>
      </c>
      <c r="AR45" s="209" t="s">
        <v>91</v>
      </c>
      <c r="AS45" s="209" t="s">
        <v>400</v>
      </c>
      <c r="AT45" s="210">
        <v>5.0999999999999996</v>
      </c>
      <c r="AU45" s="211">
        <v>10</v>
      </c>
      <c r="AV45" s="212">
        <v>17.3</v>
      </c>
      <c r="AW45" s="213">
        <v>13073</v>
      </c>
      <c r="AX45" s="213">
        <v>4405.6010000000006</v>
      </c>
      <c r="AY45" s="210" t="s">
        <v>70</v>
      </c>
      <c r="AZ45" s="209" t="s">
        <v>93</v>
      </c>
      <c r="BA45" s="214" t="str">
        <f>+IF(Tabla467824[[#This Row],[TIPO VEHÍCULO]]=Tabla467824[[#This Row],[Columna2]], "IGUAL", "DISTINTO")</f>
        <v>IGUAL</v>
      </c>
      <c r="BB45" s="214" t="str">
        <f>+IF(Tabla467824[[#This Row],[Columna4]]=Tabla467824[[#This Row],[Combustible2]], "IGUAL", "DISTINTO")</f>
        <v>IGUAL</v>
      </c>
      <c r="BC45" s="202" t="s">
        <v>396</v>
      </c>
      <c r="BD45" s="215" cm="1">
        <f t="array" ref="BD45">IFERROR(INDEX('[1]Anexos FICHA TRA050'!$D$27:$D$44, MATCH(Tabla467824[[#This Row],[Columna5]]&amp;Tabla467824[[#This Row],[Columna4]], '[1]Anexos FICHA TRA050'!$E$27:$E$44&amp;'[1]Anexos FICHA TRA050'!$F$27:$F$44, 0)), "")</f>
        <v>6.99</v>
      </c>
      <c r="BE45" s="215">
        <f>IFERROR(INDEX('[1]Anexos FICHA TRA050'!$B$4:$B$7, MATCH(Tabla467824[[#This Row],[Columna4]], '[1]Anexos FICHA TRA050'!$C$4:$C$7, 0)), "")</f>
        <v>10</v>
      </c>
      <c r="BF45" s="215">
        <f>IFERROR(INDEX('[1]Anexos FICHA TRA050'!$C$14:$C$22, MATCH(Tabla467824[[#This Row],[Columna5]], '[1]Anexos FICHA TRA050'!$D$14:$D$22, 0)), "")</f>
        <v>17.920000000000002</v>
      </c>
      <c r="BG45" s="216">
        <f>IFERROR(INDEX('[1]Anexos FICHA TRA050'!$C$49:$C$54, MATCH(Tabla467824[[#This Row],[Columna5]], '[1]Anexos FICHA TRA050'!$D$49:$D$54, 0)), "")</f>
        <v>13073</v>
      </c>
      <c r="BH45" s="217">
        <f>+(((Tabla467824[[#This Row],[CVA2]]*Tabla467824[[#This Row],[f2]])-Tabla467824[[#This Row],[CVN2]])/100)*Tabla467824[[#This Row],[L2]]</f>
        <v>6795.3454000000002</v>
      </c>
      <c r="BI45" s="218"/>
      <c r="BJ45" s="218"/>
      <c r="BK45" s="218" t="str">
        <f>+IF(Tabla467824[[#This Row],[F]]=Tabla467824[[#This Row],[f2]], "IGUAL", "DISTINTO")</f>
        <v>IGUAL</v>
      </c>
      <c r="BL45" s="218" t="str">
        <f>+IF(Tabla467824[[#This Row],[CVN]]=Tabla467824[[#This Row],[CVN2]], "IGUAL", "DISTINTO")</f>
        <v>DISTINTO</v>
      </c>
      <c r="BM45" s="219" t="str">
        <f>+IF(Tabla467824[[#This Row],[L]]=Tabla467824[[#This Row],[L2]], "IGUAL", "DISTINTO")</f>
        <v>IGUAL</v>
      </c>
    </row>
    <row r="46" spans="1:146" x14ac:dyDescent="0.25">
      <c r="A46">
        <v>43</v>
      </c>
      <c r="B46" s="202" t="s">
        <v>401</v>
      </c>
      <c r="C46" s="203" t="s">
        <v>402</v>
      </c>
      <c r="D46" s="203" t="s">
        <v>70</v>
      </c>
      <c r="E46" s="203" t="s">
        <v>78</v>
      </c>
      <c r="F46" s="203" t="s">
        <v>78</v>
      </c>
      <c r="G46" s="203" t="s">
        <v>70</v>
      </c>
      <c r="H46" s="203" t="s">
        <v>72</v>
      </c>
      <c r="I46" s="203" t="s">
        <v>72</v>
      </c>
      <c r="J46" s="203" t="s">
        <v>72</v>
      </c>
      <c r="K46" s="203"/>
      <c r="L46" s="203" t="s">
        <v>72</v>
      </c>
      <c r="M46" s="203" t="s">
        <v>72</v>
      </c>
      <c r="N46" s="203"/>
      <c r="O46" s="203" t="s">
        <v>73</v>
      </c>
      <c r="P46" s="203" t="s">
        <v>200</v>
      </c>
      <c r="Q46" s="203" t="s">
        <v>201</v>
      </c>
      <c r="R46" s="203" t="s">
        <v>76</v>
      </c>
      <c r="S46" s="209">
        <v>43749</v>
      </c>
      <c r="T46" s="205">
        <v>45576</v>
      </c>
      <c r="U46" s="206">
        <v>1827</v>
      </c>
      <c r="V46" s="207">
        <v>2024</v>
      </c>
      <c r="W46" s="203" t="s">
        <v>77</v>
      </c>
      <c r="X46" s="203" t="s">
        <v>78</v>
      </c>
      <c r="Y46" s="203" t="s">
        <v>359</v>
      </c>
      <c r="Z46" s="203" t="s">
        <v>360</v>
      </c>
      <c r="AA46" s="203" t="s">
        <v>403</v>
      </c>
      <c r="AB46" s="203" t="s">
        <v>404</v>
      </c>
      <c r="AC46" s="203" t="s">
        <v>405</v>
      </c>
      <c r="AD46" s="208">
        <v>1</v>
      </c>
      <c r="AE46" s="208" t="s">
        <v>406</v>
      </c>
      <c r="AF46" s="208" t="s">
        <v>85</v>
      </c>
      <c r="AG46" s="208" t="s">
        <v>86</v>
      </c>
      <c r="AH46" s="208" t="s">
        <v>87</v>
      </c>
      <c r="AI46" s="208" t="s">
        <v>407</v>
      </c>
      <c r="AJ46" s="205" t="s">
        <v>89</v>
      </c>
      <c r="AK46" s="204">
        <v>45645</v>
      </c>
      <c r="AL46" s="208">
        <v>0</v>
      </c>
      <c r="AM46" s="209" t="s">
        <v>403</v>
      </c>
      <c r="AN46" s="209" t="s">
        <v>408</v>
      </c>
      <c r="AO46" s="209" t="s">
        <v>404</v>
      </c>
      <c r="AP46" s="209"/>
      <c r="AQ46" s="209" t="s">
        <v>72</v>
      </c>
      <c r="AR46" s="209" t="s">
        <v>91</v>
      </c>
      <c r="AS46" s="209" t="s">
        <v>409</v>
      </c>
      <c r="AT46" s="210">
        <v>5.0999999999999996</v>
      </c>
      <c r="AU46" s="211">
        <v>10</v>
      </c>
      <c r="AV46" s="212">
        <v>17.3</v>
      </c>
      <c r="AW46" s="213">
        <v>13073</v>
      </c>
      <c r="AX46" s="213">
        <v>4405.6010000000006</v>
      </c>
      <c r="AY46" s="210" t="s">
        <v>70</v>
      </c>
      <c r="AZ46" s="209" t="s">
        <v>93</v>
      </c>
      <c r="BA46" s="214" t="str">
        <f>+IF(Tabla467824[[#This Row],[TIPO VEHÍCULO]]=Tabla467824[[#This Row],[Columna2]], "IGUAL", "DISTINTO")</f>
        <v>IGUAL</v>
      </c>
      <c r="BB46" s="214" t="str">
        <f>+IF(Tabla467824[[#This Row],[Columna4]]=Tabla467824[[#This Row],[Combustible2]], "IGUAL", "DISTINTO")</f>
        <v>IGUAL</v>
      </c>
      <c r="BC46" s="202" t="s">
        <v>401</v>
      </c>
      <c r="BD46" s="215" cm="1">
        <f t="array" ref="BD46">IFERROR(INDEX('[1]Anexos FICHA TRA050'!$D$27:$D$44, MATCH(Tabla467824[[#This Row],[Columna5]]&amp;Tabla467824[[#This Row],[Columna4]], '[1]Anexos FICHA TRA050'!$E$27:$E$44&amp;'[1]Anexos FICHA TRA050'!$F$27:$F$44, 0)), "")</f>
        <v>6.99</v>
      </c>
      <c r="BE46" s="215">
        <f>IFERROR(INDEX('[1]Anexos FICHA TRA050'!$B$4:$B$7, MATCH(Tabla467824[[#This Row],[Columna4]], '[1]Anexos FICHA TRA050'!$C$4:$C$7, 0)), "")</f>
        <v>10</v>
      </c>
      <c r="BF46" s="215">
        <f>IFERROR(INDEX('[1]Anexos FICHA TRA050'!$C$14:$C$22, MATCH(Tabla467824[[#This Row],[Columna5]], '[1]Anexos FICHA TRA050'!$D$14:$D$22, 0)), "")</f>
        <v>17.920000000000002</v>
      </c>
      <c r="BG46" s="216">
        <f>IFERROR(INDEX('[1]Anexos FICHA TRA050'!$C$49:$C$54, MATCH(Tabla467824[[#This Row],[Columna5]], '[1]Anexos FICHA TRA050'!$D$49:$D$54, 0)), "")</f>
        <v>13073</v>
      </c>
      <c r="BH46" s="217">
        <f>+(((Tabla467824[[#This Row],[CVA2]]*Tabla467824[[#This Row],[f2]])-Tabla467824[[#This Row],[CVN2]])/100)*Tabla467824[[#This Row],[L2]]</f>
        <v>6795.3454000000002</v>
      </c>
      <c r="BI46" s="218"/>
      <c r="BJ46" s="218"/>
      <c r="BK46" s="218" t="str">
        <f>+IF(Tabla467824[[#This Row],[F]]=Tabla467824[[#This Row],[f2]], "IGUAL", "DISTINTO")</f>
        <v>IGUAL</v>
      </c>
      <c r="BL46" s="218" t="str">
        <f>+IF(Tabla467824[[#This Row],[CVN]]=Tabla467824[[#This Row],[CVN2]], "IGUAL", "DISTINTO")</f>
        <v>DISTINTO</v>
      </c>
      <c r="BM46" s="219" t="str">
        <f>+IF(Tabla467824[[#This Row],[L]]=Tabla467824[[#This Row],[L2]], "IGUAL", "DISTINTO")</f>
        <v>IGUAL</v>
      </c>
    </row>
    <row r="47" spans="1:146" s="221" customFormat="1" hidden="1" x14ac:dyDescent="0.25">
      <c r="A47" s="221">
        <v>44</v>
      </c>
      <c r="B47" s="222" t="s">
        <v>410</v>
      </c>
      <c r="C47" s="203" t="s">
        <v>411</v>
      </c>
      <c r="D47" s="223" t="s">
        <v>412</v>
      </c>
      <c r="E47" s="223" t="s">
        <v>71</v>
      </c>
      <c r="F47" s="223" t="s">
        <v>71</v>
      </c>
      <c r="G47" s="224"/>
      <c r="H47" s="203"/>
      <c r="I47" s="203"/>
      <c r="J47" s="203"/>
      <c r="K47" s="203"/>
      <c r="L47" s="203" t="s">
        <v>72</v>
      </c>
      <c r="M47" s="203"/>
      <c r="N47" s="203"/>
      <c r="O47" s="203" t="s">
        <v>413</v>
      </c>
      <c r="P47" s="203" t="s">
        <v>414</v>
      </c>
      <c r="Q47" s="203" t="s">
        <v>415</v>
      </c>
      <c r="R47" s="203" t="s">
        <v>171</v>
      </c>
      <c r="S47" s="209">
        <v>42116</v>
      </c>
      <c r="T47" s="205">
        <v>45382</v>
      </c>
      <c r="U47" s="206">
        <v>3266</v>
      </c>
      <c r="V47" s="207">
        <v>2024</v>
      </c>
      <c r="W47" s="203" t="s">
        <v>172</v>
      </c>
      <c r="X47" s="203" t="s">
        <v>202</v>
      </c>
      <c r="Y47" s="203" t="s">
        <v>416</v>
      </c>
      <c r="Z47" s="203" t="s">
        <v>417</v>
      </c>
      <c r="AA47" s="203" t="s">
        <v>119</v>
      </c>
      <c r="AB47" s="203" t="s">
        <v>120</v>
      </c>
      <c r="AC47" s="203" t="s">
        <v>366</v>
      </c>
      <c r="AD47" s="208">
        <v>13</v>
      </c>
      <c r="AE47" s="208" t="s">
        <v>418</v>
      </c>
      <c r="AF47" s="208" t="s">
        <v>85</v>
      </c>
      <c r="AG47" s="208" t="s">
        <v>86</v>
      </c>
      <c r="AH47" s="208" t="s">
        <v>87</v>
      </c>
      <c r="AI47" s="208" t="s">
        <v>419</v>
      </c>
      <c r="AJ47" s="205" t="s">
        <v>89</v>
      </c>
      <c r="AK47" s="204">
        <v>45645</v>
      </c>
      <c r="AL47" s="208">
        <v>0</v>
      </c>
      <c r="AM47" s="209" t="s">
        <v>119</v>
      </c>
      <c r="AN47" s="209" t="s">
        <v>420</v>
      </c>
      <c r="AO47" s="209" t="s">
        <v>120</v>
      </c>
      <c r="AP47" s="209"/>
      <c r="AQ47" s="209" t="s">
        <v>72</v>
      </c>
      <c r="AR47" s="209" t="s">
        <v>91</v>
      </c>
      <c r="AS47" s="209" t="s">
        <v>421</v>
      </c>
      <c r="AT47" s="210">
        <v>5.0999999999999996</v>
      </c>
      <c r="AU47" s="225">
        <v>9.19</v>
      </c>
      <c r="AV47" s="226">
        <v>17.3</v>
      </c>
      <c r="AW47" s="227">
        <v>13073</v>
      </c>
      <c r="AX47" s="227">
        <v>3865.5553699999987</v>
      </c>
      <c r="AY47" s="228" t="s">
        <v>70</v>
      </c>
      <c r="AZ47" s="228" t="s">
        <v>255</v>
      </c>
      <c r="BA47" s="229" t="str">
        <f>+IF(Tabla467824[[#This Row],[TIPO VEHÍCULO]]=Tabla467824[[#This Row],[Columna2]], "IGUAL", "DISTINTO")</f>
        <v>DISTINTO</v>
      </c>
      <c r="BB47" s="229" t="str">
        <f>+IF(Tabla467824[[#This Row],[Columna4]]=Tabla467824[[#This Row],[Combustible2]], "IGUAL", "DISTINTO")</f>
        <v>DISTINTO</v>
      </c>
      <c r="BC47" s="222" t="s">
        <v>410</v>
      </c>
      <c r="BD47" s="230" t="str" cm="1">
        <f t="array" ref="BD47">IFERROR(INDEX('[1]Anexos FICHA TRA050'!$D$27:$D$44, MATCH(Tabla467824[[#This Row],[Columna5]]&amp;Tabla467824[[#This Row],[Columna4]], '[1]Anexos FICHA TRA050'!$E$27:$E$44&amp;'[1]Anexos FICHA TRA050'!$F$27:$F$44, 0)), "")</f>
        <v/>
      </c>
      <c r="BE47" s="230">
        <f>IFERROR(INDEX('[1]Anexos FICHA TRA050'!$B$4:$B$7, MATCH(Tabla467824[[#This Row],[Columna4]], '[1]Anexos FICHA TRA050'!$C$4:$C$7, 0)), "")</f>
        <v>9.19</v>
      </c>
      <c r="BF47" s="230" t="str">
        <f>IFERROR(INDEX('[1]Anexos FICHA TRA050'!$C$14:$C$22, MATCH(Tabla467824[[#This Row],[Columna5]], '[1]Anexos FICHA TRA050'!$D$14:$D$22, 0)), "")</f>
        <v/>
      </c>
      <c r="BG47" s="231" t="str">
        <f>IFERROR(INDEX('[1]Anexos FICHA TRA050'!$C$49:$C$54, MATCH(Tabla467824[[#This Row],[Columna5]], '[1]Anexos FICHA TRA050'!$D$49:$D$54, 0)), "")</f>
        <v/>
      </c>
      <c r="BH47" s="232" t="e">
        <f>+(((Tabla467824[[#This Row],[CVA2]]*Tabla467824[[#This Row],[f2]])-Tabla467824[[#This Row],[CVN2]])/100)*Tabla467824[[#This Row],[L2]]</f>
        <v>#VALUE!</v>
      </c>
      <c r="BI47" s="230" t="s">
        <v>422</v>
      </c>
      <c r="BJ47" s="218"/>
      <c r="BK47" s="218" t="str">
        <f>+IF(Tabla467824[[#This Row],[F]]=Tabla467824[[#This Row],[f2]], "IGUAL", "DISTINTO")</f>
        <v>IGUAL</v>
      </c>
      <c r="BL47" s="218" t="str">
        <f>+IF(Tabla467824[[#This Row],[CVN]]=Tabla467824[[#This Row],[CVN2]], "IGUAL", "DISTINTO")</f>
        <v>DISTINTO</v>
      </c>
      <c r="BM47" s="219" t="str">
        <f>+IF(Tabla467824[[#This Row],[L]]=Tabla467824[[#This Row],[L2]], "IGUAL", "DISTINTO")</f>
        <v>DISTINTO</v>
      </c>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row>
    <row r="48" spans="1:146" x14ac:dyDescent="0.25">
      <c r="A48">
        <v>45</v>
      </c>
      <c r="B48" s="202" t="s">
        <v>423</v>
      </c>
      <c r="C48" s="203" t="s">
        <v>424</v>
      </c>
      <c r="D48" s="214" t="s">
        <v>128</v>
      </c>
      <c r="E48" s="203" t="s">
        <v>425</v>
      </c>
      <c r="F48" s="203" t="s">
        <v>78</v>
      </c>
      <c r="G48" s="203" t="s">
        <v>128</v>
      </c>
      <c r="H48" s="203" t="s">
        <v>72</v>
      </c>
      <c r="I48" s="203" t="s">
        <v>72</v>
      </c>
      <c r="J48" s="203" t="s">
        <v>72</v>
      </c>
      <c r="K48" s="203"/>
      <c r="L48" s="203" t="s">
        <v>72</v>
      </c>
      <c r="M48" s="203" t="s">
        <v>72</v>
      </c>
      <c r="N48" s="203"/>
      <c r="O48" s="203" t="s">
        <v>129</v>
      </c>
      <c r="P48" s="203" t="s">
        <v>74</v>
      </c>
      <c r="Q48" s="203" t="s">
        <v>75</v>
      </c>
      <c r="R48" s="203" t="s">
        <v>76</v>
      </c>
      <c r="S48" s="204">
        <v>45075</v>
      </c>
      <c r="T48" s="205">
        <v>45189</v>
      </c>
      <c r="U48" s="206">
        <v>114</v>
      </c>
      <c r="V48" s="207">
        <v>2023</v>
      </c>
      <c r="W48" s="203" t="s">
        <v>77</v>
      </c>
      <c r="X48" s="203" t="s">
        <v>78</v>
      </c>
      <c r="Y48" s="203" t="s">
        <v>380</v>
      </c>
      <c r="Z48" s="203" t="s">
        <v>426</v>
      </c>
      <c r="AA48" s="203" t="s">
        <v>131</v>
      </c>
      <c r="AB48" s="203" t="s">
        <v>132</v>
      </c>
      <c r="AC48" s="203" t="s">
        <v>427</v>
      </c>
      <c r="AD48" s="208">
        <v>5</v>
      </c>
      <c r="AE48" s="208" t="s">
        <v>428</v>
      </c>
      <c r="AF48" s="208" t="s">
        <v>140</v>
      </c>
      <c r="AG48" s="208" t="s">
        <v>151</v>
      </c>
      <c r="AH48" s="208" t="s">
        <v>87</v>
      </c>
      <c r="AI48" s="208" t="s">
        <v>429</v>
      </c>
      <c r="AJ48" s="205" t="s">
        <v>89</v>
      </c>
      <c r="AK48" s="204">
        <v>45625</v>
      </c>
      <c r="AL48" s="208">
        <v>1</v>
      </c>
      <c r="AM48" s="209" t="s">
        <v>131</v>
      </c>
      <c r="AN48" s="209" t="s">
        <v>430</v>
      </c>
      <c r="AO48" s="209" t="s">
        <v>132</v>
      </c>
      <c r="AP48" s="209"/>
      <c r="AQ48" s="209" t="s">
        <v>72</v>
      </c>
      <c r="AR48" s="209" t="s">
        <v>91</v>
      </c>
      <c r="AS48" s="209" t="s">
        <v>431</v>
      </c>
      <c r="AT48" s="210">
        <v>5.6</v>
      </c>
      <c r="AU48" s="211">
        <v>10</v>
      </c>
      <c r="AV48" s="212">
        <v>16.399999999999999</v>
      </c>
      <c r="AW48" s="213">
        <v>15815</v>
      </c>
      <c r="AX48" s="213">
        <v>6262.7400000000007</v>
      </c>
      <c r="AY48" s="210" t="s">
        <v>128</v>
      </c>
      <c r="AZ48" s="209" t="s">
        <v>93</v>
      </c>
      <c r="BA48" s="214" t="str">
        <f>+IF(Tabla467824[[#This Row],[TIPO VEHÍCULO]]=Tabla467824[[#This Row],[Columna2]], "IGUAL", "DISTINTO")</f>
        <v>IGUAL</v>
      </c>
      <c r="BB48" s="214" t="str">
        <f>+IF(Tabla467824[[#This Row],[Columna4]]=Tabla467824[[#This Row],[Combustible2]], "IGUAL", "DISTINTO")</f>
        <v>IGUAL</v>
      </c>
      <c r="BC48" s="202" t="s">
        <v>423</v>
      </c>
      <c r="BD48" s="215" cm="1">
        <f t="array" ref="BD48">IFERROR(INDEX('[1]Anexos FICHA TRA050'!$D$27:$D$44, MATCH(Tabla467824[[#This Row],[Columna5]]&amp;Tabla467824[[#This Row],[Columna4]], '[1]Anexos FICHA TRA050'!$E$27:$E$44&amp;'[1]Anexos FICHA TRA050'!$F$27:$F$44, 0)), "")</f>
        <v>5.63</v>
      </c>
      <c r="BE48" s="215">
        <f>IFERROR(INDEX('[1]Anexos FICHA TRA050'!$B$4:$B$7, MATCH(Tabla467824[[#This Row],[Columna4]], '[1]Anexos FICHA TRA050'!$C$4:$C$7, 0)), "")</f>
        <v>10</v>
      </c>
      <c r="BF48" s="215">
        <f>IFERROR(INDEX('[1]Anexos FICHA TRA050'!$C$14:$C$22, MATCH(Tabla467824[[#This Row],[Columna5]], '[1]Anexos FICHA TRA050'!$D$14:$D$22, 0)), "")</f>
        <v>20.84</v>
      </c>
      <c r="BG48" s="216">
        <f>IFERROR(INDEX('[1]Anexos FICHA TRA050'!$C$49:$C$54, MATCH(Tabla467824[[#This Row],[Columna5]], '[1]Anexos FICHA TRA050'!$D$49:$D$54, 0)), "")</f>
        <v>15815</v>
      </c>
      <c r="BH48" s="217">
        <f>+(((Tabla467824[[#This Row],[CVA2]]*Tabla467824[[#This Row],[f2]])-Tabla467824[[#This Row],[CVN2]])/100)*Tabla467824[[#This Row],[L2]]</f>
        <v>5607.9989999999989</v>
      </c>
      <c r="BI48" s="218"/>
      <c r="BJ48" s="218"/>
      <c r="BK48" s="218" t="str">
        <f>+IF(Tabla467824[[#This Row],[F]]=Tabla467824[[#This Row],[f2]], "IGUAL", "DISTINTO")</f>
        <v>IGUAL</v>
      </c>
      <c r="BL48" s="218" t="str">
        <f>+IF(Tabla467824[[#This Row],[CVN]]=Tabla467824[[#This Row],[CVN2]], "IGUAL", "DISTINTO")</f>
        <v>DISTINTO</v>
      </c>
      <c r="BM48" s="219" t="str">
        <f>+IF(Tabla467824[[#This Row],[L]]=Tabla467824[[#This Row],[L2]], "IGUAL", "DISTINTO")</f>
        <v>IGUAL</v>
      </c>
    </row>
    <row r="49" spans="1:146" x14ac:dyDescent="0.25">
      <c r="A49">
        <v>46</v>
      </c>
      <c r="B49" s="202" t="s">
        <v>432</v>
      </c>
      <c r="C49" s="203" t="s">
        <v>433</v>
      </c>
      <c r="D49" s="203" t="s">
        <v>70</v>
      </c>
      <c r="E49" s="203" t="s">
        <v>78</v>
      </c>
      <c r="F49" s="203" t="s">
        <v>78</v>
      </c>
      <c r="G49" s="203" t="s">
        <v>70</v>
      </c>
      <c r="H49" s="203" t="s">
        <v>72</v>
      </c>
      <c r="I49" s="203"/>
      <c r="J49" s="203" t="s">
        <v>72</v>
      </c>
      <c r="K49" s="203"/>
      <c r="L49" s="203" t="s">
        <v>72</v>
      </c>
      <c r="M49" s="203" t="s">
        <v>72</v>
      </c>
      <c r="N49" s="203"/>
      <c r="O49" s="203" t="s">
        <v>73</v>
      </c>
      <c r="P49" s="203" t="s">
        <v>74</v>
      </c>
      <c r="Q49" s="203" t="s">
        <v>75</v>
      </c>
      <c r="R49" s="203" t="s">
        <v>76</v>
      </c>
      <c r="S49" s="204">
        <v>45202</v>
      </c>
      <c r="T49" s="205">
        <v>45278</v>
      </c>
      <c r="U49" s="206">
        <v>76</v>
      </c>
      <c r="V49" s="207">
        <v>2023</v>
      </c>
      <c r="W49" s="203" t="s">
        <v>77</v>
      </c>
      <c r="X49" s="203" t="s">
        <v>78</v>
      </c>
      <c r="Y49" s="203" t="s">
        <v>85</v>
      </c>
      <c r="Z49" s="203" t="s">
        <v>434</v>
      </c>
      <c r="AA49" s="203" t="s">
        <v>102</v>
      </c>
      <c r="AB49" s="203" t="s">
        <v>103</v>
      </c>
      <c r="AC49" s="203" t="s">
        <v>104</v>
      </c>
      <c r="AD49" s="208">
        <v>4</v>
      </c>
      <c r="AE49" s="208" t="s">
        <v>435</v>
      </c>
      <c r="AF49" s="208" t="s">
        <v>85</v>
      </c>
      <c r="AG49" s="208" t="s">
        <v>114</v>
      </c>
      <c r="AH49" s="208" t="s">
        <v>87</v>
      </c>
      <c r="AI49" s="208" t="s">
        <v>115</v>
      </c>
      <c r="AJ49" s="205" t="s">
        <v>108</v>
      </c>
      <c r="AK49" s="204">
        <v>45135</v>
      </c>
      <c r="AL49" s="208">
        <v>0</v>
      </c>
      <c r="AM49" s="209" t="s">
        <v>102</v>
      </c>
      <c r="AN49" s="210">
        <v>4500351520</v>
      </c>
      <c r="AO49" s="209" t="s">
        <v>103</v>
      </c>
      <c r="AP49" s="209"/>
      <c r="AQ49" s="209" t="s">
        <v>72</v>
      </c>
      <c r="AR49" s="209" t="s">
        <v>109</v>
      </c>
      <c r="AS49" s="209" t="s">
        <v>436</v>
      </c>
      <c r="AT49" s="210">
        <v>5.0999999999999996</v>
      </c>
      <c r="AU49" s="211">
        <v>10</v>
      </c>
      <c r="AV49" s="212">
        <v>17.3</v>
      </c>
      <c r="AW49" s="213">
        <v>13073</v>
      </c>
      <c r="AX49" s="213">
        <v>4405.6010000000006</v>
      </c>
      <c r="AY49" s="210" t="s">
        <v>70</v>
      </c>
      <c r="AZ49" s="209" t="s">
        <v>93</v>
      </c>
      <c r="BA49" s="214" t="str">
        <f>+IF(Tabla467824[[#This Row],[TIPO VEHÍCULO]]=Tabla467824[[#This Row],[Columna2]], "IGUAL", "DISTINTO")</f>
        <v>IGUAL</v>
      </c>
      <c r="BB49" s="214" t="str">
        <f>+IF(Tabla467824[[#This Row],[Columna4]]=Tabla467824[[#This Row],[Combustible2]], "IGUAL", "DISTINTO")</f>
        <v>IGUAL</v>
      </c>
      <c r="BC49" s="202" t="s">
        <v>432</v>
      </c>
      <c r="BD49" s="215" cm="1">
        <f t="array" ref="BD49">IFERROR(INDEX('[1]Anexos FICHA TRA050'!$D$27:$D$44, MATCH(Tabla467824[[#This Row],[Columna5]]&amp;Tabla467824[[#This Row],[Columna4]], '[1]Anexos FICHA TRA050'!$E$27:$E$44&amp;'[1]Anexos FICHA TRA050'!$F$27:$F$44, 0)), "")</f>
        <v>6.99</v>
      </c>
      <c r="BE49" s="215">
        <f>IFERROR(INDEX('[1]Anexos FICHA TRA050'!$B$4:$B$7, MATCH(Tabla467824[[#This Row],[Columna4]], '[1]Anexos FICHA TRA050'!$C$4:$C$7, 0)), "")</f>
        <v>10</v>
      </c>
      <c r="BF49" s="215">
        <f>IFERROR(INDEX('[1]Anexos FICHA TRA050'!$C$14:$C$22, MATCH(Tabla467824[[#This Row],[Columna5]], '[1]Anexos FICHA TRA050'!$D$14:$D$22, 0)), "")</f>
        <v>17.920000000000002</v>
      </c>
      <c r="BG49" s="216">
        <f>IFERROR(INDEX('[1]Anexos FICHA TRA050'!$C$49:$C$54, MATCH(Tabla467824[[#This Row],[Columna5]], '[1]Anexos FICHA TRA050'!$D$49:$D$54, 0)), "")</f>
        <v>13073</v>
      </c>
      <c r="BH49" s="217">
        <f>+(((Tabla467824[[#This Row],[CVA2]]*Tabla467824[[#This Row],[f2]])-Tabla467824[[#This Row],[CVN2]])/100)*Tabla467824[[#This Row],[L2]]</f>
        <v>6795.3454000000002</v>
      </c>
      <c r="BI49" s="218"/>
      <c r="BJ49" s="218"/>
      <c r="BK49" s="218" t="str">
        <f>+IF(Tabla467824[[#This Row],[F]]=Tabla467824[[#This Row],[f2]], "IGUAL", "DISTINTO")</f>
        <v>IGUAL</v>
      </c>
      <c r="BL49" s="218" t="str">
        <f>+IF(Tabla467824[[#This Row],[CVN]]=Tabla467824[[#This Row],[CVN2]], "IGUAL", "DISTINTO")</f>
        <v>DISTINTO</v>
      </c>
      <c r="BM49" s="219" t="str">
        <f>+IF(Tabla467824[[#This Row],[L]]=Tabla467824[[#This Row],[L2]], "IGUAL", "DISTINTO")</f>
        <v>IGUAL</v>
      </c>
    </row>
    <row r="50" spans="1:146" x14ac:dyDescent="0.25">
      <c r="A50">
        <v>47</v>
      </c>
      <c r="B50" s="202" t="s">
        <v>437</v>
      </c>
      <c r="C50" s="203" t="s">
        <v>438</v>
      </c>
      <c r="D50" s="233" t="s">
        <v>70</v>
      </c>
      <c r="E50" s="233" t="s">
        <v>78</v>
      </c>
      <c r="F50" s="203" t="s">
        <v>78</v>
      </c>
      <c r="G50" s="203" t="s">
        <v>70</v>
      </c>
      <c r="H50" s="203"/>
      <c r="I50" s="203"/>
      <c r="J50" s="203" t="s">
        <v>72</v>
      </c>
      <c r="K50" s="203"/>
      <c r="L50" s="203"/>
      <c r="M50" s="203" t="s">
        <v>249</v>
      </c>
      <c r="N50" s="203" t="s">
        <v>249</v>
      </c>
      <c r="O50" s="203" t="s">
        <v>73</v>
      </c>
      <c r="P50" s="203" t="s">
        <v>74</v>
      </c>
      <c r="Q50" s="203" t="s">
        <v>75</v>
      </c>
      <c r="R50" s="203" t="s">
        <v>76</v>
      </c>
      <c r="S50" s="204">
        <v>44958</v>
      </c>
      <c r="T50" s="205">
        <v>44984</v>
      </c>
      <c r="U50" s="206">
        <v>26</v>
      </c>
      <c r="V50" s="207">
        <v>2023</v>
      </c>
      <c r="W50" s="203" t="s">
        <v>77</v>
      </c>
      <c r="X50" s="203" t="s">
        <v>78</v>
      </c>
      <c r="Y50" s="203" t="s">
        <v>85</v>
      </c>
      <c r="Z50" s="203" t="s">
        <v>439</v>
      </c>
      <c r="AA50" s="203" t="s">
        <v>102</v>
      </c>
      <c r="AB50" s="203" t="s">
        <v>103</v>
      </c>
      <c r="AC50" s="203" t="s">
        <v>440</v>
      </c>
      <c r="AD50" s="208">
        <v>5</v>
      </c>
      <c r="AE50" s="208" t="s">
        <v>441</v>
      </c>
      <c r="AF50" s="208" t="s">
        <v>79</v>
      </c>
      <c r="AG50" s="208" t="s">
        <v>442</v>
      </c>
      <c r="AH50" s="208" t="s">
        <v>87</v>
      </c>
      <c r="AI50" s="208" t="s">
        <v>107</v>
      </c>
      <c r="AJ50" s="205" t="s">
        <v>108</v>
      </c>
      <c r="AK50" s="204">
        <v>45133</v>
      </c>
      <c r="AL50" s="208">
        <v>0</v>
      </c>
      <c r="AM50" s="209" t="s">
        <v>102</v>
      </c>
      <c r="AN50" s="210">
        <v>4500370216</v>
      </c>
      <c r="AO50" s="209" t="s">
        <v>103</v>
      </c>
      <c r="AP50" s="209"/>
      <c r="AQ50" s="209" t="s">
        <v>72</v>
      </c>
      <c r="AR50" s="209" t="s">
        <v>109</v>
      </c>
      <c r="AS50" s="209" t="s">
        <v>443</v>
      </c>
      <c r="AT50" s="210">
        <v>5.0999999999999996</v>
      </c>
      <c r="AU50" s="211">
        <v>10</v>
      </c>
      <c r="AV50" s="212">
        <v>22.7</v>
      </c>
      <c r="AW50" s="213">
        <v>13073</v>
      </c>
      <c r="AX50" s="213">
        <v>3699.6590000000006</v>
      </c>
      <c r="AY50" s="210" t="s">
        <v>70</v>
      </c>
      <c r="AZ50" s="209" t="s">
        <v>255</v>
      </c>
      <c r="BA50" s="214" t="str">
        <f>+IF(Tabla467824[[#This Row],[TIPO VEHÍCULO]]=Tabla467824[[#This Row],[Columna2]], "IGUAL", "DISTINTO")</f>
        <v>IGUAL</v>
      </c>
      <c r="BB50" s="214" t="str">
        <f>+IF(Tabla467824[[#This Row],[Columna4]]=Tabla467824[[#This Row],[Combustible2]], "IGUAL", "DISTINTO")</f>
        <v>IGUAL</v>
      </c>
      <c r="BC50" s="202" t="s">
        <v>437</v>
      </c>
      <c r="BD50" s="215" cm="1">
        <f t="array" ref="BD50">IFERROR(INDEX('[1]Anexos FICHA TRA050'!$D$27:$D$44, MATCH(Tabla467824[[#This Row],[Columna5]]&amp;Tabla467824[[#This Row],[Columna4]], '[1]Anexos FICHA TRA050'!$E$27:$E$44&amp;'[1]Anexos FICHA TRA050'!$F$27:$F$44, 0)), "")</f>
        <v>6.99</v>
      </c>
      <c r="BE50" s="215">
        <f>IFERROR(INDEX('[1]Anexos FICHA TRA050'!$B$4:$B$7, MATCH(Tabla467824[[#This Row],[Columna4]], '[1]Anexos FICHA TRA050'!$C$4:$C$7, 0)), "")</f>
        <v>10</v>
      </c>
      <c r="BF50" s="215">
        <f>IFERROR(INDEX('[1]Anexos FICHA TRA050'!$C$14:$C$22, MATCH(Tabla467824[[#This Row],[Columna5]], '[1]Anexos FICHA TRA050'!$D$14:$D$22, 0)), "")</f>
        <v>17.920000000000002</v>
      </c>
      <c r="BG50" s="216">
        <f>IFERROR(INDEX('[1]Anexos FICHA TRA050'!$C$49:$C$54, MATCH(Tabla467824[[#This Row],[Columna5]], '[1]Anexos FICHA TRA050'!$D$49:$D$54, 0)), "")</f>
        <v>13073</v>
      </c>
      <c r="BH50" s="217">
        <f>+(((Tabla467824[[#This Row],[CVA2]]*Tabla467824[[#This Row],[f2]])-Tabla467824[[#This Row],[CVN2]])/100)*Tabla467824[[#This Row],[L2]]</f>
        <v>6795.3454000000002</v>
      </c>
      <c r="BI50" s="218"/>
      <c r="BJ50" s="218"/>
      <c r="BK50" s="218" t="str">
        <f>+IF(Tabla467824[[#This Row],[F]]=Tabla467824[[#This Row],[f2]], "IGUAL", "DISTINTO")</f>
        <v>IGUAL</v>
      </c>
      <c r="BL50" s="218" t="str">
        <f>+IF(Tabla467824[[#This Row],[CVN]]=Tabla467824[[#This Row],[CVN2]], "IGUAL", "DISTINTO")</f>
        <v>DISTINTO</v>
      </c>
      <c r="BM50" s="219" t="str">
        <f>+IF(Tabla467824[[#This Row],[L]]=Tabla467824[[#This Row],[L2]], "IGUAL", "DISTINTO")</f>
        <v>IGUAL</v>
      </c>
    </row>
    <row r="51" spans="1:146" x14ac:dyDescent="0.25">
      <c r="A51">
        <v>48</v>
      </c>
      <c r="B51" s="202" t="s">
        <v>444</v>
      </c>
      <c r="C51" s="203" t="s">
        <v>445</v>
      </c>
      <c r="D51" s="233" t="s">
        <v>70</v>
      </c>
      <c r="E51" s="233" t="s">
        <v>78</v>
      </c>
      <c r="F51" s="203" t="s">
        <v>78</v>
      </c>
      <c r="G51" s="203" t="s">
        <v>70</v>
      </c>
      <c r="H51" s="203"/>
      <c r="I51" s="203"/>
      <c r="J51" s="203" t="s">
        <v>249</v>
      </c>
      <c r="K51" s="203"/>
      <c r="L51" s="203"/>
      <c r="M51" s="203" t="s">
        <v>249</v>
      </c>
      <c r="N51" s="203" t="s">
        <v>249</v>
      </c>
      <c r="O51" s="203" t="s">
        <v>73</v>
      </c>
      <c r="P51" s="203" t="s">
        <v>74</v>
      </c>
      <c r="Q51" s="203" t="s">
        <v>75</v>
      </c>
      <c r="R51" s="203" t="s">
        <v>76</v>
      </c>
      <c r="S51" s="204">
        <v>44958</v>
      </c>
      <c r="T51" s="205">
        <v>44984</v>
      </c>
      <c r="U51" s="206">
        <v>26</v>
      </c>
      <c r="V51" s="207">
        <v>2023</v>
      </c>
      <c r="W51" s="203" t="s">
        <v>77</v>
      </c>
      <c r="X51" s="203" t="s">
        <v>78</v>
      </c>
      <c r="Y51" s="203" t="s">
        <v>85</v>
      </c>
      <c r="Z51" s="203" t="s">
        <v>439</v>
      </c>
      <c r="AA51" s="203" t="s">
        <v>102</v>
      </c>
      <c r="AB51" s="203" t="s">
        <v>103</v>
      </c>
      <c r="AC51" s="203" t="s">
        <v>440</v>
      </c>
      <c r="AD51" s="208">
        <v>6</v>
      </c>
      <c r="AE51" s="208" t="s">
        <v>446</v>
      </c>
      <c r="AF51" s="208" t="s">
        <v>79</v>
      </c>
      <c r="AG51" s="208" t="s">
        <v>442</v>
      </c>
      <c r="AH51" s="208" t="s">
        <v>87</v>
      </c>
      <c r="AI51" s="208" t="s">
        <v>107</v>
      </c>
      <c r="AJ51" s="205" t="s">
        <v>108</v>
      </c>
      <c r="AK51" s="204">
        <v>45133</v>
      </c>
      <c r="AL51" s="208">
        <v>0</v>
      </c>
      <c r="AM51" s="209" t="s">
        <v>102</v>
      </c>
      <c r="AN51" s="210">
        <v>4500370232</v>
      </c>
      <c r="AO51" s="209" t="s">
        <v>103</v>
      </c>
      <c r="AP51" s="209"/>
      <c r="AQ51" s="209" t="s">
        <v>72</v>
      </c>
      <c r="AR51" s="209" t="s">
        <v>109</v>
      </c>
      <c r="AS51" s="209" t="s">
        <v>447</v>
      </c>
      <c r="AT51" s="210">
        <v>5.0999999999999996</v>
      </c>
      <c r="AU51" s="211">
        <v>10</v>
      </c>
      <c r="AV51" s="212">
        <v>22.7</v>
      </c>
      <c r="AW51" s="213">
        <v>13073</v>
      </c>
      <c r="AX51" s="213">
        <v>3699.6590000000006</v>
      </c>
      <c r="AY51" s="210" t="s">
        <v>70</v>
      </c>
      <c r="AZ51" s="209" t="s">
        <v>255</v>
      </c>
      <c r="BA51" s="214" t="str">
        <f>+IF(Tabla467824[[#This Row],[TIPO VEHÍCULO]]=Tabla467824[[#This Row],[Columna2]], "IGUAL", "DISTINTO")</f>
        <v>IGUAL</v>
      </c>
      <c r="BB51" s="214" t="str">
        <f>+IF(Tabla467824[[#This Row],[Columna4]]=Tabla467824[[#This Row],[Combustible2]], "IGUAL", "DISTINTO")</f>
        <v>IGUAL</v>
      </c>
      <c r="BC51" s="202" t="s">
        <v>444</v>
      </c>
      <c r="BD51" s="215" cm="1">
        <f t="array" ref="BD51">IFERROR(INDEX('[1]Anexos FICHA TRA050'!$D$27:$D$44, MATCH(Tabla467824[[#This Row],[Columna5]]&amp;Tabla467824[[#This Row],[Columna4]], '[1]Anexos FICHA TRA050'!$E$27:$E$44&amp;'[1]Anexos FICHA TRA050'!$F$27:$F$44, 0)), "")</f>
        <v>6.99</v>
      </c>
      <c r="BE51" s="215">
        <f>IFERROR(INDEX('[1]Anexos FICHA TRA050'!$B$4:$B$7, MATCH(Tabla467824[[#This Row],[Columna4]], '[1]Anexos FICHA TRA050'!$C$4:$C$7, 0)), "")</f>
        <v>10</v>
      </c>
      <c r="BF51" s="215">
        <f>IFERROR(INDEX('[1]Anexos FICHA TRA050'!$C$14:$C$22, MATCH(Tabla467824[[#This Row],[Columna5]], '[1]Anexos FICHA TRA050'!$D$14:$D$22, 0)), "")</f>
        <v>17.920000000000002</v>
      </c>
      <c r="BG51" s="216">
        <f>IFERROR(INDEX('[1]Anexos FICHA TRA050'!$C$49:$C$54, MATCH(Tabla467824[[#This Row],[Columna5]], '[1]Anexos FICHA TRA050'!$D$49:$D$54, 0)), "")</f>
        <v>13073</v>
      </c>
      <c r="BH51" s="217">
        <f>+(((Tabla467824[[#This Row],[CVA2]]*Tabla467824[[#This Row],[f2]])-Tabla467824[[#This Row],[CVN2]])/100)*Tabla467824[[#This Row],[L2]]</f>
        <v>6795.3454000000002</v>
      </c>
      <c r="BI51" s="218"/>
      <c r="BJ51" s="218"/>
      <c r="BK51" s="218" t="str">
        <f>+IF(Tabla467824[[#This Row],[F]]=Tabla467824[[#This Row],[f2]], "IGUAL", "DISTINTO")</f>
        <v>IGUAL</v>
      </c>
      <c r="BL51" s="218" t="str">
        <f>+IF(Tabla467824[[#This Row],[CVN]]=Tabla467824[[#This Row],[CVN2]], "IGUAL", "DISTINTO")</f>
        <v>DISTINTO</v>
      </c>
      <c r="BM51" s="219" t="str">
        <f>+IF(Tabla467824[[#This Row],[L]]=Tabla467824[[#This Row],[L2]], "IGUAL", "DISTINTO")</f>
        <v>IGUAL</v>
      </c>
    </row>
    <row r="52" spans="1:146" x14ac:dyDescent="0.25">
      <c r="A52">
        <v>49</v>
      </c>
      <c r="B52" s="202" t="s">
        <v>448</v>
      </c>
      <c r="C52" s="203" t="s">
        <v>449</v>
      </c>
      <c r="D52" s="203" t="s">
        <v>70</v>
      </c>
      <c r="E52" s="203" t="s">
        <v>78</v>
      </c>
      <c r="F52" s="203" t="s">
        <v>78</v>
      </c>
      <c r="G52" s="203" t="s">
        <v>70</v>
      </c>
      <c r="H52" s="203" t="s">
        <v>72</v>
      </c>
      <c r="I52" s="203" t="s">
        <v>72</v>
      </c>
      <c r="J52" s="203" t="s">
        <v>72</v>
      </c>
      <c r="K52" s="203"/>
      <c r="L52" s="203" t="s">
        <v>72</v>
      </c>
      <c r="M52" s="203" t="s">
        <v>72</v>
      </c>
      <c r="N52" s="203"/>
      <c r="O52" s="203" t="s">
        <v>73</v>
      </c>
      <c r="P52" s="203" t="s">
        <v>74</v>
      </c>
      <c r="Q52" s="203" t="s">
        <v>75</v>
      </c>
      <c r="R52" s="203" t="s">
        <v>76</v>
      </c>
      <c r="S52" s="204">
        <v>45202</v>
      </c>
      <c r="T52" s="205">
        <v>45372</v>
      </c>
      <c r="U52" s="206">
        <v>170</v>
      </c>
      <c r="V52" s="207">
        <v>2024</v>
      </c>
      <c r="W52" s="203" t="s">
        <v>77</v>
      </c>
      <c r="X52" s="203" t="s">
        <v>78</v>
      </c>
      <c r="Y52" s="203" t="s">
        <v>85</v>
      </c>
      <c r="Z52" s="203" t="s">
        <v>450</v>
      </c>
      <c r="AA52" s="203" t="s">
        <v>102</v>
      </c>
      <c r="AB52" s="203" t="s">
        <v>103</v>
      </c>
      <c r="AC52" s="203" t="s">
        <v>104</v>
      </c>
      <c r="AD52" s="208">
        <v>7</v>
      </c>
      <c r="AE52" s="208" t="s">
        <v>451</v>
      </c>
      <c r="AF52" s="208" t="s">
        <v>359</v>
      </c>
      <c r="AG52" s="208" t="s">
        <v>452</v>
      </c>
      <c r="AH52" s="208" t="s">
        <v>87</v>
      </c>
      <c r="AI52" s="208" t="s">
        <v>440</v>
      </c>
      <c r="AJ52" s="205" t="s">
        <v>108</v>
      </c>
      <c r="AK52" s="204">
        <v>45051</v>
      </c>
      <c r="AL52" s="208">
        <v>-1</v>
      </c>
      <c r="AM52" s="209" t="s">
        <v>102</v>
      </c>
      <c r="AN52" s="210">
        <v>4500352855</v>
      </c>
      <c r="AO52" s="209" t="s">
        <v>103</v>
      </c>
      <c r="AP52" s="209"/>
      <c r="AQ52" s="209" t="s">
        <v>72</v>
      </c>
      <c r="AR52" s="209" t="s">
        <v>109</v>
      </c>
      <c r="AS52" s="209" t="s">
        <v>453</v>
      </c>
      <c r="AT52" s="210">
        <v>5.0999999999999996</v>
      </c>
      <c r="AU52" s="211">
        <v>10</v>
      </c>
      <c r="AV52" s="212">
        <v>28.1</v>
      </c>
      <c r="AW52" s="213">
        <v>13073</v>
      </c>
      <c r="AX52" s="213">
        <v>2993.7169999999996</v>
      </c>
      <c r="AY52" s="210" t="s">
        <v>70</v>
      </c>
      <c r="AZ52" s="209" t="s">
        <v>93</v>
      </c>
      <c r="BA52" s="214" t="str">
        <f>+IF(Tabla467824[[#This Row],[TIPO VEHÍCULO]]=Tabla467824[[#This Row],[Columna2]], "IGUAL", "DISTINTO")</f>
        <v>IGUAL</v>
      </c>
      <c r="BB52" s="214" t="str">
        <f>+IF(Tabla467824[[#This Row],[Columna4]]=Tabla467824[[#This Row],[Combustible2]], "IGUAL", "DISTINTO")</f>
        <v>IGUAL</v>
      </c>
      <c r="BC52" s="202" t="s">
        <v>448</v>
      </c>
      <c r="BD52" s="215" cm="1">
        <f t="array" ref="BD52">IFERROR(INDEX('[1]Anexos FICHA TRA050'!$D$27:$D$44, MATCH(Tabla467824[[#This Row],[Columna5]]&amp;Tabla467824[[#This Row],[Columna4]], '[1]Anexos FICHA TRA050'!$E$27:$E$44&amp;'[1]Anexos FICHA TRA050'!$F$27:$F$44, 0)), "")</f>
        <v>6.99</v>
      </c>
      <c r="BE52" s="215">
        <f>IFERROR(INDEX('[1]Anexos FICHA TRA050'!$B$4:$B$7, MATCH(Tabla467824[[#This Row],[Columna4]], '[1]Anexos FICHA TRA050'!$C$4:$C$7, 0)), "")</f>
        <v>10</v>
      </c>
      <c r="BF52" s="215">
        <f>IFERROR(INDEX('[1]Anexos FICHA TRA050'!$C$14:$C$22, MATCH(Tabla467824[[#This Row],[Columna5]], '[1]Anexos FICHA TRA050'!$D$14:$D$22, 0)), "")</f>
        <v>17.920000000000002</v>
      </c>
      <c r="BG52" s="216">
        <f>IFERROR(INDEX('[1]Anexos FICHA TRA050'!$C$49:$C$54, MATCH(Tabla467824[[#This Row],[Columna5]], '[1]Anexos FICHA TRA050'!$D$49:$D$54, 0)), "")</f>
        <v>13073</v>
      </c>
      <c r="BH52" s="217">
        <f>+(((Tabla467824[[#This Row],[CVA2]]*Tabla467824[[#This Row],[f2]])-Tabla467824[[#This Row],[CVN2]])/100)*Tabla467824[[#This Row],[L2]]</f>
        <v>6795.3454000000002</v>
      </c>
      <c r="BI52" s="218"/>
      <c r="BJ52" s="218"/>
      <c r="BK52" s="218" t="str">
        <f>+IF(Tabla467824[[#This Row],[F]]=Tabla467824[[#This Row],[f2]], "IGUAL", "DISTINTO")</f>
        <v>IGUAL</v>
      </c>
      <c r="BL52" s="218" t="str">
        <f>+IF(Tabla467824[[#This Row],[CVN]]=Tabla467824[[#This Row],[CVN2]], "IGUAL", "DISTINTO")</f>
        <v>DISTINTO</v>
      </c>
      <c r="BM52" s="219" t="str">
        <f>+IF(Tabla467824[[#This Row],[L]]=Tabla467824[[#This Row],[L2]], "IGUAL", "DISTINTO")</f>
        <v>IGUAL</v>
      </c>
    </row>
    <row r="53" spans="1:146" x14ac:dyDescent="0.25">
      <c r="A53">
        <v>50</v>
      </c>
      <c r="B53" s="202" t="s">
        <v>454</v>
      </c>
      <c r="C53" s="203" t="s">
        <v>455</v>
      </c>
      <c r="D53" s="203" t="s">
        <v>70</v>
      </c>
      <c r="E53" s="203" t="s">
        <v>78</v>
      </c>
      <c r="F53" s="203" t="s">
        <v>78</v>
      </c>
      <c r="G53" s="203" t="s">
        <v>70</v>
      </c>
      <c r="H53" s="203" t="s">
        <v>72</v>
      </c>
      <c r="I53" s="203"/>
      <c r="J53" s="203" t="s">
        <v>72</v>
      </c>
      <c r="K53" s="203"/>
      <c r="L53" s="203" t="s">
        <v>72</v>
      </c>
      <c r="M53" s="203" t="s">
        <v>72</v>
      </c>
      <c r="N53" s="203"/>
      <c r="O53" s="203" t="s">
        <v>73</v>
      </c>
      <c r="P53" s="203" t="s">
        <v>74</v>
      </c>
      <c r="Q53" s="203" t="s">
        <v>75</v>
      </c>
      <c r="R53" s="203" t="s">
        <v>76</v>
      </c>
      <c r="S53" s="204">
        <v>45202</v>
      </c>
      <c r="T53" s="205">
        <v>45259</v>
      </c>
      <c r="U53" s="206">
        <v>57</v>
      </c>
      <c r="V53" s="207">
        <v>2023</v>
      </c>
      <c r="W53" s="203" t="s">
        <v>77</v>
      </c>
      <c r="X53" s="203" t="s">
        <v>78</v>
      </c>
      <c r="Y53" s="203" t="s">
        <v>85</v>
      </c>
      <c r="Z53" s="203" t="s">
        <v>450</v>
      </c>
      <c r="AA53" s="203" t="s">
        <v>102</v>
      </c>
      <c r="AB53" s="203" t="s">
        <v>103</v>
      </c>
      <c r="AC53" s="203" t="s">
        <v>104</v>
      </c>
      <c r="AD53" s="208">
        <v>8</v>
      </c>
      <c r="AE53" s="208" t="s">
        <v>456</v>
      </c>
      <c r="AF53" s="208" t="s">
        <v>79</v>
      </c>
      <c r="AG53" s="208" t="s">
        <v>106</v>
      </c>
      <c r="AH53" s="208" t="s">
        <v>87</v>
      </c>
      <c r="AI53" s="208" t="s">
        <v>457</v>
      </c>
      <c r="AJ53" s="205" t="s">
        <v>108</v>
      </c>
      <c r="AK53" s="204">
        <v>45133</v>
      </c>
      <c r="AL53" s="208">
        <v>0</v>
      </c>
      <c r="AM53" s="209" t="s">
        <v>102</v>
      </c>
      <c r="AN53" s="210">
        <v>4500370368</v>
      </c>
      <c r="AO53" s="209" t="s">
        <v>103</v>
      </c>
      <c r="AP53" s="209"/>
      <c r="AQ53" s="209" t="s">
        <v>72</v>
      </c>
      <c r="AR53" s="209" t="s">
        <v>109</v>
      </c>
      <c r="AS53" s="209" t="s">
        <v>458</v>
      </c>
      <c r="AT53" s="210">
        <v>5.0999999999999996</v>
      </c>
      <c r="AU53" s="211">
        <v>10</v>
      </c>
      <c r="AV53" s="212">
        <v>28.2</v>
      </c>
      <c r="AW53" s="213">
        <v>13073</v>
      </c>
      <c r="AX53" s="213">
        <v>2980.6440000000002</v>
      </c>
      <c r="AY53" s="210" t="s">
        <v>70</v>
      </c>
      <c r="AZ53" s="209" t="s">
        <v>93</v>
      </c>
      <c r="BA53" s="214" t="str">
        <f>+IF(Tabla467824[[#This Row],[TIPO VEHÍCULO]]=Tabla467824[[#This Row],[Columna2]], "IGUAL", "DISTINTO")</f>
        <v>IGUAL</v>
      </c>
      <c r="BB53" s="214" t="str">
        <f>+IF(Tabla467824[[#This Row],[Columna4]]=Tabla467824[[#This Row],[Combustible2]], "IGUAL", "DISTINTO")</f>
        <v>IGUAL</v>
      </c>
      <c r="BC53" s="202" t="s">
        <v>454</v>
      </c>
      <c r="BD53" s="215" cm="1">
        <f t="array" ref="BD53">IFERROR(INDEX('[1]Anexos FICHA TRA050'!$D$27:$D$44, MATCH(Tabla467824[[#This Row],[Columna5]]&amp;Tabla467824[[#This Row],[Columna4]], '[1]Anexos FICHA TRA050'!$E$27:$E$44&amp;'[1]Anexos FICHA TRA050'!$F$27:$F$44, 0)), "")</f>
        <v>6.99</v>
      </c>
      <c r="BE53" s="215">
        <f>IFERROR(INDEX('[1]Anexos FICHA TRA050'!$B$4:$B$7, MATCH(Tabla467824[[#This Row],[Columna4]], '[1]Anexos FICHA TRA050'!$C$4:$C$7, 0)), "")</f>
        <v>10</v>
      </c>
      <c r="BF53" s="215">
        <f>IFERROR(INDEX('[1]Anexos FICHA TRA050'!$C$14:$C$22, MATCH(Tabla467824[[#This Row],[Columna5]], '[1]Anexos FICHA TRA050'!$D$14:$D$22, 0)), "")</f>
        <v>17.920000000000002</v>
      </c>
      <c r="BG53" s="216">
        <f>IFERROR(INDEX('[1]Anexos FICHA TRA050'!$C$49:$C$54, MATCH(Tabla467824[[#This Row],[Columna5]], '[1]Anexos FICHA TRA050'!$D$49:$D$54, 0)), "")</f>
        <v>13073</v>
      </c>
      <c r="BH53" s="217">
        <f>+(((Tabla467824[[#This Row],[CVA2]]*Tabla467824[[#This Row],[f2]])-Tabla467824[[#This Row],[CVN2]])/100)*Tabla467824[[#This Row],[L2]]</f>
        <v>6795.3454000000002</v>
      </c>
      <c r="BI53" s="218"/>
      <c r="BJ53" s="218"/>
      <c r="BK53" s="218" t="str">
        <f>+IF(Tabla467824[[#This Row],[F]]=Tabla467824[[#This Row],[f2]], "IGUAL", "DISTINTO")</f>
        <v>IGUAL</v>
      </c>
      <c r="BL53" s="218" t="str">
        <f>+IF(Tabla467824[[#This Row],[CVN]]=Tabla467824[[#This Row],[CVN2]], "IGUAL", "DISTINTO")</f>
        <v>DISTINTO</v>
      </c>
      <c r="BM53" s="219" t="str">
        <f>+IF(Tabla467824[[#This Row],[L]]=Tabla467824[[#This Row],[L2]], "IGUAL", "DISTINTO")</f>
        <v>IGUAL</v>
      </c>
    </row>
    <row r="54" spans="1:146" x14ac:dyDescent="0.25">
      <c r="A54">
        <v>51</v>
      </c>
      <c r="B54" s="202" t="s">
        <v>459</v>
      </c>
      <c r="C54" s="203" t="s">
        <v>460</v>
      </c>
      <c r="D54" s="203" t="s">
        <v>70</v>
      </c>
      <c r="E54" s="203" t="s">
        <v>78</v>
      </c>
      <c r="F54" s="203" t="s">
        <v>78</v>
      </c>
      <c r="G54" s="203" t="s">
        <v>70</v>
      </c>
      <c r="H54" s="203" t="s">
        <v>72</v>
      </c>
      <c r="I54" s="203"/>
      <c r="J54" s="203"/>
      <c r="K54" s="203"/>
      <c r="L54" s="203" t="s">
        <v>249</v>
      </c>
      <c r="M54" s="203" t="s">
        <v>249</v>
      </c>
      <c r="N54" s="203"/>
      <c r="O54" s="203" t="s">
        <v>73</v>
      </c>
      <c r="P54" s="203" t="s">
        <v>74</v>
      </c>
      <c r="Q54" s="203" t="s">
        <v>75</v>
      </c>
      <c r="R54" s="203" t="s">
        <v>76</v>
      </c>
      <c r="S54" s="204">
        <v>45202</v>
      </c>
      <c r="T54" s="205">
        <v>45382</v>
      </c>
      <c r="U54" s="206">
        <v>180</v>
      </c>
      <c r="V54" s="207">
        <v>2024</v>
      </c>
      <c r="W54" s="203" t="s">
        <v>77</v>
      </c>
      <c r="X54" s="203" t="s">
        <v>78</v>
      </c>
      <c r="Y54" s="203" t="s">
        <v>359</v>
      </c>
      <c r="Z54" s="203" t="s">
        <v>461</v>
      </c>
      <c r="AA54" s="203" t="s">
        <v>102</v>
      </c>
      <c r="AB54" s="203" t="s">
        <v>103</v>
      </c>
      <c r="AC54" s="203" t="s">
        <v>104</v>
      </c>
      <c r="AD54" s="208">
        <v>9</v>
      </c>
      <c r="AE54" s="208" t="s">
        <v>462</v>
      </c>
      <c r="AF54" s="208" t="s">
        <v>359</v>
      </c>
      <c r="AG54" s="208" t="s">
        <v>452</v>
      </c>
      <c r="AH54" s="208" t="s">
        <v>87</v>
      </c>
      <c r="AI54" s="208" t="s">
        <v>115</v>
      </c>
      <c r="AJ54" s="205" t="s">
        <v>108</v>
      </c>
      <c r="AK54" s="204">
        <v>45051</v>
      </c>
      <c r="AL54" s="208">
        <v>-1</v>
      </c>
      <c r="AM54" s="209" t="s">
        <v>102</v>
      </c>
      <c r="AN54" s="210">
        <v>4500351861</v>
      </c>
      <c r="AO54" s="209" t="s">
        <v>103</v>
      </c>
      <c r="AP54" s="209"/>
      <c r="AQ54" s="209" t="s">
        <v>72</v>
      </c>
      <c r="AR54" s="209" t="s">
        <v>109</v>
      </c>
      <c r="AS54" s="209" t="s">
        <v>463</v>
      </c>
      <c r="AT54" s="210">
        <v>5.0999999999999996</v>
      </c>
      <c r="AU54" s="211">
        <v>10</v>
      </c>
      <c r="AV54" s="212">
        <v>28.1</v>
      </c>
      <c r="AW54" s="213">
        <v>13073</v>
      </c>
      <c r="AX54" s="213">
        <v>2993.7169999999996</v>
      </c>
      <c r="AY54" s="210" t="s">
        <v>70</v>
      </c>
      <c r="AZ54" s="209" t="s">
        <v>255</v>
      </c>
      <c r="BA54" s="214" t="str">
        <f>+IF(Tabla467824[[#This Row],[TIPO VEHÍCULO]]=Tabla467824[[#This Row],[Columna2]], "IGUAL", "DISTINTO")</f>
        <v>IGUAL</v>
      </c>
      <c r="BB54" s="214" t="str">
        <f>+IF(Tabla467824[[#This Row],[Columna4]]=Tabla467824[[#This Row],[Combustible2]], "IGUAL", "DISTINTO")</f>
        <v>IGUAL</v>
      </c>
      <c r="BC54" s="202" t="s">
        <v>459</v>
      </c>
      <c r="BD54" s="215" cm="1">
        <f t="array" ref="BD54">IFERROR(INDEX('[1]Anexos FICHA TRA050'!$D$27:$D$44, MATCH(Tabla467824[[#This Row],[Columna5]]&amp;Tabla467824[[#This Row],[Columna4]], '[1]Anexos FICHA TRA050'!$E$27:$E$44&amp;'[1]Anexos FICHA TRA050'!$F$27:$F$44, 0)), "")</f>
        <v>6.99</v>
      </c>
      <c r="BE54" s="215">
        <f>IFERROR(INDEX('[1]Anexos FICHA TRA050'!$B$4:$B$7, MATCH(Tabla467824[[#This Row],[Columna4]], '[1]Anexos FICHA TRA050'!$C$4:$C$7, 0)), "")</f>
        <v>10</v>
      </c>
      <c r="BF54" s="215">
        <f>IFERROR(INDEX('[1]Anexos FICHA TRA050'!$C$14:$C$22, MATCH(Tabla467824[[#This Row],[Columna5]], '[1]Anexos FICHA TRA050'!$D$14:$D$22, 0)), "")</f>
        <v>17.920000000000002</v>
      </c>
      <c r="BG54" s="216">
        <f>IFERROR(INDEX('[1]Anexos FICHA TRA050'!$C$49:$C$54, MATCH(Tabla467824[[#This Row],[Columna5]], '[1]Anexos FICHA TRA050'!$D$49:$D$54, 0)), "")</f>
        <v>13073</v>
      </c>
      <c r="BH54" s="217">
        <f>+(((Tabla467824[[#This Row],[CVA2]]*Tabla467824[[#This Row],[f2]])-Tabla467824[[#This Row],[CVN2]])/100)*Tabla467824[[#This Row],[L2]]</f>
        <v>6795.3454000000002</v>
      </c>
      <c r="BI54" s="218"/>
      <c r="BJ54" s="218"/>
      <c r="BK54" s="218" t="str">
        <f>+IF(Tabla467824[[#This Row],[F]]=Tabla467824[[#This Row],[f2]], "IGUAL", "DISTINTO")</f>
        <v>IGUAL</v>
      </c>
      <c r="BL54" s="218" t="str">
        <f>+IF(Tabla467824[[#This Row],[CVN]]=Tabla467824[[#This Row],[CVN2]], "IGUAL", "DISTINTO")</f>
        <v>DISTINTO</v>
      </c>
      <c r="BM54" s="219" t="str">
        <f>+IF(Tabla467824[[#This Row],[L]]=Tabla467824[[#This Row],[L2]], "IGUAL", "DISTINTO")</f>
        <v>IGUAL</v>
      </c>
    </row>
    <row r="55" spans="1:146" x14ac:dyDescent="0.25">
      <c r="A55">
        <v>52</v>
      </c>
      <c r="B55" s="202" t="s">
        <v>464</v>
      </c>
      <c r="C55" s="203" t="s">
        <v>465</v>
      </c>
      <c r="D55" s="203" t="s">
        <v>128</v>
      </c>
      <c r="E55" s="203" t="s">
        <v>78</v>
      </c>
      <c r="F55" s="203" t="s">
        <v>78</v>
      </c>
      <c r="G55" s="203" t="s">
        <v>128</v>
      </c>
      <c r="H55" s="203" t="s">
        <v>72</v>
      </c>
      <c r="I55" s="203"/>
      <c r="J55" s="203" t="s">
        <v>72</v>
      </c>
      <c r="K55" s="203"/>
      <c r="L55" s="203" t="s">
        <v>72</v>
      </c>
      <c r="M55" s="203" t="s">
        <v>72</v>
      </c>
      <c r="N55" s="203"/>
      <c r="O55" s="203" t="s">
        <v>466</v>
      </c>
      <c r="P55" s="203" t="s">
        <v>200</v>
      </c>
      <c r="Q55" s="203" t="s">
        <v>201</v>
      </c>
      <c r="R55" s="203" t="s">
        <v>76</v>
      </c>
      <c r="S55" s="209">
        <v>44088</v>
      </c>
      <c r="T55" s="205">
        <v>45549</v>
      </c>
      <c r="U55" s="206">
        <v>1461</v>
      </c>
      <c r="V55" s="207">
        <v>2024</v>
      </c>
      <c r="W55" s="203" t="s">
        <v>77</v>
      </c>
      <c r="X55" s="203" t="s">
        <v>78</v>
      </c>
      <c r="Y55" s="203" t="s">
        <v>467</v>
      </c>
      <c r="Z55" s="203" t="s">
        <v>468</v>
      </c>
      <c r="AA55" s="203" t="s">
        <v>469</v>
      </c>
      <c r="AB55" s="203" t="s">
        <v>470</v>
      </c>
      <c r="AC55" s="203" t="s">
        <v>471</v>
      </c>
      <c r="AD55" s="208">
        <v>1</v>
      </c>
      <c r="AE55" s="208" t="s">
        <v>472</v>
      </c>
      <c r="AF55" s="208" t="s">
        <v>380</v>
      </c>
      <c r="AG55" s="208" t="s">
        <v>381</v>
      </c>
      <c r="AH55" s="208" t="s">
        <v>87</v>
      </c>
      <c r="AI55" s="208" t="s">
        <v>471</v>
      </c>
      <c r="AJ55" s="205" t="s">
        <v>89</v>
      </c>
      <c r="AK55" s="204">
        <v>45551</v>
      </c>
      <c r="AL55" s="208">
        <v>0</v>
      </c>
      <c r="AM55" s="209" t="s">
        <v>469</v>
      </c>
      <c r="AN55" s="210">
        <v>4500413615</v>
      </c>
      <c r="AO55" s="209" t="s">
        <v>470</v>
      </c>
      <c r="AP55" s="209"/>
      <c r="AQ55" s="209" t="s">
        <v>72</v>
      </c>
      <c r="AR55" s="209" t="s">
        <v>109</v>
      </c>
      <c r="AS55" s="209" t="s">
        <v>473</v>
      </c>
      <c r="AT55" s="210">
        <v>5.6</v>
      </c>
      <c r="AU55" s="211">
        <v>10</v>
      </c>
      <c r="AV55" s="212">
        <v>20</v>
      </c>
      <c r="AW55" s="213">
        <v>15815</v>
      </c>
      <c r="AX55" s="213">
        <v>5693.4</v>
      </c>
      <c r="AY55" s="210" t="s">
        <v>128</v>
      </c>
      <c r="AZ55" s="209" t="s">
        <v>93</v>
      </c>
      <c r="BA55" s="214" t="str">
        <f>+IF(Tabla467824[[#This Row],[TIPO VEHÍCULO]]=Tabla467824[[#This Row],[Columna2]], "IGUAL", "DISTINTO")</f>
        <v>IGUAL</v>
      </c>
      <c r="BB55" s="214" t="str">
        <f>+IF(Tabla467824[[#This Row],[Columna4]]=Tabla467824[[#This Row],[Combustible2]], "IGUAL", "DISTINTO")</f>
        <v>IGUAL</v>
      </c>
      <c r="BC55" s="202" t="s">
        <v>464</v>
      </c>
      <c r="BD55" s="215" cm="1">
        <f t="array" ref="BD55">IFERROR(INDEX('[1]Anexos FICHA TRA050'!$D$27:$D$44, MATCH(Tabla467824[[#This Row],[Columna5]]&amp;Tabla467824[[#This Row],[Columna4]], '[1]Anexos FICHA TRA050'!$E$27:$E$44&amp;'[1]Anexos FICHA TRA050'!$F$27:$F$44, 0)), "")</f>
        <v>5.63</v>
      </c>
      <c r="BE55" s="215">
        <f>IFERROR(INDEX('[1]Anexos FICHA TRA050'!$B$4:$B$7, MATCH(Tabla467824[[#This Row],[Columna4]], '[1]Anexos FICHA TRA050'!$C$4:$C$7, 0)), "")</f>
        <v>10</v>
      </c>
      <c r="BF55" s="215">
        <f>IFERROR(INDEX('[1]Anexos FICHA TRA050'!$C$14:$C$22, MATCH(Tabla467824[[#This Row],[Columna5]], '[1]Anexos FICHA TRA050'!$D$14:$D$22, 0)), "")</f>
        <v>20.84</v>
      </c>
      <c r="BG55" s="216">
        <f>IFERROR(INDEX('[1]Anexos FICHA TRA050'!$C$49:$C$54, MATCH(Tabla467824[[#This Row],[Columna5]], '[1]Anexos FICHA TRA050'!$D$49:$D$54, 0)), "")</f>
        <v>15815</v>
      </c>
      <c r="BH55" s="217">
        <f>+(((Tabla467824[[#This Row],[CVA2]]*Tabla467824[[#This Row],[f2]])-Tabla467824[[#This Row],[CVN2]])/100)*Tabla467824[[#This Row],[L2]]</f>
        <v>5607.9989999999989</v>
      </c>
      <c r="BI55" s="218"/>
      <c r="BJ55" s="218"/>
      <c r="BK55" s="218" t="str">
        <f>+IF(Tabla467824[[#This Row],[F]]=Tabla467824[[#This Row],[f2]], "IGUAL", "DISTINTO")</f>
        <v>IGUAL</v>
      </c>
      <c r="BL55" s="218" t="str">
        <f>+IF(Tabla467824[[#This Row],[CVN]]=Tabla467824[[#This Row],[CVN2]], "IGUAL", "DISTINTO")</f>
        <v>DISTINTO</v>
      </c>
      <c r="BM55" s="219" t="str">
        <f>+IF(Tabla467824[[#This Row],[L]]=Tabla467824[[#This Row],[L2]], "IGUAL", "DISTINTO")</f>
        <v>IGUAL</v>
      </c>
    </row>
    <row r="56" spans="1:146" x14ac:dyDescent="0.25">
      <c r="A56">
        <v>53</v>
      </c>
      <c r="B56" s="202" t="s">
        <v>474</v>
      </c>
      <c r="C56" s="203" t="s">
        <v>475</v>
      </c>
      <c r="D56" s="203" t="s">
        <v>128</v>
      </c>
      <c r="E56" s="203" t="s">
        <v>78</v>
      </c>
      <c r="F56" s="203" t="s">
        <v>78</v>
      </c>
      <c r="G56" s="203" t="s">
        <v>128</v>
      </c>
      <c r="H56" s="203" t="s">
        <v>72</v>
      </c>
      <c r="I56" s="203" t="s">
        <v>72</v>
      </c>
      <c r="J56" s="203" t="s">
        <v>72</v>
      </c>
      <c r="K56" s="203"/>
      <c r="L56" s="203" t="s">
        <v>72</v>
      </c>
      <c r="M56" s="203" t="s">
        <v>72</v>
      </c>
      <c r="N56" s="203"/>
      <c r="O56" s="203" t="s">
        <v>73</v>
      </c>
      <c r="P56" s="203" t="s">
        <v>200</v>
      </c>
      <c r="Q56" s="203" t="s">
        <v>201</v>
      </c>
      <c r="R56" s="203" t="s">
        <v>76</v>
      </c>
      <c r="S56" s="209">
        <v>42923</v>
      </c>
      <c r="T56" s="205">
        <v>45565</v>
      </c>
      <c r="U56" s="206">
        <v>2642</v>
      </c>
      <c r="V56" s="207">
        <v>2024</v>
      </c>
      <c r="W56" s="203" t="s">
        <v>77</v>
      </c>
      <c r="X56" s="203" t="s">
        <v>78</v>
      </c>
      <c r="Y56" s="203" t="s">
        <v>467</v>
      </c>
      <c r="Z56" s="203" t="s">
        <v>476</v>
      </c>
      <c r="AA56" s="203" t="s">
        <v>190</v>
      </c>
      <c r="AB56" s="203" t="s">
        <v>191</v>
      </c>
      <c r="AC56" s="203" t="s">
        <v>477</v>
      </c>
      <c r="AD56" s="208">
        <v>4</v>
      </c>
      <c r="AE56" s="208" t="s">
        <v>478</v>
      </c>
      <c r="AF56" s="208" t="s">
        <v>140</v>
      </c>
      <c r="AG56" s="208" t="s">
        <v>151</v>
      </c>
      <c r="AH56" s="208" t="s">
        <v>87</v>
      </c>
      <c r="AI56" s="208" t="s">
        <v>345</v>
      </c>
      <c r="AJ56" s="205" t="s">
        <v>89</v>
      </c>
      <c r="AK56" s="204">
        <v>45625</v>
      </c>
      <c r="AL56" s="208">
        <v>0</v>
      </c>
      <c r="AM56" s="209" t="s">
        <v>190</v>
      </c>
      <c r="AN56" s="209" t="s">
        <v>479</v>
      </c>
      <c r="AO56" s="209" t="s">
        <v>191</v>
      </c>
      <c r="AP56" s="209"/>
      <c r="AQ56" s="209" t="s">
        <v>72</v>
      </c>
      <c r="AR56" s="209" t="s">
        <v>91</v>
      </c>
      <c r="AS56" s="209" t="s">
        <v>480</v>
      </c>
      <c r="AT56" s="210">
        <v>5.6</v>
      </c>
      <c r="AU56" s="211">
        <v>10</v>
      </c>
      <c r="AV56" s="212">
        <v>16.399999999999999</v>
      </c>
      <c r="AW56" s="213">
        <v>15815</v>
      </c>
      <c r="AX56" s="213">
        <v>6262.7400000000007</v>
      </c>
      <c r="AY56" s="210" t="s">
        <v>128</v>
      </c>
      <c r="AZ56" s="209" t="s">
        <v>93</v>
      </c>
      <c r="BA56" s="214" t="str">
        <f>+IF(Tabla467824[[#This Row],[TIPO VEHÍCULO]]=Tabla467824[[#This Row],[Columna2]], "IGUAL", "DISTINTO")</f>
        <v>IGUAL</v>
      </c>
      <c r="BB56" s="214" t="str">
        <f>+IF(Tabla467824[[#This Row],[Columna4]]=Tabla467824[[#This Row],[Combustible2]], "IGUAL", "DISTINTO")</f>
        <v>IGUAL</v>
      </c>
      <c r="BC56" s="202" t="s">
        <v>474</v>
      </c>
      <c r="BD56" s="215" cm="1">
        <f t="array" ref="BD56">IFERROR(INDEX('[1]Anexos FICHA TRA050'!$D$27:$D$44, MATCH(Tabla467824[[#This Row],[Columna5]]&amp;Tabla467824[[#This Row],[Columna4]], '[1]Anexos FICHA TRA050'!$E$27:$E$44&amp;'[1]Anexos FICHA TRA050'!$F$27:$F$44, 0)), "")</f>
        <v>5.63</v>
      </c>
      <c r="BE56" s="215">
        <f>IFERROR(INDEX('[1]Anexos FICHA TRA050'!$B$4:$B$7, MATCH(Tabla467824[[#This Row],[Columna4]], '[1]Anexos FICHA TRA050'!$C$4:$C$7, 0)), "")</f>
        <v>10</v>
      </c>
      <c r="BF56" s="215">
        <f>IFERROR(INDEX('[1]Anexos FICHA TRA050'!$C$14:$C$22, MATCH(Tabla467824[[#This Row],[Columna5]], '[1]Anexos FICHA TRA050'!$D$14:$D$22, 0)), "")</f>
        <v>20.84</v>
      </c>
      <c r="BG56" s="216">
        <f>IFERROR(INDEX('[1]Anexos FICHA TRA050'!$C$49:$C$54, MATCH(Tabla467824[[#This Row],[Columna5]], '[1]Anexos FICHA TRA050'!$D$49:$D$54, 0)), "")</f>
        <v>15815</v>
      </c>
      <c r="BH56" s="217">
        <f>+(((Tabla467824[[#This Row],[CVA2]]*Tabla467824[[#This Row],[f2]])-Tabla467824[[#This Row],[CVN2]])/100)*Tabla467824[[#This Row],[L2]]</f>
        <v>5607.9989999999989</v>
      </c>
      <c r="BI56" s="218"/>
      <c r="BJ56" s="218"/>
      <c r="BK56" s="218" t="str">
        <f>+IF(Tabla467824[[#This Row],[F]]=Tabla467824[[#This Row],[f2]], "IGUAL", "DISTINTO")</f>
        <v>IGUAL</v>
      </c>
      <c r="BL56" s="218" t="str">
        <f>+IF(Tabla467824[[#This Row],[CVN]]=Tabla467824[[#This Row],[CVN2]], "IGUAL", "DISTINTO")</f>
        <v>DISTINTO</v>
      </c>
      <c r="BM56" s="219" t="str">
        <f>+IF(Tabla467824[[#This Row],[L]]=Tabla467824[[#This Row],[L2]], "IGUAL", "DISTINTO")</f>
        <v>IGUAL</v>
      </c>
    </row>
    <row r="57" spans="1:146" x14ac:dyDescent="0.25">
      <c r="A57">
        <v>54</v>
      </c>
      <c r="B57" s="202" t="s">
        <v>481</v>
      </c>
      <c r="C57" s="203" t="s">
        <v>482</v>
      </c>
      <c r="D57" s="203" t="s">
        <v>128</v>
      </c>
      <c r="E57" s="203" t="s">
        <v>78</v>
      </c>
      <c r="F57" s="203" t="s">
        <v>78</v>
      </c>
      <c r="G57" s="203" t="s">
        <v>128</v>
      </c>
      <c r="H57" s="203" t="s">
        <v>72</v>
      </c>
      <c r="I57" s="203" t="s">
        <v>72</v>
      </c>
      <c r="J57" s="203" t="s">
        <v>72</v>
      </c>
      <c r="K57" s="203"/>
      <c r="L57" s="203" t="s">
        <v>72</v>
      </c>
      <c r="M57" s="203" t="s">
        <v>72</v>
      </c>
      <c r="N57" s="203"/>
      <c r="O57" s="203" t="s">
        <v>73</v>
      </c>
      <c r="P57" s="203" t="s">
        <v>200</v>
      </c>
      <c r="Q57" s="203" t="s">
        <v>201</v>
      </c>
      <c r="R57" s="203" t="s">
        <v>160</v>
      </c>
      <c r="S57" s="209">
        <v>44166</v>
      </c>
      <c r="T57" s="205">
        <v>45627</v>
      </c>
      <c r="U57" s="206">
        <v>1461</v>
      </c>
      <c r="V57" s="207">
        <v>2024</v>
      </c>
      <c r="W57" s="203" t="s">
        <v>161</v>
      </c>
      <c r="X57" s="203" t="s">
        <v>78</v>
      </c>
      <c r="Y57" s="203" t="s">
        <v>467</v>
      </c>
      <c r="Z57" s="203" t="s">
        <v>476</v>
      </c>
      <c r="AA57" s="203" t="s">
        <v>119</v>
      </c>
      <c r="AB57" s="203" t="s">
        <v>120</v>
      </c>
      <c r="AC57" s="203" t="s">
        <v>368</v>
      </c>
      <c r="AD57" s="208">
        <v>14</v>
      </c>
      <c r="AE57" s="208" t="s">
        <v>483</v>
      </c>
      <c r="AF57" s="208" t="s">
        <v>140</v>
      </c>
      <c r="AG57" s="208" t="s">
        <v>151</v>
      </c>
      <c r="AH57" s="208" t="s">
        <v>87</v>
      </c>
      <c r="AI57" s="208" t="s">
        <v>323</v>
      </c>
      <c r="AJ57" s="205" t="s">
        <v>89</v>
      </c>
      <c r="AK57" s="204">
        <v>45625</v>
      </c>
      <c r="AL57" s="208">
        <v>0</v>
      </c>
      <c r="AM57" s="209" t="s">
        <v>119</v>
      </c>
      <c r="AN57" s="209" t="s">
        <v>484</v>
      </c>
      <c r="AO57" s="209" t="s">
        <v>120</v>
      </c>
      <c r="AP57" s="209"/>
      <c r="AQ57" s="209" t="s">
        <v>72</v>
      </c>
      <c r="AR57" s="209" t="s">
        <v>91</v>
      </c>
      <c r="AS57" s="209" t="s">
        <v>485</v>
      </c>
      <c r="AT57" s="210">
        <v>5.6</v>
      </c>
      <c r="AU57" s="211">
        <v>10</v>
      </c>
      <c r="AV57" s="212">
        <v>16.399999999999999</v>
      </c>
      <c r="AW57" s="213">
        <v>15815</v>
      </c>
      <c r="AX57" s="213">
        <v>6262.7400000000007</v>
      </c>
      <c r="AY57" s="210" t="s">
        <v>128</v>
      </c>
      <c r="AZ57" s="209" t="s">
        <v>93</v>
      </c>
      <c r="BA57" s="214" t="str">
        <f>+IF(Tabla467824[[#This Row],[TIPO VEHÍCULO]]=Tabla467824[[#This Row],[Columna2]], "IGUAL", "DISTINTO")</f>
        <v>IGUAL</v>
      </c>
      <c r="BB57" s="214" t="str">
        <f>+IF(Tabla467824[[#This Row],[Columna4]]=Tabla467824[[#This Row],[Combustible2]], "IGUAL", "DISTINTO")</f>
        <v>IGUAL</v>
      </c>
      <c r="BC57" s="202" t="s">
        <v>481</v>
      </c>
      <c r="BD57" s="215" cm="1">
        <f t="array" ref="BD57">IFERROR(INDEX('[1]Anexos FICHA TRA050'!$D$27:$D$44, MATCH(Tabla467824[[#This Row],[Columna5]]&amp;Tabla467824[[#This Row],[Columna4]], '[1]Anexos FICHA TRA050'!$E$27:$E$44&amp;'[1]Anexos FICHA TRA050'!$F$27:$F$44, 0)), "")</f>
        <v>5.63</v>
      </c>
      <c r="BE57" s="215">
        <f>IFERROR(INDEX('[1]Anexos FICHA TRA050'!$B$4:$B$7, MATCH(Tabla467824[[#This Row],[Columna4]], '[1]Anexos FICHA TRA050'!$C$4:$C$7, 0)), "")</f>
        <v>10</v>
      </c>
      <c r="BF57" s="215">
        <f>IFERROR(INDEX('[1]Anexos FICHA TRA050'!$C$14:$C$22, MATCH(Tabla467824[[#This Row],[Columna5]], '[1]Anexos FICHA TRA050'!$D$14:$D$22, 0)), "")</f>
        <v>20.84</v>
      </c>
      <c r="BG57" s="216">
        <f>IFERROR(INDEX('[1]Anexos FICHA TRA050'!$C$49:$C$54, MATCH(Tabla467824[[#This Row],[Columna5]], '[1]Anexos FICHA TRA050'!$D$49:$D$54, 0)), "")</f>
        <v>15815</v>
      </c>
      <c r="BH57" s="217">
        <f>+(((Tabla467824[[#This Row],[CVA2]]*Tabla467824[[#This Row],[f2]])-Tabla467824[[#This Row],[CVN2]])/100)*Tabla467824[[#This Row],[L2]]</f>
        <v>5607.9989999999989</v>
      </c>
      <c r="BI57" s="218"/>
      <c r="BJ57" s="218"/>
      <c r="BK57" s="218" t="str">
        <f>+IF(Tabla467824[[#This Row],[F]]=Tabla467824[[#This Row],[f2]], "IGUAL", "DISTINTO")</f>
        <v>IGUAL</v>
      </c>
      <c r="BL57" s="218" t="str">
        <f>+IF(Tabla467824[[#This Row],[CVN]]=Tabla467824[[#This Row],[CVN2]], "IGUAL", "DISTINTO")</f>
        <v>DISTINTO</v>
      </c>
      <c r="BM57" s="219" t="str">
        <f>+IF(Tabla467824[[#This Row],[L]]=Tabla467824[[#This Row],[L2]], "IGUAL", "DISTINTO")</f>
        <v>IGUAL</v>
      </c>
    </row>
    <row r="58" spans="1:146" x14ac:dyDescent="0.25">
      <c r="A58">
        <v>55</v>
      </c>
      <c r="B58" s="202" t="s">
        <v>486</v>
      </c>
      <c r="C58" s="203" t="s">
        <v>487</v>
      </c>
      <c r="D58" s="203" t="s">
        <v>128</v>
      </c>
      <c r="E58" s="203" t="s">
        <v>78</v>
      </c>
      <c r="F58" s="203" t="s">
        <v>78</v>
      </c>
      <c r="G58" s="203" t="s">
        <v>128</v>
      </c>
      <c r="H58" s="203" t="s">
        <v>72</v>
      </c>
      <c r="I58" s="203" t="s">
        <v>72</v>
      </c>
      <c r="J58" s="203" t="s">
        <v>72</v>
      </c>
      <c r="K58" s="203"/>
      <c r="L58" s="203" t="s">
        <v>72</v>
      </c>
      <c r="M58" s="203" t="s">
        <v>72</v>
      </c>
      <c r="N58" s="203"/>
      <c r="O58" s="203" t="s">
        <v>73</v>
      </c>
      <c r="P58" s="203" t="s">
        <v>200</v>
      </c>
      <c r="Q58" s="203" t="s">
        <v>201</v>
      </c>
      <c r="R58" s="203" t="s">
        <v>76</v>
      </c>
      <c r="S58" s="209">
        <v>44176</v>
      </c>
      <c r="T58" s="205">
        <v>45637</v>
      </c>
      <c r="U58" s="206">
        <v>1461</v>
      </c>
      <c r="V58" s="207">
        <v>2024</v>
      </c>
      <c r="W58" s="203" t="s">
        <v>77</v>
      </c>
      <c r="X58" s="203" t="s">
        <v>78</v>
      </c>
      <c r="Y58" s="203" t="s">
        <v>467</v>
      </c>
      <c r="Z58" s="203" t="s">
        <v>476</v>
      </c>
      <c r="AA58" s="203" t="s">
        <v>190</v>
      </c>
      <c r="AB58" s="203" t="s">
        <v>191</v>
      </c>
      <c r="AC58" s="203" t="s">
        <v>194</v>
      </c>
      <c r="AD58" s="208">
        <v>5</v>
      </c>
      <c r="AE58" s="208" t="s">
        <v>488</v>
      </c>
      <c r="AF58" s="208" t="s">
        <v>85</v>
      </c>
      <c r="AG58" s="208" t="s">
        <v>86</v>
      </c>
      <c r="AH58" s="208" t="s">
        <v>87</v>
      </c>
      <c r="AI58" s="208" t="s">
        <v>477</v>
      </c>
      <c r="AJ58" s="205" t="s">
        <v>89</v>
      </c>
      <c r="AK58" s="204">
        <v>45646</v>
      </c>
      <c r="AL58" s="208">
        <v>0</v>
      </c>
      <c r="AM58" s="209" t="s">
        <v>190</v>
      </c>
      <c r="AN58" s="209" t="s">
        <v>489</v>
      </c>
      <c r="AO58" s="209" t="s">
        <v>191</v>
      </c>
      <c r="AP58" s="209"/>
      <c r="AQ58" s="209" t="s">
        <v>72</v>
      </c>
      <c r="AR58" s="209" t="s">
        <v>91</v>
      </c>
      <c r="AS58" s="209" t="s">
        <v>490</v>
      </c>
      <c r="AT58" s="210">
        <v>5.6</v>
      </c>
      <c r="AU58" s="211">
        <v>10</v>
      </c>
      <c r="AV58" s="212">
        <v>17.3</v>
      </c>
      <c r="AW58" s="213">
        <v>15815</v>
      </c>
      <c r="AX58" s="213">
        <v>6120.4049999999997</v>
      </c>
      <c r="AY58" s="210" t="s">
        <v>128</v>
      </c>
      <c r="AZ58" s="209" t="s">
        <v>93</v>
      </c>
      <c r="BA58" s="214" t="str">
        <f>+IF(Tabla467824[[#This Row],[TIPO VEHÍCULO]]=Tabla467824[[#This Row],[Columna2]], "IGUAL", "DISTINTO")</f>
        <v>IGUAL</v>
      </c>
      <c r="BB58" s="214" t="str">
        <f>+IF(Tabla467824[[#This Row],[Columna4]]=Tabla467824[[#This Row],[Combustible2]], "IGUAL", "DISTINTO")</f>
        <v>IGUAL</v>
      </c>
      <c r="BC58" s="202" t="s">
        <v>486</v>
      </c>
      <c r="BD58" s="215" cm="1">
        <f t="array" ref="BD58">IFERROR(INDEX('[1]Anexos FICHA TRA050'!$D$27:$D$44, MATCH(Tabla467824[[#This Row],[Columna5]]&amp;Tabla467824[[#This Row],[Columna4]], '[1]Anexos FICHA TRA050'!$E$27:$E$44&amp;'[1]Anexos FICHA TRA050'!$F$27:$F$44, 0)), "")</f>
        <v>5.63</v>
      </c>
      <c r="BE58" s="215">
        <f>IFERROR(INDEX('[1]Anexos FICHA TRA050'!$B$4:$B$7, MATCH(Tabla467824[[#This Row],[Columna4]], '[1]Anexos FICHA TRA050'!$C$4:$C$7, 0)), "")</f>
        <v>10</v>
      </c>
      <c r="BF58" s="215">
        <f>IFERROR(INDEX('[1]Anexos FICHA TRA050'!$C$14:$C$22, MATCH(Tabla467824[[#This Row],[Columna5]], '[1]Anexos FICHA TRA050'!$D$14:$D$22, 0)), "")</f>
        <v>20.84</v>
      </c>
      <c r="BG58" s="216">
        <f>IFERROR(INDEX('[1]Anexos FICHA TRA050'!$C$49:$C$54, MATCH(Tabla467824[[#This Row],[Columna5]], '[1]Anexos FICHA TRA050'!$D$49:$D$54, 0)), "")</f>
        <v>15815</v>
      </c>
      <c r="BH58" s="217">
        <f>+(((Tabla467824[[#This Row],[CVA2]]*Tabla467824[[#This Row],[f2]])-Tabla467824[[#This Row],[CVN2]])/100)*Tabla467824[[#This Row],[L2]]</f>
        <v>5607.9989999999989</v>
      </c>
      <c r="BI58" s="218"/>
      <c r="BJ58" s="218"/>
      <c r="BK58" s="218" t="str">
        <f>+IF(Tabla467824[[#This Row],[F]]=Tabla467824[[#This Row],[f2]], "IGUAL", "DISTINTO")</f>
        <v>IGUAL</v>
      </c>
      <c r="BL58" s="218" t="str">
        <f>+IF(Tabla467824[[#This Row],[CVN]]=Tabla467824[[#This Row],[CVN2]], "IGUAL", "DISTINTO")</f>
        <v>DISTINTO</v>
      </c>
      <c r="BM58" s="219" t="str">
        <f>+IF(Tabla467824[[#This Row],[L]]=Tabla467824[[#This Row],[L2]], "IGUAL", "DISTINTO")</f>
        <v>IGUAL</v>
      </c>
    </row>
    <row r="59" spans="1:146" x14ac:dyDescent="0.25">
      <c r="A59">
        <v>56</v>
      </c>
      <c r="B59" s="202" t="s">
        <v>491</v>
      </c>
      <c r="C59" s="203" t="s">
        <v>492</v>
      </c>
      <c r="D59" s="203" t="s">
        <v>128</v>
      </c>
      <c r="E59" s="203" t="s">
        <v>78</v>
      </c>
      <c r="F59" s="203" t="s">
        <v>78</v>
      </c>
      <c r="G59" s="203" t="s">
        <v>128</v>
      </c>
      <c r="H59" s="203" t="s">
        <v>72</v>
      </c>
      <c r="I59" s="203" t="s">
        <v>72</v>
      </c>
      <c r="J59" s="203" t="s">
        <v>72</v>
      </c>
      <c r="K59" s="203"/>
      <c r="L59" s="203" t="s">
        <v>72</v>
      </c>
      <c r="M59" s="203" t="s">
        <v>72</v>
      </c>
      <c r="N59" s="203"/>
      <c r="O59" s="203" t="s">
        <v>73</v>
      </c>
      <c r="P59" s="203" t="s">
        <v>200</v>
      </c>
      <c r="Q59" s="203" t="s">
        <v>201</v>
      </c>
      <c r="R59" s="203" t="s">
        <v>160</v>
      </c>
      <c r="S59" s="209">
        <v>44189</v>
      </c>
      <c r="T59" s="205">
        <v>45650</v>
      </c>
      <c r="U59" s="206">
        <v>1461</v>
      </c>
      <c r="V59" s="207">
        <v>2024</v>
      </c>
      <c r="W59" s="203" t="s">
        <v>161</v>
      </c>
      <c r="X59" s="203" t="s">
        <v>78</v>
      </c>
      <c r="Y59" s="203" t="s">
        <v>467</v>
      </c>
      <c r="Z59" s="203" t="s">
        <v>476</v>
      </c>
      <c r="AA59" s="203" t="s">
        <v>102</v>
      </c>
      <c r="AB59" s="203" t="s">
        <v>103</v>
      </c>
      <c r="AC59" s="203" t="s">
        <v>493</v>
      </c>
      <c r="AD59" s="208">
        <v>10</v>
      </c>
      <c r="AE59" s="208" t="s">
        <v>494</v>
      </c>
      <c r="AF59" s="208" t="s">
        <v>85</v>
      </c>
      <c r="AG59" s="208" t="s">
        <v>86</v>
      </c>
      <c r="AH59" s="208" t="s">
        <v>87</v>
      </c>
      <c r="AI59" s="208" t="s">
        <v>495</v>
      </c>
      <c r="AJ59" s="205" t="s">
        <v>89</v>
      </c>
      <c r="AK59" s="204">
        <v>45625</v>
      </c>
      <c r="AL59" s="208">
        <v>0</v>
      </c>
      <c r="AM59" s="209" t="s">
        <v>102</v>
      </c>
      <c r="AN59" s="209" t="s">
        <v>496</v>
      </c>
      <c r="AO59" s="209" t="s">
        <v>103</v>
      </c>
      <c r="AP59" s="209"/>
      <c r="AQ59" s="209" t="s">
        <v>72</v>
      </c>
      <c r="AR59" s="209" t="s">
        <v>109</v>
      </c>
      <c r="AS59" s="209" t="s">
        <v>497</v>
      </c>
      <c r="AT59" s="210">
        <v>5.6</v>
      </c>
      <c r="AU59" s="211">
        <v>10</v>
      </c>
      <c r="AV59" s="212">
        <v>17.3</v>
      </c>
      <c r="AW59" s="213">
        <v>15815</v>
      </c>
      <c r="AX59" s="213">
        <v>6120.4049999999997</v>
      </c>
      <c r="AY59" s="210" t="s">
        <v>128</v>
      </c>
      <c r="AZ59" s="209" t="s">
        <v>93</v>
      </c>
      <c r="BA59" s="214" t="str">
        <f>+IF(Tabla467824[[#This Row],[TIPO VEHÍCULO]]=Tabla467824[[#This Row],[Columna2]], "IGUAL", "DISTINTO")</f>
        <v>IGUAL</v>
      </c>
      <c r="BB59" s="214" t="str">
        <f>+IF(Tabla467824[[#This Row],[Columna4]]=Tabla467824[[#This Row],[Combustible2]], "IGUAL", "DISTINTO")</f>
        <v>IGUAL</v>
      </c>
      <c r="BC59" s="202" t="s">
        <v>491</v>
      </c>
      <c r="BD59" s="215" cm="1">
        <f t="array" ref="BD59">IFERROR(INDEX('[1]Anexos FICHA TRA050'!$D$27:$D$44, MATCH(Tabla467824[[#This Row],[Columna5]]&amp;Tabla467824[[#This Row],[Columna4]], '[1]Anexos FICHA TRA050'!$E$27:$E$44&amp;'[1]Anexos FICHA TRA050'!$F$27:$F$44, 0)), "")</f>
        <v>5.63</v>
      </c>
      <c r="BE59" s="215">
        <f>IFERROR(INDEX('[1]Anexos FICHA TRA050'!$B$4:$B$7, MATCH(Tabla467824[[#This Row],[Columna4]], '[1]Anexos FICHA TRA050'!$C$4:$C$7, 0)), "")</f>
        <v>10</v>
      </c>
      <c r="BF59" s="215">
        <f>IFERROR(INDEX('[1]Anexos FICHA TRA050'!$C$14:$C$22, MATCH(Tabla467824[[#This Row],[Columna5]], '[1]Anexos FICHA TRA050'!$D$14:$D$22, 0)), "")</f>
        <v>20.84</v>
      </c>
      <c r="BG59" s="216">
        <f>IFERROR(INDEX('[1]Anexos FICHA TRA050'!$C$49:$C$54, MATCH(Tabla467824[[#This Row],[Columna5]], '[1]Anexos FICHA TRA050'!$D$49:$D$54, 0)), "")</f>
        <v>15815</v>
      </c>
      <c r="BH59" s="217">
        <f>+(((Tabla467824[[#This Row],[CVA2]]*Tabla467824[[#This Row],[f2]])-Tabla467824[[#This Row],[CVN2]])/100)*Tabla467824[[#This Row],[L2]]</f>
        <v>5607.9989999999989</v>
      </c>
      <c r="BI59" s="218"/>
      <c r="BJ59" s="218"/>
      <c r="BK59" s="218" t="str">
        <f>+IF(Tabla467824[[#This Row],[F]]=Tabla467824[[#This Row],[f2]], "IGUAL", "DISTINTO")</f>
        <v>IGUAL</v>
      </c>
      <c r="BL59" s="218" t="str">
        <f>+IF(Tabla467824[[#This Row],[CVN]]=Tabla467824[[#This Row],[CVN2]], "IGUAL", "DISTINTO")</f>
        <v>DISTINTO</v>
      </c>
      <c r="BM59" s="219" t="str">
        <f>+IF(Tabla467824[[#This Row],[L]]=Tabla467824[[#This Row],[L2]], "IGUAL", "DISTINTO")</f>
        <v>IGUAL</v>
      </c>
    </row>
    <row r="60" spans="1:146" x14ac:dyDescent="0.25">
      <c r="A60">
        <v>57</v>
      </c>
      <c r="B60" s="202" t="s">
        <v>498</v>
      </c>
      <c r="C60" s="203" t="s">
        <v>499</v>
      </c>
      <c r="D60" s="203" t="s">
        <v>70</v>
      </c>
      <c r="E60" s="203" t="s">
        <v>78</v>
      </c>
      <c r="F60" s="203" t="s">
        <v>78</v>
      </c>
      <c r="G60" s="203" t="s">
        <v>70</v>
      </c>
      <c r="H60" s="203" t="s">
        <v>72</v>
      </c>
      <c r="I60" s="203" t="s">
        <v>72</v>
      </c>
      <c r="J60" s="203" t="s">
        <v>72</v>
      </c>
      <c r="K60" s="203"/>
      <c r="L60" s="203" t="s">
        <v>72</v>
      </c>
      <c r="M60" s="203" t="s">
        <v>72</v>
      </c>
      <c r="N60" s="203"/>
      <c r="O60" s="203" t="s">
        <v>73</v>
      </c>
      <c r="P60" s="203" t="s">
        <v>200</v>
      </c>
      <c r="Q60" s="203" t="s">
        <v>201</v>
      </c>
      <c r="R60" s="203" t="s">
        <v>76</v>
      </c>
      <c r="S60" s="209">
        <v>44176</v>
      </c>
      <c r="T60" s="205">
        <v>45637</v>
      </c>
      <c r="U60" s="206">
        <v>1461</v>
      </c>
      <c r="V60" s="207">
        <v>2024</v>
      </c>
      <c r="W60" s="203" t="s">
        <v>77</v>
      </c>
      <c r="X60" s="203" t="s">
        <v>78</v>
      </c>
      <c r="Y60" s="203" t="s">
        <v>467</v>
      </c>
      <c r="Z60" s="203" t="s">
        <v>500</v>
      </c>
      <c r="AA60" s="203" t="s">
        <v>119</v>
      </c>
      <c r="AB60" s="203" t="s">
        <v>120</v>
      </c>
      <c r="AC60" s="203" t="s">
        <v>501</v>
      </c>
      <c r="AD60" s="208">
        <v>15</v>
      </c>
      <c r="AE60" s="208" t="s">
        <v>502</v>
      </c>
      <c r="AF60" s="208" t="s">
        <v>140</v>
      </c>
      <c r="AG60" s="208" t="s">
        <v>151</v>
      </c>
      <c r="AH60" s="208" t="s">
        <v>87</v>
      </c>
      <c r="AI60" s="208" t="s">
        <v>243</v>
      </c>
      <c r="AJ60" s="205" t="s">
        <v>89</v>
      </c>
      <c r="AK60" s="204">
        <v>45625</v>
      </c>
      <c r="AL60" s="208">
        <v>0</v>
      </c>
      <c r="AM60" s="209" t="s">
        <v>119</v>
      </c>
      <c r="AN60" s="209" t="s">
        <v>503</v>
      </c>
      <c r="AO60" s="209" t="s">
        <v>120</v>
      </c>
      <c r="AP60" s="209"/>
      <c r="AQ60" s="209" t="s">
        <v>72</v>
      </c>
      <c r="AR60" s="209" t="s">
        <v>91</v>
      </c>
      <c r="AS60" s="209" t="s">
        <v>504</v>
      </c>
      <c r="AT60" s="210">
        <v>5.6</v>
      </c>
      <c r="AU60" s="211">
        <v>10</v>
      </c>
      <c r="AV60" s="212">
        <v>16.399999999999999</v>
      </c>
      <c r="AW60" s="213">
        <v>15815</v>
      </c>
      <c r="AX60" s="213">
        <v>6262.7400000000007</v>
      </c>
      <c r="AY60" s="210" t="s">
        <v>128</v>
      </c>
      <c r="AZ60" s="209" t="s">
        <v>93</v>
      </c>
      <c r="BA60" s="214" t="str">
        <f>+IF(Tabla467824[[#This Row],[TIPO VEHÍCULO]]=Tabla467824[[#This Row],[Columna2]], "IGUAL", "DISTINTO")</f>
        <v>DISTINTO</v>
      </c>
      <c r="BB60" s="214" t="str">
        <f>+IF(Tabla467824[[#This Row],[Columna4]]=Tabla467824[[#This Row],[Combustible2]], "IGUAL", "DISTINTO")</f>
        <v>IGUAL</v>
      </c>
      <c r="BC60" s="202" t="s">
        <v>498</v>
      </c>
      <c r="BD60" s="215" cm="1">
        <f t="array" ref="BD60">IFERROR(INDEX('[1]Anexos FICHA TRA050'!$D$27:$D$44, MATCH(Tabla467824[[#This Row],[Columna5]]&amp;Tabla467824[[#This Row],[Columna4]], '[1]Anexos FICHA TRA050'!$E$27:$E$44&amp;'[1]Anexos FICHA TRA050'!$F$27:$F$44, 0)), "")</f>
        <v>6.99</v>
      </c>
      <c r="BE60" s="215">
        <f>IFERROR(INDEX('[1]Anexos FICHA TRA050'!$B$4:$B$7, MATCH(Tabla467824[[#This Row],[Columna4]], '[1]Anexos FICHA TRA050'!$C$4:$C$7, 0)), "")</f>
        <v>10</v>
      </c>
      <c r="BF60" s="215">
        <f>IFERROR(INDEX('[1]Anexos FICHA TRA050'!$C$14:$C$22, MATCH(Tabla467824[[#This Row],[Columna5]], '[1]Anexos FICHA TRA050'!$D$14:$D$22, 0)), "")</f>
        <v>17.920000000000002</v>
      </c>
      <c r="BG60" s="216">
        <f>IFERROR(INDEX('[1]Anexos FICHA TRA050'!$C$49:$C$54, MATCH(Tabla467824[[#This Row],[Columna5]], '[1]Anexos FICHA TRA050'!$D$49:$D$54, 0)), "")</f>
        <v>13073</v>
      </c>
      <c r="BH60" s="217">
        <f>+(((Tabla467824[[#This Row],[CVA2]]*Tabla467824[[#This Row],[f2]])-Tabla467824[[#This Row],[CVN2]])/100)*Tabla467824[[#This Row],[L2]]</f>
        <v>6795.3454000000002</v>
      </c>
      <c r="BI60" s="218"/>
      <c r="BJ60" s="218"/>
      <c r="BK60" s="218" t="str">
        <f>+IF(Tabla467824[[#This Row],[F]]=Tabla467824[[#This Row],[f2]], "IGUAL", "DISTINTO")</f>
        <v>IGUAL</v>
      </c>
      <c r="BL60" s="218" t="str">
        <f>+IF(Tabla467824[[#This Row],[CVN]]=Tabla467824[[#This Row],[CVN2]], "IGUAL", "DISTINTO")</f>
        <v>DISTINTO</v>
      </c>
      <c r="BM60" s="219" t="str">
        <f>+IF(Tabla467824[[#This Row],[L]]=Tabla467824[[#This Row],[L2]], "IGUAL", "DISTINTO")</f>
        <v>DISTINTO</v>
      </c>
    </row>
    <row r="61" spans="1:146" s="235" customFormat="1" x14ac:dyDescent="0.25">
      <c r="A61">
        <v>58</v>
      </c>
      <c r="B61" s="202" t="s">
        <v>505</v>
      </c>
      <c r="C61" s="203" t="s">
        <v>506</v>
      </c>
      <c r="D61" s="203" t="s">
        <v>70</v>
      </c>
      <c r="E61" s="203" t="s">
        <v>78</v>
      </c>
      <c r="F61" s="203" t="s">
        <v>78</v>
      </c>
      <c r="G61" s="203" t="s">
        <v>70</v>
      </c>
      <c r="H61" s="203" t="s">
        <v>72</v>
      </c>
      <c r="I61" s="203" t="s">
        <v>72</v>
      </c>
      <c r="J61" s="203" t="s">
        <v>72</v>
      </c>
      <c r="K61" s="203"/>
      <c r="L61" s="203" t="s">
        <v>72</v>
      </c>
      <c r="M61" s="203" t="s">
        <v>72</v>
      </c>
      <c r="N61" s="203"/>
      <c r="O61" s="203" t="s">
        <v>73</v>
      </c>
      <c r="P61" s="203" t="s">
        <v>200</v>
      </c>
      <c r="Q61" s="203" t="s">
        <v>201</v>
      </c>
      <c r="R61" s="203" t="s">
        <v>76</v>
      </c>
      <c r="S61" s="209">
        <v>44176</v>
      </c>
      <c r="T61" s="205">
        <v>45637</v>
      </c>
      <c r="U61" s="206">
        <v>1461</v>
      </c>
      <c r="V61" s="207">
        <v>2024</v>
      </c>
      <c r="W61" s="203" t="s">
        <v>77</v>
      </c>
      <c r="X61" s="203" t="s">
        <v>78</v>
      </c>
      <c r="Y61" s="203" t="s">
        <v>467</v>
      </c>
      <c r="Z61" s="203" t="s">
        <v>500</v>
      </c>
      <c r="AA61" s="203" t="s">
        <v>215</v>
      </c>
      <c r="AB61" s="203" t="s">
        <v>216</v>
      </c>
      <c r="AC61" s="203" t="s">
        <v>507</v>
      </c>
      <c r="AD61" s="208">
        <v>2</v>
      </c>
      <c r="AE61" s="208" t="s">
        <v>508</v>
      </c>
      <c r="AF61" s="208" t="s">
        <v>140</v>
      </c>
      <c r="AG61" s="208" t="s">
        <v>151</v>
      </c>
      <c r="AH61" s="208" t="s">
        <v>87</v>
      </c>
      <c r="AI61" s="208" t="s">
        <v>509</v>
      </c>
      <c r="AJ61" s="205" t="s">
        <v>89</v>
      </c>
      <c r="AK61" s="204">
        <v>45625</v>
      </c>
      <c r="AL61" s="208">
        <v>0</v>
      </c>
      <c r="AM61" s="209" t="s">
        <v>215</v>
      </c>
      <c r="AN61" s="209" t="s">
        <v>510</v>
      </c>
      <c r="AO61" s="209" t="s">
        <v>216</v>
      </c>
      <c r="AP61" s="209"/>
      <c r="AQ61" s="209" t="s">
        <v>72</v>
      </c>
      <c r="AR61" s="209" t="s">
        <v>91</v>
      </c>
      <c r="AS61" s="209" t="s">
        <v>511</v>
      </c>
      <c r="AT61" s="210">
        <v>5.6</v>
      </c>
      <c r="AU61" s="211">
        <v>10</v>
      </c>
      <c r="AV61" s="212">
        <v>16.399999999999999</v>
      </c>
      <c r="AW61" s="213">
        <v>15815</v>
      </c>
      <c r="AX61" s="213">
        <v>6262.7400000000007</v>
      </c>
      <c r="AY61" s="210" t="s">
        <v>128</v>
      </c>
      <c r="AZ61" s="209" t="s">
        <v>93</v>
      </c>
      <c r="BA61" s="234" t="str">
        <f>+IF(Tabla467824[[#This Row],[TIPO VEHÍCULO]]=Tabla467824[[#This Row],[Columna2]], "IGUAL", "DISTINTO")</f>
        <v>DISTINTO</v>
      </c>
      <c r="BB61" s="214" t="str">
        <f>+IF(Tabla467824[[#This Row],[Columna4]]=Tabla467824[[#This Row],[Combustible2]], "IGUAL", "DISTINTO")</f>
        <v>IGUAL</v>
      </c>
      <c r="BC61" s="202" t="s">
        <v>505</v>
      </c>
      <c r="BD61" s="215" cm="1">
        <f t="array" ref="BD61">IFERROR(INDEX('[1]Anexos FICHA TRA050'!$D$27:$D$44, MATCH(Tabla467824[[#This Row],[Columna5]]&amp;Tabla467824[[#This Row],[Columna4]], '[1]Anexos FICHA TRA050'!$E$27:$E$44&amp;'[1]Anexos FICHA TRA050'!$F$27:$F$44, 0)), "")</f>
        <v>6.99</v>
      </c>
      <c r="BE61" s="215">
        <f>IFERROR(INDEX('[1]Anexos FICHA TRA050'!$B$4:$B$7, MATCH(Tabla467824[[#This Row],[Columna4]], '[1]Anexos FICHA TRA050'!$C$4:$C$7, 0)), "")</f>
        <v>10</v>
      </c>
      <c r="BF61" s="215">
        <f>IFERROR(INDEX('[1]Anexos FICHA TRA050'!$C$14:$C$22, MATCH(Tabla467824[[#This Row],[Columna5]], '[1]Anexos FICHA TRA050'!$D$14:$D$22, 0)), "")</f>
        <v>17.920000000000002</v>
      </c>
      <c r="BG61" s="216">
        <f>IFERROR(INDEX('[1]Anexos FICHA TRA050'!$C$49:$C$54, MATCH(Tabla467824[[#This Row],[Columna5]], '[1]Anexos FICHA TRA050'!$D$49:$D$54, 0)), "")</f>
        <v>13073</v>
      </c>
      <c r="BH61" s="217">
        <f>+(((Tabla467824[[#This Row],[CVA2]]*Tabla467824[[#This Row],[f2]])-Tabla467824[[#This Row],[CVN2]])/100)*Tabla467824[[#This Row],[L2]]</f>
        <v>6795.3454000000002</v>
      </c>
      <c r="BI61" s="218" t="s">
        <v>512</v>
      </c>
      <c r="BJ61" s="218"/>
      <c r="BK61" s="218" t="str">
        <f>+IF(Tabla467824[[#This Row],[F]]=Tabla467824[[#This Row],[f2]], "IGUAL", "DISTINTO")</f>
        <v>IGUAL</v>
      </c>
      <c r="BL61" s="218" t="str">
        <f>+IF(Tabla467824[[#This Row],[CVN]]=Tabla467824[[#This Row],[CVN2]], "IGUAL", "DISTINTO")</f>
        <v>DISTINTO</v>
      </c>
      <c r="BM61" s="219" t="str">
        <f>+IF(Tabla467824[[#This Row],[L]]=Tabla467824[[#This Row],[L2]], "IGUAL", "DISTINTO")</f>
        <v>DISTINTO</v>
      </c>
      <c r="BN61" t="s">
        <v>513</v>
      </c>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row>
    <row r="62" spans="1:146" x14ac:dyDescent="0.25">
      <c r="A62">
        <v>59</v>
      </c>
      <c r="B62" s="202" t="s">
        <v>514</v>
      </c>
      <c r="C62" s="203" t="s">
        <v>515</v>
      </c>
      <c r="D62" s="203" t="s">
        <v>516</v>
      </c>
      <c r="E62" s="203" t="s">
        <v>425</v>
      </c>
      <c r="F62" s="203" t="s">
        <v>78</v>
      </c>
      <c r="G62" s="203" t="s">
        <v>516</v>
      </c>
      <c r="H62" s="203"/>
      <c r="I62" s="203"/>
      <c r="J62" s="203"/>
      <c r="K62" s="203" t="s">
        <v>72</v>
      </c>
      <c r="L62" s="203" t="s">
        <v>72</v>
      </c>
      <c r="M62" s="203" t="s">
        <v>72</v>
      </c>
      <c r="N62" s="203"/>
      <c r="O62" s="203" t="s">
        <v>158</v>
      </c>
      <c r="P62" s="203" t="s">
        <v>159</v>
      </c>
      <c r="Q62" s="203" t="s">
        <v>158</v>
      </c>
      <c r="R62" s="203" t="s">
        <v>171</v>
      </c>
      <c r="S62" s="204">
        <v>39827</v>
      </c>
      <c r="T62" s="205">
        <v>45574</v>
      </c>
      <c r="U62" s="206">
        <v>5747</v>
      </c>
      <c r="V62" s="207">
        <v>2024</v>
      </c>
      <c r="W62" s="203" t="s">
        <v>172</v>
      </c>
      <c r="X62" s="203" t="s">
        <v>78</v>
      </c>
      <c r="Y62" s="203" t="s">
        <v>85</v>
      </c>
      <c r="Z62" s="203" t="s">
        <v>517</v>
      </c>
      <c r="AA62" s="203" t="s">
        <v>190</v>
      </c>
      <c r="AB62" s="203" t="s">
        <v>191</v>
      </c>
      <c r="AC62" s="203" t="s">
        <v>518</v>
      </c>
      <c r="AD62" s="208">
        <v>6</v>
      </c>
      <c r="AE62" s="208" t="s">
        <v>519</v>
      </c>
      <c r="AF62" s="208" t="s">
        <v>85</v>
      </c>
      <c r="AG62" s="208" t="s">
        <v>86</v>
      </c>
      <c r="AH62" s="208" t="s">
        <v>87</v>
      </c>
      <c r="AI62" s="208" t="s">
        <v>194</v>
      </c>
      <c r="AJ62" s="205" t="s">
        <v>89</v>
      </c>
      <c r="AK62" s="204">
        <v>45646</v>
      </c>
      <c r="AL62" s="208">
        <v>0</v>
      </c>
      <c r="AM62" s="209" t="s">
        <v>190</v>
      </c>
      <c r="AN62" s="209" t="s">
        <v>520</v>
      </c>
      <c r="AO62" s="209" t="s">
        <v>191</v>
      </c>
      <c r="AP62" s="209"/>
      <c r="AQ62" s="209" t="s">
        <v>72</v>
      </c>
      <c r="AR62" s="209" t="s">
        <v>91</v>
      </c>
      <c r="AS62" s="209" t="s">
        <v>521</v>
      </c>
      <c r="AT62" s="210">
        <v>35</v>
      </c>
      <c r="AU62" s="211">
        <v>10</v>
      </c>
      <c r="AV62" s="212">
        <v>17.3</v>
      </c>
      <c r="AW62" s="213">
        <v>53508</v>
      </c>
      <c r="AX62" s="213">
        <v>178021.11600000001</v>
      </c>
      <c r="AY62" s="210" t="s">
        <v>516</v>
      </c>
      <c r="AZ62" s="209" t="s">
        <v>168</v>
      </c>
      <c r="BA62" s="214" t="str">
        <f>+IF(Tabla467824[[#This Row],[TIPO VEHÍCULO]]=Tabla467824[[#This Row],[Columna2]], "IGUAL", "DISTINTO")</f>
        <v>IGUAL</v>
      </c>
      <c r="BB62" s="214" t="str">
        <f>+IF(Tabla467824[[#This Row],[Columna4]]=Tabla467824[[#This Row],[Combustible2]], "IGUAL", "DISTINTO")</f>
        <v>IGUAL</v>
      </c>
      <c r="BC62" s="202" t="s">
        <v>514</v>
      </c>
      <c r="BD62" s="215" cm="1">
        <f t="array" ref="BD62">IFERROR(INDEX('[1]Anexos FICHA TRA050'!$D$27:$D$44, MATCH(Tabla467824[[#This Row],[Columna5]]&amp;Tabla467824[[#This Row],[Columna4]], '[1]Anexos FICHA TRA050'!$E$27:$E$44&amp;'[1]Anexos FICHA TRA050'!$F$27:$F$44, 0)), "")</f>
        <v>35</v>
      </c>
      <c r="BE62" s="215">
        <f>IFERROR(INDEX('[1]Anexos FICHA TRA050'!$B$4:$B$7, MATCH(Tabla467824[[#This Row],[Columna4]], '[1]Anexos FICHA TRA050'!$C$4:$C$7, 0)), "")</f>
        <v>10</v>
      </c>
      <c r="BF62" s="215">
        <f>IFERROR(INDEX('[1]Anexos FICHA TRA050'!$C$14:$C$22, MATCH(Tabla467824[[#This Row],[Columna5]], '[1]Anexos FICHA TRA050'!$D$14:$D$22, 0)), "")</f>
        <v>118.53</v>
      </c>
      <c r="BG62" s="216">
        <f>IFERROR(INDEX('[1]Anexos FICHA TRA050'!$C$49:$C$54, MATCH(Tabla467824[[#This Row],[Columna5]], '[1]Anexos FICHA TRA050'!$D$49:$D$54, 0)), "")</f>
        <v>53508</v>
      </c>
      <c r="BH62" s="217">
        <f>+(((Tabla467824[[#This Row],[CVA2]]*Tabla467824[[#This Row],[f2]])-Tabla467824[[#This Row],[CVN2]])/100)*Tabla467824[[#This Row],[L2]]</f>
        <v>123854.9676</v>
      </c>
      <c r="BI62" s="218"/>
      <c r="BJ62" s="218"/>
      <c r="BK62" s="218" t="str">
        <f>+IF(Tabla467824[[#This Row],[F]]=Tabla467824[[#This Row],[f2]], "IGUAL", "DISTINTO")</f>
        <v>IGUAL</v>
      </c>
      <c r="BL62" s="218" t="str">
        <f>+IF(Tabla467824[[#This Row],[CVN]]=Tabla467824[[#This Row],[CVN2]], "IGUAL", "DISTINTO")</f>
        <v>DISTINTO</v>
      </c>
      <c r="BM62" s="219" t="str">
        <f>+IF(Tabla467824[[#This Row],[L]]=Tabla467824[[#This Row],[L2]], "IGUAL", "DISTINTO")</f>
        <v>IGUAL</v>
      </c>
    </row>
    <row r="63" spans="1:146" x14ac:dyDescent="0.25">
      <c r="A63">
        <v>60</v>
      </c>
      <c r="B63" s="202" t="s">
        <v>522</v>
      </c>
      <c r="C63" s="203" t="s">
        <v>523</v>
      </c>
      <c r="D63" s="203" t="s">
        <v>516</v>
      </c>
      <c r="E63" s="203" t="s">
        <v>425</v>
      </c>
      <c r="F63" s="203" t="s">
        <v>78</v>
      </c>
      <c r="G63" s="203" t="s">
        <v>516</v>
      </c>
      <c r="H63" s="203"/>
      <c r="I63" s="203"/>
      <c r="J63" s="203"/>
      <c r="K63" s="203" t="s">
        <v>72</v>
      </c>
      <c r="L63" s="203" t="s">
        <v>72</v>
      </c>
      <c r="M63" s="203" t="s">
        <v>72</v>
      </c>
      <c r="N63" s="203"/>
      <c r="O63" s="203" t="s">
        <v>158</v>
      </c>
      <c r="P63" s="203" t="s">
        <v>159</v>
      </c>
      <c r="Q63" s="203" t="s">
        <v>158</v>
      </c>
      <c r="R63" s="203" t="s">
        <v>171</v>
      </c>
      <c r="S63" s="204">
        <v>39407</v>
      </c>
      <c r="T63" s="205">
        <v>45341</v>
      </c>
      <c r="U63" s="206">
        <v>5934</v>
      </c>
      <c r="V63" s="207">
        <v>2024</v>
      </c>
      <c r="W63" s="203" t="s">
        <v>172</v>
      </c>
      <c r="X63" s="203" t="s">
        <v>78</v>
      </c>
      <c r="Y63" s="203" t="s">
        <v>524</v>
      </c>
      <c r="Z63" s="203" t="s">
        <v>525</v>
      </c>
      <c r="AA63" s="203" t="s">
        <v>190</v>
      </c>
      <c r="AB63" s="203" t="s">
        <v>191</v>
      </c>
      <c r="AC63" s="203" t="s">
        <v>518</v>
      </c>
      <c r="AD63" s="208">
        <v>7</v>
      </c>
      <c r="AE63" s="208" t="s">
        <v>526</v>
      </c>
      <c r="AF63" s="208" t="s">
        <v>140</v>
      </c>
      <c r="AG63" s="208" t="s">
        <v>151</v>
      </c>
      <c r="AH63" s="208" t="s">
        <v>87</v>
      </c>
      <c r="AI63" s="208" t="s">
        <v>518</v>
      </c>
      <c r="AJ63" s="205" t="s">
        <v>89</v>
      </c>
      <c r="AK63" s="204">
        <v>45625</v>
      </c>
      <c r="AL63" s="208">
        <v>0</v>
      </c>
      <c r="AM63" s="209" t="s">
        <v>190</v>
      </c>
      <c r="AN63" s="209" t="s">
        <v>527</v>
      </c>
      <c r="AO63" s="209" t="s">
        <v>191</v>
      </c>
      <c r="AP63" s="209"/>
      <c r="AQ63" s="209" t="s">
        <v>72</v>
      </c>
      <c r="AR63" s="209" t="s">
        <v>91</v>
      </c>
      <c r="AS63" s="209" t="s">
        <v>528</v>
      </c>
      <c r="AT63" s="210">
        <v>35</v>
      </c>
      <c r="AU63" s="211">
        <v>10</v>
      </c>
      <c r="AV63" s="212">
        <v>16.399999999999999</v>
      </c>
      <c r="AW63" s="213">
        <v>53508</v>
      </c>
      <c r="AX63" s="213">
        <v>178502.68800000002</v>
      </c>
      <c r="AY63" s="210" t="s">
        <v>516</v>
      </c>
      <c r="AZ63" s="209" t="s">
        <v>168</v>
      </c>
      <c r="BA63" s="214" t="str">
        <f>+IF(Tabla467824[[#This Row],[TIPO VEHÍCULO]]=Tabla467824[[#This Row],[Columna2]], "IGUAL", "DISTINTO")</f>
        <v>IGUAL</v>
      </c>
      <c r="BB63" s="214" t="str">
        <f>+IF(Tabla467824[[#This Row],[Columna4]]=Tabla467824[[#This Row],[Combustible2]], "IGUAL", "DISTINTO")</f>
        <v>IGUAL</v>
      </c>
      <c r="BC63" s="202" t="s">
        <v>522</v>
      </c>
      <c r="BD63" s="215" cm="1">
        <f t="array" ref="BD63">IFERROR(INDEX('[1]Anexos FICHA TRA050'!$D$27:$D$44, MATCH(Tabla467824[[#This Row],[Columna5]]&amp;Tabla467824[[#This Row],[Columna4]], '[1]Anexos FICHA TRA050'!$E$27:$E$44&amp;'[1]Anexos FICHA TRA050'!$F$27:$F$44, 0)), "")</f>
        <v>35</v>
      </c>
      <c r="BE63" s="215">
        <f>IFERROR(INDEX('[1]Anexos FICHA TRA050'!$B$4:$B$7, MATCH(Tabla467824[[#This Row],[Columna4]], '[1]Anexos FICHA TRA050'!$C$4:$C$7, 0)), "")</f>
        <v>10</v>
      </c>
      <c r="BF63" s="215">
        <f>IFERROR(INDEX('[1]Anexos FICHA TRA050'!$C$14:$C$22, MATCH(Tabla467824[[#This Row],[Columna5]], '[1]Anexos FICHA TRA050'!$D$14:$D$22, 0)), "")</f>
        <v>118.53</v>
      </c>
      <c r="BG63" s="216">
        <f>IFERROR(INDEX('[1]Anexos FICHA TRA050'!$C$49:$C$54, MATCH(Tabla467824[[#This Row],[Columna5]], '[1]Anexos FICHA TRA050'!$D$49:$D$54, 0)), "")</f>
        <v>53508</v>
      </c>
      <c r="BH63" s="217">
        <f>+(((Tabla467824[[#This Row],[CVA2]]*Tabla467824[[#This Row],[f2]])-Tabla467824[[#This Row],[CVN2]])/100)*Tabla467824[[#This Row],[L2]]</f>
        <v>123854.9676</v>
      </c>
      <c r="BI63" s="218"/>
      <c r="BJ63" s="218"/>
      <c r="BK63" s="218" t="str">
        <f>+IF(Tabla467824[[#This Row],[F]]=Tabla467824[[#This Row],[f2]], "IGUAL", "DISTINTO")</f>
        <v>IGUAL</v>
      </c>
      <c r="BL63" s="218" t="str">
        <f>+IF(Tabla467824[[#This Row],[CVN]]=Tabla467824[[#This Row],[CVN2]], "IGUAL", "DISTINTO")</f>
        <v>DISTINTO</v>
      </c>
      <c r="BM63" s="219" t="str">
        <f>+IF(Tabla467824[[#This Row],[L]]=Tabla467824[[#This Row],[L2]], "IGUAL", "DISTINTO")</f>
        <v>IGUAL</v>
      </c>
    </row>
    <row r="64" spans="1:146" s="237" customFormat="1" x14ac:dyDescent="0.25">
      <c r="A64">
        <v>61</v>
      </c>
      <c r="B64" s="202" t="s">
        <v>529</v>
      </c>
      <c r="C64" s="203" t="s">
        <v>530</v>
      </c>
      <c r="D64" s="203" t="s">
        <v>128</v>
      </c>
      <c r="E64" s="203" t="s">
        <v>78</v>
      </c>
      <c r="F64" s="203" t="s">
        <v>78</v>
      </c>
      <c r="G64" s="203" t="s">
        <v>128</v>
      </c>
      <c r="H64" s="203"/>
      <c r="I64" s="203"/>
      <c r="J64" s="203"/>
      <c r="K64" s="203" t="s">
        <v>72</v>
      </c>
      <c r="L64" s="203" t="s">
        <v>72</v>
      </c>
      <c r="M64" s="203" t="s">
        <v>72</v>
      </c>
      <c r="N64" s="203"/>
      <c r="O64" s="203" t="s">
        <v>158</v>
      </c>
      <c r="P64" s="203" t="s">
        <v>159</v>
      </c>
      <c r="Q64" s="203" t="s">
        <v>158</v>
      </c>
      <c r="R64" s="203" t="s">
        <v>171</v>
      </c>
      <c r="S64" s="204">
        <v>35926</v>
      </c>
      <c r="T64" s="205">
        <v>44972</v>
      </c>
      <c r="U64" s="206">
        <v>9046</v>
      </c>
      <c r="V64" s="207">
        <v>2023</v>
      </c>
      <c r="W64" s="203" t="s">
        <v>172</v>
      </c>
      <c r="X64" s="203" t="s">
        <v>78</v>
      </c>
      <c r="Y64" s="203" t="s">
        <v>531</v>
      </c>
      <c r="Z64" s="203" t="s">
        <v>532</v>
      </c>
      <c r="AA64" s="203" t="s">
        <v>190</v>
      </c>
      <c r="AB64" s="203" t="s">
        <v>191</v>
      </c>
      <c r="AC64" s="203" t="s">
        <v>533</v>
      </c>
      <c r="AD64" s="208">
        <v>8</v>
      </c>
      <c r="AE64" s="208" t="s">
        <v>534</v>
      </c>
      <c r="AF64" s="208" t="s">
        <v>140</v>
      </c>
      <c r="AG64" s="208" t="s">
        <v>151</v>
      </c>
      <c r="AH64" s="208" t="s">
        <v>87</v>
      </c>
      <c r="AI64" s="208" t="s">
        <v>535</v>
      </c>
      <c r="AJ64" s="205" t="s">
        <v>89</v>
      </c>
      <c r="AK64" s="204">
        <v>45625</v>
      </c>
      <c r="AL64" s="208">
        <v>1</v>
      </c>
      <c r="AM64" s="209" t="s">
        <v>190</v>
      </c>
      <c r="AN64" s="209" t="s">
        <v>536</v>
      </c>
      <c r="AO64" s="209" t="s">
        <v>191</v>
      </c>
      <c r="AP64" s="209"/>
      <c r="AQ64" s="209" t="s">
        <v>72</v>
      </c>
      <c r="AR64" s="209" t="s">
        <v>91</v>
      </c>
      <c r="AS64" s="209" t="s">
        <v>537</v>
      </c>
      <c r="AT64" s="210">
        <v>35</v>
      </c>
      <c r="AU64" s="211">
        <v>10</v>
      </c>
      <c r="AV64" s="212">
        <v>16.399999999999999</v>
      </c>
      <c r="AW64" s="213">
        <v>53508</v>
      </c>
      <c r="AX64" s="213">
        <v>178502.68800000002</v>
      </c>
      <c r="AY64" s="210" t="s">
        <v>516</v>
      </c>
      <c r="AZ64" s="209" t="s">
        <v>168</v>
      </c>
      <c r="BA64" s="236" t="str">
        <f>+IF(Tabla467824[[#This Row],[TIPO VEHÍCULO]]=Tabla467824[[#This Row],[Columna2]], "IGUAL", "DISTINTO")</f>
        <v>DISTINTO</v>
      </c>
      <c r="BB64" s="214" t="str">
        <f>+IF(Tabla467824[[#This Row],[Columna4]]=Tabla467824[[#This Row],[Combustible2]], "IGUAL", "DISTINTO")</f>
        <v>IGUAL</v>
      </c>
      <c r="BC64" s="202" t="s">
        <v>529</v>
      </c>
      <c r="BD64" s="215" cm="1">
        <f t="array" ref="BD64">IFERROR(INDEX('[1]Anexos FICHA TRA050'!$D$27:$D$44, MATCH(Tabla467824[[#This Row],[Columna5]]&amp;Tabla467824[[#This Row],[Columna4]], '[1]Anexos FICHA TRA050'!$E$27:$E$44&amp;'[1]Anexos FICHA TRA050'!$F$27:$F$44, 0)), "")</f>
        <v>5.63</v>
      </c>
      <c r="BE64" s="215">
        <f>IFERROR(INDEX('[1]Anexos FICHA TRA050'!$B$4:$B$7, MATCH(Tabla467824[[#This Row],[Columna4]], '[1]Anexos FICHA TRA050'!$C$4:$C$7, 0)), "")</f>
        <v>10</v>
      </c>
      <c r="BF64" s="215">
        <f>IFERROR(INDEX('[1]Anexos FICHA TRA050'!$C$14:$C$22, MATCH(Tabla467824[[#This Row],[Columna5]], '[1]Anexos FICHA TRA050'!$D$14:$D$22, 0)), "")</f>
        <v>20.84</v>
      </c>
      <c r="BG64" s="216">
        <f>IFERROR(INDEX('[1]Anexos FICHA TRA050'!$C$49:$C$54, MATCH(Tabla467824[[#This Row],[Columna5]], '[1]Anexos FICHA TRA050'!$D$49:$D$54, 0)), "")</f>
        <v>15815</v>
      </c>
      <c r="BH64" s="217">
        <f>+(((Tabla467824[[#This Row],[CVA2]]*Tabla467824[[#This Row],[f2]])-Tabla467824[[#This Row],[CVN2]])/100)*Tabla467824[[#This Row],[L2]]</f>
        <v>5607.9989999999989</v>
      </c>
      <c r="BI64" s="218" t="s">
        <v>538</v>
      </c>
      <c r="BJ64" s="218"/>
      <c r="BK64" s="218" t="str">
        <f>+IF(Tabla467824[[#This Row],[F]]=Tabla467824[[#This Row],[f2]], "IGUAL", "DISTINTO")</f>
        <v>IGUAL</v>
      </c>
      <c r="BL64" s="218" t="str">
        <f>+IF(Tabla467824[[#This Row],[CVN]]=Tabla467824[[#This Row],[CVN2]], "IGUAL", "DISTINTO")</f>
        <v>DISTINTO</v>
      </c>
      <c r="BM64" s="219" t="str">
        <f>+IF(Tabla467824[[#This Row],[L]]=Tabla467824[[#This Row],[L2]], "IGUAL", "DISTINTO")</f>
        <v>DISTINTO</v>
      </c>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row>
    <row r="65" spans="1:65" x14ac:dyDescent="0.25">
      <c r="A65">
        <v>62</v>
      </c>
      <c r="B65" s="202" t="s">
        <v>539</v>
      </c>
      <c r="C65" s="203" t="s">
        <v>540</v>
      </c>
      <c r="D65" s="203" t="s">
        <v>157</v>
      </c>
      <c r="E65" s="203" t="s">
        <v>71</v>
      </c>
      <c r="F65" s="203" t="s">
        <v>71</v>
      </c>
      <c r="G65" s="203" t="s">
        <v>51</v>
      </c>
      <c r="H65" s="203"/>
      <c r="I65" s="203"/>
      <c r="J65" s="203"/>
      <c r="K65" s="203" t="s">
        <v>72</v>
      </c>
      <c r="L65" s="203"/>
      <c r="M65" s="203"/>
      <c r="N65" s="203"/>
      <c r="O65" s="203" t="s">
        <v>158</v>
      </c>
      <c r="P65" s="203" t="s">
        <v>159</v>
      </c>
      <c r="Q65" s="203" t="s">
        <v>158</v>
      </c>
      <c r="R65" s="203" t="s">
        <v>171</v>
      </c>
      <c r="S65" s="204">
        <v>37956</v>
      </c>
      <c r="T65" s="205">
        <v>45625</v>
      </c>
      <c r="U65" s="206">
        <v>7669</v>
      </c>
      <c r="V65" s="207">
        <v>2024</v>
      </c>
      <c r="W65" s="203" t="s">
        <v>172</v>
      </c>
      <c r="X65" s="203" t="s">
        <v>71</v>
      </c>
      <c r="Y65" s="203" t="s">
        <v>79</v>
      </c>
      <c r="Z65" s="203" t="s">
        <v>541</v>
      </c>
      <c r="AA65" s="203" t="s">
        <v>542</v>
      </c>
      <c r="AB65" s="203" t="s">
        <v>543</v>
      </c>
      <c r="AC65" s="203" t="s">
        <v>544</v>
      </c>
      <c r="AD65" s="208">
        <v>1</v>
      </c>
      <c r="AE65" s="208" t="s">
        <v>545</v>
      </c>
      <c r="AF65" s="208" t="s">
        <v>85</v>
      </c>
      <c r="AG65" s="208" t="s">
        <v>114</v>
      </c>
      <c r="AH65" s="208" t="s">
        <v>87</v>
      </c>
      <c r="AI65" s="208" t="s">
        <v>546</v>
      </c>
      <c r="AJ65" s="205" t="s">
        <v>547</v>
      </c>
      <c r="AK65" s="204">
        <v>45674</v>
      </c>
      <c r="AL65" s="208">
        <v>1</v>
      </c>
      <c r="AM65" s="209" t="s">
        <v>542</v>
      </c>
      <c r="AN65" s="209" t="s">
        <v>548</v>
      </c>
      <c r="AO65" s="209" t="s">
        <v>543</v>
      </c>
      <c r="AP65" s="209"/>
      <c r="AQ65" s="209" t="s">
        <v>72</v>
      </c>
      <c r="AR65" s="209" t="s">
        <v>91</v>
      </c>
      <c r="AS65" s="209" t="s">
        <v>549</v>
      </c>
      <c r="AT65" s="210">
        <v>2.9</v>
      </c>
      <c r="AU65" s="211">
        <v>9.19</v>
      </c>
      <c r="AV65" s="212">
        <v>17.3</v>
      </c>
      <c r="AW65" s="213">
        <v>2831</v>
      </c>
      <c r="AX65" s="213">
        <v>264.72680999999989</v>
      </c>
      <c r="AY65" s="210" t="s">
        <v>157</v>
      </c>
      <c r="AZ65" s="209" t="s">
        <v>550</v>
      </c>
      <c r="BA65" s="214" t="str">
        <f>+IF(Tabla467824[[#This Row],[TIPO VEHÍCULO]]=Tabla467824[[#This Row],[Columna2]], "IGUAL", "DISTINTO")</f>
        <v>IGUAL</v>
      </c>
      <c r="BB65" s="214" t="str">
        <f>+IF(Tabla467824[[#This Row],[Columna4]]=Tabla467824[[#This Row],[Combustible2]], "IGUAL", "DISTINTO")</f>
        <v>IGUAL</v>
      </c>
      <c r="BC65" s="202" t="s">
        <v>539</v>
      </c>
      <c r="BD65" s="215" cm="1">
        <f t="array" ref="BD65">IFERROR(INDEX('[1]Anexos FICHA TRA050'!$D$27:$D$44, MATCH(Tabla467824[[#This Row],[Columna5]]&amp;Tabla467824[[#This Row],[Columna4]], '[1]Anexos FICHA TRA050'!$E$27:$E$44&amp;'[1]Anexos FICHA TRA050'!$F$27:$F$44, 0)), "")</f>
        <v>2.9</v>
      </c>
      <c r="BE65" s="215">
        <f>IFERROR(INDEX('[1]Anexos FICHA TRA050'!$B$4:$B$7, MATCH(Tabla467824[[#This Row],[Columna4]], '[1]Anexos FICHA TRA050'!$C$4:$C$7, 0)), "")</f>
        <v>9.19</v>
      </c>
      <c r="BF65" s="215">
        <f>IFERROR(INDEX('[1]Anexos FICHA TRA050'!$C$14:$C$22, MATCH(Tabla467824[[#This Row],[Columna5]], '[1]Anexos FICHA TRA050'!$D$14:$D$22, 0)), "")</f>
        <v>4.84</v>
      </c>
      <c r="BG65" s="216">
        <f>IFERROR(INDEX('[1]Anexos FICHA TRA050'!$C$49:$C$54, MATCH(Tabla467824[[#This Row],[Columna5]], '[1]Anexos FICHA TRA050'!$D$49:$D$54, 0)), "")</f>
        <v>2831</v>
      </c>
      <c r="BH65" s="217">
        <f>+(((Tabla467824[[#This Row],[CVA2]]*Tabla467824[[#This Row],[f2]])-Tabla467824[[#This Row],[CVN2]])/100)*Tabla467824[[#This Row],[L2]]</f>
        <v>617.46940999999993</v>
      </c>
      <c r="BI65" s="218"/>
      <c r="BJ65" s="218"/>
      <c r="BK65" s="218" t="str">
        <f>+IF(Tabla467824[[#This Row],[F]]=Tabla467824[[#This Row],[f2]], "IGUAL", "DISTINTO")</f>
        <v>IGUAL</v>
      </c>
      <c r="BL65" s="218" t="str">
        <f>+IF(Tabla467824[[#This Row],[CVN]]=Tabla467824[[#This Row],[CVN2]], "IGUAL", "DISTINTO")</f>
        <v>DISTINTO</v>
      </c>
      <c r="BM65" s="219" t="str">
        <f>+IF(Tabla467824[[#This Row],[L]]=Tabla467824[[#This Row],[L2]], "IGUAL", "DISTINTO")</f>
        <v>IGUAL</v>
      </c>
    </row>
    <row r="66" spans="1:65" x14ac:dyDescent="0.25">
      <c r="A66">
        <v>63</v>
      </c>
      <c r="B66" s="202" t="s">
        <v>551</v>
      </c>
      <c r="C66" s="203" t="s">
        <v>552</v>
      </c>
      <c r="D66" s="203" t="s">
        <v>70</v>
      </c>
      <c r="E66" s="203" t="s">
        <v>78</v>
      </c>
      <c r="F66" s="203" t="s">
        <v>78</v>
      </c>
      <c r="G66" s="203" t="s">
        <v>70</v>
      </c>
      <c r="H66" s="203" t="s">
        <v>72</v>
      </c>
      <c r="I66" s="203"/>
      <c r="J66" s="203" t="s">
        <v>72</v>
      </c>
      <c r="K66" s="203"/>
      <c r="L66" s="203" t="s">
        <v>249</v>
      </c>
      <c r="M66" s="203" t="s">
        <v>249</v>
      </c>
      <c r="N66" s="203"/>
      <c r="O66" s="203" t="s">
        <v>73</v>
      </c>
      <c r="P66" s="203" t="s">
        <v>74</v>
      </c>
      <c r="Q66" s="203" t="s">
        <v>75</v>
      </c>
      <c r="R66" s="203" t="s">
        <v>76</v>
      </c>
      <c r="S66" s="204">
        <v>45202</v>
      </c>
      <c r="T66" s="205">
        <v>45259</v>
      </c>
      <c r="U66" s="206">
        <v>57</v>
      </c>
      <c r="V66" s="207">
        <v>2023</v>
      </c>
      <c r="W66" s="203" t="s">
        <v>77</v>
      </c>
      <c r="X66" s="203" t="s">
        <v>78</v>
      </c>
      <c r="Y66" s="203" t="s">
        <v>359</v>
      </c>
      <c r="Z66" s="203" t="s">
        <v>461</v>
      </c>
      <c r="AA66" s="203" t="s">
        <v>102</v>
      </c>
      <c r="AB66" s="203" t="s">
        <v>103</v>
      </c>
      <c r="AC66" s="203" t="s">
        <v>104</v>
      </c>
      <c r="AD66" s="208">
        <v>11</v>
      </c>
      <c r="AE66" s="208" t="s">
        <v>553</v>
      </c>
      <c r="AF66" s="208" t="s">
        <v>79</v>
      </c>
      <c r="AG66" s="208" t="s">
        <v>106</v>
      </c>
      <c r="AH66" s="208" t="s">
        <v>87</v>
      </c>
      <c r="AI66" s="208" t="s">
        <v>457</v>
      </c>
      <c r="AJ66" s="205" t="s">
        <v>108</v>
      </c>
      <c r="AK66" s="204">
        <v>45133</v>
      </c>
      <c r="AL66" s="208">
        <v>0</v>
      </c>
      <c r="AM66" s="209" t="s">
        <v>102</v>
      </c>
      <c r="AN66" s="209">
        <v>4500370371</v>
      </c>
      <c r="AO66" s="209" t="s">
        <v>103</v>
      </c>
      <c r="AP66" s="209"/>
      <c r="AQ66" s="209" t="s">
        <v>72</v>
      </c>
      <c r="AR66" s="209" t="s">
        <v>109</v>
      </c>
      <c r="AS66" s="209" t="s">
        <v>554</v>
      </c>
      <c r="AT66" s="210">
        <v>5.0999999999999996</v>
      </c>
      <c r="AU66" s="211">
        <v>10</v>
      </c>
      <c r="AV66" s="212">
        <v>28.2</v>
      </c>
      <c r="AW66" s="213">
        <v>13073</v>
      </c>
      <c r="AX66" s="213">
        <v>2980.6440000000002</v>
      </c>
      <c r="AY66" s="210" t="s">
        <v>70</v>
      </c>
      <c r="AZ66" s="209" t="s">
        <v>93</v>
      </c>
      <c r="BA66" s="214" t="str">
        <f>+IF(Tabla467824[[#This Row],[TIPO VEHÍCULO]]=Tabla467824[[#This Row],[Columna2]], "IGUAL", "DISTINTO")</f>
        <v>IGUAL</v>
      </c>
      <c r="BB66" s="214" t="str">
        <f>+IF(Tabla467824[[#This Row],[Columna4]]=Tabla467824[[#This Row],[Combustible2]], "IGUAL", "DISTINTO")</f>
        <v>IGUAL</v>
      </c>
      <c r="BC66" s="202" t="s">
        <v>551</v>
      </c>
      <c r="BD66" s="215" cm="1">
        <f t="array" ref="BD66">IFERROR(INDEX('[1]Anexos FICHA TRA050'!$D$27:$D$44, MATCH(Tabla467824[[#This Row],[Columna5]]&amp;Tabla467824[[#This Row],[Columna4]], '[1]Anexos FICHA TRA050'!$E$27:$E$44&amp;'[1]Anexos FICHA TRA050'!$F$27:$F$44, 0)), "")</f>
        <v>6.99</v>
      </c>
      <c r="BE66" s="215">
        <f>IFERROR(INDEX('[1]Anexos FICHA TRA050'!$B$4:$B$7, MATCH(Tabla467824[[#This Row],[Columna4]], '[1]Anexos FICHA TRA050'!$C$4:$C$7, 0)), "")</f>
        <v>10</v>
      </c>
      <c r="BF66" s="215">
        <f>IFERROR(INDEX('[1]Anexos FICHA TRA050'!$C$14:$C$22, MATCH(Tabla467824[[#This Row],[Columna5]], '[1]Anexos FICHA TRA050'!$D$14:$D$22, 0)), "")</f>
        <v>17.920000000000002</v>
      </c>
      <c r="BG66" s="216">
        <f>IFERROR(INDEX('[1]Anexos FICHA TRA050'!$C$49:$C$54, MATCH(Tabla467824[[#This Row],[Columna5]], '[1]Anexos FICHA TRA050'!$D$49:$D$54, 0)), "")</f>
        <v>13073</v>
      </c>
      <c r="BH66" s="217">
        <f>+(((Tabla467824[[#This Row],[CVA2]]*Tabla467824[[#This Row],[f2]])-Tabla467824[[#This Row],[CVN2]])/100)*Tabla467824[[#This Row],[L2]]</f>
        <v>6795.3454000000002</v>
      </c>
      <c r="BI66" s="218"/>
      <c r="BJ66" s="218"/>
      <c r="BK66" s="218" t="str">
        <f>+IF(Tabla467824[[#This Row],[F]]=Tabla467824[[#This Row],[f2]], "IGUAL", "DISTINTO")</f>
        <v>IGUAL</v>
      </c>
      <c r="BL66" s="218" t="str">
        <f>+IF(Tabla467824[[#This Row],[CVN]]=Tabla467824[[#This Row],[CVN2]], "IGUAL", "DISTINTO")</f>
        <v>DISTINTO</v>
      </c>
      <c r="BM66" s="219" t="str">
        <f>+IF(Tabla467824[[#This Row],[L]]=Tabla467824[[#This Row],[L2]], "IGUAL", "DISTINTO")</f>
        <v>IGUAL</v>
      </c>
    </row>
    <row r="67" spans="1:65" x14ac:dyDescent="0.25">
      <c r="A67">
        <v>64</v>
      </c>
      <c r="B67" s="202" t="s">
        <v>555</v>
      </c>
      <c r="C67" s="203" t="s">
        <v>556</v>
      </c>
      <c r="D67" s="203" t="s">
        <v>70</v>
      </c>
      <c r="E67" s="203" t="s">
        <v>78</v>
      </c>
      <c r="F67" s="203" t="s">
        <v>78</v>
      </c>
      <c r="G67" s="203" t="s">
        <v>70</v>
      </c>
      <c r="H67" s="203" t="s">
        <v>72</v>
      </c>
      <c r="I67" s="203"/>
      <c r="J67" s="203" t="s">
        <v>72</v>
      </c>
      <c r="K67" s="203"/>
      <c r="L67" s="203" t="s">
        <v>249</v>
      </c>
      <c r="M67" s="203" t="s">
        <v>249</v>
      </c>
      <c r="N67" s="203"/>
      <c r="O67" s="203" t="s">
        <v>73</v>
      </c>
      <c r="P67" s="203" t="s">
        <v>74</v>
      </c>
      <c r="Q67" s="203" t="s">
        <v>75</v>
      </c>
      <c r="R67" s="203" t="s">
        <v>76</v>
      </c>
      <c r="S67" s="204">
        <v>45204</v>
      </c>
      <c r="T67" s="205">
        <v>45259</v>
      </c>
      <c r="U67" s="206">
        <v>55</v>
      </c>
      <c r="V67" s="207">
        <v>2023</v>
      </c>
      <c r="W67" s="203" t="s">
        <v>77</v>
      </c>
      <c r="X67" s="203" t="s">
        <v>78</v>
      </c>
      <c r="Y67" s="203" t="s">
        <v>359</v>
      </c>
      <c r="Z67" s="203" t="s">
        <v>461</v>
      </c>
      <c r="AA67" s="203" t="s">
        <v>102</v>
      </c>
      <c r="AB67" s="203" t="s">
        <v>103</v>
      </c>
      <c r="AC67" s="203" t="s">
        <v>104</v>
      </c>
      <c r="AD67" s="208">
        <v>12</v>
      </c>
      <c r="AE67" s="208" t="s">
        <v>557</v>
      </c>
      <c r="AF67" s="208" t="s">
        <v>79</v>
      </c>
      <c r="AG67" s="208" t="s">
        <v>106</v>
      </c>
      <c r="AH67" s="208" t="s">
        <v>87</v>
      </c>
      <c r="AI67" s="208" t="s">
        <v>107</v>
      </c>
      <c r="AJ67" s="205" t="s">
        <v>108</v>
      </c>
      <c r="AK67" s="204">
        <v>45133</v>
      </c>
      <c r="AL67" s="208">
        <v>0</v>
      </c>
      <c r="AM67" s="209" t="s">
        <v>102</v>
      </c>
      <c r="AN67" s="209">
        <v>4500370221</v>
      </c>
      <c r="AO67" s="209" t="s">
        <v>103</v>
      </c>
      <c r="AP67" s="209"/>
      <c r="AQ67" s="209" t="s">
        <v>72</v>
      </c>
      <c r="AR67" s="209" t="s">
        <v>109</v>
      </c>
      <c r="AS67" s="209" t="s">
        <v>558</v>
      </c>
      <c r="AT67" s="210">
        <v>5.0999999999999996</v>
      </c>
      <c r="AU67" s="211">
        <v>10</v>
      </c>
      <c r="AV67" s="212">
        <v>28.2</v>
      </c>
      <c r="AW67" s="213">
        <v>13073</v>
      </c>
      <c r="AX67" s="213">
        <v>2980.6440000000002</v>
      </c>
      <c r="AY67" s="210" t="s">
        <v>70</v>
      </c>
      <c r="AZ67" s="209" t="s">
        <v>93</v>
      </c>
      <c r="BA67" s="214" t="str">
        <f>+IF(Tabla467824[[#This Row],[TIPO VEHÍCULO]]=Tabla467824[[#This Row],[Columna2]], "IGUAL", "DISTINTO")</f>
        <v>IGUAL</v>
      </c>
      <c r="BB67" s="214" t="str">
        <f>+IF(Tabla467824[[#This Row],[Columna4]]=Tabla467824[[#This Row],[Combustible2]], "IGUAL", "DISTINTO")</f>
        <v>IGUAL</v>
      </c>
      <c r="BC67" s="202" t="s">
        <v>555</v>
      </c>
      <c r="BD67" s="215" cm="1">
        <f t="array" ref="BD67">IFERROR(INDEX('[1]Anexos FICHA TRA050'!$D$27:$D$44, MATCH(Tabla467824[[#This Row],[Columna5]]&amp;Tabla467824[[#This Row],[Columna4]], '[1]Anexos FICHA TRA050'!$E$27:$E$44&amp;'[1]Anexos FICHA TRA050'!$F$27:$F$44, 0)), "")</f>
        <v>6.99</v>
      </c>
      <c r="BE67" s="215">
        <f>IFERROR(INDEX('[1]Anexos FICHA TRA050'!$B$4:$B$7, MATCH(Tabla467824[[#This Row],[Columna4]], '[1]Anexos FICHA TRA050'!$C$4:$C$7, 0)), "")</f>
        <v>10</v>
      </c>
      <c r="BF67" s="215">
        <f>IFERROR(INDEX('[1]Anexos FICHA TRA050'!$C$14:$C$22, MATCH(Tabla467824[[#This Row],[Columna5]], '[1]Anexos FICHA TRA050'!$D$14:$D$22, 0)), "")</f>
        <v>17.920000000000002</v>
      </c>
      <c r="BG67" s="216">
        <f>IFERROR(INDEX('[1]Anexos FICHA TRA050'!$C$49:$C$54, MATCH(Tabla467824[[#This Row],[Columna5]], '[1]Anexos FICHA TRA050'!$D$49:$D$54, 0)), "")</f>
        <v>13073</v>
      </c>
      <c r="BH67" s="217">
        <f>+(((Tabla467824[[#This Row],[CVA2]]*Tabla467824[[#This Row],[f2]])-Tabla467824[[#This Row],[CVN2]])/100)*Tabla467824[[#This Row],[L2]]</f>
        <v>6795.3454000000002</v>
      </c>
      <c r="BI67" s="218"/>
      <c r="BJ67" s="218"/>
      <c r="BK67" s="218" t="str">
        <f>+IF(Tabla467824[[#This Row],[F]]=Tabla467824[[#This Row],[f2]], "IGUAL", "DISTINTO")</f>
        <v>IGUAL</v>
      </c>
      <c r="BL67" s="218" t="str">
        <f>+IF(Tabla467824[[#This Row],[CVN]]=Tabla467824[[#This Row],[CVN2]], "IGUAL", "DISTINTO")</f>
        <v>DISTINTO</v>
      </c>
      <c r="BM67" s="219" t="str">
        <f>+IF(Tabla467824[[#This Row],[L]]=Tabla467824[[#This Row],[L2]], "IGUAL", "DISTINTO")</f>
        <v>IGUAL</v>
      </c>
    </row>
    <row r="68" spans="1:65" x14ac:dyDescent="0.25">
      <c r="A68">
        <v>65</v>
      </c>
      <c r="B68" s="202" t="s">
        <v>559</v>
      </c>
      <c r="C68" s="203" t="s">
        <v>560</v>
      </c>
      <c r="D68" s="203" t="s">
        <v>70</v>
      </c>
      <c r="E68" s="203" t="s">
        <v>78</v>
      </c>
      <c r="F68" s="203" t="s">
        <v>78</v>
      </c>
      <c r="G68" s="203" t="s">
        <v>70</v>
      </c>
      <c r="H68" s="203" t="s">
        <v>72</v>
      </c>
      <c r="I68" s="203"/>
      <c r="J68" s="203" t="s">
        <v>72</v>
      </c>
      <c r="K68" s="203"/>
      <c r="L68" s="203" t="s">
        <v>249</v>
      </c>
      <c r="M68" s="203" t="s">
        <v>249</v>
      </c>
      <c r="N68" s="203"/>
      <c r="O68" s="203" t="s">
        <v>73</v>
      </c>
      <c r="P68" s="203" t="s">
        <v>74</v>
      </c>
      <c r="Q68" s="203" t="s">
        <v>75</v>
      </c>
      <c r="R68" s="203" t="s">
        <v>76</v>
      </c>
      <c r="S68" s="204">
        <v>45203</v>
      </c>
      <c r="T68" s="205">
        <v>45250</v>
      </c>
      <c r="U68" s="206">
        <v>47</v>
      </c>
      <c r="V68" s="207">
        <v>2023</v>
      </c>
      <c r="W68" s="203" t="s">
        <v>77</v>
      </c>
      <c r="X68" s="203" t="s">
        <v>78</v>
      </c>
      <c r="Y68" s="203" t="s">
        <v>359</v>
      </c>
      <c r="Z68" s="203" t="s">
        <v>461</v>
      </c>
      <c r="AA68" s="203" t="s">
        <v>102</v>
      </c>
      <c r="AB68" s="203" t="s">
        <v>103</v>
      </c>
      <c r="AC68" s="203" t="s">
        <v>104</v>
      </c>
      <c r="AD68" s="208">
        <v>13</v>
      </c>
      <c r="AE68" s="208" t="s">
        <v>561</v>
      </c>
      <c r="AF68" s="208" t="s">
        <v>85</v>
      </c>
      <c r="AG68" s="208" t="s">
        <v>114</v>
      </c>
      <c r="AH68" s="208" t="s">
        <v>87</v>
      </c>
      <c r="AI68" s="208" t="s">
        <v>562</v>
      </c>
      <c r="AJ68" s="205" t="s">
        <v>108</v>
      </c>
      <c r="AK68" s="204">
        <v>44922</v>
      </c>
      <c r="AL68" s="208">
        <v>0</v>
      </c>
      <c r="AM68" s="209" t="s">
        <v>102</v>
      </c>
      <c r="AN68" s="209">
        <v>4500348266</v>
      </c>
      <c r="AO68" s="209" t="s">
        <v>103</v>
      </c>
      <c r="AP68" s="209"/>
      <c r="AQ68" s="209" t="s">
        <v>72</v>
      </c>
      <c r="AR68" s="209" t="s">
        <v>109</v>
      </c>
      <c r="AS68" s="209" t="s">
        <v>563</v>
      </c>
      <c r="AT68" s="210">
        <v>5.0999999999999996</v>
      </c>
      <c r="AU68" s="211">
        <v>10</v>
      </c>
      <c r="AV68" s="212">
        <v>17.3</v>
      </c>
      <c r="AW68" s="213">
        <v>13073</v>
      </c>
      <c r="AX68" s="213">
        <v>4405.6010000000006</v>
      </c>
      <c r="AY68" s="210" t="s">
        <v>70</v>
      </c>
      <c r="AZ68" s="209" t="s">
        <v>93</v>
      </c>
      <c r="BA68" s="214" t="str">
        <f>+IF(Tabla467824[[#This Row],[TIPO VEHÍCULO]]=Tabla467824[[#This Row],[Columna2]], "IGUAL", "DISTINTO")</f>
        <v>IGUAL</v>
      </c>
      <c r="BB68" s="214" t="str">
        <f>+IF(Tabla467824[[#This Row],[Columna4]]=Tabla467824[[#This Row],[Combustible2]], "IGUAL", "DISTINTO")</f>
        <v>IGUAL</v>
      </c>
      <c r="BC68" s="202" t="s">
        <v>559</v>
      </c>
      <c r="BD68" s="215" cm="1">
        <f t="array" ref="BD68">IFERROR(INDEX('[1]Anexos FICHA TRA050'!$D$27:$D$44, MATCH(Tabla467824[[#This Row],[Columna5]]&amp;Tabla467824[[#This Row],[Columna4]], '[1]Anexos FICHA TRA050'!$E$27:$E$44&amp;'[1]Anexos FICHA TRA050'!$F$27:$F$44, 0)), "")</f>
        <v>6.99</v>
      </c>
      <c r="BE68" s="215">
        <f>IFERROR(INDEX('[1]Anexos FICHA TRA050'!$B$4:$B$7, MATCH(Tabla467824[[#This Row],[Columna4]], '[1]Anexos FICHA TRA050'!$C$4:$C$7, 0)), "")</f>
        <v>10</v>
      </c>
      <c r="BF68" s="215">
        <f>IFERROR(INDEX('[1]Anexos FICHA TRA050'!$C$14:$C$22, MATCH(Tabla467824[[#This Row],[Columna5]], '[1]Anexos FICHA TRA050'!$D$14:$D$22, 0)), "")</f>
        <v>17.920000000000002</v>
      </c>
      <c r="BG68" s="216">
        <f>IFERROR(INDEX('[1]Anexos FICHA TRA050'!$C$49:$C$54, MATCH(Tabla467824[[#This Row],[Columna5]], '[1]Anexos FICHA TRA050'!$D$49:$D$54, 0)), "")</f>
        <v>13073</v>
      </c>
      <c r="BH68" s="217">
        <f>+(((Tabla467824[[#This Row],[CVA2]]*Tabla467824[[#This Row],[f2]])-Tabla467824[[#This Row],[CVN2]])/100)*Tabla467824[[#This Row],[L2]]</f>
        <v>6795.3454000000002</v>
      </c>
      <c r="BI68" s="218"/>
      <c r="BJ68" s="218"/>
      <c r="BK68" s="218" t="str">
        <f>+IF(Tabla467824[[#This Row],[F]]=Tabla467824[[#This Row],[f2]], "IGUAL", "DISTINTO")</f>
        <v>IGUAL</v>
      </c>
      <c r="BL68" s="218" t="str">
        <f>+IF(Tabla467824[[#This Row],[CVN]]=Tabla467824[[#This Row],[CVN2]], "IGUAL", "DISTINTO")</f>
        <v>DISTINTO</v>
      </c>
      <c r="BM68" s="219" t="str">
        <f>+IF(Tabla467824[[#This Row],[L]]=Tabla467824[[#This Row],[L2]], "IGUAL", "DISTINTO")</f>
        <v>IGUAL</v>
      </c>
    </row>
    <row r="69" spans="1:65" x14ac:dyDescent="0.25">
      <c r="A69">
        <v>66</v>
      </c>
      <c r="B69" s="202" t="s">
        <v>564</v>
      </c>
      <c r="C69" s="203" t="s">
        <v>565</v>
      </c>
      <c r="D69" s="203" t="s">
        <v>70</v>
      </c>
      <c r="E69" s="203" t="s">
        <v>78</v>
      </c>
      <c r="F69" s="203" t="s">
        <v>78</v>
      </c>
      <c r="G69" s="203" t="s">
        <v>70</v>
      </c>
      <c r="H69" s="203" t="s">
        <v>72</v>
      </c>
      <c r="I69" s="203"/>
      <c r="J69" s="203"/>
      <c r="K69" s="203"/>
      <c r="L69" s="203" t="s">
        <v>249</v>
      </c>
      <c r="M69" s="203" t="s">
        <v>249</v>
      </c>
      <c r="N69" s="203"/>
      <c r="O69" s="203" t="s">
        <v>73</v>
      </c>
      <c r="P69" s="203" t="s">
        <v>74</v>
      </c>
      <c r="Q69" s="203" t="s">
        <v>75</v>
      </c>
      <c r="R69" s="203" t="s">
        <v>76</v>
      </c>
      <c r="S69" s="204">
        <v>45202</v>
      </c>
      <c r="T69" s="205">
        <v>45382</v>
      </c>
      <c r="U69" s="206">
        <v>180</v>
      </c>
      <c r="V69" s="207">
        <v>2024</v>
      </c>
      <c r="W69" s="203" t="s">
        <v>77</v>
      </c>
      <c r="X69" s="203" t="s">
        <v>78</v>
      </c>
      <c r="Y69" s="203" t="s">
        <v>359</v>
      </c>
      <c r="Z69" s="203" t="s">
        <v>461</v>
      </c>
      <c r="AA69" s="203" t="s">
        <v>102</v>
      </c>
      <c r="AB69" s="203" t="s">
        <v>103</v>
      </c>
      <c r="AC69" s="203" t="s">
        <v>104</v>
      </c>
      <c r="AD69" s="208">
        <v>14</v>
      </c>
      <c r="AE69" s="208" t="s">
        <v>566</v>
      </c>
      <c r="AF69" s="208" t="s">
        <v>85</v>
      </c>
      <c r="AG69" s="208" t="s">
        <v>114</v>
      </c>
      <c r="AH69" s="208" t="s">
        <v>87</v>
      </c>
      <c r="AI69" s="208" t="s">
        <v>567</v>
      </c>
      <c r="AJ69" s="205" t="s">
        <v>108</v>
      </c>
      <c r="AK69" s="204">
        <v>44922</v>
      </c>
      <c r="AL69" s="208">
        <v>-1</v>
      </c>
      <c r="AM69" s="209" t="s">
        <v>102</v>
      </c>
      <c r="AN69" s="209">
        <v>4500348764</v>
      </c>
      <c r="AO69" s="209" t="s">
        <v>103</v>
      </c>
      <c r="AP69" s="209"/>
      <c r="AQ69" s="209" t="s">
        <v>72</v>
      </c>
      <c r="AR69" s="209" t="s">
        <v>109</v>
      </c>
      <c r="AS69" s="209" t="s">
        <v>568</v>
      </c>
      <c r="AT69" s="210">
        <v>5.0999999999999996</v>
      </c>
      <c r="AU69" s="211">
        <v>10</v>
      </c>
      <c r="AV69" s="212">
        <v>17.3</v>
      </c>
      <c r="AW69" s="213">
        <v>13073</v>
      </c>
      <c r="AX69" s="213">
        <v>4405.6010000000006</v>
      </c>
      <c r="AY69" s="210" t="s">
        <v>70</v>
      </c>
      <c r="AZ69" s="209" t="s">
        <v>255</v>
      </c>
      <c r="BA69" s="214" t="str">
        <f>+IF(Tabla467824[[#This Row],[TIPO VEHÍCULO]]=Tabla467824[[#This Row],[Columna2]], "IGUAL", "DISTINTO")</f>
        <v>IGUAL</v>
      </c>
      <c r="BB69" s="214" t="str">
        <f>+IF(Tabla467824[[#This Row],[Columna4]]=Tabla467824[[#This Row],[Combustible2]], "IGUAL", "DISTINTO")</f>
        <v>IGUAL</v>
      </c>
      <c r="BC69" s="202" t="s">
        <v>564</v>
      </c>
      <c r="BD69" s="215" cm="1">
        <f t="array" ref="BD69">IFERROR(INDEX('[1]Anexos FICHA TRA050'!$D$27:$D$44, MATCH(Tabla467824[[#This Row],[Columna5]]&amp;Tabla467824[[#This Row],[Columna4]], '[1]Anexos FICHA TRA050'!$E$27:$E$44&amp;'[1]Anexos FICHA TRA050'!$F$27:$F$44, 0)), "")</f>
        <v>6.99</v>
      </c>
      <c r="BE69" s="215">
        <f>IFERROR(INDEX('[1]Anexos FICHA TRA050'!$B$4:$B$7, MATCH(Tabla467824[[#This Row],[Columna4]], '[1]Anexos FICHA TRA050'!$C$4:$C$7, 0)), "")</f>
        <v>10</v>
      </c>
      <c r="BF69" s="215">
        <f>IFERROR(INDEX('[1]Anexos FICHA TRA050'!$C$14:$C$22, MATCH(Tabla467824[[#This Row],[Columna5]], '[1]Anexos FICHA TRA050'!$D$14:$D$22, 0)), "")</f>
        <v>17.920000000000002</v>
      </c>
      <c r="BG69" s="216">
        <f>IFERROR(INDEX('[1]Anexos FICHA TRA050'!$C$49:$C$54, MATCH(Tabla467824[[#This Row],[Columna5]], '[1]Anexos FICHA TRA050'!$D$49:$D$54, 0)), "")</f>
        <v>13073</v>
      </c>
      <c r="BH69" s="217">
        <f>+(((Tabla467824[[#This Row],[CVA2]]*Tabla467824[[#This Row],[f2]])-Tabla467824[[#This Row],[CVN2]])/100)*Tabla467824[[#This Row],[L2]]</f>
        <v>6795.3454000000002</v>
      </c>
      <c r="BI69" s="218"/>
      <c r="BJ69" s="218"/>
      <c r="BK69" s="218" t="str">
        <f>+IF(Tabla467824[[#This Row],[F]]=Tabla467824[[#This Row],[f2]], "IGUAL", "DISTINTO")</f>
        <v>IGUAL</v>
      </c>
      <c r="BL69" s="218" t="str">
        <f>+IF(Tabla467824[[#This Row],[CVN]]=Tabla467824[[#This Row],[CVN2]], "IGUAL", "DISTINTO")</f>
        <v>DISTINTO</v>
      </c>
      <c r="BM69" s="219" t="str">
        <f>+IF(Tabla467824[[#This Row],[L]]=Tabla467824[[#This Row],[L2]], "IGUAL", "DISTINTO")</f>
        <v>IGUAL</v>
      </c>
    </row>
    <row r="70" spans="1:65" x14ac:dyDescent="0.25">
      <c r="A70">
        <v>67</v>
      </c>
      <c r="B70" s="202" t="s">
        <v>569</v>
      </c>
      <c r="C70" s="203" t="s">
        <v>570</v>
      </c>
      <c r="D70" s="203" t="s">
        <v>70</v>
      </c>
      <c r="E70" s="203" t="s">
        <v>78</v>
      </c>
      <c r="F70" s="203" t="s">
        <v>78</v>
      </c>
      <c r="G70" s="203" t="s">
        <v>70</v>
      </c>
      <c r="H70" s="203" t="s">
        <v>72</v>
      </c>
      <c r="I70" s="203" t="s">
        <v>72</v>
      </c>
      <c r="J70" s="203" t="s">
        <v>72</v>
      </c>
      <c r="K70" s="203"/>
      <c r="L70" s="203" t="s">
        <v>249</v>
      </c>
      <c r="M70" s="203" t="s">
        <v>249</v>
      </c>
      <c r="N70" s="203"/>
      <c r="O70" s="203" t="s">
        <v>73</v>
      </c>
      <c r="P70" s="203" t="s">
        <v>74</v>
      </c>
      <c r="Q70" s="203" t="s">
        <v>75</v>
      </c>
      <c r="R70" s="203" t="s">
        <v>76</v>
      </c>
      <c r="S70" s="204">
        <v>45323</v>
      </c>
      <c r="T70" s="205">
        <v>45358</v>
      </c>
      <c r="U70" s="206">
        <v>35</v>
      </c>
      <c r="V70" s="207">
        <v>2024</v>
      </c>
      <c r="W70" s="203" t="s">
        <v>77</v>
      </c>
      <c r="X70" s="203" t="s">
        <v>78</v>
      </c>
      <c r="Y70" s="203" t="s">
        <v>359</v>
      </c>
      <c r="Z70" s="203" t="s">
        <v>571</v>
      </c>
      <c r="AA70" s="203" t="s">
        <v>102</v>
      </c>
      <c r="AB70" s="203" t="s">
        <v>103</v>
      </c>
      <c r="AC70" s="203" t="s">
        <v>572</v>
      </c>
      <c r="AD70" s="208">
        <v>15</v>
      </c>
      <c r="AE70" s="208" t="s">
        <v>573</v>
      </c>
      <c r="AF70" s="208" t="s">
        <v>85</v>
      </c>
      <c r="AG70" s="208" t="s">
        <v>114</v>
      </c>
      <c r="AH70" s="208" t="s">
        <v>87</v>
      </c>
      <c r="AI70" s="208" t="s">
        <v>574</v>
      </c>
      <c r="AJ70" s="205" t="s">
        <v>108</v>
      </c>
      <c r="AK70" s="204">
        <v>45135</v>
      </c>
      <c r="AL70" s="208">
        <v>-1</v>
      </c>
      <c r="AM70" s="209" t="s">
        <v>102</v>
      </c>
      <c r="AN70" s="209">
        <v>4500352342</v>
      </c>
      <c r="AO70" s="209" t="s">
        <v>103</v>
      </c>
      <c r="AP70" s="209"/>
      <c r="AQ70" s="209" t="s">
        <v>72</v>
      </c>
      <c r="AR70" s="209" t="s">
        <v>109</v>
      </c>
      <c r="AS70" s="209" t="s">
        <v>575</v>
      </c>
      <c r="AT70" s="210">
        <v>5.0999999999999996</v>
      </c>
      <c r="AU70" s="211">
        <v>10</v>
      </c>
      <c r="AV70" s="212">
        <v>17.3</v>
      </c>
      <c r="AW70" s="213">
        <v>13073</v>
      </c>
      <c r="AX70" s="213">
        <v>4405.6010000000006</v>
      </c>
      <c r="AY70" s="210" t="s">
        <v>70</v>
      </c>
      <c r="AZ70" s="209" t="s">
        <v>93</v>
      </c>
      <c r="BA70" s="214" t="str">
        <f>+IF(Tabla467824[[#This Row],[TIPO VEHÍCULO]]=Tabla467824[[#This Row],[Columna2]], "IGUAL", "DISTINTO")</f>
        <v>IGUAL</v>
      </c>
      <c r="BB70" s="214" t="str">
        <f>+IF(Tabla467824[[#This Row],[Columna4]]=Tabla467824[[#This Row],[Combustible2]], "IGUAL", "DISTINTO")</f>
        <v>IGUAL</v>
      </c>
      <c r="BC70" s="202" t="s">
        <v>569</v>
      </c>
      <c r="BD70" s="215" cm="1">
        <f t="array" ref="BD70">IFERROR(INDEX('[1]Anexos FICHA TRA050'!$D$27:$D$44, MATCH(Tabla467824[[#This Row],[Columna5]]&amp;Tabla467824[[#This Row],[Columna4]], '[1]Anexos FICHA TRA050'!$E$27:$E$44&amp;'[1]Anexos FICHA TRA050'!$F$27:$F$44, 0)), "")</f>
        <v>6.99</v>
      </c>
      <c r="BE70" s="215">
        <f>IFERROR(INDEX('[1]Anexos FICHA TRA050'!$B$4:$B$7, MATCH(Tabla467824[[#This Row],[Columna4]], '[1]Anexos FICHA TRA050'!$C$4:$C$7, 0)), "")</f>
        <v>10</v>
      </c>
      <c r="BF70" s="215">
        <f>IFERROR(INDEX('[1]Anexos FICHA TRA050'!$C$14:$C$22, MATCH(Tabla467824[[#This Row],[Columna5]], '[1]Anexos FICHA TRA050'!$D$14:$D$22, 0)), "")</f>
        <v>17.920000000000002</v>
      </c>
      <c r="BG70" s="216">
        <f>IFERROR(INDEX('[1]Anexos FICHA TRA050'!$C$49:$C$54, MATCH(Tabla467824[[#This Row],[Columna5]], '[1]Anexos FICHA TRA050'!$D$49:$D$54, 0)), "")</f>
        <v>13073</v>
      </c>
      <c r="BH70" s="217">
        <f>+(((Tabla467824[[#This Row],[CVA2]]*Tabla467824[[#This Row],[f2]])-Tabla467824[[#This Row],[CVN2]])/100)*Tabla467824[[#This Row],[L2]]</f>
        <v>6795.3454000000002</v>
      </c>
      <c r="BI70" s="218"/>
      <c r="BJ70" s="218"/>
      <c r="BK70" s="218" t="str">
        <f>+IF(Tabla467824[[#This Row],[F]]=Tabla467824[[#This Row],[f2]], "IGUAL", "DISTINTO")</f>
        <v>IGUAL</v>
      </c>
      <c r="BL70" s="218" t="str">
        <f>+IF(Tabla467824[[#This Row],[CVN]]=Tabla467824[[#This Row],[CVN2]], "IGUAL", "DISTINTO")</f>
        <v>DISTINTO</v>
      </c>
      <c r="BM70" s="219" t="str">
        <f>+IF(Tabla467824[[#This Row],[L]]=Tabla467824[[#This Row],[L2]], "IGUAL", "DISTINTO")</f>
        <v>IGUAL</v>
      </c>
    </row>
    <row r="71" spans="1:65" x14ac:dyDescent="0.25">
      <c r="A71">
        <v>68</v>
      </c>
      <c r="B71" s="202" t="s">
        <v>576</v>
      </c>
      <c r="C71" s="203" t="s">
        <v>577</v>
      </c>
      <c r="D71" s="203" t="s">
        <v>128</v>
      </c>
      <c r="E71" s="203" t="s">
        <v>78</v>
      </c>
      <c r="F71" s="203" t="s">
        <v>78</v>
      </c>
      <c r="G71" s="203" t="s">
        <v>128</v>
      </c>
      <c r="H71" s="203" t="s">
        <v>72</v>
      </c>
      <c r="I71" s="203" t="s">
        <v>72</v>
      </c>
      <c r="J71" s="203" t="s">
        <v>72</v>
      </c>
      <c r="K71" s="203"/>
      <c r="L71" s="203" t="s">
        <v>72</v>
      </c>
      <c r="M71" s="203" t="s">
        <v>72</v>
      </c>
      <c r="N71" s="203"/>
      <c r="O71" s="203" t="s">
        <v>73</v>
      </c>
      <c r="P71" s="203" t="s">
        <v>200</v>
      </c>
      <c r="Q71" s="203" t="s">
        <v>201</v>
      </c>
      <c r="R71" s="203" t="s">
        <v>76</v>
      </c>
      <c r="S71" s="209">
        <v>42527</v>
      </c>
      <c r="T71" s="205">
        <v>45316</v>
      </c>
      <c r="U71" s="206">
        <v>2789</v>
      </c>
      <c r="V71" s="207">
        <v>2024</v>
      </c>
      <c r="W71" s="203" t="s">
        <v>77</v>
      </c>
      <c r="X71" s="203" t="s">
        <v>78</v>
      </c>
      <c r="Y71" s="203" t="s">
        <v>359</v>
      </c>
      <c r="Z71" s="203" t="s">
        <v>578</v>
      </c>
      <c r="AA71" s="203" t="s">
        <v>102</v>
      </c>
      <c r="AB71" s="203" t="s">
        <v>103</v>
      </c>
      <c r="AC71" s="203" t="s">
        <v>579</v>
      </c>
      <c r="AD71" s="208">
        <v>16</v>
      </c>
      <c r="AE71" s="208" t="s">
        <v>580</v>
      </c>
      <c r="AF71" s="208" t="s">
        <v>85</v>
      </c>
      <c r="AG71" s="208" t="s">
        <v>114</v>
      </c>
      <c r="AH71" s="208" t="s">
        <v>87</v>
      </c>
      <c r="AI71" s="208" t="s">
        <v>457</v>
      </c>
      <c r="AJ71" s="205" t="s">
        <v>108</v>
      </c>
      <c r="AK71" s="204">
        <v>45135</v>
      </c>
      <c r="AL71" s="208">
        <v>-1</v>
      </c>
      <c r="AM71" s="209" t="s">
        <v>102</v>
      </c>
      <c r="AN71" s="210">
        <v>4500370369</v>
      </c>
      <c r="AO71" s="209" t="s">
        <v>103</v>
      </c>
      <c r="AP71" s="209"/>
      <c r="AQ71" s="209" t="s">
        <v>72</v>
      </c>
      <c r="AR71" s="209" t="s">
        <v>109</v>
      </c>
      <c r="AS71" s="209" t="s">
        <v>581</v>
      </c>
      <c r="AT71" s="210">
        <v>5.6</v>
      </c>
      <c r="AU71" s="211">
        <v>10</v>
      </c>
      <c r="AV71" s="212">
        <v>17.3</v>
      </c>
      <c r="AW71" s="213">
        <v>15815</v>
      </c>
      <c r="AX71" s="213">
        <v>6120.4049999999997</v>
      </c>
      <c r="AY71" s="210" t="s">
        <v>128</v>
      </c>
      <c r="AZ71" s="209" t="s">
        <v>93</v>
      </c>
      <c r="BA71" s="214" t="str">
        <f>+IF(Tabla467824[[#This Row],[TIPO VEHÍCULO]]=Tabla467824[[#This Row],[Columna2]], "IGUAL", "DISTINTO")</f>
        <v>IGUAL</v>
      </c>
      <c r="BB71" s="214" t="str">
        <f>+IF(Tabla467824[[#This Row],[Columna4]]=Tabla467824[[#This Row],[Combustible2]], "IGUAL", "DISTINTO")</f>
        <v>IGUAL</v>
      </c>
      <c r="BC71" s="202" t="s">
        <v>576</v>
      </c>
      <c r="BD71" s="215" cm="1">
        <f t="array" ref="BD71">IFERROR(INDEX('[1]Anexos FICHA TRA050'!$D$27:$D$44, MATCH(Tabla467824[[#This Row],[Columna5]]&amp;Tabla467824[[#This Row],[Columna4]], '[1]Anexos FICHA TRA050'!$E$27:$E$44&amp;'[1]Anexos FICHA TRA050'!$F$27:$F$44, 0)), "")</f>
        <v>5.63</v>
      </c>
      <c r="BE71" s="215">
        <f>IFERROR(INDEX('[1]Anexos FICHA TRA050'!$B$4:$B$7, MATCH(Tabla467824[[#This Row],[Columna4]], '[1]Anexos FICHA TRA050'!$C$4:$C$7, 0)), "")</f>
        <v>10</v>
      </c>
      <c r="BF71" s="215">
        <f>IFERROR(INDEX('[1]Anexos FICHA TRA050'!$C$14:$C$22, MATCH(Tabla467824[[#This Row],[Columna5]], '[1]Anexos FICHA TRA050'!$D$14:$D$22, 0)), "")</f>
        <v>20.84</v>
      </c>
      <c r="BG71" s="216">
        <f>IFERROR(INDEX('[1]Anexos FICHA TRA050'!$C$49:$C$54, MATCH(Tabla467824[[#This Row],[Columna5]], '[1]Anexos FICHA TRA050'!$D$49:$D$54, 0)), "")</f>
        <v>15815</v>
      </c>
      <c r="BH71" s="217">
        <f>+(((Tabla467824[[#This Row],[CVA2]]*Tabla467824[[#This Row],[f2]])-Tabla467824[[#This Row],[CVN2]])/100)*Tabla467824[[#This Row],[L2]]</f>
        <v>5607.9989999999989</v>
      </c>
      <c r="BI71" s="218"/>
      <c r="BJ71" s="218"/>
      <c r="BK71" s="218" t="str">
        <f>+IF(Tabla467824[[#This Row],[F]]=Tabla467824[[#This Row],[f2]], "IGUAL", "DISTINTO")</f>
        <v>IGUAL</v>
      </c>
      <c r="BL71" s="218" t="str">
        <f>+IF(Tabla467824[[#This Row],[CVN]]=Tabla467824[[#This Row],[CVN2]], "IGUAL", "DISTINTO")</f>
        <v>DISTINTO</v>
      </c>
      <c r="BM71" s="219" t="str">
        <f>+IF(Tabla467824[[#This Row],[L]]=Tabla467824[[#This Row],[L2]], "IGUAL", "DISTINTO")</f>
        <v>IGUAL</v>
      </c>
    </row>
    <row r="72" spans="1:65" x14ac:dyDescent="0.25">
      <c r="A72">
        <v>69</v>
      </c>
      <c r="B72" s="202" t="s">
        <v>582</v>
      </c>
      <c r="C72" s="203" t="s">
        <v>583</v>
      </c>
      <c r="D72" s="203" t="s">
        <v>128</v>
      </c>
      <c r="E72" s="203" t="s">
        <v>78</v>
      </c>
      <c r="F72" s="203" t="s">
        <v>78</v>
      </c>
      <c r="G72" s="203" t="s">
        <v>128</v>
      </c>
      <c r="H72" s="203" t="s">
        <v>72</v>
      </c>
      <c r="I72" s="203" t="s">
        <v>72</v>
      </c>
      <c r="J72" s="203" t="s">
        <v>72</v>
      </c>
      <c r="K72" s="203"/>
      <c r="L72" s="203" t="s">
        <v>72</v>
      </c>
      <c r="M72" s="203" t="s">
        <v>72</v>
      </c>
      <c r="N72" s="203"/>
      <c r="O72" s="203" t="s">
        <v>73</v>
      </c>
      <c r="P72" s="203" t="s">
        <v>200</v>
      </c>
      <c r="Q72" s="203" t="s">
        <v>201</v>
      </c>
      <c r="R72" s="203" t="s">
        <v>76</v>
      </c>
      <c r="S72" s="209">
        <v>42445</v>
      </c>
      <c r="T72" s="205">
        <v>45001</v>
      </c>
      <c r="U72" s="206">
        <v>2556</v>
      </c>
      <c r="V72" s="207">
        <v>2023</v>
      </c>
      <c r="W72" s="203" t="s">
        <v>77</v>
      </c>
      <c r="X72" s="203" t="s">
        <v>78</v>
      </c>
      <c r="Y72" s="203" t="s">
        <v>359</v>
      </c>
      <c r="Z72" s="203" t="s">
        <v>578</v>
      </c>
      <c r="AA72" s="203" t="s">
        <v>584</v>
      </c>
      <c r="AB72" s="203" t="s">
        <v>585</v>
      </c>
      <c r="AC72" s="203" t="s">
        <v>586</v>
      </c>
      <c r="AD72" s="208">
        <v>4</v>
      </c>
      <c r="AE72" s="208" t="s">
        <v>587</v>
      </c>
      <c r="AF72" s="208" t="s">
        <v>85</v>
      </c>
      <c r="AG72" s="208" t="s">
        <v>86</v>
      </c>
      <c r="AH72" s="208" t="s">
        <v>87</v>
      </c>
      <c r="AI72" s="208" t="s">
        <v>588</v>
      </c>
      <c r="AJ72" s="205" t="s">
        <v>89</v>
      </c>
      <c r="AK72" s="204">
        <v>45649</v>
      </c>
      <c r="AL72" s="208">
        <v>1</v>
      </c>
      <c r="AM72" s="209" t="s">
        <v>584</v>
      </c>
      <c r="AN72" s="209" t="s">
        <v>589</v>
      </c>
      <c r="AO72" s="209" t="s">
        <v>585</v>
      </c>
      <c r="AP72" s="209"/>
      <c r="AQ72" s="209" t="s">
        <v>72</v>
      </c>
      <c r="AR72" s="209" t="s">
        <v>91</v>
      </c>
      <c r="AS72" s="209" t="s">
        <v>590</v>
      </c>
      <c r="AT72" s="210">
        <v>5.6</v>
      </c>
      <c r="AU72" s="211">
        <v>10</v>
      </c>
      <c r="AV72" s="212">
        <v>17.3</v>
      </c>
      <c r="AW72" s="213">
        <v>15815</v>
      </c>
      <c r="AX72" s="213">
        <v>6120.4049999999997</v>
      </c>
      <c r="AY72" s="210" t="s">
        <v>128</v>
      </c>
      <c r="AZ72" s="209" t="s">
        <v>93</v>
      </c>
      <c r="BA72" s="214" t="str">
        <f>+IF(Tabla467824[[#This Row],[TIPO VEHÍCULO]]=Tabla467824[[#This Row],[Columna2]], "IGUAL", "DISTINTO")</f>
        <v>IGUAL</v>
      </c>
      <c r="BB72" s="214" t="str">
        <f>+IF(Tabla467824[[#This Row],[Columna4]]=Tabla467824[[#This Row],[Combustible2]], "IGUAL", "DISTINTO")</f>
        <v>IGUAL</v>
      </c>
      <c r="BC72" s="202" t="s">
        <v>582</v>
      </c>
      <c r="BD72" s="215" cm="1">
        <f t="array" ref="BD72">IFERROR(INDEX('[1]Anexos FICHA TRA050'!$D$27:$D$44, MATCH(Tabla467824[[#This Row],[Columna5]]&amp;Tabla467824[[#This Row],[Columna4]], '[1]Anexos FICHA TRA050'!$E$27:$E$44&amp;'[1]Anexos FICHA TRA050'!$F$27:$F$44, 0)), "")</f>
        <v>5.63</v>
      </c>
      <c r="BE72" s="215">
        <f>IFERROR(INDEX('[1]Anexos FICHA TRA050'!$B$4:$B$7, MATCH(Tabla467824[[#This Row],[Columna4]], '[1]Anexos FICHA TRA050'!$C$4:$C$7, 0)), "")</f>
        <v>10</v>
      </c>
      <c r="BF72" s="215">
        <f>IFERROR(INDEX('[1]Anexos FICHA TRA050'!$C$14:$C$22, MATCH(Tabla467824[[#This Row],[Columna5]], '[1]Anexos FICHA TRA050'!$D$14:$D$22, 0)), "")</f>
        <v>20.84</v>
      </c>
      <c r="BG72" s="216">
        <f>IFERROR(INDEX('[1]Anexos FICHA TRA050'!$C$49:$C$54, MATCH(Tabla467824[[#This Row],[Columna5]], '[1]Anexos FICHA TRA050'!$D$49:$D$54, 0)), "")</f>
        <v>15815</v>
      </c>
      <c r="BH72" s="217">
        <f>+(((Tabla467824[[#This Row],[CVA2]]*Tabla467824[[#This Row],[f2]])-Tabla467824[[#This Row],[CVN2]])/100)*Tabla467824[[#This Row],[L2]]</f>
        <v>5607.9989999999989</v>
      </c>
      <c r="BI72" s="218"/>
      <c r="BJ72" s="218"/>
      <c r="BK72" s="218" t="str">
        <f>+IF(Tabla467824[[#This Row],[F]]=Tabla467824[[#This Row],[f2]], "IGUAL", "DISTINTO")</f>
        <v>IGUAL</v>
      </c>
      <c r="BL72" s="218" t="str">
        <f>+IF(Tabla467824[[#This Row],[CVN]]=Tabla467824[[#This Row],[CVN2]], "IGUAL", "DISTINTO")</f>
        <v>DISTINTO</v>
      </c>
      <c r="BM72" s="219" t="str">
        <f>+IF(Tabla467824[[#This Row],[L]]=Tabla467824[[#This Row],[L2]], "IGUAL", "DISTINTO")</f>
        <v>IGUAL</v>
      </c>
    </row>
    <row r="73" spans="1:65" x14ac:dyDescent="0.25">
      <c r="A73">
        <v>70</v>
      </c>
      <c r="B73" s="202" t="s">
        <v>591</v>
      </c>
      <c r="C73" s="203" t="s">
        <v>592</v>
      </c>
      <c r="D73" s="203" t="s">
        <v>128</v>
      </c>
      <c r="E73" s="203" t="s">
        <v>78</v>
      </c>
      <c r="F73" s="203" t="s">
        <v>78</v>
      </c>
      <c r="G73" s="203" t="s">
        <v>128</v>
      </c>
      <c r="H73" s="203" t="s">
        <v>72</v>
      </c>
      <c r="I73" s="203" t="s">
        <v>72</v>
      </c>
      <c r="J73" s="203" t="s">
        <v>72</v>
      </c>
      <c r="K73" s="203"/>
      <c r="L73" s="203" t="s">
        <v>249</v>
      </c>
      <c r="M73" s="203" t="s">
        <v>249</v>
      </c>
      <c r="N73" s="203"/>
      <c r="O73" s="203" t="s">
        <v>73</v>
      </c>
      <c r="P73" s="203" t="s">
        <v>200</v>
      </c>
      <c r="Q73" s="203" t="s">
        <v>201</v>
      </c>
      <c r="R73" s="203" t="s">
        <v>76</v>
      </c>
      <c r="S73" s="209">
        <v>43415</v>
      </c>
      <c r="T73" s="205">
        <v>45356</v>
      </c>
      <c r="U73" s="206">
        <v>1941</v>
      </c>
      <c r="V73" s="207">
        <v>2024</v>
      </c>
      <c r="W73" s="203" t="s">
        <v>77</v>
      </c>
      <c r="X73" s="203" t="s">
        <v>78</v>
      </c>
      <c r="Y73" s="203" t="s">
        <v>359</v>
      </c>
      <c r="Z73" s="203" t="s">
        <v>593</v>
      </c>
      <c r="AA73" s="203" t="s">
        <v>102</v>
      </c>
      <c r="AB73" s="203" t="s">
        <v>103</v>
      </c>
      <c r="AC73" s="203" t="s">
        <v>594</v>
      </c>
      <c r="AD73" s="208">
        <v>17</v>
      </c>
      <c r="AE73" s="208" t="s">
        <v>595</v>
      </c>
      <c r="AF73" s="208" t="s">
        <v>85</v>
      </c>
      <c r="AG73" s="208" t="s">
        <v>114</v>
      </c>
      <c r="AH73" s="208" t="s">
        <v>87</v>
      </c>
      <c r="AI73" s="208" t="s">
        <v>562</v>
      </c>
      <c r="AJ73" s="205" t="s">
        <v>108</v>
      </c>
      <c r="AK73" s="204">
        <v>44922</v>
      </c>
      <c r="AL73" s="208">
        <v>-1</v>
      </c>
      <c r="AM73" s="209" t="s">
        <v>102</v>
      </c>
      <c r="AN73" s="210">
        <v>4500348261</v>
      </c>
      <c r="AO73" s="209" t="s">
        <v>103</v>
      </c>
      <c r="AP73" s="209"/>
      <c r="AQ73" s="209" t="s">
        <v>72</v>
      </c>
      <c r="AR73" s="209" t="s">
        <v>109</v>
      </c>
      <c r="AS73" s="209" t="s">
        <v>596</v>
      </c>
      <c r="AT73" s="210">
        <v>5.6</v>
      </c>
      <c r="AU73" s="211">
        <v>10</v>
      </c>
      <c r="AV73" s="212">
        <v>17.3</v>
      </c>
      <c r="AW73" s="213">
        <v>15815</v>
      </c>
      <c r="AX73" s="213">
        <v>6120.4049999999997</v>
      </c>
      <c r="AY73" s="210" t="s">
        <v>128</v>
      </c>
      <c r="AZ73" s="209" t="s">
        <v>93</v>
      </c>
      <c r="BA73" s="214" t="str">
        <f>+IF(Tabla467824[[#This Row],[TIPO VEHÍCULO]]=Tabla467824[[#This Row],[Columna2]], "IGUAL", "DISTINTO")</f>
        <v>IGUAL</v>
      </c>
      <c r="BB73" s="214" t="str">
        <f>+IF(Tabla467824[[#This Row],[Columna4]]=Tabla467824[[#This Row],[Combustible2]], "IGUAL", "DISTINTO")</f>
        <v>IGUAL</v>
      </c>
      <c r="BC73" s="202" t="s">
        <v>591</v>
      </c>
      <c r="BD73" s="215" cm="1">
        <f t="array" ref="BD73">IFERROR(INDEX('[1]Anexos FICHA TRA050'!$D$27:$D$44, MATCH(Tabla467824[[#This Row],[Columna5]]&amp;Tabla467824[[#This Row],[Columna4]], '[1]Anexos FICHA TRA050'!$E$27:$E$44&amp;'[1]Anexos FICHA TRA050'!$F$27:$F$44, 0)), "")</f>
        <v>5.63</v>
      </c>
      <c r="BE73" s="215">
        <f>IFERROR(INDEX('[1]Anexos FICHA TRA050'!$B$4:$B$7, MATCH(Tabla467824[[#This Row],[Columna4]], '[1]Anexos FICHA TRA050'!$C$4:$C$7, 0)), "")</f>
        <v>10</v>
      </c>
      <c r="BF73" s="215">
        <f>IFERROR(INDEX('[1]Anexos FICHA TRA050'!$C$14:$C$22, MATCH(Tabla467824[[#This Row],[Columna5]], '[1]Anexos FICHA TRA050'!$D$14:$D$22, 0)), "")</f>
        <v>20.84</v>
      </c>
      <c r="BG73" s="216">
        <f>IFERROR(INDEX('[1]Anexos FICHA TRA050'!$C$49:$C$54, MATCH(Tabla467824[[#This Row],[Columna5]], '[1]Anexos FICHA TRA050'!$D$49:$D$54, 0)), "")</f>
        <v>15815</v>
      </c>
      <c r="BH73" s="217">
        <f>+(((Tabla467824[[#This Row],[CVA2]]*Tabla467824[[#This Row],[f2]])-Tabla467824[[#This Row],[CVN2]])/100)*Tabla467824[[#This Row],[L2]]</f>
        <v>5607.9989999999989</v>
      </c>
      <c r="BI73" s="218"/>
      <c r="BJ73" s="218"/>
      <c r="BK73" s="218" t="str">
        <f>+IF(Tabla467824[[#This Row],[F]]=Tabla467824[[#This Row],[f2]], "IGUAL", "DISTINTO")</f>
        <v>IGUAL</v>
      </c>
      <c r="BL73" s="218" t="str">
        <f>+IF(Tabla467824[[#This Row],[CVN]]=Tabla467824[[#This Row],[CVN2]], "IGUAL", "DISTINTO")</f>
        <v>DISTINTO</v>
      </c>
      <c r="BM73" s="219" t="str">
        <f>+IF(Tabla467824[[#This Row],[L]]=Tabla467824[[#This Row],[L2]], "IGUAL", "DISTINTO")</f>
        <v>IGUAL</v>
      </c>
    </row>
    <row r="74" spans="1:65" x14ac:dyDescent="0.25">
      <c r="A74">
        <v>71</v>
      </c>
      <c r="B74" s="202" t="s">
        <v>597</v>
      </c>
      <c r="C74" s="203" t="s">
        <v>598</v>
      </c>
      <c r="D74" s="203" t="s">
        <v>128</v>
      </c>
      <c r="E74" s="203" t="s">
        <v>78</v>
      </c>
      <c r="F74" s="203" t="s">
        <v>78</v>
      </c>
      <c r="G74" s="203" t="s">
        <v>128</v>
      </c>
      <c r="H74" s="203" t="s">
        <v>72</v>
      </c>
      <c r="I74" s="203" t="s">
        <v>72</v>
      </c>
      <c r="J74" s="203" t="s">
        <v>72</v>
      </c>
      <c r="K74" s="203"/>
      <c r="L74" s="203" t="s">
        <v>249</v>
      </c>
      <c r="M74" s="203" t="s">
        <v>249</v>
      </c>
      <c r="N74" s="203"/>
      <c r="O74" s="203" t="s">
        <v>73</v>
      </c>
      <c r="P74" s="203" t="s">
        <v>200</v>
      </c>
      <c r="Q74" s="203" t="s">
        <v>201</v>
      </c>
      <c r="R74" s="203" t="s">
        <v>76</v>
      </c>
      <c r="S74" s="209">
        <v>43355</v>
      </c>
      <c r="T74" s="205">
        <v>45181</v>
      </c>
      <c r="U74" s="206">
        <v>1826</v>
      </c>
      <c r="V74" s="207">
        <v>2023</v>
      </c>
      <c r="W74" s="203" t="s">
        <v>77</v>
      </c>
      <c r="X74" s="203" t="s">
        <v>78</v>
      </c>
      <c r="Y74" s="203" t="s">
        <v>359</v>
      </c>
      <c r="Z74" s="203" t="s">
        <v>593</v>
      </c>
      <c r="AA74" s="203" t="s">
        <v>102</v>
      </c>
      <c r="AB74" s="203" t="s">
        <v>103</v>
      </c>
      <c r="AC74" s="203" t="s">
        <v>599</v>
      </c>
      <c r="AD74" s="208">
        <v>18</v>
      </c>
      <c r="AE74" s="208" t="s">
        <v>600</v>
      </c>
      <c r="AF74" s="208" t="s">
        <v>85</v>
      </c>
      <c r="AG74" s="208" t="s">
        <v>340</v>
      </c>
      <c r="AH74" s="208" t="s">
        <v>87</v>
      </c>
      <c r="AI74" s="208" t="s">
        <v>567</v>
      </c>
      <c r="AJ74" s="205" t="s">
        <v>108</v>
      </c>
      <c r="AK74" s="204">
        <v>43019</v>
      </c>
      <c r="AL74" s="208">
        <v>0</v>
      </c>
      <c r="AM74" s="209" t="s">
        <v>102</v>
      </c>
      <c r="AN74" s="210">
        <v>4500352582</v>
      </c>
      <c r="AO74" s="209" t="s">
        <v>103</v>
      </c>
      <c r="AP74" s="209"/>
      <c r="AQ74" s="209" t="s">
        <v>72</v>
      </c>
      <c r="AR74" s="209" t="s">
        <v>109</v>
      </c>
      <c r="AS74" s="209" t="s">
        <v>601</v>
      </c>
      <c r="AT74" s="210">
        <v>5.6</v>
      </c>
      <c r="AU74" s="211">
        <v>10</v>
      </c>
      <c r="AV74" s="212">
        <v>13.3</v>
      </c>
      <c r="AW74" s="213">
        <v>15815</v>
      </c>
      <c r="AX74" s="213">
        <v>6753.005000000001</v>
      </c>
      <c r="AY74" s="210" t="s">
        <v>128</v>
      </c>
      <c r="AZ74" s="209" t="s">
        <v>93</v>
      </c>
      <c r="BA74" s="214" t="str">
        <f>+IF(Tabla467824[[#This Row],[TIPO VEHÍCULO]]=Tabla467824[[#This Row],[Columna2]], "IGUAL", "DISTINTO")</f>
        <v>IGUAL</v>
      </c>
      <c r="BB74" s="214" t="str">
        <f>+IF(Tabla467824[[#This Row],[Columna4]]=Tabla467824[[#This Row],[Combustible2]], "IGUAL", "DISTINTO")</f>
        <v>IGUAL</v>
      </c>
      <c r="BC74" s="202" t="s">
        <v>597</v>
      </c>
      <c r="BD74" s="215" cm="1">
        <f t="array" ref="BD74">IFERROR(INDEX('[1]Anexos FICHA TRA050'!$D$27:$D$44, MATCH(Tabla467824[[#This Row],[Columna5]]&amp;Tabla467824[[#This Row],[Columna4]], '[1]Anexos FICHA TRA050'!$E$27:$E$44&amp;'[1]Anexos FICHA TRA050'!$F$27:$F$44, 0)), "")</f>
        <v>5.63</v>
      </c>
      <c r="BE74" s="215">
        <f>IFERROR(INDEX('[1]Anexos FICHA TRA050'!$B$4:$B$7, MATCH(Tabla467824[[#This Row],[Columna4]], '[1]Anexos FICHA TRA050'!$C$4:$C$7, 0)), "")</f>
        <v>10</v>
      </c>
      <c r="BF74" s="215">
        <f>IFERROR(INDEX('[1]Anexos FICHA TRA050'!$C$14:$C$22, MATCH(Tabla467824[[#This Row],[Columna5]], '[1]Anexos FICHA TRA050'!$D$14:$D$22, 0)), "")</f>
        <v>20.84</v>
      </c>
      <c r="BG74" s="216">
        <f>IFERROR(INDEX('[1]Anexos FICHA TRA050'!$C$49:$C$54, MATCH(Tabla467824[[#This Row],[Columna5]], '[1]Anexos FICHA TRA050'!$D$49:$D$54, 0)), "")</f>
        <v>15815</v>
      </c>
      <c r="BH74" s="217">
        <f>+(((Tabla467824[[#This Row],[CVA2]]*Tabla467824[[#This Row],[f2]])-Tabla467824[[#This Row],[CVN2]])/100)*Tabla467824[[#This Row],[L2]]</f>
        <v>5607.9989999999989</v>
      </c>
      <c r="BI74" s="218"/>
      <c r="BJ74" s="218"/>
      <c r="BK74" s="218" t="str">
        <f>+IF(Tabla467824[[#This Row],[F]]=Tabla467824[[#This Row],[f2]], "IGUAL", "DISTINTO")</f>
        <v>IGUAL</v>
      </c>
      <c r="BL74" s="218" t="str">
        <f>+IF(Tabla467824[[#This Row],[CVN]]=Tabla467824[[#This Row],[CVN2]], "IGUAL", "DISTINTO")</f>
        <v>DISTINTO</v>
      </c>
      <c r="BM74" s="219" t="str">
        <f>+IF(Tabla467824[[#This Row],[L]]=Tabla467824[[#This Row],[L2]], "IGUAL", "DISTINTO")</f>
        <v>IGUAL</v>
      </c>
    </row>
    <row r="75" spans="1:65" x14ac:dyDescent="0.25">
      <c r="A75">
        <v>72</v>
      </c>
      <c r="B75" s="202" t="s">
        <v>602</v>
      </c>
      <c r="C75" s="203" t="s">
        <v>603</v>
      </c>
      <c r="D75" s="203" t="s">
        <v>70</v>
      </c>
      <c r="E75" s="203" t="s">
        <v>78</v>
      </c>
      <c r="F75" s="203" t="s">
        <v>78</v>
      </c>
      <c r="G75" s="203" t="s">
        <v>70</v>
      </c>
      <c r="H75" s="203" t="s">
        <v>72</v>
      </c>
      <c r="I75" s="203" t="s">
        <v>72</v>
      </c>
      <c r="J75" s="203" t="s">
        <v>72</v>
      </c>
      <c r="K75" s="203"/>
      <c r="L75" s="203" t="s">
        <v>72</v>
      </c>
      <c r="M75" s="203" t="s">
        <v>72</v>
      </c>
      <c r="N75" s="203"/>
      <c r="O75" s="203" t="s">
        <v>73</v>
      </c>
      <c r="P75" s="203" t="s">
        <v>200</v>
      </c>
      <c r="Q75" s="203" t="s">
        <v>201</v>
      </c>
      <c r="R75" s="203" t="s">
        <v>76</v>
      </c>
      <c r="S75" s="209">
        <v>43172</v>
      </c>
      <c r="T75" s="205">
        <v>44998</v>
      </c>
      <c r="U75" s="206">
        <v>1826</v>
      </c>
      <c r="V75" s="207">
        <v>2023</v>
      </c>
      <c r="W75" s="203" t="s">
        <v>77</v>
      </c>
      <c r="X75" s="203" t="s">
        <v>78</v>
      </c>
      <c r="Y75" s="203" t="s">
        <v>359</v>
      </c>
      <c r="Z75" s="203" t="s">
        <v>604</v>
      </c>
      <c r="AA75" s="203" t="s">
        <v>204</v>
      </c>
      <c r="AB75" s="203" t="s">
        <v>205</v>
      </c>
      <c r="AC75" s="203" t="s">
        <v>230</v>
      </c>
      <c r="AD75" s="208">
        <v>6</v>
      </c>
      <c r="AE75" s="208" t="s">
        <v>605</v>
      </c>
      <c r="AF75" s="208" t="s">
        <v>140</v>
      </c>
      <c r="AG75" s="208" t="s">
        <v>151</v>
      </c>
      <c r="AH75" s="208" t="s">
        <v>87</v>
      </c>
      <c r="AI75" s="208" t="s">
        <v>208</v>
      </c>
      <c r="AJ75" s="205" t="s">
        <v>89</v>
      </c>
      <c r="AK75" s="204">
        <v>45637</v>
      </c>
      <c r="AL75" s="208">
        <v>1</v>
      </c>
      <c r="AM75" s="209" t="s">
        <v>204</v>
      </c>
      <c r="AN75" s="209" t="s">
        <v>606</v>
      </c>
      <c r="AO75" s="209" t="s">
        <v>205</v>
      </c>
      <c r="AP75" s="209"/>
      <c r="AQ75" s="209" t="s">
        <v>72</v>
      </c>
      <c r="AR75" s="209" t="s">
        <v>91</v>
      </c>
      <c r="AS75" s="209" t="s">
        <v>607</v>
      </c>
      <c r="AT75" s="210">
        <v>5.0999999999999996</v>
      </c>
      <c r="AU75" s="211">
        <v>10</v>
      </c>
      <c r="AV75" s="212">
        <v>16.399999999999999</v>
      </c>
      <c r="AW75" s="213">
        <v>13073</v>
      </c>
      <c r="AX75" s="213">
        <v>4523.2580000000007</v>
      </c>
      <c r="AY75" s="210" t="s">
        <v>70</v>
      </c>
      <c r="AZ75" s="209" t="s">
        <v>93</v>
      </c>
      <c r="BA75" s="214" t="str">
        <f>+IF(Tabla467824[[#This Row],[TIPO VEHÍCULO]]=Tabla467824[[#This Row],[Columna2]], "IGUAL", "DISTINTO")</f>
        <v>IGUAL</v>
      </c>
      <c r="BB75" s="214" t="str">
        <f>+IF(Tabla467824[[#This Row],[Columna4]]=Tabla467824[[#This Row],[Combustible2]], "IGUAL", "DISTINTO")</f>
        <v>IGUAL</v>
      </c>
      <c r="BC75" s="202" t="s">
        <v>602</v>
      </c>
      <c r="BD75" s="215" cm="1">
        <f t="array" ref="BD75">IFERROR(INDEX('[1]Anexos FICHA TRA050'!$D$27:$D$44, MATCH(Tabla467824[[#This Row],[Columna5]]&amp;Tabla467824[[#This Row],[Columna4]], '[1]Anexos FICHA TRA050'!$E$27:$E$44&amp;'[1]Anexos FICHA TRA050'!$F$27:$F$44, 0)), "")</f>
        <v>6.99</v>
      </c>
      <c r="BE75" s="215">
        <f>IFERROR(INDEX('[1]Anexos FICHA TRA050'!$B$4:$B$7, MATCH(Tabla467824[[#This Row],[Columna4]], '[1]Anexos FICHA TRA050'!$C$4:$C$7, 0)), "")</f>
        <v>10</v>
      </c>
      <c r="BF75" s="215">
        <f>IFERROR(INDEX('[1]Anexos FICHA TRA050'!$C$14:$C$22, MATCH(Tabla467824[[#This Row],[Columna5]], '[1]Anexos FICHA TRA050'!$D$14:$D$22, 0)), "")</f>
        <v>17.920000000000002</v>
      </c>
      <c r="BG75" s="216">
        <f>IFERROR(INDEX('[1]Anexos FICHA TRA050'!$C$49:$C$54, MATCH(Tabla467824[[#This Row],[Columna5]], '[1]Anexos FICHA TRA050'!$D$49:$D$54, 0)), "")</f>
        <v>13073</v>
      </c>
      <c r="BH75" s="217">
        <f>+(((Tabla467824[[#This Row],[CVA2]]*Tabla467824[[#This Row],[f2]])-Tabla467824[[#This Row],[CVN2]])/100)*Tabla467824[[#This Row],[L2]]</f>
        <v>6795.3454000000002</v>
      </c>
      <c r="BI75" s="218"/>
      <c r="BJ75" s="218"/>
      <c r="BK75" s="218" t="str">
        <f>+IF(Tabla467824[[#This Row],[F]]=Tabla467824[[#This Row],[f2]], "IGUAL", "DISTINTO")</f>
        <v>IGUAL</v>
      </c>
      <c r="BL75" s="218" t="str">
        <f>+IF(Tabla467824[[#This Row],[CVN]]=Tabla467824[[#This Row],[CVN2]], "IGUAL", "DISTINTO")</f>
        <v>DISTINTO</v>
      </c>
      <c r="BM75" s="219" t="str">
        <f>+IF(Tabla467824[[#This Row],[L]]=Tabla467824[[#This Row],[L2]], "IGUAL", "DISTINTO")</f>
        <v>IGUAL</v>
      </c>
    </row>
    <row r="76" spans="1:65" x14ac:dyDescent="0.25">
      <c r="A76">
        <v>73</v>
      </c>
      <c r="B76" s="202" t="s">
        <v>608</v>
      </c>
      <c r="C76" s="203" t="s">
        <v>609</v>
      </c>
      <c r="D76" s="203" t="s">
        <v>70</v>
      </c>
      <c r="E76" s="203" t="s">
        <v>78</v>
      </c>
      <c r="F76" s="203" t="s">
        <v>78</v>
      </c>
      <c r="G76" s="203" t="s">
        <v>70</v>
      </c>
      <c r="H76" s="203" t="s">
        <v>72</v>
      </c>
      <c r="I76" s="203" t="s">
        <v>72</v>
      </c>
      <c r="J76" s="203" t="s">
        <v>72</v>
      </c>
      <c r="K76" s="203"/>
      <c r="L76" s="203" t="s">
        <v>72</v>
      </c>
      <c r="M76" s="203" t="s">
        <v>72</v>
      </c>
      <c r="N76" s="203"/>
      <c r="O76" s="203" t="s">
        <v>73</v>
      </c>
      <c r="P76" s="203" t="s">
        <v>200</v>
      </c>
      <c r="Q76" s="203" t="s">
        <v>201</v>
      </c>
      <c r="R76" s="203" t="s">
        <v>76</v>
      </c>
      <c r="S76" s="209">
        <v>43213</v>
      </c>
      <c r="T76" s="205">
        <v>45039</v>
      </c>
      <c r="U76" s="206">
        <v>1826</v>
      </c>
      <c r="V76" s="207">
        <v>2023</v>
      </c>
      <c r="W76" s="203" t="s">
        <v>77</v>
      </c>
      <c r="X76" s="203" t="s">
        <v>78</v>
      </c>
      <c r="Y76" s="203" t="s">
        <v>359</v>
      </c>
      <c r="Z76" s="203" t="s">
        <v>604</v>
      </c>
      <c r="AA76" s="203" t="s">
        <v>131</v>
      </c>
      <c r="AB76" s="203" t="s">
        <v>132</v>
      </c>
      <c r="AC76" s="203" t="s">
        <v>610</v>
      </c>
      <c r="AD76" s="208">
        <v>6</v>
      </c>
      <c r="AE76" s="208" t="s">
        <v>611</v>
      </c>
      <c r="AF76" s="208" t="s">
        <v>140</v>
      </c>
      <c r="AG76" s="208" t="s">
        <v>151</v>
      </c>
      <c r="AH76" s="208" t="s">
        <v>87</v>
      </c>
      <c r="AI76" s="208" t="s">
        <v>316</v>
      </c>
      <c r="AJ76" s="205" t="s">
        <v>89</v>
      </c>
      <c r="AK76" s="204">
        <v>45625</v>
      </c>
      <c r="AL76" s="208">
        <v>1</v>
      </c>
      <c r="AM76" s="209" t="s">
        <v>131</v>
      </c>
      <c r="AN76" s="209" t="s">
        <v>612</v>
      </c>
      <c r="AO76" s="209" t="s">
        <v>132</v>
      </c>
      <c r="AP76" s="209"/>
      <c r="AQ76" s="209" t="s">
        <v>72</v>
      </c>
      <c r="AR76" s="209" t="s">
        <v>91</v>
      </c>
      <c r="AS76" s="209" t="s">
        <v>613</v>
      </c>
      <c r="AT76" s="210">
        <v>5.0999999999999996</v>
      </c>
      <c r="AU76" s="211">
        <v>10</v>
      </c>
      <c r="AV76" s="212">
        <v>16.399999999999999</v>
      </c>
      <c r="AW76" s="213">
        <v>13073</v>
      </c>
      <c r="AX76" s="213">
        <v>4523.2580000000007</v>
      </c>
      <c r="AY76" s="210" t="s">
        <v>70</v>
      </c>
      <c r="AZ76" s="209" t="s">
        <v>93</v>
      </c>
      <c r="BA76" s="214" t="str">
        <f>+IF(Tabla467824[[#This Row],[TIPO VEHÍCULO]]=Tabla467824[[#This Row],[Columna2]], "IGUAL", "DISTINTO")</f>
        <v>IGUAL</v>
      </c>
      <c r="BB76" s="214" t="str">
        <f>+IF(Tabla467824[[#This Row],[Columna4]]=Tabla467824[[#This Row],[Combustible2]], "IGUAL", "DISTINTO")</f>
        <v>IGUAL</v>
      </c>
      <c r="BC76" s="202" t="s">
        <v>608</v>
      </c>
      <c r="BD76" s="215" cm="1">
        <f t="array" ref="BD76">IFERROR(INDEX('[1]Anexos FICHA TRA050'!$D$27:$D$44, MATCH(Tabla467824[[#This Row],[Columna5]]&amp;Tabla467824[[#This Row],[Columna4]], '[1]Anexos FICHA TRA050'!$E$27:$E$44&amp;'[1]Anexos FICHA TRA050'!$F$27:$F$44, 0)), "")</f>
        <v>6.99</v>
      </c>
      <c r="BE76" s="215">
        <f>IFERROR(INDEX('[1]Anexos FICHA TRA050'!$B$4:$B$7, MATCH(Tabla467824[[#This Row],[Columna4]], '[1]Anexos FICHA TRA050'!$C$4:$C$7, 0)), "")</f>
        <v>10</v>
      </c>
      <c r="BF76" s="215">
        <f>IFERROR(INDEX('[1]Anexos FICHA TRA050'!$C$14:$C$22, MATCH(Tabla467824[[#This Row],[Columna5]], '[1]Anexos FICHA TRA050'!$D$14:$D$22, 0)), "")</f>
        <v>17.920000000000002</v>
      </c>
      <c r="BG76" s="216">
        <f>IFERROR(INDEX('[1]Anexos FICHA TRA050'!$C$49:$C$54, MATCH(Tabla467824[[#This Row],[Columna5]], '[1]Anexos FICHA TRA050'!$D$49:$D$54, 0)), "")</f>
        <v>13073</v>
      </c>
      <c r="BH76" s="217">
        <f>+(((Tabla467824[[#This Row],[CVA2]]*Tabla467824[[#This Row],[f2]])-Tabla467824[[#This Row],[CVN2]])/100)*Tabla467824[[#This Row],[L2]]</f>
        <v>6795.3454000000002</v>
      </c>
      <c r="BI76" s="218"/>
      <c r="BJ76" s="218"/>
      <c r="BK76" s="218" t="str">
        <f>+IF(Tabla467824[[#This Row],[F]]=Tabla467824[[#This Row],[f2]], "IGUAL", "DISTINTO")</f>
        <v>IGUAL</v>
      </c>
      <c r="BL76" s="218" t="str">
        <f>+IF(Tabla467824[[#This Row],[CVN]]=Tabla467824[[#This Row],[CVN2]], "IGUAL", "DISTINTO")</f>
        <v>DISTINTO</v>
      </c>
      <c r="BM76" s="219" t="str">
        <f>+IF(Tabla467824[[#This Row],[L]]=Tabla467824[[#This Row],[L2]], "IGUAL", "DISTINTO")</f>
        <v>IGUAL</v>
      </c>
    </row>
    <row r="77" spans="1:65" x14ac:dyDescent="0.25">
      <c r="A77">
        <v>74</v>
      </c>
      <c r="B77" s="202" t="s">
        <v>614</v>
      </c>
      <c r="C77" s="203" t="s">
        <v>615</v>
      </c>
      <c r="D77" s="203" t="s">
        <v>70</v>
      </c>
      <c r="E77" s="203" t="s">
        <v>78</v>
      </c>
      <c r="F77" s="203" t="s">
        <v>78</v>
      </c>
      <c r="G77" s="203" t="s">
        <v>70</v>
      </c>
      <c r="H77" s="203" t="s">
        <v>72</v>
      </c>
      <c r="I77" s="203"/>
      <c r="J77" s="203" t="s">
        <v>72</v>
      </c>
      <c r="K77" s="203"/>
      <c r="L77" s="203" t="s">
        <v>249</v>
      </c>
      <c r="M77" s="203" t="s">
        <v>249</v>
      </c>
      <c r="N77" s="203"/>
      <c r="O77" s="203" t="s">
        <v>73</v>
      </c>
      <c r="P77" s="203" t="s">
        <v>200</v>
      </c>
      <c r="Q77" s="203" t="s">
        <v>201</v>
      </c>
      <c r="R77" s="203" t="s">
        <v>76</v>
      </c>
      <c r="S77" s="209">
        <v>43160</v>
      </c>
      <c r="T77" s="205">
        <v>44986</v>
      </c>
      <c r="U77" s="206">
        <v>1826</v>
      </c>
      <c r="V77" s="207">
        <v>2023</v>
      </c>
      <c r="W77" s="203" t="s">
        <v>77</v>
      </c>
      <c r="X77" s="203" t="s">
        <v>78</v>
      </c>
      <c r="Y77" s="203" t="s">
        <v>359</v>
      </c>
      <c r="Z77" s="203" t="s">
        <v>604</v>
      </c>
      <c r="AA77" s="203" t="s">
        <v>119</v>
      </c>
      <c r="AB77" s="203" t="s">
        <v>120</v>
      </c>
      <c r="AC77" s="203" t="s">
        <v>501</v>
      </c>
      <c r="AD77" s="208">
        <v>16</v>
      </c>
      <c r="AE77" s="208" t="s">
        <v>616</v>
      </c>
      <c r="AF77" s="208" t="s">
        <v>85</v>
      </c>
      <c r="AG77" s="208" t="s">
        <v>86</v>
      </c>
      <c r="AH77" s="208" t="s">
        <v>87</v>
      </c>
      <c r="AI77" s="208" t="s">
        <v>617</v>
      </c>
      <c r="AJ77" s="205" t="s">
        <v>89</v>
      </c>
      <c r="AK77" s="204">
        <v>45645</v>
      </c>
      <c r="AL77" s="208">
        <v>1</v>
      </c>
      <c r="AM77" s="209" t="s">
        <v>119</v>
      </c>
      <c r="AN77" s="209" t="s">
        <v>618</v>
      </c>
      <c r="AO77" s="209" t="s">
        <v>120</v>
      </c>
      <c r="AP77" s="209"/>
      <c r="AQ77" s="209" t="s">
        <v>72</v>
      </c>
      <c r="AR77" s="209" t="s">
        <v>91</v>
      </c>
      <c r="AS77" s="209" t="s">
        <v>619</v>
      </c>
      <c r="AT77" s="210">
        <v>5.0999999999999996</v>
      </c>
      <c r="AU77" s="211">
        <v>10</v>
      </c>
      <c r="AV77" s="212">
        <v>17.3</v>
      </c>
      <c r="AW77" s="213">
        <v>13073</v>
      </c>
      <c r="AX77" s="213">
        <v>4405.6010000000006</v>
      </c>
      <c r="AY77" s="210" t="s">
        <v>70</v>
      </c>
      <c r="AZ77" s="209" t="s">
        <v>93</v>
      </c>
      <c r="BA77" s="214" t="str">
        <f>+IF(Tabla467824[[#This Row],[TIPO VEHÍCULO]]=Tabla467824[[#This Row],[Columna2]], "IGUAL", "DISTINTO")</f>
        <v>IGUAL</v>
      </c>
      <c r="BB77" s="214" t="str">
        <f>+IF(Tabla467824[[#This Row],[Columna4]]=Tabla467824[[#This Row],[Combustible2]], "IGUAL", "DISTINTO")</f>
        <v>IGUAL</v>
      </c>
      <c r="BC77" s="202" t="s">
        <v>614</v>
      </c>
      <c r="BD77" s="215" cm="1">
        <f t="array" ref="BD77">IFERROR(INDEX('[1]Anexos FICHA TRA050'!$D$27:$D$44, MATCH(Tabla467824[[#This Row],[Columna5]]&amp;Tabla467824[[#This Row],[Columna4]], '[1]Anexos FICHA TRA050'!$E$27:$E$44&amp;'[1]Anexos FICHA TRA050'!$F$27:$F$44, 0)), "")</f>
        <v>6.99</v>
      </c>
      <c r="BE77" s="215">
        <f>IFERROR(INDEX('[1]Anexos FICHA TRA050'!$B$4:$B$7, MATCH(Tabla467824[[#This Row],[Columna4]], '[1]Anexos FICHA TRA050'!$C$4:$C$7, 0)), "")</f>
        <v>10</v>
      </c>
      <c r="BF77" s="215">
        <f>IFERROR(INDEX('[1]Anexos FICHA TRA050'!$C$14:$C$22, MATCH(Tabla467824[[#This Row],[Columna5]], '[1]Anexos FICHA TRA050'!$D$14:$D$22, 0)), "")</f>
        <v>17.920000000000002</v>
      </c>
      <c r="BG77" s="216">
        <f>IFERROR(INDEX('[1]Anexos FICHA TRA050'!$C$49:$C$54, MATCH(Tabla467824[[#This Row],[Columna5]], '[1]Anexos FICHA TRA050'!$D$49:$D$54, 0)), "")</f>
        <v>13073</v>
      </c>
      <c r="BH77" s="217">
        <f>+(((Tabla467824[[#This Row],[CVA2]]*Tabla467824[[#This Row],[f2]])-Tabla467824[[#This Row],[CVN2]])/100)*Tabla467824[[#This Row],[L2]]</f>
        <v>6795.3454000000002</v>
      </c>
      <c r="BI77" s="238"/>
      <c r="BJ77" s="218"/>
      <c r="BK77" s="218" t="str">
        <f>+IF(Tabla467824[[#This Row],[F]]=Tabla467824[[#This Row],[f2]], "IGUAL", "DISTINTO")</f>
        <v>IGUAL</v>
      </c>
      <c r="BL77" s="218" t="str">
        <f>+IF(Tabla467824[[#This Row],[CVN]]=Tabla467824[[#This Row],[CVN2]], "IGUAL", "DISTINTO")</f>
        <v>DISTINTO</v>
      </c>
      <c r="BM77" s="219" t="str">
        <f>+IF(Tabla467824[[#This Row],[L]]=Tabla467824[[#This Row],[L2]], "IGUAL", "DISTINTO")</f>
        <v>IGUAL</v>
      </c>
    </row>
    <row r="78" spans="1:65" x14ac:dyDescent="0.25">
      <c r="A78">
        <v>75</v>
      </c>
      <c r="B78" s="202" t="s">
        <v>620</v>
      </c>
      <c r="C78" s="203" t="s">
        <v>621</v>
      </c>
      <c r="D78" s="203" t="s">
        <v>70</v>
      </c>
      <c r="E78" s="203" t="s">
        <v>78</v>
      </c>
      <c r="F78" s="203" t="s">
        <v>78</v>
      </c>
      <c r="G78" s="203" t="s">
        <v>70</v>
      </c>
      <c r="H78" s="203" t="s">
        <v>72</v>
      </c>
      <c r="I78" s="203" t="s">
        <v>72</v>
      </c>
      <c r="J78" s="203" t="s">
        <v>72</v>
      </c>
      <c r="K78" s="203"/>
      <c r="L78" s="203" t="s">
        <v>72</v>
      </c>
      <c r="M78" s="203" t="s">
        <v>72</v>
      </c>
      <c r="N78" s="203"/>
      <c r="O78" s="203" t="s">
        <v>73</v>
      </c>
      <c r="P78" s="203" t="s">
        <v>200</v>
      </c>
      <c r="Q78" s="203" t="s">
        <v>201</v>
      </c>
      <c r="R78" s="203" t="s">
        <v>76</v>
      </c>
      <c r="S78" s="209">
        <v>43312</v>
      </c>
      <c r="T78" s="205">
        <v>45323</v>
      </c>
      <c r="U78" s="206">
        <v>2011</v>
      </c>
      <c r="V78" s="207">
        <v>2024</v>
      </c>
      <c r="W78" s="203" t="s">
        <v>77</v>
      </c>
      <c r="X78" s="203" t="s">
        <v>78</v>
      </c>
      <c r="Y78" s="203" t="s">
        <v>359</v>
      </c>
      <c r="Z78" s="203" t="s">
        <v>604</v>
      </c>
      <c r="AA78" s="203" t="s">
        <v>131</v>
      </c>
      <c r="AB78" s="203" t="s">
        <v>132</v>
      </c>
      <c r="AC78" s="203" t="s">
        <v>622</v>
      </c>
      <c r="AD78" s="208">
        <v>7</v>
      </c>
      <c r="AE78" s="208" t="s">
        <v>623</v>
      </c>
      <c r="AF78" s="208" t="s">
        <v>85</v>
      </c>
      <c r="AG78" s="208" t="s">
        <v>86</v>
      </c>
      <c r="AH78" s="208" t="s">
        <v>87</v>
      </c>
      <c r="AI78" s="208" t="s">
        <v>318</v>
      </c>
      <c r="AJ78" s="205" t="s">
        <v>89</v>
      </c>
      <c r="AK78" s="204">
        <v>45625</v>
      </c>
      <c r="AL78" s="208">
        <v>0</v>
      </c>
      <c r="AM78" s="209" t="s">
        <v>131</v>
      </c>
      <c r="AN78" s="209" t="s">
        <v>624</v>
      </c>
      <c r="AO78" s="209" t="s">
        <v>132</v>
      </c>
      <c r="AP78" s="209"/>
      <c r="AQ78" s="209" t="s">
        <v>72</v>
      </c>
      <c r="AR78" s="209" t="s">
        <v>91</v>
      </c>
      <c r="AS78" s="209" t="s">
        <v>625</v>
      </c>
      <c r="AT78" s="210">
        <v>5.0999999999999996</v>
      </c>
      <c r="AU78" s="211">
        <v>10</v>
      </c>
      <c r="AV78" s="212">
        <v>17.3</v>
      </c>
      <c r="AW78" s="213">
        <v>13073</v>
      </c>
      <c r="AX78" s="213">
        <v>4405.6010000000006</v>
      </c>
      <c r="AY78" s="210" t="s">
        <v>70</v>
      </c>
      <c r="AZ78" s="209" t="s">
        <v>93</v>
      </c>
      <c r="BA78" s="214" t="str">
        <f>+IF(Tabla467824[[#This Row],[TIPO VEHÍCULO]]=Tabla467824[[#This Row],[Columna2]], "IGUAL", "DISTINTO")</f>
        <v>IGUAL</v>
      </c>
      <c r="BB78" s="214" t="str">
        <f>+IF(Tabla467824[[#This Row],[Columna4]]=Tabla467824[[#This Row],[Combustible2]], "IGUAL", "DISTINTO")</f>
        <v>IGUAL</v>
      </c>
      <c r="BC78" s="202" t="s">
        <v>620</v>
      </c>
      <c r="BD78" s="215" cm="1">
        <f t="array" ref="BD78">IFERROR(INDEX('[1]Anexos FICHA TRA050'!$D$27:$D$44, MATCH(Tabla467824[[#This Row],[Columna5]]&amp;Tabla467824[[#This Row],[Columna4]], '[1]Anexos FICHA TRA050'!$E$27:$E$44&amp;'[1]Anexos FICHA TRA050'!$F$27:$F$44, 0)), "")</f>
        <v>6.99</v>
      </c>
      <c r="BE78" s="215">
        <f>IFERROR(INDEX('[1]Anexos FICHA TRA050'!$B$4:$B$7, MATCH(Tabla467824[[#This Row],[Columna4]], '[1]Anexos FICHA TRA050'!$C$4:$C$7, 0)), "")</f>
        <v>10</v>
      </c>
      <c r="BF78" s="215">
        <f>IFERROR(INDEX('[1]Anexos FICHA TRA050'!$C$14:$C$22, MATCH(Tabla467824[[#This Row],[Columna5]], '[1]Anexos FICHA TRA050'!$D$14:$D$22, 0)), "")</f>
        <v>17.920000000000002</v>
      </c>
      <c r="BG78" s="216">
        <f>IFERROR(INDEX('[1]Anexos FICHA TRA050'!$C$49:$C$54, MATCH(Tabla467824[[#This Row],[Columna5]], '[1]Anexos FICHA TRA050'!$D$49:$D$54, 0)), "")</f>
        <v>13073</v>
      </c>
      <c r="BH78" s="217">
        <f>+(((Tabla467824[[#This Row],[CVA2]]*Tabla467824[[#This Row],[f2]])-Tabla467824[[#This Row],[CVN2]])/100)*Tabla467824[[#This Row],[L2]]</f>
        <v>6795.3454000000002</v>
      </c>
      <c r="BI78" s="218"/>
      <c r="BJ78" s="218"/>
      <c r="BK78" s="218" t="str">
        <f>+IF(Tabla467824[[#This Row],[F]]=Tabla467824[[#This Row],[f2]], "IGUAL", "DISTINTO")</f>
        <v>IGUAL</v>
      </c>
      <c r="BL78" s="218" t="str">
        <f>+IF(Tabla467824[[#This Row],[CVN]]=Tabla467824[[#This Row],[CVN2]], "IGUAL", "DISTINTO")</f>
        <v>DISTINTO</v>
      </c>
      <c r="BM78" s="219" t="str">
        <f>+IF(Tabla467824[[#This Row],[L]]=Tabla467824[[#This Row],[L2]], "IGUAL", "DISTINTO")</f>
        <v>IGUAL</v>
      </c>
    </row>
    <row r="79" spans="1:65" x14ac:dyDescent="0.25">
      <c r="A79">
        <v>76</v>
      </c>
      <c r="B79" s="202" t="s">
        <v>626</v>
      </c>
      <c r="C79" s="203" t="s">
        <v>627</v>
      </c>
      <c r="D79" s="203" t="s">
        <v>70</v>
      </c>
      <c r="E79" s="203" t="s">
        <v>78</v>
      </c>
      <c r="F79" s="203" t="s">
        <v>78</v>
      </c>
      <c r="G79" s="203" t="s">
        <v>70</v>
      </c>
      <c r="H79" s="203" t="s">
        <v>72</v>
      </c>
      <c r="I79" s="203" t="s">
        <v>72</v>
      </c>
      <c r="J79" s="203"/>
      <c r="K79" s="203"/>
      <c r="L79" s="203" t="s">
        <v>72</v>
      </c>
      <c r="M79" s="203" t="s">
        <v>72</v>
      </c>
      <c r="N79" s="203"/>
      <c r="O79" s="203" t="s">
        <v>73</v>
      </c>
      <c r="P79" s="203" t="s">
        <v>200</v>
      </c>
      <c r="Q79" s="203" t="s">
        <v>201</v>
      </c>
      <c r="R79" s="203" t="s">
        <v>76</v>
      </c>
      <c r="S79" s="209">
        <v>43343</v>
      </c>
      <c r="T79" s="205">
        <v>45016</v>
      </c>
      <c r="U79" s="206">
        <v>1673</v>
      </c>
      <c r="V79" s="207">
        <v>2023</v>
      </c>
      <c r="W79" s="203" t="s">
        <v>77</v>
      </c>
      <c r="X79" s="203" t="s">
        <v>78</v>
      </c>
      <c r="Y79" s="203" t="s">
        <v>359</v>
      </c>
      <c r="Z79" s="203" t="s">
        <v>604</v>
      </c>
      <c r="AA79" s="203" t="s">
        <v>336</v>
      </c>
      <c r="AB79" s="203" t="s">
        <v>337</v>
      </c>
      <c r="AC79" s="203" t="s">
        <v>628</v>
      </c>
      <c r="AD79" s="208">
        <v>5</v>
      </c>
      <c r="AE79" s="208" t="s">
        <v>629</v>
      </c>
      <c r="AF79" s="208" t="s">
        <v>85</v>
      </c>
      <c r="AG79" s="208" t="s">
        <v>340</v>
      </c>
      <c r="AH79" s="208" t="s">
        <v>87</v>
      </c>
      <c r="AI79" s="208" t="s">
        <v>630</v>
      </c>
      <c r="AJ79" s="205" t="s">
        <v>108</v>
      </c>
      <c r="AK79" s="204">
        <v>43439</v>
      </c>
      <c r="AL79" s="208">
        <v>0</v>
      </c>
      <c r="AM79" s="209" t="s">
        <v>336</v>
      </c>
      <c r="AN79" s="210">
        <v>4500389256</v>
      </c>
      <c r="AO79" s="209" t="s">
        <v>337</v>
      </c>
      <c r="AP79" s="209"/>
      <c r="AQ79" s="209" t="s">
        <v>72</v>
      </c>
      <c r="AR79" s="209" t="s">
        <v>91</v>
      </c>
      <c r="AS79" s="209" t="s">
        <v>631</v>
      </c>
      <c r="AT79" s="210">
        <v>5.0999999999999996</v>
      </c>
      <c r="AU79" s="211">
        <v>10</v>
      </c>
      <c r="AV79" s="212">
        <v>13.3</v>
      </c>
      <c r="AW79" s="213">
        <v>13073</v>
      </c>
      <c r="AX79" s="213">
        <v>4928.5209999999997</v>
      </c>
      <c r="AY79" s="210" t="s">
        <v>70</v>
      </c>
      <c r="AZ79" s="209" t="s">
        <v>255</v>
      </c>
      <c r="BA79" s="214" t="str">
        <f>+IF(Tabla467824[[#This Row],[TIPO VEHÍCULO]]=Tabla467824[[#This Row],[Columna2]], "IGUAL", "DISTINTO")</f>
        <v>IGUAL</v>
      </c>
      <c r="BB79" s="214" t="str">
        <f>+IF(Tabla467824[[#This Row],[Columna4]]=Tabla467824[[#This Row],[Combustible2]], "IGUAL", "DISTINTO")</f>
        <v>IGUAL</v>
      </c>
      <c r="BC79" s="202" t="s">
        <v>626</v>
      </c>
      <c r="BD79" s="215" cm="1">
        <f t="array" ref="BD79">IFERROR(INDEX('[1]Anexos FICHA TRA050'!$D$27:$D$44, MATCH(Tabla467824[[#This Row],[Columna5]]&amp;Tabla467824[[#This Row],[Columna4]], '[1]Anexos FICHA TRA050'!$E$27:$E$44&amp;'[1]Anexos FICHA TRA050'!$F$27:$F$44, 0)), "")</f>
        <v>6.99</v>
      </c>
      <c r="BE79" s="215">
        <f>IFERROR(INDEX('[1]Anexos FICHA TRA050'!$B$4:$B$7, MATCH(Tabla467824[[#This Row],[Columna4]], '[1]Anexos FICHA TRA050'!$C$4:$C$7, 0)), "")</f>
        <v>10</v>
      </c>
      <c r="BF79" s="215">
        <f>IFERROR(INDEX('[1]Anexos FICHA TRA050'!$C$14:$C$22, MATCH(Tabla467824[[#This Row],[Columna5]], '[1]Anexos FICHA TRA050'!$D$14:$D$22, 0)), "")</f>
        <v>17.920000000000002</v>
      </c>
      <c r="BG79" s="216">
        <f>IFERROR(INDEX('[1]Anexos FICHA TRA050'!$C$49:$C$54, MATCH(Tabla467824[[#This Row],[Columna5]], '[1]Anexos FICHA TRA050'!$D$49:$D$54, 0)), "")</f>
        <v>13073</v>
      </c>
      <c r="BH79" s="217">
        <f>+(((Tabla467824[[#This Row],[CVA2]]*Tabla467824[[#This Row],[f2]])-Tabla467824[[#This Row],[CVN2]])/100)*Tabla467824[[#This Row],[L2]]</f>
        <v>6795.3454000000002</v>
      </c>
      <c r="BI79" s="218"/>
      <c r="BJ79" s="218"/>
      <c r="BK79" s="218" t="str">
        <f>+IF(Tabla467824[[#This Row],[F]]=Tabla467824[[#This Row],[f2]], "IGUAL", "DISTINTO")</f>
        <v>IGUAL</v>
      </c>
      <c r="BL79" s="218" t="str">
        <f>+IF(Tabla467824[[#This Row],[CVN]]=Tabla467824[[#This Row],[CVN2]], "IGUAL", "DISTINTO")</f>
        <v>DISTINTO</v>
      </c>
      <c r="BM79" s="219" t="str">
        <f>+IF(Tabla467824[[#This Row],[L]]=Tabla467824[[#This Row],[L2]], "IGUAL", "DISTINTO")</f>
        <v>IGUAL</v>
      </c>
    </row>
    <row r="80" spans="1:65" x14ac:dyDescent="0.25">
      <c r="A80">
        <v>77</v>
      </c>
      <c r="B80" s="202" t="s">
        <v>632</v>
      </c>
      <c r="C80" s="203" t="s">
        <v>633</v>
      </c>
      <c r="D80" s="203" t="s">
        <v>128</v>
      </c>
      <c r="E80" s="203" t="s">
        <v>78</v>
      </c>
      <c r="F80" s="203" t="s">
        <v>78</v>
      </c>
      <c r="G80" s="203" t="s">
        <v>128</v>
      </c>
      <c r="H80" s="203" t="s">
        <v>72</v>
      </c>
      <c r="I80" s="203"/>
      <c r="J80" s="203" t="s">
        <v>72</v>
      </c>
      <c r="K80" s="203"/>
      <c r="L80" s="203" t="s">
        <v>72</v>
      </c>
      <c r="M80" s="203" t="s">
        <v>72</v>
      </c>
      <c r="N80" s="203"/>
      <c r="O80" s="203" t="s">
        <v>129</v>
      </c>
      <c r="P80" s="203" t="s">
        <v>74</v>
      </c>
      <c r="Q80" s="203" t="s">
        <v>75</v>
      </c>
      <c r="R80" s="203" t="s">
        <v>76</v>
      </c>
      <c r="S80" s="204">
        <v>45002</v>
      </c>
      <c r="T80" s="205">
        <v>45307</v>
      </c>
      <c r="U80" s="206">
        <v>305</v>
      </c>
      <c r="V80" s="207">
        <v>2024</v>
      </c>
      <c r="W80" s="203" t="s">
        <v>77</v>
      </c>
      <c r="X80" s="203" t="s">
        <v>78</v>
      </c>
      <c r="Y80" s="203" t="s">
        <v>79</v>
      </c>
      <c r="Z80" s="203" t="s">
        <v>634</v>
      </c>
      <c r="AA80" s="203" t="s">
        <v>131</v>
      </c>
      <c r="AB80" s="203" t="s">
        <v>132</v>
      </c>
      <c r="AC80" s="203" t="s">
        <v>635</v>
      </c>
      <c r="AD80" s="208">
        <v>8</v>
      </c>
      <c r="AE80" s="208" t="s">
        <v>636</v>
      </c>
      <c r="AF80" s="208" t="s">
        <v>85</v>
      </c>
      <c r="AG80" s="208" t="s">
        <v>86</v>
      </c>
      <c r="AH80" s="208" t="s">
        <v>87</v>
      </c>
      <c r="AI80" s="208" t="s">
        <v>637</v>
      </c>
      <c r="AJ80" s="205" t="s">
        <v>89</v>
      </c>
      <c r="AK80" s="204">
        <v>45625</v>
      </c>
      <c r="AL80" s="208">
        <v>0</v>
      </c>
      <c r="AM80" s="209" t="s">
        <v>131</v>
      </c>
      <c r="AN80" s="209" t="s">
        <v>638</v>
      </c>
      <c r="AO80" s="209" t="s">
        <v>132</v>
      </c>
      <c r="AP80" s="209"/>
      <c r="AQ80" s="209" t="s">
        <v>72</v>
      </c>
      <c r="AR80" s="209" t="s">
        <v>91</v>
      </c>
      <c r="AS80" s="209" t="s">
        <v>639</v>
      </c>
      <c r="AT80" s="210">
        <v>5.6</v>
      </c>
      <c r="AU80" s="211">
        <v>10</v>
      </c>
      <c r="AV80" s="212">
        <v>17.3</v>
      </c>
      <c r="AW80" s="213">
        <v>15815</v>
      </c>
      <c r="AX80" s="213">
        <v>6120.4049999999997</v>
      </c>
      <c r="AY80" s="210" t="s">
        <v>128</v>
      </c>
      <c r="AZ80" s="209" t="s">
        <v>93</v>
      </c>
      <c r="BA80" s="214" t="str">
        <f>+IF(Tabla467824[[#This Row],[TIPO VEHÍCULO]]=Tabla467824[[#This Row],[Columna2]], "IGUAL", "DISTINTO")</f>
        <v>IGUAL</v>
      </c>
      <c r="BB80" s="214" t="str">
        <f>+IF(Tabla467824[[#This Row],[Columna4]]=Tabla467824[[#This Row],[Combustible2]], "IGUAL", "DISTINTO")</f>
        <v>IGUAL</v>
      </c>
      <c r="BC80" s="202" t="s">
        <v>632</v>
      </c>
      <c r="BD80" s="215" cm="1">
        <f t="array" ref="BD80">IFERROR(INDEX('[1]Anexos FICHA TRA050'!$D$27:$D$44, MATCH(Tabla467824[[#This Row],[Columna5]]&amp;Tabla467824[[#This Row],[Columna4]], '[1]Anexos FICHA TRA050'!$E$27:$E$44&amp;'[1]Anexos FICHA TRA050'!$F$27:$F$44, 0)), "")</f>
        <v>5.63</v>
      </c>
      <c r="BE80" s="215">
        <f>IFERROR(INDEX('[1]Anexos FICHA TRA050'!$B$4:$B$7, MATCH(Tabla467824[[#This Row],[Columna4]], '[1]Anexos FICHA TRA050'!$C$4:$C$7, 0)), "")</f>
        <v>10</v>
      </c>
      <c r="BF80" s="215">
        <f>IFERROR(INDEX('[1]Anexos FICHA TRA050'!$C$14:$C$22, MATCH(Tabla467824[[#This Row],[Columna5]], '[1]Anexos FICHA TRA050'!$D$14:$D$22, 0)), "")</f>
        <v>20.84</v>
      </c>
      <c r="BG80" s="216">
        <f>IFERROR(INDEX('[1]Anexos FICHA TRA050'!$C$49:$C$54, MATCH(Tabla467824[[#This Row],[Columna5]], '[1]Anexos FICHA TRA050'!$D$49:$D$54, 0)), "")</f>
        <v>15815</v>
      </c>
      <c r="BH80" s="217">
        <f>+(((Tabla467824[[#This Row],[CVA2]]*Tabla467824[[#This Row],[f2]])-Tabla467824[[#This Row],[CVN2]])/100)*Tabla467824[[#This Row],[L2]]</f>
        <v>5607.9989999999989</v>
      </c>
      <c r="BI80" s="218"/>
      <c r="BJ80" s="218"/>
      <c r="BK80" s="218" t="str">
        <f>+IF(Tabla467824[[#This Row],[F]]=Tabla467824[[#This Row],[f2]], "IGUAL", "DISTINTO")</f>
        <v>IGUAL</v>
      </c>
      <c r="BL80" s="218" t="str">
        <f>+IF(Tabla467824[[#This Row],[CVN]]=Tabla467824[[#This Row],[CVN2]], "IGUAL", "DISTINTO")</f>
        <v>DISTINTO</v>
      </c>
      <c r="BM80" s="219" t="str">
        <f>+IF(Tabla467824[[#This Row],[L]]=Tabla467824[[#This Row],[L2]], "IGUAL", "DISTINTO")</f>
        <v>IGUAL</v>
      </c>
    </row>
    <row r="81" spans="1:65" x14ac:dyDescent="0.25">
      <c r="A81">
        <v>78</v>
      </c>
      <c r="B81" s="202" t="s">
        <v>640</v>
      </c>
      <c r="C81" s="203" t="s">
        <v>641</v>
      </c>
      <c r="D81" s="203" t="s">
        <v>128</v>
      </c>
      <c r="E81" s="203" t="s">
        <v>78</v>
      </c>
      <c r="F81" s="203" t="s">
        <v>78</v>
      </c>
      <c r="G81" s="203" t="s">
        <v>128</v>
      </c>
      <c r="H81" s="203" t="s">
        <v>72</v>
      </c>
      <c r="I81" s="203" t="s">
        <v>72</v>
      </c>
      <c r="J81" s="203" t="s">
        <v>72</v>
      </c>
      <c r="K81" s="203"/>
      <c r="L81" s="203" t="s">
        <v>72</v>
      </c>
      <c r="M81" s="203" t="s">
        <v>72</v>
      </c>
      <c r="N81" s="203"/>
      <c r="O81" s="203" t="s">
        <v>73</v>
      </c>
      <c r="P81" s="203" t="s">
        <v>74</v>
      </c>
      <c r="Q81" s="203" t="s">
        <v>75</v>
      </c>
      <c r="R81" s="203" t="s">
        <v>76</v>
      </c>
      <c r="S81" s="204">
        <v>45323</v>
      </c>
      <c r="T81" s="205">
        <v>45468</v>
      </c>
      <c r="U81" s="206">
        <v>145</v>
      </c>
      <c r="V81" s="207">
        <v>2024</v>
      </c>
      <c r="W81" s="203" t="s">
        <v>77</v>
      </c>
      <c r="X81" s="203" t="s">
        <v>78</v>
      </c>
      <c r="Y81" s="203" t="s">
        <v>85</v>
      </c>
      <c r="Z81" s="203" t="s">
        <v>642</v>
      </c>
      <c r="AA81" s="203" t="s">
        <v>102</v>
      </c>
      <c r="AB81" s="203" t="s">
        <v>103</v>
      </c>
      <c r="AC81" s="203" t="s">
        <v>572</v>
      </c>
      <c r="AD81" s="208">
        <v>19</v>
      </c>
      <c r="AE81" s="208" t="s">
        <v>643</v>
      </c>
      <c r="AF81" s="208" t="s">
        <v>140</v>
      </c>
      <c r="AG81" s="208" t="s">
        <v>151</v>
      </c>
      <c r="AH81" s="208" t="s">
        <v>87</v>
      </c>
      <c r="AI81" s="208" t="s">
        <v>301</v>
      </c>
      <c r="AJ81" s="205" t="s">
        <v>89</v>
      </c>
      <c r="AK81" s="204">
        <v>45625</v>
      </c>
      <c r="AL81" s="208">
        <v>0</v>
      </c>
      <c r="AM81" s="209" t="s">
        <v>102</v>
      </c>
      <c r="AN81" s="209" t="s">
        <v>644</v>
      </c>
      <c r="AO81" s="209" t="s">
        <v>103</v>
      </c>
      <c r="AP81" s="209"/>
      <c r="AQ81" s="209" t="s">
        <v>72</v>
      </c>
      <c r="AR81" s="209" t="s">
        <v>109</v>
      </c>
      <c r="AS81" s="209" t="s">
        <v>645</v>
      </c>
      <c r="AT81" s="210">
        <v>5.6</v>
      </c>
      <c r="AU81" s="211">
        <v>10</v>
      </c>
      <c r="AV81" s="212">
        <v>16.399999999999999</v>
      </c>
      <c r="AW81" s="213">
        <v>15815</v>
      </c>
      <c r="AX81" s="213">
        <v>6262.7400000000007</v>
      </c>
      <c r="AY81" s="210" t="s">
        <v>128</v>
      </c>
      <c r="AZ81" s="209" t="s">
        <v>93</v>
      </c>
      <c r="BA81" s="214" t="str">
        <f>+IF(Tabla467824[[#This Row],[TIPO VEHÍCULO]]=Tabla467824[[#This Row],[Columna2]], "IGUAL", "DISTINTO")</f>
        <v>IGUAL</v>
      </c>
      <c r="BB81" s="214" t="str">
        <f>+IF(Tabla467824[[#This Row],[Columna4]]=Tabla467824[[#This Row],[Combustible2]], "IGUAL", "DISTINTO")</f>
        <v>IGUAL</v>
      </c>
      <c r="BC81" s="202" t="s">
        <v>640</v>
      </c>
      <c r="BD81" s="215" cm="1">
        <f t="array" ref="BD81">IFERROR(INDEX('[1]Anexos FICHA TRA050'!$D$27:$D$44, MATCH(Tabla467824[[#This Row],[Columna5]]&amp;Tabla467824[[#This Row],[Columna4]], '[1]Anexos FICHA TRA050'!$E$27:$E$44&amp;'[1]Anexos FICHA TRA050'!$F$27:$F$44, 0)), "")</f>
        <v>5.63</v>
      </c>
      <c r="BE81" s="215">
        <f>IFERROR(INDEX('[1]Anexos FICHA TRA050'!$B$4:$B$7, MATCH(Tabla467824[[#This Row],[Columna4]], '[1]Anexos FICHA TRA050'!$C$4:$C$7, 0)), "")</f>
        <v>10</v>
      </c>
      <c r="BF81" s="215">
        <f>IFERROR(INDEX('[1]Anexos FICHA TRA050'!$C$14:$C$22, MATCH(Tabla467824[[#This Row],[Columna5]], '[1]Anexos FICHA TRA050'!$D$14:$D$22, 0)), "")</f>
        <v>20.84</v>
      </c>
      <c r="BG81" s="216">
        <f>IFERROR(INDEX('[1]Anexos FICHA TRA050'!$C$49:$C$54, MATCH(Tabla467824[[#This Row],[Columna5]], '[1]Anexos FICHA TRA050'!$D$49:$D$54, 0)), "")</f>
        <v>15815</v>
      </c>
      <c r="BH81" s="217">
        <f>+(((Tabla467824[[#This Row],[CVA2]]*Tabla467824[[#This Row],[f2]])-Tabla467824[[#This Row],[CVN2]])/100)*Tabla467824[[#This Row],[L2]]</f>
        <v>5607.9989999999989</v>
      </c>
      <c r="BI81" s="218"/>
      <c r="BJ81" s="218"/>
      <c r="BK81" s="218" t="str">
        <f>+IF(Tabla467824[[#This Row],[F]]=Tabla467824[[#This Row],[f2]], "IGUAL", "DISTINTO")</f>
        <v>IGUAL</v>
      </c>
      <c r="BL81" s="218" t="str">
        <f>+IF(Tabla467824[[#This Row],[CVN]]=Tabla467824[[#This Row],[CVN2]], "IGUAL", "DISTINTO")</f>
        <v>DISTINTO</v>
      </c>
      <c r="BM81" s="219" t="str">
        <f>+IF(Tabla467824[[#This Row],[L]]=Tabla467824[[#This Row],[L2]], "IGUAL", "DISTINTO")</f>
        <v>IGUAL</v>
      </c>
    </row>
    <row r="82" spans="1:65" x14ac:dyDescent="0.25">
      <c r="A82">
        <v>79</v>
      </c>
      <c r="B82" s="202" t="s">
        <v>646</v>
      </c>
      <c r="C82" s="203" t="s">
        <v>647</v>
      </c>
      <c r="D82" s="203" t="s">
        <v>128</v>
      </c>
      <c r="E82" s="203" t="s">
        <v>78</v>
      </c>
      <c r="F82" s="203" t="s">
        <v>78</v>
      </c>
      <c r="G82" s="203" t="s">
        <v>128</v>
      </c>
      <c r="H82" s="203" t="s">
        <v>72</v>
      </c>
      <c r="I82" s="203" t="s">
        <v>72</v>
      </c>
      <c r="J82" s="203" t="s">
        <v>72</v>
      </c>
      <c r="K82" s="203"/>
      <c r="L82" s="203" t="s">
        <v>72</v>
      </c>
      <c r="M82" s="203" t="s">
        <v>72</v>
      </c>
      <c r="N82" s="203"/>
      <c r="O82" s="203" t="s">
        <v>73</v>
      </c>
      <c r="P82" s="203" t="s">
        <v>74</v>
      </c>
      <c r="Q82" s="203" t="s">
        <v>75</v>
      </c>
      <c r="R82" s="203" t="s">
        <v>76</v>
      </c>
      <c r="S82" s="204">
        <v>45323</v>
      </c>
      <c r="T82" s="205">
        <v>45433</v>
      </c>
      <c r="U82" s="206">
        <v>110</v>
      </c>
      <c r="V82" s="207">
        <v>2024</v>
      </c>
      <c r="W82" s="203" t="s">
        <v>77</v>
      </c>
      <c r="X82" s="203" t="s">
        <v>78</v>
      </c>
      <c r="Y82" s="203" t="s">
        <v>85</v>
      </c>
      <c r="Z82" s="203" t="s">
        <v>642</v>
      </c>
      <c r="AA82" s="203" t="s">
        <v>102</v>
      </c>
      <c r="AB82" s="203" t="s">
        <v>103</v>
      </c>
      <c r="AC82" s="203" t="s">
        <v>572</v>
      </c>
      <c r="AD82" s="208">
        <v>20</v>
      </c>
      <c r="AE82" s="208" t="s">
        <v>648</v>
      </c>
      <c r="AF82" s="208" t="s">
        <v>380</v>
      </c>
      <c r="AG82" s="208" t="s">
        <v>381</v>
      </c>
      <c r="AH82" s="208" t="s">
        <v>87</v>
      </c>
      <c r="AI82" s="208" t="s">
        <v>649</v>
      </c>
      <c r="AJ82" s="205" t="s">
        <v>89</v>
      </c>
      <c r="AK82" s="204">
        <v>45616</v>
      </c>
      <c r="AL82" s="208">
        <v>0</v>
      </c>
      <c r="AM82" s="209" t="s">
        <v>102</v>
      </c>
      <c r="AN82" s="209" t="s">
        <v>650</v>
      </c>
      <c r="AO82" s="209" t="s">
        <v>103</v>
      </c>
      <c r="AP82" s="209"/>
      <c r="AQ82" s="209" t="s">
        <v>72</v>
      </c>
      <c r="AR82" s="209" t="s">
        <v>109</v>
      </c>
      <c r="AS82" s="209" t="s">
        <v>651</v>
      </c>
      <c r="AT82" s="210">
        <v>5.6</v>
      </c>
      <c r="AU82" s="211">
        <v>10</v>
      </c>
      <c r="AV82" s="212">
        <v>20</v>
      </c>
      <c r="AW82" s="213">
        <v>15815</v>
      </c>
      <c r="AX82" s="213">
        <v>5693.4</v>
      </c>
      <c r="AY82" s="210" t="s">
        <v>128</v>
      </c>
      <c r="AZ82" s="209" t="s">
        <v>93</v>
      </c>
      <c r="BA82" s="214" t="str">
        <f>+IF(Tabla467824[[#This Row],[TIPO VEHÍCULO]]=Tabla467824[[#This Row],[Columna2]], "IGUAL", "DISTINTO")</f>
        <v>IGUAL</v>
      </c>
      <c r="BB82" s="214" t="str">
        <f>+IF(Tabla467824[[#This Row],[Columna4]]=Tabla467824[[#This Row],[Combustible2]], "IGUAL", "DISTINTO")</f>
        <v>IGUAL</v>
      </c>
      <c r="BC82" s="202" t="s">
        <v>646</v>
      </c>
      <c r="BD82" s="215" cm="1">
        <f t="array" ref="BD82">IFERROR(INDEX('[1]Anexos FICHA TRA050'!$D$27:$D$44, MATCH(Tabla467824[[#This Row],[Columna5]]&amp;Tabla467824[[#This Row],[Columna4]], '[1]Anexos FICHA TRA050'!$E$27:$E$44&amp;'[1]Anexos FICHA TRA050'!$F$27:$F$44, 0)), "")</f>
        <v>5.63</v>
      </c>
      <c r="BE82" s="215">
        <f>IFERROR(INDEX('[1]Anexos FICHA TRA050'!$B$4:$B$7, MATCH(Tabla467824[[#This Row],[Columna4]], '[1]Anexos FICHA TRA050'!$C$4:$C$7, 0)), "")</f>
        <v>10</v>
      </c>
      <c r="BF82" s="215">
        <f>IFERROR(INDEX('[1]Anexos FICHA TRA050'!$C$14:$C$22, MATCH(Tabla467824[[#This Row],[Columna5]], '[1]Anexos FICHA TRA050'!$D$14:$D$22, 0)), "")</f>
        <v>20.84</v>
      </c>
      <c r="BG82" s="216">
        <f>IFERROR(INDEX('[1]Anexos FICHA TRA050'!$C$49:$C$54, MATCH(Tabla467824[[#This Row],[Columna5]], '[1]Anexos FICHA TRA050'!$D$49:$D$54, 0)), "")</f>
        <v>15815</v>
      </c>
      <c r="BH82" s="217">
        <f>+(((Tabla467824[[#This Row],[CVA2]]*Tabla467824[[#This Row],[f2]])-Tabla467824[[#This Row],[CVN2]])/100)*Tabla467824[[#This Row],[L2]]</f>
        <v>5607.9989999999989</v>
      </c>
      <c r="BI82" s="218"/>
      <c r="BJ82" s="218"/>
      <c r="BK82" s="218" t="str">
        <f>+IF(Tabla467824[[#This Row],[F]]=Tabla467824[[#This Row],[f2]], "IGUAL", "DISTINTO")</f>
        <v>IGUAL</v>
      </c>
      <c r="BL82" s="218" t="str">
        <f>+IF(Tabla467824[[#This Row],[CVN]]=Tabla467824[[#This Row],[CVN2]], "IGUAL", "DISTINTO")</f>
        <v>DISTINTO</v>
      </c>
      <c r="BM82" s="219" t="str">
        <f>+IF(Tabla467824[[#This Row],[L]]=Tabla467824[[#This Row],[L2]], "IGUAL", "DISTINTO")</f>
        <v>IGUAL</v>
      </c>
    </row>
    <row r="83" spans="1:65" x14ac:dyDescent="0.25">
      <c r="A83">
        <v>80</v>
      </c>
      <c r="B83" s="202" t="s">
        <v>652</v>
      </c>
      <c r="C83" s="203" t="s">
        <v>653</v>
      </c>
      <c r="D83" s="203" t="s">
        <v>128</v>
      </c>
      <c r="E83" s="203" t="s">
        <v>78</v>
      </c>
      <c r="F83" s="203" t="s">
        <v>78</v>
      </c>
      <c r="G83" s="203" t="s">
        <v>128</v>
      </c>
      <c r="H83" s="203" t="s">
        <v>72</v>
      </c>
      <c r="I83" s="203" t="s">
        <v>72</v>
      </c>
      <c r="J83" s="203" t="s">
        <v>72</v>
      </c>
      <c r="K83" s="203"/>
      <c r="L83" s="203" t="s">
        <v>72</v>
      </c>
      <c r="M83" s="203" t="s">
        <v>72</v>
      </c>
      <c r="N83" s="203"/>
      <c r="O83" s="203" t="s">
        <v>73</v>
      </c>
      <c r="P83" s="203" t="s">
        <v>74</v>
      </c>
      <c r="Q83" s="203" t="s">
        <v>75</v>
      </c>
      <c r="R83" s="203" t="s">
        <v>76</v>
      </c>
      <c r="S83" s="204">
        <v>45323</v>
      </c>
      <c r="T83" s="205">
        <v>45504</v>
      </c>
      <c r="U83" s="206">
        <v>181</v>
      </c>
      <c r="V83" s="207">
        <v>2024</v>
      </c>
      <c r="W83" s="203" t="s">
        <v>77</v>
      </c>
      <c r="X83" s="203" t="s">
        <v>78</v>
      </c>
      <c r="Y83" s="203" t="s">
        <v>85</v>
      </c>
      <c r="Z83" s="203" t="s">
        <v>642</v>
      </c>
      <c r="AA83" s="203" t="s">
        <v>102</v>
      </c>
      <c r="AB83" s="203" t="s">
        <v>103</v>
      </c>
      <c r="AC83" s="203" t="s">
        <v>654</v>
      </c>
      <c r="AD83" s="208">
        <v>21</v>
      </c>
      <c r="AE83" s="208" t="s">
        <v>655</v>
      </c>
      <c r="AF83" s="208" t="s">
        <v>380</v>
      </c>
      <c r="AG83" s="208" t="s">
        <v>381</v>
      </c>
      <c r="AH83" s="208" t="s">
        <v>87</v>
      </c>
      <c r="AI83" s="208" t="s">
        <v>649</v>
      </c>
      <c r="AJ83" s="205" t="s">
        <v>89</v>
      </c>
      <c r="AK83" s="204">
        <v>45616</v>
      </c>
      <c r="AL83" s="208">
        <v>0</v>
      </c>
      <c r="AM83" s="209" t="s">
        <v>102</v>
      </c>
      <c r="AN83" s="209" t="s">
        <v>656</v>
      </c>
      <c r="AO83" s="209" t="s">
        <v>103</v>
      </c>
      <c r="AP83" s="209"/>
      <c r="AQ83" s="209" t="s">
        <v>72</v>
      </c>
      <c r="AR83" s="209" t="s">
        <v>109</v>
      </c>
      <c r="AS83" s="209" t="s">
        <v>657</v>
      </c>
      <c r="AT83" s="210">
        <v>5.6</v>
      </c>
      <c r="AU83" s="211">
        <v>10</v>
      </c>
      <c r="AV83" s="212">
        <v>20</v>
      </c>
      <c r="AW83" s="213">
        <v>15815</v>
      </c>
      <c r="AX83" s="213">
        <v>5693.4</v>
      </c>
      <c r="AY83" s="210" t="s">
        <v>128</v>
      </c>
      <c r="AZ83" s="209" t="s">
        <v>93</v>
      </c>
      <c r="BA83" s="214" t="str">
        <f>+IF(Tabla467824[[#This Row],[TIPO VEHÍCULO]]=Tabla467824[[#This Row],[Columna2]], "IGUAL", "DISTINTO")</f>
        <v>IGUAL</v>
      </c>
      <c r="BB83" s="214" t="str">
        <f>+IF(Tabla467824[[#This Row],[Columna4]]=Tabla467824[[#This Row],[Combustible2]], "IGUAL", "DISTINTO")</f>
        <v>IGUAL</v>
      </c>
      <c r="BC83" s="202" t="s">
        <v>652</v>
      </c>
      <c r="BD83" s="215" cm="1">
        <f t="array" ref="BD83">IFERROR(INDEX('[1]Anexos FICHA TRA050'!$D$27:$D$44, MATCH(Tabla467824[[#This Row],[Columna5]]&amp;Tabla467824[[#This Row],[Columna4]], '[1]Anexos FICHA TRA050'!$E$27:$E$44&amp;'[1]Anexos FICHA TRA050'!$F$27:$F$44, 0)), "")</f>
        <v>5.63</v>
      </c>
      <c r="BE83" s="215">
        <f>IFERROR(INDEX('[1]Anexos FICHA TRA050'!$B$4:$B$7, MATCH(Tabla467824[[#This Row],[Columna4]], '[1]Anexos FICHA TRA050'!$C$4:$C$7, 0)), "")</f>
        <v>10</v>
      </c>
      <c r="BF83" s="215">
        <f>IFERROR(INDEX('[1]Anexos FICHA TRA050'!$C$14:$C$22, MATCH(Tabla467824[[#This Row],[Columna5]], '[1]Anexos FICHA TRA050'!$D$14:$D$22, 0)), "")</f>
        <v>20.84</v>
      </c>
      <c r="BG83" s="216">
        <f>IFERROR(INDEX('[1]Anexos FICHA TRA050'!$C$49:$C$54, MATCH(Tabla467824[[#This Row],[Columna5]], '[1]Anexos FICHA TRA050'!$D$49:$D$54, 0)), "")</f>
        <v>15815</v>
      </c>
      <c r="BH83" s="217">
        <f>+(((Tabla467824[[#This Row],[CVA2]]*Tabla467824[[#This Row],[f2]])-Tabla467824[[#This Row],[CVN2]])/100)*Tabla467824[[#This Row],[L2]]</f>
        <v>5607.9989999999989</v>
      </c>
      <c r="BI83" s="218"/>
      <c r="BJ83" s="218"/>
      <c r="BK83" s="218" t="str">
        <f>+IF(Tabla467824[[#This Row],[F]]=Tabla467824[[#This Row],[f2]], "IGUAL", "DISTINTO")</f>
        <v>IGUAL</v>
      </c>
      <c r="BL83" s="218" t="str">
        <f>+IF(Tabla467824[[#This Row],[CVN]]=Tabla467824[[#This Row],[CVN2]], "IGUAL", "DISTINTO")</f>
        <v>DISTINTO</v>
      </c>
      <c r="BM83" s="219" t="str">
        <f>+IF(Tabla467824[[#This Row],[L]]=Tabla467824[[#This Row],[L2]], "IGUAL", "DISTINTO")</f>
        <v>IGUAL</v>
      </c>
    </row>
    <row r="84" spans="1:65" x14ac:dyDescent="0.25">
      <c r="A84">
        <v>81</v>
      </c>
      <c r="B84" s="202" t="s">
        <v>658</v>
      </c>
      <c r="C84" s="203" t="s">
        <v>659</v>
      </c>
      <c r="D84" s="203" t="s">
        <v>128</v>
      </c>
      <c r="E84" s="203" t="s">
        <v>78</v>
      </c>
      <c r="F84" s="203" t="s">
        <v>78</v>
      </c>
      <c r="G84" s="203" t="s">
        <v>128</v>
      </c>
      <c r="H84" s="203" t="s">
        <v>72</v>
      </c>
      <c r="I84" s="203"/>
      <c r="J84" s="203" t="s">
        <v>72</v>
      </c>
      <c r="K84" s="203"/>
      <c r="L84" s="203" t="s">
        <v>72</v>
      </c>
      <c r="M84" s="203" t="s">
        <v>72</v>
      </c>
      <c r="N84" s="203"/>
      <c r="O84" s="203" t="s">
        <v>73</v>
      </c>
      <c r="P84" s="203" t="s">
        <v>74</v>
      </c>
      <c r="Q84" s="203" t="s">
        <v>75</v>
      </c>
      <c r="R84" s="203" t="s">
        <v>76</v>
      </c>
      <c r="S84" s="204">
        <v>45324</v>
      </c>
      <c r="T84" s="205">
        <v>45372</v>
      </c>
      <c r="U84" s="206">
        <v>48</v>
      </c>
      <c r="V84" s="207">
        <v>2024</v>
      </c>
      <c r="W84" s="203" t="s">
        <v>77</v>
      </c>
      <c r="X84" s="203" t="s">
        <v>78</v>
      </c>
      <c r="Y84" s="203" t="s">
        <v>85</v>
      </c>
      <c r="Z84" s="203" t="s">
        <v>642</v>
      </c>
      <c r="AA84" s="203" t="s">
        <v>102</v>
      </c>
      <c r="AB84" s="203" t="s">
        <v>103</v>
      </c>
      <c r="AC84" s="203" t="s">
        <v>649</v>
      </c>
      <c r="AD84" s="208">
        <v>22</v>
      </c>
      <c r="AE84" s="208" t="s">
        <v>660</v>
      </c>
      <c r="AF84" s="208" t="s">
        <v>85</v>
      </c>
      <c r="AG84" s="208" t="s">
        <v>114</v>
      </c>
      <c r="AH84" s="208" t="s">
        <v>87</v>
      </c>
      <c r="AI84" s="208" t="s">
        <v>115</v>
      </c>
      <c r="AJ84" s="205" t="s">
        <v>108</v>
      </c>
      <c r="AK84" s="204">
        <v>44945</v>
      </c>
      <c r="AL84" s="208">
        <v>-1</v>
      </c>
      <c r="AM84" s="209" t="s">
        <v>102</v>
      </c>
      <c r="AN84" s="210">
        <v>4500351523</v>
      </c>
      <c r="AO84" s="209" t="s">
        <v>103</v>
      </c>
      <c r="AP84" s="209"/>
      <c r="AQ84" s="209" t="s">
        <v>72</v>
      </c>
      <c r="AR84" s="209" t="s">
        <v>109</v>
      </c>
      <c r="AS84" s="209" t="s">
        <v>661</v>
      </c>
      <c r="AT84" s="210">
        <v>5.6</v>
      </c>
      <c r="AU84" s="211">
        <v>10</v>
      </c>
      <c r="AV84" s="212">
        <v>17.3</v>
      </c>
      <c r="AW84" s="213">
        <v>15815</v>
      </c>
      <c r="AX84" s="213">
        <v>6120.4049999999997</v>
      </c>
      <c r="AY84" s="210" t="s">
        <v>128</v>
      </c>
      <c r="AZ84" s="209" t="s">
        <v>93</v>
      </c>
      <c r="BA84" s="214" t="str">
        <f>+IF(Tabla467824[[#This Row],[TIPO VEHÍCULO]]=Tabla467824[[#This Row],[Columna2]], "IGUAL", "DISTINTO")</f>
        <v>IGUAL</v>
      </c>
      <c r="BB84" s="214" t="str">
        <f>+IF(Tabla467824[[#This Row],[Columna4]]=Tabla467824[[#This Row],[Combustible2]], "IGUAL", "DISTINTO")</f>
        <v>IGUAL</v>
      </c>
      <c r="BC84" s="202" t="s">
        <v>658</v>
      </c>
      <c r="BD84" s="215" cm="1">
        <f t="array" ref="BD84">IFERROR(INDEX('[1]Anexos FICHA TRA050'!$D$27:$D$44, MATCH(Tabla467824[[#This Row],[Columna5]]&amp;Tabla467824[[#This Row],[Columna4]], '[1]Anexos FICHA TRA050'!$E$27:$E$44&amp;'[1]Anexos FICHA TRA050'!$F$27:$F$44, 0)), "")</f>
        <v>5.63</v>
      </c>
      <c r="BE84" s="215">
        <f>IFERROR(INDEX('[1]Anexos FICHA TRA050'!$B$4:$B$7, MATCH(Tabla467824[[#This Row],[Columna4]], '[1]Anexos FICHA TRA050'!$C$4:$C$7, 0)), "")</f>
        <v>10</v>
      </c>
      <c r="BF84" s="215">
        <f>IFERROR(INDEX('[1]Anexos FICHA TRA050'!$C$14:$C$22, MATCH(Tabla467824[[#This Row],[Columna5]], '[1]Anexos FICHA TRA050'!$D$14:$D$22, 0)), "")</f>
        <v>20.84</v>
      </c>
      <c r="BG84" s="216">
        <f>IFERROR(INDEX('[1]Anexos FICHA TRA050'!$C$49:$C$54, MATCH(Tabla467824[[#This Row],[Columna5]], '[1]Anexos FICHA TRA050'!$D$49:$D$54, 0)), "")</f>
        <v>15815</v>
      </c>
      <c r="BH84" s="217">
        <f>+(((Tabla467824[[#This Row],[CVA2]]*Tabla467824[[#This Row],[f2]])-Tabla467824[[#This Row],[CVN2]])/100)*Tabla467824[[#This Row],[L2]]</f>
        <v>5607.9989999999989</v>
      </c>
      <c r="BI84" s="218"/>
      <c r="BJ84" s="218"/>
      <c r="BK84" s="218" t="str">
        <f>+IF(Tabla467824[[#This Row],[F]]=Tabla467824[[#This Row],[f2]], "IGUAL", "DISTINTO")</f>
        <v>IGUAL</v>
      </c>
      <c r="BL84" s="218" t="str">
        <f>+IF(Tabla467824[[#This Row],[CVN]]=Tabla467824[[#This Row],[CVN2]], "IGUAL", "DISTINTO")</f>
        <v>DISTINTO</v>
      </c>
      <c r="BM84" s="219" t="str">
        <f>+IF(Tabla467824[[#This Row],[L]]=Tabla467824[[#This Row],[L2]], "IGUAL", "DISTINTO")</f>
        <v>IGUAL</v>
      </c>
    </row>
    <row r="85" spans="1:65" x14ac:dyDescent="0.25">
      <c r="A85">
        <v>82</v>
      </c>
      <c r="B85" s="202" t="s">
        <v>662</v>
      </c>
      <c r="C85" s="203" t="s">
        <v>663</v>
      </c>
      <c r="D85" s="203" t="s">
        <v>128</v>
      </c>
      <c r="E85" s="203" t="s">
        <v>78</v>
      </c>
      <c r="F85" s="203" t="s">
        <v>78</v>
      </c>
      <c r="G85" s="203" t="s">
        <v>128</v>
      </c>
      <c r="H85" s="203" t="s">
        <v>72</v>
      </c>
      <c r="I85" s="203"/>
      <c r="J85" s="203" t="s">
        <v>72</v>
      </c>
      <c r="K85" s="203"/>
      <c r="L85" s="203" t="s">
        <v>72</v>
      </c>
      <c r="M85" s="203" t="s">
        <v>72</v>
      </c>
      <c r="N85" s="203"/>
      <c r="O85" s="203" t="s">
        <v>73</v>
      </c>
      <c r="P85" s="203" t="s">
        <v>74</v>
      </c>
      <c r="Q85" s="203" t="s">
        <v>75</v>
      </c>
      <c r="R85" s="203" t="s">
        <v>76</v>
      </c>
      <c r="S85" s="204">
        <v>45324</v>
      </c>
      <c r="T85" s="205">
        <v>45372</v>
      </c>
      <c r="U85" s="206">
        <v>48</v>
      </c>
      <c r="V85" s="207">
        <v>2024</v>
      </c>
      <c r="W85" s="203" t="s">
        <v>77</v>
      </c>
      <c r="X85" s="203" t="s">
        <v>78</v>
      </c>
      <c r="Y85" s="203" t="s">
        <v>85</v>
      </c>
      <c r="Z85" s="203" t="s">
        <v>642</v>
      </c>
      <c r="AA85" s="203" t="s">
        <v>102</v>
      </c>
      <c r="AB85" s="203" t="s">
        <v>103</v>
      </c>
      <c r="AC85" s="203" t="s">
        <v>649</v>
      </c>
      <c r="AD85" s="208">
        <v>23</v>
      </c>
      <c r="AE85" s="208" t="s">
        <v>664</v>
      </c>
      <c r="AF85" s="208" t="s">
        <v>85</v>
      </c>
      <c r="AG85" s="208" t="s">
        <v>114</v>
      </c>
      <c r="AH85" s="208" t="s">
        <v>87</v>
      </c>
      <c r="AI85" s="208" t="s">
        <v>115</v>
      </c>
      <c r="AJ85" s="205" t="s">
        <v>108</v>
      </c>
      <c r="AK85" s="204">
        <v>44945</v>
      </c>
      <c r="AL85" s="208">
        <v>-1</v>
      </c>
      <c r="AM85" s="209" t="s">
        <v>102</v>
      </c>
      <c r="AN85" s="210">
        <v>4500351522</v>
      </c>
      <c r="AO85" s="209" t="s">
        <v>103</v>
      </c>
      <c r="AP85" s="209"/>
      <c r="AQ85" s="209" t="s">
        <v>72</v>
      </c>
      <c r="AR85" s="209" t="s">
        <v>109</v>
      </c>
      <c r="AS85" s="209" t="s">
        <v>665</v>
      </c>
      <c r="AT85" s="210">
        <v>5.6</v>
      </c>
      <c r="AU85" s="211">
        <v>10</v>
      </c>
      <c r="AV85" s="212">
        <v>17.3</v>
      </c>
      <c r="AW85" s="213">
        <v>15815</v>
      </c>
      <c r="AX85" s="213">
        <v>6120.4049999999997</v>
      </c>
      <c r="AY85" s="210" t="s">
        <v>128</v>
      </c>
      <c r="AZ85" s="209" t="s">
        <v>93</v>
      </c>
      <c r="BA85" s="214" t="str">
        <f>+IF(Tabla467824[[#This Row],[TIPO VEHÍCULO]]=Tabla467824[[#This Row],[Columna2]], "IGUAL", "DISTINTO")</f>
        <v>IGUAL</v>
      </c>
      <c r="BB85" s="214" t="str">
        <f>+IF(Tabla467824[[#This Row],[Columna4]]=Tabla467824[[#This Row],[Combustible2]], "IGUAL", "DISTINTO")</f>
        <v>IGUAL</v>
      </c>
      <c r="BC85" s="202" t="s">
        <v>662</v>
      </c>
      <c r="BD85" s="215" cm="1">
        <f t="array" ref="BD85">IFERROR(INDEX('[1]Anexos FICHA TRA050'!$D$27:$D$44, MATCH(Tabla467824[[#This Row],[Columna5]]&amp;Tabla467824[[#This Row],[Columna4]], '[1]Anexos FICHA TRA050'!$E$27:$E$44&amp;'[1]Anexos FICHA TRA050'!$F$27:$F$44, 0)), "")</f>
        <v>5.63</v>
      </c>
      <c r="BE85" s="215">
        <f>IFERROR(INDEX('[1]Anexos FICHA TRA050'!$B$4:$B$7, MATCH(Tabla467824[[#This Row],[Columna4]], '[1]Anexos FICHA TRA050'!$C$4:$C$7, 0)), "")</f>
        <v>10</v>
      </c>
      <c r="BF85" s="215">
        <f>IFERROR(INDEX('[1]Anexos FICHA TRA050'!$C$14:$C$22, MATCH(Tabla467824[[#This Row],[Columna5]], '[1]Anexos FICHA TRA050'!$D$14:$D$22, 0)), "")</f>
        <v>20.84</v>
      </c>
      <c r="BG85" s="216">
        <f>IFERROR(INDEX('[1]Anexos FICHA TRA050'!$C$49:$C$54, MATCH(Tabla467824[[#This Row],[Columna5]], '[1]Anexos FICHA TRA050'!$D$49:$D$54, 0)), "")</f>
        <v>15815</v>
      </c>
      <c r="BH85" s="217">
        <f>+(((Tabla467824[[#This Row],[CVA2]]*Tabla467824[[#This Row],[f2]])-Tabla467824[[#This Row],[CVN2]])/100)*Tabla467824[[#This Row],[L2]]</f>
        <v>5607.9989999999989</v>
      </c>
      <c r="BI85" s="218"/>
      <c r="BJ85" s="218"/>
      <c r="BK85" s="218" t="str">
        <f>+IF(Tabla467824[[#This Row],[F]]=Tabla467824[[#This Row],[f2]], "IGUAL", "DISTINTO")</f>
        <v>IGUAL</v>
      </c>
      <c r="BL85" s="218" t="str">
        <f>+IF(Tabla467824[[#This Row],[CVN]]=Tabla467824[[#This Row],[CVN2]], "IGUAL", "DISTINTO")</f>
        <v>DISTINTO</v>
      </c>
      <c r="BM85" s="219" t="str">
        <f>+IF(Tabla467824[[#This Row],[L]]=Tabla467824[[#This Row],[L2]], "IGUAL", "DISTINTO")</f>
        <v>IGUAL</v>
      </c>
    </row>
    <row r="86" spans="1:65" x14ac:dyDescent="0.25">
      <c r="A86">
        <v>83</v>
      </c>
      <c r="B86" s="202" t="s">
        <v>666</v>
      </c>
      <c r="C86" s="203" t="s">
        <v>667</v>
      </c>
      <c r="D86" s="203" t="s">
        <v>128</v>
      </c>
      <c r="E86" s="203" t="s">
        <v>78</v>
      </c>
      <c r="F86" s="203" t="s">
        <v>78</v>
      </c>
      <c r="G86" s="203" t="s">
        <v>128</v>
      </c>
      <c r="H86" s="203" t="s">
        <v>72</v>
      </c>
      <c r="I86" s="203" t="s">
        <v>72</v>
      </c>
      <c r="J86" s="203" t="s">
        <v>72</v>
      </c>
      <c r="K86" s="203"/>
      <c r="L86" s="203" t="s">
        <v>72</v>
      </c>
      <c r="M86" s="203" t="s">
        <v>72</v>
      </c>
      <c r="N86" s="203"/>
      <c r="O86" s="203" t="s">
        <v>73</v>
      </c>
      <c r="P86" s="203" t="s">
        <v>74</v>
      </c>
      <c r="Q86" s="203" t="s">
        <v>75</v>
      </c>
      <c r="R86" s="203" t="s">
        <v>76</v>
      </c>
      <c r="S86" s="204">
        <v>45323</v>
      </c>
      <c r="T86" s="205">
        <v>45425</v>
      </c>
      <c r="U86" s="206">
        <v>102</v>
      </c>
      <c r="V86" s="207">
        <v>2024</v>
      </c>
      <c r="W86" s="203" t="s">
        <v>77</v>
      </c>
      <c r="X86" s="203" t="s">
        <v>78</v>
      </c>
      <c r="Y86" s="203" t="s">
        <v>85</v>
      </c>
      <c r="Z86" s="203" t="s">
        <v>642</v>
      </c>
      <c r="AA86" s="203" t="s">
        <v>102</v>
      </c>
      <c r="AB86" s="203" t="s">
        <v>103</v>
      </c>
      <c r="AC86" s="203" t="s">
        <v>572</v>
      </c>
      <c r="AD86" s="208">
        <v>24</v>
      </c>
      <c r="AE86" s="208" t="s">
        <v>668</v>
      </c>
      <c r="AF86" s="208" t="s">
        <v>85</v>
      </c>
      <c r="AG86" s="208" t="s">
        <v>86</v>
      </c>
      <c r="AH86" s="208" t="s">
        <v>87</v>
      </c>
      <c r="AI86" s="208" t="s">
        <v>669</v>
      </c>
      <c r="AJ86" s="205" t="s">
        <v>89</v>
      </c>
      <c r="AK86" s="204">
        <v>45652</v>
      </c>
      <c r="AL86" s="208">
        <v>0</v>
      </c>
      <c r="AM86" s="209" t="s">
        <v>102</v>
      </c>
      <c r="AN86" s="209" t="s">
        <v>670</v>
      </c>
      <c r="AO86" s="209" t="s">
        <v>103</v>
      </c>
      <c r="AP86" s="209"/>
      <c r="AQ86" s="209" t="s">
        <v>72</v>
      </c>
      <c r="AR86" s="209" t="s">
        <v>109</v>
      </c>
      <c r="AS86" s="209" t="s">
        <v>671</v>
      </c>
      <c r="AT86" s="210">
        <v>5.6</v>
      </c>
      <c r="AU86" s="211">
        <v>10</v>
      </c>
      <c r="AV86" s="212">
        <v>17.3</v>
      </c>
      <c r="AW86" s="213">
        <v>15815</v>
      </c>
      <c r="AX86" s="213">
        <v>6120.4049999999997</v>
      </c>
      <c r="AY86" s="210" t="s">
        <v>128</v>
      </c>
      <c r="AZ86" s="209" t="s">
        <v>93</v>
      </c>
      <c r="BA86" s="214" t="str">
        <f>+IF(Tabla467824[[#This Row],[TIPO VEHÍCULO]]=Tabla467824[[#This Row],[Columna2]], "IGUAL", "DISTINTO")</f>
        <v>IGUAL</v>
      </c>
      <c r="BB86" s="214" t="str">
        <f>+IF(Tabla467824[[#This Row],[Columna4]]=Tabla467824[[#This Row],[Combustible2]], "IGUAL", "DISTINTO")</f>
        <v>IGUAL</v>
      </c>
      <c r="BC86" s="202" t="s">
        <v>666</v>
      </c>
      <c r="BD86" s="215" cm="1">
        <f t="array" ref="BD86">IFERROR(INDEX('[1]Anexos FICHA TRA050'!$D$27:$D$44, MATCH(Tabla467824[[#This Row],[Columna5]]&amp;Tabla467824[[#This Row],[Columna4]], '[1]Anexos FICHA TRA050'!$E$27:$E$44&amp;'[1]Anexos FICHA TRA050'!$F$27:$F$44, 0)), "")</f>
        <v>5.63</v>
      </c>
      <c r="BE86" s="215">
        <f>IFERROR(INDEX('[1]Anexos FICHA TRA050'!$B$4:$B$7, MATCH(Tabla467824[[#This Row],[Columna4]], '[1]Anexos FICHA TRA050'!$C$4:$C$7, 0)), "")</f>
        <v>10</v>
      </c>
      <c r="BF86" s="215">
        <f>IFERROR(INDEX('[1]Anexos FICHA TRA050'!$C$14:$C$22, MATCH(Tabla467824[[#This Row],[Columna5]], '[1]Anexos FICHA TRA050'!$D$14:$D$22, 0)), "")</f>
        <v>20.84</v>
      </c>
      <c r="BG86" s="216">
        <f>IFERROR(INDEX('[1]Anexos FICHA TRA050'!$C$49:$C$54, MATCH(Tabla467824[[#This Row],[Columna5]], '[1]Anexos FICHA TRA050'!$D$49:$D$54, 0)), "")</f>
        <v>15815</v>
      </c>
      <c r="BH86" s="217">
        <f>+(((Tabla467824[[#This Row],[CVA2]]*Tabla467824[[#This Row],[f2]])-Tabla467824[[#This Row],[CVN2]])/100)*Tabla467824[[#This Row],[L2]]</f>
        <v>5607.9989999999989</v>
      </c>
      <c r="BI86" s="218"/>
      <c r="BJ86" s="218"/>
      <c r="BK86" s="218" t="str">
        <f>+IF(Tabla467824[[#This Row],[F]]=Tabla467824[[#This Row],[f2]], "IGUAL", "DISTINTO")</f>
        <v>IGUAL</v>
      </c>
      <c r="BL86" s="218" t="str">
        <f>+IF(Tabla467824[[#This Row],[CVN]]=Tabla467824[[#This Row],[CVN2]], "IGUAL", "DISTINTO")</f>
        <v>DISTINTO</v>
      </c>
      <c r="BM86" s="219" t="str">
        <f>+IF(Tabla467824[[#This Row],[L]]=Tabla467824[[#This Row],[L2]], "IGUAL", "DISTINTO")</f>
        <v>IGUAL</v>
      </c>
    </row>
    <row r="87" spans="1:65" x14ac:dyDescent="0.25">
      <c r="A87">
        <v>84</v>
      </c>
      <c r="B87" s="202" t="s">
        <v>672</v>
      </c>
      <c r="C87" s="203" t="s">
        <v>673</v>
      </c>
      <c r="D87" s="203" t="s">
        <v>70</v>
      </c>
      <c r="E87" s="203" t="s">
        <v>674</v>
      </c>
      <c r="F87" s="203" t="s">
        <v>674</v>
      </c>
      <c r="G87" s="203" t="s">
        <v>70</v>
      </c>
      <c r="H87" s="203" t="s">
        <v>72</v>
      </c>
      <c r="I87" s="203"/>
      <c r="J87" s="203" t="s">
        <v>72</v>
      </c>
      <c r="K87" s="203"/>
      <c r="L87" s="203" t="s">
        <v>249</v>
      </c>
      <c r="M87" s="203" t="s">
        <v>249</v>
      </c>
      <c r="N87" s="203"/>
      <c r="O87" s="203" t="s">
        <v>73</v>
      </c>
      <c r="P87" s="203" t="s">
        <v>200</v>
      </c>
      <c r="Q87" s="203" t="s">
        <v>201</v>
      </c>
      <c r="R87" s="203" t="s">
        <v>76</v>
      </c>
      <c r="S87" s="209">
        <v>43182</v>
      </c>
      <c r="T87" s="205">
        <v>45008</v>
      </c>
      <c r="U87" s="206">
        <v>1826</v>
      </c>
      <c r="V87" s="207">
        <v>2023</v>
      </c>
      <c r="W87" s="203" t="s">
        <v>77</v>
      </c>
      <c r="X87" s="203" t="s">
        <v>674</v>
      </c>
      <c r="Y87" s="203" t="s">
        <v>359</v>
      </c>
      <c r="Z87" s="203" t="s">
        <v>675</v>
      </c>
      <c r="AA87" s="203" t="s">
        <v>204</v>
      </c>
      <c r="AB87" s="203" t="s">
        <v>205</v>
      </c>
      <c r="AC87" s="203" t="s">
        <v>232</v>
      </c>
      <c r="AD87" s="208">
        <v>7</v>
      </c>
      <c r="AE87" s="208" t="s">
        <v>676</v>
      </c>
      <c r="AF87" s="208" t="s">
        <v>140</v>
      </c>
      <c r="AG87" s="208" t="s">
        <v>151</v>
      </c>
      <c r="AH87" s="208" t="s">
        <v>87</v>
      </c>
      <c r="AI87" s="208" t="s">
        <v>230</v>
      </c>
      <c r="AJ87" s="205" t="s">
        <v>89</v>
      </c>
      <c r="AK87" s="204">
        <v>45637</v>
      </c>
      <c r="AL87" s="208">
        <v>1</v>
      </c>
      <c r="AM87" s="209" t="s">
        <v>204</v>
      </c>
      <c r="AN87" s="209" t="s">
        <v>677</v>
      </c>
      <c r="AO87" s="209" t="s">
        <v>205</v>
      </c>
      <c r="AP87" s="209"/>
      <c r="AQ87" s="209" t="s">
        <v>72</v>
      </c>
      <c r="AR87" s="209" t="s">
        <v>91</v>
      </c>
      <c r="AS87" s="209" t="s">
        <v>678</v>
      </c>
      <c r="AT87" s="210">
        <v>5.0999999999999996</v>
      </c>
      <c r="AU87" s="211">
        <v>7.16</v>
      </c>
      <c r="AV87" s="212">
        <v>16.399999999999999</v>
      </c>
      <c r="AW87" s="213">
        <v>13073</v>
      </c>
      <c r="AX87" s="213">
        <v>2629.7646800000002</v>
      </c>
      <c r="AY87" s="210" t="s">
        <v>70</v>
      </c>
      <c r="AZ87" s="209" t="s">
        <v>93</v>
      </c>
      <c r="BA87" s="214" t="str">
        <f>+IF(Tabla467824[[#This Row],[TIPO VEHÍCULO]]=Tabla467824[[#This Row],[Columna2]], "IGUAL", "DISTINTO")</f>
        <v>IGUAL</v>
      </c>
      <c r="BB87" s="214" t="str">
        <f>+IF(Tabla467824[[#This Row],[Columna4]]=Tabla467824[[#This Row],[Combustible2]], "IGUAL", "DISTINTO")</f>
        <v>IGUAL</v>
      </c>
      <c r="BC87" s="202" t="s">
        <v>672</v>
      </c>
      <c r="BD87" s="215" cm="1">
        <f t="array" ref="BD87">IFERROR(INDEX('[1]Anexos FICHA TRA050'!$D$27:$D$44, MATCH(Tabla467824[[#This Row],[Columna5]]&amp;Tabla467824[[#This Row],[Columna4]], '[1]Anexos FICHA TRA050'!$E$27:$E$44&amp;'[1]Anexos FICHA TRA050'!$F$27:$F$44, 0)), "")</f>
        <v>6.45</v>
      </c>
      <c r="BE87" s="215">
        <f>IFERROR(INDEX('[1]Anexos FICHA TRA050'!$B$4:$B$7, MATCH(Tabla467824[[#This Row],[Columna4]], '[1]Anexos FICHA TRA050'!$C$4:$C$7, 0)), "")</f>
        <v>7.16</v>
      </c>
      <c r="BF87" s="215">
        <f>IFERROR(INDEX('[1]Anexos FICHA TRA050'!$C$14:$C$22, MATCH(Tabla467824[[#This Row],[Columna5]], '[1]Anexos FICHA TRA050'!$D$14:$D$22, 0)), "")</f>
        <v>17.920000000000002</v>
      </c>
      <c r="BG87" s="216">
        <f>IFERROR(INDEX('[1]Anexos FICHA TRA050'!$C$49:$C$54, MATCH(Tabla467824[[#This Row],[Columna5]], '[1]Anexos FICHA TRA050'!$D$49:$D$54, 0)), "")</f>
        <v>13073</v>
      </c>
      <c r="BH87" s="217">
        <f>+(((Tabla467824[[#This Row],[CVA2]]*Tabla467824[[#This Row],[f2]])-Tabla467824[[#This Row],[CVN2]])/100)*Tabla467824[[#This Row],[L2]]</f>
        <v>3694.6912599999996</v>
      </c>
      <c r="BI87" s="218"/>
      <c r="BJ87" s="218"/>
      <c r="BK87" s="218" t="str">
        <f>+IF(Tabla467824[[#This Row],[F]]=Tabla467824[[#This Row],[f2]], "IGUAL", "DISTINTO")</f>
        <v>IGUAL</v>
      </c>
      <c r="BL87" s="218" t="str">
        <f>+IF(Tabla467824[[#This Row],[CVN]]=Tabla467824[[#This Row],[CVN2]], "IGUAL", "DISTINTO")</f>
        <v>DISTINTO</v>
      </c>
      <c r="BM87" s="219" t="str">
        <f>+IF(Tabla467824[[#This Row],[L]]=Tabla467824[[#This Row],[L2]], "IGUAL", "DISTINTO")</f>
        <v>IGUAL</v>
      </c>
    </row>
    <row r="88" spans="1:65" x14ac:dyDescent="0.25">
      <c r="A88">
        <v>85</v>
      </c>
      <c r="B88" s="202" t="s">
        <v>679</v>
      </c>
      <c r="C88" s="203" t="s">
        <v>680</v>
      </c>
      <c r="D88" s="203" t="s">
        <v>70</v>
      </c>
      <c r="E88" s="203" t="s">
        <v>681</v>
      </c>
      <c r="F88" s="203" t="s">
        <v>674</v>
      </c>
      <c r="G88" s="203" t="s">
        <v>70</v>
      </c>
      <c r="H88" s="203" t="s">
        <v>72</v>
      </c>
      <c r="I88" s="203" t="s">
        <v>72</v>
      </c>
      <c r="J88" s="203" t="s">
        <v>72</v>
      </c>
      <c r="K88" s="203"/>
      <c r="L88" s="203" t="s">
        <v>72</v>
      </c>
      <c r="M88" s="203" t="s">
        <v>72</v>
      </c>
      <c r="N88" s="203"/>
      <c r="O88" s="203" t="s">
        <v>73</v>
      </c>
      <c r="P88" s="203" t="s">
        <v>200</v>
      </c>
      <c r="Q88" s="203" t="s">
        <v>201</v>
      </c>
      <c r="R88" s="203" t="s">
        <v>76</v>
      </c>
      <c r="S88" s="209">
        <v>43560</v>
      </c>
      <c r="T88" s="205">
        <v>45021</v>
      </c>
      <c r="U88" s="206">
        <v>1461</v>
      </c>
      <c r="V88" s="207">
        <v>2023</v>
      </c>
      <c r="W88" s="203" t="s">
        <v>77</v>
      </c>
      <c r="X88" s="203" t="s">
        <v>674</v>
      </c>
      <c r="Y88" s="203" t="s">
        <v>359</v>
      </c>
      <c r="Z88" s="203" t="s">
        <v>675</v>
      </c>
      <c r="AA88" s="203" t="s">
        <v>204</v>
      </c>
      <c r="AB88" s="203" t="s">
        <v>205</v>
      </c>
      <c r="AC88" s="203" t="s">
        <v>682</v>
      </c>
      <c r="AD88" s="208">
        <v>8</v>
      </c>
      <c r="AE88" s="208" t="s">
        <v>683</v>
      </c>
      <c r="AF88" s="208" t="s">
        <v>140</v>
      </c>
      <c r="AG88" s="208" t="s">
        <v>151</v>
      </c>
      <c r="AH88" s="208" t="s">
        <v>87</v>
      </c>
      <c r="AI88" s="208" t="s">
        <v>232</v>
      </c>
      <c r="AJ88" s="205" t="s">
        <v>89</v>
      </c>
      <c r="AK88" s="204">
        <v>45637</v>
      </c>
      <c r="AL88" s="208">
        <v>1</v>
      </c>
      <c r="AM88" s="209" t="s">
        <v>204</v>
      </c>
      <c r="AN88" s="209" t="s">
        <v>684</v>
      </c>
      <c r="AO88" s="209" t="s">
        <v>205</v>
      </c>
      <c r="AP88" s="209"/>
      <c r="AQ88" s="209" t="s">
        <v>72</v>
      </c>
      <c r="AR88" s="209" t="s">
        <v>91</v>
      </c>
      <c r="AS88" s="209" t="s">
        <v>685</v>
      </c>
      <c r="AT88" s="210">
        <v>5.0999999999999996</v>
      </c>
      <c r="AU88" s="211">
        <v>7.16</v>
      </c>
      <c r="AV88" s="212">
        <v>16.399999999999999</v>
      </c>
      <c r="AW88" s="213">
        <v>13073</v>
      </c>
      <c r="AX88" s="213">
        <v>2629.7646800000002</v>
      </c>
      <c r="AY88" s="210" t="s">
        <v>70</v>
      </c>
      <c r="AZ88" s="209" t="s">
        <v>93</v>
      </c>
      <c r="BA88" s="214" t="str">
        <f>+IF(Tabla467824[[#This Row],[TIPO VEHÍCULO]]=Tabla467824[[#This Row],[Columna2]], "IGUAL", "DISTINTO")</f>
        <v>IGUAL</v>
      </c>
      <c r="BB88" s="214" t="str">
        <f>+IF(Tabla467824[[#This Row],[Columna4]]=Tabla467824[[#This Row],[Combustible2]], "IGUAL", "DISTINTO")</f>
        <v>IGUAL</v>
      </c>
      <c r="BC88" s="202" t="s">
        <v>679</v>
      </c>
      <c r="BD88" s="215" cm="1">
        <f t="array" ref="BD88">IFERROR(INDEX('[1]Anexos FICHA TRA050'!$D$27:$D$44, MATCH(Tabla467824[[#This Row],[Columna5]]&amp;Tabla467824[[#This Row],[Columna4]], '[1]Anexos FICHA TRA050'!$E$27:$E$44&amp;'[1]Anexos FICHA TRA050'!$F$27:$F$44, 0)), "")</f>
        <v>6.45</v>
      </c>
      <c r="BE88" s="215">
        <f>IFERROR(INDEX('[1]Anexos FICHA TRA050'!$B$4:$B$7, MATCH(Tabla467824[[#This Row],[Columna4]], '[1]Anexos FICHA TRA050'!$C$4:$C$7, 0)), "")</f>
        <v>7.16</v>
      </c>
      <c r="BF88" s="215">
        <f>IFERROR(INDEX('[1]Anexos FICHA TRA050'!$C$14:$C$22, MATCH(Tabla467824[[#This Row],[Columna5]], '[1]Anexos FICHA TRA050'!$D$14:$D$22, 0)), "")</f>
        <v>17.920000000000002</v>
      </c>
      <c r="BG88" s="216">
        <f>IFERROR(INDEX('[1]Anexos FICHA TRA050'!$C$49:$C$54, MATCH(Tabla467824[[#This Row],[Columna5]], '[1]Anexos FICHA TRA050'!$D$49:$D$54, 0)), "")</f>
        <v>13073</v>
      </c>
      <c r="BH88" s="217">
        <f>+(((Tabla467824[[#This Row],[CVA2]]*Tabla467824[[#This Row],[f2]])-Tabla467824[[#This Row],[CVN2]])/100)*Tabla467824[[#This Row],[L2]]</f>
        <v>3694.6912599999996</v>
      </c>
      <c r="BI88" s="218"/>
      <c r="BJ88" s="218"/>
      <c r="BK88" s="218" t="str">
        <f>+IF(Tabla467824[[#This Row],[F]]=Tabla467824[[#This Row],[f2]], "IGUAL", "DISTINTO")</f>
        <v>IGUAL</v>
      </c>
      <c r="BL88" s="218" t="str">
        <f>+IF(Tabla467824[[#This Row],[CVN]]=Tabla467824[[#This Row],[CVN2]], "IGUAL", "DISTINTO")</f>
        <v>DISTINTO</v>
      </c>
      <c r="BM88" s="219" t="str">
        <f>+IF(Tabla467824[[#This Row],[L]]=Tabla467824[[#This Row],[L2]], "IGUAL", "DISTINTO")</f>
        <v>IGUAL</v>
      </c>
    </row>
    <row r="89" spans="1:65" x14ac:dyDescent="0.25">
      <c r="A89">
        <v>86</v>
      </c>
      <c r="B89" s="202" t="s">
        <v>686</v>
      </c>
      <c r="C89" s="203" t="s">
        <v>687</v>
      </c>
      <c r="D89" s="203" t="s">
        <v>70</v>
      </c>
      <c r="E89" s="203" t="s">
        <v>78</v>
      </c>
      <c r="F89" s="203" t="s">
        <v>78</v>
      </c>
      <c r="G89" s="203" t="s">
        <v>70</v>
      </c>
      <c r="H89" s="203" t="s">
        <v>72</v>
      </c>
      <c r="I89" s="203" t="s">
        <v>72</v>
      </c>
      <c r="J89" s="203"/>
      <c r="K89" s="203"/>
      <c r="L89" s="203" t="s">
        <v>72</v>
      </c>
      <c r="M89" s="203" t="s">
        <v>72</v>
      </c>
      <c r="N89" s="203"/>
      <c r="O89" s="203" t="s">
        <v>73</v>
      </c>
      <c r="P89" s="203" t="s">
        <v>200</v>
      </c>
      <c r="Q89" s="203" t="s">
        <v>201</v>
      </c>
      <c r="R89" s="203" t="s">
        <v>160</v>
      </c>
      <c r="S89" s="209">
        <v>43685</v>
      </c>
      <c r="T89" s="205">
        <v>45512</v>
      </c>
      <c r="U89" s="206">
        <v>1827</v>
      </c>
      <c r="V89" s="207">
        <v>2024</v>
      </c>
      <c r="W89" s="203" t="s">
        <v>161</v>
      </c>
      <c r="X89" s="203" t="s">
        <v>78</v>
      </c>
      <c r="Y89" s="203" t="s">
        <v>359</v>
      </c>
      <c r="Z89" s="203" t="s">
        <v>688</v>
      </c>
      <c r="AA89" s="203" t="s">
        <v>689</v>
      </c>
      <c r="AB89" s="203" t="s">
        <v>690</v>
      </c>
      <c r="AC89" s="203" t="s">
        <v>691</v>
      </c>
      <c r="AD89" s="208">
        <v>1</v>
      </c>
      <c r="AE89" s="208" t="s">
        <v>692</v>
      </c>
      <c r="AF89" s="208" t="s">
        <v>85</v>
      </c>
      <c r="AG89" s="208" t="s">
        <v>340</v>
      </c>
      <c r="AH89" s="208" t="s">
        <v>87</v>
      </c>
      <c r="AI89" s="208" t="s">
        <v>691</v>
      </c>
      <c r="AJ89" s="205" t="s">
        <v>108</v>
      </c>
      <c r="AK89" s="204">
        <v>43019</v>
      </c>
      <c r="AL89" s="208">
        <v>-1</v>
      </c>
      <c r="AM89" s="209" t="s">
        <v>689</v>
      </c>
      <c r="AN89" s="210">
        <v>4500349877</v>
      </c>
      <c r="AO89" s="209" t="s">
        <v>690</v>
      </c>
      <c r="AP89" s="209"/>
      <c r="AQ89" s="209"/>
      <c r="AR89" s="209" t="s">
        <v>109</v>
      </c>
      <c r="AS89" s="209" t="s">
        <v>693</v>
      </c>
      <c r="AT89" s="210">
        <v>5.0999999999999996</v>
      </c>
      <c r="AU89" s="211">
        <v>10</v>
      </c>
      <c r="AV89" s="212">
        <v>13.3</v>
      </c>
      <c r="AW89" s="213">
        <v>13073</v>
      </c>
      <c r="AX89" s="213">
        <v>4928.5209999999997</v>
      </c>
      <c r="AY89" s="210" t="s">
        <v>70</v>
      </c>
      <c r="AZ89" s="209" t="s">
        <v>255</v>
      </c>
      <c r="BA89" s="214" t="str">
        <f>+IF(Tabla467824[[#This Row],[TIPO VEHÍCULO]]=Tabla467824[[#This Row],[Columna2]], "IGUAL", "DISTINTO")</f>
        <v>IGUAL</v>
      </c>
      <c r="BB89" s="214" t="str">
        <f>+IF(Tabla467824[[#This Row],[Columna4]]=Tabla467824[[#This Row],[Combustible2]], "IGUAL", "DISTINTO")</f>
        <v>IGUAL</v>
      </c>
      <c r="BC89" s="202" t="s">
        <v>686</v>
      </c>
      <c r="BD89" s="215" cm="1">
        <f t="array" ref="BD89">IFERROR(INDEX('[1]Anexos FICHA TRA050'!$D$27:$D$44, MATCH(Tabla467824[[#This Row],[Columna5]]&amp;Tabla467824[[#This Row],[Columna4]], '[1]Anexos FICHA TRA050'!$E$27:$E$44&amp;'[1]Anexos FICHA TRA050'!$F$27:$F$44, 0)), "")</f>
        <v>6.99</v>
      </c>
      <c r="BE89" s="215">
        <f>IFERROR(INDEX('[1]Anexos FICHA TRA050'!$B$4:$B$7, MATCH(Tabla467824[[#This Row],[Columna4]], '[1]Anexos FICHA TRA050'!$C$4:$C$7, 0)), "")</f>
        <v>10</v>
      </c>
      <c r="BF89" s="215">
        <f>IFERROR(INDEX('[1]Anexos FICHA TRA050'!$C$14:$C$22, MATCH(Tabla467824[[#This Row],[Columna5]], '[1]Anexos FICHA TRA050'!$D$14:$D$22, 0)), "")</f>
        <v>17.920000000000002</v>
      </c>
      <c r="BG89" s="216">
        <f>IFERROR(INDEX('[1]Anexos FICHA TRA050'!$C$49:$C$54, MATCH(Tabla467824[[#This Row],[Columna5]], '[1]Anexos FICHA TRA050'!$D$49:$D$54, 0)), "")</f>
        <v>13073</v>
      </c>
      <c r="BH89" s="217">
        <f>+(((Tabla467824[[#This Row],[CVA2]]*Tabla467824[[#This Row],[f2]])-Tabla467824[[#This Row],[CVN2]])/100)*Tabla467824[[#This Row],[L2]]</f>
        <v>6795.3454000000002</v>
      </c>
      <c r="BI89" s="218"/>
      <c r="BJ89" s="218"/>
      <c r="BK89" s="218" t="str">
        <f>+IF(Tabla467824[[#This Row],[F]]=Tabla467824[[#This Row],[f2]], "IGUAL", "DISTINTO")</f>
        <v>IGUAL</v>
      </c>
      <c r="BL89" s="218" t="str">
        <f>+IF(Tabla467824[[#This Row],[CVN]]=Tabla467824[[#This Row],[CVN2]], "IGUAL", "DISTINTO")</f>
        <v>DISTINTO</v>
      </c>
      <c r="BM89" s="219" t="str">
        <f>+IF(Tabla467824[[#This Row],[L]]=Tabla467824[[#This Row],[L2]], "IGUAL", "DISTINTO")</f>
        <v>IGUAL</v>
      </c>
    </row>
    <row r="90" spans="1:65" x14ac:dyDescent="0.25">
      <c r="A90">
        <v>87</v>
      </c>
      <c r="B90" s="202" t="s">
        <v>694</v>
      </c>
      <c r="C90" s="203" t="s">
        <v>695</v>
      </c>
      <c r="D90" s="203" t="s">
        <v>128</v>
      </c>
      <c r="E90" s="203" t="s">
        <v>78</v>
      </c>
      <c r="F90" s="203" t="s">
        <v>78</v>
      </c>
      <c r="G90" s="203" t="s">
        <v>128</v>
      </c>
      <c r="H90" s="203" t="s">
        <v>72</v>
      </c>
      <c r="I90" s="203" t="s">
        <v>72</v>
      </c>
      <c r="J90" s="203" t="s">
        <v>72</v>
      </c>
      <c r="K90" s="203"/>
      <c r="L90" s="203" t="s">
        <v>72</v>
      </c>
      <c r="M90" s="203" t="s">
        <v>72</v>
      </c>
      <c r="N90" s="203"/>
      <c r="O90" s="203" t="s">
        <v>73</v>
      </c>
      <c r="P90" s="203" t="s">
        <v>74</v>
      </c>
      <c r="Q90" s="203" t="s">
        <v>75</v>
      </c>
      <c r="R90" s="203" t="s">
        <v>76</v>
      </c>
      <c r="S90" s="204">
        <v>45447</v>
      </c>
      <c r="T90" s="205">
        <v>45516</v>
      </c>
      <c r="U90" s="206">
        <v>69</v>
      </c>
      <c r="V90" s="207">
        <v>2024</v>
      </c>
      <c r="W90" s="203" t="s">
        <v>77</v>
      </c>
      <c r="X90" s="203" t="s">
        <v>78</v>
      </c>
      <c r="Y90" s="203" t="s">
        <v>85</v>
      </c>
      <c r="Z90" s="203" t="s">
        <v>642</v>
      </c>
      <c r="AA90" s="203" t="s">
        <v>102</v>
      </c>
      <c r="AB90" s="203" t="s">
        <v>103</v>
      </c>
      <c r="AC90" s="203" t="s">
        <v>696</v>
      </c>
      <c r="AD90" s="208">
        <v>25</v>
      </c>
      <c r="AE90" s="208" t="s">
        <v>697</v>
      </c>
      <c r="AF90" s="208" t="s">
        <v>85</v>
      </c>
      <c r="AG90" s="208" t="s">
        <v>86</v>
      </c>
      <c r="AH90" s="208" t="s">
        <v>87</v>
      </c>
      <c r="AI90" s="208" t="s">
        <v>698</v>
      </c>
      <c r="AJ90" s="205" t="s">
        <v>89</v>
      </c>
      <c r="AK90" s="204">
        <v>45625</v>
      </c>
      <c r="AL90" s="208">
        <v>0</v>
      </c>
      <c r="AM90" s="209" t="s">
        <v>102</v>
      </c>
      <c r="AN90" s="209" t="s">
        <v>699</v>
      </c>
      <c r="AO90" s="209" t="s">
        <v>103</v>
      </c>
      <c r="AP90" s="209"/>
      <c r="AQ90" s="209" t="s">
        <v>72</v>
      </c>
      <c r="AR90" s="209" t="s">
        <v>109</v>
      </c>
      <c r="AS90" s="209" t="s">
        <v>700</v>
      </c>
      <c r="AT90" s="210">
        <v>5.6</v>
      </c>
      <c r="AU90" s="211">
        <v>10</v>
      </c>
      <c r="AV90" s="212">
        <v>17.3</v>
      </c>
      <c r="AW90" s="213">
        <v>15815</v>
      </c>
      <c r="AX90" s="213">
        <v>6120.4049999999997</v>
      </c>
      <c r="AY90" s="210" t="s">
        <v>128</v>
      </c>
      <c r="AZ90" s="209" t="s">
        <v>93</v>
      </c>
      <c r="BA90" s="214" t="str">
        <f>+IF(Tabla467824[[#This Row],[TIPO VEHÍCULO]]=Tabla467824[[#This Row],[Columna2]], "IGUAL", "DISTINTO")</f>
        <v>IGUAL</v>
      </c>
      <c r="BB90" s="214" t="str">
        <f>+IF(Tabla467824[[#This Row],[Columna4]]=Tabla467824[[#This Row],[Combustible2]], "IGUAL", "DISTINTO")</f>
        <v>IGUAL</v>
      </c>
      <c r="BC90" s="202" t="s">
        <v>694</v>
      </c>
      <c r="BD90" s="215" cm="1">
        <f t="array" ref="BD90">IFERROR(INDEX('[1]Anexos FICHA TRA050'!$D$27:$D$44, MATCH(Tabla467824[[#This Row],[Columna5]]&amp;Tabla467824[[#This Row],[Columna4]], '[1]Anexos FICHA TRA050'!$E$27:$E$44&amp;'[1]Anexos FICHA TRA050'!$F$27:$F$44, 0)), "")</f>
        <v>5.63</v>
      </c>
      <c r="BE90" s="215">
        <f>IFERROR(INDEX('[1]Anexos FICHA TRA050'!$B$4:$B$7, MATCH(Tabla467824[[#This Row],[Columna4]], '[1]Anexos FICHA TRA050'!$C$4:$C$7, 0)), "")</f>
        <v>10</v>
      </c>
      <c r="BF90" s="215">
        <f>IFERROR(INDEX('[1]Anexos FICHA TRA050'!$C$14:$C$22, MATCH(Tabla467824[[#This Row],[Columna5]], '[1]Anexos FICHA TRA050'!$D$14:$D$22, 0)), "")</f>
        <v>20.84</v>
      </c>
      <c r="BG90" s="216">
        <f>IFERROR(INDEX('[1]Anexos FICHA TRA050'!$C$49:$C$54, MATCH(Tabla467824[[#This Row],[Columna5]], '[1]Anexos FICHA TRA050'!$D$49:$D$54, 0)), "")</f>
        <v>15815</v>
      </c>
      <c r="BH90" s="217">
        <f>+(((Tabla467824[[#This Row],[CVA2]]*Tabla467824[[#This Row],[f2]])-Tabla467824[[#This Row],[CVN2]])/100)*Tabla467824[[#This Row],[L2]]</f>
        <v>5607.9989999999989</v>
      </c>
      <c r="BI90" s="218"/>
      <c r="BJ90" s="218"/>
      <c r="BK90" s="218" t="str">
        <f>+IF(Tabla467824[[#This Row],[F]]=Tabla467824[[#This Row],[f2]], "IGUAL", "DISTINTO")</f>
        <v>IGUAL</v>
      </c>
      <c r="BL90" s="218" t="str">
        <f>+IF(Tabla467824[[#This Row],[CVN]]=Tabla467824[[#This Row],[CVN2]], "IGUAL", "DISTINTO")</f>
        <v>DISTINTO</v>
      </c>
      <c r="BM90" s="219" t="str">
        <f>+IF(Tabla467824[[#This Row],[L]]=Tabla467824[[#This Row],[L2]], "IGUAL", "DISTINTO")</f>
        <v>IGUAL</v>
      </c>
    </row>
    <row r="91" spans="1:65" x14ac:dyDescent="0.25">
      <c r="A91">
        <v>88</v>
      </c>
      <c r="B91" s="202" t="s">
        <v>701</v>
      </c>
      <c r="C91" s="203" t="s">
        <v>702</v>
      </c>
      <c r="D91" s="203" t="s">
        <v>128</v>
      </c>
      <c r="E91" s="203" t="s">
        <v>78</v>
      </c>
      <c r="F91" s="203" t="s">
        <v>78</v>
      </c>
      <c r="G91" s="203" t="s">
        <v>128</v>
      </c>
      <c r="H91" s="203" t="s">
        <v>72</v>
      </c>
      <c r="I91" s="203" t="s">
        <v>72</v>
      </c>
      <c r="J91" s="203" t="s">
        <v>72</v>
      </c>
      <c r="K91" s="203"/>
      <c r="L91" s="203" t="s">
        <v>72</v>
      </c>
      <c r="M91" s="203" t="s">
        <v>72</v>
      </c>
      <c r="N91" s="203"/>
      <c r="O91" s="203" t="s">
        <v>73</v>
      </c>
      <c r="P91" s="203" t="s">
        <v>74</v>
      </c>
      <c r="Q91" s="203" t="s">
        <v>75</v>
      </c>
      <c r="R91" s="203" t="s">
        <v>76</v>
      </c>
      <c r="S91" s="204">
        <v>45447</v>
      </c>
      <c r="T91" s="205">
        <v>45516</v>
      </c>
      <c r="U91" s="206">
        <v>69</v>
      </c>
      <c r="V91" s="207">
        <v>2024</v>
      </c>
      <c r="W91" s="203" t="s">
        <v>77</v>
      </c>
      <c r="X91" s="203" t="s">
        <v>78</v>
      </c>
      <c r="Y91" s="203" t="s">
        <v>85</v>
      </c>
      <c r="Z91" s="203" t="s">
        <v>642</v>
      </c>
      <c r="AA91" s="203" t="s">
        <v>102</v>
      </c>
      <c r="AB91" s="203" t="s">
        <v>103</v>
      </c>
      <c r="AC91" s="203" t="s">
        <v>696</v>
      </c>
      <c r="AD91" s="208">
        <v>26</v>
      </c>
      <c r="AE91" s="208" t="s">
        <v>703</v>
      </c>
      <c r="AF91" s="208" t="s">
        <v>85</v>
      </c>
      <c r="AG91" s="208" t="s">
        <v>86</v>
      </c>
      <c r="AH91" s="208" t="s">
        <v>87</v>
      </c>
      <c r="AI91" s="208" t="s">
        <v>579</v>
      </c>
      <c r="AJ91" s="205" t="s">
        <v>89</v>
      </c>
      <c r="AK91" s="204">
        <v>45625</v>
      </c>
      <c r="AL91" s="208">
        <v>0</v>
      </c>
      <c r="AM91" s="209" t="s">
        <v>102</v>
      </c>
      <c r="AN91" s="209" t="s">
        <v>704</v>
      </c>
      <c r="AO91" s="209" t="s">
        <v>103</v>
      </c>
      <c r="AP91" s="209"/>
      <c r="AQ91" s="209" t="s">
        <v>72</v>
      </c>
      <c r="AR91" s="209" t="s">
        <v>109</v>
      </c>
      <c r="AS91" s="209" t="s">
        <v>705</v>
      </c>
      <c r="AT91" s="210">
        <v>5.6</v>
      </c>
      <c r="AU91" s="211">
        <v>10</v>
      </c>
      <c r="AV91" s="212">
        <v>17.3</v>
      </c>
      <c r="AW91" s="213">
        <v>15815</v>
      </c>
      <c r="AX91" s="213">
        <v>6120.4049999999997</v>
      </c>
      <c r="AY91" s="210" t="s">
        <v>128</v>
      </c>
      <c r="AZ91" s="209" t="s">
        <v>93</v>
      </c>
      <c r="BA91" s="214" t="str">
        <f>+IF(Tabla467824[[#This Row],[TIPO VEHÍCULO]]=Tabla467824[[#This Row],[Columna2]], "IGUAL", "DISTINTO")</f>
        <v>IGUAL</v>
      </c>
      <c r="BB91" s="214" t="str">
        <f>+IF(Tabla467824[[#This Row],[Columna4]]=Tabla467824[[#This Row],[Combustible2]], "IGUAL", "DISTINTO")</f>
        <v>IGUAL</v>
      </c>
      <c r="BC91" s="202" t="s">
        <v>701</v>
      </c>
      <c r="BD91" s="215" cm="1">
        <f t="array" ref="BD91">IFERROR(INDEX('[1]Anexos FICHA TRA050'!$D$27:$D$44, MATCH(Tabla467824[[#This Row],[Columna5]]&amp;Tabla467824[[#This Row],[Columna4]], '[1]Anexos FICHA TRA050'!$E$27:$E$44&amp;'[1]Anexos FICHA TRA050'!$F$27:$F$44, 0)), "")</f>
        <v>5.63</v>
      </c>
      <c r="BE91" s="215">
        <f>IFERROR(INDEX('[1]Anexos FICHA TRA050'!$B$4:$B$7, MATCH(Tabla467824[[#This Row],[Columna4]], '[1]Anexos FICHA TRA050'!$C$4:$C$7, 0)), "")</f>
        <v>10</v>
      </c>
      <c r="BF91" s="215">
        <f>IFERROR(INDEX('[1]Anexos FICHA TRA050'!$C$14:$C$22, MATCH(Tabla467824[[#This Row],[Columna5]], '[1]Anexos FICHA TRA050'!$D$14:$D$22, 0)), "")</f>
        <v>20.84</v>
      </c>
      <c r="BG91" s="216">
        <f>IFERROR(INDEX('[1]Anexos FICHA TRA050'!$C$49:$C$54, MATCH(Tabla467824[[#This Row],[Columna5]], '[1]Anexos FICHA TRA050'!$D$49:$D$54, 0)), "")</f>
        <v>15815</v>
      </c>
      <c r="BH91" s="217">
        <f>+(((Tabla467824[[#This Row],[CVA2]]*Tabla467824[[#This Row],[f2]])-Tabla467824[[#This Row],[CVN2]])/100)*Tabla467824[[#This Row],[L2]]</f>
        <v>5607.9989999999989</v>
      </c>
      <c r="BI91" s="218"/>
      <c r="BJ91" s="218"/>
      <c r="BK91" s="218" t="str">
        <f>+IF(Tabla467824[[#This Row],[F]]=Tabla467824[[#This Row],[f2]], "IGUAL", "DISTINTO")</f>
        <v>IGUAL</v>
      </c>
      <c r="BL91" s="218" t="str">
        <f>+IF(Tabla467824[[#This Row],[CVN]]=Tabla467824[[#This Row],[CVN2]], "IGUAL", "DISTINTO")</f>
        <v>DISTINTO</v>
      </c>
      <c r="BM91" s="219" t="str">
        <f>+IF(Tabla467824[[#This Row],[L]]=Tabla467824[[#This Row],[L2]], "IGUAL", "DISTINTO")</f>
        <v>IGUAL</v>
      </c>
    </row>
    <row r="92" spans="1:65" x14ac:dyDescent="0.25">
      <c r="A92">
        <v>89</v>
      </c>
      <c r="B92" s="202" t="s">
        <v>706</v>
      </c>
      <c r="C92" s="203" t="s">
        <v>707</v>
      </c>
      <c r="D92" s="203" t="s">
        <v>128</v>
      </c>
      <c r="E92" s="203" t="s">
        <v>78</v>
      </c>
      <c r="F92" s="203" t="s">
        <v>78</v>
      </c>
      <c r="G92" s="203" t="s">
        <v>128</v>
      </c>
      <c r="H92" s="203" t="s">
        <v>72</v>
      </c>
      <c r="I92" s="203" t="s">
        <v>72</v>
      </c>
      <c r="J92" s="203" t="s">
        <v>72</v>
      </c>
      <c r="K92" s="203"/>
      <c r="L92" s="203" t="s">
        <v>72</v>
      </c>
      <c r="M92" s="203" t="s">
        <v>72</v>
      </c>
      <c r="N92" s="203"/>
      <c r="O92" s="203" t="s">
        <v>73</v>
      </c>
      <c r="P92" s="203" t="s">
        <v>74</v>
      </c>
      <c r="Q92" s="203" t="s">
        <v>75</v>
      </c>
      <c r="R92" s="203" t="s">
        <v>76</v>
      </c>
      <c r="S92" s="204">
        <v>45447</v>
      </c>
      <c r="T92" s="205">
        <v>45516</v>
      </c>
      <c r="U92" s="206">
        <v>69</v>
      </c>
      <c r="V92" s="207">
        <v>2024</v>
      </c>
      <c r="W92" s="203" t="s">
        <v>77</v>
      </c>
      <c r="X92" s="203" t="s">
        <v>78</v>
      </c>
      <c r="Y92" s="203" t="s">
        <v>85</v>
      </c>
      <c r="Z92" s="203" t="s">
        <v>642</v>
      </c>
      <c r="AA92" s="203" t="s">
        <v>102</v>
      </c>
      <c r="AB92" s="203" t="s">
        <v>103</v>
      </c>
      <c r="AC92" s="203" t="s">
        <v>696</v>
      </c>
      <c r="AD92" s="208">
        <v>27</v>
      </c>
      <c r="AE92" s="208" t="s">
        <v>708</v>
      </c>
      <c r="AF92" s="208" t="s">
        <v>85</v>
      </c>
      <c r="AG92" s="208" t="s">
        <v>86</v>
      </c>
      <c r="AH92" s="208" t="s">
        <v>87</v>
      </c>
      <c r="AI92" s="208" t="s">
        <v>579</v>
      </c>
      <c r="AJ92" s="205" t="s">
        <v>89</v>
      </c>
      <c r="AK92" s="204">
        <v>45625</v>
      </c>
      <c r="AL92" s="208">
        <v>0</v>
      </c>
      <c r="AM92" s="209" t="s">
        <v>102</v>
      </c>
      <c r="AN92" s="209" t="s">
        <v>709</v>
      </c>
      <c r="AO92" s="209" t="s">
        <v>103</v>
      </c>
      <c r="AP92" s="209"/>
      <c r="AQ92" s="209" t="s">
        <v>72</v>
      </c>
      <c r="AR92" s="209" t="s">
        <v>109</v>
      </c>
      <c r="AS92" s="209" t="s">
        <v>710</v>
      </c>
      <c r="AT92" s="210">
        <v>5.6</v>
      </c>
      <c r="AU92" s="211">
        <v>10</v>
      </c>
      <c r="AV92" s="212">
        <v>17.3</v>
      </c>
      <c r="AW92" s="213">
        <v>15815</v>
      </c>
      <c r="AX92" s="213">
        <v>6120.4049999999997</v>
      </c>
      <c r="AY92" s="210" t="s">
        <v>128</v>
      </c>
      <c r="AZ92" s="209" t="s">
        <v>93</v>
      </c>
      <c r="BA92" s="214" t="str">
        <f>+IF(Tabla467824[[#This Row],[TIPO VEHÍCULO]]=Tabla467824[[#This Row],[Columna2]], "IGUAL", "DISTINTO")</f>
        <v>IGUAL</v>
      </c>
      <c r="BB92" s="214" t="str">
        <f>+IF(Tabla467824[[#This Row],[Columna4]]=Tabla467824[[#This Row],[Combustible2]], "IGUAL", "DISTINTO")</f>
        <v>IGUAL</v>
      </c>
      <c r="BC92" s="202" t="s">
        <v>706</v>
      </c>
      <c r="BD92" s="215" cm="1">
        <f t="array" ref="BD92">IFERROR(INDEX('[1]Anexos FICHA TRA050'!$D$27:$D$44, MATCH(Tabla467824[[#This Row],[Columna5]]&amp;Tabla467824[[#This Row],[Columna4]], '[1]Anexos FICHA TRA050'!$E$27:$E$44&amp;'[1]Anexos FICHA TRA050'!$F$27:$F$44, 0)), "")</f>
        <v>5.63</v>
      </c>
      <c r="BE92" s="215">
        <f>IFERROR(INDEX('[1]Anexos FICHA TRA050'!$B$4:$B$7, MATCH(Tabla467824[[#This Row],[Columna4]], '[1]Anexos FICHA TRA050'!$C$4:$C$7, 0)), "")</f>
        <v>10</v>
      </c>
      <c r="BF92" s="215">
        <f>IFERROR(INDEX('[1]Anexos FICHA TRA050'!$C$14:$C$22, MATCH(Tabla467824[[#This Row],[Columna5]], '[1]Anexos FICHA TRA050'!$D$14:$D$22, 0)), "")</f>
        <v>20.84</v>
      </c>
      <c r="BG92" s="216">
        <f>IFERROR(INDEX('[1]Anexos FICHA TRA050'!$C$49:$C$54, MATCH(Tabla467824[[#This Row],[Columna5]], '[1]Anexos FICHA TRA050'!$D$49:$D$54, 0)), "")</f>
        <v>15815</v>
      </c>
      <c r="BH92" s="217">
        <f>+(((Tabla467824[[#This Row],[CVA2]]*Tabla467824[[#This Row],[f2]])-Tabla467824[[#This Row],[CVN2]])/100)*Tabla467824[[#This Row],[L2]]</f>
        <v>5607.9989999999989</v>
      </c>
      <c r="BI92" s="218"/>
      <c r="BJ92" s="218"/>
      <c r="BK92" s="218" t="str">
        <f>+IF(Tabla467824[[#This Row],[F]]=Tabla467824[[#This Row],[f2]], "IGUAL", "DISTINTO")</f>
        <v>IGUAL</v>
      </c>
      <c r="BL92" s="218" t="str">
        <f>+IF(Tabla467824[[#This Row],[CVN]]=Tabla467824[[#This Row],[CVN2]], "IGUAL", "DISTINTO")</f>
        <v>DISTINTO</v>
      </c>
      <c r="BM92" s="219" t="str">
        <f>+IF(Tabla467824[[#This Row],[L]]=Tabla467824[[#This Row],[L2]], "IGUAL", "DISTINTO")</f>
        <v>IGUAL</v>
      </c>
    </row>
    <row r="93" spans="1:65" x14ac:dyDescent="0.25">
      <c r="A93">
        <v>90</v>
      </c>
      <c r="B93" s="202" t="s">
        <v>711</v>
      </c>
      <c r="C93" s="203" t="s">
        <v>712</v>
      </c>
      <c r="D93" s="203" t="s">
        <v>128</v>
      </c>
      <c r="E93" s="203" t="s">
        <v>78</v>
      </c>
      <c r="F93" s="203" t="s">
        <v>78</v>
      </c>
      <c r="G93" s="203" t="s">
        <v>128</v>
      </c>
      <c r="H93" s="203" t="s">
        <v>72</v>
      </c>
      <c r="I93" s="203" t="s">
        <v>72</v>
      </c>
      <c r="J93" s="203" t="s">
        <v>72</v>
      </c>
      <c r="K93" s="203"/>
      <c r="L93" s="203" t="s">
        <v>72</v>
      </c>
      <c r="M93" s="203" t="s">
        <v>72</v>
      </c>
      <c r="N93" s="203"/>
      <c r="O93" s="203" t="s">
        <v>73</v>
      </c>
      <c r="P93" s="203" t="s">
        <v>74</v>
      </c>
      <c r="Q93" s="203" t="s">
        <v>75</v>
      </c>
      <c r="R93" s="203" t="s">
        <v>76</v>
      </c>
      <c r="S93" s="204">
        <v>45447</v>
      </c>
      <c r="T93" s="205">
        <v>45656</v>
      </c>
      <c r="U93" s="206">
        <v>209</v>
      </c>
      <c r="V93" s="207">
        <v>2024</v>
      </c>
      <c r="W93" s="203" t="s">
        <v>77</v>
      </c>
      <c r="X93" s="203" t="s">
        <v>78</v>
      </c>
      <c r="Y93" s="203" t="s">
        <v>85</v>
      </c>
      <c r="Z93" s="203" t="s">
        <v>642</v>
      </c>
      <c r="AA93" s="203" t="s">
        <v>102</v>
      </c>
      <c r="AB93" s="203" t="s">
        <v>103</v>
      </c>
      <c r="AC93" s="203" t="s">
        <v>696</v>
      </c>
      <c r="AD93" s="208">
        <v>28</v>
      </c>
      <c r="AE93" s="208" t="s">
        <v>713</v>
      </c>
      <c r="AF93" s="208" t="s">
        <v>85</v>
      </c>
      <c r="AG93" s="208" t="s">
        <v>86</v>
      </c>
      <c r="AH93" s="208" t="s">
        <v>87</v>
      </c>
      <c r="AI93" s="208" t="s">
        <v>714</v>
      </c>
      <c r="AJ93" s="205" t="s">
        <v>89</v>
      </c>
      <c r="AK93" s="204">
        <v>45625</v>
      </c>
      <c r="AL93" s="208">
        <v>0</v>
      </c>
      <c r="AM93" s="209" t="s">
        <v>102</v>
      </c>
      <c r="AN93" s="209" t="s">
        <v>715</v>
      </c>
      <c r="AO93" s="209" t="s">
        <v>103</v>
      </c>
      <c r="AP93" s="209"/>
      <c r="AQ93" s="209" t="s">
        <v>72</v>
      </c>
      <c r="AR93" s="209" t="s">
        <v>109</v>
      </c>
      <c r="AS93" s="209" t="s">
        <v>716</v>
      </c>
      <c r="AT93" s="210">
        <v>5.6</v>
      </c>
      <c r="AU93" s="211">
        <v>10</v>
      </c>
      <c r="AV93" s="212">
        <v>17.3</v>
      </c>
      <c r="AW93" s="213">
        <v>15815</v>
      </c>
      <c r="AX93" s="213">
        <v>6120.4049999999997</v>
      </c>
      <c r="AY93" s="210" t="s">
        <v>128</v>
      </c>
      <c r="AZ93" s="209" t="s">
        <v>93</v>
      </c>
      <c r="BA93" s="214" t="str">
        <f>+IF(Tabla467824[[#This Row],[TIPO VEHÍCULO]]=Tabla467824[[#This Row],[Columna2]], "IGUAL", "DISTINTO")</f>
        <v>IGUAL</v>
      </c>
      <c r="BB93" s="214" t="str">
        <f>+IF(Tabla467824[[#This Row],[Columna4]]=Tabla467824[[#This Row],[Combustible2]], "IGUAL", "DISTINTO")</f>
        <v>IGUAL</v>
      </c>
      <c r="BC93" s="202" t="s">
        <v>711</v>
      </c>
      <c r="BD93" s="215" cm="1">
        <f t="array" ref="BD93">IFERROR(INDEX('[1]Anexos FICHA TRA050'!$D$27:$D$44, MATCH(Tabla467824[[#This Row],[Columna5]]&amp;Tabla467824[[#This Row],[Columna4]], '[1]Anexos FICHA TRA050'!$E$27:$E$44&amp;'[1]Anexos FICHA TRA050'!$F$27:$F$44, 0)), "")</f>
        <v>5.63</v>
      </c>
      <c r="BE93" s="215">
        <f>IFERROR(INDEX('[1]Anexos FICHA TRA050'!$B$4:$B$7, MATCH(Tabla467824[[#This Row],[Columna4]], '[1]Anexos FICHA TRA050'!$C$4:$C$7, 0)), "")</f>
        <v>10</v>
      </c>
      <c r="BF93" s="215">
        <f>IFERROR(INDEX('[1]Anexos FICHA TRA050'!$C$14:$C$22, MATCH(Tabla467824[[#This Row],[Columna5]], '[1]Anexos FICHA TRA050'!$D$14:$D$22, 0)), "")</f>
        <v>20.84</v>
      </c>
      <c r="BG93" s="216">
        <f>IFERROR(INDEX('[1]Anexos FICHA TRA050'!$C$49:$C$54, MATCH(Tabla467824[[#This Row],[Columna5]], '[1]Anexos FICHA TRA050'!$D$49:$D$54, 0)), "")</f>
        <v>15815</v>
      </c>
      <c r="BH93" s="217">
        <f>+(((Tabla467824[[#This Row],[CVA2]]*Tabla467824[[#This Row],[f2]])-Tabla467824[[#This Row],[CVN2]])/100)*Tabla467824[[#This Row],[L2]]</f>
        <v>5607.9989999999989</v>
      </c>
      <c r="BI93" s="218"/>
      <c r="BJ93" s="218"/>
      <c r="BK93" s="218" t="str">
        <f>+IF(Tabla467824[[#This Row],[F]]=Tabla467824[[#This Row],[f2]], "IGUAL", "DISTINTO")</f>
        <v>IGUAL</v>
      </c>
      <c r="BL93" s="218" t="str">
        <f>+IF(Tabla467824[[#This Row],[CVN]]=Tabla467824[[#This Row],[CVN2]], "IGUAL", "DISTINTO")</f>
        <v>DISTINTO</v>
      </c>
      <c r="BM93" s="219" t="str">
        <f>+IF(Tabla467824[[#This Row],[L]]=Tabla467824[[#This Row],[L2]], "IGUAL", "DISTINTO")</f>
        <v>IGUAL</v>
      </c>
    </row>
    <row r="94" spans="1:65" x14ac:dyDescent="0.25">
      <c r="A94">
        <v>91</v>
      </c>
      <c r="B94" s="202" t="s">
        <v>717</v>
      </c>
      <c r="C94" s="203" t="s">
        <v>718</v>
      </c>
      <c r="D94" s="203" t="s">
        <v>128</v>
      </c>
      <c r="E94" s="203" t="s">
        <v>78</v>
      </c>
      <c r="F94" s="203" t="s">
        <v>78</v>
      </c>
      <c r="G94" s="203" t="s">
        <v>128</v>
      </c>
      <c r="H94" s="203" t="s">
        <v>72</v>
      </c>
      <c r="I94" s="203"/>
      <c r="J94" s="203"/>
      <c r="K94" s="203"/>
      <c r="L94" s="203" t="s">
        <v>72</v>
      </c>
      <c r="M94" s="203" t="s">
        <v>72</v>
      </c>
      <c r="N94" s="203"/>
      <c r="O94" s="203" t="s">
        <v>73</v>
      </c>
      <c r="P94" s="203" t="s">
        <v>74</v>
      </c>
      <c r="Q94" s="203" t="s">
        <v>75</v>
      </c>
      <c r="R94" s="203" t="s">
        <v>76</v>
      </c>
      <c r="S94" s="204">
        <v>45505</v>
      </c>
      <c r="T94" s="205">
        <v>45657</v>
      </c>
      <c r="U94" s="206">
        <v>152</v>
      </c>
      <c r="V94" s="207">
        <v>2024</v>
      </c>
      <c r="W94" s="203" t="s">
        <v>77</v>
      </c>
      <c r="X94" s="203" t="s">
        <v>78</v>
      </c>
      <c r="Y94" s="203" t="s">
        <v>85</v>
      </c>
      <c r="Z94" s="203" t="s">
        <v>642</v>
      </c>
      <c r="AA94" s="203" t="s">
        <v>102</v>
      </c>
      <c r="AB94" s="203" t="s">
        <v>103</v>
      </c>
      <c r="AC94" s="203" t="s">
        <v>719</v>
      </c>
      <c r="AD94" s="208">
        <v>29</v>
      </c>
      <c r="AE94" s="208" t="s">
        <v>720</v>
      </c>
      <c r="AF94" s="208" t="s">
        <v>85</v>
      </c>
      <c r="AG94" s="208" t="s">
        <v>86</v>
      </c>
      <c r="AH94" s="208" t="s">
        <v>87</v>
      </c>
      <c r="AI94" s="208" t="s">
        <v>301</v>
      </c>
      <c r="AJ94" s="205" t="s">
        <v>89</v>
      </c>
      <c r="AK94" s="204">
        <v>45625</v>
      </c>
      <c r="AL94" s="208">
        <v>0</v>
      </c>
      <c r="AM94" s="209" t="s">
        <v>102</v>
      </c>
      <c r="AN94" s="209" t="s">
        <v>721</v>
      </c>
      <c r="AO94" s="209" t="s">
        <v>103</v>
      </c>
      <c r="AP94" s="209"/>
      <c r="AQ94" s="209" t="s">
        <v>72</v>
      </c>
      <c r="AR94" s="209" t="s">
        <v>109</v>
      </c>
      <c r="AS94" s="209" t="s">
        <v>722</v>
      </c>
      <c r="AT94" s="210">
        <v>5.6</v>
      </c>
      <c r="AU94" s="211">
        <v>10</v>
      </c>
      <c r="AV94" s="212">
        <v>17.3</v>
      </c>
      <c r="AW94" s="213">
        <v>15815</v>
      </c>
      <c r="AX94" s="213">
        <v>6120.4049999999997</v>
      </c>
      <c r="AY94" s="210" t="s">
        <v>128</v>
      </c>
      <c r="AZ94" s="209" t="s">
        <v>255</v>
      </c>
      <c r="BA94" s="214" t="str">
        <f>+IF(Tabla467824[[#This Row],[TIPO VEHÍCULO]]=Tabla467824[[#This Row],[Columna2]], "IGUAL", "DISTINTO")</f>
        <v>IGUAL</v>
      </c>
      <c r="BB94" s="214" t="str">
        <f>+IF(Tabla467824[[#This Row],[Columna4]]=Tabla467824[[#This Row],[Combustible2]], "IGUAL", "DISTINTO")</f>
        <v>IGUAL</v>
      </c>
      <c r="BC94" s="202" t="s">
        <v>717</v>
      </c>
      <c r="BD94" s="215" cm="1">
        <f t="array" ref="BD94">IFERROR(INDEX('[1]Anexos FICHA TRA050'!$D$27:$D$44, MATCH(Tabla467824[[#This Row],[Columna5]]&amp;Tabla467824[[#This Row],[Columna4]], '[1]Anexos FICHA TRA050'!$E$27:$E$44&amp;'[1]Anexos FICHA TRA050'!$F$27:$F$44, 0)), "")</f>
        <v>5.63</v>
      </c>
      <c r="BE94" s="215">
        <f>IFERROR(INDEX('[1]Anexos FICHA TRA050'!$B$4:$B$7, MATCH(Tabla467824[[#This Row],[Columna4]], '[1]Anexos FICHA TRA050'!$C$4:$C$7, 0)), "")</f>
        <v>10</v>
      </c>
      <c r="BF94" s="215">
        <f>IFERROR(INDEX('[1]Anexos FICHA TRA050'!$C$14:$C$22, MATCH(Tabla467824[[#This Row],[Columna5]], '[1]Anexos FICHA TRA050'!$D$14:$D$22, 0)), "")</f>
        <v>20.84</v>
      </c>
      <c r="BG94" s="216">
        <f>IFERROR(INDEX('[1]Anexos FICHA TRA050'!$C$49:$C$54, MATCH(Tabla467824[[#This Row],[Columna5]], '[1]Anexos FICHA TRA050'!$D$49:$D$54, 0)), "")</f>
        <v>15815</v>
      </c>
      <c r="BH94" s="217">
        <f>+(((Tabla467824[[#This Row],[CVA2]]*Tabla467824[[#This Row],[f2]])-Tabla467824[[#This Row],[CVN2]])/100)*Tabla467824[[#This Row],[L2]]</f>
        <v>5607.9989999999989</v>
      </c>
      <c r="BI94" s="218"/>
      <c r="BJ94" s="218"/>
      <c r="BK94" s="218" t="str">
        <f>+IF(Tabla467824[[#This Row],[F]]=Tabla467824[[#This Row],[f2]], "IGUAL", "DISTINTO")</f>
        <v>IGUAL</v>
      </c>
      <c r="BL94" s="218" t="str">
        <f>+IF(Tabla467824[[#This Row],[CVN]]=Tabla467824[[#This Row],[CVN2]], "IGUAL", "DISTINTO")</f>
        <v>DISTINTO</v>
      </c>
      <c r="BM94" s="219" t="str">
        <f>+IF(Tabla467824[[#This Row],[L]]=Tabla467824[[#This Row],[L2]], "IGUAL", "DISTINTO")</f>
        <v>IGUAL</v>
      </c>
    </row>
    <row r="95" spans="1:65" x14ac:dyDescent="0.25">
      <c r="A95">
        <v>92</v>
      </c>
      <c r="B95" s="202" t="s">
        <v>723</v>
      </c>
      <c r="C95" s="203" t="s">
        <v>724</v>
      </c>
      <c r="D95" s="203" t="s">
        <v>128</v>
      </c>
      <c r="E95" s="203" t="s">
        <v>78</v>
      </c>
      <c r="F95" s="203" t="s">
        <v>78</v>
      </c>
      <c r="G95" s="203" t="s">
        <v>128</v>
      </c>
      <c r="H95" s="203" t="s">
        <v>72</v>
      </c>
      <c r="I95" s="203" t="s">
        <v>72</v>
      </c>
      <c r="J95" s="203" t="s">
        <v>72</v>
      </c>
      <c r="K95" s="203"/>
      <c r="L95" s="203" t="s">
        <v>249</v>
      </c>
      <c r="M95" s="203" t="s">
        <v>249</v>
      </c>
      <c r="N95" s="203"/>
      <c r="O95" s="203" t="s">
        <v>725</v>
      </c>
      <c r="P95" s="203" t="s">
        <v>74</v>
      </c>
      <c r="Q95" s="203" t="s">
        <v>75</v>
      </c>
      <c r="R95" s="203" t="s">
        <v>76</v>
      </c>
      <c r="S95" s="204">
        <v>44958</v>
      </c>
      <c r="T95" s="205">
        <v>45107</v>
      </c>
      <c r="U95" s="206">
        <v>149</v>
      </c>
      <c r="V95" s="207">
        <v>2023</v>
      </c>
      <c r="W95" s="203" t="s">
        <v>77</v>
      </c>
      <c r="X95" s="203" t="s">
        <v>78</v>
      </c>
      <c r="Y95" s="203" t="s">
        <v>726</v>
      </c>
      <c r="Z95" s="203" t="s">
        <v>727</v>
      </c>
      <c r="AA95" s="203" t="s">
        <v>102</v>
      </c>
      <c r="AB95" s="203" t="s">
        <v>103</v>
      </c>
      <c r="AC95" s="203" t="s">
        <v>440</v>
      </c>
      <c r="AD95" s="208">
        <v>30</v>
      </c>
      <c r="AE95" s="208" t="s">
        <v>728</v>
      </c>
      <c r="AF95" s="208" t="s">
        <v>359</v>
      </c>
      <c r="AG95" s="208" t="s">
        <v>452</v>
      </c>
      <c r="AH95" s="208" t="s">
        <v>87</v>
      </c>
      <c r="AI95" s="208" t="s">
        <v>115</v>
      </c>
      <c r="AJ95" s="205" t="s">
        <v>108</v>
      </c>
      <c r="AK95" s="204">
        <v>45051</v>
      </c>
      <c r="AL95" s="208">
        <v>0</v>
      </c>
      <c r="AM95" s="209" t="s">
        <v>102</v>
      </c>
      <c r="AN95" s="210">
        <v>4500351860</v>
      </c>
      <c r="AO95" s="209" t="s">
        <v>103</v>
      </c>
      <c r="AP95" s="209"/>
      <c r="AQ95" s="209" t="s">
        <v>72</v>
      </c>
      <c r="AR95" s="209" t="s">
        <v>109</v>
      </c>
      <c r="AS95" s="209" t="s">
        <v>729</v>
      </c>
      <c r="AT95" s="210">
        <v>5.6</v>
      </c>
      <c r="AU95" s="211">
        <v>10</v>
      </c>
      <c r="AV95" s="212">
        <v>28.1</v>
      </c>
      <c r="AW95" s="213">
        <v>15815</v>
      </c>
      <c r="AX95" s="213">
        <v>4412.3849999999993</v>
      </c>
      <c r="AY95" s="210" t="s">
        <v>128</v>
      </c>
      <c r="AZ95" s="209" t="s">
        <v>93</v>
      </c>
      <c r="BA95" s="214" t="str">
        <f>+IF(Tabla467824[[#This Row],[TIPO VEHÍCULO]]=Tabla467824[[#This Row],[Columna2]], "IGUAL", "DISTINTO")</f>
        <v>IGUAL</v>
      </c>
      <c r="BB95" s="214" t="str">
        <f>+IF(Tabla467824[[#This Row],[Columna4]]=Tabla467824[[#This Row],[Combustible2]], "IGUAL", "DISTINTO")</f>
        <v>IGUAL</v>
      </c>
      <c r="BC95" s="202" t="s">
        <v>723</v>
      </c>
      <c r="BD95" s="215" cm="1">
        <f t="array" ref="BD95">IFERROR(INDEX('[1]Anexos FICHA TRA050'!$D$27:$D$44, MATCH(Tabla467824[[#This Row],[Columna5]]&amp;Tabla467824[[#This Row],[Columna4]], '[1]Anexos FICHA TRA050'!$E$27:$E$44&amp;'[1]Anexos FICHA TRA050'!$F$27:$F$44, 0)), "")</f>
        <v>5.63</v>
      </c>
      <c r="BE95" s="215">
        <f>IFERROR(INDEX('[1]Anexos FICHA TRA050'!$B$4:$B$7, MATCH(Tabla467824[[#This Row],[Columna4]], '[1]Anexos FICHA TRA050'!$C$4:$C$7, 0)), "")</f>
        <v>10</v>
      </c>
      <c r="BF95" s="215">
        <f>IFERROR(INDEX('[1]Anexos FICHA TRA050'!$C$14:$C$22, MATCH(Tabla467824[[#This Row],[Columna5]], '[1]Anexos FICHA TRA050'!$D$14:$D$22, 0)), "")</f>
        <v>20.84</v>
      </c>
      <c r="BG95" s="216">
        <f>IFERROR(INDEX('[1]Anexos FICHA TRA050'!$C$49:$C$54, MATCH(Tabla467824[[#This Row],[Columna5]], '[1]Anexos FICHA TRA050'!$D$49:$D$54, 0)), "")</f>
        <v>15815</v>
      </c>
      <c r="BH95" s="217">
        <f>+(((Tabla467824[[#This Row],[CVA2]]*Tabla467824[[#This Row],[f2]])-Tabla467824[[#This Row],[CVN2]])/100)*Tabla467824[[#This Row],[L2]]</f>
        <v>5607.9989999999989</v>
      </c>
      <c r="BI95" s="218"/>
      <c r="BJ95" s="218"/>
      <c r="BK95" s="218" t="str">
        <f>+IF(Tabla467824[[#This Row],[F]]=Tabla467824[[#This Row],[f2]], "IGUAL", "DISTINTO")</f>
        <v>IGUAL</v>
      </c>
      <c r="BL95" s="218" t="str">
        <f>+IF(Tabla467824[[#This Row],[CVN]]=Tabla467824[[#This Row],[CVN2]], "IGUAL", "DISTINTO")</f>
        <v>DISTINTO</v>
      </c>
      <c r="BM95" s="219" t="str">
        <f>+IF(Tabla467824[[#This Row],[L]]=Tabla467824[[#This Row],[L2]], "IGUAL", "DISTINTO")</f>
        <v>IGUAL</v>
      </c>
    </row>
    <row r="96" spans="1:65" x14ac:dyDescent="0.25">
      <c r="A96">
        <v>93</v>
      </c>
      <c r="B96" s="202" t="s">
        <v>730</v>
      </c>
      <c r="C96" s="203" t="s">
        <v>731</v>
      </c>
      <c r="D96" s="203" t="s">
        <v>128</v>
      </c>
      <c r="E96" s="203" t="s">
        <v>78</v>
      </c>
      <c r="F96" s="203" t="s">
        <v>78</v>
      </c>
      <c r="G96" s="203" t="s">
        <v>128</v>
      </c>
      <c r="H96" s="203" t="s">
        <v>72</v>
      </c>
      <c r="I96" s="203" t="s">
        <v>72</v>
      </c>
      <c r="J96" s="203" t="s">
        <v>72</v>
      </c>
      <c r="K96" s="203"/>
      <c r="L96" s="203" t="s">
        <v>72</v>
      </c>
      <c r="M96" s="203" t="s">
        <v>72</v>
      </c>
      <c r="N96" s="203"/>
      <c r="O96" s="203" t="s">
        <v>73</v>
      </c>
      <c r="P96" s="203" t="s">
        <v>74</v>
      </c>
      <c r="Q96" s="203" t="s">
        <v>75</v>
      </c>
      <c r="R96" s="203" t="s">
        <v>76</v>
      </c>
      <c r="S96" s="204">
        <v>45282</v>
      </c>
      <c r="T96" s="205">
        <v>45321</v>
      </c>
      <c r="U96" s="206">
        <v>39</v>
      </c>
      <c r="V96" s="207">
        <v>2024</v>
      </c>
      <c r="W96" s="203" t="s">
        <v>77</v>
      </c>
      <c r="X96" s="203" t="s">
        <v>78</v>
      </c>
      <c r="Y96" s="203" t="s">
        <v>85</v>
      </c>
      <c r="Z96" s="203" t="s">
        <v>732</v>
      </c>
      <c r="AA96" s="203" t="s">
        <v>81</v>
      </c>
      <c r="AB96" s="203" t="s">
        <v>82</v>
      </c>
      <c r="AC96" s="203" t="s">
        <v>83</v>
      </c>
      <c r="AD96" s="208">
        <v>10</v>
      </c>
      <c r="AE96" s="208" t="s">
        <v>733</v>
      </c>
      <c r="AF96" s="208" t="s">
        <v>85</v>
      </c>
      <c r="AG96" s="208" t="s">
        <v>86</v>
      </c>
      <c r="AH96" s="208" t="s">
        <v>87</v>
      </c>
      <c r="AI96" s="208" t="s">
        <v>143</v>
      </c>
      <c r="AJ96" s="205" t="s">
        <v>89</v>
      </c>
      <c r="AK96" s="204">
        <v>45625</v>
      </c>
      <c r="AL96" s="208">
        <v>0</v>
      </c>
      <c r="AM96" s="209" t="s">
        <v>81</v>
      </c>
      <c r="AN96" s="209" t="s">
        <v>734</v>
      </c>
      <c r="AO96" s="209" t="s">
        <v>82</v>
      </c>
      <c r="AP96" s="209"/>
      <c r="AQ96" s="209" t="s">
        <v>72</v>
      </c>
      <c r="AR96" s="209" t="s">
        <v>91</v>
      </c>
      <c r="AS96" s="209" t="s">
        <v>735</v>
      </c>
      <c r="AT96" s="210">
        <v>5.6</v>
      </c>
      <c r="AU96" s="211">
        <v>10</v>
      </c>
      <c r="AV96" s="212">
        <v>17.3</v>
      </c>
      <c r="AW96" s="213">
        <v>15815</v>
      </c>
      <c r="AX96" s="213">
        <v>6120.4049999999997</v>
      </c>
      <c r="AY96" s="210" t="s">
        <v>128</v>
      </c>
      <c r="AZ96" s="209" t="s">
        <v>93</v>
      </c>
      <c r="BA96" s="214" t="str">
        <f>+IF(Tabla467824[[#This Row],[TIPO VEHÍCULO]]=Tabla467824[[#This Row],[Columna2]], "IGUAL", "DISTINTO")</f>
        <v>IGUAL</v>
      </c>
      <c r="BB96" s="214" t="str">
        <f>+IF(Tabla467824[[#This Row],[Columna4]]=Tabla467824[[#This Row],[Combustible2]], "IGUAL", "DISTINTO")</f>
        <v>IGUAL</v>
      </c>
      <c r="BC96" s="202" t="s">
        <v>730</v>
      </c>
      <c r="BD96" s="215" cm="1">
        <f t="array" ref="BD96">IFERROR(INDEX('[1]Anexos FICHA TRA050'!$D$27:$D$44, MATCH(Tabla467824[[#This Row],[Columna5]]&amp;Tabla467824[[#This Row],[Columna4]], '[1]Anexos FICHA TRA050'!$E$27:$E$44&amp;'[1]Anexos FICHA TRA050'!$F$27:$F$44, 0)), "")</f>
        <v>5.63</v>
      </c>
      <c r="BE96" s="215">
        <f>IFERROR(INDEX('[1]Anexos FICHA TRA050'!$B$4:$B$7, MATCH(Tabla467824[[#This Row],[Columna4]], '[1]Anexos FICHA TRA050'!$C$4:$C$7, 0)), "")</f>
        <v>10</v>
      </c>
      <c r="BF96" s="215">
        <f>IFERROR(INDEX('[1]Anexos FICHA TRA050'!$C$14:$C$22, MATCH(Tabla467824[[#This Row],[Columna5]], '[1]Anexos FICHA TRA050'!$D$14:$D$22, 0)), "")</f>
        <v>20.84</v>
      </c>
      <c r="BG96" s="216">
        <f>IFERROR(INDEX('[1]Anexos FICHA TRA050'!$C$49:$C$54, MATCH(Tabla467824[[#This Row],[Columna5]], '[1]Anexos FICHA TRA050'!$D$49:$D$54, 0)), "")</f>
        <v>15815</v>
      </c>
      <c r="BH96" s="217">
        <f>+(((Tabla467824[[#This Row],[CVA2]]*Tabla467824[[#This Row],[f2]])-Tabla467824[[#This Row],[CVN2]])/100)*Tabla467824[[#This Row],[L2]]</f>
        <v>5607.9989999999989</v>
      </c>
      <c r="BI96" s="218"/>
      <c r="BJ96" s="218"/>
      <c r="BK96" s="218" t="str">
        <f>+IF(Tabla467824[[#This Row],[F]]=Tabla467824[[#This Row],[f2]], "IGUAL", "DISTINTO")</f>
        <v>IGUAL</v>
      </c>
      <c r="BL96" s="218" t="str">
        <f>+IF(Tabla467824[[#This Row],[CVN]]=Tabla467824[[#This Row],[CVN2]], "IGUAL", "DISTINTO")</f>
        <v>DISTINTO</v>
      </c>
      <c r="BM96" s="219" t="str">
        <f>+IF(Tabla467824[[#This Row],[L]]=Tabla467824[[#This Row],[L2]], "IGUAL", "DISTINTO")</f>
        <v>IGUAL</v>
      </c>
    </row>
    <row r="97" spans="1:65" x14ac:dyDescent="0.25">
      <c r="A97">
        <v>94</v>
      </c>
      <c r="B97" s="202" t="s">
        <v>736</v>
      </c>
      <c r="C97" s="203" t="s">
        <v>737</v>
      </c>
      <c r="D97" s="203" t="s">
        <v>70</v>
      </c>
      <c r="E97" s="203" t="s">
        <v>78</v>
      </c>
      <c r="F97" s="203" t="s">
        <v>78</v>
      </c>
      <c r="G97" s="203" t="s">
        <v>70</v>
      </c>
      <c r="H97" s="203" t="s">
        <v>72</v>
      </c>
      <c r="I97" s="203" t="s">
        <v>72</v>
      </c>
      <c r="J97" s="203"/>
      <c r="K97" s="203"/>
      <c r="L97" s="203" t="s">
        <v>72</v>
      </c>
      <c r="M97" s="203" t="s">
        <v>72</v>
      </c>
      <c r="N97" s="203"/>
      <c r="O97" s="203" t="s">
        <v>73</v>
      </c>
      <c r="P97" s="203" t="s">
        <v>74</v>
      </c>
      <c r="Q97" s="203" t="s">
        <v>75</v>
      </c>
      <c r="R97" s="203" t="s">
        <v>76</v>
      </c>
      <c r="S97" s="204">
        <v>44974</v>
      </c>
      <c r="T97" s="205">
        <v>45057</v>
      </c>
      <c r="U97" s="206">
        <v>83</v>
      </c>
      <c r="V97" s="207">
        <v>2023</v>
      </c>
      <c r="W97" s="203" t="s">
        <v>77</v>
      </c>
      <c r="X97" s="203" t="s">
        <v>78</v>
      </c>
      <c r="Y97" s="203" t="s">
        <v>738</v>
      </c>
      <c r="Z97" s="203" t="s">
        <v>739</v>
      </c>
      <c r="AA97" s="203" t="s">
        <v>102</v>
      </c>
      <c r="AB97" s="203" t="s">
        <v>103</v>
      </c>
      <c r="AC97" s="203" t="s">
        <v>740</v>
      </c>
      <c r="AD97" s="208">
        <v>31</v>
      </c>
      <c r="AE97" s="208" t="s">
        <v>741</v>
      </c>
      <c r="AF97" s="208" t="s">
        <v>79</v>
      </c>
      <c r="AG97" s="208" t="s">
        <v>442</v>
      </c>
      <c r="AH97" s="208" t="s">
        <v>87</v>
      </c>
      <c r="AI97" s="208" t="s">
        <v>107</v>
      </c>
      <c r="AJ97" s="205" t="s">
        <v>108</v>
      </c>
      <c r="AK97" s="204">
        <v>45133</v>
      </c>
      <c r="AL97" s="208">
        <v>0</v>
      </c>
      <c r="AM97" s="209" t="s">
        <v>102</v>
      </c>
      <c r="AN97" s="210">
        <v>4500370224</v>
      </c>
      <c r="AO97" s="209" t="s">
        <v>103</v>
      </c>
      <c r="AP97" s="209"/>
      <c r="AQ97" s="209" t="s">
        <v>72</v>
      </c>
      <c r="AR97" s="209" t="s">
        <v>109</v>
      </c>
      <c r="AS97" s="209" t="s">
        <v>742</v>
      </c>
      <c r="AT97" s="210">
        <v>5.0999999999999996</v>
      </c>
      <c r="AU97" s="211">
        <v>10</v>
      </c>
      <c r="AV97" s="212">
        <v>22.7</v>
      </c>
      <c r="AW97" s="213">
        <v>13073</v>
      </c>
      <c r="AX97" s="213">
        <v>3699.6590000000006</v>
      </c>
      <c r="AY97" s="210" t="s">
        <v>70</v>
      </c>
      <c r="AZ97" s="209" t="s">
        <v>255</v>
      </c>
      <c r="BA97" s="214" t="str">
        <f>+IF(Tabla467824[[#This Row],[TIPO VEHÍCULO]]=Tabla467824[[#This Row],[Columna2]], "IGUAL", "DISTINTO")</f>
        <v>IGUAL</v>
      </c>
      <c r="BB97" s="214" t="str">
        <f>+IF(Tabla467824[[#This Row],[Columna4]]=Tabla467824[[#This Row],[Combustible2]], "IGUAL", "DISTINTO")</f>
        <v>IGUAL</v>
      </c>
      <c r="BC97" s="202" t="s">
        <v>736</v>
      </c>
      <c r="BD97" s="215" cm="1">
        <f t="array" ref="BD97">IFERROR(INDEX('[1]Anexos FICHA TRA050'!$D$27:$D$44, MATCH(Tabla467824[[#This Row],[Columna5]]&amp;Tabla467824[[#This Row],[Columna4]], '[1]Anexos FICHA TRA050'!$E$27:$E$44&amp;'[1]Anexos FICHA TRA050'!$F$27:$F$44, 0)), "")</f>
        <v>6.99</v>
      </c>
      <c r="BE97" s="215">
        <f>IFERROR(INDEX('[1]Anexos FICHA TRA050'!$B$4:$B$7, MATCH(Tabla467824[[#This Row],[Columna4]], '[1]Anexos FICHA TRA050'!$C$4:$C$7, 0)), "")</f>
        <v>10</v>
      </c>
      <c r="BF97" s="215">
        <f>IFERROR(INDEX('[1]Anexos FICHA TRA050'!$C$14:$C$22, MATCH(Tabla467824[[#This Row],[Columna5]], '[1]Anexos FICHA TRA050'!$D$14:$D$22, 0)), "")</f>
        <v>17.920000000000002</v>
      </c>
      <c r="BG97" s="216">
        <f>IFERROR(INDEX('[1]Anexos FICHA TRA050'!$C$49:$C$54, MATCH(Tabla467824[[#This Row],[Columna5]], '[1]Anexos FICHA TRA050'!$D$49:$D$54, 0)), "")</f>
        <v>13073</v>
      </c>
      <c r="BH97" s="217">
        <f>+(((Tabla467824[[#This Row],[CVA2]]*Tabla467824[[#This Row],[f2]])-Tabla467824[[#This Row],[CVN2]])/100)*Tabla467824[[#This Row],[L2]]</f>
        <v>6795.3454000000002</v>
      </c>
      <c r="BI97" s="218"/>
      <c r="BJ97" s="218"/>
      <c r="BK97" s="218" t="str">
        <f>+IF(Tabla467824[[#This Row],[F]]=Tabla467824[[#This Row],[f2]], "IGUAL", "DISTINTO")</f>
        <v>IGUAL</v>
      </c>
      <c r="BL97" s="218" t="str">
        <f>+IF(Tabla467824[[#This Row],[CVN]]=Tabla467824[[#This Row],[CVN2]], "IGUAL", "DISTINTO")</f>
        <v>DISTINTO</v>
      </c>
      <c r="BM97" s="219" t="str">
        <f>+IF(Tabla467824[[#This Row],[L]]=Tabla467824[[#This Row],[L2]], "IGUAL", "DISTINTO")</f>
        <v>IGUAL</v>
      </c>
    </row>
    <row r="98" spans="1:65" x14ac:dyDescent="0.25">
      <c r="A98">
        <v>95</v>
      </c>
      <c r="B98" s="202" t="s">
        <v>743</v>
      </c>
      <c r="C98" s="203" t="s">
        <v>744</v>
      </c>
      <c r="D98" s="203" t="s">
        <v>70</v>
      </c>
      <c r="E98" s="203" t="s">
        <v>78</v>
      </c>
      <c r="F98" s="203" t="s">
        <v>78</v>
      </c>
      <c r="G98" s="203" t="s">
        <v>70</v>
      </c>
      <c r="H98" s="203" t="s">
        <v>72</v>
      </c>
      <c r="I98" s="203" t="s">
        <v>72</v>
      </c>
      <c r="J98" s="203" t="s">
        <v>72</v>
      </c>
      <c r="K98" s="203"/>
      <c r="L98" s="203" t="s">
        <v>249</v>
      </c>
      <c r="M98" s="203" t="s">
        <v>249</v>
      </c>
      <c r="N98" s="203"/>
      <c r="O98" s="203" t="s">
        <v>73</v>
      </c>
      <c r="P98" s="203" t="s">
        <v>74</v>
      </c>
      <c r="Q98" s="203" t="s">
        <v>75</v>
      </c>
      <c r="R98" s="203" t="s">
        <v>76</v>
      </c>
      <c r="S98" s="204">
        <v>45420</v>
      </c>
      <c r="T98" s="205">
        <v>45450</v>
      </c>
      <c r="U98" s="206">
        <v>30</v>
      </c>
      <c r="V98" s="207">
        <v>2024</v>
      </c>
      <c r="W98" s="203" t="s">
        <v>77</v>
      </c>
      <c r="X98" s="203" t="s">
        <v>78</v>
      </c>
      <c r="Y98" s="203" t="s">
        <v>213</v>
      </c>
      <c r="Z98" s="203" t="s">
        <v>745</v>
      </c>
      <c r="AA98" s="203" t="s">
        <v>336</v>
      </c>
      <c r="AB98" s="203" t="s">
        <v>337</v>
      </c>
      <c r="AC98" s="203" t="s">
        <v>746</v>
      </c>
      <c r="AD98" s="208">
        <v>6</v>
      </c>
      <c r="AE98" s="208" t="s">
        <v>747</v>
      </c>
      <c r="AF98" s="208" t="s">
        <v>140</v>
      </c>
      <c r="AG98" s="208" t="s">
        <v>151</v>
      </c>
      <c r="AH98" s="208" t="s">
        <v>87</v>
      </c>
      <c r="AI98" s="208" t="s">
        <v>351</v>
      </c>
      <c r="AJ98" s="205" t="s">
        <v>89</v>
      </c>
      <c r="AK98" s="204">
        <v>45625</v>
      </c>
      <c r="AL98" s="208">
        <v>0</v>
      </c>
      <c r="AM98" s="209" t="s">
        <v>336</v>
      </c>
      <c r="AN98" s="209" t="s">
        <v>748</v>
      </c>
      <c r="AO98" s="209" t="s">
        <v>337</v>
      </c>
      <c r="AP98" s="209"/>
      <c r="AQ98" s="209" t="s">
        <v>72</v>
      </c>
      <c r="AR98" s="209" t="s">
        <v>91</v>
      </c>
      <c r="AS98" s="209" t="s">
        <v>749</v>
      </c>
      <c r="AT98" s="210">
        <v>5.0999999999999996</v>
      </c>
      <c r="AU98" s="211">
        <v>10</v>
      </c>
      <c r="AV98" s="212">
        <v>16.399999999999999</v>
      </c>
      <c r="AW98" s="213">
        <v>13073</v>
      </c>
      <c r="AX98" s="213">
        <v>4523.2580000000007</v>
      </c>
      <c r="AY98" s="210" t="s">
        <v>70</v>
      </c>
      <c r="AZ98" s="209" t="s">
        <v>93</v>
      </c>
      <c r="BA98" s="214" t="str">
        <f>+IF(Tabla467824[[#This Row],[TIPO VEHÍCULO]]=Tabla467824[[#This Row],[Columna2]], "IGUAL", "DISTINTO")</f>
        <v>IGUAL</v>
      </c>
      <c r="BB98" s="214" t="str">
        <f>+IF(Tabla467824[[#This Row],[Columna4]]=Tabla467824[[#This Row],[Combustible2]], "IGUAL", "DISTINTO")</f>
        <v>IGUAL</v>
      </c>
      <c r="BC98" s="202" t="s">
        <v>743</v>
      </c>
      <c r="BD98" s="215" cm="1">
        <f t="array" ref="BD98">IFERROR(INDEX('[1]Anexos FICHA TRA050'!$D$27:$D$44, MATCH(Tabla467824[[#This Row],[Columna5]]&amp;Tabla467824[[#This Row],[Columna4]], '[1]Anexos FICHA TRA050'!$E$27:$E$44&amp;'[1]Anexos FICHA TRA050'!$F$27:$F$44, 0)), "")</f>
        <v>6.99</v>
      </c>
      <c r="BE98" s="215">
        <f>IFERROR(INDEX('[1]Anexos FICHA TRA050'!$B$4:$B$7, MATCH(Tabla467824[[#This Row],[Columna4]], '[1]Anexos FICHA TRA050'!$C$4:$C$7, 0)), "")</f>
        <v>10</v>
      </c>
      <c r="BF98" s="215">
        <f>IFERROR(INDEX('[1]Anexos FICHA TRA050'!$C$14:$C$22, MATCH(Tabla467824[[#This Row],[Columna5]], '[1]Anexos FICHA TRA050'!$D$14:$D$22, 0)), "")</f>
        <v>17.920000000000002</v>
      </c>
      <c r="BG98" s="216">
        <f>IFERROR(INDEX('[1]Anexos FICHA TRA050'!$C$49:$C$54, MATCH(Tabla467824[[#This Row],[Columna5]], '[1]Anexos FICHA TRA050'!$D$49:$D$54, 0)), "")</f>
        <v>13073</v>
      </c>
      <c r="BH98" s="217">
        <f>+(((Tabla467824[[#This Row],[CVA2]]*Tabla467824[[#This Row],[f2]])-Tabla467824[[#This Row],[CVN2]])/100)*Tabla467824[[#This Row],[L2]]</f>
        <v>6795.3454000000002</v>
      </c>
      <c r="BI98" s="218"/>
      <c r="BJ98" s="218"/>
      <c r="BK98" s="218" t="str">
        <f>+IF(Tabla467824[[#This Row],[F]]=Tabla467824[[#This Row],[f2]], "IGUAL", "DISTINTO")</f>
        <v>IGUAL</v>
      </c>
      <c r="BL98" s="218" t="str">
        <f>+IF(Tabla467824[[#This Row],[CVN]]=Tabla467824[[#This Row],[CVN2]], "IGUAL", "DISTINTO")</f>
        <v>DISTINTO</v>
      </c>
      <c r="BM98" s="219" t="str">
        <f>+IF(Tabla467824[[#This Row],[L]]=Tabla467824[[#This Row],[L2]], "IGUAL", "DISTINTO")</f>
        <v>IGUAL</v>
      </c>
    </row>
    <row r="99" spans="1:65" x14ac:dyDescent="0.25">
      <c r="A99">
        <v>96</v>
      </c>
      <c r="B99" s="202" t="s">
        <v>750</v>
      </c>
      <c r="C99" s="203" t="s">
        <v>751</v>
      </c>
      <c r="D99" s="203" t="s">
        <v>128</v>
      </c>
      <c r="E99" s="203" t="s">
        <v>78</v>
      </c>
      <c r="F99" s="203" t="s">
        <v>78</v>
      </c>
      <c r="G99" s="203" t="s">
        <v>128</v>
      </c>
      <c r="H99" s="203" t="s">
        <v>72</v>
      </c>
      <c r="I99" s="203"/>
      <c r="J99" s="203" t="s">
        <v>72</v>
      </c>
      <c r="K99" s="203"/>
      <c r="L99" s="203" t="s">
        <v>72</v>
      </c>
      <c r="M99" s="203" t="s">
        <v>72</v>
      </c>
      <c r="N99" s="203"/>
      <c r="O99" s="203" t="s">
        <v>129</v>
      </c>
      <c r="P99" s="203" t="s">
        <v>74</v>
      </c>
      <c r="Q99" s="203" t="s">
        <v>75</v>
      </c>
      <c r="R99" s="203" t="s">
        <v>76</v>
      </c>
      <c r="S99" s="204">
        <v>44861</v>
      </c>
      <c r="T99" s="205">
        <v>44964</v>
      </c>
      <c r="U99" s="206">
        <v>103</v>
      </c>
      <c r="V99" s="207">
        <v>2023</v>
      </c>
      <c r="W99" s="203" t="s">
        <v>77</v>
      </c>
      <c r="X99" s="203" t="s">
        <v>78</v>
      </c>
      <c r="Y99" s="203" t="s">
        <v>85</v>
      </c>
      <c r="Z99" s="203" t="s">
        <v>752</v>
      </c>
      <c r="AA99" s="203" t="s">
        <v>131</v>
      </c>
      <c r="AB99" s="203" t="s">
        <v>132</v>
      </c>
      <c r="AC99" s="203" t="s">
        <v>753</v>
      </c>
      <c r="AD99" s="208">
        <v>9</v>
      </c>
      <c r="AE99" s="208" t="s">
        <v>754</v>
      </c>
      <c r="AF99" s="208" t="s">
        <v>380</v>
      </c>
      <c r="AG99" s="208" t="s">
        <v>381</v>
      </c>
      <c r="AH99" s="208" t="s">
        <v>87</v>
      </c>
      <c r="AI99" s="208" t="s">
        <v>622</v>
      </c>
      <c r="AJ99" s="205" t="s">
        <v>89</v>
      </c>
      <c r="AK99" s="204">
        <v>45608</v>
      </c>
      <c r="AL99" s="208">
        <v>1</v>
      </c>
      <c r="AM99" s="209" t="s">
        <v>131</v>
      </c>
      <c r="AN99" s="210">
        <v>4500421017</v>
      </c>
      <c r="AO99" s="209" t="s">
        <v>132</v>
      </c>
      <c r="AP99" s="209"/>
      <c r="AQ99" s="209" t="s">
        <v>72</v>
      </c>
      <c r="AR99" s="209" t="s">
        <v>91</v>
      </c>
      <c r="AS99" s="209" t="s">
        <v>755</v>
      </c>
      <c r="AT99" s="210">
        <v>5.6</v>
      </c>
      <c r="AU99" s="211">
        <v>10</v>
      </c>
      <c r="AV99" s="212">
        <v>20</v>
      </c>
      <c r="AW99" s="213">
        <v>15815</v>
      </c>
      <c r="AX99" s="213">
        <v>5693.4</v>
      </c>
      <c r="AY99" s="210" t="s">
        <v>128</v>
      </c>
      <c r="AZ99" s="209" t="s">
        <v>93</v>
      </c>
      <c r="BA99" s="214" t="str">
        <f>+IF(Tabla467824[[#This Row],[TIPO VEHÍCULO]]=Tabla467824[[#This Row],[Columna2]], "IGUAL", "DISTINTO")</f>
        <v>IGUAL</v>
      </c>
      <c r="BB99" s="214" t="str">
        <f>+IF(Tabla467824[[#This Row],[Columna4]]=Tabla467824[[#This Row],[Combustible2]], "IGUAL", "DISTINTO")</f>
        <v>IGUAL</v>
      </c>
      <c r="BC99" s="202" t="s">
        <v>750</v>
      </c>
      <c r="BD99" s="215" cm="1">
        <f t="array" ref="BD99">IFERROR(INDEX('[1]Anexos FICHA TRA050'!$D$27:$D$44, MATCH(Tabla467824[[#This Row],[Columna5]]&amp;Tabla467824[[#This Row],[Columna4]], '[1]Anexos FICHA TRA050'!$E$27:$E$44&amp;'[1]Anexos FICHA TRA050'!$F$27:$F$44, 0)), "")</f>
        <v>5.63</v>
      </c>
      <c r="BE99" s="215">
        <f>IFERROR(INDEX('[1]Anexos FICHA TRA050'!$B$4:$B$7, MATCH(Tabla467824[[#This Row],[Columna4]], '[1]Anexos FICHA TRA050'!$C$4:$C$7, 0)), "")</f>
        <v>10</v>
      </c>
      <c r="BF99" s="215">
        <f>IFERROR(INDEX('[1]Anexos FICHA TRA050'!$C$14:$C$22, MATCH(Tabla467824[[#This Row],[Columna5]], '[1]Anexos FICHA TRA050'!$D$14:$D$22, 0)), "")</f>
        <v>20.84</v>
      </c>
      <c r="BG99" s="216">
        <f>IFERROR(INDEX('[1]Anexos FICHA TRA050'!$C$49:$C$54, MATCH(Tabla467824[[#This Row],[Columna5]], '[1]Anexos FICHA TRA050'!$D$49:$D$54, 0)), "")</f>
        <v>15815</v>
      </c>
      <c r="BH99" s="217">
        <f>+(((Tabla467824[[#This Row],[CVA2]]*Tabla467824[[#This Row],[f2]])-Tabla467824[[#This Row],[CVN2]])/100)*Tabla467824[[#This Row],[L2]]</f>
        <v>5607.9989999999989</v>
      </c>
      <c r="BI99" s="218"/>
      <c r="BJ99" s="218"/>
      <c r="BK99" s="218" t="str">
        <f>+IF(Tabla467824[[#This Row],[F]]=Tabla467824[[#This Row],[f2]], "IGUAL", "DISTINTO")</f>
        <v>IGUAL</v>
      </c>
      <c r="BL99" s="218" t="str">
        <f>+IF(Tabla467824[[#This Row],[CVN]]=Tabla467824[[#This Row],[CVN2]], "IGUAL", "DISTINTO")</f>
        <v>DISTINTO</v>
      </c>
      <c r="BM99" s="219" t="str">
        <f>+IF(Tabla467824[[#This Row],[L]]=Tabla467824[[#This Row],[L2]], "IGUAL", "DISTINTO")</f>
        <v>IGUAL</v>
      </c>
    </row>
    <row r="100" spans="1:65" x14ac:dyDescent="0.25">
      <c r="A100">
        <v>97</v>
      </c>
      <c r="B100" s="202" t="s">
        <v>756</v>
      </c>
      <c r="C100" s="203" t="s">
        <v>757</v>
      </c>
      <c r="D100" s="203" t="s">
        <v>70</v>
      </c>
      <c r="E100" s="203" t="s">
        <v>78</v>
      </c>
      <c r="F100" s="203" t="s">
        <v>78</v>
      </c>
      <c r="G100" s="203" t="s">
        <v>70</v>
      </c>
      <c r="H100" s="203" t="s">
        <v>72</v>
      </c>
      <c r="I100" s="203" t="s">
        <v>72</v>
      </c>
      <c r="J100" s="203" t="s">
        <v>72</v>
      </c>
      <c r="K100" s="203"/>
      <c r="L100" s="203" t="s">
        <v>249</v>
      </c>
      <c r="M100" s="203" t="s">
        <v>249</v>
      </c>
      <c r="N100" s="203"/>
      <c r="O100" s="203" t="s">
        <v>73</v>
      </c>
      <c r="P100" s="203" t="s">
        <v>74</v>
      </c>
      <c r="Q100" s="203" t="s">
        <v>75</v>
      </c>
      <c r="R100" s="203" t="s">
        <v>76</v>
      </c>
      <c r="S100" s="204">
        <v>45350</v>
      </c>
      <c r="T100" s="205">
        <v>45406</v>
      </c>
      <c r="U100" s="206">
        <v>56</v>
      </c>
      <c r="V100" s="207">
        <v>2024</v>
      </c>
      <c r="W100" s="203" t="s">
        <v>77</v>
      </c>
      <c r="X100" s="203" t="s">
        <v>78</v>
      </c>
      <c r="Y100" s="203" t="s">
        <v>85</v>
      </c>
      <c r="Z100" s="203" t="s">
        <v>758</v>
      </c>
      <c r="AA100" s="203" t="s">
        <v>336</v>
      </c>
      <c r="AB100" s="203" t="s">
        <v>337</v>
      </c>
      <c r="AC100" s="203" t="s">
        <v>373</v>
      </c>
      <c r="AD100" s="208">
        <v>7</v>
      </c>
      <c r="AE100" s="208" t="s">
        <v>759</v>
      </c>
      <c r="AF100" s="208" t="s">
        <v>85</v>
      </c>
      <c r="AG100" s="208" t="s">
        <v>86</v>
      </c>
      <c r="AH100" s="208" t="s">
        <v>87</v>
      </c>
      <c r="AI100" s="208" t="s">
        <v>760</v>
      </c>
      <c r="AJ100" s="205" t="s">
        <v>89</v>
      </c>
      <c r="AK100" s="204">
        <v>45649</v>
      </c>
      <c r="AL100" s="208">
        <v>0</v>
      </c>
      <c r="AM100" s="209" t="s">
        <v>336</v>
      </c>
      <c r="AN100" s="209" t="s">
        <v>761</v>
      </c>
      <c r="AO100" s="209" t="s">
        <v>337</v>
      </c>
      <c r="AP100" s="209"/>
      <c r="AQ100" s="209" t="s">
        <v>72</v>
      </c>
      <c r="AR100" s="209" t="s">
        <v>91</v>
      </c>
      <c r="AS100" s="209" t="s">
        <v>762</v>
      </c>
      <c r="AT100" s="210">
        <v>5.0999999999999996</v>
      </c>
      <c r="AU100" s="211">
        <v>10</v>
      </c>
      <c r="AV100" s="212">
        <v>17.3</v>
      </c>
      <c r="AW100" s="213">
        <v>13073</v>
      </c>
      <c r="AX100" s="213">
        <v>4405.6010000000006</v>
      </c>
      <c r="AY100" s="210" t="s">
        <v>70</v>
      </c>
      <c r="AZ100" s="209" t="s">
        <v>93</v>
      </c>
      <c r="BA100" s="214" t="str">
        <f>+IF(Tabla467824[[#This Row],[TIPO VEHÍCULO]]=Tabla467824[[#This Row],[Columna2]], "IGUAL", "DISTINTO")</f>
        <v>IGUAL</v>
      </c>
      <c r="BB100" s="214" t="str">
        <f>+IF(Tabla467824[[#This Row],[Columna4]]=Tabla467824[[#This Row],[Combustible2]], "IGUAL", "DISTINTO")</f>
        <v>IGUAL</v>
      </c>
      <c r="BC100" s="202" t="s">
        <v>756</v>
      </c>
      <c r="BD100" s="215" cm="1">
        <f t="array" ref="BD100">IFERROR(INDEX('[1]Anexos FICHA TRA050'!$D$27:$D$44, MATCH(Tabla467824[[#This Row],[Columna5]]&amp;Tabla467824[[#This Row],[Columna4]], '[1]Anexos FICHA TRA050'!$E$27:$E$44&amp;'[1]Anexos FICHA TRA050'!$F$27:$F$44, 0)), "")</f>
        <v>6.99</v>
      </c>
      <c r="BE100" s="215">
        <f>IFERROR(INDEX('[1]Anexos FICHA TRA050'!$B$4:$B$7, MATCH(Tabla467824[[#This Row],[Columna4]], '[1]Anexos FICHA TRA050'!$C$4:$C$7, 0)), "")</f>
        <v>10</v>
      </c>
      <c r="BF100" s="215">
        <f>IFERROR(INDEX('[1]Anexos FICHA TRA050'!$C$14:$C$22, MATCH(Tabla467824[[#This Row],[Columna5]], '[1]Anexos FICHA TRA050'!$D$14:$D$22, 0)), "")</f>
        <v>17.920000000000002</v>
      </c>
      <c r="BG100" s="216">
        <f>IFERROR(INDEX('[1]Anexos FICHA TRA050'!$C$49:$C$54, MATCH(Tabla467824[[#This Row],[Columna5]], '[1]Anexos FICHA TRA050'!$D$49:$D$54, 0)), "")</f>
        <v>13073</v>
      </c>
      <c r="BH100" s="217">
        <f>+(((Tabla467824[[#This Row],[CVA2]]*Tabla467824[[#This Row],[f2]])-Tabla467824[[#This Row],[CVN2]])/100)*Tabla467824[[#This Row],[L2]]</f>
        <v>6795.3454000000002</v>
      </c>
      <c r="BI100" s="218"/>
      <c r="BJ100" s="218"/>
      <c r="BK100" s="218" t="str">
        <f>+IF(Tabla467824[[#This Row],[F]]=Tabla467824[[#This Row],[f2]], "IGUAL", "DISTINTO")</f>
        <v>IGUAL</v>
      </c>
      <c r="BL100" s="218" t="str">
        <f>+IF(Tabla467824[[#This Row],[CVN]]=Tabla467824[[#This Row],[CVN2]], "IGUAL", "DISTINTO")</f>
        <v>DISTINTO</v>
      </c>
      <c r="BM100" s="219" t="str">
        <f>+IF(Tabla467824[[#This Row],[L]]=Tabla467824[[#This Row],[L2]], "IGUAL", "DISTINTO")</f>
        <v>IGUAL</v>
      </c>
    </row>
    <row r="101" spans="1:65" x14ac:dyDescent="0.25">
      <c r="A101">
        <v>98</v>
      </c>
      <c r="B101" s="202" t="s">
        <v>763</v>
      </c>
      <c r="C101" s="203" t="s">
        <v>764</v>
      </c>
      <c r="D101" s="203" t="s">
        <v>70</v>
      </c>
      <c r="E101" s="203" t="s">
        <v>78</v>
      </c>
      <c r="F101" s="203" t="s">
        <v>78</v>
      </c>
      <c r="G101" s="203" t="s">
        <v>70</v>
      </c>
      <c r="H101" s="203" t="s">
        <v>72</v>
      </c>
      <c r="I101" s="203"/>
      <c r="J101" s="203" t="s">
        <v>72</v>
      </c>
      <c r="K101" s="203"/>
      <c r="L101" s="203" t="s">
        <v>249</v>
      </c>
      <c r="M101" s="203" t="s">
        <v>249</v>
      </c>
      <c r="N101" s="203"/>
      <c r="O101" s="203" t="s">
        <v>73</v>
      </c>
      <c r="P101" s="203" t="s">
        <v>74</v>
      </c>
      <c r="Q101" s="203" t="s">
        <v>75</v>
      </c>
      <c r="R101" s="203" t="s">
        <v>76</v>
      </c>
      <c r="S101" s="204">
        <v>45422</v>
      </c>
      <c r="T101" s="205">
        <v>45473</v>
      </c>
      <c r="U101" s="206">
        <v>51</v>
      </c>
      <c r="V101" s="207">
        <v>2024</v>
      </c>
      <c r="W101" s="203" t="s">
        <v>77</v>
      </c>
      <c r="X101" s="203" t="s">
        <v>78</v>
      </c>
      <c r="Y101" s="203" t="s">
        <v>85</v>
      </c>
      <c r="Z101" s="203" t="s">
        <v>758</v>
      </c>
      <c r="AA101" s="203" t="s">
        <v>308</v>
      </c>
      <c r="AB101" s="203" t="s">
        <v>309</v>
      </c>
      <c r="AC101" s="203" t="s">
        <v>312</v>
      </c>
      <c r="AD101" s="208">
        <v>2</v>
      </c>
      <c r="AE101" s="208" t="s">
        <v>765</v>
      </c>
      <c r="AF101" s="208" t="s">
        <v>85</v>
      </c>
      <c r="AG101" s="208" t="s">
        <v>86</v>
      </c>
      <c r="AH101" s="208" t="s">
        <v>87</v>
      </c>
      <c r="AI101" s="208" t="s">
        <v>310</v>
      </c>
      <c r="AJ101" s="205" t="s">
        <v>89</v>
      </c>
      <c r="AK101" s="204">
        <v>45649</v>
      </c>
      <c r="AL101" s="208">
        <v>0</v>
      </c>
      <c r="AM101" s="209" t="s">
        <v>308</v>
      </c>
      <c r="AN101" s="209" t="s">
        <v>72</v>
      </c>
      <c r="AO101" s="209" t="s">
        <v>309</v>
      </c>
      <c r="AP101" s="209"/>
      <c r="AQ101" s="209" t="s">
        <v>72</v>
      </c>
      <c r="AR101" s="209" t="s">
        <v>91</v>
      </c>
      <c r="AS101" s="209" t="s">
        <v>766</v>
      </c>
      <c r="AT101" s="210">
        <v>5.0999999999999996</v>
      </c>
      <c r="AU101" s="211">
        <v>10</v>
      </c>
      <c r="AV101" s="212">
        <v>17.3</v>
      </c>
      <c r="AW101" s="213">
        <v>13073</v>
      </c>
      <c r="AX101" s="213">
        <v>4405.6010000000006</v>
      </c>
      <c r="AY101" s="210" t="s">
        <v>70</v>
      </c>
      <c r="AZ101" s="209" t="s">
        <v>93</v>
      </c>
      <c r="BA101" s="214" t="str">
        <f>+IF(Tabla467824[[#This Row],[TIPO VEHÍCULO]]=Tabla467824[[#This Row],[Columna2]], "IGUAL", "DISTINTO")</f>
        <v>IGUAL</v>
      </c>
      <c r="BB101" s="214" t="str">
        <f>+IF(Tabla467824[[#This Row],[Columna4]]=Tabla467824[[#This Row],[Combustible2]], "IGUAL", "DISTINTO")</f>
        <v>IGUAL</v>
      </c>
      <c r="BC101" s="202" t="s">
        <v>763</v>
      </c>
      <c r="BD101" s="215" cm="1">
        <f t="array" ref="BD101">IFERROR(INDEX('[1]Anexos FICHA TRA050'!$D$27:$D$44, MATCH(Tabla467824[[#This Row],[Columna5]]&amp;Tabla467824[[#This Row],[Columna4]], '[1]Anexos FICHA TRA050'!$E$27:$E$44&amp;'[1]Anexos FICHA TRA050'!$F$27:$F$44, 0)), "")</f>
        <v>6.99</v>
      </c>
      <c r="BE101" s="215">
        <f>IFERROR(INDEX('[1]Anexos FICHA TRA050'!$B$4:$B$7, MATCH(Tabla467824[[#This Row],[Columna4]], '[1]Anexos FICHA TRA050'!$C$4:$C$7, 0)), "")</f>
        <v>10</v>
      </c>
      <c r="BF101" s="215">
        <f>IFERROR(INDEX('[1]Anexos FICHA TRA050'!$C$14:$C$22, MATCH(Tabla467824[[#This Row],[Columna5]], '[1]Anexos FICHA TRA050'!$D$14:$D$22, 0)), "")</f>
        <v>17.920000000000002</v>
      </c>
      <c r="BG101" s="216">
        <f>IFERROR(INDEX('[1]Anexos FICHA TRA050'!$C$49:$C$54, MATCH(Tabla467824[[#This Row],[Columna5]], '[1]Anexos FICHA TRA050'!$D$49:$D$54, 0)), "")</f>
        <v>13073</v>
      </c>
      <c r="BH101" s="217">
        <f>+(((Tabla467824[[#This Row],[CVA2]]*Tabla467824[[#This Row],[f2]])-Tabla467824[[#This Row],[CVN2]])/100)*Tabla467824[[#This Row],[L2]]</f>
        <v>6795.3454000000002</v>
      </c>
      <c r="BI101" s="218"/>
      <c r="BJ101" s="218"/>
      <c r="BK101" s="218" t="str">
        <f>+IF(Tabla467824[[#This Row],[F]]=Tabla467824[[#This Row],[f2]], "IGUAL", "DISTINTO")</f>
        <v>IGUAL</v>
      </c>
      <c r="BL101" s="218" t="str">
        <f>+IF(Tabla467824[[#This Row],[CVN]]=Tabla467824[[#This Row],[CVN2]], "IGUAL", "DISTINTO")</f>
        <v>DISTINTO</v>
      </c>
      <c r="BM101" s="219" t="str">
        <f>+IF(Tabla467824[[#This Row],[L]]=Tabla467824[[#This Row],[L2]], "IGUAL", "DISTINTO")</f>
        <v>IGUAL</v>
      </c>
    </row>
    <row r="102" spans="1:65" x14ac:dyDescent="0.25">
      <c r="A102">
        <v>99</v>
      </c>
      <c r="B102" s="202" t="s">
        <v>767</v>
      </c>
      <c r="C102" s="203" t="s">
        <v>768</v>
      </c>
      <c r="D102" s="203" t="s">
        <v>70</v>
      </c>
      <c r="E102" s="203" t="s">
        <v>78</v>
      </c>
      <c r="F102" s="203" t="s">
        <v>78</v>
      </c>
      <c r="G102" s="203" t="s">
        <v>70</v>
      </c>
      <c r="H102" s="203" t="s">
        <v>72</v>
      </c>
      <c r="I102" s="203"/>
      <c r="J102" s="203" t="s">
        <v>72</v>
      </c>
      <c r="K102" s="203"/>
      <c r="L102" s="203" t="s">
        <v>72</v>
      </c>
      <c r="M102" s="203" t="s">
        <v>72</v>
      </c>
      <c r="N102" s="203"/>
      <c r="O102" s="203" t="s">
        <v>73</v>
      </c>
      <c r="P102" s="203" t="s">
        <v>200</v>
      </c>
      <c r="Q102" s="203" t="s">
        <v>201</v>
      </c>
      <c r="R102" s="203" t="s">
        <v>76</v>
      </c>
      <c r="S102" s="209">
        <v>43819</v>
      </c>
      <c r="T102" s="205">
        <v>45280</v>
      </c>
      <c r="U102" s="206">
        <v>1461</v>
      </c>
      <c r="V102" s="207">
        <v>2023</v>
      </c>
      <c r="W102" s="203" t="s">
        <v>77</v>
      </c>
      <c r="X102" s="203" t="s">
        <v>78</v>
      </c>
      <c r="Y102" s="203" t="s">
        <v>359</v>
      </c>
      <c r="Z102" s="203" t="s">
        <v>769</v>
      </c>
      <c r="AA102" s="203" t="s">
        <v>119</v>
      </c>
      <c r="AB102" s="203" t="s">
        <v>120</v>
      </c>
      <c r="AC102" s="203" t="s">
        <v>770</v>
      </c>
      <c r="AD102" s="208">
        <v>17</v>
      </c>
      <c r="AE102" s="208" t="s">
        <v>771</v>
      </c>
      <c r="AF102" s="208" t="s">
        <v>140</v>
      </c>
      <c r="AG102" s="208" t="s">
        <v>151</v>
      </c>
      <c r="AH102" s="208" t="s">
        <v>87</v>
      </c>
      <c r="AI102" s="208" t="s">
        <v>501</v>
      </c>
      <c r="AJ102" s="205" t="s">
        <v>89</v>
      </c>
      <c r="AK102" s="204">
        <v>45622</v>
      </c>
      <c r="AL102" s="208">
        <v>1</v>
      </c>
      <c r="AM102" s="209" t="s">
        <v>119</v>
      </c>
      <c r="AN102" s="209" t="s">
        <v>772</v>
      </c>
      <c r="AO102" s="209" t="s">
        <v>120</v>
      </c>
      <c r="AP102" s="209"/>
      <c r="AQ102" s="209" t="s">
        <v>72</v>
      </c>
      <c r="AR102" s="209" t="s">
        <v>91</v>
      </c>
      <c r="AS102" s="209" t="s">
        <v>773</v>
      </c>
      <c r="AT102" s="210">
        <v>5.0999999999999996</v>
      </c>
      <c r="AU102" s="211">
        <v>10</v>
      </c>
      <c r="AV102" s="212">
        <v>16.399999999999999</v>
      </c>
      <c r="AW102" s="213">
        <v>13073</v>
      </c>
      <c r="AX102" s="213">
        <v>4523.2580000000007</v>
      </c>
      <c r="AY102" s="210" t="s">
        <v>70</v>
      </c>
      <c r="AZ102" s="209" t="s">
        <v>93</v>
      </c>
      <c r="BA102" s="214" t="str">
        <f>+IF(Tabla467824[[#This Row],[TIPO VEHÍCULO]]=Tabla467824[[#This Row],[Columna2]], "IGUAL", "DISTINTO")</f>
        <v>IGUAL</v>
      </c>
      <c r="BB102" s="214" t="str">
        <f>+IF(Tabla467824[[#This Row],[Columna4]]=Tabla467824[[#This Row],[Combustible2]], "IGUAL", "DISTINTO")</f>
        <v>IGUAL</v>
      </c>
      <c r="BC102" s="202" t="s">
        <v>767</v>
      </c>
      <c r="BD102" s="215" cm="1">
        <f t="array" ref="BD102">IFERROR(INDEX('[1]Anexos FICHA TRA050'!$D$27:$D$44, MATCH(Tabla467824[[#This Row],[Columna5]]&amp;Tabla467824[[#This Row],[Columna4]], '[1]Anexos FICHA TRA050'!$E$27:$E$44&amp;'[1]Anexos FICHA TRA050'!$F$27:$F$44, 0)), "")</f>
        <v>6.99</v>
      </c>
      <c r="BE102" s="215">
        <f>IFERROR(INDEX('[1]Anexos FICHA TRA050'!$B$4:$B$7, MATCH(Tabla467824[[#This Row],[Columna4]], '[1]Anexos FICHA TRA050'!$C$4:$C$7, 0)), "")</f>
        <v>10</v>
      </c>
      <c r="BF102" s="215">
        <f>IFERROR(INDEX('[1]Anexos FICHA TRA050'!$C$14:$C$22, MATCH(Tabla467824[[#This Row],[Columna5]], '[1]Anexos FICHA TRA050'!$D$14:$D$22, 0)), "")</f>
        <v>17.920000000000002</v>
      </c>
      <c r="BG102" s="216">
        <f>IFERROR(INDEX('[1]Anexos FICHA TRA050'!$C$49:$C$54, MATCH(Tabla467824[[#This Row],[Columna5]], '[1]Anexos FICHA TRA050'!$D$49:$D$54, 0)), "")</f>
        <v>13073</v>
      </c>
      <c r="BH102" s="217">
        <f>+(((Tabla467824[[#This Row],[CVA2]]*Tabla467824[[#This Row],[f2]])-Tabla467824[[#This Row],[CVN2]])/100)*Tabla467824[[#This Row],[L2]]</f>
        <v>6795.3454000000002</v>
      </c>
      <c r="BI102" s="218"/>
      <c r="BJ102" s="218"/>
      <c r="BK102" s="218" t="str">
        <f>+IF(Tabla467824[[#This Row],[F]]=Tabla467824[[#This Row],[f2]], "IGUAL", "DISTINTO")</f>
        <v>IGUAL</v>
      </c>
      <c r="BL102" s="218" t="str">
        <f>+IF(Tabla467824[[#This Row],[CVN]]=Tabla467824[[#This Row],[CVN2]], "IGUAL", "DISTINTO")</f>
        <v>DISTINTO</v>
      </c>
      <c r="BM102" s="219" t="str">
        <f>+IF(Tabla467824[[#This Row],[L]]=Tabla467824[[#This Row],[L2]], "IGUAL", "DISTINTO")</f>
        <v>IGUAL</v>
      </c>
    </row>
    <row r="103" spans="1:65" x14ac:dyDescent="0.25">
      <c r="A103">
        <v>100</v>
      </c>
      <c r="B103" s="202" t="s">
        <v>774</v>
      </c>
      <c r="C103" s="203" t="s">
        <v>775</v>
      </c>
      <c r="D103" s="203" t="s">
        <v>70</v>
      </c>
      <c r="E103" s="203" t="s">
        <v>78</v>
      </c>
      <c r="F103" s="203" t="s">
        <v>78</v>
      </c>
      <c r="G103" s="203" t="s">
        <v>70</v>
      </c>
      <c r="H103" s="203" t="s">
        <v>72</v>
      </c>
      <c r="I103" s="203"/>
      <c r="J103" s="203" t="s">
        <v>72</v>
      </c>
      <c r="K103" s="203"/>
      <c r="L103" s="203" t="s">
        <v>72</v>
      </c>
      <c r="M103" s="203" t="s">
        <v>72</v>
      </c>
      <c r="N103" s="203"/>
      <c r="O103" s="203" t="s">
        <v>73</v>
      </c>
      <c r="P103" s="203" t="s">
        <v>200</v>
      </c>
      <c r="Q103" s="203" t="s">
        <v>201</v>
      </c>
      <c r="R103" s="203" t="s">
        <v>76</v>
      </c>
      <c r="S103" s="209">
        <v>43819</v>
      </c>
      <c r="T103" s="205">
        <v>45646</v>
      </c>
      <c r="U103" s="206">
        <v>1827</v>
      </c>
      <c r="V103" s="207">
        <v>2024</v>
      </c>
      <c r="W103" s="203" t="s">
        <v>77</v>
      </c>
      <c r="X103" s="203" t="s">
        <v>78</v>
      </c>
      <c r="Y103" s="203" t="s">
        <v>359</v>
      </c>
      <c r="Z103" s="203" t="s">
        <v>769</v>
      </c>
      <c r="AA103" s="203" t="s">
        <v>119</v>
      </c>
      <c r="AB103" s="203" t="s">
        <v>120</v>
      </c>
      <c r="AC103" s="203" t="s">
        <v>776</v>
      </c>
      <c r="AD103" s="208">
        <v>18</v>
      </c>
      <c r="AE103" s="208" t="s">
        <v>777</v>
      </c>
      <c r="AF103" s="208" t="s">
        <v>140</v>
      </c>
      <c r="AG103" s="208" t="s">
        <v>151</v>
      </c>
      <c r="AH103" s="208" t="s">
        <v>87</v>
      </c>
      <c r="AI103" s="208" t="s">
        <v>258</v>
      </c>
      <c r="AJ103" s="205" t="s">
        <v>89</v>
      </c>
      <c r="AK103" s="204">
        <v>45625</v>
      </c>
      <c r="AL103" s="208">
        <v>0</v>
      </c>
      <c r="AM103" s="209" t="s">
        <v>119</v>
      </c>
      <c r="AN103" s="209" t="s">
        <v>778</v>
      </c>
      <c r="AO103" s="209" t="s">
        <v>120</v>
      </c>
      <c r="AP103" s="209"/>
      <c r="AQ103" s="209" t="s">
        <v>72</v>
      </c>
      <c r="AR103" s="209" t="s">
        <v>91</v>
      </c>
      <c r="AS103" s="209" t="s">
        <v>779</v>
      </c>
      <c r="AT103" s="210">
        <v>5.0999999999999996</v>
      </c>
      <c r="AU103" s="211">
        <v>10</v>
      </c>
      <c r="AV103" s="212">
        <v>16.399999999999999</v>
      </c>
      <c r="AW103" s="213">
        <v>13073</v>
      </c>
      <c r="AX103" s="213">
        <v>4523.2580000000007</v>
      </c>
      <c r="AY103" s="210" t="s">
        <v>70</v>
      </c>
      <c r="AZ103" s="209" t="s">
        <v>93</v>
      </c>
      <c r="BA103" s="214" t="str">
        <f>+IF(Tabla467824[[#This Row],[TIPO VEHÍCULO]]=Tabla467824[[#This Row],[Columna2]], "IGUAL", "DISTINTO")</f>
        <v>IGUAL</v>
      </c>
      <c r="BB103" s="214" t="str">
        <f>+IF(Tabla467824[[#This Row],[Columna4]]=Tabla467824[[#This Row],[Combustible2]], "IGUAL", "DISTINTO")</f>
        <v>IGUAL</v>
      </c>
      <c r="BC103" s="202" t="s">
        <v>774</v>
      </c>
      <c r="BD103" s="215" cm="1">
        <f t="array" ref="BD103">IFERROR(INDEX('[1]Anexos FICHA TRA050'!$D$27:$D$44, MATCH(Tabla467824[[#This Row],[Columna5]]&amp;Tabla467824[[#This Row],[Columna4]], '[1]Anexos FICHA TRA050'!$E$27:$E$44&amp;'[1]Anexos FICHA TRA050'!$F$27:$F$44, 0)), "")</f>
        <v>6.99</v>
      </c>
      <c r="BE103" s="215">
        <f>IFERROR(INDEX('[1]Anexos FICHA TRA050'!$B$4:$B$7, MATCH(Tabla467824[[#This Row],[Columna4]], '[1]Anexos FICHA TRA050'!$C$4:$C$7, 0)), "")</f>
        <v>10</v>
      </c>
      <c r="BF103" s="215">
        <f>IFERROR(INDEX('[1]Anexos FICHA TRA050'!$C$14:$C$22, MATCH(Tabla467824[[#This Row],[Columna5]], '[1]Anexos FICHA TRA050'!$D$14:$D$22, 0)), "")</f>
        <v>17.920000000000002</v>
      </c>
      <c r="BG103" s="216">
        <f>IFERROR(INDEX('[1]Anexos FICHA TRA050'!$C$49:$C$54, MATCH(Tabla467824[[#This Row],[Columna5]], '[1]Anexos FICHA TRA050'!$D$49:$D$54, 0)), "")</f>
        <v>13073</v>
      </c>
      <c r="BH103" s="217">
        <f>+(((Tabla467824[[#This Row],[CVA2]]*Tabla467824[[#This Row],[f2]])-Tabla467824[[#This Row],[CVN2]])/100)*Tabla467824[[#This Row],[L2]]</f>
        <v>6795.3454000000002</v>
      </c>
      <c r="BI103" s="218"/>
      <c r="BJ103" s="218"/>
      <c r="BK103" s="218" t="str">
        <f>+IF(Tabla467824[[#This Row],[F]]=Tabla467824[[#This Row],[f2]], "IGUAL", "DISTINTO")</f>
        <v>IGUAL</v>
      </c>
      <c r="BL103" s="218" t="str">
        <f>+IF(Tabla467824[[#This Row],[CVN]]=Tabla467824[[#This Row],[CVN2]], "IGUAL", "DISTINTO")</f>
        <v>DISTINTO</v>
      </c>
      <c r="BM103" s="219" t="str">
        <f>+IF(Tabla467824[[#This Row],[L]]=Tabla467824[[#This Row],[L2]], "IGUAL", "DISTINTO")</f>
        <v>IGUAL</v>
      </c>
    </row>
    <row r="104" spans="1:65" x14ac:dyDescent="0.25">
      <c r="A104">
        <v>101</v>
      </c>
      <c r="B104" s="202" t="s">
        <v>780</v>
      </c>
      <c r="C104" s="203" t="s">
        <v>781</v>
      </c>
      <c r="D104" s="203" t="s">
        <v>70</v>
      </c>
      <c r="E104" s="203" t="s">
        <v>78</v>
      </c>
      <c r="F104" s="203" t="s">
        <v>78</v>
      </c>
      <c r="G104" s="203" t="s">
        <v>70</v>
      </c>
      <c r="H104" s="203" t="s">
        <v>72</v>
      </c>
      <c r="I104" s="203" t="s">
        <v>72</v>
      </c>
      <c r="J104" s="203" t="s">
        <v>72</v>
      </c>
      <c r="K104" s="203"/>
      <c r="L104" s="203" t="s">
        <v>72</v>
      </c>
      <c r="M104" s="203" t="s">
        <v>72</v>
      </c>
      <c r="N104" s="203"/>
      <c r="O104" s="203" t="s">
        <v>73</v>
      </c>
      <c r="P104" s="203" t="s">
        <v>200</v>
      </c>
      <c r="Q104" s="203" t="s">
        <v>201</v>
      </c>
      <c r="R104" s="203" t="s">
        <v>76</v>
      </c>
      <c r="S104" s="209">
        <v>43803</v>
      </c>
      <c r="T104" s="205">
        <v>45287</v>
      </c>
      <c r="U104" s="206">
        <v>1484</v>
      </c>
      <c r="V104" s="207">
        <v>2023</v>
      </c>
      <c r="W104" s="203" t="s">
        <v>77</v>
      </c>
      <c r="X104" s="203" t="s">
        <v>78</v>
      </c>
      <c r="Y104" s="203" t="s">
        <v>359</v>
      </c>
      <c r="Z104" s="203" t="s">
        <v>769</v>
      </c>
      <c r="AA104" s="203" t="s">
        <v>102</v>
      </c>
      <c r="AB104" s="203" t="s">
        <v>103</v>
      </c>
      <c r="AC104" s="203" t="s">
        <v>782</v>
      </c>
      <c r="AD104" s="208">
        <v>33</v>
      </c>
      <c r="AE104" s="208" t="s">
        <v>783</v>
      </c>
      <c r="AF104" s="208" t="s">
        <v>85</v>
      </c>
      <c r="AG104" s="208" t="s">
        <v>114</v>
      </c>
      <c r="AH104" s="208" t="s">
        <v>87</v>
      </c>
      <c r="AI104" s="208" t="s">
        <v>457</v>
      </c>
      <c r="AJ104" s="205" t="s">
        <v>108</v>
      </c>
      <c r="AK104" s="204">
        <v>45135</v>
      </c>
      <c r="AL104" s="208">
        <v>0</v>
      </c>
      <c r="AM104" s="209" t="s">
        <v>102</v>
      </c>
      <c r="AN104" s="210">
        <v>4500370370</v>
      </c>
      <c r="AO104" s="209" t="s">
        <v>103</v>
      </c>
      <c r="AP104" s="209"/>
      <c r="AQ104" s="209" t="s">
        <v>72</v>
      </c>
      <c r="AR104" s="209" t="s">
        <v>109</v>
      </c>
      <c r="AS104" s="209" t="s">
        <v>784</v>
      </c>
      <c r="AT104" s="210">
        <v>5.0999999999999996</v>
      </c>
      <c r="AU104" s="211">
        <v>10</v>
      </c>
      <c r="AV104" s="212">
        <v>17.3</v>
      </c>
      <c r="AW104" s="213">
        <v>13073</v>
      </c>
      <c r="AX104" s="213">
        <v>4405.6010000000006</v>
      </c>
      <c r="AY104" s="210" t="s">
        <v>70</v>
      </c>
      <c r="AZ104" s="209" t="s">
        <v>93</v>
      </c>
      <c r="BA104" s="214" t="str">
        <f>+IF(Tabla467824[[#This Row],[TIPO VEHÍCULO]]=Tabla467824[[#This Row],[Columna2]], "IGUAL", "DISTINTO")</f>
        <v>IGUAL</v>
      </c>
      <c r="BB104" s="214" t="str">
        <f>+IF(Tabla467824[[#This Row],[Columna4]]=Tabla467824[[#This Row],[Combustible2]], "IGUAL", "DISTINTO")</f>
        <v>IGUAL</v>
      </c>
      <c r="BC104" s="202" t="s">
        <v>780</v>
      </c>
      <c r="BD104" s="215" cm="1">
        <f t="array" ref="BD104">IFERROR(INDEX('[1]Anexos FICHA TRA050'!$D$27:$D$44, MATCH(Tabla467824[[#This Row],[Columna5]]&amp;Tabla467824[[#This Row],[Columna4]], '[1]Anexos FICHA TRA050'!$E$27:$E$44&amp;'[1]Anexos FICHA TRA050'!$F$27:$F$44, 0)), "")</f>
        <v>6.99</v>
      </c>
      <c r="BE104" s="215">
        <f>IFERROR(INDEX('[1]Anexos FICHA TRA050'!$B$4:$B$7, MATCH(Tabla467824[[#This Row],[Columna4]], '[1]Anexos FICHA TRA050'!$C$4:$C$7, 0)), "")</f>
        <v>10</v>
      </c>
      <c r="BF104" s="215">
        <f>IFERROR(INDEX('[1]Anexos FICHA TRA050'!$C$14:$C$22, MATCH(Tabla467824[[#This Row],[Columna5]], '[1]Anexos FICHA TRA050'!$D$14:$D$22, 0)), "")</f>
        <v>17.920000000000002</v>
      </c>
      <c r="BG104" s="216">
        <f>IFERROR(INDEX('[1]Anexos FICHA TRA050'!$C$49:$C$54, MATCH(Tabla467824[[#This Row],[Columna5]], '[1]Anexos FICHA TRA050'!$D$49:$D$54, 0)), "")</f>
        <v>13073</v>
      </c>
      <c r="BH104" s="217">
        <f>+(((Tabla467824[[#This Row],[CVA2]]*Tabla467824[[#This Row],[f2]])-Tabla467824[[#This Row],[CVN2]])/100)*Tabla467824[[#This Row],[L2]]</f>
        <v>6795.3454000000002</v>
      </c>
      <c r="BI104" s="218"/>
      <c r="BJ104" s="218"/>
      <c r="BK104" s="218" t="str">
        <f>+IF(Tabla467824[[#This Row],[F]]=Tabla467824[[#This Row],[f2]], "IGUAL", "DISTINTO")</f>
        <v>IGUAL</v>
      </c>
      <c r="BL104" s="218" t="str">
        <f>+IF(Tabla467824[[#This Row],[CVN]]=Tabla467824[[#This Row],[CVN2]], "IGUAL", "DISTINTO")</f>
        <v>DISTINTO</v>
      </c>
      <c r="BM104" s="219" t="str">
        <f>+IF(Tabla467824[[#This Row],[L]]=Tabla467824[[#This Row],[L2]], "IGUAL", "DISTINTO")</f>
        <v>IGUAL</v>
      </c>
    </row>
    <row r="105" spans="1:65" x14ac:dyDescent="0.25">
      <c r="A105">
        <v>102</v>
      </c>
      <c r="B105" s="202" t="s">
        <v>785</v>
      </c>
      <c r="C105" s="203" t="s">
        <v>786</v>
      </c>
      <c r="D105" s="203" t="s">
        <v>128</v>
      </c>
      <c r="E105" s="203" t="s">
        <v>78</v>
      </c>
      <c r="F105" s="203" t="s">
        <v>78</v>
      </c>
      <c r="G105" s="203" t="s">
        <v>128</v>
      </c>
      <c r="H105" s="203" t="s">
        <v>72</v>
      </c>
      <c r="I105" s="203" t="s">
        <v>72</v>
      </c>
      <c r="J105" s="203" t="s">
        <v>72</v>
      </c>
      <c r="K105" s="203"/>
      <c r="L105" s="203" t="s">
        <v>249</v>
      </c>
      <c r="M105" s="203" t="s">
        <v>249</v>
      </c>
      <c r="N105" s="203"/>
      <c r="O105" s="203" t="s">
        <v>725</v>
      </c>
      <c r="P105" s="203" t="s">
        <v>74</v>
      </c>
      <c r="Q105" s="203" t="s">
        <v>75</v>
      </c>
      <c r="R105" s="203" t="s">
        <v>76</v>
      </c>
      <c r="S105" s="204">
        <v>44958</v>
      </c>
      <c r="T105" s="205">
        <v>45188</v>
      </c>
      <c r="U105" s="206">
        <v>230</v>
      </c>
      <c r="V105" s="207">
        <v>2023</v>
      </c>
      <c r="W105" s="203" t="s">
        <v>77</v>
      </c>
      <c r="X105" s="203" t="s">
        <v>78</v>
      </c>
      <c r="Y105" s="203" t="s">
        <v>380</v>
      </c>
      <c r="Z105" s="203" t="s">
        <v>787</v>
      </c>
      <c r="AA105" s="203" t="s">
        <v>102</v>
      </c>
      <c r="AB105" s="203" t="s">
        <v>103</v>
      </c>
      <c r="AC105" s="203" t="s">
        <v>440</v>
      </c>
      <c r="AD105" s="208">
        <v>34</v>
      </c>
      <c r="AE105" s="208" t="s">
        <v>788</v>
      </c>
      <c r="AF105" s="208" t="s">
        <v>85</v>
      </c>
      <c r="AG105" s="208" t="s">
        <v>114</v>
      </c>
      <c r="AH105" s="208" t="s">
        <v>87</v>
      </c>
      <c r="AI105" s="208" t="s">
        <v>567</v>
      </c>
      <c r="AJ105" s="205" t="s">
        <v>108</v>
      </c>
      <c r="AK105" s="204">
        <v>44922</v>
      </c>
      <c r="AL105" s="208">
        <v>0</v>
      </c>
      <c r="AM105" s="209" t="s">
        <v>102</v>
      </c>
      <c r="AN105" s="210">
        <v>4500348765</v>
      </c>
      <c r="AO105" s="209" t="s">
        <v>103</v>
      </c>
      <c r="AP105" s="209"/>
      <c r="AQ105" s="209" t="s">
        <v>72</v>
      </c>
      <c r="AR105" s="209" t="s">
        <v>109</v>
      </c>
      <c r="AS105" s="209" t="s">
        <v>789</v>
      </c>
      <c r="AT105" s="210">
        <v>5.6</v>
      </c>
      <c r="AU105" s="211">
        <v>10</v>
      </c>
      <c r="AV105" s="212">
        <v>17.3</v>
      </c>
      <c r="AW105" s="213">
        <v>15815</v>
      </c>
      <c r="AX105" s="213">
        <v>6120.4049999999997</v>
      </c>
      <c r="AY105" s="210" t="s">
        <v>128</v>
      </c>
      <c r="AZ105" s="209" t="s">
        <v>93</v>
      </c>
      <c r="BA105" s="214" t="str">
        <f>+IF(Tabla467824[[#This Row],[TIPO VEHÍCULO]]=Tabla467824[[#This Row],[Columna2]], "IGUAL", "DISTINTO")</f>
        <v>IGUAL</v>
      </c>
      <c r="BB105" s="214" t="str">
        <f>+IF(Tabla467824[[#This Row],[Columna4]]=Tabla467824[[#This Row],[Combustible2]], "IGUAL", "DISTINTO")</f>
        <v>IGUAL</v>
      </c>
      <c r="BC105" s="202" t="s">
        <v>785</v>
      </c>
      <c r="BD105" s="215" cm="1">
        <f t="array" ref="BD105">IFERROR(INDEX('[1]Anexos FICHA TRA050'!$D$27:$D$44, MATCH(Tabla467824[[#This Row],[Columna5]]&amp;Tabla467824[[#This Row],[Columna4]], '[1]Anexos FICHA TRA050'!$E$27:$E$44&amp;'[1]Anexos FICHA TRA050'!$F$27:$F$44, 0)), "")</f>
        <v>5.63</v>
      </c>
      <c r="BE105" s="215">
        <f>IFERROR(INDEX('[1]Anexos FICHA TRA050'!$B$4:$B$7, MATCH(Tabla467824[[#This Row],[Columna4]], '[1]Anexos FICHA TRA050'!$C$4:$C$7, 0)), "")</f>
        <v>10</v>
      </c>
      <c r="BF105" s="215">
        <f>IFERROR(INDEX('[1]Anexos FICHA TRA050'!$C$14:$C$22, MATCH(Tabla467824[[#This Row],[Columna5]], '[1]Anexos FICHA TRA050'!$D$14:$D$22, 0)), "")</f>
        <v>20.84</v>
      </c>
      <c r="BG105" s="216">
        <f>IFERROR(INDEX('[1]Anexos FICHA TRA050'!$C$49:$C$54, MATCH(Tabla467824[[#This Row],[Columna5]], '[1]Anexos FICHA TRA050'!$D$49:$D$54, 0)), "")</f>
        <v>15815</v>
      </c>
      <c r="BH105" s="217">
        <f>+(((Tabla467824[[#This Row],[CVA2]]*Tabla467824[[#This Row],[f2]])-Tabla467824[[#This Row],[CVN2]])/100)*Tabla467824[[#This Row],[L2]]</f>
        <v>5607.9989999999989</v>
      </c>
      <c r="BI105" s="218"/>
      <c r="BJ105" s="218"/>
      <c r="BK105" s="218" t="str">
        <f>+IF(Tabla467824[[#This Row],[F]]=Tabla467824[[#This Row],[f2]], "IGUAL", "DISTINTO")</f>
        <v>IGUAL</v>
      </c>
      <c r="BL105" s="218" t="str">
        <f>+IF(Tabla467824[[#This Row],[CVN]]=Tabla467824[[#This Row],[CVN2]], "IGUAL", "DISTINTO")</f>
        <v>DISTINTO</v>
      </c>
      <c r="BM105" s="219" t="str">
        <f>+IF(Tabla467824[[#This Row],[L]]=Tabla467824[[#This Row],[L2]], "IGUAL", "DISTINTO")</f>
        <v>IGUAL</v>
      </c>
    </row>
    <row r="106" spans="1:65" x14ac:dyDescent="0.25">
      <c r="A106">
        <v>103</v>
      </c>
      <c r="B106" s="202" t="s">
        <v>790</v>
      </c>
      <c r="C106" s="203" t="s">
        <v>791</v>
      </c>
      <c r="D106" s="203" t="s">
        <v>128</v>
      </c>
      <c r="E106" s="203" t="s">
        <v>78</v>
      </c>
      <c r="F106" s="203" t="s">
        <v>78</v>
      </c>
      <c r="G106" s="203" t="s">
        <v>128</v>
      </c>
      <c r="H106" s="203"/>
      <c r="I106" s="203"/>
      <c r="J106" s="203"/>
      <c r="K106" s="203" t="s">
        <v>72</v>
      </c>
      <c r="L106" s="203" t="s">
        <v>72</v>
      </c>
      <c r="M106" s="203" t="s">
        <v>72</v>
      </c>
      <c r="N106" s="203" t="s">
        <v>72</v>
      </c>
      <c r="O106" s="203" t="s">
        <v>158</v>
      </c>
      <c r="P106" s="203" t="s">
        <v>159</v>
      </c>
      <c r="Q106" s="203" t="s">
        <v>158</v>
      </c>
      <c r="R106" s="203" t="s">
        <v>171</v>
      </c>
      <c r="S106" s="204">
        <v>41638</v>
      </c>
      <c r="T106" s="205">
        <v>44971</v>
      </c>
      <c r="U106" s="206">
        <v>3333</v>
      </c>
      <c r="V106" s="207">
        <v>2023</v>
      </c>
      <c r="W106" s="203" t="s">
        <v>172</v>
      </c>
      <c r="X106" s="203" t="s">
        <v>78</v>
      </c>
      <c r="Y106" s="203" t="s">
        <v>380</v>
      </c>
      <c r="Z106" s="203" t="s">
        <v>792</v>
      </c>
      <c r="AA106" s="203" t="s">
        <v>131</v>
      </c>
      <c r="AB106" s="203" t="s">
        <v>132</v>
      </c>
      <c r="AC106" s="203" t="s">
        <v>793</v>
      </c>
      <c r="AD106" s="208">
        <v>10</v>
      </c>
      <c r="AE106" s="208" t="s">
        <v>794</v>
      </c>
      <c r="AF106" s="208" t="s">
        <v>140</v>
      </c>
      <c r="AG106" s="208" t="s">
        <v>151</v>
      </c>
      <c r="AH106" s="208" t="s">
        <v>87</v>
      </c>
      <c r="AI106" s="208" t="s">
        <v>622</v>
      </c>
      <c r="AJ106" s="205" t="s">
        <v>89</v>
      </c>
      <c r="AK106" s="204">
        <v>45625</v>
      </c>
      <c r="AL106" s="208">
        <v>1</v>
      </c>
      <c r="AM106" s="209" t="s">
        <v>131</v>
      </c>
      <c r="AN106" s="209" t="s">
        <v>795</v>
      </c>
      <c r="AO106" s="209" t="s">
        <v>132</v>
      </c>
      <c r="AP106" s="209"/>
      <c r="AQ106" s="209" t="s">
        <v>72</v>
      </c>
      <c r="AR106" s="209" t="s">
        <v>91</v>
      </c>
      <c r="AS106" s="209" t="s">
        <v>796</v>
      </c>
      <c r="AT106" s="210">
        <v>5.6</v>
      </c>
      <c r="AU106" s="211">
        <v>10</v>
      </c>
      <c r="AV106" s="212">
        <v>16.399999999999999</v>
      </c>
      <c r="AW106" s="213">
        <v>15815</v>
      </c>
      <c r="AX106" s="213">
        <v>6262.7400000000007</v>
      </c>
      <c r="AY106" s="210" t="s">
        <v>128</v>
      </c>
      <c r="AZ106" s="209" t="s">
        <v>168</v>
      </c>
      <c r="BA106" s="214" t="str">
        <f>+IF(Tabla467824[[#This Row],[TIPO VEHÍCULO]]=Tabla467824[[#This Row],[Columna2]], "IGUAL", "DISTINTO")</f>
        <v>IGUAL</v>
      </c>
      <c r="BB106" s="214" t="str">
        <f>+IF(Tabla467824[[#This Row],[Columna4]]=Tabla467824[[#This Row],[Combustible2]], "IGUAL", "DISTINTO")</f>
        <v>IGUAL</v>
      </c>
      <c r="BC106" s="202" t="s">
        <v>790</v>
      </c>
      <c r="BD106" s="215" cm="1">
        <f t="array" ref="BD106">IFERROR(INDEX('[1]Anexos FICHA TRA050'!$D$27:$D$44, MATCH(Tabla467824[[#This Row],[Columna5]]&amp;Tabla467824[[#This Row],[Columna4]], '[1]Anexos FICHA TRA050'!$E$27:$E$44&amp;'[1]Anexos FICHA TRA050'!$F$27:$F$44, 0)), "")</f>
        <v>5.63</v>
      </c>
      <c r="BE106" s="215">
        <f>IFERROR(INDEX('[1]Anexos FICHA TRA050'!$B$4:$B$7, MATCH(Tabla467824[[#This Row],[Columna4]], '[1]Anexos FICHA TRA050'!$C$4:$C$7, 0)), "")</f>
        <v>10</v>
      </c>
      <c r="BF106" s="215">
        <f>IFERROR(INDEX('[1]Anexos FICHA TRA050'!$C$14:$C$22, MATCH(Tabla467824[[#This Row],[Columna5]], '[1]Anexos FICHA TRA050'!$D$14:$D$22, 0)), "")</f>
        <v>20.84</v>
      </c>
      <c r="BG106" s="216">
        <f>IFERROR(INDEX('[1]Anexos FICHA TRA050'!$C$49:$C$54, MATCH(Tabla467824[[#This Row],[Columna5]], '[1]Anexos FICHA TRA050'!$D$49:$D$54, 0)), "")</f>
        <v>15815</v>
      </c>
      <c r="BH106" s="217">
        <f>+(((Tabla467824[[#This Row],[CVA2]]*Tabla467824[[#This Row],[f2]])-Tabla467824[[#This Row],[CVN2]])/100)*Tabla467824[[#This Row],[L2]]</f>
        <v>5607.9989999999989</v>
      </c>
      <c r="BI106" s="218"/>
      <c r="BJ106" s="218"/>
      <c r="BK106" s="218" t="str">
        <f>+IF(Tabla467824[[#This Row],[F]]=Tabla467824[[#This Row],[f2]], "IGUAL", "DISTINTO")</f>
        <v>IGUAL</v>
      </c>
      <c r="BL106" s="218" t="str">
        <f>+IF(Tabla467824[[#This Row],[CVN]]=Tabla467824[[#This Row],[CVN2]], "IGUAL", "DISTINTO")</f>
        <v>DISTINTO</v>
      </c>
      <c r="BM106" s="219" t="str">
        <f>+IF(Tabla467824[[#This Row],[L]]=Tabla467824[[#This Row],[L2]], "IGUAL", "DISTINTO")</f>
        <v>IGUAL</v>
      </c>
    </row>
    <row r="107" spans="1:65" x14ac:dyDescent="0.25">
      <c r="A107">
        <v>104</v>
      </c>
      <c r="B107" s="202" t="s">
        <v>797</v>
      </c>
      <c r="C107" s="203" t="s">
        <v>798</v>
      </c>
      <c r="D107" s="203" t="s">
        <v>128</v>
      </c>
      <c r="E107" s="203" t="s">
        <v>78</v>
      </c>
      <c r="F107" s="203" t="s">
        <v>78</v>
      </c>
      <c r="G107" s="203" t="s">
        <v>128</v>
      </c>
      <c r="H107" s="203" t="s">
        <v>72</v>
      </c>
      <c r="I107" s="203" t="s">
        <v>72</v>
      </c>
      <c r="J107" s="203" t="s">
        <v>72</v>
      </c>
      <c r="K107" s="203"/>
      <c r="L107" s="203" t="s">
        <v>249</v>
      </c>
      <c r="M107" s="203" t="s">
        <v>249</v>
      </c>
      <c r="N107" s="203"/>
      <c r="O107" s="203" t="s">
        <v>725</v>
      </c>
      <c r="P107" s="203" t="s">
        <v>74</v>
      </c>
      <c r="Q107" s="203" t="s">
        <v>75</v>
      </c>
      <c r="R107" s="203" t="s">
        <v>76</v>
      </c>
      <c r="S107" s="204">
        <v>45017</v>
      </c>
      <c r="T107" s="205">
        <v>45188</v>
      </c>
      <c r="U107" s="206">
        <v>171</v>
      </c>
      <c r="V107" s="207">
        <v>2023</v>
      </c>
      <c r="W107" s="203" t="s">
        <v>77</v>
      </c>
      <c r="X107" s="203" t="s">
        <v>78</v>
      </c>
      <c r="Y107" s="203" t="s">
        <v>380</v>
      </c>
      <c r="Z107" s="203" t="s">
        <v>799</v>
      </c>
      <c r="AA107" s="203" t="s">
        <v>102</v>
      </c>
      <c r="AB107" s="203" t="s">
        <v>103</v>
      </c>
      <c r="AC107" s="203" t="s">
        <v>440</v>
      </c>
      <c r="AD107" s="208">
        <v>35</v>
      </c>
      <c r="AE107" s="208" t="s">
        <v>800</v>
      </c>
      <c r="AF107" s="208" t="s">
        <v>85</v>
      </c>
      <c r="AG107" s="208" t="s">
        <v>340</v>
      </c>
      <c r="AH107" s="208" t="s">
        <v>87</v>
      </c>
      <c r="AI107" s="208" t="s">
        <v>562</v>
      </c>
      <c r="AJ107" s="205" t="s">
        <v>108</v>
      </c>
      <c r="AK107" s="204">
        <v>43018</v>
      </c>
      <c r="AL107" s="208">
        <v>0</v>
      </c>
      <c r="AM107" s="209" t="s">
        <v>102</v>
      </c>
      <c r="AN107" s="210">
        <v>4500350425</v>
      </c>
      <c r="AO107" s="209" t="s">
        <v>103</v>
      </c>
      <c r="AP107" s="209"/>
      <c r="AQ107" s="209" t="s">
        <v>72</v>
      </c>
      <c r="AR107" s="209" t="s">
        <v>109</v>
      </c>
      <c r="AS107" s="209" t="s">
        <v>801</v>
      </c>
      <c r="AT107" s="210">
        <v>5.6</v>
      </c>
      <c r="AU107" s="211">
        <v>10</v>
      </c>
      <c r="AV107" s="212">
        <v>13.3</v>
      </c>
      <c r="AW107" s="213">
        <v>15815</v>
      </c>
      <c r="AX107" s="213">
        <v>6753.005000000001</v>
      </c>
      <c r="AY107" s="210" t="s">
        <v>128</v>
      </c>
      <c r="AZ107" s="209" t="s">
        <v>93</v>
      </c>
      <c r="BA107" s="214" t="str">
        <f>+IF(Tabla467824[[#This Row],[TIPO VEHÍCULO]]=Tabla467824[[#This Row],[Columna2]], "IGUAL", "DISTINTO")</f>
        <v>IGUAL</v>
      </c>
      <c r="BB107" s="214" t="str">
        <f>+IF(Tabla467824[[#This Row],[Columna4]]=Tabla467824[[#This Row],[Combustible2]], "IGUAL", "DISTINTO")</f>
        <v>IGUAL</v>
      </c>
      <c r="BC107" s="202" t="s">
        <v>797</v>
      </c>
      <c r="BD107" s="215" cm="1">
        <f t="array" ref="BD107">IFERROR(INDEX('[1]Anexos FICHA TRA050'!$D$27:$D$44, MATCH(Tabla467824[[#This Row],[Columna5]]&amp;Tabla467824[[#This Row],[Columna4]], '[1]Anexos FICHA TRA050'!$E$27:$E$44&amp;'[1]Anexos FICHA TRA050'!$F$27:$F$44, 0)), "")</f>
        <v>5.63</v>
      </c>
      <c r="BE107" s="215">
        <f>IFERROR(INDEX('[1]Anexos FICHA TRA050'!$B$4:$B$7, MATCH(Tabla467824[[#This Row],[Columna4]], '[1]Anexos FICHA TRA050'!$C$4:$C$7, 0)), "")</f>
        <v>10</v>
      </c>
      <c r="BF107" s="215">
        <f>IFERROR(INDEX('[1]Anexos FICHA TRA050'!$C$14:$C$22, MATCH(Tabla467824[[#This Row],[Columna5]], '[1]Anexos FICHA TRA050'!$D$14:$D$22, 0)), "")</f>
        <v>20.84</v>
      </c>
      <c r="BG107" s="216">
        <f>IFERROR(INDEX('[1]Anexos FICHA TRA050'!$C$49:$C$54, MATCH(Tabla467824[[#This Row],[Columna5]], '[1]Anexos FICHA TRA050'!$D$49:$D$54, 0)), "")</f>
        <v>15815</v>
      </c>
      <c r="BH107" s="217">
        <f>+(((Tabla467824[[#This Row],[CVA2]]*Tabla467824[[#This Row],[f2]])-Tabla467824[[#This Row],[CVN2]])/100)*Tabla467824[[#This Row],[L2]]</f>
        <v>5607.9989999999989</v>
      </c>
      <c r="BI107" s="218"/>
      <c r="BJ107" s="218"/>
      <c r="BK107" s="218" t="str">
        <f>+IF(Tabla467824[[#This Row],[F]]=Tabla467824[[#This Row],[f2]], "IGUAL", "DISTINTO")</f>
        <v>IGUAL</v>
      </c>
      <c r="BL107" s="218" t="str">
        <f>+IF(Tabla467824[[#This Row],[CVN]]=Tabla467824[[#This Row],[CVN2]], "IGUAL", "DISTINTO")</f>
        <v>DISTINTO</v>
      </c>
      <c r="BM107" s="219" t="str">
        <f>+IF(Tabla467824[[#This Row],[L]]=Tabla467824[[#This Row],[L2]], "IGUAL", "DISTINTO")</f>
        <v>IGUAL</v>
      </c>
    </row>
    <row r="108" spans="1:65" x14ac:dyDescent="0.25">
      <c r="A108">
        <v>105</v>
      </c>
      <c r="B108" s="202" t="s">
        <v>802</v>
      </c>
      <c r="C108" s="203" t="s">
        <v>803</v>
      </c>
      <c r="D108" s="203" t="s">
        <v>70</v>
      </c>
      <c r="E108" s="203" t="s">
        <v>78</v>
      </c>
      <c r="F108" s="203" t="s">
        <v>78</v>
      </c>
      <c r="G108" s="203" t="s">
        <v>70</v>
      </c>
      <c r="H108" s="203" t="s">
        <v>72</v>
      </c>
      <c r="I108" s="203" t="s">
        <v>72</v>
      </c>
      <c r="J108" s="203" t="s">
        <v>72</v>
      </c>
      <c r="K108" s="203"/>
      <c r="L108" s="203" t="s">
        <v>72</v>
      </c>
      <c r="M108" s="203" t="s">
        <v>72</v>
      </c>
      <c r="N108" s="203"/>
      <c r="O108" s="203" t="s">
        <v>73</v>
      </c>
      <c r="P108" s="203" t="s">
        <v>200</v>
      </c>
      <c r="Q108" s="203" t="s">
        <v>201</v>
      </c>
      <c r="R108" s="203" t="s">
        <v>76</v>
      </c>
      <c r="S108" s="209">
        <v>44244</v>
      </c>
      <c r="T108" s="239">
        <v>45705</v>
      </c>
      <c r="U108" s="240">
        <v>1461</v>
      </c>
      <c r="V108" s="241">
        <v>2025</v>
      </c>
      <c r="W108" s="203" t="s">
        <v>77</v>
      </c>
      <c r="X108" s="203" t="s">
        <v>78</v>
      </c>
      <c r="Y108" s="203" t="s">
        <v>85</v>
      </c>
      <c r="Z108" s="203" t="s">
        <v>804</v>
      </c>
      <c r="AA108" s="203" t="s">
        <v>336</v>
      </c>
      <c r="AB108" s="203" t="s">
        <v>337</v>
      </c>
      <c r="AC108" s="203" t="s">
        <v>805</v>
      </c>
      <c r="AD108" s="208">
        <v>8</v>
      </c>
      <c r="AE108" s="208" t="s">
        <v>806</v>
      </c>
      <c r="AF108" s="208" t="s">
        <v>140</v>
      </c>
      <c r="AG108" s="208" t="s">
        <v>151</v>
      </c>
      <c r="AH108" s="208" t="s">
        <v>87</v>
      </c>
      <c r="AI108" s="208" t="s">
        <v>807</v>
      </c>
      <c r="AJ108" s="205" t="s">
        <v>89</v>
      </c>
      <c r="AK108" s="204">
        <v>45625</v>
      </c>
      <c r="AL108" s="208">
        <v>-1</v>
      </c>
      <c r="AM108" s="209" t="s">
        <v>336</v>
      </c>
      <c r="AN108" s="209" t="s">
        <v>808</v>
      </c>
      <c r="AO108" s="209" t="s">
        <v>337</v>
      </c>
      <c r="AP108" s="209"/>
      <c r="AQ108" s="209" t="s">
        <v>72</v>
      </c>
      <c r="AR108" s="209" t="s">
        <v>91</v>
      </c>
      <c r="AS108" s="209" t="s">
        <v>809</v>
      </c>
      <c r="AT108" s="210">
        <v>5.6</v>
      </c>
      <c r="AU108" s="211">
        <v>10</v>
      </c>
      <c r="AV108" s="212">
        <v>16.399999999999999</v>
      </c>
      <c r="AW108" s="213">
        <v>15815</v>
      </c>
      <c r="AX108" s="213">
        <v>6262.7400000000007</v>
      </c>
      <c r="AY108" s="210" t="s">
        <v>128</v>
      </c>
      <c r="AZ108" s="209" t="s">
        <v>93</v>
      </c>
      <c r="BA108" s="214" t="str">
        <f>+IF(Tabla467824[[#This Row],[TIPO VEHÍCULO]]=Tabla467824[[#This Row],[Columna2]], "IGUAL", "DISTINTO")</f>
        <v>DISTINTO</v>
      </c>
      <c r="BB108" s="214" t="str">
        <f>+IF(Tabla467824[[#This Row],[Columna4]]=Tabla467824[[#This Row],[Combustible2]], "IGUAL", "DISTINTO")</f>
        <v>IGUAL</v>
      </c>
      <c r="BC108" s="202" t="s">
        <v>802</v>
      </c>
      <c r="BD108" s="242" cm="1">
        <f t="array" ref="BD108">IFERROR(INDEX('[1]Anexos FICHA TRA050'!$D$27:$D$44, MATCH(Tabla467824[[#This Row],[Columna5]]&amp;Tabla467824[[#This Row],[Columna4]], '[1]Anexos FICHA TRA050'!$E$27:$E$44&amp;'[1]Anexos FICHA TRA050'!$F$27:$F$44, 0)), "")</f>
        <v>6.99</v>
      </c>
      <c r="BE108" s="242">
        <f>IFERROR(INDEX('[1]Anexos FICHA TRA050'!$B$4:$B$7, MATCH(Tabla467824[[#This Row],[Columna4]], '[1]Anexos FICHA TRA050'!$C$4:$C$7, 0)), "")</f>
        <v>10</v>
      </c>
      <c r="BF108" s="242">
        <f>IFERROR(INDEX('[1]Anexos FICHA TRA050'!$C$14:$C$22, MATCH(Tabla467824[[#This Row],[Columna5]], '[1]Anexos FICHA TRA050'!$D$14:$D$22, 0)), "")</f>
        <v>17.920000000000002</v>
      </c>
      <c r="BG108" s="243">
        <f>IFERROR(INDEX('[1]Anexos FICHA TRA050'!$C$49:$C$54, MATCH(Tabla467824[[#This Row],[Columna5]], '[1]Anexos FICHA TRA050'!$D$49:$D$54, 0)), "")</f>
        <v>13073</v>
      </c>
      <c r="BH108" s="244">
        <f>+(((Tabla467824[[#This Row],[CVA2]]*Tabla467824[[#This Row],[f2]])-Tabla467824[[#This Row],[CVN2]])/100)*Tabla467824[[#This Row],[L2]]</f>
        <v>6795.3454000000002</v>
      </c>
      <c r="BI108" s="218" t="s">
        <v>512</v>
      </c>
      <c r="BJ108" s="218"/>
      <c r="BK108" s="218" t="str">
        <f>+IF(Tabla467824[[#This Row],[F]]=Tabla467824[[#This Row],[f2]], "IGUAL", "DISTINTO")</f>
        <v>IGUAL</v>
      </c>
      <c r="BL108" s="209" t="str">
        <f>+IF(Tabla467824[[#This Row],[CVN]]=Tabla467824[[#This Row],[CVN2]], "IGUAL", "DISTINTO")</f>
        <v>DISTINTO</v>
      </c>
      <c r="BM108" s="245" t="str">
        <f>+IF(Tabla467824[[#This Row],[L]]=Tabla467824[[#This Row],[L2]], "IGUAL", "DISTINTO")</f>
        <v>DISTINTO</v>
      </c>
    </row>
    <row r="109" spans="1:65" x14ac:dyDescent="0.25">
      <c r="A109">
        <v>106</v>
      </c>
      <c r="B109" s="202" t="s">
        <v>810</v>
      </c>
      <c r="C109" s="203" t="s">
        <v>811</v>
      </c>
      <c r="D109" s="203" t="s">
        <v>128</v>
      </c>
      <c r="E109" s="203" t="s">
        <v>78</v>
      </c>
      <c r="F109" s="203" t="s">
        <v>78</v>
      </c>
      <c r="G109" s="203" t="s">
        <v>128</v>
      </c>
      <c r="H109" s="203" t="s">
        <v>72</v>
      </c>
      <c r="I109" s="203" t="s">
        <v>72</v>
      </c>
      <c r="J109" s="203" t="s">
        <v>72</v>
      </c>
      <c r="K109" s="203"/>
      <c r="L109" s="203" t="s">
        <v>249</v>
      </c>
      <c r="M109" s="203" t="s">
        <v>249</v>
      </c>
      <c r="N109" s="203"/>
      <c r="O109" s="203" t="s">
        <v>725</v>
      </c>
      <c r="P109" s="203" t="s">
        <v>74</v>
      </c>
      <c r="Q109" s="203" t="s">
        <v>75</v>
      </c>
      <c r="R109" s="203" t="s">
        <v>76</v>
      </c>
      <c r="S109" s="204">
        <v>44958</v>
      </c>
      <c r="T109" s="205">
        <v>45107</v>
      </c>
      <c r="U109" s="206">
        <v>149</v>
      </c>
      <c r="V109" s="207">
        <v>2023</v>
      </c>
      <c r="W109" s="203" t="s">
        <v>77</v>
      </c>
      <c r="X109" s="203" t="s">
        <v>78</v>
      </c>
      <c r="Y109" s="203" t="s">
        <v>79</v>
      </c>
      <c r="Z109" s="203" t="s">
        <v>812</v>
      </c>
      <c r="AA109" s="203" t="s">
        <v>102</v>
      </c>
      <c r="AB109" s="203" t="s">
        <v>103</v>
      </c>
      <c r="AC109" s="203" t="s">
        <v>440</v>
      </c>
      <c r="AD109" s="208">
        <v>36</v>
      </c>
      <c r="AE109" s="208" t="s">
        <v>813</v>
      </c>
      <c r="AF109" s="208" t="s">
        <v>359</v>
      </c>
      <c r="AG109" s="208" t="s">
        <v>452</v>
      </c>
      <c r="AH109" s="208" t="s">
        <v>87</v>
      </c>
      <c r="AI109" s="208" t="s">
        <v>440</v>
      </c>
      <c r="AJ109" s="205" t="s">
        <v>108</v>
      </c>
      <c r="AK109" s="204">
        <v>45051</v>
      </c>
      <c r="AL109" s="208">
        <v>0</v>
      </c>
      <c r="AM109" s="209" t="s">
        <v>102</v>
      </c>
      <c r="AN109" s="210">
        <v>4500352577</v>
      </c>
      <c r="AO109" s="209" t="s">
        <v>103</v>
      </c>
      <c r="AP109" s="209"/>
      <c r="AQ109" s="209" t="s">
        <v>72</v>
      </c>
      <c r="AR109" s="209" t="s">
        <v>109</v>
      </c>
      <c r="AS109" s="209" t="s">
        <v>814</v>
      </c>
      <c r="AT109" s="210">
        <v>5.6</v>
      </c>
      <c r="AU109" s="211">
        <v>10</v>
      </c>
      <c r="AV109" s="212">
        <v>28.1</v>
      </c>
      <c r="AW109" s="213">
        <v>15815</v>
      </c>
      <c r="AX109" s="213">
        <v>4412.3849999999993</v>
      </c>
      <c r="AY109" s="210" t="s">
        <v>128</v>
      </c>
      <c r="AZ109" s="209" t="s">
        <v>93</v>
      </c>
      <c r="BA109" s="214" t="str">
        <f>+IF(Tabla467824[[#This Row],[TIPO VEHÍCULO]]=Tabla467824[[#This Row],[Columna2]], "IGUAL", "DISTINTO")</f>
        <v>IGUAL</v>
      </c>
      <c r="BB109" s="214" t="str">
        <f>+IF(Tabla467824[[#This Row],[Columna4]]=Tabla467824[[#This Row],[Combustible2]], "IGUAL", "DISTINTO")</f>
        <v>IGUAL</v>
      </c>
      <c r="BC109" s="202" t="s">
        <v>810</v>
      </c>
      <c r="BD109" s="215" cm="1">
        <f t="array" ref="BD109">IFERROR(INDEX('[1]Anexos FICHA TRA050'!$D$27:$D$44, MATCH(Tabla467824[[#This Row],[Columna5]]&amp;Tabla467824[[#This Row],[Columna4]], '[1]Anexos FICHA TRA050'!$E$27:$E$44&amp;'[1]Anexos FICHA TRA050'!$F$27:$F$44, 0)), "")</f>
        <v>5.63</v>
      </c>
      <c r="BE109" s="215">
        <f>IFERROR(INDEX('[1]Anexos FICHA TRA050'!$B$4:$B$7, MATCH(Tabla467824[[#This Row],[Columna4]], '[1]Anexos FICHA TRA050'!$C$4:$C$7, 0)), "")</f>
        <v>10</v>
      </c>
      <c r="BF109" s="215">
        <f>IFERROR(INDEX('[1]Anexos FICHA TRA050'!$C$14:$C$22, MATCH(Tabla467824[[#This Row],[Columna5]], '[1]Anexos FICHA TRA050'!$D$14:$D$22, 0)), "")</f>
        <v>20.84</v>
      </c>
      <c r="BG109" s="216">
        <f>IFERROR(INDEX('[1]Anexos FICHA TRA050'!$C$49:$C$54, MATCH(Tabla467824[[#This Row],[Columna5]], '[1]Anexos FICHA TRA050'!$D$49:$D$54, 0)), "")</f>
        <v>15815</v>
      </c>
      <c r="BH109" s="217">
        <f>+(((Tabla467824[[#This Row],[CVA2]]*Tabla467824[[#This Row],[f2]])-Tabla467824[[#This Row],[CVN2]])/100)*Tabla467824[[#This Row],[L2]]</f>
        <v>5607.9989999999989</v>
      </c>
      <c r="BI109" s="218"/>
      <c r="BJ109" s="218"/>
      <c r="BK109" s="218" t="str">
        <f>+IF(Tabla467824[[#This Row],[F]]=Tabla467824[[#This Row],[f2]], "IGUAL", "DISTINTO")</f>
        <v>IGUAL</v>
      </c>
      <c r="BL109" s="218" t="str">
        <f>+IF(Tabla467824[[#This Row],[CVN]]=Tabla467824[[#This Row],[CVN2]], "IGUAL", "DISTINTO")</f>
        <v>DISTINTO</v>
      </c>
      <c r="BM109" s="219" t="str">
        <f>+IF(Tabla467824[[#This Row],[L]]=Tabla467824[[#This Row],[L2]], "IGUAL", "DISTINTO")</f>
        <v>IGUAL</v>
      </c>
    </row>
    <row r="110" spans="1:65" x14ac:dyDescent="0.25">
      <c r="A110">
        <v>107</v>
      </c>
      <c r="B110" s="202" t="s">
        <v>815</v>
      </c>
      <c r="C110" s="203" t="s">
        <v>816</v>
      </c>
      <c r="D110" s="203" t="s">
        <v>70</v>
      </c>
      <c r="E110" s="203" t="s">
        <v>78</v>
      </c>
      <c r="F110" s="203" t="s">
        <v>78</v>
      </c>
      <c r="G110" s="203" t="s">
        <v>70</v>
      </c>
      <c r="H110" s="203" t="s">
        <v>72</v>
      </c>
      <c r="I110" s="203"/>
      <c r="J110" s="203" t="s">
        <v>72</v>
      </c>
      <c r="K110" s="203"/>
      <c r="L110" s="203" t="s">
        <v>72</v>
      </c>
      <c r="M110" s="203" t="s">
        <v>72</v>
      </c>
      <c r="N110" s="203"/>
      <c r="O110" s="203" t="s">
        <v>73</v>
      </c>
      <c r="P110" s="203" t="s">
        <v>200</v>
      </c>
      <c r="Q110" s="203" t="s">
        <v>201</v>
      </c>
      <c r="R110" s="203" t="s">
        <v>76</v>
      </c>
      <c r="S110" s="209">
        <v>44140</v>
      </c>
      <c r="T110" s="205">
        <v>45601</v>
      </c>
      <c r="U110" s="206">
        <v>1461</v>
      </c>
      <c r="V110" s="207">
        <v>2024</v>
      </c>
      <c r="W110" s="203" t="s">
        <v>77</v>
      </c>
      <c r="X110" s="203" t="s">
        <v>78</v>
      </c>
      <c r="Y110" s="203" t="s">
        <v>213</v>
      </c>
      <c r="Z110" s="203" t="s">
        <v>817</v>
      </c>
      <c r="AA110" s="203" t="s">
        <v>119</v>
      </c>
      <c r="AB110" s="203" t="s">
        <v>120</v>
      </c>
      <c r="AC110" s="203" t="s">
        <v>386</v>
      </c>
      <c r="AD110" s="208">
        <v>19</v>
      </c>
      <c r="AE110" s="208" t="s">
        <v>818</v>
      </c>
      <c r="AF110" s="208" t="s">
        <v>140</v>
      </c>
      <c r="AG110" s="208" t="s">
        <v>151</v>
      </c>
      <c r="AH110" s="208" t="s">
        <v>87</v>
      </c>
      <c r="AI110" s="208" t="s">
        <v>223</v>
      </c>
      <c r="AJ110" s="205" t="s">
        <v>89</v>
      </c>
      <c r="AK110" s="204">
        <v>45625</v>
      </c>
      <c r="AL110" s="208">
        <v>0</v>
      </c>
      <c r="AM110" s="209" t="s">
        <v>119</v>
      </c>
      <c r="AN110" s="209" t="s">
        <v>819</v>
      </c>
      <c r="AO110" s="209" t="s">
        <v>120</v>
      </c>
      <c r="AP110" s="209"/>
      <c r="AQ110" s="209" t="s">
        <v>72</v>
      </c>
      <c r="AR110" s="209" t="s">
        <v>91</v>
      </c>
      <c r="AS110" s="209" t="s">
        <v>820</v>
      </c>
      <c r="AT110" s="210">
        <v>5.0999999999999996</v>
      </c>
      <c r="AU110" s="211">
        <v>10</v>
      </c>
      <c r="AV110" s="212">
        <v>16.399999999999999</v>
      </c>
      <c r="AW110" s="213">
        <v>13073</v>
      </c>
      <c r="AX110" s="213">
        <v>4523.2580000000007</v>
      </c>
      <c r="AY110" s="210" t="s">
        <v>70</v>
      </c>
      <c r="AZ110" s="209" t="s">
        <v>93</v>
      </c>
      <c r="BA110" s="214" t="str">
        <f>+IF(Tabla467824[[#This Row],[TIPO VEHÍCULO]]=Tabla467824[[#This Row],[Columna2]], "IGUAL", "DISTINTO")</f>
        <v>IGUAL</v>
      </c>
      <c r="BB110" s="214" t="str">
        <f>+IF(Tabla467824[[#This Row],[Columna4]]=Tabla467824[[#This Row],[Combustible2]], "IGUAL", "DISTINTO")</f>
        <v>IGUAL</v>
      </c>
      <c r="BC110" s="202" t="s">
        <v>815</v>
      </c>
      <c r="BD110" s="215" cm="1">
        <f t="array" ref="BD110">IFERROR(INDEX('[1]Anexos FICHA TRA050'!$D$27:$D$44, MATCH(Tabla467824[[#This Row],[Columna5]]&amp;Tabla467824[[#This Row],[Columna4]], '[1]Anexos FICHA TRA050'!$E$27:$E$44&amp;'[1]Anexos FICHA TRA050'!$F$27:$F$44, 0)), "")</f>
        <v>6.99</v>
      </c>
      <c r="BE110" s="215">
        <f>IFERROR(INDEX('[1]Anexos FICHA TRA050'!$B$4:$B$7, MATCH(Tabla467824[[#This Row],[Columna4]], '[1]Anexos FICHA TRA050'!$C$4:$C$7, 0)), "")</f>
        <v>10</v>
      </c>
      <c r="BF110" s="215">
        <f>IFERROR(INDEX('[1]Anexos FICHA TRA050'!$C$14:$C$22, MATCH(Tabla467824[[#This Row],[Columna5]], '[1]Anexos FICHA TRA050'!$D$14:$D$22, 0)), "")</f>
        <v>17.920000000000002</v>
      </c>
      <c r="BG110" s="216">
        <f>IFERROR(INDEX('[1]Anexos FICHA TRA050'!$C$49:$C$54, MATCH(Tabla467824[[#This Row],[Columna5]], '[1]Anexos FICHA TRA050'!$D$49:$D$54, 0)), "")</f>
        <v>13073</v>
      </c>
      <c r="BH110" s="217">
        <f>+(((Tabla467824[[#This Row],[CVA2]]*Tabla467824[[#This Row],[f2]])-Tabla467824[[#This Row],[CVN2]])/100)*Tabla467824[[#This Row],[L2]]</f>
        <v>6795.3454000000002</v>
      </c>
      <c r="BI110" s="218"/>
      <c r="BJ110" s="218"/>
      <c r="BK110" s="218" t="str">
        <f>+IF(Tabla467824[[#This Row],[F]]=Tabla467824[[#This Row],[f2]], "IGUAL", "DISTINTO")</f>
        <v>IGUAL</v>
      </c>
      <c r="BL110" s="218" t="str">
        <f>+IF(Tabla467824[[#This Row],[CVN]]=Tabla467824[[#This Row],[CVN2]], "IGUAL", "DISTINTO")</f>
        <v>DISTINTO</v>
      </c>
      <c r="BM110" s="219" t="str">
        <f>+IF(Tabla467824[[#This Row],[L]]=Tabla467824[[#This Row],[L2]], "IGUAL", "DISTINTO")</f>
        <v>IGUAL</v>
      </c>
    </row>
    <row r="111" spans="1:65" x14ac:dyDescent="0.25">
      <c r="A111">
        <v>108</v>
      </c>
      <c r="B111" s="202" t="s">
        <v>821</v>
      </c>
      <c r="C111" s="203" t="s">
        <v>822</v>
      </c>
      <c r="D111" s="203" t="s">
        <v>70</v>
      </c>
      <c r="E111" s="203" t="s">
        <v>78</v>
      </c>
      <c r="F111" s="203" t="s">
        <v>78</v>
      </c>
      <c r="G111" s="203" t="s">
        <v>70</v>
      </c>
      <c r="H111" s="203" t="s">
        <v>72</v>
      </c>
      <c r="I111" s="203" t="s">
        <v>72</v>
      </c>
      <c r="J111" s="203" t="s">
        <v>72</v>
      </c>
      <c r="K111" s="203"/>
      <c r="L111" s="203" t="s">
        <v>72</v>
      </c>
      <c r="M111" s="203" t="s">
        <v>72</v>
      </c>
      <c r="N111" s="203"/>
      <c r="O111" s="203" t="s">
        <v>73</v>
      </c>
      <c r="P111" s="203" t="s">
        <v>200</v>
      </c>
      <c r="Q111" s="203" t="s">
        <v>201</v>
      </c>
      <c r="R111" s="203" t="s">
        <v>76</v>
      </c>
      <c r="S111" s="209">
        <v>44151</v>
      </c>
      <c r="T111" s="205">
        <v>45612</v>
      </c>
      <c r="U111" s="206">
        <v>1461</v>
      </c>
      <c r="V111" s="207">
        <v>2024</v>
      </c>
      <c r="W111" s="203" t="s">
        <v>77</v>
      </c>
      <c r="X111" s="203" t="s">
        <v>78</v>
      </c>
      <c r="Y111" s="203" t="s">
        <v>213</v>
      </c>
      <c r="Z111" s="203" t="s">
        <v>817</v>
      </c>
      <c r="AA111" s="203" t="s">
        <v>119</v>
      </c>
      <c r="AB111" s="203" t="s">
        <v>120</v>
      </c>
      <c r="AC111" s="203" t="s">
        <v>368</v>
      </c>
      <c r="AD111" s="208">
        <v>20</v>
      </c>
      <c r="AE111" s="208" t="s">
        <v>823</v>
      </c>
      <c r="AF111" s="208" t="s">
        <v>140</v>
      </c>
      <c r="AG111" s="208" t="s">
        <v>151</v>
      </c>
      <c r="AH111" s="208" t="s">
        <v>87</v>
      </c>
      <c r="AI111" s="208" t="s">
        <v>265</v>
      </c>
      <c r="AJ111" s="205" t="s">
        <v>89</v>
      </c>
      <c r="AK111" s="204">
        <v>45625</v>
      </c>
      <c r="AL111" s="208">
        <v>0</v>
      </c>
      <c r="AM111" s="209" t="s">
        <v>119</v>
      </c>
      <c r="AN111" s="209" t="s">
        <v>824</v>
      </c>
      <c r="AO111" s="209" t="s">
        <v>120</v>
      </c>
      <c r="AP111" s="209"/>
      <c r="AQ111" s="209" t="s">
        <v>72</v>
      </c>
      <c r="AR111" s="209" t="s">
        <v>91</v>
      </c>
      <c r="AS111" s="209" t="s">
        <v>825</v>
      </c>
      <c r="AT111" s="210">
        <v>5.0999999999999996</v>
      </c>
      <c r="AU111" s="211">
        <v>10</v>
      </c>
      <c r="AV111" s="212">
        <v>16.399999999999999</v>
      </c>
      <c r="AW111" s="213">
        <v>13073</v>
      </c>
      <c r="AX111" s="213">
        <v>4523.2580000000007</v>
      </c>
      <c r="AY111" s="210" t="s">
        <v>70</v>
      </c>
      <c r="AZ111" s="209" t="s">
        <v>93</v>
      </c>
      <c r="BA111" s="214" t="str">
        <f>+IF(Tabla467824[[#This Row],[TIPO VEHÍCULO]]=Tabla467824[[#This Row],[Columna2]], "IGUAL", "DISTINTO")</f>
        <v>IGUAL</v>
      </c>
      <c r="BB111" s="214" t="str">
        <f>+IF(Tabla467824[[#This Row],[Columna4]]=Tabla467824[[#This Row],[Combustible2]], "IGUAL", "DISTINTO")</f>
        <v>IGUAL</v>
      </c>
      <c r="BC111" s="202" t="s">
        <v>821</v>
      </c>
      <c r="BD111" s="215" cm="1">
        <f t="array" ref="BD111">IFERROR(INDEX('[1]Anexos FICHA TRA050'!$D$27:$D$44, MATCH(Tabla467824[[#This Row],[Columna5]]&amp;Tabla467824[[#This Row],[Columna4]], '[1]Anexos FICHA TRA050'!$E$27:$E$44&amp;'[1]Anexos FICHA TRA050'!$F$27:$F$44, 0)), "")</f>
        <v>6.99</v>
      </c>
      <c r="BE111" s="215">
        <f>IFERROR(INDEX('[1]Anexos FICHA TRA050'!$B$4:$B$7, MATCH(Tabla467824[[#This Row],[Columna4]], '[1]Anexos FICHA TRA050'!$C$4:$C$7, 0)), "")</f>
        <v>10</v>
      </c>
      <c r="BF111" s="215">
        <f>IFERROR(INDEX('[1]Anexos FICHA TRA050'!$C$14:$C$22, MATCH(Tabla467824[[#This Row],[Columna5]], '[1]Anexos FICHA TRA050'!$D$14:$D$22, 0)), "")</f>
        <v>17.920000000000002</v>
      </c>
      <c r="BG111" s="216">
        <f>IFERROR(INDEX('[1]Anexos FICHA TRA050'!$C$49:$C$54, MATCH(Tabla467824[[#This Row],[Columna5]], '[1]Anexos FICHA TRA050'!$D$49:$D$54, 0)), "")</f>
        <v>13073</v>
      </c>
      <c r="BH111" s="217">
        <f>+(((Tabla467824[[#This Row],[CVA2]]*Tabla467824[[#This Row],[f2]])-Tabla467824[[#This Row],[CVN2]])/100)*Tabla467824[[#This Row],[L2]]</f>
        <v>6795.3454000000002</v>
      </c>
      <c r="BI111" s="218"/>
      <c r="BJ111" s="218"/>
      <c r="BK111" s="218" t="str">
        <f>+IF(Tabla467824[[#This Row],[F]]=Tabla467824[[#This Row],[f2]], "IGUAL", "DISTINTO")</f>
        <v>IGUAL</v>
      </c>
      <c r="BL111" s="218" t="str">
        <f>+IF(Tabla467824[[#This Row],[CVN]]=Tabla467824[[#This Row],[CVN2]], "IGUAL", "DISTINTO")</f>
        <v>DISTINTO</v>
      </c>
      <c r="BM111" s="219" t="str">
        <f>+IF(Tabla467824[[#This Row],[L]]=Tabla467824[[#This Row],[L2]], "IGUAL", "DISTINTO")</f>
        <v>IGUAL</v>
      </c>
    </row>
    <row r="112" spans="1:65" x14ac:dyDescent="0.25">
      <c r="A112">
        <v>109</v>
      </c>
      <c r="B112" s="202" t="s">
        <v>826</v>
      </c>
      <c r="C112" s="203" t="s">
        <v>827</v>
      </c>
      <c r="D112" s="203" t="s">
        <v>70</v>
      </c>
      <c r="E112" s="203" t="s">
        <v>78</v>
      </c>
      <c r="F112" s="203" t="s">
        <v>78</v>
      </c>
      <c r="G112" s="203" t="s">
        <v>70</v>
      </c>
      <c r="H112" s="203" t="s">
        <v>72</v>
      </c>
      <c r="I112" s="203"/>
      <c r="J112" s="203" t="s">
        <v>72</v>
      </c>
      <c r="K112" s="203"/>
      <c r="L112" s="203" t="s">
        <v>72</v>
      </c>
      <c r="M112" s="203" t="s">
        <v>72</v>
      </c>
      <c r="N112" s="203"/>
      <c r="O112" s="203" t="s">
        <v>73</v>
      </c>
      <c r="P112" s="203" t="s">
        <v>200</v>
      </c>
      <c r="Q112" s="203" t="s">
        <v>201</v>
      </c>
      <c r="R112" s="203" t="s">
        <v>76</v>
      </c>
      <c r="S112" s="209">
        <v>44140</v>
      </c>
      <c r="T112" s="205">
        <v>45601</v>
      </c>
      <c r="U112" s="206">
        <v>1461</v>
      </c>
      <c r="V112" s="207">
        <v>2024</v>
      </c>
      <c r="W112" s="203" t="s">
        <v>77</v>
      </c>
      <c r="X112" s="203" t="s">
        <v>78</v>
      </c>
      <c r="Y112" s="203" t="s">
        <v>213</v>
      </c>
      <c r="Z112" s="203" t="s">
        <v>817</v>
      </c>
      <c r="AA112" s="203" t="s">
        <v>131</v>
      </c>
      <c r="AB112" s="203" t="s">
        <v>132</v>
      </c>
      <c r="AC112" s="203" t="s">
        <v>135</v>
      </c>
      <c r="AD112" s="208">
        <v>11</v>
      </c>
      <c r="AE112" s="208" t="s">
        <v>828</v>
      </c>
      <c r="AF112" s="208" t="s">
        <v>85</v>
      </c>
      <c r="AG112" s="208" t="s">
        <v>86</v>
      </c>
      <c r="AH112" s="208" t="s">
        <v>87</v>
      </c>
      <c r="AI112" s="208" t="s">
        <v>829</v>
      </c>
      <c r="AJ112" s="205" t="s">
        <v>89</v>
      </c>
      <c r="AK112" s="204">
        <v>45625</v>
      </c>
      <c r="AL112" s="208">
        <v>0</v>
      </c>
      <c r="AM112" s="209" t="s">
        <v>131</v>
      </c>
      <c r="AN112" s="209" t="s">
        <v>830</v>
      </c>
      <c r="AO112" s="209" t="s">
        <v>132</v>
      </c>
      <c r="AP112" s="209"/>
      <c r="AQ112" s="209" t="s">
        <v>72</v>
      </c>
      <c r="AR112" s="209" t="s">
        <v>91</v>
      </c>
      <c r="AS112" s="209" t="s">
        <v>831</v>
      </c>
      <c r="AT112" s="210">
        <v>5.0999999999999996</v>
      </c>
      <c r="AU112" s="211">
        <v>10</v>
      </c>
      <c r="AV112" s="212">
        <v>17.3</v>
      </c>
      <c r="AW112" s="213">
        <v>13073</v>
      </c>
      <c r="AX112" s="213">
        <v>4405.6010000000006</v>
      </c>
      <c r="AY112" s="210" t="s">
        <v>70</v>
      </c>
      <c r="AZ112" s="209" t="s">
        <v>93</v>
      </c>
      <c r="BA112" s="214" t="str">
        <f>+IF(Tabla467824[[#This Row],[TIPO VEHÍCULO]]=Tabla467824[[#This Row],[Columna2]], "IGUAL", "DISTINTO")</f>
        <v>IGUAL</v>
      </c>
      <c r="BB112" s="214" t="str">
        <f>+IF(Tabla467824[[#This Row],[Columna4]]=Tabla467824[[#This Row],[Combustible2]], "IGUAL", "DISTINTO")</f>
        <v>IGUAL</v>
      </c>
      <c r="BC112" s="202" t="s">
        <v>826</v>
      </c>
      <c r="BD112" s="215" cm="1">
        <f t="array" ref="BD112">IFERROR(INDEX('[1]Anexos FICHA TRA050'!$D$27:$D$44, MATCH(Tabla467824[[#This Row],[Columna5]]&amp;Tabla467824[[#This Row],[Columna4]], '[1]Anexos FICHA TRA050'!$E$27:$E$44&amp;'[1]Anexos FICHA TRA050'!$F$27:$F$44, 0)), "")</f>
        <v>6.99</v>
      </c>
      <c r="BE112" s="215">
        <f>IFERROR(INDEX('[1]Anexos FICHA TRA050'!$B$4:$B$7, MATCH(Tabla467824[[#This Row],[Columna4]], '[1]Anexos FICHA TRA050'!$C$4:$C$7, 0)), "")</f>
        <v>10</v>
      </c>
      <c r="BF112" s="215">
        <f>IFERROR(INDEX('[1]Anexos FICHA TRA050'!$C$14:$C$22, MATCH(Tabla467824[[#This Row],[Columna5]], '[1]Anexos FICHA TRA050'!$D$14:$D$22, 0)), "")</f>
        <v>17.920000000000002</v>
      </c>
      <c r="BG112" s="216">
        <f>IFERROR(INDEX('[1]Anexos FICHA TRA050'!$C$49:$C$54, MATCH(Tabla467824[[#This Row],[Columna5]], '[1]Anexos FICHA TRA050'!$D$49:$D$54, 0)), "")</f>
        <v>13073</v>
      </c>
      <c r="BH112" s="217">
        <f>+(((Tabla467824[[#This Row],[CVA2]]*Tabla467824[[#This Row],[f2]])-Tabla467824[[#This Row],[CVN2]])/100)*Tabla467824[[#This Row],[L2]]</f>
        <v>6795.3454000000002</v>
      </c>
      <c r="BI112" s="218"/>
      <c r="BJ112" s="218"/>
      <c r="BK112" s="218" t="str">
        <f>+IF(Tabla467824[[#This Row],[F]]=Tabla467824[[#This Row],[f2]], "IGUAL", "DISTINTO")</f>
        <v>IGUAL</v>
      </c>
      <c r="BL112" s="218" t="str">
        <f>+IF(Tabla467824[[#This Row],[CVN]]=Tabla467824[[#This Row],[CVN2]], "IGUAL", "DISTINTO")</f>
        <v>DISTINTO</v>
      </c>
      <c r="BM112" s="219" t="str">
        <f>+IF(Tabla467824[[#This Row],[L]]=Tabla467824[[#This Row],[L2]], "IGUAL", "DISTINTO")</f>
        <v>IGUAL</v>
      </c>
    </row>
    <row r="113" spans="1:65" x14ac:dyDescent="0.25">
      <c r="A113">
        <v>110</v>
      </c>
      <c r="B113" s="202" t="s">
        <v>832</v>
      </c>
      <c r="C113" s="203" t="s">
        <v>833</v>
      </c>
      <c r="D113" s="203" t="s">
        <v>70</v>
      </c>
      <c r="E113" s="203" t="s">
        <v>78</v>
      </c>
      <c r="F113" s="203" t="s">
        <v>78</v>
      </c>
      <c r="G113" s="203" t="s">
        <v>70</v>
      </c>
      <c r="H113" s="203" t="s">
        <v>72</v>
      </c>
      <c r="I113" s="203" t="s">
        <v>72</v>
      </c>
      <c r="J113" s="203" t="s">
        <v>72</v>
      </c>
      <c r="K113" s="203"/>
      <c r="L113" s="203" t="s">
        <v>72</v>
      </c>
      <c r="M113" s="203" t="s">
        <v>72</v>
      </c>
      <c r="N113" s="203"/>
      <c r="O113" s="203" t="s">
        <v>73</v>
      </c>
      <c r="P113" s="203" t="s">
        <v>200</v>
      </c>
      <c r="Q113" s="203" t="s">
        <v>201</v>
      </c>
      <c r="R113" s="203" t="s">
        <v>76</v>
      </c>
      <c r="S113" s="209">
        <v>44223</v>
      </c>
      <c r="T113" s="205">
        <v>45684</v>
      </c>
      <c r="U113" s="206">
        <v>1461</v>
      </c>
      <c r="V113" s="207">
        <v>2025</v>
      </c>
      <c r="W113" s="203" t="s">
        <v>77</v>
      </c>
      <c r="X113" s="203" t="s">
        <v>78</v>
      </c>
      <c r="Y113" s="203" t="s">
        <v>213</v>
      </c>
      <c r="Z113" s="203" t="s">
        <v>817</v>
      </c>
      <c r="AA113" s="203" t="s">
        <v>102</v>
      </c>
      <c r="AB113" s="203" t="s">
        <v>103</v>
      </c>
      <c r="AC113" s="203" t="s">
        <v>782</v>
      </c>
      <c r="AD113" s="208">
        <v>37</v>
      </c>
      <c r="AE113" s="208" t="s">
        <v>834</v>
      </c>
      <c r="AF113" s="208" t="s">
        <v>85</v>
      </c>
      <c r="AG113" s="208" t="s">
        <v>86</v>
      </c>
      <c r="AH113" s="208" t="s">
        <v>87</v>
      </c>
      <c r="AI113" s="208" t="s">
        <v>835</v>
      </c>
      <c r="AJ113" s="205" t="s">
        <v>89</v>
      </c>
      <c r="AK113" s="204">
        <v>45625</v>
      </c>
      <c r="AL113" s="208">
        <v>-1</v>
      </c>
      <c r="AM113" s="209" t="s">
        <v>102</v>
      </c>
      <c r="AN113" s="209" t="s">
        <v>836</v>
      </c>
      <c r="AO113" s="209" t="s">
        <v>103</v>
      </c>
      <c r="AP113" s="209"/>
      <c r="AQ113" s="209" t="s">
        <v>72</v>
      </c>
      <c r="AR113" s="209" t="s">
        <v>109</v>
      </c>
      <c r="AS113" s="209" t="s">
        <v>837</v>
      </c>
      <c r="AT113" s="210">
        <v>5.0999999999999996</v>
      </c>
      <c r="AU113" s="211">
        <v>10</v>
      </c>
      <c r="AV113" s="212">
        <v>17.3</v>
      </c>
      <c r="AW113" s="213">
        <v>13073</v>
      </c>
      <c r="AX113" s="213">
        <v>4405.6010000000006</v>
      </c>
      <c r="AY113" s="210" t="s">
        <v>70</v>
      </c>
      <c r="AZ113" s="209" t="s">
        <v>93</v>
      </c>
      <c r="BA113" s="214" t="str">
        <f>+IF(Tabla467824[[#This Row],[TIPO VEHÍCULO]]=Tabla467824[[#This Row],[Columna2]], "IGUAL", "DISTINTO")</f>
        <v>IGUAL</v>
      </c>
      <c r="BB113" s="214" t="str">
        <f>+IF(Tabla467824[[#This Row],[Columna4]]=Tabla467824[[#This Row],[Combustible2]], "IGUAL", "DISTINTO")</f>
        <v>IGUAL</v>
      </c>
      <c r="BC113" s="202" t="s">
        <v>832</v>
      </c>
      <c r="BD113" s="215" cm="1">
        <f t="array" ref="BD113">IFERROR(INDEX('[1]Anexos FICHA TRA050'!$D$27:$D$44, MATCH(Tabla467824[[#This Row],[Columna5]]&amp;Tabla467824[[#This Row],[Columna4]], '[1]Anexos FICHA TRA050'!$E$27:$E$44&amp;'[1]Anexos FICHA TRA050'!$F$27:$F$44, 0)), "")</f>
        <v>6.99</v>
      </c>
      <c r="BE113" s="215">
        <f>IFERROR(INDEX('[1]Anexos FICHA TRA050'!$B$4:$B$7, MATCH(Tabla467824[[#This Row],[Columna4]], '[1]Anexos FICHA TRA050'!$C$4:$C$7, 0)), "")</f>
        <v>10</v>
      </c>
      <c r="BF113" s="215">
        <f>IFERROR(INDEX('[1]Anexos FICHA TRA050'!$C$14:$C$22, MATCH(Tabla467824[[#This Row],[Columna5]], '[1]Anexos FICHA TRA050'!$D$14:$D$22, 0)), "")</f>
        <v>17.920000000000002</v>
      </c>
      <c r="BG113" s="216">
        <f>IFERROR(INDEX('[1]Anexos FICHA TRA050'!$C$49:$C$54, MATCH(Tabla467824[[#This Row],[Columna5]], '[1]Anexos FICHA TRA050'!$D$49:$D$54, 0)), "")</f>
        <v>13073</v>
      </c>
      <c r="BH113" s="217">
        <f>+(((Tabla467824[[#This Row],[CVA2]]*Tabla467824[[#This Row],[f2]])-Tabla467824[[#This Row],[CVN2]])/100)*Tabla467824[[#This Row],[L2]]</f>
        <v>6795.3454000000002</v>
      </c>
      <c r="BI113" s="218"/>
      <c r="BJ113" s="218"/>
      <c r="BK113" s="218" t="str">
        <f>+IF(Tabla467824[[#This Row],[F]]=Tabla467824[[#This Row],[f2]], "IGUAL", "DISTINTO")</f>
        <v>IGUAL</v>
      </c>
      <c r="BL113" s="218" t="str">
        <f>+IF(Tabla467824[[#This Row],[CVN]]=Tabla467824[[#This Row],[CVN2]], "IGUAL", "DISTINTO")</f>
        <v>DISTINTO</v>
      </c>
      <c r="BM113" s="219" t="str">
        <f>+IF(Tabla467824[[#This Row],[L]]=Tabla467824[[#This Row],[L2]], "IGUAL", "DISTINTO")</f>
        <v>IGUAL</v>
      </c>
    </row>
    <row r="114" spans="1:65" x14ac:dyDescent="0.25">
      <c r="A114">
        <v>111</v>
      </c>
      <c r="B114" s="202" t="s">
        <v>838</v>
      </c>
      <c r="C114" s="203" t="s">
        <v>839</v>
      </c>
      <c r="D114" s="203" t="s">
        <v>128</v>
      </c>
      <c r="E114" s="203" t="s">
        <v>78</v>
      </c>
      <c r="F114" s="203" t="s">
        <v>78</v>
      </c>
      <c r="G114" s="203" t="s">
        <v>128</v>
      </c>
      <c r="H114" s="203" t="s">
        <v>72</v>
      </c>
      <c r="I114" s="203" t="s">
        <v>72</v>
      </c>
      <c r="J114" s="203" t="s">
        <v>72</v>
      </c>
      <c r="K114" s="203"/>
      <c r="L114" s="203" t="s">
        <v>249</v>
      </c>
      <c r="M114" s="203" t="s">
        <v>249</v>
      </c>
      <c r="N114" s="203"/>
      <c r="O114" s="203" t="s">
        <v>725</v>
      </c>
      <c r="P114" s="203" t="s">
        <v>74</v>
      </c>
      <c r="Q114" s="203" t="s">
        <v>75</v>
      </c>
      <c r="R114" s="203" t="s">
        <v>76</v>
      </c>
      <c r="S114" s="204">
        <v>44958</v>
      </c>
      <c r="T114" s="205">
        <v>45188</v>
      </c>
      <c r="U114" s="206">
        <v>230</v>
      </c>
      <c r="V114" s="207">
        <v>2023</v>
      </c>
      <c r="W114" s="203" t="s">
        <v>77</v>
      </c>
      <c r="X114" s="203" t="s">
        <v>78</v>
      </c>
      <c r="Y114" s="203" t="s">
        <v>79</v>
      </c>
      <c r="Z114" s="203" t="s">
        <v>812</v>
      </c>
      <c r="AA114" s="203" t="s">
        <v>102</v>
      </c>
      <c r="AB114" s="203" t="s">
        <v>103</v>
      </c>
      <c r="AC114" s="203" t="s">
        <v>440</v>
      </c>
      <c r="AD114" s="208">
        <v>38</v>
      </c>
      <c r="AE114" s="208" t="s">
        <v>840</v>
      </c>
      <c r="AF114" s="208" t="s">
        <v>85</v>
      </c>
      <c r="AG114" s="208" t="s">
        <v>114</v>
      </c>
      <c r="AH114" s="208" t="s">
        <v>87</v>
      </c>
      <c r="AI114" s="208" t="s">
        <v>567</v>
      </c>
      <c r="AJ114" s="205" t="s">
        <v>108</v>
      </c>
      <c r="AK114" s="204">
        <v>44922</v>
      </c>
      <c r="AL114" s="208">
        <v>0</v>
      </c>
      <c r="AM114" s="209" t="s">
        <v>102</v>
      </c>
      <c r="AN114" s="210">
        <v>4500348763</v>
      </c>
      <c r="AO114" s="209" t="s">
        <v>103</v>
      </c>
      <c r="AP114" s="209"/>
      <c r="AQ114" s="209" t="s">
        <v>72</v>
      </c>
      <c r="AR114" s="209" t="s">
        <v>109</v>
      </c>
      <c r="AS114" s="209" t="s">
        <v>841</v>
      </c>
      <c r="AT114" s="210">
        <v>5.6</v>
      </c>
      <c r="AU114" s="211">
        <v>10</v>
      </c>
      <c r="AV114" s="212">
        <v>17.3</v>
      </c>
      <c r="AW114" s="213">
        <v>15815</v>
      </c>
      <c r="AX114" s="213">
        <v>6120.4049999999997</v>
      </c>
      <c r="AY114" s="210" t="s">
        <v>128</v>
      </c>
      <c r="AZ114" s="209" t="s">
        <v>93</v>
      </c>
      <c r="BA114" s="214" t="str">
        <f>+IF(Tabla467824[[#This Row],[TIPO VEHÍCULO]]=Tabla467824[[#This Row],[Columna2]], "IGUAL", "DISTINTO")</f>
        <v>IGUAL</v>
      </c>
      <c r="BB114" s="214" t="str">
        <f>+IF(Tabla467824[[#This Row],[Columna4]]=Tabla467824[[#This Row],[Combustible2]], "IGUAL", "DISTINTO")</f>
        <v>IGUAL</v>
      </c>
      <c r="BC114" s="202" t="s">
        <v>838</v>
      </c>
      <c r="BD114" s="215" cm="1">
        <f t="array" ref="BD114">IFERROR(INDEX('[1]Anexos FICHA TRA050'!$D$27:$D$44, MATCH(Tabla467824[[#This Row],[Columna5]]&amp;Tabla467824[[#This Row],[Columna4]], '[1]Anexos FICHA TRA050'!$E$27:$E$44&amp;'[1]Anexos FICHA TRA050'!$F$27:$F$44, 0)), "")</f>
        <v>5.63</v>
      </c>
      <c r="BE114" s="215">
        <f>IFERROR(INDEX('[1]Anexos FICHA TRA050'!$B$4:$B$7, MATCH(Tabla467824[[#This Row],[Columna4]], '[1]Anexos FICHA TRA050'!$C$4:$C$7, 0)), "")</f>
        <v>10</v>
      </c>
      <c r="BF114" s="215">
        <f>IFERROR(INDEX('[1]Anexos FICHA TRA050'!$C$14:$C$22, MATCH(Tabla467824[[#This Row],[Columna5]], '[1]Anexos FICHA TRA050'!$D$14:$D$22, 0)), "")</f>
        <v>20.84</v>
      </c>
      <c r="BG114" s="216">
        <f>IFERROR(INDEX('[1]Anexos FICHA TRA050'!$C$49:$C$54, MATCH(Tabla467824[[#This Row],[Columna5]], '[1]Anexos FICHA TRA050'!$D$49:$D$54, 0)), "")</f>
        <v>15815</v>
      </c>
      <c r="BH114" s="217">
        <f>+(((Tabla467824[[#This Row],[CVA2]]*Tabla467824[[#This Row],[f2]])-Tabla467824[[#This Row],[CVN2]])/100)*Tabla467824[[#This Row],[L2]]</f>
        <v>5607.9989999999989</v>
      </c>
      <c r="BI114" s="218"/>
      <c r="BJ114" s="218"/>
      <c r="BK114" s="218" t="str">
        <f>+IF(Tabla467824[[#This Row],[F]]=Tabla467824[[#This Row],[f2]], "IGUAL", "DISTINTO")</f>
        <v>IGUAL</v>
      </c>
      <c r="BL114" s="218" t="str">
        <f>+IF(Tabla467824[[#This Row],[CVN]]=Tabla467824[[#This Row],[CVN2]], "IGUAL", "DISTINTO")</f>
        <v>DISTINTO</v>
      </c>
      <c r="BM114" s="219" t="str">
        <f>+IF(Tabla467824[[#This Row],[L]]=Tabla467824[[#This Row],[L2]], "IGUAL", "DISTINTO")</f>
        <v>IGUAL</v>
      </c>
    </row>
    <row r="115" spans="1:65" x14ac:dyDescent="0.25">
      <c r="A115">
        <v>112</v>
      </c>
      <c r="B115" s="202" t="s">
        <v>842</v>
      </c>
      <c r="C115" s="203" t="s">
        <v>843</v>
      </c>
      <c r="D115" s="203" t="s">
        <v>157</v>
      </c>
      <c r="E115" s="203" t="s">
        <v>71</v>
      </c>
      <c r="F115" s="203" t="s">
        <v>71</v>
      </c>
      <c r="G115" s="203" t="s">
        <v>51</v>
      </c>
      <c r="H115" s="246" t="s">
        <v>72</v>
      </c>
      <c r="I115" s="246"/>
      <c r="J115" s="246"/>
      <c r="K115" s="246" t="s">
        <v>72</v>
      </c>
      <c r="L115" s="246"/>
      <c r="M115" s="246" t="s">
        <v>72</v>
      </c>
      <c r="N115" s="246" t="s">
        <v>72</v>
      </c>
      <c r="O115" s="246" t="s">
        <v>158</v>
      </c>
      <c r="P115" s="246" t="s">
        <v>159</v>
      </c>
      <c r="Q115" s="246" t="s">
        <v>158</v>
      </c>
      <c r="R115" s="246" t="s">
        <v>171</v>
      </c>
      <c r="S115" s="247">
        <v>41544</v>
      </c>
      <c r="T115" s="248">
        <v>45561</v>
      </c>
      <c r="U115" s="249">
        <v>4017</v>
      </c>
      <c r="V115" s="250">
        <v>2024</v>
      </c>
      <c r="W115" s="246" t="s">
        <v>172</v>
      </c>
      <c r="X115" s="246" t="s">
        <v>71</v>
      </c>
      <c r="Y115" s="246" t="s">
        <v>844</v>
      </c>
      <c r="Z115" s="246" t="s">
        <v>845</v>
      </c>
      <c r="AA115" s="246" t="s">
        <v>81</v>
      </c>
      <c r="AB115" s="246" t="s">
        <v>82</v>
      </c>
      <c r="AC115" s="246" t="s">
        <v>164</v>
      </c>
      <c r="AD115" s="251">
        <v>11</v>
      </c>
      <c r="AE115" s="251" t="s">
        <v>846</v>
      </c>
      <c r="AF115" s="251" t="s">
        <v>380</v>
      </c>
      <c r="AG115" s="251" t="s">
        <v>381</v>
      </c>
      <c r="AH115" s="251" t="s">
        <v>87</v>
      </c>
      <c r="AI115" s="251" t="s">
        <v>164</v>
      </c>
      <c r="AJ115" s="205" t="s">
        <v>89</v>
      </c>
      <c r="AK115" s="247">
        <v>45616</v>
      </c>
      <c r="AL115" s="251">
        <v>0</v>
      </c>
      <c r="AM115" s="252" t="s">
        <v>81</v>
      </c>
      <c r="AN115" s="252" t="s">
        <v>847</v>
      </c>
      <c r="AO115" s="252" t="s">
        <v>82</v>
      </c>
      <c r="AP115" s="252"/>
      <c r="AQ115" s="252" t="s">
        <v>72</v>
      </c>
      <c r="AR115" s="209" t="s">
        <v>91</v>
      </c>
      <c r="AS115" s="252" t="s">
        <v>848</v>
      </c>
      <c r="AT115" s="210">
        <v>2.9</v>
      </c>
      <c r="AU115" s="211">
        <v>9.19</v>
      </c>
      <c r="AV115" s="212">
        <v>20</v>
      </c>
      <c r="AW115" s="213">
        <v>2831</v>
      </c>
      <c r="AX115" s="213">
        <v>188.28980999999987</v>
      </c>
      <c r="AY115" s="210" t="s">
        <v>157</v>
      </c>
      <c r="AZ115" s="209" t="s">
        <v>550</v>
      </c>
      <c r="BA115" s="214" t="str">
        <f>+IF(Tabla467824[[#This Row],[TIPO VEHÍCULO]]=Tabla467824[[#This Row],[Columna2]], "IGUAL", "DISTINTO")</f>
        <v>IGUAL</v>
      </c>
      <c r="BB115" s="214" t="str">
        <f>+IF(Tabla467824[[#This Row],[Columna4]]=Tabla467824[[#This Row],[Combustible2]], "IGUAL", "DISTINTO")</f>
        <v>IGUAL</v>
      </c>
      <c r="BC115" s="202" t="s">
        <v>842</v>
      </c>
      <c r="BD115" s="215" cm="1">
        <f t="array" ref="BD115">IFERROR(INDEX('[1]Anexos FICHA TRA050'!$D$27:$D$44, MATCH(Tabla467824[[#This Row],[Columna5]]&amp;Tabla467824[[#This Row],[Columna4]], '[1]Anexos FICHA TRA050'!$E$27:$E$44&amp;'[1]Anexos FICHA TRA050'!$F$27:$F$44, 0)), "")</f>
        <v>2.9</v>
      </c>
      <c r="BE115" s="215">
        <f>IFERROR(INDEX('[1]Anexos FICHA TRA050'!$B$4:$B$7, MATCH(Tabla467824[[#This Row],[Columna4]], '[1]Anexos FICHA TRA050'!$C$4:$C$7, 0)), "")</f>
        <v>9.19</v>
      </c>
      <c r="BF115" s="215">
        <f>IFERROR(INDEX('[1]Anexos FICHA TRA050'!$C$14:$C$22, MATCH(Tabla467824[[#This Row],[Columna5]], '[1]Anexos FICHA TRA050'!$D$14:$D$22, 0)), "")</f>
        <v>4.84</v>
      </c>
      <c r="BG115" s="216">
        <f>IFERROR(INDEX('[1]Anexos FICHA TRA050'!$C$49:$C$54, MATCH(Tabla467824[[#This Row],[Columna5]], '[1]Anexos FICHA TRA050'!$D$49:$D$54, 0)), "")</f>
        <v>2831</v>
      </c>
      <c r="BH115" s="217">
        <f>+(((Tabla467824[[#This Row],[CVA2]]*Tabla467824[[#This Row],[f2]])-Tabla467824[[#This Row],[CVN2]])/100)*Tabla467824[[#This Row],[L2]]</f>
        <v>617.46940999999993</v>
      </c>
      <c r="BI115" s="218"/>
      <c r="BJ115" s="218"/>
      <c r="BK115" s="218" t="str">
        <f>+IF(Tabla467824[[#This Row],[F]]=Tabla467824[[#This Row],[f2]], "IGUAL", "DISTINTO")</f>
        <v>IGUAL</v>
      </c>
      <c r="BL115" s="218" t="str">
        <f>+IF(Tabla467824[[#This Row],[CVN]]=Tabla467824[[#This Row],[CVN2]], "IGUAL", "DISTINTO")</f>
        <v>DISTINTO</v>
      </c>
      <c r="BM115" s="219" t="str">
        <f>+IF(Tabla467824[[#This Row],[L]]=Tabla467824[[#This Row],[L2]], "IGUAL", "DISTINTO")</f>
        <v>IGUAL</v>
      </c>
    </row>
    <row r="116" spans="1:65" x14ac:dyDescent="0.25">
      <c r="A116">
        <v>113</v>
      </c>
      <c r="B116" s="202" t="s">
        <v>849</v>
      </c>
      <c r="C116" s="203" t="s">
        <v>850</v>
      </c>
      <c r="D116" s="203" t="s">
        <v>157</v>
      </c>
      <c r="E116" s="203" t="s">
        <v>71</v>
      </c>
      <c r="F116" s="203" t="s">
        <v>71</v>
      </c>
      <c r="G116" s="203" t="s">
        <v>51</v>
      </c>
      <c r="H116" s="246" t="s">
        <v>72</v>
      </c>
      <c r="I116" s="246"/>
      <c r="J116" s="246"/>
      <c r="K116" s="246" t="s">
        <v>72</v>
      </c>
      <c r="L116" s="246" t="s">
        <v>72</v>
      </c>
      <c r="M116" s="246" t="s">
        <v>72</v>
      </c>
      <c r="N116" s="246"/>
      <c r="O116" s="246" t="s">
        <v>158</v>
      </c>
      <c r="P116" s="246" t="s">
        <v>159</v>
      </c>
      <c r="Q116" s="246" t="s">
        <v>158</v>
      </c>
      <c r="R116" s="246" t="s">
        <v>171</v>
      </c>
      <c r="S116" s="247">
        <v>41960</v>
      </c>
      <c r="T116" s="248">
        <v>45579</v>
      </c>
      <c r="U116" s="249">
        <v>3619</v>
      </c>
      <c r="V116" s="250">
        <v>2024</v>
      </c>
      <c r="W116" s="246" t="s">
        <v>172</v>
      </c>
      <c r="X116" s="246" t="s">
        <v>71</v>
      </c>
      <c r="Y116" s="246" t="s">
        <v>844</v>
      </c>
      <c r="Z116" s="246" t="s">
        <v>845</v>
      </c>
      <c r="AA116" s="246" t="s">
        <v>81</v>
      </c>
      <c r="AB116" s="246" t="s">
        <v>82</v>
      </c>
      <c r="AC116" s="246" t="s">
        <v>143</v>
      </c>
      <c r="AD116" s="251">
        <v>12</v>
      </c>
      <c r="AE116" s="251" t="s">
        <v>851</v>
      </c>
      <c r="AF116" s="251" t="s">
        <v>380</v>
      </c>
      <c r="AG116" s="251" t="s">
        <v>381</v>
      </c>
      <c r="AH116" s="251" t="s">
        <v>87</v>
      </c>
      <c r="AI116" s="251" t="s">
        <v>174</v>
      </c>
      <c r="AJ116" s="205" t="s">
        <v>89</v>
      </c>
      <c r="AK116" s="247">
        <v>45616</v>
      </c>
      <c r="AL116" s="251">
        <v>0</v>
      </c>
      <c r="AM116" s="252" t="s">
        <v>81</v>
      </c>
      <c r="AN116" s="252" t="s">
        <v>852</v>
      </c>
      <c r="AO116" s="252" t="s">
        <v>82</v>
      </c>
      <c r="AP116" s="252"/>
      <c r="AQ116" s="252" t="s">
        <v>72</v>
      </c>
      <c r="AR116" s="209" t="s">
        <v>91</v>
      </c>
      <c r="AS116" s="252" t="s">
        <v>853</v>
      </c>
      <c r="AT116" s="210">
        <v>2.9</v>
      </c>
      <c r="AU116" s="211">
        <v>9.19</v>
      </c>
      <c r="AV116" s="212">
        <v>20</v>
      </c>
      <c r="AW116" s="213">
        <v>2831</v>
      </c>
      <c r="AX116" s="213">
        <v>188.28980999999987</v>
      </c>
      <c r="AY116" s="210" t="s">
        <v>157</v>
      </c>
      <c r="AZ116" s="209" t="s">
        <v>168</v>
      </c>
      <c r="BA116" s="214" t="str">
        <f>+IF(Tabla467824[[#This Row],[TIPO VEHÍCULO]]=Tabla467824[[#This Row],[Columna2]], "IGUAL", "DISTINTO")</f>
        <v>IGUAL</v>
      </c>
      <c r="BB116" s="214" t="str">
        <f>+IF(Tabla467824[[#This Row],[Columna4]]=Tabla467824[[#This Row],[Combustible2]], "IGUAL", "DISTINTO")</f>
        <v>IGUAL</v>
      </c>
      <c r="BC116" s="202" t="s">
        <v>849</v>
      </c>
      <c r="BD116" s="215" cm="1">
        <f t="array" ref="BD116">IFERROR(INDEX('[1]Anexos FICHA TRA050'!$D$27:$D$44, MATCH(Tabla467824[[#This Row],[Columna5]]&amp;Tabla467824[[#This Row],[Columna4]], '[1]Anexos FICHA TRA050'!$E$27:$E$44&amp;'[1]Anexos FICHA TRA050'!$F$27:$F$44, 0)), "")</f>
        <v>2.9</v>
      </c>
      <c r="BE116" s="215">
        <f>IFERROR(INDEX('[1]Anexos FICHA TRA050'!$B$4:$B$7, MATCH(Tabla467824[[#This Row],[Columna4]], '[1]Anexos FICHA TRA050'!$C$4:$C$7, 0)), "")</f>
        <v>9.19</v>
      </c>
      <c r="BF116" s="215">
        <f>IFERROR(INDEX('[1]Anexos FICHA TRA050'!$C$14:$C$22, MATCH(Tabla467824[[#This Row],[Columna5]], '[1]Anexos FICHA TRA050'!$D$14:$D$22, 0)), "")</f>
        <v>4.84</v>
      </c>
      <c r="BG116" s="216">
        <f>IFERROR(INDEX('[1]Anexos FICHA TRA050'!$C$49:$C$54, MATCH(Tabla467824[[#This Row],[Columna5]], '[1]Anexos FICHA TRA050'!$D$49:$D$54, 0)), "")</f>
        <v>2831</v>
      </c>
      <c r="BH116" s="217">
        <f>+(((Tabla467824[[#This Row],[CVA2]]*Tabla467824[[#This Row],[f2]])-Tabla467824[[#This Row],[CVN2]])/100)*Tabla467824[[#This Row],[L2]]</f>
        <v>617.46940999999993</v>
      </c>
      <c r="BI116" s="218"/>
      <c r="BJ116" s="218"/>
      <c r="BK116" s="218" t="str">
        <f>+IF(Tabla467824[[#This Row],[F]]=Tabla467824[[#This Row],[f2]], "IGUAL", "DISTINTO")</f>
        <v>IGUAL</v>
      </c>
      <c r="BL116" s="218" t="str">
        <f>+IF(Tabla467824[[#This Row],[CVN]]=Tabla467824[[#This Row],[CVN2]], "IGUAL", "DISTINTO")</f>
        <v>DISTINTO</v>
      </c>
      <c r="BM116" s="219" t="str">
        <f>+IF(Tabla467824[[#This Row],[L]]=Tabla467824[[#This Row],[L2]], "IGUAL", "DISTINTO")</f>
        <v>IGUAL</v>
      </c>
    </row>
    <row r="117" spans="1:65" x14ac:dyDescent="0.25">
      <c r="A117">
        <v>114</v>
      </c>
      <c r="B117" s="202" t="s">
        <v>854</v>
      </c>
      <c r="C117" s="203" t="s">
        <v>855</v>
      </c>
      <c r="D117" s="203" t="s">
        <v>157</v>
      </c>
      <c r="E117" s="203" t="s">
        <v>71</v>
      </c>
      <c r="F117" s="203" t="s">
        <v>71</v>
      </c>
      <c r="G117" s="203" t="s">
        <v>51</v>
      </c>
      <c r="H117" s="246"/>
      <c r="I117" s="246"/>
      <c r="J117" s="246"/>
      <c r="K117" s="246" t="s">
        <v>72</v>
      </c>
      <c r="L117" s="246" t="s">
        <v>72</v>
      </c>
      <c r="M117" s="246" t="s">
        <v>72</v>
      </c>
      <c r="N117" s="246"/>
      <c r="O117" s="246" t="s">
        <v>158</v>
      </c>
      <c r="P117" s="246" t="s">
        <v>159</v>
      </c>
      <c r="Q117" s="246" t="s">
        <v>158</v>
      </c>
      <c r="R117" s="246" t="s">
        <v>171</v>
      </c>
      <c r="S117" s="247">
        <v>42122</v>
      </c>
      <c r="T117" s="248">
        <v>45558</v>
      </c>
      <c r="U117" s="249">
        <v>3436</v>
      </c>
      <c r="V117" s="250">
        <v>2024</v>
      </c>
      <c r="W117" s="246" t="s">
        <v>172</v>
      </c>
      <c r="X117" s="246" t="s">
        <v>71</v>
      </c>
      <c r="Y117" s="246" t="s">
        <v>844</v>
      </c>
      <c r="Z117" s="246" t="s">
        <v>845</v>
      </c>
      <c r="AA117" s="246" t="s">
        <v>81</v>
      </c>
      <c r="AB117" s="246" t="s">
        <v>82</v>
      </c>
      <c r="AC117" s="246" t="s">
        <v>143</v>
      </c>
      <c r="AD117" s="251">
        <v>13</v>
      </c>
      <c r="AE117" s="251" t="s">
        <v>856</v>
      </c>
      <c r="AF117" s="251" t="s">
        <v>85</v>
      </c>
      <c r="AG117" s="251" t="s">
        <v>86</v>
      </c>
      <c r="AH117" s="251" t="s">
        <v>87</v>
      </c>
      <c r="AI117" s="251" t="s">
        <v>174</v>
      </c>
      <c r="AJ117" s="205" t="s">
        <v>89</v>
      </c>
      <c r="AK117" s="247">
        <v>45625</v>
      </c>
      <c r="AL117" s="251">
        <v>0</v>
      </c>
      <c r="AM117" s="252" t="s">
        <v>81</v>
      </c>
      <c r="AN117" s="252" t="s">
        <v>857</v>
      </c>
      <c r="AO117" s="252" t="s">
        <v>82</v>
      </c>
      <c r="AP117" s="252"/>
      <c r="AQ117" s="252" t="s">
        <v>72</v>
      </c>
      <c r="AR117" s="209" t="s">
        <v>91</v>
      </c>
      <c r="AS117" s="252" t="s">
        <v>858</v>
      </c>
      <c r="AT117" s="210">
        <v>2.9</v>
      </c>
      <c r="AU117" s="211">
        <v>9.19</v>
      </c>
      <c r="AV117" s="212">
        <v>17.3</v>
      </c>
      <c r="AW117" s="213">
        <v>2831</v>
      </c>
      <c r="AX117" s="213">
        <v>264.72680999999989</v>
      </c>
      <c r="AY117" s="210" t="s">
        <v>157</v>
      </c>
      <c r="AZ117" s="209" t="s">
        <v>168</v>
      </c>
      <c r="BA117" s="214" t="str">
        <f>+IF(Tabla467824[[#This Row],[TIPO VEHÍCULO]]=Tabla467824[[#This Row],[Columna2]], "IGUAL", "DISTINTO")</f>
        <v>IGUAL</v>
      </c>
      <c r="BB117" s="214" t="str">
        <f>+IF(Tabla467824[[#This Row],[Columna4]]=Tabla467824[[#This Row],[Combustible2]], "IGUAL", "DISTINTO")</f>
        <v>IGUAL</v>
      </c>
      <c r="BC117" s="202" t="s">
        <v>854</v>
      </c>
      <c r="BD117" s="215" cm="1">
        <f t="array" ref="BD117">IFERROR(INDEX('[1]Anexos FICHA TRA050'!$D$27:$D$44, MATCH(Tabla467824[[#This Row],[Columna5]]&amp;Tabla467824[[#This Row],[Columna4]], '[1]Anexos FICHA TRA050'!$E$27:$E$44&amp;'[1]Anexos FICHA TRA050'!$F$27:$F$44, 0)), "")</f>
        <v>2.9</v>
      </c>
      <c r="BE117" s="215">
        <f>IFERROR(INDEX('[1]Anexos FICHA TRA050'!$B$4:$B$7, MATCH(Tabla467824[[#This Row],[Columna4]], '[1]Anexos FICHA TRA050'!$C$4:$C$7, 0)), "")</f>
        <v>9.19</v>
      </c>
      <c r="BF117" s="215">
        <f>IFERROR(INDEX('[1]Anexos FICHA TRA050'!$C$14:$C$22, MATCH(Tabla467824[[#This Row],[Columna5]], '[1]Anexos FICHA TRA050'!$D$14:$D$22, 0)), "")</f>
        <v>4.84</v>
      </c>
      <c r="BG117" s="216">
        <f>IFERROR(INDEX('[1]Anexos FICHA TRA050'!$C$49:$C$54, MATCH(Tabla467824[[#This Row],[Columna5]], '[1]Anexos FICHA TRA050'!$D$49:$D$54, 0)), "")</f>
        <v>2831</v>
      </c>
      <c r="BH117" s="217">
        <f>+(((Tabla467824[[#This Row],[CVA2]]*Tabla467824[[#This Row],[f2]])-Tabla467824[[#This Row],[CVN2]])/100)*Tabla467824[[#This Row],[L2]]</f>
        <v>617.46940999999993</v>
      </c>
      <c r="BI117" s="218"/>
      <c r="BJ117" s="218"/>
      <c r="BK117" s="218" t="str">
        <f>+IF(Tabla467824[[#This Row],[F]]=Tabla467824[[#This Row],[f2]], "IGUAL", "DISTINTO")</f>
        <v>IGUAL</v>
      </c>
      <c r="BL117" s="218" t="str">
        <f>+IF(Tabla467824[[#This Row],[CVN]]=Tabla467824[[#This Row],[CVN2]], "IGUAL", "DISTINTO")</f>
        <v>DISTINTO</v>
      </c>
      <c r="BM117" s="219" t="str">
        <f>+IF(Tabla467824[[#This Row],[L]]=Tabla467824[[#This Row],[L2]], "IGUAL", "DISTINTO")</f>
        <v>IGUAL</v>
      </c>
    </row>
    <row r="118" spans="1:65" x14ac:dyDescent="0.25">
      <c r="A118">
        <v>115</v>
      </c>
      <c r="B118" s="202" t="s">
        <v>859</v>
      </c>
      <c r="C118" s="203" t="s">
        <v>860</v>
      </c>
      <c r="D118" s="203" t="s">
        <v>157</v>
      </c>
      <c r="E118" s="203" t="s">
        <v>71</v>
      </c>
      <c r="F118" s="203" t="s">
        <v>71</v>
      </c>
      <c r="G118" s="203" t="s">
        <v>51</v>
      </c>
      <c r="H118" s="246" t="s">
        <v>72</v>
      </c>
      <c r="I118" s="246"/>
      <c r="J118" s="246"/>
      <c r="K118" s="246" t="s">
        <v>72</v>
      </c>
      <c r="L118" s="246" t="s">
        <v>72</v>
      </c>
      <c r="M118" s="246" t="s">
        <v>72</v>
      </c>
      <c r="N118" s="246" t="s">
        <v>72</v>
      </c>
      <c r="O118" s="246" t="s">
        <v>158</v>
      </c>
      <c r="P118" s="246" t="s">
        <v>159</v>
      </c>
      <c r="Q118" s="246" t="s">
        <v>158</v>
      </c>
      <c r="R118" s="246" t="s">
        <v>171</v>
      </c>
      <c r="S118" s="247">
        <v>41960</v>
      </c>
      <c r="T118" s="248">
        <v>45561</v>
      </c>
      <c r="U118" s="249">
        <v>3601</v>
      </c>
      <c r="V118" s="250">
        <v>2024</v>
      </c>
      <c r="W118" s="246" t="s">
        <v>172</v>
      </c>
      <c r="X118" s="246" t="s">
        <v>71</v>
      </c>
      <c r="Y118" s="246" t="s">
        <v>844</v>
      </c>
      <c r="Z118" s="246" t="s">
        <v>845</v>
      </c>
      <c r="AA118" s="246" t="s">
        <v>81</v>
      </c>
      <c r="AB118" s="246" t="s">
        <v>82</v>
      </c>
      <c r="AC118" s="246" t="s">
        <v>143</v>
      </c>
      <c r="AD118" s="251">
        <v>14</v>
      </c>
      <c r="AE118" s="251" t="s">
        <v>861</v>
      </c>
      <c r="AF118" s="251" t="s">
        <v>85</v>
      </c>
      <c r="AG118" s="251" t="s">
        <v>86</v>
      </c>
      <c r="AH118" s="251" t="s">
        <v>87</v>
      </c>
      <c r="AI118" s="251" t="s">
        <v>143</v>
      </c>
      <c r="AJ118" s="205" t="s">
        <v>89</v>
      </c>
      <c r="AK118" s="247">
        <v>45625</v>
      </c>
      <c r="AL118" s="251">
        <v>0</v>
      </c>
      <c r="AM118" s="252" t="s">
        <v>81</v>
      </c>
      <c r="AN118" s="252" t="s">
        <v>862</v>
      </c>
      <c r="AO118" s="252" t="s">
        <v>82</v>
      </c>
      <c r="AP118" s="252"/>
      <c r="AQ118" s="252" t="s">
        <v>72</v>
      </c>
      <c r="AR118" s="209" t="s">
        <v>91</v>
      </c>
      <c r="AS118" s="252" t="s">
        <v>863</v>
      </c>
      <c r="AT118" s="210">
        <v>2.9</v>
      </c>
      <c r="AU118" s="211">
        <v>9.19</v>
      </c>
      <c r="AV118" s="212">
        <v>17.3</v>
      </c>
      <c r="AW118" s="213">
        <v>2831</v>
      </c>
      <c r="AX118" s="213">
        <v>264.72680999999989</v>
      </c>
      <c r="AY118" s="210" t="s">
        <v>157</v>
      </c>
      <c r="AZ118" s="209" t="s">
        <v>168</v>
      </c>
      <c r="BA118" s="214" t="str">
        <f>+IF(Tabla467824[[#This Row],[TIPO VEHÍCULO]]=Tabla467824[[#This Row],[Columna2]], "IGUAL", "DISTINTO")</f>
        <v>IGUAL</v>
      </c>
      <c r="BB118" s="214" t="str">
        <f>+IF(Tabla467824[[#This Row],[Columna4]]=Tabla467824[[#This Row],[Combustible2]], "IGUAL", "DISTINTO")</f>
        <v>IGUAL</v>
      </c>
      <c r="BC118" s="202" t="s">
        <v>859</v>
      </c>
      <c r="BD118" s="215" cm="1">
        <f t="array" ref="BD118">IFERROR(INDEX('[1]Anexos FICHA TRA050'!$D$27:$D$44, MATCH(Tabla467824[[#This Row],[Columna5]]&amp;Tabla467824[[#This Row],[Columna4]], '[1]Anexos FICHA TRA050'!$E$27:$E$44&amp;'[1]Anexos FICHA TRA050'!$F$27:$F$44, 0)), "")</f>
        <v>2.9</v>
      </c>
      <c r="BE118" s="215">
        <f>IFERROR(INDEX('[1]Anexos FICHA TRA050'!$B$4:$B$7, MATCH(Tabla467824[[#This Row],[Columna4]], '[1]Anexos FICHA TRA050'!$C$4:$C$7, 0)), "")</f>
        <v>9.19</v>
      </c>
      <c r="BF118" s="215">
        <f>IFERROR(INDEX('[1]Anexos FICHA TRA050'!$C$14:$C$22, MATCH(Tabla467824[[#This Row],[Columna5]], '[1]Anexos FICHA TRA050'!$D$14:$D$22, 0)), "")</f>
        <v>4.84</v>
      </c>
      <c r="BG118" s="216">
        <f>IFERROR(INDEX('[1]Anexos FICHA TRA050'!$C$49:$C$54, MATCH(Tabla467824[[#This Row],[Columna5]], '[1]Anexos FICHA TRA050'!$D$49:$D$54, 0)), "")</f>
        <v>2831</v>
      </c>
      <c r="BH118" s="217">
        <f>+(((Tabla467824[[#This Row],[CVA2]]*Tabla467824[[#This Row],[f2]])-Tabla467824[[#This Row],[CVN2]])/100)*Tabla467824[[#This Row],[L2]]</f>
        <v>617.46940999999993</v>
      </c>
      <c r="BI118" s="218"/>
      <c r="BJ118" s="218"/>
      <c r="BK118" s="218" t="str">
        <f>+IF(Tabla467824[[#This Row],[F]]=Tabla467824[[#This Row],[f2]], "IGUAL", "DISTINTO")</f>
        <v>IGUAL</v>
      </c>
      <c r="BL118" s="218" t="str">
        <f>+IF(Tabla467824[[#This Row],[CVN]]=Tabla467824[[#This Row],[CVN2]], "IGUAL", "DISTINTO")</f>
        <v>DISTINTO</v>
      </c>
      <c r="BM118" s="219" t="str">
        <f>+IF(Tabla467824[[#This Row],[L]]=Tabla467824[[#This Row],[L2]], "IGUAL", "DISTINTO")</f>
        <v>IGUAL</v>
      </c>
    </row>
    <row r="119" spans="1:65" x14ac:dyDescent="0.25">
      <c r="A119">
        <v>116</v>
      </c>
      <c r="B119" s="202" t="s">
        <v>864</v>
      </c>
      <c r="C119" s="203" t="s">
        <v>865</v>
      </c>
      <c r="D119" s="203" t="s">
        <v>128</v>
      </c>
      <c r="E119" s="203" t="s">
        <v>78</v>
      </c>
      <c r="F119" s="203" t="s">
        <v>78</v>
      </c>
      <c r="G119" s="203" t="s">
        <v>128</v>
      </c>
      <c r="H119" s="203" t="s">
        <v>72</v>
      </c>
      <c r="I119" s="203"/>
      <c r="J119" s="203"/>
      <c r="K119" s="203"/>
      <c r="L119" s="203" t="s">
        <v>72</v>
      </c>
      <c r="M119" s="203" t="s">
        <v>72</v>
      </c>
      <c r="N119" s="203"/>
      <c r="O119" s="203" t="s">
        <v>866</v>
      </c>
      <c r="P119" s="203" t="s">
        <v>74</v>
      </c>
      <c r="Q119" s="203" t="s">
        <v>75</v>
      </c>
      <c r="R119" s="203" t="s">
        <v>76</v>
      </c>
      <c r="S119" s="204">
        <v>45541</v>
      </c>
      <c r="T119" s="205">
        <v>45631</v>
      </c>
      <c r="U119" s="206">
        <v>90</v>
      </c>
      <c r="V119" s="207">
        <v>2024</v>
      </c>
      <c r="W119" s="203" t="s">
        <v>77</v>
      </c>
      <c r="X119" s="203" t="s">
        <v>78</v>
      </c>
      <c r="Y119" s="203" t="s">
        <v>79</v>
      </c>
      <c r="Z119" s="203" t="s">
        <v>867</v>
      </c>
      <c r="AA119" s="203" t="s">
        <v>336</v>
      </c>
      <c r="AB119" s="203" t="s">
        <v>337</v>
      </c>
      <c r="AC119" s="203" t="s">
        <v>351</v>
      </c>
      <c r="AD119" s="208">
        <v>9</v>
      </c>
      <c r="AE119" s="208" t="s">
        <v>868</v>
      </c>
      <c r="AF119" s="208" t="s">
        <v>140</v>
      </c>
      <c r="AG119" s="208" t="s">
        <v>151</v>
      </c>
      <c r="AH119" s="208" t="s">
        <v>87</v>
      </c>
      <c r="AI119" s="208" t="s">
        <v>338</v>
      </c>
      <c r="AJ119" s="205" t="s">
        <v>89</v>
      </c>
      <c r="AK119" s="204">
        <v>45625</v>
      </c>
      <c r="AL119" s="208">
        <v>0</v>
      </c>
      <c r="AM119" s="209" t="s">
        <v>336</v>
      </c>
      <c r="AN119" s="209" t="s">
        <v>869</v>
      </c>
      <c r="AO119" s="209" t="s">
        <v>337</v>
      </c>
      <c r="AP119" s="209"/>
      <c r="AQ119" s="209" t="s">
        <v>72</v>
      </c>
      <c r="AR119" s="209" t="s">
        <v>91</v>
      </c>
      <c r="AS119" s="209" t="s">
        <v>870</v>
      </c>
      <c r="AT119" s="210">
        <v>5.6</v>
      </c>
      <c r="AU119" s="211">
        <v>10</v>
      </c>
      <c r="AV119" s="212">
        <v>16.399999999999999</v>
      </c>
      <c r="AW119" s="213">
        <v>15815</v>
      </c>
      <c r="AX119" s="213">
        <v>6262.7400000000007</v>
      </c>
      <c r="AY119" s="210" t="s">
        <v>128</v>
      </c>
      <c r="AZ119" s="209" t="s">
        <v>255</v>
      </c>
      <c r="BA119" s="214" t="str">
        <f>+IF(Tabla467824[[#This Row],[TIPO VEHÍCULO]]=Tabla467824[[#This Row],[Columna2]], "IGUAL", "DISTINTO")</f>
        <v>IGUAL</v>
      </c>
      <c r="BB119" s="214" t="str">
        <f>+IF(Tabla467824[[#This Row],[Columna4]]=Tabla467824[[#This Row],[Combustible2]], "IGUAL", "DISTINTO")</f>
        <v>IGUAL</v>
      </c>
      <c r="BC119" s="202" t="s">
        <v>864</v>
      </c>
      <c r="BD119" s="215" cm="1">
        <f t="array" ref="BD119">IFERROR(INDEX('[1]Anexos FICHA TRA050'!$D$27:$D$44, MATCH(Tabla467824[[#This Row],[Columna5]]&amp;Tabla467824[[#This Row],[Columna4]], '[1]Anexos FICHA TRA050'!$E$27:$E$44&amp;'[1]Anexos FICHA TRA050'!$F$27:$F$44, 0)), "")</f>
        <v>5.63</v>
      </c>
      <c r="BE119" s="215">
        <f>IFERROR(INDEX('[1]Anexos FICHA TRA050'!$B$4:$B$7, MATCH(Tabla467824[[#This Row],[Columna4]], '[1]Anexos FICHA TRA050'!$C$4:$C$7, 0)), "")</f>
        <v>10</v>
      </c>
      <c r="BF119" s="215">
        <f>IFERROR(INDEX('[1]Anexos FICHA TRA050'!$C$14:$C$22, MATCH(Tabla467824[[#This Row],[Columna5]], '[1]Anexos FICHA TRA050'!$D$14:$D$22, 0)), "")</f>
        <v>20.84</v>
      </c>
      <c r="BG119" s="216">
        <f>IFERROR(INDEX('[1]Anexos FICHA TRA050'!$C$49:$C$54, MATCH(Tabla467824[[#This Row],[Columna5]], '[1]Anexos FICHA TRA050'!$D$49:$D$54, 0)), "")</f>
        <v>15815</v>
      </c>
      <c r="BH119" s="217">
        <f>+(((Tabla467824[[#This Row],[CVA2]]*Tabla467824[[#This Row],[f2]])-Tabla467824[[#This Row],[CVN2]])/100)*Tabla467824[[#This Row],[L2]]</f>
        <v>5607.9989999999989</v>
      </c>
      <c r="BI119" s="218"/>
      <c r="BJ119" s="218"/>
      <c r="BK119" s="218" t="str">
        <f>+IF(Tabla467824[[#This Row],[F]]=Tabla467824[[#This Row],[f2]], "IGUAL", "DISTINTO")</f>
        <v>IGUAL</v>
      </c>
      <c r="BL119" s="218" t="str">
        <f>+IF(Tabla467824[[#This Row],[CVN]]=Tabla467824[[#This Row],[CVN2]], "IGUAL", "DISTINTO")</f>
        <v>DISTINTO</v>
      </c>
      <c r="BM119" s="219" t="str">
        <f>+IF(Tabla467824[[#This Row],[L]]=Tabla467824[[#This Row],[L2]], "IGUAL", "DISTINTO")</f>
        <v>IGUAL</v>
      </c>
    </row>
    <row r="120" spans="1:65" x14ac:dyDescent="0.25">
      <c r="A120">
        <v>117</v>
      </c>
      <c r="B120" s="202" t="s">
        <v>871</v>
      </c>
      <c r="C120" s="203" t="s">
        <v>872</v>
      </c>
      <c r="D120" s="203" t="s">
        <v>128</v>
      </c>
      <c r="E120" s="203" t="s">
        <v>78</v>
      </c>
      <c r="F120" s="203" t="s">
        <v>78</v>
      </c>
      <c r="G120" s="203" t="s">
        <v>128</v>
      </c>
      <c r="H120" s="203" t="s">
        <v>72</v>
      </c>
      <c r="I120" s="203"/>
      <c r="J120" s="203"/>
      <c r="K120" s="203"/>
      <c r="L120" s="203" t="s">
        <v>72</v>
      </c>
      <c r="M120" s="203" t="s">
        <v>72</v>
      </c>
      <c r="N120" s="203"/>
      <c r="O120" s="203" t="s">
        <v>866</v>
      </c>
      <c r="P120" s="203" t="s">
        <v>74</v>
      </c>
      <c r="Q120" s="203" t="s">
        <v>75</v>
      </c>
      <c r="R120" s="203" t="s">
        <v>76</v>
      </c>
      <c r="S120" s="204">
        <v>45541</v>
      </c>
      <c r="T120" s="205">
        <v>45631</v>
      </c>
      <c r="U120" s="206">
        <v>90</v>
      </c>
      <c r="V120" s="207">
        <v>2024</v>
      </c>
      <c r="W120" s="203" t="s">
        <v>77</v>
      </c>
      <c r="X120" s="203" t="s">
        <v>78</v>
      </c>
      <c r="Y120" s="203" t="s">
        <v>79</v>
      </c>
      <c r="Z120" s="203" t="s">
        <v>867</v>
      </c>
      <c r="AA120" s="203" t="s">
        <v>336</v>
      </c>
      <c r="AB120" s="203" t="s">
        <v>337</v>
      </c>
      <c r="AC120" s="203" t="s">
        <v>351</v>
      </c>
      <c r="AD120" s="208">
        <v>10</v>
      </c>
      <c r="AE120" s="208" t="s">
        <v>873</v>
      </c>
      <c r="AF120" s="208" t="s">
        <v>140</v>
      </c>
      <c r="AG120" s="208" t="s">
        <v>151</v>
      </c>
      <c r="AH120" s="208" t="s">
        <v>87</v>
      </c>
      <c r="AI120" s="208" t="s">
        <v>874</v>
      </c>
      <c r="AJ120" s="205" t="s">
        <v>89</v>
      </c>
      <c r="AK120" s="204">
        <v>45625</v>
      </c>
      <c r="AL120" s="208">
        <v>0</v>
      </c>
      <c r="AM120" s="209" t="s">
        <v>336</v>
      </c>
      <c r="AN120" s="209" t="s">
        <v>875</v>
      </c>
      <c r="AO120" s="209" t="s">
        <v>337</v>
      </c>
      <c r="AP120" s="209"/>
      <c r="AQ120" s="209" t="s">
        <v>72</v>
      </c>
      <c r="AR120" s="209" t="s">
        <v>91</v>
      </c>
      <c r="AS120" s="209" t="s">
        <v>876</v>
      </c>
      <c r="AT120" s="210">
        <v>5.6</v>
      </c>
      <c r="AU120" s="211">
        <v>10</v>
      </c>
      <c r="AV120" s="212">
        <v>16.399999999999999</v>
      </c>
      <c r="AW120" s="213">
        <v>15815</v>
      </c>
      <c r="AX120" s="213">
        <v>6262.7400000000007</v>
      </c>
      <c r="AY120" s="210" t="s">
        <v>128</v>
      </c>
      <c r="AZ120" s="209" t="s">
        <v>255</v>
      </c>
      <c r="BA120" s="214" t="str">
        <f>+IF(Tabla467824[[#This Row],[TIPO VEHÍCULO]]=Tabla467824[[#This Row],[Columna2]], "IGUAL", "DISTINTO")</f>
        <v>IGUAL</v>
      </c>
      <c r="BB120" s="214" t="str">
        <f>+IF(Tabla467824[[#This Row],[Columna4]]=Tabla467824[[#This Row],[Combustible2]], "IGUAL", "DISTINTO")</f>
        <v>IGUAL</v>
      </c>
      <c r="BC120" s="202" t="s">
        <v>871</v>
      </c>
      <c r="BD120" s="215" cm="1">
        <f t="array" ref="BD120">IFERROR(INDEX('[1]Anexos FICHA TRA050'!$D$27:$D$44, MATCH(Tabla467824[[#This Row],[Columna5]]&amp;Tabla467824[[#This Row],[Columna4]], '[1]Anexos FICHA TRA050'!$E$27:$E$44&amp;'[1]Anexos FICHA TRA050'!$F$27:$F$44, 0)), "")</f>
        <v>5.63</v>
      </c>
      <c r="BE120" s="215">
        <f>IFERROR(INDEX('[1]Anexos FICHA TRA050'!$B$4:$B$7, MATCH(Tabla467824[[#This Row],[Columna4]], '[1]Anexos FICHA TRA050'!$C$4:$C$7, 0)), "")</f>
        <v>10</v>
      </c>
      <c r="BF120" s="215">
        <f>IFERROR(INDEX('[1]Anexos FICHA TRA050'!$C$14:$C$22, MATCH(Tabla467824[[#This Row],[Columna5]], '[1]Anexos FICHA TRA050'!$D$14:$D$22, 0)), "")</f>
        <v>20.84</v>
      </c>
      <c r="BG120" s="216">
        <f>IFERROR(INDEX('[1]Anexos FICHA TRA050'!$C$49:$C$54, MATCH(Tabla467824[[#This Row],[Columna5]], '[1]Anexos FICHA TRA050'!$D$49:$D$54, 0)), "")</f>
        <v>15815</v>
      </c>
      <c r="BH120" s="217">
        <f>+(((Tabla467824[[#This Row],[CVA2]]*Tabla467824[[#This Row],[f2]])-Tabla467824[[#This Row],[CVN2]])/100)*Tabla467824[[#This Row],[L2]]</f>
        <v>5607.9989999999989</v>
      </c>
      <c r="BI120" s="218"/>
      <c r="BJ120" s="218"/>
      <c r="BK120" s="218" t="str">
        <f>+IF(Tabla467824[[#This Row],[F]]=Tabla467824[[#This Row],[f2]], "IGUAL", "DISTINTO")</f>
        <v>IGUAL</v>
      </c>
      <c r="BL120" s="218" t="str">
        <f>+IF(Tabla467824[[#This Row],[CVN]]=Tabla467824[[#This Row],[CVN2]], "IGUAL", "DISTINTO")</f>
        <v>DISTINTO</v>
      </c>
      <c r="BM120" s="219" t="str">
        <f>+IF(Tabla467824[[#This Row],[L]]=Tabla467824[[#This Row],[L2]], "IGUAL", "DISTINTO")</f>
        <v>IGUAL</v>
      </c>
    </row>
    <row r="121" spans="1:65" x14ac:dyDescent="0.25">
      <c r="A121">
        <v>118</v>
      </c>
      <c r="B121" s="202" t="s">
        <v>877</v>
      </c>
      <c r="C121" s="203" t="s">
        <v>878</v>
      </c>
      <c r="D121" s="203" t="s">
        <v>70</v>
      </c>
      <c r="E121" s="203" t="s">
        <v>71</v>
      </c>
      <c r="F121" s="203" t="s">
        <v>71</v>
      </c>
      <c r="G121" s="203" t="s">
        <v>70</v>
      </c>
      <c r="H121" s="203" t="s">
        <v>72</v>
      </c>
      <c r="I121" s="203"/>
      <c r="J121" s="203" t="s">
        <v>72</v>
      </c>
      <c r="K121" s="203"/>
      <c r="L121" s="203"/>
      <c r="M121" s="203"/>
      <c r="N121" s="203"/>
      <c r="O121" s="203" t="s">
        <v>73</v>
      </c>
      <c r="P121" s="203" t="s">
        <v>74</v>
      </c>
      <c r="Q121" s="203" t="s">
        <v>75</v>
      </c>
      <c r="R121" s="203" t="s">
        <v>76</v>
      </c>
      <c r="S121" s="204">
        <v>44452</v>
      </c>
      <c r="T121" s="205">
        <v>45261</v>
      </c>
      <c r="U121" s="206">
        <v>809</v>
      </c>
      <c r="V121" s="207">
        <v>2023</v>
      </c>
      <c r="W121" s="203" t="s">
        <v>77</v>
      </c>
      <c r="X121" s="203" t="s">
        <v>71</v>
      </c>
      <c r="Y121" s="203" t="s">
        <v>79</v>
      </c>
      <c r="Z121" s="203" t="s">
        <v>879</v>
      </c>
      <c r="AA121" s="203" t="s">
        <v>336</v>
      </c>
      <c r="AB121" s="203" t="s">
        <v>337</v>
      </c>
      <c r="AC121" s="203" t="s">
        <v>880</v>
      </c>
      <c r="AD121" s="208">
        <v>11</v>
      </c>
      <c r="AE121" s="208" t="s">
        <v>881</v>
      </c>
      <c r="AF121" s="208" t="s">
        <v>380</v>
      </c>
      <c r="AG121" s="208" t="s">
        <v>381</v>
      </c>
      <c r="AH121" s="208" t="s">
        <v>87</v>
      </c>
      <c r="AI121" s="208" t="s">
        <v>382</v>
      </c>
      <c r="AJ121" s="205" t="s">
        <v>89</v>
      </c>
      <c r="AK121" s="204">
        <v>45483</v>
      </c>
      <c r="AL121" s="208">
        <v>1</v>
      </c>
      <c r="AM121" s="209" t="s">
        <v>336</v>
      </c>
      <c r="AN121" s="210">
        <v>4500407445</v>
      </c>
      <c r="AO121" s="209" t="s">
        <v>337</v>
      </c>
      <c r="AP121" s="209"/>
      <c r="AQ121" s="209" t="s">
        <v>72</v>
      </c>
      <c r="AR121" s="209" t="s">
        <v>91</v>
      </c>
      <c r="AS121" s="209" t="s">
        <v>882</v>
      </c>
      <c r="AT121" s="210">
        <v>5.0999999999999996</v>
      </c>
      <c r="AU121" s="211">
        <v>9.19</v>
      </c>
      <c r="AV121" s="212">
        <v>20</v>
      </c>
      <c r="AW121" s="213">
        <v>13073</v>
      </c>
      <c r="AX121" s="213">
        <v>3512.5843699999991</v>
      </c>
      <c r="AY121" s="210" t="s">
        <v>70</v>
      </c>
      <c r="AZ121" s="209" t="s">
        <v>255</v>
      </c>
      <c r="BA121" s="214" t="str">
        <f>+IF(Tabla467824[[#This Row],[TIPO VEHÍCULO]]=Tabla467824[[#This Row],[Columna2]], "IGUAL", "DISTINTO")</f>
        <v>IGUAL</v>
      </c>
      <c r="BB121" s="214" t="str">
        <f>+IF(Tabla467824[[#This Row],[Columna4]]=Tabla467824[[#This Row],[Combustible2]], "IGUAL", "DISTINTO")</f>
        <v>IGUAL</v>
      </c>
      <c r="BC121" s="202" t="s">
        <v>877</v>
      </c>
      <c r="BD121" s="215" cm="1">
        <f t="array" ref="BD121">IFERROR(INDEX('[1]Anexos FICHA TRA050'!$D$27:$D$44, MATCH(Tabla467824[[#This Row],[Columna5]]&amp;Tabla467824[[#This Row],[Columna4]], '[1]Anexos FICHA TRA050'!$E$27:$E$44&amp;'[1]Anexos FICHA TRA050'!$F$27:$F$44, 0)), "")</f>
        <v>7.89</v>
      </c>
      <c r="BE121" s="215">
        <f>IFERROR(INDEX('[1]Anexos FICHA TRA050'!$B$4:$B$7, MATCH(Tabla467824[[#This Row],[Columna4]], '[1]Anexos FICHA TRA050'!$C$4:$C$7, 0)), "")</f>
        <v>9.19</v>
      </c>
      <c r="BF121" s="215">
        <f>IFERROR(INDEX('[1]Anexos FICHA TRA050'!$C$14:$C$22, MATCH(Tabla467824[[#This Row],[Columna5]], '[1]Anexos FICHA TRA050'!$D$14:$D$22, 0)), "")</f>
        <v>17.920000000000002</v>
      </c>
      <c r="BG121" s="216">
        <f>IFERROR(INDEX('[1]Anexos FICHA TRA050'!$C$49:$C$54, MATCH(Tabla467824[[#This Row],[Columna5]], '[1]Anexos FICHA TRA050'!$D$49:$D$54, 0)), "")</f>
        <v>13073</v>
      </c>
      <c r="BH121" s="217">
        <f>+(((Tabla467824[[#This Row],[CVA2]]*Tabla467824[[#This Row],[f2]])-Tabla467824[[#This Row],[CVN2]])/100)*Tabla467824[[#This Row],[L2]]</f>
        <v>7136.4330429999991</v>
      </c>
      <c r="BI121" s="218"/>
      <c r="BJ121" s="218"/>
      <c r="BK121" s="218" t="str">
        <f>+IF(Tabla467824[[#This Row],[F]]=Tabla467824[[#This Row],[f2]], "IGUAL", "DISTINTO")</f>
        <v>IGUAL</v>
      </c>
      <c r="BL121" s="218" t="str">
        <f>+IF(Tabla467824[[#This Row],[CVN]]=Tabla467824[[#This Row],[CVN2]], "IGUAL", "DISTINTO")</f>
        <v>DISTINTO</v>
      </c>
      <c r="BM121" s="219" t="str">
        <f>+IF(Tabla467824[[#This Row],[L]]=Tabla467824[[#This Row],[L2]], "IGUAL", "DISTINTO")</f>
        <v>IGUAL</v>
      </c>
    </row>
    <row r="122" spans="1:65" x14ac:dyDescent="0.25">
      <c r="A122">
        <v>119</v>
      </c>
      <c r="B122" s="202" t="s">
        <v>883</v>
      </c>
      <c r="C122" s="203" t="s">
        <v>884</v>
      </c>
      <c r="D122" s="203" t="s">
        <v>516</v>
      </c>
      <c r="E122" s="203" t="s">
        <v>78</v>
      </c>
      <c r="F122" s="203" t="s">
        <v>78</v>
      </c>
      <c r="G122" s="203" t="s">
        <v>516</v>
      </c>
      <c r="H122" s="203"/>
      <c r="I122" s="203"/>
      <c r="J122" s="203"/>
      <c r="K122" s="203"/>
      <c r="L122" s="203"/>
      <c r="M122" s="203"/>
      <c r="N122" s="203"/>
      <c r="O122" s="203" t="s">
        <v>885</v>
      </c>
      <c r="P122" s="203" t="s">
        <v>161</v>
      </c>
      <c r="Q122" s="203" t="s">
        <v>886</v>
      </c>
      <c r="R122" s="203" t="s">
        <v>171</v>
      </c>
      <c r="S122" s="209">
        <v>45444</v>
      </c>
      <c r="T122" s="205">
        <v>45444</v>
      </c>
      <c r="U122" s="206">
        <v>0</v>
      </c>
      <c r="V122" s="207">
        <v>2024</v>
      </c>
      <c r="W122" s="203" t="s">
        <v>172</v>
      </c>
      <c r="X122" s="203" t="s">
        <v>78</v>
      </c>
      <c r="Y122" s="203" t="s">
        <v>887</v>
      </c>
      <c r="Z122" s="203" t="s">
        <v>888</v>
      </c>
      <c r="AA122" s="203" t="s">
        <v>102</v>
      </c>
      <c r="AB122" s="203" t="s">
        <v>103</v>
      </c>
      <c r="AC122" s="203" t="s">
        <v>696</v>
      </c>
      <c r="AD122" s="208">
        <v>39</v>
      </c>
      <c r="AE122" s="208" t="s">
        <v>889</v>
      </c>
      <c r="AF122" s="208" t="s">
        <v>140</v>
      </c>
      <c r="AG122" s="208" t="s">
        <v>151</v>
      </c>
      <c r="AH122" s="208" t="s">
        <v>87</v>
      </c>
      <c r="AI122" s="208" t="s">
        <v>303</v>
      </c>
      <c r="AJ122" s="205" t="s">
        <v>89</v>
      </c>
      <c r="AK122" s="204">
        <v>45625</v>
      </c>
      <c r="AL122" s="208">
        <v>0</v>
      </c>
      <c r="AM122" s="209" t="s">
        <v>102</v>
      </c>
      <c r="AN122" s="209" t="s">
        <v>890</v>
      </c>
      <c r="AO122" s="209" t="s">
        <v>103</v>
      </c>
      <c r="AP122" s="209"/>
      <c r="AQ122" s="209" t="s">
        <v>72</v>
      </c>
      <c r="AR122" s="209" t="s">
        <v>109</v>
      </c>
      <c r="AS122" s="209" t="s">
        <v>891</v>
      </c>
      <c r="AT122" s="210">
        <v>5.6</v>
      </c>
      <c r="AU122" s="211">
        <v>10</v>
      </c>
      <c r="AV122" s="212">
        <v>16.399999999999999</v>
      </c>
      <c r="AW122" s="213">
        <v>15815</v>
      </c>
      <c r="AX122" s="213">
        <v>6262.7400000000007</v>
      </c>
      <c r="AY122" s="210" t="s">
        <v>128</v>
      </c>
      <c r="AZ122" s="209" t="s">
        <v>255</v>
      </c>
      <c r="BA122" s="214" t="str">
        <f>+IF(Tabla467824[[#This Row],[TIPO VEHÍCULO]]=Tabla467824[[#This Row],[Columna2]], "IGUAL", "DISTINTO")</f>
        <v>DISTINTO</v>
      </c>
      <c r="BB122" s="214" t="str">
        <f>+IF(Tabla467824[[#This Row],[Columna4]]=Tabla467824[[#This Row],[Combustible2]], "IGUAL", "DISTINTO")</f>
        <v>IGUAL</v>
      </c>
      <c r="BC122" s="202" t="s">
        <v>883</v>
      </c>
      <c r="BD122" s="215" cm="1">
        <f t="array" ref="BD122">IFERROR(INDEX('[1]Anexos FICHA TRA050'!$D$27:$D$44, MATCH(Tabla467824[[#This Row],[Columna5]]&amp;Tabla467824[[#This Row],[Columna4]], '[1]Anexos FICHA TRA050'!$E$27:$E$44&amp;'[1]Anexos FICHA TRA050'!$F$27:$F$44, 0)), "")</f>
        <v>35</v>
      </c>
      <c r="BE122" s="215">
        <f>IFERROR(INDEX('[1]Anexos FICHA TRA050'!$B$4:$B$7, MATCH(Tabla467824[[#This Row],[Columna4]], '[1]Anexos FICHA TRA050'!$C$4:$C$7, 0)), "")</f>
        <v>10</v>
      </c>
      <c r="BF122" s="215">
        <f>IFERROR(INDEX('[1]Anexos FICHA TRA050'!$C$14:$C$22, MATCH(Tabla467824[[#This Row],[Columna5]], '[1]Anexos FICHA TRA050'!$D$14:$D$22, 0)), "")</f>
        <v>118.53</v>
      </c>
      <c r="BG122" s="216">
        <f>IFERROR(INDEX('[1]Anexos FICHA TRA050'!$C$49:$C$54, MATCH(Tabla467824[[#This Row],[Columna5]], '[1]Anexos FICHA TRA050'!$D$49:$D$54, 0)), "")</f>
        <v>53508</v>
      </c>
      <c r="BH122" s="217">
        <f>+(((Tabla467824[[#This Row],[CVA2]]*Tabla467824[[#This Row],[f2]])-Tabla467824[[#This Row],[CVN2]])/100)*Tabla467824[[#This Row],[L2]]</f>
        <v>123854.9676</v>
      </c>
      <c r="BI122" s="218"/>
      <c r="BJ122" s="218"/>
      <c r="BK122" s="218" t="str">
        <f>+IF(Tabla467824[[#This Row],[F]]=Tabla467824[[#This Row],[f2]], "IGUAL", "DISTINTO")</f>
        <v>IGUAL</v>
      </c>
      <c r="BL122" s="218" t="str">
        <f>+IF(Tabla467824[[#This Row],[CVN]]=Tabla467824[[#This Row],[CVN2]], "IGUAL", "DISTINTO")</f>
        <v>DISTINTO</v>
      </c>
      <c r="BM122" s="219" t="str">
        <f>+IF(Tabla467824[[#This Row],[L]]=Tabla467824[[#This Row],[L2]], "IGUAL", "DISTINTO")</f>
        <v>DISTINTO</v>
      </c>
    </row>
    <row r="123" spans="1:65" x14ac:dyDescent="0.25">
      <c r="A123">
        <v>120</v>
      </c>
      <c r="B123" s="202" t="s">
        <v>892</v>
      </c>
      <c r="C123" s="203" t="s">
        <v>893</v>
      </c>
      <c r="D123" s="203" t="s">
        <v>128</v>
      </c>
      <c r="E123" s="203" t="s">
        <v>78</v>
      </c>
      <c r="F123" s="203" t="s">
        <v>78</v>
      </c>
      <c r="G123" s="203" t="s">
        <v>128</v>
      </c>
      <c r="H123" s="203" t="s">
        <v>72</v>
      </c>
      <c r="I123" s="203" t="s">
        <v>72</v>
      </c>
      <c r="J123" s="203" t="s">
        <v>72</v>
      </c>
      <c r="K123" s="203"/>
      <c r="L123" s="203" t="s">
        <v>249</v>
      </c>
      <c r="M123" s="203" t="s">
        <v>72</v>
      </c>
      <c r="N123" s="203"/>
      <c r="O123" s="203" t="s">
        <v>73</v>
      </c>
      <c r="P123" s="203" t="s">
        <v>200</v>
      </c>
      <c r="Q123" s="203" t="s">
        <v>201</v>
      </c>
      <c r="R123" s="203" t="s">
        <v>76</v>
      </c>
      <c r="S123" s="209">
        <v>42747</v>
      </c>
      <c r="T123" s="205">
        <v>45169</v>
      </c>
      <c r="U123" s="206">
        <v>2422</v>
      </c>
      <c r="V123" s="207">
        <v>2023</v>
      </c>
      <c r="W123" s="203" t="s">
        <v>77</v>
      </c>
      <c r="X123" s="203" t="s">
        <v>78</v>
      </c>
      <c r="Y123" s="203" t="s">
        <v>359</v>
      </c>
      <c r="Z123" s="203" t="s">
        <v>894</v>
      </c>
      <c r="AA123" s="203" t="s">
        <v>584</v>
      </c>
      <c r="AB123" s="203" t="s">
        <v>585</v>
      </c>
      <c r="AC123" s="203" t="s">
        <v>895</v>
      </c>
      <c r="AD123" s="208">
        <v>9</v>
      </c>
      <c r="AE123" s="208" t="s">
        <v>896</v>
      </c>
      <c r="AF123" s="208" t="s">
        <v>85</v>
      </c>
      <c r="AG123" s="208" t="s">
        <v>86</v>
      </c>
      <c r="AH123" s="208" t="s">
        <v>87</v>
      </c>
      <c r="AI123" s="208" t="s">
        <v>897</v>
      </c>
      <c r="AJ123" s="205" t="s">
        <v>89</v>
      </c>
      <c r="AK123" s="204">
        <v>45649</v>
      </c>
      <c r="AL123" s="208">
        <v>1</v>
      </c>
      <c r="AM123" s="209" t="s">
        <v>584</v>
      </c>
      <c r="AN123" s="209" t="s">
        <v>898</v>
      </c>
      <c r="AO123" s="209" t="s">
        <v>585</v>
      </c>
      <c r="AP123" s="209"/>
      <c r="AQ123" s="209" t="s">
        <v>72</v>
      </c>
      <c r="AR123" s="209" t="s">
        <v>91</v>
      </c>
      <c r="AS123" s="209" t="s">
        <v>899</v>
      </c>
      <c r="AT123" s="210">
        <v>5.6</v>
      </c>
      <c r="AU123" s="211">
        <v>10</v>
      </c>
      <c r="AV123" s="212">
        <v>17.3</v>
      </c>
      <c r="AW123" s="213">
        <v>15815</v>
      </c>
      <c r="AX123" s="213">
        <v>6120.4049999999997</v>
      </c>
      <c r="AY123" s="210" t="s">
        <v>128</v>
      </c>
      <c r="AZ123" s="209" t="s">
        <v>93</v>
      </c>
      <c r="BA123" s="214" t="str">
        <f>+IF(Tabla467824[[#This Row],[TIPO VEHÍCULO]]=Tabla467824[[#This Row],[Columna2]], "IGUAL", "DISTINTO")</f>
        <v>IGUAL</v>
      </c>
      <c r="BB123" s="214" t="str">
        <f>+IF(Tabla467824[[#This Row],[Columna4]]=Tabla467824[[#This Row],[Combustible2]], "IGUAL", "DISTINTO")</f>
        <v>IGUAL</v>
      </c>
      <c r="BC123" s="202" t="s">
        <v>892</v>
      </c>
      <c r="BD123" s="215" cm="1">
        <f t="array" ref="BD123">IFERROR(INDEX('[1]Anexos FICHA TRA050'!$D$27:$D$44, MATCH(Tabla467824[[#This Row],[Columna5]]&amp;Tabla467824[[#This Row],[Columna4]], '[1]Anexos FICHA TRA050'!$E$27:$E$44&amp;'[1]Anexos FICHA TRA050'!$F$27:$F$44, 0)), "")</f>
        <v>5.63</v>
      </c>
      <c r="BE123" s="215">
        <f>IFERROR(INDEX('[1]Anexos FICHA TRA050'!$B$4:$B$7, MATCH(Tabla467824[[#This Row],[Columna4]], '[1]Anexos FICHA TRA050'!$C$4:$C$7, 0)), "")</f>
        <v>10</v>
      </c>
      <c r="BF123" s="215">
        <f>IFERROR(INDEX('[1]Anexos FICHA TRA050'!$C$14:$C$22, MATCH(Tabla467824[[#This Row],[Columna5]], '[1]Anexos FICHA TRA050'!$D$14:$D$22, 0)), "")</f>
        <v>20.84</v>
      </c>
      <c r="BG123" s="216">
        <f>IFERROR(INDEX('[1]Anexos FICHA TRA050'!$C$49:$C$54, MATCH(Tabla467824[[#This Row],[Columna5]], '[1]Anexos FICHA TRA050'!$D$49:$D$54, 0)), "")</f>
        <v>15815</v>
      </c>
      <c r="BH123" s="217">
        <f>+(((Tabla467824[[#This Row],[CVA2]]*Tabla467824[[#This Row],[f2]])-Tabla467824[[#This Row],[CVN2]])/100)*Tabla467824[[#This Row],[L2]]</f>
        <v>5607.9989999999989</v>
      </c>
      <c r="BI123" s="218"/>
      <c r="BJ123" s="218"/>
      <c r="BK123" s="218" t="str">
        <f>+IF(Tabla467824[[#This Row],[F]]=Tabla467824[[#This Row],[f2]], "IGUAL", "DISTINTO")</f>
        <v>IGUAL</v>
      </c>
      <c r="BL123" s="218" t="str">
        <f>+IF(Tabla467824[[#This Row],[CVN]]=Tabla467824[[#This Row],[CVN2]], "IGUAL", "DISTINTO")</f>
        <v>DISTINTO</v>
      </c>
      <c r="BM123" s="219" t="str">
        <f>+IF(Tabla467824[[#This Row],[L]]=Tabla467824[[#This Row],[L2]], "IGUAL", "DISTINTO")</f>
        <v>IGUAL</v>
      </c>
    </row>
    <row r="124" spans="1:65" x14ac:dyDescent="0.25">
      <c r="A124">
        <v>121</v>
      </c>
      <c r="B124" s="202" t="s">
        <v>900</v>
      </c>
      <c r="C124" s="203" t="s">
        <v>901</v>
      </c>
      <c r="D124" s="203" t="s">
        <v>70</v>
      </c>
      <c r="E124" s="203" t="s">
        <v>78</v>
      </c>
      <c r="F124" s="203" t="s">
        <v>78</v>
      </c>
      <c r="G124" s="203" t="s">
        <v>70</v>
      </c>
      <c r="H124" s="203"/>
      <c r="I124" s="203" t="s">
        <v>72</v>
      </c>
      <c r="J124" s="203" t="s">
        <v>72</v>
      </c>
      <c r="K124" s="203"/>
      <c r="L124" s="203"/>
      <c r="M124" s="203"/>
      <c r="N124" s="203"/>
      <c r="O124" s="203" t="s">
        <v>466</v>
      </c>
      <c r="P124" s="203" t="s">
        <v>200</v>
      </c>
      <c r="Q124" s="203" t="s">
        <v>201</v>
      </c>
      <c r="R124" s="203" t="s">
        <v>76</v>
      </c>
      <c r="S124" s="209">
        <v>44203</v>
      </c>
      <c r="T124" s="205">
        <v>45664</v>
      </c>
      <c r="U124" s="206">
        <v>1461</v>
      </c>
      <c r="V124" s="207">
        <v>2025</v>
      </c>
      <c r="W124" s="203" t="s">
        <v>77</v>
      </c>
      <c r="X124" s="203" t="s">
        <v>78</v>
      </c>
      <c r="Y124" s="203" t="s">
        <v>467</v>
      </c>
      <c r="Z124" s="203" t="s">
        <v>902</v>
      </c>
      <c r="AA124" s="203" t="s">
        <v>119</v>
      </c>
      <c r="AB124" s="203" t="s">
        <v>120</v>
      </c>
      <c r="AC124" s="203" t="s">
        <v>776</v>
      </c>
      <c r="AD124" s="208">
        <v>21</v>
      </c>
      <c r="AE124" s="208" t="s">
        <v>903</v>
      </c>
      <c r="AF124" s="208" t="s">
        <v>85</v>
      </c>
      <c r="AG124" s="208" t="s">
        <v>86</v>
      </c>
      <c r="AH124" s="208" t="s">
        <v>87</v>
      </c>
      <c r="AI124" s="208" t="s">
        <v>617</v>
      </c>
      <c r="AJ124" s="205" t="s">
        <v>89</v>
      </c>
      <c r="AK124" s="204">
        <v>45645</v>
      </c>
      <c r="AL124" s="208">
        <v>-1</v>
      </c>
      <c r="AM124" s="209" t="s">
        <v>119</v>
      </c>
      <c r="AN124" s="209" t="s">
        <v>904</v>
      </c>
      <c r="AO124" s="209" t="s">
        <v>120</v>
      </c>
      <c r="AP124" s="209"/>
      <c r="AQ124" s="209" t="s">
        <v>72</v>
      </c>
      <c r="AR124" s="209" t="s">
        <v>91</v>
      </c>
      <c r="AS124" s="209" t="s">
        <v>905</v>
      </c>
      <c r="AT124" s="210">
        <v>5.6</v>
      </c>
      <c r="AU124" s="211">
        <v>10</v>
      </c>
      <c r="AV124" s="212">
        <v>17.3</v>
      </c>
      <c r="AW124" s="213">
        <v>15815</v>
      </c>
      <c r="AX124" s="213">
        <v>6120.4049999999997</v>
      </c>
      <c r="AY124" s="210" t="s">
        <v>128</v>
      </c>
      <c r="AZ124" s="209" t="s">
        <v>255</v>
      </c>
      <c r="BA124" s="214" t="str">
        <f>+IF(Tabla467824[[#This Row],[TIPO VEHÍCULO]]=Tabla467824[[#This Row],[Columna2]], "IGUAL", "DISTINTO")</f>
        <v>DISTINTO</v>
      </c>
      <c r="BB124" s="214" t="str">
        <f>+IF(Tabla467824[[#This Row],[Columna4]]=Tabla467824[[#This Row],[Combustible2]], "IGUAL", "DISTINTO")</f>
        <v>IGUAL</v>
      </c>
      <c r="BC124" s="202" t="s">
        <v>900</v>
      </c>
      <c r="BD124" s="215" cm="1">
        <f t="array" ref="BD124">IFERROR(INDEX('[1]Anexos FICHA TRA050'!$D$27:$D$44, MATCH(Tabla467824[[#This Row],[Columna5]]&amp;Tabla467824[[#This Row],[Columna4]], '[1]Anexos FICHA TRA050'!$E$27:$E$44&amp;'[1]Anexos FICHA TRA050'!$F$27:$F$44, 0)), "")</f>
        <v>6.99</v>
      </c>
      <c r="BE124" s="215">
        <f>IFERROR(INDEX('[1]Anexos FICHA TRA050'!$B$4:$B$7, MATCH(Tabla467824[[#This Row],[Columna4]], '[1]Anexos FICHA TRA050'!$C$4:$C$7, 0)), "")</f>
        <v>10</v>
      </c>
      <c r="BF124" s="215">
        <f>IFERROR(INDEX('[1]Anexos FICHA TRA050'!$C$14:$C$22, MATCH(Tabla467824[[#This Row],[Columna5]], '[1]Anexos FICHA TRA050'!$D$14:$D$22, 0)), "")</f>
        <v>17.920000000000002</v>
      </c>
      <c r="BG124" s="216">
        <f>IFERROR(INDEX('[1]Anexos FICHA TRA050'!$C$49:$C$54, MATCH(Tabla467824[[#This Row],[Columna5]], '[1]Anexos FICHA TRA050'!$D$49:$D$54, 0)), "")</f>
        <v>13073</v>
      </c>
      <c r="BH124" s="217">
        <f>+(((Tabla467824[[#This Row],[CVA2]]*Tabla467824[[#This Row],[f2]])-Tabla467824[[#This Row],[CVN2]])/100)*Tabla467824[[#This Row],[L2]]</f>
        <v>6795.3454000000002</v>
      </c>
      <c r="BI124" s="218"/>
      <c r="BJ124" s="218"/>
      <c r="BK124" s="218" t="str">
        <f>+IF(Tabla467824[[#This Row],[F]]=Tabla467824[[#This Row],[f2]], "IGUAL", "DISTINTO")</f>
        <v>IGUAL</v>
      </c>
      <c r="BL124" s="218" t="str">
        <f>+IF(Tabla467824[[#This Row],[CVN]]=Tabla467824[[#This Row],[CVN2]], "IGUAL", "DISTINTO")</f>
        <v>DISTINTO</v>
      </c>
      <c r="BM124" s="219" t="str">
        <f>+IF(Tabla467824[[#This Row],[L]]=Tabla467824[[#This Row],[L2]], "IGUAL", "DISTINTO")</f>
        <v>DISTINTO</v>
      </c>
    </row>
    <row r="125" spans="1:65" x14ac:dyDescent="0.25">
      <c r="A125">
        <v>122</v>
      </c>
      <c r="B125" s="202" t="s">
        <v>906</v>
      </c>
      <c r="C125" s="203" t="s">
        <v>907</v>
      </c>
      <c r="D125" s="203" t="s">
        <v>70</v>
      </c>
      <c r="E125" s="203" t="s">
        <v>71</v>
      </c>
      <c r="F125" s="203" t="s">
        <v>71</v>
      </c>
      <c r="G125" s="203" t="s">
        <v>70</v>
      </c>
      <c r="H125" s="203" t="s">
        <v>72</v>
      </c>
      <c r="I125" s="203"/>
      <c r="J125" s="203" t="s">
        <v>72</v>
      </c>
      <c r="K125" s="203"/>
      <c r="L125" s="203"/>
      <c r="M125" s="203"/>
      <c r="N125" s="203"/>
      <c r="O125" s="203" t="s">
        <v>73</v>
      </c>
      <c r="P125" s="203" t="s">
        <v>74</v>
      </c>
      <c r="Q125" s="203" t="s">
        <v>75</v>
      </c>
      <c r="R125" s="203" t="s">
        <v>76</v>
      </c>
      <c r="S125" s="204">
        <v>44392</v>
      </c>
      <c r="T125" s="205">
        <v>45230</v>
      </c>
      <c r="U125" s="206">
        <v>838</v>
      </c>
      <c r="V125" s="207">
        <v>2023</v>
      </c>
      <c r="W125" s="203" t="s">
        <v>77</v>
      </c>
      <c r="X125" s="203" t="s">
        <v>71</v>
      </c>
      <c r="Y125" s="203" t="s">
        <v>79</v>
      </c>
      <c r="Z125" s="203" t="s">
        <v>879</v>
      </c>
      <c r="AA125" s="203" t="s">
        <v>336</v>
      </c>
      <c r="AB125" s="203" t="s">
        <v>337</v>
      </c>
      <c r="AC125" s="203" t="s">
        <v>880</v>
      </c>
      <c r="AD125" s="208">
        <v>12</v>
      </c>
      <c r="AE125" s="208" t="s">
        <v>908</v>
      </c>
      <c r="AF125" s="208" t="s">
        <v>85</v>
      </c>
      <c r="AG125" s="208" t="s">
        <v>114</v>
      </c>
      <c r="AH125" s="208" t="s">
        <v>87</v>
      </c>
      <c r="AI125" s="208" t="s">
        <v>909</v>
      </c>
      <c r="AJ125" s="205" t="s">
        <v>108</v>
      </c>
      <c r="AK125" s="204">
        <v>45282</v>
      </c>
      <c r="AL125" s="208">
        <v>0</v>
      </c>
      <c r="AM125" s="209" t="s">
        <v>336</v>
      </c>
      <c r="AN125" s="210">
        <v>4500389150</v>
      </c>
      <c r="AO125" s="209" t="s">
        <v>337</v>
      </c>
      <c r="AP125" s="209"/>
      <c r="AQ125" s="209" t="s">
        <v>72</v>
      </c>
      <c r="AR125" s="209" t="s">
        <v>91</v>
      </c>
      <c r="AS125" s="209" t="s">
        <v>910</v>
      </c>
      <c r="AT125" s="210">
        <v>5.0999999999999996</v>
      </c>
      <c r="AU125" s="211">
        <v>9.19</v>
      </c>
      <c r="AV125" s="212">
        <v>17.3</v>
      </c>
      <c r="AW125" s="213">
        <v>13073</v>
      </c>
      <c r="AX125" s="213">
        <v>3865.5553699999987</v>
      </c>
      <c r="AY125" s="210" t="s">
        <v>70</v>
      </c>
      <c r="AZ125" s="209" t="s">
        <v>255</v>
      </c>
      <c r="BA125" s="214" t="str">
        <f>+IF(Tabla467824[[#This Row],[TIPO VEHÍCULO]]=Tabla467824[[#This Row],[Columna2]], "IGUAL", "DISTINTO")</f>
        <v>IGUAL</v>
      </c>
      <c r="BB125" s="214" t="str">
        <f>+IF(Tabla467824[[#This Row],[Columna4]]=Tabla467824[[#This Row],[Combustible2]], "IGUAL", "DISTINTO")</f>
        <v>IGUAL</v>
      </c>
      <c r="BC125" s="202" t="s">
        <v>906</v>
      </c>
      <c r="BD125" s="215" cm="1">
        <f t="array" ref="BD125">IFERROR(INDEX('[1]Anexos FICHA TRA050'!$D$27:$D$44, MATCH(Tabla467824[[#This Row],[Columna5]]&amp;Tabla467824[[#This Row],[Columna4]], '[1]Anexos FICHA TRA050'!$E$27:$E$44&amp;'[1]Anexos FICHA TRA050'!$F$27:$F$44, 0)), "")</f>
        <v>7.89</v>
      </c>
      <c r="BE125" s="215">
        <f>IFERROR(INDEX('[1]Anexos FICHA TRA050'!$B$4:$B$7, MATCH(Tabla467824[[#This Row],[Columna4]], '[1]Anexos FICHA TRA050'!$C$4:$C$7, 0)), "")</f>
        <v>9.19</v>
      </c>
      <c r="BF125" s="215">
        <f>IFERROR(INDEX('[1]Anexos FICHA TRA050'!$C$14:$C$22, MATCH(Tabla467824[[#This Row],[Columna5]], '[1]Anexos FICHA TRA050'!$D$14:$D$22, 0)), "")</f>
        <v>17.920000000000002</v>
      </c>
      <c r="BG125" s="216">
        <f>IFERROR(INDEX('[1]Anexos FICHA TRA050'!$C$49:$C$54, MATCH(Tabla467824[[#This Row],[Columna5]], '[1]Anexos FICHA TRA050'!$D$49:$D$54, 0)), "")</f>
        <v>13073</v>
      </c>
      <c r="BH125" s="217">
        <f>+(((Tabla467824[[#This Row],[CVA2]]*Tabla467824[[#This Row],[f2]])-Tabla467824[[#This Row],[CVN2]])/100)*Tabla467824[[#This Row],[L2]]</f>
        <v>7136.4330429999991</v>
      </c>
      <c r="BI125" s="218"/>
      <c r="BJ125" s="218"/>
      <c r="BK125" s="218" t="str">
        <f>+IF(Tabla467824[[#This Row],[F]]=Tabla467824[[#This Row],[f2]], "IGUAL", "DISTINTO")</f>
        <v>IGUAL</v>
      </c>
      <c r="BL125" s="218" t="str">
        <f>+IF(Tabla467824[[#This Row],[CVN]]=Tabla467824[[#This Row],[CVN2]], "IGUAL", "DISTINTO")</f>
        <v>DISTINTO</v>
      </c>
      <c r="BM125" s="219" t="str">
        <f>+IF(Tabla467824[[#This Row],[L]]=Tabla467824[[#This Row],[L2]], "IGUAL", "DISTINTO")</f>
        <v>IGUAL</v>
      </c>
    </row>
    <row r="126" spans="1:65" x14ac:dyDescent="0.25">
      <c r="A126">
        <v>123</v>
      </c>
      <c r="B126" s="202" t="s">
        <v>911</v>
      </c>
      <c r="C126" s="203" t="s">
        <v>912</v>
      </c>
      <c r="D126" s="203" t="s">
        <v>70</v>
      </c>
      <c r="E126" s="203" t="s">
        <v>71</v>
      </c>
      <c r="F126" s="203" t="s">
        <v>71</v>
      </c>
      <c r="G126" s="203" t="s">
        <v>70</v>
      </c>
      <c r="H126" s="203" t="s">
        <v>72</v>
      </c>
      <c r="I126" s="203"/>
      <c r="J126" s="203" t="s">
        <v>72</v>
      </c>
      <c r="K126" s="203"/>
      <c r="L126" s="203"/>
      <c r="M126" s="203"/>
      <c r="N126" s="203"/>
      <c r="O126" s="203" t="s">
        <v>73</v>
      </c>
      <c r="P126" s="203" t="s">
        <v>74</v>
      </c>
      <c r="Q126" s="203" t="s">
        <v>75</v>
      </c>
      <c r="R126" s="203" t="s">
        <v>76</v>
      </c>
      <c r="S126" s="204">
        <v>44411</v>
      </c>
      <c r="T126" s="205">
        <v>45233</v>
      </c>
      <c r="U126" s="206">
        <v>822</v>
      </c>
      <c r="V126" s="207">
        <v>2023</v>
      </c>
      <c r="W126" s="203" t="s">
        <v>77</v>
      </c>
      <c r="X126" s="203" t="s">
        <v>71</v>
      </c>
      <c r="Y126" s="203" t="s">
        <v>79</v>
      </c>
      <c r="Z126" s="203" t="s">
        <v>879</v>
      </c>
      <c r="AA126" s="203" t="s">
        <v>336</v>
      </c>
      <c r="AB126" s="203" t="s">
        <v>337</v>
      </c>
      <c r="AC126" s="203" t="s">
        <v>880</v>
      </c>
      <c r="AD126" s="208">
        <v>13</v>
      </c>
      <c r="AE126" s="208" t="s">
        <v>913</v>
      </c>
      <c r="AF126" s="208" t="s">
        <v>85</v>
      </c>
      <c r="AG126" s="208" t="s">
        <v>340</v>
      </c>
      <c r="AH126" s="208" t="s">
        <v>87</v>
      </c>
      <c r="AI126" s="208" t="s">
        <v>382</v>
      </c>
      <c r="AJ126" s="205" t="s">
        <v>89</v>
      </c>
      <c r="AK126" s="204">
        <v>45481</v>
      </c>
      <c r="AL126" s="208">
        <v>1</v>
      </c>
      <c r="AM126" s="209" t="s">
        <v>336</v>
      </c>
      <c r="AN126" s="209" t="s">
        <v>914</v>
      </c>
      <c r="AO126" s="209" t="s">
        <v>337</v>
      </c>
      <c r="AP126" s="209"/>
      <c r="AQ126" s="209" t="s">
        <v>72</v>
      </c>
      <c r="AR126" s="209" t="s">
        <v>91</v>
      </c>
      <c r="AS126" s="209" t="s">
        <v>915</v>
      </c>
      <c r="AT126" s="210">
        <v>5.0999999999999996</v>
      </c>
      <c r="AU126" s="211">
        <v>9.19</v>
      </c>
      <c r="AV126" s="212">
        <v>13.3</v>
      </c>
      <c r="AW126" s="213">
        <v>13073</v>
      </c>
      <c r="AX126" s="213">
        <v>4388.4753699999983</v>
      </c>
      <c r="AY126" s="210" t="s">
        <v>70</v>
      </c>
      <c r="AZ126" s="209" t="s">
        <v>255</v>
      </c>
      <c r="BA126" s="214" t="str">
        <f>+IF(Tabla467824[[#This Row],[TIPO VEHÍCULO]]=Tabla467824[[#This Row],[Columna2]], "IGUAL", "DISTINTO")</f>
        <v>IGUAL</v>
      </c>
      <c r="BB126" s="214" t="str">
        <f>+IF(Tabla467824[[#This Row],[Columna4]]=Tabla467824[[#This Row],[Combustible2]], "IGUAL", "DISTINTO")</f>
        <v>IGUAL</v>
      </c>
      <c r="BC126" s="202" t="s">
        <v>911</v>
      </c>
      <c r="BD126" s="215" cm="1">
        <f t="array" ref="BD126">IFERROR(INDEX('[1]Anexos FICHA TRA050'!$D$27:$D$44, MATCH(Tabla467824[[#This Row],[Columna5]]&amp;Tabla467824[[#This Row],[Columna4]], '[1]Anexos FICHA TRA050'!$E$27:$E$44&amp;'[1]Anexos FICHA TRA050'!$F$27:$F$44, 0)), "")</f>
        <v>7.89</v>
      </c>
      <c r="BE126" s="215">
        <f>IFERROR(INDEX('[1]Anexos FICHA TRA050'!$B$4:$B$7, MATCH(Tabla467824[[#This Row],[Columna4]], '[1]Anexos FICHA TRA050'!$C$4:$C$7, 0)), "")</f>
        <v>9.19</v>
      </c>
      <c r="BF126" s="215">
        <f>IFERROR(INDEX('[1]Anexos FICHA TRA050'!$C$14:$C$22, MATCH(Tabla467824[[#This Row],[Columna5]], '[1]Anexos FICHA TRA050'!$D$14:$D$22, 0)), "")</f>
        <v>17.920000000000002</v>
      </c>
      <c r="BG126" s="216">
        <f>IFERROR(INDEX('[1]Anexos FICHA TRA050'!$C$49:$C$54, MATCH(Tabla467824[[#This Row],[Columna5]], '[1]Anexos FICHA TRA050'!$D$49:$D$54, 0)), "")</f>
        <v>13073</v>
      </c>
      <c r="BH126" s="217">
        <f>+(((Tabla467824[[#This Row],[CVA2]]*Tabla467824[[#This Row],[f2]])-Tabla467824[[#This Row],[CVN2]])/100)*Tabla467824[[#This Row],[L2]]</f>
        <v>7136.4330429999991</v>
      </c>
      <c r="BI126" s="218"/>
      <c r="BJ126" s="218"/>
      <c r="BK126" s="218" t="str">
        <f>+IF(Tabla467824[[#This Row],[F]]=Tabla467824[[#This Row],[f2]], "IGUAL", "DISTINTO")</f>
        <v>IGUAL</v>
      </c>
      <c r="BL126" s="218" t="str">
        <f>+IF(Tabla467824[[#This Row],[CVN]]=Tabla467824[[#This Row],[CVN2]], "IGUAL", "DISTINTO")</f>
        <v>DISTINTO</v>
      </c>
      <c r="BM126" s="219" t="str">
        <f>+IF(Tabla467824[[#This Row],[L]]=Tabla467824[[#This Row],[L2]], "IGUAL", "DISTINTO")</f>
        <v>IGUAL</v>
      </c>
    </row>
    <row r="127" spans="1:65" x14ac:dyDescent="0.25">
      <c r="A127">
        <v>124</v>
      </c>
      <c r="B127" s="202" t="s">
        <v>916</v>
      </c>
      <c r="C127" s="203" t="s">
        <v>917</v>
      </c>
      <c r="D127" s="203" t="s">
        <v>70</v>
      </c>
      <c r="E127" s="203" t="s">
        <v>78</v>
      </c>
      <c r="F127" s="203" t="s">
        <v>78</v>
      </c>
      <c r="G127" s="203" t="s">
        <v>128</v>
      </c>
      <c r="H127" s="203" t="s">
        <v>72</v>
      </c>
      <c r="I127" s="203"/>
      <c r="J127" s="203" t="s">
        <v>72</v>
      </c>
      <c r="K127" s="203"/>
      <c r="L127" s="203"/>
      <c r="M127" s="203"/>
      <c r="N127" s="203"/>
      <c r="O127" s="203" t="s">
        <v>129</v>
      </c>
      <c r="P127" s="203" t="s">
        <v>74</v>
      </c>
      <c r="Q127" s="203" t="s">
        <v>75</v>
      </c>
      <c r="R127" s="203" t="s">
        <v>76</v>
      </c>
      <c r="S127" s="204">
        <v>44260</v>
      </c>
      <c r="T127" s="205">
        <v>44966</v>
      </c>
      <c r="U127" s="206">
        <v>706</v>
      </c>
      <c r="V127" s="207">
        <v>2023</v>
      </c>
      <c r="W127" s="203" t="s">
        <v>77</v>
      </c>
      <c r="X127" s="203" t="s">
        <v>78</v>
      </c>
      <c r="Y127" s="203" t="s">
        <v>79</v>
      </c>
      <c r="Z127" s="203" t="s">
        <v>918</v>
      </c>
      <c r="AA127" s="203" t="s">
        <v>131</v>
      </c>
      <c r="AB127" s="203" t="s">
        <v>132</v>
      </c>
      <c r="AC127" s="203" t="s">
        <v>133</v>
      </c>
      <c r="AD127" s="208">
        <v>12</v>
      </c>
      <c r="AE127" s="208" t="s">
        <v>919</v>
      </c>
      <c r="AF127" s="208" t="s">
        <v>140</v>
      </c>
      <c r="AG127" s="208" t="s">
        <v>151</v>
      </c>
      <c r="AH127" s="208" t="s">
        <v>87</v>
      </c>
      <c r="AI127" s="208" t="s">
        <v>316</v>
      </c>
      <c r="AJ127" s="205" t="s">
        <v>89</v>
      </c>
      <c r="AK127" s="204">
        <v>45622</v>
      </c>
      <c r="AL127" s="208">
        <v>1</v>
      </c>
      <c r="AM127" s="209" t="s">
        <v>131</v>
      </c>
      <c r="AN127" s="209" t="s">
        <v>920</v>
      </c>
      <c r="AO127" s="209" t="s">
        <v>132</v>
      </c>
      <c r="AP127" s="209"/>
      <c r="AQ127" s="209" t="s">
        <v>72</v>
      </c>
      <c r="AR127" s="209" t="s">
        <v>91</v>
      </c>
      <c r="AS127" s="209" t="s">
        <v>921</v>
      </c>
      <c r="AT127" s="210">
        <v>5.6</v>
      </c>
      <c r="AU127" s="211">
        <v>10</v>
      </c>
      <c r="AV127" s="212">
        <v>16.399999999999999</v>
      </c>
      <c r="AW127" s="213">
        <v>15815</v>
      </c>
      <c r="AX127" s="213">
        <v>6262.7400000000007</v>
      </c>
      <c r="AY127" s="210" t="s">
        <v>128</v>
      </c>
      <c r="AZ127" s="209" t="s">
        <v>255</v>
      </c>
      <c r="BA127" s="214" t="str">
        <f>+IF(Tabla467824[[#This Row],[TIPO VEHÍCULO]]=Tabla467824[[#This Row],[Columna2]], "IGUAL", "DISTINTO")</f>
        <v>DISTINTO</v>
      </c>
      <c r="BB127" s="214" t="str">
        <f>+IF(Tabla467824[[#This Row],[Columna4]]=Tabla467824[[#This Row],[Combustible2]], "IGUAL", "DISTINTO")</f>
        <v>IGUAL</v>
      </c>
      <c r="BC127" s="202" t="s">
        <v>916</v>
      </c>
      <c r="BD127" s="215" cm="1">
        <f t="array" ref="BD127">IFERROR(INDEX('[1]Anexos FICHA TRA050'!$D$27:$D$44, MATCH(Tabla467824[[#This Row],[Columna5]]&amp;Tabla467824[[#This Row],[Columna4]], '[1]Anexos FICHA TRA050'!$E$27:$E$44&amp;'[1]Anexos FICHA TRA050'!$F$27:$F$44, 0)), "")</f>
        <v>5.63</v>
      </c>
      <c r="BE127" s="215">
        <f>IFERROR(INDEX('[1]Anexos FICHA TRA050'!$B$4:$B$7, MATCH(Tabla467824[[#This Row],[Columna4]], '[1]Anexos FICHA TRA050'!$C$4:$C$7, 0)), "")</f>
        <v>10</v>
      </c>
      <c r="BF127" s="215">
        <f>IFERROR(INDEX('[1]Anexos FICHA TRA050'!$C$14:$C$22, MATCH(Tabla467824[[#This Row],[Columna5]], '[1]Anexos FICHA TRA050'!$D$14:$D$22, 0)), "")</f>
        <v>20.84</v>
      </c>
      <c r="BG127" s="216">
        <f>IFERROR(INDEX('[1]Anexos FICHA TRA050'!$C$49:$C$54, MATCH(Tabla467824[[#This Row],[Columna5]], '[1]Anexos FICHA TRA050'!$D$49:$D$54, 0)), "")</f>
        <v>15815</v>
      </c>
      <c r="BH127" s="217">
        <f>+(((Tabla467824[[#This Row],[CVA2]]*Tabla467824[[#This Row],[f2]])-Tabla467824[[#This Row],[CVN2]])/100)*Tabla467824[[#This Row],[L2]]</f>
        <v>5607.9989999999989</v>
      </c>
      <c r="BI127" s="218"/>
      <c r="BJ127" s="218"/>
      <c r="BK127" s="218" t="str">
        <f>+IF(Tabla467824[[#This Row],[F]]=Tabla467824[[#This Row],[f2]], "IGUAL", "DISTINTO")</f>
        <v>IGUAL</v>
      </c>
      <c r="BL127" s="218" t="str">
        <f>+IF(Tabla467824[[#This Row],[CVN]]=Tabla467824[[#This Row],[CVN2]], "IGUAL", "DISTINTO")</f>
        <v>DISTINTO</v>
      </c>
      <c r="BM127" s="219" t="str">
        <f>+IF(Tabla467824[[#This Row],[L]]=Tabla467824[[#This Row],[L2]], "IGUAL", "DISTINTO")</f>
        <v>IGUAL</v>
      </c>
    </row>
    <row r="128" spans="1:65" x14ac:dyDescent="0.25">
      <c r="A128">
        <v>125</v>
      </c>
      <c r="B128" s="202" t="s">
        <v>922</v>
      </c>
      <c r="C128" s="203" t="s">
        <v>923</v>
      </c>
      <c r="D128" s="203" t="s">
        <v>128</v>
      </c>
      <c r="E128" s="203" t="s">
        <v>78</v>
      </c>
      <c r="F128" s="203" t="s">
        <v>78</v>
      </c>
      <c r="G128" s="203" t="s">
        <v>128</v>
      </c>
      <c r="H128" s="203" t="s">
        <v>72</v>
      </c>
      <c r="I128" s="203"/>
      <c r="J128" s="203" t="s">
        <v>72</v>
      </c>
      <c r="K128" s="203"/>
      <c r="L128" s="203" t="s">
        <v>249</v>
      </c>
      <c r="M128" s="203" t="s">
        <v>249</v>
      </c>
      <c r="N128" s="203"/>
      <c r="O128" s="203" t="s">
        <v>73</v>
      </c>
      <c r="P128" s="203" t="s">
        <v>200</v>
      </c>
      <c r="Q128" s="203" t="s">
        <v>201</v>
      </c>
      <c r="R128" s="203" t="s">
        <v>160</v>
      </c>
      <c r="S128" s="209">
        <v>44263</v>
      </c>
      <c r="T128" s="205">
        <v>45419</v>
      </c>
      <c r="U128" s="206">
        <v>1156</v>
      </c>
      <c r="V128" s="207">
        <v>2024</v>
      </c>
      <c r="W128" s="203" t="s">
        <v>161</v>
      </c>
      <c r="X128" s="203" t="s">
        <v>78</v>
      </c>
      <c r="Y128" s="203" t="s">
        <v>79</v>
      </c>
      <c r="Z128" s="203" t="s">
        <v>924</v>
      </c>
      <c r="AA128" s="203" t="s">
        <v>190</v>
      </c>
      <c r="AB128" s="203" t="s">
        <v>191</v>
      </c>
      <c r="AC128" s="203" t="s">
        <v>477</v>
      </c>
      <c r="AD128" s="208">
        <v>9</v>
      </c>
      <c r="AE128" s="208" t="s">
        <v>925</v>
      </c>
      <c r="AF128" s="208" t="s">
        <v>140</v>
      </c>
      <c r="AG128" s="208" t="s">
        <v>151</v>
      </c>
      <c r="AH128" s="208" t="s">
        <v>87</v>
      </c>
      <c r="AI128" s="208" t="s">
        <v>194</v>
      </c>
      <c r="AJ128" s="205" t="s">
        <v>89</v>
      </c>
      <c r="AK128" s="204">
        <v>45625</v>
      </c>
      <c r="AL128" s="208">
        <v>0</v>
      </c>
      <c r="AM128" s="209" t="s">
        <v>190</v>
      </c>
      <c r="AN128" s="209" t="s">
        <v>926</v>
      </c>
      <c r="AO128" s="209" t="s">
        <v>191</v>
      </c>
      <c r="AP128" s="209"/>
      <c r="AQ128" s="209" t="s">
        <v>72</v>
      </c>
      <c r="AR128" s="209" t="s">
        <v>91</v>
      </c>
      <c r="AS128" s="209" t="s">
        <v>927</v>
      </c>
      <c r="AT128" s="210">
        <v>5.6</v>
      </c>
      <c r="AU128" s="211">
        <v>10</v>
      </c>
      <c r="AV128" s="212">
        <v>16.399999999999999</v>
      </c>
      <c r="AW128" s="213">
        <v>15815</v>
      </c>
      <c r="AX128" s="213">
        <v>6262.7400000000007</v>
      </c>
      <c r="AY128" s="210" t="s">
        <v>128</v>
      </c>
      <c r="AZ128" s="209" t="s">
        <v>93</v>
      </c>
      <c r="BA128" s="214" t="str">
        <f>+IF(Tabla467824[[#This Row],[TIPO VEHÍCULO]]=Tabla467824[[#This Row],[Columna2]], "IGUAL", "DISTINTO")</f>
        <v>IGUAL</v>
      </c>
      <c r="BB128" s="214" t="str">
        <f>+IF(Tabla467824[[#This Row],[Columna4]]=Tabla467824[[#This Row],[Combustible2]], "IGUAL", "DISTINTO")</f>
        <v>IGUAL</v>
      </c>
      <c r="BC128" s="202" t="s">
        <v>922</v>
      </c>
      <c r="BD128" s="215" cm="1">
        <f t="array" ref="BD128">IFERROR(INDEX('[1]Anexos FICHA TRA050'!$D$27:$D$44, MATCH(Tabla467824[[#This Row],[Columna5]]&amp;Tabla467824[[#This Row],[Columna4]], '[1]Anexos FICHA TRA050'!$E$27:$E$44&amp;'[1]Anexos FICHA TRA050'!$F$27:$F$44, 0)), "")</f>
        <v>5.63</v>
      </c>
      <c r="BE128" s="215">
        <f>IFERROR(INDEX('[1]Anexos FICHA TRA050'!$B$4:$B$7, MATCH(Tabla467824[[#This Row],[Columna4]], '[1]Anexos FICHA TRA050'!$C$4:$C$7, 0)), "")</f>
        <v>10</v>
      </c>
      <c r="BF128" s="215">
        <f>IFERROR(INDEX('[1]Anexos FICHA TRA050'!$C$14:$C$22, MATCH(Tabla467824[[#This Row],[Columna5]], '[1]Anexos FICHA TRA050'!$D$14:$D$22, 0)), "")</f>
        <v>20.84</v>
      </c>
      <c r="BG128" s="216">
        <f>IFERROR(INDEX('[1]Anexos FICHA TRA050'!$C$49:$C$54, MATCH(Tabla467824[[#This Row],[Columna5]], '[1]Anexos FICHA TRA050'!$D$49:$D$54, 0)), "")</f>
        <v>15815</v>
      </c>
      <c r="BH128" s="217">
        <f>+(((Tabla467824[[#This Row],[CVA2]]*Tabla467824[[#This Row],[f2]])-Tabla467824[[#This Row],[CVN2]])/100)*Tabla467824[[#This Row],[L2]]</f>
        <v>5607.9989999999989</v>
      </c>
      <c r="BI128" s="218"/>
      <c r="BJ128" s="218"/>
      <c r="BK128" s="218" t="str">
        <f>+IF(Tabla467824[[#This Row],[F]]=Tabla467824[[#This Row],[f2]], "IGUAL", "DISTINTO")</f>
        <v>IGUAL</v>
      </c>
      <c r="BL128" s="218" t="str">
        <f>+IF(Tabla467824[[#This Row],[CVN]]=Tabla467824[[#This Row],[CVN2]], "IGUAL", "DISTINTO")</f>
        <v>DISTINTO</v>
      </c>
      <c r="BM128" s="219" t="str">
        <f>+IF(Tabla467824[[#This Row],[L]]=Tabla467824[[#This Row],[L2]], "IGUAL", "DISTINTO")</f>
        <v>IGUAL</v>
      </c>
    </row>
    <row r="129" spans="1:65" x14ac:dyDescent="0.25">
      <c r="A129">
        <v>126</v>
      </c>
      <c r="B129" s="202" t="s">
        <v>928</v>
      </c>
      <c r="C129" s="203" t="s">
        <v>929</v>
      </c>
      <c r="D129" s="203" t="s">
        <v>128</v>
      </c>
      <c r="E129" s="203" t="s">
        <v>78</v>
      </c>
      <c r="F129" s="203" t="s">
        <v>78</v>
      </c>
      <c r="G129" s="203" t="s">
        <v>128</v>
      </c>
      <c r="H129" s="203" t="s">
        <v>72</v>
      </c>
      <c r="I129" s="203"/>
      <c r="J129" s="203" t="s">
        <v>72</v>
      </c>
      <c r="K129" s="203"/>
      <c r="L129" s="203" t="s">
        <v>249</v>
      </c>
      <c r="M129" s="203" t="s">
        <v>249</v>
      </c>
      <c r="N129" s="203"/>
      <c r="O129" s="203" t="s">
        <v>73</v>
      </c>
      <c r="P129" s="203" t="s">
        <v>200</v>
      </c>
      <c r="Q129" s="203" t="s">
        <v>201</v>
      </c>
      <c r="R129" s="203" t="s">
        <v>160</v>
      </c>
      <c r="S129" s="209">
        <v>44270</v>
      </c>
      <c r="T129" s="205">
        <v>45731</v>
      </c>
      <c r="U129" s="206">
        <v>1461</v>
      </c>
      <c r="V129" s="207">
        <v>2025</v>
      </c>
      <c r="W129" s="203" t="s">
        <v>161</v>
      </c>
      <c r="X129" s="203" t="s">
        <v>78</v>
      </c>
      <c r="Y129" s="203" t="s">
        <v>79</v>
      </c>
      <c r="Z129" s="203" t="s">
        <v>924</v>
      </c>
      <c r="AA129" s="203" t="s">
        <v>119</v>
      </c>
      <c r="AB129" s="203" t="s">
        <v>120</v>
      </c>
      <c r="AC129" s="203" t="s">
        <v>419</v>
      </c>
      <c r="AD129" s="208">
        <v>22</v>
      </c>
      <c r="AE129" s="208" t="s">
        <v>930</v>
      </c>
      <c r="AF129" s="208" t="s">
        <v>140</v>
      </c>
      <c r="AG129" s="208" t="s">
        <v>151</v>
      </c>
      <c r="AH129" s="208" t="s">
        <v>87</v>
      </c>
      <c r="AI129" s="208" t="s">
        <v>617</v>
      </c>
      <c r="AJ129" s="205" t="s">
        <v>89</v>
      </c>
      <c r="AK129" s="204">
        <v>45625</v>
      </c>
      <c r="AL129" s="208">
        <v>-1</v>
      </c>
      <c r="AM129" s="209" t="s">
        <v>119</v>
      </c>
      <c r="AN129" s="209" t="s">
        <v>931</v>
      </c>
      <c r="AO129" s="209" t="s">
        <v>120</v>
      </c>
      <c r="AP129" s="209"/>
      <c r="AQ129" s="209" t="s">
        <v>72</v>
      </c>
      <c r="AR129" s="209" t="s">
        <v>91</v>
      </c>
      <c r="AS129" s="209" t="s">
        <v>932</v>
      </c>
      <c r="AT129" s="210">
        <v>5.6</v>
      </c>
      <c r="AU129" s="211">
        <v>10</v>
      </c>
      <c r="AV129" s="212">
        <v>16.399999999999999</v>
      </c>
      <c r="AW129" s="213">
        <v>15815</v>
      </c>
      <c r="AX129" s="213">
        <v>6262.7400000000007</v>
      </c>
      <c r="AY129" s="210" t="s">
        <v>128</v>
      </c>
      <c r="AZ129" s="209" t="s">
        <v>93</v>
      </c>
      <c r="BA129" s="214" t="str">
        <f>+IF(Tabla467824[[#This Row],[TIPO VEHÍCULO]]=Tabla467824[[#This Row],[Columna2]], "IGUAL", "DISTINTO")</f>
        <v>IGUAL</v>
      </c>
      <c r="BB129" s="214" t="str">
        <f>+IF(Tabla467824[[#This Row],[Columna4]]=Tabla467824[[#This Row],[Combustible2]], "IGUAL", "DISTINTO")</f>
        <v>IGUAL</v>
      </c>
      <c r="BC129" s="202" t="s">
        <v>928</v>
      </c>
      <c r="BD129" s="215" cm="1">
        <f t="array" ref="BD129">IFERROR(INDEX('[1]Anexos FICHA TRA050'!$D$27:$D$44, MATCH(Tabla467824[[#This Row],[Columna5]]&amp;Tabla467824[[#This Row],[Columna4]], '[1]Anexos FICHA TRA050'!$E$27:$E$44&amp;'[1]Anexos FICHA TRA050'!$F$27:$F$44, 0)), "")</f>
        <v>5.63</v>
      </c>
      <c r="BE129" s="215">
        <f>IFERROR(INDEX('[1]Anexos FICHA TRA050'!$B$4:$B$7, MATCH(Tabla467824[[#This Row],[Columna4]], '[1]Anexos FICHA TRA050'!$C$4:$C$7, 0)), "")</f>
        <v>10</v>
      </c>
      <c r="BF129" s="215">
        <f>IFERROR(INDEX('[1]Anexos FICHA TRA050'!$C$14:$C$22, MATCH(Tabla467824[[#This Row],[Columna5]], '[1]Anexos FICHA TRA050'!$D$14:$D$22, 0)), "")</f>
        <v>20.84</v>
      </c>
      <c r="BG129" s="216">
        <f>IFERROR(INDEX('[1]Anexos FICHA TRA050'!$C$49:$C$54, MATCH(Tabla467824[[#This Row],[Columna5]], '[1]Anexos FICHA TRA050'!$D$49:$D$54, 0)), "")</f>
        <v>15815</v>
      </c>
      <c r="BH129" s="217">
        <f>+(((Tabla467824[[#This Row],[CVA2]]*Tabla467824[[#This Row],[f2]])-Tabla467824[[#This Row],[CVN2]])/100)*Tabla467824[[#This Row],[L2]]</f>
        <v>5607.9989999999989</v>
      </c>
      <c r="BI129" s="218"/>
      <c r="BJ129" s="218"/>
      <c r="BK129" s="218" t="str">
        <f>+IF(Tabla467824[[#This Row],[F]]=Tabla467824[[#This Row],[f2]], "IGUAL", "DISTINTO")</f>
        <v>IGUAL</v>
      </c>
      <c r="BL129" s="218" t="str">
        <f>+IF(Tabla467824[[#This Row],[CVN]]=Tabla467824[[#This Row],[CVN2]], "IGUAL", "DISTINTO")</f>
        <v>DISTINTO</v>
      </c>
      <c r="BM129" s="219" t="str">
        <f>+IF(Tabla467824[[#This Row],[L]]=Tabla467824[[#This Row],[L2]], "IGUAL", "DISTINTO")</f>
        <v>IGUAL</v>
      </c>
    </row>
    <row r="130" spans="1:65" x14ac:dyDescent="0.25">
      <c r="A130">
        <v>127</v>
      </c>
      <c r="B130" s="202" t="s">
        <v>933</v>
      </c>
      <c r="C130" s="203" t="s">
        <v>934</v>
      </c>
      <c r="D130" s="203" t="s">
        <v>128</v>
      </c>
      <c r="E130" s="203" t="s">
        <v>78</v>
      </c>
      <c r="F130" s="203" t="s">
        <v>78</v>
      </c>
      <c r="G130" s="203" t="s">
        <v>128</v>
      </c>
      <c r="H130" s="203" t="s">
        <v>72</v>
      </c>
      <c r="I130" s="203"/>
      <c r="J130" s="203" t="s">
        <v>72</v>
      </c>
      <c r="K130" s="203"/>
      <c r="L130" s="203" t="s">
        <v>249</v>
      </c>
      <c r="M130" s="203" t="s">
        <v>249</v>
      </c>
      <c r="N130" s="203"/>
      <c r="O130" s="203" t="s">
        <v>73</v>
      </c>
      <c r="P130" s="203" t="s">
        <v>200</v>
      </c>
      <c r="Q130" s="203" t="s">
        <v>201</v>
      </c>
      <c r="R130" s="203" t="s">
        <v>76</v>
      </c>
      <c r="S130" s="209">
        <v>44224</v>
      </c>
      <c r="T130" s="205">
        <v>45685</v>
      </c>
      <c r="U130" s="206">
        <v>1461</v>
      </c>
      <c r="V130" s="207">
        <v>2025</v>
      </c>
      <c r="W130" s="203" t="s">
        <v>77</v>
      </c>
      <c r="X130" s="203" t="s">
        <v>78</v>
      </c>
      <c r="Y130" s="203" t="s">
        <v>79</v>
      </c>
      <c r="Z130" s="203" t="s">
        <v>924</v>
      </c>
      <c r="AA130" s="203" t="s">
        <v>81</v>
      </c>
      <c r="AB130" s="203" t="s">
        <v>82</v>
      </c>
      <c r="AC130" s="203" t="s">
        <v>174</v>
      </c>
      <c r="AD130" s="208">
        <v>15</v>
      </c>
      <c r="AE130" s="208" t="s">
        <v>935</v>
      </c>
      <c r="AF130" s="208" t="s">
        <v>140</v>
      </c>
      <c r="AG130" s="208" t="s">
        <v>151</v>
      </c>
      <c r="AH130" s="208" t="s">
        <v>87</v>
      </c>
      <c r="AI130" s="208" t="s">
        <v>164</v>
      </c>
      <c r="AJ130" s="205" t="s">
        <v>89</v>
      </c>
      <c r="AK130" s="204">
        <v>45630</v>
      </c>
      <c r="AL130" s="208">
        <v>-1</v>
      </c>
      <c r="AM130" s="209" t="s">
        <v>81</v>
      </c>
      <c r="AN130" s="209" t="s">
        <v>936</v>
      </c>
      <c r="AO130" s="209" t="s">
        <v>82</v>
      </c>
      <c r="AP130" s="209"/>
      <c r="AQ130" s="209" t="s">
        <v>72</v>
      </c>
      <c r="AR130" s="209" t="s">
        <v>91</v>
      </c>
      <c r="AS130" s="209" t="s">
        <v>937</v>
      </c>
      <c r="AT130" s="210">
        <v>5.6</v>
      </c>
      <c r="AU130" s="211">
        <v>10</v>
      </c>
      <c r="AV130" s="212">
        <v>16.399999999999999</v>
      </c>
      <c r="AW130" s="213">
        <v>15815</v>
      </c>
      <c r="AX130" s="213">
        <v>6262.7400000000007</v>
      </c>
      <c r="AY130" s="210" t="s">
        <v>128</v>
      </c>
      <c r="AZ130" s="209" t="s">
        <v>93</v>
      </c>
      <c r="BA130" s="214" t="str">
        <f>+IF(Tabla467824[[#This Row],[TIPO VEHÍCULO]]=Tabla467824[[#This Row],[Columna2]], "IGUAL", "DISTINTO")</f>
        <v>IGUAL</v>
      </c>
      <c r="BB130" s="214" t="str">
        <f>+IF(Tabla467824[[#This Row],[Columna4]]=Tabla467824[[#This Row],[Combustible2]], "IGUAL", "DISTINTO")</f>
        <v>IGUAL</v>
      </c>
      <c r="BC130" s="202" t="s">
        <v>933</v>
      </c>
      <c r="BD130" s="215" cm="1">
        <f t="array" ref="BD130">IFERROR(INDEX('[1]Anexos FICHA TRA050'!$D$27:$D$44, MATCH(Tabla467824[[#This Row],[Columna5]]&amp;Tabla467824[[#This Row],[Columna4]], '[1]Anexos FICHA TRA050'!$E$27:$E$44&amp;'[1]Anexos FICHA TRA050'!$F$27:$F$44, 0)), "")</f>
        <v>5.63</v>
      </c>
      <c r="BE130" s="215">
        <f>IFERROR(INDEX('[1]Anexos FICHA TRA050'!$B$4:$B$7, MATCH(Tabla467824[[#This Row],[Columna4]], '[1]Anexos FICHA TRA050'!$C$4:$C$7, 0)), "")</f>
        <v>10</v>
      </c>
      <c r="BF130" s="215">
        <f>IFERROR(INDEX('[1]Anexos FICHA TRA050'!$C$14:$C$22, MATCH(Tabla467824[[#This Row],[Columna5]], '[1]Anexos FICHA TRA050'!$D$14:$D$22, 0)), "")</f>
        <v>20.84</v>
      </c>
      <c r="BG130" s="216">
        <f>IFERROR(INDEX('[1]Anexos FICHA TRA050'!$C$49:$C$54, MATCH(Tabla467824[[#This Row],[Columna5]], '[1]Anexos FICHA TRA050'!$D$49:$D$54, 0)), "")</f>
        <v>15815</v>
      </c>
      <c r="BH130" s="217">
        <f>+(((Tabla467824[[#This Row],[CVA2]]*Tabla467824[[#This Row],[f2]])-Tabla467824[[#This Row],[CVN2]])/100)*Tabla467824[[#This Row],[L2]]</f>
        <v>5607.9989999999989</v>
      </c>
      <c r="BI130" s="218"/>
      <c r="BJ130" s="218"/>
      <c r="BK130" s="218" t="str">
        <f>+IF(Tabla467824[[#This Row],[F]]=Tabla467824[[#This Row],[f2]], "IGUAL", "DISTINTO")</f>
        <v>IGUAL</v>
      </c>
      <c r="BL130" s="218" t="str">
        <f>+IF(Tabla467824[[#This Row],[CVN]]=Tabla467824[[#This Row],[CVN2]], "IGUAL", "DISTINTO")</f>
        <v>DISTINTO</v>
      </c>
      <c r="BM130" s="219" t="str">
        <f>+IF(Tabla467824[[#This Row],[L]]=Tabla467824[[#This Row],[L2]], "IGUAL", "DISTINTO")</f>
        <v>IGUAL</v>
      </c>
    </row>
    <row r="131" spans="1:65" x14ac:dyDescent="0.25">
      <c r="A131">
        <v>128</v>
      </c>
      <c r="B131" s="202" t="s">
        <v>938</v>
      </c>
      <c r="C131" s="203" t="s">
        <v>939</v>
      </c>
      <c r="D131" s="203" t="s">
        <v>128</v>
      </c>
      <c r="E131" s="203" t="s">
        <v>78</v>
      </c>
      <c r="F131" s="203" t="s">
        <v>78</v>
      </c>
      <c r="G131" s="203" t="s">
        <v>128</v>
      </c>
      <c r="H131" s="203" t="s">
        <v>72</v>
      </c>
      <c r="I131" s="203"/>
      <c r="J131" s="203" t="s">
        <v>72</v>
      </c>
      <c r="K131" s="203"/>
      <c r="L131" s="203" t="s">
        <v>249</v>
      </c>
      <c r="M131" s="203" t="s">
        <v>249</v>
      </c>
      <c r="N131" s="203"/>
      <c r="O131" s="203" t="s">
        <v>73</v>
      </c>
      <c r="P131" s="203" t="s">
        <v>200</v>
      </c>
      <c r="Q131" s="203" t="s">
        <v>201</v>
      </c>
      <c r="R131" s="203" t="s">
        <v>76</v>
      </c>
      <c r="S131" s="209">
        <v>44263</v>
      </c>
      <c r="T131" s="205">
        <v>45747</v>
      </c>
      <c r="U131" s="206">
        <v>1484</v>
      </c>
      <c r="V131" s="207">
        <v>2025</v>
      </c>
      <c r="W131" s="203" t="s">
        <v>77</v>
      </c>
      <c r="X131" s="203" t="s">
        <v>78</v>
      </c>
      <c r="Y131" s="203" t="s">
        <v>79</v>
      </c>
      <c r="Z131" s="203" t="s">
        <v>924</v>
      </c>
      <c r="AA131" s="203" t="s">
        <v>102</v>
      </c>
      <c r="AB131" s="203" t="s">
        <v>103</v>
      </c>
      <c r="AC131" s="203" t="s">
        <v>495</v>
      </c>
      <c r="AD131" s="208">
        <v>40</v>
      </c>
      <c r="AE131" s="208" t="s">
        <v>940</v>
      </c>
      <c r="AF131" s="208" t="s">
        <v>380</v>
      </c>
      <c r="AG131" s="208" t="s">
        <v>381</v>
      </c>
      <c r="AH131" s="208" t="s">
        <v>87</v>
      </c>
      <c r="AI131" s="208" t="s">
        <v>696</v>
      </c>
      <c r="AJ131" s="205" t="s">
        <v>89</v>
      </c>
      <c r="AK131" s="204">
        <v>45463</v>
      </c>
      <c r="AL131" s="208">
        <v>-1</v>
      </c>
      <c r="AM131" s="209" t="s">
        <v>102</v>
      </c>
      <c r="AN131" s="210">
        <v>4500406593</v>
      </c>
      <c r="AO131" s="209" t="s">
        <v>103</v>
      </c>
      <c r="AP131" s="209"/>
      <c r="AQ131" s="209" t="s">
        <v>72</v>
      </c>
      <c r="AR131" s="209" t="s">
        <v>109</v>
      </c>
      <c r="AS131" s="209" t="s">
        <v>941</v>
      </c>
      <c r="AT131" s="210">
        <v>5.6</v>
      </c>
      <c r="AU131" s="211">
        <v>10</v>
      </c>
      <c r="AV131" s="212">
        <v>20</v>
      </c>
      <c r="AW131" s="213">
        <v>15815</v>
      </c>
      <c r="AX131" s="213">
        <v>5693.4</v>
      </c>
      <c r="AY131" s="210" t="s">
        <v>128</v>
      </c>
      <c r="AZ131" s="209" t="s">
        <v>93</v>
      </c>
      <c r="BA131" s="214" t="str">
        <f>+IF(Tabla467824[[#This Row],[TIPO VEHÍCULO]]=Tabla467824[[#This Row],[Columna2]], "IGUAL", "DISTINTO")</f>
        <v>IGUAL</v>
      </c>
      <c r="BB131" s="214" t="str">
        <f>+IF(Tabla467824[[#This Row],[Columna4]]=Tabla467824[[#This Row],[Combustible2]], "IGUAL", "DISTINTO")</f>
        <v>IGUAL</v>
      </c>
      <c r="BC131" s="202" t="s">
        <v>938</v>
      </c>
      <c r="BD131" s="215" cm="1">
        <f t="array" ref="BD131">IFERROR(INDEX('[1]Anexos FICHA TRA050'!$D$27:$D$44, MATCH(Tabla467824[[#This Row],[Columna5]]&amp;Tabla467824[[#This Row],[Columna4]], '[1]Anexos FICHA TRA050'!$E$27:$E$44&amp;'[1]Anexos FICHA TRA050'!$F$27:$F$44, 0)), "")</f>
        <v>5.63</v>
      </c>
      <c r="BE131" s="215">
        <f>IFERROR(INDEX('[1]Anexos FICHA TRA050'!$B$4:$B$7, MATCH(Tabla467824[[#This Row],[Columna4]], '[1]Anexos FICHA TRA050'!$C$4:$C$7, 0)), "")</f>
        <v>10</v>
      </c>
      <c r="BF131" s="215">
        <f>IFERROR(INDEX('[1]Anexos FICHA TRA050'!$C$14:$C$22, MATCH(Tabla467824[[#This Row],[Columna5]], '[1]Anexos FICHA TRA050'!$D$14:$D$22, 0)), "")</f>
        <v>20.84</v>
      </c>
      <c r="BG131" s="216">
        <f>IFERROR(INDEX('[1]Anexos FICHA TRA050'!$C$49:$C$54, MATCH(Tabla467824[[#This Row],[Columna5]], '[1]Anexos FICHA TRA050'!$D$49:$D$54, 0)), "")</f>
        <v>15815</v>
      </c>
      <c r="BH131" s="217">
        <f>+(((Tabla467824[[#This Row],[CVA2]]*Tabla467824[[#This Row],[f2]])-Tabla467824[[#This Row],[CVN2]])/100)*Tabla467824[[#This Row],[L2]]</f>
        <v>5607.9989999999989</v>
      </c>
      <c r="BI131" s="218"/>
      <c r="BJ131" s="218"/>
      <c r="BK131" s="218" t="str">
        <f>+IF(Tabla467824[[#This Row],[F]]=Tabla467824[[#This Row],[f2]], "IGUAL", "DISTINTO")</f>
        <v>IGUAL</v>
      </c>
      <c r="BL131" s="218" t="str">
        <f>+IF(Tabla467824[[#This Row],[CVN]]=Tabla467824[[#This Row],[CVN2]], "IGUAL", "DISTINTO")</f>
        <v>DISTINTO</v>
      </c>
      <c r="BM131" s="219" t="str">
        <f>+IF(Tabla467824[[#This Row],[L]]=Tabla467824[[#This Row],[L2]], "IGUAL", "DISTINTO")</f>
        <v>IGUAL</v>
      </c>
    </row>
    <row r="132" spans="1:65" x14ac:dyDescent="0.25">
      <c r="A132">
        <v>129</v>
      </c>
      <c r="B132" s="202" t="s">
        <v>942</v>
      </c>
      <c r="C132" s="203" t="s">
        <v>943</v>
      </c>
      <c r="D132" s="203" t="s">
        <v>128</v>
      </c>
      <c r="E132" s="203" t="s">
        <v>78</v>
      </c>
      <c r="F132" s="203" t="s">
        <v>78</v>
      </c>
      <c r="G132" s="203" t="s">
        <v>128</v>
      </c>
      <c r="H132" s="203" t="s">
        <v>72</v>
      </c>
      <c r="I132" s="203"/>
      <c r="J132" s="203" t="s">
        <v>72</v>
      </c>
      <c r="K132" s="203"/>
      <c r="L132" s="203" t="s">
        <v>249</v>
      </c>
      <c r="M132" s="203" t="s">
        <v>249</v>
      </c>
      <c r="N132" s="203"/>
      <c r="O132" s="203" t="s">
        <v>73</v>
      </c>
      <c r="P132" s="203" t="s">
        <v>200</v>
      </c>
      <c r="Q132" s="203" t="s">
        <v>201</v>
      </c>
      <c r="R132" s="203" t="s">
        <v>160</v>
      </c>
      <c r="S132" s="209">
        <v>44291</v>
      </c>
      <c r="T132" s="205">
        <v>45752</v>
      </c>
      <c r="U132" s="206">
        <v>1461</v>
      </c>
      <c r="V132" s="207">
        <v>2025</v>
      </c>
      <c r="W132" s="203" t="s">
        <v>161</v>
      </c>
      <c r="X132" s="203" t="s">
        <v>78</v>
      </c>
      <c r="Y132" s="203" t="s">
        <v>79</v>
      </c>
      <c r="Z132" s="203" t="s">
        <v>924</v>
      </c>
      <c r="AA132" s="203" t="s">
        <v>119</v>
      </c>
      <c r="AB132" s="203" t="s">
        <v>120</v>
      </c>
      <c r="AC132" s="203" t="s">
        <v>152</v>
      </c>
      <c r="AD132" s="208">
        <v>23</v>
      </c>
      <c r="AE132" s="208" t="s">
        <v>944</v>
      </c>
      <c r="AF132" s="208" t="s">
        <v>85</v>
      </c>
      <c r="AG132" s="208" t="s">
        <v>86</v>
      </c>
      <c r="AH132" s="208" t="s">
        <v>87</v>
      </c>
      <c r="AI132" s="208" t="s">
        <v>617</v>
      </c>
      <c r="AJ132" s="205" t="s">
        <v>89</v>
      </c>
      <c r="AK132" s="204">
        <v>45645</v>
      </c>
      <c r="AL132" s="208">
        <v>-1</v>
      </c>
      <c r="AM132" s="209" t="s">
        <v>119</v>
      </c>
      <c r="AN132" s="209" t="s">
        <v>945</v>
      </c>
      <c r="AO132" s="209" t="s">
        <v>120</v>
      </c>
      <c r="AP132" s="209"/>
      <c r="AQ132" s="209" t="s">
        <v>72</v>
      </c>
      <c r="AR132" s="209" t="s">
        <v>91</v>
      </c>
      <c r="AS132" s="209" t="s">
        <v>946</v>
      </c>
      <c r="AT132" s="210">
        <v>5.6</v>
      </c>
      <c r="AU132" s="211">
        <v>10</v>
      </c>
      <c r="AV132" s="212">
        <v>17.3</v>
      </c>
      <c r="AW132" s="213">
        <v>15815</v>
      </c>
      <c r="AX132" s="213">
        <v>6120.4049999999997</v>
      </c>
      <c r="AY132" s="210" t="s">
        <v>128</v>
      </c>
      <c r="AZ132" s="209" t="s">
        <v>93</v>
      </c>
      <c r="BA132" s="214" t="str">
        <f>+IF(Tabla467824[[#This Row],[TIPO VEHÍCULO]]=Tabla467824[[#This Row],[Columna2]], "IGUAL", "DISTINTO")</f>
        <v>IGUAL</v>
      </c>
      <c r="BB132" s="214" t="str">
        <f>+IF(Tabla467824[[#This Row],[Columna4]]=Tabla467824[[#This Row],[Combustible2]], "IGUAL", "DISTINTO")</f>
        <v>IGUAL</v>
      </c>
      <c r="BC132" s="202" t="s">
        <v>942</v>
      </c>
      <c r="BD132" s="215" cm="1">
        <f t="array" ref="BD132">IFERROR(INDEX('[1]Anexos FICHA TRA050'!$D$27:$D$44, MATCH(Tabla467824[[#This Row],[Columna5]]&amp;Tabla467824[[#This Row],[Columna4]], '[1]Anexos FICHA TRA050'!$E$27:$E$44&amp;'[1]Anexos FICHA TRA050'!$F$27:$F$44, 0)), "")</f>
        <v>5.63</v>
      </c>
      <c r="BE132" s="215">
        <f>IFERROR(INDEX('[1]Anexos FICHA TRA050'!$B$4:$B$7, MATCH(Tabla467824[[#This Row],[Columna4]], '[1]Anexos FICHA TRA050'!$C$4:$C$7, 0)), "")</f>
        <v>10</v>
      </c>
      <c r="BF132" s="215">
        <f>IFERROR(INDEX('[1]Anexos FICHA TRA050'!$C$14:$C$22, MATCH(Tabla467824[[#This Row],[Columna5]], '[1]Anexos FICHA TRA050'!$D$14:$D$22, 0)), "")</f>
        <v>20.84</v>
      </c>
      <c r="BG132" s="216">
        <f>IFERROR(INDEX('[1]Anexos FICHA TRA050'!$C$49:$C$54, MATCH(Tabla467824[[#This Row],[Columna5]], '[1]Anexos FICHA TRA050'!$D$49:$D$54, 0)), "")</f>
        <v>15815</v>
      </c>
      <c r="BH132" s="217">
        <f>+(((Tabla467824[[#This Row],[CVA2]]*Tabla467824[[#This Row],[f2]])-Tabla467824[[#This Row],[CVN2]])/100)*Tabla467824[[#This Row],[L2]]</f>
        <v>5607.9989999999989</v>
      </c>
      <c r="BI132" s="218"/>
      <c r="BJ132" s="218"/>
      <c r="BK132" s="218" t="str">
        <f>+IF(Tabla467824[[#This Row],[F]]=Tabla467824[[#This Row],[f2]], "IGUAL", "DISTINTO")</f>
        <v>IGUAL</v>
      </c>
      <c r="BL132" s="218" t="str">
        <f>+IF(Tabla467824[[#This Row],[CVN]]=Tabla467824[[#This Row],[CVN2]], "IGUAL", "DISTINTO")</f>
        <v>DISTINTO</v>
      </c>
      <c r="BM132" s="219" t="str">
        <f>+IF(Tabla467824[[#This Row],[L]]=Tabla467824[[#This Row],[L2]], "IGUAL", "DISTINTO")</f>
        <v>IGUAL</v>
      </c>
    </row>
    <row r="133" spans="1:65" x14ac:dyDescent="0.25">
      <c r="A133">
        <v>130</v>
      </c>
      <c r="B133" s="202" t="s">
        <v>947</v>
      </c>
      <c r="C133" s="203" t="s">
        <v>948</v>
      </c>
      <c r="D133" s="203" t="s">
        <v>128</v>
      </c>
      <c r="E133" s="203" t="s">
        <v>78</v>
      </c>
      <c r="F133" s="203" t="s">
        <v>78</v>
      </c>
      <c r="G133" s="203" t="s">
        <v>128</v>
      </c>
      <c r="H133" s="203" t="s">
        <v>72</v>
      </c>
      <c r="I133" s="203"/>
      <c r="J133" s="203" t="s">
        <v>72</v>
      </c>
      <c r="K133" s="203"/>
      <c r="L133" s="203" t="s">
        <v>249</v>
      </c>
      <c r="M133" s="203" t="s">
        <v>249</v>
      </c>
      <c r="N133" s="203"/>
      <c r="O133" s="203" t="s">
        <v>73</v>
      </c>
      <c r="P133" s="203" t="s">
        <v>200</v>
      </c>
      <c r="Q133" s="203" t="s">
        <v>201</v>
      </c>
      <c r="R133" s="203" t="s">
        <v>160</v>
      </c>
      <c r="S133" s="209">
        <v>44224</v>
      </c>
      <c r="T133" s="205">
        <v>45685</v>
      </c>
      <c r="U133" s="206">
        <v>1461</v>
      </c>
      <c r="V133" s="207">
        <v>2025</v>
      </c>
      <c r="W133" s="203" t="s">
        <v>161</v>
      </c>
      <c r="X133" s="203" t="s">
        <v>78</v>
      </c>
      <c r="Y133" s="203" t="s">
        <v>79</v>
      </c>
      <c r="Z133" s="203" t="s">
        <v>924</v>
      </c>
      <c r="AA133" s="203" t="s">
        <v>190</v>
      </c>
      <c r="AB133" s="203" t="s">
        <v>191</v>
      </c>
      <c r="AC133" s="203" t="s">
        <v>194</v>
      </c>
      <c r="AD133" s="208">
        <v>10</v>
      </c>
      <c r="AE133" s="208" t="s">
        <v>949</v>
      </c>
      <c r="AF133" s="208" t="s">
        <v>85</v>
      </c>
      <c r="AG133" s="208" t="s">
        <v>86</v>
      </c>
      <c r="AH133" s="208" t="s">
        <v>87</v>
      </c>
      <c r="AI133" s="208" t="s">
        <v>477</v>
      </c>
      <c r="AJ133" s="205" t="s">
        <v>89</v>
      </c>
      <c r="AK133" s="204">
        <v>45646</v>
      </c>
      <c r="AL133" s="208">
        <v>-1</v>
      </c>
      <c r="AM133" s="209" t="s">
        <v>190</v>
      </c>
      <c r="AN133" s="209" t="s">
        <v>950</v>
      </c>
      <c r="AO133" s="209" t="s">
        <v>191</v>
      </c>
      <c r="AP133" s="209"/>
      <c r="AQ133" s="209" t="s">
        <v>72</v>
      </c>
      <c r="AR133" s="209" t="s">
        <v>91</v>
      </c>
      <c r="AS133" s="209" t="s">
        <v>951</v>
      </c>
      <c r="AT133" s="210">
        <v>5.6</v>
      </c>
      <c r="AU133" s="211">
        <v>10</v>
      </c>
      <c r="AV133" s="212">
        <v>17.3</v>
      </c>
      <c r="AW133" s="213">
        <v>15815</v>
      </c>
      <c r="AX133" s="213">
        <v>6120.4049999999997</v>
      </c>
      <c r="AY133" s="210" t="s">
        <v>128</v>
      </c>
      <c r="AZ133" s="209" t="s">
        <v>93</v>
      </c>
      <c r="BA133" s="214" t="str">
        <f>+IF(Tabla467824[[#This Row],[TIPO VEHÍCULO]]=Tabla467824[[#This Row],[Columna2]], "IGUAL", "DISTINTO")</f>
        <v>IGUAL</v>
      </c>
      <c r="BB133" s="214" t="str">
        <f>+IF(Tabla467824[[#This Row],[Columna4]]=Tabla467824[[#This Row],[Combustible2]], "IGUAL", "DISTINTO")</f>
        <v>IGUAL</v>
      </c>
      <c r="BC133" s="202" t="s">
        <v>947</v>
      </c>
      <c r="BD133" s="215" cm="1">
        <f t="array" ref="BD133">IFERROR(INDEX('[1]Anexos FICHA TRA050'!$D$27:$D$44, MATCH(Tabla467824[[#This Row],[Columna5]]&amp;Tabla467824[[#This Row],[Columna4]], '[1]Anexos FICHA TRA050'!$E$27:$E$44&amp;'[1]Anexos FICHA TRA050'!$F$27:$F$44, 0)), "")</f>
        <v>5.63</v>
      </c>
      <c r="BE133" s="215">
        <f>IFERROR(INDEX('[1]Anexos FICHA TRA050'!$B$4:$B$7, MATCH(Tabla467824[[#This Row],[Columna4]], '[1]Anexos FICHA TRA050'!$C$4:$C$7, 0)), "")</f>
        <v>10</v>
      </c>
      <c r="BF133" s="215">
        <f>IFERROR(INDEX('[1]Anexos FICHA TRA050'!$C$14:$C$22, MATCH(Tabla467824[[#This Row],[Columna5]], '[1]Anexos FICHA TRA050'!$D$14:$D$22, 0)), "")</f>
        <v>20.84</v>
      </c>
      <c r="BG133" s="216">
        <f>IFERROR(INDEX('[1]Anexos FICHA TRA050'!$C$49:$C$54, MATCH(Tabla467824[[#This Row],[Columna5]], '[1]Anexos FICHA TRA050'!$D$49:$D$54, 0)), "")</f>
        <v>15815</v>
      </c>
      <c r="BH133" s="217">
        <f>+(((Tabla467824[[#This Row],[CVA2]]*Tabla467824[[#This Row],[f2]])-Tabla467824[[#This Row],[CVN2]])/100)*Tabla467824[[#This Row],[L2]]</f>
        <v>5607.9989999999989</v>
      </c>
      <c r="BI133" s="218"/>
      <c r="BJ133" s="218"/>
      <c r="BK133" s="218" t="str">
        <f>+IF(Tabla467824[[#This Row],[F]]=Tabla467824[[#This Row],[f2]], "IGUAL", "DISTINTO")</f>
        <v>IGUAL</v>
      </c>
      <c r="BL133" s="218" t="str">
        <f>+IF(Tabla467824[[#This Row],[CVN]]=Tabla467824[[#This Row],[CVN2]], "IGUAL", "DISTINTO")</f>
        <v>DISTINTO</v>
      </c>
      <c r="BM133" s="219" t="str">
        <f>+IF(Tabla467824[[#This Row],[L]]=Tabla467824[[#This Row],[L2]], "IGUAL", "DISTINTO")</f>
        <v>IGUAL</v>
      </c>
    </row>
    <row r="134" spans="1:65" x14ac:dyDescent="0.25">
      <c r="A134">
        <v>131</v>
      </c>
      <c r="B134" s="202" t="s">
        <v>952</v>
      </c>
      <c r="C134" s="203" t="s">
        <v>953</v>
      </c>
      <c r="D134" s="203" t="s">
        <v>128</v>
      </c>
      <c r="E134" s="203" t="s">
        <v>78</v>
      </c>
      <c r="F134" s="203" t="s">
        <v>78</v>
      </c>
      <c r="G134" s="203" t="s">
        <v>128</v>
      </c>
      <c r="H134" s="203" t="s">
        <v>72</v>
      </c>
      <c r="I134" s="203"/>
      <c r="J134" s="203" t="s">
        <v>72</v>
      </c>
      <c r="K134" s="203"/>
      <c r="L134" s="203" t="s">
        <v>249</v>
      </c>
      <c r="M134" s="203" t="s">
        <v>249</v>
      </c>
      <c r="N134" s="203"/>
      <c r="O134" s="203" t="s">
        <v>73</v>
      </c>
      <c r="P134" s="203" t="s">
        <v>200</v>
      </c>
      <c r="Q134" s="203" t="s">
        <v>201</v>
      </c>
      <c r="R134" s="203" t="s">
        <v>160</v>
      </c>
      <c r="S134" s="209">
        <v>44228</v>
      </c>
      <c r="T134" s="205">
        <v>45689</v>
      </c>
      <c r="U134" s="206">
        <v>1461</v>
      </c>
      <c r="V134" s="207">
        <v>2025</v>
      </c>
      <c r="W134" s="203" t="s">
        <v>161</v>
      </c>
      <c r="X134" s="203" t="s">
        <v>78</v>
      </c>
      <c r="Y134" s="203" t="s">
        <v>79</v>
      </c>
      <c r="Z134" s="203" t="s">
        <v>924</v>
      </c>
      <c r="AA134" s="203" t="s">
        <v>190</v>
      </c>
      <c r="AB134" s="203" t="s">
        <v>191</v>
      </c>
      <c r="AC134" s="203" t="s">
        <v>194</v>
      </c>
      <c r="AD134" s="208">
        <v>11</v>
      </c>
      <c r="AE134" s="208" t="s">
        <v>954</v>
      </c>
      <c r="AF134" s="208" t="s">
        <v>85</v>
      </c>
      <c r="AG134" s="208" t="s">
        <v>86</v>
      </c>
      <c r="AH134" s="208" t="s">
        <v>87</v>
      </c>
      <c r="AI134" s="208" t="s">
        <v>955</v>
      </c>
      <c r="AJ134" s="205" t="s">
        <v>89</v>
      </c>
      <c r="AK134" s="204">
        <v>45646</v>
      </c>
      <c r="AL134" s="208">
        <v>-1</v>
      </c>
      <c r="AM134" s="209" t="s">
        <v>190</v>
      </c>
      <c r="AN134" s="209" t="s">
        <v>956</v>
      </c>
      <c r="AO134" s="209" t="s">
        <v>191</v>
      </c>
      <c r="AP134" s="209"/>
      <c r="AQ134" s="209" t="s">
        <v>72</v>
      </c>
      <c r="AR134" s="209" t="s">
        <v>91</v>
      </c>
      <c r="AS134" s="209" t="s">
        <v>957</v>
      </c>
      <c r="AT134" s="210">
        <v>5.6</v>
      </c>
      <c r="AU134" s="211">
        <v>10</v>
      </c>
      <c r="AV134" s="212">
        <v>17.3</v>
      </c>
      <c r="AW134" s="213">
        <v>15815</v>
      </c>
      <c r="AX134" s="213">
        <v>6120.4049999999997</v>
      </c>
      <c r="AY134" s="210" t="s">
        <v>128</v>
      </c>
      <c r="AZ134" s="209" t="s">
        <v>93</v>
      </c>
      <c r="BA134" s="214" t="str">
        <f>+IF(Tabla467824[[#This Row],[TIPO VEHÍCULO]]=Tabla467824[[#This Row],[Columna2]], "IGUAL", "DISTINTO")</f>
        <v>IGUAL</v>
      </c>
      <c r="BB134" s="214" t="str">
        <f>+IF(Tabla467824[[#This Row],[Columna4]]=Tabla467824[[#This Row],[Combustible2]], "IGUAL", "DISTINTO")</f>
        <v>IGUAL</v>
      </c>
      <c r="BC134" s="202" t="s">
        <v>952</v>
      </c>
      <c r="BD134" s="215" cm="1">
        <f t="array" ref="BD134">IFERROR(INDEX('[1]Anexos FICHA TRA050'!$D$27:$D$44, MATCH(Tabla467824[[#This Row],[Columna5]]&amp;Tabla467824[[#This Row],[Columna4]], '[1]Anexos FICHA TRA050'!$E$27:$E$44&amp;'[1]Anexos FICHA TRA050'!$F$27:$F$44, 0)), "")</f>
        <v>5.63</v>
      </c>
      <c r="BE134" s="215">
        <f>IFERROR(INDEX('[1]Anexos FICHA TRA050'!$B$4:$B$7, MATCH(Tabla467824[[#This Row],[Columna4]], '[1]Anexos FICHA TRA050'!$C$4:$C$7, 0)), "")</f>
        <v>10</v>
      </c>
      <c r="BF134" s="215">
        <f>IFERROR(INDEX('[1]Anexos FICHA TRA050'!$C$14:$C$22, MATCH(Tabla467824[[#This Row],[Columna5]], '[1]Anexos FICHA TRA050'!$D$14:$D$22, 0)), "")</f>
        <v>20.84</v>
      </c>
      <c r="BG134" s="216">
        <f>IFERROR(INDEX('[1]Anexos FICHA TRA050'!$C$49:$C$54, MATCH(Tabla467824[[#This Row],[Columna5]], '[1]Anexos FICHA TRA050'!$D$49:$D$54, 0)), "")</f>
        <v>15815</v>
      </c>
      <c r="BH134" s="217">
        <f>+(((Tabla467824[[#This Row],[CVA2]]*Tabla467824[[#This Row],[f2]])-Tabla467824[[#This Row],[CVN2]])/100)*Tabla467824[[#This Row],[L2]]</f>
        <v>5607.9989999999989</v>
      </c>
      <c r="BI134" s="218"/>
      <c r="BJ134" s="218"/>
      <c r="BK134" s="218" t="str">
        <f>+IF(Tabla467824[[#This Row],[F]]=Tabla467824[[#This Row],[f2]], "IGUAL", "DISTINTO")</f>
        <v>IGUAL</v>
      </c>
      <c r="BL134" s="218" t="str">
        <f>+IF(Tabla467824[[#This Row],[CVN]]=Tabla467824[[#This Row],[CVN2]], "IGUAL", "DISTINTO")</f>
        <v>DISTINTO</v>
      </c>
      <c r="BM134" s="219" t="str">
        <f>+IF(Tabla467824[[#This Row],[L]]=Tabla467824[[#This Row],[L2]], "IGUAL", "DISTINTO")</f>
        <v>IGUAL</v>
      </c>
    </row>
    <row r="135" spans="1:65" x14ac:dyDescent="0.25">
      <c r="A135">
        <v>132</v>
      </c>
      <c r="B135" s="202" t="s">
        <v>958</v>
      </c>
      <c r="C135" s="203" t="s">
        <v>959</v>
      </c>
      <c r="D135" s="203" t="s">
        <v>128</v>
      </c>
      <c r="E135" s="203" t="s">
        <v>78</v>
      </c>
      <c r="F135" s="203" t="s">
        <v>78</v>
      </c>
      <c r="G135" s="203" t="s">
        <v>128</v>
      </c>
      <c r="H135" s="203" t="s">
        <v>72</v>
      </c>
      <c r="I135" s="203"/>
      <c r="J135" s="203" t="s">
        <v>72</v>
      </c>
      <c r="K135" s="203"/>
      <c r="L135" s="203" t="s">
        <v>249</v>
      </c>
      <c r="M135" s="203" t="s">
        <v>249</v>
      </c>
      <c r="N135" s="203"/>
      <c r="O135" s="203" t="s">
        <v>73</v>
      </c>
      <c r="P135" s="203" t="s">
        <v>200</v>
      </c>
      <c r="Q135" s="203" t="s">
        <v>201</v>
      </c>
      <c r="R135" s="203" t="s">
        <v>160</v>
      </c>
      <c r="S135" s="209">
        <v>44228</v>
      </c>
      <c r="T135" s="205">
        <v>45689</v>
      </c>
      <c r="U135" s="206">
        <v>1461</v>
      </c>
      <c r="V135" s="207">
        <v>2025</v>
      </c>
      <c r="W135" s="203" t="s">
        <v>161</v>
      </c>
      <c r="X135" s="203" t="s">
        <v>78</v>
      </c>
      <c r="Y135" s="203" t="s">
        <v>79</v>
      </c>
      <c r="Z135" s="203" t="s">
        <v>924</v>
      </c>
      <c r="AA135" s="203" t="s">
        <v>960</v>
      </c>
      <c r="AB135" s="203" t="s">
        <v>961</v>
      </c>
      <c r="AC135" s="203" t="s">
        <v>962</v>
      </c>
      <c r="AD135" s="208">
        <v>1</v>
      </c>
      <c r="AE135" s="208" t="s">
        <v>963</v>
      </c>
      <c r="AF135" s="208" t="s">
        <v>85</v>
      </c>
      <c r="AG135" s="208" t="s">
        <v>86</v>
      </c>
      <c r="AH135" s="208" t="s">
        <v>87</v>
      </c>
      <c r="AI135" s="208" t="s">
        <v>962</v>
      </c>
      <c r="AJ135" s="205" t="s">
        <v>89</v>
      </c>
      <c r="AK135" s="204">
        <v>45645</v>
      </c>
      <c r="AL135" s="208">
        <v>-1</v>
      </c>
      <c r="AM135" s="209" t="s">
        <v>960</v>
      </c>
      <c r="AN135" s="209" t="s">
        <v>964</v>
      </c>
      <c r="AO135" s="209" t="s">
        <v>961</v>
      </c>
      <c r="AP135" s="209"/>
      <c r="AQ135" s="209" t="s">
        <v>72</v>
      </c>
      <c r="AR135" s="209" t="s">
        <v>91</v>
      </c>
      <c r="AS135" s="209" t="s">
        <v>965</v>
      </c>
      <c r="AT135" s="210">
        <v>5.6</v>
      </c>
      <c r="AU135" s="211">
        <v>10</v>
      </c>
      <c r="AV135" s="212">
        <v>17.3</v>
      </c>
      <c r="AW135" s="213">
        <v>15815</v>
      </c>
      <c r="AX135" s="213">
        <v>6120.4049999999997</v>
      </c>
      <c r="AY135" s="210" t="s">
        <v>128</v>
      </c>
      <c r="AZ135" s="209" t="s">
        <v>93</v>
      </c>
      <c r="BA135" s="214" t="str">
        <f>+IF(Tabla467824[[#This Row],[TIPO VEHÍCULO]]=Tabla467824[[#This Row],[Columna2]], "IGUAL", "DISTINTO")</f>
        <v>IGUAL</v>
      </c>
      <c r="BB135" s="214" t="str">
        <f>+IF(Tabla467824[[#This Row],[Columna4]]=Tabla467824[[#This Row],[Combustible2]], "IGUAL", "DISTINTO")</f>
        <v>IGUAL</v>
      </c>
      <c r="BC135" s="202" t="s">
        <v>958</v>
      </c>
      <c r="BD135" s="215" cm="1">
        <f t="array" ref="BD135">IFERROR(INDEX('[1]Anexos FICHA TRA050'!$D$27:$D$44, MATCH(Tabla467824[[#This Row],[Columna5]]&amp;Tabla467824[[#This Row],[Columna4]], '[1]Anexos FICHA TRA050'!$E$27:$E$44&amp;'[1]Anexos FICHA TRA050'!$F$27:$F$44, 0)), "")</f>
        <v>5.63</v>
      </c>
      <c r="BE135" s="215">
        <f>IFERROR(INDEX('[1]Anexos FICHA TRA050'!$B$4:$B$7, MATCH(Tabla467824[[#This Row],[Columna4]], '[1]Anexos FICHA TRA050'!$C$4:$C$7, 0)), "")</f>
        <v>10</v>
      </c>
      <c r="BF135" s="215">
        <f>IFERROR(INDEX('[1]Anexos FICHA TRA050'!$C$14:$C$22, MATCH(Tabla467824[[#This Row],[Columna5]], '[1]Anexos FICHA TRA050'!$D$14:$D$22, 0)), "")</f>
        <v>20.84</v>
      </c>
      <c r="BG135" s="216">
        <f>IFERROR(INDEX('[1]Anexos FICHA TRA050'!$C$49:$C$54, MATCH(Tabla467824[[#This Row],[Columna5]], '[1]Anexos FICHA TRA050'!$D$49:$D$54, 0)), "")</f>
        <v>15815</v>
      </c>
      <c r="BH135" s="217">
        <f>+(((Tabla467824[[#This Row],[CVA2]]*Tabla467824[[#This Row],[f2]])-Tabla467824[[#This Row],[CVN2]])/100)*Tabla467824[[#This Row],[L2]]</f>
        <v>5607.9989999999989</v>
      </c>
      <c r="BI135" s="218"/>
      <c r="BJ135" s="218"/>
      <c r="BK135" s="218" t="str">
        <f>+IF(Tabla467824[[#This Row],[F]]=Tabla467824[[#This Row],[f2]], "IGUAL", "DISTINTO")</f>
        <v>IGUAL</v>
      </c>
      <c r="BL135" s="218" t="str">
        <f>+IF(Tabla467824[[#This Row],[CVN]]=Tabla467824[[#This Row],[CVN2]], "IGUAL", "DISTINTO")</f>
        <v>DISTINTO</v>
      </c>
      <c r="BM135" s="219" t="str">
        <f>+IF(Tabla467824[[#This Row],[L]]=Tabla467824[[#This Row],[L2]], "IGUAL", "DISTINTO")</f>
        <v>IGUAL</v>
      </c>
    </row>
    <row r="136" spans="1:65" x14ac:dyDescent="0.25">
      <c r="A136">
        <v>133</v>
      </c>
      <c r="B136" s="202" t="s">
        <v>966</v>
      </c>
      <c r="C136" s="203" t="s">
        <v>967</v>
      </c>
      <c r="D136" s="203" t="s">
        <v>128</v>
      </c>
      <c r="E136" s="203" t="s">
        <v>78</v>
      </c>
      <c r="F136" s="203" t="s">
        <v>78</v>
      </c>
      <c r="G136" s="203" t="s">
        <v>128</v>
      </c>
      <c r="H136" s="203" t="s">
        <v>72</v>
      </c>
      <c r="I136" s="203" t="s">
        <v>72</v>
      </c>
      <c r="J136" s="203" t="s">
        <v>72</v>
      </c>
      <c r="K136" s="203"/>
      <c r="L136" s="203" t="s">
        <v>249</v>
      </c>
      <c r="M136" s="203" t="s">
        <v>249</v>
      </c>
      <c r="N136" s="203"/>
      <c r="O136" s="203" t="s">
        <v>73</v>
      </c>
      <c r="P136" s="203" t="s">
        <v>200</v>
      </c>
      <c r="Q136" s="203" t="s">
        <v>201</v>
      </c>
      <c r="R136" s="203" t="s">
        <v>76</v>
      </c>
      <c r="S136" s="209">
        <v>44228</v>
      </c>
      <c r="T136" s="205">
        <v>45689</v>
      </c>
      <c r="U136" s="206">
        <v>1461</v>
      </c>
      <c r="V136" s="207">
        <v>2025</v>
      </c>
      <c r="W136" s="203" t="s">
        <v>77</v>
      </c>
      <c r="X136" s="203" t="s">
        <v>78</v>
      </c>
      <c r="Y136" s="203" t="s">
        <v>79</v>
      </c>
      <c r="Z136" s="203" t="s">
        <v>924</v>
      </c>
      <c r="AA136" s="203" t="s">
        <v>308</v>
      </c>
      <c r="AB136" s="203" t="s">
        <v>309</v>
      </c>
      <c r="AC136" s="203" t="s">
        <v>310</v>
      </c>
      <c r="AD136" s="208">
        <v>3</v>
      </c>
      <c r="AE136" s="208" t="s">
        <v>968</v>
      </c>
      <c r="AF136" s="208" t="s">
        <v>85</v>
      </c>
      <c r="AG136" s="208" t="s">
        <v>86</v>
      </c>
      <c r="AH136" s="208" t="s">
        <v>87</v>
      </c>
      <c r="AI136" s="208" t="s">
        <v>310</v>
      </c>
      <c r="AJ136" s="205" t="s">
        <v>89</v>
      </c>
      <c r="AK136" s="204">
        <v>45649</v>
      </c>
      <c r="AL136" s="208">
        <v>-1</v>
      </c>
      <c r="AM136" s="209" t="s">
        <v>308</v>
      </c>
      <c r="AN136" s="209" t="s">
        <v>72</v>
      </c>
      <c r="AO136" s="209" t="s">
        <v>309</v>
      </c>
      <c r="AP136" s="209"/>
      <c r="AQ136" s="209" t="s">
        <v>72</v>
      </c>
      <c r="AR136" s="209" t="s">
        <v>91</v>
      </c>
      <c r="AS136" s="209" t="s">
        <v>969</v>
      </c>
      <c r="AT136" s="210">
        <v>5.6</v>
      </c>
      <c r="AU136" s="211">
        <v>10</v>
      </c>
      <c r="AV136" s="212">
        <v>17.3</v>
      </c>
      <c r="AW136" s="213">
        <v>15815</v>
      </c>
      <c r="AX136" s="213">
        <v>6120.4049999999997</v>
      </c>
      <c r="AY136" s="210" t="s">
        <v>128</v>
      </c>
      <c r="AZ136" s="209" t="s">
        <v>93</v>
      </c>
      <c r="BA136" s="214" t="str">
        <f>+IF(Tabla467824[[#This Row],[TIPO VEHÍCULO]]=Tabla467824[[#This Row],[Columna2]], "IGUAL", "DISTINTO")</f>
        <v>IGUAL</v>
      </c>
      <c r="BB136" s="214" t="str">
        <f>+IF(Tabla467824[[#This Row],[Columna4]]=Tabla467824[[#This Row],[Combustible2]], "IGUAL", "DISTINTO")</f>
        <v>IGUAL</v>
      </c>
      <c r="BC136" s="202" t="s">
        <v>966</v>
      </c>
      <c r="BD136" s="215" cm="1">
        <f t="array" ref="BD136">IFERROR(INDEX('[1]Anexos FICHA TRA050'!$D$27:$D$44, MATCH(Tabla467824[[#This Row],[Columna5]]&amp;Tabla467824[[#This Row],[Columna4]], '[1]Anexos FICHA TRA050'!$E$27:$E$44&amp;'[1]Anexos FICHA TRA050'!$F$27:$F$44, 0)), "")</f>
        <v>5.63</v>
      </c>
      <c r="BE136" s="215">
        <f>IFERROR(INDEX('[1]Anexos FICHA TRA050'!$B$4:$B$7, MATCH(Tabla467824[[#This Row],[Columna4]], '[1]Anexos FICHA TRA050'!$C$4:$C$7, 0)), "")</f>
        <v>10</v>
      </c>
      <c r="BF136" s="215">
        <f>IFERROR(INDEX('[1]Anexos FICHA TRA050'!$C$14:$C$22, MATCH(Tabla467824[[#This Row],[Columna5]], '[1]Anexos FICHA TRA050'!$D$14:$D$22, 0)), "")</f>
        <v>20.84</v>
      </c>
      <c r="BG136" s="216">
        <f>IFERROR(INDEX('[1]Anexos FICHA TRA050'!$C$49:$C$54, MATCH(Tabla467824[[#This Row],[Columna5]], '[1]Anexos FICHA TRA050'!$D$49:$D$54, 0)), "")</f>
        <v>15815</v>
      </c>
      <c r="BH136" s="217">
        <f>+(((Tabla467824[[#This Row],[CVA2]]*Tabla467824[[#This Row],[f2]])-Tabla467824[[#This Row],[CVN2]])/100)*Tabla467824[[#This Row],[L2]]</f>
        <v>5607.9989999999989</v>
      </c>
      <c r="BI136" s="218"/>
      <c r="BJ136" s="218"/>
      <c r="BK136" s="218" t="str">
        <f>+IF(Tabla467824[[#This Row],[F]]=Tabla467824[[#This Row],[f2]], "IGUAL", "DISTINTO")</f>
        <v>IGUAL</v>
      </c>
      <c r="BL136" s="218" t="str">
        <f>+IF(Tabla467824[[#This Row],[CVN]]=Tabla467824[[#This Row],[CVN2]], "IGUAL", "DISTINTO")</f>
        <v>DISTINTO</v>
      </c>
      <c r="BM136" s="219" t="str">
        <f>+IF(Tabla467824[[#This Row],[L]]=Tabla467824[[#This Row],[L2]], "IGUAL", "DISTINTO")</f>
        <v>IGUAL</v>
      </c>
    </row>
    <row r="137" spans="1:65" x14ac:dyDescent="0.25">
      <c r="A137">
        <v>134</v>
      </c>
      <c r="B137" s="202" t="s">
        <v>970</v>
      </c>
      <c r="C137" s="203" t="s">
        <v>971</v>
      </c>
      <c r="D137" s="203" t="s">
        <v>128</v>
      </c>
      <c r="E137" s="203" t="s">
        <v>78</v>
      </c>
      <c r="F137" s="203" t="s">
        <v>78</v>
      </c>
      <c r="G137" s="203" t="s">
        <v>128</v>
      </c>
      <c r="H137" s="203" t="s">
        <v>72</v>
      </c>
      <c r="I137" s="203"/>
      <c r="J137" s="203" t="s">
        <v>72</v>
      </c>
      <c r="K137" s="203"/>
      <c r="L137" s="203" t="s">
        <v>249</v>
      </c>
      <c r="M137" s="203" t="s">
        <v>249</v>
      </c>
      <c r="N137" s="203"/>
      <c r="O137" s="203" t="s">
        <v>73</v>
      </c>
      <c r="P137" s="203" t="s">
        <v>200</v>
      </c>
      <c r="Q137" s="203" t="s">
        <v>201</v>
      </c>
      <c r="R137" s="203" t="s">
        <v>160</v>
      </c>
      <c r="S137" s="209">
        <v>44228</v>
      </c>
      <c r="T137" s="205">
        <v>45689</v>
      </c>
      <c r="U137" s="206">
        <v>1461</v>
      </c>
      <c r="V137" s="207">
        <v>2025</v>
      </c>
      <c r="W137" s="203" t="s">
        <v>161</v>
      </c>
      <c r="X137" s="203" t="s">
        <v>78</v>
      </c>
      <c r="Y137" s="203" t="s">
        <v>79</v>
      </c>
      <c r="Z137" s="203" t="s">
        <v>924</v>
      </c>
      <c r="AA137" s="203" t="s">
        <v>308</v>
      </c>
      <c r="AB137" s="203" t="s">
        <v>309</v>
      </c>
      <c r="AC137" s="203" t="s">
        <v>310</v>
      </c>
      <c r="AD137" s="208">
        <v>4</v>
      </c>
      <c r="AE137" s="208" t="s">
        <v>972</v>
      </c>
      <c r="AF137" s="208" t="s">
        <v>85</v>
      </c>
      <c r="AG137" s="208" t="s">
        <v>86</v>
      </c>
      <c r="AH137" s="208" t="s">
        <v>87</v>
      </c>
      <c r="AI137" s="208" t="s">
        <v>312</v>
      </c>
      <c r="AJ137" s="205" t="s">
        <v>89</v>
      </c>
      <c r="AK137" s="204">
        <v>45649</v>
      </c>
      <c r="AL137" s="208">
        <v>-1</v>
      </c>
      <c r="AM137" s="209" t="s">
        <v>308</v>
      </c>
      <c r="AN137" s="209" t="s">
        <v>72</v>
      </c>
      <c r="AO137" s="209" t="s">
        <v>309</v>
      </c>
      <c r="AP137" s="209"/>
      <c r="AQ137" s="209" t="s">
        <v>72</v>
      </c>
      <c r="AR137" s="209" t="s">
        <v>91</v>
      </c>
      <c r="AS137" s="209" t="s">
        <v>973</v>
      </c>
      <c r="AT137" s="210">
        <v>5.6</v>
      </c>
      <c r="AU137" s="211">
        <v>10</v>
      </c>
      <c r="AV137" s="212">
        <v>17.3</v>
      </c>
      <c r="AW137" s="213">
        <v>15815</v>
      </c>
      <c r="AX137" s="213">
        <v>6120.4049999999997</v>
      </c>
      <c r="AY137" s="210" t="s">
        <v>128</v>
      </c>
      <c r="AZ137" s="209" t="s">
        <v>93</v>
      </c>
      <c r="BA137" s="214" t="str">
        <f>+IF(Tabla467824[[#This Row],[TIPO VEHÍCULO]]=Tabla467824[[#This Row],[Columna2]], "IGUAL", "DISTINTO")</f>
        <v>IGUAL</v>
      </c>
      <c r="BB137" s="214" t="str">
        <f>+IF(Tabla467824[[#This Row],[Columna4]]=Tabla467824[[#This Row],[Combustible2]], "IGUAL", "DISTINTO")</f>
        <v>IGUAL</v>
      </c>
      <c r="BC137" s="202" t="s">
        <v>970</v>
      </c>
      <c r="BD137" s="215" cm="1">
        <f t="array" ref="BD137">IFERROR(INDEX('[1]Anexos FICHA TRA050'!$D$27:$D$44, MATCH(Tabla467824[[#This Row],[Columna5]]&amp;Tabla467824[[#This Row],[Columna4]], '[1]Anexos FICHA TRA050'!$E$27:$E$44&amp;'[1]Anexos FICHA TRA050'!$F$27:$F$44, 0)), "")</f>
        <v>5.63</v>
      </c>
      <c r="BE137" s="215">
        <f>IFERROR(INDEX('[1]Anexos FICHA TRA050'!$B$4:$B$7, MATCH(Tabla467824[[#This Row],[Columna4]], '[1]Anexos FICHA TRA050'!$C$4:$C$7, 0)), "")</f>
        <v>10</v>
      </c>
      <c r="BF137" s="215">
        <f>IFERROR(INDEX('[1]Anexos FICHA TRA050'!$C$14:$C$22, MATCH(Tabla467824[[#This Row],[Columna5]], '[1]Anexos FICHA TRA050'!$D$14:$D$22, 0)), "")</f>
        <v>20.84</v>
      </c>
      <c r="BG137" s="216">
        <f>IFERROR(INDEX('[1]Anexos FICHA TRA050'!$C$49:$C$54, MATCH(Tabla467824[[#This Row],[Columna5]], '[1]Anexos FICHA TRA050'!$D$49:$D$54, 0)), "")</f>
        <v>15815</v>
      </c>
      <c r="BH137" s="217">
        <f>+(((Tabla467824[[#This Row],[CVA2]]*Tabla467824[[#This Row],[f2]])-Tabla467824[[#This Row],[CVN2]])/100)*Tabla467824[[#This Row],[L2]]</f>
        <v>5607.9989999999989</v>
      </c>
      <c r="BI137" s="218"/>
      <c r="BJ137" s="218"/>
      <c r="BK137" s="218" t="str">
        <f>+IF(Tabla467824[[#This Row],[F]]=Tabla467824[[#This Row],[f2]], "IGUAL", "DISTINTO")</f>
        <v>IGUAL</v>
      </c>
      <c r="BL137" s="218" t="str">
        <f>+IF(Tabla467824[[#This Row],[CVN]]=Tabla467824[[#This Row],[CVN2]], "IGUAL", "DISTINTO")</f>
        <v>DISTINTO</v>
      </c>
      <c r="BM137" s="219" t="str">
        <f>+IF(Tabla467824[[#This Row],[L]]=Tabla467824[[#This Row],[L2]], "IGUAL", "DISTINTO")</f>
        <v>IGUAL</v>
      </c>
    </row>
    <row r="138" spans="1:65" x14ac:dyDescent="0.25">
      <c r="A138">
        <v>135</v>
      </c>
      <c r="B138" s="202" t="s">
        <v>974</v>
      </c>
      <c r="C138" s="203" t="s">
        <v>975</v>
      </c>
      <c r="D138" s="203" t="s">
        <v>128</v>
      </c>
      <c r="E138" s="203" t="s">
        <v>78</v>
      </c>
      <c r="F138" s="203" t="s">
        <v>78</v>
      </c>
      <c r="G138" s="203" t="s">
        <v>128</v>
      </c>
      <c r="H138" s="203" t="s">
        <v>72</v>
      </c>
      <c r="I138" s="203"/>
      <c r="J138" s="203" t="s">
        <v>72</v>
      </c>
      <c r="K138" s="203"/>
      <c r="L138" s="203" t="s">
        <v>72</v>
      </c>
      <c r="M138" s="203" t="s">
        <v>72</v>
      </c>
      <c r="N138" s="203"/>
      <c r="O138" s="203" t="s">
        <v>73</v>
      </c>
      <c r="P138" s="203" t="s">
        <v>200</v>
      </c>
      <c r="Q138" s="203" t="s">
        <v>201</v>
      </c>
      <c r="R138" s="203" t="s">
        <v>160</v>
      </c>
      <c r="S138" s="209">
        <v>44232</v>
      </c>
      <c r="T138" s="205">
        <v>45693</v>
      </c>
      <c r="U138" s="206">
        <v>1461</v>
      </c>
      <c r="V138" s="207">
        <v>2025</v>
      </c>
      <c r="W138" s="203" t="s">
        <v>161</v>
      </c>
      <c r="X138" s="203" t="s">
        <v>78</v>
      </c>
      <c r="Y138" s="203" t="s">
        <v>79</v>
      </c>
      <c r="Z138" s="203" t="s">
        <v>924</v>
      </c>
      <c r="AA138" s="203" t="s">
        <v>308</v>
      </c>
      <c r="AB138" s="203" t="s">
        <v>309</v>
      </c>
      <c r="AC138" s="203" t="s">
        <v>310</v>
      </c>
      <c r="AD138" s="208">
        <v>5</v>
      </c>
      <c r="AE138" s="208" t="s">
        <v>976</v>
      </c>
      <c r="AF138" s="208" t="s">
        <v>85</v>
      </c>
      <c r="AG138" s="208" t="s">
        <v>86</v>
      </c>
      <c r="AH138" s="208" t="s">
        <v>87</v>
      </c>
      <c r="AI138" s="208" t="s">
        <v>310</v>
      </c>
      <c r="AJ138" s="205" t="s">
        <v>89</v>
      </c>
      <c r="AK138" s="204">
        <v>45649</v>
      </c>
      <c r="AL138" s="208">
        <v>-1</v>
      </c>
      <c r="AM138" s="209" t="s">
        <v>308</v>
      </c>
      <c r="AN138" s="209" t="s">
        <v>72</v>
      </c>
      <c r="AO138" s="209" t="s">
        <v>309</v>
      </c>
      <c r="AP138" s="209"/>
      <c r="AQ138" s="209" t="s">
        <v>72</v>
      </c>
      <c r="AR138" s="209" t="s">
        <v>91</v>
      </c>
      <c r="AS138" s="209" t="s">
        <v>977</v>
      </c>
      <c r="AT138" s="210">
        <v>5.6</v>
      </c>
      <c r="AU138" s="211">
        <v>10</v>
      </c>
      <c r="AV138" s="212">
        <v>17.3</v>
      </c>
      <c r="AW138" s="213">
        <v>15815</v>
      </c>
      <c r="AX138" s="213">
        <v>6120.4049999999997</v>
      </c>
      <c r="AY138" s="210" t="s">
        <v>128</v>
      </c>
      <c r="AZ138" s="209" t="s">
        <v>93</v>
      </c>
      <c r="BA138" s="214" t="str">
        <f>+IF(Tabla467824[[#This Row],[TIPO VEHÍCULO]]=Tabla467824[[#This Row],[Columna2]], "IGUAL", "DISTINTO")</f>
        <v>IGUAL</v>
      </c>
      <c r="BB138" s="214" t="str">
        <f>+IF(Tabla467824[[#This Row],[Columna4]]=Tabla467824[[#This Row],[Combustible2]], "IGUAL", "DISTINTO")</f>
        <v>IGUAL</v>
      </c>
      <c r="BC138" s="202" t="s">
        <v>974</v>
      </c>
      <c r="BD138" s="215" cm="1">
        <f t="array" ref="BD138">IFERROR(INDEX('[1]Anexos FICHA TRA050'!$D$27:$D$44, MATCH(Tabla467824[[#This Row],[Columna5]]&amp;Tabla467824[[#This Row],[Columna4]], '[1]Anexos FICHA TRA050'!$E$27:$E$44&amp;'[1]Anexos FICHA TRA050'!$F$27:$F$44, 0)), "")</f>
        <v>5.63</v>
      </c>
      <c r="BE138" s="215">
        <f>IFERROR(INDEX('[1]Anexos FICHA TRA050'!$B$4:$B$7, MATCH(Tabla467824[[#This Row],[Columna4]], '[1]Anexos FICHA TRA050'!$C$4:$C$7, 0)), "")</f>
        <v>10</v>
      </c>
      <c r="BF138" s="215">
        <f>IFERROR(INDEX('[1]Anexos FICHA TRA050'!$C$14:$C$22, MATCH(Tabla467824[[#This Row],[Columna5]], '[1]Anexos FICHA TRA050'!$D$14:$D$22, 0)), "")</f>
        <v>20.84</v>
      </c>
      <c r="BG138" s="216">
        <f>IFERROR(INDEX('[1]Anexos FICHA TRA050'!$C$49:$C$54, MATCH(Tabla467824[[#This Row],[Columna5]], '[1]Anexos FICHA TRA050'!$D$49:$D$54, 0)), "")</f>
        <v>15815</v>
      </c>
      <c r="BH138" s="217">
        <f>+(((Tabla467824[[#This Row],[CVA2]]*Tabla467824[[#This Row],[f2]])-Tabla467824[[#This Row],[CVN2]])/100)*Tabla467824[[#This Row],[L2]]</f>
        <v>5607.9989999999989</v>
      </c>
      <c r="BI138" s="218"/>
      <c r="BJ138" s="218"/>
      <c r="BK138" s="218" t="str">
        <f>+IF(Tabla467824[[#This Row],[F]]=Tabla467824[[#This Row],[f2]], "IGUAL", "DISTINTO")</f>
        <v>IGUAL</v>
      </c>
      <c r="BL138" s="218" t="str">
        <f>+IF(Tabla467824[[#This Row],[CVN]]=Tabla467824[[#This Row],[CVN2]], "IGUAL", "DISTINTO")</f>
        <v>DISTINTO</v>
      </c>
      <c r="BM138" s="219" t="str">
        <f>+IF(Tabla467824[[#This Row],[L]]=Tabla467824[[#This Row],[L2]], "IGUAL", "DISTINTO")</f>
        <v>IGUAL</v>
      </c>
    </row>
    <row r="139" spans="1:65" x14ac:dyDescent="0.25">
      <c r="A139">
        <v>136</v>
      </c>
      <c r="B139" s="202" t="s">
        <v>978</v>
      </c>
      <c r="C139" s="203" t="s">
        <v>979</v>
      </c>
      <c r="D139" s="203" t="s">
        <v>128</v>
      </c>
      <c r="E139" s="203" t="s">
        <v>78</v>
      </c>
      <c r="F139" s="203" t="s">
        <v>78</v>
      </c>
      <c r="G139" s="203" t="s">
        <v>128</v>
      </c>
      <c r="H139" s="203" t="s">
        <v>72</v>
      </c>
      <c r="I139" s="203"/>
      <c r="J139" s="203" t="s">
        <v>72</v>
      </c>
      <c r="K139" s="203"/>
      <c r="L139" s="203" t="s">
        <v>249</v>
      </c>
      <c r="M139" s="203" t="s">
        <v>249</v>
      </c>
      <c r="N139" s="203"/>
      <c r="O139" s="203" t="s">
        <v>73</v>
      </c>
      <c r="P139" s="203" t="s">
        <v>200</v>
      </c>
      <c r="Q139" s="203" t="s">
        <v>201</v>
      </c>
      <c r="R139" s="203" t="s">
        <v>76</v>
      </c>
      <c r="S139" s="209">
        <v>44235</v>
      </c>
      <c r="T139" s="205">
        <v>45696</v>
      </c>
      <c r="U139" s="206">
        <v>1461</v>
      </c>
      <c r="V139" s="207">
        <v>2025</v>
      </c>
      <c r="W139" s="203" t="s">
        <v>77</v>
      </c>
      <c r="X139" s="203" t="s">
        <v>78</v>
      </c>
      <c r="Y139" s="203" t="s">
        <v>79</v>
      </c>
      <c r="Z139" s="203" t="s">
        <v>924</v>
      </c>
      <c r="AA139" s="203" t="s">
        <v>308</v>
      </c>
      <c r="AB139" s="203" t="s">
        <v>309</v>
      </c>
      <c r="AC139" s="203" t="s">
        <v>980</v>
      </c>
      <c r="AD139" s="208">
        <v>6</v>
      </c>
      <c r="AE139" s="208" t="s">
        <v>981</v>
      </c>
      <c r="AF139" s="208" t="s">
        <v>85</v>
      </c>
      <c r="AG139" s="208" t="s">
        <v>86</v>
      </c>
      <c r="AH139" s="208" t="s">
        <v>87</v>
      </c>
      <c r="AI139" s="208" t="s">
        <v>310</v>
      </c>
      <c r="AJ139" s="205" t="s">
        <v>89</v>
      </c>
      <c r="AK139" s="204">
        <v>45649</v>
      </c>
      <c r="AL139" s="208">
        <v>-1</v>
      </c>
      <c r="AM139" s="209" t="s">
        <v>308</v>
      </c>
      <c r="AN139" s="209" t="s">
        <v>72</v>
      </c>
      <c r="AO139" s="209" t="s">
        <v>309</v>
      </c>
      <c r="AP139" s="209"/>
      <c r="AQ139" s="209" t="s">
        <v>72</v>
      </c>
      <c r="AR139" s="209" t="s">
        <v>91</v>
      </c>
      <c r="AS139" s="209" t="s">
        <v>982</v>
      </c>
      <c r="AT139" s="210">
        <v>5.6</v>
      </c>
      <c r="AU139" s="211">
        <v>10</v>
      </c>
      <c r="AV139" s="212">
        <v>17.3</v>
      </c>
      <c r="AW139" s="213">
        <v>15815</v>
      </c>
      <c r="AX139" s="213">
        <v>6120.4049999999997</v>
      </c>
      <c r="AY139" s="210" t="s">
        <v>128</v>
      </c>
      <c r="AZ139" s="209" t="s">
        <v>93</v>
      </c>
      <c r="BA139" s="214" t="str">
        <f>+IF(Tabla467824[[#This Row],[TIPO VEHÍCULO]]=Tabla467824[[#This Row],[Columna2]], "IGUAL", "DISTINTO")</f>
        <v>IGUAL</v>
      </c>
      <c r="BB139" s="214" t="str">
        <f>+IF(Tabla467824[[#This Row],[Columna4]]=Tabla467824[[#This Row],[Combustible2]], "IGUAL", "DISTINTO")</f>
        <v>IGUAL</v>
      </c>
      <c r="BC139" s="202" t="s">
        <v>978</v>
      </c>
      <c r="BD139" s="215" cm="1">
        <f t="array" ref="BD139">IFERROR(INDEX('[1]Anexos FICHA TRA050'!$D$27:$D$44, MATCH(Tabla467824[[#This Row],[Columna5]]&amp;Tabla467824[[#This Row],[Columna4]], '[1]Anexos FICHA TRA050'!$E$27:$E$44&amp;'[1]Anexos FICHA TRA050'!$F$27:$F$44, 0)), "")</f>
        <v>5.63</v>
      </c>
      <c r="BE139" s="215">
        <f>IFERROR(INDEX('[1]Anexos FICHA TRA050'!$B$4:$B$7, MATCH(Tabla467824[[#This Row],[Columna4]], '[1]Anexos FICHA TRA050'!$C$4:$C$7, 0)), "")</f>
        <v>10</v>
      </c>
      <c r="BF139" s="215">
        <f>IFERROR(INDEX('[1]Anexos FICHA TRA050'!$C$14:$C$22, MATCH(Tabla467824[[#This Row],[Columna5]], '[1]Anexos FICHA TRA050'!$D$14:$D$22, 0)), "")</f>
        <v>20.84</v>
      </c>
      <c r="BG139" s="216">
        <f>IFERROR(INDEX('[1]Anexos FICHA TRA050'!$C$49:$C$54, MATCH(Tabla467824[[#This Row],[Columna5]], '[1]Anexos FICHA TRA050'!$D$49:$D$54, 0)), "")</f>
        <v>15815</v>
      </c>
      <c r="BH139" s="217">
        <f>+(((Tabla467824[[#This Row],[CVA2]]*Tabla467824[[#This Row],[f2]])-Tabla467824[[#This Row],[CVN2]])/100)*Tabla467824[[#This Row],[L2]]</f>
        <v>5607.9989999999989</v>
      </c>
      <c r="BI139" s="218"/>
      <c r="BJ139" s="218"/>
      <c r="BK139" s="218" t="str">
        <f>+IF(Tabla467824[[#This Row],[F]]=Tabla467824[[#This Row],[f2]], "IGUAL", "DISTINTO")</f>
        <v>IGUAL</v>
      </c>
      <c r="BL139" s="218" t="str">
        <f>+IF(Tabla467824[[#This Row],[CVN]]=Tabla467824[[#This Row],[CVN2]], "IGUAL", "DISTINTO")</f>
        <v>DISTINTO</v>
      </c>
      <c r="BM139" s="219" t="str">
        <f>+IF(Tabla467824[[#This Row],[L]]=Tabla467824[[#This Row],[L2]], "IGUAL", "DISTINTO")</f>
        <v>IGUAL</v>
      </c>
    </row>
    <row r="140" spans="1:65" x14ac:dyDescent="0.25">
      <c r="A140">
        <v>137</v>
      </c>
      <c r="B140" s="202" t="s">
        <v>983</v>
      </c>
      <c r="C140" s="203" t="s">
        <v>984</v>
      </c>
      <c r="D140" s="203" t="s">
        <v>128</v>
      </c>
      <c r="E140" s="203" t="s">
        <v>78</v>
      </c>
      <c r="F140" s="203" t="s">
        <v>78</v>
      </c>
      <c r="G140" s="203" t="s">
        <v>128</v>
      </c>
      <c r="H140" s="203" t="s">
        <v>72</v>
      </c>
      <c r="I140" s="203"/>
      <c r="J140" s="203" t="s">
        <v>72</v>
      </c>
      <c r="K140" s="203"/>
      <c r="L140" s="203" t="s">
        <v>72</v>
      </c>
      <c r="M140" s="203" t="s">
        <v>72</v>
      </c>
      <c r="N140" s="203"/>
      <c r="O140" s="203" t="s">
        <v>73</v>
      </c>
      <c r="P140" s="203" t="s">
        <v>200</v>
      </c>
      <c r="Q140" s="203" t="s">
        <v>201</v>
      </c>
      <c r="R140" s="203" t="s">
        <v>160</v>
      </c>
      <c r="S140" s="209">
        <v>44250</v>
      </c>
      <c r="T140" s="205">
        <v>45711</v>
      </c>
      <c r="U140" s="206">
        <v>1461</v>
      </c>
      <c r="V140" s="207">
        <v>2025</v>
      </c>
      <c r="W140" s="203" t="s">
        <v>161</v>
      </c>
      <c r="X140" s="203" t="s">
        <v>78</v>
      </c>
      <c r="Y140" s="203" t="s">
        <v>79</v>
      </c>
      <c r="Z140" s="203" t="s">
        <v>924</v>
      </c>
      <c r="AA140" s="203" t="s">
        <v>985</v>
      </c>
      <c r="AB140" s="203" t="s">
        <v>986</v>
      </c>
      <c r="AC140" s="203" t="s">
        <v>987</v>
      </c>
      <c r="AD140" s="208">
        <v>1</v>
      </c>
      <c r="AE140" s="208" t="s">
        <v>988</v>
      </c>
      <c r="AF140" s="208" t="s">
        <v>85</v>
      </c>
      <c r="AG140" s="208" t="s">
        <v>86</v>
      </c>
      <c r="AH140" s="208" t="s">
        <v>87</v>
      </c>
      <c r="AI140" s="208" t="s">
        <v>987</v>
      </c>
      <c r="AJ140" s="205" t="s">
        <v>89</v>
      </c>
      <c r="AK140" s="204">
        <v>45653</v>
      </c>
      <c r="AL140" s="208">
        <v>-1</v>
      </c>
      <c r="AM140" s="209" t="s">
        <v>985</v>
      </c>
      <c r="AN140" s="209" t="s">
        <v>989</v>
      </c>
      <c r="AO140" s="209" t="s">
        <v>986</v>
      </c>
      <c r="AP140" s="209"/>
      <c r="AQ140" s="209" t="s">
        <v>72</v>
      </c>
      <c r="AR140" s="209" t="s">
        <v>91</v>
      </c>
      <c r="AS140" s="209" t="s">
        <v>990</v>
      </c>
      <c r="AT140" s="210">
        <v>5.6</v>
      </c>
      <c r="AU140" s="211">
        <v>10</v>
      </c>
      <c r="AV140" s="212">
        <v>17.3</v>
      </c>
      <c r="AW140" s="213">
        <v>15815</v>
      </c>
      <c r="AX140" s="213">
        <v>6120.4049999999997</v>
      </c>
      <c r="AY140" s="210" t="s">
        <v>128</v>
      </c>
      <c r="AZ140" s="209" t="s">
        <v>93</v>
      </c>
      <c r="BA140" s="214" t="str">
        <f>+IF(Tabla467824[[#This Row],[TIPO VEHÍCULO]]=Tabla467824[[#This Row],[Columna2]], "IGUAL", "DISTINTO")</f>
        <v>IGUAL</v>
      </c>
      <c r="BB140" s="214" t="str">
        <f>+IF(Tabla467824[[#This Row],[Columna4]]=Tabla467824[[#This Row],[Combustible2]], "IGUAL", "DISTINTO")</f>
        <v>IGUAL</v>
      </c>
      <c r="BC140" s="202" t="s">
        <v>983</v>
      </c>
      <c r="BD140" s="215" cm="1">
        <f t="array" ref="BD140">IFERROR(INDEX('[1]Anexos FICHA TRA050'!$D$27:$D$44, MATCH(Tabla467824[[#This Row],[Columna5]]&amp;Tabla467824[[#This Row],[Columna4]], '[1]Anexos FICHA TRA050'!$E$27:$E$44&amp;'[1]Anexos FICHA TRA050'!$F$27:$F$44, 0)), "")</f>
        <v>5.63</v>
      </c>
      <c r="BE140" s="215">
        <f>IFERROR(INDEX('[1]Anexos FICHA TRA050'!$B$4:$B$7, MATCH(Tabla467824[[#This Row],[Columna4]], '[1]Anexos FICHA TRA050'!$C$4:$C$7, 0)), "")</f>
        <v>10</v>
      </c>
      <c r="BF140" s="215">
        <f>IFERROR(INDEX('[1]Anexos FICHA TRA050'!$C$14:$C$22, MATCH(Tabla467824[[#This Row],[Columna5]], '[1]Anexos FICHA TRA050'!$D$14:$D$22, 0)), "")</f>
        <v>20.84</v>
      </c>
      <c r="BG140" s="216">
        <f>IFERROR(INDEX('[1]Anexos FICHA TRA050'!$C$49:$C$54, MATCH(Tabla467824[[#This Row],[Columna5]], '[1]Anexos FICHA TRA050'!$D$49:$D$54, 0)), "")</f>
        <v>15815</v>
      </c>
      <c r="BH140" s="217">
        <f>+(((Tabla467824[[#This Row],[CVA2]]*Tabla467824[[#This Row],[f2]])-Tabla467824[[#This Row],[CVN2]])/100)*Tabla467824[[#This Row],[L2]]</f>
        <v>5607.9989999999989</v>
      </c>
      <c r="BI140" s="218"/>
      <c r="BJ140" s="218"/>
      <c r="BK140" s="218" t="str">
        <f>+IF(Tabla467824[[#This Row],[F]]=Tabla467824[[#This Row],[f2]], "IGUAL", "DISTINTO")</f>
        <v>IGUAL</v>
      </c>
      <c r="BL140" s="218" t="str">
        <f>+IF(Tabla467824[[#This Row],[CVN]]=Tabla467824[[#This Row],[CVN2]], "IGUAL", "DISTINTO")</f>
        <v>DISTINTO</v>
      </c>
      <c r="BM140" s="219" t="str">
        <f>+IF(Tabla467824[[#This Row],[L]]=Tabla467824[[#This Row],[L2]], "IGUAL", "DISTINTO")</f>
        <v>IGUAL</v>
      </c>
    </row>
    <row r="141" spans="1:65" x14ac:dyDescent="0.25">
      <c r="A141">
        <v>138</v>
      </c>
      <c r="B141" s="202" t="s">
        <v>991</v>
      </c>
      <c r="C141" s="203" t="s">
        <v>992</v>
      </c>
      <c r="D141" s="203" t="s">
        <v>128</v>
      </c>
      <c r="E141" s="203" t="s">
        <v>78</v>
      </c>
      <c r="F141" s="203" t="s">
        <v>78</v>
      </c>
      <c r="G141" s="203" t="s">
        <v>128</v>
      </c>
      <c r="H141" s="203" t="s">
        <v>72</v>
      </c>
      <c r="I141" s="203"/>
      <c r="J141" s="203" t="s">
        <v>72</v>
      </c>
      <c r="K141" s="203"/>
      <c r="L141" s="203" t="s">
        <v>249</v>
      </c>
      <c r="M141" s="203" t="s">
        <v>249</v>
      </c>
      <c r="N141" s="203"/>
      <c r="O141" s="203" t="s">
        <v>73</v>
      </c>
      <c r="P141" s="203" t="s">
        <v>200</v>
      </c>
      <c r="Q141" s="203" t="s">
        <v>201</v>
      </c>
      <c r="R141" s="203" t="s">
        <v>76</v>
      </c>
      <c r="S141" s="209">
        <v>44228</v>
      </c>
      <c r="T141" s="205">
        <v>45716</v>
      </c>
      <c r="U141" s="206">
        <v>1488</v>
      </c>
      <c r="V141" s="207">
        <v>2025</v>
      </c>
      <c r="W141" s="203" t="s">
        <v>77</v>
      </c>
      <c r="X141" s="203" t="s">
        <v>78</v>
      </c>
      <c r="Y141" s="203" t="s">
        <v>79</v>
      </c>
      <c r="Z141" s="203" t="s">
        <v>924</v>
      </c>
      <c r="AA141" s="203" t="s">
        <v>102</v>
      </c>
      <c r="AB141" s="203" t="s">
        <v>103</v>
      </c>
      <c r="AC141" s="203" t="s">
        <v>993</v>
      </c>
      <c r="AD141" s="208">
        <v>41</v>
      </c>
      <c r="AE141" s="208" t="s">
        <v>994</v>
      </c>
      <c r="AF141" s="208" t="s">
        <v>85</v>
      </c>
      <c r="AG141" s="208" t="s">
        <v>86</v>
      </c>
      <c r="AH141" s="208" t="s">
        <v>87</v>
      </c>
      <c r="AI141" s="208" t="s">
        <v>301</v>
      </c>
      <c r="AJ141" s="205" t="s">
        <v>89</v>
      </c>
      <c r="AK141" s="204">
        <v>45625</v>
      </c>
      <c r="AL141" s="208">
        <v>-1</v>
      </c>
      <c r="AM141" s="209" t="s">
        <v>102</v>
      </c>
      <c r="AN141" s="209" t="s">
        <v>995</v>
      </c>
      <c r="AO141" s="209" t="s">
        <v>103</v>
      </c>
      <c r="AP141" s="209"/>
      <c r="AQ141" s="209" t="s">
        <v>72</v>
      </c>
      <c r="AR141" s="209" t="s">
        <v>109</v>
      </c>
      <c r="AS141" s="209" t="s">
        <v>996</v>
      </c>
      <c r="AT141" s="210">
        <v>5.6</v>
      </c>
      <c r="AU141" s="211">
        <v>10</v>
      </c>
      <c r="AV141" s="212">
        <v>17.3</v>
      </c>
      <c r="AW141" s="213">
        <v>15815</v>
      </c>
      <c r="AX141" s="213">
        <v>6120.4049999999997</v>
      </c>
      <c r="AY141" s="210" t="s">
        <v>128</v>
      </c>
      <c r="AZ141" s="209" t="s">
        <v>93</v>
      </c>
      <c r="BA141" s="214" t="str">
        <f>+IF(Tabla467824[[#This Row],[TIPO VEHÍCULO]]=Tabla467824[[#This Row],[Columna2]], "IGUAL", "DISTINTO")</f>
        <v>IGUAL</v>
      </c>
      <c r="BB141" s="214" t="str">
        <f>+IF(Tabla467824[[#This Row],[Columna4]]=Tabla467824[[#This Row],[Combustible2]], "IGUAL", "DISTINTO")</f>
        <v>IGUAL</v>
      </c>
      <c r="BC141" s="202" t="s">
        <v>991</v>
      </c>
      <c r="BD141" s="215" cm="1">
        <f t="array" ref="BD141">IFERROR(INDEX('[1]Anexos FICHA TRA050'!$D$27:$D$44, MATCH(Tabla467824[[#This Row],[Columna5]]&amp;Tabla467824[[#This Row],[Columna4]], '[1]Anexos FICHA TRA050'!$E$27:$E$44&amp;'[1]Anexos FICHA TRA050'!$F$27:$F$44, 0)), "")</f>
        <v>5.63</v>
      </c>
      <c r="BE141" s="215">
        <f>IFERROR(INDEX('[1]Anexos FICHA TRA050'!$B$4:$B$7, MATCH(Tabla467824[[#This Row],[Columna4]], '[1]Anexos FICHA TRA050'!$C$4:$C$7, 0)), "")</f>
        <v>10</v>
      </c>
      <c r="BF141" s="215">
        <f>IFERROR(INDEX('[1]Anexos FICHA TRA050'!$C$14:$C$22, MATCH(Tabla467824[[#This Row],[Columna5]], '[1]Anexos FICHA TRA050'!$D$14:$D$22, 0)), "")</f>
        <v>20.84</v>
      </c>
      <c r="BG141" s="216">
        <f>IFERROR(INDEX('[1]Anexos FICHA TRA050'!$C$49:$C$54, MATCH(Tabla467824[[#This Row],[Columna5]], '[1]Anexos FICHA TRA050'!$D$49:$D$54, 0)), "")</f>
        <v>15815</v>
      </c>
      <c r="BH141" s="217">
        <f>+(((Tabla467824[[#This Row],[CVA2]]*Tabla467824[[#This Row],[f2]])-Tabla467824[[#This Row],[CVN2]])/100)*Tabla467824[[#This Row],[L2]]</f>
        <v>5607.9989999999989</v>
      </c>
      <c r="BI141" s="218"/>
      <c r="BJ141" s="218"/>
      <c r="BK141" s="218" t="str">
        <f>+IF(Tabla467824[[#This Row],[F]]=Tabla467824[[#This Row],[f2]], "IGUAL", "DISTINTO")</f>
        <v>IGUAL</v>
      </c>
      <c r="BL141" s="218" t="str">
        <f>+IF(Tabla467824[[#This Row],[CVN]]=Tabla467824[[#This Row],[CVN2]], "IGUAL", "DISTINTO")</f>
        <v>DISTINTO</v>
      </c>
      <c r="BM141" s="219" t="str">
        <f>+IF(Tabla467824[[#This Row],[L]]=Tabla467824[[#This Row],[L2]], "IGUAL", "DISTINTO")</f>
        <v>IGUAL</v>
      </c>
    </row>
    <row r="142" spans="1:65" x14ac:dyDescent="0.25">
      <c r="A142">
        <v>139</v>
      </c>
      <c r="B142" s="202" t="s">
        <v>997</v>
      </c>
      <c r="C142" s="203" t="s">
        <v>998</v>
      </c>
      <c r="D142" s="203" t="s">
        <v>128</v>
      </c>
      <c r="E142" s="203" t="s">
        <v>78</v>
      </c>
      <c r="F142" s="203" t="s">
        <v>78</v>
      </c>
      <c r="G142" s="203" t="s">
        <v>128</v>
      </c>
      <c r="H142" s="203" t="s">
        <v>72</v>
      </c>
      <c r="I142" s="203"/>
      <c r="J142" s="203" t="s">
        <v>72</v>
      </c>
      <c r="K142" s="203"/>
      <c r="L142" s="203" t="s">
        <v>249</v>
      </c>
      <c r="M142" s="203" t="s">
        <v>249</v>
      </c>
      <c r="N142" s="203"/>
      <c r="O142" s="203" t="s">
        <v>73</v>
      </c>
      <c r="P142" s="203" t="s">
        <v>200</v>
      </c>
      <c r="Q142" s="203" t="s">
        <v>201</v>
      </c>
      <c r="R142" s="203" t="s">
        <v>160</v>
      </c>
      <c r="S142" s="209">
        <v>44270</v>
      </c>
      <c r="T142" s="205">
        <v>45731</v>
      </c>
      <c r="U142" s="206">
        <v>1461</v>
      </c>
      <c r="V142" s="207">
        <v>2025</v>
      </c>
      <c r="W142" s="203" t="s">
        <v>161</v>
      </c>
      <c r="X142" s="203" t="s">
        <v>78</v>
      </c>
      <c r="Y142" s="203" t="s">
        <v>79</v>
      </c>
      <c r="Z142" s="203" t="s">
        <v>924</v>
      </c>
      <c r="AA142" s="203" t="s">
        <v>102</v>
      </c>
      <c r="AB142" s="203" t="s">
        <v>103</v>
      </c>
      <c r="AC142" s="203" t="s">
        <v>669</v>
      </c>
      <c r="AD142" s="208">
        <v>42</v>
      </c>
      <c r="AE142" s="208" t="s">
        <v>999</v>
      </c>
      <c r="AF142" s="208" t="s">
        <v>85</v>
      </c>
      <c r="AG142" s="208" t="s">
        <v>86</v>
      </c>
      <c r="AH142" s="208" t="s">
        <v>87</v>
      </c>
      <c r="AI142" s="208" t="s">
        <v>301</v>
      </c>
      <c r="AJ142" s="205" t="s">
        <v>89</v>
      </c>
      <c r="AK142" s="204">
        <v>45625</v>
      </c>
      <c r="AL142" s="208">
        <v>-1</v>
      </c>
      <c r="AM142" s="209" t="s">
        <v>102</v>
      </c>
      <c r="AN142" s="209" t="s">
        <v>1000</v>
      </c>
      <c r="AO142" s="209" t="s">
        <v>103</v>
      </c>
      <c r="AP142" s="209"/>
      <c r="AQ142" s="209" t="s">
        <v>72</v>
      </c>
      <c r="AR142" s="209" t="s">
        <v>109</v>
      </c>
      <c r="AS142" s="209" t="s">
        <v>1001</v>
      </c>
      <c r="AT142" s="210">
        <v>5.6</v>
      </c>
      <c r="AU142" s="211">
        <v>10</v>
      </c>
      <c r="AV142" s="212">
        <v>17.3</v>
      </c>
      <c r="AW142" s="213">
        <v>15815</v>
      </c>
      <c r="AX142" s="213">
        <v>6120.4049999999997</v>
      </c>
      <c r="AY142" s="210" t="s">
        <v>128</v>
      </c>
      <c r="AZ142" s="209" t="s">
        <v>93</v>
      </c>
      <c r="BA142" s="214" t="str">
        <f>+IF(Tabla467824[[#This Row],[TIPO VEHÍCULO]]=Tabla467824[[#This Row],[Columna2]], "IGUAL", "DISTINTO")</f>
        <v>IGUAL</v>
      </c>
      <c r="BB142" s="214" t="str">
        <f>+IF(Tabla467824[[#This Row],[Columna4]]=Tabla467824[[#This Row],[Combustible2]], "IGUAL", "DISTINTO")</f>
        <v>IGUAL</v>
      </c>
      <c r="BC142" s="202" t="s">
        <v>997</v>
      </c>
      <c r="BD142" s="215" cm="1">
        <f t="array" ref="BD142">IFERROR(INDEX('[1]Anexos FICHA TRA050'!$D$27:$D$44, MATCH(Tabla467824[[#This Row],[Columna5]]&amp;Tabla467824[[#This Row],[Columna4]], '[1]Anexos FICHA TRA050'!$E$27:$E$44&amp;'[1]Anexos FICHA TRA050'!$F$27:$F$44, 0)), "")</f>
        <v>5.63</v>
      </c>
      <c r="BE142" s="215">
        <f>IFERROR(INDEX('[1]Anexos FICHA TRA050'!$B$4:$B$7, MATCH(Tabla467824[[#This Row],[Columna4]], '[1]Anexos FICHA TRA050'!$C$4:$C$7, 0)), "")</f>
        <v>10</v>
      </c>
      <c r="BF142" s="215">
        <f>IFERROR(INDEX('[1]Anexos FICHA TRA050'!$C$14:$C$22, MATCH(Tabla467824[[#This Row],[Columna5]], '[1]Anexos FICHA TRA050'!$D$14:$D$22, 0)), "")</f>
        <v>20.84</v>
      </c>
      <c r="BG142" s="216">
        <f>IFERROR(INDEX('[1]Anexos FICHA TRA050'!$C$49:$C$54, MATCH(Tabla467824[[#This Row],[Columna5]], '[1]Anexos FICHA TRA050'!$D$49:$D$54, 0)), "")</f>
        <v>15815</v>
      </c>
      <c r="BH142" s="217">
        <f>+(((Tabla467824[[#This Row],[CVA2]]*Tabla467824[[#This Row],[f2]])-Tabla467824[[#This Row],[CVN2]])/100)*Tabla467824[[#This Row],[L2]]</f>
        <v>5607.9989999999989</v>
      </c>
      <c r="BI142" s="218"/>
      <c r="BJ142" s="218"/>
      <c r="BK142" s="218" t="str">
        <f>+IF(Tabla467824[[#This Row],[F]]=Tabla467824[[#This Row],[f2]], "IGUAL", "DISTINTO")</f>
        <v>IGUAL</v>
      </c>
      <c r="BL142" s="218" t="str">
        <f>+IF(Tabla467824[[#This Row],[CVN]]=Tabla467824[[#This Row],[CVN2]], "IGUAL", "DISTINTO")</f>
        <v>DISTINTO</v>
      </c>
      <c r="BM142" s="219" t="str">
        <f>+IF(Tabla467824[[#This Row],[L]]=Tabla467824[[#This Row],[L2]], "IGUAL", "DISTINTO")</f>
        <v>IGUAL</v>
      </c>
    </row>
    <row r="143" spans="1:65" x14ac:dyDescent="0.25">
      <c r="A143">
        <v>140</v>
      </c>
      <c r="B143" s="202" t="s">
        <v>1002</v>
      </c>
      <c r="C143" s="203" t="s">
        <v>1003</v>
      </c>
      <c r="D143" s="203" t="s">
        <v>128</v>
      </c>
      <c r="E143" s="203" t="s">
        <v>78</v>
      </c>
      <c r="F143" s="203" t="s">
        <v>78</v>
      </c>
      <c r="G143" s="203" t="s">
        <v>128</v>
      </c>
      <c r="H143" s="203" t="s">
        <v>72</v>
      </c>
      <c r="I143" s="203"/>
      <c r="J143" s="203" t="s">
        <v>72</v>
      </c>
      <c r="K143" s="203"/>
      <c r="L143" s="203" t="s">
        <v>249</v>
      </c>
      <c r="M143" s="203" t="s">
        <v>249</v>
      </c>
      <c r="N143" s="203"/>
      <c r="O143" s="203" t="s">
        <v>73</v>
      </c>
      <c r="P143" s="203" t="s">
        <v>200</v>
      </c>
      <c r="Q143" s="203" t="s">
        <v>201</v>
      </c>
      <c r="R143" s="203" t="s">
        <v>76</v>
      </c>
      <c r="S143" s="209">
        <v>44266</v>
      </c>
      <c r="T143" s="205">
        <v>45747</v>
      </c>
      <c r="U143" s="206">
        <v>1481</v>
      </c>
      <c r="V143" s="207">
        <v>2025</v>
      </c>
      <c r="W143" s="203" t="s">
        <v>77</v>
      </c>
      <c r="X143" s="203" t="s">
        <v>78</v>
      </c>
      <c r="Y143" s="203" t="s">
        <v>79</v>
      </c>
      <c r="Z143" s="203" t="s">
        <v>924</v>
      </c>
      <c r="AA143" s="203" t="s">
        <v>308</v>
      </c>
      <c r="AB143" s="203" t="s">
        <v>309</v>
      </c>
      <c r="AC143" s="203" t="s">
        <v>1004</v>
      </c>
      <c r="AD143" s="208">
        <v>7</v>
      </c>
      <c r="AE143" s="208" t="s">
        <v>1005</v>
      </c>
      <c r="AF143" s="208" t="s">
        <v>85</v>
      </c>
      <c r="AG143" s="208" t="s">
        <v>86</v>
      </c>
      <c r="AH143" s="208" t="s">
        <v>87</v>
      </c>
      <c r="AI143" s="208" t="s">
        <v>310</v>
      </c>
      <c r="AJ143" s="205" t="s">
        <v>89</v>
      </c>
      <c r="AK143" s="204">
        <v>45652</v>
      </c>
      <c r="AL143" s="208">
        <v>-1</v>
      </c>
      <c r="AM143" s="209" t="s">
        <v>308</v>
      </c>
      <c r="AN143" s="209" t="s">
        <v>72</v>
      </c>
      <c r="AO143" s="209" t="s">
        <v>309</v>
      </c>
      <c r="AP143" s="209"/>
      <c r="AQ143" s="209" t="s">
        <v>72</v>
      </c>
      <c r="AR143" s="209" t="s">
        <v>91</v>
      </c>
      <c r="AS143" s="209" t="s">
        <v>1006</v>
      </c>
      <c r="AT143" s="210">
        <v>5.6</v>
      </c>
      <c r="AU143" s="211">
        <v>10</v>
      </c>
      <c r="AV143" s="212">
        <v>17.3</v>
      </c>
      <c r="AW143" s="213">
        <v>15815</v>
      </c>
      <c r="AX143" s="213">
        <v>6120.4049999999997</v>
      </c>
      <c r="AY143" s="210" t="s">
        <v>128</v>
      </c>
      <c r="AZ143" s="209" t="s">
        <v>93</v>
      </c>
      <c r="BA143" s="214" t="str">
        <f>+IF(Tabla467824[[#This Row],[TIPO VEHÍCULO]]=Tabla467824[[#This Row],[Columna2]], "IGUAL", "DISTINTO")</f>
        <v>IGUAL</v>
      </c>
      <c r="BB143" s="214" t="str">
        <f>+IF(Tabla467824[[#This Row],[Columna4]]=Tabla467824[[#This Row],[Combustible2]], "IGUAL", "DISTINTO")</f>
        <v>IGUAL</v>
      </c>
      <c r="BC143" s="202" t="s">
        <v>1002</v>
      </c>
      <c r="BD143" s="215" cm="1">
        <f t="array" ref="BD143">IFERROR(INDEX('[1]Anexos FICHA TRA050'!$D$27:$D$44, MATCH(Tabla467824[[#This Row],[Columna5]]&amp;Tabla467824[[#This Row],[Columna4]], '[1]Anexos FICHA TRA050'!$E$27:$E$44&amp;'[1]Anexos FICHA TRA050'!$F$27:$F$44, 0)), "")</f>
        <v>5.63</v>
      </c>
      <c r="BE143" s="215">
        <f>IFERROR(INDEX('[1]Anexos FICHA TRA050'!$B$4:$B$7, MATCH(Tabla467824[[#This Row],[Columna4]], '[1]Anexos FICHA TRA050'!$C$4:$C$7, 0)), "")</f>
        <v>10</v>
      </c>
      <c r="BF143" s="215">
        <f>IFERROR(INDEX('[1]Anexos FICHA TRA050'!$C$14:$C$22, MATCH(Tabla467824[[#This Row],[Columna5]], '[1]Anexos FICHA TRA050'!$D$14:$D$22, 0)), "")</f>
        <v>20.84</v>
      </c>
      <c r="BG143" s="216">
        <f>IFERROR(INDEX('[1]Anexos FICHA TRA050'!$C$49:$C$54, MATCH(Tabla467824[[#This Row],[Columna5]], '[1]Anexos FICHA TRA050'!$D$49:$D$54, 0)), "")</f>
        <v>15815</v>
      </c>
      <c r="BH143" s="217">
        <f>+(((Tabla467824[[#This Row],[CVA2]]*Tabla467824[[#This Row],[f2]])-Tabla467824[[#This Row],[CVN2]])/100)*Tabla467824[[#This Row],[L2]]</f>
        <v>5607.9989999999989</v>
      </c>
      <c r="BI143" s="218"/>
      <c r="BJ143" s="218"/>
      <c r="BK143" s="218" t="str">
        <f>+IF(Tabla467824[[#This Row],[F]]=Tabla467824[[#This Row],[f2]], "IGUAL", "DISTINTO")</f>
        <v>IGUAL</v>
      </c>
      <c r="BL143" s="218" t="str">
        <f>+IF(Tabla467824[[#This Row],[CVN]]=Tabla467824[[#This Row],[CVN2]], "IGUAL", "DISTINTO")</f>
        <v>DISTINTO</v>
      </c>
      <c r="BM143" s="219" t="str">
        <f>+IF(Tabla467824[[#This Row],[L]]=Tabla467824[[#This Row],[L2]], "IGUAL", "DISTINTO")</f>
        <v>IGUAL</v>
      </c>
    </row>
    <row r="144" spans="1:65" ht="14.1" hidden="1" customHeight="1" x14ac:dyDescent="0.25">
      <c r="A144">
        <v>141</v>
      </c>
      <c r="B144" s="202" t="s">
        <v>1007</v>
      </c>
      <c r="C144" s="203" t="s">
        <v>1008</v>
      </c>
      <c r="D144" s="203" t="s">
        <v>128</v>
      </c>
      <c r="E144" s="203" t="s">
        <v>1009</v>
      </c>
      <c r="F144" s="203" t="s">
        <v>674</v>
      </c>
      <c r="G144" s="203" t="s">
        <v>128</v>
      </c>
      <c r="H144" s="203" t="s">
        <v>72</v>
      </c>
      <c r="I144" s="203" t="s">
        <v>72</v>
      </c>
      <c r="J144" s="203" t="s">
        <v>72</v>
      </c>
      <c r="K144" s="203"/>
      <c r="L144" s="203" t="s">
        <v>72</v>
      </c>
      <c r="M144" s="203" t="s">
        <v>72</v>
      </c>
      <c r="N144" s="203"/>
      <c r="O144" s="203" t="s">
        <v>129</v>
      </c>
      <c r="P144" s="203" t="s">
        <v>74</v>
      </c>
      <c r="Q144" s="203" t="s">
        <v>75</v>
      </c>
      <c r="R144" s="203" t="s">
        <v>76</v>
      </c>
      <c r="S144" s="204">
        <v>44069</v>
      </c>
      <c r="T144" s="205">
        <v>45245</v>
      </c>
      <c r="U144" s="206">
        <v>1176</v>
      </c>
      <c r="V144" s="207">
        <v>2023</v>
      </c>
      <c r="W144" s="203" t="s">
        <v>77</v>
      </c>
      <c r="X144" s="203" t="s">
        <v>78</v>
      </c>
      <c r="Y144" s="203" t="s">
        <v>380</v>
      </c>
      <c r="Z144" s="203" t="s">
        <v>1010</v>
      </c>
      <c r="AA144" s="203" t="s">
        <v>131</v>
      </c>
      <c r="AB144" s="203" t="s">
        <v>132</v>
      </c>
      <c r="AC144" s="203" t="s">
        <v>622</v>
      </c>
      <c r="AD144" s="208">
        <v>14</v>
      </c>
      <c r="AE144" s="208" t="s">
        <v>1011</v>
      </c>
      <c r="AF144" s="208" t="s">
        <v>85</v>
      </c>
      <c r="AG144" s="208" t="s">
        <v>86</v>
      </c>
      <c r="AH144" s="208" t="s">
        <v>87</v>
      </c>
      <c r="AI144" s="208" t="s">
        <v>610</v>
      </c>
      <c r="AJ144" s="205" t="s">
        <v>89</v>
      </c>
      <c r="AK144" s="204">
        <v>45625</v>
      </c>
      <c r="AL144" s="208">
        <v>1</v>
      </c>
      <c r="AM144" s="209" t="s">
        <v>131</v>
      </c>
      <c r="AN144" s="209" t="s">
        <v>1012</v>
      </c>
      <c r="AO144" s="209" t="s">
        <v>132</v>
      </c>
      <c r="AP144" s="209"/>
      <c r="AQ144" s="209" t="s">
        <v>72</v>
      </c>
      <c r="AR144" s="209" t="s">
        <v>91</v>
      </c>
      <c r="AS144" s="209" t="s">
        <v>1013</v>
      </c>
      <c r="AT144" s="210">
        <v>5.6</v>
      </c>
      <c r="AU144" s="211">
        <v>10</v>
      </c>
      <c r="AV144" s="212">
        <v>17.3</v>
      </c>
      <c r="AW144" s="213">
        <v>15815</v>
      </c>
      <c r="AX144" s="213">
        <v>6120.4049999999997</v>
      </c>
      <c r="AY144" s="210" t="s">
        <v>128</v>
      </c>
      <c r="AZ144" s="209" t="s">
        <v>93</v>
      </c>
      <c r="BA144" s="214" t="str">
        <f>+IF(Tabla467824[[#This Row],[TIPO VEHÍCULO]]=Tabla467824[[#This Row],[Columna2]], "IGUAL", "DISTINTO")</f>
        <v>IGUAL</v>
      </c>
      <c r="BB144" s="214" t="str">
        <f>+IF(Tabla467824[[#This Row],[Columna4]]=Tabla467824[[#This Row],[Combustible2]], "IGUAL", "DISTINTO")</f>
        <v>DISTINTO</v>
      </c>
      <c r="BC144" s="202" t="s">
        <v>1007</v>
      </c>
      <c r="BD144" s="215" t="str" cm="1">
        <f t="array" ref="BD144">IFERROR(INDEX('[1]Anexos FICHA TRA050'!$D$27:$D$44, MATCH(Tabla467824[[#This Row],[Columna5]]&amp;Tabla467824[[#This Row],[Columna4]], '[1]Anexos FICHA TRA050'!$E$27:$E$44&amp;'[1]Anexos FICHA TRA050'!$F$27:$F$44, 0)), "")</f>
        <v/>
      </c>
      <c r="BE144" s="215">
        <f>IFERROR(INDEX('[1]Anexos FICHA TRA050'!$B$4:$B$7, MATCH(Tabla467824[[#This Row],[Columna4]], '[1]Anexos FICHA TRA050'!$C$4:$C$7, 0)), "")</f>
        <v>7.16</v>
      </c>
      <c r="BF144" s="215">
        <f>IFERROR(INDEX('[1]Anexos FICHA TRA050'!$C$14:$C$22, MATCH(Tabla467824[[#This Row],[Columna5]], '[1]Anexos FICHA TRA050'!$D$14:$D$22, 0)), "")</f>
        <v>20.84</v>
      </c>
      <c r="BG144" s="216">
        <f>IFERROR(INDEX('[1]Anexos FICHA TRA050'!$C$49:$C$54, MATCH(Tabla467824[[#This Row],[Columna5]], '[1]Anexos FICHA TRA050'!$D$49:$D$54, 0)), "")</f>
        <v>15815</v>
      </c>
      <c r="BH144" s="217" t="e">
        <f>+(((Tabla467824[[#This Row],[CVA2]]*Tabla467824[[#This Row],[f2]])-Tabla467824[[#This Row],[CVN2]])/100)*Tabla467824[[#This Row],[L2]]</f>
        <v>#VALUE!</v>
      </c>
      <c r="BI144" s="218"/>
      <c r="BJ144" s="218"/>
      <c r="BK144" s="218" t="str">
        <f>+IF(Tabla467824[[#This Row],[F]]=Tabla467824[[#This Row],[f2]], "IGUAL", "DISTINTO")</f>
        <v>DISTINTO</v>
      </c>
      <c r="BL144" s="218" t="str">
        <f>+IF(Tabla467824[[#This Row],[CVN]]=Tabla467824[[#This Row],[CVN2]], "IGUAL", "DISTINTO")</f>
        <v>DISTINTO</v>
      </c>
      <c r="BM144" s="219" t="str">
        <f>+IF(Tabla467824[[#This Row],[L]]=Tabla467824[[#This Row],[L2]], "IGUAL", "DISTINTO")</f>
        <v>IGUAL</v>
      </c>
    </row>
    <row r="145" spans="1:146" x14ac:dyDescent="0.25">
      <c r="A145">
        <v>142</v>
      </c>
      <c r="B145" s="202" t="s">
        <v>1014</v>
      </c>
      <c r="C145" s="203" t="s">
        <v>1015</v>
      </c>
      <c r="D145" s="203" t="s">
        <v>128</v>
      </c>
      <c r="E145" s="203" t="s">
        <v>78</v>
      </c>
      <c r="F145" s="203" t="s">
        <v>78</v>
      </c>
      <c r="G145" s="203" t="s">
        <v>128</v>
      </c>
      <c r="H145" s="203" t="s">
        <v>72</v>
      </c>
      <c r="I145" s="203" t="s">
        <v>72</v>
      </c>
      <c r="J145" s="203" t="s">
        <v>72</v>
      </c>
      <c r="K145" s="203"/>
      <c r="L145" s="203" t="s">
        <v>72</v>
      </c>
      <c r="M145" s="203" t="s">
        <v>72</v>
      </c>
      <c r="N145" s="203"/>
      <c r="O145" s="203" t="s">
        <v>129</v>
      </c>
      <c r="P145" s="203" t="s">
        <v>74</v>
      </c>
      <c r="Q145" s="203" t="s">
        <v>75</v>
      </c>
      <c r="R145" s="203" t="s">
        <v>76</v>
      </c>
      <c r="S145" s="204">
        <v>44340</v>
      </c>
      <c r="T145" s="205">
        <v>45292</v>
      </c>
      <c r="U145" s="206">
        <v>952</v>
      </c>
      <c r="V145" s="207">
        <v>2024</v>
      </c>
      <c r="W145" s="203" t="s">
        <v>77</v>
      </c>
      <c r="X145" s="203" t="s">
        <v>78</v>
      </c>
      <c r="Y145" s="203" t="s">
        <v>380</v>
      </c>
      <c r="Z145" s="203" t="s">
        <v>1016</v>
      </c>
      <c r="AA145" s="203" t="s">
        <v>131</v>
      </c>
      <c r="AB145" s="203" t="s">
        <v>132</v>
      </c>
      <c r="AC145" s="203" t="s">
        <v>135</v>
      </c>
      <c r="AD145" s="208">
        <v>15</v>
      </c>
      <c r="AE145" s="208" t="s">
        <v>1017</v>
      </c>
      <c r="AF145" s="208" t="s">
        <v>85</v>
      </c>
      <c r="AG145" s="208" t="s">
        <v>86</v>
      </c>
      <c r="AH145" s="208" t="s">
        <v>87</v>
      </c>
      <c r="AI145" s="208" t="s">
        <v>427</v>
      </c>
      <c r="AJ145" s="205" t="s">
        <v>89</v>
      </c>
      <c r="AK145" s="204">
        <v>45625</v>
      </c>
      <c r="AL145" s="208">
        <v>0</v>
      </c>
      <c r="AM145" s="209" t="s">
        <v>131</v>
      </c>
      <c r="AN145" s="209" t="s">
        <v>1018</v>
      </c>
      <c r="AO145" s="209" t="s">
        <v>132</v>
      </c>
      <c r="AP145" s="209"/>
      <c r="AQ145" s="209" t="s">
        <v>72</v>
      </c>
      <c r="AR145" s="209" t="s">
        <v>91</v>
      </c>
      <c r="AS145" s="209" t="s">
        <v>1019</v>
      </c>
      <c r="AT145" s="210">
        <v>5.6</v>
      </c>
      <c r="AU145" s="211">
        <v>10</v>
      </c>
      <c r="AV145" s="212">
        <v>17.3</v>
      </c>
      <c r="AW145" s="213">
        <v>15815</v>
      </c>
      <c r="AX145" s="213">
        <v>6120.4049999999997</v>
      </c>
      <c r="AY145" s="210" t="s">
        <v>128</v>
      </c>
      <c r="AZ145" s="209" t="s">
        <v>93</v>
      </c>
      <c r="BA145" s="214" t="str">
        <f>+IF(Tabla467824[[#This Row],[TIPO VEHÍCULO]]=Tabla467824[[#This Row],[Columna2]], "IGUAL", "DISTINTO")</f>
        <v>IGUAL</v>
      </c>
      <c r="BB145" s="214" t="str">
        <f>+IF(Tabla467824[[#This Row],[Columna4]]=Tabla467824[[#This Row],[Combustible2]], "IGUAL", "DISTINTO")</f>
        <v>IGUAL</v>
      </c>
      <c r="BC145" s="202" t="s">
        <v>1014</v>
      </c>
      <c r="BD145" s="215" cm="1">
        <f t="array" ref="BD145">IFERROR(INDEX('[1]Anexos FICHA TRA050'!$D$27:$D$44, MATCH(Tabla467824[[#This Row],[Columna5]]&amp;Tabla467824[[#This Row],[Columna4]], '[1]Anexos FICHA TRA050'!$E$27:$E$44&amp;'[1]Anexos FICHA TRA050'!$F$27:$F$44, 0)), "")</f>
        <v>5.63</v>
      </c>
      <c r="BE145" s="215">
        <f>IFERROR(INDEX('[1]Anexos FICHA TRA050'!$B$4:$B$7, MATCH(Tabla467824[[#This Row],[Columna4]], '[1]Anexos FICHA TRA050'!$C$4:$C$7, 0)), "")</f>
        <v>10</v>
      </c>
      <c r="BF145" s="215">
        <f>IFERROR(INDEX('[1]Anexos FICHA TRA050'!$C$14:$C$22, MATCH(Tabla467824[[#This Row],[Columna5]], '[1]Anexos FICHA TRA050'!$D$14:$D$22, 0)), "")</f>
        <v>20.84</v>
      </c>
      <c r="BG145" s="216">
        <f>IFERROR(INDEX('[1]Anexos FICHA TRA050'!$C$49:$C$54, MATCH(Tabla467824[[#This Row],[Columna5]], '[1]Anexos FICHA TRA050'!$D$49:$D$54, 0)), "")</f>
        <v>15815</v>
      </c>
      <c r="BH145" s="217">
        <f>+(((Tabla467824[[#This Row],[CVA2]]*Tabla467824[[#This Row],[f2]])-Tabla467824[[#This Row],[CVN2]])/100)*Tabla467824[[#This Row],[L2]]</f>
        <v>5607.9989999999989</v>
      </c>
      <c r="BI145" s="218"/>
      <c r="BJ145" s="218"/>
      <c r="BK145" s="218" t="str">
        <f>+IF(Tabla467824[[#This Row],[F]]=Tabla467824[[#This Row],[f2]], "IGUAL", "DISTINTO")</f>
        <v>IGUAL</v>
      </c>
      <c r="BL145" s="218" t="str">
        <f>+IF(Tabla467824[[#This Row],[CVN]]=Tabla467824[[#This Row],[CVN2]], "IGUAL", "DISTINTO")</f>
        <v>DISTINTO</v>
      </c>
      <c r="BM145" s="219" t="str">
        <f>+IF(Tabla467824[[#This Row],[L]]=Tabla467824[[#This Row],[L2]], "IGUAL", "DISTINTO")</f>
        <v>IGUAL</v>
      </c>
    </row>
    <row r="146" spans="1:146" x14ac:dyDescent="0.25">
      <c r="A146">
        <v>143</v>
      </c>
      <c r="B146" s="202" t="s">
        <v>1020</v>
      </c>
      <c r="C146" s="203" t="s">
        <v>1021</v>
      </c>
      <c r="D146" s="203" t="s">
        <v>70</v>
      </c>
      <c r="E146" s="203" t="s">
        <v>71</v>
      </c>
      <c r="F146" s="203" t="s">
        <v>71</v>
      </c>
      <c r="G146" s="203" t="s">
        <v>70</v>
      </c>
      <c r="H146" s="203" t="s">
        <v>72</v>
      </c>
      <c r="I146" s="203" t="s">
        <v>72</v>
      </c>
      <c r="J146" s="203" t="s">
        <v>72</v>
      </c>
      <c r="K146" s="203"/>
      <c r="L146" s="203"/>
      <c r="M146" s="203"/>
      <c r="N146" s="203"/>
      <c r="O146" s="203" t="s">
        <v>73</v>
      </c>
      <c r="P146" s="203" t="s">
        <v>74</v>
      </c>
      <c r="Q146" s="203" t="s">
        <v>75</v>
      </c>
      <c r="R146" s="203" t="s">
        <v>76</v>
      </c>
      <c r="S146" s="204">
        <v>44978</v>
      </c>
      <c r="T146" s="205">
        <v>45345</v>
      </c>
      <c r="U146" s="206">
        <v>367</v>
      </c>
      <c r="V146" s="207">
        <v>2024</v>
      </c>
      <c r="W146" s="203" t="s">
        <v>77</v>
      </c>
      <c r="X146" s="203" t="s">
        <v>78</v>
      </c>
      <c r="Y146" s="203" t="s">
        <v>359</v>
      </c>
      <c r="Z146" s="203" t="s">
        <v>1022</v>
      </c>
      <c r="AA146" s="203" t="s">
        <v>336</v>
      </c>
      <c r="AB146" s="203" t="s">
        <v>337</v>
      </c>
      <c r="AC146" s="203" t="s">
        <v>880</v>
      </c>
      <c r="AD146" s="208">
        <v>14</v>
      </c>
      <c r="AE146" s="208" t="s">
        <v>1023</v>
      </c>
      <c r="AF146" s="208" t="s">
        <v>380</v>
      </c>
      <c r="AG146" s="208" t="s">
        <v>381</v>
      </c>
      <c r="AH146" s="208" t="s">
        <v>87</v>
      </c>
      <c r="AI146" s="208" t="s">
        <v>382</v>
      </c>
      <c r="AJ146" s="205" t="s">
        <v>89</v>
      </c>
      <c r="AK146" s="204">
        <v>45483</v>
      </c>
      <c r="AL146" s="208">
        <v>0</v>
      </c>
      <c r="AM146" s="209" t="s">
        <v>336</v>
      </c>
      <c r="AN146" s="210">
        <v>4500407448</v>
      </c>
      <c r="AO146" s="209" t="s">
        <v>337</v>
      </c>
      <c r="AP146" s="209"/>
      <c r="AQ146" s="209" t="s">
        <v>72</v>
      </c>
      <c r="AR146" s="209" t="s">
        <v>91</v>
      </c>
      <c r="AS146" s="209" t="s">
        <v>1024</v>
      </c>
      <c r="AT146" s="210">
        <v>5.0999999999999996</v>
      </c>
      <c r="AU146" s="211">
        <v>10</v>
      </c>
      <c r="AV146" s="212">
        <v>20</v>
      </c>
      <c r="AW146" s="213">
        <v>13073</v>
      </c>
      <c r="AX146" s="213">
        <v>4052.63</v>
      </c>
      <c r="AY146" s="210" t="s">
        <v>70</v>
      </c>
      <c r="AZ146" s="209" t="s">
        <v>255</v>
      </c>
      <c r="BA146" s="214" t="str">
        <f>+IF(Tabla467824[[#This Row],[TIPO VEHÍCULO]]=Tabla467824[[#This Row],[Columna2]], "IGUAL", "DISTINTO")</f>
        <v>IGUAL</v>
      </c>
      <c r="BB146" s="214" t="str">
        <f>+IF(Tabla467824[[#This Row],[Columna4]]=Tabla467824[[#This Row],[Combustible2]], "IGUAL", "DISTINTO")</f>
        <v>DISTINTO</v>
      </c>
      <c r="BC146" s="202" t="s">
        <v>1020</v>
      </c>
      <c r="BD146" s="215" cm="1">
        <f t="array" ref="BD146">IFERROR(INDEX('[1]Anexos FICHA TRA050'!$D$27:$D$44, MATCH(Tabla467824[[#This Row],[Columna5]]&amp;Tabla467824[[#This Row],[Columna4]], '[1]Anexos FICHA TRA050'!$E$27:$E$44&amp;'[1]Anexos FICHA TRA050'!$F$27:$F$44, 0)), "")</f>
        <v>7.89</v>
      </c>
      <c r="BE146" s="215">
        <f>IFERROR(INDEX('[1]Anexos FICHA TRA050'!$B$4:$B$7, MATCH(Tabla467824[[#This Row],[Columna4]], '[1]Anexos FICHA TRA050'!$C$4:$C$7, 0)), "")</f>
        <v>9.19</v>
      </c>
      <c r="BF146" s="215">
        <f>IFERROR(INDEX('[1]Anexos FICHA TRA050'!$C$14:$C$22, MATCH(Tabla467824[[#This Row],[Columna5]], '[1]Anexos FICHA TRA050'!$D$14:$D$22, 0)), "")</f>
        <v>17.920000000000002</v>
      </c>
      <c r="BG146" s="216">
        <f>IFERROR(INDEX('[1]Anexos FICHA TRA050'!$C$49:$C$54, MATCH(Tabla467824[[#This Row],[Columna5]], '[1]Anexos FICHA TRA050'!$D$49:$D$54, 0)), "")</f>
        <v>13073</v>
      </c>
      <c r="BH146" s="217">
        <f>+(((Tabla467824[[#This Row],[CVA2]]*Tabla467824[[#This Row],[f2]])-Tabla467824[[#This Row],[CVN2]])/100)*Tabla467824[[#This Row],[L2]]</f>
        <v>7136.4330429999991</v>
      </c>
      <c r="BI146" s="218"/>
      <c r="BJ146" s="218"/>
      <c r="BK146" s="218" t="str">
        <f>+IF(Tabla467824[[#This Row],[F]]=Tabla467824[[#This Row],[f2]], "IGUAL", "DISTINTO")</f>
        <v>DISTINTO</v>
      </c>
      <c r="BL146" s="218" t="str">
        <f>+IF(Tabla467824[[#This Row],[CVN]]=Tabla467824[[#This Row],[CVN2]], "IGUAL", "DISTINTO")</f>
        <v>DISTINTO</v>
      </c>
      <c r="BM146" s="219" t="str">
        <f>+IF(Tabla467824[[#This Row],[L]]=Tabla467824[[#This Row],[L2]], "IGUAL", "DISTINTO")</f>
        <v>IGUAL</v>
      </c>
    </row>
    <row r="147" spans="1:146" x14ac:dyDescent="0.25">
      <c r="A147">
        <v>144</v>
      </c>
      <c r="B147" s="202" t="s">
        <v>1025</v>
      </c>
      <c r="C147" s="203" t="s">
        <v>1026</v>
      </c>
      <c r="D147" s="203" t="s">
        <v>128</v>
      </c>
      <c r="E147" s="203" t="s">
        <v>1027</v>
      </c>
      <c r="F147" s="203" t="s">
        <v>78</v>
      </c>
      <c r="G147" s="203" t="s">
        <v>128</v>
      </c>
      <c r="H147" s="203" t="s">
        <v>72</v>
      </c>
      <c r="I147" s="203" t="s">
        <v>72</v>
      </c>
      <c r="J147" s="203" t="s">
        <v>72</v>
      </c>
      <c r="K147" s="203"/>
      <c r="L147" s="203"/>
      <c r="M147" s="203"/>
      <c r="N147" s="203"/>
      <c r="O147" s="203" t="s">
        <v>73</v>
      </c>
      <c r="P147" s="203" t="s">
        <v>74</v>
      </c>
      <c r="Q147" s="203" t="s">
        <v>75</v>
      </c>
      <c r="R147" s="203" t="s">
        <v>76</v>
      </c>
      <c r="S147" s="204">
        <v>42984</v>
      </c>
      <c r="T147" s="205">
        <v>45419</v>
      </c>
      <c r="U147" s="206">
        <v>2435</v>
      </c>
      <c r="V147" s="207">
        <v>2024</v>
      </c>
      <c r="W147" s="203" t="s">
        <v>77</v>
      </c>
      <c r="X147" s="203" t="s">
        <v>78</v>
      </c>
      <c r="Y147" s="203" t="s">
        <v>416</v>
      </c>
      <c r="Z147" s="203" t="s">
        <v>1028</v>
      </c>
      <c r="AA147" s="203" t="s">
        <v>102</v>
      </c>
      <c r="AB147" s="203" t="s">
        <v>103</v>
      </c>
      <c r="AC147" s="203" t="s">
        <v>654</v>
      </c>
      <c r="AD147" s="208">
        <v>43</v>
      </c>
      <c r="AE147" s="208" t="s">
        <v>1029</v>
      </c>
      <c r="AF147" s="208" t="s">
        <v>140</v>
      </c>
      <c r="AG147" s="208" t="s">
        <v>1030</v>
      </c>
      <c r="AH147" s="208" t="s">
        <v>87</v>
      </c>
      <c r="AI147" s="208" t="s">
        <v>696</v>
      </c>
      <c r="AJ147" s="205" t="s">
        <v>89</v>
      </c>
      <c r="AK147" s="204">
        <v>45615</v>
      </c>
      <c r="AL147" s="208">
        <v>0</v>
      </c>
      <c r="AM147" s="209" t="s">
        <v>102</v>
      </c>
      <c r="AN147" s="210">
        <v>4500406594</v>
      </c>
      <c r="AO147" s="209" t="s">
        <v>103</v>
      </c>
      <c r="AP147" s="209"/>
      <c r="AQ147" s="209" t="s">
        <v>72</v>
      </c>
      <c r="AR147" s="209" t="s">
        <v>109</v>
      </c>
      <c r="AS147" s="209" t="s">
        <v>1031</v>
      </c>
      <c r="AT147" s="210">
        <v>5.0999999999999996</v>
      </c>
      <c r="AU147" s="211">
        <v>10</v>
      </c>
      <c r="AV147" s="212">
        <v>22.7</v>
      </c>
      <c r="AW147" s="213">
        <v>13073</v>
      </c>
      <c r="AX147" s="213">
        <v>3699.6590000000006</v>
      </c>
      <c r="AY147" s="210" t="s">
        <v>70</v>
      </c>
      <c r="AZ147" s="209" t="s">
        <v>255</v>
      </c>
      <c r="BA147" s="214" t="str">
        <f>+IF(Tabla467824[[#This Row],[TIPO VEHÍCULO]]=Tabla467824[[#This Row],[Columna2]], "IGUAL", "DISTINTO")</f>
        <v>DISTINTO</v>
      </c>
      <c r="BB147" s="214" t="str">
        <f>+IF(Tabla467824[[#This Row],[Columna4]]=Tabla467824[[#This Row],[Combustible2]], "IGUAL", "DISTINTO")</f>
        <v>IGUAL</v>
      </c>
      <c r="BC147" s="202" t="s">
        <v>1025</v>
      </c>
      <c r="BD147" s="215" cm="1">
        <f t="array" ref="BD147">IFERROR(INDEX('[1]Anexos FICHA TRA050'!$D$27:$D$44, MATCH(Tabla467824[[#This Row],[Columna5]]&amp;Tabla467824[[#This Row],[Columna4]], '[1]Anexos FICHA TRA050'!$E$27:$E$44&amp;'[1]Anexos FICHA TRA050'!$F$27:$F$44, 0)), "")</f>
        <v>5.63</v>
      </c>
      <c r="BE147" s="215">
        <f>IFERROR(INDEX('[1]Anexos FICHA TRA050'!$B$4:$B$7, MATCH(Tabla467824[[#This Row],[Columna4]], '[1]Anexos FICHA TRA050'!$C$4:$C$7, 0)), "")</f>
        <v>10</v>
      </c>
      <c r="BF147" s="215">
        <f>IFERROR(INDEX('[1]Anexos FICHA TRA050'!$C$14:$C$22, MATCH(Tabla467824[[#This Row],[Columna5]], '[1]Anexos FICHA TRA050'!$D$14:$D$22, 0)), "")</f>
        <v>20.84</v>
      </c>
      <c r="BG147" s="216">
        <f>IFERROR(INDEX('[1]Anexos FICHA TRA050'!$C$49:$C$54, MATCH(Tabla467824[[#This Row],[Columna5]], '[1]Anexos FICHA TRA050'!$D$49:$D$54, 0)), "")</f>
        <v>15815</v>
      </c>
      <c r="BH147" s="217">
        <f>+(((Tabla467824[[#This Row],[CVA2]]*Tabla467824[[#This Row],[f2]])-Tabla467824[[#This Row],[CVN2]])/100)*Tabla467824[[#This Row],[L2]]</f>
        <v>5607.9989999999989</v>
      </c>
      <c r="BI147" s="218"/>
      <c r="BJ147" s="218"/>
      <c r="BK147" s="218" t="str">
        <f>+IF(Tabla467824[[#This Row],[F]]=Tabla467824[[#This Row],[f2]], "IGUAL", "DISTINTO")</f>
        <v>IGUAL</v>
      </c>
      <c r="BL147" s="218" t="str">
        <f>+IF(Tabla467824[[#This Row],[CVN]]=Tabla467824[[#This Row],[CVN2]], "IGUAL", "DISTINTO")</f>
        <v>DISTINTO</v>
      </c>
      <c r="BM147" s="219" t="str">
        <f>+IF(Tabla467824[[#This Row],[L]]=Tabla467824[[#This Row],[L2]], "IGUAL", "DISTINTO")</f>
        <v>DISTINTO</v>
      </c>
    </row>
    <row r="148" spans="1:146" x14ac:dyDescent="0.25">
      <c r="A148">
        <v>145</v>
      </c>
      <c r="B148" s="202" t="s">
        <v>1032</v>
      </c>
      <c r="C148" s="203" t="s">
        <v>1033</v>
      </c>
      <c r="D148" s="203" t="s">
        <v>70</v>
      </c>
      <c r="E148" s="203" t="s">
        <v>199</v>
      </c>
      <c r="F148" s="203" t="s">
        <v>199</v>
      </c>
      <c r="G148" s="203" t="s">
        <v>70</v>
      </c>
      <c r="H148" s="203" t="s">
        <v>72</v>
      </c>
      <c r="I148" s="203" t="s">
        <v>72</v>
      </c>
      <c r="J148" s="203" t="s">
        <v>72</v>
      </c>
      <c r="K148" s="203"/>
      <c r="L148" s="203" t="s">
        <v>72</v>
      </c>
      <c r="M148" s="203" t="s">
        <v>72</v>
      </c>
      <c r="N148" s="203"/>
      <c r="O148" s="203" t="s">
        <v>1034</v>
      </c>
      <c r="P148" s="203" t="s">
        <v>200</v>
      </c>
      <c r="Q148" s="203" t="s">
        <v>201</v>
      </c>
      <c r="R148" s="203" t="s">
        <v>76</v>
      </c>
      <c r="S148" s="209">
        <v>43679</v>
      </c>
      <c r="T148" s="205">
        <v>45140</v>
      </c>
      <c r="U148" s="206">
        <v>1461</v>
      </c>
      <c r="V148" s="207">
        <v>2023</v>
      </c>
      <c r="W148" s="203" t="s">
        <v>77</v>
      </c>
      <c r="X148" s="203" t="s">
        <v>202</v>
      </c>
      <c r="Y148" s="203" t="s">
        <v>416</v>
      </c>
      <c r="Z148" s="203" t="s">
        <v>1035</v>
      </c>
      <c r="AA148" s="203" t="s">
        <v>119</v>
      </c>
      <c r="AB148" s="203" t="s">
        <v>120</v>
      </c>
      <c r="AC148" s="203" t="s">
        <v>776</v>
      </c>
      <c r="AD148" s="208">
        <v>24</v>
      </c>
      <c r="AE148" s="208" t="s">
        <v>1036</v>
      </c>
      <c r="AF148" s="208" t="s">
        <v>140</v>
      </c>
      <c r="AG148" s="208" t="s">
        <v>151</v>
      </c>
      <c r="AH148" s="208" t="s">
        <v>87</v>
      </c>
      <c r="AI148" s="208" t="s">
        <v>294</v>
      </c>
      <c r="AJ148" s="205" t="s">
        <v>89</v>
      </c>
      <c r="AK148" s="204">
        <v>45622</v>
      </c>
      <c r="AL148" s="208">
        <v>1</v>
      </c>
      <c r="AM148" s="209" t="s">
        <v>119</v>
      </c>
      <c r="AN148" s="209" t="s">
        <v>1037</v>
      </c>
      <c r="AO148" s="209" t="s">
        <v>120</v>
      </c>
      <c r="AP148" s="209"/>
      <c r="AQ148" s="209" t="s">
        <v>72</v>
      </c>
      <c r="AR148" s="209" t="s">
        <v>91</v>
      </c>
      <c r="AS148" s="209" t="s">
        <v>1038</v>
      </c>
      <c r="AT148" s="210">
        <v>5.0999999999999996</v>
      </c>
      <c r="AU148" s="211">
        <v>9.19</v>
      </c>
      <c r="AV148" s="212">
        <v>16.399999999999999</v>
      </c>
      <c r="AW148" s="213">
        <v>13073</v>
      </c>
      <c r="AX148" s="213">
        <v>3983.2123699999993</v>
      </c>
      <c r="AY148" s="210" t="s">
        <v>70</v>
      </c>
      <c r="AZ148" s="209" t="s">
        <v>93</v>
      </c>
      <c r="BA148" s="214" t="str">
        <f>+IF(Tabla467824[[#This Row],[TIPO VEHÍCULO]]=Tabla467824[[#This Row],[Columna2]], "IGUAL", "DISTINTO")</f>
        <v>IGUAL</v>
      </c>
      <c r="BB148" s="214" t="str">
        <f>+IF(Tabla467824[[#This Row],[Columna4]]=Tabla467824[[#This Row],[Combustible2]], "IGUAL", "DISTINTO")</f>
        <v>DISTINTO</v>
      </c>
      <c r="BC148" s="202" t="s">
        <v>1032</v>
      </c>
      <c r="BD148" s="215" cm="1">
        <f t="array" ref="BD148">IFERROR(INDEX('[1]Anexos FICHA TRA050'!$D$27:$D$44, MATCH(Tabla467824[[#This Row],[Columna5]]&amp;Tabla467824[[#This Row],[Columna4]], '[1]Anexos FICHA TRA050'!$E$27:$E$44&amp;'[1]Anexos FICHA TRA050'!$F$27:$F$44, 0)), "")</f>
        <v>5.1349999999999998</v>
      </c>
      <c r="BE148" s="215">
        <f>+'[1]Anexos FICHA TRA050'!B5</f>
        <v>9.19</v>
      </c>
      <c r="BF148" s="215">
        <f>IFERROR(INDEX('[1]Anexos FICHA TRA050'!$C$14:$C$22, MATCH(Tabla467824[[#This Row],[Columna5]], '[1]Anexos FICHA TRA050'!$D$14:$D$22, 0)), "")</f>
        <v>17.920000000000002</v>
      </c>
      <c r="BG148" s="216">
        <f>IFERROR(INDEX('[1]Anexos FICHA TRA050'!$C$49:$C$54, MATCH(Tabla467824[[#This Row],[Columna5]], '[1]Anexos FICHA TRA050'!$D$49:$D$54, 0)), "")</f>
        <v>13073</v>
      </c>
      <c r="BH148" s="217">
        <f>+(((Tabla467824[[#This Row],[CVA2]]*Tabla467824[[#This Row],[f2]])-Tabla467824[[#This Row],[CVN2]])/100)*Tabla467824[[#This Row],[L2]]</f>
        <v>3826.5520744999999</v>
      </c>
      <c r="BI148" s="218"/>
      <c r="BJ148" s="218"/>
      <c r="BK148" s="218" t="str">
        <f>+IF(Tabla467824[[#This Row],[F]]=Tabla467824[[#This Row],[f2]], "IGUAL", "DISTINTO")</f>
        <v>IGUAL</v>
      </c>
      <c r="BL148" s="218" t="str">
        <f>+IF(Tabla467824[[#This Row],[CVN]]=Tabla467824[[#This Row],[CVN2]], "IGUAL", "DISTINTO")</f>
        <v>DISTINTO</v>
      </c>
      <c r="BM148" s="219" t="str">
        <f>+IF(Tabla467824[[#This Row],[L]]=Tabla467824[[#This Row],[L2]], "IGUAL", "DISTINTO")</f>
        <v>IGUAL</v>
      </c>
    </row>
    <row r="149" spans="1:146" x14ac:dyDescent="0.25">
      <c r="A149">
        <v>146</v>
      </c>
      <c r="B149" s="202" t="s">
        <v>1039</v>
      </c>
      <c r="C149" s="203" t="s">
        <v>1040</v>
      </c>
      <c r="D149" s="203" t="s">
        <v>70</v>
      </c>
      <c r="E149" s="203" t="s">
        <v>78</v>
      </c>
      <c r="F149" s="203" t="s">
        <v>78</v>
      </c>
      <c r="G149" s="203" t="s">
        <v>70</v>
      </c>
      <c r="H149" s="203" t="s">
        <v>72</v>
      </c>
      <c r="I149" s="203" t="s">
        <v>72</v>
      </c>
      <c r="J149" s="203" t="s">
        <v>72</v>
      </c>
      <c r="K149" s="203"/>
      <c r="L149" s="203" t="s">
        <v>72</v>
      </c>
      <c r="M149" s="203" t="s">
        <v>72</v>
      </c>
      <c r="N149" s="203"/>
      <c r="O149" s="203" t="s">
        <v>1034</v>
      </c>
      <c r="P149" s="203" t="s">
        <v>200</v>
      </c>
      <c r="Q149" s="203" t="s">
        <v>201</v>
      </c>
      <c r="R149" s="203" t="s">
        <v>76</v>
      </c>
      <c r="S149" s="209">
        <v>43695</v>
      </c>
      <c r="T149" s="239">
        <v>45217</v>
      </c>
      <c r="U149" s="240">
        <v>1522</v>
      </c>
      <c r="V149" s="241">
        <v>2023</v>
      </c>
      <c r="W149" s="203" t="s">
        <v>77</v>
      </c>
      <c r="X149" s="203" t="s">
        <v>202</v>
      </c>
      <c r="Y149" s="203" t="s">
        <v>416</v>
      </c>
      <c r="Z149" s="203" t="s">
        <v>1035</v>
      </c>
      <c r="AA149" s="203" t="s">
        <v>119</v>
      </c>
      <c r="AB149" s="203" t="s">
        <v>120</v>
      </c>
      <c r="AC149" s="203" t="s">
        <v>1041</v>
      </c>
      <c r="AD149" s="208">
        <v>25</v>
      </c>
      <c r="AE149" s="208" t="s">
        <v>1042</v>
      </c>
      <c r="AF149" s="208" t="s">
        <v>85</v>
      </c>
      <c r="AG149" s="208" t="s">
        <v>86</v>
      </c>
      <c r="AH149" s="208" t="s">
        <v>87</v>
      </c>
      <c r="AI149" s="208" t="s">
        <v>368</v>
      </c>
      <c r="AJ149" s="205" t="s">
        <v>89</v>
      </c>
      <c r="AK149" s="204">
        <v>45645</v>
      </c>
      <c r="AL149" s="208">
        <v>1</v>
      </c>
      <c r="AM149" s="209" t="s">
        <v>119</v>
      </c>
      <c r="AN149" s="209" t="s">
        <v>1043</v>
      </c>
      <c r="AO149" s="209" t="s">
        <v>120</v>
      </c>
      <c r="AP149" s="209"/>
      <c r="AQ149" s="209" t="s">
        <v>72</v>
      </c>
      <c r="AR149" s="209" t="s">
        <v>91</v>
      </c>
      <c r="AS149" s="209" t="s">
        <v>1044</v>
      </c>
      <c r="AT149" s="210">
        <v>5.0999999999999996</v>
      </c>
      <c r="AU149" s="211">
        <v>9.19</v>
      </c>
      <c r="AV149" s="211">
        <v>17.3</v>
      </c>
      <c r="AW149" s="213">
        <v>13073</v>
      </c>
      <c r="AX149" s="213">
        <v>3865.5553699999987</v>
      </c>
      <c r="AY149" s="211" t="s">
        <v>70</v>
      </c>
      <c r="AZ149" s="209" t="s">
        <v>93</v>
      </c>
      <c r="BA149" s="214" t="str">
        <f>+IF(Tabla467824[[#This Row],[TIPO VEHÍCULO]]=Tabla467824[[#This Row],[Columna2]], "IGUAL", "DISTINTO")</f>
        <v>IGUAL</v>
      </c>
      <c r="BB149" s="214" t="str">
        <f>+IF(Tabla467824[[#This Row],[Columna4]]=Tabla467824[[#This Row],[Combustible2]], "IGUAL", "DISTINTO")</f>
        <v>DISTINTO</v>
      </c>
      <c r="BC149" s="202" t="s">
        <v>1039</v>
      </c>
      <c r="BD149" s="215" cm="1">
        <f t="array" ref="BD149">IFERROR(INDEX('[1]Anexos FICHA TRA050'!$D$27:$D$44, MATCH(Tabla467824[[#This Row],[Columna5]]&amp;Tabla467824[[#This Row],[Columna4]], '[1]Anexos FICHA TRA050'!$E$27:$E$44&amp;'[1]Anexos FICHA TRA050'!$F$27:$F$44, 0)), "")</f>
        <v>6.99</v>
      </c>
      <c r="BE149" s="215">
        <f>IFERROR(INDEX('[1]Anexos FICHA TRA050'!$B$4:$B$7, MATCH(Tabla467824[[#This Row],[Columna4]], '[1]Anexos FICHA TRA050'!$C$4:$C$7, 0)), "")</f>
        <v>10</v>
      </c>
      <c r="BF149" s="215">
        <f>IFERROR(INDEX('[1]Anexos FICHA TRA050'!$C$14:$C$22, MATCH(Tabla467824[[#This Row],[Columna5]], '[1]Anexos FICHA TRA050'!$D$14:$D$22, 0)), "")</f>
        <v>17.920000000000002</v>
      </c>
      <c r="BG149" s="216">
        <f>IFERROR(INDEX('[1]Anexos FICHA TRA050'!$C$49:$C$54, MATCH(Tabla467824[[#This Row],[Columna5]], '[1]Anexos FICHA TRA050'!$D$49:$D$54, 0)), "")</f>
        <v>13073</v>
      </c>
      <c r="BH149" s="217">
        <f>+(((Tabla467824[[#This Row],[CVA2]]*Tabla467824[[#This Row],[f2]])-Tabla467824[[#This Row],[CVN2]])/100)*Tabla467824[[#This Row],[L2]]</f>
        <v>6795.3454000000002</v>
      </c>
      <c r="BI149" s="218" t="s">
        <v>1045</v>
      </c>
      <c r="BJ149" s="218"/>
      <c r="BK149" s="209" t="str">
        <f>+IF(Tabla467824[[#This Row],[F]]=Tabla467824[[#This Row],[f2]], "IGUAL", "DISTINTO")</f>
        <v>DISTINTO</v>
      </c>
      <c r="BL149" s="209" t="str">
        <f>+IF(Tabla467824[[#This Row],[CVN]]=Tabla467824[[#This Row],[CVN2]], "IGUAL", "DISTINTO")</f>
        <v>DISTINTO</v>
      </c>
      <c r="BM149" s="219" t="str">
        <f>+IF(Tabla467824[[#This Row],[L]]=Tabla467824[[#This Row],[L2]], "IGUAL", "DISTINTO")</f>
        <v>IGUAL</v>
      </c>
    </row>
    <row r="150" spans="1:146" x14ac:dyDescent="0.25">
      <c r="A150">
        <v>147</v>
      </c>
      <c r="B150" s="202" t="s">
        <v>1046</v>
      </c>
      <c r="C150" s="203" t="s">
        <v>1047</v>
      </c>
      <c r="D150" s="203" t="s">
        <v>516</v>
      </c>
      <c r="E150" s="203" t="s">
        <v>78</v>
      </c>
      <c r="F150" s="203" t="s">
        <v>78</v>
      </c>
      <c r="G150" s="203" t="s">
        <v>516</v>
      </c>
      <c r="H150" s="203" t="s">
        <v>72</v>
      </c>
      <c r="I150" s="203"/>
      <c r="J150" s="203"/>
      <c r="K150" s="203" t="s">
        <v>72</v>
      </c>
      <c r="L150" s="203" t="s">
        <v>72</v>
      </c>
      <c r="M150" s="203" t="s">
        <v>72</v>
      </c>
      <c r="N150" s="203"/>
      <c r="O150" s="203" t="s">
        <v>158</v>
      </c>
      <c r="P150" s="203" t="s">
        <v>159</v>
      </c>
      <c r="Q150" s="203" t="s">
        <v>158</v>
      </c>
      <c r="R150" s="203" t="s">
        <v>171</v>
      </c>
      <c r="S150" s="204">
        <v>43475</v>
      </c>
      <c r="T150" s="205">
        <v>45124</v>
      </c>
      <c r="U150" s="206">
        <v>1649</v>
      </c>
      <c r="V150" s="207">
        <v>2023</v>
      </c>
      <c r="W150" s="203" t="s">
        <v>172</v>
      </c>
      <c r="X150" s="203" t="s">
        <v>78</v>
      </c>
      <c r="Y150" s="203" t="s">
        <v>1048</v>
      </c>
      <c r="Z150" s="203" t="s">
        <v>1049</v>
      </c>
      <c r="AA150" s="203" t="s">
        <v>1050</v>
      </c>
      <c r="AB150" s="203" t="s">
        <v>1051</v>
      </c>
      <c r="AC150" s="203" t="s">
        <v>1052</v>
      </c>
      <c r="AD150" s="208">
        <v>7</v>
      </c>
      <c r="AE150" s="208" t="s">
        <v>1053</v>
      </c>
      <c r="AF150" s="208" t="s">
        <v>85</v>
      </c>
      <c r="AG150" s="208" t="s">
        <v>86</v>
      </c>
      <c r="AH150" s="208" t="s">
        <v>87</v>
      </c>
      <c r="AI150" s="208" t="s">
        <v>1054</v>
      </c>
      <c r="AJ150" s="205" t="s">
        <v>547</v>
      </c>
      <c r="AK150" s="204">
        <v>45671</v>
      </c>
      <c r="AL150" s="208">
        <v>2</v>
      </c>
      <c r="AM150" s="209" t="s">
        <v>1050</v>
      </c>
      <c r="AN150" s="209" t="s">
        <v>1055</v>
      </c>
      <c r="AO150" s="209" t="s">
        <v>1051</v>
      </c>
      <c r="AP150" s="209"/>
      <c r="AQ150" s="209" t="s">
        <v>72</v>
      </c>
      <c r="AR150" s="209" t="s">
        <v>1056</v>
      </c>
      <c r="AS150" s="209" t="s">
        <v>1057</v>
      </c>
      <c r="AT150" s="210">
        <v>35</v>
      </c>
      <c r="AU150" s="211">
        <v>10</v>
      </c>
      <c r="AV150" s="212">
        <v>17.3</v>
      </c>
      <c r="AW150" s="213">
        <v>53508</v>
      </c>
      <c r="AX150" s="213">
        <v>178021.11600000001</v>
      </c>
      <c r="AY150" s="210" t="s">
        <v>516</v>
      </c>
      <c r="AZ150" s="209" t="s">
        <v>168</v>
      </c>
      <c r="BA150" s="214" t="str">
        <f>+IF(Tabla467824[[#This Row],[TIPO VEHÍCULO]]=Tabla467824[[#This Row],[Columna2]], "IGUAL", "DISTINTO")</f>
        <v>IGUAL</v>
      </c>
      <c r="BB150" s="214" t="str">
        <f>+IF(Tabla467824[[#This Row],[Columna4]]=Tabla467824[[#This Row],[Combustible2]], "IGUAL", "DISTINTO")</f>
        <v>IGUAL</v>
      </c>
      <c r="BC150" s="202" t="s">
        <v>1046</v>
      </c>
      <c r="BD150" s="215" cm="1">
        <f t="array" ref="BD150">IFERROR(INDEX('[1]Anexos FICHA TRA050'!$D$27:$D$44, MATCH(Tabla467824[[#This Row],[Columna5]]&amp;Tabla467824[[#This Row],[Columna4]], '[1]Anexos FICHA TRA050'!$E$27:$E$44&amp;'[1]Anexos FICHA TRA050'!$F$27:$F$44, 0)), "")</f>
        <v>35</v>
      </c>
      <c r="BE150" s="215">
        <f>IFERROR(INDEX('[1]Anexos FICHA TRA050'!$B$4:$B$7, MATCH(Tabla467824[[#This Row],[Columna4]], '[1]Anexos FICHA TRA050'!$C$4:$C$7, 0)), "")</f>
        <v>10</v>
      </c>
      <c r="BF150" s="215">
        <f>IFERROR(INDEX('[1]Anexos FICHA TRA050'!$C$14:$C$22, MATCH(Tabla467824[[#This Row],[Columna5]], '[1]Anexos FICHA TRA050'!$D$14:$D$22, 0)), "")</f>
        <v>118.53</v>
      </c>
      <c r="BG150" s="216">
        <f>IFERROR(INDEX('[1]Anexos FICHA TRA050'!$C$49:$C$54, MATCH(Tabla467824[[#This Row],[Columna5]], '[1]Anexos FICHA TRA050'!$D$49:$D$54, 0)), "")</f>
        <v>53508</v>
      </c>
      <c r="BH150" s="217">
        <f>+(((Tabla467824[[#This Row],[CVA2]]*Tabla467824[[#This Row],[f2]])-Tabla467824[[#This Row],[CVN2]])/100)*Tabla467824[[#This Row],[L2]]</f>
        <v>123854.9676</v>
      </c>
      <c r="BI150" s="218"/>
      <c r="BJ150" s="218"/>
      <c r="BK150" s="218" t="str">
        <f>+IF(Tabla467824[[#This Row],[F]]=Tabla467824[[#This Row],[f2]], "IGUAL", "DISTINTO")</f>
        <v>IGUAL</v>
      </c>
      <c r="BL150" s="218" t="str">
        <f>+IF(Tabla467824[[#This Row],[CVN]]=Tabla467824[[#This Row],[CVN2]], "IGUAL", "DISTINTO")</f>
        <v>DISTINTO</v>
      </c>
      <c r="BM150" s="219" t="str">
        <f>+IF(Tabla467824[[#This Row],[L]]=Tabla467824[[#This Row],[L2]], "IGUAL", "DISTINTO")</f>
        <v>IGUAL</v>
      </c>
    </row>
    <row r="151" spans="1:146" x14ac:dyDescent="0.25">
      <c r="A151">
        <v>148</v>
      </c>
      <c r="B151" s="202" t="s">
        <v>1058</v>
      </c>
      <c r="C151" s="203" t="s">
        <v>1059</v>
      </c>
      <c r="D151" s="203" t="s">
        <v>516</v>
      </c>
      <c r="E151" s="203" t="s">
        <v>78</v>
      </c>
      <c r="F151" s="203" t="s">
        <v>78</v>
      </c>
      <c r="G151" s="203" t="s">
        <v>516</v>
      </c>
      <c r="H151" s="203" t="s">
        <v>72</v>
      </c>
      <c r="I151" s="203"/>
      <c r="J151" s="203"/>
      <c r="K151" s="203" t="s">
        <v>72</v>
      </c>
      <c r="L151" s="203" t="s">
        <v>72</v>
      </c>
      <c r="M151" s="203" t="s">
        <v>72</v>
      </c>
      <c r="N151" s="203"/>
      <c r="O151" s="203" t="s">
        <v>158</v>
      </c>
      <c r="P151" s="203" t="s">
        <v>159</v>
      </c>
      <c r="Q151" s="203" t="s">
        <v>158</v>
      </c>
      <c r="R151" s="203" t="s">
        <v>171</v>
      </c>
      <c r="S151" s="204">
        <v>43601</v>
      </c>
      <c r="T151" s="205">
        <v>45124</v>
      </c>
      <c r="U151" s="206">
        <v>1523</v>
      </c>
      <c r="V151" s="207">
        <v>2023</v>
      </c>
      <c r="W151" s="203" t="s">
        <v>172</v>
      </c>
      <c r="X151" s="203" t="s">
        <v>78</v>
      </c>
      <c r="Y151" s="203" t="s">
        <v>887</v>
      </c>
      <c r="Z151" s="203" t="s">
        <v>1060</v>
      </c>
      <c r="AA151" s="203" t="s">
        <v>1050</v>
      </c>
      <c r="AB151" s="203" t="s">
        <v>1051</v>
      </c>
      <c r="AC151" s="203" t="s">
        <v>1052</v>
      </c>
      <c r="AD151" s="208">
        <v>8</v>
      </c>
      <c r="AE151" s="208" t="s">
        <v>1061</v>
      </c>
      <c r="AF151" s="208" t="s">
        <v>85</v>
      </c>
      <c r="AG151" s="208" t="s">
        <v>86</v>
      </c>
      <c r="AH151" s="208" t="s">
        <v>87</v>
      </c>
      <c r="AI151" s="208" t="s">
        <v>1054</v>
      </c>
      <c r="AJ151" s="205" t="s">
        <v>547</v>
      </c>
      <c r="AK151" s="204">
        <v>45671</v>
      </c>
      <c r="AL151" s="208">
        <v>2</v>
      </c>
      <c r="AM151" s="209" t="s">
        <v>1050</v>
      </c>
      <c r="AN151" s="209" t="s">
        <v>1062</v>
      </c>
      <c r="AO151" s="209" t="s">
        <v>1051</v>
      </c>
      <c r="AP151" s="209"/>
      <c r="AQ151" s="209" t="s">
        <v>72</v>
      </c>
      <c r="AR151" s="209" t="s">
        <v>1056</v>
      </c>
      <c r="AS151" s="209" t="s">
        <v>1063</v>
      </c>
      <c r="AT151" s="210">
        <v>35</v>
      </c>
      <c r="AU151" s="211">
        <v>10</v>
      </c>
      <c r="AV151" s="212">
        <v>17.3</v>
      </c>
      <c r="AW151" s="213">
        <v>53508</v>
      </c>
      <c r="AX151" s="213">
        <v>178021.11600000001</v>
      </c>
      <c r="AY151" s="210" t="s">
        <v>516</v>
      </c>
      <c r="AZ151" s="209" t="s">
        <v>168</v>
      </c>
      <c r="BA151" s="214" t="str">
        <f>+IF(Tabla467824[[#This Row],[TIPO VEHÍCULO]]=Tabla467824[[#This Row],[Columna2]], "IGUAL", "DISTINTO")</f>
        <v>IGUAL</v>
      </c>
      <c r="BB151" s="214" t="str">
        <f>+IF(Tabla467824[[#This Row],[Columna4]]=Tabla467824[[#This Row],[Combustible2]], "IGUAL", "DISTINTO")</f>
        <v>IGUAL</v>
      </c>
      <c r="BC151" s="202" t="s">
        <v>1058</v>
      </c>
      <c r="BD151" s="215" cm="1">
        <f t="array" ref="BD151">IFERROR(INDEX('[1]Anexos FICHA TRA050'!$D$27:$D$44, MATCH(Tabla467824[[#This Row],[Columna5]]&amp;Tabla467824[[#This Row],[Columna4]], '[1]Anexos FICHA TRA050'!$E$27:$E$44&amp;'[1]Anexos FICHA TRA050'!$F$27:$F$44, 0)), "")</f>
        <v>35</v>
      </c>
      <c r="BE151" s="215">
        <f>IFERROR(INDEX('[1]Anexos FICHA TRA050'!$B$4:$B$7, MATCH(Tabla467824[[#This Row],[Columna4]], '[1]Anexos FICHA TRA050'!$C$4:$C$7, 0)), "")</f>
        <v>10</v>
      </c>
      <c r="BF151" s="215">
        <f>IFERROR(INDEX('[1]Anexos FICHA TRA050'!$C$14:$C$22, MATCH(Tabla467824[[#This Row],[Columna5]], '[1]Anexos FICHA TRA050'!$D$14:$D$22, 0)), "")</f>
        <v>118.53</v>
      </c>
      <c r="BG151" s="216">
        <f>IFERROR(INDEX('[1]Anexos FICHA TRA050'!$C$49:$C$54, MATCH(Tabla467824[[#This Row],[Columna5]], '[1]Anexos FICHA TRA050'!$D$49:$D$54, 0)), "")</f>
        <v>53508</v>
      </c>
      <c r="BH151" s="217">
        <f>+(((Tabla467824[[#This Row],[CVA2]]*Tabla467824[[#This Row],[f2]])-Tabla467824[[#This Row],[CVN2]])/100)*Tabla467824[[#This Row],[L2]]</f>
        <v>123854.9676</v>
      </c>
      <c r="BI151" s="218"/>
      <c r="BJ151" s="218"/>
      <c r="BK151" s="218" t="str">
        <f>+IF(Tabla467824[[#This Row],[F]]=Tabla467824[[#This Row],[f2]], "IGUAL", "DISTINTO")</f>
        <v>IGUAL</v>
      </c>
      <c r="BL151" s="218" t="str">
        <f>+IF(Tabla467824[[#This Row],[CVN]]=Tabla467824[[#This Row],[CVN2]], "IGUAL", "DISTINTO")</f>
        <v>DISTINTO</v>
      </c>
      <c r="BM151" s="219" t="str">
        <f>+IF(Tabla467824[[#This Row],[L]]=Tabla467824[[#This Row],[L2]], "IGUAL", "DISTINTO")</f>
        <v>IGUAL</v>
      </c>
    </row>
    <row r="152" spans="1:146" x14ac:dyDescent="0.25">
      <c r="A152">
        <v>149</v>
      </c>
      <c r="B152" s="202" t="s">
        <v>1064</v>
      </c>
      <c r="C152" s="203" t="s">
        <v>1065</v>
      </c>
      <c r="D152" s="203" t="s">
        <v>128</v>
      </c>
      <c r="E152" s="203" t="s">
        <v>78</v>
      </c>
      <c r="F152" s="203" t="s">
        <v>78</v>
      </c>
      <c r="G152" s="203" t="s">
        <v>128</v>
      </c>
      <c r="H152" s="203"/>
      <c r="I152" s="203"/>
      <c r="J152" s="203"/>
      <c r="K152" s="203" t="s">
        <v>72</v>
      </c>
      <c r="L152" s="203" t="s">
        <v>72</v>
      </c>
      <c r="M152" s="203" t="s">
        <v>72</v>
      </c>
      <c r="N152" s="203"/>
      <c r="O152" s="203" t="s">
        <v>158</v>
      </c>
      <c r="P152" s="203" t="s">
        <v>159</v>
      </c>
      <c r="Q152" s="203" t="s">
        <v>158</v>
      </c>
      <c r="R152" s="203" t="s">
        <v>171</v>
      </c>
      <c r="S152" s="204">
        <v>36161</v>
      </c>
      <c r="T152" s="205">
        <v>44994</v>
      </c>
      <c r="U152" s="206">
        <v>8833</v>
      </c>
      <c r="V152" s="207">
        <v>2023</v>
      </c>
      <c r="W152" s="203" t="s">
        <v>172</v>
      </c>
      <c r="X152" s="203" t="s">
        <v>78</v>
      </c>
      <c r="Y152" s="203" t="s">
        <v>1066</v>
      </c>
      <c r="Z152" s="203" t="s">
        <v>1067</v>
      </c>
      <c r="AA152" s="203" t="s">
        <v>102</v>
      </c>
      <c r="AB152" s="203" t="s">
        <v>103</v>
      </c>
      <c r="AC152" s="203" t="s">
        <v>579</v>
      </c>
      <c r="AD152" s="208">
        <v>44</v>
      </c>
      <c r="AE152" s="208" t="s">
        <v>1068</v>
      </c>
      <c r="AF152" s="208" t="s">
        <v>79</v>
      </c>
      <c r="AG152" s="208" t="s">
        <v>442</v>
      </c>
      <c r="AH152" s="208" t="s">
        <v>87</v>
      </c>
      <c r="AI152" s="208" t="s">
        <v>107</v>
      </c>
      <c r="AJ152" s="205" t="s">
        <v>108</v>
      </c>
      <c r="AK152" s="204">
        <v>45133</v>
      </c>
      <c r="AL152" s="208">
        <v>0</v>
      </c>
      <c r="AM152" s="209" t="s">
        <v>102</v>
      </c>
      <c r="AN152" s="210">
        <v>4500370229</v>
      </c>
      <c r="AO152" s="209" t="s">
        <v>103</v>
      </c>
      <c r="AP152" s="209"/>
      <c r="AQ152" s="209" t="s">
        <v>72</v>
      </c>
      <c r="AR152" s="209" t="s">
        <v>109</v>
      </c>
      <c r="AS152" s="209" t="s">
        <v>1069</v>
      </c>
      <c r="AT152" s="210">
        <v>5.6</v>
      </c>
      <c r="AU152" s="211">
        <v>10</v>
      </c>
      <c r="AV152" s="212">
        <v>22.7</v>
      </c>
      <c r="AW152" s="213">
        <v>15815</v>
      </c>
      <c r="AX152" s="213">
        <v>5266.3949999999995</v>
      </c>
      <c r="AY152" s="210" t="s">
        <v>128</v>
      </c>
      <c r="AZ152" s="209" t="s">
        <v>168</v>
      </c>
      <c r="BA152" s="214" t="str">
        <f>+IF(Tabla467824[[#This Row],[TIPO VEHÍCULO]]=Tabla467824[[#This Row],[Columna2]], "IGUAL", "DISTINTO")</f>
        <v>IGUAL</v>
      </c>
      <c r="BB152" s="214" t="str">
        <f>+IF(Tabla467824[[#This Row],[Columna4]]=Tabla467824[[#This Row],[Combustible2]], "IGUAL", "DISTINTO")</f>
        <v>IGUAL</v>
      </c>
      <c r="BC152" s="202" t="s">
        <v>1064</v>
      </c>
      <c r="BD152" s="215" cm="1">
        <f t="array" ref="BD152">IFERROR(INDEX('[1]Anexos FICHA TRA050'!$D$27:$D$44, MATCH(Tabla467824[[#This Row],[Columna5]]&amp;Tabla467824[[#This Row],[Columna4]], '[1]Anexos FICHA TRA050'!$E$27:$E$44&amp;'[1]Anexos FICHA TRA050'!$F$27:$F$44, 0)), "")</f>
        <v>5.63</v>
      </c>
      <c r="BE152" s="215">
        <f>IFERROR(INDEX('[1]Anexos FICHA TRA050'!$B$4:$B$7, MATCH(Tabla467824[[#This Row],[Columna4]], '[1]Anexos FICHA TRA050'!$C$4:$C$7, 0)), "")</f>
        <v>10</v>
      </c>
      <c r="BF152" s="215">
        <f>IFERROR(INDEX('[1]Anexos FICHA TRA050'!$C$14:$C$22, MATCH(Tabla467824[[#This Row],[Columna5]], '[1]Anexos FICHA TRA050'!$D$14:$D$22, 0)), "")</f>
        <v>20.84</v>
      </c>
      <c r="BG152" s="216">
        <f>IFERROR(INDEX('[1]Anexos FICHA TRA050'!$C$49:$C$54, MATCH(Tabla467824[[#This Row],[Columna5]], '[1]Anexos FICHA TRA050'!$D$49:$D$54, 0)), "")</f>
        <v>15815</v>
      </c>
      <c r="BH152" s="217">
        <f>+(((Tabla467824[[#This Row],[CVA2]]*Tabla467824[[#This Row],[f2]])-Tabla467824[[#This Row],[CVN2]])/100)*Tabla467824[[#This Row],[L2]]</f>
        <v>5607.9989999999989</v>
      </c>
      <c r="BI152" s="218"/>
      <c r="BJ152" s="218"/>
      <c r="BK152" s="218" t="str">
        <f>+IF(Tabla467824[[#This Row],[F]]=Tabla467824[[#This Row],[f2]], "IGUAL", "DISTINTO")</f>
        <v>IGUAL</v>
      </c>
      <c r="BL152" s="218" t="str">
        <f>+IF(Tabla467824[[#This Row],[CVN]]=Tabla467824[[#This Row],[CVN2]], "IGUAL", "DISTINTO")</f>
        <v>DISTINTO</v>
      </c>
      <c r="BM152" s="219" t="str">
        <f>+IF(Tabla467824[[#This Row],[L]]=Tabla467824[[#This Row],[L2]], "IGUAL", "DISTINTO")</f>
        <v>IGUAL</v>
      </c>
    </row>
    <row r="153" spans="1:146" x14ac:dyDescent="0.25">
      <c r="A153">
        <v>150</v>
      </c>
      <c r="B153" s="202" t="s">
        <v>1070</v>
      </c>
      <c r="C153" s="203" t="s">
        <v>1071</v>
      </c>
      <c r="D153" s="203" t="s">
        <v>70</v>
      </c>
      <c r="E153" s="203" t="s">
        <v>78</v>
      </c>
      <c r="F153" s="203" t="s">
        <v>78</v>
      </c>
      <c r="G153" s="203" t="s">
        <v>70</v>
      </c>
      <c r="H153" s="203"/>
      <c r="I153" s="203"/>
      <c r="J153" s="203"/>
      <c r="K153" s="203"/>
      <c r="L153" s="203"/>
      <c r="M153" s="203"/>
      <c r="N153" s="203"/>
      <c r="O153" s="203" t="s">
        <v>466</v>
      </c>
      <c r="P153" s="203" t="s">
        <v>200</v>
      </c>
      <c r="Q153" s="203" t="s">
        <v>201</v>
      </c>
      <c r="R153" s="203" t="s">
        <v>76</v>
      </c>
      <c r="S153" s="209">
        <v>44026</v>
      </c>
      <c r="T153" s="205">
        <v>45169</v>
      </c>
      <c r="U153" s="206">
        <v>1143</v>
      </c>
      <c r="V153" s="207">
        <v>2023</v>
      </c>
      <c r="W153" s="203" t="s">
        <v>77</v>
      </c>
      <c r="X153" s="203" t="s">
        <v>78</v>
      </c>
      <c r="Y153" s="203" t="s">
        <v>467</v>
      </c>
      <c r="Z153" s="203" t="s">
        <v>1072</v>
      </c>
      <c r="AA153" s="203" t="s">
        <v>960</v>
      </c>
      <c r="AB153" s="203" t="s">
        <v>961</v>
      </c>
      <c r="AC153" s="203" t="s">
        <v>1073</v>
      </c>
      <c r="AD153" s="208">
        <v>2</v>
      </c>
      <c r="AE153" s="208" t="s">
        <v>1074</v>
      </c>
      <c r="AF153" s="208" t="s">
        <v>85</v>
      </c>
      <c r="AG153" s="208" t="s">
        <v>86</v>
      </c>
      <c r="AH153" s="208" t="s">
        <v>87</v>
      </c>
      <c r="AI153" s="208" t="s">
        <v>1075</v>
      </c>
      <c r="AJ153" s="205" t="s">
        <v>89</v>
      </c>
      <c r="AK153" s="204">
        <v>45645</v>
      </c>
      <c r="AL153" s="208">
        <v>1</v>
      </c>
      <c r="AM153" s="209" t="s">
        <v>960</v>
      </c>
      <c r="AN153" s="209" t="s">
        <v>1076</v>
      </c>
      <c r="AO153" s="209" t="s">
        <v>961</v>
      </c>
      <c r="AP153" s="209"/>
      <c r="AQ153" s="209" t="s">
        <v>72</v>
      </c>
      <c r="AR153" s="209" t="s">
        <v>91</v>
      </c>
      <c r="AS153" s="209" t="s">
        <v>1077</v>
      </c>
      <c r="AT153" s="210">
        <v>5.0999999999999996</v>
      </c>
      <c r="AU153" s="211">
        <v>10</v>
      </c>
      <c r="AV153" s="212">
        <v>17.3</v>
      </c>
      <c r="AW153" s="213">
        <v>13073</v>
      </c>
      <c r="AX153" s="213">
        <v>4405.6010000000006</v>
      </c>
      <c r="AY153" s="210" t="s">
        <v>70</v>
      </c>
      <c r="AZ153" s="209" t="s">
        <v>255</v>
      </c>
      <c r="BA153" s="214" t="str">
        <f>+IF(Tabla467824[[#This Row],[TIPO VEHÍCULO]]=Tabla467824[[#This Row],[Columna2]], "IGUAL", "DISTINTO")</f>
        <v>IGUAL</v>
      </c>
      <c r="BB153" s="214" t="str">
        <f>+IF(Tabla467824[[#This Row],[Columna4]]=Tabla467824[[#This Row],[Combustible2]], "IGUAL", "DISTINTO")</f>
        <v>IGUAL</v>
      </c>
      <c r="BC153" s="202" t="s">
        <v>1070</v>
      </c>
      <c r="BD153" s="215" cm="1">
        <f t="array" ref="BD153">IFERROR(INDEX('[1]Anexos FICHA TRA050'!$D$27:$D$44, MATCH(Tabla467824[[#This Row],[Columna5]]&amp;Tabla467824[[#This Row],[Columna4]], '[1]Anexos FICHA TRA050'!$E$27:$E$44&amp;'[1]Anexos FICHA TRA050'!$F$27:$F$44, 0)), "")</f>
        <v>6.99</v>
      </c>
      <c r="BE153" s="215">
        <f>IFERROR(INDEX('[1]Anexos FICHA TRA050'!$B$4:$B$7, MATCH(Tabla467824[[#This Row],[Columna4]], '[1]Anexos FICHA TRA050'!$C$4:$C$7, 0)), "")</f>
        <v>10</v>
      </c>
      <c r="BF153" s="215">
        <f>IFERROR(INDEX('[1]Anexos FICHA TRA050'!$C$14:$C$22, MATCH(Tabla467824[[#This Row],[Columna5]], '[1]Anexos FICHA TRA050'!$D$14:$D$22, 0)), "")</f>
        <v>17.920000000000002</v>
      </c>
      <c r="BG153" s="216">
        <f>IFERROR(INDEX('[1]Anexos FICHA TRA050'!$C$49:$C$54, MATCH(Tabla467824[[#This Row],[Columna5]], '[1]Anexos FICHA TRA050'!$D$49:$D$54, 0)), "")</f>
        <v>13073</v>
      </c>
      <c r="BH153" s="217">
        <f>+(((Tabla467824[[#This Row],[CVA2]]*Tabla467824[[#This Row],[f2]])-Tabla467824[[#This Row],[CVN2]])/100)*Tabla467824[[#This Row],[L2]]</f>
        <v>6795.3454000000002</v>
      </c>
      <c r="BI153" s="218"/>
      <c r="BJ153" s="218"/>
      <c r="BK153" s="218" t="str">
        <f>+IF(Tabla467824[[#This Row],[F]]=Tabla467824[[#This Row],[f2]], "IGUAL", "DISTINTO")</f>
        <v>IGUAL</v>
      </c>
      <c r="BL153" s="218" t="str">
        <f>+IF(Tabla467824[[#This Row],[CVN]]=Tabla467824[[#This Row],[CVN2]], "IGUAL", "DISTINTO")</f>
        <v>DISTINTO</v>
      </c>
      <c r="BM153" s="219" t="str">
        <f>+IF(Tabla467824[[#This Row],[L]]=Tabla467824[[#This Row],[L2]], "IGUAL", "DISTINTO")</f>
        <v>IGUAL</v>
      </c>
    </row>
    <row r="154" spans="1:146" x14ac:dyDescent="0.25">
      <c r="A154">
        <v>151</v>
      </c>
      <c r="B154" s="202" t="s">
        <v>1078</v>
      </c>
      <c r="C154" s="203" t="s">
        <v>1079</v>
      </c>
      <c r="D154" s="203" t="s">
        <v>70</v>
      </c>
      <c r="E154" s="203" t="s">
        <v>71</v>
      </c>
      <c r="F154" s="203" t="s">
        <v>71</v>
      </c>
      <c r="G154" s="203" t="s">
        <v>70</v>
      </c>
      <c r="H154" s="203" t="s">
        <v>72</v>
      </c>
      <c r="I154" s="203" t="s">
        <v>72</v>
      </c>
      <c r="J154" s="203" t="s">
        <v>72</v>
      </c>
      <c r="K154" s="203"/>
      <c r="L154" s="203" t="s">
        <v>72</v>
      </c>
      <c r="M154" s="203" t="s">
        <v>72</v>
      </c>
      <c r="N154" s="203"/>
      <c r="O154" s="203" t="s">
        <v>1034</v>
      </c>
      <c r="P154" s="203" t="s">
        <v>200</v>
      </c>
      <c r="Q154" s="203" t="s">
        <v>201</v>
      </c>
      <c r="R154" s="203" t="s">
        <v>76</v>
      </c>
      <c r="S154" s="209">
        <v>44148</v>
      </c>
      <c r="T154" s="205">
        <v>45609</v>
      </c>
      <c r="U154" s="206">
        <v>1461</v>
      </c>
      <c r="V154" s="207">
        <v>2024</v>
      </c>
      <c r="W154" s="203" t="s">
        <v>77</v>
      </c>
      <c r="X154" s="203" t="s">
        <v>202</v>
      </c>
      <c r="Y154" s="203" t="s">
        <v>524</v>
      </c>
      <c r="Z154" s="203" t="s">
        <v>1080</v>
      </c>
      <c r="AA154" s="203" t="s">
        <v>204</v>
      </c>
      <c r="AB154" s="203" t="s">
        <v>205</v>
      </c>
      <c r="AC154" s="203" t="s">
        <v>1081</v>
      </c>
      <c r="AD154" s="208">
        <v>10</v>
      </c>
      <c r="AE154" s="208" t="s">
        <v>1082</v>
      </c>
      <c r="AF154" s="208" t="s">
        <v>140</v>
      </c>
      <c r="AG154" s="208" t="s">
        <v>151</v>
      </c>
      <c r="AH154" s="208" t="s">
        <v>87</v>
      </c>
      <c r="AI154" s="208" t="s">
        <v>208</v>
      </c>
      <c r="AJ154" s="205" t="s">
        <v>89</v>
      </c>
      <c r="AK154" s="204">
        <v>45638</v>
      </c>
      <c r="AL154" s="208">
        <v>0</v>
      </c>
      <c r="AM154" s="209" t="s">
        <v>204</v>
      </c>
      <c r="AN154" s="209" t="s">
        <v>1083</v>
      </c>
      <c r="AO154" s="209" t="s">
        <v>205</v>
      </c>
      <c r="AP154" s="209"/>
      <c r="AQ154" s="209" t="s">
        <v>72</v>
      </c>
      <c r="AR154" s="209" t="s">
        <v>91</v>
      </c>
      <c r="AS154" s="209" t="s">
        <v>1084</v>
      </c>
      <c r="AT154" s="210">
        <v>5.0999999999999996</v>
      </c>
      <c r="AU154" s="211">
        <v>9.19</v>
      </c>
      <c r="AV154" s="212">
        <v>16.399999999999999</v>
      </c>
      <c r="AW154" s="213">
        <v>13073</v>
      </c>
      <c r="AX154" s="213">
        <v>3983.2123699999993</v>
      </c>
      <c r="AY154" s="210" t="s">
        <v>70</v>
      </c>
      <c r="AZ154" s="209" t="s">
        <v>93</v>
      </c>
      <c r="BA154" s="214" t="str">
        <f>+IF(Tabla467824[[#This Row],[TIPO VEHÍCULO]]=Tabla467824[[#This Row],[Columna2]], "IGUAL", "DISTINTO")</f>
        <v>IGUAL</v>
      </c>
      <c r="BB154" s="214" t="str">
        <f>+IF(Tabla467824[[#This Row],[Columna4]]=Tabla467824[[#This Row],[Combustible2]], "IGUAL", "DISTINTO")</f>
        <v>DISTINTO</v>
      </c>
      <c r="BC154" s="202" t="s">
        <v>1078</v>
      </c>
      <c r="BD154" s="215" cm="1">
        <f t="array" ref="BD154">IFERROR(INDEX('[1]Anexos FICHA TRA050'!$D$27:$D$44, MATCH(Tabla467824[[#This Row],[Columna5]]&amp;Tabla467824[[#This Row],[Columna4]], '[1]Anexos FICHA TRA050'!$E$27:$E$44&amp;'[1]Anexos FICHA TRA050'!$F$27:$F$44, 0)), "")</f>
        <v>7.89</v>
      </c>
      <c r="BE154" s="215">
        <f>IFERROR(INDEX('[1]Anexos FICHA TRA050'!$B$4:$B$7, MATCH(Tabla467824[[#This Row],[Columna4]], '[1]Anexos FICHA TRA050'!$C$4:$C$7, 0)), "")</f>
        <v>9.19</v>
      </c>
      <c r="BF154" s="215">
        <f>IFERROR(INDEX('[1]Anexos FICHA TRA050'!$C$14:$C$22, MATCH(Tabla467824[[#This Row],[Columna5]], '[1]Anexos FICHA TRA050'!$D$14:$D$22, 0)), "")</f>
        <v>17.920000000000002</v>
      </c>
      <c r="BG154" s="216">
        <f>IFERROR(INDEX('[1]Anexos FICHA TRA050'!$C$49:$C$54, MATCH(Tabla467824[[#This Row],[Columna5]], '[1]Anexos FICHA TRA050'!$D$49:$D$54, 0)), "")</f>
        <v>13073</v>
      </c>
      <c r="BH154" s="217">
        <f>+(((Tabla467824[[#This Row],[CVA2]]*Tabla467824[[#This Row],[f2]])-Tabla467824[[#This Row],[CVN2]])/100)*Tabla467824[[#This Row],[L2]]</f>
        <v>7136.4330429999991</v>
      </c>
      <c r="BI154" s="218" t="s">
        <v>1085</v>
      </c>
      <c r="BJ154" s="218"/>
      <c r="BK154" s="218" t="str">
        <f>+IF(Tabla467824[[#This Row],[F]]=Tabla467824[[#This Row],[f2]], "IGUAL", "DISTINTO")</f>
        <v>IGUAL</v>
      </c>
      <c r="BL154" s="218" t="str">
        <f>+IF(Tabla467824[[#This Row],[CVN]]=Tabla467824[[#This Row],[CVN2]], "IGUAL", "DISTINTO")</f>
        <v>DISTINTO</v>
      </c>
      <c r="BM154" s="219" t="str">
        <f>+IF(Tabla467824[[#This Row],[L]]=Tabla467824[[#This Row],[L2]], "IGUAL", "DISTINTO")</f>
        <v>IGUAL</v>
      </c>
    </row>
    <row r="155" spans="1:146" x14ac:dyDescent="0.25">
      <c r="A155">
        <v>152</v>
      </c>
      <c r="B155" s="202" t="s">
        <v>1086</v>
      </c>
      <c r="C155" s="203" t="s">
        <v>1087</v>
      </c>
      <c r="D155" s="203" t="s">
        <v>1088</v>
      </c>
      <c r="E155" s="203" t="s">
        <v>78</v>
      </c>
      <c r="F155" s="203" t="s">
        <v>78</v>
      </c>
      <c r="G155" s="203" t="s">
        <v>70</v>
      </c>
      <c r="H155" s="203" t="s">
        <v>72</v>
      </c>
      <c r="I155" s="203" t="s">
        <v>72</v>
      </c>
      <c r="J155" s="203"/>
      <c r="K155" s="203"/>
      <c r="L155" s="203" t="s">
        <v>72</v>
      </c>
      <c r="M155" s="203" t="s">
        <v>72</v>
      </c>
      <c r="N155" s="203"/>
      <c r="O155" s="203" t="s">
        <v>1034</v>
      </c>
      <c r="P155" s="203" t="s">
        <v>200</v>
      </c>
      <c r="Q155" s="203" t="s">
        <v>201</v>
      </c>
      <c r="R155" s="203" t="s">
        <v>76</v>
      </c>
      <c r="S155" s="209">
        <v>42725</v>
      </c>
      <c r="T155" s="205">
        <v>45124</v>
      </c>
      <c r="U155" s="206">
        <v>2399</v>
      </c>
      <c r="V155" s="207">
        <v>2023</v>
      </c>
      <c r="W155" s="203" t="s">
        <v>77</v>
      </c>
      <c r="X155" s="203" t="s">
        <v>78</v>
      </c>
      <c r="Y155" s="203" t="s">
        <v>524</v>
      </c>
      <c r="Z155" s="203" t="s">
        <v>1089</v>
      </c>
      <c r="AA155" s="203" t="s">
        <v>119</v>
      </c>
      <c r="AB155" s="203" t="s">
        <v>120</v>
      </c>
      <c r="AC155" s="203" t="s">
        <v>1041</v>
      </c>
      <c r="AD155" s="208">
        <v>34</v>
      </c>
      <c r="AE155" s="208" t="s">
        <v>1090</v>
      </c>
      <c r="AF155" s="208" t="s">
        <v>85</v>
      </c>
      <c r="AG155" s="208" t="s">
        <v>86</v>
      </c>
      <c r="AH155" s="208" t="s">
        <v>87</v>
      </c>
      <c r="AI155" s="208" t="s">
        <v>252</v>
      </c>
      <c r="AJ155" s="205" t="s">
        <v>89</v>
      </c>
      <c r="AK155" s="204">
        <v>45645</v>
      </c>
      <c r="AL155" s="208">
        <v>1</v>
      </c>
      <c r="AM155" s="209" t="s">
        <v>119</v>
      </c>
      <c r="AN155" s="209" t="s">
        <v>1091</v>
      </c>
      <c r="AO155" s="209" t="s">
        <v>120</v>
      </c>
      <c r="AP155" s="209"/>
      <c r="AQ155" s="209" t="s">
        <v>72</v>
      </c>
      <c r="AR155" s="209" t="s">
        <v>91</v>
      </c>
      <c r="AS155" s="209" t="s">
        <v>1092</v>
      </c>
      <c r="AT155" s="210">
        <v>5.0999999999999996</v>
      </c>
      <c r="AU155" s="211">
        <v>10</v>
      </c>
      <c r="AV155" s="212">
        <v>17.3</v>
      </c>
      <c r="AW155" s="213">
        <v>13073</v>
      </c>
      <c r="AX155" s="213">
        <v>4405.6010000000006</v>
      </c>
      <c r="AY155" s="210" t="s">
        <v>70</v>
      </c>
      <c r="AZ155" s="209" t="s">
        <v>255</v>
      </c>
      <c r="BA155" s="214" t="str">
        <f>+IF(Tabla467824[[#This Row],[TIPO VEHÍCULO]]=Tabla467824[[#This Row],[Columna2]], "IGUAL", "DISTINTO")</f>
        <v>DISTINTO</v>
      </c>
      <c r="BB155" s="214" t="str">
        <f>+IF(Tabla467824[[#This Row],[Columna4]]=Tabla467824[[#This Row],[Combustible2]], "IGUAL", "DISTINTO")</f>
        <v>IGUAL</v>
      </c>
      <c r="BC155" s="202" t="s">
        <v>1086</v>
      </c>
      <c r="BD155" s="215" cm="1">
        <f t="array" ref="BD155">IFERROR(INDEX('[1]Anexos FICHA TRA050'!$D$27:$D$44, MATCH(Tabla467824[[#This Row],[Columna5]]&amp;Tabla467824[[#This Row],[Columna4]], '[1]Anexos FICHA TRA050'!$E$27:$E$44&amp;'[1]Anexos FICHA TRA050'!$F$27:$F$44, 0)), "")</f>
        <v>6.99</v>
      </c>
      <c r="BE155" s="215">
        <f>IFERROR(INDEX('[1]Anexos FICHA TRA050'!$B$4:$B$7, MATCH(Tabla467824[[#This Row],[Columna4]], '[1]Anexos FICHA TRA050'!$C$4:$C$7, 0)), "")</f>
        <v>10</v>
      </c>
      <c r="BF155" s="215">
        <f>IFERROR(INDEX('[1]Anexos FICHA TRA050'!$C$14:$C$22, MATCH(Tabla467824[[#This Row],[Columna5]], '[1]Anexos FICHA TRA050'!$D$14:$D$22, 0)), "")</f>
        <v>17.920000000000002</v>
      </c>
      <c r="BG155" s="216">
        <f>IFERROR(INDEX('[1]Anexos FICHA TRA050'!$C$49:$C$54, MATCH(Tabla467824[[#This Row],[Columna5]], '[1]Anexos FICHA TRA050'!$D$49:$D$54, 0)), "")</f>
        <v>13073</v>
      </c>
      <c r="BH155" s="217">
        <f>+(((Tabla467824[[#This Row],[CVA2]]*Tabla467824[[#This Row],[f2]])-Tabla467824[[#This Row],[CVN2]])/100)*Tabla467824[[#This Row],[L2]]</f>
        <v>6795.3454000000002</v>
      </c>
      <c r="BI155" s="218"/>
      <c r="BJ155" s="218"/>
      <c r="BK155" s="218" t="str">
        <f>+IF(Tabla467824[[#This Row],[F]]=Tabla467824[[#This Row],[f2]], "IGUAL", "DISTINTO")</f>
        <v>IGUAL</v>
      </c>
      <c r="BL155" s="218" t="str">
        <f>+IF(Tabla467824[[#This Row],[CVN]]=Tabla467824[[#This Row],[CVN2]], "IGUAL", "DISTINTO")</f>
        <v>DISTINTO</v>
      </c>
      <c r="BM155" s="219" t="str">
        <f>+IF(Tabla467824[[#This Row],[L]]=Tabla467824[[#This Row],[L2]], "IGUAL", "DISTINTO")</f>
        <v>IGUAL</v>
      </c>
    </row>
    <row r="156" spans="1:146" x14ac:dyDescent="0.25">
      <c r="A156">
        <v>153</v>
      </c>
      <c r="B156" s="202" t="s">
        <v>1093</v>
      </c>
      <c r="C156" s="203" t="s">
        <v>1094</v>
      </c>
      <c r="D156" s="203" t="s">
        <v>70</v>
      </c>
      <c r="E156" s="203" t="s">
        <v>71</v>
      </c>
      <c r="F156" s="203" t="s">
        <v>71</v>
      </c>
      <c r="G156" s="203" t="s">
        <v>70</v>
      </c>
      <c r="H156" s="203" t="s">
        <v>72</v>
      </c>
      <c r="I156" s="203" t="s">
        <v>72</v>
      </c>
      <c r="J156" s="203" t="s">
        <v>72</v>
      </c>
      <c r="K156" s="203"/>
      <c r="L156" s="203" t="s">
        <v>72</v>
      </c>
      <c r="M156" s="203" t="s">
        <v>72</v>
      </c>
      <c r="N156" s="203"/>
      <c r="O156" s="203" t="s">
        <v>1034</v>
      </c>
      <c r="P156" s="203" t="s">
        <v>200</v>
      </c>
      <c r="Q156" s="203" t="s">
        <v>201</v>
      </c>
      <c r="R156" s="203" t="s">
        <v>76</v>
      </c>
      <c r="S156" s="209">
        <v>44127</v>
      </c>
      <c r="T156" s="205">
        <v>45588</v>
      </c>
      <c r="U156" s="206">
        <v>1461</v>
      </c>
      <c r="V156" s="207">
        <v>2024</v>
      </c>
      <c r="W156" s="203" t="s">
        <v>77</v>
      </c>
      <c r="X156" s="203" t="s">
        <v>202</v>
      </c>
      <c r="Y156" s="203" t="s">
        <v>524</v>
      </c>
      <c r="Z156" s="203" t="s">
        <v>1095</v>
      </c>
      <c r="AA156" s="203" t="s">
        <v>204</v>
      </c>
      <c r="AB156" s="203" t="s">
        <v>205</v>
      </c>
      <c r="AC156" s="203" t="s">
        <v>206</v>
      </c>
      <c r="AD156" s="208">
        <v>11</v>
      </c>
      <c r="AE156" s="208" t="s">
        <v>1096</v>
      </c>
      <c r="AF156" s="208" t="s">
        <v>140</v>
      </c>
      <c r="AG156" s="208" t="s">
        <v>151</v>
      </c>
      <c r="AH156" s="208" t="s">
        <v>87</v>
      </c>
      <c r="AI156" s="208" t="s">
        <v>232</v>
      </c>
      <c r="AJ156" s="205" t="s">
        <v>89</v>
      </c>
      <c r="AK156" s="204">
        <v>45638</v>
      </c>
      <c r="AL156" s="208">
        <v>0</v>
      </c>
      <c r="AM156" s="209" t="s">
        <v>204</v>
      </c>
      <c r="AN156" s="209" t="s">
        <v>1097</v>
      </c>
      <c r="AO156" s="209" t="s">
        <v>205</v>
      </c>
      <c r="AP156" s="209"/>
      <c r="AQ156" s="209" t="s">
        <v>72</v>
      </c>
      <c r="AR156" s="209" t="s">
        <v>91</v>
      </c>
      <c r="AS156" s="209" t="s">
        <v>1098</v>
      </c>
      <c r="AT156" s="210">
        <v>5.0999999999999996</v>
      </c>
      <c r="AU156" s="211">
        <v>9.19</v>
      </c>
      <c r="AV156" s="212">
        <v>16.399999999999999</v>
      </c>
      <c r="AW156" s="213">
        <v>13073</v>
      </c>
      <c r="AX156" s="213">
        <v>3983.2123699999993</v>
      </c>
      <c r="AY156" s="210" t="s">
        <v>70</v>
      </c>
      <c r="AZ156" s="209" t="s">
        <v>93</v>
      </c>
      <c r="BA156" s="214" t="str">
        <f>+IF(Tabla467824[[#This Row],[TIPO VEHÍCULO]]=Tabla467824[[#This Row],[Columna2]], "IGUAL", "DISTINTO")</f>
        <v>IGUAL</v>
      </c>
      <c r="BB156" s="214" t="str">
        <f>+IF(Tabla467824[[#This Row],[Columna4]]=Tabla467824[[#This Row],[Combustible2]], "IGUAL", "DISTINTO")</f>
        <v>DISTINTO</v>
      </c>
      <c r="BC156" s="202" t="s">
        <v>1093</v>
      </c>
      <c r="BD156" s="215" cm="1">
        <f t="array" ref="BD156">IFERROR(INDEX('[1]Anexos FICHA TRA050'!$D$27:$D$44, MATCH(Tabla467824[[#This Row],[Columna5]]&amp;Tabla467824[[#This Row],[Columna4]], '[1]Anexos FICHA TRA050'!$E$27:$E$44&amp;'[1]Anexos FICHA TRA050'!$F$27:$F$44, 0)), "")</f>
        <v>7.89</v>
      </c>
      <c r="BE156" s="215">
        <f>IFERROR(INDEX('[1]Anexos FICHA TRA050'!$B$4:$B$7, MATCH(Tabla467824[[#This Row],[Columna4]], '[1]Anexos FICHA TRA050'!$C$4:$C$7, 0)), "")</f>
        <v>9.19</v>
      </c>
      <c r="BF156" s="215">
        <f>IFERROR(INDEX('[1]Anexos FICHA TRA050'!$C$14:$C$22, MATCH(Tabla467824[[#This Row],[Columna5]], '[1]Anexos FICHA TRA050'!$D$14:$D$22, 0)), "")</f>
        <v>17.920000000000002</v>
      </c>
      <c r="BG156" s="216">
        <f>IFERROR(INDEX('[1]Anexos FICHA TRA050'!$C$49:$C$54, MATCH(Tabla467824[[#This Row],[Columna5]], '[1]Anexos FICHA TRA050'!$D$49:$D$54, 0)), "")</f>
        <v>13073</v>
      </c>
      <c r="BH156" s="217">
        <f>+(((Tabla467824[[#This Row],[CVA2]]*Tabla467824[[#This Row],[f2]])-Tabla467824[[#This Row],[CVN2]])/100)*Tabla467824[[#This Row],[L2]]</f>
        <v>7136.4330429999991</v>
      </c>
      <c r="BI156" s="218" t="s">
        <v>1085</v>
      </c>
      <c r="BJ156" s="218"/>
      <c r="BK156" s="218" t="str">
        <f>+IF(Tabla467824[[#This Row],[F]]=Tabla467824[[#This Row],[f2]], "IGUAL", "DISTINTO")</f>
        <v>IGUAL</v>
      </c>
      <c r="BL156" s="218" t="str">
        <f>+IF(Tabla467824[[#This Row],[CVN]]=Tabla467824[[#This Row],[CVN2]], "IGUAL", "DISTINTO")</f>
        <v>DISTINTO</v>
      </c>
      <c r="BM156" s="219" t="str">
        <f>+IF(Tabla467824[[#This Row],[L]]=Tabla467824[[#This Row],[L2]], "IGUAL", "DISTINTO")</f>
        <v>IGUAL</v>
      </c>
    </row>
    <row r="157" spans="1:146" x14ac:dyDescent="0.25">
      <c r="A157">
        <v>154</v>
      </c>
      <c r="B157" s="202" t="s">
        <v>1099</v>
      </c>
      <c r="C157" s="203" t="s">
        <v>1100</v>
      </c>
      <c r="D157" s="203" t="s">
        <v>70</v>
      </c>
      <c r="E157" s="203" t="s">
        <v>78</v>
      </c>
      <c r="F157" s="203" t="s">
        <v>78</v>
      </c>
      <c r="G157" s="203" t="s">
        <v>70</v>
      </c>
      <c r="H157" s="203" t="s">
        <v>72</v>
      </c>
      <c r="I157" s="203" t="s">
        <v>72</v>
      </c>
      <c r="J157" s="203" t="s">
        <v>72</v>
      </c>
      <c r="K157" s="203"/>
      <c r="L157" s="203" t="s">
        <v>72</v>
      </c>
      <c r="M157" s="203" t="s">
        <v>72</v>
      </c>
      <c r="N157" s="203"/>
      <c r="O157" s="203" t="s">
        <v>1034</v>
      </c>
      <c r="P157" s="203" t="s">
        <v>200</v>
      </c>
      <c r="Q157" s="203" t="s">
        <v>201</v>
      </c>
      <c r="R157" s="203" t="s">
        <v>76</v>
      </c>
      <c r="S157" s="209">
        <v>43663</v>
      </c>
      <c r="T157" s="205">
        <v>45124</v>
      </c>
      <c r="U157" s="206">
        <v>1461</v>
      </c>
      <c r="V157" s="207">
        <v>2023</v>
      </c>
      <c r="W157" s="203" t="s">
        <v>77</v>
      </c>
      <c r="X157" s="203" t="s">
        <v>78</v>
      </c>
      <c r="Y157" s="203" t="s">
        <v>524</v>
      </c>
      <c r="Z157" s="203" t="s">
        <v>1101</v>
      </c>
      <c r="AA157" s="203" t="s">
        <v>102</v>
      </c>
      <c r="AB157" s="203" t="s">
        <v>103</v>
      </c>
      <c r="AC157" s="203" t="s">
        <v>1102</v>
      </c>
      <c r="AD157" s="208">
        <v>54</v>
      </c>
      <c r="AE157" s="208" t="s">
        <v>1103</v>
      </c>
      <c r="AF157" s="208" t="s">
        <v>85</v>
      </c>
      <c r="AG157" s="208" t="s">
        <v>340</v>
      </c>
      <c r="AH157" s="208" t="s">
        <v>87</v>
      </c>
      <c r="AI157" s="208" t="s">
        <v>567</v>
      </c>
      <c r="AJ157" s="205" t="s">
        <v>108</v>
      </c>
      <c r="AK157" s="204">
        <v>43019</v>
      </c>
      <c r="AL157" s="208">
        <v>0</v>
      </c>
      <c r="AM157" s="209" t="s">
        <v>102</v>
      </c>
      <c r="AN157" s="210">
        <v>4500349878</v>
      </c>
      <c r="AO157" s="209" t="s">
        <v>103</v>
      </c>
      <c r="AP157" s="209"/>
      <c r="AQ157" s="209" t="s">
        <v>72</v>
      </c>
      <c r="AR157" s="209" t="s">
        <v>109</v>
      </c>
      <c r="AS157" s="209" t="s">
        <v>1104</v>
      </c>
      <c r="AT157" s="210">
        <v>5.0999999999999996</v>
      </c>
      <c r="AU157" s="211">
        <v>10</v>
      </c>
      <c r="AV157" s="212">
        <v>13.3</v>
      </c>
      <c r="AW157" s="213">
        <v>13073</v>
      </c>
      <c r="AX157" s="213">
        <v>4928.5209999999997</v>
      </c>
      <c r="AY157" s="210" t="s">
        <v>70</v>
      </c>
      <c r="AZ157" s="209" t="s">
        <v>93</v>
      </c>
      <c r="BA157" s="214" t="str">
        <f>+IF(Tabla467824[[#This Row],[TIPO VEHÍCULO]]=Tabla467824[[#This Row],[Columna2]], "IGUAL", "DISTINTO")</f>
        <v>IGUAL</v>
      </c>
      <c r="BB157" s="214" t="str">
        <f>+IF(Tabla467824[[#This Row],[Columna4]]=Tabla467824[[#This Row],[Combustible2]], "IGUAL", "DISTINTO")</f>
        <v>IGUAL</v>
      </c>
      <c r="BC157" s="202" t="s">
        <v>1099</v>
      </c>
      <c r="BD157" s="215" cm="1">
        <f t="array" ref="BD157">IFERROR(INDEX('[1]Anexos FICHA TRA050'!$D$27:$D$44, MATCH(Tabla467824[[#This Row],[Columna5]]&amp;Tabla467824[[#This Row],[Columna4]], '[1]Anexos FICHA TRA050'!$E$27:$E$44&amp;'[1]Anexos FICHA TRA050'!$F$27:$F$44, 0)), "")</f>
        <v>6.99</v>
      </c>
      <c r="BE157" s="215">
        <f>IFERROR(INDEX('[1]Anexos FICHA TRA050'!$B$4:$B$7, MATCH(Tabla467824[[#This Row],[Columna4]], '[1]Anexos FICHA TRA050'!$C$4:$C$7, 0)), "")</f>
        <v>10</v>
      </c>
      <c r="BF157" s="215">
        <f>IFERROR(INDEX('[1]Anexos FICHA TRA050'!$C$14:$C$22, MATCH(Tabla467824[[#This Row],[Columna5]], '[1]Anexos FICHA TRA050'!$D$14:$D$22, 0)), "")</f>
        <v>17.920000000000002</v>
      </c>
      <c r="BG157" s="216">
        <f>IFERROR(INDEX('[1]Anexos FICHA TRA050'!$C$49:$C$54, MATCH(Tabla467824[[#This Row],[Columna5]], '[1]Anexos FICHA TRA050'!$D$49:$D$54, 0)), "")</f>
        <v>13073</v>
      </c>
      <c r="BH157" s="217">
        <f>+(((Tabla467824[[#This Row],[CVA2]]*Tabla467824[[#This Row],[f2]])-Tabla467824[[#This Row],[CVN2]])/100)*Tabla467824[[#This Row],[L2]]</f>
        <v>6795.3454000000002</v>
      </c>
      <c r="BI157" s="218"/>
      <c r="BJ157" s="218"/>
      <c r="BK157" s="218" t="str">
        <f>+IF(Tabla467824[[#This Row],[F]]=Tabla467824[[#This Row],[f2]], "IGUAL", "DISTINTO")</f>
        <v>IGUAL</v>
      </c>
      <c r="BL157" s="218" t="str">
        <f>+IF(Tabla467824[[#This Row],[CVN]]=Tabla467824[[#This Row],[CVN2]], "IGUAL", "DISTINTO")</f>
        <v>DISTINTO</v>
      </c>
      <c r="BM157" s="219" t="str">
        <f>+IF(Tabla467824[[#This Row],[L]]=Tabla467824[[#This Row],[L2]], "IGUAL", "DISTINTO")</f>
        <v>IGUAL</v>
      </c>
    </row>
    <row r="158" spans="1:146" s="237" customFormat="1" ht="15.75" thickBot="1" x14ac:dyDescent="0.3">
      <c r="A158">
        <v>155</v>
      </c>
      <c r="B158" s="253" t="s">
        <v>1105</v>
      </c>
      <c r="C158" s="254" t="s">
        <v>1106</v>
      </c>
      <c r="D158" s="254" t="s">
        <v>1088</v>
      </c>
      <c r="E158" s="254" t="s">
        <v>71</v>
      </c>
      <c r="F158" s="254" t="s">
        <v>71</v>
      </c>
      <c r="G158" s="254" t="s">
        <v>70</v>
      </c>
      <c r="H158" s="254" t="s">
        <v>72</v>
      </c>
      <c r="I158" s="254" t="s">
        <v>72</v>
      </c>
      <c r="J158" s="254" t="s">
        <v>72</v>
      </c>
      <c r="K158" s="254"/>
      <c r="L158" s="254" t="s">
        <v>249</v>
      </c>
      <c r="M158" s="254" t="s">
        <v>249</v>
      </c>
      <c r="N158" s="254"/>
      <c r="O158" s="254" t="s">
        <v>1034</v>
      </c>
      <c r="P158" s="254" t="s">
        <v>200</v>
      </c>
      <c r="Q158" s="254" t="s">
        <v>201</v>
      </c>
      <c r="R158" s="254" t="s">
        <v>76</v>
      </c>
      <c r="S158" s="255">
        <v>44148</v>
      </c>
      <c r="T158" s="256">
        <v>45609</v>
      </c>
      <c r="U158" s="257">
        <v>1461</v>
      </c>
      <c r="V158" s="258">
        <v>2024</v>
      </c>
      <c r="W158" s="254" t="s">
        <v>77</v>
      </c>
      <c r="X158" s="254" t="s">
        <v>202</v>
      </c>
      <c r="Y158" s="254" t="s">
        <v>524</v>
      </c>
      <c r="Z158" s="254" t="s">
        <v>1107</v>
      </c>
      <c r="AA158" s="254" t="s">
        <v>119</v>
      </c>
      <c r="AB158" s="254" t="s">
        <v>120</v>
      </c>
      <c r="AC158" s="254" t="s">
        <v>1108</v>
      </c>
      <c r="AD158" s="259">
        <v>38</v>
      </c>
      <c r="AE158" s="259" t="s">
        <v>1109</v>
      </c>
      <c r="AF158" s="259" t="s">
        <v>140</v>
      </c>
      <c r="AG158" s="259" t="s">
        <v>151</v>
      </c>
      <c r="AH158" s="259" t="s">
        <v>87</v>
      </c>
      <c r="AI158" s="259" t="s">
        <v>501</v>
      </c>
      <c r="AJ158" s="256" t="s">
        <v>89</v>
      </c>
      <c r="AK158" s="260">
        <v>45625</v>
      </c>
      <c r="AL158" s="259">
        <v>0</v>
      </c>
      <c r="AM158" s="255" t="s">
        <v>119</v>
      </c>
      <c r="AN158" s="255" t="s">
        <v>1110</v>
      </c>
      <c r="AO158" s="255" t="s">
        <v>120</v>
      </c>
      <c r="AP158" s="255"/>
      <c r="AQ158" s="255" t="s">
        <v>72</v>
      </c>
      <c r="AR158" s="255" t="s">
        <v>91</v>
      </c>
      <c r="AS158" s="255" t="s">
        <v>1111</v>
      </c>
      <c r="AT158" s="261">
        <v>5.0999999999999996</v>
      </c>
      <c r="AU158" s="262">
        <v>9.19</v>
      </c>
      <c r="AV158" s="263">
        <v>16.399999999999999</v>
      </c>
      <c r="AW158" s="264">
        <v>13073</v>
      </c>
      <c r="AX158" s="264">
        <v>3983.2123699999993</v>
      </c>
      <c r="AY158" s="261" t="s">
        <v>70</v>
      </c>
      <c r="AZ158" s="255" t="s">
        <v>93</v>
      </c>
      <c r="BA158" s="265" t="str">
        <f>+IF(Tabla467824[[#This Row],[TIPO VEHÍCULO]]=Tabla467824[[#This Row],[Columna2]], "IGUAL", "DISTINTO")</f>
        <v>DISTINTO</v>
      </c>
      <c r="BB158" s="265" t="str">
        <f>+IF(Tabla467824[[#This Row],[Columna4]]=Tabla467824[[#This Row],[Combustible2]], "IGUAL", "DISTINTO")</f>
        <v>DISTINTO</v>
      </c>
      <c r="BC158" s="253" t="s">
        <v>1105</v>
      </c>
      <c r="BD158" s="266" cm="1">
        <f t="array" ref="BD158">IFERROR(INDEX('[1]Anexos FICHA TRA050'!$D$27:$D$44, MATCH(Tabla467824[[#This Row],[Columna5]]&amp;Tabla467824[[#This Row],[Columna4]], '[1]Anexos FICHA TRA050'!$E$27:$E$44&amp;'[1]Anexos FICHA TRA050'!$F$27:$F$44, 0)), "")</f>
        <v>7.89</v>
      </c>
      <c r="BE158" s="266">
        <f>IFERROR(INDEX('[1]Anexos FICHA TRA050'!$B$4:$B$7, MATCH(Tabla467824[[#This Row],[Columna4]], '[1]Anexos FICHA TRA050'!$C$4:$C$7, 0)), "")</f>
        <v>9.19</v>
      </c>
      <c r="BF158" s="266">
        <f>IFERROR(INDEX('[1]Anexos FICHA TRA050'!$C$14:$C$22, MATCH(Tabla467824[[#This Row],[Columna5]], '[1]Anexos FICHA TRA050'!$D$14:$D$22, 0)), "")</f>
        <v>17.920000000000002</v>
      </c>
      <c r="BG158" s="267">
        <f>IFERROR(INDEX('[1]Anexos FICHA TRA050'!$C$49:$C$54, MATCH(Tabla467824[[#This Row],[Columna5]], '[1]Anexos FICHA TRA050'!$D$49:$D$54, 0)), "")</f>
        <v>13073</v>
      </c>
      <c r="BH158" s="268">
        <f>+(((Tabla467824[[#This Row],[CVA2]]*Tabla467824[[#This Row],[f2]])-Tabla467824[[#This Row],[CVN2]])/100)*Tabla467824[[#This Row],[L2]]</f>
        <v>7136.4330429999991</v>
      </c>
      <c r="BI158" s="269" t="s">
        <v>1112</v>
      </c>
      <c r="BJ158" s="269"/>
      <c r="BK158" s="269" t="str">
        <f>+IF(Tabla467824[[#This Row],[F]]=Tabla467824[[#This Row],[f2]], "IGUAL", "DISTINTO")</f>
        <v>IGUAL</v>
      </c>
      <c r="BL158" s="269" t="str">
        <f>+IF(Tabla467824[[#This Row],[CVN]]=Tabla467824[[#This Row],[CVN2]], "IGUAL", "DISTINTO")</f>
        <v>DISTINTO</v>
      </c>
      <c r="BM158" s="270" t="str">
        <f>+IF(Tabla467824[[#This Row],[L]]=Tabla467824[[#This Row],[L2]], "IGUAL", "DISTINTO")</f>
        <v>IGUAL</v>
      </c>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row>
    <row r="159" spans="1:146" ht="15.75" thickBot="1" x14ac:dyDescent="0.3">
      <c r="B159" s="271"/>
      <c r="G159" s="272"/>
      <c r="H159" s="273"/>
      <c r="I159" s="273"/>
      <c r="J159" s="273"/>
      <c r="K159" s="273"/>
      <c r="L159" s="273"/>
      <c r="M159" s="273"/>
      <c r="N159" s="273"/>
      <c r="O159" s="273"/>
      <c r="P159" s="273"/>
      <c r="Q159" s="273"/>
      <c r="R159" s="273"/>
      <c r="S159" s="274"/>
      <c r="T159" s="275"/>
      <c r="U159" s="276"/>
      <c r="V159" s="277"/>
      <c r="W159" s="273"/>
      <c r="X159" s="273"/>
      <c r="Y159" s="273"/>
      <c r="Z159" s="273"/>
      <c r="AA159" s="273"/>
      <c r="AB159" s="273"/>
      <c r="AC159" s="273"/>
      <c r="AD159" s="278"/>
      <c r="AE159" s="278"/>
      <c r="AF159" s="278"/>
      <c r="AG159" s="278"/>
      <c r="AH159" s="278"/>
      <c r="AI159" s="279"/>
      <c r="AJ159" s="280"/>
      <c r="AK159" s="281"/>
      <c r="AL159" s="278"/>
      <c r="AM159" s="274"/>
      <c r="AN159" s="274"/>
      <c r="AO159" s="274"/>
      <c r="AP159" s="282"/>
      <c r="AQ159" s="282"/>
      <c r="AR159" s="282"/>
      <c r="AS159" s="282"/>
      <c r="AT159" s="283"/>
      <c r="AU159" s="284"/>
      <c r="AV159" s="285"/>
      <c r="AW159" s="286"/>
      <c r="AX159" s="287">
        <f>SUM(Tabla467824[AE])</f>
        <v>1593433.3932700013</v>
      </c>
      <c r="AY159" s="288"/>
      <c r="AZ159" s="282"/>
      <c r="BA159" s="282"/>
      <c r="BB159" s="282"/>
      <c r="BC159" s="271"/>
      <c r="BD159" s="289"/>
      <c r="BE159" s="289"/>
      <c r="BF159" s="289"/>
      <c r="BG159" s="295"/>
      <c r="BH159" s="290">
        <f>+SUM(BH145:BH158,BH48:BH143,BH4:BH46)</f>
        <v>1489516.2144419993</v>
      </c>
      <c r="BI159" s="291"/>
      <c r="BJ159" s="291"/>
      <c r="BK159" s="291"/>
      <c r="BL159" s="291"/>
      <c r="BM159" s="291"/>
    </row>
    <row r="161" spans="5:5" x14ac:dyDescent="0.25">
      <c r="E161" s="178" t="s">
        <v>1113</v>
      </c>
    </row>
  </sheetData>
  <mergeCells count="3">
    <mergeCell ref="AT2:AY2"/>
    <mergeCell ref="BD2:BH2"/>
    <mergeCell ref="BK2:BM2"/>
  </mergeCells>
  <conditionalFormatting sqref="U4:U158">
    <cfRule type="cellIs" dxfId="9" priority="3" operator="lessThan">
      <formula>365</formula>
    </cfRule>
  </conditionalFormatting>
  <conditionalFormatting sqref="BA1:BB1048576">
    <cfRule type="containsText" dxfId="8" priority="2" operator="containsText" text="DISTINTO">
      <formula>NOT(ISERROR(SEARCH("DISTINTO",BA1)))</formula>
    </cfRule>
  </conditionalFormatting>
  <conditionalFormatting sqref="BK2:BM107 BL108:BM108 BK109:BM1048576">
    <cfRule type="containsText" dxfId="7" priority="1" operator="containsText" text="DISTINTO">
      <formula>NOT(ISERROR(SEARCH("DISTINTO",BK2)))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C876-7BA4-4056-B905-90087F1887F8}">
  <sheetPr>
    <tabColor theme="4" tint="0.59999389629810485"/>
  </sheetPr>
  <dimension ref="A1:EP161"/>
  <sheetViews>
    <sheetView tabSelected="1" topLeftCell="B1" zoomScale="70" zoomScaleNormal="85" workbookViewId="0">
      <selection activeCell="U5" sqref="U5"/>
    </sheetView>
  </sheetViews>
  <sheetFormatPr baseColWidth="10" defaultColWidth="11.42578125" defaultRowHeight="15" x14ac:dyDescent="0.25"/>
  <cols>
    <col min="2" max="2" width="17.7109375" style="178" customWidth="1"/>
    <col min="3" max="3" width="10.85546875" style="178"/>
    <col min="4" max="4" width="16.42578125" style="178" customWidth="1"/>
    <col min="5" max="6" width="24" style="178" bestFit="1" customWidth="1"/>
    <col min="7" max="7" width="11.140625" style="178" customWidth="1"/>
    <col min="8" max="8" width="10.85546875" style="178" customWidth="1"/>
    <col min="9" max="10" width="16.140625" style="178" customWidth="1"/>
    <col min="11" max="11" width="10.85546875" style="178" customWidth="1"/>
    <col min="12" max="12" width="14.42578125" style="178" customWidth="1"/>
    <col min="13" max="13" width="21.7109375" style="178" customWidth="1"/>
    <col min="14" max="14" width="11.85546875" style="178" customWidth="1"/>
    <col min="15" max="15" width="23.5703125" style="178" customWidth="1"/>
    <col min="16" max="16" width="20.7109375" style="178" customWidth="1"/>
    <col min="17" max="17" width="22.5703125" style="178" customWidth="1"/>
    <col min="18" max="18" width="26.7109375" style="178" customWidth="1"/>
    <col min="19" max="19" width="13.5703125" style="178" customWidth="1"/>
    <col min="20" max="20" width="17.28515625" style="178" customWidth="1"/>
    <col min="21" max="21" width="19.42578125" style="178" bestFit="1" customWidth="1"/>
    <col min="22" max="22" width="14.28515625" style="178" customWidth="1"/>
    <col min="23" max="23" width="10.85546875" style="178" customWidth="1"/>
    <col min="24" max="24" width="16.42578125" style="178" customWidth="1"/>
    <col min="25" max="25" width="14" style="178" customWidth="1"/>
    <col min="26" max="26" width="10.85546875" style="178" customWidth="1"/>
    <col min="27" max="27" width="15.5703125" style="178" customWidth="1"/>
    <col min="28" max="28" width="14.42578125" style="178" customWidth="1"/>
    <col min="29" max="29" width="10.85546875" style="178" customWidth="1"/>
    <col min="30" max="30" width="12.140625" style="178" customWidth="1"/>
    <col min="31" max="31" width="11.140625" style="178" customWidth="1"/>
    <col min="32" max="32" width="17.5703125" style="178" customWidth="1"/>
    <col min="33" max="33" width="10.85546875" style="178" customWidth="1"/>
    <col min="34" max="34" width="26" style="178" customWidth="1"/>
    <col min="35" max="35" width="15.42578125" style="178" customWidth="1"/>
    <col min="36" max="36" width="13.42578125" style="178" bestFit="1" customWidth="1"/>
    <col min="37" max="37" width="15.42578125" style="178" customWidth="1"/>
    <col min="38" max="38" width="19.140625" style="178" customWidth="1"/>
    <col min="39" max="39" width="11.85546875" style="178" customWidth="1"/>
    <col min="40" max="40" width="16.42578125" style="178" customWidth="1"/>
    <col min="41" max="41" width="10.85546875" style="178" customWidth="1"/>
    <col min="42" max="42" width="12.42578125" style="178" customWidth="1"/>
    <col min="43" max="43" width="16.42578125" style="178" customWidth="1"/>
    <col min="44" max="44" width="10.85546875" style="178" customWidth="1"/>
    <col min="45" max="45" width="30.28515625" style="178" bestFit="1" customWidth="1"/>
    <col min="46" max="46" width="17.5703125" style="178" customWidth="1"/>
    <col min="47" max="47" width="12.5703125" style="178" bestFit="1" customWidth="1"/>
    <col min="48" max="49" width="10.85546875" style="178" customWidth="1"/>
    <col min="50" max="50" width="9.42578125" style="178" customWidth="1"/>
    <col min="51" max="51" width="16.28515625" style="178" customWidth="1"/>
    <col min="52" max="52" width="11.85546875" style="178" customWidth="1"/>
    <col min="53" max="53" width="22.42578125" style="178" customWidth="1"/>
    <col min="54" max="54" width="16.42578125" style="178" customWidth="1"/>
    <col min="55" max="55" width="19" style="178" customWidth="1"/>
    <col min="56" max="59" width="10.85546875" style="178"/>
    <col min="60" max="60" width="17.28515625" style="178" bestFit="1" customWidth="1"/>
    <col min="61" max="61" width="41.42578125" style="178" bestFit="1" customWidth="1"/>
    <col min="62" max="65" width="10.85546875" style="178"/>
  </cols>
  <sheetData>
    <row r="1" spans="1:65" x14ac:dyDescent="0.25">
      <c r="V1" s="363" t="s">
        <v>170</v>
      </c>
    </row>
    <row r="2" spans="1:65" x14ac:dyDescent="0.25">
      <c r="D2" s="178" t="s">
        <v>0</v>
      </c>
      <c r="E2" s="178" t="s">
        <v>1</v>
      </c>
      <c r="AU2" s="372" t="s">
        <v>2</v>
      </c>
      <c r="AV2" s="373"/>
      <c r="AW2" s="373"/>
      <c r="AX2" s="373"/>
      <c r="AY2" s="373"/>
      <c r="AZ2" s="374"/>
      <c r="BD2" s="375" t="s">
        <v>3</v>
      </c>
      <c r="BE2" s="376"/>
      <c r="BF2" s="376"/>
      <c r="BG2" s="376"/>
      <c r="BH2" s="377"/>
      <c r="BK2" s="371"/>
      <c r="BL2" s="371"/>
      <c r="BM2" s="371"/>
    </row>
    <row r="3" spans="1:65" x14ac:dyDescent="0.25">
      <c r="B3" s="179" t="s">
        <v>4</v>
      </c>
      <c r="C3" s="179" t="s">
        <v>5</v>
      </c>
      <c r="D3" s="180" t="s">
        <v>6</v>
      </c>
      <c r="E3" s="180" t="s">
        <v>7</v>
      </c>
      <c r="F3" s="180" t="s">
        <v>8</v>
      </c>
      <c r="G3" s="180" t="s">
        <v>9</v>
      </c>
      <c r="H3" s="181" t="s">
        <v>10</v>
      </c>
      <c r="I3" s="181" t="s">
        <v>11</v>
      </c>
      <c r="J3" s="181" t="s">
        <v>12</v>
      </c>
      <c r="K3" s="181" t="s">
        <v>13</v>
      </c>
      <c r="L3" s="181" t="s">
        <v>14</v>
      </c>
      <c r="M3" s="181" t="s">
        <v>15</v>
      </c>
      <c r="N3" s="181" t="s">
        <v>16</v>
      </c>
      <c r="O3" s="182" t="s">
        <v>17</v>
      </c>
      <c r="P3" s="182" t="s">
        <v>18</v>
      </c>
      <c r="Q3" s="182" t="s">
        <v>19</v>
      </c>
      <c r="R3" s="183" t="s">
        <v>20</v>
      </c>
      <c r="S3" s="184" t="s">
        <v>21</v>
      </c>
      <c r="T3" s="185" t="s">
        <v>22</v>
      </c>
      <c r="U3" s="186" t="s">
        <v>1114</v>
      </c>
      <c r="V3" s="186" t="s">
        <v>23</v>
      </c>
      <c r="W3" s="186" t="s">
        <v>24</v>
      </c>
      <c r="X3" s="181" t="s">
        <v>25</v>
      </c>
      <c r="Y3" s="182" t="s">
        <v>26</v>
      </c>
      <c r="Z3" s="182" t="s">
        <v>27</v>
      </c>
      <c r="AA3" s="182" t="s">
        <v>28</v>
      </c>
      <c r="AB3" s="182" t="s">
        <v>29</v>
      </c>
      <c r="AC3" s="182" t="s">
        <v>30</v>
      </c>
      <c r="AD3" s="182" t="s">
        <v>31</v>
      </c>
      <c r="AE3" s="187" t="s">
        <v>32</v>
      </c>
      <c r="AF3" s="188" t="s">
        <v>33</v>
      </c>
      <c r="AG3" s="189" t="s">
        <v>34</v>
      </c>
      <c r="AH3" s="189" t="s">
        <v>35</v>
      </c>
      <c r="AI3" s="189" t="s">
        <v>36</v>
      </c>
      <c r="AJ3" s="190" t="s">
        <v>37</v>
      </c>
      <c r="AK3" s="185" t="s">
        <v>38</v>
      </c>
      <c r="AL3" s="188" t="s">
        <v>39</v>
      </c>
      <c r="AM3" s="191" t="s">
        <v>40</v>
      </c>
      <c r="AN3" s="190" t="s">
        <v>41</v>
      </c>
      <c r="AO3" s="190" t="s">
        <v>42</v>
      </c>
      <c r="AP3" s="190" t="s">
        <v>43</v>
      </c>
      <c r="AQ3" s="192" t="s">
        <v>44</v>
      </c>
      <c r="AR3" s="192" t="s">
        <v>45</v>
      </c>
      <c r="AS3" s="192" t="s">
        <v>46</v>
      </c>
      <c r="AT3" s="192" t="s">
        <v>47</v>
      </c>
      <c r="AU3" s="193" t="s">
        <v>48</v>
      </c>
      <c r="AV3" s="194" t="s">
        <v>1115</v>
      </c>
      <c r="AW3" s="194" t="s">
        <v>50</v>
      </c>
      <c r="AX3" s="195" t="s">
        <v>51</v>
      </c>
      <c r="AY3" s="195" t="s">
        <v>52</v>
      </c>
      <c r="AZ3" s="196" t="s">
        <v>53</v>
      </c>
      <c r="BA3" s="197" t="s">
        <v>54</v>
      </c>
      <c r="BB3" s="198" t="s">
        <v>55</v>
      </c>
      <c r="BC3" s="198" t="s">
        <v>56</v>
      </c>
      <c r="BD3" s="199" t="s">
        <v>58</v>
      </c>
      <c r="BE3" s="199" t="s">
        <v>59</v>
      </c>
      <c r="BF3" s="199" t="s">
        <v>60</v>
      </c>
      <c r="BG3" s="199" t="s">
        <v>61</v>
      </c>
      <c r="BH3" s="199" t="s">
        <v>62</v>
      </c>
      <c r="BI3" s="198" t="s">
        <v>63</v>
      </c>
      <c r="BJ3" s="198" t="s">
        <v>64</v>
      </c>
      <c r="BK3" s="200" t="s">
        <v>65</v>
      </c>
      <c r="BL3" s="200" t="s">
        <v>66</v>
      </c>
      <c r="BM3" s="201" t="s">
        <v>67</v>
      </c>
    </row>
    <row r="4" spans="1:65" ht="14.1" customHeight="1" x14ac:dyDescent="0.25">
      <c r="A4">
        <v>1</v>
      </c>
      <c r="B4" s="202" t="s">
        <v>68</v>
      </c>
      <c r="C4" s="203" t="s">
        <v>69</v>
      </c>
      <c r="D4" s="203" t="s">
        <v>70</v>
      </c>
      <c r="E4" s="203" t="s">
        <v>71</v>
      </c>
      <c r="F4" s="203" t="s">
        <v>71</v>
      </c>
      <c r="G4" s="203" t="s">
        <v>70</v>
      </c>
      <c r="H4" s="203" t="s">
        <v>72</v>
      </c>
      <c r="I4" s="203" t="s">
        <v>72</v>
      </c>
      <c r="J4" s="203" t="s">
        <v>72</v>
      </c>
      <c r="K4" s="203"/>
      <c r="L4" s="203" t="s">
        <v>72</v>
      </c>
      <c r="M4" s="203" t="s">
        <v>72</v>
      </c>
      <c r="N4" s="203"/>
      <c r="O4" s="203" t="s">
        <v>73</v>
      </c>
      <c r="P4" s="203" t="s">
        <v>74</v>
      </c>
      <c r="Q4" s="203" t="s">
        <v>75</v>
      </c>
      <c r="R4" s="203" t="s">
        <v>76</v>
      </c>
      <c r="S4" s="204">
        <v>45286</v>
      </c>
      <c r="T4" s="205">
        <v>45322</v>
      </c>
      <c r="U4" s="205">
        <f>VLOOKUP(Tabla46782[[#This Row],[Matricula]],BAJA2022202320242025!$B$3:$CR$245,95,FALSE)</f>
        <v>45322</v>
      </c>
      <c r="V4" s="206">
        <v>36</v>
      </c>
      <c r="W4" s="207">
        <v>2024</v>
      </c>
      <c r="X4" s="203" t="s">
        <v>77</v>
      </c>
      <c r="Y4" s="203" t="s">
        <v>78</v>
      </c>
      <c r="Z4" s="203" t="s">
        <v>79</v>
      </c>
      <c r="AA4" s="203" t="s">
        <v>80</v>
      </c>
      <c r="AB4" s="203" t="s">
        <v>81</v>
      </c>
      <c r="AC4" s="203" t="s">
        <v>82</v>
      </c>
      <c r="AD4" s="203" t="s">
        <v>83</v>
      </c>
      <c r="AE4" s="208">
        <v>1</v>
      </c>
      <c r="AF4" s="208" t="s">
        <v>84</v>
      </c>
      <c r="AG4" s="208" t="s">
        <v>85</v>
      </c>
      <c r="AH4" s="208" t="s">
        <v>86</v>
      </c>
      <c r="AI4" s="208" t="s">
        <v>87</v>
      </c>
      <c r="AJ4" s="208" t="s">
        <v>88</v>
      </c>
      <c r="AK4" s="205" t="s">
        <v>89</v>
      </c>
      <c r="AL4" s="204">
        <v>45625</v>
      </c>
      <c r="AM4" s="208">
        <v>0</v>
      </c>
      <c r="AN4" s="209" t="s">
        <v>81</v>
      </c>
      <c r="AO4" s="209" t="s">
        <v>90</v>
      </c>
      <c r="AP4" s="209" t="s">
        <v>82</v>
      </c>
      <c r="AQ4" s="209"/>
      <c r="AR4" s="209" t="s">
        <v>72</v>
      </c>
      <c r="AS4" s="209" t="s">
        <v>91</v>
      </c>
      <c r="AT4" s="209" t="s">
        <v>92</v>
      </c>
      <c r="AU4" s="210">
        <v>5.0999999999999996</v>
      </c>
      <c r="AV4" s="211">
        <v>10</v>
      </c>
      <c r="AW4" s="212">
        <v>17.3</v>
      </c>
      <c r="AX4" s="213">
        <v>13073</v>
      </c>
      <c r="AY4" s="213">
        <v>4405.6010000000006</v>
      </c>
      <c r="AZ4" s="210" t="s">
        <v>70</v>
      </c>
      <c r="BA4" s="209" t="s">
        <v>93</v>
      </c>
      <c r="BB4" s="214" t="str">
        <f>+IF(Tabla46782[[#This Row],[TIPO VEHÍCULO]]=Tabla46782[[#This Row],[Columna2]], "IGUAL", "DISTINTO")</f>
        <v>IGUAL</v>
      </c>
      <c r="BC4" s="214" t="str">
        <f>+IF(Tabla46782[[#This Row],[Columna4]]=Tabla46782[[#This Row],[Combustible2]], "IGUAL", "DISTINTO")</f>
        <v>DISTINTO</v>
      </c>
      <c r="BD4" s="215" cm="1">
        <f t="array" ref="BD4">IFERROR(INDEX('[1]Anexos FICHA TRA050'!$D$27:$D$44, MATCH(Tabla46782[[#This Row],[Columna5]]&amp;Tabla46782[[#This Row],[Columna4]], '[1]Anexos FICHA TRA050'!$E$27:$E$44&amp;'[1]Anexos FICHA TRA050'!$F$27:$F$44, 0)), "")</f>
        <v>7.89</v>
      </c>
      <c r="BE4" s="215">
        <f>IFERROR(INDEX('[1]Anexos FICHA TRA050'!$B$4:$B$7, MATCH(Tabla46782[[#This Row],[Columna4]], '[1]Anexos FICHA TRA050'!$C$4:$C$7, 0)), "")</f>
        <v>9.19</v>
      </c>
      <c r="BF4" s="215">
        <f>IFERROR(INDEX('[1]Anexos FICHA TRA050'!$C$14:$C$22, MATCH(Tabla46782[[#This Row],[Columna5]], '[1]Anexos FICHA TRA050'!$D$14:$D$22, 0)), "")</f>
        <v>17.920000000000002</v>
      </c>
      <c r="BG4" s="216">
        <f>IFERROR(INDEX('[1]Anexos FICHA TRA050'!$C$49:$C$54, MATCH(Tabla46782[[#This Row],[Columna5]], '[1]Anexos FICHA TRA050'!$D$49:$D$54, 0)), "")</f>
        <v>13073</v>
      </c>
      <c r="BH4" s="217">
        <f>+(((Tabla46782[[#This Row],[CVA2]]*Tabla46782[[#This Row],[f2]])-Tabla46782[[#This Row],[CVN2]])/100)*Tabla46782[[#This Row],[L2]]</f>
        <v>7136.4330429999991</v>
      </c>
      <c r="BI4" s="218"/>
      <c r="BJ4" s="218"/>
      <c r="BK4" s="218" t="str">
        <f>+IF(Tabla46782[[#This Row],[F3]]=Tabla46782[[#This Row],[f2]], "IGUAL", "DISTINTO")</f>
        <v>DISTINTO</v>
      </c>
      <c r="BL4" s="218" t="str">
        <f>+IF(Tabla46782[[#This Row],[CVN]]=Tabla46782[[#This Row],[CVN2]], "IGUAL", "DISTINTO")</f>
        <v>DISTINTO</v>
      </c>
      <c r="BM4" s="219" t="str">
        <f>+IF(Tabla46782[[#This Row],[L]]=Tabla46782[[#This Row],[L2]], "IGUAL", "DISTINTO")</f>
        <v>IGUAL</v>
      </c>
    </row>
    <row r="5" spans="1:65" x14ac:dyDescent="0.25">
      <c r="A5">
        <v>2</v>
      </c>
      <c r="B5" s="202" t="s">
        <v>94</v>
      </c>
      <c r="C5" s="203" t="s">
        <v>95</v>
      </c>
      <c r="D5" s="203" t="s">
        <v>70</v>
      </c>
      <c r="E5" s="203" t="s">
        <v>78</v>
      </c>
      <c r="F5" s="203" t="s">
        <v>78</v>
      </c>
      <c r="G5" s="203" t="s">
        <v>70</v>
      </c>
      <c r="H5" s="203" t="s">
        <v>72</v>
      </c>
      <c r="I5" s="203" t="s">
        <v>72</v>
      </c>
      <c r="J5" s="203" t="s">
        <v>72</v>
      </c>
      <c r="K5" s="203"/>
      <c r="L5" s="203" t="s">
        <v>72</v>
      </c>
      <c r="M5" s="203" t="s">
        <v>72</v>
      </c>
      <c r="N5" s="203"/>
      <c r="O5" s="203" t="s">
        <v>73</v>
      </c>
      <c r="P5" s="203" t="s">
        <v>74</v>
      </c>
      <c r="Q5" s="203" t="s">
        <v>75</v>
      </c>
      <c r="R5" s="203" t="s">
        <v>76</v>
      </c>
      <c r="S5" s="204">
        <v>45282</v>
      </c>
      <c r="T5" s="205">
        <v>45393</v>
      </c>
      <c r="U5" s="205">
        <f>VLOOKUP(Tabla46782[[#This Row],[Matricula]],BAJA2022202320242025!$B$3:$CR$245,95,FALSE)</f>
        <v>45393</v>
      </c>
      <c r="V5" s="206">
        <v>111</v>
      </c>
      <c r="W5" s="207">
        <v>2024</v>
      </c>
      <c r="X5" s="203" t="s">
        <v>77</v>
      </c>
      <c r="Y5" s="203" t="s">
        <v>78</v>
      </c>
      <c r="Z5" s="203" t="s">
        <v>79</v>
      </c>
      <c r="AA5" s="203" t="s">
        <v>80</v>
      </c>
      <c r="AB5" s="203" t="s">
        <v>81</v>
      </c>
      <c r="AC5" s="203" t="s">
        <v>82</v>
      </c>
      <c r="AD5" s="203" t="s">
        <v>83</v>
      </c>
      <c r="AE5" s="208">
        <v>2</v>
      </c>
      <c r="AF5" s="208" t="s">
        <v>96</v>
      </c>
      <c r="AG5" s="208" t="s">
        <v>85</v>
      </c>
      <c r="AH5" s="208" t="s">
        <v>86</v>
      </c>
      <c r="AI5" s="208" t="s">
        <v>87</v>
      </c>
      <c r="AJ5" s="208" t="s">
        <v>88</v>
      </c>
      <c r="AK5" s="205" t="s">
        <v>89</v>
      </c>
      <c r="AL5" s="204">
        <v>45625</v>
      </c>
      <c r="AM5" s="208">
        <v>0</v>
      </c>
      <c r="AN5" s="209" t="s">
        <v>81</v>
      </c>
      <c r="AO5" s="209" t="s">
        <v>97</v>
      </c>
      <c r="AP5" s="209" t="s">
        <v>82</v>
      </c>
      <c r="AQ5" s="209"/>
      <c r="AR5" s="209" t="s">
        <v>72</v>
      </c>
      <c r="AS5" s="209" t="s">
        <v>91</v>
      </c>
      <c r="AT5" s="209" t="s">
        <v>98</v>
      </c>
      <c r="AU5" s="210">
        <v>5.0999999999999996</v>
      </c>
      <c r="AV5" s="211">
        <v>10</v>
      </c>
      <c r="AW5" s="212">
        <v>17.3</v>
      </c>
      <c r="AX5" s="213">
        <v>13073</v>
      </c>
      <c r="AY5" s="213">
        <v>4405.6010000000006</v>
      </c>
      <c r="AZ5" s="210" t="s">
        <v>70</v>
      </c>
      <c r="BA5" s="209" t="s">
        <v>93</v>
      </c>
      <c r="BB5" s="214" t="str">
        <f>+IF(Tabla46782[[#This Row],[TIPO VEHÍCULO]]=Tabla46782[[#This Row],[Columna2]], "IGUAL", "DISTINTO")</f>
        <v>IGUAL</v>
      </c>
      <c r="BC5" s="214" t="str">
        <f>+IF(Tabla46782[[#This Row],[Columna4]]=Tabla46782[[#This Row],[Combustible2]], "IGUAL", "DISTINTO")</f>
        <v>IGUAL</v>
      </c>
      <c r="BD5" s="215" cm="1">
        <f t="array" ref="BD5">IFERROR(INDEX('[1]Anexos FICHA TRA050'!$D$27:$D$44, MATCH(Tabla46782[[#This Row],[Columna5]]&amp;Tabla46782[[#This Row],[Columna4]], '[1]Anexos FICHA TRA050'!$E$27:$E$44&amp;'[1]Anexos FICHA TRA050'!$F$27:$F$44, 0)), "")</f>
        <v>6.99</v>
      </c>
      <c r="BE5" s="215">
        <f>IFERROR(INDEX('[1]Anexos FICHA TRA050'!$B$4:$B$7, MATCH(Tabla46782[[#This Row],[Columna4]], '[1]Anexos FICHA TRA050'!$C$4:$C$7, 0)), "")</f>
        <v>10</v>
      </c>
      <c r="BF5" s="215">
        <f>IFERROR(INDEX('[1]Anexos FICHA TRA050'!$C$14:$C$22, MATCH(Tabla46782[[#This Row],[Columna5]], '[1]Anexos FICHA TRA050'!$D$14:$D$22, 0)), "")</f>
        <v>17.920000000000002</v>
      </c>
      <c r="BG5" s="216">
        <f>IFERROR(INDEX('[1]Anexos FICHA TRA050'!$C$49:$C$54, MATCH(Tabla46782[[#This Row],[Columna5]], '[1]Anexos FICHA TRA050'!$D$49:$D$54, 0)), "")</f>
        <v>13073</v>
      </c>
      <c r="BH5" s="217">
        <f>+(((Tabla46782[[#This Row],[CVA2]]*Tabla46782[[#This Row],[f2]])-Tabla46782[[#This Row],[CVN2]])/100)*Tabla46782[[#This Row],[L2]]</f>
        <v>6795.3454000000002</v>
      </c>
      <c r="BI5" s="218"/>
      <c r="BJ5" s="218"/>
      <c r="BK5" s="218" t="str">
        <f>+IF(Tabla46782[[#This Row],[F3]]=Tabla46782[[#This Row],[f2]], "IGUAL", "DISTINTO")</f>
        <v>IGUAL</v>
      </c>
      <c r="BL5" s="218" t="str">
        <f>+IF(Tabla46782[[#This Row],[CVN]]=Tabla46782[[#This Row],[CVN2]], "IGUAL", "DISTINTO")</f>
        <v>DISTINTO</v>
      </c>
      <c r="BM5" s="219" t="str">
        <f>+IF(Tabla46782[[#This Row],[L]]=Tabla46782[[#This Row],[L2]], "IGUAL", "DISTINTO")</f>
        <v>IGUAL</v>
      </c>
    </row>
    <row r="6" spans="1:65" x14ac:dyDescent="0.25">
      <c r="A6">
        <v>3</v>
      </c>
      <c r="B6" s="202" t="s">
        <v>99</v>
      </c>
      <c r="C6" s="203" t="s">
        <v>100</v>
      </c>
      <c r="D6" s="203" t="s">
        <v>70</v>
      </c>
      <c r="E6" s="203" t="s">
        <v>78</v>
      </c>
      <c r="F6" s="203" t="s">
        <v>78</v>
      </c>
      <c r="G6" s="203" t="s">
        <v>70</v>
      </c>
      <c r="H6" s="203" t="s">
        <v>72</v>
      </c>
      <c r="I6" s="203"/>
      <c r="J6" s="203" t="s">
        <v>72</v>
      </c>
      <c r="K6" s="203"/>
      <c r="L6" s="203" t="s">
        <v>72</v>
      </c>
      <c r="M6" s="203" t="s">
        <v>72</v>
      </c>
      <c r="N6" s="203"/>
      <c r="O6" s="203" t="s">
        <v>73</v>
      </c>
      <c r="P6" s="203" t="s">
        <v>74</v>
      </c>
      <c r="Q6" s="203" t="s">
        <v>75</v>
      </c>
      <c r="R6" s="203" t="s">
        <v>76</v>
      </c>
      <c r="S6" s="204">
        <v>45202</v>
      </c>
      <c r="T6" s="205">
        <v>45259</v>
      </c>
      <c r="U6" s="205">
        <f>VLOOKUP(Tabla46782[[#This Row],[Matricula]],BAJA2022202320242025!$B$3:$CR$245,95,FALSE)</f>
        <v>45259</v>
      </c>
      <c r="V6" s="206">
        <v>57</v>
      </c>
      <c r="W6" s="207">
        <v>2023</v>
      </c>
      <c r="X6" s="203" t="s">
        <v>77</v>
      </c>
      <c r="Y6" s="203" t="s">
        <v>78</v>
      </c>
      <c r="Z6" s="203" t="s">
        <v>79</v>
      </c>
      <c r="AA6" s="203" t="s">
        <v>101</v>
      </c>
      <c r="AB6" s="203" t="s">
        <v>102</v>
      </c>
      <c r="AC6" s="203" t="s">
        <v>103</v>
      </c>
      <c r="AD6" s="203" t="s">
        <v>104</v>
      </c>
      <c r="AE6" s="208">
        <v>1</v>
      </c>
      <c r="AF6" s="208" t="s">
        <v>105</v>
      </c>
      <c r="AG6" s="208" t="s">
        <v>79</v>
      </c>
      <c r="AH6" s="208" t="s">
        <v>106</v>
      </c>
      <c r="AI6" s="208" t="s">
        <v>87</v>
      </c>
      <c r="AJ6" s="208" t="s">
        <v>107</v>
      </c>
      <c r="AK6" s="205" t="s">
        <v>108</v>
      </c>
      <c r="AL6" s="204">
        <v>45133</v>
      </c>
      <c r="AM6" s="208">
        <v>0</v>
      </c>
      <c r="AN6" s="209" t="s">
        <v>102</v>
      </c>
      <c r="AO6" s="210">
        <v>4500370218</v>
      </c>
      <c r="AP6" s="209" t="s">
        <v>103</v>
      </c>
      <c r="AQ6" s="209"/>
      <c r="AR6" s="209" t="s">
        <v>72</v>
      </c>
      <c r="AS6" s="209" t="s">
        <v>109</v>
      </c>
      <c r="AT6" s="209" t="s">
        <v>110</v>
      </c>
      <c r="AU6" s="210">
        <v>5.0999999999999996</v>
      </c>
      <c r="AV6" s="211">
        <v>10</v>
      </c>
      <c r="AW6" s="212">
        <v>28.2</v>
      </c>
      <c r="AX6" s="213">
        <v>13073</v>
      </c>
      <c r="AY6" s="213">
        <v>2980.6440000000002</v>
      </c>
      <c r="AZ6" s="210" t="s">
        <v>70</v>
      </c>
      <c r="BA6" s="209" t="s">
        <v>93</v>
      </c>
      <c r="BB6" s="214" t="str">
        <f>+IF(Tabla46782[[#This Row],[TIPO VEHÍCULO]]=Tabla46782[[#This Row],[Columna2]], "IGUAL", "DISTINTO")</f>
        <v>IGUAL</v>
      </c>
      <c r="BC6" s="214" t="str">
        <f>+IF(Tabla46782[[#This Row],[Columna4]]=Tabla46782[[#This Row],[Combustible2]], "IGUAL", "DISTINTO")</f>
        <v>IGUAL</v>
      </c>
      <c r="BD6" s="215" cm="1">
        <f t="array" ref="BD6">IFERROR(INDEX('[1]Anexos FICHA TRA050'!$D$27:$D$44, MATCH(Tabla46782[[#This Row],[Columna5]]&amp;Tabla46782[[#This Row],[Columna4]], '[1]Anexos FICHA TRA050'!$E$27:$E$44&amp;'[1]Anexos FICHA TRA050'!$F$27:$F$44, 0)), "")</f>
        <v>6.99</v>
      </c>
      <c r="BE6" s="215">
        <f>IFERROR(INDEX('[1]Anexos FICHA TRA050'!$B$4:$B$7, MATCH(Tabla46782[[#This Row],[Columna4]], '[1]Anexos FICHA TRA050'!$C$4:$C$7, 0)), "")</f>
        <v>10</v>
      </c>
      <c r="BF6" s="215">
        <f>IFERROR(INDEX('[1]Anexos FICHA TRA050'!$C$14:$C$22, MATCH(Tabla46782[[#This Row],[Columna5]], '[1]Anexos FICHA TRA050'!$D$14:$D$22, 0)), "")</f>
        <v>17.920000000000002</v>
      </c>
      <c r="BG6" s="216">
        <f>IFERROR(INDEX('[1]Anexos FICHA TRA050'!$C$49:$C$54, MATCH(Tabla46782[[#This Row],[Columna5]], '[1]Anexos FICHA TRA050'!$D$49:$D$54, 0)), "")</f>
        <v>13073</v>
      </c>
      <c r="BH6" s="217">
        <f>+(((Tabla46782[[#This Row],[CVA2]]*Tabla46782[[#This Row],[f2]])-Tabla46782[[#This Row],[CVN2]])/100)*Tabla46782[[#This Row],[L2]]</f>
        <v>6795.3454000000002</v>
      </c>
      <c r="BI6" s="218"/>
      <c r="BJ6" s="218"/>
      <c r="BK6" s="218" t="str">
        <f>+IF(Tabla46782[[#This Row],[F3]]=Tabla46782[[#This Row],[f2]], "IGUAL", "DISTINTO")</f>
        <v>IGUAL</v>
      </c>
      <c r="BL6" s="218" t="str">
        <f>+IF(Tabla46782[[#This Row],[CVN]]=Tabla46782[[#This Row],[CVN2]], "IGUAL", "DISTINTO")</f>
        <v>DISTINTO</v>
      </c>
      <c r="BM6" s="219" t="str">
        <f>+IF(Tabla46782[[#This Row],[L]]=Tabla46782[[#This Row],[L2]], "IGUAL", "DISTINTO")</f>
        <v>IGUAL</v>
      </c>
    </row>
    <row r="7" spans="1:65" x14ac:dyDescent="0.25">
      <c r="A7">
        <v>4</v>
      </c>
      <c r="B7" s="202" t="s">
        <v>111</v>
      </c>
      <c r="C7" s="203" t="s">
        <v>112</v>
      </c>
      <c r="D7" s="203" t="s">
        <v>70</v>
      </c>
      <c r="E7" s="203" t="s">
        <v>78</v>
      </c>
      <c r="F7" s="203" t="s">
        <v>78</v>
      </c>
      <c r="G7" s="203" t="s">
        <v>70</v>
      </c>
      <c r="H7" s="203" t="s">
        <v>72</v>
      </c>
      <c r="I7" s="203" t="s">
        <v>72</v>
      </c>
      <c r="J7" s="203" t="s">
        <v>72</v>
      </c>
      <c r="K7" s="203"/>
      <c r="L7" s="203" t="s">
        <v>72</v>
      </c>
      <c r="M7" s="203" t="s">
        <v>72</v>
      </c>
      <c r="N7" s="203"/>
      <c r="O7" s="203" t="s">
        <v>73</v>
      </c>
      <c r="P7" s="203" t="s">
        <v>74</v>
      </c>
      <c r="Q7" s="203" t="s">
        <v>75</v>
      </c>
      <c r="R7" s="203" t="s">
        <v>76</v>
      </c>
      <c r="S7" s="204">
        <v>45202</v>
      </c>
      <c r="T7" s="205">
        <v>45261</v>
      </c>
      <c r="U7" s="205">
        <f>VLOOKUP(Tabla46782[[#This Row],[Matricula]],BAJA2022202320242025!$B$3:$CR$245,95,FALSE)</f>
        <v>45383</v>
      </c>
      <c r="V7" s="206">
        <v>59</v>
      </c>
      <c r="W7" s="207">
        <v>2023</v>
      </c>
      <c r="X7" s="203" t="s">
        <v>77</v>
      </c>
      <c r="Y7" s="203" t="s">
        <v>78</v>
      </c>
      <c r="Z7" s="203" t="s">
        <v>79</v>
      </c>
      <c r="AA7" s="203" t="s">
        <v>101</v>
      </c>
      <c r="AB7" s="203" t="s">
        <v>102</v>
      </c>
      <c r="AC7" s="203" t="s">
        <v>103</v>
      </c>
      <c r="AD7" s="203" t="s">
        <v>104</v>
      </c>
      <c r="AE7" s="208">
        <v>2</v>
      </c>
      <c r="AF7" s="208" t="s">
        <v>113</v>
      </c>
      <c r="AG7" s="208" t="s">
        <v>85</v>
      </c>
      <c r="AH7" s="208" t="s">
        <v>114</v>
      </c>
      <c r="AI7" s="208" t="s">
        <v>87</v>
      </c>
      <c r="AJ7" s="208" t="s">
        <v>115</v>
      </c>
      <c r="AK7" s="205" t="s">
        <v>108</v>
      </c>
      <c r="AL7" s="204">
        <v>44994</v>
      </c>
      <c r="AM7" s="208">
        <v>0</v>
      </c>
      <c r="AN7" s="209" t="s">
        <v>102</v>
      </c>
      <c r="AO7" s="210">
        <v>4500351521</v>
      </c>
      <c r="AP7" s="209" t="s">
        <v>103</v>
      </c>
      <c r="AQ7" s="209"/>
      <c r="AR7" s="209" t="s">
        <v>72</v>
      </c>
      <c r="AS7" s="209" t="s">
        <v>109</v>
      </c>
      <c r="AT7" s="209" t="s">
        <v>116</v>
      </c>
      <c r="AU7" s="210">
        <v>5.0999999999999996</v>
      </c>
      <c r="AV7" s="211">
        <v>10</v>
      </c>
      <c r="AW7" s="212">
        <v>17.3</v>
      </c>
      <c r="AX7" s="213">
        <v>13073</v>
      </c>
      <c r="AY7" s="213">
        <v>4405.6010000000006</v>
      </c>
      <c r="AZ7" s="210" t="s">
        <v>70</v>
      </c>
      <c r="BA7" s="209" t="s">
        <v>93</v>
      </c>
      <c r="BB7" s="214" t="str">
        <f>+IF(Tabla46782[[#This Row],[TIPO VEHÍCULO]]=Tabla46782[[#This Row],[Columna2]], "IGUAL", "DISTINTO")</f>
        <v>IGUAL</v>
      </c>
      <c r="BC7" s="214" t="str">
        <f>+IF(Tabla46782[[#This Row],[Columna4]]=Tabla46782[[#This Row],[Combustible2]], "IGUAL", "DISTINTO")</f>
        <v>IGUAL</v>
      </c>
      <c r="BD7" s="215" cm="1">
        <f t="array" ref="BD7">IFERROR(INDEX('[1]Anexos FICHA TRA050'!$D$27:$D$44, MATCH(Tabla46782[[#This Row],[Columna5]]&amp;Tabla46782[[#This Row],[Columna4]], '[1]Anexos FICHA TRA050'!$E$27:$E$44&amp;'[1]Anexos FICHA TRA050'!$F$27:$F$44, 0)), "")</f>
        <v>6.99</v>
      </c>
      <c r="BE7" s="215">
        <f>IFERROR(INDEX('[1]Anexos FICHA TRA050'!$B$4:$B$7, MATCH(Tabla46782[[#This Row],[Columna4]], '[1]Anexos FICHA TRA050'!$C$4:$C$7, 0)), "")</f>
        <v>10</v>
      </c>
      <c r="BF7" s="215">
        <f>IFERROR(INDEX('[1]Anexos FICHA TRA050'!$C$14:$C$22, MATCH(Tabla46782[[#This Row],[Columna5]], '[1]Anexos FICHA TRA050'!$D$14:$D$22, 0)), "")</f>
        <v>17.920000000000002</v>
      </c>
      <c r="BG7" s="216">
        <f>IFERROR(INDEX('[1]Anexos FICHA TRA050'!$C$49:$C$54, MATCH(Tabla46782[[#This Row],[Columna5]], '[1]Anexos FICHA TRA050'!$D$49:$D$54, 0)), "")</f>
        <v>13073</v>
      </c>
      <c r="BH7" s="217">
        <f>+(((Tabla46782[[#This Row],[CVA2]]*Tabla46782[[#This Row],[f2]])-Tabla46782[[#This Row],[CVN2]])/100)*Tabla46782[[#This Row],[L2]]</f>
        <v>6795.3454000000002</v>
      </c>
      <c r="BI7" s="218"/>
      <c r="BJ7" s="218"/>
      <c r="BK7" s="218" t="str">
        <f>+IF(Tabla46782[[#This Row],[F3]]=Tabla46782[[#This Row],[f2]], "IGUAL", "DISTINTO")</f>
        <v>IGUAL</v>
      </c>
      <c r="BL7" s="218" t="str">
        <f>+IF(Tabla46782[[#This Row],[CVN]]=Tabla46782[[#This Row],[CVN2]], "IGUAL", "DISTINTO")</f>
        <v>DISTINTO</v>
      </c>
      <c r="BM7" s="219" t="str">
        <f>+IF(Tabla46782[[#This Row],[L]]=Tabla46782[[#This Row],[L2]], "IGUAL", "DISTINTO")</f>
        <v>IGUAL</v>
      </c>
    </row>
    <row r="8" spans="1:65" x14ac:dyDescent="0.25">
      <c r="A8">
        <v>5</v>
      </c>
      <c r="B8" s="202" t="s">
        <v>117</v>
      </c>
      <c r="C8" s="203" t="s">
        <v>118</v>
      </c>
      <c r="D8" s="203" t="s">
        <v>70</v>
      </c>
      <c r="E8" s="203" t="s">
        <v>78</v>
      </c>
      <c r="F8" s="203" t="s">
        <v>78</v>
      </c>
      <c r="G8" s="203" t="s">
        <v>70</v>
      </c>
      <c r="H8" s="203" t="s">
        <v>72</v>
      </c>
      <c r="I8" s="203"/>
      <c r="J8" s="203" t="s">
        <v>72</v>
      </c>
      <c r="K8" s="203"/>
      <c r="L8" s="203" t="s">
        <v>72</v>
      </c>
      <c r="M8" s="203" t="s">
        <v>72</v>
      </c>
      <c r="N8" s="203"/>
      <c r="O8" s="203" t="s">
        <v>73</v>
      </c>
      <c r="P8" s="203" t="s">
        <v>74</v>
      </c>
      <c r="Q8" s="203" t="s">
        <v>75</v>
      </c>
      <c r="R8" s="203" t="s">
        <v>76</v>
      </c>
      <c r="S8" s="204">
        <v>45397</v>
      </c>
      <c r="T8" s="205">
        <v>45414</v>
      </c>
      <c r="U8" s="205">
        <f>VLOOKUP(Tabla46782[[#This Row],[Matricula]],BAJA2022202320242025!$B$3:$CR$245,95,FALSE)</f>
        <v>45414</v>
      </c>
      <c r="V8" s="206">
        <v>17</v>
      </c>
      <c r="W8" s="207">
        <v>2024</v>
      </c>
      <c r="X8" s="203" t="s">
        <v>77</v>
      </c>
      <c r="Y8" s="203" t="s">
        <v>78</v>
      </c>
      <c r="Z8" s="203" t="s">
        <v>79</v>
      </c>
      <c r="AA8" s="203" t="s">
        <v>101</v>
      </c>
      <c r="AB8" s="203" t="s">
        <v>119</v>
      </c>
      <c r="AC8" s="203" t="s">
        <v>120</v>
      </c>
      <c r="AD8" s="203" t="s">
        <v>121</v>
      </c>
      <c r="AE8" s="208">
        <v>1</v>
      </c>
      <c r="AF8" s="208" t="s">
        <v>122</v>
      </c>
      <c r="AG8" s="208" t="s">
        <v>85</v>
      </c>
      <c r="AH8" s="208" t="s">
        <v>86</v>
      </c>
      <c r="AI8" s="208" t="s">
        <v>87</v>
      </c>
      <c r="AJ8" s="208" t="s">
        <v>123</v>
      </c>
      <c r="AK8" s="205" t="s">
        <v>89</v>
      </c>
      <c r="AL8" s="204">
        <v>45645</v>
      </c>
      <c r="AM8" s="208">
        <v>0</v>
      </c>
      <c r="AN8" s="209" t="s">
        <v>119</v>
      </c>
      <c r="AO8" s="209" t="s">
        <v>124</v>
      </c>
      <c r="AP8" s="209" t="s">
        <v>120</v>
      </c>
      <c r="AQ8" s="209"/>
      <c r="AR8" s="209" t="s">
        <v>72</v>
      </c>
      <c r="AS8" s="209" t="s">
        <v>91</v>
      </c>
      <c r="AT8" s="209" t="s">
        <v>125</v>
      </c>
      <c r="AU8" s="210">
        <v>5.0999999999999996</v>
      </c>
      <c r="AV8" s="211">
        <v>10</v>
      </c>
      <c r="AW8" s="212">
        <v>17.3</v>
      </c>
      <c r="AX8" s="213">
        <v>13073</v>
      </c>
      <c r="AY8" s="213">
        <v>4405.6010000000006</v>
      </c>
      <c r="AZ8" s="210" t="s">
        <v>70</v>
      </c>
      <c r="BA8" s="209" t="s">
        <v>93</v>
      </c>
      <c r="BB8" s="214" t="str">
        <f>+IF(Tabla46782[[#This Row],[TIPO VEHÍCULO]]=Tabla46782[[#This Row],[Columna2]], "IGUAL", "DISTINTO")</f>
        <v>IGUAL</v>
      </c>
      <c r="BC8" s="214" t="str">
        <f>+IF(Tabla46782[[#This Row],[Columna4]]=Tabla46782[[#This Row],[Combustible2]], "IGUAL", "DISTINTO")</f>
        <v>IGUAL</v>
      </c>
      <c r="BD8" s="215" cm="1">
        <f t="array" ref="BD8">IFERROR(INDEX('[1]Anexos FICHA TRA050'!$D$27:$D$44, MATCH(Tabla46782[[#This Row],[Columna5]]&amp;Tabla46782[[#This Row],[Columna4]], '[1]Anexos FICHA TRA050'!$E$27:$E$44&amp;'[1]Anexos FICHA TRA050'!$F$27:$F$44, 0)), "")</f>
        <v>6.99</v>
      </c>
      <c r="BE8" s="215">
        <f>IFERROR(INDEX('[1]Anexos FICHA TRA050'!$B$4:$B$7, MATCH(Tabla46782[[#This Row],[Columna4]], '[1]Anexos FICHA TRA050'!$C$4:$C$7, 0)), "")</f>
        <v>10</v>
      </c>
      <c r="BF8" s="215">
        <f>IFERROR(INDEX('[1]Anexos FICHA TRA050'!$C$14:$C$22, MATCH(Tabla46782[[#This Row],[Columna5]], '[1]Anexos FICHA TRA050'!$D$14:$D$22, 0)), "")</f>
        <v>17.920000000000002</v>
      </c>
      <c r="BG8" s="216">
        <f>IFERROR(INDEX('[1]Anexos FICHA TRA050'!$C$49:$C$54, MATCH(Tabla46782[[#This Row],[Columna5]], '[1]Anexos FICHA TRA050'!$D$49:$D$54, 0)), "")</f>
        <v>13073</v>
      </c>
      <c r="BH8" s="217">
        <f>+(((Tabla46782[[#This Row],[CVA2]]*Tabla46782[[#This Row],[f2]])-Tabla46782[[#This Row],[CVN2]])/100)*Tabla46782[[#This Row],[L2]]</f>
        <v>6795.3454000000002</v>
      </c>
      <c r="BI8" s="218"/>
      <c r="BJ8" s="218"/>
      <c r="BK8" s="218" t="str">
        <f>+IF(Tabla46782[[#This Row],[F3]]=Tabla46782[[#This Row],[f2]], "IGUAL", "DISTINTO")</f>
        <v>IGUAL</v>
      </c>
      <c r="BL8" s="218" t="str">
        <f>+IF(Tabla46782[[#This Row],[CVN]]=Tabla46782[[#This Row],[CVN2]], "IGUAL", "DISTINTO")</f>
        <v>DISTINTO</v>
      </c>
      <c r="BM8" s="219" t="str">
        <f>+IF(Tabla46782[[#This Row],[L]]=Tabla46782[[#This Row],[L2]], "IGUAL", "DISTINTO")</f>
        <v>IGUAL</v>
      </c>
    </row>
    <row r="9" spans="1:65" x14ac:dyDescent="0.25">
      <c r="A9">
        <v>6</v>
      </c>
      <c r="B9" s="202" t="s">
        <v>126</v>
      </c>
      <c r="C9" s="203" t="s">
        <v>127</v>
      </c>
      <c r="D9" s="203" t="s">
        <v>128</v>
      </c>
      <c r="E9" s="203" t="s">
        <v>78</v>
      </c>
      <c r="F9" s="203" t="s">
        <v>78</v>
      </c>
      <c r="G9" s="203" t="s">
        <v>128</v>
      </c>
      <c r="H9" s="203" t="s">
        <v>72</v>
      </c>
      <c r="I9" s="203"/>
      <c r="J9" s="203" t="s">
        <v>72</v>
      </c>
      <c r="K9" s="203"/>
      <c r="L9" s="203" t="s">
        <v>72</v>
      </c>
      <c r="M9" s="203" t="s">
        <v>72</v>
      </c>
      <c r="N9" s="203"/>
      <c r="O9" s="203" t="s">
        <v>129</v>
      </c>
      <c r="P9" s="203" t="s">
        <v>74</v>
      </c>
      <c r="Q9" s="203" t="s">
        <v>75</v>
      </c>
      <c r="R9" s="203" t="s">
        <v>76</v>
      </c>
      <c r="S9" s="204">
        <v>45447</v>
      </c>
      <c r="T9" s="205">
        <v>45657</v>
      </c>
      <c r="U9" s="205">
        <f>VLOOKUP(Tabla46782[[#This Row],[Matricula]],BAJA2022202320242025!$B$3:$CR$245,95,FALSE)</f>
        <v>45747</v>
      </c>
      <c r="V9" s="206">
        <v>210</v>
      </c>
      <c r="W9" s="207">
        <v>2024</v>
      </c>
      <c r="X9" s="203" t="s">
        <v>77</v>
      </c>
      <c r="Y9" s="203" t="s">
        <v>78</v>
      </c>
      <c r="Z9" s="203" t="s">
        <v>79</v>
      </c>
      <c r="AA9" s="203" t="s">
        <v>130</v>
      </c>
      <c r="AB9" s="203" t="s">
        <v>131</v>
      </c>
      <c r="AC9" s="203" t="s">
        <v>132</v>
      </c>
      <c r="AD9" s="203" t="s">
        <v>133</v>
      </c>
      <c r="AE9" s="208">
        <v>1</v>
      </c>
      <c r="AF9" s="208" t="s">
        <v>134</v>
      </c>
      <c r="AG9" s="208" t="s">
        <v>85</v>
      </c>
      <c r="AH9" s="208" t="s">
        <v>86</v>
      </c>
      <c r="AI9" s="208" t="s">
        <v>87</v>
      </c>
      <c r="AJ9" s="208" t="s">
        <v>135</v>
      </c>
      <c r="AK9" s="205" t="s">
        <v>89</v>
      </c>
      <c r="AL9" s="204">
        <v>45625</v>
      </c>
      <c r="AM9" s="208">
        <v>0</v>
      </c>
      <c r="AN9" s="209" t="s">
        <v>131</v>
      </c>
      <c r="AO9" s="209" t="s">
        <v>136</v>
      </c>
      <c r="AP9" s="209" t="s">
        <v>132</v>
      </c>
      <c r="AQ9" s="209"/>
      <c r="AR9" s="209" t="s">
        <v>72</v>
      </c>
      <c r="AS9" s="209" t="s">
        <v>91</v>
      </c>
      <c r="AT9" s="209" t="s">
        <v>137</v>
      </c>
      <c r="AU9" s="210">
        <v>5.6</v>
      </c>
      <c r="AV9" s="211">
        <v>10</v>
      </c>
      <c r="AW9" s="212">
        <v>17.3</v>
      </c>
      <c r="AX9" s="213">
        <v>15815</v>
      </c>
      <c r="AY9" s="213">
        <v>6120.4049999999997</v>
      </c>
      <c r="AZ9" s="210" t="s">
        <v>128</v>
      </c>
      <c r="BA9" s="209" t="s">
        <v>93</v>
      </c>
      <c r="BB9" s="214" t="str">
        <f>+IF(Tabla46782[[#This Row],[TIPO VEHÍCULO]]=Tabla46782[[#This Row],[Columna2]], "IGUAL", "DISTINTO")</f>
        <v>IGUAL</v>
      </c>
      <c r="BC9" s="214" t="str">
        <f>+IF(Tabla46782[[#This Row],[Columna4]]=Tabla46782[[#This Row],[Combustible2]], "IGUAL", "DISTINTO")</f>
        <v>IGUAL</v>
      </c>
      <c r="BD9" s="215" cm="1">
        <f t="array" ref="BD9">IFERROR(INDEX('[1]Anexos FICHA TRA050'!$D$27:$D$44, MATCH(Tabla46782[[#This Row],[Columna5]]&amp;Tabla46782[[#This Row],[Columna4]], '[1]Anexos FICHA TRA050'!$E$27:$E$44&amp;'[1]Anexos FICHA TRA050'!$F$27:$F$44, 0)), "")</f>
        <v>5.63</v>
      </c>
      <c r="BE9" s="215">
        <f>IFERROR(INDEX('[1]Anexos FICHA TRA050'!$B$4:$B$7, MATCH(Tabla46782[[#This Row],[Columna4]], '[1]Anexos FICHA TRA050'!$C$4:$C$7, 0)), "")</f>
        <v>10</v>
      </c>
      <c r="BF9" s="215">
        <f>IFERROR(INDEX('[1]Anexos FICHA TRA050'!$C$14:$C$22, MATCH(Tabla46782[[#This Row],[Columna5]], '[1]Anexos FICHA TRA050'!$D$14:$D$22, 0)), "")</f>
        <v>20.84</v>
      </c>
      <c r="BG9" s="216">
        <f>IFERROR(INDEX('[1]Anexos FICHA TRA050'!$C$49:$C$54, MATCH(Tabla46782[[#This Row],[Columna5]], '[1]Anexos FICHA TRA050'!$D$49:$D$54, 0)), "")</f>
        <v>15815</v>
      </c>
      <c r="BH9" s="217">
        <f>+(((Tabla46782[[#This Row],[CVA2]]*Tabla46782[[#This Row],[f2]])-Tabla46782[[#This Row],[CVN2]])/100)*Tabla46782[[#This Row],[L2]]</f>
        <v>5607.9989999999989</v>
      </c>
      <c r="BI9" s="218"/>
      <c r="BJ9" s="218"/>
      <c r="BK9" s="218" t="str">
        <f>+IF(Tabla46782[[#This Row],[F3]]=Tabla46782[[#This Row],[f2]], "IGUAL", "DISTINTO")</f>
        <v>IGUAL</v>
      </c>
      <c r="BL9" s="218" t="str">
        <f>+IF(Tabla46782[[#This Row],[CVN]]=Tabla46782[[#This Row],[CVN2]], "IGUAL", "DISTINTO")</f>
        <v>DISTINTO</v>
      </c>
      <c r="BM9" s="219" t="str">
        <f>+IF(Tabla46782[[#This Row],[L]]=Tabla46782[[#This Row],[L2]], "IGUAL", "DISTINTO")</f>
        <v>IGUAL</v>
      </c>
    </row>
    <row r="10" spans="1:65" x14ac:dyDescent="0.25">
      <c r="A10">
        <v>7</v>
      </c>
      <c r="B10" s="202" t="s">
        <v>138</v>
      </c>
      <c r="C10" s="203" t="s">
        <v>139</v>
      </c>
      <c r="D10" s="203" t="s">
        <v>70</v>
      </c>
      <c r="E10" s="203" t="s">
        <v>78</v>
      </c>
      <c r="F10" s="203" t="s">
        <v>78</v>
      </c>
      <c r="G10" s="203" t="s">
        <v>70</v>
      </c>
      <c r="H10" s="203" t="s">
        <v>72</v>
      </c>
      <c r="I10" s="203" t="s">
        <v>72</v>
      </c>
      <c r="J10" s="203" t="s">
        <v>72</v>
      </c>
      <c r="K10" s="203"/>
      <c r="L10" s="203" t="s">
        <v>72</v>
      </c>
      <c r="M10" s="203" t="s">
        <v>72</v>
      </c>
      <c r="N10" s="203"/>
      <c r="O10" s="203" t="s">
        <v>73</v>
      </c>
      <c r="P10" s="203" t="s">
        <v>74</v>
      </c>
      <c r="Q10" s="203" t="s">
        <v>75</v>
      </c>
      <c r="R10" s="203" t="s">
        <v>76</v>
      </c>
      <c r="S10" s="204">
        <v>45282</v>
      </c>
      <c r="T10" s="205">
        <v>45321</v>
      </c>
      <c r="U10" s="205">
        <f>VLOOKUP(Tabla46782[[#This Row],[Matricula]],BAJA2022202320242025!$B$3:$CR$245,95,FALSE)</f>
        <v>45321</v>
      </c>
      <c r="V10" s="206">
        <v>39</v>
      </c>
      <c r="W10" s="207">
        <v>2024</v>
      </c>
      <c r="X10" s="203" t="s">
        <v>77</v>
      </c>
      <c r="Y10" s="203" t="s">
        <v>78</v>
      </c>
      <c r="Z10" s="203" t="s">
        <v>140</v>
      </c>
      <c r="AA10" s="203" t="s">
        <v>141</v>
      </c>
      <c r="AB10" s="203" t="s">
        <v>81</v>
      </c>
      <c r="AC10" s="203" t="s">
        <v>82</v>
      </c>
      <c r="AD10" s="203" t="s">
        <v>83</v>
      </c>
      <c r="AE10" s="208">
        <v>3</v>
      </c>
      <c r="AF10" s="208" t="s">
        <v>142</v>
      </c>
      <c r="AG10" s="208" t="s">
        <v>85</v>
      </c>
      <c r="AH10" s="208" t="s">
        <v>86</v>
      </c>
      <c r="AI10" s="208" t="s">
        <v>87</v>
      </c>
      <c r="AJ10" s="208" t="s">
        <v>143</v>
      </c>
      <c r="AK10" s="205" t="s">
        <v>89</v>
      </c>
      <c r="AL10" s="204">
        <v>45625</v>
      </c>
      <c r="AM10" s="208">
        <v>0</v>
      </c>
      <c r="AN10" s="209" t="s">
        <v>81</v>
      </c>
      <c r="AO10" s="209" t="s">
        <v>144</v>
      </c>
      <c r="AP10" s="209" t="s">
        <v>82</v>
      </c>
      <c r="AQ10" s="209"/>
      <c r="AR10" s="209" t="s">
        <v>72</v>
      </c>
      <c r="AS10" s="209" t="s">
        <v>91</v>
      </c>
      <c r="AT10" s="209" t="s">
        <v>145</v>
      </c>
      <c r="AU10" s="210">
        <v>5.0999999999999996</v>
      </c>
      <c r="AV10" s="211">
        <v>10</v>
      </c>
      <c r="AW10" s="212">
        <v>17.3</v>
      </c>
      <c r="AX10" s="213">
        <v>13073</v>
      </c>
      <c r="AY10" s="213">
        <v>4405.6010000000006</v>
      </c>
      <c r="AZ10" s="210" t="s">
        <v>70</v>
      </c>
      <c r="BA10" s="209" t="s">
        <v>93</v>
      </c>
      <c r="BB10" s="214" t="str">
        <f>+IF(Tabla46782[[#This Row],[TIPO VEHÍCULO]]=Tabla46782[[#This Row],[Columna2]], "IGUAL", "DISTINTO")</f>
        <v>IGUAL</v>
      </c>
      <c r="BC10" s="214" t="str">
        <f>+IF(Tabla46782[[#This Row],[Columna4]]=Tabla46782[[#This Row],[Combustible2]], "IGUAL", "DISTINTO")</f>
        <v>IGUAL</v>
      </c>
      <c r="BD10" s="215" cm="1">
        <f t="array" ref="BD10">IFERROR(INDEX('[1]Anexos FICHA TRA050'!$D$27:$D$44, MATCH(Tabla46782[[#This Row],[Columna5]]&amp;Tabla46782[[#This Row],[Columna4]], '[1]Anexos FICHA TRA050'!$E$27:$E$44&amp;'[1]Anexos FICHA TRA050'!$F$27:$F$44, 0)), "")</f>
        <v>6.99</v>
      </c>
      <c r="BE10" s="215">
        <f>IFERROR(INDEX('[1]Anexos FICHA TRA050'!$B$4:$B$7, MATCH(Tabla46782[[#This Row],[Columna4]], '[1]Anexos FICHA TRA050'!$C$4:$C$7, 0)), "")</f>
        <v>10</v>
      </c>
      <c r="BF10" s="215">
        <f>IFERROR(INDEX('[1]Anexos FICHA TRA050'!$C$14:$C$22, MATCH(Tabla46782[[#This Row],[Columna5]], '[1]Anexos FICHA TRA050'!$D$14:$D$22, 0)), "")</f>
        <v>17.920000000000002</v>
      </c>
      <c r="BG10" s="216">
        <f>IFERROR(INDEX('[1]Anexos FICHA TRA050'!$C$49:$C$54, MATCH(Tabla46782[[#This Row],[Columna5]], '[1]Anexos FICHA TRA050'!$D$49:$D$54, 0)), "")</f>
        <v>13073</v>
      </c>
      <c r="BH10" s="217">
        <f>+(((Tabla46782[[#This Row],[CVA2]]*Tabla46782[[#This Row],[f2]])-Tabla46782[[#This Row],[CVN2]])/100)*Tabla46782[[#This Row],[L2]]</f>
        <v>6795.3454000000002</v>
      </c>
      <c r="BI10" s="218"/>
      <c r="BJ10" s="218"/>
      <c r="BK10" s="218" t="str">
        <f>+IF(Tabla46782[[#This Row],[F3]]=Tabla46782[[#This Row],[f2]], "IGUAL", "DISTINTO")</f>
        <v>IGUAL</v>
      </c>
      <c r="BL10" s="218" t="str">
        <f>+IF(Tabla46782[[#This Row],[CVN]]=Tabla46782[[#This Row],[CVN2]], "IGUAL", "DISTINTO")</f>
        <v>DISTINTO</v>
      </c>
      <c r="BM10" s="219" t="str">
        <f>+IF(Tabla46782[[#This Row],[L]]=Tabla46782[[#This Row],[L2]], "IGUAL", "DISTINTO")</f>
        <v>IGUAL</v>
      </c>
    </row>
    <row r="11" spans="1:65" ht="15.6" customHeight="1" x14ac:dyDescent="0.25">
      <c r="A11">
        <v>8</v>
      </c>
      <c r="B11" s="202" t="s">
        <v>146</v>
      </c>
      <c r="C11" s="203" t="s">
        <v>147</v>
      </c>
      <c r="D11" s="203" t="s">
        <v>70</v>
      </c>
      <c r="E11" s="203" t="s">
        <v>78</v>
      </c>
      <c r="F11" s="203" t="s">
        <v>78</v>
      </c>
      <c r="G11" s="203" t="s">
        <v>70</v>
      </c>
      <c r="H11" s="203" t="s">
        <v>72</v>
      </c>
      <c r="I11" s="203"/>
      <c r="J11" s="203" t="s">
        <v>72</v>
      </c>
      <c r="K11" s="203"/>
      <c r="L11" s="203" t="s">
        <v>72</v>
      </c>
      <c r="M11" s="203" t="s">
        <v>72</v>
      </c>
      <c r="N11" s="203"/>
      <c r="O11" s="203" t="s">
        <v>73</v>
      </c>
      <c r="P11" s="203" t="s">
        <v>74</v>
      </c>
      <c r="Q11" s="203" t="s">
        <v>75</v>
      </c>
      <c r="R11" s="203" t="s">
        <v>76</v>
      </c>
      <c r="S11" s="204">
        <v>45451</v>
      </c>
      <c r="T11" s="205">
        <v>45565</v>
      </c>
      <c r="U11" s="205">
        <f>VLOOKUP(Tabla46782[[#This Row],[Matricula]],BAJA2022202320242025!$B$3:$CR$245,95,FALSE)</f>
        <v>45723</v>
      </c>
      <c r="V11" s="206">
        <v>114</v>
      </c>
      <c r="W11" s="207">
        <v>2024</v>
      </c>
      <c r="X11" s="203" t="s">
        <v>77</v>
      </c>
      <c r="Y11" s="203" t="s">
        <v>78</v>
      </c>
      <c r="Z11" s="203" t="s">
        <v>140</v>
      </c>
      <c r="AA11" s="203" t="s">
        <v>148</v>
      </c>
      <c r="AB11" s="203" t="s">
        <v>119</v>
      </c>
      <c r="AC11" s="203" t="s">
        <v>120</v>
      </c>
      <c r="AD11" s="203" t="s">
        <v>149</v>
      </c>
      <c r="AE11" s="208">
        <v>2</v>
      </c>
      <c r="AF11" s="208" t="s">
        <v>150</v>
      </c>
      <c r="AG11" s="208" t="s">
        <v>140</v>
      </c>
      <c r="AH11" s="208" t="s">
        <v>151</v>
      </c>
      <c r="AI11" s="208" t="s">
        <v>87</v>
      </c>
      <c r="AJ11" s="208" t="s">
        <v>152</v>
      </c>
      <c r="AK11" s="205" t="s">
        <v>89</v>
      </c>
      <c r="AL11" s="204">
        <v>45622</v>
      </c>
      <c r="AM11" s="208">
        <v>0</v>
      </c>
      <c r="AN11" s="209" t="s">
        <v>119</v>
      </c>
      <c r="AO11" s="209" t="s">
        <v>153</v>
      </c>
      <c r="AP11" s="209" t="s">
        <v>120</v>
      </c>
      <c r="AQ11" s="209"/>
      <c r="AR11" s="209" t="s">
        <v>72</v>
      </c>
      <c r="AS11" s="209" t="s">
        <v>91</v>
      </c>
      <c r="AT11" s="209" t="s">
        <v>154</v>
      </c>
      <c r="AU11" s="210">
        <v>5.0999999999999996</v>
      </c>
      <c r="AV11" s="211">
        <v>10</v>
      </c>
      <c r="AW11" s="212">
        <v>16.399999999999999</v>
      </c>
      <c r="AX11" s="213">
        <v>13073</v>
      </c>
      <c r="AY11" s="213">
        <v>4523.2580000000007</v>
      </c>
      <c r="AZ11" s="210" t="s">
        <v>70</v>
      </c>
      <c r="BA11" s="209" t="s">
        <v>93</v>
      </c>
      <c r="BB11" s="214" t="str">
        <f>+IF(Tabla46782[[#This Row],[TIPO VEHÍCULO]]=Tabla46782[[#This Row],[Columna2]], "IGUAL", "DISTINTO")</f>
        <v>IGUAL</v>
      </c>
      <c r="BC11" s="214" t="str">
        <f>+IF(Tabla46782[[#This Row],[Columna4]]=Tabla46782[[#This Row],[Combustible2]], "IGUAL", "DISTINTO")</f>
        <v>IGUAL</v>
      </c>
      <c r="BD11" s="215" cm="1">
        <f t="array" ref="BD11">IFERROR(INDEX('[1]Anexos FICHA TRA050'!$D$27:$D$44, MATCH(Tabla46782[[#This Row],[Columna5]]&amp;Tabla46782[[#This Row],[Columna4]], '[1]Anexos FICHA TRA050'!$E$27:$E$44&amp;'[1]Anexos FICHA TRA050'!$F$27:$F$44, 0)), "")</f>
        <v>6.99</v>
      </c>
      <c r="BE11" s="215">
        <f>IFERROR(INDEX('[1]Anexos FICHA TRA050'!$B$4:$B$7, MATCH(Tabla46782[[#This Row],[Columna4]], '[1]Anexos FICHA TRA050'!$C$4:$C$7, 0)), "")</f>
        <v>10</v>
      </c>
      <c r="BF11" s="215">
        <f>IFERROR(INDEX('[1]Anexos FICHA TRA050'!$C$14:$C$22, MATCH(Tabla46782[[#This Row],[Columna5]], '[1]Anexos FICHA TRA050'!$D$14:$D$22, 0)), "")</f>
        <v>17.920000000000002</v>
      </c>
      <c r="BG11" s="216">
        <f>IFERROR(INDEX('[1]Anexos FICHA TRA050'!$C$49:$C$54, MATCH(Tabla46782[[#This Row],[Columna5]], '[1]Anexos FICHA TRA050'!$D$49:$D$54, 0)), "")</f>
        <v>13073</v>
      </c>
      <c r="BH11" s="217">
        <f>+(((Tabla46782[[#This Row],[CVA2]]*Tabla46782[[#This Row],[f2]])-Tabla46782[[#This Row],[CVN2]])/100)*Tabla46782[[#This Row],[L2]]</f>
        <v>6795.3454000000002</v>
      </c>
      <c r="BI11" s="218"/>
      <c r="BJ11" s="218"/>
      <c r="BK11" s="218" t="str">
        <f>+IF(Tabla46782[[#This Row],[F3]]=Tabla46782[[#This Row],[f2]], "IGUAL", "DISTINTO")</f>
        <v>IGUAL</v>
      </c>
      <c r="BL11" s="218" t="str">
        <f>+IF(Tabla46782[[#This Row],[CVN]]=Tabla46782[[#This Row],[CVN2]], "IGUAL", "DISTINTO")</f>
        <v>DISTINTO</v>
      </c>
      <c r="BM11" s="219" t="str">
        <f>+IF(Tabla46782[[#This Row],[L]]=Tabla46782[[#This Row],[L2]], "IGUAL", "DISTINTO")</f>
        <v>IGUAL</v>
      </c>
    </row>
    <row r="12" spans="1:65" x14ac:dyDescent="0.25">
      <c r="A12">
        <v>9</v>
      </c>
      <c r="B12" s="202" t="s">
        <v>155</v>
      </c>
      <c r="C12" s="203" t="s">
        <v>156</v>
      </c>
      <c r="D12" s="203" t="s">
        <v>157</v>
      </c>
      <c r="E12" s="203" t="s">
        <v>71</v>
      </c>
      <c r="F12" s="203" t="s">
        <v>71</v>
      </c>
      <c r="G12" s="203" t="s">
        <v>51</v>
      </c>
      <c r="H12" s="203" t="s">
        <v>72</v>
      </c>
      <c r="I12" s="203"/>
      <c r="J12" s="203"/>
      <c r="K12" s="203" t="s">
        <v>72</v>
      </c>
      <c r="L12" s="203" t="s">
        <v>72</v>
      </c>
      <c r="M12" s="203" t="s">
        <v>72</v>
      </c>
      <c r="N12" s="203"/>
      <c r="O12" s="203" t="s">
        <v>158</v>
      </c>
      <c r="P12" s="203" t="s">
        <v>159</v>
      </c>
      <c r="Q12" s="203" t="s">
        <v>158</v>
      </c>
      <c r="R12" s="203" t="s">
        <v>160</v>
      </c>
      <c r="S12" s="204">
        <v>43073</v>
      </c>
      <c r="T12" s="205">
        <v>44974</v>
      </c>
      <c r="U12" s="205">
        <f>VLOOKUP(Tabla46782[[#This Row],[Matricula]],BAJA2022202320242025!$B$3:$CR$245,95,FALSE)</f>
        <v>44974</v>
      </c>
      <c r="V12" s="206">
        <v>1901</v>
      </c>
      <c r="W12" s="207">
        <v>2023</v>
      </c>
      <c r="X12" s="203" t="s">
        <v>161</v>
      </c>
      <c r="Y12" s="203" t="s">
        <v>71</v>
      </c>
      <c r="Z12" s="203" t="s">
        <v>162</v>
      </c>
      <c r="AA12" s="203" t="s">
        <v>163</v>
      </c>
      <c r="AB12" s="203" t="s">
        <v>81</v>
      </c>
      <c r="AC12" s="203" t="s">
        <v>82</v>
      </c>
      <c r="AD12" s="203" t="s">
        <v>164</v>
      </c>
      <c r="AE12" s="208">
        <v>4</v>
      </c>
      <c r="AF12" s="208" t="s">
        <v>165</v>
      </c>
      <c r="AG12" s="208" t="s">
        <v>85</v>
      </c>
      <c r="AH12" s="208" t="s">
        <v>86</v>
      </c>
      <c r="AI12" s="208" t="s">
        <v>87</v>
      </c>
      <c r="AJ12" s="208" t="s">
        <v>143</v>
      </c>
      <c r="AK12" s="205" t="s">
        <v>89</v>
      </c>
      <c r="AL12" s="204">
        <v>45625</v>
      </c>
      <c r="AM12" s="208">
        <v>1</v>
      </c>
      <c r="AN12" s="209" t="s">
        <v>81</v>
      </c>
      <c r="AO12" s="209" t="s">
        <v>166</v>
      </c>
      <c r="AP12" s="209" t="s">
        <v>82</v>
      </c>
      <c r="AQ12" s="209"/>
      <c r="AR12" s="209" t="s">
        <v>72</v>
      </c>
      <c r="AS12" s="209" t="s">
        <v>91</v>
      </c>
      <c r="AT12" s="209" t="s">
        <v>167</v>
      </c>
      <c r="AU12" s="210">
        <v>2.9</v>
      </c>
      <c r="AV12" s="211">
        <v>9.19</v>
      </c>
      <c r="AW12" s="212">
        <v>17.3</v>
      </c>
      <c r="AX12" s="213">
        <v>2831</v>
      </c>
      <c r="AY12" s="213">
        <v>264.72680999999989</v>
      </c>
      <c r="AZ12" s="210" t="s">
        <v>157</v>
      </c>
      <c r="BA12" s="209" t="s">
        <v>168</v>
      </c>
      <c r="BB12" s="214" t="str">
        <f>+IF(Tabla46782[[#This Row],[TIPO VEHÍCULO]]=Tabla46782[[#This Row],[Columna2]], "IGUAL", "DISTINTO")</f>
        <v>IGUAL</v>
      </c>
      <c r="BC12" s="214" t="str">
        <f>+IF(Tabla46782[[#This Row],[Columna4]]=Tabla46782[[#This Row],[Combustible2]], "IGUAL", "DISTINTO")</f>
        <v>IGUAL</v>
      </c>
      <c r="BD12" s="215" cm="1">
        <f t="array" ref="BD12">IFERROR(INDEX('[1]Anexos FICHA TRA050'!$D$27:$D$44, MATCH(Tabla46782[[#This Row],[Columna5]]&amp;Tabla46782[[#This Row],[Columna4]], '[1]Anexos FICHA TRA050'!$E$27:$E$44&amp;'[1]Anexos FICHA TRA050'!$F$27:$F$44, 0)), "")</f>
        <v>2.9</v>
      </c>
      <c r="BE12" s="215">
        <f>IFERROR(INDEX('[1]Anexos FICHA TRA050'!$B$4:$B$7, MATCH(Tabla46782[[#This Row],[Columna4]], '[1]Anexos FICHA TRA050'!$C$4:$C$7, 0)), "")</f>
        <v>9.19</v>
      </c>
      <c r="BF12" s="215">
        <f>IFERROR(INDEX('[1]Anexos FICHA TRA050'!$C$14:$C$22, MATCH(Tabla46782[[#This Row],[Columna5]], '[1]Anexos FICHA TRA050'!$D$14:$D$22, 0)), "")</f>
        <v>4.84</v>
      </c>
      <c r="BG12" s="216">
        <f>IFERROR(INDEX('[1]Anexos FICHA TRA050'!$C$49:$C$54, MATCH(Tabla46782[[#This Row],[Columna5]], '[1]Anexos FICHA TRA050'!$D$49:$D$54, 0)), "")</f>
        <v>2831</v>
      </c>
      <c r="BH12" s="217">
        <f>+(((Tabla46782[[#This Row],[CVA2]]*Tabla46782[[#This Row],[f2]])-Tabla46782[[#This Row],[CVN2]])/100)*Tabla46782[[#This Row],[L2]]</f>
        <v>617.46940999999993</v>
      </c>
      <c r="BI12" s="218"/>
      <c r="BJ12" s="218"/>
      <c r="BK12" s="218" t="str">
        <f>+IF(Tabla46782[[#This Row],[F3]]=Tabla46782[[#This Row],[f2]], "IGUAL", "DISTINTO")</f>
        <v>IGUAL</v>
      </c>
      <c r="BL12" s="218" t="str">
        <f>+IF(Tabla46782[[#This Row],[CVN]]=Tabla46782[[#This Row],[CVN2]], "IGUAL", "DISTINTO")</f>
        <v>DISTINTO</v>
      </c>
      <c r="BM12" s="219" t="str">
        <f>+IF(Tabla46782[[#This Row],[L]]=Tabla46782[[#This Row],[L2]], "IGUAL", "DISTINTO")</f>
        <v>IGUAL</v>
      </c>
    </row>
    <row r="13" spans="1:65" x14ac:dyDescent="0.25">
      <c r="A13">
        <v>10</v>
      </c>
      <c r="B13" s="202" t="s">
        <v>169</v>
      </c>
      <c r="C13" s="203" t="s">
        <v>170</v>
      </c>
      <c r="D13" s="203" t="s">
        <v>157</v>
      </c>
      <c r="E13" s="203" t="s">
        <v>71</v>
      </c>
      <c r="F13" s="203" t="s">
        <v>71</v>
      </c>
      <c r="G13" s="203" t="s">
        <v>51</v>
      </c>
      <c r="H13" s="203" t="s">
        <v>72</v>
      </c>
      <c r="I13" s="203"/>
      <c r="J13" s="203"/>
      <c r="K13" s="203" t="s">
        <v>72</v>
      </c>
      <c r="L13" s="203" t="s">
        <v>72</v>
      </c>
      <c r="M13" s="203" t="s">
        <v>72</v>
      </c>
      <c r="N13" s="203"/>
      <c r="O13" s="203" t="s">
        <v>158</v>
      </c>
      <c r="P13" s="203" t="s">
        <v>159</v>
      </c>
      <c r="Q13" s="203" t="s">
        <v>158</v>
      </c>
      <c r="R13" s="203" t="s">
        <v>171</v>
      </c>
      <c r="S13" s="204">
        <v>42641</v>
      </c>
      <c r="T13" s="205">
        <v>45561</v>
      </c>
      <c r="U13" s="205">
        <f>VLOOKUP(Tabla46782[[#This Row],[Matricula]],BAJA2022202320242025!$B$3:$CR$245,95,FALSE)</f>
        <v>45561</v>
      </c>
      <c r="V13" s="206">
        <v>2920</v>
      </c>
      <c r="W13" s="207">
        <v>2024</v>
      </c>
      <c r="X13" s="203" t="s">
        <v>172</v>
      </c>
      <c r="Y13" s="203" t="s">
        <v>71</v>
      </c>
      <c r="Z13" s="203" t="s">
        <v>162</v>
      </c>
      <c r="AA13" s="203" t="s">
        <v>163</v>
      </c>
      <c r="AB13" s="203" t="s">
        <v>81</v>
      </c>
      <c r="AC13" s="203" t="s">
        <v>82</v>
      </c>
      <c r="AD13" s="203" t="s">
        <v>164</v>
      </c>
      <c r="AE13" s="208">
        <v>5</v>
      </c>
      <c r="AF13" s="208" t="s">
        <v>173</v>
      </c>
      <c r="AG13" s="208" t="s">
        <v>85</v>
      </c>
      <c r="AH13" s="208" t="s">
        <v>86</v>
      </c>
      <c r="AI13" s="208" t="s">
        <v>87</v>
      </c>
      <c r="AJ13" s="208" t="s">
        <v>174</v>
      </c>
      <c r="AK13" s="205" t="s">
        <v>89</v>
      </c>
      <c r="AL13" s="204">
        <v>45646</v>
      </c>
      <c r="AM13" s="208">
        <v>0</v>
      </c>
      <c r="AN13" s="209" t="s">
        <v>81</v>
      </c>
      <c r="AO13" s="209" t="s">
        <v>175</v>
      </c>
      <c r="AP13" s="209" t="s">
        <v>82</v>
      </c>
      <c r="AQ13" s="209"/>
      <c r="AR13" s="209" t="s">
        <v>72</v>
      </c>
      <c r="AS13" s="209" t="s">
        <v>91</v>
      </c>
      <c r="AT13" s="209" t="s">
        <v>176</v>
      </c>
      <c r="AU13" s="210">
        <v>2.9</v>
      </c>
      <c r="AV13" s="211">
        <v>9.19</v>
      </c>
      <c r="AW13" s="212">
        <v>17.3</v>
      </c>
      <c r="AX13" s="213">
        <v>2831</v>
      </c>
      <c r="AY13" s="213">
        <v>264.72680999999989</v>
      </c>
      <c r="AZ13" s="210" t="s">
        <v>157</v>
      </c>
      <c r="BA13" s="209" t="s">
        <v>168</v>
      </c>
      <c r="BB13" s="214" t="str">
        <f>+IF(Tabla46782[[#This Row],[TIPO VEHÍCULO]]=Tabla46782[[#This Row],[Columna2]], "IGUAL", "DISTINTO")</f>
        <v>IGUAL</v>
      </c>
      <c r="BC13" s="214" t="str">
        <f>+IF(Tabla46782[[#This Row],[Columna4]]=Tabla46782[[#This Row],[Combustible2]], "IGUAL", "DISTINTO")</f>
        <v>IGUAL</v>
      </c>
      <c r="BD13" s="215" cm="1">
        <f t="array" ref="BD13">IFERROR(INDEX('[1]Anexos FICHA TRA050'!$D$27:$D$44, MATCH(Tabla46782[[#This Row],[Columna5]]&amp;Tabla46782[[#This Row],[Columna4]], '[1]Anexos FICHA TRA050'!$E$27:$E$44&amp;'[1]Anexos FICHA TRA050'!$F$27:$F$44, 0)), "")</f>
        <v>2.9</v>
      </c>
      <c r="BE13" s="215">
        <f>IFERROR(INDEX('[1]Anexos FICHA TRA050'!$B$4:$B$7, MATCH(Tabla46782[[#This Row],[Columna4]], '[1]Anexos FICHA TRA050'!$C$4:$C$7, 0)), "")</f>
        <v>9.19</v>
      </c>
      <c r="BF13" s="215">
        <f>IFERROR(INDEX('[1]Anexos FICHA TRA050'!$C$14:$C$22, MATCH(Tabla46782[[#This Row],[Columna5]], '[1]Anexos FICHA TRA050'!$D$14:$D$22, 0)), "")</f>
        <v>4.84</v>
      </c>
      <c r="BG13" s="216">
        <f>IFERROR(INDEX('[1]Anexos FICHA TRA050'!$C$49:$C$54, MATCH(Tabla46782[[#This Row],[Columna5]], '[1]Anexos FICHA TRA050'!$D$49:$D$54, 0)), "")</f>
        <v>2831</v>
      </c>
      <c r="BH13" s="217">
        <f>+(((Tabla46782[[#This Row],[CVA2]]*Tabla46782[[#This Row],[f2]])-Tabla46782[[#This Row],[CVN2]])/100)*Tabla46782[[#This Row],[L2]]</f>
        <v>617.46940999999993</v>
      </c>
      <c r="BI13" s="218"/>
      <c r="BJ13" s="218"/>
      <c r="BK13" s="218" t="str">
        <f>+IF(Tabla46782[[#This Row],[F3]]=Tabla46782[[#This Row],[f2]], "IGUAL", "DISTINTO")</f>
        <v>IGUAL</v>
      </c>
      <c r="BL13" s="218" t="str">
        <f>+IF(Tabla46782[[#This Row],[CVN]]=Tabla46782[[#This Row],[CVN2]], "IGUAL", "DISTINTO")</f>
        <v>DISTINTO</v>
      </c>
      <c r="BM13" s="219" t="str">
        <f>+IF(Tabla46782[[#This Row],[L]]=Tabla46782[[#This Row],[L2]], "IGUAL", "DISTINTO")</f>
        <v>IGUAL</v>
      </c>
    </row>
    <row r="14" spans="1:65" x14ac:dyDescent="0.25">
      <c r="A14">
        <v>11</v>
      </c>
      <c r="B14" s="202" t="s">
        <v>177</v>
      </c>
      <c r="C14" s="203" t="s">
        <v>178</v>
      </c>
      <c r="D14" s="203" t="s">
        <v>157</v>
      </c>
      <c r="E14" s="203" t="s">
        <v>71</v>
      </c>
      <c r="F14" s="203" t="s">
        <v>71</v>
      </c>
      <c r="G14" s="203" t="s">
        <v>51</v>
      </c>
      <c r="H14" s="203" t="s">
        <v>72</v>
      </c>
      <c r="I14" s="203"/>
      <c r="J14" s="203"/>
      <c r="K14" s="203" t="s">
        <v>72</v>
      </c>
      <c r="L14" s="203" t="s">
        <v>72</v>
      </c>
      <c r="M14" s="203" t="s">
        <v>72</v>
      </c>
      <c r="N14" s="203"/>
      <c r="O14" s="203" t="s">
        <v>158</v>
      </c>
      <c r="P14" s="203" t="s">
        <v>159</v>
      </c>
      <c r="Q14" s="203" t="s">
        <v>158</v>
      </c>
      <c r="R14" s="203" t="s">
        <v>171</v>
      </c>
      <c r="S14" s="204">
        <v>40830</v>
      </c>
      <c r="T14" s="205">
        <v>45561</v>
      </c>
      <c r="U14" s="205">
        <f>VLOOKUP(Tabla46782[[#This Row],[Matricula]],BAJA2022202320242025!$B$3:$CR$245,95,FALSE)</f>
        <v>45594</v>
      </c>
      <c r="V14" s="206">
        <v>4731</v>
      </c>
      <c r="W14" s="207">
        <v>2024</v>
      </c>
      <c r="X14" s="203" t="s">
        <v>172</v>
      </c>
      <c r="Y14" s="203" t="s">
        <v>71</v>
      </c>
      <c r="Z14" s="203" t="s">
        <v>162</v>
      </c>
      <c r="AA14" s="203" t="s">
        <v>163</v>
      </c>
      <c r="AB14" s="203" t="s">
        <v>81</v>
      </c>
      <c r="AC14" s="203" t="s">
        <v>82</v>
      </c>
      <c r="AD14" s="203" t="s">
        <v>164</v>
      </c>
      <c r="AE14" s="208">
        <v>6</v>
      </c>
      <c r="AF14" s="208" t="s">
        <v>179</v>
      </c>
      <c r="AG14" s="208" t="s">
        <v>85</v>
      </c>
      <c r="AH14" s="208" t="s">
        <v>86</v>
      </c>
      <c r="AI14" s="208" t="s">
        <v>87</v>
      </c>
      <c r="AJ14" s="208" t="s">
        <v>180</v>
      </c>
      <c r="AK14" s="205" t="s">
        <v>89</v>
      </c>
      <c r="AL14" s="204">
        <v>45646</v>
      </c>
      <c r="AM14" s="208">
        <v>0</v>
      </c>
      <c r="AN14" s="209" t="s">
        <v>81</v>
      </c>
      <c r="AO14" s="209" t="s">
        <v>181</v>
      </c>
      <c r="AP14" s="209" t="s">
        <v>82</v>
      </c>
      <c r="AQ14" s="209"/>
      <c r="AR14" s="209" t="s">
        <v>72</v>
      </c>
      <c r="AS14" s="209" t="s">
        <v>91</v>
      </c>
      <c r="AT14" s="209" t="s">
        <v>182</v>
      </c>
      <c r="AU14" s="210">
        <v>2.9</v>
      </c>
      <c r="AV14" s="211">
        <v>9.19</v>
      </c>
      <c r="AW14" s="212">
        <v>17.3</v>
      </c>
      <c r="AX14" s="213">
        <v>2831</v>
      </c>
      <c r="AY14" s="213">
        <v>264.72680999999989</v>
      </c>
      <c r="AZ14" s="210" t="s">
        <v>157</v>
      </c>
      <c r="BA14" s="209" t="s">
        <v>168</v>
      </c>
      <c r="BB14" s="214" t="str">
        <f>+IF(Tabla46782[[#This Row],[TIPO VEHÍCULO]]=Tabla46782[[#This Row],[Columna2]], "IGUAL", "DISTINTO")</f>
        <v>IGUAL</v>
      </c>
      <c r="BC14" s="214" t="str">
        <f>+IF(Tabla46782[[#This Row],[Columna4]]=Tabla46782[[#This Row],[Combustible2]], "IGUAL", "DISTINTO")</f>
        <v>IGUAL</v>
      </c>
      <c r="BD14" s="215" cm="1">
        <f t="array" ref="BD14">IFERROR(INDEX('[1]Anexos FICHA TRA050'!$D$27:$D$44, MATCH(Tabla46782[[#This Row],[Columna5]]&amp;Tabla46782[[#This Row],[Columna4]], '[1]Anexos FICHA TRA050'!$E$27:$E$44&amp;'[1]Anexos FICHA TRA050'!$F$27:$F$44, 0)), "")</f>
        <v>2.9</v>
      </c>
      <c r="BE14" s="215">
        <f>IFERROR(INDEX('[1]Anexos FICHA TRA050'!$B$4:$B$7, MATCH(Tabla46782[[#This Row],[Columna4]], '[1]Anexos FICHA TRA050'!$C$4:$C$7, 0)), "")</f>
        <v>9.19</v>
      </c>
      <c r="BF14" s="215">
        <f>IFERROR(INDEX('[1]Anexos FICHA TRA050'!$C$14:$C$22, MATCH(Tabla46782[[#This Row],[Columna5]], '[1]Anexos FICHA TRA050'!$D$14:$D$22, 0)), "")</f>
        <v>4.84</v>
      </c>
      <c r="BG14" s="216">
        <f>IFERROR(INDEX('[1]Anexos FICHA TRA050'!$C$49:$C$54, MATCH(Tabla46782[[#This Row],[Columna5]], '[1]Anexos FICHA TRA050'!$D$49:$D$54, 0)), "")</f>
        <v>2831</v>
      </c>
      <c r="BH14" s="217">
        <f>+(((Tabla46782[[#This Row],[CVA2]]*Tabla46782[[#This Row],[f2]])-Tabla46782[[#This Row],[CVN2]])/100)*Tabla46782[[#This Row],[L2]]</f>
        <v>617.46940999999993</v>
      </c>
      <c r="BI14" s="218"/>
      <c r="BJ14" s="218"/>
      <c r="BK14" s="218" t="str">
        <f>+IF(Tabla46782[[#This Row],[F3]]=Tabla46782[[#This Row],[f2]], "IGUAL", "DISTINTO")</f>
        <v>IGUAL</v>
      </c>
      <c r="BL14" s="218" t="str">
        <f>+IF(Tabla46782[[#This Row],[CVN]]=Tabla46782[[#This Row],[CVN2]], "IGUAL", "DISTINTO")</f>
        <v>DISTINTO</v>
      </c>
      <c r="BM14" s="219" t="str">
        <f>+IF(Tabla46782[[#This Row],[L]]=Tabla46782[[#This Row],[L2]], "IGUAL", "DISTINTO")</f>
        <v>IGUAL</v>
      </c>
    </row>
    <row r="15" spans="1:65" x14ac:dyDescent="0.25">
      <c r="A15">
        <v>12</v>
      </c>
      <c r="B15" s="202" t="s">
        <v>183</v>
      </c>
      <c r="C15" s="203" t="s">
        <v>184</v>
      </c>
      <c r="D15" s="203" t="s">
        <v>157</v>
      </c>
      <c r="E15" s="203" t="s">
        <v>71</v>
      </c>
      <c r="F15" s="203" t="s">
        <v>71</v>
      </c>
      <c r="G15" s="203" t="s">
        <v>51</v>
      </c>
      <c r="H15" s="203"/>
      <c r="I15" s="203"/>
      <c r="J15" s="203"/>
      <c r="K15" s="203" t="s">
        <v>72</v>
      </c>
      <c r="L15" s="203" t="s">
        <v>72</v>
      </c>
      <c r="M15" s="203" t="s">
        <v>72</v>
      </c>
      <c r="N15" s="203" t="s">
        <v>72</v>
      </c>
      <c r="O15" s="203" t="s">
        <v>158</v>
      </c>
      <c r="P15" s="203" t="s">
        <v>159</v>
      </c>
      <c r="Q15" s="203" t="s">
        <v>158</v>
      </c>
      <c r="R15" s="203" t="s">
        <v>171</v>
      </c>
      <c r="S15" s="204">
        <v>41017</v>
      </c>
      <c r="T15" s="205">
        <v>45561</v>
      </c>
      <c r="U15" s="205">
        <f>VLOOKUP(Tabla46782[[#This Row],[Matricula]],BAJA2022202320242025!$B$3:$CR$245,95,FALSE)</f>
        <v>45561</v>
      </c>
      <c r="V15" s="206">
        <v>4544</v>
      </c>
      <c r="W15" s="207">
        <v>2024</v>
      </c>
      <c r="X15" s="203" t="s">
        <v>172</v>
      </c>
      <c r="Y15" s="203" t="s">
        <v>71</v>
      </c>
      <c r="Z15" s="203" t="s">
        <v>162</v>
      </c>
      <c r="AA15" s="203" t="s">
        <v>163</v>
      </c>
      <c r="AB15" s="203" t="s">
        <v>81</v>
      </c>
      <c r="AC15" s="203" t="s">
        <v>82</v>
      </c>
      <c r="AD15" s="203" t="s">
        <v>164</v>
      </c>
      <c r="AE15" s="208">
        <v>7</v>
      </c>
      <c r="AF15" s="208" t="s">
        <v>185</v>
      </c>
      <c r="AG15" s="208" t="s">
        <v>85</v>
      </c>
      <c r="AH15" s="208" t="s">
        <v>86</v>
      </c>
      <c r="AI15" s="208" t="s">
        <v>87</v>
      </c>
      <c r="AJ15" s="208" t="s">
        <v>174</v>
      </c>
      <c r="AK15" s="205" t="s">
        <v>89</v>
      </c>
      <c r="AL15" s="204">
        <v>45646</v>
      </c>
      <c r="AM15" s="208">
        <v>0</v>
      </c>
      <c r="AN15" s="209" t="s">
        <v>81</v>
      </c>
      <c r="AO15" s="209" t="s">
        <v>186</v>
      </c>
      <c r="AP15" s="209" t="s">
        <v>82</v>
      </c>
      <c r="AQ15" s="209"/>
      <c r="AR15" s="209" t="s">
        <v>72</v>
      </c>
      <c r="AS15" s="209" t="s">
        <v>91</v>
      </c>
      <c r="AT15" s="209" t="s">
        <v>187</v>
      </c>
      <c r="AU15" s="210">
        <v>2.9</v>
      </c>
      <c r="AV15" s="211">
        <v>9.19</v>
      </c>
      <c r="AW15" s="212">
        <v>17.3</v>
      </c>
      <c r="AX15" s="213">
        <v>2831</v>
      </c>
      <c r="AY15" s="213">
        <v>264.72680999999989</v>
      </c>
      <c r="AZ15" s="210" t="s">
        <v>157</v>
      </c>
      <c r="BA15" s="209" t="s">
        <v>168</v>
      </c>
      <c r="BB15" s="214" t="str">
        <f>+IF(Tabla46782[[#This Row],[TIPO VEHÍCULO]]=Tabla46782[[#This Row],[Columna2]], "IGUAL", "DISTINTO")</f>
        <v>IGUAL</v>
      </c>
      <c r="BC15" s="214" t="str">
        <f>+IF(Tabla46782[[#This Row],[Columna4]]=Tabla46782[[#This Row],[Combustible2]], "IGUAL", "DISTINTO")</f>
        <v>IGUAL</v>
      </c>
      <c r="BD15" s="215" cm="1">
        <f t="array" ref="BD15">IFERROR(INDEX('[1]Anexos FICHA TRA050'!$D$27:$D$44, MATCH(Tabla46782[[#This Row],[Columna5]]&amp;Tabla46782[[#This Row],[Columna4]], '[1]Anexos FICHA TRA050'!$E$27:$E$44&amp;'[1]Anexos FICHA TRA050'!$F$27:$F$44, 0)), "")</f>
        <v>2.9</v>
      </c>
      <c r="BE15" s="215">
        <f>IFERROR(INDEX('[1]Anexos FICHA TRA050'!$B$4:$B$7, MATCH(Tabla46782[[#This Row],[Columna4]], '[1]Anexos FICHA TRA050'!$C$4:$C$7, 0)), "")</f>
        <v>9.19</v>
      </c>
      <c r="BF15" s="215">
        <f>IFERROR(INDEX('[1]Anexos FICHA TRA050'!$C$14:$C$22, MATCH(Tabla46782[[#This Row],[Columna5]], '[1]Anexos FICHA TRA050'!$D$14:$D$22, 0)), "")</f>
        <v>4.84</v>
      </c>
      <c r="BG15" s="216">
        <f>IFERROR(INDEX('[1]Anexos FICHA TRA050'!$C$49:$C$54, MATCH(Tabla46782[[#This Row],[Columna5]], '[1]Anexos FICHA TRA050'!$D$49:$D$54, 0)), "")</f>
        <v>2831</v>
      </c>
      <c r="BH15" s="217">
        <f>+(((Tabla46782[[#This Row],[CVA2]]*Tabla46782[[#This Row],[f2]])-Tabla46782[[#This Row],[CVN2]])/100)*Tabla46782[[#This Row],[L2]]</f>
        <v>617.46940999999993</v>
      </c>
      <c r="BI15" s="218"/>
      <c r="BJ15" s="218"/>
      <c r="BK15" s="218" t="str">
        <f>+IF(Tabla46782[[#This Row],[F3]]=Tabla46782[[#This Row],[f2]], "IGUAL", "DISTINTO")</f>
        <v>IGUAL</v>
      </c>
      <c r="BL15" s="218" t="str">
        <f>+IF(Tabla46782[[#This Row],[CVN]]=Tabla46782[[#This Row],[CVN2]], "IGUAL", "DISTINTO")</f>
        <v>DISTINTO</v>
      </c>
      <c r="BM15" s="219" t="str">
        <f>+IF(Tabla46782[[#This Row],[L]]=Tabla46782[[#This Row],[L2]], "IGUAL", "DISTINTO")</f>
        <v>IGUAL</v>
      </c>
    </row>
    <row r="16" spans="1:65" x14ac:dyDescent="0.25">
      <c r="A16">
        <v>13</v>
      </c>
      <c r="B16" s="202" t="s">
        <v>188</v>
      </c>
      <c r="C16" s="203" t="s">
        <v>189</v>
      </c>
      <c r="D16" s="203" t="s">
        <v>157</v>
      </c>
      <c r="E16" s="203" t="s">
        <v>71</v>
      </c>
      <c r="F16" s="203" t="s">
        <v>71</v>
      </c>
      <c r="G16" s="203" t="s">
        <v>51</v>
      </c>
      <c r="H16" s="203" t="s">
        <v>72</v>
      </c>
      <c r="I16" s="203"/>
      <c r="J16" s="203"/>
      <c r="K16" s="203" t="s">
        <v>72</v>
      </c>
      <c r="L16" s="203" t="s">
        <v>72</v>
      </c>
      <c r="M16" s="203" t="s">
        <v>72</v>
      </c>
      <c r="N16" s="203"/>
      <c r="O16" s="203" t="s">
        <v>158</v>
      </c>
      <c r="P16" s="203" t="s">
        <v>159</v>
      </c>
      <c r="Q16" s="203" t="s">
        <v>158</v>
      </c>
      <c r="R16" s="203" t="s">
        <v>171</v>
      </c>
      <c r="S16" s="204">
        <v>42983</v>
      </c>
      <c r="T16" s="205">
        <v>45604</v>
      </c>
      <c r="U16" s="205">
        <f>VLOOKUP(Tabla46782[[#This Row],[Matricula]],BAJA2022202320242025!$B$3:$CR$245,95,FALSE)</f>
        <v>45604</v>
      </c>
      <c r="V16" s="206">
        <v>2621</v>
      </c>
      <c r="W16" s="207">
        <v>2024</v>
      </c>
      <c r="X16" s="203" t="s">
        <v>172</v>
      </c>
      <c r="Y16" s="203" t="s">
        <v>71</v>
      </c>
      <c r="Z16" s="203" t="s">
        <v>162</v>
      </c>
      <c r="AA16" s="203" t="s">
        <v>163</v>
      </c>
      <c r="AB16" s="203" t="s">
        <v>190</v>
      </c>
      <c r="AC16" s="203" t="s">
        <v>191</v>
      </c>
      <c r="AD16" s="203" t="s">
        <v>192</v>
      </c>
      <c r="AE16" s="208">
        <v>1</v>
      </c>
      <c r="AF16" s="208" t="s">
        <v>193</v>
      </c>
      <c r="AG16" s="208" t="s">
        <v>85</v>
      </c>
      <c r="AH16" s="208" t="s">
        <v>86</v>
      </c>
      <c r="AI16" s="208" t="s">
        <v>87</v>
      </c>
      <c r="AJ16" s="208" t="s">
        <v>194</v>
      </c>
      <c r="AK16" s="205" t="s">
        <v>89</v>
      </c>
      <c r="AL16" s="204">
        <v>45646</v>
      </c>
      <c r="AM16" s="208">
        <v>0</v>
      </c>
      <c r="AN16" s="209" t="s">
        <v>190</v>
      </c>
      <c r="AO16" s="209" t="s">
        <v>195</v>
      </c>
      <c r="AP16" s="209" t="s">
        <v>191</v>
      </c>
      <c r="AQ16" s="209"/>
      <c r="AR16" s="209" t="s">
        <v>72</v>
      </c>
      <c r="AS16" s="209" t="s">
        <v>91</v>
      </c>
      <c r="AT16" s="209" t="s">
        <v>196</v>
      </c>
      <c r="AU16" s="210">
        <v>2.9</v>
      </c>
      <c r="AV16" s="211">
        <v>9.19</v>
      </c>
      <c r="AW16" s="212">
        <v>17.3</v>
      </c>
      <c r="AX16" s="213">
        <v>2831</v>
      </c>
      <c r="AY16" s="213">
        <v>264.72680999999989</v>
      </c>
      <c r="AZ16" s="210" t="s">
        <v>157</v>
      </c>
      <c r="BA16" s="209" t="s">
        <v>168</v>
      </c>
      <c r="BB16" s="214" t="str">
        <f>+IF(Tabla46782[[#This Row],[TIPO VEHÍCULO]]=Tabla46782[[#This Row],[Columna2]], "IGUAL", "DISTINTO")</f>
        <v>IGUAL</v>
      </c>
      <c r="BC16" s="214" t="str">
        <f>+IF(Tabla46782[[#This Row],[Columna4]]=Tabla46782[[#This Row],[Combustible2]], "IGUAL", "DISTINTO")</f>
        <v>IGUAL</v>
      </c>
      <c r="BD16" s="215" cm="1">
        <f t="array" ref="BD16">IFERROR(INDEX('[1]Anexos FICHA TRA050'!$D$27:$D$44, MATCH(Tabla46782[[#This Row],[Columna5]]&amp;Tabla46782[[#This Row],[Columna4]], '[1]Anexos FICHA TRA050'!$E$27:$E$44&amp;'[1]Anexos FICHA TRA050'!$F$27:$F$44, 0)), "")</f>
        <v>2.9</v>
      </c>
      <c r="BE16" s="215">
        <f>IFERROR(INDEX('[1]Anexos FICHA TRA050'!$B$4:$B$7, MATCH(Tabla46782[[#This Row],[Columna4]], '[1]Anexos FICHA TRA050'!$C$4:$C$7, 0)), "")</f>
        <v>9.19</v>
      </c>
      <c r="BF16" s="215">
        <f>IFERROR(INDEX('[1]Anexos FICHA TRA050'!$C$14:$C$22, MATCH(Tabla46782[[#This Row],[Columna5]], '[1]Anexos FICHA TRA050'!$D$14:$D$22, 0)), "")</f>
        <v>4.84</v>
      </c>
      <c r="BG16" s="216">
        <f>IFERROR(INDEX('[1]Anexos FICHA TRA050'!$C$49:$C$54, MATCH(Tabla46782[[#This Row],[Columna5]], '[1]Anexos FICHA TRA050'!$D$49:$D$54, 0)), "")</f>
        <v>2831</v>
      </c>
      <c r="BH16" s="217">
        <f>+(((Tabla46782[[#This Row],[CVA2]]*Tabla46782[[#This Row],[f2]])-Tabla46782[[#This Row],[CVN2]])/100)*Tabla46782[[#This Row],[L2]]</f>
        <v>617.46940999999993</v>
      </c>
      <c r="BI16" s="218"/>
      <c r="BJ16" s="218"/>
      <c r="BK16" s="218" t="str">
        <f>+IF(Tabla46782[[#This Row],[F3]]=Tabla46782[[#This Row],[f2]], "IGUAL", "DISTINTO")</f>
        <v>IGUAL</v>
      </c>
      <c r="BL16" s="218" t="str">
        <f>+IF(Tabla46782[[#This Row],[CVN]]=Tabla46782[[#This Row],[CVN2]], "IGUAL", "DISTINTO")</f>
        <v>DISTINTO</v>
      </c>
      <c r="BM16" s="219" t="str">
        <f>+IF(Tabla46782[[#This Row],[L]]=Tabla46782[[#This Row],[L2]], "IGUAL", "DISTINTO")</f>
        <v>IGUAL</v>
      </c>
    </row>
    <row r="17" spans="1:65" x14ac:dyDescent="0.25">
      <c r="A17">
        <v>14</v>
      </c>
      <c r="B17" s="202" t="s">
        <v>197</v>
      </c>
      <c r="C17" s="203" t="s">
        <v>198</v>
      </c>
      <c r="D17" s="203" t="s">
        <v>70</v>
      </c>
      <c r="E17" s="203" t="s">
        <v>199</v>
      </c>
      <c r="F17" s="203" t="s">
        <v>199</v>
      </c>
      <c r="G17" s="203" t="s">
        <v>70</v>
      </c>
      <c r="H17" s="203" t="s">
        <v>72</v>
      </c>
      <c r="I17" s="203" t="s">
        <v>72</v>
      </c>
      <c r="J17" s="203" t="s">
        <v>72</v>
      </c>
      <c r="K17" s="203"/>
      <c r="L17" s="203" t="s">
        <v>72</v>
      </c>
      <c r="M17" s="203" t="s">
        <v>72</v>
      </c>
      <c r="N17" s="203"/>
      <c r="O17" s="203" t="s">
        <v>73</v>
      </c>
      <c r="P17" s="203" t="s">
        <v>200</v>
      </c>
      <c r="Q17" s="203" t="s">
        <v>201</v>
      </c>
      <c r="R17" s="203" t="s">
        <v>76</v>
      </c>
      <c r="S17" s="209">
        <v>44414</v>
      </c>
      <c r="T17" s="205">
        <v>45875</v>
      </c>
      <c r="U17" s="205">
        <f>VLOOKUP(Tabla46782[[#This Row],[Matricula]],BAJA2022202320242025!$B$3:$CR$245,95,FALSE)</f>
        <v>45812</v>
      </c>
      <c r="V17" s="206">
        <v>1461</v>
      </c>
      <c r="W17" s="207">
        <v>2025</v>
      </c>
      <c r="X17" s="203" t="s">
        <v>77</v>
      </c>
      <c r="Y17" s="203" t="s">
        <v>202</v>
      </c>
      <c r="Z17" s="203" t="s">
        <v>85</v>
      </c>
      <c r="AA17" s="203" t="s">
        <v>203</v>
      </c>
      <c r="AB17" s="203" t="s">
        <v>204</v>
      </c>
      <c r="AC17" s="203" t="s">
        <v>205</v>
      </c>
      <c r="AD17" s="203" t="s">
        <v>206</v>
      </c>
      <c r="AE17" s="208">
        <v>1</v>
      </c>
      <c r="AF17" s="208" t="s">
        <v>207</v>
      </c>
      <c r="AG17" s="208" t="s">
        <v>140</v>
      </c>
      <c r="AH17" s="208" t="s">
        <v>151</v>
      </c>
      <c r="AI17" s="208" t="s">
        <v>87</v>
      </c>
      <c r="AJ17" s="208" t="s">
        <v>208</v>
      </c>
      <c r="AK17" s="205" t="s">
        <v>89</v>
      </c>
      <c r="AL17" s="204">
        <v>45638</v>
      </c>
      <c r="AM17" s="208">
        <v>-1</v>
      </c>
      <c r="AN17" s="209" t="s">
        <v>204</v>
      </c>
      <c r="AO17" s="209" t="s">
        <v>209</v>
      </c>
      <c r="AP17" s="209" t="s">
        <v>205</v>
      </c>
      <c r="AQ17" s="209"/>
      <c r="AR17" s="209" t="s">
        <v>72</v>
      </c>
      <c r="AS17" s="209" t="s">
        <v>91</v>
      </c>
      <c r="AT17" s="209" t="s">
        <v>210</v>
      </c>
      <c r="AU17" s="210">
        <v>5.0999999999999996</v>
      </c>
      <c r="AV17" s="211">
        <v>9.19</v>
      </c>
      <c r="AW17" s="212">
        <v>16.399999999999999</v>
      </c>
      <c r="AX17" s="213">
        <v>13073</v>
      </c>
      <c r="AY17" s="213">
        <v>3983.2123699999993</v>
      </c>
      <c r="AZ17" s="210" t="s">
        <v>70</v>
      </c>
      <c r="BA17" s="209" t="s">
        <v>93</v>
      </c>
      <c r="BB17" s="214" t="str">
        <f>+IF(Tabla46782[[#This Row],[TIPO VEHÍCULO]]=Tabla46782[[#This Row],[Columna2]], "IGUAL", "DISTINTO")</f>
        <v>IGUAL</v>
      </c>
      <c r="BC17" s="214" t="str">
        <f>+IF(Tabla46782[[#This Row],[Columna4]]=Tabla46782[[#This Row],[Combustible2]], "IGUAL", "DISTINTO")</f>
        <v>DISTINTO</v>
      </c>
      <c r="BD17" s="215" cm="1">
        <f t="array" ref="BD17">IFERROR(INDEX('[1]Anexos FICHA TRA050'!$D$27:$D$44, MATCH(Tabla46782[[#This Row],[Columna5]]&amp;Tabla46782[[#This Row],[Columna4]], '[1]Anexos FICHA TRA050'!$E$27:$E$44&amp;'[1]Anexos FICHA TRA050'!$F$27:$F$44, 0)), "")</f>
        <v>5.1349999999999998</v>
      </c>
      <c r="BE17" s="215">
        <f>+'[1]Anexos FICHA TRA050'!B5</f>
        <v>9.19</v>
      </c>
      <c r="BF17" s="215">
        <f>IFERROR(INDEX('[1]Anexos FICHA TRA050'!$C$14:$C$22, MATCH(Tabla46782[[#This Row],[Columna5]], '[1]Anexos FICHA TRA050'!$D$14:$D$22, 0)), "")</f>
        <v>17.920000000000002</v>
      </c>
      <c r="BG17" s="216">
        <f>IFERROR(INDEX('[1]Anexos FICHA TRA050'!$C$49:$C$54, MATCH(Tabla46782[[#This Row],[Columna5]], '[1]Anexos FICHA TRA050'!$D$49:$D$54, 0)), "")</f>
        <v>13073</v>
      </c>
      <c r="BH17" s="217">
        <f>+(((Tabla46782[[#This Row],[CVA2]]*Tabla46782[[#This Row],[f2]])-Tabla46782[[#This Row],[CVN2]])/100)*Tabla46782[[#This Row],[L2]]</f>
        <v>3826.5520744999999</v>
      </c>
      <c r="BI17" s="218"/>
      <c r="BJ17" s="218"/>
      <c r="BK17" s="218" t="str">
        <f>+IF(Tabla46782[[#This Row],[F3]]=Tabla46782[[#This Row],[f2]], "IGUAL", "DISTINTO")</f>
        <v>IGUAL</v>
      </c>
      <c r="BL17" s="218" t="str">
        <f>+IF(Tabla46782[[#This Row],[CVN]]=Tabla46782[[#This Row],[CVN2]], "IGUAL", "DISTINTO")</f>
        <v>DISTINTO</v>
      </c>
      <c r="BM17" s="219" t="str">
        <f>+IF(Tabla46782[[#This Row],[L]]=Tabla46782[[#This Row],[L2]], "IGUAL", "DISTINTO")</f>
        <v>IGUAL</v>
      </c>
    </row>
    <row r="18" spans="1:65" x14ac:dyDescent="0.25">
      <c r="A18">
        <v>15</v>
      </c>
      <c r="B18" s="202" t="s">
        <v>211</v>
      </c>
      <c r="C18" s="203" t="s">
        <v>212</v>
      </c>
      <c r="D18" s="203" t="s">
        <v>70</v>
      </c>
      <c r="E18" s="203" t="s">
        <v>71</v>
      </c>
      <c r="F18" s="203" t="s">
        <v>71</v>
      </c>
      <c r="G18" s="203" t="s">
        <v>70</v>
      </c>
      <c r="H18" s="203" t="s">
        <v>72</v>
      </c>
      <c r="I18" s="203"/>
      <c r="J18" s="203" t="s">
        <v>72</v>
      </c>
      <c r="K18" s="203"/>
      <c r="L18" s="203" t="s">
        <v>72</v>
      </c>
      <c r="M18" s="203"/>
      <c r="N18" s="203"/>
      <c r="O18" s="203" t="s">
        <v>73</v>
      </c>
      <c r="P18" s="203" t="s">
        <v>200</v>
      </c>
      <c r="Q18" s="203" t="s">
        <v>201</v>
      </c>
      <c r="R18" s="203" t="s">
        <v>76</v>
      </c>
      <c r="S18" s="209">
        <v>44224</v>
      </c>
      <c r="T18" s="205">
        <v>45685</v>
      </c>
      <c r="U18" s="205">
        <f>VLOOKUP(Tabla46782[[#This Row],[Matricula]],BAJA2022202320242025!$B$3:$CR$245,95,FALSE)</f>
        <v>45687</v>
      </c>
      <c r="V18" s="206">
        <v>1461</v>
      </c>
      <c r="W18" s="207">
        <v>2025</v>
      </c>
      <c r="X18" s="203" t="s">
        <v>77</v>
      </c>
      <c r="Y18" s="203" t="s">
        <v>71</v>
      </c>
      <c r="Z18" s="203" t="s">
        <v>213</v>
      </c>
      <c r="AA18" s="203" t="s">
        <v>214</v>
      </c>
      <c r="AB18" s="203" t="s">
        <v>215</v>
      </c>
      <c r="AC18" s="203" t="s">
        <v>216</v>
      </c>
      <c r="AD18" s="203" t="s">
        <v>217</v>
      </c>
      <c r="AE18" s="208">
        <v>1</v>
      </c>
      <c r="AF18" s="208" t="s">
        <v>218</v>
      </c>
      <c r="AG18" s="208" t="s">
        <v>140</v>
      </c>
      <c r="AH18" s="208" t="s">
        <v>151</v>
      </c>
      <c r="AI18" s="208" t="s">
        <v>87</v>
      </c>
      <c r="AJ18" s="208" t="s">
        <v>217</v>
      </c>
      <c r="AK18" s="205" t="s">
        <v>89</v>
      </c>
      <c r="AL18" s="204">
        <v>45625</v>
      </c>
      <c r="AM18" s="208">
        <v>-1</v>
      </c>
      <c r="AN18" s="209" t="s">
        <v>215</v>
      </c>
      <c r="AO18" s="209" t="s">
        <v>219</v>
      </c>
      <c r="AP18" s="209" t="s">
        <v>216</v>
      </c>
      <c r="AQ18" s="209"/>
      <c r="AR18" s="209" t="s">
        <v>72</v>
      </c>
      <c r="AS18" s="209" t="s">
        <v>91</v>
      </c>
      <c r="AT18" s="209" t="s">
        <v>220</v>
      </c>
      <c r="AU18" s="210">
        <v>5.0999999999999996</v>
      </c>
      <c r="AV18" s="211">
        <v>9.19</v>
      </c>
      <c r="AW18" s="212">
        <v>16.399999999999999</v>
      </c>
      <c r="AX18" s="213">
        <v>13073</v>
      </c>
      <c r="AY18" s="213">
        <v>3983.2123699999993</v>
      </c>
      <c r="AZ18" s="210" t="s">
        <v>70</v>
      </c>
      <c r="BA18" s="209" t="s">
        <v>93</v>
      </c>
      <c r="BB18" s="214" t="str">
        <f>+IF(Tabla46782[[#This Row],[TIPO VEHÍCULO]]=Tabla46782[[#This Row],[Columna2]], "IGUAL", "DISTINTO")</f>
        <v>IGUAL</v>
      </c>
      <c r="BC18" s="214" t="str">
        <f>+IF(Tabla46782[[#This Row],[Columna4]]=Tabla46782[[#This Row],[Combustible2]], "IGUAL", "DISTINTO")</f>
        <v>IGUAL</v>
      </c>
      <c r="BD18" s="215" cm="1">
        <f t="array" ref="BD18">IFERROR(INDEX('[1]Anexos FICHA TRA050'!$D$27:$D$44, MATCH(Tabla46782[[#This Row],[Columna5]]&amp;Tabla46782[[#This Row],[Columna4]], '[1]Anexos FICHA TRA050'!$E$27:$E$44&amp;'[1]Anexos FICHA TRA050'!$F$27:$F$44, 0)), "")</f>
        <v>7.89</v>
      </c>
      <c r="BE18" s="215">
        <f>IFERROR(INDEX('[1]Anexos FICHA TRA050'!$B$4:$B$7, MATCH(Tabla46782[[#This Row],[Columna4]], '[1]Anexos FICHA TRA050'!$C$4:$C$7, 0)), "")</f>
        <v>9.19</v>
      </c>
      <c r="BF18" s="215">
        <f>IFERROR(INDEX('[1]Anexos FICHA TRA050'!$C$14:$C$22, MATCH(Tabla46782[[#This Row],[Columna5]], '[1]Anexos FICHA TRA050'!$D$14:$D$22, 0)), "")</f>
        <v>17.920000000000002</v>
      </c>
      <c r="BG18" s="216">
        <f>IFERROR(INDEX('[1]Anexos FICHA TRA050'!$C$49:$C$54, MATCH(Tabla46782[[#This Row],[Columna5]], '[1]Anexos FICHA TRA050'!$D$49:$D$54, 0)), "")</f>
        <v>13073</v>
      </c>
      <c r="BH18" s="217">
        <f>+(((Tabla46782[[#This Row],[CVA2]]*Tabla46782[[#This Row],[f2]])-Tabla46782[[#This Row],[CVN2]])/100)*Tabla46782[[#This Row],[L2]]</f>
        <v>7136.4330429999991</v>
      </c>
      <c r="BI18" s="218"/>
      <c r="BJ18" s="218"/>
      <c r="BK18" s="218" t="str">
        <f>+IF(Tabla46782[[#This Row],[F3]]=Tabla46782[[#This Row],[f2]], "IGUAL", "DISTINTO")</f>
        <v>IGUAL</v>
      </c>
      <c r="BL18" s="218" t="str">
        <f>+IF(Tabla46782[[#This Row],[CVN]]=Tabla46782[[#This Row],[CVN2]], "IGUAL", "DISTINTO")</f>
        <v>DISTINTO</v>
      </c>
      <c r="BM18" s="219" t="str">
        <f>+IF(Tabla46782[[#This Row],[L]]=Tabla46782[[#This Row],[L2]], "IGUAL", "DISTINTO")</f>
        <v>IGUAL</v>
      </c>
    </row>
    <row r="19" spans="1:65" x14ac:dyDescent="0.25">
      <c r="A19">
        <v>16</v>
      </c>
      <c r="B19" s="202" t="s">
        <v>221</v>
      </c>
      <c r="C19" s="203" t="s">
        <v>222</v>
      </c>
      <c r="D19" s="203" t="s">
        <v>70</v>
      </c>
      <c r="E19" s="203" t="s">
        <v>71</v>
      </c>
      <c r="F19" s="203" t="s">
        <v>71</v>
      </c>
      <c r="G19" s="203" t="s">
        <v>70</v>
      </c>
      <c r="H19" s="203" t="s">
        <v>72</v>
      </c>
      <c r="I19" s="203"/>
      <c r="J19" s="203" t="s">
        <v>72</v>
      </c>
      <c r="K19" s="203"/>
      <c r="L19" s="203" t="s">
        <v>72</v>
      </c>
      <c r="M19" s="203" t="s">
        <v>72</v>
      </c>
      <c r="N19" s="203"/>
      <c r="O19" s="203" t="s">
        <v>73</v>
      </c>
      <c r="P19" s="203" t="s">
        <v>200</v>
      </c>
      <c r="Q19" s="203" t="s">
        <v>201</v>
      </c>
      <c r="R19" s="203" t="s">
        <v>76</v>
      </c>
      <c r="S19" s="209">
        <v>44215</v>
      </c>
      <c r="T19" s="205">
        <v>45676</v>
      </c>
      <c r="U19" s="205">
        <f>VLOOKUP(Tabla46782[[#This Row],[Matricula]],BAJA2022202320242025!$B$3:$CR$245,95,FALSE)</f>
        <v>45671</v>
      </c>
      <c r="V19" s="206">
        <v>1461</v>
      </c>
      <c r="W19" s="207">
        <v>2025</v>
      </c>
      <c r="X19" s="203" t="s">
        <v>77</v>
      </c>
      <c r="Y19" s="203" t="s">
        <v>71</v>
      </c>
      <c r="Z19" s="203" t="s">
        <v>213</v>
      </c>
      <c r="AA19" s="203" t="s">
        <v>214</v>
      </c>
      <c r="AB19" s="203" t="s">
        <v>119</v>
      </c>
      <c r="AC19" s="203" t="s">
        <v>120</v>
      </c>
      <c r="AD19" s="203" t="s">
        <v>223</v>
      </c>
      <c r="AE19" s="208">
        <v>3</v>
      </c>
      <c r="AF19" s="208" t="s">
        <v>224</v>
      </c>
      <c r="AG19" s="208" t="s">
        <v>140</v>
      </c>
      <c r="AH19" s="208" t="s">
        <v>151</v>
      </c>
      <c r="AI19" s="208" t="s">
        <v>87</v>
      </c>
      <c r="AJ19" s="208" t="s">
        <v>225</v>
      </c>
      <c r="AK19" s="205" t="s">
        <v>89</v>
      </c>
      <c r="AL19" s="204">
        <v>45622</v>
      </c>
      <c r="AM19" s="208">
        <v>-1</v>
      </c>
      <c r="AN19" s="209" t="s">
        <v>119</v>
      </c>
      <c r="AO19" s="209" t="s">
        <v>226</v>
      </c>
      <c r="AP19" s="209" t="s">
        <v>120</v>
      </c>
      <c r="AQ19" s="209"/>
      <c r="AR19" s="209" t="s">
        <v>72</v>
      </c>
      <c r="AS19" s="209" t="s">
        <v>91</v>
      </c>
      <c r="AT19" s="209" t="s">
        <v>227</v>
      </c>
      <c r="AU19" s="210">
        <v>5.0999999999999996</v>
      </c>
      <c r="AV19" s="211">
        <v>9.19</v>
      </c>
      <c r="AW19" s="212">
        <v>16.399999999999999</v>
      </c>
      <c r="AX19" s="213">
        <v>13073</v>
      </c>
      <c r="AY19" s="213">
        <v>3983.2123699999993</v>
      </c>
      <c r="AZ19" s="210" t="s">
        <v>70</v>
      </c>
      <c r="BA19" s="209" t="s">
        <v>93</v>
      </c>
      <c r="BB19" s="214" t="str">
        <f>+IF(Tabla46782[[#This Row],[TIPO VEHÍCULO]]=Tabla46782[[#This Row],[Columna2]], "IGUAL", "DISTINTO")</f>
        <v>IGUAL</v>
      </c>
      <c r="BC19" s="214" t="str">
        <f>+IF(Tabla46782[[#This Row],[Columna4]]=Tabla46782[[#This Row],[Combustible2]], "IGUAL", "DISTINTO")</f>
        <v>IGUAL</v>
      </c>
      <c r="BD19" s="215" cm="1">
        <f t="array" ref="BD19">IFERROR(INDEX('[1]Anexos FICHA TRA050'!$D$27:$D$44, MATCH(Tabla46782[[#This Row],[Columna5]]&amp;Tabla46782[[#This Row],[Columna4]], '[1]Anexos FICHA TRA050'!$E$27:$E$44&amp;'[1]Anexos FICHA TRA050'!$F$27:$F$44, 0)), "")</f>
        <v>7.89</v>
      </c>
      <c r="BE19" s="215">
        <f>IFERROR(INDEX('[1]Anexos FICHA TRA050'!$B$4:$B$7, MATCH(Tabla46782[[#This Row],[Columna4]], '[1]Anexos FICHA TRA050'!$C$4:$C$7, 0)), "")</f>
        <v>9.19</v>
      </c>
      <c r="BF19" s="215">
        <f>IFERROR(INDEX('[1]Anexos FICHA TRA050'!$C$14:$C$22, MATCH(Tabla46782[[#This Row],[Columna5]], '[1]Anexos FICHA TRA050'!$D$14:$D$22, 0)), "")</f>
        <v>17.920000000000002</v>
      </c>
      <c r="BG19" s="216">
        <f>IFERROR(INDEX('[1]Anexos FICHA TRA050'!$C$49:$C$54, MATCH(Tabla46782[[#This Row],[Columna5]], '[1]Anexos FICHA TRA050'!$D$49:$D$54, 0)), "")</f>
        <v>13073</v>
      </c>
      <c r="BH19" s="217">
        <f>+(((Tabla46782[[#This Row],[CVA2]]*Tabla46782[[#This Row],[f2]])-Tabla46782[[#This Row],[CVN2]])/100)*Tabla46782[[#This Row],[L2]]</f>
        <v>7136.4330429999991</v>
      </c>
      <c r="BI19" s="218"/>
      <c r="BJ19" s="218"/>
      <c r="BK19" s="218" t="str">
        <f>+IF(Tabla46782[[#This Row],[F3]]=Tabla46782[[#This Row],[f2]], "IGUAL", "DISTINTO")</f>
        <v>IGUAL</v>
      </c>
      <c r="BL19" s="218" t="str">
        <f>+IF(Tabla46782[[#This Row],[CVN]]=Tabla46782[[#This Row],[CVN2]], "IGUAL", "DISTINTO")</f>
        <v>DISTINTO</v>
      </c>
      <c r="BM19" s="219" t="str">
        <f>+IF(Tabla46782[[#This Row],[L]]=Tabla46782[[#This Row],[L2]], "IGUAL", "DISTINTO")</f>
        <v>IGUAL</v>
      </c>
    </row>
    <row r="20" spans="1:65" x14ac:dyDescent="0.25">
      <c r="A20">
        <v>17</v>
      </c>
      <c r="B20" s="202" t="s">
        <v>228</v>
      </c>
      <c r="C20" s="203" t="s">
        <v>229</v>
      </c>
      <c r="D20" s="203" t="s">
        <v>70</v>
      </c>
      <c r="E20" s="203" t="s">
        <v>71</v>
      </c>
      <c r="F20" s="203" t="s">
        <v>71</v>
      </c>
      <c r="G20" s="203" t="s">
        <v>70</v>
      </c>
      <c r="H20" s="203" t="s">
        <v>72</v>
      </c>
      <c r="I20" s="203"/>
      <c r="J20" s="203" t="s">
        <v>72</v>
      </c>
      <c r="K20" s="203"/>
      <c r="L20" s="203" t="s">
        <v>72</v>
      </c>
      <c r="M20" s="203" t="s">
        <v>72</v>
      </c>
      <c r="N20" s="203"/>
      <c r="O20" s="203" t="s">
        <v>73</v>
      </c>
      <c r="P20" s="203" t="s">
        <v>200</v>
      </c>
      <c r="Q20" s="203" t="s">
        <v>201</v>
      </c>
      <c r="R20" s="203" t="s">
        <v>76</v>
      </c>
      <c r="S20" s="209">
        <v>44224</v>
      </c>
      <c r="T20" s="205">
        <v>45689</v>
      </c>
      <c r="U20" s="205">
        <f>VLOOKUP(Tabla46782[[#This Row],[Matricula]],BAJA2022202320242025!$B$3:$CR$245,95,FALSE)</f>
        <v>45671</v>
      </c>
      <c r="V20" s="206">
        <v>1465</v>
      </c>
      <c r="W20" s="207">
        <v>2025</v>
      </c>
      <c r="X20" s="203" t="s">
        <v>77</v>
      </c>
      <c r="Y20" s="203" t="s">
        <v>71</v>
      </c>
      <c r="Z20" s="203" t="s">
        <v>213</v>
      </c>
      <c r="AA20" s="203" t="s">
        <v>214</v>
      </c>
      <c r="AB20" s="203" t="s">
        <v>204</v>
      </c>
      <c r="AC20" s="203" t="s">
        <v>205</v>
      </c>
      <c r="AD20" s="203" t="s">
        <v>230</v>
      </c>
      <c r="AE20" s="208">
        <v>2</v>
      </c>
      <c r="AF20" s="208" t="s">
        <v>231</v>
      </c>
      <c r="AG20" s="208" t="s">
        <v>140</v>
      </c>
      <c r="AH20" s="208" t="s">
        <v>151</v>
      </c>
      <c r="AI20" s="208" t="s">
        <v>87</v>
      </c>
      <c r="AJ20" s="208" t="s">
        <v>232</v>
      </c>
      <c r="AK20" s="205" t="s">
        <v>89</v>
      </c>
      <c r="AL20" s="204">
        <v>45638</v>
      </c>
      <c r="AM20" s="208">
        <v>-1</v>
      </c>
      <c r="AN20" s="209" t="s">
        <v>204</v>
      </c>
      <c r="AO20" s="209" t="s">
        <v>233</v>
      </c>
      <c r="AP20" s="209" t="s">
        <v>205</v>
      </c>
      <c r="AQ20" s="209"/>
      <c r="AR20" s="209" t="s">
        <v>72</v>
      </c>
      <c r="AS20" s="209" t="s">
        <v>91</v>
      </c>
      <c r="AT20" s="209" t="s">
        <v>234</v>
      </c>
      <c r="AU20" s="210">
        <v>5.0999999999999996</v>
      </c>
      <c r="AV20" s="211">
        <v>9.19</v>
      </c>
      <c r="AW20" s="212">
        <v>16.399999999999999</v>
      </c>
      <c r="AX20" s="213">
        <v>13073</v>
      </c>
      <c r="AY20" s="213">
        <v>3983.2123699999993</v>
      </c>
      <c r="AZ20" s="210" t="s">
        <v>70</v>
      </c>
      <c r="BA20" s="209" t="s">
        <v>93</v>
      </c>
      <c r="BB20" s="214" t="str">
        <f>+IF(Tabla46782[[#This Row],[TIPO VEHÍCULO]]=Tabla46782[[#This Row],[Columna2]], "IGUAL", "DISTINTO")</f>
        <v>IGUAL</v>
      </c>
      <c r="BC20" s="214" t="str">
        <f>+IF(Tabla46782[[#This Row],[Columna4]]=Tabla46782[[#This Row],[Combustible2]], "IGUAL", "DISTINTO")</f>
        <v>IGUAL</v>
      </c>
      <c r="BD20" s="215" cm="1">
        <f t="array" ref="BD20">IFERROR(INDEX('[1]Anexos FICHA TRA050'!$D$27:$D$44, MATCH(Tabla46782[[#This Row],[Columna5]]&amp;Tabla46782[[#This Row],[Columna4]], '[1]Anexos FICHA TRA050'!$E$27:$E$44&amp;'[1]Anexos FICHA TRA050'!$F$27:$F$44, 0)), "")</f>
        <v>7.89</v>
      </c>
      <c r="BE20" s="215">
        <f>IFERROR(INDEX('[1]Anexos FICHA TRA050'!$B$4:$B$7, MATCH(Tabla46782[[#This Row],[Columna4]], '[1]Anexos FICHA TRA050'!$C$4:$C$7, 0)), "")</f>
        <v>9.19</v>
      </c>
      <c r="BF20" s="215">
        <f>IFERROR(INDEX('[1]Anexos FICHA TRA050'!$C$14:$C$22, MATCH(Tabla46782[[#This Row],[Columna5]], '[1]Anexos FICHA TRA050'!$D$14:$D$22, 0)), "")</f>
        <v>17.920000000000002</v>
      </c>
      <c r="BG20" s="216">
        <f>IFERROR(INDEX('[1]Anexos FICHA TRA050'!$C$49:$C$54, MATCH(Tabla46782[[#This Row],[Columna5]], '[1]Anexos FICHA TRA050'!$D$49:$D$54, 0)), "")</f>
        <v>13073</v>
      </c>
      <c r="BH20" s="217">
        <f>+(((Tabla46782[[#This Row],[CVA2]]*Tabla46782[[#This Row],[f2]])-Tabla46782[[#This Row],[CVN2]])/100)*Tabla46782[[#This Row],[L2]]</f>
        <v>7136.4330429999991</v>
      </c>
      <c r="BI20" s="218"/>
      <c r="BJ20" s="218"/>
      <c r="BK20" s="218" t="str">
        <f>+IF(Tabla46782[[#This Row],[F3]]=Tabla46782[[#This Row],[f2]], "IGUAL", "DISTINTO")</f>
        <v>IGUAL</v>
      </c>
      <c r="BL20" s="218" t="str">
        <f>+IF(Tabla46782[[#This Row],[CVN]]=Tabla46782[[#This Row],[CVN2]], "IGUAL", "DISTINTO")</f>
        <v>DISTINTO</v>
      </c>
      <c r="BM20" s="219" t="str">
        <f>+IF(Tabla46782[[#This Row],[L]]=Tabla46782[[#This Row],[L2]], "IGUAL", "DISTINTO")</f>
        <v>IGUAL</v>
      </c>
    </row>
    <row r="21" spans="1:65" x14ac:dyDescent="0.25">
      <c r="A21">
        <v>18</v>
      </c>
      <c r="B21" s="202" t="s">
        <v>235</v>
      </c>
      <c r="C21" s="203" t="s">
        <v>236</v>
      </c>
      <c r="D21" s="203" t="s">
        <v>70</v>
      </c>
      <c r="E21" s="203" t="s">
        <v>78</v>
      </c>
      <c r="F21" s="203" t="s">
        <v>78</v>
      </c>
      <c r="G21" s="203" t="s">
        <v>70</v>
      </c>
      <c r="H21" s="203" t="s">
        <v>72</v>
      </c>
      <c r="I21" s="203"/>
      <c r="J21" s="203" t="s">
        <v>72</v>
      </c>
      <c r="K21" s="203"/>
      <c r="L21" s="203" t="s">
        <v>72</v>
      </c>
      <c r="M21" s="203"/>
      <c r="N21" s="203"/>
      <c r="O21" s="203" t="s">
        <v>73</v>
      </c>
      <c r="P21" s="203" t="s">
        <v>200</v>
      </c>
      <c r="Q21" s="203" t="s">
        <v>201</v>
      </c>
      <c r="R21" s="203" t="s">
        <v>76</v>
      </c>
      <c r="S21" s="209">
        <v>44133</v>
      </c>
      <c r="T21" s="205">
        <v>45594</v>
      </c>
      <c r="U21" s="205">
        <f>VLOOKUP(Tabla46782[[#This Row],[Matricula]],BAJA2022202320242025!$B$3:$CR$245,95,FALSE)</f>
        <v>45672</v>
      </c>
      <c r="V21" s="206">
        <v>1461</v>
      </c>
      <c r="W21" s="207">
        <v>2024</v>
      </c>
      <c r="X21" s="203" t="s">
        <v>77</v>
      </c>
      <c r="Y21" s="203" t="s">
        <v>78</v>
      </c>
      <c r="Z21" s="203" t="s">
        <v>213</v>
      </c>
      <c r="AA21" s="203" t="s">
        <v>237</v>
      </c>
      <c r="AB21" s="203" t="s">
        <v>204</v>
      </c>
      <c r="AC21" s="203" t="s">
        <v>205</v>
      </c>
      <c r="AD21" s="203" t="s">
        <v>230</v>
      </c>
      <c r="AE21" s="208">
        <v>3</v>
      </c>
      <c r="AF21" s="208" t="s">
        <v>238</v>
      </c>
      <c r="AG21" s="208" t="s">
        <v>140</v>
      </c>
      <c r="AH21" s="208" t="s">
        <v>151</v>
      </c>
      <c r="AI21" s="208" t="s">
        <v>87</v>
      </c>
      <c r="AJ21" s="208" t="s">
        <v>232</v>
      </c>
      <c r="AK21" s="205" t="s">
        <v>89</v>
      </c>
      <c r="AL21" s="204">
        <v>45638</v>
      </c>
      <c r="AM21" s="208">
        <v>0</v>
      </c>
      <c r="AN21" s="209" t="s">
        <v>204</v>
      </c>
      <c r="AO21" s="209" t="s">
        <v>239</v>
      </c>
      <c r="AP21" s="209" t="s">
        <v>205</v>
      </c>
      <c r="AQ21" s="209"/>
      <c r="AR21" s="209" t="s">
        <v>72</v>
      </c>
      <c r="AS21" s="209" t="s">
        <v>91</v>
      </c>
      <c r="AT21" s="209" t="s">
        <v>240</v>
      </c>
      <c r="AU21" s="210">
        <v>5.0999999999999996</v>
      </c>
      <c r="AV21" s="211">
        <v>10</v>
      </c>
      <c r="AW21" s="212">
        <v>16.399999999999999</v>
      </c>
      <c r="AX21" s="213">
        <v>13073</v>
      </c>
      <c r="AY21" s="213">
        <v>4523.2580000000007</v>
      </c>
      <c r="AZ21" s="210" t="s">
        <v>70</v>
      </c>
      <c r="BA21" s="209" t="s">
        <v>93</v>
      </c>
      <c r="BB21" s="214" t="str">
        <f>+IF(Tabla46782[[#This Row],[TIPO VEHÍCULO]]=Tabla46782[[#This Row],[Columna2]], "IGUAL", "DISTINTO")</f>
        <v>IGUAL</v>
      </c>
      <c r="BC21" s="214" t="str">
        <f>+IF(Tabla46782[[#This Row],[Columna4]]=Tabla46782[[#This Row],[Combustible2]], "IGUAL", "DISTINTO")</f>
        <v>IGUAL</v>
      </c>
      <c r="BD21" s="215" cm="1">
        <f t="array" ref="BD21">IFERROR(INDEX('[1]Anexos FICHA TRA050'!$D$27:$D$44, MATCH(Tabla46782[[#This Row],[Columna5]]&amp;Tabla46782[[#This Row],[Columna4]], '[1]Anexos FICHA TRA050'!$E$27:$E$44&amp;'[1]Anexos FICHA TRA050'!$F$27:$F$44, 0)), "")</f>
        <v>6.99</v>
      </c>
      <c r="BE21" s="215">
        <f>IFERROR(INDEX('[1]Anexos FICHA TRA050'!$B$4:$B$7, MATCH(Tabla46782[[#This Row],[Columna4]], '[1]Anexos FICHA TRA050'!$C$4:$C$7, 0)), "")</f>
        <v>10</v>
      </c>
      <c r="BF21" s="215">
        <f>IFERROR(INDEX('[1]Anexos FICHA TRA050'!$C$14:$C$22, MATCH(Tabla46782[[#This Row],[Columna5]], '[1]Anexos FICHA TRA050'!$D$14:$D$22, 0)), "")</f>
        <v>17.920000000000002</v>
      </c>
      <c r="BG21" s="216">
        <f>IFERROR(INDEX('[1]Anexos FICHA TRA050'!$C$49:$C$54, MATCH(Tabla46782[[#This Row],[Columna5]], '[1]Anexos FICHA TRA050'!$D$49:$D$54, 0)), "")</f>
        <v>13073</v>
      </c>
      <c r="BH21" s="217">
        <f>+(((Tabla46782[[#This Row],[CVA2]]*Tabla46782[[#This Row],[f2]])-Tabla46782[[#This Row],[CVN2]])/100)*Tabla46782[[#This Row],[L2]]</f>
        <v>6795.3454000000002</v>
      </c>
      <c r="BI21" s="218"/>
      <c r="BJ21" s="218"/>
      <c r="BK21" s="218" t="str">
        <f>+IF(Tabla46782[[#This Row],[F3]]=Tabla46782[[#This Row],[f2]], "IGUAL", "DISTINTO")</f>
        <v>IGUAL</v>
      </c>
      <c r="BL21" s="218" t="str">
        <f>+IF(Tabla46782[[#This Row],[CVN]]=Tabla46782[[#This Row],[CVN2]], "IGUAL", "DISTINTO")</f>
        <v>DISTINTO</v>
      </c>
      <c r="BM21" s="219" t="str">
        <f>+IF(Tabla46782[[#This Row],[L]]=Tabla46782[[#This Row],[L2]], "IGUAL", "DISTINTO")</f>
        <v>IGUAL</v>
      </c>
    </row>
    <row r="22" spans="1:65" x14ac:dyDescent="0.25">
      <c r="A22">
        <v>19</v>
      </c>
      <c r="B22" s="202" t="s">
        <v>241</v>
      </c>
      <c r="C22" s="203" t="s">
        <v>242</v>
      </c>
      <c r="D22" s="203" t="s">
        <v>70</v>
      </c>
      <c r="E22" s="203" t="s">
        <v>78</v>
      </c>
      <c r="F22" s="203" t="s">
        <v>78</v>
      </c>
      <c r="G22" s="203" t="s">
        <v>70</v>
      </c>
      <c r="H22" s="203" t="s">
        <v>72</v>
      </c>
      <c r="I22" s="203"/>
      <c r="J22" s="203" t="s">
        <v>72</v>
      </c>
      <c r="K22" s="203"/>
      <c r="L22" s="203" t="s">
        <v>72</v>
      </c>
      <c r="M22" s="203" t="s">
        <v>72</v>
      </c>
      <c r="N22" s="203"/>
      <c r="O22" s="203" t="s">
        <v>73</v>
      </c>
      <c r="P22" s="203" t="s">
        <v>200</v>
      </c>
      <c r="Q22" s="203" t="s">
        <v>201</v>
      </c>
      <c r="R22" s="203" t="s">
        <v>76</v>
      </c>
      <c r="S22" s="209">
        <v>44133</v>
      </c>
      <c r="T22" s="205">
        <v>45594</v>
      </c>
      <c r="U22" s="205">
        <f>VLOOKUP(Tabla46782[[#This Row],[Matricula]],BAJA2022202320242025!$B$3:$CR$245,95,FALSE)</f>
        <v>45679</v>
      </c>
      <c r="V22" s="206">
        <v>1461</v>
      </c>
      <c r="W22" s="207">
        <v>2024</v>
      </c>
      <c r="X22" s="203" t="s">
        <v>77</v>
      </c>
      <c r="Y22" s="203" t="s">
        <v>78</v>
      </c>
      <c r="Z22" s="203" t="s">
        <v>213</v>
      </c>
      <c r="AA22" s="203" t="s">
        <v>237</v>
      </c>
      <c r="AB22" s="203" t="s">
        <v>119</v>
      </c>
      <c r="AC22" s="203" t="s">
        <v>120</v>
      </c>
      <c r="AD22" s="203" t="s">
        <v>243</v>
      </c>
      <c r="AE22" s="208">
        <v>4</v>
      </c>
      <c r="AF22" s="208" t="s">
        <v>244</v>
      </c>
      <c r="AG22" s="208" t="s">
        <v>140</v>
      </c>
      <c r="AH22" s="208" t="s">
        <v>151</v>
      </c>
      <c r="AI22" s="208" t="s">
        <v>87</v>
      </c>
      <c r="AJ22" s="208" t="s">
        <v>223</v>
      </c>
      <c r="AK22" s="205" t="s">
        <v>89</v>
      </c>
      <c r="AL22" s="204">
        <v>45622</v>
      </c>
      <c r="AM22" s="208">
        <v>0</v>
      </c>
      <c r="AN22" s="209" t="s">
        <v>119</v>
      </c>
      <c r="AO22" s="209" t="s">
        <v>245</v>
      </c>
      <c r="AP22" s="209" t="s">
        <v>120</v>
      </c>
      <c r="AQ22" s="209"/>
      <c r="AR22" s="209" t="s">
        <v>72</v>
      </c>
      <c r="AS22" s="209" t="s">
        <v>91</v>
      </c>
      <c r="AT22" s="209" t="s">
        <v>246</v>
      </c>
      <c r="AU22" s="210">
        <v>5.0999999999999996</v>
      </c>
      <c r="AV22" s="211">
        <v>10</v>
      </c>
      <c r="AW22" s="212">
        <v>16.399999999999999</v>
      </c>
      <c r="AX22" s="213">
        <v>13073</v>
      </c>
      <c r="AY22" s="213">
        <v>4523.2580000000007</v>
      </c>
      <c r="AZ22" s="210" t="s">
        <v>70</v>
      </c>
      <c r="BA22" s="209" t="s">
        <v>93</v>
      </c>
      <c r="BB22" s="214" t="str">
        <f>+IF(Tabla46782[[#This Row],[TIPO VEHÍCULO]]=Tabla46782[[#This Row],[Columna2]], "IGUAL", "DISTINTO")</f>
        <v>IGUAL</v>
      </c>
      <c r="BC22" s="214" t="str">
        <f>+IF(Tabla46782[[#This Row],[Columna4]]=Tabla46782[[#This Row],[Combustible2]], "IGUAL", "DISTINTO")</f>
        <v>IGUAL</v>
      </c>
      <c r="BD22" s="215" cm="1">
        <f t="array" ref="BD22">IFERROR(INDEX('[1]Anexos FICHA TRA050'!$D$27:$D$44, MATCH(Tabla46782[[#This Row],[Columna5]]&amp;Tabla46782[[#This Row],[Columna4]], '[1]Anexos FICHA TRA050'!$E$27:$E$44&amp;'[1]Anexos FICHA TRA050'!$F$27:$F$44, 0)), "")</f>
        <v>6.99</v>
      </c>
      <c r="BE22" s="215">
        <f>IFERROR(INDEX('[1]Anexos FICHA TRA050'!$B$4:$B$7, MATCH(Tabla46782[[#This Row],[Columna4]], '[1]Anexos FICHA TRA050'!$C$4:$C$7, 0)), "")</f>
        <v>10</v>
      </c>
      <c r="BF22" s="215">
        <f>IFERROR(INDEX('[1]Anexos FICHA TRA050'!$C$14:$C$22, MATCH(Tabla46782[[#This Row],[Columna5]], '[1]Anexos FICHA TRA050'!$D$14:$D$22, 0)), "")</f>
        <v>17.920000000000002</v>
      </c>
      <c r="BG22" s="216">
        <f>IFERROR(INDEX('[1]Anexos FICHA TRA050'!$C$49:$C$54, MATCH(Tabla46782[[#This Row],[Columna5]], '[1]Anexos FICHA TRA050'!$D$49:$D$54, 0)), "")</f>
        <v>13073</v>
      </c>
      <c r="BH22" s="217">
        <f>+(((Tabla46782[[#This Row],[CVA2]]*Tabla46782[[#This Row],[f2]])-Tabla46782[[#This Row],[CVN2]])/100)*Tabla46782[[#This Row],[L2]]</f>
        <v>6795.3454000000002</v>
      </c>
      <c r="BI22" s="218"/>
      <c r="BJ22" s="218"/>
      <c r="BK22" s="218" t="str">
        <f>+IF(Tabla46782[[#This Row],[F3]]=Tabla46782[[#This Row],[f2]], "IGUAL", "DISTINTO")</f>
        <v>IGUAL</v>
      </c>
      <c r="BL22" s="218" t="str">
        <f>+IF(Tabla46782[[#This Row],[CVN]]=Tabla46782[[#This Row],[CVN2]], "IGUAL", "DISTINTO")</f>
        <v>DISTINTO</v>
      </c>
      <c r="BM22" s="219" t="str">
        <f>+IF(Tabla46782[[#This Row],[L]]=Tabla46782[[#This Row],[L2]], "IGUAL", "DISTINTO")</f>
        <v>IGUAL</v>
      </c>
    </row>
    <row r="23" spans="1:65" x14ac:dyDescent="0.25">
      <c r="A23">
        <v>20</v>
      </c>
      <c r="B23" s="202" t="s">
        <v>247</v>
      </c>
      <c r="C23" s="203" t="s">
        <v>248</v>
      </c>
      <c r="D23" s="203" t="s">
        <v>70</v>
      </c>
      <c r="E23" s="203" t="s">
        <v>78</v>
      </c>
      <c r="F23" s="203" t="s">
        <v>78</v>
      </c>
      <c r="G23" s="203" t="s">
        <v>70</v>
      </c>
      <c r="H23" s="203" t="s">
        <v>72</v>
      </c>
      <c r="I23" s="203"/>
      <c r="J23" s="203"/>
      <c r="K23" s="203"/>
      <c r="L23" s="203" t="s">
        <v>249</v>
      </c>
      <c r="M23" s="203" t="s">
        <v>249</v>
      </c>
      <c r="N23" s="203"/>
      <c r="O23" s="203" t="s">
        <v>73</v>
      </c>
      <c r="P23" s="203" t="s">
        <v>200</v>
      </c>
      <c r="Q23" s="203" t="s">
        <v>201</v>
      </c>
      <c r="R23" s="203" t="s">
        <v>160</v>
      </c>
      <c r="S23" s="209">
        <v>44133</v>
      </c>
      <c r="T23" s="205">
        <v>45594</v>
      </c>
      <c r="U23" s="205">
        <f>VLOOKUP(Tabla46782[[#This Row],[Matricula]],BAJA2022202320242025!$B$3:$CR$245,95,FALSE)</f>
        <v>45594</v>
      </c>
      <c r="V23" s="206">
        <v>1461</v>
      </c>
      <c r="W23" s="207">
        <v>2024</v>
      </c>
      <c r="X23" s="203" t="s">
        <v>161</v>
      </c>
      <c r="Y23" s="203" t="s">
        <v>78</v>
      </c>
      <c r="Z23" s="203" t="s">
        <v>213</v>
      </c>
      <c r="AA23" s="203" t="s">
        <v>237</v>
      </c>
      <c r="AB23" s="203" t="s">
        <v>119</v>
      </c>
      <c r="AC23" s="203" t="s">
        <v>120</v>
      </c>
      <c r="AD23" s="203" t="s">
        <v>250</v>
      </c>
      <c r="AE23" s="208">
        <v>5</v>
      </c>
      <c r="AF23" s="208" t="s">
        <v>251</v>
      </c>
      <c r="AG23" s="208" t="s">
        <v>140</v>
      </c>
      <c r="AH23" s="208" t="s">
        <v>151</v>
      </c>
      <c r="AI23" s="208" t="s">
        <v>87</v>
      </c>
      <c r="AJ23" s="208" t="s">
        <v>252</v>
      </c>
      <c r="AK23" s="205" t="s">
        <v>89</v>
      </c>
      <c r="AL23" s="204">
        <v>45625</v>
      </c>
      <c r="AM23" s="208">
        <v>0</v>
      </c>
      <c r="AN23" s="209" t="s">
        <v>119</v>
      </c>
      <c r="AO23" s="209" t="s">
        <v>253</v>
      </c>
      <c r="AP23" s="209" t="s">
        <v>120</v>
      </c>
      <c r="AQ23" s="209"/>
      <c r="AR23" s="209" t="s">
        <v>72</v>
      </c>
      <c r="AS23" s="209" t="s">
        <v>91</v>
      </c>
      <c r="AT23" s="209" t="s">
        <v>254</v>
      </c>
      <c r="AU23" s="210">
        <v>5.0999999999999996</v>
      </c>
      <c r="AV23" s="211">
        <v>10</v>
      </c>
      <c r="AW23" s="212">
        <v>16.399999999999999</v>
      </c>
      <c r="AX23" s="213">
        <v>13073</v>
      </c>
      <c r="AY23" s="213">
        <v>4523.2580000000007</v>
      </c>
      <c r="AZ23" s="210" t="s">
        <v>70</v>
      </c>
      <c r="BA23" s="209" t="s">
        <v>255</v>
      </c>
      <c r="BB23" s="214" t="str">
        <f>+IF(Tabla46782[[#This Row],[TIPO VEHÍCULO]]=Tabla46782[[#This Row],[Columna2]], "IGUAL", "DISTINTO")</f>
        <v>IGUAL</v>
      </c>
      <c r="BC23" s="214" t="str">
        <f>+IF(Tabla46782[[#This Row],[Columna4]]=Tabla46782[[#This Row],[Combustible2]], "IGUAL", "DISTINTO")</f>
        <v>IGUAL</v>
      </c>
      <c r="BD23" s="215" cm="1">
        <f t="array" ref="BD23">IFERROR(INDEX('[1]Anexos FICHA TRA050'!$D$27:$D$44, MATCH(Tabla46782[[#This Row],[Columna5]]&amp;Tabla46782[[#This Row],[Columna4]], '[1]Anexos FICHA TRA050'!$E$27:$E$44&amp;'[1]Anexos FICHA TRA050'!$F$27:$F$44, 0)), "")</f>
        <v>6.99</v>
      </c>
      <c r="BE23" s="215">
        <f>IFERROR(INDEX('[1]Anexos FICHA TRA050'!$B$4:$B$7, MATCH(Tabla46782[[#This Row],[Columna4]], '[1]Anexos FICHA TRA050'!$C$4:$C$7, 0)), "")</f>
        <v>10</v>
      </c>
      <c r="BF23" s="215">
        <f>IFERROR(INDEX('[1]Anexos FICHA TRA050'!$C$14:$C$22, MATCH(Tabla46782[[#This Row],[Columna5]], '[1]Anexos FICHA TRA050'!$D$14:$D$22, 0)), "")</f>
        <v>17.920000000000002</v>
      </c>
      <c r="BG23" s="216">
        <f>IFERROR(INDEX('[1]Anexos FICHA TRA050'!$C$49:$C$54, MATCH(Tabla46782[[#This Row],[Columna5]], '[1]Anexos FICHA TRA050'!$D$49:$D$54, 0)), "")</f>
        <v>13073</v>
      </c>
      <c r="BH23" s="217">
        <f>+(((Tabla46782[[#This Row],[CVA2]]*Tabla46782[[#This Row],[f2]])-Tabla46782[[#This Row],[CVN2]])/100)*Tabla46782[[#This Row],[L2]]</f>
        <v>6795.3454000000002</v>
      </c>
      <c r="BI23" s="218"/>
      <c r="BJ23" s="218"/>
      <c r="BK23" s="218" t="str">
        <f>+IF(Tabla46782[[#This Row],[F3]]=Tabla46782[[#This Row],[f2]], "IGUAL", "DISTINTO")</f>
        <v>IGUAL</v>
      </c>
      <c r="BL23" s="218" t="str">
        <f>+IF(Tabla46782[[#This Row],[CVN]]=Tabla46782[[#This Row],[CVN2]], "IGUAL", "DISTINTO")</f>
        <v>DISTINTO</v>
      </c>
      <c r="BM23" s="219" t="str">
        <f>+IF(Tabla46782[[#This Row],[L]]=Tabla46782[[#This Row],[L2]], "IGUAL", "DISTINTO")</f>
        <v>IGUAL</v>
      </c>
    </row>
    <row r="24" spans="1:65" x14ac:dyDescent="0.25">
      <c r="A24">
        <v>21</v>
      </c>
      <c r="B24" s="202" t="s">
        <v>256</v>
      </c>
      <c r="C24" s="203" t="s">
        <v>257</v>
      </c>
      <c r="D24" s="203" t="s">
        <v>70</v>
      </c>
      <c r="E24" s="203" t="s">
        <v>78</v>
      </c>
      <c r="F24" s="203" t="s">
        <v>78</v>
      </c>
      <c r="G24" s="203" t="s">
        <v>70</v>
      </c>
      <c r="H24" s="203" t="s">
        <v>72</v>
      </c>
      <c r="I24" s="203"/>
      <c r="J24" s="203" t="s">
        <v>72</v>
      </c>
      <c r="K24" s="203"/>
      <c r="L24" s="203" t="s">
        <v>72</v>
      </c>
      <c r="M24" s="203" t="s">
        <v>72</v>
      </c>
      <c r="N24" s="203"/>
      <c r="O24" s="203" t="s">
        <v>73</v>
      </c>
      <c r="P24" s="203" t="s">
        <v>200</v>
      </c>
      <c r="Q24" s="203" t="s">
        <v>201</v>
      </c>
      <c r="R24" s="203" t="s">
        <v>76</v>
      </c>
      <c r="S24" s="209">
        <v>44133</v>
      </c>
      <c r="T24" s="205">
        <v>45594</v>
      </c>
      <c r="U24" s="205">
        <f>VLOOKUP(Tabla46782[[#This Row],[Matricula]],BAJA2022202320242025!$B$3:$CR$245,95,FALSE)</f>
        <v>45673</v>
      </c>
      <c r="V24" s="206">
        <v>1461</v>
      </c>
      <c r="W24" s="207">
        <v>2024</v>
      </c>
      <c r="X24" s="203" t="s">
        <v>77</v>
      </c>
      <c r="Y24" s="203" t="s">
        <v>78</v>
      </c>
      <c r="Z24" s="203" t="s">
        <v>213</v>
      </c>
      <c r="AA24" s="203" t="s">
        <v>237</v>
      </c>
      <c r="AB24" s="203" t="s">
        <v>119</v>
      </c>
      <c r="AC24" s="203" t="s">
        <v>120</v>
      </c>
      <c r="AD24" s="203" t="s">
        <v>258</v>
      </c>
      <c r="AE24" s="208">
        <v>6</v>
      </c>
      <c r="AF24" s="208" t="s">
        <v>259</v>
      </c>
      <c r="AG24" s="208" t="s">
        <v>140</v>
      </c>
      <c r="AH24" s="208" t="s">
        <v>151</v>
      </c>
      <c r="AI24" s="208" t="s">
        <v>87</v>
      </c>
      <c r="AJ24" s="208" t="s">
        <v>260</v>
      </c>
      <c r="AK24" s="205" t="s">
        <v>89</v>
      </c>
      <c r="AL24" s="204">
        <v>45625</v>
      </c>
      <c r="AM24" s="208">
        <v>0</v>
      </c>
      <c r="AN24" s="209" t="s">
        <v>119</v>
      </c>
      <c r="AO24" s="209" t="s">
        <v>261</v>
      </c>
      <c r="AP24" s="209" t="s">
        <v>120</v>
      </c>
      <c r="AQ24" s="209"/>
      <c r="AR24" s="209" t="s">
        <v>72</v>
      </c>
      <c r="AS24" s="209" t="s">
        <v>91</v>
      </c>
      <c r="AT24" s="209" t="s">
        <v>262</v>
      </c>
      <c r="AU24" s="210">
        <v>5.0999999999999996</v>
      </c>
      <c r="AV24" s="211">
        <v>10</v>
      </c>
      <c r="AW24" s="212">
        <v>16.399999999999999</v>
      </c>
      <c r="AX24" s="213">
        <v>13073</v>
      </c>
      <c r="AY24" s="213">
        <v>4523.2580000000007</v>
      </c>
      <c r="AZ24" s="210" t="s">
        <v>70</v>
      </c>
      <c r="BA24" s="209" t="s">
        <v>93</v>
      </c>
      <c r="BB24" s="214" t="str">
        <f>+IF(Tabla46782[[#This Row],[TIPO VEHÍCULO]]=Tabla46782[[#This Row],[Columna2]], "IGUAL", "DISTINTO")</f>
        <v>IGUAL</v>
      </c>
      <c r="BC24" s="214" t="str">
        <f>+IF(Tabla46782[[#This Row],[Columna4]]=Tabla46782[[#This Row],[Combustible2]], "IGUAL", "DISTINTO")</f>
        <v>IGUAL</v>
      </c>
      <c r="BD24" s="215" cm="1">
        <f t="array" ref="BD24">IFERROR(INDEX('[1]Anexos FICHA TRA050'!$D$27:$D$44, MATCH(Tabla46782[[#This Row],[Columna5]]&amp;Tabla46782[[#This Row],[Columna4]], '[1]Anexos FICHA TRA050'!$E$27:$E$44&amp;'[1]Anexos FICHA TRA050'!$F$27:$F$44, 0)), "")</f>
        <v>6.99</v>
      </c>
      <c r="BE24" s="215">
        <f>IFERROR(INDEX('[1]Anexos FICHA TRA050'!$B$4:$B$7, MATCH(Tabla46782[[#This Row],[Columna4]], '[1]Anexos FICHA TRA050'!$C$4:$C$7, 0)), "")</f>
        <v>10</v>
      </c>
      <c r="BF24" s="215">
        <f>IFERROR(INDEX('[1]Anexos FICHA TRA050'!$C$14:$C$22, MATCH(Tabla46782[[#This Row],[Columna5]], '[1]Anexos FICHA TRA050'!$D$14:$D$22, 0)), "")</f>
        <v>17.920000000000002</v>
      </c>
      <c r="BG24" s="216">
        <f>IFERROR(INDEX('[1]Anexos FICHA TRA050'!$C$49:$C$54, MATCH(Tabla46782[[#This Row],[Columna5]], '[1]Anexos FICHA TRA050'!$D$49:$D$54, 0)), "")</f>
        <v>13073</v>
      </c>
      <c r="BH24" s="217">
        <f>+(((Tabla46782[[#This Row],[CVA2]]*Tabla46782[[#This Row],[f2]])-Tabla46782[[#This Row],[CVN2]])/100)*Tabla46782[[#This Row],[L2]]</f>
        <v>6795.3454000000002</v>
      </c>
      <c r="BI24" s="218"/>
      <c r="BJ24" s="218"/>
      <c r="BK24" s="218" t="str">
        <f>+IF(Tabla46782[[#This Row],[F3]]=Tabla46782[[#This Row],[f2]], "IGUAL", "DISTINTO")</f>
        <v>IGUAL</v>
      </c>
      <c r="BL24" s="218" t="str">
        <f>+IF(Tabla46782[[#This Row],[CVN]]=Tabla46782[[#This Row],[CVN2]], "IGUAL", "DISTINTO")</f>
        <v>DISTINTO</v>
      </c>
      <c r="BM24" s="219" t="str">
        <f>+IF(Tabla46782[[#This Row],[L]]=Tabla46782[[#This Row],[L2]], "IGUAL", "DISTINTO")</f>
        <v>IGUAL</v>
      </c>
    </row>
    <row r="25" spans="1:65" x14ac:dyDescent="0.25">
      <c r="A25">
        <v>22</v>
      </c>
      <c r="B25" s="202" t="s">
        <v>263</v>
      </c>
      <c r="C25" s="203" t="s">
        <v>264</v>
      </c>
      <c r="D25" s="203" t="s">
        <v>70</v>
      </c>
      <c r="E25" s="203" t="s">
        <v>78</v>
      </c>
      <c r="F25" s="203" t="s">
        <v>78</v>
      </c>
      <c r="G25" s="203" t="s">
        <v>70</v>
      </c>
      <c r="H25" s="203" t="s">
        <v>72</v>
      </c>
      <c r="I25" s="203"/>
      <c r="J25" s="203" t="s">
        <v>72</v>
      </c>
      <c r="K25" s="203"/>
      <c r="L25" s="203" t="s">
        <v>72</v>
      </c>
      <c r="M25" s="203" t="s">
        <v>72</v>
      </c>
      <c r="N25" s="203"/>
      <c r="O25" s="203" t="s">
        <v>73</v>
      </c>
      <c r="P25" s="203" t="s">
        <v>200</v>
      </c>
      <c r="Q25" s="203" t="s">
        <v>201</v>
      </c>
      <c r="R25" s="203" t="s">
        <v>76</v>
      </c>
      <c r="S25" s="209">
        <v>44133</v>
      </c>
      <c r="T25" s="205">
        <v>45594</v>
      </c>
      <c r="U25" s="205">
        <f>VLOOKUP(Tabla46782[[#This Row],[Matricula]],BAJA2022202320242025!$B$3:$CR$245,95,FALSE)</f>
        <v>45671</v>
      </c>
      <c r="V25" s="206">
        <v>1461</v>
      </c>
      <c r="W25" s="207">
        <v>2024</v>
      </c>
      <c r="X25" s="203" t="s">
        <v>77</v>
      </c>
      <c r="Y25" s="203" t="s">
        <v>78</v>
      </c>
      <c r="Z25" s="203" t="s">
        <v>213</v>
      </c>
      <c r="AA25" s="203" t="s">
        <v>237</v>
      </c>
      <c r="AB25" s="203" t="s">
        <v>119</v>
      </c>
      <c r="AC25" s="203" t="s">
        <v>120</v>
      </c>
      <c r="AD25" s="203" t="s">
        <v>265</v>
      </c>
      <c r="AE25" s="208">
        <v>7</v>
      </c>
      <c r="AF25" s="208" t="s">
        <v>266</v>
      </c>
      <c r="AG25" s="208" t="s">
        <v>140</v>
      </c>
      <c r="AH25" s="208" t="s">
        <v>151</v>
      </c>
      <c r="AI25" s="208" t="s">
        <v>87</v>
      </c>
      <c r="AJ25" s="208" t="s">
        <v>267</v>
      </c>
      <c r="AK25" s="205" t="s">
        <v>89</v>
      </c>
      <c r="AL25" s="204">
        <v>45625</v>
      </c>
      <c r="AM25" s="208">
        <v>0</v>
      </c>
      <c r="AN25" s="209" t="s">
        <v>119</v>
      </c>
      <c r="AO25" s="209" t="s">
        <v>268</v>
      </c>
      <c r="AP25" s="209" t="s">
        <v>120</v>
      </c>
      <c r="AQ25" s="209"/>
      <c r="AR25" s="209" t="s">
        <v>72</v>
      </c>
      <c r="AS25" s="209" t="s">
        <v>91</v>
      </c>
      <c r="AT25" s="209" t="s">
        <v>269</v>
      </c>
      <c r="AU25" s="210">
        <v>5.0999999999999996</v>
      </c>
      <c r="AV25" s="211">
        <v>10</v>
      </c>
      <c r="AW25" s="212">
        <v>16.399999999999999</v>
      </c>
      <c r="AX25" s="213">
        <v>13073</v>
      </c>
      <c r="AY25" s="213">
        <v>4523.2580000000007</v>
      </c>
      <c r="AZ25" s="210" t="s">
        <v>70</v>
      </c>
      <c r="BA25" s="209" t="s">
        <v>93</v>
      </c>
      <c r="BB25" s="214" t="str">
        <f>+IF(Tabla46782[[#This Row],[TIPO VEHÍCULO]]=Tabla46782[[#This Row],[Columna2]], "IGUAL", "DISTINTO")</f>
        <v>IGUAL</v>
      </c>
      <c r="BC25" s="214" t="str">
        <f>+IF(Tabla46782[[#This Row],[Columna4]]=Tabla46782[[#This Row],[Combustible2]], "IGUAL", "DISTINTO")</f>
        <v>IGUAL</v>
      </c>
      <c r="BD25" s="215" cm="1">
        <f t="array" ref="BD25">IFERROR(INDEX('[1]Anexos FICHA TRA050'!$D$27:$D$44, MATCH(Tabla46782[[#This Row],[Columna5]]&amp;Tabla46782[[#This Row],[Columna4]], '[1]Anexos FICHA TRA050'!$E$27:$E$44&amp;'[1]Anexos FICHA TRA050'!$F$27:$F$44, 0)), "")</f>
        <v>6.99</v>
      </c>
      <c r="BE25" s="215">
        <f>IFERROR(INDEX('[1]Anexos FICHA TRA050'!$B$4:$B$7, MATCH(Tabla46782[[#This Row],[Columna4]], '[1]Anexos FICHA TRA050'!$C$4:$C$7, 0)), "")</f>
        <v>10</v>
      </c>
      <c r="BF25" s="215">
        <f>IFERROR(INDEX('[1]Anexos FICHA TRA050'!$C$14:$C$22, MATCH(Tabla46782[[#This Row],[Columna5]], '[1]Anexos FICHA TRA050'!$D$14:$D$22, 0)), "")</f>
        <v>17.920000000000002</v>
      </c>
      <c r="BG25" s="216">
        <f>IFERROR(INDEX('[1]Anexos FICHA TRA050'!$C$49:$C$54, MATCH(Tabla46782[[#This Row],[Columna5]], '[1]Anexos FICHA TRA050'!$D$49:$D$54, 0)), "")</f>
        <v>13073</v>
      </c>
      <c r="BH25" s="217">
        <f>+(((Tabla46782[[#This Row],[CVA2]]*Tabla46782[[#This Row],[f2]])-Tabla46782[[#This Row],[CVN2]])/100)*Tabla46782[[#This Row],[L2]]</f>
        <v>6795.3454000000002</v>
      </c>
      <c r="BI25" s="218"/>
      <c r="BJ25" s="218"/>
      <c r="BK25" s="218" t="str">
        <f>+IF(Tabla46782[[#This Row],[F3]]=Tabla46782[[#This Row],[f2]], "IGUAL", "DISTINTO")</f>
        <v>IGUAL</v>
      </c>
      <c r="BL25" s="218" t="str">
        <f>+IF(Tabla46782[[#This Row],[CVN]]=Tabla46782[[#This Row],[CVN2]], "IGUAL", "DISTINTO")</f>
        <v>DISTINTO</v>
      </c>
      <c r="BM25" s="219" t="str">
        <f>+IF(Tabla46782[[#This Row],[L]]=Tabla46782[[#This Row],[L2]], "IGUAL", "DISTINTO")</f>
        <v>IGUAL</v>
      </c>
    </row>
    <row r="26" spans="1:65" x14ac:dyDescent="0.25">
      <c r="A26">
        <v>23</v>
      </c>
      <c r="B26" s="202" t="s">
        <v>270</v>
      </c>
      <c r="C26" s="203" t="s">
        <v>271</v>
      </c>
      <c r="D26" s="203" t="s">
        <v>70</v>
      </c>
      <c r="E26" s="203" t="s">
        <v>78</v>
      </c>
      <c r="F26" s="203" t="s">
        <v>78</v>
      </c>
      <c r="G26" s="203" t="s">
        <v>70</v>
      </c>
      <c r="H26" s="203" t="s">
        <v>72</v>
      </c>
      <c r="I26" s="203"/>
      <c r="J26" s="203" t="s">
        <v>72</v>
      </c>
      <c r="K26" s="203"/>
      <c r="L26" s="203" t="s">
        <v>72</v>
      </c>
      <c r="M26" s="203" t="s">
        <v>72</v>
      </c>
      <c r="N26" s="203"/>
      <c r="O26" s="203" t="s">
        <v>73</v>
      </c>
      <c r="P26" s="203" t="s">
        <v>200</v>
      </c>
      <c r="Q26" s="203" t="s">
        <v>201</v>
      </c>
      <c r="R26" s="203" t="s">
        <v>76</v>
      </c>
      <c r="S26" s="209">
        <v>44134</v>
      </c>
      <c r="T26" s="205">
        <v>45595</v>
      </c>
      <c r="U26" s="205">
        <f>VLOOKUP(Tabla46782[[#This Row],[Matricula]],BAJA2022202320242025!$B$3:$CR$245,95,FALSE)</f>
        <v>45667</v>
      </c>
      <c r="V26" s="206">
        <v>1461</v>
      </c>
      <c r="W26" s="207">
        <v>2024</v>
      </c>
      <c r="X26" s="203" t="s">
        <v>77</v>
      </c>
      <c r="Y26" s="203" t="s">
        <v>78</v>
      </c>
      <c r="Z26" s="203" t="s">
        <v>213</v>
      </c>
      <c r="AA26" s="203" t="s">
        <v>237</v>
      </c>
      <c r="AB26" s="203" t="s">
        <v>81</v>
      </c>
      <c r="AC26" s="203" t="s">
        <v>82</v>
      </c>
      <c r="AD26" s="203" t="s">
        <v>164</v>
      </c>
      <c r="AE26" s="208">
        <v>8</v>
      </c>
      <c r="AF26" s="208" t="s">
        <v>272</v>
      </c>
      <c r="AG26" s="208" t="s">
        <v>140</v>
      </c>
      <c r="AH26" s="208" t="s">
        <v>151</v>
      </c>
      <c r="AI26" s="208" t="s">
        <v>87</v>
      </c>
      <c r="AJ26" s="208" t="s">
        <v>164</v>
      </c>
      <c r="AK26" s="205" t="s">
        <v>89</v>
      </c>
      <c r="AL26" s="204">
        <v>45625</v>
      </c>
      <c r="AM26" s="208">
        <v>0</v>
      </c>
      <c r="AN26" s="209" t="s">
        <v>81</v>
      </c>
      <c r="AO26" s="209" t="s">
        <v>273</v>
      </c>
      <c r="AP26" s="209" t="s">
        <v>82</v>
      </c>
      <c r="AQ26" s="209"/>
      <c r="AR26" s="209" t="s">
        <v>72</v>
      </c>
      <c r="AS26" s="209" t="s">
        <v>91</v>
      </c>
      <c r="AT26" s="209" t="s">
        <v>274</v>
      </c>
      <c r="AU26" s="210">
        <v>5.0999999999999996</v>
      </c>
      <c r="AV26" s="211">
        <v>10</v>
      </c>
      <c r="AW26" s="212">
        <v>16.399999999999999</v>
      </c>
      <c r="AX26" s="213">
        <v>13073</v>
      </c>
      <c r="AY26" s="213">
        <v>4523.2580000000007</v>
      </c>
      <c r="AZ26" s="210" t="s">
        <v>70</v>
      </c>
      <c r="BA26" s="209" t="s">
        <v>93</v>
      </c>
      <c r="BB26" s="214" t="str">
        <f>+IF(Tabla46782[[#This Row],[TIPO VEHÍCULO]]=Tabla46782[[#This Row],[Columna2]], "IGUAL", "DISTINTO")</f>
        <v>IGUAL</v>
      </c>
      <c r="BC26" s="214" t="str">
        <f>+IF(Tabla46782[[#This Row],[Columna4]]=Tabla46782[[#This Row],[Combustible2]], "IGUAL", "DISTINTO")</f>
        <v>IGUAL</v>
      </c>
      <c r="BD26" s="215" cm="1">
        <f t="array" ref="BD26">IFERROR(INDEX('[1]Anexos FICHA TRA050'!$D$27:$D$44, MATCH(Tabla46782[[#This Row],[Columna5]]&amp;Tabla46782[[#This Row],[Columna4]], '[1]Anexos FICHA TRA050'!$E$27:$E$44&amp;'[1]Anexos FICHA TRA050'!$F$27:$F$44, 0)), "")</f>
        <v>6.99</v>
      </c>
      <c r="BE26" s="215">
        <f>IFERROR(INDEX('[1]Anexos FICHA TRA050'!$B$4:$B$7, MATCH(Tabla46782[[#This Row],[Columna4]], '[1]Anexos FICHA TRA050'!$C$4:$C$7, 0)), "")</f>
        <v>10</v>
      </c>
      <c r="BF26" s="215">
        <f>IFERROR(INDEX('[1]Anexos FICHA TRA050'!$C$14:$C$22, MATCH(Tabla46782[[#This Row],[Columna5]], '[1]Anexos FICHA TRA050'!$D$14:$D$22, 0)), "")</f>
        <v>17.920000000000002</v>
      </c>
      <c r="BG26" s="216">
        <f>IFERROR(INDEX('[1]Anexos FICHA TRA050'!$C$49:$C$54, MATCH(Tabla46782[[#This Row],[Columna5]], '[1]Anexos FICHA TRA050'!$D$49:$D$54, 0)), "")</f>
        <v>13073</v>
      </c>
      <c r="BH26" s="217">
        <f>+(((Tabla46782[[#This Row],[CVA2]]*Tabla46782[[#This Row],[f2]])-Tabla46782[[#This Row],[CVN2]])/100)*Tabla46782[[#This Row],[L2]]</f>
        <v>6795.3454000000002</v>
      </c>
      <c r="BI26" s="218"/>
      <c r="BJ26" s="218"/>
      <c r="BK26" s="218" t="str">
        <f>+IF(Tabla46782[[#This Row],[F3]]=Tabla46782[[#This Row],[f2]], "IGUAL", "DISTINTO")</f>
        <v>IGUAL</v>
      </c>
      <c r="BL26" s="218" t="str">
        <f>+IF(Tabla46782[[#This Row],[CVN]]=Tabla46782[[#This Row],[CVN2]], "IGUAL", "DISTINTO")</f>
        <v>DISTINTO</v>
      </c>
      <c r="BM26" s="219" t="str">
        <f>+IF(Tabla46782[[#This Row],[L]]=Tabla46782[[#This Row],[L2]], "IGUAL", "DISTINTO")</f>
        <v>IGUAL</v>
      </c>
    </row>
    <row r="27" spans="1:65" x14ac:dyDescent="0.25">
      <c r="A27">
        <v>24</v>
      </c>
      <c r="B27" s="202" t="s">
        <v>275</v>
      </c>
      <c r="C27" s="203" t="s">
        <v>276</v>
      </c>
      <c r="D27" s="203" t="s">
        <v>70</v>
      </c>
      <c r="E27" s="203" t="s">
        <v>78</v>
      </c>
      <c r="F27" s="203" t="s">
        <v>78</v>
      </c>
      <c r="G27" s="203" t="s">
        <v>70</v>
      </c>
      <c r="H27" s="203" t="s">
        <v>72</v>
      </c>
      <c r="I27" s="203"/>
      <c r="J27" s="203" t="s">
        <v>72</v>
      </c>
      <c r="K27" s="203"/>
      <c r="L27" s="203" t="s">
        <v>72</v>
      </c>
      <c r="M27" s="203" t="s">
        <v>72</v>
      </c>
      <c r="N27" s="203"/>
      <c r="O27" s="203" t="s">
        <v>73</v>
      </c>
      <c r="P27" s="203" t="s">
        <v>200</v>
      </c>
      <c r="Q27" s="203" t="s">
        <v>201</v>
      </c>
      <c r="R27" s="203" t="s">
        <v>76</v>
      </c>
      <c r="S27" s="209">
        <v>44166</v>
      </c>
      <c r="T27" s="205">
        <v>45627</v>
      </c>
      <c r="U27" s="205">
        <f>VLOOKUP(Tabla46782[[#This Row],[Matricula]],BAJA2022202320242025!$B$3:$CR$245,95,FALSE)</f>
        <v>45686</v>
      </c>
      <c r="V27" s="206">
        <v>1461</v>
      </c>
      <c r="W27" s="207">
        <v>2024</v>
      </c>
      <c r="X27" s="203" t="s">
        <v>77</v>
      </c>
      <c r="Y27" s="203" t="s">
        <v>78</v>
      </c>
      <c r="Z27" s="203" t="s">
        <v>213</v>
      </c>
      <c r="AA27" s="203" t="s">
        <v>237</v>
      </c>
      <c r="AB27" s="203" t="s">
        <v>204</v>
      </c>
      <c r="AC27" s="203" t="s">
        <v>205</v>
      </c>
      <c r="AD27" s="203" t="s">
        <v>230</v>
      </c>
      <c r="AE27" s="208">
        <v>4</v>
      </c>
      <c r="AF27" s="208" t="s">
        <v>277</v>
      </c>
      <c r="AG27" s="208" t="s">
        <v>140</v>
      </c>
      <c r="AH27" s="208" t="s">
        <v>151</v>
      </c>
      <c r="AI27" s="208" t="s">
        <v>87</v>
      </c>
      <c r="AJ27" s="208" t="s">
        <v>278</v>
      </c>
      <c r="AK27" s="205" t="s">
        <v>89</v>
      </c>
      <c r="AL27" s="204">
        <v>45638</v>
      </c>
      <c r="AM27" s="208">
        <v>0</v>
      </c>
      <c r="AN27" s="209" t="s">
        <v>204</v>
      </c>
      <c r="AO27" s="209" t="s">
        <v>279</v>
      </c>
      <c r="AP27" s="209" t="s">
        <v>205</v>
      </c>
      <c r="AQ27" s="209"/>
      <c r="AR27" s="209" t="s">
        <v>72</v>
      </c>
      <c r="AS27" s="209" t="s">
        <v>91</v>
      </c>
      <c r="AT27" s="209" t="s">
        <v>280</v>
      </c>
      <c r="AU27" s="210">
        <v>5.0999999999999996</v>
      </c>
      <c r="AV27" s="211">
        <v>10</v>
      </c>
      <c r="AW27" s="212">
        <v>16.399999999999999</v>
      </c>
      <c r="AX27" s="213">
        <v>13073</v>
      </c>
      <c r="AY27" s="213">
        <v>4523.2580000000007</v>
      </c>
      <c r="AZ27" s="210" t="s">
        <v>70</v>
      </c>
      <c r="BA27" s="209" t="s">
        <v>93</v>
      </c>
      <c r="BB27" s="214" t="str">
        <f>+IF(Tabla46782[[#This Row],[TIPO VEHÍCULO]]=Tabla46782[[#This Row],[Columna2]], "IGUAL", "DISTINTO")</f>
        <v>IGUAL</v>
      </c>
      <c r="BC27" s="214" t="str">
        <f>+IF(Tabla46782[[#This Row],[Columna4]]=Tabla46782[[#This Row],[Combustible2]], "IGUAL", "DISTINTO")</f>
        <v>IGUAL</v>
      </c>
      <c r="BD27" s="215" cm="1">
        <f t="array" ref="BD27">IFERROR(INDEX('[1]Anexos FICHA TRA050'!$D$27:$D$44, MATCH(Tabla46782[[#This Row],[Columna5]]&amp;Tabla46782[[#This Row],[Columna4]], '[1]Anexos FICHA TRA050'!$E$27:$E$44&amp;'[1]Anexos FICHA TRA050'!$F$27:$F$44, 0)), "")</f>
        <v>6.99</v>
      </c>
      <c r="BE27" s="215">
        <f>IFERROR(INDEX('[1]Anexos FICHA TRA050'!$B$4:$B$7, MATCH(Tabla46782[[#This Row],[Columna4]], '[1]Anexos FICHA TRA050'!$C$4:$C$7, 0)), "")</f>
        <v>10</v>
      </c>
      <c r="BF27" s="215">
        <f>IFERROR(INDEX('[1]Anexos FICHA TRA050'!$C$14:$C$22, MATCH(Tabla46782[[#This Row],[Columna5]], '[1]Anexos FICHA TRA050'!$D$14:$D$22, 0)), "")</f>
        <v>17.920000000000002</v>
      </c>
      <c r="BG27" s="216">
        <f>IFERROR(INDEX('[1]Anexos FICHA TRA050'!$C$49:$C$54, MATCH(Tabla46782[[#This Row],[Columna5]], '[1]Anexos FICHA TRA050'!$D$49:$D$54, 0)), "")</f>
        <v>13073</v>
      </c>
      <c r="BH27" s="217">
        <f>+(((Tabla46782[[#This Row],[CVA2]]*Tabla46782[[#This Row],[f2]])-Tabla46782[[#This Row],[CVN2]])/100)*Tabla46782[[#This Row],[L2]]</f>
        <v>6795.3454000000002</v>
      </c>
      <c r="BI27" s="218"/>
      <c r="BJ27" s="218"/>
      <c r="BK27" s="218" t="str">
        <f>+IF(Tabla46782[[#This Row],[F3]]=Tabla46782[[#This Row],[f2]], "IGUAL", "DISTINTO")</f>
        <v>IGUAL</v>
      </c>
      <c r="BL27" s="218" t="str">
        <f>+IF(Tabla46782[[#This Row],[CVN]]=Tabla46782[[#This Row],[CVN2]], "IGUAL", "DISTINTO")</f>
        <v>DISTINTO</v>
      </c>
      <c r="BM27" s="219" t="str">
        <f>+IF(Tabla46782[[#This Row],[L]]=Tabla46782[[#This Row],[L2]], "IGUAL", "DISTINTO")</f>
        <v>IGUAL</v>
      </c>
    </row>
    <row r="28" spans="1:65" x14ac:dyDescent="0.25">
      <c r="A28">
        <v>25</v>
      </c>
      <c r="B28" s="202" t="s">
        <v>281</v>
      </c>
      <c r="C28" s="203" t="s">
        <v>282</v>
      </c>
      <c r="D28" s="203" t="s">
        <v>70</v>
      </c>
      <c r="E28" s="203" t="s">
        <v>78</v>
      </c>
      <c r="F28" s="203" t="s">
        <v>78</v>
      </c>
      <c r="G28" s="203" t="s">
        <v>70</v>
      </c>
      <c r="H28" s="203" t="s">
        <v>72</v>
      </c>
      <c r="I28" s="203"/>
      <c r="J28" s="203" t="s">
        <v>72</v>
      </c>
      <c r="K28" s="203"/>
      <c r="L28" s="203" t="s">
        <v>72</v>
      </c>
      <c r="M28" s="203" t="s">
        <v>72</v>
      </c>
      <c r="N28" s="203"/>
      <c r="O28" s="203" t="s">
        <v>73</v>
      </c>
      <c r="P28" s="203" t="s">
        <v>200</v>
      </c>
      <c r="Q28" s="203" t="s">
        <v>201</v>
      </c>
      <c r="R28" s="203" t="s">
        <v>76</v>
      </c>
      <c r="S28" s="209">
        <v>44166</v>
      </c>
      <c r="T28" s="205">
        <v>45627</v>
      </c>
      <c r="U28" s="205">
        <f>VLOOKUP(Tabla46782[[#This Row],[Matricula]],BAJA2022202320242025!$B$3:$CR$245,95,FALSE)</f>
        <v>45673</v>
      </c>
      <c r="V28" s="206">
        <v>1461</v>
      </c>
      <c r="W28" s="207">
        <v>2024</v>
      </c>
      <c r="X28" s="203" t="s">
        <v>77</v>
      </c>
      <c r="Y28" s="203" t="s">
        <v>78</v>
      </c>
      <c r="Z28" s="203" t="s">
        <v>213</v>
      </c>
      <c r="AA28" s="203" t="s">
        <v>237</v>
      </c>
      <c r="AB28" s="203" t="s">
        <v>81</v>
      </c>
      <c r="AC28" s="203" t="s">
        <v>82</v>
      </c>
      <c r="AD28" s="203" t="s">
        <v>88</v>
      </c>
      <c r="AE28" s="208">
        <v>9</v>
      </c>
      <c r="AF28" s="208" t="s">
        <v>283</v>
      </c>
      <c r="AG28" s="208" t="s">
        <v>140</v>
      </c>
      <c r="AH28" s="208" t="s">
        <v>151</v>
      </c>
      <c r="AI28" s="208" t="s">
        <v>87</v>
      </c>
      <c r="AJ28" s="208" t="s">
        <v>88</v>
      </c>
      <c r="AK28" s="205" t="s">
        <v>89</v>
      </c>
      <c r="AL28" s="204">
        <v>45625</v>
      </c>
      <c r="AM28" s="208">
        <v>0</v>
      </c>
      <c r="AN28" s="209" t="s">
        <v>81</v>
      </c>
      <c r="AO28" s="209" t="s">
        <v>284</v>
      </c>
      <c r="AP28" s="209" t="s">
        <v>82</v>
      </c>
      <c r="AQ28" s="209"/>
      <c r="AR28" s="209" t="s">
        <v>72</v>
      </c>
      <c r="AS28" s="209" t="s">
        <v>91</v>
      </c>
      <c r="AT28" s="209" t="s">
        <v>285</v>
      </c>
      <c r="AU28" s="210">
        <v>5.0999999999999996</v>
      </c>
      <c r="AV28" s="211">
        <v>10</v>
      </c>
      <c r="AW28" s="212">
        <v>16.399999999999999</v>
      </c>
      <c r="AX28" s="213">
        <v>13073</v>
      </c>
      <c r="AY28" s="213">
        <v>4523.2580000000007</v>
      </c>
      <c r="AZ28" s="210" t="s">
        <v>70</v>
      </c>
      <c r="BA28" s="209" t="s">
        <v>93</v>
      </c>
      <c r="BB28" s="214" t="str">
        <f>+IF(Tabla46782[[#This Row],[TIPO VEHÍCULO]]=Tabla46782[[#This Row],[Columna2]], "IGUAL", "DISTINTO")</f>
        <v>IGUAL</v>
      </c>
      <c r="BC28" s="214" t="str">
        <f>+IF(Tabla46782[[#This Row],[Columna4]]=Tabla46782[[#This Row],[Combustible2]], "IGUAL", "DISTINTO")</f>
        <v>IGUAL</v>
      </c>
      <c r="BD28" s="215" cm="1">
        <f t="array" ref="BD28">IFERROR(INDEX('[1]Anexos FICHA TRA050'!$D$27:$D$44, MATCH(Tabla46782[[#This Row],[Columna5]]&amp;Tabla46782[[#This Row],[Columna4]], '[1]Anexos FICHA TRA050'!$E$27:$E$44&amp;'[1]Anexos FICHA TRA050'!$F$27:$F$44, 0)), "")</f>
        <v>6.99</v>
      </c>
      <c r="BE28" s="215">
        <f>IFERROR(INDEX('[1]Anexos FICHA TRA050'!$B$4:$B$7, MATCH(Tabla46782[[#This Row],[Columna4]], '[1]Anexos FICHA TRA050'!$C$4:$C$7, 0)), "")</f>
        <v>10</v>
      </c>
      <c r="BF28" s="215">
        <f>IFERROR(INDEX('[1]Anexos FICHA TRA050'!$C$14:$C$22, MATCH(Tabla46782[[#This Row],[Columna5]], '[1]Anexos FICHA TRA050'!$D$14:$D$22, 0)), "")</f>
        <v>17.920000000000002</v>
      </c>
      <c r="BG28" s="216">
        <f>IFERROR(INDEX('[1]Anexos FICHA TRA050'!$C$49:$C$54, MATCH(Tabla46782[[#This Row],[Columna5]], '[1]Anexos FICHA TRA050'!$D$49:$D$54, 0)), "")</f>
        <v>13073</v>
      </c>
      <c r="BH28" s="217">
        <f>+(((Tabla46782[[#This Row],[CVA2]]*Tabla46782[[#This Row],[f2]])-Tabla46782[[#This Row],[CVN2]])/100)*Tabla46782[[#This Row],[L2]]</f>
        <v>6795.3454000000002</v>
      </c>
      <c r="BI28" s="218"/>
      <c r="BJ28" s="218"/>
      <c r="BK28" s="218" t="str">
        <f>+IF(Tabla46782[[#This Row],[F3]]=Tabla46782[[#This Row],[f2]], "IGUAL", "DISTINTO")</f>
        <v>IGUAL</v>
      </c>
      <c r="BL28" s="218" t="str">
        <f>+IF(Tabla46782[[#This Row],[CVN]]=Tabla46782[[#This Row],[CVN2]], "IGUAL", "DISTINTO")</f>
        <v>DISTINTO</v>
      </c>
      <c r="BM28" s="219" t="str">
        <f>+IF(Tabla46782[[#This Row],[L]]=Tabla46782[[#This Row],[L2]], "IGUAL", "DISTINTO")</f>
        <v>IGUAL</v>
      </c>
    </row>
    <row r="29" spans="1:65" x14ac:dyDescent="0.25">
      <c r="A29">
        <v>26</v>
      </c>
      <c r="B29" s="202" t="s">
        <v>286</v>
      </c>
      <c r="C29" s="203" t="s">
        <v>287</v>
      </c>
      <c r="D29" s="203" t="s">
        <v>70</v>
      </c>
      <c r="E29" s="203" t="s">
        <v>78</v>
      </c>
      <c r="F29" s="203" t="s">
        <v>78</v>
      </c>
      <c r="G29" s="203" t="s">
        <v>70</v>
      </c>
      <c r="H29" s="203" t="s">
        <v>72</v>
      </c>
      <c r="I29" s="203"/>
      <c r="J29" s="203" t="s">
        <v>72</v>
      </c>
      <c r="K29" s="203"/>
      <c r="L29" s="203" t="s">
        <v>72</v>
      </c>
      <c r="M29" s="203" t="s">
        <v>72</v>
      </c>
      <c r="N29" s="203"/>
      <c r="O29" s="203" t="s">
        <v>73</v>
      </c>
      <c r="P29" s="203" t="s">
        <v>200</v>
      </c>
      <c r="Q29" s="203" t="s">
        <v>201</v>
      </c>
      <c r="R29" s="203" t="s">
        <v>76</v>
      </c>
      <c r="S29" s="209">
        <v>44166</v>
      </c>
      <c r="T29" s="205">
        <v>45627</v>
      </c>
      <c r="U29" s="205">
        <f>VLOOKUP(Tabla46782[[#This Row],[Matricula]],BAJA2022202320242025!$B$3:$CR$245,95,FALSE)</f>
        <v>45687</v>
      </c>
      <c r="V29" s="206">
        <v>1461</v>
      </c>
      <c r="W29" s="207">
        <v>2024</v>
      </c>
      <c r="X29" s="203" t="s">
        <v>77</v>
      </c>
      <c r="Y29" s="203" t="s">
        <v>78</v>
      </c>
      <c r="Z29" s="203" t="s">
        <v>213</v>
      </c>
      <c r="AA29" s="203" t="s">
        <v>237</v>
      </c>
      <c r="AB29" s="203" t="s">
        <v>204</v>
      </c>
      <c r="AC29" s="203" t="s">
        <v>205</v>
      </c>
      <c r="AD29" s="203" t="s">
        <v>230</v>
      </c>
      <c r="AE29" s="208">
        <v>5</v>
      </c>
      <c r="AF29" s="208" t="s">
        <v>288</v>
      </c>
      <c r="AG29" s="208" t="s">
        <v>140</v>
      </c>
      <c r="AH29" s="208" t="s">
        <v>151</v>
      </c>
      <c r="AI29" s="208" t="s">
        <v>87</v>
      </c>
      <c r="AJ29" s="208" t="s">
        <v>289</v>
      </c>
      <c r="AK29" s="205" t="s">
        <v>89</v>
      </c>
      <c r="AL29" s="204">
        <v>45638</v>
      </c>
      <c r="AM29" s="208">
        <v>0</v>
      </c>
      <c r="AN29" s="209" t="s">
        <v>204</v>
      </c>
      <c r="AO29" s="209" t="s">
        <v>290</v>
      </c>
      <c r="AP29" s="209" t="s">
        <v>205</v>
      </c>
      <c r="AQ29" s="209"/>
      <c r="AR29" s="209" t="s">
        <v>72</v>
      </c>
      <c r="AS29" s="209" t="s">
        <v>91</v>
      </c>
      <c r="AT29" s="209" t="s">
        <v>291</v>
      </c>
      <c r="AU29" s="210">
        <v>5.0999999999999996</v>
      </c>
      <c r="AV29" s="211">
        <v>10</v>
      </c>
      <c r="AW29" s="212">
        <v>16.399999999999999</v>
      </c>
      <c r="AX29" s="213">
        <v>13073</v>
      </c>
      <c r="AY29" s="213">
        <v>4523.2580000000007</v>
      </c>
      <c r="AZ29" s="210" t="s">
        <v>70</v>
      </c>
      <c r="BA29" s="209" t="s">
        <v>93</v>
      </c>
      <c r="BB29" s="214" t="str">
        <f>+IF(Tabla46782[[#This Row],[TIPO VEHÍCULO]]=Tabla46782[[#This Row],[Columna2]], "IGUAL", "DISTINTO")</f>
        <v>IGUAL</v>
      </c>
      <c r="BC29" s="214" t="str">
        <f>+IF(Tabla46782[[#This Row],[Columna4]]=Tabla46782[[#This Row],[Combustible2]], "IGUAL", "DISTINTO")</f>
        <v>IGUAL</v>
      </c>
      <c r="BD29" s="215" cm="1">
        <f t="array" ref="BD29">IFERROR(INDEX('[1]Anexos FICHA TRA050'!$D$27:$D$44, MATCH(Tabla46782[[#This Row],[Columna5]]&amp;Tabla46782[[#This Row],[Columna4]], '[1]Anexos FICHA TRA050'!$E$27:$E$44&amp;'[1]Anexos FICHA TRA050'!$F$27:$F$44, 0)), "")</f>
        <v>6.99</v>
      </c>
      <c r="BE29" s="215">
        <f>IFERROR(INDEX('[1]Anexos FICHA TRA050'!$B$4:$B$7, MATCH(Tabla46782[[#This Row],[Columna4]], '[1]Anexos FICHA TRA050'!$C$4:$C$7, 0)), "")</f>
        <v>10</v>
      </c>
      <c r="BF29" s="215">
        <f>IFERROR(INDEX('[1]Anexos FICHA TRA050'!$C$14:$C$22, MATCH(Tabla46782[[#This Row],[Columna5]], '[1]Anexos FICHA TRA050'!$D$14:$D$22, 0)), "")</f>
        <v>17.920000000000002</v>
      </c>
      <c r="BG29" s="216">
        <f>IFERROR(INDEX('[1]Anexos FICHA TRA050'!$C$49:$C$54, MATCH(Tabla46782[[#This Row],[Columna5]], '[1]Anexos FICHA TRA050'!$D$49:$D$54, 0)), "")</f>
        <v>13073</v>
      </c>
      <c r="BH29" s="217">
        <f>+(((Tabla46782[[#This Row],[CVA2]]*Tabla46782[[#This Row],[f2]])-Tabla46782[[#This Row],[CVN2]])/100)*Tabla46782[[#This Row],[L2]]</f>
        <v>6795.3454000000002</v>
      </c>
      <c r="BI29" s="218"/>
      <c r="BJ29" s="218"/>
      <c r="BK29" s="218" t="str">
        <f>+IF(Tabla46782[[#This Row],[F3]]=Tabla46782[[#This Row],[f2]], "IGUAL", "DISTINTO")</f>
        <v>IGUAL</v>
      </c>
      <c r="BL29" s="218" t="str">
        <f>+IF(Tabla46782[[#This Row],[CVN]]=Tabla46782[[#This Row],[CVN2]], "IGUAL", "DISTINTO")</f>
        <v>DISTINTO</v>
      </c>
      <c r="BM29" s="219" t="str">
        <f>+IF(Tabla46782[[#This Row],[L]]=Tabla46782[[#This Row],[L2]], "IGUAL", "DISTINTO")</f>
        <v>IGUAL</v>
      </c>
    </row>
    <row r="30" spans="1:65" x14ac:dyDescent="0.25">
      <c r="A30">
        <v>27</v>
      </c>
      <c r="B30" s="202" t="s">
        <v>292</v>
      </c>
      <c r="C30" s="203" t="s">
        <v>293</v>
      </c>
      <c r="D30" s="203" t="s">
        <v>70</v>
      </c>
      <c r="E30" s="203" t="s">
        <v>78</v>
      </c>
      <c r="F30" s="203" t="s">
        <v>78</v>
      </c>
      <c r="G30" s="203" t="s">
        <v>70</v>
      </c>
      <c r="H30" s="203" t="s">
        <v>72</v>
      </c>
      <c r="I30" s="203"/>
      <c r="J30" s="203" t="s">
        <v>72</v>
      </c>
      <c r="K30" s="203"/>
      <c r="L30" s="203" t="s">
        <v>72</v>
      </c>
      <c r="M30" s="203" t="s">
        <v>72</v>
      </c>
      <c r="N30" s="203"/>
      <c r="O30" s="203" t="s">
        <v>73</v>
      </c>
      <c r="P30" s="203" t="s">
        <v>200</v>
      </c>
      <c r="Q30" s="203" t="s">
        <v>201</v>
      </c>
      <c r="R30" s="203" t="s">
        <v>76</v>
      </c>
      <c r="S30" s="209">
        <v>44179</v>
      </c>
      <c r="T30" s="205">
        <v>45640</v>
      </c>
      <c r="U30" s="205">
        <f>VLOOKUP(Tabla46782[[#This Row],[Matricula]],BAJA2022202320242025!$B$3:$CR$245,95,FALSE)</f>
        <v>45680</v>
      </c>
      <c r="V30" s="206">
        <v>1461</v>
      </c>
      <c r="W30" s="207">
        <v>2024</v>
      </c>
      <c r="X30" s="203" t="s">
        <v>77</v>
      </c>
      <c r="Y30" s="203" t="s">
        <v>78</v>
      </c>
      <c r="Z30" s="203" t="s">
        <v>213</v>
      </c>
      <c r="AA30" s="203" t="s">
        <v>237</v>
      </c>
      <c r="AB30" s="203" t="s">
        <v>119</v>
      </c>
      <c r="AC30" s="203" t="s">
        <v>120</v>
      </c>
      <c r="AD30" s="203" t="s">
        <v>294</v>
      </c>
      <c r="AE30" s="208">
        <v>8</v>
      </c>
      <c r="AF30" s="208" t="s">
        <v>295</v>
      </c>
      <c r="AG30" s="208" t="s">
        <v>140</v>
      </c>
      <c r="AH30" s="208" t="s">
        <v>151</v>
      </c>
      <c r="AI30" s="208" t="s">
        <v>87</v>
      </c>
      <c r="AJ30" s="208" t="s">
        <v>296</v>
      </c>
      <c r="AK30" s="205" t="s">
        <v>89</v>
      </c>
      <c r="AL30" s="204">
        <v>45625</v>
      </c>
      <c r="AM30" s="208">
        <v>0</v>
      </c>
      <c r="AN30" s="209" t="s">
        <v>119</v>
      </c>
      <c r="AO30" s="209" t="s">
        <v>297</v>
      </c>
      <c r="AP30" s="209" t="s">
        <v>120</v>
      </c>
      <c r="AQ30" s="209"/>
      <c r="AR30" s="209" t="s">
        <v>72</v>
      </c>
      <c r="AS30" s="209" t="s">
        <v>91</v>
      </c>
      <c r="AT30" s="209" t="s">
        <v>298</v>
      </c>
      <c r="AU30" s="210">
        <v>5.0999999999999996</v>
      </c>
      <c r="AV30" s="211">
        <v>10</v>
      </c>
      <c r="AW30" s="212">
        <v>16.399999999999999</v>
      </c>
      <c r="AX30" s="213">
        <v>13073</v>
      </c>
      <c r="AY30" s="213">
        <v>4523.2580000000007</v>
      </c>
      <c r="AZ30" s="210" t="s">
        <v>70</v>
      </c>
      <c r="BA30" s="209" t="s">
        <v>93</v>
      </c>
      <c r="BB30" s="214" t="str">
        <f>+IF(Tabla46782[[#This Row],[TIPO VEHÍCULO]]=Tabla46782[[#This Row],[Columna2]], "IGUAL", "DISTINTO")</f>
        <v>IGUAL</v>
      </c>
      <c r="BC30" s="214" t="str">
        <f>+IF(Tabla46782[[#This Row],[Columna4]]=Tabla46782[[#This Row],[Combustible2]], "IGUAL", "DISTINTO")</f>
        <v>IGUAL</v>
      </c>
      <c r="BD30" s="215" cm="1">
        <f t="array" ref="BD30">IFERROR(INDEX('[1]Anexos FICHA TRA050'!$D$27:$D$44, MATCH(Tabla46782[[#This Row],[Columna5]]&amp;Tabla46782[[#This Row],[Columna4]], '[1]Anexos FICHA TRA050'!$E$27:$E$44&amp;'[1]Anexos FICHA TRA050'!$F$27:$F$44, 0)), "")</f>
        <v>6.99</v>
      </c>
      <c r="BE30" s="215">
        <f>IFERROR(INDEX('[1]Anexos FICHA TRA050'!$B$4:$B$7, MATCH(Tabla46782[[#This Row],[Columna4]], '[1]Anexos FICHA TRA050'!$C$4:$C$7, 0)), "")</f>
        <v>10</v>
      </c>
      <c r="BF30" s="215">
        <f>IFERROR(INDEX('[1]Anexos FICHA TRA050'!$C$14:$C$22, MATCH(Tabla46782[[#This Row],[Columna5]], '[1]Anexos FICHA TRA050'!$D$14:$D$22, 0)), "")</f>
        <v>17.920000000000002</v>
      </c>
      <c r="BG30" s="216">
        <f>IFERROR(INDEX('[1]Anexos FICHA TRA050'!$C$49:$C$54, MATCH(Tabla46782[[#This Row],[Columna5]], '[1]Anexos FICHA TRA050'!$D$49:$D$54, 0)), "")</f>
        <v>13073</v>
      </c>
      <c r="BH30" s="217">
        <f>+(((Tabla46782[[#This Row],[CVA2]]*Tabla46782[[#This Row],[f2]])-Tabla46782[[#This Row],[CVN2]])/100)*Tabla46782[[#This Row],[L2]]</f>
        <v>6795.3454000000002</v>
      </c>
      <c r="BI30" s="218"/>
      <c r="BJ30" s="218"/>
      <c r="BK30" s="218" t="str">
        <f>+IF(Tabla46782[[#This Row],[F3]]=Tabla46782[[#This Row],[f2]], "IGUAL", "DISTINTO")</f>
        <v>IGUAL</v>
      </c>
      <c r="BL30" s="218" t="str">
        <f>+IF(Tabla46782[[#This Row],[CVN]]=Tabla46782[[#This Row],[CVN2]], "IGUAL", "DISTINTO")</f>
        <v>DISTINTO</v>
      </c>
      <c r="BM30" s="219" t="str">
        <f>+IF(Tabla46782[[#This Row],[L]]=Tabla46782[[#This Row],[L2]], "IGUAL", "DISTINTO")</f>
        <v>IGUAL</v>
      </c>
    </row>
    <row r="31" spans="1:65" x14ac:dyDescent="0.25">
      <c r="A31">
        <v>28</v>
      </c>
      <c r="B31" s="202" t="s">
        <v>299</v>
      </c>
      <c r="C31" s="203" t="s">
        <v>300</v>
      </c>
      <c r="D31" s="203" t="s">
        <v>70</v>
      </c>
      <c r="E31" s="203" t="s">
        <v>78</v>
      </c>
      <c r="F31" s="203" t="s">
        <v>78</v>
      </c>
      <c r="G31" s="203" t="s">
        <v>70</v>
      </c>
      <c r="H31" s="203" t="s">
        <v>72</v>
      </c>
      <c r="I31" s="203"/>
      <c r="J31" s="203" t="s">
        <v>72</v>
      </c>
      <c r="K31" s="203"/>
      <c r="L31" s="203" t="s">
        <v>72</v>
      </c>
      <c r="M31" s="203" t="s">
        <v>72</v>
      </c>
      <c r="N31" s="203"/>
      <c r="O31" s="203" t="s">
        <v>73</v>
      </c>
      <c r="P31" s="203" t="s">
        <v>200</v>
      </c>
      <c r="Q31" s="203" t="s">
        <v>201</v>
      </c>
      <c r="R31" s="203" t="s">
        <v>76</v>
      </c>
      <c r="S31" s="209">
        <v>44153</v>
      </c>
      <c r="T31" s="205">
        <v>45614</v>
      </c>
      <c r="U31" s="205">
        <f>VLOOKUP(Tabla46782[[#This Row],[Matricula]],BAJA2022202320242025!$B$3:$CR$245,95,FALSE)</f>
        <v>45692</v>
      </c>
      <c r="V31" s="206">
        <v>1461</v>
      </c>
      <c r="W31" s="207">
        <v>2024</v>
      </c>
      <c r="X31" s="203" t="s">
        <v>77</v>
      </c>
      <c r="Y31" s="203" t="s">
        <v>78</v>
      </c>
      <c r="Z31" s="203" t="s">
        <v>213</v>
      </c>
      <c r="AA31" s="203" t="s">
        <v>237</v>
      </c>
      <c r="AB31" s="203" t="s">
        <v>102</v>
      </c>
      <c r="AC31" s="203" t="s">
        <v>103</v>
      </c>
      <c r="AD31" s="203" t="s">
        <v>301</v>
      </c>
      <c r="AE31" s="208">
        <v>3</v>
      </c>
      <c r="AF31" s="208" t="s">
        <v>302</v>
      </c>
      <c r="AG31" s="208" t="s">
        <v>85</v>
      </c>
      <c r="AH31" s="208" t="s">
        <v>86</v>
      </c>
      <c r="AI31" s="208" t="s">
        <v>87</v>
      </c>
      <c r="AJ31" s="208" t="s">
        <v>303</v>
      </c>
      <c r="AK31" s="205" t="s">
        <v>89</v>
      </c>
      <c r="AL31" s="204">
        <v>45625</v>
      </c>
      <c r="AM31" s="208">
        <v>0</v>
      </c>
      <c r="AN31" s="209" t="s">
        <v>102</v>
      </c>
      <c r="AO31" s="209" t="s">
        <v>304</v>
      </c>
      <c r="AP31" s="209" t="s">
        <v>103</v>
      </c>
      <c r="AQ31" s="209"/>
      <c r="AR31" s="209" t="s">
        <v>72</v>
      </c>
      <c r="AS31" s="209" t="s">
        <v>109</v>
      </c>
      <c r="AT31" s="209" t="s">
        <v>305</v>
      </c>
      <c r="AU31" s="210">
        <v>5.0999999999999996</v>
      </c>
      <c r="AV31" s="211">
        <v>10</v>
      </c>
      <c r="AW31" s="212">
        <v>17.3</v>
      </c>
      <c r="AX31" s="213">
        <v>13073</v>
      </c>
      <c r="AY31" s="213">
        <v>4405.6010000000006</v>
      </c>
      <c r="AZ31" s="210" t="s">
        <v>70</v>
      </c>
      <c r="BA31" s="209" t="s">
        <v>93</v>
      </c>
      <c r="BB31" s="214" t="str">
        <f>+IF(Tabla46782[[#This Row],[TIPO VEHÍCULO]]=Tabla46782[[#This Row],[Columna2]], "IGUAL", "DISTINTO")</f>
        <v>IGUAL</v>
      </c>
      <c r="BC31" s="214" t="str">
        <f>+IF(Tabla46782[[#This Row],[Columna4]]=Tabla46782[[#This Row],[Combustible2]], "IGUAL", "DISTINTO")</f>
        <v>IGUAL</v>
      </c>
      <c r="BD31" s="215" cm="1">
        <f t="array" ref="BD31">IFERROR(INDEX('[1]Anexos FICHA TRA050'!$D$27:$D$44, MATCH(Tabla46782[[#This Row],[Columna5]]&amp;Tabla46782[[#This Row],[Columna4]], '[1]Anexos FICHA TRA050'!$E$27:$E$44&amp;'[1]Anexos FICHA TRA050'!$F$27:$F$44, 0)), "")</f>
        <v>6.99</v>
      </c>
      <c r="BE31" s="215">
        <f>IFERROR(INDEX('[1]Anexos FICHA TRA050'!$B$4:$B$7, MATCH(Tabla46782[[#This Row],[Columna4]], '[1]Anexos FICHA TRA050'!$C$4:$C$7, 0)), "")</f>
        <v>10</v>
      </c>
      <c r="BF31" s="215">
        <f>IFERROR(INDEX('[1]Anexos FICHA TRA050'!$C$14:$C$22, MATCH(Tabla46782[[#This Row],[Columna5]], '[1]Anexos FICHA TRA050'!$D$14:$D$22, 0)), "")</f>
        <v>17.920000000000002</v>
      </c>
      <c r="BG31" s="216">
        <f>IFERROR(INDEX('[1]Anexos FICHA TRA050'!$C$49:$C$54, MATCH(Tabla46782[[#This Row],[Columna5]], '[1]Anexos FICHA TRA050'!$D$49:$D$54, 0)), "")</f>
        <v>13073</v>
      </c>
      <c r="BH31" s="217">
        <f>+(((Tabla46782[[#This Row],[CVA2]]*Tabla46782[[#This Row],[f2]])-Tabla46782[[#This Row],[CVN2]])/100)*Tabla46782[[#This Row],[L2]]</f>
        <v>6795.3454000000002</v>
      </c>
      <c r="BI31" s="218"/>
      <c r="BJ31" s="218"/>
      <c r="BK31" s="218" t="str">
        <f>+IF(Tabla46782[[#This Row],[F3]]=Tabla46782[[#This Row],[f2]], "IGUAL", "DISTINTO")</f>
        <v>IGUAL</v>
      </c>
      <c r="BL31" s="218" t="str">
        <f>+IF(Tabla46782[[#This Row],[CVN]]=Tabla46782[[#This Row],[CVN2]], "IGUAL", "DISTINTO")</f>
        <v>DISTINTO</v>
      </c>
      <c r="BM31" s="219" t="str">
        <f>+IF(Tabla46782[[#This Row],[L]]=Tabla46782[[#This Row],[L2]], "IGUAL", "DISTINTO")</f>
        <v>IGUAL</v>
      </c>
    </row>
    <row r="32" spans="1:65" x14ac:dyDescent="0.25">
      <c r="A32">
        <v>29</v>
      </c>
      <c r="B32" s="202" t="s">
        <v>306</v>
      </c>
      <c r="C32" s="203" t="s">
        <v>307</v>
      </c>
      <c r="D32" s="203" t="s">
        <v>70</v>
      </c>
      <c r="E32" s="203" t="s">
        <v>78</v>
      </c>
      <c r="F32" s="203" t="s">
        <v>78</v>
      </c>
      <c r="G32" s="203" t="s">
        <v>70</v>
      </c>
      <c r="H32" s="203" t="s">
        <v>72</v>
      </c>
      <c r="I32" s="203"/>
      <c r="J32" s="203" t="s">
        <v>72</v>
      </c>
      <c r="K32" s="203"/>
      <c r="L32" s="203" t="s">
        <v>72</v>
      </c>
      <c r="M32" s="203" t="s">
        <v>72</v>
      </c>
      <c r="N32" s="203"/>
      <c r="O32" s="203" t="s">
        <v>73</v>
      </c>
      <c r="P32" s="203" t="s">
        <v>200</v>
      </c>
      <c r="Q32" s="203" t="s">
        <v>201</v>
      </c>
      <c r="R32" s="203" t="s">
        <v>76</v>
      </c>
      <c r="S32" s="209">
        <v>44153</v>
      </c>
      <c r="T32" s="205">
        <v>45614</v>
      </c>
      <c r="U32" s="205">
        <f>VLOOKUP(Tabla46782[[#This Row],[Matricula]],BAJA2022202320242025!$B$3:$CR$245,95,FALSE)</f>
        <v>45684</v>
      </c>
      <c r="V32" s="206">
        <v>1461</v>
      </c>
      <c r="W32" s="207">
        <v>2024</v>
      </c>
      <c r="X32" s="203" t="s">
        <v>77</v>
      </c>
      <c r="Y32" s="203" t="s">
        <v>78</v>
      </c>
      <c r="Z32" s="203" t="s">
        <v>213</v>
      </c>
      <c r="AA32" s="203" t="s">
        <v>237</v>
      </c>
      <c r="AB32" s="203" t="s">
        <v>308</v>
      </c>
      <c r="AC32" s="203" t="s">
        <v>309</v>
      </c>
      <c r="AD32" s="203" t="s">
        <v>310</v>
      </c>
      <c r="AE32" s="208">
        <v>1</v>
      </c>
      <c r="AF32" s="208" t="s">
        <v>311</v>
      </c>
      <c r="AG32" s="208" t="s">
        <v>85</v>
      </c>
      <c r="AH32" s="208" t="s">
        <v>86</v>
      </c>
      <c r="AI32" s="208" t="s">
        <v>87</v>
      </c>
      <c r="AJ32" s="208" t="s">
        <v>312</v>
      </c>
      <c r="AK32" s="205" t="s">
        <v>89</v>
      </c>
      <c r="AL32" s="204">
        <v>45649</v>
      </c>
      <c r="AM32" s="208">
        <v>0</v>
      </c>
      <c r="AN32" s="209" t="s">
        <v>308</v>
      </c>
      <c r="AO32" s="209" t="s">
        <v>72</v>
      </c>
      <c r="AP32" s="209" t="s">
        <v>309</v>
      </c>
      <c r="AQ32" s="209"/>
      <c r="AR32" s="209" t="s">
        <v>72</v>
      </c>
      <c r="AS32" s="209" t="s">
        <v>91</v>
      </c>
      <c r="AT32" s="209" t="s">
        <v>313</v>
      </c>
      <c r="AU32" s="210">
        <v>5.0999999999999996</v>
      </c>
      <c r="AV32" s="211">
        <v>10</v>
      </c>
      <c r="AW32" s="212">
        <v>17.3</v>
      </c>
      <c r="AX32" s="213">
        <v>13073</v>
      </c>
      <c r="AY32" s="213">
        <v>4405.6010000000006</v>
      </c>
      <c r="AZ32" s="210" t="s">
        <v>70</v>
      </c>
      <c r="BA32" s="209" t="s">
        <v>93</v>
      </c>
      <c r="BB32" s="214" t="str">
        <f>+IF(Tabla46782[[#This Row],[TIPO VEHÍCULO]]=Tabla46782[[#This Row],[Columna2]], "IGUAL", "DISTINTO")</f>
        <v>IGUAL</v>
      </c>
      <c r="BC32" s="214" t="str">
        <f>+IF(Tabla46782[[#This Row],[Columna4]]=Tabla46782[[#This Row],[Combustible2]], "IGUAL", "DISTINTO")</f>
        <v>IGUAL</v>
      </c>
      <c r="BD32" s="215" cm="1">
        <f t="array" ref="BD32">IFERROR(INDEX('[1]Anexos FICHA TRA050'!$D$27:$D$44, MATCH(Tabla46782[[#This Row],[Columna5]]&amp;Tabla46782[[#This Row],[Columna4]], '[1]Anexos FICHA TRA050'!$E$27:$E$44&amp;'[1]Anexos FICHA TRA050'!$F$27:$F$44, 0)), "")</f>
        <v>6.99</v>
      </c>
      <c r="BE32" s="215">
        <f>IFERROR(INDEX('[1]Anexos FICHA TRA050'!$B$4:$B$7, MATCH(Tabla46782[[#This Row],[Columna4]], '[1]Anexos FICHA TRA050'!$C$4:$C$7, 0)), "")</f>
        <v>10</v>
      </c>
      <c r="BF32" s="215">
        <f>IFERROR(INDEX('[1]Anexos FICHA TRA050'!$C$14:$C$22, MATCH(Tabla46782[[#This Row],[Columna5]], '[1]Anexos FICHA TRA050'!$D$14:$D$22, 0)), "")</f>
        <v>17.920000000000002</v>
      </c>
      <c r="BG32" s="216">
        <f>IFERROR(INDEX('[1]Anexos FICHA TRA050'!$C$49:$C$54, MATCH(Tabla46782[[#This Row],[Columna5]], '[1]Anexos FICHA TRA050'!$D$49:$D$54, 0)), "")</f>
        <v>13073</v>
      </c>
      <c r="BH32" s="217">
        <f>+(((Tabla46782[[#This Row],[CVA2]]*Tabla46782[[#This Row],[f2]])-Tabla46782[[#This Row],[CVN2]])/100)*Tabla46782[[#This Row],[L2]]</f>
        <v>6795.3454000000002</v>
      </c>
      <c r="BI32" s="218"/>
      <c r="BJ32" s="218"/>
      <c r="BK32" s="218" t="str">
        <f>+IF(Tabla46782[[#This Row],[F3]]=Tabla46782[[#This Row],[f2]], "IGUAL", "DISTINTO")</f>
        <v>IGUAL</v>
      </c>
      <c r="BL32" s="218" t="str">
        <f>+IF(Tabla46782[[#This Row],[CVN]]=Tabla46782[[#This Row],[CVN2]], "IGUAL", "DISTINTO")</f>
        <v>DISTINTO</v>
      </c>
      <c r="BM32" s="219" t="str">
        <f>+IF(Tabla46782[[#This Row],[L]]=Tabla46782[[#This Row],[L2]], "IGUAL", "DISTINTO")</f>
        <v>IGUAL</v>
      </c>
    </row>
    <row r="33" spans="1:146" x14ac:dyDescent="0.25">
      <c r="A33">
        <v>30</v>
      </c>
      <c r="B33" s="202" t="s">
        <v>314</v>
      </c>
      <c r="C33" s="203" t="s">
        <v>315</v>
      </c>
      <c r="D33" s="203" t="s">
        <v>70</v>
      </c>
      <c r="E33" s="203" t="s">
        <v>78</v>
      </c>
      <c r="F33" s="203" t="s">
        <v>78</v>
      </c>
      <c r="G33" s="203" t="s">
        <v>70</v>
      </c>
      <c r="H33" s="203" t="s">
        <v>72</v>
      </c>
      <c r="I33" s="203"/>
      <c r="J33" s="203" t="s">
        <v>72</v>
      </c>
      <c r="K33" s="203"/>
      <c r="L33" s="203" t="s">
        <v>72</v>
      </c>
      <c r="M33" s="203" t="s">
        <v>72</v>
      </c>
      <c r="N33" s="203"/>
      <c r="O33" s="203" t="s">
        <v>73</v>
      </c>
      <c r="P33" s="203" t="s">
        <v>200</v>
      </c>
      <c r="Q33" s="203" t="s">
        <v>201</v>
      </c>
      <c r="R33" s="203" t="s">
        <v>76</v>
      </c>
      <c r="S33" s="209">
        <v>44166</v>
      </c>
      <c r="T33" s="205">
        <v>45627</v>
      </c>
      <c r="U33" s="205">
        <f>VLOOKUP(Tabla46782[[#This Row],[Matricula]],BAJA2022202320242025!$B$3:$CR$245,95,FALSE)</f>
        <v>45670</v>
      </c>
      <c r="V33" s="206">
        <v>1461</v>
      </c>
      <c r="W33" s="207">
        <v>2024</v>
      </c>
      <c r="X33" s="203" t="s">
        <v>77</v>
      </c>
      <c r="Y33" s="203" t="s">
        <v>78</v>
      </c>
      <c r="Z33" s="203" t="s">
        <v>213</v>
      </c>
      <c r="AA33" s="203" t="s">
        <v>237</v>
      </c>
      <c r="AB33" s="203" t="s">
        <v>131</v>
      </c>
      <c r="AC33" s="203" t="s">
        <v>132</v>
      </c>
      <c r="AD33" s="203" t="s">
        <v>316</v>
      </c>
      <c r="AE33" s="208">
        <v>2</v>
      </c>
      <c r="AF33" s="208" t="s">
        <v>317</v>
      </c>
      <c r="AG33" s="208" t="s">
        <v>85</v>
      </c>
      <c r="AH33" s="208" t="s">
        <v>86</v>
      </c>
      <c r="AI33" s="208" t="s">
        <v>87</v>
      </c>
      <c r="AJ33" s="208" t="s">
        <v>318</v>
      </c>
      <c r="AK33" s="205" t="s">
        <v>89</v>
      </c>
      <c r="AL33" s="204">
        <v>45625</v>
      </c>
      <c r="AM33" s="208">
        <v>0</v>
      </c>
      <c r="AN33" s="209" t="s">
        <v>131</v>
      </c>
      <c r="AO33" s="209" t="s">
        <v>319</v>
      </c>
      <c r="AP33" s="209" t="s">
        <v>132</v>
      </c>
      <c r="AQ33" s="209"/>
      <c r="AR33" s="209" t="s">
        <v>72</v>
      </c>
      <c r="AS33" s="209" t="s">
        <v>91</v>
      </c>
      <c r="AT33" s="209" t="s">
        <v>320</v>
      </c>
      <c r="AU33" s="210">
        <v>5.0999999999999996</v>
      </c>
      <c r="AV33" s="211">
        <v>10</v>
      </c>
      <c r="AW33" s="212">
        <v>17.3</v>
      </c>
      <c r="AX33" s="213">
        <v>13073</v>
      </c>
      <c r="AY33" s="213">
        <v>4405.6010000000006</v>
      </c>
      <c r="AZ33" s="210" t="s">
        <v>70</v>
      </c>
      <c r="BA33" s="209" t="s">
        <v>93</v>
      </c>
      <c r="BB33" s="214" t="str">
        <f>+IF(Tabla46782[[#This Row],[TIPO VEHÍCULO]]=Tabla46782[[#This Row],[Columna2]], "IGUAL", "DISTINTO")</f>
        <v>IGUAL</v>
      </c>
      <c r="BC33" s="214" t="str">
        <f>+IF(Tabla46782[[#This Row],[Columna4]]=Tabla46782[[#This Row],[Combustible2]], "IGUAL", "DISTINTO")</f>
        <v>IGUAL</v>
      </c>
      <c r="BD33" s="215" cm="1">
        <f t="array" ref="BD33">IFERROR(INDEX('[1]Anexos FICHA TRA050'!$D$27:$D$44, MATCH(Tabla46782[[#This Row],[Columna5]]&amp;Tabla46782[[#This Row],[Columna4]], '[1]Anexos FICHA TRA050'!$E$27:$E$44&amp;'[1]Anexos FICHA TRA050'!$F$27:$F$44, 0)), "")</f>
        <v>6.99</v>
      </c>
      <c r="BE33" s="215">
        <f>IFERROR(INDEX('[1]Anexos FICHA TRA050'!$B$4:$B$7, MATCH(Tabla46782[[#This Row],[Columna4]], '[1]Anexos FICHA TRA050'!$C$4:$C$7, 0)), "")</f>
        <v>10</v>
      </c>
      <c r="BF33" s="215">
        <f>IFERROR(INDEX('[1]Anexos FICHA TRA050'!$C$14:$C$22, MATCH(Tabla46782[[#This Row],[Columna5]], '[1]Anexos FICHA TRA050'!$D$14:$D$22, 0)), "")</f>
        <v>17.920000000000002</v>
      </c>
      <c r="BG33" s="216">
        <f>IFERROR(INDEX('[1]Anexos FICHA TRA050'!$C$49:$C$54, MATCH(Tabla46782[[#This Row],[Columna5]], '[1]Anexos FICHA TRA050'!$D$49:$D$54, 0)), "")</f>
        <v>13073</v>
      </c>
      <c r="BH33" s="217">
        <f>+(((Tabla46782[[#This Row],[CVA2]]*Tabla46782[[#This Row],[f2]])-Tabla46782[[#This Row],[CVN2]])/100)*Tabla46782[[#This Row],[L2]]</f>
        <v>6795.3454000000002</v>
      </c>
      <c r="BI33" s="218"/>
      <c r="BJ33" s="218"/>
      <c r="BK33" s="218" t="str">
        <f>+IF(Tabla46782[[#This Row],[F3]]=Tabla46782[[#This Row],[f2]], "IGUAL", "DISTINTO")</f>
        <v>IGUAL</v>
      </c>
      <c r="BL33" s="218" t="str">
        <f>+IF(Tabla46782[[#This Row],[CVN]]=Tabla46782[[#This Row],[CVN2]], "IGUAL", "DISTINTO")</f>
        <v>DISTINTO</v>
      </c>
      <c r="BM33" s="219" t="str">
        <f>+IF(Tabla46782[[#This Row],[L]]=Tabla46782[[#This Row],[L2]], "IGUAL", "DISTINTO")</f>
        <v>IGUAL</v>
      </c>
    </row>
    <row r="34" spans="1:146" x14ac:dyDescent="0.25">
      <c r="A34">
        <v>31</v>
      </c>
      <c r="B34" s="202" t="s">
        <v>321</v>
      </c>
      <c r="C34" s="203" t="s">
        <v>322</v>
      </c>
      <c r="D34" s="203" t="s">
        <v>70</v>
      </c>
      <c r="E34" s="203" t="s">
        <v>78</v>
      </c>
      <c r="F34" s="203" t="s">
        <v>78</v>
      </c>
      <c r="G34" s="203" t="s">
        <v>70</v>
      </c>
      <c r="H34" s="203" t="s">
        <v>72</v>
      </c>
      <c r="I34" s="203"/>
      <c r="J34" s="203" t="s">
        <v>72</v>
      </c>
      <c r="K34" s="203"/>
      <c r="L34" s="203" t="s">
        <v>72</v>
      </c>
      <c r="M34" s="203" t="s">
        <v>72</v>
      </c>
      <c r="N34" s="203"/>
      <c r="O34" s="203" t="s">
        <v>73</v>
      </c>
      <c r="P34" s="203" t="s">
        <v>200</v>
      </c>
      <c r="Q34" s="203" t="s">
        <v>201</v>
      </c>
      <c r="R34" s="203" t="s">
        <v>76</v>
      </c>
      <c r="S34" s="209">
        <v>44215</v>
      </c>
      <c r="T34" s="205">
        <v>45676</v>
      </c>
      <c r="U34" s="205">
        <f>VLOOKUP(Tabla46782[[#This Row],[Matricula]],BAJA2022202320242025!$B$3:$CR$245,95,FALSE)</f>
        <v>45677</v>
      </c>
      <c r="V34" s="206">
        <v>1461</v>
      </c>
      <c r="W34" s="207">
        <v>2025</v>
      </c>
      <c r="X34" s="203" t="s">
        <v>77</v>
      </c>
      <c r="Y34" s="203" t="s">
        <v>78</v>
      </c>
      <c r="Z34" s="203" t="s">
        <v>213</v>
      </c>
      <c r="AA34" s="203" t="s">
        <v>237</v>
      </c>
      <c r="AB34" s="203" t="s">
        <v>119</v>
      </c>
      <c r="AC34" s="203" t="s">
        <v>120</v>
      </c>
      <c r="AD34" s="203" t="s">
        <v>323</v>
      </c>
      <c r="AE34" s="208">
        <v>9</v>
      </c>
      <c r="AF34" s="208" t="s">
        <v>324</v>
      </c>
      <c r="AG34" s="208" t="s">
        <v>85</v>
      </c>
      <c r="AH34" s="208" t="s">
        <v>86</v>
      </c>
      <c r="AI34" s="208" t="s">
        <v>87</v>
      </c>
      <c r="AJ34" s="208" t="s">
        <v>325</v>
      </c>
      <c r="AK34" s="205" t="s">
        <v>89</v>
      </c>
      <c r="AL34" s="204">
        <v>45645</v>
      </c>
      <c r="AM34" s="208">
        <v>-1</v>
      </c>
      <c r="AN34" s="209" t="s">
        <v>119</v>
      </c>
      <c r="AO34" s="209" t="s">
        <v>326</v>
      </c>
      <c r="AP34" s="209" t="s">
        <v>120</v>
      </c>
      <c r="AQ34" s="209"/>
      <c r="AR34" s="209" t="s">
        <v>72</v>
      </c>
      <c r="AS34" s="209" t="s">
        <v>91</v>
      </c>
      <c r="AT34" s="209" t="s">
        <v>327</v>
      </c>
      <c r="AU34" s="210">
        <v>5.0999999999999996</v>
      </c>
      <c r="AV34" s="211">
        <v>10</v>
      </c>
      <c r="AW34" s="212">
        <v>17.3</v>
      </c>
      <c r="AX34" s="213">
        <v>13073</v>
      </c>
      <c r="AY34" s="213">
        <v>4405.6010000000006</v>
      </c>
      <c r="AZ34" s="210" t="s">
        <v>70</v>
      </c>
      <c r="BA34" s="209" t="s">
        <v>93</v>
      </c>
      <c r="BB34" s="214" t="str">
        <f>+IF(Tabla46782[[#This Row],[TIPO VEHÍCULO]]=Tabla46782[[#This Row],[Columna2]], "IGUAL", "DISTINTO")</f>
        <v>IGUAL</v>
      </c>
      <c r="BC34" s="214" t="str">
        <f>+IF(Tabla46782[[#This Row],[Columna4]]=Tabla46782[[#This Row],[Combustible2]], "IGUAL", "DISTINTO")</f>
        <v>IGUAL</v>
      </c>
      <c r="BD34" s="215" cm="1">
        <f t="array" ref="BD34">IFERROR(INDEX('[1]Anexos FICHA TRA050'!$D$27:$D$44, MATCH(Tabla46782[[#This Row],[Columna5]]&amp;Tabla46782[[#This Row],[Columna4]], '[1]Anexos FICHA TRA050'!$E$27:$E$44&amp;'[1]Anexos FICHA TRA050'!$F$27:$F$44, 0)), "")</f>
        <v>6.99</v>
      </c>
      <c r="BE34" s="215">
        <f>IFERROR(INDEX('[1]Anexos FICHA TRA050'!$B$4:$B$7, MATCH(Tabla46782[[#This Row],[Columna4]], '[1]Anexos FICHA TRA050'!$C$4:$C$7, 0)), "")</f>
        <v>10</v>
      </c>
      <c r="BF34" s="215">
        <f>IFERROR(INDEX('[1]Anexos FICHA TRA050'!$C$14:$C$22, MATCH(Tabla46782[[#This Row],[Columna5]], '[1]Anexos FICHA TRA050'!$D$14:$D$22, 0)), "")</f>
        <v>17.920000000000002</v>
      </c>
      <c r="BG34" s="216">
        <f>IFERROR(INDEX('[1]Anexos FICHA TRA050'!$C$49:$C$54, MATCH(Tabla46782[[#This Row],[Columna5]], '[1]Anexos FICHA TRA050'!$D$49:$D$54, 0)), "")</f>
        <v>13073</v>
      </c>
      <c r="BH34" s="217">
        <f>+(((Tabla46782[[#This Row],[CVA2]]*Tabla46782[[#This Row],[f2]])-Tabla46782[[#This Row],[CVN2]])/100)*Tabla46782[[#This Row],[L2]]</f>
        <v>6795.3454000000002</v>
      </c>
      <c r="BI34" s="218"/>
      <c r="BJ34" s="218"/>
      <c r="BK34" s="218" t="str">
        <f>+IF(Tabla46782[[#This Row],[F3]]=Tabla46782[[#This Row],[f2]], "IGUAL", "DISTINTO")</f>
        <v>IGUAL</v>
      </c>
      <c r="BL34" s="218" t="str">
        <f>+IF(Tabla46782[[#This Row],[CVN]]=Tabla46782[[#This Row],[CVN2]], "IGUAL", "DISTINTO")</f>
        <v>DISTINTO</v>
      </c>
      <c r="BM34" s="219" t="str">
        <f>+IF(Tabla46782[[#This Row],[L]]=Tabla46782[[#This Row],[L2]], "IGUAL", "DISTINTO")</f>
        <v>IGUAL</v>
      </c>
    </row>
    <row r="35" spans="1:146" x14ac:dyDescent="0.25">
      <c r="A35">
        <v>32</v>
      </c>
      <c r="B35" s="202" t="s">
        <v>328</v>
      </c>
      <c r="C35" s="203" t="s">
        <v>329</v>
      </c>
      <c r="D35" s="203" t="s">
        <v>70</v>
      </c>
      <c r="E35" s="203" t="s">
        <v>78</v>
      </c>
      <c r="F35" s="203" t="s">
        <v>78</v>
      </c>
      <c r="G35" s="203" t="s">
        <v>70</v>
      </c>
      <c r="H35" s="203" t="s">
        <v>72</v>
      </c>
      <c r="I35" s="203"/>
      <c r="J35" s="203" t="s">
        <v>72</v>
      </c>
      <c r="K35" s="203"/>
      <c r="L35" s="203" t="s">
        <v>249</v>
      </c>
      <c r="M35" s="203" t="s">
        <v>249</v>
      </c>
      <c r="N35" s="203"/>
      <c r="O35" s="203" t="s">
        <v>73</v>
      </c>
      <c r="P35" s="203" t="s">
        <v>200</v>
      </c>
      <c r="Q35" s="203" t="s">
        <v>201</v>
      </c>
      <c r="R35" s="203" t="s">
        <v>76</v>
      </c>
      <c r="S35" s="209">
        <v>44215</v>
      </c>
      <c r="T35" s="205">
        <v>45676</v>
      </c>
      <c r="U35" s="205">
        <f>VLOOKUP(Tabla46782[[#This Row],[Matricula]],BAJA2022202320242025!$B$3:$CR$245,95,FALSE)</f>
        <v>45693</v>
      </c>
      <c r="V35" s="206">
        <v>1461</v>
      </c>
      <c r="W35" s="207">
        <v>2025</v>
      </c>
      <c r="X35" s="203" t="s">
        <v>77</v>
      </c>
      <c r="Y35" s="203" t="s">
        <v>78</v>
      </c>
      <c r="Z35" s="203" t="s">
        <v>213</v>
      </c>
      <c r="AA35" s="203" t="s">
        <v>237</v>
      </c>
      <c r="AB35" s="203" t="s">
        <v>190</v>
      </c>
      <c r="AC35" s="203" t="s">
        <v>191</v>
      </c>
      <c r="AD35" s="203" t="s">
        <v>194</v>
      </c>
      <c r="AE35" s="208">
        <v>2</v>
      </c>
      <c r="AF35" s="208" t="s">
        <v>330</v>
      </c>
      <c r="AG35" s="208" t="s">
        <v>85</v>
      </c>
      <c r="AH35" s="208" t="s">
        <v>86</v>
      </c>
      <c r="AI35" s="208" t="s">
        <v>87</v>
      </c>
      <c r="AJ35" s="208" t="s">
        <v>331</v>
      </c>
      <c r="AK35" s="205" t="s">
        <v>89</v>
      </c>
      <c r="AL35" s="204">
        <v>45646</v>
      </c>
      <c r="AM35" s="208">
        <v>-1</v>
      </c>
      <c r="AN35" s="209" t="s">
        <v>190</v>
      </c>
      <c r="AO35" s="209" t="s">
        <v>332</v>
      </c>
      <c r="AP35" s="209" t="s">
        <v>191</v>
      </c>
      <c r="AQ35" s="209"/>
      <c r="AR35" s="209" t="s">
        <v>72</v>
      </c>
      <c r="AS35" s="209" t="s">
        <v>91</v>
      </c>
      <c r="AT35" s="209" t="s">
        <v>333</v>
      </c>
      <c r="AU35" s="210">
        <v>5.0999999999999996</v>
      </c>
      <c r="AV35" s="211">
        <v>10</v>
      </c>
      <c r="AW35" s="212">
        <v>17.3</v>
      </c>
      <c r="AX35" s="213">
        <v>13073</v>
      </c>
      <c r="AY35" s="213">
        <v>4405.6010000000006</v>
      </c>
      <c r="AZ35" s="210" t="s">
        <v>70</v>
      </c>
      <c r="BA35" s="209" t="s">
        <v>93</v>
      </c>
      <c r="BB35" s="214" t="str">
        <f>+IF(Tabla46782[[#This Row],[TIPO VEHÍCULO]]=Tabla46782[[#This Row],[Columna2]], "IGUAL", "DISTINTO")</f>
        <v>IGUAL</v>
      </c>
      <c r="BC35" s="214" t="str">
        <f>+IF(Tabla46782[[#This Row],[Columna4]]=Tabla46782[[#This Row],[Combustible2]], "IGUAL", "DISTINTO")</f>
        <v>IGUAL</v>
      </c>
      <c r="BD35" s="215" cm="1">
        <f t="array" ref="BD35">IFERROR(INDEX('[1]Anexos FICHA TRA050'!$D$27:$D$44, MATCH(Tabla46782[[#This Row],[Columna5]]&amp;Tabla46782[[#This Row],[Columna4]], '[1]Anexos FICHA TRA050'!$E$27:$E$44&amp;'[1]Anexos FICHA TRA050'!$F$27:$F$44, 0)), "")</f>
        <v>6.99</v>
      </c>
      <c r="BE35" s="215">
        <f>IFERROR(INDEX('[1]Anexos FICHA TRA050'!$B$4:$B$7, MATCH(Tabla46782[[#This Row],[Columna4]], '[1]Anexos FICHA TRA050'!$C$4:$C$7, 0)), "")</f>
        <v>10</v>
      </c>
      <c r="BF35" s="215">
        <f>IFERROR(INDEX('[1]Anexos FICHA TRA050'!$C$14:$C$22, MATCH(Tabla46782[[#This Row],[Columna5]], '[1]Anexos FICHA TRA050'!$D$14:$D$22, 0)), "")</f>
        <v>17.920000000000002</v>
      </c>
      <c r="BG35" s="216">
        <f>IFERROR(INDEX('[1]Anexos FICHA TRA050'!$C$49:$C$54, MATCH(Tabla46782[[#This Row],[Columna5]], '[1]Anexos FICHA TRA050'!$D$49:$D$54, 0)), "")</f>
        <v>13073</v>
      </c>
      <c r="BH35" s="217">
        <f>+(((Tabla46782[[#This Row],[CVA2]]*Tabla46782[[#This Row],[f2]])-Tabla46782[[#This Row],[CVN2]])/100)*Tabla46782[[#This Row],[L2]]</f>
        <v>6795.3454000000002</v>
      </c>
      <c r="BI35" s="218"/>
      <c r="BJ35" s="218"/>
      <c r="BK35" s="218" t="str">
        <f>+IF(Tabla46782[[#This Row],[F3]]=Tabla46782[[#This Row],[f2]], "IGUAL", "DISTINTO")</f>
        <v>IGUAL</v>
      </c>
      <c r="BL35" s="218" t="str">
        <f>+IF(Tabla46782[[#This Row],[CVN]]=Tabla46782[[#This Row],[CVN2]], "IGUAL", "DISTINTO")</f>
        <v>DISTINTO</v>
      </c>
      <c r="BM35" s="219" t="str">
        <f>+IF(Tabla46782[[#This Row],[L]]=Tabla46782[[#This Row],[L2]], "IGUAL", "DISTINTO")</f>
        <v>IGUAL</v>
      </c>
    </row>
    <row r="36" spans="1:146" ht="15" customHeight="1" x14ac:dyDescent="0.25">
      <c r="A36">
        <v>33</v>
      </c>
      <c r="B36" s="202" t="s">
        <v>334</v>
      </c>
      <c r="C36" s="203" t="s">
        <v>335</v>
      </c>
      <c r="D36" s="203" t="s">
        <v>70</v>
      </c>
      <c r="E36" s="203" t="s">
        <v>78</v>
      </c>
      <c r="F36" s="203" t="s">
        <v>78</v>
      </c>
      <c r="G36" s="203" t="s">
        <v>70</v>
      </c>
      <c r="H36" s="203" t="s">
        <v>72</v>
      </c>
      <c r="I36" s="203"/>
      <c r="J36" s="203" t="s">
        <v>72</v>
      </c>
      <c r="K36" s="203"/>
      <c r="L36" s="203" t="s">
        <v>72</v>
      </c>
      <c r="M36" s="203" t="s">
        <v>72</v>
      </c>
      <c r="N36" s="203"/>
      <c r="O36" s="203" t="s">
        <v>73</v>
      </c>
      <c r="P36" s="203" t="s">
        <v>200</v>
      </c>
      <c r="Q36" s="203" t="s">
        <v>201</v>
      </c>
      <c r="R36" s="203" t="s">
        <v>76</v>
      </c>
      <c r="S36" s="209">
        <v>44215</v>
      </c>
      <c r="T36" s="205">
        <v>45676</v>
      </c>
      <c r="U36" s="205">
        <f>VLOOKUP(Tabla46782[[#This Row],[Matricula]],BAJA2022202320242025!$B$3:$CR$245,95,FALSE)</f>
        <v>45694</v>
      </c>
      <c r="V36" s="206">
        <v>1461</v>
      </c>
      <c r="W36" s="207">
        <v>2025</v>
      </c>
      <c r="X36" s="203" t="s">
        <v>77</v>
      </c>
      <c r="Y36" s="203" t="s">
        <v>78</v>
      </c>
      <c r="Z36" s="203" t="s">
        <v>213</v>
      </c>
      <c r="AA36" s="203" t="s">
        <v>237</v>
      </c>
      <c r="AB36" s="203" t="s">
        <v>336</v>
      </c>
      <c r="AC36" s="203" t="s">
        <v>337</v>
      </c>
      <c r="AD36" s="203" t="s">
        <v>338</v>
      </c>
      <c r="AE36" s="208">
        <v>1</v>
      </c>
      <c r="AF36" s="208" t="s">
        <v>339</v>
      </c>
      <c r="AG36" s="208" t="s">
        <v>85</v>
      </c>
      <c r="AH36" s="208" t="s">
        <v>340</v>
      </c>
      <c r="AI36" s="208" t="s">
        <v>87</v>
      </c>
      <c r="AJ36" s="208" t="s">
        <v>341</v>
      </c>
      <c r="AK36" s="205" t="s">
        <v>89</v>
      </c>
      <c r="AL36" s="204">
        <v>43435</v>
      </c>
      <c r="AM36" s="208">
        <v>-1</v>
      </c>
      <c r="AN36" s="209" t="s">
        <v>336</v>
      </c>
      <c r="AO36" s="210">
        <v>4500399254</v>
      </c>
      <c r="AP36" s="209" t="s">
        <v>337</v>
      </c>
      <c r="AQ36" s="209"/>
      <c r="AR36" s="209" t="s">
        <v>72</v>
      </c>
      <c r="AS36" s="209" t="s">
        <v>91</v>
      </c>
      <c r="AT36" s="220" t="s">
        <v>342</v>
      </c>
      <c r="AU36" s="210">
        <v>5.0999999999999996</v>
      </c>
      <c r="AV36" s="211">
        <v>10</v>
      </c>
      <c r="AW36" s="212">
        <v>13.3</v>
      </c>
      <c r="AX36" s="213">
        <v>13073</v>
      </c>
      <c r="AY36" s="213">
        <v>4928.5209999999997</v>
      </c>
      <c r="AZ36" s="210" t="s">
        <v>70</v>
      </c>
      <c r="BA36" s="209" t="s">
        <v>93</v>
      </c>
      <c r="BB36" s="214" t="str">
        <f>+IF(Tabla46782[[#This Row],[TIPO VEHÍCULO]]=Tabla46782[[#This Row],[Columna2]], "IGUAL", "DISTINTO")</f>
        <v>IGUAL</v>
      </c>
      <c r="BC36" s="214" t="str">
        <f>+IF(Tabla46782[[#This Row],[Columna4]]=Tabla46782[[#This Row],[Combustible2]], "IGUAL", "DISTINTO")</f>
        <v>IGUAL</v>
      </c>
      <c r="BD36" s="215" cm="1">
        <f t="array" ref="BD36">IFERROR(INDEX('[1]Anexos FICHA TRA050'!$D$27:$D$44, MATCH(Tabla46782[[#This Row],[Columna5]]&amp;Tabla46782[[#This Row],[Columna4]], '[1]Anexos FICHA TRA050'!$E$27:$E$44&amp;'[1]Anexos FICHA TRA050'!$F$27:$F$44, 0)), "")</f>
        <v>6.99</v>
      </c>
      <c r="BE36" s="215">
        <f>IFERROR(INDEX('[1]Anexos FICHA TRA050'!$B$4:$B$7, MATCH(Tabla46782[[#This Row],[Columna4]], '[1]Anexos FICHA TRA050'!$C$4:$C$7, 0)), "")</f>
        <v>10</v>
      </c>
      <c r="BF36" s="215">
        <f>IFERROR(INDEX('[1]Anexos FICHA TRA050'!$C$14:$C$22, MATCH(Tabla46782[[#This Row],[Columna5]], '[1]Anexos FICHA TRA050'!$D$14:$D$22, 0)), "")</f>
        <v>17.920000000000002</v>
      </c>
      <c r="BG36" s="216">
        <f>IFERROR(INDEX('[1]Anexos FICHA TRA050'!$C$49:$C$54, MATCH(Tabla46782[[#This Row],[Columna5]], '[1]Anexos FICHA TRA050'!$D$49:$D$54, 0)), "")</f>
        <v>13073</v>
      </c>
      <c r="BH36" s="217">
        <f>+(((Tabla46782[[#This Row],[CVA2]]*Tabla46782[[#This Row],[f2]])-Tabla46782[[#This Row],[CVN2]])/100)*Tabla46782[[#This Row],[L2]]</f>
        <v>6795.3454000000002</v>
      </c>
      <c r="BI36" s="218"/>
      <c r="BJ36" s="218"/>
      <c r="BK36" s="218" t="str">
        <f>+IF(Tabla46782[[#This Row],[F3]]=Tabla46782[[#This Row],[f2]], "IGUAL", "DISTINTO")</f>
        <v>IGUAL</v>
      </c>
      <c r="BL36" s="218" t="str">
        <f>+IF(Tabla46782[[#This Row],[CVN]]=Tabla46782[[#This Row],[CVN2]], "IGUAL", "DISTINTO")</f>
        <v>DISTINTO</v>
      </c>
      <c r="BM36" s="219" t="str">
        <f>+IF(Tabla46782[[#This Row],[L]]=Tabla46782[[#This Row],[L2]], "IGUAL", "DISTINTO")</f>
        <v>IGUAL</v>
      </c>
    </row>
    <row r="37" spans="1:146" x14ac:dyDescent="0.25">
      <c r="A37">
        <v>34</v>
      </c>
      <c r="B37" s="202" t="s">
        <v>343</v>
      </c>
      <c r="C37" s="203" t="s">
        <v>344</v>
      </c>
      <c r="D37" s="203" t="s">
        <v>70</v>
      </c>
      <c r="E37" s="203" t="s">
        <v>78</v>
      </c>
      <c r="F37" s="203" t="s">
        <v>78</v>
      </c>
      <c r="G37" s="203" t="s">
        <v>70</v>
      </c>
      <c r="H37" s="203" t="s">
        <v>72</v>
      </c>
      <c r="I37" s="203"/>
      <c r="J37" s="203" t="s">
        <v>72</v>
      </c>
      <c r="K37" s="203"/>
      <c r="L37" s="203" t="s">
        <v>72</v>
      </c>
      <c r="M37" s="203" t="s">
        <v>72</v>
      </c>
      <c r="N37" s="203"/>
      <c r="O37" s="203" t="s">
        <v>73</v>
      </c>
      <c r="P37" s="203" t="s">
        <v>200</v>
      </c>
      <c r="Q37" s="203" t="s">
        <v>201</v>
      </c>
      <c r="R37" s="203" t="s">
        <v>160</v>
      </c>
      <c r="S37" s="209">
        <v>44237</v>
      </c>
      <c r="T37" s="205">
        <v>45698</v>
      </c>
      <c r="U37" s="205">
        <f>VLOOKUP(Tabla46782[[#This Row],[Matricula]],BAJA2022202320242025!$B$3:$CR$245,95,FALSE)</f>
        <v>45594</v>
      </c>
      <c r="V37" s="206">
        <v>1461</v>
      </c>
      <c r="W37" s="207">
        <v>2025</v>
      </c>
      <c r="X37" s="203" t="s">
        <v>161</v>
      </c>
      <c r="Y37" s="203" t="s">
        <v>78</v>
      </c>
      <c r="Z37" s="203" t="s">
        <v>213</v>
      </c>
      <c r="AA37" s="203" t="s">
        <v>237</v>
      </c>
      <c r="AB37" s="203" t="s">
        <v>190</v>
      </c>
      <c r="AC37" s="203" t="s">
        <v>191</v>
      </c>
      <c r="AD37" s="203" t="s">
        <v>345</v>
      </c>
      <c r="AE37" s="208">
        <v>3</v>
      </c>
      <c r="AF37" s="208" t="s">
        <v>346</v>
      </c>
      <c r="AG37" s="208" t="s">
        <v>85</v>
      </c>
      <c r="AH37" s="208" t="s">
        <v>340</v>
      </c>
      <c r="AI37" s="208" t="s">
        <v>87</v>
      </c>
      <c r="AJ37" s="208" t="s">
        <v>345</v>
      </c>
      <c r="AK37" s="205" t="s">
        <v>89</v>
      </c>
      <c r="AL37" s="204">
        <v>43140</v>
      </c>
      <c r="AM37" s="208">
        <v>-1</v>
      </c>
      <c r="AN37" s="209" t="s">
        <v>190</v>
      </c>
      <c r="AO37" s="209" t="s">
        <v>347</v>
      </c>
      <c r="AP37" s="209" t="s">
        <v>191</v>
      </c>
      <c r="AQ37" s="209"/>
      <c r="AR37" s="209" t="s">
        <v>72</v>
      </c>
      <c r="AS37" s="209" t="s">
        <v>91</v>
      </c>
      <c r="AT37" s="209" t="s">
        <v>348</v>
      </c>
      <c r="AU37" s="210">
        <v>5.0999999999999996</v>
      </c>
      <c r="AV37" s="211">
        <v>10</v>
      </c>
      <c r="AW37" s="212">
        <v>13.3</v>
      </c>
      <c r="AX37" s="213">
        <v>13073</v>
      </c>
      <c r="AY37" s="213">
        <v>4928.5209999999997</v>
      </c>
      <c r="AZ37" s="210" t="s">
        <v>70</v>
      </c>
      <c r="BA37" s="209" t="s">
        <v>93</v>
      </c>
      <c r="BB37" s="214" t="str">
        <f>+IF(Tabla46782[[#This Row],[TIPO VEHÍCULO]]=Tabla46782[[#This Row],[Columna2]], "IGUAL", "DISTINTO")</f>
        <v>IGUAL</v>
      </c>
      <c r="BC37" s="214" t="str">
        <f>+IF(Tabla46782[[#This Row],[Columna4]]=Tabla46782[[#This Row],[Combustible2]], "IGUAL", "DISTINTO")</f>
        <v>IGUAL</v>
      </c>
      <c r="BD37" s="215" cm="1">
        <f t="array" ref="BD37">IFERROR(INDEX('[1]Anexos FICHA TRA050'!$D$27:$D$44, MATCH(Tabla46782[[#This Row],[Columna5]]&amp;Tabla46782[[#This Row],[Columna4]], '[1]Anexos FICHA TRA050'!$E$27:$E$44&amp;'[1]Anexos FICHA TRA050'!$F$27:$F$44, 0)), "")</f>
        <v>6.99</v>
      </c>
      <c r="BE37" s="215">
        <f>IFERROR(INDEX('[1]Anexos FICHA TRA050'!$B$4:$B$7, MATCH(Tabla46782[[#This Row],[Columna4]], '[1]Anexos FICHA TRA050'!$C$4:$C$7, 0)), "")</f>
        <v>10</v>
      </c>
      <c r="BF37" s="215">
        <f>IFERROR(INDEX('[1]Anexos FICHA TRA050'!$C$14:$C$22, MATCH(Tabla46782[[#This Row],[Columna5]], '[1]Anexos FICHA TRA050'!$D$14:$D$22, 0)), "")</f>
        <v>17.920000000000002</v>
      </c>
      <c r="BG37" s="216">
        <f>IFERROR(INDEX('[1]Anexos FICHA TRA050'!$C$49:$C$54, MATCH(Tabla46782[[#This Row],[Columna5]], '[1]Anexos FICHA TRA050'!$D$49:$D$54, 0)), "")</f>
        <v>13073</v>
      </c>
      <c r="BH37" s="217">
        <f>+(((Tabla46782[[#This Row],[CVA2]]*Tabla46782[[#This Row],[f2]])-Tabla46782[[#This Row],[CVN2]])/100)*Tabla46782[[#This Row],[L2]]</f>
        <v>6795.3454000000002</v>
      </c>
      <c r="BI37" s="218"/>
      <c r="BJ37" s="218"/>
      <c r="BK37" s="218" t="str">
        <f>+IF(Tabla46782[[#This Row],[F3]]=Tabla46782[[#This Row],[f2]], "IGUAL", "DISTINTO")</f>
        <v>IGUAL</v>
      </c>
      <c r="BL37" s="218" t="str">
        <f>+IF(Tabla46782[[#This Row],[CVN]]=Tabla46782[[#This Row],[CVN2]], "IGUAL", "DISTINTO")</f>
        <v>DISTINTO</v>
      </c>
      <c r="BM37" s="219" t="str">
        <f>+IF(Tabla46782[[#This Row],[L]]=Tabla46782[[#This Row],[L2]], "IGUAL", "DISTINTO")</f>
        <v>IGUAL</v>
      </c>
    </row>
    <row r="38" spans="1:146" x14ac:dyDescent="0.25">
      <c r="A38">
        <v>35</v>
      </c>
      <c r="B38" s="202" t="s">
        <v>349</v>
      </c>
      <c r="C38" s="203" t="s">
        <v>350</v>
      </c>
      <c r="D38" s="203" t="s">
        <v>70</v>
      </c>
      <c r="E38" s="203" t="s">
        <v>78</v>
      </c>
      <c r="F38" s="203" t="s">
        <v>78</v>
      </c>
      <c r="G38" s="203" t="s">
        <v>70</v>
      </c>
      <c r="H38" s="203" t="s">
        <v>72</v>
      </c>
      <c r="I38" s="203"/>
      <c r="J38" s="203" t="s">
        <v>72</v>
      </c>
      <c r="K38" s="203"/>
      <c r="L38" s="203" t="s">
        <v>72</v>
      </c>
      <c r="M38" s="203" t="s">
        <v>72</v>
      </c>
      <c r="N38" s="203"/>
      <c r="O38" s="203" t="s">
        <v>73</v>
      </c>
      <c r="P38" s="203" t="s">
        <v>200</v>
      </c>
      <c r="Q38" s="203" t="s">
        <v>201</v>
      </c>
      <c r="R38" s="203" t="s">
        <v>76</v>
      </c>
      <c r="S38" s="209">
        <v>44186</v>
      </c>
      <c r="T38" s="205">
        <v>45647</v>
      </c>
      <c r="U38" s="205">
        <f>VLOOKUP(Tabla46782[[#This Row],[Matricula]],BAJA2022202320242025!$B$3:$CR$245,95,FALSE)</f>
        <v>45758</v>
      </c>
      <c r="V38" s="206">
        <v>1461</v>
      </c>
      <c r="W38" s="207">
        <v>2024</v>
      </c>
      <c r="X38" s="203" t="s">
        <v>77</v>
      </c>
      <c r="Y38" s="203" t="s">
        <v>78</v>
      </c>
      <c r="Z38" s="203" t="s">
        <v>213</v>
      </c>
      <c r="AA38" s="203" t="s">
        <v>237</v>
      </c>
      <c r="AB38" s="203" t="s">
        <v>336</v>
      </c>
      <c r="AC38" s="203" t="s">
        <v>337</v>
      </c>
      <c r="AD38" s="203" t="s">
        <v>351</v>
      </c>
      <c r="AE38" s="208">
        <v>2</v>
      </c>
      <c r="AF38" s="208" t="s">
        <v>352</v>
      </c>
      <c r="AG38" s="208" t="s">
        <v>353</v>
      </c>
      <c r="AH38" s="208" t="s">
        <v>354</v>
      </c>
      <c r="AI38" s="208" t="s">
        <v>87</v>
      </c>
      <c r="AJ38" s="208" t="s">
        <v>355</v>
      </c>
      <c r="AK38" s="205" t="s">
        <v>89</v>
      </c>
      <c r="AL38" s="204">
        <v>45391</v>
      </c>
      <c r="AM38" s="208">
        <v>0</v>
      </c>
      <c r="AN38" s="209" t="s">
        <v>336</v>
      </c>
      <c r="AO38" s="210">
        <v>4500398936</v>
      </c>
      <c r="AP38" s="209" t="s">
        <v>337</v>
      </c>
      <c r="AQ38" s="209"/>
      <c r="AR38" s="209" t="s">
        <v>72</v>
      </c>
      <c r="AS38" s="209" t="s">
        <v>91</v>
      </c>
      <c r="AT38" s="209" t="s">
        <v>356</v>
      </c>
      <c r="AU38" s="210">
        <v>5.0999999999999996</v>
      </c>
      <c r="AV38" s="211">
        <v>10</v>
      </c>
      <c r="AW38" s="212">
        <v>7</v>
      </c>
      <c r="AX38" s="213">
        <v>13073</v>
      </c>
      <c r="AY38" s="213">
        <v>5752.12</v>
      </c>
      <c r="AZ38" s="210" t="s">
        <v>70</v>
      </c>
      <c r="BA38" s="209" t="s">
        <v>93</v>
      </c>
      <c r="BB38" s="214" t="str">
        <f>+IF(Tabla46782[[#This Row],[TIPO VEHÍCULO]]=Tabla46782[[#This Row],[Columna2]], "IGUAL", "DISTINTO")</f>
        <v>IGUAL</v>
      </c>
      <c r="BC38" s="214" t="str">
        <f>+IF(Tabla46782[[#This Row],[Columna4]]=Tabla46782[[#This Row],[Combustible2]], "IGUAL", "DISTINTO")</f>
        <v>IGUAL</v>
      </c>
      <c r="BD38" s="215" cm="1">
        <f t="array" ref="BD38">IFERROR(INDEX('[1]Anexos FICHA TRA050'!$D$27:$D$44, MATCH(Tabla46782[[#This Row],[Columna5]]&amp;Tabla46782[[#This Row],[Columna4]], '[1]Anexos FICHA TRA050'!$E$27:$E$44&amp;'[1]Anexos FICHA TRA050'!$F$27:$F$44, 0)), "")</f>
        <v>6.99</v>
      </c>
      <c r="BE38" s="215">
        <f>IFERROR(INDEX('[1]Anexos FICHA TRA050'!$B$4:$B$7, MATCH(Tabla46782[[#This Row],[Columna4]], '[1]Anexos FICHA TRA050'!$C$4:$C$7, 0)), "")</f>
        <v>10</v>
      </c>
      <c r="BF38" s="215">
        <f>IFERROR(INDEX('[1]Anexos FICHA TRA050'!$C$14:$C$22, MATCH(Tabla46782[[#This Row],[Columna5]], '[1]Anexos FICHA TRA050'!$D$14:$D$22, 0)), "")</f>
        <v>17.920000000000002</v>
      </c>
      <c r="BG38" s="216">
        <f>IFERROR(INDEX('[1]Anexos FICHA TRA050'!$C$49:$C$54, MATCH(Tabla46782[[#This Row],[Columna5]], '[1]Anexos FICHA TRA050'!$D$49:$D$54, 0)), "")</f>
        <v>13073</v>
      </c>
      <c r="BH38" s="217">
        <f>+(((Tabla46782[[#This Row],[CVA2]]*Tabla46782[[#This Row],[f2]])-Tabla46782[[#This Row],[CVN2]])/100)*Tabla46782[[#This Row],[L2]]</f>
        <v>6795.3454000000002</v>
      </c>
      <c r="BI38" s="218"/>
      <c r="BJ38" s="218"/>
      <c r="BK38" s="218" t="str">
        <f>+IF(Tabla46782[[#This Row],[F3]]=Tabla46782[[#This Row],[f2]], "IGUAL", "DISTINTO")</f>
        <v>IGUAL</v>
      </c>
      <c r="BL38" s="218" t="str">
        <f>+IF(Tabla46782[[#This Row],[CVN]]=Tabla46782[[#This Row],[CVN2]], "IGUAL", "DISTINTO")</f>
        <v>DISTINTO</v>
      </c>
      <c r="BM38" s="219" t="str">
        <f>+IF(Tabla46782[[#This Row],[L]]=Tabla46782[[#This Row],[L2]], "IGUAL", "DISTINTO")</f>
        <v>IGUAL</v>
      </c>
    </row>
    <row r="39" spans="1:146" x14ac:dyDescent="0.25">
      <c r="A39">
        <v>36</v>
      </c>
      <c r="B39" s="202" t="s">
        <v>357</v>
      </c>
      <c r="C39" s="203" t="s">
        <v>358</v>
      </c>
      <c r="D39" s="203" t="s">
        <v>70</v>
      </c>
      <c r="E39" s="203" t="s">
        <v>78</v>
      </c>
      <c r="F39" s="203" t="s">
        <v>78</v>
      </c>
      <c r="G39" s="203" t="s">
        <v>70</v>
      </c>
      <c r="H39" s="203" t="s">
        <v>72</v>
      </c>
      <c r="I39" s="203" t="s">
        <v>72</v>
      </c>
      <c r="J39" s="203" t="s">
        <v>72</v>
      </c>
      <c r="K39" s="203"/>
      <c r="L39" s="203" t="s">
        <v>72</v>
      </c>
      <c r="M39" s="203" t="s">
        <v>72</v>
      </c>
      <c r="N39" s="203"/>
      <c r="O39" s="203" t="s">
        <v>73</v>
      </c>
      <c r="P39" s="203" t="s">
        <v>200</v>
      </c>
      <c r="Q39" s="203" t="s">
        <v>201</v>
      </c>
      <c r="R39" s="203" t="s">
        <v>76</v>
      </c>
      <c r="S39" s="209">
        <v>43578</v>
      </c>
      <c r="T39" s="205">
        <v>45039</v>
      </c>
      <c r="U39" s="205">
        <f>VLOOKUP(Tabla46782[[#This Row],[Matricula]],BAJA2022202320242025!$B$3:$CR$245,95,FALSE)</f>
        <v>44980</v>
      </c>
      <c r="V39" s="206">
        <v>1461</v>
      </c>
      <c r="W39" s="207">
        <v>2023</v>
      </c>
      <c r="X39" s="203" t="s">
        <v>77</v>
      </c>
      <c r="Y39" s="203" t="s">
        <v>78</v>
      </c>
      <c r="Z39" s="203" t="s">
        <v>359</v>
      </c>
      <c r="AA39" s="203" t="s">
        <v>360</v>
      </c>
      <c r="AB39" s="203" t="s">
        <v>131</v>
      </c>
      <c r="AC39" s="203" t="s">
        <v>132</v>
      </c>
      <c r="AD39" s="203" t="s">
        <v>133</v>
      </c>
      <c r="AE39" s="208">
        <v>3</v>
      </c>
      <c r="AF39" s="208" t="s">
        <v>361</v>
      </c>
      <c r="AG39" s="208" t="s">
        <v>140</v>
      </c>
      <c r="AH39" s="208" t="s">
        <v>151</v>
      </c>
      <c r="AI39" s="208" t="s">
        <v>87</v>
      </c>
      <c r="AJ39" s="208" t="s">
        <v>135</v>
      </c>
      <c r="AK39" s="205" t="s">
        <v>89</v>
      </c>
      <c r="AL39" s="204">
        <v>45625</v>
      </c>
      <c r="AM39" s="208">
        <v>1</v>
      </c>
      <c r="AN39" s="209" t="s">
        <v>131</v>
      </c>
      <c r="AO39" s="209" t="s">
        <v>362</v>
      </c>
      <c r="AP39" s="209" t="s">
        <v>132</v>
      </c>
      <c r="AQ39" s="209"/>
      <c r="AR39" s="209" t="s">
        <v>72</v>
      </c>
      <c r="AS39" s="209" t="s">
        <v>91</v>
      </c>
      <c r="AT39" s="209" t="s">
        <v>363</v>
      </c>
      <c r="AU39" s="210">
        <v>5.0999999999999996</v>
      </c>
      <c r="AV39" s="211">
        <v>10</v>
      </c>
      <c r="AW39" s="212">
        <v>16.399999999999999</v>
      </c>
      <c r="AX39" s="213">
        <v>13073</v>
      </c>
      <c r="AY39" s="213">
        <v>4523.2580000000007</v>
      </c>
      <c r="AZ39" s="210" t="s">
        <v>70</v>
      </c>
      <c r="BA39" s="209" t="s">
        <v>93</v>
      </c>
      <c r="BB39" s="214" t="str">
        <f>+IF(Tabla46782[[#This Row],[TIPO VEHÍCULO]]=Tabla46782[[#This Row],[Columna2]], "IGUAL", "DISTINTO")</f>
        <v>IGUAL</v>
      </c>
      <c r="BC39" s="214" t="str">
        <f>+IF(Tabla46782[[#This Row],[Columna4]]=Tabla46782[[#This Row],[Combustible2]], "IGUAL", "DISTINTO")</f>
        <v>IGUAL</v>
      </c>
      <c r="BD39" s="215" cm="1">
        <f t="array" ref="BD39">IFERROR(INDEX('[1]Anexos FICHA TRA050'!$D$27:$D$44, MATCH(Tabla46782[[#This Row],[Columna5]]&amp;Tabla46782[[#This Row],[Columna4]], '[1]Anexos FICHA TRA050'!$E$27:$E$44&amp;'[1]Anexos FICHA TRA050'!$F$27:$F$44, 0)), "")</f>
        <v>6.99</v>
      </c>
      <c r="BE39" s="215">
        <f>IFERROR(INDEX('[1]Anexos FICHA TRA050'!$B$4:$B$7, MATCH(Tabla46782[[#This Row],[Columna4]], '[1]Anexos FICHA TRA050'!$C$4:$C$7, 0)), "")</f>
        <v>10</v>
      </c>
      <c r="BF39" s="215">
        <f>IFERROR(INDEX('[1]Anexos FICHA TRA050'!$C$14:$C$22, MATCH(Tabla46782[[#This Row],[Columna5]], '[1]Anexos FICHA TRA050'!$D$14:$D$22, 0)), "")</f>
        <v>17.920000000000002</v>
      </c>
      <c r="BG39" s="216">
        <f>IFERROR(INDEX('[1]Anexos FICHA TRA050'!$C$49:$C$54, MATCH(Tabla46782[[#This Row],[Columna5]], '[1]Anexos FICHA TRA050'!$D$49:$D$54, 0)), "")</f>
        <v>13073</v>
      </c>
      <c r="BH39" s="217">
        <f>+(((Tabla46782[[#This Row],[CVA2]]*Tabla46782[[#This Row],[f2]])-Tabla46782[[#This Row],[CVN2]])/100)*Tabla46782[[#This Row],[L2]]</f>
        <v>6795.3454000000002</v>
      </c>
      <c r="BI39" s="218"/>
      <c r="BJ39" s="218"/>
      <c r="BK39" s="218" t="str">
        <f>+IF(Tabla46782[[#This Row],[F3]]=Tabla46782[[#This Row],[f2]], "IGUAL", "DISTINTO")</f>
        <v>IGUAL</v>
      </c>
      <c r="BL39" s="218" t="str">
        <f>+IF(Tabla46782[[#This Row],[CVN]]=Tabla46782[[#This Row],[CVN2]], "IGUAL", "DISTINTO")</f>
        <v>DISTINTO</v>
      </c>
      <c r="BM39" s="219" t="str">
        <f>+IF(Tabla46782[[#This Row],[L]]=Tabla46782[[#This Row],[L2]], "IGUAL", "DISTINTO")</f>
        <v>IGUAL</v>
      </c>
    </row>
    <row r="40" spans="1:146" x14ac:dyDescent="0.25">
      <c r="A40">
        <v>37</v>
      </c>
      <c r="B40" s="202" t="s">
        <v>364</v>
      </c>
      <c r="C40" s="203" t="s">
        <v>365</v>
      </c>
      <c r="D40" s="203" t="s">
        <v>70</v>
      </c>
      <c r="E40" s="203" t="s">
        <v>78</v>
      </c>
      <c r="F40" s="203" t="s">
        <v>78</v>
      </c>
      <c r="G40" s="203" t="s">
        <v>70</v>
      </c>
      <c r="H40" s="203" t="s">
        <v>72</v>
      </c>
      <c r="I40" s="203"/>
      <c r="J40" s="203" t="s">
        <v>72</v>
      </c>
      <c r="K40" s="203"/>
      <c r="L40" s="203" t="s">
        <v>72</v>
      </c>
      <c r="M40" s="203" t="s">
        <v>72</v>
      </c>
      <c r="N40" s="203"/>
      <c r="O40" s="203" t="s">
        <v>73</v>
      </c>
      <c r="P40" s="203" t="s">
        <v>200</v>
      </c>
      <c r="Q40" s="203" t="s">
        <v>201</v>
      </c>
      <c r="R40" s="203" t="s">
        <v>76</v>
      </c>
      <c r="S40" s="209">
        <v>43726</v>
      </c>
      <c r="T40" s="205">
        <v>45553</v>
      </c>
      <c r="U40" s="205">
        <f>VLOOKUP(Tabla46782[[#This Row],[Matricula]],BAJA2022202320242025!$B$3:$CR$245,95,FALSE)</f>
        <v>45541</v>
      </c>
      <c r="V40" s="206">
        <v>1827</v>
      </c>
      <c r="W40" s="207">
        <v>2024</v>
      </c>
      <c r="X40" s="203" t="s">
        <v>77</v>
      </c>
      <c r="Y40" s="203" t="s">
        <v>78</v>
      </c>
      <c r="Z40" s="203" t="s">
        <v>359</v>
      </c>
      <c r="AA40" s="203" t="s">
        <v>360</v>
      </c>
      <c r="AB40" s="203" t="s">
        <v>119</v>
      </c>
      <c r="AC40" s="203" t="s">
        <v>120</v>
      </c>
      <c r="AD40" s="203" t="s">
        <v>366</v>
      </c>
      <c r="AE40" s="208">
        <v>10</v>
      </c>
      <c r="AF40" s="208" t="s">
        <v>367</v>
      </c>
      <c r="AG40" s="208" t="s">
        <v>140</v>
      </c>
      <c r="AH40" s="208" t="s">
        <v>151</v>
      </c>
      <c r="AI40" s="208" t="s">
        <v>87</v>
      </c>
      <c r="AJ40" s="208" t="s">
        <v>368</v>
      </c>
      <c r="AK40" s="205" t="s">
        <v>89</v>
      </c>
      <c r="AL40" s="204">
        <v>45622</v>
      </c>
      <c r="AM40" s="208">
        <v>0</v>
      </c>
      <c r="AN40" s="209" t="s">
        <v>119</v>
      </c>
      <c r="AO40" s="209" t="s">
        <v>369</v>
      </c>
      <c r="AP40" s="209" t="s">
        <v>120</v>
      </c>
      <c r="AQ40" s="209"/>
      <c r="AR40" s="209" t="s">
        <v>72</v>
      </c>
      <c r="AS40" s="209" t="s">
        <v>91</v>
      </c>
      <c r="AT40" s="209" t="s">
        <v>370</v>
      </c>
      <c r="AU40" s="210">
        <v>5.0999999999999996</v>
      </c>
      <c r="AV40" s="211">
        <v>10</v>
      </c>
      <c r="AW40" s="212">
        <v>16.399999999999999</v>
      </c>
      <c r="AX40" s="213">
        <v>13073</v>
      </c>
      <c r="AY40" s="213">
        <v>4523.2580000000007</v>
      </c>
      <c r="AZ40" s="210" t="s">
        <v>70</v>
      </c>
      <c r="BA40" s="209" t="s">
        <v>93</v>
      </c>
      <c r="BB40" s="214" t="str">
        <f>+IF(Tabla46782[[#This Row],[TIPO VEHÍCULO]]=Tabla46782[[#This Row],[Columna2]], "IGUAL", "DISTINTO")</f>
        <v>IGUAL</v>
      </c>
      <c r="BC40" s="214" t="str">
        <f>+IF(Tabla46782[[#This Row],[Columna4]]=Tabla46782[[#This Row],[Combustible2]], "IGUAL", "DISTINTO")</f>
        <v>IGUAL</v>
      </c>
      <c r="BD40" s="215" cm="1">
        <f t="array" ref="BD40">IFERROR(INDEX('[1]Anexos FICHA TRA050'!$D$27:$D$44, MATCH(Tabla46782[[#This Row],[Columna5]]&amp;Tabla46782[[#This Row],[Columna4]], '[1]Anexos FICHA TRA050'!$E$27:$E$44&amp;'[1]Anexos FICHA TRA050'!$F$27:$F$44, 0)), "")</f>
        <v>6.99</v>
      </c>
      <c r="BE40" s="215">
        <f>IFERROR(INDEX('[1]Anexos FICHA TRA050'!$B$4:$B$7, MATCH(Tabla46782[[#This Row],[Columna4]], '[1]Anexos FICHA TRA050'!$C$4:$C$7, 0)), "")</f>
        <v>10</v>
      </c>
      <c r="BF40" s="215">
        <f>IFERROR(INDEX('[1]Anexos FICHA TRA050'!$C$14:$C$22, MATCH(Tabla46782[[#This Row],[Columna5]], '[1]Anexos FICHA TRA050'!$D$14:$D$22, 0)), "")</f>
        <v>17.920000000000002</v>
      </c>
      <c r="BG40" s="216">
        <f>IFERROR(INDEX('[1]Anexos FICHA TRA050'!$C$49:$C$54, MATCH(Tabla46782[[#This Row],[Columna5]], '[1]Anexos FICHA TRA050'!$D$49:$D$54, 0)), "")</f>
        <v>13073</v>
      </c>
      <c r="BH40" s="217">
        <f>+(((Tabla46782[[#This Row],[CVA2]]*Tabla46782[[#This Row],[f2]])-Tabla46782[[#This Row],[CVN2]])/100)*Tabla46782[[#This Row],[L2]]</f>
        <v>6795.3454000000002</v>
      </c>
      <c r="BI40" s="218"/>
      <c r="BJ40" s="218"/>
      <c r="BK40" s="218" t="str">
        <f>+IF(Tabla46782[[#This Row],[F3]]=Tabla46782[[#This Row],[f2]], "IGUAL", "DISTINTO")</f>
        <v>IGUAL</v>
      </c>
      <c r="BL40" s="218" t="str">
        <f>+IF(Tabla46782[[#This Row],[CVN]]=Tabla46782[[#This Row],[CVN2]], "IGUAL", "DISTINTO")</f>
        <v>DISTINTO</v>
      </c>
      <c r="BM40" s="219" t="str">
        <f>+IF(Tabla46782[[#This Row],[L]]=Tabla46782[[#This Row],[L2]], "IGUAL", "DISTINTO")</f>
        <v>IGUAL</v>
      </c>
    </row>
    <row r="41" spans="1:146" x14ac:dyDescent="0.25">
      <c r="A41">
        <v>38</v>
      </c>
      <c r="B41" s="202" t="s">
        <v>371</v>
      </c>
      <c r="C41" s="203" t="s">
        <v>372</v>
      </c>
      <c r="D41" s="203" t="s">
        <v>70</v>
      </c>
      <c r="E41" s="203" t="s">
        <v>78</v>
      </c>
      <c r="F41" s="203" t="s">
        <v>78</v>
      </c>
      <c r="G41" s="203" t="s">
        <v>70</v>
      </c>
      <c r="H41" s="203" t="s">
        <v>72</v>
      </c>
      <c r="I41" s="203" t="s">
        <v>72</v>
      </c>
      <c r="J41" s="203" t="s">
        <v>72</v>
      </c>
      <c r="K41" s="203"/>
      <c r="L41" s="203" t="s">
        <v>72</v>
      </c>
      <c r="M41" s="203" t="s">
        <v>72</v>
      </c>
      <c r="N41" s="203"/>
      <c r="O41" s="203" t="s">
        <v>73</v>
      </c>
      <c r="P41" s="203" t="s">
        <v>200</v>
      </c>
      <c r="Q41" s="203" t="s">
        <v>201</v>
      </c>
      <c r="R41" s="203" t="s">
        <v>76</v>
      </c>
      <c r="S41" s="209">
        <v>43749</v>
      </c>
      <c r="T41" s="205">
        <v>45576</v>
      </c>
      <c r="U41" s="205">
        <f>VLOOKUP(Tabla46782[[#This Row],[Matricula]],BAJA2022202320242025!$B$3:$CR$245,95,FALSE)</f>
        <v>45567</v>
      </c>
      <c r="V41" s="206">
        <v>1827</v>
      </c>
      <c r="W41" s="207">
        <v>2024</v>
      </c>
      <c r="X41" s="203" t="s">
        <v>77</v>
      </c>
      <c r="Y41" s="203" t="s">
        <v>78</v>
      </c>
      <c r="Z41" s="203" t="s">
        <v>359</v>
      </c>
      <c r="AA41" s="203" t="s">
        <v>360</v>
      </c>
      <c r="AB41" s="203" t="s">
        <v>336</v>
      </c>
      <c r="AC41" s="203" t="s">
        <v>337</v>
      </c>
      <c r="AD41" s="203" t="s">
        <v>373</v>
      </c>
      <c r="AE41" s="208">
        <v>3</v>
      </c>
      <c r="AF41" s="208" t="s">
        <v>374</v>
      </c>
      <c r="AG41" s="208" t="s">
        <v>140</v>
      </c>
      <c r="AH41" s="208" t="s">
        <v>151</v>
      </c>
      <c r="AI41" s="208" t="s">
        <v>87</v>
      </c>
      <c r="AJ41" s="208" t="s">
        <v>338</v>
      </c>
      <c r="AK41" s="205" t="s">
        <v>89</v>
      </c>
      <c r="AL41" s="204">
        <v>45625</v>
      </c>
      <c r="AM41" s="208">
        <v>0</v>
      </c>
      <c r="AN41" s="209" t="s">
        <v>336</v>
      </c>
      <c r="AO41" s="209" t="s">
        <v>375</v>
      </c>
      <c r="AP41" s="209" t="s">
        <v>337</v>
      </c>
      <c r="AQ41" s="209"/>
      <c r="AR41" s="209" t="s">
        <v>72</v>
      </c>
      <c r="AS41" s="209" t="s">
        <v>91</v>
      </c>
      <c r="AT41" s="209" t="s">
        <v>376</v>
      </c>
      <c r="AU41" s="210">
        <v>5.0999999999999996</v>
      </c>
      <c r="AV41" s="211">
        <v>10</v>
      </c>
      <c r="AW41" s="212">
        <v>16.399999999999999</v>
      </c>
      <c r="AX41" s="213">
        <v>13073</v>
      </c>
      <c r="AY41" s="213">
        <v>4523.2580000000007</v>
      </c>
      <c r="AZ41" s="210" t="s">
        <v>70</v>
      </c>
      <c r="BA41" s="209" t="s">
        <v>93</v>
      </c>
      <c r="BB41" s="214" t="str">
        <f>+IF(Tabla46782[[#This Row],[TIPO VEHÍCULO]]=Tabla46782[[#This Row],[Columna2]], "IGUAL", "DISTINTO")</f>
        <v>IGUAL</v>
      </c>
      <c r="BC41" s="214" t="str">
        <f>+IF(Tabla46782[[#This Row],[Columna4]]=Tabla46782[[#This Row],[Combustible2]], "IGUAL", "DISTINTO")</f>
        <v>IGUAL</v>
      </c>
      <c r="BD41" s="215" cm="1">
        <f t="array" ref="BD41">IFERROR(INDEX('[1]Anexos FICHA TRA050'!$D$27:$D$44, MATCH(Tabla46782[[#This Row],[Columna5]]&amp;Tabla46782[[#This Row],[Columna4]], '[1]Anexos FICHA TRA050'!$E$27:$E$44&amp;'[1]Anexos FICHA TRA050'!$F$27:$F$44, 0)), "")</f>
        <v>6.99</v>
      </c>
      <c r="BE41" s="215">
        <f>IFERROR(INDEX('[1]Anexos FICHA TRA050'!$B$4:$B$7, MATCH(Tabla46782[[#This Row],[Columna4]], '[1]Anexos FICHA TRA050'!$C$4:$C$7, 0)), "")</f>
        <v>10</v>
      </c>
      <c r="BF41" s="215">
        <f>IFERROR(INDEX('[1]Anexos FICHA TRA050'!$C$14:$C$22, MATCH(Tabla46782[[#This Row],[Columna5]], '[1]Anexos FICHA TRA050'!$D$14:$D$22, 0)), "")</f>
        <v>17.920000000000002</v>
      </c>
      <c r="BG41" s="216">
        <f>IFERROR(INDEX('[1]Anexos FICHA TRA050'!$C$49:$C$54, MATCH(Tabla46782[[#This Row],[Columna5]], '[1]Anexos FICHA TRA050'!$D$49:$D$54, 0)), "")</f>
        <v>13073</v>
      </c>
      <c r="BH41" s="217">
        <f>+(((Tabla46782[[#This Row],[CVA2]]*Tabla46782[[#This Row],[f2]])-Tabla46782[[#This Row],[CVN2]])/100)*Tabla46782[[#This Row],[L2]]</f>
        <v>6795.3454000000002</v>
      </c>
      <c r="BI41" s="218"/>
      <c r="BJ41" s="218"/>
      <c r="BK41" s="218" t="str">
        <f>+IF(Tabla46782[[#This Row],[F3]]=Tabla46782[[#This Row],[f2]], "IGUAL", "DISTINTO")</f>
        <v>IGUAL</v>
      </c>
      <c r="BL41" s="218" t="str">
        <f>+IF(Tabla46782[[#This Row],[CVN]]=Tabla46782[[#This Row],[CVN2]], "IGUAL", "DISTINTO")</f>
        <v>DISTINTO</v>
      </c>
      <c r="BM41" s="219" t="str">
        <f>+IF(Tabla46782[[#This Row],[L]]=Tabla46782[[#This Row],[L2]], "IGUAL", "DISTINTO")</f>
        <v>IGUAL</v>
      </c>
    </row>
    <row r="42" spans="1:146" x14ac:dyDescent="0.25">
      <c r="A42">
        <v>39</v>
      </c>
      <c r="B42" s="202" t="s">
        <v>377</v>
      </c>
      <c r="C42" s="203" t="s">
        <v>378</v>
      </c>
      <c r="D42" s="203" t="s">
        <v>70</v>
      </c>
      <c r="E42" s="203" t="s">
        <v>78</v>
      </c>
      <c r="F42" s="203" t="s">
        <v>78</v>
      </c>
      <c r="G42" s="203" t="s">
        <v>70</v>
      </c>
      <c r="H42" s="203" t="s">
        <v>72</v>
      </c>
      <c r="I42" s="203" t="s">
        <v>72</v>
      </c>
      <c r="J42" s="203" t="s">
        <v>72</v>
      </c>
      <c r="K42" s="203"/>
      <c r="L42" s="203" t="s">
        <v>72</v>
      </c>
      <c r="M42" s="203" t="s">
        <v>72</v>
      </c>
      <c r="N42" s="203"/>
      <c r="O42" s="203" t="s">
        <v>73</v>
      </c>
      <c r="P42" s="203" t="s">
        <v>200</v>
      </c>
      <c r="Q42" s="203" t="s">
        <v>201</v>
      </c>
      <c r="R42" s="203" t="s">
        <v>160</v>
      </c>
      <c r="S42" s="209">
        <v>43522</v>
      </c>
      <c r="T42" s="205">
        <v>45348</v>
      </c>
      <c r="U42" s="205">
        <f>VLOOKUP(Tabla46782[[#This Row],[Matricula]],BAJA2022202320242025!$B$3:$CR$245,95,FALSE)</f>
        <v>44998</v>
      </c>
      <c r="V42" s="206">
        <v>1826</v>
      </c>
      <c r="W42" s="207">
        <v>2024</v>
      </c>
      <c r="X42" s="203" t="s">
        <v>161</v>
      </c>
      <c r="Y42" s="203" t="s">
        <v>78</v>
      </c>
      <c r="Z42" s="203" t="s">
        <v>359</v>
      </c>
      <c r="AA42" s="203" t="s">
        <v>360</v>
      </c>
      <c r="AB42" s="203" t="s">
        <v>336</v>
      </c>
      <c r="AC42" s="203" t="s">
        <v>337</v>
      </c>
      <c r="AD42" s="203" t="s">
        <v>373</v>
      </c>
      <c r="AE42" s="208">
        <v>4</v>
      </c>
      <c r="AF42" s="208" t="s">
        <v>379</v>
      </c>
      <c r="AG42" s="208" t="s">
        <v>380</v>
      </c>
      <c r="AH42" s="208" t="s">
        <v>381</v>
      </c>
      <c r="AI42" s="208" t="s">
        <v>87</v>
      </c>
      <c r="AJ42" s="208" t="s">
        <v>382</v>
      </c>
      <c r="AK42" s="205" t="s">
        <v>89</v>
      </c>
      <c r="AL42" s="204">
        <v>45483</v>
      </c>
      <c r="AM42" s="208">
        <v>0</v>
      </c>
      <c r="AN42" s="209" t="s">
        <v>336</v>
      </c>
      <c r="AO42" s="210">
        <v>4500407442</v>
      </c>
      <c r="AP42" s="209" t="s">
        <v>337</v>
      </c>
      <c r="AQ42" s="209"/>
      <c r="AR42" s="209" t="s">
        <v>72</v>
      </c>
      <c r="AS42" s="209" t="s">
        <v>91</v>
      </c>
      <c r="AT42" s="209" t="s">
        <v>383</v>
      </c>
      <c r="AU42" s="210">
        <v>5.0999999999999996</v>
      </c>
      <c r="AV42" s="211">
        <v>10</v>
      </c>
      <c r="AW42" s="212">
        <v>20</v>
      </c>
      <c r="AX42" s="213">
        <v>13073</v>
      </c>
      <c r="AY42" s="213">
        <v>4052.63</v>
      </c>
      <c r="AZ42" s="210" t="s">
        <v>70</v>
      </c>
      <c r="BA42" s="209" t="s">
        <v>93</v>
      </c>
      <c r="BB42" s="214" t="str">
        <f>+IF(Tabla46782[[#This Row],[TIPO VEHÍCULO]]=Tabla46782[[#This Row],[Columna2]], "IGUAL", "DISTINTO")</f>
        <v>IGUAL</v>
      </c>
      <c r="BC42" s="214" t="str">
        <f>+IF(Tabla46782[[#This Row],[Columna4]]=Tabla46782[[#This Row],[Combustible2]], "IGUAL", "DISTINTO")</f>
        <v>IGUAL</v>
      </c>
      <c r="BD42" s="215" cm="1">
        <f t="array" ref="BD42">IFERROR(INDEX('[1]Anexos FICHA TRA050'!$D$27:$D$44, MATCH(Tabla46782[[#This Row],[Columna5]]&amp;Tabla46782[[#This Row],[Columna4]], '[1]Anexos FICHA TRA050'!$E$27:$E$44&amp;'[1]Anexos FICHA TRA050'!$F$27:$F$44, 0)), "")</f>
        <v>6.99</v>
      </c>
      <c r="BE42" s="215">
        <f>IFERROR(INDEX('[1]Anexos FICHA TRA050'!$B$4:$B$7, MATCH(Tabla46782[[#This Row],[Columna4]], '[1]Anexos FICHA TRA050'!$C$4:$C$7, 0)), "")</f>
        <v>10</v>
      </c>
      <c r="BF42" s="215">
        <f>IFERROR(INDEX('[1]Anexos FICHA TRA050'!$C$14:$C$22, MATCH(Tabla46782[[#This Row],[Columna5]], '[1]Anexos FICHA TRA050'!$D$14:$D$22, 0)), "")</f>
        <v>17.920000000000002</v>
      </c>
      <c r="BG42" s="216">
        <f>IFERROR(INDEX('[1]Anexos FICHA TRA050'!$C$49:$C$54, MATCH(Tabla46782[[#This Row],[Columna5]], '[1]Anexos FICHA TRA050'!$D$49:$D$54, 0)), "")</f>
        <v>13073</v>
      </c>
      <c r="BH42" s="217">
        <f>+(((Tabla46782[[#This Row],[CVA2]]*Tabla46782[[#This Row],[f2]])-Tabla46782[[#This Row],[CVN2]])/100)*Tabla46782[[#This Row],[L2]]</f>
        <v>6795.3454000000002</v>
      </c>
      <c r="BI42" s="218"/>
      <c r="BJ42" s="218"/>
      <c r="BK42" s="218" t="str">
        <f>+IF(Tabla46782[[#This Row],[F3]]=Tabla46782[[#This Row],[f2]], "IGUAL", "DISTINTO")</f>
        <v>IGUAL</v>
      </c>
      <c r="BL42" s="218" t="str">
        <f>+IF(Tabla46782[[#This Row],[CVN]]=Tabla46782[[#This Row],[CVN2]], "IGUAL", "DISTINTO")</f>
        <v>DISTINTO</v>
      </c>
      <c r="BM42" s="219" t="str">
        <f>+IF(Tabla46782[[#This Row],[L]]=Tabla46782[[#This Row],[L2]], "IGUAL", "DISTINTO")</f>
        <v>IGUAL</v>
      </c>
    </row>
    <row r="43" spans="1:146" x14ac:dyDescent="0.25">
      <c r="A43">
        <v>40</v>
      </c>
      <c r="B43" s="202" t="s">
        <v>384</v>
      </c>
      <c r="C43" s="203" t="s">
        <v>385</v>
      </c>
      <c r="D43" s="203" t="s">
        <v>70</v>
      </c>
      <c r="E43" s="203" t="s">
        <v>78</v>
      </c>
      <c r="F43" s="203" t="s">
        <v>78</v>
      </c>
      <c r="G43" s="203" t="s">
        <v>70</v>
      </c>
      <c r="H43" s="203" t="s">
        <v>72</v>
      </c>
      <c r="I43" s="203"/>
      <c r="J43" s="203" t="s">
        <v>72</v>
      </c>
      <c r="K43" s="203"/>
      <c r="L43" s="203" t="s">
        <v>72</v>
      </c>
      <c r="M43" s="203" t="s">
        <v>72</v>
      </c>
      <c r="N43" s="203"/>
      <c r="O43" s="203" t="s">
        <v>73</v>
      </c>
      <c r="P43" s="203" t="s">
        <v>200</v>
      </c>
      <c r="Q43" s="203" t="s">
        <v>201</v>
      </c>
      <c r="R43" s="203" t="s">
        <v>76</v>
      </c>
      <c r="S43" s="209">
        <v>43584</v>
      </c>
      <c r="T43" s="205">
        <v>45045</v>
      </c>
      <c r="U43" s="205">
        <f>VLOOKUP(Tabla46782[[#This Row],[Matricula]],BAJA2022202320242025!$B$3:$CR$245,95,FALSE)</f>
        <v>45036</v>
      </c>
      <c r="V43" s="206">
        <v>1461</v>
      </c>
      <c r="W43" s="207">
        <v>2023</v>
      </c>
      <c r="X43" s="203" t="s">
        <v>77</v>
      </c>
      <c r="Y43" s="203" t="s">
        <v>78</v>
      </c>
      <c r="Z43" s="203" t="s">
        <v>359</v>
      </c>
      <c r="AA43" s="203" t="s">
        <v>360</v>
      </c>
      <c r="AB43" s="203" t="s">
        <v>119</v>
      </c>
      <c r="AC43" s="203" t="s">
        <v>120</v>
      </c>
      <c r="AD43" s="203" t="s">
        <v>386</v>
      </c>
      <c r="AE43" s="208">
        <v>11</v>
      </c>
      <c r="AF43" s="208" t="s">
        <v>387</v>
      </c>
      <c r="AG43" s="208" t="s">
        <v>85</v>
      </c>
      <c r="AH43" s="208" t="s">
        <v>86</v>
      </c>
      <c r="AI43" s="208" t="s">
        <v>87</v>
      </c>
      <c r="AJ43" s="208" t="s">
        <v>152</v>
      </c>
      <c r="AK43" s="205" t="s">
        <v>89</v>
      </c>
      <c r="AL43" s="204">
        <v>45645</v>
      </c>
      <c r="AM43" s="208">
        <v>1</v>
      </c>
      <c r="AN43" s="209" t="s">
        <v>119</v>
      </c>
      <c r="AO43" s="209" t="s">
        <v>388</v>
      </c>
      <c r="AP43" s="209" t="s">
        <v>120</v>
      </c>
      <c r="AQ43" s="209"/>
      <c r="AR43" s="209" t="s">
        <v>72</v>
      </c>
      <c r="AS43" s="209" t="s">
        <v>91</v>
      </c>
      <c r="AT43" s="209" t="s">
        <v>389</v>
      </c>
      <c r="AU43" s="210">
        <v>5.0999999999999996</v>
      </c>
      <c r="AV43" s="211">
        <v>10</v>
      </c>
      <c r="AW43" s="212">
        <v>17.3</v>
      </c>
      <c r="AX43" s="213">
        <v>13073</v>
      </c>
      <c r="AY43" s="213">
        <v>4405.6010000000006</v>
      </c>
      <c r="AZ43" s="210" t="s">
        <v>70</v>
      </c>
      <c r="BA43" s="209" t="s">
        <v>93</v>
      </c>
      <c r="BB43" s="214" t="str">
        <f>+IF(Tabla46782[[#This Row],[TIPO VEHÍCULO]]=Tabla46782[[#This Row],[Columna2]], "IGUAL", "DISTINTO")</f>
        <v>IGUAL</v>
      </c>
      <c r="BC43" s="214" t="str">
        <f>+IF(Tabla46782[[#This Row],[Columna4]]=Tabla46782[[#This Row],[Combustible2]], "IGUAL", "DISTINTO")</f>
        <v>IGUAL</v>
      </c>
      <c r="BD43" s="215" cm="1">
        <f t="array" ref="BD43">IFERROR(INDEX('[1]Anexos FICHA TRA050'!$D$27:$D$44, MATCH(Tabla46782[[#This Row],[Columna5]]&amp;Tabla46782[[#This Row],[Columna4]], '[1]Anexos FICHA TRA050'!$E$27:$E$44&amp;'[1]Anexos FICHA TRA050'!$F$27:$F$44, 0)), "")</f>
        <v>6.99</v>
      </c>
      <c r="BE43" s="215">
        <f>IFERROR(INDEX('[1]Anexos FICHA TRA050'!$B$4:$B$7, MATCH(Tabla46782[[#This Row],[Columna4]], '[1]Anexos FICHA TRA050'!$C$4:$C$7, 0)), "")</f>
        <v>10</v>
      </c>
      <c r="BF43" s="215">
        <f>IFERROR(INDEX('[1]Anexos FICHA TRA050'!$C$14:$C$22, MATCH(Tabla46782[[#This Row],[Columna5]], '[1]Anexos FICHA TRA050'!$D$14:$D$22, 0)), "")</f>
        <v>17.920000000000002</v>
      </c>
      <c r="BG43" s="216">
        <f>IFERROR(INDEX('[1]Anexos FICHA TRA050'!$C$49:$C$54, MATCH(Tabla46782[[#This Row],[Columna5]], '[1]Anexos FICHA TRA050'!$D$49:$D$54, 0)), "")</f>
        <v>13073</v>
      </c>
      <c r="BH43" s="217">
        <f>+(((Tabla46782[[#This Row],[CVA2]]*Tabla46782[[#This Row],[f2]])-Tabla46782[[#This Row],[CVN2]])/100)*Tabla46782[[#This Row],[L2]]</f>
        <v>6795.3454000000002</v>
      </c>
      <c r="BI43" s="218"/>
      <c r="BJ43" s="218"/>
      <c r="BK43" s="218" t="str">
        <f>+IF(Tabla46782[[#This Row],[F3]]=Tabla46782[[#This Row],[f2]], "IGUAL", "DISTINTO")</f>
        <v>IGUAL</v>
      </c>
      <c r="BL43" s="218" t="str">
        <f>+IF(Tabla46782[[#This Row],[CVN]]=Tabla46782[[#This Row],[CVN2]], "IGUAL", "DISTINTO")</f>
        <v>DISTINTO</v>
      </c>
      <c r="BM43" s="219" t="str">
        <f>+IF(Tabla46782[[#This Row],[L]]=Tabla46782[[#This Row],[L2]], "IGUAL", "DISTINTO")</f>
        <v>IGUAL</v>
      </c>
    </row>
    <row r="44" spans="1:146" x14ac:dyDescent="0.25">
      <c r="A44">
        <v>41</v>
      </c>
      <c r="B44" s="202" t="s">
        <v>390</v>
      </c>
      <c r="C44" s="203" t="s">
        <v>391</v>
      </c>
      <c r="D44" s="203" t="s">
        <v>70</v>
      </c>
      <c r="E44" s="203" t="s">
        <v>78</v>
      </c>
      <c r="F44" s="203" t="s">
        <v>78</v>
      </c>
      <c r="G44" s="203" t="s">
        <v>70</v>
      </c>
      <c r="H44" s="203" t="s">
        <v>72</v>
      </c>
      <c r="I44" s="203"/>
      <c r="J44" s="203" t="s">
        <v>72</v>
      </c>
      <c r="K44" s="203"/>
      <c r="L44" s="203" t="s">
        <v>72</v>
      </c>
      <c r="M44" s="203" t="s">
        <v>72</v>
      </c>
      <c r="N44" s="203"/>
      <c r="O44" s="203" t="s">
        <v>73</v>
      </c>
      <c r="P44" s="203" t="s">
        <v>200</v>
      </c>
      <c r="Q44" s="203" t="s">
        <v>201</v>
      </c>
      <c r="R44" s="203" t="s">
        <v>76</v>
      </c>
      <c r="S44" s="209">
        <v>43747</v>
      </c>
      <c r="T44" s="205">
        <v>45208</v>
      </c>
      <c r="U44" s="205">
        <f>VLOOKUP(Tabla46782[[#This Row],[Matricula]],BAJA2022202320242025!$B$3:$CR$245,95,FALSE)</f>
        <v>45175</v>
      </c>
      <c r="V44" s="206">
        <v>1461</v>
      </c>
      <c r="W44" s="207">
        <v>2023</v>
      </c>
      <c r="X44" s="203" t="s">
        <v>77</v>
      </c>
      <c r="Y44" s="203" t="s">
        <v>78</v>
      </c>
      <c r="Z44" s="203" t="s">
        <v>359</v>
      </c>
      <c r="AA44" s="203" t="s">
        <v>360</v>
      </c>
      <c r="AB44" s="203" t="s">
        <v>131</v>
      </c>
      <c r="AC44" s="203" t="s">
        <v>132</v>
      </c>
      <c r="AD44" s="203" t="s">
        <v>392</v>
      </c>
      <c r="AE44" s="208">
        <v>4</v>
      </c>
      <c r="AF44" s="208" t="s">
        <v>393</v>
      </c>
      <c r="AG44" s="208" t="s">
        <v>85</v>
      </c>
      <c r="AH44" s="208" t="s">
        <v>86</v>
      </c>
      <c r="AI44" s="208" t="s">
        <v>87</v>
      </c>
      <c r="AJ44" s="208" t="s">
        <v>318</v>
      </c>
      <c r="AK44" s="205" t="s">
        <v>89</v>
      </c>
      <c r="AL44" s="204">
        <v>45625</v>
      </c>
      <c r="AM44" s="208">
        <v>1</v>
      </c>
      <c r="AN44" s="209" t="s">
        <v>131</v>
      </c>
      <c r="AO44" s="209" t="s">
        <v>394</v>
      </c>
      <c r="AP44" s="209" t="s">
        <v>132</v>
      </c>
      <c r="AQ44" s="209"/>
      <c r="AR44" s="209" t="s">
        <v>72</v>
      </c>
      <c r="AS44" s="209" t="s">
        <v>91</v>
      </c>
      <c r="AT44" s="209" t="s">
        <v>395</v>
      </c>
      <c r="AU44" s="210">
        <v>5.0999999999999996</v>
      </c>
      <c r="AV44" s="211">
        <v>10</v>
      </c>
      <c r="AW44" s="212">
        <v>17.3</v>
      </c>
      <c r="AX44" s="213">
        <v>13073</v>
      </c>
      <c r="AY44" s="213">
        <v>4405.6010000000006</v>
      </c>
      <c r="AZ44" s="210" t="s">
        <v>70</v>
      </c>
      <c r="BA44" s="209" t="s">
        <v>93</v>
      </c>
      <c r="BB44" s="214" t="str">
        <f>+IF(Tabla46782[[#This Row],[TIPO VEHÍCULO]]=Tabla46782[[#This Row],[Columna2]], "IGUAL", "DISTINTO")</f>
        <v>IGUAL</v>
      </c>
      <c r="BC44" s="214" t="str">
        <f>+IF(Tabla46782[[#This Row],[Columna4]]=Tabla46782[[#This Row],[Combustible2]], "IGUAL", "DISTINTO")</f>
        <v>IGUAL</v>
      </c>
      <c r="BD44" s="215" cm="1">
        <f t="array" ref="BD44">IFERROR(INDEX('[1]Anexos FICHA TRA050'!$D$27:$D$44, MATCH(Tabla46782[[#This Row],[Columna5]]&amp;Tabla46782[[#This Row],[Columna4]], '[1]Anexos FICHA TRA050'!$E$27:$E$44&amp;'[1]Anexos FICHA TRA050'!$F$27:$F$44, 0)), "")</f>
        <v>6.99</v>
      </c>
      <c r="BE44" s="215">
        <f>IFERROR(INDEX('[1]Anexos FICHA TRA050'!$B$4:$B$7, MATCH(Tabla46782[[#This Row],[Columna4]], '[1]Anexos FICHA TRA050'!$C$4:$C$7, 0)), "")</f>
        <v>10</v>
      </c>
      <c r="BF44" s="215">
        <f>IFERROR(INDEX('[1]Anexos FICHA TRA050'!$C$14:$C$22, MATCH(Tabla46782[[#This Row],[Columna5]], '[1]Anexos FICHA TRA050'!$D$14:$D$22, 0)), "")</f>
        <v>17.920000000000002</v>
      </c>
      <c r="BG44" s="216">
        <f>IFERROR(INDEX('[1]Anexos FICHA TRA050'!$C$49:$C$54, MATCH(Tabla46782[[#This Row],[Columna5]], '[1]Anexos FICHA TRA050'!$D$49:$D$54, 0)), "")</f>
        <v>13073</v>
      </c>
      <c r="BH44" s="217">
        <f>+(((Tabla46782[[#This Row],[CVA2]]*Tabla46782[[#This Row],[f2]])-Tabla46782[[#This Row],[CVN2]])/100)*Tabla46782[[#This Row],[L2]]</f>
        <v>6795.3454000000002</v>
      </c>
      <c r="BI44" s="218"/>
      <c r="BJ44" s="218"/>
      <c r="BK44" s="218" t="str">
        <f>+IF(Tabla46782[[#This Row],[F3]]=Tabla46782[[#This Row],[f2]], "IGUAL", "DISTINTO")</f>
        <v>IGUAL</v>
      </c>
      <c r="BL44" s="218" t="str">
        <f>+IF(Tabla46782[[#This Row],[CVN]]=Tabla46782[[#This Row],[CVN2]], "IGUAL", "DISTINTO")</f>
        <v>DISTINTO</v>
      </c>
      <c r="BM44" s="219" t="str">
        <f>+IF(Tabla46782[[#This Row],[L]]=Tabla46782[[#This Row],[L2]], "IGUAL", "DISTINTO")</f>
        <v>IGUAL</v>
      </c>
    </row>
    <row r="45" spans="1:146" x14ac:dyDescent="0.25">
      <c r="A45">
        <v>42</v>
      </c>
      <c r="B45" s="202" t="s">
        <v>396</v>
      </c>
      <c r="C45" s="203" t="s">
        <v>397</v>
      </c>
      <c r="D45" s="203" t="s">
        <v>70</v>
      </c>
      <c r="E45" s="203" t="s">
        <v>78</v>
      </c>
      <c r="F45" s="203" t="s">
        <v>78</v>
      </c>
      <c r="G45" s="203" t="s">
        <v>70</v>
      </c>
      <c r="H45" s="203" t="s">
        <v>72</v>
      </c>
      <c r="I45" s="203"/>
      <c r="J45" s="203" t="s">
        <v>72</v>
      </c>
      <c r="K45" s="203"/>
      <c r="L45" s="203" t="s">
        <v>72</v>
      </c>
      <c r="M45" s="203" t="s">
        <v>72</v>
      </c>
      <c r="N45" s="203"/>
      <c r="O45" s="203" t="s">
        <v>73</v>
      </c>
      <c r="P45" s="203" t="s">
        <v>200</v>
      </c>
      <c r="Q45" s="203" t="s">
        <v>201</v>
      </c>
      <c r="R45" s="203" t="s">
        <v>76</v>
      </c>
      <c r="S45" s="209">
        <v>43619</v>
      </c>
      <c r="T45" s="205">
        <v>45476</v>
      </c>
      <c r="U45" s="205">
        <f>VLOOKUP(Tabla46782[[#This Row],[Matricula]],BAJA2022202320242025!$B$3:$CR$245,95,FALSE)</f>
        <v>45681</v>
      </c>
      <c r="V45" s="206">
        <v>1857</v>
      </c>
      <c r="W45" s="207">
        <v>2024</v>
      </c>
      <c r="X45" s="203" t="s">
        <v>77</v>
      </c>
      <c r="Y45" s="203" t="s">
        <v>78</v>
      </c>
      <c r="Z45" s="203" t="s">
        <v>359</v>
      </c>
      <c r="AA45" s="203" t="s">
        <v>360</v>
      </c>
      <c r="AB45" s="203" t="s">
        <v>119</v>
      </c>
      <c r="AC45" s="203" t="s">
        <v>120</v>
      </c>
      <c r="AD45" s="203" t="s">
        <v>366</v>
      </c>
      <c r="AE45" s="208">
        <v>12</v>
      </c>
      <c r="AF45" s="208" t="s">
        <v>398</v>
      </c>
      <c r="AG45" s="208" t="s">
        <v>85</v>
      </c>
      <c r="AH45" s="208" t="s">
        <v>86</v>
      </c>
      <c r="AI45" s="208" t="s">
        <v>87</v>
      </c>
      <c r="AJ45" s="208" t="s">
        <v>325</v>
      </c>
      <c r="AK45" s="205" t="s">
        <v>89</v>
      </c>
      <c r="AL45" s="204">
        <v>45645</v>
      </c>
      <c r="AM45" s="208">
        <v>0</v>
      </c>
      <c r="AN45" s="209" t="s">
        <v>119</v>
      </c>
      <c r="AO45" s="209" t="s">
        <v>399</v>
      </c>
      <c r="AP45" s="209" t="s">
        <v>120</v>
      </c>
      <c r="AQ45" s="209"/>
      <c r="AR45" s="209" t="s">
        <v>72</v>
      </c>
      <c r="AS45" s="209" t="s">
        <v>91</v>
      </c>
      <c r="AT45" s="209" t="s">
        <v>400</v>
      </c>
      <c r="AU45" s="210">
        <v>5.0999999999999996</v>
      </c>
      <c r="AV45" s="211">
        <v>10</v>
      </c>
      <c r="AW45" s="212">
        <v>17.3</v>
      </c>
      <c r="AX45" s="213">
        <v>13073</v>
      </c>
      <c r="AY45" s="213">
        <v>4405.6010000000006</v>
      </c>
      <c r="AZ45" s="210" t="s">
        <v>70</v>
      </c>
      <c r="BA45" s="209" t="s">
        <v>93</v>
      </c>
      <c r="BB45" s="214" t="str">
        <f>+IF(Tabla46782[[#This Row],[TIPO VEHÍCULO]]=Tabla46782[[#This Row],[Columna2]], "IGUAL", "DISTINTO")</f>
        <v>IGUAL</v>
      </c>
      <c r="BC45" s="214" t="str">
        <f>+IF(Tabla46782[[#This Row],[Columna4]]=Tabla46782[[#This Row],[Combustible2]], "IGUAL", "DISTINTO")</f>
        <v>IGUAL</v>
      </c>
      <c r="BD45" s="215" cm="1">
        <f t="array" ref="BD45">IFERROR(INDEX('[1]Anexos FICHA TRA050'!$D$27:$D$44, MATCH(Tabla46782[[#This Row],[Columna5]]&amp;Tabla46782[[#This Row],[Columna4]], '[1]Anexos FICHA TRA050'!$E$27:$E$44&amp;'[1]Anexos FICHA TRA050'!$F$27:$F$44, 0)), "")</f>
        <v>6.99</v>
      </c>
      <c r="BE45" s="215">
        <f>IFERROR(INDEX('[1]Anexos FICHA TRA050'!$B$4:$B$7, MATCH(Tabla46782[[#This Row],[Columna4]], '[1]Anexos FICHA TRA050'!$C$4:$C$7, 0)), "")</f>
        <v>10</v>
      </c>
      <c r="BF45" s="215">
        <f>IFERROR(INDEX('[1]Anexos FICHA TRA050'!$C$14:$C$22, MATCH(Tabla46782[[#This Row],[Columna5]], '[1]Anexos FICHA TRA050'!$D$14:$D$22, 0)), "")</f>
        <v>17.920000000000002</v>
      </c>
      <c r="BG45" s="216">
        <f>IFERROR(INDEX('[1]Anexos FICHA TRA050'!$C$49:$C$54, MATCH(Tabla46782[[#This Row],[Columna5]], '[1]Anexos FICHA TRA050'!$D$49:$D$54, 0)), "")</f>
        <v>13073</v>
      </c>
      <c r="BH45" s="217">
        <f>+(((Tabla46782[[#This Row],[CVA2]]*Tabla46782[[#This Row],[f2]])-Tabla46782[[#This Row],[CVN2]])/100)*Tabla46782[[#This Row],[L2]]</f>
        <v>6795.3454000000002</v>
      </c>
      <c r="BI45" s="218"/>
      <c r="BJ45" s="218"/>
      <c r="BK45" s="218" t="str">
        <f>+IF(Tabla46782[[#This Row],[F3]]=Tabla46782[[#This Row],[f2]], "IGUAL", "DISTINTO")</f>
        <v>IGUAL</v>
      </c>
      <c r="BL45" s="218" t="str">
        <f>+IF(Tabla46782[[#This Row],[CVN]]=Tabla46782[[#This Row],[CVN2]], "IGUAL", "DISTINTO")</f>
        <v>DISTINTO</v>
      </c>
      <c r="BM45" s="219" t="str">
        <f>+IF(Tabla46782[[#This Row],[L]]=Tabla46782[[#This Row],[L2]], "IGUAL", "DISTINTO")</f>
        <v>IGUAL</v>
      </c>
    </row>
    <row r="46" spans="1:146" x14ac:dyDescent="0.25">
      <c r="A46">
        <v>43</v>
      </c>
      <c r="B46" s="202" t="s">
        <v>401</v>
      </c>
      <c r="C46" s="203" t="s">
        <v>402</v>
      </c>
      <c r="D46" s="203" t="s">
        <v>70</v>
      </c>
      <c r="E46" s="203" t="s">
        <v>78</v>
      </c>
      <c r="F46" s="203" t="s">
        <v>78</v>
      </c>
      <c r="G46" s="203" t="s">
        <v>70</v>
      </c>
      <c r="H46" s="203" t="s">
        <v>72</v>
      </c>
      <c r="I46" s="203" t="s">
        <v>72</v>
      </c>
      <c r="J46" s="203" t="s">
        <v>72</v>
      </c>
      <c r="K46" s="203"/>
      <c r="L46" s="203" t="s">
        <v>72</v>
      </c>
      <c r="M46" s="203" t="s">
        <v>72</v>
      </c>
      <c r="N46" s="203"/>
      <c r="O46" s="203" t="s">
        <v>73</v>
      </c>
      <c r="P46" s="203" t="s">
        <v>200</v>
      </c>
      <c r="Q46" s="203" t="s">
        <v>201</v>
      </c>
      <c r="R46" s="203" t="s">
        <v>76</v>
      </c>
      <c r="S46" s="209">
        <v>43749</v>
      </c>
      <c r="T46" s="205">
        <v>45576</v>
      </c>
      <c r="U46" s="205">
        <f>VLOOKUP(Tabla46782[[#This Row],[Matricula]],BAJA2022202320242025!$B$3:$CR$245,95,FALSE)</f>
        <v>45478</v>
      </c>
      <c r="V46" s="206">
        <v>1827</v>
      </c>
      <c r="W46" s="207">
        <v>2024</v>
      </c>
      <c r="X46" s="203" t="s">
        <v>77</v>
      </c>
      <c r="Y46" s="203" t="s">
        <v>78</v>
      </c>
      <c r="Z46" s="203" t="s">
        <v>359</v>
      </c>
      <c r="AA46" s="203" t="s">
        <v>360</v>
      </c>
      <c r="AB46" s="203" t="s">
        <v>403</v>
      </c>
      <c r="AC46" s="203" t="s">
        <v>404</v>
      </c>
      <c r="AD46" s="203" t="s">
        <v>405</v>
      </c>
      <c r="AE46" s="208">
        <v>1</v>
      </c>
      <c r="AF46" s="208" t="s">
        <v>406</v>
      </c>
      <c r="AG46" s="208" t="s">
        <v>85</v>
      </c>
      <c r="AH46" s="208" t="s">
        <v>86</v>
      </c>
      <c r="AI46" s="208" t="s">
        <v>87</v>
      </c>
      <c r="AJ46" s="208" t="s">
        <v>407</v>
      </c>
      <c r="AK46" s="205" t="s">
        <v>89</v>
      </c>
      <c r="AL46" s="204">
        <v>45645</v>
      </c>
      <c r="AM46" s="208">
        <v>0</v>
      </c>
      <c r="AN46" s="209" t="s">
        <v>403</v>
      </c>
      <c r="AO46" s="209" t="s">
        <v>408</v>
      </c>
      <c r="AP46" s="209" t="s">
        <v>404</v>
      </c>
      <c r="AQ46" s="209"/>
      <c r="AR46" s="209" t="s">
        <v>72</v>
      </c>
      <c r="AS46" s="209" t="s">
        <v>91</v>
      </c>
      <c r="AT46" s="209" t="s">
        <v>409</v>
      </c>
      <c r="AU46" s="210">
        <v>5.0999999999999996</v>
      </c>
      <c r="AV46" s="211">
        <v>10</v>
      </c>
      <c r="AW46" s="212">
        <v>17.3</v>
      </c>
      <c r="AX46" s="213">
        <v>13073</v>
      </c>
      <c r="AY46" s="213">
        <v>4405.6010000000006</v>
      </c>
      <c r="AZ46" s="210" t="s">
        <v>70</v>
      </c>
      <c r="BA46" s="209" t="s">
        <v>93</v>
      </c>
      <c r="BB46" s="214" t="str">
        <f>+IF(Tabla46782[[#This Row],[TIPO VEHÍCULO]]=Tabla46782[[#This Row],[Columna2]], "IGUAL", "DISTINTO")</f>
        <v>IGUAL</v>
      </c>
      <c r="BC46" s="214" t="str">
        <f>+IF(Tabla46782[[#This Row],[Columna4]]=Tabla46782[[#This Row],[Combustible2]], "IGUAL", "DISTINTO")</f>
        <v>IGUAL</v>
      </c>
      <c r="BD46" s="215" cm="1">
        <f t="array" ref="BD46">IFERROR(INDEX('[1]Anexos FICHA TRA050'!$D$27:$D$44, MATCH(Tabla46782[[#This Row],[Columna5]]&amp;Tabla46782[[#This Row],[Columna4]], '[1]Anexos FICHA TRA050'!$E$27:$E$44&amp;'[1]Anexos FICHA TRA050'!$F$27:$F$44, 0)), "")</f>
        <v>6.99</v>
      </c>
      <c r="BE46" s="215">
        <f>IFERROR(INDEX('[1]Anexos FICHA TRA050'!$B$4:$B$7, MATCH(Tabla46782[[#This Row],[Columna4]], '[1]Anexos FICHA TRA050'!$C$4:$C$7, 0)), "")</f>
        <v>10</v>
      </c>
      <c r="BF46" s="215">
        <f>IFERROR(INDEX('[1]Anexos FICHA TRA050'!$C$14:$C$22, MATCH(Tabla46782[[#This Row],[Columna5]], '[1]Anexos FICHA TRA050'!$D$14:$D$22, 0)), "")</f>
        <v>17.920000000000002</v>
      </c>
      <c r="BG46" s="216">
        <f>IFERROR(INDEX('[1]Anexos FICHA TRA050'!$C$49:$C$54, MATCH(Tabla46782[[#This Row],[Columna5]], '[1]Anexos FICHA TRA050'!$D$49:$D$54, 0)), "")</f>
        <v>13073</v>
      </c>
      <c r="BH46" s="217">
        <f>+(((Tabla46782[[#This Row],[CVA2]]*Tabla46782[[#This Row],[f2]])-Tabla46782[[#This Row],[CVN2]])/100)*Tabla46782[[#This Row],[L2]]</f>
        <v>6795.3454000000002</v>
      </c>
      <c r="BI46" s="218"/>
      <c r="BJ46" s="218"/>
      <c r="BK46" s="218" t="str">
        <f>+IF(Tabla46782[[#This Row],[F3]]=Tabla46782[[#This Row],[f2]], "IGUAL", "DISTINTO")</f>
        <v>IGUAL</v>
      </c>
      <c r="BL46" s="218" t="str">
        <f>+IF(Tabla46782[[#This Row],[CVN]]=Tabla46782[[#This Row],[CVN2]], "IGUAL", "DISTINTO")</f>
        <v>DISTINTO</v>
      </c>
      <c r="BM46" s="219" t="str">
        <f>+IF(Tabla46782[[#This Row],[L]]=Tabla46782[[#This Row],[L2]], "IGUAL", "DISTINTO")</f>
        <v>IGUAL</v>
      </c>
    </row>
    <row r="47" spans="1:146" s="221" customFormat="1" x14ac:dyDescent="0.25">
      <c r="A47" s="221">
        <v>44</v>
      </c>
      <c r="B47" s="222" t="s">
        <v>410</v>
      </c>
      <c r="C47" s="203" t="s">
        <v>411</v>
      </c>
      <c r="D47" s="223" t="s">
        <v>412</v>
      </c>
      <c r="E47" s="223" t="s">
        <v>71</v>
      </c>
      <c r="F47" s="223" t="s">
        <v>71</v>
      </c>
      <c r="G47" s="224"/>
      <c r="H47" s="203"/>
      <c r="I47" s="203"/>
      <c r="J47" s="203"/>
      <c r="K47" s="203"/>
      <c r="L47" s="203" t="s">
        <v>72</v>
      </c>
      <c r="M47" s="203"/>
      <c r="N47" s="203"/>
      <c r="O47" s="203" t="s">
        <v>413</v>
      </c>
      <c r="P47" s="203" t="s">
        <v>414</v>
      </c>
      <c r="Q47" s="203" t="s">
        <v>415</v>
      </c>
      <c r="R47" s="203" t="s">
        <v>171</v>
      </c>
      <c r="S47" s="209">
        <v>42116</v>
      </c>
      <c r="T47" s="205">
        <v>45382</v>
      </c>
      <c r="U47" s="205">
        <f>VLOOKUP(Tabla46782[[#This Row],[Matricula]],BAJA2022202320242025!$B$3:$CR$245,95,FALSE)</f>
        <v>45382</v>
      </c>
      <c r="V47" s="206">
        <v>3266</v>
      </c>
      <c r="W47" s="207">
        <v>2024</v>
      </c>
      <c r="X47" s="203" t="s">
        <v>172</v>
      </c>
      <c r="Y47" s="203" t="s">
        <v>202</v>
      </c>
      <c r="Z47" s="203" t="s">
        <v>416</v>
      </c>
      <c r="AA47" s="203" t="s">
        <v>417</v>
      </c>
      <c r="AB47" s="203" t="s">
        <v>119</v>
      </c>
      <c r="AC47" s="203" t="s">
        <v>120</v>
      </c>
      <c r="AD47" s="203" t="s">
        <v>366</v>
      </c>
      <c r="AE47" s="208">
        <v>13</v>
      </c>
      <c r="AF47" s="208" t="s">
        <v>418</v>
      </c>
      <c r="AG47" s="208" t="s">
        <v>85</v>
      </c>
      <c r="AH47" s="208" t="s">
        <v>86</v>
      </c>
      <c r="AI47" s="208" t="s">
        <v>87</v>
      </c>
      <c r="AJ47" s="208" t="s">
        <v>419</v>
      </c>
      <c r="AK47" s="205" t="s">
        <v>89</v>
      </c>
      <c r="AL47" s="204">
        <v>45645</v>
      </c>
      <c r="AM47" s="208">
        <v>0</v>
      </c>
      <c r="AN47" s="209" t="s">
        <v>119</v>
      </c>
      <c r="AO47" s="209" t="s">
        <v>420</v>
      </c>
      <c r="AP47" s="209" t="s">
        <v>120</v>
      </c>
      <c r="AQ47" s="209"/>
      <c r="AR47" s="209" t="s">
        <v>72</v>
      </c>
      <c r="AS47" s="209" t="s">
        <v>91</v>
      </c>
      <c r="AT47" s="209" t="s">
        <v>421</v>
      </c>
      <c r="AU47" s="210">
        <v>5.0999999999999996</v>
      </c>
      <c r="AV47" s="225">
        <v>9.19</v>
      </c>
      <c r="AW47" s="226">
        <v>17.3</v>
      </c>
      <c r="AX47" s="227">
        <v>13073</v>
      </c>
      <c r="AY47" s="227">
        <v>3865.5553699999987</v>
      </c>
      <c r="AZ47" s="228" t="s">
        <v>70</v>
      </c>
      <c r="BA47" s="228" t="s">
        <v>255</v>
      </c>
      <c r="BB47" s="229" t="str">
        <f>+IF(Tabla46782[[#This Row],[TIPO VEHÍCULO]]=Tabla46782[[#This Row],[Columna2]], "IGUAL", "DISTINTO")</f>
        <v>DISTINTO</v>
      </c>
      <c r="BC47" s="229" t="str">
        <f>+IF(Tabla46782[[#This Row],[Columna4]]=Tabla46782[[#This Row],[Combustible2]], "IGUAL", "DISTINTO")</f>
        <v>DISTINTO</v>
      </c>
      <c r="BD47" s="230" t="str" cm="1">
        <f t="array" ref="BD47">IFERROR(INDEX('[1]Anexos FICHA TRA050'!$D$27:$D$44, MATCH(Tabla46782[[#This Row],[Columna5]]&amp;Tabla46782[[#This Row],[Columna4]], '[1]Anexos FICHA TRA050'!$E$27:$E$44&amp;'[1]Anexos FICHA TRA050'!$F$27:$F$44, 0)), "")</f>
        <v/>
      </c>
      <c r="BE47" s="230">
        <f>IFERROR(INDEX('[1]Anexos FICHA TRA050'!$B$4:$B$7, MATCH(Tabla46782[[#This Row],[Columna4]], '[1]Anexos FICHA TRA050'!$C$4:$C$7, 0)), "")</f>
        <v>9.19</v>
      </c>
      <c r="BF47" s="230" t="str">
        <f>IFERROR(INDEX('[1]Anexos FICHA TRA050'!$C$14:$C$22, MATCH(Tabla46782[[#This Row],[Columna5]], '[1]Anexos FICHA TRA050'!$D$14:$D$22, 0)), "")</f>
        <v/>
      </c>
      <c r="BG47" s="231" t="str">
        <f>IFERROR(INDEX('[1]Anexos FICHA TRA050'!$C$49:$C$54, MATCH(Tabla46782[[#This Row],[Columna5]], '[1]Anexos FICHA TRA050'!$D$49:$D$54, 0)), "")</f>
        <v/>
      </c>
      <c r="BH47" s="232" t="e">
        <f>+(((Tabla46782[[#This Row],[CVA2]]*Tabla46782[[#This Row],[f2]])-Tabla46782[[#This Row],[CVN2]])/100)*Tabla46782[[#This Row],[L2]]</f>
        <v>#VALUE!</v>
      </c>
      <c r="BI47" s="230" t="s">
        <v>422</v>
      </c>
      <c r="BJ47" s="218"/>
      <c r="BK47" s="218" t="str">
        <f>+IF(Tabla46782[[#This Row],[F3]]=Tabla46782[[#This Row],[f2]], "IGUAL", "DISTINTO")</f>
        <v>IGUAL</v>
      </c>
      <c r="BL47" s="218" t="str">
        <f>+IF(Tabla46782[[#This Row],[CVN]]=Tabla46782[[#This Row],[CVN2]], "IGUAL", "DISTINTO")</f>
        <v>DISTINTO</v>
      </c>
      <c r="BM47" s="219" t="str">
        <f>+IF(Tabla46782[[#This Row],[L]]=Tabla46782[[#This Row],[L2]], "IGUAL", "DISTINTO")</f>
        <v>DISTINTO</v>
      </c>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row>
    <row r="48" spans="1:146" x14ac:dyDescent="0.25">
      <c r="A48">
        <v>45</v>
      </c>
      <c r="B48" s="202" t="s">
        <v>423</v>
      </c>
      <c r="C48" s="203" t="s">
        <v>424</v>
      </c>
      <c r="D48" s="214" t="s">
        <v>128</v>
      </c>
      <c r="E48" s="203" t="s">
        <v>425</v>
      </c>
      <c r="F48" s="203" t="s">
        <v>78</v>
      </c>
      <c r="G48" s="203" t="s">
        <v>128</v>
      </c>
      <c r="H48" s="203" t="s">
        <v>72</v>
      </c>
      <c r="I48" s="203" t="s">
        <v>72</v>
      </c>
      <c r="J48" s="203" t="s">
        <v>72</v>
      </c>
      <c r="K48" s="203"/>
      <c r="L48" s="203" t="s">
        <v>72</v>
      </c>
      <c r="M48" s="203" t="s">
        <v>72</v>
      </c>
      <c r="N48" s="203"/>
      <c r="O48" s="203" t="s">
        <v>129</v>
      </c>
      <c r="P48" s="203" t="s">
        <v>74</v>
      </c>
      <c r="Q48" s="203" t="s">
        <v>75</v>
      </c>
      <c r="R48" s="203" t="s">
        <v>76</v>
      </c>
      <c r="S48" s="204">
        <v>45075</v>
      </c>
      <c r="T48" s="205">
        <v>45189</v>
      </c>
      <c r="U48" s="205">
        <f>VLOOKUP(Tabla46782[[#This Row],[Matricula]],BAJA2022202320242025!$B$3:$CR$245,95,FALSE)</f>
        <v>45189</v>
      </c>
      <c r="V48" s="206">
        <v>114</v>
      </c>
      <c r="W48" s="207">
        <v>2023</v>
      </c>
      <c r="X48" s="203" t="s">
        <v>77</v>
      </c>
      <c r="Y48" s="203" t="s">
        <v>78</v>
      </c>
      <c r="Z48" s="203" t="s">
        <v>380</v>
      </c>
      <c r="AA48" s="203" t="s">
        <v>426</v>
      </c>
      <c r="AB48" s="203" t="s">
        <v>131</v>
      </c>
      <c r="AC48" s="203" t="s">
        <v>132</v>
      </c>
      <c r="AD48" s="203" t="s">
        <v>427</v>
      </c>
      <c r="AE48" s="208">
        <v>5</v>
      </c>
      <c r="AF48" s="208" t="s">
        <v>428</v>
      </c>
      <c r="AG48" s="208" t="s">
        <v>140</v>
      </c>
      <c r="AH48" s="208" t="s">
        <v>151</v>
      </c>
      <c r="AI48" s="208" t="s">
        <v>87</v>
      </c>
      <c r="AJ48" s="208" t="s">
        <v>429</v>
      </c>
      <c r="AK48" s="205" t="s">
        <v>89</v>
      </c>
      <c r="AL48" s="204">
        <v>45625</v>
      </c>
      <c r="AM48" s="208">
        <v>1</v>
      </c>
      <c r="AN48" s="209" t="s">
        <v>131</v>
      </c>
      <c r="AO48" s="209" t="s">
        <v>430</v>
      </c>
      <c r="AP48" s="209" t="s">
        <v>132</v>
      </c>
      <c r="AQ48" s="209"/>
      <c r="AR48" s="209" t="s">
        <v>72</v>
      </c>
      <c r="AS48" s="209" t="s">
        <v>91</v>
      </c>
      <c r="AT48" s="209" t="s">
        <v>431</v>
      </c>
      <c r="AU48" s="210">
        <v>5.6</v>
      </c>
      <c r="AV48" s="211">
        <v>10</v>
      </c>
      <c r="AW48" s="212">
        <v>16.399999999999999</v>
      </c>
      <c r="AX48" s="213">
        <v>15815</v>
      </c>
      <c r="AY48" s="213">
        <v>6262.7400000000007</v>
      </c>
      <c r="AZ48" s="210" t="s">
        <v>128</v>
      </c>
      <c r="BA48" s="209" t="s">
        <v>93</v>
      </c>
      <c r="BB48" s="214" t="str">
        <f>+IF(Tabla46782[[#This Row],[TIPO VEHÍCULO]]=Tabla46782[[#This Row],[Columna2]], "IGUAL", "DISTINTO")</f>
        <v>IGUAL</v>
      </c>
      <c r="BC48" s="214" t="str">
        <f>+IF(Tabla46782[[#This Row],[Columna4]]=Tabla46782[[#This Row],[Combustible2]], "IGUAL", "DISTINTO")</f>
        <v>IGUAL</v>
      </c>
      <c r="BD48" s="215" cm="1">
        <f t="array" ref="BD48">IFERROR(INDEX('[1]Anexos FICHA TRA050'!$D$27:$D$44, MATCH(Tabla46782[[#This Row],[Columna5]]&amp;Tabla46782[[#This Row],[Columna4]], '[1]Anexos FICHA TRA050'!$E$27:$E$44&amp;'[1]Anexos FICHA TRA050'!$F$27:$F$44, 0)), "")</f>
        <v>5.63</v>
      </c>
      <c r="BE48" s="215">
        <f>IFERROR(INDEX('[1]Anexos FICHA TRA050'!$B$4:$B$7, MATCH(Tabla46782[[#This Row],[Columna4]], '[1]Anexos FICHA TRA050'!$C$4:$C$7, 0)), "")</f>
        <v>10</v>
      </c>
      <c r="BF48" s="215">
        <f>IFERROR(INDEX('[1]Anexos FICHA TRA050'!$C$14:$C$22, MATCH(Tabla46782[[#This Row],[Columna5]], '[1]Anexos FICHA TRA050'!$D$14:$D$22, 0)), "")</f>
        <v>20.84</v>
      </c>
      <c r="BG48" s="216">
        <f>IFERROR(INDEX('[1]Anexos FICHA TRA050'!$C$49:$C$54, MATCH(Tabla46782[[#This Row],[Columna5]], '[1]Anexos FICHA TRA050'!$D$49:$D$54, 0)), "")</f>
        <v>15815</v>
      </c>
      <c r="BH48" s="217">
        <f>+(((Tabla46782[[#This Row],[CVA2]]*Tabla46782[[#This Row],[f2]])-Tabla46782[[#This Row],[CVN2]])/100)*Tabla46782[[#This Row],[L2]]</f>
        <v>5607.9989999999989</v>
      </c>
      <c r="BI48" s="218"/>
      <c r="BJ48" s="218"/>
      <c r="BK48" s="218" t="str">
        <f>+IF(Tabla46782[[#This Row],[F3]]=Tabla46782[[#This Row],[f2]], "IGUAL", "DISTINTO")</f>
        <v>IGUAL</v>
      </c>
      <c r="BL48" s="218" t="str">
        <f>+IF(Tabla46782[[#This Row],[CVN]]=Tabla46782[[#This Row],[CVN2]], "IGUAL", "DISTINTO")</f>
        <v>DISTINTO</v>
      </c>
      <c r="BM48" s="219" t="str">
        <f>+IF(Tabla46782[[#This Row],[L]]=Tabla46782[[#This Row],[L2]], "IGUAL", "DISTINTO")</f>
        <v>IGUAL</v>
      </c>
    </row>
    <row r="49" spans="1:146" x14ac:dyDescent="0.25">
      <c r="A49">
        <v>46</v>
      </c>
      <c r="B49" s="202" t="s">
        <v>432</v>
      </c>
      <c r="C49" s="203" t="s">
        <v>433</v>
      </c>
      <c r="D49" s="203" t="s">
        <v>70</v>
      </c>
      <c r="E49" s="203" t="s">
        <v>78</v>
      </c>
      <c r="F49" s="203" t="s">
        <v>78</v>
      </c>
      <c r="G49" s="203" t="s">
        <v>70</v>
      </c>
      <c r="H49" s="203" t="s">
        <v>72</v>
      </c>
      <c r="I49" s="203"/>
      <c r="J49" s="203" t="s">
        <v>72</v>
      </c>
      <c r="K49" s="203"/>
      <c r="L49" s="203" t="s">
        <v>72</v>
      </c>
      <c r="M49" s="203" t="s">
        <v>72</v>
      </c>
      <c r="N49" s="203"/>
      <c r="O49" s="203" t="s">
        <v>73</v>
      </c>
      <c r="P49" s="203" t="s">
        <v>74</v>
      </c>
      <c r="Q49" s="203" t="s">
        <v>75</v>
      </c>
      <c r="R49" s="203" t="s">
        <v>76</v>
      </c>
      <c r="S49" s="204">
        <v>45202</v>
      </c>
      <c r="T49" s="205">
        <v>45278</v>
      </c>
      <c r="U49" s="205">
        <f>VLOOKUP(Tabla46782[[#This Row],[Matricula]],BAJA2022202320242025!$B$3:$CR$245,95,FALSE)</f>
        <v>45278</v>
      </c>
      <c r="V49" s="206">
        <v>76</v>
      </c>
      <c r="W49" s="207">
        <v>2023</v>
      </c>
      <c r="X49" s="203" t="s">
        <v>77</v>
      </c>
      <c r="Y49" s="203" t="s">
        <v>78</v>
      </c>
      <c r="Z49" s="203" t="s">
        <v>85</v>
      </c>
      <c r="AA49" s="203" t="s">
        <v>434</v>
      </c>
      <c r="AB49" s="203" t="s">
        <v>102</v>
      </c>
      <c r="AC49" s="203" t="s">
        <v>103</v>
      </c>
      <c r="AD49" s="203" t="s">
        <v>104</v>
      </c>
      <c r="AE49" s="208">
        <v>4</v>
      </c>
      <c r="AF49" s="208" t="s">
        <v>435</v>
      </c>
      <c r="AG49" s="208" t="s">
        <v>85</v>
      </c>
      <c r="AH49" s="208" t="s">
        <v>114</v>
      </c>
      <c r="AI49" s="208" t="s">
        <v>87</v>
      </c>
      <c r="AJ49" s="208" t="s">
        <v>115</v>
      </c>
      <c r="AK49" s="205" t="s">
        <v>108</v>
      </c>
      <c r="AL49" s="204">
        <v>45135</v>
      </c>
      <c r="AM49" s="208">
        <v>0</v>
      </c>
      <c r="AN49" s="209" t="s">
        <v>102</v>
      </c>
      <c r="AO49" s="210">
        <v>4500351520</v>
      </c>
      <c r="AP49" s="209" t="s">
        <v>103</v>
      </c>
      <c r="AQ49" s="209"/>
      <c r="AR49" s="209" t="s">
        <v>72</v>
      </c>
      <c r="AS49" s="209" t="s">
        <v>109</v>
      </c>
      <c r="AT49" s="209" t="s">
        <v>436</v>
      </c>
      <c r="AU49" s="210">
        <v>5.0999999999999996</v>
      </c>
      <c r="AV49" s="211">
        <v>10</v>
      </c>
      <c r="AW49" s="212">
        <v>17.3</v>
      </c>
      <c r="AX49" s="213">
        <v>13073</v>
      </c>
      <c r="AY49" s="213">
        <v>4405.6010000000006</v>
      </c>
      <c r="AZ49" s="210" t="s">
        <v>70</v>
      </c>
      <c r="BA49" s="209" t="s">
        <v>93</v>
      </c>
      <c r="BB49" s="214" t="str">
        <f>+IF(Tabla46782[[#This Row],[TIPO VEHÍCULO]]=Tabla46782[[#This Row],[Columna2]], "IGUAL", "DISTINTO")</f>
        <v>IGUAL</v>
      </c>
      <c r="BC49" s="214" t="str">
        <f>+IF(Tabla46782[[#This Row],[Columna4]]=Tabla46782[[#This Row],[Combustible2]], "IGUAL", "DISTINTO")</f>
        <v>IGUAL</v>
      </c>
      <c r="BD49" s="215" cm="1">
        <f t="array" ref="BD49">IFERROR(INDEX('[1]Anexos FICHA TRA050'!$D$27:$D$44, MATCH(Tabla46782[[#This Row],[Columna5]]&amp;Tabla46782[[#This Row],[Columna4]], '[1]Anexos FICHA TRA050'!$E$27:$E$44&amp;'[1]Anexos FICHA TRA050'!$F$27:$F$44, 0)), "")</f>
        <v>6.99</v>
      </c>
      <c r="BE49" s="215">
        <f>IFERROR(INDEX('[1]Anexos FICHA TRA050'!$B$4:$B$7, MATCH(Tabla46782[[#This Row],[Columna4]], '[1]Anexos FICHA TRA050'!$C$4:$C$7, 0)), "")</f>
        <v>10</v>
      </c>
      <c r="BF49" s="215">
        <f>IFERROR(INDEX('[1]Anexos FICHA TRA050'!$C$14:$C$22, MATCH(Tabla46782[[#This Row],[Columna5]], '[1]Anexos FICHA TRA050'!$D$14:$D$22, 0)), "")</f>
        <v>17.920000000000002</v>
      </c>
      <c r="BG49" s="216">
        <f>IFERROR(INDEX('[1]Anexos FICHA TRA050'!$C$49:$C$54, MATCH(Tabla46782[[#This Row],[Columna5]], '[1]Anexos FICHA TRA050'!$D$49:$D$54, 0)), "")</f>
        <v>13073</v>
      </c>
      <c r="BH49" s="217">
        <f>+(((Tabla46782[[#This Row],[CVA2]]*Tabla46782[[#This Row],[f2]])-Tabla46782[[#This Row],[CVN2]])/100)*Tabla46782[[#This Row],[L2]]</f>
        <v>6795.3454000000002</v>
      </c>
      <c r="BI49" s="218"/>
      <c r="BJ49" s="218"/>
      <c r="BK49" s="218" t="str">
        <f>+IF(Tabla46782[[#This Row],[F3]]=Tabla46782[[#This Row],[f2]], "IGUAL", "DISTINTO")</f>
        <v>IGUAL</v>
      </c>
      <c r="BL49" s="218" t="str">
        <f>+IF(Tabla46782[[#This Row],[CVN]]=Tabla46782[[#This Row],[CVN2]], "IGUAL", "DISTINTO")</f>
        <v>DISTINTO</v>
      </c>
      <c r="BM49" s="219" t="str">
        <f>+IF(Tabla46782[[#This Row],[L]]=Tabla46782[[#This Row],[L2]], "IGUAL", "DISTINTO")</f>
        <v>IGUAL</v>
      </c>
    </row>
    <row r="50" spans="1:146" x14ac:dyDescent="0.25">
      <c r="A50">
        <v>47</v>
      </c>
      <c r="B50" s="202" t="s">
        <v>437</v>
      </c>
      <c r="C50" s="203" t="s">
        <v>438</v>
      </c>
      <c r="D50" s="233" t="s">
        <v>70</v>
      </c>
      <c r="E50" s="233" t="s">
        <v>78</v>
      </c>
      <c r="F50" s="203" t="s">
        <v>78</v>
      </c>
      <c r="G50" s="203" t="s">
        <v>70</v>
      </c>
      <c r="H50" s="203"/>
      <c r="I50" s="203"/>
      <c r="J50" s="203" t="s">
        <v>72</v>
      </c>
      <c r="K50" s="203"/>
      <c r="L50" s="203"/>
      <c r="M50" s="203" t="s">
        <v>249</v>
      </c>
      <c r="N50" s="203" t="s">
        <v>249</v>
      </c>
      <c r="O50" s="203" t="s">
        <v>73</v>
      </c>
      <c r="P50" s="203" t="s">
        <v>74</v>
      </c>
      <c r="Q50" s="203" t="s">
        <v>75</v>
      </c>
      <c r="R50" s="203" t="s">
        <v>76</v>
      </c>
      <c r="S50" s="204">
        <v>44958</v>
      </c>
      <c r="T50" s="205">
        <v>44984</v>
      </c>
      <c r="U50" s="205">
        <f>VLOOKUP(Tabla46782[[#This Row],[Matricula]],BAJA2022202320242025!$B$3:$CR$245,95,FALSE)</f>
        <v>44984</v>
      </c>
      <c r="V50" s="206">
        <v>26</v>
      </c>
      <c r="W50" s="207">
        <v>2023</v>
      </c>
      <c r="X50" s="203" t="s">
        <v>77</v>
      </c>
      <c r="Y50" s="203" t="s">
        <v>78</v>
      </c>
      <c r="Z50" s="203" t="s">
        <v>85</v>
      </c>
      <c r="AA50" s="203" t="s">
        <v>439</v>
      </c>
      <c r="AB50" s="203" t="s">
        <v>102</v>
      </c>
      <c r="AC50" s="203" t="s">
        <v>103</v>
      </c>
      <c r="AD50" s="203" t="s">
        <v>440</v>
      </c>
      <c r="AE50" s="208">
        <v>5</v>
      </c>
      <c r="AF50" s="208" t="s">
        <v>441</v>
      </c>
      <c r="AG50" s="208" t="s">
        <v>79</v>
      </c>
      <c r="AH50" s="208" t="s">
        <v>442</v>
      </c>
      <c r="AI50" s="208" t="s">
        <v>87</v>
      </c>
      <c r="AJ50" s="208" t="s">
        <v>107</v>
      </c>
      <c r="AK50" s="205" t="s">
        <v>108</v>
      </c>
      <c r="AL50" s="204">
        <v>45133</v>
      </c>
      <c r="AM50" s="208">
        <v>0</v>
      </c>
      <c r="AN50" s="209" t="s">
        <v>102</v>
      </c>
      <c r="AO50" s="210">
        <v>4500370216</v>
      </c>
      <c r="AP50" s="209" t="s">
        <v>103</v>
      </c>
      <c r="AQ50" s="209"/>
      <c r="AR50" s="209" t="s">
        <v>72</v>
      </c>
      <c r="AS50" s="209" t="s">
        <v>109</v>
      </c>
      <c r="AT50" s="209" t="s">
        <v>443</v>
      </c>
      <c r="AU50" s="210">
        <v>5.0999999999999996</v>
      </c>
      <c r="AV50" s="211">
        <v>10</v>
      </c>
      <c r="AW50" s="212">
        <v>22.7</v>
      </c>
      <c r="AX50" s="213">
        <v>13073</v>
      </c>
      <c r="AY50" s="213">
        <v>3699.6590000000006</v>
      </c>
      <c r="AZ50" s="210" t="s">
        <v>70</v>
      </c>
      <c r="BA50" s="209" t="s">
        <v>255</v>
      </c>
      <c r="BB50" s="214" t="str">
        <f>+IF(Tabla46782[[#This Row],[TIPO VEHÍCULO]]=Tabla46782[[#This Row],[Columna2]], "IGUAL", "DISTINTO")</f>
        <v>IGUAL</v>
      </c>
      <c r="BC50" s="214" t="str">
        <f>+IF(Tabla46782[[#This Row],[Columna4]]=Tabla46782[[#This Row],[Combustible2]], "IGUAL", "DISTINTO")</f>
        <v>IGUAL</v>
      </c>
      <c r="BD50" s="215" cm="1">
        <f t="array" ref="BD50">IFERROR(INDEX('[1]Anexos FICHA TRA050'!$D$27:$D$44, MATCH(Tabla46782[[#This Row],[Columna5]]&amp;Tabla46782[[#This Row],[Columna4]], '[1]Anexos FICHA TRA050'!$E$27:$E$44&amp;'[1]Anexos FICHA TRA050'!$F$27:$F$44, 0)), "")</f>
        <v>6.99</v>
      </c>
      <c r="BE50" s="215">
        <f>IFERROR(INDEX('[1]Anexos FICHA TRA050'!$B$4:$B$7, MATCH(Tabla46782[[#This Row],[Columna4]], '[1]Anexos FICHA TRA050'!$C$4:$C$7, 0)), "")</f>
        <v>10</v>
      </c>
      <c r="BF50" s="215">
        <f>IFERROR(INDEX('[1]Anexos FICHA TRA050'!$C$14:$C$22, MATCH(Tabla46782[[#This Row],[Columna5]], '[1]Anexos FICHA TRA050'!$D$14:$D$22, 0)), "")</f>
        <v>17.920000000000002</v>
      </c>
      <c r="BG50" s="216">
        <f>IFERROR(INDEX('[1]Anexos FICHA TRA050'!$C$49:$C$54, MATCH(Tabla46782[[#This Row],[Columna5]], '[1]Anexos FICHA TRA050'!$D$49:$D$54, 0)), "")</f>
        <v>13073</v>
      </c>
      <c r="BH50" s="217">
        <f>+(((Tabla46782[[#This Row],[CVA2]]*Tabla46782[[#This Row],[f2]])-Tabla46782[[#This Row],[CVN2]])/100)*Tabla46782[[#This Row],[L2]]</f>
        <v>6795.3454000000002</v>
      </c>
      <c r="BI50" s="218"/>
      <c r="BJ50" s="218"/>
      <c r="BK50" s="218" t="str">
        <f>+IF(Tabla46782[[#This Row],[F3]]=Tabla46782[[#This Row],[f2]], "IGUAL", "DISTINTO")</f>
        <v>IGUAL</v>
      </c>
      <c r="BL50" s="218" t="str">
        <f>+IF(Tabla46782[[#This Row],[CVN]]=Tabla46782[[#This Row],[CVN2]], "IGUAL", "DISTINTO")</f>
        <v>DISTINTO</v>
      </c>
      <c r="BM50" s="219" t="str">
        <f>+IF(Tabla46782[[#This Row],[L]]=Tabla46782[[#This Row],[L2]], "IGUAL", "DISTINTO")</f>
        <v>IGUAL</v>
      </c>
    </row>
    <row r="51" spans="1:146" x14ac:dyDescent="0.25">
      <c r="A51">
        <v>48</v>
      </c>
      <c r="B51" s="202" t="s">
        <v>444</v>
      </c>
      <c r="C51" s="203" t="s">
        <v>445</v>
      </c>
      <c r="D51" s="233" t="s">
        <v>70</v>
      </c>
      <c r="E51" s="233" t="s">
        <v>78</v>
      </c>
      <c r="F51" s="203" t="s">
        <v>78</v>
      </c>
      <c r="G51" s="203" t="s">
        <v>70</v>
      </c>
      <c r="H51" s="203"/>
      <c r="I51" s="203"/>
      <c r="J51" s="203" t="s">
        <v>249</v>
      </c>
      <c r="K51" s="203"/>
      <c r="L51" s="203"/>
      <c r="M51" s="203" t="s">
        <v>249</v>
      </c>
      <c r="N51" s="203" t="s">
        <v>249</v>
      </c>
      <c r="O51" s="203" t="s">
        <v>73</v>
      </c>
      <c r="P51" s="203" t="s">
        <v>74</v>
      </c>
      <c r="Q51" s="203" t="s">
        <v>75</v>
      </c>
      <c r="R51" s="203" t="s">
        <v>76</v>
      </c>
      <c r="S51" s="204">
        <v>44958</v>
      </c>
      <c r="T51" s="205">
        <v>44984</v>
      </c>
      <c r="U51" s="205">
        <f>VLOOKUP(Tabla46782[[#This Row],[Matricula]],BAJA2022202320242025!$B$3:$CR$245,95,FALSE)</f>
        <v>44984</v>
      </c>
      <c r="V51" s="206">
        <v>26</v>
      </c>
      <c r="W51" s="207">
        <v>2023</v>
      </c>
      <c r="X51" s="203" t="s">
        <v>77</v>
      </c>
      <c r="Y51" s="203" t="s">
        <v>78</v>
      </c>
      <c r="Z51" s="203" t="s">
        <v>85</v>
      </c>
      <c r="AA51" s="203" t="s">
        <v>439</v>
      </c>
      <c r="AB51" s="203" t="s">
        <v>102</v>
      </c>
      <c r="AC51" s="203" t="s">
        <v>103</v>
      </c>
      <c r="AD51" s="203" t="s">
        <v>440</v>
      </c>
      <c r="AE51" s="208">
        <v>6</v>
      </c>
      <c r="AF51" s="208" t="s">
        <v>446</v>
      </c>
      <c r="AG51" s="208" t="s">
        <v>79</v>
      </c>
      <c r="AH51" s="208" t="s">
        <v>442</v>
      </c>
      <c r="AI51" s="208" t="s">
        <v>87</v>
      </c>
      <c r="AJ51" s="208" t="s">
        <v>107</v>
      </c>
      <c r="AK51" s="205" t="s">
        <v>108</v>
      </c>
      <c r="AL51" s="204">
        <v>45133</v>
      </c>
      <c r="AM51" s="208">
        <v>0</v>
      </c>
      <c r="AN51" s="209" t="s">
        <v>102</v>
      </c>
      <c r="AO51" s="210">
        <v>4500370232</v>
      </c>
      <c r="AP51" s="209" t="s">
        <v>103</v>
      </c>
      <c r="AQ51" s="209"/>
      <c r="AR51" s="209" t="s">
        <v>72</v>
      </c>
      <c r="AS51" s="209" t="s">
        <v>109</v>
      </c>
      <c r="AT51" s="209" t="s">
        <v>447</v>
      </c>
      <c r="AU51" s="210">
        <v>5.0999999999999996</v>
      </c>
      <c r="AV51" s="211">
        <v>10</v>
      </c>
      <c r="AW51" s="212">
        <v>22.7</v>
      </c>
      <c r="AX51" s="213">
        <v>13073</v>
      </c>
      <c r="AY51" s="213">
        <v>3699.6590000000006</v>
      </c>
      <c r="AZ51" s="210" t="s">
        <v>70</v>
      </c>
      <c r="BA51" s="209" t="s">
        <v>255</v>
      </c>
      <c r="BB51" s="214" t="str">
        <f>+IF(Tabla46782[[#This Row],[TIPO VEHÍCULO]]=Tabla46782[[#This Row],[Columna2]], "IGUAL", "DISTINTO")</f>
        <v>IGUAL</v>
      </c>
      <c r="BC51" s="214" t="str">
        <f>+IF(Tabla46782[[#This Row],[Columna4]]=Tabla46782[[#This Row],[Combustible2]], "IGUAL", "DISTINTO")</f>
        <v>IGUAL</v>
      </c>
      <c r="BD51" s="215" cm="1">
        <f t="array" ref="BD51">IFERROR(INDEX('[1]Anexos FICHA TRA050'!$D$27:$D$44, MATCH(Tabla46782[[#This Row],[Columna5]]&amp;Tabla46782[[#This Row],[Columna4]], '[1]Anexos FICHA TRA050'!$E$27:$E$44&amp;'[1]Anexos FICHA TRA050'!$F$27:$F$44, 0)), "")</f>
        <v>6.99</v>
      </c>
      <c r="BE51" s="215">
        <f>IFERROR(INDEX('[1]Anexos FICHA TRA050'!$B$4:$B$7, MATCH(Tabla46782[[#This Row],[Columna4]], '[1]Anexos FICHA TRA050'!$C$4:$C$7, 0)), "")</f>
        <v>10</v>
      </c>
      <c r="BF51" s="215">
        <f>IFERROR(INDEX('[1]Anexos FICHA TRA050'!$C$14:$C$22, MATCH(Tabla46782[[#This Row],[Columna5]], '[1]Anexos FICHA TRA050'!$D$14:$D$22, 0)), "")</f>
        <v>17.920000000000002</v>
      </c>
      <c r="BG51" s="216">
        <f>IFERROR(INDEX('[1]Anexos FICHA TRA050'!$C$49:$C$54, MATCH(Tabla46782[[#This Row],[Columna5]], '[1]Anexos FICHA TRA050'!$D$49:$D$54, 0)), "")</f>
        <v>13073</v>
      </c>
      <c r="BH51" s="217">
        <f>+(((Tabla46782[[#This Row],[CVA2]]*Tabla46782[[#This Row],[f2]])-Tabla46782[[#This Row],[CVN2]])/100)*Tabla46782[[#This Row],[L2]]</f>
        <v>6795.3454000000002</v>
      </c>
      <c r="BI51" s="218"/>
      <c r="BJ51" s="218"/>
      <c r="BK51" s="218" t="str">
        <f>+IF(Tabla46782[[#This Row],[F3]]=Tabla46782[[#This Row],[f2]], "IGUAL", "DISTINTO")</f>
        <v>IGUAL</v>
      </c>
      <c r="BL51" s="218" t="str">
        <f>+IF(Tabla46782[[#This Row],[CVN]]=Tabla46782[[#This Row],[CVN2]], "IGUAL", "DISTINTO")</f>
        <v>DISTINTO</v>
      </c>
      <c r="BM51" s="219" t="str">
        <f>+IF(Tabla46782[[#This Row],[L]]=Tabla46782[[#This Row],[L2]], "IGUAL", "DISTINTO")</f>
        <v>IGUAL</v>
      </c>
    </row>
    <row r="52" spans="1:146" x14ac:dyDescent="0.25">
      <c r="A52">
        <v>49</v>
      </c>
      <c r="B52" s="202" t="s">
        <v>448</v>
      </c>
      <c r="C52" s="203" t="s">
        <v>449</v>
      </c>
      <c r="D52" s="203" t="s">
        <v>70</v>
      </c>
      <c r="E52" s="203" t="s">
        <v>78</v>
      </c>
      <c r="F52" s="203" t="s">
        <v>78</v>
      </c>
      <c r="G52" s="203" t="s">
        <v>70</v>
      </c>
      <c r="H52" s="203" t="s">
        <v>72</v>
      </c>
      <c r="I52" s="203" t="s">
        <v>72</v>
      </c>
      <c r="J52" s="203" t="s">
        <v>72</v>
      </c>
      <c r="K52" s="203"/>
      <c r="L52" s="203" t="s">
        <v>72</v>
      </c>
      <c r="M52" s="203" t="s">
        <v>72</v>
      </c>
      <c r="N52" s="203"/>
      <c r="O52" s="203" t="s">
        <v>73</v>
      </c>
      <c r="P52" s="203" t="s">
        <v>74</v>
      </c>
      <c r="Q52" s="203" t="s">
        <v>75</v>
      </c>
      <c r="R52" s="203" t="s">
        <v>76</v>
      </c>
      <c r="S52" s="204">
        <v>45202</v>
      </c>
      <c r="T52" s="205">
        <v>45372</v>
      </c>
      <c r="U52" s="205">
        <f>VLOOKUP(Tabla46782[[#This Row],[Matricula]],BAJA2022202320242025!$B$3:$CR$245,95,FALSE)</f>
        <v>45372</v>
      </c>
      <c r="V52" s="206">
        <v>170</v>
      </c>
      <c r="W52" s="207">
        <v>2024</v>
      </c>
      <c r="X52" s="203" t="s">
        <v>77</v>
      </c>
      <c r="Y52" s="203" t="s">
        <v>78</v>
      </c>
      <c r="Z52" s="203" t="s">
        <v>85</v>
      </c>
      <c r="AA52" s="203" t="s">
        <v>450</v>
      </c>
      <c r="AB52" s="203" t="s">
        <v>102</v>
      </c>
      <c r="AC52" s="203" t="s">
        <v>103</v>
      </c>
      <c r="AD52" s="203" t="s">
        <v>104</v>
      </c>
      <c r="AE52" s="208">
        <v>7</v>
      </c>
      <c r="AF52" s="208" t="s">
        <v>451</v>
      </c>
      <c r="AG52" s="208" t="s">
        <v>359</v>
      </c>
      <c r="AH52" s="208" t="s">
        <v>452</v>
      </c>
      <c r="AI52" s="208" t="s">
        <v>87</v>
      </c>
      <c r="AJ52" s="208" t="s">
        <v>440</v>
      </c>
      <c r="AK52" s="205" t="s">
        <v>108</v>
      </c>
      <c r="AL52" s="204">
        <v>45051</v>
      </c>
      <c r="AM52" s="208">
        <v>-1</v>
      </c>
      <c r="AN52" s="209" t="s">
        <v>102</v>
      </c>
      <c r="AO52" s="210">
        <v>4500352855</v>
      </c>
      <c r="AP52" s="209" t="s">
        <v>103</v>
      </c>
      <c r="AQ52" s="209"/>
      <c r="AR52" s="209" t="s">
        <v>72</v>
      </c>
      <c r="AS52" s="209" t="s">
        <v>109</v>
      </c>
      <c r="AT52" s="209" t="s">
        <v>453</v>
      </c>
      <c r="AU52" s="210">
        <v>5.0999999999999996</v>
      </c>
      <c r="AV52" s="211">
        <v>10</v>
      </c>
      <c r="AW52" s="212">
        <v>28.1</v>
      </c>
      <c r="AX52" s="213">
        <v>13073</v>
      </c>
      <c r="AY52" s="213">
        <v>2993.7169999999996</v>
      </c>
      <c r="AZ52" s="210" t="s">
        <v>70</v>
      </c>
      <c r="BA52" s="209" t="s">
        <v>93</v>
      </c>
      <c r="BB52" s="214" t="str">
        <f>+IF(Tabla46782[[#This Row],[TIPO VEHÍCULO]]=Tabla46782[[#This Row],[Columna2]], "IGUAL", "DISTINTO")</f>
        <v>IGUAL</v>
      </c>
      <c r="BC52" s="214" t="str">
        <f>+IF(Tabla46782[[#This Row],[Columna4]]=Tabla46782[[#This Row],[Combustible2]], "IGUAL", "DISTINTO")</f>
        <v>IGUAL</v>
      </c>
      <c r="BD52" s="215" cm="1">
        <f t="array" ref="BD52">IFERROR(INDEX('[1]Anexos FICHA TRA050'!$D$27:$D$44, MATCH(Tabla46782[[#This Row],[Columna5]]&amp;Tabla46782[[#This Row],[Columna4]], '[1]Anexos FICHA TRA050'!$E$27:$E$44&amp;'[1]Anexos FICHA TRA050'!$F$27:$F$44, 0)), "")</f>
        <v>6.99</v>
      </c>
      <c r="BE52" s="215">
        <f>IFERROR(INDEX('[1]Anexos FICHA TRA050'!$B$4:$B$7, MATCH(Tabla46782[[#This Row],[Columna4]], '[1]Anexos FICHA TRA050'!$C$4:$C$7, 0)), "")</f>
        <v>10</v>
      </c>
      <c r="BF52" s="215">
        <f>IFERROR(INDEX('[1]Anexos FICHA TRA050'!$C$14:$C$22, MATCH(Tabla46782[[#This Row],[Columna5]], '[1]Anexos FICHA TRA050'!$D$14:$D$22, 0)), "")</f>
        <v>17.920000000000002</v>
      </c>
      <c r="BG52" s="216">
        <f>IFERROR(INDEX('[1]Anexos FICHA TRA050'!$C$49:$C$54, MATCH(Tabla46782[[#This Row],[Columna5]], '[1]Anexos FICHA TRA050'!$D$49:$D$54, 0)), "")</f>
        <v>13073</v>
      </c>
      <c r="BH52" s="217">
        <f>+(((Tabla46782[[#This Row],[CVA2]]*Tabla46782[[#This Row],[f2]])-Tabla46782[[#This Row],[CVN2]])/100)*Tabla46782[[#This Row],[L2]]</f>
        <v>6795.3454000000002</v>
      </c>
      <c r="BI52" s="218"/>
      <c r="BJ52" s="218"/>
      <c r="BK52" s="218" t="str">
        <f>+IF(Tabla46782[[#This Row],[F3]]=Tabla46782[[#This Row],[f2]], "IGUAL", "DISTINTO")</f>
        <v>IGUAL</v>
      </c>
      <c r="BL52" s="218" t="str">
        <f>+IF(Tabla46782[[#This Row],[CVN]]=Tabla46782[[#This Row],[CVN2]], "IGUAL", "DISTINTO")</f>
        <v>DISTINTO</v>
      </c>
      <c r="BM52" s="219" t="str">
        <f>+IF(Tabla46782[[#This Row],[L]]=Tabla46782[[#This Row],[L2]], "IGUAL", "DISTINTO")</f>
        <v>IGUAL</v>
      </c>
    </row>
    <row r="53" spans="1:146" x14ac:dyDescent="0.25">
      <c r="A53">
        <v>50</v>
      </c>
      <c r="B53" s="202" t="s">
        <v>454</v>
      </c>
      <c r="C53" s="203" t="s">
        <v>455</v>
      </c>
      <c r="D53" s="203" t="s">
        <v>70</v>
      </c>
      <c r="E53" s="203" t="s">
        <v>78</v>
      </c>
      <c r="F53" s="203" t="s">
        <v>78</v>
      </c>
      <c r="G53" s="203" t="s">
        <v>70</v>
      </c>
      <c r="H53" s="203" t="s">
        <v>72</v>
      </c>
      <c r="I53" s="203"/>
      <c r="J53" s="203" t="s">
        <v>72</v>
      </c>
      <c r="K53" s="203"/>
      <c r="L53" s="203" t="s">
        <v>72</v>
      </c>
      <c r="M53" s="203" t="s">
        <v>72</v>
      </c>
      <c r="N53" s="203"/>
      <c r="O53" s="203" t="s">
        <v>73</v>
      </c>
      <c r="P53" s="203" t="s">
        <v>74</v>
      </c>
      <c r="Q53" s="203" t="s">
        <v>75</v>
      </c>
      <c r="R53" s="203" t="s">
        <v>76</v>
      </c>
      <c r="S53" s="204">
        <v>45202</v>
      </c>
      <c r="T53" s="205">
        <v>45259</v>
      </c>
      <c r="U53" s="205">
        <f>VLOOKUP(Tabla46782[[#This Row],[Matricula]],BAJA2022202320242025!$B$3:$CR$245,95,FALSE)</f>
        <v>45259</v>
      </c>
      <c r="V53" s="206">
        <v>57</v>
      </c>
      <c r="W53" s="207">
        <v>2023</v>
      </c>
      <c r="X53" s="203" t="s">
        <v>77</v>
      </c>
      <c r="Y53" s="203" t="s">
        <v>78</v>
      </c>
      <c r="Z53" s="203" t="s">
        <v>85</v>
      </c>
      <c r="AA53" s="203" t="s">
        <v>450</v>
      </c>
      <c r="AB53" s="203" t="s">
        <v>102</v>
      </c>
      <c r="AC53" s="203" t="s">
        <v>103</v>
      </c>
      <c r="AD53" s="203" t="s">
        <v>104</v>
      </c>
      <c r="AE53" s="208">
        <v>8</v>
      </c>
      <c r="AF53" s="208" t="s">
        <v>456</v>
      </c>
      <c r="AG53" s="208" t="s">
        <v>79</v>
      </c>
      <c r="AH53" s="208" t="s">
        <v>106</v>
      </c>
      <c r="AI53" s="208" t="s">
        <v>87</v>
      </c>
      <c r="AJ53" s="208" t="s">
        <v>457</v>
      </c>
      <c r="AK53" s="205" t="s">
        <v>108</v>
      </c>
      <c r="AL53" s="204">
        <v>45133</v>
      </c>
      <c r="AM53" s="208">
        <v>0</v>
      </c>
      <c r="AN53" s="209" t="s">
        <v>102</v>
      </c>
      <c r="AO53" s="210">
        <v>4500370368</v>
      </c>
      <c r="AP53" s="209" t="s">
        <v>103</v>
      </c>
      <c r="AQ53" s="209"/>
      <c r="AR53" s="209" t="s">
        <v>72</v>
      </c>
      <c r="AS53" s="209" t="s">
        <v>109</v>
      </c>
      <c r="AT53" s="209" t="s">
        <v>458</v>
      </c>
      <c r="AU53" s="210">
        <v>5.0999999999999996</v>
      </c>
      <c r="AV53" s="211">
        <v>10</v>
      </c>
      <c r="AW53" s="212">
        <v>28.2</v>
      </c>
      <c r="AX53" s="213">
        <v>13073</v>
      </c>
      <c r="AY53" s="213">
        <v>2980.6440000000002</v>
      </c>
      <c r="AZ53" s="210" t="s">
        <v>70</v>
      </c>
      <c r="BA53" s="209" t="s">
        <v>93</v>
      </c>
      <c r="BB53" s="214" t="str">
        <f>+IF(Tabla46782[[#This Row],[TIPO VEHÍCULO]]=Tabla46782[[#This Row],[Columna2]], "IGUAL", "DISTINTO")</f>
        <v>IGUAL</v>
      </c>
      <c r="BC53" s="214" t="str">
        <f>+IF(Tabla46782[[#This Row],[Columna4]]=Tabla46782[[#This Row],[Combustible2]], "IGUAL", "DISTINTO")</f>
        <v>IGUAL</v>
      </c>
      <c r="BD53" s="215" cm="1">
        <f t="array" ref="BD53">IFERROR(INDEX('[1]Anexos FICHA TRA050'!$D$27:$D$44, MATCH(Tabla46782[[#This Row],[Columna5]]&amp;Tabla46782[[#This Row],[Columna4]], '[1]Anexos FICHA TRA050'!$E$27:$E$44&amp;'[1]Anexos FICHA TRA050'!$F$27:$F$44, 0)), "")</f>
        <v>6.99</v>
      </c>
      <c r="BE53" s="215">
        <f>IFERROR(INDEX('[1]Anexos FICHA TRA050'!$B$4:$B$7, MATCH(Tabla46782[[#This Row],[Columna4]], '[1]Anexos FICHA TRA050'!$C$4:$C$7, 0)), "")</f>
        <v>10</v>
      </c>
      <c r="BF53" s="215">
        <f>IFERROR(INDEX('[1]Anexos FICHA TRA050'!$C$14:$C$22, MATCH(Tabla46782[[#This Row],[Columna5]], '[1]Anexos FICHA TRA050'!$D$14:$D$22, 0)), "")</f>
        <v>17.920000000000002</v>
      </c>
      <c r="BG53" s="216">
        <f>IFERROR(INDEX('[1]Anexos FICHA TRA050'!$C$49:$C$54, MATCH(Tabla46782[[#This Row],[Columna5]], '[1]Anexos FICHA TRA050'!$D$49:$D$54, 0)), "")</f>
        <v>13073</v>
      </c>
      <c r="BH53" s="217">
        <f>+(((Tabla46782[[#This Row],[CVA2]]*Tabla46782[[#This Row],[f2]])-Tabla46782[[#This Row],[CVN2]])/100)*Tabla46782[[#This Row],[L2]]</f>
        <v>6795.3454000000002</v>
      </c>
      <c r="BI53" s="218"/>
      <c r="BJ53" s="218"/>
      <c r="BK53" s="218" t="str">
        <f>+IF(Tabla46782[[#This Row],[F3]]=Tabla46782[[#This Row],[f2]], "IGUAL", "DISTINTO")</f>
        <v>IGUAL</v>
      </c>
      <c r="BL53" s="218" t="str">
        <f>+IF(Tabla46782[[#This Row],[CVN]]=Tabla46782[[#This Row],[CVN2]], "IGUAL", "DISTINTO")</f>
        <v>DISTINTO</v>
      </c>
      <c r="BM53" s="219" t="str">
        <f>+IF(Tabla46782[[#This Row],[L]]=Tabla46782[[#This Row],[L2]], "IGUAL", "DISTINTO")</f>
        <v>IGUAL</v>
      </c>
    </row>
    <row r="54" spans="1:146" x14ac:dyDescent="0.25">
      <c r="A54">
        <v>51</v>
      </c>
      <c r="B54" s="202" t="s">
        <v>459</v>
      </c>
      <c r="C54" s="203" t="s">
        <v>460</v>
      </c>
      <c r="D54" s="203" t="s">
        <v>70</v>
      </c>
      <c r="E54" s="203" t="s">
        <v>78</v>
      </c>
      <c r="F54" s="203" t="s">
        <v>78</v>
      </c>
      <c r="G54" s="203" t="s">
        <v>70</v>
      </c>
      <c r="H54" s="203" t="s">
        <v>72</v>
      </c>
      <c r="I54" s="203"/>
      <c r="J54" s="203"/>
      <c r="K54" s="203"/>
      <c r="L54" s="203" t="s">
        <v>249</v>
      </c>
      <c r="M54" s="203" t="s">
        <v>249</v>
      </c>
      <c r="N54" s="203"/>
      <c r="O54" s="203" t="s">
        <v>73</v>
      </c>
      <c r="P54" s="203" t="s">
        <v>74</v>
      </c>
      <c r="Q54" s="203" t="s">
        <v>75</v>
      </c>
      <c r="R54" s="203" t="s">
        <v>76</v>
      </c>
      <c r="S54" s="204">
        <v>45202</v>
      </c>
      <c r="T54" s="205">
        <v>45382</v>
      </c>
      <c r="U54" s="205">
        <f>VLOOKUP(Tabla46782[[#This Row],[Matricula]],BAJA2022202320242025!$B$3:$CR$245,95,FALSE)</f>
        <v>45265</v>
      </c>
      <c r="V54" s="206">
        <v>180</v>
      </c>
      <c r="W54" s="207">
        <v>2024</v>
      </c>
      <c r="X54" s="203" t="s">
        <v>77</v>
      </c>
      <c r="Y54" s="203" t="s">
        <v>78</v>
      </c>
      <c r="Z54" s="203" t="s">
        <v>359</v>
      </c>
      <c r="AA54" s="203" t="s">
        <v>461</v>
      </c>
      <c r="AB54" s="203" t="s">
        <v>102</v>
      </c>
      <c r="AC54" s="203" t="s">
        <v>103</v>
      </c>
      <c r="AD54" s="203" t="s">
        <v>104</v>
      </c>
      <c r="AE54" s="208">
        <v>9</v>
      </c>
      <c r="AF54" s="208" t="s">
        <v>462</v>
      </c>
      <c r="AG54" s="208" t="s">
        <v>359</v>
      </c>
      <c r="AH54" s="208" t="s">
        <v>452</v>
      </c>
      <c r="AI54" s="208" t="s">
        <v>87</v>
      </c>
      <c r="AJ54" s="208" t="s">
        <v>115</v>
      </c>
      <c r="AK54" s="205" t="s">
        <v>108</v>
      </c>
      <c r="AL54" s="204">
        <v>45051</v>
      </c>
      <c r="AM54" s="208">
        <v>-1</v>
      </c>
      <c r="AN54" s="209" t="s">
        <v>102</v>
      </c>
      <c r="AO54" s="210">
        <v>4500351861</v>
      </c>
      <c r="AP54" s="209" t="s">
        <v>103</v>
      </c>
      <c r="AQ54" s="209"/>
      <c r="AR54" s="209" t="s">
        <v>72</v>
      </c>
      <c r="AS54" s="209" t="s">
        <v>109</v>
      </c>
      <c r="AT54" s="209" t="s">
        <v>463</v>
      </c>
      <c r="AU54" s="210">
        <v>5.0999999999999996</v>
      </c>
      <c r="AV54" s="211">
        <v>10</v>
      </c>
      <c r="AW54" s="212">
        <v>28.1</v>
      </c>
      <c r="AX54" s="213">
        <v>13073</v>
      </c>
      <c r="AY54" s="213">
        <v>2993.7169999999996</v>
      </c>
      <c r="AZ54" s="210" t="s">
        <v>70</v>
      </c>
      <c r="BA54" s="209" t="s">
        <v>255</v>
      </c>
      <c r="BB54" s="214" t="str">
        <f>+IF(Tabla46782[[#This Row],[TIPO VEHÍCULO]]=Tabla46782[[#This Row],[Columna2]], "IGUAL", "DISTINTO")</f>
        <v>IGUAL</v>
      </c>
      <c r="BC54" s="214" t="str">
        <f>+IF(Tabla46782[[#This Row],[Columna4]]=Tabla46782[[#This Row],[Combustible2]], "IGUAL", "DISTINTO")</f>
        <v>IGUAL</v>
      </c>
      <c r="BD54" s="215" cm="1">
        <f t="array" ref="BD54">IFERROR(INDEX('[1]Anexos FICHA TRA050'!$D$27:$D$44, MATCH(Tabla46782[[#This Row],[Columna5]]&amp;Tabla46782[[#This Row],[Columna4]], '[1]Anexos FICHA TRA050'!$E$27:$E$44&amp;'[1]Anexos FICHA TRA050'!$F$27:$F$44, 0)), "")</f>
        <v>6.99</v>
      </c>
      <c r="BE54" s="215">
        <f>IFERROR(INDEX('[1]Anexos FICHA TRA050'!$B$4:$B$7, MATCH(Tabla46782[[#This Row],[Columna4]], '[1]Anexos FICHA TRA050'!$C$4:$C$7, 0)), "")</f>
        <v>10</v>
      </c>
      <c r="BF54" s="215">
        <f>IFERROR(INDEX('[1]Anexos FICHA TRA050'!$C$14:$C$22, MATCH(Tabla46782[[#This Row],[Columna5]], '[1]Anexos FICHA TRA050'!$D$14:$D$22, 0)), "")</f>
        <v>17.920000000000002</v>
      </c>
      <c r="BG54" s="216">
        <f>IFERROR(INDEX('[1]Anexos FICHA TRA050'!$C$49:$C$54, MATCH(Tabla46782[[#This Row],[Columna5]], '[1]Anexos FICHA TRA050'!$D$49:$D$54, 0)), "")</f>
        <v>13073</v>
      </c>
      <c r="BH54" s="217">
        <f>+(((Tabla46782[[#This Row],[CVA2]]*Tabla46782[[#This Row],[f2]])-Tabla46782[[#This Row],[CVN2]])/100)*Tabla46782[[#This Row],[L2]]</f>
        <v>6795.3454000000002</v>
      </c>
      <c r="BI54" s="218"/>
      <c r="BJ54" s="218"/>
      <c r="BK54" s="218" t="str">
        <f>+IF(Tabla46782[[#This Row],[F3]]=Tabla46782[[#This Row],[f2]], "IGUAL", "DISTINTO")</f>
        <v>IGUAL</v>
      </c>
      <c r="BL54" s="218" t="str">
        <f>+IF(Tabla46782[[#This Row],[CVN]]=Tabla46782[[#This Row],[CVN2]], "IGUAL", "DISTINTO")</f>
        <v>DISTINTO</v>
      </c>
      <c r="BM54" s="219" t="str">
        <f>+IF(Tabla46782[[#This Row],[L]]=Tabla46782[[#This Row],[L2]], "IGUAL", "DISTINTO")</f>
        <v>IGUAL</v>
      </c>
    </row>
    <row r="55" spans="1:146" x14ac:dyDescent="0.25">
      <c r="A55">
        <v>52</v>
      </c>
      <c r="B55" s="202" t="s">
        <v>464</v>
      </c>
      <c r="C55" s="203" t="s">
        <v>465</v>
      </c>
      <c r="D55" s="203" t="s">
        <v>128</v>
      </c>
      <c r="E55" s="203" t="s">
        <v>78</v>
      </c>
      <c r="F55" s="203" t="s">
        <v>78</v>
      </c>
      <c r="G55" s="203" t="s">
        <v>128</v>
      </c>
      <c r="H55" s="203" t="s">
        <v>72</v>
      </c>
      <c r="I55" s="203"/>
      <c r="J55" s="203" t="s">
        <v>72</v>
      </c>
      <c r="K55" s="203"/>
      <c r="L55" s="203" t="s">
        <v>72</v>
      </c>
      <c r="M55" s="203" t="s">
        <v>72</v>
      </c>
      <c r="N55" s="203"/>
      <c r="O55" s="203" t="s">
        <v>466</v>
      </c>
      <c r="P55" s="203" t="s">
        <v>200</v>
      </c>
      <c r="Q55" s="203" t="s">
        <v>201</v>
      </c>
      <c r="R55" s="203" t="s">
        <v>76</v>
      </c>
      <c r="S55" s="209">
        <v>44088</v>
      </c>
      <c r="T55" s="205">
        <v>45549</v>
      </c>
      <c r="U55" s="205">
        <f>VLOOKUP(Tabla46782[[#This Row],[Matricula]],BAJA2022202320242025!$B$3:$CR$245,95,FALSE)</f>
        <v>45635</v>
      </c>
      <c r="V55" s="206">
        <v>1461</v>
      </c>
      <c r="W55" s="207">
        <v>2024</v>
      </c>
      <c r="X55" s="203" t="s">
        <v>77</v>
      </c>
      <c r="Y55" s="203" t="s">
        <v>78</v>
      </c>
      <c r="Z55" s="203" t="s">
        <v>467</v>
      </c>
      <c r="AA55" s="203" t="s">
        <v>468</v>
      </c>
      <c r="AB55" s="203" t="s">
        <v>469</v>
      </c>
      <c r="AC55" s="203" t="s">
        <v>470</v>
      </c>
      <c r="AD55" s="203" t="s">
        <v>471</v>
      </c>
      <c r="AE55" s="208">
        <v>1</v>
      </c>
      <c r="AF55" s="208" t="s">
        <v>472</v>
      </c>
      <c r="AG55" s="208" t="s">
        <v>380</v>
      </c>
      <c r="AH55" s="208" t="s">
        <v>381</v>
      </c>
      <c r="AI55" s="208" t="s">
        <v>87</v>
      </c>
      <c r="AJ55" s="208" t="s">
        <v>471</v>
      </c>
      <c r="AK55" s="205" t="s">
        <v>89</v>
      </c>
      <c r="AL55" s="204">
        <v>45551</v>
      </c>
      <c r="AM55" s="208">
        <v>0</v>
      </c>
      <c r="AN55" s="209" t="s">
        <v>469</v>
      </c>
      <c r="AO55" s="210">
        <v>4500413615</v>
      </c>
      <c r="AP55" s="209" t="s">
        <v>470</v>
      </c>
      <c r="AQ55" s="209"/>
      <c r="AR55" s="209" t="s">
        <v>72</v>
      </c>
      <c r="AS55" s="209" t="s">
        <v>109</v>
      </c>
      <c r="AT55" s="209" t="s">
        <v>473</v>
      </c>
      <c r="AU55" s="210">
        <v>5.6</v>
      </c>
      <c r="AV55" s="211">
        <v>10</v>
      </c>
      <c r="AW55" s="212">
        <v>20</v>
      </c>
      <c r="AX55" s="213">
        <v>15815</v>
      </c>
      <c r="AY55" s="213">
        <v>5693.4</v>
      </c>
      <c r="AZ55" s="210" t="s">
        <v>128</v>
      </c>
      <c r="BA55" s="209" t="s">
        <v>93</v>
      </c>
      <c r="BB55" s="214" t="str">
        <f>+IF(Tabla46782[[#This Row],[TIPO VEHÍCULO]]=Tabla46782[[#This Row],[Columna2]], "IGUAL", "DISTINTO")</f>
        <v>IGUAL</v>
      </c>
      <c r="BC55" s="214" t="str">
        <f>+IF(Tabla46782[[#This Row],[Columna4]]=Tabla46782[[#This Row],[Combustible2]], "IGUAL", "DISTINTO")</f>
        <v>IGUAL</v>
      </c>
      <c r="BD55" s="215" cm="1">
        <f t="array" ref="BD55">IFERROR(INDEX('[1]Anexos FICHA TRA050'!$D$27:$D$44, MATCH(Tabla46782[[#This Row],[Columna5]]&amp;Tabla46782[[#This Row],[Columna4]], '[1]Anexos FICHA TRA050'!$E$27:$E$44&amp;'[1]Anexos FICHA TRA050'!$F$27:$F$44, 0)), "")</f>
        <v>5.63</v>
      </c>
      <c r="BE55" s="215">
        <f>IFERROR(INDEX('[1]Anexos FICHA TRA050'!$B$4:$B$7, MATCH(Tabla46782[[#This Row],[Columna4]], '[1]Anexos FICHA TRA050'!$C$4:$C$7, 0)), "")</f>
        <v>10</v>
      </c>
      <c r="BF55" s="215">
        <f>IFERROR(INDEX('[1]Anexos FICHA TRA050'!$C$14:$C$22, MATCH(Tabla46782[[#This Row],[Columna5]], '[1]Anexos FICHA TRA050'!$D$14:$D$22, 0)), "")</f>
        <v>20.84</v>
      </c>
      <c r="BG55" s="216">
        <f>IFERROR(INDEX('[1]Anexos FICHA TRA050'!$C$49:$C$54, MATCH(Tabla46782[[#This Row],[Columna5]], '[1]Anexos FICHA TRA050'!$D$49:$D$54, 0)), "")</f>
        <v>15815</v>
      </c>
      <c r="BH55" s="217">
        <f>+(((Tabla46782[[#This Row],[CVA2]]*Tabla46782[[#This Row],[f2]])-Tabla46782[[#This Row],[CVN2]])/100)*Tabla46782[[#This Row],[L2]]</f>
        <v>5607.9989999999989</v>
      </c>
      <c r="BI55" s="218"/>
      <c r="BJ55" s="218"/>
      <c r="BK55" s="218" t="str">
        <f>+IF(Tabla46782[[#This Row],[F3]]=Tabla46782[[#This Row],[f2]], "IGUAL", "DISTINTO")</f>
        <v>IGUAL</v>
      </c>
      <c r="BL55" s="218" t="str">
        <f>+IF(Tabla46782[[#This Row],[CVN]]=Tabla46782[[#This Row],[CVN2]], "IGUAL", "DISTINTO")</f>
        <v>DISTINTO</v>
      </c>
      <c r="BM55" s="219" t="str">
        <f>+IF(Tabla46782[[#This Row],[L]]=Tabla46782[[#This Row],[L2]], "IGUAL", "DISTINTO")</f>
        <v>IGUAL</v>
      </c>
    </row>
    <row r="56" spans="1:146" x14ac:dyDescent="0.25">
      <c r="A56">
        <v>53</v>
      </c>
      <c r="B56" s="202" t="s">
        <v>474</v>
      </c>
      <c r="C56" s="203" t="s">
        <v>475</v>
      </c>
      <c r="D56" s="203" t="s">
        <v>128</v>
      </c>
      <c r="E56" s="203" t="s">
        <v>78</v>
      </c>
      <c r="F56" s="203" t="s">
        <v>78</v>
      </c>
      <c r="G56" s="203" t="s">
        <v>128</v>
      </c>
      <c r="H56" s="203" t="s">
        <v>72</v>
      </c>
      <c r="I56" s="203" t="s">
        <v>72</v>
      </c>
      <c r="J56" s="203" t="s">
        <v>72</v>
      </c>
      <c r="K56" s="203"/>
      <c r="L56" s="203" t="s">
        <v>72</v>
      </c>
      <c r="M56" s="203" t="s">
        <v>72</v>
      </c>
      <c r="N56" s="203"/>
      <c r="O56" s="203" t="s">
        <v>73</v>
      </c>
      <c r="P56" s="203" t="s">
        <v>200</v>
      </c>
      <c r="Q56" s="203" t="s">
        <v>201</v>
      </c>
      <c r="R56" s="203" t="s">
        <v>76</v>
      </c>
      <c r="S56" s="209">
        <v>42923</v>
      </c>
      <c r="T56" s="205">
        <v>45565</v>
      </c>
      <c r="U56" s="205">
        <f>VLOOKUP(Tabla46782[[#This Row],[Matricula]],BAJA2022202320242025!$B$3:$CR$245,95,FALSE)</f>
        <v>45799</v>
      </c>
      <c r="V56" s="206">
        <v>2642</v>
      </c>
      <c r="W56" s="207">
        <v>2024</v>
      </c>
      <c r="X56" s="203" t="s">
        <v>77</v>
      </c>
      <c r="Y56" s="203" t="s">
        <v>78</v>
      </c>
      <c r="Z56" s="203" t="s">
        <v>467</v>
      </c>
      <c r="AA56" s="203" t="s">
        <v>476</v>
      </c>
      <c r="AB56" s="203" t="s">
        <v>190</v>
      </c>
      <c r="AC56" s="203" t="s">
        <v>191</v>
      </c>
      <c r="AD56" s="203" t="s">
        <v>477</v>
      </c>
      <c r="AE56" s="208">
        <v>4</v>
      </c>
      <c r="AF56" s="208" t="s">
        <v>478</v>
      </c>
      <c r="AG56" s="208" t="s">
        <v>140</v>
      </c>
      <c r="AH56" s="208" t="s">
        <v>151</v>
      </c>
      <c r="AI56" s="208" t="s">
        <v>87</v>
      </c>
      <c r="AJ56" s="208" t="s">
        <v>345</v>
      </c>
      <c r="AK56" s="205" t="s">
        <v>89</v>
      </c>
      <c r="AL56" s="204">
        <v>45625</v>
      </c>
      <c r="AM56" s="208">
        <v>0</v>
      </c>
      <c r="AN56" s="209" t="s">
        <v>190</v>
      </c>
      <c r="AO56" s="209" t="s">
        <v>479</v>
      </c>
      <c r="AP56" s="209" t="s">
        <v>191</v>
      </c>
      <c r="AQ56" s="209"/>
      <c r="AR56" s="209" t="s">
        <v>72</v>
      </c>
      <c r="AS56" s="209" t="s">
        <v>91</v>
      </c>
      <c r="AT56" s="209" t="s">
        <v>480</v>
      </c>
      <c r="AU56" s="210">
        <v>5.6</v>
      </c>
      <c r="AV56" s="211">
        <v>10</v>
      </c>
      <c r="AW56" s="212">
        <v>16.399999999999999</v>
      </c>
      <c r="AX56" s="213">
        <v>15815</v>
      </c>
      <c r="AY56" s="213">
        <v>6262.7400000000007</v>
      </c>
      <c r="AZ56" s="210" t="s">
        <v>128</v>
      </c>
      <c r="BA56" s="209" t="s">
        <v>93</v>
      </c>
      <c r="BB56" s="214" t="str">
        <f>+IF(Tabla46782[[#This Row],[TIPO VEHÍCULO]]=Tabla46782[[#This Row],[Columna2]], "IGUAL", "DISTINTO")</f>
        <v>IGUAL</v>
      </c>
      <c r="BC56" s="214" t="str">
        <f>+IF(Tabla46782[[#This Row],[Columna4]]=Tabla46782[[#This Row],[Combustible2]], "IGUAL", "DISTINTO")</f>
        <v>IGUAL</v>
      </c>
      <c r="BD56" s="215" cm="1">
        <f t="array" ref="BD56">IFERROR(INDEX('[1]Anexos FICHA TRA050'!$D$27:$D$44, MATCH(Tabla46782[[#This Row],[Columna5]]&amp;Tabla46782[[#This Row],[Columna4]], '[1]Anexos FICHA TRA050'!$E$27:$E$44&amp;'[1]Anexos FICHA TRA050'!$F$27:$F$44, 0)), "")</f>
        <v>5.63</v>
      </c>
      <c r="BE56" s="215">
        <f>IFERROR(INDEX('[1]Anexos FICHA TRA050'!$B$4:$B$7, MATCH(Tabla46782[[#This Row],[Columna4]], '[1]Anexos FICHA TRA050'!$C$4:$C$7, 0)), "")</f>
        <v>10</v>
      </c>
      <c r="BF56" s="215">
        <f>IFERROR(INDEX('[1]Anexos FICHA TRA050'!$C$14:$C$22, MATCH(Tabla46782[[#This Row],[Columna5]], '[1]Anexos FICHA TRA050'!$D$14:$D$22, 0)), "")</f>
        <v>20.84</v>
      </c>
      <c r="BG56" s="216">
        <f>IFERROR(INDEX('[1]Anexos FICHA TRA050'!$C$49:$C$54, MATCH(Tabla46782[[#This Row],[Columna5]], '[1]Anexos FICHA TRA050'!$D$49:$D$54, 0)), "")</f>
        <v>15815</v>
      </c>
      <c r="BH56" s="217">
        <f>+(((Tabla46782[[#This Row],[CVA2]]*Tabla46782[[#This Row],[f2]])-Tabla46782[[#This Row],[CVN2]])/100)*Tabla46782[[#This Row],[L2]]</f>
        <v>5607.9989999999989</v>
      </c>
      <c r="BI56" s="218"/>
      <c r="BJ56" s="218"/>
      <c r="BK56" s="218" t="str">
        <f>+IF(Tabla46782[[#This Row],[F3]]=Tabla46782[[#This Row],[f2]], "IGUAL", "DISTINTO")</f>
        <v>IGUAL</v>
      </c>
      <c r="BL56" s="218" t="str">
        <f>+IF(Tabla46782[[#This Row],[CVN]]=Tabla46782[[#This Row],[CVN2]], "IGUAL", "DISTINTO")</f>
        <v>DISTINTO</v>
      </c>
      <c r="BM56" s="219" t="str">
        <f>+IF(Tabla46782[[#This Row],[L]]=Tabla46782[[#This Row],[L2]], "IGUAL", "DISTINTO")</f>
        <v>IGUAL</v>
      </c>
    </row>
    <row r="57" spans="1:146" x14ac:dyDescent="0.25">
      <c r="A57">
        <v>54</v>
      </c>
      <c r="B57" s="202" t="s">
        <v>481</v>
      </c>
      <c r="C57" s="203" t="s">
        <v>482</v>
      </c>
      <c r="D57" s="203" t="s">
        <v>128</v>
      </c>
      <c r="E57" s="203" t="s">
        <v>78</v>
      </c>
      <c r="F57" s="203" t="s">
        <v>78</v>
      </c>
      <c r="G57" s="203" t="s">
        <v>128</v>
      </c>
      <c r="H57" s="203" t="s">
        <v>72</v>
      </c>
      <c r="I57" s="203" t="s">
        <v>72</v>
      </c>
      <c r="J57" s="203" t="s">
        <v>72</v>
      </c>
      <c r="K57" s="203"/>
      <c r="L57" s="203" t="s">
        <v>72</v>
      </c>
      <c r="M57" s="203" t="s">
        <v>72</v>
      </c>
      <c r="N57" s="203"/>
      <c r="O57" s="203" t="s">
        <v>73</v>
      </c>
      <c r="P57" s="203" t="s">
        <v>200</v>
      </c>
      <c r="Q57" s="203" t="s">
        <v>201</v>
      </c>
      <c r="R57" s="203" t="s">
        <v>160</v>
      </c>
      <c r="S57" s="209">
        <v>44166</v>
      </c>
      <c r="T57" s="205">
        <v>45627</v>
      </c>
      <c r="U57" s="205">
        <f>VLOOKUP(Tabla46782[[#This Row],[Matricula]],BAJA2022202320242025!$B$3:$CR$245,95,FALSE)</f>
        <v>45581</v>
      </c>
      <c r="V57" s="206">
        <v>1461</v>
      </c>
      <c r="W57" s="207">
        <v>2024</v>
      </c>
      <c r="X57" s="203" t="s">
        <v>161</v>
      </c>
      <c r="Y57" s="203" t="s">
        <v>78</v>
      </c>
      <c r="Z57" s="203" t="s">
        <v>467</v>
      </c>
      <c r="AA57" s="203" t="s">
        <v>476</v>
      </c>
      <c r="AB57" s="203" t="s">
        <v>119</v>
      </c>
      <c r="AC57" s="203" t="s">
        <v>120</v>
      </c>
      <c r="AD57" s="203" t="s">
        <v>368</v>
      </c>
      <c r="AE57" s="208">
        <v>14</v>
      </c>
      <c r="AF57" s="208" t="s">
        <v>483</v>
      </c>
      <c r="AG57" s="208" t="s">
        <v>140</v>
      </c>
      <c r="AH57" s="208" t="s">
        <v>151</v>
      </c>
      <c r="AI57" s="208" t="s">
        <v>87</v>
      </c>
      <c r="AJ57" s="208" t="s">
        <v>323</v>
      </c>
      <c r="AK57" s="205" t="s">
        <v>89</v>
      </c>
      <c r="AL57" s="204">
        <v>45625</v>
      </c>
      <c r="AM57" s="208">
        <v>0</v>
      </c>
      <c r="AN57" s="209" t="s">
        <v>119</v>
      </c>
      <c r="AO57" s="209" t="s">
        <v>484</v>
      </c>
      <c r="AP57" s="209" t="s">
        <v>120</v>
      </c>
      <c r="AQ57" s="209"/>
      <c r="AR57" s="209" t="s">
        <v>72</v>
      </c>
      <c r="AS57" s="209" t="s">
        <v>91</v>
      </c>
      <c r="AT57" s="209" t="s">
        <v>485</v>
      </c>
      <c r="AU57" s="210">
        <v>5.6</v>
      </c>
      <c r="AV57" s="211">
        <v>10</v>
      </c>
      <c r="AW57" s="212">
        <v>16.399999999999999</v>
      </c>
      <c r="AX57" s="213">
        <v>15815</v>
      </c>
      <c r="AY57" s="213">
        <v>6262.7400000000007</v>
      </c>
      <c r="AZ57" s="210" t="s">
        <v>128</v>
      </c>
      <c r="BA57" s="209" t="s">
        <v>93</v>
      </c>
      <c r="BB57" s="214" t="str">
        <f>+IF(Tabla46782[[#This Row],[TIPO VEHÍCULO]]=Tabla46782[[#This Row],[Columna2]], "IGUAL", "DISTINTO")</f>
        <v>IGUAL</v>
      </c>
      <c r="BC57" s="214" t="str">
        <f>+IF(Tabla46782[[#This Row],[Columna4]]=Tabla46782[[#This Row],[Combustible2]], "IGUAL", "DISTINTO")</f>
        <v>IGUAL</v>
      </c>
      <c r="BD57" s="215" cm="1">
        <f t="array" ref="BD57">IFERROR(INDEX('[1]Anexos FICHA TRA050'!$D$27:$D$44, MATCH(Tabla46782[[#This Row],[Columna5]]&amp;Tabla46782[[#This Row],[Columna4]], '[1]Anexos FICHA TRA050'!$E$27:$E$44&amp;'[1]Anexos FICHA TRA050'!$F$27:$F$44, 0)), "")</f>
        <v>5.63</v>
      </c>
      <c r="BE57" s="215">
        <f>IFERROR(INDEX('[1]Anexos FICHA TRA050'!$B$4:$B$7, MATCH(Tabla46782[[#This Row],[Columna4]], '[1]Anexos FICHA TRA050'!$C$4:$C$7, 0)), "")</f>
        <v>10</v>
      </c>
      <c r="BF57" s="215">
        <f>IFERROR(INDEX('[1]Anexos FICHA TRA050'!$C$14:$C$22, MATCH(Tabla46782[[#This Row],[Columna5]], '[1]Anexos FICHA TRA050'!$D$14:$D$22, 0)), "")</f>
        <v>20.84</v>
      </c>
      <c r="BG57" s="216">
        <f>IFERROR(INDEX('[1]Anexos FICHA TRA050'!$C$49:$C$54, MATCH(Tabla46782[[#This Row],[Columna5]], '[1]Anexos FICHA TRA050'!$D$49:$D$54, 0)), "")</f>
        <v>15815</v>
      </c>
      <c r="BH57" s="217">
        <f>+(((Tabla46782[[#This Row],[CVA2]]*Tabla46782[[#This Row],[f2]])-Tabla46782[[#This Row],[CVN2]])/100)*Tabla46782[[#This Row],[L2]]</f>
        <v>5607.9989999999989</v>
      </c>
      <c r="BI57" s="218"/>
      <c r="BJ57" s="218"/>
      <c r="BK57" s="218" t="str">
        <f>+IF(Tabla46782[[#This Row],[F3]]=Tabla46782[[#This Row],[f2]], "IGUAL", "DISTINTO")</f>
        <v>IGUAL</v>
      </c>
      <c r="BL57" s="218" t="str">
        <f>+IF(Tabla46782[[#This Row],[CVN]]=Tabla46782[[#This Row],[CVN2]], "IGUAL", "DISTINTO")</f>
        <v>DISTINTO</v>
      </c>
      <c r="BM57" s="219" t="str">
        <f>+IF(Tabla46782[[#This Row],[L]]=Tabla46782[[#This Row],[L2]], "IGUAL", "DISTINTO")</f>
        <v>IGUAL</v>
      </c>
    </row>
    <row r="58" spans="1:146" x14ac:dyDescent="0.25">
      <c r="A58">
        <v>55</v>
      </c>
      <c r="B58" s="202" t="s">
        <v>486</v>
      </c>
      <c r="C58" s="203" t="s">
        <v>487</v>
      </c>
      <c r="D58" s="203" t="s">
        <v>128</v>
      </c>
      <c r="E58" s="203" t="s">
        <v>78</v>
      </c>
      <c r="F58" s="203" t="s">
        <v>78</v>
      </c>
      <c r="G58" s="203" t="s">
        <v>128</v>
      </c>
      <c r="H58" s="203" t="s">
        <v>72</v>
      </c>
      <c r="I58" s="203" t="s">
        <v>72</v>
      </c>
      <c r="J58" s="203" t="s">
        <v>72</v>
      </c>
      <c r="K58" s="203"/>
      <c r="L58" s="203" t="s">
        <v>72</v>
      </c>
      <c r="M58" s="203" t="s">
        <v>72</v>
      </c>
      <c r="N58" s="203"/>
      <c r="O58" s="203" t="s">
        <v>73</v>
      </c>
      <c r="P58" s="203" t="s">
        <v>200</v>
      </c>
      <c r="Q58" s="203" t="s">
        <v>201</v>
      </c>
      <c r="R58" s="203" t="s">
        <v>76</v>
      </c>
      <c r="S58" s="209">
        <v>44176</v>
      </c>
      <c r="T58" s="205">
        <v>45637</v>
      </c>
      <c r="U58" s="205">
        <f>VLOOKUP(Tabla46782[[#This Row],[Matricula]],BAJA2022202320242025!$B$3:$CR$245,95,FALSE)</f>
        <v>45838</v>
      </c>
      <c r="V58" s="206">
        <v>1461</v>
      </c>
      <c r="W58" s="207">
        <v>2024</v>
      </c>
      <c r="X58" s="203" t="s">
        <v>77</v>
      </c>
      <c r="Y58" s="203" t="s">
        <v>78</v>
      </c>
      <c r="Z58" s="203" t="s">
        <v>467</v>
      </c>
      <c r="AA58" s="203" t="s">
        <v>476</v>
      </c>
      <c r="AB58" s="203" t="s">
        <v>190</v>
      </c>
      <c r="AC58" s="203" t="s">
        <v>191</v>
      </c>
      <c r="AD58" s="203" t="s">
        <v>194</v>
      </c>
      <c r="AE58" s="208">
        <v>5</v>
      </c>
      <c r="AF58" s="208" t="s">
        <v>488</v>
      </c>
      <c r="AG58" s="208" t="s">
        <v>85</v>
      </c>
      <c r="AH58" s="208" t="s">
        <v>86</v>
      </c>
      <c r="AI58" s="208" t="s">
        <v>87</v>
      </c>
      <c r="AJ58" s="208" t="s">
        <v>477</v>
      </c>
      <c r="AK58" s="205" t="s">
        <v>89</v>
      </c>
      <c r="AL58" s="204">
        <v>45646</v>
      </c>
      <c r="AM58" s="208">
        <v>0</v>
      </c>
      <c r="AN58" s="209" t="s">
        <v>190</v>
      </c>
      <c r="AO58" s="209" t="s">
        <v>489</v>
      </c>
      <c r="AP58" s="209" t="s">
        <v>191</v>
      </c>
      <c r="AQ58" s="209"/>
      <c r="AR58" s="209" t="s">
        <v>72</v>
      </c>
      <c r="AS58" s="209" t="s">
        <v>91</v>
      </c>
      <c r="AT58" s="209" t="s">
        <v>490</v>
      </c>
      <c r="AU58" s="210">
        <v>5.6</v>
      </c>
      <c r="AV58" s="211">
        <v>10</v>
      </c>
      <c r="AW58" s="212">
        <v>17.3</v>
      </c>
      <c r="AX58" s="213">
        <v>15815</v>
      </c>
      <c r="AY58" s="213">
        <v>6120.4049999999997</v>
      </c>
      <c r="AZ58" s="210" t="s">
        <v>128</v>
      </c>
      <c r="BA58" s="209" t="s">
        <v>93</v>
      </c>
      <c r="BB58" s="214" t="str">
        <f>+IF(Tabla46782[[#This Row],[TIPO VEHÍCULO]]=Tabla46782[[#This Row],[Columna2]], "IGUAL", "DISTINTO")</f>
        <v>IGUAL</v>
      </c>
      <c r="BC58" s="214" t="str">
        <f>+IF(Tabla46782[[#This Row],[Columna4]]=Tabla46782[[#This Row],[Combustible2]], "IGUAL", "DISTINTO")</f>
        <v>IGUAL</v>
      </c>
      <c r="BD58" s="215" cm="1">
        <f t="array" ref="BD58">IFERROR(INDEX('[1]Anexos FICHA TRA050'!$D$27:$D$44, MATCH(Tabla46782[[#This Row],[Columna5]]&amp;Tabla46782[[#This Row],[Columna4]], '[1]Anexos FICHA TRA050'!$E$27:$E$44&amp;'[1]Anexos FICHA TRA050'!$F$27:$F$44, 0)), "")</f>
        <v>5.63</v>
      </c>
      <c r="BE58" s="215">
        <f>IFERROR(INDEX('[1]Anexos FICHA TRA050'!$B$4:$B$7, MATCH(Tabla46782[[#This Row],[Columna4]], '[1]Anexos FICHA TRA050'!$C$4:$C$7, 0)), "")</f>
        <v>10</v>
      </c>
      <c r="BF58" s="215">
        <f>IFERROR(INDEX('[1]Anexos FICHA TRA050'!$C$14:$C$22, MATCH(Tabla46782[[#This Row],[Columna5]], '[1]Anexos FICHA TRA050'!$D$14:$D$22, 0)), "")</f>
        <v>20.84</v>
      </c>
      <c r="BG58" s="216">
        <f>IFERROR(INDEX('[1]Anexos FICHA TRA050'!$C$49:$C$54, MATCH(Tabla46782[[#This Row],[Columna5]], '[1]Anexos FICHA TRA050'!$D$49:$D$54, 0)), "")</f>
        <v>15815</v>
      </c>
      <c r="BH58" s="217">
        <f>+(((Tabla46782[[#This Row],[CVA2]]*Tabla46782[[#This Row],[f2]])-Tabla46782[[#This Row],[CVN2]])/100)*Tabla46782[[#This Row],[L2]]</f>
        <v>5607.9989999999989</v>
      </c>
      <c r="BI58" s="218"/>
      <c r="BJ58" s="218"/>
      <c r="BK58" s="218" t="str">
        <f>+IF(Tabla46782[[#This Row],[F3]]=Tabla46782[[#This Row],[f2]], "IGUAL", "DISTINTO")</f>
        <v>IGUAL</v>
      </c>
      <c r="BL58" s="218" t="str">
        <f>+IF(Tabla46782[[#This Row],[CVN]]=Tabla46782[[#This Row],[CVN2]], "IGUAL", "DISTINTO")</f>
        <v>DISTINTO</v>
      </c>
      <c r="BM58" s="219" t="str">
        <f>+IF(Tabla46782[[#This Row],[L]]=Tabla46782[[#This Row],[L2]], "IGUAL", "DISTINTO")</f>
        <v>IGUAL</v>
      </c>
    </row>
    <row r="59" spans="1:146" x14ac:dyDescent="0.25">
      <c r="A59">
        <v>56</v>
      </c>
      <c r="B59" s="202" t="s">
        <v>491</v>
      </c>
      <c r="C59" s="203" t="s">
        <v>492</v>
      </c>
      <c r="D59" s="203" t="s">
        <v>128</v>
      </c>
      <c r="E59" s="203" t="s">
        <v>78</v>
      </c>
      <c r="F59" s="203" t="s">
        <v>78</v>
      </c>
      <c r="G59" s="203" t="s">
        <v>128</v>
      </c>
      <c r="H59" s="203" t="s">
        <v>72</v>
      </c>
      <c r="I59" s="203" t="s">
        <v>72</v>
      </c>
      <c r="J59" s="203" t="s">
        <v>72</v>
      </c>
      <c r="K59" s="203"/>
      <c r="L59" s="203" t="s">
        <v>72</v>
      </c>
      <c r="M59" s="203" t="s">
        <v>72</v>
      </c>
      <c r="N59" s="203"/>
      <c r="O59" s="203" t="s">
        <v>73</v>
      </c>
      <c r="P59" s="203" t="s">
        <v>200</v>
      </c>
      <c r="Q59" s="203" t="s">
        <v>201</v>
      </c>
      <c r="R59" s="203" t="s">
        <v>160</v>
      </c>
      <c r="S59" s="209">
        <v>44189</v>
      </c>
      <c r="T59" s="205">
        <v>45650</v>
      </c>
      <c r="U59" s="205">
        <f>VLOOKUP(Tabla46782[[#This Row],[Matricula]],BAJA2022202320242025!$B$3:$CR$245,95,FALSE)</f>
        <v>45603</v>
      </c>
      <c r="V59" s="206">
        <v>1461</v>
      </c>
      <c r="W59" s="207">
        <v>2024</v>
      </c>
      <c r="X59" s="203" t="s">
        <v>161</v>
      </c>
      <c r="Y59" s="203" t="s">
        <v>78</v>
      </c>
      <c r="Z59" s="203" t="s">
        <v>467</v>
      </c>
      <c r="AA59" s="203" t="s">
        <v>476</v>
      </c>
      <c r="AB59" s="203" t="s">
        <v>102</v>
      </c>
      <c r="AC59" s="203" t="s">
        <v>103</v>
      </c>
      <c r="AD59" s="203" t="s">
        <v>493</v>
      </c>
      <c r="AE59" s="208">
        <v>10</v>
      </c>
      <c r="AF59" s="208" t="s">
        <v>494</v>
      </c>
      <c r="AG59" s="208" t="s">
        <v>85</v>
      </c>
      <c r="AH59" s="208" t="s">
        <v>86</v>
      </c>
      <c r="AI59" s="208" t="s">
        <v>87</v>
      </c>
      <c r="AJ59" s="208" t="s">
        <v>495</v>
      </c>
      <c r="AK59" s="205" t="s">
        <v>89</v>
      </c>
      <c r="AL59" s="204">
        <v>45625</v>
      </c>
      <c r="AM59" s="208">
        <v>0</v>
      </c>
      <c r="AN59" s="209" t="s">
        <v>102</v>
      </c>
      <c r="AO59" s="209" t="s">
        <v>496</v>
      </c>
      <c r="AP59" s="209" t="s">
        <v>103</v>
      </c>
      <c r="AQ59" s="209"/>
      <c r="AR59" s="209" t="s">
        <v>72</v>
      </c>
      <c r="AS59" s="209" t="s">
        <v>109</v>
      </c>
      <c r="AT59" s="209" t="s">
        <v>497</v>
      </c>
      <c r="AU59" s="210">
        <v>5.6</v>
      </c>
      <c r="AV59" s="211">
        <v>10</v>
      </c>
      <c r="AW59" s="212">
        <v>17.3</v>
      </c>
      <c r="AX59" s="213">
        <v>15815</v>
      </c>
      <c r="AY59" s="213">
        <v>6120.4049999999997</v>
      </c>
      <c r="AZ59" s="210" t="s">
        <v>128</v>
      </c>
      <c r="BA59" s="209" t="s">
        <v>93</v>
      </c>
      <c r="BB59" s="214" t="str">
        <f>+IF(Tabla46782[[#This Row],[TIPO VEHÍCULO]]=Tabla46782[[#This Row],[Columna2]], "IGUAL", "DISTINTO")</f>
        <v>IGUAL</v>
      </c>
      <c r="BC59" s="214" t="str">
        <f>+IF(Tabla46782[[#This Row],[Columna4]]=Tabla46782[[#This Row],[Combustible2]], "IGUAL", "DISTINTO")</f>
        <v>IGUAL</v>
      </c>
      <c r="BD59" s="215" cm="1">
        <f t="array" ref="BD59">IFERROR(INDEX('[1]Anexos FICHA TRA050'!$D$27:$D$44, MATCH(Tabla46782[[#This Row],[Columna5]]&amp;Tabla46782[[#This Row],[Columna4]], '[1]Anexos FICHA TRA050'!$E$27:$E$44&amp;'[1]Anexos FICHA TRA050'!$F$27:$F$44, 0)), "")</f>
        <v>5.63</v>
      </c>
      <c r="BE59" s="215">
        <f>IFERROR(INDEX('[1]Anexos FICHA TRA050'!$B$4:$B$7, MATCH(Tabla46782[[#This Row],[Columna4]], '[1]Anexos FICHA TRA050'!$C$4:$C$7, 0)), "")</f>
        <v>10</v>
      </c>
      <c r="BF59" s="215">
        <f>IFERROR(INDEX('[1]Anexos FICHA TRA050'!$C$14:$C$22, MATCH(Tabla46782[[#This Row],[Columna5]], '[1]Anexos FICHA TRA050'!$D$14:$D$22, 0)), "")</f>
        <v>20.84</v>
      </c>
      <c r="BG59" s="216">
        <f>IFERROR(INDEX('[1]Anexos FICHA TRA050'!$C$49:$C$54, MATCH(Tabla46782[[#This Row],[Columna5]], '[1]Anexos FICHA TRA050'!$D$49:$D$54, 0)), "")</f>
        <v>15815</v>
      </c>
      <c r="BH59" s="217">
        <f>+(((Tabla46782[[#This Row],[CVA2]]*Tabla46782[[#This Row],[f2]])-Tabla46782[[#This Row],[CVN2]])/100)*Tabla46782[[#This Row],[L2]]</f>
        <v>5607.9989999999989</v>
      </c>
      <c r="BI59" s="218"/>
      <c r="BJ59" s="218"/>
      <c r="BK59" s="218" t="str">
        <f>+IF(Tabla46782[[#This Row],[F3]]=Tabla46782[[#This Row],[f2]], "IGUAL", "DISTINTO")</f>
        <v>IGUAL</v>
      </c>
      <c r="BL59" s="218" t="str">
        <f>+IF(Tabla46782[[#This Row],[CVN]]=Tabla46782[[#This Row],[CVN2]], "IGUAL", "DISTINTO")</f>
        <v>DISTINTO</v>
      </c>
      <c r="BM59" s="219" t="str">
        <f>+IF(Tabla46782[[#This Row],[L]]=Tabla46782[[#This Row],[L2]], "IGUAL", "DISTINTO")</f>
        <v>IGUAL</v>
      </c>
    </row>
    <row r="60" spans="1:146" x14ac:dyDescent="0.25">
      <c r="A60">
        <v>57</v>
      </c>
      <c r="B60" s="202" t="s">
        <v>498</v>
      </c>
      <c r="C60" s="203" t="s">
        <v>499</v>
      </c>
      <c r="D60" s="203" t="s">
        <v>70</v>
      </c>
      <c r="E60" s="203" t="s">
        <v>78</v>
      </c>
      <c r="F60" s="203" t="s">
        <v>78</v>
      </c>
      <c r="G60" s="203" t="s">
        <v>70</v>
      </c>
      <c r="H60" s="203" t="s">
        <v>72</v>
      </c>
      <c r="I60" s="203" t="s">
        <v>72</v>
      </c>
      <c r="J60" s="203" t="s">
        <v>72</v>
      </c>
      <c r="K60" s="203"/>
      <c r="L60" s="203" t="s">
        <v>72</v>
      </c>
      <c r="M60" s="203" t="s">
        <v>72</v>
      </c>
      <c r="N60" s="203"/>
      <c r="O60" s="203" t="s">
        <v>73</v>
      </c>
      <c r="P60" s="203" t="s">
        <v>200</v>
      </c>
      <c r="Q60" s="203" t="s">
        <v>201</v>
      </c>
      <c r="R60" s="203" t="s">
        <v>76</v>
      </c>
      <c r="S60" s="209">
        <v>44176</v>
      </c>
      <c r="T60" s="205">
        <v>45637</v>
      </c>
      <c r="U60" s="205">
        <f>VLOOKUP(Tabla46782[[#This Row],[Matricula]],BAJA2022202320242025!$B$3:$CR$245,95,FALSE)</f>
        <v>45806</v>
      </c>
      <c r="V60" s="206">
        <v>1461</v>
      </c>
      <c r="W60" s="207">
        <v>2024</v>
      </c>
      <c r="X60" s="203" t="s">
        <v>77</v>
      </c>
      <c r="Y60" s="203" t="s">
        <v>78</v>
      </c>
      <c r="Z60" s="203" t="s">
        <v>467</v>
      </c>
      <c r="AA60" s="203" t="s">
        <v>500</v>
      </c>
      <c r="AB60" s="203" t="s">
        <v>119</v>
      </c>
      <c r="AC60" s="203" t="s">
        <v>120</v>
      </c>
      <c r="AD60" s="203" t="s">
        <v>501</v>
      </c>
      <c r="AE60" s="208">
        <v>15</v>
      </c>
      <c r="AF60" s="208" t="s">
        <v>502</v>
      </c>
      <c r="AG60" s="208" t="s">
        <v>140</v>
      </c>
      <c r="AH60" s="208" t="s">
        <v>151</v>
      </c>
      <c r="AI60" s="208" t="s">
        <v>87</v>
      </c>
      <c r="AJ60" s="208" t="s">
        <v>243</v>
      </c>
      <c r="AK60" s="205" t="s">
        <v>89</v>
      </c>
      <c r="AL60" s="204">
        <v>45625</v>
      </c>
      <c r="AM60" s="208">
        <v>0</v>
      </c>
      <c r="AN60" s="209" t="s">
        <v>119</v>
      </c>
      <c r="AO60" s="209" t="s">
        <v>503</v>
      </c>
      <c r="AP60" s="209" t="s">
        <v>120</v>
      </c>
      <c r="AQ60" s="209"/>
      <c r="AR60" s="209" t="s">
        <v>72</v>
      </c>
      <c r="AS60" s="209" t="s">
        <v>91</v>
      </c>
      <c r="AT60" s="209" t="s">
        <v>504</v>
      </c>
      <c r="AU60" s="210">
        <v>5.6</v>
      </c>
      <c r="AV60" s="211">
        <v>10</v>
      </c>
      <c r="AW60" s="212">
        <v>16.399999999999999</v>
      </c>
      <c r="AX60" s="213">
        <v>15815</v>
      </c>
      <c r="AY60" s="213">
        <v>6262.7400000000007</v>
      </c>
      <c r="AZ60" s="210" t="s">
        <v>128</v>
      </c>
      <c r="BA60" s="209" t="s">
        <v>93</v>
      </c>
      <c r="BB60" s="214" t="str">
        <f>+IF(Tabla46782[[#This Row],[TIPO VEHÍCULO]]=Tabla46782[[#This Row],[Columna2]], "IGUAL", "DISTINTO")</f>
        <v>DISTINTO</v>
      </c>
      <c r="BC60" s="214" t="str">
        <f>+IF(Tabla46782[[#This Row],[Columna4]]=Tabla46782[[#This Row],[Combustible2]], "IGUAL", "DISTINTO")</f>
        <v>IGUAL</v>
      </c>
      <c r="BD60" s="215" cm="1">
        <f t="array" ref="BD60">IFERROR(INDEX('[1]Anexos FICHA TRA050'!$D$27:$D$44, MATCH(Tabla46782[[#This Row],[Columna5]]&amp;Tabla46782[[#This Row],[Columna4]], '[1]Anexos FICHA TRA050'!$E$27:$E$44&amp;'[1]Anexos FICHA TRA050'!$F$27:$F$44, 0)), "")</f>
        <v>6.99</v>
      </c>
      <c r="BE60" s="215">
        <f>IFERROR(INDEX('[1]Anexos FICHA TRA050'!$B$4:$B$7, MATCH(Tabla46782[[#This Row],[Columna4]], '[1]Anexos FICHA TRA050'!$C$4:$C$7, 0)), "")</f>
        <v>10</v>
      </c>
      <c r="BF60" s="215">
        <f>IFERROR(INDEX('[1]Anexos FICHA TRA050'!$C$14:$C$22, MATCH(Tabla46782[[#This Row],[Columna5]], '[1]Anexos FICHA TRA050'!$D$14:$D$22, 0)), "")</f>
        <v>17.920000000000002</v>
      </c>
      <c r="BG60" s="216">
        <f>IFERROR(INDEX('[1]Anexos FICHA TRA050'!$C$49:$C$54, MATCH(Tabla46782[[#This Row],[Columna5]], '[1]Anexos FICHA TRA050'!$D$49:$D$54, 0)), "")</f>
        <v>13073</v>
      </c>
      <c r="BH60" s="217">
        <f>+(((Tabla46782[[#This Row],[CVA2]]*Tabla46782[[#This Row],[f2]])-Tabla46782[[#This Row],[CVN2]])/100)*Tabla46782[[#This Row],[L2]]</f>
        <v>6795.3454000000002</v>
      </c>
      <c r="BI60" s="218"/>
      <c r="BJ60" s="218"/>
      <c r="BK60" s="218" t="str">
        <f>+IF(Tabla46782[[#This Row],[F3]]=Tabla46782[[#This Row],[f2]], "IGUAL", "DISTINTO")</f>
        <v>IGUAL</v>
      </c>
      <c r="BL60" s="218" t="str">
        <f>+IF(Tabla46782[[#This Row],[CVN]]=Tabla46782[[#This Row],[CVN2]], "IGUAL", "DISTINTO")</f>
        <v>DISTINTO</v>
      </c>
      <c r="BM60" s="219" t="str">
        <f>+IF(Tabla46782[[#This Row],[L]]=Tabla46782[[#This Row],[L2]], "IGUAL", "DISTINTO")</f>
        <v>DISTINTO</v>
      </c>
    </row>
    <row r="61" spans="1:146" s="235" customFormat="1" x14ac:dyDescent="0.25">
      <c r="A61">
        <v>58</v>
      </c>
      <c r="B61" s="202" t="s">
        <v>505</v>
      </c>
      <c r="C61" s="203" t="s">
        <v>506</v>
      </c>
      <c r="D61" s="203" t="s">
        <v>70</v>
      </c>
      <c r="E61" s="203" t="s">
        <v>78</v>
      </c>
      <c r="F61" s="203" t="s">
        <v>78</v>
      </c>
      <c r="G61" s="203" t="s">
        <v>70</v>
      </c>
      <c r="H61" s="203" t="s">
        <v>72</v>
      </c>
      <c r="I61" s="203" t="s">
        <v>72</v>
      </c>
      <c r="J61" s="203" t="s">
        <v>72</v>
      </c>
      <c r="K61" s="203"/>
      <c r="L61" s="203" t="s">
        <v>72</v>
      </c>
      <c r="M61" s="203" t="s">
        <v>72</v>
      </c>
      <c r="N61" s="203"/>
      <c r="O61" s="203" t="s">
        <v>73</v>
      </c>
      <c r="P61" s="203" t="s">
        <v>200</v>
      </c>
      <c r="Q61" s="203" t="s">
        <v>201</v>
      </c>
      <c r="R61" s="203" t="s">
        <v>76</v>
      </c>
      <c r="S61" s="209">
        <v>44176</v>
      </c>
      <c r="T61" s="205">
        <v>45637</v>
      </c>
      <c r="U61" s="205">
        <f>VLOOKUP(Tabla46782[[#This Row],[Matricula]],BAJA2022202320242025!$B$3:$CR$245,95,FALSE)</f>
        <v>45727</v>
      </c>
      <c r="V61" s="206">
        <v>1461</v>
      </c>
      <c r="W61" s="207">
        <v>2024</v>
      </c>
      <c r="X61" s="203" t="s">
        <v>77</v>
      </c>
      <c r="Y61" s="203" t="s">
        <v>78</v>
      </c>
      <c r="Z61" s="203" t="s">
        <v>467</v>
      </c>
      <c r="AA61" s="203" t="s">
        <v>500</v>
      </c>
      <c r="AB61" s="203" t="s">
        <v>215</v>
      </c>
      <c r="AC61" s="203" t="s">
        <v>216</v>
      </c>
      <c r="AD61" s="203" t="s">
        <v>507</v>
      </c>
      <c r="AE61" s="208">
        <v>2</v>
      </c>
      <c r="AF61" s="208" t="s">
        <v>508</v>
      </c>
      <c r="AG61" s="208" t="s">
        <v>140</v>
      </c>
      <c r="AH61" s="208" t="s">
        <v>151</v>
      </c>
      <c r="AI61" s="208" t="s">
        <v>87</v>
      </c>
      <c r="AJ61" s="208" t="s">
        <v>509</v>
      </c>
      <c r="AK61" s="205" t="s">
        <v>89</v>
      </c>
      <c r="AL61" s="204">
        <v>45625</v>
      </c>
      <c r="AM61" s="208">
        <v>0</v>
      </c>
      <c r="AN61" s="209" t="s">
        <v>215</v>
      </c>
      <c r="AO61" s="209" t="s">
        <v>510</v>
      </c>
      <c r="AP61" s="209" t="s">
        <v>216</v>
      </c>
      <c r="AQ61" s="209"/>
      <c r="AR61" s="209" t="s">
        <v>72</v>
      </c>
      <c r="AS61" s="209" t="s">
        <v>91</v>
      </c>
      <c r="AT61" s="209" t="s">
        <v>511</v>
      </c>
      <c r="AU61" s="210">
        <v>5.6</v>
      </c>
      <c r="AV61" s="211">
        <v>10</v>
      </c>
      <c r="AW61" s="212">
        <v>16.399999999999999</v>
      </c>
      <c r="AX61" s="213">
        <v>15815</v>
      </c>
      <c r="AY61" s="213">
        <v>6262.7400000000007</v>
      </c>
      <c r="AZ61" s="210" t="s">
        <v>128</v>
      </c>
      <c r="BA61" s="209" t="s">
        <v>93</v>
      </c>
      <c r="BB61" s="234" t="str">
        <f>+IF(Tabla46782[[#This Row],[TIPO VEHÍCULO]]=Tabla46782[[#This Row],[Columna2]], "IGUAL", "DISTINTO")</f>
        <v>DISTINTO</v>
      </c>
      <c r="BC61" s="214" t="str">
        <f>+IF(Tabla46782[[#This Row],[Columna4]]=Tabla46782[[#This Row],[Combustible2]], "IGUAL", "DISTINTO")</f>
        <v>IGUAL</v>
      </c>
      <c r="BD61" s="215" cm="1">
        <f t="array" ref="BD61">IFERROR(INDEX('[1]Anexos FICHA TRA050'!$D$27:$D$44, MATCH(Tabla46782[[#This Row],[Columna5]]&amp;Tabla46782[[#This Row],[Columna4]], '[1]Anexos FICHA TRA050'!$E$27:$E$44&amp;'[1]Anexos FICHA TRA050'!$F$27:$F$44, 0)), "")</f>
        <v>6.99</v>
      </c>
      <c r="BE61" s="215">
        <f>IFERROR(INDEX('[1]Anexos FICHA TRA050'!$B$4:$B$7, MATCH(Tabla46782[[#This Row],[Columna4]], '[1]Anexos FICHA TRA050'!$C$4:$C$7, 0)), "")</f>
        <v>10</v>
      </c>
      <c r="BF61" s="215">
        <f>IFERROR(INDEX('[1]Anexos FICHA TRA050'!$C$14:$C$22, MATCH(Tabla46782[[#This Row],[Columna5]], '[1]Anexos FICHA TRA050'!$D$14:$D$22, 0)), "")</f>
        <v>17.920000000000002</v>
      </c>
      <c r="BG61" s="216">
        <f>IFERROR(INDEX('[1]Anexos FICHA TRA050'!$C$49:$C$54, MATCH(Tabla46782[[#This Row],[Columna5]], '[1]Anexos FICHA TRA050'!$D$49:$D$54, 0)), "")</f>
        <v>13073</v>
      </c>
      <c r="BH61" s="217">
        <f>+(((Tabla46782[[#This Row],[CVA2]]*Tabla46782[[#This Row],[f2]])-Tabla46782[[#This Row],[CVN2]])/100)*Tabla46782[[#This Row],[L2]]</f>
        <v>6795.3454000000002</v>
      </c>
      <c r="BI61" s="218" t="s">
        <v>512</v>
      </c>
      <c r="BJ61" s="218"/>
      <c r="BK61" s="218" t="str">
        <f>+IF(Tabla46782[[#This Row],[F3]]=Tabla46782[[#This Row],[f2]], "IGUAL", "DISTINTO")</f>
        <v>IGUAL</v>
      </c>
      <c r="BL61" s="218" t="str">
        <f>+IF(Tabla46782[[#This Row],[CVN]]=Tabla46782[[#This Row],[CVN2]], "IGUAL", "DISTINTO")</f>
        <v>DISTINTO</v>
      </c>
      <c r="BM61" s="219" t="str">
        <f>+IF(Tabla46782[[#This Row],[L]]=Tabla46782[[#This Row],[L2]], "IGUAL", "DISTINTO")</f>
        <v>DISTINTO</v>
      </c>
      <c r="BN61" t="s">
        <v>513</v>
      </c>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row>
    <row r="62" spans="1:146" x14ac:dyDescent="0.25">
      <c r="A62">
        <v>59</v>
      </c>
      <c r="B62" s="202" t="s">
        <v>514</v>
      </c>
      <c r="C62" s="203" t="s">
        <v>515</v>
      </c>
      <c r="D62" s="203" t="s">
        <v>516</v>
      </c>
      <c r="E62" s="203" t="s">
        <v>425</v>
      </c>
      <c r="F62" s="203" t="s">
        <v>78</v>
      </c>
      <c r="G62" s="203" t="s">
        <v>516</v>
      </c>
      <c r="H62" s="203"/>
      <c r="I62" s="203"/>
      <c r="J62" s="203"/>
      <c r="K62" s="203" t="s">
        <v>72</v>
      </c>
      <c r="L62" s="203" t="s">
        <v>72</v>
      </c>
      <c r="M62" s="203" t="s">
        <v>72</v>
      </c>
      <c r="N62" s="203"/>
      <c r="O62" s="203" t="s">
        <v>158</v>
      </c>
      <c r="P62" s="203" t="s">
        <v>159</v>
      </c>
      <c r="Q62" s="203" t="s">
        <v>158</v>
      </c>
      <c r="R62" s="203" t="s">
        <v>171</v>
      </c>
      <c r="S62" s="204">
        <v>39827</v>
      </c>
      <c r="T62" s="205">
        <v>45574</v>
      </c>
      <c r="U62" s="205">
        <f>VLOOKUP(Tabla46782[[#This Row],[Matricula]],BAJA2022202320242025!$B$3:$CR$245,95,FALSE)</f>
        <v>45574</v>
      </c>
      <c r="V62" s="206">
        <v>5747</v>
      </c>
      <c r="W62" s="207">
        <v>2024</v>
      </c>
      <c r="X62" s="203" t="s">
        <v>172</v>
      </c>
      <c r="Y62" s="203" t="s">
        <v>78</v>
      </c>
      <c r="Z62" s="203" t="s">
        <v>85</v>
      </c>
      <c r="AA62" s="203" t="s">
        <v>517</v>
      </c>
      <c r="AB62" s="203" t="s">
        <v>190</v>
      </c>
      <c r="AC62" s="203" t="s">
        <v>191</v>
      </c>
      <c r="AD62" s="203" t="s">
        <v>518</v>
      </c>
      <c r="AE62" s="208">
        <v>6</v>
      </c>
      <c r="AF62" s="208" t="s">
        <v>519</v>
      </c>
      <c r="AG62" s="208" t="s">
        <v>85</v>
      </c>
      <c r="AH62" s="208" t="s">
        <v>86</v>
      </c>
      <c r="AI62" s="208" t="s">
        <v>87</v>
      </c>
      <c r="AJ62" s="208" t="s">
        <v>194</v>
      </c>
      <c r="AK62" s="205" t="s">
        <v>89</v>
      </c>
      <c r="AL62" s="204">
        <v>45646</v>
      </c>
      <c r="AM62" s="208">
        <v>0</v>
      </c>
      <c r="AN62" s="209" t="s">
        <v>190</v>
      </c>
      <c r="AO62" s="209" t="s">
        <v>520</v>
      </c>
      <c r="AP62" s="209" t="s">
        <v>191</v>
      </c>
      <c r="AQ62" s="209"/>
      <c r="AR62" s="209" t="s">
        <v>72</v>
      </c>
      <c r="AS62" s="209" t="s">
        <v>91</v>
      </c>
      <c r="AT62" s="209" t="s">
        <v>521</v>
      </c>
      <c r="AU62" s="210">
        <v>35</v>
      </c>
      <c r="AV62" s="211">
        <v>10</v>
      </c>
      <c r="AW62" s="212">
        <v>17.3</v>
      </c>
      <c r="AX62" s="213">
        <v>53508</v>
      </c>
      <c r="AY62" s="213">
        <v>178021.11600000001</v>
      </c>
      <c r="AZ62" s="210" t="s">
        <v>516</v>
      </c>
      <c r="BA62" s="209" t="s">
        <v>168</v>
      </c>
      <c r="BB62" s="214" t="str">
        <f>+IF(Tabla46782[[#This Row],[TIPO VEHÍCULO]]=Tabla46782[[#This Row],[Columna2]], "IGUAL", "DISTINTO")</f>
        <v>IGUAL</v>
      </c>
      <c r="BC62" s="214" t="str">
        <f>+IF(Tabla46782[[#This Row],[Columna4]]=Tabla46782[[#This Row],[Combustible2]], "IGUAL", "DISTINTO")</f>
        <v>IGUAL</v>
      </c>
      <c r="BD62" s="215" cm="1">
        <f t="array" ref="BD62">IFERROR(INDEX('[1]Anexos FICHA TRA050'!$D$27:$D$44, MATCH(Tabla46782[[#This Row],[Columna5]]&amp;Tabla46782[[#This Row],[Columna4]], '[1]Anexos FICHA TRA050'!$E$27:$E$44&amp;'[1]Anexos FICHA TRA050'!$F$27:$F$44, 0)), "")</f>
        <v>35</v>
      </c>
      <c r="BE62" s="215">
        <f>IFERROR(INDEX('[1]Anexos FICHA TRA050'!$B$4:$B$7, MATCH(Tabla46782[[#This Row],[Columna4]], '[1]Anexos FICHA TRA050'!$C$4:$C$7, 0)), "")</f>
        <v>10</v>
      </c>
      <c r="BF62" s="215">
        <f>IFERROR(INDEX('[1]Anexos FICHA TRA050'!$C$14:$C$22, MATCH(Tabla46782[[#This Row],[Columna5]], '[1]Anexos FICHA TRA050'!$D$14:$D$22, 0)), "")</f>
        <v>118.53</v>
      </c>
      <c r="BG62" s="216">
        <f>IFERROR(INDEX('[1]Anexos FICHA TRA050'!$C$49:$C$54, MATCH(Tabla46782[[#This Row],[Columna5]], '[1]Anexos FICHA TRA050'!$D$49:$D$54, 0)), "")</f>
        <v>53508</v>
      </c>
      <c r="BH62" s="217">
        <f>+(((Tabla46782[[#This Row],[CVA2]]*Tabla46782[[#This Row],[f2]])-Tabla46782[[#This Row],[CVN2]])/100)*Tabla46782[[#This Row],[L2]]</f>
        <v>123854.9676</v>
      </c>
      <c r="BI62" s="218"/>
      <c r="BJ62" s="218"/>
      <c r="BK62" s="218" t="str">
        <f>+IF(Tabla46782[[#This Row],[F3]]=Tabla46782[[#This Row],[f2]], "IGUAL", "DISTINTO")</f>
        <v>IGUAL</v>
      </c>
      <c r="BL62" s="218" t="str">
        <f>+IF(Tabla46782[[#This Row],[CVN]]=Tabla46782[[#This Row],[CVN2]], "IGUAL", "DISTINTO")</f>
        <v>DISTINTO</v>
      </c>
      <c r="BM62" s="219" t="str">
        <f>+IF(Tabla46782[[#This Row],[L]]=Tabla46782[[#This Row],[L2]], "IGUAL", "DISTINTO")</f>
        <v>IGUAL</v>
      </c>
    </row>
    <row r="63" spans="1:146" x14ac:dyDescent="0.25">
      <c r="A63">
        <v>60</v>
      </c>
      <c r="B63" s="202" t="s">
        <v>522</v>
      </c>
      <c r="C63" s="203" t="s">
        <v>523</v>
      </c>
      <c r="D63" s="203" t="s">
        <v>516</v>
      </c>
      <c r="E63" s="203" t="s">
        <v>425</v>
      </c>
      <c r="F63" s="203" t="s">
        <v>78</v>
      </c>
      <c r="G63" s="203" t="s">
        <v>516</v>
      </c>
      <c r="H63" s="203"/>
      <c r="I63" s="203"/>
      <c r="J63" s="203"/>
      <c r="K63" s="203" t="s">
        <v>72</v>
      </c>
      <c r="L63" s="203" t="s">
        <v>72</v>
      </c>
      <c r="M63" s="203" t="s">
        <v>72</v>
      </c>
      <c r="N63" s="203"/>
      <c r="O63" s="203" t="s">
        <v>158</v>
      </c>
      <c r="P63" s="203" t="s">
        <v>159</v>
      </c>
      <c r="Q63" s="203" t="s">
        <v>158</v>
      </c>
      <c r="R63" s="203" t="s">
        <v>171</v>
      </c>
      <c r="S63" s="204">
        <v>39407</v>
      </c>
      <c r="T63" s="205">
        <v>45341</v>
      </c>
      <c r="U63" s="205">
        <f>VLOOKUP(Tabla46782[[#This Row],[Matricula]],BAJA2022202320242025!$B$3:$CR$245,95,FALSE)</f>
        <v>45341</v>
      </c>
      <c r="V63" s="206">
        <v>5934</v>
      </c>
      <c r="W63" s="207">
        <v>2024</v>
      </c>
      <c r="X63" s="203" t="s">
        <v>172</v>
      </c>
      <c r="Y63" s="203" t="s">
        <v>78</v>
      </c>
      <c r="Z63" s="203" t="s">
        <v>524</v>
      </c>
      <c r="AA63" s="203" t="s">
        <v>525</v>
      </c>
      <c r="AB63" s="203" t="s">
        <v>190</v>
      </c>
      <c r="AC63" s="203" t="s">
        <v>191</v>
      </c>
      <c r="AD63" s="203" t="s">
        <v>518</v>
      </c>
      <c r="AE63" s="208">
        <v>7</v>
      </c>
      <c r="AF63" s="208" t="s">
        <v>526</v>
      </c>
      <c r="AG63" s="208" t="s">
        <v>140</v>
      </c>
      <c r="AH63" s="208" t="s">
        <v>151</v>
      </c>
      <c r="AI63" s="208" t="s">
        <v>87</v>
      </c>
      <c r="AJ63" s="208" t="s">
        <v>518</v>
      </c>
      <c r="AK63" s="205" t="s">
        <v>89</v>
      </c>
      <c r="AL63" s="204">
        <v>45625</v>
      </c>
      <c r="AM63" s="208">
        <v>0</v>
      </c>
      <c r="AN63" s="209" t="s">
        <v>190</v>
      </c>
      <c r="AO63" s="209" t="s">
        <v>527</v>
      </c>
      <c r="AP63" s="209" t="s">
        <v>191</v>
      </c>
      <c r="AQ63" s="209"/>
      <c r="AR63" s="209" t="s">
        <v>72</v>
      </c>
      <c r="AS63" s="209" t="s">
        <v>91</v>
      </c>
      <c r="AT63" s="209" t="s">
        <v>528</v>
      </c>
      <c r="AU63" s="210">
        <v>35</v>
      </c>
      <c r="AV63" s="211">
        <v>10</v>
      </c>
      <c r="AW63" s="212">
        <v>16.399999999999999</v>
      </c>
      <c r="AX63" s="213">
        <v>53508</v>
      </c>
      <c r="AY63" s="213">
        <v>178502.68800000002</v>
      </c>
      <c r="AZ63" s="210" t="s">
        <v>516</v>
      </c>
      <c r="BA63" s="209" t="s">
        <v>168</v>
      </c>
      <c r="BB63" s="214" t="str">
        <f>+IF(Tabla46782[[#This Row],[TIPO VEHÍCULO]]=Tabla46782[[#This Row],[Columna2]], "IGUAL", "DISTINTO")</f>
        <v>IGUAL</v>
      </c>
      <c r="BC63" s="214" t="str">
        <f>+IF(Tabla46782[[#This Row],[Columna4]]=Tabla46782[[#This Row],[Combustible2]], "IGUAL", "DISTINTO")</f>
        <v>IGUAL</v>
      </c>
      <c r="BD63" s="215" cm="1">
        <f t="array" ref="BD63">IFERROR(INDEX('[1]Anexos FICHA TRA050'!$D$27:$D$44, MATCH(Tabla46782[[#This Row],[Columna5]]&amp;Tabla46782[[#This Row],[Columna4]], '[1]Anexos FICHA TRA050'!$E$27:$E$44&amp;'[1]Anexos FICHA TRA050'!$F$27:$F$44, 0)), "")</f>
        <v>35</v>
      </c>
      <c r="BE63" s="215">
        <f>IFERROR(INDEX('[1]Anexos FICHA TRA050'!$B$4:$B$7, MATCH(Tabla46782[[#This Row],[Columna4]], '[1]Anexos FICHA TRA050'!$C$4:$C$7, 0)), "")</f>
        <v>10</v>
      </c>
      <c r="BF63" s="215">
        <f>IFERROR(INDEX('[1]Anexos FICHA TRA050'!$C$14:$C$22, MATCH(Tabla46782[[#This Row],[Columna5]], '[1]Anexos FICHA TRA050'!$D$14:$D$22, 0)), "")</f>
        <v>118.53</v>
      </c>
      <c r="BG63" s="216">
        <f>IFERROR(INDEX('[1]Anexos FICHA TRA050'!$C$49:$C$54, MATCH(Tabla46782[[#This Row],[Columna5]], '[1]Anexos FICHA TRA050'!$D$49:$D$54, 0)), "")</f>
        <v>53508</v>
      </c>
      <c r="BH63" s="217">
        <f>+(((Tabla46782[[#This Row],[CVA2]]*Tabla46782[[#This Row],[f2]])-Tabla46782[[#This Row],[CVN2]])/100)*Tabla46782[[#This Row],[L2]]</f>
        <v>123854.9676</v>
      </c>
      <c r="BI63" s="218"/>
      <c r="BJ63" s="218"/>
      <c r="BK63" s="218" t="str">
        <f>+IF(Tabla46782[[#This Row],[F3]]=Tabla46782[[#This Row],[f2]], "IGUAL", "DISTINTO")</f>
        <v>IGUAL</v>
      </c>
      <c r="BL63" s="218" t="str">
        <f>+IF(Tabla46782[[#This Row],[CVN]]=Tabla46782[[#This Row],[CVN2]], "IGUAL", "DISTINTO")</f>
        <v>DISTINTO</v>
      </c>
      <c r="BM63" s="219" t="str">
        <f>+IF(Tabla46782[[#This Row],[L]]=Tabla46782[[#This Row],[L2]], "IGUAL", "DISTINTO")</f>
        <v>IGUAL</v>
      </c>
    </row>
    <row r="64" spans="1:146" s="237" customFormat="1" x14ac:dyDescent="0.25">
      <c r="A64">
        <v>61</v>
      </c>
      <c r="B64" s="202" t="s">
        <v>529</v>
      </c>
      <c r="C64" s="203" t="s">
        <v>530</v>
      </c>
      <c r="D64" s="203" t="s">
        <v>128</v>
      </c>
      <c r="E64" s="203" t="s">
        <v>78</v>
      </c>
      <c r="F64" s="203" t="s">
        <v>78</v>
      </c>
      <c r="G64" s="203" t="s">
        <v>128</v>
      </c>
      <c r="H64" s="203"/>
      <c r="I64" s="203"/>
      <c r="J64" s="203"/>
      <c r="K64" s="203" t="s">
        <v>72</v>
      </c>
      <c r="L64" s="203" t="s">
        <v>72</v>
      </c>
      <c r="M64" s="203" t="s">
        <v>72</v>
      </c>
      <c r="N64" s="203"/>
      <c r="O64" s="203" t="s">
        <v>158</v>
      </c>
      <c r="P64" s="203" t="s">
        <v>159</v>
      </c>
      <c r="Q64" s="203" t="s">
        <v>158</v>
      </c>
      <c r="R64" s="203" t="s">
        <v>171</v>
      </c>
      <c r="S64" s="204">
        <v>35926</v>
      </c>
      <c r="T64" s="205">
        <v>44972</v>
      </c>
      <c r="U64" s="205">
        <f>VLOOKUP(Tabla46782[[#This Row],[Matricula]],BAJA2022202320242025!$B$3:$CR$245,95,FALSE)</f>
        <v>44972</v>
      </c>
      <c r="V64" s="206">
        <v>9046</v>
      </c>
      <c r="W64" s="207">
        <v>2023</v>
      </c>
      <c r="X64" s="203" t="s">
        <v>172</v>
      </c>
      <c r="Y64" s="203" t="s">
        <v>78</v>
      </c>
      <c r="Z64" s="203" t="s">
        <v>531</v>
      </c>
      <c r="AA64" s="203" t="s">
        <v>532</v>
      </c>
      <c r="AB64" s="203" t="s">
        <v>190</v>
      </c>
      <c r="AC64" s="203" t="s">
        <v>191</v>
      </c>
      <c r="AD64" s="203" t="s">
        <v>533</v>
      </c>
      <c r="AE64" s="208">
        <v>8</v>
      </c>
      <c r="AF64" s="208" t="s">
        <v>534</v>
      </c>
      <c r="AG64" s="208" t="s">
        <v>140</v>
      </c>
      <c r="AH64" s="208" t="s">
        <v>151</v>
      </c>
      <c r="AI64" s="208" t="s">
        <v>87</v>
      </c>
      <c r="AJ64" s="208" t="s">
        <v>535</v>
      </c>
      <c r="AK64" s="205" t="s">
        <v>89</v>
      </c>
      <c r="AL64" s="204">
        <v>45625</v>
      </c>
      <c r="AM64" s="208">
        <v>1</v>
      </c>
      <c r="AN64" s="209" t="s">
        <v>190</v>
      </c>
      <c r="AO64" s="209" t="s">
        <v>536</v>
      </c>
      <c r="AP64" s="209" t="s">
        <v>191</v>
      </c>
      <c r="AQ64" s="209"/>
      <c r="AR64" s="209" t="s">
        <v>72</v>
      </c>
      <c r="AS64" s="209" t="s">
        <v>91</v>
      </c>
      <c r="AT64" s="209" t="s">
        <v>537</v>
      </c>
      <c r="AU64" s="210">
        <v>35</v>
      </c>
      <c r="AV64" s="211">
        <v>10</v>
      </c>
      <c r="AW64" s="212">
        <v>16.399999999999999</v>
      </c>
      <c r="AX64" s="213">
        <v>53508</v>
      </c>
      <c r="AY64" s="213">
        <v>178502.68800000002</v>
      </c>
      <c r="AZ64" s="210" t="s">
        <v>516</v>
      </c>
      <c r="BA64" s="209" t="s">
        <v>168</v>
      </c>
      <c r="BB64" s="236" t="str">
        <f>+IF(Tabla46782[[#This Row],[TIPO VEHÍCULO]]=Tabla46782[[#This Row],[Columna2]], "IGUAL", "DISTINTO")</f>
        <v>DISTINTO</v>
      </c>
      <c r="BC64" s="214" t="str">
        <f>+IF(Tabla46782[[#This Row],[Columna4]]=Tabla46782[[#This Row],[Combustible2]], "IGUAL", "DISTINTO")</f>
        <v>IGUAL</v>
      </c>
      <c r="BD64" s="215" cm="1">
        <f t="array" ref="BD64">IFERROR(INDEX('[1]Anexos FICHA TRA050'!$D$27:$D$44, MATCH(Tabla46782[[#This Row],[Columna5]]&amp;Tabla46782[[#This Row],[Columna4]], '[1]Anexos FICHA TRA050'!$E$27:$E$44&amp;'[1]Anexos FICHA TRA050'!$F$27:$F$44, 0)), "")</f>
        <v>5.63</v>
      </c>
      <c r="BE64" s="215">
        <f>IFERROR(INDEX('[1]Anexos FICHA TRA050'!$B$4:$B$7, MATCH(Tabla46782[[#This Row],[Columna4]], '[1]Anexos FICHA TRA050'!$C$4:$C$7, 0)), "")</f>
        <v>10</v>
      </c>
      <c r="BF64" s="215">
        <f>IFERROR(INDEX('[1]Anexos FICHA TRA050'!$C$14:$C$22, MATCH(Tabla46782[[#This Row],[Columna5]], '[1]Anexos FICHA TRA050'!$D$14:$D$22, 0)), "")</f>
        <v>20.84</v>
      </c>
      <c r="BG64" s="216">
        <f>IFERROR(INDEX('[1]Anexos FICHA TRA050'!$C$49:$C$54, MATCH(Tabla46782[[#This Row],[Columna5]], '[1]Anexos FICHA TRA050'!$D$49:$D$54, 0)), "")</f>
        <v>15815</v>
      </c>
      <c r="BH64" s="217">
        <f>+(((Tabla46782[[#This Row],[CVA2]]*Tabla46782[[#This Row],[f2]])-Tabla46782[[#This Row],[CVN2]])/100)*Tabla46782[[#This Row],[L2]]</f>
        <v>5607.9989999999989</v>
      </c>
      <c r="BI64" s="218" t="s">
        <v>538</v>
      </c>
      <c r="BJ64" s="218"/>
      <c r="BK64" s="218" t="str">
        <f>+IF(Tabla46782[[#This Row],[F3]]=Tabla46782[[#This Row],[f2]], "IGUAL", "DISTINTO")</f>
        <v>IGUAL</v>
      </c>
      <c r="BL64" s="218" t="str">
        <f>+IF(Tabla46782[[#This Row],[CVN]]=Tabla46782[[#This Row],[CVN2]], "IGUAL", "DISTINTO")</f>
        <v>DISTINTO</v>
      </c>
      <c r="BM64" s="219" t="str">
        <f>+IF(Tabla46782[[#This Row],[L]]=Tabla46782[[#This Row],[L2]], "IGUAL", "DISTINTO")</f>
        <v>DISTINTO</v>
      </c>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row>
    <row r="65" spans="1:65" x14ac:dyDescent="0.25">
      <c r="A65">
        <v>62</v>
      </c>
      <c r="B65" s="202" t="s">
        <v>539</v>
      </c>
      <c r="C65" s="203" t="s">
        <v>540</v>
      </c>
      <c r="D65" s="203" t="s">
        <v>157</v>
      </c>
      <c r="E65" s="203" t="s">
        <v>71</v>
      </c>
      <c r="F65" s="203" t="s">
        <v>71</v>
      </c>
      <c r="G65" s="203" t="s">
        <v>51</v>
      </c>
      <c r="H65" s="203"/>
      <c r="I65" s="203"/>
      <c r="J65" s="203"/>
      <c r="K65" s="203" t="s">
        <v>72</v>
      </c>
      <c r="L65" s="203"/>
      <c r="M65" s="203"/>
      <c r="N65" s="203"/>
      <c r="O65" s="203" t="s">
        <v>158</v>
      </c>
      <c r="P65" s="203" t="s">
        <v>159</v>
      </c>
      <c r="Q65" s="203" t="s">
        <v>158</v>
      </c>
      <c r="R65" s="203" t="s">
        <v>171</v>
      </c>
      <c r="S65" s="204">
        <v>37956</v>
      </c>
      <c r="T65" s="205">
        <v>45625</v>
      </c>
      <c r="U65" s="205">
        <f>VLOOKUP(Tabla46782[[#This Row],[Matricula]],BAJA2022202320242025!$B$3:$CR$245,95,FALSE)</f>
        <v>45625</v>
      </c>
      <c r="V65" s="206">
        <v>7669</v>
      </c>
      <c r="W65" s="207">
        <v>2024</v>
      </c>
      <c r="X65" s="203" t="s">
        <v>172</v>
      </c>
      <c r="Y65" s="203" t="s">
        <v>71</v>
      </c>
      <c r="Z65" s="203" t="s">
        <v>79</v>
      </c>
      <c r="AA65" s="203" t="s">
        <v>541</v>
      </c>
      <c r="AB65" s="203" t="s">
        <v>542</v>
      </c>
      <c r="AC65" s="203" t="s">
        <v>543</v>
      </c>
      <c r="AD65" s="203" t="s">
        <v>544</v>
      </c>
      <c r="AE65" s="208">
        <v>1</v>
      </c>
      <c r="AF65" s="208" t="s">
        <v>545</v>
      </c>
      <c r="AG65" s="208" t="s">
        <v>85</v>
      </c>
      <c r="AH65" s="208" t="s">
        <v>114</v>
      </c>
      <c r="AI65" s="208" t="s">
        <v>87</v>
      </c>
      <c r="AJ65" s="208" t="s">
        <v>546</v>
      </c>
      <c r="AK65" s="205" t="s">
        <v>547</v>
      </c>
      <c r="AL65" s="204">
        <v>45674</v>
      </c>
      <c r="AM65" s="208">
        <v>1</v>
      </c>
      <c r="AN65" s="209" t="s">
        <v>542</v>
      </c>
      <c r="AO65" s="209" t="s">
        <v>548</v>
      </c>
      <c r="AP65" s="209" t="s">
        <v>543</v>
      </c>
      <c r="AQ65" s="209"/>
      <c r="AR65" s="209" t="s">
        <v>72</v>
      </c>
      <c r="AS65" s="209" t="s">
        <v>91</v>
      </c>
      <c r="AT65" s="209" t="s">
        <v>549</v>
      </c>
      <c r="AU65" s="210">
        <v>2.9</v>
      </c>
      <c r="AV65" s="211">
        <v>9.19</v>
      </c>
      <c r="AW65" s="212">
        <v>17.3</v>
      </c>
      <c r="AX65" s="213">
        <v>2831</v>
      </c>
      <c r="AY65" s="213">
        <v>264.72680999999989</v>
      </c>
      <c r="AZ65" s="210" t="s">
        <v>157</v>
      </c>
      <c r="BA65" s="209" t="s">
        <v>550</v>
      </c>
      <c r="BB65" s="214" t="str">
        <f>+IF(Tabla46782[[#This Row],[TIPO VEHÍCULO]]=Tabla46782[[#This Row],[Columna2]], "IGUAL", "DISTINTO")</f>
        <v>IGUAL</v>
      </c>
      <c r="BC65" s="214" t="str">
        <f>+IF(Tabla46782[[#This Row],[Columna4]]=Tabla46782[[#This Row],[Combustible2]], "IGUAL", "DISTINTO")</f>
        <v>IGUAL</v>
      </c>
      <c r="BD65" s="215" cm="1">
        <f t="array" ref="BD65">IFERROR(INDEX('[1]Anexos FICHA TRA050'!$D$27:$D$44, MATCH(Tabla46782[[#This Row],[Columna5]]&amp;Tabla46782[[#This Row],[Columna4]], '[1]Anexos FICHA TRA050'!$E$27:$E$44&amp;'[1]Anexos FICHA TRA050'!$F$27:$F$44, 0)), "")</f>
        <v>2.9</v>
      </c>
      <c r="BE65" s="215">
        <f>IFERROR(INDEX('[1]Anexos FICHA TRA050'!$B$4:$B$7, MATCH(Tabla46782[[#This Row],[Columna4]], '[1]Anexos FICHA TRA050'!$C$4:$C$7, 0)), "")</f>
        <v>9.19</v>
      </c>
      <c r="BF65" s="215">
        <f>IFERROR(INDEX('[1]Anexos FICHA TRA050'!$C$14:$C$22, MATCH(Tabla46782[[#This Row],[Columna5]], '[1]Anexos FICHA TRA050'!$D$14:$D$22, 0)), "")</f>
        <v>4.84</v>
      </c>
      <c r="BG65" s="216">
        <f>IFERROR(INDEX('[1]Anexos FICHA TRA050'!$C$49:$C$54, MATCH(Tabla46782[[#This Row],[Columna5]], '[1]Anexos FICHA TRA050'!$D$49:$D$54, 0)), "")</f>
        <v>2831</v>
      </c>
      <c r="BH65" s="217">
        <f>+(((Tabla46782[[#This Row],[CVA2]]*Tabla46782[[#This Row],[f2]])-Tabla46782[[#This Row],[CVN2]])/100)*Tabla46782[[#This Row],[L2]]</f>
        <v>617.46940999999993</v>
      </c>
      <c r="BI65" s="218"/>
      <c r="BJ65" s="218"/>
      <c r="BK65" s="218" t="str">
        <f>+IF(Tabla46782[[#This Row],[F3]]=Tabla46782[[#This Row],[f2]], "IGUAL", "DISTINTO")</f>
        <v>IGUAL</v>
      </c>
      <c r="BL65" s="218" t="str">
        <f>+IF(Tabla46782[[#This Row],[CVN]]=Tabla46782[[#This Row],[CVN2]], "IGUAL", "DISTINTO")</f>
        <v>DISTINTO</v>
      </c>
      <c r="BM65" s="219" t="str">
        <f>+IF(Tabla46782[[#This Row],[L]]=Tabla46782[[#This Row],[L2]], "IGUAL", "DISTINTO")</f>
        <v>IGUAL</v>
      </c>
    </row>
    <row r="66" spans="1:65" x14ac:dyDescent="0.25">
      <c r="A66">
        <v>63</v>
      </c>
      <c r="B66" s="202" t="s">
        <v>551</v>
      </c>
      <c r="C66" s="203" t="s">
        <v>552</v>
      </c>
      <c r="D66" s="203" t="s">
        <v>70</v>
      </c>
      <c r="E66" s="203" t="s">
        <v>78</v>
      </c>
      <c r="F66" s="203" t="s">
        <v>78</v>
      </c>
      <c r="G66" s="203" t="s">
        <v>70</v>
      </c>
      <c r="H66" s="203" t="s">
        <v>72</v>
      </c>
      <c r="I66" s="203"/>
      <c r="J66" s="203" t="s">
        <v>72</v>
      </c>
      <c r="K66" s="203"/>
      <c r="L66" s="203" t="s">
        <v>249</v>
      </c>
      <c r="M66" s="203" t="s">
        <v>249</v>
      </c>
      <c r="N66" s="203"/>
      <c r="O66" s="203" t="s">
        <v>73</v>
      </c>
      <c r="P66" s="203" t="s">
        <v>74</v>
      </c>
      <c r="Q66" s="203" t="s">
        <v>75</v>
      </c>
      <c r="R66" s="203" t="s">
        <v>76</v>
      </c>
      <c r="S66" s="204">
        <v>45202</v>
      </c>
      <c r="T66" s="205">
        <v>45259</v>
      </c>
      <c r="U66" s="205">
        <f>VLOOKUP(Tabla46782[[#This Row],[Matricula]],BAJA2022202320242025!$B$3:$CR$245,95,FALSE)</f>
        <v>45259</v>
      </c>
      <c r="V66" s="206">
        <v>57</v>
      </c>
      <c r="W66" s="207">
        <v>2023</v>
      </c>
      <c r="X66" s="203" t="s">
        <v>77</v>
      </c>
      <c r="Y66" s="203" t="s">
        <v>78</v>
      </c>
      <c r="Z66" s="203" t="s">
        <v>359</v>
      </c>
      <c r="AA66" s="203" t="s">
        <v>461</v>
      </c>
      <c r="AB66" s="203" t="s">
        <v>102</v>
      </c>
      <c r="AC66" s="203" t="s">
        <v>103</v>
      </c>
      <c r="AD66" s="203" t="s">
        <v>104</v>
      </c>
      <c r="AE66" s="208">
        <v>11</v>
      </c>
      <c r="AF66" s="208" t="s">
        <v>553</v>
      </c>
      <c r="AG66" s="208" t="s">
        <v>79</v>
      </c>
      <c r="AH66" s="208" t="s">
        <v>106</v>
      </c>
      <c r="AI66" s="208" t="s">
        <v>87</v>
      </c>
      <c r="AJ66" s="208" t="s">
        <v>457</v>
      </c>
      <c r="AK66" s="205" t="s">
        <v>108</v>
      </c>
      <c r="AL66" s="204">
        <v>45133</v>
      </c>
      <c r="AM66" s="208">
        <v>0</v>
      </c>
      <c r="AN66" s="209" t="s">
        <v>102</v>
      </c>
      <c r="AO66" s="209">
        <v>4500370371</v>
      </c>
      <c r="AP66" s="209" t="s">
        <v>103</v>
      </c>
      <c r="AQ66" s="209"/>
      <c r="AR66" s="209" t="s">
        <v>72</v>
      </c>
      <c r="AS66" s="209" t="s">
        <v>109</v>
      </c>
      <c r="AT66" s="209" t="s">
        <v>554</v>
      </c>
      <c r="AU66" s="210">
        <v>5.0999999999999996</v>
      </c>
      <c r="AV66" s="211">
        <v>10</v>
      </c>
      <c r="AW66" s="212">
        <v>28.2</v>
      </c>
      <c r="AX66" s="213">
        <v>13073</v>
      </c>
      <c r="AY66" s="213">
        <v>2980.6440000000002</v>
      </c>
      <c r="AZ66" s="210" t="s">
        <v>70</v>
      </c>
      <c r="BA66" s="209" t="s">
        <v>93</v>
      </c>
      <c r="BB66" s="214" t="str">
        <f>+IF(Tabla46782[[#This Row],[TIPO VEHÍCULO]]=Tabla46782[[#This Row],[Columna2]], "IGUAL", "DISTINTO")</f>
        <v>IGUAL</v>
      </c>
      <c r="BC66" s="214" t="str">
        <f>+IF(Tabla46782[[#This Row],[Columna4]]=Tabla46782[[#This Row],[Combustible2]], "IGUAL", "DISTINTO")</f>
        <v>IGUAL</v>
      </c>
      <c r="BD66" s="215" cm="1">
        <f t="array" ref="BD66">IFERROR(INDEX('[1]Anexos FICHA TRA050'!$D$27:$D$44, MATCH(Tabla46782[[#This Row],[Columna5]]&amp;Tabla46782[[#This Row],[Columna4]], '[1]Anexos FICHA TRA050'!$E$27:$E$44&amp;'[1]Anexos FICHA TRA050'!$F$27:$F$44, 0)), "")</f>
        <v>6.99</v>
      </c>
      <c r="BE66" s="215">
        <f>IFERROR(INDEX('[1]Anexos FICHA TRA050'!$B$4:$B$7, MATCH(Tabla46782[[#This Row],[Columna4]], '[1]Anexos FICHA TRA050'!$C$4:$C$7, 0)), "")</f>
        <v>10</v>
      </c>
      <c r="BF66" s="215">
        <f>IFERROR(INDEX('[1]Anexos FICHA TRA050'!$C$14:$C$22, MATCH(Tabla46782[[#This Row],[Columna5]], '[1]Anexos FICHA TRA050'!$D$14:$D$22, 0)), "")</f>
        <v>17.920000000000002</v>
      </c>
      <c r="BG66" s="216">
        <f>IFERROR(INDEX('[1]Anexos FICHA TRA050'!$C$49:$C$54, MATCH(Tabla46782[[#This Row],[Columna5]], '[1]Anexos FICHA TRA050'!$D$49:$D$54, 0)), "")</f>
        <v>13073</v>
      </c>
      <c r="BH66" s="217">
        <f>+(((Tabla46782[[#This Row],[CVA2]]*Tabla46782[[#This Row],[f2]])-Tabla46782[[#This Row],[CVN2]])/100)*Tabla46782[[#This Row],[L2]]</f>
        <v>6795.3454000000002</v>
      </c>
      <c r="BI66" s="218"/>
      <c r="BJ66" s="218"/>
      <c r="BK66" s="218" t="str">
        <f>+IF(Tabla46782[[#This Row],[F3]]=Tabla46782[[#This Row],[f2]], "IGUAL", "DISTINTO")</f>
        <v>IGUAL</v>
      </c>
      <c r="BL66" s="218" t="str">
        <f>+IF(Tabla46782[[#This Row],[CVN]]=Tabla46782[[#This Row],[CVN2]], "IGUAL", "DISTINTO")</f>
        <v>DISTINTO</v>
      </c>
      <c r="BM66" s="219" t="str">
        <f>+IF(Tabla46782[[#This Row],[L]]=Tabla46782[[#This Row],[L2]], "IGUAL", "DISTINTO")</f>
        <v>IGUAL</v>
      </c>
    </row>
    <row r="67" spans="1:65" x14ac:dyDescent="0.25">
      <c r="A67">
        <v>64</v>
      </c>
      <c r="B67" s="202" t="s">
        <v>555</v>
      </c>
      <c r="C67" s="203" t="s">
        <v>556</v>
      </c>
      <c r="D67" s="203" t="s">
        <v>70</v>
      </c>
      <c r="E67" s="203" t="s">
        <v>78</v>
      </c>
      <c r="F67" s="203" t="s">
        <v>78</v>
      </c>
      <c r="G67" s="203" t="s">
        <v>70</v>
      </c>
      <c r="H67" s="203" t="s">
        <v>72</v>
      </c>
      <c r="I67" s="203"/>
      <c r="J67" s="203" t="s">
        <v>72</v>
      </c>
      <c r="K67" s="203"/>
      <c r="L67" s="203" t="s">
        <v>249</v>
      </c>
      <c r="M67" s="203" t="s">
        <v>249</v>
      </c>
      <c r="N67" s="203"/>
      <c r="O67" s="203" t="s">
        <v>73</v>
      </c>
      <c r="P67" s="203" t="s">
        <v>74</v>
      </c>
      <c r="Q67" s="203" t="s">
        <v>75</v>
      </c>
      <c r="R67" s="203" t="s">
        <v>76</v>
      </c>
      <c r="S67" s="204">
        <v>45204</v>
      </c>
      <c r="T67" s="205">
        <v>45259</v>
      </c>
      <c r="U67" s="205">
        <f>VLOOKUP(Tabla46782[[#This Row],[Matricula]],BAJA2022202320242025!$B$3:$CR$245,95,FALSE)</f>
        <v>45259</v>
      </c>
      <c r="V67" s="206">
        <v>55</v>
      </c>
      <c r="W67" s="207">
        <v>2023</v>
      </c>
      <c r="X67" s="203" t="s">
        <v>77</v>
      </c>
      <c r="Y67" s="203" t="s">
        <v>78</v>
      </c>
      <c r="Z67" s="203" t="s">
        <v>359</v>
      </c>
      <c r="AA67" s="203" t="s">
        <v>461</v>
      </c>
      <c r="AB67" s="203" t="s">
        <v>102</v>
      </c>
      <c r="AC67" s="203" t="s">
        <v>103</v>
      </c>
      <c r="AD67" s="203" t="s">
        <v>104</v>
      </c>
      <c r="AE67" s="208">
        <v>12</v>
      </c>
      <c r="AF67" s="208" t="s">
        <v>557</v>
      </c>
      <c r="AG67" s="208" t="s">
        <v>79</v>
      </c>
      <c r="AH67" s="208" t="s">
        <v>106</v>
      </c>
      <c r="AI67" s="208" t="s">
        <v>87</v>
      </c>
      <c r="AJ67" s="208" t="s">
        <v>107</v>
      </c>
      <c r="AK67" s="205" t="s">
        <v>108</v>
      </c>
      <c r="AL67" s="204">
        <v>45133</v>
      </c>
      <c r="AM67" s="208">
        <v>0</v>
      </c>
      <c r="AN67" s="209" t="s">
        <v>102</v>
      </c>
      <c r="AO67" s="209">
        <v>4500370221</v>
      </c>
      <c r="AP67" s="209" t="s">
        <v>103</v>
      </c>
      <c r="AQ67" s="209"/>
      <c r="AR67" s="209" t="s">
        <v>72</v>
      </c>
      <c r="AS67" s="209" t="s">
        <v>109</v>
      </c>
      <c r="AT67" s="209" t="s">
        <v>558</v>
      </c>
      <c r="AU67" s="210">
        <v>5.0999999999999996</v>
      </c>
      <c r="AV67" s="211">
        <v>10</v>
      </c>
      <c r="AW67" s="212">
        <v>28.2</v>
      </c>
      <c r="AX67" s="213">
        <v>13073</v>
      </c>
      <c r="AY67" s="213">
        <v>2980.6440000000002</v>
      </c>
      <c r="AZ67" s="210" t="s">
        <v>70</v>
      </c>
      <c r="BA67" s="209" t="s">
        <v>93</v>
      </c>
      <c r="BB67" s="214" t="str">
        <f>+IF(Tabla46782[[#This Row],[TIPO VEHÍCULO]]=Tabla46782[[#This Row],[Columna2]], "IGUAL", "DISTINTO")</f>
        <v>IGUAL</v>
      </c>
      <c r="BC67" s="214" t="str">
        <f>+IF(Tabla46782[[#This Row],[Columna4]]=Tabla46782[[#This Row],[Combustible2]], "IGUAL", "DISTINTO")</f>
        <v>IGUAL</v>
      </c>
      <c r="BD67" s="215" cm="1">
        <f t="array" ref="BD67">IFERROR(INDEX('[1]Anexos FICHA TRA050'!$D$27:$D$44, MATCH(Tabla46782[[#This Row],[Columna5]]&amp;Tabla46782[[#This Row],[Columna4]], '[1]Anexos FICHA TRA050'!$E$27:$E$44&amp;'[1]Anexos FICHA TRA050'!$F$27:$F$44, 0)), "")</f>
        <v>6.99</v>
      </c>
      <c r="BE67" s="215">
        <f>IFERROR(INDEX('[1]Anexos FICHA TRA050'!$B$4:$B$7, MATCH(Tabla46782[[#This Row],[Columna4]], '[1]Anexos FICHA TRA050'!$C$4:$C$7, 0)), "")</f>
        <v>10</v>
      </c>
      <c r="BF67" s="215">
        <f>IFERROR(INDEX('[1]Anexos FICHA TRA050'!$C$14:$C$22, MATCH(Tabla46782[[#This Row],[Columna5]], '[1]Anexos FICHA TRA050'!$D$14:$D$22, 0)), "")</f>
        <v>17.920000000000002</v>
      </c>
      <c r="BG67" s="216">
        <f>IFERROR(INDEX('[1]Anexos FICHA TRA050'!$C$49:$C$54, MATCH(Tabla46782[[#This Row],[Columna5]], '[1]Anexos FICHA TRA050'!$D$49:$D$54, 0)), "")</f>
        <v>13073</v>
      </c>
      <c r="BH67" s="217">
        <f>+(((Tabla46782[[#This Row],[CVA2]]*Tabla46782[[#This Row],[f2]])-Tabla46782[[#This Row],[CVN2]])/100)*Tabla46782[[#This Row],[L2]]</f>
        <v>6795.3454000000002</v>
      </c>
      <c r="BI67" s="218"/>
      <c r="BJ67" s="218"/>
      <c r="BK67" s="218" t="str">
        <f>+IF(Tabla46782[[#This Row],[F3]]=Tabla46782[[#This Row],[f2]], "IGUAL", "DISTINTO")</f>
        <v>IGUAL</v>
      </c>
      <c r="BL67" s="218" t="str">
        <f>+IF(Tabla46782[[#This Row],[CVN]]=Tabla46782[[#This Row],[CVN2]], "IGUAL", "DISTINTO")</f>
        <v>DISTINTO</v>
      </c>
      <c r="BM67" s="219" t="str">
        <f>+IF(Tabla46782[[#This Row],[L]]=Tabla46782[[#This Row],[L2]], "IGUAL", "DISTINTO")</f>
        <v>IGUAL</v>
      </c>
    </row>
    <row r="68" spans="1:65" x14ac:dyDescent="0.25">
      <c r="A68">
        <v>65</v>
      </c>
      <c r="B68" s="202" t="s">
        <v>559</v>
      </c>
      <c r="C68" s="203" t="s">
        <v>560</v>
      </c>
      <c r="D68" s="203" t="s">
        <v>70</v>
      </c>
      <c r="E68" s="203" t="s">
        <v>78</v>
      </c>
      <c r="F68" s="203" t="s">
        <v>78</v>
      </c>
      <c r="G68" s="203" t="s">
        <v>70</v>
      </c>
      <c r="H68" s="203" t="s">
        <v>72</v>
      </c>
      <c r="I68" s="203"/>
      <c r="J68" s="203" t="s">
        <v>72</v>
      </c>
      <c r="K68" s="203"/>
      <c r="L68" s="203" t="s">
        <v>249</v>
      </c>
      <c r="M68" s="203" t="s">
        <v>249</v>
      </c>
      <c r="N68" s="203"/>
      <c r="O68" s="203" t="s">
        <v>73</v>
      </c>
      <c r="P68" s="203" t="s">
        <v>74</v>
      </c>
      <c r="Q68" s="203" t="s">
        <v>75</v>
      </c>
      <c r="R68" s="203" t="s">
        <v>76</v>
      </c>
      <c r="S68" s="204">
        <v>45203</v>
      </c>
      <c r="T68" s="205">
        <v>45250</v>
      </c>
      <c r="U68" s="205">
        <f>VLOOKUP(Tabla46782[[#This Row],[Matricula]],BAJA2022202320242025!$B$3:$CR$245,95,FALSE)</f>
        <v>45250</v>
      </c>
      <c r="V68" s="206">
        <v>47</v>
      </c>
      <c r="W68" s="207">
        <v>2023</v>
      </c>
      <c r="X68" s="203" t="s">
        <v>77</v>
      </c>
      <c r="Y68" s="203" t="s">
        <v>78</v>
      </c>
      <c r="Z68" s="203" t="s">
        <v>359</v>
      </c>
      <c r="AA68" s="203" t="s">
        <v>461</v>
      </c>
      <c r="AB68" s="203" t="s">
        <v>102</v>
      </c>
      <c r="AC68" s="203" t="s">
        <v>103</v>
      </c>
      <c r="AD68" s="203" t="s">
        <v>104</v>
      </c>
      <c r="AE68" s="208">
        <v>13</v>
      </c>
      <c r="AF68" s="208" t="s">
        <v>561</v>
      </c>
      <c r="AG68" s="208" t="s">
        <v>85</v>
      </c>
      <c r="AH68" s="208" t="s">
        <v>114</v>
      </c>
      <c r="AI68" s="208" t="s">
        <v>87</v>
      </c>
      <c r="AJ68" s="208" t="s">
        <v>562</v>
      </c>
      <c r="AK68" s="205" t="s">
        <v>108</v>
      </c>
      <c r="AL68" s="204">
        <v>44922</v>
      </c>
      <c r="AM68" s="208">
        <v>0</v>
      </c>
      <c r="AN68" s="209" t="s">
        <v>102</v>
      </c>
      <c r="AO68" s="209">
        <v>4500348266</v>
      </c>
      <c r="AP68" s="209" t="s">
        <v>103</v>
      </c>
      <c r="AQ68" s="209"/>
      <c r="AR68" s="209" t="s">
        <v>72</v>
      </c>
      <c r="AS68" s="209" t="s">
        <v>109</v>
      </c>
      <c r="AT68" s="209" t="s">
        <v>563</v>
      </c>
      <c r="AU68" s="210">
        <v>5.0999999999999996</v>
      </c>
      <c r="AV68" s="211">
        <v>10</v>
      </c>
      <c r="AW68" s="212">
        <v>17.3</v>
      </c>
      <c r="AX68" s="213">
        <v>13073</v>
      </c>
      <c r="AY68" s="213">
        <v>4405.6010000000006</v>
      </c>
      <c r="AZ68" s="210" t="s">
        <v>70</v>
      </c>
      <c r="BA68" s="209" t="s">
        <v>93</v>
      </c>
      <c r="BB68" s="214" t="str">
        <f>+IF(Tabla46782[[#This Row],[TIPO VEHÍCULO]]=Tabla46782[[#This Row],[Columna2]], "IGUAL", "DISTINTO")</f>
        <v>IGUAL</v>
      </c>
      <c r="BC68" s="214" t="str">
        <f>+IF(Tabla46782[[#This Row],[Columna4]]=Tabla46782[[#This Row],[Combustible2]], "IGUAL", "DISTINTO")</f>
        <v>IGUAL</v>
      </c>
      <c r="BD68" s="215" cm="1">
        <f t="array" ref="BD68">IFERROR(INDEX('[1]Anexos FICHA TRA050'!$D$27:$D$44, MATCH(Tabla46782[[#This Row],[Columna5]]&amp;Tabla46782[[#This Row],[Columna4]], '[1]Anexos FICHA TRA050'!$E$27:$E$44&amp;'[1]Anexos FICHA TRA050'!$F$27:$F$44, 0)), "")</f>
        <v>6.99</v>
      </c>
      <c r="BE68" s="215">
        <f>IFERROR(INDEX('[1]Anexos FICHA TRA050'!$B$4:$B$7, MATCH(Tabla46782[[#This Row],[Columna4]], '[1]Anexos FICHA TRA050'!$C$4:$C$7, 0)), "")</f>
        <v>10</v>
      </c>
      <c r="BF68" s="215">
        <f>IFERROR(INDEX('[1]Anexos FICHA TRA050'!$C$14:$C$22, MATCH(Tabla46782[[#This Row],[Columna5]], '[1]Anexos FICHA TRA050'!$D$14:$D$22, 0)), "")</f>
        <v>17.920000000000002</v>
      </c>
      <c r="BG68" s="216">
        <f>IFERROR(INDEX('[1]Anexos FICHA TRA050'!$C$49:$C$54, MATCH(Tabla46782[[#This Row],[Columna5]], '[1]Anexos FICHA TRA050'!$D$49:$D$54, 0)), "")</f>
        <v>13073</v>
      </c>
      <c r="BH68" s="217">
        <f>+(((Tabla46782[[#This Row],[CVA2]]*Tabla46782[[#This Row],[f2]])-Tabla46782[[#This Row],[CVN2]])/100)*Tabla46782[[#This Row],[L2]]</f>
        <v>6795.3454000000002</v>
      </c>
      <c r="BI68" s="218"/>
      <c r="BJ68" s="218"/>
      <c r="BK68" s="218" t="str">
        <f>+IF(Tabla46782[[#This Row],[F3]]=Tabla46782[[#This Row],[f2]], "IGUAL", "DISTINTO")</f>
        <v>IGUAL</v>
      </c>
      <c r="BL68" s="218" t="str">
        <f>+IF(Tabla46782[[#This Row],[CVN]]=Tabla46782[[#This Row],[CVN2]], "IGUAL", "DISTINTO")</f>
        <v>DISTINTO</v>
      </c>
      <c r="BM68" s="219" t="str">
        <f>+IF(Tabla46782[[#This Row],[L]]=Tabla46782[[#This Row],[L2]], "IGUAL", "DISTINTO")</f>
        <v>IGUAL</v>
      </c>
    </row>
    <row r="69" spans="1:65" x14ac:dyDescent="0.25">
      <c r="A69">
        <v>66</v>
      </c>
      <c r="B69" s="202" t="s">
        <v>564</v>
      </c>
      <c r="C69" s="203" t="s">
        <v>565</v>
      </c>
      <c r="D69" s="203" t="s">
        <v>70</v>
      </c>
      <c r="E69" s="203" t="s">
        <v>78</v>
      </c>
      <c r="F69" s="203" t="s">
        <v>78</v>
      </c>
      <c r="G69" s="203" t="s">
        <v>70</v>
      </c>
      <c r="H69" s="203" t="s">
        <v>72</v>
      </c>
      <c r="I69" s="203"/>
      <c r="J69" s="203"/>
      <c r="K69" s="203"/>
      <c r="L69" s="203" t="s">
        <v>249</v>
      </c>
      <c r="M69" s="203" t="s">
        <v>249</v>
      </c>
      <c r="N69" s="203"/>
      <c r="O69" s="203" t="s">
        <v>73</v>
      </c>
      <c r="P69" s="203" t="s">
        <v>74</v>
      </c>
      <c r="Q69" s="203" t="s">
        <v>75</v>
      </c>
      <c r="R69" s="203" t="s">
        <v>76</v>
      </c>
      <c r="S69" s="204">
        <v>45202</v>
      </c>
      <c r="T69" s="205">
        <v>45382</v>
      </c>
      <c r="U69" s="205">
        <f>VLOOKUP(Tabla46782[[#This Row],[Matricula]],BAJA2022202320242025!$B$3:$CR$245,95,FALSE)</f>
        <v>45281</v>
      </c>
      <c r="V69" s="206">
        <v>180</v>
      </c>
      <c r="W69" s="207">
        <v>2024</v>
      </c>
      <c r="X69" s="203" t="s">
        <v>77</v>
      </c>
      <c r="Y69" s="203" t="s">
        <v>78</v>
      </c>
      <c r="Z69" s="203" t="s">
        <v>359</v>
      </c>
      <c r="AA69" s="203" t="s">
        <v>461</v>
      </c>
      <c r="AB69" s="203" t="s">
        <v>102</v>
      </c>
      <c r="AC69" s="203" t="s">
        <v>103</v>
      </c>
      <c r="AD69" s="203" t="s">
        <v>104</v>
      </c>
      <c r="AE69" s="208">
        <v>14</v>
      </c>
      <c r="AF69" s="208" t="s">
        <v>566</v>
      </c>
      <c r="AG69" s="208" t="s">
        <v>85</v>
      </c>
      <c r="AH69" s="208" t="s">
        <v>114</v>
      </c>
      <c r="AI69" s="208" t="s">
        <v>87</v>
      </c>
      <c r="AJ69" s="208" t="s">
        <v>567</v>
      </c>
      <c r="AK69" s="205" t="s">
        <v>108</v>
      </c>
      <c r="AL69" s="204">
        <v>44922</v>
      </c>
      <c r="AM69" s="208">
        <v>-1</v>
      </c>
      <c r="AN69" s="209" t="s">
        <v>102</v>
      </c>
      <c r="AO69" s="209">
        <v>4500348764</v>
      </c>
      <c r="AP69" s="209" t="s">
        <v>103</v>
      </c>
      <c r="AQ69" s="209"/>
      <c r="AR69" s="209" t="s">
        <v>72</v>
      </c>
      <c r="AS69" s="209" t="s">
        <v>109</v>
      </c>
      <c r="AT69" s="209" t="s">
        <v>568</v>
      </c>
      <c r="AU69" s="210">
        <v>5.0999999999999996</v>
      </c>
      <c r="AV69" s="211">
        <v>10</v>
      </c>
      <c r="AW69" s="212">
        <v>17.3</v>
      </c>
      <c r="AX69" s="213">
        <v>13073</v>
      </c>
      <c r="AY69" s="213">
        <v>4405.6010000000006</v>
      </c>
      <c r="AZ69" s="210" t="s">
        <v>70</v>
      </c>
      <c r="BA69" s="209" t="s">
        <v>255</v>
      </c>
      <c r="BB69" s="214" t="str">
        <f>+IF(Tabla46782[[#This Row],[TIPO VEHÍCULO]]=Tabla46782[[#This Row],[Columna2]], "IGUAL", "DISTINTO")</f>
        <v>IGUAL</v>
      </c>
      <c r="BC69" s="214" t="str">
        <f>+IF(Tabla46782[[#This Row],[Columna4]]=Tabla46782[[#This Row],[Combustible2]], "IGUAL", "DISTINTO")</f>
        <v>IGUAL</v>
      </c>
      <c r="BD69" s="215" cm="1">
        <f t="array" ref="BD69">IFERROR(INDEX('[1]Anexos FICHA TRA050'!$D$27:$D$44, MATCH(Tabla46782[[#This Row],[Columna5]]&amp;Tabla46782[[#This Row],[Columna4]], '[1]Anexos FICHA TRA050'!$E$27:$E$44&amp;'[1]Anexos FICHA TRA050'!$F$27:$F$44, 0)), "")</f>
        <v>6.99</v>
      </c>
      <c r="BE69" s="215">
        <f>IFERROR(INDEX('[1]Anexos FICHA TRA050'!$B$4:$B$7, MATCH(Tabla46782[[#This Row],[Columna4]], '[1]Anexos FICHA TRA050'!$C$4:$C$7, 0)), "")</f>
        <v>10</v>
      </c>
      <c r="BF69" s="215">
        <f>IFERROR(INDEX('[1]Anexos FICHA TRA050'!$C$14:$C$22, MATCH(Tabla46782[[#This Row],[Columna5]], '[1]Anexos FICHA TRA050'!$D$14:$D$22, 0)), "")</f>
        <v>17.920000000000002</v>
      </c>
      <c r="BG69" s="216">
        <f>IFERROR(INDEX('[1]Anexos FICHA TRA050'!$C$49:$C$54, MATCH(Tabla46782[[#This Row],[Columna5]], '[1]Anexos FICHA TRA050'!$D$49:$D$54, 0)), "")</f>
        <v>13073</v>
      </c>
      <c r="BH69" s="217">
        <f>+(((Tabla46782[[#This Row],[CVA2]]*Tabla46782[[#This Row],[f2]])-Tabla46782[[#This Row],[CVN2]])/100)*Tabla46782[[#This Row],[L2]]</f>
        <v>6795.3454000000002</v>
      </c>
      <c r="BI69" s="218"/>
      <c r="BJ69" s="218"/>
      <c r="BK69" s="218" t="str">
        <f>+IF(Tabla46782[[#This Row],[F3]]=Tabla46782[[#This Row],[f2]], "IGUAL", "DISTINTO")</f>
        <v>IGUAL</v>
      </c>
      <c r="BL69" s="218" t="str">
        <f>+IF(Tabla46782[[#This Row],[CVN]]=Tabla46782[[#This Row],[CVN2]], "IGUAL", "DISTINTO")</f>
        <v>DISTINTO</v>
      </c>
      <c r="BM69" s="219" t="str">
        <f>+IF(Tabla46782[[#This Row],[L]]=Tabla46782[[#This Row],[L2]], "IGUAL", "DISTINTO")</f>
        <v>IGUAL</v>
      </c>
    </row>
    <row r="70" spans="1:65" x14ac:dyDescent="0.25">
      <c r="A70">
        <v>67</v>
      </c>
      <c r="B70" s="202" t="s">
        <v>569</v>
      </c>
      <c r="C70" s="203" t="s">
        <v>570</v>
      </c>
      <c r="D70" s="203" t="s">
        <v>70</v>
      </c>
      <c r="E70" s="203" t="s">
        <v>78</v>
      </c>
      <c r="F70" s="203" t="s">
        <v>78</v>
      </c>
      <c r="G70" s="203" t="s">
        <v>70</v>
      </c>
      <c r="H70" s="203" t="s">
        <v>72</v>
      </c>
      <c r="I70" s="203" t="s">
        <v>72</v>
      </c>
      <c r="J70" s="203" t="s">
        <v>72</v>
      </c>
      <c r="K70" s="203"/>
      <c r="L70" s="203" t="s">
        <v>249</v>
      </c>
      <c r="M70" s="203" t="s">
        <v>249</v>
      </c>
      <c r="N70" s="203"/>
      <c r="O70" s="203" t="s">
        <v>73</v>
      </c>
      <c r="P70" s="203" t="s">
        <v>74</v>
      </c>
      <c r="Q70" s="203" t="s">
        <v>75</v>
      </c>
      <c r="R70" s="203" t="s">
        <v>76</v>
      </c>
      <c r="S70" s="204">
        <v>45323</v>
      </c>
      <c r="T70" s="205">
        <v>45358</v>
      </c>
      <c r="U70" s="205">
        <f>VLOOKUP(Tabla46782[[#This Row],[Matricula]],BAJA2022202320242025!$B$3:$CR$245,95,FALSE)</f>
        <v>45358</v>
      </c>
      <c r="V70" s="206">
        <v>35</v>
      </c>
      <c r="W70" s="207">
        <v>2024</v>
      </c>
      <c r="X70" s="203" t="s">
        <v>77</v>
      </c>
      <c r="Y70" s="203" t="s">
        <v>78</v>
      </c>
      <c r="Z70" s="203" t="s">
        <v>359</v>
      </c>
      <c r="AA70" s="203" t="s">
        <v>571</v>
      </c>
      <c r="AB70" s="203" t="s">
        <v>102</v>
      </c>
      <c r="AC70" s="203" t="s">
        <v>103</v>
      </c>
      <c r="AD70" s="203" t="s">
        <v>572</v>
      </c>
      <c r="AE70" s="208">
        <v>15</v>
      </c>
      <c r="AF70" s="208" t="s">
        <v>573</v>
      </c>
      <c r="AG70" s="208" t="s">
        <v>85</v>
      </c>
      <c r="AH70" s="208" t="s">
        <v>114</v>
      </c>
      <c r="AI70" s="208" t="s">
        <v>87</v>
      </c>
      <c r="AJ70" s="208" t="s">
        <v>574</v>
      </c>
      <c r="AK70" s="205" t="s">
        <v>108</v>
      </c>
      <c r="AL70" s="204">
        <v>45135</v>
      </c>
      <c r="AM70" s="208">
        <v>-1</v>
      </c>
      <c r="AN70" s="209" t="s">
        <v>102</v>
      </c>
      <c r="AO70" s="209">
        <v>4500352342</v>
      </c>
      <c r="AP70" s="209" t="s">
        <v>103</v>
      </c>
      <c r="AQ70" s="209"/>
      <c r="AR70" s="209" t="s">
        <v>72</v>
      </c>
      <c r="AS70" s="209" t="s">
        <v>109</v>
      </c>
      <c r="AT70" s="209" t="s">
        <v>575</v>
      </c>
      <c r="AU70" s="210">
        <v>5.0999999999999996</v>
      </c>
      <c r="AV70" s="211">
        <v>10</v>
      </c>
      <c r="AW70" s="212">
        <v>17.3</v>
      </c>
      <c r="AX70" s="213">
        <v>13073</v>
      </c>
      <c r="AY70" s="213">
        <v>4405.6010000000006</v>
      </c>
      <c r="AZ70" s="210" t="s">
        <v>70</v>
      </c>
      <c r="BA70" s="209" t="s">
        <v>93</v>
      </c>
      <c r="BB70" s="214" t="str">
        <f>+IF(Tabla46782[[#This Row],[TIPO VEHÍCULO]]=Tabla46782[[#This Row],[Columna2]], "IGUAL", "DISTINTO")</f>
        <v>IGUAL</v>
      </c>
      <c r="BC70" s="214" t="str">
        <f>+IF(Tabla46782[[#This Row],[Columna4]]=Tabla46782[[#This Row],[Combustible2]], "IGUAL", "DISTINTO")</f>
        <v>IGUAL</v>
      </c>
      <c r="BD70" s="215" cm="1">
        <f t="array" ref="BD70">IFERROR(INDEX('[1]Anexos FICHA TRA050'!$D$27:$D$44, MATCH(Tabla46782[[#This Row],[Columna5]]&amp;Tabla46782[[#This Row],[Columna4]], '[1]Anexos FICHA TRA050'!$E$27:$E$44&amp;'[1]Anexos FICHA TRA050'!$F$27:$F$44, 0)), "")</f>
        <v>6.99</v>
      </c>
      <c r="BE70" s="215">
        <f>IFERROR(INDEX('[1]Anexos FICHA TRA050'!$B$4:$B$7, MATCH(Tabla46782[[#This Row],[Columna4]], '[1]Anexos FICHA TRA050'!$C$4:$C$7, 0)), "")</f>
        <v>10</v>
      </c>
      <c r="BF70" s="215">
        <f>IFERROR(INDEX('[1]Anexos FICHA TRA050'!$C$14:$C$22, MATCH(Tabla46782[[#This Row],[Columna5]], '[1]Anexos FICHA TRA050'!$D$14:$D$22, 0)), "")</f>
        <v>17.920000000000002</v>
      </c>
      <c r="BG70" s="216">
        <f>IFERROR(INDEX('[1]Anexos FICHA TRA050'!$C$49:$C$54, MATCH(Tabla46782[[#This Row],[Columna5]], '[1]Anexos FICHA TRA050'!$D$49:$D$54, 0)), "")</f>
        <v>13073</v>
      </c>
      <c r="BH70" s="217">
        <f>+(((Tabla46782[[#This Row],[CVA2]]*Tabla46782[[#This Row],[f2]])-Tabla46782[[#This Row],[CVN2]])/100)*Tabla46782[[#This Row],[L2]]</f>
        <v>6795.3454000000002</v>
      </c>
      <c r="BI70" s="218"/>
      <c r="BJ70" s="218"/>
      <c r="BK70" s="218" t="str">
        <f>+IF(Tabla46782[[#This Row],[F3]]=Tabla46782[[#This Row],[f2]], "IGUAL", "DISTINTO")</f>
        <v>IGUAL</v>
      </c>
      <c r="BL70" s="218" t="str">
        <f>+IF(Tabla46782[[#This Row],[CVN]]=Tabla46782[[#This Row],[CVN2]], "IGUAL", "DISTINTO")</f>
        <v>DISTINTO</v>
      </c>
      <c r="BM70" s="219" t="str">
        <f>+IF(Tabla46782[[#This Row],[L]]=Tabla46782[[#This Row],[L2]], "IGUAL", "DISTINTO")</f>
        <v>IGUAL</v>
      </c>
    </row>
    <row r="71" spans="1:65" x14ac:dyDescent="0.25">
      <c r="A71">
        <v>68</v>
      </c>
      <c r="B71" s="202" t="s">
        <v>576</v>
      </c>
      <c r="C71" s="203" t="s">
        <v>577</v>
      </c>
      <c r="D71" s="203" t="s">
        <v>128</v>
      </c>
      <c r="E71" s="203" t="s">
        <v>78</v>
      </c>
      <c r="F71" s="203" t="s">
        <v>78</v>
      </c>
      <c r="G71" s="203" t="s">
        <v>128</v>
      </c>
      <c r="H71" s="203" t="s">
        <v>72</v>
      </c>
      <c r="I71" s="203" t="s">
        <v>72</v>
      </c>
      <c r="J71" s="203" t="s">
        <v>72</v>
      </c>
      <c r="K71" s="203"/>
      <c r="L71" s="203" t="s">
        <v>72</v>
      </c>
      <c r="M71" s="203" t="s">
        <v>72</v>
      </c>
      <c r="N71" s="203"/>
      <c r="O71" s="203" t="s">
        <v>73</v>
      </c>
      <c r="P71" s="203" t="s">
        <v>200</v>
      </c>
      <c r="Q71" s="203" t="s">
        <v>201</v>
      </c>
      <c r="R71" s="203" t="s">
        <v>76</v>
      </c>
      <c r="S71" s="209">
        <v>42527</v>
      </c>
      <c r="T71" s="205">
        <v>45316</v>
      </c>
      <c r="U71" s="205">
        <f>VLOOKUP(Tabla46782[[#This Row],[Matricula]],BAJA2022202320242025!$B$3:$CR$245,95,FALSE)</f>
        <v>45330</v>
      </c>
      <c r="V71" s="206">
        <v>2789</v>
      </c>
      <c r="W71" s="207">
        <v>2024</v>
      </c>
      <c r="X71" s="203" t="s">
        <v>77</v>
      </c>
      <c r="Y71" s="203" t="s">
        <v>78</v>
      </c>
      <c r="Z71" s="203" t="s">
        <v>359</v>
      </c>
      <c r="AA71" s="203" t="s">
        <v>578</v>
      </c>
      <c r="AB71" s="203" t="s">
        <v>102</v>
      </c>
      <c r="AC71" s="203" t="s">
        <v>103</v>
      </c>
      <c r="AD71" s="203" t="s">
        <v>579</v>
      </c>
      <c r="AE71" s="208">
        <v>16</v>
      </c>
      <c r="AF71" s="208" t="s">
        <v>580</v>
      </c>
      <c r="AG71" s="208" t="s">
        <v>85</v>
      </c>
      <c r="AH71" s="208" t="s">
        <v>114</v>
      </c>
      <c r="AI71" s="208" t="s">
        <v>87</v>
      </c>
      <c r="AJ71" s="208" t="s">
        <v>457</v>
      </c>
      <c r="AK71" s="205" t="s">
        <v>108</v>
      </c>
      <c r="AL71" s="204">
        <v>45135</v>
      </c>
      <c r="AM71" s="208">
        <v>-1</v>
      </c>
      <c r="AN71" s="209" t="s">
        <v>102</v>
      </c>
      <c r="AO71" s="210">
        <v>4500370369</v>
      </c>
      <c r="AP71" s="209" t="s">
        <v>103</v>
      </c>
      <c r="AQ71" s="209"/>
      <c r="AR71" s="209" t="s">
        <v>72</v>
      </c>
      <c r="AS71" s="209" t="s">
        <v>109</v>
      </c>
      <c r="AT71" s="209" t="s">
        <v>581</v>
      </c>
      <c r="AU71" s="210">
        <v>5.6</v>
      </c>
      <c r="AV71" s="211">
        <v>10</v>
      </c>
      <c r="AW71" s="212">
        <v>17.3</v>
      </c>
      <c r="AX71" s="213">
        <v>15815</v>
      </c>
      <c r="AY71" s="213">
        <v>6120.4049999999997</v>
      </c>
      <c r="AZ71" s="210" t="s">
        <v>128</v>
      </c>
      <c r="BA71" s="209" t="s">
        <v>93</v>
      </c>
      <c r="BB71" s="214" t="str">
        <f>+IF(Tabla46782[[#This Row],[TIPO VEHÍCULO]]=Tabla46782[[#This Row],[Columna2]], "IGUAL", "DISTINTO")</f>
        <v>IGUAL</v>
      </c>
      <c r="BC71" s="214" t="str">
        <f>+IF(Tabla46782[[#This Row],[Columna4]]=Tabla46782[[#This Row],[Combustible2]], "IGUAL", "DISTINTO")</f>
        <v>IGUAL</v>
      </c>
      <c r="BD71" s="215" cm="1">
        <f t="array" ref="BD71">IFERROR(INDEX('[1]Anexos FICHA TRA050'!$D$27:$D$44, MATCH(Tabla46782[[#This Row],[Columna5]]&amp;Tabla46782[[#This Row],[Columna4]], '[1]Anexos FICHA TRA050'!$E$27:$E$44&amp;'[1]Anexos FICHA TRA050'!$F$27:$F$44, 0)), "")</f>
        <v>5.63</v>
      </c>
      <c r="BE71" s="215">
        <f>IFERROR(INDEX('[1]Anexos FICHA TRA050'!$B$4:$B$7, MATCH(Tabla46782[[#This Row],[Columna4]], '[1]Anexos FICHA TRA050'!$C$4:$C$7, 0)), "")</f>
        <v>10</v>
      </c>
      <c r="BF71" s="215">
        <f>IFERROR(INDEX('[1]Anexos FICHA TRA050'!$C$14:$C$22, MATCH(Tabla46782[[#This Row],[Columna5]], '[1]Anexos FICHA TRA050'!$D$14:$D$22, 0)), "")</f>
        <v>20.84</v>
      </c>
      <c r="BG71" s="216">
        <f>IFERROR(INDEX('[1]Anexos FICHA TRA050'!$C$49:$C$54, MATCH(Tabla46782[[#This Row],[Columna5]], '[1]Anexos FICHA TRA050'!$D$49:$D$54, 0)), "")</f>
        <v>15815</v>
      </c>
      <c r="BH71" s="217">
        <f>+(((Tabla46782[[#This Row],[CVA2]]*Tabla46782[[#This Row],[f2]])-Tabla46782[[#This Row],[CVN2]])/100)*Tabla46782[[#This Row],[L2]]</f>
        <v>5607.9989999999989</v>
      </c>
      <c r="BI71" s="218"/>
      <c r="BJ71" s="218"/>
      <c r="BK71" s="218" t="str">
        <f>+IF(Tabla46782[[#This Row],[F3]]=Tabla46782[[#This Row],[f2]], "IGUAL", "DISTINTO")</f>
        <v>IGUAL</v>
      </c>
      <c r="BL71" s="218" t="str">
        <f>+IF(Tabla46782[[#This Row],[CVN]]=Tabla46782[[#This Row],[CVN2]], "IGUAL", "DISTINTO")</f>
        <v>DISTINTO</v>
      </c>
      <c r="BM71" s="219" t="str">
        <f>+IF(Tabla46782[[#This Row],[L]]=Tabla46782[[#This Row],[L2]], "IGUAL", "DISTINTO")</f>
        <v>IGUAL</v>
      </c>
    </row>
    <row r="72" spans="1:65" x14ac:dyDescent="0.25">
      <c r="A72">
        <v>69</v>
      </c>
      <c r="B72" s="202" t="s">
        <v>582</v>
      </c>
      <c r="C72" s="203" t="s">
        <v>583</v>
      </c>
      <c r="D72" s="203" t="s">
        <v>128</v>
      </c>
      <c r="E72" s="203" t="s">
        <v>78</v>
      </c>
      <c r="F72" s="203" t="s">
        <v>78</v>
      </c>
      <c r="G72" s="203" t="s">
        <v>128</v>
      </c>
      <c r="H72" s="203" t="s">
        <v>72</v>
      </c>
      <c r="I72" s="203" t="s">
        <v>72</v>
      </c>
      <c r="J72" s="203" t="s">
        <v>72</v>
      </c>
      <c r="K72" s="203"/>
      <c r="L72" s="203" t="s">
        <v>72</v>
      </c>
      <c r="M72" s="203" t="s">
        <v>72</v>
      </c>
      <c r="N72" s="203"/>
      <c r="O72" s="203" t="s">
        <v>73</v>
      </c>
      <c r="P72" s="203" t="s">
        <v>200</v>
      </c>
      <c r="Q72" s="203" t="s">
        <v>201</v>
      </c>
      <c r="R72" s="203" t="s">
        <v>76</v>
      </c>
      <c r="S72" s="209">
        <v>42445</v>
      </c>
      <c r="T72" s="205">
        <v>45001</v>
      </c>
      <c r="U72" s="205">
        <f>VLOOKUP(Tabla46782[[#This Row],[Matricula]],BAJA2022202320242025!$B$3:$CR$245,95,FALSE)</f>
        <v>45223</v>
      </c>
      <c r="V72" s="206">
        <v>2556</v>
      </c>
      <c r="W72" s="207">
        <v>2023</v>
      </c>
      <c r="X72" s="203" t="s">
        <v>77</v>
      </c>
      <c r="Y72" s="203" t="s">
        <v>78</v>
      </c>
      <c r="Z72" s="203" t="s">
        <v>359</v>
      </c>
      <c r="AA72" s="203" t="s">
        <v>578</v>
      </c>
      <c r="AB72" s="203" t="s">
        <v>584</v>
      </c>
      <c r="AC72" s="203" t="s">
        <v>585</v>
      </c>
      <c r="AD72" s="203" t="s">
        <v>586</v>
      </c>
      <c r="AE72" s="208">
        <v>4</v>
      </c>
      <c r="AF72" s="208" t="s">
        <v>587</v>
      </c>
      <c r="AG72" s="208" t="s">
        <v>85</v>
      </c>
      <c r="AH72" s="208" t="s">
        <v>86</v>
      </c>
      <c r="AI72" s="208" t="s">
        <v>87</v>
      </c>
      <c r="AJ72" s="208" t="s">
        <v>588</v>
      </c>
      <c r="AK72" s="205" t="s">
        <v>89</v>
      </c>
      <c r="AL72" s="204">
        <v>45649</v>
      </c>
      <c r="AM72" s="208">
        <v>1</v>
      </c>
      <c r="AN72" s="209" t="s">
        <v>584</v>
      </c>
      <c r="AO72" s="209" t="s">
        <v>589</v>
      </c>
      <c r="AP72" s="209" t="s">
        <v>585</v>
      </c>
      <c r="AQ72" s="209"/>
      <c r="AR72" s="209" t="s">
        <v>72</v>
      </c>
      <c r="AS72" s="209" t="s">
        <v>91</v>
      </c>
      <c r="AT72" s="209" t="s">
        <v>590</v>
      </c>
      <c r="AU72" s="210">
        <v>5.6</v>
      </c>
      <c r="AV72" s="211">
        <v>10</v>
      </c>
      <c r="AW72" s="212">
        <v>17.3</v>
      </c>
      <c r="AX72" s="213">
        <v>15815</v>
      </c>
      <c r="AY72" s="213">
        <v>6120.4049999999997</v>
      </c>
      <c r="AZ72" s="210" t="s">
        <v>128</v>
      </c>
      <c r="BA72" s="209" t="s">
        <v>93</v>
      </c>
      <c r="BB72" s="214" t="str">
        <f>+IF(Tabla46782[[#This Row],[TIPO VEHÍCULO]]=Tabla46782[[#This Row],[Columna2]], "IGUAL", "DISTINTO")</f>
        <v>IGUAL</v>
      </c>
      <c r="BC72" s="214" t="str">
        <f>+IF(Tabla46782[[#This Row],[Columna4]]=Tabla46782[[#This Row],[Combustible2]], "IGUAL", "DISTINTO")</f>
        <v>IGUAL</v>
      </c>
      <c r="BD72" s="215" cm="1">
        <f t="array" ref="BD72">IFERROR(INDEX('[1]Anexos FICHA TRA050'!$D$27:$D$44, MATCH(Tabla46782[[#This Row],[Columna5]]&amp;Tabla46782[[#This Row],[Columna4]], '[1]Anexos FICHA TRA050'!$E$27:$E$44&amp;'[1]Anexos FICHA TRA050'!$F$27:$F$44, 0)), "")</f>
        <v>5.63</v>
      </c>
      <c r="BE72" s="215">
        <f>IFERROR(INDEX('[1]Anexos FICHA TRA050'!$B$4:$B$7, MATCH(Tabla46782[[#This Row],[Columna4]], '[1]Anexos FICHA TRA050'!$C$4:$C$7, 0)), "")</f>
        <v>10</v>
      </c>
      <c r="BF72" s="215">
        <f>IFERROR(INDEX('[1]Anexos FICHA TRA050'!$C$14:$C$22, MATCH(Tabla46782[[#This Row],[Columna5]], '[1]Anexos FICHA TRA050'!$D$14:$D$22, 0)), "")</f>
        <v>20.84</v>
      </c>
      <c r="BG72" s="216">
        <f>IFERROR(INDEX('[1]Anexos FICHA TRA050'!$C$49:$C$54, MATCH(Tabla46782[[#This Row],[Columna5]], '[1]Anexos FICHA TRA050'!$D$49:$D$54, 0)), "")</f>
        <v>15815</v>
      </c>
      <c r="BH72" s="217">
        <f>+(((Tabla46782[[#This Row],[CVA2]]*Tabla46782[[#This Row],[f2]])-Tabla46782[[#This Row],[CVN2]])/100)*Tabla46782[[#This Row],[L2]]</f>
        <v>5607.9989999999989</v>
      </c>
      <c r="BI72" s="218"/>
      <c r="BJ72" s="218"/>
      <c r="BK72" s="218" t="str">
        <f>+IF(Tabla46782[[#This Row],[F3]]=Tabla46782[[#This Row],[f2]], "IGUAL", "DISTINTO")</f>
        <v>IGUAL</v>
      </c>
      <c r="BL72" s="218" t="str">
        <f>+IF(Tabla46782[[#This Row],[CVN]]=Tabla46782[[#This Row],[CVN2]], "IGUAL", "DISTINTO")</f>
        <v>DISTINTO</v>
      </c>
      <c r="BM72" s="219" t="str">
        <f>+IF(Tabla46782[[#This Row],[L]]=Tabla46782[[#This Row],[L2]], "IGUAL", "DISTINTO")</f>
        <v>IGUAL</v>
      </c>
    </row>
    <row r="73" spans="1:65" x14ac:dyDescent="0.25">
      <c r="A73">
        <v>70</v>
      </c>
      <c r="B73" s="202" t="s">
        <v>591</v>
      </c>
      <c r="C73" s="203" t="s">
        <v>592</v>
      </c>
      <c r="D73" s="203" t="s">
        <v>128</v>
      </c>
      <c r="E73" s="203" t="s">
        <v>78</v>
      </c>
      <c r="F73" s="203" t="s">
        <v>78</v>
      </c>
      <c r="G73" s="203" t="s">
        <v>128</v>
      </c>
      <c r="H73" s="203" t="s">
        <v>72</v>
      </c>
      <c r="I73" s="203" t="s">
        <v>72</v>
      </c>
      <c r="J73" s="203" t="s">
        <v>72</v>
      </c>
      <c r="K73" s="203"/>
      <c r="L73" s="203" t="s">
        <v>249</v>
      </c>
      <c r="M73" s="203" t="s">
        <v>249</v>
      </c>
      <c r="N73" s="203"/>
      <c r="O73" s="203" t="s">
        <v>73</v>
      </c>
      <c r="P73" s="203" t="s">
        <v>200</v>
      </c>
      <c r="Q73" s="203" t="s">
        <v>201</v>
      </c>
      <c r="R73" s="203" t="s">
        <v>76</v>
      </c>
      <c r="S73" s="209">
        <v>43415</v>
      </c>
      <c r="T73" s="205">
        <v>45356</v>
      </c>
      <c r="U73" s="205">
        <f>VLOOKUP(Tabla46782[[#This Row],[Matricula]],BAJA2022202320242025!$B$3:$CR$245,95,FALSE)</f>
        <v>45356</v>
      </c>
      <c r="V73" s="206">
        <v>1941</v>
      </c>
      <c r="W73" s="207">
        <v>2024</v>
      </c>
      <c r="X73" s="203" t="s">
        <v>77</v>
      </c>
      <c r="Y73" s="203" t="s">
        <v>78</v>
      </c>
      <c r="Z73" s="203" t="s">
        <v>359</v>
      </c>
      <c r="AA73" s="203" t="s">
        <v>593</v>
      </c>
      <c r="AB73" s="203" t="s">
        <v>102</v>
      </c>
      <c r="AC73" s="203" t="s">
        <v>103</v>
      </c>
      <c r="AD73" s="203" t="s">
        <v>594</v>
      </c>
      <c r="AE73" s="208">
        <v>17</v>
      </c>
      <c r="AF73" s="208" t="s">
        <v>595</v>
      </c>
      <c r="AG73" s="208" t="s">
        <v>85</v>
      </c>
      <c r="AH73" s="208" t="s">
        <v>114</v>
      </c>
      <c r="AI73" s="208" t="s">
        <v>87</v>
      </c>
      <c r="AJ73" s="208" t="s">
        <v>562</v>
      </c>
      <c r="AK73" s="205" t="s">
        <v>108</v>
      </c>
      <c r="AL73" s="204">
        <v>44922</v>
      </c>
      <c r="AM73" s="208">
        <v>-1</v>
      </c>
      <c r="AN73" s="209" t="s">
        <v>102</v>
      </c>
      <c r="AO73" s="210">
        <v>4500348261</v>
      </c>
      <c r="AP73" s="209" t="s">
        <v>103</v>
      </c>
      <c r="AQ73" s="209"/>
      <c r="AR73" s="209" t="s">
        <v>72</v>
      </c>
      <c r="AS73" s="209" t="s">
        <v>109</v>
      </c>
      <c r="AT73" s="209" t="s">
        <v>596</v>
      </c>
      <c r="AU73" s="210">
        <v>5.6</v>
      </c>
      <c r="AV73" s="211">
        <v>10</v>
      </c>
      <c r="AW73" s="212">
        <v>17.3</v>
      </c>
      <c r="AX73" s="213">
        <v>15815</v>
      </c>
      <c r="AY73" s="213">
        <v>6120.4049999999997</v>
      </c>
      <c r="AZ73" s="210" t="s">
        <v>128</v>
      </c>
      <c r="BA73" s="209" t="s">
        <v>93</v>
      </c>
      <c r="BB73" s="214" t="str">
        <f>+IF(Tabla46782[[#This Row],[TIPO VEHÍCULO]]=Tabla46782[[#This Row],[Columna2]], "IGUAL", "DISTINTO")</f>
        <v>IGUAL</v>
      </c>
      <c r="BC73" s="214" t="str">
        <f>+IF(Tabla46782[[#This Row],[Columna4]]=Tabla46782[[#This Row],[Combustible2]], "IGUAL", "DISTINTO")</f>
        <v>IGUAL</v>
      </c>
      <c r="BD73" s="215" cm="1">
        <f t="array" ref="BD73">IFERROR(INDEX('[1]Anexos FICHA TRA050'!$D$27:$D$44, MATCH(Tabla46782[[#This Row],[Columna5]]&amp;Tabla46782[[#This Row],[Columna4]], '[1]Anexos FICHA TRA050'!$E$27:$E$44&amp;'[1]Anexos FICHA TRA050'!$F$27:$F$44, 0)), "")</f>
        <v>5.63</v>
      </c>
      <c r="BE73" s="215">
        <f>IFERROR(INDEX('[1]Anexos FICHA TRA050'!$B$4:$B$7, MATCH(Tabla46782[[#This Row],[Columna4]], '[1]Anexos FICHA TRA050'!$C$4:$C$7, 0)), "")</f>
        <v>10</v>
      </c>
      <c r="BF73" s="215">
        <f>IFERROR(INDEX('[1]Anexos FICHA TRA050'!$C$14:$C$22, MATCH(Tabla46782[[#This Row],[Columna5]], '[1]Anexos FICHA TRA050'!$D$14:$D$22, 0)), "")</f>
        <v>20.84</v>
      </c>
      <c r="BG73" s="216">
        <f>IFERROR(INDEX('[1]Anexos FICHA TRA050'!$C$49:$C$54, MATCH(Tabla46782[[#This Row],[Columna5]], '[1]Anexos FICHA TRA050'!$D$49:$D$54, 0)), "")</f>
        <v>15815</v>
      </c>
      <c r="BH73" s="217">
        <f>+(((Tabla46782[[#This Row],[CVA2]]*Tabla46782[[#This Row],[f2]])-Tabla46782[[#This Row],[CVN2]])/100)*Tabla46782[[#This Row],[L2]]</f>
        <v>5607.9989999999989</v>
      </c>
      <c r="BI73" s="218"/>
      <c r="BJ73" s="218"/>
      <c r="BK73" s="218" t="str">
        <f>+IF(Tabla46782[[#This Row],[F3]]=Tabla46782[[#This Row],[f2]], "IGUAL", "DISTINTO")</f>
        <v>IGUAL</v>
      </c>
      <c r="BL73" s="218" t="str">
        <f>+IF(Tabla46782[[#This Row],[CVN]]=Tabla46782[[#This Row],[CVN2]], "IGUAL", "DISTINTO")</f>
        <v>DISTINTO</v>
      </c>
      <c r="BM73" s="219" t="str">
        <f>+IF(Tabla46782[[#This Row],[L]]=Tabla46782[[#This Row],[L2]], "IGUAL", "DISTINTO")</f>
        <v>IGUAL</v>
      </c>
    </row>
    <row r="74" spans="1:65" x14ac:dyDescent="0.25">
      <c r="A74">
        <v>71</v>
      </c>
      <c r="B74" s="202" t="s">
        <v>597</v>
      </c>
      <c r="C74" s="203" t="s">
        <v>598</v>
      </c>
      <c r="D74" s="203" t="s">
        <v>128</v>
      </c>
      <c r="E74" s="203" t="s">
        <v>78</v>
      </c>
      <c r="F74" s="203" t="s">
        <v>78</v>
      </c>
      <c r="G74" s="203" t="s">
        <v>128</v>
      </c>
      <c r="H74" s="203" t="s">
        <v>72</v>
      </c>
      <c r="I74" s="203" t="s">
        <v>72</v>
      </c>
      <c r="J74" s="203" t="s">
        <v>72</v>
      </c>
      <c r="K74" s="203"/>
      <c r="L74" s="203" t="s">
        <v>249</v>
      </c>
      <c r="M74" s="203" t="s">
        <v>249</v>
      </c>
      <c r="N74" s="203"/>
      <c r="O74" s="203" t="s">
        <v>73</v>
      </c>
      <c r="P74" s="203" t="s">
        <v>200</v>
      </c>
      <c r="Q74" s="203" t="s">
        <v>201</v>
      </c>
      <c r="R74" s="203" t="s">
        <v>76</v>
      </c>
      <c r="S74" s="209">
        <v>43355</v>
      </c>
      <c r="T74" s="205">
        <v>45181</v>
      </c>
      <c r="U74" s="205">
        <f>VLOOKUP(Tabla46782[[#This Row],[Matricula]],BAJA2022202320242025!$B$3:$CR$245,95,FALSE)</f>
        <v>45225</v>
      </c>
      <c r="V74" s="206">
        <v>1826</v>
      </c>
      <c r="W74" s="207">
        <v>2023</v>
      </c>
      <c r="X74" s="203" t="s">
        <v>77</v>
      </c>
      <c r="Y74" s="203" t="s">
        <v>78</v>
      </c>
      <c r="Z74" s="203" t="s">
        <v>359</v>
      </c>
      <c r="AA74" s="203" t="s">
        <v>593</v>
      </c>
      <c r="AB74" s="203" t="s">
        <v>102</v>
      </c>
      <c r="AC74" s="203" t="s">
        <v>103</v>
      </c>
      <c r="AD74" s="203" t="s">
        <v>599</v>
      </c>
      <c r="AE74" s="208">
        <v>18</v>
      </c>
      <c r="AF74" s="208" t="s">
        <v>600</v>
      </c>
      <c r="AG74" s="208" t="s">
        <v>85</v>
      </c>
      <c r="AH74" s="208" t="s">
        <v>340</v>
      </c>
      <c r="AI74" s="208" t="s">
        <v>87</v>
      </c>
      <c r="AJ74" s="208" t="s">
        <v>567</v>
      </c>
      <c r="AK74" s="205" t="s">
        <v>108</v>
      </c>
      <c r="AL74" s="204">
        <v>43019</v>
      </c>
      <c r="AM74" s="208">
        <v>0</v>
      </c>
      <c r="AN74" s="209" t="s">
        <v>102</v>
      </c>
      <c r="AO74" s="210">
        <v>4500352582</v>
      </c>
      <c r="AP74" s="209" t="s">
        <v>103</v>
      </c>
      <c r="AQ74" s="209"/>
      <c r="AR74" s="209" t="s">
        <v>72</v>
      </c>
      <c r="AS74" s="209" t="s">
        <v>109</v>
      </c>
      <c r="AT74" s="209" t="s">
        <v>601</v>
      </c>
      <c r="AU74" s="210">
        <v>5.6</v>
      </c>
      <c r="AV74" s="211">
        <v>10</v>
      </c>
      <c r="AW74" s="212">
        <v>13.3</v>
      </c>
      <c r="AX74" s="213">
        <v>15815</v>
      </c>
      <c r="AY74" s="213">
        <v>6753.005000000001</v>
      </c>
      <c r="AZ74" s="210" t="s">
        <v>128</v>
      </c>
      <c r="BA74" s="209" t="s">
        <v>93</v>
      </c>
      <c r="BB74" s="214" t="str">
        <f>+IF(Tabla46782[[#This Row],[TIPO VEHÍCULO]]=Tabla46782[[#This Row],[Columna2]], "IGUAL", "DISTINTO")</f>
        <v>IGUAL</v>
      </c>
      <c r="BC74" s="214" t="str">
        <f>+IF(Tabla46782[[#This Row],[Columna4]]=Tabla46782[[#This Row],[Combustible2]], "IGUAL", "DISTINTO")</f>
        <v>IGUAL</v>
      </c>
      <c r="BD74" s="215" cm="1">
        <f t="array" ref="BD74">IFERROR(INDEX('[1]Anexos FICHA TRA050'!$D$27:$D$44, MATCH(Tabla46782[[#This Row],[Columna5]]&amp;Tabla46782[[#This Row],[Columna4]], '[1]Anexos FICHA TRA050'!$E$27:$E$44&amp;'[1]Anexos FICHA TRA050'!$F$27:$F$44, 0)), "")</f>
        <v>5.63</v>
      </c>
      <c r="BE74" s="215">
        <f>IFERROR(INDEX('[1]Anexos FICHA TRA050'!$B$4:$B$7, MATCH(Tabla46782[[#This Row],[Columna4]], '[1]Anexos FICHA TRA050'!$C$4:$C$7, 0)), "")</f>
        <v>10</v>
      </c>
      <c r="BF74" s="215">
        <f>IFERROR(INDEX('[1]Anexos FICHA TRA050'!$C$14:$C$22, MATCH(Tabla46782[[#This Row],[Columna5]], '[1]Anexos FICHA TRA050'!$D$14:$D$22, 0)), "")</f>
        <v>20.84</v>
      </c>
      <c r="BG74" s="216">
        <f>IFERROR(INDEX('[1]Anexos FICHA TRA050'!$C$49:$C$54, MATCH(Tabla46782[[#This Row],[Columna5]], '[1]Anexos FICHA TRA050'!$D$49:$D$54, 0)), "")</f>
        <v>15815</v>
      </c>
      <c r="BH74" s="217">
        <f>+(((Tabla46782[[#This Row],[CVA2]]*Tabla46782[[#This Row],[f2]])-Tabla46782[[#This Row],[CVN2]])/100)*Tabla46782[[#This Row],[L2]]</f>
        <v>5607.9989999999989</v>
      </c>
      <c r="BI74" s="218"/>
      <c r="BJ74" s="218"/>
      <c r="BK74" s="218" t="str">
        <f>+IF(Tabla46782[[#This Row],[F3]]=Tabla46782[[#This Row],[f2]], "IGUAL", "DISTINTO")</f>
        <v>IGUAL</v>
      </c>
      <c r="BL74" s="218" t="str">
        <f>+IF(Tabla46782[[#This Row],[CVN]]=Tabla46782[[#This Row],[CVN2]], "IGUAL", "DISTINTO")</f>
        <v>DISTINTO</v>
      </c>
      <c r="BM74" s="219" t="str">
        <f>+IF(Tabla46782[[#This Row],[L]]=Tabla46782[[#This Row],[L2]], "IGUAL", "DISTINTO")</f>
        <v>IGUAL</v>
      </c>
    </row>
    <row r="75" spans="1:65" x14ac:dyDescent="0.25">
      <c r="A75">
        <v>72</v>
      </c>
      <c r="B75" s="202" t="s">
        <v>602</v>
      </c>
      <c r="C75" s="203" t="s">
        <v>603</v>
      </c>
      <c r="D75" s="203" t="s">
        <v>70</v>
      </c>
      <c r="E75" s="203" t="s">
        <v>78</v>
      </c>
      <c r="F75" s="203" t="s">
        <v>78</v>
      </c>
      <c r="G75" s="203" t="s">
        <v>70</v>
      </c>
      <c r="H75" s="203" t="s">
        <v>72</v>
      </c>
      <c r="I75" s="203" t="s">
        <v>72</v>
      </c>
      <c r="J75" s="203" t="s">
        <v>72</v>
      </c>
      <c r="K75" s="203"/>
      <c r="L75" s="203" t="s">
        <v>72</v>
      </c>
      <c r="M75" s="203" t="s">
        <v>72</v>
      </c>
      <c r="N75" s="203"/>
      <c r="O75" s="203" t="s">
        <v>73</v>
      </c>
      <c r="P75" s="203" t="s">
        <v>200</v>
      </c>
      <c r="Q75" s="203" t="s">
        <v>201</v>
      </c>
      <c r="R75" s="203" t="s">
        <v>76</v>
      </c>
      <c r="S75" s="209">
        <v>43172</v>
      </c>
      <c r="T75" s="205">
        <v>44998</v>
      </c>
      <c r="U75" s="205">
        <f>VLOOKUP(Tabla46782[[#This Row],[Matricula]],BAJA2022202320242025!$B$3:$CR$245,95,FALSE)</f>
        <v>44964</v>
      </c>
      <c r="V75" s="206">
        <v>1826</v>
      </c>
      <c r="W75" s="207">
        <v>2023</v>
      </c>
      <c r="X75" s="203" t="s">
        <v>77</v>
      </c>
      <c r="Y75" s="203" t="s">
        <v>78</v>
      </c>
      <c r="Z75" s="203" t="s">
        <v>359</v>
      </c>
      <c r="AA75" s="203" t="s">
        <v>604</v>
      </c>
      <c r="AB75" s="203" t="s">
        <v>204</v>
      </c>
      <c r="AC75" s="203" t="s">
        <v>205</v>
      </c>
      <c r="AD75" s="203" t="s">
        <v>230</v>
      </c>
      <c r="AE75" s="208">
        <v>6</v>
      </c>
      <c r="AF75" s="208" t="s">
        <v>605</v>
      </c>
      <c r="AG75" s="208" t="s">
        <v>140</v>
      </c>
      <c r="AH75" s="208" t="s">
        <v>151</v>
      </c>
      <c r="AI75" s="208" t="s">
        <v>87</v>
      </c>
      <c r="AJ75" s="208" t="s">
        <v>208</v>
      </c>
      <c r="AK75" s="205" t="s">
        <v>89</v>
      </c>
      <c r="AL75" s="204">
        <v>45637</v>
      </c>
      <c r="AM75" s="208">
        <v>1</v>
      </c>
      <c r="AN75" s="209" t="s">
        <v>204</v>
      </c>
      <c r="AO75" s="209" t="s">
        <v>606</v>
      </c>
      <c r="AP75" s="209" t="s">
        <v>205</v>
      </c>
      <c r="AQ75" s="209"/>
      <c r="AR75" s="209" t="s">
        <v>72</v>
      </c>
      <c r="AS75" s="209" t="s">
        <v>91</v>
      </c>
      <c r="AT75" s="209" t="s">
        <v>607</v>
      </c>
      <c r="AU75" s="210">
        <v>5.0999999999999996</v>
      </c>
      <c r="AV75" s="211">
        <v>10</v>
      </c>
      <c r="AW75" s="212">
        <v>16.399999999999999</v>
      </c>
      <c r="AX75" s="213">
        <v>13073</v>
      </c>
      <c r="AY75" s="213">
        <v>4523.2580000000007</v>
      </c>
      <c r="AZ75" s="210" t="s">
        <v>70</v>
      </c>
      <c r="BA75" s="209" t="s">
        <v>93</v>
      </c>
      <c r="BB75" s="214" t="str">
        <f>+IF(Tabla46782[[#This Row],[TIPO VEHÍCULO]]=Tabla46782[[#This Row],[Columna2]], "IGUAL", "DISTINTO")</f>
        <v>IGUAL</v>
      </c>
      <c r="BC75" s="214" t="str">
        <f>+IF(Tabla46782[[#This Row],[Columna4]]=Tabla46782[[#This Row],[Combustible2]], "IGUAL", "DISTINTO")</f>
        <v>IGUAL</v>
      </c>
      <c r="BD75" s="215" cm="1">
        <f t="array" ref="BD75">IFERROR(INDEX('[1]Anexos FICHA TRA050'!$D$27:$D$44, MATCH(Tabla46782[[#This Row],[Columna5]]&amp;Tabla46782[[#This Row],[Columna4]], '[1]Anexos FICHA TRA050'!$E$27:$E$44&amp;'[1]Anexos FICHA TRA050'!$F$27:$F$44, 0)), "")</f>
        <v>6.99</v>
      </c>
      <c r="BE75" s="215">
        <f>IFERROR(INDEX('[1]Anexos FICHA TRA050'!$B$4:$B$7, MATCH(Tabla46782[[#This Row],[Columna4]], '[1]Anexos FICHA TRA050'!$C$4:$C$7, 0)), "")</f>
        <v>10</v>
      </c>
      <c r="BF75" s="215">
        <f>IFERROR(INDEX('[1]Anexos FICHA TRA050'!$C$14:$C$22, MATCH(Tabla46782[[#This Row],[Columna5]], '[1]Anexos FICHA TRA050'!$D$14:$D$22, 0)), "")</f>
        <v>17.920000000000002</v>
      </c>
      <c r="BG75" s="216">
        <f>IFERROR(INDEX('[1]Anexos FICHA TRA050'!$C$49:$C$54, MATCH(Tabla46782[[#This Row],[Columna5]], '[1]Anexos FICHA TRA050'!$D$49:$D$54, 0)), "")</f>
        <v>13073</v>
      </c>
      <c r="BH75" s="217">
        <f>+(((Tabla46782[[#This Row],[CVA2]]*Tabla46782[[#This Row],[f2]])-Tabla46782[[#This Row],[CVN2]])/100)*Tabla46782[[#This Row],[L2]]</f>
        <v>6795.3454000000002</v>
      </c>
      <c r="BI75" s="218"/>
      <c r="BJ75" s="218"/>
      <c r="BK75" s="218" t="str">
        <f>+IF(Tabla46782[[#This Row],[F3]]=Tabla46782[[#This Row],[f2]], "IGUAL", "DISTINTO")</f>
        <v>IGUAL</v>
      </c>
      <c r="BL75" s="218" t="str">
        <f>+IF(Tabla46782[[#This Row],[CVN]]=Tabla46782[[#This Row],[CVN2]], "IGUAL", "DISTINTO")</f>
        <v>DISTINTO</v>
      </c>
      <c r="BM75" s="219" t="str">
        <f>+IF(Tabla46782[[#This Row],[L]]=Tabla46782[[#This Row],[L2]], "IGUAL", "DISTINTO")</f>
        <v>IGUAL</v>
      </c>
    </row>
    <row r="76" spans="1:65" x14ac:dyDescent="0.25">
      <c r="A76">
        <v>73</v>
      </c>
      <c r="B76" s="202" t="s">
        <v>608</v>
      </c>
      <c r="C76" s="203" t="s">
        <v>609</v>
      </c>
      <c r="D76" s="203" t="s">
        <v>70</v>
      </c>
      <c r="E76" s="203" t="s">
        <v>78</v>
      </c>
      <c r="F76" s="203" t="s">
        <v>78</v>
      </c>
      <c r="G76" s="203" t="s">
        <v>70</v>
      </c>
      <c r="H76" s="203" t="s">
        <v>72</v>
      </c>
      <c r="I76" s="203" t="s">
        <v>72</v>
      </c>
      <c r="J76" s="203" t="s">
        <v>72</v>
      </c>
      <c r="K76" s="203"/>
      <c r="L76" s="203" t="s">
        <v>72</v>
      </c>
      <c r="M76" s="203" t="s">
        <v>72</v>
      </c>
      <c r="N76" s="203"/>
      <c r="O76" s="203" t="s">
        <v>73</v>
      </c>
      <c r="P76" s="203" t="s">
        <v>200</v>
      </c>
      <c r="Q76" s="203" t="s">
        <v>201</v>
      </c>
      <c r="R76" s="203" t="s">
        <v>76</v>
      </c>
      <c r="S76" s="209">
        <v>43213</v>
      </c>
      <c r="T76" s="205">
        <v>45039</v>
      </c>
      <c r="U76" s="205">
        <f>VLOOKUP(Tabla46782[[#This Row],[Matricula]],BAJA2022202320242025!$B$3:$CR$245,95,FALSE)</f>
        <v>44964</v>
      </c>
      <c r="V76" s="206">
        <v>1826</v>
      </c>
      <c r="W76" s="207">
        <v>2023</v>
      </c>
      <c r="X76" s="203" t="s">
        <v>77</v>
      </c>
      <c r="Y76" s="203" t="s">
        <v>78</v>
      </c>
      <c r="Z76" s="203" t="s">
        <v>359</v>
      </c>
      <c r="AA76" s="203" t="s">
        <v>604</v>
      </c>
      <c r="AB76" s="203" t="s">
        <v>131</v>
      </c>
      <c r="AC76" s="203" t="s">
        <v>132</v>
      </c>
      <c r="AD76" s="203" t="s">
        <v>610</v>
      </c>
      <c r="AE76" s="208">
        <v>6</v>
      </c>
      <c r="AF76" s="208" t="s">
        <v>611</v>
      </c>
      <c r="AG76" s="208" t="s">
        <v>140</v>
      </c>
      <c r="AH76" s="208" t="s">
        <v>151</v>
      </c>
      <c r="AI76" s="208" t="s">
        <v>87</v>
      </c>
      <c r="AJ76" s="208" t="s">
        <v>316</v>
      </c>
      <c r="AK76" s="205" t="s">
        <v>89</v>
      </c>
      <c r="AL76" s="204">
        <v>45625</v>
      </c>
      <c r="AM76" s="208">
        <v>1</v>
      </c>
      <c r="AN76" s="209" t="s">
        <v>131</v>
      </c>
      <c r="AO76" s="209" t="s">
        <v>612</v>
      </c>
      <c r="AP76" s="209" t="s">
        <v>132</v>
      </c>
      <c r="AQ76" s="209"/>
      <c r="AR76" s="209" t="s">
        <v>72</v>
      </c>
      <c r="AS76" s="209" t="s">
        <v>91</v>
      </c>
      <c r="AT76" s="209" t="s">
        <v>613</v>
      </c>
      <c r="AU76" s="210">
        <v>5.0999999999999996</v>
      </c>
      <c r="AV76" s="211">
        <v>10</v>
      </c>
      <c r="AW76" s="212">
        <v>16.399999999999999</v>
      </c>
      <c r="AX76" s="213">
        <v>13073</v>
      </c>
      <c r="AY76" s="213">
        <v>4523.2580000000007</v>
      </c>
      <c r="AZ76" s="210" t="s">
        <v>70</v>
      </c>
      <c r="BA76" s="209" t="s">
        <v>93</v>
      </c>
      <c r="BB76" s="214" t="str">
        <f>+IF(Tabla46782[[#This Row],[TIPO VEHÍCULO]]=Tabla46782[[#This Row],[Columna2]], "IGUAL", "DISTINTO")</f>
        <v>IGUAL</v>
      </c>
      <c r="BC76" s="214" t="str">
        <f>+IF(Tabla46782[[#This Row],[Columna4]]=Tabla46782[[#This Row],[Combustible2]], "IGUAL", "DISTINTO")</f>
        <v>IGUAL</v>
      </c>
      <c r="BD76" s="215" cm="1">
        <f t="array" ref="BD76">IFERROR(INDEX('[1]Anexos FICHA TRA050'!$D$27:$D$44, MATCH(Tabla46782[[#This Row],[Columna5]]&amp;Tabla46782[[#This Row],[Columna4]], '[1]Anexos FICHA TRA050'!$E$27:$E$44&amp;'[1]Anexos FICHA TRA050'!$F$27:$F$44, 0)), "")</f>
        <v>6.99</v>
      </c>
      <c r="BE76" s="215">
        <f>IFERROR(INDEX('[1]Anexos FICHA TRA050'!$B$4:$B$7, MATCH(Tabla46782[[#This Row],[Columna4]], '[1]Anexos FICHA TRA050'!$C$4:$C$7, 0)), "")</f>
        <v>10</v>
      </c>
      <c r="BF76" s="215">
        <f>IFERROR(INDEX('[1]Anexos FICHA TRA050'!$C$14:$C$22, MATCH(Tabla46782[[#This Row],[Columna5]], '[1]Anexos FICHA TRA050'!$D$14:$D$22, 0)), "")</f>
        <v>17.920000000000002</v>
      </c>
      <c r="BG76" s="216">
        <f>IFERROR(INDEX('[1]Anexos FICHA TRA050'!$C$49:$C$54, MATCH(Tabla46782[[#This Row],[Columna5]], '[1]Anexos FICHA TRA050'!$D$49:$D$54, 0)), "")</f>
        <v>13073</v>
      </c>
      <c r="BH76" s="217">
        <f>+(((Tabla46782[[#This Row],[CVA2]]*Tabla46782[[#This Row],[f2]])-Tabla46782[[#This Row],[CVN2]])/100)*Tabla46782[[#This Row],[L2]]</f>
        <v>6795.3454000000002</v>
      </c>
      <c r="BI76" s="218"/>
      <c r="BJ76" s="218"/>
      <c r="BK76" s="218" t="str">
        <f>+IF(Tabla46782[[#This Row],[F3]]=Tabla46782[[#This Row],[f2]], "IGUAL", "DISTINTO")</f>
        <v>IGUAL</v>
      </c>
      <c r="BL76" s="218" t="str">
        <f>+IF(Tabla46782[[#This Row],[CVN]]=Tabla46782[[#This Row],[CVN2]], "IGUAL", "DISTINTO")</f>
        <v>DISTINTO</v>
      </c>
      <c r="BM76" s="219" t="str">
        <f>+IF(Tabla46782[[#This Row],[L]]=Tabla46782[[#This Row],[L2]], "IGUAL", "DISTINTO")</f>
        <v>IGUAL</v>
      </c>
    </row>
    <row r="77" spans="1:65" x14ac:dyDescent="0.25">
      <c r="A77">
        <v>74</v>
      </c>
      <c r="B77" s="202" t="s">
        <v>614</v>
      </c>
      <c r="C77" s="203" t="s">
        <v>615</v>
      </c>
      <c r="D77" s="203" t="s">
        <v>70</v>
      </c>
      <c r="E77" s="203" t="s">
        <v>78</v>
      </c>
      <c r="F77" s="203" t="s">
        <v>78</v>
      </c>
      <c r="G77" s="203" t="s">
        <v>70</v>
      </c>
      <c r="H77" s="203" t="s">
        <v>72</v>
      </c>
      <c r="I77" s="203"/>
      <c r="J77" s="203" t="s">
        <v>72</v>
      </c>
      <c r="K77" s="203"/>
      <c r="L77" s="203" t="s">
        <v>249</v>
      </c>
      <c r="M77" s="203" t="s">
        <v>249</v>
      </c>
      <c r="N77" s="203"/>
      <c r="O77" s="203" t="s">
        <v>73</v>
      </c>
      <c r="P77" s="203" t="s">
        <v>200</v>
      </c>
      <c r="Q77" s="203" t="s">
        <v>201</v>
      </c>
      <c r="R77" s="203" t="s">
        <v>76</v>
      </c>
      <c r="S77" s="209">
        <v>43160</v>
      </c>
      <c r="T77" s="205">
        <v>44986</v>
      </c>
      <c r="U77" s="205">
        <f>VLOOKUP(Tabla46782[[#This Row],[Matricula]],BAJA2022202320242025!$B$3:$CR$245,95,FALSE)</f>
        <v>44965</v>
      </c>
      <c r="V77" s="206">
        <v>1826</v>
      </c>
      <c r="W77" s="207">
        <v>2023</v>
      </c>
      <c r="X77" s="203" t="s">
        <v>77</v>
      </c>
      <c r="Y77" s="203" t="s">
        <v>78</v>
      </c>
      <c r="Z77" s="203" t="s">
        <v>359</v>
      </c>
      <c r="AA77" s="203" t="s">
        <v>604</v>
      </c>
      <c r="AB77" s="203" t="s">
        <v>119</v>
      </c>
      <c r="AC77" s="203" t="s">
        <v>120</v>
      </c>
      <c r="AD77" s="203" t="s">
        <v>501</v>
      </c>
      <c r="AE77" s="208">
        <v>16</v>
      </c>
      <c r="AF77" s="208" t="s">
        <v>616</v>
      </c>
      <c r="AG77" s="208" t="s">
        <v>85</v>
      </c>
      <c r="AH77" s="208" t="s">
        <v>86</v>
      </c>
      <c r="AI77" s="208" t="s">
        <v>87</v>
      </c>
      <c r="AJ77" s="208" t="s">
        <v>617</v>
      </c>
      <c r="AK77" s="205" t="s">
        <v>89</v>
      </c>
      <c r="AL77" s="204">
        <v>45645</v>
      </c>
      <c r="AM77" s="208">
        <v>1</v>
      </c>
      <c r="AN77" s="209" t="s">
        <v>119</v>
      </c>
      <c r="AO77" s="209" t="s">
        <v>618</v>
      </c>
      <c r="AP77" s="209" t="s">
        <v>120</v>
      </c>
      <c r="AQ77" s="209"/>
      <c r="AR77" s="209" t="s">
        <v>72</v>
      </c>
      <c r="AS77" s="209" t="s">
        <v>91</v>
      </c>
      <c r="AT77" s="209" t="s">
        <v>619</v>
      </c>
      <c r="AU77" s="210">
        <v>5.0999999999999996</v>
      </c>
      <c r="AV77" s="211">
        <v>10</v>
      </c>
      <c r="AW77" s="212">
        <v>17.3</v>
      </c>
      <c r="AX77" s="213">
        <v>13073</v>
      </c>
      <c r="AY77" s="213">
        <v>4405.6010000000006</v>
      </c>
      <c r="AZ77" s="210" t="s">
        <v>70</v>
      </c>
      <c r="BA77" s="209" t="s">
        <v>93</v>
      </c>
      <c r="BB77" s="214" t="str">
        <f>+IF(Tabla46782[[#This Row],[TIPO VEHÍCULO]]=Tabla46782[[#This Row],[Columna2]], "IGUAL", "DISTINTO")</f>
        <v>IGUAL</v>
      </c>
      <c r="BC77" s="214" t="str">
        <f>+IF(Tabla46782[[#This Row],[Columna4]]=Tabla46782[[#This Row],[Combustible2]], "IGUAL", "DISTINTO")</f>
        <v>IGUAL</v>
      </c>
      <c r="BD77" s="215" cm="1">
        <f t="array" ref="BD77">IFERROR(INDEX('[1]Anexos FICHA TRA050'!$D$27:$D$44, MATCH(Tabla46782[[#This Row],[Columna5]]&amp;Tabla46782[[#This Row],[Columna4]], '[1]Anexos FICHA TRA050'!$E$27:$E$44&amp;'[1]Anexos FICHA TRA050'!$F$27:$F$44, 0)), "")</f>
        <v>6.99</v>
      </c>
      <c r="BE77" s="215">
        <f>IFERROR(INDEX('[1]Anexos FICHA TRA050'!$B$4:$B$7, MATCH(Tabla46782[[#This Row],[Columna4]], '[1]Anexos FICHA TRA050'!$C$4:$C$7, 0)), "")</f>
        <v>10</v>
      </c>
      <c r="BF77" s="215">
        <f>IFERROR(INDEX('[1]Anexos FICHA TRA050'!$C$14:$C$22, MATCH(Tabla46782[[#This Row],[Columna5]], '[1]Anexos FICHA TRA050'!$D$14:$D$22, 0)), "")</f>
        <v>17.920000000000002</v>
      </c>
      <c r="BG77" s="216">
        <f>IFERROR(INDEX('[1]Anexos FICHA TRA050'!$C$49:$C$54, MATCH(Tabla46782[[#This Row],[Columna5]], '[1]Anexos FICHA TRA050'!$D$49:$D$54, 0)), "")</f>
        <v>13073</v>
      </c>
      <c r="BH77" s="217">
        <f>+(((Tabla46782[[#This Row],[CVA2]]*Tabla46782[[#This Row],[f2]])-Tabla46782[[#This Row],[CVN2]])/100)*Tabla46782[[#This Row],[L2]]</f>
        <v>6795.3454000000002</v>
      </c>
      <c r="BI77" s="238"/>
      <c r="BJ77" s="218"/>
      <c r="BK77" s="218" t="str">
        <f>+IF(Tabla46782[[#This Row],[F3]]=Tabla46782[[#This Row],[f2]], "IGUAL", "DISTINTO")</f>
        <v>IGUAL</v>
      </c>
      <c r="BL77" s="218" t="str">
        <f>+IF(Tabla46782[[#This Row],[CVN]]=Tabla46782[[#This Row],[CVN2]], "IGUAL", "DISTINTO")</f>
        <v>DISTINTO</v>
      </c>
      <c r="BM77" s="219" t="str">
        <f>+IF(Tabla46782[[#This Row],[L]]=Tabla46782[[#This Row],[L2]], "IGUAL", "DISTINTO")</f>
        <v>IGUAL</v>
      </c>
    </row>
    <row r="78" spans="1:65" x14ac:dyDescent="0.25">
      <c r="A78">
        <v>75</v>
      </c>
      <c r="B78" s="202" t="s">
        <v>620</v>
      </c>
      <c r="C78" s="203" t="s">
        <v>621</v>
      </c>
      <c r="D78" s="203" t="s">
        <v>70</v>
      </c>
      <c r="E78" s="203" t="s">
        <v>78</v>
      </c>
      <c r="F78" s="203" t="s">
        <v>78</v>
      </c>
      <c r="G78" s="203" t="s">
        <v>70</v>
      </c>
      <c r="H78" s="203" t="s">
        <v>72</v>
      </c>
      <c r="I78" s="203" t="s">
        <v>72</v>
      </c>
      <c r="J78" s="203" t="s">
        <v>72</v>
      </c>
      <c r="K78" s="203"/>
      <c r="L78" s="203" t="s">
        <v>72</v>
      </c>
      <c r="M78" s="203" t="s">
        <v>72</v>
      </c>
      <c r="N78" s="203"/>
      <c r="O78" s="203" t="s">
        <v>73</v>
      </c>
      <c r="P78" s="203" t="s">
        <v>200</v>
      </c>
      <c r="Q78" s="203" t="s">
        <v>201</v>
      </c>
      <c r="R78" s="203" t="s">
        <v>76</v>
      </c>
      <c r="S78" s="209">
        <v>43312</v>
      </c>
      <c r="T78" s="205">
        <v>45323</v>
      </c>
      <c r="U78" s="205">
        <f>VLOOKUP(Tabla46782[[#This Row],[Matricula]],BAJA2022202320242025!$B$3:$CR$245,95,FALSE)</f>
        <v>45323</v>
      </c>
      <c r="V78" s="206">
        <v>2011</v>
      </c>
      <c r="W78" s="207">
        <v>2024</v>
      </c>
      <c r="X78" s="203" t="s">
        <v>77</v>
      </c>
      <c r="Y78" s="203" t="s">
        <v>78</v>
      </c>
      <c r="Z78" s="203" t="s">
        <v>359</v>
      </c>
      <c r="AA78" s="203" t="s">
        <v>604</v>
      </c>
      <c r="AB78" s="203" t="s">
        <v>131</v>
      </c>
      <c r="AC78" s="203" t="s">
        <v>132</v>
      </c>
      <c r="AD78" s="203" t="s">
        <v>622</v>
      </c>
      <c r="AE78" s="208">
        <v>7</v>
      </c>
      <c r="AF78" s="208" t="s">
        <v>623</v>
      </c>
      <c r="AG78" s="208" t="s">
        <v>85</v>
      </c>
      <c r="AH78" s="208" t="s">
        <v>86</v>
      </c>
      <c r="AI78" s="208" t="s">
        <v>87</v>
      </c>
      <c r="AJ78" s="208" t="s">
        <v>318</v>
      </c>
      <c r="AK78" s="205" t="s">
        <v>89</v>
      </c>
      <c r="AL78" s="204">
        <v>45625</v>
      </c>
      <c r="AM78" s="208">
        <v>0</v>
      </c>
      <c r="AN78" s="209" t="s">
        <v>131</v>
      </c>
      <c r="AO78" s="209" t="s">
        <v>624</v>
      </c>
      <c r="AP78" s="209" t="s">
        <v>132</v>
      </c>
      <c r="AQ78" s="209"/>
      <c r="AR78" s="209" t="s">
        <v>72</v>
      </c>
      <c r="AS78" s="209" t="s">
        <v>91</v>
      </c>
      <c r="AT78" s="209" t="s">
        <v>625</v>
      </c>
      <c r="AU78" s="210">
        <v>5.0999999999999996</v>
      </c>
      <c r="AV78" s="211">
        <v>10</v>
      </c>
      <c r="AW78" s="212">
        <v>17.3</v>
      </c>
      <c r="AX78" s="213">
        <v>13073</v>
      </c>
      <c r="AY78" s="213">
        <v>4405.6010000000006</v>
      </c>
      <c r="AZ78" s="210" t="s">
        <v>70</v>
      </c>
      <c r="BA78" s="209" t="s">
        <v>93</v>
      </c>
      <c r="BB78" s="214" t="str">
        <f>+IF(Tabla46782[[#This Row],[TIPO VEHÍCULO]]=Tabla46782[[#This Row],[Columna2]], "IGUAL", "DISTINTO")</f>
        <v>IGUAL</v>
      </c>
      <c r="BC78" s="214" t="str">
        <f>+IF(Tabla46782[[#This Row],[Columna4]]=Tabla46782[[#This Row],[Combustible2]], "IGUAL", "DISTINTO")</f>
        <v>IGUAL</v>
      </c>
      <c r="BD78" s="215" cm="1">
        <f t="array" ref="BD78">IFERROR(INDEX('[1]Anexos FICHA TRA050'!$D$27:$D$44, MATCH(Tabla46782[[#This Row],[Columna5]]&amp;Tabla46782[[#This Row],[Columna4]], '[1]Anexos FICHA TRA050'!$E$27:$E$44&amp;'[1]Anexos FICHA TRA050'!$F$27:$F$44, 0)), "")</f>
        <v>6.99</v>
      </c>
      <c r="BE78" s="215">
        <f>IFERROR(INDEX('[1]Anexos FICHA TRA050'!$B$4:$B$7, MATCH(Tabla46782[[#This Row],[Columna4]], '[1]Anexos FICHA TRA050'!$C$4:$C$7, 0)), "")</f>
        <v>10</v>
      </c>
      <c r="BF78" s="215">
        <f>IFERROR(INDEX('[1]Anexos FICHA TRA050'!$C$14:$C$22, MATCH(Tabla46782[[#This Row],[Columna5]], '[1]Anexos FICHA TRA050'!$D$14:$D$22, 0)), "")</f>
        <v>17.920000000000002</v>
      </c>
      <c r="BG78" s="216">
        <f>IFERROR(INDEX('[1]Anexos FICHA TRA050'!$C$49:$C$54, MATCH(Tabla46782[[#This Row],[Columna5]], '[1]Anexos FICHA TRA050'!$D$49:$D$54, 0)), "")</f>
        <v>13073</v>
      </c>
      <c r="BH78" s="217">
        <f>+(((Tabla46782[[#This Row],[CVA2]]*Tabla46782[[#This Row],[f2]])-Tabla46782[[#This Row],[CVN2]])/100)*Tabla46782[[#This Row],[L2]]</f>
        <v>6795.3454000000002</v>
      </c>
      <c r="BI78" s="218"/>
      <c r="BJ78" s="218"/>
      <c r="BK78" s="218" t="str">
        <f>+IF(Tabla46782[[#This Row],[F3]]=Tabla46782[[#This Row],[f2]], "IGUAL", "DISTINTO")</f>
        <v>IGUAL</v>
      </c>
      <c r="BL78" s="218" t="str">
        <f>+IF(Tabla46782[[#This Row],[CVN]]=Tabla46782[[#This Row],[CVN2]], "IGUAL", "DISTINTO")</f>
        <v>DISTINTO</v>
      </c>
      <c r="BM78" s="219" t="str">
        <f>+IF(Tabla46782[[#This Row],[L]]=Tabla46782[[#This Row],[L2]], "IGUAL", "DISTINTO")</f>
        <v>IGUAL</v>
      </c>
    </row>
    <row r="79" spans="1:65" x14ac:dyDescent="0.25">
      <c r="A79">
        <v>76</v>
      </c>
      <c r="B79" s="202" t="s">
        <v>626</v>
      </c>
      <c r="C79" s="203" t="s">
        <v>627</v>
      </c>
      <c r="D79" s="203" t="s">
        <v>70</v>
      </c>
      <c r="E79" s="203" t="s">
        <v>78</v>
      </c>
      <c r="F79" s="203" t="s">
        <v>78</v>
      </c>
      <c r="G79" s="203" t="s">
        <v>70</v>
      </c>
      <c r="H79" s="203" t="s">
        <v>72</v>
      </c>
      <c r="I79" s="203" t="s">
        <v>72</v>
      </c>
      <c r="J79" s="203"/>
      <c r="K79" s="203"/>
      <c r="L79" s="203" t="s">
        <v>72</v>
      </c>
      <c r="M79" s="203" t="s">
        <v>72</v>
      </c>
      <c r="N79" s="203"/>
      <c r="O79" s="203" t="s">
        <v>73</v>
      </c>
      <c r="P79" s="203" t="s">
        <v>200</v>
      </c>
      <c r="Q79" s="203" t="s">
        <v>201</v>
      </c>
      <c r="R79" s="203" t="s">
        <v>76</v>
      </c>
      <c r="S79" s="209">
        <v>43343</v>
      </c>
      <c r="T79" s="205">
        <v>45016</v>
      </c>
      <c r="U79" s="205">
        <f>VLOOKUP(Tabla46782[[#This Row],[Matricula]],BAJA2022202320242025!$B$3:$CR$245,95,FALSE)</f>
        <v>45020</v>
      </c>
      <c r="V79" s="206">
        <v>1673</v>
      </c>
      <c r="W79" s="207">
        <v>2023</v>
      </c>
      <c r="X79" s="203" t="s">
        <v>77</v>
      </c>
      <c r="Y79" s="203" t="s">
        <v>78</v>
      </c>
      <c r="Z79" s="203" t="s">
        <v>359</v>
      </c>
      <c r="AA79" s="203" t="s">
        <v>604</v>
      </c>
      <c r="AB79" s="203" t="s">
        <v>336</v>
      </c>
      <c r="AC79" s="203" t="s">
        <v>337</v>
      </c>
      <c r="AD79" s="203" t="s">
        <v>628</v>
      </c>
      <c r="AE79" s="208">
        <v>5</v>
      </c>
      <c r="AF79" s="208" t="s">
        <v>629</v>
      </c>
      <c r="AG79" s="208" t="s">
        <v>85</v>
      </c>
      <c r="AH79" s="208" t="s">
        <v>340</v>
      </c>
      <c r="AI79" s="208" t="s">
        <v>87</v>
      </c>
      <c r="AJ79" s="208" t="s">
        <v>630</v>
      </c>
      <c r="AK79" s="205" t="s">
        <v>108</v>
      </c>
      <c r="AL79" s="204">
        <v>43439</v>
      </c>
      <c r="AM79" s="208">
        <v>0</v>
      </c>
      <c r="AN79" s="209" t="s">
        <v>336</v>
      </c>
      <c r="AO79" s="210">
        <v>4500389256</v>
      </c>
      <c r="AP79" s="209" t="s">
        <v>337</v>
      </c>
      <c r="AQ79" s="209"/>
      <c r="AR79" s="209" t="s">
        <v>72</v>
      </c>
      <c r="AS79" s="209" t="s">
        <v>91</v>
      </c>
      <c r="AT79" s="209" t="s">
        <v>631</v>
      </c>
      <c r="AU79" s="210">
        <v>5.0999999999999996</v>
      </c>
      <c r="AV79" s="211">
        <v>10</v>
      </c>
      <c r="AW79" s="212">
        <v>13.3</v>
      </c>
      <c r="AX79" s="213">
        <v>13073</v>
      </c>
      <c r="AY79" s="213">
        <v>4928.5209999999997</v>
      </c>
      <c r="AZ79" s="210" t="s">
        <v>70</v>
      </c>
      <c r="BA79" s="209" t="s">
        <v>255</v>
      </c>
      <c r="BB79" s="214" t="str">
        <f>+IF(Tabla46782[[#This Row],[TIPO VEHÍCULO]]=Tabla46782[[#This Row],[Columna2]], "IGUAL", "DISTINTO")</f>
        <v>IGUAL</v>
      </c>
      <c r="BC79" s="214" t="str">
        <f>+IF(Tabla46782[[#This Row],[Columna4]]=Tabla46782[[#This Row],[Combustible2]], "IGUAL", "DISTINTO")</f>
        <v>IGUAL</v>
      </c>
      <c r="BD79" s="215" cm="1">
        <f t="array" ref="BD79">IFERROR(INDEX('[1]Anexos FICHA TRA050'!$D$27:$D$44, MATCH(Tabla46782[[#This Row],[Columna5]]&amp;Tabla46782[[#This Row],[Columna4]], '[1]Anexos FICHA TRA050'!$E$27:$E$44&amp;'[1]Anexos FICHA TRA050'!$F$27:$F$44, 0)), "")</f>
        <v>6.99</v>
      </c>
      <c r="BE79" s="215">
        <f>IFERROR(INDEX('[1]Anexos FICHA TRA050'!$B$4:$B$7, MATCH(Tabla46782[[#This Row],[Columna4]], '[1]Anexos FICHA TRA050'!$C$4:$C$7, 0)), "")</f>
        <v>10</v>
      </c>
      <c r="BF79" s="215">
        <f>IFERROR(INDEX('[1]Anexos FICHA TRA050'!$C$14:$C$22, MATCH(Tabla46782[[#This Row],[Columna5]], '[1]Anexos FICHA TRA050'!$D$14:$D$22, 0)), "")</f>
        <v>17.920000000000002</v>
      </c>
      <c r="BG79" s="216">
        <f>IFERROR(INDEX('[1]Anexos FICHA TRA050'!$C$49:$C$54, MATCH(Tabla46782[[#This Row],[Columna5]], '[1]Anexos FICHA TRA050'!$D$49:$D$54, 0)), "")</f>
        <v>13073</v>
      </c>
      <c r="BH79" s="217">
        <f>+(((Tabla46782[[#This Row],[CVA2]]*Tabla46782[[#This Row],[f2]])-Tabla46782[[#This Row],[CVN2]])/100)*Tabla46782[[#This Row],[L2]]</f>
        <v>6795.3454000000002</v>
      </c>
      <c r="BI79" s="218"/>
      <c r="BJ79" s="218"/>
      <c r="BK79" s="218" t="str">
        <f>+IF(Tabla46782[[#This Row],[F3]]=Tabla46782[[#This Row],[f2]], "IGUAL", "DISTINTO")</f>
        <v>IGUAL</v>
      </c>
      <c r="BL79" s="218" t="str">
        <f>+IF(Tabla46782[[#This Row],[CVN]]=Tabla46782[[#This Row],[CVN2]], "IGUAL", "DISTINTO")</f>
        <v>DISTINTO</v>
      </c>
      <c r="BM79" s="219" t="str">
        <f>+IF(Tabla46782[[#This Row],[L]]=Tabla46782[[#This Row],[L2]], "IGUAL", "DISTINTO")</f>
        <v>IGUAL</v>
      </c>
    </row>
    <row r="80" spans="1:65" x14ac:dyDescent="0.25">
      <c r="A80">
        <v>77</v>
      </c>
      <c r="B80" s="202" t="s">
        <v>632</v>
      </c>
      <c r="C80" s="203" t="s">
        <v>633</v>
      </c>
      <c r="D80" s="203" t="s">
        <v>128</v>
      </c>
      <c r="E80" s="203" t="s">
        <v>78</v>
      </c>
      <c r="F80" s="203" t="s">
        <v>78</v>
      </c>
      <c r="G80" s="203" t="s">
        <v>128</v>
      </c>
      <c r="H80" s="203" t="s">
        <v>72</v>
      </c>
      <c r="I80" s="203"/>
      <c r="J80" s="203" t="s">
        <v>72</v>
      </c>
      <c r="K80" s="203"/>
      <c r="L80" s="203" t="s">
        <v>72</v>
      </c>
      <c r="M80" s="203" t="s">
        <v>72</v>
      </c>
      <c r="N80" s="203"/>
      <c r="O80" s="203" t="s">
        <v>129</v>
      </c>
      <c r="P80" s="203" t="s">
        <v>74</v>
      </c>
      <c r="Q80" s="203" t="s">
        <v>75</v>
      </c>
      <c r="R80" s="203" t="s">
        <v>76</v>
      </c>
      <c r="S80" s="204">
        <v>45002</v>
      </c>
      <c r="T80" s="205">
        <v>45307</v>
      </c>
      <c r="U80" s="205">
        <f>VLOOKUP(Tabla46782[[#This Row],[Matricula]],BAJA2022202320242025!$B$3:$CR$245,95,FALSE)</f>
        <v>45307</v>
      </c>
      <c r="V80" s="206">
        <v>305</v>
      </c>
      <c r="W80" s="207">
        <v>2024</v>
      </c>
      <c r="X80" s="203" t="s">
        <v>77</v>
      </c>
      <c r="Y80" s="203" t="s">
        <v>78</v>
      </c>
      <c r="Z80" s="203" t="s">
        <v>79</v>
      </c>
      <c r="AA80" s="203" t="s">
        <v>634</v>
      </c>
      <c r="AB80" s="203" t="s">
        <v>131</v>
      </c>
      <c r="AC80" s="203" t="s">
        <v>132</v>
      </c>
      <c r="AD80" s="203" t="s">
        <v>635</v>
      </c>
      <c r="AE80" s="208">
        <v>8</v>
      </c>
      <c r="AF80" s="208" t="s">
        <v>636</v>
      </c>
      <c r="AG80" s="208" t="s">
        <v>85</v>
      </c>
      <c r="AH80" s="208" t="s">
        <v>86</v>
      </c>
      <c r="AI80" s="208" t="s">
        <v>87</v>
      </c>
      <c r="AJ80" s="208" t="s">
        <v>637</v>
      </c>
      <c r="AK80" s="205" t="s">
        <v>89</v>
      </c>
      <c r="AL80" s="204">
        <v>45625</v>
      </c>
      <c r="AM80" s="208">
        <v>0</v>
      </c>
      <c r="AN80" s="209" t="s">
        <v>131</v>
      </c>
      <c r="AO80" s="209" t="s">
        <v>638</v>
      </c>
      <c r="AP80" s="209" t="s">
        <v>132</v>
      </c>
      <c r="AQ80" s="209"/>
      <c r="AR80" s="209" t="s">
        <v>72</v>
      </c>
      <c r="AS80" s="209" t="s">
        <v>91</v>
      </c>
      <c r="AT80" s="209" t="s">
        <v>639</v>
      </c>
      <c r="AU80" s="210">
        <v>5.6</v>
      </c>
      <c r="AV80" s="211">
        <v>10</v>
      </c>
      <c r="AW80" s="212">
        <v>17.3</v>
      </c>
      <c r="AX80" s="213">
        <v>15815</v>
      </c>
      <c r="AY80" s="213">
        <v>6120.4049999999997</v>
      </c>
      <c r="AZ80" s="210" t="s">
        <v>128</v>
      </c>
      <c r="BA80" s="209" t="s">
        <v>93</v>
      </c>
      <c r="BB80" s="214" t="str">
        <f>+IF(Tabla46782[[#This Row],[TIPO VEHÍCULO]]=Tabla46782[[#This Row],[Columna2]], "IGUAL", "DISTINTO")</f>
        <v>IGUAL</v>
      </c>
      <c r="BC80" s="214" t="str">
        <f>+IF(Tabla46782[[#This Row],[Columna4]]=Tabla46782[[#This Row],[Combustible2]], "IGUAL", "DISTINTO")</f>
        <v>IGUAL</v>
      </c>
      <c r="BD80" s="215" cm="1">
        <f t="array" ref="BD80">IFERROR(INDEX('[1]Anexos FICHA TRA050'!$D$27:$D$44, MATCH(Tabla46782[[#This Row],[Columna5]]&amp;Tabla46782[[#This Row],[Columna4]], '[1]Anexos FICHA TRA050'!$E$27:$E$44&amp;'[1]Anexos FICHA TRA050'!$F$27:$F$44, 0)), "")</f>
        <v>5.63</v>
      </c>
      <c r="BE80" s="215">
        <f>IFERROR(INDEX('[1]Anexos FICHA TRA050'!$B$4:$B$7, MATCH(Tabla46782[[#This Row],[Columna4]], '[1]Anexos FICHA TRA050'!$C$4:$C$7, 0)), "")</f>
        <v>10</v>
      </c>
      <c r="BF80" s="215">
        <f>IFERROR(INDEX('[1]Anexos FICHA TRA050'!$C$14:$C$22, MATCH(Tabla46782[[#This Row],[Columna5]], '[1]Anexos FICHA TRA050'!$D$14:$D$22, 0)), "")</f>
        <v>20.84</v>
      </c>
      <c r="BG80" s="216">
        <f>IFERROR(INDEX('[1]Anexos FICHA TRA050'!$C$49:$C$54, MATCH(Tabla46782[[#This Row],[Columna5]], '[1]Anexos FICHA TRA050'!$D$49:$D$54, 0)), "")</f>
        <v>15815</v>
      </c>
      <c r="BH80" s="217">
        <f>+(((Tabla46782[[#This Row],[CVA2]]*Tabla46782[[#This Row],[f2]])-Tabla46782[[#This Row],[CVN2]])/100)*Tabla46782[[#This Row],[L2]]</f>
        <v>5607.9989999999989</v>
      </c>
      <c r="BI80" s="218"/>
      <c r="BJ80" s="218"/>
      <c r="BK80" s="218" t="str">
        <f>+IF(Tabla46782[[#This Row],[F3]]=Tabla46782[[#This Row],[f2]], "IGUAL", "DISTINTO")</f>
        <v>IGUAL</v>
      </c>
      <c r="BL80" s="218" t="str">
        <f>+IF(Tabla46782[[#This Row],[CVN]]=Tabla46782[[#This Row],[CVN2]], "IGUAL", "DISTINTO")</f>
        <v>DISTINTO</v>
      </c>
      <c r="BM80" s="219" t="str">
        <f>+IF(Tabla46782[[#This Row],[L]]=Tabla46782[[#This Row],[L2]], "IGUAL", "DISTINTO")</f>
        <v>IGUAL</v>
      </c>
    </row>
    <row r="81" spans="1:65" x14ac:dyDescent="0.25">
      <c r="A81">
        <v>78</v>
      </c>
      <c r="B81" s="202" t="s">
        <v>640</v>
      </c>
      <c r="C81" s="203" t="s">
        <v>641</v>
      </c>
      <c r="D81" s="203" t="s">
        <v>128</v>
      </c>
      <c r="E81" s="203" t="s">
        <v>78</v>
      </c>
      <c r="F81" s="203" t="s">
        <v>78</v>
      </c>
      <c r="G81" s="203" t="s">
        <v>128</v>
      </c>
      <c r="H81" s="203" t="s">
        <v>72</v>
      </c>
      <c r="I81" s="203" t="s">
        <v>72</v>
      </c>
      <c r="J81" s="203" t="s">
        <v>72</v>
      </c>
      <c r="K81" s="203"/>
      <c r="L81" s="203" t="s">
        <v>72</v>
      </c>
      <c r="M81" s="203" t="s">
        <v>72</v>
      </c>
      <c r="N81" s="203"/>
      <c r="O81" s="203" t="s">
        <v>73</v>
      </c>
      <c r="P81" s="203" t="s">
        <v>74</v>
      </c>
      <c r="Q81" s="203" t="s">
        <v>75</v>
      </c>
      <c r="R81" s="203" t="s">
        <v>76</v>
      </c>
      <c r="S81" s="204">
        <v>45323</v>
      </c>
      <c r="T81" s="205">
        <v>45468</v>
      </c>
      <c r="U81" s="205">
        <f>VLOOKUP(Tabla46782[[#This Row],[Matricula]],BAJA2022202320242025!$B$3:$CR$245,95,FALSE)</f>
        <v>45468</v>
      </c>
      <c r="V81" s="206">
        <v>145</v>
      </c>
      <c r="W81" s="207">
        <v>2024</v>
      </c>
      <c r="X81" s="203" t="s">
        <v>77</v>
      </c>
      <c r="Y81" s="203" t="s">
        <v>78</v>
      </c>
      <c r="Z81" s="203" t="s">
        <v>85</v>
      </c>
      <c r="AA81" s="203" t="s">
        <v>642</v>
      </c>
      <c r="AB81" s="203" t="s">
        <v>102</v>
      </c>
      <c r="AC81" s="203" t="s">
        <v>103</v>
      </c>
      <c r="AD81" s="203" t="s">
        <v>572</v>
      </c>
      <c r="AE81" s="208">
        <v>19</v>
      </c>
      <c r="AF81" s="208" t="s">
        <v>643</v>
      </c>
      <c r="AG81" s="208" t="s">
        <v>140</v>
      </c>
      <c r="AH81" s="208" t="s">
        <v>151</v>
      </c>
      <c r="AI81" s="208" t="s">
        <v>87</v>
      </c>
      <c r="AJ81" s="208" t="s">
        <v>301</v>
      </c>
      <c r="AK81" s="205" t="s">
        <v>89</v>
      </c>
      <c r="AL81" s="204">
        <v>45625</v>
      </c>
      <c r="AM81" s="208">
        <v>0</v>
      </c>
      <c r="AN81" s="209" t="s">
        <v>102</v>
      </c>
      <c r="AO81" s="209" t="s">
        <v>644</v>
      </c>
      <c r="AP81" s="209" t="s">
        <v>103</v>
      </c>
      <c r="AQ81" s="209"/>
      <c r="AR81" s="209" t="s">
        <v>72</v>
      </c>
      <c r="AS81" s="209" t="s">
        <v>109</v>
      </c>
      <c r="AT81" s="209" t="s">
        <v>645</v>
      </c>
      <c r="AU81" s="210">
        <v>5.6</v>
      </c>
      <c r="AV81" s="211">
        <v>10</v>
      </c>
      <c r="AW81" s="212">
        <v>16.399999999999999</v>
      </c>
      <c r="AX81" s="213">
        <v>15815</v>
      </c>
      <c r="AY81" s="213">
        <v>6262.7400000000007</v>
      </c>
      <c r="AZ81" s="210" t="s">
        <v>128</v>
      </c>
      <c r="BA81" s="209" t="s">
        <v>93</v>
      </c>
      <c r="BB81" s="214" t="str">
        <f>+IF(Tabla46782[[#This Row],[TIPO VEHÍCULO]]=Tabla46782[[#This Row],[Columna2]], "IGUAL", "DISTINTO")</f>
        <v>IGUAL</v>
      </c>
      <c r="BC81" s="214" t="str">
        <f>+IF(Tabla46782[[#This Row],[Columna4]]=Tabla46782[[#This Row],[Combustible2]], "IGUAL", "DISTINTO")</f>
        <v>IGUAL</v>
      </c>
      <c r="BD81" s="215" cm="1">
        <f t="array" ref="BD81">IFERROR(INDEX('[1]Anexos FICHA TRA050'!$D$27:$D$44, MATCH(Tabla46782[[#This Row],[Columna5]]&amp;Tabla46782[[#This Row],[Columna4]], '[1]Anexos FICHA TRA050'!$E$27:$E$44&amp;'[1]Anexos FICHA TRA050'!$F$27:$F$44, 0)), "")</f>
        <v>5.63</v>
      </c>
      <c r="BE81" s="215">
        <f>IFERROR(INDEX('[1]Anexos FICHA TRA050'!$B$4:$B$7, MATCH(Tabla46782[[#This Row],[Columna4]], '[1]Anexos FICHA TRA050'!$C$4:$C$7, 0)), "")</f>
        <v>10</v>
      </c>
      <c r="BF81" s="215">
        <f>IFERROR(INDEX('[1]Anexos FICHA TRA050'!$C$14:$C$22, MATCH(Tabla46782[[#This Row],[Columna5]], '[1]Anexos FICHA TRA050'!$D$14:$D$22, 0)), "")</f>
        <v>20.84</v>
      </c>
      <c r="BG81" s="216">
        <f>IFERROR(INDEX('[1]Anexos FICHA TRA050'!$C$49:$C$54, MATCH(Tabla46782[[#This Row],[Columna5]], '[1]Anexos FICHA TRA050'!$D$49:$D$54, 0)), "")</f>
        <v>15815</v>
      </c>
      <c r="BH81" s="217">
        <f>+(((Tabla46782[[#This Row],[CVA2]]*Tabla46782[[#This Row],[f2]])-Tabla46782[[#This Row],[CVN2]])/100)*Tabla46782[[#This Row],[L2]]</f>
        <v>5607.9989999999989</v>
      </c>
      <c r="BI81" s="218"/>
      <c r="BJ81" s="218"/>
      <c r="BK81" s="218" t="str">
        <f>+IF(Tabla46782[[#This Row],[F3]]=Tabla46782[[#This Row],[f2]], "IGUAL", "DISTINTO")</f>
        <v>IGUAL</v>
      </c>
      <c r="BL81" s="218" t="str">
        <f>+IF(Tabla46782[[#This Row],[CVN]]=Tabla46782[[#This Row],[CVN2]], "IGUAL", "DISTINTO")</f>
        <v>DISTINTO</v>
      </c>
      <c r="BM81" s="219" t="str">
        <f>+IF(Tabla46782[[#This Row],[L]]=Tabla46782[[#This Row],[L2]], "IGUAL", "DISTINTO")</f>
        <v>IGUAL</v>
      </c>
    </row>
    <row r="82" spans="1:65" x14ac:dyDescent="0.25">
      <c r="A82">
        <v>79</v>
      </c>
      <c r="B82" s="202" t="s">
        <v>646</v>
      </c>
      <c r="C82" s="203" t="s">
        <v>647</v>
      </c>
      <c r="D82" s="203" t="s">
        <v>128</v>
      </c>
      <c r="E82" s="203" t="s">
        <v>78</v>
      </c>
      <c r="F82" s="203" t="s">
        <v>78</v>
      </c>
      <c r="G82" s="203" t="s">
        <v>128</v>
      </c>
      <c r="H82" s="203" t="s">
        <v>72</v>
      </c>
      <c r="I82" s="203" t="s">
        <v>72</v>
      </c>
      <c r="J82" s="203" t="s">
        <v>72</v>
      </c>
      <c r="K82" s="203"/>
      <c r="L82" s="203" t="s">
        <v>72</v>
      </c>
      <c r="M82" s="203" t="s">
        <v>72</v>
      </c>
      <c r="N82" s="203"/>
      <c r="O82" s="203" t="s">
        <v>73</v>
      </c>
      <c r="P82" s="203" t="s">
        <v>74</v>
      </c>
      <c r="Q82" s="203" t="s">
        <v>75</v>
      </c>
      <c r="R82" s="203" t="s">
        <v>76</v>
      </c>
      <c r="S82" s="204">
        <v>45323</v>
      </c>
      <c r="T82" s="205">
        <v>45433</v>
      </c>
      <c r="U82" s="205">
        <f>VLOOKUP(Tabla46782[[#This Row],[Matricula]],BAJA2022202320242025!$B$3:$CR$245,95,FALSE)</f>
        <v>45433</v>
      </c>
      <c r="V82" s="206">
        <v>110</v>
      </c>
      <c r="W82" s="207">
        <v>2024</v>
      </c>
      <c r="X82" s="203" t="s">
        <v>77</v>
      </c>
      <c r="Y82" s="203" t="s">
        <v>78</v>
      </c>
      <c r="Z82" s="203" t="s">
        <v>85</v>
      </c>
      <c r="AA82" s="203" t="s">
        <v>642</v>
      </c>
      <c r="AB82" s="203" t="s">
        <v>102</v>
      </c>
      <c r="AC82" s="203" t="s">
        <v>103</v>
      </c>
      <c r="AD82" s="203" t="s">
        <v>572</v>
      </c>
      <c r="AE82" s="208">
        <v>20</v>
      </c>
      <c r="AF82" s="208" t="s">
        <v>648</v>
      </c>
      <c r="AG82" s="208" t="s">
        <v>380</v>
      </c>
      <c r="AH82" s="208" t="s">
        <v>381</v>
      </c>
      <c r="AI82" s="208" t="s">
        <v>87</v>
      </c>
      <c r="AJ82" s="208" t="s">
        <v>649</v>
      </c>
      <c r="AK82" s="205" t="s">
        <v>89</v>
      </c>
      <c r="AL82" s="204">
        <v>45616</v>
      </c>
      <c r="AM82" s="208">
        <v>0</v>
      </c>
      <c r="AN82" s="209" t="s">
        <v>102</v>
      </c>
      <c r="AO82" s="209" t="s">
        <v>650</v>
      </c>
      <c r="AP82" s="209" t="s">
        <v>103</v>
      </c>
      <c r="AQ82" s="209"/>
      <c r="AR82" s="209" t="s">
        <v>72</v>
      </c>
      <c r="AS82" s="209" t="s">
        <v>109</v>
      </c>
      <c r="AT82" s="209" t="s">
        <v>651</v>
      </c>
      <c r="AU82" s="210">
        <v>5.6</v>
      </c>
      <c r="AV82" s="211">
        <v>10</v>
      </c>
      <c r="AW82" s="212">
        <v>20</v>
      </c>
      <c r="AX82" s="213">
        <v>15815</v>
      </c>
      <c r="AY82" s="213">
        <v>5693.4</v>
      </c>
      <c r="AZ82" s="210" t="s">
        <v>128</v>
      </c>
      <c r="BA82" s="209" t="s">
        <v>93</v>
      </c>
      <c r="BB82" s="214" t="str">
        <f>+IF(Tabla46782[[#This Row],[TIPO VEHÍCULO]]=Tabla46782[[#This Row],[Columna2]], "IGUAL", "DISTINTO")</f>
        <v>IGUAL</v>
      </c>
      <c r="BC82" s="214" t="str">
        <f>+IF(Tabla46782[[#This Row],[Columna4]]=Tabla46782[[#This Row],[Combustible2]], "IGUAL", "DISTINTO")</f>
        <v>IGUAL</v>
      </c>
      <c r="BD82" s="215" cm="1">
        <f t="array" ref="BD82">IFERROR(INDEX('[1]Anexos FICHA TRA050'!$D$27:$D$44, MATCH(Tabla46782[[#This Row],[Columna5]]&amp;Tabla46782[[#This Row],[Columna4]], '[1]Anexos FICHA TRA050'!$E$27:$E$44&amp;'[1]Anexos FICHA TRA050'!$F$27:$F$44, 0)), "")</f>
        <v>5.63</v>
      </c>
      <c r="BE82" s="215">
        <f>IFERROR(INDEX('[1]Anexos FICHA TRA050'!$B$4:$B$7, MATCH(Tabla46782[[#This Row],[Columna4]], '[1]Anexos FICHA TRA050'!$C$4:$C$7, 0)), "")</f>
        <v>10</v>
      </c>
      <c r="BF82" s="215">
        <f>IFERROR(INDEX('[1]Anexos FICHA TRA050'!$C$14:$C$22, MATCH(Tabla46782[[#This Row],[Columna5]], '[1]Anexos FICHA TRA050'!$D$14:$D$22, 0)), "")</f>
        <v>20.84</v>
      </c>
      <c r="BG82" s="216">
        <f>IFERROR(INDEX('[1]Anexos FICHA TRA050'!$C$49:$C$54, MATCH(Tabla46782[[#This Row],[Columna5]], '[1]Anexos FICHA TRA050'!$D$49:$D$54, 0)), "")</f>
        <v>15815</v>
      </c>
      <c r="BH82" s="217">
        <f>+(((Tabla46782[[#This Row],[CVA2]]*Tabla46782[[#This Row],[f2]])-Tabla46782[[#This Row],[CVN2]])/100)*Tabla46782[[#This Row],[L2]]</f>
        <v>5607.9989999999989</v>
      </c>
      <c r="BI82" s="218"/>
      <c r="BJ82" s="218"/>
      <c r="BK82" s="218" t="str">
        <f>+IF(Tabla46782[[#This Row],[F3]]=Tabla46782[[#This Row],[f2]], "IGUAL", "DISTINTO")</f>
        <v>IGUAL</v>
      </c>
      <c r="BL82" s="218" t="str">
        <f>+IF(Tabla46782[[#This Row],[CVN]]=Tabla46782[[#This Row],[CVN2]], "IGUAL", "DISTINTO")</f>
        <v>DISTINTO</v>
      </c>
      <c r="BM82" s="219" t="str">
        <f>+IF(Tabla46782[[#This Row],[L]]=Tabla46782[[#This Row],[L2]], "IGUAL", "DISTINTO")</f>
        <v>IGUAL</v>
      </c>
    </row>
    <row r="83" spans="1:65" x14ac:dyDescent="0.25">
      <c r="A83">
        <v>80</v>
      </c>
      <c r="B83" s="202" t="s">
        <v>652</v>
      </c>
      <c r="C83" s="203" t="s">
        <v>653</v>
      </c>
      <c r="D83" s="203" t="s">
        <v>128</v>
      </c>
      <c r="E83" s="203" t="s">
        <v>78</v>
      </c>
      <c r="F83" s="203" t="s">
        <v>78</v>
      </c>
      <c r="G83" s="203" t="s">
        <v>128</v>
      </c>
      <c r="H83" s="203" t="s">
        <v>72</v>
      </c>
      <c r="I83" s="203" t="s">
        <v>72</v>
      </c>
      <c r="J83" s="203" t="s">
        <v>72</v>
      </c>
      <c r="K83" s="203"/>
      <c r="L83" s="203" t="s">
        <v>72</v>
      </c>
      <c r="M83" s="203" t="s">
        <v>72</v>
      </c>
      <c r="N83" s="203"/>
      <c r="O83" s="203" t="s">
        <v>73</v>
      </c>
      <c r="P83" s="203" t="s">
        <v>74</v>
      </c>
      <c r="Q83" s="203" t="s">
        <v>75</v>
      </c>
      <c r="R83" s="203" t="s">
        <v>76</v>
      </c>
      <c r="S83" s="204">
        <v>45323</v>
      </c>
      <c r="T83" s="205">
        <v>45504</v>
      </c>
      <c r="U83" s="205">
        <f>VLOOKUP(Tabla46782[[#This Row],[Matricula]],BAJA2022202320242025!$B$3:$CR$245,95,FALSE)</f>
        <v>45504</v>
      </c>
      <c r="V83" s="206">
        <v>181</v>
      </c>
      <c r="W83" s="207">
        <v>2024</v>
      </c>
      <c r="X83" s="203" t="s">
        <v>77</v>
      </c>
      <c r="Y83" s="203" t="s">
        <v>78</v>
      </c>
      <c r="Z83" s="203" t="s">
        <v>85</v>
      </c>
      <c r="AA83" s="203" t="s">
        <v>642</v>
      </c>
      <c r="AB83" s="203" t="s">
        <v>102</v>
      </c>
      <c r="AC83" s="203" t="s">
        <v>103</v>
      </c>
      <c r="AD83" s="203" t="s">
        <v>654</v>
      </c>
      <c r="AE83" s="208">
        <v>21</v>
      </c>
      <c r="AF83" s="208" t="s">
        <v>655</v>
      </c>
      <c r="AG83" s="208" t="s">
        <v>380</v>
      </c>
      <c r="AH83" s="208" t="s">
        <v>381</v>
      </c>
      <c r="AI83" s="208" t="s">
        <v>87</v>
      </c>
      <c r="AJ83" s="208" t="s">
        <v>649</v>
      </c>
      <c r="AK83" s="205" t="s">
        <v>89</v>
      </c>
      <c r="AL83" s="204">
        <v>45616</v>
      </c>
      <c r="AM83" s="208">
        <v>0</v>
      </c>
      <c r="AN83" s="209" t="s">
        <v>102</v>
      </c>
      <c r="AO83" s="209" t="s">
        <v>656</v>
      </c>
      <c r="AP83" s="209" t="s">
        <v>103</v>
      </c>
      <c r="AQ83" s="209"/>
      <c r="AR83" s="209" t="s">
        <v>72</v>
      </c>
      <c r="AS83" s="209" t="s">
        <v>109</v>
      </c>
      <c r="AT83" s="209" t="s">
        <v>657</v>
      </c>
      <c r="AU83" s="210">
        <v>5.6</v>
      </c>
      <c r="AV83" s="211">
        <v>10</v>
      </c>
      <c r="AW83" s="212">
        <v>20</v>
      </c>
      <c r="AX83" s="213">
        <v>15815</v>
      </c>
      <c r="AY83" s="213">
        <v>5693.4</v>
      </c>
      <c r="AZ83" s="210" t="s">
        <v>128</v>
      </c>
      <c r="BA83" s="209" t="s">
        <v>93</v>
      </c>
      <c r="BB83" s="214" t="str">
        <f>+IF(Tabla46782[[#This Row],[TIPO VEHÍCULO]]=Tabla46782[[#This Row],[Columna2]], "IGUAL", "DISTINTO")</f>
        <v>IGUAL</v>
      </c>
      <c r="BC83" s="214" t="str">
        <f>+IF(Tabla46782[[#This Row],[Columna4]]=Tabla46782[[#This Row],[Combustible2]], "IGUAL", "DISTINTO")</f>
        <v>IGUAL</v>
      </c>
      <c r="BD83" s="215" cm="1">
        <f t="array" ref="BD83">IFERROR(INDEX('[1]Anexos FICHA TRA050'!$D$27:$D$44, MATCH(Tabla46782[[#This Row],[Columna5]]&amp;Tabla46782[[#This Row],[Columna4]], '[1]Anexos FICHA TRA050'!$E$27:$E$44&amp;'[1]Anexos FICHA TRA050'!$F$27:$F$44, 0)), "")</f>
        <v>5.63</v>
      </c>
      <c r="BE83" s="215">
        <f>IFERROR(INDEX('[1]Anexos FICHA TRA050'!$B$4:$B$7, MATCH(Tabla46782[[#This Row],[Columna4]], '[1]Anexos FICHA TRA050'!$C$4:$C$7, 0)), "")</f>
        <v>10</v>
      </c>
      <c r="BF83" s="215">
        <f>IFERROR(INDEX('[1]Anexos FICHA TRA050'!$C$14:$C$22, MATCH(Tabla46782[[#This Row],[Columna5]], '[1]Anexos FICHA TRA050'!$D$14:$D$22, 0)), "")</f>
        <v>20.84</v>
      </c>
      <c r="BG83" s="216">
        <f>IFERROR(INDEX('[1]Anexos FICHA TRA050'!$C$49:$C$54, MATCH(Tabla46782[[#This Row],[Columna5]], '[1]Anexos FICHA TRA050'!$D$49:$D$54, 0)), "")</f>
        <v>15815</v>
      </c>
      <c r="BH83" s="217">
        <f>+(((Tabla46782[[#This Row],[CVA2]]*Tabla46782[[#This Row],[f2]])-Tabla46782[[#This Row],[CVN2]])/100)*Tabla46782[[#This Row],[L2]]</f>
        <v>5607.9989999999989</v>
      </c>
      <c r="BI83" s="218"/>
      <c r="BJ83" s="218"/>
      <c r="BK83" s="218" t="str">
        <f>+IF(Tabla46782[[#This Row],[F3]]=Tabla46782[[#This Row],[f2]], "IGUAL", "DISTINTO")</f>
        <v>IGUAL</v>
      </c>
      <c r="BL83" s="218" t="str">
        <f>+IF(Tabla46782[[#This Row],[CVN]]=Tabla46782[[#This Row],[CVN2]], "IGUAL", "DISTINTO")</f>
        <v>DISTINTO</v>
      </c>
      <c r="BM83" s="219" t="str">
        <f>+IF(Tabla46782[[#This Row],[L]]=Tabla46782[[#This Row],[L2]], "IGUAL", "DISTINTO")</f>
        <v>IGUAL</v>
      </c>
    </row>
    <row r="84" spans="1:65" x14ac:dyDescent="0.25">
      <c r="A84">
        <v>81</v>
      </c>
      <c r="B84" s="202" t="s">
        <v>658</v>
      </c>
      <c r="C84" s="203" t="s">
        <v>659</v>
      </c>
      <c r="D84" s="203" t="s">
        <v>128</v>
      </c>
      <c r="E84" s="203" t="s">
        <v>78</v>
      </c>
      <c r="F84" s="203" t="s">
        <v>78</v>
      </c>
      <c r="G84" s="203" t="s">
        <v>128</v>
      </c>
      <c r="H84" s="203" t="s">
        <v>72</v>
      </c>
      <c r="I84" s="203"/>
      <c r="J84" s="203" t="s">
        <v>72</v>
      </c>
      <c r="K84" s="203"/>
      <c r="L84" s="203" t="s">
        <v>72</v>
      </c>
      <c r="M84" s="203" t="s">
        <v>72</v>
      </c>
      <c r="N84" s="203"/>
      <c r="O84" s="203" t="s">
        <v>73</v>
      </c>
      <c r="P84" s="203" t="s">
        <v>74</v>
      </c>
      <c r="Q84" s="203" t="s">
        <v>75</v>
      </c>
      <c r="R84" s="203" t="s">
        <v>76</v>
      </c>
      <c r="S84" s="204">
        <v>45324</v>
      </c>
      <c r="T84" s="205">
        <v>45372</v>
      </c>
      <c r="U84" s="205">
        <f>VLOOKUP(Tabla46782[[#This Row],[Matricula]],BAJA2022202320242025!$B$3:$CR$245,95,FALSE)</f>
        <v>45372</v>
      </c>
      <c r="V84" s="206">
        <v>48</v>
      </c>
      <c r="W84" s="207">
        <v>2024</v>
      </c>
      <c r="X84" s="203" t="s">
        <v>77</v>
      </c>
      <c r="Y84" s="203" t="s">
        <v>78</v>
      </c>
      <c r="Z84" s="203" t="s">
        <v>85</v>
      </c>
      <c r="AA84" s="203" t="s">
        <v>642</v>
      </c>
      <c r="AB84" s="203" t="s">
        <v>102</v>
      </c>
      <c r="AC84" s="203" t="s">
        <v>103</v>
      </c>
      <c r="AD84" s="203" t="s">
        <v>649</v>
      </c>
      <c r="AE84" s="208">
        <v>22</v>
      </c>
      <c r="AF84" s="208" t="s">
        <v>660</v>
      </c>
      <c r="AG84" s="208" t="s">
        <v>85</v>
      </c>
      <c r="AH84" s="208" t="s">
        <v>114</v>
      </c>
      <c r="AI84" s="208" t="s">
        <v>87</v>
      </c>
      <c r="AJ84" s="208" t="s">
        <v>115</v>
      </c>
      <c r="AK84" s="205" t="s">
        <v>108</v>
      </c>
      <c r="AL84" s="204">
        <v>44945</v>
      </c>
      <c r="AM84" s="208">
        <v>-1</v>
      </c>
      <c r="AN84" s="209" t="s">
        <v>102</v>
      </c>
      <c r="AO84" s="210">
        <v>4500351523</v>
      </c>
      <c r="AP84" s="209" t="s">
        <v>103</v>
      </c>
      <c r="AQ84" s="209"/>
      <c r="AR84" s="209" t="s">
        <v>72</v>
      </c>
      <c r="AS84" s="209" t="s">
        <v>109</v>
      </c>
      <c r="AT84" s="209" t="s">
        <v>661</v>
      </c>
      <c r="AU84" s="210">
        <v>5.6</v>
      </c>
      <c r="AV84" s="211">
        <v>10</v>
      </c>
      <c r="AW84" s="212">
        <v>17.3</v>
      </c>
      <c r="AX84" s="213">
        <v>15815</v>
      </c>
      <c r="AY84" s="213">
        <v>6120.4049999999997</v>
      </c>
      <c r="AZ84" s="210" t="s">
        <v>128</v>
      </c>
      <c r="BA84" s="209" t="s">
        <v>93</v>
      </c>
      <c r="BB84" s="214" t="str">
        <f>+IF(Tabla46782[[#This Row],[TIPO VEHÍCULO]]=Tabla46782[[#This Row],[Columna2]], "IGUAL", "DISTINTO")</f>
        <v>IGUAL</v>
      </c>
      <c r="BC84" s="214" t="str">
        <f>+IF(Tabla46782[[#This Row],[Columna4]]=Tabla46782[[#This Row],[Combustible2]], "IGUAL", "DISTINTO")</f>
        <v>IGUAL</v>
      </c>
      <c r="BD84" s="215" cm="1">
        <f t="array" ref="BD84">IFERROR(INDEX('[1]Anexos FICHA TRA050'!$D$27:$D$44, MATCH(Tabla46782[[#This Row],[Columna5]]&amp;Tabla46782[[#This Row],[Columna4]], '[1]Anexos FICHA TRA050'!$E$27:$E$44&amp;'[1]Anexos FICHA TRA050'!$F$27:$F$44, 0)), "")</f>
        <v>5.63</v>
      </c>
      <c r="BE84" s="215">
        <f>IFERROR(INDEX('[1]Anexos FICHA TRA050'!$B$4:$B$7, MATCH(Tabla46782[[#This Row],[Columna4]], '[1]Anexos FICHA TRA050'!$C$4:$C$7, 0)), "")</f>
        <v>10</v>
      </c>
      <c r="BF84" s="215">
        <f>IFERROR(INDEX('[1]Anexos FICHA TRA050'!$C$14:$C$22, MATCH(Tabla46782[[#This Row],[Columna5]], '[1]Anexos FICHA TRA050'!$D$14:$D$22, 0)), "")</f>
        <v>20.84</v>
      </c>
      <c r="BG84" s="216">
        <f>IFERROR(INDEX('[1]Anexos FICHA TRA050'!$C$49:$C$54, MATCH(Tabla46782[[#This Row],[Columna5]], '[1]Anexos FICHA TRA050'!$D$49:$D$54, 0)), "")</f>
        <v>15815</v>
      </c>
      <c r="BH84" s="217">
        <f>+(((Tabla46782[[#This Row],[CVA2]]*Tabla46782[[#This Row],[f2]])-Tabla46782[[#This Row],[CVN2]])/100)*Tabla46782[[#This Row],[L2]]</f>
        <v>5607.9989999999989</v>
      </c>
      <c r="BI84" s="218"/>
      <c r="BJ84" s="218"/>
      <c r="BK84" s="218" t="str">
        <f>+IF(Tabla46782[[#This Row],[F3]]=Tabla46782[[#This Row],[f2]], "IGUAL", "DISTINTO")</f>
        <v>IGUAL</v>
      </c>
      <c r="BL84" s="218" t="str">
        <f>+IF(Tabla46782[[#This Row],[CVN]]=Tabla46782[[#This Row],[CVN2]], "IGUAL", "DISTINTO")</f>
        <v>DISTINTO</v>
      </c>
      <c r="BM84" s="219" t="str">
        <f>+IF(Tabla46782[[#This Row],[L]]=Tabla46782[[#This Row],[L2]], "IGUAL", "DISTINTO")</f>
        <v>IGUAL</v>
      </c>
    </row>
    <row r="85" spans="1:65" x14ac:dyDescent="0.25">
      <c r="A85">
        <v>82</v>
      </c>
      <c r="B85" s="202" t="s">
        <v>662</v>
      </c>
      <c r="C85" s="203" t="s">
        <v>663</v>
      </c>
      <c r="D85" s="203" t="s">
        <v>128</v>
      </c>
      <c r="E85" s="203" t="s">
        <v>78</v>
      </c>
      <c r="F85" s="203" t="s">
        <v>78</v>
      </c>
      <c r="G85" s="203" t="s">
        <v>128</v>
      </c>
      <c r="H85" s="203" t="s">
        <v>72</v>
      </c>
      <c r="I85" s="203"/>
      <c r="J85" s="203" t="s">
        <v>72</v>
      </c>
      <c r="K85" s="203"/>
      <c r="L85" s="203" t="s">
        <v>72</v>
      </c>
      <c r="M85" s="203" t="s">
        <v>72</v>
      </c>
      <c r="N85" s="203"/>
      <c r="O85" s="203" t="s">
        <v>73</v>
      </c>
      <c r="P85" s="203" t="s">
        <v>74</v>
      </c>
      <c r="Q85" s="203" t="s">
        <v>75</v>
      </c>
      <c r="R85" s="203" t="s">
        <v>76</v>
      </c>
      <c r="S85" s="204">
        <v>45324</v>
      </c>
      <c r="T85" s="205">
        <v>45372</v>
      </c>
      <c r="U85" s="205">
        <f>VLOOKUP(Tabla46782[[#This Row],[Matricula]],BAJA2022202320242025!$B$3:$CR$245,95,FALSE)</f>
        <v>45372</v>
      </c>
      <c r="V85" s="206">
        <v>48</v>
      </c>
      <c r="W85" s="207">
        <v>2024</v>
      </c>
      <c r="X85" s="203" t="s">
        <v>77</v>
      </c>
      <c r="Y85" s="203" t="s">
        <v>78</v>
      </c>
      <c r="Z85" s="203" t="s">
        <v>85</v>
      </c>
      <c r="AA85" s="203" t="s">
        <v>642</v>
      </c>
      <c r="AB85" s="203" t="s">
        <v>102</v>
      </c>
      <c r="AC85" s="203" t="s">
        <v>103</v>
      </c>
      <c r="AD85" s="203" t="s">
        <v>649</v>
      </c>
      <c r="AE85" s="208">
        <v>23</v>
      </c>
      <c r="AF85" s="208" t="s">
        <v>664</v>
      </c>
      <c r="AG85" s="208" t="s">
        <v>85</v>
      </c>
      <c r="AH85" s="208" t="s">
        <v>114</v>
      </c>
      <c r="AI85" s="208" t="s">
        <v>87</v>
      </c>
      <c r="AJ85" s="208" t="s">
        <v>115</v>
      </c>
      <c r="AK85" s="205" t="s">
        <v>108</v>
      </c>
      <c r="AL85" s="204">
        <v>44945</v>
      </c>
      <c r="AM85" s="208">
        <v>-1</v>
      </c>
      <c r="AN85" s="209" t="s">
        <v>102</v>
      </c>
      <c r="AO85" s="210">
        <v>4500351522</v>
      </c>
      <c r="AP85" s="209" t="s">
        <v>103</v>
      </c>
      <c r="AQ85" s="209"/>
      <c r="AR85" s="209" t="s">
        <v>72</v>
      </c>
      <c r="AS85" s="209" t="s">
        <v>109</v>
      </c>
      <c r="AT85" s="209" t="s">
        <v>665</v>
      </c>
      <c r="AU85" s="210">
        <v>5.6</v>
      </c>
      <c r="AV85" s="211">
        <v>10</v>
      </c>
      <c r="AW85" s="212">
        <v>17.3</v>
      </c>
      <c r="AX85" s="213">
        <v>15815</v>
      </c>
      <c r="AY85" s="213">
        <v>6120.4049999999997</v>
      </c>
      <c r="AZ85" s="210" t="s">
        <v>128</v>
      </c>
      <c r="BA85" s="209" t="s">
        <v>93</v>
      </c>
      <c r="BB85" s="214" t="str">
        <f>+IF(Tabla46782[[#This Row],[TIPO VEHÍCULO]]=Tabla46782[[#This Row],[Columna2]], "IGUAL", "DISTINTO")</f>
        <v>IGUAL</v>
      </c>
      <c r="BC85" s="214" t="str">
        <f>+IF(Tabla46782[[#This Row],[Columna4]]=Tabla46782[[#This Row],[Combustible2]], "IGUAL", "DISTINTO")</f>
        <v>IGUAL</v>
      </c>
      <c r="BD85" s="215" cm="1">
        <f t="array" ref="BD85">IFERROR(INDEX('[1]Anexos FICHA TRA050'!$D$27:$D$44, MATCH(Tabla46782[[#This Row],[Columna5]]&amp;Tabla46782[[#This Row],[Columna4]], '[1]Anexos FICHA TRA050'!$E$27:$E$44&amp;'[1]Anexos FICHA TRA050'!$F$27:$F$44, 0)), "")</f>
        <v>5.63</v>
      </c>
      <c r="BE85" s="215">
        <f>IFERROR(INDEX('[1]Anexos FICHA TRA050'!$B$4:$B$7, MATCH(Tabla46782[[#This Row],[Columna4]], '[1]Anexos FICHA TRA050'!$C$4:$C$7, 0)), "")</f>
        <v>10</v>
      </c>
      <c r="BF85" s="215">
        <f>IFERROR(INDEX('[1]Anexos FICHA TRA050'!$C$14:$C$22, MATCH(Tabla46782[[#This Row],[Columna5]], '[1]Anexos FICHA TRA050'!$D$14:$D$22, 0)), "")</f>
        <v>20.84</v>
      </c>
      <c r="BG85" s="216">
        <f>IFERROR(INDEX('[1]Anexos FICHA TRA050'!$C$49:$C$54, MATCH(Tabla46782[[#This Row],[Columna5]], '[1]Anexos FICHA TRA050'!$D$49:$D$54, 0)), "")</f>
        <v>15815</v>
      </c>
      <c r="BH85" s="217">
        <f>+(((Tabla46782[[#This Row],[CVA2]]*Tabla46782[[#This Row],[f2]])-Tabla46782[[#This Row],[CVN2]])/100)*Tabla46782[[#This Row],[L2]]</f>
        <v>5607.9989999999989</v>
      </c>
      <c r="BI85" s="218"/>
      <c r="BJ85" s="218"/>
      <c r="BK85" s="218" t="str">
        <f>+IF(Tabla46782[[#This Row],[F3]]=Tabla46782[[#This Row],[f2]], "IGUAL", "DISTINTO")</f>
        <v>IGUAL</v>
      </c>
      <c r="BL85" s="218" t="str">
        <f>+IF(Tabla46782[[#This Row],[CVN]]=Tabla46782[[#This Row],[CVN2]], "IGUAL", "DISTINTO")</f>
        <v>DISTINTO</v>
      </c>
      <c r="BM85" s="219" t="str">
        <f>+IF(Tabla46782[[#This Row],[L]]=Tabla46782[[#This Row],[L2]], "IGUAL", "DISTINTO")</f>
        <v>IGUAL</v>
      </c>
    </row>
    <row r="86" spans="1:65" x14ac:dyDescent="0.25">
      <c r="A86">
        <v>83</v>
      </c>
      <c r="B86" s="202" t="s">
        <v>666</v>
      </c>
      <c r="C86" s="203" t="s">
        <v>667</v>
      </c>
      <c r="D86" s="203" t="s">
        <v>128</v>
      </c>
      <c r="E86" s="203" t="s">
        <v>78</v>
      </c>
      <c r="F86" s="203" t="s">
        <v>78</v>
      </c>
      <c r="G86" s="203" t="s">
        <v>128</v>
      </c>
      <c r="H86" s="203" t="s">
        <v>72</v>
      </c>
      <c r="I86" s="203" t="s">
        <v>72</v>
      </c>
      <c r="J86" s="203" t="s">
        <v>72</v>
      </c>
      <c r="K86" s="203"/>
      <c r="L86" s="203" t="s">
        <v>72</v>
      </c>
      <c r="M86" s="203" t="s">
        <v>72</v>
      </c>
      <c r="N86" s="203"/>
      <c r="O86" s="203" t="s">
        <v>73</v>
      </c>
      <c r="P86" s="203" t="s">
        <v>74</v>
      </c>
      <c r="Q86" s="203" t="s">
        <v>75</v>
      </c>
      <c r="R86" s="203" t="s">
        <v>76</v>
      </c>
      <c r="S86" s="204">
        <v>45323</v>
      </c>
      <c r="T86" s="205">
        <v>45425</v>
      </c>
      <c r="U86" s="205">
        <f>VLOOKUP(Tabla46782[[#This Row],[Matricula]],BAJA2022202320242025!$B$3:$CR$245,95,FALSE)</f>
        <v>45425</v>
      </c>
      <c r="V86" s="206">
        <v>102</v>
      </c>
      <c r="W86" s="207">
        <v>2024</v>
      </c>
      <c r="X86" s="203" t="s">
        <v>77</v>
      </c>
      <c r="Y86" s="203" t="s">
        <v>78</v>
      </c>
      <c r="Z86" s="203" t="s">
        <v>85</v>
      </c>
      <c r="AA86" s="203" t="s">
        <v>642</v>
      </c>
      <c r="AB86" s="203" t="s">
        <v>102</v>
      </c>
      <c r="AC86" s="203" t="s">
        <v>103</v>
      </c>
      <c r="AD86" s="203" t="s">
        <v>572</v>
      </c>
      <c r="AE86" s="208">
        <v>24</v>
      </c>
      <c r="AF86" s="208" t="s">
        <v>668</v>
      </c>
      <c r="AG86" s="208" t="s">
        <v>85</v>
      </c>
      <c r="AH86" s="208" t="s">
        <v>86</v>
      </c>
      <c r="AI86" s="208" t="s">
        <v>87</v>
      </c>
      <c r="AJ86" s="208" t="s">
        <v>669</v>
      </c>
      <c r="AK86" s="205" t="s">
        <v>89</v>
      </c>
      <c r="AL86" s="204">
        <v>45652</v>
      </c>
      <c r="AM86" s="208">
        <v>0</v>
      </c>
      <c r="AN86" s="209" t="s">
        <v>102</v>
      </c>
      <c r="AO86" s="209" t="s">
        <v>670</v>
      </c>
      <c r="AP86" s="209" t="s">
        <v>103</v>
      </c>
      <c r="AQ86" s="209"/>
      <c r="AR86" s="209" t="s">
        <v>72</v>
      </c>
      <c r="AS86" s="209" t="s">
        <v>109</v>
      </c>
      <c r="AT86" s="209" t="s">
        <v>671</v>
      </c>
      <c r="AU86" s="210">
        <v>5.6</v>
      </c>
      <c r="AV86" s="211">
        <v>10</v>
      </c>
      <c r="AW86" s="212">
        <v>17.3</v>
      </c>
      <c r="AX86" s="213">
        <v>15815</v>
      </c>
      <c r="AY86" s="213">
        <v>6120.4049999999997</v>
      </c>
      <c r="AZ86" s="210" t="s">
        <v>128</v>
      </c>
      <c r="BA86" s="209" t="s">
        <v>93</v>
      </c>
      <c r="BB86" s="214" t="str">
        <f>+IF(Tabla46782[[#This Row],[TIPO VEHÍCULO]]=Tabla46782[[#This Row],[Columna2]], "IGUAL", "DISTINTO")</f>
        <v>IGUAL</v>
      </c>
      <c r="BC86" s="214" t="str">
        <f>+IF(Tabla46782[[#This Row],[Columna4]]=Tabla46782[[#This Row],[Combustible2]], "IGUAL", "DISTINTO")</f>
        <v>IGUAL</v>
      </c>
      <c r="BD86" s="215" cm="1">
        <f t="array" ref="BD86">IFERROR(INDEX('[1]Anexos FICHA TRA050'!$D$27:$D$44, MATCH(Tabla46782[[#This Row],[Columna5]]&amp;Tabla46782[[#This Row],[Columna4]], '[1]Anexos FICHA TRA050'!$E$27:$E$44&amp;'[1]Anexos FICHA TRA050'!$F$27:$F$44, 0)), "")</f>
        <v>5.63</v>
      </c>
      <c r="BE86" s="215">
        <f>IFERROR(INDEX('[1]Anexos FICHA TRA050'!$B$4:$B$7, MATCH(Tabla46782[[#This Row],[Columna4]], '[1]Anexos FICHA TRA050'!$C$4:$C$7, 0)), "")</f>
        <v>10</v>
      </c>
      <c r="BF86" s="215">
        <f>IFERROR(INDEX('[1]Anexos FICHA TRA050'!$C$14:$C$22, MATCH(Tabla46782[[#This Row],[Columna5]], '[1]Anexos FICHA TRA050'!$D$14:$D$22, 0)), "")</f>
        <v>20.84</v>
      </c>
      <c r="BG86" s="216">
        <f>IFERROR(INDEX('[1]Anexos FICHA TRA050'!$C$49:$C$54, MATCH(Tabla46782[[#This Row],[Columna5]], '[1]Anexos FICHA TRA050'!$D$49:$D$54, 0)), "")</f>
        <v>15815</v>
      </c>
      <c r="BH86" s="217">
        <f>+(((Tabla46782[[#This Row],[CVA2]]*Tabla46782[[#This Row],[f2]])-Tabla46782[[#This Row],[CVN2]])/100)*Tabla46782[[#This Row],[L2]]</f>
        <v>5607.9989999999989</v>
      </c>
      <c r="BI86" s="218"/>
      <c r="BJ86" s="218"/>
      <c r="BK86" s="218" t="str">
        <f>+IF(Tabla46782[[#This Row],[F3]]=Tabla46782[[#This Row],[f2]], "IGUAL", "DISTINTO")</f>
        <v>IGUAL</v>
      </c>
      <c r="BL86" s="218" t="str">
        <f>+IF(Tabla46782[[#This Row],[CVN]]=Tabla46782[[#This Row],[CVN2]], "IGUAL", "DISTINTO")</f>
        <v>DISTINTO</v>
      </c>
      <c r="BM86" s="219" t="str">
        <f>+IF(Tabla46782[[#This Row],[L]]=Tabla46782[[#This Row],[L2]], "IGUAL", "DISTINTO")</f>
        <v>IGUAL</v>
      </c>
    </row>
    <row r="87" spans="1:65" x14ac:dyDescent="0.25">
      <c r="A87">
        <v>84</v>
      </c>
      <c r="B87" s="202" t="s">
        <v>672</v>
      </c>
      <c r="C87" s="203" t="s">
        <v>673</v>
      </c>
      <c r="D87" s="203" t="s">
        <v>70</v>
      </c>
      <c r="E87" s="203" t="s">
        <v>674</v>
      </c>
      <c r="F87" s="203" t="s">
        <v>674</v>
      </c>
      <c r="G87" s="203" t="s">
        <v>70</v>
      </c>
      <c r="H87" s="203" t="s">
        <v>72</v>
      </c>
      <c r="I87" s="203"/>
      <c r="J87" s="203" t="s">
        <v>72</v>
      </c>
      <c r="K87" s="203"/>
      <c r="L87" s="203" t="s">
        <v>249</v>
      </c>
      <c r="M87" s="203" t="s">
        <v>249</v>
      </c>
      <c r="N87" s="203"/>
      <c r="O87" s="203" t="s">
        <v>73</v>
      </c>
      <c r="P87" s="203" t="s">
        <v>200</v>
      </c>
      <c r="Q87" s="203" t="s">
        <v>201</v>
      </c>
      <c r="R87" s="203" t="s">
        <v>76</v>
      </c>
      <c r="S87" s="209">
        <v>43182</v>
      </c>
      <c r="T87" s="205">
        <v>45008</v>
      </c>
      <c r="U87" s="205">
        <f>VLOOKUP(Tabla46782[[#This Row],[Matricula]],BAJA2022202320242025!$B$3:$CR$245,95,FALSE)</f>
        <v>45048</v>
      </c>
      <c r="V87" s="206">
        <v>1826</v>
      </c>
      <c r="W87" s="207">
        <v>2023</v>
      </c>
      <c r="X87" s="203" t="s">
        <v>77</v>
      </c>
      <c r="Y87" s="203" t="s">
        <v>674</v>
      </c>
      <c r="Z87" s="203" t="s">
        <v>359</v>
      </c>
      <c r="AA87" s="203" t="s">
        <v>675</v>
      </c>
      <c r="AB87" s="203" t="s">
        <v>204</v>
      </c>
      <c r="AC87" s="203" t="s">
        <v>205</v>
      </c>
      <c r="AD87" s="203" t="s">
        <v>232</v>
      </c>
      <c r="AE87" s="208">
        <v>7</v>
      </c>
      <c r="AF87" s="208" t="s">
        <v>676</v>
      </c>
      <c r="AG87" s="208" t="s">
        <v>140</v>
      </c>
      <c r="AH87" s="208" t="s">
        <v>151</v>
      </c>
      <c r="AI87" s="208" t="s">
        <v>87</v>
      </c>
      <c r="AJ87" s="208" t="s">
        <v>230</v>
      </c>
      <c r="AK87" s="205" t="s">
        <v>89</v>
      </c>
      <c r="AL87" s="204">
        <v>45637</v>
      </c>
      <c r="AM87" s="208">
        <v>1</v>
      </c>
      <c r="AN87" s="209" t="s">
        <v>204</v>
      </c>
      <c r="AO87" s="209" t="s">
        <v>677</v>
      </c>
      <c r="AP87" s="209" t="s">
        <v>205</v>
      </c>
      <c r="AQ87" s="209"/>
      <c r="AR87" s="209" t="s">
        <v>72</v>
      </c>
      <c r="AS87" s="209" t="s">
        <v>91</v>
      </c>
      <c r="AT87" s="209" t="s">
        <v>678</v>
      </c>
      <c r="AU87" s="210">
        <v>5.0999999999999996</v>
      </c>
      <c r="AV87" s="211">
        <v>7.16</v>
      </c>
      <c r="AW87" s="212">
        <v>16.399999999999999</v>
      </c>
      <c r="AX87" s="213">
        <v>13073</v>
      </c>
      <c r="AY87" s="213">
        <v>2629.7646800000002</v>
      </c>
      <c r="AZ87" s="210" t="s">
        <v>70</v>
      </c>
      <c r="BA87" s="209" t="s">
        <v>93</v>
      </c>
      <c r="BB87" s="214" t="str">
        <f>+IF(Tabla46782[[#This Row],[TIPO VEHÍCULO]]=Tabla46782[[#This Row],[Columna2]], "IGUAL", "DISTINTO")</f>
        <v>IGUAL</v>
      </c>
      <c r="BC87" s="214" t="str">
        <f>+IF(Tabla46782[[#This Row],[Columna4]]=Tabla46782[[#This Row],[Combustible2]], "IGUAL", "DISTINTO")</f>
        <v>IGUAL</v>
      </c>
      <c r="BD87" s="215" cm="1">
        <f t="array" ref="BD87">IFERROR(INDEX('[1]Anexos FICHA TRA050'!$D$27:$D$44, MATCH(Tabla46782[[#This Row],[Columna5]]&amp;Tabla46782[[#This Row],[Columna4]], '[1]Anexos FICHA TRA050'!$E$27:$E$44&amp;'[1]Anexos FICHA TRA050'!$F$27:$F$44, 0)), "")</f>
        <v>6.45</v>
      </c>
      <c r="BE87" s="215">
        <f>IFERROR(INDEX('[1]Anexos FICHA TRA050'!$B$4:$B$7, MATCH(Tabla46782[[#This Row],[Columna4]], '[1]Anexos FICHA TRA050'!$C$4:$C$7, 0)), "")</f>
        <v>7.16</v>
      </c>
      <c r="BF87" s="215">
        <f>IFERROR(INDEX('[1]Anexos FICHA TRA050'!$C$14:$C$22, MATCH(Tabla46782[[#This Row],[Columna5]], '[1]Anexos FICHA TRA050'!$D$14:$D$22, 0)), "")</f>
        <v>17.920000000000002</v>
      </c>
      <c r="BG87" s="216">
        <f>IFERROR(INDEX('[1]Anexos FICHA TRA050'!$C$49:$C$54, MATCH(Tabla46782[[#This Row],[Columna5]], '[1]Anexos FICHA TRA050'!$D$49:$D$54, 0)), "")</f>
        <v>13073</v>
      </c>
      <c r="BH87" s="217">
        <f>+(((Tabla46782[[#This Row],[CVA2]]*Tabla46782[[#This Row],[f2]])-Tabla46782[[#This Row],[CVN2]])/100)*Tabla46782[[#This Row],[L2]]</f>
        <v>3694.6912599999996</v>
      </c>
      <c r="BI87" s="218"/>
      <c r="BJ87" s="218"/>
      <c r="BK87" s="218" t="str">
        <f>+IF(Tabla46782[[#This Row],[F3]]=Tabla46782[[#This Row],[f2]], "IGUAL", "DISTINTO")</f>
        <v>IGUAL</v>
      </c>
      <c r="BL87" s="218" t="str">
        <f>+IF(Tabla46782[[#This Row],[CVN]]=Tabla46782[[#This Row],[CVN2]], "IGUAL", "DISTINTO")</f>
        <v>DISTINTO</v>
      </c>
      <c r="BM87" s="219" t="str">
        <f>+IF(Tabla46782[[#This Row],[L]]=Tabla46782[[#This Row],[L2]], "IGUAL", "DISTINTO")</f>
        <v>IGUAL</v>
      </c>
    </row>
    <row r="88" spans="1:65" x14ac:dyDescent="0.25">
      <c r="A88">
        <v>85</v>
      </c>
      <c r="B88" s="202" t="s">
        <v>679</v>
      </c>
      <c r="C88" s="203" t="s">
        <v>680</v>
      </c>
      <c r="D88" s="203" t="s">
        <v>70</v>
      </c>
      <c r="E88" s="203" t="s">
        <v>681</v>
      </c>
      <c r="F88" s="203" t="s">
        <v>674</v>
      </c>
      <c r="G88" s="203" t="s">
        <v>70</v>
      </c>
      <c r="H88" s="203" t="s">
        <v>72</v>
      </c>
      <c r="I88" s="203" t="s">
        <v>72</v>
      </c>
      <c r="J88" s="203" t="s">
        <v>72</v>
      </c>
      <c r="K88" s="203"/>
      <c r="L88" s="203" t="s">
        <v>72</v>
      </c>
      <c r="M88" s="203" t="s">
        <v>72</v>
      </c>
      <c r="N88" s="203"/>
      <c r="O88" s="203" t="s">
        <v>73</v>
      </c>
      <c r="P88" s="203" t="s">
        <v>200</v>
      </c>
      <c r="Q88" s="203" t="s">
        <v>201</v>
      </c>
      <c r="R88" s="203" t="s">
        <v>76</v>
      </c>
      <c r="S88" s="209">
        <v>43560</v>
      </c>
      <c r="T88" s="205">
        <v>45021</v>
      </c>
      <c r="U88" s="205">
        <f>VLOOKUP(Tabla46782[[#This Row],[Matricula]],BAJA2022202320242025!$B$3:$CR$245,95,FALSE)</f>
        <v>44965</v>
      </c>
      <c r="V88" s="206">
        <v>1461</v>
      </c>
      <c r="W88" s="207">
        <v>2023</v>
      </c>
      <c r="X88" s="203" t="s">
        <v>77</v>
      </c>
      <c r="Y88" s="203" t="s">
        <v>674</v>
      </c>
      <c r="Z88" s="203" t="s">
        <v>359</v>
      </c>
      <c r="AA88" s="203" t="s">
        <v>675</v>
      </c>
      <c r="AB88" s="203" t="s">
        <v>204</v>
      </c>
      <c r="AC88" s="203" t="s">
        <v>205</v>
      </c>
      <c r="AD88" s="203" t="s">
        <v>682</v>
      </c>
      <c r="AE88" s="208">
        <v>8</v>
      </c>
      <c r="AF88" s="208" t="s">
        <v>683</v>
      </c>
      <c r="AG88" s="208" t="s">
        <v>140</v>
      </c>
      <c r="AH88" s="208" t="s">
        <v>151</v>
      </c>
      <c r="AI88" s="208" t="s">
        <v>87</v>
      </c>
      <c r="AJ88" s="208" t="s">
        <v>232</v>
      </c>
      <c r="AK88" s="205" t="s">
        <v>89</v>
      </c>
      <c r="AL88" s="204">
        <v>45637</v>
      </c>
      <c r="AM88" s="208">
        <v>1</v>
      </c>
      <c r="AN88" s="209" t="s">
        <v>204</v>
      </c>
      <c r="AO88" s="209" t="s">
        <v>684</v>
      </c>
      <c r="AP88" s="209" t="s">
        <v>205</v>
      </c>
      <c r="AQ88" s="209"/>
      <c r="AR88" s="209" t="s">
        <v>72</v>
      </c>
      <c r="AS88" s="209" t="s">
        <v>91</v>
      </c>
      <c r="AT88" s="209" t="s">
        <v>685</v>
      </c>
      <c r="AU88" s="210">
        <v>5.0999999999999996</v>
      </c>
      <c r="AV88" s="211">
        <v>7.16</v>
      </c>
      <c r="AW88" s="212">
        <v>16.399999999999999</v>
      </c>
      <c r="AX88" s="213">
        <v>13073</v>
      </c>
      <c r="AY88" s="213">
        <v>2629.7646800000002</v>
      </c>
      <c r="AZ88" s="210" t="s">
        <v>70</v>
      </c>
      <c r="BA88" s="209" t="s">
        <v>93</v>
      </c>
      <c r="BB88" s="214" t="str">
        <f>+IF(Tabla46782[[#This Row],[TIPO VEHÍCULO]]=Tabla46782[[#This Row],[Columna2]], "IGUAL", "DISTINTO")</f>
        <v>IGUAL</v>
      </c>
      <c r="BC88" s="214" t="str">
        <f>+IF(Tabla46782[[#This Row],[Columna4]]=Tabla46782[[#This Row],[Combustible2]], "IGUAL", "DISTINTO")</f>
        <v>IGUAL</v>
      </c>
      <c r="BD88" s="215" cm="1">
        <f t="array" ref="BD88">IFERROR(INDEX('[1]Anexos FICHA TRA050'!$D$27:$D$44, MATCH(Tabla46782[[#This Row],[Columna5]]&amp;Tabla46782[[#This Row],[Columna4]], '[1]Anexos FICHA TRA050'!$E$27:$E$44&amp;'[1]Anexos FICHA TRA050'!$F$27:$F$44, 0)), "")</f>
        <v>6.45</v>
      </c>
      <c r="BE88" s="215">
        <f>IFERROR(INDEX('[1]Anexos FICHA TRA050'!$B$4:$B$7, MATCH(Tabla46782[[#This Row],[Columna4]], '[1]Anexos FICHA TRA050'!$C$4:$C$7, 0)), "")</f>
        <v>7.16</v>
      </c>
      <c r="BF88" s="215">
        <f>IFERROR(INDEX('[1]Anexos FICHA TRA050'!$C$14:$C$22, MATCH(Tabla46782[[#This Row],[Columna5]], '[1]Anexos FICHA TRA050'!$D$14:$D$22, 0)), "")</f>
        <v>17.920000000000002</v>
      </c>
      <c r="BG88" s="216">
        <f>IFERROR(INDEX('[1]Anexos FICHA TRA050'!$C$49:$C$54, MATCH(Tabla46782[[#This Row],[Columna5]], '[1]Anexos FICHA TRA050'!$D$49:$D$54, 0)), "")</f>
        <v>13073</v>
      </c>
      <c r="BH88" s="217">
        <f>+(((Tabla46782[[#This Row],[CVA2]]*Tabla46782[[#This Row],[f2]])-Tabla46782[[#This Row],[CVN2]])/100)*Tabla46782[[#This Row],[L2]]</f>
        <v>3694.6912599999996</v>
      </c>
      <c r="BI88" s="218"/>
      <c r="BJ88" s="218"/>
      <c r="BK88" s="218" t="str">
        <f>+IF(Tabla46782[[#This Row],[F3]]=Tabla46782[[#This Row],[f2]], "IGUAL", "DISTINTO")</f>
        <v>IGUAL</v>
      </c>
      <c r="BL88" s="218" t="str">
        <f>+IF(Tabla46782[[#This Row],[CVN]]=Tabla46782[[#This Row],[CVN2]], "IGUAL", "DISTINTO")</f>
        <v>DISTINTO</v>
      </c>
      <c r="BM88" s="219" t="str">
        <f>+IF(Tabla46782[[#This Row],[L]]=Tabla46782[[#This Row],[L2]], "IGUAL", "DISTINTO")</f>
        <v>IGUAL</v>
      </c>
    </row>
    <row r="89" spans="1:65" x14ac:dyDescent="0.25">
      <c r="A89">
        <v>86</v>
      </c>
      <c r="B89" s="202" t="s">
        <v>686</v>
      </c>
      <c r="C89" s="203" t="s">
        <v>687</v>
      </c>
      <c r="D89" s="203" t="s">
        <v>70</v>
      </c>
      <c r="E89" s="203" t="s">
        <v>78</v>
      </c>
      <c r="F89" s="203" t="s">
        <v>78</v>
      </c>
      <c r="G89" s="203" t="s">
        <v>70</v>
      </c>
      <c r="H89" s="203" t="s">
        <v>72</v>
      </c>
      <c r="I89" s="203" t="s">
        <v>72</v>
      </c>
      <c r="J89" s="203"/>
      <c r="K89" s="203"/>
      <c r="L89" s="203" t="s">
        <v>72</v>
      </c>
      <c r="M89" s="203" t="s">
        <v>72</v>
      </c>
      <c r="N89" s="203"/>
      <c r="O89" s="203" t="s">
        <v>73</v>
      </c>
      <c r="P89" s="203" t="s">
        <v>200</v>
      </c>
      <c r="Q89" s="203" t="s">
        <v>201</v>
      </c>
      <c r="R89" s="203" t="s">
        <v>160</v>
      </c>
      <c r="S89" s="209">
        <v>43685</v>
      </c>
      <c r="T89" s="205">
        <v>45512</v>
      </c>
      <c r="U89" s="205">
        <f>VLOOKUP(Tabla46782[[#This Row],[Matricula]],BAJA2022202320242025!$B$3:$CR$245,95,FALSE)</f>
        <v>45639</v>
      </c>
      <c r="V89" s="206">
        <v>1827</v>
      </c>
      <c r="W89" s="207">
        <v>2024</v>
      </c>
      <c r="X89" s="203" t="s">
        <v>161</v>
      </c>
      <c r="Y89" s="203" t="s">
        <v>78</v>
      </c>
      <c r="Z89" s="203" t="s">
        <v>359</v>
      </c>
      <c r="AA89" s="203" t="s">
        <v>688</v>
      </c>
      <c r="AB89" s="203" t="s">
        <v>689</v>
      </c>
      <c r="AC89" s="203" t="s">
        <v>690</v>
      </c>
      <c r="AD89" s="203" t="s">
        <v>691</v>
      </c>
      <c r="AE89" s="208">
        <v>1</v>
      </c>
      <c r="AF89" s="208" t="s">
        <v>692</v>
      </c>
      <c r="AG89" s="208" t="s">
        <v>85</v>
      </c>
      <c r="AH89" s="208" t="s">
        <v>340</v>
      </c>
      <c r="AI89" s="208" t="s">
        <v>87</v>
      </c>
      <c r="AJ89" s="208" t="s">
        <v>691</v>
      </c>
      <c r="AK89" s="205" t="s">
        <v>108</v>
      </c>
      <c r="AL89" s="204">
        <v>43019</v>
      </c>
      <c r="AM89" s="208">
        <v>-1</v>
      </c>
      <c r="AN89" s="209" t="s">
        <v>689</v>
      </c>
      <c r="AO89" s="210">
        <v>4500349877</v>
      </c>
      <c r="AP89" s="209" t="s">
        <v>690</v>
      </c>
      <c r="AQ89" s="209"/>
      <c r="AR89" s="209"/>
      <c r="AS89" s="209" t="s">
        <v>109</v>
      </c>
      <c r="AT89" s="209" t="s">
        <v>693</v>
      </c>
      <c r="AU89" s="210">
        <v>5.0999999999999996</v>
      </c>
      <c r="AV89" s="211">
        <v>10</v>
      </c>
      <c r="AW89" s="212">
        <v>13.3</v>
      </c>
      <c r="AX89" s="213">
        <v>13073</v>
      </c>
      <c r="AY89" s="213">
        <v>4928.5209999999997</v>
      </c>
      <c r="AZ89" s="210" t="s">
        <v>70</v>
      </c>
      <c r="BA89" s="209" t="s">
        <v>255</v>
      </c>
      <c r="BB89" s="214" t="str">
        <f>+IF(Tabla46782[[#This Row],[TIPO VEHÍCULO]]=Tabla46782[[#This Row],[Columna2]], "IGUAL", "DISTINTO")</f>
        <v>IGUAL</v>
      </c>
      <c r="BC89" s="214" t="str">
        <f>+IF(Tabla46782[[#This Row],[Columna4]]=Tabla46782[[#This Row],[Combustible2]], "IGUAL", "DISTINTO")</f>
        <v>IGUAL</v>
      </c>
      <c r="BD89" s="215" cm="1">
        <f t="array" ref="BD89">IFERROR(INDEX('[1]Anexos FICHA TRA050'!$D$27:$D$44, MATCH(Tabla46782[[#This Row],[Columna5]]&amp;Tabla46782[[#This Row],[Columna4]], '[1]Anexos FICHA TRA050'!$E$27:$E$44&amp;'[1]Anexos FICHA TRA050'!$F$27:$F$44, 0)), "")</f>
        <v>6.99</v>
      </c>
      <c r="BE89" s="215">
        <f>IFERROR(INDEX('[1]Anexos FICHA TRA050'!$B$4:$B$7, MATCH(Tabla46782[[#This Row],[Columna4]], '[1]Anexos FICHA TRA050'!$C$4:$C$7, 0)), "")</f>
        <v>10</v>
      </c>
      <c r="BF89" s="215">
        <f>IFERROR(INDEX('[1]Anexos FICHA TRA050'!$C$14:$C$22, MATCH(Tabla46782[[#This Row],[Columna5]], '[1]Anexos FICHA TRA050'!$D$14:$D$22, 0)), "")</f>
        <v>17.920000000000002</v>
      </c>
      <c r="BG89" s="216">
        <f>IFERROR(INDEX('[1]Anexos FICHA TRA050'!$C$49:$C$54, MATCH(Tabla46782[[#This Row],[Columna5]], '[1]Anexos FICHA TRA050'!$D$49:$D$54, 0)), "")</f>
        <v>13073</v>
      </c>
      <c r="BH89" s="217">
        <f>+(((Tabla46782[[#This Row],[CVA2]]*Tabla46782[[#This Row],[f2]])-Tabla46782[[#This Row],[CVN2]])/100)*Tabla46782[[#This Row],[L2]]</f>
        <v>6795.3454000000002</v>
      </c>
      <c r="BI89" s="218"/>
      <c r="BJ89" s="218"/>
      <c r="BK89" s="218" t="str">
        <f>+IF(Tabla46782[[#This Row],[F3]]=Tabla46782[[#This Row],[f2]], "IGUAL", "DISTINTO")</f>
        <v>IGUAL</v>
      </c>
      <c r="BL89" s="218" t="str">
        <f>+IF(Tabla46782[[#This Row],[CVN]]=Tabla46782[[#This Row],[CVN2]], "IGUAL", "DISTINTO")</f>
        <v>DISTINTO</v>
      </c>
      <c r="BM89" s="219" t="str">
        <f>+IF(Tabla46782[[#This Row],[L]]=Tabla46782[[#This Row],[L2]], "IGUAL", "DISTINTO")</f>
        <v>IGUAL</v>
      </c>
    </row>
    <row r="90" spans="1:65" x14ac:dyDescent="0.25">
      <c r="A90">
        <v>87</v>
      </c>
      <c r="B90" s="202" t="s">
        <v>694</v>
      </c>
      <c r="C90" s="203" t="s">
        <v>695</v>
      </c>
      <c r="D90" s="203" t="s">
        <v>128</v>
      </c>
      <c r="E90" s="203" t="s">
        <v>78</v>
      </c>
      <c r="F90" s="203" t="s">
        <v>78</v>
      </c>
      <c r="G90" s="203" t="s">
        <v>128</v>
      </c>
      <c r="H90" s="203" t="s">
        <v>72</v>
      </c>
      <c r="I90" s="203" t="s">
        <v>72</v>
      </c>
      <c r="J90" s="203" t="s">
        <v>72</v>
      </c>
      <c r="K90" s="203"/>
      <c r="L90" s="203" t="s">
        <v>72</v>
      </c>
      <c r="M90" s="203" t="s">
        <v>72</v>
      </c>
      <c r="N90" s="203"/>
      <c r="O90" s="203" t="s">
        <v>73</v>
      </c>
      <c r="P90" s="203" t="s">
        <v>74</v>
      </c>
      <c r="Q90" s="203" t="s">
        <v>75</v>
      </c>
      <c r="R90" s="203" t="s">
        <v>76</v>
      </c>
      <c r="S90" s="204">
        <v>45447</v>
      </c>
      <c r="T90" s="205">
        <v>45516</v>
      </c>
      <c r="U90" s="205">
        <f>VLOOKUP(Tabla46782[[#This Row],[Matricula]],BAJA2022202320242025!$B$3:$CR$245,95,FALSE)</f>
        <v>45516</v>
      </c>
      <c r="V90" s="206">
        <v>69</v>
      </c>
      <c r="W90" s="207">
        <v>2024</v>
      </c>
      <c r="X90" s="203" t="s">
        <v>77</v>
      </c>
      <c r="Y90" s="203" t="s">
        <v>78</v>
      </c>
      <c r="Z90" s="203" t="s">
        <v>85</v>
      </c>
      <c r="AA90" s="203" t="s">
        <v>642</v>
      </c>
      <c r="AB90" s="203" t="s">
        <v>102</v>
      </c>
      <c r="AC90" s="203" t="s">
        <v>103</v>
      </c>
      <c r="AD90" s="203" t="s">
        <v>696</v>
      </c>
      <c r="AE90" s="208">
        <v>25</v>
      </c>
      <c r="AF90" s="208" t="s">
        <v>697</v>
      </c>
      <c r="AG90" s="208" t="s">
        <v>85</v>
      </c>
      <c r="AH90" s="208" t="s">
        <v>86</v>
      </c>
      <c r="AI90" s="208" t="s">
        <v>87</v>
      </c>
      <c r="AJ90" s="208" t="s">
        <v>698</v>
      </c>
      <c r="AK90" s="205" t="s">
        <v>89</v>
      </c>
      <c r="AL90" s="204">
        <v>45625</v>
      </c>
      <c r="AM90" s="208">
        <v>0</v>
      </c>
      <c r="AN90" s="209" t="s">
        <v>102</v>
      </c>
      <c r="AO90" s="209" t="s">
        <v>699</v>
      </c>
      <c r="AP90" s="209" t="s">
        <v>103</v>
      </c>
      <c r="AQ90" s="209"/>
      <c r="AR90" s="209" t="s">
        <v>72</v>
      </c>
      <c r="AS90" s="209" t="s">
        <v>109</v>
      </c>
      <c r="AT90" s="209" t="s">
        <v>700</v>
      </c>
      <c r="AU90" s="210">
        <v>5.6</v>
      </c>
      <c r="AV90" s="211">
        <v>10</v>
      </c>
      <c r="AW90" s="212">
        <v>17.3</v>
      </c>
      <c r="AX90" s="213">
        <v>15815</v>
      </c>
      <c r="AY90" s="213">
        <v>6120.4049999999997</v>
      </c>
      <c r="AZ90" s="210" t="s">
        <v>128</v>
      </c>
      <c r="BA90" s="209" t="s">
        <v>93</v>
      </c>
      <c r="BB90" s="214" t="str">
        <f>+IF(Tabla46782[[#This Row],[TIPO VEHÍCULO]]=Tabla46782[[#This Row],[Columna2]], "IGUAL", "DISTINTO")</f>
        <v>IGUAL</v>
      </c>
      <c r="BC90" s="214" t="str">
        <f>+IF(Tabla46782[[#This Row],[Columna4]]=Tabla46782[[#This Row],[Combustible2]], "IGUAL", "DISTINTO")</f>
        <v>IGUAL</v>
      </c>
      <c r="BD90" s="215" cm="1">
        <f t="array" ref="BD90">IFERROR(INDEX('[1]Anexos FICHA TRA050'!$D$27:$D$44, MATCH(Tabla46782[[#This Row],[Columna5]]&amp;Tabla46782[[#This Row],[Columna4]], '[1]Anexos FICHA TRA050'!$E$27:$E$44&amp;'[1]Anexos FICHA TRA050'!$F$27:$F$44, 0)), "")</f>
        <v>5.63</v>
      </c>
      <c r="BE90" s="215">
        <f>IFERROR(INDEX('[1]Anexos FICHA TRA050'!$B$4:$B$7, MATCH(Tabla46782[[#This Row],[Columna4]], '[1]Anexos FICHA TRA050'!$C$4:$C$7, 0)), "")</f>
        <v>10</v>
      </c>
      <c r="BF90" s="215">
        <f>IFERROR(INDEX('[1]Anexos FICHA TRA050'!$C$14:$C$22, MATCH(Tabla46782[[#This Row],[Columna5]], '[1]Anexos FICHA TRA050'!$D$14:$D$22, 0)), "")</f>
        <v>20.84</v>
      </c>
      <c r="BG90" s="216">
        <f>IFERROR(INDEX('[1]Anexos FICHA TRA050'!$C$49:$C$54, MATCH(Tabla46782[[#This Row],[Columna5]], '[1]Anexos FICHA TRA050'!$D$49:$D$54, 0)), "")</f>
        <v>15815</v>
      </c>
      <c r="BH90" s="217">
        <f>+(((Tabla46782[[#This Row],[CVA2]]*Tabla46782[[#This Row],[f2]])-Tabla46782[[#This Row],[CVN2]])/100)*Tabla46782[[#This Row],[L2]]</f>
        <v>5607.9989999999989</v>
      </c>
      <c r="BI90" s="218"/>
      <c r="BJ90" s="218"/>
      <c r="BK90" s="218" t="str">
        <f>+IF(Tabla46782[[#This Row],[F3]]=Tabla46782[[#This Row],[f2]], "IGUAL", "DISTINTO")</f>
        <v>IGUAL</v>
      </c>
      <c r="BL90" s="218" t="str">
        <f>+IF(Tabla46782[[#This Row],[CVN]]=Tabla46782[[#This Row],[CVN2]], "IGUAL", "DISTINTO")</f>
        <v>DISTINTO</v>
      </c>
      <c r="BM90" s="219" t="str">
        <f>+IF(Tabla46782[[#This Row],[L]]=Tabla46782[[#This Row],[L2]], "IGUAL", "DISTINTO")</f>
        <v>IGUAL</v>
      </c>
    </row>
    <row r="91" spans="1:65" x14ac:dyDescent="0.25">
      <c r="A91">
        <v>88</v>
      </c>
      <c r="B91" s="202" t="s">
        <v>701</v>
      </c>
      <c r="C91" s="203" t="s">
        <v>702</v>
      </c>
      <c r="D91" s="203" t="s">
        <v>128</v>
      </c>
      <c r="E91" s="203" t="s">
        <v>78</v>
      </c>
      <c r="F91" s="203" t="s">
        <v>78</v>
      </c>
      <c r="G91" s="203" t="s">
        <v>128</v>
      </c>
      <c r="H91" s="203" t="s">
        <v>72</v>
      </c>
      <c r="I91" s="203" t="s">
        <v>72</v>
      </c>
      <c r="J91" s="203" t="s">
        <v>72</v>
      </c>
      <c r="K91" s="203"/>
      <c r="L91" s="203" t="s">
        <v>72</v>
      </c>
      <c r="M91" s="203" t="s">
        <v>72</v>
      </c>
      <c r="N91" s="203"/>
      <c r="O91" s="203" t="s">
        <v>73</v>
      </c>
      <c r="P91" s="203" t="s">
        <v>74</v>
      </c>
      <c r="Q91" s="203" t="s">
        <v>75</v>
      </c>
      <c r="R91" s="203" t="s">
        <v>76</v>
      </c>
      <c r="S91" s="204">
        <v>45447</v>
      </c>
      <c r="T91" s="205">
        <v>45516</v>
      </c>
      <c r="U91" s="205">
        <f>VLOOKUP(Tabla46782[[#This Row],[Matricula]],BAJA2022202320242025!$B$3:$CR$245,95,FALSE)</f>
        <v>45516</v>
      </c>
      <c r="V91" s="206">
        <v>69</v>
      </c>
      <c r="W91" s="207">
        <v>2024</v>
      </c>
      <c r="X91" s="203" t="s">
        <v>77</v>
      </c>
      <c r="Y91" s="203" t="s">
        <v>78</v>
      </c>
      <c r="Z91" s="203" t="s">
        <v>85</v>
      </c>
      <c r="AA91" s="203" t="s">
        <v>642</v>
      </c>
      <c r="AB91" s="203" t="s">
        <v>102</v>
      </c>
      <c r="AC91" s="203" t="s">
        <v>103</v>
      </c>
      <c r="AD91" s="203" t="s">
        <v>696</v>
      </c>
      <c r="AE91" s="208">
        <v>26</v>
      </c>
      <c r="AF91" s="208" t="s">
        <v>703</v>
      </c>
      <c r="AG91" s="208" t="s">
        <v>85</v>
      </c>
      <c r="AH91" s="208" t="s">
        <v>86</v>
      </c>
      <c r="AI91" s="208" t="s">
        <v>87</v>
      </c>
      <c r="AJ91" s="208" t="s">
        <v>579</v>
      </c>
      <c r="AK91" s="205" t="s">
        <v>89</v>
      </c>
      <c r="AL91" s="204">
        <v>45625</v>
      </c>
      <c r="AM91" s="208">
        <v>0</v>
      </c>
      <c r="AN91" s="209" t="s">
        <v>102</v>
      </c>
      <c r="AO91" s="209" t="s">
        <v>704</v>
      </c>
      <c r="AP91" s="209" t="s">
        <v>103</v>
      </c>
      <c r="AQ91" s="209"/>
      <c r="AR91" s="209" t="s">
        <v>72</v>
      </c>
      <c r="AS91" s="209" t="s">
        <v>109</v>
      </c>
      <c r="AT91" s="209" t="s">
        <v>705</v>
      </c>
      <c r="AU91" s="210">
        <v>5.6</v>
      </c>
      <c r="AV91" s="211">
        <v>10</v>
      </c>
      <c r="AW91" s="212">
        <v>17.3</v>
      </c>
      <c r="AX91" s="213">
        <v>15815</v>
      </c>
      <c r="AY91" s="213">
        <v>6120.4049999999997</v>
      </c>
      <c r="AZ91" s="210" t="s">
        <v>128</v>
      </c>
      <c r="BA91" s="209" t="s">
        <v>93</v>
      </c>
      <c r="BB91" s="214" t="str">
        <f>+IF(Tabla46782[[#This Row],[TIPO VEHÍCULO]]=Tabla46782[[#This Row],[Columna2]], "IGUAL", "DISTINTO")</f>
        <v>IGUAL</v>
      </c>
      <c r="BC91" s="214" t="str">
        <f>+IF(Tabla46782[[#This Row],[Columna4]]=Tabla46782[[#This Row],[Combustible2]], "IGUAL", "DISTINTO")</f>
        <v>IGUAL</v>
      </c>
      <c r="BD91" s="215" cm="1">
        <f t="array" ref="BD91">IFERROR(INDEX('[1]Anexos FICHA TRA050'!$D$27:$D$44, MATCH(Tabla46782[[#This Row],[Columna5]]&amp;Tabla46782[[#This Row],[Columna4]], '[1]Anexos FICHA TRA050'!$E$27:$E$44&amp;'[1]Anexos FICHA TRA050'!$F$27:$F$44, 0)), "")</f>
        <v>5.63</v>
      </c>
      <c r="BE91" s="215">
        <f>IFERROR(INDEX('[1]Anexos FICHA TRA050'!$B$4:$B$7, MATCH(Tabla46782[[#This Row],[Columna4]], '[1]Anexos FICHA TRA050'!$C$4:$C$7, 0)), "")</f>
        <v>10</v>
      </c>
      <c r="BF91" s="215">
        <f>IFERROR(INDEX('[1]Anexos FICHA TRA050'!$C$14:$C$22, MATCH(Tabla46782[[#This Row],[Columna5]], '[1]Anexos FICHA TRA050'!$D$14:$D$22, 0)), "")</f>
        <v>20.84</v>
      </c>
      <c r="BG91" s="216">
        <f>IFERROR(INDEX('[1]Anexos FICHA TRA050'!$C$49:$C$54, MATCH(Tabla46782[[#This Row],[Columna5]], '[1]Anexos FICHA TRA050'!$D$49:$D$54, 0)), "")</f>
        <v>15815</v>
      </c>
      <c r="BH91" s="217">
        <f>+(((Tabla46782[[#This Row],[CVA2]]*Tabla46782[[#This Row],[f2]])-Tabla46782[[#This Row],[CVN2]])/100)*Tabla46782[[#This Row],[L2]]</f>
        <v>5607.9989999999989</v>
      </c>
      <c r="BI91" s="218"/>
      <c r="BJ91" s="218"/>
      <c r="BK91" s="218" t="str">
        <f>+IF(Tabla46782[[#This Row],[F3]]=Tabla46782[[#This Row],[f2]], "IGUAL", "DISTINTO")</f>
        <v>IGUAL</v>
      </c>
      <c r="BL91" s="218" t="str">
        <f>+IF(Tabla46782[[#This Row],[CVN]]=Tabla46782[[#This Row],[CVN2]], "IGUAL", "DISTINTO")</f>
        <v>DISTINTO</v>
      </c>
      <c r="BM91" s="219" t="str">
        <f>+IF(Tabla46782[[#This Row],[L]]=Tabla46782[[#This Row],[L2]], "IGUAL", "DISTINTO")</f>
        <v>IGUAL</v>
      </c>
    </row>
    <row r="92" spans="1:65" x14ac:dyDescent="0.25">
      <c r="A92">
        <v>89</v>
      </c>
      <c r="B92" s="202" t="s">
        <v>706</v>
      </c>
      <c r="C92" s="203" t="s">
        <v>707</v>
      </c>
      <c r="D92" s="203" t="s">
        <v>128</v>
      </c>
      <c r="E92" s="203" t="s">
        <v>78</v>
      </c>
      <c r="F92" s="203" t="s">
        <v>78</v>
      </c>
      <c r="G92" s="203" t="s">
        <v>128</v>
      </c>
      <c r="H92" s="203" t="s">
        <v>72</v>
      </c>
      <c r="I92" s="203" t="s">
        <v>72</v>
      </c>
      <c r="J92" s="203" t="s">
        <v>72</v>
      </c>
      <c r="K92" s="203"/>
      <c r="L92" s="203" t="s">
        <v>72</v>
      </c>
      <c r="M92" s="203" t="s">
        <v>72</v>
      </c>
      <c r="N92" s="203"/>
      <c r="O92" s="203" t="s">
        <v>73</v>
      </c>
      <c r="P92" s="203" t="s">
        <v>74</v>
      </c>
      <c r="Q92" s="203" t="s">
        <v>75</v>
      </c>
      <c r="R92" s="203" t="s">
        <v>76</v>
      </c>
      <c r="S92" s="204">
        <v>45447</v>
      </c>
      <c r="T92" s="205">
        <v>45516</v>
      </c>
      <c r="U92" s="205">
        <f>VLOOKUP(Tabla46782[[#This Row],[Matricula]],BAJA2022202320242025!$B$3:$CR$245,95,FALSE)</f>
        <v>45516</v>
      </c>
      <c r="V92" s="206">
        <v>69</v>
      </c>
      <c r="W92" s="207">
        <v>2024</v>
      </c>
      <c r="X92" s="203" t="s">
        <v>77</v>
      </c>
      <c r="Y92" s="203" t="s">
        <v>78</v>
      </c>
      <c r="Z92" s="203" t="s">
        <v>85</v>
      </c>
      <c r="AA92" s="203" t="s">
        <v>642</v>
      </c>
      <c r="AB92" s="203" t="s">
        <v>102</v>
      </c>
      <c r="AC92" s="203" t="s">
        <v>103</v>
      </c>
      <c r="AD92" s="203" t="s">
        <v>696</v>
      </c>
      <c r="AE92" s="208">
        <v>27</v>
      </c>
      <c r="AF92" s="208" t="s">
        <v>708</v>
      </c>
      <c r="AG92" s="208" t="s">
        <v>85</v>
      </c>
      <c r="AH92" s="208" t="s">
        <v>86</v>
      </c>
      <c r="AI92" s="208" t="s">
        <v>87</v>
      </c>
      <c r="AJ92" s="208" t="s">
        <v>579</v>
      </c>
      <c r="AK92" s="205" t="s">
        <v>89</v>
      </c>
      <c r="AL92" s="204">
        <v>45625</v>
      </c>
      <c r="AM92" s="208">
        <v>0</v>
      </c>
      <c r="AN92" s="209" t="s">
        <v>102</v>
      </c>
      <c r="AO92" s="209" t="s">
        <v>709</v>
      </c>
      <c r="AP92" s="209" t="s">
        <v>103</v>
      </c>
      <c r="AQ92" s="209"/>
      <c r="AR92" s="209" t="s">
        <v>72</v>
      </c>
      <c r="AS92" s="209" t="s">
        <v>109</v>
      </c>
      <c r="AT92" s="209" t="s">
        <v>710</v>
      </c>
      <c r="AU92" s="210">
        <v>5.6</v>
      </c>
      <c r="AV92" s="211">
        <v>10</v>
      </c>
      <c r="AW92" s="212">
        <v>17.3</v>
      </c>
      <c r="AX92" s="213">
        <v>15815</v>
      </c>
      <c r="AY92" s="213">
        <v>6120.4049999999997</v>
      </c>
      <c r="AZ92" s="210" t="s">
        <v>128</v>
      </c>
      <c r="BA92" s="209" t="s">
        <v>93</v>
      </c>
      <c r="BB92" s="214" t="str">
        <f>+IF(Tabla46782[[#This Row],[TIPO VEHÍCULO]]=Tabla46782[[#This Row],[Columna2]], "IGUAL", "DISTINTO")</f>
        <v>IGUAL</v>
      </c>
      <c r="BC92" s="214" t="str">
        <f>+IF(Tabla46782[[#This Row],[Columna4]]=Tabla46782[[#This Row],[Combustible2]], "IGUAL", "DISTINTO")</f>
        <v>IGUAL</v>
      </c>
      <c r="BD92" s="215" cm="1">
        <f t="array" ref="BD92">IFERROR(INDEX('[1]Anexos FICHA TRA050'!$D$27:$D$44, MATCH(Tabla46782[[#This Row],[Columna5]]&amp;Tabla46782[[#This Row],[Columna4]], '[1]Anexos FICHA TRA050'!$E$27:$E$44&amp;'[1]Anexos FICHA TRA050'!$F$27:$F$44, 0)), "")</f>
        <v>5.63</v>
      </c>
      <c r="BE92" s="215">
        <f>IFERROR(INDEX('[1]Anexos FICHA TRA050'!$B$4:$B$7, MATCH(Tabla46782[[#This Row],[Columna4]], '[1]Anexos FICHA TRA050'!$C$4:$C$7, 0)), "")</f>
        <v>10</v>
      </c>
      <c r="BF92" s="215">
        <f>IFERROR(INDEX('[1]Anexos FICHA TRA050'!$C$14:$C$22, MATCH(Tabla46782[[#This Row],[Columna5]], '[1]Anexos FICHA TRA050'!$D$14:$D$22, 0)), "")</f>
        <v>20.84</v>
      </c>
      <c r="BG92" s="216">
        <f>IFERROR(INDEX('[1]Anexos FICHA TRA050'!$C$49:$C$54, MATCH(Tabla46782[[#This Row],[Columna5]], '[1]Anexos FICHA TRA050'!$D$49:$D$54, 0)), "")</f>
        <v>15815</v>
      </c>
      <c r="BH92" s="217">
        <f>+(((Tabla46782[[#This Row],[CVA2]]*Tabla46782[[#This Row],[f2]])-Tabla46782[[#This Row],[CVN2]])/100)*Tabla46782[[#This Row],[L2]]</f>
        <v>5607.9989999999989</v>
      </c>
      <c r="BI92" s="218"/>
      <c r="BJ92" s="218"/>
      <c r="BK92" s="218" t="str">
        <f>+IF(Tabla46782[[#This Row],[F3]]=Tabla46782[[#This Row],[f2]], "IGUAL", "DISTINTO")</f>
        <v>IGUAL</v>
      </c>
      <c r="BL92" s="218" t="str">
        <f>+IF(Tabla46782[[#This Row],[CVN]]=Tabla46782[[#This Row],[CVN2]], "IGUAL", "DISTINTO")</f>
        <v>DISTINTO</v>
      </c>
      <c r="BM92" s="219" t="str">
        <f>+IF(Tabla46782[[#This Row],[L]]=Tabla46782[[#This Row],[L2]], "IGUAL", "DISTINTO")</f>
        <v>IGUAL</v>
      </c>
    </row>
    <row r="93" spans="1:65" x14ac:dyDescent="0.25">
      <c r="A93">
        <v>90</v>
      </c>
      <c r="B93" s="202" t="s">
        <v>711</v>
      </c>
      <c r="C93" s="203" t="s">
        <v>712</v>
      </c>
      <c r="D93" s="203" t="s">
        <v>128</v>
      </c>
      <c r="E93" s="203" t="s">
        <v>78</v>
      </c>
      <c r="F93" s="203" t="s">
        <v>78</v>
      </c>
      <c r="G93" s="203" t="s">
        <v>128</v>
      </c>
      <c r="H93" s="203" t="s">
        <v>72</v>
      </c>
      <c r="I93" s="203" t="s">
        <v>72</v>
      </c>
      <c r="J93" s="203" t="s">
        <v>72</v>
      </c>
      <c r="K93" s="203"/>
      <c r="L93" s="203" t="s">
        <v>72</v>
      </c>
      <c r="M93" s="203" t="s">
        <v>72</v>
      </c>
      <c r="N93" s="203"/>
      <c r="O93" s="203" t="s">
        <v>73</v>
      </c>
      <c r="P93" s="203" t="s">
        <v>74</v>
      </c>
      <c r="Q93" s="203" t="s">
        <v>75</v>
      </c>
      <c r="R93" s="203" t="s">
        <v>76</v>
      </c>
      <c r="S93" s="204">
        <v>45447</v>
      </c>
      <c r="T93" s="205">
        <v>45656</v>
      </c>
      <c r="U93" s="205">
        <f>VLOOKUP(Tabla46782[[#This Row],[Matricula]],BAJA2022202320242025!$B$3:$CR$245,95,FALSE)</f>
        <v>45656</v>
      </c>
      <c r="V93" s="206">
        <v>209</v>
      </c>
      <c r="W93" s="207">
        <v>2024</v>
      </c>
      <c r="X93" s="203" t="s">
        <v>77</v>
      </c>
      <c r="Y93" s="203" t="s">
        <v>78</v>
      </c>
      <c r="Z93" s="203" t="s">
        <v>85</v>
      </c>
      <c r="AA93" s="203" t="s">
        <v>642</v>
      </c>
      <c r="AB93" s="203" t="s">
        <v>102</v>
      </c>
      <c r="AC93" s="203" t="s">
        <v>103</v>
      </c>
      <c r="AD93" s="203" t="s">
        <v>696</v>
      </c>
      <c r="AE93" s="208">
        <v>28</v>
      </c>
      <c r="AF93" s="208" t="s">
        <v>713</v>
      </c>
      <c r="AG93" s="208" t="s">
        <v>85</v>
      </c>
      <c r="AH93" s="208" t="s">
        <v>86</v>
      </c>
      <c r="AI93" s="208" t="s">
        <v>87</v>
      </c>
      <c r="AJ93" s="208" t="s">
        <v>714</v>
      </c>
      <c r="AK93" s="205" t="s">
        <v>89</v>
      </c>
      <c r="AL93" s="204">
        <v>45625</v>
      </c>
      <c r="AM93" s="208">
        <v>0</v>
      </c>
      <c r="AN93" s="209" t="s">
        <v>102</v>
      </c>
      <c r="AO93" s="209" t="s">
        <v>715</v>
      </c>
      <c r="AP93" s="209" t="s">
        <v>103</v>
      </c>
      <c r="AQ93" s="209"/>
      <c r="AR93" s="209" t="s">
        <v>72</v>
      </c>
      <c r="AS93" s="209" t="s">
        <v>109</v>
      </c>
      <c r="AT93" s="209" t="s">
        <v>716</v>
      </c>
      <c r="AU93" s="210">
        <v>5.6</v>
      </c>
      <c r="AV93" s="211">
        <v>10</v>
      </c>
      <c r="AW93" s="212">
        <v>17.3</v>
      </c>
      <c r="AX93" s="213">
        <v>15815</v>
      </c>
      <c r="AY93" s="213">
        <v>6120.4049999999997</v>
      </c>
      <c r="AZ93" s="210" t="s">
        <v>128</v>
      </c>
      <c r="BA93" s="209" t="s">
        <v>93</v>
      </c>
      <c r="BB93" s="214" t="str">
        <f>+IF(Tabla46782[[#This Row],[TIPO VEHÍCULO]]=Tabla46782[[#This Row],[Columna2]], "IGUAL", "DISTINTO")</f>
        <v>IGUAL</v>
      </c>
      <c r="BC93" s="214" t="str">
        <f>+IF(Tabla46782[[#This Row],[Columna4]]=Tabla46782[[#This Row],[Combustible2]], "IGUAL", "DISTINTO")</f>
        <v>IGUAL</v>
      </c>
      <c r="BD93" s="215" cm="1">
        <f t="array" ref="BD93">IFERROR(INDEX('[1]Anexos FICHA TRA050'!$D$27:$D$44, MATCH(Tabla46782[[#This Row],[Columna5]]&amp;Tabla46782[[#This Row],[Columna4]], '[1]Anexos FICHA TRA050'!$E$27:$E$44&amp;'[1]Anexos FICHA TRA050'!$F$27:$F$44, 0)), "")</f>
        <v>5.63</v>
      </c>
      <c r="BE93" s="215">
        <f>IFERROR(INDEX('[1]Anexos FICHA TRA050'!$B$4:$B$7, MATCH(Tabla46782[[#This Row],[Columna4]], '[1]Anexos FICHA TRA050'!$C$4:$C$7, 0)), "")</f>
        <v>10</v>
      </c>
      <c r="BF93" s="215">
        <f>IFERROR(INDEX('[1]Anexos FICHA TRA050'!$C$14:$C$22, MATCH(Tabla46782[[#This Row],[Columna5]], '[1]Anexos FICHA TRA050'!$D$14:$D$22, 0)), "")</f>
        <v>20.84</v>
      </c>
      <c r="BG93" s="216">
        <f>IFERROR(INDEX('[1]Anexos FICHA TRA050'!$C$49:$C$54, MATCH(Tabla46782[[#This Row],[Columna5]], '[1]Anexos FICHA TRA050'!$D$49:$D$54, 0)), "")</f>
        <v>15815</v>
      </c>
      <c r="BH93" s="217">
        <f>+(((Tabla46782[[#This Row],[CVA2]]*Tabla46782[[#This Row],[f2]])-Tabla46782[[#This Row],[CVN2]])/100)*Tabla46782[[#This Row],[L2]]</f>
        <v>5607.9989999999989</v>
      </c>
      <c r="BI93" s="218"/>
      <c r="BJ93" s="218"/>
      <c r="BK93" s="218" t="str">
        <f>+IF(Tabla46782[[#This Row],[F3]]=Tabla46782[[#This Row],[f2]], "IGUAL", "DISTINTO")</f>
        <v>IGUAL</v>
      </c>
      <c r="BL93" s="218" t="str">
        <f>+IF(Tabla46782[[#This Row],[CVN]]=Tabla46782[[#This Row],[CVN2]], "IGUAL", "DISTINTO")</f>
        <v>DISTINTO</v>
      </c>
      <c r="BM93" s="219" t="str">
        <f>+IF(Tabla46782[[#This Row],[L]]=Tabla46782[[#This Row],[L2]], "IGUAL", "DISTINTO")</f>
        <v>IGUAL</v>
      </c>
    </row>
    <row r="94" spans="1:65" x14ac:dyDescent="0.25">
      <c r="A94">
        <v>91</v>
      </c>
      <c r="B94" s="202" t="s">
        <v>717</v>
      </c>
      <c r="C94" s="203" t="s">
        <v>718</v>
      </c>
      <c r="D94" s="203" t="s">
        <v>128</v>
      </c>
      <c r="E94" s="203" t="s">
        <v>78</v>
      </c>
      <c r="F94" s="203" t="s">
        <v>78</v>
      </c>
      <c r="G94" s="203" t="s">
        <v>128</v>
      </c>
      <c r="H94" s="203" t="s">
        <v>72</v>
      </c>
      <c r="I94" s="203"/>
      <c r="J94" s="203"/>
      <c r="K94" s="203"/>
      <c r="L94" s="203" t="s">
        <v>72</v>
      </c>
      <c r="M94" s="203" t="s">
        <v>72</v>
      </c>
      <c r="N94" s="203"/>
      <c r="O94" s="203" t="s">
        <v>73</v>
      </c>
      <c r="P94" s="203" t="s">
        <v>74</v>
      </c>
      <c r="Q94" s="203" t="s">
        <v>75</v>
      </c>
      <c r="R94" s="203" t="s">
        <v>76</v>
      </c>
      <c r="S94" s="204">
        <v>45505</v>
      </c>
      <c r="T94" s="205">
        <v>45657</v>
      </c>
      <c r="U94" s="205">
        <f>VLOOKUP(Tabla46782[[#This Row],[Matricula]],BAJA2022202320242025!$B$3:$CR$245,95,FALSE)</f>
        <v>45740</v>
      </c>
      <c r="V94" s="206">
        <v>152</v>
      </c>
      <c r="W94" s="207">
        <v>2024</v>
      </c>
      <c r="X94" s="203" t="s">
        <v>77</v>
      </c>
      <c r="Y94" s="203" t="s">
        <v>78</v>
      </c>
      <c r="Z94" s="203" t="s">
        <v>85</v>
      </c>
      <c r="AA94" s="203" t="s">
        <v>642</v>
      </c>
      <c r="AB94" s="203" t="s">
        <v>102</v>
      </c>
      <c r="AC94" s="203" t="s">
        <v>103</v>
      </c>
      <c r="AD94" s="203" t="s">
        <v>719</v>
      </c>
      <c r="AE94" s="208">
        <v>29</v>
      </c>
      <c r="AF94" s="208" t="s">
        <v>720</v>
      </c>
      <c r="AG94" s="208" t="s">
        <v>85</v>
      </c>
      <c r="AH94" s="208" t="s">
        <v>86</v>
      </c>
      <c r="AI94" s="208" t="s">
        <v>87</v>
      </c>
      <c r="AJ94" s="208" t="s">
        <v>301</v>
      </c>
      <c r="AK94" s="205" t="s">
        <v>89</v>
      </c>
      <c r="AL94" s="204">
        <v>45625</v>
      </c>
      <c r="AM94" s="208">
        <v>0</v>
      </c>
      <c r="AN94" s="209" t="s">
        <v>102</v>
      </c>
      <c r="AO94" s="209" t="s">
        <v>721</v>
      </c>
      <c r="AP94" s="209" t="s">
        <v>103</v>
      </c>
      <c r="AQ94" s="209"/>
      <c r="AR94" s="209" t="s">
        <v>72</v>
      </c>
      <c r="AS94" s="209" t="s">
        <v>109</v>
      </c>
      <c r="AT94" s="209" t="s">
        <v>722</v>
      </c>
      <c r="AU94" s="210">
        <v>5.6</v>
      </c>
      <c r="AV94" s="211">
        <v>10</v>
      </c>
      <c r="AW94" s="212">
        <v>17.3</v>
      </c>
      <c r="AX94" s="213">
        <v>15815</v>
      </c>
      <c r="AY94" s="213">
        <v>6120.4049999999997</v>
      </c>
      <c r="AZ94" s="210" t="s">
        <v>128</v>
      </c>
      <c r="BA94" s="209" t="s">
        <v>255</v>
      </c>
      <c r="BB94" s="214" t="str">
        <f>+IF(Tabla46782[[#This Row],[TIPO VEHÍCULO]]=Tabla46782[[#This Row],[Columna2]], "IGUAL", "DISTINTO")</f>
        <v>IGUAL</v>
      </c>
      <c r="BC94" s="214" t="str">
        <f>+IF(Tabla46782[[#This Row],[Columna4]]=Tabla46782[[#This Row],[Combustible2]], "IGUAL", "DISTINTO")</f>
        <v>IGUAL</v>
      </c>
      <c r="BD94" s="215" cm="1">
        <f t="array" ref="BD94">IFERROR(INDEX('[1]Anexos FICHA TRA050'!$D$27:$D$44, MATCH(Tabla46782[[#This Row],[Columna5]]&amp;Tabla46782[[#This Row],[Columna4]], '[1]Anexos FICHA TRA050'!$E$27:$E$44&amp;'[1]Anexos FICHA TRA050'!$F$27:$F$44, 0)), "")</f>
        <v>5.63</v>
      </c>
      <c r="BE94" s="215">
        <f>IFERROR(INDEX('[1]Anexos FICHA TRA050'!$B$4:$B$7, MATCH(Tabla46782[[#This Row],[Columna4]], '[1]Anexos FICHA TRA050'!$C$4:$C$7, 0)), "")</f>
        <v>10</v>
      </c>
      <c r="BF94" s="215">
        <f>IFERROR(INDEX('[1]Anexos FICHA TRA050'!$C$14:$C$22, MATCH(Tabla46782[[#This Row],[Columna5]], '[1]Anexos FICHA TRA050'!$D$14:$D$22, 0)), "")</f>
        <v>20.84</v>
      </c>
      <c r="BG94" s="216">
        <f>IFERROR(INDEX('[1]Anexos FICHA TRA050'!$C$49:$C$54, MATCH(Tabla46782[[#This Row],[Columna5]], '[1]Anexos FICHA TRA050'!$D$49:$D$54, 0)), "")</f>
        <v>15815</v>
      </c>
      <c r="BH94" s="217">
        <f>+(((Tabla46782[[#This Row],[CVA2]]*Tabla46782[[#This Row],[f2]])-Tabla46782[[#This Row],[CVN2]])/100)*Tabla46782[[#This Row],[L2]]</f>
        <v>5607.9989999999989</v>
      </c>
      <c r="BI94" s="218"/>
      <c r="BJ94" s="218"/>
      <c r="BK94" s="218" t="str">
        <f>+IF(Tabla46782[[#This Row],[F3]]=Tabla46782[[#This Row],[f2]], "IGUAL", "DISTINTO")</f>
        <v>IGUAL</v>
      </c>
      <c r="BL94" s="218" t="str">
        <f>+IF(Tabla46782[[#This Row],[CVN]]=Tabla46782[[#This Row],[CVN2]], "IGUAL", "DISTINTO")</f>
        <v>DISTINTO</v>
      </c>
      <c r="BM94" s="219" t="str">
        <f>+IF(Tabla46782[[#This Row],[L]]=Tabla46782[[#This Row],[L2]], "IGUAL", "DISTINTO")</f>
        <v>IGUAL</v>
      </c>
    </row>
    <row r="95" spans="1:65" x14ac:dyDescent="0.25">
      <c r="A95">
        <v>92</v>
      </c>
      <c r="B95" s="202" t="s">
        <v>723</v>
      </c>
      <c r="C95" s="203" t="s">
        <v>724</v>
      </c>
      <c r="D95" s="203" t="s">
        <v>128</v>
      </c>
      <c r="E95" s="203" t="s">
        <v>78</v>
      </c>
      <c r="F95" s="203" t="s">
        <v>78</v>
      </c>
      <c r="G95" s="203" t="s">
        <v>128</v>
      </c>
      <c r="H95" s="203" t="s">
        <v>72</v>
      </c>
      <c r="I95" s="203" t="s">
        <v>72</v>
      </c>
      <c r="J95" s="203" t="s">
        <v>72</v>
      </c>
      <c r="K95" s="203"/>
      <c r="L95" s="203" t="s">
        <v>249</v>
      </c>
      <c r="M95" s="203" t="s">
        <v>249</v>
      </c>
      <c r="N95" s="203"/>
      <c r="O95" s="203" t="s">
        <v>725</v>
      </c>
      <c r="P95" s="203" t="s">
        <v>74</v>
      </c>
      <c r="Q95" s="203" t="s">
        <v>75</v>
      </c>
      <c r="R95" s="203" t="s">
        <v>76</v>
      </c>
      <c r="S95" s="204">
        <v>44958</v>
      </c>
      <c r="T95" s="205">
        <v>45107</v>
      </c>
      <c r="U95" s="205">
        <f>VLOOKUP(Tabla46782[[#This Row],[Matricula]],BAJA2022202320242025!$B$3:$CR$245,95,FALSE)</f>
        <v>45107</v>
      </c>
      <c r="V95" s="206">
        <v>149</v>
      </c>
      <c r="W95" s="207">
        <v>2023</v>
      </c>
      <c r="X95" s="203" t="s">
        <v>77</v>
      </c>
      <c r="Y95" s="203" t="s">
        <v>78</v>
      </c>
      <c r="Z95" s="203" t="s">
        <v>726</v>
      </c>
      <c r="AA95" s="203" t="s">
        <v>727</v>
      </c>
      <c r="AB95" s="203" t="s">
        <v>102</v>
      </c>
      <c r="AC95" s="203" t="s">
        <v>103</v>
      </c>
      <c r="AD95" s="203" t="s">
        <v>440</v>
      </c>
      <c r="AE95" s="208">
        <v>30</v>
      </c>
      <c r="AF95" s="208" t="s">
        <v>728</v>
      </c>
      <c r="AG95" s="208" t="s">
        <v>359</v>
      </c>
      <c r="AH95" s="208" t="s">
        <v>452</v>
      </c>
      <c r="AI95" s="208" t="s">
        <v>87</v>
      </c>
      <c r="AJ95" s="208" t="s">
        <v>115</v>
      </c>
      <c r="AK95" s="205" t="s">
        <v>108</v>
      </c>
      <c r="AL95" s="204">
        <v>45051</v>
      </c>
      <c r="AM95" s="208">
        <v>0</v>
      </c>
      <c r="AN95" s="209" t="s">
        <v>102</v>
      </c>
      <c r="AO95" s="210">
        <v>4500351860</v>
      </c>
      <c r="AP95" s="209" t="s">
        <v>103</v>
      </c>
      <c r="AQ95" s="209"/>
      <c r="AR95" s="209" t="s">
        <v>72</v>
      </c>
      <c r="AS95" s="209" t="s">
        <v>109</v>
      </c>
      <c r="AT95" s="209" t="s">
        <v>729</v>
      </c>
      <c r="AU95" s="210">
        <v>5.6</v>
      </c>
      <c r="AV95" s="211">
        <v>10</v>
      </c>
      <c r="AW95" s="212">
        <v>28.1</v>
      </c>
      <c r="AX95" s="213">
        <v>15815</v>
      </c>
      <c r="AY95" s="213">
        <v>4412.3849999999993</v>
      </c>
      <c r="AZ95" s="210" t="s">
        <v>128</v>
      </c>
      <c r="BA95" s="209" t="s">
        <v>93</v>
      </c>
      <c r="BB95" s="214" t="str">
        <f>+IF(Tabla46782[[#This Row],[TIPO VEHÍCULO]]=Tabla46782[[#This Row],[Columna2]], "IGUAL", "DISTINTO")</f>
        <v>IGUAL</v>
      </c>
      <c r="BC95" s="214" t="str">
        <f>+IF(Tabla46782[[#This Row],[Columna4]]=Tabla46782[[#This Row],[Combustible2]], "IGUAL", "DISTINTO")</f>
        <v>IGUAL</v>
      </c>
      <c r="BD95" s="215" cm="1">
        <f t="array" ref="BD95">IFERROR(INDEX('[1]Anexos FICHA TRA050'!$D$27:$D$44, MATCH(Tabla46782[[#This Row],[Columna5]]&amp;Tabla46782[[#This Row],[Columna4]], '[1]Anexos FICHA TRA050'!$E$27:$E$44&amp;'[1]Anexos FICHA TRA050'!$F$27:$F$44, 0)), "")</f>
        <v>5.63</v>
      </c>
      <c r="BE95" s="215">
        <f>IFERROR(INDEX('[1]Anexos FICHA TRA050'!$B$4:$B$7, MATCH(Tabla46782[[#This Row],[Columna4]], '[1]Anexos FICHA TRA050'!$C$4:$C$7, 0)), "")</f>
        <v>10</v>
      </c>
      <c r="BF95" s="215">
        <f>IFERROR(INDEX('[1]Anexos FICHA TRA050'!$C$14:$C$22, MATCH(Tabla46782[[#This Row],[Columna5]], '[1]Anexos FICHA TRA050'!$D$14:$D$22, 0)), "")</f>
        <v>20.84</v>
      </c>
      <c r="BG95" s="216">
        <f>IFERROR(INDEX('[1]Anexos FICHA TRA050'!$C$49:$C$54, MATCH(Tabla46782[[#This Row],[Columna5]], '[1]Anexos FICHA TRA050'!$D$49:$D$54, 0)), "")</f>
        <v>15815</v>
      </c>
      <c r="BH95" s="217">
        <f>+(((Tabla46782[[#This Row],[CVA2]]*Tabla46782[[#This Row],[f2]])-Tabla46782[[#This Row],[CVN2]])/100)*Tabla46782[[#This Row],[L2]]</f>
        <v>5607.9989999999989</v>
      </c>
      <c r="BI95" s="218"/>
      <c r="BJ95" s="218"/>
      <c r="BK95" s="218" t="str">
        <f>+IF(Tabla46782[[#This Row],[F3]]=Tabla46782[[#This Row],[f2]], "IGUAL", "DISTINTO")</f>
        <v>IGUAL</v>
      </c>
      <c r="BL95" s="218" t="str">
        <f>+IF(Tabla46782[[#This Row],[CVN]]=Tabla46782[[#This Row],[CVN2]], "IGUAL", "DISTINTO")</f>
        <v>DISTINTO</v>
      </c>
      <c r="BM95" s="219" t="str">
        <f>+IF(Tabla46782[[#This Row],[L]]=Tabla46782[[#This Row],[L2]], "IGUAL", "DISTINTO")</f>
        <v>IGUAL</v>
      </c>
    </row>
    <row r="96" spans="1:65" x14ac:dyDescent="0.25">
      <c r="A96">
        <v>93</v>
      </c>
      <c r="B96" s="202" t="s">
        <v>730</v>
      </c>
      <c r="C96" s="203" t="s">
        <v>731</v>
      </c>
      <c r="D96" s="203" t="s">
        <v>128</v>
      </c>
      <c r="E96" s="203" t="s">
        <v>78</v>
      </c>
      <c r="F96" s="203" t="s">
        <v>78</v>
      </c>
      <c r="G96" s="203" t="s">
        <v>128</v>
      </c>
      <c r="H96" s="203" t="s">
        <v>72</v>
      </c>
      <c r="I96" s="203" t="s">
        <v>72</v>
      </c>
      <c r="J96" s="203" t="s">
        <v>72</v>
      </c>
      <c r="K96" s="203"/>
      <c r="L96" s="203" t="s">
        <v>72</v>
      </c>
      <c r="M96" s="203" t="s">
        <v>72</v>
      </c>
      <c r="N96" s="203"/>
      <c r="O96" s="203" t="s">
        <v>73</v>
      </c>
      <c r="P96" s="203" t="s">
        <v>74</v>
      </c>
      <c r="Q96" s="203" t="s">
        <v>75</v>
      </c>
      <c r="R96" s="203" t="s">
        <v>76</v>
      </c>
      <c r="S96" s="204">
        <v>45282</v>
      </c>
      <c r="T96" s="205">
        <v>45321</v>
      </c>
      <c r="U96" s="205">
        <f>VLOOKUP(Tabla46782[[#This Row],[Matricula]],BAJA2022202320242025!$B$3:$CR$245,95,FALSE)</f>
        <v>45321</v>
      </c>
      <c r="V96" s="206">
        <v>39</v>
      </c>
      <c r="W96" s="207">
        <v>2024</v>
      </c>
      <c r="X96" s="203" t="s">
        <v>77</v>
      </c>
      <c r="Y96" s="203" t="s">
        <v>78</v>
      </c>
      <c r="Z96" s="203" t="s">
        <v>85</v>
      </c>
      <c r="AA96" s="203" t="s">
        <v>732</v>
      </c>
      <c r="AB96" s="203" t="s">
        <v>81</v>
      </c>
      <c r="AC96" s="203" t="s">
        <v>82</v>
      </c>
      <c r="AD96" s="203" t="s">
        <v>83</v>
      </c>
      <c r="AE96" s="208">
        <v>10</v>
      </c>
      <c r="AF96" s="208" t="s">
        <v>733</v>
      </c>
      <c r="AG96" s="208" t="s">
        <v>85</v>
      </c>
      <c r="AH96" s="208" t="s">
        <v>86</v>
      </c>
      <c r="AI96" s="208" t="s">
        <v>87</v>
      </c>
      <c r="AJ96" s="208" t="s">
        <v>143</v>
      </c>
      <c r="AK96" s="205" t="s">
        <v>89</v>
      </c>
      <c r="AL96" s="204">
        <v>45625</v>
      </c>
      <c r="AM96" s="208">
        <v>0</v>
      </c>
      <c r="AN96" s="209" t="s">
        <v>81</v>
      </c>
      <c r="AO96" s="209" t="s">
        <v>734</v>
      </c>
      <c r="AP96" s="209" t="s">
        <v>82</v>
      </c>
      <c r="AQ96" s="209"/>
      <c r="AR96" s="209" t="s">
        <v>72</v>
      </c>
      <c r="AS96" s="209" t="s">
        <v>91</v>
      </c>
      <c r="AT96" s="209" t="s">
        <v>735</v>
      </c>
      <c r="AU96" s="210">
        <v>5.6</v>
      </c>
      <c r="AV96" s="211">
        <v>10</v>
      </c>
      <c r="AW96" s="212">
        <v>17.3</v>
      </c>
      <c r="AX96" s="213">
        <v>15815</v>
      </c>
      <c r="AY96" s="213">
        <v>6120.4049999999997</v>
      </c>
      <c r="AZ96" s="210" t="s">
        <v>128</v>
      </c>
      <c r="BA96" s="209" t="s">
        <v>93</v>
      </c>
      <c r="BB96" s="214" t="str">
        <f>+IF(Tabla46782[[#This Row],[TIPO VEHÍCULO]]=Tabla46782[[#This Row],[Columna2]], "IGUAL", "DISTINTO")</f>
        <v>IGUAL</v>
      </c>
      <c r="BC96" s="214" t="str">
        <f>+IF(Tabla46782[[#This Row],[Columna4]]=Tabla46782[[#This Row],[Combustible2]], "IGUAL", "DISTINTO")</f>
        <v>IGUAL</v>
      </c>
      <c r="BD96" s="215" cm="1">
        <f t="array" ref="BD96">IFERROR(INDEX('[1]Anexos FICHA TRA050'!$D$27:$D$44, MATCH(Tabla46782[[#This Row],[Columna5]]&amp;Tabla46782[[#This Row],[Columna4]], '[1]Anexos FICHA TRA050'!$E$27:$E$44&amp;'[1]Anexos FICHA TRA050'!$F$27:$F$44, 0)), "")</f>
        <v>5.63</v>
      </c>
      <c r="BE96" s="215">
        <f>IFERROR(INDEX('[1]Anexos FICHA TRA050'!$B$4:$B$7, MATCH(Tabla46782[[#This Row],[Columna4]], '[1]Anexos FICHA TRA050'!$C$4:$C$7, 0)), "")</f>
        <v>10</v>
      </c>
      <c r="BF96" s="215">
        <f>IFERROR(INDEX('[1]Anexos FICHA TRA050'!$C$14:$C$22, MATCH(Tabla46782[[#This Row],[Columna5]], '[1]Anexos FICHA TRA050'!$D$14:$D$22, 0)), "")</f>
        <v>20.84</v>
      </c>
      <c r="BG96" s="216">
        <f>IFERROR(INDEX('[1]Anexos FICHA TRA050'!$C$49:$C$54, MATCH(Tabla46782[[#This Row],[Columna5]], '[1]Anexos FICHA TRA050'!$D$49:$D$54, 0)), "")</f>
        <v>15815</v>
      </c>
      <c r="BH96" s="217">
        <f>+(((Tabla46782[[#This Row],[CVA2]]*Tabla46782[[#This Row],[f2]])-Tabla46782[[#This Row],[CVN2]])/100)*Tabla46782[[#This Row],[L2]]</f>
        <v>5607.9989999999989</v>
      </c>
      <c r="BI96" s="218"/>
      <c r="BJ96" s="218"/>
      <c r="BK96" s="218" t="str">
        <f>+IF(Tabla46782[[#This Row],[F3]]=Tabla46782[[#This Row],[f2]], "IGUAL", "DISTINTO")</f>
        <v>IGUAL</v>
      </c>
      <c r="BL96" s="218" t="str">
        <f>+IF(Tabla46782[[#This Row],[CVN]]=Tabla46782[[#This Row],[CVN2]], "IGUAL", "DISTINTO")</f>
        <v>DISTINTO</v>
      </c>
      <c r="BM96" s="219" t="str">
        <f>+IF(Tabla46782[[#This Row],[L]]=Tabla46782[[#This Row],[L2]], "IGUAL", "DISTINTO")</f>
        <v>IGUAL</v>
      </c>
    </row>
    <row r="97" spans="1:65" x14ac:dyDescent="0.25">
      <c r="A97">
        <v>94</v>
      </c>
      <c r="B97" s="202" t="s">
        <v>736</v>
      </c>
      <c r="C97" s="203" t="s">
        <v>737</v>
      </c>
      <c r="D97" s="203" t="s">
        <v>70</v>
      </c>
      <c r="E97" s="203" t="s">
        <v>78</v>
      </c>
      <c r="F97" s="203" t="s">
        <v>78</v>
      </c>
      <c r="G97" s="203" t="s">
        <v>70</v>
      </c>
      <c r="H97" s="203" t="s">
        <v>72</v>
      </c>
      <c r="I97" s="203" t="s">
        <v>72</v>
      </c>
      <c r="J97" s="203"/>
      <c r="K97" s="203"/>
      <c r="L97" s="203" t="s">
        <v>72</v>
      </c>
      <c r="M97" s="203" t="s">
        <v>72</v>
      </c>
      <c r="N97" s="203"/>
      <c r="O97" s="203" t="s">
        <v>73</v>
      </c>
      <c r="P97" s="203" t="s">
        <v>74</v>
      </c>
      <c r="Q97" s="203" t="s">
        <v>75</v>
      </c>
      <c r="R97" s="203" t="s">
        <v>76</v>
      </c>
      <c r="S97" s="204">
        <v>44974</v>
      </c>
      <c r="T97" s="205">
        <v>45057</v>
      </c>
      <c r="U97" s="205">
        <f>VLOOKUP(Tabla46782[[#This Row],[Matricula]],BAJA2022202320242025!$B$3:$CR$245,95,FALSE)</f>
        <v>45057</v>
      </c>
      <c r="V97" s="206">
        <v>83</v>
      </c>
      <c r="W97" s="207">
        <v>2023</v>
      </c>
      <c r="X97" s="203" t="s">
        <v>77</v>
      </c>
      <c r="Y97" s="203" t="s">
        <v>78</v>
      </c>
      <c r="Z97" s="203" t="s">
        <v>738</v>
      </c>
      <c r="AA97" s="203" t="s">
        <v>739</v>
      </c>
      <c r="AB97" s="203" t="s">
        <v>102</v>
      </c>
      <c r="AC97" s="203" t="s">
        <v>103</v>
      </c>
      <c r="AD97" s="203" t="s">
        <v>740</v>
      </c>
      <c r="AE97" s="208">
        <v>31</v>
      </c>
      <c r="AF97" s="208" t="s">
        <v>741</v>
      </c>
      <c r="AG97" s="208" t="s">
        <v>79</v>
      </c>
      <c r="AH97" s="208" t="s">
        <v>442</v>
      </c>
      <c r="AI97" s="208" t="s">
        <v>87</v>
      </c>
      <c r="AJ97" s="208" t="s">
        <v>107</v>
      </c>
      <c r="AK97" s="205" t="s">
        <v>108</v>
      </c>
      <c r="AL97" s="204">
        <v>45133</v>
      </c>
      <c r="AM97" s="208">
        <v>0</v>
      </c>
      <c r="AN97" s="209" t="s">
        <v>102</v>
      </c>
      <c r="AO97" s="210">
        <v>4500370224</v>
      </c>
      <c r="AP97" s="209" t="s">
        <v>103</v>
      </c>
      <c r="AQ97" s="209"/>
      <c r="AR97" s="209" t="s">
        <v>72</v>
      </c>
      <c r="AS97" s="209" t="s">
        <v>109</v>
      </c>
      <c r="AT97" s="209" t="s">
        <v>742</v>
      </c>
      <c r="AU97" s="210">
        <v>5.0999999999999996</v>
      </c>
      <c r="AV97" s="211">
        <v>10</v>
      </c>
      <c r="AW97" s="212">
        <v>22.7</v>
      </c>
      <c r="AX97" s="213">
        <v>13073</v>
      </c>
      <c r="AY97" s="213">
        <v>3699.6590000000006</v>
      </c>
      <c r="AZ97" s="210" t="s">
        <v>70</v>
      </c>
      <c r="BA97" s="209" t="s">
        <v>255</v>
      </c>
      <c r="BB97" s="214" t="str">
        <f>+IF(Tabla46782[[#This Row],[TIPO VEHÍCULO]]=Tabla46782[[#This Row],[Columna2]], "IGUAL", "DISTINTO")</f>
        <v>IGUAL</v>
      </c>
      <c r="BC97" s="214" t="str">
        <f>+IF(Tabla46782[[#This Row],[Columna4]]=Tabla46782[[#This Row],[Combustible2]], "IGUAL", "DISTINTO")</f>
        <v>IGUAL</v>
      </c>
      <c r="BD97" s="215" cm="1">
        <f t="array" ref="BD97">IFERROR(INDEX('[1]Anexos FICHA TRA050'!$D$27:$D$44, MATCH(Tabla46782[[#This Row],[Columna5]]&amp;Tabla46782[[#This Row],[Columna4]], '[1]Anexos FICHA TRA050'!$E$27:$E$44&amp;'[1]Anexos FICHA TRA050'!$F$27:$F$44, 0)), "")</f>
        <v>6.99</v>
      </c>
      <c r="BE97" s="215">
        <f>IFERROR(INDEX('[1]Anexos FICHA TRA050'!$B$4:$B$7, MATCH(Tabla46782[[#This Row],[Columna4]], '[1]Anexos FICHA TRA050'!$C$4:$C$7, 0)), "")</f>
        <v>10</v>
      </c>
      <c r="BF97" s="215">
        <f>IFERROR(INDEX('[1]Anexos FICHA TRA050'!$C$14:$C$22, MATCH(Tabla46782[[#This Row],[Columna5]], '[1]Anexos FICHA TRA050'!$D$14:$D$22, 0)), "")</f>
        <v>17.920000000000002</v>
      </c>
      <c r="BG97" s="216">
        <f>IFERROR(INDEX('[1]Anexos FICHA TRA050'!$C$49:$C$54, MATCH(Tabla46782[[#This Row],[Columna5]], '[1]Anexos FICHA TRA050'!$D$49:$D$54, 0)), "")</f>
        <v>13073</v>
      </c>
      <c r="BH97" s="217">
        <f>+(((Tabla46782[[#This Row],[CVA2]]*Tabla46782[[#This Row],[f2]])-Tabla46782[[#This Row],[CVN2]])/100)*Tabla46782[[#This Row],[L2]]</f>
        <v>6795.3454000000002</v>
      </c>
      <c r="BI97" s="218"/>
      <c r="BJ97" s="218"/>
      <c r="BK97" s="218" t="str">
        <f>+IF(Tabla46782[[#This Row],[F3]]=Tabla46782[[#This Row],[f2]], "IGUAL", "DISTINTO")</f>
        <v>IGUAL</v>
      </c>
      <c r="BL97" s="218" t="str">
        <f>+IF(Tabla46782[[#This Row],[CVN]]=Tabla46782[[#This Row],[CVN2]], "IGUAL", "DISTINTO")</f>
        <v>DISTINTO</v>
      </c>
      <c r="BM97" s="219" t="str">
        <f>+IF(Tabla46782[[#This Row],[L]]=Tabla46782[[#This Row],[L2]], "IGUAL", "DISTINTO")</f>
        <v>IGUAL</v>
      </c>
    </row>
    <row r="98" spans="1:65" x14ac:dyDescent="0.25">
      <c r="A98">
        <v>95</v>
      </c>
      <c r="B98" s="202" t="s">
        <v>743</v>
      </c>
      <c r="C98" s="203" t="s">
        <v>744</v>
      </c>
      <c r="D98" s="203" t="s">
        <v>70</v>
      </c>
      <c r="E98" s="203" t="s">
        <v>78</v>
      </c>
      <c r="F98" s="203" t="s">
        <v>78</v>
      </c>
      <c r="G98" s="203" t="s">
        <v>70</v>
      </c>
      <c r="H98" s="203" t="s">
        <v>72</v>
      </c>
      <c r="I98" s="203" t="s">
        <v>72</v>
      </c>
      <c r="J98" s="203" t="s">
        <v>72</v>
      </c>
      <c r="K98" s="203"/>
      <c r="L98" s="203" t="s">
        <v>249</v>
      </c>
      <c r="M98" s="203" t="s">
        <v>249</v>
      </c>
      <c r="N98" s="203"/>
      <c r="O98" s="203" t="s">
        <v>73</v>
      </c>
      <c r="P98" s="203" t="s">
        <v>74</v>
      </c>
      <c r="Q98" s="203" t="s">
        <v>75</v>
      </c>
      <c r="R98" s="203" t="s">
        <v>76</v>
      </c>
      <c r="S98" s="204">
        <v>45420</v>
      </c>
      <c r="T98" s="205">
        <v>45450</v>
      </c>
      <c r="U98" s="205">
        <f>VLOOKUP(Tabla46782[[#This Row],[Matricula]],BAJA2022202320242025!$B$3:$CR$245,95,FALSE)</f>
        <v>45450</v>
      </c>
      <c r="V98" s="206">
        <v>30</v>
      </c>
      <c r="W98" s="207">
        <v>2024</v>
      </c>
      <c r="X98" s="203" t="s">
        <v>77</v>
      </c>
      <c r="Y98" s="203" t="s">
        <v>78</v>
      </c>
      <c r="Z98" s="203" t="s">
        <v>213</v>
      </c>
      <c r="AA98" s="203" t="s">
        <v>745</v>
      </c>
      <c r="AB98" s="203" t="s">
        <v>336</v>
      </c>
      <c r="AC98" s="203" t="s">
        <v>337</v>
      </c>
      <c r="AD98" s="203" t="s">
        <v>746</v>
      </c>
      <c r="AE98" s="208">
        <v>6</v>
      </c>
      <c r="AF98" s="208" t="s">
        <v>747</v>
      </c>
      <c r="AG98" s="208" t="s">
        <v>140</v>
      </c>
      <c r="AH98" s="208" t="s">
        <v>151</v>
      </c>
      <c r="AI98" s="208" t="s">
        <v>87</v>
      </c>
      <c r="AJ98" s="208" t="s">
        <v>351</v>
      </c>
      <c r="AK98" s="205" t="s">
        <v>89</v>
      </c>
      <c r="AL98" s="204">
        <v>45625</v>
      </c>
      <c r="AM98" s="208">
        <v>0</v>
      </c>
      <c r="AN98" s="209" t="s">
        <v>336</v>
      </c>
      <c r="AO98" s="209" t="s">
        <v>748</v>
      </c>
      <c r="AP98" s="209" t="s">
        <v>337</v>
      </c>
      <c r="AQ98" s="209"/>
      <c r="AR98" s="209" t="s">
        <v>72</v>
      </c>
      <c r="AS98" s="209" t="s">
        <v>91</v>
      </c>
      <c r="AT98" s="209" t="s">
        <v>749</v>
      </c>
      <c r="AU98" s="210">
        <v>5.0999999999999996</v>
      </c>
      <c r="AV98" s="211">
        <v>10</v>
      </c>
      <c r="AW98" s="212">
        <v>16.399999999999999</v>
      </c>
      <c r="AX98" s="213">
        <v>13073</v>
      </c>
      <c r="AY98" s="213">
        <v>4523.2580000000007</v>
      </c>
      <c r="AZ98" s="210" t="s">
        <v>70</v>
      </c>
      <c r="BA98" s="209" t="s">
        <v>93</v>
      </c>
      <c r="BB98" s="214" t="str">
        <f>+IF(Tabla46782[[#This Row],[TIPO VEHÍCULO]]=Tabla46782[[#This Row],[Columna2]], "IGUAL", "DISTINTO")</f>
        <v>IGUAL</v>
      </c>
      <c r="BC98" s="214" t="str">
        <f>+IF(Tabla46782[[#This Row],[Columna4]]=Tabla46782[[#This Row],[Combustible2]], "IGUAL", "DISTINTO")</f>
        <v>IGUAL</v>
      </c>
      <c r="BD98" s="215" cm="1">
        <f t="array" ref="BD98">IFERROR(INDEX('[1]Anexos FICHA TRA050'!$D$27:$D$44, MATCH(Tabla46782[[#This Row],[Columna5]]&amp;Tabla46782[[#This Row],[Columna4]], '[1]Anexos FICHA TRA050'!$E$27:$E$44&amp;'[1]Anexos FICHA TRA050'!$F$27:$F$44, 0)), "")</f>
        <v>6.99</v>
      </c>
      <c r="BE98" s="215">
        <f>IFERROR(INDEX('[1]Anexos FICHA TRA050'!$B$4:$B$7, MATCH(Tabla46782[[#This Row],[Columna4]], '[1]Anexos FICHA TRA050'!$C$4:$C$7, 0)), "")</f>
        <v>10</v>
      </c>
      <c r="BF98" s="215">
        <f>IFERROR(INDEX('[1]Anexos FICHA TRA050'!$C$14:$C$22, MATCH(Tabla46782[[#This Row],[Columna5]], '[1]Anexos FICHA TRA050'!$D$14:$D$22, 0)), "")</f>
        <v>17.920000000000002</v>
      </c>
      <c r="BG98" s="216">
        <f>IFERROR(INDEX('[1]Anexos FICHA TRA050'!$C$49:$C$54, MATCH(Tabla46782[[#This Row],[Columna5]], '[1]Anexos FICHA TRA050'!$D$49:$D$54, 0)), "")</f>
        <v>13073</v>
      </c>
      <c r="BH98" s="217">
        <f>+(((Tabla46782[[#This Row],[CVA2]]*Tabla46782[[#This Row],[f2]])-Tabla46782[[#This Row],[CVN2]])/100)*Tabla46782[[#This Row],[L2]]</f>
        <v>6795.3454000000002</v>
      </c>
      <c r="BI98" s="218"/>
      <c r="BJ98" s="218"/>
      <c r="BK98" s="218" t="str">
        <f>+IF(Tabla46782[[#This Row],[F3]]=Tabla46782[[#This Row],[f2]], "IGUAL", "DISTINTO")</f>
        <v>IGUAL</v>
      </c>
      <c r="BL98" s="218" t="str">
        <f>+IF(Tabla46782[[#This Row],[CVN]]=Tabla46782[[#This Row],[CVN2]], "IGUAL", "DISTINTO")</f>
        <v>DISTINTO</v>
      </c>
      <c r="BM98" s="219" t="str">
        <f>+IF(Tabla46782[[#This Row],[L]]=Tabla46782[[#This Row],[L2]], "IGUAL", "DISTINTO")</f>
        <v>IGUAL</v>
      </c>
    </row>
    <row r="99" spans="1:65" x14ac:dyDescent="0.25">
      <c r="A99">
        <v>96</v>
      </c>
      <c r="B99" s="202" t="s">
        <v>750</v>
      </c>
      <c r="C99" s="203" t="s">
        <v>751</v>
      </c>
      <c r="D99" s="203" t="s">
        <v>128</v>
      </c>
      <c r="E99" s="203" t="s">
        <v>78</v>
      </c>
      <c r="F99" s="203" t="s">
        <v>78</v>
      </c>
      <c r="G99" s="203" t="s">
        <v>128</v>
      </c>
      <c r="H99" s="203" t="s">
        <v>72</v>
      </c>
      <c r="I99" s="203"/>
      <c r="J99" s="203" t="s">
        <v>72</v>
      </c>
      <c r="K99" s="203"/>
      <c r="L99" s="203" t="s">
        <v>72</v>
      </c>
      <c r="M99" s="203" t="s">
        <v>72</v>
      </c>
      <c r="N99" s="203"/>
      <c r="O99" s="203" t="s">
        <v>129</v>
      </c>
      <c r="P99" s="203" t="s">
        <v>74</v>
      </c>
      <c r="Q99" s="203" t="s">
        <v>75</v>
      </c>
      <c r="R99" s="203" t="s">
        <v>76</v>
      </c>
      <c r="S99" s="204">
        <v>44861</v>
      </c>
      <c r="T99" s="205">
        <v>44964</v>
      </c>
      <c r="U99" s="205">
        <f>VLOOKUP(Tabla46782[[#This Row],[Matricula]],BAJA2022202320242025!$B$3:$CR$245,95,FALSE)</f>
        <v>44964</v>
      </c>
      <c r="V99" s="206">
        <v>103</v>
      </c>
      <c r="W99" s="207">
        <v>2023</v>
      </c>
      <c r="X99" s="203" t="s">
        <v>77</v>
      </c>
      <c r="Y99" s="203" t="s">
        <v>78</v>
      </c>
      <c r="Z99" s="203" t="s">
        <v>85</v>
      </c>
      <c r="AA99" s="203" t="s">
        <v>752</v>
      </c>
      <c r="AB99" s="203" t="s">
        <v>131</v>
      </c>
      <c r="AC99" s="203" t="s">
        <v>132</v>
      </c>
      <c r="AD99" s="203" t="s">
        <v>753</v>
      </c>
      <c r="AE99" s="208">
        <v>9</v>
      </c>
      <c r="AF99" s="208" t="s">
        <v>754</v>
      </c>
      <c r="AG99" s="208" t="s">
        <v>380</v>
      </c>
      <c r="AH99" s="208" t="s">
        <v>381</v>
      </c>
      <c r="AI99" s="208" t="s">
        <v>87</v>
      </c>
      <c r="AJ99" s="208" t="s">
        <v>622</v>
      </c>
      <c r="AK99" s="205" t="s">
        <v>89</v>
      </c>
      <c r="AL99" s="204">
        <v>45608</v>
      </c>
      <c r="AM99" s="208">
        <v>1</v>
      </c>
      <c r="AN99" s="209" t="s">
        <v>131</v>
      </c>
      <c r="AO99" s="210">
        <v>4500421017</v>
      </c>
      <c r="AP99" s="209" t="s">
        <v>132</v>
      </c>
      <c r="AQ99" s="209"/>
      <c r="AR99" s="209" t="s">
        <v>72</v>
      </c>
      <c r="AS99" s="209" t="s">
        <v>91</v>
      </c>
      <c r="AT99" s="209" t="s">
        <v>755</v>
      </c>
      <c r="AU99" s="210">
        <v>5.6</v>
      </c>
      <c r="AV99" s="211">
        <v>10</v>
      </c>
      <c r="AW99" s="212">
        <v>20</v>
      </c>
      <c r="AX99" s="213">
        <v>15815</v>
      </c>
      <c r="AY99" s="213">
        <v>5693.4</v>
      </c>
      <c r="AZ99" s="210" t="s">
        <v>128</v>
      </c>
      <c r="BA99" s="209" t="s">
        <v>93</v>
      </c>
      <c r="BB99" s="214" t="str">
        <f>+IF(Tabla46782[[#This Row],[TIPO VEHÍCULO]]=Tabla46782[[#This Row],[Columna2]], "IGUAL", "DISTINTO")</f>
        <v>IGUAL</v>
      </c>
      <c r="BC99" s="214" t="str">
        <f>+IF(Tabla46782[[#This Row],[Columna4]]=Tabla46782[[#This Row],[Combustible2]], "IGUAL", "DISTINTO")</f>
        <v>IGUAL</v>
      </c>
      <c r="BD99" s="215" cm="1">
        <f t="array" ref="BD99">IFERROR(INDEX('[1]Anexos FICHA TRA050'!$D$27:$D$44, MATCH(Tabla46782[[#This Row],[Columna5]]&amp;Tabla46782[[#This Row],[Columna4]], '[1]Anexos FICHA TRA050'!$E$27:$E$44&amp;'[1]Anexos FICHA TRA050'!$F$27:$F$44, 0)), "")</f>
        <v>5.63</v>
      </c>
      <c r="BE99" s="215">
        <f>IFERROR(INDEX('[1]Anexos FICHA TRA050'!$B$4:$B$7, MATCH(Tabla46782[[#This Row],[Columna4]], '[1]Anexos FICHA TRA050'!$C$4:$C$7, 0)), "")</f>
        <v>10</v>
      </c>
      <c r="BF99" s="215">
        <f>IFERROR(INDEX('[1]Anexos FICHA TRA050'!$C$14:$C$22, MATCH(Tabla46782[[#This Row],[Columna5]], '[1]Anexos FICHA TRA050'!$D$14:$D$22, 0)), "")</f>
        <v>20.84</v>
      </c>
      <c r="BG99" s="216">
        <f>IFERROR(INDEX('[1]Anexos FICHA TRA050'!$C$49:$C$54, MATCH(Tabla46782[[#This Row],[Columna5]], '[1]Anexos FICHA TRA050'!$D$49:$D$54, 0)), "")</f>
        <v>15815</v>
      </c>
      <c r="BH99" s="217">
        <f>+(((Tabla46782[[#This Row],[CVA2]]*Tabla46782[[#This Row],[f2]])-Tabla46782[[#This Row],[CVN2]])/100)*Tabla46782[[#This Row],[L2]]</f>
        <v>5607.9989999999989</v>
      </c>
      <c r="BI99" s="218"/>
      <c r="BJ99" s="218"/>
      <c r="BK99" s="218" t="str">
        <f>+IF(Tabla46782[[#This Row],[F3]]=Tabla46782[[#This Row],[f2]], "IGUAL", "DISTINTO")</f>
        <v>IGUAL</v>
      </c>
      <c r="BL99" s="218" t="str">
        <f>+IF(Tabla46782[[#This Row],[CVN]]=Tabla46782[[#This Row],[CVN2]], "IGUAL", "DISTINTO")</f>
        <v>DISTINTO</v>
      </c>
      <c r="BM99" s="219" t="str">
        <f>+IF(Tabla46782[[#This Row],[L]]=Tabla46782[[#This Row],[L2]], "IGUAL", "DISTINTO")</f>
        <v>IGUAL</v>
      </c>
    </row>
    <row r="100" spans="1:65" x14ac:dyDescent="0.25">
      <c r="A100">
        <v>97</v>
      </c>
      <c r="B100" s="202" t="s">
        <v>756</v>
      </c>
      <c r="C100" s="203" t="s">
        <v>757</v>
      </c>
      <c r="D100" s="203" t="s">
        <v>70</v>
      </c>
      <c r="E100" s="203" t="s">
        <v>78</v>
      </c>
      <c r="F100" s="203" t="s">
        <v>78</v>
      </c>
      <c r="G100" s="203" t="s">
        <v>70</v>
      </c>
      <c r="H100" s="203" t="s">
        <v>72</v>
      </c>
      <c r="I100" s="203" t="s">
        <v>72</v>
      </c>
      <c r="J100" s="203" t="s">
        <v>72</v>
      </c>
      <c r="K100" s="203"/>
      <c r="L100" s="203" t="s">
        <v>249</v>
      </c>
      <c r="M100" s="203" t="s">
        <v>249</v>
      </c>
      <c r="N100" s="203"/>
      <c r="O100" s="203" t="s">
        <v>73</v>
      </c>
      <c r="P100" s="203" t="s">
        <v>74</v>
      </c>
      <c r="Q100" s="203" t="s">
        <v>75</v>
      </c>
      <c r="R100" s="203" t="s">
        <v>76</v>
      </c>
      <c r="S100" s="204">
        <v>45350</v>
      </c>
      <c r="T100" s="205">
        <v>45406</v>
      </c>
      <c r="U100" s="205">
        <f>VLOOKUP(Tabla46782[[#This Row],[Matricula]],BAJA2022202320242025!$B$3:$CR$245,95,FALSE)</f>
        <v>45406</v>
      </c>
      <c r="V100" s="206">
        <v>56</v>
      </c>
      <c r="W100" s="207">
        <v>2024</v>
      </c>
      <c r="X100" s="203" t="s">
        <v>77</v>
      </c>
      <c r="Y100" s="203" t="s">
        <v>78</v>
      </c>
      <c r="Z100" s="203" t="s">
        <v>85</v>
      </c>
      <c r="AA100" s="203" t="s">
        <v>758</v>
      </c>
      <c r="AB100" s="203" t="s">
        <v>336</v>
      </c>
      <c r="AC100" s="203" t="s">
        <v>337</v>
      </c>
      <c r="AD100" s="203" t="s">
        <v>373</v>
      </c>
      <c r="AE100" s="208">
        <v>7</v>
      </c>
      <c r="AF100" s="208" t="s">
        <v>759</v>
      </c>
      <c r="AG100" s="208" t="s">
        <v>85</v>
      </c>
      <c r="AH100" s="208" t="s">
        <v>86</v>
      </c>
      <c r="AI100" s="208" t="s">
        <v>87</v>
      </c>
      <c r="AJ100" s="208" t="s">
        <v>760</v>
      </c>
      <c r="AK100" s="205" t="s">
        <v>89</v>
      </c>
      <c r="AL100" s="204">
        <v>45649</v>
      </c>
      <c r="AM100" s="208">
        <v>0</v>
      </c>
      <c r="AN100" s="209" t="s">
        <v>336</v>
      </c>
      <c r="AO100" s="209" t="s">
        <v>761</v>
      </c>
      <c r="AP100" s="209" t="s">
        <v>337</v>
      </c>
      <c r="AQ100" s="209"/>
      <c r="AR100" s="209" t="s">
        <v>72</v>
      </c>
      <c r="AS100" s="209" t="s">
        <v>91</v>
      </c>
      <c r="AT100" s="209" t="s">
        <v>762</v>
      </c>
      <c r="AU100" s="210">
        <v>5.0999999999999996</v>
      </c>
      <c r="AV100" s="211">
        <v>10</v>
      </c>
      <c r="AW100" s="212">
        <v>17.3</v>
      </c>
      <c r="AX100" s="213">
        <v>13073</v>
      </c>
      <c r="AY100" s="213">
        <v>4405.6010000000006</v>
      </c>
      <c r="AZ100" s="210" t="s">
        <v>70</v>
      </c>
      <c r="BA100" s="209" t="s">
        <v>93</v>
      </c>
      <c r="BB100" s="214" t="str">
        <f>+IF(Tabla46782[[#This Row],[TIPO VEHÍCULO]]=Tabla46782[[#This Row],[Columna2]], "IGUAL", "DISTINTO")</f>
        <v>IGUAL</v>
      </c>
      <c r="BC100" s="214" t="str">
        <f>+IF(Tabla46782[[#This Row],[Columna4]]=Tabla46782[[#This Row],[Combustible2]], "IGUAL", "DISTINTO")</f>
        <v>IGUAL</v>
      </c>
      <c r="BD100" s="215" cm="1">
        <f t="array" ref="BD100">IFERROR(INDEX('[1]Anexos FICHA TRA050'!$D$27:$D$44, MATCH(Tabla46782[[#This Row],[Columna5]]&amp;Tabla46782[[#This Row],[Columna4]], '[1]Anexos FICHA TRA050'!$E$27:$E$44&amp;'[1]Anexos FICHA TRA050'!$F$27:$F$44, 0)), "")</f>
        <v>6.99</v>
      </c>
      <c r="BE100" s="215">
        <f>IFERROR(INDEX('[1]Anexos FICHA TRA050'!$B$4:$B$7, MATCH(Tabla46782[[#This Row],[Columna4]], '[1]Anexos FICHA TRA050'!$C$4:$C$7, 0)), "")</f>
        <v>10</v>
      </c>
      <c r="BF100" s="215">
        <f>IFERROR(INDEX('[1]Anexos FICHA TRA050'!$C$14:$C$22, MATCH(Tabla46782[[#This Row],[Columna5]], '[1]Anexos FICHA TRA050'!$D$14:$D$22, 0)), "")</f>
        <v>17.920000000000002</v>
      </c>
      <c r="BG100" s="216">
        <f>IFERROR(INDEX('[1]Anexos FICHA TRA050'!$C$49:$C$54, MATCH(Tabla46782[[#This Row],[Columna5]], '[1]Anexos FICHA TRA050'!$D$49:$D$54, 0)), "")</f>
        <v>13073</v>
      </c>
      <c r="BH100" s="217">
        <f>+(((Tabla46782[[#This Row],[CVA2]]*Tabla46782[[#This Row],[f2]])-Tabla46782[[#This Row],[CVN2]])/100)*Tabla46782[[#This Row],[L2]]</f>
        <v>6795.3454000000002</v>
      </c>
      <c r="BI100" s="218"/>
      <c r="BJ100" s="218"/>
      <c r="BK100" s="218" t="str">
        <f>+IF(Tabla46782[[#This Row],[F3]]=Tabla46782[[#This Row],[f2]], "IGUAL", "DISTINTO")</f>
        <v>IGUAL</v>
      </c>
      <c r="BL100" s="218" t="str">
        <f>+IF(Tabla46782[[#This Row],[CVN]]=Tabla46782[[#This Row],[CVN2]], "IGUAL", "DISTINTO")</f>
        <v>DISTINTO</v>
      </c>
      <c r="BM100" s="219" t="str">
        <f>+IF(Tabla46782[[#This Row],[L]]=Tabla46782[[#This Row],[L2]], "IGUAL", "DISTINTO")</f>
        <v>IGUAL</v>
      </c>
    </row>
    <row r="101" spans="1:65" x14ac:dyDescent="0.25">
      <c r="A101">
        <v>98</v>
      </c>
      <c r="B101" s="202" t="s">
        <v>763</v>
      </c>
      <c r="C101" s="203" t="s">
        <v>764</v>
      </c>
      <c r="D101" s="203" t="s">
        <v>70</v>
      </c>
      <c r="E101" s="203" t="s">
        <v>78</v>
      </c>
      <c r="F101" s="203" t="s">
        <v>78</v>
      </c>
      <c r="G101" s="203" t="s">
        <v>70</v>
      </c>
      <c r="H101" s="203" t="s">
        <v>72</v>
      </c>
      <c r="I101" s="203"/>
      <c r="J101" s="203" t="s">
        <v>72</v>
      </c>
      <c r="K101" s="203"/>
      <c r="L101" s="203" t="s">
        <v>249</v>
      </c>
      <c r="M101" s="203" t="s">
        <v>249</v>
      </c>
      <c r="N101" s="203"/>
      <c r="O101" s="203" t="s">
        <v>73</v>
      </c>
      <c r="P101" s="203" t="s">
        <v>74</v>
      </c>
      <c r="Q101" s="203" t="s">
        <v>75</v>
      </c>
      <c r="R101" s="203" t="s">
        <v>76</v>
      </c>
      <c r="S101" s="204">
        <v>45422</v>
      </c>
      <c r="T101" s="205">
        <v>45473</v>
      </c>
      <c r="U101" s="205">
        <f>VLOOKUP(Tabla46782[[#This Row],[Matricula]],BAJA2022202320242025!$B$3:$CR$245,95,FALSE)</f>
        <v>45478</v>
      </c>
      <c r="V101" s="206">
        <v>51</v>
      </c>
      <c r="W101" s="207">
        <v>2024</v>
      </c>
      <c r="X101" s="203" t="s">
        <v>77</v>
      </c>
      <c r="Y101" s="203" t="s">
        <v>78</v>
      </c>
      <c r="Z101" s="203" t="s">
        <v>85</v>
      </c>
      <c r="AA101" s="203" t="s">
        <v>758</v>
      </c>
      <c r="AB101" s="203" t="s">
        <v>308</v>
      </c>
      <c r="AC101" s="203" t="s">
        <v>309</v>
      </c>
      <c r="AD101" s="203" t="s">
        <v>312</v>
      </c>
      <c r="AE101" s="208">
        <v>2</v>
      </c>
      <c r="AF101" s="208" t="s">
        <v>765</v>
      </c>
      <c r="AG101" s="208" t="s">
        <v>85</v>
      </c>
      <c r="AH101" s="208" t="s">
        <v>86</v>
      </c>
      <c r="AI101" s="208" t="s">
        <v>87</v>
      </c>
      <c r="AJ101" s="208" t="s">
        <v>310</v>
      </c>
      <c r="AK101" s="205" t="s">
        <v>89</v>
      </c>
      <c r="AL101" s="204">
        <v>45649</v>
      </c>
      <c r="AM101" s="208">
        <v>0</v>
      </c>
      <c r="AN101" s="209" t="s">
        <v>308</v>
      </c>
      <c r="AO101" s="209" t="s">
        <v>72</v>
      </c>
      <c r="AP101" s="209" t="s">
        <v>309</v>
      </c>
      <c r="AQ101" s="209"/>
      <c r="AR101" s="209" t="s">
        <v>72</v>
      </c>
      <c r="AS101" s="209" t="s">
        <v>91</v>
      </c>
      <c r="AT101" s="209" t="s">
        <v>766</v>
      </c>
      <c r="AU101" s="210">
        <v>5.0999999999999996</v>
      </c>
      <c r="AV101" s="211">
        <v>10</v>
      </c>
      <c r="AW101" s="212">
        <v>17.3</v>
      </c>
      <c r="AX101" s="213">
        <v>13073</v>
      </c>
      <c r="AY101" s="213">
        <v>4405.6010000000006</v>
      </c>
      <c r="AZ101" s="210" t="s">
        <v>70</v>
      </c>
      <c r="BA101" s="209" t="s">
        <v>93</v>
      </c>
      <c r="BB101" s="214" t="str">
        <f>+IF(Tabla46782[[#This Row],[TIPO VEHÍCULO]]=Tabla46782[[#This Row],[Columna2]], "IGUAL", "DISTINTO")</f>
        <v>IGUAL</v>
      </c>
      <c r="BC101" s="214" t="str">
        <f>+IF(Tabla46782[[#This Row],[Columna4]]=Tabla46782[[#This Row],[Combustible2]], "IGUAL", "DISTINTO")</f>
        <v>IGUAL</v>
      </c>
      <c r="BD101" s="215" cm="1">
        <f t="array" ref="BD101">IFERROR(INDEX('[1]Anexos FICHA TRA050'!$D$27:$D$44, MATCH(Tabla46782[[#This Row],[Columna5]]&amp;Tabla46782[[#This Row],[Columna4]], '[1]Anexos FICHA TRA050'!$E$27:$E$44&amp;'[1]Anexos FICHA TRA050'!$F$27:$F$44, 0)), "")</f>
        <v>6.99</v>
      </c>
      <c r="BE101" s="215">
        <f>IFERROR(INDEX('[1]Anexos FICHA TRA050'!$B$4:$B$7, MATCH(Tabla46782[[#This Row],[Columna4]], '[1]Anexos FICHA TRA050'!$C$4:$C$7, 0)), "")</f>
        <v>10</v>
      </c>
      <c r="BF101" s="215">
        <f>IFERROR(INDEX('[1]Anexos FICHA TRA050'!$C$14:$C$22, MATCH(Tabla46782[[#This Row],[Columna5]], '[1]Anexos FICHA TRA050'!$D$14:$D$22, 0)), "")</f>
        <v>17.920000000000002</v>
      </c>
      <c r="BG101" s="216">
        <f>IFERROR(INDEX('[1]Anexos FICHA TRA050'!$C$49:$C$54, MATCH(Tabla46782[[#This Row],[Columna5]], '[1]Anexos FICHA TRA050'!$D$49:$D$54, 0)), "")</f>
        <v>13073</v>
      </c>
      <c r="BH101" s="217">
        <f>+(((Tabla46782[[#This Row],[CVA2]]*Tabla46782[[#This Row],[f2]])-Tabla46782[[#This Row],[CVN2]])/100)*Tabla46782[[#This Row],[L2]]</f>
        <v>6795.3454000000002</v>
      </c>
      <c r="BI101" s="218"/>
      <c r="BJ101" s="218"/>
      <c r="BK101" s="218" t="str">
        <f>+IF(Tabla46782[[#This Row],[F3]]=Tabla46782[[#This Row],[f2]], "IGUAL", "DISTINTO")</f>
        <v>IGUAL</v>
      </c>
      <c r="BL101" s="218" t="str">
        <f>+IF(Tabla46782[[#This Row],[CVN]]=Tabla46782[[#This Row],[CVN2]], "IGUAL", "DISTINTO")</f>
        <v>DISTINTO</v>
      </c>
      <c r="BM101" s="219" t="str">
        <f>+IF(Tabla46782[[#This Row],[L]]=Tabla46782[[#This Row],[L2]], "IGUAL", "DISTINTO")</f>
        <v>IGUAL</v>
      </c>
    </row>
    <row r="102" spans="1:65" x14ac:dyDescent="0.25">
      <c r="A102">
        <v>99</v>
      </c>
      <c r="B102" s="202" t="s">
        <v>767</v>
      </c>
      <c r="C102" s="203" t="s">
        <v>768</v>
      </c>
      <c r="D102" s="203" t="s">
        <v>70</v>
      </c>
      <c r="E102" s="203" t="s">
        <v>78</v>
      </c>
      <c r="F102" s="203" t="s">
        <v>78</v>
      </c>
      <c r="G102" s="203" t="s">
        <v>70</v>
      </c>
      <c r="H102" s="203" t="s">
        <v>72</v>
      </c>
      <c r="I102" s="203"/>
      <c r="J102" s="203" t="s">
        <v>72</v>
      </c>
      <c r="K102" s="203"/>
      <c r="L102" s="203" t="s">
        <v>72</v>
      </c>
      <c r="M102" s="203" t="s">
        <v>72</v>
      </c>
      <c r="N102" s="203"/>
      <c r="O102" s="203" t="s">
        <v>73</v>
      </c>
      <c r="P102" s="203" t="s">
        <v>200</v>
      </c>
      <c r="Q102" s="203" t="s">
        <v>201</v>
      </c>
      <c r="R102" s="203" t="s">
        <v>76</v>
      </c>
      <c r="S102" s="209">
        <v>43819</v>
      </c>
      <c r="T102" s="205">
        <v>45280</v>
      </c>
      <c r="U102" s="205">
        <f>VLOOKUP(Tabla46782[[#This Row],[Matricula]],BAJA2022202320242025!$B$3:$CR$245,95,FALSE)</f>
        <v>45371</v>
      </c>
      <c r="V102" s="206">
        <v>1461</v>
      </c>
      <c r="W102" s="207">
        <v>2023</v>
      </c>
      <c r="X102" s="203" t="s">
        <v>77</v>
      </c>
      <c r="Y102" s="203" t="s">
        <v>78</v>
      </c>
      <c r="Z102" s="203" t="s">
        <v>359</v>
      </c>
      <c r="AA102" s="203" t="s">
        <v>769</v>
      </c>
      <c r="AB102" s="203" t="s">
        <v>119</v>
      </c>
      <c r="AC102" s="203" t="s">
        <v>120</v>
      </c>
      <c r="AD102" s="203" t="s">
        <v>770</v>
      </c>
      <c r="AE102" s="208">
        <v>17</v>
      </c>
      <c r="AF102" s="208" t="s">
        <v>771</v>
      </c>
      <c r="AG102" s="208" t="s">
        <v>140</v>
      </c>
      <c r="AH102" s="208" t="s">
        <v>151</v>
      </c>
      <c r="AI102" s="208" t="s">
        <v>87</v>
      </c>
      <c r="AJ102" s="208" t="s">
        <v>501</v>
      </c>
      <c r="AK102" s="205" t="s">
        <v>89</v>
      </c>
      <c r="AL102" s="204">
        <v>45622</v>
      </c>
      <c r="AM102" s="208">
        <v>1</v>
      </c>
      <c r="AN102" s="209" t="s">
        <v>119</v>
      </c>
      <c r="AO102" s="209" t="s">
        <v>772</v>
      </c>
      <c r="AP102" s="209" t="s">
        <v>120</v>
      </c>
      <c r="AQ102" s="209"/>
      <c r="AR102" s="209" t="s">
        <v>72</v>
      </c>
      <c r="AS102" s="209" t="s">
        <v>91</v>
      </c>
      <c r="AT102" s="209" t="s">
        <v>773</v>
      </c>
      <c r="AU102" s="210">
        <v>5.0999999999999996</v>
      </c>
      <c r="AV102" s="211">
        <v>10</v>
      </c>
      <c r="AW102" s="212">
        <v>16.399999999999999</v>
      </c>
      <c r="AX102" s="213">
        <v>13073</v>
      </c>
      <c r="AY102" s="213">
        <v>4523.2580000000007</v>
      </c>
      <c r="AZ102" s="210" t="s">
        <v>70</v>
      </c>
      <c r="BA102" s="209" t="s">
        <v>93</v>
      </c>
      <c r="BB102" s="214" t="str">
        <f>+IF(Tabla46782[[#This Row],[TIPO VEHÍCULO]]=Tabla46782[[#This Row],[Columna2]], "IGUAL", "DISTINTO")</f>
        <v>IGUAL</v>
      </c>
      <c r="BC102" s="214" t="str">
        <f>+IF(Tabla46782[[#This Row],[Columna4]]=Tabla46782[[#This Row],[Combustible2]], "IGUAL", "DISTINTO")</f>
        <v>IGUAL</v>
      </c>
      <c r="BD102" s="215" cm="1">
        <f t="array" ref="BD102">IFERROR(INDEX('[1]Anexos FICHA TRA050'!$D$27:$D$44, MATCH(Tabla46782[[#This Row],[Columna5]]&amp;Tabla46782[[#This Row],[Columna4]], '[1]Anexos FICHA TRA050'!$E$27:$E$44&amp;'[1]Anexos FICHA TRA050'!$F$27:$F$44, 0)), "")</f>
        <v>6.99</v>
      </c>
      <c r="BE102" s="215">
        <f>IFERROR(INDEX('[1]Anexos FICHA TRA050'!$B$4:$B$7, MATCH(Tabla46782[[#This Row],[Columna4]], '[1]Anexos FICHA TRA050'!$C$4:$C$7, 0)), "")</f>
        <v>10</v>
      </c>
      <c r="BF102" s="215">
        <f>IFERROR(INDEX('[1]Anexos FICHA TRA050'!$C$14:$C$22, MATCH(Tabla46782[[#This Row],[Columna5]], '[1]Anexos FICHA TRA050'!$D$14:$D$22, 0)), "")</f>
        <v>17.920000000000002</v>
      </c>
      <c r="BG102" s="216">
        <f>IFERROR(INDEX('[1]Anexos FICHA TRA050'!$C$49:$C$54, MATCH(Tabla46782[[#This Row],[Columna5]], '[1]Anexos FICHA TRA050'!$D$49:$D$54, 0)), "")</f>
        <v>13073</v>
      </c>
      <c r="BH102" s="217">
        <f>+(((Tabla46782[[#This Row],[CVA2]]*Tabla46782[[#This Row],[f2]])-Tabla46782[[#This Row],[CVN2]])/100)*Tabla46782[[#This Row],[L2]]</f>
        <v>6795.3454000000002</v>
      </c>
      <c r="BI102" s="218"/>
      <c r="BJ102" s="218"/>
      <c r="BK102" s="218" t="str">
        <f>+IF(Tabla46782[[#This Row],[F3]]=Tabla46782[[#This Row],[f2]], "IGUAL", "DISTINTO")</f>
        <v>IGUAL</v>
      </c>
      <c r="BL102" s="218" t="str">
        <f>+IF(Tabla46782[[#This Row],[CVN]]=Tabla46782[[#This Row],[CVN2]], "IGUAL", "DISTINTO")</f>
        <v>DISTINTO</v>
      </c>
      <c r="BM102" s="219" t="str">
        <f>+IF(Tabla46782[[#This Row],[L]]=Tabla46782[[#This Row],[L2]], "IGUAL", "DISTINTO")</f>
        <v>IGUAL</v>
      </c>
    </row>
    <row r="103" spans="1:65" x14ac:dyDescent="0.25">
      <c r="A103">
        <v>100</v>
      </c>
      <c r="B103" s="202" t="s">
        <v>774</v>
      </c>
      <c r="C103" s="203" t="s">
        <v>775</v>
      </c>
      <c r="D103" s="203" t="s">
        <v>70</v>
      </c>
      <c r="E103" s="203" t="s">
        <v>78</v>
      </c>
      <c r="F103" s="203" t="s">
        <v>78</v>
      </c>
      <c r="G103" s="203" t="s">
        <v>70</v>
      </c>
      <c r="H103" s="203" t="s">
        <v>72</v>
      </c>
      <c r="I103" s="203"/>
      <c r="J103" s="203" t="s">
        <v>72</v>
      </c>
      <c r="K103" s="203"/>
      <c r="L103" s="203" t="s">
        <v>72</v>
      </c>
      <c r="M103" s="203" t="s">
        <v>72</v>
      </c>
      <c r="N103" s="203"/>
      <c r="O103" s="203" t="s">
        <v>73</v>
      </c>
      <c r="P103" s="203" t="s">
        <v>200</v>
      </c>
      <c r="Q103" s="203" t="s">
        <v>201</v>
      </c>
      <c r="R103" s="203" t="s">
        <v>76</v>
      </c>
      <c r="S103" s="209">
        <v>43819</v>
      </c>
      <c r="T103" s="205">
        <v>45646</v>
      </c>
      <c r="U103" s="205">
        <f>VLOOKUP(Tabla46782[[#This Row],[Matricula]],BAJA2022202320242025!$B$3:$CR$245,95,FALSE)</f>
        <v>45798</v>
      </c>
      <c r="V103" s="206">
        <v>1827</v>
      </c>
      <c r="W103" s="207">
        <v>2024</v>
      </c>
      <c r="X103" s="203" t="s">
        <v>77</v>
      </c>
      <c r="Y103" s="203" t="s">
        <v>78</v>
      </c>
      <c r="Z103" s="203" t="s">
        <v>359</v>
      </c>
      <c r="AA103" s="203" t="s">
        <v>769</v>
      </c>
      <c r="AB103" s="203" t="s">
        <v>119</v>
      </c>
      <c r="AC103" s="203" t="s">
        <v>120</v>
      </c>
      <c r="AD103" s="203" t="s">
        <v>776</v>
      </c>
      <c r="AE103" s="208">
        <v>18</v>
      </c>
      <c r="AF103" s="208" t="s">
        <v>777</v>
      </c>
      <c r="AG103" s="208" t="s">
        <v>140</v>
      </c>
      <c r="AH103" s="208" t="s">
        <v>151</v>
      </c>
      <c r="AI103" s="208" t="s">
        <v>87</v>
      </c>
      <c r="AJ103" s="208" t="s">
        <v>258</v>
      </c>
      <c r="AK103" s="205" t="s">
        <v>89</v>
      </c>
      <c r="AL103" s="204">
        <v>45625</v>
      </c>
      <c r="AM103" s="208">
        <v>0</v>
      </c>
      <c r="AN103" s="209" t="s">
        <v>119</v>
      </c>
      <c r="AO103" s="209" t="s">
        <v>778</v>
      </c>
      <c r="AP103" s="209" t="s">
        <v>120</v>
      </c>
      <c r="AQ103" s="209"/>
      <c r="AR103" s="209" t="s">
        <v>72</v>
      </c>
      <c r="AS103" s="209" t="s">
        <v>91</v>
      </c>
      <c r="AT103" s="209" t="s">
        <v>779</v>
      </c>
      <c r="AU103" s="210">
        <v>5.0999999999999996</v>
      </c>
      <c r="AV103" s="211">
        <v>10</v>
      </c>
      <c r="AW103" s="212">
        <v>16.399999999999999</v>
      </c>
      <c r="AX103" s="213">
        <v>13073</v>
      </c>
      <c r="AY103" s="213">
        <v>4523.2580000000007</v>
      </c>
      <c r="AZ103" s="210" t="s">
        <v>70</v>
      </c>
      <c r="BA103" s="209" t="s">
        <v>93</v>
      </c>
      <c r="BB103" s="214" t="str">
        <f>+IF(Tabla46782[[#This Row],[TIPO VEHÍCULO]]=Tabla46782[[#This Row],[Columna2]], "IGUAL", "DISTINTO")</f>
        <v>IGUAL</v>
      </c>
      <c r="BC103" s="214" t="str">
        <f>+IF(Tabla46782[[#This Row],[Columna4]]=Tabla46782[[#This Row],[Combustible2]], "IGUAL", "DISTINTO")</f>
        <v>IGUAL</v>
      </c>
      <c r="BD103" s="215" cm="1">
        <f t="array" ref="BD103">IFERROR(INDEX('[1]Anexos FICHA TRA050'!$D$27:$D$44, MATCH(Tabla46782[[#This Row],[Columna5]]&amp;Tabla46782[[#This Row],[Columna4]], '[1]Anexos FICHA TRA050'!$E$27:$E$44&amp;'[1]Anexos FICHA TRA050'!$F$27:$F$44, 0)), "")</f>
        <v>6.99</v>
      </c>
      <c r="BE103" s="215">
        <f>IFERROR(INDEX('[1]Anexos FICHA TRA050'!$B$4:$B$7, MATCH(Tabla46782[[#This Row],[Columna4]], '[1]Anexos FICHA TRA050'!$C$4:$C$7, 0)), "")</f>
        <v>10</v>
      </c>
      <c r="BF103" s="215">
        <f>IFERROR(INDEX('[1]Anexos FICHA TRA050'!$C$14:$C$22, MATCH(Tabla46782[[#This Row],[Columna5]], '[1]Anexos FICHA TRA050'!$D$14:$D$22, 0)), "")</f>
        <v>17.920000000000002</v>
      </c>
      <c r="BG103" s="216">
        <f>IFERROR(INDEX('[1]Anexos FICHA TRA050'!$C$49:$C$54, MATCH(Tabla46782[[#This Row],[Columna5]], '[1]Anexos FICHA TRA050'!$D$49:$D$54, 0)), "")</f>
        <v>13073</v>
      </c>
      <c r="BH103" s="217">
        <f>+(((Tabla46782[[#This Row],[CVA2]]*Tabla46782[[#This Row],[f2]])-Tabla46782[[#This Row],[CVN2]])/100)*Tabla46782[[#This Row],[L2]]</f>
        <v>6795.3454000000002</v>
      </c>
      <c r="BI103" s="218"/>
      <c r="BJ103" s="218"/>
      <c r="BK103" s="218" t="str">
        <f>+IF(Tabla46782[[#This Row],[F3]]=Tabla46782[[#This Row],[f2]], "IGUAL", "DISTINTO")</f>
        <v>IGUAL</v>
      </c>
      <c r="BL103" s="218" t="str">
        <f>+IF(Tabla46782[[#This Row],[CVN]]=Tabla46782[[#This Row],[CVN2]], "IGUAL", "DISTINTO")</f>
        <v>DISTINTO</v>
      </c>
      <c r="BM103" s="219" t="str">
        <f>+IF(Tabla46782[[#This Row],[L]]=Tabla46782[[#This Row],[L2]], "IGUAL", "DISTINTO")</f>
        <v>IGUAL</v>
      </c>
    </row>
    <row r="104" spans="1:65" x14ac:dyDescent="0.25">
      <c r="A104">
        <v>101</v>
      </c>
      <c r="B104" s="202" t="s">
        <v>780</v>
      </c>
      <c r="C104" s="203" t="s">
        <v>781</v>
      </c>
      <c r="D104" s="203" t="s">
        <v>70</v>
      </c>
      <c r="E104" s="203" t="s">
        <v>78</v>
      </c>
      <c r="F104" s="203" t="s">
        <v>78</v>
      </c>
      <c r="G104" s="203" t="s">
        <v>70</v>
      </c>
      <c r="H104" s="203" t="s">
        <v>72</v>
      </c>
      <c r="I104" s="203" t="s">
        <v>72</v>
      </c>
      <c r="J104" s="203" t="s">
        <v>72</v>
      </c>
      <c r="K104" s="203"/>
      <c r="L104" s="203" t="s">
        <v>72</v>
      </c>
      <c r="M104" s="203" t="s">
        <v>72</v>
      </c>
      <c r="N104" s="203"/>
      <c r="O104" s="203" t="s">
        <v>73</v>
      </c>
      <c r="P104" s="203" t="s">
        <v>200</v>
      </c>
      <c r="Q104" s="203" t="s">
        <v>201</v>
      </c>
      <c r="R104" s="203" t="s">
        <v>76</v>
      </c>
      <c r="S104" s="209">
        <v>43803</v>
      </c>
      <c r="T104" s="205">
        <v>45287</v>
      </c>
      <c r="U104" s="205">
        <f>VLOOKUP(Tabla46782[[#This Row],[Matricula]],BAJA2022202320242025!$B$3:$CR$245,95,FALSE)</f>
        <v>45287</v>
      </c>
      <c r="V104" s="206">
        <v>1484</v>
      </c>
      <c r="W104" s="207">
        <v>2023</v>
      </c>
      <c r="X104" s="203" t="s">
        <v>77</v>
      </c>
      <c r="Y104" s="203" t="s">
        <v>78</v>
      </c>
      <c r="Z104" s="203" t="s">
        <v>359</v>
      </c>
      <c r="AA104" s="203" t="s">
        <v>769</v>
      </c>
      <c r="AB104" s="203" t="s">
        <v>102</v>
      </c>
      <c r="AC104" s="203" t="s">
        <v>103</v>
      </c>
      <c r="AD104" s="203" t="s">
        <v>782</v>
      </c>
      <c r="AE104" s="208">
        <v>33</v>
      </c>
      <c r="AF104" s="208" t="s">
        <v>783</v>
      </c>
      <c r="AG104" s="208" t="s">
        <v>85</v>
      </c>
      <c r="AH104" s="208" t="s">
        <v>114</v>
      </c>
      <c r="AI104" s="208" t="s">
        <v>87</v>
      </c>
      <c r="AJ104" s="208" t="s">
        <v>457</v>
      </c>
      <c r="AK104" s="205" t="s">
        <v>108</v>
      </c>
      <c r="AL104" s="204">
        <v>45135</v>
      </c>
      <c r="AM104" s="208">
        <v>0</v>
      </c>
      <c r="AN104" s="209" t="s">
        <v>102</v>
      </c>
      <c r="AO104" s="210">
        <v>4500370370</v>
      </c>
      <c r="AP104" s="209" t="s">
        <v>103</v>
      </c>
      <c r="AQ104" s="209"/>
      <c r="AR104" s="209" t="s">
        <v>72</v>
      </c>
      <c r="AS104" s="209" t="s">
        <v>109</v>
      </c>
      <c r="AT104" s="209" t="s">
        <v>784</v>
      </c>
      <c r="AU104" s="210">
        <v>5.0999999999999996</v>
      </c>
      <c r="AV104" s="211">
        <v>10</v>
      </c>
      <c r="AW104" s="212">
        <v>17.3</v>
      </c>
      <c r="AX104" s="213">
        <v>13073</v>
      </c>
      <c r="AY104" s="213">
        <v>4405.6010000000006</v>
      </c>
      <c r="AZ104" s="210" t="s">
        <v>70</v>
      </c>
      <c r="BA104" s="209" t="s">
        <v>93</v>
      </c>
      <c r="BB104" s="214" t="str">
        <f>+IF(Tabla46782[[#This Row],[TIPO VEHÍCULO]]=Tabla46782[[#This Row],[Columna2]], "IGUAL", "DISTINTO")</f>
        <v>IGUAL</v>
      </c>
      <c r="BC104" s="214" t="str">
        <f>+IF(Tabla46782[[#This Row],[Columna4]]=Tabla46782[[#This Row],[Combustible2]], "IGUAL", "DISTINTO")</f>
        <v>IGUAL</v>
      </c>
      <c r="BD104" s="215" cm="1">
        <f t="array" ref="BD104">IFERROR(INDEX('[1]Anexos FICHA TRA050'!$D$27:$D$44, MATCH(Tabla46782[[#This Row],[Columna5]]&amp;Tabla46782[[#This Row],[Columna4]], '[1]Anexos FICHA TRA050'!$E$27:$E$44&amp;'[1]Anexos FICHA TRA050'!$F$27:$F$44, 0)), "")</f>
        <v>6.99</v>
      </c>
      <c r="BE104" s="215">
        <f>IFERROR(INDEX('[1]Anexos FICHA TRA050'!$B$4:$B$7, MATCH(Tabla46782[[#This Row],[Columna4]], '[1]Anexos FICHA TRA050'!$C$4:$C$7, 0)), "")</f>
        <v>10</v>
      </c>
      <c r="BF104" s="215">
        <f>IFERROR(INDEX('[1]Anexos FICHA TRA050'!$C$14:$C$22, MATCH(Tabla46782[[#This Row],[Columna5]], '[1]Anexos FICHA TRA050'!$D$14:$D$22, 0)), "")</f>
        <v>17.920000000000002</v>
      </c>
      <c r="BG104" s="216">
        <f>IFERROR(INDEX('[1]Anexos FICHA TRA050'!$C$49:$C$54, MATCH(Tabla46782[[#This Row],[Columna5]], '[1]Anexos FICHA TRA050'!$D$49:$D$54, 0)), "")</f>
        <v>13073</v>
      </c>
      <c r="BH104" s="217">
        <f>+(((Tabla46782[[#This Row],[CVA2]]*Tabla46782[[#This Row],[f2]])-Tabla46782[[#This Row],[CVN2]])/100)*Tabla46782[[#This Row],[L2]]</f>
        <v>6795.3454000000002</v>
      </c>
      <c r="BI104" s="218"/>
      <c r="BJ104" s="218"/>
      <c r="BK104" s="218" t="str">
        <f>+IF(Tabla46782[[#This Row],[F3]]=Tabla46782[[#This Row],[f2]], "IGUAL", "DISTINTO")</f>
        <v>IGUAL</v>
      </c>
      <c r="BL104" s="218" t="str">
        <f>+IF(Tabla46782[[#This Row],[CVN]]=Tabla46782[[#This Row],[CVN2]], "IGUAL", "DISTINTO")</f>
        <v>DISTINTO</v>
      </c>
      <c r="BM104" s="219" t="str">
        <f>+IF(Tabla46782[[#This Row],[L]]=Tabla46782[[#This Row],[L2]], "IGUAL", "DISTINTO")</f>
        <v>IGUAL</v>
      </c>
    </row>
    <row r="105" spans="1:65" x14ac:dyDescent="0.25">
      <c r="A105">
        <v>102</v>
      </c>
      <c r="B105" s="202" t="s">
        <v>785</v>
      </c>
      <c r="C105" s="203" t="s">
        <v>786</v>
      </c>
      <c r="D105" s="203" t="s">
        <v>128</v>
      </c>
      <c r="E105" s="203" t="s">
        <v>78</v>
      </c>
      <c r="F105" s="203" t="s">
        <v>78</v>
      </c>
      <c r="G105" s="203" t="s">
        <v>128</v>
      </c>
      <c r="H105" s="203" t="s">
        <v>72</v>
      </c>
      <c r="I105" s="203" t="s">
        <v>72</v>
      </c>
      <c r="J105" s="203" t="s">
        <v>72</v>
      </c>
      <c r="K105" s="203"/>
      <c r="L105" s="203" t="s">
        <v>249</v>
      </c>
      <c r="M105" s="203" t="s">
        <v>249</v>
      </c>
      <c r="N105" s="203"/>
      <c r="O105" s="203" t="s">
        <v>725</v>
      </c>
      <c r="P105" s="203" t="s">
        <v>74</v>
      </c>
      <c r="Q105" s="203" t="s">
        <v>75</v>
      </c>
      <c r="R105" s="203" t="s">
        <v>76</v>
      </c>
      <c r="S105" s="204">
        <v>44958</v>
      </c>
      <c r="T105" s="205">
        <v>45188</v>
      </c>
      <c r="U105" s="205">
        <f>VLOOKUP(Tabla46782[[#This Row],[Matricula]],BAJA2022202320242025!$B$3:$CR$245,95,FALSE)</f>
        <v>45188</v>
      </c>
      <c r="V105" s="206">
        <v>230</v>
      </c>
      <c r="W105" s="207">
        <v>2023</v>
      </c>
      <c r="X105" s="203" t="s">
        <v>77</v>
      </c>
      <c r="Y105" s="203" t="s">
        <v>78</v>
      </c>
      <c r="Z105" s="203" t="s">
        <v>380</v>
      </c>
      <c r="AA105" s="203" t="s">
        <v>787</v>
      </c>
      <c r="AB105" s="203" t="s">
        <v>102</v>
      </c>
      <c r="AC105" s="203" t="s">
        <v>103</v>
      </c>
      <c r="AD105" s="203" t="s">
        <v>440</v>
      </c>
      <c r="AE105" s="208">
        <v>34</v>
      </c>
      <c r="AF105" s="208" t="s">
        <v>788</v>
      </c>
      <c r="AG105" s="208" t="s">
        <v>85</v>
      </c>
      <c r="AH105" s="208" t="s">
        <v>114</v>
      </c>
      <c r="AI105" s="208" t="s">
        <v>87</v>
      </c>
      <c r="AJ105" s="208" t="s">
        <v>567</v>
      </c>
      <c r="AK105" s="205" t="s">
        <v>108</v>
      </c>
      <c r="AL105" s="204">
        <v>44922</v>
      </c>
      <c r="AM105" s="208">
        <v>0</v>
      </c>
      <c r="AN105" s="209" t="s">
        <v>102</v>
      </c>
      <c r="AO105" s="210">
        <v>4500348765</v>
      </c>
      <c r="AP105" s="209" t="s">
        <v>103</v>
      </c>
      <c r="AQ105" s="209"/>
      <c r="AR105" s="209" t="s">
        <v>72</v>
      </c>
      <c r="AS105" s="209" t="s">
        <v>109</v>
      </c>
      <c r="AT105" s="209" t="s">
        <v>789</v>
      </c>
      <c r="AU105" s="210">
        <v>5.6</v>
      </c>
      <c r="AV105" s="211">
        <v>10</v>
      </c>
      <c r="AW105" s="212">
        <v>17.3</v>
      </c>
      <c r="AX105" s="213">
        <v>15815</v>
      </c>
      <c r="AY105" s="213">
        <v>6120.4049999999997</v>
      </c>
      <c r="AZ105" s="210" t="s">
        <v>128</v>
      </c>
      <c r="BA105" s="209" t="s">
        <v>93</v>
      </c>
      <c r="BB105" s="214" t="str">
        <f>+IF(Tabla46782[[#This Row],[TIPO VEHÍCULO]]=Tabla46782[[#This Row],[Columna2]], "IGUAL", "DISTINTO")</f>
        <v>IGUAL</v>
      </c>
      <c r="BC105" s="214" t="str">
        <f>+IF(Tabla46782[[#This Row],[Columna4]]=Tabla46782[[#This Row],[Combustible2]], "IGUAL", "DISTINTO")</f>
        <v>IGUAL</v>
      </c>
      <c r="BD105" s="215" cm="1">
        <f t="array" ref="BD105">IFERROR(INDEX('[1]Anexos FICHA TRA050'!$D$27:$D$44, MATCH(Tabla46782[[#This Row],[Columna5]]&amp;Tabla46782[[#This Row],[Columna4]], '[1]Anexos FICHA TRA050'!$E$27:$E$44&amp;'[1]Anexos FICHA TRA050'!$F$27:$F$44, 0)), "")</f>
        <v>5.63</v>
      </c>
      <c r="BE105" s="215">
        <f>IFERROR(INDEX('[1]Anexos FICHA TRA050'!$B$4:$B$7, MATCH(Tabla46782[[#This Row],[Columna4]], '[1]Anexos FICHA TRA050'!$C$4:$C$7, 0)), "")</f>
        <v>10</v>
      </c>
      <c r="BF105" s="215">
        <f>IFERROR(INDEX('[1]Anexos FICHA TRA050'!$C$14:$C$22, MATCH(Tabla46782[[#This Row],[Columna5]], '[1]Anexos FICHA TRA050'!$D$14:$D$22, 0)), "")</f>
        <v>20.84</v>
      </c>
      <c r="BG105" s="216">
        <f>IFERROR(INDEX('[1]Anexos FICHA TRA050'!$C$49:$C$54, MATCH(Tabla46782[[#This Row],[Columna5]], '[1]Anexos FICHA TRA050'!$D$49:$D$54, 0)), "")</f>
        <v>15815</v>
      </c>
      <c r="BH105" s="217">
        <f>+(((Tabla46782[[#This Row],[CVA2]]*Tabla46782[[#This Row],[f2]])-Tabla46782[[#This Row],[CVN2]])/100)*Tabla46782[[#This Row],[L2]]</f>
        <v>5607.9989999999989</v>
      </c>
      <c r="BI105" s="218"/>
      <c r="BJ105" s="218"/>
      <c r="BK105" s="218" t="str">
        <f>+IF(Tabla46782[[#This Row],[F3]]=Tabla46782[[#This Row],[f2]], "IGUAL", "DISTINTO")</f>
        <v>IGUAL</v>
      </c>
      <c r="BL105" s="218" t="str">
        <f>+IF(Tabla46782[[#This Row],[CVN]]=Tabla46782[[#This Row],[CVN2]], "IGUAL", "DISTINTO")</f>
        <v>DISTINTO</v>
      </c>
      <c r="BM105" s="219" t="str">
        <f>+IF(Tabla46782[[#This Row],[L]]=Tabla46782[[#This Row],[L2]], "IGUAL", "DISTINTO")</f>
        <v>IGUAL</v>
      </c>
    </row>
    <row r="106" spans="1:65" x14ac:dyDescent="0.25">
      <c r="A106">
        <v>103</v>
      </c>
      <c r="B106" s="202" t="s">
        <v>790</v>
      </c>
      <c r="C106" s="203" t="s">
        <v>791</v>
      </c>
      <c r="D106" s="203" t="s">
        <v>128</v>
      </c>
      <c r="E106" s="203" t="s">
        <v>78</v>
      </c>
      <c r="F106" s="203" t="s">
        <v>78</v>
      </c>
      <c r="G106" s="203" t="s">
        <v>128</v>
      </c>
      <c r="H106" s="203"/>
      <c r="I106" s="203"/>
      <c r="J106" s="203"/>
      <c r="K106" s="203" t="s">
        <v>72</v>
      </c>
      <c r="L106" s="203" t="s">
        <v>72</v>
      </c>
      <c r="M106" s="203" t="s">
        <v>72</v>
      </c>
      <c r="N106" s="203" t="s">
        <v>72</v>
      </c>
      <c r="O106" s="203" t="s">
        <v>158</v>
      </c>
      <c r="P106" s="203" t="s">
        <v>159</v>
      </c>
      <c r="Q106" s="203" t="s">
        <v>158</v>
      </c>
      <c r="R106" s="203" t="s">
        <v>171</v>
      </c>
      <c r="S106" s="204">
        <v>41638</v>
      </c>
      <c r="T106" s="205">
        <v>44971</v>
      </c>
      <c r="U106" s="205">
        <f>VLOOKUP(Tabla46782[[#This Row],[Matricula]],BAJA2022202320242025!$B$3:$CR$245,95,FALSE)</f>
        <v>44971</v>
      </c>
      <c r="V106" s="206">
        <v>3333</v>
      </c>
      <c r="W106" s="207">
        <v>2023</v>
      </c>
      <c r="X106" s="203" t="s">
        <v>172</v>
      </c>
      <c r="Y106" s="203" t="s">
        <v>78</v>
      </c>
      <c r="Z106" s="203" t="s">
        <v>380</v>
      </c>
      <c r="AA106" s="203" t="s">
        <v>792</v>
      </c>
      <c r="AB106" s="203" t="s">
        <v>131</v>
      </c>
      <c r="AC106" s="203" t="s">
        <v>132</v>
      </c>
      <c r="AD106" s="203" t="s">
        <v>793</v>
      </c>
      <c r="AE106" s="208">
        <v>10</v>
      </c>
      <c r="AF106" s="208" t="s">
        <v>794</v>
      </c>
      <c r="AG106" s="208" t="s">
        <v>140</v>
      </c>
      <c r="AH106" s="208" t="s">
        <v>151</v>
      </c>
      <c r="AI106" s="208" t="s">
        <v>87</v>
      </c>
      <c r="AJ106" s="208" t="s">
        <v>622</v>
      </c>
      <c r="AK106" s="205" t="s">
        <v>89</v>
      </c>
      <c r="AL106" s="204">
        <v>45625</v>
      </c>
      <c r="AM106" s="208">
        <v>1</v>
      </c>
      <c r="AN106" s="209" t="s">
        <v>131</v>
      </c>
      <c r="AO106" s="209" t="s">
        <v>795</v>
      </c>
      <c r="AP106" s="209" t="s">
        <v>132</v>
      </c>
      <c r="AQ106" s="209"/>
      <c r="AR106" s="209" t="s">
        <v>72</v>
      </c>
      <c r="AS106" s="209" t="s">
        <v>91</v>
      </c>
      <c r="AT106" s="209" t="s">
        <v>796</v>
      </c>
      <c r="AU106" s="210">
        <v>5.6</v>
      </c>
      <c r="AV106" s="211">
        <v>10</v>
      </c>
      <c r="AW106" s="212">
        <v>16.399999999999999</v>
      </c>
      <c r="AX106" s="213">
        <v>15815</v>
      </c>
      <c r="AY106" s="213">
        <v>6262.7400000000007</v>
      </c>
      <c r="AZ106" s="210" t="s">
        <v>128</v>
      </c>
      <c r="BA106" s="209" t="s">
        <v>168</v>
      </c>
      <c r="BB106" s="214" t="str">
        <f>+IF(Tabla46782[[#This Row],[TIPO VEHÍCULO]]=Tabla46782[[#This Row],[Columna2]], "IGUAL", "DISTINTO")</f>
        <v>IGUAL</v>
      </c>
      <c r="BC106" s="214" t="str">
        <f>+IF(Tabla46782[[#This Row],[Columna4]]=Tabla46782[[#This Row],[Combustible2]], "IGUAL", "DISTINTO")</f>
        <v>IGUAL</v>
      </c>
      <c r="BD106" s="215" cm="1">
        <f t="array" ref="BD106">IFERROR(INDEX('[1]Anexos FICHA TRA050'!$D$27:$D$44, MATCH(Tabla46782[[#This Row],[Columna5]]&amp;Tabla46782[[#This Row],[Columna4]], '[1]Anexos FICHA TRA050'!$E$27:$E$44&amp;'[1]Anexos FICHA TRA050'!$F$27:$F$44, 0)), "")</f>
        <v>5.63</v>
      </c>
      <c r="BE106" s="215">
        <f>IFERROR(INDEX('[1]Anexos FICHA TRA050'!$B$4:$B$7, MATCH(Tabla46782[[#This Row],[Columna4]], '[1]Anexos FICHA TRA050'!$C$4:$C$7, 0)), "")</f>
        <v>10</v>
      </c>
      <c r="BF106" s="215">
        <f>IFERROR(INDEX('[1]Anexos FICHA TRA050'!$C$14:$C$22, MATCH(Tabla46782[[#This Row],[Columna5]], '[1]Anexos FICHA TRA050'!$D$14:$D$22, 0)), "")</f>
        <v>20.84</v>
      </c>
      <c r="BG106" s="216">
        <f>IFERROR(INDEX('[1]Anexos FICHA TRA050'!$C$49:$C$54, MATCH(Tabla46782[[#This Row],[Columna5]], '[1]Anexos FICHA TRA050'!$D$49:$D$54, 0)), "")</f>
        <v>15815</v>
      </c>
      <c r="BH106" s="217">
        <f>+(((Tabla46782[[#This Row],[CVA2]]*Tabla46782[[#This Row],[f2]])-Tabla46782[[#This Row],[CVN2]])/100)*Tabla46782[[#This Row],[L2]]</f>
        <v>5607.9989999999989</v>
      </c>
      <c r="BI106" s="218"/>
      <c r="BJ106" s="218"/>
      <c r="BK106" s="218" t="str">
        <f>+IF(Tabla46782[[#This Row],[F3]]=Tabla46782[[#This Row],[f2]], "IGUAL", "DISTINTO")</f>
        <v>IGUAL</v>
      </c>
      <c r="BL106" s="218" t="str">
        <f>+IF(Tabla46782[[#This Row],[CVN]]=Tabla46782[[#This Row],[CVN2]], "IGUAL", "DISTINTO")</f>
        <v>DISTINTO</v>
      </c>
      <c r="BM106" s="219" t="str">
        <f>+IF(Tabla46782[[#This Row],[L]]=Tabla46782[[#This Row],[L2]], "IGUAL", "DISTINTO")</f>
        <v>IGUAL</v>
      </c>
    </row>
    <row r="107" spans="1:65" x14ac:dyDescent="0.25">
      <c r="A107">
        <v>104</v>
      </c>
      <c r="B107" s="202" t="s">
        <v>797</v>
      </c>
      <c r="C107" s="203" t="s">
        <v>798</v>
      </c>
      <c r="D107" s="203" t="s">
        <v>128</v>
      </c>
      <c r="E107" s="203" t="s">
        <v>78</v>
      </c>
      <c r="F107" s="203" t="s">
        <v>78</v>
      </c>
      <c r="G107" s="203" t="s">
        <v>128</v>
      </c>
      <c r="H107" s="203" t="s">
        <v>72</v>
      </c>
      <c r="I107" s="203" t="s">
        <v>72</v>
      </c>
      <c r="J107" s="203" t="s">
        <v>72</v>
      </c>
      <c r="K107" s="203"/>
      <c r="L107" s="203" t="s">
        <v>249</v>
      </c>
      <c r="M107" s="203" t="s">
        <v>249</v>
      </c>
      <c r="N107" s="203"/>
      <c r="O107" s="203" t="s">
        <v>725</v>
      </c>
      <c r="P107" s="203" t="s">
        <v>74</v>
      </c>
      <c r="Q107" s="203" t="s">
        <v>75</v>
      </c>
      <c r="R107" s="203" t="s">
        <v>76</v>
      </c>
      <c r="S107" s="204">
        <v>45017</v>
      </c>
      <c r="T107" s="205">
        <v>45188</v>
      </c>
      <c r="U107" s="205">
        <f>VLOOKUP(Tabla46782[[#This Row],[Matricula]],BAJA2022202320242025!$B$3:$CR$245,95,FALSE)</f>
        <v>45188</v>
      </c>
      <c r="V107" s="206">
        <v>171</v>
      </c>
      <c r="W107" s="207">
        <v>2023</v>
      </c>
      <c r="X107" s="203" t="s">
        <v>77</v>
      </c>
      <c r="Y107" s="203" t="s">
        <v>78</v>
      </c>
      <c r="Z107" s="203" t="s">
        <v>380</v>
      </c>
      <c r="AA107" s="203" t="s">
        <v>799</v>
      </c>
      <c r="AB107" s="203" t="s">
        <v>102</v>
      </c>
      <c r="AC107" s="203" t="s">
        <v>103</v>
      </c>
      <c r="AD107" s="203" t="s">
        <v>440</v>
      </c>
      <c r="AE107" s="208">
        <v>35</v>
      </c>
      <c r="AF107" s="208" t="s">
        <v>800</v>
      </c>
      <c r="AG107" s="208" t="s">
        <v>85</v>
      </c>
      <c r="AH107" s="208" t="s">
        <v>340</v>
      </c>
      <c r="AI107" s="208" t="s">
        <v>87</v>
      </c>
      <c r="AJ107" s="208" t="s">
        <v>562</v>
      </c>
      <c r="AK107" s="205" t="s">
        <v>108</v>
      </c>
      <c r="AL107" s="204">
        <v>43018</v>
      </c>
      <c r="AM107" s="208">
        <v>0</v>
      </c>
      <c r="AN107" s="209" t="s">
        <v>102</v>
      </c>
      <c r="AO107" s="210">
        <v>4500350425</v>
      </c>
      <c r="AP107" s="209" t="s">
        <v>103</v>
      </c>
      <c r="AQ107" s="209"/>
      <c r="AR107" s="209" t="s">
        <v>72</v>
      </c>
      <c r="AS107" s="209" t="s">
        <v>109</v>
      </c>
      <c r="AT107" s="209" t="s">
        <v>801</v>
      </c>
      <c r="AU107" s="210">
        <v>5.6</v>
      </c>
      <c r="AV107" s="211">
        <v>10</v>
      </c>
      <c r="AW107" s="212">
        <v>13.3</v>
      </c>
      <c r="AX107" s="213">
        <v>15815</v>
      </c>
      <c r="AY107" s="213">
        <v>6753.005000000001</v>
      </c>
      <c r="AZ107" s="210" t="s">
        <v>128</v>
      </c>
      <c r="BA107" s="209" t="s">
        <v>93</v>
      </c>
      <c r="BB107" s="214" t="str">
        <f>+IF(Tabla46782[[#This Row],[TIPO VEHÍCULO]]=Tabla46782[[#This Row],[Columna2]], "IGUAL", "DISTINTO")</f>
        <v>IGUAL</v>
      </c>
      <c r="BC107" s="214" t="str">
        <f>+IF(Tabla46782[[#This Row],[Columna4]]=Tabla46782[[#This Row],[Combustible2]], "IGUAL", "DISTINTO")</f>
        <v>IGUAL</v>
      </c>
      <c r="BD107" s="215" cm="1">
        <f t="array" ref="BD107">IFERROR(INDEX('[1]Anexos FICHA TRA050'!$D$27:$D$44, MATCH(Tabla46782[[#This Row],[Columna5]]&amp;Tabla46782[[#This Row],[Columna4]], '[1]Anexos FICHA TRA050'!$E$27:$E$44&amp;'[1]Anexos FICHA TRA050'!$F$27:$F$44, 0)), "")</f>
        <v>5.63</v>
      </c>
      <c r="BE107" s="215">
        <f>IFERROR(INDEX('[1]Anexos FICHA TRA050'!$B$4:$B$7, MATCH(Tabla46782[[#This Row],[Columna4]], '[1]Anexos FICHA TRA050'!$C$4:$C$7, 0)), "")</f>
        <v>10</v>
      </c>
      <c r="BF107" s="215">
        <f>IFERROR(INDEX('[1]Anexos FICHA TRA050'!$C$14:$C$22, MATCH(Tabla46782[[#This Row],[Columna5]], '[1]Anexos FICHA TRA050'!$D$14:$D$22, 0)), "")</f>
        <v>20.84</v>
      </c>
      <c r="BG107" s="216">
        <f>IFERROR(INDEX('[1]Anexos FICHA TRA050'!$C$49:$C$54, MATCH(Tabla46782[[#This Row],[Columna5]], '[1]Anexos FICHA TRA050'!$D$49:$D$54, 0)), "")</f>
        <v>15815</v>
      </c>
      <c r="BH107" s="217">
        <f>+(((Tabla46782[[#This Row],[CVA2]]*Tabla46782[[#This Row],[f2]])-Tabla46782[[#This Row],[CVN2]])/100)*Tabla46782[[#This Row],[L2]]</f>
        <v>5607.9989999999989</v>
      </c>
      <c r="BI107" s="218"/>
      <c r="BJ107" s="218"/>
      <c r="BK107" s="218" t="str">
        <f>+IF(Tabla46782[[#This Row],[F3]]=Tabla46782[[#This Row],[f2]], "IGUAL", "DISTINTO")</f>
        <v>IGUAL</v>
      </c>
      <c r="BL107" s="218" t="str">
        <f>+IF(Tabla46782[[#This Row],[CVN]]=Tabla46782[[#This Row],[CVN2]], "IGUAL", "DISTINTO")</f>
        <v>DISTINTO</v>
      </c>
      <c r="BM107" s="219" t="str">
        <f>+IF(Tabla46782[[#This Row],[L]]=Tabla46782[[#This Row],[L2]], "IGUAL", "DISTINTO")</f>
        <v>IGUAL</v>
      </c>
    </row>
    <row r="108" spans="1:65" x14ac:dyDescent="0.25">
      <c r="A108">
        <v>105</v>
      </c>
      <c r="B108" s="202" t="s">
        <v>802</v>
      </c>
      <c r="C108" s="203" t="s">
        <v>803</v>
      </c>
      <c r="D108" s="203" t="s">
        <v>70</v>
      </c>
      <c r="E108" s="203" t="s">
        <v>78</v>
      </c>
      <c r="F108" s="203" t="s">
        <v>78</v>
      </c>
      <c r="G108" s="203" t="s">
        <v>70</v>
      </c>
      <c r="H108" s="203" t="s">
        <v>72</v>
      </c>
      <c r="I108" s="203" t="s">
        <v>72</v>
      </c>
      <c r="J108" s="203" t="s">
        <v>72</v>
      </c>
      <c r="K108" s="203"/>
      <c r="L108" s="203" t="s">
        <v>72</v>
      </c>
      <c r="M108" s="203" t="s">
        <v>72</v>
      </c>
      <c r="N108" s="203"/>
      <c r="O108" s="203" t="s">
        <v>73</v>
      </c>
      <c r="P108" s="203" t="s">
        <v>200</v>
      </c>
      <c r="Q108" s="203" t="s">
        <v>201</v>
      </c>
      <c r="R108" s="203" t="s">
        <v>76</v>
      </c>
      <c r="S108" s="209">
        <v>44244</v>
      </c>
      <c r="T108" s="239">
        <v>45705</v>
      </c>
      <c r="U108" s="239">
        <f>VLOOKUP(Tabla46782[[#This Row],[Matricula]],BAJA2022202320242025!$B$3:$CR$245,95,FALSE)</f>
        <v>45771</v>
      </c>
      <c r="V108" s="240">
        <v>1461</v>
      </c>
      <c r="W108" s="241">
        <v>2025</v>
      </c>
      <c r="X108" s="203" t="s">
        <v>77</v>
      </c>
      <c r="Y108" s="203" t="s">
        <v>78</v>
      </c>
      <c r="Z108" s="203" t="s">
        <v>85</v>
      </c>
      <c r="AA108" s="203" t="s">
        <v>804</v>
      </c>
      <c r="AB108" s="203" t="s">
        <v>336</v>
      </c>
      <c r="AC108" s="203" t="s">
        <v>337</v>
      </c>
      <c r="AD108" s="203" t="s">
        <v>805</v>
      </c>
      <c r="AE108" s="208">
        <v>8</v>
      </c>
      <c r="AF108" s="208" t="s">
        <v>806</v>
      </c>
      <c r="AG108" s="208" t="s">
        <v>140</v>
      </c>
      <c r="AH108" s="208" t="s">
        <v>151</v>
      </c>
      <c r="AI108" s="208" t="s">
        <v>87</v>
      </c>
      <c r="AJ108" s="208" t="s">
        <v>807</v>
      </c>
      <c r="AK108" s="205" t="s">
        <v>89</v>
      </c>
      <c r="AL108" s="204">
        <v>45625</v>
      </c>
      <c r="AM108" s="208">
        <v>-1</v>
      </c>
      <c r="AN108" s="209" t="s">
        <v>336</v>
      </c>
      <c r="AO108" s="209" t="s">
        <v>808</v>
      </c>
      <c r="AP108" s="209" t="s">
        <v>337</v>
      </c>
      <c r="AQ108" s="209"/>
      <c r="AR108" s="209" t="s">
        <v>72</v>
      </c>
      <c r="AS108" s="209" t="s">
        <v>91</v>
      </c>
      <c r="AT108" s="209" t="s">
        <v>809</v>
      </c>
      <c r="AU108" s="210">
        <v>5.6</v>
      </c>
      <c r="AV108" s="211">
        <v>10</v>
      </c>
      <c r="AW108" s="212">
        <v>16.399999999999999</v>
      </c>
      <c r="AX108" s="213">
        <v>15815</v>
      </c>
      <c r="AY108" s="213">
        <v>6262.7400000000007</v>
      </c>
      <c r="AZ108" s="210" t="s">
        <v>128</v>
      </c>
      <c r="BA108" s="209" t="s">
        <v>93</v>
      </c>
      <c r="BB108" s="214" t="str">
        <f>+IF(Tabla46782[[#This Row],[TIPO VEHÍCULO]]=Tabla46782[[#This Row],[Columna2]], "IGUAL", "DISTINTO")</f>
        <v>DISTINTO</v>
      </c>
      <c r="BC108" s="214" t="str">
        <f>+IF(Tabla46782[[#This Row],[Columna4]]=Tabla46782[[#This Row],[Combustible2]], "IGUAL", "DISTINTO")</f>
        <v>IGUAL</v>
      </c>
      <c r="BD108" s="242" cm="1">
        <f t="array" ref="BD108">IFERROR(INDEX('[1]Anexos FICHA TRA050'!$D$27:$D$44, MATCH(Tabla46782[[#This Row],[Columna5]]&amp;Tabla46782[[#This Row],[Columna4]], '[1]Anexos FICHA TRA050'!$E$27:$E$44&amp;'[1]Anexos FICHA TRA050'!$F$27:$F$44, 0)), "")</f>
        <v>6.99</v>
      </c>
      <c r="BE108" s="242">
        <f>IFERROR(INDEX('[1]Anexos FICHA TRA050'!$B$4:$B$7, MATCH(Tabla46782[[#This Row],[Columna4]], '[1]Anexos FICHA TRA050'!$C$4:$C$7, 0)), "")</f>
        <v>10</v>
      </c>
      <c r="BF108" s="242">
        <f>IFERROR(INDEX('[1]Anexos FICHA TRA050'!$C$14:$C$22, MATCH(Tabla46782[[#This Row],[Columna5]], '[1]Anexos FICHA TRA050'!$D$14:$D$22, 0)), "")</f>
        <v>17.920000000000002</v>
      </c>
      <c r="BG108" s="243">
        <f>IFERROR(INDEX('[1]Anexos FICHA TRA050'!$C$49:$C$54, MATCH(Tabla46782[[#This Row],[Columna5]], '[1]Anexos FICHA TRA050'!$D$49:$D$54, 0)), "")</f>
        <v>13073</v>
      </c>
      <c r="BH108" s="244">
        <f>+(((Tabla46782[[#This Row],[CVA2]]*Tabla46782[[#This Row],[f2]])-Tabla46782[[#This Row],[CVN2]])/100)*Tabla46782[[#This Row],[L2]]</f>
        <v>6795.3454000000002</v>
      </c>
      <c r="BI108" s="218" t="s">
        <v>512</v>
      </c>
      <c r="BJ108" s="218"/>
      <c r="BK108" s="218" t="str">
        <f>+IF(Tabla46782[[#This Row],[F3]]=Tabla46782[[#This Row],[f2]], "IGUAL", "DISTINTO")</f>
        <v>IGUAL</v>
      </c>
      <c r="BL108" s="209" t="str">
        <f>+IF(Tabla46782[[#This Row],[CVN]]=Tabla46782[[#This Row],[CVN2]], "IGUAL", "DISTINTO")</f>
        <v>DISTINTO</v>
      </c>
      <c r="BM108" s="245" t="str">
        <f>+IF(Tabla46782[[#This Row],[L]]=Tabla46782[[#This Row],[L2]], "IGUAL", "DISTINTO")</f>
        <v>DISTINTO</v>
      </c>
    </row>
    <row r="109" spans="1:65" x14ac:dyDescent="0.25">
      <c r="A109">
        <v>106</v>
      </c>
      <c r="B109" s="202" t="s">
        <v>810</v>
      </c>
      <c r="C109" s="203" t="s">
        <v>811</v>
      </c>
      <c r="D109" s="203" t="s">
        <v>128</v>
      </c>
      <c r="E109" s="203" t="s">
        <v>78</v>
      </c>
      <c r="F109" s="203" t="s">
        <v>78</v>
      </c>
      <c r="G109" s="203" t="s">
        <v>128</v>
      </c>
      <c r="H109" s="203" t="s">
        <v>72</v>
      </c>
      <c r="I109" s="203" t="s">
        <v>72</v>
      </c>
      <c r="J109" s="203" t="s">
        <v>72</v>
      </c>
      <c r="K109" s="203"/>
      <c r="L109" s="203" t="s">
        <v>249</v>
      </c>
      <c r="M109" s="203" t="s">
        <v>249</v>
      </c>
      <c r="N109" s="203"/>
      <c r="O109" s="203" t="s">
        <v>725</v>
      </c>
      <c r="P109" s="203" t="s">
        <v>74</v>
      </c>
      <c r="Q109" s="203" t="s">
        <v>75</v>
      </c>
      <c r="R109" s="203" t="s">
        <v>76</v>
      </c>
      <c r="S109" s="204">
        <v>44958</v>
      </c>
      <c r="T109" s="205">
        <v>45107</v>
      </c>
      <c r="U109" s="205">
        <f>VLOOKUP(Tabla46782[[#This Row],[Matricula]],BAJA2022202320242025!$B$3:$CR$245,95,FALSE)</f>
        <v>45111</v>
      </c>
      <c r="V109" s="206">
        <v>149</v>
      </c>
      <c r="W109" s="207">
        <v>2023</v>
      </c>
      <c r="X109" s="203" t="s">
        <v>77</v>
      </c>
      <c r="Y109" s="203" t="s">
        <v>78</v>
      </c>
      <c r="Z109" s="203" t="s">
        <v>79</v>
      </c>
      <c r="AA109" s="203" t="s">
        <v>812</v>
      </c>
      <c r="AB109" s="203" t="s">
        <v>102</v>
      </c>
      <c r="AC109" s="203" t="s">
        <v>103</v>
      </c>
      <c r="AD109" s="203" t="s">
        <v>440</v>
      </c>
      <c r="AE109" s="208">
        <v>36</v>
      </c>
      <c r="AF109" s="208" t="s">
        <v>813</v>
      </c>
      <c r="AG109" s="208" t="s">
        <v>359</v>
      </c>
      <c r="AH109" s="208" t="s">
        <v>452</v>
      </c>
      <c r="AI109" s="208" t="s">
        <v>87</v>
      </c>
      <c r="AJ109" s="208" t="s">
        <v>440</v>
      </c>
      <c r="AK109" s="205" t="s">
        <v>108</v>
      </c>
      <c r="AL109" s="204">
        <v>45051</v>
      </c>
      <c r="AM109" s="208">
        <v>0</v>
      </c>
      <c r="AN109" s="209" t="s">
        <v>102</v>
      </c>
      <c r="AO109" s="210">
        <v>4500352577</v>
      </c>
      <c r="AP109" s="209" t="s">
        <v>103</v>
      </c>
      <c r="AQ109" s="209"/>
      <c r="AR109" s="209" t="s">
        <v>72</v>
      </c>
      <c r="AS109" s="209" t="s">
        <v>109</v>
      </c>
      <c r="AT109" s="209" t="s">
        <v>814</v>
      </c>
      <c r="AU109" s="210">
        <v>5.6</v>
      </c>
      <c r="AV109" s="211">
        <v>10</v>
      </c>
      <c r="AW109" s="212">
        <v>28.1</v>
      </c>
      <c r="AX109" s="213">
        <v>15815</v>
      </c>
      <c r="AY109" s="213">
        <v>4412.3849999999993</v>
      </c>
      <c r="AZ109" s="210" t="s">
        <v>128</v>
      </c>
      <c r="BA109" s="209" t="s">
        <v>93</v>
      </c>
      <c r="BB109" s="214" t="str">
        <f>+IF(Tabla46782[[#This Row],[TIPO VEHÍCULO]]=Tabla46782[[#This Row],[Columna2]], "IGUAL", "DISTINTO")</f>
        <v>IGUAL</v>
      </c>
      <c r="BC109" s="214" t="str">
        <f>+IF(Tabla46782[[#This Row],[Columna4]]=Tabla46782[[#This Row],[Combustible2]], "IGUAL", "DISTINTO")</f>
        <v>IGUAL</v>
      </c>
      <c r="BD109" s="215" cm="1">
        <f t="array" ref="BD109">IFERROR(INDEX('[1]Anexos FICHA TRA050'!$D$27:$D$44, MATCH(Tabla46782[[#This Row],[Columna5]]&amp;Tabla46782[[#This Row],[Columna4]], '[1]Anexos FICHA TRA050'!$E$27:$E$44&amp;'[1]Anexos FICHA TRA050'!$F$27:$F$44, 0)), "")</f>
        <v>5.63</v>
      </c>
      <c r="BE109" s="215">
        <f>IFERROR(INDEX('[1]Anexos FICHA TRA050'!$B$4:$B$7, MATCH(Tabla46782[[#This Row],[Columna4]], '[1]Anexos FICHA TRA050'!$C$4:$C$7, 0)), "")</f>
        <v>10</v>
      </c>
      <c r="BF109" s="215">
        <f>IFERROR(INDEX('[1]Anexos FICHA TRA050'!$C$14:$C$22, MATCH(Tabla46782[[#This Row],[Columna5]], '[1]Anexos FICHA TRA050'!$D$14:$D$22, 0)), "")</f>
        <v>20.84</v>
      </c>
      <c r="BG109" s="216">
        <f>IFERROR(INDEX('[1]Anexos FICHA TRA050'!$C$49:$C$54, MATCH(Tabla46782[[#This Row],[Columna5]], '[1]Anexos FICHA TRA050'!$D$49:$D$54, 0)), "")</f>
        <v>15815</v>
      </c>
      <c r="BH109" s="217">
        <f>+(((Tabla46782[[#This Row],[CVA2]]*Tabla46782[[#This Row],[f2]])-Tabla46782[[#This Row],[CVN2]])/100)*Tabla46782[[#This Row],[L2]]</f>
        <v>5607.9989999999989</v>
      </c>
      <c r="BI109" s="218"/>
      <c r="BJ109" s="218"/>
      <c r="BK109" s="218" t="str">
        <f>+IF(Tabla46782[[#This Row],[F3]]=Tabla46782[[#This Row],[f2]], "IGUAL", "DISTINTO")</f>
        <v>IGUAL</v>
      </c>
      <c r="BL109" s="218" t="str">
        <f>+IF(Tabla46782[[#This Row],[CVN]]=Tabla46782[[#This Row],[CVN2]], "IGUAL", "DISTINTO")</f>
        <v>DISTINTO</v>
      </c>
      <c r="BM109" s="219" t="str">
        <f>+IF(Tabla46782[[#This Row],[L]]=Tabla46782[[#This Row],[L2]], "IGUAL", "DISTINTO")</f>
        <v>IGUAL</v>
      </c>
    </row>
    <row r="110" spans="1:65" x14ac:dyDescent="0.25">
      <c r="A110">
        <v>107</v>
      </c>
      <c r="B110" s="202" t="s">
        <v>815</v>
      </c>
      <c r="C110" s="203" t="s">
        <v>816</v>
      </c>
      <c r="D110" s="203" t="s">
        <v>70</v>
      </c>
      <c r="E110" s="203" t="s">
        <v>78</v>
      </c>
      <c r="F110" s="203" t="s">
        <v>78</v>
      </c>
      <c r="G110" s="203" t="s">
        <v>70</v>
      </c>
      <c r="H110" s="203" t="s">
        <v>72</v>
      </c>
      <c r="I110" s="203"/>
      <c r="J110" s="203" t="s">
        <v>72</v>
      </c>
      <c r="K110" s="203"/>
      <c r="L110" s="203" t="s">
        <v>72</v>
      </c>
      <c r="M110" s="203" t="s">
        <v>72</v>
      </c>
      <c r="N110" s="203"/>
      <c r="O110" s="203" t="s">
        <v>73</v>
      </c>
      <c r="P110" s="203" t="s">
        <v>200</v>
      </c>
      <c r="Q110" s="203" t="s">
        <v>201</v>
      </c>
      <c r="R110" s="203" t="s">
        <v>76</v>
      </c>
      <c r="S110" s="209">
        <v>44140</v>
      </c>
      <c r="T110" s="205">
        <v>45601</v>
      </c>
      <c r="U110" s="205">
        <f>VLOOKUP(Tabla46782[[#This Row],[Matricula]],BAJA2022202320242025!$B$3:$CR$245,95,FALSE)</f>
        <v>45812</v>
      </c>
      <c r="V110" s="206">
        <v>1461</v>
      </c>
      <c r="W110" s="207">
        <v>2024</v>
      </c>
      <c r="X110" s="203" t="s">
        <v>77</v>
      </c>
      <c r="Y110" s="203" t="s">
        <v>78</v>
      </c>
      <c r="Z110" s="203" t="s">
        <v>213</v>
      </c>
      <c r="AA110" s="203" t="s">
        <v>817</v>
      </c>
      <c r="AB110" s="203" t="s">
        <v>119</v>
      </c>
      <c r="AC110" s="203" t="s">
        <v>120</v>
      </c>
      <c r="AD110" s="203" t="s">
        <v>386</v>
      </c>
      <c r="AE110" s="208">
        <v>19</v>
      </c>
      <c r="AF110" s="208" t="s">
        <v>818</v>
      </c>
      <c r="AG110" s="208" t="s">
        <v>140</v>
      </c>
      <c r="AH110" s="208" t="s">
        <v>151</v>
      </c>
      <c r="AI110" s="208" t="s">
        <v>87</v>
      </c>
      <c r="AJ110" s="208" t="s">
        <v>223</v>
      </c>
      <c r="AK110" s="205" t="s">
        <v>89</v>
      </c>
      <c r="AL110" s="204">
        <v>45625</v>
      </c>
      <c r="AM110" s="208">
        <v>0</v>
      </c>
      <c r="AN110" s="209" t="s">
        <v>119</v>
      </c>
      <c r="AO110" s="209" t="s">
        <v>819</v>
      </c>
      <c r="AP110" s="209" t="s">
        <v>120</v>
      </c>
      <c r="AQ110" s="209"/>
      <c r="AR110" s="209" t="s">
        <v>72</v>
      </c>
      <c r="AS110" s="209" t="s">
        <v>91</v>
      </c>
      <c r="AT110" s="209" t="s">
        <v>820</v>
      </c>
      <c r="AU110" s="210">
        <v>5.0999999999999996</v>
      </c>
      <c r="AV110" s="211">
        <v>10</v>
      </c>
      <c r="AW110" s="212">
        <v>16.399999999999999</v>
      </c>
      <c r="AX110" s="213">
        <v>13073</v>
      </c>
      <c r="AY110" s="213">
        <v>4523.2580000000007</v>
      </c>
      <c r="AZ110" s="210" t="s">
        <v>70</v>
      </c>
      <c r="BA110" s="209" t="s">
        <v>93</v>
      </c>
      <c r="BB110" s="214" t="str">
        <f>+IF(Tabla46782[[#This Row],[TIPO VEHÍCULO]]=Tabla46782[[#This Row],[Columna2]], "IGUAL", "DISTINTO")</f>
        <v>IGUAL</v>
      </c>
      <c r="BC110" s="214" t="str">
        <f>+IF(Tabla46782[[#This Row],[Columna4]]=Tabla46782[[#This Row],[Combustible2]], "IGUAL", "DISTINTO")</f>
        <v>IGUAL</v>
      </c>
      <c r="BD110" s="215" cm="1">
        <f t="array" ref="BD110">IFERROR(INDEX('[1]Anexos FICHA TRA050'!$D$27:$D$44, MATCH(Tabla46782[[#This Row],[Columna5]]&amp;Tabla46782[[#This Row],[Columna4]], '[1]Anexos FICHA TRA050'!$E$27:$E$44&amp;'[1]Anexos FICHA TRA050'!$F$27:$F$44, 0)), "")</f>
        <v>6.99</v>
      </c>
      <c r="BE110" s="215">
        <f>IFERROR(INDEX('[1]Anexos FICHA TRA050'!$B$4:$B$7, MATCH(Tabla46782[[#This Row],[Columna4]], '[1]Anexos FICHA TRA050'!$C$4:$C$7, 0)), "")</f>
        <v>10</v>
      </c>
      <c r="BF110" s="215">
        <f>IFERROR(INDEX('[1]Anexos FICHA TRA050'!$C$14:$C$22, MATCH(Tabla46782[[#This Row],[Columna5]], '[1]Anexos FICHA TRA050'!$D$14:$D$22, 0)), "")</f>
        <v>17.920000000000002</v>
      </c>
      <c r="BG110" s="216">
        <f>IFERROR(INDEX('[1]Anexos FICHA TRA050'!$C$49:$C$54, MATCH(Tabla46782[[#This Row],[Columna5]], '[1]Anexos FICHA TRA050'!$D$49:$D$54, 0)), "")</f>
        <v>13073</v>
      </c>
      <c r="BH110" s="217">
        <f>+(((Tabla46782[[#This Row],[CVA2]]*Tabla46782[[#This Row],[f2]])-Tabla46782[[#This Row],[CVN2]])/100)*Tabla46782[[#This Row],[L2]]</f>
        <v>6795.3454000000002</v>
      </c>
      <c r="BI110" s="218"/>
      <c r="BJ110" s="218"/>
      <c r="BK110" s="218" t="str">
        <f>+IF(Tabla46782[[#This Row],[F3]]=Tabla46782[[#This Row],[f2]], "IGUAL", "DISTINTO")</f>
        <v>IGUAL</v>
      </c>
      <c r="BL110" s="218" t="str">
        <f>+IF(Tabla46782[[#This Row],[CVN]]=Tabla46782[[#This Row],[CVN2]], "IGUAL", "DISTINTO")</f>
        <v>DISTINTO</v>
      </c>
      <c r="BM110" s="219" t="str">
        <f>+IF(Tabla46782[[#This Row],[L]]=Tabla46782[[#This Row],[L2]], "IGUAL", "DISTINTO")</f>
        <v>IGUAL</v>
      </c>
    </row>
    <row r="111" spans="1:65" x14ac:dyDescent="0.25">
      <c r="A111">
        <v>108</v>
      </c>
      <c r="B111" s="202" t="s">
        <v>821</v>
      </c>
      <c r="C111" s="203" t="s">
        <v>822</v>
      </c>
      <c r="D111" s="203" t="s">
        <v>70</v>
      </c>
      <c r="E111" s="203" t="s">
        <v>78</v>
      </c>
      <c r="F111" s="203" t="s">
        <v>78</v>
      </c>
      <c r="G111" s="203" t="s">
        <v>70</v>
      </c>
      <c r="H111" s="203" t="s">
        <v>72</v>
      </c>
      <c r="I111" s="203" t="s">
        <v>72</v>
      </c>
      <c r="J111" s="203" t="s">
        <v>72</v>
      </c>
      <c r="K111" s="203"/>
      <c r="L111" s="203" t="s">
        <v>72</v>
      </c>
      <c r="M111" s="203" t="s">
        <v>72</v>
      </c>
      <c r="N111" s="203"/>
      <c r="O111" s="203" t="s">
        <v>73</v>
      </c>
      <c r="P111" s="203" t="s">
        <v>200</v>
      </c>
      <c r="Q111" s="203" t="s">
        <v>201</v>
      </c>
      <c r="R111" s="203" t="s">
        <v>76</v>
      </c>
      <c r="S111" s="209">
        <v>44151</v>
      </c>
      <c r="T111" s="205">
        <v>45612</v>
      </c>
      <c r="U111" s="205">
        <f>VLOOKUP(Tabla46782[[#This Row],[Matricula]],BAJA2022202320242025!$B$3:$CR$245,95,FALSE)</f>
        <v>45831</v>
      </c>
      <c r="V111" s="206">
        <v>1461</v>
      </c>
      <c r="W111" s="207">
        <v>2024</v>
      </c>
      <c r="X111" s="203" t="s">
        <v>77</v>
      </c>
      <c r="Y111" s="203" t="s">
        <v>78</v>
      </c>
      <c r="Z111" s="203" t="s">
        <v>213</v>
      </c>
      <c r="AA111" s="203" t="s">
        <v>817</v>
      </c>
      <c r="AB111" s="203" t="s">
        <v>119</v>
      </c>
      <c r="AC111" s="203" t="s">
        <v>120</v>
      </c>
      <c r="AD111" s="203" t="s">
        <v>368</v>
      </c>
      <c r="AE111" s="208">
        <v>20</v>
      </c>
      <c r="AF111" s="208" t="s">
        <v>823</v>
      </c>
      <c r="AG111" s="208" t="s">
        <v>140</v>
      </c>
      <c r="AH111" s="208" t="s">
        <v>151</v>
      </c>
      <c r="AI111" s="208" t="s">
        <v>87</v>
      </c>
      <c r="AJ111" s="208" t="s">
        <v>265</v>
      </c>
      <c r="AK111" s="205" t="s">
        <v>89</v>
      </c>
      <c r="AL111" s="204">
        <v>45625</v>
      </c>
      <c r="AM111" s="208">
        <v>0</v>
      </c>
      <c r="AN111" s="209" t="s">
        <v>119</v>
      </c>
      <c r="AO111" s="209" t="s">
        <v>824</v>
      </c>
      <c r="AP111" s="209" t="s">
        <v>120</v>
      </c>
      <c r="AQ111" s="209"/>
      <c r="AR111" s="209" t="s">
        <v>72</v>
      </c>
      <c r="AS111" s="209" t="s">
        <v>91</v>
      </c>
      <c r="AT111" s="209" t="s">
        <v>825</v>
      </c>
      <c r="AU111" s="210">
        <v>5.0999999999999996</v>
      </c>
      <c r="AV111" s="211">
        <v>10</v>
      </c>
      <c r="AW111" s="212">
        <v>16.399999999999999</v>
      </c>
      <c r="AX111" s="213">
        <v>13073</v>
      </c>
      <c r="AY111" s="213">
        <v>4523.2580000000007</v>
      </c>
      <c r="AZ111" s="210" t="s">
        <v>70</v>
      </c>
      <c r="BA111" s="209" t="s">
        <v>93</v>
      </c>
      <c r="BB111" s="214" t="str">
        <f>+IF(Tabla46782[[#This Row],[TIPO VEHÍCULO]]=Tabla46782[[#This Row],[Columna2]], "IGUAL", "DISTINTO")</f>
        <v>IGUAL</v>
      </c>
      <c r="BC111" s="214" t="str">
        <f>+IF(Tabla46782[[#This Row],[Columna4]]=Tabla46782[[#This Row],[Combustible2]], "IGUAL", "DISTINTO")</f>
        <v>IGUAL</v>
      </c>
      <c r="BD111" s="215" cm="1">
        <f t="array" ref="BD111">IFERROR(INDEX('[1]Anexos FICHA TRA050'!$D$27:$D$44, MATCH(Tabla46782[[#This Row],[Columna5]]&amp;Tabla46782[[#This Row],[Columna4]], '[1]Anexos FICHA TRA050'!$E$27:$E$44&amp;'[1]Anexos FICHA TRA050'!$F$27:$F$44, 0)), "")</f>
        <v>6.99</v>
      </c>
      <c r="BE111" s="215">
        <f>IFERROR(INDEX('[1]Anexos FICHA TRA050'!$B$4:$B$7, MATCH(Tabla46782[[#This Row],[Columna4]], '[1]Anexos FICHA TRA050'!$C$4:$C$7, 0)), "")</f>
        <v>10</v>
      </c>
      <c r="BF111" s="215">
        <f>IFERROR(INDEX('[1]Anexos FICHA TRA050'!$C$14:$C$22, MATCH(Tabla46782[[#This Row],[Columna5]], '[1]Anexos FICHA TRA050'!$D$14:$D$22, 0)), "")</f>
        <v>17.920000000000002</v>
      </c>
      <c r="BG111" s="216">
        <f>IFERROR(INDEX('[1]Anexos FICHA TRA050'!$C$49:$C$54, MATCH(Tabla46782[[#This Row],[Columna5]], '[1]Anexos FICHA TRA050'!$D$49:$D$54, 0)), "")</f>
        <v>13073</v>
      </c>
      <c r="BH111" s="217">
        <f>+(((Tabla46782[[#This Row],[CVA2]]*Tabla46782[[#This Row],[f2]])-Tabla46782[[#This Row],[CVN2]])/100)*Tabla46782[[#This Row],[L2]]</f>
        <v>6795.3454000000002</v>
      </c>
      <c r="BI111" s="218"/>
      <c r="BJ111" s="218"/>
      <c r="BK111" s="218" t="str">
        <f>+IF(Tabla46782[[#This Row],[F3]]=Tabla46782[[#This Row],[f2]], "IGUAL", "DISTINTO")</f>
        <v>IGUAL</v>
      </c>
      <c r="BL111" s="218" t="str">
        <f>+IF(Tabla46782[[#This Row],[CVN]]=Tabla46782[[#This Row],[CVN2]], "IGUAL", "DISTINTO")</f>
        <v>DISTINTO</v>
      </c>
      <c r="BM111" s="219" t="str">
        <f>+IF(Tabla46782[[#This Row],[L]]=Tabla46782[[#This Row],[L2]], "IGUAL", "DISTINTO")</f>
        <v>IGUAL</v>
      </c>
    </row>
    <row r="112" spans="1:65" x14ac:dyDescent="0.25">
      <c r="A112">
        <v>109</v>
      </c>
      <c r="B112" s="202" t="s">
        <v>826</v>
      </c>
      <c r="C112" s="203" t="s">
        <v>827</v>
      </c>
      <c r="D112" s="203" t="s">
        <v>70</v>
      </c>
      <c r="E112" s="203" t="s">
        <v>78</v>
      </c>
      <c r="F112" s="203" t="s">
        <v>78</v>
      </c>
      <c r="G112" s="203" t="s">
        <v>70</v>
      </c>
      <c r="H112" s="203" t="s">
        <v>72</v>
      </c>
      <c r="I112" s="203"/>
      <c r="J112" s="203" t="s">
        <v>72</v>
      </c>
      <c r="K112" s="203"/>
      <c r="L112" s="203" t="s">
        <v>72</v>
      </c>
      <c r="M112" s="203" t="s">
        <v>72</v>
      </c>
      <c r="N112" s="203"/>
      <c r="O112" s="203" t="s">
        <v>73</v>
      </c>
      <c r="P112" s="203" t="s">
        <v>200</v>
      </c>
      <c r="Q112" s="203" t="s">
        <v>201</v>
      </c>
      <c r="R112" s="203" t="s">
        <v>76</v>
      </c>
      <c r="S112" s="209">
        <v>44140</v>
      </c>
      <c r="T112" s="205">
        <v>45601</v>
      </c>
      <c r="U112" s="205">
        <f>VLOOKUP(Tabla46782[[#This Row],[Matricula]],BAJA2022202320242025!$B$3:$CR$245,95,FALSE)</f>
        <v>45799</v>
      </c>
      <c r="V112" s="206">
        <v>1461</v>
      </c>
      <c r="W112" s="207">
        <v>2024</v>
      </c>
      <c r="X112" s="203" t="s">
        <v>77</v>
      </c>
      <c r="Y112" s="203" t="s">
        <v>78</v>
      </c>
      <c r="Z112" s="203" t="s">
        <v>213</v>
      </c>
      <c r="AA112" s="203" t="s">
        <v>817</v>
      </c>
      <c r="AB112" s="203" t="s">
        <v>131</v>
      </c>
      <c r="AC112" s="203" t="s">
        <v>132</v>
      </c>
      <c r="AD112" s="203" t="s">
        <v>135</v>
      </c>
      <c r="AE112" s="208">
        <v>11</v>
      </c>
      <c r="AF112" s="208" t="s">
        <v>828</v>
      </c>
      <c r="AG112" s="208" t="s">
        <v>85</v>
      </c>
      <c r="AH112" s="208" t="s">
        <v>86</v>
      </c>
      <c r="AI112" s="208" t="s">
        <v>87</v>
      </c>
      <c r="AJ112" s="208" t="s">
        <v>829</v>
      </c>
      <c r="AK112" s="205" t="s">
        <v>89</v>
      </c>
      <c r="AL112" s="204">
        <v>45625</v>
      </c>
      <c r="AM112" s="208">
        <v>0</v>
      </c>
      <c r="AN112" s="209" t="s">
        <v>131</v>
      </c>
      <c r="AO112" s="209" t="s">
        <v>830</v>
      </c>
      <c r="AP112" s="209" t="s">
        <v>132</v>
      </c>
      <c r="AQ112" s="209"/>
      <c r="AR112" s="209" t="s">
        <v>72</v>
      </c>
      <c r="AS112" s="209" t="s">
        <v>91</v>
      </c>
      <c r="AT112" s="209" t="s">
        <v>831</v>
      </c>
      <c r="AU112" s="210">
        <v>5.0999999999999996</v>
      </c>
      <c r="AV112" s="211">
        <v>10</v>
      </c>
      <c r="AW112" s="212">
        <v>17.3</v>
      </c>
      <c r="AX112" s="213">
        <v>13073</v>
      </c>
      <c r="AY112" s="213">
        <v>4405.6010000000006</v>
      </c>
      <c r="AZ112" s="210" t="s">
        <v>70</v>
      </c>
      <c r="BA112" s="209" t="s">
        <v>93</v>
      </c>
      <c r="BB112" s="214" t="str">
        <f>+IF(Tabla46782[[#This Row],[TIPO VEHÍCULO]]=Tabla46782[[#This Row],[Columna2]], "IGUAL", "DISTINTO")</f>
        <v>IGUAL</v>
      </c>
      <c r="BC112" s="214" t="str">
        <f>+IF(Tabla46782[[#This Row],[Columna4]]=Tabla46782[[#This Row],[Combustible2]], "IGUAL", "DISTINTO")</f>
        <v>IGUAL</v>
      </c>
      <c r="BD112" s="215" cm="1">
        <f t="array" ref="BD112">IFERROR(INDEX('[1]Anexos FICHA TRA050'!$D$27:$D$44, MATCH(Tabla46782[[#This Row],[Columna5]]&amp;Tabla46782[[#This Row],[Columna4]], '[1]Anexos FICHA TRA050'!$E$27:$E$44&amp;'[1]Anexos FICHA TRA050'!$F$27:$F$44, 0)), "")</f>
        <v>6.99</v>
      </c>
      <c r="BE112" s="215">
        <f>IFERROR(INDEX('[1]Anexos FICHA TRA050'!$B$4:$B$7, MATCH(Tabla46782[[#This Row],[Columna4]], '[1]Anexos FICHA TRA050'!$C$4:$C$7, 0)), "")</f>
        <v>10</v>
      </c>
      <c r="BF112" s="215">
        <f>IFERROR(INDEX('[1]Anexos FICHA TRA050'!$C$14:$C$22, MATCH(Tabla46782[[#This Row],[Columna5]], '[1]Anexos FICHA TRA050'!$D$14:$D$22, 0)), "")</f>
        <v>17.920000000000002</v>
      </c>
      <c r="BG112" s="216">
        <f>IFERROR(INDEX('[1]Anexos FICHA TRA050'!$C$49:$C$54, MATCH(Tabla46782[[#This Row],[Columna5]], '[1]Anexos FICHA TRA050'!$D$49:$D$54, 0)), "")</f>
        <v>13073</v>
      </c>
      <c r="BH112" s="217">
        <f>+(((Tabla46782[[#This Row],[CVA2]]*Tabla46782[[#This Row],[f2]])-Tabla46782[[#This Row],[CVN2]])/100)*Tabla46782[[#This Row],[L2]]</f>
        <v>6795.3454000000002</v>
      </c>
      <c r="BI112" s="218"/>
      <c r="BJ112" s="218"/>
      <c r="BK112" s="218" t="str">
        <f>+IF(Tabla46782[[#This Row],[F3]]=Tabla46782[[#This Row],[f2]], "IGUAL", "DISTINTO")</f>
        <v>IGUAL</v>
      </c>
      <c r="BL112" s="218" t="str">
        <f>+IF(Tabla46782[[#This Row],[CVN]]=Tabla46782[[#This Row],[CVN2]], "IGUAL", "DISTINTO")</f>
        <v>DISTINTO</v>
      </c>
      <c r="BM112" s="219" t="str">
        <f>+IF(Tabla46782[[#This Row],[L]]=Tabla46782[[#This Row],[L2]], "IGUAL", "DISTINTO")</f>
        <v>IGUAL</v>
      </c>
    </row>
    <row r="113" spans="1:65" x14ac:dyDescent="0.25">
      <c r="A113">
        <v>110</v>
      </c>
      <c r="B113" s="202" t="s">
        <v>832</v>
      </c>
      <c r="C113" s="203" t="s">
        <v>833</v>
      </c>
      <c r="D113" s="203" t="s">
        <v>70</v>
      </c>
      <c r="E113" s="203" t="s">
        <v>78</v>
      </c>
      <c r="F113" s="203" t="s">
        <v>78</v>
      </c>
      <c r="G113" s="203" t="s">
        <v>70</v>
      </c>
      <c r="H113" s="203" t="s">
        <v>72</v>
      </c>
      <c r="I113" s="203" t="s">
        <v>72</v>
      </c>
      <c r="J113" s="203" t="s">
        <v>72</v>
      </c>
      <c r="K113" s="203"/>
      <c r="L113" s="203" t="s">
        <v>72</v>
      </c>
      <c r="M113" s="203" t="s">
        <v>72</v>
      </c>
      <c r="N113" s="203"/>
      <c r="O113" s="203" t="s">
        <v>73</v>
      </c>
      <c r="P113" s="203" t="s">
        <v>200</v>
      </c>
      <c r="Q113" s="203" t="s">
        <v>201</v>
      </c>
      <c r="R113" s="203" t="s">
        <v>76</v>
      </c>
      <c r="S113" s="209">
        <v>44223</v>
      </c>
      <c r="T113" s="205">
        <v>45684</v>
      </c>
      <c r="U113" s="205">
        <f>VLOOKUP(Tabla46782[[#This Row],[Matricula]],BAJA2022202320242025!$B$3:$CR$245,95,FALSE)</f>
        <v>45748</v>
      </c>
      <c r="V113" s="206">
        <v>1461</v>
      </c>
      <c r="W113" s="207">
        <v>2025</v>
      </c>
      <c r="X113" s="203" t="s">
        <v>77</v>
      </c>
      <c r="Y113" s="203" t="s">
        <v>78</v>
      </c>
      <c r="Z113" s="203" t="s">
        <v>213</v>
      </c>
      <c r="AA113" s="203" t="s">
        <v>817</v>
      </c>
      <c r="AB113" s="203" t="s">
        <v>102</v>
      </c>
      <c r="AC113" s="203" t="s">
        <v>103</v>
      </c>
      <c r="AD113" s="203" t="s">
        <v>782</v>
      </c>
      <c r="AE113" s="208">
        <v>37</v>
      </c>
      <c r="AF113" s="208" t="s">
        <v>834</v>
      </c>
      <c r="AG113" s="208" t="s">
        <v>85</v>
      </c>
      <c r="AH113" s="208" t="s">
        <v>86</v>
      </c>
      <c r="AI113" s="208" t="s">
        <v>87</v>
      </c>
      <c r="AJ113" s="208" t="s">
        <v>835</v>
      </c>
      <c r="AK113" s="205" t="s">
        <v>89</v>
      </c>
      <c r="AL113" s="204">
        <v>45625</v>
      </c>
      <c r="AM113" s="208">
        <v>-1</v>
      </c>
      <c r="AN113" s="209" t="s">
        <v>102</v>
      </c>
      <c r="AO113" s="209" t="s">
        <v>836</v>
      </c>
      <c r="AP113" s="209" t="s">
        <v>103</v>
      </c>
      <c r="AQ113" s="209"/>
      <c r="AR113" s="209" t="s">
        <v>72</v>
      </c>
      <c r="AS113" s="209" t="s">
        <v>109</v>
      </c>
      <c r="AT113" s="209" t="s">
        <v>837</v>
      </c>
      <c r="AU113" s="210">
        <v>5.0999999999999996</v>
      </c>
      <c r="AV113" s="211">
        <v>10</v>
      </c>
      <c r="AW113" s="212">
        <v>17.3</v>
      </c>
      <c r="AX113" s="213">
        <v>13073</v>
      </c>
      <c r="AY113" s="213">
        <v>4405.6010000000006</v>
      </c>
      <c r="AZ113" s="210" t="s">
        <v>70</v>
      </c>
      <c r="BA113" s="209" t="s">
        <v>93</v>
      </c>
      <c r="BB113" s="214" t="str">
        <f>+IF(Tabla46782[[#This Row],[TIPO VEHÍCULO]]=Tabla46782[[#This Row],[Columna2]], "IGUAL", "DISTINTO")</f>
        <v>IGUAL</v>
      </c>
      <c r="BC113" s="214" t="str">
        <f>+IF(Tabla46782[[#This Row],[Columna4]]=Tabla46782[[#This Row],[Combustible2]], "IGUAL", "DISTINTO")</f>
        <v>IGUAL</v>
      </c>
      <c r="BD113" s="215" cm="1">
        <f t="array" ref="BD113">IFERROR(INDEX('[1]Anexos FICHA TRA050'!$D$27:$D$44, MATCH(Tabla46782[[#This Row],[Columna5]]&amp;Tabla46782[[#This Row],[Columna4]], '[1]Anexos FICHA TRA050'!$E$27:$E$44&amp;'[1]Anexos FICHA TRA050'!$F$27:$F$44, 0)), "")</f>
        <v>6.99</v>
      </c>
      <c r="BE113" s="215">
        <f>IFERROR(INDEX('[1]Anexos FICHA TRA050'!$B$4:$B$7, MATCH(Tabla46782[[#This Row],[Columna4]], '[1]Anexos FICHA TRA050'!$C$4:$C$7, 0)), "")</f>
        <v>10</v>
      </c>
      <c r="BF113" s="215">
        <f>IFERROR(INDEX('[1]Anexos FICHA TRA050'!$C$14:$C$22, MATCH(Tabla46782[[#This Row],[Columna5]], '[1]Anexos FICHA TRA050'!$D$14:$D$22, 0)), "")</f>
        <v>17.920000000000002</v>
      </c>
      <c r="BG113" s="216">
        <f>IFERROR(INDEX('[1]Anexos FICHA TRA050'!$C$49:$C$54, MATCH(Tabla46782[[#This Row],[Columna5]], '[1]Anexos FICHA TRA050'!$D$49:$D$54, 0)), "")</f>
        <v>13073</v>
      </c>
      <c r="BH113" s="217">
        <f>+(((Tabla46782[[#This Row],[CVA2]]*Tabla46782[[#This Row],[f2]])-Tabla46782[[#This Row],[CVN2]])/100)*Tabla46782[[#This Row],[L2]]</f>
        <v>6795.3454000000002</v>
      </c>
      <c r="BI113" s="218"/>
      <c r="BJ113" s="218"/>
      <c r="BK113" s="218" t="str">
        <f>+IF(Tabla46782[[#This Row],[F3]]=Tabla46782[[#This Row],[f2]], "IGUAL", "DISTINTO")</f>
        <v>IGUAL</v>
      </c>
      <c r="BL113" s="218" t="str">
        <f>+IF(Tabla46782[[#This Row],[CVN]]=Tabla46782[[#This Row],[CVN2]], "IGUAL", "DISTINTO")</f>
        <v>DISTINTO</v>
      </c>
      <c r="BM113" s="219" t="str">
        <f>+IF(Tabla46782[[#This Row],[L]]=Tabla46782[[#This Row],[L2]], "IGUAL", "DISTINTO")</f>
        <v>IGUAL</v>
      </c>
    </row>
    <row r="114" spans="1:65" x14ac:dyDescent="0.25">
      <c r="A114">
        <v>111</v>
      </c>
      <c r="B114" s="202" t="s">
        <v>838</v>
      </c>
      <c r="C114" s="203" t="s">
        <v>839</v>
      </c>
      <c r="D114" s="203" t="s">
        <v>128</v>
      </c>
      <c r="E114" s="203" t="s">
        <v>78</v>
      </c>
      <c r="F114" s="203" t="s">
        <v>78</v>
      </c>
      <c r="G114" s="203" t="s">
        <v>128</v>
      </c>
      <c r="H114" s="203" t="s">
        <v>72</v>
      </c>
      <c r="I114" s="203" t="s">
        <v>72</v>
      </c>
      <c r="J114" s="203" t="s">
        <v>72</v>
      </c>
      <c r="K114" s="203"/>
      <c r="L114" s="203" t="s">
        <v>249</v>
      </c>
      <c r="M114" s="203" t="s">
        <v>249</v>
      </c>
      <c r="N114" s="203"/>
      <c r="O114" s="203" t="s">
        <v>725</v>
      </c>
      <c r="P114" s="203" t="s">
        <v>74</v>
      </c>
      <c r="Q114" s="203" t="s">
        <v>75</v>
      </c>
      <c r="R114" s="203" t="s">
        <v>76</v>
      </c>
      <c r="S114" s="204">
        <v>44958</v>
      </c>
      <c r="T114" s="205">
        <v>45188</v>
      </c>
      <c r="U114" s="205">
        <f>VLOOKUP(Tabla46782[[#This Row],[Matricula]],BAJA2022202320242025!$B$3:$CR$245,95,FALSE)</f>
        <v>45188</v>
      </c>
      <c r="V114" s="206">
        <v>230</v>
      </c>
      <c r="W114" s="207">
        <v>2023</v>
      </c>
      <c r="X114" s="203" t="s">
        <v>77</v>
      </c>
      <c r="Y114" s="203" t="s">
        <v>78</v>
      </c>
      <c r="Z114" s="203" t="s">
        <v>79</v>
      </c>
      <c r="AA114" s="203" t="s">
        <v>812</v>
      </c>
      <c r="AB114" s="203" t="s">
        <v>102</v>
      </c>
      <c r="AC114" s="203" t="s">
        <v>103</v>
      </c>
      <c r="AD114" s="203" t="s">
        <v>440</v>
      </c>
      <c r="AE114" s="208">
        <v>38</v>
      </c>
      <c r="AF114" s="208" t="s">
        <v>840</v>
      </c>
      <c r="AG114" s="208" t="s">
        <v>85</v>
      </c>
      <c r="AH114" s="208" t="s">
        <v>114</v>
      </c>
      <c r="AI114" s="208" t="s">
        <v>87</v>
      </c>
      <c r="AJ114" s="208" t="s">
        <v>567</v>
      </c>
      <c r="AK114" s="205" t="s">
        <v>108</v>
      </c>
      <c r="AL114" s="204">
        <v>44922</v>
      </c>
      <c r="AM114" s="208">
        <v>0</v>
      </c>
      <c r="AN114" s="209" t="s">
        <v>102</v>
      </c>
      <c r="AO114" s="210">
        <v>4500348763</v>
      </c>
      <c r="AP114" s="209" t="s">
        <v>103</v>
      </c>
      <c r="AQ114" s="209"/>
      <c r="AR114" s="209" t="s">
        <v>72</v>
      </c>
      <c r="AS114" s="209" t="s">
        <v>109</v>
      </c>
      <c r="AT114" s="209" t="s">
        <v>841</v>
      </c>
      <c r="AU114" s="210">
        <v>5.6</v>
      </c>
      <c r="AV114" s="211">
        <v>10</v>
      </c>
      <c r="AW114" s="212">
        <v>17.3</v>
      </c>
      <c r="AX114" s="213">
        <v>15815</v>
      </c>
      <c r="AY114" s="213">
        <v>6120.4049999999997</v>
      </c>
      <c r="AZ114" s="210" t="s">
        <v>128</v>
      </c>
      <c r="BA114" s="209" t="s">
        <v>93</v>
      </c>
      <c r="BB114" s="214" t="str">
        <f>+IF(Tabla46782[[#This Row],[TIPO VEHÍCULO]]=Tabla46782[[#This Row],[Columna2]], "IGUAL", "DISTINTO")</f>
        <v>IGUAL</v>
      </c>
      <c r="BC114" s="214" t="str">
        <f>+IF(Tabla46782[[#This Row],[Columna4]]=Tabla46782[[#This Row],[Combustible2]], "IGUAL", "DISTINTO")</f>
        <v>IGUAL</v>
      </c>
      <c r="BD114" s="215" cm="1">
        <f t="array" ref="BD114">IFERROR(INDEX('[1]Anexos FICHA TRA050'!$D$27:$D$44, MATCH(Tabla46782[[#This Row],[Columna5]]&amp;Tabla46782[[#This Row],[Columna4]], '[1]Anexos FICHA TRA050'!$E$27:$E$44&amp;'[1]Anexos FICHA TRA050'!$F$27:$F$44, 0)), "")</f>
        <v>5.63</v>
      </c>
      <c r="BE114" s="215">
        <f>IFERROR(INDEX('[1]Anexos FICHA TRA050'!$B$4:$B$7, MATCH(Tabla46782[[#This Row],[Columna4]], '[1]Anexos FICHA TRA050'!$C$4:$C$7, 0)), "")</f>
        <v>10</v>
      </c>
      <c r="BF114" s="215">
        <f>IFERROR(INDEX('[1]Anexos FICHA TRA050'!$C$14:$C$22, MATCH(Tabla46782[[#This Row],[Columna5]], '[1]Anexos FICHA TRA050'!$D$14:$D$22, 0)), "")</f>
        <v>20.84</v>
      </c>
      <c r="BG114" s="216">
        <f>IFERROR(INDEX('[1]Anexos FICHA TRA050'!$C$49:$C$54, MATCH(Tabla46782[[#This Row],[Columna5]], '[1]Anexos FICHA TRA050'!$D$49:$D$54, 0)), "")</f>
        <v>15815</v>
      </c>
      <c r="BH114" s="217">
        <f>+(((Tabla46782[[#This Row],[CVA2]]*Tabla46782[[#This Row],[f2]])-Tabla46782[[#This Row],[CVN2]])/100)*Tabla46782[[#This Row],[L2]]</f>
        <v>5607.9989999999989</v>
      </c>
      <c r="BI114" s="218"/>
      <c r="BJ114" s="218"/>
      <c r="BK114" s="218" t="str">
        <f>+IF(Tabla46782[[#This Row],[F3]]=Tabla46782[[#This Row],[f2]], "IGUAL", "DISTINTO")</f>
        <v>IGUAL</v>
      </c>
      <c r="BL114" s="218" t="str">
        <f>+IF(Tabla46782[[#This Row],[CVN]]=Tabla46782[[#This Row],[CVN2]], "IGUAL", "DISTINTO")</f>
        <v>DISTINTO</v>
      </c>
      <c r="BM114" s="219" t="str">
        <f>+IF(Tabla46782[[#This Row],[L]]=Tabla46782[[#This Row],[L2]], "IGUAL", "DISTINTO")</f>
        <v>IGUAL</v>
      </c>
    </row>
    <row r="115" spans="1:65" x14ac:dyDescent="0.25">
      <c r="A115">
        <v>112</v>
      </c>
      <c r="B115" s="202" t="s">
        <v>842</v>
      </c>
      <c r="C115" s="203" t="s">
        <v>843</v>
      </c>
      <c r="D115" s="203" t="s">
        <v>157</v>
      </c>
      <c r="E115" s="203" t="s">
        <v>71</v>
      </c>
      <c r="F115" s="203" t="s">
        <v>71</v>
      </c>
      <c r="G115" s="203" t="s">
        <v>51</v>
      </c>
      <c r="H115" s="246" t="s">
        <v>72</v>
      </c>
      <c r="I115" s="246"/>
      <c r="J115" s="246"/>
      <c r="K115" s="246" t="s">
        <v>72</v>
      </c>
      <c r="L115" s="246"/>
      <c r="M115" s="246" t="s">
        <v>72</v>
      </c>
      <c r="N115" s="246" t="s">
        <v>72</v>
      </c>
      <c r="O115" s="246" t="s">
        <v>158</v>
      </c>
      <c r="P115" s="246" t="s">
        <v>159</v>
      </c>
      <c r="Q115" s="246" t="s">
        <v>158</v>
      </c>
      <c r="R115" s="246" t="s">
        <v>171</v>
      </c>
      <c r="S115" s="247">
        <v>41544</v>
      </c>
      <c r="T115" s="248">
        <v>45561</v>
      </c>
      <c r="U115" s="248">
        <f>VLOOKUP(Tabla46782[[#This Row],[Matricula]],BAJA2022202320242025!$B$3:$CR$245,95,FALSE)</f>
        <v>45561</v>
      </c>
      <c r="V115" s="249">
        <v>4017</v>
      </c>
      <c r="W115" s="250">
        <v>2024</v>
      </c>
      <c r="X115" s="246" t="s">
        <v>172</v>
      </c>
      <c r="Y115" s="246" t="s">
        <v>71</v>
      </c>
      <c r="Z115" s="246" t="s">
        <v>844</v>
      </c>
      <c r="AA115" s="246" t="s">
        <v>845</v>
      </c>
      <c r="AB115" s="246" t="s">
        <v>81</v>
      </c>
      <c r="AC115" s="246" t="s">
        <v>82</v>
      </c>
      <c r="AD115" s="246" t="s">
        <v>164</v>
      </c>
      <c r="AE115" s="251">
        <v>11</v>
      </c>
      <c r="AF115" s="251" t="s">
        <v>846</v>
      </c>
      <c r="AG115" s="251" t="s">
        <v>380</v>
      </c>
      <c r="AH115" s="251" t="s">
        <v>381</v>
      </c>
      <c r="AI115" s="251" t="s">
        <v>87</v>
      </c>
      <c r="AJ115" s="251" t="s">
        <v>164</v>
      </c>
      <c r="AK115" s="205" t="s">
        <v>89</v>
      </c>
      <c r="AL115" s="247">
        <v>45616</v>
      </c>
      <c r="AM115" s="251">
        <v>0</v>
      </c>
      <c r="AN115" s="252" t="s">
        <v>81</v>
      </c>
      <c r="AO115" s="252" t="s">
        <v>847</v>
      </c>
      <c r="AP115" s="252" t="s">
        <v>82</v>
      </c>
      <c r="AQ115" s="252"/>
      <c r="AR115" s="252" t="s">
        <v>72</v>
      </c>
      <c r="AS115" s="209" t="s">
        <v>91</v>
      </c>
      <c r="AT115" s="252" t="s">
        <v>848</v>
      </c>
      <c r="AU115" s="210">
        <v>2.9</v>
      </c>
      <c r="AV115" s="211">
        <v>9.19</v>
      </c>
      <c r="AW115" s="212">
        <v>20</v>
      </c>
      <c r="AX115" s="213">
        <v>2831</v>
      </c>
      <c r="AY115" s="213">
        <v>188.28980999999987</v>
      </c>
      <c r="AZ115" s="210" t="s">
        <v>157</v>
      </c>
      <c r="BA115" s="209" t="s">
        <v>550</v>
      </c>
      <c r="BB115" s="214" t="str">
        <f>+IF(Tabla46782[[#This Row],[TIPO VEHÍCULO]]=Tabla46782[[#This Row],[Columna2]], "IGUAL", "DISTINTO")</f>
        <v>IGUAL</v>
      </c>
      <c r="BC115" s="214" t="str">
        <f>+IF(Tabla46782[[#This Row],[Columna4]]=Tabla46782[[#This Row],[Combustible2]], "IGUAL", "DISTINTO")</f>
        <v>IGUAL</v>
      </c>
      <c r="BD115" s="215" cm="1">
        <f t="array" ref="BD115">IFERROR(INDEX('[1]Anexos FICHA TRA050'!$D$27:$D$44, MATCH(Tabla46782[[#This Row],[Columna5]]&amp;Tabla46782[[#This Row],[Columna4]], '[1]Anexos FICHA TRA050'!$E$27:$E$44&amp;'[1]Anexos FICHA TRA050'!$F$27:$F$44, 0)), "")</f>
        <v>2.9</v>
      </c>
      <c r="BE115" s="215">
        <f>IFERROR(INDEX('[1]Anexos FICHA TRA050'!$B$4:$B$7, MATCH(Tabla46782[[#This Row],[Columna4]], '[1]Anexos FICHA TRA050'!$C$4:$C$7, 0)), "")</f>
        <v>9.19</v>
      </c>
      <c r="BF115" s="215">
        <f>IFERROR(INDEX('[1]Anexos FICHA TRA050'!$C$14:$C$22, MATCH(Tabla46782[[#This Row],[Columna5]], '[1]Anexos FICHA TRA050'!$D$14:$D$22, 0)), "")</f>
        <v>4.84</v>
      </c>
      <c r="BG115" s="216">
        <f>IFERROR(INDEX('[1]Anexos FICHA TRA050'!$C$49:$C$54, MATCH(Tabla46782[[#This Row],[Columna5]], '[1]Anexos FICHA TRA050'!$D$49:$D$54, 0)), "")</f>
        <v>2831</v>
      </c>
      <c r="BH115" s="217">
        <f>+(((Tabla46782[[#This Row],[CVA2]]*Tabla46782[[#This Row],[f2]])-Tabla46782[[#This Row],[CVN2]])/100)*Tabla46782[[#This Row],[L2]]</f>
        <v>617.46940999999993</v>
      </c>
      <c r="BI115" s="218"/>
      <c r="BJ115" s="218"/>
      <c r="BK115" s="218" t="str">
        <f>+IF(Tabla46782[[#This Row],[F3]]=Tabla46782[[#This Row],[f2]], "IGUAL", "DISTINTO")</f>
        <v>IGUAL</v>
      </c>
      <c r="BL115" s="218" t="str">
        <f>+IF(Tabla46782[[#This Row],[CVN]]=Tabla46782[[#This Row],[CVN2]], "IGUAL", "DISTINTO")</f>
        <v>DISTINTO</v>
      </c>
      <c r="BM115" s="219" t="str">
        <f>+IF(Tabla46782[[#This Row],[L]]=Tabla46782[[#This Row],[L2]], "IGUAL", "DISTINTO")</f>
        <v>IGUAL</v>
      </c>
    </row>
    <row r="116" spans="1:65" x14ac:dyDescent="0.25">
      <c r="A116">
        <v>113</v>
      </c>
      <c r="B116" s="202" t="s">
        <v>849</v>
      </c>
      <c r="C116" s="203" t="s">
        <v>850</v>
      </c>
      <c r="D116" s="203" t="s">
        <v>157</v>
      </c>
      <c r="E116" s="203" t="s">
        <v>71</v>
      </c>
      <c r="F116" s="203" t="s">
        <v>71</v>
      </c>
      <c r="G116" s="203" t="s">
        <v>51</v>
      </c>
      <c r="H116" s="246" t="s">
        <v>72</v>
      </c>
      <c r="I116" s="246"/>
      <c r="J116" s="246"/>
      <c r="K116" s="246" t="s">
        <v>72</v>
      </c>
      <c r="L116" s="246" t="s">
        <v>72</v>
      </c>
      <c r="M116" s="246" t="s">
        <v>72</v>
      </c>
      <c r="N116" s="246"/>
      <c r="O116" s="246" t="s">
        <v>158</v>
      </c>
      <c r="P116" s="246" t="s">
        <v>159</v>
      </c>
      <c r="Q116" s="246" t="s">
        <v>158</v>
      </c>
      <c r="R116" s="246" t="s">
        <v>171</v>
      </c>
      <c r="S116" s="247">
        <v>41960</v>
      </c>
      <c r="T116" s="248">
        <v>45579</v>
      </c>
      <c r="U116" s="248">
        <f>VLOOKUP(Tabla46782[[#This Row],[Matricula]],BAJA2022202320242025!$B$3:$CR$245,95,FALSE)</f>
        <v>45579</v>
      </c>
      <c r="V116" s="249">
        <v>3619</v>
      </c>
      <c r="W116" s="250">
        <v>2024</v>
      </c>
      <c r="X116" s="246" t="s">
        <v>172</v>
      </c>
      <c r="Y116" s="246" t="s">
        <v>71</v>
      </c>
      <c r="Z116" s="246" t="s">
        <v>844</v>
      </c>
      <c r="AA116" s="246" t="s">
        <v>845</v>
      </c>
      <c r="AB116" s="246" t="s">
        <v>81</v>
      </c>
      <c r="AC116" s="246" t="s">
        <v>82</v>
      </c>
      <c r="AD116" s="246" t="s">
        <v>143</v>
      </c>
      <c r="AE116" s="251">
        <v>12</v>
      </c>
      <c r="AF116" s="251" t="s">
        <v>851</v>
      </c>
      <c r="AG116" s="251" t="s">
        <v>380</v>
      </c>
      <c r="AH116" s="251" t="s">
        <v>381</v>
      </c>
      <c r="AI116" s="251" t="s">
        <v>87</v>
      </c>
      <c r="AJ116" s="251" t="s">
        <v>174</v>
      </c>
      <c r="AK116" s="205" t="s">
        <v>89</v>
      </c>
      <c r="AL116" s="247">
        <v>45616</v>
      </c>
      <c r="AM116" s="251">
        <v>0</v>
      </c>
      <c r="AN116" s="252" t="s">
        <v>81</v>
      </c>
      <c r="AO116" s="252" t="s">
        <v>852</v>
      </c>
      <c r="AP116" s="252" t="s">
        <v>82</v>
      </c>
      <c r="AQ116" s="252"/>
      <c r="AR116" s="252" t="s">
        <v>72</v>
      </c>
      <c r="AS116" s="209" t="s">
        <v>91</v>
      </c>
      <c r="AT116" s="252" t="s">
        <v>853</v>
      </c>
      <c r="AU116" s="210">
        <v>2.9</v>
      </c>
      <c r="AV116" s="211">
        <v>9.19</v>
      </c>
      <c r="AW116" s="212">
        <v>20</v>
      </c>
      <c r="AX116" s="213">
        <v>2831</v>
      </c>
      <c r="AY116" s="213">
        <v>188.28980999999987</v>
      </c>
      <c r="AZ116" s="210" t="s">
        <v>157</v>
      </c>
      <c r="BA116" s="209" t="s">
        <v>168</v>
      </c>
      <c r="BB116" s="214" t="str">
        <f>+IF(Tabla46782[[#This Row],[TIPO VEHÍCULO]]=Tabla46782[[#This Row],[Columna2]], "IGUAL", "DISTINTO")</f>
        <v>IGUAL</v>
      </c>
      <c r="BC116" s="214" t="str">
        <f>+IF(Tabla46782[[#This Row],[Columna4]]=Tabla46782[[#This Row],[Combustible2]], "IGUAL", "DISTINTO")</f>
        <v>IGUAL</v>
      </c>
      <c r="BD116" s="215" cm="1">
        <f t="array" ref="BD116">IFERROR(INDEX('[1]Anexos FICHA TRA050'!$D$27:$D$44, MATCH(Tabla46782[[#This Row],[Columna5]]&amp;Tabla46782[[#This Row],[Columna4]], '[1]Anexos FICHA TRA050'!$E$27:$E$44&amp;'[1]Anexos FICHA TRA050'!$F$27:$F$44, 0)), "")</f>
        <v>2.9</v>
      </c>
      <c r="BE116" s="215">
        <f>IFERROR(INDEX('[1]Anexos FICHA TRA050'!$B$4:$B$7, MATCH(Tabla46782[[#This Row],[Columna4]], '[1]Anexos FICHA TRA050'!$C$4:$C$7, 0)), "")</f>
        <v>9.19</v>
      </c>
      <c r="BF116" s="215">
        <f>IFERROR(INDEX('[1]Anexos FICHA TRA050'!$C$14:$C$22, MATCH(Tabla46782[[#This Row],[Columna5]], '[1]Anexos FICHA TRA050'!$D$14:$D$22, 0)), "")</f>
        <v>4.84</v>
      </c>
      <c r="BG116" s="216">
        <f>IFERROR(INDEX('[1]Anexos FICHA TRA050'!$C$49:$C$54, MATCH(Tabla46782[[#This Row],[Columna5]], '[1]Anexos FICHA TRA050'!$D$49:$D$54, 0)), "")</f>
        <v>2831</v>
      </c>
      <c r="BH116" s="217">
        <f>+(((Tabla46782[[#This Row],[CVA2]]*Tabla46782[[#This Row],[f2]])-Tabla46782[[#This Row],[CVN2]])/100)*Tabla46782[[#This Row],[L2]]</f>
        <v>617.46940999999993</v>
      </c>
      <c r="BI116" s="218"/>
      <c r="BJ116" s="218"/>
      <c r="BK116" s="218" t="str">
        <f>+IF(Tabla46782[[#This Row],[F3]]=Tabla46782[[#This Row],[f2]], "IGUAL", "DISTINTO")</f>
        <v>IGUAL</v>
      </c>
      <c r="BL116" s="218" t="str">
        <f>+IF(Tabla46782[[#This Row],[CVN]]=Tabla46782[[#This Row],[CVN2]], "IGUAL", "DISTINTO")</f>
        <v>DISTINTO</v>
      </c>
      <c r="BM116" s="219" t="str">
        <f>+IF(Tabla46782[[#This Row],[L]]=Tabla46782[[#This Row],[L2]], "IGUAL", "DISTINTO")</f>
        <v>IGUAL</v>
      </c>
    </row>
    <row r="117" spans="1:65" x14ac:dyDescent="0.25">
      <c r="A117">
        <v>114</v>
      </c>
      <c r="B117" s="202" t="s">
        <v>854</v>
      </c>
      <c r="C117" s="203" t="s">
        <v>855</v>
      </c>
      <c r="D117" s="203" t="s">
        <v>157</v>
      </c>
      <c r="E117" s="203" t="s">
        <v>71</v>
      </c>
      <c r="F117" s="203" t="s">
        <v>71</v>
      </c>
      <c r="G117" s="203" t="s">
        <v>51</v>
      </c>
      <c r="H117" s="246"/>
      <c r="I117" s="246"/>
      <c r="J117" s="246"/>
      <c r="K117" s="246" t="s">
        <v>72</v>
      </c>
      <c r="L117" s="246" t="s">
        <v>72</v>
      </c>
      <c r="M117" s="246" t="s">
        <v>72</v>
      </c>
      <c r="N117" s="246"/>
      <c r="O117" s="246" t="s">
        <v>158</v>
      </c>
      <c r="P117" s="246" t="s">
        <v>159</v>
      </c>
      <c r="Q117" s="246" t="s">
        <v>158</v>
      </c>
      <c r="R117" s="246" t="s">
        <v>171</v>
      </c>
      <c r="S117" s="247">
        <v>42122</v>
      </c>
      <c r="T117" s="248">
        <v>45558</v>
      </c>
      <c r="U117" s="248">
        <f>VLOOKUP(Tabla46782[[#This Row],[Matricula]],BAJA2022202320242025!$B$3:$CR$245,95,FALSE)</f>
        <v>45558</v>
      </c>
      <c r="V117" s="249">
        <v>3436</v>
      </c>
      <c r="W117" s="250">
        <v>2024</v>
      </c>
      <c r="X117" s="246" t="s">
        <v>172</v>
      </c>
      <c r="Y117" s="246" t="s">
        <v>71</v>
      </c>
      <c r="Z117" s="246" t="s">
        <v>844</v>
      </c>
      <c r="AA117" s="246" t="s">
        <v>845</v>
      </c>
      <c r="AB117" s="246" t="s">
        <v>81</v>
      </c>
      <c r="AC117" s="246" t="s">
        <v>82</v>
      </c>
      <c r="AD117" s="246" t="s">
        <v>143</v>
      </c>
      <c r="AE117" s="251">
        <v>13</v>
      </c>
      <c r="AF117" s="251" t="s">
        <v>856</v>
      </c>
      <c r="AG117" s="251" t="s">
        <v>85</v>
      </c>
      <c r="AH117" s="251" t="s">
        <v>86</v>
      </c>
      <c r="AI117" s="251" t="s">
        <v>87</v>
      </c>
      <c r="AJ117" s="251" t="s">
        <v>174</v>
      </c>
      <c r="AK117" s="205" t="s">
        <v>89</v>
      </c>
      <c r="AL117" s="247">
        <v>45625</v>
      </c>
      <c r="AM117" s="251">
        <v>0</v>
      </c>
      <c r="AN117" s="252" t="s">
        <v>81</v>
      </c>
      <c r="AO117" s="252" t="s">
        <v>857</v>
      </c>
      <c r="AP117" s="252" t="s">
        <v>82</v>
      </c>
      <c r="AQ117" s="252"/>
      <c r="AR117" s="252" t="s">
        <v>72</v>
      </c>
      <c r="AS117" s="209" t="s">
        <v>91</v>
      </c>
      <c r="AT117" s="252" t="s">
        <v>858</v>
      </c>
      <c r="AU117" s="210">
        <v>2.9</v>
      </c>
      <c r="AV117" s="211">
        <v>9.19</v>
      </c>
      <c r="AW117" s="212">
        <v>17.3</v>
      </c>
      <c r="AX117" s="213">
        <v>2831</v>
      </c>
      <c r="AY117" s="213">
        <v>264.72680999999989</v>
      </c>
      <c r="AZ117" s="210" t="s">
        <v>157</v>
      </c>
      <c r="BA117" s="209" t="s">
        <v>168</v>
      </c>
      <c r="BB117" s="214" t="str">
        <f>+IF(Tabla46782[[#This Row],[TIPO VEHÍCULO]]=Tabla46782[[#This Row],[Columna2]], "IGUAL", "DISTINTO")</f>
        <v>IGUAL</v>
      </c>
      <c r="BC117" s="214" t="str">
        <f>+IF(Tabla46782[[#This Row],[Columna4]]=Tabla46782[[#This Row],[Combustible2]], "IGUAL", "DISTINTO")</f>
        <v>IGUAL</v>
      </c>
      <c r="BD117" s="215" cm="1">
        <f t="array" ref="BD117">IFERROR(INDEX('[1]Anexos FICHA TRA050'!$D$27:$D$44, MATCH(Tabla46782[[#This Row],[Columna5]]&amp;Tabla46782[[#This Row],[Columna4]], '[1]Anexos FICHA TRA050'!$E$27:$E$44&amp;'[1]Anexos FICHA TRA050'!$F$27:$F$44, 0)), "")</f>
        <v>2.9</v>
      </c>
      <c r="BE117" s="215">
        <f>IFERROR(INDEX('[1]Anexos FICHA TRA050'!$B$4:$B$7, MATCH(Tabla46782[[#This Row],[Columna4]], '[1]Anexos FICHA TRA050'!$C$4:$C$7, 0)), "")</f>
        <v>9.19</v>
      </c>
      <c r="BF117" s="215">
        <f>IFERROR(INDEX('[1]Anexos FICHA TRA050'!$C$14:$C$22, MATCH(Tabla46782[[#This Row],[Columna5]], '[1]Anexos FICHA TRA050'!$D$14:$D$22, 0)), "")</f>
        <v>4.84</v>
      </c>
      <c r="BG117" s="216">
        <f>IFERROR(INDEX('[1]Anexos FICHA TRA050'!$C$49:$C$54, MATCH(Tabla46782[[#This Row],[Columna5]], '[1]Anexos FICHA TRA050'!$D$49:$D$54, 0)), "")</f>
        <v>2831</v>
      </c>
      <c r="BH117" s="217">
        <f>+(((Tabla46782[[#This Row],[CVA2]]*Tabla46782[[#This Row],[f2]])-Tabla46782[[#This Row],[CVN2]])/100)*Tabla46782[[#This Row],[L2]]</f>
        <v>617.46940999999993</v>
      </c>
      <c r="BI117" s="218"/>
      <c r="BJ117" s="218"/>
      <c r="BK117" s="218" t="str">
        <f>+IF(Tabla46782[[#This Row],[F3]]=Tabla46782[[#This Row],[f2]], "IGUAL", "DISTINTO")</f>
        <v>IGUAL</v>
      </c>
      <c r="BL117" s="218" t="str">
        <f>+IF(Tabla46782[[#This Row],[CVN]]=Tabla46782[[#This Row],[CVN2]], "IGUAL", "DISTINTO")</f>
        <v>DISTINTO</v>
      </c>
      <c r="BM117" s="219" t="str">
        <f>+IF(Tabla46782[[#This Row],[L]]=Tabla46782[[#This Row],[L2]], "IGUAL", "DISTINTO")</f>
        <v>IGUAL</v>
      </c>
    </row>
    <row r="118" spans="1:65" x14ac:dyDescent="0.25">
      <c r="A118">
        <v>115</v>
      </c>
      <c r="B118" s="202" t="s">
        <v>859</v>
      </c>
      <c r="C118" s="203" t="s">
        <v>860</v>
      </c>
      <c r="D118" s="203" t="s">
        <v>157</v>
      </c>
      <c r="E118" s="203" t="s">
        <v>71</v>
      </c>
      <c r="F118" s="203" t="s">
        <v>71</v>
      </c>
      <c r="G118" s="203" t="s">
        <v>51</v>
      </c>
      <c r="H118" s="246" t="s">
        <v>72</v>
      </c>
      <c r="I118" s="246"/>
      <c r="J118" s="246"/>
      <c r="K118" s="246" t="s">
        <v>72</v>
      </c>
      <c r="L118" s="246" t="s">
        <v>72</v>
      </c>
      <c r="M118" s="246" t="s">
        <v>72</v>
      </c>
      <c r="N118" s="246" t="s">
        <v>72</v>
      </c>
      <c r="O118" s="246" t="s">
        <v>158</v>
      </c>
      <c r="P118" s="246" t="s">
        <v>159</v>
      </c>
      <c r="Q118" s="246" t="s">
        <v>158</v>
      </c>
      <c r="R118" s="246" t="s">
        <v>171</v>
      </c>
      <c r="S118" s="247">
        <v>41960</v>
      </c>
      <c r="T118" s="248">
        <v>45561</v>
      </c>
      <c r="U118" s="248">
        <f>VLOOKUP(Tabla46782[[#This Row],[Matricula]],BAJA2022202320242025!$B$3:$CR$245,95,FALSE)</f>
        <v>45561</v>
      </c>
      <c r="V118" s="249">
        <v>3601</v>
      </c>
      <c r="W118" s="250">
        <v>2024</v>
      </c>
      <c r="X118" s="246" t="s">
        <v>172</v>
      </c>
      <c r="Y118" s="246" t="s">
        <v>71</v>
      </c>
      <c r="Z118" s="246" t="s">
        <v>844</v>
      </c>
      <c r="AA118" s="246" t="s">
        <v>845</v>
      </c>
      <c r="AB118" s="246" t="s">
        <v>81</v>
      </c>
      <c r="AC118" s="246" t="s">
        <v>82</v>
      </c>
      <c r="AD118" s="246" t="s">
        <v>143</v>
      </c>
      <c r="AE118" s="251">
        <v>14</v>
      </c>
      <c r="AF118" s="251" t="s">
        <v>861</v>
      </c>
      <c r="AG118" s="251" t="s">
        <v>85</v>
      </c>
      <c r="AH118" s="251" t="s">
        <v>86</v>
      </c>
      <c r="AI118" s="251" t="s">
        <v>87</v>
      </c>
      <c r="AJ118" s="251" t="s">
        <v>143</v>
      </c>
      <c r="AK118" s="205" t="s">
        <v>89</v>
      </c>
      <c r="AL118" s="247">
        <v>45625</v>
      </c>
      <c r="AM118" s="251">
        <v>0</v>
      </c>
      <c r="AN118" s="252" t="s">
        <v>81</v>
      </c>
      <c r="AO118" s="252" t="s">
        <v>862</v>
      </c>
      <c r="AP118" s="252" t="s">
        <v>82</v>
      </c>
      <c r="AQ118" s="252"/>
      <c r="AR118" s="252" t="s">
        <v>72</v>
      </c>
      <c r="AS118" s="209" t="s">
        <v>91</v>
      </c>
      <c r="AT118" s="252" t="s">
        <v>863</v>
      </c>
      <c r="AU118" s="210">
        <v>2.9</v>
      </c>
      <c r="AV118" s="211">
        <v>9.19</v>
      </c>
      <c r="AW118" s="212">
        <v>17.3</v>
      </c>
      <c r="AX118" s="213">
        <v>2831</v>
      </c>
      <c r="AY118" s="213">
        <v>264.72680999999989</v>
      </c>
      <c r="AZ118" s="210" t="s">
        <v>157</v>
      </c>
      <c r="BA118" s="209" t="s">
        <v>168</v>
      </c>
      <c r="BB118" s="214" t="str">
        <f>+IF(Tabla46782[[#This Row],[TIPO VEHÍCULO]]=Tabla46782[[#This Row],[Columna2]], "IGUAL", "DISTINTO")</f>
        <v>IGUAL</v>
      </c>
      <c r="BC118" s="214" t="str">
        <f>+IF(Tabla46782[[#This Row],[Columna4]]=Tabla46782[[#This Row],[Combustible2]], "IGUAL", "DISTINTO")</f>
        <v>IGUAL</v>
      </c>
      <c r="BD118" s="215" cm="1">
        <f t="array" ref="BD118">IFERROR(INDEX('[1]Anexos FICHA TRA050'!$D$27:$D$44, MATCH(Tabla46782[[#This Row],[Columna5]]&amp;Tabla46782[[#This Row],[Columna4]], '[1]Anexos FICHA TRA050'!$E$27:$E$44&amp;'[1]Anexos FICHA TRA050'!$F$27:$F$44, 0)), "")</f>
        <v>2.9</v>
      </c>
      <c r="BE118" s="215">
        <f>IFERROR(INDEX('[1]Anexos FICHA TRA050'!$B$4:$B$7, MATCH(Tabla46782[[#This Row],[Columna4]], '[1]Anexos FICHA TRA050'!$C$4:$C$7, 0)), "")</f>
        <v>9.19</v>
      </c>
      <c r="BF118" s="215">
        <f>IFERROR(INDEX('[1]Anexos FICHA TRA050'!$C$14:$C$22, MATCH(Tabla46782[[#This Row],[Columna5]], '[1]Anexos FICHA TRA050'!$D$14:$D$22, 0)), "")</f>
        <v>4.84</v>
      </c>
      <c r="BG118" s="216">
        <f>IFERROR(INDEX('[1]Anexos FICHA TRA050'!$C$49:$C$54, MATCH(Tabla46782[[#This Row],[Columna5]], '[1]Anexos FICHA TRA050'!$D$49:$D$54, 0)), "")</f>
        <v>2831</v>
      </c>
      <c r="BH118" s="217">
        <f>+(((Tabla46782[[#This Row],[CVA2]]*Tabla46782[[#This Row],[f2]])-Tabla46782[[#This Row],[CVN2]])/100)*Tabla46782[[#This Row],[L2]]</f>
        <v>617.46940999999993</v>
      </c>
      <c r="BI118" s="218"/>
      <c r="BJ118" s="218"/>
      <c r="BK118" s="218" t="str">
        <f>+IF(Tabla46782[[#This Row],[F3]]=Tabla46782[[#This Row],[f2]], "IGUAL", "DISTINTO")</f>
        <v>IGUAL</v>
      </c>
      <c r="BL118" s="218" t="str">
        <f>+IF(Tabla46782[[#This Row],[CVN]]=Tabla46782[[#This Row],[CVN2]], "IGUAL", "DISTINTO")</f>
        <v>DISTINTO</v>
      </c>
      <c r="BM118" s="219" t="str">
        <f>+IF(Tabla46782[[#This Row],[L]]=Tabla46782[[#This Row],[L2]], "IGUAL", "DISTINTO")</f>
        <v>IGUAL</v>
      </c>
    </row>
    <row r="119" spans="1:65" x14ac:dyDescent="0.25">
      <c r="A119">
        <v>116</v>
      </c>
      <c r="B119" s="202" t="s">
        <v>864</v>
      </c>
      <c r="C119" s="203" t="s">
        <v>865</v>
      </c>
      <c r="D119" s="203" t="s">
        <v>128</v>
      </c>
      <c r="E119" s="203" t="s">
        <v>78</v>
      </c>
      <c r="F119" s="203" t="s">
        <v>78</v>
      </c>
      <c r="G119" s="203" t="s">
        <v>128</v>
      </c>
      <c r="H119" s="203" t="s">
        <v>72</v>
      </c>
      <c r="I119" s="203"/>
      <c r="J119" s="203"/>
      <c r="K119" s="203"/>
      <c r="L119" s="203" t="s">
        <v>72</v>
      </c>
      <c r="M119" s="203" t="s">
        <v>72</v>
      </c>
      <c r="N119" s="203"/>
      <c r="O119" s="203" t="s">
        <v>866</v>
      </c>
      <c r="P119" s="203" t="s">
        <v>74</v>
      </c>
      <c r="Q119" s="203" t="s">
        <v>75</v>
      </c>
      <c r="R119" s="203" t="s">
        <v>76</v>
      </c>
      <c r="S119" s="204">
        <v>45541</v>
      </c>
      <c r="T119" s="205">
        <v>45631</v>
      </c>
      <c r="U119" s="205">
        <f>VLOOKUP(Tabla46782[[#This Row],[Matricula]],BAJA2022202320242025!$B$3:$CR$245,95,FALSE)</f>
        <v>45631</v>
      </c>
      <c r="V119" s="206">
        <v>90</v>
      </c>
      <c r="W119" s="207">
        <v>2024</v>
      </c>
      <c r="X119" s="203" t="s">
        <v>77</v>
      </c>
      <c r="Y119" s="203" t="s">
        <v>78</v>
      </c>
      <c r="Z119" s="203" t="s">
        <v>79</v>
      </c>
      <c r="AA119" s="203" t="s">
        <v>867</v>
      </c>
      <c r="AB119" s="203" t="s">
        <v>336</v>
      </c>
      <c r="AC119" s="203" t="s">
        <v>337</v>
      </c>
      <c r="AD119" s="203" t="s">
        <v>351</v>
      </c>
      <c r="AE119" s="208">
        <v>9</v>
      </c>
      <c r="AF119" s="208" t="s">
        <v>868</v>
      </c>
      <c r="AG119" s="208" t="s">
        <v>140</v>
      </c>
      <c r="AH119" s="208" t="s">
        <v>151</v>
      </c>
      <c r="AI119" s="208" t="s">
        <v>87</v>
      </c>
      <c r="AJ119" s="208" t="s">
        <v>338</v>
      </c>
      <c r="AK119" s="205" t="s">
        <v>89</v>
      </c>
      <c r="AL119" s="204">
        <v>45625</v>
      </c>
      <c r="AM119" s="208">
        <v>0</v>
      </c>
      <c r="AN119" s="209" t="s">
        <v>336</v>
      </c>
      <c r="AO119" s="209" t="s">
        <v>869</v>
      </c>
      <c r="AP119" s="209" t="s">
        <v>337</v>
      </c>
      <c r="AQ119" s="209"/>
      <c r="AR119" s="209" t="s">
        <v>72</v>
      </c>
      <c r="AS119" s="209" t="s">
        <v>91</v>
      </c>
      <c r="AT119" s="209" t="s">
        <v>870</v>
      </c>
      <c r="AU119" s="210">
        <v>5.6</v>
      </c>
      <c r="AV119" s="211">
        <v>10</v>
      </c>
      <c r="AW119" s="212">
        <v>16.399999999999999</v>
      </c>
      <c r="AX119" s="213">
        <v>15815</v>
      </c>
      <c r="AY119" s="213">
        <v>6262.7400000000007</v>
      </c>
      <c r="AZ119" s="210" t="s">
        <v>128</v>
      </c>
      <c r="BA119" s="209" t="s">
        <v>255</v>
      </c>
      <c r="BB119" s="214" t="str">
        <f>+IF(Tabla46782[[#This Row],[TIPO VEHÍCULO]]=Tabla46782[[#This Row],[Columna2]], "IGUAL", "DISTINTO")</f>
        <v>IGUAL</v>
      </c>
      <c r="BC119" s="214" t="str">
        <f>+IF(Tabla46782[[#This Row],[Columna4]]=Tabla46782[[#This Row],[Combustible2]], "IGUAL", "DISTINTO")</f>
        <v>IGUAL</v>
      </c>
      <c r="BD119" s="215" cm="1">
        <f t="array" ref="BD119">IFERROR(INDEX('[1]Anexos FICHA TRA050'!$D$27:$D$44, MATCH(Tabla46782[[#This Row],[Columna5]]&amp;Tabla46782[[#This Row],[Columna4]], '[1]Anexos FICHA TRA050'!$E$27:$E$44&amp;'[1]Anexos FICHA TRA050'!$F$27:$F$44, 0)), "")</f>
        <v>5.63</v>
      </c>
      <c r="BE119" s="215">
        <f>IFERROR(INDEX('[1]Anexos FICHA TRA050'!$B$4:$B$7, MATCH(Tabla46782[[#This Row],[Columna4]], '[1]Anexos FICHA TRA050'!$C$4:$C$7, 0)), "")</f>
        <v>10</v>
      </c>
      <c r="BF119" s="215">
        <f>IFERROR(INDEX('[1]Anexos FICHA TRA050'!$C$14:$C$22, MATCH(Tabla46782[[#This Row],[Columna5]], '[1]Anexos FICHA TRA050'!$D$14:$D$22, 0)), "")</f>
        <v>20.84</v>
      </c>
      <c r="BG119" s="216">
        <f>IFERROR(INDEX('[1]Anexos FICHA TRA050'!$C$49:$C$54, MATCH(Tabla46782[[#This Row],[Columna5]], '[1]Anexos FICHA TRA050'!$D$49:$D$54, 0)), "")</f>
        <v>15815</v>
      </c>
      <c r="BH119" s="217">
        <f>+(((Tabla46782[[#This Row],[CVA2]]*Tabla46782[[#This Row],[f2]])-Tabla46782[[#This Row],[CVN2]])/100)*Tabla46782[[#This Row],[L2]]</f>
        <v>5607.9989999999989</v>
      </c>
      <c r="BI119" s="218"/>
      <c r="BJ119" s="218"/>
      <c r="BK119" s="218" t="str">
        <f>+IF(Tabla46782[[#This Row],[F3]]=Tabla46782[[#This Row],[f2]], "IGUAL", "DISTINTO")</f>
        <v>IGUAL</v>
      </c>
      <c r="BL119" s="218" t="str">
        <f>+IF(Tabla46782[[#This Row],[CVN]]=Tabla46782[[#This Row],[CVN2]], "IGUAL", "DISTINTO")</f>
        <v>DISTINTO</v>
      </c>
      <c r="BM119" s="219" t="str">
        <f>+IF(Tabla46782[[#This Row],[L]]=Tabla46782[[#This Row],[L2]], "IGUAL", "DISTINTO")</f>
        <v>IGUAL</v>
      </c>
    </row>
    <row r="120" spans="1:65" x14ac:dyDescent="0.25">
      <c r="A120">
        <v>117</v>
      </c>
      <c r="B120" s="202" t="s">
        <v>871</v>
      </c>
      <c r="C120" s="203" t="s">
        <v>872</v>
      </c>
      <c r="D120" s="203" t="s">
        <v>128</v>
      </c>
      <c r="E120" s="203" t="s">
        <v>78</v>
      </c>
      <c r="F120" s="203" t="s">
        <v>78</v>
      </c>
      <c r="G120" s="203" t="s">
        <v>128</v>
      </c>
      <c r="H120" s="203" t="s">
        <v>72</v>
      </c>
      <c r="I120" s="203"/>
      <c r="J120" s="203"/>
      <c r="K120" s="203"/>
      <c r="L120" s="203" t="s">
        <v>72</v>
      </c>
      <c r="M120" s="203" t="s">
        <v>72</v>
      </c>
      <c r="N120" s="203"/>
      <c r="O120" s="203" t="s">
        <v>866</v>
      </c>
      <c r="P120" s="203" t="s">
        <v>74</v>
      </c>
      <c r="Q120" s="203" t="s">
        <v>75</v>
      </c>
      <c r="R120" s="203" t="s">
        <v>76</v>
      </c>
      <c r="S120" s="204">
        <v>45541</v>
      </c>
      <c r="T120" s="205">
        <v>45631</v>
      </c>
      <c r="U120" s="205">
        <f>VLOOKUP(Tabla46782[[#This Row],[Matricula]],BAJA2022202320242025!$B$3:$CR$245,95,FALSE)</f>
        <v>0</v>
      </c>
      <c r="V120" s="206">
        <v>90</v>
      </c>
      <c r="W120" s="207">
        <v>2024</v>
      </c>
      <c r="X120" s="203" t="s">
        <v>77</v>
      </c>
      <c r="Y120" s="203" t="s">
        <v>78</v>
      </c>
      <c r="Z120" s="203" t="s">
        <v>79</v>
      </c>
      <c r="AA120" s="203" t="s">
        <v>867</v>
      </c>
      <c r="AB120" s="203" t="s">
        <v>336</v>
      </c>
      <c r="AC120" s="203" t="s">
        <v>337</v>
      </c>
      <c r="AD120" s="203" t="s">
        <v>351</v>
      </c>
      <c r="AE120" s="208">
        <v>10</v>
      </c>
      <c r="AF120" s="208" t="s">
        <v>873</v>
      </c>
      <c r="AG120" s="208" t="s">
        <v>140</v>
      </c>
      <c r="AH120" s="208" t="s">
        <v>151</v>
      </c>
      <c r="AI120" s="208" t="s">
        <v>87</v>
      </c>
      <c r="AJ120" s="208" t="s">
        <v>874</v>
      </c>
      <c r="AK120" s="205" t="s">
        <v>89</v>
      </c>
      <c r="AL120" s="204">
        <v>45625</v>
      </c>
      <c r="AM120" s="208">
        <v>0</v>
      </c>
      <c r="AN120" s="209" t="s">
        <v>336</v>
      </c>
      <c r="AO120" s="209" t="s">
        <v>875</v>
      </c>
      <c r="AP120" s="209" t="s">
        <v>337</v>
      </c>
      <c r="AQ120" s="209"/>
      <c r="AR120" s="209" t="s">
        <v>72</v>
      </c>
      <c r="AS120" s="209" t="s">
        <v>91</v>
      </c>
      <c r="AT120" s="209" t="s">
        <v>876</v>
      </c>
      <c r="AU120" s="210">
        <v>5.6</v>
      </c>
      <c r="AV120" s="211">
        <v>10</v>
      </c>
      <c r="AW120" s="212">
        <v>16.399999999999999</v>
      </c>
      <c r="AX120" s="213">
        <v>15815</v>
      </c>
      <c r="AY120" s="213">
        <v>6262.7400000000007</v>
      </c>
      <c r="AZ120" s="210" t="s">
        <v>128</v>
      </c>
      <c r="BA120" s="209" t="s">
        <v>255</v>
      </c>
      <c r="BB120" s="214" t="str">
        <f>+IF(Tabla46782[[#This Row],[TIPO VEHÍCULO]]=Tabla46782[[#This Row],[Columna2]], "IGUAL", "DISTINTO")</f>
        <v>IGUAL</v>
      </c>
      <c r="BC120" s="214" t="str">
        <f>+IF(Tabla46782[[#This Row],[Columna4]]=Tabla46782[[#This Row],[Combustible2]], "IGUAL", "DISTINTO")</f>
        <v>IGUAL</v>
      </c>
      <c r="BD120" s="215" cm="1">
        <f t="array" ref="BD120">IFERROR(INDEX('[1]Anexos FICHA TRA050'!$D$27:$D$44, MATCH(Tabla46782[[#This Row],[Columna5]]&amp;Tabla46782[[#This Row],[Columna4]], '[1]Anexos FICHA TRA050'!$E$27:$E$44&amp;'[1]Anexos FICHA TRA050'!$F$27:$F$44, 0)), "")</f>
        <v>5.63</v>
      </c>
      <c r="BE120" s="215">
        <f>IFERROR(INDEX('[1]Anexos FICHA TRA050'!$B$4:$B$7, MATCH(Tabla46782[[#This Row],[Columna4]], '[1]Anexos FICHA TRA050'!$C$4:$C$7, 0)), "")</f>
        <v>10</v>
      </c>
      <c r="BF120" s="215">
        <f>IFERROR(INDEX('[1]Anexos FICHA TRA050'!$C$14:$C$22, MATCH(Tabla46782[[#This Row],[Columna5]], '[1]Anexos FICHA TRA050'!$D$14:$D$22, 0)), "")</f>
        <v>20.84</v>
      </c>
      <c r="BG120" s="216">
        <f>IFERROR(INDEX('[1]Anexos FICHA TRA050'!$C$49:$C$54, MATCH(Tabla46782[[#This Row],[Columna5]], '[1]Anexos FICHA TRA050'!$D$49:$D$54, 0)), "")</f>
        <v>15815</v>
      </c>
      <c r="BH120" s="217">
        <f>+(((Tabla46782[[#This Row],[CVA2]]*Tabla46782[[#This Row],[f2]])-Tabla46782[[#This Row],[CVN2]])/100)*Tabla46782[[#This Row],[L2]]</f>
        <v>5607.9989999999989</v>
      </c>
      <c r="BI120" s="218"/>
      <c r="BJ120" s="218"/>
      <c r="BK120" s="218" t="str">
        <f>+IF(Tabla46782[[#This Row],[F3]]=Tabla46782[[#This Row],[f2]], "IGUAL", "DISTINTO")</f>
        <v>IGUAL</v>
      </c>
      <c r="BL120" s="218" t="str">
        <f>+IF(Tabla46782[[#This Row],[CVN]]=Tabla46782[[#This Row],[CVN2]], "IGUAL", "DISTINTO")</f>
        <v>DISTINTO</v>
      </c>
      <c r="BM120" s="219" t="str">
        <f>+IF(Tabla46782[[#This Row],[L]]=Tabla46782[[#This Row],[L2]], "IGUAL", "DISTINTO")</f>
        <v>IGUAL</v>
      </c>
    </row>
    <row r="121" spans="1:65" x14ac:dyDescent="0.25">
      <c r="A121">
        <v>118</v>
      </c>
      <c r="B121" s="202" t="s">
        <v>877</v>
      </c>
      <c r="C121" s="203" t="s">
        <v>878</v>
      </c>
      <c r="D121" s="203" t="s">
        <v>70</v>
      </c>
      <c r="E121" s="203" t="s">
        <v>71</v>
      </c>
      <c r="F121" s="203" t="s">
        <v>71</v>
      </c>
      <c r="G121" s="203" t="s">
        <v>70</v>
      </c>
      <c r="H121" s="203" t="s">
        <v>72</v>
      </c>
      <c r="I121" s="203"/>
      <c r="J121" s="203" t="s">
        <v>72</v>
      </c>
      <c r="K121" s="203"/>
      <c r="L121" s="203"/>
      <c r="M121" s="203"/>
      <c r="N121" s="203"/>
      <c r="O121" s="203" t="s">
        <v>73</v>
      </c>
      <c r="P121" s="203" t="s">
        <v>74</v>
      </c>
      <c r="Q121" s="203" t="s">
        <v>75</v>
      </c>
      <c r="R121" s="203" t="s">
        <v>76</v>
      </c>
      <c r="S121" s="204">
        <v>44452</v>
      </c>
      <c r="T121" s="205">
        <v>45261</v>
      </c>
      <c r="U121" s="205">
        <f>VLOOKUP(Tabla46782[[#This Row],[Matricula]],BAJA2022202320242025!$B$3:$CR$245,95,FALSE)</f>
        <v>45261</v>
      </c>
      <c r="V121" s="206">
        <v>809</v>
      </c>
      <c r="W121" s="207">
        <v>2023</v>
      </c>
      <c r="X121" s="203" t="s">
        <v>77</v>
      </c>
      <c r="Y121" s="203" t="s">
        <v>71</v>
      </c>
      <c r="Z121" s="203" t="s">
        <v>79</v>
      </c>
      <c r="AA121" s="203" t="s">
        <v>879</v>
      </c>
      <c r="AB121" s="203" t="s">
        <v>336</v>
      </c>
      <c r="AC121" s="203" t="s">
        <v>337</v>
      </c>
      <c r="AD121" s="203" t="s">
        <v>880</v>
      </c>
      <c r="AE121" s="208">
        <v>11</v>
      </c>
      <c r="AF121" s="208" t="s">
        <v>881</v>
      </c>
      <c r="AG121" s="208" t="s">
        <v>380</v>
      </c>
      <c r="AH121" s="208" t="s">
        <v>381</v>
      </c>
      <c r="AI121" s="208" t="s">
        <v>87</v>
      </c>
      <c r="AJ121" s="208" t="s">
        <v>382</v>
      </c>
      <c r="AK121" s="205" t="s">
        <v>89</v>
      </c>
      <c r="AL121" s="204">
        <v>45483</v>
      </c>
      <c r="AM121" s="208">
        <v>1</v>
      </c>
      <c r="AN121" s="209" t="s">
        <v>336</v>
      </c>
      <c r="AO121" s="210">
        <v>4500407445</v>
      </c>
      <c r="AP121" s="209" t="s">
        <v>337</v>
      </c>
      <c r="AQ121" s="209"/>
      <c r="AR121" s="209" t="s">
        <v>72</v>
      </c>
      <c r="AS121" s="209" t="s">
        <v>91</v>
      </c>
      <c r="AT121" s="209" t="s">
        <v>882</v>
      </c>
      <c r="AU121" s="210">
        <v>5.0999999999999996</v>
      </c>
      <c r="AV121" s="211">
        <v>9.19</v>
      </c>
      <c r="AW121" s="212">
        <v>20</v>
      </c>
      <c r="AX121" s="213">
        <v>13073</v>
      </c>
      <c r="AY121" s="213">
        <v>3512.5843699999991</v>
      </c>
      <c r="AZ121" s="210" t="s">
        <v>70</v>
      </c>
      <c r="BA121" s="209" t="s">
        <v>255</v>
      </c>
      <c r="BB121" s="214" t="str">
        <f>+IF(Tabla46782[[#This Row],[TIPO VEHÍCULO]]=Tabla46782[[#This Row],[Columna2]], "IGUAL", "DISTINTO")</f>
        <v>IGUAL</v>
      </c>
      <c r="BC121" s="214" t="str">
        <f>+IF(Tabla46782[[#This Row],[Columna4]]=Tabla46782[[#This Row],[Combustible2]], "IGUAL", "DISTINTO")</f>
        <v>IGUAL</v>
      </c>
      <c r="BD121" s="215" cm="1">
        <f t="array" ref="BD121">IFERROR(INDEX('[1]Anexos FICHA TRA050'!$D$27:$D$44, MATCH(Tabla46782[[#This Row],[Columna5]]&amp;Tabla46782[[#This Row],[Columna4]], '[1]Anexos FICHA TRA050'!$E$27:$E$44&amp;'[1]Anexos FICHA TRA050'!$F$27:$F$44, 0)), "")</f>
        <v>7.89</v>
      </c>
      <c r="BE121" s="215">
        <f>IFERROR(INDEX('[1]Anexos FICHA TRA050'!$B$4:$B$7, MATCH(Tabla46782[[#This Row],[Columna4]], '[1]Anexos FICHA TRA050'!$C$4:$C$7, 0)), "")</f>
        <v>9.19</v>
      </c>
      <c r="BF121" s="215">
        <f>IFERROR(INDEX('[1]Anexos FICHA TRA050'!$C$14:$C$22, MATCH(Tabla46782[[#This Row],[Columna5]], '[1]Anexos FICHA TRA050'!$D$14:$D$22, 0)), "")</f>
        <v>17.920000000000002</v>
      </c>
      <c r="BG121" s="216">
        <f>IFERROR(INDEX('[1]Anexos FICHA TRA050'!$C$49:$C$54, MATCH(Tabla46782[[#This Row],[Columna5]], '[1]Anexos FICHA TRA050'!$D$49:$D$54, 0)), "")</f>
        <v>13073</v>
      </c>
      <c r="BH121" s="217">
        <f>+(((Tabla46782[[#This Row],[CVA2]]*Tabla46782[[#This Row],[f2]])-Tabla46782[[#This Row],[CVN2]])/100)*Tabla46782[[#This Row],[L2]]</f>
        <v>7136.4330429999991</v>
      </c>
      <c r="BI121" s="218"/>
      <c r="BJ121" s="218"/>
      <c r="BK121" s="218" t="str">
        <f>+IF(Tabla46782[[#This Row],[F3]]=Tabla46782[[#This Row],[f2]], "IGUAL", "DISTINTO")</f>
        <v>IGUAL</v>
      </c>
      <c r="BL121" s="218" t="str">
        <f>+IF(Tabla46782[[#This Row],[CVN]]=Tabla46782[[#This Row],[CVN2]], "IGUAL", "DISTINTO")</f>
        <v>DISTINTO</v>
      </c>
      <c r="BM121" s="219" t="str">
        <f>+IF(Tabla46782[[#This Row],[L]]=Tabla46782[[#This Row],[L2]], "IGUAL", "DISTINTO")</f>
        <v>IGUAL</v>
      </c>
    </row>
    <row r="122" spans="1:65" x14ac:dyDescent="0.25">
      <c r="A122">
        <v>119</v>
      </c>
      <c r="B122" s="202" t="s">
        <v>883</v>
      </c>
      <c r="C122" s="203" t="s">
        <v>884</v>
      </c>
      <c r="D122" s="203" t="s">
        <v>516</v>
      </c>
      <c r="E122" s="203" t="s">
        <v>78</v>
      </c>
      <c r="F122" s="203" t="s">
        <v>78</v>
      </c>
      <c r="G122" s="203" t="s">
        <v>516</v>
      </c>
      <c r="H122" s="203"/>
      <c r="I122" s="203"/>
      <c r="J122" s="203"/>
      <c r="K122" s="203"/>
      <c r="L122" s="203"/>
      <c r="M122" s="203"/>
      <c r="N122" s="203"/>
      <c r="O122" s="203" t="s">
        <v>885</v>
      </c>
      <c r="P122" s="203" t="s">
        <v>161</v>
      </c>
      <c r="Q122" s="203" t="s">
        <v>886</v>
      </c>
      <c r="R122" s="203" t="s">
        <v>171</v>
      </c>
      <c r="S122" s="209">
        <v>45444</v>
      </c>
      <c r="T122" s="205">
        <v>45444</v>
      </c>
      <c r="U122" s="205">
        <f>VLOOKUP(Tabla46782[[#This Row],[Matricula]],BAJA2022202320242025!$B$3:$CR$245,95,FALSE)</f>
        <v>45444</v>
      </c>
      <c r="V122" s="206">
        <v>0</v>
      </c>
      <c r="W122" s="207">
        <v>2024</v>
      </c>
      <c r="X122" s="203" t="s">
        <v>172</v>
      </c>
      <c r="Y122" s="203" t="s">
        <v>78</v>
      </c>
      <c r="Z122" s="203" t="s">
        <v>887</v>
      </c>
      <c r="AA122" s="203" t="s">
        <v>888</v>
      </c>
      <c r="AB122" s="203" t="s">
        <v>102</v>
      </c>
      <c r="AC122" s="203" t="s">
        <v>103</v>
      </c>
      <c r="AD122" s="203" t="s">
        <v>696</v>
      </c>
      <c r="AE122" s="208">
        <v>39</v>
      </c>
      <c r="AF122" s="208" t="s">
        <v>889</v>
      </c>
      <c r="AG122" s="208" t="s">
        <v>140</v>
      </c>
      <c r="AH122" s="208" t="s">
        <v>151</v>
      </c>
      <c r="AI122" s="208" t="s">
        <v>87</v>
      </c>
      <c r="AJ122" s="208" t="s">
        <v>303</v>
      </c>
      <c r="AK122" s="205" t="s">
        <v>89</v>
      </c>
      <c r="AL122" s="204">
        <v>45625</v>
      </c>
      <c r="AM122" s="208">
        <v>0</v>
      </c>
      <c r="AN122" s="209" t="s">
        <v>102</v>
      </c>
      <c r="AO122" s="209" t="s">
        <v>890</v>
      </c>
      <c r="AP122" s="209" t="s">
        <v>103</v>
      </c>
      <c r="AQ122" s="209"/>
      <c r="AR122" s="209" t="s">
        <v>72</v>
      </c>
      <c r="AS122" s="209" t="s">
        <v>109</v>
      </c>
      <c r="AT122" s="209" t="s">
        <v>891</v>
      </c>
      <c r="AU122" s="210">
        <v>5.6</v>
      </c>
      <c r="AV122" s="211">
        <v>10</v>
      </c>
      <c r="AW122" s="212">
        <v>16.399999999999999</v>
      </c>
      <c r="AX122" s="213">
        <v>15815</v>
      </c>
      <c r="AY122" s="213">
        <v>6262.7400000000007</v>
      </c>
      <c r="AZ122" s="210" t="s">
        <v>128</v>
      </c>
      <c r="BA122" s="209" t="s">
        <v>255</v>
      </c>
      <c r="BB122" s="214" t="str">
        <f>+IF(Tabla46782[[#This Row],[TIPO VEHÍCULO]]=Tabla46782[[#This Row],[Columna2]], "IGUAL", "DISTINTO")</f>
        <v>DISTINTO</v>
      </c>
      <c r="BC122" s="214" t="str">
        <f>+IF(Tabla46782[[#This Row],[Columna4]]=Tabla46782[[#This Row],[Combustible2]], "IGUAL", "DISTINTO")</f>
        <v>IGUAL</v>
      </c>
      <c r="BD122" s="215" cm="1">
        <f t="array" ref="BD122">IFERROR(INDEX('[1]Anexos FICHA TRA050'!$D$27:$D$44, MATCH(Tabla46782[[#This Row],[Columna5]]&amp;Tabla46782[[#This Row],[Columna4]], '[1]Anexos FICHA TRA050'!$E$27:$E$44&amp;'[1]Anexos FICHA TRA050'!$F$27:$F$44, 0)), "")</f>
        <v>35</v>
      </c>
      <c r="BE122" s="215">
        <f>IFERROR(INDEX('[1]Anexos FICHA TRA050'!$B$4:$B$7, MATCH(Tabla46782[[#This Row],[Columna4]], '[1]Anexos FICHA TRA050'!$C$4:$C$7, 0)), "")</f>
        <v>10</v>
      </c>
      <c r="BF122" s="215">
        <f>IFERROR(INDEX('[1]Anexos FICHA TRA050'!$C$14:$C$22, MATCH(Tabla46782[[#This Row],[Columna5]], '[1]Anexos FICHA TRA050'!$D$14:$D$22, 0)), "")</f>
        <v>118.53</v>
      </c>
      <c r="BG122" s="216">
        <f>IFERROR(INDEX('[1]Anexos FICHA TRA050'!$C$49:$C$54, MATCH(Tabla46782[[#This Row],[Columna5]], '[1]Anexos FICHA TRA050'!$D$49:$D$54, 0)), "")</f>
        <v>53508</v>
      </c>
      <c r="BH122" s="217">
        <f>+(((Tabla46782[[#This Row],[CVA2]]*Tabla46782[[#This Row],[f2]])-Tabla46782[[#This Row],[CVN2]])/100)*Tabla46782[[#This Row],[L2]]</f>
        <v>123854.9676</v>
      </c>
      <c r="BI122" s="218"/>
      <c r="BJ122" s="218"/>
      <c r="BK122" s="218" t="str">
        <f>+IF(Tabla46782[[#This Row],[F3]]=Tabla46782[[#This Row],[f2]], "IGUAL", "DISTINTO")</f>
        <v>IGUAL</v>
      </c>
      <c r="BL122" s="218" t="str">
        <f>+IF(Tabla46782[[#This Row],[CVN]]=Tabla46782[[#This Row],[CVN2]], "IGUAL", "DISTINTO")</f>
        <v>DISTINTO</v>
      </c>
      <c r="BM122" s="219" t="str">
        <f>+IF(Tabla46782[[#This Row],[L]]=Tabla46782[[#This Row],[L2]], "IGUAL", "DISTINTO")</f>
        <v>DISTINTO</v>
      </c>
    </row>
    <row r="123" spans="1:65" x14ac:dyDescent="0.25">
      <c r="A123">
        <v>120</v>
      </c>
      <c r="B123" s="202" t="s">
        <v>892</v>
      </c>
      <c r="C123" s="203" t="s">
        <v>893</v>
      </c>
      <c r="D123" s="203" t="s">
        <v>128</v>
      </c>
      <c r="E123" s="203" t="s">
        <v>78</v>
      </c>
      <c r="F123" s="203" t="s">
        <v>78</v>
      </c>
      <c r="G123" s="203" t="s">
        <v>128</v>
      </c>
      <c r="H123" s="203" t="s">
        <v>72</v>
      </c>
      <c r="I123" s="203" t="s">
        <v>72</v>
      </c>
      <c r="J123" s="203" t="s">
        <v>72</v>
      </c>
      <c r="K123" s="203"/>
      <c r="L123" s="203" t="s">
        <v>249</v>
      </c>
      <c r="M123" s="203" t="s">
        <v>72</v>
      </c>
      <c r="N123" s="203"/>
      <c r="O123" s="203" t="s">
        <v>73</v>
      </c>
      <c r="P123" s="203" t="s">
        <v>200</v>
      </c>
      <c r="Q123" s="203" t="s">
        <v>201</v>
      </c>
      <c r="R123" s="203" t="s">
        <v>76</v>
      </c>
      <c r="S123" s="209">
        <v>42747</v>
      </c>
      <c r="T123" s="205">
        <v>45169</v>
      </c>
      <c r="U123" s="205">
        <f>VLOOKUP(Tabla46782[[#This Row],[Matricula]],BAJA2022202320242025!$B$3:$CR$245,95,FALSE)</f>
        <v>45169</v>
      </c>
      <c r="V123" s="206">
        <v>2422</v>
      </c>
      <c r="W123" s="207">
        <v>2023</v>
      </c>
      <c r="X123" s="203" t="s">
        <v>77</v>
      </c>
      <c r="Y123" s="203" t="s">
        <v>78</v>
      </c>
      <c r="Z123" s="203" t="s">
        <v>359</v>
      </c>
      <c r="AA123" s="203" t="s">
        <v>894</v>
      </c>
      <c r="AB123" s="203" t="s">
        <v>584</v>
      </c>
      <c r="AC123" s="203" t="s">
        <v>585</v>
      </c>
      <c r="AD123" s="203" t="s">
        <v>895</v>
      </c>
      <c r="AE123" s="208">
        <v>9</v>
      </c>
      <c r="AF123" s="208" t="s">
        <v>896</v>
      </c>
      <c r="AG123" s="208" t="s">
        <v>85</v>
      </c>
      <c r="AH123" s="208" t="s">
        <v>86</v>
      </c>
      <c r="AI123" s="208" t="s">
        <v>87</v>
      </c>
      <c r="AJ123" s="208" t="s">
        <v>897</v>
      </c>
      <c r="AK123" s="205" t="s">
        <v>89</v>
      </c>
      <c r="AL123" s="204">
        <v>45649</v>
      </c>
      <c r="AM123" s="208">
        <v>1</v>
      </c>
      <c r="AN123" s="209" t="s">
        <v>584</v>
      </c>
      <c r="AO123" s="209" t="s">
        <v>898</v>
      </c>
      <c r="AP123" s="209" t="s">
        <v>585</v>
      </c>
      <c r="AQ123" s="209"/>
      <c r="AR123" s="209" t="s">
        <v>72</v>
      </c>
      <c r="AS123" s="209" t="s">
        <v>91</v>
      </c>
      <c r="AT123" s="209" t="s">
        <v>899</v>
      </c>
      <c r="AU123" s="210">
        <v>5.6</v>
      </c>
      <c r="AV123" s="211">
        <v>10</v>
      </c>
      <c r="AW123" s="212">
        <v>17.3</v>
      </c>
      <c r="AX123" s="213">
        <v>15815</v>
      </c>
      <c r="AY123" s="213">
        <v>6120.4049999999997</v>
      </c>
      <c r="AZ123" s="210" t="s">
        <v>128</v>
      </c>
      <c r="BA123" s="209" t="s">
        <v>93</v>
      </c>
      <c r="BB123" s="214" t="str">
        <f>+IF(Tabla46782[[#This Row],[TIPO VEHÍCULO]]=Tabla46782[[#This Row],[Columna2]], "IGUAL", "DISTINTO")</f>
        <v>IGUAL</v>
      </c>
      <c r="BC123" s="214" t="str">
        <f>+IF(Tabla46782[[#This Row],[Columna4]]=Tabla46782[[#This Row],[Combustible2]], "IGUAL", "DISTINTO")</f>
        <v>IGUAL</v>
      </c>
      <c r="BD123" s="215" cm="1">
        <f t="array" ref="BD123">IFERROR(INDEX('[1]Anexos FICHA TRA050'!$D$27:$D$44, MATCH(Tabla46782[[#This Row],[Columna5]]&amp;Tabla46782[[#This Row],[Columna4]], '[1]Anexos FICHA TRA050'!$E$27:$E$44&amp;'[1]Anexos FICHA TRA050'!$F$27:$F$44, 0)), "")</f>
        <v>5.63</v>
      </c>
      <c r="BE123" s="215">
        <f>IFERROR(INDEX('[1]Anexos FICHA TRA050'!$B$4:$B$7, MATCH(Tabla46782[[#This Row],[Columna4]], '[1]Anexos FICHA TRA050'!$C$4:$C$7, 0)), "")</f>
        <v>10</v>
      </c>
      <c r="BF123" s="215">
        <f>IFERROR(INDEX('[1]Anexos FICHA TRA050'!$C$14:$C$22, MATCH(Tabla46782[[#This Row],[Columna5]], '[1]Anexos FICHA TRA050'!$D$14:$D$22, 0)), "")</f>
        <v>20.84</v>
      </c>
      <c r="BG123" s="216">
        <f>IFERROR(INDEX('[1]Anexos FICHA TRA050'!$C$49:$C$54, MATCH(Tabla46782[[#This Row],[Columna5]], '[1]Anexos FICHA TRA050'!$D$49:$D$54, 0)), "")</f>
        <v>15815</v>
      </c>
      <c r="BH123" s="217">
        <f>+(((Tabla46782[[#This Row],[CVA2]]*Tabla46782[[#This Row],[f2]])-Tabla46782[[#This Row],[CVN2]])/100)*Tabla46782[[#This Row],[L2]]</f>
        <v>5607.9989999999989</v>
      </c>
      <c r="BI123" s="218"/>
      <c r="BJ123" s="218"/>
      <c r="BK123" s="218" t="str">
        <f>+IF(Tabla46782[[#This Row],[F3]]=Tabla46782[[#This Row],[f2]], "IGUAL", "DISTINTO")</f>
        <v>IGUAL</v>
      </c>
      <c r="BL123" s="218" t="str">
        <f>+IF(Tabla46782[[#This Row],[CVN]]=Tabla46782[[#This Row],[CVN2]], "IGUAL", "DISTINTO")</f>
        <v>DISTINTO</v>
      </c>
      <c r="BM123" s="219" t="str">
        <f>+IF(Tabla46782[[#This Row],[L]]=Tabla46782[[#This Row],[L2]], "IGUAL", "DISTINTO")</f>
        <v>IGUAL</v>
      </c>
    </row>
    <row r="124" spans="1:65" x14ac:dyDescent="0.25">
      <c r="A124">
        <v>121</v>
      </c>
      <c r="B124" s="202" t="s">
        <v>900</v>
      </c>
      <c r="C124" s="203" t="s">
        <v>901</v>
      </c>
      <c r="D124" s="203" t="s">
        <v>70</v>
      </c>
      <c r="E124" s="203" t="s">
        <v>78</v>
      </c>
      <c r="F124" s="203" t="s">
        <v>78</v>
      </c>
      <c r="G124" s="203" t="s">
        <v>70</v>
      </c>
      <c r="H124" s="203"/>
      <c r="I124" s="203" t="s">
        <v>72</v>
      </c>
      <c r="J124" s="203" t="s">
        <v>72</v>
      </c>
      <c r="K124" s="203"/>
      <c r="L124" s="203"/>
      <c r="M124" s="203"/>
      <c r="N124" s="203"/>
      <c r="O124" s="203" t="s">
        <v>466</v>
      </c>
      <c r="P124" s="203" t="s">
        <v>200</v>
      </c>
      <c r="Q124" s="203" t="s">
        <v>201</v>
      </c>
      <c r="R124" s="203" t="s">
        <v>76</v>
      </c>
      <c r="S124" s="209">
        <v>44203</v>
      </c>
      <c r="T124" s="205">
        <v>45664</v>
      </c>
      <c r="U124" s="205">
        <f>VLOOKUP(Tabla46782[[#This Row],[Matricula]],BAJA2022202320242025!$B$3:$CR$245,95,FALSE)</f>
        <v>45680</v>
      </c>
      <c r="V124" s="206">
        <v>1461</v>
      </c>
      <c r="W124" s="207">
        <v>2025</v>
      </c>
      <c r="X124" s="203" t="s">
        <v>77</v>
      </c>
      <c r="Y124" s="203" t="s">
        <v>78</v>
      </c>
      <c r="Z124" s="203" t="s">
        <v>467</v>
      </c>
      <c r="AA124" s="203" t="s">
        <v>902</v>
      </c>
      <c r="AB124" s="203" t="s">
        <v>119</v>
      </c>
      <c r="AC124" s="203" t="s">
        <v>120</v>
      </c>
      <c r="AD124" s="203" t="s">
        <v>776</v>
      </c>
      <c r="AE124" s="208">
        <v>21</v>
      </c>
      <c r="AF124" s="208" t="s">
        <v>903</v>
      </c>
      <c r="AG124" s="208" t="s">
        <v>85</v>
      </c>
      <c r="AH124" s="208" t="s">
        <v>86</v>
      </c>
      <c r="AI124" s="208" t="s">
        <v>87</v>
      </c>
      <c r="AJ124" s="208" t="s">
        <v>617</v>
      </c>
      <c r="AK124" s="205" t="s">
        <v>89</v>
      </c>
      <c r="AL124" s="204">
        <v>45645</v>
      </c>
      <c r="AM124" s="208">
        <v>-1</v>
      </c>
      <c r="AN124" s="209" t="s">
        <v>119</v>
      </c>
      <c r="AO124" s="209" t="s">
        <v>904</v>
      </c>
      <c r="AP124" s="209" t="s">
        <v>120</v>
      </c>
      <c r="AQ124" s="209"/>
      <c r="AR124" s="209" t="s">
        <v>72</v>
      </c>
      <c r="AS124" s="209" t="s">
        <v>91</v>
      </c>
      <c r="AT124" s="209" t="s">
        <v>905</v>
      </c>
      <c r="AU124" s="210">
        <v>5.6</v>
      </c>
      <c r="AV124" s="211">
        <v>10</v>
      </c>
      <c r="AW124" s="212">
        <v>17.3</v>
      </c>
      <c r="AX124" s="213">
        <v>15815</v>
      </c>
      <c r="AY124" s="213">
        <v>6120.4049999999997</v>
      </c>
      <c r="AZ124" s="210" t="s">
        <v>128</v>
      </c>
      <c r="BA124" s="209" t="s">
        <v>255</v>
      </c>
      <c r="BB124" s="214" t="str">
        <f>+IF(Tabla46782[[#This Row],[TIPO VEHÍCULO]]=Tabla46782[[#This Row],[Columna2]], "IGUAL", "DISTINTO")</f>
        <v>DISTINTO</v>
      </c>
      <c r="BC124" s="214" t="str">
        <f>+IF(Tabla46782[[#This Row],[Columna4]]=Tabla46782[[#This Row],[Combustible2]], "IGUAL", "DISTINTO")</f>
        <v>IGUAL</v>
      </c>
      <c r="BD124" s="215" cm="1">
        <f t="array" ref="BD124">IFERROR(INDEX('[1]Anexos FICHA TRA050'!$D$27:$D$44, MATCH(Tabla46782[[#This Row],[Columna5]]&amp;Tabla46782[[#This Row],[Columna4]], '[1]Anexos FICHA TRA050'!$E$27:$E$44&amp;'[1]Anexos FICHA TRA050'!$F$27:$F$44, 0)), "")</f>
        <v>6.99</v>
      </c>
      <c r="BE124" s="215">
        <f>IFERROR(INDEX('[1]Anexos FICHA TRA050'!$B$4:$B$7, MATCH(Tabla46782[[#This Row],[Columna4]], '[1]Anexos FICHA TRA050'!$C$4:$C$7, 0)), "")</f>
        <v>10</v>
      </c>
      <c r="BF124" s="215">
        <f>IFERROR(INDEX('[1]Anexos FICHA TRA050'!$C$14:$C$22, MATCH(Tabla46782[[#This Row],[Columna5]], '[1]Anexos FICHA TRA050'!$D$14:$D$22, 0)), "")</f>
        <v>17.920000000000002</v>
      </c>
      <c r="BG124" s="216">
        <f>IFERROR(INDEX('[1]Anexos FICHA TRA050'!$C$49:$C$54, MATCH(Tabla46782[[#This Row],[Columna5]], '[1]Anexos FICHA TRA050'!$D$49:$D$54, 0)), "")</f>
        <v>13073</v>
      </c>
      <c r="BH124" s="217">
        <f>+(((Tabla46782[[#This Row],[CVA2]]*Tabla46782[[#This Row],[f2]])-Tabla46782[[#This Row],[CVN2]])/100)*Tabla46782[[#This Row],[L2]]</f>
        <v>6795.3454000000002</v>
      </c>
      <c r="BI124" s="218"/>
      <c r="BJ124" s="218"/>
      <c r="BK124" s="218" t="str">
        <f>+IF(Tabla46782[[#This Row],[F3]]=Tabla46782[[#This Row],[f2]], "IGUAL", "DISTINTO")</f>
        <v>IGUAL</v>
      </c>
      <c r="BL124" s="218" t="str">
        <f>+IF(Tabla46782[[#This Row],[CVN]]=Tabla46782[[#This Row],[CVN2]], "IGUAL", "DISTINTO")</f>
        <v>DISTINTO</v>
      </c>
      <c r="BM124" s="219" t="str">
        <f>+IF(Tabla46782[[#This Row],[L]]=Tabla46782[[#This Row],[L2]], "IGUAL", "DISTINTO")</f>
        <v>DISTINTO</v>
      </c>
    </row>
    <row r="125" spans="1:65" x14ac:dyDescent="0.25">
      <c r="A125">
        <v>122</v>
      </c>
      <c r="B125" s="202" t="s">
        <v>906</v>
      </c>
      <c r="C125" s="203" t="s">
        <v>907</v>
      </c>
      <c r="D125" s="203" t="s">
        <v>70</v>
      </c>
      <c r="E125" s="203" t="s">
        <v>71</v>
      </c>
      <c r="F125" s="203" t="s">
        <v>71</v>
      </c>
      <c r="G125" s="203" t="s">
        <v>70</v>
      </c>
      <c r="H125" s="203" t="s">
        <v>72</v>
      </c>
      <c r="I125" s="203"/>
      <c r="J125" s="203" t="s">
        <v>72</v>
      </c>
      <c r="K125" s="203"/>
      <c r="L125" s="203"/>
      <c r="M125" s="203"/>
      <c r="N125" s="203"/>
      <c r="O125" s="203" t="s">
        <v>73</v>
      </c>
      <c r="P125" s="203" t="s">
        <v>74</v>
      </c>
      <c r="Q125" s="203" t="s">
        <v>75</v>
      </c>
      <c r="R125" s="203" t="s">
        <v>76</v>
      </c>
      <c r="S125" s="204">
        <v>44392</v>
      </c>
      <c r="T125" s="205">
        <v>45230</v>
      </c>
      <c r="U125" s="205">
        <f>VLOOKUP(Tabla46782[[#This Row],[Matricula]],BAJA2022202320242025!$B$3:$CR$245,95,FALSE)</f>
        <v>45230</v>
      </c>
      <c r="V125" s="206">
        <v>838</v>
      </c>
      <c r="W125" s="207">
        <v>2023</v>
      </c>
      <c r="X125" s="203" t="s">
        <v>77</v>
      </c>
      <c r="Y125" s="203" t="s">
        <v>71</v>
      </c>
      <c r="Z125" s="203" t="s">
        <v>79</v>
      </c>
      <c r="AA125" s="203" t="s">
        <v>879</v>
      </c>
      <c r="AB125" s="203" t="s">
        <v>336</v>
      </c>
      <c r="AC125" s="203" t="s">
        <v>337</v>
      </c>
      <c r="AD125" s="203" t="s">
        <v>880</v>
      </c>
      <c r="AE125" s="208">
        <v>12</v>
      </c>
      <c r="AF125" s="208" t="s">
        <v>908</v>
      </c>
      <c r="AG125" s="208" t="s">
        <v>85</v>
      </c>
      <c r="AH125" s="208" t="s">
        <v>114</v>
      </c>
      <c r="AI125" s="208" t="s">
        <v>87</v>
      </c>
      <c r="AJ125" s="208" t="s">
        <v>909</v>
      </c>
      <c r="AK125" s="205" t="s">
        <v>108</v>
      </c>
      <c r="AL125" s="204">
        <v>45282</v>
      </c>
      <c r="AM125" s="208">
        <v>0</v>
      </c>
      <c r="AN125" s="209" t="s">
        <v>336</v>
      </c>
      <c r="AO125" s="210">
        <v>4500389150</v>
      </c>
      <c r="AP125" s="209" t="s">
        <v>337</v>
      </c>
      <c r="AQ125" s="209"/>
      <c r="AR125" s="209" t="s">
        <v>72</v>
      </c>
      <c r="AS125" s="209" t="s">
        <v>91</v>
      </c>
      <c r="AT125" s="209" t="s">
        <v>910</v>
      </c>
      <c r="AU125" s="210">
        <v>5.0999999999999996</v>
      </c>
      <c r="AV125" s="211">
        <v>9.19</v>
      </c>
      <c r="AW125" s="212">
        <v>17.3</v>
      </c>
      <c r="AX125" s="213">
        <v>13073</v>
      </c>
      <c r="AY125" s="213">
        <v>3865.5553699999987</v>
      </c>
      <c r="AZ125" s="210" t="s">
        <v>70</v>
      </c>
      <c r="BA125" s="209" t="s">
        <v>255</v>
      </c>
      <c r="BB125" s="214" t="str">
        <f>+IF(Tabla46782[[#This Row],[TIPO VEHÍCULO]]=Tabla46782[[#This Row],[Columna2]], "IGUAL", "DISTINTO")</f>
        <v>IGUAL</v>
      </c>
      <c r="BC125" s="214" t="str">
        <f>+IF(Tabla46782[[#This Row],[Columna4]]=Tabla46782[[#This Row],[Combustible2]], "IGUAL", "DISTINTO")</f>
        <v>IGUAL</v>
      </c>
      <c r="BD125" s="215" cm="1">
        <f t="array" ref="BD125">IFERROR(INDEX('[1]Anexos FICHA TRA050'!$D$27:$D$44, MATCH(Tabla46782[[#This Row],[Columna5]]&amp;Tabla46782[[#This Row],[Columna4]], '[1]Anexos FICHA TRA050'!$E$27:$E$44&amp;'[1]Anexos FICHA TRA050'!$F$27:$F$44, 0)), "")</f>
        <v>7.89</v>
      </c>
      <c r="BE125" s="215">
        <f>IFERROR(INDEX('[1]Anexos FICHA TRA050'!$B$4:$B$7, MATCH(Tabla46782[[#This Row],[Columna4]], '[1]Anexos FICHA TRA050'!$C$4:$C$7, 0)), "")</f>
        <v>9.19</v>
      </c>
      <c r="BF125" s="215">
        <f>IFERROR(INDEX('[1]Anexos FICHA TRA050'!$C$14:$C$22, MATCH(Tabla46782[[#This Row],[Columna5]], '[1]Anexos FICHA TRA050'!$D$14:$D$22, 0)), "")</f>
        <v>17.920000000000002</v>
      </c>
      <c r="BG125" s="216">
        <f>IFERROR(INDEX('[1]Anexos FICHA TRA050'!$C$49:$C$54, MATCH(Tabla46782[[#This Row],[Columna5]], '[1]Anexos FICHA TRA050'!$D$49:$D$54, 0)), "")</f>
        <v>13073</v>
      </c>
      <c r="BH125" s="217">
        <f>+(((Tabla46782[[#This Row],[CVA2]]*Tabla46782[[#This Row],[f2]])-Tabla46782[[#This Row],[CVN2]])/100)*Tabla46782[[#This Row],[L2]]</f>
        <v>7136.4330429999991</v>
      </c>
      <c r="BI125" s="218"/>
      <c r="BJ125" s="218"/>
      <c r="BK125" s="218" t="str">
        <f>+IF(Tabla46782[[#This Row],[F3]]=Tabla46782[[#This Row],[f2]], "IGUAL", "DISTINTO")</f>
        <v>IGUAL</v>
      </c>
      <c r="BL125" s="218" t="str">
        <f>+IF(Tabla46782[[#This Row],[CVN]]=Tabla46782[[#This Row],[CVN2]], "IGUAL", "DISTINTO")</f>
        <v>DISTINTO</v>
      </c>
      <c r="BM125" s="219" t="str">
        <f>+IF(Tabla46782[[#This Row],[L]]=Tabla46782[[#This Row],[L2]], "IGUAL", "DISTINTO")</f>
        <v>IGUAL</v>
      </c>
    </row>
    <row r="126" spans="1:65" x14ac:dyDescent="0.25">
      <c r="A126">
        <v>123</v>
      </c>
      <c r="B126" s="202" t="s">
        <v>911</v>
      </c>
      <c r="C126" s="203" t="s">
        <v>912</v>
      </c>
      <c r="D126" s="203" t="s">
        <v>70</v>
      </c>
      <c r="E126" s="203" t="s">
        <v>71</v>
      </c>
      <c r="F126" s="203" t="s">
        <v>71</v>
      </c>
      <c r="G126" s="203" t="s">
        <v>70</v>
      </c>
      <c r="H126" s="203" t="s">
        <v>72</v>
      </c>
      <c r="I126" s="203"/>
      <c r="J126" s="203" t="s">
        <v>72</v>
      </c>
      <c r="K126" s="203"/>
      <c r="L126" s="203"/>
      <c r="M126" s="203"/>
      <c r="N126" s="203"/>
      <c r="O126" s="203" t="s">
        <v>73</v>
      </c>
      <c r="P126" s="203" t="s">
        <v>74</v>
      </c>
      <c r="Q126" s="203" t="s">
        <v>75</v>
      </c>
      <c r="R126" s="203" t="s">
        <v>76</v>
      </c>
      <c r="S126" s="204">
        <v>44411</v>
      </c>
      <c r="T126" s="205">
        <v>45233</v>
      </c>
      <c r="U126" s="205">
        <f>VLOOKUP(Tabla46782[[#This Row],[Matricula]],BAJA2022202320242025!$B$3:$CR$245,95,FALSE)</f>
        <v>45233</v>
      </c>
      <c r="V126" s="206">
        <v>822</v>
      </c>
      <c r="W126" s="207">
        <v>2023</v>
      </c>
      <c r="X126" s="203" t="s">
        <v>77</v>
      </c>
      <c r="Y126" s="203" t="s">
        <v>71</v>
      </c>
      <c r="Z126" s="203" t="s">
        <v>79</v>
      </c>
      <c r="AA126" s="203" t="s">
        <v>879</v>
      </c>
      <c r="AB126" s="203" t="s">
        <v>336</v>
      </c>
      <c r="AC126" s="203" t="s">
        <v>337</v>
      </c>
      <c r="AD126" s="203" t="s">
        <v>880</v>
      </c>
      <c r="AE126" s="208">
        <v>13</v>
      </c>
      <c r="AF126" s="208" t="s">
        <v>913</v>
      </c>
      <c r="AG126" s="208" t="s">
        <v>85</v>
      </c>
      <c r="AH126" s="208" t="s">
        <v>340</v>
      </c>
      <c r="AI126" s="208" t="s">
        <v>87</v>
      </c>
      <c r="AJ126" s="208" t="s">
        <v>382</v>
      </c>
      <c r="AK126" s="205" t="s">
        <v>89</v>
      </c>
      <c r="AL126" s="204">
        <v>45481</v>
      </c>
      <c r="AM126" s="208">
        <v>1</v>
      </c>
      <c r="AN126" s="209" t="s">
        <v>336</v>
      </c>
      <c r="AO126" s="209" t="s">
        <v>914</v>
      </c>
      <c r="AP126" s="209" t="s">
        <v>337</v>
      </c>
      <c r="AQ126" s="209"/>
      <c r="AR126" s="209" t="s">
        <v>72</v>
      </c>
      <c r="AS126" s="209" t="s">
        <v>91</v>
      </c>
      <c r="AT126" s="209" t="s">
        <v>915</v>
      </c>
      <c r="AU126" s="210">
        <v>5.0999999999999996</v>
      </c>
      <c r="AV126" s="211">
        <v>9.19</v>
      </c>
      <c r="AW126" s="212">
        <v>13.3</v>
      </c>
      <c r="AX126" s="213">
        <v>13073</v>
      </c>
      <c r="AY126" s="213">
        <v>4388.4753699999983</v>
      </c>
      <c r="AZ126" s="210" t="s">
        <v>70</v>
      </c>
      <c r="BA126" s="209" t="s">
        <v>255</v>
      </c>
      <c r="BB126" s="214" t="str">
        <f>+IF(Tabla46782[[#This Row],[TIPO VEHÍCULO]]=Tabla46782[[#This Row],[Columna2]], "IGUAL", "DISTINTO")</f>
        <v>IGUAL</v>
      </c>
      <c r="BC126" s="214" t="str">
        <f>+IF(Tabla46782[[#This Row],[Columna4]]=Tabla46782[[#This Row],[Combustible2]], "IGUAL", "DISTINTO")</f>
        <v>IGUAL</v>
      </c>
      <c r="BD126" s="215" cm="1">
        <f t="array" ref="BD126">IFERROR(INDEX('[1]Anexos FICHA TRA050'!$D$27:$D$44, MATCH(Tabla46782[[#This Row],[Columna5]]&amp;Tabla46782[[#This Row],[Columna4]], '[1]Anexos FICHA TRA050'!$E$27:$E$44&amp;'[1]Anexos FICHA TRA050'!$F$27:$F$44, 0)), "")</f>
        <v>7.89</v>
      </c>
      <c r="BE126" s="215">
        <f>IFERROR(INDEX('[1]Anexos FICHA TRA050'!$B$4:$B$7, MATCH(Tabla46782[[#This Row],[Columna4]], '[1]Anexos FICHA TRA050'!$C$4:$C$7, 0)), "")</f>
        <v>9.19</v>
      </c>
      <c r="BF126" s="215">
        <f>IFERROR(INDEX('[1]Anexos FICHA TRA050'!$C$14:$C$22, MATCH(Tabla46782[[#This Row],[Columna5]], '[1]Anexos FICHA TRA050'!$D$14:$D$22, 0)), "")</f>
        <v>17.920000000000002</v>
      </c>
      <c r="BG126" s="216">
        <f>IFERROR(INDEX('[1]Anexos FICHA TRA050'!$C$49:$C$54, MATCH(Tabla46782[[#This Row],[Columna5]], '[1]Anexos FICHA TRA050'!$D$49:$D$54, 0)), "")</f>
        <v>13073</v>
      </c>
      <c r="BH126" s="217">
        <f>+(((Tabla46782[[#This Row],[CVA2]]*Tabla46782[[#This Row],[f2]])-Tabla46782[[#This Row],[CVN2]])/100)*Tabla46782[[#This Row],[L2]]</f>
        <v>7136.4330429999991</v>
      </c>
      <c r="BI126" s="218"/>
      <c r="BJ126" s="218"/>
      <c r="BK126" s="218" t="str">
        <f>+IF(Tabla46782[[#This Row],[F3]]=Tabla46782[[#This Row],[f2]], "IGUAL", "DISTINTO")</f>
        <v>IGUAL</v>
      </c>
      <c r="BL126" s="218" t="str">
        <f>+IF(Tabla46782[[#This Row],[CVN]]=Tabla46782[[#This Row],[CVN2]], "IGUAL", "DISTINTO")</f>
        <v>DISTINTO</v>
      </c>
      <c r="BM126" s="219" t="str">
        <f>+IF(Tabla46782[[#This Row],[L]]=Tabla46782[[#This Row],[L2]], "IGUAL", "DISTINTO")</f>
        <v>IGUAL</v>
      </c>
    </row>
    <row r="127" spans="1:65" x14ac:dyDescent="0.25">
      <c r="A127">
        <v>124</v>
      </c>
      <c r="B127" s="202" t="s">
        <v>916</v>
      </c>
      <c r="C127" s="203" t="s">
        <v>917</v>
      </c>
      <c r="D127" s="203" t="s">
        <v>70</v>
      </c>
      <c r="E127" s="203" t="s">
        <v>78</v>
      </c>
      <c r="F127" s="203" t="s">
        <v>78</v>
      </c>
      <c r="G127" s="203" t="s">
        <v>128</v>
      </c>
      <c r="H127" s="203" t="s">
        <v>72</v>
      </c>
      <c r="I127" s="203"/>
      <c r="J127" s="203" t="s">
        <v>72</v>
      </c>
      <c r="K127" s="203"/>
      <c r="L127" s="203"/>
      <c r="M127" s="203"/>
      <c r="N127" s="203"/>
      <c r="O127" s="203" t="s">
        <v>129</v>
      </c>
      <c r="P127" s="203" t="s">
        <v>74</v>
      </c>
      <c r="Q127" s="203" t="s">
        <v>75</v>
      </c>
      <c r="R127" s="203" t="s">
        <v>76</v>
      </c>
      <c r="S127" s="204">
        <v>44260</v>
      </c>
      <c r="T127" s="205">
        <v>44966</v>
      </c>
      <c r="U127" s="205">
        <f>VLOOKUP(Tabla46782[[#This Row],[Matricula]],BAJA2022202320242025!$B$3:$CR$245,95,FALSE)</f>
        <v>44966</v>
      </c>
      <c r="V127" s="206">
        <v>706</v>
      </c>
      <c r="W127" s="207">
        <v>2023</v>
      </c>
      <c r="X127" s="203" t="s">
        <v>77</v>
      </c>
      <c r="Y127" s="203" t="s">
        <v>78</v>
      </c>
      <c r="Z127" s="203" t="s">
        <v>79</v>
      </c>
      <c r="AA127" s="203" t="s">
        <v>918</v>
      </c>
      <c r="AB127" s="203" t="s">
        <v>131</v>
      </c>
      <c r="AC127" s="203" t="s">
        <v>132</v>
      </c>
      <c r="AD127" s="203" t="s">
        <v>133</v>
      </c>
      <c r="AE127" s="208">
        <v>12</v>
      </c>
      <c r="AF127" s="208" t="s">
        <v>919</v>
      </c>
      <c r="AG127" s="208" t="s">
        <v>140</v>
      </c>
      <c r="AH127" s="208" t="s">
        <v>151</v>
      </c>
      <c r="AI127" s="208" t="s">
        <v>87</v>
      </c>
      <c r="AJ127" s="208" t="s">
        <v>316</v>
      </c>
      <c r="AK127" s="205" t="s">
        <v>89</v>
      </c>
      <c r="AL127" s="204">
        <v>45622</v>
      </c>
      <c r="AM127" s="208">
        <v>1</v>
      </c>
      <c r="AN127" s="209" t="s">
        <v>131</v>
      </c>
      <c r="AO127" s="209" t="s">
        <v>920</v>
      </c>
      <c r="AP127" s="209" t="s">
        <v>132</v>
      </c>
      <c r="AQ127" s="209"/>
      <c r="AR127" s="209" t="s">
        <v>72</v>
      </c>
      <c r="AS127" s="209" t="s">
        <v>91</v>
      </c>
      <c r="AT127" s="209" t="s">
        <v>921</v>
      </c>
      <c r="AU127" s="210">
        <v>5.6</v>
      </c>
      <c r="AV127" s="211">
        <v>10</v>
      </c>
      <c r="AW127" s="212">
        <v>16.399999999999999</v>
      </c>
      <c r="AX127" s="213">
        <v>15815</v>
      </c>
      <c r="AY127" s="213">
        <v>6262.7400000000007</v>
      </c>
      <c r="AZ127" s="210" t="s">
        <v>128</v>
      </c>
      <c r="BA127" s="209" t="s">
        <v>255</v>
      </c>
      <c r="BB127" s="214" t="str">
        <f>+IF(Tabla46782[[#This Row],[TIPO VEHÍCULO]]=Tabla46782[[#This Row],[Columna2]], "IGUAL", "DISTINTO")</f>
        <v>DISTINTO</v>
      </c>
      <c r="BC127" s="214" t="str">
        <f>+IF(Tabla46782[[#This Row],[Columna4]]=Tabla46782[[#This Row],[Combustible2]], "IGUAL", "DISTINTO")</f>
        <v>IGUAL</v>
      </c>
      <c r="BD127" s="215" cm="1">
        <f t="array" ref="BD127">IFERROR(INDEX('[1]Anexos FICHA TRA050'!$D$27:$D$44, MATCH(Tabla46782[[#This Row],[Columna5]]&amp;Tabla46782[[#This Row],[Columna4]], '[1]Anexos FICHA TRA050'!$E$27:$E$44&amp;'[1]Anexos FICHA TRA050'!$F$27:$F$44, 0)), "")</f>
        <v>5.63</v>
      </c>
      <c r="BE127" s="215">
        <f>IFERROR(INDEX('[1]Anexos FICHA TRA050'!$B$4:$B$7, MATCH(Tabla46782[[#This Row],[Columna4]], '[1]Anexos FICHA TRA050'!$C$4:$C$7, 0)), "")</f>
        <v>10</v>
      </c>
      <c r="BF127" s="215">
        <f>IFERROR(INDEX('[1]Anexos FICHA TRA050'!$C$14:$C$22, MATCH(Tabla46782[[#This Row],[Columna5]], '[1]Anexos FICHA TRA050'!$D$14:$D$22, 0)), "")</f>
        <v>20.84</v>
      </c>
      <c r="BG127" s="216">
        <f>IFERROR(INDEX('[1]Anexos FICHA TRA050'!$C$49:$C$54, MATCH(Tabla46782[[#This Row],[Columna5]], '[1]Anexos FICHA TRA050'!$D$49:$D$54, 0)), "")</f>
        <v>15815</v>
      </c>
      <c r="BH127" s="217">
        <f>+(((Tabla46782[[#This Row],[CVA2]]*Tabla46782[[#This Row],[f2]])-Tabla46782[[#This Row],[CVN2]])/100)*Tabla46782[[#This Row],[L2]]</f>
        <v>5607.9989999999989</v>
      </c>
      <c r="BI127" s="218"/>
      <c r="BJ127" s="218"/>
      <c r="BK127" s="218" t="str">
        <f>+IF(Tabla46782[[#This Row],[F3]]=Tabla46782[[#This Row],[f2]], "IGUAL", "DISTINTO")</f>
        <v>IGUAL</v>
      </c>
      <c r="BL127" s="218" t="str">
        <f>+IF(Tabla46782[[#This Row],[CVN]]=Tabla46782[[#This Row],[CVN2]], "IGUAL", "DISTINTO")</f>
        <v>DISTINTO</v>
      </c>
      <c r="BM127" s="219" t="str">
        <f>+IF(Tabla46782[[#This Row],[L]]=Tabla46782[[#This Row],[L2]], "IGUAL", "DISTINTO")</f>
        <v>IGUAL</v>
      </c>
    </row>
    <row r="128" spans="1:65" x14ac:dyDescent="0.25">
      <c r="A128">
        <v>125</v>
      </c>
      <c r="B128" s="202" t="s">
        <v>922</v>
      </c>
      <c r="C128" s="203" t="s">
        <v>923</v>
      </c>
      <c r="D128" s="203" t="s">
        <v>128</v>
      </c>
      <c r="E128" s="203" t="s">
        <v>78</v>
      </c>
      <c r="F128" s="203" t="s">
        <v>78</v>
      </c>
      <c r="G128" s="203" t="s">
        <v>128</v>
      </c>
      <c r="H128" s="203" t="s">
        <v>72</v>
      </c>
      <c r="I128" s="203"/>
      <c r="J128" s="203" t="s">
        <v>72</v>
      </c>
      <c r="K128" s="203"/>
      <c r="L128" s="203" t="s">
        <v>249</v>
      </c>
      <c r="M128" s="203" t="s">
        <v>249</v>
      </c>
      <c r="N128" s="203"/>
      <c r="O128" s="203" t="s">
        <v>73</v>
      </c>
      <c r="P128" s="203" t="s">
        <v>200</v>
      </c>
      <c r="Q128" s="203" t="s">
        <v>201</v>
      </c>
      <c r="R128" s="203" t="s">
        <v>160</v>
      </c>
      <c r="S128" s="209">
        <v>44263</v>
      </c>
      <c r="T128" s="205">
        <v>45419</v>
      </c>
      <c r="U128" s="205">
        <f>VLOOKUP(Tabla46782[[#This Row],[Matricula]],BAJA2022202320242025!$B$3:$CR$245,95,FALSE)</f>
        <v>45419</v>
      </c>
      <c r="V128" s="206">
        <v>1156</v>
      </c>
      <c r="W128" s="207">
        <v>2024</v>
      </c>
      <c r="X128" s="203" t="s">
        <v>161</v>
      </c>
      <c r="Y128" s="203" t="s">
        <v>78</v>
      </c>
      <c r="Z128" s="203" t="s">
        <v>79</v>
      </c>
      <c r="AA128" s="203" t="s">
        <v>924</v>
      </c>
      <c r="AB128" s="203" t="s">
        <v>190</v>
      </c>
      <c r="AC128" s="203" t="s">
        <v>191</v>
      </c>
      <c r="AD128" s="203" t="s">
        <v>477</v>
      </c>
      <c r="AE128" s="208">
        <v>9</v>
      </c>
      <c r="AF128" s="208" t="s">
        <v>925</v>
      </c>
      <c r="AG128" s="208" t="s">
        <v>140</v>
      </c>
      <c r="AH128" s="208" t="s">
        <v>151</v>
      </c>
      <c r="AI128" s="208" t="s">
        <v>87</v>
      </c>
      <c r="AJ128" s="208" t="s">
        <v>194</v>
      </c>
      <c r="AK128" s="205" t="s">
        <v>89</v>
      </c>
      <c r="AL128" s="204">
        <v>45625</v>
      </c>
      <c r="AM128" s="208">
        <v>0</v>
      </c>
      <c r="AN128" s="209" t="s">
        <v>190</v>
      </c>
      <c r="AO128" s="209" t="s">
        <v>926</v>
      </c>
      <c r="AP128" s="209" t="s">
        <v>191</v>
      </c>
      <c r="AQ128" s="209"/>
      <c r="AR128" s="209" t="s">
        <v>72</v>
      </c>
      <c r="AS128" s="209" t="s">
        <v>91</v>
      </c>
      <c r="AT128" s="209" t="s">
        <v>927</v>
      </c>
      <c r="AU128" s="210">
        <v>5.6</v>
      </c>
      <c r="AV128" s="211">
        <v>10</v>
      </c>
      <c r="AW128" s="212">
        <v>16.399999999999999</v>
      </c>
      <c r="AX128" s="213">
        <v>15815</v>
      </c>
      <c r="AY128" s="213">
        <v>6262.7400000000007</v>
      </c>
      <c r="AZ128" s="210" t="s">
        <v>128</v>
      </c>
      <c r="BA128" s="209" t="s">
        <v>93</v>
      </c>
      <c r="BB128" s="214" t="str">
        <f>+IF(Tabla46782[[#This Row],[TIPO VEHÍCULO]]=Tabla46782[[#This Row],[Columna2]], "IGUAL", "DISTINTO")</f>
        <v>IGUAL</v>
      </c>
      <c r="BC128" s="214" t="str">
        <f>+IF(Tabla46782[[#This Row],[Columna4]]=Tabla46782[[#This Row],[Combustible2]], "IGUAL", "DISTINTO")</f>
        <v>IGUAL</v>
      </c>
      <c r="BD128" s="215" cm="1">
        <f t="array" ref="BD128">IFERROR(INDEX('[1]Anexos FICHA TRA050'!$D$27:$D$44, MATCH(Tabla46782[[#This Row],[Columna5]]&amp;Tabla46782[[#This Row],[Columna4]], '[1]Anexos FICHA TRA050'!$E$27:$E$44&amp;'[1]Anexos FICHA TRA050'!$F$27:$F$44, 0)), "")</f>
        <v>5.63</v>
      </c>
      <c r="BE128" s="215">
        <f>IFERROR(INDEX('[1]Anexos FICHA TRA050'!$B$4:$B$7, MATCH(Tabla46782[[#This Row],[Columna4]], '[1]Anexos FICHA TRA050'!$C$4:$C$7, 0)), "")</f>
        <v>10</v>
      </c>
      <c r="BF128" s="215">
        <f>IFERROR(INDEX('[1]Anexos FICHA TRA050'!$C$14:$C$22, MATCH(Tabla46782[[#This Row],[Columna5]], '[1]Anexos FICHA TRA050'!$D$14:$D$22, 0)), "")</f>
        <v>20.84</v>
      </c>
      <c r="BG128" s="216">
        <f>IFERROR(INDEX('[1]Anexos FICHA TRA050'!$C$49:$C$54, MATCH(Tabla46782[[#This Row],[Columna5]], '[1]Anexos FICHA TRA050'!$D$49:$D$54, 0)), "")</f>
        <v>15815</v>
      </c>
      <c r="BH128" s="217">
        <f>+(((Tabla46782[[#This Row],[CVA2]]*Tabla46782[[#This Row],[f2]])-Tabla46782[[#This Row],[CVN2]])/100)*Tabla46782[[#This Row],[L2]]</f>
        <v>5607.9989999999989</v>
      </c>
      <c r="BI128" s="218"/>
      <c r="BJ128" s="218"/>
      <c r="BK128" s="218" t="str">
        <f>+IF(Tabla46782[[#This Row],[F3]]=Tabla46782[[#This Row],[f2]], "IGUAL", "DISTINTO")</f>
        <v>IGUAL</v>
      </c>
      <c r="BL128" s="218" t="str">
        <f>+IF(Tabla46782[[#This Row],[CVN]]=Tabla46782[[#This Row],[CVN2]], "IGUAL", "DISTINTO")</f>
        <v>DISTINTO</v>
      </c>
      <c r="BM128" s="219" t="str">
        <f>+IF(Tabla46782[[#This Row],[L]]=Tabla46782[[#This Row],[L2]], "IGUAL", "DISTINTO")</f>
        <v>IGUAL</v>
      </c>
    </row>
    <row r="129" spans="1:65" x14ac:dyDescent="0.25">
      <c r="A129">
        <v>126</v>
      </c>
      <c r="B129" s="202" t="s">
        <v>928</v>
      </c>
      <c r="C129" s="203" t="s">
        <v>929</v>
      </c>
      <c r="D129" s="203" t="s">
        <v>128</v>
      </c>
      <c r="E129" s="203" t="s">
        <v>78</v>
      </c>
      <c r="F129" s="203" t="s">
        <v>78</v>
      </c>
      <c r="G129" s="203" t="s">
        <v>128</v>
      </c>
      <c r="H129" s="203" t="s">
        <v>72</v>
      </c>
      <c r="I129" s="203"/>
      <c r="J129" s="203" t="s">
        <v>72</v>
      </c>
      <c r="K129" s="203"/>
      <c r="L129" s="203" t="s">
        <v>249</v>
      </c>
      <c r="M129" s="203" t="s">
        <v>249</v>
      </c>
      <c r="N129" s="203"/>
      <c r="O129" s="203" t="s">
        <v>73</v>
      </c>
      <c r="P129" s="203" t="s">
        <v>200</v>
      </c>
      <c r="Q129" s="203" t="s">
        <v>201</v>
      </c>
      <c r="R129" s="203" t="s">
        <v>160</v>
      </c>
      <c r="S129" s="209">
        <v>44270</v>
      </c>
      <c r="T129" s="205">
        <v>45731</v>
      </c>
      <c r="U129" s="205">
        <f>VLOOKUP(Tabla46782[[#This Row],[Matricula]],BAJA2022202320242025!$B$3:$CR$245,95,FALSE)</f>
        <v>45583</v>
      </c>
      <c r="V129" s="206">
        <v>1461</v>
      </c>
      <c r="W129" s="207">
        <v>2025</v>
      </c>
      <c r="X129" s="203" t="s">
        <v>161</v>
      </c>
      <c r="Y129" s="203" t="s">
        <v>78</v>
      </c>
      <c r="Z129" s="203" t="s">
        <v>79</v>
      </c>
      <c r="AA129" s="203" t="s">
        <v>924</v>
      </c>
      <c r="AB129" s="203" t="s">
        <v>119</v>
      </c>
      <c r="AC129" s="203" t="s">
        <v>120</v>
      </c>
      <c r="AD129" s="203" t="s">
        <v>419</v>
      </c>
      <c r="AE129" s="208">
        <v>22</v>
      </c>
      <c r="AF129" s="208" t="s">
        <v>930</v>
      </c>
      <c r="AG129" s="208" t="s">
        <v>140</v>
      </c>
      <c r="AH129" s="208" t="s">
        <v>151</v>
      </c>
      <c r="AI129" s="208" t="s">
        <v>87</v>
      </c>
      <c r="AJ129" s="208" t="s">
        <v>617</v>
      </c>
      <c r="AK129" s="205" t="s">
        <v>89</v>
      </c>
      <c r="AL129" s="204">
        <v>45625</v>
      </c>
      <c r="AM129" s="208">
        <v>-1</v>
      </c>
      <c r="AN129" s="209" t="s">
        <v>119</v>
      </c>
      <c r="AO129" s="209" t="s">
        <v>931</v>
      </c>
      <c r="AP129" s="209" t="s">
        <v>120</v>
      </c>
      <c r="AQ129" s="209"/>
      <c r="AR129" s="209" t="s">
        <v>72</v>
      </c>
      <c r="AS129" s="209" t="s">
        <v>91</v>
      </c>
      <c r="AT129" s="209" t="s">
        <v>932</v>
      </c>
      <c r="AU129" s="210">
        <v>5.6</v>
      </c>
      <c r="AV129" s="211">
        <v>10</v>
      </c>
      <c r="AW129" s="212">
        <v>16.399999999999999</v>
      </c>
      <c r="AX129" s="213">
        <v>15815</v>
      </c>
      <c r="AY129" s="213">
        <v>6262.7400000000007</v>
      </c>
      <c r="AZ129" s="210" t="s">
        <v>128</v>
      </c>
      <c r="BA129" s="209" t="s">
        <v>93</v>
      </c>
      <c r="BB129" s="214" t="str">
        <f>+IF(Tabla46782[[#This Row],[TIPO VEHÍCULO]]=Tabla46782[[#This Row],[Columna2]], "IGUAL", "DISTINTO")</f>
        <v>IGUAL</v>
      </c>
      <c r="BC129" s="214" t="str">
        <f>+IF(Tabla46782[[#This Row],[Columna4]]=Tabla46782[[#This Row],[Combustible2]], "IGUAL", "DISTINTO")</f>
        <v>IGUAL</v>
      </c>
      <c r="BD129" s="215" cm="1">
        <f t="array" ref="BD129">IFERROR(INDEX('[1]Anexos FICHA TRA050'!$D$27:$D$44, MATCH(Tabla46782[[#This Row],[Columna5]]&amp;Tabla46782[[#This Row],[Columna4]], '[1]Anexos FICHA TRA050'!$E$27:$E$44&amp;'[1]Anexos FICHA TRA050'!$F$27:$F$44, 0)), "")</f>
        <v>5.63</v>
      </c>
      <c r="BE129" s="215">
        <f>IFERROR(INDEX('[1]Anexos FICHA TRA050'!$B$4:$B$7, MATCH(Tabla46782[[#This Row],[Columna4]], '[1]Anexos FICHA TRA050'!$C$4:$C$7, 0)), "")</f>
        <v>10</v>
      </c>
      <c r="BF129" s="215">
        <f>IFERROR(INDEX('[1]Anexos FICHA TRA050'!$C$14:$C$22, MATCH(Tabla46782[[#This Row],[Columna5]], '[1]Anexos FICHA TRA050'!$D$14:$D$22, 0)), "")</f>
        <v>20.84</v>
      </c>
      <c r="BG129" s="216">
        <f>IFERROR(INDEX('[1]Anexos FICHA TRA050'!$C$49:$C$54, MATCH(Tabla46782[[#This Row],[Columna5]], '[1]Anexos FICHA TRA050'!$D$49:$D$54, 0)), "")</f>
        <v>15815</v>
      </c>
      <c r="BH129" s="217">
        <f>+(((Tabla46782[[#This Row],[CVA2]]*Tabla46782[[#This Row],[f2]])-Tabla46782[[#This Row],[CVN2]])/100)*Tabla46782[[#This Row],[L2]]</f>
        <v>5607.9989999999989</v>
      </c>
      <c r="BI129" s="218"/>
      <c r="BJ129" s="218"/>
      <c r="BK129" s="218" t="str">
        <f>+IF(Tabla46782[[#This Row],[F3]]=Tabla46782[[#This Row],[f2]], "IGUAL", "DISTINTO")</f>
        <v>IGUAL</v>
      </c>
      <c r="BL129" s="218" t="str">
        <f>+IF(Tabla46782[[#This Row],[CVN]]=Tabla46782[[#This Row],[CVN2]], "IGUAL", "DISTINTO")</f>
        <v>DISTINTO</v>
      </c>
      <c r="BM129" s="219" t="str">
        <f>+IF(Tabla46782[[#This Row],[L]]=Tabla46782[[#This Row],[L2]], "IGUAL", "DISTINTO")</f>
        <v>IGUAL</v>
      </c>
    </row>
    <row r="130" spans="1:65" x14ac:dyDescent="0.25">
      <c r="A130">
        <v>127</v>
      </c>
      <c r="B130" s="202" t="s">
        <v>933</v>
      </c>
      <c r="C130" s="203" t="s">
        <v>934</v>
      </c>
      <c r="D130" s="203" t="s">
        <v>128</v>
      </c>
      <c r="E130" s="203" t="s">
        <v>78</v>
      </c>
      <c r="F130" s="203" t="s">
        <v>78</v>
      </c>
      <c r="G130" s="203" t="s">
        <v>128</v>
      </c>
      <c r="H130" s="203" t="s">
        <v>72</v>
      </c>
      <c r="I130" s="203"/>
      <c r="J130" s="203" t="s">
        <v>72</v>
      </c>
      <c r="K130" s="203"/>
      <c r="L130" s="203" t="s">
        <v>249</v>
      </c>
      <c r="M130" s="203" t="s">
        <v>249</v>
      </c>
      <c r="N130" s="203"/>
      <c r="O130" s="203" t="s">
        <v>73</v>
      </c>
      <c r="P130" s="203" t="s">
        <v>200</v>
      </c>
      <c r="Q130" s="203" t="s">
        <v>201</v>
      </c>
      <c r="R130" s="203" t="s">
        <v>76</v>
      </c>
      <c r="S130" s="209">
        <v>44224</v>
      </c>
      <c r="T130" s="205">
        <v>45685</v>
      </c>
      <c r="U130" s="205">
        <f>VLOOKUP(Tabla46782[[#This Row],[Matricula]],BAJA2022202320242025!$B$3:$CR$245,95,FALSE)</f>
        <v>45751</v>
      </c>
      <c r="V130" s="206">
        <v>1461</v>
      </c>
      <c r="W130" s="207">
        <v>2025</v>
      </c>
      <c r="X130" s="203" t="s">
        <v>77</v>
      </c>
      <c r="Y130" s="203" t="s">
        <v>78</v>
      </c>
      <c r="Z130" s="203" t="s">
        <v>79</v>
      </c>
      <c r="AA130" s="203" t="s">
        <v>924</v>
      </c>
      <c r="AB130" s="203" t="s">
        <v>81</v>
      </c>
      <c r="AC130" s="203" t="s">
        <v>82</v>
      </c>
      <c r="AD130" s="203" t="s">
        <v>174</v>
      </c>
      <c r="AE130" s="208">
        <v>15</v>
      </c>
      <c r="AF130" s="208" t="s">
        <v>935</v>
      </c>
      <c r="AG130" s="208" t="s">
        <v>140</v>
      </c>
      <c r="AH130" s="208" t="s">
        <v>151</v>
      </c>
      <c r="AI130" s="208" t="s">
        <v>87</v>
      </c>
      <c r="AJ130" s="208" t="s">
        <v>164</v>
      </c>
      <c r="AK130" s="205" t="s">
        <v>89</v>
      </c>
      <c r="AL130" s="204">
        <v>45630</v>
      </c>
      <c r="AM130" s="208">
        <v>-1</v>
      </c>
      <c r="AN130" s="209" t="s">
        <v>81</v>
      </c>
      <c r="AO130" s="209" t="s">
        <v>936</v>
      </c>
      <c r="AP130" s="209" t="s">
        <v>82</v>
      </c>
      <c r="AQ130" s="209"/>
      <c r="AR130" s="209" t="s">
        <v>72</v>
      </c>
      <c r="AS130" s="209" t="s">
        <v>91</v>
      </c>
      <c r="AT130" s="209" t="s">
        <v>937</v>
      </c>
      <c r="AU130" s="210">
        <v>5.6</v>
      </c>
      <c r="AV130" s="211">
        <v>10</v>
      </c>
      <c r="AW130" s="212">
        <v>16.399999999999999</v>
      </c>
      <c r="AX130" s="213">
        <v>15815</v>
      </c>
      <c r="AY130" s="213">
        <v>6262.7400000000007</v>
      </c>
      <c r="AZ130" s="210" t="s">
        <v>128</v>
      </c>
      <c r="BA130" s="209" t="s">
        <v>93</v>
      </c>
      <c r="BB130" s="214" t="str">
        <f>+IF(Tabla46782[[#This Row],[TIPO VEHÍCULO]]=Tabla46782[[#This Row],[Columna2]], "IGUAL", "DISTINTO")</f>
        <v>IGUAL</v>
      </c>
      <c r="BC130" s="214" t="str">
        <f>+IF(Tabla46782[[#This Row],[Columna4]]=Tabla46782[[#This Row],[Combustible2]], "IGUAL", "DISTINTO")</f>
        <v>IGUAL</v>
      </c>
      <c r="BD130" s="215" cm="1">
        <f t="array" ref="BD130">IFERROR(INDEX('[1]Anexos FICHA TRA050'!$D$27:$D$44, MATCH(Tabla46782[[#This Row],[Columna5]]&amp;Tabla46782[[#This Row],[Columna4]], '[1]Anexos FICHA TRA050'!$E$27:$E$44&amp;'[1]Anexos FICHA TRA050'!$F$27:$F$44, 0)), "")</f>
        <v>5.63</v>
      </c>
      <c r="BE130" s="215">
        <f>IFERROR(INDEX('[1]Anexos FICHA TRA050'!$B$4:$B$7, MATCH(Tabla46782[[#This Row],[Columna4]], '[1]Anexos FICHA TRA050'!$C$4:$C$7, 0)), "")</f>
        <v>10</v>
      </c>
      <c r="BF130" s="215">
        <f>IFERROR(INDEX('[1]Anexos FICHA TRA050'!$C$14:$C$22, MATCH(Tabla46782[[#This Row],[Columna5]], '[1]Anexos FICHA TRA050'!$D$14:$D$22, 0)), "")</f>
        <v>20.84</v>
      </c>
      <c r="BG130" s="216">
        <f>IFERROR(INDEX('[1]Anexos FICHA TRA050'!$C$49:$C$54, MATCH(Tabla46782[[#This Row],[Columna5]], '[1]Anexos FICHA TRA050'!$D$49:$D$54, 0)), "")</f>
        <v>15815</v>
      </c>
      <c r="BH130" s="217">
        <f>+(((Tabla46782[[#This Row],[CVA2]]*Tabla46782[[#This Row],[f2]])-Tabla46782[[#This Row],[CVN2]])/100)*Tabla46782[[#This Row],[L2]]</f>
        <v>5607.9989999999989</v>
      </c>
      <c r="BI130" s="218"/>
      <c r="BJ130" s="218"/>
      <c r="BK130" s="218" t="str">
        <f>+IF(Tabla46782[[#This Row],[F3]]=Tabla46782[[#This Row],[f2]], "IGUAL", "DISTINTO")</f>
        <v>IGUAL</v>
      </c>
      <c r="BL130" s="218" t="str">
        <f>+IF(Tabla46782[[#This Row],[CVN]]=Tabla46782[[#This Row],[CVN2]], "IGUAL", "DISTINTO")</f>
        <v>DISTINTO</v>
      </c>
      <c r="BM130" s="219" t="str">
        <f>+IF(Tabla46782[[#This Row],[L]]=Tabla46782[[#This Row],[L2]], "IGUAL", "DISTINTO")</f>
        <v>IGUAL</v>
      </c>
    </row>
    <row r="131" spans="1:65" x14ac:dyDescent="0.25">
      <c r="A131">
        <v>128</v>
      </c>
      <c r="B131" s="202" t="s">
        <v>938</v>
      </c>
      <c r="C131" s="203" t="s">
        <v>939</v>
      </c>
      <c r="D131" s="203" t="s">
        <v>128</v>
      </c>
      <c r="E131" s="203" t="s">
        <v>78</v>
      </c>
      <c r="F131" s="203" t="s">
        <v>78</v>
      </c>
      <c r="G131" s="203" t="s">
        <v>128</v>
      </c>
      <c r="H131" s="203" t="s">
        <v>72</v>
      </c>
      <c r="I131" s="203"/>
      <c r="J131" s="203" t="s">
        <v>72</v>
      </c>
      <c r="K131" s="203"/>
      <c r="L131" s="203" t="s">
        <v>249</v>
      </c>
      <c r="M131" s="203" t="s">
        <v>249</v>
      </c>
      <c r="N131" s="203"/>
      <c r="O131" s="203" t="s">
        <v>73</v>
      </c>
      <c r="P131" s="203" t="s">
        <v>200</v>
      </c>
      <c r="Q131" s="203" t="s">
        <v>201</v>
      </c>
      <c r="R131" s="203" t="s">
        <v>76</v>
      </c>
      <c r="S131" s="209">
        <v>44263</v>
      </c>
      <c r="T131" s="205">
        <v>45747</v>
      </c>
      <c r="U131" s="205">
        <f>VLOOKUP(Tabla46782[[#This Row],[Matricula]],BAJA2022202320242025!$B$3:$CR$245,95,FALSE)</f>
        <v>45755</v>
      </c>
      <c r="V131" s="206">
        <v>1484</v>
      </c>
      <c r="W131" s="207">
        <v>2025</v>
      </c>
      <c r="X131" s="203" t="s">
        <v>77</v>
      </c>
      <c r="Y131" s="203" t="s">
        <v>78</v>
      </c>
      <c r="Z131" s="203" t="s">
        <v>79</v>
      </c>
      <c r="AA131" s="203" t="s">
        <v>924</v>
      </c>
      <c r="AB131" s="203" t="s">
        <v>102</v>
      </c>
      <c r="AC131" s="203" t="s">
        <v>103</v>
      </c>
      <c r="AD131" s="203" t="s">
        <v>495</v>
      </c>
      <c r="AE131" s="208">
        <v>40</v>
      </c>
      <c r="AF131" s="208" t="s">
        <v>940</v>
      </c>
      <c r="AG131" s="208" t="s">
        <v>380</v>
      </c>
      <c r="AH131" s="208" t="s">
        <v>381</v>
      </c>
      <c r="AI131" s="208" t="s">
        <v>87</v>
      </c>
      <c r="AJ131" s="208" t="s">
        <v>696</v>
      </c>
      <c r="AK131" s="205" t="s">
        <v>89</v>
      </c>
      <c r="AL131" s="204">
        <v>45463</v>
      </c>
      <c r="AM131" s="208">
        <v>-1</v>
      </c>
      <c r="AN131" s="209" t="s">
        <v>102</v>
      </c>
      <c r="AO131" s="210">
        <v>4500406593</v>
      </c>
      <c r="AP131" s="209" t="s">
        <v>103</v>
      </c>
      <c r="AQ131" s="209"/>
      <c r="AR131" s="209" t="s">
        <v>72</v>
      </c>
      <c r="AS131" s="209" t="s">
        <v>109</v>
      </c>
      <c r="AT131" s="209" t="s">
        <v>941</v>
      </c>
      <c r="AU131" s="210">
        <v>5.6</v>
      </c>
      <c r="AV131" s="211">
        <v>10</v>
      </c>
      <c r="AW131" s="212">
        <v>20</v>
      </c>
      <c r="AX131" s="213">
        <v>15815</v>
      </c>
      <c r="AY131" s="213">
        <v>5693.4</v>
      </c>
      <c r="AZ131" s="210" t="s">
        <v>128</v>
      </c>
      <c r="BA131" s="209" t="s">
        <v>93</v>
      </c>
      <c r="BB131" s="214" t="str">
        <f>+IF(Tabla46782[[#This Row],[TIPO VEHÍCULO]]=Tabla46782[[#This Row],[Columna2]], "IGUAL", "DISTINTO")</f>
        <v>IGUAL</v>
      </c>
      <c r="BC131" s="214" t="str">
        <f>+IF(Tabla46782[[#This Row],[Columna4]]=Tabla46782[[#This Row],[Combustible2]], "IGUAL", "DISTINTO")</f>
        <v>IGUAL</v>
      </c>
      <c r="BD131" s="215" cm="1">
        <f t="array" ref="BD131">IFERROR(INDEX('[1]Anexos FICHA TRA050'!$D$27:$D$44, MATCH(Tabla46782[[#This Row],[Columna5]]&amp;Tabla46782[[#This Row],[Columna4]], '[1]Anexos FICHA TRA050'!$E$27:$E$44&amp;'[1]Anexos FICHA TRA050'!$F$27:$F$44, 0)), "")</f>
        <v>5.63</v>
      </c>
      <c r="BE131" s="215">
        <f>IFERROR(INDEX('[1]Anexos FICHA TRA050'!$B$4:$B$7, MATCH(Tabla46782[[#This Row],[Columna4]], '[1]Anexos FICHA TRA050'!$C$4:$C$7, 0)), "")</f>
        <v>10</v>
      </c>
      <c r="BF131" s="215">
        <f>IFERROR(INDEX('[1]Anexos FICHA TRA050'!$C$14:$C$22, MATCH(Tabla46782[[#This Row],[Columna5]], '[1]Anexos FICHA TRA050'!$D$14:$D$22, 0)), "")</f>
        <v>20.84</v>
      </c>
      <c r="BG131" s="216">
        <f>IFERROR(INDEX('[1]Anexos FICHA TRA050'!$C$49:$C$54, MATCH(Tabla46782[[#This Row],[Columna5]], '[1]Anexos FICHA TRA050'!$D$49:$D$54, 0)), "")</f>
        <v>15815</v>
      </c>
      <c r="BH131" s="217">
        <f>+(((Tabla46782[[#This Row],[CVA2]]*Tabla46782[[#This Row],[f2]])-Tabla46782[[#This Row],[CVN2]])/100)*Tabla46782[[#This Row],[L2]]</f>
        <v>5607.9989999999989</v>
      </c>
      <c r="BI131" s="218"/>
      <c r="BJ131" s="218"/>
      <c r="BK131" s="218" t="str">
        <f>+IF(Tabla46782[[#This Row],[F3]]=Tabla46782[[#This Row],[f2]], "IGUAL", "DISTINTO")</f>
        <v>IGUAL</v>
      </c>
      <c r="BL131" s="218" t="str">
        <f>+IF(Tabla46782[[#This Row],[CVN]]=Tabla46782[[#This Row],[CVN2]], "IGUAL", "DISTINTO")</f>
        <v>DISTINTO</v>
      </c>
      <c r="BM131" s="219" t="str">
        <f>+IF(Tabla46782[[#This Row],[L]]=Tabla46782[[#This Row],[L2]], "IGUAL", "DISTINTO")</f>
        <v>IGUAL</v>
      </c>
    </row>
    <row r="132" spans="1:65" x14ac:dyDescent="0.25">
      <c r="A132">
        <v>129</v>
      </c>
      <c r="B132" s="202" t="s">
        <v>942</v>
      </c>
      <c r="C132" s="203" t="s">
        <v>943</v>
      </c>
      <c r="D132" s="203" t="s">
        <v>128</v>
      </c>
      <c r="E132" s="203" t="s">
        <v>78</v>
      </c>
      <c r="F132" s="203" t="s">
        <v>78</v>
      </c>
      <c r="G132" s="203" t="s">
        <v>128</v>
      </c>
      <c r="H132" s="203" t="s">
        <v>72</v>
      </c>
      <c r="I132" s="203"/>
      <c r="J132" s="203" t="s">
        <v>72</v>
      </c>
      <c r="K132" s="203"/>
      <c r="L132" s="203" t="s">
        <v>249</v>
      </c>
      <c r="M132" s="203" t="s">
        <v>249</v>
      </c>
      <c r="N132" s="203"/>
      <c r="O132" s="203" t="s">
        <v>73</v>
      </c>
      <c r="P132" s="203" t="s">
        <v>200</v>
      </c>
      <c r="Q132" s="203" t="s">
        <v>201</v>
      </c>
      <c r="R132" s="203" t="s">
        <v>160</v>
      </c>
      <c r="S132" s="209">
        <v>44291</v>
      </c>
      <c r="T132" s="205">
        <v>45752</v>
      </c>
      <c r="U132" s="205">
        <f>VLOOKUP(Tabla46782[[#This Row],[Matricula]],BAJA2022202320242025!$B$3:$CR$245,95,FALSE)</f>
        <v>45594</v>
      </c>
      <c r="V132" s="206">
        <v>1461</v>
      </c>
      <c r="W132" s="207">
        <v>2025</v>
      </c>
      <c r="X132" s="203" t="s">
        <v>161</v>
      </c>
      <c r="Y132" s="203" t="s">
        <v>78</v>
      </c>
      <c r="Z132" s="203" t="s">
        <v>79</v>
      </c>
      <c r="AA132" s="203" t="s">
        <v>924</v>
      </c>
      <c r="AB132" s="203" t="s">
        <v>119</v>
      </c>
      <c r="AC132" s="203" t="s">
        <v>120</v>
      </c>
      <c r="AD132" s="203" t="s">
        <v>152</v>
      </c>
      <c r="AE132" s="208">
        <v>23</v>
      </c>
      <c r="AF132" s="208" t="s">
        <v>944</v>
      </c>
      <c r="AG132" s="208" t="s">
        <v>85</v>
      </c>
      <c r="AH132" s="208" t="s">
        <v>86</v>
      </c>
      <c r="AI132" s="208" t="s">
        <v>87</v>
      </c>
      <c r="AJ132" s="208" t="s">
        <v>617</v>
      </c>
      <c r="AK132" s="205" t="s">
        <v>89</v>
      </c>
      <c r="AL132" s="204">
        <v>45645</v>
      </c>
      <c r="AM132" s="208">
        <v>-1</v>
      </c>
      <c r="AN132" s="209" t="s">
        <v>119</v>
      </c>
      <c r="AO132" s="209" t="s">
        <v>945</v>
      </c>
      <c r="AP132" s="209" t="s">
        <v>120</v>
      </c>
      <c r="AQ132" s="209"/>
      <c r="AR132" s="209" t="s">
        <v>72</v>
      </c>
      <c r="AS132" s="209" t="s">
        <v>91</v>
      </c>
      <c r="AT132" s="209" t="s">
        <v>946</v>
      </c>
      <c r="AU132" s="210">
        <v>5.6</v>
      </c>
      <c r="AV132" s="211">
        <v>10</v>
      </c>
      <c r="AW132" s="212">
        <v>17.3</v>
      </c>
      <c r="AX132" s="213">
        <v>15815</v>
      </c>
      <c r="AY132" s="213">
        <v>6120.4049999999997</v>
      </c>
      <c r="AZ132" s="210" t="s">
        <v>128</v>
      </c>
      <c r="BA132" s="209" t="s">
        <v>93</v>
      </c>
      <c r="BB132" s="214" t="str">
        <f>+IF(Tabla46782[[#This Row],[TIPO VEHÍCULO]]=Tabla46782[[#This Row],[Columna2]], "IGUAL", "DISTINTO")</f>
        <v>IGUAL</v>
      </c>
      <c r="BC132" s="214" t="str">
        <f>+IF(Tabla46782[[#This Row],[Columna4]]=Tabla46782[[#This Row],[Combustible2]], "IGUAL", "DISTINTO")</f>
        <v>IGUAL</v>
      </c>
      <c r="BD132" s="215" cm="1">
        <f t="array" ref="BD132">IFERROR(INDEX('[1]Anexos FICHA TRA050'!$D$27:$D$44, MATCH(Tabla46782[[#This Row],[Columna5]]&amp;Tabla46782[[#This Row],[Columna4]], '[1]Anexos FICHA TRA050'!$E$27:$E$44&amp;'[1]Anexos FICHA TRA050'!$F$27:$F$44, 0)), "")</f>
        <v>5.63</v>
      </c>
      <c r="BE132" s="215">
        <f>IFERROR(INDEX('[1]Anexos FICHA TRA050'!$B$4:$B$7, MATCH(Tabla46782[[#This Row],[Columna4]], '[1]Anexos FICHA TRA050'!$C$4:$C$7, 0)), "")</f>
        <v>10</v>
      </c>
      <c r="BF132" s="215">
        <f>IFERROR(INDEX('[1]Anexos FICHA TRA050'!$C$14:$C$22, MATCH(Tabla46782[[#This Row],[Columna5]], '[1]Anexos FICHA TRA050'!$D$14:$D$22, 0)), "")</f>
        <v>20.84</v>
      </c>
      <c r="BG132" s="216">
        <f>IFERROR(INDEX('[1]Anexos FICHA TRA050'!$C$49:$C$54, MATCH(Tabla46782[[#This Row],[Columna5]], '[1]Anexos FICHA TRA050'!$D$49:$D$54, 0)), "")</f>
        <v>15815</v>
      </c>
      <c r="BH132" s="217">
        <f>+(((Tabla46782[[#This Row],[CVA2]]*Tabla46782[[#This Row],[f2]])-Tabla46782[[#This Row],[CVN2]])/100)*Tabla46782[[#This Row],[L2]]</f>
        <v>5607.9989999999989</v>
      </c>
      <c r="BI132" s="218"/>
      <c r="BJ132" s="218"/>
      <c r="BK132" s="218" t="str">
        <f>+IF(Tabla46782[[#This Row],[F3]]=Tabla46782[[#This Row],[f2]], "IGUAL", "DISTINTO")</f>
        <v>IGUAL</v>
      </c>
      <c r="BL132" s="218" t="str">
        <f>+IF(Tabla46782[[#This Row],[CVN]]=Tabla46782[[#This Row],[CVN2]], "IGUAL", "DISTINTO")</f>
        <v>DISTINTO</v>
      </c>
      <c r="BM132" s="219" t="str">
        <f>+IF(Tabla46782[[#This Row],[L]]=Tabla46782[[#This Row],[L2]], "IGUAL", "DISTINTO")</f>
        <v>IGUAL</v>
      </c>
    </row>
    <row r="133" spans="1:65" x14ac:dyDescent="0.25">
      <c r="A133">
        <v>130</v>
      </c>
      <c r="B133" s="202" t="s">
        <v>947</v>
      </c>
      <c r="C133" s="203" t="s">
        <v>948</v>
      </c>
      <c r="D133" s="203" t="s">
        <v>128</v>
      </c>
      <c r="E133" s="203" t="s">
        <v>78</v>
      </c>
      <c r="F133" s="203" t="s">
        <v>78</v>
      </c>
      <c r="G133" s="203" t="s">
        <v>128</v>
      </c>
      <c r="H133" s="203" t="s">
        <v>72</v>
      </c>
      <c r="I133" s="203"/>
      <c r="J133" s="203" t="s">
        <v>72</v>
      </c>
      <c r="K133" s="203"/>
      <c r="L133" s="203" t="s">
        <v>249</v>
      </c>
      <c r="M133" s="203" t="s">
        <v>249</v>
      </c>
      <c r="N133" s="203"/>
      <c r="O133" s="203" t="s">
        <v>73</v>
      </c>
      <c r="P133" s="203" t="s">
        <v>200</v>
      </c>
      <c r="Q133" s="203" t="s">
        <v>201</v>
      </c>
      <c r="R133" s="203" t="s">
        <v>160</v>
      </c>
      <c r="S133" s="209">
        <v>44224</v>
      </c>
      <c r="T133" s="205">
        <v>45685</v>
      </c>
      <c r="U133" s="205">
        <f>VLOOKUP(Tabla46782[[#This Row],[Matricula]],BAJA2022202320242025!$B$3:$CR$245,95,FALSE)</f>
        <v>45693</v>
      </c>
      <c r="V133" s="206">
        <v>1461</v>
      </c>
      <c r="W133" s="207">
        <v>2025</v>
      </c>
      <c r="X133" s="203" t="s">
        <v>161</v>
      </c>
      <c r="Y133" s="203" t="s">
        <v>78</v>
      </c>
      <c r="Z133" s="203" t="s">
        <v>79</v>
      </c>
      <c r="AA133" s="203" t="s">
        <v>924</v>
      </c>
      <c r="AB133" s="203" t="s">
        <v>190</v>
      </c>
      <c r="AC133" s="203" t="s">
        <v>191</v>
      </c>
      <c r="AD133" s="203" t="s">
        <v>194</v>
      </c>
      <c r="AE133" s="208">
        <v>10</v>
      </c>
      <c r="AF133" s="208" t="s">
        <v>949</v>
      </c>
      <c r="AG133" s="208" t="s">
        <v>85</v>
      </c>
      <c r="AH133" s="208" t="s">
        <v>86</v>
      </c>
      <c r="AI133" s="208" t="s">
        <v>87</v>
      </c>
      <c r="AJ133" s="208" t="s">
        <v>477</v>
      </c>
      <c r="AK133" s="205" t="s">
        <v>89</v>
      </c>
      <c r="AL133" s="204">
        <v>45646</v>
      </c>
      <c r="AM133" s="208">
        <v>-1</v>
      </c>
      <c r="AN133" s="209" t="s">
        <v>190</v>
      </c>
      <c r="AO133" s="209" t="s">
        <v>950</v>
      </c>
      <c r="AP133" s="209" t="s">
        <v>191</v>
      </c>
      <c r="AQ133" s="209"/>
      <c r="AR133" s="209" t="s">
        <v>72</v>
      </c>
      <c r="AS133" s="209" t="s">
        <v>91</v>
      </c>
      <c r="AT133" s="209" t="s">
        <v>951</v>
      </c>
      <c r="AU133" s="210">
        <v>5.6</v>
      </c>
      <c r="AV133" s="211">
        <v>10</v>
      </c>
      <c r="AW133" s="212">
        <v>17.3</v>
      </c>
      <c r="AX133" s="213">
        <v>15815</v>
      </c>
      <c r="AY133" s="213">
        <v>6120.4049999999997</v>
      </c>
      <c r="AZ133" s="210" t="s">
        <v>128</v>
      </c>
      <c r="BA133" s="209" t="s">
        <v>93</v>
      </c>
      <c r="BB133" s="214" t="str">
        <f>+IF(Tabla46782[[#This Row],[TIPO VEHÍCULO]]=Tabla46782[[#This Row],[Columna2]], "IGUAL", "DISTINTO")</f>
        <v>IGUAL</v>
      </c>
      <c r="BC133" s="214" t="str">
        <f>+IF(Tabla46782[[#This Row],[Columna4]]=Tabla46782[[#This Row],[Combustible2]], "IGUAL", "DISTINTO")</f>
        <v>IGUAL</v>
      </c>
      <c r="BD133" s="215" cm="1">
        <f t="array" ref="BD133">IFERROR(INDEX('[1]Anexos FICHA TRA050'!$D$27:$D$44, MATCH(Tabla46782[[#This Row],[Columna5]]&amp;Tabla46782[[#This Row],[Columna4]], '[1]Anexos FICHA TRA050'!$E$27:$E$44&amp;'[1]Anexos FICHA TRA050'!$F$27:$F$44, 0)), "")</f>
        <v>5.63</v>
      </c>
      <c r="BE133" s="215">
        <f>IFERROR(INDEX('[1]Anexos FICHA TRA050'!$B$4:$B$7, MATCH(Tabla46782[[#This Row],[Columna4]], '[1]Anexos FICHA TRA050'!$C$4:$C$7, 0)), "")</f>
        <v>10</v>
      </c>
      <c r="BF133" s="215">
        <f>IFERROR(INDEX('[1]Anexos FICHA TRA050'!$C$14:$C$22, MATCH(Tabla46782[[#This Row],[Columna5]], '[1]Anexos FICHA TRA050'!$D$14:$D$22, 0)), "")</f>
        <v>20.84</v>
      </c>
      <c r="BG133" s="216">
        <f>IFERROR(INDEX('[1]Anexos FICHA TRA050'!$C$49:$C$54, MATCH(Tabla46782[[#This Row],[Columna5]], '[1]Anexos FICHA TRA050'!$D$49:$D$54, 0)), "")</f>
        <v>15815</v>
      </c>
      <c r="BH133" s="217">
        <f>+(((Tabla46782[[#This Row],[CVA2]]*Tabla46782[[#This Row],[f2]])-Tabla46782[[#This Row],[CVN2]])/100)*Tabla46782[[#This Row],[L2]]</f>
        <v>5607.9989999999989</v>
      </c>
      <c r="BI133" s="218"/>
      <c r="BJ133" s="218"/>
      <c r="BK133" s="218" t="str">
        <f>+IF(Tabla46782[[#This Row],[F3]]=Tabla46782[[#This Row],[f2]], "IGUAL", "DISTINTO")</f>
        <v>IGUAL</v>
      </c>
      <c r="BL133" s="218" t="str">
        <f>+IF(Tabla46782[[#This Row],[CVN]]=Tabla46782[[#This Row],[CVN2]], "IGUAL", "DISTINTO")</f>
        <v>DISTINTO</v>
      </c>
      <c r="BM133" s="219" t="str">
        <f>+IF(Tabla46782[[#This Row],[L]]=Tabla46782[[#This Row],[L2]], "IGUAL", "DISTINTO")</f>
        <v>IGUAL</v>
      </c>
    </row>
    <row r="134" spans="1:65" x14ac:dyDescent="0.25">
      <c r="A134">
        <v>131</v>
      </c>
      <c r="B134" s="202" t="s">
        <v>952</v>
      </c>
      <c r="C134" s="203" t="s">
        <v>953</v>
      </c>
      <c r="D134" s="203" t="s">
        <v>128</v>
      </c>
      <c r="E134" s="203" t="s">
        <v>78</v>
      </c>
      <c r="F134" s="203" t="s">
        <v>78</v>
      </c>
      <c r="G134" s="203" t="s">
        <v>128</v>
      </c>
      <c r="H134" s="203" t="s">
        <v>72</v>
      </c>
      <c r="I134" s="203"/>
      <c r="J134" s="203" t="s">
        <v>72</v>
      </c>
      <c r="K134" s="203"/>
      <c r="L134" s="203" t="s">
        <v>249</v>
      </c>
      <c r="M134" s="203" t="s">
        <v>249</v>
      </c>
      <c r="N134" s="203"/>
      <c r="O134" s="203" t="s">
        <v>73</v>
      </c>
      <c r="P134" s="203" t="s">
        <v>200</v>
      </c>
      <c r="Q134" s="203" t="s">
        <v>201</v>
      </c>
      <c r="R134" s="203" t="s">
        <v>160</v>
      </c>
      <c r="S134" s="209">
        <v>44228</v>
      </c>
      <c r="T134" s="205">
        <v>45689</v>
      </c>
      <c r="U134" s="205">
        <f>VLOOKUP(Tabla46782[[#This Row],[Matricula]],BAJA2022202320242025!$B$3:$CR$245,95,FALSE)</f>
        <v>45119</v>
      </c>
      <c r="V134" s="206">
        <v>1461</v>
      </c>
      <c r="W134" s="207">
        <v>2025</v>
      </c>
      <c r="X134" s="203" t="s">
        <v>161</v>
      </c>
      <c r="Y134" s="203" t="s">
        <v>78</v>
      </c>
      <c r="Z134" s="203" t="s">
        <v>79</v>
      </c>
      <c r="AA134" s="203" t="s">
        <v>924</v>
      </c>
      <c r="AB134" s="203" t="s">
        <v>190</v>
      </c>
      <c r="AC134" s="203" t="s">
        <v>191</v>
      </c>
      <c r="AD134" s="203" t="s">
        <v>194</v>
      </c>
      <c r="AE134" s="208">
        <v>11</v>
      </c>
      <c r="AF134" s="208" t="s">
        <v>954</v>
      </c>
      <c r="AG134" s="208" t="s">
        <v>85</v>
      </c>
      <c r="AH134" s="208" t="s">
        <v>86</v>
      </c>
      <c r="AI134" s="208" t="s">
        <v>87</v>
      </c>
      <c r="AJ134" s="208" t="s">
        <v>955</v>
      </c>
      <c r="AK134" s="205" t="s">
        <v>89</v>
      </c>
      <c r="AL134" s="204">
        <v>45646</v>
      </c>
      <c r="AM134" s="208">
        <v>-1</v>
      </c>
      <c r="AN134" s="209" t="s">
        <v>190</v>
      </c>
      <c r="AO134" s="209" t="s">
        <v>956</v>
      </c>
      <c r="AP134" s="209" t="s">
        <v>191</v>
      </c>
      <c r="AQ134" s="209"/>
      <c r="AR134" s="209" t="s">
        <v>72</v>
      </c>
      <c r="AS134" s="209" t="s">
        <v>91</v>
      </c>
      <c r="AT134" s="209" t="s">
        <v>957</v>
      </c>
      <c r="AU134" s="210">
        <v>5.6</v>
      </c>
      <c r="AV134" s="211">
        <v>10</v>
      </c>
      <c r="AW134" s="212">
        <v>17.3</v>
      </c>
      <c r="AX134" s="213">
        <v>15815</v>
      </c>
      <c r="AY134" s="213">
        <v>6120.4049999999997</v>
      </c>
      <c r="AZ134" s="210" t="s">
        <v>128</v>
      </c>
      <c r="BA134" s="209" t="s">
        <v>93</v>
      </c>
      <c r="BB134" s="214" t="str">
        <f>+IF(Tabla46782[[#This Row],[TIPO VEHÍCULO]]=Tabla46782[[#This Row],[Columna2]], "IGUAL", "DISTINTO")</f>
        <v>IGUAL</v>
      </c>
      <c r="BC134" s="214" t="str">
        <f>+IF(Tabla46782[[#This Row],[Columna4]]=Tabla46782[[#This Row],[Combustible2]], "IGUAL", "DISTINTO")</f>
        <v>IGUAL</v>
      </c>
      <c r="BD134" s="215" cm="1">
        <f t="array" ref="BD134">IFERROR(INDEX('[1]Anexos FICHA TRA050'!$D$27:$D$44, MATCH(Tabla46782[[#This Row],[Columna5]]&amp;Tabla46782[[#This Row],[Columna4]], '[1]Anexos FICHA TRA050'!$E$27:$E$44&amp;'[1]Anexos FICHA TRA050'!$F$27:$F$44, 0)), "")</f>
        <v>5.63</v>
      </c>
      <c r="BE134" s="215">
        <f>IFERROR(INDEX('[1]Anexos FICHA TRA050'!$B$4:$B$7, MATCH(Tabla46782[[#This Row],[Columna4]], '[1]Anexos FICHA TRA050'!$C$4:$C$7, 0)), "")</f>
        <v>10</v>
      </c>
      <c r="BF134" s="215">
        <f>IFERROR(INDEX('[1]Anexos FICHA TRA050'!$C$14:$C$22, MATCH(Tabla46782[[#This Row],[Columna5]], '[1]Anexos FICHA TRA050'!$D$14:$D$22, 0)), "")</f>
        <v>20.84</v>
      </c>
      <c r="BG134" s="216">
        <f>IFERROR(INDEX('[1]Anexos FICHA TRA050'!$C$49:$C$54, MATCH(Tabla46782[[#This Row],[Columna5]], '[1]Anexos FICHA TRA050'!$D$49:$D$54, 0)), "")</f>
        <v>15815</v>
      </c>
      <c r="BH134" s="217">
        <f>+(((Tabla46782[[#This Row],[CVA2]]*Tabla46782[[#This Row],[f2]])-Tabla46782[[#This Row],[CVN2]])/100)*Tabla46782[[#This Row],[L2]]</f>
        <v>5607.9989999999989</v>
      </c>
      <c r="BI134" s="218"/>
      <c r="BJ134" s="218"/>
      <c r="BK134" s="218" t="str">
        <f>+IF(Tabla46782[[#This Row],[F3]]=Tabla46782[[#This Row],[f2]], "IGUAL", "DISTINTO")</f>
        <v>IGUAL</v>
      </c>
      <c r="BL134" s="218" t="str">
        <f>+IF(Tabla46782[[#This Row],[CVN]]=Tabla46782[[#This Row],[CVN2]], "IGUAL", "DISTINTO")</f>
        <v>DISTINTO</v>
      </c>
      <c r="BM134" s="219" t="str">
        <f>+IF(Tabla46782[[#This Row],[L]]=Tabla46782[[#This Row],[L2]], "IGUAL", "DISTINTO")</f>
        <v>IGUAL</v>
      </c>
    </row>
    <row r="135" spans="1:65" x14ac:dyDescent="0.25">
      <c r="A135">
        <v>132</v>
      </c>
      <c r="B135" s="202" t="s">
        <v>958</v>
      </c>
      <c r="C135" s="203" t="s">
        <v>959</v>
      </c>
      <c r="D135" s="203" t="s">
        <v>128</v>
      </c>
      <c r="E135" s="203" t="s">
        <v>78</v>
      </c>
      <c r="F135" s="203" t="s">
        <v>78</v>
      </c>
      <c r="G135" s="203" t="s">
        <v>128</v>
      </c>
      <c r="H135" s="203" t="s">
        <v>72</v>
      </c>
      <c r="I135" s="203"/>
      <c r="J135" s="203" t="s">
        <v>72</v>
      </c>
      <c r="K135" s="203"/>
      <c r="L135" s="203" t="s">
        <v>249</v>
      </c>
      <c r="M135" s="203" t="s">
        <v>249</v>
      </c>
      <c r="N135" s="203"/>
      <c r="O135" s="203" t="s">
        <v>73</v>
      </c>
      <c r="P135" s="203" t="s">
        <v>200</v>
      </c>
      <c r="Q135" s="203" t="s">
        <v>201</v>
      </c>
      <c r="R135" s="203" t="s">
        <v>160</v>
      </c>
      <c r="S135" s="209">
        <v>44228</v>
      </c>
      <c r="T135" s="205">
        <v>45689</v>
      </c>
      <c r="U135" s="205">
        <f>VLOOKUP(Tabla46782[[#This Row],[Matricula]],BAJA2022202320242025!$B$3:$CR$245,95,FALSE)</f>
        <v>45602</v>
      </c>
      <c r="V135" s="206">
        <v>1461</v>
      </c>
      <c r="W135" s="207">
        <v>2025</v>
      </c>
      <c r="X135" s="203" t="s">
        <v>161</v>
      </c>
      <c r="Y135" s="203" t="s">
        <v>78</v>
      </c>
      <c r="Z135" s="203" t="s">
        <v>79</v>
      </c>
      <c r="AA135" s="203" t="s">
        <v>924</v>
      </c>
      <c r="AB135" s="203" t="s">
        <v>960</v>
      </c>
      <c r="AC135" s="203" t="s">
        <v>961</v>
      </c>
      <c r="AD135" s="203" t="s">
        <v>962</v>
      </c>
      <c r="AE135" s="208">
        <v>1</v>
      </c>
      <c r="AF135" s="208" t="s">
        <v>963</v>
      </c>
      <c r="AG135" s="208" t="s">
        <v>85</v>
      </c>
      <c r="AH135" s="208" t="s">
        <v>86</v>
      </c>
      <c r="AI135" s="208" t="s">
        <v>87</v>
      </c>
      <c r="AJ135" s="208" t="s">
        <v>962</v>
      </c>
      <c r="AK135" s="205" t="s">
        <v>89</v>
      </c>
      <c r="AL135" s="204">
        <v>45645</v>
      </c>
      <c r="AM135" s="208">
        <v>-1</v>
      </c>
      <c r="AN135" s="209" t="s">
        <v>960</v>
      </c>
      <c r="AO135" s="209" t="s">
        <v>964</v>
      </c>
      <c r="AP135" s="209" t="s">
        <v>961</v>
      </c>
      <c r="AQ135" s="209"/>
      <c r="AR135" s="209" t="s">
        <v>72</v>
      </c>
      <c r="AS135" s="209" t="s">
        <v>91</v>
      </c>
      <c r="AT135" s="209" t="s">
        <v>965</v>
      </c>
      <c r="AU135" s="210">
        <v>5.6</v>
      </c>
      <c r="AV135" s="211">
        <v>10</v>
      </c>
      <c r="AW135" s="212">
        <v>17.3</v>
      </c>
      <c r="AX135" s="213">
        <v>15815</v>
      </c>
      <c r="AY135" s="213">
        <v>6120.4049999999997</v>
      </c>
      <c r="AZ135" s="210" t="s">
        <v>128</v>
      </c>
      <c r="BA135" s="209" t="s">
        <v>93</v>
      </c>
      <c r="BB135" s="214" t="str">
        <f>+IF(Tabla46782[[#This Row],[TIPO VEHÍCULO]]=Tabla46782[[#This Row],[Columna2]], "IGUAL", "DISTINTO")</f>
        <v>IGUAL</v>
      </c>
      <c r="BC135" s="214" t="str">
        <f>+IF(Tabla46782[[#This Row],[Columna4]]=Tabla46782[[#This Row],[Combustible2]], "IGUAL", "DISTINTO")</f>
        <v>IGUAL</v>
      </c>
      <c r="BD135" s="215" cm="1">
        <f t="array" ref="BD135">IFERROR(INDEX('[1]Anexos FICHA TRA050'!$D$27:$D$44, MATCH(Tabla46782[[#This Row],[Columna5]]&amp;Tabla46782[[#This Row],[Columna4]], '[1]Anexos FICHA TRA050'!$E$27:$E$44&amp;'[1]Anexos FICHA TRA050'!$F$27:$F$44, 0)), "")</f>
        <v>5.63</v>
      </c>
      <c r="BE135" s="215">
        <f>IFERROR(INDEX('[1]Anexos FICHA TRA050'!$B$4:$B$7, MATCH(Tabla46782[[#This Row],[Columna4]], '[1]Anexos FICHA TRA050'!$C$4:$C$7, 0)), "")</f>
        <v>10</v>
      </c>
      <c r="BF135" s="215">
        <f>IFERROR(INDEX('[1]Anexos FICHA TRA050'!$C$14:$C$22, MATCH(Tabla46782[[#This Row],[Columna5]], '[1]Anexos FICHA TRA050'!$D$14:$D$22, 0)), "")</f>
        <v>20.84</v>
      </c>
      <c r="BG135" s="216">
        <f>IFERROR(INDEX('[1]Anexos FICHA TRA050'!$C$49:$C$54, MATCH(Tabla46782[[#This Row],[Columna5]], '[1]Anexos FICHA TRA050'!$D$49:$D$54, 0)), "")</f>
        <v>15815</v>
      </c>
      <c r="BH135" s="217">
        <f>+(((Tabla46782[[#This Row],[CVA2]]*Tabla46782[[#This Row],[f2]])-Tabla46782[[#This Row],[CVN2]])/100)*Tabla46782[[#This Row],[L2]]</f>
        <v>5607.9989999999989</v>
      </c>
      <c r="BI135" s="218"/>
      <c r="BJ135" s="218"/>
      <c r="BK135" s="218" t="str">
        <f>+IF(Tabla46782[[#This Row],[F3]]=Tabla46782[[#This Row],[f2]], "IGUAL", "DISTINTO")</f>
        <v>IGUAL</v>
      </c>
      <c r="BL135" s="218" t="str">
        <f>+IF(Tabla46782[[#This Row],[CVN]]=Tabla46782[[#This Row],[CVN2]], "IGUAL", "DISTINTO")</f>
        <v>DISTINTO</v>
      </c>
      <c r="BM135" s="219" t="str">
        <f>+IF(Tabla46782[[#This Row],[L]]=Tabla46782[[#This Row],[L2]], "IGUAL", "DISTINTO")</f>
        <v>IGUAL</v>
      </c>
    </row>
    <row r="136" spans="1:65" x14ac:dyDescent="0.25">
      <c r="A136">
        <v>133</v>
      </c>
      <c r="B136" s="202" t="s">
        <v>966</v>
      </c>
      <c r="C136" s="203" t="s">
        <v>967</v>
      </c>
      <c r="D136" s="203" t="s">
        <v>128</v>
      </c>
      <c r="E136" s="203" t="s">
        <v>78</v>
      </c>
      <c r="F136" s="203" t="s">
        <v>78</v>
      </c>
      <c r="G136" s="203" t="s">
        <v>128</v>
      </c>
      <c r="H136" s="203" t="s">
        <v>72</v>
      </c>
      <c r="I136" s="203" t="s">
        <v>72</v>
      </c>
      <c r="J136" s="203" t="s">
        <v>72</v>
      </c>
      <c r="K136" s="203"/>
      <c r="L136" s="203" t="s">
        <v>249</v>
      </c>
      <c r="M136" s="203" t="s">
        <v>249</v>
      </c>
      <c r="N136" s="203"/>
      <c r="O136" s="203" t="s">
        <v>73</v>
      </c>
      <c r="P136" s="203" t="s">
        <v>200</v>
      </c>
      <c r="Q136" s="203" t="s">
        <v>201</v>
      </c>
      <c r="R136" s="203" t="s">
        <v>76</v>
      </c>
      <c r="S136" s="209">
        <v>44228</v>
      </c>
      <c r="T136" s="205">
        <v>45689</v>
      </c>
      <c r="U136" s="205">
        <f>VLOOKUP(Tabla46782[[#This Row],[Matricula]],BAJA2022202320242025!$B$3:$CR$245,95,FALSE)</f>
        <v>45772</v>
      </c>
      <c r="V136" s="206">
        <v>1461</v>
      </c>
      <c r="W136" s="207">
        <v>2025</v>
      </c>
      <c r="X136" s="203" t="s">
        <v>77</v>
      </c>
      <c r="Y136" s="203" t="s">
        <v>78</v>
      </c>
      <c r="Z136" s="203" t="s">
        <v>79</v>
      </c>
      <c r="AA136" s="203" t="s">
        <v>924</v>
      </c>
      <c r="AB136" s="203" t="s">
        <v>308</v>
      </c>
      <c r="AC136" s="203" t="s">
        <v>309</v>
      </c>
      <c r="AD136" s="203" t="s">
        <v>310</v>
      </c>
      <c r="AE136" s="208">
        <v>3</v>
      </c>
      <c r="AF136" s="208" t="s">
        <v>968</v>
      </c>
      <c r="AG136" s="208" t="s">
        <v>85</v>
      </c>
      <c r="AH136" s="208" t="s">
        <v>86</v>
      </c>
      <c r="AI136" s="208" t="s">
        <v>87</v>
      </c>
      <c r="AJ136" s="208" t="s">
        <v>310</v>
      </c>
      <c r="AK136" s="205" t="s">
        <v>89</v>
      </c>
      <c r="AL136" s="204">
        <v>45649</v>
      </c>
      <c r="AM136" s="208">
        <v>-1</v>
      </c>
      <c r="AN136" s="209" t="s">
        <v>308</v>
      </c>
      <c r="AO136" s="209" t="s">
        <v>72</v>
      </c>
      <c r="AP136" s="209" t="s">
        <v>309</v>
      </c>
      <c r="AQ136" s="209"/>
      <c r="AR136" s="209" t="s">
        <v>72</v>
      </c>
      <c r="AS136" s="209" t="s">
        <v>91</v>
      </c>
      <c r="AT136" s="209" t="s">
        <v>969</v>
      </c>
      <c r="AU136" s="210">
        <v>5.6</v>
      </c>
      <c r="AV136" s="211">
        <v>10</v>
      </c>
      <c r="AW136" s="212">
        <v>17.3</v>
      </c>
      <c r="AX136" s="213">
        <v>15815</v>
      </c>
      <c r="AY136" s="213">
        <v>6120.4049999999997</v>
      </c>
      <c r="AZ136" s="210" t="s">
        <v>128</v>
      </c>
      <c r="BA136" s="209" t="s">
        <v>93</v>
      </c>
      <c r="BB136" s="214" t="str">
        <f>+IF(Tabla46782[[#This Row],[TIPO VEHÍCULO]]=Tabla46782[[#This Row],[Columna2]], "IGUAL", "DISTINTO")</f>
        <v>IGUAL</v>
      </c>
      <c r="BC136" s="214" t="str">
        <f>+IF(Tabla46782[[#This Row],[Columna4]]=Tabla46782[[#This Row],[Combustible2]], "IGUAL", "DISTINTO")</f>
        <v>IGUAL</v>
      </c>
      <c r="BD136" s="215" cm="1">
        <f t="array" ref="BD136">IFERROR(INDEX('[1]Anexos FICHA TRA050'!$D$27:$D$44, MATCH(Tabla46782[[#This Row],[Columna5]]&amp;Tabla46782[[#This Row],[Columna4]], '[1]Anexos FICHA TRA050'!$E$27:$E$44&amp;'[1]Anexos FICHA TRA050'!$F$27:$F$44, 0)), "")</f>
        <v>5.63</v>
      </c>
      <c r="BE136" s="215">
        <f>IFERROR(INDEX('[1]Anexos FICHA TRA050'!$B$4:$B$7, MATCH(Tabla46782[[#This Row],[Columna4]], '[1]Anexos FICHA TRA050'!$C$4:$C$7, 0)), "")</f>
        <v>10</v>
      </c>
      <c r="BF136" s="215">
        <f>IFERROR(INDEX('[1]Anexos FICHA TRA050'!$C$14:$C$22, MATCH(Tabla46782[[#This Row],[Columna5]], '[1]Anexos FICHA TRA050'!$D$14:$D$22, 0)), "")</f>
        <v>20.84</v>
      </c>
      <c r="BG136" s="216">
        <f>IFERROR(INDEX('[1]Anexos FICHA TRA050'!$C$49:$C$54, MATCH(Tabla46782[[#This Row],[Columna5]], '[1]Anexos FICHA TRA050'!$D$49:$D$54, 0)), "")</f>
        <v>15815</v>
      </c>
      <c r="BH136" s="217">
        <f>+(((Tabla46782[[#This Row],[CVA2]]*Tabla46782[[#This Row],[f2]])-Tabla46782[[#This Row],[CVN2]])/100)*Tabla46782[[#This Row],[L2]]</f>
        <v>5607.9989999999989</v>
      </c>
      <c r="BI136" s="218"/>
      <c r="BJ136" s="218"/>
      <c r="BK136" s="218" t="str">
        <f>+IF(Tabla46782[[#This Row],[F3]]=Tabla46782[[#This Row],[f2]], "IGUAL", "DISTINTO")</f>
        <v>IGUAL</v>
      </c>
      <c r="BL136" s="218" t="str">
        <f>+IF(Tabla46782[[#This Row],[CVN]]=Tabla46782[[#This Row],[CVN2]], "IGUAL", "DISTINTO")</f>
        <v>DISTINTO</v>
      </c>
      <c r="BM136" s="219" t="str">
        <f>+IF(Tabla46782[[#This Row],[L]]=Tabla46782[[#This Row],[L2]], "IGUAL", "DISTINTO")</f>
        <v>IGUAL</v>
      </c>
    </row>
    <row r="137" spans="1:65" x14ac:dyDescent="0.25">
      <c r="A137">
        <v>134</v>
      </c>
      <c r="B137" s="202" t="s">
        <v>970</v>
      </c>
      <c r="C137" s="203" t="s">
        <v>971</v>
      </c>
      <c r="D137" s="203" t="s">
        <v>128</v>
      </c>
      <c r="E137" s="203" t="s">
        <v>78</v>
      </c>
      <c r="F137" s="203" t="s">
        <v>78</v>
      </c>
      <c r="G137" s="203" t="s">
        <v>128</v>
      </c>
      <c r="H137" s="203" t="s">
        <v>72</v>
      </c>
      <c r="I137" s="203"/>
      <c r="J137" s="203" t="s">
        <v>72</v>
      </c>
      <c r="K137" s="203"/>
      <c r="L137" s="203" t="s">
        <v>249</v>
      </c>
      <c r="M137" s="203" t="s">
        <v>249</v>
      </c>
      <c r="N137" s="203"/>
      <c r="O137" s="203" t="s">
        <v>73</v>
      </c>
      <c r="P137" s="203" t="s">
        <v>200</v>
      </c>
      <c r="Q137" s="203" t="s">
        <v>201</v>
      </c>
      <c r="R137" s="203" t="s">
        <v>160</v>
      </c>
      <c r="S137" s="209">
        <v>44228</v>
      </c>
      <c r="T137" s="205">
        <v>45689</v>
      </c>
      <c r="U137" s="205">
        <f>VLOOKUP(Tabla46782[[#This Row],[Matricula]],BAJA2022202320242025!$B$3:$CR$245,95,FALSE)</f>
        <v>45594</v>
      </c>
      <c r="V137" s="206">
        <v>1461</v>
      </c>
      <c r="W137" s="207">
        <v>2025</v>
      </c>
      <c r="X137" s="203" t="s">
        <v>161</v>
      </c>
      <c r="Y137" s="203" t="s">
        <v>78</v>
      </c>
      <c r="Z137" s="203" t="s">
        <v>79</v>
      </c>
      <c r="AA137" s="203" t="s">
        <v>924</v>
      </c>
      <c r="AB137" s="203" t="s">
        <v>308</v>
      </c>
      <c r="AC137" s="203" t="s">
        <v>309</v>
      </c>
      <c r="AD137" s="203" t="s">
        <v>310</v>
      </c>
      <c r="AE137" s="208">
        <v>4</v>
      </c>
      <c r="AF137" s="208" t="s">
        <v>972</v>
      </c>
      <c r="AG137" s="208" t="s">
        <v>85</v>
      </c>
      <c r="AH137" s="208" t="s">
        <v>86</v>
      </c>
      <c r="AI137" s="208" t="s">
        <v>87</v>
      </c>
      <c r="AJ137" s="208" t="s">
        <v>312</v>
      </c>
      <c r="AK137" s="205" t="s">
        <v>89</v>
      </c>
      <c r="AL137" s="204">
        <v>45649</v>
      </c>
      <c r="AM137" s="208">
        <v>-1</v>
      </c>
      <c r="AN137" s="209" t="s">
        <v>308</v>
      </c>
      <c r="AO137" s="209" t="s">
        <v>72</v>
      </c>
      <c r="AP137" s="209" t="s">
        <v>309</v>
      </c>
      <c r="AQ137" s="209"/>
      <c r="AR137" s="209" t="s">
        <v>72</v>
      </c>
      <c r="AS137" s="209" t="s">
        <v>91</v>
      </c>
      <c r="AT137" s="209" t="s">
        <v>973</v>
      </c>
      <c r="AU137" s="210">
        <v>5.6</v>
      </c>
      <c r="AV137" s="211">
        <v>10</v>
      </c>
      <c r="AW137" s="212">
        <v>17.3</v>
      </c>
      <c r="AX137" s="213">
        <v>15815</v>
      </c>
      <c r="AY137" s="213">
        <v>6120.4049999999997</v>
      </c>
      <c r="AZ137" s="210" t="s">
        <v>128</v>
      </c>
      <c r="BA137" s="209" t="s">
        <v>93</v>
      </c>
      <c r="BB137" s="214" t="str">
        <f>+IF(Tabla46782[[#This Row],[TIPO VEHÍCULO]]=Tabla46782[[#This Row],[Columna2]], "IGUAL", "DISTINTO")</f>
        <v>IGUAL</v>
      </c>
      <c r="BC137" s="214" t="str">
        <f>+IF(Tabla46782[[#This Row],[Columna4]]=Tabla46782[[#This Row],[Combustible2]], "IGUAL", "DISTINTO")</f>
        <v>IGUAL</v>
      </c>
      <c r="BD137" s="215" cm="1">
        <f t="array" ref="BD137">IFERROR(INDEX('[1]Anexos FICHA TRA050'!$D$27:$D$44, MATCH(Tabla46782[[#This Row],[Columna5]]&amp;Tabla46782[[#This Row],[Columna4]], '[1]Anexos FICHA TRA050'!$E$27:$E$44&amp;'[1]Anexos FICHA TRA050'!$F$27:$F$44, 0)), "")</f>
        <v>5.63</v>
      </c>
      <c r="BE137" s="215">
        <f>IFERROR(INDEX('[1]Anexos FICHA TRA050'!$B$4:$B$7, MATCH(Tabla46782[[#This Row],[Columna4]], '[1]Anexos FICHA TRA050'!$C$4:$C$7, 0)), "")</f>
        <v>10</v>
      </c>
      <c r="BF137" s="215">
        <f>IFERROR(INDEX('[1]Anexos FICHA TRA050'!$C$14:$C$22, MATCH(Tabla46782[[#This Row],[Columna5]], '[1]Anexos FICHA TRA050'!$D$14:$D$22, 0)), "")</f>
        <v>20.84</v>
      </c>
      <c r="BG137" s="216">
        <f>IFERROR(INDEX('[1]Anexos FICHA TRA050'!$C$49:$C$54, MATCH(Tabla46782[[#This Row],[Columna5]], '[1]Anexos FICHA TRA050'!$D$49:$D$54, 0)), "")</f>
        <v>15815</v>
      </c>
      <c r="BH137" s="217">
        <f>+(((Tabla46782[[#This Row],[CVA2]]*Tabla46782[[#This Row],[f2]])-Tabla46782[[#This Row],[CVN2]])/100)*Tabla46782[[#This Row],[L2]]</f>
        <v>5607.9989999999989</v>
      </c>
      <c r="BI137" s="218"/>
      <c r="BJ137" s="218"/>
      <c r="BK137" s="218" t="str">
        <f>+IF(Tabla46782[[#This Row],[F3]]=Tabla46782[[#This Row],[f2]], "IGUAL", "DISTINTO")</f>
        <v>IGUAL</v>
      </c>
      <c r="BL137" s="218" t="str">
        <f>+IF(Tabla46782[[#This Row],[CVN]]=Tabla46782[[#This Row],[CVN2]], "IGUAL", "DISTINTO")</f>
        <v>DISTINTO</v>
      </c>
      <c r="BM137" s="219" t="str">
        <f>+IF(Tabla46782[[#This Row],[L]]=Tabla46782[[#This Row],[L2]], "IGUAL", "DISTINTO")</f>
        <v>IGUAL</v>
      </c>
    </row>
    <row r="138" spans="1:65" x14ac:dyDescent="0.25">
      <c r="A138">
        <v>135</v>
      </c>
      <c r="B138" s="202" t="s">
        <v>974</v>
      </c>
      <c r="C138" s="203" t="s">
        <v>975</v>
      </c>
      <c r="D138" s="203" t="s">
        <v>128</v>
      </c>
      <c r="E138" s="203" t="s">
        <v>78</v>
      </c>
      <c r="F138" s="203" t="s">
        <v>78</v>
      </c>
      <c r="G138" s="203" t="s">
        <v>128</v>
      </c>
      <c r="H138" s="203" t="s">
        <v>72</v>
      </c>
      <c r="I138" s="203"/>
      <c r="J138" s="203" t="s">
        <v>72</v>
      </c>
      <c r="K138" s="203"/>
      <c r="L138" s="203" t="s">
        <v>72</v>
      </c>
      <c r="M138" s="203" t="s">
        <v>72</v>
      </c>
      <c r="N138" s="203"/>
      <c r="O138" s="203" t="s">
        <v>73</v>
      </c>
      <c r="P138" s="203" t="s">
        <v>200</v>
      </c>
      <c r="Q138" s="203" t="s">
        <v>201</v>
      </c>
      <c r="R138" s="203" t="s">
        <v>160</v>
      </c>
      <c r="S138" s="209">
        <v>44232</v>
      </c>
      <c r="T138" s="205">
        <v>45693</v>
      </c>
      <c r="U138" s="205">
        <f>VLOOKUP(Tabla46782[[#This Row],[Matricula]],BAJA2022202320242025!$B$3:$CR$245,95,FALSE)</f>
        <v>45653</v>
      </c>
      <c r="V138" s="206">
        <v>1461</v>
      </c>
      <c r="W138" s="207">
        <v>2025</v>
      </c>
      <c r="X138" s="203" t="s">
        <v>161</v>
      </c>
      <c r="Y138" s="203" t="s">
        <v>78</v>
      </c>
      <c r="Z138" s="203" t="s">
        <v>79</v>
      </c>
      <c r="AA138" s="203" t="s">
        <v>924</v>
      </c>
      <c r="AB138" s="203" t="s">
        <v>308</v>
      </c>
      <c r="AC138" s="203" t="s">
        <v>309</v>
      </c>
      <c r="AD138" s="203" t="s">
        <v>310</v>
      </c>
      <c r="AE138" s="208">
        <v>5</v>
      </c>
      <c r="AF138" s="208" t="s">
        <v>976</v>
      </c>
      <c r="AG138" s="208" t="s">
        <v>85</v>
      </c>
      <c r="AH138" s="208" t="s">
        <v>86</v>
      </c>
      <c r="AI138" s="208" t="s">
        <v>87</v>
      </c>
      <c r="AJ138" s="208" t="s">
        <v>310</v>
      </c>
      <c r="AK138" s="205" t="s">
        <v>89</v>
      </c>
      <c r="AL138" s="204">
        <v>45649</v>
      </c>
      <c r="AM138" s="208">
        <v>-1</v>
      </c>
      <c r="AN138" s="209" t="s">
        <v>308</v>
      </c>
      <c r="AO138" s="209" t="s">
        <v>72</v>
      </c>
      <c r="AP138" s="209" t="s">
        <v>309</v>
      </c>
      <c r="AQ138" s="209"/>
      <c r="AR138" s="209" t="s">
        <v>72</v>
      </c>
      <c r="AS138" s="209" t="s">
        <v>91</v>
      </c>
      <c r="AT138" s="209" t="s">
        <v>977</v>
      </c>
      <c r="AU138" s="210">
        <v>5.6</v>
      </c>
      <c r="AV138" s="211">
        <v>10</v>
      </c>
      <c r="AW138" s="212">
        <v>17.3</v>
      </c>
      <c r="AX138" s="213">
        <v>15815</v>
      </c>
      <c r="AY138" s="213">
        <v>6120.4049999999997</v>
      </c>
      <c r="AZ138" s="210" t="s">
        <v>128</v>
      </c>
      <c r="BA138" s="209" t="s">
        <v>93</v>
      </c>
      <c r="BB138" s="214" t="str">
        <f>+IF(Tabla46782[[#This Row],[TIPO VEHÍCULO]]=Tabla46782[[#This Row],[Columna2]], "IGUAL", "DISTINTO")</f>
        <v>IGUAL</v>
      </c>
      <c r="BC138" s="214" t="str">
        <f>+IF(Tabla46782[[#This Row],[Columna4]]=Tabla46782[[#This Row],[Combustible2]], "IGUAL", "DISTINTO")</f>
        <v>IGUAL</v>
      </c>
      <c r="BD138" s="215" cm="1">
        <f t="array" ref="BD138">IFERROR(INDEX('[1]Anexos FICHA TRA050'!$D$27:$D$44, MATCH(Tabla46782[[#This Row],[Columna5]]&amp;Tabla46782[[#This Row],[Columna4]], '[1]Anexos FICHA TRA050'!$E$27:$E$44&amp;'[1]Anexos FICHA TRA050'!$F$27:$F$44, 0)), "")</f>
        <v>5.63</v>
      </c>
      <c r="BE138" s="215">
        <f>IFERROR(INDEX('[1]Anexos FICHA TRA050'!$B$4:$B$7, MATCH(Tabla46782[[#This Row],[Columna4]], '[1]Anexos FICHA TRA050'!$C$4:$C$7, 0)), "")</f>
        <v>10</v>
      </c>
      <c r="BF138" s="215">
        <f>IFERROR(INDEX('[1]Anexos FICHA TRA050'!$C$14:$C$22, MATCH(Tabla46782[[#This Row],[Columna5]], '[1]Anexos FICHA TRA050'!$D$14:$D$22, 0)), "")</f>
        <v>20.84</v>
      </c>
      <c r="BG138" s="216">
        <f>IFERROR(INDEX('[1]Anexos FICHA TRA050'!$C$49:$C$54, MATCH(Tabla46782[[#This Row],[Columna5]], '[1]Anexos FICHA TRA050'!$D$49:$D$54, 0)), "")</f>
        <v>15815</v>
      </c>
      <c r="BH138" s="217">
        <f>+(((Tabla46782[[#This Row],[CVA2]]*Tabla46782[[#This Row],[f2]])-Tabla46782[[#This Row],[CVN2]])/100)*Tabla46782[[#This Row],[L2]]</f>
        <v>5607.9989999999989</v>
      </c>
      <c r="BI138" s="218"/>
      <c r="BJ138" s="218"/>
      <c r="BK138" s="218" t="str">
        <f>+IF(Tabla46782[[#This Row],[F3]]=Tabla46782[[#This Row],[f2]], "IGUAL", "DISTINTO")</f>
        <v>IGUAL</v>
      </c>
      <c r="BL138" s="218" t="str">
        <f>+IF(Tabla46782[[#This Row],[CVN]]=Tabla46782[[#This Row],[CVN2]], "IGUAL", "DISTINTO")</f>
        <v>DISTINTO</v>
      </c>
      <c r="BM138" s="219" t="str">
        <f>+IF(Tabla46782[[#This Row],[L]]=Tabla46782[[#This Row],[L2]], "IGUAL", "DISTINTO")</f>
        <v>IGUAL</v>
      </c>
    </row>
    <row r="139" spans="1:65" x14ac:dyDescent="0.25">
      <c r="A139">
        <v>136</v>
      </c>
      <c r="B139" s="202" t="s">
        <v>978</v>
      </c>
      <c r="C139" s="203" t="s">
        <v>979</v>
      </c>
      <c r="D139" s="203" t="s">
        <v>128</v>
      </c>
      <c r="E139" s="203" t="s">
        <v>78</v>
      </c>
      <c r="F139" s="203" t="s">
        <v>78</v>
      </c>
      <c r="G139" s="203" t="s">
        <v>128</v>
      </c>
      <c r="H139" s="203" t="s">
        <v>72</v>
      </c>
      <c r="I139" s="203"/>
      <c r="J139" s="203" t="s">
        <v>72</v>
      </c>
      <c r="K139" s="203"/>
      <c r="L139" s="203" t="s">
        <v>249</v>
      </c>
      <c r="M139" s="203" t="s">
        <v>249</v>
      </c>
      <c r="N139" s="203"/>
      <c r="O139" s="203" t="s">
        <v>73</v>
      </c>
      <c r="P139" s="203" t="s">
        <v>200</v>
      </c>
      <c r="Q139" s="203" t="s">
        <v>201</v>
      </c>
      <c r="R139" s="203" t="s">
        <v>76</v>
      </c>
      <c r="S139" s="209">
        <v>44235</v>
      </c>
      <c r="T139" s="205">
        <v>45696</v>
      </c>
      <c r="U139" s="205">
        <f>VLOOKUP(Tabla46782[[#This Row],[Matricula]],BAJA2022202320242025!$B$3:$CR$245,95,FALSE)</f>
        <v>45762</v>
      </c>
      <c r="V139" s="206">
        <v>1461</v>
      </c>
      <c r="W139" s="207">
        <v>2025</v>
      </c>
      <c r="X139" s="203" t="s">
        <v>77</v>
      </c>
      <c r="Y139" s="203" t="s">
        <v>78</v>
      </c>
      <c r="Z139" s="203" t="s">
        <v>79</v>
      </c>
      <c r="AA139" s="203" t="s">
        <v>924</v>
      </c>
      <c r="AB139" s="203" t="s">
        <v>308</v>
      </c>
      <c r="AC139" s="203" t="s">
        <v>309</v>
      </c>
      <c r="AD139" s="203" t="s">
        <v>980</v>
      </c>
      <c r="AE139" s="208">
        <v>6</v>
      </c>
      <c r="AF139" s="208" t="s">
        <v>981</v>
      </c>
      <c r="AG139" s="208" t="s">
        <v>85</v>
      </c>
      <c r="AH139" s="208" t="s">
        <v>86</v>
      </c>
      <c r="AI139" s="208" t="s">
        <v>87</v>
      </c>
      <c r="AJ139" s="208" t="s">
        <v>310</v>
      </c>
      <c r="AK139" s="205" t="s">
        <v>89</v>
      </c>
      <c r="AL139" s="204">
        <v>45649</v>
      </c>
      <c r="AM139" s="208">
        <v>-1</v>
      </c>
      <c r="AN139" s="209" t="s">
        <v>308</v>
      </c>
      <c r="AO139" s="209" t="s">
        <v>72</v>
      </c>
      <c r="AP139" s="209" t="s">
        <v>309</v>
      </c>
      <c r="AQ139" s="209"/>
      <c r="AR139" s="209" t="s">
        <v>72</v>
      </c>
      <c r="AS139" s="209" t="s">
        <v>91</v>
      </c>
      <c r="AT139" s="209" t="s">
        <v>982</v>
      </c>
      <c r="AU139" s="210">
        <v>5.6</v>
      </c>
      <c r="AV139" s="211">
        <v>10</v>
      </c>
      <c r="AW139" s="212">
        <v>17.3</v>
      </c>
      <c r="AX139" s="213">
        <v>15815</v>
      </c>
      <c r="AY139" s="213">
        <v>6120.4049999999997</v>
      </c>
      <c r="AZ139" s="210" t="s">
        <v>128</v>
      </c>
      <c r="BA139" s="209" t="s">
        <v>93</v>
      </c>
      <c r="BB139" s="214" t="str">
        <f>+IF(Tabla46782[[#This Row],[TIPO VEHÍCULO]]=Tabla46782[[#This Row],[Columna2]], "IGUAL", "DISTINTO")</f>
        <v>IGUAL</v>
      </c>
      <c r="BC139" s="214" t="str">
        <f>+IF(Tabla46782[[#This Row],[Columna4]]=Tabla46782[[#This Row],[Combustible2]], "IGUAL", "DISTINTO")</f>
        <v>IGUAL</v>
      </c>
      <c r="BD139" s="215" cm="1">
        <f t="array" ref="BD139">IFERROR(INDEX('[1]Anexos FICHA TRA050'!$D$27:$D$44, MATCH(Tabla46782[[#This Row],[Columna5]]&amp;Tabla46782[[#This Row],[Columna4]], '[1]Anexos FICHA TRA050'!$E$27:$E$44&amp;'[1]Anexos FICHA TRA050'!$F$27:$F$44, 0)), "")</f>
        <v>5.63</v>
      </c>
      <c r="BE139" s="215">
        <f>IFERROR(INDEX('[1]Anexos FICHA TRA050'!$B$4:$B$7, MATCH(Tabla46782[[#This Row],[Columna4]], '[1]Anexos FICHA TRA050'!$C$4:$C$7, 0)), "")</f>
        <v>10</v>
      </c>
      <c r="BF139" s="215">
        <f>IFERROR(INDEX('[1]Anexos FICHA TRA050'!$C$14:$C$22, MATCH(Tabla46782[[#This Row],[Columna5]], '[1]Anexos FICHA TRA050'!$D$14:$D$22, 0)), "")</f>
        <v>20.84</v>
      </c>
      <c r="BG139" s="216">
        <f>IFERROR(INDEX('[1]Anexos FICHA TRA050'!$C$49:$C$54, MATCH(Tabla46782[[#This Row],[Columna5]], '[1]Anexos FICHA TRA050'!$D$49:$D$54, 0)), "")</f>
        <v>15815</v>
      </c>
      <c r="BH139" s="217">
        <f>+(((Tabla46782[[#This Row],[CVA2]]*Tabla46782[[#This Row],[f2]])-Tabla46782[[#This Row],[CVN2]])/100)*Tabla46782[[#This Row],[L2]]</f>
        <v>5607.9989999999989</v>
      </c>
      <c r="BI139" s="218"/>
      <c r="BJ139" s="218"/>
      <c r="BK139" s="218" t="str">
        <f>+IF(Tabla46782[[#This Row],[F3]]=Tabla46782[[#This Row],[f2]], "IGUAL", "DISTINTO")</f>
        <v>IGUAL</v>
      </c>
      <c r="BL139" s="218" t="str">
        <f>+IF(Tabla46782[[#This Row],[CVN]]=Tabla46782[[#This Row],[CVN2]], "IGUAL", "DISTINTO")</f>
        <v>DISTINTO</v>
      </c>
      <c r="BM139" s="219" t="str">
        <f>+IF(Tabla46782[[#This Row],[L]]=Tabla46782[[#This Row],[L2]], "IGUAL", "DISTINTO")</f>
        <v>IGUAL</v>
      </c>
    </row>
    <row r="140" spans="1:65" x14ac:dyDescent="0.25">
      <c r="A140">
        <v>137</v>
      </c>
      <c r="B140" s="202" t="s">
        <v>983</v>
      </c>
      <c r="C140" s="203" t="s">
        <v>984</v>
      </c>
      <c r="D140" s="203" t="s">
        <v>128</v>
      </c>
      <c r="E140" s="203" t="s">
        <v>78</v>
      </c>
      <c r="F140" s="203" t="s">
        <v>78</v>
      </c>
      <c r="G140" s="203" t="s">
        <v>128</v>
      </c>
      <c r="H140" s="203" t="s">
        <v>72</v>
      </c>
      <c r="I140" s="203"/>
      <c r="J140" s="203" t="s">
        <v>72</v>
      </c>
      <c r="K140" s="203"/>
      <c r="L140" s="203" t="s">
        <v>72</v>
      </c>
      <c r="M140" s="203" t="s">
        <v>72</v>
      </c>
      <c r="N140" s="203"/>
      <c r="O140" s="203" t="s">
        <v>73</v>
      </c>
      <c r="P140" s="203" t="s">
        <v>200</v>
      </c>
      <c r="Q140" s="203" t="s">
        <v>201</v>
      </c>
      <c r="R140" s="203" t="s">
        <v>160</v>
      </c>
      <c r="S140" s="209">
        <v>44250</v>
      </c>
      <c r="T140" s="205">
        <v>45711</v>
      </c>
      <c r="U140" s="205">
        <f>VLOOKUP(Tabla46782[[#This Row],[Matricula]],BAJA2022202320242025!$B$3:$CR$245,95,FALSE)</f>
        <v>45615</v>
      </c>
      <c r="V140" s="206">
        <v>1461</v>
      </c>
      <c r="W140" s="207">
        <v>2025</v>
      </c>
      <c r="X140" s="203" t="s">
        <v>161</v>
      </c>
      <c r="Y140" s="203" t="s">
        <v>78</v>
      </c>
      <c r="Z140" s="203" t="s">
        <v>79</v>
      </c>
      <c r="AA140" s="203" t="s">
        <v>924</v>
      </c>
      <c r="AB140" s="203" t="s">
        <v>985</v>
      </c>
      <c r="AC140" s="203" t="s">
        <v>986</v>
      </c>
      <c r="AD140" s="203" t="s">
        <v>987</v>
      </c>
      <c r="AE140" s="208">
        <v>1</v>
      </c>
      <c r="AF140" s="208" t="s">
        <v>988</v>
      </c>
      <c r="AG140" s="208" t="s">
        <v>85</v>
      </c>
      <c r="AH140" s="208" t="s">
        <v>86</v>
      </c>
      <c r="AI140" s="208" t="s">
        <v>87</v>
      </c>
      <c r="AJ140" s="208" t="s">
        <v>987</v>
      </c>
      <c r="AK140" s="205" t="s">
        <v>89</v>
      </c>
      <c r="AL140" s="204">
        <v>45653</v>
      </c>
      <c r="AM140" s="208">
        <v>-1</v>
      </c>
      <c r="AN140" s="209" t="s">
        <v>985</v>
      </c>
      <c r="AO140" s="209" t="s">
        <v>989</v>
      </c>
      <c r="AP140" s="209" t="s">
        <v>986</v>
      </c>
      <c r="AQ140" s="209"/>
      <c r="AR140" s="209" t="s">
        <v>72</v>
      </c>
      <c r="AS140" s="209" t="s">
        <v>91</v>
      </c>
      <c r="AT140" s="209" t="s">
        <v>990</v>
      </c>
      <c r="AU140" s="210">
        <v>5.6</v>
      </c>
      <c r="AV140" s="211">
        <v>10</v>
      </c>
      <c r="AW140" s="212">
        <v>17.3</v>
      </c>
      <c r="AX140" s="213">
        <v>15815</v>
      </c>
      <c r="AY140" s="213">
        <v>6120.4049999999997</v>
      </c>
      <c r="AZ140" s="210" t="s">
        <v>128</v>
      </c>
      <c r="BA140" s="209" t="s">
        <v>93</v>
      </c>
      <c r="BB140" s="214" t="str">
        <f>+IF(Tabla46782[[#This Row],[TIPO VEHÍCULO]]=Tabla46782[[#This Row],[Columna2]], "IGUAL", "DISTINTO")</f>
        <v>IGUAL</v>
      </c>
      <c r="BC140" s="214" t="str">
        <f>+IF(Tabla46782[[#This Row],[Columna4]]=Tabla46782[[#This Row],[Combustible2]], "IGUAL", "DISTINTO")</f>
        <v>IGUAL</v>
      </c>
      <c r="BD140" s="215" cm="1">
        <f t="array" ref="BD140">IFERROR(INDEX('[1]Anexos FICHA TRA050'!$D$27:$D$44, MATCH(Tabla46782[[#This Row],[Columna5]]&amp;Tabla46782[[#This Row],[Columna4]], '[1]Anexos FICHA TRA050'!$E$27:$E$44&amp;'[1]Anexos FICHA TRA050'!$F$27:$F$44, 0)), "")</f>
        <v>5.63</v>
      </c>
      <c r="BE140" s="215">
        <f>IFERROR(INDEX('[1]Anexos FICHA TRA050'!$B$4:$B$7, MATCH(Tabla46782[[#This Row],[Columna4]], '[1]Anexos FICHA TRA050'!$C$4:$C$7, 0)), "")</f>
        <v>10</v>
      </c>
      <c r="BF140" s="215">
        <f>IFERROR(INDEX('[1]Anexos FICHA TRA050'!$C$14:$C$22, MATCH(Tabla46782[[#This Row],[Columna5]], '[1]Anexos FICHA TRA050'!$D$14:$D$22, 0)), "")</f>
        <v>20.84</v>
      </c>
      <c r="BG140" s="216">
        <f>IFERROR(INDEX('[1]Anexos FICHA TRA050'!$C$49:$C$54, MATCH(Tabla46782[[#This Row],[Columna5]], '[1]Anexos FICHA TRA050'!$D$49:$D$54, 0)), "")</f>
        <v>15815</v>
      </c>
      <c r="BH140" s="217">
        <f>+(((Tabla46782[[#This Row],[CVA2]]*Tabla46782[[#This Row],[f2]])-Tabla46782[[#This Row],[CVN2]])/100)*Tabla46782[[#This Row],[L2]]</f>
        <v>5607.9989999999989</v>
      </c>
      <c r="BI140" s="218"/>
      <c r="BJ140" s="218"/>
      <c r="BK140" s="218" t="str">
        <f>+IF(Tabla46782[[#This Row],[F3]]=Tabla46782[[#This Row],[f2]], "IGUAL", "DISTINTO")</f>
        <v>IGUAL</v>
      </c>
      <c r="BL140" s="218" t="str">
        <f>+IF(Tabla46782[[#This Row],[CVN]]=Tabla46782[[#This Row],[CVN2]], "IGUAL", "DISTINTO")</f>
        <v>DISTINTO</v>
      </c>
      <c r="BM140" s="219" t="str">
        <f>+IF(Tabla46782[[#This Row],[L]]=Tabla46782[[#This Row],[L2]], "IGUAL", "DISTINTO")</f>
        <v>IGUAL</v>
      </c>
    </row>
    <row r="141" spans="1:65" x14ac:dyDescent="0.25">
      <c r="A141">
        <v>138</v>
      </c>
      <c r="B141" s="202" t="s">
        <v>991</v>
      </c>
      <c r="C141" s="203" t="s">
        <v>992</v>
      </c>
      <c r="D141" s="203" t="s">
        <v>128</v>
      </c>
      <c r="E141" s="203" t="s">
        <v>78</v>
      </c>
      <c r="F141" s="203" t="s">
        <v>78</v>
      </c>
      <c r="G141" s="203" t="s">
        <v>128</v>
      </c>
      <c r="H141" s="203" t="s">
        <v>72</v>
      </c>
      <c r="I141" s="203"/>
      <c r="J141" s="203" t="s">
        <v>72</v>
      </c>
      <c r="K141" s="203"/>
      <c r="L141" s="203" t="s">
        <v>249</v>
      </c>
      <c r="M141" s="203" t="s">
        <v>249</v>
      </c>
      <c r="N141" s="203"/>
      <c r="O141" s="203" t="s">
        <v>73</v>
      </c>
      <c r="P141" s="203" t="s">
        <v>200</v>
      </c>
      <c r="Q141" s="203" t="s">
        <v>201</v>
      </c>
      <c r="R141" s="203" t="s">
        <v>76</v>
      </c>
      <c r="S141" s="209">
        <v>44228</v>
      </c>
      <c r="T141" s="205">
        <v>45716</v>
      </c>
      <c r="U141" s="205">
        <f>VLOOKUP(Tabla46782[[#This Row],[Matricula]],BAJA2022202320242025!$B$3:$CR$245,95,FALSE)</f>
        <v>45743</v>
      </c>
      <c r="V141" s="206">
        <v>1488</v>
      </c>
      <c r="W141" s="207">
        <v>2025</v>
      </c>
      <c r="X141" s="203" t="s">
        <v>77</v>
      </c>
      <c r="Y141" s="203" t="s">
        <v>78</v>
      </c>
      <c r="Z141" s="203" t="s">
        <v>79</v>
      </c>
      <c r="AA141" s="203" t="s">
        <v>924</v>
      </c>
      <c r="AB141" s="203" t="s">
        <v>102</v>
      </c>
      <c r="AC141" s="203" t="s">
        <v>103</v>
      </c>
      <c r="AD141" s="203" t="s">
        <v>993</v>
      </c>
      <c r="AE141" s="208">
        <v>41</v>
      </c>
      <c r="AF141" s="208" t="s">
        <v>994</v>
      </c>
      <c r="AG141" s="208" t="s">
        <v>85</v>
      </c>
      <c r="AH141" s="208" t="s">
        <v>86</v>
      </c>
      <c r="AI141" s="208" t="s">
        <v>87</v>
      </c>
      <c r="AJ141" s="208" t="s">
        <v>301</v>
      </c>
      <c r="AK141" s="205" t="s">
        <v>89</v>
      </c>
      <c r="AL141" s="204">
        <v>45625</v>
      </c>
      <c r="AM141" s="208">
        <v>-1</v>
      </c>
      <c r="AN141" s="209" t="s">
        <v>102</v>
      </c>
      <c r="AO141" s="209" t="s">
        <v>995</v>
      </c>
      <c r="AP141" s="209" t="s">
        <v>103</v>
      </c>
      <c r="AQ141" s="209"/>
      <c r="AR141" s="209" t="s">
        <v>72</v>
      </c>
      <c r="AS141" s="209" t="s">
        <v>109</v>
      </c>
      <c r="AT141" s="209" t="s">
        <v>996</v>
      </c>
      <c r="AU141" s="210">
        <v>5.6</v>
      </c>
      <c r="AV141" s="211">
        <v>10</v>
      </c>
      <c r="AW141" s="212">
        <v>17.3</v>
      </c>
      <c r="AX141" s="213">
        <v>15815</v>
      </c>
      <c r="AY141" s="213">
        <v>6120.4049999999997</v>
      </c>
      <c r="AZ141" s="210" t="s">
        <v>128</v>
      </c>
      <c r="BA141" s="209" t="s">
        <v>93</v>
      </c>
      <c r="BB141" s="214" t="str">
        <f>+IF(Tabla46782[[#This Row],[TIPO VEHÍCULO]]=Tabla46782[[#This Row],[Columna2]], "IGUAL", "DISTINTO")</f>
        <v>IGUAL</v>
      </c>
      <c r="BC141" s="214" t="str">
        <f>+IF(Tabla46782[[#This Row],[Columna4]]=Tabla46782[[#This Row],[Combustible2]], "IGUAL", "DISTINTO")</f>
        <v>IGUAL</v>
      </c>
      <c r="BD141" s="215" cm="1">
        <f t="array" ref="BD141">IFERROR(INDEX('[1]Anexos FICHA TRA050'!$D$27:$D$44, MATCH(Tabla46782[[#This Row],[Columna5]]&amp;Tabla46782[[#This Row],[Columna4]], '[1]Anexos FICHA TRA050'!$E$27:$E$44&amp;'[1]Anexos FICHA TRA050'!$F$27:$F$44, 0)), "")</f>
        <v>5.63</v>
      </c>
      <c r="BE141" s="215">
        <f>IFERROR(INDEX('[1]Anexos FICHA TRA050'!$B$4:$B$7, MATCH(Tabla46782[[#This Row],[Columna4]], '[1]Anexos FICHA TRA050'!$C$4:$C$7, 0)), "")</f>
        <v>10</v>
      </c>
      <c r="BF141" s="215">
        <f>IFERROR(INDEX('[1]Anexos FICHA TRA050'!$C$14:$C$22, MATCH(Tabla46782[[#This Row],[Columna5]], '[1]Anexos FICHA TRA050'!$D$14:$D$22, 0)), "")</f>
        <v>20.84</v>
      </c>
      <c r="BG141" s="216">
        <f>IFERROR(INDEX('[1]Anexos FICHA TRA050'!$C$49:$C$54, MATCH(Tabla46782[[#This Row],[Columna5]], '[1]Anexos FICHA TRA050'!$D$49:$D$54, 0)), "")</f>
        <v>15815</v>
      </c>
      <c r="BH141" s="217">
        <f>+(((Tabla46782[[#This Row],[CVA2]]*Tabla46782[[#This Row],[f2]])-Tabla46782[[#This Row],[CVN2]])/100)*Tabla46782[[#This Row],[L2]]</f>
        <v>5607.9989999999989</v>
      </c>
      <c r="BI141" s="218"/>
      <c r="BJ141" s="218"/>
      <c r="BK141" s="218" t="str">
        <f>+IF(Tabla46782[[#This Row],[F3]]=Tabla46782[[#This Row],[f2]], "IGUAL", "DISTINTO")</f>
        <v>IGUAL</v>
      </c>
      <c r="BL141" s="218" t="str">
        <f>+IF(Tabla46782[[#This Row],[CVN]]=Tabla46782[[#This Row],[CVN2]], "IGUAL", "DISTINTO")</f>
        <v>DISTINTO</v>
      </c>
      <c r="BM141" s="219" t="str">
        <f>+IF(Tabla46782[[#This Row],[L]]=Tabla46782[[#This Row],[L2]], "IGUAL", "DISTINTO")</f>
        <v>IGUAL</v>
      </c>
    </row>
    <row r="142" spans="1:65" x14ac:dyDescent="0.25">
      <c r="A142">
        <v>139</v>
      </c>
      <c r="B142" s="202" t="s">
        <v>997</v>
      </c>
      <c r="C142" s="203" t="s">
        <v>998</v>
      </c>
      <c r="D142" s="203" t="s">
        <v>128</v>
      </c>
      <c r="E142" s="203" t="s">
        <v>78</v>
      </c>
      <c r="F142" s="203" t="s">
        <v>78</v>
      </c>
      <c r="G142" s="203" t="s">
        <v>128</v>
      </c>
      <c r="H142" s="203" t="s">
        <v>72</v>
      </c>
      <c r="I142" s="203"/>
      <c r="J142" s="203" t="s">
        <v>72</v>
      </c>
      <c r="K142" s="203"/>
      <c r="L142" s="203" t="s">
        <v>249</v>
      </c>
      <c r="M142" s="203" t="s">
        <v>249</v>
      </c>
      <c r="N142" s="203"/>
      <c r="O142" s="203" t="s">
        <v>73</v>
      </c>
      <c r="P142" s="203" t="s">
        <v>200</v>
      </c>
      <c r="Q142" s="203" t="s">
        <v>201</v>
      </c>
      <c r="R142" s="203" t="s">
        <v>160</v>
      </c>
      <c r="S142" s="209">
        <v>44270</v>
      </c>
      <c r="T142" s="205">
        <v>45731</v>
      </c>
      <c r="U142" s="205">
        <f>VLOOKUP(Tabla46782[[#This Row],[Matricula]],BAJA2022202320242025!$B$3:$CR$245,95,FALSE)</f>
        <v>45471</v>
      </c>
      <c r="V142" s="206">
        <v>1461</v>
      </c>
      <c r="W142" s="207">
        <v>2025</v>
      </c>
      <c r="X142" s="203" t="s">
        <v>161</v>
      </c>
      <c r="Y142" s="203" t="s">
        <v>78</v>
      </c>
      <c r="Z142" s="203" t="s">
        <v>79</v>
      </c>
      <c r="AA142" s="203" t="s">
        <v>924</v>
      </c>
      <c r="AB142" s="203" t="s">
        <v>102</v>
      </c>
      <c r="AC142" s="203" t="s">
        <v>103</v>
      </c>
      <c r="AD142" s="203" t="s">
        <v>669</v>
      </c>
      <c r="AE142" s="208">
        <v>42</v>
      </c>
      <c r="AF142" s="208" t="s">
        <v>999</v>
      </c>
      <c r="AG142" s="208" t="s">
        <v>85</v>
      </c>
      <c r="AH142" s="208" t="s">
        <v>86</v>
      </c>
      <c r="AI142" s="208" t="s">
        <v>87</v>
      </c>
      <c r="AJ142" s="208" t="s">
        <v>301</v>
      </c>
      <c r="AK142" s="205" t="s">
        <v>89</v>
      </c>
      <c r="AL142" s="204">
        <v>45625</v>
      </c>
      <c r="AM142" s="208">
        <v>-1</v>
      </c>
      <c r="AN142" s="209" t="s">
        <v>102</v>
      </c>
      <c r="AO142" s="209" t="s">
        <v>1000</v>
      </c>
      <c r="AP142" s="209" t="s">
        <v>103</v>
      </c>
      <c r="AQ142" s="209"/>
      <c r="AR142" s="209" t="s">
        <v>72</v>
      </c>
      <c r="AS142" s="209" t="s">
        <v>109</v>
      </c>
      <c r="AT142" s="209" t="s">
        <v>1001</v>
      </c>
      <c r="AU142" s="210">
        <v>5.6</v>
      </c>
      <c r="AV142" s="211">
        <v>10</v>
      </c>
      <c r="AW142" s="212">
        <v>17.3</v>
      </c>
      <c r="AX142" s="213">
        <v>15815</v>
      </c>
      <c r="AY142" s="213">
        <v>6120.4049999999997</v>
      </c>
      <c r="AZ142" s="210" t="s">
        <v>128</v>
      </c>
      <c r="BA142" s="209" t="s">
        <v>93</v>
      </c>
      <c r="BB142" s="214" t="str">
        <f>+IF(Tabla46782[[#This Row],[TIPO VEHÍCULO]]=Tabla46782[[#This Row],[Columna2]], "IGUAL", "DISTINTO")</f>
        <v>IGUAL</v>
      </c>
      <c r="BC142" s="214" t="str">
        <f>+IF(Tabla46782[[#This Row],[Columna4]]=Tabla46782[[#This Row],[Combustible2]], "IGUAL", "DISTINTO")</f>
        <v>IGUAL</v>
      </c>
      <c r="BD142" s="215" cm="1">
        <f t="array" ref="BD142">IFERROR(INDEX('[1]Anexos FICHA TRA050'!$D$27:$D$44, MATCH(Tabla46782[[#This Row],[Columna5]]&amp;Tabla46782[[#This Row],[Columna4]], '[1]Anexos FICHA TRA050'!$E$27:$E$44&amp;'[1]Anexos FICHA TRA050'!$F$27:$F$44, 0)), "")</f>
        <v>5.63</v>
      </c>
      <c r="BE142" s="215">
        <f>IFERROR(INDEX('[1]Anexos FICHA TRA050'!$B$4:$B$7, MATCH(Tabla46782[[#This Row],[Columna4]], '[1]Anexos FICHA TRA050'!$C$4:$C$7, 0)), "")</f>
        <v>10</v>
      </c>
      <c r="BF142" s="215">
        <f>IFERROR(INDEX('[1]Anexos FICHA TRA050'!$C$14:$C$22, MATCH(Tabla46782[[#This Row],[Columna5]], '[1]Anexos FICHA TRA050'!$D$14:$D$22, 0)), "")</f>
        <v>20.84</v>
      </c>
      <c r="BG142" s="216">
        <f>IFERROR(INDEX('[1]Anexos FICHA TRA050'!$C$49:$C$54, MATCH(Tabla46782[[#This Row],[Columna5]], '[1]Anexos FICHA TRA050'!$D$49:$D$54, 0)), "")</f>
        <v>15815</v>
      </c>
      <c r="BH142" s="217">
        <f>+(((Tabla46782[[#This Row],[CVA2]]*Tabla46782[[#This Row],[f2]])-Tabla46782[[#This Row],[CVN2]])/100)*Tabla46782[[#This Row],[L2]]</f>
        <v>5607.9989999999989</v>
      </c>
      <c r="BI142" s="218"/>
      <c r="BJ142" s="218"/>
      <c r="BK142" s="218" t="str">
        <f>+IF(Tabla46782[[#This Row],[F3]]=Tabla46782[[#This Row],[f2]], "IGUAL", "DISTINTO")</f>
        <v>IGUAL</v>
      </c>
      <c r="BL142" s="218" t="str">
        <f>+IF(Tabla46782[[#This Row],[CVN]]=Tabla46782[[#This Row],[CVN2]], "IGUAL", "DISTINTO")</f>
        <v>DISTINTO</v>
      </c>
      <c r="BM142" s="219" t="str">
        <f>+IF(Tabla46782[[#This Row],[L]]=Tabla46782[[#This Row],[L2]], "IGUAL", "DISTINTO")</f>
        <v>IGUAL</v>
      </c>
    </row>
    <row r="143" spans="1:65" x14ac:dyDescent="0.25">
      <c r="A143">
        <v>140</v>
      </c>
      <c r="B143" s="202" t="s">
        <v>1002</v>
      </c>
      <c r="C143" s="203" t="s">
        <v>1003</v>
      </c>
      <c r="D143" s="203" t="s">
        <v>128</v>
      </c>
      <c r="E143" s="203" t="s">
        <v>78</v>
      </c>
      <c r="F143" s="203" t="s">
        <v>78</v>
      </c>
      <c r="G143" s="203" t="s">
        <v>128</v>
      </c>
      <c r="H143" s="203" t="s">
        <v>72</v>
      </c>
      <c r="I143" s="203"/>
      <c r="J143" s="203" t="s">
        <v>72</v>
      </c>
      <c r="K143" s="203"/>
      <c r="L143" s="203" t="s">
        <v>249</v>
      </c>
      <c r="M143" s="203" t="s">
        <v>249</v>
      </c>
      <c r="N143" s="203"/>
      <c r="O143" s="203" t="s">
        <v>73</v>
      </c>
      <c r="P143" s="203" t="s">
        <v>200</v>
      </c>
      <c r="Q143" s="203" t="s">
        <v>201</v>
      </c>
      <c r="R143" s="203" t="s">
        <v>76</v>
      </c>
      <c r="S143" s="209">
        <v>44266</v>
      </c>
      <c r="T143" s="205">
        <v>45747</v>
      </c>
      <c r="U143" s="205">
        <f>VLOOKUP(Tabla46782[[#This Row],[Matricula]],BAJA2022202320242025!$B$3:$CR$245,95,FALSE)</f>
        <v>45762</v>
      </c>
      <c r="V143" s="206">
        <v>1481</v>
      </c>
      <c r="W143" s="207">
        <v>2025</v>
      </c>
      <c r="X143" s="203" t="s">
        <v>77</v>
      </c>
      <c r="Y143" s="203" t="s">
        <v>78</v>
      </c>
      <c r="Z143" s="203" t="s">
        <v>79</v>
      </c>
      <c r="AA143" s="203" t="s">
        <v>924</v>
      </c>
      <c r="AB143" s="203" t="s">
        <v>308</v>
      </c>
      <c r="AC143" s="203" t="s">
        <v>309</v>
      </c>
      <c r="AD143" s="203" t="s">
        <v>1004</v>
      </c>
      <c r="AE143" s="208">
        <v>7</v>
      </c>
      <c r="AF143" s="208" t="s">
        <v>1005</v>
      </c>
      <c r="AG143" s="208" t="s">
        <v>85</v>
      </c>
      <c r="AH143" s="208" t="s">
        <v>86</v>
      </c>
      <c r="AI143" s="208" t="s">
        <v>87</v>
      </c>
      <c r="AJ143" s="208" t="s">
        <v>310</v>
      </c>
      <c r="AK143" s="205" t="s">
        <v>89</v>
      </c>
      <c r="AL143" s="204">
        <v>45652</v>
      </c>
      <c r="AM143" s="208">
        <v>-1</v>
      </c>
      <c r="AN143" s="209" t="s">
        <v>308</v>
      </c>
      <c r="AO143" s="209" t="s">
        <v>72</v>
      </c>
      <c r="AP143" s="209" t="s">
        <v>309</v>
      </c>
      <c r="AQ143" s="209"/>
      <c r="AR143" s="209" t="s">
        <v>72</v>
      </c>
      <c r="AS143" s="209" t="s">
        <v>91</v>
      </c>
      <c r="AT143" s="209" t="s">
        <v>1006</v>
      </c>
      <c r="AU143" s="210">
        <v>5.6</v>
      </c>
      <c r="AV143" s="211">
        <v>10</v>
      </c>
      <c r="AW143" s="212">
        <v>17.3</v>
      </c>
      <c r="AX143" s="213">
        <v>15815</v>
      </c>
      <c r="AY143" s="213">
        <v>6120.4049999999997</v>
      </c>
      <c r="AZ143" s="210" t="s">
        <v>128</v>
      </c>
      <c r="BA143" s="209" t="s">
        <v>93</v>
      </c>
      <c r="BB143" s="214" t="str">
        <f>+IF(Tabla46782[[#This Row],[TIPO VEHÍCULO]]=Tabla46782[[#This Row],[Columna2]], "IGUAL", "DISTINTO")</f>
        <v>IGUAL</v>
      </c>
      <c r="BC143" s="214" t="str">
        <f>+IF(Tabla46782[[#This Row],[Columna4]]=Tabla46782[[#This Row],[Combustible2]], "IGUAL", "DISTINTO")</f>
        <v>IGUAL</v>
      </c>
      <c r="BD143" s="215" cm="1">
        <f t="array" ref="BD143">IFERROR(INDEX('[1]Anexos FICHA TRA050'!$D$27:$D$44, MATCH(Tabla46782[[#This Row],[Columna5]]&amp;Tabla46782[[#This Row],[Columna4]], '[1]Anexos FICHA TRA050'!$E$27:$E$44&amp;'[1]Anexos FICHA TRA050'!$F$27:$F$44, 0)), "")</f>
        <v>5.63</v>
      </c>
      <c r="BE143" s="215">
        <f>IFERROR(INDEX('[1]Anexos FICHA TRA050'!$B$4:$B$7, MATCH(Tabla46782[[#This Row],[Columna4]], '[1]Anexos FICHA TRA050'!$C$4:$C$7, 0)), "")</f>
        <v>10</v>
      </c>
      <c r="BF143" s="215">
        <f>IFERROR(INDEX('[1]Anexos FICHA TRA050'!$C$14:$C$22, MATCH(Tabla46782[[#This Row],[Columna5]], '[1]Anexos FICHA TRA050'!$D$14:$D$22, 0)), "")</f>
        <v>20.84</v>
      </c>
      <c r="BG143" s="216">
        <f>IFERROR(INDEX('[1]Anexos FICHA TRA050'!$C$49:$C$54, MATCH(Tabla46782[[#This Row],[Columna5]], '[1]Anexos FICHA TRA050'!$D$49:$D$54, 0)), "")</f>
        <v>15815</v>
      </c>
      <c r="BH143" s="217">
        <f>+(((Tabla46782[[#This Row],[CVA2]]*Tabla46782[[#This Row],[f2]])-Tabla46782[[#This Row],[CVN2]])/100)*Tabla46782[[#This Row],[L2]]</f>
        <v>5607.9989999999989</v>
      </c>
      <c r="BI143" s="218"/>
      <c r="BJ143" s="218"/>
      <c r="BK143" s="218" t="str">
        <f>+IF(Tabla46782[[#This Row],[F3]]=Tabla46782[[#This Row],[f2]], "IGUAL", "DISTINTO")</f>
        <v>IGUAL</v>
      </c>
      <c r="BL143" s="218" t="str">
        <f>+IF(Tabla46782[[#This Row],[CVN]]=Tabla46782[[#This Row],[CVN2]], "IGUAL", "DISTINTO")</f>
        <v>DISTINTO</v>
      </c>
      <c r="BM143" s="219" t="str">
        <f>+IF(Tabla46782[[#This Row],[L]]=Tabla46782[[#This Row],[L2]], "IGUAL", "DISTINTO")</f>
        <v>IGUAL</v>
      </c>
    </row>
    <row r="144" spans="1:65" ht="14.1" customHeight="1" x14ac:dyDescent="0.25">
      <c r="A144">
        <v>141</v>
      </c>
      <c r="B144" s="202" t="s">
        <v>1007</v>
      </c>
      <c r="C144" s="203" t="s">
        <v>1008</v>
      </c>
      <c r="D144" s="203" t="s">
        <v>128</v>
      </c>
      <c r="E144" s="203" t="s">
        <v>1009</v>
      </c>
      <c r="F144" s="203" t="s">
        <v>674</v>
      </c>
      <c r="G144" s="203" t="s">
        <v>128</v>
      </c>
      <c r="H144" s="203" t="s">
        <v>72</v>
      </c>
      <c r="I144" s="203" t="s">
        <v>72</v>
      </c>
      <c r="J144" s="203" t="s">
        <v>72</v>
      </c>
      <c r="K144" s="203"/>
      <c r="L144" s="203" t="s">
        <v>72</v>
      </c>
      <c r="M144" s="203" t="s">
        <v>72</v>
      </c>
      <c r="N144" s="203"/>
      <c r="O144" s="203" t="s">
        <v>129</v>
      </c>
      <c r="P144" s="203" t="s">
        <v>74</v>
      </c>
      <c r="Q144" s="203" t="s">
        <v>75</v>
      </c>
      <c r="R144" s="203" t="s">
        <v>76</v>
      </c>
      <c r="S144" s="204">
        <v>44069</v>
      </c>
      <c r="T144" s="205">
        <v>45245</v>
      </c>
      <c r="U144" s="205">
        <f>VLOOKUP(Tabla46782[[#This Row],[Matricula]],BAJA2022202320242025!$B$3:$CR$245,95,FALSE)</f>
        <v>45245</v>
      </c>
      <c r="V144" s="206">
        <v>1176</v>
      </c>
      <c r="W144" s="207">
        <v>2023</v>
      </c>
      <c r="X144" s="203" t="s">
        <v>77</v>
      </c>
      <c r="Y144" s="203" t="s">
        <v>78</v>
      </c>
      <c r="Z144" s="203" t="s">
        <v>380</v>
      </c>
      <c r="AA144" s="203" t="s">
        <v>1010</v>
      </c>
      <c r="AB144" s="203" t="s">
        <v>131</v>
      </c>
      <c r="AC144" s="203" t="s">
        <v>132</v>
      </c>
      <c r="AD144" s="203" t="s">
        <v>622</v>
      </c>
      <c r="AE144" s="208">
        <v>14</v>
      </c>
      <c r="AF144" s="208" t="s">
        <v>1011</v>
      </c>
      <c r="AG144" s="208" t="s">
        <v>85</v>
      </c>
      <c r="AH144" s="208" t="s">
        <v>86</v>
      </c>
      <c r="AI144" s="208" t="s">
        <v>87</v>
      </c>
      <c r="AJ144" s="208" t="s">
        <v>610</v>
      </c>
      <c r="AK144" s="205" t="s">
        <v>89</v>
      </c>
      <c r="AL144" s="204">
        <v>45625</v>
      </c>
      <c r="AM144" s="208">
        <v>1</v>
      </c>
      <c r="AN144" s="209" t="s">
        <v>131</v>
      </c>
      <c r="AO144" s="209" t="s">
        <v>1012</v>
      </c>
      <c r="AP144" s="209" t="s">
        <v>132</v>
      </c>
      <c r="AQ144" s="209"/>
      <c r="AR144" s="209" t="s">
        <v>72</v>
      </c>
      <c r="AS144" s="209" t="s">
        <v>91</v>
      </c>
      <c r="AT144" s="209" t="s">
        <v>1013</v>
      </c>
      <c r="AU144" s="210">
        <v>5.6</v>
      </c>
      <c r="AV144" s="211">
        <v>10</v>
      </c>
      <c r="AW144" s="212">
        <v>17.3</v>
      </c>
      <c r="AX144" s="213">
        <v>15815</v>
      </c>
      <c r="AY144" s="213">
        <v>6120.4049999999997</v>
      </c>
      <c r="AZ144" s="210" t="s">
        <v>128</v>
      </c>
      <c r="BA144" s="209" t="s">
        <v>93</v>
      </c>
      <c r="BB144" s="214" t="str">
        <f>+IF(Tabla46782[[#This Row],[TIPO VEHÍCULO]]=Tabla46782[[#This Row],[Columna2]], "IGUAL", "DISTINTO")</f>
        <v>IGUAL</v>
      </c>
      <c r="BC144" s="214" t="str">
        <f>+IF(Tabla46782[[#This Row],[Columna4]]=Tabla46782[[#This Row],[Combustible2]], "IGUAL", "DISTINTO")</f>
        <v>DISTINTO</v>
      </c>
      <c r="BD144" s="215" t="str" cm="1">
        <f t="array" ref="BD144">IFERROR(INDEX('[1]Anexos FICHA TRA050'!$D$27:$D$44, MATCH(Tabla46782[[#This Row],[Columna5]]&amp;Tabla46782[[#This Row],[Columna4]], '[1]Anexos FICHA TRA050'!$E$27:$E$44&amp;'[1]Anexos FICHA TRA050'!$F$27:$F$44, 0)), "")</f>
        <v/>
      </c>
      <c r="BE144" s="215">
        <f>IFERROR(INDEX('[1]Anexos FICHA TRA050'!$B$4:$B$7, MATCH(Tabla46782[[#This Row],[Columna4]], '[1]Anexos FICHA TRA050'!$C$4:$C$7, 0)), "")</f>
        <v>7.16</v>
      </c>
      <c r="BF144" s="215">
        <f>IFERROR(INDEX('[1]Anexos FICHA TRA050'!$C$14:$C$22, MATCH(Tabla46782[[#This Row],[Columna5]], '[1]Anexos FICHA TRA050'!$D$14:$D$22, 0)), "")</f>
        <v>20.84</v>
      </c>
      <c r="BG144" s="216">
        <f>IFERROR(INDEX('[1]Anexos FICHA TRA050'!$C$49:$C$54, MATCH(Tabla46782[[#This Row],[Columna5]], '[1]Anexos FICHA TRA050'!$D$49:$D$54, 0)), "")</f>
        <v>15815</v>
      </c>
      <c r="BH144" s="217" t="e">
        <f>+(((Tabla46782[[#This Row],[CVA2]]*Tabla46782[[#This Row],[f2]])-Tabla46782[[#This Row],[CVN2]])/100)*Tabla46782[[#This Row],[L2]]</f>
        <v>#VALUE!</v>
      </c>
      <c r="BI144" s="218"/>
      <c r="BJ144" s="218"/>
      <c r="BK144" s="218" t="str">
        <f>+IF(Tabla46782[[#This Row],[F3]]=Tabla46782[[#This Row],[f2]], "IGUAL", "DISTINTO")</f>
        <v>DISTINTO</v>
      </c>
      <c r="BL144" s="218" t="str">
        <f>+IF(Tabla46782[[#This Row],[CVN]]=Tabla46782[[#This Row],[CVN2]], "IGUAL", "DISTINTO")</f>
        <v>DISTINTO</v>
      </c>
      <c r="BM144" s="219" t="str">
        <f>+IF(Tabla46782[[#This Row],[L]]=Tabla46782[[#This Row],[L2]], "IGUAL", "DISTINTO")</f>
        <v>IGUAL</v>
      </c>
    </row>
    <row r="145" spans="1:146" x14ac:dyDescent="0.25">
      <c r="A145">
        <v>142</v>
      </c>
      <c r="B145" s="202" t="s">
        <v>1014</v>
      </c>
      <c r="C145" s="203" t="s">
        <v>1015</v>
      </c>
      <c r="D145" s="203" t="s">
        <v>128</v>
      </c>
      <c r="E145" s="203" t="s">
        <v>78</v>
      </c>
      <c r="F145" s="203" t="s">
        <v>78</v>
      </c>
      <c r="G145" s="203" t="s">
        <v>128</v>
      </c>
      <c r="H145" s="203" t="s">
        <v>72</v>
      </c>
      <c r="I145" s="203" t="s">
        <v>72</v>
      </c>
      <c r="J145" s="203" t="s">
        <v>72</v>
      </c>
      <c r="K145" s="203"/>
      <c r="L145" s="203" t="s">
        <v>72</v>
      </c>
      <c r="M145" s="203" t="s">
        <v>72</v>
      </c>
      <c r="N145" s="203"/>
      <c r="O145" s="203" t="s">
        <v>129</v>
      </c>
      <c r="P145" s="203" t="s">
        <v>74</v>
      </c>
      <c r="Q145" s="203" t="s">
        <v>75</v>
      </c>
      <c r="R145" s="203" t="s">
        <v>76</v>
      </c>
      <c r="S145" s="204">
        <v>44340</v>
      </c>
      <c r="T145" s="205">
        <v>45292</v>
      </c>
      <c r="U145" s="205">
        <f>VLOOKUP(Tabla46782[[#This Row],[Matricula]],BAJA2022202320242025!$B$3:$CR$245,95,FALSE)</f>
        <v>45299</v>
      </c>
      <c r="V145" s="206">
        <v>952</v>
      </c>
      <c r="W145" s="207">
        <v>2024</v>
      </c>
      <c r="X145" s="203" t="s">
        <v>77</v>
      </c>
      <c r="Y145" s="203" t="s">
        <v>78</v>
      </c>
      <c r="Z145" s="203" t="s">
        <v>380</v>
      </c>
      <c r="AA145" s="203" t="s">
        <v>1016</v>
      </c>
      <c r="AB145" s="203" t="s">
        <v>131</v>
      </c>
      <c r="AC145" s="203" t="s">
        <v>132</v>
      </c>
      <c r="AD145" s="203" t="s">
        <v>135</v>
      </c>
      <c r="AE145" s="208">
        <v>15</v>
      </c>
      <c r="AF145" s="208" t="s">
        <v>1017</v>
      </c>
      <c r="AG145" s="208" t="s">
        <v>85</v>
      </c>
      <c r="AH145" s="208" t="s">
        <v>86</v>
      </c>
      <c r="AI145" s="208" t="s">
        <v>87</v>
      </c>
      <c r="AJ145" s="208" t="s">
        <v>427</v>
      </c>
      <c r="AK145" s="205" t="s">
        <v>89</v>
      </c>
      <c r="AL145" s="204">
        <v>45625</v>
      </c>
      <c r="AM145" s="208">
        <v>0</v>
      </c>
      <c r="AN145" s="209" t="s">
        <v>131</v>
      </c>
      <c r="AO145" s="209" t="s">
        <v>1018</v>
      </c>
      <c r="AP145" s="209" t="s">
        <v>132</v>
      </c>
      <c r="AQ145" s="209"/>
      <c r="AR145" s="209" t="s">
        <v>72</v>
      </c>
      <c r="AS145" s="209" t="s">
        <v>91</v>
      </c>
      <c r="AT145" s="209" t="s">
        <v>1019</v>
      </c>
      <c r="AU145" s="210">
        <v>5.6</v>
      </c>
      <c r="AV145" s="211">
        <v>10</v>
      </c>
      <c r="AW145" s="212">
        <v>17.3</v>
      </c>
      <c r="AX145" s="213">
        <v>15815</v>
      </c>
      <c r="AY145" s="213">
        <v>6120.4049999999997</v>
      </c>
      <c r="AZ145" s="210" t="s">
        <v>128</v>
      </c>
      <c r="BA145" s="209" t="s">
        <v>93</v>
      </c>
      <c r="BB145" s="214" t="str">
        <f>+IF(Tabla46782[[#This Row],[TIPO VEHÍCULO]]=Tabla46782[[#This Row],[Columna2]], "IGUAL", "DISTINTO")</f>
        <v>IGUAL</v>
      </c>
      <c r="BC145" s="214" t="str">
        <f>+IF(Tabla46782[[#This Row],[Columna4]]=Tabla46782[[#This Row],[Combustible2]], "IGUAL", "DISTINTO")</f>
        <v>IGUAL</v>
      </c>
      <c r="BD145" s="215" cm="1">
        <f t="array" ref="BD145">IFERROR(INDEX('[1]Anexos FICHA TRA050'!$D$27:$D$44, MATCH(Tabla46782[[#This Row],[Columna5]]&amp;Tabla46782[[#This Row],[Columna4]], '[1]Anexos FICHA TRA050'!$E$27:$E$44&amp;'[1]Anexos FICHA TRA050'!$F$27:$F$44, 0)), "")</f>
        <v>5.63</v>
      </c>
      <c r="BE145" s="215">
        <f>IFERROR(INDEX('[1]Anexos FICHA TRA050'!$B$4:$B$7, MATCH(Tabla46782[[#This Row],[Columna4]], '[1]Anexos FICHA TRA050'!$C$4:$C$7, 0)), "")</f>
        <v>10</v>
      </c>
      <c r="BF145" s="215">
        <f>IFERROR(INDEX('[1]Anexos FICHA TRA050'!$C$14:$C$22, MATCH(Tabla46782[[#This Row],[Columna5]], '[1]Anexos FICHA TRA050'!$D$14:$D$22, 0)), "")</f>
        <v>20.84</v>
      </c>
      <c r="BG145" s="216">
        <f>IFERROR(INDEX('[1]Anexos FICHA TRA050'!$C$49:$C$54, MATCH(Tabla46782[[#This Row],[Columna5]], '[1]Anexos FICHA TRA050'!$D$49:$D$54, 0)), "")</f>
        <v>15815</v>
      </c>
      <c r="BH145" s="217">
        <f>+(((Tabla46782[[#This Row],[CVA2]]*Tabla46782[[#This Row],[f2]])-Tabla46782[[#This Row],[CVN2]])/100)*Tabla46782[[#This Row],[L2]]</f>
        <v>5607.9989999999989</v>
      </c>
      <c r="BI145" s="218"/>
      <c r="BJ145" s="218"/>
      <c r="BK145" s="218" t="str">
        <f>+IF(Tabla46782[[#This Row],[F3]]=Tabla46782[[#This Row],[f2]], "IGUAL", "DISTINTO")</f>
        <v>IGUAL</v>
      </c>
      <c r="BL145" s="218" t="str">
        <f>+IF(Tabla46782[[#This Row],[CVN]]=Tabla46782[[#This Row],[CVN2]], "IGUAL", "DISTINTO")</f>
        <v>DISTINTO</v>
      </c>
      <c r="BM145" s="219" t="str">
        <f>+IF(Tabla46782[[#This Row],[L]]=Tabla46782[[#This Row],[L2]], "IGUAL", "DISTINTO")</f>
        <v>IGUAL</v>
      </c>
    </row>
    <row r="146" spans="1:146" x14ac:dyDescent="0.25">
      <c r="A146">
        <v>143</v>
      </c>
      <c r="B146" s="202" t="s">
        <v>1020</v>
      </c>
      <c r="C146" s="203" t="s">
        <v>1021</v>
      </c>
      <c r="D146" s="203" t="s">
        <v>70</v>
      </c>
      <c r="E146" s="203" t="s">
        <v>71</v>
      </c>
      <c r="F146" s="203" t="s">
        <v>71</v>
      </c>
      <c r="G146" s="203" t="s">
        <v>70</v>
      </c>
      <c r="H146" s="203" t="s">
        <v>72</v>
      </c>
      <c r="I146" s="203" t="s">
        <v>72</v>
      </c>
      <c r="J146" s="203" t="s">
        <v>72</v>
      </c>
      <c r="K146" s="203"/>
      <c r="L146" s="203"/>
      <c r="M146" s="203"/>
      <c r="N146" s="203"/>
      <c r="O146" s="203" t="s">
        <v>73</v>
      </c>
      <c r="P146" s="203" t="s">
        <v>74</v>
      </c>
      <c r="Q146" s="203" t="s">
        <v>75</v>
      </c>
      <c r="R146" s="203" t="s">
        <v>76</v>
      </c>
      <c r="S146" s="204">
        <v>44978</v>
      </c>
      <c r="T146" s="205">
        <v>45345</v>
      </c>
      <c r="U146" s="205">
        <f>VLOOKUP(Tabla46782[[#This Row],[Matricula]],BAJA2022202320242025!$B$3:$CR$245,95,FALSE)</f>
        <v>45345</v>
      </c>
      <c r="V146" s="206">
        <v>367</v>
      </c>
      <c r="W146" s="207">
        <v>2024</v>
      </c>
      <c r="X146" s="203" t="s">
        <v>77</v>
      </c>
      <c r="Y146" s="203" t="s">
        <v>78</v>
      </c>
      <c r="Z146" s="203" t="s">
        <v>359</v>
      </c>
      <c r="AA146" s="203" t="s">
        <v>1022</v>
      </c>
      <c r="AB146" s="203" t="s">
        <v>336</v>
      </c>
      <c r="AC146" s="203" t="s">
        <v>337</v>
      </c>
      <c r="AD146" s="203" t="s">
        <v>880</v>
      </c>
      <c r="AE146" s="208">
        <v>14</v>
      </c>
      <c r="AF146" s="208" t="s">
        <v>1023</v>
      </c>
      <c r="AG146" s="208" t="s">
        <v>380</v>
      </c>
      <c r="AH146" s="208" t="s">
        <v>381</v>
      </c>
      <c r="AI146" s="208" t="s">
        <v>87</v>
      </c>
      <c r="AJ146" s="208" t="s">
        <v>382</v>
      </c>
      <c r="AK146" s="205" t="s">
        <v>89</v>
      </c>
      <c r="AL146" s="204">
        <v>45483</v>
      </c>
      <c r="AM146" s="208">
        <v>0</v>
      </c>
      <c r="AN146" s="209" t="s">
        <v>336</v>
      </c>
      <c r="AO146" s="210">
        <v>4500407448</v>
      </c>
      <c r="AP146" s="209" t="s">
        <v>337</v>
      </c>
      <c r="AQ146" s="209"/>
      <c r="AR146" s="209" t="s">
        <v>72</v>
      </c>
      <c r="AS146" s="209" t="s">
        <v>91</v>
      </c>
      <c r="AT146" s="209" t="s">
        <v>1024</v>
      </c>
      <c r="AU146" s="210">
        <v>5.0999999999999996</v>
      </c>
      <c r="AV146" s="211">
        <v>10</v>
      </c>
      <c r="AW146" s="212">
        <v>20</v>
      </c>
      <c r="AX146" s="213">
        <v>13073</v>
      </c>
      <c r="AY146" s="213">
        <v>4052.63</v>
      </c>
      <c r="AZ146" s="210" t="s">
        <v>70</v>
      </c>
      <c r="BA146" s="209" t="s">
        <v>255</v>
      </c>
      <c r="BB146" s="214" t="str">
        <f>+IF(Tabla46782[[#This Row],[TIPO VEHÍCULO]]=Tabla46782[[#This Row],[Columna2]], "IGUAL", "DISTINTO")</f>
        <v>IGUAL</v>
      </c>
      <c r="BC146" s="214" t="str">
        <f>+IF(Tabla46782[[#This Row],[Columna4]]=Tabla46782[[#This Row],[Combustible2]], "IGUAL", "DISTINTO")</f>
        <v>DISTINTO</v>
      </c>
      <c r="BD146" s="215" cm="1">
        <f t="array" ref="BD146">IFERROR(INDEX('[1]Anexos FICHA TRA050'!$D$27:$D$44, MATCH(Tabla46782[[#This Row],[Columna5]]&amp;Tabla46782[[#This Row],[Columna4]], '[1]Anexos FICHA TRA050'!$E$27:$E$44&amp;'[1]Anexos FICHA TRA050'!$F$27:$F$44, 0)), "")</f>
        <v>7.89</v>
      </c>
      <c r="BE146" s="215">
        <f>IFERROR(INDEX('[1]Anexos FICHA TRA050'!$B$4:$B$7, MATCH(Tabla46782[[#This Row],[Columna4]], '[1]Anexos FICHA TRA050'!$C$4:$C$7, 0)), "")</f>
        <v>9.19</v>
      </c>
      <c r="BF146" s="215">
        <f>IFERROR(INDEX('[1]Anexos FICHA TRA050'!$C$14:$C$22, MATCH(Tabla46782[[#This Row],[Columna5]], '[1]Anexos FICHA TRA050'!$D$14:$D$22, 0)), "")</f>
        <v>17.920000000000002</v>
      </c>
      <c r="BG146" s="216">
        <f>IFERROR(INDEX('[1]Anexos FICHA TRA050'!$C$49:$C$54, MATCH(Tabla46782[[#This Row],[Columna5]], '[1]Anexos FICHA TRA050'!$D$49:$D$54, 0)), "")</f>
        <v>13073</v>
      </c>
      <c r="BH146" s="217">
        <f>+(((Tabla46782[[#This Row],[CVA2]]*Tabla46782[[#This Row],[f2]])-Tabla46782[[#This Row],[CVN2]])/100)*Tabla46782[[#This Row],[L2]]</f>
        <v>7136.4330429999991</v>
      </c>
      <c r="BI146" s="218"/>
      <c r="BJ146" s="218"/>
      <c r="BK146" s="218" t="str">
        <f>+IF(Tabla46782[[#This Row],[F3]]=Tabla46782[[#This Row],[f2]], "IGUAL", "DISTINTO")</f>
        <v>DISTINTO</v>
      </c>
      <c r="BL146" s="218" t="str">
        <f>+IF(Tabla46782[[#This Row],[CVN]]=Tabla46782[[#This Row],[CVN2]], "IGUAL", "DISTINTO")</f>
        <v>DISTINTO</v>
      </c>
      <c r="BM146" s="219" t="str">
        <f>+IF(Tabla46782[[#This Row],[L]]=Tabla46782[[#This Row],[L2]], "IGUAL", "DISTINTO")</f>
        <v>IGUAL</v>
      </c>
    </row>
    <row r="147" spans="1:146" x14ac:dyDescent="0.25">
      <c r="A147">
        <v>144</v>
      </c>
      <c r="B147" s="202" t="s">
        <v>1025</v>
      </c>
      <c r="C147" s="203" t="s">
        <v>1026</v>
      </c>
      <c r="D147" s="203" t="s">
        <v>128</v>
      </c>
      <c r="E147" s="203" t="s">
        <v>1027</v>
      </c>
      <c r="F147" s="203" t="s">
        <v>78</v>
      </c>
      <c r="G147" s="203" t="s">
        <v>128</v>
      </c>
      <c r="H147" s="203" t="s">
        <v>72</v>
      </c>
      <c r="I147" s="203" t="s">
        <v>72</v>
      </c>
      <c r="J147" s="203" t="s">
        <v>72</v>
      </c>
      <c r="K147" s="203"/>
      <c r="L147" s="203"/>
      <c r="M147" s="203"/>
      <c r="N147" s="203"/>
      <c r="O147" s="203" t="s">
        <v>73</v>
      </c>
      <c r="P147" s="203" t="s">
        <v>74</v>
      </c>
      <c r="Q147" s="203" t="s">
        <v>75</v>
      </c>
      <c r="R147" s="203" t="s">
        <v>76</v>
      </c>
      <c r="S147" s="204">
        <v>42984</v>
      </c>
      <c r="T147" s="205">
        <v>45419</v>
      </c>
      <c r="U147" s="205">
        <f>VLOOKUP(Tabla46782[[#This Row],[Matricula]],BAJA2022202320242025!$B$3:$CR$245,95,FALSE)</f>
        <v>45419</v>
      </c>
      <c r="V147" s="206">
        <v>2435</v>
      </c>
      <c r="W147" s="207">
        <v>2024</v>
      </c>
      <c r="X147" s="203" t="s">
        <v>77</v>
      </c>
      <c r="Y147" s="203" t="s">
        <v>78</v>
      </c>
      <c r="Z147" s="203" t="s">
        <v>416</v>
      </c>
      <c r="AA147" s="203" t="s">
        <v>1028</v>
      </c>
      <c r="AB147" s="203" t="s">
        <v>102</v>
      </c>
      <c r="AC147" s="203" t="s">
        <v>103</v>
      </c>
      <c r="AD147" s="203" t="s">
        <v>654</v>
      </c>
      <c r="AE147" s="208">
        <v>43</v>
      </c>
      <c r="AF147" s="208" t="s">
        <v>1029</v>
      </c>
      <c r="AG147" s="208" t="s">
        <v>140</v>
      </c>
      <c r="AH147" s="208" t="s">
        <v>1030</v>
      </c>
      <c r="AI147" s="208" t="s">
        <v>87</v>
      </c>
      <c r="AJ147" s="208" t="s">
        <v>696</v>
      </c>
      <c r="AK147" s="205" t="s">
        <v>89</v>
      </c>
      <c r="AL147" s="204">
        <v>45615</v>
      </c>
      <c r="AM147" s="208">
        <v>0</v>
      </c>
      <c r="AN147" s="209" t="s">
        <v>102</v>
      </c>
      <c r="AO147" s="210">
        <v>4500406594</v>
      </c>
      <c r="AP147" s="209" t="s">
        <v>103</v>
      </c>
      <c r="AQ147" s="209"/>
      <c r="AR147" s="209" t="s">
        <v>72</v>
      </c>
      <c r="AS147" s="209" t="s">
        <v>109</v>
      </c>
      <c r="AT147" s="209" t="s">
        <v>1031</v>
      </c>
      <c r="AU147" s="210">
        <v>5.0999999999999996</v>
      </c>
      <c r="AV147" s="211">
        <v>10</v>
      </c>
      <c r="AW147" s="212">
        <v>22.7</v>
      </c>
      <c r="AX147" s="213">
        <v>13073</v>
      </c>
      <c r="AY147" s="213">
        <v>3699.6590000000006</v>
      </c>
      <c r="AZ147" s="210" t="s">
        <v>70</v>
      </c>
      <c r="BA147" s="209" t="s">
        <v>255</v>
      </c>
      <c r="BB147" s="214" t="str">
        <f>+IF(Tabla46782[[#This Row],[TIPO VEHÍCULO]]=Tabla46782[[#This Row],[Columna2]], "IGUAL", "DISTINTO")</f>
        <v>DISTINTO</v>
      </c>
      <c r="BC147" s="214" t="str">
        <f>+IF(Tabla46782[[#This Row],[Columna4]]=Tabla46782[[#This Row],[Combustible2]], "IGUAL", "DISTINTO")</f>
        <v>IGUAL</v>
      </c>
      <c r="BD147" s="215" cm="1">
        <f t="array" ref="BD147">IFERROR(INDEX('[1]Anexos FICHA TRA050'!$D$27:$D$44, MATCH(Tabla46782[[#This Row],[Columna5]]&amp;Tabla46782[[#This Row],[Columna4]], '[1]Anexos FICHA TRA050'!$E$27:$E$44&amp;'[1]Anexos FICHA TRA050'!$F$27:$F$44, 0)), "")</f>
        <v>5.63</v>
      </c>
      <c r="BE147" s="215">
        <f>IFERROR(INDEX('[1]Anexos FICHA TRA050'!$B$4:$B$7, MATCH(Tabla46782[[#This Row],[Columna4]], '[1]Anexos FICHA TRA050'!$C$4:$C$7, 0)), "")</f>
        <v>10</v>
      </c>
      <c r="BF147" s="215">
        <f>IFERROR(INDEX('[1]Anexos FICHA TRA050'!$C$14:$C$22, MATCH(Tabla46782[[#This Row],[Columna5]], '[1]Anexos FICHA TRA050'!$D$14:$D$22, 0)), "")</f>
        <v>20.84</v>
      </c>
      <c r="BG147" s="216">
        <f>IFERROR(INDEX('[1]Anexos FICHA TRA050'!$C$49:$C$54, MATCH(Tabla46782[[#This Row],[Columna5]], '[1]Anexos FICHA TRA050'!$D$49:$D$54, 0)), "")</f>
        <v>15815</v>
      </c>
      <c r="BH147" s="217">
        <f>+(((Tabla46782[[#This Row],[CVA2]]*Tabla46782[[#This Row],[f2]])-Tabla46782[[#This Row],[CVN2]])/100)*Tabla46782[[#This Row],[L2]]</f>
        <v>5607.9989999999989</v>
      </c>
      <c r="BI147" s="218"/>
      <c r="BJ147" s="218"/>
      <c r="BK147" s="218" t="str">
        <f>+IF(Tabla46782[[#This Row],[F3]]=Tabla46782[[#This Row],[f2]], "IGUAL", "DISTINTO")</f>
        <v>IGUAL</v>
      </c>
      <c r="BL147" s="218" t="str">
        <f>+IF(Tabla46782[[#This Row],[CVN]]=Tabla46782[[#This Row],[CVN2]], "IGUAL", "DISTINTO")</f>
        <v>DISTINTO</v>
      </c>
      <c r="BM147" s="219" t="str">
        <f>+IF(Tabla46782[[#This Row],[L]]=Tabla46782[[#This Row],[L2]], "IGUAL", "DISTINTO")</f>
        <v>DISTINTO</v>
      </c>
    </row>
    <row r="148" spans="1:146" x14ac:dyDescent="0.25">
      <c r="A148">
        <v>145</v>
      </c>
      <c r="B148" s="202" t="s">
        <v>1032</v>
      </c>
      <c r="C148" s="203" t="s">
        <v>1033</v>
      </c>
      <c r="D148" s="203" t="s">
        <v>70</v>
      </c>
      <c r="E148" s="203" t="s">
        <v>199</v>
      </c>
      <c r="F148" s="203" t="s">
        <v>199</v>
      </c>
      <c r="G148" s="203" t="s">
        <v>70</v>
      </c>
      <c r="H148" s="203" t="s">
        <v>72</v>
      </c>
      <c r="I148" s="203" t="s">
        <v>72</v>
      </c>
      <c r="J148" s="203" t="s">
        <v>72</v>
      </c>
      <c r="K148" s="203"/>
      <c r="L148" s="203" t="s">
        <v>72</v>
      </c>
      <c r="M148" s="203" t="s">
        <v>72</v>
      </c>
      <c r="N148" s="203"/>
      <c r="O148" s="203" t="s">
        <v>1034</v>
      </c>
      <c r="P148" s="203" t="s">
        <v>200</v>
      </c>
      <c r="Q148" s="203" t="s">
        <v>201</v>
      </c>
      <c r="R148" s="203" t="s">
        <v>76</v>
      </c>
      <c r="S148" s="209">
        <v>43679</v>
      </c>
      <c r="T148" s="205">
        <v>45140</v>
      </c>
      <c r="U148" s="205">
        <f>VLOOKUP(Tabla46782[[#This Row],[Matricula]],BAJA2022202320242025!$B$3:$CR$245,95,FALSE)</f>
        <v>45061</v>
      </c>
      <c r="V148" s="206">
        <v>1461</v>
      </c>
      <c r="W148" s="207">
        <v>2023</v>
      </c>
      <c r="X148" s="203" t="s">
        <v>77</v>
      </c>
      <c r="Y148" s="203" t="s">
        <v>202</v>
      </c>
      <c r="Z148" s="203" t="s">
        <v>416</v>
      </c>
      <c r="AA148" s="203" t="s">
        <v>1035</v>
      </c>
      <c r="AB148" s="203" t="s">
        <v>119</v>
      </c>
      <c r="AC148" s="203" t="s">
        <v>120</v>
      </c>
      <c r="AD148" s="203" t="s">
        <v>776</v>
      </c>
      <c r="AE148" s="208">
        <v>24</v>
      </c>
      <c r="AF148" s="208" t="s">
        <v>1036</v>
      </c>
      <c r="AG148" s="208" t="s">
        <v>140</v>
      </c>
      <c r="AH148" s="208" t="s">
        <v>151</v>
      </c>
      <c r="AI148" s="208" t="s">
        <v>87</v>
      </c>
      <c r="AJ148" s="208" t="s">
        <v>294</v>
      </c>
      <c r="AK148" s="205" t="s">
        <v>89</v>
      </c>
      <c r="AL148" s="204">
        <v>45622</v>
      </c>
      <c r="AM148" s="208">
        <v>1</v>
      </c>
      <c r="AN148" s="209" t="s">
        <v>119</v>
      </c>
      <c r="AO148" s="209" t="s">
        <v>1037</v>
      </c>
      <c r="AP148" s="209" t="s">
        <v>120</v>
      </c>
      <c r="AQ148" s="209"/>
      <c r="AR148" s="209" t="s">
        <v>72</v>
      </c>
      <c r="AS148" s="209" t="s">
        <v>91</v>
      </c>
      <c r="AT148" s="209" t="s">
        <v>1038</v>
      </c>
      <c r="AU148" s="210">
        <v>5.0999999999999996</v>
      </c>
      <c r="AV148" s="211">
        <v>9.19</v>
      </c>
      <c r="AW148" s="212">
        <v>16.399999999999999</v>
      </c>
      <c r="AX148" s="213">
        <v>13073</v>
      </c>
      <c r="AY148" s="213">
        <v>3983.2123699999993</v>
      </c>
      <c r="AZ148" s="210" t="s">
        <v>70</v>
      </c>
      <c r="BA148" s="209" t="s">
        <v>93</v>
      </c>
      <c r="BB148" s="214" t="str">
        <f>+IF(Tabla46782[[#This Row],[TIPO VEHÍCULO]]=Tabla46782[[#This Row],[Columna2]], "IGUAL", "DISTINTO")</f>
        <v>IGUAL</v>
      </c>
      <c r="BC148" s="214" t="str">
        <f>+IF(Tabla46782[[#This Row],[Columna4]]=Tabla46782[[#This Row],[Combustible2]], "IGUAL", "DISTINTO")</f>
        <v>DISTINTO</v>
      </c>
      <c r="BD148" s="215" cm="1">
        <f t="array" ref="BD148">IFERROR(INDEX('[1]Anexos FICHA TRA050'!$D$27:$D$44, MATCH(Tabla46782[[#This Row],[Columna5]]&amp;Tabla46782[[#This Row],[Columna4]], '[1]Anexos FICHA TRA050'!$E$27:$E$44&amp;'[1]Anexos FICHA TRA050'!$F$27:$F$44, 0)), "")</f>
        <v>5.1349999999999998</v>
      </c>
      <c r="BE148" s="215">
        <f>+'[1]Anexos FICHA TRA050'!B5</f>
        <v>9.19</v>
      </c>
      <c r="BF148" s="215">
        <f>IFERROR(INDEX('[1]Anexos FICHA TRA050'!$C$14:$C$22, MATCH(Tabla46782[[#This Row],[Columna5]], '[1]Anexos FICHA TRA050'!$D$14:$D$22, 0)), "")</f>
        <v>17.920000000000002</v>
      </c>
      <c r="BG148" s="216">
        <f>IFERROR(INDEX('[1]Anexos FICHA TRA050'!$C$49:$C$54, MATCH(Tabla46782[[#This Row],[Columna5]], '[1]Anexos FICHA TRA050'!$D$49:$D$54, 0)), "")</f>
        <v>13073</v>
      </c>
      <c r="BH148" s="217">
        <f>+(((Tabla46782[[#This Row],[CVA2]]*Tabla46782[[#This Row],[f2]])-Tabla46782[[#This Row],[CVN2]])/100)*Tabla46782[[#This Row],[L2]]</f>
        <v>3826.5520744999999</v>
      </c>
      <c r="BI148" s="218"/>
      <c r="BJ148" s="218"/>
      <c r="BK148" s="218" t="str">
        <f>+IF(Tabla46782[[#This Row],[F3]]=Tabla46782[[#This Row],[f2]], "IGUAL", "DISTINTO")</f>
        <v>IGUAL</v>
      </c>
      <c r="BL148" s="218" t="str">
        <f>+IF(Tabla46782[[#This Row],[CVN]]=Tabla46782[[#This Row],[CVN2]], "IGUAL", "DISTINTO")</f>
        <v>DISTINTO</v>
      </c>
      <c r="BM148" s="219" t="str">
        <f>+IF(Tabla46782[[#This Row],[L]]=Tabla46782[[#This Row],[L2]], "IGUAL", "DISTINTO")</f>
        <v>IGUAL</v>
      </c>
    </row>
    <row r="149" spans="1:146" x14ac:dyDescent="0.25">
      <c r="A149">
        <v>146</v>
      </c>
      <c r="B149" s="202" t="s">
        <v>1039</v>
      </c>
      <c r="C149" s="203" t="s">
        <v>1040</v>
      </c>
      <c r="D149" s="203" t="s">
        <v>70</v>
      </c>
      <c r="E149" s="203" t="s">
        <v>78</v>
      </c>
      <c r="F149" s="203" t="s">
        <v>78</v>
      </c>
      <c r="G149" s="203" t="s">
        <v>70</v>
      </c>
      <c r="H149" s="203" t="s">
        <v>72</v>
      </c>
      <c r="I149" s="203" t="s">
        <v>72</v>
      </c>
      <c r="J149" s="203" t="s">
        <v>72</v>
      </c>
      <c r="K149" s="203"/>
      <c r="L149" s="203" t="s">
        <v>72</v>
      </c>
      <c r="M149" s="203" t="s">
        <v>72</v>
      </c>
      <c r="N149" s="203"/>
      <c r="O149" s="203" t="s">
        <v>1034</v>
      </c>
      <c r="P149" s="203" t="s">
        <v>200</v>
      </c>
      <c r="Q149" s="203" t="s">
        <v>201</v>
      </c>
      <c r="R149" s="203" t="s">
        <v>76</v>
      </c>
      <c r="S149" s="209">
        <v>43695</v>
      </c>
      <c r="T149" s="239">
        <v>45217</v>
      </c>
      <c r="U149" s="239">
        <f>VLOOKUP(Tabla46782[[#This Row],[Matricula]],BAJA2022202320242025!$B$3:$CR$245,95,FALSE)</f>
        <v>45204</v>
      </c>
      <c r="V149" s="240">
        <v>1522</v>
      </c>
      <c r="W149" s="241">
        <v>2023</v>
      </c>
      <c r="X149" s="203" t="s">
        <v>77</v>
      </c>
      <c r="Y149" s="203" t="s">
        <v>202</v>
      </c>
      <c r="Z149" s="203" t="s">
        <v>416</v>
      </c>
      <c r="AA149" s="203" t="s">
        <v>1035</v>
      </c>
      <c r="AB149" s="203" t="s">
        <v>119</v>
      </c>
      <c r="AC149" s="203" t="s">
        <v>120</v>
      </c>
      <c r="AD149" s="203" t="s">
        <v>1041</v>
      </c>
      <c r="AE149" s="208">
        <v>25</v>
      </c>
      <c r="AF149" s="208" t="s">
        <v>1042</v>
      </c>
      <c r="AG149" s="208" t="s">
        <v>85</v>
      </c>
      <c r="AH149" s="208" t="s">
        <v>86</v>
      </c>
      <c r="AI149" s="208" t="s">
        <v>87</v>
      </c>
      <c r="AJ149" s="208" t="s">
        <v>368</v>
      </c>
      <c r="AK149" s="205" t="s">
        <v>89</v>
      </c>
      <c r="AL149" s="204">
        <v>45645</v>
      </c>
      <c r="AM149" s="208">
        <v>1</v>
      </c>
      <c r="AN149" s="209" t="s">
        <v>119</v>
      </c>
      <c r="AO149" s="209" t="s">
        <v>1043</v>
      </c>
      <c r="AP149" s="209" t="s">
        <v>120</v>
      </c>
      <c r="AQ149" s="209"/>
      <c r="AR149" s="209" t="s">
        <v>72</v>
      </c>
      <c r="AS149" s="209" t="s">
        <v>91</v>
      </c>
      <c r="AT149" s="209" t="s">
        <v>1044</v>
      </c>
      <c r="AU149" s="210">
        <v>5.0999999999999996</v>
      </c>
      <c r="AV149" s="211">
        <v>9.19</v>
      </c>
      <c r="AW149" s="211">
        <v>17.3</v>
      </c>
      <c r="AX149" s="213">
        <v>13073</v>
      </c>
      <c r="AY149" s="213">
        <v>3865.5553699999987</v>
      </c>
      <c r="AZ149" s="211" t="s">
        <v>70</v>
      </c>
      <c r="BA149" s="209" t="s">
        <v>93</v>
      </c>
      <c r="BB149" s="214" t="str">
        <f>+IF(Tabla46782[[#This Row],[TIPO VEHÍCULO]]=Tabla46782[[#This Row],[Columna2]], "IGUAL", "DISTINTO")</f>
        <v>IGUAL</v>
      </c>
      <c r="BC149" s="214" t="str">
        <f>+IF(Tabla46782[[#This Row],[Columna4]]=Tabla46782[[#This Row],[Combustible2]], "IGUAL", "DISTINTO")</f>
        <v>DISTINTO</v>
      </c>
      <c r="BD149" s="215" cm="1">
        <f t="array" ref="BD149">IFERROR(INDEX('[1]Anexos FICHA TRA050'!$D$27:$D$44, MATCH(Tabla46782[[#This Row],[Columna5]]&amp;Tabla46782[[#This Row],[Columna4]], '[1]Anexos FICHA TRA050'!$E$27:$E$44&amp;'[1]Anexos FICHA TRA050'!$F$27:$F$44, 0)), "")</f>
        <v>6.99</v>
      </c>
      <c r="BE149" s="215">
        <f>IFERROR(INDEX('[1]Anexos FICHA TRA050'!$B$4:$B$7, MATCH(Tabla46782[[#This Row],[Columna4]], '[1]Anexos FICHA TRA050'!$C$4:$C$7, 0)), "")</f>
        <v>10</v>
      </c>
      <c r="BF149" s="215">
        <f>IFERROR(INDEX('[1]Anexos FICHA TRA050'!$C$14:$C$22, MATCH(Tabla46782[[#This Row],[Columna5]], '[1]Anexos FICHA TRA050'!$D$14:$D$22, 0)), "")</f>
        <v>17.920000000000002</v>
      </c>
      <c r="BG149" s="216">
        <f>IFERROR(INDEX('[1]Anexos FICHA TRA050'!$C$49:$C$54, MATCH(Tabla46782[[#This Row],[Columna5]], '[1]Anexos FICHA TRA050'!$D$49:$D$54, 0)), "")</f>
        <v>13073</v>
      </c>
      <c r="BH149" s="217">
        <f>+(((Tabla46782[[#This Row],[CVA2]]*Tabla46782[[#This Row],[f2]])-Tabla46782[[#This Row],[CVN2]])/100)*Tabla46782[[#This Row],[L2]]</f>
        <v>6795.3454000000002</v>
      </c>
      <c r="BI149" s="218" t="s">
        <v>1045</v>
      </c>
      <c r="BJ149" s="218"/>
      <c r="BK149" s="209" t="str">
        <f>+IF(Tabla46782[[#This Row],[F3]]=Tabla46782[[#This Row],[f2]], "IGUAL", "DISTINTO")</f>
        <v>DISTINTO</v>
      </c>
      <c r="BL149" s="209" t="str">
        <f>+IF(Tabla46782[[#This Row],[CVN]]=Tabla46782[[#This Row],[CVN2]], "IGUAL", "DISTINTO")</f>
        <v>DISTINTO</v>
      </c>
      <c r="BM149" s="219" t="str">
        <f>+IF(Tabla46782[[#This Row],[L]]=Tabla46782[[#This Row],[L2]], "IGUAL", "DISTINTO")</f>
        <v>IGUAL</v>
      </c>
    </row>
    <row r="150" spans="1:146" x14ac:dyDescent="0.25">
      <c r="A150">
        <v>147</v>
      </c>
      <c r="B150" s="202" t="s">
        <v>1046</v>
      </c>
      <c r="C150" s="203" t="s">
        <v>1047</v>
      </c>
      <c r="D150" s="203" t="s">
        <v>516</v>
      </c>
      <c r="E150" s="203" t="s">
        <v>78</v>
      </c>
      <c r="F150" s="203" t="s">
        <v>78</v>
      </c>
      <c r="G150" s="203" t="s">
        <v>516</v>
      </c>
      <c r="H150" s="203" t="s">
        <v>72</v>
      </c>
      <c r="I150" s="203"/>
      <c r="J150" s="203"/>
      <c r="K150" s="203" t="s">
        <v>72</v>
      </c>
      <c r="L150" s="203" t="s">
        <v>72</v>
      </c>
      <c r="M150" s="203" t="s">
        <v>72</v>
      </c>
      <c r="N150" s="203"/>
      <c r="O150" s="203" t="s">
        <v>158</v>
      </c>
      <c r="P150" s="203" t="s">
        <v>159</v>
      </c>
      <c r="Q150" s="203" t="s">
        <v>158</v>
      </c>
      <c r="R150" s="203" t="s">
        <v>171</v>
      </c>
      <c r="S150" s="204">
        <v>43475</v>
      </c>
      <c r="T150" s="205">
        <v>45124</v>
      </c>
      <c r="U150" s="205">
        <f>VLOOKUP(Tabla46782[[#This Row],[Matricula]],BAJA2022202320242025!$B$3:$CR$245,95,FALSE)</f>
        <v>45124</v>
      </c>
      <c r="V150" s="206">
        <v>1649</v>
      </c>
      <c r="W150" s="207">
        <v>2023</v>
      </c>
      <c r="X150" s="203" t="s">
        <v>172</v>
      </c>
      <c r="Y150" s="203" t="s">
        <v>78</v>
      </c>
      <c r="Z150" s="203" t="s">
        <v>1048</v>
      </c>
      <c r="AA150" s="203" t="s">
        <v>1049</v>
      </c>
      <c r="AB150" s="203" t="s">
        <v>1050</v>
      </c>
      <c r="AC150" s="203" t="s">
        <v>1051</v>
      </c>
      <c r="AD150" s="203" t="s">
        <v>1052</v>
      </c>
      <c r="AE150" s="208">
        <v>7</v>
      </c>
      <c r="AF150" s="208" t="s">
        <v>1053</v>
      </c>
      <c r="AG150" s="208" t="s">
        <v>85</v>
      </c>
      <c r="AH150" s="208" t="s">
        <v>86</v>
      </c>
      <c r="AI150" s="208" t="s">
        <v>87</v>
      </c>
      <c r="AJ150" s="208" t="s">
        <v>1054</v>
      </c>
      <c r="AK150" s="205" t="s">
        <v>547</v>
      </c>
      <c r="AL150" s="204">
        <v>45671</v>
      </c>
      <c r="AM150" s="208">
        <v>2</v>
      </c>
      <c r="AN150" s="209" t="s">
        <v>1050</v>
      </c>
      <c r="AO150" s="209" t="s">
        <v>1055</v>
      </c>
      <c r="AP150" s="209" t="s">
        <v>1051</v>
      </c>
      <c r="AQ150" s="209"/>
      <c r="AR150" s="209" t="s">
        <v>72</v>
      </c>
      <c r="AS150" s="209" t="s">
        <v>1056</v>
      </c>
      <c r="AT150" s="209" t="s">
        <v>1057</v>
      </c>
      <c r="AU150" s="210">
        <v>35</v>
      </c>
      <c r="AV150" s="211">
        <v>10</v>
      </c>
      <c r="AW150" s="212">
        <v>17.3</v>
      </c>
      <c r="AX150" s="213">
        <v>53508</v>
      </c>
      <c r="AY150" s="213">
        <v>178021.11600000001</v>
      </c>
      <c r="AZ150" s="210" t="s">
        <v>516</v>
      </c>
      <c r="BA150" s="209" t="s">
        <v>168</v>
      </c>
      <c r="BB150" s="214" t="str">
        <f>+IF(Tabla46782[[#This Row],[TIPO VEHÍCULO]]=Tabla46782[[#This Row],[Columna2]], "IGUAL", "DISTINTO")</f>
        <v>IGUAL</v>
      </c>
      <c r="BC150" s="214" t="str">
        <f>+IF(Tabla46782[[#This Row],[Columna4]]=Tabla46782[[#This Row],[Combustible2]], "IGUAL", "DISTINTO")</f>
        <v>IGUAL</v>
      </c>
      <c r="BD150" s="215" cm="1">
        <f t="array" ref="BD150">IFERROR(INDEX('[1]Anexos FICHA TRA050'!$D$27:$D$44, MATCH(Tabla46782[[#This Row],[Columna5]]&amp;Tabla46782[[#This Row],[Columna4]], '[1]Anexos FICHA TRA050'!$E$27:$E$44&amp;'[1]Anexos FICHA TRA050'!$F$27:$F$44, 0)), "")</f>
        <v>35</v>
      </c>
      <c r="BE150" s="215">
        <f>IFERROR(INDEX('[1]Anexos FICHA TRA050'!$B$4:$B$7, MATCH(Tabla46782[[#This Row],[Columna4]], '[1]Anexos FICHA TRA050'!$C$4:$C$7, 0)), "")</f>
        <v>10</v>
      </c>
      <c r="BF150" s="215">
        <f>IFERROR(INDEX('[1]Anexos FICHA TRA050'!$C$14:$C$22, MATCH(Tabla46782[[#This Row],[Columna5]], '[1]Anexos FICHA TRA050'!$D$14:$D$22, 0)), "")</f>
        <v>118.53</v>
      </c>
      <c r="BG150" s="216">
        <f>IFERROR(INDEX('[1]Anexos FICHA TRA050'!$C$49:$C$54, MATCH(Tabla46782[[#This Row],[Columna5]], '[1]Anexos FICHA TRA050'!$D$49:$D$54, 0)), "")</f>
        <v>53508</v>
      </c>
      <c r="BH150" s="217">
        <f>+(((Tabla46782[[#This Row],[CVA2]]*Tabla46782[[#This Row],[f2]])-Tabla46782[[#This Row],[CVN2]])/100)*Tabla46782[[#This Row],[L2]]</f>
        <v>123854.9676</v>
      </c>
      <c r="BI150" s="218"/>
      <c r="BJ150" s="218"/>
      <c r="BK150" s="218" t="str">
        <f>+IF(Tabla46782[[#This Row],[F3]]=Tabla46782[[#This Row],[f2]], "IGUAL", "DISTINTO")</f>
        <v>IGUAL</v>
      </c>
      <c r="BL150" s="218" t="str">
        <f>+IF(Tabla46782[[#This Row],[CVN]]=Tabla46782[[#This Row],[CVN2]], "IGUAL", "DISTINTO")</f>
        <v>DISTINTO</v>
      </c>
      <c r="BM150" s="219" t="str">
        <f>+IF(Tabla46782[[#This Row],[L]]=Tabla46782[[#This Row],[L2]], "IGUAL", "DISTINTO")</f>
        <v>IGUAL</v>
      </c>
    </row>
    <row r="151" spans="1:146" x14ac:dyDescent="0.25">
      <c r="A151">
        <v>148</v>
      </c>
      <c r="B151" s="202" t="s">
        <v>1058</v>
      </c>
      <c r="C151" s="203" t="s">
        <v>1059</v>
      </c>
      <c r="D151" s="203" t="s">
        <v>516</v>
      </c>
      <c r="E151" s="203" t="s">
        <v>78</v>
      </c>
      <c r="F151" s="203" t="s">
        <v>78</v>
      </c>
      <c r="G151" s="203" t="s">
        <v>516</v>
      </c>
      <c r="H151" s="203" t="s">
        <v>72</v>
      </c>
      <c r="I151" s="203"/>
      <c r="J151" s="203"/>
      <c r="K151" s="203" t="s">
        <v>72</v>
      </c>
      <c r="L151" s="203" t="s">
        <v>72</v>
      </c>
      <c r="M151" s="203" t="s">
        <v>72</v>
      </c>
      <c r="N151" s="203"/>
      <c r="O151" s="203" t="s">
        <v>158</v>
      </c>
      <c r="P151" s="203" t="s">
        <v>159</v>
      </c>
      <c r="Q151" s="203" t="s">
        <v>158</v>
      </c>
      <c r="R151" s="203" t="s">
        <v>171</v>
      </c>
      <c r="S151" s="204">
        <v>43601</v>
      </c>
      <c r="T151" s="205">
        <v>45124</v>
      </c>
      <c r="U151" s="205">
        <f>VLOOKUP(Tabla46782[[#This Row],[Matricula]],BAJA2022202320242025!$B$3:$CR$245,95,FALSE)</f>
        <v>45124</v>
      </c>
      <c r="V151" s="206">
        <v>1523</v>
      </c>
      <c r="W151" s="207">
        <v>2023</v>
      </c>
      <c r="X151" s="203" t="s">
        <v>172</v>
      </c>
      <c r="Y151" s="203" t="s">
        <v>78</v>
      </c>
      <c r="Z151" s="203" t="s">
        <v>887</v>
      </c>
      <c r="AA151" s="203" t="s">
        <v>1060</v>
      </c>
      <c r="AB151" s="203" t="s">
        <v>1050</v>
      </c>
      <c r="AC151" s="203" t="s">
        <v>1051</v>
      </c>
      <c r="AD151" s="203" t="s">
        <v>1052</v>
      </c>
      <c r="AE151" s="208">
        <v>8</v>
      </c>
      <c r="AF151" s="208" t="s">
        <v>1061</v>
      </c>
      <c r="AG151" s="208" t="s">
        <v>85</v>
      </c>
      <c r="AH151" s="208" t="s">
        <v>86</v>
      </c>
      <c r="AI151" s="208" t="s">
        <v>87</v>
      </c>
      <c r="AJ151" s="208" t="s">
        <v>1054</v>
      </c>
      <c r="AK151" s="205" t="s">
        <v>547</v>
      </c>
      <c r="AL151" s="204">
        <v>45671</v>
      </c>
      <c r="AM151" s="208">
        <v>2</v>
      </c>
      <c r="AN151" s="209" t="s">
        <v>1050</v>
      </c>
      <c r="AO151" s="209" t="s">
        <v>1062</v>
      </c>
      <c r="AP151" s="209" t="s">
        <v>1051</v>
      </c>
      <c r="AQ151" s="209"/>
      <c r="AR151" s="209" t="s">
        <v>72</v>
      </c>
      <c r="AS151" s="209" t="s">
        <v>1056</v>
      </c>
      <c r="AT151" s="209" t="s">
        <v>1063</v>
      </c>
      <c r="AU151" s="210">
        <v>35</v>
      </c>
      <c r="AV151" s="211">
        <v>10</v>
      </c>
      <c r="AW151" s="212">
        <v>17.3</v>
      </c>
      <c r="AX151" s="213">
        <v>53508</v>
      </c>
      <c r="AY151" s="213">
        <v>178021.11600000001</v>
      </c>
      <c r="AZ151" s="210" t="s">
        <v>516</v>
      </c>
      <c r="BA151" s="209" t="s">
        <v>168</v>
      </c>
      <c r="BB151" s="214" t="str">
        <f>+IF(Tabla46782[[#This Row],[TIPO VEHÍCULO]]=Tabla46782[[#This Row],[Columna2]], "IGUAL", "DISTINTO")</f>
        <v>IGUAL</v>
      </c>
      <c r="BC151" s="214" t="str">
        <f>+IF(Tabla46782[[#This Row],[Columna4]]=Tabla46782[[#This Row],[Combustible2]], "IGUAL", "DISTINTO")</f>
        <v>IGUAL</v>
      </c>
      <c r="BD151" s="215" cm="1">
        <f t="array" ref="BD151">IFERROR(INDEX('[1]Anexos FICHA TRA050'!$D$27:$D$44, MATCH(Tabla46782[[#This Row],[Columna5]]&amp;Tabla46782[[#This Row],[Columna4]], '[1]Anexos FICHA TRA050'!$E$27:$E$44&amp;'[1]Anexos FICHA TRA050'!$F$27:$F$44, 0)), "")</f>
        <v>35</v>
      </c>
      <c r="BE151" s="215">
        <f>IFERROR(INDEX('[1]Anexos FICHA TRA050'!$B$4:$B$7, MATCH(Tabla46782[[#This Row],[Columna4]], '[1]Anexos FICHA TRA050'!$C$4:$C$7, 0)), "")</f>
        <v>10</v>
      </c>
      <c r="BF151" s="215">
        <f>IFERROR(INDEX('[1]Anexos FICHA TRA050'!$C$14:$C$22, MATCH(Tabla46782[[#This Row],[Columna5]], '[1]Anexos FICHA TRA050'!$D$14:$D$22, 0)), "")</f>
        <v>118.53</v>
      </c>
      <c r="BG151" s="216">
        <f>IFERROR(INDEX('[1]Anexos FICHA TRA050'!$C$49:$C$54, MATCH(Tabla46782[[#This Row],[Columna5]], '[1]Anexos FICHA TRA050'!$D$49:$D$54, 0)), "")</f>
        <v>53508</v>
      </c>
      <c r="BH151" s="217">
        <f>+(((Tabla46782[[#This Row],[CVA2]]*Tabla46782[[#This Row],[f2]])-Tabla46782[[#This Row],[CVN2]])/100)*Tabla46782[[#This Row],[L2]]</f>
        <v>123854.9676</v>
      </c>
      <c r="BI151" s="218"/>
      <c r="BJ151" s="218"/>
      <c r="BK151" s="218" t="str">
        <f>+IF(Tabla46782[[#This Row],[F3]]=Tabla46782[[#This Row],[f2]], "IGUAL", "DISTINTO")</f>
        <v>IGUAL</v>
      </c>
      <c r="BL151" s="218" t="str">
        <f>+IF(Tabla46782[[#This Row],[CVN]]=Tabla46782[[#This Row],[CVN2]], "IGUAL", "DISTINTO")</f>
        <v>DISTINTO</v>
      </c>
      <c r="BM151" s="219" t="str">
        <f>+IF(Tabla46782[[#This Row],[L]]=Tabla46782[[#This Row],[L2]], "IGUAL", "DISTINTO")</f>
        <v>IGUAL</v>
      </c>
    </row>
    <row r="152" spans="1:146" x14ac:dyDescent="0.25">
      <c r="A152">
        <v>149</v>
      </c>
      <c r="B152" s="202" t="s">
        <v>1064</v>
      </c>
      <c r="C152" s="203" t="s">
        <v>1065</v>
      </c>
      <c r="D152" s="203" t="s">
        <v>128</v>
      </c>
      <c r="E152" s="203" t="s">
        <v>78</v>
      </c>
      <c r="F152" s="203" t="s">
        <v>78</v>
      </c>
      <c r="G152" s="203" t="s">
        <v>128</v>
      </c>
      <c r="H152" s="203"/>
      <c r="I152" s="203"/>
      <c r="J152" s="203"/>
      <c r="K152" s="203" t="s">
        <v>72</v>
      </c>
      <c r="L152" s="203" t="s">
        <v>72</v>
      </c>
      <c r="M152" s="203" t="s">
        <v>72</v>
      </c>
      <c r="N152" s="203"/>
      <c r="O152" s="203" t="s">
        <v>158</v>
      </c>
      <c r="P152" s="203" t="s">
        <v>159</v>
      </c>
      <c r="Q152" s="203" t="s">
        <v>158</v>
      </c>
      <c r="R152" s="203" t="s">
        <v>171</v>
      </c>
      <c r="S152" s="204">
        <v>36161</v>
      </c>
      <c r="T152" s="205">
        <v>44994</v>
      </c>
      <c r="U152" s="205">
        <f>VLOOKUP(Tabla46782[[#This Row],[Matricula]],BAJA2022202320242025!$B$3:$CR$245,95,FALSE)</f>
        <v>44998</v>
      </c>
      <c r="V152" s="206">
        <v>8833</v>
      </c>
      <c r="W152" s="207">
        <v>2023</v>
      </c>
      <c r="X152" s="203" t="s">
        <v>172</v>
      </c>
      <c r="Y152" s="203" t="s">
        <v>78</v>
      </c>
      <c r="Z152" s="203" t="s">
        <v>1066</v>
      </c>
      <c r="AA152" s="203" t="s">
        <v>1067</v>
      </c>
      <c r="AB152" s="203" t="s">
        <v>102</v>
      </c>
      <c r="AC152" s="203" t="s">
        <v>103</v>
      </c>
      <c r="AD152" s="203" t="s">
        <v>579</v>
      </c>
      <c r="AE152" s="208">
        <v>44</v>
      </c>
      <c r="AF152" s="208" t="s">
        <v>1068</v>
      </c>
      <c r="AG152" s="208" t="s">
        <v>79</v>
      </c>
      <c r="AH152" s="208" t="s">
        <v>442</v>
      </c>
      <c r="AI152" s="208" t="s">
        <v>87</v>
      </c>
      <c r="AJ152" s="208" t="s">
        <v>107</v>
      </c>
      <c r="AK152" s="205" t="s">
        <v>108</v>
      </c>
      <c r="AL152" s="204">
        <v>45133</v>
      </c>
      <c r="AM152" s="208">
        <v>0</v>
      </c>
      <c r="AN152" s="209" t="s">
        <v>102</v>
      </c>
      <c r="AO152" s="210">
        <v>4500370229</v>
      </c>
      <c r="AP152" s="209" t="s">
        <v>103</v>
      </c>
      <c r="AQ152" s="209"/>
      <c r="AR152" s="209" t="s">
        <v>72</v>
      </c>
      <c r="AS152" s="209" t="s">
        <v>109</v>
      </c>
      <c r="AT152" s="209" t="s">
        <v>1069</v>
      </c>
      <c r="AU152" s="210">
        <v>5.6</v>
      </c>
      <c r="AV152" s="211">
        <v>10</v>
      </c>
      <c r="AW152" s="212">
        <v>22.7</v>
      </c>
      <c r="AX152" s="213">
        <v>15815</v>
      </c>
      <c r="AY152" s="213">
        <v>5266.3949999999995</v>
      </c>
      <c r="AZ152" s="210" t="s">
        <v>128</v>
      </c>
      <c r="BA152" s="209" t="s">
        <v>168</v>
      </c>
      <c r="BB152" s="214" t="str">
        <f>+IF(Tabla46782[[#This Row],[TIPO VEHÍCULO]]=Tabla46782[[#This Row],[Columna2]], "IGUAL", "DISTINTO")</f>
        <v>IGUAL</v>
      </c>
      <c r="BC152" s="214" t="str">
        <f>+IF(Tabla46782[[#This Row],[Columna4]]=Tabla46782[[#This Row],[Combustible2]], "IGUAL", "DISTINTO")</f>
        <v>IGUAL</v>
      </c>
      <c r="BD152" s="215" cm="1">
        <f t="array" ref="BD152">IFERROR(INDEX('[1]Anexos FICHA TRA050'!$D$27:$D$44, MATCH(Tabla46782[[#This Row],[Columna5]]&amp;Tabla46782[[#This Row],[Columna4]], '[1]Anexos FICHA TRA050'!$E$27:$E$44&amp;'[1]Anexos FICHA TRA050'!$F$27:$F$44, 0)), "")</f>
        <v>5.63</v>
      </c>
      <c r="BE152" s="215">
        <f>IFERROR(INDEX('[1]Anexos FICHA TRA050'!$B$4:$B$7, MATCH(Tabla46782[[#This Row],[Columna4]], '[1]Anexos FICHA TRA050'!$C$4:$C$7, 0)), "")</f>
        <v>10</v>
      </c>
      <c r="BF152" s="215">
        <f>IFERROR(INDEX('[1]Anexos FICHA TRA050'!$C$14:$C$22, MATCH(Tabla46782[[#This Row],[Columna5]], '[1]Anexos FICHA TRA050'!$D$14:$D$22, 0)), "")</f>
        <v>20.84</v>
      </c>
      <c r="BG152" s="216">
        <f>IFERROR(INDEX('[1]Anexos FICHA TRA050'!$C$49:$C$54, MATCH(Tabla46782[[#This Row],[Columna5]], '[1]Anexos FICHA TRA050'!$D$49:$D$54, 0)), "")</f>
        <v>15815</v>
      </c>
      <c r="BH152" s="217">
        <f>+(((Tabla46782[[#This Row],[CVA2]]*Tabla46782[[#This Row],[f2]])-Tabla46782[[#This Row],[CVN2]])/100)*Tabla46782[[#This Row],[L2]]</f>
        <v>5607.9989999999989</v>
      </c>
      <c r="BI152" s="218"/>
      <c r="BJ152" s="218"/>
      <c r="BK152" s="218" t="str">
        <f>+IF(Tabla46782[[#This Row],[F3]]=Tabla46782[[#This Row],[f2]], "IGUAL", "DISTINTO")</f>
        <v>IGUAL</v>
      </c>
      <c r="BL152" s="218" t="str">
        <f>+IF(Tabla46782[[#This Row],[CVN]]=Tabla46782[[#This Row],[CVN2]], "IGUAL", "DISTINTO")</f>
        <v>DISTINTO</v>
      </c>
      <c r="BM152" s="219" t="str">
        <f>+IF(Tabla46782[[#This Row],[L]]=Tabla46782[[#This Row],[L2]], "IGUAL", "DISTINTO")</f>
        <v>IGUAL</v>
      </c>
    </row>
    <row r="153" spans="1:146" x14ac:dyDescent="0.25">
      <c r="A153">
        <v>150</v>
      </c>
      <c r="B153" s="202" t="s">
        <v>1070</v>
      </c>
      <c r="C153" s="203" t="s">
        <v>1071</v>
      </c>
      <c r="D153" s="203" t="s">
        <v>70</v>
      </c>
      <c r="E153" s="203" t="s">
        <v>78</v>
      </c>
      <c r="F153" s="203" t="s">
        <v>78</v>
      </c>
      <c r="G153" s="203" t="s">
        <v>70</v>
      </c>
      <c r="H153" s="203"/>
      <c r="I153" s="203"/>
      <c r="J153" s="203"/>
      <c r="K153" s="203"/>
      <c r="L153" s="203"/>
      <c r="M153" s="203"/>
      <c r="N153" s="203"/>
      <c r="O153" s="203" t="s">
        <v>466</v>
      </c>
      <c r="P153" s="203" t="s">
        <v>200</v>
      </c>
      <c r="Q153" s="203" t="s">
        <v>201</v>
      </c>
      <c r="R153" s="203" t="s">
        <v>76</v>
      </c>
      <c r="S153" s="209">
        <v>44026</v>
      </c>
      <c r="T153" s="205">
        <v>45169</v>
      </c>
      <c r="U153" s="205">
        <f>VLOOKUP(Tabla46782[[#This Row],[Matricula]],BAJA2022202320242025!$B$3:$CR$245,95,FALSE)</f>
        <v>45169</v>
      </c>
      <c r="V153" s="206">
        <v>1143</v>
      </c>
      <c r="W153" s="207">
        <v>2023</v>
      </c>
      <c r="X153" s="203" t="s">
        <v>77</v>
      </c>
      <c r="Y153" s="203" t="s">
        <v>78</v>
      </c>
      <c r="Z153" s="203" t="s">
        <v>467</v>
      </c>
      <c r="AA153" s="203" t="s">
        <v>1072</v>
      </c>
      <c r="AB153" s="203" t="s">
        <v>960</v>
      </c>
      <c r="AC153" s="203" t="s">
        <v>961</v>
      </c>
      <c r="AD153" s="203" t="s">
        <v>1073</v>
      </c>
      <c r="AE153" s="208">
        <v>2</v>
      </c>
      <c r="AF153" s="208" t="s">
        <v>1074</v>
      </c>
      <c r="AG153" s="208" t="s">
        <v>85</v>
      </c>
      <c r="AH153" s="208" t="s">
        <v>86</v>
      </c>
      <c r="AI153" s="208" t="s">
        <v>87</v>
      </c>
      <c r="AJ153" s="208" t="s">
        <v>1075</v>
      </c>
      <c r="AK153" s="205" t="s">
        <v>89</v>
      </c>
      <c r="AL153" s="204">
        <v>45645</v>
      </c>
      <c r="AM153" s="208">
        <v>1</v>
      </c>
      <c r="AN153" s="209" t="s">
        <v>960</v>
      </c>
      <c r="AO153" s="209" t="s">
        <v>1076</v>
      </c>
      <c r="AP153" s="209" t="s">
        <v>961</v>
      </c>
      <c r="AQ153" s="209"/>
      <c r="AR153" s="209" t="s">
        <v>72</v>
      </c>
      <c r="AS153" s="209" t="s">
        <v>91</v>
      </c>
      <c r="AT153" s="209" t="s">
        <v>1077</v>
      </c>
      <c r="AU153" s="210">
        <v>5.0999999999999996</v>
      </c>
      <c r="AV153" s="211">
        <v>10</v>
      </c>
      <c r="AW153" s="212">
        <v>17.3</v>
      </c>
      <c r="AX153" s="213">
        <v>13073</v>
      </c>
      <c r="AY153" s="213">
        <v>4405.6010000000006</v>
      </c>
      <c r="AZ153" s="210" t="s">
        <v>70</v>
      </c>
      <c r="BA153" s="209" t="s">
        <v>255</v>
      </c>
      <c r="BB153" s="214" t="str">
        <f>+IF(Tabla46782[[#This Row],[TIPO VEHÍCULO]]=Tabla46782[[#This Row],[Columna2]], "IGUAL", "DISTINTO")</f>
        <v>IGUAL</v>
      </c>
      <c r="BC153" s="214" t="str">
        <f>+IF(Tabla46782[[#This Row],[Columna4]]=Tabla46782[[#This Row],[Combustible2]], "IGUAL", "DISTINTO")</f>
        <v>IGUAL</v>
      </c>
      <c r="BD153" s="215" cm="1">
        <f t="array" ref="BD153">IFERROR(INDEX('[1]Anexos FICHA TRA050'!$D$27:$D$44, MATCH(Tabla46782[[#This Row],[Columna5]]&amp;Tabla46782[[#This Row],[Columna4]], '[1]Anexos FICHA TRA050'!$E$27:$E$44&amp;'[1]Anexos FICHA TRA050'!$F$27:$F$44, 0)), "")</f>
        <v>6.99</v>
      </c>
      <c r="BE153" s="215">
        <f>IFERROR(INDEX('[1]Anexos FICHA TRA050'!$B$4:$B$7, MATCH(Tabla46782[[#This Row],[Columna4]], '[1]Anexos FICHA TRA050'!$C$4:$C$7, 0)), "")</f>
        <v>10</v>
      </c>
      <c r="BF153" s="215">
        <f>IFERROR(INDEX('[1]Anexos FICHA TRA050'!$C$14:$C$22, MATCH(Tabla46782[[#This Row],[Columna5]], '[1]Anexos FICHA TRA050'!$D$14:$D$22, 0)), "")</f>
        <v>17.920000000000002</v>
      </c>
      <c r="BG153" s="216">
        <f>IFERROR(INDEX('[1]Anexos FICHA TRA050'!$C$49:$C$54, MATCH(Tabla46782[[#This Row],[Columna5]], '[1]Anexos FICHA TRA050'!$D$49:$D$54, 0)), "")</f>
        <v>13073</v>
      </c>
      <c r="BH153" s="217">
        <f>+(((Tabla46782[[#This Row],[CVA2]]*Tabla46782[[#This Row],[f2]])-Tabla46782[[#This Row],[CVN2]])/100)*Tabla46782[[#This Row],[L2]]</f>
        <v>6795.3454000000002</v>
      </c>
      <c r="BI153" s="218"/>
      <c r="BJ153" s="218"/>
      <c r="BK153" s="218" t="str">
        <f>+IF(Tabla46782[[#This Row],[F3]]=Tabla46782[[#This Row],[f2]], "IGUAL", "DISTINTO")</f>
        <v>IGUAL</v>
      </c>
      <c r="BL153" s="218" t="str">
        <f>+IF(Tabla46782[[#This Row],[CVN]]=Tabla46782[[#This Row],[CVN2]], "IGUAL", "DISTINTO")</f>
        <v>DISTINTO</v>
      </c>
      <c r="BM153" s="219" t="str">
        <f>+IF(Tabla46782[[#This Row],[L]]=Tabla46782[[#This Row],[L2]], "IGUAL", "DISTINTO")</f>
        <v>IGUAL</v>
      </c>
    </row>
    <row r="154" spans="1:146" x14ac:dyDescent="0.25">
      <c r="A154">
        <v>151</v>
      </c>
      <c r="B154" s="202" t="s">
        <v>1078</v>
      </c>
      <c r="C154" s="203" t="s">
        <v>1079</v>
      </c>
      <c r="D154" s="203" t="s">
        <v>70</v>
      </c>
      <c r="E154" s="203" t="s">
        <v>71</v>
      </c>
      <c r="F154" s="203" t="s">
        <v>71</v>
      </c>
      <c r="G154" s="203" t="s">
        <v>70</v>
      </c>
      <c r="H154" s="203" t="s">
        <v>72</v>
      </c>
      <c r="I154" s="203" t="s">
        <v>72</v>
      </c>
      <c r="J154" s="203" t="s">
        <v>72</v>
      </c>
      <c r="K154" s="203"/>
      <c r="L154" s="203" t="s">
        <v>72</v>
      </c>
      <c r="M154" s="203" t="s">
        <v>72</v>
      </c>
      <c r="N154" s="203"/>
      <c r="O154" s="203" t="s">
        <v>1034</v>
      </c>
      <c r="P154" s="203" t="s">
        <v>200</v>
      </c>
      <c r="Q154" s="203" t="s">
        <v>201</v>
      </c>
      <c r="R154" s="203" t="s">
        <v>76</v>
      </c>
      <c r="S154" s="209">
        <v>44148</v>
      </c>
      <c r="T154" s="205">
        <v>45609</v>
      </c>
      <c r="U154" s="205">
        <f>VLOOKUP(Tabla46782[[#This Row],[Matricula]],BAJA2022202320242025!$B$3:$CR$245,95,FALSE)</f>
        <v>45667</v>
      </c>
      <c r="V154" s="206">
        <v>1461</v>
      </c>
      <c r="W154" s="207">
        <v>2024</v>
      </c>
      <c r="X154" s="203" t="s">
        <v>77</v>
      </c>
      <c r="Y154" s="203" t="s">
        <v>202</v>
      </c>
      <c r="Z154" s="203" t="s">
        <v>524</v>
      </c>
      <c r="AA154" s="203" t="s">
        <v>1080</v>
      </c>
      <c r="AB154" s="203" t="s">
        <v>204</v>
      </c>
      <c r="AC154" s="203" t="s">
        <v>205</v>
      </c>
      <c r="AD154" s="203" t="s">
        <v>1081</v>
      </c>
      <c r="AE154" s="208">
        <v>10</v>
      </c>
      <c r="AF154" s="208" t="s">
        <v>1082</v>
      </c>
      <c r="AG154" s="208" t="s">
        <v>140</v>
      </c>
      <c r="AH154" s="208" t="s">
        <v>151</v>
      </c>
      <c r="AI154" s="208" t="s">
        <v>87</v>
      </c>
      <c r="AJ154" s="208" t="s">
        <v>208</v>
      </c>
      <c r="AK154" s="205" t="s">
        <v>89</v>
      </c>
      <c r="AL154" s="204">
        <v>45638</v>
      </c>
      <c r="AM154" s="208">
        <v>0</v>
      </c>
      <c r="AN154" s="209" t="s">
        <v>204</v>
      </c>
      <c r="AO154" s="209" t="s">
        <v>1083</v>
      </c>
      <c r="AP154" s="209" t="s">
        <v>205</v>
      </c>
      <c r="AQ154" s="209"/>
      <c r="AR154" s="209" t="s">
        <v>72</v>
      </c>
      <c r="AS154" s="209" t="s">
        <v>91</v>
      </c>
      <c r="AT154" s="209" t="s">
        <v>1084</v>
      </c>
      <c r="AU154" s="210">
        <v>5.0999999999999996</v>
      </c>
      <c r="AV154" s="211">
        <v>9.19</v>
      </c>
      <c r="AW154" s="212">
        <v>16.399999999999999</v>
      </c>
      <c r="AX154" s="213">
        <v>13073</v>
      </c>
      <c r="AY154" s="213">
        <v>3983.2123699999993</v>
      </c>
      <c r="AZ154" s="210" t="s">
        <v>70</v>
      </c>
      <c r="BA154" s="209" t="s">
        <v>93</v>
      </c>
      <c r="BB154" s="214" t="str">
        <f>+IF(Tabla46782[[#This Row],[TIPO VEHÍCULO]]=Tabla46782[[#This Row],[Columna2]], "IGUAL", "DISTINTO")</f>
        <v>IGUAL</v>
      </c>
      <c r="BC154" s="214" t="str">
        <f>+IF(Tabla46782[[#This Row],[Columna4]]=Tabla46782[[#This Row],[Combustible2]], "IGUAL", "DISTINTO")</f>
        <v>DISTINTO</v>
      </c>
      <c r="BD154" s="215" cm="1">
        <f t="array" ref="BD154">IFERROR(INDEX('[1]Anexos FICHA TRA050'!$D$27:$D$44, MATCH(Tabla46782[[#This Row],[Columna5]]&amp;Tabla46782[[#This Row],[Columna4]], '[1]Anexos FICHA TRA050'!$E$27:$E$44&amp;'[1]Anexos FICHA TRA050'!$F$27:$F$44, 0)), "")</f>
        <v>7.89</v>
      </c>
      <c r="BE154" s="215">
        <f>IFERROR(INDEX('[1]Anexos FICHA TRA050'!$B$4:$B$7, MATCH(Tabla46782[[#This Row],[Columna4]], '[1]Anexos FICHA TRA050'!$C$4:$C$7, 0)), "")</f>
        <v>9.19</v>
      </c>
      <c r="BF154" s="215">
        <f>IFERROR(INDEX('[1]Anexos FICHA TRA050'!$C$14:$C$22, MATCH(Tabla46782[[#This Row],[Columna5]], '[1]Anexos FICHA TRA050'!$D$14:$D$22, 0)), "")</f>
        <v>17.920000000000002</v>
      </c>
      <c r="BG154" s="216">
        <f>IFERROR(INDEX('[1]Anexos FICHA TRA050'!$C$49:$C$54, MATCH(Tabla46782[[#This Row],[Columna5]], '[1]Anexos FICHA TRA050'!$D$49:$D$54, 0)), "")</f>
        <v>13073</v>
      </c>
      <c r="BH154" s="217">
        <f>+(((Tabla46782[[#This Row],[CVA2]]*Tabla46782[[#This Row],[f2]])-Tabla46782[[#This Row],[CVN2]])/100)*Tabla46782[[#This Row],[L2]]</f>
        <v>7136.4330429999991</v>
      </c>
      <c r="BI154" s="218" t="s">
        <v>1085</v>
      </c>
      <c r="BJ154" s="218"/>
      <c r="BK154" s="218" t="str">
        <f>+IF(Tabla46782[[#This Row],[F3]]=Tabla46782[[#This Row],[f2]], "IGUAL", "DISTINTO")</f>
        <v>IGUAL</v>
      </c>
      <c r="BL154" s="218" t="str">
        <f>+IF(Tabla46782[[#This Row],[CVN]]=Tabla46782[[#This Row],[CVN2]], "IGUAL", "DISTINTO")</f>
        <v>DISTINTO</v>
      </c>
      <c r="BM154" s="219" t="str">
        <f>+IF(Tabla46782[[#This Row],[L]]=Tabla46782[[#This Row],[L2]], "IGUAL", "DISTINTO")</f>
        <v>IGUAL</v>
      </c>
    </row>
    <row r="155" spans="1:146" x14ac:dyDescent="0.25">
      <c r="A155">
        <v>152</v>
      </c>
      <c r="B155" s="202" t="s">
        <v>1086</v>
      </c>
      <c r="C155" s="203" t="s">
        <v>1087</v>
      </c>
      <c r="D155" s="203" t="s">
        <v>1088</v>
      </c>
      <c r="E155" s="203" t="s">
        <v>78</v>
      </c>
      <c r="F155" s="203" t="s">
        <v>78</v>
      </c>
      <c r="G155" s="203" t="s">
        <v>70</v>
      </c>
      <c r="H155" s="203" t="s">
        <v>72</v>
      </c>
      <c r="I155" s="203" t="s">
        <v>72</v>
      </c>
      <c r="J155" s="203"/>
      <c r="K155" s="203"/>
      <c r="L155" s="203" t="s">
        <v>72</v>
      </c>
      <c r="M155" s="203" t="s">
        <v>72</v>
      </c>
      <c r="N155" s="203"/>
      <c r="O155" s="203" t="s">
        <v>1034</v>
      </c>
      <c r="P155" s="203" t="s">
        <v>200</v>
      </c>
      <c r="Q155" s="203" t="s">
        <v>201</v>
      </c>
      <c r="R155" s="203" t="s">
        <v>76</v>
      </c>
      <c r="S155" s="209">
        <v>42725</v>
      </c>
      <c r="T155" s="205">
        <v>45124</v>
      </c>
      <c r="U155" s="205">
        <f>VLOOKUP(Tabla46782[[#This Row],[Matricula]],BAJA2022202320242025!$B$3:$CR$245,95,FALSE)</f>
        <v>45077</v>
      </c>
      <c r="V155" s="206">
        <v>2399</v>
      </c>
      <c r="W155" s="207">
        <v>2023</v>
      </c>
      <c r="X155" s="203" t="s">
        <v>77</v>
      </c>
      <c r="Y155" s="203" t="s">
        <v>78</v>
      </c>
      <c r="Z155" s="203" t="s">
        <v>524</v>
      </c>
      <c r="AA155" s="203" t="s">
        <v>1089</v>
      </c>
      <c r="AB155" s="203" t="s">
        <v>119</v>
      </c>
      <c r="AC155" s="203" t="s">
        <v>120</v>
      </c>
      <c r="AD155" s="203" t="s">
        <v>1041</v>
      </c>
      <c r="AE155" s="208">
        <v>34</v>
      </c>
      <c r="AF155" s="208" t="s">
        <v>1090</v>
      </c>
      <c r="AG155" s="208" t="s">
        <v>85</v>
      </c>
      <c r="AH155" s="208" t="s">
        <v>86</v>
      </c>
      <c r="AI155" s="208" t="s">
        <v>87</v>
      </c>
      <c r="AJ155" s="208" t="s">
        <v>252</v>
      </c>
      <c r="AK155" s="205" t="s">
        <v>89</v>
      </c>
      <c r="AL155" s="204">
        <v>45645</v>
      </c>
      <c r="AM155" s="208">
        <v>1</v>
      </c>
      <c r="AN155" s="209" t="s">
        <v>119</v>
      </c>
      <c r="AO155" s="209" t="s">
        <v>1091</v>
      </c>
      <c r="AP155" s="209" t="s">
        <v>120</v>
      </c>
      <c r="AQ155" s="209"/>
      <c r="AR155" s="209" t="s">
        <v>72</v>
      </c>
      <c r="AS155" s="209" t="s">
        <v>91</v>
      </c>
      <c r="AT155" s="209" t="s">
        <v>1092</v>
      </c>
      <c r="AU155" s="210">
        <v>5.0999999999999996</v>
      </c>
      <c r="AV155" s="211">
        <v>10</v>
      </c>
      <c r="AW155" s="212">
        <v>17.3</v>
      </c>
      <c r="AX155" s="213">
        <v>13073</v>
      </c>
      <c r="AY155" s="213">
        <v>4405.6010000000006</v>
      </c>
      <c r="AZ155" s="210" t="s">
        <v>70</v>
      </c>
      <c r="BA155" s="209" t="s">
        <v>255</v>
      </c>
      <c r="BB155" s="214" t="str">
        <f>+IF(Tabla46782[[#This Row],[TIPO VEHÍCULO]]=Tabla46782[[#This Row],[Columna2]], "IGUAL", "DISTINTO")</f>
        <v>DISTINTO</v>
      </c>
      <c r="BC155" s="214" t="str">
        <f>+IF(Tabla46782[[#This Row],[Columna4]]=Tabla46782[[#This Row],[Combustible2]], "IGUAL", "DISTINTO")</f>
        <v>IGUAL</v>
      </c>
      <c r="BD155" s="215" cm="1">
        <f t="array" ref="BD155">IFERROR(INDEX('[1]Anexos FICHA TRA050'!$D$27:$D$44, MATCH(Tabla46782[[#This Row],[Columna5]]&amp;Tabla46782[[#This Row],[Columna4]], '[1]Anexos FICHA TRA050'!$E$27:$E$44&amp;'[1]Anexos FICHA TRA050'!$F$27:$F$44, 0)), "")</f>
        <v>6.99</v>
      </c>
      <c r="BE155" s="215">
        <f>IFERROR(INDEX('[1]Anexos FICHA TRA050'!$B$4:$B$7, MATCH(Tabla46782[[#This Row],[Columna4]], '[1]Anexos FICHA TRA050'!$C$4:$C$7, 0)), "")</f>
        <v>10</v>
      </c>
      <c r="BF155" s="215">
        <f>IFERROR(INDEX('[1]Anexos FICHA TRA050'!$C$14:$C$22, MATCH(Tabla46782[[#This Row],[Columna5]], '[1]Anexos FICHA TRA050'!$D$14:$D$22, 0)), "")</f>
        <v>17.920000000000002</v>
      </c>
      <c r="BG155" s="216">
        <f>IFERROR(INDEX('[1]Anexos FICHA TRA050'!$C$49:$C$54, MATCH(Tabla46782[[#This Row],[Columna5]], '[1]Anexos FICHA TRA050'!$D$49:$D$54, 0)), "")</f>
        <v>13073</v>
      </c>
      <c r="BH155" s="217">
        <f>+(((Tabla46782[[#This Row],[CVA2]]*Tabla46782[[#This Row],[f2]])-Tabla46782[[#This Row],[CVN2]])/100)*Tabla46782[[#This Row],[L2]]</f>
        <v>6795.3454000000002</v>
      </c>
      <c r="BI155" s="218"/>
      <c r="BJ155" s="218"/>
      <c r="BK155" s="218" t="str">
        <f>+IF(Tabla46782[[#This Row],[F3]]=Tabla46782[[#This Row],[f2]], "IGUAL", "DISTINTO")</f>
        <v>IGUAL</v>
      </c>
      <c r="BL155" s="218" t="str">
        <f>+IF(Tabla46782[[#This Row],[CVN]]=Tabla46782[[#This Row],[CVN2]], "IGUAL", "DISTINTO")</f>
        <v>DISTINTO</v>
      </c>
      <c r="BM155" s="219" t="str">
        <f>+IF(Tabla46782[[#This Row],[L]]=Tabla46782[[#This Row],[L2]], "IGUAL", "DISTINTO")</f>
        <v>IGUAL</v>
      </c>
    </row>
    <row r="156" spans="1:146" x14ac:dyDescent="0.25">
      <c r="A156">
        <v>153</v>
      </c>
      <c r="B156" s="202" t="s">
        <v>1093</v>
      </c>
      <c r="C156" s="203" t="s">
        <v>1094</v>
      </c>
      <c r="D156" s="203" t="s">
        <v>70</v>
      </c>
      <c r="E156" s="203" t="s">
        <v>71</v>
      </c>
      <c r="F156" s="203" t="s">
        <v>71</v>
      </c>
      <c r="G156" s="203" t="s">
        <v>70</v>
      </c>
      <c r="H156" s="203" t="s">
        <v>72</v>
      </c>
      <c r="I156" s="203" t="s">
        <v>72</v>
      </c>
      <c r="J156" s="203" t="s">
        <v>72</v>
      </c>
      <c r="K156" s="203"/>
      <c r="L156" s="203" t="s">
        <v>72</v>
      </c>
      <c r="M156" s="203" t="s">
        <v>72</v>
      </c>
      <c r="N156" s="203"/>
      <c r="O156" s="203" t="s">
        <v>1034</v>
      </c>
      <c r="P156" s="203" t="s">
        <v>200</v>
      </c>
      <c r="Q156" s="203" t="s">
        <v>201</v>
      </c>
      <c r="R156" s="203" t="s">
        <v>76</v>
      </c>
      <c r="S156" s="209">
        <v>44127</v>
      </c>
      <c r="T156" s="205">
        <v>45588</v>
      </c>
      <c r="U156" s="205">
        <f>VLOOKUP(Tabla46782[[#This Row],[Matricula]],BAJA2022202320242025!$B$3:$CR$245,95,FALSE)</f>
        <v>45776</v>
      </c>
      <c r="V156" s="206">
        <v>1461</v>
      </c>
      <c r="W156" s="207">
        <v>2024</v>
      </c>
      <c r="X156" s="203" t="s">
        <v>77</v>
      </c>
      <c r="Y156" s="203" t="s">
        <v>202</v>
      </c>
      <c r="Z156" s="203" t="s">
        <v>524</v>
      </c>
      <c r="AA156" s="203" t="s">
        <v>1095</v>
      </c>
      <c r="AB156" s="203" t="s">
        <v>204</v>
      </c>
      <c r="AC156" s="203" t="s">
        <v>205</v>
      </c>
      <c r="AD156" s="203" t="s">
        <v>206</v>
      </c>
      <c r="AE156" s="208">
        <v>11</v>
      </c>
      <c r="AF156" s="208" t="s">
        <v>1096</v>
      </c>
      <c r="AG156" s="208" t="s">
        <v>140</v>
      </c>
      <c r="AH156" s="208" t="s">
        <v>151</v>
      </c>
      <c r="AI156" s="208" t="s">
        <v>87</v>
      </c>
      <c r="AJ156" s="208" t="s">
        <v>232</v>
      </c>
      <c r="AK156" s="205" t="s">
        <v>89</v>
      </c>
      <c r="AL156" s="204">
        <v>45638</v>
      </c>
      <c r="AM156" s="208">
        <v>0</v>
      </c>
      <c r="AN156" s="209" t="s">
        <v>204</v>
      </c>
      <c r="AO156" s="209" t="s">
        <v>1097</v>
      </c>
      <c r="AP156" s="209" t="s">
        <v>205</v>
      </c>
      <c r="AQ156" s="209"/>
      <c r="AR156" s="209" t="s">
        <v>72</v>
      </c>
      <c r="AS156" s="209" t="s">
        <v>91</v>
      </c>
      <c r="AT156" s="209" t="s">
        <v>1098</v>
      </c>
      <c r="AU156" s="210">
        <v>5.0999999999999996</v>
      </c>
      <c r="AV156" s="211">
        <v>9.19</v>
      </c>
      <c r="AW156" s="212">
        <v>16.399999999999999</v>
      </c>
      <c r="AX156" s="213">
        <v>13073</v>
      </c>
      <c r="AY156" s="213">
        <v>3983.2123699999993</v>
      </c>
      <c r="AZ156" s="210" t="s">
        <v>70</v>
      </c>
      <c r="BA156" s="209" t="s">
        <v>93</v>
      </c>
      <c r="BB156" s="214" t="str">
        <f>+IF(Tabla46782[[#This Row],[TIPO VEHÍCULO]]=Tabla46782[[#This Row],[Columna2]], "IGUAL", "DISTINTO")</f>
        <v>IGUAL</v>
      </c>
      <c r="BC156" s="214" t="str">
        <f>+IF(Tabla46782[[#This Row],[Columna4]]=Tabla46782[[#This Row],[Combustible2]], "IGUAL", "DISTINTO")</f>
        <v>DISTINTO</v>
      </c>
      <c r="BD156" s="215" cm="1">
        <f t="array" ref="BD156">IFERROR(INDEX('[1]Anexos FICHA TRA050'!$D$27:$D$44, MATCH(Tabla46782[[#This Row],[Columna5]]&amp;Tabla46782[[#This Row],[Columna4]], '[1]Anexos FICHA TRA050'!$E$27:$E$44&amp;'[1]Anexos FICHA TRA050'!$F$27:$F$44, 0)), "")</f>
        <v>7.89</v>
      </c>
      <c r="BE156" s="215">
        <f>IFERROR(INDEX('[1]Anexos FICHA TRA050'!$B$4:$B$7, MATCH(Tabla46782[[#This Row],[Columna4]], '[1]Anexos FICHA TRA050'!$C$4:$C$7, 0)), "")</f>
        <v>9.19</v>
      </c>
      <c r="BF156" s="215">
        <f>IFERROR(INDEX('[1]Anexos FICHA TRA050'!$C$14:$C$22, MATCH(Tabla46782[[#This Row],[Columna5]], '[1]Anexos FICHA TRA050'!$D$14:$D$22, 0)), "")</f>
        <v>17.920000000000002</v>
      </c>
      <c r="BG156" s="216">
        <f>IFERROR(INDEX('[1]Anexos FICHA TRA050'!$C$49:$C$54, MATCH(Tabla46782[[#This Row],[Columna5]], '[1]Anexos FICHA TRA050'!$D$49:$D$54, 0)), "")</f>
        <v>13073</v>
      </c>
      <c r="BH156" s="217">
        <f>+(((Tabla46782[[#This Row],[CVA2]]*Tabla46782[[#This Row],[f2]])-Tabla46782[[#This Row],[CVN2]])/100)*Tabla46782[[#This Row],[L2]]</f>
        <v>7136.4330429999991</v>
      </c>
      <c r="BI156" s="218" t="s">
        <v>1085</v>
      </c>
      <c r="BJ156" s="218"/>
      <c r="BK156" s="218" t="str">
        <f>+IF(Tabla46782[[#This Row],[F3]]=Tabla46782[[#This Row],[f2]], "IGUAL", "DISTINTO")</f>
        <v>IGUAL</v>
      </c>
      <c r="BL156" s="218" t="str">
        <f>+IF(Tabla46782[[#This Row],[CVN]]=Tabla46782[[#This Row],[CVN2]], "IGUAL", "DISTINTO")</f>
        <v>DISTINTO</v>
      </c>
      <c r="BM156" s="219" t="str">
        <f>+IF(Tabla46782[[#This Row],[L]]=Tabla46782[[#This Row],[L2]], "IGUAL", "DISTINTO")</f>
        <v>IGUAL</v>
      </c>
    </row>
    <row r="157" spans="1:146" x14ac:dyDescent="0.25">
      <c r="A157">
        <v>154</v>
      </c>
      <c r="B157" s="202" t="s">
        <v>1099</v>
      </c>
      <c r="C157" s="203" t="s">
        <v>1100</v>
      </c>
      <c r="D157" s="203" t="s">
        <v>70</v>
      </c>
      <c r="E157" s="203" t="s">
        <v>78</v>
      </c>
      <c r="F157" s="203" t="s">
        <v>78</v>
      </c>
      <c r="G157" s="203" t="s">
        <v>70</v>
      </c>
      <c r="H157" s="203" t="s">
        <v>72</v>
      </c>
      <c r="I157" s="203" t="s">
        <v>72</v>
      </c>
      <c r="J157" s="203" t="s">
        <v>72</v>
      </c>
      <c r="K157" s="203"/>
      <c r="L157" s="203" t="s">
        <v>72</v>
      </c>
      <c r="M157" s="203" t="s">
        <v>72</v>
      </c>
      <c r="N157" s="203"/>
      <c r="O157" s="203" t="s">
        <v>1034</v>
      </c>
      <c r="P157" s="203" t="s">
        <v>200</v>
      </c>
      <c r="Q157" s="203" t="s">
        <v>201</v>
      </c>
      <c r="R157" s="203" t="s">
        <v>76</v>
      </c>
      <c r="S157" s="209">
        <v>43663</v>
      </c>
      <c r="T157" s="205">
        <v>45124</v>
      </c>
      <c r="U157" s="205">
        <f>VLOOKUP(Tabla46782[[#This Row],[Matricula]],BAJA2022202320242025!$B$3:$CR$245,95,FALSE)</f>
        <v>45149</v>
      </c>
      <c r="V157" s="206">
        <v>1461</v>
      </c>
      <c r="W157" s="207">
        <v>2023</v>
      </c>
      <c r="X157" s="203" t="s">
        <v>77</v>
      </c>
      <c r="Y157" s="203" t="s">
        <v>78</v>
      </c>
      <c r="Z157" s="203" t="s">
        <v>524</v>
      </c>
      <c r="AA157" s="203" t="s">
        <v>1101</v>
      </c>
      <c r="AB157" s="203" t="s">
        <v>102</v>
      </c>
      <c r="AC157" s="203" t="s">
        <v>103</v>
      </c>
      <c r="AD157" s="203" t="s">
        <v>1102</v>
      </c>
      <c r="AE157" s="208">
        <v>54</v>
      </c>
      <c r="AF157" s="208" t="s">
        <v>1103</v>
      </c>
      <c r="AG157" s="208" t="s">
        <v>85</v>
      </c>
      <c r="AH157" s="208" t="s">
        <v>340</v>
      </c>
      <c r="AI157" s="208" t="s">
        <v>87</v>
      </c>
      <c r="AJ157" s="208" t="s">
        <v>567</v>
      </c>
      <c r="AK157" s="205" t="s">
        <v>108</v>
      </c>
      <c r="AL157" s="204">
        <v>43019</v>
      </c>
      <c r="AM157" s="208">
        <v>0</v>
      </c>
      <c r="AN157" s="209" t="s">
        <v>102</v>
      </c>
      <c r="AO157" s="210">
        <v>4500349878</v>
      </c>
      <c r="AP157" s="209" t="s">
        <v>103</v>
      </c>
      <c r="AQ157" s="209"/>
      <c r="AR157" s="209" t="s">
        <v>72</v>
      </c>
      <c r="AS157" s="209" t="s">
        <v>109</v>
      </c>
      <c r="AT157" s="209" t="s">
        <v>1104</v>
      </c>
      <c r="AU157" s="210">
        <v>5.0999999999999996</v>
      </c>
      <c r="AV157" s="211">
        <v>10</v>
      </c>
      <c r="AW157" s="212">
        <v>13.3</v>
      </c>
      <c r="AX157" s="213">
        <v>13073</v>
      </c>
      <c r="AY157" s="213">
        <v>4928.5209999999997</v>
      </c>
      <c r="AZ157" s="210" t="s">
        <v>70</v>
      </c>
      <c r="BA157" s="209" t="s">
        <v>93</v>
      </c>
      <c r="BB157" s="214" t="str">
        <f>+IF(Tabla46782[[#This Row],[TIPO VEHÍCULO]]=Tabla46782[[#This Row],[Columna2]], "IGUAL", "DISTINTO")</f>
        <v>IGUAL</v>
      </c>
      <c r="BC157" s="214" t="str">
        <f>+IF(Tabla46782[[#This Row],[Columna4]]=Tabla46782[[#This Row],[Combustible2]], "IGUAL", "DISTINTO")</f>
        <v>IGUAL</v>
      </c>
      <c r="BD157" s="215" cm="1">
        <f t="array" ref="BD157">IFERROR(INDEX('[1]Anexos FICHA TRA050'!$D$27:$D$44, MATCH(Tabla46782[[#This Row],[Columna5]]&amp;Tabla46782[[#This Row],[Columna4]], '[1]Anexos FICHA TRA050'!$E$27:$E$44&amp;'[1]Anexos FICHA TRA050'!$F$27:$F$44, 0)), "")</f>
        <v>6.99</v>
      </c>
      <c r="BE157" s="215">
        <f>IFERROR(INDEX('[1]Anexos FICHA TRA050'!$B$4:$B$7, MATCH(Tabla46782[[#This Row],[Columna4]], '[1]Anexos FICHA TRA050'!$C$4:$C$7, 0)), "")</f>
        <v>10</v>
      </c>
      <c r="BF157" s="215">
        <f>IFERROR(INDEX('[1]Anexos FICHA TRA050'!$C$14:$C$22, MATCH(Tabla46782[[#This Row],[Columna5]], '[1]Anexos FICHA TRA050'!$D$14:$D$22, 0)), "")</f>
        <v>17.920000000000002</v>
      </c>
      <c r="BG157" s="216">
        <f>IFERROR(INDEX('[1]Anexos FICHA TRA050'!$C$49:$C$54, MATCH(Tabla46782[[#This Row],[Columna5]], '[1]Anexos FICHA TRA050'!$D$49:$D$54, 0)), "")</f>
        <v>13073</v>
      </c>
      <c r="BH157" s="217">
        <f>+(((Tabla46782[[#This Row],[CVA2]]*Tabla46782[[#This Row],[f2]])-Tabla46782[[#This Row],[CVN2]])/100)*Tabla46782[[#This Row],[L2]]</f>
        <v>6795.3454000000002</v>
      </c>
      <c r="BI157" s="218"/>
      <c r="BJ157" s="218"/>
      <c r="BK157" s="218" t="str">
        <f>+IF(Tabla46782[[#This Row],[F3]]=Tabla46782[[#This Row],[f2]], "IGUAL", "DISTINTO")</f>
        <v>IGUAL</v>
      </c>
      <c r="BL157" s="218" t="str">
        <f>+IF(Tabla46782[[#This Row],[CVN]]=Tabla46782[[#This Row],[CVN2]], "IGUAL", "DISTINTO")</f>
        <v>DISTINTO</v>
      </c>
      <c r="BM157" s="219" t="str">
        <f>+IF(Tabla46782[[#This Row],[L]]=Tabla46782[[#This Row],[L2]], "IGUAL", "DISTINTO")</f>
        <v>IGUAL</v>
      </c>
    </row>
    <row r="158" spans="1:146" s="237" customFormat="1" x14ac:dyDescent="0.25">
      <c r="A158">
        <v>155</v>
      </c>
      <c r="B158" s="253" t="s">
        <v>1105</v>
      </c>
      <c r="C158" s="254" t="s">
        <v>1106</v>
      </c>
      <c r="D158" s="254" t="s">
        <v>1088</v>
      </c>
      <c r="E158" s="254" t="s">
        <v>71</v>
      </c>
      <c r="F158" s="254" t="s">
        <v>71</v>
      </c>
      <c r="G158" s="254" t="s">
        <v>70</v>
      </c>
      <c r="H158" s="254" t="s">
        <v>72</v>
      </c>
      <c r="I158" s="254" t="s">
        <v>72</v>
      </c>
      <c r="J158" s="254" t="s">
        <v>72</v>
      </c>
      <c r="K158" s="254"/>
      <c r="L158" s="254" t="s">
        <v>249</v>
      </c>
      <c r="M158" s="254" t="s">
        <v>249</v>
      </c>
      <c r="N158" s="254"/>
      <c r="O158" s="254" t="s">
        <v>1034</v>
      </c>
      <c r="P158" s="254" t="s">
        <v>200</v>
      </c>
      <c r="Q158" s="254" t="s">
        <v>201</v>
      </c>
      <c r="R158" s="254" t="s">
        <v>76</v>
      </c>
      <c r="S158" s="255">
        <v>44148</v>
      </c>
      <c r="T158" s="256">
        <v>45609</v>
      </c>
      <c r="U158" s="256">
        <f>VLOOKUP(Tabla46782[[#This Row],[Matricula]],BAJA2022202320242025!$B$3:$CR$245,95,FALSE)</f>
        <v>45646</v>
      </c>
      <c r="V158" s="257">
        <v>1461</v>
      </c>
      <c r="W158" s="258">
        <v>2024</v>
      </c>
      <c r="X158" s="254" t="s">
        <v>77</v>
      </c>
      <c r="Y158" s="254" t="s">
        <v>202</v>
      </c>
      <c r="Z158" s="254" t="s">
        <v>524</v>
      </c>
      <c r="AA158" s="254" t="s">
        <v>1107</v>
      </c>
      <c r="AB158" s="254" t="s">
        <v>119</v>
      </c>
      <c r="AC158" s="254" t="s">
        <v>120</v>
      </c>
      <c r="AD158" s="254" t="s">
        <v>1108</v>
      </c>
      <c r="AE158" s="259">
        <v>38</v>
      </c>
      <c r="AF158" s="259" t="s">
        <v>1109</v>
      </c>
      <c r="AG158" s="259" t="s">
        <v>140</v>
      </c>
      <c r="AH158" s="259" t="s">
        <v>151</v>
      </c>
      <c r="AI158" s="259" t="s">
        <v>87</v>
      </c>
      <c r="AJ158" s="259" t="s">
        <v>501</v>
      </c>
      <c r="AK158" s="256" t="s">
        <v>89</v>
      </c>
      <c r="AL158" s="260">
        <v>45625</v>
      </c>
      <c r="AM158" s="259">
        <v>0</v>
      </c>
      <c r="AN158" s="255" t="s">
        <v>119</v>
      </c>
      <c r="AO158" s="255" t="s">
        <v>1110</v>
      </c>
      <c r="AP158" s="255" t="s">
        <v>120</v>
      </c>
      <c r="AQ158" s="255"/>
      <c r="AR158" s="255" t="s">
        <v>72</v>
      </c>
      <c r="AS158" s="255" t="s">
        <v>91</v>
      </c>
      <c r="AT158" s="255" t="s">
        <v>1111</v>
      </c>
      <c r="AU158" s="261">
        <v>5.0999999999999996</v>
      </c>
      <c r="AV158" s="262">
        <v>9.19</v>
      </c>
      <c r="AW158" s="263">
        <v>16.399999999999999</v>
      </c>
      <c r="AX158" s="264">
        <v>13073</v>
      </c>
      <c r="AY158" s="264">
        <v>3983.2123699999993</v>
      </c>
      <c r="AZ158" s="261" t="s">
        <v>70</v>
      </c>
      <c r="BA158" s="255" t="s">
        <v>93</v>
      </c>
      <c r="BB158" s="265" t="str">
        <f>+IF(Tabla46782[[#This Row],[TIPO VEHÍCULO]]=Tabla46782[[#This Row],[Columna2]], "IGUAL", "DISTINTO")</f>
        <v>DISTINTO</v>
      </c>
      <c r="BC158" s="265" t="str">
        <f>+IF(Tabla46782[[#This Row],[Columna4]]=Tabla46782[[#This Row],[Combustible2]], "IGUAL", "DISTINTO")</f>
        <v>DISTINTO</v>
      </c>
      <c r="BD158" s="266" cm="1">
        <f t="array" ref="BD158">IFERROR(INDEX('[1]Anexos FICHA TRA050'!$D$27:$D$44, MATCH(Tabla46782[[#This Row],[Columna5]]&amp;Tabla46782[[#This Row],[Columna4]], '[1]Anexos FICHA TRA050'!$E$27:$E$44&amp;'[1]Anexos FICHA TRA050'!$F$27:$F$44, 0)), "")</f>
        <v>7.89</v>
      </c>
      <c r="BE158" s="266">
        <f>IFERROR(INDEX('[1]Anexos FICHA TRA050'!$B$4:$B$7, MATCH(Tabla46782[[#This Row],[Columna4]], '[1]Anexos FICHA TRA050'!$C$4:$C$7, 0)), "")</f>
        <v>9.19</v>
      </c>
      <c r="BF158" s="266">
        <f>IFERROR(INDEX('[1]Anexos FICHA TRA050'!$C$14:$C$22, MATCH(Tabla46782[[#This Row],[Columna5]], '[1]Anexos FICHA TRA050'!$D$14:$D$22, 0)), "")</f>
        <v>17.920000000000002</v>
      </c>
      <c r="BG158" s="267">
        <f>IFERROR(INDEX('[1]Anexos FICHA TRA050'!$C$49:$C$54, MATCH(Tabla46782[[#This Row],[Columna5]], '[1]Anexos FICHA TRA050'!$D$49:$D$54, 0)), "")</f>
        <v>13073</v>
      </c>
      <c r="BH158" s="268">
        <f>+(((Tabla46782[[#This Row],[CVA2]]*Tabla46782[[#This Row],[f2]])-Tabla46782[[#This Row],[CVN2]])/100)*Tabla46782[[#This Row],[L2]]</f>
        <v>7136.4330429999991</v>
      </c>
      <c r="BI158" s="269" t="s">
        <v>1112</v>
      </c>
      <c r="BJ158" s="269"/>
      <c r="BK158" s="269" t="str">
        <f>+IF(Tabla46782[[#This Row],[F3]]=Tabla46782[[#This Row],[f2]], "IGUAL", "DISTINTO")</f>
        <v>IGUAL</v>
      </c>
      <c r="BL158" s="269" t="str">
        <f>+IF(Tabla46782[[#This Row],[CVN]]=Tabla46782[[#This Row],[CVN2]], "IGUAL", "DISTINTO")</f>
        <v>DISTINTO</v>
      </c>
      <c r="BM158" s="270" t="str">
        <f>+IF(Tabla46782[[#This Row],[L]]=Tabla46782[[#This Row],[L2]], "IGUAL", "DISTINTO")</f>
        <v>IGUAL</v>
      </c>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row>
    <row r="159" spans="1:146" x14ac:dyDescent="0.25">
      <c r="B159" s="271"/>
      <c r="G159" s="272"/>
      <c r="H159" s="273"/>
      <c r="I159" s="273"/>
      <c r="J159" s="273"/>
      <c r="K159" s="273"/>
      <c r="L159" s="273"/>
      <c r="M159" s="273"/>
      <c r="N159" s="273"/>
      <c r="O159" s="273"/>
      <c r="P159" s="273"/>
      <c r="Q159" s="273"/>
      <c r="R159" s="273"/>
      <c r="S159" s="274"/>
      <c r="T159" s="275"/>
      <c r="U159" s="275"/>
      <c r="V159" s="276"/>
      <c r="W159" s="277"/>
      <c r="X159" s="273"/>
      <c r="Y159" s="273"/>
      <c r="Z159" s="273"/>
      <c r="AA159" s="273"/>
      <c r="AB159" s="273"/>
      <c r="AC159" s="273"/>
      <c r="AD159" s="273"/>
      <c r="AE159" s="278"/>
      <c r="AF159" s="278"/>
      <c r="AG159" s="278"/>
      <c r="AH159" s="278"/>
      <c r="AI159" s="278"/>
      <c r="AJ159" s="279"/>
      <c r="AK159" s="280"/>
      <c r="AL159" s="281"/>
      <c r="AM159" s="278"/>
      <c r="AN159" s="274"/>
      <c r="AO159" s="274"/>
      <c r="AP159" s="274"/>
      <c r="AQ159" s="282"/>
      <c r="AR159" s="282"/>
      <c r="AS159" s="282"/>
      <c r="AT159" s="282"/>
      <c r="AU159" s="283"/>
      <c r="AV159" s="284"/>
      <c r="AW159" s="285"/>
      <c r="AX159" s="286"/>
      <c r="AY159" s="287">
        <f>SUM(Tabla46782[AE])</f>
        <v>1593433.3932700013</v>
      </c>
      <c r="AZ159" s="288"/>
      <c r="BA159" s="282"/>
      <c r="BB159" s="282"/>
      <c r="BC159" s="282"/>
      <c r="BD159" s="289"/>
      <c r="BE159" s="289"/>
      <c r="BF159" s="289"/>
      <c r="BG159" s="364"/>
      <c r="BH159" s="290">
        <f>+SUM(BH145:BH158,BH48:BH143,BH4:BH46)</f>
        <v>1489516.2144419993</v>
      </c>
      <c r="BI159" s="291"/>
      <c r="BJ159" s="291"/>
      <c r="BK159" s="291"/>
      <c r="BL159" s="291"/>
      <c r="BM159" s="291"/>
    </row>
    <row r="161" spans="5:61" x14ac:dyDescent="0.25">
      <c r="E161" s="178" t="s">
        <v>1113</v>
      </c>
      <c r="BH161" s="360"/>
      <c r="BI161" s="360"/>
    </row>
  </sheetData>
  <mergeCells count="3">
    <mergeCell ref="AU2:AZ2"/>
    <mergeCell ref="BD2:BH2"/>
    <mergeCell ref="BK2:BM2"/>
  </mergeCells>
  <conditionalFormatting sqref="V4:V158">
    <cfRule type="cellIs" dxfId="6" priority="3" operator="lessThan">
      <formula>365</formula>
    </cfRule>
  </conditionalFormatting>
  <conditionalFormatting sqref="BB1:BC1048576">
    <cfRule type="containsText" dxfId="5" priority="2" operator="containsText" text="DISTINTO">
      <formula>NOT(ISERROR(SEARCH("DISTINTO",BB1)))</formula>
    </cfRule>
  </conditionalFormatting>
  <conditionalFormatting sqref="BK2:BM107 BL108:BM108 BK109:BM1048576">
    <cfRule type="containsText" dxfId="4" priority="1" operator="containsText" text="DISTINTO">
      <formula>NOT(ISERROR(SEARCH("DISTINTO",BK2)))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194D-F494-41D0-93A8-B2E09EE7ADDA}">
  <sheetPr>
    <tabColor rgb="FF00B050"/>
  </sheetPr>
  <dimension ref="A1:AW354"/>
  <sheetViews>
    <sheetView topLeftCell="AH227" zoomScale="70" zoomScaleNormal="70" workbookViewId="0">
      <selection activeCell="AF305" sqref="AF7:AF305"/>
    </sheetView>
  </sheetViews>
  <sheetFormatPr baseColWidth="10" defaultColWidth="10.85546875" defaultRowHeight="12.75" customHeight="1" x14ac:dyDescent="0.2"/>
  <cols>
    <col min="1" max="1" width="12.28515625" style="1" bestFit="1" customWidth="1"/>
    <col min="2" max="2" width="12.28515625" style="1" hidden="1" customWidth="1"/>
    <col min="3" max="3" width="17.140625" style="1" customWidth="1"/>
    <col min="4" max="4" width="14.5703125" style="106" bestFit="1" customWidth="1"/>
    <col min="5" max="6" width="20.5703125" style="106" bestFit="1" customWidth="1"/>
    <col min="7" max="7" width="10.28515625" style="106" customWidth="1"/>
    <col min="8" max="8" width="18.85546875" style="106" bestFit="1" customWidth="1"/>
    <col min="9" max="9" width="21.42578125" style="106" customWidth="1"/>
    <col min="10" max="10" width="11.5703125" style="106" bestFit="1" customWidth="1"/>
    <col min="11" max="12" width="10.85546875" style="1" customWidth="1"/>
    <col min="13" max="13" width="13" style="1" customWidth="1"/>
    <col min="14" max="15" width="10.85546875" style="1" customWidth="1"/>
    <col min="16" max="18" width="12.5703125" style="1" customWidth="1"/>
    <col min="19" max="19" width="10.85546875" style="1" customWidth="1"/>
    <col min="20" max="20" width="14.42578125" style="1" customWidth="1"/>
    <col min="21" max="21" width="19.85546875" style="1" bestFit="1" customWidth="1"/>
    <col min="22" max="22" width="33.85546875" style="1" bestFit="1" customWidth="1"/>
    <col min="23" max="23" width="10.85546875" style="1" customWidth="1"/>
    <col min="24" max="24" width="29" style="1" customWidth="1"/>
    <col min="25" max="26" width="10.85546875" style="1" customWidth="1"/>
    <col min="27" max="27" width="16.5703125" style="1" customWidth="1"/>
    <col min="28" max="28" width="10.85546875" style="1"/>
    <col min="29" max="29" width="29.5703125" style="1" bestFit="1" customWidth="1"/>
    <col min="30" max="30" width="15.28515625" style="1" customWidth="1"/>
    <col min="31" max="31" width="10.85546875" style="1" customWidth="1"/>
    <col min="32" max="32" width="14.42578125" style="1" customWidth="1"/>
    <col min="33" max="33" width="12.85546875" style="1" customWidth="1"/>
    <col min="34" max="34" width="12.85546875" style="40" customWidth="1"/>
    <col min="35" max="36" width="15.85546875" style="1" customWidth="1"/>
    <col min="37" max="37" width="30.42578125" style="1" bestFit="1" customWidth="1"/>
    <col min="38" max="38" width="17" style="1" bestFit="1" customWidth="1"/>
    <col min="39" max="39" width="14" style="1" customWidth="1"/>
    <col min="40" max="40" width="26.42578125" style="106" bestFit="1" customWidth="1"/>
    <col min="41" max="41" width="26.42578125" style="106" customWidth="1"/>
    <col min="42" max="44" width="10.85546875" style="43"/>
    <col min="45" max="46" width="10.85546875" style="46"/>
    <col min="47" max="47" width="11.7109375" style="43" customWidth="1"/>
    <col min="48" max="48" width="21.5703125" style="43" bestFit="1" customWidth="1"/>
    <col min="49" max="49" width="12.28515625" style="1" bestFit="1" customWidth="1"/>
    <col min="50" max="16384" width="10.85546875" style="1"/>
  </cols>
  <sheetData>
    <row r="1" spans="1:49" ht="13.5" thickBot="1" x14ac:dyDescent="0.25">
      <c r="C1" s="378" t="s">
        <v>1116</v>
      </c>
      <c r="D1" s="379"/>
      <c r="E1" s="379"/>
      <c r="F1" s="379"/>
      <c r="G1" s="379"/>
      <c r="H1" s="379"/>
      <c r="I1" s="379"/>
      <c r="J1" s="379"/>
      <c r="K1" s="379"/>
      <c r="L1" s="379"/>
      <c r="M1" s="379"/>
      <c r="N1" s="379"/>
      <c r="O1" s="380"/>
      <c r="P1" s="380"/>
      <c r="Q1" s="380"/>
      <c r="R1" s="380"/>
      <c r="S1" s="379"/>
      <c r="T1" s="379"/>
      <c r="U1" s="379"/>
      <c r="V1" s="379"/>
      <c r="W1" s="379"/>
      <c r="X1" s="379"/>
      <c r="Y1" s="379"/>
      <c r="Z1" s="381"/>
      <c r="AA1" s="382" t="s">
        <v>1117</v>
      </c>
      <c r="AB1" s="382"/>
      <c r="AC1" s="382"/>
      <c r="AD1" s="382"/>
      <c r="AE1" s="382"/>
      <c r="AF1" s="383"/>
      <c r="AG1" s="382"/>
      <c r="AH1" s="384"/>
      <c r="AI1" s="382"/>
      <c r="AJ1" s="382"/>
      <c r="AK1" s="382"/>
      <c r="AL1" s="111"/>
      <c r="AM1" s="142"/>
      <c r="AN1" s="111"/>
      <c r="AO1" s="111"/>
      <c r="AP1" s="385" t="s">
        <v>1118</v>
      </c>
      <c r="AQ1" s="386"/>
      <c r="AR1" s="386"/>
      <c r="AS1" s="386"/>
      <c r="AT1" s="386"/>
      <c r="AU1" s="387"/>
      <c r="AV1" s="145"/>
    </row>
    <row r="2" spans="1:49" s="13" customFormat="1" ht="13.5" thickBot="1" x14ac:dyDescent="0.25">
      <c r="A2" s="2" t="s">
        <v>4</v>
      </c>
      <c r="B2" s="292" t="s">
        <v>1119</v>
      </c>
      <c r="C2" s="2" t="s">
        <v>5</v>
      </c>
      <c r="D2" s="102" t="s">
        <v>10</v>
      </c>
      <c r="E2" s="102" t="s">
        <v>11</v>
      </c>
      <c r="F2" s="102" t="s">
        <v>12</v>
      </c>
      <c r="G2" s="102" t="s">
        <v>13</v>
      </c>
      <c r="H2" s="102" t="s">
        <v>14</v>
      </c>
      <c r="I2" s="102" t="s">
        <v>15</v>
      </c>
      <c r="J2" s="102" t="s">
        <v>16</v>
      </c>
      <c r="K2" s="3" t="s">
        <v>17</v>
      </c>
      <c r="L2" s="3" t="s">
        <v>18</v>
      </c>
      <c r="M2" s="3" t="s">
        <v>19</v>
      </c>
      <c r="N2" s="4" t="s">
        <v>20</v>
      </c>
      <c r="O2" s="150" t="s">
        <v>21</v>
      </c>
      <c r="P2" s="5" t="s">
        <v>22</v>
      </c>
      <c r="Q2" s="138" t="s">
        <v>23</v>
      </c>
      <c r="R2" s="138" t="s">
        <v>24</v>
      </c>
      <c r="S2" s="6" t="s">
        <v>25</v>
      </c>
      <c r="T2" s="3" t="s">
        <v>1120</v>
      </c>
      <c r="U2" s="3" t="s">
        <v>27</v>
      </c>
      <c r="V2" s="3" t="s">
        <v>28</v>
      </c>
      <c r="W2" s="3" t="s">
        <v>29</v>
      </c>
      <c r="X2" s="3" t="s">
        <v>30</v>
      </c>
      <c r="Y2" s="3" t="s">
        <v>31</v>
      </c>
      <c r="Z2" s="7" t="s">
        <v>32</v>
      </c>
      <c r="AA2" s="8" t="s">
        <v>33</v>
      </c>
      <c r="AB2" s="9" t="s">
        <v>34</v>
      </c>
      <c r="AC2" s="9" t="s">
        <v>35</v>
      </c>
      <c r="AD2" s="9" t="s">
        <v>36</v>
      </c>
      <c r="AE2" s="10" t="s">
        <v>37</v>
      </c>
      <c r="AF2" s="11" t="s">
        <v>38</v>
      </c>
      <c r="AG2" s="8" t="s">
        <v>39</v>
      </c>
      <c r="AH2" s="136" t="s">
        <v>40</v>
      </c>
      <c r="AI2" s="10" t="s">
        <v>41</v>
      </c>
      <c r="AJ2" s="10" t="s">
        <v>42</v>
      </c>
      <c r="AK2" s="10" t="s">
        <v>43</v>
      </c>
      <c r="AL2" s="143" t="s">
        <v>44</v>
      </c>
      <c r="AM2" s="143" t="s">
        <v>45</v>
      </c>
      <c r="AN2" s="117" t="s">
        <v>46</v>
      </c>
      <c r="AO2" s="117" t="s">
        <v>47</v>
      </c>
      <c r="AP2" s="61" t="s">
        <v>48</v>
      </c>
      <c r="AQ2" s="62" t="s">
        <v>49</v>
      </c>
      <c r="AR2" s="62" t="s">
        <v>50</v>
      </c>
      <c r="AS2" s="63" t="s">
        <v>51</v>
      </c>
      <c r="AT2" s="63" t="s">
        <v>52</v>
      </c>
      <c r="AU2" s="64" t="s">
        <v>53</v>
      </c>
      <c r="AV2" s="293" t="s">
        <v>1121</v>
      </c>
      <c r="AW2" s="145" t="s">
        <v>54</v>
      </c>
    </row>
    <row r="3" spans="1:49" ht="13.5" hidden="1" thickBot="1" x14ac:dyDescent="0.25">
      <c r="C3" s="14" t="s">
        <v>1122</v>
      </c>
      <c r="D3" s="14"/>
      <c r="E3" s="14"/>
      <c r="F3" s="14"/>
      <c r="G3" s="14"/>
      <c r="H3" s="14"/>
      <c r="I3" s="14"/>
      <c r="J3" s="14"/>
      <c r="K3" s="14" t="s">
        <v>1034</v>
      </c>
      <c r="L3" s="14" t="s">
        <v>200</v>
      </c>
      <c r="M3" s="14" t="s">
        <v>201</v>
      </c>
      <c r="N3" s="14" t="s">
        <v>76</v>
      </c>
      <c r="O3" s="152">
        <f>VLOOKUP(Tabla1[[#This Row],[Matricula]],BAJA2022202320242025!$B$3:$CR$245,93,FALSE)</f>
        <v>43518</v>
      </c>
      <c r="P3" s="15">
        <v>44979</v>
      </c>
      <c r="Q3" s="15">
        <f>Tabla1[[#This Row],[F.Vig.Final]]-Tabla1[[#This Row],[f Vig Inicio]]</f>
        <v>1461</v>
      </c>
      <c r="R3" s="15">
        <f>YEAR(Tabla1[[#This Row],[F.Vig.Final]])</f>
        <v>2023</v>
      </c>
      <c r="S3" s="14" t="s">
        <v>77</v>
      </c>
      <c r="T3" s="14" t="s">
        <v>78</v>
      </c>
      <c r="U3" s="14" t="s">
        <v>524</v>
      </c>
      <c r="V3" s="14" t="s">
        <v>1123</v>
      </c>
      <c r="W3" s="14" t="s">
        <v>1124</v>
      </c>
      <c r="X3" s="14" t="s">
        <v>1125</v>
      </c>
      <c r="Y3" s="14" t="s">
        <v>312</v>
      </c>
      <c r="Z3" s="16">
        <f>COUNTIF($X$3:X3, X3)</f>
        <v>1</v>
      </c>
      <c r="AA3" s="16" t="e">
        <v>#N/A</v>
      </c>
      <c r="AB3" s="16" t="e">
        <v>#N/A</v>
      </c>
      <c r="AC3" s="16" t="e">
        <v>#N/A</v>
      </c>
      <c r="AD3" s="16" t="e">
        <v>#N/A</v>
      </c>
      <c r="AE3" s="16" t="e">
        <v>#N/A</v>
      </c>
      <c r="AF3" s="15" t="e">
        <v>#N/A</v>
      </c>
      <c r="AG3" s="17" t="e">
        <v>#N/A</v>
      </c>
      <c r="AH3" s="17" t="e">
        <f>Tabla1[[#This Row],[Renov. Flota]]-Tabla1[[#This Row],[Año]]</f>
        <v>#N/A</v>
      </c>
      <c r="AI3" s="18" t="e">
        <v>#N/A</v>
      </c>
      <c r="AJ3" s="18" t="e">
        <f>VLOOKUP(Tabla1[[#This Row],[Matricula nueva]],'ALTA 20242025'!$B$2:$P$242,15,FALSE)</f>
        <v>#N/A</v>
      </c>
      <c r="AK3" s="19" t="e">
        <v>#N/A</v>
      </c>
      <c r="AN3" s="1"/>
      <c r="AO3" s="1" t="e">
        <f>VLOOKUP(Tabla1[[#This Row],[Matricula nueva]],Hoja2!$A$1:$B$224,2,FALSE)</f>
        <v>#N/A</v>
      </c>
      <c r="AP3" s="1" t="str">
        <f>IF(Tabla1[[#This Row],[Columna2]]="M1",5.1,"")</f>
        <v/>
      </c>
      <c r="AQ3" s="1"/>
      <c r="AR3" s="1"/>
      <c r="AS3" s="47">
        <f>IF(Tabla1[[#This Row],[Columna2]]="M1",13073,IF(Tabla1[[#This Row],[Columna2]]="N1",15815,IF(Tabla1[[#This Row],[Columna2]]="L3e",2831,53508)))</f>
        <v>53508</v>
      </c>
      <c r="AT3" s="47" t="e">
        <f>(Tabla1[[#This Row],[CVA]]*Tabla1[[#This Row],[F]]-Tabla1[[#This Row],[CVN]])/100*Tabla1[[#This Row],[L]]</f>
        <v>#VALUE!</v>
      </c>
      <c r="AU3" s="1"/>
      <c r="AV3" s="1" t="e">
        <f>VLOOKUP(B3,Tabla467824[[ID CAE2]:[AE '[kWh']]],6,FALSE)</f>
        <v>#N/A</v>
      </c>
      <c r="AW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4" spans="1:49" ht="13.5" hidden="1" thickBot="1" x14ac:dyDescent="0.25">
      <c r="C4" s="14" t="s">
        <v>1126</v>
      </c>
      <c r="D4" s="14"/>
      <c r="E4" s="14"/>
      <c r="F4" s="14"/>
      <c r="G4" s="14"/>
      <c r="H4" s="14"/>
      <c r="I4" s="14"/>
      <c r="J4" s="14"/>
      <c r="K4" s="14" t="s">
        <v>73</v>
      </c>
      <c r="L4" s="14" t="s">
        <v>172</v>
      </c>
      <c r="M4" s="14" t="s">
        <v>1127</v>
      </c>
      <c r="N4" s="14" t="s">
        <v>76</v>
      </c>
      <c r="O4" s="152">
        <f>VLOOKUP(Tabla1[[#This Row],[Matricula]],BAJA2022202320242025!$B$3:$CR$245,93,FALSE)</f>
        <v>44159</v>
      </c>
      <c r="P4" s="15">
        <v>45037</v>
      </c>
      <c r="Q4" s="15">
        <f>Tabla1[[#This Row],[F.Vig.Final]]-Tabla1[[#This Row],[f Vig Inicio]]</f>
        <v>878</v>
      </c>
      <c r="R4" s="15">
        <f>YEAR(Tabla1[[#This Row],[F.Vig.Final]])</f>
        <v>2023</v>
      </c>
      <c r="S4" s="14" t="s">
        <v>77</v>
      </c>
      <c r="T4" s="14" t="s">
        <v>78</v>
      </c>
      <c r="U4" s="14" t="s">
        <v>85</v>
      </c>
      <c r="V4" s="14" t="s">
        <v>732</v>
      </c>
      <c r="W4" s="14" t="s">
        <v>1128</v>
      </c>
      <c r="X4" s="14" t="s">
        <v>1129</v>
      </c>
      <c r="Y4" s="14" t="s">
        <v>1130</v>
      </c>
      <c r="Z4" s="16">
        <f>COUNTIF($X$3:X4, X4)</f>
        <v>1</v>
      </c>
      <c r="AA4" s="16" t="e">
        <v>#N/A</v>
      </c>
      <c r="AB4" s="16" t="e">
        <v>#N/A</v>
      </c>
      <c r="AC4" s="16" t="e">
        <v>#N/A</v>
      </c>
      <c r="AD4" s="16" t="e">
        <v>#N/A</v>
      </c>
      <c r="AE4" s="16" t="e">
        <v>#N/A</v>
      </c>
      <c r="AF4" s="15" t="e">
        <v>#N/A</v>
      </c>
      <c r="AG4" s="17" t="e">
        <v>#N/A</v>
      </c>
      <c r="AH4" s="17" t="e">
        <f>Tabla1[[#This Row],[Renov. Flota]]-Tabla1[[#This Row],[Año]]</f>
        <v>#N/A</v>
      </c>
      <c r="AI4" s="18" t="e">
        <v>#N/A</v>
      </c>
      <c r="AJ4" s="18" t="e">
        <f>VLOOKUP(Tabla1[[#This Row],[Matricula nueva]],'ALTA 20242025'!$B$2:$P$242,15,FALSE)</f>
        <v>#N/A</v>
      </c>
      <c r="AK4" s="19" t="e">
        <v>#N/A</v>
      </c>
      <c r="AN4" s="1"/>
      <c r="AO4" s="1" t="e">
        <f>VLOOKUP(Tabla1[[#This Row],[Matricula nueva]],Hoja2!$A$1:$B$224,2,FALSE)</f>
        <v>#N/A</v>
      </c>
      <c r="AP4" s="1" t="str">
        <f>IF(Tabla1[[#This Row],[Columna2]]="M1",5.1,"")</f>
        <v/>
      </c>
      <c r="AQ4" s="1"/>
      <c r="AR4" s="1"/>
      <c r="AS4" s="47">
        <f>IF(Tabla1[[#This Row],[Columna2]]="M1",13073,IF(Tabla1[[#This Row],[Columna2]]="N1",15815,IF(Tabla1[[#This Row],[Columna2]]="L3e",2831,53508)))</f>
        <v>53508</v>
      </c>
      <c r="AT4" s="47" t="e">
        <f>(Tabla1[[#This Row],[CVA]]*Tabla1[[#This Row],[F]]-Tabla1[[#This Row],[CVN]])/100*Tabla1[[#This Row],[L]]</f>
        <v>#VALUE!</v>
      </c>
      <c r="AU4" s="1"/>
      <c r="AV4" s="1" t="e">
        <f>VLOOKUP(B4,Tabla467824[[ID CAE2]:[AE '[kWh']]],6,FALSE)</f>
        <v>#N/A</v>
      </c>
      <c r="AW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5" spans="1:49" ht="13.5" hidden="1" thickBot="1" x14ac:dyDescent="0.25">
      <c r="C5" s="14" t="s">
        <v>1131</v>
      </c>
      <c r="D5" s="14"/>
      <c r="E5" s="14"/>
      <c r="F5" s="14"/>
      <c r="G5" s="14"/>
      <c r="H5" s="14"/>
      <c r="I5" s="14"/>
      <c r="J5" s="14"/>
      <c r="K5" s="14" t="s">
        <v>885</v>
      </c>
      <c r="L5" s="14" t="s">
        <v>161</v>
      </c>
      <c r="M5" s="14" t="s">
        <v>886</v>
      </c>
      <c r="N5" s="14" t="s">
        <v>171</v>
      </c>
      <c r="O5" s="95">
        <f>VLOOKUP(Tabla1[[#This Row],[Matricula]],BAJA2022202320242025!$B$3:$CR$245,93,FALSE)</f>
        <v>43879</v>
      </c>
      <c r="P5" s="21">
        <v>45062</v>
      </c>
      <c r="Q5" s="21">
        <f>Tabla1[[#This Row],[F.Vig.Final]]-Tabla1[[#This Row],[f Vig Inicio]]</f>
        <v>1183</v>
      </c>
      <c r="R5" s="21">
        <f>YEAR(Tabla1[[#This Row],[F.Vig.Final]])</f>
        <v>2023</v>
      </c>
      <c r="S5" s="14" t="s">
        <v>172</v>
      </c>
      <c r="T5" s="14" t="s">
        <v>78</v>
      </c>
      <c r="U5" s="14" t="s">
        <v>1132</v>
      </c>
      <c r="V5" s="14" t="s">
        <v>1133</v>
      </c>
      <c r="W5" s="14" t="s">
        <v>1134</v>
      </c>
      <c r="X5" s="14" t="s">
        <v>1135</v>
      </c>
      <c r="Y5" s="14" t="s">
        <v>1136</v>
      </c>
      <c r="Z5" s="16">
        <f>COUNTIF($X$3:X5, X5)</f>
        <v>1</v>
      </c>
      <c r="AA5" s="16" t="e">
        <v>#N/A</v>
      </c>
      <c r="AB5" s="16" t="e">
        <v>#N/A</v>
      </c>
      <c r="AC5" s="16" t="e">
        <v>#N/A</v>
      </c>
      <c r="AD5" s="16" t="e">
        <v>#N/A</v>
      </c>
      <c r="AE5" s="16" t="e">
        <v>#N/A</v>
      </c>
      <c r="AF5" s="21" t="e">
        <v>#N/A</v>
      </c>
      <c r="AG5" s="17" t="e">
        <v>#N/A</v>
      </c>
      <c r="AH5" s="17" t="e">
        <f>Tabla1[[#This Row],[Renov. Flota]]-Tabla1[[#This Row],[Año]]</f>
        <v>#N/A</v>
      </c>
      <c r="AI5" s="18" t="e">
        <v>#N/A</v>
      </c>
      <c r="AJ5" s="18" t="e">
        <f>VLOOKUP(Tabla1[[#This Row],[Matricula nueva]],'ALTA 20242025'!$B$2:$P$242,15,FALSE)</f>
        <v>#N/A</v>
      </c>
      <c r="AK5" s="19" t="e">
        <v>#N/A</v>
      </c>
      <c r="AN5" s="1"/>
      <c r="AO5" s="1" t="e">
        <f>VLOOKUP(Tabla1[[#This Row],[Matricula nueva]],Hoja2!$A$1:$B$224,2,FALSE)</f>
        <v>#N/A</v>
      </c>
      <c r="AP5" s="1" t="str">
        <f>IF(Tabla1[[#This Row],[Columna2]]="M1",5.1,"")</f>
        <v/>
      </c>
      <c r="AQ5" s="1"/>
      <c r="AR5" s="1"/>
      <c r="AS5" s="47">
        <f>IF(Tabla1[[#This Row],[Columna2]]="M1",13073,IF(Tabla1[[#This Row],[Columna2]]="N1",15815,IF(Tabla1[[#This Row],[Columna2]]="L3e",2831,53508)))</f>
        <v>53508</v>
      </c>
      <c r="AT5" s="47" t="e">
        <f>(Tabla1[[#This Row],[CVA]]*Tabla1[[#This Row],[F]]-Tabla1[[#This Row],[CVN]])/100*Tabla1[[#This Row],[L]]</f>
        <v>#VALUE!</v>
      </c>
      <c r="AU5" s="1"/>
      <c r="AV5" s="1" t="e">
        <f>VLOOKUP(B5,Tabla467824[[ID CAE2]:[AE '[kWh']]],6,FALSE)</f>
        <v>#N/A</v>
      </c>
      <c r="AW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6" spans="1:49" ht="13.5" hidden="1" thickBot="1" x14ac:dyDescent="0.25">
      <c r="C6" s="14" t="s">
        <v>1137</v>
      </c>
      <c r="D6" s="14"/>
      <c r="E6" s="14"/>
      <c r="F6" s="14"/>
      <c r="G6" s="14"/>
      <c r="H6" s="14"/>
      <c r="I6" s="14"/>
      <c r="J6" s="14"/>
      <c r="K6" s="14" t="s">
        <v>158</v>
      </c>
      <c r="L6" s="14" t="s">
        <v>159</v>
      </c>
      <c r="M6" s="14" t="s">
        <v>158</v>
      </c>
      <c r="N6" s="14" t="s">
        <v>171</v>
      </c>
      <c r="O6" s="50">
        <f>VLOOKUP(Tabla1[[#This Row],[Matricula]],BAJA2022202320242025!$B$3:$CR$245,93,FALSE)</f>
        <v>40274</v>
      </c>
      <c r="P6" s="22">
        <v>45079</v>
      </c>
      <c r="Q6" s="22">
        <f>Tabla1[[#This Row],[F.Vig.Final]]-Tabla1[[#This Row],[f Vig Inicio]]</f>
        <v>4805</v>
      </c>
      <c r="R6" s="22">
        <f>YEAR(Tabla1[[#This Row],[F.Vig.Final]])</f>
        <v>2023</v>
      </c>
      <c r="S6" s="14" t="s">
        <v>172</v>
      </c>
      <c r="T6" s="14" t="s">
        <v>78</v>
      </c>
      <c r="U6" s="14" t="s">
        <v>359</v>
      </c>
      <c r="V6" s="14" t="s">
        <v>1138</v>
      </c>
      <c r="W6" s="14" t="s">
        <v>1139</v>
      </c>
      <c r="X6" s="14" t="s">
        <v>1140</v>
      </c>
      <c r="Y6" s="14" t="s">
        <v>312</v>
      </c>
      <c r="Z6" s="16">
        <f>COUNTIF($X$3:X6, X6)</f>
        <v>1</v>
      </c>
      <c r="AA6" s="16" t="e">
        <v>#N/A</v>
      </c>
      <c r="AB6" s="16" t="e">
        <v>#N/A</v>
      </c>
      <c r="AC6" s="16" t="e">
        <v>#N/A</v>
      </c>
      <c r="AD6" s="16" t="e">
        <v>#N/A</v>
      </c>
      <c r="AE6" s="16" t="e">
        <v>#N/A</v>
      </c>
      <c r="AF6" s="22" t="e">
        <v>#N/A</v>
      </c>
      <c r="AG6" s="17" t="e">
        <v>#N/A</v>
      </c>
      <c r="AH6" s="17" t="e">
        <f>Tabla1[[#This Row],[Renov. Flota]]-Tabla1[[#This Row],[Año]]</f>
        <v>#N/A</v>
      </c>
      <c r="AI6" s="18" t="e">
        <v>#N/A</v>
      </c>
      <c r="AJ6" s="18" t="e">
        <f>VLOOKUP(Tabla1[[#This Row],[Matricula nueva]],'ALTA 20242025'!$B$2:$P$242,15,FALSE)</f>
        <v>#N/A</v>
      </c>
      <c r="AK6" s="19" t="e">
        <v>#N/A</v>
      </c>
      <c r="AN6" s="1"/>
      <c r="AO6" s="1" t="e">
        <f>VLOOKUP(Tabla1[[#This Row],[Matricula nueva]],Hoja2!$A$1:$B$224,2,FALSE)</f>
        <v>#N/A</v>
      </c>
      <c r="AP6" s="1" t="str">
        <f>IF(Tabla1[[#This Row],[Columna2]]="M1",5.1,"")</f>
        <v/>
      </c>
      <c r="AQ6" s="1"/>
      <c r="AR6" s="1"/>
      <c r="AS6" s="47">
        <f>IF(Tabla1[[#This Row],[Columna2]]="M1",13073,IF(Tabla1[[#This Row],[Columna2]]="N1",15815,IF(Tabla1[[#This Row],[Columna2]]="L3e",2831,53508)))</f>
        <v>53508</v>
      </c>
      <c r="AT6" s="47" t="e">
        <f>(Tabla1[[#This Row],[CVA]]*Tabla1[[#This Row],[F]]-Tabla1[[#This Row],[CVN]])/100*Tabla1[[#This Row],[L]]</f>
        <v>#VALUE!</v>
      </c>
      <c r="AU6" s="1"/>
      <c r="AV6" s="1" t="e">
        <f>VLOOKUP(B6,Tabla467824[[ID CAE2]:[AE '[kWh']]],6,FALSE)</f>
        <v>#N/A</v>
      </c>
      <c r="AW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7" spans="1:49" ht="15" x14ac:dyDescent="0.25">
      <c r="A7" s="114" t="s">
        <v>68</v>
      </c>
      <c r="B7" t="str">
        <f>VLOOKUP(A7,Tabla46782[ID CAE],1,FALSE)</f>
        <v>CAE500001</v>
      </c>
      <c r="C7" s="25" t="s">
        <v>69</v>
      </c>
      <c r="D7" s="103" t="s">
        <v>72</v>
      </c>
      <c r="E7" s="103" t="s">
        <v>72</v>
      </c>
      <c r="F7" s="103" t="s">
        <v>72</v>
      </c>
      <c r="G7" s="103"/>
      <c r="H7" s="103" t="s">
        <v>72</v>
      </c>
      <c r="I7" s="103" t="s">
        <v>72</v>
      </c>
      <c r="J7" s="103"/>
      <c r="K7" s="14" t="s">
        <v>73</v>
      </c>
      <c r="L7" s="14" t="s">
        <v>74</v>
      </c>
      <c r="M7" s="14" t="s">
        <v>75</v>
      </c>
      <c r="N7" s="23" t="s">
        <v>76</v>
      </c>
      <c r="O7" s="155">
        <f>VLOOKUP(Tabla1[[#This Row],[Matricula]],BAJA2022202320242025!$B$3:$CR$245,93,FALSE)</f>
        <v>45286</v>
      </c>
      <c r="P7" s="163">
        <v>45322</v>
      </c>
      <c r="Q7" s="164">
        <f>Tabla1[[#This Row],[F.Vig.Final]]-Tabla1[[#This Row],[f Vig Inicio]]</f>
        <v>36</v>
      </c>
      <c r="R7" s="141">
        <f>YEAR(Tabla1[[#This Row],[F.Vig.Final]])</f>
        <v>2024</v>
      </c>
      <c r="S7" s="25" t="s">
        <v>77</v>
      </c>
      <c r="T7" s="14" t="s">
        <v>78</v>
      </c>
      <c r="U7" s="14" t="s">
        <v>79</v>
      </c>
      <c r="V7" s="14" t="s">
        <v>80</v>
      </c>
      <c r="W7" s="14" t="s">
        <v>81</v>
      </c>
      <c r="X7" s="14" t="s">
        <v>82</v>
      </c>
      <c r="Y7" s="14" t="s">
        <v>83</v>
      </c>
      <c r="Z7" s="16">
        <f>COUNTIF($X$3:X7, X7)</f>
        <v>1</v>
      </c>
      <c r="AA7" s="16" t="s">
        <v>84</v>
      </c>
      <c r="AB7" s="16" t="s">
        <v>85</v>
      </c>
      <c r="AC7" s="16" t="s">
        <v>86</v>
      </c>
      <c r="AD7" s="16" t="s">
        <v>87</v>
      </c>
      <c r="AE7" s="60">
        <v>357107</v>
      </c>
      <c r="AF7" s="24" t="s">
        <v>89</v>
      </c>
      <c r="AG7" s="27">
        <v>45625</v>
      </c>
      <c r="AH7" s="137">
        <f>Tabla1[[#This Row],[Renov. Flota]]-Tabla1[[#This Row],[Año]]</f>
        <v>0</v>
      </c>
      <c r="AI7" s="18" t="s">
        <v>81</v>
      </c>
      <c r="AJ7" s="107" t="str">
        <f>VLOOKUP(Tabla1[[#This Row],[Matricula nueva]],'ALTA 20242025'!$B$2:$P$242,15,FALSE)</f>
        <v>4500426762</v>
      </c>
      <c r="AK7" s="60" t="s">
        <v>82</v>
      </c>
      <c r="AM7" s="1" t="s">
        <v>72</v>
      </c>
      <c r="AN7" s="1" t="s">
        <v>91</v>
      </c>
      <c r="AO7" s="1" t="str">
        <f>VLOOKUP(Tabla1[[#This Row],[Matricula nueva]],Hoja2!$A$1:$B$224,2,FALSE)</f>
        <v>VF1RFK00273824834</v>
      </c>
      <c r="AP7" s="65">
        <f>IF(Tabla1[[#This Row],[Columna2]]="M1",5.1,"")</f>
        <v>5.0999999999999996</v>
      </c>
      <c r="AQ7" s="66">
        <f t="shared" ref="AQ7:AQ14" si="0">IF(T7="DIESEL",10,IF(T7="GLP",7.16,9.19))</f>
        <v>10</v>
      </c>
      <c r="AR7" s="67">
        <v>17.3</v>
      </c>
      <c r="AS7" s="68">
        <f>IF(Tabla1[[#This Row],[Columna2]]="M1",13073,IF(Tabla1[[#This Row],[Columna2]]="N1",15815,IF(Tabla1[[#This Row],[Columna2]]="L3e",2831,53508)))</f>
        <v>13073</v>
      </c>
      <c r="AT7" s="68">
        <f>(Tabla1[[#This Row],[CVA]]*Tabla1[[#This Row],[F]]-Tabla1[[#This Row],[CVN]])/100*Tabla1[[#This Row],[L]]</f>
        <v>4405.6010000000006</v>
      </c>
      <c r="AU7" s="69" t="s">
        <v>70</v>
      </c>
      <c r="AV7" s="294">
        <f>VLOOKUP(B7,Tabla467824[[ID CAE2]:[AE '[kWh']]],6,FALSE)</f>
        <v>7136.4330429999991</v>
      </c>
      <c r="AW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8" spans="1:49" ht="15" x14ac:dyDescent="0.25">
      <c r="A8" s="114" t="s">
        <v>94</v>
      </c>
      <c r="B8" t="str">
        <f>VLOOKUP(A8,Tabla46782[ID CAE],1,FALSE)</f>
        <v>CAE500002</v>
      </c>
      <c r="C8" s="25" t="s">
        <v>95</v>
      </c>
      <c r="D8" s="103" t="s">
        <v>72</v>
      </c>
      <c r="E8" s="103" t="s">
        <v>72</v>
      </c>
      <c r="F8" s="103" t="s">
        <v>72</v>
      </c>
      <c r="G8" s="103"/>
      <c r="H8" s="103" t="s">
        <v>72</v>
      </c>
      <c r="I8" s="103" t="s">
        <v>72</v>
      </c>
      <c r="J8" s="103"/>
      <c r="K8" s="14" t="s">
        <v>73</v>
      </c>
      <c r="L8" s="14" t="s">
        <v>74</v>
      </c>
      <c r="M8" s="14" t="s">
        <v>75</v>
      </c>
      <c r="N8" s="23" t="s">
        <v>76</v>
      </c>
      <c r="O8" s="155">
        <f>VLOOKUP(Tabla1[[#This Row],[Matricula]],BAJA2022202320242025!$B$3:$CR$245,93,FALSE)</f>
        <v>45282</v>
      </c>
      <c r="P8" s="163">
        <v>45393</v>
      </c>
      <c r="Q8" s="164">
        <f>Tabla1[[#This Row],[F.Vig.Final]]-Tabla1[[#This Row],[f Vig Inicio]]</f>
        <v>111</v>
      </c>
      <c r="R8" s="141">
        <f>YEAR(Tabla1[[#This Row],[F.Vig.Final]])</f>
        <v>2024</v>
      </c>
      <c r="S8" s="25" t="s">
        <v>77</v>
      </c>
      <c r="T8" s="14" t="s">
        <v>78</v>
      </c>
      <c r="U8" s="14" t="s">
        <v>79</v>
      </c>
      <c r="V8" s="14" t="s">
        <v>80</v>
      </c>
      <c r="W8" s="14" t="s">
        <v>81</v>
      </c>
      <c r="X8" s="14" t="s">
        <v>82</v>
      </c>
      <c r="Y8" s="14" t="s">
        <v>83</v>
      </c>
      <c r="Z8" s="16">
        <f>COUNTIF($X$3:X8, X8)</f>
        <v>2</v>
      </c>
      <c r="AA8" s="16" t="s">
        <v>96</v>
      </c>
      <c r="AB8" s="16" t="s">
        <v>85</v>
      </c>
      <c r="AC8" s="16" t="s">
        <v>86</v>
      </c>
      <c r="AD8" s="16" t="s">
        <v>87</v>
      </c>
      <c r="AE8" s="60">
        <v>357107</v>
      </c>
      <c r="AF8" s="24" t="s">
        <v>89</v>
      </c>
      <c r="AG8" s="27">
        <v>45625</v>
      </c>
      <c r="AH8" s="137">
        <f>Tabla1[[#This Row],[Renov. Flota]]-Tabla1[[#This Row],[Año]]</f>
        <v>0</v>
      </c>
      <c r="AI8" s="18" t="s">
        <v>81</v>
      </c>
      <c r="AJ8" s="107" t="str">
        <f>VLOOKUP(Tabla1[[#This Row],[Matricula nueva]],'ALTA 20242025'!$B$2:$P$242,15,FALSE)</f>
        <v>4500426781</v>
      </c>
      <c r="AK8" s="60" t="s">
        <v>82</v>
      </c>
      <c r="AM8" s="1" t="s">
        <v>72</v>
      </c>
      <c r="AN8" s="1" t="s">
        <v>91</v>
      </c>
      <c r="AO8" s="1" t="str">
        <f>VLOOKUP(Tabla1[[#This Row],[Matricula nueva]],Hoja2!$A$1:$B$224,2,FALSE)</f>
        <v>VF1RFK00473824835</v>
      </c>
      <c r="AP8" s="70">
        <f>IF(Tabla1[[#This Row],[Columna2]]="M1",5.1,"")</f>
        <v>5.0999999999999996</v>
      </c>
      <c r="AQ8" s="71">
        <f t="shared" si="0"/>
        <v>10</v>
      </c>
      <c r="AR8" s="72">
        <v>17.3</v>
      </c>
      <c r="AS8" s="73">
        <f>IF(Tabla1[[#This Row],[Columna2]]="M1",13073,IF(Tabla1[[#This Row],[Columna2]]="N1",15815,IF(Tabla1[[#This Row],[Columna2]]="L3e",2831,53508)))</f>
        <v>13073</v>
      </c>
      <c r="AT8" s="73">
        <f>(Tabla1[[#This Row],[CVA]]*Tabla1[[#This Row],[F]]-Tabla1[[#This Row],[CVN]])/100*Tabla1[[#This Row],[L]]</f>
        <v>4405.6010000000006</v>
      </c>
      <c r="AU8" s="74" t="s">
        <v>70</v>
      </c>
      <c r="AV8" s="294">
        <f>VLOOKUP(B8,Tabla467824[[ID CAE2]:[AE '[kWh']]],6,FALSE)</f>
        <v>6795.3454000000002</v>
      </c>
      <c r="AW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 spans="1:49" ht="15" x14ac:dyDescent="0.25">
      <c r="A9" s="114" t="s">
        <v>99</v>
      </c>
      <c r="B9" t="str">
        <f>VLOOKUP(A9,Tabla46782[ID CAE],1,FALSE)</f>
        <v>CAE500003</v>
      </c>
      <c r="C9" s="25" t="s">
        <v>100</v>
      </c>
      <c r="D9" s="103" t="s">
        <v>72</v>
      </c>
      <c r="E9" s="103"/>
      <c r="F9" s="103" t="s">
        <v>72</v>
      </c>
      <c r="G9" s="103"/>
      <c r="H9" s="103" t="s">
        <v>72</v>
      </c>
      <c r="I9" s="103" t="s">
        <v>72</v>
      </c>
      <c r="J9" s="103"/>
      <c r="K9" s="14" t="s">
        <v>73</v>
      </c>
      <c r="L9" s="14" t="s">
        <v>74</v>
      </c>
      <c r="M9" s="14" t="s">
        <v>75</v>
      </c>
      <c r="N9" s="23" t="s">
        <v>76</v>
      </c>
      <c r="O9" s="155">
        <f>VLOOKUP(Tabla1[[#This Row],[Matricula]],BAJA2022202320242025!$B$3:$CR$245,93,FALSE)</f>
        <v>45202</v>
      </c>
      <c r="P9" s="24">
        <v>45259</v>
      </c>
      <c r="Q9" s="161">
        <f>Tabla1[[#This Row],[F.Vig.Final]]-Tabla1[[#This Row],[f Vig Inicio]]</f>
        <v>57</v>
      </c>
      <c r="R9" s="141">
        <f>YEAR(Tabla1[[#This Row],[F.Vig.Final]])</f>
        <v>2023</v>
      </c>
      <c r="S9" s="25" t="s">
        <v>77</v>
      </c>
      <c r="T9" s="14" t="s">
        <v>78</v>
      </c>
      <c r="U9" s="14" t="s">
        <v>79</v>
      </c>
      <c r="V9" s="14" t="s">
        <v>101</v>
      </c>
      <c r="W9" s="14" t="s">
        <v>102</v>
      </c>
      <c r="X9" s="14" t="s">
        <v>103</v>
      </c>
      <c r="Y9" s="14" t="s">
        <v>104</v>
      </c>
      <c r="Z9" s="16">
        <f>COUNTIF($X$3:X9, X9)</f>
        <v>1</v>
      </c>
      <c r="AA9" s="16" t="s">
        <v>105</v>
      </c>
      <c r="AB9" s="16" t="s">
        <v>79</v>
      </c>
      <c r="AC9" s="16" t="s">
        <v>106</v>
      </c>
      <c r="AD9" s="16" t="s">
        <v>87</v>
      </c>
      <c r="AE9" s="60" t="s">
        <v>107</v>
      </c>
      <c r="AF9" s="24" t="s">
        <v>108</v>
      </c>
      <c r="AG9" s="27">
        <v>45133</v>
      </c>
      <c r="AH9" s="137">
        <f>Tabla1[[#This Row],[Renov. Flota]]-Tabla1[[#This Row],[Año]]</f>
        <v>0</v>
      </c>
      <c r="AI9" s="18" t="s">
        <v>102</v>
      </c>
      <c r="AJ9" s="109">
        <v>4500370218</v>
      </c>
      <c r="AK9" s="60" t="s">
        <v>103</v>
      </c>
      <c r="AM9" s="1" t="s">
        <v>72</v>
      </c>
      <c r="AN9" s="1" t="s">
        <v>109</v>
      </c>
      <c r="AO9" s="1" t="s">
        <v>110</v>
      </c>
      <c r="AP9" s="70">
        <f>IF(Tabla1[[#This Row],[Columna2]]="M1",5.1,"")</f>
        <v>5.0999999999999996</v>
      </c>
      <c r="AQ9" s="71">
        <f t="shared" si="0"/>
        <v>10</v>
      </c>
      <c r="AR9" s="72">
        <v>28.2</v>
      </c>
      <c r="AS9" s="73">
        <f>IF(Tabla1[[#This Row],[Columna2]]="M1",13073,IF(Tabla1[[#This Row],[Columna2]]="N1",15815,IF(Tabla1[[#This Row],[Columna2]]="L3e",2831,53508)))</f>
        <v>13073</v>
      </c>
      <c r="AT9" s="73">
        <f>(Tabla1[[#This Row],[CVA]]*Tabla1[[#This Row],[F]]-Tabla1[[#This Row],[CVN]])/100*Tabla1[[#This Row],[L]]</f>
        <v>2980.6440000000002</v>
      </c>
      <c r="AU9" s="74" t="s">
        <v>70</v>
      </c>
      <c r="AV9" s="294">
        <f>VLOOKUP(B9,Tabla467824[[ID CAE2]:[AE '[kWh']]],6,FALSE)</f>
        <v>6795.3454000000002</v>
      </c>
      <c r="AW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0" spans="1:49" ht="15" x14ac:dyDescent="0.25">
      <c r="A10" s="114" t="s">
        <v>111</v>
      </c>
      <c r="B10" t="str">
        <f>VLOOKUP(A10,Tabla46782[ID CAE],1,FALSE)</f>
        <v>CAE500004</v>
      </c>
      <c r="C10" s="25" t="s">
        <v>112</v>
      </c>
      <c r="D10" s="103" t="s">
        <v>72</v>
      </c>
      <c r="E10" s="103" t="s">
        <v>72</v>
      </c>
      <c r="F10" s="103" t="s">
        <v>72</v>
      </c>
      <c r="G10" s="103"/>
      <c r="H10" s="103" t="s">
        <v>72</v>
      </c>
      <c r="I10" s="103" t="s">
        <v>72</v>
      </c>
      <c r="J10" s="103"/>
      <c r="K10" s="14" t="s">
        <v>73</v>
      </c>
      <c r="L10" s="14" t="s">
        <v>74</v>
      </c>
      <c r="M10" s="14" t="s">
        <v>75</v>
      </c>
      <c r="N10" s="23" t="s">
        <v>76</v>
      </c>
      <c r="O10" s="155">
        <f>VLOOKUP(Tabla1[[#This Row],[Matricula]],BAJA2022202320242025!$B$3:$CR$245,93,FALSE)</f>
        <v>45202</v>
      </c>
      <c r="P10" s="24">
        <v>45261</v>
      </c>
      <c r="Q10" s="158">
        <f>Tabla1[[#This Row],[F.Vig.Final]]-Tabla1[[#This Row],[f Vig Inicio]]</f>
        <v>59</v>
      </c>
      <c r="R10" s="141">
        <f>YEAR(Tabla1[[#This Row],[F.Vig.Final]])</f>
        <v>2023</v>
      </c>
      <c r="S10" s="25" t="s">
        <v>77</v>
      </c>
      <c r="T10" s="14" t="s">
        <v>78</v>
      </c>
      <c r="U10" s="14" t="s">
        <v>79</v>
      </c>
      <c r="V10" s="14" t="s">
        <v>101</v>
      </c>
      <c r="W10" s="14" t="s">
        <v>102</v>
      </c>
      <c r="X10" s="14" t="s">
        <v>103</v>
      </c>
      <c r="Y10" s="14" t="s">
        <v>104</v>
      </c>
      <c r="Z10" s="16">
        <f>COUNTIF($X$3:X10, X10)</f>
        <v>2</v>
      </c>
      <c r="AA10" s="16" t="s">
        <v>113</v>
      </c>
      <c r="AB10" s="16" t="s">
        <v>85</v>
      </c>
      <c r="AC10" s="16" t="s">
        <v>114</v>
      </c>
      <c r="AD10" s="16" t="s">
        <v>87</v>
      </c>
      <c r="AE10" s="60" t="s">
        <v>115</v>
      </c>
      <c r="AF10" s="24" t="s">
        <v>108</v>
      </c>
      <c r="AG10" s="27">
        <v>44994</v>
      </c>
      <c r="AH10" s="137">
        <f>Tabla1[[#This Row],[Renov. Flota]]-Tabla1[[#This Row],[Año]]</f>
        <v>0</v>
      </c>
      <c r="AI10" s="18" t="s">
        <v>102</v>
      </c>
      <c r="AJ10" s="109">
        <v>4500351521</v>
      </c>
      <c r="AK10" s="60" t="s">
        <v>103</v>
      </c>
      <c r="AM10" s="1" t="s">
        <v>72</v>
      </c>
      <c r="AN10" s="1" t="s">
        <v>109</v>
      </c>
      <c r="AO10" s="1" t="s">
        <v>116</v>
      </c>
      <c r="AP10" s="70">
        <f>IF(Tabla1[[#This Row],[Columna2]]="M1",5.1,"")</f>
        <v>5.0999999999999996</v>
      </c>
      <c r="AQ10" s="71">
        <f t="shared" si="0"/>
        <v>10</v>
      </c>
      <c r="AR10" s="72">
        <v>17.3</v>
      </c>
      <c r="AS10" s="73">
        <f>IF(Tabla1[[#This Row],[Columna2]]="M1",13073,IF(Tabla1[[#This Row],[Columna2]]="N1",15815,IF(Tabla1[[#This Row],[Columna2]]="L3e",2831,53508)))</f>
        <v>13073</v>
      </c>
      <c r="AT10" s="73">
        <f>(Tabla1[[#This Row],[CVA]]*Tabla1[[#This Row],[F]]-Tabla1[[#This Row],[CVN]])/100*Tabla1[[#This Row],[L]]</f>
        <v>4405.6010000000006</v>
      </c>
      <c r="AU10" s="74" t="s">
        <v>70</v>
      </c>
      <c r="AV10" s="294">
        <f>VLOOKUP(B10,Tabla467824[[ID CAE2]:[AE '[kWh']]],6,FALSE)</f>
        <v>6795.3454000000002</v>
      </c>
      <c r="AW1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 spans="1:49" ht="15" x14ac:dyDescent="0.25">
      <c r="A11" s="114" t="s">
        <v>117</v>
      </c>
      <c r="B11" t="str">
        <f>VLOOKUP(A11,Tabla46782[ID CAE],1,FALSE)</f>
        <v>CAE500005</v>
      </c>
      <c r="C11" s="25" t="s">
        <v>118</v>
      </c>
      <c r="D11" s="103" t="s">
        <v>72</v>
      </c>
      <c r="E11" s="103"/>
      <c r="F11" s="103" t="s">
        <v>72</v>
      </c>
      <c r="G11" s="103"/>
      <c r="H11" s="103" t="s">
        <v>72</v>
      </c>
      <c r="I11" s="103" t="s">
        <v>72</v>
      </c>
      <c r="J11" s="103"/>
      <c r="K11" s="14" t="s">
        <v>73</v>
      </c>
      <c r="L11" s="14" t="s">
        <v>74</v>
      </c>
      <c r="M11" s="14" t="s">
        <v>75</v>
      </c>
      <c r="N11" s="23" t="s">
        <v>76</v>
      </c>
      <c r="O11" s="155">
        <f>VLOOKUP(Tabla1[[#This Row],[Matricula]],BAJA2022202320242025!$B$3:$CR$245,93,FALSE)</f>
        <v>45397</v>
      </c>
      <c r="P11" s="24">
        <v>45414</v>
      </c>
      <c r="Q11" s="159">
        <f>Tabla1[[#This Row],[F.Vig.Final]]-Tabla1[[#This Row],[f Vig Inicio]]</f>
        <v>17</v>
      </c>
      <c r="R11" s="141">
        <f>YEAR(Tabla1[[#This Row],[F.Vig.Final]])</f>
        <v>2024</v>
      </c>
      <c r="S11" s="25" t="s">
        <v>77</v>
      </c>
      <c r="T11" s="14" t="s">
        <v>78</v>
      </c>
      <c r="U11" s="14" t="s">
        <v>79</v>
      </c>
      <c r="V11" s="14" t="s">
        <v>101</v>
      </c>
      <c r="W11" s="14" t="s">
        <v>119</v>
      </c>
      <c r="X11" s="14" t="s">
        <v>120</v>
      </c>
      <c r="Y11" s="14" t="s">
        <v>121</v>
      </c>
      <c r="Z11" s="16">
        <f>COUNTIF($X$3:X11, X11)</f>
        <v>1</v>
      </c>
      <c r="AA11" s="16" t="s">
        <v>122</v>
      </c>
      <c r="AB11" s="16" t="s">
        <v>85</v>
      </c>
      <c r="AC11" s="16" t="s">
        <v>86</v>
      </c>
      <c r="AD11" s="16" t="s">
        <v>87</v>
      </c>
      <c r="AE11" s="60" t="s">
        <v>123</v>
      </c>
      <c r="AF11" s="24" t="s">
        <v>89</v>
      </c>
      <c r="AG11" s="27">
        <v>45645</v>
      </c>
      <c r="AH11" s="137">
        <f>Tabla1[[#This Row],[Renov. Flota]]-Tabla1[[#This Row],[Año]]</f>
        <v>0</v>
      </c>
      <c r="AI11" s="18" t="s">
        <v>119</v>
      </c>
      <c r="AJ11" s="107" t="str">
        <f>VLOOKUP(Tabla1[[#This Row],[Matricula nueva]],'ALTA 20242025'!$B$2:$P$242,15,FALSE)</f>
        <v>4500426876</v>
      </c>
      <c r="AK11" s="60" t="s">
        <v>120</v>
      </c>
      <c r="AM11" s="1" t="s">
        <v>72</v>
      </c>
      <c r="AN11" s="1" t="s">
        <v>91</v>
      </c>
      <c r="AO11" s="1" t="str">
        <f>VLOOKUP(Tabla1[[#This Row],[Matricula nueva]],Hoja2!$A$1:$B$224,2,FALSE)</f>
        <v>VF1RFK00273934296</v>
      </c>
      <c r="AP11" s="70">
        <f>IF(Tabla1[[#This Row],[Columna2]]="M1",5.1,"")</f>
        <v>5.0999999999999996</v>
      </c>
      <c r="AQ11" s="71">
        <f t="shared" si="0"/>
        <v>10</v>
      </c>
      <c r="AR11" s="72">
        <v>17.3</v>
      </c>
      <c r="AS11" s="73">
        <f>IF(Tabla1[[#This Row],[Columna2]]="M1",13073,IF(Tabla1[[#This Row],[Columna2]]="N1",15815,IF(Tabla1[[#This Row],[Columna2]]="L3e",2831,53508)))</f>
        <v>13073</v>
      </c>
      <c r="AT11" s="73">
        <f>(Tabla1[[#This Row],[CVA]]*Tabla1[[#This Row],[F]]-Tabla1[[#This Row],[CVN]])/100*Tabla1[[#This Row],[L]]</f>
        <v>4405.6010000000006</v>
      </c>
      <c r="AU11" s="74" t="s">
        <v>70</v>
      </c>
      <c r="AV11" s="294">
        <f>VLOOKUP(B11,Tabla467824[[ID CAE2]:[AE '[kWh']]],6,FALSE)</f>
        <v>6795.3454000000002</v>
      </c>
      <c r="AW1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 spans="1:49" ht="15" x14ac:dyDescent="0.25">
      <c r="A12" s="114" t="s">
        <v>126</v>
      </c>
      <c r="B12" t="str">
        <f>VLOOKUP(A12,Tabla46782[ID CAE],1,FALSE)</f>
        <v>CAE500006</v>
      </c>
      <c r="C12" s="25" t="s">
        <v>127</v>
      </c>
      <c r="D12" s="103" t="s">
        <v>72</v>
      </c>
      <c r="E12" s="103"/>
      <c r="F12" s="103" t="s">
        <v>72</v>
      </c>
      <c r="G12" s="103"/>
      <c r="H12" s="103" t="s">
        <v>72</v>
      </c>
      <c r="I12" s="103" t="s">
        <v>72</v>
      </c>
      <c r="J12" s="103"/>
      <c r="K12" s="14" t="s">
        <v>129</v>
      </c>
      <c r="L12" s="14" t="s">
        <v>74</v>
      </c>
      <c r="M12" s="14" t="s">
        <v>75</v>
      </c>
      <c r="N12" s="23" t="s">
        <v>76</v>
      </c>
      <c r="O12" s="155">
        <f>VLOOKUP(Tabla1[[#This Row],[Matricula]],BAJA2022202320242025!$B$3:$CR$245,93,FALSE)</f>
        <v>45447</v>
      </c>
      <c r="P12" s="163">
        <v>45657</v>
      </c>
      <c r="Q12" s="164">
        <f>Tabla1[[#This Row],[F.Vig.Final]]-Tabla1[[#This Row],[f Vig Inicio]]</f>
        <v>210</v>
      </c>
      <c r="R12" s="141">
        <f>YEAR(Tabla1[[#This Row],[F.Vig.Final]])</f>
        <v>2024</v>
      </c>
      <c r="S12" s="25" t="s">
        <v>77</v>
      </c>
      <c r="T12" s="14" t="s">
        <v>78</v>
      </c>
      <c r="U12" s="14" t="s">
        <v>79</v>
      </c>
      <c r="V12" s="14" t="s">
        <v>130</v>
      </c>
      <c r="W12" s="14" t="s">
        <v>131</v>
      </c>
      <c r="X12" s="14" t="s">
        <v>132</v>
      </c>
      <c r="Y12" s="14" t="s">
        <v>133</v>
      </c>
      <c r="Z12" s="16">
        <f>COUNTIF($X$3:X12, X12)</f>
        <v>1</v>
      </c>
      <c r="AA12" s="16" t="s">
        <v>134</v>
      </c>
      <c r="AB12" s="16" t="s">
        <v>85</v>
      </c>
      <c r="AC12" s="16" t="s">
        <v>86</v>
      </c>
      <c r="AD12" s="16" t="s">
        <v>87</v>
      </c>
      <c r="AE12" s="60" t="s">
        <v>135</v>
      </c>
      <c r="AF12" s="24" t="s">
        <v>89</v>
      </c>
      <c r="AG12" s="27">
        <v>45625</v>
      </c>
      <c r="AH12" s="137">
        <f>Tabla1[[#This Row],[Renov. Flota]]-Tabla1[[#This Row],[Año]]</f>
        <v>0</v>
      </c>
      <c r="AI12" s="18" t="s">
        <v>131</v>
      </c>
      <c r="AJ12" s="107" t="str">
        <f>VLOOKUP(Tabla1[[#This Row],[Matricula nueva]],'ALTA 20242025'!$B$2:$P$242,15,FALSE)</f>
        <v>4500426872</v>
      </c>
      <c r="AK12" s="60" t="s">
        <v>132</v>
      </c>
      <c r="AM12" s="1" t="s">
        <v>72</v>
      </c>
      <c r="AN12" s="1" t="s">
        <v>91</v>
      </c>
      <c r="AO12" s="1" t="str">
        <f>VLOOKUP(Tabla1[[#This Row],[Matricula nueva]],Hoja2!$A$1:$B$224,2,FALSE)</f>
        <v>VF1RFK00073824833</v>
      </c>
      <c r="AP12" s="70">
        <v>5.6</v>
      </c>
      <c r="AQ12" s="71">
        <f t="shared" si="0"/>
        <v>10</v>
      </c>
      <c r="AR12" s="72">
        <v>17.3</v>
      </c>
      <c r="AS12" s="73">
        <f>IF(Tabla1[[#This Row],[Columna2]]="M1",13073,IF(Tabla1[[#This Row],[Columna2]]="N1",15815,IF(Tabla1[[#This Row],[Columna2]]="L3e",2831,53508)))</f>
        <v>15815</v>
      </c>
      <c r="AT12" s="73">
        <f>(Tabla1[[#This Row],[CVA]]*Tabla1[[#This Row],[F]]-Tabla1[[#This Row],[CVN]])/100*Tabla1[[#This Row],[L]]</f>
        <v>6120.4049999999997</v>
      </c>
      <c r="AU12" s="74" t="s">
        <v>128</v>
      </c>
      <c r="AV12" s="294">
        <f>VLOOKUP(B12,Tabla467824[[ID CAE2]:[AE '[kWh']]],6,FALSE)</f>
        <v>5607.9989999999989</v>
      </c>
      <c r="AW1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 spans="1:49" ht="15" x14ac:dyDescent="0.25">
      <c r="A13" s="114" t="s">
        <v>138</v>
      </c>
      <c r="B13" t="str">
        <f>VLOOKUP(A13,Tabla46782[ID CAE],1,FALSE)</f>
        <v>CAE500007</v>
      </c>
      <c r="C13" s="25" t="s">
        <v>139</v>
      </c>
      <c r="D13" s="103" t="s">
        <v>72</v>
      </c>
      <c r="E13" s="103" t="s">
        <v>72</v>
      </c>
      <c r="F13" s="103" t="s">
        <v>72</v>
      </c>
      <c r="G13" s="103"/>
      <c r="H13" s="103" t="s">
        <v>72</v>
      </c>
      <c r="I13" s="103" t="s">
        <v>72</v>
      </c>
      <c r="J13" s="103"/>
      <c r="K13" s="14" t="s">
        <v>73</v>
      </c>
      <c r="L13" s="14" t="s">
        <v>74</v>
      </c>
      <c r="M13" s="14" t="s">
        <v>75</v>
      </c>
      <c r="N13" s="23" t="s">
        <v>76</v>
      </c>
      <c r="O13" s="155">
        <f>VLOOKUP(Tabla1[[#This Row],[Matricula]],BAJA2022202320242025!$B$3:$CR$245,93,FALSE)</f>
        <v>45282</v>
      </c>
      <c r="P13" s="163">
        <v>45321</v>
      </c>
      <c r="Q13" s="164">
        <f>Tabla1[[#This Row],[F.Vig.Final]]-Tabla1[[#This Row],[f Vig Inicio]]</f>
        <v>39</v>
      </c>
      <c r="R13" s="141">
        <f>YEAR(Tabla1[[#This Row],[F.Vig.Final]])</f>
        <v>2024</v>
      </c>
      <c r="S13" s="25" t="s">
        <v>77</v>
      </c>
      <c r="T13" s="14" t="s">
        <v>78</v>
      </c>
      <c r="U13" s="14" t="s">
        <v>140</v>
      </c>
      <c r="V13" s="14" t="s">
        <v>141</v>
      </c>
      <c r="W13" s="14" t="s">
        <v>81</v>
      </c>
      <c r="X13" s="14" t="s">
        <v>82</v>
      </c>
      <c r="Y13" s="14" t="s">
        <v>83</v>
      </c>
      <c r="Z13" s="16">
        <f>COUNTIF($X$3:X13, X13)</f>
        <v>3</v>
      </c>
      <c r="AA13" s="16" t="s">
        <v>142</v>
      </c>
      <c r="AB13" s="16" t="s">
        <v>85</v>
      </c>
      <c r="AC13" s="16" t="s">
        <v>86</v>
      </c>
      <c r="AD13" s="16" t="s">
        <v>87</v>
      </c>
      <c r="AE13" s="60" t="s">
        <v>143</v>
      </c>
      <c r="AF13" s="24" t="s">
        <v>89</v>
      </c>
      <c r="AG13" s="27">
        <v>45625</v>
      </c>
      <c r="AH13" s="137">
        <f>Tabla1[[#This Row],[Renov. Flota]]-Tabla1[[#This Row],[Año]]</f>
        <v>0</v>
      </c>
      <c r="AI13" s="18" t="s">
        <v>81</v>
      </c>
      <c r="AJ13" s="107" t="str">
        <f>VLOOKUP(Tabla1[[#This Row],[Matricula nueva]],'ALTA 20242025'!$B$2:$P$242,15,FALSE)</f>
        <v>4500426841</v>
      </c>
      <c r="AK13" s="60" t="s">
        <v>82</v>
      </c>
      <c r="AM13" s="1" t="s">
        <v>72</v>
      </c>
      <c r="AN13" s="1" t="s">
        <v>91</v>
      </c>
      <c r="AO13" s="1" t="str">
        <f>VLOOKUP(Tabla1[[#This Row],[Matricula nueva]],Hoja2!$A$1:$B$224,2,FALSE)</f>
        <v>VF1RFK00773824845</v>
      </c>
      <c r="AP13" s="70">
        <f>IF(Tabla1[[#This Row],[Columna2]]="M1",5.1,"")</f>
        <v>5.0999999999999996</v>
      </c>
      <c r="AQ13" s="71">
        <f t="shared" si="0"/>
        <v>10</v>
      </c>
      <c r="AR13" s="72">
        <v>17.3</v>
      </c>
      <c r="AS13" s="73">
        <f>IF(Tabla1[[#This Row],[Columna2]]="M1",13073,IF(Tabla1[[#This Row],[Columna2]]="N1",15815,IF(Tabla1[[#This Row],[Columna2]]="L3e",2831,53508)))</f>
        <v>13073</v>
      </c>
      <c r="AT13" s="73">
        <f>(Tabla1[[#This Row],[CVA]]*Tabla1[[#This Row],[F]]-Tabla1[[#This Row],[CVN]])/100*Tabla1[[#This Row],[L]]</f>
        <v>4405.6010000000006</v>
      </c>
      <c r="AU13" s="74" t="s">
        <v>70</v>
      </c>
      <c r="AV13" s="294">
        <f>VLOOKUP(B13,Tabla467824[[ID CAE2]:[AE '[kWh']]],6,FALSE)</f>
        <v>6795.3454000000002</v>
      </c>
      <c r="AW1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 spans="1:49" ht="15.75" thickBot="1" x14ac:dyDescent="0.3">
      <c r="A14" s="114" t="s">
        <v>146</v>
      </c>
      <c r="B14" t="str">
        <f>VLOOKUP(A14,Tabla46782[ID CAE],1,FALSE)</f>
        <v>CAE500008</v>
      </c>
      <c r="C14" s="25" t="s">
        <v>147</v>
      </c>
      <c r="D14" s="103" t="s">
        <v>72</v>
      </c>
      <c r="E14" s="103"/>
      <c r="F14" s="103" t="s">
        <v>72</v>
      </c>
      <c r="G14" s="103"/>
      <c r="H14" s="103" t="s">
        <v>72</v>
      </c>
      <c r="I14" s="103" t="s">
        <v>72</v>
      </c>
      <c r="J14" s="103"/>
      <c r="K14" s="14" t="s">
        <v>73</v>
      </c>
      <c r="L14" s="14" t="s">
        <v>74</v>
      </c>
      <c r="M14" s="14" t="s">
        <v>75</v>
      </c>
      <c r="N14" s="23" t="s">
        <v>76</v>
      </c>
      <c r="O14" s="156">
        <f>VLOOKUP(Tabla1[[#This Row],[Matricula]],BAJA2022202320242025!$B$3:$CR$245,93,FALSE)</f>
        <v>45451</v>
      </c>
      <c r="P14" s="88">
        <v>45565</v>
      </c>
      <c r="Q14" s="164">
        <f>Tabla1[[#This Row],[F.Vig.Final]]-Tabla1[[#This Row],[f Vig Inicio]]</f>
        <v>114</v>
      </c>
      <c r="R14" s="141">
        <f>YEAR(Tabla1[[#This Row],[F.Vig.Final]])</f>
        <v>2024</v>
      </c>
      <c r="S14" s="25" t="s">
        <v>77</v>
      </c>
      <c r="T14" s="14" t="s">
        <v>78</v>
      </c>
      <c r="U14" s="14" t="s">
        <v>140</v>
      </c>
      <c r="V14" s="14" t="s">
        <v>148</v>
      </c>
      <c r="W14" s="14" t="s">
        <v>119</v>
      </c>
      <c r="X14" s="14" t="s">
        <v>120</v>
      </c>
      <c r="Y14" s="14" t="s">
        <v>149</v>
      </c>
      <c r="Z14" s="16">
        <f>COUNTIF($X$3:X14, X14)</f>
        <v>2</v>
      </c>
      <c r="AA14" s="16" t="s">
        <v>150</v>
      </c>
      <c r="AB14" s="16" t="s">
        <v>140</v>
      </c>
      <c r="AC14" s="16" t="s">
        <v>151</v>
      </c>
      <c r="AD14" s="16" t="s">
        <v>87</v>
      </c>
      <c r="AE14" s="60" t="s">
        <v>152</v>
      </c>
      <c r="AF14" s="28" t="s">
        <v>89</v>
      </c>
      <c r="AG14" s="27">
        <v>45622</v>
      </c>
      <c r="AH14" s="137">
        <f>Tabla1[[#This Row],[Renov. Flota]]-Tabla1[[#This Row],[Año]]</f>
        <v>0</v>
      </c>
      <c r="AI14" s="18" t="s">
        <v>119</v>
      </c>
      <c r="AJ14" s="107" t="str">
        <f>VLOOKUP(Tabla1[[#This Row],[Matricula nueva]],'ALTA 20242025'!$B$2:$P$242,15,FALSE)</f>
        <v>4500424209</v>
      </c>
      <c r="AK14" s="60" t="s">
        <v>120</v>
      </c>
      <c r="AM14" s="1" t="s">
        <v>72</v>
      </c>
      <c r="AN14" s="1" t="s">
        <v>91</v>
      </c>
      <c r="AO14" s="1" t="str">
        <f>VLOOKUP(Tabla1[[#This Row],[Matricula nueva]],Hoja2!$A$1:$B$224,2,FALSE)</f>
        <v>VR7CBZYAXRT152191</v>
      </c>
      <c r="AP14" s="75">
        <f>IF(Tabla1[[#This Row],[Columna2]]="M1",5.1,"")</f>
        <v>5.0999999999999996</v>
      </c>
      <c r="AQ14" s="76">
        <f t="shared" si="0"/>
        <v>10</v>
      </c>
      <c r="AR14" s="77">
        <v>16.399999999999999</v>
      </c>
      <c r="AS14" s="78">
        <f>IF(Tabla1[[#This Row],[Columna2]]="M1",13073,IF(Tabla1[[#This Row],[Columna2]]="N1",15815,IF(Tabla1[[#This Row],[Columna2]]="L3e",2831,53508)))</f>
        <v>13073</v>
      </c>
      <c r="AT14" s="78">
        <f>(Tabla1[[#This Row],[CVA]]*Tabla1[[#This Row],[F]]-Tabla1[[#This Row],[CVN]])/100*Tabla1[[#This Row],[L]]</f>
        <v>4523.2580000000007</v>
      </c>
      <c r="AU14" s="79" t="s">
        <v>70</v>
      </c>
      <c r="AV14" s="294">
        <f>VLOOKUP(B14,Tabla467824[[ID CAE2]:[AE '[kWh']]],6,FALSE)</f>
        <v>6795.3454000000002</v>
      </c>
      <c r="AW1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 spans="1:49" ht="15.75" hidden="1" thickBot="1" x14ac:dyDescent="0.3">
      <c r="A15" t="s">
        <v>1141</v>
      </c>
      <c r="B15" t="e">
        <f>VLOOKUP(A15,Tabla46782[ID CAE],1,FALSE)</f>
        <v>#N/A</v>
      </c>
      <c r="C15" s="14" t="s">
        <v>1142</v>
      </c>
      <c r="D15" s="14"/>
      <c r="E15" s="14"/>
      <c r="F15" s="14"/>
      <c r="G15" s="14"/>
      <c r="H15" s="14"/>
      <c r="I15" s="14"/>
      <c r="J15" s="14"/>
      <c r="K15" s="14" t="s">
        <v>1143</v>
      </c>
      <c r="L15" s="14" t="s">
        <v>74</v>
      </c>
      <c r="M15" s="14" t="s">
        <v>75</v>
      </c>
      <c r="N15" s="14" t="s">
        <v>76</v>
      </c>
      <c r="O15" s="152">
        <f>VLOOKUP(Tabla1[[#This Row],[Matricula]],BAJA2022202320242025!$B$3:$CR$245,93,FALSE)</f>
        <v>44756</v>
      </c>
      <c r="P15" s="15">
        <v>45169</v>
      </c>
      <c r="Q15" s="160">
        <f>Tabla1[[#This Row],[F.Vig.Final]]-Tabla1[[#This Row],[f Vig Inicio]]</f>
        <v>413</v>
      </c>
      <c r="R15" s="15">
        <f>YEAR(Tabla1[[#This Row],[F.Vig.Final]])</f>
        <v>2023</v>
      </c>
      <c r="S15" s="14" t="s">
        <v>77</v>
      </c>
      <c r="T15" s="14" t="s">
        <v>78</v>
      </c>
      <c r="U15" s="14" t="s">
        <v>887</v>
      </c>
      <c r="V15" s="14" t="s">
        <v>1144</v>
      </c>
      <c r="W15" s="14" t="s">
        <v>1050</v>
      </c>
      <c r="X15" s="14" t="s">
        <v>1051</v>
      </c>
      <c r="Y15" s="14" t="s">
        <v>1145</v>
      </c>
      <c r="Z15" s="16">
        <f>COUNTIF($X$3:X15, X15)</f>
        <v>1</v>
      </c>
      <c r="AA15" s="16" t="e">
        <v>#N/A</v>
      </c>
      <c r="AB15" s="16" t="e">
        <v>#N/A</v>
      </c>
      <c r="AC15" s="16" t="e">
        <v>#N/A</v>
      </c>
      <c r="AD15" s="16" t="e">
        <v>#N/A</v>
      </c>
      <c r="AE15" s="16" t="e">
        <v>#N/A</v>
      </c>
      <c r="AF15" s="15" t="e">
        <v>#N/A</v>
      </c>
      <c r="AG15" s="17" t="e">
        <v>#N/A</v>
      </c>
      <c r="AH15" s="17" t="e">
        <f>Tabla1[[#This Row],[Renov. Flota]]-Tabla1[[#This Row],[Año]]</f>
        <v>#N/A</v>
      </c>
      <c r="AI15" s="18" t="e">
        <v>#N/A</v>
      </c>
      <c r="AJ15" s="18" t="e">
        <f>VLOOKUP(Tabla1[[#This Row],[Matricula nueva]],'ALTA 20242025'!$B$2:$P$242,15,FALSE)</f>
        <v>#N/A</v>
      </c>
      <c r="AK15" s="19" t="e">
        <v>#N/A</v>
      </c>
      <c r="AN15" s="1"/>
      <c r="AO15" s="1" t="e">
        <f>VLOOKUP(Tabla1[[#This Row],[Matricula nueva]],Hoja2!$A$1:$B$224,2,FALSE)</f>
        <v>#N/A</v>
      </c>
      <c r="AP15" s="1" t="str">
        <f>IF(Tabla1[[#This Row],[Columna2]]="M1",5.1,"")</f>
        <v/>
      </c>
      <c r="AQ15" s="1"/>
      <c r="AR15" s="1"/>
      <c r="AS15" s="47">
        <f>IF(Tabla1[[#This Row],[Columna2]]="M1",13073,IF(Tabla1[[#This Row],[Columna2]]="N1",15815,IF(Tabla1[[#This Row],[Columna2]]="L3e",2831,53508)))</f>
        <v>53508</v>
      </c>
      <c r="AT15" s="47" t="e">
        <f>(Tabla1[[#This Row],[CVA]]*Tabla1[[#This Row],[F]]-Tabla1[[#This Row],[CVN]])/100*Tabla1[[#This Row],[L]]</f>
        <v>#VALUE!</v>
      </c>
      <c r="AU15" s="1"/>
      <c r="AV15" s="1" t="e">
        <f>VLOOKUP(B15,Tabla467824[[ID CAE2]:[AE '[kWh']]],6,FALSE)</f>
        <v>#N/A</v>
      </c>
      <c r="AW1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6" spans="1:49" ht="15" x14ac:dyDescent="0.25">
      <c r="A16" s="114" t="s">
        <v>155</v>
      </c>
      <c r="B16" t="str">
        <f>VLOOKUP(A16,Tabla46782[ID CAE],1,FALSE)</f>
        <v>CAE500010</v>
      </c>
      <c r="C16" s="25" t="s">
        <v>156</v>
      </c>
      <c r="D16" s="103" t="s">
        <v>72</v>
      </c>
      <c r="E16" s="103"/>
      <c r="F16" s="103"/>
      <c r="G16" s="103" t="s">
        <v>72</v>
      </c>
      <c r="H16" s="103" t="s">
        <v>72</v>
      </c>
      <c r="I16" s="103" t="s">
        <v>72</v>
      </c>
      <c r="J16" s="103"/>
      <c r="K16" s="14" t="s">
        <v>158</v>
      </c>
      <c r="L16" s="14" t="s">
        <v>159</v>
      </c>
      <c r="M16" s="14" t="s">
        <v>158</v>
      </c>
      <c r="N16" s="23" t="s">
        <v>160</v>
      </c>
      <c r="O16" s="157">
        <f>VLOOKUP(Tabla1[[#This Row],[Matricula]],BAJA2022202320242025!$B$3:$CR$245,93,FALSE)</f>
        <v>43073</v>
      </c>
      <c r="P16" s="29">
        <v>44974</v>
      </c>
      <c r="Q16" s="161">
        <f>Tabla1[[#This Row],[F.Vig.Final]]-Tabla1[[#This Row],[f Vig Inicio]]</f>
        <v>1901</v>
      </c>
      <c r="R16" s="141">
        <f>YEAR(Tabla1[[#This Row],[F.Vig.Final]])</f>
        <v>2023</v>
      </c>
      <c r="S16" s="25" t="s">
        <v>161</v>
      </c>
      <c r="T16" s="14" t="s">
        <v>71</v>
      </c>
      <c r="U16" s="14" t="s">
        <v>162</v>
      </c>
      <c r="V16" s="14" t="s">
        <v>163</v>
      </c>
      <c r="W16" s="14" t="s">
        <v>81</v>
      </c>
      <c r="X16" s="14" t="s">
        <v>82</v>
      </c>
      <c r="Y16" s="14" t="s">
        <v>164</v>
      </c>
      <c r="Z16" s="16">
        <f>COUNTIF($X$3:X16, X16)</f>
        <v>4</v>
      </c>
      <c r="AA16" s="16" t="s">
        <v>165</v>
      </c>
      <c r="AB16" s="16" t="s">
        <v>85</v>
      </c>
      <c r="AC16" s="16" t="s">
        <v>86</v>
      </c>
      <c r="AD16" s="16" t="s">
        <v>87</v>
      </c>
      <c r="AE16" s="60" t="s">
        <v>143</v>
      </c>
      <c r="AF16" s="29" t="s">
        <v>89</v>
      </c>
      <c r="AG16" s="27">
        <v>45625</v>
      </c>
      <c r="AH16" s="137">
        <f>Tabla1[[#This Row],[Renov. Flota]]-Tabla1[[#This Row],[Año]]</f>
        <v>1</v>
      </c>
      <c r="AI16" s="18" t="s">
        <v>81</v>
      </c>
      <c r="AJ16" s="107" t="str">
        <f>VLOOKUP(Tabla1[[#This Row],[Matricula nueva]],'ALTA 20242025'!$B$2:$P$242,15,FALSE)</f>
        <v>4500426794</v>
      </c>
      <c r="AK16" s="60" t="s">
        <v>82</v>
      </c>
      <c r="AM16" s="1" t="s">
        <v>72</v>
      </c>
      <c r="AN16" s="1" t="s">
        <v>91</v>
      </c>
      <c r="AO16" s="1" t="str">
        <f>VLOOKUP(Tabla1[[#This Row],[Matricula nueva]],Hoja2!$A$1:$B$224,2,FALSE)</f>
        <v>VF1RFK00173824842</v>
      </c>
      <c r="AP16" s="65">
        <v>2.9</v>
      </c>
      <c r="AQ16" s="66">
        <f t="shared" ref="AQ16:AQ26" si="1">IF(T16="DIESEL",10,IF(T16="GLP",7.16,9.19))</f>
        <v>9.19</v>
      </c>
      <c r="AR16" s="67">
        <v>17.3</v>
      </c>
      <c r="AS16" s="68">
        <f>IF(Tabla1[[#This Row],[Columna2]]="M1",13073,IF(Tabla1[[#This Row],[Columna2]]="N1",15815,IF(Tabla1[[#This Row],[Columna2]]="L3e",2831,53508)))</f>
        <v>2831</v>
      </c>
      <c r="AT16" s="68">
        <f>(Tabla1[[#This Row],[CVA]]*Tabla1[[#This Row],[F]]-Tabla1[[#This Row],[CVN]])/100*Tabla1[[#This Row],[L]]</f>
        <v>264.72680999999989</v>
      </c>
      <c r="AU16" s="69" t="s">
        <v>157</v>
      </c>
      <c r="AV16" s="294">
        <f>VLOOKUP(B16,Tabla467824[[ID CAE2]:[AE '[kWh']]],6,FALSE)</f>
        <v>617.46940999999993</v>
      </c>
      <c r="AW1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7" spans="1:49" ht="15" x14ac:dyDescent="0.25">
      <c r="A17" s="114" t="s">
        <v>169</v>
      </c>
      <c r="B17" t="str">
        <f>VLOOKUP(A17,Tabla46782[ID CAE],1,FALSE)</f>
        <v>CAE500011</v>
      </c>
      <c r="C17" s="25" t="s">
        <v>170</v>
      </c>
      <c r="D17" s="103" t="s">
        <v>72</v>
      </c>
      <c r="E17" s="103"/>
      <c r="F17" s="103"/>
      <c r="G17" s="103" t="s">
        <v>72</v>
      </c>
      <c r="H17" s="103" t="s">
        <v>72</v>
      </c>
      <c r="I17" s="103" t="s">
        <v>72</v>
      </c>
      <c r="J17" s="103"/>
      <c r="K17" s="14" t="s">
        <v>158</v>
      </c>
      <c r="L17" s="14" t="s">
        <v>159</v>
      </c>
      <c r="M17" s="14" t="s">
        <v>158</v>
      </c>
      <c r="N17" s="23" t="s">
        <v>171</v>
      </c>
      <c r="O17" s="155">
        <f>VLOOKUP(Tabla1[[#This Row],[Matricula]],BAJA2022202320242025!$B$3:$CR$245,93,FALSE)</f>
        <v>42641</v>
      </c>
      <c r="P17" s="24">
        <v>45561</v>
      </c>
      <c r="Q17" s="158">
        <f>Tabla1[[#This Row],[F.Vig.Final]]-Tabla1[[#This Row],[f Vig Inicio]]</f>
        <v>2920</v>
      </c>
      <c r="R17" s="141">
        <f>YEAR(Tabla1[[#This Row],[F.Vig.Final]])</f>
        <v>2024</v>
      </c>
      <c r="S17" s="25" t="s">
        <v>172</v>
      </c>
      <c r="T17" s="14" t="s">
        <v>71</v>
      </c>
      <c r="U17" s="14" t="s">
        <v>162</v>
      </c>
      <c r="V17" s="14" t="s">
        <v>163</v>
      </c>
      <c r="W17" s="14" t="s">
        <v>81</v>
      </c>
      <c r="X17" s="14" t="s">
        <v>82</v>
      </c>
      <c r="Y17" s="14" t="s">
        <v>164</v>
      </c>
      <c r="Z17" s="16">
        <f>COUNTIF($X$3:X17, X17)</f>
        <v>5</v>
      </c>
      <c r="AA17" s="16" t="s">
        <v>173</v>
      </c>
      <c r="AB17" s="16" t="s">
        <v>85</v>
      </c>
      <c r="AC17" s="16" t="s">
        <v>86</v>
      </c>
      <c r="AD17" s="16" t="s">
        <v>87</v>
      </c>
      <c r="AE17" s="60" t="s">
        <v>174</v>
      </c>
      <c r="AF17" s="24" t="s">
        <v>89</v>
      </c>
      <c r="AG17" s="27">
        <v>45646</v>
      </c>
      <c r="AH17" s="137">
        <f>Tabla1[[#This Row],[Renov. Flota]]-Tabla1[[#This Row],[Año]]</f>
        <v>0</v>
      </c>
      <c r="AI17" s="18" t="s">
        <v>81</v>
      </c>
      <c r="AJ17" s="107" t="str">
        <f>VLOOKUP(Tabla1[[#This Row],[Matricula nueva]],'ALTA 20242025'!$B$2:$P$242,15,FALSE)</f>
        <v>4500426849</v>
      </c>
      <c r="AK17" s="60" t="s">
        <v>82</v>
      </c>
      <c r="AM17" s="1" t="s">
        <v>72</v>
      </c>
      <c r="AN17" s="1" t="s">
        <v>91</v>
      </c>
      <c r="AO17" s="1" t="str">
        <f>VLOOKUP(Tabla1[[#This Row],[Matricula nueva]],Hoja2!$A$1:$B$224,2,FALSE)</f>
        <v>VF1RFK00473824852</v>
      </c>
      <c r="AP17" s="70">
        <v>2.9</v>
      </c>
      <c r="AQ17" s="71">
        <f t="shared" si="1"/>
        <v>9.19</v>
      </c>
      <c r="AR17" s="72">
        <v>17.3</v>
      </c>
      <c r="AS17" s="73">
        <f>IF(Tabla1[[#This Row],[Columna2]]="M1",13073,IF(Tabla1[[#This Row],[Columna2]]="N1",15815,IF(Tabla1[[#This Row],[Columna2]]="L3e",2831,53508)))</f>
        <v>2831</v>
      </c>
      <c r="AT17" s="73">
        <f>(Tabla1[[#This Row],[CVA]]*Tabla1[[#This Row],[F]]-Tabla1[[#This Row],[CVN]])/100*Tabla1[[#This Row],[L]]</f>
        <v>264.72680999999989</v>
      </c>
      <c r="AU17" s="74" t="s">
        <v>157</v>
      </c>
      <c r="AV17" s="294">
        <f>VLOOKUP(B17,Tabla467824[[ID CAE2]:[AE '[kWh']]],6,FALSE)</f>
        <v>617.46940999999993</v>
      </c>
      <c r="AW1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8" spans="1:49" ht="15" x14ac:dyDescent="0.25">
      <c r="A18" s="114" t="s">
        <v>177</v>
      </c>
      <c r="B18" t="str">
        <f>VLOOKUP(A18,Tabla46782[ID CAE],1,FALSE)</f>
        <v>CAE500012</v>
      </c>
      <c r="C18" s="25" t="s">
        <v>178</v>
      </c>
      <c r="D18" s="103" t="s">
        <v>72</v>
      </c>
      <c r="E18" s="103"/>
      <c r="F18" s="103"/>
      <c r="G18" s="103" t="s">
        <v>72</v>
      </c>
      <c r="H18" s="103" t="s">
        <v>72</v>
      </c>
      <c r="I18" s="103" t="s">
        <v>72</v>
      </c>
      <c r="J18" s="103"/>
      <c r="K18" s="14" t="s">
        <v>158</v>
      </c>
      <c r="L18" s="14" t="s">
        <v>159</v>
      </c>
      <c r="M18" s="14" t="s">
        <v>158</v>
      </c>
      <c r="N18" s="23" t="s">
        <v>171</v>
      </c>
      <c r="O18" s="155">
        <f>VLOOKUP(Tabla1[[#This Row],[Matricula]],BAJA2022202320242025!$B$3:$CR$245,93,FALSE)</f>
        <v>40830</v>
      </c>
      <c r="P18" s="24">
        <v>45561</v>
      </c>
      <c r="Q18" s="158">
        <f>Tabla1[[#This Row],[F.Vig.Final]]-Tabla1[[#This Row],[f Vig Inicio]]</f>
        <v>4731</v>
      </c>
      <c r="R18" s="141">
        <f>YEAR(Tabla1[[#This Row],[F.Vig.Final]])</f>
        <v>2024</v>
      </c>
      <c r="S18" s="25" t="s">
        <v>172</v>
      </c>
      <c r="T18" s="14" t="s">
        <v>71</v>
      </c>
      <c r="U18" s="14" t="s">
        <v>162</v>
      </c>
      <c r="V18" s="14" t="s">
        <v>163</v>
      </c>
      <c r="W18" s="14" t="s">
        <v>81</v>
      </c>
      <c r="X18" s="14" t="s">
        <v>82</v>
      </c>
      <c r="Y18" s="14" t="s">
        <v>164</v>
      </c>
      <c r="Z18" s="16">
        <f>COUNTIF($X$3:X18, X18)</f>
        <v>6</v>
      </c>
      <c r="AA18" s="16" t="s">
        <v>179</v>
      </c>
      <c r="AB18" s="16" t="s">
        <v>85</v>
      </c>
      <c r="AC18" s="16" t="s">
        <v>86</v>
      </c>
      <c r="AD18" s="16" t="s">
        <v>87</v>
      </c>
      <c r="AE18" s="60" t="s">
        <v>180</v>
      </c>
      <c r="AF18" s="24" t="s">
        <v>89</v>
      </c>
      <c r="AG18" s="27">
        <v>45646</v>
      </c>
      <c r="AH18" s="137">
        <f>Tabla1[[#This Row],[Renov. Flota]]-Tabla1[[#This Row],[Año]]</f>
        <v>0</v>
      </c>
      <c r="AI18" s="18" t="s">
        <v>81</v>
      </c>
      <c r="AJ18" s="107" t="str">
        <f>VLOOKUP(Tabla1[[#This Row],[Matricula nueva]],'ALTA 20242025'!$B$2:$P$242,15,FALSE)</f>
        <v>4500426870</v>
      </c>
      <c r="AK18" s="60" t="s">
        <v>82</v>
      </c>
      <c r="AM18" s="1" t="s">
        <v>72</v>
      </c>
      <c r="AN18" s="1" t="s">
        <v>91</v>
      </c>
      <c r="AO18" s="1" t="str">
        <f>VLOOKUP(Tabla1[[#This Row],[Matricula nueva]],Hoja2!$A$1:$B$224,2,FALSE)</f>
        <v>VF1RFK00873824854</v>
      </c>
      <c r="AP18" s="70">
        <v>2.9</v>
      </c>
      <c r="AQ18" s="71">
        <f t="shared" si="1"/>
        <v>9.19</v>
      </c>
      <c r="AR18" s="72">
        <v>17.3</v>
      </c>
      <c r="AS18" s="73">
        <f>IF(Tabla1[[#This Row],[Columna2]]="M1",13073,IF(Tabla1[[#This Row],[Columna2]]="N1",15815,IF(Tabla1[[#This Row],[Columna2]]="L3e",2831,53508)))</f>
        <v>2831</v>
      </c>
      <c r="AT18" s="73">
        <f>(Tabla1[[#This Row],[CVA]]*Tabla1[[#This Row],[F]]-Tabla1[[#This Row],[CVN]])/100*Tabla1[[#This Row],[L]]</f>
        <v>264.72680999999989</v>
      </c>
      <c r="AU18" s="74" t="s">
        <v>157</v>
      </c>
      <c r="AV18" s="294">
        <f>VLOOKUP(B18,Tabla467824[[ID CAE2]:[AE '[kWh']]],6,FALSE)</f>
        <v>617.46940999999993</v>
      </c>
      <c r="AW1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9" spans="1:49" ht="15" x14ac:dyDescent="0.25">
      <c r="A19" s="114" t="s">
        <v>183</v>
      </c>
      <c r="B19" t="str">
        <f>VLOOKUP(A19,Tabla46782[ID CAE],1,FALSE)</f>
        <v>CAE500013</v>
      </c>
      <c r="C19" s="25" t="s">
        <v>184</v>
      </c>
      <c r="D19" s="103"/>
      <c r="E19" s="103"/>
      <c r="F19" s="103"/>
      <c r="G19" s="103" t="s">
        <v>72</v>
      </c>
      <c r="H19" s="103" t="s">
        <v>72</v>
      </c>
      <c r="I19" s="103" t="s">
        <v>72</v>
      </c>
      <c r="J19" s="103" t="s">
        <v>72</v>
      </c>
      <c r="K19" s="14" t="s">
        <v>158</v>
      </c>
      <c r="L19" s="14" t="s">
        <v>159</v>
      </c>
      <c r="M19" s="14" t="s">
        <v>158</v>
      </c>
      <c r="N19" s="23" t="s">
        <v>171</v>
      </c>
      <c r="O19" s="155">
        <f>VLOOKUP(Tabla1[[#This Row],[Matricula]],BAJA2022202320242025!$B$3:$CR$245,93,FALSE)</f>
        <v>41017</v>
      </c>
      <c r="P19" s="24">
        <v>45561</v>
      </c>
      <c r="Q19" s="158">
        <f>Tabla1[[#This Row],[F.Vig.Final]]-Tabla1[[#This Row],[f Vig Inicio]]</f>
        <v>4544</v>
      </c>
      <c r="R19" s="141">
        <f>YEAR(Tabla1[[#This Row],[F.Vig.Final]])</f>
        <v>2024</v>
      </c>
      <c r="S19" s="25" t="s">
        <v>172</v>
      </c>
      <c r="T19" s="14" t="s">
        <v>71</v>
      </c>
      <c r="U19" s="14" t="s">
        <v>162</v>
      </c>
      <c r="V19" s="14" t="s">
        <v>163</v>
      </c>
      <c r="W19" s="14" t="s">
        <v>81</v>
      </c>
      <c r="X19" s="14" t="s">
        <v>82</v>
      </c>
      <c r="Y19" s="14" t="s">
        <v>164</v>
      </c>
      <c r="Z19" s="16">
        <f>COUNTIF($X$3:X19, X19)</f>
        <v>7</v>
      </c>
      <c r="AA19" s="16" t="s">
        <v>185</v>
      </c>
      <c r="AB19" s="16" t="s">
        <v>85</v>
      </c>
      <c r="AC19" s="16" t="s">
        <v>86</v>
      </c>
      <c r="AD19" s="16" t="s">
        <v>87</v>
      </c>
      <c r="AE19" s="60" t="s">
        <v>174</v>
      </c>
      <c r="AF19" s="24" t="s">
        <v>89</v>
      </c>
      <c r="AG19" s="27">
        <v>45646</v>
      </c>
      <c r="AH19" s="137">
        <f>Tabla1[[#This Row],[Renov. Flota]]-Tabla1[[#This Row],[Año]]</f>
        <v>0</v>
      </c>
      <c r="AI19" s="18" t="s">
        <v>81</v>
      </c>
      <c r="AJ19" s="107" t="str">
        <f>VLOOKUP(Tabla1[[#This Row],[Matricula nueva]],'ALTA 20242025'!$B$2:$P$242,15,FALSE)</f>
        <v>4500426847</v>
      </c>
      <c r="AK19" s="60" t="s">
        <v>82</v>
      </c>
      <c r="AM19" s="1" t="s">
        <v>72</v>
      </c>
      <c r="AN19" s="1" t="s">
        <v>91</v>
      </c>
      <c r="AO19" s="1" t="str">
        <f>VLOOKUP(Tabla1[[#This Row],[Matricula nueva]],Hoja2!$A$1:$B$224,2,FALSE)</f>
        <v>VF1RFK00073824847</v>
      </c>
      <c r="AP19" s="70">
        <v>2.9</v>
      </c>
      <c r="AQ19" s="71">
        <f t="shared" si="1"/>
        <v>9.19</v>
      </c>
      <c r="AR19" s="72">
        <v>17.3</v>
      </c>
      <c r="AS19" s="73">
        <f>IF(Tabla1[[#This Row],[Columna2]]="M1",13073,IF(Tabla1[[#This Row],[Columna2]]="N1",15815,IF(Tabla1[[#This Row],[Columna2]]="L3e",2831,53508)))</f>
        <v>2831</v>
      </c>
      <c r="AT19" s="73">
        <f>(Tabla1[[#This Row],[CVA]]*Tabla1[[#This Row],[F]]-Tabla1[[#This Row],[CVN]])/100*Tabla1[[#This Row],[L]]</f>
        <v>264.72680999999989</v>
      </c>
      <c r="AU19" s="74" t="s">
        <v>157</v>
      </c>
      <c r="AV19" s="294">
        <f>VLOOKUP(B19,Tabla467824[[ID CAE2]:[AE '[kWh']]],6,FALSE)</f>
        <v>617.46940999999993</v>
      </c>
      <c r="AW1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20" spans="1:49" ht="15" x14ac:dyDescent="0.25">
      <c r="A20" s="114" t="s">
        <v>188</v>
      </c>
      <c r="B20" t="str">
        <f>VLOOKUP(A20,Tabla46782[ID CAE],1,FALSE)</f>
        <v>CAE500014</v>
      </c>
      <c r="C20" s="25" t="s">
        <v>189</v>
      </c>
      <c r="D20" s="103" t="s">
        <v>72</v>
      </c>
      <c r="E20" s="103"/>
      <c r="F20" s="103"/>
      <c r="G20" s="103" t="s">
        <v>72</v>
      </c>
      <c r="H20" s="103" t="s">
        <v>72</v>
      </c>
      <c r="I20" s="103" t="s">
        <v>72</v>
      </c>
      <c r="J20" s="103"/>
      <c r="K20" s="14" t="s">
        <v>158</v>
      </c>
      <c r="L20" s="14" t="s">
        <v>159</v>
      </c>
      <c r="M20" s="14" t="s">
        <v>158</v>
      </c>
      <c r="N20" s="23" t="s">
        <v>171</v>
      </c>
      <c r="O20" s="155">
        <f>VLOOKUP(Tabla1[[#This Row],[Matricula]],BAJA2022202320242025!$B$3:$CR$245,93,FALSE)</f>
        <v>42983</v>
      </c>
      <c r="P20" s="24">
        <v>45604</v>
      </c>
      <c r="Q20" s="158">
        <f>Tabla1[[#This Row],[F.Vig.Final]]-Tabla1[[#This Row],[f Vig Inicio]]</f>
        <v>2621</v>
      </c>
      <c r="R20" s="141">
        <f>YEAR(Tabla1[[#This Row],[F.Vig.Final]])</f>
        <v>2024</v>
      </c>
      <c r="S20" s="25" t="s">
        <v>172</v>
      </c>
      <c r="T20" s="14" t="s">
        <v>71</v>
      </c>
      <c r="U20" s="14" t="s">
        <v>162</v>
      </c>
      <c r="V20" s="14" t="s">
        <v>163</v>
      </c>
      <c r="W20" s="14" t="s">
        <v>190</v>
      </c>
      <c r="X20" s="14" t="s">
        <v>191</v>
      </c>
      <c r="Y20" s="14" t="s">
        <v>192</v>
      </c>
      <c r="Z20" s="16">
        <f>COUNTIF($X$3:X20, X20)</f>
        <v>1</v>
      </c>
      <c r="AA20" s="16" t="s">
        <v>193</v>
      </c>
      <c r="AB20" s="16" t="s">
        <v>85</v>
      </c>
      <c r="AC20" s="16" t="s">
        <v>86</v>
      </c>
      <c r="AD20" s="16" t="s">
        <v>87</v>
      </c>
      <c r="AE20" s="60" t="s">
        <v>194</v>
      </c>
      <c r="AF20" s="24" t="s">
        <v>89</v>
      </c>
      <c r="AG20" s="27">
        <v>45646</v>
      </c>
      <c r="AH20" s="137">
        <f>Tabla1[[#This Row],[Renov. Flota]]-Tabla1[[#This Row],[Año]]</f>
        <v>0</v>
      </c>
      <c r="AI20" s="18" t="s">
        <v>190</v>
      </c>
      <c r="AJ20" s="107" t="str">
        <f>VLOOKUP(Tabla1[[#This Row],[Matricula nueva]],'ALTA 20242025'!$B$2:$P$242,15,FALSE)</f>
        <v>4500426779</v>
      </c>
      <c r="AK20" s="60" t="s">
        <v>191</v>
      </c>
      <c r="AM20" s="1" t="s">
        <v>72</v>
      </c>
      <c r="AN20" s="1" t="s">
        <v>91</v>
      </c>
      <c r="AO20" s="1" t="str">
        <f>VLOOKUP(Tabla1[[#This Row],[Matricula nueva]],Hoja2!$A$1:$B$224,2,FALSE)</f>
        <v>VF1RFK00373934291</v>
      </c>
      <c r="AP20" s="70">
        <v>2.9</v>
      </c>
      <c r="AQ20" s="71">
        <f t="shared" si="1"/>
        <v>9.19</v>
      </c>
      <c r="AR20" s="72">
        <v>17.3</v>
      </c>
      <c r="AS20" s="73">
        <f>IF(Tabla1[[#This Row],[Columna2]]="M1",13073,IF(Tabla1[[#This Row],[Columna2]]="N1",15815,IF(Tabla1[[#This Row],[Columna2]]="L3e",2831,53508)))</f>
        <v>2831</v>
      </c>
      <c r="AT20" s="73">
        <f>(Tabla1[[#This Row],[CVA]]*Tabla1[[#This Row],[F]]-Tabla1[[#This Row],[CVN]])/100*Tabla1[[#This Row],[L]]</f>
        <v>264.72680999999989</v>
      </c>
      <c r="AU20" s="74" t="s">
        <v>157</v>
      </c>
      <c r="AV20" s="294">
        <f>VLOOKUP(B20,Tabla467824[[ID CAE2]:[AE '[kWh']]],6,FALSE)</f>
        <v>617.46940999999993</v>
      </c>
      <c r="AW2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21" spans="1:49" ht="15" x14ac:dyDescent="0.25">
      <c r="A21" s="114" t="s">
        <v>197</v>
      </c>
      <c r="B21" t="str">
        <f>VLOOKUP(A21,Tabla46782[ID CAE],1,FALSE)</f>
        <v>CAE500015</v>
      </c>
      <c r="C21" s="25" t="s">
        <v>198</v>
      </c>
      <c r="D21" s="103" t="s">
        <v>72</v>
      </c>
      <c r="E21" s="103" t="s">
        <v>72</v>
      </c>
      <c r="F21" s="103" t="s">
        <v>72</v>
      </c>
      <c r="G21" s="103"/>
      <c r="H21" s="103" t="s">
        <v>72</v>
      </c>
      <c r="I21" s="103" t="s">
        <v>72</v>
      </c>
      <c r="J21" s="103"/>
      <c r="K21" s="14" t="s">
        <v>73</v>
      </c>
      <c r="L21" s="14" t="s">
        <v>200</v>
      </c>
      <c r="M21" s="14" t="s">
        <v>201</v>
      </c>
      <c r="N21" s="23" t="s">
        <v>76</v>
      </c>
      <c r="O21" s="151">
        <f>VLOOKUP(Tabla1[[#This Row],[Matricula]],BAJA2022202320242025!$B$3:$CR$245,93,FALSE)</f>
        <v>44414</v>
      </c>
      <c r="P21" s="24">
        <v>45875</v>
      </c>
      <c r="Q21" s="158">
        <f>Tabla1[[#This Row],[F.Vig.Final]]-Tabla1[[#This Row],[f Vig Inicio]]</f>
        <v>1461</v>
      </c>
      <c r="R21" s="141">
        <f>YEAR(Tabla1[[#This Row],[F.Vig.Final]])</f>
        <v>2025</v>
      </c>
      <c r="S21" s="25" t="s">
        <v>77</v>
      </c>
      <c r="T21" s="14" t="s">
        <v>202</v>
      </c>
      <c r="U21" s="14" t="s">
        <v>85</v>
      </c>
      <c r="V21" s="14" t="s">
        <v>203</v>
      </c>
      <c r="W21" s="14" t="s">
        <v>204</v>
      </c>
      <c r="X21" s="14" t="s">
        <v>205</v>
      </c>
      <c r="Y21" s="14" t="s">
        <v>206</v>
      </c>
      <c r="Z21" s="16">
        <f>COUNTIF($X$3:X21, X21)</f>
        <v>1</v>
      </c>
      <c r="AA21" s="16" t="s">
        <v>207</v>
      </c>
      <c r="AB21" s="16" t="s">
        <v>140</v>
      </c>
      <c r="AC21" s="16" t="s">
        <v>151</v>
      </c>
      <c r="AD21" s="16" t="s">
        <v>87</v>
      </c>
      <c r="AE21" s="60" t="s">
        <v>208</v>
      </c>
      <c r="AF21" s="24" t="s">
        <v>89</v>
      </c>
      <c r="AG21" s="27">
        <v>45638</v>
      </c>
      <c r="AH21" s="137">
        <f>Tabla1[[#This Row],[Renov. Flota]]-Tabla1[[#This Row],[Año]]</f>
        <v>-1</v>
      </c>
      <c r="AI21" s="18" t="s">
        <v>204</v>
      </c>
      <c r="AJ21" s="107" t="str">
        <f>VLOOKUP(Tabla1[[#This Row],[Matricula nueva]],'ALTA 20242025'!$B$2:$P$242,15,FALSE)</f>
        <v>4500424885</v>
      </c>
      <c r="AK21" s="60" t="s">
        <v>205</v>
      </c>
      <c r="AM21" s="1" t="s">
        <v>72</v>
      </c>
      <c r="AN21" s="1" t="s">
        <v>91</v>
      </c>
      <c r="AO21" s="1" t="str">
        <f>VLOOKUP(Tabla1[[#This Row],[Matricula nueva]],Hoja2!$A$1:$B$224,2,FALSE)</f>
        <v>VR7CBZYA5RT154432</v>
      </c>
      <c r="AP21" s="70">
        <f>IF(Tabla1[[#This Row],[Columna2]]="M1",5.1,"")</f>
        <v>5.0999999999999996</v>
      </c>
      <c r="AQ21" s="71">
        <f t="shared" si="1"/>
        <v>9.19</v>
      </c>
      <c r="AR21" s="72">
        <v>16.399999999999999</v>
      </c>
      <c r="AS21" s="73">
        <f>IF(Tabla1[[#This Row],[Columna2]]="M1",13073,IF(Tabla1[[#This Row],[Columna2]]="N1",15815,IF(Tabla1[[#This Row],[Columna2]]="L3e",2831,53508)))</f>
        <v>13073</v>
      </c>
      <c r="AT21" s="73">
        <f>(Tabla1[[#This Row],[CVA]]*Tabla1[[#This Row],[F]]-Tabla1[[#This Row],[CVN]])/100*Tabla1[[#This Row],[L]]</f>
        <v>3983.2123699999993</v>
      </c>
      <c r="AU21" s="74" t="s">
        <v>70</v>
      </c>
      <c r="AV21" s="294">
        <f>VLOOKUP(B21,Tabla467824[[ID CAE2]:[AE '[kWh']]],6,FALSE)</f>
        <v>3826.5520744999999</v>
      </c>
      <c r="AW2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2" spans="1:49" ht="15" x14ac:dyDescent="0.25">
      <c r="A22" s="114" t="s">
        <v>211</v>
      </c>
      <c r="B22" t="str">
        <f>VLOOKUP(A22,Tabla46782[ID CAE],1,FALSE)</f>
        <v>CAE500016</v>
      </c>
      <c r="C22" s="25" t="s">
        <v>212</v>
      </c>
      <c r="D22" s="103" t="s">
        <v>72</v>
      </c>
      <c r="E22" s="103"/>
      <c r="F22" s="103" t="s">
        <v>72</v>
      </c>
      <c r="G22" s="103"/>
      <c r="H22" s="103" t="s">
        <v>72</v>
      </c>
      <c r="I22" s="103"/>
      <c r="J22" s="103"/>
      <c r="K22" s="14" t="s">
        <v>73</v>
      </c>
      <c r="L22" s="14" t="s">
        <v>200</v>
      </c>
      <c r="M22" s="14" t="s">
        <v>201</v>
      </c>
      <c r="N22" s="23" t="s">
        <v>76</v>
      </c>
      <c r="O22" s="151">
        <f>VLOOKUP(Tabla1[[#This Row],[Matricula]],BAJA2022202320242025!$B$3:$CR$245,93,FALSE)</f>
        <v>44224</v>
      </c>
      <c r="P22" s="24">
        <v>45685</v>
      </c>
      <c r="Q22" s="158">
        <f>Tabla1[[#This Row],[F.Vig.Final]]-Tabla1[[#This Row],[f Vig Inicio]]</f>
        <v>1461</v>
      </c>
      <c r="R22" s="141">
        <f>YEAR(Tabla1[[#This Row],[F.Vig.Final]])</f>
        <v>2025</v>
      </c>
      <c r="S22" s="25" t="s">
        <v>77</v>
      </c>
      <c r="T22" s="14" t="s">
        <v>71</v>
      </c>
      <c r="U22" s="14" t="s">
        <v>213</v>
      </c>
      <c r="V22" s="14" t="s">
        <v>214</v>
      </c>
      <c r="W22" s="14" t="s">
        <v>215</v>
      </c>
      <c r="X22" s="14" t="s">
        <v>216</v>
      </c>
      <c r="Y22" s="14" t="s">
        <v>217</v>
      </c>
      <c r="Z22" s="16">
        <f>COUNTIF($X$3:X22, X22)</f>
        <v>1</v>
      </c>
      <c r="AA22" s="16" t="s">
        <v>218</v>
      </c>
      <c r="AB22" s="16" t="s">
        <v>140</v>
      </c>
      <c r="AC22" s="16" t="s">
        <v>151</v>
      </c>
      <c r="AD22" s="16" t="s">
        <v>87</v>
      </c>
      <c r="AE22" s="60" t="s">
        <v>217</v>
      </c>
      <c r="AF22" s="24" t="s">
        <v>89</v>
      </c>
      <c r="AG22" s="27">
        <v>45625</v>
      </c>
      <c r="AH22" s="137">
        <f>Tabla1[[#This Row],[Renov. Flota]]-Tabla1[[#This Row],[Año]]</f>
        <v>-1</v>
      </c>
      <c r="AI22" s="18" t="s">
        <v>215</v>
      </c>
      <c r="AJ22" s="107" t="str">
        <f>VLOOKUP(Tabla1[[#This Row],[Matricula nueva]],'ALTA 20242025'!$B$2:$P$242,15,FALSE)</f>
        <v>4500424805</v>
      </c>
      <c r="AK22" s="60" t="s">
        <v>216</v>
      </c>
      <c r="AM22" s="1" t="s">
        <v>72</v>
      </c>
      <c r="AN22" s="1" t="s">
        <v>91</v>
      </c>
      <c r="AO22" s="1" t="str">
        <f>VLOOKUP(Tabla1[[#This Row],[Matricula nueva]],Hoja2!$A$1:$B$224,2,FALSE)</f>
        <v>VR7CBZYA7RT153038</v>
      </c>
      <c r="AP22" s="70">
        <f>IF(Tabla1[[#This Row],[Columna2]]="M1",5.1,"")</f>
        <v>5.0999999999999996</v>
      </c>
      <c r="AQ22" s="71">
        <f t="shared" si="1"/>
        <v>9.19</v>
      </c>
      <c r="AR22" s="72">
        <v>16.399999999999999</v>
      </c>
      <c r="AS22" s="73">
        <f>IF(Tabla1[[#This Row],[Columna2]]="M1",13073,IF(Tabla1[[#This Row],[Columna2]]="N1",15815,IF(Tabla1[[#This Row],[Columna2]]="L3e",2831,53508)))</f>
        <v>13073</v>
      </c>
      <c r="AT22" s="73">
        <f>(Tabla1[[#This Row],[CVA]]*Tabla1[[#This Row],[F]]-Tabla1[[#This Row],[CVN]])/100*Tabla1[[#This Row],[L]]</f>
        <v>3983.2123699999993</v>
      </c>
      <c r="AU22" s="74" t="s">
        <v>70</v>
      </c>
      <c r="AV22" s="294">
        <f>VLOOKUP(B22,Tabla467824[[ID CAE2]:[AE '[kWh']]],6,FALSE)</f>
        <v>7136.4330429999991</v>
      </c>
      <c r="AW2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3" spans="1:49" ht="15" x14ac:dyDescent="0.25">
      <c r="A23" s="114" t="s">
        <v>221</v>
      </c>
      <c r="B23" t="str">
        <f>VLOOKUP(A23,Tabla46782[ID CAE],1,FALSE)</f>
        <v>CAE500017</v>
      </c>
      <c r="C23" s="25" t="s">
        <v>222</v>
      </c>
      <c r="D23" s="103" t="s">
        <v>72</v>
      </c>
      <c r="E23" s="103"/>
      <c r="F23" s="103" t="s">
        <v>72</v>
      </c>
      <c r="G23" s="103"/>
      <c r="H23" s="103" t="s">
        <v>72</v>
      </c>
      <c r="I23" s="103" t="s">
        <v>72</v>
      </c>
      <c r="J23" s="103"/>
      <c r="K23" s="14" t="s">
        <v>73</v>
      </c>
      <c r="L23" s="14" t="s">
        <v>200</v>
      </c>
      <c r="M23" s="14" t="s">
        <v>201</v>
      </c>
      <c r="N23" s="23" t="s">
        <v>76</v>
      </c>
      <c r="O23" s="151">
        <f>VLOOKUP(Tabla1[[#This Row],[Matricula]],BAJA2022202320242025!$B$3:$CR$245,93,FALSE)</f>
        <v>44215</v>
      </c>
      <c r="P23" s="24">
        <v>45676</v>
      </c>
      <c r="Q23" s="158">
        <f>Tabla1[[#This Row],[F.Vig.Final]]-Tabla1[[#This Row],[f Vig Inicio]]</f>
        <v>1461</v>
      </c>
      <c r="R23" s="141">
        <f>YEAR(Tabla1[[#This Row],[F.Vig.Final]])</f>
        <v>2025</v>
      </c>
      <c r="S23" s="25" t="s">
        <v>77</v>
      </c>
      <c r="T23" s="14" t="s">
        <v>71</v>
      </c>
      <c r="U23" s="14" t="s">
        <v>213</v>
      </c>
      <c r="V23" s="14" t="s">
        <v>214</v>
      </c>
      <c r="W23" s="14" t="s">
        <v>119</v>
      </c>
      <c r="X23" s="14" t="s">
        <v>120</v>
      </c>
      <c r="Y23" s="14" t="s">
        <v>223</v>
      </c>
      <c r="Z23" s="16">
        <f>COUNTIF($X$3:X23, X23)</f>
        <v>3</v>
      </c>
      <c r="AA23" s="16" t="s">
        <v>224</v>
      </c>
      <c r="AB23" s="16" t="s">
        <v>140</v>
      </c>
      <c r="AC23" s="16" t="s">
        <v>151</v>
      </c>
      <c r="AD23" s="16" t="s">
        <v>87</v>
      </c>
      <c r="AE23" s="60" t="s">
        <v>225</v>
      </c>
      <c r="AF23" s="24" t="s">
        <v>89</v>
      </c>
      <c r="AG23" s="27">
        <v>45622</v>
      </c>
      <c r="AH23" s="137">
        <f>Tabla1[[#This Row],[Renov. Flota]]-Tabla1[[#This Row],[Año]]</f>
        <v>-1</v>
      </c>
      <c r="AI23" s="18" t="s">
        <v>119</v>
      </c>
      <c r="AJ23" s="107" t="str">
        <f>VLOOKUP(Tabla1[[#This Row],[Matricula nueva]],'ALTA 20242025'!$B$2:$P$242,15,FALSE)</f>
        <v>4500424807</v>
      </c>
      <c r="AK23" s="60" t="s">
        <v>120</v>
      </c>
      <c r="AM23" s="1" t="s">
        <v>72</v>
      </c>
      <c r="AN23" s="1" t="s">
        <v>91</v>
      </c>
      <c r="AO23" s="1" t="str">
        <f>VLOOKUP(Tabla1[[#This Row],[Matricula nueva]],Hoja2!$A$1:$B$224,2,FALSE)</f>
        <v>VR7CBZYA1RT152189</v>
      </c>
      <c r="AP23" s="70">
        <f>IF(Tabla1[[#This Row],[Columna2]]="M1",5.1,"")</f>
        <v>5.0999999999999996</v>
      </c>
      <c r="AQ23" s="71">
        <f t="shared" si="1"/>
        <v>9.19</v>
      </c>
      <c r="AR23" s="72">
        <v>16.399999999999999</v>
      </c>
      <c r="AS23" s="73">
        <f>IF(Tabla1[[#This Row],[Columna2]]="M1",13073,IF(Tabla1[[#This Row],[Columna2]]="N1",15815,IF(Tabla1[[#This Row],[Columna2]]="L3e",2831,53508)))</f>
        <v>13073</v>
      </c>
      <c r="AT23" s="73">
        <f>(Tabla1[[#This Row],[CVA]]*Tabla1[[#This Row],[F]]-Tabla1[[#This Row],[CVN]])/100*Tabla1[[#This Row],[L]]</f>
        <v>3983.2123699999993</v>
      </c>
      <c r="AU23" s="74" t="s">
        <v>70</v>
      </c>
      <c r="AV23" s="294">
        <f>VLOOKUP(B23,Tabla467824[[ID CAE2]:[AE '[kWh']]],6,FALSE)</f>
        <v>7136.4330429999991</v>
      </c>
      <c r="AW2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4" spans="1:49" ht="15" x14ac:dyDescent="0.25">
      <c r="A24" s="114" t="s">
        <v>228</v>
      </c>
      <c r="B24" t="str">
        <f>VLOOKUP(A24,Tabla46782[ID CAE],1,FALSE)</f>
        <v>CAE500018</v>
      </c>
      <c r="C24" s="25" t="s">
        <v>229</v>
      </c>
      <c r="D24" s="103" t="s">
        <v>72</v>
      </c>
      <c r="E24" s="103"/>
      <c r="F24" s="103" t="s">
        <v>72</v>
      </c>
      <c r="G24" s="103"/>
      <c r="H24" s="103" t="s">
        <v>72</v>
      </c>
      <c r="I24" s="103" t="s">
        <v>72</v>
      </c>
      <c r="J24" s="103"/>
      <c r="K24" s="14" t="s">
        <v>73</v>
      </c>
      <c r="L24" s="14" t="s">
        <v>200</v>
      </c>
      <c r="M24" s="14" t="s">
        <v>201</v>
      </c>
      <c r="N24" s="23" t="s">
        <v>76</v>
      </c>
      <c r="O24" s="151">
        <f>VLOOKUP(Tabla1[[#This Row],[Matricula]],BAJA2022202320242025!$B$3:$CR$245,93,FALSE)</f>
        <v>44224</v>
      </c>
      <c r="P24" s="24">
        <v>45689</v>
      </c>
      <c r="Q24" s="158">
        <f>Tabla1[[#This Row],[F.Vig.Final]]-Tabla1[[#This Row],[f Vig Inicio]]</f>
        <v>1465</v>
      </c>
      <c r="R24" s="141">
        <f>YEAR(Tabla1[[#This Row],[F.Vig.Final]])</f>
        <v>2025</v>
      </c>
      <c r="S24" s="25" t="s">
        <v>77</v>
      </c>
      <c r="T24" s="14" t="s">
        <v>71</v>
      </c>
      <c r="U24" s="14" t="s">
        <v>213</v>
      </c>
      <c r="V24" s="14" t="s">
        <v>214</v>
      </c>
      <c r="W24" s="14" t="s">
        <v>204</v>
      </c>
      <c r="X24" s="14" t="s">
        <v>205</v>
      </c>
      <c r="Y24" s="14" t="s">
        <v>230</v>
      </c>
      <c r="Z24" s="16">
        <f>COUNTIF($X$3:X24, X24)</f>
        <v>2</v>
      </c>
      <c r="AA24" s="16" t="s">
        <v>231</v>
      </c>
      <c r="AB24" s="16" t="s">
        <v>140</v>
      </c>
      <c r="AC24" s="16" t="s">
        <v>151</v>
      </c>
      <c r="AD24" s="16" t="s">
        <v>87</v>
      </c>
      <c r="AE24" s="60" t="s">
        <v>232</v>
      </c>
      <c r="AF24" s="24" t="s">
        <v>89</v>
      </c>
      <c r="AG24" s="27">
        <v>45638</v>
      </c>
      <c r="AH24" s="137">
        <f>Tabla1[[#This Row],[Renov. Flota]]-Tabla1[[#This Row],[Año]]</f>
        <v>-1</v>
      </c>
      <c r="AI24" s="18" t="s">
        <v>204</v>
      </c>
      <c r="AJ24" s="107" t="str">
        <f>VLOOKUP(Tabla1[[#This Row],[Matricula nueva]],'ALTA 20242025'!$B$2:$P$242,15,FALSE)</f>
        <v>4500424896</v>
      </c>
      <c r="AK24" s="60" t="s">
        <v>205</v>
      </c>
      <c r="AM24" s="1" t="s">
        <v>72</v>
      </c>
      <c r="AN24" s="1" t="s">
        <v>91</v>
      </c>
      <c r="AO24" s="1" t="str">
        <f>VLOOKUP(Tabla1[[#This Row],[Matricula nueva]],Hoja2!$A$1:$B$224,2,FALSE)</f>
        <v>VR7CBZYA2RT154436</v>
      </c>
      <c r="AP24" s="70">
        <f>IF(Tabla1[[#This Row],[Columna2]]="M1",5.1,"")</f>
        <v>5.0999999999999996</v>
      </c>
      <c r="AQ24" s="71">
        <f t="shared" si="1"/>
        <v>9.19</v>
      </c>
      <c r="AR24" s="72">
        <v>16.399999999999999</v>
      </c>
      <c r="AS24" s="73">
        <f>IF(Tabla1[[#This Row],[Columna2]]="M1",13073,IF(Tabla1[[#This Row],[Columna2]]="N1",15815,IF(Tabla1[[#This Row],[Columna2]]="L3e",2831,53508)))</f>
        <v>13073</v>
      </c>
      <c r="AT24" s="73">
        <f>(Tabla1[[#This Row],[CVA]]*Tabla1[[#This Row],[F]]-Tabla1[[#This Row],[CVN]])/100*Tabla1[[#This Row],[L]]</f>
        <v>3983.2123699999993</v>
      </c>
      <c r="AU24" s="74" t="s">
        <v>70</v>
      </c>
      <c r="AV24" s="294">
        <f>VLOOKUP(B24,Tabla467824[[ID CAE2]:[AE '[kWh']]],6,FALSE)</f>
        <v>7136.4330429999991</v>
      </c>
      <c r="AW2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5" spans="1:49" ht="15" x14ac:dyDescent="0.25">
      <c r="A25" s="114" t="s">
        <v>235</v>
      </c>
      <c r="B25" t="str">
        <f>VLOOKUP(A25,Tabla46782[ID CAE],1,FALSE)</f>
        <v>CAE500019</v>
      </c>
      <c r="C25" s="25" t="s">
        <v>236</v>
      </c>
      <c r="D25" s="103" t="s">
        <v>72</v>
      </c>
      <c r="E25" s="103"/>
      <c r="F25" s="103" t="s">
        <v>72</v>
      </c>
      <c r="G25" s="103"/>
      <c r="H25" s="103" t="s">
        <v>72</v>
      </c>
      <c r="I25" s="103"/>
      <c r="J25" s="103"/>
      <c r="K25" s="14" t="s">
        <v>73</v>
      </c>
      <c r="L25" s="14" t="s">
        <v>200</v>
      </c>
      <c r="M25" s="14" t="s">
        <v>201</v>
      </c>
      <c r="N25" s="23" t="s">
        <v>76</v>
      </c>
      <c r="O25" s="151">
        <f>VLOOKUP(Tabla1[[#This Row],[Matricula]],BAJA2022202320242025!$B$3:$CR$245,93,FALSE)</f>
        <v>44133</v>
      </c>
      <c r="P25" s="24">
        <v>45594</v>
      </c>
      <c r="Q25" s="158">
        <f>Tabla1[[#This Row],[F.Vig.Final]]-Tabla1[[#This Row],[f Vig Inicio]]</f>
        <v>1461</v>
      </c>
      <c r="R25" s="141">
        <f>YEAR(Tabla1[[#This Row],[F.Vig.Final]])</f>
        <v>2024</v>
      </c>
      <c r="S25" s="25" t="s">
        <v>77</v>
      </c>
      <c r="T25" s="14" t="s">
        <v>78</v>
      </c>
      <c r="U25" s="14" t="s">
        <v>213</v>
      </c>
      <c r="V25" s="14" t="s">
        <v>237</v>
      </c>
      <c r="W25" s="14" t="s">
        <v>204</v>
      </c>
      <c r="X25" s="14" t="s">
        <v>205</v>
      </c>
      <c r="Y25" s="14" t="s">
        <v>230</v>
      </c>
      <c r="Z25" s="16">
        <f>COUNTIF($X$3:X25, X25)</f>
        <v>3</v>
      </c>
      <c r="AA25" s="16" t="s">
        <v>238</v>
      </c>
      <c r="AB25" s="16" t="s">
        <v>140</v>
      </c>
      <c r="AC25" s="16" t="s">
        <v>151</v>
      </c>
      <c r="AD25" s="16" t="s">
        <v>87</v>
      </c>
      <c r="AE25" s="60" t="s">
        <v>232</v>
      </c>
      <c r="AF25" s="24" t="s">
        <v>89</v>
      </c>
      <c r="AG25" s="27">
        <v>45638</v>
      </c>
      <c r="AH25" s="137">
        <f>Tabla1[[#This Row],[Renov. Flota]]-Tabla1[[#This Row],[Año]]</f>
        <v>0</v>
      </c>
      <c r="AI25" s="18" t="s">
        <v>204</v>
      </c>
      <c r="AJ25" s="107" t="str">
        <f>VLOOKUP(Tabla1[[#This Row],[Matricula nueva]],'ALTA 20242025'!$B$2:$P$242,15,FALSE)</f>
        <v>4500424877</v>
      </c>
      <c r="AK25" s="60" t="s">
        <v>205</v>
      </c>
      <c r="AM25" s="1" t="s">
        <v>72</v>
      </c>
      <c r="AN25" s="1" t="s">
        <v>91</v>
      </c>
      <c r="AO25" s="1" t="str">
        <f>VLOOKUP(Tabla1[[#This Row],[Matricula nueva]],Hoja2!$A$1:$B$224,2,FALSE)</f>
        <v>VR7CBZYA3RT153022</v>
      </c>
      <c r="AP25" s="70">
        <f>IF(Tabla1[[#This Row],[Columna2]]="M1",5.1,"")</f>
        <v>5.0999999999999996</v>
      </c>
      <c r="AQ25" s="71">
        <f t="shared" si="1"/>
        <v>10</v>
      </c>
      <c r="AR25" s="72">
        <v>16.399999999999999</v>
      </c>
      <c r="AS25" s="73">
        <f>IF(Tabla1[[#This Row],[Columna2]]="M1",13073,IF(Tabla1[[#This Row],[Columna2]]="N1",15815,IF(Tabla1[[#This Row],[Columna2]]="L3e",2831,53508)))</f>
        <v>13073</v>
      </c>
      <c r="AT25" s="73">
        <f>(Tabla1[[#This Row],[CVA]]*Tabla1[[#This Row],[F]]-Tabla1[[#This Row],[CVN]])/100*Tabla1[[#This Row],[L]]</f>
        <v>4523.2580000000007</v>
      </c>
      <c r="AU25" s="74" t="s">
        <v>70</v>
      </c>
      <c r="AV25" s="294">
        <f>VLOOKUP(B25,Tabla467824[[ID CAE2]:[AE '[kWh']]],6,FALSE)</f>
        <v>6795.3454000000002</v>
      </c>
      <c r="AW2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6" spans="1:49" ht="15.75" thickBot="1" x14ac:dyDescent="0.3">
      <c r="A26" s="114" t="s">
        <v>241</v>
      </c>
      <c r="B26" t="str">
        <f>VLOOKUP(A26,Tabla46782[ID CAE],1,FALSE)</f>
        <v>CAE500020</v>
      </c>
      <c r="C26" s="25" t="s">
        <v>242</v>
      </c>
      <c r="D26" s="103" t="s">
        <v>72</v>
      </c>
      <c r="E26" s="103"/>
      <c r="F26" s="103" t="s">
        <v>72</v>
      </c>
      <c r="G26" s="103"/>
      <c r="H26" s="103" t="s">
        <v>72</v>
      </c>
      <c r="I26" s="103" t="s">
        <v>72</v>
      </c>
      <c r="J26" s="103"/>
      <c r="K26" s="14" t="s">
        <v>73</v>
      </c>
      <c r="L26" s="14" t="s">
        <v>200</v>
      </c>
      <c r="M26" s="14" t="s">
        <v>201</v>
      </c>
      <c r="N26" s="23" t="s">
        <v>76</v>
      </c>
      <c r="O26" s="153">
        <f>VLOOKUP(Tabla1[[#This Row],[Matricula]],BAJA2022202320242025!$B$3:$CR$245,93,FALSE)</f>
        <v>44133</v>
      </c>
      <c r="P26" s="28">
        <v>45594</v>
      </c>
      <c r="Q26" s="159">
        <f>Tabla1[[#This Row],[F.Vig.Final]]-Tabla1[[#This Row],[f Vig Inicio]]</f>
        <v>1461</v>
      </c>
      <c r="R26" s="141">
        <f>YEAR(Tabla1[[#This Row],[F.Vig.Final]])</f>
        <v>2024</v>
      </c>
      <c r="S26" s="25" t="s">
        <v>77</v>
      </c>
      <c r="T26" s="14" t="s">
        <v>78</v>
      </c>
      <c r="U26" s="14" t="s">
        <v>213</v>
      </c>
      <c r="V26" s="14" t="s">
        <v>237</v>
      </c>
      <c r="W26" s="14" t="s">
        <v>119</v>
      </c>
      <c r="X26" s="14" t="s">
        <v>120</v>
      </c>
      <c r="Y26" s="14" t="s">
        <v>243</v>
      </c>
      <c r="Z26" s="16">
        <f>COUNTIF($X$3:X26, X26)</f>
        <v>4</v>
      </c>
      <c r="AA26" s="16" t="s">
        <v>244</v>
      </c>
      <c r="AB26" s="16" t="s">
        <v>140</v>
      </c>
      <c r="AC26" s="16" t="s">
        <v>151</v>
      </c>
      <c r="AD26" s="16" t="s">
        <v>87</v>
      </c>
      <c r="AE26" s="60" t="s">
        <v>223</v>
      </c>
      <c r="AF26" s="28" t="s">
        <v>89</v>
      </c>
      <c r="AG26" s="27">
        <v>45622</v>
      </c>
      <c r="AH26" s="137">
        <f>Tabla1[[#This Row],[Renov. Flota]]-Tabla1[[#This Row],[Año]]</f>
        <v>0</v>
      </c>
      <c r="AI26" s="18" t="s">
        <v>119</v>
      </c>
      <c r="AJ26" s="107" t="str">
        <f>VLOOKUP(Tabla1[[#This Row],[Matricula nueva]],'ALTA 20242025'!$B$2:$P$242,15,FALSE)</f>
        <v>4500424796</v>
      </c>
      <c r="AK26" s="60" t="s">
        <v>120</v>
      </c>
      <c r="AM26" s="1" t="s">
        <v>72</v>
      </c>
      <c r="AN26" s="1" t="s">
        <v>91</v>
      </c>
      <c r="AO26" s="1" t="str">
        <f>VLOOKUP(Tabla1[[#This Row],[Matricula nueva]],Hoja2!$A$1:$B$224,2,FALSE)</f>
        <v>VR7CBZYA2RT152184</v>
      </c>
      <c r="AP26" s="75">
        <f>IF(Tabla1[[#This Row],[Columna2]]="M1",5.1,"")</f>
        <v>5.0999999999999996</v>
      </c>
      <c r="AQ26" s="76">
        <f t="shared" si="1"/>
        <v>10</v>
      </c>
      <c r="AR26" s="77">
        <v>16.399999999999999</v>
      </c>
      <c r="AS26" s="78">
        <f>IF(Tabla1[[#This Row],[Columna2]]="M1",13073,IF(Tabla1[[#This Row],[Columna2]]="N1",15815,IF(Tabla1[[#This Row],[Columna2]]="L3e",2831,53508)))</f>
        <v>13073</v>
      </c>
      <c r="AT26" s="78">
        <f>(Tabla1[[#This Row],[CVA]]*Tabla1[[#This Row],[F]]-Tabla1[[#This Row],[CVN]])/100*Tabla1[[#This Row],[L]]</f>
        <v>4523.2580000000007</v>
      </c>
      <c r="AU26" s="79" t="s">
        <v>70</v>
      </c>
      <c r="AV26" s="294">
        <f>VLOOKUP(B26,Tabla467824[[ID CAE2]:[AE '[kWh']]],6,FALSE)</f>
        <v>6795.3454000000002</v>
      </c>
      <c r="AW2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7" spans="1:49" ht="15.75" hidden="1" thickBot="1" x14ac:dyDescent="0.3">
      <c r="A27" t="s">
        <v>1146</v>
      </c>
      <c r="B27" t="e">
        <f>VLOOKUP(A27,Tabla46782[ID CAE],1,FALSE)</f>
        <v>#N/A</v>
      </c>
      <c r="C27" s="14" t="s">
        <v>1147</v>
      </c>
      <c r="D27" s="14"/>
      <c r="E27" s="14"/>
      <c r="F27" s="14"/>
      <c r="G27" s="14"/>
      <c r="H27" s="14"/>
      <c r="I27" s="14"/>
      <c r="J27" s="14"/>
      <c r="K27" s="14" t="s">
        <v>158</v>
      </c>
      <c r="L27" s="14" t="s">
        <v>159</v>
      </c>
      <c r="M27" s="14" t="s">
        <v>158</v>
      </c>
      <c r="N27" s="14" t="s">
        <v>171</v>
      </c>
      <c r="O27" s="95">
        <f>VLOOKUP(Tabla1[[#This Row],[Matricula]],BAJA2022202320242025!$B$3:$CR$245,93,FALSE)</f>
        <v>44537</v>
      </c>
      <c r="P27" s="21">
        <v>45245</v>
      </c>
      <c r="Q27" s="93">
        <f>Tabla1[[#This Row],[F.Vig.Final]]-Tabla1[[#This Row],[f Vig Inicio]]</f>
        <v>708</v>
      </c>
      <c r="R27" s="21">
        <f>YEAR(Tabla1[[#This Row],[F.Vig.Final]])</f>
        <v>2023</v>
      </c>
      <c r="S27" s="14" t="s">
        <v>172</v>
      </c>
      <c r="T27" s="14" t="s">
        <v>78</v>
      </c>
      <c r="U27" s="14" t="s">
        <v>524</v>
      </c>
      <c r="V27" s="14" t="s">
        <v>1148</v>
      </c>
      <c r="W27" s="14" t="s">
        <v>1139</v>
      </c>
      <c r="X27" s="14" t="s">
        <v>1140</v>
      </c>
      <c r="Y27" s="14" t="s">
        <v>312</v>
      </c>
      <c r="Z27" s="16">
        <f>COUNTIF($X$3:X27, X27)</f>
        <v>2</v>
      </c>
      <c r="AA27" s="16" t="e">
        <v>#N/A</v>
      </c>
      <c r="AB27" s="16" t="e">
        <v>#N/A</v>
      </c>
      <c r="AC27" s="16" t="e">
        <v>#N/A</v>
      </c>
      <c r="AD27" s="16" t="e">
        <v>#N/A</v>
      </c>
      <c r="AE27" s="16" t="e">
        <v>#N/A</v>
      </c>
      <c r="AF27" s="21" t="e">
        <v>#N/A</v>
      </c>
      <c r="AG27" s="17" t="e">
        <v>#N/A</v>
      </c>
      <c r="AH27" s="17" t="e">
        <f>Tabla1[[#This Row],[Renov. Flota]]-Tabla1[[#This Row],[Año]]</f>
        <v>#N/A</v>
      </c>
      <c r="AI27" s="18" t="e">
        <v>#N/A</v>
      </c>
      <c r="AJ27" s="18" t="e">
        <f>VLOOKUP(Tabla1[[#This Row],[Matricula nueva]],'ALTA 20242025'!$B$2:$P$242,15,FALSE)</f>
        <v>#N/A</v>
      </c>
      <c r="AK27" s="19" t="e">
        <v>#N/A</v>
      </c>
      <c r="AN27" s="1"/>
      <c r="AO27" s="1" t="e">
        <f>VLOOKUP(Tabla1[[#This Row],[Matricula nueva]],Hoja2!$A$1:$B$224,2,FALSE)</f>
        <v>#N/A</v>
      </c>
      <c r="AP27" s="1" t="str">
        <f>IF(Tabla1[[#This Row],[Columna2]]="M1",5.1,"")</f>
        <v/>
      </c>
      <c r="AQ27" s="1"/>
      <c r="AR27" s="1"/>
      <c r="AS27" s="47">
        <f>IF(Tabla1[[#This Row],[Columna2]]="M1",13073,IF(Tabla1[[#This Row],[Columna2]]="N1",15815,IF(Tabla1[[#This Row],[Columna2]]="L3e",2831,53508)))</f>
        <v>53508</v>
      </c>
      <c r="AT27" s="47" t="e">
        <f>(Tabla1[[#This Row],[CVA]]*Tabla1[[#This Row],[F]]-Tabla1[[#This Row],[CVN]])/100*Tabla1[[#This Row],[L]]</f>
        <v>#VALUE!</v>
      </c>
      <c r="AU27" s="1"/>
      <c r="AV27" s="1" t="e">
        <f>VLOOKUP(B27,Tabla467824[[ID CAE2]:[AE '[kWh']]],6,FALSE)</f>
        <v>#N/A</v>
      </c>
      <c r="AW2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8" spans="1:49" ht="15.75" hidden="1" thickBot="1" x14ac:dyDescent="0.3">
      <c r="A28" t="s">
        <v>1149</v>
      </c>
      <c r="B28" t="e">
        <f>VLOOKUP(A28,Tabla46782[ID CAE],1,FALSE)</f>
        <v>#N/A</v>
      </c>
      <c r="C28" s="14" t="s">
        <v>1150</v>
      </c>
      <c r="D28" s="14"/>
      <c r="E28" s="14"/>
      <c r="F28" s="14"/>
      <c r="G28" s="14"/>
      <c r="H28" s="14"/>
      <c r="I28" s="14"/>
      <c r="J28" s="14"/>
      <c r="K28" s="14" t="s">
        <v>158</v>
      </c>
      <c r="L28" s="14" t="s">
        <v>159</v>
      </c>
      <c r="M28" s="14" t="s">
        <v>158</v>
      </c>
      <c r="N28" s="14" t="s">
        <v>171</v>
      </c>
      <c r="O28" s="19">
        <f>VLOOKUP(Tabla1[[#This Row],[Matricula]],BAJA2022202320242025!$B$3:$CR$245,93,FALSE)</f>
        <v>38111</v>
      </c>
      <c r="P28" s="17">
        <v>45245</v>
      </c>
      <c r="Q28" s="16">
        <f>Tabla1[[#This Row],[F.Vig.Final]]-Tabla1[[#This Row],[f Vig Inicio]]</f>
        <v>7134</v>
      </c>
      <c r="R28" s="17">
        <f>YEAR(Tabla1[[#This Row],[F.Vig.Final]])</f>
        <v>2023</v>
      </c>
      <c r="S28" s="14" t="s">
        <v>172</v>
      </c>
      <c r="T28" s="14" t="s">
        <v>78</v>
      </c>
      <c r="U28" s="14" t="s">
        <v>85</v>
      </c>
      <c r="V28" s="14" t="s">
        <v>1151</v>
      </c>
      <c r="W28" s="14" t="s">
        <v>1139</v>
      </c>
      <c r="X28" s="14" t="s">
        <v>1140</v>
      </c>
      <c r="Y28" s="14" t="s">
        <v>312</v>
      </c>
      <c r="Z28" s="16">
        <f>COUNTIF($X$3:X28, X28)</f>
        <v>3</v>
      </c>
      <c r="AA28" s="16" t="e">
        <v>#N/A</v>
      </c>
      <c r="AB28" s="16" t="e">
        <v>#N/A</v>
      </c>
      <c r="AC28" s="16" t="e">
        <v>#N/A</v>
      </c>
      <c r="AD28" s="16" t="e">
        <v>#N/A</v>
      </c>
      <c r="AE28" s="16" t="e">
        <v>#N/A</v>
      </c>
      <c r="AF28" s="17" t="e">
        <v>#N/A</v>
      </c>
      <c r="AG28" s="17" t="e">
        <v>#N/A</v>
      </c>
      <c r="AH28" s="17" t="e">
        <f>Tabla1[[#This Row],[Renov. Flota]]-Tabla1[[#This Row],[Año]]</f>
        <v>#N/A</v>
      </c>
      <c r="AI28" s="18" t="e">
        <v>#N/A</v>
      </c>
      <c r="AJ28" s="18" t="e">
        <f>VLOOKUP(Tabla1[[#This Row],[Matricula nueva]],'ALTA 20242025'!$B$2:$P$242,15,FALSE)</f>
        <v>#N/A</v>
      </c>
      <c r="AK28" s="19" t="e">
        <v>#N/A</v>
      </c>
      <c r="AN28" s="1"/>
      <c r="AO28" s="1" t="e">
        <f>VLOOKUP(Tabla1[[#This Row],[Matricula nueva]],Hoja2!$A$1:$B$224,2,FALSE)</f>
        <v>#N/A</v>
      </c>
      <c r="AP28" s="1" t="str">
        <f>IF(Tabla1[[#This Row],[Columna2]]="M1",5.1,"")</f>
        <v/>
      </c>
      <c r="AQ28" s="1"/>
      <c r="AR28" s="1"/>
      <c r="AS28" s="47">
        <f>IF(Tabla1[[#This Row],[Columna2]]="M1",13073,IF(Tabla1[[#This Row],[Columna2]]="N1",15815,IF(Tabla1[[#This Row],[Columna2]]="L3e",2831,53508)))</f>
        <v>53508</v>
      </c>
      <c r="AT28" s="47" t="e">
        <f>(Tabla1[[#This Row],[CVA]]*Tabla1[[#This Row],[F]]-Tabla1[[#This Row],[CVN]])/100*Tabla1[[#This Row],[L]]</f>
        <v>#VALUE!</v>
      </c>
      <c r="AU28" s="1"/>
      <c r="AV28" s="1" t="e">
        <f>VLOOKUP(B28,Tabla467824[[ID CAE2]:[AE '[kWh']]],6,FALSE)</f>
        <v>#N/A</v>
      </c>
      <c r="AW2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9" spans="1:49" ht="15.75" hidden="1" thickBot="1" x14ac:dyDescent="0.3">
      <c r="A29" t="s">
        <v>1152</v>
      </c>
      <c r="B29" t="e">
        <f>VLOOKUP(A29,Tabla46782[ID CAE],1,FALSE)</f>
        <v>#N/A</v>
      </c>
      <c r="C29" s="14" t="s">
        <v>1153</v>
      </c>
      <c r="D29" s="14"/>
      <c r="E29" s="14"/>
      <c r="F29" s="14"/>
      <c r="G29" s="14"/>
      <c r="H29" s="14"/>
      <c r="I29" s="14"/>
      <c r="J29" s="14"/>
      <c r="K29" s="14" t="s">
        <v>158</v>
      </c>
      <c r="L29" s="14" t="s">
        <v>159</v>
      </c>
      <c r="M29" s="14" t="s">
        <v>158</v>
      </c>
      <c r="N29" s="14" t="s">
        <v>171</v>
      </c>
      <c r="O29" s="19">
        <f>VLOOKUP(Tabla1[[#This Row],[Matricula]],BAJA2022202320242025!$B$3:$CR$245,93,FALSE)</f>
        <v>38139</v>
      </c>
      <c r="P29" s="17">
        <v>45245</v>
      </c>
      <c r="Q29" s="16">
        <f>Tabla1[[#This Row],[F.Vig.Final]]-Tabla1[[#This Row],[f Vig Inicio]]</f>
        <v>7106</v>
      </c>
      <c r="R29" s="17">
        <f>YEAR(Tabla1[[#This Row],[F.Vig.Final]])</f>
        <v>2023</v>
      </c>
      <c r="S29" s="14" t="s">
        <v>172</v>
      </c>
      <c r="T29" s="14" t="s">
        <v>78</v>
      </c>
      <c r="U29" s="14" t="s">
        <v>85</v>
      </c>
      <c r="V29" s="14" t="s">
        <v>1154</v>
      </c>
      <c r="W29" s="14" t="s">
        <v>1139</v>
      </c>
      <c r="X29" s="14" t="s">
        <v>1140</v>
      </c>
      <c r="Y29" s="14" t="s">
        <v>312</v>
      </c>
      <c r="Z29" s="16">
        <f>COUNTIF($X$3:X29, X29)</f>
        <v>4</v>
      </c>
      <c r="AA29" s="16" t="e">
        <v>#N/A</v>
      </c>
      <c r="AB29" s="16" t="e">
        <v>#N/A</v>
      </c>
      <c r="AC29" s="16" t="e">
        <v>#N/A</v>
      </c>
      <c r="AD29" s="16" t="e">
        <v>#N/A</v>
      </c>
      <c r="AE29" s="16" t="e">
        <v>#N/A</v>
      </c>
      <c r="AF29" s="17" t="e">
        <v>#N/A</v>
      </c>
      <c r="AG29" s="17" t="e">
        <v>#N/A</v>
      </c>
      <c r="AH29" s="17" t="e">
        <f>Tabla1[[#This Row],[Renov. Flota]]-Tabla1[[#This Row],[Año]]</f>
        <v>#N/A</v>
      </c>
      <c r="AI29" s="18" t="e">
        <v>#N/A</v>
      </c>
      <c r="AJ29" s="18" t="e">
        <f>VLOOKUP(Tabla1[[#This Row],[Matricula nueva]],'ALTA 20242025'!$B$2:$P$242,15,FALSE)</f>
        <v>#N/A</v>
      </c>
      <c r="AK29" s="19" t="e">
        <v>#N/A</v>
      </c>
      <c r="AN29" s="1"/>
      <c r="AO29" s="1" t="e">
        <f>VLOOKUP(Tabla1[[#This Row],[Matricula nueva]],Hoja2!$A$1:$B$224,2,FALSE)</f>
        <v>#N/A</v>
      </c>
      <c r="AP29" s="1" t="str">
        <f>IF(Tabla1[[#This Row],[Columna2]]="M1",5.1,"")</f>
        <v/>
      </c>
      <c r="AQ29" s="1"/>
      <c r="AR29" s="1"/>
      <c r="AS29" s="47">
        <f>IF(Tabla1[[#This Row],[Columna2]]="M1",13073,IF(Tabla1[[#This Row],[Columna2]]="N1",15815,IF(Tabla1[[#This Row],[Columna2]]="L3e",2831,53508)))</f>
        <v>53508</v>
      </c>
      <c r="AT29" s="47" t="e">
        <f>(Tabla1[[#This Row],[CVA]]*Tabla1[[#This Row],[F]]-Tabla1[[#This Row],[CVN]])/100*Tabla1[[#This Row],[L]]</f>
        <v>#VALUE!</v>
      </c>
      <c r="AU29" s="1"/>
      <c r="AV29" s="1" t="e">
        <f>VLOOKUP(B29,Tabla467824[[ID CAE2]:[AE '[kWh']]],6,FALSE)</f>
        <v>#N/A</v>
      </c>
      <c r="AW2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0" spans="1:49" ht="15.75" hidden="1" thickBot="1" x14ac:dyDescent="0.3">
      <c r="A30" t="s">
        <v>1155</v>
      </c>
      <c r="B30" t="e">
        <f>VLOOKUP(A30,Tabla46782[ID CAE],1,FALSE)</f>
        <v>#N/A</v>
      </c>
      <c r="C30" s="14" t="s">
        <v>1156</v>
      </c>
      <c r="D30" s="14"/>
      <c r="E30" s="14"/>
      <c r="F30" s="14"/>
      <c r="G30" s="14"/>
      <c r="H30" s="14"/>
      <c r="I30" s="14"/>
      <c r="J30" s="14"/>
      <c r="K30" s="14" t="s">
        <v>158</v>
      </c>
      <c r="L30" s="14" t="s">
        <v>159</v>
      </c>
      <c r="M30" s="14" t="s">
        <v>158</v>
      </c>
      <c r="N30" s="14" t="s">
        <v>171</v>
      </c>
      <c r="O30" s="19">
        <f>VLOOKUP(Tabla1[[#This Row],[Matricula]],BAJA2022202320242025!$B$3:$CR$245,93,FALSE)</f>
        <v>44110</v>
      </c>
      <c r="P30" s="17">
        <v>45245</v>
      </c>
      <c r="Q30" s="16">
        <f>Tabla1[[#This Row],[F.Vig.Final]]-Tabla1[[#This Row],[f Vig Inicio]]</f>
        <v>1135</v>
      </c>
      <c r="R30" s="17">
        <f>YEAR(Tabla1[[#This Row],[F.Vig.Final]])</f>
        <v>2023</v>
      </c>
      <c r="S30" s="14" t="s">
        <v>172</v>
      </c>
      <c r="T30" s="14" t="s">
        <v>78</v>
      </c>
      <c r="U30" s="14" t="s">
        <v>887</v>
      </c>
      <c r="V30" s="14" t="s">
        <v>1157</v>
      </c>
      <c r="W30" s="14" t="s">
        <v>1139</v>
      </c>
      <c r="X30" s="14" t="s">
        <v>1140</v>
      </c>
      <c r="Y30" s="14" t="s">
        <v>312</v>
      </c>
      <c r="Z30" s="16">
        <f>COUNTIF($X$3:X30, X30)</f>
        <v>5</v>
      </c>
      <c r="AA30" s="16" t="e">
        <v>#N/A</v>
      </c>
      <c r="AB30" s="16" t="e">
        <v>#N/A</v>
      </c>
      <c r="AC30" s="16" t="e">
        <v>#N/A</v>
      </c>
      <c r="AD30" s="16" t="e">
        <v>#N/A</v>
      </c>
      <c r="AE30" s="16" t="e">
        <v>#N/A</v>
      </c>
      <c r="AF30" s="17" t="e">
        <v>#N/A</v>
      </c>
      <c r="AG30" s="17" t="e">
        <v>#N/A</v>
      </c>
      <c r="AH30" s="17" t="e">
        <f>Tabla1[[#This Row],[Renov. Flota]]-Tabla1[[#This Row],[Año]]</f>
        <v>#N/A</v>
      </c>
      <c r="AI30" s="18" t="e">
        <v>#N/A</v>
      </c>
      <c r="AJ30" s="18" t="e">
        <f>VLOOKUP(Tabla1[[#This Row],[Matricula nueva]],'ALTA 20242025'!$B$2:$P$242,15,FALSE)</f>
        <v>#N/A</v>
      </c>
      <c r="AK30" s="19" t="e">
        <v>#N/A</v>
      </c>
      <c r="AN30" s="1"/>
      <c r="AO30" s="1" t="e">
        <f>VLOOKUP(Tabla1[[#This Row],[Matricula nueva]],Hoja2!$A$1:$B$224,2,FALSE)</f>
        <v>#N/A</v>
      </c>
      <c r="AP30" s="1" t="str">
        <f>IF(Tabla1[[#This Row],[Columna2]]="M1",5.1,"")</f>
        <v/>
      </c>
      <c r="AQ30" s="1"/>
      <c r="AR30" s="1"/>
      <c r="AS30" s="47">
        <f>IF(Tabla1[[#This Row],[Columna2]]="M1",13073,IF(Tabla1[[#This Row],[Columna2]]="N1",15815,IF(Tabla1[[#This Row],[Columna2]]="L3e",2831,53508)))</f>
        <v>53508</v>
      </c>
      <c r="AT30" s="47" t="e">
        <f>(Tabla1[[#This Row],[CVA]]*Tabla1[[#This Row],[F]]-Tabla1[[#This Row],[CVN]])/100*Tabla1[[#This Row],[L]]</f>
        <v>#VALUE!</v>
      </c>
      <c r="AU30" s="1"/>
      <c r="AV30" s="1" t="e">
        <f>VLOOKUP(B30,Tabla467824[[ID CAE2]:[AE '[kWh']]],6,FALSE)</f>
        <v>#N/A</v>
      </c>
      <c r="AW3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1" spans="1:49" ht="15.75" hidden="1" thickBot="1" x14ac:dyDescent="0.3">
      <c r="A31" t="s">
        <v>1158</v>
      </c>
      <c r="B31" t="e">
        <f>VLOOKUP(A31,Tabla46782[ID CAE],1,FALSE)</f>
        <v>#N/A</v>
      </c>
      <c r="C31" s="14" t="s">
        <v>1159</v>
      </c>
      <c r="D31" s="14"/>
      <c r="E31" s="14"/>
      <c r="F31" s="14"/>
      <c r="G31" s="14"/>
      <c r="H31" s="14"/>
      <c r="I31" s="14"/>
      <c r="J31" s="14"/>
      <c r="K31" s="14" t="s">
        <v>158</v>
      </c>
      <c r="L31" s="14" t="s">
        <v>159</v>
      </c>
      <c r="M31" s="14" t="s">
        <v>158</v>
      </c>
      <c r="N31" s="14" t="s">
        <v>171</v>
      </c>
      <c r="O31" s="19">
        <f>VLOOKUP(Tabla1[[#This Row],[Matricula]],BAJA2022202320242025!$B$3:$CR$245,93,FALSE)</f>
        <v>42152</v>
      </c>
      <c r="P31" s="17">
        <v>45245</v>
      </c>
      <c r="Q31" s="16">
        <f>Tabla1[[#This Row],[F.Vig.Final]]-Tabla1[[#This Row],[f Vig Inicio]]</f>
        <v>3093</v>
      </c>
      <c r="R31" s="17">
        <f>YEAR(Tabla1[[#This Row],[F.Vig.Final]])</f>
        <v>2023</v>
      </c>
      <c r="S31" s="14" t="s">
        <v>172</v>
      </c>
      <c r="T31" s="14" t="s">
        <v>78</v>
      </c>
      <c r="U31" s="14" t="s">
        <v>524</v>
      </c>
      <c r="V31" s="14" t="s">
        <v>1160</v>
      </c>
      <c r="W31" s="14" t="s">
        <v>1139</v>
      </c>
      <c r="X31" s="14" t="s">
        <v>1140</v>
      </c>
      <c r="Y31" s="14" t="s">
        <v>312</v>
      </c>
      <c r="Z31" s="16">
        <f>COUNTIF($X$3:X31, X31)</f>
        <v>6</v>
      </c>
      <c r="AA31" s="16" t="e">
        <v>#N/A</v>
      </c>
      <c r="AB31" s="16" t="e">
        <v>#N/A</v>
      </c>
      <c r="AC31" s="16" t="e">
        <v>#N/A</v>
      </c>
      <c r="AD31" s="16" t="e">
        <v>#N/A</v>
      </c>
      <c r="AE31" s="16" t="e">
        <v>#N/A</v>
      </c>
      <c r="AF31" s="17" t="e">
        <v>#N/A</v>
      </c>
      <c r="AG31" s="17" t="e">
        <v>#N/A</v>
      </c>
      <c r="AH31" s="17" t="e">
        <f>Tabla1[[#This Row],[Renov. Flota]]-Tabla1[[#This Row],[Año]]</f>
        <v>#N/A</v>
      </c>
      <c r="AI31" s="18" t="e">
        <v>#N/A</v>
      </c>
      <c r="AJ31" s="18" t="e">
        <f>VLOOKUP(Tabla1[[#This Row],[Matricula nueva]],'ALTA 20242025'!$B$2:$P$242,15,FALSE)</f>
        <v>#N/A</v>
      </c>
      <c r="AK31" s="19" t="e">
        <v>#N/A</v>
      </c>
      <c r="AN31" s="1"/>
      <c r="AO31" s="1" t="e">
        <f>VLOOKUP(Tabla1[[#This Row],[Matricula nueva]],Hoja2!$A$1:$B$224,2,FALSE)</f>
        <v>#N/A</v>
      </c>
      <c r="AP31" s="1" t="str">
        <f>IF(Tabla1[[#This Row],[Columna2]]="M1",5.1,"")</f>
        <v/>
      </c>
      <c r="AQ31" s="1"/>
      <c r="AR31" s="1"/>
      <c r="AS31" s="47">
        <f>IF(Tabla1[[#This Row],[Columna2]]="M1",13073,IF(Tabla1[[#This Row],[Columna2]]="N1",15815,IF(Tabla1[[#This Row],[Columna2]]="L3e",2831,53508)))</f>
        <v>53508</v>
      </c>
      <c r="AT31" s="47" t="e">
        <f>(Tabla1[[#This Row],[CVA]]*Tabla1[[#This Row],[F]]-Tabla1[[#This Row],[CVN]])/100*Tabla1[[#This Row],[L]]</f>
        <v>#VALUE!</v>
      </c>
      <c r="AU31" s="1"/>
      <c r="AV31" s="1" t="e">
        <f>VLOOKUP(B31,Tabla467824[[ID CAE2]:[AE '[kWh']]],6,FALSE)</f>
        <v>#N/A</v>
      </c>
      <c r="AW3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2" spans="1:49" ht="15.75" hidden="1" thickBot="1" x14ac:dyDescent="0.3">
      <c r="A32" t="s">
        <v>1161</v>
      </c>
      <c r="B32" t="e">
        <f>VLOOKUP(A32,Tabla46782[ID CAE],1,FALSE)</f>
        <v>#N/A</v>
      </c>
      <c r="C32" s="14" t="s">
        <v>1162</v>
      </c>
      <c r="D32" s="14"/>
      <c r="E32" s="14"/>
      <c r="F32" s="14"/>
      <c r="G32" s="14"/>
      <c r="H32" s="14"/>
      <c r="I32" s="14"/>
      <c r="J32" s="14"/>
      <c r="K32" s="14" t="s">
        <v>158</v>
      </c>
      <c r="L32" s="14" t="s">
        <v>159</v>
      </c>
      <c r="M32" s="14" t="s">
        <v>158</v>
      </c>
      <c r="N32" s="14" t="s">
        <v>171</v>
      </c>
      <c r="O32" s="19">
        <f>VLOOKUP(Tabla1[[#This Row],[Matricula]],BAJA2022202320242025!$B$3:$CR$245,93,FALSE)</f>
        <v>44000</v>
      </c>
      <c r="P32" s="17">
        <v>45245</v>
      </c>
      <c r="Q32" s="16">
        <f>Tabla1[[#This Row],[F.Vig.Final]]-Tabla1[[#This Row],[f Vig Inicio]]</f>
        <v>1245</v>
      </c>
      <c r="R32" s="17">
        <f>YEAR(Tabla1[[#This Row],[F.Vig.Final]])</f>
        <v>2023</v>
      </c>
      <c r="S32" s="14" t="s">
        <v>172</v>
      </c>
      <c r="T32" s="14" t="s">
        <v>78</v>
      </c>
      <c r="U32" s="14" t="s">
        <v>524</v>
      </c>
      <c r="V32" s="14" t="s">
        <v>1163</v>
      </c>
      <c r="W32" s="14" t="s">
        <v>1139</v>
      </c>
      <c r="X32" s="14" t="s">
        <v>1140</v>
      </c>
      <c r="Y32" s="14" t="s">
        <v>312</v>
      </c>
      <c r="Z32" s="16">
        <f>COUNTIF($X$3:X32, X32)</f>
        <v>7</v>
      </c>
      <c r="AA32" s="16" t="e">
        <v>#N/A</v>
      </c>
      <c r="AB32" s="16" t="e">
        <v>#N/A</v>
      </c>
      <c r="AC32" s="16" t="e">
        <v>#N/A</v>
      </c>
      <c r="AD32" s="16" t="e">
        <v>#N/A</v>
      </c>
      <c r="AE32" s="16" t="e">
        <v>#N/A</v>
      </c>
      <c r="AF32" s="17" t="e">
        <v>#N/A</v>
      </c>
      <c r="AG32" s="17" t="e">
        <v>#N/A</v>
      </c>
      <c r="AH32" s="17" t="e">
        <f>Tabla1[[#This Row],[Renov. Flota]]-Tabla1[[#This Row],[Año]]</f>
        <v>#N/A</v>
      </c>
      <c r="AI32" s="18" t="e">
        <v>#N/A</v>
      </c>
      <c r="AJ32" s="18" t="e">
        <f>VLOOKUP(Tabla1[[#This Row],[Matricula nueva]],'ALTA 20242025'!$B$2:$P$242,15,FALSE)</f>
        <v>#N/A</v>
      </c>
      <c r="AK32" s="19" t="e">
        <v>#N/A</v>
      </c>
      <c r="AN32" s="1"/>
      <c r="AO32" s="1" t="e">
        <f>VLOOKUP(Tabla1[[#This Row],[Matricula nueva]],Hoja2!$A$1:$B$224,2,FALSE)</f>
        <v>#N/A</v>
      </c>
      <c r="AP32" s="1" t="str">
        <f>IF(Tabla1[[#This Row],[Columna2]]="M1",5.1,"")</f>
        <v/>
      </c>
      <c r="AQ32" s="1"/>
      <c r="AR32" s="1"/>
      <c r="AS32" s="47">
        <f>IF(Tabla1[[#This Row],[Columna2]]="M1",13073,IF(Tabla1[[#This Row],[Columna2]]="N1",15815,IF(Tabla1[[#This Row],[Columna2]]="L3e",2831,53508)))</f>
        <v>53508</v>
      </c>
      <c r="AT32" s="47" t="e">
        <f>(Tabla1[[#This Row],[CVA]]*Tabla1[[#This Row],[F]]-Tabla1[[#This Row],[CVN]])/100*Tabla1[[#This Row],[L]]</f>
        <v>#VALUE!</v>
      </c>
      <c r="AU32" s="1"/>
      <c r="AV32" s="1" t="e">
        <f>VLOOKUP(B32,Tabla467824[[ID CAE2]:[AE '[kWh']]],6,FALSE)</f>
        <v>#N/A</v>
      </c>
      <c r="AW3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3" spans="1:49" ht="15.75" hidden="1" thickBot="1" x14ac:dyDescent="0.3">
      <c r="A33" t="s">
        <v>1164</v>
      </c>
      <c r="B33" t="e">
        <f>VLOOKUP(A33,Tabla46782[ID CAE],1,FALSE)</f>
        <v>#N/A</v>
      </c>
      <c r="C33" s="14" t="s">
        <v>1165</v>
      </c>
      <c r="D33" s="14"/>
      <c r="E33" s="14"/>
      <c r="F33" s="14"/>
      <c r="G33" s="14"/>
      <c r="H33" s="14"/>
      <c r="I33" s="14"/>
      <c r="J33" s="14"/>
      <c r="K33" s="14" t="s">
        <v>1034</v>
      </c>
      <c r="L33" s="14" t="s">
        <v>200</v>
      </c>
      <c r="M33" s="14" t="s">
        <v>201</v>
      </c>
      <c r="N33" s="14" t="s">
        <v>171</v>
      </c>
      <c r="O33" s="19">
        <f>VLOOKUP(Tabla1[[#This Row],[Matricula]],BAJA2022202320242025!$B$3:$CR$245,93,FALSE)</f>
        <v>44650</v>
      </c>
      <c r="P33" s="17">
        <v>45245</v>
      </c>
      <c r="Q33" s="16">
        <f>Tabla1[[#This Row],[F.Vig.Final]]-Tabla1[[#This Row],[f Vig Inicio]]</f>
        <v>595</v>
      </c>
      <c r="R33" s="17">
        <f>YEAR(Tabla1[[#This Row],[F.Vig.Final]])</f>
        <v>2023</v>
      </c>
      <c r="S33" s="14" t="s">
        <v>172</v>
      </c>
      <c r="T33" s="14" t="s">
        <v>78</v>
      </c>
      <c r="U33" s="14" t="s">
        <v>524</v>
      </c>
      <c r="V33" s="14" t="s">
        <v>1166</v>
      </c>
      <c r="W33" s="14" t="s">
        <v>1139</v>
      </c>
      <c r="X33" s="14" t="s">
        <v>1140</v>
      </c>
      <c r="Y33" s="14" t="s">
        <v>312</v>
      </c>
      <c r="Z33" s="16">
        <f>COUNTIF($X$3:X33, X33)</f>
        <v>8</v>
      </c>
      <c r="AA33" s="16" t="e">
        <v>#N/A</v>
      </c>
      <c r="AB33" s="16" t="e">
        <v>#N/A</v>
      </c>
      <c r="AC33" s="16" t="e">
        <v>#N/A</v>
      </c>
      <c r="AD33" s="16" t="e">
        <v>#N/A</v>
      </c>
      <c r="AE33" s="16" t="e">
        <v>#N/A</v>
      </c>
      <c r="AF33" s="17" t="e">
        <v>#N/A</v>
      </c>
      <c r="AG33" s="17" t="e">
        <v>#N/A</v>
      </c>
      <c r="AH33" s="17" t="e">
        <f>Tabla1[[#This Row],[Renov. Flota]]-Tabla1[[#This Row],[Año]]</f>
        <v>#N/A</v>
      </c>
      <c r="AI33" s="18" t="e">
        <v>#N/A</v>
      </c>
      <c r="AJ33" s="18" t="e">
        <f>VLOOKUP(Tabla1[[#This Row],[Matricula nueva]],'ALTA 20242025'!$B$2:$P$242,15,FALSE)</f>
        <v>#N/A</v>
      </c>
      <c r="AK33" s="19" t="e">
        <v>#N/A</v>
      </c>
      <c r="AN33" s="1"/>
      <c r="AO33" s="1" t="e">
        <f>VLOOKUP(Tabla1[[#This Row],[Matricula nueva]],Hoja2!$A$1:$B$224,2,FALSE)</f>
        <v>#N/A</v>
      </c>
      <c r="AP33" s="1" t="str">
        <f>IF(Tabla1[[#This Row],[Columna2]]="M1",5.1,"")</f>
        <v/>
      </c>
      <c r="AQ33" s="1"/>
      <c r="AR33" s="1"/>
      <c r="AS33" s="47">
        <f>IF(Tabla1[[#This Row],[Columna2]]="M1",13073,IF(Tabla1[[#This Row],[Columna2]]="N1",15815,IF(Tabla1[[#This Row],[Columna2]]="L3e",2831,53508)))</f>
        <v>53508</v>
      </c>
      <c r="AT33" s="47" t="e">
        <f>(Tabla1[[#This Row],[CVA]]*Tabla1[[#This Row],[F]]-Tabla1[[#This Row],[CVN]])/100*Tabla1[[#This Row],[L]]</f>
        <v>#VALUE!</v>
      </c>
      <c r="AU33" s="1"/>
      <c r="AV33" s="1" t="e">
        <f>VLOOKUP(B33,Tabla467824[[ID CAE2]:[AE '[kWh']]],6,FALSE)</f>
        <v>#N/A</v>
      </c>
      <c r="AW3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 spans="1:49" ht="15.75" hidden="1" thickBot="1" x14ac:dyDescent="0.3">
      <c r="A34" t="s">
        <v>1167</v>
      </c>
      <c r="B34" t="e">
        <f>VLOOKUP(A34,Tabla46782[ID CAE],1,FALSE)</f>
        <v>#N/A</v>
      </c>
      <c r="C34" s="14" t="s">
        <v>1168</v>
      </c>
      <c r="D34" s="14"/>
      <c r="E34" s="14"/>
      <c r="F34" s="14"/>
      <c r="G34" s="14"/>
      <c r="H34" s="14"/>
      <c r="I34" s="14"/>
      <c r="J34" s="14"/>
      <c r="K34" s="14" t="s">
        <v>158</v>
      </c>
      <c r="L34" s="14" t="s">
        <v>159</v>
      </c>
      <c r="M34" s="14" t="s">
        <v>158</v>
      </c>
      <c r="N34" s="14" t="s">
        <v>171</v>
      </c>
      <c r="O34" s="19">
        <f>VLOOKUP(Tabla1[[#This Row],[Matricula]],BAJA2022202320242025!$B$3:$CR$245,93,FALSE)</f>
        <v>44516</v>
      </c>
      <c r="P34" s="17">
        <v>45245</v>
      </c>
      <c r="Q34" s="16">
        <f>Tabla1[[#This Row],[F.Vig.Final]]-Tabla1[[#This Row],[f Vig Inicio]]</f>
        <v>729</v>
      </c>
      <c r="R34" s="17">
        <f>YEAR(Tabla1[[#This Row],[F.Vig.Final]])</f>
        <v>2023</v>
      </c>
      <c r="S34" s="14" t="s">
        <v>172</v>
      </c>
      <c r="T34" s="14" t="s">
        <v>78</v>
      </c>
      <c r="U34" s="14" t="s">
        <v>887</v>
      </c>
      <c r="V34" s="14" t="s">
        <v>1157</v>
      </c>
      <c r="W34" s="14" t="s">
        <v>1139</v>
      </c>
      <c r="X34" s="14" t="s">
        <v>1140</v>
      </c>
      <c r="Y34" s="14" t="s">
        <v>312</v>
      </c>
      <c r="Z34" s="16">
        <f>COUNTIF($X$3:X34, X34)</f>
        <v>9</v>
      </c>
      <c r="AA34" s="16" t="e">
        <v>#N/A</v>
      </c>
      <c r="AB34" s="16" t="e">
        <v>#N/A</v>
      </c>
      <c r="AC34" s="16" t="e">
        <v>#N/A</v>
      </c>
      <c r="AD34" s="16" t="e">
        <v>#N/A</v>
      </c>
      <c r="AE34" s="16" t="e">
        <v>#N/A</v>
      </c>
      <c r="AF34" s="17" t="e">
        <v>#N/A</v>
      </c>
      <c r="AG34" s="17" t="e">
        <v>#N/A</v>
      </c>
      <c r="AH34" s="17" t="e">
        <f>Tabla1[[#This Row],[Renov. Flota]]-Tabla1[[#This Row],[Año]]</f>
        <v>#N/A</v>
      </c>
      <c r="AI34" s="18" t="e">
        <v>#N/A</v>
      </c>
      <c r="AJ34" s="18" t="e">
        <f>VLOOKUP(Tabla1[[#This Row],[Matricula nueva]],'ALTA 20242025'!$B$2:$P$242,15,FALSE)</f>
        <v>#N/A</v>
      </c>
      <c r="AK34" s="19" t="e">
        <v>#N/A</v>
      </c>
      <c r="AN34" s="1"/>
      <c r="AO34" s="1" t="e">
        <f>VLOOKUP(Tabla1[[#This Row],[Matricula nueva]],Hoja2!$A$1:$B$224,2,FALSE)</f>
        <v>#N/A</v>
      </c>
      <c r="AP34" s="1" t="str">
        <f>IF(Tabla1[[#This Row],[Columna2]]="M1",5.1,"")</f>
        <v/>
      </c>
      <c r="AQ34" s="1"/>
      <c r="AR34" s="1"/>
      <c r="AS34" s="47">
        <f>IF(Tabla1[[#This Row],[Columna2]]="M1",13073,IF(Tabla1[[#This Row],[Columna2]]="N1",15815,IF(Tabla1[[#This Row],[Columna2]]="L3e",2831,53508)))</f>
        <v>53508</v>
      </c>
      <c r="AT34" s="47" t="e">
        <f>(Tabla1[[#This Row],[CVA]]*Tabla1[[#This Row],[F]]-Tabla1[[#This Row],[CVN]])/100*Tabla1[[#This Row],[L]]</f>
        <v>#VALUE!</v>
      </c>
      <c r="AU34" s="1"/>
      <c r="AV34" s="1" t="e">
        <f>VLOOKUP(B34,Tabla467824[[ID CAE2]:[AE '[kWh']]],6,FALSE)</f>
        <v>#N/A</v>
      </c>
      <c r="AW3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5" spans="1:49" ht="15.75" hidden="1" thickBot="1" x14ac:dyDescent="0.3">
      <c r="A35" t="s">
        <v>1169</v>
      </c>
      <c r="B35" t="e">
        <f>VLOOKUP(A35,Tabla46782[ID CAE],1,FALSE)</f>
        <v>#N/A</v>
      </c>
      <c r="C35" s="14" t="s">
        <v>1170</v>
      </c>
      <c r="D35" s="14"/>
      <c r="E35" s="14"/>
      <c r="F35" s="14"/>
      <c r="G35" s="14"/>
      <c r="H35" s="14"/>
      <c r="I35" s="14"/>
      <c r="J35" s="14"/>
      <c r="K35" s="14" t="s">
        <v>158</v>
      </c>
      <c r="L35" s="14" t="s">
        <v>159</v>
      </c>
      <c r="M35" s="14" t="s">
        <v>158</v>
      </c>
      <c r="N35" s="14" t="s">
        <v>171</v>
      </c>
      <c r="O35" s="50">
        <f>VLOOKUP(Tabla1[[#This Row],[Matricula]],BAJA2022202320242025!$B$3:$CR$245,93,FALSE)</f>
        <v>37811</v>
      </c>
      <c r="P35" s="22">
        <v>45245</v>
      </c>
      <c r="Q35" s="48">
        <f>Tabla1[[#This Row],[F.Vig.Final]]-Tabla1[[#This Row],[f Vig Inicio]]</f>
        <v>7434</v>
      </c>
      <c r="R35" s="22">
        <f>YEAR(Tabla1[[#This Row],[F.Vig.Final]])</f>
        <v>2023</v>
      </c>
      <c r="S35" s="14" t="s">
        <v>172</v>
      </c>
      <c r="T35" s="14" t="s">
        <v>78</v>
      </c>
      <c r="U35" s="14" t="s">
        <v>524</v>
      </c>
      <c r="V35" s="14" t="s">
        <v>1171</v>
      </c>
      <c r="W35" s="14" t="s">
        <v>1139</v>
      </c>
      <c r="X35" s="14" t="s">
        <v>1140</v>
      </c>
      <c r="Y35" s="14" t="s">
        <v>312</v>
      </c>
      <c r="Z35" s="16">
        <f>COUNTIF($X$3:X35, X35)</f>
        <v>10</v>
      </c>
      <c r="AA35" s="16" t="e">
        <v>#N/A</v>
      </c>
      <c r="AB35" s="16" t="e">
        <v>#N/A</v>
      </c>
      <c r="AC35" s="16" t="e">
        <v>#N/A</v>
      </c>
      <c r="AD35" s="16" t="e">
        <v>#N/A</v>
      </c>
      <c r="AE35" s="16" t="e">
        <v>#N/A</v>
      </c>
      <c r="AF35" s="22" t="e">
        <v>#N/A</v>
      </c>
      <c r="AG35" s="17" t="e">
        <v>#N/A</v>
      </c>
      <c r="AH35" s="17" t="e">
        <f>Tabla1[[#This Row],[Renov. Flota]]-Tabla1[[#This Row],[Año]]</f>
        <v>#N/A</v>
      </c>
      <c r="AI35" s="18" t="e">
        <v>#N/A</v>
      </c>
      <c r="AJ35" s="18" t="e">
        <f>VLOOKUP(Tabla1[[#This Row],[Matricula nueva]],'ALTA 20242025'!$B$2:$P$242,15,FALSE)</f>
        <v>#N/A</v>
      </c>
      <c r="AK35" s="19" t="e">
        <v>#N/A</v>
      </c>
      <c r="AN35" s="1"/>
      <c r="AO35" s="1" t="e">
        <f>VLOOKUP(Tabla1[[#This Row],[Matricula nueva]],Hoja2!$A$1:$B$224,2,FALSE)</f>
        <v>#N/A</v>
      </c>
      <c r="AP35" s="1" t="str">
        <f>IF(Tabla1[[#This Row],[Columna2]]="M1",5.1,"")</f>
        <v/>
      </c>
      <c r="AQ35" s="1"/>
      <c r="AR35" s="1"/>
      <c r="AS35" s="47">
        <f>IF(Tabla1[[#This Row],[Columna2]]="M1",13073,IF(Tabla1[[#This Row],[Columna2]]="N1",15815,IF(Tabla1[[#This Row],[Columna2]]="L3e",2831,53508)))</f>
        <v>53508</v>
      </c>
      <c r="AT35" s="47" t="e">
        <f>(Tabla1[[#This Row],[CVA]]*Tabla1[[#This Row],[F]]-Tabla1[[#This Row],[CVN]])/100*Tabla1[[#This Row],[L]]</f>
        <v>#VALUE!</v>
      </c>
      <c r="AU35" s="1"/>
      <c r="AV35" s="1" t="e">
        <f>VLOOKUP(B35,Tabla467824[[ID CAE2]:[AE '[kWh']]],6,FALSE)</f>
        <v>#N/A</v>
      </c>
      <c r="AW3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6" spans="1:49" ht="15.75" thickBot="1" x14ac:dyDescent="0.3">
      <c r="A36" s="114" t="s">
        <v>247</v>
      </c>
      <c r="B36" t="str">
        <f>VLOOKUP(A36,Tabla46782[ID CAE],1,FALSE)</f>
        <v>CAE500030</v>
      </c>
      <c r="C36" s="25" t="s">
        <v>248</v>
      </c>
      <c r="D36" s="103" t="s">
        <v>72</v>
      </c>
      <c r="E36" s="103"/>
      <c r="F36" s="103"/>
      <c r="G36" s="103"/>
      <c r="H36" s="103" t="s">
        <v>249</v>
      </c>
      <c r="I36" s="103" t="s">
        <v>249</v>
      </c>
      <c r="J36" s="103"/>
      <c r="K36" s="14" t="s">
        <v>73</v>
      </c>
      <c r="L36" s="14" t="s">
        <v>200</v>
      </c>
      <c r="M36" s="14" t="s">
        <v>201</v>
      </c>
      <c r="N36" s="23" t="s">
        <v>160</v>
      </c>
      <c r="O36" s="1">
        <f>VLOOKUP(Tabla1[[#This Row],[Matricula]],BAJA2022202320242025!$B$3:$CR$245,93,FALSE)</f>
        <v>44133</v>
      </c>
      <c r="P36" s="30">
        <v>45594</v>
      </c>
      <c r="Q36" s="162">
        <f>Tabla1[[#This Row],[F.Vig.Final]]-Tabla1[[#This Row],[f Vig Inicio]]</f>
        <v>1461</v>
      </c>
      <c r="R36" s="141">
        <f>YEAR(Tabla1[[#This Row],[F.Vig.Final]])</f>
        <v>2024</v>
      </c>
      <c r="S36" s="25" t="s">
        <v>161</v>
      </c>
      <c r="T36" s="14" t="s">
        <v>78</v>
      </c>
      <c r="U36" s="14" t="s">
        <v>213</v>
      </c>
      <c r="V36" s="14" t="s">
        <v>237</v>
      </c>
      <c r="W36" s="14" t="s">
        <v>119</v>
      </c>
      <c r="X36" s="14" t="s">
        <v>120</v>
      </c>
      <c r="Y36" s="14" t="s">
        <v>250</v>
      </c>
      <c r="Z36" s="16">
        <f>COUNTIF($X$3:X36, X36)</f>
        <v>5</v>
      </c>
      <c r="AA36" s="16" t="s">
        <v>251</v>
      </c>
      <c r="AB36" s="16" t="s">
        <v>140</v>
      </c>
      <c r="AC36" s="16" t="s">
        <v>151</v>
      </c>
      <c r="AD36" s="16" t="s">
        <v>87</v>
      </c>
      <c r="AE36" s="60" t="s">
        <v>252</v>
      </c>
      <c r="AF36" s="30" t="s">
        <v>89</v>
      </c>
      <c r="AG36" s="27">
        <v>45625</v>
      </c>
      <c r="AH36" s="137">
        <f>Tabla1[[#This Row],[Renov. Flota]]-Tabla1[[#This Row],[Año]]</f>
        <v>0</v>
      </c>
      <c r="AI36" s="18" t="s">
        <v>119</v>
      </c>
      <c r="AJ36" s="107" t="str">
        <f>VLOOKUP(Tabla1[[#This Row],[Matricula nueva]],'ALTA 20242025'!$B$2:$P$242,15,FALSE)</f>
        <v>4500424793</v>
      </c>
      <c r="AK36" s="60" t="s">
        <v>120</v>
      </c>
      <c r="AM36" s="1" t="s">
        <v>72</v>
      </c>
      <c r="AN36" s="1" t="s">
        <v>91</v>
      </c>
      <c r="AO36" s="1" t="str">
        <f>VLOOKUP(Tabla1[[#This Row],[Matricula nueva]],Hoja2!$A$1:$B$224,2,FALSE)</f>
        <v>VR7CBZYA7RT152178</v>
      </c>
      <c r="AP36" s="80">
        <f>IF(Tabla1[[#This Row],[Columna2]]="M1",5.1,"")</f>
        <v>5.0999999999999996</v>
      </c>
      <c r="AQ36" s="81">
        <f>IF(T36="DIESEL",10,IF(T36="GLP",7.16,9.19))</f>
        <v>10</v>
      </c>
      <c r="AR36" s="82">
        <v>16.399999999999999</v>
      </c>
      <c r="AS36" s="83">
        <f>IF(Tabla1[[#This Row],[Columna2]]="M1",13073,IF(Tabla1[[#This Row],[Columna2]]="N1",15815,IF(Tabla1[[#This Row],[Columna2]]="L3e",2831,53508)))</f>
        <v>13073</v>
      </c>
      <c r="AT36" s="83">
        <f>(Tabla1[[#This Row],[CVA]]*Tabla1[[#This Row],[F]]-Tabla1[[#This Row],[CVN]])/100*Tabla1[[#This Row],[L]]</f>
        <v>4523.2580000000007</v>
      </c>
      <c r="AU36" s="84" t="s">
        <v>70</v>
      </c>
      <c r="AV36" s="294">
        <f>VLOOKUP(B36,Tabla467824[[ID CAE2]:[AE '[kWh']]],6,FALSE)</f>
        <v>6795.3454000000002</v>
      </c>
      <c r="AW3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7" spans="1:49" ht="15.75" hidden="1" thickBot="1" x14ac:dyDescent="0.3">
      <c r="A37" t="s">
        <v>1172</v>
      </c>
      <c r="B37" t="e">
        <f>VLOOKUP(A37,Tabla46782[ID CAE],1,FALSE)</f>
        <v>#N/A</v>
      </c>
      <c r="C37" s="14" t="s">
        <v>1173</v>
      </c>
      <c r="D37" s="14"/>
      <c r="E37" s="14"/>
      <c r="F37" s="14"/>
      <c r="G37" s="14"/>
      <c r="H37" s="14"/>
      <c r="I37" s="14"/>
      <c r="J37" s="14"/>
      <c r="K37" s="14" t="s">
        <v>158</v>
      </c>
      <c r="L37" s="14" t="s">
        <v>159</v>
      </c>
      <c r="M37" s="14" t="s">
        <v>158</v>
      </c>
      <c r="N37" s="14" t="s">
        <v>171</v>
      </c>
      <c r="O37" s="95">
        <f>VLOOKUP(Tabla1[[#This Row],[Matricula]],BAJA2022202320242025!$B$3:$CR$245,93,FALSE)</f>
        <v>43994</v>
      </c>
      <c r="P37" s="21">
        <v>45245</v>
      </c>
      <c r="Q37" s="93">
        <f>Tabla1[[#This Row],[F.Vig.Final]]-Tabla1[[#This Row],[f Vig Inicio]]</f>
        <v>1251</v>
      </c>
      <c r="R37" s="21">
        <f>YEAR(Tabla1[[#This Row],[F.Vig.Final]])</f>
        <v>2023</v>
      </c>
      <c r="S37" s="14" t="s">
        <v>172</v>
      </c>
      <c r="T37" s="14" t="s">
        <v>78</v>
      </c>
      <c r="U37" s="14" t="s">
        <v>85</v>
      </c>
      <c r="V37" s="14" t="s">
        <v>1174</v>
      </c>
      <c r="W37" s="14" t="s">
        <v>1139</v>
      </c>
      <c r="X37" s="14" t="s">
        <v>1140</v>
      </c>
      <c r="Y37" s="14" t="s">
        <v>312</v>
      </c>
      <c r="Z37" s="16">
        <f>COUNTIF($X$3:X37, X37)</f>
        <v>11</v>
      </c>
      <c r="AA37" s="16" t="e">
        <v>#N/A</v>
      </c>
      <c r="AB37" s="16" t="e">
        <v>#N/A</v>
      </c>
      <c r="AC37" s="16" t="e">
        <v>#N/A</v>
      </c>
      <c r="AD37" s="16" t="e">
        <v>#N/A</v>
      </c>
      <c r="AE37" s="16" t="e">
        <v>#N/A</v>
      </c>
      <c r="AF37" s="21" t="e">
        <v>#N/A</v>
      </c>
      <c r="AG37" s="17" t="e">
        <v>#N/A</v>
      </c>
      <c r="AH37" s="17" t="e">
        <f>Tabla1[[#This Row],[Renov. Flota]]-Tabla1[[#This Row],[Año]]</f>
        <v>#N/A</v>
      </c>
      <c r="AI37" s="18" t="e">
        <v>#N/A</v>
      </c>
      <c r="AJ37" s="18" t="e">
        <f>VLOOKUP(Tabla1[[#This Row],[Matricula nueva]],'ALTA 20242025'!$B$2:$P$242,15,FALSE)</f>
        <v>#N/A</v>
      </c>
      <c r="AK37" s="19" t="e">
        <v>#N/A</v>
      </c>
      <c r="AN37" s="1"/>
      <c r="AO37" s="1" t="e">
        <f>VLOOKUP(Tabla1[[#This Row],[Matricula nueva]],Hoja2!$A$1:$B$224,2,FALSE)</f>
        <v>#N/A</v>
      </c>
      <c r="AP37" s="1" t="str">
        <f>IF(Tabla1[[#This Row],[Columna2]]="M1",5.1,"")</f>
        <v/>
      </c>
      <c r="AQ37" s="1"/>
      <c r="AR37" s="1"/>
      <c r="AS37" s="47">
        <f>IF(Tabla1[[#This Row],[Columna2]]="M1",13073,IF(Tabla1[[#This Row],[Columna2]]="N1",15815,IF(Tabla1[[#This Row],[Columna2]]="L3e",2831,53508)))</f>
        <v>53508</v>
      </c>
      <c r="AT37" s="47" t="e">
        <f>(Tabla1[[#This Row],[CVA]]*Tabla1[[#This Row],[F]]-Tabla1[[#This Row],[CVN]])/100*Tabla1[[#This Row],[L]]</f>
        <v>#VALUE!</v>
      </c>
      <c r="AU37" s="1"/>
      <c r="AV37" s="1" t="e">
        <f>VLOOKUP(B37,Tabla467824[[ID CAE2]:[AE '[kWh']]],6,FALSE)</f>
        <v>#N/A</v>
      </c>
      <c r="AW3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8" spans="1:49" ht="15.75" hidden="1" thickBot="1" x14ac:dyDescent="0.3">
      <c r="A38" t="s">
        <v>1175</v>
      </c>
      <c r="B38" t="e">
        <f>VLOOKUP(A38,Tabla46782[ID CAE],1,FALSE)</f>
        <v>#N/A</v>
      </c>
      <c r="C38" s="14" t="s">
        <v>1176</v>
      </c>
      <c r="D38" s="14"/>
      <c r="E38" s="14"/>
      <c r="F38" s="14"/>
      <c r="G38" s="14"/>
      <c r="H38" s="14"/>
      <c r="I38" s="14"/>
      <c r="J38" s="14"/>
      <c r="K38" s="14" t="s">
        <v>158</v>
      </c>
      <c r="L38" s="14" t="s">
        <v>159</v>
      </c>
      <c r="M38" s="14" t="s">
        <v>158</v>
      </c>
      <c r="N38" s="14" t="s">
        <v>171</v>
      </c>
      <c r="O38" s="19">
        <f>VLOOKUP(Tabla1[[#This Row],[Matricula]],BAJA2022202320242025!$B$3:$CR$245,93,FALSE)</f>
        <v>42830</v>
      </c>
      <c r="P38" s="17">
        <v>45245</v>
      </c>
      <c r="Q38" s="16">
        <f>Tabla1[[#This Row],[F.Vig.Final]]-Tabla1[[#This Row],[f Vig Inicio]]</f>
        <v>2415</v>
      </c>
      <c r="R38" s="17">
        <f>YEAR(Tabla1[[#This Row],[F.Vig.Final]])</f>
        <v>2023</v>
      </c>
      <c r="S38" s="14" t="s">
        <v>172</v>
      </c>
      <c r="T38" s="14" t="s">
        <v>78</v>
      </c>
      <c r="U38" s="14" t="s">
        <v>1177</v>
      </c>
      <c r="V38" s="14" t="s">
        <v>1178</v>
      </c>
      <c r="W38" s="14" t="s">
        <v>1139</v>
      </c>
      <c r="X38" s="14" t="s">
        <v>1140</v>
      </c>
      <c r="Y38" s="14" t="s">
        <v>312</v>
      </c>
      <c r="Z38" s="16">
        <f>COUNTIF($X$3:X38, X38)</f>
        <v>12</v>
      </c>
      <c r="AA38" s="16" t="e">
        <v>#N/A</v>
      </c>
      <c r="AB38" s="16" t="e">
        <v>#N/A</v>
      </c>
      <c r="AC38" s="16" t="e">
        <v>#N/A</v>
      </c>
      <c r="AD38" s="16" t="e">
        <v>#N/A</v>
      </c>
      <c r="AE38" s="16" t="e">
        <v>#N/A</v>
      </c>
      <c r="AF38" s="17" t="e">
        <v>#N/A</v>
      </c>
      <c r="AG38" s="17" t="e">
        <v>#N/A</v>
      </c>
      <c r="AH38" s="17" t="e">
        <f>Tabla1[[#This Row],[Renov. Flota]]-Tabla1[[#This Row],[Año]]</f>
        <v>#N/A</v>
      </c>
      <c r="AI38" s="18" t="e">
        <v>#N/A</v>
      </c>
      <c r="AJ38" s="18" t="e">
        <f>VLOOKUP(Tabla1[[#This Row],[Matricula nueva]],'ALTA 20242025'!$B$2:$P$242,15,FALSE)</f>
        <v>#N/A</v>
      </c>
      <c r="AK38" s="19" t="e">
        <v>#N/A</v>
      </c>
      <c r="AN38" s="1"/>
      <c r="AO38" s="1" t="e">
        <f>VLOOKUP(Tabla1[[#This Row],[Matricula nueva]],Hoja2!$A$1:$B$224,2,FALSE)</f>
        <v>#N/A</v>
      </c>
      <c r="AP38" s="1" t="str">
        <f>IF(Tabla1[[#This Row],[Columna2]]="M1",5.1,"")</f>
        <v/>
      </c>
      <c r="AQ38" s="1"/>
      <c r="AR38" s="1"/>
      <c r="AS38" s="47">
        <f>IF(Tabla1[[#This Row],[Columna2]]="M1",13073,IF(Tabla1[[#This Row],[Columna2]]="N1",15815,IF(Tabla1[[#This Row],[Columna2]]="L3e",2831,53508)))</f>
        <v>53508</v>
      </c>
      <c r="AT38" s="47" t="e">
        <f>(Tabla1[[#This Row],[CVA]]*Tabla1[[#This Row],[F]]-Tabla1[[#This Row],[CVN]])/100*Tabla1[[#This Row],[L]]</f>
        <v>#VALUE!</v>
      </c>
      <c r="AU38" s="1"/>
      <c r="AV38" s="1" t="e">
        <f>VLOOKUP(B38,Tabla467824[[ID CAE2]:[AE '[kWh']]],6,FALSE)</f>
        <v>#N/A</v>
      </c>
      <c r="AW3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9" spans="1:49" ht="15.75" hidden="1" thickBot="1" x14ac:dyDescent="0.3">
      <c r="A39" t="s">
        <v>1179</v>
      </c>
      <c r="B39" t="e">
        <f>VLOOKUP(A39,Tabla46782[ID CAE],1,FALSE)</f>
        <v>#N/A</v>
      </c>
      <c r="C39" s="14" t="s">
        <v>1180</v>
      </c>
      <c r="D39" s="14"/>
      <c r="E39" s="14"/>
      <c r="F39" s="14"/>
      <c r="G39" s="14"/>
      <c r="H39" s="14"/>
      <c r="I39" s="14"/>
      <c r="J39" s="14"/>
      <c r="K39" s="14" t="s">
        <v>158</v>
      </c>
      <c r="L39" s="14" t="s">
        <v>159</v>
      </c>
      <c r="M39" s="14" t="s">
        <v>158</v>
      </c>
      <c r="N39" s="14" t="s">
        <v>171</v>
      </c>
      <c r="O39" s="19">
        <f>VLOOKUP(Tabla1[[#This Row],[Matricula]],BAJA2022202320242025!$B$3:$CR$245,93,FALSE)</f>
        <v>43304</v>
      </c>
      <c r="P39" s="17">
        <v>45245</v>
      </c>
      <c r="Q39" s="16">
        <f>Tabla1[[#This Row],[F.Vig.Final]]-Tabla1[[#This Row],[f Vig Inicio]]</f>
        <v>1941</v>
      </c>
      <c r="R39" s="17">
        <f>YEAR(Tabla1[[#This Row],[F.Vig.Final]])</f>
        <v>2023</v>
      </c>
      <c r="S39" s="14" t="s">
        <v>172</v>
      </c>
      <c r="T39" s="14" t="s">
        <v>78</v>
      </c>
      <c r="U39" s="14" t="s">
        <v>1181</v>
      </c>
      <c r="V39" s="14" t="s">
        <v>1182</v>
      </c>
      <c r="W39" s="14" t="s">
        <v>1139</v>
      </c>
      <c r="X39" s="14" t="s">
        <v>1140</v>
      </c>
      <c r="Y39" s="14" t="s">
        <v>312</v>
      </c>
      <c r="Z39" s="16">
        <f>COUNTIF($X$3:X39, X39)</f>
        <v>13</v>
      </c>
      <c r="AA39" s="16" t="e">
        <v>#N/A</v>
      </c>
      <c r="AB39" s="16" t="e">
        <v>#N/A</v>
      </c>
      <c r="AC39" s="16" t="e">
        <v>#N/A</v>
      </c>
      <c r="AD39" s="16" t="e">
        <v>#N/A</v>
      </c>
      <c r="AE39" s="16" t="e">
        <v>#N/A</v>
      </c>
      <c r="AF39" s="17" t="e">
        <v>#N/A</v>
      </c>
      <c r="AG39" s="17" t="e">
        <v>#N/A</v>
      </c>
      <c r="AH39" s="17" t="e">
        <f>Tabla1[[#This Row],[Renov. Flota]]-Tabla1[[#This Row],[Año]]</f>
        <v>#N/A</v>
      </c>
      <c r="AI39" s="18" t="e">
        <v>#N/A</v>
      </c>
      <c r="AJ39" s="18" t="e">
        <f>VLOOKUP(Tabla1[[#This Row],[Matricula nueva]],'ALTA 20242025'!$B$2:$P$242,15,FALSE)</f>
        <v>#N/A</v>
      </c>
      <c r="AK39" s="19" t="e">
        <v>#N/A</v>
      </c>
      <c r="AN39" s="1"/>
      <c r="AO39" s="1" t="e">
        <f>VLOOKUP(Tabla1[[#This Row],[Matricula nueva]],Hoja2!$A$1:$B$224,2,FALSE)</f>
        <v>#N/A</v>
      </c>
      <c r="AP39" s="1" t="str">
        <f>IF(Tabla1[[#This Row],[Columna2]]="M1",5.1,"")</f>
        <v/>
      </c>
      <c r="AQ39" s="1"/>
      <c r="AR39" s="1"/>
      <c r="AS39" s="47">
        <f>IF(Tabla1[[#This Row],[Columna2]]="M1",13073,IF(Tabla1[[#This Row],[Columna2]]="N1",15815,IF(Tabla1[[#This Row],[Columna2]]="L3e",2831,53508)))</f>
        <v>53508</v>
      </c>
      <c r="AT39" s="47" t="e">
        <f>(Tabla1[[#This Row],[CVA]]*Tabla1[[#This Row],[F]]-Tabla1[[#This Row],[CVN]])/100*Tabla1[[#This Row],[L]]</f>
        <v>#VALUE!</v>
      </c>
      <c r="AU39" s="1"/>
      <c r="AV39" s="1" t="e">
        <f>VLOOKUP(B39,Tabla467824[[ID CAE2]:[AE '[kWh']]],6,FALSE)</f>
        <v>#N/A</v>
      </c>
      <c r="AW3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0" spans="1:49" ht="15.75" hidden="1" thickBot="1" x14ac:dyDescent="0.3">
      <c r="A40" t="s">
        <v>1183</v>
      </c>
      <c r="B40" t="e">
        <f>VLOOKUP(A40,Tabla46782[ID CAE],1,FALSE)</f>
        <v>#N/A</v>
      </c>
      <c r="C40" s="14" t="s">
        <v>1184</v>
      </c>
      <c r="D40" s="14"/>
      <c r="E40" s="14"/>
      <c r="F40" s="14"/>
      <c r="G40" s="14"/>
      <c r="H40" s="14"/>
      <c r="I40" s="14"/>
      <c r="J40" s="14"/>
      <c r="K40" s="14" t="s">
        <v>158</v>
      </c>
      <c r="L40" s="14" t="s">
        <v>159</v>
      </c>
      <c r="M40" s="14" t="s">
        <v>158</v>
      </c>
      <c r="N40" s="14" t="s">
        <v>171</v>
      </c>
      <c r="O40" s="19">
        <f>VLOOKUP(Tabla1[[#This Row],[Matricula]],BAJA2022202320242025!$B$3:$CR$245,93,FALSE)</f>
        <v>38134</v>
      </c>
      <c r="P40" s="17">
        <v>45245</v>
      </c>
      <c r="Q40" s="16">
        <f>Tabla1[[#This Row],[F.Vig.Final]]-Tabla1[[#This Row],[f Vig Inicio]]</f>
        <v>7111</v>
      </c>
      <c r="R40" s="17">
        <f>YEAR(Tabla1[[#This Row],[F.Vig.Final]])</f>
        <v>2023</v>
      </c>
      <c r="S40" s="14" t="s">
        <v>172</v>
      </c>
      <c r="T40" s="14" t="s">
        <v>78</v>
      </c>
      <c r="U40" s="14" t="s">
        <v>1185</v>
      </c>
      <c r="V40" s="14" t="s">
        <v>1186</v>
      </c>
      <c r="W40" s="14" t="s">
        <v>1139</v>
      </c>
      <c r="X40" s="14" t="s">
        <v>1140</v>
      </c>
      <c r="Y40" s="14" t="s">
        <v>312</v>
      </c>
      <c r="Z40" s="16">
        <f>COUNTIF($X$3:X40, X40)</f>
        <v>14</v>
      </c>
      <c r="AA40" s="16" t="e">
        <v>#N/A</v>
      </c>
      <c r="AB40" s="16" t="e">
        <v>#N/A</v>
      </c>
      <c r="AC40" s="16" t="e">
        <v>#N/A</v>
      </c>
      <c r="AD40" s="16" t="e">
        <v>#N/A</v>
      </c>
      <c r="AE40" s="16" t="e">
        <v>#N/A</v>
      </c>
      <c r="AF40" s="17" t="e">
        <v>#N/A</v>
      </c>
      <c r="AG40" s="17" t="e">
        <v>#N/A</v>
      </c>
      <c r="AH40" s="17" t="e">
        <f>Tabla1[[#This Row],[Renov. Flota]]-Tabla1[[#This Row],[Año]]</f>
        <v>#N/A</v>
      </c>
      <c r="AI40" s="18" t="e">
        <v>#N/A</v>
      </c>
      <c r="AJ40" s="18" t="e">
        <f>VLOOKUP(Tabla1[[#This Row],[Matricula nueva]],'ALTA 20242025'!$B$2:$P$242,15,FALSE)</f>
        <v>#N/A</v>
      </c>
      <c r="AK40" s="19" t="e">
        <v>#N/A</v>
      </c>
      <c r="AN40" s="1"/>
      <c r="AO40" s="1" t="e">
        <f>VLOOKUP(Tabla1[[#This Row],[Matricula nueva]],Hoja2!$A$1:$B$224,2,FALSE)</f>
        <v>#N/A</v>
      </c>
      <c r="AP40" s="1" t="str">
        <f>IF(Tabla1[[#This Row],[Columna2]]="M1",5.1,"")</f>
        <v/>
      </c>
      <c r="AQ40" s="1"/>
      <c r="AR40" s="1"/>
      <c r="AS40" s="47">
        <f>IF(Tabla1[[#This Row],[Columna2]]="M1",13073,IF(Tabla1[[#This Row],[Columna2]]="N1",15815,IF(Tabla1[[#This Row],[Columna2]]="L3e",2831,53508)))</f>
        <v>53508</v>
      </c>
      <c r="AT40" s="47" t="e">
        <f>(Tabla1[[#This Row],[CVA]]*Tabla1[[#This Row],[F]]-Tabla1[[#This Row],[CVN]])/100*Tabla1[[#This Row],[L]]</f>
        <v>#VALUE!</v>
      </c>
      <c r="AU40" s="1"/>
      <c r="AV40" s="1" t="e">
        <f>VLOOKUP(B40,Tabla467824[[ID CAE2]:[AE '[kWh']]],6,FALSE)</f>
        <v>#N/A</v>
      </c>
      <c r="AW4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1" spans="1:49" ht="15.75" hidden="1" thickBot="1" x14ac:dyDescent="0.3">
      <c r="A41" t="s">
        <v>1187</v>
      </c>
      <c r="B41" t="e">
        <f>VLOOKUP(A41,Tabla46782[ID CAE],1,FALSE)</f>
        <v>#N/A</v>
      </c>
      <c r="C41" s="14" t="s">
        <v>1188</v>
      </c>
      <c r="D41" s="14"/>
      <c r="E41" s="14"/>
      <c r="F41" s="14"/>
      <c r="G41" s="14"/>
      <c r="H41" s="14"/>
      <c r="I41" s="14"/>
      <c r="J41" s="14"/>
      <c r="K41" s="14" t="s">
        <v>158</v>
      </c>
      <c r="L41" s="14" t="s">
        <v>159</v>
      </c>
      <c r="M41" s="14" t="s">
        <v>158</v>
      </c>
      <c r="N41" s="14" t="s">
        <v>171</v>
      </c>
      <c r="O41" s="19">
        <f>VLOOKUP(Tabla1[[#This Row],[Matricula]],BAJA2022202320242025!$B$3:$CR$245,93,FALSE)</f>
        <v>44064</v>
      </c>
      <c r="P41" s="17">
        <v>45245</v>
      </c>
      <c r="Q41" s="16">
        <f>Tabla1[[#This Row],[F.Vig.Final]]-Tabla1[[#This Row],[f Vig Inicio]]</f>
        <v>1181</v>
      </c>
      <c r="R41" s="17">
        <f>YEAR(Tabla1[[#This Row],[F.Vig.Final]])</f>
        <v>2023</v>
      </c>
      <c r="S41" s="14" t="s">
        <v>172</v>
      </c>
      <c r="T41" s="14" t="s">
        <v>78</v>
      </c>
      <c r="U41" s="14" t="s">
        <v>1189</v>
      </c>
      <c r="V41" s="14" t="s">
        <v>1190</v>
      </c>
      <c r="W41" s="14" t="s">
        <v>1139</v>
      </c>
      <c r="X41" s="14" t="s">
        <v>1140</v>
      </c>
      <c r="Y41" s="14" t="s">
        <v>312</v>
      </c>
      <c r="Z41" s="16">
        <f>COUNTIF($X$3:X41, X41)</f>
        <v>15</v>
      </c>
      <c r="AA41" s="16" t="e">
        <v>#N/A</v>
      </c>
      <c r="AB41" s="16" t="e">
        <v>#N/A</v>
      </c>
      <c r="AC41" s="16" t="e">
        <v>#N/A</v>
      </c>
      <c r="AD41" s="16" t="e">
        <v>#N/A</v>
      </c>
      <c r="AE41" s="16" t="e">
        <v>#N/A</v>
      </c>
      <c r="AF41" s="17" t="e">
        <v>#N/A</v>
      </c>
      <c r="AG41" s="17" t="e">
        <v>#N/A</v>
      </c>
      <c r="AH41" s="17" t="e">
        <f>Tabla1[[#This Row],[Renov. Flota]]-Tabla1[[#This Row],[Año]]</f>
        <v>#N/A</v>
      </c>
      <c r="AI41" s="18" t="e">
        <v>#N/A</v>
      </c>
      <c r="AJ41" s="18" t="e">
        <f>VLOOKUP(Tabla1[[#This Row],[Matricula nueva]],'ALTA 20242025'!$B$2:$P$242,15,FALSE)</f>
        <v>#N/A</v>
      </c>
      <c r="AK41" s="19" t="e">
        <v>#N/A</v>
      </c>
      <c r="AN41" s="1"/>
      <c r="AO41" s="1" t="e">
        <f>VLOOKUP(Tabla1[[#This Row],[Matricula nueva]],Hoja2!$A$1:$B$224,2,FALSE)</f>
        <v>#N/A</v>
      </c>
      <c r="AP41" s="1" t="str">
        <f>IF(Tabla1[[#This Row],[Columna2]]="M1",5.1,"")</f>
        <v/>
      </c>
      <c r="AQ41" s="1"/>
      <c r="AR41" s="1"/>
      <c r="AS41" s="47">
        <f>IF(Tabla1[[#This Row],[Columna2]]="M1",13073,IF(Tabla1[[#This Row],[Columna2]]="N1",15815,IF(Tabla1[[#This Row],[Columna2]]="L3e",2831,53508)))</f>
        <v>53508</v>
      </c>
      <c r="AT41" s="47" t="e">
        <f>(Tabla1[[#This Row],[CVA]]*Tabla1[[#This Row],[F]]-Tabla1[[#This Row],[CVN]])/100*Tabla1[[#This Row],[L]]</f>
        <v>#VALUE!</v>
      </c>
      <c r="AU41" s="1"/>
      <c r="AV41" s="1" t="e">
        <f>VLOOKUP(B41,Tabla467824[[ID CAE2]:[AE '[kWh']]],6,FALSE)</f>
        <v>#N/A</v>
      </c>
      <c r="AW4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2" spans="1:49" ht="15.75" hidden="1" thickBot="1" x14ac:dyDescent="0.3">
      <c r="A42" t="s">
        <v>1191</v>
      </c>
      <c r="B42" t="e">
        <f>VLOOKUP(A42,Tabla46782[ID CAE],1,FALSE)</f>
        <v>#N/A</v>
      </c>
      <c r="C42" s="14" t="s">
        <v>1192</v>
      </c>
      <c r="D42" s="14"/>
      <c r="E42" s="14"/>
      <c r="F42" s="14"/>
      <c r="G42" s="14"/>
      <c r="H42" s="14"/>
      <c r="I42" s="14"/>
      <c r="J42" s="14"/>
      <c r="K42" s="14" t="s">
        <v>158</v>
      </c>
      <c r="L42" s="14" t="s">
        <v>159</v>
      </c>
      <c r="M42" s="14" t="s">
        <v>158</v>
      </c>
      <c r="N42" s="14" t="s">
        <v>171</v>
      </c>
      <c r="O42" s="19">
        <f>VLOOKUP(Tabla1[[#This Row],[Matricula]],BAJA2022202320242025!$B$3:$CR$245,93,FALSE)</f>
        <v>44393</v>
      </c>
      <c r="P42" s="17">
        <v>45245</v>
      </c>
      <c r="Q42" s="16">
        <f>Tabla1[[#This Row],[F.Vig.Final]]-Tabla1[[#This Row],[f Vig Inicio]]</f>
        <v>852</v>
      </c>
      <c r="R42" s="17">
        <f>YEAR(Tabla1[[#This Row],[F.Vig.Final]])</f>
        <v>2023</v>
      </c>
      <c r="S42" s="14" t="s">
        <v>172</v>
      </c>
      <c r="T42" s="14" t="s">
        <v>78</v>
      </c>
      <c r="U42" s="14" t="s">
        <v>1193</v>
      </c>
      <c r="V42" s="14" t="s">
        <v>1194</v>
      </c>
      <c r="W42" s="14" t="s">
        <v>1139</v>
      </c>
      <c r="X42" s="14" t="s">
        <v>1140</v>
      </c>
      <c r="Y42" s="14" t="s">
        <v>312</v>
      </c>
      <c r="Z42" s="16">
        <f>COUNTIF($X$3:X42, X42)</f>
        <v>16</v>
      </c>
      <c r="AA42" s="16" t="e">
        <v>#N/A</v>
      </c>
      <c r="AB42" s="16" t="e">
        <v>#N/A</v>
      </c>
      <c r="AC42" s="16" t="e">
        <v>#N/A</v>
      </c>
      <c r="AD42" s="16" t="e">
        <v>#N/A</v>
      </c>
      <c r="AE42" s="16" t="e">
        <v>#N/A</v>
      </c>
      <c r="AF42" s="17" t="e">
        <v>#N/A</v>
      </c>
      <c r="AG42" s="17" t="e">
        <v>#N/A</v>
      </c>
      <c r="AH42" s="17" t="e">
        <f>Tabla1[[#This Row],[Renov. Flota]]-Tabla1[[#This Row],[Año]]</f>
        <v>#N/A</v>
      </c>
      <c r="AI42" s="18" t="e">
        <v>#N/A</v>
      </c>
      <c r="AJ42" s="18" t="e">
        <f>VLOOKUP(Tabla1[[#This Row],[Matricula nueva]],'ALTA 20242025'!$B$2:$P$242,15,FALSE)</f>
        <v>#N/A</v>
      </c>
      <c r="AK42" s="19" t="e">
        <v>#N/A</v>
      </c>
      <c r="AN42" s="1"/>
      <c r="AO42" s="1" t="e">
        <f>VLOOKUP(Tabla1[[#This Row],[Matricula nueva]],Hoja2!$A$1:$B$224,2,FALSE)</f>
        <v>#N/A</v>
      </c>
      <c r="AP42" s="1" t="str">
        <f>IF(Tabla1[[#This Row],[Columna2]]="M1",5.1,"")</f>
        <v/>
      </c>
      <c r="AQ42" s="1"/>
      <c r="AR42" s="1"/>
      <c r="AS42" s="47">
        <f>IF(Tabla1[[#This Row],[Columna2]]="M1",13073,IF(Tabla1[[#This Row],[Columna2]]="N1",15815,IF(Tabla1[[#This Row],[Columna2]]="L3e",2831,53508)))</f>
        <v>53508</v>
      </c>
      <c r="AT42" s="47" t="e">
        <f>(Tabla1[[#This Row],[CVA]]*Tabla1[[#This Row],[F]]-Tabla1[[#This Row],[CVN]])/100*Tabla1[[#This Row],[L]]</f>
        <v>#VALUE!</v>
      </c>
      <c r="AU42" s="1"/>
      <c r="AV42" s="1" t="e">
        <f>VLOOKUP(B42,Tabla467824[[ID CAE2]:[AE '[kWh']]],6,FALSE)</f>
        <v>#N/A</v>
      </c>
      <c r="AW4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3" spans="1:49" ht="15.75" hidden="1" thickBot="1" x14ac:dyDescent="0.3">
      <c r="A43" t="s">
        <v>1195</v>
      </c>
      <c r="B43" t="e">
        <f>VLOOKUP(A43,Tabla46782[ID CAE],1,FALSE)</f>
        <v>#N/A</v>
      </c>
      <c r="C43" s="14" t="s">
        <v>1196</v>
      </c>
      <c r="D43" s="14"/>
      <c r="E43" s="14"/>
      <c r="F43" s="14"/>
      <c r="G43" s="14"/>
      <c r="H43" s="14"/>
      <c r="I43" s="14"/>
      <c r="J43" s="14"/>
      <c r="K43" s="14" t="s">
        <v>158</v>
      </c>
      <c r="L43" s="14" t="s">
        <v>159</v>
      </c>
      <c r="M43" s="14" t="s">
        <v>158</v>
      </c>
      <c r="N43" s="14" t="s">
        <v>171</v>
      </c>
      <c r="O43" s="19">
        <f>VLOOKUP(Tabla1[[#This Row],[Matricula]],BAJA2022202320242025!$B$3:$CR$245,93,FALSE)</f>
        <v>38721</v>
      </c>
      <c r="P43" s="17">
        <v>45245</v>
      </c>
      <c r="Q43" s="16">
        <f>Tabla1[[#This Row],[F.Vig.Final]]-Tabla1[[#This Row],[f Vig Inicio]]</f>
        <v>6524</v>
      </c>
      <c r="R43" s="17">
        <f>YEAR(Tabla1[[#This Row],[F.Vig.Final]])</f>
        <v>2023</v>
      </c>
      <c r="S43" s="14" t="s">
        <v>172</v>
      </c>
      <c r="T43" s="14" t="s">
        <v>78</v>
      </c>
      <c r="U43" s="14" t="s">
        <v>1193</v>
      </c>
      <c r="V43" s="14" t="s">
        <v>1197</v>
      </c>
      <c r="W43" s="14" t="s">
        <v>1139</v>
      </c>
      <c r="X43" s="14" t="s">
        <v>1140</v>
      </c>
      <c r="Y43" s="14" t="s">
        <v>312</v>
      </c>
      <c r="Z43" s="16">
        <f>COUNTIF($X$3:X43, X43)</f>
        <v>17</v>
      </c>
      <c r="AA43" s="16" t="e">
        <v>#N/A</v>
      </c>
      <c r="AB43" s="16" t="e">
        <v>#N/A</v>
      </c>
      <c r="AC43" s="16" t="e">
        <v>#N/A</v>
      </c>
      <c r="AD43" s="16" t="e">
        <v>#N/A</v>
      </c>
      <c r="AE43" s="16" t="e">
        <v>#N/A</v>
      </c>
      <c r="AF43" s="17" t="e">
        <v>#N/A</v>
      </c>
      <c r="AG43" s="17" t="e">
        <v>#N/A</v>
      </c>
      <c r="AH43" s="17" t="e">
        <f>Tabla1[[#This Row],[Renov. Flota]]-Tabla1[[#This Row],[Año]]</f>
        <v>#N/A</v>
      </c>
      <c r="AI43" s="18" t="e">
        <v>#N/A</v>
      </c>
      <c r="AJ43" s="18" t="e">
        <f>VLOOKUP(Tabla1[[#This Row],[Matricula nueva]],'ALTA 20242025'!$B$2:$P$242,15,FALSE)</f>
        <v>#N/A</v>
      </c>
      <c r="AK43" s="19" t="e">
        <v>#N/A</v>
      </c>
      <c r="AN43" s="1"/>
      <c r="AO43" s="1" t="e">
        <f>VLOOKUP(Tabla1[[#This Row],[Matricula nueva]],Hoja2!$A$1:$B$224,2,FALSE)</f>
        <v>#N/A</v>
      </c>
      <c r="AP43" s="1" t="str">
        <f>IF(Tabla1[[#This Row],[Columna2]]="M1",5.1,"")</f>
        <v/>
      </c>
      <c r="AQ43" s="1"/>
      <c r="AR43" s="1"/>
      <c r="AS43" s="47">
        <f>IF(Tabla1[[#This Row],[Columna2]]="M1",13073,IF(Tabla1[[#This Row],[Columna2]]="N1",15815,IF(Tabla1[[#This Row],[Columna2]]="L3e",2831,53508)))</f>
        <v>53508</v>
      </c>
      <c r="AT43" s="47" t="e">
        <f>(Tabla1[[#This Row],[CVA]]*Tabla1[[#This Row],[F]]-Tabla1[[#This Row],[CVN]])/100*Tabla1[[#This Row],[L]]</f>
        <v>#VALUE!</v>
      </c>
      <c r="AU43" s="1"/>
      <c r="AV43" s="1" t="e">
        <f>VLOOKUP(B43,Tabla467824[[ID CAE2]:[AE '[kWh']]],6,FALSE)</f>
        <v>#N/A</v>
      </c>
      <c r="AW4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4" spans="1:49" ht="15.75" hidden="1" thickBot="1" x14ac:dyDescent="0.3">
      <c r="A44" t="s">
        <v>1198</v>
      </c>
      <c r="B44" t="e">
        <f>VLOOKUP(A44,Tabla46782[ID CAE],1,FALSE)</f>
        <v>#N/A</v>
      </c>
      <c r="C44" s="14" t="s">
        <v>1199</v>
      </c>
      <c r="D44" s="14"/>
      <c r="E44" s="14"/>
      <c r="F44" s="14"/>
      <c r="G44" s="14"/>
      <c r="H44" s="14"/>
      <c r="I44" s="14"/>
      <c r="J44" s="14"/>
      <c r="K44" s="14" t="s">
        <v>158</v>
      </c>
      <c r="L44" s="14" t="s">
        <v>159</v>
      </c>
      <c r="M44" s="14" t="s">
        <v>158</v>
      </c>
      <c r="N44" s="14" t="s">
        <v>171</v>
      </c>
      <c r="O44" s="19">
        <f>VLOOKUP(Tabla1[[#This Row],[Matricula]],BAJA2022202320242025!$B$3:$CR$245,93,FALSE)</f>
        <v>36830</v>
      </c>
      <c r="P44" s="17">
        <v>45245</v>
      </c>
      <c r="Q44" s="16">
        <f>Tabla1[[#This Row],[F.Vig.Final]]-Tabla1[[#This Row],[f Vig Inicio]]</f>
        <v>8415</v>
      </c>
      <c r="R44" s="17">
        <f>YEAR(Tabla1[[#This Row],[F.Vig.Final]])</f>
        <v>2023</v>
      </c>
      <c r="S44" s="14" t="s">
        <v>172</v>
      </c>
      <c r="T44" s="14" t="s">
        <v>78</v>
      </c>
      <c r="U44" s="14" t="s">
        <v>1189</v>
      </c>
      <c r="V44" s="14" t="s">
        <v>1200</v>
      </c>
      <c r="W44" s="14" t="s">
        <v>1139</v>
      </c>
      <c r="X44" s="14" t="s">
        <v>1140</v>
      </c>
      <c r="Y44" s="14" t="s">
        <v>312</v>
      </c>
      <c r="Z44" s="16">
        <f>COUNTIF($X$3:X44, X44)</f>
        <v>18</v>
      </c>
      <c r="AA44" s="16" t="e">
        <v>#N/A</v>
      </c>
      <c r="AB44" s="16" t="e">
        <v>#N/A</v>
      </c>
      <c r="AC44" s="16" t="e">
        <v>#N/A</v>
      </c>
      <c r="AD44" s="16" t="e">
        <v>#N/A</v>
      </c>
      <c r="AE44" s="16" t="e">
        <v>#N/A</v>
      </c>
      <c r="AF44" s="17" t="e">
        <v>#N/A</v>
      </c>
      <c r="AG44" s="17" t="e">
        <v>#N/A</v>
      </c>
      <c r="AH44" s="17" t="e">
        <f>Tabla1[[#This Row],[Renov. Flota]]-Tabla1[[#This Row],[Año]]</f>
        <v>#N/A</v>
      </c>
      <c r="AI44" s="18" t="e">
        <v>#N/A</v>
      </c>
      <c r="AJ44" s="18" t="e">
        <f>VLOOKUP(Tabla1[[#This Row],[Matricula nueva]],'ALTA 20242025'!$B$2:$P$242,15,FALSE)</f>
        <v>#N/A</v>
      </c>
      <c r="AK44" s="19" t="e">
        <v>#N/A</v>
      </c>
      <c r="AN44" s="1"/>
      <c r="AO44" s="1" t="e">
        <f>VLOOKUP(Tabla1[[#This Row],[Matricula nueva]],Hoja2!$A$1:$B$224,2,FALSE)</f>
        <v>#N/A</v>
      </c>
      <c r="AP44" s="1" t="str">
        <f>IF(Tabla1[[#This Row],[Columna2]]="M1",5.1,"")</f>
        <v/>
      </c>
      <c r="AQ44" s="1"/>
      <c r="AR44" s="1"/>
      <c r="AS44" s="47">
        <f>IF(Tabla1[[#This Row],[Columna2]]="M1",13073,IF(Tabla1[[#This Row],[Columna2]]="N1",15815,IF(Tabla1[[#This Row],[Columna2]]="L3e",2831,53508)))</f>
        <v>53508</v>
      </c>
      <c r="AT44" s="47" t="e">
        <f>(Tabla1[[#This Row],[CVA]]*Tabla1[[#This Row],[F]]-Tabla1[[#This Row],[CVN]])/100*Tabla1[[#This Row],[L]]</f>
        <v>#VALUE!</v>
      </c>
      <c r="AU44" s="1"/>
      <c r="AV44" s="1" t="e">
        <f>VLOOKUP(B44,Tabla467824[[ID CAE2]:[AE '[kWh']]],6,FALSE)</f>
        <v>#N/A</v>
      </c>
      <c r="AW4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5" spans="1:49" ht="15.75" hidden="1" thickBot="1" x14ac:dyDescent="0.3">
      <c r="A45" t="s">
        <v>1201</v>
      </c>
      <c r="B45" t="e">
        <f>VLOOKUP(A45,Tabla46782[ID CAE],1,FALSE)</f>
        <v>#N/A</v>
      </c>
      <c r="C45" s="14" t="s">
        <v>1202</v>
      </c>
      <c r="D45" s="14"/>
      <c r="E45" s="14"/>
      <c r="F45" s="14"/>
      <c r="G45" s="14"/>
      <c r="H45" s="14"/>
      <c r="I45" s="14"/>
      <c r="J45" s="14"/>
      <c r="K45" s="14" t="s">
        <v>158</v>
      </c>
      <c r="L45" s="14" t="s">
        <v>159</v>
      </c>
      <c r="M45" s="14" t="s">
        <v>158</v>
      </c>
      <c r="N45" s="14" t="s">
        <v>171</v>
      </c>
      <c r="O45" s="19">
        <f>VLOOKUP(Tabla1[[#This Row],[Matricula]],BAJA2022202320242025!$B$3:$CR$245,93,FALSE)</f>
        <v>32874</v>
      </c>
      <c r="P45" s="17">
        <v>45245</v>
      </c>
      <c r="Q45" s="16">
        <f>Tabla1[[#This Row],[F.Vig.Final]]-Tabla1[[#This Row],[f Vig Inicio]]</f>
        <v>12371</v>
      </c>
      <c r="R45" s="17">
        <f>YEAR(Tabla1[[#This Row],[F.Vig.Final]])</f>
        <v>2023</v>
      </c>
      <c r="S45" s="14" t="s">
        <v>172</v>
      </c>
      <c r="T45" s="14" t="s">
        <v>78</v>
      </c>
      <c r="U45" s="14" t="s">
        <v>1203</v>
      </c>
      <c r="V45" s="14" t="s">
        <v>1204</v>
      </c>
      <c r="W45" s="14" t="s">
        <v>1139</v>
      </c>
      <c r="X45" s="14" t="s">
        <v>1140</v>
      </c>
      <c r="Y45" s="14" t="s">
        <v>312</v>
      </c>
      <c r="Z45" s="16">
        <f>COUNTIF($X$3:X45, X45)</f>
        <v>19</v>
      </c>
      <c r="AA45" s="16" t="e">
        <v>#N/A</v>
      </c>
      <c r="AB45" s="16" t="e">
        <v>#N/A</v>
      </c>
      <c r="AC45" s="16" t="e">
        <v>#N/A</v>
      </c>
      <c r="AD45" s="16" t="e">
        <v>#N/A</v>
      </c>
      <c r="AE45" s="16" t="e">
        <v>#N/A</v>
      </c>
      <c r="AF45" s="17" t="e">
        <v>#N/A</v>
      </c>
      <c r="AG45" s="17" t="e">
        <v>#N/A</v>
      </c>
      <c r="AH45" s="17" t="e">
        <f>Tabla1[[#This Row],[Renov. Flota]]-Tabla1[[#This Row],[Año]]</f>
        <v>#N/A</v>
      </c>
      <c r="AI45" s="18" t="e">
        <v>#N/A</v>
      </c>
      <c r="AJ45" s="18" t="e">
        <f>VLOOKUP(Tabla1[[#This Row],[Matricula nueva]],'ALTA 20242025'!$B$2:$P$242,15,FALSE)</f>
        <v>#N/A</v>
      </c>
      <c r="AK45" s="19" t="e">
        <v>#N/A</v>
      </c>
      <c r="AN45" s="1"/>
      <c r="AO45" s="1" t="e">
        <f>VLOOKUP(Tabla1[[#This Row],[Matricula nueva]],Hoja2!$A$1:$B$224,2,FALSE)</f>
        <v>#N/A</v>
      </c>
      <c r="AP45" s="1" t="str">
        <f>IF(Tabla1[[#This Row],[Columna2]]="M1",5.1,"")</f>
        <v/>
      </c>
      <c r="AQ45" s="1"/>
      <c r="AR45" s="1"/>
      <c r="AS45" s="47">
        <f>IF(Tabla1[[#This Row],[Columna2]]="M1",13073,IF(Tabla1[[#This Row],[Columna2]]="N1",15815,IF(Tabla1[[#This Row],[Columna2]]="L3e",2831,53508)))</f>
        <v>53508</v>
      </c>
      <c r="AT45" s="47" t="e">
        <f>(Tabla1[[#This Row],[CVA]]*Tabla1[[#This Row],[F]]-Tabla1[[#This Row],[CVN]])/100*Tabla1[[#This Row],[L]]</f>
        <v>#VALUE!</v>
      </c>
      <c r="AU45" s="1"/>
      <c r="AV45" s="1" t="e">
        <f>VLOOKUP(B45,Tabla467824[[ID CAE2]:[AE '[kWh']]],6,FALSE)</f>
        <v>#N/A</v>
      </c>
      <c r="AW4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6" spans="1:49" ht="15.75" hidden="1" thickBot="1" x14ac:dyDescent="0.3">
      <c r="A46" t="s">
        <v>1205</v>
      </c>
      <c r="B46" t="e">
        <f>VLOOKUP(A46,Tabla46782[ID CAE],1,FALSE)</f>
        <v>#N/A</v>
      </c>
      <c r="C46" s="14" t="s">
        <v>1206</v>
      </c>
      <c r="D46" s="14"/>
      <c r="E46" s="14"/>
      <c r="F46" s="14"/>
      <c r="G46" s="14"/>
      <c r="H46" s="14"/>
      <c r="I46" s="14"/>
      <c r="J46" s="14"/>
      <c r="K46" s="14" t="s">
        <v>158</v>
      </c>
      <c r="L46" s="14" t="s">
        <v>159</v>
      </c>
      <c r="M46" s="14" t="s">
        <v>158</v>
      </c>
      <c r="N46" s="14" t="s">
        <v>171</v>
      </c>
      <c r="O46" s="19">
        <f>VLOOKUP(Tabla1[[#This Row],[Matricula]],BAJA2022202320242025!$B$3:$CR$245,93,FALSE)</f>
        <v>35720</v>
      </c>
      <c r="P46" s="17">
        <v>45245</v>
      </c>
      <c r="Q46" s="16">
        <f>Tabla1[[#This Row],[F.Vig.Final]]-Tabla1[[#This Row],[f Vig Inicio]]</f>
        <v>9525</v>
      </c>
      <c r="R46" s="17">
        <f>YEAR(Tabla1[[#This Row],[F.Vig.Final]])</f>
        <v>2023</v>
      </c>
      <c r="S46" s="14" t="s">
        <v>172</v>
      </c>
      <c r="T46" s="14" t="s">
        <v>78</v>
      </c>
      <c r="U46" s="14" t="s">
        <v>1189</v>
      </c>
      <c r="V46" s="14" t="s">
        <v>1207</v>
      </c>
      <c r="W46" s="14" t="s">
        <v>1139</v>
      </c>
      <c r="X46" s="14" t="s">
        <v>1140</v>
      </c>
      <c r="Y46" s="14" t="s">
        <v>312</v>
      </c>
      <c r="Z46" s="16">
        <f>COUNTIF($X$3:X46, X46)</f>
        <v>20</v>
      </c>
      <c r="AA46" s="16" t="e">
        <v>#N/A</v>
      </c>
      <c r="AB46" s="16" t="e">
        <v>#N/A</v>
      </c>
      <c r="AC46" s="16" t="e">
        <v>#N/A</v>
      </c>
      <c r="AD46" s="16" t="e">
        <v>#N/A</v>
      </c>
      <c r="AE46" s="16" t="e">
        <v>#N/A</v>
      </c>
      <c r="AF46" s="17" t="e">
        <v>#N/A</v>
      </c>
      <c r="AG46" s="17" t="e">
        <v>#N/A</v>
      </c>
      <c r="AH46" s="17" t="e">
        <f>Tabla1[[#This Row],[Renov. Flota]]-Tabla1[[#This Row],[Año]]</f>
        <v>#N/A</v>
      </c>
      <c r="AI46" s="18" t="e">
        <v>#N/A</v>
      </c>
      <c r="AJ46" s="18" t="e">
        <f>VLOOKUP(Tabla1[[#This Row],[Matricula nueva]],'ALTA 20242025'!$B$2:$P$242,15,FALSE)</f>
        <v>#N/A</v>
      </c>
      <c r="AK46" s="19" t="e">
        <v>#N/A</v>
      </c>
      <c r="AN46" s="1"/>
      <c r="AO46" s="1" t="e">
        <f>VLOOKUP(Tabla1[[#This Row],[Matricula nueva]],Hoja2!$A$1:$B$224,2,FALSE)</f>
        <v>#N/A</v>
      </c>
      <c r="AP46" s="1" t="str">
        <f>IF(Tabla1[[#This Row],[Columna2]]="M1",5.1,"")</f>
        <v/>
      </c>
      <c r="AQ46" s="1"/>
      <c r="AR46" s="1"/>
      <c r="AS46" s="47">
        <f>IF(Tabla1[[#This Row],[Columna2]]="M1",13073,IF(Tabla1[[#This Row],[Columna2]]="N1",15815,IF(Tabla1[[#This Row],[Columna2]]="L3e",2831,53508)))</f>
        <v>53508</v>
      </c>
      <c r="AT46" s="47" t="e">
        <f>(Tabla1[[#This Row],[CVA]]*Tabla1[[#This Row],[F]]-Tabla1[[#This Row],[CVN]])/100*Tabla1[[#This Row],[L]]</f>
        <v>#VALUE!</v>
      </c>
      <c r="AU46" s="1"/>
      <c r="AV46" s="1" t="e">
        <f>VLOOKUP(B46,Tabla467824[[ID CAE2]:[AE '[kWh']]],6,FALSE)</f>
        <v>#N/A</v>
      </c>
      <c r="AW4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7" spans="1:49" ht="15.75" hidden="1" thickBot="1" x14ac:dyDescent="0.3">
      <c r="A47" t="s">
        <v>1208</v>
      </c>
      <c r="B47" t="e">
        <f>VLOOKUP(A47,Tabla46782[ID CAE],1,FALSE)</f>
        <v>#N/A</v>
      </c>
      <c r="C47" s="14" t="s">
        <v>1209</v>
      </c>
      <c r="D47" s="14"/>
      <c r="E47" s="14"/>
      <c r="F47" s="14"/>
      <c r="G47" s="14"/>
      <c r="H47" s="14"/>
      <c r="I47" s="14"/>
      <c r="J47" s="14"/>
      <c r="K47" s="14" t="s">
        <v>158</v>
      </c>
      <c r="L47" s="14" t="s">
        <v>159</v>
      </c>
      <c r="M47" s="14" t="s">
        <v>158</v>
      </c>
      <c r="N47" s="14" t="s">
        <v>171</v>
      </c>
      <c r="O47" s="19">
        <f>VLOOKUP(Tabla1[[#This Row],[Matricula]],BAJA2022202320242025!$B$3:$CR$245,93,FALSE)</f>
        <v>36209</v>
      </c>
      <c r="P47" s="17">
        <v>45245</v>
      </c>
      <c r="Q47" s="16">
        <f>Tabla1[[#This Row],[F.Vig.Final]]-Tabla1[[#This Row],[f Vig Inicio]]</f>
        <v>9036</v>
      </c>
      <c r="R47" s="17">
        <f>YEAR(Tabla1[[#This Row],[F.Vig.Final]])</f>
        <v>2023</v>
      </c>
      <c r="S47" s="14" t="s">
        <v>172</v>
      </c>
      <c r="T47" s="14" t="s">
        <v>78</v>
      </c>
      <c r="U47" s="14" t="s">
        <v>1210</v>
      </c>
      <c r="V47" s="14" t="s">
        <v>1211</v>
      </c>
      <c r="W47" s="14" t="s">
        <v>1139</v>
      </c>
      <c r="X47" s="14" t="s">
        <v>1140</v>
      </c>
      <c r="Y47" s="14" t="s">
        <v>312</v>
      </c>
      <c r="Z47" s="16">
        <f>COUNTIF($X$3:X47, X47)</f>
        <v>21</v>
      </c>
      <c r="AA47" s="16" t="e">
        <v>#N/A</v>
      </c>
      <c r="AB47" s="16" t="e">
        <v>#N/A</v>
      </c>
      <c r="AC47" s="16" t="e">
        <v>#N/A</v>
      </c>
      <c r="AD47" s="16" t="e">
        <v>#N/A</v>
      </c>
      <c r="AE47" s="16" t="e">
        <v>#N/A</v>
      </c>
      <c r="AF47" s="17" t="e">
        <v>#N/A</v>
      </c>
      <c r="AG47" s="17" t="e">
        <v>#N/A</v>
      </c>
      <c r="AH47" s="17" t="e">
        <f>Tabla1[[#This Row],[Renov. Flota]]-Tabla1[[#This Row],[Año]]</f>
        <v>#N/A</v>
      </c>
      <c r="AI47" s="18" t="e">
        <v>#N/A</v>
      </c>
      <c r="AJ47" s="18" t="e">
        <f>VLOOKUP(Tabla1[[#This Row],[Matricula nueva]],'ALTA 20242025'!$B$2:$P$242,15,FALSE)</f>
        <v>#N/A</v>
      </c>
      <c r="AK47" s="19" t="e">
        <v>#N/A</v>
      </c>
      <c r="AN47" s="1"/>
      <c r="AO47" s="1" t="e">
        <f>VLOOKUP(Tabla1[[#This Row],[Matricula nueva]],Hoja2!$A$1:$B$224,2,FALSE)</f>
        <v>#N/A</v>
      </c>
      <c r="AP47" s="1" t="str">
        <f>IF(Tabla1[[#This Row],[Columna2]]="M1",5.1,"")</f>
        <v/>
      </c>
      <c r="AQ47" s="1"/>
      <c r="AR47" s="1"/>
      <c r="AS47" s="47">
        <f>IF(Tabla1[[#This Row],[Columna2]]="M1",13073,IF(Tabla1[[#This Row],[Columna2]]="N1",15815,IF(Tabla1[[#This Row],[Columna2]]="L3e",2831,53508)))</f>
        <v>53508</v>
      </c>
      <c r="AT47" s="47" t="e">
        <f>(Tabla1[[#This Row],[CVA]]*Tabla1[[#This Row],[F]]-Tabla1[[#This Row],[CVN]])/100*Tabla1[[#This Row],[L]]</f>
        <v>#VALUE!</v>
      </c>
      <c r="AU47" s="1"/>
      <c r="AV47" s="1" t="e">
        <f>VLOOKUP(B47,Tabla467824[[ID CAE2]:[AE '[kWh']]],6,FALSE)</f>
        <v>#N/A</v>
      </c>
      <c r="AW4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48" spans="1:49" ht="15.75" hidden="1" thickBot="1" x14ac:dyDescent="0.3">
      <c r="A48" t="s">
        <v>1212</v>
      </c>
      <c r="B48" t="e">
        <f>VLOOKUP(A48,Tabla46782[ID CAE],1,FALSE)</f>
        <v>#N/A</v>
      </c>
      <c r="C48" s="14" t="s">
        <v>1213</v>
      </c>
      <c r="D48" s="14"/>
      <c r="E48" s="14"/>
      <c r="F48" s="14"/>
      <c r="G48" s="14"/>
      <c r="H48" s="14"/>
      <c r="I48" s="14"/>
      <c r="J48" s="14"/>
      <c r="K48" s="14" t="s">
        <v>885</v>
      </c>
      <c r="L48" s="14" t="s">
        <v>161</v>
      </c>
      <c r="M48" s="14" t="s">
        <v>886</v>
      </c>
      <c r="N48" s="14" t="s">
        <v>171</v>
      </c>
      <c r="O48" s="19">
        <f>VLOOKUP(Tabla1[[#This Row],[Matricula]],BAJA2022202320242025!$B$3:$CR$245,93,FALSE)</f>
        <v>36891</v>
      </c>
      <c r="P48" s="17">
        <v>45247</v>
      </c>
      <c r="Q48" s="16">
        <f>Tabla1[[#This Row],[F.Vig.Final]]-Tabla1[[#This Row],[f Vig Inicio]]</f>
        <v>8356</v>
      </c>
      <c r="R48" s="17">
        <f>YEAR(Tabla1[[#This Row],[F.Vig.Final]])</f>
        <v>2023</v>
      </c>
      <c r="S48" s="14" t="s">
        <v>172</v>
      </c>
      <c r="T48" s="14" t="s">
        <v>71</v>
      </c>
      <c r="U48" s="14" t="s">
        <v>887</v>
      </c>
      <c r="V48" s="14" t="s">
        <v>1214</v>
      </c>
      <c r="W48" s="14" t="s">
        <v>1050</v>
      </c>
      <c r="X48" s="14" t="s">
        <v>1051</v>
      </c>
      <c r="Y48" s="14" t="s">
        <v>1145</v>
      </c>
      <c r="Z48" s="16">
        <f>COUNTIF($X$3:X48, X48)</f>
        <v>2</v>
      </c>
      <c r="AA48" s="16" t="e">
        <v>#N/A</v>
      </c>
      <c r="AB48" s="16" t="e">
        <v>#N/A</v>
      </c>
      <c r="AC48" s="16" t="e">
        <v>#N/A</v>
      </c>
      <c r="AD48" s="16" t="e">
        <v>#N/A</v>
      </c>
      <c r="AE48" s="16" t="e">
        <v>#N/A</v>
      </c>
      <c r="AF48" s="17" t="e">
        <v>#N/A</v>
      </c>
      <c r="AG48" s="17" t="e">
        <v>#N/A</v>
      </c>
      <c r="AH48" s="17" t="e">
        <f>Tabla1[[#This Row],[Renov. Flota]]-Tabla1[[#This Row],[Año]]</f>
        <v>#N/A</v>
      </c>
      <c r="AI48" s="18" t="e">
        <v>#N/A</v>
      </c>
      <c r="AJ48" s="18" t="e">
        <f>VLOOKUP(Tabla1[[#This Row],[Matricula nueva]],'ALTA 20242025'!$B$2:$P$242,15,FALSE)</f>
        <v>#N/A</v>
      </c>
      <c r="AK48" s="19" t="e">
        <v>#N/A</v>
      </c>
      <c r="AN48" s="1"/>
      <c r="AO48" s="1" t="e">
        <f>VLOOKUP(Tabla1[[#This Row],[Matricula nueva]],Hoja2!$A$1:$B$224,2,FALSE)</f>
        <v>#N/A</v>
      </c>
      <c r="AP48" s="1" t="str">
        <f>IF(Tabla1[[#This Row],[Columna2]]="M1",5.1,"")</f>
        <v/>
      </c>
      <c r="AQ48" s="1"/>
      <c r="AR48" s="1"/>
      <c r="AS48" s="47">
        <f>IF(Tabla1[[#This Row],[Columna2]]="M1",13073,IF(Tabla1[[#This Row],[Columna2]]="N1",15815,IF(Tabla1[[#This Row],[Columna2]]="L3e",2831,53508)))</f>
        <v>53508</v>
      </c>
      <c r="AT48" s="47" t="e">
        <f>(Tabla1[[#This Row],[CVA]]*Tabla1[[#This Row],[F]]-Tabla1[[#This Row],[CVN]])/100*Tabla1[[#This Row],[L]]</f>
        <v>#VALUE!</v>
      </c>
      <c r="AU48" s="1"/>
      <c r="AV48" s="1" t="e">
        <f>VLOOKUP(B48,Tabla467824[[ID CAE2]:[AE '[kWh']]],6,FALSE)</f>
        <v>#N/A</v>
      </c>
      <c r="AW4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49" spans="1:49" ht="15.75" hidden="1" thickBot="1" x14ac:dyDescent="0.3">
      <c r="A49" t="s">
        <v>1215</v>
      </c>
      <c r="B49" t="e">
        <f>VLOOKUP(A49,Tabla46782[ID CAE],1,FALSE)</f>
        <v>#N/A</v>
      </c>
      <c r="C49" s="14" t="s">
        <v>1216</v>
      </c>
      <c r="D49" s="14"/>
      <c r="E49" s="14"/>
      <c r="F49" s="14"/>
      <c r="G49" s="14"/>
      <c r="H49" s="14"/>
      <c r="I49" s="14"/>
      <c r="J49" s="14"/>
      <c r="K49" s="14" t="s">
        <v>73</v>
      </c>
      <c r="L49" s="14" t="s">
        <v>200</v>
      </c>
      <c r="M49" s="14" t="s">
        <v>201</v>
      </c>
      <c r="N49" s="14" t="s">
        <v>76</v>
      </c>
      <c r="O49" s="50">
        <f>VLOOKUP(Tabla1[[#This Row],[Matricula]],BAJA2022202320242025!$B$3:$CR$245,93,FALSE)</f>
        <v>43563</v>
      </c>
      <c r="P49" s="22">
        <v>45024</v>
      </c>
      <c r="Q49" s="48">
        <f>Tabla1[[#This Row],[F.Vig.Final]]-Tabla1[[#This Row],[f Vig Inicio]]</f>
        <v>1461</v>
      </c>
      <c r="R49" s="22">
        <f>YEAR(Tabla1[[#This Row],[F.Vig.Final]])</f>
        <v>2023</v>
      </c>
      <c r="S49" s="14" t="s">
        <v>77</v>
      </c>
      <c r="T49" s="14" t="s">
        <v>78</v>
      </c>
      <c r="U49" s="14" t="s">
        <v>359</v>
      </c>
      <c r="V49" s="14" t="s">
        <v>360</v>
      </c>
      <c r="W49" s="14" t="s">
        <v>584</v>
      </c>
      <c r="X49" s="14" t="s">
        <v>585</v>
      </c>
      <c r="Y49" s="14" t="s">
        <v>1217</v>
      </c>
      <c r="Z49" s="16">
        <f>COUNTIF($X$3:X49, X49)</f>
        <v>1</v>
      </c>
      <c r="AA49" s="16" t="e">
        <v>#N/A</v>
      </c>
      <c r="AB49" s="16" t="e">
        <v>#N/A</v>
      </c>
      <c r="AC49" s="16" t="e">
        <v>#N/A</v>
      </c>
      <c r="AD49" s="16" t="e">
        <v>#N/A</v>
      </c>
      <c r="AE49" s="16" t="e">
        <v>#N/A</v>
      </c>
      <c r="AF49" s="22" t="e">
        <v>#N/A</v>
      </c>
      <c r="AG49" s="17" t="e">
        <v>#N/A</v>
      </c>
      <c r="AH49" s="17" t="e">
        <f>Tabla1[[#This Row],[Renov. Flota]]-Tabla1[[#This Row],[Año]]</f>
        <v>#N/A</v>
      </c>
      <c r="AI49" s="18" t="e">
        <v>#N/A</v>
      </c>
      <c r="AJ49" s="18" t="e">
        <f>VLOOKUP(Tabla1[[#This Row],[Matricula nueva]],'ALTA 20242025'!$B$2:$P$242,15,FALSE)</f>
        <v>#N/A</v>
      </c>
      <c r="AK49" s="19" t="e">
        <v>#N/A</v>
      </c>
      <c r="AN49" s="1"/>
      <c r="AO49" s="1" t="e">
        <f>VLOOKUP(Tabla1[[#This Row],[Matricula nueva]],Hoja2!$A$1:$B$224,2,FALSE)</f>
        <v>#N/A</v>
      </c>
      <c r="AP49" s="1" t="str">
        <f>IF(Tabla1[[#This Row],[Columna2]]="M1",5.1,"")</f>
        <v/>
      </c>
      <c r="AQ49" s="1"/>
      <c r="AR49" s="1"/>
      <c r="AS49" s="47">
        <f>IF(Tabla1[[#This Row],[Columna2]]="M1",13073,IF(Tabla1[[#This Row],[Columna2]]="N1",15815,IF(Tabla1[[#This Row],[Columna2]]="L3e",2831,53508)))</f>
        <v>53508</v>
      </c>
      <c r="AT49" s="47" t="e">
        <f>(Tabla1[[#This Row],[CVA]]*Tabla1[[#This Row],[F]]-Tabla1[[#This Row],[CVN]])/100*Tabla1[[#This Row],[L]]</f>
        <v>#VALUE!</v>
      </c>
      <c r="AU49" s="1"/>
      <c r="AV49" s="1" t="e">
        <f>VLOOKUP(B49,Tabla467824[[ID CAE2]:[AE '[kWh']]],6,FALSE)</f>
        <v>#N/A</v>
      </c>
      <c r="AW4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50" spans="1:49" ht="15" x14ac:dyDescent="0.25">
      <c r="A50" s="114" t="s">
        <v>256</v>
      </c>
      <c r="B50" t="str">
        <f>VLOOKUP(A50,Tabla46782[ID CAE],1,FALSE)</f>
        <v>CAE500044</v>
      </c>
      <c r="C50" s="25" t="s">
        <v>257</v>
      </c>
      <c r="D50" s="103" t="s">
        <v>72</v>
      </c>
      <c r="E50" s="103"/>
      <c r="F50" s="103" t="s">
        <v>72</v>
      </c>
      <c r="G50" s="103"/>
      <c r="H50" s="103" t="s">
        <v>72</v>
      </c>
      <c r="I50" s="103" t="s">
        <v>72</v>
      </c>
      <c r="J50" s="103"/>
      <c r="K50" s="14" t="s">
        <v>73</v>
      </c>
      <c r="L50" s="14" t="s">
        <v>200</v>
      </c>
      <c r="M50" s="14" t="s">
        <v>201</v>
      </c>
      <c r="N50" s="23" t="s">
        <v>76</v>
      </c>
      <c r="O50" s="154">
        <f>VLOOKUP(Tabla1[[#This Row],[Matricula]],BAJA2022202320242025!$B$3:$CR$245,93,FALSE)</f>
        <v>44133</v>
      </c>
      <c r="P50" s="29">
        <v>45594</v>
      </c>
      <c r="Q50" s="161">
        <f>Tabla1[[#This Row],[F.Vig.Final]]-Tabla1[[#This Row],[f Vig Inicio]]</f>
        <v>1461</v>
      </c>
      <c r="R50" s="141">
        <f>YEAR(Tabla1[[#This Row],[F.Vig.Final]])</f>
        <v>2024</v>
      </c>
      <c r="S50" s="25" t="s">
        <v>77</v>
      </c>
      <c r="T50" s="14" t="s">
        <v>78</v>
      </c>
      <c r="U50" s="14" t="s">
        <v>213</v>
      </c>
      <c r="V50" s="14" t="s">
        <v>237</v>
      </c>
      <c r="W50" s="14" t="s">
        <v>119</v>
      </c>
      <c r="X50" s="14" t="s">
        <v>120</v>
      </c>
      <c r="Y50" s="14" t="s">
        <v>258</v>
      </c>
      <c r="Z50" s="16">
        <f>COUNTIF($X$3:X50, X50)</f>
        <v>6</v>
      </c>
      <c r="AA50" s="16" t="s">
        <v>259</v>
      </c>
      <c r="AB50" s="16" t="s">
        <v>140</v>
      </c>
      <c r="AC50" s="16" t="s">
        <v>151</v>
      </c>
      <c r="AD50" s="16" t="s">
        <v>87</v>
      </c>
      <c r="AE50" s="60" t="s">
        <v>260</v>
      </c>
      <c r="AF50" s="29" t="s">
        <v>89</v>
      </c>
      <c r="AG50" s="27">
        <v>45625</v>
      </c>
      <c r="AH50" s="137">
        <f>Tabla1[[#This Row],[Renov. Flota]]-Tabla1[[#This Row],[Año]]</f>
        <v>0</v>
      </c>
      <c r="AI50" s="18" t="s">
        <v>119</v>
      </c>
      <c r="AJ50" s="107" t="str">
        <f>VLOOKUP(Tabla1[[#This Row],[Matricula nueva]],'ALTA 20242025'!$B$2:$P$242,15,FALSE)</f>
        <v>4500424791</v>
      </c>
      <c r="AK50" s="60" t="s">
        <v>120</v>
      </c>
      <c r="AM50" s="1" t="s">
        <v>72</v>
      </c>
      <c r="AN50" s="1" t="s">
        <v>91</v>
      </c>
      <c r="AO50" s="1" t="str">
        <f>VLOOKUP(Tabla1[[#This Row],[Matricula nueva]],Hoja2!$A$1:$B$224,2,FALSE)</f>
        <v>VR7CBZYA0RT152183</v>
      </c>
      <c r="AP50" s="65">
        <f>IF(Tabla1[[#This Row],[Columna2]]="M1",5.1,"")</f>
        <v>5.0999999999999996</v>
      </c>
      <c r="AQ50" s="66">
        <f>IF(T50="DIESEL",10,IF(T50="GLP",7.16,9.19))</f>
        <v>10</v>
      </c>
      <c r="AR50" s="67">
        <v>16.399999999999999</v>
      </c>
      <c r="AS50" s="68">
        <f>IF(Tabla1[[#This Row],[Columna2]]="M1",13073,IF(Tabla1[[#This Row],[Columna2]]="N1",15815,IF(Tabla1[[#This Row],[Columna2]]="L3e",2831,53508)))</f>
        <v>13073</v>
      </c>
      <c r="AT50" s="68">
        <f>(Tabla1[[#This Row],[CVA]]*Tabla1[[#This Row],[F]]-Tabla1[[#This Row],[CVN]])/100*Tabla1[[#This Row],[L]]</f>
        <v>4523.2580000000007</v>
      </c>
      <c r="AU50" s="69" t="s">
        <v>70</v>
      </c>
      <c r="AV50" s="294">
        <f>VLOOKUP(B50,Tabla467824[[ID CAE2]:[AE '[kWh']]],6,FALSE)</f>
        <v>6795.3454000000002</v>
      </c>
      <c r="AW5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51" spans="1:49" ht="15" x14ac:dyDescent="0.25">
      <c r="A51" s="114" t="s">
        <v>263</v>
      </c>
      <c r="B51" t="str">
        <f>VLOOKUP(A51,Tabla46782[ID CAE],1,FALSE)</f>
        <v>CAE500045</v>
      </c>
      <c r="C51" s="25" t="s">
        <v>264</v>
      </c>
      <c r="D51" s="103" t="s">
        <v>72</v>
      </c>
      <c r="E51" s="103"/>
      <c r="F51" s="103" t="s">
        <v>72</v>
      </c>
      <c r="G51" s="103"/>
      <c r="H51" s="103" t="s">
        <v>72</v>
      </c>
      <c r="I51" s="103" t="s">
        <v>72</v>
      </c>
      <c r="J51" s="103"/>
      <c r="K51" s="14" t="s">
        <v>73</v>
      </c>
      <c r="L51" s="14" t="s">
        <v>200</v>
      </c>
      <c r="M51" s="14" t="s">
        <v>201</v>
      </c>
      <c r="N51" s="23" t="s">
        <v>76</v>
      </c>
      <c r="O51" s="151">
        <f>VLOOKUP(Tabla1[[#This Row],[Matricula]],BAJA2022202320242025!$B$3:$CR$245,93,FALSE)</f>
        <v>44133</v>
      </c>
      <c r="P51" s="24">
        <v>45594</v>
      </c>
      <c r="Q51" s="158">
        <f>Tabla1[[#This Row],[F.Vig.Final]]-Tabla1[[#This Row],[f Vig Inicio]]</f>
        <v>1461</v>
      </c>
      <c r="R51" s="141">
        <f>YEAR(Tabla1[[#This Row],[F.Vig.Final]])</f>
        <v>2024</v>
      </c>
      <c r="S51" s="25" t="s">
        <v>77</v>
      </c>
      <c r="T51" s="14" t="s">
        <v>78</v>
      </c>
      <c r="U51" s="14" t="s">
        <v>213</v>
      </c>
      <c r="V51" s="14" t="s">
        <v>237</v>
      </c>
      <c r="W51" s="14" t="s">
        <v>119</v>
      </c>
      <c r="X51" s="14" t="s">
        <v>120</v>
      </c>
      <c r="Y51" s="14" t="s">
        <v>265</v>
      </c>
      <c r="Z51" s="16">
        <f>COUNTIF($X$3:X51, X51)</f>
        <v>7</v>
      </c>
      <c r="AA51" s="16" t="s">
        <v>266</v>
      </c>
      <c r="AB51" s="16" t="s">
        <v>140</v>
      </c>
      <c r="AC51" s="16" t="s">
        <v>151</v>
      </c>
      <c r="AD51" s="16" t="s">
        <v>87</v>
      </c>
      <c r="AE51" s="60" t="s">
        <v>267</v>
      </c>
      <c r="AF51" s="24" t="s">
        <v>89</v>
      </c>
      <c r="AG51" s="27">
        <v>45625</v>
      </c>
      <c r="AH51" s="137">
        <f>Tabla1[[#This Row],[Renov. Flota]]-Tabla1[[#This Row],[Año]]</f>
        <v>0</v>
      </c>
      <c r="AI51" s="18" t="s">
        <v>119</v>
      </c>
      <c r="AJ51" s="107" t="str">
        <f>VLOOKUP(Tabla1[[#This Row],[Matricula nueva]],'ALTA 20242025'!$B$2:$P$242,15,FALSE)</f>
        <v>4500424792</v>
      </c>
      <c r="AK51" s="60" t="s">
        <v>120</v>
      </c>
      <c r="AM51" s="1" t="s">
        <v>72</v>
      </c>
      <c r="AN51" s="1" t="s">
        <v>91</v>
      </c>
      <c r="AO51" s="1" t="str">
        <f>VLOOKUP(Tabla1[[#This Row],[Matricula nueva]],Hoja2!$A$1:$B$224,2,FALSE)</f>
        <v>VR7CBZYA9RT152182</v>
      </c>
      <c r="AP51" s="70">
        <f>IF(Tabla1[[#This Row],[Columna2]]="M1",5.1,"")</f>
        <v>5.0999999999999996</v>
      </c>
      <c r="AQ51" s="71">
        <f>IF(T51="DIESEL",10,IF(T51="GLP",7.16,9.19))</f>
        <v>10</v>
      </c>
      <c r="AR51" s="72">
        <v>16.399999999999999</v>
      </c>
      <c r="AS51" s="73">
        <f>IF(Tabla1[[#This Row],[Columna2]]="M1",13073,IF(Tabla1[[#This Row],[Columna2]]="N1",15815,IF(Tabla1[[#This Row],[Columna2]]="L3e",2831,53508)))</f>
        <v>13073</v>
      </c>
      <c r="AT51" s="73">
        <f>(Tabla1[[#This Row],[CVA]]*Tabla1[[#This Row],[F]]-Tabla1[[#This Row],[CVN]])/100*Tabla1[[#This Row],[L]]</f>
        <v>4523.2580000000007</v>
      </c>
      <c r="AU51" s="74" t="s">
        <v>70</v>
      </c>
      <c r="AV51" s="294">
        <f>VLOOKUP(B51,Tabla467824[[ID CAE2]:[AE '[kWh']]],6,FALSE)</f>
        <v>6795.3454000000002</v>
      </c>
      <c r="AW5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52" spans="1:49" ht="15" x14ac:dyDescent="0.25">
      <c r="A52" s="114" t="s">
        <v>270</v>
      </c>
      <c r="B52" t="str">
        <f>VLOOKUP(A52,Tabla46782[ID CAE],1,FALSE)</f>
        <v>CAE500046</v>
      </c>
      <c r="C52" s="25" t="s">
        <v>271</v>
      </c>
      <c r="D52" s="103" t="s">
        <v>72</v>
      </c>
      <c r="E52" s="103"/>
      <c r="F52" s="103" t="s">
        <v>72</v>
      </c>
      <c r="G52" s="103"/>
      <c r="H52" s="103" t="s">
        <v>72</v>
      </c>
      <c r="I52" s="103" t="s">
        <v>72</v>
      </c>
      <c r="J52" s="103"/>
      <c r="K52" s="14" t="s">
        <v>73</v>
      </c>
      <c r="L52" s="14" t="s">
        <v>200</v>
      </c>
      <c r="M52" s="14" t="s">
        <v>201</v>
      </c>
      <c r="N52" s="23" t="s">
        <v>76</v>
      </c>
      <c r="O52" s="151">
        <f>VLOOKUP(Tabla1[[#This Row],[Matricula]],BAJA2022202320242025!$B$3:$CR$245,93,FALSE)</f>
        <v>44134</v>
      </c>
      <c r="P52" s="24">
        <v>45595</v>
      </c>
      <c r="Q52" s="158">
        <f>Tabla1[[#This Row],[F.Vig.Final]]-Tabla1[[#This Row],[f Vig Inicio]]</f>
        <v>1461</v>
      </c>
      <c r="R52" s="141">
        <f>YEAR(Tabla1[[#This Row],[F.Vig.Final]])</f>
        <v>2024</v>
      </c>
      <c r="S52" s="25" t="s">
        <v>77</v>
      </c>
      <c r="T52" s="14" t="s">
        <v>78</v>
      </c>
      <c r="U52" s="14" t="s">
        <v>213</v>
      </c>
      <c r="V52" s="14" t="s">
        <v>237</v>
      </c>
      <c r="W52" s="14" t="s">
        <v>81</v>
      </c>
      <c r="X52" s="14" t="s">
        <v>82</v>
      </c>
      <c r="Y52" s="14" t="s">
        <v>164</v>
      </c>
      <c r="Z52" s="16">
        <f>COUNTIF($X$3:X52, X52)</f>
        <v>8</v>
      </c>
      <c r="AA52" s="16" t="s">
        <v>272</v>
      </c>
      <c r="AB52" s="16" t="s">
        <v>140</v>
      </c>
      <c r="AC52" s="16" t="s">
        <v>151</v>
      </c>
      <c r="AD52" s="16" t="s">
        <v>87</v>
      </c>
      <c r="AE52" s="60" t="s">
        <v>164</v>
      </c>
      <c r="AF52" s="24" t="s">
        <v>89</v>
      </c>
      <c r="AG52" s="27">
        <v>45625</v>
      </c>
      <c r="AH52" s="137">
        <f>Tabla1[[#This Row],[Renov. Flota]]-Tabla1[[#This Row],[Año]]</f>
        <v>0</v>
      </c>
      <c r="AI52" s="18" t="s">
        <v>81</v>
      </c>
      <c r="AJ52" s="107" t="str">
        <f>VLOOKUP(Tabla1[[#This Row],[Matricula nueva]],'ALTA 20242025'!$B$2:$P$242,15,FALSE)</f>
        <v>4500424794</v>
      </c>
      <c r="AK52" s="60" t="s">
        <v>82</v>
      </c>
      <c r="AM52" s="1" t="s">
        <v>72</v>
      </c>
      <c r="AN52" s="1" t="s">
        <v>91</v>
      </c>
      <c r="AO52" s="1" t="str">
        <f>VLOOKUP(Tabla1[[#This Row],[Matricula nueva]],Hoja2!$A$1:$B$224,2,FALSE)</f>
        <v>VR7CBZYA5RT154429</v>
      </c>
      <c r="AP52" s="70">
        <f>IF(Tabla1[[#This Row],[Columna2]]="M1",5.1,"")</f>
        <v>5.0999999999999996</v>
      </c>
      <c r="AQ52" s="71">
        <f>IF(T52="DIESEL",10,IF(T52="GLP",7.16,9.19))</f>
        <v>10</v>
      </c>
      <c r="AR52" s="72">
        <v>16.399999999999999</v>
      </c>
      <c r="AS52" s="73">
        <f>IF(Tabla1[[#This Row],[Columna2]]="M1",13073,IF(Tabla1[[#This Row],[Columna2]]="N1",15815,IF(Tabla1[[#This Row],[Columna2]]="L3e",2831,53508)))</f>
        <v>13073</v>
      </c>
      <c r="AT52" s="73">
        <f>(Tabla1[[#This Row],[CVA]]*Tabla1[[#This Row],[F]]-Tabla1[[#This Row],[CVN]])/100*Tabla1[[#This Row],[L]]</f>
        <v>4523.2580000000007</v>
      </c>
      <c r="AU52" s="74" t="s">
        <v>70</v>
      </c>
      <c r="AV52" s="294">
        <f>VLOOKUP(B52,Tabla467824[[ID CAE2]:[AE '[kWh']]],6,FALSE)</f>
        <v>6795.3454000000002</v>
      </c>
      <c r="AW5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53" spans="1:49" ht="15.75" thickBot="1" x14ac:dyDescent="0.3">
      <c r="A53" s="114" t="s">
        <v>275</v>
      </c>
      <c r="B53" t="str">
        <f>VLOOKUP(A53,Tabla46782[ID CAE],1,FALSE)</f>
        <v>CAE500047</v>
      </c>
      <c r="C53" s="25" t="s">
        <v>276</v>
      </c>
      <c r="D53" s="103" t="s">
        <v>72</v>
      </c>
      <c r="E53" s="103"/>
      <c r="F53" s="103" t="s">
        <v>72</v>
      </c>
      <c r="G53" s="103"/>
      <c r="H53" s="103" t="s">
        <v>72</v>
      </c>
      <c r="I53" s="103" t="s">
        <v>72</v>
      </c>
      <c r="J53" s="103"/>
      <c r="K53" s="14" t="s">
        <v>73</v>
      </c>
      <c r="L53" s="14" t="s">
        <v>200</v>
      </c>
      <c r="M53" s="14" t="s">
        <v>201</v>
      </c>
      <c r="N53" s="23" t="s">
        <v>76</v>
      </c>
      <c r="O53" s="153">
        <f>VLOOKUP(Tabla1[[#This Row],[Matricula]],BAJA2022202320242025!$B$3:$CR$245,93,FALSE)</f>
        <v>44166</v>
      </c>
      <c r="P53" s="28">
        <v>45627</v>
      </c>
      <c r="Q53" s="159">
        <f>Tabla1[[#This Row],[F.Vig.Final]]-Tabla1[[#This Row],[f Vig Inicio]]</f>
        <v>1461</v>
      </c>
      <c r="R53" s="141">
        <f>YEAR(Tabla1[[#This Row],[F.Vig.Final]])</f>
        <v>2024</v>
      </c>
      <c r="S53" s="25" t="s">
        <v>77</v>
      </c>
      <c r="T53" s="14" t="s">
        <v>78</v>
      </c>
      <c r="U53" s="14" t="s">
        <v>213</v>
      </c>
      <c r="V53" s="14" t="s">
        <v>237</v>
      </c>
      <c r="W53" s="14" t="s">
        <v>204</v>
      </c>
      <c r="X53" s="14" t="s">
        <v>205</v>
      </c>
      <c r="Y53" s="14" t="s">
        <v>230</v>
      </c>
      <c r="Z53" s="16">
        <f>COUNTIF($X$3:X53, X53)</f>
        <v>4</v>
      </c>
      <c r="AA53" s="16" t="s">
        <v>277</v>
      </c>
      <c r="AB53" s="16" t="s">
        <v>140</v>
      </c>
      <c r="AC53" s="16" t="s">
        <v>151</v>
      </c>
      <c r="AD53" s="16" t="s">
        <v>87</v>
      </c>
      <c r="AE53" s="60" t="s">
        <v>278</v>
      </c>
      <c r="AF53" s="28" t="s">
        <v>89</v>
      </c>
      <c r="AG53" s="27">
        <v>45638</v>
      </c>
      <c r="AH53" s="137">
        <f>Tabla1[[#This Row],[Renov. Flota]]-Tabla1[[#This Row],[Año]]</f>
        <v>0</v>
      </c>
      <c r="AI53" s="18" t="s">
        <v>204</v>
      </c>
      <c r="AJ53" s="107" t="str">
        <f>VLOOKUP(Tabla1[[#This Row],[Matricula nueva]],'ALTA 20242025'!$B$2:$P$242,15,FALSE)</f>
        <v>4500424898</v>
      </c>
      <c r="AK53" s="60" t="s">
        <v>205</v>
      </c>
      <c r="AM53" s="1" t="s">
        <v>72</v>
      </c>
      <c r="AN53" s="1" t="s">
        <v>91</v>
      </c>
      <c r="AO53" s="1" t="str">
        <f>VLOOKUP(Tabla1[[#This Row],[Matricula nueva]],Hoja2!$A$1:$B$224,2,FALSE)</f>
        <v>VR7CBZYA1RT153035</v>
      </c>
      <c r="AP53" s="75">
        <f>IF(Tabla1[[#This Row],[Columna2]]="M1",5.1,"")</f>
        <v>5.0999999999999996</v>
      </c>
      <c r="AQ53" s="76">
        <f>IF(T53="DIESEL",10,IF(T53="GLP",7.16,9.19))</f>
        <v>10</v>
      </c>
      <c r="AR53" s="77">
        <v>16.399999999999999</v>
      </c>
      <c r="AS53" s="78">
        <f>IF(Tabla1[[#This Row],[Columna2]]="M1",13073,IF(Tabla1[[#This Row],[Columna2]]="N1",15815,IF(Tabla1[[#This Row],[Columna2]]="L3e",2831,53508)))</f>
        <v>13073</v>
      </c>
      <c r="AT53" s="78">
        <f>(Tabla1[[#This Row],[CVA]]*Tabla1[[#This Row],[F]]-Tabla1[[#This Row],[CVN]])/100*Tabla1[[#This Row],[L]]</f>
        <v>4523.2580000000007</v>
      </c>
      <c r="AU53" s="79" t="s">
        <v>70</v>
      </c>
      <c r="AV53" s="294">
        <f>VLOOKUP(B53,Tabla467824[[ID CAE2]:[AE '[kWh']]],6,FALSE)</f>
        <v>6795.3454000000002</v>
      </c>
      <c r="AW5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54" spans="1:49" ht="15.75" hidden="1" thickBot="1" x14ac:dyDescent="0.3">
      <c r="A54" t="s">
        <v>1218</v>
      </c>
      <c r="B54" t="e">
        <f>VLOOKUP(A54,Tabla46782[ID CAE],1,FALSE)</f>
        <v>#N/A</v>
      </c>
      <c r="C54" s="14" t="s">
        <v>1219</v>
      </c>
      <c r="D54" s="14"/>
      <c r="E54" s="14"/>
      <c r="F54" s="14"/>
      <c r="G54" s="14"/>
      <c r="H54" s="14"/>
      <c r="I54" s="14"/>
      <c r="J54" s="14"/>
      <c r="K54" s="14" t="s">
        <v>1143</v>
      </c>
      <c r="L54" s="14" t="s">
        <v>74</v>
      </c>
      <c r="M54" s="14" t="s">
        <v>75</v>
      </c>
      <c r="N54" s="14" t="s">
        <v>76</v>
      </c>
      <c r="O54" s="95">
        <f>VLOOKUP(Tabla1[[#This Row],[Matricula]],BAJA2022202320242025!$B$3:$CR$245,93,FALSE)</f>
        <v>44664</v>
      </c>
      <c r="P54" s="21">
        <v>45260</v>
      </c>
      <c r="Q54" s="93">
        <f>Tabla1[[#This Row],[F.Vig.Final]]-Tabla1[[#This Row],[f Vig Inicio]]</f>
        <v>596</v>
      </c>
      <c r="R54" s="21">
        <f>YEAR(Tabla1[[#This Row],[F.Vig.Final]])</f>
        <v>2023</v>
      </c>
      <c r="S54" s="14" t="s">
        <v>77</v>
      </c>
      <c r="T54" s="14" t="s">
        <v>78</v>
      </c>
      <c r="U54" s="14" t="s">
        <v>1203</v>
      </c>
      <c r="V54" s="14" t="s">
        <v>1049</v>
      </c>
      <c r="W54" s="14" t="s">
        <v>1050</v>
      </c>
      <c r="X54" s="14" t="s">
        <v>1051</v>
      </c>
      <c r="Y54" s="14" t="s">
        <v>1220</v>
      </c>
      <c r="Z54" s="16">
        <f>COUNTIF($X$3:X54, X54)</f>
        <v>3</v>
      </c>
      <c r="AA54" s="16" t="e">
        <v>#N/A</v>
      </c>
      <c r="AB54" s="16" t="e">
        <v>#N/A</v>
      </c>
      <c r="AC54" s="16" t="e">
        <v>#N/A</v>
      </c>
      <c r="AD54" s="16" t="e">
        <v>#N/A</v>
      </c>
      <c r="AE54" s="16" t="e">
        <v>#N/A</v>
      </c>
      <c r="AF54" s="21" t="e">
        <v>#N/A</v>
      </c>
      <c r="AG54" s="17" t="e">
        <v>#N/A</v>
      </c>
      <c r="AH54" s="17" t="e">
        <f>Tabla1[[#This Row],[Renov. Flota]]-Tabla1[[#This Row],[Año]]</f>
        <v>#N/A</v>
      </c>
      <c r="AI54" s="18" t="e">
        <v>#N/A</v>
      </c>
      <c r="AJ54" s="18" t="e">
        <f>VLOOKUP(Tabla1[[#This Row],[Matricula nueva]],'ALTA 20242025'!$B$2:$P$242,15,FALSE)</f>
        <v>#N/A</v>
      </c>
      <c r="AK54" s="19" t="e">
        <v>#N/A</v>
      </c>
      <c r="AN54" s="1"/>
      <c r="AO54" s="1" t="e">
        <f>VLOOKUP(Tabla1[[#This Row],[Matricula nueva]],Hoja2!$A$1:$B$224,2,FALSE)</f>
        <v>#N/A</v>
      </c>
      <c r="AP54" s="1" t="str">
        <f>IF(Tabla1[[#This Row],[Columna2]]="M1",5.1,"")</f>
        <v/>
      </c>
      <c r="AQ54" s="1"/>
      <c r="AR54" s="1"/>
      <c r="AS54" s="47">
        <f>IF(Tabla1[[#This Row],[Columna2]]="M1",13073,IF(Tabla1[[#This Row],[Columna2]]="N1",15815,IF(Tabla1[[#This Row],[Columna2]]="L3e",2831,53508)))</f>
        <v>53508</v>
      </c>
      <c r="AT54" s="47" t="e">
        <f>(Tabla1[[#This Row],[CVA]]*Tabla1[[#This Row],[F]]-Tabla1[[#This Row],[CVN]])/100*Tabla1[[#This Row],[L]]</f>
        <v>#VALUE!</v>
      </c>
      <c r="AU54" s="1"/>
      <c r="AV54" s="1" t="e">
        <f>VLOOKUP(B54,Tabla467824[[ID CAE2]:[AE '[kWh']]],6,FALSE)</f>
        <v>#N/A</v>
      </c>
      <c r="AW5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55" spans="1:49" ht="15.75" hidden="1" thickBot="1" x14ac:dyDescent="0.3">
      <c r="A55" t="s">
        <v>1221</v>
      </c>
      <c r="B55" t="e">
        <f>VLOOKUP(A55,Tabla46782[ID CAE],1,FALSE)</f>
        <v>#N/A</v>
      </c>
      <c r="C55" s="14" t="s">
        <v>1222</v>
      </c>
      <c r="D55" s="14"/>
      <c r="E55" s="14"/>
      <c r="F55" s="14"/>
      <c r="G55" s="14"/>
      <c r="H55" s="14"/>
      <c r="I55" s="14"/>
      <c r="J55" s="14"/>
      <c r="K55" s="14" t="s">
        <v>158</v>
      </c>
      <c r="L55" s="14" t="s">
        <v>159</v>
      </c>
      <c r="M55" s="14" t="s">
        <v>158</v>
      </c>
      <c r="N55" s="14" t="s">
        <v>171</v>
      </c>
      <c r="O55" s="50">
        <f>VLOOKUP(Tabla1[[#This Row],[Matricula]],BAJA2022202320242025!$B$3:$CR$245,93,FALSE)</f>
        <v>40038</v>
      </c>
      <c r="P55" s="22">
        <v>45090</v>
      </c>
      <c r="Q55" s="48">
        <f>Tabla1[[#This Row],[F.Vig.Final]]-Tabla1[[#This Row],[f Vig Inicio]]</f>
        <v>5052</v>
      </c>
      <c r="R55" s="22">
        <f>YEAR(Tabla1[[#This Row],[F.Vig.Final]])</f>
        <v>2023</v>
      </c>
      <c r="S55" s="14" t="s">
        <v>172</v>
      </c>
      <c r="T55" s="14" t="s">
        <v>78</v>
      </c>
      <c r="U55" s="14" t="s">
        <v>1203</v>
      </c>
      <c r="V55" s="14" t="s">
        <v>1049</v>
      </c>
      <c r="W55" s="14" t="s">
        <v>1050</v>
      </c>
      <c r="X55" s="14" t="s">
        <v>1051</v>
      </c>
      <c r="Y55" s="14" t="s">
        <v>1145</v>
      </c>
      <c r="Z55" s="16">
        <f>COUNTIF($X$3:X55, X55)</f>
        <v>4</v>
      </c>
      <c r="AA55" s="16" t="e">
        <v>#N/A</v>
      </c>
      <c r="AB55" s="16" t="e">
        <v>#N/A</v>
      </c>
      <c r="AC55" s="16" t="e">
        <v>#N/A</v>
      </c>
      <c r="AD55" s="16" t="e">
        <v>#N/A</v>
      </c>
      <c r="AE55" s="16" t="e">
        <v>#N/A</v>
      </c>
      <c r="AF55" s="22" t="e">
        <v>#N/A</v>
      </c>
      <c r="AG55" s="17" t="e">
        <v>#N/A</v>
      </c>
      <c r="AH55" s="17" t="e">
        <f>Tabla1[[#This Row],[Renov. Flota]]-Tabla1[[#This Row],[Año]]</f>
        <v>#N/A</v>
      </c>
      <c r="AI55" s="18" t="e">
        <v>#N/A</v>
      </c>
      <c r="AJ55" s="18" t="e">
        <f>VLOOKUP(Tabla1[[#This Row],[Matricula nueva]],'ALTA 20242025'!$B$2:$P$242,15,FALSE)</f>
        <v>#N/A</v>
      </c>
      <c r="AK55" s="19" t="e">
        <v>#N/A</v>
      </c>
      <c r="AN55" s="1"/>
      <c r="AO55" s="1" t="e">
        <f>VLOOKUP(Tabla1[[#This Row],[Matricula nueva]],Hoja2!$A$1:$B$224,2,FALSE)</f>
        <v>#N/A</v>
      </c>
      <c r="AP55" s="1" t="str">
        <f>IF(Tabla1[[#This Row],[Columna2]]="M1",5.1,"")</f>
        <v/>
      </c>
      <c r="AQ55" s="1"/>
      <c r="AR55" s="1"/>
      <c r="AS55" s="47">
        <f>IF(Tabla1[[#This Row],[Columna2]]="M1",13073,IF(Tabla1[[#This Row],[Columna2]]="N1",15815,IF(Tabla1[[#This Row],[Columna2]]="L3e",2831,53508)))</f>
        <v>53508</v>
      </c>
      <c r="AT55" s="47" t="e">
        <f>(Tabla1[[#This Row],[CVA]]*Tabla1[[#This Row],[F]]-Tabla1[[#This Row],[CVN]])/100*Tabla1[[#This Row],[L]]</f>
        <v>#VALUE!</v>
      </c>
      <c r="AU55" s="1"/>
      <c r="AV55" s="1" t="e">
        <f>VLOOKUP(B55,Tabla467824[[ID CAE2]:[AE '[kWh']]],6,FALSE)</f>
        <v>#N/A</v>
      </c>
      <c r="AW5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56" spans="1:49" ht="15" x14ac:dyDescent="0.25">
      <c r="A56" s="114" t="s">
        <v>281</v>
      </c>
      <c r="B56" t="str">
        <f>VLOOKUP(A56,Tabla46782[ID CAE],1,FALSE)</f>
        <v>CAE500050</v>
      </c>
      <c r="C56" s="25" t="s">
        <v>282</v>
      </c>
      <c r="D56" s="103" t="s">
        <v>72</v>
      </c>
      <c r="E56" s="103"/>
      <c r="F56" s="103" t="s">
        <v>72</v>
      </c>
      <c r="G56" s="103"/>
      <c r="H56" s="103" t="s">
        <v>72</v>
      </c>
      <c r="I56" s="103" t="s">
        <v>72</v>
      </c>
      <c r="J56" s="103"/>
      <c r="K56" s="14" t="s">
        <v>73</v>
      </c>
      <c r="L56" s="14" t="s">
        <v>200</v>
      </c>
      <c r="M56" s="14" t="s">
        <v>201</v>
      </c>
      <c r="N56" s="23" t="s">
        <v>76</v>
      </c>
      <c r="O56" s="154">
        <f>VLOOKUP(Tabla1[[#This Row],[Matricula]],BAJA2022202320242025!$B$3:$CR$245,93,FALSE)</f>
        <v>44166</v>
      </c>
      <c r="P56" s="29">
        <v>45627</v>
      </c>
      <c r="Q56" s="161">
        <f>Tabla1[[#This Row],[F.Vig.Final]]-Tabla1[[#This Row],[f Vig Inicio]]</f>
        <v>1461</v>
      </c>
      <c r="R56" s="141">
        <f>YEAR(Tabla1[[#This Row],[F.Vig.Final]])</f>
        <v>2024</v>
      </c>
      <c r="S56" s="25" t="s">
        <v>77</v>
      </c>
      <c r="T56" s="14" t="s">
        <v>78</v>
      </c>
      <c r="U56" s="14" t="s">
        <v>213</v>
      </c>
      <c r="V56" s="14" t="s">
        <v>237</v>
      </c>
      <c r="W56" s="14" t="s">
        <v>81</v>
      </c>
      <c r="X56" s="14" t="s">
        <v>82</v>
      </c>
      <c r="Y56" s="14" t="s">
        <v>88</v>
      </c>
      <c r="Z56" s="16">
        <f>COUNTIF($X$3:X56, X56)</f>
        <v>9</v>
      </c>
      <c r="AA56" s="16" t="s">
        <v>283</v>
      </c>
      <c r="AB56" s="16" t="s">
        <v>140</v>
      </c>
      <c r="AC56" s="16" t="s">
        <v>151</v>
      </c>
      <c r="AD56" s="16" t="s">
        <v>87</v>
      </c>
      <c r="AE56" s="60" t="s">
        <v>88</v>
      </c>
      <c r="AF56" s="29" t="s">
        <v>89</v>
      </c>
      <c r="AG56" s="27">
        <v>45625</v>
      </c>
      <c r="AH56" s="137">
        <f>Tabla1[[#This Row],[Renov. Flota]]-Tabla1[[#This Row],[Año]]</f>
        <v>0</v>
      </c>
      <c r="AI56" s="18" t="s">
        <v>81</v>
      </c>
      <c r="AJ56" s="107" t="str">
        <f>VLOOKUP(Tabla1[[#This Row],[Matricula nueva]],'ALTA 20242025'!$B$2:$P$242,15,FALSE)</f>
        <v>4500424809</v>
      </c>
      <c r="AK56" s="60" t="s">
        <v>82</v>
      </c>
      <c r="AM56" s="1" t="s">
        <v>72</v>
      </c>
      <c r="AN56" s="1" t="s">
        <v>91</v>
      </c>
      <c r="AO56" s="1" t="str">
        <f>VLOOKUP(Tabla1[[#This Row],[Matricula nueva]],Hoja2!$A$1:$B$224,2,FALSE)</f>
        <v>VR7CBZYA2RT152198</v>
      </c>
      <c r="AP56" s="65">
        <f>IF(Tabla1[[#This Row],[Columna2]]="M1",5.1,"")</f>
        <v>5.0999999999999996</v>
      </c>
      <c r="AQ56" s="66">
        <f>IF(T56="DIESEL",10,IF(T56="GLP",7.16,9.19))</f>
        <v>10</v>
      </c>
      <c r="AR56" s="67">
        <v>16.399999999999999</v>
      </c>
      <c r="AS56" s="68">
        <f>IF(Tabla1[[#This Row],[Columna2]]="M1",13073,IF(Tabla1[[#This Row],[Columna2]]="N1",15815,IF(Tabla1[[#This Row],[Columna2]]="L3e",2831,53508)))</f>
        <v>13073</v>
      </c>
      <c r="AT56" s="68">
        <f>(Tabla1[[#This Row],[CVA]]*Tabla1[[#This Row],[F]]-Tabla1[[#This Row],[CVN]])/100*Tabla1[[#This Row],[L]]</f>
        <v>4523.2580000000007</v>
      </c>
      <c r="AU56" s="69" t="s">
        <v>70</v>
      </c>
      <c r="AV56" s="294">
        <f>VLOOKUP(B56,Tabla467824[[ID CAE2]:[AE '[kWh']]],6,FALSE)</f>
        <v>6795.3454000000002</v>
      </c>
      <c r="AW5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57" spans="1:49" ht="15.75" thickBot="1" x14ac:dyDescent="0.3">
      <c r="A57" s="114" t="s">
        <v>286</v>
      </c>
      <c r="B57" t="str">
        <f>VLOOKUP(A57,Tabla46782[ID CAE],1,FALSE)</f>
        <v>CAE500051</v>
      </c>
      <c r="C57" s="25" t="s">
        <v>287</v>
      </c>
      <c r="D57" s="103" t="s">
        <v>72</v>
      </c>
      <c r="E57" s="103"/>
      <c r="F57" s="103" t="s">
        <v>72</v>
      </c>
      <c r="G57" s="103"/>
      <c r="H57" s="103" t="s">
        <v>72</v>
      </c>
      <c r="I57" s="103" t="s">
        <v>72</v>
      </c>
      <c r="J57" s="103"/>
      <c r="K57" s="14" t="s">
        <v>73</v>
      </c>
      <c r="L57" s="14" t="s">
        <v>200</v>
      </c>
      <c r="M57" s="14" t="s">
        <v>201</v>
      </c>
      <c r="N57" s="23" t="s">
        <v>76</v>
      </c>
      <c r="O57" s="153">
        <f>VLOOKUP(Tabla1[[#This Row],[Matricula]],BAJA2022202320242025!$B$3:$CR$245,93,FALSE)</f>
        <v>44166</v>
      </c>
      <c r="P57" s="28">
        <v>45627</v>
      </c>
      <c r="Q57" s="159">
        <f>Tabla1[[#This Row],[F.Vig.Final]]-Tabla1[[#This Row],[f Vig Inicio]]</f>
        <v>1461</v>
      </c>
      <c r="R57" s="141">
        <f>YEAR(Tabla1[[#This Row],[F.Vig.Final]])</f>
        <v>2024</v>
      </c>
      <c r="S57" s="25" t="s">
        <v>77</v>
      </c>
      <c r="T57" s="14" t="s">
        <v>78</v>
      </c>
      <c r="U57" s="14" t="s">
        <v>213</v>
      </c>
      <c r="V57" s="14" t="s">
        <v>237</v>
      </c>
      <c r="W57" s="14" t="s">
        <v>204</v>
      </c>
      <c r="X57" s="14" t="s">
        <v>205</v>
      </c>
      <c r="Y57" s="14" t="s">
        <v>230</v>
      </c>
      <c r="Z57" s="16">
        <f>COUNTIF($X$3:X57, X57)</f>
        <v>5</v>
      </c>
      <c r="AA57" s="16" t="s">
        <v>288</v>
      </c>
      <c r="AB57" s="16" t="s">
        <v>140</v>
      </c>
      <c r="AC57" s="16" t="s">
        <v>151</v>
      </c>
      <c r="AD57" s="16" t="s">
        <v>87</v>
      </c>
      <c r="AE57" s="60" t="s">
        <v>289</v>
      </c>
      <c r="AF57" s="28" t="s">
        <v>89</v>
      </c>
      <c r="AG57" s="27">
        <v>45638</v>
      </c>
      <c r="AH57" s="137">
        <f>Tabla1[[#This Row],[Renov. Flota]]-Tabla1[[#This Row],[Año]]</f>
        <v>0</v>
      </c>
      <c r="AI57" s="18" t="s">
        <v>204</v>
      </c>
      <c r="AJ57" s="107" t="str">
        <f>VLOOKUP(Tabla1[[#This Row],[Matricula nueva]],'ALTA 20242025'!$B$2:$P$242,15,FALSE)</f>
        <v>4500424889</v>
      </c>
      <c r="AK57" s="60" t="s">
        <v>205</v>
      </c>
      <c r="AM57" s="1" t="s">
        <v>72</v>
      </c>
      <c r="AN57" s="1" t="s">
        <v>91</v>
      </c>
      <c r="AO57" s="1" t="str">
        <f>VLOOKUP(Tabla1[[#This Row],[Matricula nueva]],Hoja2!$A$1:$B$224,2,FALSE)</f>
        <v>VR7CBZYA7RT154433</v>
      </c>
      <c r="AP57" s="75">
        <f>IF(Tabla1[[#This Row],[Columna2]]="M1",5.1,"")</f>
        <v>5.0999999999999996</v>
      </c>
      <c r="AQ57" s="76">
        <f>IF(T57="DIESEL",10,IF(T57="GLP",7.16,9.19))</f>
        <v>10</v>
      </c>
      <c r="AR57" s="77">
        <v>16.399999999999999</v>
      </c>
      <c r="AS57" s="78">
        <f>IF(Tabla1[[#This Row],[Columna2]]="M1",13073,IF(Tabla1[[#This Row],[Columna2]]="N1",15815,IF(Tabla1[[#This Row],[Columna2]]="L3e",2831,53508)))</f>
        <v>13073</v>
      </c>
      <c r="AT57" s="78">
        <f>(Tabla1[[#This Row],[CVA]]*Tabla1[[#This Row],[F]]-Tabla1[[#This Row],[CVN]])/100*Tabla1[[#This Row],[L]]</f>
        <v>4523.2580000000007</v>
      </c>
      <c r="AU57" s="79" t="s">
        <v>70</v>
      </c>
      <c r="AV57" s="294">
        <f>VLOOKUP(B57,Tabla467824[[ID CAE2]:[AE '[kWh']]],6,FALSE)</f>
        <v>6795.3454000000002</v>
      </c>
      <c r="AW5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58" spans="1:49" ht="15.75" hidden="1" thickBot="1" x14ac:dyDescent="0.3">
      <c r="A58" t="s">
        <v>1223</v>
      </c>
      <c r="B58" t="e">
        <f>VLOOKUP(A58,Tabla46782[ID CAE],1,FALSE)</f>
        <v>#N/A</v>
      </c>
      <c r="C58" s="14" t="s">
        <v>1224</v>
      </c>
      <c r="D58" s="14"/>
      <c r="E58" s="14"/>
      <c r="F58" s="14"/>
      <c r="G58" s="14"/>
      <c r="H58" s="14"/>
      <c r="I58" s="14"/>
      <c r="J58" s="14"/>
      <c r="K58" s="14" t="s">
        <v>158</v>
      </c>
      <c r="L58" s="14" t="s">
        <v>159</v>
      </c>
      <c r="M58" s="14" t="s">
        <v>158</v>
      </c>
      <c r="N58" s="14" t="s">
        <v>171</v>
      </c>
      <c r="O58" s="95">
        <f>VLOOKUP(Tabla1[[#This Row],[Matricula]],BAJA2022202320242025!$B$3:$CR$245,93,FALSE)</f>
        <v>41393</v>
      </c>
      <c r="P58" s="21">
        <v>45124</v>
      </c>
      <c r="Q58" s="93">
        <f>Tabla1[[#This Row],[F.Vig.Final]]-Tabla1[[#This Row],[f Vig Inicio]]</f>
        <v>3731</v>
      </c>
      <c r="R58" s="21">
        <f>YEAR(Tabla1[[#This Row],[F.Vig.Final]])</f>
        <v>2023</v>
      </c>
      <c r="S58" s="14" t="s">
        <v>172</v>
      </c>
      <c r="T58" s="14" t="s">
        <v>78</v>
      </c>
      <c r="U58" s="14" t="s">
        <v>1048</v>
      </c>
      <c r="V58" s="14" t="s">
        <v>1225</v>
      </c>
      <c r="W58" s="14" t="s">
        <v>1050</v>
      </c>
      <c r="X58" s="14" t="s">
        <v>1051</v>
      </c>
      <c r="Y58" s="14" t="s">
        <v>1145</v>
      </c>
      <c r="Z58" s="16">
        <f>COUNTIF($X$3:X58, X58)</f>
        <v>5</v>
      </c>
      <c r="AA58" s="16" t="e">
        <v>#N/A</v>
      </c>
      <c r="AB58" s="16" t="e">
        <v>#N/A</v>
      </c>
      <c r="AC58" s="16" t="e">
        <v>#N/A</v>
      </c>
      <c r="AD58" s="16" t="e">
        <v>#N/A</v>
      </c>
      <c r="AE58" s="16" t="e">
        <v>#N/A</v>
      </c>
      <c r="AF58" s="21" t="e">
        <v>#N/A</v>
      </c>
      <c r="AG58" s="17" t="e">
        <v>#N/A</v>
      </c>
      <c r="AH58" s="17" t="e">
        <f>Tabla1[[#This Row],[Renov. Flota]]-Tabla1[[#This Row],[Año]]</f>
        <v>#N/A</v>
      </c>
      <c r="AI58" s="18" t="e">
        <v>#N/A</v>
      </c>
      <c r="AJ58" s="18" t="e">
        <f>VLOOKUP(Tabla1[[#This Row],[Matricula nueva]],'ALTA 20242025'!$B$2:$P$242,15,FALSE)</f>
        <v>#N/A</v>
      </c>
      <c r="AK58" s="19" t="e">
        <v>#N/A</v>
      </c>
      <c r="AN58" s="1"/>
      <c r="AO58" s="1" t="e">
        <f>VLOOKUP(Tabla1[[#This Row],[Matricula nueva]],Hoja2!$A$1:$B$224,2,FALSE)</f>
        <v>#N/A</v>
      </c>
      <c r="AP58" s="1" t="str">
        <f>IF(Tabla1[[#This Row],[Columna2]]="M1",5.1,"")</f>
        <v/>
      </c>
      <c r="AQ58" s="1"/>
      <c r="AR58" s="1"/>
      <c r="AS58" s="47">
        <f>IF(Tabla1[[#This Row],[Columna2]]="M1",13073,IF(Tabla1[[#This Row],[Columna2]]="N1",15815,IF(Tabla1[[#This Row],[Columna2]]="L3e",2831,53508)))</f>
        <v>53508</v>
      </c>
      <c r="AT58" s="47" t="e">
        <f>(Tabla1[[#This Row],[CVA]]*Tabla1[[#This Row],[F]]-Tabla1[[#This Row],[CVN]])/100*Tabla1[[#This Row],[L]]</f>
        <v>#VALUE!</v>
      </c>
      <c r="AU58" s="1"/>
      <c r="AV58" s="1" t="e">
        <f>VLOOKUP(B58,Tabla467824[[ID CAE2]:[AE '[kWh']]],6,FALSE)</f>
        <v>#N/A</v>
      </c>
      <c r="AW5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59" spans="1:49" ht="15.75" hidden="1" thickBot="1" x14ac:dyDescent="0.3">
      <c r="A59" t="s">
        <v>1226</v>
      </c>
      <c r="B59" t="e">
        <f>VLOOKUP(A59,Tabla46782[ID CAE],1,FALSE)</f>
        <v>#N/A</v>
      </c>
      <c r="C59" s="14" t="s">
        <v>1227</v>
      </c>
      <c r="D59" s="14"/>
      <c r="E59" s="14"/>
      <c r="F59" s="14"/>
      <c r="G59" s="14"/>
      <c r="H59" s="14"/>
      <c r="I59" s="14"/>
      <c r="J59" s="14"/>
      <c r="K59" s="14" t="s">
        <v>158</v>
      </c>
      <c r="L59" s="14" t="s">
        <v>159</v>
      </c>
      <c r="M59" s="14" t="s">
        <v>158</v>
      </c>
      <c r="N59" s="14" t="s">
        <v>171</v>
      </c>
      <c r="O59" s="50">
        <f>VLOOKUP(Tabla1[[#This Row],[Matricula]],BAJA2022202320242025!$B$3:$CR$245,93,FALSE)</f>
        <v>43439</v>
      </c>
      <c r="P59" s="22">
        <v>45124</v>
      </c>
      <c r="Q59" s="48">
        <f>Tabla1[[#This Row],[F.Vig.Final]]-Tabla1[[#This Row],[f Vig Inicio]]</f>
        <v>1685</v>
      </c>
      <c r="R59" s="22">
        <f>YEAR(Tabla1[[#This Row],[F.Vig.Final]])</f>
        <v>2023</v>
      </c>
      <c r="S59" s="14" t="s">
        <v>172</v>
      </c>
      <c r="T59" s="14" t="s">
        <v>78</v>
      </c>
      <c r="U59" s="14" t="s">
        <v>1203</v>
      </c>
      <c r="V59" s="14" t="s">
        <v>1049</v>
      </c>
      <c r="W59" s="14" t="s">
        <v>1050</v>
      </c>
      <c r="X59" s="14" t="s">
        <v>1051</v>
      </c>
      <c r="Y59" s="14" t="s">
        <v>1052</v>
      </c>
      <c r="Z59" s="16">
        <f>COUNTIF($X$3:X59, X59)</f>
        <v>6</v>
      </c>
      <c r="AA59" s="16" t="e">
        <v>#N/A</v>
      </c>
      <c r="AB59" s="16" t="e">
        <v>#N/A</v>
      </c>
      <c r="AC59" s="16" t="e">
        <v>#N/A</v>
      </c>
      <c r="AD59" s="16" t="e">
        <v>#N/A</v>
      </c>
      <c r="AE59" s="16" t="e">
        <v>#N/A</v>
      </c>
      <c r="AF59" s="22" t="e">
        <v>#N/A</v>
      </c>
      <c r="AG59" s="17" t="e">
        <v>#N/A</v>
      </c>
      <c r="AH59" s="17" t="e">
        <f>Tabla1[[#This Row],[Renov. Flota]]-Tabla1[[#This Row],[Año]]</f>
        <v>#N/A</v>
      </c>
      <c r="AI59" s="18" t="e">
        <v>#N/A</v>
      </c>
      <c r="AJ59" s="18" t="e">
        <f>VLOOKUP(Tabla1[[#This Row],[Matricula nueva]],'ALTA 20242025'!$B$2:$P$242,15,FALSE)</f>
        <v>#N/A</v>
      </c>
      <c r="AK59" s="19" t="e">
        <v>#N/A</v>
      </c>
      <c r="AN59" s="1"/>
      <c r="AO59" s="1" t="e">
        <f>VLOOKUP(Tabla1[[#This Row],[Matricula nueva]],Hoja2!$A$1:$B$224,2,FALSE)</f>
        <v>#N/A</v>
      </c>
      <c r="AP59" s="1" t="str">
        <f>IF(Tabla1[[#This Row],[Columna2]]="M1",5.1,"")</f>
        <v/>
      </c>
      <c r="AQ59" s="1"/>
      <c r="AR59" s="1"/>
      <c r="AS59" s="47">
        <f>IF(Tabla1[[#This Row],[Columna2]]="M1",13073,IF(Tabla1[[#This Row],[Columna2]]="N1",15815,IF(Tabla1[[#This Row],[Columna2]]="L3e",2831,53508)))</f>
        <v>53508</v>
      </c>
      <c r="AT59" s="47" t="e">
        <f>(Tabla1[[#This Row],[CVA]]*Tabla1[[#This Row],[F]]-Tabla1[[#This Row],[CVN]])/100*Tabla1[[#This Row],[L]]</f>
        <v>#VALUE!</v>
      </c>
      <c r="AU59" s="1"/>
      <c r="AV59" s="1" t="e">
        <f>VLOOKUP(B59,Tabla467824[[ID CAE2]:[AE '[kWh']]],6,FALSE)</f>
        <v>#N/A</v>
      </c>
      <c r="AW5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60" spans="1:49" ht="15" x14ac:dyDescent="0.25">
      <c r="A60" s="114" t="s">
        <v>292</v>
      </c>
      <c r="B60" t="str">
        <f>VLOOKUP(A60,Tabla46782[ID CAE],1,FALSE)</f>
        <v>CAE500054</v>
      </c>
      <c r="C60" s="25" t="s">
        <v>293</v>
      </c>
      <c r="D60" s="103" t="s">
        <v>72</v>
      </c>
      <c r="E60" s="103"/>
      <c r="F60" s="103" t="s">
        <v>72</v>
      </c>
      <c r="G60" s="103"/>
      <c r="H60" s="103" t="s">
        <v>72</v>
      </c>
      <c r="I60" s="103" t="s">
        <v>72</v>
      </c>
      <c r="J60" s="103"/>
      <c r="K60" s="14" t="s">
        <v>73</v>
      </c>
      <c r="L60" s="14" t="s">
        <v>200</v>
      </c>
      <c r="M60" s="14" t="s">
        <v>201</v>
      </c>
      <c r="N60" s="23" t="s">
        <v>76</v>
      </c>
      <c r="O60" s="154">
        <f>VLOOKUP(Tabla1[[#This Row],[Matricula]],BAJA2022202320242025!$B$3:$CR$245,93,FALSE)</f>
        <v>44179</v>
      </c>
      <c r="P60" s="29">
        <v>45640</v>
      </c>
      <c r="Q60" s="161">
        <f>Tabla1[[#This Row],[F.Vig.Final]]-Tabla1[[#This Row],[f Vig Inicio]]</f>
        <v>1461</v>
      </c>
      <c r="R60" s="141">
        <f>YEAR(Tabla1[[#This Row],[F.Vig.Final]])</f>
        <v>2024</v>
      </c>
      <c r="S60" s="25" t="s">
        <v>77</v>
      </c>
      <c r="T60" s="14" t="s">
        <v>78</v>
      </c>
      <c r="U60" s="14" t="s">
        <v>213</v>
      </c>
      <c r="V60" s="14" t="s">
        <v>237</v>
      </c>
      <c r="W60" s="14" t="s">
        <v>119</v>
      </c>
      <c r="X60" s="14" t="s">
        <v>120</v>
      </c>
      <c r="Y60" s="14" t="s">
        <v>294</v>
      </c>
      <c r="Z60" s="16">
        <f>COUNTIF($X$3:X60, X60)</f>
        <v>8</v>
      </c>
      <c r="AA60" s="16" t="s">
        <v>295</v>
      </c>
      <c r="AB60" s="16" t="s">
        <v>140</v>
      </c>
      <c r="AC60" s="16" t="s">
        <v>151</v>
      </c>
      <c r="AD60" s="16" t="s">
        <v>87</v>
      </c>
      <c r="AE60" s="60" t="s">
        <v>296</v>
      </c>
      <c r="AF60" s="29" t="s">
        <v>89</v>
      </c>
      <c r="AG60" s="27">
        <v>45625</v>
      </c>
      <c r="AH60" s="137">
        <f>Tabla1[[#This Row],[Renov. Flota]]-Tabla1[[#This Row],[Año]]</f>
        <v>0</v>
      </c>
      <c r="AI60" s="18" t="s">
        <v>119</v>
      </c>
      <c r="AJ60" s="107" t="str">
        <f>VLOOKUP(Tabla1[[#This Row],[Matricula nueva]],'ALTA 20242025'!$B$2:$P$242,15,FALSE)</f>
        <v>4500426700</v>
      </c>
      <c r="AK60" s="60" t="s">
        <v>120</v>
      </c>
      <c r="AM60" s="1" t="s">
        <v>72</v>
      </c>
      <c r="AN60" s="1" t="s">
        <v>91</v>
      </c>
      <c r="AO60" s="1" t="str">
        <f>VLOOKUP(Tabla1[[#This Row],[Matricula nueva]],Hoja2!$A$1:$B$224,2,FALSE)</f>
        <v>VR7CBZYA4ST000168</v>
      </c>
      <c r="AP60" s="65">
        <f>IF(Tabla1[[#This Row],[Columna2]]="M1",5.1,"")</f>
        <v>5.0999999999999996</v>
      </c>
      <c r="AQ60" s="66">
        <f t="shared" ref="AQ60:AQ67" si="2">IF(T60="DIESEL",10,IF(T60="GLP",7.16,9.19))</f>
        <v>10</v>
      </c>
      <c r="AR60" s="67">
        <v>16.399999999999999</v>
      </c>
      <c r="AS60" s="68">
        <f>IF(Tabla1[[#This Row],[Columna2]]="M1",13073,IF(Tabla1[[#This Row],[Columna2]]="N1",15815,IF(Tabla1[[#This Row],[Columna2]]="L3e",2831,53508)))</f>
        <v>13073</v>
      </c>
      <c r="AT60" s="68">
        <f>(Tabla1[[#This Row],[CVA]]*Tabla1[[#This Row],[F]]-Tabla1[[#This Row],[CVN]])/100*Tabla1[[#This Row],[L]]</f>
        <v>4523.2580000000007</v>
      </c>
      <c r="AU60" s="69" t="s">
        <v>70</v>
      </c>
      <c r="AV60" s="294">
        <f>VLOOKUP(B60,Tabla467824[[ID CAE2]:[AE '[kWh']]],6,FALSE)</f>
        <v>6795.3454000000002</v>
      </c>
      <c r="AW6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1" spans="1:49" ht="15" x14ac:dyDescent="0.25">
      <c r="A61" s="114" t="s">
        <v>299</v>
      </c>
      <c r="B61" t="str">
        <f>VLOOKUP(A61,Tabla46782[ID CAE],1,FALSE)</f>
        <v>CAE500055</v>
      </c>
      <c r="C61" s="25" t="s">
        <v>300</v>
      </c>
      <c r="D61" s="103" t="s">
        <v>72</v>
      </c>
      <c r="E61" s="103"/>
      <c r="F61" s="103" t="s">
        <v>72</v>
      </c>
      <c r="G61" s="103"/>
      <c r="H61" s="103" t="s">
        <v>72</v>
      </c>
      <c r="I61" s="103" t="s">
        <v>72</v>
      </c>
      <c r="J61" s="103"/>
      <c r="K61" s="14" t="s">
        <v>73</v>
      </c>
      <c r="L61" s="14" t="s">
        <v>200</v>
      </c>
      <c r="M61" s="14" t="s">
        <v>201</v>
      </c>
      <c r="N61" s="23" t="s">
        <v>76</v>
      </c>
      <c r="O61" s="151">
        <f>VLOOKUP(Tabla1[[#This Row],[Matricula]],BAJA2022202320242025!$B$3:$CR$245,93,FALSE)</f>
        <v>44153</v>
      </c>
      <c r="P61" s="24">
        <v>45614</v>
      </c>
      <c r="Q61" s="158">
        <f>Tabla1[[#This Row],[F.Vig.Final]]-Tabla1[[#This Row],[f Vig Inicio]]</f>
        <v>1461</v>
      </c>
      <c r="R61" s="141">
        <f>YEAR(Tabla1[[#This Row],[F.Vig.Final]])</f>
        <v>2024</v>
      </c>
      <c r="S61" s="25" t="s">
        <v>77</v>
      </c>
      <c r="T61" s="14" t="s">
        <v>78</v>
      </c>
      <c r="U61" s="14" t="s">
        <v>213</v>
      </c>
      <c r="V61" s="14" t="s">
        <v>237</v>
      </c>
      <c r="W61" s="14" t="s">
        <v>102</v>
      </c>
      <c r="X61" s="14" t="s">
        <v>103</v>
      </c>
      <c r="Y61" s="14" t="s">
        <v>301</v>
      </c>
      <c r="Z61" s="16">
        <f>COUNTIF($X$3:X61, X61)</f>
        <v>3</v>
      </c>
      <c r="AA61" s="16" t="s">
        <v>302</v>
      </c>
      <c r="AB61" s="16" t="s">
        <v>85</v>
      </c>
      <c r="AC61" s="16" t="s">
        <v>86</v>
      </c>
      <c r="AD61" s="16" t="s">
        <v>87</v>
      </c>
      <c r="AE61" s="60" t="s">
        <v>303</v>
      </c>
      <c r="AF61" s="24" t="s">
        <v>89</v>
      </c>
      <c r="AG61" s="27">
        <v>45625</v>
      </c>
      <c r="AH61" s="137">
        <f>Tabla1[[#This Row],[Renov. Flota]]-Tabla1[[#This Row],[Año]]</f>
        <v>0</v>
      </c>
      <c r="AI61" s="18" t="s">
        <v>102</v>
      </c>
      <c r="AJ61" s="107" t="str">
        <f>VLOOKUP(Tabla1[[#This Row],[Matricula nueva]],'ALTA 20242025'!$B$2:$P$242,15,FALSE)</f>
        <v>4500426774</v>
      </c>
      <c r="AK61" s="60" t="s">
        <v>103</v>
      </c>
      <c r="AM61" s="1" t="s">
        <v>72</v>
      </c>
      <c r="AN61" s="1" t="s">
        <v>109</v>
      </c>
      <c r="AO61" s="1" t="str">
        <f>VLOOKUP(Tabla1[[#This Row],[Matricula nueva]],Hoja2!$A$1:$B$224,2,FALSE)</f>
        <v>VF1RFK00073824797</v>
      </c>
      <c r="AP61" s="70">
        <f>IF(Tabla1[[#This Row],[Columna2]]="M1",5.1,"")</f>
        <v>5.0999999999999996</v>
      </c>
      <c r="AQ61" s="71">
        <f t="shared" si="2"/>
        <v>10</v>
      </c>
      <c r="AR61" s="72">
        <v>17.3</v>
      </c>
      <c r="AS61" s="73">
        <f>IF(Tabla1[[#This Row],[Columna2]]="M1",13073,IF(Tabla1[[#This Row],[Columna2]]="N1",15815,IF(Tabla1[[#This Row],[Columna2]]="L3e",2831,53508)))</f>
        <v>13073</v>
      </c>
      <c r="AT61" s="73">
        <f>(Tabla1[[#This Row],[CVA]]*Tabla1[[#This Row],[F]]-Tabla1[[#This Row],[CVN]])/100*Tabla1[[#This Row],[L]]</f>
        <v>4405.6010000000006</v>
      </c>
      <c r="AU61" s="74" t="s">
        <v>70</v>
      </c>
      <c r="AV61" s="294">
        <f>VLOOKUP(B61,Tabla467824[[ID CAE2]:[AE '[kWh']]],6,FALSE)</f>
        <v>6795.3454000000002</v>
      </c>
      <c r="AW6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2" spans="1:49" ht="15" x14ac:dyDescent="0.25">
      <c r="A62" s="114" t="s">
        <v>306</v>
      </c>
      <c r="B62" t="str">
        <f>VLOOKUP(A62,Tabla46782[ID CAE],1,FALSE)</f>
        <v>CAE500056</v>
      </c>
      <c r="C62" s="25" t="s">
        <v>307</v>
      </c>
      <c r="D62" s="103" t="s">
        <v>72</v>
      </c>
      <c r="E62" s="103"/>
      <c r="F62" s="103" t="s">
        <v>72</v>
      </c>
      <c r="G62" s="103"/>
      <c r="H62" s="103" t="s">
        <v>72</v>
      </c>
      <c r="I62" s="103" t="s">
        <v>72</v>
      </c>
      <c r="J62" s="103"/>
      <c r="K62" s="14" t="s">
        <v>73</v>
      </c>
      <c r="L62" s="14" t="s">
        <v>200</v>
      </c>
      <c r="M62" s="14" t="s">
        <v>201</v>
      </c>
      <c r="N62" s="23" t="s">
        <v>76</v>
      </c>
      <c r="O62" s="151">
        <f>VLOOKUP(Tabla1[[#This Row],[Matricula]],BAJA2022202320242025!$B$3:$CR$245,93,FALSE)</f>
        <v>44153</v>
      </c>
      <c r="P62" s="24">
        <v>45614</v>
      </c>
      <c r="Q62" s="158">
        <f>Tabla1[[#This Row],[F.Vig.Final]]-Tabla1[[#This Row],[f Vig Inicio]]</f>
        <v>1461</v>
      </c>
      <c r="R62" s="141">
        <f>YEAR(Tabla1[[#This Row],[F.Vig.Final]])</f>
        <v>2024</v>
      </c>
      <c r="S62" s="25" t="s">
        <v>77</v>
      </c>
      <c r="T62" s="14" t="s">
        <v>78</v>
      </c>
      <c r="U62" s="14" t="s">
        <v>213</v>
      </c>
      <c r="V62" s="14" t="s">
        <v>237</v>
      </c>
      <c r="W62" s="14" t="s">
        <v>308</v>
      </c>
      <c r="X62" s="14" t="s">
        <v>309</v>
      </c>
      <c r="Y62" s="14" t="s">
        <v>310</v>
      </c>
      <c r="Z62" s="16">
        <f>COUNTIF($X$3:X62, X62)</f>
        <v>1</v>
      </c>
      <c r="AA62" s="16" t="s">
        <v>311</v>
      </c>
      <c r="AB62" s="16" t="s">
        <v>85</v>
      </c>
      <c r="AC62" s="16" t="s">
        <v>86</v>
      </c>
      <c r="AD62" s="16" t="s">
        <v>87</v>
      </c>
      <c r="AE62" s="60" t="s">
        <v>312</v>
      </c>
      <c r="AF62" s="24" t="s">
        <v>89</v>
      </c>
      <c r="AG62" s="27">
        <v>45649</v>
      </c>
      <c r="AH62" s="137">
        <f>Tabla1[[#This Row],[Renov. Flota]]-Tabla1[[#This Row],[Año]]</f>
        <v>0</v>
      </c>
      <c r="AI62" s="18" t="s">
        <v>308</v>
      </c>
      <c r="AJ62" s="107" t="str">
        <f>VLOOKUP(Tabla1[[#This Row],[Matricula nueva]],'ALTA 20242025'!$B$2:$P$242,15,FALSE)</f>
        <v>X</v>
      </c>
      <c r="AK62" s="60" t="s">
        <v>309</v>
      </c>
      <c r="AM62" s="1" t="s">
        <v>72</v>
      </c>
      <c r="AN62" s="1" t="s">
        <v>91</v>
      </c>
      <c r="AO62" s="1" t="str">
        <f>VLOOKUP(Tabla1[[#This Row],[Matricula nueva]],Hoja2!$A$1:$B$224,2,FALSE)</f>
        <v>VF1RFK00073934300</v>
      </c>
      <c r="AP62" s="70">
        <f>IF(Tabla1[[#This Row],[Columna2]]="M1",5.1,"")</f>
        <v>5.0999999999999996</v>
      </c>
      <c r="AQ62" s="71">
        <f t="shared" si="2"/>
        <v>10</v>
      </c>
      <c r="AR62" s="72">
        <v>17.3</v>
      </c>
      <c r="AS62" s="73">
        <f>IF(Tabla1[[#This Row],[Columna2]]="M1",13073,IF(Tabla1[[#This Row],[Columna2]]="N1",15815,IF(Tabla1[[#This Row],[Columna2]]="L3e",2831,53508)))</f>
        <v>13073</v>
      </c>
      <c r="AT62" s="73">
        <f>(Tabla1[[#This Row],[CVA]]*Tabla1[[#This Row],[F]]-Tabla1[[#This Row],[CVN]])/100*Tabla1[[#This Row],[L]]</f>
        <v>4405.6010000000006</v>
      </c>
      <c r="AU62" s="74" t="s">
        <v>70</v>
      </c>
      <c r="AV62" s="294">
        <f>VLOOKUP(B62,Tabla467824[[ID CAE2]:[AE '[kWh']]],6,FALSE)</f>
        <v>6795.3454000000002</v>
      </c>
      <c r="AW6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3" spans="1:49" ht="15" x14ac:dyDescent="0.25">
      <c r="A63" s="114" t="s">
        <v>314</v>
      </c>
      <c r="B63" t="str">
        <f>VLOOKUP(A63,Tabla46782[ID CAE],1,FALSE)</f>
        <v>CAE500057</v>
      </c>
      <c r="C63" s="25" t="s">
        <v>315</v>
      </c>
      <c r="D63" s="103" t="s">
        <v>72</v>
      </c>
      <c r="E63" s="103"/>
      <c r="F63" s="103" t="s">
        <v>72</v>
      </c>
      <c r="G63" s="103"/>
      <c r="H63" s="103" t="s">
        <v>72</v>
      </c>
      <c r="I63" s="103" t="s">
        <v>72</v>
      </c>
      <c r="J63" s="103"/>
      <c r="K63" s="14" t="s">
        <v>73</v>
      </c>
      <c r="L63" s="14" t="s">
        <v>200</v>
      </c>
      <c r="M63" s="14" t="s">
        <v>201</v>
      </c>
      <c r="N63" s="23" t="s">
        <v>76</v>
      </c>
      <c r="O63" s="151">
        <f>VLOOKUP(Tabla1[[#This Row],[Matricula]],BAJA2022202320242025!$B$3:$CR$245,93,FALSE)</f>
        <v>44166</v>
      </c>
      <c r="P63" s="24">
        <v>45627</v>
      </c>
      <c r="Q63" s="158">
        <f>Tabla1[[#This Row],[F.Vig.Final]]-Tabla1[[#This Row],[f Vig Inicio]]</f>
        <v>1461</v>
      </c>
      <c r="R63" s="141">
        <f>YEAR(Tabla1[[#This Row],[F.Vig.Final]])</f>
        <v>2024</v>
      </c>
      <c r="S63" s="25" t="s">
        <v>77</v>
      </c>
      <c r="T63" s="14" t="s">
        <v>78</v>
      </c>
      <c r="U63" s="14" t="s">
        <v>213</v>
      </c>
      <c r="V63" s="14" t="s">
        <v>237</v>
      </c>
      <c r="W63" s="14" t="s">
        <v>131</v>
      </c>
      <c r="X63" s="14" t="s">
        <v>132</v>
      </c>
      <c r="Y63" s="14" t="s">
        <v>316</v>
      </c>
      <c r="Z63" s="16">
        <f>COUNTIF($X$3:X63, X63)</f>
        <v>2</v>
      </c>
      <c r="AA63" s="16" t="s">
        <v>317</v>
      </c>
      <c r="AB63" s="16" t="s">
        <v>85</v>
      </c>
      <c r="AC63" s="16" t="s">
        <v>86</v>
      </c>
      <c r="AD63" s="16" t="s">
        <v>87</v>
      </c>
      <c r="AE63" s="60" t="s">
        <v>318</v>
      </c>
      <c r="AF63" s="24" t="s">
        <v>89</v>
      </c>
      <c r="AG63" s="27">
        <v>45625</v>
      </c>
      <c r="AH63" s="137">
        <f>Tabla1[[#This Row],[Renov. Flota]]-Tabla1[[#This Row],[Año]]</f>
        <v>0</v>
      </c>
      <c r="AI63" s="18" t="s">
        <v>131</v>
      </c>
      <c r="AJ63" s="107" t="str">
        <f>VLOOKUP(Tabla1[[#This Row],[Matricula nueva]],'ALTA 20242025'!$B$2:$P$242,15,FALSE)</f>
        <v>4500426798</v>
      </c>
      <c r="AK63" s="60" t="s">
        <v>132</v>
      </c>
      <c r="AM63" s="1" t="s">
        <v>72</v>
      </c>
      <c r="AN63" s="1" t="s">
        <v>91</v>
      </c>
      <c r="AO63" s="1" t="str">
        <f>VLOOKUP(Tabla1[[#This Row],[Matricula nueva]],Hoja2!$A$1:$B$224,2,FALSE)</f>
        <v>VF1RFK00273824820</v>
      </c>
      <c r="AP63" s="70">
        <f>IF(Tabla1[[#This Row],[Columna2]]="M1",5.1,"")</f>
        <v>5.0999999999999996</v>
      </c>
      <c r="AQ63" s="71">
        <f t="shared" si="2"/>
        <v>10</v>
      </c>
      <c r="AR63" s="72">
        <v>17.3</v>
      </c>
      <c r="AS63" s="73">
        <f>IF(Tabla1[[#This Row],[Columna2]]="M1",13073,IF(Tabla1[[#This Row],[Columna2]]="N1",15815,IF(Tabla1[[#This Row],[Columna2]]="L3e",2831,53508)))</f>
        <v>13073</v>
      </c>
      <c r="AT63" s="73">
        <f>(Tabla1[[#This Row],[CVA]]*Tabla1[[#This Row],[F]]-Tabla1[[#This Row],[CVN]])/100*Tabla1[[#This Row],[L]]</f>
        <v>4405.6010000000006</v>
      </c>
      <c r="AU63" s="74" t="s">
        <v>70</v>
      </c>
      <c r="AV63" s="294">
        <f>VLOOKUP(B63,Tabla467824[[ID CAE2]:[AE '[kWh']]],6,FALSE)</f>
        <v>6795.3454000000002</v>
      </c>
      <c r="AW6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4" spans="1:49" ht="15" x14ac:dyDescent="0.25">
      <c r="A64" s="114" t="s">
        <v>321</v>
      </c>
      <c r="B64" t="str">
        <f>VLOOKUP(A64,Tabla46782[ID CAE],1,FALSE)</f>
        <v>CAE500058</v>
      </c>
      <c r="C64" s="25" t="s">
        <v>322</v>
      </c>
      <c r="D64" s="103" t="s">
        <v>72</v>
      </c>
      <c r="E64" s="103"/>
      <c r="F64" s="103" t="s">
        <v>72</v>
      </c>
      <c r="G64" s="103"/>
      <c r="H64" s="103" t="s">
        <v>72</v>
      </c>
      <c r="I64" s="103" t="s">
        <v>72</v>
      </c>
      <c r="J64" s="103"/>
      <c r="K64" s="14" t="s">
        <v>73</v>
      </c>
      <c r="L64" s="14" t="s">
        <v>200</v>
      </c>
      <c r="M64" s="14" t="s">
        <v>201</v>
      </c>
      <c r="N64" s="23" t="s">
        <v>76</v>
      </c>
      <c r="O64" s="151">
        <f>VLOOKUP(Tabla1[[#This Row],[Matricula]],BAJA2022202320242025!$B$3:$CR$245,93,FALSE)</f>
        <v>44215</v>
      </c>
      <c r="P64" s="24">
        <v>45676</v>
      </c>
      <c r="Q64" s="158">
        <f>Tabla1[[#This Row],[F.Vig.Final]]-Tabla1[[#This Row],[f Vig Inicio]]</f>
        <v>1461</v>
      </c>
      <c r="R64" s="141">
        <f>YEAR(Tabla1[[#This Row],[F.Vig.Final]])</f>
        <v>2025</v>
      </c>
      <c r="S64" s="25" t="s">
        <v>77</v>
      </c>
      <c r="T64" s="14" t="s">
        <v>78</v>
      </c>
      <c r="U64" s="14" t="s">
        <v>213</v>
      </c>
      <c r="V64" s="14" t="s">
        <v>237</v>
      </c>
      <c r="W64" s="14" t="s">
        <v>119</v>
      </c>
      <c r="X64" s="14" t="s">
        <v>120</v>
      </c>
      <c r="Y64" s="14" t="s">
        <v>323</v>
      </c>
      <c r="Z64" s="16">
        <f>COUNTIF($X$3:X64, X64)</f>
        <v>9</v>
      </c>
      <c r="AA64" s="16" t="s">
        <v>324</v>
      </c>
      <c r="AB64" s="16" t="s">
        <v>85</v>
      </c>
      <c r="AC64" s="16" t="s">
        <v>86</v>
      </c>
      <c r="AD64" s="16" t="s">
        <v>87</v>
      </c>
      <c r="AE64" s="60" t="s">
        <v>325</v>
      </c>
      <c r="AF64" s="24" t="s">
        <v>89</v>
      </c>
      <c r="AG64" s="27">
        <v>45645</v>
      </c>
      <c r="AH64" s="137">
        <f>Tabla1[[#This Row],[Renov. Flota]]-Tabla1[[#This Row],[Año]]</f>
        <v>-1</v>
      </c>
      <c r="AI64" s="18" t="s">
        <v>119</v>
      </c>
      <c r="AJ64" s="107" t="str">
        <f>VLOOKUP(Tabla1[[#This Row],[Matricula nueva]],'ALTA 20242025'!$B$2:$P$242,15,FALSE)</f>
        <v>4500426771</v>
      </c>
      <c r="AK64" s="60" t="s">
        <v>120</v>
      </c>
      <c r="AM64" s="1" t="s">
        <v>72</v>
      </c>
      <c r="AN64" s="1" t="s">
        <v>91</v>
      </c>
      <c r="AO64" s="1" t="str">
        <f>VLOOKUP(Tabla1[[#This Row],[Matricula nueva]],Hoja2!$A$1:$B$224,2,FALSE)</f>
        <v>VF1RFK00373824888</v>
      </c>
      <c r="AP64" s="70">
        <f>IF(Tabla1[[#This Row],[Columna2]]="M1",5.1,"")</f>
        <v>5.0999999999999996</v>
      </c>
      <c r="AQ64" s="71">
        <f t="shared" si="2"/>
        <v>10</v>
      </c>
      <c r="AR64" s="72">
        <v>17.3</v>
      </c>
      <c r="AS64" s="73">
        <f>IF(Tabla1[[#This Row],[Columna2]]="M1",13073,IF(Tabla1[[#This Row],[Columna2]]="N1",15815,IF(Tabla1[[#This Row],[Columna2]]="L3e",2831,53508)))</f>
        <v>13073</v>
      </c>
      <c r="AT64" s="73">
        <f>(Tabla1[[#This Row],[CVA]]*Tabla1[[#This Row],[F]]-Tabla1[[#This Row],[CVN]])/100*Tabla1[[#This Row],[L]]</f>
        <v>4405.6010000000006</v>
      </c>
      <c r="AU64" s="74" t="s">
        <v>70</v>
      </c>
      <c r="AV64" s="294">
        <f>VLOOKUP(B64,Tabla467824[[ID CAE2]:[AE '[kWh']]],6,FALSE)</f>
        <v>6795.3454000000002</v>
      </c>
      <c r="AW6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5" spans="1:49" ht="15" x14ac:dyDescent="0.25">
      <c r="A65" s="114" t="s">
        <v>328</v>
      </c>
      <c r="B65" t="str">
        <f>VLOOKUP(A65,Tabla46782[ID CAE],1,FALSE)</f>
        <v>CAE500059</v>
      </c>
      <c r="C65" s="25" t="s">
        <v>329</v>
      </c>
      <c r="D65" s="103" t="s">
        <v>72</v>
      </c>
      <c r="E65" s="103"/>
      <c r="F65" s="103" t="s">
        <v>72</v>
      </c>
      <c r="G65" s="103"/>
      <c r="H65" s="103" t="s">
        <v>249</v>
      </c>
      <c r="I65" s="103" t="s">
        <v>249</v>
      </c>
      <c r="J65" s="103"/>
      <c r="K65" s="14" t="s">
        <v>73</v>
      </c>
      <c r="L65" s="14" t="s">
        <v>200</v>
      </c>
      <c r="M65" s="14" t="s">
        <v>201</v>
      </c>
      <c r="N65" s="23" t="s">
        <v>76</v>
      </c>
      <c r="O65" s="151">
        <f>VLOOKUP(Tabla1[[#This Row],[Matricula]],BAJA2022202320242025!$B$3:$CR$245,93,FALSE)</f>
        <v>44215</v>
      </c>
      <c r="P65" s="24">
        <v>45676</v>
      </c>
      <c r="Q65" s="158">
        <f>Tabla1[[#This Row],[F.Vig.Final]]-Tabla1[[#This Row],[f Vig Inicio]]</f>
        <v>1461</v>
      </c>
      <c r="R65" s="141">
        <f>YEAR(Tabla1[[#This Row],[F.Vig.Final]])</f>
        <v>2025</v>
      </c>
      <c r="S65" s="25" t="s">
        <v>77</v>
      </c>
      <c r="T65" s="14" t="s">
        <v>78</v>
      </c>
      <c r="U65" s="14" t="s">
        <v>213</v>
      </c>
      <c r="V65" s="14" t="s">
        <v>237</v>
      </c>
      <c r="W65" s="14" t="s">
        <v>190</v>
      </c>
      <c r="X65" s="14" t="s">
        <v>191</v>
      </c>
      <c r="Y65" s="14" t="s">
        <v>194</v>
      </c>
      <c r="Z65" s="16">
        <f>COUNTIF($X$3:X65, X65)</f>
        <v>2</v>
      </c>
      <c r="AA65" s="16" t="s">
        <v>330</v>
      </c>
      <c r="AB65" s="16" t="s">
        <v>85</v>
      </c>
      <c r="AC65" s="16" t="s">
        <v>86</v>
      </c>
      <c r="AD65" s="16" t="s">
        <v>87</v>
      </c>
      <c r="AE65" s="60" t="s">
        <v>331</v>
      </c>
      <c r="AF65" s="24" t="s">
        <v>89</v>
      </c>
      <c r="AG65" s="27">
        <v>45646</v>
      </c>
      <c r="AH65" s="137">
        <f>Tabla1[[#This Row],[Renov. Flota]]-Tabla1[[#This Row],[Año]]</f>
        <v>-1</v>
      </c>
      <c r="AI65" s="18" t="s">
        <v>190</v>
      </c>
      <c r="AJ65" s="107" t="str">
        <f>VLOOKUP(Tabla1[[#This Row],[Matricula nueva]],'ALTA 20242025'!$B$2:$P$242,15,FALSE)</f>
        <v>4500426874</v>
      </c>
      <c r="AK65" s="60" t="s">
        <v>191</v>
      </c>
      <c r="AM65" s="1" t="s">
        <v>72</v>
      </c>
      <c r="AN65" s="1" t="s">
        <v>91</v>
      </c>
      <c r="AO65" s="1" t="str">
        <f>VLOOKUP(Tabla1[[#This Row],[Matricula nueva]],Hoja2!$A$1:$B$224,2,FALSE)</f>
        <v>VF1RFK00273934282</v>
      </c>
      <c r="AP65" s="70">
        <f>IF(Tabla1[[#This Row],[Columna2]]="M1",5.1,"")</f>
        <v>5.0999999999999996</v>
      </c>
      <c r="AQ65" s="71">
        <f t="shared" si="2"/>
        <v>10</v>
      </c>
      <c r="AR65" s="72">
        <v>17.3</v>
      </c>
      <c r="AS65" s="73">
        <f>IF(Tabla1[[#This Row],[Columna2]]="M1",13073,IF(Tabla1[[#This Row],[Columna2]]="N1",15815,IF(Tabla1[[#This Row],[Columna2]]="L3e",2831,53508)))</f>
        <v>13073</v>
      </c>
      <c r="AT65" s="73">
        <f>(Tabla1[[#This Row],[CVA]]*Tabla1[[#This Row],[F]]-Tabla1[[#This Row],[CVN]])/100*Tabla1[[#This Row],[L]]</f>
        <v>4405.6010000000006</v>
      </c>
      <c r="AU65" s="74" t="s">
        <v>70</v>
      </c>
      <c r="AV65" s="294">
        <f>VLOOKUP(B65,Tabla467824[[ID CAE2]:[AE '[kWh']]],6,FALSE)</f>
        <v>6795.3454000000002</v>
      </c>
      <c r="AW6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6" spans="1:49" ht="15" x14ac:dyDescent="0.25">
      <c r="A66" s="114" t="s">
        <v>334</v>
      </c>
      <c r="B66" t="str">
        <f>VLOOKUP(A66,Tabla46782[ID CAE],1,FALSE)</f>
        <v>CAE500060</v>
      </c>
      <c r="C66" s="25" t="s">
        <v>335</v>
      </c>
      <c r="D66" s="103" t="s">
        <v>72</v>
      </c>
      <c r="E66" s="103"/>
      <c r="F66" s="103" t="s">
        <v>72</v>
      </c>
      <c r="G66" s="103"/>
      <c r="H66" s="103" t="s">
        <v>72</v>
      </c>
      <c r="I66" s="103" t="s">
        <v>72</v>
      </c>
      <c r="J66" s="103"/>
      <c r="K66" s="14" t="s">
        <v>73</v>
      </c>
      <c r="L66" s="14" t="s">
        <v>200</v>
      </c>
      <c r="M66" s="14" t="s">
        <v>201</v>
      </c>
      <c r="N66" s="23" t="s">
        <v>76</v>
      </c>
      <c r="O66" s="151">
        <f>VLOOKUP(Tabla1[[#This Row],[Matricula]],BAJA2022202320242025!$B$3:$CR$245,93,FALSE)</f>
        <v>44215</v>
      </c>
      <c r="P66" s="24">
        <v>45676</v>
      </c>
      <c r="Q66" s="158">
        <f>Tabla1[[#This Row],[F.Vig.Final]]-Tabla1[[#This Row],[f Vig Inicio]]</f>
        <v>1461</v>
      </c>
      <c r="R66" s="141">
        <f>YEAR(Tabla1[[#This Row],[F.Vig.Final]])</f>
        <v>2025</v>
      </c>
      <c r="S66" s="25" t="s">
        <v>77</v>
      </c>
      <c r="T66" s="14" t="s">
        <v>78</v>
      </c>
      <c r="U66" s="14" t="s">
        <v>213</v>
      </c>
      <c r="V66" s="14" t="s">
        <v>237</v>
      </c>
      <c r="W66" s="14" t="s">
        <v>336</v>
      </c>
      <c r="X66" s="14" t="s">
        <v>337</v>
      </c>
      <c r="Y66" s="14" t="s">
        <v>338</v>
      </c>
      <c r="Z66" s="16">
        <f>COUNTIF($X$3:X66, X66)</f>
        <v>1</v>
      </c>
      <c r="AA66" s="16" t="s">
        <v>339</v>
      </c>
      <c r="AB66" s="16" t="s">
        <v>85</v>
      </c>
      <c r="AC66" s="16" t="s">
        <v>340</v>
      </c>
      <c r="AD66" s="16" t="s">
        <v>87</v>
      </c>
      <c r="AE66" s="60" t="s">
        <v>341</v>
      </c>
      <c r="AF66" s="24" t="s">
        <v>89</v>
      </c>
      <c r="AG66" s="27">
        <v>43435</v>
      </c>
      <c r="AH66" s="137">
        <f>Tabla1[[#This Row],[Renov. Flota]]-Tabla1[[#This Row],[Año]]</f>
        <v>-1</v>
      </c>
      <c r="AI66" s="18" t="s">
        <v>336</v>
      </c>
      <c r="AJ66" s="109">
        <v>4500399254</v>
      </c>
      <c r="AK66" s="60" t="s">
        <v>337</v>
      </c>
      <c r="AM66" s="1" t="s">
        <v>72</v>
      </c>
      <c r="AN66" s="1" t="s">
        <v>91</v>
      </c>
      <c r="AO66" s="144" t="s">
        <v>342</v>
      </c>
      <c r="AP66" s="70">
        <f>IF(Tabla1[[#This Row],[Columna2]]="M1",5.1,"")</f>
        <v>5.0999999999999996</v>
      </c>
      <c r="AQ66" s="71">
        <f t="shared" si="2"/>
        <v>10</v>
      </c>
      <c r="AR66" s="72">
        <v>13.3</v>
      </c>
      <c r="AS66" s="73">
        <f>IF(Tabla1[[#This Row],[Columna2]]="M1",13073,IF(Tabla1[[#This Row],[Columna2]]="N1",15815,IF(Tabla1[[#This Row],[Columna2]]="L3e",2831,53508)))</f>
        <v>13073</v>
      </c>
      <c r="AT66" s="73">
        <f>(Tabla1[[#This Row],[CVA]]*Tabla1[[#This Row],[F]]-Tabla1[[#This Row],[CVN]])/100*Tabla1[[#This Row],[L]]</f>
        <v>4928.5209999999997</v>
      </c>
      <c r="AU66" s="74" t="s">
        <v>70</v>
      </c>
      <c r="AV66" s="294">
        <f>VLOOKUP(B66,Tabla467824[[ID CAE2]:[AE '[kWh']]],6,FALSE)</f>
        <v>6795.3454000000002</v>
      </c>
      <c r="AW6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7" spans="1:49" ht="15.75" thickBot="1" x14ac:dyDescent="0.3">
      <c r="A67" s="114" t="s">
        <v>343</v>
      </c>
      <c r="B67" t="str">
        <f>VLOOKUP(A67,Tabla46782[ID CAE],1,FALSE)</f>
        <v>CAE500061</v>
      </c>
      <c r="C67" s="25" t="s">
        <v>344</v>
      </c>
      <c r="D67" s="103" t="s">
        <v>72</v>
      </c>
      <c r="E67" s="103"/>
      <c r="F67" s="103" t="s">
        <v>72</v>
      </c>
      <c r="G67" s="103"/>
      <c r="H67" s="103" t="s">
        <v>72</v>
      </c>
      <c r="I67" s="103" t="s">
        <v>72</v>
      </c>
      <c r="J67" s="103"/>
      <c r="K67" s="14" t="s">
        <v>73</v>
      </c>
      <c r="L67" s="14" t="s">
        <v>200</v>
      </c>
      <c r="M67" s="14" t="s">
        <v>201</v>
      </c>
      <c r="N67" s="23" t="s">
        <v>160</v>
      </c>
      <c r="O67" s="153">
        <f>VLOOKUP(Tabla1[[#This Row],[Matricula]],BAJA2022202320242025!$B$3:$CR$245,93,FALSE)</f>
        <v>44237</v>
      </c>
      <c r="P67" s="28">
        <v>45698</v>
      </c>
      <c r="Q67" s="159">
        <f>Tabla1[[#This Row],[F.Vig.Final]]-Tabla1[[#This Row],[f Vig Inicio]]</f>
        <v>1461</v>
      </c>
      <c r="R67" s="141">
        <f>YEAR(Tabla1[[#This Row],[F.Vig.Final]])</f>
        <v>2025</v>
      </c>
      <c r="S67" s="25" t="s">
        <v>161</v>
      </c>
      <c r="T67" s="14" t="s">
        <v>78</v>
      </c>
      <c r="U67" s="14" t="s">
        <v>213</v>
      </c>
      <c r="V67" s="14" t="s">
        <v>237</v>
      </c>
      <c r="W67" s="14" t="s">
        <v>190</v>
      </c>
      <c r="X67" s="14" t="s">
        <v>191</v>
      </c>
      <c r="Y67" s="14" t="s">
        <v>345</v>
      </c>
      <c r="Z67" s="16">
        <f>COUNTIF($X$3:X67, X67)</f>
        <v>3</v>
      </c>
      <c r="AA67" s="16" t="s">
        <v>346</v>
      </c>
      <c r="AB67" s="16" t="s">
        <v>85</v>
      </c>
      <c r="AC67" s="16" t="s">
        <v>340</v>
      </c>
      <c r="AD67" s="16" t="s">
        <v>87</v>
      </c>
      <c r="AE67" s="60" t="s">
        <v>345</v>
      </c>
      <c r="AF67" s="28" t="s">
        <v>89</v>
      </c>
      <c r="AG67" s="27">
        <v>43140</v>
      </c>
      <c r="AH67" s="137">
        <f>Tabla1[[#This Row],[Renov. Flota]]-Tabla1[[#This Row],[Año]]</f>
        <v>-1</v>
      </c>
      <c r="AI67" s="18" t="s">
        <v>190</v>
      </c>
      <c r="AJ67" s="107" t="str">
        <f>VLOOKUP(Tabla1[[#This Row],[Matricula nueva]],'ALTA 20242025'!$B$2:$P$242,15,FALSE)</f>
        <v>4500409585</v>
      </c>
      <c r="AK67" s="60" t="s">
        <v>191</v>
      </c>
      <c r="AM67" s="1" t="s">
        <v>72</v>
      </c>
      <c r="AN67" s="1" t="s">
        <v>91</v>
      </c>
      <c r="AO67" s="1" t="s">
        <v>348</v>
      </c>
      <c r="AP67" s="75">
        <f>IF(Tabla1[[#This Row],[Columna2]]="M1",5.1,"")</f>
        <v>5.0999999999999996</v>
      </c>
      <c r="AQ67" s="76">
        <f t="shared" si="2"/>
        <v>10</v>
      </c>
      <c r="AR67" s="77">
        <v>13.3</v>
      </c>
      <c r="AS67" s="78">
        <f>IF(Tabla1[[#This Row],[Columna2]]="M1",13073,IF(Tabla1[[#This Row],[Columna2]]="N1",15815,IF(Tabla1[[#This Row],[Columna2]]="L3e",2831,53508)))</f>
        <v>13073</v>
      </c>
      <c r="AT67" s="78">
        <f>(Tabla1[[#This Row],[CVA]]*Tabla1[[#This Row],[F]]-Tabla1[[#This Row],[CVN]])/100*Tabla1[[#This Row],[L]]</f>
        <v>4928.5209999999997</v>
      </c>
      <c r="AU67" s="79" t="s">
        <v>70</v>
      </c>
      <c r="AV67" s="294">
        <f>VLOOKUP(B67,Tabla467824[[ID CAE2]:[AE '[kWh']]],6,FALSE)</f>
        <v>6795.3454000000002</v>
      </c>
      <c r="AW6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68" spans="1:49" ht="15.75" hidden="1" thickBot="1" x14ac:dyDescent="0.3">
      <c r="A68" t="s">
        <v>1228</v>
      </c>
      <c r="B68" t="e">
        <f>VLOOKUP(A68,Tabla46782[ID CAE],1,FALSE)</f>
        <v>#N/A</v>
      </c>
      <c r="C68" s="14" t="s">
        <v>1229</v>
      </c>
      <c r="D68" s="14"/>
      <c r="E68" s="14"/>
      <c r="F68" s="14"/>
      <c r="G68" s="14"/>
      <c r="H68" s="14"/>
      <c r="I68" s="14"/>
      <c r="J68" s="14"/>
      <c r="K68" s="14" t="s">
        <v>73</v>
      </c>
      <c r="L68" s="14" t="s">
        <v>200</v>
      </c>
      <c r="M68" s="14" t="s">
        <v>201</v>
      </c>
      <c r="N68" s="14" t="s">
        <v>76</v>
      </c>
      <c r="O68" s="95">
        <f>VLOOKUP(Tabla1[[#This Row],[Matricula]],BAJA2022202320242025!$B$3:$CR$245,93,FALSE)</f>
        <v>43873</v>
      </c>
      <c r="P68" s="21">
        <v>45334</v>
      </c>
      <c r="Q68" s="93">
        <f>Tabla1[[#This Row],[F.Vig.Final]]-Tabla1[[#This Row],[f Vig Inicio]]</f>
        <v>1461</v>
      </c>
      <c r="R68" s="21">
        <f>YEAR(Tabla1[[#This Row],[F.Vig.Final]])</f>
        <v>2024</v>
      </c>
      <c r="S68" s="14" t="s">
        <v>77</v>
      </c>
      <c r="T68" s="14" t="s">
        <v>78</v>
      </c>
      <c r="U68" s="14" t="s">
        <v>85</v>
      </c>
      <c r="V68" s="14" t="s">
        <v>1230</v>
      </c>
      <c r="W68" s="14" t="s">
        <v>1231</v>
      </c>
      <c r="X68" s="14" t="s">
        <v>1232</v>
      </c>
      <c r="Y68" s="14" t="s">
        <v>312</v>
      </c>
      <c r="Z68" s="16">
        <f>COUNTIF($X$3:X68, X68)</f>
        <v>1</v>
      </c>
      <c r="AA68" s="16" t="e">
        <v>#N/A</v>
      </c>
      <c r="AB68" s="16" t="e">
        <v>#N/A</v>
      </c>
      <c r="AC68" s="16" t="e">
        <v>#N/A</v>
      </c>
      <c r="AD68" s="16" t="e">
        <v>#N/A</v>
      </c>
      <c r="AE68" s="16" t="e">
        <v>#N/A</v>
      </c>
      <c r="AF68" s="21" t="e">
        <v>#N/A</v>
      </c>
      <c r="AG68" s="17" t="e">
        <v>#N/A</v>
      </c>
      <c r="AH68" s="17" t="e">
        <f>Tabla1[[#This Row],[Renov. Flota]]-Tabla1[[#This Row],[Año]]</f>
        <v>#N/A</v>
      </c>
      <c r="AI68" s="18" t="e">
        <v>#N/A</v>
      </c>
      <c r="AJ68" s="18" t="e">
        <f>VLOOKUP(Tabla1[[#This Row],[Matricula nueva]],'ALTA 20242025'!$B$2:$P$242,15,FALSE)</f>
        <v>#N/A</v>
      </c>
      <c r="AK68" s="19" t="e">
        <v>#N/A</v>
      </c>
      <c r="AN68" s="1"/>
      <c r="AO68" s="1" t="e">
        <f>VLOOKUP(Tabla1[[#This Row],[Matricula nueva]],Hoja2!$A$1:$B$224,2,FALSE)</f>
        <v>#N/A</v>
      </c>
      <c r="AP68" s="1" t="str">
        <f>IF(Tabla1[[#This Row],[Columna2]]="M1",5.1,"")</f>
        <v/>
      </c>
      <c r="AQ68" s="1"/>
      <c r="AR68" s="1"/>
      <c r="AS68" s="47">
        <f>IF(Tabla1[[#This Row],[Columna2]]="M1",13073,IF(Tabla1[[#This Row],[Columna2]]="N1",15815,IF(Tabla1[[#This Row],[Columna2]]="L3e",2831,53508)))</f>
        <v>53508</v>
      </c>
      <c r="AT68" s="47" t="e">
        <f>(Tabla1[[#This Row],[CVA]]*Tabla1[[#This Row],[F]]-Tabla1[[#This Row],[CVN]])/100*Tabla1[[#This Row],[L]]</f>
        <v>#VALUE!</v>
      </c>
      <c r="AU68" s="1"/>
      <c r="AV68" s="1" t="e">
        <f>VLOOKUP(B68,Tabla467824[[ID CAE2]:[AE '[kWh']]],6,FALSE)</f>
        <v>#N/A</v>
      </c>
      <c r="AW6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69" spans="1:49" ht="15.75" hidden="1" thickBot="1" x14ac:dyDescent="0.3">
      <c r="A69" t="s">
        <v>1233</v>
      </c>
      <c r="B69" t="e">
        <f>VLOOKUP(A69,Tabla46782[ID CAE],1,FALSE)</f>
        <v>#N/A</v>
      </c>
      <c r="C69" s="14" t="s">
        <v>1234</v>
      </c>
      <c r="D69" s="14"/>
      <c r="E69" s="14"/>
      <c r="F69" s="14"/>
      <c r="G69" s="14"/>
      <c r="H69" s="14"/>
      <c r="I69" s="14"/>
      <c r="J69" s="14"/>
      <c r="K69" s="14" t="s">
        <v>73</v>
      </c>
      <c r="L69" s="14" t="s">
        <v>200</v>
      </c>
      <c r="M69" s="14" t="s">
        <v>201</v>
      </c>
      <c r="N69" s="14" t="s">
        <v>76</v>
      </c>
      <c r="O69" s="50">
        <f>VLOOKUP(Tabla1[[#This Row],[Matricula]],BAJA2022202320242025!$B$3:$CR$245,93,FALSE)</f>
        <v>43875</v>
      </c>
      <c r="P69" s="22">
        <v>45336</v>
      </c>
      <c r="Q69" s="48">
        <f>Tabla1[[#This Row],[F.Vig.Final]]-Tabla1[[#This Row],[f Vig Inicio]]</f>
        <v>1461</v>
      </c>
      <c r="R69" s="22">
        <f>YEAR(Tabla1[[#This Row],[F.Vig.Final]])</f>
        <v>2024</v>
      </c>
      <c r="S69" s="14" t="s">
        <v>77</v>
      </c>
      <c r="T69" s="14" t="s">
        <v>78</v>
      </c>
      <c r="U69" s="14" t="s">
        <v>85</v>
      </c>
      <c r="V69" s="14" t="s">
        <v>1230</v>
      </c>
      <c r="W69" s="14" t="s">
        <v>1235</v>
      </c>
      <c r="X69" s="14" t="s">
        <v>1236</v>
      </c>
      <c r="Y69" s="14" t="s">
        <v>312</v>
      </c>
      <c r="Z69" s="16">
        <f>COUNTIF($X$3:X69, X69)</f>
        <v>1</v>
      </c>
      <c r="AA69" s="16" t="e">
        <v>#N/A</v>
      </c>
      <c r="AB69" s="16" t="e">
        <v>#N/A</v>
      </c>
      <c r="AC69" s="16" t="e">
        <v>#N/A</v>
      </c>
      <c r="AD69" s="16" t="e">
        <v>#N/A</v>
      </c>
      <c r="AE69" s="16" t="e">
        <v>#N/A</v>
      </c>
      <c r="AF69" s="22" t="e">
        <v>#N/A</v>
      </c>
      <c r="AG69" s="17" t="e">
        <v>#N/A</v>
      </c>
      <c r="AH69" s="17" t="e">
        <f>Tabla1[[#This Row],[Renov. Flota]]-Tabla1[[#This Row],[Año]]</f>
        <v>#N/A</v>
      </c>
      <c r="AI69" s="18" t="e">
        <v>#N/A</v>
      </c>
      <c r="AJ69" s="18" t="e">
        <f>VLOOKUP(Tabla1[[#This Row],[Matricula nueva]],'ALTA 20242025'!$B$2:$P$242,15,FALSE)</f>
        <v>#N/A</v>
      </c>
      <c r="AK69" s="19" t="e">
        <v>#N/A</v>
      </c>
      <c r="AN69" s="1"/>
      <c r="AO69" s="1" t="e">
        <f>VLOOKUP(Tabla1[[#This Row],[Matricula nueva]],Hoja2!$A$1:$B$224,2,FALSE)</f>
        <v>#N/A</v>
      </c>
      <c r="AP69" s="1" t="str">
        <f>IF(Tabla1[[#This Row],[Columna2]]="M1",5.1,"")</f>
        <v/>
      </c>
      <c r="AQ69" s="1"/>
      <c r="AR69" s="1"/>
      <c r="AS69" s="47">
        <f>IF(Tabla1[[#This Row],[Columna2]]="M1",13073,IF(Tabla1[[#This Row],[Columna2]]="N1",15815,IF(Tabla1[[#This Row],[Columna2]]="L3e",2831,53508)))</f>
        <v>53508</v>
      </c>
      <c r="AT69" s="47" t="e">
        <f>(Tabla1[[#This Row],[CVA]]*Tabla1[[#This Row],[F]]-Tabla1[[#This Row],[CVN]])/100*Tabla1[[#This Row],[L]]</f>
        <v>#VALUE!</v>
      </c>
      <c r="AU69" s="1"/>
      <c r="AV69" s="1" t="e">
        <f>VLOOKUP(B69,Tabla467824[[ID CAE2]:[AE '[kWh']]],6,FALSE)</f>
        <v>#N/A</v>
      </c>
      <c r="AW6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70" spans="1:49" ht="15" x14ac:dyDescent="0.25">
      <c r="A70" s="114" t="s">
        <v>349</v>
      </c>
      <c r="B70" t="str">
        <f>VLOOKUP(A70,Tabla46782[ID CAE],1,FALSE)</f>
        <v>CAE500064</v>
      </c>
      <c r="C70" s="25" t="s">
        <v>350</v>
      </c>
      <c r="D70" s="103" t="s">
        <v>72</v>
      </c>
      <c r="E70" s="103"/>
      <c r="F70" s="103" t="s">
        <v>72</v>
      </c>
      <c r="G70" s="103"/>
      <c r="H70" s="103" t="s">
        <v>72</v>
      </c>
      <c r="I70" s="103" t="s">
        <v>72</v>
      </c>
      <c r="J70" s="103"/>
      <c r="K70" s="14" t="s">
        <v>73</v>
      </c>
      <c r="L70" s="14" t="s">
        <v>200</v>
      </c>
      <c r="M70" s="14" t="s">
        <v>201</v>
      </c>
      <c r="N70" s="23" t="s">
        <v>76</v>
      </c>
      <c r="O70" s="154">
        <f>VLOOKUP(Tabla1[[#This Row],[Matricula]],BAJA2022202320242025!$B$3:$CR$245,93,FALSE)</f>
        <v>44186</v>
      </c>
      <c r="P70" s="29">
        <v>45647</v>
      </c>
      <c r="Q70" s="161">
        <f>Tabla1[[#This Row],[F.Vig.Final]]-Tabla1[[#This Row],[f Vig Inicio]]</f>
        <v>1461</v>
      </c>
      <c r="R70" s="141">
        <f>YEAR(Tabla1[[#This Row],[F.Vig.Final]])</f>
        <v>2024</v>
      </c>
      <c r="S70" s="25" t="s">
        <v>77</v>
      </c>
      <c r="T70" s="14" t="s">
        <v>78</v>
      </c>
      <c r="U70" s="14" t="s">
        <v>213</v>
      </c>
      <c r="V70" s="14" t="s">
        <v>237</v>
      </c>
      <c r="W70" s="14" t="s">
        <v>336</v>
      </c>
      <c r="X70" s="14" t="s">
        <v>337</v>
      </c>
      <c r="Y70" s="14" t="s">
        <v>351</v>
      </c>
      <c r="Z70" s="16">
        <f>COUNTIF($X$3:X70, X70)</f>
        <v>2</v>
      </c>
      <c r="AA70" s="16" t="s">
        <v>352</v>
      </c>
      <c r="AB70" s="16" t="s">
        <v>353</v>
      </c>
      <c r="AC70" s="16" t="s">
        <v>354</v>
      </c>
      <c r="AD70" s="16" t="s">
        <v>87</v>
      </c>
      <c r="AE70" s="60" t="s">
        <v>355</v>
      </c>
      <c r="AF70" s="29" t="s">
        <v>89</v>
      </c>
      <c r="AG70" s="27">
        <v>45391</v>
      </c>
      <c r="AH70" s="137">
        <f>Tabla1[[#This Row],[Renov. Flota]]-Tabla1[[#This Row],[Año]]</f>
        <v>0</v>
      </c>
      <c r="AI70" s="18" t="s">
        <v>336</v>
      </c>
      <c r="AJ70" s="109">
        <v>4500398936</v>
      </c>
      <c r="AK70" s="60" t="s">
        <v>337</v>
      </c>
      <c r="AM70" s="1" t="s">
        <v>72</v>
      </c>
      <c r="AN70" s="1" t="s">
        <v>91</v>
      </c>
      <c r="AO70" s="1" t="s">
        <v>356</v>
      </c>
      <c r="AP70" s="65">
        <f>IF(Tabla1[[#This Row],[Columna2]]="M1",5.1,"")</f>
        <v>5.0999999999999996</v>
      </c>
      <c r="AQ70" s="66">
        <f t="shared" ref="AQ70:AQ78" si="3">IF(T70="DIESEL",10,IF(T70="GLP",7.16,9.19))</f>
        <v>10</v>
      </c>
      <c r="AR70" s="67">
        <v>7</v>
      </c>
      <c r="AS70" s="68">
        <f>IF(Tabla1[[#This Row],[Columna2]]="M1",13073,IF(Tabla1[[#This Row],[Columna2]]="N1",15815,IF(Tabla1[[#This Row],[Columna2]]="L3e",2831,53508)))</f>
        <v>13073</v>
      </c>
      <c r="AT70" s="68">
        <f>(Tabla1[[#This Row],[CVA]]*Tabla1[[#This Row],[F]]-Tabla1[[#This Row],[CVN]])/100*Tabla1[[#This Row],[L]]</f>
        <v>5752.12</v>
      </c>
      <c r="AU70" s="69" t="s">
        <v>70</v>
      </c>
      <c r="AV70" s="294">
        <f>VLOOKUP(B70,Tabla467824[[ID CAE2]:[AE '[kWh']]],6,FALSE)</f>
        <v>6795.3454000000002</v>
      </c>
      <c r="AW7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1" spans="1:49" ht="15" x14ac:dyDescent="0.25">
      <c r="A71" s="114" t="s">
        <v>357</v>
      </c>
      <c r="B71" t="str">
        <f>VLOOKUP(A71,Tabla46782[ID CAE],1,FALSE)</f>
        <v>CAE500065</v>
      </c>
      <c r="C71" s="25" t="s">
        <v>358</v>
      </c>
      <c r="D71" s="103" t="s">
        <v>72</v>
      </c>
      <c r="E71" s="103" t="s">
        <v>72</v>
      </c>
      <c r="F71" s="103" t="s">
        <v>72</v>
      </c>
      <c r="G71" s="103"/>
      <c r="H71" s="103" t="s">
        <v>72</v>
      </c>
      <c r="I71" s="103" t="s">
        <v>72</v>
      </c>
      <c r="J71" s="103"/>
      <c r="K71" s="14" t="s">
        <v>73</v>
      </c>
      <c r="L71" s="14" t="s">
        <v>200</v>
      </c>
      <c r="M71" s="14" t="s">
        <v>201</v>
      </c>
      <c r="N71" s="23" t="s">
        <v>76</v>
      </c>
      <c r="O71" s="151">
        <f>VLOOKUP(Tabla1[[#This Row],[Matricula]],BAJA2022202320242025!$B$3:$CR$245,93,FALSE)</f>
        <v>43578</v>
      </c>
      <c r="P71" s="24">
        <v>45039</v>
      </c>
      <c r="Q71" s="158">
        <f>Tabla1[[#This Row],[F.Vig.Final]]-Tabla1[[#This Row],[f Vig Inicio]]</f>
        <v>1461</v>
      </c>
      <c r="R71" s="141">
        <f>YEAR(Tabla1[[#This Row],[F.Vig.Final]])</f>
        <v>2023</v>
      </c>
      <c r="S71" s="25" t="s">
        <v>77</v>
      </c>
      <c r="T71" s="14" t="s">
        <v>78</v>
      </c>
      <c r="U71" s="14" t="s">
        <v>359</v>
      </c>
      <c r="V71" s="14" t="s">
        <v>360</v>
      </c>
      <c r="W71" s="14" t="s">
        <v>131</v>
      </c>
      <c r="X71" s="14" t="s">
        <v>132</v>
      </c>
      <c r="Y71" s="14" t="s">
        <v>133</v>
      </c>
      <c r="Z71" s="16">
        <f>COUNTIF($X$3:X71, X71)</f>
        <v>3</v>
      </c>
      <c r="AA71" s="16" t="s">
        <v>361</v>
      </c>
      <c r="AB71" s="16" t="s">
        <v>140</v>
      </c>
      <c r="AC71" s="16" t="s">
        <v>151</v>
      </c>
      <c r="AD71" s="16" t="s">
        <v>87</v>
      </c>
      <c r="AE71" s="60" t="s">
        <v>135</v>
      </c>
      <c r="AF71" s="24" t="s">
        <v>89</v>
      </c>
      <c r="AG71" s="27">
        <v>45625</v>
      </c>
      <c r="AH71" s="137">
        <f>Tabla1[[#This Row],[Renov. Flota]]-Tabla1[[#This Row],[Año]]</f>
        <v>1</v>
      </c>
      <c r="AI71" s="18" t="s">
        <v>131</v>
      </c>
      <c r="AJ71" s="107" t="str">
        <f>VLOOKUP(Tabla1[[#This Row],[Matricula nueva]],'ALTA 20242025'!$B$2:$P$242,15,FALSE)</f>
        <v>4500426701</v>
      </c>
      <c r="AK71" s="60" t="s">
        <v>132</v>
      </c>
      <c r="AM71" s="1" t="s">
        <v>72</v>
      </c>
      <c r="AN71" s="1" t="s">
        <v>91</v>
      </c>
      <c r="AO71" s="1" t="str">
        <f>VLOOKUP(Tabla1[[#This Row],[Matricula nueva]],Hoja2!$A$1:$B$224,2,FALSE)</f>
        <v>VR7CBZYA1ST000158</v>
      </c>
      <c r="AP71" s="70">
        <f>IF(Tabla1[[#This Row],[Columna2]]="M1",5.1,"")</f>
        <v>5.0999999999999996</v>
      </c>
      <c r="AQ71" s="71">
        <f t="shared" si="3"/>
        <v>10</v>
      </c>
      <c r="AR71" s="72">
        <v>16.399999999999999</v>
      </c>
      <c r="AS71" s="73">
        <f>IF(Tabla1[[#This Row],[Columna2]]="M1",13073,IF(Tabla1[[#This Row],[Columna2]]="N1",15815,IF(Tabla1[[#This Row],[Columna2]]="L3e",2831,53508)))</f>
        <v>13073</v>
      </c>
      <c r="AT71" s="73">
        <f>(Tabla1[[#This Row],[CVA]]*Tabla1[[#This Row],[F]]-Tabla1[[#This Row],[CVN]])/100*Tabla1[[#This Row],[L]]</f>
        <v>4523.2580000000007</v>
      </c>
      <c r="AU71" s="74" t="s">
        <v>70</v>
      </c>
      <c r="AV71" s="294">
        <f>VLOOKUP(B71,Tabla467824[[ID CAE2]:[AE '[kWh']]],6,FALSE)</f>
        <v>6795.3454000000002</v>
      </c>
      <c r="AW7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2" spans="1:49" ht="15" x14ac:dyDescent="0.25">
      <c r="A72" s="114" t="s">
        <v>364</v>
      </c>
      <c r="B72" t="str">
        <f>VLOOKUP(A72,Tabla46782[ID CAE],1,FALSE)</f>
        <v>CAE500066</v>
      </c>
      <c r="C72" s="25" t="s">
        <v>365</v>
      </c>
      <c r="D72" s="103" t="s">
        <v>72</v>
      </c>
      <c r="E72" s="103"/>
      <c r="F72" s="103" t="s">
        <v>72</v>
      </c>
      <c r="G72" s="103"/>
      <c r="H72" s="103" t="s">
        <v>72</v>
      </c>
      <c r="I72" s="103" t="s">
        <v>72</v>
      </c>
      <c r="J72" s="103"/>
      <c r="K72" s="14" t="s">
        <v>73</v>
      </c>
      <c r="L72" s="14" t="s">
        <v>200</v>
      </c>
      <c r="M72" s="14" t="s">
        <v>201</v>
      </c>
      <c r="N72" s="23" t="s">
        <v>76</v>
      </c>
      <c r="O72" s="151">
        <f>VLOOKUP(Tabla1[[#This Row],[Matricula]],BAJA2022202320242025!$B$3:$CR$245,93,FALSE)</f>
        <v>43726</v>
      </c>
      <c r="P72" s="24">
        <v>45553</v>
      </c>
      <c r="Q72" s="158">
        <f>Tabla1[[#This Row],[F.Vig.Final]]-Tabla1[[#This Row],[f Vig Inicio]]</f>
        <v>1827</v>
      </c>
      <c r="R72" s="141">
        <f>YEAR(Tabla1[[#This Row],[F.Vig.Final]])</f>
        <v>2024</v>
      </c>
      <c r="S72" s="25" t="s">
        <v>77</v>
      </c>
      <c r="T72" s="14" t="s">
        <v>78</v>
      </c>
      <c r="U72" s="14" t="s">
        <v>359</v>
      </c>
      <c r="V72" s="14" t="s">
        <v>360</v>
      </c>
      <c r="W72" s="14" t="s">
        <v>119</v>
      </c>
      <c r="X72" s="14" t="s">
        <v>120</v>
      </c>
      <c r="Y72" s="14" t="s">
        <v>366</v>
      </c>
      <c r="Z72" s="16">
        <f>COUNTIF($X$3:X72, X72)</f>
        <v>10</v>
      </c>
      <c r="AA72" s="16" t="s">
        <v>367</v>
      </c>
      <c r="AB72" s="16" t="s">
        <v>140</v>
      </c>
      <c r="AC72" s="16" t="s">
        <v>151</v>
      </c>
      <c r="AD72" s="16" t="s">
        <v>87</v>
      </c>
      <c r="AE72" s="60" t="s">
        <v>368</v>
      </c>
      <c r="AF72" s="24" t="s">
        <v>89</v>
      </c>
      <c r="AG72" s="27">
        <v>45622</v>
      </c>
      <c r="AH72" s="137">
        <f>Tabla1[[#This Row],[Renov. Flota]]-Tabla1[[#This Row],[Año]]</f>
        <v>0</v>
      </c>
      <c r="AI72" s="18" t="s">
        <v>119</v>
      </c>
      <c r="AJ72" s="107" t="str">
        <f>VLOOKUP(Tabla1[[#This Row],[Matricula nueva]],'ALTA 20242025'!$B$2:$P$242,15,FALSE)</f>
        <v>4500424789</v>
      </c>
      <c r="AK72" s="60" t="s">
        <v>120</v>
      </c>
      <c r="AM72" s="1" t="s">
        <v>72</v>
      </c>
      <c r="AN72" s="1" t="s">
        <v>91</v>
      </c>
      <c r="AO72" s="1" t="str">
        <f>VLOOKUP(Tabla1[[#This Row],[Matricula nueva]],Hoja2!$A$1:$B$224,2,FALSE)</f>
        <v>VR7CBZYA9RT152179</v>
      </c>
      <c r="AP72" s="70">
        <f>IF(Tabla1[[#This Row],[Columna2]]="M1",5.1,"")</f>
        <v>5.0999999999999996</v>
      </c>
      <c r="AQ72" s="71">
        <f t="shared" si="3"/>
        <v>10</v>
      </c>
      <c r="AR72" s="72">
        <v>16.399999999999999</v>
      </c>
      <c r="AS72" s="73">
        <f>IF(Tabla1[[#This Row],[Columna2]]="M1",13073,IF(Tabla1[[#This Row],[Columna2]]="N1",15815,IF(Tabla1[[#This Row],[Columna2]]="L3e",2831,53508)))</f>
        <v>13073</v>
      </c>
      <c r="AT72" s="73">
        <f>(Tabla1[[#This Row],[CVA]]*Tabla1[[#This Row],[F]]-Tabla1[[#This Row],[CVN]])/100*Tabla1[[#This Row],[L]]</f>
        <v>4523.2580000000007</v>
      </c>
      <c r="AU72" s="74" t="s">
        <v>70</v>
      </c>
      <c r="AV72" s="294">
        <f>VLOOKUP(B72,Tabla467824[[ID CAE2]:[AE '[kWh']]],6,FALSE)</f>
        <v>6795.3454000000002</v>
      </c>
      <c r="AW7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3" spans="1:49" ht="15" x14ac:dyDescent="0.25">
      <c r="A73" s="114" t="s">
        <v>371</v>
      </c>
      <c r="B73" t="str">
        <f>VLOOKUP(A73,Tabla46782[ID CAE],1,FALSE)</f>
        <v>CAE500067</v>
      </c>
      <c r="C73" s="25" t="s">
        <v>372</v>
      </c>
      <c r="D73" s="103" t="s">
        <v>72</v>
      </c>
      <c r="E73" s="103" t="s">
        <v>72</v>
      </c>
      <c r="F73" s="103" t="s">
        <v>72</v>
      </c>
      <c r="G73" s="103"/>
      <c r="H73" s="103" t="s">
        <v>72</v>
      </c>
      <c r="I73" s="103" t="s">
        <v>72</v>
      </c>
      <c r="J73" s="103"/>
      <c r="K73" s="14" t="s">
        <v>73</v>
      </c>
      <c r="L73" s="14" t="s">
        <v>200</v>
      </c>
      <c r="M73" s="14" t="s">
        <v>201</v>
      </c>
      <c r="N73" s="23" t="s">
        <v>76</v>
      </c>
      <c r="O73" s="151">
        <f>VLOOKUP(Tabla1[[#This Row],[Matricula]],BAJA2022202320242025!$B$3:$CR$245,93,FALSE)</f>
        <v>43749</v>
      </c>
      <c r="P73" s="24">
        <v>45576</v>
      </c>
      <c r="Q73" s="158">
        <f>Tabla1[[#This Row],[F.Vig.Final]]-Tabla1[[#This Row],[f Vig Inicio]]</f>
        <v>1827</v>
      </c>
      <c r="R73" s="141">
        <f>YEAR(Tabla1[[#This Row],[F.Vig.Final]])</f>
        <v>2024</v>
      </c>
      <c r="S73" s="25" t="s">
        <v>77</v>
      </c>
      <c r="T73" s="14" t="s">
        <v>78</v>
      </c>
      <c r="U73" s="14" t="s">
        <v>359</v>
      </c>
      <c r="V73" s="14" t="s">
        <v>360</v>
      </c>
      <c r="W73" s="14" t="s">
        <v>336</v>
      </c>
      <c r="X73" s="14" t="s">
        <v>337</v>
      </c>
      <c r="Y73" s="14" t="s">
        <v>373</v>
      </c>
      <c r="Z73" s="16">
        <f>COUNTIF($X$3:X73, X73)</f>
        <v>3</v>
      </c>
      <c r="AA73" s="16" t="s">
        <v>374</v>
      </c>
      <c r="AB73" s="16" t="s">
        <v>140</v>
      </c>
      <c r="AC73" s="16" t="s">
        <v>151</v>
      </c>
      <c r="AD73" s="16" t="s">
        <v>87</v>
      </c>
      <c r="AE73" s="60" t="s">
        <v>338</v>
      </c>
      <c r="AF73" s="24" t="s">
        <v>89</v>
      </c>
      <c r="AG73" s="27">
        <v>45625</v>
      </c>
      <c r="AH73" s="137">
        <f>Tabla1[[#This Row],[Renov. Flota]]-Tabla1[[#This Row],[Año]]</f>
        <v>0</v>
      </c>
      <c r="AI73" s="18" t="s">
        <v>336</v>
      </c>
      <c r="AJ73" s="107" t="str">
        <f>VLOOKUP(Tabla1[[#This Row],[Matricula nueva]],'ALTA 20242025'!$B$2:$P$242,15,FALSE)</f>
        <v>4500424798</v>
      </c>
      <c r="AK73" s="60" t="s">
        <v>337</v>
      </c>
      <c r="AM73" s="1" t="s">
        <v>72</v>
      </c>
      <c r="AN73" s="1" t="s">
        <v>91</v>
      </c>
      <c r="AO73" s="1" t="str">
        <f>VLOOKUP(Tabla1[[#This Row],[Matricula nueva]],Hoja2!$A$1:$B$224,2,FALSE)</f>
        <v>VR7CBZYA9RT153042</v>
      </c>
      <c r="AP73" s="70">
        <f>IF(Tabla1[[#This Row],[Columna2]]="M1",5.1,"")</f>
        <v>5.0999999999999996</v>
      </c>
      <c r="AQ73" s="71">
        <f t="shared" si="3"/>
        <v>10</v>
      </c>
      <c r="AR73" s="72">
        <v>16.399999999999999</v>
      </c>
      <c r="AS73" s="73">
        <f>IF(Tabla1[[#This Row],[Columna2]]="M1",13073,IF(Tabla1[[#This Row],[Columna2]]="N1",15815,IF(Tabla1[[#This Row],[Columna2]]="L3e",2831,53508)))</f>
        <v>13073</v>
      </c>
      <c r="AT73" s="73">
        <f>(Tabla1[[#This Row],[CVA]]*Tabla1[[#This Row],[F]]-Tabla1[[#This Row],[CVN]])/100*Tabla1[[#This Row],[L]]</f>
        <v>4523.2580000000007</v>
      </c>
      <c r="AU73" s="74" t="s">
        <v>70</v>
      </c>
      <c r="AV73" s="294">
        <f>VLOOKUP(B73,Tabla467824[[ID CAE2]:[AE '[kWh']]],6,FALSE)</f>
        <v>6795.3454000000002</v>
      </c>
      <c r="AW7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4" spans="1:49" ht="15" x14ac:dyDescent="0.25">
      <c r="A74" s="114" t="s">
        <v>377</v>
      </c>
      <c r="B74" t="str">
        <f>VLOOKUP(A74,Tabla46782[ID CAE],1,FALSE)</f>
        <v>CAE500068</v>
      </c>
      <c r="C74" s="25" t="s">
        <v>378</v>
      </c>
      <c r="D74" s="103" t="s">
        <v>72</v>
      </c>
      <c r="E74" s="103" t="s">
        <v>72</v>
      </c>
      <c r="F74" s="103" t="s">
        <v>72</v>
      </c>
      <c r="G74" s="103"/>
      <c r="H74" s="103" t="s">
        <v>72</v>
      </c>
      <c r="I74" s="103" t="s">
        <v>72</v>
      </c>
      <c r="J74" s="103"/>
      <c r="K74" s="14" t="s">
        <v>73</v>
      </c>
      <c r="L74" s="14" t="s">
        <v>200</v>
      </c>
      <c r="M74" s="14" t="s">
        <v>201</v>
      </c>
      <c r="N74" s="23" t="s">
        <v>160</v>
      </c>
      <c r="O74" s="151">
        <f>VLOOKUP(Tabla1[[#This Row],[Matricula]],BAJA2022202320242025!$B$3:$CR$245,93,FALSE)</f>
        <v>43522</v>
      </c>
      <c r="P74" s="24">
        <v>45348</v>
      </c>
      <c r="Q74" s="158">
        <f>Tabla1[[#This Row],[F.Vig.Final]]-Tabla1[[#This Row],[f Vig Inicio]]</f>
        <v>1826</v>
      </c>
      <c r="R74" s="141">
        <f>YEAR(Tabla1[[#This Row],[F.Vig.Final]])</f>
        <v>2024</v>
      </c>
      <c r="S74" s="25" t="s">
        <v>161</v>
      </c>
      <c r="T74" s="14" t="s">
        <v>78</v>
      </c>
      <c r="U74" s="14" t="s">
        <v>359</v>
      </c>
      <c r="V74" s="14" t="s">
        <v>360</v>
      </c>
      <c r="W74" s="14" t="s">
        <v>336</v>
      </c>
      <c r="X74" s="14" t="s">
        <v>337</v>
      </c>
      <c r="Y74" s="14" t="s">
        <v>373</v>
      </c>
      <c r="Z74" s="16">
        <f>COUNTIF($X$3:X74, X74)</f>
        <v>4</v>
      </c>
      <c r="AA74" s="16" t="s">
        <v>379</v>
      </c>
      <c r="AB74" s="16" t="s">
        <v>380</v>
      </c>
      <c r="AC74" s="16" t="s">
        <v>381</v>
      </c>
      <c r="AD74" s="16" t="s">
        <v>87</v>
      </c>
      <c r="AE74" s="60" t="s">
        <v>382</v>
      </c>
      <c r="AF74" s="24" t="s">
        <v>89</v>
      </c>
      <c r="AG74" s="27">
        <v>45483</v>
      </c>
      <c r="AH74" s="137">
        <f>Tabla1[[#This Row],[Renov. Flota]]-Tabla1[[#This Row],[Año]]</f>
        <v>0</v>
      </c>
      <c r="AI74" s="18" t="s">
        <v>336</v>
      </c>
      <c r="AJ74" s="109">
        <v>4500407442</v>
      </c>
      <c r="AK74" s="60" t="s">
        <v>337</v>
      </c>
      <c r="AM74" s="1" t="s">
        <v>72</v>
      </c>
      <c r="AN74" s="1" t="s">
        <v>91</v>
      </c>
      <c r="AO74" s="1" t="s">
        <v>383</v>
      </c>
      <c r="AP74" s="70">
        <f>IF(Tabla1[[#This Row],[Columna2]]="M1",5.1,"")</f>
        <v>5.0999999999999996</v>
      </c>
      <c r="AQ74" s="71">
        <f t="shared" si="3"/>
        <v>10</v>
      </c>
      <c r="AR74" s="72">
        <v>20</v>
      </c>
      <c r="AS74" s="73">
        <f>IF(Tabla1[[#This Row],[Columna2]]="M1",13073,IF(Tabla1[[#This Row],[Columna2]]="N1",15815,IF(Tabla1[[#This Row],[Columna2]]="L3e",2831,53508)))</f>
        <v>13073</v>
      </c>
      <c r="AT74" s="73">
        <f>(Tabla1[[#This Row],[CVA]]*Tabla1[[#This Row],[F]]-Tabla1[[#This Row],[CVN]])/100*Tabla1[[#This Row],[L]]</f>
        <v>4052.63</v>
      </c>
      <c r="AU74" s="74" t="s">
        <v>70</v>
      </c>
      <c r="AV74" s="294">
        <f>VLOOKUP(B74,Tabla467824[[ID CAE2]:[AE '[kWh']]],6,FALSE)</f>
        <v>6795.3454000000002</v>
      </c>
      <c r="AW7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5" spans="1:49" ht="15" x14ac:dyDescent="0.25">
      <c r="A75" s="114" t="s">
        <v>384</v>
      </c>
      <c r="B75" t="str">
        <f>VLOOKUP(A75,Tabla46782[ID CAE],1,FALSE)</f>
        <v>CAE500069</v>
      </c>
      <c r="C75" s="25" t="s">
        <v>385</v>
      </c>
      <c r="D75" s="103" t="s">
        <v>72</v>
      </c>
      <c r="E75" s="103"/>
      <c r="F75" s="103" t="s">
        <v>72</v>
      </c>
      <c r="G75" s="103"/>
      <c r="H75" s="103" t="s">
        <v>72</v>
      </c>
      <c r="I75" s="103" t="s">
        <v>72</v>
      </c>
      <c r="J75" s="103"/>
      <c r="K75" s="14" t="s">
        <v>73</v>
      </c>
      <c r="L75" s="14" t="s">
        <v>200</v>
      </c>
      <c r="M75" s="14" t="s">
        <v>201</v>
      </c>
      <c r="N75" s="23" t="s">
        <v>76</v>
      </c>
      <c r="O75" s="151">
        <f>VLOOKUP(Tabla1[[#This Row],[Matricula]],BAJA2022202320242025!$B$3:$CR$245,93,FALSE)</f>
        <v>43584</v>
      </c>
      <c r="P75" s="24">
        <v>45045</v>
      </c>
      <c r="Q75" s="158">
        <f>Tabla1[[#This Row],[F.Vig.Final]]-Tabla1[[#This Row],[f Vig Inicio]]</f>
        <v>1461</v>
      </c>
      <c r="R75" s="141">
        <f>YEAR(Tabla1[[#This Row],[F.Vig.Final]])</f>
        <v>2023</v>
      </c>
      <c r="S75" s="25" t="s">
        <v>77</v>
      </c>
      <c r="T75" s="14" t="s">
        <v>78</v>
      </c>
      <c r="U75" s="14" t="s">
        <v>359</v>
      </c>
      <c r="V75" s="14" t="s">
        <v>360</v>
      </c>
      <c r="W75" s="14" t="s">
        <v>119</v>
      </c>
      <c r="X75" s="14" t="s">
        <v>120</v>
      </c>
      <c r="Y75" s="14" t="s">
        <v>386</v>
      </c>
      <c r="Z75" s="16">
        <f>COUNTIF($X$3:X75, X75)</f>
        <v>11</v>
      </c>
      <c r="AA75" s="16" t="s">
        <v>387</v>
      </c>
      <c r="AB75" s="16" t="s">
        <v>85</v>
      </c>
      <c r="AC75" s="16" t="s">
        <v>86</v>
      </c>
      <c r="AD75" s="16" t="s">
        <v>87</v>
      </c>
      <c r="AE75" s="60" t="s">
        <v>152</v>
      </c>
      <c r="AF75" s="24" t="s">
        <v>89</v>
      </c>
      <c r="AG75" s="27">
        <v>45645</v>
      </c>
      <c r="AH75" s="137">
        <f>Tabla1[[#This Row],[Renov. Flota]]-Tabla1[[#This Row],[Año]]</f>
        <v>1</v>
      </c>
      <c r="AI75" s="18" t="s">
        <v>119</v>
      </c>
      <c r="AJ75" s="107" t="str">
        <f>VLOOKUP(Tabla1[[#This Row],[Matricula nueva]],'ALTA 20242025'!$B$2:$P$242,15,FALSE)</f>
        <v>4500426873</v>
      </c>
      <c r="AK75" s="60" t="s">
        <v>120</v>
      </c>
      <c r="AM75" s="1" t="s">
        <v>72</v>
      </c>
      <c r="AN75" s="1" t="s">
        <v>91</v>
      </c>
      <c r="AO75" s="1" t="str">
        <f>VLOOKUP(Tabla1[[#This Row],[Matricula nueva]],Hoja2!$A$1:$B$224,2,FALSE)</f>
        <v>VF1RFK00073934264</v>
      </c>
      <c r="AP75" s="70">
        <f>IF(Tabla1[[#This Row],[Columna2]]="M1",5.1,"")</f>
        <v>5.0999999999999996</v>
      </c>
      <c r="AQ75" s="71">
        <f t="shared" si="3"/>
        <v>10</v>
      </c>
      <c r="AR75" s="72">
        <v>17.3</v>
      </c>
      <c r="AS75" s="73">
        <f>IF(Tabla1[[#This Row],[Columna2]]="M1",13073,IF(Tabla1[[#This Row],[Columna2]]="N1",15815,IF(Tabla1[[#This Row],[Columna2]]="L3e",2831,53508)))</f>
        <v>13073</v>
      </c>
      <c r="AT75" s="73">
        <f>(Tabla1[[#This Row],[CVA]]*Tabla1[[#This Row],[F]]-Tabla1[[#This Row],[CVN]])/100*Tabla1[[#This Row],[L]]</f>
        <v>4405.6010000000006</v>
      </c>
      <c r="AU75" s="74" t="s">
        <v>70</v>
      </c>
      <c r="AV75" s="294">
        <f>VLOOKUP(B75,Tabla467824[[ID CAE2]:[AE '[kWh']]],6,FALSE)</f>
        <v>6795.3454000000002</v>
      </c>
      <c r="AW7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6" spans="1:49" ht="15" x14ac:dyDescent="0.25">
      <c r="A76" s="114" t="s">
        <v>390</v>
      </c>
      <c r="B76" t="str">
        <f>VLOOKUP(A76,Tabla46782[ID CAE],1,FALSE)</f>
        <v>CAE500070</v>
      </c>
      <c r="C76" s="25" t="s">
        <v>391</v>
      </c>
      <c r="D76" s="103" t="s">
        <v>72</v>
      </c>
      <c r="E76" s="103"/>
      <c r="F76" s="103" t="s">
        <v>72</v>
      </c>
      <c r="G76" s="103"/>
      <c r="H76" s="103" t="s">
        <v>72</v>
      </c>
      <c r="I76" s="103" t="s">
        <v>72</v>
      </c>
      <c r="J76" s="103"/>
      <c r="K76" s="14" t="s">
        <v>73</v>
      </c>
      <c r="L76" s="14" t="s">
        <v>200</v>
      </c>
      <c r="M76" s="14" t="s">
        <v>201</v>
      </c>
      <c r="N76" s="23" t="s">
        <v>76</v>
      </c>
      <c r="O76" s="151">
        <f>VLOOKUP(Tabla1[[#This Row],[Matricula]],BAJA2022202320242025!$B$3:$CR$245,93,FALSE)</f>
        <v>43747</v>
      </c>
      <c r="P76" s="24">
        <v>45208</v>
      </c>
      <c r="Q76" s="158">
        <f>Tabla1[[#This Row],[F.Vig.Final]]-Tabla1[[#This Row],[f Vig Inicio]]</f>
        <v>1461</v>
      </c>
      <c r="R76" s="141">
        <f>YEAR(Tabla1[[#This Row],[F.Vig.Final]])</f>
        <v>2023</v>
      </c>
      <c r="S76" s="25" t="s">
        <v>77</v>
      </c>
      <c r="T76" s="14" t="s">
        <v>78</v>
      </c>
      <c r="U76" s="14" t="s">
        <v>359</v>
      </c>
      <c r="V76" s="14" t="s">
        <v>360</v>
      </c>
      <c r="W76" s="14" t="s">
        <v>131</v>
      </c>
      <c r="X76" s="14" t="s">
        <v>132</v>
      </c>
      <c r="Y76" s="14" t="s">
        <v>392</v>
      </c>
      <c r="Z76" s="16">
        <f>COUNTIF($X$3:X76, X76)</f>
        <v>4</v>
      </c>
      <c r="AA76" s="16" t="s">
        <v>393</v>
      </c>
      <c r="AB76" s="16" t="s">
        <v>85</v>
      </c>
      <c r="AC76" s="16" t="s">
        <v>86</v>
      </c>
      <c r="AD76" s="16" t="s">
        <v>87</v>
      </c>
      <c r="AE76" s="60" t="s">
        <v>318</v>
      </c>
      <c r="AF76" s="24" t="s">
        <v>89</v>
      </c>
      <c r="AG76" s="27">
        <v>45625</v>
      </c>
      <c r="AH76" s="137">
        <f>Tabla1[[#This Row],[Renov. Flota]]-Tabla1[[#This Row],[Año]]</f>
        <v>1</v>
      </c>
      <c r="AI76" s="18" t="s">
        <v>131</v>
      </c>
      <c r="AJ76" s="107" t="str">
        <f>VLOOKUP(Tabla1[[#This Row],[Matricula nueva]],'ALTA 20242025'!$B$2:$P$242,15,FALSE)</f>
        <v>4500426766</v>
      </c>
      <c r="AK76" s="60" t="s">
        <v>132</v>
      </c>
      <c r="AM76" s="1" t="s">
        <v>72</v>
      </c>
      <c r="AN76" s="1" t="s">
        <v>91</v>
      </c>
      <c r="AO76" s="1" t="str">
        <f>VLOOKUP(Tabla1[[#This Row],[Matricula nueva]],Hoja2!$A$1:$B$224,2,FALSE)</f>
        <v>VF1RFK00X73824810</v>
      </c>
      <c r="AP76" s="70">
        <f>IF(Tabla1[[#This Row],[Columna2]]="M1",5.1,"")</f>
        <v>5.0999999999999996</v>
      </c>
      <c r="AQ76" s="71">
        <f t="shared" si="3"/>
        <v>10</v>
      </c>
      <c r="AR76" s="72">
        <v>17.3</v>
      </c>
      <c r="AS76" s="73">
        <f>IF(Tabla1[[#This Row],[Columna2]]="M1",13073,IF(Tabla1[[#This Row],[Columna2]]="N1",15815,IF(Tabla1[[#This Row],[Columna2]]="L3e",2831,53508)))</f>
        <v>13073</v>
      </c>
      <c r="AT76" s="73">
        <f>(Tabla1[[#This Row],[CVA]]*Tabla1[[#This Row],[F]]-Tabla1[[#This Row],[CVN]])/100*Tabla1[[#This Row],[L]]</f>
        <v>4405.6010000000006</v>
      </c>
      <c r="AU76" s="74" t="s">
        <v>70</v>
      </c>
      <c r="AV76" s="294">
        <f>VLOOKUP(B76,Tabla467824[[ID CAE2]:[AE '[kWh']]],6,FALSE)</f>
        <v>6795.3454000000002</v>
      </c>
      <c r="AW7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7" spans="1:49" ht="15" x14ac:dyDescent="0.25">
      <c r="A77" s="114" t="s">
        <v>396</v>
      </c>
      <c r="B77" t="str">
        <f>VLOOKUP(A77,Tabla46782[ID CAE],1,FALSE)</f>
        <v>CAE500071</v>
      </c>
      <c r="C77" s="25" t="s">
        <v>397</v>
      </c>
      <c r="D77" s="103" t="s">
        <v>72</v>
      </c>
      <c r="E77" s="103"/>
      <c r="F77" s="103" t="s">
        <v>72</v>
      </c>
      <c r="G77" s="103"/>
      <c r="H77" s="103" t="s">
        <v>72</v>
      </c>
      <c r="I77" s="103" t="s">
        <v>72</v>
      </c>
      <c r="J77" s="103"/>
      <c r="K77" s="14" t="s">
        <v>73</v>
      </c>
      <c r="L77" s="14" t="s">
        <v>200</v>
      </c>
      <c r="M77" s="14" t="s">
        <v>201</v>
      </c>
      <c r="N77" s="23" t="s">
        <v>76</v>
      </c>
      <c r="O77" s="151">
        <f>VLOOKUP(Tabla1[[#This Row],[Matricula]],BAJA2022202320242025!$B$3:$CR$245,93,FALSE)</f>
        <v>43619</v>
      </c>
      <c r="P77" s="24">
        <v>45476</v>
      </c>
      <c r="Q77" s="158">
        <f>Tabla1[[#This Row],[F.Vig.Final]]-Tabla1[[#This Row],[f Vig Inicio]]</f>
        <v>1857</v>
      </c>
      <c r="R77" s="141">
        <f>YEAR(Tabla1[[#This Row],[F.Vig.Final]])</f>
        <v>2024</v>
      </c>
      <c r="S77" s="25" t="s">
        <v>77</v>
      </c>
      <c r="T77" s="14" t="s">
        <v>78</v>
      </c>
      <c r="U77" s="14" t="s">
        <v>359</v>
      </c>
      <c r="V77" s="14" t="s">
        <v>360</v>
      </c>
      <c r="W77" s="14" t="s">
        <v>119</v>
      </c>
      <c r="X77" s="14" t="s">
        <v>120</v>
      </c>
      <c r="Y77" s="14" t="s">
        <v>366</v>
      </c>
      <c r="Z77" s="16">
        <f>COUNTIF($X$3:X77, X77)</f>
        <v>12</v>
      </c>
      <c r="AA77" s="16" t="s">
        <v>398</v>
      </c>
      <c r="AB77" s="16" t="s">
        <v>85</v>
      </c>
      <c r="AC77" s="16" t="s">
        <v>86</v>
      </c>
      <c r="AD77" s="16" t="s">
        <v>87</v>
      </c>
      <c r="AE77" s="60" t="s">
        <v>325</v>
      </c>
      <c r="AF77" s="24" t="s">
        <v>89</v>
      </c>
      <c r="AG77" s="27">
        <v>45645</v>
      </c>
      <c r="AH77" s="137">
        <f>Tabla1[[#This Row],[Renov. Flota]]-Tabla1[[#This Row],[Año]]</f>
        <v>0</v>
      </c>
      <c r="AI77" s="18" t="s">
        <v>119</v>
      </c>
      <c r="AJ77" s="107" t="str">
        <f>VLOOKUP(Tabla1[[#This Row],[Matricula nueva]],'ALTA 20242025'!$B$2:$P$242,15,FALSE)</f>
        <v>4500426758</v>
      </c>
      <c r="AK77" s="60" t="s">
        <v>120</v>
      </c>
      <c r="AM77" s="1" t="s">
        <v>72</v>
      </c>
      <c r="AN77" s="1" t="s">
        <v>91</v>
      </c>
      <c r="AO77" s="1" t="str">
        <f>VLOOKUP(Tabla1[[#This Row],[Matricula nueva]],Hoja2!$A$1:$B$224,2,FALSE)</f>
        <v>VF1RFK00873824885</v>
      </c>
      <c r="AP77" s="70">
        <f>IF(Tabla1[[#This Row],[Columna2]]="M1",5.1,"")</f>
        <v>5.0999999999999996</v>
      </c>
      <c r="AQ77" s="71">
        <f t="shared" si="3"/>
        <v>10</v>
      </c>
      <c r="AR77" s="72">
        <v>17.3</v>
      </c>
      <c r="AS77" s="73">
        <f>IF(Tabla1[[#This Row],[Columna2]]="M1",13073,IF(Tabla1[[#This Row],[Columna2]]="N1",15815,IF(Tabla1[[#This Row],[Columna2]]="L3e",2831,53508)))</f>
        <v>13073</v>
      </c>
      <c r="AT77" s="73">
        <f>(Tabla1[[#This Row],[CVA]]*Tabla1[[#This Row],[F]]-Tabla1[[#This Row],[CVN]])/100*Tabla1[[#This Row],[L]]</f>
        <v>4405.6010000000006</v>
      </c>
      <c r="AU77" s="74" t="s">
        <v>70</v>
      </c>
      <c r="AV77" s="294">
        <f>VLOOKUP(B77,Tabla467824[[ID CAE2]:[AE '[kWh']]],6,FALSE)</f>
        <v>6795.3454000000002</v>
      </c>
      <c r="AW7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8" spans="1:49" ht="15.75" thickBot="1" x14ac:dyDescent="0.3">
      <c r="A78" s="114" t="s">
        <v>401</v>
      </c>
      <c r="B78" t="str">
        <f>VLOOKUP(A78,Tabla46782[ID CAE],1,FALSE)</f>
        <v>CAE500072</v>
      </c>
      <c r="C78" s="25" t="s">
        <v>402</v>
      </c>
      <c r="D78" s="103" t="s">
        <v>72</v>
      </c>
      <c r="E78" s="103" t="s">
        <v>72</v>
      </c>
      <c r="F78" s="103" t="s">
        <v>72</v>
      </c>
      <c r="G78" s="103"/>
      <c r="H78" s="103" t="s">
        <v>72</v>
      </c>
      <c r="I78" s="103" t="s">
        <v>72</v>
      </c>
      <c r="J78" s="103"/>
      <c r="K78" s="14" t="s">
        <v>73</v>
      </c>
      <c r="L78" s="14" t="s">
        <v>200</v>
      </c>
      <c r="M78" s="14" t="s">
        <v>201</v>
      </c>
      <c r="N78" s="23" t="s">
        <v>76</v>
      </c>
      <c r="O78" s="153">
        <f>VLOOKUP(Tabla1[[#This Row],[Matricula]],BAJA2022202320242025!$B$3:$CR$245,93,FALSE)</f>
        <v>43749</v>
      </c>
      <c r="P78" s="28">
        <v>45576</v>
      </c>
      <c r="Q78" s="159">
        <f>Tabla1[[#This Row],[F.Vig.Final]]-Tabla1[[#This Row],[f Vig Inicio]]</f>
        <v>1827</v>
      </c>
      <c r="R78" s="141">
        <f>YEAR(Tabla1[[#This Row],[F.Vig.Final]])</f>
        <v>2024</v>
      </c>
      <c r="S78" s="25" t="s">
        <v>77</v>
      </c>
      <c r="T78" s="14" t="s">
        <v>78</v>
      </c>
      <c r="U78" s="14" t="s">
        <v>359</v>
      </c>
      <c r="V78" s="14" t="s">
        <v>360</v>
      </c>
      <c r="W78" s="14" t="s">
        <v>403</v>
      </c>
      <c r="X78" s="14" t="s">
        <v>404</v>
      </c>
      <c r="Y78" s="14" t="s">
        <v>405</v>
      </c>
      <c r="Z78" s="16">
        <f>COUNTIF($X$3:X78, X78)</f>
        <v>1</v>
      </c>
      <c r="AA78" s="16" t="s">
        <v>406</v>
      </c>
      <c r="AB78" s="16" t="s">
        <v>85</v>
      </c>
      <c r="AC78" s="16" t="s">
        <v>86</v>
      </c>
      <c r="AD78" s="16" t="s">
        <v>87</v>
      </c>
      <c r="AE78" s="60" t="s">
        <v>407</v>
      </c>
      <c r="AF78" s="28" t="s">
        <v>89</v>
      </c>
      <c r="AG78" s="27">
        <v>45645</v>
      </c>
      <c r="AH78" s="137">
        <f>Tabla1[[#This Row],[Renov. Flota]]-Tabla1[[#This Row],[Año]]</f>
        <v>0</v>
      </c>
      <c r="AI78" s="18" t="s">
        <v>403</v>
      </c>
      <c r="AJ78" s="107" t="str">
        <f>VLOOKUP(Tabla1[[#This Row],[Matricula nueva]],'ALTA 20242025'!$B$2:$P$242,15,FALSE)</f>
        <v>4500426808</v>
      </c>
      <c r="AK78" s="60" t="s">
        <v>404</v>
      </c>
      <c r="AM78" s="1" t="s">
        <v>72</v>
      </c>
      <c r="AN78" s="1" t="s">
        <v>91</v>
      </c>
      <c r="AO78" s="1" t="str">
        <f>VLOOKUP(Tabla1[[#This Row],[Matricula nueva]],Hoja2!$A$1:$B$224,2,FALSE)</f>
        <v>VF1RFK00873934304</v>
      </c>
      <c r="AP78" s="75">
        <f>IF(Tabla1[[#This Row],[Columna2]]="M1",5.1,"")</f>
        <v>5.0999999999999996</v>
      </c>
      <c r="AQ78" s="76">
        <f t="shared" si="3"/>
        <v>10</v>
      </c>
      <c r="AR78" s="77">
        <v>17.3</v>
      </c>
      <c r="AS78" s="78">
        <f>IF(Tabla1[[#This Row],[Columna2]]="M1",13073,IF(Tabla1[[#This Row],[Columna2]]="N1",15815,IF(Tabla1[[#This Row],[Columna2]]="L3e",2831,53508)))</f>
        <v>13073</v>
      </c>
      <c r="AT78" s="78">
        <f>(Tabla1[[#This Row],[CVA]]*Tabla1[[#This Row],[F]]-Tabla1[[#This Row],[CVN]])/100*Tabla1[[#This Row],[L]]</f>
        <v>4405.6010000000006</v>
      </c>
      <c r="AU78" s="79" t="s">
        <v>70</v>
      </c>
      <c r="AV78" s="294">
        <f>VLOOKUP(B78,Tabla467824[[ID CAE2]:[AE '[kWh']]],6,FALSE)</f>
        <v>6795.3454000000002</v>
      </c>
      <c r="AW7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79" spans="1:49" ht="15.75" hidden="1" thickBot="1" x14ac:dyDescent="0.3">
      <c r="A79" t="s">
        <v>1237</v>
      </c>
      <c r="B79" t="e">
        <f>VLOOKUP(A79,Tabla46782[ID CAE],1,FALSE)</f>
        <v>#N/A</v>
      </c>
      <c r="C79" s="14" t="s">
        <v>1238</v>
      </c>
      <c r="D79" s="14"/>
      <c r="E79" s="14"/>
      <c r="F79" s="14"/>
      <c r="G79" s="14"/>
      <c r="H79" s="14"/>
      <c r="I79" s="14"/>
      <c r="J79" s="14"/>
      <c r="K79" s="14" t="s">
        <v>885</v>
      </c>
      <c r="L79" s="14" t="s">
        <v>161</v>
      </c>
      <c r="M79" s="14" t="s">
        <v>886</v>
      </c>
      <c r="N79" s="14" t="s">
        <v>171</v>
      </c>
      <c r="O79" s="152">
        <f>VLOOKUP(Tabla1[[#This Row],[Matricula]],BAJA2022202320242025!$B$3:$CR$245,93,FALSE)</f>
        <v>44330</v>
      </c>
      <c r="P79" s="15">
        <v>45382</v>
      </c>
      <c r="Q79" s="160">
        <f>Tabla1[[#This Row],[F.Vig.Final]]-Tabla1[[#This Row],[f Vig Inicio]]</f>
        <v>1052</v>
      </c>
      <c r="R79" s="15">
        <f>YEAR(Tabla1[[#This Row],[F.Vig.Final]])</f>
        <v>2024</v>
      </c>
      <c r="S79" s="14" t="s">
        <v>172</v>
      </c>
      <c r="T79" s="14" t="s">
        <v>78</v>
      </c>
      <c r="U79" s="14" t="s">
        <v>140</v>
      </c>
      <c r="V79" s="14" t="s">
        <v>1239</v>
      </c>
      <c r="W79" s="14" t="s">
        <v>1240</v>
      </c>
      <c r="X79" s="14" t="s">
        <v>1241</v>
      </c>
      <c r="Y79" s="14" t="s">
        <v>1242</v>
      </c>
      <c r="Z79" s="16">
        <f>COUNTIF($X$3:X79, X79)</f>
        <v>1</v>
      </c>
      <c r="AA79" s="16" t="e">
        <v>#N/A</v>
      </c>
      <c r="AB79" s="16" t="e">
        <v>#N/A</v>
      </c>
      <c r="AC79" s="16" t="e">
        <v>#N/A</v>
      </c>
      <c r="AD79" s="16" t="e">
        <v>#N/A</v>
      </c>
      <c r="AE79" s="16" t="e">
        <v>#N/A</v>
      </c>
      <c r="AF79" s="15" t="e">
        <v>#N/A</v>
      </c>
      <c r="AG79" s="17" t="e">
        <v>#N/A</v>
      </c>
      <c r="AH79" s="17" t="e">
        <f>Tabla1[[#This Row],[Renov. Flota]]-Tabla1[[#This Row],[Año]]</f>
        <v>#N/A</v>
      </c>
      <c r="AI79" s="18" t="e">
        <v>#N/A</v>
      </c>
      <c r="AJ79" s="18" t="e">
        <f>VLOOKUP(Tabla1[[#This Row],[Matricula nueva]],'ALTA 20242025'!$B$2:$P$242,15,FALSE)</f>
        <v>#N/A</v>
      </c>
      <c r="AK79" s="19" t="e">
        <v>#N/A</v>
      </c>
      <c r="AN79" s="1"/>
      <c r="AO79" s="1" t="e">
        <f>VLOOKUP(Tabla1[[#This Row],[Matricula nueva]],Hoja2!$A$1:$B$224,2,FALSE)</f>
        <v>#N/A</v>
      </c>
      <c r="AP79" s="1" t="str">
        <f>IF(Tabla1[[#This Row],[Columna2]]="M1",5.1,"")</f>
        <v/>
      </c>
      <c r="AQ79" s="1"/>
      <c r="AR79" s="1"/>
      <c r="AS79" s="47">
        <f>IF(Tabla1[[#This Row],[Columna2]]="M1",13073,IF(Tabla1[[#This Row],[Columna2]]="N1",15815,IF(Tabla1[[#This Row],[Columna2]]="L3e",2831,53508)))</f>
        <v>53508</v>
      </c>
      <c r="AT79" s="47" t="e">
        <f>(Tabla1[[#This Row],[CVA]]*Tabla1[[#This Row],[F]]-Tabla1[[#This Row],[CVN]])/100*Tabla1[[#This Row],[L]]</f>
        <v>#VALUE!</v>
      </c>
      <c r="AU79" s="1"/>
      <c r="AV79" s="1" t="e">
        <f>VLOOKUP(B79,Tabla467824[[ID CAE2]:[AE '[kWh']]],6,FALSE)</f>
        <v>#N/A</v>
      </c>
      <c r="AW7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0" spans="1:49" ht="15" x14ac:dyDescent="0.25">
      <c r="A80" s="114" t="s">
        <v>410</v>
      </c>
      <c r="B80" t="str">
        <f>VLOOKUP(A80,Tabla46782[ID CAE],1,FALSE)</f>
        <v>CAE500074</v>
      </c>
      <c r="C80" s="112" t="s">
        <v>411</v>
      </c>
      <c r="D80" s="103"/>
      <c r="E80" s="103"/>
      <c r="F80" s="103"/>
      <c r="G80" s="103"/>
      <c r="H80" s="103" t="s">
        <v>72</v>
      </c>
      <c r="I80" s="103"/>
      <c r="J80" s="103"/>
      <c r="K80" s="14" t="s">
        <v>413</v>
      </c>
      <c r="L80" s="14" t="s">
        <v>414</v>
      </c>
      <c r="M80" s="14" t="s">
        <v>415</v>
      </c>
      <c r="N80" s="23" t="s">
        <v>171</v>
      </c>
      <c r="O80" s="154">
        <f>VLOOKUP(Tabla1[[#This Row],[Matricula]],BAJA2022202320242025!$B$3:$CR$245,93,FALSE)</f>
        <v>42116</v>
      </c>
      <c r="P80" s="29">
        <v>45382</v>
      </c>
      <c r="Q80" s="161">
        <f>Tabla1[[#This Row],[F.Vig.Final]]-Tabla1[[#This Row],[f Vig Inicio]]</f>
        <v>3266</v>
      </c>
      <c r="R80" s="141">
        <f>YEAR(Tabla1[[#This Row],[F.Vig.Final]])</f>
        <v>2024</v>
      </c>
      <c r="S80" s="25" t="s">
        <v>172</v>
      </c>
      <c r="T80" s="14" t="s">
        <v>202</v>
      </c>
      <c r="U80" s="14" t="s">
        <v>416</v>
      </c>
      <c r="V80" s="14" t="s">
        <v>417</v>
      </c>
      <c r="W80" s="14" t="s">
        <v>119</v>
      </c>
      <c r="X80" s="14" t="s">
        <v>120</v>
      </c>
      <c r="Y80" s="14" t="s">
        <v>366</v>
      </c>
      <c r="Z80" s="16">
        <f>COUNTIF($X$3:X80, X80)</f>
        <v>13</v>
      </c>
      <c r="AA80" s="16" t="s">
        <v>418</v>
      </c>
      <c r="AB80" s="16" t="s">
        <v>85</v>
      </c>
      <c r="AC80" s="16" t="s">
        <v>86</v>
      </c>
      <c r="AD80" s="16" t="s">
        <v>87</v>
      </c>
      <c r="AE80" s="60" t="s">
        <v>419</v>
      </c>
      <c r="AF80" s="29" t="s">
        <v>89</v>
      </c>
      <c r="AG80" s="27">
        <v>45645</v>
      </c>
      <c r="AH80" s="137">
        <f>Tabla1[[#This Row],[Renov. Flota]]-Tabla1[[#This Row],[Año]]</f>
        <v>0</v>
      </c>
      <c r="AI80" s="18" t="s">
        <v>119</v>
      </c>
      <c r="AJ80" s="107" t="str">
        <f>VLOOKUP(Tabla1[[#This Row],[Matricula nueva]],'ALTA 20242025'!$B$2:$P$242,15,FALSE)</f>
        <v>4500426786</v>
      </c>
      <c r="AK80" s="60" t="s">
        <v>120</v>
      </c>
      <c r="AM80" s="1" t="s">
        <v>72</v>
      </c>
      <c r="AN80" s="1" t="s">
        <v>91</v>
      </c>
      <c r="AO80" s="1" t="str">
        <f>VLOOKUP(Tabla1[[#This Row],[Matricula nueva]],Hoja2!$A$1:$B$224,2,FALSE)</f>
        <v>VF1RFK00573824889</v>
      </c>
      <c r="AP80" s="65">
        <f>IF(Tabla1[[#This Row],[Columna2]]="M1",5.1,"")</f>
        <v>5.0999999999999996</v>
      </c>
      <c r="AQ80" s="66">
        <f>IF(T80="DIESEL",10,IF(T80="GLP",7.16,9.19))</f>
        <v>9.19</v>
      </c>
      <c r="AR80" s="67">
        <v>17.3</v>
      </c>
      <c r="AS80" s="68">
        <f>IF(Tabla1[[#This Row],[Columna2]]="M1",13073,IF(Tabla1[[#This Row],[Columna2]]="N1",15815,IF(Tabla1[[#This Row],[Columna2]]="L3e",2831,53508)))</f>
        <v>13073</v>
      </c>
      <c r="AT80" s="68">
        <f>(Tabla1[[#This Row],[CVA]]*Tabla1[[#This Row],[F]]-Tabla1[[#This Row],[CVN]])/100*Tabla1[[#This Row],[L]]</f>
        <v>3865.5553699999987</v>
      </c>
      <c r="AU80" s="69" t="s">
        <v>70</v>
      </c>
      <c r="AV80" s="294">
        <v>0</v>
      </c>
      <c r="AW8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1" spans="1:49" ht="15.75" thickBot="1" x14ac:dyDescent="0.3">
      <c r="A81" s="114" t="s">
        <v>423</v>
      </c>
      <c r="B81" t="str">
        <f>VLOOKUP(A81,Tabla46782[ID CAE],1,FALSE)</f>
        <v>CAE500075</v>
      </c>
      <c r="C81" s="25" t="s">
        <v>424</v>
      </c>
      <c r="D81" s="103" t="s">
        <v>72</v>
      </c>
      <c r="E81" s="103" t="s">
        <v>72</v>
      </c>
      <c r="F81" s="103" t="s">
        <v>72</v>
      </c>
      <c r="G81" s="103"/>
      <c r="H81" s="103" t="s">
        <v>72</v>
      </c>
      <c r="I81" s="103" t="s">
        <v>72</v>
      </c>
      <c r="J81" s="103"/>
      <c r="K81" s="14" t="s">
        <v>129</v>
      </c>
      <c r="L81" s="14" t="s">
        <v>74</v>
      </c>
      <c r="M81" s="14" t="s">
        <v>75</v>
      </c>
      <c r="N81" s="23" t="s">
        <v>76</v>
      </c>
      <c r="O81" s="156">
        <f>VLOOKUP(Tabla1[[#This Row],[Matricula]],BAJA2022202320242025!$B$3:$CR$245,93,FALSE)</f>
        <v>45075</v>
      </c>
      <c r="P81" s="28">
        <v>45189</v>
      </c>
      <c r="Q81" s="159">
        <f>Tabla1[[#This Row],[F.Vig.Final]]-Tabla1[[#This Row],[f Vig Inicio]]</f>
        <v>114</v>
      </c>
      <c r="R81" s="141">
        <f>YEAR(Tabla1[[#This Row],[F.Vig.Final]])</f>
        <v>2023</v>
      </c>
      <c r="S81" s="25" t="s">
        <v>77</v>
      </c>
      <c r="T81" s="14" t="s">
        <v>78</v>
      </c>
      <c r="U81" s="14" t="s">
        <v>380</v>
      </c>
      <c r="V81" s="14" t="s">
        <v>426</v>
      </c>
      <c r="W81" s="14" t="s">
        <v>131</v>
      </c>
      <c r="X81" s="14" t="s">
        <v>132</v>
      </c>
      <c r="Y81" s="14" t="s">
        <v>427</v>
      </c>
      <c r="Z81" s="16">
        <f>COUNTIF($X$3:X81, X81)</f>
        <v>5</v>
      </c>
      <c r="AA81" s="16" t="s">
        <v>428</v>
      </c>
      <c r="AB81" s="16" t="s">
        <v>140</v>
      </c>
      <c r="AC81" s="16" t="s">
        <v>151</v>
      </c>
      <c r="AD81" s="16" t="s">
        <v>87</v>
      </c>
      <c r="AE81" s="60" t="s">
        <v>429</v>
      </c>
      <c r="AF81" s="28" t="s">
        <v>89</v>
      </c>
      <c r="AG81" s="27">
        <v>45625</v>
      </c>
      <c r="AH81" s="137">
        <f>Tabla1[[#This Row],[Renov. Flota]]-Tabla1[[#This Row],[Año]]</f>
        <v>1</v>
      </c>
      <c r="AI81" s="18" t="s">
        <v>131</v>
      </c>
      <c r="AJ81" s="107" t="str">
        <f>VLOOKUP(Tabla1[[#This Row],[Matricula nueva]],'ALTA 20242025'!$B$2:$P$242,15,FALSE)</f>
        <v>4500426703</v>
      </c>
      <c r="AK81" s="60" t="s">
        <v>132</v>
      </c>
      <c r="AM81" s="1" t="s">
        <v>72</v>
      </c>
      <c r="AN81" s="1" t="s">
        <v>91</v>
      </c>
      <c r="AO81" s="1" t="str">
        <f>VLOOKUP(Tabla1[[#This Row],[Matricula nueva]],Hoja2!$A$1:$B$224,2,FALSE)</f>
        <v>VR7CBZYA9ST000165</v>
      </c>
      <c r="AP81" s="75">
        <v>5.6</v>
      </c>
      <c r="AQ81" s="76">
        <f>IF(T81="DIESEL",10,IF(T81="GLP",7.16,9.19))</f>
        <v>10</v>
      </c>
      <c r="AR81" s="77">
        <v>16.399999999999999</v>
      </c>
      <c r="AS81" s="78">
        <f>IF(Tabla1[[#This Row],[Columna2]]="M1",13073,IF(Tabla1[[#This Row],[Columna2]]="N1",15815,IF(Tabla1[[#This Row],[Columna2]]="L3e",2831,53508)))</f>
        <v>15815</v>
      </c>
      <c r="AT81" s="78">
        <f>(Tabla1[[#This Row],[CVA]]*Tabla1[[#This Row],[F]]-Tabla1[[#This Row],[CVN]])/100*Tabla1[[#This Row],[L]]</f>
        <v>6262.7400000000007</v>
      </c>
      <c r="AU81" s="79" t="s">
        <v>128</v>
      </c>
      <c r="AV81" s="294">
        <f>VLOOKUP(B81,Tabla467824[[ID CAE2]:[AE '[kWh']]],6,FALSE)</f>
        <v>5607.9989999999989</v>
      </c>
      <c r="AW8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82" spans="1:49" ht="15.75" hidden="1" thickBot="1" x14ac:dyDescent="0.3">
      <c r="A82" t="s">
        <v>1243</v>
      </c>
      <c r="B82" t="e">
        <f>VLOOKUP(A82,Tabla46782[ID CAE],1,FALSE)</f>
        <v>#N/A</v>
      </c>
      <c r="C82" s="14" t="s">
        <v>1244</v>
      </c>
      <c r="D82" s="14"/>
      <c r="E82" s="14"/>
      <c r="F82" s="14"/>
      <c r="G82" s="14"/>
      <c r="H82" s="14"/>
      <c r="I82" s="14"/>
      <c r="J82" s="14"/>
      <c r="K82" s="14" t="s">
        <v>73</v>
      </c>
      <c r="L82" s="14" t="s">
        <v>200</v>
      </c>
      <c r="M82" s="14" t="s">
        <v>201</v>
      </c>
      <c r="N82" s="14" t="s">
        <v>76</v>
      </c>
      <c r="O82" s="152">
        <f>VLOOKUP(Tabla1[[#This Row],[Matricula]],BAJA2022202320242025!$B$3:$CR$245,93,FALSE)</f>
        <v>43416</v>
      </c>
      <c r="P82" s="15">
        <v>45386</v>
      </c>
      <c r="Q82" s="160">
        <f>Tabla1[[#This Row],[F.Vig.Final]]-Tabla1[[#This Row],[f Vig Inicio]]</f>
        <v>1970</v>
      </c>
      <c r="R82" s="15">
        <f>YEAR(Tabla1[[#This Row],[F.Vig.Final]])</f>
        <v>2024</v>
      </c>
      <c r="S82" s="14" t="s">
        <v>77</v>
      </c>
      <c r="T82" s="14" t="s">
        <v>674</v>
      </c>
      <c r="U82" s="14" t="s">
        <v>359</v>
      </c>
      <c r="V82" s="14" t="s">
        <v>1245</v>
      </c>
      <c r="W82" s="14" t="s">
        <v>1124</v>
      </c>
      <c r="X82" s="14" t="s">
        <v>1125</v>
      </c>
      <c r="Y82" s="14" t="s">
        <v>776</v>
      </c>
      <c r="Z82" s="16">
        <f>COUNTIF($X$3:X82, X82)</f>
        <v>2</v>
      </c>
      <c r="AA82" s="16" t="e">
        <v>#N/A</v>
      </c>
      <c r="AB82" s="16" t="e">
        <v>#N/A</v>
      </c>
      <c r="AC82" s="16" t="e">
        <v>#N/A</v>
      </c>
      <c r="AD82" s="16" t="e">
        <v>#N/A</v>
      </c>
      <c r="AE82" s="16" t="e">
        <v>#N/A</v>
      </c>
      <c r="AF82" s="15" t="e">
        <v>#N/A</v>
      </c>
      <c r="AG82" s="17" t="e">
        <v>#N/A</v>
      </c>
      <c r="AH82" s="17" t="e">
        <f>Tabla1[[#This Row],[Renov. Flota]]-Tabla1[[#This Row],[Año]]</f>
        <v>#N/A</v>
      </c>
      <c r="AI82" s="18" t="e">
        <v>#N/A</v>
      </c>
      <c r="AJ82" s="18" t="e">
        <f>VLOOKUP(Tabla1[[#This Row],[Matricula nueva]],'ALTA 20242025'!$B$2:$P$242,15,FALSE)</f>
        <v>#N/A</v>
      </c>
      <c r="AK82" s="19" t="e">
        <v>#N/A</v>
      </c>
      <c r="AN82" s="1"/>
      <c r="AO82" s="1" t="e">
        <f>VLOOKUP(Tabla1[[#This Row],[Matricula nueva]],Hoja2!$A$1:$B$224,2,FALSE)</f>
        <v>#N/A</v>
      </c>
      <c r="AP82" s="1" t="str">
        <f>IF(Tabla1[[#This Row],[Columna2]]="M1",5.1,"")</f>
        <v/>
      </c>
      <c r="AQ82" s="1"/>
      <c r="AR82" s="1"/>
      <c r="AS82" s="47">
        <f>IF(Tabla1[[#This Row],[Columna2]]="M1",13073,IF(Tabla1[[#This Row],[Columna2]]="N1",15815,IF(Tabla1[[#This Row],[Columna2]]="L3e",2831,53508)))</f>
        <v>53508</v>
      </c>
      <c r="AT82" s="47" t="e">
        <f>(Tabla1[[#This Row],[CVA]]*Tabla1[[#This Row],[F]]-Tabla1[[#This Row],[CVN]])/100*Tabla1[[#This Row],[L]]</f>
        <v>#VALUE!</v>
      </c>
      <c r="AU82" s="1"/>
      <c r="AV82" s="1" t="e">
        <f>VLOOKUP(B82,Tabla467824[[ID CAE2]:[AE '[kWh']]],6,FALSE)</f>
        <v>#N/A</v>
      </c>
      <c r="AW8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3" spans="1:49" ht="15.75" thickBot="1" x14ac:dyDescent="0.3">
      <c r="A83" s="114" t="s">
        <v>432</v>
      </c>
      <c r="B83" t="str">
        <f>VLOOKUP(A83,Tabla46782[ID CAE],1,FALSE)</f>
        <v>CAE500077</v>
      </c>
      <c r="C83" s="25" t="s">
        <v>433</v>
      </c>
      <c r="D83" s="103" t="s">
        <v>72</v>
      </c>
      <c r="E83" s="103"/>
      <c r="F83" s="103" t="s">
        <v>72</v>
      </c>
      <c r="G83" s="103"/>
      <c r="H83" s="103" t="s">
        <v>72</v>
      </c>
      <c r="I83" s="103" t="s">
        <v>72</v>
      </c>
      <c r="J83" s="103"/>
      <c r="K83" s="14" t="s">
        <v>73</v>
      </c>
      <c r="L83" s="14" t="s">
        <v>74</v>
      </c>
      <c r="M83" s="14" t="s">
        <v>75</v>
      </c>
      <c r="N83" s="23" t="s">
        <v>76</v>
      </c>
      <c r="O83" s="34">
        <f>VLOOKUP(Tabla1[[#This Row],[Matricula]],BAJA2022202320242025!$B$3:$CR$245,93,FALSE)</f>
        <v>45202</v>
      </c>
      <c r="P83" s="89">
        <v>45278</v>
      </c>
      <c r="Q83" s="164">
        <f>Tabla1[[#This Row],[F.Vig.Final]]-Tabla1[[#This Row],[f Vig Inicio]]</f>
        <v>76</v>
      </c>
      <c r="R83" s="141">
        <f>YEAR(Tabla1[[#This Row],[F.Vig.Final]])</f>
        <v>2023</v>
      </c>
      <c r="S83" s="25" t="s">
        <v>77</v>
      </c>
      <c r="T83" s="14" t="s">
        <v>78</v>
      </c>
      <c r="U83" s="14" t="s">
        <v>85</v>
      </c>
      <c r="V83" s="14" t="s">
        <v>434</v>
      </c>
      <c r="W83" s="14" t="s">
        <v>102</v>
      </c>
      <c r="X83" s="14" t="s">
        <v>103</v>
      </c>
      <c r="Y83" s="14" t="s">
        <v>104</v>
      </c>
      <c r="Z83" s="16">
        <f>COUNTIF($X$3:X83, X83)</f>
        <v>4</v>
      </c>
      <c r="AA83" s="16" t="s">
        <v>435</v>
      </c>
      <c r="AB83" s="16" t="s">
        <v>85</v>
      </c>
      <c r="AC83" s="16" t="s">
        <v>114</v>
      </c>
      <c r="AD83" s="16" t="s">
        <v>87</v>
      </c>
      <c r="AE83" s="60" t="s">
        <v>115</v>
      </c>
      <c r="AF83" s="30" t="s">
        <v>108</v>
      </c>
      <c r="AG83" s="27">
        <v>45135</v>
      </c>
      <c r="AH83" s="137">
        <f>Tabla1[[#This Row],[Renov. Flota]]-Tabla1[[#This Row],[Año]]</f>
        <v>0</v>
      </c>
      <c r="AI83" s="18" t="s">
        <v>102</v>
      </c>
      <c r="AJ83" s="109">
        <v>4500351520</v>
      </c>
      <c r="AK83" s="60" t="s">
        <v>103</v>
      </c>
      <c r="AM83" s="1" t="s">
        <v>72</v>
      </c>
      <c r="AN83" s="1" t="s">
        <v>109</v>
      </c>
      <c r="AO83" s="1" t="s">
        <v>436</v>
      </c>
      <c r="AP83" s="80">
        <f>IF(Tabla1[[#This Row],[Columna2]]="M1",5.1,"")</f>
        <v>5.0999999999999996</v>
      </c>
      <c r="AQ83" s="81">
        <f>IF(T83="DIESEL",10,IF(T83="GLP",7.16,9.19))</f>
        <v>10</v>
      </c>
      <c r="AR83" s="82">
        <v>17.3</v>
      </c>
      <c r="AS83" s="83">
        <f>IF(Tabla1[[#This Row],[Columna2]]="M1",13073,IF(Tabla1[[#This Row],[Columna2]]="N1",15815,IF(Tabla1[[#This Row],[Columna2]]="L3e",2831,53508)))</f>
        <v>13073</v>
      </c>
      <c r="AT83" s="83">
        <f>(Tabla1[[#This Row],[CVA]]*Tabla1[[#This Row],[F]]-Tabla1[[#This Row],[CVN]])/100*Tabla1[[#This Row],[L]]</f>
        <v>4405.6010000000006</v>
      </c>
      <c r="AU83" s="84" t="s">
        <v>70</v>
      </c>
      <c r="AV83" s="294">
        <f>VLOOKUP(B83,Tabla467824[[ID CAE2]:[AE '[kWh']]],6,FALSE)</f>
        <v>6795.3454000000002</v>
      </c>
      <c r="AW8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84" spans="1:49" ht="15.75" hidden="1" thickBot="1" x14ac:dyDescent="0.3">
      <c r="A84" t="s">
        <v>1246</v>
      </c>
      <c r="B84" t="e">
        <f>VLOOKUP(A84,Tabla46782[ID CAE],1,FALSE)</f>
        <v>#N/A</v>
      </c>
      <c r="C84" s="14" t="s">
        <v>1247</v>
      </c>
      <c r="D84" s="14"/>
      <c r="E84" s="14"/>
      <c r="F84" s="14"/>
      <c r="G84" s="14"/>
      <c r="H84" s="14"/>
      <c r="I84" s="14"/>
      <c r="J84" s="14"/>
      <c r="K84" s="14" t="s">
        <v>885</v>
      </c>
      <c r="L84" s="14" t="s">
        <v>161</v>
      </c>
      <c r="M84" s="14" t="s">
        <v>886</v>
      </c>
      <c r="N84" s="14" t="s">
        <v>171</v>
      </c>
      <c r="O84" s="95">
        <f>VLOOKUP(Tabla1[[#This Row],[Matricula]],BAJA2022202320242025!$B$3:$CR$245,93,FALSE)</f>
        <v>43879</v>
      </c>
      <c r="P84" s="21">
        <v>45397</v>
      </c>
      <c r="Q84" s="93">
        <f>Tabla1[[#This Row],[F.Vig.Final]]-Tabla1[[#This Row],[f Vig Inicio]]</f>
        <v>1518</v>
      </c>
      <c r="R84" s="21">
        <f>YEAR(Tabla1[[#This Row],[F.Vig.Final]])</f>
        <v>2024</v>
      </c>
      <c r="S84" s="14" t="s">
        <v>172</v>
      </c>
      <c r="T84" s="14" t="s">
        <v>78</v>
      </c>
      <c r="U84" s="14" t="s">
        <v>1248</v>
      </c>
      <c r="V84" s="14" t="s">
        <v>1249</v>
      </c>
      <c r="W84" s="14" t="s">
        <v>1134</v>
      </c>
      <c r="X84" s="14" t="s">
        <v>1135</v>
      </c>
      <c r="Y84" s="14" t="s">
        <v>1136</v>
      </c>
      <c r="Z84" s="16">
        <f>COUNTIF($X$3:X84, X84)</f>
        <v>2</v>
      </c>
      <c r="AA84" s="16" t="e">
        <v>#N/A</v>
      </c>
      <c r="AB84" s="16" t="e">
        <v>#N/A</v>
      </c>
      <c r="AC84" s="16" t="e">
        <v>#N/A</v>
      </c>
      <c r="AD84" s="16" t="e">
        <v>#N/A</v>
      </c>
      <c r="AE84" s="16" t="e">
        <v>#N/A</v>
      </c>
      <c r="AF84" s="21" t="e">
        <v>#N/A</v>
      </c>
      <c r="AG84" s="17" t="e">
        <v>#N/A</v>
      </c>
      <c r="AH84" s="17" t="e">
        <f>Tabla1[[#This Row],[Renov. Flota]]-Tabla1[[#This Row],[Año]]</f>
        <v>#N/A</v>
      </c>
      <c r="AI84" s="18" t="e">
        <v>#N/A</v>
      </c>
      <c r="AJ84" s="18" t="e">
        <f>VLOOKUP(Tabla1[[#This Row],[Matricula nueva]],'ALTA 20242025'!$B$2:$P$242,15,FALSE)</f>
        <v>#N/A</v>
      </c>
      <c r="AK84" s="19" t="e">
        <v>#N/A</v>
      </c>
      <c r="AN84" s="1"/>
      <c r="AO84" s="1" t="e">
        <f>VLOOKUP(Tabla1[[#This Row],[Matricula nueva]],Hoja2!$A$1:$B$224,2,FALSE)</f>
        <v>#N/A</v>
      </c>
      <c r="AP84" s="1" t="str">
        <f>IF(Tabla1[[#This Row],[Columna2]]="M1",5.1,"")</f>
        <v/>
      </c>
      <c r="AQ84" s="1"/>
      <c r="AR84" s="1"/>
      <c r="AS84" s="47">
        <f>IF(Tabla1[[#This Row],[Columna2]]="M1",13073,IF(Tabla1[[#This Row],[Columna2]]="N1",15815,IF(Tabla1[[#This Row],[Columna2]]="L3e",2831,53508)))</f>
        <v>53508</v>
      </c>
      <c r="AT84" s="47" t="e">
        <f>(Tabla1[[#This Row],[CVA]]*Tabla1[[#This Row],[F]]-Tabla1[[#This Row],[CVN]])/100*Tabla1[[#This Row],[L]]</f>
        <v>#VALUE!</v>
      </c>
      <c r="AU84" s="1"/>
      <c r="AV84" s="1" t="e">
        <f>VLOOKUP(B84,Tabla467824[[ID CAE2]:[AE '[kWh']]],6,FALSE)</f>
        <v>#N/A</v>
      </c>
      <c r="AW8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5" spans="1:49" ht="15.75" hidden="1" thickBot="1" x14ac:dyDescent="0.3">
      <c r="A85" t="s">
        <v>1250</v>
      </c>
      <c r="B85" t="e">
        <f>VLOOKUP(A85,Tabla46782[ID CAE],1,FALSE)</f>
        <v>#N/A</v>
      </c>
      <c r="C85" s="14" t="s">
        <v>1251</v>
      </c>
      <c r="D85" s="14"/>
      <c r="E85" s="14"/>
      <c r="F85" s="14"/>
      <c r="G85" s="14"/>
      <c r="H85" s="14"/>
      <c r="I85" s="14"/>
      <c r="J85" s="14"/>
      <c r="K85" s="14" t="s">
        <v>885</v>
      </c>
      <c r="L85" s="14" t="s">
        <v>161</v>
      </c>
      <c r="M85" s="14" t="s">
        <v>886</v>
      </c>
      <c r="N85" s="14" t="s">
        <v>171</v>
      </c>
      <c r="O85" s="50">
        <f>VLOOKUP(Tabla1[[#This Row],[Matricula]],BAJA2022202320242025!$B$3:$CR$245,93,FALSE)</f>
        <v>43879</v>
      </c>
      <c r="P85" s="22">
        <v>45397</v>
      </c>
      <c r="Q85" s="48">
        <f>Tabla1[[#This Row],[F.Vig.Final]]-Tabla1[[#This Row],[f Vig Inicio]]</f>
        <v>1518</v>
      </c>
      <c r="R85" s="22">
        <f>YEAR(Tabla1[[#This Row],[F.Vig.Final]])</f>
        <v>2024</v>
      </c>
      <c r="S85" s="14" t="s">
        <v>172</v>
      </c>
      <c r="T85" s="14" t="s">
        <v>78</v>
      </c>
      <c r="U85" s="14" t="s">
        <v>1248</v>
      </c>
      <c r="V85" s="14" t="s">
        <v>1249</v>
      </c>
      <c r="W85" s="14" t="s">
        <v>1134</v>
      </c>
      <c r="X85" s="14" t="s">
        <v>1135</v>
      </c>
      <c r="Y85" s="14" t="s">
        <v>1136</v>
      </c>
      <c r="Z85" s="16">
        <f>COUNTIF($X$3:X85, X85)</f>
        <v>3</v>
      </c>
      <c r="AA85" s="16" t="e">
        <v>#N/A</v>
      </c>
      <c r="AB85" s="16" t="e">
        <v>#N/A</v>
      </c>
      <c r="AC85" s="16" t="e">
        <v>#N/A</v>
      </c>
      <c r="AD85" s="16" t="e">
        <v>#N/A</v>
      </c>
      <c r="AE85" s="16" t="e">
        <v>#N/A</v>
      </c>
      <c r="AF85" s="22" t="e">
        <v>#N/A</v>
      </c>
      <c r="AG85" s="17" t="e">
        <v>#N/A</v>
      </c>
      <c r="AH85" s="17" t="e">
        <f>Tabla1[[#This Row],[Renov. Flota]]-Tabla1[[#This Row],[Año]]</f>
        <v>#N/A</v>
      </c>
      <c r="AI85" s="18" t="e">
        <v>#N/A</v>
      </c>
      <c r="AJ85" s="18" t="e">
        <f>VLOOKUP(Tabla1[[#This Row],[Matricula nueva]],'ALTA 20242025'!$B$2:$P$242,15,FALSE)</f>
        <v>#N/A</v>
      </c>
      <c r="AK85" s="19" t="e">
        <v>#N/A</v>
      </c>
      <c r="AN85" s="1"/>
      <c r="AO85" s="1" t="e">
        <f>VLOOKUP(Tabla1[[#This Row],[Matricula nueva]],Hoja2!$A$1:$B$224,2,FALSE)</f>
        <v>#N/A</v>
      </c>
      <c r="AP85" s="1" t="str">
        <f>IF(Tabla1[[#This Row],[Columna2]]="M1",5.1,"")</f>
        <v/>
      </c>
      <c r="AQ85" s="1"/>
      <c r="AR85" s="1"/>
      <c r="AS85" s="47">
        <f>IF(Tabla1[[#This Row],[Columna2]]="M1",13073,IF(Tabla1[[#This Row],[Columna2]]="N1",15815,IF(Tabla1[[#This Row],[Columna2]]="L3e",2831,53508)))</f>
        <v>53508</v>
      </c>
      <c r="AT85" s="47" t="e">
        <f>(Tabla1[[#This Row],[CVA]]*Tabla1[[#This Row],[F]]-Tabla1[[#This Row],[CVN]])/100*Tabla1[[#This Row],[L]]</f>
        <v>#VALUE!</v>
      </c>
      <c r="AU85" s="1"/>
      <c r="AV85" s="1" t="e">
        <f>VLOOKUP(B85,Tabla467824[[ID CAE2]:[AE '[kWh']]],6,FALSE)</f>
        <v>#N/A</v>
      </c>
      <c r="AW8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6" spans="1:49" ht="15" x14ac:dyDescent="0.25">
      <c r="A86" s="114" t="s">
        <v>437</v>
      </c>
      <c r="B86" t="str">
        <f>VLOOKUP(A86,Tabla46782[ID CAE],1,FALSE)</f>
        <v>CAE500080</v>
      </c>
      <c r="C86" s="146" t="s">
        <v>438</v>
      </c>
      <c r="D86" s="103"/>
      <c r="E86" s="103"/>
      <c r="F86" s="103" t="s">
        <v>72</v>
      </c>
      <c r="G86" s="103"/>
      <c r="H86" s="103"/>
      <c r="I86" s="103" t="s">
        <v>249</v>
      </c>
      <c r="J86" s="103" t="s">
        <v>249</v>
      </c>
      <c r="K86" s="14" t="s">
        <v>73</v>
      </c>
      <c r="L86" s="14" t="s">
        <v>74</v>
      </c>
      <c r="M86" s="14" t="s">
        <v>75</v>
      </c>
      <c r="N86" s="23" t="s">
        <v>76</v>
      </c>
      <c r="O86" s="157">
        <f>VLOOKUP(Tabla1[[#This Row],[Matricula]],BAJA2022202320242025!$B$3:$CR$245,93,FALSE)</f>
        <v>44958</v>
      </c>
      <c r="P86" s="87">
        <v>44984</v>
      </c>
      <c r="Q86" s="164">
        <f>Tabla1[[#This Row],[F.Vig.Final]]-Tabla1[[#This Row],[f Vig Inicio]]</f>
        <v>26</v>
      </c>
      <c r="R86" s="141">
        <f>YEAR(Tabla1[[#This Row],[F.Vig.Final]])</f>
        <v>2023</v>
      </c>
      <c r="S86" s="25" t="s">
        <v>77</v>
      </c>
      <c r="T86" s="14" t="s">
        <v>78</v>
      </c>
      <c r="U86" s="14" t="s">
        <v>85</v>
      </c>
      <c r="V86" s="14" t="s">
        <v>439</v>
      </c>
      <c r="W86" s="14" t="s">
        <v>102</v>
      </c>
      <c r="X86" s="14" t="s">
        <v>103</v>
      </c>
      <c r="Y86" s="14" t="s">
        <v>440</v>
      </c>
      <c r="Z86" s="16">
        <f>COUNTIF($X$3:X86, X86)</f>
        <v>5</v>
      </c>
      <c r="AA86" s="16" t="s">
        <v>441</v>
      </c>
      <c r="AB86" s="16" t="s">
        <v>79</v>
      </c>
      <c r="AC86" s="16" t="s">
        <v>442</v>
      </c>
      <c r="AD86" s="16" t="s">
        <v>87</v>
      </c>
      <c r="AE86" s="60" t="s">
        <v>107</v>
      </c>
      <c r="AF86" s="29" t="s">
        <v>108</v>
      </c>
      <c r="AG86" s="27">
        <v>45133</v>
      </c>
      <c r="AH86" s="137">
        <f>Tabla1[[#This Row],[Renov. Flota]]-Tabla1[[#This Row],[Año]]</f>
        <v>0</v>
      </c>
      <c r="AI86" s="18" t="s">
        <v>102</v>
      </c>
      <c r="AJ86" s="109">
        <v>4500370216</v>
      </c>
      <c r="AK86" s="60" t="s">
        <v>103</v>
      </c>
      <c r="AM86" s="1" t="s">
        <v>72</v>
      </c>
      <c r="AN86" s="1" t="s">
        <v>109</v>
      </c>
      <c r="AO86" s="1" t="s">
        <v>443</v>
      </c>
      <c r="AP86" s="65">
        <f>IF(Tabla1[[#This Row],[Columna2]]="M1",5.1,"")</f>
        <v>5.0999999999999996</v>
      </c>
      <c r="AQ86" s="66">
        <f>IF(T86="DIESEL",10,IF(T86="GLP",7.16,9.19))</f>
        <v>10</v>
      </c>
      <c r="AR86" s="67">
        <v>22.7</v>
      </c>
      <c r="AS86" s="68">
        <f>IF(Tabla1[[#This Row],[Columna2]]="M1",13073,IF(Tabla1[[#This Row],[Columna2]]="N1",15815,IF(Tabla1[[#This Row],[Columna2]]="L3e",2831,53508)))</f>
        <v>13073</v>
      </c>
      <c r="AT86" s="68">
        <f>(Tabla1[[#This Row],[CVA]]*Tabla1[[#This Row],[F]]-Tabla1[[#This Row],[CVN]])/100*Tabla1[[#This Row],[L]]</f>
        <v>3699.6590000000006</v>
      </c>
      <c r="AU86" s="69" t="s">
        <v>70</v>
      </c>
      <c r="AV86" s="294">
        <f>VLOOKUP(B86,Tabla467824[[ID CAE2]:[AE '[kWh']]],6,FALSE)</f>
        <v>6795.3454000000002</v>
      </c>
      <c r="AW8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7" spans="1:49" ht="15" x14ac:dyDescent="0.25">
      <c r="A87" s="114" t="s">
        <v>444</v>
      </c>
      <c r="B87" t="str">
        <f>VLOOKUP(A87,Tabla46782[ID CAE],1,FALSE)</f>
        <v>CAE500081</v>
      </c>
      <c r="C87" s="146" t="s">
        <v>445</v>
      </c>
      <c r="D87" s="103"/>
      <c r="E87" s="103"/>
      <c r="F87" s="103" t="s">
        <v>249</v>
      </c>
      <c r="G87" s="103"/>
      <c r="H87" s="103"/>
      <c r="I87" s="103" t="s">
        <v>249</v>
      </c>
      <c r="J87" s="103" t="s">
        <v>249</v>
      </c>
      <c r="K87" s="14" t="s">
        <v>73</v>
      </c>
      <c r="L87" s="14" t="s">
        <v>74</v>
      </c>
      <c r="M87" s="14" t="s">
        <v>75</v>
      </c>
      <c r="N87" s="23" t="s">
        <v>76</v>
      </c>
      <c r="O87" s="155">
        <f>VLOOKUP(Tabla1[[#This Row],[Matricula]],BAJA2022202320242025!$B$3:$CR$245,93,FALSE)</f>
        <v>44958</v>
      </c>
      <c r="P87" s="163">
        <v>44984</v>
      </c>
      <c r="Q87" s="164">
        <f>Tabla1[[#This Row],[F.Vig.Final]]-Tabla1[[#This Row],[f Vig Inicio]]</f>
        <v>26</v>
      </c>
      <c r="R87" s="141">
        <f>YEAR(Tabla1[[#This Row],[F.Vig.Final]])</f>
        <v>2023</v>
      </c>
      <c r="S87" s="25" t="s">
        <v>77</v>
      </c>
      <c r="T87" s="14" t="s">
        <v>78</v>
      </c>
      <c r="U87" s="14" t="s">
        <v>85</v>
      </c>
      <c r="V87" s="14" t="s">
        <v>439</v>
      </c>
      <c r="W87" s="14" t="s">
        <v>102</v>
      </c>
      <c r="X87" s="14" t="s">
        <v>103</v>
      </c>
      <c r="Y87" s="14" t="s">
        <v>440</v>
      </c>
      <c r="Z87" s="16">
        <f>COUNTIF($X$3:X87, X87)</f>
        <v>6</v>
      </c>
      <c r="AA87" s="16" t="s">
        <v>446</v>
      </c>
      <c r="AB87" s="16" t="s">
        <v>79</v>
      </c>
      <c r="AC87" s="16" t="s">
        <v>442</v>
      </c>
      <c r="AD87" s="16" t="s">
        <v>87</v>
      </c>
      <c r="AE87" s="60" t="s">
        <v>107</v>
      </c>
      <c r="AF87" s="24" t="s">
        <v>108</v>
      </c>
      <c r="AG87" s="27">
        <v>45133</v>
      </c>
      <c r="AH87" s="137">
        <f>Tabla1[[#This Row],[Renov. Flota]]-Tabla1[[#This Row],[Año]]</f>
        <v>0</v>
      </c>
      <c r="AI87" s="18" t="s">
        <v>102</v>
      </c>
      <c r="AJ87" s="109">
        <v>4500370232</v>
      </c>
      <c r="AK87" s="60" t="s">
        <v>103</v>
      </c>
      <c r="AM87" s="1" t="s">
        <v>72</v>
      </c>
      <c r="AN87" s="1" t="s">
        <v>109</v>
      </c>
      <c r="AO87" s="1" t="s">
        <v>447</v>
      </c>
      <c r="AP87" s="70">
        <f>IF(Tabla1[[#This Row],[Columna2]]="M1",5.1,"")</f>
        <v>5.0999999999999996</v>
      </c>
      <c r="AQ87" s="71">
        <f>IF(T87="DIESEL",10,IF(T87="GLP",7.16,9.19))</f>
        <v>10</v>
      </c>
      <c r="AR87" s="72">
        <v>22.7</v>
      </c>
      <c r="AS87" s="73">
        <f>IF(Tabla1[[#This Row],[Columna2]]="M1",13073,IF(Tabla1[[#This Row],[Columna2]]="N1",15815,IF(Tabla1[[#This Row],[Columna2]]="L3e",2831,53508)))</f>
        <v>13073</v>
      </c>
      <c r="AT87" s="73">
        <f>(Tabla1[[#This Row],[CVA]]*Tabla1[[#This Row],[F]]-Tabla1[[#This Row],[CVN]])/100*Tabla1[[#This Row],[L]]</f>
        <v>3699.6590000000006</v>
      </c>
      <c r="AU87" s="74" t="s">
        <v>70</v>
      </c>
      <c r="AV87" s="294">
        <f>VLOOKUP(B87,Tabla467824[[ID CAE2]:[AE '[kWh']]],6,FALSE)</f>
        <v>6795.3454000000002</v>
      </c>
      <c r="AW8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88" spans="1:49" ht="15" x14ac:dyDescent="0.25">
      <c r="A88" s="114" t="s">
        <v>448</v>
      </c>
      <c r="B88" t="str">
        <f>VLOOKUP(A88,Tabla46782[ID CAE],1,FALSE)</f>
        <v>CAE500082</v>
      </c>
      <c r="C88" s="25" t="s">
        <v>449</v>
      </c>
      <c r="D88" s="103" t="s">
        <v>72</v>
      </c>
      <c r="E88" s="103" t="s">
        <v>72</v>
      </c>
      <c r="F88" s="103" t="s">
        <v>72</v>
      </c>
      <c r="G88" s="103"/>
      <c r="H88" s="103" t="s">
        <v>72</v>
      </c>
      <c r="I88" s="103" t="s">
        <v>72</v>
      </c>
      <c r="J88" s="103"/>
      <c r="K88" s="14" t="s">
        <v>73</v>
      </c>
      <c r="L88" s="14" t="s">
        <v>74</v>
      </c>
      <c r="M88" s="14" t="s">
        <v>75</v>
      </c>
      <c r="N88" s="23" t="s">
        <v>76</v>
      </c>
      <c r="O88" s="155">
        <f>VLOOKUP(Tabla1[[#This Row],[Matricula]],BAJA2022202320242025!$B$3:$CR$245,93,FALSE)</f>
        <v>45202</v>
      </c>
      <c r="P88" s="163">
        <v>45372</v>
      </c>
      <c r="Q88" s="164">
        <f>Tabla1[[#This Row],[F.Vig.Final]]-Tabla1[[#This Row],[f Vig Inicio]]</f>
        <v>170</v>
      </c>
      <c r="R88" s="141">
        <f>YEAR(Tabla1[[#This Row],[F.Vig.Final]])</f>
        <v>2024</v>
      </c>
      <c r="S88" s="25" t="s">
        <v>77</v>
      </c>
      <c r="T88" s="14" t="s">
        <v>78</v>
      </c>
      <c r="U88" s="14" t="s">
        <v>85</v>
      </c>
      <c r="V88" s="14" t="s">
        <v>450</v>
      </c>
      <c r="W88" s="14" t="s">
        <v>102</v>
      </c>
      <c r="X88" s="14" t="s">
        <v>103</v>
      </c>
      <c r="Y88" s="14" t="s">
        <v>104</v>
      </c>
      <c r="Z88" s="16">
        <f>COUNTIF($X$3:X88, X88)</f>
        <v>7</v>
      </c>
      <c r="AA88" s="16" t="s">
        <v>451</v>
      </c>
      <c r="AB88" s="16" t="s">
        <v>359</v>
      </c>
      <c r="AC88" s="16" t="s">
        <v>452</v>
      </c>
      <c r="AD88" s="16" t="s">
        <v>87</v>
      </c>
      <c r="AE88" s="60" t="s">
        <v>440</v>
      </c>
      <c r="AF88" s="24" t="s">
        <v>108</v>
      </c>
      <c r="AG88" s="27">
        <v>45051</v>
      </c>
      <c r="AH88" s="137">
        <f>Tabla1[[#This Row],[Renov. Flota]]-Tabla1[[#This Row],[Año]]</f>
        <v>-1</v>
      </c>
      <c r="AI88" s="18" t="s">
        <v>102</v>
      </c>
      <c r="AJ88" s="109">
        <v>4500352855</v>
      </c>
      <c r="AK88" s="60" t="s">
        <v>103</v>
      </c>
      <c r="AM88" s="1" t="s">
        <v>72</v>
      </c>
      <c r="AN88" s="1" t="s">
        <v>109</v>
      </c>
      <c r="AO88" s="1" t="s">
        <v>453</v>
      </c>
      <c r="AP88" s="70">
        <f>IF(Tabla1[[#This Row],[Columna2]]="M1",5.1,"")</f>
        <v>5.0999999999999996</v>
      </c>
      <c r="AQ88" s="71">
        <f>IF(T88="DIESEL",10,IF(T88="GLP",7.16,9.19))</f>
        <v>10</v>
      </c>
      <c r="AR88" s="72">
        <v>28.1</v>
      </c>
      <c r="AS88" s="73">
        <f>IF(Tabla1[[#This Row],[Columna2]]="M1",13073,IF(Tabla1[[#This Row],[Columna2]]="N1",15815,IF(Tabla1[[#This Row],[Columna2]]="L3e",2831,53508)))</f>
        <v>13073</v>
      </c>
      <c r="AT88" s="73">
        <f>(Tabla1[[#This Row],[CVA]]*Tabla1[[#This Row],[F]]-Tabla1[[#This Row],[CVN]])/100*Tabla1[[#This Row],[L]]</f>
        <v>2993.7169999999996</v>
      </c>
      <c r="AU88" s="74" t="s">
        <v>70</v>
      </c>
      <c r="AV88" s="294">
        <f>VLOOKUP(B88,Tabla467824[[ID CAE2]:[AE '[kWh']]],6,FALSE)</f>
        <v>6795.3454000000002</v>
      </c>
      <c r="AW8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89" spans="1:49" ht="15" x14ac:dyDescent="0.25">
      <c r="A89" s="114" t="s">
        <v>454</v>
      </c>
      <c r="B89" t="str">
        <f>VLOOKUP(A89,Tabla46782[ID CAE],1,FALSE)</f>
        <v>CAE500083</v>
      </c>
      <c r="C89" s="25" t="s">
        <v>455</v>
      </c>
      <c r="D89" s="103" t="s">
        <v>72</v>
      </c>
      <c r="E89" s="103"/>
      <c r="F89" s="103" t="s">
        <v>72</v>
      </c>
      <c r="G89" s="103"/>
      <c r="H89" s="103" t="s">
        <v>72</v>
      </c>
      <c r="I89" s="103" t="s">
        <v>72</v>
      </c>
      <c r="J89" s="103"/>
      <c r="K89" s="14" t="s">
        <v>73</v>
      </c>
      <c r="L89" s="14" t="s">
        <v>74</v>
      </c>
      <c r="M89" s="14" t="s">
        <v>75</v>
      </c>
      <c r="N89" s="23" t="s">
        <v>76</v>
      </c>
      <c r="O89" s="155">
        <f>VLOOKUP(Tabla1[[#This Row],[Matricula]],BAJA2022202320242025!$B$3:$CR$245,93,FALSE)</f>
        <v>45202</v>
      </c>
      <c r="P89" s="24">
        <v>45259</v>
      </c>
      <c r="Q89" s="161">
        <f>Tabla1[[#This Row],[F.Vig.Final]]-Tabla1[[#This Row],[f Vig Inicio]]</f>
        <v>57</v>
      </c>
      <c r="R89" s="141">
        <f>YEAR(Tabla1[[#This Row],[F.Vig.Final]])</f>
        <v>2023</v>
      </c>
      <c r="S89" s="25" t="s">
        <v>77</v>
      </c>
      <c r="T89" s="14" t="s">
        <v>78</v>
      </c>
      <c r="U89" s="14" t="s">
        <v>85</v>
      </c>
      <c r="V89" s="14" t="s">
        <v>450</v>
      </c>
      <c r="W89" s="14" t="s">
        <v>102</v>
      </c>
      <c r="X89" s="14" t="s">
        <v>103</v>
      </c>
      <c r="Y89" s="14" t="s">
        <v>104</v>
      </c>
      <c r="Z89" s="16">
        <f>COUNTIF($X$3:X89, X89)</f>
        <v>8</v>
      </c>
      <c r="AA89" s="16" t="s">
        <v>456</v>
      </c>
      <c r="AB89" s="16" t="s">
        <v>79</v>
      </c>
      <c r="AC89" s="16" t="s">
        <v>106</v>
      </c>
      <c r="AD89" s="16" t="s">
        <v>87</v>
      </c>
      <c r="AE89" s="60" t="s">
        <v>457</v>
      </c>
      <c r="AF89" s="24" t="s">
        <v>108</v>
      </c>
      <c r="AG89" s="27">
        <v>45133</v>
      </c>
      <c r="AH89" s="137">
        <f>Tabla1[[#This Row],[Renov. Flota]]-Tabla1[[#This Row],[Año]]</f>
        <v>0</v>
      </c>
      <c r="AI89" s="18" t="s">
        <v>102</v>
      </c>
      <c r="AJ89" s="109">
        <v>4500370368</v>
      </c>
      <c r="AK89" s="60" t="s">
        <v>103</v>
      </c>
      <c r="AM89" s="1" t="s">
        <v>72</v>
      </c>
      <c r="AN89" s="1" t="s">
        <v>109</v>
      </c>
      <c r="AO89" s="1" t="s">
        <v>458</v>
      </c>
      <c r="AP89" s="70">
        <f>IF(Tabla1[[#This Row],[Columna2]]="M1",5.1,"")</f>
        <v>5.0999999999999996</v>
      </c>
      <c r="AQ89" s="71">
        <f>IF(T89="DIESEL",10,IF(T89="GLP",7.16,9.19))</f>
        <v>10</v>
      </c>
      <c r="AR89" s="72">
        <v>28.2</v>
      </c>
      <c r="AS89" s="73">
        <f>IF(Tabla1[[#This Row],[Columna2]]="M1",13073,IF(Tabla1[[#This Row],[Columna2]]="N1",15815,IF(Tabla1[[#This Row],[Columna2]]="L3e",2831,53508)))</f>
        <v>13073</v>
      </c>
      <c r="AT89" s="73">
        <f>(Tabla1[[#This Row],[CVA]]*Tabla1[[#This Row],[F]]-Tabla1[[#This Row],[CVN]])/100*Tabla1[[#This Row],[L]]</f>
        <v>2980.6440000000002</v>
      </c>
      <c r="AU89" s="74" t="s">
        <v>70</v>
      </c>
      <c r="AV89" s="294">
        <f>VLOOKUP(B89,Tabla467824[[ID CAE2]:[AE '[kWh']]],6,FALSE)</f>
        <v>6795.3454000000002</v>
      </c>
      <c r="AW8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0" spans="1:49" ht="15.75" thickBot="1" x14ac:dyDescent="0.3">
      <c r="A90" s="114" t="s">
        <v>459</v>
      </c>
      <c r="B90" t="str">
        <f>VLOOKUP(A90,Tabla46782[ID CAE],1,FALSE)</f>
        <v>CAE500084</v>
      </c>
      <c r="C90" s="25" t="s">
        <v>460</v>
      </c>
      <c r="D90" s="103" t="s">
        <v>72</v>
      </c>
      <c r="E90" s="103"/>
      <c r="F90" s="103" t="s">
        <v>72</v>
      </c>
      <c r="G90" s="103"/>
      <c r="H90" s="103" t="s">
        <v>249</v>
      </c>
      <c r="I90" s="103" t="s">
        <v>249</v>
      </c>
      <c r="J90" s="103"/>
      <c r="K90" s="14" t="s">
        <v>73</v>
      </c>
      <c r="L90" s="14" t="s">
        <v>74</v>
      </c>
      <c r="M90" s="14" t="s">
        <v>75</v>
      </c>
      <c r="N90" s="23" t="s">
        <v>76</v>
      </c>
      <c r="O90" s="156">
        <f>VLOOKUP(Tabla1[[#This Row],[Matricula]],BAJA2022202320242025!$B$3:$CR$245,93,FALSE)</f>
        <v>45202</v>
      </c>
      <c r="P90" s="28">
        <v>45382</v>
      </c>
      <c r="Q90" s="159">
        <f>Tabla1[[#This Row],[F.Vig.Final]]-Tabla1[[#This Row],[f Vig Inicio]]</f>
        <v>180</v>
      </c>
      <c r="R90" s="141">
        <f>YEAR(Tabla1[[#This Row],[F.Vig.Final]])</f>
        <v>2024</v>
      </c>
      <c r="S90" s="25" t="s">
        <v>77</v>
      </c>
      <c r="T90" s="14" t="s">
        <v>78</v>
      </c>
      <c r="U90" s="14" t="s">
        <v>359</v>
      </c>
      <c r="V90" s="14" t="s">
        <v>461</v>
      </c>
      <c r="W90" s="14" t="s">
        <v>102</v>
      </c>
      <c r="X90" s="14" t="s">
        <v>103</v>
      </c>
      <c r="Y90" s="14" t="s">
        <v>104</v>
      </c>
      <c r="Z90" s="16">
        <f>COUNTIF($X$3:X90, X90)</f>
        <v>9</v>
      </c>
      <c r="AA90" s="16" t="s">
        <v>462</v>
      </c>
      <c r="AB90" s="16" t="s">
        <v>359</v>
      </c>
      <c r="AC90" s="16" t="s">
        <v>452</v>
      </c>
      <c r="AD90" s="16" t="s">
        <v>87</v>
      </c>
      <c r="AE90" s="60" t="s">
        <v>115</v>
      </c>
      <c r="AF90" s="28" t="s">
        <v>108</v>
      </c>
      <c r="AG90" s="27">
        <v>45051</v>
      </c>
      <c r="AH90" s="137">
        <f>Tabla1[[#This Row],[Renov. Flota]]-Tabla1[[#This Row],[Año]]</f>
        <v>-1</v>
      </c>
      <c r="AI90" s="18" t="s">
        <v>102</v>
      </c>
      <c r="AJ90" s="109">
        <v>4500351861</v>
      </c>
      <c r="AK90" s="60" t="s">
        <v>103</v>
      </c>
      <c r="AM90" s="1" t="s">
        <v>72</v>
      </c>
      <c r="AN90" s="1" t="s">
        <v>109</v>
      </c>
      <c r="AO90" s="1" t="s">
        <v>463</v>
      </c>
      <c r="AP90" s="75">
        <f>IF(Tabla1[[#This Row],[Columna2]]="M1",5.1,"")</f>
        <v>5.0999999999999996</v>
      </c>
      <c r="AQ90" s="76">
        <f>IF(T90="DIESEL",10,IF(T90="GLP",7.16,9.19))</f>
        <v>10</v>
      </c>
      <c r="AR90" s="77">
        <v>28.1</v>
      </c>
      <c r="AS90" s="78">
        <f>IF(Tabla1[[#This Row],[Columna2]]="M1",13073,IF(Tabla1[[#This Row],[Columna2]]="N1",15815,IF(Tabla1[[#This Row],[Columna2]]="L3e",2831,53508)))</f>
        <v>13073</v>
      </c>
      <c r="AT90" s="78">
        <f>(Tabla1[[#This Row],[CVA]]*Tabla1[[#This Row],[F]]-Tabla1[[#This Row],[CVN]])/100*Tabla1[[#This Row],[L]]</f>
        <v>2993.7169999999996</v>
      </c>
      <c r="AU90" s="79" t="s">
        <v>70</v>
      </c>
      <c r="AV90" s="294">
        <f>VLOOKUP(B90,Tabla467824[[ID CAE2]:[AE '[kWh']]],6,FALSE)</f>
        <v>6795.3454000000002</v>
      </c>
      <c r="AW9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1" spans="1:49" ht="15.75" hidden="1" thickBot="1" x14ac:dyDescent="0.3">
      <c r="A91" t="s">
        <v>1252</v>
      </c>
      <c r="B91" t="e">
        <f>VLOOKUP(A91,Tabla46782[ID CAE],1,FALSE)</f>
        <v>#N/A</v>
      </c>
      <c r="C91" s="14" t="s">
        <v>1253</v>
      </c>
      <c r="D91" s="14"/>
      <c r="E91" s="14"/>
      <c r="F91" s="14"/>
      <c r="G91" s="14"/>
      <c r="H91" s="14"/>
      <c r="I91" s="14"/>
      <c r="J91" s="14"/>
      <c r="K91" s="14" t="s">
        <v>158</v>
      </c>
      <c r="L91" s="14" t="s">
        <v>159</v>
      </c>
      <c r="M91" s="14" t="s">
        <v>158</v>
      </c>
      <c r="N91" s="14" t="s">
        <v>171</v>
      </c>
      <c r="O91" s="152">
        <f>VLOOKUP(Tabla1[[#This Row],[Matricula]],BAJA2022202320242025!$B$3:$CR$245,93,FALSE)</f>
        <v>37956</v>
      </c>
      <c r="P91" s="15">
        <v>45427</v>
      </c>
      <c r="Q91" s="160">
        <f>Tabla1[[#This Row],[F.Vig.Final]]-Tabla1[[#This Row],[f Vig Inicio]]</f>
        <v>7471</v>
      </c>
      <c r="R91" s="15">
        <f>YEAR(Tabla1[[#This Row],[F.Vig.Final]])</f>
        <v>2024</v>
      </c>
      <c r="S91" s="14" t="s">
        <v>172</v>
      </c>
      <c r="T91" s="14" t="s">
        <v>71</v>
      </c>
      <c r="U91" s="14" t="s">
        <v>1254</v>
      </c>
      <c r="V91" s="14" t="s">
        <v>1255</v>
      </c>
      <c r="W91" s="14" t="s">
        <v>584</v>
      </c>
      <c r="X91" s="14" t="s">
        <v>585</v>
      </c>
      <c r="Y91" s="14" t="s">
        <v>1217</v>
      </c>
      <c r="Z91" s="16">
        <f>COUNTIF($X$3:X91, X91)</f>
        <v>2</v>
      </c>
      <c r="AA91" s="16" t="e">
        <v>#N/A</v>
      </c>
      <c r="AB91" s="16" t="e">
        <v>#N/A</v>
      </c>
      <c r="AC91" s="16" t="e">
        <v>#N/A</v>
      </c>
      <c r="AD91" s="16" t="e">
        <v>#N/A</v>
      </c>
      <c r="AE91" s="16" t="e">
        <v>#N/A</v>
      </c>
      <c r="AF91" s="15" t="e">
        <v>#N/A</v>
      </c>
      <c r="AG91" s="17" t="e">
        <v>#N/A</v>
      </c>
      <c r="AH91" s="17" t="e">
        <f>Tabla1[[#This Row],[Renov. Flota]]-Tabla1[[#This Row],[Año]]</f>
        <v>#N/A</v>
      </c>
      <c r="AI91" s="18" t="e">
        <v>#N/A</v>
      </c>
      <c r="AJ91" s="18" t="e">
        <f>VLOOKUP(Tabla1[[#This Row],[Matricula nueva]],'ALTA 20242025'!$B$2:$P$242,15,FALSE)</f>
        <v>#N/A</v>
      </c>
      <c r="AK91" s="19" t="e">
        <v>#N/A</v>
      </c>
      <c r="AN91" s="1"/>
      <c r="AO91" s="1" t="e">
        <f>VLOOKUP(Tabla1[[#This Row],[Matricula nueva]],Hoja2!$A$1:$B$224,2,FALSE)</f>
        <v>#N/A</v>
      </c>
      <c r="AP91" s="1" t="str">
        <f>IF(Tabla1[[#This Row],[Columna2]]="M1",5.1,"")</f>
        <v/>
      </c>
      <c r="AQ91" s="1"/>
      <c r="AR91" s="1"/>
      <c r="AS91" s="47">
        <f>IF(Tabla1[[#This Row],[Columna2]]="M1",13073,IF(Tabla1[[#This Row],[Columna2]]="N1",15815,IF(Tabla1[[#This Row],[Columna2]]="L3e",2831,53508)))</f>
        <v>53508</v>
      </c>
      <c r="AT91" s="47" t="e">
        <f>(Tabla1[[#This Row],[CVA]]*Tabla1[[#This Row],[F]]-Tabla1[[#This Row],[CVN]])/100*Tabla1[[#This Row],[L]]</f>
        <v>#VALUE!</v>
      </c>
      <c r="AU91" s="1"/>
      <c r="AV91" s="1" t="e">
        <f>VLOOKUP(B91,Tabla467824[[ID CAE2]:[AE '[kWh']]],6,FALSE)</f>
        <v>#N/A</v>
      </c>
      <c r="AW9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92" spans="1:49" ht="15" x14ac:dyDescent="0.25">
      <c r="A92" s="114" t="s">
        <v>464</v>
      </c>
      <c r="B92" t="str">
        <f>VLOOKUP(A92,Tabla46782[ID CAE],1,FALSE)</f>
        <v>CAE500086</v>
      </c>
      <c r="C92" s="25" t="s">
        <v>465</v>
      </c>
      <c r="D92" s="103" t="s">
        <v>72</v>
      </c>
      <c r="E92" s="103"/>
      <c r="F92" s="103" t="s">
        <v>72</v>
      </c>
      <c r="G92" s="103"/>
      <c r="H92" s="103" t="s">
        <v>72</v>
      </c>
      <c r="I92" s="103" t="s">
        <v>72</v>
      </c>
      <c r="J92" s="103"/>
      <c r="K92" s="14" t="s">
        <v>466</v>
      </c>
      <c r="L92" s="14" t="s">
        <v>200</v>
      </c>
      <c r="M92" s="14" t="s">
        <v>201</v>
      </c>
      <c r="N92" s="23" t="s">
        <v>76</v>
      </c>
      <c r="O92" s="154">
        <f>VLOOKUP(Tabla1[[#This Row],[Matricula]],BAJA2022202320242025!$B$3:$CR$245,93,FALSE)</f>
        <v>44088</v>
      </c>
      <c r="P92" s="29">
        <v>45549</v>
      </c>
      <c r="Q92" s="161">
        <f>Tabla1[[#This Row],[F.Vig.Final]]-Tabla1[[#This Row],[f Vig Inicio]]</f>
        <v>1461</v>
      </c>
      <c r="R92" s="141">
        <f>YEAR(Tabla1[[#This Row],[F.Vig.Final]])</f>
        <v>2024</v>
      </c>
      <c r="S92" s="25" t="s">
        <v>77</v>
      </c>
      <c r="T92" s="14" t="s">
        <v>78</v>
      </c>
      <c r="U92" s="14" t="s">
        <v>467</v>
      </c>
      <c r="V92" s="14" t="s">
        <v>468</v>
      </c>
      <c r="W92" s="14" t="s">
        <v>469</v>
      </c>
      <c r="X92" s="14" t="s">
        <v>470</v>
      </c>
      <c r="Y92" s="14" t="s">
        <v>471</v>
      </c>
      <c r="Z92" s="16">
        <f>COUNTIF($X$3:X92, X92)</f>
        <v>1</v>
      </c>
      <c r="AA92" s="16" t="s">
        <v>472</v>
      </c>
      <c r="AB92" s="16" t="s">
        <v>380</v>
      </c>
      <c r="AC92" s="16" t="s">
        <v>381</v>
      </c>
      <c r="AD92" s="16" t="s">
        <v>87</v>
      </c>
      <c r="AE92" s="60" t="s">
        <v>471</v>
      </c>
      <c r="AF92" s="29" t="s">
        <v>89</v>
      </c>
      <c r="AG92" s="27">
        <v>45551</v>
      </c>
      <c r="AH92" s="137">
        <f>Tabla1[[#This Row],[Renov. Flota]]-Tabla1[[#This Row],[Año]]</f>
        <v>0</v>
      </c>
      <c r="AI92" s="18" t="s">
        <v>469</v>
      </c>
      <c r="AJ92" s="109">
        <v>4500413615</v>
      </c>
      <c r="AK92" s="60" t="s">
        <v>470</v>
      </c>
      <c r="AM92" s="1" t="s">
        <v>72</v>
      </c>
      <c r="AN92" s="1" t="s">
        <v>109</v>
      </c>
      <c r="AO92" s="1" t="s">
        <v>473</v>
      </c>
      <c r="AP92" s="65">
        <v>5.6</v>
      </c>
      <c r="AQ92" s="66">
        <f>IF(T92="DIESEL",10,IF(T92="GLP",7.16,9.19))</f>
        <v>10</v>
      </c>
      <c r="AR92" s="67">
        <v>20</v>
      </c>
      <c r="AS92" s="68">
        <f>IF(Tabla1[[#This Row],[Columna2]]="M1",13073,IF(Tabla1[[#This Row],[Columna2]]="N1",15815,IF(Tabla1[[#This Row],[Columna2]]="L3e",2831,53508)))</f>
        <v>15815</v>
      </c>
      <c r="AT92" s="68">
        <f>(Tabla1[[#This Row],[CVA]]*Tabla1[[#This Row],[F]]-Tabla1[[#This Row],[CVN]])/100*Tabla1[[#This Row],[L]]</f>
        <v>5693.4</v>
      </c>
      <c r="AU92" s="69" t="s">
        <v>128</v>
      </c>
      <c r="AV92" s="294">
        <f>VLOOKUP(B92,Tabla467824[[ID CAE2]:[AE '[kWh']]],6,FALSE)</f>
        <v>5607.9989999999989</v>
      </c>
      <c r="AW9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3" spans="1:49" ht="15" x14ac:dyDescent="0.25">
      <c r="A93" s="114" t="s">
        <v>474</v>
      </c>
      <c r="B93" t="str">
        <f>VLOOKUP(A93,Tabla46782[ID CAE],1,FALSE)</f>
        <v>CAE500087</v>
      </c>
      <c r="C93" s="25" t="s">
        <v>475</v>
      </c>
      <c r="D93" s="103" t="s">
        <v>72</v>
      </c>
      <c r="E93" s="103" t="s">
        <v>72</v>
      </c>
      <c r="F93" s="103" t="s">
        <v>72</v>
      </c>
      <c r="G93" s="103"/>
      <c r="H93" s="103" t="s">
        <v>72</v>
      </c>
      <c r="I93" s="103" t="s">
        <v>72</v>
      </c>
      <c r="J93" s="103"/>
      <c r="K93" s="14" t="s">
        <v>73</v>
      </c>
      <c r="L93" s="14" t="s">
        <v>200</v>
      </c>
      <c r="M93" s="14" t="s">
        <v>201</v>
      </c>
      <c r="N93" s="23" t="s">
        <v>76</v>
      </c>
      <c r="O93" s="151">
        <f>VLOOKUP(Tabla1[[#This Row],[Matricula]],BAJA2022202320242025!$B$3:$CR$245,93,FALSE)</f>
        <v>42923</v>
      </c>
      <c r="P93" s="24">
        <v>45565</v>
      </c>
      <c r="Q93" s="158">
        <f>Tabla1[[#This Row],[F.Vig.Final]]-Tabla1[[#This Row],[f Vig Inicio]]</f>
        <v>2642</v>
      </c>
      <c r="R93" s="141">
        <f>YEAR(Tabla1[[#This Row],[F.Vig.Final]])</f>
        <v>2024</v>
      </c>
      <c r="S93" s="25" t="s">
        <v>77</v>
      </c>
      <c r="T93" s="14" t="s">
        <v>78</v>
      </c>
      <c r="U93" s="14" t="s">
        <v>467</v>
      </c>
      <c r="V93" s="14" t="s">
        <v>476</v>
      </c>
      <c r="W93" s="14" t="s">
        <v>190</v>
      </c>
      <c r="X93" s="14" t="s">
        <v>191</v>
      </c>
      <c r="Y93" s="14" t="s">
        <v>477</v>
      </c>
      <c r="Z93" s="16">
        <f>COUNTIF($X$3:X93, X93)</f>
        <v>4</v>
      </c>
      <c r="AA93" s="16" t="s">
        <v>478</v>
      </c>
      <c r="AB93" s="16" t="s">
        <v>140</v>
      </c>
      <c r="AC93" s="16" t="s">
        <v>151</v>
      </c>
      <c r="AD93" s="16" t="s">
        <v>87</v>
      </c>
      <c r="AE93" s="60" t="s">
        <v>345</v>
      </c>
      <c r="AF93" s="24" t="s">
        <v>89</v>
      </c>
      <c r="AG93" s="27">
        <v>45625</v>
      </c>
      <c r="AH93" s="137">
        <f>Tabla1[[#This Row],[Renov. Flota]]-Tabla1[[#This Row],[Año]]</f>
        <v>0</v>
      </c>
      <c r="AI93" s="18" t="s">
        <v>190</v>
      </c>
      <c r="AJ93" s="107" t="str">
        <f>VLOOKUP(Tabla1[[#This Row],[Matricula nueva]],'ALTA 20242025'!$B$2:$P$242,15,FALSE)</f>
        <v>4500424790</v>
      </c>
      <c r="AK93" s="60" t="s">
        <v>191</v>
      </c>
      <c r="AM93" s="1" t="s">
        <v>72</v>
      </c>
      <c r="AN93" s="1" t="s">
        <v>91</v>
      </c>
      <c r="AO93" s="1" t="str">
        <f>VLOOKUP(Tabla1[[#This Row],[Matricula nueva]],Hoja2!$A$1:$B$224,2,FALSE)</f>
        <v>VR7CBZYA8RT154442</v>
      </c>
      <c r="AP93" s="70">
        <v>5.6</v>
      </c>
      <c r="AQ93" s="71">
        <f>IF(T93="DIESEL",10,IF(T93="GLP",7.16,9.19))</f>
        <v>10</v>
      </c>
      <c r="AR93" s="72">
        <v>16.399999999999999</v>
      </c>
      <c r="AS93" s="73">
        <f>IF(Tabla1[[#This Row],[Columna2]]="M1",13073,IF(Tabla1[[#This Row],[Columna2]]="N1",15815,IF(Tabla1[[#This Row],[Columna2]]="L3e",2831,53508)))</f>
        <v>15815</v>
      </c>
      <c r="AT93" s="73">
        <f>(Tabla1[[#This Row],[CVA]]*Tabla1[[#This Row],[F]]-Tabla1[[#This Row],[CVN]])/100*Tabla1[[#This Row],[L]]</f>
        <v>6262.7400000000007</v>
      </c>
      <c r="AU93" s="74" t="s">
        <v>128</v>
      </c>
      <c r="AV93" s="294">
        <f>VLOOKUP(B93,Tabla467824[[ID CAE2]:[AE '[kWh']]],6,FALSE)</f>
        <v>5607.9989999999989</v>
      </c>
      <c r="AW9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4" spans="1:49" ht="15" x14ac:dyDescent="0.25">
      <c r="A94" s="114" t="s">
        <v>481</v>
      </c>
      <c r="B94" t="str">
        <f>VLOOKUP(A94,Tabla46782[ID CAE],1,FALSE)</f>
        <v>CAE500088</v>
      </c>
      <c r="C94" s="25" t="s">
        <v>482</v>
      </c>
      <c r="D94" s="103" t="s">
        <v>72</v>
      </c>
      <c r="E94" s="103" t="s">
        <v>72</v>
      </c>
      <c r="F94" s="103" t="s">
        <v>72</v>
      </c>
      <c r="G94" s="103"/>
      <c r="H94" s="103" t="s">
        <v>72</v>
      </c>
      <c r="I94" s="103" t="s">
        <v>72</v>
      </c>
      <c r="J94" s="103"/>
      <c r="K94" s="14" t="s">
        <v>73</v>
      </c>
      <c r="L94" s="14" t="s">
        <v>200</v>
      </c>
      <c r="M94" s="14" t="s">
        <v>201</v>
      </c>
      <c r="N94" s="23" t="s">
        <v>160</v>
      </c>
      <c r="O94" s="151">
        <f>VLOOKUP(Tabla1[[#This Row],[Matricula]],BAJA2022202320242025!$B$3:$CR$245,93,FALSE)</f>
        <v>44166</v>
      </c>
      <c r="P94" s="24">
        <v>45627</v>
      </c>
      <c r="Q94" s="158">
        <f>Tabla1[[#This Row],[F.Vig.Final]]-Tabla1[[#This Row],[f Vig Inicio]]</f>
        <v>1461</v>
      </c>
      <c r="R94" s="141">
        <f>YEAR(Tabla1[[#This Row],[F.Vig.Final]])</f>
        <v>2024</v>
      </c>
      <c r="S94" s="25" t="s">
        <v>161</v>
      </c>
      <c r="T94" s="14" t="s">
        <v>78</v>
      </c>
      <c r="U94" s="14" t="s">
        <v>467</v>
      </c>
      <c r="V94" s="14" t="s">
        <v>476</v>
      </c>
      <c r="W94" s="14" t="s">
        <v>119</v>
      </c>
      <c r="X94" s="14" t="s">
        <v>120</v>
      </c>
      <c r="Y94" s="14" t="s">
        <v>368</v>
      </c>
      <c r="Z94" s="16">
        <f>COUNTIF($X$3:X94, X94)</f>
        <v>14</v>
      </c>
      <c r="AA94" s="16" t="s">
        <v>483</v>
      </c>
      <c r="AB94" s="16" t="s">
        <v>140</v>
      </c>
      <c r="AC94" s="16" t="s">
        <v>151</v>
      </c>
      <c r="AD94" s="16" t="s">
        <v>87</v>
      </c>
      <c r="AE94" s="60" t="s">
        <v>323</v>
      </c>
      <c r="AF94" s="24" t="s">
        <v>89</v>
      </c>
      <c r="AG94" s="27">
        <v>45625</v>
      </c>
      <c r="AH94" s="137">
        <f>Tabla1[[#This Row],[Renov. Flota]]-Tabla1[[#This Row],[Año]]</f>
        <v>0</v>
      </c>
      <c r="AI94" s="18" t="s">
        <v>119</v>
      </c>
      <c r="AJ94" s="107" t="str">
        <f>VLOOKUP(Tabla1[[#This Row],[Matricula nueva]],'ALTA 20242025'!$B$2:$P$242,15,FALSE)</f>
        <v>4500424802</v>
      </c>
      <c r="AK94" s="60" t="s">
        <v>120</v>
      </c>
      <c r="AM94" s="1" t="s">
        <v>72</v>
      </c>
      <c r="AN94" s="1" t="s">
        <v>91</v>
      </c>
      <c r="AO94" s="1" t="str">
        <f>VLOOKUP(Tabla1[[#This Row],[Matricula nueva]],Hoja2!$A$1:$B$224,2,FALSE)</f>
        <v>VR7CBZYA7RT152214</v>
      </c>
      <c r="AP94" s="70">
        <v>5.6</v>
      </c>
      <c r="AQ94" s="71">
        <f>IF(T94="DIESEL",10,IF(T94="GLP",7.16,9.19))</f>
        <v>10</v>
      </c>
      <c r="AR94" s="72">
        <v>16.399999999999999</v>
      </c>
      <c r="AS94" s="73">
        <f>IF(Tabla1[[#This Row],[Columna2]]="M1",13073,IF(Tabla1[[#This Row],[Columna2]]="N1",15815,IF(Tabla1[[#This Row],[Columna2]]="L3e",2831,53508)))</f>
        <v>15815</v>
      </c>
      <c r="AT94" s="73">
        <f>(Tabla1[[#This Row],[CVA]]*Tabla1[[#This Row],[F]]-Tabla1[[#This Row],[CVN]])/100*Tabla1[[#This Row],[L]]</f>
        <v>6262.7400000000007</v>
      </c>
      <c r="AU94" s="74" t="s">
        <v>128</v>
      </c>
      <c r="AV94" s="294">
        <f>VLOOKUP(B94,Tabla467824[[ID CAE2]:[AE '[kWh']]],6,FALSE)</f>
        <v>5607.9989999999989</v>
      </c>
      <c r="AW9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5" spans="1:49" ht="15.75" thickBot="1" x14ac:dyDescent="0.3">
      <c r="A95" s="114" t="s">
        <v>486</v>
      </c>
      <c r="B95" t="str">
        <f>VLOOKUP(A95,Tabla46782[ID CAE],1,FALSE)</f>
        <v>CAE500089</v>
      </c>
      <c r="C95" s="25" t="s">
        <v>487</v>
      </c>
      <c r="D95" s="103" t="s">
        <v>72</v>
      </c>
      <c r="E95" s="103" t="s">
        <v>72</v>
      </c>
      <c r="F95" s="103" t="s">
        <v>72</v>
      </c>
      <c r="G95" s="103"/>
      <c r="H95" s="103" t="s">
        <v>72</v>
      </c>
      <c r="I95" s="103" t="s">
        <v>72</v>
      </c>
      <c r="J95" s="103"/>
      <c r="K95" s="14" t="s">
        <v>73</v>
      </c>
      <c r="L95" s="14" t="s">
        <v>200</v>
      </c>
      <c r="M95" s="14" t="s">
        <v>201</v>
      </c>
      <c r="N95" s="23" t="s">
        <v>76</v>
      </c>
      <c r="O95" s="153">
        <f>VLOOKUP(Tabla1[[#This Row],[Matricula]],BAJA2022202320242025!$B$3:$CR$245,93,FALSE)</f>
        <v>44176</v>
      </c>
      <c r="P95" s="28">
        <v>45637</v>
      </c>
      <c r="Q95" s="159">
        <f>Tabla1[[#This Row],[F.Vig.Final]]-Tabla1[[#This Row],[f Vig Inicio]]</f>
        <v>1461</v>
      </c>
      <c r="R95" s="141">
        <f>YEAR(Tabla1[[#This Row],[F.Vig.Final]])</f>
        <v>2024</v>
      </c>
      <c r="S95" s="25" t="s">
        <v>77</v>
      </c>
      <c r="T95" s="14" t="s">
        <v>78</v>
      </c>
      <c r="U95" s="14" t="s">
        <v>467</v>
      </c>
      <c r="V95" s="14" t="s">
        <v>476</v>
      </c>
      <c r="W95" s="14" t="s">
        <v>190</v>
      </c>
      <c r="X95" s="14" t="s">
        <v>191</v>
      </c>
      <c r="Y95" s="14" t="s">
        <v>194</v>
      </c>
      <c r="Z95" s="16">
        <f>COUNTIF($X$3:X95, X95)</f>
        <v>5</v>
      </c>
      <c r="AA95" s="16" t="s">
        <v>488</v>
      </c>
      <c r="AB95" s="16" t="s">
        <v>85</v>
      </c>
      <c r="AC95" s="16" t="s">
        <v>86</v>
      </c>
      <c r="AD95" s="16" t="s">
        <v>87</v>
      </c>
      <c r="AE95" s="60" t="s">
        <v>477</v>
      </c>
      <c r="AF95" s="28" t="s">
        <v>89</v>
      </c>
      <c r="AG95" s="27">
        <v>45646</v>
      </c>
      <c r="AH95" s="137">
        <f>Tabla1[[#This Row],[Renov. Flota]]-Tabla1[[#This Row],[Año]]</f>
        <v>0</v>
      </c>
      <c r="AI95" s="18" t="s">
        <v>190</v>
      </c>
      <c r="AJ95" s="107" t="str">
        <f>VLOOKUP(Tabla1[[#This Row],[Matricula nueva]],'ALTA 20242025'!$B$2:$P$242,15,FALSE)</f>
        <v>4500426879</v>
      </c>
      <c r="AK95" s="60" t="s">
        <v>191</v>
      </c>
      <c r="AM95" s="1" t="s">
        <v>72</v>
      </c>
      <c r="AN95" s="1" t="s">
        <v>91</v>
      </c>
      <c r="AO95" s="1" t="str">
        <f>VLOOKUP(Tabla1[[#This Row],[Matricula nueva]],Hoja2!$A$1:$B$224,2,FALSE)</f>
        <v>VF1RFK00973934294</v>
      </c>
      <c r="AP95" s="75">
        <v>5.6</v>
      </c>
      <c r="AQ95" s="76">
        <f>IF(T95="DIESEL",10,IF(T95="GLP",7.16,9.19))</f>
        <v>10</v>
      </c>
      <c r="AR95" s="77">
        <v>17.3</v>
      </c>
      <c r="AS95" s="78">
        <f>IF(Tabla1[[#This Row],[Columna2]]="M1",13073,IF(Tabla1[[#This Row],[Columna2]]="N1",15815,IF(Tabla1[[#This Row],[Columna2]]="L3e",2831,53508)))</f>
        <v>15815</v>
      </c>
      <c r="AT95" s="78">
        <f>(Tabla1[[#This Row],[CVA]]*Tabla1[[#This Row],[F]]-Tabla1[[#This Row],[CVN]])/100*Tabla1[[#This Row],[L]]</f>
        <v>6120.4049999999997</v>
      </c>
      <c r="AU95" s="79" t="s">
        <v>128</v>
      </c>
      <c r="AV95" s="294">
        <f>VLOOKUP(B95,Tabla467824[[ID CAE2]:[AE '[kWh']]],6,FALSE)</f>
        <v>5607.9989999999989</v>
      </c>
      <c r="AW9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6" spans="1:49" ht="15.75" hidden="1" thickBot="1" x14ac:dyDescent="0.3">
      <c r="A96" t="s">
        <v>1256</v>
      </c>
      <c r="B96" t="e">
        <f>VLOOKUP(A96,Tabla46782[ID CAE],1,FALSE)</f>
        <v>#N/A</v>
      </c>
      <c r="C96" s="14" t="s">
        <v>1257</v>
      </c>
      <c r="D96" s="14"/>
      <c r="E96" s="14"/>
      <c r="F96" s="14"/>
      <c r="G96" s="14"/>
      <c r="H96" s="14"/>
      <c r="I96" s="14"/>
      <c r="J96" s="14"/>
      <c r="K96" s="14" t="s">
        <v>73</v>
      </c>
      <c r="L96" s="14" t="s">
        <v>200</v>
      </c>
      <c r="M96" s="14" t="s">
        <v>201</v>
      </c>
      <c r="N96" s="14" t="s">
        <v>76</v>
      </c>
      <c r="O96" s="152">
        <f>VLOOKUP(Tabla1[[#This Row],[Matricula]],BAJA2022202320242025!$B$3:$CR$245,93,FALSE)</f>
        <v>43630</v>
      </c>
      <c r="P96" s="15">
        <v>45457</v>
      </c>
      <c r="Q96" s="160">
        <f>Tabla1[[#This Row],[F.Vig.Final]]-Tabla1[[#This Row],[f Vig Inicio]]</f>
        <v>1827</v>
      </c>
      <c r="R96" s="15">
        <f>YEAR(Tabla1[[#This Row],[F.Vig.Final]])</f>
        <v>2024</v>
      </c>
      <c r="S96" s="14" t="s">
        <v>77</v>
      </c>
      <c r="T96" s="14" t="s">
        <v>674</v>
      </c>
      <c r="U96" s="14" t="s">
        <v>359</v>
      </c>
      <c r="V96" s="14" t="s">
        <v>1245</v>
      </c>
      <c r="W96" s="14" t="s">
        <v>1258</v>
      </c>
      <c r="X96" s="14" t="s">
        <v>1259</v>
      </c>
      <c r="Y96" s="14" t="s">
        <v>1260</v>
      </c>
      <c r="Z96" s="16">
        <f>COUNTIF($X$3:X96, X96)</f>
        <v>1</v>
      </c>
      <c r="AA96" s="16" t="e">
        <v>#N/A</v>
      </c>
      <c r="AB96" s="16" t="e">
        <v>#N/A</v>
      </c>
      <c r="AC96" s="16" t="e">
        <v>#N/A</v>
      </c>
      <c r="AD96" s="16" t="e">
        <v>#N/A</v>
      </c>
      <c r="AE96" s="16" t="e">
        <v>#N/A</v>
      </c>
      <c r="AF96" s="15" t="e">
        <v>#N/A</v>
      </c>
      <c r="AG96" s="17" t="e">
        <v>#N/A</v>
      </c>
      <c r="AH96" s="17" t="e">
        <f>Tabla1[[#This Row],[Renov. Flota]]-Tabla1[[#This Row],[Año]]</f>
        <v>#N/A</v>
      </c>
      <c r="AI96" s="18" t="e">
        <v>#N/A</v>
      </c>
      <c r="AJ96" s="18" t="e">
        <f>VLOOKUP(Tabla1[[#This Row],[Matricula nueva]],'ALTA 20242025'!$B$2:$P$242,15,FALSE)</f>
        <v>#N/A</v>
      </c>
      <c r="AK96" s="19" t="e">
        <v>#N/A</v>
      </c>
      <c r="AN96" s="1"/>
      <c r="AO96" s="1" t="e">
        <f>VLOOKUP(Tabla1[[#This Row],[Matricula nueva]],Hoja2!$A$1:$B$224,2,FALSE)</f>
        <v>#N/A</v>
      </c>
      <c r="AP96" s="1" t="str">
        <f>IF(Tabla1[[#This Row],[Columna2]]="M1",5.1,"")</f>
        <v/>
      </c>
      <c r="AQ96" s="1"/>
      <c r="AR96" s="1"/>
      <c r="AS96" s="47">
        <f>IF(Tabla1[[#This Row],[Columna2]]="M1",13073,IF(Tabla1[[#This Row],[Columna2]]="N1",15815,IF(Tabla1[[#This Row],[Columna2]]="L3e",2831,53508)))</f>
        <v>53508</v>
      </c>
      <c r="AT96" s="47" t="e">
        <f>(Tabla1[[#This Row],[CVA]]*Tabla1[[#This Row],[F]]-Tabla1[[#This Row],[CVN]])/100*Tabla1[[#This Row],[L]]</f>
        <v>#VALUE!</v>
      </c>
      <c r="AU96" s="1"/>
      <c r="AV96" s="1" t="e">
        <f>VLOOKUP(B96,Tabla467824[[ID CAE2]:[AE '[kWh']]],6,FALSE)</f>
        <v>#N/A</v>
      </c>
      <c r="AW9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97" spans="1:49" ht="15" x14ac:dyDescent="0.25">
      <c r="A97" s="114" t="s">
        <v>491</v>
      </c>
      <c r="B97" t="str">
        <f>VLOOKUP(A97,Tabla46782[ID CAE],1,FALSE)</f>
        <v>CAE500091</v>
      </c>
      <c r="C97" s="25" t="s">
        <v>492</v>
      </c>
      <c r="D97" s="103" t="s">
        <v>72</v>
      </c>
      <c r="E97" s="103" t="s">
        <v>72</v>
      </c>
      <c r="F97" s="103" t="s">
        <v>72</v>
      </c>
      <c r="G97" s="103"/>
      <c r="H97" s="103" t="s">
        <v>72</v>
      </c>
      <c r="I97" s="103" t="s">
        <v>72</v>
      </c>
      <c r="J97" s="103"/>
      <c r="K97" s="14" t="s">
        <v>73</v>
      </c>
      <c r="L97" s="14" t="s">
        <v>200</v>
      </c>
      <c r="M97" s="14" t="s">
        <v>201</v>
      </c>
      <c r="N97" s="23" t="s">
        <v>160</v>
      </c>
      <c r="O97" s="154">
        <f>VLOOKUP(Tabla1[[#This Row],[Matricula]],BAJA2022202320242025!$B$3:$CR$245,93,FALSE)</f>
        <v>44189</v>
      </c>
      <c r="P97" s="29">
        <v>45650</v>
      </c>
      <c r="Q97" s="161">
        <f>Tabla1[[#This Row],[F.Vig.Final]]-Tabla1[[#This Row],[f Vig Inicio]]</f>
        <v>1461</v>
      </c>
      <c r="R97" s="141">
        <f>YEAR(Tabla1[[#This Row],[F.Vig.Final]])</f>
        <v>2024</v>
      </c>
      <c r="S97" s="25" t="s">
        <v>161</v>
      </c>
      <c r="T97" s="14" t="s">
        <v>78</v>
      </c>
      <c r="U97" s="14" t="s">
        <v>467</v>
      </c>
      <c r="V97" s="14" t="s">
        <v>476</v>
      </c>
      <c r="W97" s="14" t="s">
        <v>102</v>
      </c>
      <c r="X97" s="14" t="s">
        <v>103</v>
      </c>
      <c r="Y97" s="14" t="s">
        <v>493</v>
      </c>
      <c r="Z97" s="16">
        <f>COUNTIF($X$3:X97, X97)</f>
        <v>10</v>
      </c>
      <c r="AA97" s="16" t="s">
        <v>494</v>
      </c>
      <c r="AB97" s="16" t="s">
        <v>85</v>
      </c>
      <c r="AC97" s="16" t="s">
        <v>86</v>
      </c>
      <c r="AD97" s="16" t="s">
        <v>87</v>
      </c>
      <c r="AE97" s="60" t="s">
        <v>495</v>
      </c>
      <c r="AF97" s="29" t="s">
        <v>89</v>
      </c>
      <c r="AG97" s="27">
        <v>45625</v>
      </c>
      <c r="AH97" s="137">
        <f>Tabla1[[#This Row],[Renov. Flota]]-Tabla1[[#This Row],[Año]]</f>
        <v>0</v>
      </c>
      <c r="AI97" s="18" t="s">
        <v>102</v>
      </c>
      <c r="AJ97" s="107" t="str">
        <f>VLOOKUP(Tabla1[[#This Row],[Matricula nueva]],'ALTA 20242025'!$B$2:$P$242,15,FALSE)</f>
        <v>4500426787</v>
      </c>
      <c r="AK97" s="60" t="s">
        <v>103</v>
      </c>
      <c r="AM97" s="1" t="s">
        <v>72</v>
      </c>
      <c r="AN97" s="1" t="s">
        <v>109</v>
      </c>
      <c r="AO97" s="1" t="str">
        <f>VLOOKUP(Tabla1[[#This Row],[Matricula nueva]],Hoja2!$A$1:$B$224,2,FALSE)</f>
        <v>VF1RFK00273824803</v>
      </c>
      <c r="AP97" s="65">
        <v>5.6</v>
      </c>
      <c r="AQ97" s="66">
        <f>IF(T97="DIESEL",10,IF(T97="GLP",7.16,9.19))</f>
        <v>10</v>
      </c>
      <c r="AR97" s="67">
        <v>17.3</v>
      </c>
      <c r="AS97" s="68">
        <f>IF(Tabla1[[#This Row],[Columna2]]="M1",13073,IF(Tabla1[[#This Row],[Columna2]]="N1",15815,IF(Tabla1[[#This Row],[Columna2]]="L3e",2831,53508)))</f>
        <v>15815</v>
      </c>
      <c r="AT97" s="68">
        <f>(Tabla1[[#This Row],[CVA]]*Tabla1[[#This Row],[F]]-Tabla1[[#This Row],[CVN]])/100*Tabla1[[#This Row],[L]]</f>
        <v>6120.4049999999997</v>
      </c>
      <c r="AU97" s="69" t="s">
        <v>128</v>
      </c>
      <c r="AV97" s="294">
        <f>VLOOKUP(B97,Tabla467824[[ID CAE2]:[AE '[kWh']]],6,FALSE)</f>
        <v>5607.9989999999989</v>
      </c>
      <c r="AW9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8" spans="1:49" ht="15" x14ac:dyDescent="0.25">
      <c r="A98" s="114" t="s">
        <v>498</v>
      </c>
      <c r="B98" t="str">
        <f>VLOOKUP(A98,Tabla46782[ID CAE],1,FALSE)</f>
        <v>CAE500092</v>
      </c>
      <c r="C98" s="25" t="s">
        <v>499</v>
      </c>
      <c r="D98" s="103" t="s">
        <v>72</v>
      </c>
      <c r="E98" s="103" t="s">
        <v>72</v>
      </c>
      <c r="F98" s="103" t="s">
        <v>72</v>
      </c>
      <c r="G98" s="103"/>
      <c r="H98" s="103" t="s">
        <v>72</v>
      </c>
      <c r="I98" s="103" t="s">
        <v>72</v>
      </c>
      <c r="J98" s="103"/>
      <c r="K98" s="14" t="s">
        <v>73</v>
      </c>
      <c r="L98" s="14" t="s">
        <v>200</v>
      </c>
      <c r="M98" s="14" t="s">
        <v>201</v>
      </c>
      <c r="N98" s="23" t="s">
        <v>76</v>
      </c>
      <c r="O98" s="151">
        <f>VLOOKUP(Tabla1[[#This Row],[Matricula]],BAJA2022202320242025!$B$3:$CR$245,93,FALSE)</f>
        <v>44176</v>
      </c>
      <c r="P98" s="24">
        <v>45637</v>
      </c>
      <c r="Q98" s="158">
        <f>Tabla1[[#This Row],[F.Vig.Final]]-Tabla1[[#This Row],[f Vig Inicio]]</f>
        <v>1461</v>
      </c>
      <c r="R98" s="141">
        <f>YEAR(Tabla1[[#This Row],[F.Vig.Final]])</f>
        <v>2024</v>
      </c>
      <c r="S98" s="25" t="s">
        <v>77</v>
      </c>
      <c r="T98" s="14" t="s">
        <v>78</v>
      </c>
      <c r="U98" s="14" t="s">
        <v>467</v>
      </c>
      <c r="V98" s="14" t="s">
        <v>500</v>
      </c>
      <c r="W98" s="14" t="s">
        <v>119</v>
      </c>
      <c r="X98" s="14" t="s">
        <v>120</v>
      </c>
      <c r="Y98" s="14" t="s">
        <v>501</v>
      </c>
      <c r="Z98" s="16">
        <f>COUNTIF($X$3:X98, X98)</f>
        <v>15</v>
      </c>
      <c r="AA98" s="16" t="s">
        <v>502</v>
      </c>
      <c r="AB98" s="16" t="s">
        <v>140</v>
      </c>
      <c r="AC98" s="16" t="s">
        <v>151</v>
      </c>
      <c r="AD98" s="16" t="s">
        <v>87</v>
      </c>
      <c r="AE98" s="60" t="s">
        <v>243</v>
      </c>
      <c r="AF98" s="24" t="s">
        <v>89</v>
      </c>
      <c r="AG98" s="27">
        <v>45625</v>
      </c>
      <c r="AH98" s="137">
        <f>Tabla1[[#This Row],[Renov. Flota]]-Tabla1[[#This Row],[Año]]</f>
        <v>0</v>
      </c>
      <c r="AI98" s="18" t="s">
        <v>119</v>
      </c>
      <c r="AJ98" s="107" t="str">
        <f>VLOOKUP(Tabla1[[#This Row],[Matricula nueva]],'ALTA 20242025'!$B$2:$P$242,15,FALSE)</f>
        <v>4500424812</v>
      </c>
      <c r="AK98" s="60" t="s">
        <v>120</v>
      </c>
      <c r="AM98" s="1" t="s">
        <v>72</v>
      </c>
      <c r="AN98" s="1" t="s">
        <v>91</v>
      </c>
      <c r="AO98" s="1" t="str">
        <f>VLOOKUP(Tabla1[[#This Row],[Matricula nueva]],Hoja2!$A$1:$B$224,2,FALSE)</f>
        <v>VR7CBZYA7RT152181</v>
      </c>
      <c r="AP98" s="70">
        <v>5.6</v>
      </c>
      <c r="AQ98" s="71">
        <f>IF(T98="DIESEL",10,IF(T98="GLP",7.16,9.19))</f>
        <v>10</v>
      </c>
      <c r="AR98" s="72">
        <v>16.399999999999999</v>
      </c>
      <c r="AS98" s="73">
        <f>IF(Tabla1[[#This Row],[Columna2]]="M1",13073,IF(Tabla1[[#This Row],[Columna2]]="N1",15815,IF(Tabla1[[#This Row],[Columna2]]="L3e",2831,53508)))</f>
        <v>15815</v>
      </c>
      <c r="AT98" s="73">
        <f>(Tabla1[[#This Row],[CVA]]*Tabla1[[#This Row],[F]]-Tabla1[[#This Row],[CVN]])/100*Tabla1[[#This Row],[L]]</f>
        <v>6262.7400000000007</v>
      </c>
      <c r="AU98" s="74" t="s">
        <v>128</v>
      </c>
      <c r="AV98" s="294">
        <f>VLOOKUP(B98,Tabla467824[[ID CAE2]:[AE '[kWh']]],6,FALSE)</f>
        <v>6795.3454000000002</v>
      </c>
      <c r="AW9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99" spans="1:49" ht="15.75" thickBot="1" x14ac:dyDescent="0.3">
      <c r="A99" s="114" t="s">
        <v>505</v>
      </c>
      <c r="B99" t="str">
        <f>VLOOKUP(A99,Tabla46782[ID CAE],1,FALSE)</f>
        <v>CAE500093</v>
      </c>
      <c r="C99" s="25" t="s">
        <v>506</v>
      </c>
      <c r="D99" s="103" t="s">
        <v>72</v>
      </c>
      <c r="E99" s="103" t="s">
        <v>72</v>
      </c>
      <c r="F99" s="103" t="s">
        <v>72</v>
      </c>
      <c r="G99" s="103"/>
      <c r="H99" s="103" t="s">
        <v>72</v>
      </c>
      <c r="I99" s="103" t="s">
        <v>72</v>
      </c>
      <c r="J99" s="103"/>
      <c r="K99" s="14" t="s">
        <v>73</v>
      </c>
      <c r="L99" s="14" t="s">
        <v>200</v>
      </c>
      <c r="M99" s="14" t="s">
        <v>201</v>
      </c>
      <c r="N99" s="23" t="s">
        <v>76</v>
      </c>
      <c r="O99" s="153">
        <f>VLOOKUP(Tabla1[[#This Row],[Matricula]],BAJA2022202320242025!$B$3:$CR$245,93,FALSE)</f>
        <v>44176</v>
      </c>
      <c r="P99" s="28">
        <v>45637</v>
      </c>
      <c r="Q99" s="159">
        <f>Tabla1[[#This Row],[F.Vig.Final]]-Tabla1[[#This Row],[f Vig Inicio]]</f>
        <v>1461</v>
      </c>
      <c r="R99" s="141">
        <f>YEAR(Tabla1[[#This Row],[F.Vig.Final]])</f>
        <v>2024</v>
      </c>
      <c r="S99" s="25" t="s">
        <v>77</v>
      </c>
      <c r="T99" s="14" t="s">
        <v>78</v>
      </c>
      <c r="U99" s="14" t="s">
        <v>467</v>
      </c>
      <c r="V99" s="14" t="s">
        <v>500</v>
      </c>
      <c r="W99" s="14" t="s">
        <v>215</v>
      </c>
      <c r="X99" s="14" t="s">
        <v>216</v>
      </c>
      <c r="Y99" s="14" t="s">
        <v>507</v>
      </c>
      <c r="Z99" s="16">
        <f>COUNTIF($X$3:X99, X99)</f>
        <v>2</v>
      </c>
      <c r="AA99" s="16" t="s">
        <v>508</v>
      </c>
      <c r="AB99" s="16" t="s">
        <v>140</v>
      </c>
      <c r="AC99" s="16" t="s">
        <v>151</v>
      </c>
      <c r="AD99" s="16" t="s">
        <v>87</v>
      </c>
      <c r="AE99" s="60" t="s">
        <v>509</v>
      </c>
      <c r="AF99" s="28" t="s">
        <v>89</v>
      </c>
      <c r="AG99" s="27">
        <v>45625</v>
      </c>
      <c r="AH99" s="137">
        <f>Tabla1[[#This Row],[Renov. Flota]]-Tabla1[[#This Row],[Año]]</f>
        <v>0</v>
      </c>
      <c r="AI99" s="18" t="s">
        <v>215</v>
      </c>
      <c r="AJ99" s="107" t="str">
        <f>VLOOKUP(Tabla1[[#This Row],[Matricula nueva]],'ALTA 20242025'!$B$2:$P$242,15,FALSE)</f>
        <v>4500424806</v>
      </c>
      <c r="AK99" s="60" t="s">
        <v>216</v>
      </c>
      <c r="AM99" s="1" t="s">
        <v>72</v>
      </c>
      <c r="AN99" s="1" t="s">
        <v>91</v>
      </c>
      <c r="AO99" s="1" t="str">
        <f>VLOOKUP(Tabla1[[#This Row],[Matricula nueva]],Hoja2!$A$1:$B$224,2,FALSE)</f>
        <v>VR7CBZYA5RT153040</v>
      </c>
      <c r="AP99" s="75">
        <v>5.6</v>
      </c>
      <c r="AQ99" s="76">
        <f>IF(T99="DIESEL",10,IF(T99="GLP",7.16,9.19))</f>
        <v>10</v>
      </c>
      <c r="AR99" s="77">
        <v>16.399999999999999</v>
      </c>
      <c r="AS99" s="78">
        <f>IF(Tabla1[[#This Row],[Columna2]]="M1",13073,IF(Tabla1[[#This Row],[Columna2]]="N1",15815,IF(Tabla1[[#This Row],[Columna2]]="L3e",2831,53508)))</f>
        <v>15815</v>
      </c>
      <c r="AT99" s="78">
        <f>(Tabla1[[#This Row],[CVA]]*Tabla1[[#This Row],[F]]-Tabla1[[#This Row],[CVN]])/100*Tabla1[[#This Row],[L]]</f>
        <v>6262.7400000000007</v>
      </c>
      <c r="AU99" s="79" t="s">
        <v>128</v>
      </c>
      <c r="AV99" s="294">
        <f>VLOOKUP(B99,Tabla467824[[ID CAE2]:[AE '[kWh']]],6,FALSE)</f>
        <v>6795.3454000000002</v>
      </c>
      <c r="AW9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00" spans="1:49" ht="15.75" hidden="1" thickBot="1" x14ac:dyDescent="0.3">
      <c r="A100" t="s">
        <v>1261</v>
      </c>
      <c r="B100" t="e">
        <f>VLOOKUP(A100,Tabla46782[ID CAE],1,FALSE)</f>
        <v>#N/A</v>
      </c>
      <c r="C100" s="14" t="s">
        <v>1262</v>
      </c>
      <c r="D100" s="14"/>
      <c r="E100" s="14"/>
      <c r="F100" s="14"/>
      <c r="G100" s="14"/>
      <c r="H100" s="14"/>
      <c r="I100" s="14"/>
      <c r="J100" s="14"/>
      <c r="K100" s="14" t="s">
        <v>73</v>
      </c>
      <c r="L100" s="14" t="s">
        <v>200</v>
      </c>
      <c r="M100" s="14" t="s">
        <v>201</v>
      </c>
      <c r="N100" s="14" t="s">
        <v>160</v>
      </c>
      <c r="O100" s="152">
        <f>VLOOKUP(Tabla1[[#This Row],[Matricula]],BAJA2022202320242025!$B$3:$CR$245,93,FALSE)</f>
        <v>43619</v>
      </c>
      <c r="P100" s="15">
        <v>45476</v>
      </c>
      <c r="Q100" s="160">
        <f>Tabla1[[#This Row],[F.Vig.Final]]-Tabla1[[#This Row],[f Vig Inicio]]</f>
        <v>1857</v>
      </c>
      <c r="R100" s="15">
        <f>YEAR(Tabla1[[#This Row],[F.Vig.Final]])</f>
        <v>2024</v>
      </c>
      <c r="S100" s="14" t="s">
        <v>161</v>
      </c>
      <c r="T100" s="14" t="s">
        <v>78</v>
      </c>
      <c r="U100" s="14" t="s">
        <v>359</v>
      </c>
      <c r="V100" s="14" t="s">
        <v>360</v>
      </c>
      <c r="W100" s="14" t="s">
        <v>584</v>
      </c>
      <c r="X100" s="14" t="s">
        <v>585</v>
      </c>
      <c r="Y100" s="14" t="s">
        <v>1263</v>
      </c>
      <c r="Z100" s="16">
        <f>COUNTIF($X$3:X100, X100)</f>
        <v>3</v>
      </c>
      <c r="AA100" s="16" t="e">
        <v>#N/A</v>
      </c>
      <c r="AB100" s="16" t="e">
        <v>#N/A</v>
      </c>
      <c r="AC100" s="16" t="e">
        <v>#N/A</v>
      </c>
      <c r="AD100" s="16" t="e">
        <v>#N/A</v>
      </c>
      <c r="AE100" s="16" t="e">
        <v>#N/A</v>
      </c>
      <c r="AF100" s="15" t="e">
        <v>#N/A</v>
      </c>
      <c r="AG100" s="17" t="e">
        <v>#N/A</v>
      </c>
      <c r="AH100" s="17" t="e">
        <f>Tabla1[[#This Row],[Renov. Flota]]-Tabla1[[#This Row],[Año]]</f>
        <v>#N/A</v>
      </c>
      <c r="AI100" s="18" t="e">
        <v>#N/A</v>
      </c>
      <c r="AJ100" s="18" t="e">
        <f>VLOOKUP(Tabla1[[#This Row],[Matricula nueva]],'ALTA 20242025'!$B$2:$P$242,15,FALSE)</f>
        <v>#N/A</v>
      </c>
      <c r="AK100" s="19" t="e">
        <v>#N/A</v>
      </c>
      <c r="AN100" s="1"/>
      <c r="AO100" s="1" t="e">
        <f>VLOOKUP(Tabla1[[#This Row],[Matricula nueva]],Hoja2!$A$1:$B$224,2,FALSE)</f>
        <v>#N/A</v>
      </c>
      <c r="AP100" s="1" t="str">
        <f>IF(Tabla1[[#This Row],[Columna2]]="M1",5.1,"")</f>
        <v/>
      </c>
      <c r="AQ100" s="1"/>
      <c r="AR100" s="1"/>
      <c r="AS100" s="47">
        <f>IF(Tabla1[[#This Row],[Columna2]]="M1",13073,IF(Tabla1[[#This Row],[Columna2]]="N1",15815,IF(Tabla1[[#This Row],[Columna2]]="L3e",2831,53508)))</f>
        <v>53508</v>
      </c>
      <c r="AT100" s="47" t="e">
        <f>(Tabla1[[#This Row],[CVA]]*Tabla1[[#This Row],[F]]-Tabla1[[#This Row],[CVN]])/100*Tabla1[[#This Row],[L]]</f>
        <v>#VALUE!</v>
      </c>
      <c r="AU100" s="1"/>
      <c r="AV100" s="1" t="e">
        <f>VLOOKUP(B100,Tabla467824[[ID CAE2]:[AE '[kWh']]],6,FALSE)</f>
        <v>#N/A</v>
      </c>
      <c r="AW10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01" spans="1:49" ht="15.75" thickBot="1" x14ac:dyDescent="0.3">
      <c r="A101" s="114" t="s">
        <v>514</v>
      </c>
      <c r="B101" t="str">
        <f>VLOOKUP(A101,Tabla46782[ID CAE],1,FALSE)</f>
        <v>CAE500095</v>
      </c>
      <c r="C101" s="25" t="s">
        <v>515</v>
      </c>
      <c r="D101" s="103"/>
      <c r="E101" s="103"/>
      <c r="F101" s="103"/>
      <c r="G101" s="103" t="s">
        <v>72</v>
      </c>
      <c r="H101" s="103" t="s">
        <v>72</v>
      </c>
      <c r="I101" s="103" t="s">
        <v>72</v>
      </c>
      <c r="J101" s="103"/>
      <c r="K101" s="14" t="s">
        <v>158</v>
      </c>
      <c r="L101" s="14" t="s">
        <v>159</v>
      </c>
      <c r="M101" s="14" t="s">
        <v>158</v>
      </c>
      <c r="N101" s="23" t="s">
        <v>171</v>
      </c>
      <c r="O101" s="34">
        <f>VLOOKUP(Tabla1[[#This Row],[Matricula]],BAJA2022202320242025!$B$3:$CR$245,93,FALSE)</f>
        <v>39827</v>
      </c>
      <c r="P101" s="30">
        <v>45574</v>
      </c>
      <c r="Q101" s="162">
        <f>Tabla1[[#This Row],[F.Vig.Final]]-Tabla1[[#This Row],[f Vig Inicio]]</f>
        <v>5747</v>
      </c>
      <c r="R101" s="141">
        <f>YEAR(Tabla1[[#This Row],[F.Vig.Final]])</f>
        <v>2024</v>
      </c>
      <c r="S101" s="25" t="s">
        <v>172</v>
      </c>
      <c r="T101" s="14" t="s">
        <v>78</v>
      </c>
      <c r="U101" s="14" t="s">
        <v>85</v>
      </c>
      <c r="V101" s="14" t="s">
        <v>517</v>
      </c>
      <c r="W101" s="14" t="s">
        <v>190</v>
      </c>
      <c r="X101" s="14" t="s">
        <v>191</v>
      </c>
      <c r="Y101" s="14" t="s">
        <v>518</v>
      </c>
      <c r="Z101" s="16">
        <f>COUNTIF($X$3:X101, X101)</f>
        <v>6</v>
      </c>
      <c r="AA101" s="16" t="s">
        <v>519</v>
      </c>
      <c r="AB101" s="16" t="s">
        <v>85</v>
      </c>
      <c r="AC101" s="16" t="s">
        <v>86</v>
      </c>
      <c r="AD101" s="16" t="s">
        <v>87</v>
      </c>
      <c r="AE101" s="60" t="s">
        <v>194</v>
      </c>
      <c r="AF101" s="30" t="s">
        <v>89</v>
      </c>
      <c r="AG101" s="27">
        <v>45646</v>
      </c>
      <c r="AH101" s="137">
        <f>Tabla1[[#This Row],[Renov. Flota]]-Tabla1[[#This Row],[Año]]</f>
        <v>0</v>
      </c>
      <c r="AI101" s="18" t="s">
        <v>190</v>
      </c>
      <c r="AJ101" s="107" t="str">
        <f>VLOOKUP(Tabla1[[#This Row],[Matricula nueva]],'ALTA 20242025'!$B$2:$P$242,15,FALSE)</f>
        <v>4500426783</v>
      </c>
      <c r="AK101" s="60" t="s">
        <v>191</v>
      </c>
      <c r="AM101" s="1" t="s">
        <v>72</v>
      </c>
      <c r="AN101" s="1" t="s">
        <v>91</v>
      </c>
      <c r="AO101" s="1" t="str">
        <f>VLOOKUP(Tabla1[[#This Row],[Matricula nueva]],Hoja2!$A$1:$B$224,2,FALSE)</f>
        <v>VF1RFK00273934279</v>
      </c>
      <c r="AP101" s="80">
        <v>35</v>
      </c>
      <c r="AQ101" s="81">
        <f>IF(T101="DIESEL",10,IF(T101="GLP",7.16,9.19))</f>
        <v>10</v>
      </c>
      <c r="AR101" s="82">
        <v>17.3</v>
      </c>
      <c r="AS101" s="83">
        <f>IF(Tabla1[[#This Row],[Columna2]]="M1",13073,IF(Tabla1[[#This Row],[Columna2]]="N1",15815,IF(Tabla1[[#This Row],[Columna2]]="L3e",2831,53508)))</f>
        <v>53508</v>
      </c>
      <c r="AT101" s="83">
        <f>(Tabla1[[#This Row],[CVA]]*Tabla1[[#This Row],[F]]-Tabla1[[#This Row],[CVN]])/100*Tabla1[[#This Row],[L]]</f>
        <v>178021.11600000001</v>
      </c>
      <c r="AU101" s="84" t="s">
        <v>516</v>
      </c>
      <c r="AV101" s="294">
        <f>VLOOKUP(B101,Tabla467824[[ID CAE2]:[AE '[kWh']]],6,FALSE)</f>
        <v>123854.9676</v>
      </c>
      <c r="AW10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02" spans="1:49" ht="15.75" hidden="1" thickBot="1" x14ac:dyDescent="0.3">
      <c r="A102" t="s">
        <v>1264</v>
      </c>
      <c r="B102" t="e">
        <f>VLOOKUP(A102,Tabla46782[ID CAE],1,FALSE)</f>
        <v>#N/A</v>
      </c>
      <c r="C102" s="14" t="s">
        <v>1265</v>
      </c>
      <c r="D102" s="14"/>
      <c r="E102" s="14"/>
      <c r="F102" s="14"/>
      <c r="G102" s="14"/>
      <c r="H102" s="14"/>
      <c r="I102" s="14"/>
      <c r="J102" s="14"/>
      <c r="K102" s="14" t="s">
        <v>73</v>
      </c>
      <c r="L102" s="14" t="s">
        <v>200</v>
      </c>
      <c r="M102" s="14" t="s">
        <v>201</v>
      </c>
      <c r="N102" s="14" t="s">
        <v>76</v>
      </c>
      <c r="O102" s="152">
        <f>VLOOKUP(Tabla1[[#This Row],[Matricula]],BAJA2022202320242025!$B$3:$CR$245,93,FALSE)</f>
        <v>44029</v>
      </c>
      <c r="P102" s="15">
        <v>45490</v>
      </c>
      <c r="Q102" s="160">
        <f>Tabla1[[#This Row],[F.Vig.Final]]-Tabla1[[#This Row],[f Vig Inicio]]</f>
        <v>1461</v>
      </c>
      <c r="R102" s="15">
        <f>YEAR(Tabla1[[#This Row],[F.Vig.Final]])</f>
        <v>2024</v>
      </c>
      <c r="S102" s="14" t="s">
        <v>77</v>
      </c>
      <c r="T102" s="14" t="s">
        <v>78</v>
      </c>
      <c r="U102" s="14" t="s">
        <v>467</v>
      </c>
      <c r="V102" s="14" t="s">
        <v>1266</v>
      </c>
      <c r="W102" s="14" t="s">
        <v>1235</v>
      </c>
      <c r="X102" s="14" t="s">
        <v>1236</v>
      </c>
      <c r="Y102" s="14" t="s">
        <v>312</v>
      </c>
      <c r="Z102" s="16">
        <f>COUNTIF($X$3:X102, X102)</f>
        <v>2</v>
      </c>
      <c r="AA102" s="16" t="e">
        <v>#N/A</v>
      </c>
      <c r="AB102" s="16" t="e">
        <v>#N/A</v>
      </c>
      <c r="AC102" s="16" t="e">
        <v>#N/A</v>
      </c>
      <c r="AD102" s="16" t="e">
        <v>#N/A</v>
      </c>
      <c r="AE102" s="16" t="e">
        <v>#N/A</v>
      </c>
      <c r="AF102" s="15" t="e">
        <v>#N/A</v>
      </c>
      <c r="AG102" s="17" t="e">
        <v>#N/A</v>
      </c>
      <c r="AH102" s="17" t="e">
        <f>Tabla1[[#This Row],[Renov. Flota]]-Tabla1[[#This Row],[Año]]</f>
        <v>#N/A</v>
      </c>
      <c r="AI102" s="18" t="e">
        <v>#N/A</v>
      </c>
      <c r="AJ102" s="18" t="e">
        <f>VLOOKUP(Tabla1[[#This Row],[Matricula nueva]],'ALTA 20242025'!$B$2:$P$242,15,FALSE)</f>
        <v>#N/A</v>
      </c>
      <c r="AK102" s="19" t="e">
        <v>#N/A</v>
      </c>
      <c r="AN102" s="1"/>
      <c r="AO102" s="1" t="e">
        <f>VLOOKUP(Tabla1[[#This Row],[Matricula nueva]],Hoja2!$A$1:$B$224,2,FALSE)</f>
        <v>#N/A</v>
      </c>
      <c r="AP102" s="1" t="str">
        <f>IF(Tabla1[[#This Row],[Columna2]]="M1",5.1,"")</f>
        <v/>
      </c>
      <c r="AQ102" s="1"/>
      <c r="AR102" s="1"/>
      <c r="AS102" s="47">
        <f>IF(Tabla1[[#This Row],[Columna2]]="M1",13073,IF(Tabla1[[#This Row],[Columna2]]="N1",15815,IF(Tabla1[[#This Row],[Columna2]]="L3e",2831,53508)))</f>
        <v>53508</v>
      </c>
      <c r="AT102" s="47" t="e">
        <f>(Tabla1[[#This Row],[CVA]]*Tabla1[[#This Row],[F]]-Tabla1[[#This Row],[CVN]])/100*Tabla1[[#This Row],[L]]</f>
        <v>#VALUE!</v>
      </c>
      <c r="AU102" s="1"/>
      <c r="AV102" s="1" t="e">
        <f>VLOOKUP(B102,Tabla467824[[ID CAE2]:[AE '[kWh']]],6,FALSE)</f>
        <v>#N/A</v>
      </c>
      <c r="AW10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03" spans="1:49" ht="15" x14ac:dyDescent="0.25">
      <c r="A103" s="114" t="s">
        <v>522</v>
      </c>
      <c r="B103" t="str">
        <f>VLOOKUP(A103,Tabla46782[ID CAE],1,FALSE)</f>
        <v>CAE500097</v>
      </c>
      <c r="C103" s="25" t="s">
        <v>523</v>
      </c>
      <c r="D103" s="103"/>
      <c r="E103" s="103"/>
      <c r="F103" s="103"/>
      <c r="G103" s="103" t="s">
        <v>72</v>
      </c>
      <c r="H103" s="103" t="s">
        <v>72</v>
      </c>
      <c r="I103" s="103" t="s">
        <v>72</v>
      </c>
      <c r="J103" s="103"/>
      <c r="K103" s="14" t="s">
        <v>158</v>
      </c>
      <c r="L103" s="14" t="s">
        <v>159</v>
      </c>
      <c r="M103" s="14" t="s">
        <v>158</v>
      </c>
      <c r="N103" s="23" t="s">
        <v>171</v>
      </c>
      <c r="O103" s="157">
        <f>VLOOKUP(Tabla1[[#This Row],[Matricula]],BAJA2022202320242025!$B$3:$CR$245,93,FALSE)</f>
        <v>39407</v>
      </c>
      <c r="P103" s="29">
        <v>45341</v>
      </c>
      <c r="Q103" s="161">
        <f>Tabla1[[#This Row],[F.Vig.Final]]-Tabla1[[#This Row],[f Vig Inicio]]</f>
        <v>5934</v>
      </c>
      <c r="R103" s="141">
        <f>YEAR(Tabla1[[#This Row],[F.Vig.Final]])</f>
        <v>2024</v>
      </c>
      <c r="S103" s="25" t="s">
        <v>172</v>
      </c>
      <c r="T103" s="14" t="s">
        <v>78</v>
      </c>
      <c r="U103" s="14" t="s">
        <v>524</v>
      </c>
      <c r="V103" s="14" t="s">
        <v>525</v>
      </c>
      <c r="W103" s="14" t="s">
        <v>190</v>
      </c>
      <c r="X103" s="14" t="s">
        <v>191</v>
      </c>
      <c r="Y103" s="14" t="s">
        <v>518</v>
      </c>
      <c r="Z103" s="16">
        <f>COUNTIF($X$3:X103, X103)</f>
        <v>7</v>
      </c>
      <c r="AA103" s="16" t="s">
        <v>526</v>
      </c>
      <c r="AB103" s="16" t="s">
        <v>140</v>
      </c>
      <c r="AC103" s="16" t="s">
        <v>151</v>
      </c>
      <c r="AD103" s="16" t="s">
        <v>87</v>
      </c>
      <c r="AE103" s="60" t="s">
        <v>518</v>
      </c>
      <c r="AF103" s="29" t="s">
        <v>89</v>
      </c>
      <c r="AG103" s="27">
        <v>45625</v>
      </c>
      <c r="AH103" s="137">
        <f>Tabla1[[#This Row],[Renov. Flota]]-Tabla1[[#This Row],[Año]]</f>
        <v>0</v>
      </c>
      <c r="AI103" s="18" t="s">
        <v>190</v>
      </c>
      <c r="AJ103" s="107" t="str">
        <f>VLOOKUP(Tabla1[[#This Row],[Matricula nueva]],'ALTA 20242025'!$B$2:$P$242,15,FALSE)</f>
        <v>4500424814</v>
      </c>
      <c r="AK103" s="60" t="s">
        <v>191</v>
      </c>
      <c r="AM103" s="1" t="s">
        <v>72</v>
      </c>
      <c r="AN103" s="1" t="s">
        <v>91</v>
      </c>
      <c r="AO103" s="1" t="str">
        <f>VLOOKUP(Tabla1[[#This Row],[Matricula nueva]],Hoja2!$A$1:$B$224,2,FALSE)</f>
        <v>VR7CBZYA4RT153045</v>
      </c>
      <c r="AP103" s="65">
        <v>35</v>
      </c>
      <c r="AQ103" s="66">
        <f>IF(T103="DIESEL",10,IF(T103="GLP",7.16,9.19))</f>
        <v>10</v>
      </c>
      <c r="AR103" s="67">
        <v>16.399999999999999</v>
      </c>
      <c r="AS103" s="68">
        <f>IF(Tabla1[[#This Row],[Columna2]]="M1",13073,IF(Tabla1[[#This Row],[Columna2]]="N1",15815,IF(Tabla1[[#This Row],[Columna2]]="L3e",2831,53508)))</f>
        <v>53508</v>
      </c>
      <c r="AT103" s="68">
        <f>(Tabla1[[#This Row],[CVA]]*Tabla1[[#This Row],[F]]-Tabla1[[#This Row],[CVN]])/100*Tabla1[[#This Row],[L]]</f>
        <v>178502.68800000002</v>
      </c>
      <c r="AU103" s="69" t="s">
        <v>516</v>
      </c>
      <c r="AV103" s="294">
        <f>VLOOKUP(B103,Tabla467824[[ID CAE2]:[AE '[kWh']]],6,FALSE)</f>
        <v>123854.9676</v>
      </c>
      <c r="AW10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04" spans="1:49" ht="15" x14ac:dyDescent="0.25">
      <c r="A104" s="114" t="s">
        <v>529</v>
      </c>
      <c r="B104" t="str">
        <f>VLOOKUP(A104,Tabla46782[ID CAE],1,FALSE)</f>
        <v>CAE500098</v>
      </c>
      <c r="C104" s="25" t="s">
        <v>530</v>
      </c>
      <c r="D104" s="103"/>
      <c r="E104" s="103"/>
      <c r="F104" s="103"/>
      <c r="G104" s="103" t="s">
        <v>72</v>
      </c>
      <c r="H104" s="103" t="s">
        <v>72</v>
      </c>
      <c r="I104" s="103" t="s">
        <v>72</v>
      </c>
      <c r="J104" s="103"/>
      <c r="K104" s="14" t="s">
        <v>158</v>
      </c>
      <c r="L104" s="14" t="s">
        <v>159</v>
      </c>
      <c r="M104" s="14" t="s">
        <v>158</v>
      </c>
      <c r="N104" s="23" t="s">
        <v>171</v>
      </c>
      <c r="O104" s="155">
        <f>VLOOKUP(Tabla1[[#This Row],[Matricula]],BAJA2022202320242025!$B$3:$CR$245,93,FALSE)</f>
        <v>35926</v>
      </c>
      <c r="P104" s="24">
        <v>44972</v>
      </c>
      <c r="Q104" s="158">
        <f>Tabla1[[#This Row],[F.Vig.Final]]-Tabla1[[#This Row],[f Vig Inicio]]</f>
        <v>9046</v>
      </c>
      <c r="R104" s="141">
        <f>YEAR(Tabla1[[#This Row],[F.Vig.Final]])</f>
        <v>2023</v>
      </c>
      <c r="S104" s="25" t="s">
        <v>172</v>
      </c>
      <c r="T104" s="14" t="s">
        <v>78</v>
      </c>
      <c r="U104" s="14" t="s">
        <v>531</v>
      </c>
      <c r="V104" s="14" t="s">
        <v>532</v>
      </c>
      <c r="W104" s="14" t="s">
        <v>190</v>
      </c>
      <c r="X104" s="14" t="s">
        <v>191</v>
      </c>
      <c r="Y104" s="14" t="s">
        <v>533</v>
      </c>
      <c r="Z104" s="16">
        <f>COUNTIF($X$3:X104, X104)</f>
        <v>8</v>
      </c>
      <c r="AA104" s="16" t="s">
        <v>534</v>
      </c>
      <c r="AB104" s="16" t="s">
        <v>140</v>
      </c>
      <c r="AC104" s="16" t="s">
        <v>151</v>
      </c>
      <c r="AD104" s="16" t="s">
        <v>87</v>
      </c>
      <c r="AE104" s="60" t="s">
        <v>535</v>
      </c>
      <c r="AF104" s="24" t="s">
        <v>89</v>
      </c>
      <c r="AG104" s="27">
        <v>45625</v>
      </c>
      <c r="AH104" s="137">
        <f>Tabla1[[#This Row],[Renov. Flota]]-Tabla1[[#This Row],[Año]]</f>
        <v>1</v>
      </c>
      <c r="AI104" s="18" t="s">
        <v>190</v>
      </c>
      <c r="AJ104" s="107" t="str">
        <f>VLOOKUP(Tabla1[[#This Row],[Matricula nueva]],'ALTA 20242025'!$B$2:$P$242,15,FALSE)</f>
        <v>4500424819</v>
      </c>
      <c r="AK104" s="60" t="s">
        <v>191</v>
      </c>
      <c r="AM104" s="1" t="s">
        <v>72</v>
      </c>
      <c r="AN104" s="1" t="s">
        <v>91</v>
      </c>
      <c r="AO104" s="1" t="str">
        <f>VLOOKUP(Tabla1[[#This Row],[Matricula nueva]],Hoja2!$A$1:$B$224,2,FALSE)</f>
        <v>VR7CBZYA3RT154445</v>
      </c>
      <c r="AP104" s="70">
        <v>35</v>
      </c>
      <c r="AQ104" s="71">
        <f>IF(T104="DIESEL",10,IF(T104="GLP",7.16,9.19))</f>
        <v>10</v>
      </c>
      <c r="AR104" s="72">
        <v>16.399999999999999</v>
      </c>
      <c r="AS104" s="73">
        <f>IF(Tabla1[[#This Row],[Columna2]]="M1",13073,IF(Tabla1[[#This Row],[Columna2]]="N1",15815,IF(Tabla1[[#This Row],[Columna2]]="L3e",2831,53508)))</f>
        <v>53508</v>
      </c>
      <c r="AT104" s="73">
        <f>(Tabla1[[#This Row],[CVA]]*Tabla1[[#This Row],[F]]-Tabla1[[#This Row],[CVN]])/100*Tabla1[[#This Row],[L]]</f>
        <v>178502.68800000002</v>
      </c>
      <c r="AU104" s="74" t="s">
        <v>516</v>
      </c>
      <c r="AV104" s="294">
        <f>VLOOKUP(B104,Tabla467824[[ID CAE2]:[AE '[kWh']]],6,FALSE)</f>
        <v>5607.9989999999989</v>
      </c>
      <c r="AW10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05" spans="1:49" ht="15" x14ac:dyDescent="0.25">
      <c r="A105" s="114" t="s">
        <v>539</v>
      </c>
      <c r="B105" t="str">
        <f>VLOOKUP(A105,Tabla46782[ID CAE],1,FALSE)</f>
        <v>CAE500099</v>
      </c>
      <c r="C105" s="25" t="s">
        <v>540</v>
      </c>
      <c r="D105" s="103"/>
      <c r="E105" s="103"/>
      <c r="F105" s="103"/>
      <c r="G105" s="103" t="s">
        <v>72</v>
      </c>
      <c r="H105" s="103"/>
      <c r="I105" s="103"/>
      <c r="J105" s="103"/>
      <c r="K105" s="14" t="s">
        <v>158</v>
      </c>
      <c r="L105" s="14" t="s">
        <v>159</v>
      </c>
      <c r="M105" s="14" t="s">
        <v>158</v>
      </c>
      <c r="N105" s="23" t="s">
        <v>171</v>
      </c>
      <c r="O105" s="155">
        <f>VLOOKUP(Tabla1[[#This Row],[Matricula]],BAJA2022202320242025!$B$3:$CR$245,93,FALSE)</f>
        <v>37956</v>
      </c>
      <c r="P105" s="24">
        <v>45625</v>
      </c>
      <c r="Q105" s="159">
        <f>Tabla1[[#This Row],[F.Vig.Final]]-Tabla1[[#This Row],[f Vig Inicio]]</f>
        <v>7669</v>
      </c>
      <c r="R105" s="141">
        <f>YEAR(Tabla1[[#This Row],[F.Vig.Final]])</f>
        <v>2024</v>
      </c>
      <c r="S105" s="25" t="s">
        <v>172</v>
      </c>
      <c r="T105" s="14" t="s">
        <v>71</v>
      </c>
      <c r="U105" s="14" t="s">
        <v>79</v>
      </c>
      <c r="V105" s="14" t="s">
        <v>541</v>
      </c>
      <c r="W105" s="14" t="s">
        <v>542</v>
      </c>
      <c r="X105" s="14" t="s">
        <v>543</v>
      </c>
      <c r="Y105" s="14" t="s">
        <v>544</v>
      </c>
      <c r="Z105" s="16">
        <f>COUNTIF($X$3:X105, X105)</f>
        <v>1</v>
      </c>
      <c r="AA105" s="16" t="s">
        <v>545</v>
      </c>
      <c r="AB105" s="16" t="s">
        <v>85</v>
      </c>
      <c r="AC105" s="16" t="s">
        <v>114</v>
      </c>
      <c r="AD105" s="16" t="s">
        <v>87</v>
      </c>
      <c r="AE105" s="60" t="s">
        <v>546</v>
      </c>
      <c r="AF105" s="24" t="s">
        <v>547</v>
      </c>
      <c r="AG105" s="27">
        <v>45674</v>
      </c>
      <c r="AH105" s="137">
        <f>Tabla1[[#This Row],[Renov. Flota]]-Tabla1[[#This Row],[Año]]</f>
        <v>1</v>
      </c>
      <c r="AI105" s="18" t="s">
        <v>542</v>
      </c>
      <c r="AJ105" s="107" t="str">
        <f>VLOOKUP(Tabla1[[#This Row],[Matricula nueva]],'ALTA 20242025'!$B$2:$P$242,15,FALSE)</f>
        <v>4500426844</v>
      </c>
      <c r="AK105" s="60" t="s">
        <v>543</v>
      </c>
      <c r="AM105" s="1" t="s">
        <v>72</v>
      </c>
      <c r="AN105" s="1" t="s">
        <v>91</v>
      </c>
      <c r="AO105" s="1" t="str">
        <f>VLOOKUP(Tabla1[[#This Row],[Matricula nueva]],Hoja2!$A$1:$B$224,2,FALSE)</f>
        <v>VF1RFK00073824864</v>
      </c>
      <c r="AP105" s="70">
        <v>2.9</v>
      </c>
      <c r="AQ105" s="71">
        <f>IF(T105="DIESEL",10,IF(T105="GLP",7.16,9.19))</f>
        <v>9.19</v>
      </c>
      <c r="AR105" s="72">
        <v>17.3</v>
      </c>
      <c r="AS105" s="73">
        <f>IF(Tabla1[[#This Row],[Columna2]]="M1",13073,IF(Tabla1[[#This Row],[Columna2]]="N1",15815,IF(Tabla1[[#This Row],[Columna2]]="L3e",2831,53508)))</f>
        <v>2831</v>
      </c>
      <c r="AT105" s="73">
        <f>(Tabla1[[#This Row],[CVA]]*Tabla1[[#This Row],[F]]-Tabla1[[#This Row],[CVN]])/100*Tabla1[[#This Row],[L]]</f>
        <v>264.72680999999989</v>
      </c>
      <c r="AU105" s="74" t="s">
        <v>157</v>
      </c>
      <c r="AV105" s="294">
        <f>VLOOKUP(B105,Tabla467824[[ID CAE2]:[AE '[kWh']]],6,FALSE)</f>
        <v>617.46940999999993</v>
      </c>
      <c r="AW10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106" spans="1:49" ht="15" x14ac:dyDescent="0.25">
      <c r="A106" s="114" t="s">
        <v>551</v>
      </c>
      <c r="B106" t="str">
        <f>VLOOKUP(A106,Tabla46782[ID CAE],1,FALSE)</f>
        <v>CAE500100</v>
      </c>
      <c r="C106" s="25" t="s">
        <v>552</v>
      </c>
      <c r="D106" s="103" t="s">
        <v>72</v>
      </c>
      <c r="E106" s="103"/>
      <c r="F106" s="103" t="s">
        <v>72</v>
      </c>
      <c r="G106" s="103"/>
      <c r="H106" s="103" t="s">
        <v>249</v>
      </c>
      <c r="I106" s="103" t="s">
        <v>249</v>
      </c>
      <c r="J106" s="103"/>
      <c r="K106" s="14" t="s">
        <v>73</v>
      </c>
      <c r="L106" s="14" t="s">
        <v>74</v>
      </c>
      <c r="M106" s="14" t="s">
        <v>75</v>
      </c>
      <c r="N106" s="23" t="s">
        <v>76</v>
      </c>
      <c r="O106" s="155">
        <f>VLOOKUP(Tabla1[[#This Row],[Matricula]],BAJA2022202320242025!$B$3:$CR$245,93,FALSE)</f>
        <v>45202</v>
      </c>
      <c r="P106" s="163">
        <v>45259</v>
      </c>
      <c r="Q106" s="164">
        <f>Tabla1[[#This Row],[F.Vig.Final]]-Tabla1[[#This Row],[f Vig Inicio]]</f>
        <v>57</v>
      </c>
      <c r="R106" s="141">
        <f>YEAR(Tabla1[[#This Row],[F.Vig.Final]])</f>
        <v>2023</v>
      </c>
      <c r="S106" s="25" t="s">
        <v>77</v>
      </c>
      <c r="T106" s="14" t="s">
        <v>78</v>
      </c>
      <c r="U106" s="14" t="s">
        <v>359</v>
      </c>
      <c r="V106" s="14" t="s">
        <v>461</v>
      </c>
      <c r="W106" s="14" t="s">
        <v>102</v>
      </c>
      <c r="X106" s="14" t="s">
        <v>103</v>
      </c>
      <c r="Y106" s="14" t="s">
        <v>104</v>
      </c>
      <c r="Z106" s="16">
        <f>COUNTIF($X$3:X106, X106)</f>
        <v>11</v>
      </c>
      <c r="AA106" s="16" t="s">
        <v>553</v>
      </c>
      <c r="AB106" s="16" t="s">
        <v>79</v>
      </c>
      <c r="AC106" s="16" t="s">
        <v>106</v>
      </c>
      <c r="AD106" s="16" t="s">
        <v>87</v>
      </c>
      <c r="AE106" s="60" t="s">
        <v>457</v>
      </c>
      <c r="AF106" s="24" t="s">
        <v>108</v>
      </c>
      <c r="AG106" s="27">
        <v>45133</v>
      </c>
      <c r="AH106" s="137">
        <f>Tabla1[[#This Row],[Renov. Flota]]-Tabla1[[#This Row],[Año]]</f>
        <v>0</v>
      </c>
      <c r="AI106" s="18" t="s">
        <v>102</v>
      </c>
      <c r="AJ106" s="107">
        <v>4500370371</v>
      </c>
      <c r="AK106" s="60" t="s">
        <v>103</v>
      </c>
      <c r="AM106" s="1" t="s">
        <v>72</v>
      </c>
      <c r="AN106" s="1" t="s">
        <v>109</v>
      </c>
      <c r="AO106" s="1" t="s">
        <v>554</v>
      </c>
      <c r="AP106" s="70">
        <f>IF(Tabla1[[#This Row],[Columna2]]="M1",5.1,"")</f>
        <v>5.0999999999999996</v>
      </c>
      <c r="AQ106" s="71">
        <f>IF(T106="DIESEL",10,IF(T106="GLP",7.16,9.19))</f>
        <v>10</v>
      </c>
      <c r="AR106" s="72">
        <v>28.2</v>
      </c>
      <c r="AS106" s="73">
        <f>IF(Tabla1[[#This Row],[Columna2]]="M1",13073,IF(Tabla1[[#This Row],[Columna2]]="N1",15815,IF(Tabla1[[#This Row],[Columna2]]="L3e",2831,53508)))</f>
        <v>13073</v>
      </c>
      <c r="AT106" s="73">
        <f>(Tabla1[[#This Row],[CVA]]*Tabla1[[#This Row],[F]]-Tabla1[[#This Row],[CVN]])/100*Tabla1[[#This Row],[L]]</f>
        <v>2980.6440000000002</v>
      </c>
      <c r="AU106" s="74" t="s">
        <v>70</v>
      </c>
      <c r="AV106" s="294">
        <f>VLOOKUP(B106,Tabla467824[[ID CAE2]:[AE '[kWh']]],6,FALSE)</f>
        <v>6795.3454000000002</v>
      </c>
      <c r="AW10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07" spans="1:49" ht="15.75" thickBot="1" x14ac:dyDescent="0.3">
      <c r="A107" s="114" t="s">
        <v>555</v>
      </c>
      <c r="B107" t="str">
        <f>VLOOKUP(A107,Tabla46782[ID CAE],1,FALSE)</f>
        <v>CAE500101</v>
      </c>
      <c r="C107" s="25" t="s">
        <v>556</v>
      </c>
      <c r="D107" s="103" t="s">
        <v>72</v>
      </c>
      <c r="E107" s="103"/>
      <c r="F107" s="103" t="s">
        <v>72</v>
      </c>
      <c r="G107" s="103"/>
      <c r="H107" s="103" t="s">
        <v>249</v>
      </c>
      <c r="I107" s="103" t="s">
        <v>249</v>
      </c>
      <c r="J107" s="103"/>
      <c r="K107" s="14" t="s">
        <v>73</v>
      </c>
      <c r="L107" s="14" t="s">
        <v>74</v>
      </c>
      <c r="M107" s="14" t="s">
        <v>75</v>
      </c>
      <c r="N107" s="23" t="s">
        <v>76</v>
      </c>
      <c r="O107" s="156">
        <f>VLOOKUP(Tabla1[[#This Row],[Matricula]],BAJA2022202320242025!$B$3:$CR$245,93,FALSE)</f>
        <v>45204</v>
      </c>
      <c r="P107" s="88">
        <v>45259</v>
      </c>
      <c r="Q107" s="164">
        <f>Tabla1[[#This Row],[F.Vig.Final]]-Tabla1[[#This Row],[f Vig Inicio]]</f>
        <v>55</v>
      </c>
      <c r="R107" s="141">
        <f>YEAR(Tabla1[[#This Row],[F.Vig.Final]])</f>
        <v>2023</v>
      </c>
      <c r="S107" s="25" t="s">
        <v>77</v>
      </c>
      <c r="T107" s="14" t="s">
        <v>78</v>
      </c>
      <c r="U107" s="14" t="s">
        <v>359</v>
      </c>
      <c r="V107" s="14" t="s">
        <v>461</v>
      </c>
      <c r="W107" s="14" t="s">
        <v>102</v>
      </c>
      <c r="X107" s="14" t="s">
        <v>103</v>
      </c>
      <c r="Y107" s="14" t="s">
        <v>104</v>
      </c>
      <c r="Z107" s="16">
        <f>COUNTIF($X$3:X107, X107)</f>
        <v>12</v>
      </c>
      <c r="AA107" s="16" t="s">
        <v>557</v>
      </c>
      <c r="AB107" s="16" t="s">
        <v>79</v>
      </c>
      <c r="AC107" s="16" t="s">
        <v>106</v>
      </c>
      <c r="AD107" s="16" t="s">
        <v>87</v>
      </c>
      <c r="AE107" s="60" t="s">
        <v>107</v>
      </c>
      <c r="AF107" s="28" t="s">
        <v>108</v>
      </c>
      <c r="AG107" s="27">
        <v>45133</v>
      </c>
      <c r="AH107" s="137">
        <f>Tabla1[[#This Row],[Renov. Flota]]-Tabla1[[#This Row],[Año]]</f>
        <v>0</v>
      </c>
      <c r="AI107" s="18" t="s">
        <v>102</v>
      </c>
      <c r="AJ107" s="107">
        <v>4500370221</v>
      </c>
      <c r="AK107" s="60" t="s">
        <v>103</v>
      </c>
      <c r="AM107" s="1" t="s">
        <v>72</v>
      </c>
      <c r="AN107" s="1" t="s">
        <v>109</v>
      </c>
      <c r="AO107" s="1" t="s">
        <v>558</v>
      </c>
      <c r="AP107" s="75">
        <f>IF(Tabla1[[#This Row],[Columna2]]="M1",5.1,"")</f>
        <v>5.0999999999999996</v>
      </c>
      <c r="AQ107" s="76">
        <f>IF(T107="DIESEL",10,IF(T107="GLP",7.16,9.19))</f>
        <v>10</v>
      </c>
      <c r="AR107" s="77">
        <v>28.2</v>
      </c>
      <c r="AS107" s="78">
        <f>IF(Tabla1[[#This Row],[Columna2]]="M1",13073,IF(Tabla1[[#This Row],[Columna2]]="N1",15815,IF(Tabla1[[#This Row],[Columna2]]="L3e",2831,53508)))</f>
        <v>13073</v>
      </c>
      <c r="AT107" s="78">
        <f>(Tabla1[[#This Row],[CVA]]*Tabla1[[#This Row],[F]]-Tabla1[[#This Row],[CVN]])/100*Tabla1[[#This Row],[L]]</f>
        <v>2980.6440000000002</v>
      </c>
      <c r="AU107" s="79" t="s">
        <v>70</v>
      </c>
      <c r="AV107" s="294">
        <f>VLOOKUP(B107,Tabla467824[[ID CAE2]:[AE '[kWh']]],6,FALSE)</f>
        <v>6795.3454000000002</v>
      </c>
      <c r="AW10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08" spans="1:49" ht="15.75" hidden="1" thickBot="1" x14ac:dyDescent="0.3">
      <c r="A108" t="s">
        <v>1267</v>
      </c>
      <c r="B108" t="e">
        <f>VLOOKUP(A108,Tabla46782[ID CAE],1,FALSE)</f>
        <v>#N/A</v>
      </c>
      <c r="C108" s="14" t="s">
        <v>1268</v>
      </c>
      <c r="D108" s="14"/>
      <c r="E108" s="14"/>
      <c r="F108" s="14"/>
      <c r="G108" s="14"/>
      <c r="H108" s="14"/>
      <c r="I108" s="14"/>
      <c r="J108" s="14"/>
      <c r="K108" s="14" t="s">
        <v>1034</v>
      </c>
      <c r="L108" s="14" t="s">
        <v>200</v>
      </c>
      <c r="M108" s="14" t="s">
        <v>201</v>
      </c>
      <c r="N108" s="14" t="s">
        <v>76</v>
      </c>
      <c r="O108" s="152">
        <f>VLOOKUP(Tabla1[[#This Row],[Matricula]],BAJA2022202320242025!$B$3:$CR$245,93,FALSE)</f>
        <v>43326</v>
      </c>
      <c r="P108" s="15">
        <v>45518</v>
      </c>
      <c r="Q108" s="160">
        <f>Tabla1[[#This Row],[F.Vig.Final]]-Tabla1[[#This Row],[f Vig Inicio]]</f>
        <v>2192</v>
      </c>
      <c r="R108" s="15">
        <f>YEAR(Tabla1[[#This Row],[F.Vig.Final]])</f>
        <v>2024</v>
      </c>
      <c r="S108" s="14" t="s">
        <v>77</v>
      </c>
      <c r="T108" s="14" t="s">
        <v>78</v>
      </c>
      <c r="U108" s="14" t="s">
        <v>1269</v>
      </c>
      <c r="V108" s="14" t="s">
        <v>1270</v>
      </c>
      <c r="W108" s="14" t="s">
        <v>1231</v>
      </c>
      <c r="X108" s="14" t="s">
        <v>1232</v>
      </c>
      <c r="Y108" s="14" t="s">
        <v>312</v>
      </c>
      <c r="Z108" s="16">
        <f>COUNTIF($X$3:X108, X108)</f>
        <v>2</v>
      </c>
      <c r="AA108" s="16" t="e">
        <v>#N/A</v>
      </c>
      <c r="AB108" s="16" t="e">
        <v>#N/A</v>
      </c>
      <c r="AC108" s="16" t="e">
        <v>#N/A</v>
      </c>
      <c r="AD108" s="16" t="e">
        <v>#N/A</v>
      </c>
      <c r="AE108" s="16" t="e">
        <v>#N/A</v>
      </c>
      <c r="AF108" s="15" t="e">
        <v>#N/A</v>
      </c>
      <c r="AG108" s="17" t="e">
        <v>#N/A</v>
      </c>
      <c r="AH108" s="17" t="e">
        <f>Tabla1[[#This Row],[Renov. Flota]]-Tabla1[[#This Row],[Año]]</f>
        <v>#N/A</v>
      </c>
      <c r="AI108" s="18" t="e">
        <v>#N/A</v>
      </c>
      <c r="AJ108" s="18" t="e">
        <f>VLOOKUP(Tabla1[[#This Row],[Matricula nueva]],'ALTA 20242025'!$B$2:$P$242,15,FALSE)</f>
        <v>#N/A</v>
      </c>
      <c r="AK108" s="19" t="e">
        <v>#N/A</v>
      </c>
      <c r="AN108" s="1"/>
      <c r="AO108" s="1" t="e">
        <f>VLOOKUP(Tabla1[[#This Row],[Matricula nueva]],Hoja2!$A$1:$B$224,2,FALSE)</f>
        <v>#N/A</v>
      </c>
      <c r="AP108" s="1" t="str">
        <f>IF(Tabla1[[#This Row],[Columna2]]="M1",5.1,"")</f>
        <v/>
      </c>
      <c r="AQ108" s="1"/>
      <c r="AR108" s="1"/>
      <c r="AS108" s="47">
        <f>IF(Tabla1[[#This Row],[Columna2]]="M1",13073,IF(Tabla1[[#This Row],[Columna2]]="N1",15815,IF(Tabla1[[#This Row],[Columna2]]="L3e",2831,53508)))</f>
        <v>53508</v>
      </c>
      <c r="AT108" s="47" t="e">
        <f>(Tabla1[[#This Row],[CVA]]*Tabla1[[#This Row],[F]]-Tabla1[[#This Row],[CVN]])/100*Tabla1[[#This Row],[L]]</f>
        <v>#VALUE!</v>
      </c>
      <c r="AU108" s="1"/>
      <c r="AV108" s="1" t="e">
        <f>VLOOKUP(B108,Tabla467824[[ID CAE2]:[AE '[kWh']]],6,FALSE)</f>
        <v>#N/A</v>
      </c>
      <c r="AW10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09" spans="1:49" ht="15" x14ac:dyDescent="0.25">
      <c r="A109" s="114" t="s">
        <v>559</v>
      </c>
      <c r="B109" t="str">
        <f>VLOOKUP(A109,Tabla46782[ID CAE],1,FALSE)</f>
        <v>CAE500103</v>
      </c>
      <c r="C109" s="25" t="s">
        <v>560</v>
      </c>
      <c r="D109" s="103" t="s">
        <v>72</v>
      </c>
      <c r="E109" s="103"/>
      <c r="F109" s="103" t="s">
        <v>72</v>
      </c>
      <c r="G109" s="103"/>
      <c r="H109" s="103" t="s">
        <v>249</v>
      </c>
      <c r="I109" s="103" t="s">
        <v>249</v>
      </c>
      <c r="J109" s="103"/>
      <c r="K109" s="14" t="s">
        <v>73</v>
      </c>
      <c r="L109" s="14" t="s">
        <v>74</v>
      </c>
      <c r="M109" s="14" t="s">
        <v>75</v>
      </c>
      <c r="N109" s="23" t="s">
        <v>76</v>
      </c>
      <c r="O109" s="157">
        <f>VLOOKUP(Tabla1[[#This Row],[Matricula]],BAJA2022202320242025!$B$3:$CR$245,93,FALSE)</f>
        <v>45203</v>
      </c>
      <c r="P109" s="87">
        <v>45250</v>
      </c>
      <c r="Q109" s="164">
        <f>Tabla1[[#This Row],[F.Vig.Final]]-Tabla1[[#This Row],[f Vig Inicio]]</f>
        <v>47</v>
      </c>
      <c r="R109" s="141">
        <f>YEAR(Tabla1[[#This Row],[F.Vig.Final]])</f>
        <v>2023</v>
      </c>
      <c r="S109" s="25" t="s">
        <v>77</v>
      </c>
      <c r="T109" s="14" t="s">
        <v>78</v>
      </c>
      <c r="U109" s="14" t="s">
        <v>359</v>
      </c>
      <c r="V109" s="14" t="s">
        <v>461</v>
      </c>
      <c r="W109" s="14" t="s">
        <v>102</v>
      </c>
      <c r="X109" s="14" t="s">
        <v>103</v>
      </c>
      <c r="Y109" s="14" t="s">
        <v>104</v>
      </c>
      <c r="Z109" s="16">
        <f>COUNTIF($X$3:X109, X109)</f>
        <v>13</v>
      </c>
      <c r="AA109" s="16" t="s">
        <v>561</v>
      </c>
      <c r="AB109" s="16" t="s">
        <v>85</v>
      </c>
      <c r="AC109" s="16" t="s">
        <v>114</v>
      </c>
      <c r="AD109" s="16" t="s">
        <v>87</v>
      </c>
      <c r="AE109" s="60" t="s">
        <v>562</v>
      </c>
      <c r="AF109" s="29" t="s">
        <v>108</v>
      </c>
      <c r="AG109" s="27">
        <v>44922</v>
      </c>
      <c r="AH109" s="137">
        <f>Tabla1[[#This Row],[Renov. Flota]]-Tabla1[[#This Row],[Año]]</f>
        <v>0</v>
      </c>
      <c r="AI109" s="18" t="s">
        <v>102</v>
      </c>
      <c r="AJ109" s="107">
        <v>4500348266</v>
      </c>
      <c r="AK109" s="60" t="s">
        <v>103</v>
      </c>
      <c r="AM109" s="1" t="s">
        <v>72</v>
      </c>
      <c r="AN109" s="1" t="s">
        <v>109</v>
      </c>
      <c r="AO109" s="1" t="s">
        <v>563</v>
      </c>
      <c r="AP109" s="65">
        <f>IF(Tabla1[[#This Row],[Columna2]]="M1",5.1,"")</f>
        <v>5.0999999999999996</v>
      </c>
      <c r="AQ109" s="66">
        <f t="shared" ref="AQ109:AQ123" si="4">IF(T109="DIESEL",10,IF(T109="GLP",7.16,9.19))</f>
        <v>10</v>
      </c>
      <c r="AR109" s="67">
        <v>17.3</v>
      </c>
      <c r="AS109" s="68">
        <f>IF(Tabla1[[#This Row],[Columna2]]="M1",13073,IF(Tabla1[[#This Row],[Columna2]]="N1",15815,IF(Tabla1[[#This Row],[Columna2]]="L3e",2831,53508)))</f>
        <v>13073</v>
      </c>
      <c r="AT109" s="68">
        <f>(Tabla1[[#This Row],[CVA]]*Tabla1[[#This Row],[F]]-Tabla1[[#This Row],[CVN]])/100*Tabla1[[#This Row],[L]]</f>
        <v>4405.6010000000006</v>
      </c>
      <c r="AU109" s="69" t="s">
        <v>70</v>
      </c>
      <c r="AV109" s="294">
        <f>VLOOKUP(B109,Tabla467824[[ID CAE2]:[AE '[kWh']]],6,FALSE)</f>
        <v>6795.3454000000002</v>
      </c>
      <c r="AW10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0" spans="1:49" ht="15" x14ac:dyDescent="0.25">
      <c r="A110" s="114" t="s">
        <v>564</v>
      </c>
      <c r="B110" t="str">
        <f>VLOOKUP(A110,Tabla46782[ID CAE],1,FALSE)</f>
        <v>CAE500104</v>
      </c>
      <c r="C110" s="25" t="s">
        <v>565</v>
      </c>
      <c r="D110" s="103" t="s">
        <v>72</v>
      </c>
      <c r="E110" s="103"/>
      <c r="F110" s="103" t="s">
        <v>72</v>
      </c>
      <c r="G110" s="103"/>
      <c r="H110" s="103" t="s">
        <v>249</v>
      </c>
      <c r="I110" s="103" t="s">
        <v>249</v>
      </c>
      <c r="J110" s="103"/>
      <c r="K110" s="14" t="s">
        <v>73</v>
      </c>
      <c r="L110" s="14" t="s">
        <v>74</v>
      </c>
      <c r="M110" s="14" t="s">
        <v>75</v>
      </c>
      <c r="N110" s="23" t="s">
        <v>76</v>
      </c>
      <c r="O110" s="155">
        <f>VLOOKUP(Tabla1[[#This Row],[Matricula]],BAJA2022202320242025!$B$3:$CR$245,93,FALSE)</f>
        <v>45202</v>
      </c>
      <c r="P110" s="163">
        <v>45382</v>
      </c>
      <c r="Q110" s="164">
        <f>Tabla1[[#This Row],[F.Vig.Final]]-Tabla1[[#This Row],[f Vig Inicio]]</f>
        <v>180</v>
      </c>
      <c r="R110" s="141">
        <f>YEAR(Tabla1[[#This Row],[F.Vig.Final]])</f>
        <v>2024</v>
      </c>
      <c r="S110" s="25" t="s">
        <v>77</v>
      </c>
      <c r="T110" s="14" t="s">
        <v>78</v>
      </c>
      <c r="U110" s="14" t="s">
        <v>359</v>
      </c>
      <c r="V110" s="14" t="s">
        <v>461</v>
      </c>
      <c r="W110" s="14" t="s">
        <v>102</v>
      </c>
      <c r="X110" s="14" t="s">
        <v>103</v>
      </c>
      <c r="Y110" s="14" t="s">
        <v>104</v>
      </c>
      <c r="Z110" s="16">
        <f>COUNTIF($X$3:X110, X110)</f>
        <v>14</v>
      </c>
      <c r="AA110" s="16" t="s">
        <v>566</v>
      </c>
      <c r="AB110" s="16" t="s">
        <v>85</v>
      </c>
      <c r="AC110" s="16" t="s">
        <v>114</v>
      </c>
      <c r="AD110" s="16" t="s">
        <v>87</v>
      </c>
      <c r="AE110" s="60" t="s">
        <v>567</v>
      </c>
      <c r="AF110" s="24" t="s">
        <v>108</v>
      </c>
      <c r="AG110" s="27">
        <v>44922</v>
      </c>
      <c r="AH110" s="137">
        <f>Tabla1[[#This Row],[Renov. Flota]]-Tabla1[[#This Row],[Año]]</f>
        <v>-1</v>
      </c>
      <c r="AI110" s="18" t="s">
        <v>102</v>
      </c>
      <c r="AJ110" s="107">
        <v>4500348764</v>
      </c>
      <c r="AK110" s="60" t="s">
        <v>103</v>
      </c>
      <c r="AM110" s="1" t="s">
        <v>72</v>
      </c>
      <c r="AN110" s="1" t="s">
        <v>109</v>
      </c>
      <c r="AO110" s="1" t="s">
        <v>568</v>
      </c>
      <c r="AP110" s="70">
        <f>IF(Tabla1[[#This Row],[Columna2]]="M1",5.1,"")</f>
        <v>5.0999999999999996</v>
      </c>
      <c r="AQ110" s="71">
        <f t="shared" si="4"/>
        <v>10</v>
      </c>
      <c r="AR110" s="72">
        <v>17.3</v>
      </c>
      <c r="AS110" s="73">
        <f>IF(Tabla1[[#This Row],[Columna2]]="M1",13073,IF(Tabla1[[#This Row],[Columna2]]="N1",15815,IF(Tabla1[[#This Row],[Columna2]]="L3e",2831,53508)))</f>
        <v>13073</v>
      </c>
      <c r="AT110" s="73">
        <f>(Tabla1[[#This Row],[CVA]]*Tabla1[[#This Row],[F]]-Tabla1[[#This Row],[CVN]])/100*Tabla1[[#This Row],[L]]</f>
        <v>4405.6010000000006</v>
      </c>
      <c r="AU110" s="74" t="s">
        <v>70</v>
      </c>
      <c r="AV110" s="294">
        <f>VLOOKUP(B110,Tabla467824[[ID CAE2]:[AE '[kWh']]],6,FALSE)</f>
        <v>6795.3454000000002</v>
      </c>
      <c r="AW11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1" spans="1:49" ht="15" x14ac:dyDescent="0.25">
      <c r="A111" s="114" t="s">
        <v>569</v>
      </c>
      <c r="B111" t="str">
        <f>VLOOKUP(A111,Tabla46782[ID CAE],1,FALSE)</f>
        <v>CAE500105</v>
      </c>
      <c r="C111" s="25" t="s">
        <v>570</v>
      </c>
      <c r="D111" s="103" t="s">
        <v>72</v>
      </c>
      <c r="E111" s="103" t="s">
        <v>72</v>
      </c>
      <c r="F111" s="103" t="s">
        <v>72</v>
      </c>
      <c r="G111" s="103"/>
      <c r="H111" s="103" t="s">
        <v>249</v>
      </c>
      <c r="I111" s="103" t="s">
        <v>249</v>
      </c>
      <c r="J111" s="103"/>
      <c r="K111" s="14" t="s">
        <v>73</v>
      </c>
      <c r="L111" s="14" t="s">
        <v>74</v>
      </c>
      <c r="M111" s="14" t="s">
        <v>75</v>
      </c>
      <c r="N111" s="23" t="s">
        <v>76</v>
      </c>
      <c r="O111" s="155">
        <f>VLOOKUP(Tabla1[[#This Row],[Matricula]],BAJA2022202320242025!$B$3:$CR$245,93,FALSE)</f>
        <v>45323</v>
      </c>
      <c r="P111" s="163">
        <v>45358</v>
      </c>
      <c r="Q111" s="164">
        <f>Tabla1[[#This Row],[F.Vig.Final]]-Tabla1[[#This Row],[f Vig Inicio]]</f>
        <v>35</v>
      </c>
      <c r="R111" s="141">
        <f>YEAR(Tabla1[[#This Row],[F.Vig.Final]])</f>
        <v>2024</v>
      </c>
      <c r="S111" s="25" t="s">
        <v>77</v>
      </c>
      <c r="T111" s="14" t="s">
        <v>78</v>
      </c>
      <c r="U111" s="14" t="s">
        <v>359</v>
      </c>
      <c r="V111" s="14" t="s">
        <v>571</v>
      </c>
      <c r="W111" s="14" t="s">
        <v>102</v>
      </c>
      <c r="X111" s="14" t="s">
        <v>103</v>
      </c>
      <c r="Y111" s="14" t="s">
        <v>572</v>
      </c>
      <c r="Z111" s="16">
        <f>COUNTIF($X$3:X111, X111)</f>
        <v>15</v>
      </c>
      <c r="AA111" s="16" t="s">
        <v>573</v>
      </c>
      <c r="AB111" s="16" t="s">
        <v>85</v>
      </c>
      <c r="AC111" s="16" t="s">
        <v>114</v>
      </c>
      <c r="AD111" s="16" t="s">
        <v>87</v>
      </c>
      <c r="AE111" s="60" t="s">
        <v>574</v>
      </c>
      <c r="AF111" s="24" t="s">
        <v>108</v>
      </c>
      <c r="AG111" s="27">
        <v>45135</v>
      </c>
      <c r="AH111" s="137">
        <f>Tabla1[[#This Row],[Renov. Flota]]-Tabla1[[#This Row],[Año]]</f>
        <v>-1</v>
      </c>
      <c r="AI111" s="18" t="s">
        <v>102</v>
      </c>
      <c r="AJ111" s="107">
        <v>4500352342</v>
      </c>
      <c r="AK111" s="60" t="s">
        <v>103</v>
      </c>
      <c r="AM111" s="1" t="s">
        <v>72</v>
      </c>
      <c r="AN111" s="1" t="s">
        <v>109</v>
      </c>
      <c r="AO111" s="1" t="s">
        <v>575</v>
      </c>
      <c r="AP111" s="70">
        <f>IF(Tabla1[[#This Row],[Columna2]]="M1",5.1,"")</f>
        <v>5.0999999999999996</v>
      </c>
      <c r="AQ111" s="71">
        <f t="shared" si="4"/>
        <v>10</v>
      </c>
      <c r="AR111" s="72">
        <v>17.3</v>
      </c>
      <c r="AS111" s="73">
        <f>IF(Tabla1[[#This Row],[Columna2]]="M1",13073,IF(Tabla1[[#This Row],[Columna2]]="N1",15815,IF(Tabla1[[#This Row],[Columna2]]="L3e",2831,53508)))</f>
        <v>13073</v>
      </c>
      <c r="AT111" s="73">
        <f>(Tabla1[[#This Row],[CVA]]*Tabla1[[#This Row],[F]]-Tabla1[[#This Row],[CVN]])/100*Tabla1[[#This Row],[L]]</f>
        <v>4405.6010000000006</v>
      </c>
      <c r="AU111" s="74" t="s">
        <v>70</v>
      </c>
      <c r="AV111" s="294">
        <f>VLOOKUP(B111,Tabla467824[[ID CAE2]:[AE '[kWh']]],6,FALSE)</f>
        <v>6795.3454000000002</v>
      </c>
      <c r="AW11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2" spans="1:49" ht="15" x14ac:dyDescent="0.25">
      <c r="A112" s="114" t="s">
        <v>576</v>
      </c>
      <c r="B112" t="str">
        <f>VLOOKUP(A112,Tabla46782[ID CAE],1,FALSE)</f>
        <v>CAE500106</v>
      </c>
      <c r="C112" s="25" t="s">
        <v>577</v>
      </c>
      <c r="D112" s="103" t="s">
        <v>72</v>
      </c>
      <c r="E112" s="103" t="s">
        <v>72</v>
      </c>
      <c r="F112" s="103" t="s">
        <v>72</v>
      </c>
      <c r="G112" s="103"/>
      <c r="H112" s="103" t="s">
        <v>72</v>
      </c>
      <c r="I112" s="103" t="s">
        <v>72</v>
      </c>
      <c r="J112" s="103"/>
      <c r="K112" s="14" t="s">
        <v>73</v>
      </c>
      <c r="L112" s="14" t="s">
        <v>200</v>
      </c>
      <c r="M112" s="14" t="s">
        <v>201</v>
      </c>
      <c r="N112" s="23" t="s">
        <v>76</v>
      </c>
      <c r="O112" s="151">
        <f>VLOOKUP(Tabla1[[#This Row],[Matricula]],BAJA2022202320242025!$B$3:$CR$245,93,FALSE)</f>
        <v>42527</v>
      </c>
      <c r="P112" s="24">
        <v>45316</v>
      </c>
      <c r="Q112" s="161">
        <f>Tabla1[[#This Row],[F.Vig.Final]]-Tabla1[[#This Row],[f Vig Inicio]]</f>
        <v>2789</v>
      </c>
      <c r="R112" s="141">
        <f>YEAR(Tabla1[[#This Row],[F.Vig.Final]])</f>
        <v>2024</v>
      </c>
      <c r="S112" s="25" t="s">
        <v>77</v>
      </c>
      <c r="T112" s="14" t="s">
        <v>78</v>
      </c>
      <c r="U112" s="14" t="s">
        <v>359</v>
      </c>
      <c r="V112" s="14" t="s">
        <v>578</v>
      </c>
      <c r="W112" s="14" t="s">
        <v>102</v>
      </c>
      <c r="X112" s="14" t="s">
        <v>103</v>
      </c>
      <c r="Y112" s="14" t="s">
        <v>579</v>
      </c>
      <c r="Z112" s="16">
        <f>COUNTIF($X$3:X112, X112)</f>
        <v>16</v>
      </c>
      <c r="AA112" s="16" t="s">
        <v>580</v>
      </c>
      <c r="AB112" s="16" t="s">
        <v>85</v>
      </c>
      <c r="AC112" s="16" t="s">
        <v>114</v>
      </c>
      <c r="AD112" s="16" t="s">
        <v>87</v>
      </c>
      <c r="AE112" s="60" t="s">
        <v>457</v>
      </c>
      <c r="AF112" s="24" t="s">
        <v>108</v>
      </c>
      <c r="AG112" s="27">
        <v>45135</v>
      </c>
      <c r="AH112" s="137">
        <f>Tabla1[[#This Row],[Renov. Flota]]-Tabla1[[#This Row],[Año]]</f>
        <v>-1</v>
      </c>
      <c r="AI112" s="18" t="s">
        <v>102</v>
      </c>
      <c r="AJ112" s="109">
        <v>4500370369</v>
      </c>
      <c r="AK112" s="60" t="s">
        <v>103</v>
      </c>
      <c r="AM112" s="1" t="s">
        <v>72</v>
      </c>
      <c r="AN112" s="1" t="s">
        <v>109</v>
      </c>
      <c r="AO112" s="1" t="s">
        <v>581</v>
      </c>
      <c r="AP112" s="70">
        <v>5.6</v>
      </c>
      <c r="AQ112" s="71">
        <f t="shared" si="4"/>
        <v>10</v>
      </c>
      <c r="AR112" s="72">
        <v>17.3</v>
      </c>
      <c r="AS112" s="73">
        <f>IF(Tabla1[[#This Row],[Columna2]]="M1",13073,IF(Tabla1[[#This Row],[Columna2]]="N1",15815,IF(Tabla1[[#This Row],[Columna2]]="L3e",2831,53508)))</f>
        <v>15815</v>
      </c>
      <c r="AT112" s="73">
        <f>(Tabla1[[#This Row],[CVA]]*Tabla1[[#This Row],[F]]-Tabla1[[#This Row],[CVN]])/100*Tabla1[[#This Row],[L]]</f>
        <v>6120.4049999999997</v>
      </c>
      <c r="AU112" s="74" t="s">
        <v>128</v>
      </c>
      <c r="AV112" s="294">
        <f>VLOOKUP(B112,Tabla467824[[ID CAE2]:[AE '[kWh']]],6,FALSE)</f>
        <v>5607.9989999999989</v>
      </c>
      <c r="AW11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3" spans="1:49" ht="15" x14ac:dyDescent="0.25">
      <c r="A113" s="114" t="s">
        <v>582</v>
      </c>
      <c r="B113" t="str">
        <f>VLOOKUP(A113,Tabla46782[ID CAE],1,FALSE)</f>
        <v>CAE500107</v>
      </c>
      <c r="C113" s="25" t="s">
        <v>583</v>
      </c>
      <c r="D113" s="103" t="s">
        <v>72</v>
      </c>
      <c r="E113" s="103" t="s">
        <v>72</v>
      </c>
      <c r="F113" s="103" t="s">
        <v>72</v>
      </c>
      <c r="G113" s="103"/>
      <c r="H113" s="103" t="s">
        <v>72</v>
      </c>
      <c r="I113" s="103" t="s">
        <v>72</v>
      </c>
      <c r="J113" s="103"/>
      <c r="K113" s="14" t="s">
        <v>73</v>
      </c>
      <c r="L113" s="14" t="s">
        <v>200</v>
      </c>
      <c r="M113" s="14" t="s">
        <v>201</v>
      </c>
      <c r="N113" s="23" t="s">
        <v>76</v>
      </c>
      <c r="O113" s="151">
        <f>VLOOKUP(Tabla1[[#This Row],[Matricula]],BAJA2022202320242025!$B$3:$CR$245,93,FALSE)</f>
        <v>42445</v>
      </c>
      <c r="P113" s="24">
        <v>45001</v>
      </c>
      <c r="Q113" s="158">
        <f>Tabla1[[#This Row],[F.Vig.Final]]-Tabla1[[#This Row],[f Vig Inicio]]</f>
        <v>2556</v>
      </c>
      <c r="R113" s="141">
        <f>YEAR(Tabla1[[#This Row],[F.Vig.Final]])</f>
        <v>2023</v>
      </c>
      <c r="S113" s="25" t="s">
        <v>77</v>
      </c>
      <c r="T113" s="14" t="s">
        <v>78</v>
      </c>
      <c r="U113" s="14" t="s">
        <v>359</v>
      </c>
      <c r="V113" s="14" t="s">
        <v>578</v>
      </c>
      <c r="W113" s="14" t="s">
        <v>584</v>
      </c>
      <c r="X113" s="14" t="s">
        <v>585</v>
      </c>
      <c r="Y113" s="14" t="s">
        <v>586</v>
      </c>
      <c r="Z113" s="16">
        <f>COUNTIF($X$3:X113, X113)</f>
        <v>4</v>
      </c>
      <c r="AA113" s="16" t="s">
        <v>587</v>
      </c>
      <c r="AB113" s="16" t="s">
        <v>85</v>
      </c>
      <c r="AC113" s="16" t="s">
        <v>86</v>
      </c>
      <c r="AD113" s="16" t="s">
        <v>87</v>
      </c>
      <c r="AE113" s="60" t="s">
        <v>588</v>
      </c>
      <c r="AF113" s="24" t="s">
        <v>89</v>
      </c>
      <c r="AG113" s="27">
        <v>45649</v>
      </c>
      <c r="AH113" s="137">
        <f>Tabla1[[#This Row],[Renov. Flota]]-Tabla1[[#This Row],[Año]]</f>
        <v>1</v>
      </c>
      <c r="AI113" s="18" t="s">
        <v>584</v>
      </c>
      <c r="AJ113" s="107" t="str">
        <f>VLOOKUP(Tabla1[[#This Row],[Matricula nueva]],'ALTA 20242025'!$B$2:$P$242,15,FALSE)</f>
        <v>4500426875</v>
      </c>
      <c r="AK113" s="60" t="s">
        <v>585</v>
      </c>
      <c r="AM113" s="1" t="s">
        <v>72</v>
      </c>
      <c r="AN113" s="1" t="s">
        <v>91</v>
      </c>
      <c r="AO113" s="1" t="str">
        <f>VLOOKUP(Tabla1[[#This Row],[Matricula nueva]],Hoja2!$A$1:$B$224,2,FALSE)</f>
        <v>VF1RFK00973824863</v>
      </c>
      <c r="AP113" s="70">
        <v>5.6</v>
      </c>
      <c r="AQ113" s="71">
        <f t="shared" si="4"/>
        <v>10</v>
      </c>
      <c r="AR113" s="72">
        <v>17.3</v>
      </c>
      <c r="AS113" s="73">
        <f>IF(Tabla1[[#This Row],[Columna2]]="M1",13073,IF(Tabla1[[#This Row],[Columna2]]="N1",15815,IF(Tabla1[[#This Row],[Columna2]]="L3e",2831,53508)))</f>
        <v>15815</v>
      </c>
      <c r="AT113" s="73">
        <f>(Tabla1[[#This Row],[CVA]]*Tabla1[[#This Row],[F]]-Tabla1[[#This Row],[CVN]])/100*Tabla1[[#This Row],[L]]</f>
        <v>6120.4049999999997</v>
      </c>
      <c r="AU113" s="74" t="s">
        <v>128</v>
      </c>
      <c r="AV113" s="294">
        <f>VLOOKUP(B113,Tabla467824[[ID CAE2]:[AE '[kWh']]],6,FALSE)</f>
        <v>5607.9989999999989</v>
      </c>
      <c r="AW11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4" spans="1:49" ht="15" x14ac:dyDescent="0.25">
      <c r="A114" s="114" t="s">
        <v>591</v>
      </c>
      <c r="B114" t="str">
        <f>VLOOKUP(A114,Tabla46782[ID CAE],1,FALSE)</f>
        <v>CAE500108</v>
      </c>
      <c r="C114" s="25" t="s">
        <v>592</v>
      </c>
      <c r="D114" s="103" t="s">
        <v>72</v>
      </c>
      <c r="E114" s="103" t="s">
        <v>72</v>
      </c>
      <c r="F114" s="103" t="s">
        <v>72</v>
      </c>
      <c r="G114" s="103"/>
      <c r="H114" s="103" t="s">
        <v>249</v>
      </c>
      <c r="I114" s="103" t="s">
        <v>249</v>
      </c>
      <c r="J114" s="103"/>
      <c r="K114" s="14" t="s">
        <v>73</v>
      </c>
      <c r="L114" s="14" t="s">
        <v>200</v>
      </c>
      <c r="M114" s="14" t="s">
        <v>201</v>
      </c>
      <c r="N114" s="23" t="s">
        <v>76</v>
      </c>
      <c r="O114" s="151">
        <f>VLOOKUP(Tabla1[[#This Row],[Matricula]],BAJA2022202320242025!$B$3:$CR$245,93,FALSE)</f>
        <v>43415</v>
      </c>
      <c r="P114" s="24">
        <v>45356</v>
      </c>
      <c r="Q114" s="158">
        <f>Tabla1[[#This Row],[F.Vig.Final]]-Tabla1[[#This Row],[f Vig Inicio]]</f>
        <v>1941</v>
      </c>
      <c r="R114" s="141">
        <f>YEAR(Tabla1[[#This Row],[F.Vig.Final]])</f>
        <v>2024</v>
      </c>
      <c r="S114" s="25" t="s">
        <v>77</v>
      </c>
      <c r="T114" s="14" t="s">
        <v>78</v>
      </c>
      <c r="U114" s="14" t="s">
        <v>359</v>
      </c>
      <c r="V114" s="14" t="s">
        <v>593</v>
      </c>
      <c r="W114" s="14" t="s">
        <v>102</v>
      </c>
      <c r="X114" s="14" t="s">
        <v>103</v>
      </c>
      <c r="Y114" s="14" t="s">
        <v>594</v>
      </c>
      <c r="Z114" s="16">
        <f>COUNTIF($X$3:X114, X114)</f>
        <v>17</v>
      </c>
      <c r="AA114" s="16" t="s">
        <v>595</v>
      </c>
      <c r="AB114" s="16" t="s">
        <v>85</v>
      </c>
      <c r="AC114" s="16" t="s">
        <v>114</v>
      </c>
      <c r="AD114" s="16" t="s">
        <v>87</v>
      </c>
      <c r="AE114" s="60" t="s">
        <v>562</v>
      </c>
      <c r="AF114" s="24" t="s">
        <v>108</v>
      </c>
      <c r="AG114" s="27">
        <v>44922</v>
      </c>
      <c r="AH114" s="137">
        <f>Tabla1[[#This Row],[Renov. Flota]]-Tabla1[[#This Row],[Año]]</f>
        <v>-1</v>
      </c>
      <c r="AI114" s="18" t="s">
        <v>102</v>
      </c>
      <c r="AJ114" s="109">
        <v>4500348261</v>
      </c>
      <c r="AK114" s="60" t="s">
        <v>103</v>
      </c>
      <c r="AM114" s="1" t="s">
        <v>72</v>
      </c>
      <c r="AN114" s="1" t="s">
        <v>109</v>
      </c>
      <c r="AO114" s="1" t="s">
        <v>596</v>
      </c>
      <c r="AP114" s="70">
        <v>5.6</v>
      </c>
      <c r="AQ114" s="71">
        <f t="shared" si="4"/>
        <v>10</v>
      </c>
      <c r="AR114" s="72">
        <v>17.3</v>
      </c>
      <c r="AS114" s="73">
        <f>IF(Tabla1[[#This Row],[Columna2]]="M1",13073,IF(Tabla1[[#This Row],[Columna2]]="N1",15815,IF(Tabla1[[#This Row],[Columna2]]="L3e",2831,53508)))</f>
        <v>15815</v>
      </c>
      <c r="AT114" s="73">
        <f>(Tabla1[[#This Row],[CVA]]*Tabla1[[#This Row],[F]]-Tabla1[[#This Row],[CVN]])/100*Tabla1[[#This Row],[L]]</f>
        <v>6120.4049999999997</v>
      </c>
      <c r="AU114" s="74" t="s">
        <v>128</v>
      </c>
      <c r="AV114" s="294">
        <f>VLOOKUP(B114,Tabla467824[[ID CAE2]:[AE '[kWh']]],6,FALSE)</f>
        <v>5607.9989999999989</v>
      </c>
      <c r="AW11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5" spans="1:49" ht="15" x14ac:dyDescent="0.25">
      <c r="A115" s="114" t="s">
        <v>597</v>
      </c>
      <c r="B115" t="str">
        <f>VLOOKUP(A115,Tabla46782[ID CAE],1,FALSE)</f>
        <v>CAE500109</v>
      </c>
      <c r="C115" s="25" t="s">
        <v>598</v>
      </c>
      <c r="D115" s="103" t="s">
        <v>72</v>
      </c>
      <c r="E115" s="103" t="s">
        <v>72</v>
      </c>
      <c r="F115" s="103" t="s">
        <v>72</v>
      </c>
      <c r="G115" s="103"/>
      <c r="H115" s="103" t="s">
        <v>249</v>
      </c>
      <c r="I115" s="103" t="s">
        <v>249</v>
      </c>
      <c r="J115" s="103"/>
      <c r="K115" s="14" t="s">
        <v>73</v>
      </c>
      <c r="L115" s="14" t="s">
        <v>200</v>
      </c>
      <c r="M115" s="14" t="s">
        <v>201</v>
      </c>
      <c r="N115" s="23" t="s">
        <v>76</v>
      </c>
      <c r="O115" s="151">
        <f>VLOOKUP(Tabla1[[#This Row],[Matricula]],BAJA2022202320242025!$B$3:$CR$245,93,FALSE)</f>
        <v>43355</v>
      </c>
      <c r="P115" s="24">
        <v>45181</v>
      </c>
      <c r="Q115" s="158">
        <f>Tabla1[[#This Row],[F.Vig.Final]]-Tabla1[[#This Row],[f Vig Inicio]]</f>
        <v>1826</v>
      </c>
      <c r="R115" s="141">
        <f>YEAR(Tabla1[[#This Row],[F.Vig.Final]])</f>
        <v>2023</v>
      </c>
      <c r="S115" s="25" t="s">
        <v>77</v>
      </c>
      <c r="T115" s="14" t="s">
        <v>78</v>
      </c>
      <c r="U115" s="14" t="s">
        <v>359</v>
      </c>
      <c r="V115" s="14" t="s">
        <v>593</v>
      </c>
      <c r="W115" s="14" t="s">
        <v>102</v>
      </c>
      <c r="X115" s="14" t="s">
        <v>103</v>
      </c>
      <c r="Y115" s="14" t="s">
        <v>599</v>
      </c>
      <c r="Z115" s="16">
        <f>COUNTIF($X$3:X115, X115)</f>
        <v>18</v>
      </c>
      <c r="AA115" s="16" t="s">
        <v>600</v>
      </c>
      <c r="AB115" s="16" t="s">
        <v>85</v>
      </c>
      <c r="AC115" s="16" t="s">
        <v>340</v>
      </c>
      <c r="AD115" s="16" t="s">
        <v>87</v>
      </c>
      <c r="AE115" s="60" t="s">
        <v>567</v>
      </c>
      <c r="AF115" s="24" t="s">
        <v>108</v>
      </c>
      <c r="AG115" s="27">
        <v>43019</v>
      </c>
      <c r="AH115" s="137">
        <f>Tabla1[[#This Row],[Renov. Flota]]-Tabla1[[#This Row],[Año]]</f>
        <v>0</v>
      </c>
      <c r="AI115" s="18" t="s">
        <v>102</v>
      </c>
      <c r="AJ115" s="109">
        <v>4500352582</v>
      </c>
      <c r="AK115" s="60" t="s">
        <v>103</v>
      </c>
      <c r="AM115" s="1" t="s">
        <v>72</v>
      </c>
      <c r="AN115" s="1" t="s">
        <v>109</v>
      </c>
      <c r="AO115" s="1" t="s">
        <v>601</v>
      </c>
      <c r="AP115" s="70">
        <v>5.6</v>
      </c>
      <c r="AQ115" s="71">
        <f t="shared" si="4"/>
        <v>10</v>
      </c>
      <c r="AR115" s="72">
        <v>13.3</v>
      </c>
      <c r="AS115" s="73">
        <f>IF(Tabla1[[#This Row],[Columna2]]="M1",13073,IF(Tabla1[[#This Row],[Columna2]]="N1",15815,IF(Tabla1[[#This Row],[Columna2]]="L3e",2831,53508)))</f>
        <v>15815</v>
      </c>
      <c r="AT115" s="73">
        <f>(Tabla1[[#This Row],[CVA]]*Tabla1[[#This Row],[F]]-Tabla1[[#This Row],[CVN]])/100*Tabla1[[#This Row],[L]]</f>
        <v>6753.005000000001</v>
      </c>
      <c r="AU115" s="74" t="s">
        <v>128</v>
      </c>
      <c r="AV115" s="294">
        <f>VLOOKUP(B115,Tabla467824[[ID CAE2]:[AE '[kWh']]],6,FALSE)</f>
        <v>5607.9989999999989</v>
      </c>
      <c r="AW11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6" spans="1:49" ht="15" x14ac:dyDescent="0.25">
      <c r="A116" s="114" t="s">
        <v>602</v>
      </c>
      <c r="B116" t="str">
        <f>VLOOKUP(A116,Tabla46782[ID CAE],1,FALSE)</f>
        <v>CAE500110</v>
      </c>
      <c r="C116" s="25" t="s">
        <v>603</v>
      </c>
      <c r="D116" s="103" t="s">
        <v>72</v>
      </c>
      <c r="E116" s="103" t="s">
        <v>72</v>
      </c>
      <c r="F116" s="103" t="s">
        <v>72</v>
      </c>
      <c r="G116" s="103"/>
      <c r="H116" s="103" t="s">
        <v>72</v>
      </c>
      <c r="I116" s="103" t="s">
        <v>72</v>
      </c>
      <c r="J116" s="103"/>
      <c r="K116" s="14" t="s">
        <v>73</v>
      </c>
      <c r="L116" s="14" t="s">
        <v>200</v>
      </c>
      <c r="M116" s="14" t="s">
        <v>201</v>
      </c>
      <c r="N116" s="23" t="s">
        <v>76</v>
      </c>
      <c r="O116" s="151">
        <f>VLOOKUP(Tabla1[[#This Row],[Matricula]],BAJA2022202320242025!$B$3:$CR$245,93,FALSE)</f>
        <v>43172</v>
      </c>
      <c r="P116" s="24">
        <v>44998</v>
      </c>
      <c r="Q116" s="158">
        <f>Tabla1[[#This Row],[F.Vig.Final]]-Tabla1[[#This Row],[f Vig Inicio]]</f>
        <v>1826</v>
      </c>
      <c r="R116" s="141">
        <f>YEAR(Tabla1[[#This Row],[F.Vig.Final]])</f>
        <v>2023</v>
      </c>
      <c r="S116" s="25" t="s">
        <v>77</v>
      </c>
      <c r="T116" s="14" t="s">
        <v>78</v>
      </c>
      <c r="U116" s="14" t="s">
        <v>359</v>
      </c>
      <c r="V116" s="14" t="s">
        <v>604</v>
      </c>
      <c r="W116" s="14" t="s">
        <v>204</v>
      </c>
      <c r="X116" s="14" t="s">
        <v>205</v>
      </c>
      <c r="Y116" s="14" t="s">
        <v>230</v>
      </c>
      <c r="Z116" s="16">
        <f>COUNTIF($X$3:X116, X116)</f>
        <v>6</v>
      </c>
      <c r="AA116" s="16" t="s">
        <v>605</v>
      </c>
      <c r="AB116" s="16" t="s">
        <v>140</v>
      </c>
      <c r="AC116" s="16" t="s">
        <v>151</v>
      </c>
      <c r="AD116" s="16" t="s">
        <v>87</v>
      </c>
      <c r="AE116" s="60" t="s">
        <v>208</v>
      </c>
      <c r="AF116" s="24" t="s">
        <v>89</v>
      </c>
      <c r="AG116" s="27">
        <v>45637</v>
      </c>
      <c r="AH116" s="137">
        <f>Tabla1[[#This Row],[Renov. Flota]]-Tabla1[[#This Row],[Año]]</f>
        <v>1</v>
      </c>
      <c r="AI116" s="18" t="s">
        <v>204</v>
      </c>
      <c r="AJ116" s="107" t="str">
        <f>VLOOKUP(Tabla1[[#This Row],[Matricula nueva]],'ALTA 20242025'!$B$2:$P$242,15,FALSE)</f>
        <v>4500424902</v>
      </c>
      <c r="AK116" s="60" t="s">
        <v>205</v>
      </c>
      <c r="AM116" s="1" t="s">
        <v>72</v>
      </c>
      <c r="AN116" s="1" t="s">
        <v>91</v>
      </c>
      <c r="AO116" s="1" t="str">
        <f>VLOOKUP(Tabla1[[#This Row],[Matricula nueva]],Hoja2!$A$1:$B$224,2,FALSE)</f>
        <v>VR7CBZYA5RT153037</v>
      </c>
      <c r="AP116" s="70">
        <f>IF(Tabla1[[#This Row],[Columna2]]="M1",5.1,"")</f>
        <v>5.0999999999999996</v>
      </c>
      <c r="AQ116" s="71">
        <f t="shared" si="4"/>
        <v>10</v>
      </c>
      <c r="AR116" s="72">
        <v>16.399999999999999</v>
      </c>
      <c r="AS116" s="73">
        <f>IF(Tabla1[[#This Row],[Columna2]]="M1",13073,IF(Tabla1[[#This Row],[Columna2]]="N1",15815,IF(Tabla1[[#This Row],[Columna2]]="L3e",2831,53508)))</f>
        <v>13073</v>
      </c>
      <c r="AT116" s="73">
        <f>(Tabla1[[#This Row],[CVA]]*Tabla1[[#This Row],[F]]-Tabla1[[#This Row],[CVN]])/100*Tabla1[[#This Row],[L]]</f>
        <v>4523.2580000000007</v>
      </c>
      <c r="AU116" s="74" t="s">
        <v>70</v>
      </c>
      <c r="AV116" s="294">
        <f>VLOOKUP(B116,Tabla467824[[ID CAE2]:[AE '[kWh']]],6,FALSE)</f>
        <v>6795.3454000000002</v>
      </c>
      <c r="AW11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7" spans="1:49" ht="15" x14ac:dyDescent="0.25">
      <c r="A117" s="114" t="s">
        <v>608</v>
      </c>
      <c r="B117" t="str">
        <f>VLOOKUP(A117,Tabla46782[ID CAE],1,FALSE)</f>
        <v>CAE500111</v>
      </c>
      <c r="C117" s="25" t="s">
        <v>609</v>
      </c>
      <c r="D117" s="103" t="s">
        <v>72</v>
      </c>
      <c r="E117" s="103" t="s">
        <v>72</v>
      </c>
      <c r="F117" s="103" t="s">
        <v>72</v>
      </c>
      <c r="G117" s="103"/>
      <c r="H117" s="103" t="s">
        <v>72</v>
      </c>
      <c r="I117" s="103" t="s">
        <v>72</v>
      </c>
      <c r="J117" s="103"/>
      <c r="K117" s="14" t="s">
        <v>73</v>
      </c>
      <c r="L117" s="14" t="s">
        <v>200</v>
      </c>
      <c r="M117" s="14" t="s">
        <v>201</v>
      </c>
      <c r="N117" s="23" t="s">
        <v>76</v>
      </c>
      <c r="O117" s="151">
        <f>VLOOKUP(Tabla1[[#This Row],[Matricula]],BAJA2022202320242025!$B$3:$CR$245,93,FALSE)</f>
        <v>43213</v>
      </c>
      <c r="P117" s="24">
        <v>45039</v>
      </c>
      <c r="Q117" s="158">
        <f>Tabla1[[#This Row],[F.Vig.Final]]-Tabla1[[#This Row],[f Vig Inicio]]</f>
        <v>1826</v>
      </c>
      <c r="R117" s="141">
        <f>YEAR(Tabla1[[#This Row],[F.Vig.Final]])</f>
        <v>2023</v>
      </c>
      <c r="S117" s="25" t="s">
        <v>77</v>
      </c>
      <c r="T117" s="14" t="s">
        <v>78</v>
      </c>
      <c r="U117" s="14" t="s">
        <v>359</v>
      </c>
      <c r="V117" s="14" t="s">
        <v>604</v>
      </c>
      <c r="W117" s="14" t="s">
        <v>131</v>
      </c>
      <c r="X117" s="14" t="s">
        <v>132</v>
      </c>
      <c r="Y117" s="14" t="s">
        <v>610</v>
      </c>
      <c r="Z117" s="16">
        <f>COUNTIF($X$3:X117, X117)</f>
        <v>6</v>
      </c>
      <c r="AA117" s="16" t="s">
        <v>611</v>
      </c>
      <c r="AB117" s="16" t="s">
        <v>140</v>
      </c>
      <c r="AC117" s="16" t="s">
        <v>151</v>
      </c>
      <c r="AD117" s="16" t="s">
        <v>87</v>
      </c>
      <c r="AE117" s="60" t="s">
        <v>316</v>
      </c>
      <c r="AF117" s="24" t="s">
        <v>89</v>
      </c>
      <c r="AG117" s="27">
        <v>45625</v>
      </c>
      <c r="AH117" s="137">
        <f>Tabla1[[#This Row],[Renov. Flota]]-Tabla1[[#This Row],[Año]]</f>
        <v>1</v>
      </c>
      <c r="AI117" s="18" t="s">
        <v>131</v>
      </c>
      <c r="AJ117" s="107" t="str">
        <f>VLOOKUP(Tabla1[[#This Row],[Matricula nueva]],'ALTA 20242025'!$B$2:$P$242,15,FALSE)</f>
        <v>4500424801</v>
      </c>
      <c r="AK117" s="60" t="s">
        <v>132</v>
      </c>
      <c r="AM117" s="1" t="s">
        <v>72</v>
      </c>
      <c r="AN117" s="1" t="s">
        <v>91</v>
      </c>
      <c r="AO117" s="1" t="str">
        <f>VLOOKUP(Tabla1[[#This Row],[Matricula nueva]],Hoja2!$A$1:$B$224,2,FALSE)</f>
        <v>VR7CBZYAXRT152210</v>
      </c>
      <c r="AP117" s="70">
        <f>IF(Tabla1[[#This Row],[Columna2]]="M1",5.1,"")</f>
        <v>5.0999999999999996</v>
      </c>
      <c r="AQ117" s="71">
        <f t="shared" si="4"/>
        <v>10</v>
      </c>
      <c r="AR117" s="72">
        <v>16.399999999999999</v>
      </c>
      <c r="AS117" s="73">
        <f>IF(Tabla1[[#This Row],[Columna2]]="M1",13073,IF(Tabla1[[#This Row],[Columna2]]="N1",15815,IF(Tabla1[[#This Row],[Columna2]]="L3e",2831,53508)))</f>
        <v>13073</v>
      </c>
      <c r="AT117" s="73">
        <f>(Tabla1[[#This Row],[CVA]]*Tabla1[[#This Row],[F]]-Tabla1[[#This Row],[CVN]])/100*Tabla1[[#This Row],[L]]</f>
        <v>4523.2580000000007</v>
      </c>
      <c r="AU117" s="74" t="s">
        <v>70</v>
      </c>
      <c r="AV117" s="294">
        <f>VLOOKUP(B117,Tabla467824[[ID CAE2]:[AE '[kWh']]],6,FALSE)</f>
        <v>6795.3454000000002</v>
      </c>
      <c r="AW11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8" spans="1:49" ht="15" x14ac:dyDescent="0.25">
      <c r="A118" s="114" t="s">
        <v>614</v>
      </c>
      <c r="B118" t="str">
        <f>VLOOKUP(A118,Tabla46782[ID CAE],1,FALSE)</f>
        <v>CAE500112</v>
      </c>
      <c r="C118" s="25" t="s">
        <v>615</v>
      </c>
      <c r="D118" s="103" t="s">
        <v>72</v>
      </c>
      <c r="E118" s="103"/>
      <c r="F118" s="103" t="s">
        <v>72</v>
      </c>
      <c r="G118" s="103"/>
      <c r="H118" s="103" t="s">
        <v>249</v>
      </c>
      <c r="I118" s="103" t="s">
        <v>249</v>
      </c>
      <c r="J118" s="103"/>
      <c r="K118" s="14" t="s">
        <v>73</v>
      </c>
      <c r="L118" s="14" t="s">
        <v>200</v>
      </c>
      <c r="M118" s="14" t="s">
        <v>201</v>
      </c>
      <c r="N118" s="23" t="s">
        <v>76</v>
      </c>
      <c r="O118" s="151">
        <f>VLOOKUP(Tabla1[[#This Row],[Matricula]],BAJA2022202320242025!$B$3:$CR$245,93,FALSE)</f>
        <v>43160</v>
      </c>
      <c r="P118" s="24">
        <v>44986</v>
      </c>
      <c r="Q118" s="158">
        <f>Tabla1[[#This Row],[F.Vig.Final]]-Tabla1[[#This Row],[f Vig Inicio]]</f>
        <v>1826</v>
      </c>
      <c r="R118" s="141">
        <f>YEAR(Tabla1[[#This Row],[F.Vig.Final]])</f>
        <v>2023</v>
      </c>
      <c r="S118" s="25" t="s">
        <v>77</v>
      </c>
      <c r="T118" s="14" t="s">
        <v>78</v>
      </c>
      <c r="U118" s="14" t="s">
        <v>359</v>
      </c>
      <c r="V118" s="14" t="s">
        <v>604</v>
      </c>
      <c r="W118" s="14" t="s">
        <v>119</v>
      </c>
      <c r="X118" s="14" t="s">
        <v>120</v>
      </c>
      <c r="Y118" s="14" t="s">
        <v>501</v>
      </c>
      <c r="Z118" s="16">
        <f>COUNTIF($X$3:X118, X118)</f>
        <v>16</v>
      </c>
      <c r="AA118" s="16" t="s">
        <v>616</v>
      </c>
      <c r="AB118" s="16" t="s">
        <v>85</v>
      </c>
      <c r="AC118" s="16" t="s">
        <v>86</v>
      </c>
      <c r="AD118" s="16" t="s">
        <v>87</v>
      </c>
      <c r="AE118" s="60" t="s">
        <v>617</v>
      </c>
      <c r="AF118" s="24" t="s">
        <v>89</v>
      </c>
      <c r="AG118" s="27">
        <v>45645</v>
      </c>
      <c r="AH118" s="137">
        <f>Tabla1[[#This Row],[Renov. Flota]]-Tabla1[[#This Row],[Año]]</f>
        <v>1</v>
      </c>
      <c r="AI118" s="18" t="s">
        <v>119</v>
      </c>
      <c r="AJ118" s="107" t="str">
        <f>VLOOKUP(Tabla1[[#This Row],[Matricula nueva]],'ALTA 20242025'!$B$2:$P$242,15,FALSE)</f>
        <v>4500426846</v>
      </c>
      <c r="AK118" s="60" t="s">
        <v>120</v>
      </c>
      <c r="AM118" s="1" t="s">
        <v>72</v>
      </c>
      <c r="AN118" s="1" t="s">
        <v>91</v>
      </c>
      <c r="AO118" s="1" t="str">
        <f>VLOOKUP(Tabla1[[#This Row],[Matricula nueva]],Hoja2!$A$1:$B$224,2,FALSE)</f>
        <v>VF1RFK00073934278</v>
      </c>
      <c r="AP118" s="70">
        <f>IF(Tabla1[[#This Row],[Columna2]]="M1",5.1,"")</f>
        <v>5.0999999999999996</v>
      </c>
      <c r="AQ118" s="71">
        <f t="shared" si="4"/>
        <v>10</v>
      </c>
      <c r="AR118" s="72">
        <v>17.3</v>
      </c>
      <c r="AS118" s="73">
        <f>IF(Tabla1[[#This Row],[Columna2]]="M1",13073,IF(Tabla1[[#This Row],[Columna2]]="N1",15815,IF(Tabla1[[#This Row],[Columna2]]="L3e",2831,53508)))</f>
        <v>13073</v>
      </c>
      <c r="AT118" s="73">
        <f>(Tabla1[[#This Row],[CVA]]*Tabla1[[#This Row],[F]]-Tabla1[[#This Row],[CVN]])/100*Tabla1[[#This Row],[L]]</f>
        <v>4405.6010000000006</v>
      </c>
      <c r="AU118" s="74" t="s">
        <v>70</v>
      </c>
      <c r="AV118" s="294">
        <f>VLOOKUP(B118,Tabla467824[[ID CAE2]:[AE '[kWh']]],6,FALSE)</f>
        <v>6795.3454000000002</v>
      </c>
      <c r="AW11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19" spans="1:49" ht="15" x14ac:dyDescent="0.25">
      <c r="A119" s="114" t="s">
        <v>620</v>
      </c>
      <c r="B119" t="str">
        <f>VLOOKUP(A119,Tabla46782[ID CAE],1,FALSE)</f>
        <v>CAE500113</v>
      </c>
      <c r="C119" s="25" t="s">
        <v>621</v>
      </c>
      <c r="D119" s="103" t="s">
        <v>72</v>
      </c>
      <c r="E119" s="103" t="s">
        <v>72</v>
      </c>
      <c r="F119" s="103" t="s">
        <v>72</v>
      </c>
      <c r="G119" s="103"/>
      <c r="H119" s="103" t="s">
        <v>72</v>
      </c>
      <c r="I119" s="103" t="s">
        <v>72</v>
      </c>
      <c r="J119" s="103"/>
      <c r="K119" s="14" t="s">
        <v>73</v>
      </c>
      <c r="L119" s="14" t="s">
        <v>200</v>
      </c>
      <c r="M119" s="14" t="s">
        <v>201</v>
      </c>
      <c r="N119" s="23" t="s">
        <v>76</v>
      </c>
      <c r="O119" s="151">
        <f>VLOOKUP(Tabla1[[#This Row],[Matricula]],BAJA2022202320242025!$B$3:$CR$245,93,FALSE)</f>
        <v>43312</v>
      </c>
      <c r="P119" s="24">
        <v>45323</v>
      </c>
      <c r="Q119" s="158">
        <f>Tabla1[[#This Row],[F.Vig.Final]]-Tabla1[[#This Row],[f Vig Inicio]]</f>
        <v>2011</v>
      </c>
      <c r="R119" s="141">
        <f>YEAR(Tabla1[[#This Row],[F.Vig.Final]])</f>
        <v>2024</v>
      </c>
      <c r="S119" s="25" t="s">
        <v>77</v>
      </c>
      <c r="T119" s="14" t="s">
        <v>78</v>
      </c>
      <c r="U119" s="14" t="s">
        <v>359</v>
      </c>
      <c r="V119" s="14" t="s">
        <v>604</v>
      </c>
      <c r="W119" s="14" t="s">
        <v>131</v>
      </c>
      <c r="X119" s="14" t="s">
        <v>132</v>
      </c>
      <c r="Y119" s="14" t="s">
        <v>622</v>
      </c>
      <c r="Z119" s="16">
        <f>COUNTIF($X$3:X119, X119)</f>
        <v>7</v>
      </c>
      <c r="AA119" s="16" t="s">
        <v>623</v>
      </c>
      <c r="AB119" s="16" t="s">
        <v>85</v>
      </c>
      <c r="AC119" s="16" t="s">
        <v>86</v>
      </c>
      <c r="AD119" s="16" t="s">
        <v>87</v>
      </c>
      <c r="AE119" s="60" t="s">
        <v>318</v>
      </c>
      <c r="AF119" s="24" t="s">
        <v>89</v>
      </c>
      <c r="AG119" s="27">
        <v>45625</v>
      </c>
      <c r="AH119" s="137">
        <f>Tabla1[[#This Row],[Renov. Flota]]-Tabla1[[#This Row],[Año]]</f>
        <v>0</v>
      </c>
      <c r="AI119" s="18" t="s">
        <v>131</v>
      </c>
      <c r="AJ119" s="107" t="str">
        <f>VLOOKUP(Tabla1[[#This Row],[Matricula nueva]],'ALTA 20242025'!$B$2:$P$242,15,FALSE)</f>
        <v>4500426776</v>
      </c>
      <c r="AK119" s="60" t="s">
        <v>132</v>
      </c>
      <c r="AM119" s="1" t="s">
        <v>72</v>
      </c>
      <c r="AN119" s="1" t="s">
        <v>91</v>
      </c>
      <c r="AO119" s="1" t="str">
        <f>VLOOKUP(Tabla1[[#This Row],[Matricula nueva]],Hoja2!$A$1:$B$224,2,FALSE)</f>
        <v>VF1RFK00973824815</v>
      </c>
      <c r="AP119" s="70">
        <f>IF(Tabla1[[#This Row],[Columna2]]="M1",5.1,"")</f>
        <v>5.0999999999999996</v>
      </c>
      <c r="AQ119" s="71">
        <f t="shared" si="4"/>
        <v>10</v>
      </c>
      <c r="AR119" s="72">
        <v>17.3</v>
      </c>
      <c r="AS119" s="73">
        <f>IF(Tabla1[[#This Row],[Columna2]]="M1",13073,IF(Tabla1[[#This Row],[Columna2]]="N1",15815,IF(Tabla1[[#This Row],[Columna2]]="L3e",2831,53508)))</f>
        <v>13073</v>
      </c>
      <c r="AT119" s="73">
        <f>(Tabla1[[#This Row],[CVA]]*Tabla1[[#This Row],[F]]-Tabla1[[#This Row],[CVN]])/100*Tabla1[[#This Row],[L]]</f>
        <v>4405.6010000000006</v>
      </c>
      <c r="AU119" s="74" t="s">
        <v>70</v>
      </c>
      <c r="AV119" s="294">
        <f>VLOOKUP(B119,Tabla467824[[ID CAE2]:[AE '[kWh']]],6,FALSE)</f>
        <v>6795.3454000000002</v>
      </c>
      <c r="AW11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0" spans="1:49" ht="15" x14ac:dyDescent="0.25">
      <c r="A120" s="114" t="s">
        <v>626</v>
      </c>
      <c r="B120" t="str">
        <f>VLOOKUP(A120,Tabla46782[ID CAE],1,FALSE)</f>
        <v>CAE500114</v>
      </c>
      <c r="C120" s="25" t="s">
        <v>627</v>
      </c>
      <c r="D120" s="103" t="s">
        <v>72</v>
      </c>
      <c r="E120" s="103" t="s">
        <v>72</v>
      </c>
      <c r="F120" s="103" t="s">
        <v>72</v>
      </c>
      <c r="G120" s="103"/>
      <c r="H120" s="103" t="s">
        <v>72</v>
      </c>
      <c r="I120" s="103" t="s">
        <v>72</v>
      </c>
      <c r="J120" s="103"/>
      <c r="K120" s="14" t="s">
        <v>73</v>
      </c>
      <c r="L120" s="14" t="s">
        <v>200</v>
      </c>
      <c r="M120" s="14" t="s">
        <v>201</v>
      </c>
      <c r="N120" s="23" t="s">
        <v>76</v>
      </c>
      <c r="O120" s="151">
        <f>VLOOKUP(Tabla1[[#This Row],[Matricula]],BAJA2022202320242025!$B$3:$CR$245,93,FALSE)</f>
        <v>43343</v>
      </c>
      <c r="P120" s="24">
        <v>45016</v>
      </c>
      <c r="Q120" s="158">
        <f>Tabla1[[#This Row],[F.Vig.Final]]-Tabla1[[#This Row],[f Vig Inicio]]</f>
        <v>1673</v>
      </c>
      <c r="R120" s="141">
        <f>YEAR(Tabla1[[#This Row],[F.Vig.Final]])</f>
        <v>2023</v>
      </c>
      <c r="S120" s="25" t="s">
        <v>77</v>
      </c>
      <c r="T120" s="14" t="s">
        <v>78</v>
      </c>
      <c r="U120" s="14" t="s">
        <v>359</v>
      </c>
      <c r="V120" s="14" t="s">
        <v>604</v>
      </c>
      <c r="W120" s="14" t="s">
        <v>336</v>
      </c>
      <c r="X120" s="14" t="s">
        <v>337</v>
      </c>
      <c r="Y120" s="14" t="s">
        <v>628</v>
      </c>
      <c r="Z120" s="16">
        <f>COUNTIF($X$3:X120, X120)</f>
        <v>5</v>
      </c>
      <c r="AA120" s="16" t="s">
        <v>629</v>
      </c>
      <c r="AB120" s="16" t="s">
        <v>85</v>
      </c>
      <c r="AC120" s="16" t="s">
        <v>340</v>
      </c>
      <c r="AD120" s="16" t="s">
        <v>87</v>
      </c>
      <c r="AE120" s="60" t="s">
        <v>630</v>
      </c>
      <c r="AF120" s="24" t="s">
        <v>108</v>
      </c>
      <c r="AG120" s="27">
        <v>43439</v>
      </c>
      <c r="AH120" s="137">
        <f>Tabla1[[#This Row],[Renov. Flota]]-Tabla1[[#This Row],[Año]]</f>
        <v>0</v>
      </c>
      <c r="AI120" s="18" t="s">
        <v>336</v>
      </c>
      <c r="AJ120" s="109">
        <v>4500389256</v>
      </c>
      <c r="AK120" s="60" t="s">
        <v>337</v>
      </c>
      <c r="AM120" s="1" t="s">
        <v>72</v>
      </c>
      <c r="AN120" s="1" t="s">
        <v>91</v>
      </c>
      <c r="AO120" s="1" t="s">
        <v>631</v>
      </c>
      <c r="AP120" s="70">
        <f>IF(Tabla1[[#This Row],[Columna2]]="M1",5.1,"")</f>
        <v>5.0999999999999996</v>
      </c>
      <c r="AQ120" s="71">
        <f t="shared" si="4"/>
        <v>10</v>
      </c>
      <c r="AR120" s="72">
        <v>13.3</v>
      </c>
      <c r="AS120" s="73">
        <f>IF(Tabla1[[#This Row],[Columna2]]="M1",13073,IF(Tabla1[[#This Row],[Columna2]]="N1",15815,IF(Tabla1[[#This Row],[Columna2]]="L3e",2831,53508)))</f>
        <v>13073</v>
      </c>
      <c r="AT120" s="73">
        <f>(Tabla1[[#This Row],[CVA]]*Tabla1[[#This Row],[F]]-Tabla1[[#This Row],[CVN]])/100*Tabla1[[#This Row],[L]]</f>
        <v>4928.5209999999997</v>
      </c>
      <c r="AU120" s="74" t="s">
        <v>70</v>
      </c>
      <c r="AV120" s="294">
        <f>VLOOKUP(B120,Tabla467824[[ID CAE2]:[AE '[kWh']]],6,FALSE)</f>
        <v>6795.3454000000002</v>
      </c>
      <c r="AW12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1" spans="1:49" ht="15" x14ac:dyDescent="0.25">
      <c r="A121" s="114" t="s">
        <v>632</v>
      </c>
      <c r="B121" t="str">
        <f>VLOOKUP(A121,Tabla46782[ID CAE],1,FALSE)</f>
        <v>CAE500115</v>
      </c>
      <c r="C121" s="25" t="s">
        <v>633</v>
      </c>
      <c r="D121" s="103" t="s">
        <v>72</v>
      </c>
      <c r="E121" s="103"/>
      <c r="F121" s="103" t="s">
        <v>72</v>
      </c>
      <c r="G121" s="103"/>
      <c r="H121" s="103" t="s">
        <v>72</v>
      </c>
      <c r="I121" s="103" t="s">
        <v>72</v>
      </c>
      <c r="J121" s="103"/>
      <c r="K121" s="14" t="s">
        <v>129</v>
      </c>
      <c r="L121" s="14" t="s">
        <v>74</v>
      </c>
      <c r="M121" s="14" t="s">
        <v>75</v>
      </c>
      <c r="N121" s="23" t="s">
        <v>76</v>
      </c>
      <c r="O121" s="155">
        <f>VLOOKUP(Tabla1[[#This Row],[Matricula]],BAJA2022202320242025!$B$3:$CR$245,93,FALSE)</f>
        <v>45002</v>
      </c>
      <c r="P121" s="24">
        <v>45307</v>
      </c>
      <c r="Q121" s="159">
        <f>Tabla1[[#This Row],[F.Vig.Final]]-Tabla1[[#This Row],[f Vig Inicio]]</f>
        <v>305</v>
      </c>
      <c r="R121" s="141">
        <f>YEAR(Tabla1[[#This Row],[F.Vig.Final]])</f>
        <v>2024</v>
      </c>
      <c r="S121" s="25" t="s">
        <v>77</v>
      </c>
      <c r="T121" s="14" t="s">
        <v>78</v>
      </c>
      <c r="U121" s="14" t="s">
        <v>79</v>
      </c>
      <c r="V121" s="14" t="s">
        <v>634</v>
      </c>
      <c r="W121" s="14" t="s">
        <v>131</v>
      </c>
      <c r="X121" s="14" t="s">
        <v>132</v>
      </c>
      <c r="Y121" s="14" t="s">
        <v>635</v>
      </c>
      <c r="Z121" s="16">
        <f>COUNTIF($X$3:X121, X121)</f>
        <v>8</v>
      </c>
      <c r="AA121" s="16" t="s">
        <v>636</v>
      </c>
      <c r="AB121" s="16" t="s">
        <v>85</v>
      </c>
      <c r="AC121" s="16" t="s">
        <v>86</v>
      </c>
      <c r="AD121" s="16" t="s">
        <v>87</v>
      </c>
      <c r="AE121" s="60" t="s">
        <v>637</v>
      </c>
      <c r="AF121" s="24" t="s">
        <v>89</v>
      </c>
      <c r="AG121" s="27">
        <v>45625</v>
      </c>
      <c r="AH121" s="137">
        <f>Tabla1[[#This Row],[Renov. Flota]]-Tabla1[[#This Row],[Año]]</f>
        <v>0</v>
      </c>
      <c r="AI121" s="18" t="s">
        <v>131</v>
      </c>
      <c r="AJ121" s="107" t="str">
        <f>VLOOKUP(Tabla1[[#This Row],[Matricula nueva]],'ALTA 20242025'!$B$2:$P$242,15,FALSE)</f>
        <v>4500426780</v>
      </c>
      <c r="AK121" s="60" t="s">
        <v>132</v>
      </c>
      <c r="AM121" s="1" t="s">
        <v>72</v>
      </c>
      <c r="AN121" s="1" t="s">
        <v>91</v>
      </c>
      <c r="AO121" s="1" t="str">
        <f>VLOOKUP(Tabla1[[#This Row],[Matricula nueva]],Hoja2!$A$1:$B$224,2,FALSE)</f>
        <v>VF1RFK00073824816</v>
      </c>
      <c r="AP121" s="70">
        <v>5.6</v>
      </c>
      <c r="AQ121" s="71">
        <f t="shared" si="4"/>
        <v>10</v>
      </c>
      <c r="AR121" s="72">
        <v>17.3</v>
      </c>
      <c r="AS121" s="73">
        <f>IF(Tabla1[[#This Row],[Columna2]]="M1",13073,IF(Tabla1[[#This Row],[Columna2]]="N1",15815,IF(Tabla1[[#This Row],[Columna2]]="L3e",2831,53508)))</f>
        <v>15815</v>
      </c>
      <c r="AT121" s="73">
        <f>(Tabla1[[#This Row],[CVA]]*Tabla1[[#This Row],[F]]-Tabla1[[#This Row],[CVN]])/100*Tabla1[[#This Row],[L]]</f>
        <v>6120.4049999999997</v>
      </c>
      <c r="AU121" s="74" t="s">
        <v>128</v>
      </c>
      <c r="AV121" s="294">
        <f>VLOOKUP(B121,Tabla467824[[ID CAE2]:[AE '[kWh']]],6,FALSE)</f>
        <v>5607.9989999999989</v>
      </c>
      <c r="AW12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2" spans="1:49" ht="15" x14ac:dyDescent="0.25">
      <c r="A122" s="114" t="s">
        <v>640</v>
      </c>
      <c r="B122" t="str">
        <f>VLOOKUP(A122,Tabla46782[ID CAE],1,FALSE)</f>
        <v>CAE500116</v>
      </c>
      <c r="C122" s="25" t="s">
        <v>641</v>
      </c>
      <c r="D122" s="103" t="s">
        <v>72</v>
      </c>
      <c r="E122" s="103" t="s">
        <v>72</v>
      </c>
      <c r="F122" s="103" t="s">
        <v>72</v>
      </c>
      <c r="G122" s="103"/>
      <c r="H122" s="103" t="s">
        <v>72</v>
      </c>
      <c r="I122" s="103" t="s">
        <v>72</v>
      </c>
      <c r="J122" s="103"/>
      <c r="K122" s="14" t="s">
        <v>73</v>
      </c>
      <c r="L122" s="14" t="s">
        <v>74</v>
      </c>
      <c r="M122" s="14" t="s">
        <v>75</v>
      </c>
      <c r="N122" s="23" t="s">
        <v>76</v>
      </c>
      <c r="O122" s="155">
        <f>VLOOKUP(Tabla1[[#This Row],[Matricula]],BAJA2022202320242025!$B$3:$CR$245,93,FALSE)</f>
        <v>45323</v>
      </c>
      <c r="P122" s="163">
        <v>45468</v>
      </c>
      <c r="Q122" s="164">
        <f>Tabla1[[#This Row],[F.Vig.Final]]-Tabla1[[#This Row],[f Vig Inicio]]</f>
        <v>145</v>
      </c>
      <c r="R122" s="141">
        <f>YEAR(Tabla1[[#This Row],[F.Vig.Final]])</f>
        <v>2024</v>
      </c>
      <c r="S122" s="25" t="s">
        <v>77</v>
      </c>
      <c r="T122" s="14" t="s">
        <v>78</v>
      </c>
      <c r="U122" s="14" t="s">
        <v>85</v>
      </c>
      <c r="V122" s="14" t="s">
        <v>642</v>
      </c>
      <c r="W122" s="14" t="s">
        <v>102</v>
      </c>
      <c r="X122" s="14" t="s">
        <v>103</v>
      </c>
      <c r="Y122" s="14" t="s">
        <v>572</v>
      </c>
      <c r="Z122" s="16">
        <f>COUNTIF($X$3:X122, X122)</f>
        <v>19</v>
      </c>
      <c r="AA122" s="16" t="s">
        <v>643</v>
      </c>
      <c r="AB122" s="16" t="s">
        <v>140</v>
      </c>
      <c r="AC122" s="16" t="s">
        <v>151</v>
      </c>
      <c r="AD122" s="16" t="s">
        <v>87</v>
      </c>
      <c r="AE122" s="60" t="s">
        <v>301</v>
      </c>
      <c r="AF122" s="24" t="s">
        <v>89</v>
      </c>
      <c r="AG122" s="27">
        <v>45625</v>
      </c>
      <c r="AH122" s="137">
        <f>Tabla1[[#This Row],[Renov. Flota]]-Tabla1[[#This Row],[Año]]</f>
        <v>0</v>
      </c>
      <c r="AI122" s="18" t="s">
        <v>102</v>
      </c>
      <c r="AJ122" s="107" t="str">
        <f>VLOOKUP(Tabla1[[#This Row],[Matricula nueva]],'ALTA 20242025'!$B$2:$P$242,15,FALSE)</f>
        <v>4500424838</v>
      </c>
      <c r="AK122" s="60" t="s">
        <v>103</v>
      </c>
      <c r="AM122" s="1" t="s">
        <v>72</v>
      </c>
      <c r="AN122" s="1" t="s">
        <v>109</v>
      </c>
      <c r="AO122" s="1" t="str">
        <f>VLOOKUP(Tabla1[[#This Row],[Matricula nueva]],Hoja2!$A$1:$B$224,2,FALSE)</f>
        <v>VR7CBZYAXRT153017</v>
      </c>
      <c r="AP122" s="70">
        <v>5.6</v>
      </c>
      <c r="AQ122" s="71">
        <f t="shared" si="4"/>
        <v>10</v>
      </c>
      <c r="AR122" s="72">
        <v>16.399999999999999</v>
      </c>
      <c r="AS122" s="73">
        <f>IF(Tabla1[[#This Row],[Columna2]]="M1",13073,IF(Tabla1[[#This Row],[Columna2]]="N1",15815,IF(Tabla1[[#This Row],[Columna2]]="L3e",2831,53508)))</f>
        <v>15815</v>
      </c>
      <c r="AT122" s="73">
        <f>(Tabla1[[#This Row],[CVA]]*Tabla1[[#This Row],[F]]-Tabla1[[#This Row],[CVN]])/100*Tabla1[[#This Row],[L]]</f>
        <v>6262.7400000000007</v>
      </c>
      <c r="AU122" s="74" t="s">
        <v>128</v>
      </c>
      <c r="AV122" s="294">
        <f>VLOOKUP(B122,Tabla467824[[ID CAE2]:[AE '[kWh']]],6,FALSE)</f>
        <v>5607.9989999999989</v>
      </c>
      <c r="AW12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3" spans="1:49" ht="15.75" thickBot="1" x14ac:dyDescent="0.3">
      <c r="A123" s="114" t="s">
        <v>646</v>
      </c>
      <c r="B123" t="str">
        <f>VLOOKUP(A123,Tabla46782[ID CAE],1,FALSE)</f>
        <v>CAE500117</v>
      </c>
      <c r="C123" s="25" t="s">
        <v>647</v>
      </c>
      <c r="D123" s="103" t="s">
        <v>72</v>
      </c>
      <c r="E123" s="103" t="s">
        <v>72</v>
      </c>
      <c r="F123" s="103" t="s">
        <v>72</v>
      </c>
      <c r="G123" s="103"/>
      <c r="H123" s="103" t="s">
        <v>72</v>
      </c>
      <c r="I123" s="103" t="s">
        <v>72</v>
      </c>
      <c r="J123" s="103"/>
      <c r="K123" s="14" t="s">
        <v>73</v>
      </c>
      <c r="L123" s="14" t="s">
        <v>74</v>
      </c>
      <c r="M123" s="14" t="s">
        <v>75</v>
      </c>
      <c r="N123" s="23" t="s">
        <v>76</v>
      </c>
      <c r="O123" s="156">
        <f>VLOOKUP(Tabla1[[#This Row],[Matricula]],BAJA2022202320242025!$B$3:$CR$245,93,FALSE)</f>
        <v>45323</v>
      </c>
      <c r="P123" s="88">
        <v>45433</v>
      </c>
      <c r="Q123" s="164">
        <f>Tabla1[[#This Row],[F.Vig.Final]]-Tabla1[[#This Row],[f Vig Inicio]]</f>
        <v>110</v>
      </c>
      <c r="R123" s="141">
        <f>YEAR(Tabla1[[#This Row],[F.Vig.Final]])</f>
        <v>2024</v>
      </c>
      <c r="S123" s="25" t="s">
        <v>77</v>
      </c>
      <c r="T123" s="14" t="s">
        <v>78</v>
      </c>
      <c r="U123" s="14" t="s">
        <v>85</v>
      </c>
      <c r="V123" s="14" t="s">
        <v>642</v>
      </c>
      <c r="W123" s="14" t="s">
        <v>102</v>
      </c>
      <c r="X123" s="14" t="s">
        <v>103</v>
      </c>
      <c r="Y123" s="14" t="s">
        <v>572</v>
      </c>
      <c r="Z123" s="16">
        <f>COUNTIF($X$3:X123, X123)</f>
        <v>20</v>
      </c>
      <c r="AA123" s="16" t="s">
        <v>648</v>
      </c>
      <c r="AB123" s="16" t="s">
        <v>380</v>
      </c>
      <c r="AC123" s="16" t="s">
        <v>381</v>
      </c>
      <c r="AD123" s="16" t="s">
        <v>87</v>
      </c>
      <c r="AE123" s="60" t="s">
        <v>649</v>
      </c>
      <c r="AF123" s="28" t="s">
        <v>89</v>
      </c>
      <c r="AG123" s="27">
        <v>45616</v>
      </c>
      <c r="AH123" s="137">
        <f>Tabla1[[#This Row],[Renov. Flota]]-Tabla1[[#This Row],[Año]]</f>
        <v>0</v>
      </c>
      <c r="AI123" s="18" t="s">
        <v>102</v>
      </c>
      <c r="AJ123" s="107" t="str">
        <f>VLOOKUP(Tabla1[[#This Row],[Matricula nueva]],'ALTA 20242025'!$B$2:$P$242,15,FALSE)</f>
        <v>4500423385</v>
      </c>
      <c r="AK123" s="60" t="s">
        <v>103</v>
      </c>
      <c r="AM123" s="1" t="s">
        <v>72</v>
      </c>
      <c r="AN123" s="1" t="s">
        <v>109</v>
      </c>
      <c r="AO123" s="1" t="s">
        <v>651</v>
      </c>
      <c r="AP123" s="75">
        <v>5.6</v>
      </c>
      <c r="AQ123" s="76">
        <f t="shared" si="4"/>
        <v>10</v>
      </c>
      <c r="AR123" s="77">
        <v>20</v>
      </c>
      <c r="AS123" s="78">
        <f>IF(Tabla1[[#This Row],[Columna2]]="M1",13073,IF(Tabla1[[#This Row],[Columna2]]="N1",15815,IF(Tabla1[[#This Row],[Columna2]]="L3e",2831,53508)))</f>
        <v>15815</v>
      </c>
      <c r="AT123" s="78">
        <f>(Tabla1[[#This Row],[CVA]]*Tabla1[[#This Row],[F]]-Tabla1[[#This Row],[CVN]])/100*Tabla1[[#This Row],[L]]</f>
        <v>5693.4</v>
      </c>
      <c r="AU123" s="79" t="s">
        <v>128</v>
      </c>
      <c r="AV123" s="294">
        <f>VLOOKUP(B123,Tabla467824[[ID CAE2]:[AE '[kWh']]],6,FALSE)</f>
        <v>5607.9989999999989</v>
      </c>
      <c r="AW12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4" spans="1:49" ht="15.75" hidden="1" thickBot="1" x14ac:dyDescent="0.3">
      <c r="A124" t="s">
        <v>1271</v>
      </c>
      <c r="B124" t="e">
        <f>VLOOKUP(A124,Tabla46782[ID CAE],1,FALSE)</f>
        <v>#N/A</v>
      </c>
      <c r="C124" s="14" t="s">
        <v>1272</v>
      </c>
      <c r="D124" s="14"/>
      <c r="E124" s="14"/>
      <c r="F124" s="14"/>
      <c r="G124" s="14"/>
      <c r="H124" s="14"/>
      <c r="I124" s="14"/>
      <c r="J124" s="14"/>
      <c r="K124" s="14" t="s">
        <v>158</v>
      </c>
      <c r="L124" s="14" t="s">
        <v>159</v>
      </c>
      <c r="M124" s="14" t="s">
        <v>158</v>
      </c>
      <c r="N124" s="14" t="s">
        <v>171</v>
      </c>
      <c r="O124" s="152">
        <f>VLOOKUP(Tabla1[[#This Row],[Matricula]],BAJA2022202320242025!$B$3:$CR$245,93,FALSE)</f>
        <v>42415</v>
      </c>
      <c r="P124" s="15">
        <v>45579</v>
      </c>
      <c r="Q124" s="160">
        <f>Tabla1[[#This Row],[F.Vig.Final]]-Tabla1[[#This Row],[f Vig Inicio]]</f>
        <v>3164</v>
      </c>
      <c r="R124" s="15">
        <f>YEAR(Tabla1[[#This Row],[F.Vig.Final]])</f>
        <v>2024</v>
      </c>
      <c r="S124" s="14" t="s">
        <v>172</v>
      </c>
      <c r="T124" s="14" t="s">
        <v>78</v>
      </c>
      <c r="U124" s="14" t="s">
        <v>1273</v>
      </c>
      <c r="V124" s="14" t="s">
        <v>1274</v>
      </c>
      <c r="W124" s="14" t="s">
        <v>584</v>
      </c>
      <c r="X124" s="14" t="s">
        <v>585</v>
      </c>
      <c r="Y124" s="14" t="s">
        <v>1275</v>
      </c>
      <c r="Z124" s="16">
        <f>COUNTIF($X$3:X124, X124)</f>
        <v>5</v>
      </c>
      <c r="AA124" s="16" t="e">
        <v>#N/A</v>
      </c>
      <c r="AB124" s="16" t="e">
        <v>#N/A</v>
      </c>
      <c r="AC124" s="16" t="e">
        <v>#N/A</v>
      </c>
      <c r="AD124" s="16" t="e">
        <v>#N/A</v>
      </c>
      <c r="AE124" s="16" t="e">
        <v>#N/A</v>
      </c>
      <c r="AF124" s="15" t="e">
        <v>#N/A</v>
      </c>
      <c r="AG124" s="17" t="e">
        <v>#N/A</v>
      </c>
      <c r="AH124" s="17" t="e">
        <f>Tabla1[[#This Row],[Renov. Flota]]-Tabla1[[#This Row],[Año]]</f>
        <v>#N/A</v>
      </c>
      <c r="AI124" s="18" t="e">
        <v>#N/A</v>
      </c>
      <c r="AJ124" s="18" t="e">
        <f>VLOOKUP(Tabla1[[#This Row],[Matricula nueva]],'ALTA 20242025'!$B$2:$P$242,15,FALSE)</f>
        <v>#N/A</v>
      </c>
      <c r="AK124" s="19" t="e">
        <v>#N/A</v>
      </c>
      <c r="AN124" s="1"/>
      <c r="AO124" s="1" t="e">
        <f>VLOOKUP(Tabla1[[#This Row],[Matricula nueva]],Hoja2!$A$1:$B$224,2,FALSE)</f>
        <v>#N/A</v>
      </c>
      <c r="AP124" s="1" t="str">
        <f>IF(Tabla1[[#This Row],[Columna2]]="M1",5.1,"")</f>
        <v/>
      </c>
      <c r="AQ124" s="1"/>
      <c r="AR124" s="1"/>
      <c r="AS124" s="47">
        <f>IF(Tabla1[[#This Row],[Columna2]]="M1",13073,IF(Tabla1[[#This Row],[Columna2]]="N1",15815,IF(Tabla1[[#This Row],[Columna2]]="L3e",2831,53508)))</f>
        <v>53508</v>
      </c>
      <c r="AT124" s="47" t="e">
        <f>(Tabla1[[#This Row],[CVA]]*Tabla1[[#This Row],[F]]-Tabla1[[#This Row],[CVN]])/100*Tabla1[[#This Row],[L]]</f>
        <v>#VALUE!</v>
      </c>
      <c r="AU124" s="1"/>
      <c r="AV124" s="1" t="e">
        <f>VLOOKUP(B124,Tabla467824[[ID CAE2]:[AE '[kWh']]],6,FALSE)</f>
        <v>#N/A</v>
      </c>
      <c r="AW12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125" spans="1:49" ht="15" x14ac:dyDescent="0.25">
      <c r="A125" s="114" t="s">
        <v>652</v>
      </c>
      <c r="B125" t="str">
        <f>VLOOKUP(A125,Tabla46782[ID CAE],1,FALSE)</f>
        <v>CAE500119</v>
      </c>
      <c r="C125" s="25" t="s">
        <v>653</v>
      </c>
      <c r="D125" s="103" t="s">
        <v>72</v>
      </c>
      <c r="E125" s="103" t="s">
        <v>72</v>
      </c>
      <c r="F125" s="103" t="s">
        <v>72</v>
      </c>
      <c r="G125" s="103"/>
      <c r="H125" s="103" t="s">
        <v>72</v>
      </c>
      <c r="I125" s="103" t="s">
        <v>72</v>
      </c>
      <c r="J125" s="103"/>
      <c r="K125" s="14" t="s">
        <v>73</v>
      </c>
      <c r="L125" s="14" t="s">
        <v>74</v>
      </c>
      <c r="M125" s="14" t="s">
        <v>75</v>
      </c>
      <c r="N125" s="23" t="s">
        <v>76</v>
      </c>
      <c r="O125" s="157">
        <f>VLOOKUP(Tabla1[[#This Row],[Matricula]],BAJA2022202320242025!$B$3:$CR$245,93,FALSE)</f>
        <v>45323</v>
      </c>
      <c r="P125" s="87">
        <v>45504</v>
      </c>
      <c r="Q125" s="164">
        <f>Tabla1[[#This Row],[F.Vig.Final]]-Tabla1[[#This Row],[f Vig Inicio]]</f>
        <v>181</v>
      </c>
      <c r="R125" s="141">
        <f>YEAR(Tabla1[[#This Row],[F.Vig.Final]])</f>
        <v>2024</v>
      </c>
      <c r="S125" s="25" t="s">
        <v>77</v>
      </c>
      <c r="T125" s="14" t="s">
        <v>78</v>
      </c>
      <c r="U125" s="14" t="s">
        <v>85</v>
      </c>
      <c r="V125" s="14" t="s">
        <v>642</v>
      </c>
      <c r="W125" s="14" t="s">
        <v>102</v>
      </c>
      <c r="X125" s="14" t="s">
        <v>103</v>
      </c>
      <c r="Y125" s="14" t="s">
        <v>654</v>
      </c>
      <c r="Z125" s="16">
        <f>COUNTIF($X$3:X125, X125)</f>
        <v>21</v>
      </c>
      <c r="AA125" s="16" t="s">
        <v>655</v>
      </c>
      <c r="AB125" s="16" t="s">
        <v>380</v>
      </c>
      <c r="AC125" s="16" t="s">
        <v>381</v>
      </c>
      <c r="AD125" s="16" t="s">
        <v>87</v>
      </c>
      <c r="AE125" s="60" t="s">
        <v>649</v>
      </c>
      <c r="AF125" s="29" t="s">
        <v>89</v>
      </c>
      <c r="AG125" s="27">
        <v>45616</v>
      </c>
      <c r="AH125" s="137">
        <f>Tabla1[[#This Row],[Renov. Flota]]-Tabla1[[#This Row],[Año]]</f>
        <v>0</v>
      </c>
      <c r="AI125" s="18" t="s">
        <v>102</v>
      </c>
      <c r="AJ125" s="107" t="str">
        <f>VLOOKUP(Tabla1[[#This Row],[Matricula nueva]],'ALTA 20242025'!$B$2:$P$242,15,FALSE)</f>
        <v>4500423384</v>
      </c>
      <c r="AK125" s="60" t="s">
        <v>103</v>
      </c>
      <c r="AM125" s="1" t="s">
        <v>72</v>
      </c>
      <c r="AN125" s="1" t="s">
        <v>109</v>
      </c>
      <c r="AO125" s="1" t="s">
        <v>657</v>
      </c>
      <c r="AP125" s="65">
        <v>5.6</v>
      </c>
      <c r="AQ125" s="66">
        <f>IF(T125="DIESEL",10,IF(T125="GLP",7.16,9.19))</f>
        <v>10</v>
      </c>
      <c r="AR125" s="67">
        <v>20</v>
      </c>
      <c r="AS125" s="68">
        <f>IF(Tabla1[[#This Row],[Columna2]]="M1",13073,IF(Tabla1[[#This Row],[Columna2]]="N1",15815,IF(Tabla1[[#This Row],[Columna2]]="L3e",2831,53508)))</f>
        <v>15815</v>
      </c>
      <c r="AT125" s="68">
        <f>(Tabla1[[#This Row],[CVA]]*Tabla1[[#This Row],[F]]-Tabla1[[#This Row],[CVN]])/100*Tabla1[[#This Row],[L]]</f>
        <v>5693.4</v>
      </c>
      <c r="AU125" s="69" t="s">
        <v>128</v>
      </c>
      <c r="AV125" s="294">
        <f>VLOOKUP(B125,Tabla467824[[ID CAE2]:[AE '[kWh']]],6,FALSE)</f>
        <v>5607.9989999999989</v>
      </c>
      <c r="AW12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6" spans="1:49" ht="15" x14ac:dyDescent="0.25">
      <c r="A126" s="114" t="s">
        <v>658</v>
      </c>
      <c r="B126" t="str">
        <f>VLOOKUP(A126,Tabla46782[ID CAE],1,FALSE)</f>
        <v>CAE500120</v>
      </c>
      <c r="C126" s="25" t="s">
        <v>659</v>
      </c>
      <c r="D126" s="103" t="s">
        <v>72</v>
      </c>
      <c r="E126" s="103"/>
      <c r="F126" s="103" t="s">
        <v>72</v>
      </c>
      <c r="G126" s="103"/>
      <c r="H126" s="103" t="s">
        <v>72</v>
      </c>
      <c r="I126" s="103" t="s">
        <v>72</v>
      </c>
      <c r="J126" s="103"/>
      <c r="K126" s="14" t="s">
        <v>73</v>
      </c>
      <c r="L126" s="14" t="s">
        <v>74</v>
      </c>
      <c r="M126" s="14" t="s">
        <v>75</v>
      </c>
      <c r="N126" s="23" t="s">
        <v>76</v>
      </c>
      <c r="O126" s="155">
        <f>VLOOKUP(Tabla1[[#This Row],[Matricula]],BAJA2022202320242025!$B$3:$CR$245,93,FALSE)</f>
        <v>45324</v>
      </c>
      <c r="P126" s="163">
        <v>45372</v>
      </c>
      <c r="Q126" s="164">
        <f>Tabla1[[#This Row],[F.Vig.Final]]-Tabla1[[#This Row],[f Vig Inicio]]</f>
        <v>48</v>
      </c>
      <c r="R126" s="141">
        <f>YEAR(Tabla1[[#This Row],[F.Vig.Final]])</f>
        <v>2024</v>
      </c>
      <c r="S126" s="25" t="s">
        <v>77</v>
      </c>
      <c r="T126" s="14" t="s">
        <v>78</v>
      </c>
      <c r="U126" s="14" t="s">
        <v>85</v>
      </c>
      <c r="V126" s="14" t="s">
        <v>642</v>
      </c>
      <c r="W126" s="14" t="s">
        <v>102</v>
      </c>
      <c r="X126" s="14" t="s">
        <v>103</v>
      </c>
      <c r="Y126" s="14" t="s">
        <v>649</v>
      </c>
      <c r="Z126" s="16">
        <f>COUNTIF($X$3:X126, X126)</f>
        <v>22</v>
      </c>
      <c r="AA126" s="16" t="s">
        <v>660</v>
      </c>
      <c r="AB126" s="16" t="s">
        <v>85</v>
      </c>
      <c r="AC126" s="16" t="s">
        <v>114</v>
      </c>
      <c r="AD126" s="16" t="s">
        <v>87</v>
      </c>
      <c r="AE126" s="60" t="s">
        <v>115</v>
      </c>
      <c r="AF126" s="24" t="s">
        <v>108</v>
      </c>
      <c r="AG126" s="27">
        <v>44945</v>
      </c>
      <c r="AH126" s="137">
        <f>Tabla1[[#This Row],[Renov. Flota]]-Tabla1[[#This Row],[Año]]</f>
        <v>-1</v>
      </c>
      <c r="AI126" s="18" t="s">
        <v>102</v>
      </c>
      <c r="AJ126" s="109">
        <v>4500351523</v>
      </c>
      <c r="AK126" s="60" t="s">
        <v>103</v>
      </c>
      <c r="AM126" s="1" t="s">
        <v>72</v>
      </c>
      <c r="AN126" s="1" t="s">
        <v>109</v>
      </c>
      <c r="AO126" s="1" t="s">
        <v>661</v>
      </c>
      <c r="AP126" s="70">
        <v>5.6</v>
      </c>
      <c r="AQ126" s="71">
        <f>IF(T126="DIESEL",10,IF(T126="GLP",7.16,9.19))</f>
        <v>10</v>
      </c>
      <c r="AR126" s="72">
        <v>17.3</v>
      </c>
      <c r="AS126" s="73">
        <f>IF(Tabla1[[#This Row],[Columna2]]="M1",13073,IF(Tabla1[[#This Row],[Columna2]]="N1",15815,IF(Tabla1[[#This Row],[Columna2]]="L3e",2831,53508)))</f>
        <v>15815</v>
      </c>
      <c r="AT126" s="73">
        <f>(Tabla1[[#This Row],[CVA]]*Tabla1[[#This Row],[F]]-Tabla1[[#This Row],[CVN]])/100*Tabla1[[#This Row],[L]]</f>
        <v>6120.4049999999997</v>
      </c>
      <c r="AU126" s="74" t="s">
        <v>128</v>
      </c>
      <c r="AV126" s="294">
        <f>VLOOKUP(B126,Tabla467824[[ID CAE2]:[AE '[kWh']]],6,FALSE)</f>
        <v>5607.9989999999989</v>
      </c>
      <c r="AW12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7" spans="1:49" ht="15" x14ac:dyDescent="0.25">
      <c r="A127" s="114" t="s">
        <v>662</v>
      </c>
      <c r="B127" t="str">
        <f>VLOOKUP(A127,Tabla46782[ID CAE],1,FALSE)</f>
        <v>CAE500121</v>
      </c>
      <c r="C127" s="25" t="s">
        <v>663</v>
      </c>
      <c r="D127" s="103" t="s">
        <v>72</v>
      </c>
      <c r="E127" s="103"/>
      <c r="F127" s="103" t="s">
        <v>72</v>
      </c>
      <c r="G127" s="103"/>
      <c r="H127" s="103" t="s">
        <v>72</v>
      </c>
      <c r="I127" s="103" t="s">
        <v>72</v>
      </c>
      <c r="J127" s="103"/>
      <c r="K127" s="14" t="s">
        <v>73</v>
      </c>
      <c r="L127" s="14" t="s">
        <v>74</v>
      </c>
      <c r="M127" s="14" t="s">
        <v>75</v>
      </c>
      <c r="N127" s="23" t="s">
        <v>76</v>
      </c>
      <c r="O127" s="155">
        <f>VLOOKUP(Tabla1[[#This Row],[Matricula]],BAJA2022202320242025!$B$3:$CR$245,93,FALSE)</f>
        <v>45324</v>
      </c>
      <c r="P127" s="163">
        <v>45372</v>
      </c>
      <c r="Q127" s="164">
        <f>Tabla1[[#This Row],[F.Vig.Final]]-Tabla1[[#This Row],[f Vig Inicio]]</f>
        <v>48</v>
      </c>
      <c r="R127" s="141">
        <f>YEAR(Tabla1[[#This Row],[F.Vig.Final]])</f>
        <v>2024</v>
      </c>
      <c r="S127" s="25" t="s">
        <v>77</v>
      </c>
      <c r="T127" s="14" t="s">
        <v>78</v>
      </c>
      <c r="U127" s="14" t="s">
        <v>85</v>
      </c>
      <c r="V127" s="14" t="s">
        <v>642</v>
      </c>
      <c r="W127" s="14" t="s">
        <v>102</v>
      </c>
      <c r="X127" s="14" t="s">
        <v>103</v>
      </c>
      <c r="Y127" s="14" t="s">
        <v>649</v>
      </c>
      <c r="Z127" s="16">
        <f>COUNTIF($X$3:X127, X127)</f>
        <v>23</v>
      </c>
      <c r="AA127" s="16" t="s">
        <v>664</v>
      </c>
      <c r="AB127" s="16" t="s">
        <v>85</v>
      </c>
      <c r="AC127" s="16" t="s">
        <v>114</v>
      </c>
      <c r="AD127" s="16" t="s">
        <v>87</v>
      </c>
      <c r="AE127" s="60" t="s">
        <v>115</v>
      </c>
      <c r="AF127" s="24" t="s">
        <v>108</v>
      </c>
      <c r="AG127" s="27">
        <v>44945</v>
      </c>
      <c r="AH127" s="137">
        <f>Tabla1[[#This Row],[Renov. Flota]]-Tabla1[[#This Row],[Año]]</f>
        <v>-1</v>
      </c>
      <c r="AI127" s="18" t="s">
        <v>102</v>
      </c>
      <c r="AJ127" s="109">
        <v>4500351522</v>
      </c>
      <c r="AK127" s="60" t="s">
        <v>103</v>
      </c>
      <c r="AM127" s="1" t="s">
        <v>72</v>
      </c>
      <c r="AN127" s="1" t="s">
        <v>109</v>
      </c>
      <c r="AO127" s="1" t="s">
        <v>665</v>
      </c>
      <c r="AP127" s="70">
        <v>5.6</v>
      </c>
      <c r="AQ127" s="71">
        <f>IF(T127="DIESEL",10,IF(T127="GLP",7.16,9.19))</f>
        <v>10</v>
      </c>
      <c r="AR127" s="72">
        <v>17.3</v>
      </c>
      <c r="AS127" s="73">
        <f>IF(Tabla1[[#This Row],[Columna2]]="M1",13073,IF(Tabla1[[#This Row],[Columna2]]="N1",15815,IF(Tabla1[[#This Row],[Columna2]]="L3e",2831,53508)))</f>
        <v>15815</v>
      </c>
      <c r="AT127" s="73">
        <f>(Tabla1[[#This Row],[CVA]]*Tabla1[[#This Row],[F]]-Tabla1[[#This Row],[CVN]])/100*Tabla1[[#This Row],[L]]</f>
        <v>6120.4049999999997</v>
      </c>
      <c r="AU127" s="74" t="s">
        <v>128</v>
      </c>
      <c r="AV127" s="294">
        <f>VLOOKUP(B127,Tabla467824[[ID CAE2]:[AE '[kWh']]],6,FALSE)</f>
        <v>5607.9989999999989</v>
      </c>
      <c r="AW12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8" spans="1:49" ht="15" x14ac:dyDescent="0.25">
      <c r="A128" s="114" t="s">
        <v>666</v>
      </c>
      <c r="B128" t="str">
        <f>VLOOKUP(A128,Tabla46782[ID CAE],1,FALSE)</f>
        <v>CAE500122</v>
      </c>
      <c r="C128" s="25" t="s">
        <v>667</v>
      </c>
      <c r="D128" s="103" t="s">
        <v>72</v>
      </c>
      <c r="E128" s="103" t="s">
        <v>72</v>
      </c>
      <c r="F128" s="103" t="s">
        <v>72</v>
      </c>
      <c r="G128" s="103"/>
      <c r="H128" s="103" t="s">
        <v>72</v>
      </c>
      <c r="I128" s="103" t="s">
        <v>72</v>
      </c>
      <c r="J128" s="103"/>
      <c r="K128" s="14" t="s">
        <v>73</v>
      </c>
      <c r="L128" s="14" t="s">
        <v>74</v>
      </c>
      <c r="M128" s="14" t="s">
        <v>75</v>
      </c>
      <c r="N128" s="23" t="s">
        <v>76</v>
      </c>
      <c r="O128" s="155">
        <f>VLOOKUP(Tabla1[[#This Row],[Matricula]],BAJA2022202320242025!$B$3:$CR$245,93,FALSE)</f>
        <v>45323</v>
      </c>
      <c r="P128" s="163">
        <v>45425</v>
      </c>
      <c r="Q128" s="164">
        <f>Tabla1[[#This Row],[F.Vig.Final]]-Tabla1[[#This Row],[f Vig Inicio]]</f>
        <v>102</v>
      </c>
      <c r="R128" s="141">
        <f>YEAR(Tabla1[[#This Row],[F.Vig.Final]])</f>
        <v>2024</v>
      </c>
      <c r="S128" s="25" t="s">
        <v>77</v>
      </c>
      <c r="T128" s="14" t="s">
        <v>78</v>
      </c>
      <c r="U128" s="14" t="s">
        <v>85</v>
      </c>
      <c r="V128" s="14" t="s">
        <v>642</v>
      </c>
      <c r="W128" s="14" t="s">
        <v>102</v>
      </c>
      <c r="X128" s="14" t="s">
        <v>103</v>
      </c>
      <c r="Y128" s="14" t="s">
        <v>572</v>
      </c>
      <c r="Z128" s="16">
        <f>COUNTIF($X$3:X128, X128)</f>
        <v>24</v>
      </c>
      <c r="AA128" s="16" t="s">
        <v>668</v>
      </c>
      <c r="AB128" s="16" t="s">
        <v>85</v>
      </c>
      <c r="AC128" s="16" t="s">
        <v>86</v>
      </c>
      <c r="AD128" s="16" t="s">
        <v>87</v>
      </c>
      <c r="AE128" s="60" t="s">
        <v>669</v>
      </c>
      <c r="AF128" s="24" t="s">
        <v>89</v>
      </c>
      <c r="AG128" s="27">
        <v>45652</v>
      </c>
      <c r="AH128" s="137">
        <f>Tabla1[[#This Row],[Renov. Flota]]-Tabla1[[#This Row],[Año]]</f>
        <v>0</v>
      </c>
      <c r="AI128" s="18" t="s">
        <v>102</v>
      </c>
      <c r="AJ128" s="107" t="str">
        <f>VLOOKUP(Tabla1[[#This Row],[Matricula nueva]],'ALTA 20242025'!$B$2:$P$242,15,FALSE)</f>
        <v>4500426777</v>
      </c>
      <c r="AK128" s="60" t="s">
        <v>103</v>
      </c>
      <c r="AM128" s="1" t="s">
        <v>72</v>
      </c>
      <c r="AN128" s="1" t="s">
        <v>109</v>
      </c>
      <c r="AO128" s="1" t="str">
        <f>VLOOKUP(Tabla1[[#This Row],[Matricula nueva]],Hoja2!$A$1:$B$224,2,FALSE)</f>
        <v>VF1RFK00073824878</v>
      </c>
      <c r="AP128" s="70">
        <v>5.6</v>
      </c>
      <c r="AQ128" s="71">
        <f>IF(T128="DIESEL",10,IF(T128="GLP",7.16,9.19))</f>
        <v>10</v>
      </c>
      <c r="AR128" s="72">
        <v>17.3</v>
      </c>
      <c r="AS128" s="73">
        <f>IF(Tabla1[[#This Row],[Columna2]]="M1",13073,IF(Tabla1[[#This Row],[Columna2]]="N1",15815,IF(Tabla1[[#This Row],[Columna2]]="L3e",2831,53508)))</f>
        <v>15815</v>
      </c>
      <c r="AT128" s="73">
        <f>(Tabla1[[#This Row],[CVA]]*Tabla1[[#This Row],[F]]-Tabla1[[#This Row],[CVN]])/100*Tabla1[[#This Row],[L]]</f>
        <v>6120.4049999999997</v>
      </c>
      <c r="AU128" s="74" t="s">
        <v>128</v>
      </c>
      <c r="AV128" s="294">
        <f>VLOOKUP(B128,Tabla467824[[ID CAE2]:[AE '[kWh']]],6,FALSE)</f>
        <v>5607.9989999999989</v>
      </c>
      <c r="AW12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29" spans="1:49" ht="15.75" thickBot="1" x14ac:dyDescent="0.3">
      <c r="A129" s="114" t="s">
        <v>672</v>
      </c>
      <c r="B129" t="str">
        <f>VLOOKUP(A129,Tabla46782[ID CAE],1,FALSE)</f>
        <v>CAE500123</v>
      </c>
      <c r="C129" s="25" t="s">
        <v>673</v>
      </c>
      <c r="D129" s="103" t="s">
        <v>72</v>
      </c>
      <c r="E129" s="103"/>
      <c r="F129" s="103" t="s">
        <v>72</v>
      </c>
      <c r="G129" s="103"/>
      <c r="H129" s="103" t="s">
        <v>249</v>
      </c>
      <c r="I129" s="103" t="s">
        <v>249</v>
      </c>
      <c r="J129" s="103"/>
      <c r="K129" s="14" t="s">
        <v>73</v>
      </c>
      <c r="L129" s="14" t="s">
        <v>200</v>
      </c>
      <c r="M129" s="14" t="s">
        <v>201</v>
      </c>
      <c r="N129" s="23" t="s">
        <v>76</v>
      </c>
      <c r="O129" s="153">
        <f>VLOOKUP(Tabla1[[#This Row],[Matricula]],BAJA2022202320242025!$B$3:$CR$245,93,FALSE)</f>
        <v>43182</v>
      </c>
      <c r="P129" s="28">
        <v>45008</v>
      </c>
      <c r="Q129" s="162">
        <f>Tabla1[[#This Row],[F.Vig.Final]]-Tabla1[[#This Row],[f Vig Inicio]]</f>
        <v>1826</v>
      </c>
      <c r="R129" s="141">
        <f>YEAR(Tabla1[[#This Row],[F.Vig.Final]])</f>
        <v>2023</v>
      </c>
      <c r="S129" s="25" t="s">
        <v>77</v>
      </c>
      <c r="T129" s="14" t="s">
        <v>674</v>
      </c>
      <c r="U129" s="14" t="s">
        <v>359</v>
      </c>
      <c r="V129" s="14" t="s">
        <v>675</v>
      </c>
      <c r="W129" s="14" t="s">
        <v>204</v>
      </c>
      <c r="X129" s="14" t="s">
        <v>205</v>
      </c>
      <c r="Y129" s="14" t="s">
        <v>232</v>
      </c>
      <c r="Z129" s="16">
        <f>COUNTIF($X$3:X129, X129)</f>
        <v>7</v>
      </c>
      <c r="AA129" s="16" t="s">
        <v>676</v>
      </c>
      <c r="AB129" s="16" t="s">
        <v>140</v>
      </c>
      <c r="AC129" s="16" t="s">
        <v>151</v>
      </c>
      <c r="AD129" s="16" t="s">
        <v>87</v>
      </c>
      <c r="AE129" s="60" t="s">
        <v>230</v>
      </c>
      <c r="AF129" s="28" t="s">
        <v>89</v>
      </c>
      <c r="AG129" s="27">
        <v>45637</v>
      </c>
      <c r="AH129" s="137">
        <f>Tabla1[[#This Row],[Renov. Flota]]-Tabla1[[#This Row],[Año]]</f>
        <v>1</v>
      </c>
      <c r="AI129" s="18" t="s">
        <v>204</v>
      </c>
      <c r="AJ129" s="107" t="str">
        <f>VLOOKUP(Tabla1[[#This Row],[Matricula nueva]],'ALTA 20242025'!$B$2:$P$242,15,FALSE)</f>
        <v>4500424867</v>
      </c>
      <c r="AK129" s="60" t="s">
        <v>205</v>
      </c>
      <c r="AM129" s="1" t="s">
        <v>72</v>
      </c>
      <c r="AN129" s="1" t="s">
        <v>91</v>
      </c>
      <c r="AO129" s="1" t="str">
        <f>VLOOKUP(Tabla1[[#This Row],[Matricula nueva]],Hoja2!$A$1:$B$224,2,FALSE)</f>
        <v>VR7CBZYA6RT153032</v>
      </c>
      <c r="AP129" s="75">
        <f>IF(Tabla1[[#This Row],[Columna2]]="M1",5.1,"")</f>
        <v>5.0999999999999996</v>
      </c>
      <c r="AQ129" s="76">
        <f>IF(T129="DIESEL",10,IF(T129="GLP",7.16,9.19))</f>
        <v>7.16</v>
      </c>
      <c r="AR129" s="77">
        <v>16.399999999999999</v>
      </c>
      <c r="AS129" s="78">
        <f>IF(Tabla1[[#This Row],[Columna2]]="M1",13073,IF(Tabla1[[#This Row],[Columna2]]="N1",15815,IF(Tabla1[[#This Row],[Columna2]]="L3e",2831,53508)))</f>
        <v>13073</v>
      </c>
      <c r="AT129" s="78">
        <f>(Tabla1[[#This Row],[CVA]]*Tabla1[[#This Row],[F]]-Tabla1[[#This Row],[CVN]])/100*Tabla1[[#This Row],[L]]</f>
        <v>2629.7646800000002</v>
      </c>
      <c r="AU129" s="79" t="s">
        <v>70</v>
      </c>
      <c r="AV129" s="294">
        <f>VLOOKUP(B129,Tabla467824[[ID CAE2]:[AE '[kWh']]],6,FALSE)</f>
        <v>3694.6912599999996</v>
      </c>
      <c r="AW12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0" spans="1:49" ht="15.75" hidden="1" thickBot="1" x14ac:dyDescent="0.3">
      <c r="A130" t="s">
        <v>1276</v>
      </c>
      <c r="B130" t="e">
        <f>VLOOKUP(A130,Tabla46782[ID CAE],1,FALSE)</f>
        <v>#N/A</v>
      </c>
      <c r="C130" s="14" t="s">
        <v>1277</v>
      </c>
      <c r="D130" s="14"/>
      <c r="E130" s="14"/>
      <c r="F130" s="14"/>
      <c r="G130" s="14"/>
      <c r="H130" s="14"/>
      <c r="I130" s="14"/>
      <c r="J130" s="14"/>
      <c r="K130" s="14" t="s">
        <v>73</v>
      </c>
      <c r="L130" s="14" t="s">
        <v>200</v>
      </c>
      <c r="M130" s="14" t="s">
        <v>201</v>
      </c>
      <c r="N130" s="14" t="s">
        <v>76</v>
      </c>
      <c r="O130" s="152">
        <f>VLOOKUP(Tabla1[[#This Row],[Matricula]],BAJA2022202320242025!$B$3:$CR$245,93,FALSE)</f>
        <v>44133</v>
      </c>
      <c r="P130" s="15">
        <v>45594</v>
      </c>
      <c r="Q130" s="160">
        <f>Tabla1[[#This Row],[F.Vig.Final]]-Tabla1[[#This Row],[f Vig Inicio]]</f>
        <v>1461</v>
      </c>
      <c r="R130" s="15">
        <f>YEAR(Tabla1[[#This Row],[F.Vig.Final]])</f>
        <v>2024</v>
      </c>
      <c r="S130" s="14" t="s">
        <v>77</v>
      </c>
      <c r="T130" s="14" t="s">
        <v>78</v>
      </c>
      <c r="U130" s="14" t="s">
        <v>213</v>
      </c>
      <c r="V130" s="14" t="s">
        <v>237</v>
      </c>
      <c r="W130" s="14" t="s">
        <v>584</v>
      </c>
      <c r="X130" s="14" t="s">
        <v>585</v>
      </c>
      <c r="Y130" s="14" t="s">
        <v>1278</v>
      </c>
      <c r="Z130" s="16">
        <f>COUNTIF($X$3:X130, X130)</f>
        <v>6</v>
      </c>
      <c r="AA130" s="16" t="e">
        <v>#N/A</v>
      </c>
      <c r="AB130" s="16" t="e">
        <v>#N/A</v>
      </c>
      <c r="AC130" s="16" t="e">
        <v>#N/A</v>
      </c>
      <c r="AD130" s="16" t="e">
        <v>#N/A</v>
      </c>
      <c r="AE130" s="16" t="e">
        <v>#N/A</v>
      </c>
      <c r="AF130" s="15" t="e">
        <v>#N/A</v>
      </c>
      <c r="AG130" s="17" t="e">
        <v>#N/A</v>
      </c>
      <c r="AH130" s="17" t="e">
        <f>Tabla1[[#This Row],[Renov. Flota]]-Tabla1[[#This Row],[Año]]</f>
        <v>#N/A</v>
      </c>
      <c r="AI130" s="18" t="e">
        <v>#N/A</v>
      </c>
      <c r="AJ130" s="18" t="e">
        <f>VLOOKUP(Tabla1[[#This Row],[Matricula nueva]],'ALTA 20242025'!$B$2:$P$242,15,FALSE)</f>
        <v>#N/A</v>
      </c>
      <c r="AK130" s="19" t="e">
        <v>#N/A</v>
      </c>
      <c r="AN130" s="1"/>
      <c r="AO130" s="1" t="e">
        <f>VLOOKUP(Tabla1[[#This Row],[Matricula nueva]],Hoja2!$A$1:$B$224,2,FALSE)</f>
        <v>#N/A</v>
      </c>
      <c r="AP130" s="1" t="str">
        <f>IF(Tabla1[[#This Row],[Columna2]]="M1",5.1,"")</f>
        <v/>
      </c>
      <c r="AQ130" s="1"/>
      <c r="AR130" s="1"/>
      <c r="AS130" s="47">
        <f>IF(Tabla1[[#This Row],[Columna2]]="M1",13073,IF(Tabla1[[#This Row],[Columna2]]="N1",15815,IF(Tabla1[[#This Row],[Columna2]]="L3e",2831,53508)))</f>
        <v>53508</v>
      </c>
      <c r="AT130" s="47" t="e">
        <f>(Tabla1[[#This Row],[CVA]]*Tabla1[[#This Row],[F]]-Tabla1[[#This Row],[CVN]])/100*Tabla1[[#This Row],[L]]</f>
        <v>#VALUE!</v>
      </c>
      <c r="AU130" s="1"/>
      <c r="AV130" s="1" t="e">
        <f>VLOOKUP(B130,Tabla467824[[ID CAE2]:[AE '[kWh']]],6,FALSE)</f>
        <v>#N/A</v>
      </c>
      <c r="AW13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31" spans="1:49" ht="15" x14ac:dyDescent="0.25">
      <c r="A131" s="114" t="s">
        <v>679</v>
      </c>
      <c r="B131" t="str">
        <f>VLOOKUP(A131,Tabla46782[ID CAE],1,FALSE)</f>
        <v>CAE500125</v>
      </c>
      <c r="C131" s="25" t="s">
        <v>680</v>
      </c>
      <c r="D131" s="103" t="s">
        <v>72</v>
      </c>
      <c r="E131" s="103" t="s">
        <v>72</v>
      </c>
      <c r="F131" s="103" t="s">
        <v>72</v>
      </c>
      <c r="G131" s="103"/>
      <c r="H131" s="103" t="s">
        <v>72</v>
      </c>
      <c r="I131" s="103" t="s">
        <v>72</v>
      </c>
      <c r="J131" s="103"/>
      <c r="K131" s="14" t="s">
        <v>73</v>
      </c>
      <c r="L131" s="14" t="s">
        <v>200</v>
      </c>
      <c r="M131" s="14" t="s">
        <v>201</v>
      </c>
      <c r="N131" s="23" t="s">
        <v>76</v>
      </c>
      <c r="O131" s="154">
        <f>VLOOKUP(Tabla1[[#This Row],[Matricula]],BAJA2022202320242025!$B$3:$CR$245,93,FALSE)</f>
        <v>43560</v>
      </c>
      <c r="P131" s="29">
        <v>45021</v>
      </c>
      <c r="Q131" s="161">
        <f>Tabla1[[#This Row],[F.Vig.Final]]-Tabla1[[#This Row],[f Vig Inicio]]</f>
        <v>1461</v>
      </c>
      <c r="R131" s="141">
        <f>YEAR(Tabla1[[#This Row],[F.Vig.Final]])</f>
        <v>2023</v>
      </c>
      <c r="S131" s="25" t="s">
        <v>77</v>
      </c>
      <c r="T131" s="14" t="s">
        <v>674</v>
      </c>
      <c r="U131" s="14" t="s">
        <v>359</v>
      </c>
      <c r="V131" s="14" t="s">
        <v>675</v>
      </c>
      <c r="W131" s="14" t="s">
        <v>204</v>
      </c>
      <c r="X131" s="14" t="s">
        <v>205</v>
      </c>
      <c r="Y131" s="14" t="s">
        <v>682</v>
      </c>
      <c r="Z131" s="16">
        <f>COUNTIF($X$3:X131, X131)</f>
        <v>8</v>
      </c>
      <c r="AA131" s="16" t="s">
        <v>683</v>
      </c>
      <c r="AB131" s="16" t="s">
        <v>140</v>
      </c>
      <c r="AC131" s="16" t="s">
        <v>151</v>
      </c>
      <c r="AD131" s="16" t="s">
        <v>87</v>
      </c>
      <c r="AE131" s="60" t="s">
        <v>232</v>
      </c>
      <c r="AF131" s="29" t="s">
        <v>89</v>
      </c>
      <c r="AG131" s="27">
        <v>45637</v>
      </c>
      <c r="AH131" s="137">
        <f>Tabla1[[#This Row],[Renov. Flota]]-Tabla1[[#This Row],[Año]]</f>
        <v>1</v>
      </c>
      <c r="AI131" s="18" t="s">
        <v>204</v>
      </c>
      <c r="AJ131" s="107" t="str">
        <f>VLOOKUP(Tabla1[[#This Row],[Matricula nueva]],'ALTA 20242025'!$B$2:$P$242,15,FALSE)</f>
        <v>4500424886</v>
      </c>
      <c r="AK131" s="60" t="s">
        <v>205</v>
      </c>
      <c r="AM131" s="1" t="s">
        <v>72</v>
      </c>
      <c r="AN131" s="1" t="s">
        <v>91</v>
      </c>
      <c r="AO131" s="1" t="str">
        <f>VLOOKUP(Tabla1[[#This Row],[Matricula nueva]],Hoja2!$A$1:$B$224,2,FALSE)</f>
        <v>VR7CBZYA2RT153027</v>
      </c>
      <c r="AP131" s="65">
        <f>IF(Tabla1[[#This Row],[Columna2]]="M1",5.1,"")</f>
        <v>5.0999999999999996</v>
      </c>
      <c r="AQ131" s="66">
        <f t="shared" ref="AQ131:AQ140" si="5">IF(T131="DIESEL",10,IF(T131="GLP",7.16,9.19))</f>
        <v>7.16</v>
      </c>
      <c r="AR131" s="67">
        <v>16.399999999999999</v>
      </c>
      <c r="AS131" s="68">
        <f>IF(Tabla1[[#This Row],[Columna2]]="M1",13073,IF(Tabla1[[#This Row],[Columna2]]="N1",15815,IF(Tabla1[[#This Row],[Columna2]]="L3e",2831,53508)))</f>
        <v>13073</v>
      </c>
      <c r="AT131" s="68">
        <f>(Tabla1[[#This Row],[CVA]]*Tabla1[[#This Row],[F]]-Tabla1[[#This Row],[CVN]])/100*Tabla1[[#This Row],[L]]</f>
        <v>2629.7646800000002</v>
      </c>
      <c r="AU131" s="69" t="s">
        <v>70</v>
      </c>
      <c r="AV131" s="294">
        <f>VLOOKUP(B131,Tabla467824[[ID CAE2]:[AE '[kWh']]],6,FALSE)</f>
        <v>3694.6912599999996</v>
      </c>
      <c r="AW13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2" spans="1:49" ht="15" x14ac:dyDescent="0.25">
      <c r="A132" s="114" t="s">
        <v>686</v>
      </c>
      <c r="B132" t="str">
        <f>VLOOKUP(A132,Tabla46782[ID CAE],1,FALSE)</f>
        <v>CAE500126</v>
      </c>
      <c r="C132" s="25" t="s">
        <v>687</v>
      </c>
      <c r="D132" s="103" t="s">
        <v>72</v>
      </c>
      <c r="E132" s="103" t="s">
        <v>72</v>
      </c>
      <c r="F132" s="103"/>
      <c r="G132" s="103" t="s">
        <v>72</v>
      </c>
      <c r="H132" s="103" t="s">
        <v>72</v>
      </c>
      <c r="I132" s="103" t="s">
        <v>72</v>
      </c>
      <c r="J132" s="103"/>
      <c r="K132" s="14" t="s">
        <v>73</v>
      </c>
      <c r="L132" s="14" t="s">
        <v>200</v>
      </c>
      <c r="M132" s="14" t="s">
        <v>201</v>
      </c>
      <c r="N132" s="23" t="s">
        <v>160</v>
      </c>
      <c r="O132" s="151">
        <f>VLOOKUP(Tabla1[[#This Row],[Matricula]],BAJA2022202320242025!$B$3:$CR$245,93,FALSE)</f>
        <v>43685</v>
      </c>
      <c r="P132" s="24">
        <v>45512</v>
      </c>
      <c r="Q132" s="159">
        <f>Tabla1[[#This Row],[F.Vig.Final]]-Tabla1[[#This Row],[f Vig Inicio]]</f>
        <v>1827</v>
      </c>
      <c r="R132" s="141">
        <f>YEAR(Tabla1[[#This Row],[F.Vig.Final]])</f>
        <v>2024</v>
      </c>
      <c r="S132" s="25" t="s">
        <v>161</v>
      </c>
      <c r="T132" s="14" t="s">
        <v>78</v>
      </c>
      <c r="U132" s="14" t="s">
        <v>359</v>
      </c>
      <c r="V132" s="14" t="s">
        <v>688</v>
      </c>
      <c r="W132" s="14" t="s">
        <v>689</v>
      </c>
      <c r="X132" s="14" t="s">
        <v>690</v>
      </c>
      <c r="Y132" s="14" t="s">
        <v>691</v>
      </c>
      <c r="Z132" s="16">
        <f>COUNTIF($X$3:X132, X132)</f>
        <v>1</v>
      </c>
      <c r="AA132" s="16" t="s">
        <v>692</v>
      </c>
      <c r="AB132" s="16" t="s">
        <v>85</v>
      </c>
      <c r="AC132" s="16" t="s">
        <v>340</v>
      </c>
      <c r="AD132" s="16" t="s">
        <v>87</v>
      </c>
      <c r="AE132" s="60" t="s">
        <v>691</v>
      </c>
      <c r="AF132" s="24" t="s">
        <v>108</v>
      </c>
      <c r="AG132" s="27">
        <v>43019</v>
      </c>
      <c r="AH132" s="137">
        <f>Tabla1[[#This Row],[Renov. Flota]]-Tabla1[[#This Row],[Año]]</f>
        <v>-1</v>
      </c>
      <c r="AI132" s="18" t="s">
        <v>689</v>
      </c>
      <c r="AJ132" s="109">
        <v>4500349877</v>
      </c>
      <c r="AK132" s="60" t="s">
        <v>690</v>
      </c>
      <c r="AN132" s="1" t="s">
        <v>109</v>
      </c>
      <c r="AO132" s="1" t="s">
        <v>693</v>
      </c>
      <c r="AP132" s="70">
        <f>IF(Tabla1[[#This Row],[Columna2]]="M1",5.1,"")</f>
        <v>5.0999999999999996</v>
      </c>
      <c r="AQ132" s="71">
        <f t="shared" si="5"/>
        <v>10</v>
      </c>
      <c r="AR132" s="72">
        <v>13.3</v>
      </c>
      <c r="AS132" s="73">
        <f>IF(Tabla1[[#This Row],[Columna2]]="M1",13073,IF(Tabla1[[#This Row],[Columna2]]="N1",15815,IF(Tabla1[[#This Row],[Columna2]]="L3e",2831,53508)))</f>
        <v>13073</v>
      </c>
      <c r="AT132" s="73">
        <f>(Tabla1[[#This Row],[CVA]]*Tabla1[[#This Row],[F]]-Tabla1[[#This Row],[CVN]])/100*Tabla1[[#This Row],[L]]</f>
        <v>4928.5209999999997</v>
      </c>
      <c r="AU132" s="74" t="s">
        <v>70</v>
      </c>
      <c r="AV132" s="294">
        <f>VLOOKUP(B132,Tabla467824[[ID CAE2]:[AE '[kWh']]],6,FALSE)</f>
        <v>6795.3454000000002</v>
      </c>
      <c r="AW13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33" spans="1:49" ht="15" x14ac:dyDescent="0.25">
      <c r="A133" s="114" t="s">
        <v>694</v>
      </c>
      <c r="B133" t="str">
        <f>VLOOKUP(A133,Tabla46782[ID CAE],1,FALSE)</f>
        <v>CAE500127</v>
      </c>
      <c r="C133" s="25" t="s">
        <v>695</v>
      </c>
      <c r="D133" s="103" t="s">
        <v>72</v>
      </c>
      <c r="E133" s="103" t="s">
        <v>72</v>
      </c>
      <c r="F133" s="103" t="s">
        <v>72</v>
      </c>
      <c r="G133" s="103"/>
      <c r="H133" s="103" t="s">
        <v>72</v>
      </c>
      <c r="I133" s="103" t="s">
        <v>72</v>
      </c>
      <c r="J133" s="103"/>
      <c r="K133" s="14" t="s">
        <v>73</v>
      </c>
      <c r="L133" s="14" t="s">
        <v>74</v>
      </c>
      <c r="M133" s="14" t="s">
        <v>75</v>
      </c>
      <c r="N133" s="23" t="s">
        <v>76</v>
      </c>
      <c r="O133" s="155">
        <f>VLOOKUP(Tabla1[[#This Row],[Matricula]],BAJA2022202320242025!$B$3:$CR$245,93,FALSE)</f>
        <v>45447</v>
      </c>
      <c r="P133" s="163">
        <v>45516</v>
      </c>
      <c r="Q133" s="164">
        <f>Tabla1[[#This Row],[F.Vig.Final]]-Tabla1[[#This Row],[f Vig Inicio]]</f>
        <v>69</v>
      </c>
      <c r="R133" s="141">
        <f>YEAR(Tabla1[[#This Row],[F.Vig.Final]])</f>
        <v>2024</v>
      </c>
      <c r="S133" s="25" t="s">
        <v>77</v>
      </c>
      <c r="T133" s="14" t="s">
        <v>78</v>
      </c>
      <c r="U133" s="14" t="s">
        <v>85</v>
      </c>
      <c r="V133" s="14" t="s">
        <v>642</v>
      </c>
      <c r="W133" s="14" t="s">
        <v>102</v>
      </c>
      <c r="X133" s="14" t="s">
        <v>103</v>
      </c>
      <c r="Y133" s="14" t="s">
        <v>696</v>
      </c>
      <c r="Z133" s="16">
        <f>COUNTIF($X$3:X133, X133)</f>
        <v>25</v>
      </c>
      <c r="AA133" s="16" t="s">
        <v>697</v>
      </c>
      <c r="AB133" s="16" t="s">
        <v>85</v>
      </c>
      <c r="AC133" s="16" t="s">
        <v>86</v>
      </c>
      <c r="AD133" s="16" t="s">
        <v>87</v>
      </c>
      <c r="AE133" s="60" t="s">
        <v>698</v>
      </c>
      <c r="AF133" s="24" t="s">
        <v>89</v>
      </c>
      <c r="AG133" s="27">
        <v>45625</v>
      </c>
      <c r="AH133" s="137">
        <f>Tabla1[[#This Row],[Renov. Flota]]-Tabla1[[#This Row],[Año]]</f>
        <v>0</v>
      </c>
      <c r="AI133" s="18" t="s">
        <v>102</v>
      </c>
      <c r="AJ133" s="107" t="str">
        <f>VLOOKUP(Tabla1[[#This Row],[Matricula nueva]],'ALTA 20242025'!$B$2:$P$242,15,FALSE)</f>
        <v>4500426784</v>
      </c>
      <c r="AK133" s="60" t="s">
        <v>103</v>
      </c>
      <c r="AM133" s="1" t="s">
        <v>72</v>
      </c>
      <c r="AN133" s="1" t="s">
        <v>109</v>
      </c>
      <c r="AO133" s="1" t="str">
        <f>VLOOKUP(Tabla1[[#This Row],[Matricula nueva]],Hoja2!$A$1:$B$224,2,FALSE)</f>
        <v>VF1RFK00973824801</v>
      </c>
      <c r="AP133" s="70">
        <v>5.6</v>
      </c>
      <c r="AQ133" s="71">
        <f t="shared" si="5"/>
        <v>10</v>
      </c>
      <c r="AR133" s="72">
        <v>17.3</v>
      </c>
      <c r="AS133" s="73">
        <f>IF(Tabla1[[#This Row],[Columna2]]="M1",13073,IF(Tabla1[[#This Row],[Columna2]]="N1",15815,IF(Tabla1[[#This Row],[Columna2]]="L3e",2831,53508)))</f>
        <v>15815</v>
      </c>
      <c r="AT133" s="73">
        <f>(Tabla1[[#This Row],[CVA]]*Tabla1[[#This Row],[F]]-Tabla1[[#This Row],[CVN]])/100*Tabla1[[#This Row],[L]]</f>
        <v>6120.4049999999997</v>
      </c>
      <c r="AU133" s="74" t="s">
        <v>128</v>
      </c>
      <c r="AV133" s="294">
        <f>VLOOKUP(B133,Tabla467824[[ID CAE2]:[AE '[kWh']]],6,FALSE)</f>
        <v>5607.9989999999989</v>
      </c>
      <c r="AW13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4" spans="1:49" ht="15" x14ac:dyDescent="0.25">
      <c r="A134" s="114" t="s">
        <v>701</v>
      </c>
      <c r="B134" t="str">
        <f>VLOOKUP(A134,Tabla46782[ID CAE],1,FALSE)</f>
        <v>CAE500128</v>
      </c>
      <c r="C134" s="25" t="s">
        <v>702</v>
      </c>
      <c r="D134" s="103" t="s">
        <v>72</v>
      </c>
      <c r="E134" s="103" t="s">
        <v>72</v>
      </c>
      <c r="F134" s="103" t="s">
        <v>72</v>
      </c>
      <c r="G134" s="103"/>
      <c r="H134" s="103" t="s">
        <v>72</v>
      </c>
      <c r="I134" s="103" t="s">
        <v>72</v>
      </c>
      <c r="J134" s="103"/>
      <c r="K134" s="14" t="s">
        <v>73</v>
      </c>
      <c r="L134" s="14" t="s">
        <v>74</v>
      </c>
      <c r="M134" s="14" t="s">
        <v>75</v>
      </c>
      <c r="N134" s="23" t="s">
        <v>76</v>
      </c>
      <c r="O134" s="155">
        <f>VLOOKUP(Tabla1[[#This Row],[Matricula]],BAJA2022202320242025!$B$3:$CR$245,93,FALSE)</f>
        <v>45447</v>
      </c>
      <c r="P134" s="163">
        <v>45516</v>
      </c>
      <c r="Q134" s="164">
        <f>Tabla1[[#This Row],[F.Vig.Final]]-Tabla1[[#This Row],[f Vig Inicio]]</f>
        <v>69</v>
      </c>
      <c r="R134" s="141">
        <f>YEAR(Tabla1[[#This Row],[F.Vig.Final]])</f>
        <v>2024</v>
      </c>
      <c r="S134" s="25" t="s">
        <v>77</v>
      </c>
      <c r="T134" s="14" t="s">
        <v>78</v>
      </c>
      <c r="U134" s="14" t="s">
        <v>85</v>
      </c>
      <c r="V134" s="14" t="s">
        <v>642</v>
      </c>
      <c r="W134" s="14" t="s">
        <v>102</v>
      </c>
      <c r="X134" s="14" t="s">
        <v>103</v>
      </c>
      <c r="Y134" s="14" t="s">
        <v>696</v>
      </c>
      <c r="Z134" s="16">
        <f>COUNTIF($X$3:X134, X134)</f>
        <v>26</v>
      </c>
      <c r="AA134" s="16" t="s">
        <v>703</v>
      </c>
      <c r="AB134" s="16" t="s">
        <v>85</v>
      </c>
      <c r="AC134" s="16" t="s">
        <v>86</v>
      </c>
      <c r="AD134" s="16" t="s">
        <v>87</v>
      </c>
      <c r="AE134" s="60" t="s">
        <v>579</v>
      </c>
      <c r="AF134" s="24" t="s">
        <v>89</v>
      </c>
      <c r="AG134" s="27">
        <v>45625</v>
      </c>
      <c r="AH134" s="137">
        <f>Tabla1[[#This Row],[Renov. Flota]]-Tabla1[[#This Row],[Año]]</f>
        <v>0</v>
      </c>
      <c r="AI134" s="18" t="s">
        <v>102</v>
      </c>
      <c r="AJ134" s="107" t="str">
        <f>VLOOKUP(Tabla1[[#This Row],[Matricula nueva]],'ALTA 20242025'!$B$2:$P$242,15,FALSE)</f>
        <v>4500426757</v>
      </c>
      <c r="AK134" s="60" t="s">
        <v>103</v>
      </c>
      <c r="AM134" s="1" t="s">
        <v>72</v>
      </c>
      <c r="AN134" s="1" t="s">
        <v>109</v>
      </c>
      <c r="AO134" s="1" t="str">
        <f>VLOOKUP(Tabla1[[#This Row],[Matricula nueva]],Hoja2!$A$1:$B$224,2,FALSE)</f>
        <v>VF1RFK00073824783</v>
      </c>
      <c r="AP134" s="70">
        <v>5.6</v>
      </c>
      <c r="AQ134" s="71">
        <f t="shared" si="5"/>
        <v>10</v>
      </c>
      <c r="AR134" s="72">
        <v>17.3</v>
      </c>
      <c r="AS134" s="73">
        <f>IF(Tabla1[[#This Row],[Columna2]]="M1",13073,IF(Tabla1[[#This Row],[Columna2]]="N1",15815,IF(Tabla1[[#This Row],[Columna2]]="L3e",2831,53508)))</f>
        <v>15815</v>
      </c>
      <c r="AT134" s="73">
        <f>(Tabla1[[#This Row],[CVA]]*Tabla1[[#This Row],[F]]-Tabla1[[#This Row],[CVN]])/100*Tabla1[[#This Row],[L]]</f>
        <v>6120.4049999999997</v>
      </c>
      <c r="AU134" s="74" t="s">
        <v>128</v>
      </c>
      <c r="AV134" s="294">
        <f>VLOOKUP(B134,Tabla467824[[ID CAE2]:[AE '[kWh']]],6,FALSE)</f>
        <v>5607.9989999999989</v>
      </c>
      <c r="AW13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5" spans="1:49" ht="15" x14ac:dyDescent="0.25">
      <c r="A135" s="114" t="s">
        <v>706</v>
      </c>
      <c r="B135" t="str">
        <f>VLOOKUP(A135,Tabla46782[ID CAE],1,FALSE)</f>
        <v>CAE500129</v>
      </c>
      <c r="C135" s="25" t="s">
        <v>707</v>
      </c>
      <c r="D135" s="103" t="s">
        <v>72</v>
      </c>
      <c r="E135" s="103" t="s">
        <v>72</v>
      </c>
      <c r="F135" s="103" t="s">
        <v>72</v>
      </c>
      <c r="G135" s="103"/>
      <c r="H135" s="103" t="s">
        <v>72</v>
      </c>
      <c r="I135" s="103" t="s">
        <v>72</v>
      </c>
      <c r="J135" s="103"/>
      <c r="K135" s="14" t="s">
        <v>73</v>
      </c>
      <c r="L135" s="14" t="s">
        <v>74</v>
      </c>
      <c r="M135" s="14" t="s">
        <v>75</v>
      </c>
      <c r="N135" s="23" t="s">
        <v>76</v>
      </c>
      <c r="O135" s="155">
        <f>VLOOKUP(Tabla1[[#This Row],[Matricula]],BAJA2022202320242025!$B$3:$CR$245,93,FALSE)</f>
        <v>45447</v>
      </c>
      <c r="P135" s="163">
        <v>45516</v>
      </c>
      <c r="Q135" s="164">
        <f>Tabla1[[#This Row],[F.Vig.Final]]-Tabla1[[#This Row],[f Vig Inicio]]</f>
        <v>69</v>
      </c>
      <c r="R135" s="141">
        <f>YEAR(Tabla1[[#This Row],[F.Vig.Final]])</f>
        <v>2024</v>
      </c>
      <c r="S135" s="25" t="s">
        <v>77</v>
      </c>
      <c r="T135" s="14" t="s">
        <v>78</v>
      </c>
      <c r="U135" s="14" t="s">
        <v>85</v>
      </c>
      <c r="V135" s="14" t="s">
        <v>642</v>
      </c>
      <c r="W135" s="14" t="s">
        <v>102</v>
      </c>
      <c r="X135" s="14" t="s">
        <v>103</v>
      </c>
      <c r="Y135" s="14" t="s">
        <v>696</v>
      </c>
      <c r="Z135" s="16">
        <f>COUNTIF($X$3:X135, X135)</f>
        <v>27</v>
      </c>
      <c r="AA135" s="16" t="s">
        <v>708</v>
      </c>
      <c r="AB135" s="16" t="s">
        <v>85</v>
      </c>
      <c r="AC135" s="16" t="s">
        <v>86</v>
      </c>
      <c r="AD135" s="16" t="s">
        <v>87</v>
      </c>
      <c r="AE135" s="60" t="s">
        <v>579</v>
      </c>
      <c r="AF135" s="24" t="s">
        <v>89</v>
      </c>
      <c r="AG135" s="27">
        <v>45625</v>
      </c>
      <c r="AH135" s="137">
        <f>Tabla1[[#This Row],[Renov. Flota]]-Tabla1[[#This Row],[Año]]</f>
        <v>0</v>
      </c>
      <c r="AI135" s="18" t="s">
        <v>102</v>
      </c>
      <c r="AJ135" s="107" t="str">
        <f>VLOOKUP(Tabla1[[#This Row],[Matricula nueva]],'ALTA 20242025'!$B$2:$P$242,15,FALSE)</f>
        <v>4500426788</v>
      </c>
      <c r="AK135" s="60" t="s">
        <v>103</v>
      </c>
      <c r="AM135" s="1" t="s">
        <v>72</v>
      </c>
      <c r="AN135" s="1" t="s">
        <v>109</v>
      </c>
      <c r="AO135" s="1" t="str">
        <f>VLOOKUP(Tabla1[[#This Row],[Matricula nueva]],Hoja2!$A$1:$B$224,2,FALSE)</f>
        <v>VF1RFK00673824805</v>
      </c>
      <c r="AP135" s="70">
        <v>5.6</v>
      </c>
      <c r="AQ135" s="71">
        <f t="shared" si="5"/>
        <v>10</v>
      </c>
      <c r="AR135" s="72">
        <v>17.3</v>
      </c>
      <c r="AS135" s="73">
        <f>IF(Tabla1[[#This Row],[Columna2]]="M1",13073,IF(Tabla1[[#This Row],[Columna2]]="N1",15815,IF(Tabla1[[#This Row],[Columna2]]="L3e",2831,53508)))</f>
        <v>15815</v>
      </c>
      <c r="AT135" s="73">
        <f>(Tabla1[[#This Row],[CVA]]*Tabla1[[#This Row],[F]]-Tabla1[[#This Row],[CVN]])/100*Tabla1[[#This Row],[L]]</f>
        <v>6120.4049999999997</v>
      </c>
      <c r="AU135" s="74" t="s">
        <v>128</v>
      </c>
      <c r="AV135" s="294">
        <f>VLOOKUP(B135,Tabla467824[[ID CAE2]:[AE '[kWh']]],6,FALSE)</f>
        <v>5607.9989999999989</v>
      </c>
      <c r="AW13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6" spans="1:49" ht="15" x14ac:dyDescent="0.25">
      <c r="A136" s="114" t="s">
        <v>711</v>
      </c>
      <c r="B136" t="str">
        <f>VLOOKUP(A136,Tabla46782[ID CAE],1,FALSE)</f>
        <v>CAE500130</v>
      </c>
      <c r="C136" s="25" t="s">
        <v>712</v>
      </c>
      <c r="D136" s="103" t="s">
        <v>72</v>
      </c>
      <c r="E136" s="103" t="s">
        <v>72</v>
      </c>
      <c r="F136" s="103" t="s">
        <v>72</v>
      </c>
      <c r="G136" s="103"/>
      <c r="H136" s="103" t="s">
        <v>72</v>
      </c>
      <c r="I136" s="103" t="s">
        <v>72</v>
      </c>
      <c r="J136" s="103"/>
      <c r="K136" s="14" t="s">
        <v>73</v>
      </c>
      <c r="L136" s="14" t="s">
        <v>74</v>
      </c>
      <c r="M136" s="14" t="s">
        <v>75</v>
      </c>
      <c r="N136" s="23" t="s">
        <v>76</v>
      </c>
      <c r="O136" s="155">
        <f>VLOOKUP(Tabla1[[#This Row],[Matricula]],BAJA2022202320242025!$B$3:$CR$245,93,FALSE)</f>
        <v>45447</v>
      </c>
      <c r="P136" s="163">
        <v>45656</v>
      </c>
      <c r="Q136" s="164">
        <f>Tabla1[[#This Row],[F.Vig.Final]]-Tabla1[[#This Row],[f Vig Inicio]]</f>
        <v>209</v>
      </c>
      <c r="R136" s="141">
        <f>YEAR(Tabla1[[#This Row],[F.Vig.Final]])</f>
        <v>2024</v>
      </c>
      <c r="S136" s="25" t="s">
        <v>77</v>
      </c>
      <c r="T136" s="14" t="s">
        <v>78</v>
      </c>
      <c r="U136" s="14" t="s">
        <v>85</v>
      </c>
      <c r="V136" s="14" t="s">
        <v>642</v>
      </c>
      <c r="W136" s="14" t="s">
        <v>102</v>
      </c>
      <c r="X136" s="14" t="s">
        <v>103</v>
      </c>
      <c r="Y136" s="14" t="s">
        <v>696</v>
      </c>
      <c r="Z136" s="16">
        <f>COUNTIF($X$3:X136, X136)</f>
        <v>28</v>
      </c>
      <c r="AA136" s="16" t="s">
        <v>713</v>
      </c>
      <c r="AB136" s="16" t="s">
        <v>85</v>
      </c>
      <c r="AC136" s="16" t="s">
        <v>86</v>
      </c>
      <c r="AD136" s="16" t="s">
        <v>87</v>
      </c>
      <c r="AE136" s="60" t="s">
        <v>714</v>
      </c>
      <c r="AF136" s="24" t="s">
        <v>89</v>
      </c>
      <c r="AG136" s="27">
        <v>45625</v>
      </c>
      <c r="AH136" s="137">
        <f>Tabla1[[#This Row],[Renov. Flota]]-Tabla1[[#This Row],[Año]]</f>
        <v>0</v>
      </c>
      <c r="AI136" s="18" t="s">
        <v>102</v>
      </c>
      <c r="AJ136" s="107" t="str">
        <f>VLOOKUP(Tabla1[[#This Row],[Matricula nueva]],'ALTA 20242025'!$B$2:$P$242,15,FALSE)</f>
        <v>4500426773</v>
      </c>
      <c r="AK136" s="60" t="s">
        <v>103</v>
      </c>
      <c r="AM136" s="1" t="s">
        <v>72</v>
      </c>
      <c r="AN136" s="1" t="s">
        <v>109</v>
      </c>
      <c r="AO136" s="1" t="str">
        <f>VLOOKUP(Tabla1[[#This Row],[Matricula nueva]],Hoja2!$A$1:$B$224,2,FALSE)</f>
        <v>VF1RFK00573824794</v>
      </c>
      <c r="AP136" s="70">
        <v>5.6</v>
      </c>
      <c r="AQ136" s="71">
        <f t="shared" si="5"/>
        <v>10</v>
      </c>
      <c r="AR136" s="72">
        <v>17.3</v>
      </c>
      <c r="AS136" s="73">
        <f>IF(Tabla1[[#This Row],[Columna2]]="M1",13073,IF(Tabla1[[#This Row],[Columna2]]="N1",15815,IF(Tabla1[[#This Row],[Columna2]]="L3e",2831,53508)))</f>
        <v>15815</v>
      </c>
      <c r="AT136" s="73">
        <f>(Tabla1[[#This Row],[CVA]]*Tabla1[[#This Row],[F]]-Tabla1[[#This Row],[CVN]])/100*Tabla1[[#This Row],[L]]</f>
        <v>6120.4049999999997</v>
      </c>
      <c r="AU136" s="74" t="s">
        <v>128</v>
      </c>
      <c r="AV136" s="294">
        <f>VLOOKUP(B136,Tabla467824[[ID CAE2]:[AE '[kWh']]],6,FALSE)</f>
        <v>5607.9989999999989</v>
      </c>
      <c r="AW13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7" spans="1:49" ht="15" x14ac:dyDescent="0.25">
      <c r="A137" s="114" t="s">
        <v>717</v>
      </c>
      <c r="B137" t="str">
        <f>VLOOKUP(A137,Tabla46782[ID CAE],1,FALSE)</f>
        <v>CAE500131</v>
      </c>
      <c r="C137" s="25" t="s">
        <v>718</v>
      </c>
      <c r="D137" s="103" t="s">
        <v>72</v>
      </c>
      <c r="E137" s="103"/>
      <c r="F137" s="103" t="s">
        <v>72</v>
      </c>
      <c r="G137" s="103"/>
      <c r="H137" s="103" t="s">
        <v>72</v>
      </c>
      <c r="I137" s="103" t="s">
        <v>72</v>
      </c>
      <c r="J137" s="103"/>
      <c r="K137" s="14" t="s">
        <v>73</v>
      </c>
      <c r="L137" s="14" t="s">
        <v>74</v>
      </c>
      <c r="M137" s="14" t="s">
        <v>75</v>
      </c>
      <c r="N137" s="23" t="s">
        <v>76</v>
      </c>
      <c r="O137" s="155">
        <f>VLOOKUP(Tabla1[[#This Row],[Matricula]],BAJA2022202320242025!$B$3:$CR$245,93,FALSE)</f>
        <v>45505</v>
      </c>
      <c r="P137" s="163">
        <v>45657</v>
      </c>
      <c r="Q137" s="164">
        <f>Tabla1[[#This Row],[F.Vig.Final]]-Tabla1[[#This Row],[f Vig Inicio]]</f>
        <v>152</v>
      </c>
      <c r="R137" s="141">
        <f>YEAR(Tabla1[[#This Row],[F.Vig.Final]])</f>
        <v>2024</v>
      </c>
      <c r="S137" s="25" t="s">
        <v>77</v>
      </c>
      <c r="T137" s="14" t="s">
        <v>78</v>
      </c>
      <c r="U137" s="14" t="s">
        <v>85</v>
      </c>
      <c r="V137" s="14" t="s">
        <v>642</v>
      </c>
      <c r="W137" s="14" t="s">
        <v>102</v>
      </c>
      <c r="X137" s="14" t="s">
        <v>103</v>
      </c>
      <c r="Y137" s="14" t="s">
        <v>719</v>
      </c>
      <c r="Z137" s="16">
        <f>COUNTIF($X$3:X137, X137)</f>
        <v>29</v>
      </c>
      <c r="AA137" s="16" t="s">
        <v>720</v>
      </c>
      <c r="AB137" s="16" t="s">
        <v>85</v>
      </c>
      <c r="AC137" s="16" t="s">
        <v>86</v>
      </c>
      <c r="AD137" s="16" t="s">
        <v>87</v>
      </c>
      <c r="AE137" s="60" t="s">
        <v>301</v>
      </c>
      <c r="AF137" s="24" t="s">
        <v>89</v>
      </c>
      <c r="AG137" s="27">
        <v>45625</v>
      </c>
      <c r="AH137" s="137">
        <f>Tabla1[[#This Row],[Renov. Flota]]-Tabla1[[#This Row],[Año]]</f>
        <v>0</v>
      </c>
      <c r="AI137" s="18" t="s">
        <v>102</v>
      </c>
      <c r="AJ137" s="107" t="str">
        <f>VLOOKUP(Tabla1[[#This Row],[Matricula nueva]],'ALTA 20242025'!$B$2:$P$242,15,FALSE)</f>
        <v>4500426845</v>
      </c>
      <c r="AK137" s="60" t="s">
        <v>103</v>
      </c>
      <c r="AM137" s="1" t="s">
        <v>72</v>
      </c>
      <c r="AN137" s="1" t="s">
        <v>109</v>
      </c>
      <c r="AO137" s="1" t="str">
        <f>VLOOKUP(Tabla1[[#This Row],[Matricula nueva]],Hoja2!$A$1:$B$224,2,FALSE)</f>
        <v>VF1RFK00X73824807</v>
      </c>
      <c r="AP137" s="70">
        <v>5.6</v>
      </c>
      <c r="AQ137" s="71">
        <f t="shared" si="5"/>
        <v>10</v>
      </c>
      <c r="AR137" s="72">
        <v>17.3</v>
      </c>
      <c r="AS137" s="73">
        <f>IF(Tabla1[[#This Row],[Columna2]]="M1",13073,IF(Tabla1[[#This Row],[Columna2]]="N1",15815,IF(Tabla1[[#This Row],[Columna2]]="L3e",2831,53508)))</f>
        <v>15815</v>
      </c>
      <c r="AT137" s="73">
        <f>(Tabla1[[#This Row],[CVA]]*Tabla1[[#This Row],[F]]-Tabla1[[#This Row],[CVN]])/100*Tabla1[[#This Row],[L]]</f>
        <v>6120.4049999999997</v>
      </c>
      <c r="AU137" s="74" t="s">
        <v>128</v>
      </c>
      <c r="AV137" s="294">
        <f>VLOOKUP(B137,Tabla467824[[ID CAE2]:[AE '[kWh']]],6,FALSE)</f>
        <v>5607.9989999999989</v>
      </c>
      <c r="AW13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8" spans="1:49" ht="15" x14ac:dyDescent="0.25">
      <c r="A138" s="114" t="s">
        <v>723</v>
      </c>
      <c r="B138" t="str">
        <f>VLOOKUP(A138,Tabla46782[ID CAE],1,FALSE)</f>
        <v>CAE500132</v>
      </c>
      <c r="C138" s="25" t="s">
        <v>724</v>
      </c>
      <c r="D138" s="103" t="s">
        <v>72</v>
      </c>
      <c r="E138" s="103" t="s">
        <v>72</v>
      </c>
      <c r="F138" s="103" t="s">
        <v>72</v>
      </c>
      <c r="G138" s="103"/>
      <c r="H138" s="103" t="s">
        <v>249</v>
      </c>
      <c r="I138" s="103" t="s">
        <v>249</v>
      </c>
      <c r="J138" s="103"/>
      <c r="K138" s="14" t="s">
        <v>725</v>
      </c>
      <c r="L138" s="14" t="s">
        <v>74</v>
      </c>
      <c r="M138" s="14" t="s">
        <v>75</v>
      </c>
      <c r="N138" s="23" t="s">
        <v>76</v>
      </c>
      <c r="O138" s="155">
        <f>VLOOKUP(Tabla1[[#This Row],[Matricula]],BAJA2022202320242025!$B$3:$CR$245,93,FALSE)</f>
        <v>44958</v>
      </c>
      <c r="P138" s="163">
        <v>45107</v>
      </c>
      <c r="Q138" s="164">
        <f>Tabla1[[#This Row],[F.Vig.Final]]-Tabla1[[#This Row],[f Vig Inicio]]</f>
        <v>149</v>
      </c>
      <c r="R138" s="141">
        <f>YEAR(Tabla1[[#This Row],[F.Vig.Final]])</f>
        <v>2023</v>
      </c>
      <c r="S138" s="25" t="s">
        <v>77</v>
      </c>
      <c r="T138" s="14" t="s">
        <v>78</v>
      </c>
      <c r="U138" s="14" t="s">
        <v>726</v>
      </c>
      <c r="V138" s="14" t="s">
        <v>727</v>
      </c>
      <c r="W138" s="14" t="s">
        <v>102</v>
      </c>
      <c r="X138" s="14" t="s">
        <v>103</v>
      </c>
      <c r="Y138" s="14" t="s">
        <v>440</v>
      </c>
      <c r="Z138" s="16">
        <f>COUNTIF($X$3:X138, X138)</f>
        <v>30</v>
      </c>
      <c r="AA138" s="16" t="s">
        <v>728</v>
      </c>
      <c r="AB138" s="16" t="s">
        <v>359</v>
      </c>
      <c r="AC138" s="16" t="s">
        <v>452</v>
      </c>
      <c r="AD138" s="16" t="s">
        <v>87</v>
      </c>
      <c r="AE138" s="60" t="s">
        <v>115</v>
      </c>
      <c r="AF138" s="24" t="s">
        <v>108</v>
      </c>
      <c r="AG138" s="27">
        <v>45051</v>
      </c>
      <c r="AH138" s="137">
        <f>Tabla1[[#This Row],[Renov. Flota]]-Tabla1[[#This Row],[Año]]</f>
        <v>0</v>
      </c>
      <c r="AI138" s="18" t="s">
        <v>102</v>
      </c>
      <c r="AJ138" s="109">
        <v>4500351860</v>
      </c>
      <c r="AK138" s="60" t="s">
        <v>103</v>
      </c>
      <c r="AM138" s="1" t="s">
        <v>72</v>
      </c>
      <c r="AN138" s="1" t="s">
        <v>109</v>
      </c>
      <c r="AO138" s="1" t="s">
        <v>729</v>
      </c>
      <c r="AP138" s="70">
        <v>5.6</v>
      </c>
      <c r="AQ138" s="71">
        <f t="shared" si="5"/>
        <v>10</v>
      </c>
      <c r="AR138" s="72">
        <v>28.1</v>
      </c>
      <c r="AS138" s="73">
        <f>IF(Tabla1[[#This Row],[Columna2]]="M1",13073,IF(Tabla1[[#This Row],[Columna2]]="N1",15815,IF(Tabla1[[#This Row],[Columna2]]="L3e",2831,53508)))</f>
        <v>15815</v>
      </c>
      <c r="AT138" s="73">
        <f>(Tabla1[[#This Row],[CVA]]*Tabla1[[#This Row],[F]]-Tabla1[[#This Row],[CVN]])/100*Tabla1[[#This Row],[L]]</f>
        <v>4412.3849999999993</v>
      </c>
      <c r="AU138" s="74" t="s">
        <v>128</v>
      </c>
      <c r="AV138" s="294">
        <f>VLOOKUP(B138,Tabla467824[[ID CAE2]:[AE '[kWh']]],6,FALSE)</f>
        <v>5607.9989999999989</v>
      </c>
      <c r="AW13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39" spans="1:49" ht="15" x14ac:dyDescent="0.25">
      <c r="A139" s="114" t="s">
        <v>730</v>
      </c>
      <c r="B139" t="str">
        <f>VLOOKUP(A139,Tabla46782[ID CAE],1,FALSE)</f>
        <v>CAE500133</v>
      </c>
      <c r="C139" s="25" t="s">
        <v>731</v>
      </c>
      <c r="D139" s="103" t="s">
        <v>72</v>
      </c>
      <c r="E139" s="103" t="s">
        <v>72</v>
      </c>
      <c r="F139" s="103" t="s">
        <v>72</v>
      </c>
      <c r="G139" s="103"/>
      <c r="H139" s="103" t="s">
        <v>72</v>
      </c>
      <c r="I139" s="103" t="s">
        <v>72</v>
      </c>
      <c r="J139" s="103"/>
      <c r="K139" s="14" t="s">
        <v>73</v>
      </c>
      <c r="L139" s="14" t="s">
        <v>74</v>
      </c>
      <c r="M139" s="14" t="s">
        <v>75</v>
      </c>
      <c r="N139" s="23" t="s">
        <v>76</v>
      </c>
      <c r="O139" s="155">
        <f>VLOOKUP(Tabla1[[#This Row],[Matricula]],BAJA2022202320242025!$B$3:$CR$245,93,FALSE)</f>
        <v>45282</v>
      </c>
      <c r="P139" s="163">
        <v>45321</v>
      </c>
      <c r="Q139" s="164">
        <f>Tabla1[[#This Row],[F.Vig.Final]]-Tabla1[[#This Row],[f Vig Inicio]]</f>
        <v>39</v>
      </c>
      <c r="R139" s="141">
        <f>YEAR(Tabla1[[#This Row],[F.Vig.Final]])</f>
        <v>2024</v>
      </c>
      <c r="S139" s="25" t="s">
        <v>77</v>
      </c>
      <c r="T139" s="14" t="s">
        <v>78</v>
      </c>
      <c r="U139" s="14" t="s">
        <v>85</v>
      </c>
      <c r="V139" s="14" t="s">
        <v>732</v>
      </c>
      <c r="W139" s="14" t="s">
        <v>81</v>
      </c>
      <c r="X139" s="14" t="s">
        <v>82</v>
      </c>
      <c r="Y139" s="14" t="s">
        <v>83</v>
      </c>
      <c r="Z139" s="16">
        <f>COUNTIF($X$3:X139, X139)</f>
        <v>10</v>
      </c>
      <c r="AA139" s="16" t="s">
        <v>733</v>
      </c>
      <c r="AB139" s="16" t="s">
        <v>85</v>
      </c>
      <c r="AC139" s="16" t="s">
        <v>86</v>
      </c>
      <c r="AD139" s="16" t="s">
        <v>87</v>
      </c>
      <c r="AE139" s="60" t="s">
        <v>143</v>
      </c>
      <c r="AF139" s="24" t="s">
        <v>89</v>
      </c>
      <c r="AG139" s="27">
        <v>45625</v>
      </c>
      <c r="AH139" s="137">
        <f>Tabla1[[#This Row],[Renov. Flota]]-Tabla1[[#This Row],[Año]]</f>
        <v>0</v>
      </c>
      <c r="AI139" s="18" t="s">
        <v>81</v>
      </c>
      <c r="AJ139" s="107" t="str">
        <f>VLOOKUP(Tabla1[[#This Row],[Matricula nueva]],'ALTA 20242025'!$B$2:$P$242,15,FALSE)</f>
        <v>4500426790</v>
      </c>
      <c r="AK139" s="60" t="s">
        <v>82</v>
      </c>
      <c r="AM139" s="1" t="s">
        <v>72</v>
      </c>
      <c r="AN139" s="1" t="s">
        <v>91</v>
      </c>
      <c r="AO139" s="1" t="str">
        <f>VLOOKUP(Tabla1[[#This Row],[Matricula nueva]],Hoja2!$A$1:$B$224,2,FALSE)</f>
        <v>VF1RFK00873824837</v>
      </c>
      <c r="AP139" s="70">
        <v>5.6</v>
      </c>
      <c r="AQ139" s="71">
        <f t="shared" si="5"/>
        <v>10</v>
      </c>
      <c r="AR139" s="72">
        <v>17.3</v>
      </c>
      <c r="AS139" s="73">
        <f>IF(Tabla1[[#This Row],[Columna2]]="M1",13073,IF(Tabla1[[#This Row],[Columna2]]="N1",15815,IF(Tabla1[[#This Row],[Columna2]]="L3e",2831,53508)))</f>
        <v>15815</v>
      </c>
      <c r="AT139" s="73">
        <f>(Tabla1[[#This Row],[CVA]]*Tabla1[[#This Row],[F]]-Tabla1[[#This Row],[CVN]])/100*Tabla1[[#This Row],[L]]</f>
        <v>6120.4049999999997</v>
      </c>
      <c r="AU139" s="74" t="s">
        <v>128</v>
      </c>
      <c r="AV139" s="294">
        <f>VLOOKUP(B139,Tabla467824[[ID CAE2]:[AE '[kWh']]],6,FALSE)</f>
        <v>5607.9989999999989</v>
      </c>
      <c r="AW13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0" spans="1:49" ht="15.75" thickBot="1" x14ac:dyDescent="0.3">
      <c r="A140" s="114" t="s">
        <v>736</v>
      </c>
      <c r="B140" t="str">
        <f>VLOOKUP(A140,Tabla46782[ID CAE],1,FALSE)</f>
        <v>CAE500134</v>
      </c>
      <c r="C140" s="25" t="s">
        <v>737</v>
      </c>
      <c r="D140" s="103" t="s">
        <v>72</v>
      </c>
      <c r="E140" s="103" t="s">
        <v>72</v>
      </c>
      <c r="F140" s="103" t="s">
        <v>72</v>
      </c>
      <c r="G140" s="103"/>
      <c r="H140" s="103" t="s">
        <v>72</v>
      </c>
      <c r="I140" s="103" t="s">
        <v>72</v>
      </c>
      <c r="J140" s="103"/>
      <c r="K140" s="14" t="s">
        <v>73</v>
      </c>
      <c r="L140" s="14" t="s">
        <v>74</v>
      </c>
      <c r="M140" s="14" t="s">
        <v>75</v>
      </c>
      <c r="N140" s="23" t="s">
        <v>76</v>
      </c>
      <c r="O140" s="156">
        <f>VLOOKUP(Tabla1[[#This Row],[Matricula]],BAJA2022202320242025!$B$3:$CR$245,93,FALSE)</f>
        <v>44974</v>
      </c>
      <c r="P140" s="88">
        <v>45057</v>
      </c>
      <c r="Q140" s="164">
        <f>Tabla1[[#This Row],[F.Vig.Final]]-Tabla1[[#This Row],[f Vig Inicio]]</f>
        <v>83</v>
      </c>
      <c r="R140" s="141">
        <f>YEAR(Tabla1[[#This Row],[F.Vig.Final]])</f>
        <v>2023</v>
      </c>
      <c r="S140" s="25" t="s">
        <v>77</v>
      </c>
      <c r="T140" s="14" t="s">
        <v>78</v>
      </c>
      <c r="U140" s="14" t="s">
        <v>738</v>
      </c>
      <c r="V140" s="14" t="s">
        <v>739</v>
      </c>
      <c r="W140" s="14" t="s">
        <v>102</v>
      </c>
      <c r="X140" s="14" t="s">
        <v>103</v>
      </c>
      <c r="Y140" s="14" t="s">
        <v>740</v>
      </c>
      <c r="Z140" s="16">
        <f>COUNTIF($X$3:X140, X140)</f>
        <v>31</v>
      </c>
      <c r="AA140" s="16" t="s">
        <v>741</v>
      </c>
      <c r="AB140" s="16" t="s">
        <v>79</v>
      </c>
      <c r="AC140" s="16" t="s">
        <v>442</v>
      </c>
      <c r="AD140" s="16" t="s">
        <v>87</v>
      </c>
      <c r="AE140" s="60" t="s">
        <v>107</v>
      </c>
      <c r="AF140" s="28" t="s">
        <v>108</v>
      </c>
      <c r="AG140" s="27">
        <v>45133</v>
      </c>
      <c r="AH140" s="137">
        <f>Tabla1[[#This Row],[Renov. Flota]]-Tabla1[[#This Row],[Año]]</f>
        <v>0</v>
      </c>
      <c r="AI140" s="18" t="s">
        <v>102</v>
      </c>
      <c r="AJ140" s="109">
        <v>4500370224</v>
      </c>
      <c r="AK140" s="60" t="s">
        <v>103</v>
      </c>
      <c r="AM140" s="1" t="s">
        <v>72</v>
      </c>
      <c r="AN140" s="1" t="s">
        <v>109</v>
      </c>
      <c r="AO140" s="1" t="s">
        <v>742</v>
      </c>
      <c r="AP140" s="75">
        <f>IF(Tabla1[[#This Row],[Columna2]]="M1",5.1,"")</f>
        <v>5.0999999999999996</v>
      </c>
      <c r="AQ140" s="76">
        <f t="shared" si="5"/>
        <v>10</v>
      </c>
      <c r="AR140" s="77">
        <v>22.7</v>
      </c>
      <c r="AS140" s="78">
        <f>IF(Tabla1[[#This Row],[Columna2]]="M1",13073,IF(Tabla1[[#This Row],[Columna2]]="N1",15815,IF(Tabla1[[#This Row],[Columna2]]="L3e",2831,53508)))</f>
        <v>13073</v>
      </c>
      <c r="AT140" s="78">
        <f>(Tabla1[[#This Row],[CVA]]*Tabla1[[#This Row],[F]]-Tabla1[[#This Row],[CVN]])/100*Tabla1[[#This Row],[L]]</f>
        <v>3699.6590000000006</v>
      </c>
      <c r="AU140" s="79" t="s">
        <v>70</v>
      </c>
      <c r="AV140" s="294">
        <f>VLOOKUP(B140,Tabla467824[[ID CAE2]:[AE '[kWh']]],6,FALSE)</f>
        <v>6795.3454000000002</v>
      </c>
      <c r="AW14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1" spans="1:49" ht="15.75" hidden="1" thickBot="1" x14ac:dyDescent="0.3">
      <c r="A141" t="s">
        <v>1279</v>
      </c>
      <c r="B141" t="e">
        <f>VLOOKUP(A141,Tabla46782[ID CAE],1,FALSE)</f>
        <v>#N/A</v>
      </c>
      <c r="C141" s="14" t="s">
        <v>1280</v>
      </c>
      <c r="D141" s="14"/>
      <c r="E141" s="14"/>
      <c r="F141" s="14"/>
      <c r="G141" s="14"/>
      <c r="H141" s="14"/>
      <c r="I141" s="14"/>
      <c r="J141" s="14"/>
      <c r="K141" s="14" t="s">
        <v>73</v>
      </c>
      <c r="L141" s="14" t="s">
        <v>200</v>
      </c>
      <c r="M141" s="14" t="s">
        <v>201</v>
      </c>
      <c r="N141" s="14" t="s">
        <v>160</v>
      </c>
      <c r="O141" s="152">
        <f>VLOOKUP(Tabla1[[#This Row],[Matricula]],BAJA2022202320242025!$B$3:$CR$245,93,FALSE)</f>
        <v>43795</v>
      </c>
      <c r="P141" s="15">
        <v>45622</v>
      </c>
      <c r="Q141" s="160">
        <f>Tabla1[[#This Row],[F.Vig.Final]]-Tabla1[[#This Row],[f Vig Inicio]]</f>
        <v>1827</v>
      </c>
      <c r="R141" s="15">
        <f>YEAR(Tabla1[[#This Row],[F.Vig.Final]])</f>
        <v>2024</v>
      </c>
      <c r="S141" s="14" t="s">
        <v>161</v>
      </c>
      <c r="T141" s="14" t="s">
        <v>78</v>
      </c>
      <c r="U141" s="14" t="s">
        <v>359</v>
      </c>
      <c r="V141" s="14" t="s">
        <v>769</v>
      </c>
      <c r="W141" s="14" t="s">
        <v>689</v>
      </c>
      <c r="X141" s="14" t="s">
        <v>690</v>
      </c>
      <c r="Y141" s="14" t="s">
        <v>691</v>
      </c>
      <c r="Z141" s="16">
        <f>COUNTIF($X$3:X141, X141)</f>
        <v>2</v>
      </c>
      <c r="AA141" s="16" t="e">
        <v>#N/A</v>
      </c>
      <c r="AB141" s="16" t="e">
        <v>#N/A</v>
      </c>
      <c r="AC141" s="16" t="e">
        <v>#N/A</v>
      </c>
      <c r="AD141" s="16" t="e">
        <v>#N/A</v>
      </c>
      <c r="AE141" s="16" t="e">
        <v>#N/A</v>
      </c>
      <c r="AF141" s="15" t="e">
        <v>#N/A</v>
      </c>
      <c r="AG141" s="17" t="e">
        <v>#N/A</v>
      </c>
      <c r="AH141" s="17" t="e">
        <f>Tabla1[[#This Row],[Renov. Flota]]-Tabla1[[#This Row],[Año]]</f>
        <v>#N/A</v>
      </c>
      <c r="AI141" s="18" t="e">
        <v>#N/A</v>
      </c>
      <c r="AJ141" s="18" t="e">
        <f>VLOOKUP(Tabla1[[#This Row],[Matricula nueva]],'ALTA 20242025'!$B$2:$P$242,15,FALSE)</f>
        <v>#N/A</v>
      </c>
      <c r="AK141" s="19" t="e">
        <v>#N/A</v>
      </c>
      <c r="AN141" s="1"/>
      <c r="AO141" s="1" t="e">
        <f>VLOOKUP(Tabla1[[#This Row],[Matricula nueva]],Hoja2!$A$1:$B$224,2,FALSE)</f>
        <v>#N/A</v>
      </c>
      <c r="AP141" s="1" t="str">
        <f>IF(Tabla1[[#This Row],[Columna2]]="M1",5.1,"")</f>
        <v/>
      </c>
      <c r="AQ141" s="1"/>
      <c r="AR141" s="1"/>
      <c r="AS141" s="47">
        <f>IF(Tabla1[[#This Row],[Columna2]]="M1",13073,IF(Tabla1[[#This Row],[Columna2]]="N1",15815,IF(Tabla1[[#This Row],[Columna2]]="L3e",2831,53508)))</f>
        <v>53508</v>
      </c>
      <c r="AT141" s="47" t="e">
        <f>(Tabla1[[#This Row],[CVA]]*Tabla1[[#This Row],[F]]-Tabla1[[#This Row],[CVN]])/100*Tabla1[[#This Row],[L]]</f>
        <v>#VALUE!</v>
      </c>
      <c r="AU141" s="1"/>
      <c r="AV141" s="1" t="e">
        <f>VLOOKUP(B141,Tabla467824[[ID CAE2]:[AE '[kWh']]],6,FALSE)</f>
        <v>#N/A</v>
      </c>
      <c r="AW14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42" spans="1:49" ht="15" x14ac:dyDescent="0.25">
      <c r="A142" s="114" t="s">
        <v>743</v>
      </c>
      <c r="B142" t="str">
        <f>VLOOKUP(A142,Tabla46782[ID CAE],1,FALSE)</f>
        <v>CAE500136</v>
      </c>
      <c r="C142" s="25" t="s">
        <v>744</v>
      </c>
      <c r="D142" s="103" t="s">
        <v>72</v>
      </c>
      <c r="E142" s="103" t="s">
        <v>72</v>
      </c>
      <c r="F142" s="103" t="s">
        <v>72</v>
      </c>
      <c r="G142" s="103"/>
      <c r="H142" s="103" t="s">
        <v>249</v>
      </c>
      <c r="I142" s="103" t="s">
        <v>249</v>
      </c>
      <c r="J142" s="103"/>
      <c r="K142" s="14" t="s">
        <v>73</v>
      </c>
      <c r="L142" s="14" t="s">
        <v>74</v>
      </c>
      <c r="M142" s="14" t="s">
        <v>75</v>
      </c>
      <c r="N142" s="23" t="s">
        <v>76</v>
      </c>
      <c r="O142" s="157">
        <f>VLOOKUP(Tabla1[[#This Row],[Matricula]],BAJA2022202320242025!$B$3:$CR$245,93,FALSE)</f>
        <v>45420</v>
      </c>
      <c r="P142" s="87">
        <v>45450</v>
      </c>
      <c r="Q142" s="164">
        <f>Tabla1[[#This Row],[F.Vig.Final]]-Tabla1[[#This Row],[f Vig Inicio]]</f>
        <v>30</v>
      </c>
      <c r="R142" s="141">
        <f>YEAR(Tabla1[[#This Row],[F.Vig.Final]])</f>
        <v>2024</v>
      </c>
      <c r="S142" s="25" t="s">
        <v>77</v>
      </c>
      <c r="T142" s="14" t="s">
        <v>78</v>
      </c>
      <c r="U142" s="14" t="s">
        <v>213</v>
      </c>
      <c r="V142" s="14" t="s">
        <v>745</v>
      </c>
      <c r="W142" s="14" t="s">
        <v>336</v>
      </c>
      <c r="X142" s="14" t="s">
        <v>337</v>
      </c>
      <c r="Y142" s="14" t="s">
        <v>746</v>
      </c>
      <c r="Z142" s="16">
        <f>COUNTIF($X$3:X142, X142)</f>
        <v>6</v>
      </c>
      <c r="AA142" s="16" t="s">
        <v>747</v>
      </c>
      <c r="AB142" s="16" t="s">
        <v>140</v>
      </c>
      <c r="AC142" s="16" t="s">
        <v>151</v>
      </c>
      <c r="AD142" s="16" t="s">
        <v>87</v>
      </c>
      <c r="AE142" s="60" t="s">
        <v>351</v>
      </c>
      <c r="AF142" s="29" t="s">
        <v>89</v>
      </c>
      <c r="AG142" s="27">
        <v>45625</v>
      </c>
      <c r="AH142" s="137">
        <f>Tabla1[[#This Row],[Renov. Flota]]-Tabla1[[#This Row],[Año]]</f>
        <v>0</v>
      </c>
      <c r="AI142" s="18" t="s">
        <v>336</v>
      </c>
      <c r="AJ142" s="107" t="str">
        <f>VLOOKUP(Tabla1[[#This Row],[Matricula nueva]],'ALTA 20242025'!$B$2:$P$242,15,FALSE)</f>
        <v>4500424787</v>
      </c>
      <c r="AK142" s="60" t="s">
        <v>337</v>
      </c>
      <c r="AM142" s="1" t="s">
        <v>72</v>
      </c>
      <c r="AN142" s="1" t="s">
        <v>91</v>
      </c>
      <c r="AO142" s="1" t="str">
        <f>VLOOKUP(Tabla1[[#This Row],[Matricula nueva]],Hoja2!$A$1:$B$224,2,FALSE)</f>
        <v>VR7CBZYA6RT152219</v>
      </c>
      <c r="AP142" s="65">
        <f>IF(Tabla1[[#This Row],[Columna2]]="M1",5.1,"")</f>
        <v>5.0999999999999996</v>
      </c>
      <c r="AQ142" s="66">
        <f t="shared" ref="AQ142:AQ147" si="6">IF(T142="DIESEL",10,IF(T142="GLP",7.16,9.19))</f>
        <v>10</v>
      </c>
      <c r="AR142" s="67">
        <v>16.399999999999999</v>
      </c>
      <c r="AS142" s="68">
        <f>IF(Tabla1[[#This Row],[Columna2]]="M1",13073,IF(Tabla1[[#This Row],[Columna2]]="N1",15815,IF(Tabla1[[#This Row],[Columna2]]="L3e",2831,53508)))</f>
        <v>13073</v>
      </c>
      <c r="AT142" s="68">
        <f>(Tabla1[[#This Row],[CVA]]*Tabla1[[#This Row],[F]]-Tabla1[[#This Row],[CVN]])/100*Tabla1[[#This Row],[L]]</f>
        <v>4523.2580000000007</v>
      </c>
      <c r="AU142" s="69" t="s">
        <v>70</v>
      </c>
      <c r="AV142" s="294">
        <f>VLOOKUP(B142,Tabla467824[[ID CAE2]:[AE '[kWh']]],6,FALSE)</f>
        <v>6795.3454000000002</v>
      </c>
      <c r="AW14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3" spans="1:49" ht="15" x14ac:dyDescent="0.25">
      <c r="A143" s="114" t="s">
        <v>750</v>
      </c>
      <c r="B143" t="str">
        <f>VLOOKUP(A143,Tabla46782[ID CAE],1,FALSE)</f>
        <v>CAE500137</v>
      </c>
      <c r="C143" s="25" t="s">
        <v>751</v>
      </c>
      <c r="D143" s="103" t="s">
        <v>72</v>
      </c>
      <c r="E143" s="103"/>
      <c r="F143" s="103" t="s">
        <v>72</v>
      </c>
      <c r="G143" s="103"/>
      <c r="H143" s="103" t="s">
        <v>72</v>
      </c>
      <c r="I143" s="103" t="s">
        <v>72</v>
      </c>
      <c r="J143" s="103"/>
      <c r="K143" s="14" t="s">
        <v>129</v>
      </c>
      <c r="L143" s="14" t="s">
        <v>74</v>
      </c>
      <c r="M143" s="14" t="s">
        <v>75</v>
      </c>
      <c r="N143" s="23" t="s">
        <v>76</v>
      </c>
      <c r="O143" s="155">
        <f>VLOOKUP(Tabla1[[#This Row],[Matricula]],BAJA2022202320242025!$B$3:$CR$245,93,FALSE)</f>
        <v>44861</v>
      </c>
      <c r="P143" s="163">
        <v>44964</v>
      </c>
      <c r="Q143" s="164">
        <f>Tabla1[[#This Row],[F.Vig.Final]]-Tabla1[[#This Row],[f Vig Inicio]]</f>
        <v>103</v>
      </c>
      <c r="R143" s="141">
        <f>YEAR(Tabla1[[#This Row],[F.Vig.Final]])</f>
        <v>2023</v>
      </c>
      <c r="S143" s="25" t="s">
        <v>77</v>
      </c>
      <c r="T143" s="14" t="s">
        <v>78</v>
      </c>
      <c r="U143" s="14" t="s">
        <v>85</v>
      </c>
      <c r="V143" s="14" t="s">
        <v>752</v>
      </c>
      <c r="W143" s="14" t="s">
        <v>131</v>
      </c>
      <c r="X143" s="14" t="s">
        <v>132</v>
      </c>
      <c r="Y143" s="14" t="s">
        <v>753</v>
      </c>
      <c r="Z143" s="16">
        <f>COUNTIF($X$3:X143, X143)</f>
        <v>9</v>
      </c>
      <c r="AA143" s="16" t="s">
        <v>754</v>
      </c>
      <c r="AB143" s="16" t="s">
        <v>380</v>
      </c>
      <c r="AC143" s="16" t="s">
        <v>381</v>
      </c>
      <c r="AD143" s="16" t="s">
        <v>87</v>
      </c>
      <c r="AE143" s="60" t="s">
        <v>622</v>
      </c>
      <c r="AF143" s="24" t="s">
        <v>89</v>
      </c>
      <c r="AG143" s="27">
        <v>45608</v>
      </c>
      <c r="AH143" s="137">
        <f>Tabla1[[#This Row],[Renov. Flota]]-Tabla1[[#This Row],[Año]]</f>
        <v>1</v>
      </c>
      <c r="AI143" s="18" t="s">
        <v>131</v>
      </c>
      <c r="AJ143" s="109">
        <v>4500421017</v>
      </c>
      <c r="AK143" s="60" t="s">
        <v>132</v>
      </c>
      <c r="AM143" s="1" t="s">
        <v>72</v>
      </c>
      <c r="AN143" s="1" t="s">
        <v>91</v>
      </c>
      <c r="AO143" s="1" t="s">
        <v>755</v>
      </c>
      <c r="AP143" s="70">
        <v>5.6</v>
      </c>
      <c r="AQ143" s="71">
        <f t="shared" si="6"/>
        <v>10</v>
      </c>
      <c r="AR143" s="72">
        <v>20</v>
      </c>
      <c r="AS143" s="73">
        <f>IF(Tabla1[[#This Row],[Columna2]]="M1",13073,IF(Tabla1[[#This Row],[Columna2]]="N1",15815,IF(Tabla1[[#This Row],[Columna2]]="L3e",2831,53508)))</f>
        <v>15815</v>
      </c>
      <c r="AT143" s="73">
        <f>(Tabla1[[#This Row],[CVA]]*Tabla1[[#This Row],[F]]-Tabla1[[#This Row],[CVN]])/100*Tabla1[[#This Row],[L]]</f>
        <v>5693.4</v>
      </c>
      <c r="AU143" s="74" t="s">
        <v>128</v>
      </c>
      <c r="AV143" s="294">
        <f>VLOOKUP(B143,Tabla467824[[ID CAE2]:[AE '[kWh']]],6,FALSE)</f>
        <v>5607.9989999999989</v>
      </c>
      <c r="AW14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4" spans="1:49" ht="15" x14ac:dyDescent="0.25">
      <c r="A144" s="114" t="s">
        <v>756</v>
      </c>
      <c r="B144" t="str">
        <f>VLOOKUP(A144,Tabla46782[ID CAE],1,FALSE)</f>
        <v>CAE500138</v>
      </c>
      <c r="C144" s="25" t="s">
        <v>757</v>
      </c>
      <c r="D144" s="103" t="s">
        <v>72</v>
      </c>
      <c r="E144" s="103" t="s">
        <v>72</v>
      </c>
      <c r="F144" s="103" t="s">
        <v>72</v>
      </c>
      <c r="G144" s="103"/>
      <c r="H144" s="103" t="s">
        <v>249</v>
      </c>
      <c r="I144" s="103" t="s">
        <v>249</v>
      </c>
      <c r="J144" s="103"/>
      <c r="K144" s="14" t="s">
        <v>73</v>
      </c>
      <c r="L144" s="14" t="s">
        <v>74</v>
      </c>
      <c r="M144" s="14" t="s">
        <v>75</v>
      </c>
      <c r="N144" s="23" t="s">
        <v>76</v>
      </c>
      <c r="O144" s="155">
        <f>VLOOKUP(Tabla1[[#This Row],[Matricula]],BAJA2022202320242025!$B$3:$CR$245,93,FALSE)</f>
        <v>45350</v>
      </c>
      <c r="P144" s="163">
        <v>45406</v>
      </c>
      <c r="Q144" s="164">
        <f>Tabla1[[#This Row],[F.Vig.Final]]-Tabla1[[#This Row],[f Vig Inicio]]</f>
        <v>56</v>
      </c>
      <c r="R144" s="141">
        <f>YEAR(Tabla1[[#This Row],[F.Vig.Final]])</f>
        <v>2024</v>
      </c>
      <c r="S144" s="25" t="s">
        <v>77</v>
      </c>
      <c r="T144" s="14" t="s">
        <v>78</v>
      </c>
      <c r="U144" s="14" t="s">
        <v>85</v>
      </c>
      <c r="V144" s="14" t="s">
        <v>758</v>
      </c>
      <c r="W144" s="14" t="s">
        <v>336</v>
      </c>
      <c r="X144" s="14" t="s">
        <v>337</v>
      </c>
      <c r="Y144" s="14" t="s">
        <v>373</v>
      </c>
      <c r="Z144" s="16">
        <f>COUNTIF($X$3:X144, X144)</f>
        <v>7</v>
      </c>
      <c r="AA144" s="16" t="s">
        <v>759</v>
      </c>
      <c r="AB144" s="16" t="s">
        <v>85</v>
      </c>
      <c r="AC144" s="16" t="s">
        <v>86</v>
      </c>
      <c r="AD144" s="16" t="s">
        <v>87</v>
      </c>
      <c r="AE144" s="60" t="s">
        <v>760</v>
      </c>
      <c r="AF144" s="24" t="s">
        <v>89</v>
      </c>
      <c r="AG144" s="27">
        <v>45649</v>
      </c>
      <c r="AH144" s="137">
        <f>Tabla1[[#This Row],[Renov. Flota]]-Tabla1[[#This Row],[Año]]</f>
        <v>0</v>
      </c>
      <c r="AI144" s="18" t="s">
        <v>336</v>
      </c>
      <c r="AJ144" s="107" t="str">
        <f>VLOOKUP(Tabla1[[#This Row],[Matricula nueva]],'ALTA 20242025'!$B$2:$P$242,15,FALSE)</f>
        <v>4500426850</v>
      </c>
      <c r="AK144" s="60" t="s">
        <v>337</v>
      </c>
      <c r="AM144" s="1" t="s">
        <v>72</v>
      </c>
      <c r="AN144" s="1" t="s">
        <v>91</v>
      </c>
      <c r="AO144" s="1" t="str">
        <f>VLOOKUP(Tabla1[[#This Row],[Matricula nueva]],Hoja2!$A$1:$B$224,2,FALSE)</f>
        <v>VF1RFK00673934284</v>
      </c>
      <c r="AP144" s="70">
        <f>IF(Tabla1[[#This Row],[Columna2]]="M1",5.1,"")</f>
        <v>5.0999999999999996</v>
      </c>
      <c r="AQ144" s="71">
        <f t="shared" si="6"/>
        <v>10</v>
      </c>
      <c r="AR144" s="72">
        <v>17.3</v>
      </c>
      <c r="AS144" s="73">
        <f>IF(Tabla1[[#This Row],[Columna2]]="M1",13073,IF(Tabla1[[#This Row],[Columna2]]="N1",15815,IF(Tabla1[[#This Row],[Columna2]]="L3e",2831,53508)))</f>
        <v>13073</v>
      </c>
      <c r="AT144" s="73">
        <f>(Tabla1[[#This Row],[CVA]]*Tabla1[[#This Row],[F]]-Tabla1[[#This Row],[CVN]])/100*Tabla1[[#This Row],[L]]</f>
        <v>4405.6010000000006</v>
      </c>
      <c r="AU144" s="74" t="s">
        <v>70</v>
      </c>
      <c r="AV144" s="294">
        <f>VLOOKUP(B144,Tabla467824[[ID CAE2]:[AE '[kWh']]],6,FALSE)</f>
        <v>6795.3454000000002</v>
      </c>
      <c r="AW14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5" spans="1:49" ht="15" x14ac:dyDescent="0.25">
      <c r="A145" s="114" t="s">
        <v>763</v>
      </c>
      <c r="B145" t="str">
        <f>VLOOKUP(A145,Tabla46782[ID CAE],1,FALSE)</f>
        <v>CAE500139</v>
      </c>
      <c r="C145" s="25" t="s">
        <v>764</v>
      </c>
      <c r="D145" s="103" t="s">
        <v>72</v>
      </c>
      <c r="E145" s="103"/>
      <c r="F145" s="103" t="s">
        <v>72</v>
      </c>
      <c r="G145" s="103"/>
      <c r="H145" s="103" t="s">
        <v>249</v>
      </c>
      <c r="I145" s="103" t="s">
        <v>249</v>
      </c>
      <c r="J145" s="103"/>
      <c r="K145" s="14" t="s">
        <v>73</v>
      </c>
      <c r="L145" s="14" t="s">
        <v>74</v>
      </c>
      <c r="M145" s="14" t="s">
        <v>75</v>
      </c>
      <c r="N145" s="23" t="s">
        <v>76</v>
      </c>
      <c r="O145" s="155">
        <f>VLOOKUP(Tabla1[[#This Row],[Matricula]],BAJA2022202320242025!$B$3:$CR$245,93,FALSE)</f>
        <v>45422</v>
      </c>
      <c r="P145" s="163">
        <v>45473</v>
      </c>
      <c r="Q145" s="164">
        <f>Tabla1[[#This Row],[F.Vig.Final]]-Tabla1[[#This Row],[f Vig Inicio]]</f>
        <v>51</v>
      </c>
      <c r="R145" s="141">
        <f>YEAR(Tabla1[[#This Row],[F.Vig.Final]])</f>
        <v>2024</v>
      </c>
      <c r="S145" s="25" t="s">
        <v>77</v>
      </c>
      <c r="T145" s="14" t="s">
        <v>78</v>
      </c>
      <c r="U145" s="14" t="s">
        <v>85</v>
      </c>
      <c r="V145" s="14" t="s">
        <v>758</v>
      </c>
      <c r="W145" s="14" t="s">
        <v>308</v>
      </c>
      <c r="X145" s="14" t="s">
        <v>309</v>
      </c>
      <c r="Y145" s="14" t="s">
        <v>312</v>
      </c>
      <c r="Z145" s="16">
        <f>COUNTIF($X$3:X145, X145)</f>
        <v>2</v>
      </c>
      <c r="AA145" s="16" t="s">
        <v>765</v>
      </c>
      <c r="AB145" s="16" t="s">
        <v>85</v>
      </c>
      <c r="AC145" s="16" t="s">
        <v>86</v>
      </c>
      <c r="AD145" s="16" t="s">
        <v>87</v>
      </c>
      <c r="AE145" s="60" t="s">
        <v>310</v>
      </c>
      <c r="AF145" s="24" t="s">
        <v>89</v>
      </c>
      <c r="AG145" s="27">
        <v>45649</v>
      </c>
      <c r="AH145" s="137">
        <f>Tabla1[[#This Row],[Renov. Flota]]-Tabla1[[#This Row],[Año]]</f>
        <v>0</v>
      </c>
      <c r="AI145" s="18" t="s">
        <v>308</v>
      </c>
      <c r="AJ145" s="107" t="str">
        <f>VLOOKUP(Tabla1[[#This Row],[Matricula nueva]],'ALTA 20242025'!$B$2:$P$242,15,FALSE)</f>
        <v>X</v>
      </c>
      <c r="AK145" s="60" t="s">
        <v>309</v>
      </c>
      <c r="AM145" s="1" t="s">
        <v>72</v>
      </c>
      <c r="AN145" s="1" t="s">
        <v>91</v>
      </c>
      <c r="AO145" s="1" t="str">
        <f>VLOOKUP(Tabla1[[#This Row],[Matricula nueva]],Hoja2!$A$1:$B$224,2,FALSE)</f>
        <v>VF1RFK00373934288</v>
      </c>
      <c r="AP145" s="70">
        <f>IF(Tabla1[[#This Row],[Columna2]]="M1",5.1,"")</f>
        <v>5.0999999999999996</v>
      </c>
      <c r="AQ145" s="71">
        <f t="shared" si="6"/>
        <v>10</v>
      </c>
      <c r="AR145" s="72">
        <v>17.3</v>
      </c>
      <c r="AS145" s="73">
        <f>IF(Tabla1[[#This Row],[Columna2]]="M1",13073,IF(Tabla1[[#This Row],[Columna2]]="N1",15815,IF(Tabla1[[#This Row],[Columna2]]="L3e",2831,53508)))</f>
        <v>13073</v>
      </c>
      <c r="AT145" s="73">
        <f>(Tabla1[[#This Row],[CVA]]*Tabla1[[#This Row],[F]]-Tabla1[[#This Row],[CVN]])/100*Tabla1[[#This Row],[L]]</f>
        <v>4405.6010000000006</v>
      </c>
      <c r="AU145" s="74" t="s">
        <v>70</v>
      </c>
      <c r="AV145" s="294">
        <f>VLOOKUP(B145,Tabla467824[[ID CAE2]:[AE '[kWh']]],6,FALSE)</f>
        <v>6795.3454000000002</v>
      </c>
      <c r="AW14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6" spans="1:49" ht="15" x14ac:dyDescent="0.25">
      <c r="A146" s="114" t="s">
        <v>1281</v>
      </c>
      <c r="B146" t="e">
        <f>VLOOKUP(A146,Tabla46782[ID CAE],1,FALSE)</f>
        <v>#N/A</v>
      </c>
      <c r="C146" s="112" t="s">
        <v>1282</v>
      </c>
      <c r="D146" s="103"/>
      <c r="E146" s="103"/>
      <c r="F146" s="103"/>
      <c r="G146" s="103"/>
      <c r="H146" s="103"/>
      <c r="I146" s="103"/>
      <c r="J146" s="103"/>
      <c r="K146" s="14" t="s">
        <v>73</v>
      </c>
      <c r="L146" s="14" t="s">
        <v>74</v>
      </c>
      <c r="M146" s="14" t="s">
        <v>75</v>
      </c>
      <c r="N146" s="23" t="s">
        <v>76</v>
      </c>
      <c r="O146" s="155">
        <f>VLOOKUP(Tabla1[[#This Row],[Matricula]],BAJA2022202320242025!$B$3:$CR$245,93,FALSE)</f>
        <v>44958</v>
      </c>
      <c r="P146" s="163">
        <v>44958</v>
      </c>
      <c r="Q146" s="164">
        <f>Tabla1[[#This Row],[F.Vig.Final]]-Tabla1[[#This Row],[f Vig Inicio]]</f>
        <v>0</v>
      </c>
      <c r="R146" s="141">
        <f>YEAR(Tabla1[[#This Row],[F.Vig.Final]])</f>
        <v>2023</v>
      </c>
      <c r="S146" s="25" t="s">
        <v>77</v>
      </c>
      <c r="T146" s="14" t="s">
        <v>78</v>
      </c>
      <c r="U146" s="14" t="s">
        <v>380</v>
      </c>
      <c r="V146" s="14" t="s">
        <v>787</v>
      </c>
      <c r="W146" s="14" t="s">
        <v>102</v>
      </c>
      <c r="X146" s="14" t="s">
        <v>103</v>
      </c>
      <c r="Y146" s="14" t="s">
        <v>440</v>
      </c>
      <c r="Z146" s="16">
        <f>COUNTIF($X$3:X146, X146)</f>
        <v>32</v>
      </c>
      <c r="AA146" s="16" t="s">
        <v>1283</v>
      </c>
      <c r="AB146" s="16" t="s">
        <v>359</v>
      </c>
      <c r="AC146" s="16" t="s">
        <v>452</v>
      </c>
      <c r="AD146" s="16" t="s">
        <v>87</v>
      </c>
      <c r="AE146" s="60" t="s">
        <v>440</v>
      </c>
      <c r="AF146" s="24" t="s">
        <v>108</v>
      </c>
      <c r="AG146" s="27">
        <v>45063</v>
      </c>
      <c r="AH146" s="137">
        <f>Tabla1[[#This Row],[Renov. Flota]]-Tabla1[[#This Row],[Año]]</f>
        <v>0</v>
      </c>
      <c r="AI146" s="18" t="s">
        <v>102</v>
      </c>
      <c r="AJ146" s="109">
        <v>4500352857</v>
      </c>
      <c r="AK146" s="60" t="s">
        <v>103</v>
      </c>
      <c r="AM146" s="1" t="s">
        <v>72</v>
      </c>
      <c r="AN146" s="1" t="s">
        <v>109</v>
      </c>
      <c r="AO146" s="1" t="s">
        <v>1284</v>
      </c>
      <c r="AP146" s="70">
        <v>5.6</v>
      </c>
      <c r="AQ146" s="71">
        <f t="shared" si="6"/>
        <v>10</v>
      </c>
      <c r="AR146" s="72">
        <v>28.1</v>
      </c>
      <c r="AS146" s="73">
        <f>IF(Tabla1[[#This Row],[Columna2]]="M1",13073,IF(Tabla1[[#This Row],[Columna2]]="N1",15815,IF(Tabla1[[#This Row],[Columna2]]="L3e",2831,53508)))</f>
        <v>15815</v>
      </c>
      <c r="AT146" s="73">
        <f>(Tabla1[[#This Row],[CVA]]*Tabla1[[#This Row],[F]]-Tabla1[[#This Row],[CVN]])/100*Tabla1[[#This Row],[L]]</f>
        <v>4412.3849999999993</v>
      </c>
      <c r="AU146" s="74" t="s">
        <v>128</v>
      </c>
      <c r="AV146" s="294">
        <v>0</v>
      </c>
      <c r="AW14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47" spans="1:49" ht="15.75" thickBot="1" x14ac:dyDescent="0.3">
      <c r="A147" s="114" t="s">
        <v>767</v>
      </c>
      <c r="B147" t="str">
        <f>VLOOKUP(A147,Tabla46782[ID CAE],1,FALSE)</f>
        <v>CAE500141</v>
      </c>
      <c r="C147" s="25" t="s">
        <v>768</v>
      </c>
      <c r="D147" s="103" t="s">
        <v>72</v>
      </c>
      <c r="E147" s="103"/>
      <c r="F147" s="103" t="s">
        <v>72</v>
      </c>
      <c r="G147" s="103"/>
      <c r="H147" s="103" t="s">
        <v>72</v>
      </c>
      <c r="I147" s="103" t="s">
        <v>72</v>
      </c>
      <c r="J147" s="103"/>
      <c r="K147" s="14" t="s">
        <v>73</v>
      </c>
      <c r="L147" s="14" t="s">
        <v>200</v>
      </c>
      <c r="M147" s="14" t="s">
        <v>201</v>
      </c>
      <c r="N147" s="23" t="s">
        <v>76</v>
      </c>
      <c r="O147" s="153">
        <f>VLOOKUP(Tabla1[[#This Row],[Matricula]],BAJA2022202320242025!$B$3:$CR$245,93,FALSE)</f>
        <v>43819</v>
      </c>
      <c r="P147" s="28">
        <v>45280</v>
      </c>
      <c r="Q147" s="162">
        <f>Tabla1[[#This Row],[F.Vig.Final]]-Tabla1[[#This Row],[f Vig Inicio]]</f>
        <v>1461</v>
      </c>
      <c r="R147" s="141">
        <f>YEAR(Tabla1[[#This Row],[F.Vig.Final]])</f>
        <v>2023</v>
      </c>
      <c r="S147" s="25" t="s">
        <v>77</v>
      </c>
      <c r="T147" s="14" t="s">
        <v>78</v>
      </c>
      <c r="U147" s="14" t="s">
        <v>359</v>
      </c>
      <c r="V147" s="14" t="s">
        <v>769</v>
      </c>
      <c r="W147" s="14" t="s">
        <v>119</v>
      </c>
      <c r="X147" s="14" t="s">
        <v>120</v>
      </c>
      <c r="Y147" s="14" t="s">
        <v>770</v>
      </c>
      <c r="Z147" s="16">
        <f>COUNTIF($X$3:X147, X147)</f>
        <v>17</v>
      </c>
      <c r="AA147" s="16" t="s">
        <v>771</v>
      </c>
      <c r="AB147" s="16" t="s">
        <v>140</v>
      </c>
      <c r="AC147" s="16" t="s">
        <v>151</v>
      </c>
      <c r="AD147" s="16" t="s">
        <v>87</v>
      </c>
      <c r="AE147" s="60" t="s">
        <v>501</v>
      </c>
      <c r="AF147" s="28" t="s">
        <v>89</v>
      </c>
      <c r="AG147" s="27">
        <v>45622</v>
      </c>
      <c r="AH147" s="137">
        <f>Tabla1[[#This Row],[Renov. Flota]]-Tabla1[[#This Row],[Año]]</f>
        <v>1</v>
      </c>
      <c r="AI147" s="18" t="s">
        <v>119</v>
      </c>
      <c r="AJ147" s="107" t="str">
        <f>VLOOKUP(Tabla1[[#This Row],[Matricula nueva]],'ALTA 20242025'!$B$2:$P$242,15,FALSE)</f>
        <v>4500424775</v>
      </c>
      <c r="AK147" s="60" t="s">
        <v>120</v>
      </c>
      <c r="AM147" s="1" t="s">
        <v>72</v>
      </c>
      <c r="AN147" s="1" t="s">
        <v>91</v>
      </c>
      <c r="AO147" s="1" t="str">
        <f>VLOOKUP(Tabla1[[#This Row],[Matricula nueva]],Hoja2!$A$1:$B$224,2,FALSE)</f>
        <v>VR7CBZYA6RT152186</v>
      </c>
      <c r="AP147" s="75">
        <f>IF(Tabla1[[#This Row],[Columna2]]="M1",5.1,"")</f>
        <v>5.0999999999999996</v>
      </c>
      <c r="AQ147" s="76">
        <f t="shared" si="6"/>
        <v>10</v>
      </c>
      <c r="AR147" s="77">
        <v>16.399999999999999</v>
      </c>
      <c r="AS147" s="78">
        <f>IF(Tabla1[[#This Row],[Columna2]]="M1",13073,IF(Tabla1[[#This Row],[Columna2]]="N1",15815,IF(Tabla1[[#This Row],[Columna2]]="L3e",2831,53508)))</f>
        <v>13073</v>
      </c>
      <c r="AT147" s="78">
        <f>(Tabla1[[#This Row],[CVA]]*Tabla1[[#This Row],[F]]-Tabla1[[#This Row],[CVN]])/100*Tabla1[[#This Row],[L]]</f>
        <v>4523.2580000000007</v>
      </c>
      <c r="AU147" s="79" t="s">
        <v>70</v>
      </c>
      <c r="AV147" s="294">
        <f>VLOOKUP(B147,Tabla467824[[ID CAE2]:[AE '[kWh']]],6,FALSE)</f>
        <v>6795.3454000000002</v>
      </c>
      <c r="AW14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48" spans="1:49" ht="15.75" hidden="1" thickBot="1" x14ac:dyDescent="0.3">
      <c r="A148" t="s">
        <v>1285</v>
      </c>
      <c r="B148" t="e">
        <f>VLOOKUP(A148,Tabla46782[ID CAE],1,FALSE)</f>
        <v>#N/A</v>
      </c>
      <c r="C148" s="14" t="s">
        <v>1286</v>
      </c>
      <c r="D148" s="14"/>
      <c r="E148" s="14"/>
      <c r="F148" s="14"/>
      <c r="G148" s="14"/>
      <c r="H148" s="14"/>
      <c r="I148" s="14"/>
      <c r="J148" s="14"/>
      <c r="K148" s="14" t="s">
        <v>73</v>
      </c>
      <c r="L148" s="14" t="s">
        <v>200</v>
      </c>
      <c r="M148" s="14" t="s">
        <v>201</v>
      </c>
      <c r="N148" s="14" t="s">
        <v>160</v>
      </c>
      <c r="O148" s="152">
        <f>VLOOKUP(Tabla1[[#This Row],[Matricula]],BAJA2022202320242025!$B$3:$CR$245,93,FALSE)</f>
        <v>44166</v>
      </c>
      <c r="P148" s="15">
        <v>45627</v>
      </c>
      <c r="Q148" s="160">
        <f>Tabla1[[#This Row],[F.Vig.Final]]-Tabla1[[#This Row],[f Vig Inicio]]</f>
        <v>1461</v>
      </c>
      <c r="R148" s="15">
        <f>YEAR(Tabla1[[#This Row],[F.Vig.Final]])</f>
        <v>2024</v>
      </c>
      <c r="S148" s="14" t="s">
        <v>161</v>
      </c>
      <c r="T148" s="14" t="s">
        <v>78</v>
      </c>
      <c r="U148" s="14" t="s">
        <v>467</v>
      </c>
      <c r="V148" s="14" t="s">
        <v>476</v>
      </c>
      <c r="W148" s="14" t="s">
        <v>584</v>
      </c>
      <c r="X148" s="14" t="s">
        <v>585</v>
      </c>
      <c r="Y148" s="14" t="s">
        <v>1287</v>
      </c>
      <c r="Z148" s="16">
        <f>COUNTIF($X$3:X148, X148)</f>
        <v>7</v>
      </c>
      <c r="AA148" s="16" t="e">
        <v>#N/A</v>
      </c>
      <c r="AB148" s="16" t="e">
        <v>#N/A</v>
      </c>
      <c r="AC148" s="16" t="e">
        <v>#N/A</v>
      </c>
      <c r="AD148" s="16" t="e">
        <v>#N/A</v>
      </c>
      <c r="AE148" s="16" t="e">
        <v>#N/A</v>
      </c>
      <c r="AF148" s="15" t="e">
        <v>#N/A</v>
      </c>
      <c r="AG148" s="17" t="e">
        <v>#N/A</v>
      </c>
      <c r="AH148" s="17" t="e">
        <f>Tabla1[[#This Row],[Renov. Flota]]-Tabla1[[#This Row],[Año]]</f>
        <v>#N/A</v>
      </c>
      <c r="AI148" s="18" t="e">
        <v>#N/A</v>
      </c>
      <c r="AJ148" s="18" t="e">
        <f>VLOOKUP(Tabla1[[#This Row],[Matricula nueva]],'ALTA 20242025'!$B$2:$P$242,15,FALSE)</f>
        <v>#N/A</v>
      </c>
      <c r="AK148" s="19" t="e">
        <v>#N/A</v>
      </c>
      <c r="AN148" s="1"/>
      <c r="AO148" s="1" t="e">
        <f>VLOOKUP(Tabla1[[#This Row],[Matricula nueva]],Hoja2!$A$1:$B$224,2,FALSE)</f>
        <v>#N/A</v>
      </c>
      <c r="AP148" s="1" t="str">
        <f>IF(Tabla1[[#This Row],[Columna2]]="M1",5.1,"")</f>
        <v/>
      </c>
      <c r="AQ148" s="1"/>
      <c r="AR148" s="1"/>
      <c r="AS148" s="47">
        <f>IF(Tabla1[[#This Row],[Columna2]]="M1",13073,IF(Tabla1[[#This Row],[Columna2]]="N1",15815,IF(Tabla1[[#This Row],[Columna2]]="L3e",2831,53508)))</f>
        <v>53508</v>
      </c>
      <c r="AT148" s="47" t="e">
        <f>(Tabla1[[#This Row],[CVA]]*Tabla1[[#This Row],[F]]-Tabla1[[#This Row],[CVN]])/100*Tabla1[[#This Row],[L]]</f>
        <v>#VALUE!</v>
      </c>
      <c r="AU148" s="1"/>
      <c r="AV148" s="1" t="e">
        <f>VLOOKUP(B148,Tabla467824[[ID CAE2]:[AE '[kWh']]],6,FALSE)</f>
        <v>#N/A</v>
      </c>
      <c r="AW14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49" spans="1:49" ht="15" x14ac:dyDescent="0.25">
      <c r="A149" s="114" t="s">
        <v>774</v>
      </c>
      <c r="B149" t="str">
        <f>VLOOKUP(A149,Tabla46782[ID CAE],1,FALSE)</f>
        <v>CAE500143</v>
      </c>
      <c r="C149" s="25" t="s">
        <v>775</v>
      </c>
      <c r="D149" s="103" t="s">
        <v>72</v>
      </c>
      <c r="E149" s="103"/>
      <c r="F149" s="103" t="s">
        <v>72</v>
      </c>
      <c r="G149" s="103"/>
      <c r="H149" s="103" t="s">
        <v>72</v>
      </c>
      <c r="I149" s="103" t="s">
        <v>72</v>
      </c>
      <c r="J149" s="103"/>
      <c r="K149" s="14" t="s">
        <v>73</v>
      </c>
      <c r="L149" s="14" t="s">
        <v>200</v>
      </c>
      <c r="M149" s="14" t="s">
        <v>201</v>
      </c>
      <c r="N149" s="23" t="s">
        <v>76</v>
      </c>
      <c r="O149" s="154">
        <f>VLOOKUP(Tabla1[[#This Row],[Matricula]],BAJA2022202320242025!$B$3:$CR$245,93,FALSE)</f>
        <v>43819</v>
      </c>
      <c r="P149" s="29">
        <v>45646</v>
      </c>
      <c r="Q149" s="161">
        <f>Tabla1[[#This Row],[F.Vig.Final]]-Tabla1[[#This Row],[f Vig Inicio]]</f>
        <v>1827</v>
      </c>
      <c r="R149" s="141">
        <f>YEAR(Tabla1[[#This Row],[F.Vig.Final]])</f>
        <v>2024</v>
      </c>
      <c r="S149" s="25" t="s">
        <v>77</v>
      </c>
      <c r="T149" s="14" t="s">
        <v>78</v>
      </c>
      <c r="U149" s="14" t="s">
        <v>359</v>
      </c>
      <c r="V149" s="14" t="s">
        <v>769</v>
      </c>
      <c r="W149" s="14" t="s">
        <v>119</v>
      </c>
      <c r="X149" s="14" t="s">
        <v>120</v>
      </c>
      <c r="Y149" s="14" t="s">
        <v>776</v>
      </c>
      <c r="Z149" s="16">
        <f>COUNTIF($X$3:X149, X149)</f>
        <v>18</v>
      </c>
      <c r="AA149" s="16" t="s">
        <v>777</v>
      </c>
      <c r="AB149" s="16" t="s">
        <v>140</v>
      </c>
      <c r="AC149" s="16" t="s">
        <v>151</v>
      </c>
      <c r="AD149" s="16" t="s">
        <v>87</v>
      </c>
      <c r="AE149" s="60" t="s">
        <v>258</v>
      </c>
      <c r="AF149" s="29" t="s">
        <v>89</v>
      </c>
      <c r="AG149" s="27">
        <v>45625</v>
      </c>
      <c r="AH149" s="137">
        <f>Tabla1[[#This Row],[Renov. Flota]]-Tabla1[[#This Row],[Año]]</f>
        <v>0</v>
      </c>
      <c r="AI149" s="18" t="s">
        <v>119</v>
      </c>
      <c r="AJ149" s="107" t="str">
        <f>VLOOKUP(Tabla1[[#This Row],[Matricula nueva]],'ALTA 20242025'!$B$2:$P$242,15,FALSE)</f>
        <v>4500424813</v>
      </c>
      <c r="AK149" s="60" t="s">
        <v>120</v>
      </c>
      <c r="AM149" s="1" t="s">
        <v>72</v>
      </c>
      <c r="AN149" s="1" t="s">
        <v>91</v>
      </c>
      <c r="AO149" s="1" t="str">
        <f>VLOOKUP(Tabla1[[#This Row],[Matricula nueva]],Hoja2!$A$1:$B$224,2,FALSE)</f>
        <v>VR7CBZYA1RT152192</v>
      </c>
      <c r="AP149" s="65">
        <f>IF(Tabla1[[#This Row],[Columna2]]="M1",5.1,"")</f>
        <v>5.0999999999999996</v>
      </c>
      <c r="AQ149" s="66">
        <f>IF(T149="DIESEL",10,IF(T149="GLP",7.16,9.19))</f>
        <v>10</v>
      </c>
      <c r="AR149" s="67">
        <v>16.399999999999999</v>
      </c>
      <c r="AS149" s="68">
        <f>IF(Tabla1[[#This Row],[Columna2]]="M1",13073,IF(Tabla1[[#This Row],[Columna2]]="N1",15815,IF(Tabla1[[#This Row],[Columna2]]="L3e",2831,53508)))</f>
        <v>13073</v>
      </c>
      <c r="AT149" s="68">
        <f>(Tabla1[[#This Row],[CVA]]*Tabla1[[#This Row],[F]]-Tabla1[[#This Row],[CVN]])/100*Tabla1[[#This Row],[L]]</f>
        <v>4523.2580000000007</v>
      </c>
      <c r="AU149" s="69" t="s">
        <v>70</v>
      </c>
      <c r="AV149" s="294">
        <f>VLOOKUP(B149,Tabla467824[[ID CAE2]:[AE '[kWh']]],6,FALSE)</f>
        <v>6795.3454000000002</v>
      </c>
      <c r="AW14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0" spans="1:49" ht="15" x14ac:dyDescent="0.25">
      <c r="A150" s="114" t="s">
        <v>780</v>
      </c>
      <c r="B150" t="str">
        <f>VLOOKUP(A150,Tabla46782[ID CAE],1,FALSE)</f>
        <v>CAE500144</v>
      </c>
      <c r="C150" s="25" t="s">
        <v>781</v>
      </c>
      <c r="D150" s="103" t="s">
        <v>72</v>
      </c>
      <c r="E150" s="103" t="s">
        <v>72</v>
      </c>
      <c r="F150" s="103" t="s">
        <v>72</v>
      </c>
      <c r="G150" s="103"/>
      <c r="H150" s="103" t="s">
        <v>72</v>
      </c>
      <c r="I150" s="103" t="s">
        <v>72</v>
      </c>
      <c r="J150" s="103"/>
      <c r="K150" s="14" t="s">
        <v>73</v>
      </c>
      <c r="L150" s="14" t="s">
        <v>200</v>
      </c>
      <c r="M150" s="14" t="s">
        <v>201</v>
      </c>
      <c r="N150" s="23" t="s">
        <v>76</v>
      </c>
      <c r="O150" s="151">
        <f>VLOOKUP(Tabla1[[#This Row],[Matricula]],BAJA2022202320242025!$B$3:$CR$245,93,FALSE)</f>
        <v>43803</v>
      </c>
      <c r="P150" s="24">
        <v>45287</v>
      </c>
      <c r="Q150" s="158">
        <f>Tabla1[[#This Row],[F.Vig.Final]]-Tabla1[[#This Row],[f Vig Inicio]]</f>
        <v>1484</v>
      </c>
      <c r="R150" s="141">
        <f>YEAR(Tabla1[[#This Row],[F.Vig.Final]])</f>
        <v>2023</v>
      </c>
      <c r="S150" s="25" t="s">
        <v>77</v>
      </c>
      <c r="T150" s="14" t="s">
        <v>78</v>
      </c>
      <c r="U150" s="14" t="s">
        <v>359</v>
      </c>
      <c r="V150" s="14" t="s">
        <v>769</v>
      </c>
      <c r="W150" s="14" t="s">
        <v>102</v>
      </c>
      <c r="X150" s="14" t="s">
        <v>103</v>
      </c>
      <c r="Y150" s="14" t="s">
        <v>782</v>
      </c>
      <c r="Z150" s="16">
        <f>COUNTIF($X$3:X150, X150)</f>
        <v>33</v>
      </c>
      <c r="AA150" s="16" t="s">
        <v>783</v>
      </c>
      <c r="AB150" s="16" t="s">
        <v>85</v>
      </c>
      <c r="AC150" s="16" t="s">
        <v>114</v>
      </c>
      <c r="AD150" s="16" t="s">
        <v>87</v>
      </c>
      <c r="AE150" s="60" t="s">
        <v>457</v>
      </c>
      <c r="AF150" s="24" t="s">
        <v>108</v>
      </c>
      <c r="AG150" s="27">
        <v>45135</v>
      </c>
      <c r="AH150" s="137">
        <f>Tabla1[[#This Row],[Renov. Flota]]-Tabla1[[#This Row],[Año]]</f>
        <v>0</v>
      </c>
      <c r="AI150" s="18" t="s">
        <v>102</v>
      </c>
      <c r="AJ150" s="109">
        <v>4500370370</v>
      </c>
      <c r="AK150" s="60" t="s">
        <v>103</v>
      </c>
      <c r="AM150" s="1" t="s">
        <v>72</v>
      </c>
      <c r="AN150" s="1" t="s">
        <v>109</v>
      </c>
      <c r="AO150" s="1" t="s">
        <v>784</v>
      </c>
      <c r="AP150" s="70">
        <f>IF(Tabla1[[#This Row],[Columna2]]="M1",5.1,"")</f>
        <v>5.0999999999999996</v>
      </c>
      <c r="AQ150" s="71">
        <f>IF(T150="DIESEL",10,IF(T150="GLP",7.16,9.19))</f>
        <v>10</v>
      </c>
      <c r="AR150" s="72">
        <v>17.3</v>
      </c>
      <c r="AS150" s="73">
        <f>IF(Tabla1[[#This Row],[Columna2]]="M1",13073,IF(Tabla1[[#This Row],[Columna2]]="N1",15815,IF(Tabla1[[#This Row],[Columna2]]="L3e",2831,53508)))</f>
        <v>13073</v>
      </c>
      <c r="AT150" s="73">
        <f>(Tabla1[[#This Row],[CVA]]*Tabla1[[#This Row],[F]]-Tabla1[[#This Row],[CVN]])/100*Tabla1[[#This Row],[L]]</f>
        <v>4405.6010000000006</v>
      </c>
      <c r="AU150" s="74" t="s">
        <v>70</v>
      </c>
      <c r="AV150" s="294">
        <f>VLOOKUP(B150,Tabla467824[[ID CAE2]:[AE '[kWh']]],6,FALSE)</f>
        <v>6795.3454000000002</v>
      </c>
      <c r="AW15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1" spans="1:49" ht="15.75" thickBot="1" x14ac:dyDescent="0.3">
      <c r="A151" s="114" t="s">
        <v>785</v>
      </c>
      <c r="B151" t="str">
        <f>VLOOKUP(A151,Tabla46782[ID CAE],1,FALSE)</f>
        <v>CAE500145</v>
      </c>
      <c r="C151" s="25" t="s">
        <v>786</v>
      </c>
      <c r="D151" s="103" t="s">
        <v>72</v>
      </c>
      <c r="E151" s="103" t="s">
        <v>72</v>
      </c>
      <c r="F151" s="103" t="s">
        <v>72</v>
      </c>
      <c r="G151" s="103"/>
      <c r="H151" s="103" t="s">
        <v>249</v>
      </c>
      <c r="I151" s="103" t="s">
        <v>249</v>
      </c>
      <c r="J151" s="103"/>
      <c r="K151" s="14" t="s">
        <v>725</v>
      </c>
      <c r="L151" s="14" t="s">
        <v>74</v>
      </c>
      <c r="M151" s="14" t="s">
        <v>75</v>
      </c>
      <c r="N151" s="23" t="s">
        <v>76</v>
      </c>
      <c r="O151" s="156">
        <f>VLOOKUP(Tabla1[[#This Row],[Matricula]],BAJA2022202320242025!$B$3:$CR$245,93,FALSE)</f>
        <v>44958</v>
      </c>
      <c r="P151" s="28">
        <v>45188</v>
      </c>
      <c r="Q151" s="159">
        <f>Tabla1[[#This Row],[F.Vig.Final]]-Tabla1[[#This Row],[f Vig Inicio]]</f>
        <v>230</v>
      </c>
      <c r="R151" s="141">
        <f>YEAR(Tabla1[[#This Row],[F.Vig.Final]])</f>
        <v>2023</v>
      </c>
      <c r="S151" s="25" t="s">
        <v>77</v>
      </c>
      <c r="T151" s="14" t="s">
        <v>78</v>
      </c>
      <c r="U151" s="14" t="s">
        <v>380</v>
      </c>
      <c r="V151" s="14" t="s">
        <v>787</v>
      </c>
      <c r="W151" s="14" t="s">
        <v>102</v>
      </c>
      <c r="X151" s="14" t="s">
        <v>103</v>
      </c>
      <c r="Y151" s="14" t="s">
        <v>440</v>
      </c>
      <c r="Z151" s="16">
        <f>COUNTIF($X$3:X151, X151)</f>
        <v>34</v>
      </c>
      <c r="AA151" s="16" t="s">
        <v>788</v>
      </c>
      <c r="AB151" s="16" t="s">
        <v>85</v>
      </c>
      <c r="AC151" s="16" t="s">
        <v>114</v>
      </c>
      <c r="AD151" s="16" t="s">
        <v>87</v>
      </c>
      <c r="AE151" s="60" t="s">
        <v>567</v>
      </c>
      <c r="AF151" s="28" t="s">
        <v>108</v>
      </c>
      <c r="AG151" s="27">
        <v>44922</v>
      </c>
      <c r="AH151" s="137">
        <f>Tabla1[[#This Row],[Renov. Flota]]-Tabla1[[#This Row],[Año]]</f>
        <v>0</v>
      </c>
      <c r="AI151" s="18" t="s">
        <v>102</v>
      </c>
      <c r="AJ151" s="109">
        <v>4500348765</v>
      </c>
      <c r="AK151" s="60" t="s">
        <v>103</v>
      </c>
      <c r="AM151" s="1" t="s">
        <v>72</v>
      </c>
      <c r="AN151" s="1" t="s">
        <v>109</v>
      </c>
      <c r="AO151" s="1" t="s">
        <v>789</v>
      </c>
      <c r="AP151" s="75">
        <v>5.6</v>
      </c>
      <c r="AQ151" s="76">
        <f>IF(T151="DIESEL",10,IF(T151="GLP",7.16,9.19))</f>
        <v>10</v>
      </c>
      <c r="AR151" s="77">
        <v>17.3</v>
      </c>
      <c r="AS151" s="78">
        <f>IF(Tabla1[[#This Row],[Columna2]]="M1",13073,IF(Tabla1[[#This Row],[Columna2]]="N1",15815,IF(Tabla1[[#This Row],[Columna2]]="L3e",2831,53508)))</f>
        <v>15815</v>
      </c>
      <c r="AT151" s="78">
        <f>(Tabla1[[#This Row],[CVA]]*Tabla1[[#This Row],[F]]-Tabla1[[#This Row],[CVN]])/100*Tabla1[[#This Row],[L]]</f>
        <v>6120.4049999999997</v>
      </c>
      <c r="AU151" s="79" t="s">
        <v>128</v>
      </c>
      <c r="AV151" s="294">
        <f>VLOOKUP(B151,Tabla467824[[ID CAE2]:[AE '[kWh']]],6,FALSE)</f>
        <v>5607.9989999999989</v>
      </c>
      <c r="AW15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2" spans="1:49" ht="15.75" hidden="1" thickBot="1" x14ac:dyDescent="0.3">
      <c r="A152" t="s">
        <v>1288</v>
      </c>
      <c r="B152" t="e">
        <f>VLOOKUP(A152,Tabla46782[ID CAE],1,FALSE)</f>
        <v>#N/A</v>
      </c>
      <c r="C152" s="14" t="s">
        <v>1289</v>
      </c>
      <c r="D152" s="14"/>
      <c r="E152" s="14"/>
      <c r="F152" s="14"/>
      <c r="G152" s="14"/>
      <c r="H152" s="14"/>
      <c r="I152" s="14"/>
      <c r="J152" s="14"/>
      <c r="K152" s="14" t="s">
        <v>73</v>
      </c>
      <c r="L152" s="14" t="s">
        <v>200</v>
      </c>
      <c r="M152" s="14" t="s">
        <v>201</v>
      </c>
      <c r="N152" s="14" t="s">
        <v>76</v>
      </c>
      <c r="O152" s="152">
        <f>VLOOKUP(Tabla1[[#This Row],[Matricula]],BAJA2022202320242025!$B$3:$CR$245,93,FALSE)</f>
        <v>44176</v>
      </c>
      <c r="P152" s="15">
        <v>45637</v>
      </c>
      <c r="Q152" s="160">
        <f>Tabla1[[#This Row],[F.Vig.Final]]-Tabla1[[#This Row],[f Vig Inicio]]</f>
        <v>1461</v>
      </c>
      <c r="R152" s="15">
        <f>YEAR(Tabla1[[#This Row],[F.Vig.Final]])</f>
        <v>2024</v>
      </c>
      <c r="S152" s="14" t="s">
        <v>77</v>
      </c>
      <c r="T152" s="14" t="s">
        <v>78</v>
      </c>
      <c r="U152" s="14" t="s">
        <v>467</v>
      </c>
      <c r="V152" s="14" t="s">
        <v>476</v>
      </c>
      <c r="W152" s="14" t="s">
        <v>1290</v>
      </c>
      <c r="X152" s="14" t="s">
        <v>1291</v>
      </c>
      <c r="Y152" s="14" t="s">
        <v>1292</v>
      </c>
      <c r="Z152" s="16">
        <f>COUNTIF($X$3:X152, X152)</f>
        <v>1</v>
      </c>
      <c r="AA152" s="16" t="e">
        <v>#N/A</v>
      </c>
      <c r="AB152" s="16" t="e">
        <v>#N/A</v>
      </c>
      <c r="AC152" s="16" t="e">
        <v>#N/A</v>
      </c>
      <c r="AD152" s="16" t="e">
        <v>#N/A</v>
      </c>
      <c r="AE152" s="16" t="e">
        <v>#N/A</v>
      </c>
      <c r="AF152" s="15" t="e">
        <v>#N/A</v>
      </c>
      <c r="AG152" s="17" t="e">
        <v>#N/A</v>
      </c>
      <c r="AH152" s="17" t="e">
        <f>Tabla1[[#This Row],[Renov. Flota]]-Tabla1[[#This Row],[Año]]</f>
        <v>#N/A</v>
      </c>
      <c r="AI152" s="18" t="e">
        <v>#N/A</v>
      </c>
      <c r="AJ152" s="18" t="e">
        <f>VLOOKUP(Tabla1[[#This Row],[Matricula nueva]],'ALTA 20242025'!$B$2:$P$242,15,FALSE)</f>
        <v>#N/A</v>
      </c>
      <c r="AK152" s="19" t="e">
        <v>#N/A</v>
      </c>
      <c r="AN152" s="1"/>
      <c r="AO152" s="1" t="e">
        <f>VLOOKUP(Tabla1[[#This Row],[Matricula nueva]],Hoja2!$A$1:$B$224,2,FALSE)</f>
        <v>#N/A</v>
      </c>
      <c r="AP152" s="1" t="str">
        <f>IF(Tabla1[[#This Row],[Columna2]]="M1",5.1,"")</f>
        <v/>
      </c>
      <c r="AQ152" s="1"/>
      <c r="AR152" s="1"/>
      <c r="AS152" s="47">
        <f>IF(Tabla1[[#This Row],[Columna2]]="M1",13073,IF(Tabla1[[#This Row],[Columna2]]="N1",15815,IF(Tabla1[[#This Row],[Columna2]]="L3e",2831,53508)))</f>
        <v>53508</v>
      </c>
      <c r="AT152" s="47" t="e">
        <f>(Tabla1[[#This Row],[CVA]]*Tabla1[[#This Row],[F]]-Tabla1[[#This Row],[CVN]])/100*Tabla1[[#This Row],[L]]</f>
        <v>#VALUE!</v>
      </c>
      <c r="AU152" s="1"/>
      <c r="AV152" s="1" t="e">
        <f>VLOOKUP(B152,Tabla467824[[ID CAE2]:[AE '[kWh']]],6,FALSE)</f>
        <v>#N/A</v>
      </c>
      <c r="AW15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53" spans="1:49" ht="15" x14ac:dyDescent="0.25">
      <c r="A153" s="114" t="s">
        <v>790</v>
      </c>
      <c r="B153" t="str">
        <f>VLOOKUP(A153,Tabla46782[ID CAE],1,FALSE)</f>
        <v>CAE500147</v>
      </c>
      <c r="C153" s="25" t="s">
        <v>791</v>
      </c>
      <c r="D153" s="103"/>
      <c r="E153" s="103"/>
      <c r="F153" s="103"/>
      <c r="G153" s="103" t="s">
        <v>72</v>
      </c>
      <c r="H153" s="103" t="s">
        <v>72</v>
      </c>
      <c r="I153" s="103" t="s">
        <v>72</v>
      </c>
      <c r="J153" s="103" t="s">
        <v>72</v>
      </c>
      <c r="K153" s="14" t="s">
        <v>158</v>
      </c>
      <c r="L153" s="14" t="s">
        <v>159</v>
      </c>
      <c r="M153" s="14" t="s">
        <v>158</v>
      </c>
      <c r="N153" s="23" t="s">
        <v>171</v>
      </c>
      <c r="O153" s="157">
        <f>VLOOKUP(Tabla1[[#This Row],[Matricula]],BAJA2022202320242025!$B$3:$CR$245,93,FALSE)</f>
        <v>41638</v>
      </c>
      <c r="P153" s="29">
        <v>44971</v>
      </c>
      <c r="Q153" s="162">
        <f>Tabla1[[#This Row],[F.Vig.Final]]-Tabla1[[#This Row],[f Vig Inicio]]</f>
        <v>3333</v>
      </c>
      <c r="R153" s="141">
        <f>YEAR(Tabla1[[#This Row],[F.Vig.Final]])</f>
        <v>2023</v>
      </c>
      <c r="S153" s="25" t="s">
        <v>172</v>
      </c>
      <c r="T153" s="14" t="s">
        <v>78</v>
      </c>
      <c r="U153" s="14" t="s">
        <v>380</v>
      </c>
      <c r="V153" s="14" t="s">
        <v>792</v>
      </c>
      <c r="W153" s="14" t="s">
        <v>131</v>
      </c>
      <c r="X153" s="14" t="s">
        <v>132</v>
      </c>
      <c r="Y153" s="14" t="s">
        <v>793</v>
      </c>
      <c r="Z153" s="16">
        <f>COUNTIF($X$3:X153, X153)</f>
        <v>10</v>
      </c>
      <c r="AA153" s="16" t="s">
        <v>794</v>
      </c>
      <c r="AB153" s="16" t="s">
        <v>140</v>
      </c>
      <c r="AC153" s="16" t="s">
        <v>151</v>
      </c>
      <c r="AD153" s="16" t="s">
        <v>87</v>
      </c>
      <c r="AE153" s="60" t="s">
        <v>622</v>
      </c>
      <c r="AF153" s="29" t="s">
        <v>89</v>
      </c>
      <c r="AG153" s="27">
        <v>45625</v>
      </c>
      <c r="AH153" s="137">
        <f>Tabla1[[#This Row],[Renov. Flota]]-Tabla1[[#This Row],[Año]]</f>
        <v>1</v>
      </c>
      <c r="AI153" s="18" t="s">
        <v>131</v>
      </c>
      <c r="AJ153" s="107" t="str">
        <f>VLOOKUP(Tabla1[[#This Row],[Matricula nueva]],'ALTA 20242025'!$B$2:$P$242,15,FALSE)</f>
        <v>4500424804</v>
      </c>
      <c r="AK153" s="60" t="s">
        <v>132</v>
      </c>
      <c r="AM153" s="1" t="s">
        <v>72</v>
      </c>
      <c r="AN153" s="1" t="s">
        <v>91</v>
      </c>
      <c r="AO153" s="1" t="str">
        <f>VLOOKUP(Tabla1[[#This Row],[Matricula nueva]],Hoja2!$A$1:$B$224,2,FALSE)</f>
        <v>VR7CBZYA1RT152211</v>
      </c>
      <c r="AP153" s="65">
        <v>5.6</v>
      </c>
      <c r="AQ153" s="66">
        <f t="shared" ref="AQ153:AQ163" si="7">IF(T153="DIESEL",10,IF(T153="GLP",7.16,9.19))</f>
        <v>10</v>
      </c>
      <c r="AR153" s="67">
        <v>16.399999999999999</v>
      </c>
      <c r="AS153" s="68">
        <f>IF(Tabla1[[#This Row],[Columna2]]="M1",13073,IF(Tabla1[[#This Row],[Columna2]]="N1",15815,IF(Tabla1[[#This Row],[Columna2]]="L3e",2831,53508)))</f>
        <v>15815</v>
      </c>
      <c r="AT153" s="68">
        <f>(Tabla1[[#This Row],[CVA]]*Tabla1[[#This Row],[F]]-Tabla1[[#This Row],[CVN]])/100*Tabla1[[#This Row],[L]]</f>
        <v>6262.7400000000007</v>
      </c>
      <c r="AU153" s="69" t="s">
        <v>128</v>
      </c>
      <c r="AV153" s="294">
        <f>VLOOKUP(B153,Tabla467824[[ID CAE2]:[AE '[kWh']]],6,FALSE)</f>
        <v>5607.9989999999989</v>
      </c>
      <c r="AW15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54" spans="1:49" ht="15" x14ac:dyDescent="0.25">
      <c r="A154" s="114" t="s">
        <v>797</v>
      </c>
      <c r="B154" t="str">
        <f>VLOOKUP(A154,Tabla46782[ID CAE],1,FALSE)</f>
        <v>CAE500148</v>
      </c>
      <c r="C154" s="25" t="s">
        <v>798</v>
      </c>
      <c r="D154" s="103" t="s">
        <v>72</v>
      </c>
      <c r="E154" s="103" t="s">
        <v>72</v>
      </c>
      <c r="F154" s="103" t="s">
        <v>72</v>
      </c>
      <c r="G154" s="103"/>
      <c r="H154" s="103" t="s">
        <v>249</v>
      </c>
      <c r="I154" s="103" t="s">
        <v>249</v>
      </c>
      <c r="J154" s="103"/>
      <c r="K154" s="14" t="s">
        <v>725</v>
      </c>
      <c r="L154" s="14" t="s">
        <v>74</v>
      </c>
      <c r="M154" s="14" t="s">
        <v>75</v>
      </c>
      <c r="N154" s="23" t="s">
        <v>76</v>
      </c>
      <c r="O154" s="155">
        <f>VLOOKUP(Tabla1[[#This Row],[Matricula]],BAJA2022202320242025!$B$3:$CR$245,93,FALSE)</f>
        <v>45017</v>
      </c>
      <c r="P154" s="163">
        <v>45188</v>
      </c>
      <c r="Q154" s="164">
        <f>Tabla1[[#This Row],[F.Vig.Final]]-Tabla1[[#This Row],[f Vig Inicio]]</f>
        <v>171</v>
      </c>
      <c r="R154" s="141">
        <f>YEAR(Tabla1[[#This Row],[F.Vig.Final]])</f>
        <v>2023</v>
      </c>
      <c r="S154" s="25" t="s">
        <v>77</v>
      </c>
      <c r="T154" s="14" t="s">
        <v>78</v>
      </c>
      <c r="U154" s="14" t="s">
        <v>380</v>
      </c>
      <c r="V154" s="14" t="s">
        <v>799</v>
      </c>
      <c r="W154" s="14" t="s">
        <v>102</v>
      </c>
      <c r="X154" s="14" t="s">
        <v>103</v>
      </c>
      <c r="Y154" s="14" t="s">
        <v>440</v>
      </c>
      <c r="Z154" s="16">
        <f>COUNTIF($X$3:X154, X154)</f>
        <v>35</v>
      </c>
      <c r="AA154" s="16" t="s">
        <v>800</v>
      </c>
      <c r="AB154" s="16" t="s">
        <v>85</v>
      </c>
      <c r="AC154" s="16" t="s">
        <v>340</v>
      </c>
      <c r="AD154" s="16" t="s">
        <v>87</v>
      </c>
      <c r="AE154" s="60" t="s">
        <v>562</v>
      </c>
      <c r="AF154" s="24" t="s">
        <v>108</v>
      </c>
      <c r="AG154" s="27">
        <v>43018</v>
      </c>
      <c r="AH154" s="137">
        <f>Tabla1[[#This Row],[Renov. Flota]]-Tabla1[[#This Row],[Año]]</f>
        <v>0</v>
      </c>
      <c r="AI154" s="18" t="s">
        <v>102</v>
      </c>
      <c r="AJ154" s="109">
        <v>4500350425</v>
      </c>
      <c r="AK154" s="60" t="s">
        <v>103</v>
      </c>
      <c r="AM154" s="1" t="s">
        <v>72</v>
      </c>
      <c r="AN154" s="1" t="s">
        <v>109</v>
      </c>
      <c r="AO154" s="1" t="s">
        <v>801</v>
      </c>
      <c r="AP154" s="70">
        <v>5.6</v>
      </c>
      <c r="AQ154" s="71">
        <f t="shared" si="7"/>
        <v>10</v>
      </c>
      <c r="AR154" s="72">
        <v>13.3</v>
      </c>
      <c r="AS154" s="73">
        <f>IF(Tabla1[[#This Row],[Columna2]]="M1",13073,IF(Tabla1[[#This Row],[Columna2]]="N1",15815,IF(Tabla1[[#This Row],[Columna2]]="L3e",2831,53508)))</f>
        <v>15815</v>
      </c>
      <c r="AT154" s="73">
        <f>(Tabla1[[#This Row],[CVA]]*Tabla1[[#This Row],[F]]-Tabla1[[#This Row],[CVN]])/100*Tabla1[[#This Row],[L]]</f>
        <v>6753.005000000001</v>
      </c>
      <c r="AU154" s="74" t="s">
        <v>128</v>
      </c>
      <c r="AV154" s="294">
        <f>VLOOKUP(B154,Tabla467824[[ID CAE2]:[AE '[kWh']]],6,FALSE)</f>
        <v>5607.9989999999989</v>
      </c>
      <c r="AW15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5" spans="1:49" ht="15" x14ac:dyDescent="0.25">
      <c r="A155" s="114" t="s">
        <v>802</v>
      </c>
      <c r="B155" t="str">
        <f>VLOOKUP(A155,Tabla46782[ID CAE],1,FALSE)</f>
        <v>CAE500149</v>
      </c>
      <c r="C155" s="25" t="s">
        <v>803</v>
      </c>
      <c r="D155" s="103" t="s">
        <v>72</v>
      </c>
      <c r="E155" s="103" t="s">
        <v>72</v>
      </c>
      <c r="F155" s="103" t="s">
        <v>72</v>
      </c>
      <c r="G155" s="103"/>
      <c r="H155" s="103" t="s">
        <v>72</v>
      </c>
      <c r="I155" s="103" t="s">
        <v>72</v>
      </c>
      <c r="J155" s="103"/>
      <c r="K155" s="14" t="s">
        <v>73</v>
      </c>
      <c r="L155" s="14" t="s">
        <v>200</v>
      </c>
      <c r="M155" s="14" t="s">
        <v>201</v>
      </c>
      <c r="N155" s="23" t="s">
        <v>76</v>
      </c>
      <c r="O155" s="151">
        <f>VLOOKUP(Tabla1[[#This Row],[Matricula]],BAJA2022202320242025!$B$3:$CR$245,93,FALSE)</f>
        <v>44244</v>
      </c>
      <c r="P155" s="24">
        <v>45705</v>
      </c>
      <c r="Q155" s="162">
        <f>Tabla1[[#This Row],[F.Vig.Final]]-Tabla1[[#This Row],[f Vig Inicio]]</f>
        <v>1461</v>
      </c>
      <c r="R155" s="141">
        <f>YEAR(Tabla1[[#This Row],[F.Vig.Final]])</f>
        <v>2025</v>
      </c>
      <c r="S155" s="25" t="s">
        <v>77</v>
      </c>
      <c r="T155" s="14" t="s">
        <v>78</v>
      </c>
      <c r="U155" s="14" t="s">
        <v>85</v>
      </c>
      <c r="V155" s="14" t="s">
        <v>804</v>
      </c>
      <c r="W155" s="14" t="s">
        <v>336</v>
      </c>
      <c r="X155" s="14" t="s">
        <v>337</v>
      </c>
      <c r="Y155" s="14" t="s">
        <v>805</v>
      </c>
      <c r="Z155" s="16">
        <f>COUNTIF($X$3:X155, X155)</f>
        <v>8</v>
      </c>
      <c r="AA155" s="16" t="s">
        <v>806</v>
      </c>
      <c r="AB155" s="16" t="s">
        <v>140</v>
      </c>
      <c r="AC155" s="16" t="s">
        <v>151</v>
      </c>
      <c r="AD155" s="16" t="s">
        <v>87</v>
      </c>
      <c r="AE155" s="60" t="s">
        <v>807</v>
      </c>
      <c r="AF155" s="24" t="s">
        <v>89</v>
      </c>
      <c r="AG155" s="27">
        <v>45625</v>
      </c>
      <c r="AH155" s="137">
        <f>Tabla1[[#This Row],[Renov. Flota]]-Tabla1[[#This Row],[Año]]</f>
        <v>-1</v>
      </c>
      <c r="AI155" s="18" t="s">
        <v>336</v>
      </c>
      <c r="AJ155" s="107" t="str">
        <f>VLOOKUP(Tabla1[[#This Row],[Matricula nueva]],'ALTA 20242025'!$B$2:$P$242,15,FALSE)</f>
        <v>4500425488</v>
      </c>
      <c r="AK155" s="60" t="s">
        <v>337</v>
      </c>
      <c r="AM155" s="1" t="s">
        <v>72</v>
      </c>
      <c r="AN155" s="1" t="s">
        <v>91</v>
      </c>
      <c r="AO155" s="1" t="str">
        <f>VLOOKUP(Tabla1[[#This Row],[Matricula nueva]],Hoja2!$A$1:$B$224,2,FALSE)</f>
        <v>VR7CBZYA2RT153044</v>
      </c>
      <c r="AP155" s="70">
        <v>5.6</v>
      </c>
      <c r="AQ155" s="71">
        <f t="shared" si="7"/>
        <v>10</v>
      </c>
      <c r="AR155" s="72">
        <v>16.399999999999999</v>
      </c>
      <c r="AS155" s="73">
        <f>IF(Tabla1[[#This Row],[Columna2]]="M1",13073,IF(Tabla1[[#This Row],[Columna2]]="N1",15815,IF(Tabla1[[#This Row],[Columna2]]="L3e",2831,53508)))</f>
        <v>15815</v>
      </c>
      <c r="AT155" s="73">
        <f>(Tabla1[[#This Row],[CVA]]*Tabla1[[#This Row],[F]]-Tabla1[[#This Row],[CVN]])/100*Tabla1[[#This Row],[L]]</f>
        <v>6262.7400000000007</v>
      </c>
      <c r="AU155" s="74" t="s">
        <v>128</v>
      </c>
      <c r="AV155" s="294">
        <f>VLOOKUP(B155,Tabla467824[[ID CAE2]:[AE '[kWh']]],6,FALSE)</f>
        <v>6795.3454000000002</v>
      </c>
      <c r="AW15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6" spans="1:49" ht="15" x14ac:dyDescent="0.25">
      <c r="A156" s="114" t="s">
        <v>810</v>
      </c>
      <c r="B156" t="str">
        <f>VLOOKUP(A156,Tabla46782[ID CAE],1,FALSE)</f>
        <v>CAE500150</v>
      </c>
      <c r="C156" s="25" t="s">
        <v>811</v>
      </c>
      <c r="D156" s="103" t="s">
        <v>72</v>
      </c>
      <c r="E156" s="103" t="s">
        <v>72</v>
      </c>
      <c r="F156" s="103" t="s">
        <v>72</v>
      </c>
      <c r="G156" s="103"/>
      <c r="H156" s="103" t="s">
        <v>249</v>
      </c>
      <c r="I156" s="103" t="s">
        <v>249</v>
      </c>
      <c r="J156" s="103"/>
      <c r="K156" s="14" t="s">
        <v>725</v>
      </c>
      <c r="L156" s="14" t="s">
        <v>74</v>
      </c>
      <c r="M156" s="14" t="s">
        <v>75</v>
      </c>
      <c r="N156" s="23" t="s">
        <v>76</v>
      </c>
      <c r="O156" s="155">
        <f>VLOOKUP(Tabla1[[#This Row],[Matricula]],BAJA2022202320242025!$B$3:$CR$245,93,FALSE)</f>
        <v>44958</v>
      </c>
      <c r="P156" s="163">
        <v>45107</v>
      </c>
      <c r="Q156" s="164">
        <f>Tabla1[[#This Row],[F.Vig.Final]]-Tabla1[[#This Row],[f Vig Inicio]]</f>
        <v>149</v>
      </c>
      <c r="R156" s="141">
        <f>YEAR(Tabla1[[#This Row],[F.Vig.Final]])</f>
        <v>2023</v>
      </c>
      <c r="S156" s="25" t="s">
        <v>77</v>
      </c>
      <c r="T156" s="14" t="s">
        <v>78</v>
      </c>
      <c r="U156" s="14" t="s">
        <v>79</v>
      </c>
      <c r="V156" s="14" t="s">
        <v>812</v>
      </c>
      <c r="W156" s="14" t="s">
        <v>102</v>
      </c>
      <c r="X156" s="14" t="s">
        <v>103</v>
      </c>
      <c r="Y156" s="14" t="s">
        <v>440</v>
      </c>
      <c r="Z156" s="16">
        <f>COUNTIF($X$3:X156, X156)</f>
        <v>36</v>
      </c>
      <c r="AA156" s="16" t="s">
        <v>813</v>
      </c>
      <c r="AB156" s="16" t="s">
        <v>359</v>
      </c>
      <c r="AC156" s="16" t="s">
        <v>452</v>
      </c>
      <c r="AD156" s="16" t="s">
        <v>87</v>
      </c>
      <c r="AE156" s="60" t="s">
        <v>440</v>
      </c>
      <c r="AF156" s="24" t="s">
        <v>108</v>
      </c>
      <c r="AG156" s="27">
        <v>45051</v>
      </c>
      <c r="AH156" s="137">
        <f>Tabla1[[#This Row],[Renov. Flota]]-Tabla1[[#This Row],[Año]]</f>
        <v>0</v>
      </c>
      <c r="AI156" s="18" t="s">
        <v>102</v>
      </c>
      <c r="AJ156" s="109">
        <v>4500352577</v>
      </c>
      <c r="AK156" s="60" t="s">
        <v>103</v>
      </c>
      <c r="AM156" s="1" t="s">
        <v>72</v>
      </c>
      <c r="AN156" s="1" t="s">
        <v>109</v>
      </c>
      <c r="AO156" s="1" t="s">
        <v>814</v>
      </c>
      <c r="AP156" s="70">
        <v>5.6</v>
      </c>
      <c r="AQ156" s="71">
        <f t="shared" si="7"/>
        <v>10</v>
      </c>
      <c r="AR156" s="72">
        <v>28.1</v>
      </c>
      <c r="AS156" s="73">
        <f>IF(Tabla1[[#This Row],[Columna2]]="M1",13073,IF(Tabla1[[#This Row],[Columna2]]="N1",15815,IF(Tabla1[[#This Row],[Columna2]]="L3e",2831,53508)))</f>
        <v>15815</v>
      </c>
      <c r="AT156" s="73">
        <f>(Tabla1[[#This Row],[CVA]]*Tabla1[[#This Row],[F]]-Tabla1[[#This Row],[CVN]])/100*Tabla1[[#This Row],[L]]</f>
        <v>4412.3849999999993</v>
      </c>
      <c r="AU156" s="74" t="s">
        <v>128</v>
      </c>
      <c r="AV156" s="294">
        <f>VLOOKUP(B156,Tabla467824[[ID CAE2]:[AE '[kWh']]],6,FALSE)</f>
        <v>5607.9989999999989</v>
      </c>
      <c r="AW15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7" spans="1:49" ht="15" x14ac:dyDescent="0.25">
      <c r="A157" s="114" t="s">
        <v>815</v>
      </c>
      <c r="B157" t="str">
        <f>VLOOKUP(A157,Tabla46782[ID CAE],1,FALSE)</f>
        <v>CAE500151</v>
      </c>
      <c r="C157" s="25" t="s">
        <v>816</v>
      </c>
      <c r="D157" s="103" t="s">
        <v>72</v>
      </c>
      <c r="E157" s="103"/>
      <c r="F157" s="103" t="s">
        <v>72</v>
      </c>
      <c r="G157" s="103"/>
      <c r="H157" s="103" t="s">
        <v>72</v>
      </c>
      <c r="I157" s="103" t="s">
        <v>72</v>
      </c>
      <c r="J157" s="103"/>
      <c r="K157" s="14" t="s">
        <v>73</v>
      </c>
      <c r="L157" s="14" t="s">
        <v>200</v>
      </c>
      <c r="M157" s="14" t="s">
        <v>201</v>
      </c>
      <c r="N157" s="23" t="s">
        <v>76</v>
      </c>
      <c r="O157" s="151">
        <f>VLOOKUP(Tabla1[[#This Row],[Matricula]],BAJA2022202320242025!$B$3:$CR$245,93,FALSE)</f>
        <v>44140</v>
      </c>
      <c r="P157" s="24">
        <v>45601</v>
      </c>
      <c r="Q157" s="161">
        <f>Tabla1[[#This Row],[F.Vig.Final]]-Tabla1[[#This Row],[f Vig Inicio]]</f>
        <v>1461</v>
      </c>
      <c r="R157" s="141">
        <f>YEAR(Tabla1[[#This Row],[F.Vig.Final]])</f>
        <v>2024</v>
      </c>
      <c r="S157" s="25" t="s">
        <v>77</v>
      </c>
      <c r="T157" s="14" t="s">
        <v>78</v>
      </c>
      <c r="U157" s="14" t="s">
        <v>213</v>
      </c>
      <c r="V157" s="14" t="s">
        <v>817</v>
      </c>
      <c r="W157" s="14" t="s">
        <v>119</v>
      </c>
      <c r="X157" s="14" t="s">
        <v>120</v>
      </c>
      <c r="Y157" s="14" t="s">
        <v>386</v>
      </c>
      <c r="Z157" s="16">
        <f>COUNTIF($X$3:X157, X157)</f>
        <v>19</v>
      </c>
      <c r="AA157" s="16" t="s">
        <v>818</v>
      </c>
      <c r="AB157" s="16" t="s">
        <v>140</v>
      </c>
      <c r="AC157" s="16" t="s">
        <v>151</v>
      </c>
      <c r="AD157" s="16" t="s">
        <v>87</v>
      </c>
      <c r="AE157" s="60" t="s">
        <v>223</v>
      </c>
      <c r="AF157" s="24" t="s">
        <v>89</v>
      </c>
      <c r="AG157" s="27">
        <v>45625</v>
      </c>
      <c r="AH157" s="137">
        <f>Tabla1[[#This Row],[Renov. Flota]]-Tabla1[[#This Row],[Año]]</f>
        <v>0</v>
      </c>
      <c r="AI157" s="18" t="s">
        <v>119</v>
      </c>
      <c r="AJ157" s="107" t="str">
        <f>VLOOKUP(Tabla1[[#This Row],[Matricula nueva]],'ALTA 20242025'!$B$2:$P$242,15,FALSE)</f>
        <v>4500424803</v>
      </c>
      <c r="AK157" s="60" t="s">
        <v>120</v>
      </c>
      <c r="AM157" s="1" t="s">
        <v>72</v>
      </c>
      <c r="AN157" s="1" t="s">
        <v>91</v>
      </c>
      <c r="AO157" s="1" t="str">
        <f>VLOOKUP(Tabla1[[#This Row],[Matricula nueva]],Hoja2!$A$1:$B$224,2,FALSE)</f>
        <v>VR7CBZYAXRT152188</v>
      </c>
      <c r="AP157" s="70">
        <f>IF(Tabla1[[#This Row],[Columna2]]="M1",5.1,"")</f>
        <v>5.0999999999999996</v>
      </c>
      <c r="AQ157" s="71">
        <f t="shared" si="7"/>
        <v>10</v>
      </c>
      <c r="AR157" s="72">
        <v>16.399999999999999</v>
      </c>
      <c r="AS157" s="73">
        <f>IF(Tabla1[[#This Row],[Columna2]]="M1",13073,IF(Tabla1[[#This Row],[Columna2]]="N1",15815,IF(Tabla1[[#This Row],[Columna2]]="L3e",2831,53508)))</f>
        <v>13073</v>
      </c>
      <c r="AT157" s="73">
        <f>(Tabla1[[#This Row],[CVA]]*Tabla1[[#This Row],[F]]-Tabla1[[#This Row],[CVN]])/100*Tabla1[[#This Row],[L]]</f>
        <v>4523.2580000000007</v>
      </c>
      <c r="AU157" s="74" t="s">
        <v>70</v>
      </c>
      <c r="AV157" s="294">
        <f>VLOOKUP(B157,Tabla467824[[ID CAE2]:[AE '[kWh']]],6,FALSE)</f>
        <v>6795.3454000000002</v>
      </c>
      <c r="AW15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8" spans="1:49" ht="15" x14ac:dyDescent="0.25">
      <c r="A158" s="114" t="s">
        <v>821</v>
      </c>
      <c r="B158" t="str">
        <f>VLOOKUP(A158,Tabla46782[ID CAE],1,FALSE)</f>
        <v>CAE500152</v>
      </c>
      <c r="C158" s="25" t="s">
        <v>822</v>
      </c>
      <c r="D158" s="103" t="s">
        <v>72</v>
      </c>
      <c r="E158" s="103" t="s">
        <v>72</v>
      </c>
      <c r="F158" s="103" t="s">
        <v>72</v>
      </c>
      <c r="G158" s="103"/>
      <c r="H158" s="103" t="s">
        <v>72</v>
      </c>
      <c r="I158" s="103" t="s">
        <v>72</v>
      </c>
      <c r="J158" s="103"/>
      <c r="K158" s="14" t="s">
        <v>73</v>
      </c>
      <c r="L158" s="14" t="s">
        <v>200</v>
      </c>
      <c r="M158" s="14" t="s">
        <v>201</v>
      </c>
      <c r="N158" s="23" t="s">
        <v>76</v>
      </c>
      <c r="O158" s="151">
        <f>VLOOKUP(Tabla1[[#This Row],[Matricula]],BAJA2022202320242025!$B$3:$CR$245,93,FALSE)</f>
        <v>44151</v>
      </c>
      <c r="P158" s="24">
        <v>45612</v>
      </c>
      <c r="Q158" s="158">
        <f>Tabla1[[#This Row],[F.Vig.Final]]-Tabla1[[#This Row],[f Vig Inicio]]</f>
        <v>1461</v>
      </c>
      <c r="R158" s="141">
        <f>YEAR(Tabla1[[#This Row],[F.Vig.Final]])</f>
        <v>2024</v>
      </c>
      <c r="S158" s="25" t="s">
        <v>77</v>
      </c>
      <c r="T158" s="14" t="s">
        <v>78</v>
      </c>
      <c r="U158" s="14" t="s">
        <v>213</v>
      </c>
      <c r="V158" s="14" t="s">
        <v>817</v>
      </c>
      <c r="W158" s="14" t="s">
        <v>119</v>
      </c>
      <c r="X158" s="14" t="s">
        <v>120</v>
      </c>
      <c r="Y158" s="14" t="s">
        <v>368</v>
      </c>
      <c r="Z158" s="16">
        <f>COUNTIF($X$3:X158, X158)</f>
        <v>20</v>
      </c>
      <c r="AA158" s="16" t="s">
        <v>823</v>
      </c>
      <c r="AB158" s="16" t="s">
        <v>140</v>
      </c>
      <c r="AC158" s="16" t="s">
        <v>151</v>
      </c>
      <c r="AD158" s="16" t="s">
        <v>87</v>
      </c>
      <c r="AE158" s="60" t="s">
        <v>265</v>
      </c>
      <c r="AF158" s="24" t="s">
        <v>89</v>
      </c>
      <c r="AG158" s="27">
        <v>45625</v>
      </c>
      <c r="AH158" s="137">
        <f>Tabla1[[#This Row],[Renov. Flota]]-Tabla1[[#This Row],[Año]]</f>
        <v>0</v>
      </c>
      <c r="AI158" s="18" t="s">
        <v>119</v>
      </c>
      <c r="AJ158" s="107" t="str">
        <f>VLOOKUP(Tabla1[[#This Row],[Matricula nueva]],'ALTA 20242025'!$B$2:$P$242,15,FALSE)</f>
        <v>4500424818</v>
      </c>
      <c r="AK158" s="60" t="s">
        <v>120</v>
      </c>
      <c r="AM158" s="1" t="s">
        <v>72</v>
      </c>
      <c r="AN158" s="1" t="s">
        <v>91</v>
      </c>
      <c r="AO158" s="1" t="str">
        <f>VLOOKUP(Tabla1[[#This Row],[Matricula nueva]],Hoja2!$A$1:$B$224,2,FALSE)</f>
        <v>VR7CBZYA5RT152194</v>
      </c>
      <c r="AP158" s="70">
        <f>IF(Tabla1[[#This Row],[Columna2]]="M1",5.1,"")</f>
        <v>5.0999999999999996</v>
      </c>
      <c r="AQ158" s="71">
        <f t="shared" si="7"/>
        <v>10</v>
      </c>
      <c r="AR158" s="72">
        <v>16.399999999999999</v>
      </c>
      <c r="AS158" s="73">
        <f>IF(Tabla1[[#This Row],[Columna2]]="M1",13073,IF(Tabla1[[#This Row],[Columna2]]="N1",15815,IF(Tabla1[[#This Row],[Columna2]]="L3e",2831,53508)))</f>
        <v>13073</v>
      </c>
      <c r="AT158" s="73">
        <f>(Tabla1[[#This Row],[CVA]]*Tabla1[[#This Row],[F]]-Tabla1[[#This Row],[CVN]])/100*Tabla1[[#This Row],[L]]</f>
        <v>4523.2580000000007</v>
      </c>
      <c r="AU158" s="74" t="s">
        <v>70</v>
      </c>
      <c r="AV158" s="294">
        <f>VLOOKUP(B158,Tabla467824[[ID CAE2]:[AE '[kWh']]],6,FALSE)</f>
        <v>6795.3454000000002</v>
      </c>
      <c r="AW15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59" spans="1:49" ht="15" x14ac:dyDescent="0.25">
      <c r="A159" s="114" t="s">
        <v>826</v>
      </c>
      <c r="B159" t="str">
        <f>VLOOKUP(A159,Tabla46782[ID CAE],1,FALSE)</f>
        <v>CAE500153</v>
      </c>
      <c r="C159" s="25" t="s">
        <v>827</v>
      </c>
      <c r="D159" s="103" t="s">
        <v>72</v>
      </c>
      <c r="E159" s="103"/>
      <c r="F159" s="103" t="s">
        <v>72</v>
      </c>
      <c r="G159" s="103"/>
      <c r="H159" s="103" t="s">
        <v>72</v>
      </c>
      <c r="I159" s="103" t="s">
        <v>72</v>
      </c>
      <c r="J159" s="103"/>
      <c r="K159" s="14" t="s">
        <v>73</v>
      </c>
      <c r="L159" s="14" t="s">
        <v>200</v>
      </c>
      <c r="M159" s="14" t="s">
        <v>201</v>
      </c>
      <c r="N159" s="23" t="s">
        <v>76</v>
      </c>
      <c r="O159" s="151">
        <f>VLOOKUP(Tabla1[[#This Row],[Matricula]],BAJA2022202320242025!$B$3:$CR$245,93,FALSE)</f>
        <v>44140</v>
      </c>
      <c r="P159" s="24">
        <v>45601</v>
      </c>
      <c r="Q159" s="158">
        <f>Tabla1[[#This Row],[F.Vig.Final]]-Tabla1[[#This Row],[f Vig Inicio]]</f>
        <v>1461</v>
      </c>
      <c r="R159" s="141">
        <f>YEAR(Tabla1[[#This Row],[F.Vig.Final]])</f>
        <v>2024</v>
      </c>
      <c r="S159" s="25" t="s">
        <v>77</v>
      </c>
      <c r="T159" s="14" t="s">
        <v>78</v>
      </c>
      <c r="U159" s="14" t="s">
        <v>213</v>
      </c>
      <c r="V159" s="14" t="s">
        <v>817</v>
      </c>
      <c r="W159" s="14" t="s">
        <v>131</v>
      </c>
      <c r="X159" s="14" t="s">
        <v>132</v>
      </c>
      <c r="Y159" s="14" t="s">
        <v>135</v>
      </c>
      <c r="Z159" s="16">
        <f>COUNTIF($X$3:X159, X159)</f>
        <v>11</v>
      </c>
      <c r="AA159" s="16" t="s">
        <v>828</v>
      </c>
      <c r="AB159" s="16" t="s">
        <v>85</v>
      </c>
      <c r="AC159" s="16" t="s">
        <v>86</v>
      </c>
      <c r="AD159" s="16" t="s">
        <v>87</v>
      </c>
      <c r="AE159" s="60" t="s">
        <v>829</v>
      </c>
      <c r="AF159" s="24" t="s">
        <v>89</v>
      </c>
      <c r="AG159" s="27">
        <v>45625</v>
      </c>
      <c r="AH159" s="137">
        <f>Tabla1[[#This Row],[Renov. Flota]]-Tabla1[[#This Row],[Año]]</f>
        <v>0</v>
      </c>
      <c r="AI159" s="18" t="s">
        <v>131</v>
      </c>
      <c r="AJ159" s="107" t="str">
        <f>VLOOKUP(Tabla1[[#This Row],[Matricula nueva]],'ALTA 20242025'!$B$2:$P$242,15,FALSE)</f>
        <v>4500426761</v>
      </c>
      <c r="AK159" s="60" t="s">
        <v>132</v>
      </c>
      <c r="AM159" s="1" t="s">
        <v>72</v>
      </c>
      <c r="AN159" s="1" t="s">
        <v>91</v>
      </c>
      <c r="AO159" s="1" t="str">
        <f>VLOOKUP(Tabla1[[#This Row],[Matricula nueva]],Hoja2!$A$1:$B$224,2,FALSE)</f>
        <v>VF1RFK00173824808</v>
      </c>
      <c r="AP159" s="70">
        <f>IF(Tabla1[[#This Row],[Columna2]]="M1",5.1,"")</f>
        <v>5.0999999999999996</v>
      </c>
      <c r="AQ159" s="71">
        <f t="shared" si="7"/>
        <v>10</v>
      </c>
      <c r="AR159" s="72">
        <v>17.3</v>
      </c>
      <c r="AS159" s="73">
        <f>IF(Tabla1[[#This Row],[Columna2]]="M1",13073,IF(Tabla1[[#This Row],[Columna2]]="N1",15815,IF(Tabla1[[#This Row],[Columna2]]="L3e",2831,53508)))</f>
        <v>13073</v>
      </c>
      <c r="AT159" s="73">
        <f>(Tabla1[[#This Row],[CVA]]*Tabla1[[#This Row],[F]]-Tabla1[[#This Row],[CVN]])/100*Tabla1[[#This Row],[L]]</f>
        <v>4405.6010000000006</v>
      </c>
      <c r="AU159" s="74" t="s">
        <v>70</v>
      </c>
      <c r="AV159" s="294">
        <f>VLOOKUP(B159,Tabla467824[[ID CAE2]:[AE '[kWh']]],6,FALSE)</f>
        <v>6795.3454000000002</v>
      </c>
      <c r="AW15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60" spans="1:49" ht="15" x14ac:dyDescent="0.25">
      <c r="A160" s="114" t="s">
        <v>832</v>
      </c>
      <c r="B160" t="str">
        <f>VLOOKUP(A160,Tabla46782[ID CAE],1,FALSE)</f>
        <v>CAE500154</v>
      </c>
      <c r="C160" s="25" t="s">
        <v>833</v>
      </c>
      <c r="D160" s="103" t="s">
        <v>72</v>
      </c>
      <c r="E160" s="103" t="s">
        <v>72</v>
      </c>
      <c r="F160" s="103" t="s">
        <v>72</v>
      </c>
      <c r="G160" s="103"/>
      <c r="H160" s="103" t="s">
        <v>72</v>
      </c>
      <c r="I160" s="103" t="s">
        <v>72</v>
      </c>
      <c r="J160" s="103"/>
      <c r="K160" s="14" t="s">
        <v>73</v>
      </c>
      <c r="L160" s="14" t="s">
        <v>200</v>
      </c>
      <c r="M160" s="14" t="s">
        <v>201</v>
      </c>
      <c r="N160" s="23" t="s">
        <v>76</v>
      </c>
      <c r="O160" s="151">
        <f>VLOOKUP(Tabla1[[#This Row],[Matricula]],BAJA2022202320242025!$B$3:$CR$245,93,FALSE)</f>
        <v>44223</v>
      </c>
      <c r="P160" s="24">
        <v>45684</v>
      </c>
      <c r="Q160" s="159">
        <f>Tabla1[[#This Row],[F.Vig.Final]]-Tabla1[[#This Row],[f Vig Inicio]]</f>
        <v>1461</v>
      </c>
      <c r="R160" s="141">
        <f>YEAR(Tabla1[[#This Row],[F.Vig.Final]])</f>
        <v>2025</v>
      </c>
      <c r="S160" s="25" t="s">
        <v>77</v>
      </c>
      <c r="T160" s="14" t="s">
        <v>78</v>
      </c>
      <c r="U160" s="14" t="s">
        <v>213</v>
      </c>
      <c r="V160" s="14" t="s">
        <v>817</v>
      </c>
      <c r="W160" s="14" t="s">
        <v>102</v>
      </c>
      <c r="X160" s="14" t="s">
        <v>103</v>
      </c>
      <c r="Y160" s="14" t="s">
        <v>782</v>
      </c>
      <c r="Z160" s="16">
        <f>COUNTIF($X$3:X160, X160)</f>
        <v>37</v>
      </c>
      <c r="AA160" s="16" t="s">
        <v>834</v>
      </c>
      <c r="AB160" s="16" t="s">
        <v>85</v>
      </c>
      <c r="AC160" s="16" t="s">
        <v>86</v>
      </c>
      <c r="AD160" s="16" t="s">
        <v>87</v>
      </c>
      <c r="AE160" s="60" t="s">
        <v>835</v>
      </c>
      <c r="AF160" s="24" t="s">
        <v>89</v>
      </c>
      <c r="AG160" s="27">
        <v>45625</v>
      </c>
      <c r="AH160" s="137">
        <f>Tabla1[[#This Row],[Renov. Flota]]-Tabla1[[#This Row],[Año]]</f>
        <v>-1</v>
      </c>
      <c r="AI160" s="18" t="s">
        <v>102</v>
      </c>
      <c r="AJ160" s="107" t="str">
        <f>VLOOKUP(Tabla1[[#This Row],[Matricula nueva]],'ALTA 20242025'!$B$2:$P$242,15,FALSE)</f>
        <v>4500426770</v>
      </c>
      <c r="AK160" s="60" t="s">
        <v>103</v>
      </c>
      <c r="AM160" s="1" t="s">
        <v>72</v>
      </c>
      <c r="AN160" s="1" t="s">
        <v>109</v>
      </c>
      <c r="AO160" s="1" t="str">
        <f>VLOOKUP(Tabla1[[#This Row],[Matricula nueva]],Hoja2!$A$1:$B$224,2,FALSE)</f>
        <v>VF1RFK00873824790</v>
      </c>
      <c r="AP160" s="70">
        <f>IF(Tabla1[[#This Row],[Columna2]]="M1",5.1,"")</f>
        <v>5.0999999999999996</v>
      </c>
      <c r="AQ160" s="71">
        <f t="shared" si="7"/>
        <v>10</v>
      </c>
      <c r="AR160" s="72">
        <v>17.3</v>
      </c>
      <c r="AS160" s="73">
        <f>IF(Tabla1[[#This Row],[Columna2]]="M1",13073,IF(Tabla1[[#This Row],[Columna2]]="N1",15815,IF(Tabla1[[#This Row],[Columna2]]="L3e",2831,53508)))</f>
        <v>13073</v>
      </c>
      <c r="AT160" s="73">
        <f>(Tabla1[[#This Row],[CVA]]*Tabla1[[#This Row],[F]]-Tabla1[[#This Row],[CVN]])/100*Tabla1[[#This Row],[L]]</f>
        <v>4405.6010000000006</v>
      </c>
      <c r="AU160" s="74" t="s">
        <v>70</v>
      </c>
      <c r="AV160" s="294">
        <f>VLOOKUP(B160,Tabla467824[[ID CAE2]:[AE '[kWh']]],6,FALSE)</f>
        <v>6795.3454000000002</v>
      </c>
      <c r="AW16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61" spans="1:49" ht="15" x14ac:dyDescent="0.25">
      <c r="A161" s="114" t="s">
        <v>838</v>
      </c>
      <c r="B161" t="str">
        <f>VLOOKUP(A161,Tabla46782[ID CAE],1,FALSE)</f>
        <v>CAE500155</v>
      </c>
      <c r="C161" s="25" t="s">
        <v>839</v>
      </c>
      <c r="D161" s="103" t="s">
        <v>72</v>
      </c>
      <c r="E161" s="103" t="s">
        <v>72</v>
      </c>
      <c r="F161" s="103" t="s">
        <v>72</v>
      </c>
      <c r="G161" s="103"/>
      <c r="H161" s="103" t="s">
        <v>249</v>
      </c>
      <c r="I161" s="103" t="s">
        <v>249</v>
      </c>
      <c r="J161" s="103"/>
      <c r="K161" s="14" t="s">
        <v>725</v>
      </c>
      <c r="L161" s="14" t="s">
        <v>74</v>
      </c>
      <c r="M161" s="14" t="s">
        <v>75</v>
      </c>
      <c r="N161" s="23" t="s">
        <v>76</v>
      </c>
      <c r="O161" s="155">
        <f>VLOOKUP(Tabla1[[#This Row],[Matricula]],BAJA2022202320242025!$B$3:$CR$245,93,FALSE)</f>
        <v>44958</v>
      </c>
      <c r="P161" s="163">
        <v>45188</v>
      </c>
      <c r="Q161" s="164">
        <f>Tabla1[[#This Row],[F.Vig.Final]]-Tabla1[[#This Row],[f Vig Inicio]]</f>
        <v>230</v>
      </c>
      <c r="R161" s="141">
        <f>YEAR(Tabla1[[#This Row],[F.Vig.Final]])</f>
        <v>2023</v>
      </c>
      <c r="S161" s="25" t="s">
        <v>77</v>
      </c>
      <c r="T161" s="14" t="s">
        <v>78</v>
      </c>
      <c r="U161" s="14" t="s">
        <v>79</v>
      </c>
      <c r="V161" s="14" t="s">
        <v>812</v>
      </c>
      <c r="W161" s="14" t="s">
        <v>102</v>
      </c>
      <c r="X161" s="14" t="s">
        <v>103</v>
      </c>
      <c r="Y161" s="14" t="s">
        <v>440</v>
      </c>
      <c r="Z161" s="16">
        <f>COUNTIF($X$3:X161, X161)</f>
        <v>38</v>
      </c>
      <c r="AA161" s="16" t="s">
        <v>840</v>
      </c>
      <c r="AB161" s="16" t="s">
        <v>85</v>
      </c>
      <c r="AC161" s="16" t="s">
        <v>114</v>
      </c>
      <c r="AD161" s="16" t="s">
        <v>87</v>
      </c>
      <c r="AE161" s="60" t="s">
        <v>567</v>
      </c>
      <c r="AF161" s="24" t="s">
        <v>108</v>
      </c>
      <c r="AG161" s="27">
        <v>44922</v>
      </c>
      <c r="AH161" s="137">
        <f>Tabla1[[#This Row],[Renov. Flota]]-Tabla1[[#This Row],[Año]]</f>
        <v>0</v>
      </c>
      <c r="AI161" s="18" t="s">
        <v>102</v>
      </c>
      <c r="AJ161" s="109">
        <v>4500348763</v>
      </c>
      <c r="AK161" s="60" t="s">
        <v>103</v>
      </c>
      <c r="AM161" s="1" t="s">
        <v>72</v>
      </c>
      <c r="AN161" s="1" t="s">
        <v>109</v>
      </c>
      <c r="AO161" s="1" t="s">
        <v>841</v>
      </c>
      <c r="AP161" s="70">
        <v>5.6</v>
      </c>
      <c r="AQ161" s="71">
        <f t="shared" si="7"/>
        <v>10</v>
      </c>
      <c r="AR161" s="72">
        <v>17.3</v>
      </c>
      <c r="AS161" s="73">
        <f>IF(Tabla1[[#This Row],[Columna2]]="M1",13073,IF(Tabla1[[#This Row],[Columna2]]="N1",15815,IF(Tabla1[[#This Row],[Columna2]]="L3e",2831,53508)))</f>
        <v>15815</v>
      </c>
      <c r="AT161" s="73">
        <f>(Tabla1[[#This Row],[CVA]]*Tabla1[[#This Row],[F]]-Tabla1[[#This Row],[CVN]])/100*Tabla1[[#This Row],[L]]</f>
        <v>6120.4049999999997</v>
      </c>
      <c r="AU161" s="74" t="s">
        <v>128</v>
      </c>
      <c r="AV161" s="294">
        <f>VLOOKUP(B161,Tabla467824[[ID CAE2]:[AE '[kWh']]],6,FALSE)</f>
        <v>5607.9989999999989</v>
      </c>
      <c r="AW16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62" spans="1:49" ht="15" x14ac:dyDescent="0.25">
      <c r="A162" s="114" t="s">
        <v>842</v>
      </c>
      <c r="B162" t="str">
        <f>VLOOKUP(A162,Tabla46782[ID CAE],1,FALSE)</f>
        <v>CAE500156</v>
      </c>
      <c r="C162" s="25" t="s">
        <v>843</v>
      </c>
      <c r="D162" s="103" t="s">
        <v>72</v>
      </c>
      <c r="E162" s="103"/>
      <c r="F162" s="103"/>
      <c r="G162" s="103" t="s">
        <v>72</v>
      </c>
      <c r="H162" s="103"/>
      <c r="I162" s="103" t="s">
        <v>72</v>
      </c>
      <c r="J162" s="103" t="s">
        <v>72</v>
      </c>
      <c r="K162" s="14" t="s">
        <v>158</v>
      </c>
      <c r="L162" s="14" t="s">
        <v>159</v>
      </c>
      <c r="M162" s="14" t="s">
        <v>158</v>
      </c>
      <c r="N162" s="23" t="s">
        <v>171</v>
      </c>
      <c r="O162" s="155">
        <f>VLOOKUP(Tabla1[[#This Row],[Matricula]],BAJA2022202320242025!$B$3:$CR$245,93,FALSE)</f>
        <v>41544</v>
      </c>
      <c r="P162" s="24">
        <v>45561</v>
      </c>
      <c r="Q162" s="161">
        <f>Tabla1[[#This Row],[F.Vig.Final]]-Tabla1[[#This Row],[f Vig Inicio]]</f>
        <v>4017</v>
      </c>
      <c r="R162" s="141">
        <f>YEAR(Tabla1[[#This Row],[F.Vig.Final]])</f>
        <v>2024</v>
      </c>
      <c r="S162" s="25" t="s">
        <v>172</v>
      </c>
      <c r="T162" s="14" t="s">
        <v>71</v>
      </c>
      <c r="U162" s="14" t="s">
        <v>844</v>
      </c>
      <c r="V162" s="14" t="s">
        <v>845</v>
      </c>
      <c r="W162" s="14" t="s">
        <v>81</v>
      </c>
      <c r="X162" s="14" t="s">
        <v>82</v>
      </c>
      <c r="Y162" s="14" t="s">
        <v>164</v>
      </c>
      <c r="Z162" s="16">
        <f>COUNTIF($X$3:X162, X162)</f>
        <v>11</v>
      </c>
      <c r="AA162" s="16" t="s">
        <v>846</v>
      </c>
      <c r="AB162" s="16" t="s">
        <v>380</v>
      </c>
      <c r="AC162" s="16" t="s">
        <v>381</v>
      </c>
      <c r="AD162" s="16" t="s">
        <v>87</v>
      </c>
      <c r="AE162" s="60" t="s">
        <v>164</v>
      </c>
      <c r="AF162" s="24" t="s">
        <v>89</v>
      </c>
      <c r="AG162" s="27">
        <v>45616</v>
      </c>
      <c r="AH162" s="137">
        <f>Tabla1[[#This Row],[Renov. Flota]]-Tabla1[[#This Row],[Año]]</f>
        <v>0</v>
      </c>
      <c r="AI162" s="18" t="s">
        <v>81</v>
      </c>
      <c r="AJ162" s="107" t="str">
        <f>VLOOKUP(Tabla1[[#This Row],[Matricula nueva]],'ALTA 20242025'!$B$2:$P$242,15,FALSE)</f>
        <v>4500423383</v>
      </c>
      <c r="AK162" s="60" t="s">
        <v>82</v>
      </c>
      <c r="AM162" s="1" t="s">
        <v>72</v>
      </c>
      <c r="AN162" s="1" t="s">
        <v>91</v>
      </c>
      <c r="AO162" s="1" t="s">
        <v>848</v>
      </c>
      <c r="AP162" s="70">
        <v>2.9</v>
      </c>
      <c r="AQ162" s="71">
        <f t="shared" si="7"/>
        <v>9.19</v>
      </c>
      <c r="AR162" s="72">
        <v>20</v>
      </c>
      <c r="AS162" s="73">
        <f>IF(Tabla1[[#This Row],[Columna2]]="M1",13073,IF(Tabla1[[#This Row],[Columna2]]="N1",15815,IF(Tabla1[[#This Row],[Columna2]]="L3e",2831,53508)))</f>
        <v>2831</v>
      </c>
      <c r="AT162" s="73">
        <f>(Tabla1[[#This Row],[CVA]]*Tabla1[[#This Row],[F]]-Tabla1[[#This Row],[CVN]])/100*Tabla1[[#This Row],[L]]</f>
        <v>188.28980999999987</v>
      </c>
      <c r="AU162" s="74" t="s">
        <v>157</v>
      </c>
      <c r="AV162" s="294">
        <f>VLOOKUP(B162,Tabla467824[[ID CAE2]:[AE '[kWh']]],6,FALSE)</f>
        <v>617.46940999999993</v>
      </c>
      <c r="AW16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163" spans="1:49" ht="15.75" thickBot="1" x14ac:dyDescent="0.3">
      <c r="A163" s="114" t="s">
        <v>849</v>
      </c>
      <c r="B163" t="str">
        <f>VLOOKUP(A163,Tabla46782[ID CAE],1,FALSE)</f>
        <v>CAE500157</v>
      </c>
      <c r="C163" s="25" t="s">
        <v>850</v>
      </c>
      <c r="D163" s="103" t="s">
        <v>72</v>
      </c>
      <c r="E163" s="103"/>
      <c r="F163" s="103"/>
      <c r="G163" s="103" t="s">
        <v>72</v>
      </c>
      <c r="H163" s="103" t="s">
        <v>72</v>
      </c>
      <c r="I163" s="103" t="s">
        <v>72</v>
      </c>
      <c r="J163" s="103"/>
      <c r="K163" s="14" t="s">
        <v>158</v>
      </c>
      <c r="L163" s="14" t="s">
        <v>159</v>
      </c>
      <c r="M163" s="14" t="s">
        <v>158</v>
      </c>
      <c r="N163" s="23" t="s">
        <v>171</v>
      </c>
      <c r="O163" s="156">
        <f>VLOOKUP(Tabla1[[#This Row],[Matricula]],BAJA2022202320242025!$B$3:$CR$245,93,FALSE)</f>
        <v>41960</v>
      </c>
      <c r="P163" s="28">
        <v>45579</v>
      </c>
      <c r="Q163" s="159">
        <f>Tabla1[[#This Row],[F.Vig.Final]]-Tabla1[[#This Row],[f Vig Inicio]]</f>
        <v>3619</v>
      </c>
      <c r="R163" s="141">
        <f>YEAR(Tabla1[[#This Row],[F.Vig.Final]])</f>
        <v>2024</v>
      </c>
      <c r="S163" s="25" t="s">
        <v>172</v>
      </c>
      <c r="T163" s="14" t="s">
        <v>71</v>
      </c>
      <c r="U163" s="14" t="s">
        <v>844</v>
      </c>
      <c r="V163" s="14" t="s">
        <v>845</v>
      </c>
      <c r="W163" s="14" t="s">
        <v>81</v>
      </c>
      <c r="X163" s="14" t="s">
        <v>82</v>
      </c>
      <c r="Y163" s="14" t="s">
        <v>143</v>
      </c>
      <c r="Z163" s="16">
        <f>COUNTIF($X$3:X163, X163)</f>
        <v>12</v>
      </c>
      <c r="AA163" s="16" t="s">
        <v>851</v>
      </c>
      <c r="AB163" s="16" t="s">
        <v>380</v>
      </c>
      <c r="AC163" s="16" t="s">
        <v>381</v>
      </c>
      <c r="AD163" s="16" t="s">
        <v>87</v>
      </c>
      <c r="AE163" s="60" t="s">
        <v>174</v>
      </c>
      <c r="AF163" s="28" t="s">
        <v>89</v>
      </c>
      <c r="AG163" s="27">
        <v>45616</v>
      </c>
      <c r="AH163" s="137">
        <f>Tabla1[[#This Row],[Renov. Flota]]-Tabla1[[#This Row],[Año]]</f>
        <v>0</v>
      </c>
      <c r="AI163" s="18" t="s">
        <v>81</v>
      </c>
      <c r="AJ163" s="107" t="str">
        <f>VLOOKUP(Tabla1[[#This Row],[Matricula nueva]],'ALTA 20242025'!$B$2:$P$242,15,FALSE)</f>
        <v>4500423228</v>
      </c>
      <c r="AK163" s="60" t="s">
        <v>82</v>
      </c>
      <c r="AM163" s="1" t="s">
        <v>72</v>
      </c>
      <c r="AN163" s="1" t="s">
        <v>91</v>
      </c>
      <c r="AO163" s="1" t="s">
        <v>853</v>
      </c>
      <c r="AP163" s="75">
        <v>2.9</v>
      </c>
      <c r="AQ163" s="76">
        <f t="shared" si="7"/>
        <v>9.19</v>
      </c>
      <c r="AR163" s="77">
        <v>20</v>
      </c>
      <c r="AS163" s="78">
        <f>IF(Tabla1[[#This Row],[Columna2]]="M1",13073,IF(Tabla1[[#This Row],[Columna2]]="N1",15815,IF(Tabla1[[#This Row],[Columna2]]="L3e",2831,53508)))</f>
        <v>2831</v>
      </c>
      <c r="AT163" s="78">
        <f>(Tabla1[[#This Row],[CVA]]*Tabla1[[#This Row],[F]]-Tabla1[[#This Row],[CVN]])/100*Tabla1[[#This Row],[L]]</f>
        <v>188.28980999999987</v>
      </c>
      <c r="AU163" s="79" t="s">
        <v>157</v>
      </c>
      <c r="AV163" s="294">
        <f>VLOOKUP(B163,Tabla467824[[ID CAE2]:[AE '[kWh']]],6,FALSE)</f>
        <v>617.46940999999993</v>
      </c>
      <c r="AW16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64" spans="1:49" ht="15.75" hidden="1" thickBot="1" x14ac:dyDescent="0.3">
      <c r="A164" t="s">
        <v>1293</v>
      </c>
      <c r="B164" t="e">
        <f>VLOOKUP(A164,Tabla46782[ID CAE],1,FALSE)</f>
        <v>#N/A</v>
      </c>
      <c r="C164" s="14" t="s">
        <v>1294</v>
      </c>
      <c r="D164" s="14"/>
      <c r="E164" s="14"/>
      <c r="F164" s="14"/>
      <c r="G164" s="14"/>
      <c r="H164" s="14"/>
      <c r="I164" s="14"/>
      <c r="J164" s="14"/>
      <c r="K164" s="14" t="s">
        <v>73</v>
      </c>
      <c r="L164" s="14" t="s">
        <v>200</v>
      </c>
      <c r="M164" s="14" t="s">
        <v>201</v>
      </c>
      <c r="N164" s="14" t="s">
        <v>160</v>
      </c>
      <c r="O164" s="152">
        <f>VLOOKUP(Tabla1[[#This Row],[Matricula]],BAJA2022202320242025!$B$3:$CR$245,93,FALSE)</f>
        <v>44196</v>
      </c>
      <c r="P164" s="15">
        <v>45657</v>
      </c>
      <c r="Q164" s="40">
        <f>Tabla1[[#This Row],[F.Vig.Final]]-Tabla1[[#This Row],[f Vig Inicio]]</f>
        <v>1461</v>
      </c>
      <c r="R164" s="141">
        <f>YEAR(Tabla1[[#This Row],[F.Vig.Final]])</f>
        <v>2024</v>
      </c>
      <c r="S164" s="14" t="s">
        <v>161</v>
      </c>
      <c r="T164" s="14" t="s">
        <v>78</v>
      </c>
      <c r="U164" s="14" t="s">
        <v>467</v>
      </c>
      <c r="V164" s="14" t="s">
        <v>500</v>
      </c>
      <c r="W164" s="14" t="s">
        <v>584</v>
      </c>
      <c r="X164" s="14" t="s">
        <v>585</v>
      </c>
      <c r="Y164" s="14" t="s">
        <v>897</v>
      </c>
      <c r="Z164" s="16">
        <f>COUNTIF($X$3:X164, X164)</f>
        <v>8</v>
      </c>
      <c r="AA164" s="16" t="e">
        <v>#N/A</v>
      </c>
      <c r="AB164" s="16" t="e">
        <v>#N/A</v>
      </c>
      <c r="AC164" s="16" t="e">
        <v>#N/A</v>
      </c>
      <c r="AD164" s="16" t="e">
        <v>#N/A</v>
      </c>
      <c r="AE164" s="16" t="e">
        <v>#N/A</v>
      </c>
      <c r="AF164" s="15" t="e">
        <v>#N/A</v>
      </c>
      <c r="AG164" s="17" t="e">
        <v>#N/A</v>
      </c>
      <c r="AH164" s="16" t="e">
        <f>Tabla1[[#This Row],[Renov. Flota]]-Tabla1[[#This Row],[Año]]</f>
        <v>#N/A</v>
      </c>
      <c r="AI164" s="18" t="e">
        <v>#N/A</v>
      </c>
      <c r="AJ164" s="18" t="e">
        <f>VLOOKUP(Tabla1[[#This Row],[Matricula nueva]],'ALTA 20242025'!$B$2:$P$242,15,FALSE)</f>
        <v>#N/A</v>
      </c>
      <c r="AK164" s="19" t="e">
        <v>#N/A</v>
      </c>
      <c r="AN164" s="1"/>
      <c r="AO164" s="1" t="e">
        <f>VLOOKUP(Tabla1[[#This Row],[Matricula nueva]],Hoja2!$A$1:$B$224,2,FALSE)</f>
        <v>#N/A</v>
      </c>
      <c r="AP164" s="1" t="str">
        <f>IF(Tabla1[[#This Row],[Columna2]]="M1",5.1,"")</f>
        <v/>
      </c>
      <c r="AQ164" s="1"/>
      <c r="AR164" s="1"/>
      <c r="AS164" s="47">
        <f>IF(Tabla1[[#This Row],[Columna2]]="M1",13073,IF(Tabla1[[#This Row],[Columna2]]="N1",15815,IF(Tabla1[[#This Row],[Columna2]]="L3e",2831,53508)))</f>
        <v>53508</v>
      </c>
      <c r="AT164" s="47" t="e">
        <f>(Tabla1[[#This Row],[CVA]]*Tabla1[[#This Row],[F]]-Tabla1[[#This Row],[CVN]])/100*Tabla1[[#This Row],[L]]</f>
        <v>#VALUE!</v>
      </c>
      <c r="AU164" s="1"/>
      <c r="AV164" s="1" t="e">
        <f>VLOOKUP(B164,Tabla467824[[ID CAE2]:[AE '[kWh']]],6,FALSE)</f>
        <v>#N/A</v>
      </c>
      <c r="AW16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65" spans="1:49" ht="15" x14ac:dyDescent="0.25">
      <c r="A165" s="114" t="s">
        <v>854</v>
      </c>
      <c r="B165" t="str">
        <f>VLOOKUP(A165,Tabla46782[ID CAE],1,FALSE)</f>
        <v>CAE500159</v>
      </c>
      <c r="C165" s="25" t="s">
        <v>855</v>
      </c>
      <c r="D165" s="103"/>
      <c r="E165" s="103"/>
      <c r="F165" s="103"/>
      <c r="G165" s="103" t="s">
        <v>72</v>
      </c>
      <c r="H165" s="103" t="s">
        <v>72</v>
      </c>
      <c r="I165" s="103" t="s">
        <v>72</v>
      </c>
      <c r="J165" s="103"/>
      <c r="K165" s="14" t="s">
        <v>158</v>
      </c>
      <c r="L165" s="14" t="s">
        <v>159</v>
      </c>
      <c r="M165" s="14" t="s">
        <v>158</v>
      </c>
      <c r="N165" s="23" t="s">
        <v>171</v>
      </c>
      <c r="O165" s="157">
        <f>VLOOKUP(Tabla1[[#This Row],[Matricula]],BAJA2022202320242025!$B$3:$CR$245,93,FALSE)</f>
        <v>42122</v>
      </c>
      <c r="P165" s="29">
        <v>45558</v>
      </c>
      <c r="Q165" s="161">
        <f>Tabla1[[#This Row],[F.Vig.Final]]-Tabla1[[#This Row],[f Vig Inicio]]</f>
        <v>3436</v>
      </c>
      <c r="R165" s="141">
        <f>YEAR(Tabla1[[#This Row],[F.Vig.Final]])</f>
        <v>2024</v>
      </c>
      <c r="S165" s="25" t="s">
        <v>172</v>
      </c>
      <c r="T165" s="14" t="s">
        <v>71</v>
      </c>
      <c r="U165" s="14" t="s">
        <v>844</v>
      </c>
      <c r="V165" s="14" t="s">
        <v>845</v>
      </c>
      <c r="W165" s="14" t="s">
        <v>81</v>
      </c>
      <c r="X165" s="14" t="s">
        <v>82</v>
      </c>
      <c r="Y165" s="14" t="s">
        <v>143</v>
      </c>
      <c r="Z165" s="16">
        <f>COUNTIF($X$3:X165, X165)</f>
        <v>13</v>
      </c>
      <c r="AA165" s="16" t="s">
        <v>856</v>
      </c>
      <c r="AB165" s="16" t="s">
        <v>85</v>
      </c>
      <c r="AC165" s="16" t="s">
        <v>86</v>
      </c>
      <c r="AD165" s="16" t="s">
        <v>87</v>
      </c>
      <c r="AE165" s="60" t="s">
        <v>174</v>
      </c>
      <c r="AF165" s="29" t="s">
        <v>89</v>
      </c>
      <c r="AG165" s="27">
        <v>45625</v>
      </c>
      <c r="AH165" s="137">
        <f>Tabla1[[#This Row],[Renov. Flota]]-Tabla1[[#This Row],[Año]]</f>
        <v>0</v>
      </c>
      <c r="AI165" s="18" t="s">
        <v>81</v>
      </c>
      <c r="AJ165" s="107" t="str">
        <f>VLOOKUP(Tabla1[[#This Row],[Matricula nueva]],'ALTA 20242025'!$B$2:$P$242,15,FALSE)</f>
        <v>4500426792</v>
      </c>
      <c r="AK165" s="60" t="s">
        <v>82</v>
      </c>
      <c r="AM165" s="1" t="s">
        <v>72</v>
      </c>
      <c r="AN165" s="1" t="s">
        <v>91</v>
      </c>
      <c r="AO165" s="1" t="str">
        <f>VLOOKUP(Tabla1[[#This Row],[Matricula nueva]],Hoja2!$A$1:$B$224,2,FALSE)</f>
        <v>VF1RFK00X73824841</v>
      </c>
      <c r="AP165" s="65">
        <v>2.9</v>
      </c>
      <c r="AQ165" s="66">
        <f t="shared" ref="AQ165:AQ171" si="8">IF(T165="DIESEL",10,IF(T165="GLP",7.16,9.19))</f>
        <v>9.19</v>
      </c>
      <c r="AR165" s="67">
        <v>17.3</v>
      </c>
      <c r="AS165" s="68">
        <f>IF(Tabla1[[#This Row],[Columna2]]="M1",13073,IF(Tabla1[[#This Row],[Columna2]]="N1",15815,IF(Tabla1[[#This Row],[Columna2]]="L3e",2831,53508)))</f>
        <v>2831</v>
      </c>
      <c r="AT165" s="68">
        <f>(Tabla1[[#This Row],[CVA]]*Tabla1[[#This Row],[F]]-Tabla1[[#This Row],[CVN]])/100*Tabla1[[#This Row],[L]]</f>
        <v>264.72680999999989</v>
      </c>
      <c r="AU165" s="69" t="s">
        <v>157</v>
      </c>
      <c r="AV165" s="294">
        <f>VLOOKUP(B165,Tabla467824[[ID CAE2]:[AE '[kWh']]],6,FALSE)</f>
        <v>617.46940999999993</v>
      </c>
      <c r="AW16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66" spans="1:49" ht="15" x14ac:dyDescent="0.25">
      <c r="A166" s="114" t="s">
        <v>859</v>
      </c>
      <c r="B166" t="str">
        <f>VLOOKUP(A166,Tabla46782[ID CAE],1,FALSE)</f>
        <v>CAE500160</v>
      </c>
      <c r="C166" s="25" t="s">
        <v>860</v>
      </c>
      <c r="D166" s="103" t="s">
        <v>72</v>
      </c>
      <c r="E166" s="103"/>
      <c r="F166" s="103"/>
      <c r="G166" s="103" t="s">
        <v>72</v>
      </c>
      <c r="H166" s="103" t="s">
        <v>72</v>
      </c>
      <c r="I166" s="103" t="s">
        <v>72</v>
      </c>
      <c r="J166" s="103" t="s">
        <v>72</v>
      </c>
      <c r="K166" s="14" t="s">
        <v>158</v>
      </c>
      <c r="L166" s="14" t="s">
        <v>159</v>
      </c>
      <c r="M166" s="14" t="s">
        <v>158</v>
      </c>
      <c r="N166" s="23" t="s">
        <v>171</v>
      </c>
      <c r="O166" s="155">
        <f>VLOOKUP(Tabla1[[#This Row],[Matricula]],BAJA2022202320242025!$B$3:$CR$245,93,FALSE)</f>
        <v>41960</v>
      </c>
      <c r="P166" s="24">
        <v>45561</v>
      </c>
      <c r="Q166" s="159">
        <f>Tabla1[[#This Row],[F.Vig.Final]]-Tabla1[[#This Row],[f Vig Inicio]]</f>
        <v>3601</v>
      </c>
      <c r="R166" s="141">
        <f>YEAR(Tabla1[[#This Row],[F.Vig.Final]])</f>
        <v>2024</v>
      </c>
      <c r="S166" s="25" t="s">
        <v>172</v>
      </c>
      <c r="T166" s="14" t="s">
        <v>71</v>
      </c>
      <c r="U166" s="14" t="s">
        <v>844</v>
      </c>
      <c r="V166" s="14" t="s">
        <v>845</v>
      </c>
      <c r="W166" s="14" t="s">
        <v>81</v>
      </c>
      <c r="X166" s="14" t="s">
        <v>82</v>
      </c>
      <c r="Y166" s="14" t="s">
        <v>143</v>
      </c>
      <c r="Z166" s="16">
        <f>COUNTIF($X$3:X166, X166)</f>
        <v>14</v>
      </c>
      <c r="AA166" s="16" t="s">
        <v>861</v>
      </c>
      <c r="AB166" s="16" t="s">
        <v>85</v>
      </c>
      <c r="AC166" s="16" t="s">
        <v>86</v>
      </c>
      <c r="AD166" s="16" t="s">
        <v>87</v>
      </c>
      <c r="AE166" s="60" t="s">
        <v>143</v>
      </c>
      <c r="AF166" s="24" t="s">
        <v>89</v>
      </c>
      <c r="AG166" s="27">
        <v>45625</v>
      </c>
      <c r="AH166" s="137">
        <f>Tabla1[[#This Row],[Renov. Flota]]-Tabla1[[#This Row],[Año]]</f>
        <v>0</v>
      </c>
      <c r="AI166" s="18" t="s">
        <v>81</v>
      </c>
      <c r="AJ166" s="107" t="str">
        <f>VLOOKUP(Tabla1[[#This Row],[Matricula nueva]],'ALTA 20242025'!$B$2:$P$242,15,FALSE)</f>
        <v>4500426840</v>
      </c>
      <c r="AK166" s="60" t="s">
        <v>82</v>
      </c>
      <c r="AM166" s="1" t="s">
        <v>72</v>
      </c>
      <c r="AN166" s="1" t="s">
        <v>91</v>
      </c>
      <c r="AO166" s="1" t="str">
        <f>VLOOKUP(Tabla1[[#This Row],[Matricula nueva]],Hoja2!$A$1:$B$224,2,FALSE)</f>
        <v>VF1RFK00573824844</v>
      </c>
      <c r="AP166" s="70">
        <v>2.9</v>
      </c>
      <c r="AQ166" s="71">
        <f t="shared" si="8"/>
        <v>9.19</v>
      </c>
      <c r="AR166" s="72">
        <v>17.3</v>
      </c>
      <c r="AS166" s="73">
        <f>IF(Tabla1[[#This Row],[Columna2]]="M1",13073,IF(Tabla1[[#This Row],[Columna2]]="N1",15815,IF(Tabla1[[#This Row],[Columna2]]="L3e",2831,53508)))</f>
        <v>2831</v>
      </c>
      <c r="AT166" s="73">
        <f>(Tabla1[[#This Row],[CVA]]*Tabla1[[#This Row],[F]]-Tabla1[[#This Row],[CVN]])/100*Tabla1[[#This Row],[L]]</f>
        <v>264.72680999999989</v>
      </c>
      <c r="AU166" s="74" t="s">
        <v>157</v>
      </c>
      <c r="AV166" s="294">
        <f>VLOOKUP(B166,Tabla467824[[ID CAE2]:[AE '[kWh']]],6,FALSE)</f>
        <v>617.46940999999993</v>
      </c>
      <c r="AW16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167" spans="1:49" ht="15" x14ac:dyDescent="0.25">
      <c r="A167" s="114" t="s">
        <v>864</v>
      </c>
      <c r="B167" t="str">
        <f>VLOOKUP(A167,Tabla46782[ID CAE],1,FALSE)</f>
        <v>CAE500161</v>
      </c>
      <c r="C167" s="25" t="s">
        <v>865</v>
      </c>
      <c r="D167" s="103" t="s">
        <v>72</v>
      </c>
      <c r="E167" s="103"/>
      <c r="F167" s="103"/>
      <c r="G167" s="103"/>
      <c r="H167" s="103" t="s">
        <v>72</v>
      </c>
      <c r="I167" s="103" t="s">
        <v>72</v>
      </c>
      <c r="J167" s="103"/>
      <c r="K167" s="14" t="s">
        <v>866</v>
      </c>
      <c r="L167" s="14" t="s">
        <v>74</v>
      </c>
      <c r="M167" s="14" t="s">
        <v>75</v>
      </c>
      <c r="N167" s="23" t="s">
        <v>76</v>
      </c>
      <c r="O167" s="155">
        <f>VLOOKUP(Tabla1[[#This Row],[Matricula]],BAJA2022202320242025!$B$3:$CR$245,93,FALSE)</f>
        <v>45541</v>
      </c>
      <c r="P167" s="163">
        <v>45631</v>
      </c>
      <c r="Q167" s="164">
        <f>Tabla1[[#This Row],[F.Vig.Final]]-Tabla1[[#This Row],[f Vig Inicio]]</f>
        <v>90</v>
      </c>
      <c r="R167" s="141">
        <f>YEAR(Tabla1[[#This Row],[F.Vig.Final]])</f>
        <v>2024</v>
      </c>
      <c r="S167" s="25" t="s">
        <v>77</v>
      </c>
      <c r="T167" s="14" t="s">
        <v>78</v>
      </c>
      <c r="U167" s="14" t="s">
        <v>79</v>
      </c>
      <c r="V167" s="14" t="s">
        <v>867</v>
      </c>
      <c r="W167" s="14" t="s">
        <v>336</v>
      </c>
      <c r="X167" s="14" t="s">
        <v>337</v>
      </c>
      <c r="Y167" s="14" t="s">
        <v>351</v>
      </c>
      <c r="Z167" s="16">
        <f>COUNTIF($X$3:X167, X167)</f>
        <v>9</v>
      </c>
      <c r="AA167" s="16" t="s">
        <v>868</v>
      </c>
      <c r="AB167" s="16" t="s">
        <v>140</v>
      </c>
      <c r="AC167" s="16" t="s">
        <v>151</v>
      </c>
      <c r="AD167" s="16" t="s">
        <v>87</v>
      </c>
      <c r="AE167" s="60" t="s">
        <v>338</v>
      </c>
      <c r="AF167" s="24" t="s">
        <v>89</v>
      </c>
      <c r="AG167" s="27">
        <v>45625</v>
      </c>
      <c r="AH167" s="137">
        <f>Tabla1[[#This Row],[Renov. Flota]]-Tabla1[[#This Row],[Año]]</f>
        <v>0</v>
      </c>
      <c r="AI167" s="18" t="s">
        <v>336</v>
      </c>
      <c r="AJ167" s="107" t="str">
        <f>VLOOKUP(Tabla1[[#This Row],[Matricula nueva]],'ALTA 20242025'!$B$2:$P$242,15,FALSE)</f>
        <v>4500424800</v>
      </c>
      <c r="AK167" s="60" t="s">
        <v>337</v>
      </c>
      <c r="AM167" s="1" t="s">
        <v>72</v>
      </c>
      <c r="AN167" s="1" t="s">
        <v>91</v>
      </c>
      <c r="AO167" s="1" t="str">
        <f>VLOOKUP(Tabla1[[#This Row],[Matricula nueva]],Hoja2!$A$1:$B$224,2,FALSE)</f>
        <v>VR7CBZYA4RT154440</v>
      </c>
      <c r="AP167" s="70">
        <v>5.6</v>
      </c>
      <c r="AQ167" s="71">
        <f t="shared" si="8"/>
        <v>10</v>
      </c>
      <c r="AR167" s="72">
        <v>16.399999999999999</v>
      </c>
      <c r="AS167" s="73">
        <f>IF(Tabla1[[#This Row],[Columna2]]="M1",13073,IF(Tabla1[[#This Row],[Columna2]]="N1",15815,IF(Tabla1[[#This Row],[Columna2]]="L3e",2831,53508)))</f>
        <v>15815</v>
      </c>
      <c r="AT167" s="73">
        <f>(Tabla1[[#This Row],[CVA]]*Tabla1[[#This Row],[F]]-Tabla1[[#This Row],[CVN]])/100*Tabla1[[#This Row],[L]]</f>
        <v>6262.7400000000007</v>
      </c>
      <c r="AU167" s="74" t="s">
        <v>128</v>
      </c>
      <c r="AV167" s="294">
        <f>VLOOKUP(B167,Tabla467824[[ID CAE2]:[AE '[kWh']]],6,FALSE)</f>
        <v>5607.9989999999989</v>
      </c>
      <c r="AW16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68" spans="1:49" ht="15" x14ac:dyDescent="0.25">
      <c r="A168" s="114" t="s">
        <v>871</v>
      </c>
      <c r="B168" t="str">
        <f>VLOOKUP(A168,Tabla46782[ID CAE],1,FALSE)</f>
        <v>CAE500162</v>
      </c>
      <c r="C168" s="25" t="s">
        <v>872</v>
      </c>
      <c r="D168" s="103" t="s">
        <v>72</v>
      </c>
      <c r="E168" s="103"/>
      <c r="F168" s="103"/>
      <c r="G168" s="103"/>
      <c r="H168" s="103" t="s">
        <v>72</v>
      </c>
      <c r="I168" s="103" t="s">
        <v>72</v>
      </c>
      <c r="J168" s="103"/>
      <c r="K168" s="14" t="s">
        <v>866</v>
      </c>
      <c r="L168" s="14" t="s">
        <v>74</v>
      </c>
      <c r="M168" s="14" t="s">
        <v>75</v>
      </c>
      <c r="N168" s="23" t="s">
        <v>76</v>
      </c>
      <c r="O168" s="155">
        <f>VLOOKUP(Tabla1[[#This Row],[Matricula]],BAJA2022202320242025!$B$3:$CR$245,93,FALSE)</f>
        <v>45541</v>
      </c>
      <c r="P168" s="163">
        <v>45631</v>
      </c>
      <c r="Q168" s="164">
        <f>Tabla1[[#This Row],[F.Vig.Final]]-Tabla1[[#This Row],[f Vig Inicio]]</f>
        <v>90</v>
      </c>
      <c r="R168" s="141">
        <f>YEAR(Tabla1[[#This Row],[F.Vig.Final]])</f>
        <v>2024</v>
      </c>
      <c r="S168" s="25" t="s">
        <v>77</v>
      </c>
      <c r="T168" s="14" t="s">
        <v>78</v>
      </c>
      <c r="U168" s="14" t="s">
        <v>79</v>
      </c>
      <c r="V168" s="14" t="s">
        <v>867</v>
      </c>
      <c r="W168" s="14" t="s">
        <v>336</v>
      </c>
      <c r="X168" s="14" t="s">
        <v>337</v>
      </c>
      <c r="Y168" s="14" t="s">
        <v>351</v>
      </c>
      <c r="Z168" s="16">
        <f>COUNTIF($X$3:X168, X168)</f>
        <v>10</v>
      </c>
      <c r="AA168" s="16" t="s">
        <v>873</v>
      </c>
      <c r="AB168" s="16" t="s">
        <v>140</v>
      </c>
      <c r="AC168" s="16" t="s">
        <v>151</v>
      </c>
      <c r="AD168" s="16" t="s">
        <v>87</v>
      </c>
      <c r="AE168" s="60" t="s">
        <v>874</v>
      </c>
      <c r="AF168" s="24" t="s">
        <v>89</v>
      </c>
      <c r="AG168" s="27">
        <v>45625</v>
      </c>
      <c r="AH168" s="137">
        <f>Tabla1[[#This Row],[Renov. Flota]]-Tabla1[[#This Row],[Año]]</f>
        <v>0</v>
      </c>
      <c r="AI168" s="18" t="s">
        <v>336</v>
      </c>
      <c r="AJ168" s="107" t="str">
        <f>VLOOKUP(Tabla1[[#This Row],[Matricula nueva]],'ALTA 20242025'!$B$2:$P$242,15,FALSE)</f>
        <v>4500424799</v>
      </c>
      <c r="AK168" s="60" t="s">
        <v>337</v>
      </c>
      <c r="AM168" s="1" t="s">
        <v>72</v>
      </c>
      <c r="AN168" s="1" t="s">
        <v>91</v>
      </c>
      <c r="AO168" s="1" t="str">
        <f>VLOOKUP(Tabla1[[#This Row],[Matricula nueva]],Hoja2!$A$1:$B$224,2,FALSE)</f>
        <v>VR7CBZYA0RT153043</v>
      </c>
      <c r="AP168" s="70">
        <v>5.6</v>
      </c>
      <c r="AQ168" s="71">
        <f t="shared" si="8"/>
        <v>10</v>
      </c>
      <c r="AR168" s="72">
        <v>16.399999999999999</v>
      </c>
      <c r="AS168" s="73">
        <f>IF(Tabla1[[#This Row],[Columna2]]="M1",13073,IF(Tabla1[[#This Row],[Columna2]]="N1",15815,IF(Tabla1[[#This Row],[Columna2]]="L3e",2831,53508)))</f>
        <v>15815</v>
      </c>
      <c r="AT168" s="73">
        <f>(Tabla1[[#This Row],[CVA]]*Tabla1[[#This Row],[F]]-Tabla1[[#This Row],[CVN]])/100*Tabla1[[#This Row],[L]]</f>
        <v>6262.7400000000007</v>
      </c>
      <c r="AU168" s="74" t="s">
        <v>128</v>
      </c>
      <c r="AV168" s="294">
        <f>VLOOKUP(B168,Tabla467824[[ID CAE2]:[AE '[kWh']]],6,FALSE)</f>
        <v>5607.9989999999989</v>
      </c>
      <c r="AW16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69" spans="1:49" ht="15" x14ac:dyDescent="0.25">
      <c r="A169" s="114" t="s">
        <v>877</v>
      </c>
      <c r="B169" t="str">
        <f>VLOOKUP(A169,Tabla46782[ID CAE],1,FALSE)</f>
        <v>CAE500163</v>
      </c>
      <c r="C169" s="25" t="s">
        <v>878</v>
      </c>
      <c r="D169" s="103" t="s">
        <v>72</v>
      </c>
      <c r="E169" s="103"/>
      <c r="F169" s="103" t="s">
        <v>72</v>
      </c>
      <c r="G169" s="103"/>
      <c r="H169" s="103"/>
      <c r="I169" s="103"/>
      <c r="J169" s="103"/>
      <c r="K169" s="14" t="s">
        <v>73</v>
      </c>
      <c r="L169" s="14" t="s">
        <v>74</v>
      </c>
      <c r="M169" s="14" t="s">
        <v>75</v>
      </c>
      <c r="N169" s="23" t="s">
        <v>76</v>
      </c>
      <c r="O169" s="155">
        <f>VLOOKUP(Tabla1[[#This Row],[Matricula]],BAJA2022202320242025!$B$3:$CR$245,93,FALSE)</f>
        <v>44452</v>
      </c>
      <c r="P169" s="163">
        <v>45261</v>
      </c>
      <c r="Q169" s="164">
        <f>Tabla1[[#This Row],[F.Vig.Final]]-Tabla1[[#This Row],[f Vig Inicio]]</f>
        <v>809</v>
      </c>
      <c r="R169" s="141">
        <f>YEAR(Tabla1[[#This Row],[F.Vig.Final]])</f>
        <v>2023</v>
      </c>
      <c r="S169" s="25" t="s">
        <v>77</v>
      </c>
      <c r="T169" s="14" t="s">
        <v>71</v>
      </c>
      <c r="U169" s="14" t="s">
        <v>79</v>
      </c>
      <c r="V169" s="14" t="s">
        <v>879</v>
      </c>
      <c r="W169" s="14" t="s">
        <v>336</v>
      </c>
      <c r="X169" s="14" t="s">
        <v>337</v>
      </c>
      <c r="Y169" s="14" t="s">
        <v>880</v>
      </c>
      <c r="Z169" s="16">
        <f>COUNTIF($X$3:X169, X169)</f>
        <v>11</v>
      </c>
      <c r="AA169" s="16" t="s">
        <v>881</v>
      </c>
      <c r="AB169" s="16" t="s">
        <v>380</v>
      </c>
      <c r="AC169" s="16" t="s">
        <v>381</v>
      </c>
      <c r="AD169" s="16" t="s">
        <v>87</v>
      </c>
      <c r="AE169" s="60" t="s">
        <v>382</v>
      </c>
      <c r="AF169" s="24" t="s">
        <v>89</v>
      </c>
      <c r="AG169" s="27">
        <v>45483</v>
      </c>
      <c r="AH169" s="137">
        <f>Tabla1[[#This Row],[Renov. Flota]]-Tabla1[[#This Row],[Año]]</f>
        <v>1</v>
      </c>
      <c r="AI169" s="18" t="s">
        <v>336</v>
      </c>
      <c r="AJ169" s="109">
        <v>4500407445</v>
      </c>
      <c r="AK169" s="60" t="s">
        <v>337</v>
      </c>
      <c r="AM169" s="1" t="s">
        <v>72</v>
      </c>
      <c r="AN169" s="1" t="s">
        <v>91</v>
      </c>
      <c r="AO169" s="1" t="s">
        <v>882</v>
      </c>
      <c r="AP169" s="70">
        <f>IF(Tabla1[[#This Row],[Columna2]]="M1",5.1,"")</f>
        <v>5.0999999999999996</v>
      </c>
      <c r="AQ169" s="71">
        <f t="shared" si="8"/>
        <v>9.19</v>
      </c>
      <c r="AR169" s="72">
        <v>20</v>
      </c>
      <c r="AS169" s="73">
        <f>IF(Tabla1[[#This Row],[Columna2]]="M1",13073,IF(Tabla1[[#This Row],[Columna2]]="N1",15815,IF(Tabla1[[#This Row],[Columna2]]="L3e",2831,53508)))</f>
        <v>13073</v>
      </c>
      <c r="AT169" s="73">
        <f>(Tabla1[[#This Row],[CVA]]*Tabla1[[#This Row],[F]]-Tabla1[[#This Row],[CVN]])/100*Tabla1[[#This Row],[L]]</f>
        <v>3512.5843699999991</v>
      </c>
      <c r="AU169" s="74" t="s">
        <v>70</v>
      </c>
      <c r="AV169" s="294">
        <f>VLOOKUP(B169,Tabla467824[[ID CAE2]:[AE '[kWh']]],6,FALSE)</f>
        <v>7136.4330429999991</v>
      </c>
      <c r="AW16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0" spans="1:49" ht="15" x14ac:dyDescent="0.25">
      <c r="A170" s="114" t="s">
        <v>883</v>
      </c>
      <c r="B170" t="str">
        <f>VLOOKUP(A170,Tabla46782[ID CAE],1,FALSE)</f>
        <v>CAE500164</v>
      </c>
      <c r="C170" s="112" t="s">
        <v>884</v>
      </c>
      <c r="D170" s="103"/>
      <c r="E170" s="103"/>
      <c r="F170" s="103"/>
      <c r="G170" s="103"/>
      <c r="H170" s="103"/>
      <c r="I170" s="103"/>
      <c r="J170" s="103"/>
      <c r="K170" s="14" t="s">
        <v>885</v>
      </c>
      <c r="L170" s="14" t="s">
        <v>161</v>
      </c>
      <c r="M170" s="14" t="s">
        <v>886</v>
      </c>
      <c r="N170" s="23" t="s">
        <v>171</v>
      </c>
      <c r="O170" s="151">
        <f>VLOOKUP(Tabla1[[#This Row],[Matricula]],BAJA2022202320242025!$B$3:$CR$245,93,FALSE)</f>
        <v>45444</v>
      </c>
      <c r="P170" s="24">
        <v>45444</v>
      </c>
      <c r="Q170" s="161">
        <f>Tabla1[[#This Row],[F.Vig.Final]]-Tabla1[[#This Row],[f Vig Inicio]]</f>
        <v>0</v>
      </c>
      <c r="R170" s="141">
        <f>YEAR(Tabla1[[#This Row],[F.Vig.Final]])</f>
        <v>2024</v>
      </c>
      <c r="S170" s="25" t="s">
        <v>172</v>
      </c>
      <c r="T170" s="14" t="s">
        <v>78</v>
      </c>
      <c r="U170" s="14" t="s">
        <v>887</v>
      </c>
      <c r="V170" s="14" t="s">
        <v>888</v>
      </c>
      <c r="W170" s="14" t="s">
        <v>102</v>
      </c>
      <c r="X170" s="14" t="s">
        <v>103</v>
      </c>
      <c r="Y170" s="14" t="s">
        <v>696</v>
      </c>
      <c r="Z170" s="16">
        <f>COUNTIF($X$3:X170, X170)</f>
        <v>39</v>
      </c>
      <c r="AA170" s="16" t="s">
        <v>889</v>
      </c>
      <c r="AB170" s="16" t="s">
        <v>140</v>
      </c>
      <c r="AC170" s="16" t="s">
        <v>151</v>
      </c>
      <c r="AD170" s="16" t="s">
        <v>87</v>
      </c>
      <c r="AE170" s="60" t="s">
        <v>303</v>
      </c>
      <c r="AF170" s="24" t="s">
        <v>89</v>
      </c>
      <c r="AG170" s="27">
        <v>45625</v>
      </c>
      <c r="AH170" s="137">
        <f>Tabla1[[#This Row],[Renov. Flota]]-Tabla1[[#This Row],[Año]]</f>
        <v>0</v>
      </c>
      <c r="AI170" s="18" t="s">
        <v>102</v>
      </c>
      <c r="AJ170" s="107" t="str">
        <f>VLOOKUP(Tabla1[[#This Row],[Matricula nueva]],'ALTA 20242025'!$B$2:$P$242,15,FALSE)</f>
        <v>4500424827</v>
      </c>
      <c r="AK170" s="60" t="s">
        <v>103</v>
      </c>
      <c r="AM170" s="1" t="s">
        <v>72</v>
      </c>
      <c r="AN170" s="1" t="s">
        <v>109</v>
      </c>
      <c r="AO170" s="1" t="str">
        <f>VLOOKUP(Tabla1[[#This Row],[Matricula nueva]],Hoja2!$A$1:$B$224,2,FALSE)</f>
        <v>VR7CBZYA9RT152196</v>
      </c>
      <c r="AP170" s="70">
        <v>5.6</v>
      </c>
      <c r="AQ170" s="71">
        <f t="shared" si="8"/>
        <v>10</v>
      </c>
      <c r="AR170" s="72">
        <v>16.399999999999999</v>
      </c>
      <c r="AS170" s="73">
        <f>IF(Tabla1[[#This Row],[Columna2]]="M1",13073,IF(Tabla1[[#This Row],[Columna2]]="N1",15815,IF(Tabla1[[#This Row],[Columna2]]="L3e",2831,53508)))</f>
        <v>15815</v>
      </c>
      <c r="AT170" s="73">
        <f>(Tabla1[[#This Row],[CVA]]*Tabla1[[#This Row],[F]]-Tabla1[[#This Row],[CVN]])/100*Tabla1[[#This Row],[L]]</f>
        <v>6262.7400000000007</v>
      </c>
      <c r="AU170" s="74" t="s">
        <v>128</v>
      </c>
      <c r="AV170" s="294">
        <f>VLOOKUP(B170,Tabla467824[[ID CAE2]:[AE '[kWh']]],6,FALSE)</f>
        <v>123854.9676</v>
      </c>
      <c r="AW17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1" spans="1:49" ht="15.75" thickBot="1" x14ac:dyDescent="0.3">
      <c r="A171" s="114" t="s">
        <v>892</v>
      </c>
      <c r="B171" t="str">
        <f>VLOOKUP(A171,Tabla46782[ID CAE],1,FALSE)</f>
        <v>CAE500165</v>
      </c>
      <c r="C171" s="25" t="s">
        <v>893</v>
      </c>
      <c r="D171" s="103" t="s">
        <v>72</v>
      </c>
      <c r="E171" s="103" t="s">
        <v>72</v>
      </c>
      <c r="F171" s="103" t="s">
        <v>72</v>
      </c>
      <c r="G171" s="103"/>
      <c r="H171" s="103" t="s">
        <v>249</v>
      </c>
      <c r="I171" s="103" t="s">
        <v>72</v>
      </c>
      <c r="J171" s="103"/>
      <c r="K171" s="14" t="s">
        <v>73</v>
      </c>
      <c r="L171" s="14" t="s">
        <v>200</v>
      </c>
      <c r="M171" s="14" t="s">
        <v>201</v>
      </c>
      <c r="N171" s="23" t="s">
        <v>76</v>
      </c>
      <c r="O171" s="153">
        <f>VLOOKUP(Tabla1[[#This Row],[Matricula]],BAJA2022202320242025!$B$3:$CR$245,93,FALSE)</f>
        <v>42747</v>
      </c>
      <c r="P171" s="28">
        <v>45169</v>
      </c>
      <c r="Q171" s="159">
        <f>Tabla1[[#This Row],[F.Vig.Final]]-Tabla1[[#This Row],[f Vig Inicio]]</f>
        <v>2422</v>
      </c>
      <c r="R171" s="141">
        <f>YEAR(Tabla1[[#This Row],[F.Vig.Final]])</f>
        <v>2023</v>
      </c>
      <c r="S171" s="25" t="s">
        <v>77</v>
      </c>
      <c r="T171" s="14" t="s">
        <v>78</v>
      </c>
      <c r="U171" s="14" t="s">
        <v>359</v>
      </c>
      <c r="V171" s="14" t="s">
        <v>894</v>
      </c>
      <c r="W171" s="14" t="s">
        <v>584</v>
      </c>
      <c r="X171" s="14" t="s">
        <v>585</v>
      </c>
      <c r="Y171" s="14" t="s">
        <v>895</v>
      </c>
      <c r="Z171" s="16">
        <f>COUNTIF($X$3:X171, X171)</f>
        <v>9</v>
      </c>
      <c r="AA171" s="16" t="s">
        <v>896</v>
      </c>
      <c r="AB171" s="16" t="s">
        <v>85</v>
      </c>
      <c r="AC171" s="16" t="s">
        <v>86</v>
      </c>
      <c r="AD171" s="16" t="s">
        <v>87</v>
      </c>
      <c r="AE171" s="60" t="s">
        <v>897</v>
      </c>
      <c r="AF171" s="28" t="s">
        <v>89</v>
      </c>
      <c r="AG171" s="27">
        <v>45649</v>
      </c>
      <c r="AH171" s="137">
        <f>Tabla1[[#This Row],[Renov. Flota]]-Tabla1[[#This Row],[Año]]</f>
        <v>1</v>
      </c>
      <c r="AI171" s="18" t="s">
        <v>584</v>
      </c>
      <c r="AJ171" s="107" t="str">
        <f>VLOOKUP(Tabla1[[#This Row],[Matricula nueva]],'ALTA 20242025'!$B$2:$P$242,15,FALSE)</f>
        <v>4500427622</v>
      </c>
      <c r="AK171" s="60" t="s">
        <v>585</v>
      </c>
      <c r="AM171" s="1" t="s">
        <v>72</v>
      </c>
      <c r="AN171" s="1" t="s">
        <v>91</v>
      </c>
      <c r="AO171" s="1" t="str">
        <f>VLOOKUP(Tabla1[[#This Row],[Matricula nueva]],Hoja2!$A$1:$B$224,2,FALSE)</f>
        <v>VF1RFK00373824857</v>
      </c>
      <c r="AP171" s="75">
        <v>5.6</v>
      </c>
      <c r="AQ171" s="76">
        <f t="shared" si="8"/>
        <v>10</v>
      </c>
      <c r="AR171" s="77">
        <v>17.3</v>
      </c>
      <c r="AS171" s="78">
        <f>IF(Tabla1[[#This Row],[Columna2]]="M1",13073,IF(Tabla1[[#This Row],[Columna2]]="N1",15815,IF(Tabla1[[#This Row],[Columna2]]="L3e",2831,53508)))</f>
        <v>15815</v>
      </c>
      <c r="AT171" s="78">
        <f>(Tabla1[[#This Row],[CVA]]*Tabla1[[#This Row],[F]]-Tabla1[[#This Row],[CVN]])/100*Tabla1[[#This Row],[L]]</f>
        <v>6120.4049999999997</v>
      </c>
      <c r="AU171" s="79" t="s">
        <v>128</v>
      </c>
      <c r="AV171" s="294">
        <f>VLOOKUP(B171,Tabla467824[[ID CAE2]:[AE '[kWh']]],6,FALSE)</f>
        <v>5607.9989999999989</v>
      </c>
      <c r="AW17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72" spans="1:49" ht="15.75" hidden="1" thickBot="1" x14ac:dyDescent="0.3">
      <c r="A172" t="s">
        <v>1295</v>
      </c>
      <c r="B172" t="e">
        <f>VLOOKUP(A172,Tabla46782[ID CAE],1,FALSE)</f>
        <v>#N/A</v>
      </c>
      <c r="C172" s="14" t="s">
        <v>1296</v>
      </c>
      <c r="D172" s="14"/>
      <c r="E172" s="14"/>
      <c r="F172" s="14"/>
      <c r="G172" s="14"/>
      <c r="H172" s="14"/>
      <c r="I172" s="14"/>
      <c r="J172" s="14"/>
      <c r="K172" s="14" t="s">
        <v>73</v>
      </c>
      <c r="L172" s="14" t="s">
        <v>200</v>
      </c>
      <c r="M172" s="14" t="s">
        <v>201</v>
      </c>
      <c r="N172" s="14" t="s">
        <v>160</v>
      </c>
      <c r="O172" s="152">
        <f>VLOOKUP(Tabla1[[#This Row],[Matricula]],BAJA2022202320242025!$B$3:$CR$245,93,FALSE)</f>
        <v>44224</v>
      </c>
      <c r="P172" s="15">
        <v>45685</v>
      </c>
      <c r="Q172" s="160">
        <f>Tabla1[[#This Row],[F.Vig.Final]]-Tabla1[[#This Row],[f Vig Inicio]]</f>
        <v>1461</v>
      </c>
      <c r="R172" s="15">
        <f>YEAR(Tabla1[[#This Row],[F.Vig.Final]])</f>
        <v>2025</v>
      </c>
      <c r="S172" s="14" t="s">
        <v>161</v>
      </c>
      <c r="T172" s="14" t="s">
        <v>78</v>
      </c>
      <c r="U172" s="14" t="s">
        <v>79</v>
      </c>
      <c r="V172" s="14" t="s">
        <v>924</v>
      </c>
      <c r="W172" s="14" t="s">
        <v>584</v>
      </c>
      <c r="X172" s="14" t="s">
        <v>585</v>
      </c>
      <c r="Y172" s="14" t="s">
        <v>1297</v>
      </c>
      <c r="Z172" s="16">
        <f>COUNTIF($X$3:X172, X172)</f>
        <v>10</v>
      </c>
      <c r="AA172" s="16" t="e">
        <v>#N/A</v>
      </c>
      <c r="AB172" s="16" t="e">
        <v>#N/A</v>
      </c>
      <c r="AC172" s="16" t="e">
        <v>#N/A</v>
      </c>
      <c r="AD172" s="16" t="e">
        <v>#N/A</v>
      </c>
      <c r="AE172" s="16" t="e">
        <v>#N/A</v>
      </c>
      <c r="AF172" s="15" t="e">
        <v>#N/A</v>
      </c>
      <c r="AG172" s="17" t="e">
        <v>#N/A</v>
      </c>
      <c r="AH172" s="17" t="e">
        <f>Tabla1[[#This Row],[Renov. Flota]]-Tabla1[[#This Row],[Año]]</f>
        <v>#N/A</v>
      </c>
      <c r="AI172" s="18" t="e">
        <v>#N/A</v>
      </c>
      <c r="AJ172" s="18" t="e">
        <f>VLOOKUP(Tabla1[[#This Row],[Matricula nueva]],'ALTA 20242025'!$B$2:$P$242,15,FALSE)</f>
        <v>#N/A</v>
      </c>
      <c r="AK172" s="19" t="e">
        <v>#N/A</v>
      </c>
      <c r="AN172" s="1"/>
      <c r="AO172" s="1" t="e">
        <f>VLOOKUP(Tabla1[[#This Row],[Matricula nueva]],Hoja2!$A$1:$B$224,2,FALSE)</f>
        <v>#N/A</v>
      </c>
      <c r="AP172" s="1" t="str">
        <f>IF(Tabla1[[#This Row],[Columna2]]="M1",5.1,"")</f>
        <v/>
      </c>
      <c r="AQ172" s="1"/>
      <c r="AR172" s="1"/>
      <c r="AS172" s="47">
        <f>IF(Tabla1[[#This Row],[Columna2]]="M1",13073,IF(Tabla1[[#This Row],[Columna2]]="N1",15815,IF(Tabla1[[#This Row],[Columna2]]="L3e",2831,53508)))</f>
        <v>53508</v>
      </c>
      <c r="AT172" s="47" t="e">
        <f>(Tabla1[[#This Row],[CVA]]*Tabla1[[#This Row],[F]]-Tabla1[[#This Row],[CVN]])/100*Tabla1[[#This Row],[L]]</f>
        <v>#VALUE!</v>
      </c>
      <c r="AU172" s="1"/>
      <c r="AV172" s="1" t="e">
        <f>VLOOKUP(B172,Tabla467824[[ID CAE2]:[AE '[kWh']]],6,FALSE)</f>
        <v>#N/A</v>
      </c>
      <c r="AW17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3" spans="1:49" ht="15" x14ac:dyDescent="0.25">
      <c r="A173" s="114" t="s">
        <v>900</v>
      </c>
      <c r="B173" t="str">
        <f>VLOOKUP(A173,Tabla46782[ID CAE],1,FALSE)</f>
        <v>CAE500167</v>
      </c>
      <c r="C173" s="25" t="s">
        <v>901</v>
      </c>
      <c r="D173" s="103"/>
      <c r="E173" s="103" t="s">
        <v>72</v>
      </c>
      <c r="F173" s="103" t="s">
        <v>72</v>
      </c>
      <c r="G173" s="103"/>
      <c r="H173" s="103"/>
      <c r="I173" s="103"/>
      <c r="J173" s="103"/>
      <c r="K173" s="14" t="s">
        <v>466</v>
      </c>
      <c r="L173" s="14" t="s">
        <v>200</v>
      </c>
      <c r="M173" s="14" t="s">
        <v>201</v>
      </c>
      <c r="N173" s="23" t="s">
        <v>76</v>
      </c>
      <c r="O173" s="154">
        <f>VLOOKUP(Tabla1[[#This Row],[Matricula]],BAJA2022202320242025!$B$3:$CR$245,93,FALSE)</f>
        <v>44203</v>
      </c>
      <c r="P173" s="29">
        <v>45664</v>
      </c>
      <c r="Q173" s="162">
        <f>Tabla1[[#This Row],[F.Vig.Final]]-Tabla1[[#This Row],[f Vig Inicio]]</f>
        <v>1461</v>
      </c>
      <c r="R173" s="141">
        <f>YEAR(Tabla1[[#This Row],[F.Vig.Final]])</f>
        <v>2025</v>
      </c>
      <c r="S173" s="25" t="s">
        <v>77</v>
      </c>
      <c r="T173" s="14" t="s">
        <v>78</v>
      </c>
      <c r="U173" s="14" t="s">
        <v>467</v>
      </c>
      <c r="V173" s="14" t="s">
        <v>902</v>
      </c>
      <c r="W173" s="14" t="s">
        <v>119</v>
      </c>
      <c r="X173" s="14" t="s">
        <v>120</v>
      </c>
      <c r="Y173" s="14" t="s">
        <v>776</v>
      </c>
      <c r="Z173" s="16">
        <f>COUNTIF($X$3:X173, X173)</f>
        <v>21</v>
      </c>
      <c r="AA173" s="16" t="s">
        <v>903</v>
      </c>
      <c r="AB173" s="16" t="s">
        <v>85</v>
      </c>
      <c r="AC173" s="16" t="s">
        <v>86</v>
      </c>
      <c r="AD173" s="16" t="s">
        <v>87</v>
      </c>
      <c r="AE173" s="60" t="s">
        <v>617</v>
      </c>
      <c r="AF173" s="29" t="s">
        <v>89</v>
      </c>
      <c r="AG173" s="27">
        <v>45645</v>
      </c>
      <c r="AH173" s="137">
        <f>Tabla1[[#This Row],[Renov. Flota]]-Tabla1[[#This Row],[Año]]</f>
        <v>-1</v>
      </c>
      <c r="AI173" s="18" t="s">
        <v>119</v>
      </c>
      <c r="AJ173" s="107" t="str">
        <f>VLOOKUP(Tabla1[[#This Row],[Matricula nueva]],'ALTA 20242025'!$B$2:$P$242,15,FALSE)</f>
        <v>4500426868</v>
      </c>
      <c r="AK173" s="60" t="s">
        <v>120</v>
      </c>
      <c r="AM173" s="1" t="s">
        <v>72</v>
      </c>
      <c r="AN173" s="1" t="s">
        <v>91</v>
      </c>
      <c r="AO173" s="1" t="str">
        <f>VLOOKUP(Tabla1[[#This Row],[Matricula nueva]],Hoja2!$A$1:$B$224,2,FALSE)</f>
        <v>VF1RFK00173934256</v>
      </c>
      <c r="AP173" s="65">
        <v>5.6</v>
      </c>
      <c r="AQ173" s="66">
        <f t="shared" ref="AQ173:AQ182" si="9">IF(T173="DIESEL",10,IF(T173="GLP",7.16,9.19))</f>
        <v>10</v>
      </c>
      <c r="AR173" s="67">
        <v>17.3</v>
      </c>
      <c r="AS173" s="68">
        <f>IF(Tabla1[[#This Row],[Columna2]]="M1",13073,IF(Tabla1[[#This Row],[Columna2]]="N1",15815,IF(Tabla1[[#This Row],[Columna2]]="L3e",2831,53508)))</f>
        <v>15815</v>
      </c>
      <c r="AT173" s="68">
        <f>(Tabla1[[#This Row],[CVA]]*Tabla1[[#This Row],[F]]-Tabla1[[#This Row],[CVN]])/100*Tabla1[[#This Row],[L]]</f>
        <v>6120.4049999999997</v>
      </c>
      <c r="AU173" s="69" t="s">
        <v>128</v>
      </c>
      <c r="AV173" s="294">
        <f>VLOOKUP(B173,Tabla467824[[ID CAE2]:[AE '[kWh']]],6,FALSE)</f>
        <v>6795.3454000000002</v>
      </c>
      <c r="AW17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4" spans="1:49" ht="15" x14ac:dyDescent="0.25">
      <c r="A174" s="114" t="s">
        <v>906</v>
      </c>
      <c r="B174" t="str">
        <f>VLOOKUP(A174,Tabla46782[ID CAE],1,FALSE)</f>
        <v>CAE500168</v>
      </c>
      <c r="C174" s="25" t="s">
        <v>907</v>
      </c>
      <c r="D174" s="103" t="s">
        <v>72</v>
      </c>
      <c r="E174" s="103"/>
      <c r="F174" s="103" t="s">
        <v>72</v>
      </c>
      <c r="G174" s="103"/>
      <c r="H174" s="103"/>
      <c r="I174" s="103"/>
      <c r="J174" s="103"/>
      <c r="K174" s="14" t="s">
        <v>73</v>
      </c>
      <c r="L174" s="14" t="s">
        <v>74</v>
      </c>
      <c r="M174" s="14" t="s">
        <v>75</v>
      </c>
      <c r="N174" s="23" t="s">
        <v>76</v>
      </c>
      <c r="O174" s="155">
        <f>VLOOKUP(Tabla1[[#This Row],[Matricula]],BAJA2022202320242025!$B$3:$CR$245,93,FALSE)</f>
        <v>44392</v>
      </c>
      <c r="P174" s="163">
        <v>45230</v>
      </c>
      <c r="Q174" s="164">
        <f>Tabla1[[#This Row],[F.Vig.Final]]-Tabla1[[#This Row],[f Vig Inicio]]</f>
        <v>838</v>
      </c>
      <c r="R174" s="141">
        <f>YEAR(Tabla1[[#This Row],[F.Vig.Final]])</f>
        <v>2023</v>
      </c>
      <c r="S174" s="25" t="s">
        <v>77</v>
      </c>
      <c r="T174" s="14" t="s">
        <v>71</v>
      </c>
      <c r="U174" s="14" t="s">
        <v>79</v>
      </c>
      <c r="V174" s="14" t="s">
        <v>879</v>
      </c>
      <c r="W174" s="14" t="s">
        <v>336</v>
      </c>
      <c r="X174" s="14" t="s">
        <v>337</v>
      </c>
      <c r="Y174" s="14" t="s">
        <v>880</v>
      </c>
      <c r="Z174" s="16">
        <f>COUNTIF($X$3:X174, X174)</f>
        <v>12</v>
      </c>
      <c r="AA174" s="16" t="s">
        <v>908</v>
      </c>
      <c r="AB174" s="16" t="s">
        <v>85</v>
      </c>
      <c r="AC174" s="16" t="s">
        <v>114</v>
      </c>
      <c r="AD174" s="16" t="s">
        <v>87</v>
      </c>
      <c r="AE174" s="60" t="s">
        <v>909</v>
      </c>
      <c r="AF174" s="24" t="s">
        <v>108</v>
      </c>
      <c r="AG174" s="27">
        <v>45282</v>
      </c>
      <c r="AH174" s="137">
        <f>Tabla1[[#This Row],[Renov. Flota]]-Tabla1[[#This Row],[Año]]</f>
        <v>0</v>
      </c>
      <c r="AI174" s="18" t="s">
        <v>336</v>
      </c>
      <c r="AJ174" s="109">
        <v>4500389150</v>
      </c>
      <c r="AK174" s="60" t="s">
        <v>337</v>
      </c>
      <c r="AM174" s="1" t="s">
        <v>72</v>
      </c>
      <c r="AN174" s="1" t="s">
        <v>91</v>
      </c>
      <c r="AO174" s="1" t="s">
        <v>910</v>
      </c>
      <c r="AP174" s="70">
        <f>IF(Tabla1[[#This Row],[Columna2]]="M1",5.1,"")</f>
        <v>5.0999999999999996</v>
      </c>
      <c r="AQ174" s="71">
        <f t="shared" si="9"/>
        <v>9.19</v>
      </c>
      <c r="AR174" s="72">
        <v>17.3</v>
      </c>
      <c r="AS174" s="73">
        <f>IF(Tabla1[[#This Row],[Columna2]]="M1",13073,IF(Tabla1[[#This Row],[Columna2]]="N1",15815,IF(Tabla1[[#This Row],[Columna2]]="L3e",2831,53508)))</f>
        <v>13073</v>
      </c>
      <c r="AT174" s="73">
        <f>(Tabla1[[#This Row],[CVA]]*Tabla1[[#This Row],[F]]-Tabla1[[#This Row],[CVN]])/100*Tabla1[[#This Row],[L]]</f>
        <v>3865.5553699999987</v>
      </c>
      <c r="AU174" s="74" t="s">
        <v>70</v>
      </c>
      <c r="AV174" s="294">
        <f>VLOOKUP(B174,Tabla467824[[ID CAE2]:[AE '[kWh']]],6,FALSE)</f>
        <v>7136.4330429999991</v>
      </c>
      <c r="AW17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5" spans="1:49" ht="15" x14ac:dyDescent="0.25">
      <c r="A175" s="114" t="s">
        <v>911</v>
      </c>
      <c r="B175" t="str">
        <f>VLOOKUP(A175,Tabla46782[ID CAE],1,FALSE)</f>
        <v>CAE500169</v>
      </c>
      <c r="C175" s="25" t="s">
        <v>912</v>
      </c>
      <c r="D175" s="103" t="s">
        <v>72</v>
      </c>
      <c r="E175" s="103"/>
      <c r="F175" s="103" t="s">
        <v>72</v>
      </c>
      <c r="G175" s="103"/>
      <c r="H175" s="103"/>
      <c r="I175" s="103"/>
      <c r="J175" s="103"/>
      <c r="K175" s="14" t="s">
        <v>73</v>
      </c>
      <c r="L175" s="14" t="s">
        <v>74</v>
      </c>
      <c r="M175" s="14" t="s">
        <v>75</v>
      </c>
      <c r="N175" s="23" t="s">
        <v>76</v>
      </c>
      <c r="O175" s="155">
        <f>VLOOKUP(Tabla1[[#This Row],[Matricula]],BAJA2022202320242025!$B$3:$CR$245,93,FALSE)</f>
        <v>44411</v>
      </c>
      <c r="P175" s="163">
        <v>45233</v>
      </c>
      <c r="Q175" s="164">
        <f>Tabla1[[#This Row],[F.Vig.Final]]-Tabla1[[#This Row],[f Vig Inicio]]</f>
        <v>822</v>
      </c>
      <c r="R175" s="141">
        <f>YEAR(Tabla1[[#This Row],[F.Vig.Final]])</f>
        <v>2023</v>
      </c>
      <c r="S175" s="25" t="s">
        <v>77</v>
      </c>
      <c r="T175" s="14" t="s">
        <v>71</v>
      </c>
      <c r="U175" s="14" t="s">
        <v>79</v>
      </c>
      <c r="V175" s="14" t="s">
        <v>879</v>
      </c>
      <c r="W175" s="14" t="s">
        <v>336</v>
      </c>
      <c r="X175" s="14" t="s">
        <v>337</v>
      </c>
      <c r="Y175" s="14" t="s">
        <v>880</v>
      </c>
      <c r="Z175" s="16">
        <f>COUNTIF($X$3:X175, X175)</f>
        <v>13</v>
      </c>
      <c r="AA175" s="16" t="s">
        <v>913</v>
      </c>
      <c r="AB175" s="16" t="s">
        <v>85</v>
      </c>
      <c r="AC175" s="16" t="s">
        <v>340</v>
      </c>
      <c r="AD175" s="16" t="s">
        <v>87</v>
      </c>
      <c r="AE175" s="60" t="s">
        <v>382</v>
      </c>
      <c r="AF175" s="24" t="s">
        <v>89</v>
      </c>
      <c r="AG175" s="27">
        <v>45481</v>
      </c>
      <c r="AH175" s="137">
        <f>Tabla1[[#This Row],[Renov. Flota]]-Tabla1[[#This Row],[Año]]</f>
        <v>1</v>
      </c>
      <c r="AI175" s="18" t="s">
        <v>336</v>
      </c>
      <c r="AJ175" s="107" t="str">
        <f>VLOOKUP(Tabla1[[#This Row],[Matricula nueva]],'ALTA 20242025'!$B$2:$P$242,15,FALSE)</f>
        <v>4500408050</v>
      </c>
      <c r="AK175" s="60" t="s">
        <v>337</v>
      </c>
      <c r="AM175" s="1" t="s">
        <v>72</v>
      </c>
      <c r="AN175" s="1" t="s">
        <v>91</v>
      </c>
      <c r="AO175" s="1" t="s">
        <v>915</v>
      </c>
      <c r="AP175" s="70">
        <f>IF(Tabla1[[#This Row],[Columna2]]="M1",5.1,"")</f>
        <v>5.0999999999999996</v>
      </c>
      <c r="AQ175" s="71">
        <f t="shared" si="9"/>
        <v>9.19</v>
      </c>
      <c r="AR175" s="72">
        <v>13.3</v>
      </c>
      <c r="AS175" s="73">
        <f>IF(Tabla1[[#This Row],[Columna2]]="M1",13073,IF(Tabla1[[#This Row],[Columna2]]="N1",15815,IF(Tabla1[[#This Row],[Columna2]]="L3e",2831,53508)))</f>
        <v>13073</v>
      </c>
      <c r="AT175" s="73">
        <f>(Tabla1[[#This Row],[CVA]]*Tabla1[[#This Row],[F]]-Tabla1[[#This Row],[CVN]])/100*Tabla1[[#This Row],[L]]</f>
        <v>4388.4753699999983</v>
      </c>
      <c r="AU175" s="74" t="s">
        <v>70</v>
      </c>
      <c r="AV175" s="294">
        <f>VLOOKUP(B175,Tabla467824[[ID CAE2]:[AE '[kWh']]],6,FALSE)</f>
        <v>7136.4330429999991</v>
      </c>
      <c r="AW17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6" spans="1:49" ht="15" x14ac:dyDescent="0.25">
      <c r="A176" s="114" t="s">
        <v>916</v>
      </c>
      <c r="B176" t="str">
        <f>VLOOKUP(A176,Tabla46782[ID CAE],1,FALSE)</f>
        <v>CAE500170</v>
      </c>
      <c r="C176" s="25" t="s">
        <v>917</v>
      </c>
      <c r="D176" s="103" t="s">
        <v>72</v>
      </c>
      <c r="E176" s="103"/>
      <c r="F176" s="103" t="s">
        <v>72</v>
      </c>
      <c r="G176" s="103"/>
      <c r="H176" s="103"/>
      <c r="I176" s="103"/>
      <c r="J176" s="103"/>
      <c r="K176" s="14" t="s">
        <v>129</v>
      </c>
      <c r="L176" s="14" t="s">
        <v>74</v>
      </c>
      <c r="M176" s="14" t="s">
        <v>75</v>
      </c>
      <c r="N176" s="23" t="s">
        <v>76</v>
      </c>
      <c r="O176" s="155">
        <f>VLOOKUP(Tabla1[[#This Row],[Matricula]],BAJA2022202320242025!$B$3:$CR$245,93,FALSE)</f>
        <v>44260</v>
      </c>
      <c r="P176" s="163">
        <v>44966</v>
      </c>
      <c r="Q176" s="164">
        <f>Tabla1[[#This Row],[F.Vig.Final]]-Tabla1[[#This Row],[f Vig Inicio]]</f>
        <v>706</v>
      </c>
      <c r="R176" s="141">
        <f>YEAR(Tabla1[[#This Row],[F.Vig.Final]])</f>
        <v>2023</v>
      </c>
      <c r="S176" s="25" t="s">
        <v>77</v>
      </c>
      <c r="T176" s="14" t="s">
        <v>78</v>
      </c>
      <c r="U176" s="14" t="s">
        <v>79</v>
      </c>
      <c r="V176" s="14" t="s">
        <v>918</v>
      </c>
      <c r="W176" s="14" t="s">
        <v>131</v>
      </c>
      <c r="X176" s="14" t="s">
        <v>132</v>
      </c>
      <c r="Y176" s="14" t="s">
        <v>133</v>
      </c>
      <c r="Z176" s="16">
        <f>COUNTIF($X$3:X176, X176)</f>
        <v>12</v>
      </c>
      <c r="AA176" s="16" t="s">
        <v>919</v>
      </c>
      <c r="AB176" s="16" t="s">
        <v>140</v>
      </c>
      <c r="AC176" s="16" t="s">
        <v>151</v>
      </c>
      <c r="AD176" s="16" t="s">
        <v>87</v>
      </c>
      <c r="AE176" s="60" t="s">
        <v>316</v>
      </c>
      <c r="AF176" s="24" t="s">
        <v>89</v>
      </c>
      <c r="AG176" s="27">
        <v>45622</v>
      </c>
      <c r="AH176" s="137">
        <f>Tabla1[[#This Row],[Renov. Flota]]-Tabla1[[#This Row],[Año]]</f>
        <v>1</v>
      </c>
      <c r="AI176" s="18" t="s">
        <v>131</v>
      </c>
      <c r="AJ176" s="107" t="str">
        <f>VLOOKUP(Tabla1[[#This Row],[Matricula nueva]],'ALTA 20242025'!$B$2:$P$242,15,FALSE)</f>
        <v>4500424795</v>
      </c>
      <c r="AK176" s="60" t="s">
        <v>132</v>
      </c>
      <c r="AM176" s="1" t="s">
        <v>72</v>
      </c>
      <c r="AN176" s="1" t="s">
        <v>91</v>
      </c>
      <c r="AO176" s="1" t="str">
        <f>VLOOKUP(Tabla1[[#This Row],[Matricula nueva]],Hoja2!$A$1:$B$224,2,FALSE)</f>
        <v>VR7CBZYA3RT152209</v>
      </c>
      <c r="AP176" s="70">
        <v>5.6</v>
      </c>
      <c r="AQ176" s="71">
        <f t="shared" si="9"/>
        <v>10</v>
      </c>
      <c r="AR176" s="72">
        <v>16.399999999999999</v>
      </c>
      <c r="AS176" s="73">
        <f>IF(Tabla1[[#This Row],[Columna2]]="M1",13073,IF(Tabla1[[#This Row],[Columna2]]="N1",15815,IF(Tabla1[[#This Row],[Columna2]]="L3e",2831,53508)))</f>
        <v>15815</v>
      </c>
      <c r="AT176" s="73">
        <f>(Tabla1[[#This Row],[CVA]]*Tabla1[[#This Row],[F]]-Tabla1[[#This Row],[CVN]])/100*Tabla1[[#This Row],[L]]</f>
        <v>6262.7400000000007</v>
      </c>
      <c r="AU176" s="74" t="s">
        <v>128</v>
      </c>
      <c r="AV176" s="294">
        <f>VLOOKUP(B176,Tabla467824[[ID CAE2]:[AE '[kWh']]],6,FALSE)</f>
        <v>5607.9989999999989</v>
      </c>
      <c r="AW17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77" spans="1:49" ht="15" x14ac:dyDescent="0.25">
      <c r="A177" s="114" t="s">
        <v>922</v>
      </c>
      <c r="B177" t="str">
        <f>VLOOKUP(A177,Tabla46782[ID CAE],1,FALSE)</f>
        <v>CAE500171</v>
      </c>
      <c r="C177" s="25" t="s">
        <v>923</v>
      </c>
      <c r="D177" s="103" t="s">
        <v>72</v>
      </c>
      <c r="E177" s="103"/>
      <c r="F177" s="103" t="s">
        <v>72</v>
      </c>
      <c r="G177" s="103"/>
      <c r="H177" s="103" t="s">
        <v>249</v>
      </c>
      <c r="I177" s="103" t="s">
        <v>249</v>
      </c>
      <c r="J177" s="103"/>
      <c r="K177" s="14" t="s">
        <v>73</v>
      </c>
      <c r="L177" s="14" t="s">
        <v>200</v>
      </c>
      <c r="M177" s="14" t="s">
        <v>201</v>
      </c>
      <c r="N177" s="23" t="s">
        <v>160</v>
      </c>
      <c r="O177" s="151">
        <f>VLOOKUP(Tabla1[[#This Row],[Matricula]],BAJA2022202320242025!$B$3:$CR$245,93,FALSE)</f>
        <v>44263</v>
      </c>
      <c r="P177" s="24">
        <v>45419</v>
      </c>
      <c r="Q177" s="161">
        <f>Tabla1[[#This Row],[F.Vig.Final]]-Tabla1[[#This Row],[f Vig Inicio]]</f>
        <v>1156</v>
      </c>
      <c r="R177" s="141">
        <f>YEAR(Tabla1[[#This Row],[F.Vig.Final]])</f>
        <v>2024</v>
      </c>
      <c r="S177" s="25" t="s">
        <v>161</v>
      </c>
      <c r="T177" s="14" t="s">
        <v>78</v>
      </c>
      <c r="U177" s="14" t="s">
        <v>79</v>
      </c>
      <c r="V177" s="14" t="s">
        <v>924</v>
      </c>
      <c r="W177" s="14" t="s">
        <v>190</v>
      </c>
      <c r="X177" s="14" t="s">
        <v>191</v>
      </c>
      <c r="Y177" s="14" t="s">
        <v>477</v>
      </c>
      <c r="Z177" s="16">
        <f>COUNTIF($X$3:X177, X177)</f>
        <v>9</v>
      </c>
      <c r="AA177" s="16" t="s">
        <v>925</v>
      </c>
      <c r="AB177" s="16" t="s">
        <v>140</v>
      </c>
      <c r="AC177" s="16" t="s">
        <v>151</v>
      </c>
      <c r="AD177" s="16" t="s">
        <v>87</v>
      </c>
      <c r="AE177" s="60" t="s">
        <v>194</v>
      </c>
      <c r="AF177" s="24" t="s">
        <v>89</v>
      </c>
      <c r="AG177" s="27">
        <v>45625</v>
      </c>
      <c r="AH177" s="137">
        <f>Tabla1[[#This Row],[Renov. Flota]]-Tabla1[[#This Row],[Año]]</f>
        <v>0</v>
      </c>
      <c r="AI177" s="18" t="s">
        <v>190</v>
      </c>
      <c r="AJ177" s="107" t="str">
        <f>VLOOKUP(Tabla1[[#This Row],[Matricula nueva]],'ALTA 20242025'!$B$2:$P$242,15,FALSE)</f>
        <v>4500424816</v>
      </c>
      <c r="AK177" s="60" t="s">
        <v>191</v>
      </c>
      <c r="AM177" s="1" t="s">
        <v>72</v>
      </c>
      <c r="AN177" s="1" t="s">
        <v>91</v>
      </c>
      <c r="AO177" s="1" t="str">
        <f>VLOOKUP(Tabla1[[#This Row],[Matricula nueva]],Hoja2!$A$1:$B$224,2,FALSE)</f>
        <v>VR7CBZYAXRT154443</v>
      </c>
      <c r="AP177" s="70">
        <v>5.6</v>
      </c>
      <c r="AQ177" s="71">
        <f t="shared" si="9"/>
        <v>10</v>
      </c>
      <c r="AR177" s="72">
        <v>16.399999999999999</v>
      </c>
      <c r="AS177" s="73">
        <f>IF(Tabla1[[#This Row],[Columna2]]="M1",13073,IF(Tabla1[[#This Row],[Columna2]]="N1",15815,IF(Tabla1[[#This Row],[Columna2]]="L3e",2831,53508)))</f>
        <v>15815</v>
      </c>
      <c r="AT177" s="73">
        <f>(Tabla1[[#This Row],[CVA]]*Tabla1[[#This Row],[F]]-Tabla1[[#This Row],[CVN]])/100*Tabla1[[#This Row],[L]]</f>
        <v>6262.7400000000007</v>
      </c>
      <c r="AU177" s="74" t="s">
        <v>128</v>
      </c>
      <c r="AV177" s="294">
        <f>VLOOKUP(B177,Tabla467824[[ID CAE2]:[AE '[kWh']]],6,FALSE)</f>
        <v>5607.9989999999989</v>
      </c>
      <c r="AW17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78" spans="1:49" ht="15" x14ac:dyDescent="0.25">
      <c r="A178" s="114" t="s">
        <v>928</v>
      </c>
      <c r="B178" t="str">
        <f>VLOOKUP(A178,Tabla46782[ID CAE],1,FALSE)</f>
        <v>CAE500172</v>
      </c>
      <c r="C178" s="25" t="s">
        <v>929</v>
      </c>
      <c r="D178" s="103" t="s">
        <v>72</v>
      </c>
      <c r="E178" s="103"/>
      <c r="F178" s="103" t="s">
        <v>72</v>
      </c>
      <c r="G178" s="103"/>
      <c r="H178" s="103" t="s">
        <v>249</v>
      </c>
      <c r="I178" s="103" t="s">
        <v>249</v>
      </c>
      <c r="J178" s="103"/>
      <c r="K178" s="14" t="s">
        <v>73</v>
      </c>
      <c r="L178" s="14" t="s">
        <v>200</v>
      </c>
      <c r="M178" s="14" t="s">
        <v>201</v>
      </c>
      <c r="N178" s="23" t="s">
        <v>160</v>
      </c>
      <c r="O178" s="151">
        <f>VLOOKUP(Tabla1[[#This Row],[Matricula]],BAJA2022202320242025!$B$3:$CR$245,93,FALSE)</f>
        <v>44270</v>
      </c>
      <c r="P178" s="24">
        <v>45731</v>
      </c>
      <c r="Q178" s="158">
        <f>Tabla1[[#This Row],[F.Vig.Final]]-Tabla1[[#This Row],[f Vig Inicio]]</f>
        <v>1461</v>
      </c>
      <c r="R178" s="141">
        <f>YEAR(Tabla1[[#This Row],[F.Vig.Final]])</f>
        <v>2025</v>
      </c>
      <c r="S178" s="25" t="s">
        <v>161</v>
      </c>
      <c r="T178" s="14" t="s">
        <v>78</v>
      </c>
      <c r="U178" s="14" t="s">
        <v>79</v>
      </c>
      <c r="V178" s="14" t="s">
        <v>924</v>
      </c>
      <c r="W178" s="14" t="s">
        <v>119</v>
      </c>
      <c r="X178" s="14" t="s">
        <v>120</v>
      </c>
      <c r="Y178" s="14" t="s">
        <v>419</v>
      </c>
      <c r="Z178" s="16">
        <f>COUNTIF($X$3:X178, X178)</f>
        <v>22</v>
      </c>
      <c r="AA178" s="16" t="s">
        <v>930</v>
      </c>
      <c r="AB178" s="16" t="s">
        <v>140</v>
      </c>
      <c r="AC178" s="16" t="s">
        <v>151</v>
      </c>
      <c r="AD178" s="16" t="s">
        <v>87</v>
      </c>
      <c r="AE178" s="60" t="s">
        <v>617</v>
      </c>
      <c r="AF178" s="24" t="s">
        <v>89</v>
      </c>
      <c r="AG178" s="27">
        <v>45625</v>
      </c>
      <c r="AH178" s="137">
        <f>Tabla1[[#This Row],[Renov. Flota]]-Tabla1[[#This Row],[Año]]</f>
        <v>-1</v>
      </c>
      <c r="AI178" s="18" t="s">
        <v>119</v>
      </c>
      <c r="AJ178" s="107" t="str">
        <f>VLOOKUP(Tabla1[[#This Row],[Matricula nueva]],'ALTA 20242025'!$B$2:$P$242,15,FALSE)</f>
        <v>4500424815</v>
      </c>
      <c r="AK178" s="60" t="s">
        <v>120</v>
      </c>
      <c r="AM178" s="1" t="s">
        <v>72</v>
      </c>
      <c r="AN178" s="1" t="s">
        <v>91</v>
      </c>
      <c r="AO178" s="1" t="str">
        <f>VLOOKUP(Tabla1[[#This Row],[Matricula nueva]],Hoja2!$A$1:$B$224,2,FALSE)</f>
        <v>VR7CBZYA3RT152193</v>
      </c>
      <c r="AP178" s="70">
        <v>5.6</v>
      </c>
      <c r="AQ178" s="71">
        <f t="shared" si="9"/>
        <v>10</v>
      </c>
      <c r="AR178" s="72">
        <v>16.399999999999999</v>
      </c>
      <c r="AS178" s="73">
        <f>IF(Tabla1[[#This Row],[Columna2]]="M1",13073,IF(Tabla1[[#This Row],[Columna2]]="N1",15815,IF(Tabla1[[#This Row],[Columna2]]="L3e",2831,53508)))</f>
        <v>15815</v>
      </c>
      <c r="AT178" s="73">
        <f>(Tabla1[[#This Row],[CVA]]*Tabla1[[#This Row],[F]]-Tabla1[[#This Row],[CVN]])/100*Tabla1[[#This Row],[L]]</f>
        <v>6262.7400000000007</v>
      </c>
      <c r="AU178" s="74" t="s">
        <v>128</v>
      </c>
      <c r="AV178" s="294">
        <f>VLOOKUP(B178,Tabla467824[[ID CAE2]:[AE '[kWh']]],6,FALSE)</f>
        <v>5607.9989999999989</v>
      </c>
      <c r="AW17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79" spans="1:49" ht="15" x14ac:dyDescent="0.25">
      <c r="A179" s="114" t="s">
        <v>933</v>
      </c>
      <c r="B179" t="str">
        <f>VLOOKUP(A179,Tabla46782[ID CAE],1,FALSE)</f>
        <v>CAE500173</v>
      </c>
      <c r="C179" s="25" t="s">
        <v>934</v>
      </c>
      <c r="D179" s="103" t="s">
        <v>72</v>
      </c>
      <c r="E179" s="103"/>
      <c r="F179" s="103" t="s">
        <v>72</v>
      </c>
      <c r="G179" s="103"/>
      <c r="H179" s="103" t="s">
        <v>249</v>
      </c>
      <c r="I179" s="103" t="s">
        <v>249</v>
      </c>
      <c r="J179" s="103"/>
      <c r="K179" s="14" t="s">
        <v>73</v>
      </c>
      <c r="L179" s="14" t="s">
        <v>200</v>
      </c>
      <c r="M179" s="14" t="s">
        <v>201</v>
      </c>
      <c r="N179" s="23" t="s">
        <v>76</v>
      </c>
      <c r="O179" s="151">
        <f>VLOOKUP(Tabla1[[#This Row],[Matricula]],BAJA2022202320242025!$B$3:$CR$245,93,FALSE)</f>
        <v>44224</v>
      </c>
      <c r="P179" s="24">
        <v>45685</v>
      </c>
      <c r="Q179" s="158">
        <f>Tabla1[[#This Row],[F.Vig.Final]]-Tabla1[[#This Row],[f Vig Inicio]]</f>
        <v>1461</v>
      </c>
      <c r="R179" s="141">
        <f>YEAR(Tabla1[[#This Row],[F.Vig.Final]])</f>
        <v>2025</v>
      </c>
      <c r="S179" s="25" t="s">
        <v>77</v>
      </c>
      <c r="T179" s="14" t="s">
        <v>78</v>
      </c>
      <c r="U179" s="14" t="s">
        <v>79</v>
      </c>
      <c r="V179" s="14" t="s">
        <v>924</v>
      </c>
      <c r="W179" s="14" t="s">
        <v>81</v>
      </c>
      <c r="X179" s="14" t="s">
        <v>82</v>
      </c>
      <c r="Y179" s="14" t="s">
        <v>174</v>
      </c>
      <c r="Z179" s="16">
        <f>COUNTIF($X$3:X179, X179)</f>
        <v>15</v>
      </c>
      <c r="AA179" s="16" t="s">
        <v>935</v>
      </c>
      <c r="AB179" s="16" t="s">
        <v>140</v>
      </c>
      <c r="AC179" s="16" t="s">
        <v>151</v>
      </c>
      <c r="AD179" s="16" t="s">
        <v>87</v>
      </c>
      <c r="AE179" s="60" t="s">
        <v>164</v>
      </c>
      <c r="AF179" s="24" t="s">
        <v>89</v>
      </c>
      <c r="AG179" s="27">
        <v>45630</v>
      </c>
      <c r="AH179" s="137">
        <f>Tabla1[[#This Row],[Renov. Flota]]-Tabla1[[#This Row],[Año]]</f>
        <v>-1</v>
      </c>
      <c r="AI179" s="18" t="s">
        <v>81</v>
      </c>
      <c r="AJ179" s="107" t="str">
        <f>VLOOKUP(Tabla1[[#This Row],[Matricula nueva]],'ALTA 20242025'!$B$2:$P$242,15,FALSE)</f>
        <v>4500424817</v>
      </c>
      <c r="AK179" s="60" t="s">
        <v>82</v>
      </c>
      <c r="AM179" s="1" t="s">
        <v>72</v>
      </c>
      <c r="AN179" s="1" t="s">
        <v>91</v>
      </c>
      <c r="AO179" s="1" t="str">
        <f>VLOOKUP(Tabla1[[#This Row],[Matricula nueva]],Hoja2!$A$1:$B$224,2,FALSE)</f>
        <v>VR7CBZYA4RT152199</v>
      </c>
      <c r="AP179" s="70">
        <v>5.6</v>
      </c>
      <c r="AQ179" s="71">
        <f t="shared" si="9"/>
        <v>10</v>
      </c>
      <c r="AR179" s="72">
        <v>16.399999999999999</v>
      </c>
      <c r="AS179" s="73">
        <f>IF(Tabla1[[#This Row],[Columna2]]="M1",13073,IF(Tabla1[[#This Row],[Columna2]]="N1",15815,IF(Tabla1[[#This Row],[Columna2]]="L3e",2831,53508)))</f>
        <v>15815</v>
      </c>
      <c r="AT179" s="73">
        <f>(Tabla1[[#This Row],[CVA]]*Tabla1[[#This Row],[F]]-Tabla1[[#This Row],[CVN]])/100*Tabla1[[#This Row],[L]]</f>
        <v>6262.7400000000007</v>
      </c>
      <c r="AU179" s="74" t="s">
        <v>128</v>
      </c>
      <c r="AV179" s="294">
        <f>VLOOKUP(B179,Tabla467824[[ID CAE2]:[AE '[kWh']]],6,FALSE)</f>
        <v>5607.9989999999989</v>
      </c>
      <c r="AW17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80" spans="1:49" ht="15" x14ac:dyDescent="0.25">
      <c r="A180" s="114" t="s">
        <v>938</v>
      </c>
      <c r="B180" t="str">
        <f>VLOOKUP(A180,Tabla46782[ID CAE],1,FALSE)</f>
        <v>CAE500174</v>
      </c>
      <c r="C180" s="25" t="s">
        <v>939</v>
      </c>
      <c r="D180" s="103" t="s">
        <v>72</v>
      </c>
      <c r="E180" s="103"/>
      <c r="F180" s="103" t="s">
        <v>72</v>
      </c>
      <c r="G180" s="103"/>
      <c r="H180" s="103" t="s">
        <v>249</v>
      </c>
      <c r="I180" s="103" t="s">
        <v>249</v>
      </c>
      <c r="J180" s="103"/>
      <c r="K180" s="14" t="s">
        <v>73</v>
      </c>
      <c r="L180" s="14" t="s">
        <v>200</v>
      </c>
      <c r="M180" s="14" t="s">
        <v>201</v>
      </c>
      <c r="N180" s="23" t="s">
        <v>76</v>
      </c>
      <c r="O180" s="151">
        <f>VLOOKUP(Tabla1[[#This Row],[Matricula]],BAJA2022202320242025!$B$3:$CR$245,93,FALSE)</f>
        <v>44263</v>
      </c>
      <c r="P180" s="24">
        <v>45747</v>
      </c>
      <c r="Q180" s="158">
        <f>Tabla1[[#This Row],[F.Vig.Final]]-Tabla1[[#This Row],[f Vig Inicio]]</f>
        <v>1484</v>
      </c>
      <c r="R180" s="141">
        <f>YEAR(Tabla1[[#This Row],[F.Vig.Final]])</f>
        <v>2025</v>
      </c>
      <c r="S180" s="25" t="s">
        <v>77</v>
      </c>
      <c r="T180" s="14" t="s">
        <v>78</v>
      </c>
      <c r="U180" s="14" t="s">
        <v>79</v>
      </c>
      <c r="V180" s="14" t="s">
        <v>924</v>
      </c>
      <c r="W180" s="14" t="s">
        <v>102</v>
      </c>
      <c r="X180" s="14" t="s">
        <v>103</v>
      </c>
      <c r="Y180" s="14" t="s">
        <v>495</v>
      </c>
      <c r="Z180" s="16">
        <f>COUNTIF($X$3:X180, X180)</f>
        <v>40</v>
      </c>
      <c r="AA180" s="16" t="s">
        <v>940</v>
      </c>
      <c r="AB180" s="16" t="s">
        <v>380</v>
      </c>
      <c r="AC180" s="16" t="s">
        <v>381</v>
      </c>
      <c r="AD180" s="16" t="s">
        <v>87</v>
      </c>
      <c r="AE180" s="60" t="s">
        <v>696</v>
      </c>
      <c r="AF180" s="24" t="s">
        <v>89</v>
      </c>
      <c r="AG180" s="27">
        <v>45463</v>
      </c>
      <c r="AH180" s="137">
        <f>Tabla1[[#This Row],[Renov. Flota]]-Tabla1[[#This Row],[Año]]</f>
        <v>-1</v>
      </c>
      <c r="AI180" s="18" t="s">
        <v>102</v>
      </c>
      <c r="AJ180" s="109">
        <v>4500406593</v>
      </c>
      <c r="AK180" s="60" t="s">
        <v>103</v>
      </c>
      <c r="AM180" s="1" t="s">
        <v>72</v>
      </c>
      <c r="AN180" s="1" t="s">
        <v>109</v>
      </c>
      <c r="AO180" s="1" t="s">
        <v>941</v>
      </c>
      <c r="AP180" s="70">
        <v>5.6</v>
      </c>
      <c r="AQ180" s="71">
        <f t="shared" si="9"/>
        <v>10</v>
      </c>
      <c r="AR180" s="72">
        <v>20</v>
      </c>
      <c r="AS180" s="73">
        <f>IF(Tabla1[[#This Row],[Columna2]]="M1",13073,IF(Tabla1[[#This Row],[Columna2]]="N1",15815,IF(Tabla1[[#This Row],[Columna2]]="L3e",2831,53508)))</f>
        <v>15815</v>
      </c>
      <c r="AT180" s="73">
        <f>(Tabla1[[#This Row],[CVA]]*Tabla1[[#This Row],[F]]-Tabla1[[#This Row],[CVN]])/100*Tabla1[[#This Row],[L]]</f>
        <v>5693.4</v>
      </c>
      <c r="AU180" s="74" t="s">
        <v>128</v>
      </c>
      <c r="AV180" s="294">
        <f>VLOOKUP(B180,Tabla467824[[ID CAE2]:[AE '[kWh']]],6,FALSE)</f>
        <v>5607.9989999999989</v>
      </c>
      <c r="AW18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81" spans="1:49" ht="15" x14ac:dyDescent="0.25">
      <c r="A181" s="114" t="s">
        <v>942</v>
      </c>
      <c r="B181" t="str">
        <f>VLOOKUP(A181,Tabla46782[ID CAE],1,FALSE)</f>
        <v>CAE500175</v>
      </c>
      <c r="C181" s="25" t="s">
        <v>943</v>
      </c>
      <c r="D181" s="103" t="s">
        <v>72</v>
      </c>
      <c r="E181" s="103"/>
      <c r="F181" s="103" t="s">
        <v>72</v>
      </c>
      <c r="G181" s="103"/>
      <c r="H181" s="103" t="s">
        <v>249</v>
      </c>
      <c r="I181" s="103" t="s">
        <v>249</v>
      </c>
      <c r="J181" s="103"/>
      <c r="K181" s="14" t="s">
        <v>73</v>
      </c>
      <c r="L181" s="14" t="s">
        <v>200</v>
      </c>
      <c r="M181" s="14" t="s">
        <v>201</v>
      </c>
      <c r="N181" s="23" t="s">
        <v>160</v>
      </c>
      <c r="O181" s="151">
        <f>VLOOKUP(Tabla1[[#This Row],[Matricula]],BAJA2022202320242025!$B$3:$CR$245,93,FALSE)</f>
        <v>44291</v>
      </c>
      <c r="P181" s="24">
        <v>45752</v>
      </c>
      <c r="Q181" s="158">
        <f>Tabla1[[#This Row],[F.Vig.Final]]-Tabla1[[#This Row],[f Vig Inicio]]</f>
        <v>1461</v>
      </c>
      <c r="R181" s="141">
        <f>YEAR(Tabla1[[#This Row],[F.Vig.Final]])</f>
        <v>2025</v>
      </c>
      <c r="S181" s="25" t="s">
        <v>161</v>
      </c>
      <c r="T181" s="14" t="s">
        <v>78</v>
      </c>
      <c r="U181" s="14" t="s">
        <v>79</v>
      </c>
      <c r="V181" s="14" t="s">
        <v>924</v>
      </c>
      <c r="W181" s="14" t="s">
        <v>119</v>
      </c>
      <c r="X181" s="14" t="s">
        <v>120</v>
      </c>
      <c r="Y181" s="14" t="s">
        <v>152</v>
      </c>
      <c r="Z181" s="16">
        <f>COUNTIF($X$3:X181, X181)</f>
        <v>23</v>
      </c>
      <c r="AA181" s="16" t="s">
        <v>944</v>
      </c>
      <c r="AB181" s="16" t="s">
        <v>85</v>
      </c>
      <c r="AC181" s="16" t="s">
        <v>86</v>
      </c>
      <c r="AD181" s="16" t="s">
        <v>87</v>
      </c>
      <c r="AE181" s="60" t="s">
        <v>617</v>
      </c>
      <c r="AF181" s="24" t="s">
        <v>89</v>
      </c>
      <c r="AG181" s="27">
        <v>45645</v>
      </c>
      <c r="AH181" s="137">
        <f>Tabla1[[#This Row],[Renov. Flota]]-Tabla1[[#This Row],[Año]]</f>
        <v>-1</v>
      </c>
      <c r="AI181" s="18" t="s">
        <v>119</v>
      </c>
      <c r="AJ181" s="107" t="str">
        <f>VLOOKUP(Tabla1[[#This Row],[Matricula nueva]],'ALTA 20242025'!$B$2:$P$242,15,FALSE)</f>
        <v>4500426867</v>
      </c>
      <c r="AK181" s="60" t="s">
        <v>120</v>
      </c>
      <c r="AM181" s="1" t="s">
        <v>72</v>
      </c>
      <c r="AN181" s="1" t="s">
        <v>91</v>
      </c>
      <c r="AO181" s="1" t="str">
        <f>VLOOKUP(Tabla1[[#This Row],[Matricula nueva]],Hoja2!$A$1:$B$224,2,FALSE)</f>
        <v>VF1RFK00073934281</v>
      </c>
      <c r="AP181" s="70">
        <v>5.6</v>
      </c>
      <c r="AQ181" s="71">
        <f t="shared" si="9"/>
        <v>10</v>
      </c>
      <c r="AR181" s="72">
        <v>17.3</v>
      </c>
      <c r="AS181" s="73">
        <f>IF(Tabla1[[#This Row],[Columna2]]="M1",13073,IF(Tabla1[[#This Row],[Columna2]]="N1",15815,IF(Tabla1[[#This Row],[Columna2]]="L3e",2831,53508)))</f>
        <v>15815</v>
      </c>
      <c r="AT181" s="73">
        <f>(Tabla1[[#This Row],[CVA]]*Tabla1[[#This Row],[F]]-Tabla1[[#This Row],[CVN]])/100*Tabla1[[#This Row],[L]]</f>
        <v>6120.4049999999997</v>
      </c>
      <c r="AU181" s="74" t="s">
        <v>128</v>
      </c>
      <c r="AV181" s="294">
        <f>VLOOKUP(B181,Tabla467824[[ID CAE2]:[AE '[kWh']]],6,FALSE)</f>
        <v>5607.9989999999989</v>
      </c>
      <c r="AW18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82" spans="1:49" ht="15.75" thickBot="1" x14ac:dyDescent="0.3">
      <c r="A182" s="114" t="s">
        <v>947</v>
      </c>
      <c r="B182" t="str">
        <f>VLOOKUP(A182,Tabla46782[ID CAE],1,FALSE)</f>
        <v>CAE500176</v>
      </c>
      <c r="C182" s="25" t="s">
        <v>948</v>
      </c>
      <c r="D182" s="103" t="s">
        <v>72</v>
      </c>
      <c r="E182" s="103"/>
      <c r="F182" s="103" t="s">
        <v>72</v>
      </c>
      <c r="G182" s="103"/>
      <c r="H182" s="103" t="s">
        <v>249</v>
      </c>
      <c r="I182" s="103" t="s">
        <v>249</v>
      </c>
      <c r="J182" s="103"/>
      <c r="K182" s="14" t="s">
        <v>73</v>
      </c>
      <c r="L182" s="14" t="s">
        <v>200</v>
      </c>
      <c r="M182" s="14" t="s">
        <v>201</v>
      </c>
      <c r="N182" s="23" t="s">
        <v>160</v>
      </c>
      <c r="O182" s="153">
        <f>VLOOKUP(Tabla1[[#This Row],[Matricula]],BAJA2022202320242025!$B$3:$CR$245,93,FALSE)</f>
        <v>44224</v>
      </c>
      <c r="P182" s="28">
        <v>45685</v>
      </c>
      <c r="Q182" s="159">
        <f>Tabla1[[#This Row],[F.Vig.Final]]-Tabla1[[#This Row],[f Vig Inicio]]</f>
        <v>1461</v>
      </c>
      <c r="R182" s="141">
        <f>YEAR(Tabla1[[#This Row],[F.Vig.Final]])</f>
        <v>2025</v>
      </c>
      <c r="S182" s="25" t="s">
        <v>161</v>
      </c>
      <c r="T182" s="14" t="s">
        <v>78</v>
      </c>
      <c r="U182" s="14" t="s">
        <v>79</v>
      </c>
      <c r="V182" s="14" t="s">
        <v>924</v>
      </c>
      <c r="W182" s="14" t="s">
        <v>190</v>
      </c>
      <c r="X182" s="14" t="s">
        <v>191</v>
      </c>
      <c r="Y182" s="14" t="s">
        <v>194</v>
      </c>
      <c r="Z182" s="16">
        <f>COUNTIF($X$3:X182, X182)</f>
        <v>10</v>
      </c>
      <c r="AA182" s="16" t="s">
        <v>949</v>
      </c>
      <c r="AB182" s="16" t="s">
        <v>85</v>
      </c>
      <c r="AC182" s="16" t="s">
        <v>86</v>
      </c>
      <c r="AD182" s="16" t="s">
        <v>87</v>
      </c>
      <c r="AE182" s="60" t="s">
        <v>477</v>
      </c>
      <c r="AF182" s="28" t="s">
        <v>89</v>
      </c>
      <c r="AG182" s="27">
        <v>45646</v>
      </c>
      <c r="AH182" s="137">
        <f>Tabla1[[#This Row],[Renov. Flota]]-Tabla1[[#This Row],[Año]]</f>
        <v>-1</v>
      </c>
      <c r="AI182" s="18" t="s">
        <v>190</v>
      </c>
      <c r="AJ182" s="107" t="str">
        <f>VLOOKUP(Tabla1[[#This Row],[Matricula nueva]],'ALTA 20242025'!$B$2:$P$242,15,FALSE)</f>
        <v>4500426765</v>
      </c>
      <c r="AK182" s="60" t="s">
        <v>191</v>
      </c>
      <c r="AM182" s="1" t="s">
        <v>72</v>
      </c>
      <c r="AN182" s="1" t="s">
        <v>91</v>
      </c>
      <c r="AO182" s="1" t="str">
        <f>VLOOKUP(Tabla1[[#This Row],[Matricula nueva]],Hoja2!$A$1:$B$224,2,FALSE)</f>
        <v>VF1RFK00173934306</v>
      </c>
      <c r="AP182" s="75">
        <v>5.6</v>
      </c>
      <c r="AQ182" s="76">
        <f t="shared" si="9"/>
        <v>10</v>
      </c>
      <c r="AR182" s="77">
        <v>17.3</v>
      </c>
      <c r="AS182" s="78">
        <f>IF(Tabla1[[#This Row],[Columna2]]="M1",13073,IF(Tabla1[[#This Row],[Columna2]]="N1",15815,IF(Tabla1[[#This Row],[Columna2]]="L3e",2831,53508)))</f>
        <v>15815</v>
      </c>
      <c r="AT182" s="78">
        <f>(Tabla1[[#This Row],[CVA]]*Tabla1[[#This Row],[F]]-Tabla1[[#This Row],[CVN]])/100*Tabla1[[#This Row],[L]]</f>
        <v>6120.4049999999997</v>
      </c>
      <c r="AU182" s="79" t="s">
        <v>128</v>
      </c>
      <c r="AV182" s="294">
        <f>VLOOKUP(B182,Tabla467824[[ID CAE2]:[AE '[kWh']]],6,FALSE)</f>
        <v>5607.9989999999989</v>
      </c>
      <c r="AW18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83" spans="1:49" ht="15.75" hidden="1" thickBot="1" x14ac:dyDescent="0.3">
      <c r="A183" t="s">
        <v>1298</v>
      </c>
      <c r="B183" t="e">
        <f>VLOOKUP(A183,Tabla46782[ID CAE],1,FALSE)</f>
        <v>#N/A</v>
      </c>
      <c r="C183" s="14" t="s">
        <v>1299</v>
      </c>
      <c r="D183" s="14"/>
      <c r="E183" s="14"/>
      <c r="F183" s="14"/>
      <c r="G183" s="14"/>
      <c r="H183" s="14"/>
      <c r="I183" s="14"/>
      <c r="J183" s="14"/>
      <c r="K183" s="14" t="s">
        <v>73</v>
      </c>
      <c r="L183" s="14" t="s">
        <v>200</v>
      </c>
      <c r="M183" s="14" t="s">
        <v>201</v>
      </c>
      <c r="N183" s="14" t="s">
        <v>160</v>
      </c>
      <c r="O183" s="95">
        <f>VLOOKUP(Tabla1[[#This Row],[Matricula]],BAJA2022202320242025!$B$3:$CR$245,93,FALSE)</f>
        <v>44232</v>
      </c>
      <c r="P183" s="21">
        <v>45693</v>
      </c>
      <c r="Q183" s="93">
        <f>Tabla1[[#This Row],[F.Vig.Final]]-Tabla1[[#This Row],[f Vig Inicio]]</f>
        <v>1461</v>
      </c>
      <c r="R183" s="21">
        <f>YEAR(Tabla1[[#This Row],[F.Vig.Final]])</f>
        <v>2025</v>
      </c>
      <c r="S183" s="14" t="s">
        <v>161</v>
      </c>
      <c r="T183" s="14" t="s">
        <v>78</v>
      </c>
      <c r="U183" s="14" t="s">
        <v>79</v>
      </c>
      <c r="V183" s="14" t="s">
        <v>924</v>
      </c>
      <c r="W183" s="14" t="s">
        <v>584</v>
      </c>
      <c r="X183" s="14" t="s">
        <v>585</v>
      </c>
      <c r="Y183" s="14" t="s">
        <v>1300</v>
      </c>
      <c r="Z183" s="16">
        <f>COUNTIF($X$3:X183, X183)</f>
        <v>11</v>
      </c>
      <c r="AA183" s="16" t="e">
        <v>#N/A</v>
      </c>
      <c r="AB183" s="16" t="e">
        <v>#N/A</v>
      </c>
      <c r="AC183" s="16" t="e">
        <v>#N/A</v>
      </c>
      <c r="AD183" s="16" t="e">
        <v>#N/A</v>
      </c>
      <c r="AE183" s="16" t="e">
        <v>#N/A</v>
      </c>
      <c r="AF183" s="21" t="e">
        <v>#N/A</v>
      </c>
      <c r="AG183" s="17" t="e">
        <v>#N/A</v>
      </c>
      <c r="AH183" s="17" t="e">
        <f>Tabla1[[#This Row],[Renov. Flota]]-Tabla1[[#This Row],[Año]]</f>
        <v>#N/A</v>
      </c>
      <c r="AI183" s="18" t="e">
        <v>#N/A</v>
      </c>
      <c r="AJ183" s="18" t="e">
        <f>VLOOKUP(Tabla1[[#This Row],[Matricula nueva]],'ALTA 20242025'!$B$2:$P$242,15,FALSE)</f>
        <v>#N/A</v>
      </c>
      <c r="AK183" s="19" t="e">
        <v>#N/A</v>
      </c>
      <c r="AN183" s="1"/>
      <c r="AO183" s="1" t="e">
        <f>VLOOKUP(Tabla1[[#This Row],[Matricula nueva]],Hoja2!$A$1:$B$224,2,FALSE)</f>
        <v>#N/A</v>
      </c>
      <c r="AP183" s="1" t="str">
        <f>IF(Tabla1[[#This Row],[Columna2]]="M1",5.1,"")</f>
        <v/>
      </c>
      <c r="AQ183" s="1"/>
      <c r="AR183" s="1"/>
      <c r="AS183" s="47">
        <f>IF(Tabla1[[#This Row],[Columna2]]="M1",13073,IF(Tabla1[[#This Row],[Columna2]]="N1",15815,IF(Tabla1[[#This Row],[Columna2]]="L3e",2831,53508)))</f>
        <v>53508</v>
      </c>
      <c r="AT183" s="47" t="e">
        <f>(Tabla1[[#This Row],[CVA]]*Tabla1[[#This Row],[F]]-Tabla1[[#This Row],[CVN]])/100*Tabla1[[#This Row],[L]]</f>
        <v>#VALUE!</v>
      </c>
      <c r="AU183" s="1"/>
      <c r="AV183" s="1" t="e">
        <f>VLOOKUP(B183,Tabla467824[[ID CAE2]:[AE '[kWh']]],6,FALSE)</f>
        <v>#N/A</v>
      </c>
      <c r="AW18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84" spans="1:49" ht="15.75" hidden="1" thickBot="1" x14ac:dyDescent="0.3">
      <c r="A184" t="s">
        <v>1301</v>
      </c>
      <c r="B184" t="e">
        <f>VLOOKUP(A184,Tabla46782[ID CAE],1,FALSE)</f>
        <v>#N/A</v>
      </c>
      <c r="C184" s="14" t="s">
        <v>1302</v>
      </c>
      <c r="D184" s="14"/>
      <c r="E184" s="14"/>
      <c r="F184" s="14"/>
      <c r="G184" s="14"/>
      <c r="H184" s="14"/>
      <c r="I184" s="14"/>
      <c r="J184" s="14"/>
      <c r="K184" s="14" t="s">
        <v>73</v>
      </c>
      <c r="L184" s="14" t="s">
        <v>200</v>
      </c>
      <c r="M184" s="14" t="s">
        <v>201</v>
      </c>
      <c r="N184" s="14" t="s">
        <v>160</v>
      </c>
      <c r="O184" s="50">
        <f>VLOOKUP(Tabla1[[#This Row],[Matricula]],BAJA2022202320242025!$B$3:$CR$245,93,FALSE)</f>
        <v>44232</v>
      </c>
      <c r="P184" s="22">
        <v>45693</v>
      </c>
      <c r="Q184" s="48">
        <f>Tabla1[[#This Row],[F.Vig.Final]]-Tabla1[[#This Row],[f Vig Inicio]]</f>
        <v>1461</v>
      </c>
      <c r="R184" s="22">
        <f>YEAR(Tabla1[[#This Row],[F.Vig.Final]])</f>
        <v>2025</v>
      </c>
      <c r="S184" s="14" t="s">
        <v>161</v>
      </c>
      <c r="T184" s="14" t="s">
        <v>78</v>
      </c>
      <c r="U184" s="14" t="s">
        <v>79</v>
      </c>
      <c r="V184" s="14" t="s">
        <v>924</v>
      </c>
      <c r="W184" s="14" t="s">
        <v>584</v>
      </c>
      <c r="X184" s="14" t="s">
        <v>585</v>
      </c>
      <c r="Y184" s="14" t="s">
        <v>1303</v>
      </c>
      <c r="Z184" s="16">
        <f>COUNTIF($X$3:X184, X184)</f>
        <v>12</v>
      </c>
      <c r="AA184" s="16" t="e">
        <v>#N/A</v>
      </c>
      <c r="AB184" s="16" t="e">
        <v>#N/A</v>
      </c>
      <c r="AC184" s="16" t="e">
        <v>#N/A</v>
      </c>
      <c r="AD184" s="16" t="e">
        <v>#N/A</v>
      </c>
      <c r="AE184" s="16" t="e">
        <v>#N/A</v>
      </c>
      <c r="AF184" s="22" t="e">
        <v>#N/A</v>
      </c>
      <c r="AG184" s="17" t="e">
        <v>#N/A</v>
      </c>
      <c r="AH184" s="17" t="e">
        <f>Tabla1[[#This Row],[Renov. Flota]]-Tabla1[[#This Row],[Año]]</f>
        <v>#N/A</v>
      </c>
      <c r="AI184" s="18" t="e">
        <v>#N/A</v>
      </c>
      <c r="AJ184" s="18" t="e">
        <f>VLOOKUP(Tabla1[[#This Row],[Matricula nueva]],'ALTA 20242025'!$B$2:$P$242,15,FALSE)</f>
        <v>#N/A</v>
      </c>
      <c r="AK184" s="19" t="e">
        <v>#N/A</v>
      </c>
      <c r="AN184" s="1"/>
      <c r="AO184" s="1" t="e">
        <f>VLOOKUP(Tabla1[[#This Row],[Matricula nueva]],Hoja2!$A$1:$B$224,2,FALSE)</f>
        <v>#N/A</v>
      </c>
      <c r="AP184" s="1" t="str">
        <f>IF(Tabla1[[#This Row],[Columna2]]="M1",5.1,"")</f>
        <v/>
      </c>
      <c r="AQ184" s="1"/>
      <c r="AR184" s="1"/>
      <c r="AS184" s="47">
        <f>IF(Tabla1[[#This Row],[Columna2]]="M1",13073,IF(Tabla1[[#This Row],[Columna2]]="N1",15815,IF(Tabla1[[#This Row],[Columna2]]="L3e",2831,53508)))</f>
        <v>53508</v>
      </c>
      <c r="AT184" s="47" t="e">
        <f>(Tabla1[[#This Row],[CVA]]*Tabla1[[#This Row],[F]]-Tabla1[[#This Row],[CVN]])/100*Tabla1[[#This Row],[L]]</f>
        <v>#VALUE!</v>
      </c>
      <c r="AU184" s="1"/>
      <c r="AV184" s="1" t="e">
        <f>VLOOKUP(B184,Tabla467824[[ID CAE2]:[AE '[kWh']]],6,FALSE)</f>
        <v>#N/A</v>
      </c>
      <c r="AW18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85" spans="1:49" ht="15" x14ac:dyDescent="0.25">
      <c r="A185" s="114" t="s">
        <v>952</v>
      </c>
      <c r="B185" t="str">
        <f>VLOOKUP(A185,Tabla46782[ID CAE],1,FALSE)</f>
        <v>CAE500179</v>
      </c>
      <c r="C185" s="25" t="s">
        <v>953</v>
      </c>
      <c r="D185" s="103" t="s">
        <v>72</v>
      </c>
      <c r="E185" s="103"/>
      <c r="F185" s="103" t="s">
        <v>72</v>
      </c>
      <c r="G185" s="103"/>
      <c r="H185" s="103" t="s">
        <v>249</v>
      </c>
      <c r="I185" s="103" t="s">
        <v>249</v>
      </c>
      <c r="J185" s="103"/>
      <c r="K185" s="14" t="s">
        <v>73</v>
      </c>
      <c r="L185" s="14" t="s">
        <v>200</v>
      </c>
      <c r="M185" s="14" t="s">
        <v>201</v>
      </c>
      <c r="N185" s="23" t="s">
        <v>160</v>
      </c>
      <c r="O185" s="154">
        <f>VLOOKUP(Tabla1[[#This Row],[Matricula]],BAJA2022202320242025!$B$3:$CR$245,93,FALSE)</f>
        <v>44228</v>
      </c>
      <c r="P185" s="29">
        <v>45689</v>
      </c>
      <c r="Q185" s="161">
        <f>Tabla1[[#This Row],[F.Vig.Final]]-Tabla1[[#This Row],[f Vig Inicio]]</f>
        <v>1461</v>
      </c>
      <c r="R185" s="141">
        <f>YEAR(Tabla1[[#This Row],[F.Vig.Final]])</f>
        <v>2025</v>
      </c>
      <c r="S185" s="25" t="s">
        <v>161</v>
      </c>
      <c r="T185" s="14" t="s">
        <v>78</v>
      </c>
      <c r="U185" s="14" t="s">
        <v>79</v>
      </c>
      <c r="V185" s="14" t="s">
        <v>924</v>
      </c>
      <c r="W185" s="14" t="s">
        <v>190</v>
      </c>
      <c r="X185" s="14" t="s">
        <v>191</v>
      </c>
      <c r="Y185" s="14" t="s">
        <v>194</v>
      </c>
      <c r="Z185" s="16">
        <f>COUNTIF($X$3:X185, X185)</f>
        <v>11</v>
      </c>
      <c r="AA185" s="16" t="s">
        <v>954</v>
      </c>
      <c r="AB185" s="16" t="s">
        <v>85</v>
      </c>
      <c r="AC185" s="16" t="s">
        <v>86</v>
      </c>
      <c r="AD185" s="16" t="s">
        <v>87</v>
      </c>
      <c r="AE185" s="60" t="s">
        <v>955</v>
      </c>
      <c r="AF185" s="29" t="s">
        <v>89</v>
      </c>
      <c r="AG185" s="27">
        <v>45646</v>
      </c>
      <c r="AH185" s="137">
        <f>Tabla1[[#This Row],[Renov. Flota]]-Tabla1[[#This Row],[Año]]</f>
        <v>-1</v>
      </c>
      <c r="AI185" s="18" t="s">
        <v>190</v>
      </c>
      <c r="AJ185" s="107" t="str">
        <f>VLOOKUP(Tabla1[[#This Row],[Matricula nueva]],'ALTA 20242025'!$B$2:$P$242,15,FALSE)</f>
        <v>4500428761</v>
      </c>
      <c r="AK185" s="60" t="s">
        <v>191</v>
      </c>
      <c r="AM185" s="1" t="s">
        <v>72</v>
      </c>
      <c r="AN185" s="1" t="s">
        <v>91</v>
      </c>
      <c r="AO185" s="1" t="str">
        <f>VLOOKUP(Tabla1[[#This Row],[Matricula nueva]],Hoja2!$A$1:$B$224,2,FALSE)</f>
        <v>VF1RFK00973934263</v>
      </c>
      <c r="AP185" s="65">
        <v>5.6</v>
      </c>
      <c r="AQ185" s="66">
        <f>IF(T185="DIESEL",10,IF(T185="GLP",7.16,9.19))</f>
        <v>10</v>
      </c>
      <c r="AR185" s="67">
        <v>17.3</v>
      </c>
      <c r="AS185" s="68">
        <f>IF(Tabla1[[#This Row],[Columna2]]="M1",13073,IF(Tabla1[[#This Row],[Columna2]]="N1",15815,IF(Tabla1[[#This Row],[Columna2]]="L3e",2831,53508)))</f>
        <v>15815</v>
      </c>
      <c r="AT185" s="68">
        <f>(Tabla1[[#This Row],[CVA]]*Tabla1[[#This Row],[F]]-Tabla1[[#This Row],[CVN]])/100*Tabla1[[#This Row],[L]]</f>
        <v>6120.4049999999997</v>
      </c>
      <c r="AU185" s="69" t="s">
        <v>128</v>
      </c>
      <c r="AV185" s="294">
        <f>VLOOKUP(B185,Tabla467824[[ID CAE2]:[AE '[kWh']]],6,FALSE)</f>
        <v>5607.9989999999989</v>
      </c>
      <c r="AW18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86" spans="1:49" ht="15.75" thickBot="1" x14ac:dyDescent="0.3">
      <c r="A186" s="114" t="s">
        <v>958</v>
      </c>
      <c r="B186" t="str">
        <f>VLOOKUP(A186,Tabla46782[ID CAE],1,FALSE)</f>
        <v>CAE500180</v>
      </c>
      <c r="C186" s="25" t="s">
        <v>959</v>
      </c>
      <c r="D186" s="103" t="s">
        <v>72</v>
      </c>
      <c r="E186" s="103"/>
      <c r="F186" s="103" t="s">
        <v>72</v>
      </c>
      <c r="G186" s="103"/>
      <c r="H186" s="103" t="s">
        <v>249</v>
      </c>
      <c r="I186" s="103" t="s">
        <v>249</v>
      </c>
      <c r="J186" s="103"/>
      <c r="K186" s="14" t="s">
        <v>73</v>
      </c>
      <c r="L186" s="14" t="s">
        <v>200</v>
      </c>
      <c r="M186" s="14" t="s">
        <v>201</v>
      </c>
      <c r="N186" s="23" t="s">
        <v>160</v>
      </c>
      <c r="O186" s="153">
        <f>VLOOKUP(Tabla1[[#This Row],[Matricula]],BAJA2022202320242025!$B$3:$CR$245,93,FALSE)</f>
        <v>44228</v>
      </c>
      <c r="P186" s="28">
        <v>45689</v>
      </c>
      <c r="Q186" s="159">
        <f>Tabla1[[#This Row],[F.Vig.Final]]-Tabla1[[#This Row],[f Vig Inicio]]</f>
        <v>1461</v>
      </c>
      <c r="R186" s="141">
        <f>YEAR(Tabla1[[#This Row],[F.Vig.Final]])</f>
        <v>2025</v>
      </c>
      <c r="S186" s="25" t="s">
        <v>161</v>
      </c>
      <c r="T186" s="14" t="s">
        <v>78</v>
      </c>
      <c r="U186" s="14" t="s">
        <v>79</v>
      </c>
      <c r="V186" s="14" t="s">
        <v>924</v>
      </c>
      <c r="W186" s="14" t="s">
        <v>960</v>
      </c>
      <c r="X186" s="14" t="s">
        <v>961</v>
      </c>
      <c r="Y186" s="14" t="s">
        <v>962</v>
      </c>
      <c r="Z186" s="16">
        <f>COUNTIF($X$3:X186, X186)</f>
        <v>1</v>
      </c>
      <c r="AA186" s="16" t="s">
        <v>963</v>
      </c>
      <c r="AB186" s="16" t="s">
        <v>85</v>
      </c>
      <c r="AC186" s="16" t="s">
        <v>86</v>
      </c>
      <c r="AD186" s="16" t="s">
        <v>87</v>
      </c>
      <c r="AE186" s="60" t="s">
        <v>962</v>
      </c>
      <c r="AF186" s="28" t="s">
        <v>89</v>
      </c>
      <c r="AG186" s="27">
        <v>45645</v>
      </c>
      <c r="AH186" s="137">
        <f>Tabla1[[#This Row],[Renov. Flota]]-Tabla1[[#This Row],[Año]]</f>
        <v>-1</v>
      </c>
      <c r="AI186" s="18" t="s">
        <v>960</v>
      </c>
      <c r="AJ186" s="107" t="str">
        <f>VLOOKUP(Tabla1[[#This Row],[Matricula nueva]],'ALTA 20242025'!$B$2:$P$242,15,FALSE)</f>
        <v>4500426871</v>
      </c>
      <c r="AK186" s="60" t="s">
        <v>961</v>
      </c>
      <c r="AM186" s="1" t="s">
        <v>72</v>
      </c>
      <c r="AN186" s="1" t="s">
        <v>91</v>
      </c>
      <c r="AO186" s="1" t="str">
        <f>VLOOKUP(Tabla1[[#This Row],[Matricula nueva]],Hoja2!$A$1:$B$224,2,FALSE)</f>
        <v>VF1RFK00073934295</v>
      </c>
      <c r="AP186" s="75">
        <v>5.6</v>
      </c>
      <c r="AQ186" s="76">
        <f>IF(T186="DIESEL",10,IF(T186="GLP",7.16,9.19))</f>
        <v>10</v>
      </c>
      <c r="AR186" s="77">
        <v>17.3</v>
      </c>
      <c r="AS186" s="78">
        <f>IF(Tabla1[[#This Row],[Columna2]]="M1",13073,IF(Tabla1[[#This Row],[Columna2]]="N1",15815,IF(Tabla1[[#This Row],[Columna2]]="L3e",2831,53508)))</f>
        <v>15815</v>
      </c>
      <c r="AT186" s="78">
        <f>(Tabla1[[#This Row],[CVA]]*Tabla1[[#This Row],[F]]-Tabla1[[#This Row],[CVN]])/100*Tabla1[[#This Row],[L]]</f>
        <v>6120.4049999999997</v>
      </c>
      <c r="AU186" s="79" t="s">
        <v>128</v>
      </c>
      <c r="AV186" s="294">
        <f>VLOOKUP(B186,Tabla467824[[ID CAE2]:[AE '[kWh']]],6,FALSE)</f>
        <v>5607.9989999999989</v>
      </c>
      <c r="AW18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87" spans="1:49" ht="15.75" hidden="1" thickBot="1" x14ac:dyDescent="0.3">
      <c r="A187" t="s">
        <v>1304</v>
      </c>
      <c r="B187" t="e">
        <f>VLOOKUP(A187,Tabla46782[ID CAE],1,FALSE)</f>
        <v>#N/A</v>
      </c>
      <c r="C187" s="14" t="s">
        <v>1305</v>
      </c>
      <c r="D187" s="14"/>
      <c r="E187" s="14"/>
      <c r="F187" s="14"/>
      <c r="G187" s="14"/>
      <c r="H187" s="14"/>
      <c r="I187" s="14"/>
      <c r="J187" s="14"/>
      <c r="K187" s="14" t="s">
        <v>73</v>
      </c>
      <c r="L187" s="14" t="s">
        <v>200</v>
      </c>
      <c r="M187" s="14" t="s">
        <v>201</v>
      </c>
      <c r="N187" s="14" t="s">
        <v>160</v>
      </c>
      <c r="O187" s="95">
        <f>VLOOKUP(Tabla1[[#This Row],[Matricula]],BAJA2022202320242025!$B$3:$CR$245,93,FALSE)</f>
        <v>44235</v>
      </c>
      <c r="P187" s="21">
        <v>45696</v>
      </c>
      <c r="Q187" s="93">
        <f>Tabla1[[#This Row],[F.Vig.Final]]-Tabla1[[#This Row],[f Vig Inicio]]</f>
        <v>1461</v>
      </c>
      <c r="R187" s="21">
        <f>YEAR(Tabla1[[#This Row],[F.Vig.Final]])</f>
        <v>2025</v>
      </c>
      <c r="S187" s="14" t="s">
        <v>161</v>
      </c>
      <c r="T187" s="14" t="s">
        <v>78</v>
      </c>
      <c r="U187" s="14" t="s">
        <v>79</v>
      </c>
      <c r="V187" s="14" t="s">
        <v>924</v>
      </c>
      <c r="W187" s="14" t="s">
        <v>584</v>
      </c>
      <c r="X187" s="14" t="s">
        <v>585</v>
      </c>
      <c r="Y187" s="14" t="s">
        <v>1303</v>
      </c>
      <c r="Z187" s="16">
        <f>COUNTIF($X$3:X187, X187)</f>
        <v>13</v>
      </c>
      <c r="AA187" s="16" t="e">
        <v>#N/A</v>
      </c>
      <c r="AB187" s="16" t="e">
        <v>#N/A</v>
      </c>
      <c r="AC187" s="16" t="e">
        <v>#N/A</v>
      </c>
      <c r="AD187" s="16" t="e">
        <v>#N/A</v>
      </c>
      <c r="AE187" s="16" t="e">
        <v>#N/A</v>
      </c>
      <c r="AF187" s="21" t="e">
        <v>#N/A</v>
      </c>
      <c r="AG187" s="17" t="e">
        <v>#N/A</v>
      </c>
      <c r="AH187" s="17" t="e">
        <f>Tabla1[[#This Row],[Renov. Flota]]-Tabla1[[#This Row],[Año]]</f>
        <v>#N/A</v>
      </c>
      <c r="AI187" s="18" t="e">
        <v>#N/A</v>
      </c>
      <c r="AJ187" s="18" t="e">
        <f>VLOOKUP(Tabla1[[#This Row],[Matricula nueva]],'ALTA 20242025'!$B$2:$P$242,15,FALSE)</f>
        <v>#N/A</v>
      </c>
      <c r="AK187" s="19" t="e">
        <v>#N/A</v>
      </c>
      <c r="AN187" s="1"/>
      <c r="AO187" s="1" t="e">
        <f>VLOOKUP(Tabla1[[#This Row],[Matricula nueva]],Hoja2!$A$1:$B$224,2,FALSE)</f>
        <v>#N/A</v>
      </c>
      <c r="AP187" s="1" t="str">
        <f>IF(Tabla1[[#This Row],[Columna2]]="M1",5.1,"")</f>
        <v/>
      </c>
      <c r="AQ187" s="1"/>
      <c r="AR187" s="1"/>
      <c r="AS187" s="47">
        <f>IF(Tabla1[[#This Row],[Columna2]]="M1",13073,IF(Tabla1[[#This Row],[Columna2]]="N1",15815,IF(Tabla1[[#This Row],[Columna2]]="L3e",2831,53508)))</f>
        <v>53508</v>
      </c>
      <c r="AT187" s="47" t="e">
        <f>(Tabla1[[#This Row],[CVA]]*Tabla1[[#This Row],[F]]-Tabla1[[#This Row],[CVN]])/100*Tabla1[[#This Row],[L]]</f>
        <v>#VALUE!</v>
      </c>
      <c r="AU187" s="1"/>
      <c r="AV187" s="1" t="e">
        <f>VLOOKUP(B187,Tabla467824[[ID CAE2]:[AE '[kWh']]],6,FALSE)</f>
        <v>#N/A</v>
      </c>
      <c r="AW18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88" spans="1:49" ht="15.75" hidden="1" thickBot="1" x14ac:dyDescent="0.3">
      <c r="A188" t="s">
        <v>1306</v>
      </c>
      <c r="B188" t="e">
        <f>VLOOKUP(A188,Tabla46782[ID CAE],1,FALSE)</f>
        <v>#N/A</v>
      </c>
      <c r="C188" s="14" t="s">
        <v>1307</v>
      </c>
      <c r="D188" s="14"/>
      <c r="E188" s="14"/>
      <c r="F188" s="14"/>
      <c r="G188" s="14"/>
      <c r="H188" s="14"/>
      <c r="I188" s="14"/>
      <c r="J188" s="14"/>
      <c r="K188" s="14" t="s">
        <v>73</v>
      </c>
      <c r="L188" s="14" t="s">
        <v>200</v>
      </c>
      <c r="M188" s="14" t="s">
        <v>201</v>
      </c>
      <c r="N188" s="14" t="s">
        <v>160</v>
      </c>
      <c r="O188" s="19">
        <f>VLOOKUP(Tabla1[[#This Row],[Matricula]],BAJA2022202320242025!$B$3:$CR$245,93,FALSE)</f>
        <v>44235</v>
      </c>
      <c r="P188" s="17">
        <v>45696</v>
      </c>
      <c r="Q188" s="16">
        <f>Tabla1[[#This Row],[F.Vig.Final]]-Tabla1[[#This Row],[f Vig Inicio]]</f>
        <v>1461</v>
      </c>
      <c r="R188" s="17">
        <f>YEAR(Tabla1[[#This Row],[F.Vig.Final]])</f>
        <v>2025</v>
      </c>
      <c r="S188" s="14" t="s">
        <v>161</v>
      </c>
      <c r="T188" s="14" t="s">
        <v>78</v>
      </c>
      <c r="U188" s="14" t="s">
        <v>79</v>
      </c>
      <c r="V188" s="14" t="s">
        <v>924</v>
      </c>
      <c r="W188" s="14" t="s">
        <v>1128</v>
      </c>
      <c r="X188" s="14" t="s">
        <v>1129</v>
      </c>
      <c r="Y188" s="14" t="s">
        <v>1308</v>
      </c>
      <c r="Z188" s="16">
        <f>COUNTIF($X$3:X188, X188)</f>
        <v>2</v>
      </c>
      <c r="AA188" s="16" t="e">
        <v>#N/A</v>
      </c>
      <c r="AB188" s="16" t="e">
        <v>#N/A</v>
      </c>
      <c r="AC188" s="16" t="e">
        <v>#N/A</v>
      </c>
      <c r="AD188" s="16" t="e">
        <v>#N/A</v>
      </c>
      <c r="AE188" s="16" t="e">
        <v>#N/A</v>
      </c>
      <c r="AF188" s="17" t="e">
        <v>#N/A</v>
      </c>
      <c r="AG188" s="17" t="e">
        <v>#N/A</v>
      </c>
      <c r="AH188" s="17" t="e">
        <f>Tabla1[[#This Row],[Renov. Flota]]-Tabla1[[#This Row],[Año]]</f>
        <v>#N/A</v>
      </c>
      <c r="AI188" s="18" t="e">
        <v>#N/A</v>
      </c>
      <c r="AJ188" s="18" t="e">
        <f>VLOOKUP(Tabla1[[#This Row],[Matricula nueva]],'ALTA 20242025'!$B$2:$P$242,15,FALSE)</f>
        <v>#N/A</v>
      </c>
      <c r="AK188" s="19" t="e">
        <v>#N/A</v>
      </c>
      <c r="AN188" s="1"/>
      <c r="AO188" s="1" t="e">
        <f>VLOOKUP(Tabla1[[#This Row],[Matricula nueva]],Hoja2!$A$1:$B$224,2,FALSE)</f>
        <v>#N/A</v>
      </c>
      <c r="AP188" s="1" t="str">
        <f>IF(Tabla1[[#This Row],[Columna2]]="M1",5.1,"")</f>
        <v/>
      </c>
      <c r="AQ188" s="1"/>
      <c r="AR188" s="1"/>
      <c r="AS188" s="47">
        <f>IF(Tabla1[[#This Row],[Columna2]]="M1",13073,IF(Tabla1[[#This Row],[Columna2]]="N1",15815,IF(Tabla1[[#This Row],[Columna2]]="L3e",2831,53508)))</f>
        <v>53508</v>
      </c>
      <c r="AT188" s="47" t="e">
        <f>(Tabla1[[#This Row],[CVA]]*Tabla1[[#This Row],[F]]-Tabla1[[#This Row],[CVN]])/100*Tabla1[[#This Row],[L]]</f>
        <v>#VALUE!</v>
      </c>
      <c r="AU188" s="1"/>
      <c r="AV188" s="1" t="e">
        <f>VLOOKUP(B188,Tabla467824[[ID CAE2]:[AE '[kWh']]],6,FALSE)</f>
        <v>#N/A</v>
      </c>
      <c r="AW18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89" spans="1:49" ht="15.75" hidden="1" thickBot="1" x14ac:dyDescent="0.3">
      <c r="A189" t="s">
        <v>1309</v>
      </c>
      <c r="B189" t="e">
        <f>VLOOKUP(A189,Tabla46782[ID CAE],1,FALSE)</f>
        <v>#N/A</v>
      </c>
      <c r="C189" s="14" t="s">
        <v>1310</v>
      </c>
      <c r="D189" s="14"/>
      <c r="E189" s="14"/>
      <c r="F189" s="14"/>
      <c r="G189" s="14"/>
      <c r="H189" s="14"/>
      <c r="I189" s="14"/>
      <c r="J189" s="14"/>
      <c r="K189" s="14" t="s">
        <v>73</v>
      </c>
      <c r="L189" s="14" t="s">
        <v>200</v>
      </c>
      <c r="M189" s="14" t="s">
        <v>201</v>
      </c>
      <c r="N189" s="14" t="s">
        <v>76</v>
      </c>
      <c r="O189" s="19">
        <f>VLOOKUP(Tabla1[[#This Row],[Matricula]],BAJA2022202320242025!$B$3:$CR$245,93,FALSE)</f>
        <v>44235</v>
      </c>
      <c r="P189" s="17">
        <v>45696</v>
      </c>
      <c r="Q189" s="16">
        <f>Tabla1[[#This Row],[F.Vig.Final]]-Tabla1[[#This Row],[f Vig Inicio]]</f>
        <v>1461</v>
      </c>
      <c r="R189" s="17">
        <f>YEAR(Tabla1[[#This Row],[F.Vig.Final]])</f>
        <v>2025</v>
      </c>
      <c r="S189" s="14" t="s">
        <v>77</v>
      </c>
      <c r="T189" s="14" t="s">
        <v>78</v>
      </c>
      <c r="U189" s="14" t="s">
        <v>79</v>
      </c>
      <c r="V189" s="14" t="s">
        <v>924</v>
      </c>
      <c r="W189" s="14" t="s">
        <v>584</v>
      </c>
      <c r="X189" s="14" t="s">
        <v>585</v>
      </c>
      <c r="Y189" s="14" t="s">
        <v>1311</v>
      </c>
      <c r="Z189" s="16">
        <f>COUNTIF($X$3:X189, X189)</f>
        <v>14</v>
      </c>
      <c r="AA189" s="16" t="e">
        <v>#N/A</v>
      </c>
      <c r="AB189" s="16" t="e">
        <v>#N/A</v>
      </c>
      <c r="AC189" s="16" t="e">
        <v>#N/A</v>
      </c>
      <c r="AD189" s="16" t="e">
        <v>#N/A</v>
      </c>
      <c r="AE189" s="16" t="e">
        <v>#N/A</v>
      </c>
      <c r="AF189" s="17" t="e">
        <v>#N/A</v>
      </c>
      <c r="AG189" s="17" t="e">
        <v>#N/A</v>
      </c>
      <c r="AH189" s="17" t="e">
        <f>Tabla1[[#This Row],[Renov. Flota]]-Tabla1[[#This Row],[Año]]</f>
        <v>#N/A</v>
      </c>
      <c r="AI189" s="18" t="e">
        <v>#N/A</v>
      </c>
      <c r="AJ189" s="18" t="e">
        <f>VLOOKUP(Tabla1[[#This Row],[Matricula nueva]],'ALTA 20242025'!$B$2:$P$242,15,FALSE)</f>
        <v>#N/A</v>
      </c>
      <c r="AK189" s="19" t="e">
        <v>#N/A</v>
      </c>
      <c r="AN189" s="1"/>
      <c r="AO189" s="1" t="e">
        <f>VLOOKUP(Tabla1[[#This Row],[Matricula nueva]],Hoja2!$A$1:$B$224,2,FALSE)</f>
        <v>#N/A</v>
      </c>
      <c r="AP189" s="1" t="str">
        <f>IF(Tabla1[[#This Row],[Columna2]]="M1",5.1,"")</f>
        <v/>
      </c>
      <c r="AQ189" s="1"/>
      <c r="AR189" s="1"/>
      <c r="AS189" s="47">
        <f>IF(Tabla1[[#This Row],[Columna2]]="M1",13073,IF(Tabla1[[#This Row],[Columna2]]="N1",15815,IF(Tabla1[[#This Row],[Columna2]]="L3e",2831,53508)))</f>
        <v>53508</v>
      </c>
      <c r="AT189" s="47" t="e">
        <f>(Tabla1[[#This Row],[CVA]]*Tabla1[[#This Row],[F]]-Tabla1[[#This Row],[CVN]])/100*Tabla1[[#This Row],[L]]</f>
        <v>#VALUE!</v>
      </c>
      <c r="AU189" s="1"/>
      <c r="AV189" s="1" t="e">
        <f>VLOOKUP(B189,Tabla467824[[ID CAE2]:[AE '[kWh']]],6,FALSE)</f>
        <v>#N/A</v>
      </c>
      <c r="AW18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90" spans="1:49" ht="15.75" hidden="1" thickBot="1" x14ac:dyDescent="0.3">
      <c r="A190" t="s">
        <v>1312</v>
      </c>
      <c r="B190" t="e">
        <f>VLOOKUP(A190,Tabla46782[ID CAE],1,FALSE)</f>
        <v>#N/A</v>
      </c>
      <c r="C190" s="14" t="s">
        <v>1313</v>
      </c>
      <c r="D190" s="14"/>
      <c r="E190" s="14"/>
      <c r="F190" s="14"/>
      <c r="G190" s="14"/>
      <c r="H190" s="14"/>
      <c r="I190" s="14"/>
      <c r="J190" s="14"/>
      <c r="K190" s="14" t="s">
        <v>73</v>
      </c>
      <c r="L190" s="14" t="s">
        <v>200</v>
      </c>
      <c r="M190" s="14" t="s">
        <v>201</v>
      </c>
      <c r="N190" s="14" t="s">
        <v>76</v>
      </c>
      <c r="O190" s="19">
        <f>VLOOKUP(Tabla1[[#This Row],[Matricula]],BAJA2022202320242025!$B$3:$CR$245,93,FALSE)</f>
        <v>44176</v>
      </c>
      <c r="P190" s="17">
        <v>45637</v>
      </c>
      <c r="Q190" s="16">
        <f>Tabla1[[#This Row],[F.Vig.Final]]-Tabla1[[#This Row],[f Vig Inicio]]</f>
        <v>1461</v>
      </c>
      <c r="R190" s="17">
        <f>YEAR(Tabla1[[#This Row],[F.Vig.Final]])</f>
        <v>2024</v>
      </c>
      <c r="S190" s="14" t="s">
        <v>77</v>
      </c>
      <c r="T190" s="14" t="s">
        <v>78</v>
      </c>
      <c r="U190" s="14" t="s">
        <v>467</v>
      </c>
      <c r="V190" s="14" t="s">
        <v>500</v>
      </c>
      <c r="W190" s="14" t="s">
        <v>215</v>
      </c>
      <c r="X190" s="14" t="s">
        <v>216</v>
      </c>
      <c r="Y190" s="14" t="s">
        <v>507</v>
      </c>
      <c r="Z190" s="16">
        <f>COUNTIF($X$3:X190, X190)</f>
        <v>3</v>
      </c>
      <c r="AA190" s="16" t="e">
        <v>#N/A</v>
      </c>
      <c r="AB190" s="16" t="e">
        <v>#N/A</v>
      </c>
      <c r="AC190" s="16" t="e">
        <v>#N/A</v>
      </c>
      <c r="AD190" s="16" t="e">
        <v>#N/A</v>
      </c>
      <c r="AE190" s="16" t="e">
        <v>#N/A</v>
      </c>
      <c r="AF190" s="17" t="e">
        <v>#N/A</v>
      </c>
      <c r="AG190" s="17" t="e">
        <v>#N/A</v>
      </c>
      <c r="AH190" s="17" t="e">
        <f>Tabla1[[#This Row],[Renov. Flota]]-Tabla1[[#This Row],[Año]]</f>
        <v>#N/A</v>
      </c>
      <c r="AI190" s="18" t="e">
        <v>#N/A</v>
      </c>
      <c r="AJ190" s="18" t="e">
        <f>VLOOKUP(Tabla1[[#This Row],[Matricula nueva]],'ALTA 20242025'!$B$2:$P$242,15,FALSE)</f>
        <v>#N/A</v>
      </c>
      <c r="AK190" s="19" t="e">
        <v>#N/A</v>
      </c>
      <c r="AN190" s="1"/>
      <c r="AO190" s="1" t="e">
        <f>VLOOKUP(Tabla1[[#This Row],[Matricula nueva]],Hoja2!$A$1:$B$224,2,FALSE)</f>
        <v>#N/A</v>
      </c>
      <c r="AP190" s="1" t="str">
        <f>IF(Tabla1[[#This Row],[Columna2]]="M1",5.1,"")</f>
        <v/>
      </c>
      <c r="AQ190" s="1"/>
      <c r="AR190" s="1"/>
      <c r="AS190" s="47">
        <f>IF(Tabla1[[#This Row],[Columna2]]="M1",13073,IF(Tabla1[[#This Row],[Columna2]]="N1",15815,IF(Tabla1[[#This Row],[Columna2]]="L3e",2831,53508)))</f>
        <v>53508</v>
      </c>
      <c r="AT190" s="47" t="e">
        <f>(Tabla1[[#This Row],[CVA]]*Tabla1[[#This Row],[F]]-Tabla1[[#This Row],[CVN]])/100*Tabla1[[#This Row],[L]]</f>
        <v>#VALUE!</v>
      </c>
      <c r="AU190" s="1"/>
      <c r="AV190" s="1" t="e">
        <f>VLOOKUP(B190,Tabla467824[[ID CAE2]:[AE '[kWh']]],6,FALSE)</f>
        <v>#N/A</v>
      </c>
      <c r="AW19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91" spans="1:49" ht="15.75" hidden="1" thickBot="1" x14ac:dyDescent="0.3">
      <c r="A191" t="s">
        <v>1314</v>
      </c>
      <c r="B191" t="e">
        <f>VLOOKUP(A191,Tabla46782[ID CAE],1,FALSE)</f>
        <v>#N/A</v>
      </c>
      <c r="C191" s="14" t="s">
        <v>1315</v>
      </c>
      <c r="D191" s="14"/>
      <c r="E191" s="14"/>
      <c r="F191" s="14"/>
      <c r="G191" s="14"/>
      <c r="H191" s="14"/>
      <c r="I191" s="14"/>
      <c r="J191" s="14"/>
      <c r="K191" s="14" t="s">
        <v>73</v>
      </c>
      <c r="L191" s="14" t="s">
        <v>200</v>
      </c>
      <c r="M191" s="14" t="s">
        <v>201</v>
      </c>
      <c r="N191" s="14" t="s">
        <v>171</v>
      </c>
      <c r="O191" s="19">
        <f>VLOOKUP(Tabla1[[#This Row],[Matricula]],BAJA2022202320242025!$B$3:$CR$245,93,FALSE)</f>
        <v>44235</v>
      </c>
      <c r="P191" s="17">
        <v>45696</v>
      </c>
      <c r="Q191" s="16">
        <f>Tabla1[[#This Row],[F.Vig.Final]]-Tabla1[[#This Row],[f Vig Inicio]]</f>
        <v>1461</v>
      </c>
      <c r="R191" s="17">
        <f>YEAR(Tabla1[[#This Row],[F.Vig.Final]])</f>
        <v>2025</v>
      </c>
      <c r="S191" s="14" t="s">
        <v>172</v>
      </c>
      <c r="T191" s="14" t="s">
        <v>78</v>
      </c>
      <c r="U191" s="14" t="s">
        <v>79</v>
      </c>
      <c r="V191" s="14" t="s">
        <v>924</v>
      </c>
      <c r="W191" s="14" t="s">
        <v>584</v>
      </c>
      <c r="X191" s="14" t="s">
        <v>585</v>
      </c>
      <c r="Y191" s="14" t="s">
        <v>1316</v>
      </c>
      <c r="Z191" s="16">
        <f>COUNTIF($X$3:X191, X191)</f>
        <v>15</v>
      </c>
      <c r="AA191" s="16" t="e">
        <v>#N/A</v>
      </c>
      <c r="AB191" s="16" t="e">
        <v>#N/A</v>
      </c>
      <c r="AC191" s="16" t="e">
        <v>#N/A</v>
      </c>
      <c r="AD191" s="16" t="e">
        <v>#N/A</v>
      </c>
      <c r="AE191" s="16" t="e">
        <v>#N/A</v>
      </c>
      <c r="AF191" s="17" t="e">
        <v>#N/A</v>
      </c>
      <c r="AG191" s="17" t="e">
        <v>#N/A</v>
      </c>
      <c r="AH191" s="17" t="e">
        <f>Tabla1[[#This Row],[Renov. Flota]]-Tabla1[[#This Row],[Año]]</f>
        <v>#N/A</v>
      </c>
      <c r="AI191" s="18" t="e">
        <v>#N/A</v>
      </c>
      <c r="AJ191" s="18" t="e">
        <f>VLOOKUP(Tabla1[[#This Row],[Matricula nueva]],'ALTA 20242025'!$B$2:$P$242,15,FALSE)</f>
        <v>#N/A</v>
      </c>
      <c r="AK191" s="19" t="e">
        <v>#N/A</v>
      </c>
      <c r="AN191" s="1"/>
      <c r="AO191" s="1" t="e">
        <f>VLOOKUP(Tabla1[[#This Row],[Matricula nueva]],Hoja2!$A$1:$B$224,2,FALSE)</f>
        <v>#N/A</v>
      </c>
      <c r="AP191" s="1" t="str">
        <f>IF(Tabla1[[#This Row],[Columna2]]="M1",5.1,"")</f>
        <v/>
      </c>
      <c r="AQ191" s="1"/>
      <c r="AR191" s="1"/>
      <c r="AS191" s="47">
        <f>IF(Tabla1[[#This Row],[Columna2]]="M1",13073,IF(Tabla1[[#This Row],[Columna2]]="N1",15815,IF(Tabla1[[#This Row],[Columna2]]="L3e",2831,53508)))</f>
        <v>53508</v>
      </c>
      <c r="AT191" s="47" t="e">
        <f>(Tabla1[[#This Row],[CVA]]*Tabla1[[#This Row],[F]]-Tabla1[[#This Row],[CVN]])/100*Tabla1[[#This Row],[L]]</f>
        <v>#VALUE!</v>
      </c>
      <c r="AU191" s="1"/>
      <c r="AV191" s="1" t="e">
        <f>VLOOKUP(B191,Tabla467824[[ID CAE2]:[AE '[kWh']]],6,FALSE)</f>
        <v>#N/A</v>
      </c>
      <c r="AW19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92" spans="1:49" ht="15.75" hidden="1" thickBot="1" x14ac:dyDescent="0.3">
      <c r="A192" t="s">
        <v>1317</v>
      </c>
      <c r="B192" t="e">
        <f>VLOOKUP(A192,Tabla46782[ID CAE],1,FALSE)</f>
        <v>#N/A</v>
      </c>
      <c r="C192" s="14" t="s">
        <v>1318</v>
      </c>
      <c r="D192" s="14"/>
      <c r="E192" s="14"/>
      <c r="F192" s="14"/>
      <c r="G192" s="14"/>
      <c r="H192" s="14"/>
      <c r="I192" s="14"/>
      <c r="J192" s="14"/>
      <c r="K192" s="14" t="s">
        <v>73</v>
      </c>
      <c r="L192" s="14" t="s">
        <v>200</v>
      </c>
      <c r="M192" s="14" t="s">
        <v>201</v>
      </c>
      <c r="N192" s="14" t="s">
        <v>160</v>
      </c>
      <c r="O192" s="50">
        <f>VLOOKUP(Tabla1[[#This Row],[Matricula]],BAJA2022202320242025!$B$3:$CR$245,93,FALSE)</f>
        <v>44235</v>
      </c>
      <c r="P192" s="22">
        <v>45696</v>
      </c>
      <c r="Q192" s="48">
        <f>Tabla1[[#This Row],[F.Vig.Final]]-Tabla1[[#This Row],[f Vig Inicio]]</f>
        <v>1461</v>
      </c>
      <c r="R192" s="22">
        <f>YEAR(Tabla1[[#This Row],[F.Vig.Final]])</f>
        <v>2025</v>
      </c>
      <c r="S192" s="14" t="s">
        <v>161</v>
      </c>
      <c r="T192" s="14" t="s">
        <v>78</v>
      </c>
      <c r="U192" s="14" t="s">
        <v>79</v>
      </c>
      <c r="V192" s="14" t="s">
        <v>924</v>
      </c>
      <c r="W192" s="14" t="s">
        <v>584</v>
      </c>
      <c r="X192" s="14" t="s">
        <v>585</v>
      </c>
      <c r="Y192" s="14" t="s">
        <v>588</v>
      </c>
      <c r="Z192" s="16">
        <f>COUNTIF($X$3:X192, X192)</f>
        <v>16</v>
      </c>
      <c r="AA192" s="16" t="e">
        <v>#N/A</v>
      </c>
      <c r="AB192" s="16" t="e">
        <v>#N/A</v>
      </c>
      <c r="AC192" s="16" t="e">
        <v>#N/A</v>
      </c>
      <c r="AD192" s="16" t="e">
        <v>#N/A</v>
      </c>
      <c r="AE192" s="16" t="e">
        <v>#N/A</v>
      </c>
      <c r="AF192" s="22" t="e">
        <v>#N/A</v>
      </c>
      <c r="AG192" s="17" t="e">
        <v>#N/A</v>
      </c>
      <c r="AH192" s="17" t="e">
        <f>Tabla1[[#This Row],[Renov. Flota]]-Tabla1[[#This Row],[Año]]</f>
        <v>#N/A</v>
      </c>
      <c r="AI192" s="18" t="e">
        <v>#N/A</v>
      </c>
      <c r="AJ192" s="18" t="e">
        <f>VLOOKUP(Tabla1[[#This Row],[Matricula nueva]],'ALTA 20242025'!$B$2:$P$242,15,FALSE)</f>
        <v>#N/A</v>
      </c>
      <c r="AK192" s="19" t="e">
        <v>#N/A</v>
      </c>
      <c r="AN192" s="1"/>
      <c r="AO192" s="1" t="e">
        <f>VLOOKUP(Tabla1[[#This Row],[Matricula nueva]],Hoja2!$A$1:$B$224,2,FALSE)</f>
        <v>#N/A</v>
      </c>
      <c r="AP192" s="1" t="str">
        <f>IF(Tabla1[[#This Row],[Columna2]]="M1",5.1,"")</f>
        <v/>
      </c>
      <c r="AQ192" s="1"/>
      <c r="AR192" s="1"/>
      <c r="AS192" s="47">
        <f>IF(Tabla1[[#This Row],[Columna2]]="M1",13073,IF(Tabla1[[#This Row],[Columna2]]="N1",15815,IF(Tabla1[[#This Row],[Columna2]]="L3e",2831,53508)))</f>
        <v>53508</v>
      </c>
      <c r="AT192" s="47" t="e">
        <f>(Tabla1[[#This Row],[CVA]]*Tabla1[[#This Row],[F]]-Tabla1[[#This Row],[CVN]])/100*Tabla1[[#This Row],[L]]</f>
        <v>#VALUE!</v>
      </c>
      <c r="AU192" s="1"/>
      <c r="AV192" s="1" t="e">
        <f>VLOOKUP(B192,Tabla467824[[ID CAE2]:[AE '[kWh']]],6,FALSE)</f>
        <v>#N/A</v>
      </c>
      <c r="AW19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193" spans="1:49" ht="15" x14ac:dyDescent="0.25">
      <c r="A193" s="114" t="s">
        <v>966</v>
      </c>
      <c r="B193" t="str">
        <f>VLOOKUP(A193,Tabla46782[ID CAE],1,FALSE)</f>
        <v>CAE500187</v>
      </c>
      <c r="C193" s="25" t="s">
        <v>967</v>
      </c>
      <c r="D193" s="103" t="s">
        <v>72</v>
      </c>
      <c r="E193" s="103" t="s">
        <v>72</v>
      </c>
      <c r="F193" s="103" t="s">
        <v>72</v>
      </c>
      <c r="G193" s="103"/>
      <c r="H193" s="103" t="s">
        <v>249</v>
      </c>
      <c r="I193" s="103" t="s">
        <v>249</v>
      </c>
      <c r="J193" s="103"/>
      <c r="K193" s="14" t="s">
        <v>73</v>
      </c>
      <c r="L193" s="14" t="s">
        <v>200</v>
      </c>
      <c r="M193" s="14" t="s">
        <v>201</v>
      </c>
      <c r="N193" s="23" t="s">
        <v>76</v>
      </c>
      <c r="O193" s="154">
        <f>VLOOKUP(Tabla1[[#This Row],[Matricula]],BAJA2022202320242025!$B$3:$CR$245,93,FALSE)</f>
        <v>44228</v>
      </c>
      <c r="P193" s="29">
        <v>45689</v>
      </c>
      <c r="Q193" s="161">
        <f>Tabla1[[#This Row],[F.Vig.Final]]-Tabla1[[#This Row],[f Vig Inicio]]</f>
        <v>1461</v>
      </c>
      <c r="R193" s="141">
        <f>YEAR(Tabla1[[#This Row],[F.Vig.Final]])</f>
        <v>2025</v>
      </c>
      <c r="S193" s="25" t="s">
        <v>77</v>
      </c>
      <c r="T193" s="14" t="s">
        <v>78</v>
      </c>
      <c r="U193" s="14" t="s">
        <v>79</v>
      </c>
      <c r="V193" s="14" t="s">
        <v>924</v>
      </c>
      <c r="W193" s="14" t="s">
        <v>308</v>
      </c>
      <c r="X193" s="14" t="s">
        <v>309</v>
      </c>
      <c r="Y193" s="14" t="s">
        <v>310</v>
      </c>
      <c r="Z193" s="16">
        <f>COUNTIF($X$3:X193, X193)</f>
        <v>3</v>
      </c>
      <c r="AA193" s="16" t="s">
        <v>968</v>
      </c>
      <c r="AB193" s="16" t="s">
        <v>85</v>
      </c>
      <c r="AC193" s="16" t="s">
        <v>86</v>
      </c>
      <c r="AD193" s="16" t="s">
        <v>87</v>
      </c>
      <c r="AE193" s="60" t="s">
        <v>310</v>
      </c>
      <c r="AF193" s="29" t="s">
        <v>89</v>
      </c>
      <c r="AG193" s="27">
        <v>45649</v>
      </c>
      <c r="AH193" s="137">
        <f>Tabla1[[#This Row],[Renov. Flota]]-Tabla1[[#This Row],[Año]]</f>
        <v>-1</v>
      </c>
      <c r="AI193" s="18" t="s">
        <v>308</v>
      </c>
      <c r="AJ193" s="107" t="str">
        <f>VLOOKUP(Tabla1[[#This Row],[Matricula nueva]],'ALTA 20242025'!$B$2:$P$242,15,FALSE)</f>
        <v>X</v>
      </c>
      <c r="AK193" s="60" t="s">
        <v>309</v>
      </c>
      <c r="AM193" s="1" t="s">
        <v>72</v>
      </c>
      <c r="AN193" s="1" t="s">
        <v>91</v>
      </c>
      <c r="AO193" s="1" t="str">
        <f>VLOOKUP(Tabla1[[#This Row],[Matricula nueva]],Hoja2!$A$1:$B$224,2,FALSE)</f>
        <v>VF1RFK00673934303</v>
      </c>
      <c r="AP193" s="65">
        <v>5.6</v>
      </c>
      <c r="AQ193" s="66">
        <f t="shared" ref="AQ193:AQ198" si="10">IF(T193="DIESEL",10,IF(T193="GLP",7.16,9.19))</f>
        <v>10</v>
      </c>
      <c r="AR193" s="67">
        <v>17.3</v>
      </c>
      <c r="AS193" s="68">
        <f>IF(Tabla1[[#This Row],[Columna2]]="M1",13073,IF(Tabla1[[#This Row],[Columna2]]="N1",15815,IF(Tabla1[[#This Row],[Columna2]]="L3e",2831,53508)))</f>
        <v>15815</v>
      </c>
      <c r="AT193" s="68">
        <f>(Tabla1[[#This Row],[CVA]]*Tabla1[[#This Row],[F]]-Tabla1[[#This Row],[CVN]])/100*Tabla1[[#This Row],[L]]</f>
        <v>6120.4049999999997</v>
      </c>
      <c r="AU193" s="69" t="s">
        <v>128</v>
      </c>
      <c r="AV193" s="294">
        <f>VLOOKUP(B193,Tabla467824[[ID CAE2]:[AE '[kWh']]],6,FALSE)</f>
        <v>5607.9989999999989</v>
      </c>
      <c r="AW19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94" spans="1:49" ht="15" x14ac:dyDescent="0.25">
      <c r="A194" s="114" t="s">
        <v>970</v>
      </c>
      <c r="B194" t="str">
        <f>VLOOKUP(A194,Tabla46782[ID CAE],1,FALSE)</f>
        <v>CAE500188</v>
      </c>
      <c r="C194" s="25" t="s">
        <v>971</v>
      </c>
      <c r="D194" s="103" t="s">
        <v>72</v>
      </c>
      <c r="E194" s="103"/>
      <c r="F194" s="103" t="s">
        <v>72</v>
      </c>
      <c r="G194" s="103"/>
      <c r="H194" s="103" t="s">
        <v>249</v>
      </c>
      <c r="I194" s="103" t="s">
        <v>249</v>
      </c>
      <c r="J194" s="103"/>
      <c r="K194" s="14" t="s">
        <v>73</v>
      </c>
      <c r="L194" s="14" t="s">
        <v>200</v>
      </c>
      <c r="M194" s="14" t="s">
        <v>201</v>
      </c>
      <c r="N194" s="23" t="s">
        <v>160</v>
      </c>
      <c r="O194" s="151">
        <f>VLOOKUP(Tabla1[[#This Row],[Matricula]],BAJA2022202320242025!$B$3:$CR$245,93,FALSE)</f>
        <v>44228</v>
      </c>
      <c r="P194" s="24">
        <v>45689</v>
      </c>
      <c r="Q194" s="158">
        <f>Tabla1[[#This Row],[F.Vig.Final]]-Tabla1[[#This Row],[f Vig Inicio]]</f>
        <v>1461</v>
      </c>
      <c r="R194" s="141">
        <f>YEAR(Tabla1[[#This Row],[F.Vig.Final]])</f>
        <v>2025</v>
      </c>
      <c r="S194" s="25" t="s">
        <v>161</v>
      </c>
      <c r="T194" s="14" t="s">
        <v>78</v>
      </c>
      <c r="U194" s="14" t="s">
        <v>79</v>
      </c>
      <c r="V194" s="14" t="s">
        <v>924</v>
      </c>
      <c r="W194" s="14" t="s">
        <v>308</v>
      </c>
      <c r="X194" s="14" t="s">
        <v>309</v>
      </c>
      <c r="Y194" s="14" t="s">
        <v>310</v>
      </c>
      <c r="Z194" s="16">
        <f>COUNTIF($X$3:X194, X194)</f>
        <v>4</v>
      </c>
      <c r="AA194" s="16" t="s">
        <v>972</v>
      </c>
      <c r="AB194" s="16" t="s">
        <v>85</v>
      </c>
      <c r="AC194" s="16" t="s">
        <v>86</v>
      </c>
      <c r="AD194" s="16" t="s">
        <v>87</v>
      </c>
      <c r="AE194" s="60" t="s">
        <v>312</v>
      </c>
      <c r="AF194" s="24" t="s">
        <v>89</v>
      </c>
      <c r="AG194" s="27">
        <v>45649</v>
      </c>
      <c r="AH194" s="137">
        <f>Tabla1[[#This Row],[Renov. Flota]]-Tabla1[[#This Row],[Año]]</f>
        <v>-1</v>
      </c>
      <c r="AI194" s="18" t="s">
        <v>308</v>
      </c>
      <c r="AJ194" s="107" t="str">
        <f>VLOOKUP(Tabla1[[#This Row],[Matricula nueva]],'ALTA 20242025'!$B$2:$P$242,15,FALSE)</f>
        <v>X</v>
      </c>
      <c r="AK194" s="60" t="s">
        <v>309</v>
      </c>
      <c r="AM194" s="1" t="s">
        <v>72</v>
      </c>
      <c r="AN194" s="1" t="s">
        <v>91</v>
      </c>
      <c r="AO194" s="1" t="str">
        <f>VLOOKUP(Tabla1[[#This Row],[Matricula nueva]],Hoja2!$A$1:$B$224,2,FALSE)</f>
        <v>VF1RFK00573934261</v>
      </c>
      <c r="AP194" s="70">
        <v>5.6</v>
      </c>
      <c r="AQ194" s="71">
        <f t="shared" si="10"/>
        <v>10</v>
      </c>
      <c r="AR194" s="72">
        <v>17.3</v>
      </c>
      <c r="AS194" s="73">
        <f>IF(Tabla1[[#This Row],[Columna2]]="M1",13073,IF(Tabla1[[#This Row],[Columna2]]="N1",15815,IF(Tabla1[[#This Row],[Columna2]]="L3e",2831,53508)))</f>
        <v>15815</v>
      </c>
      <c r="AT194" s="73">
        <f>(Tabla1[[#This Row],[CVA]]*Tabla1[[#This Row],[F]]-Tabla1[[#This Row],[CVN]])/100*Tabla1[[#This Row],[L]]</f>
        <v>6120.4049999999997</v>
      </c>
      <c r="AU194" s="74" t="s">
        <v>128</v>
      </c>
      <c r="AV194" s="294">
        <f>VLOOKUP(B194,Tabla467824[[ID CAE2]:[AE '[kWh']]],6,FALSE)</f>
        <v>5607.9989999999989</v>
      </c>
      <c r="AW19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95" spans="1:49" ht="15" x14ac:dyDescent="0.25">
      <c r="A195" s="114" t="s">
        <v>974</v>
      </c>
      <c r="B195" t="str">
        <f>VLOOKUP(A195,Tabla46782[ID CAE],1,FALSE)</f>
        <v>CAE500189</v>
      </c>
      <c r="C195" s="25" t="s">
        <v>975</v>
      </c>
      <c r="D195" s="103" t="s">
        <v>72</v>
      </c>
      <c r="E195" s="103"/>
      <c r="F195" s="103" t="s">
        <v>72</v>
      </c>
      <c r="G195" s="103"/>
      <c r="H195" s="103" t="s">
        <v>72</v>
      </c>
      <c r="I195" s="103" t="s">
        <v>72</v>
      </c>
      <c r="J195" s="103"/>
      <c r="K195" s="14" t="s">
        <v>73</v>
      </c>
      <c r="L195" s="14" t="s">
        <v>200</v>
      </c>
      <c r="M195" s="14" t="s">
        <v>201</v>
      </c>
      <c r="N195" s="23" t="s">
        <v>160</v>
      </c>
      <c r="O195" s="151">
        <f>VLOOKUP(Tabla1[[#This Row],[Matricula]],BAJA2022202320242025!$B$3:$CR$245,93,FALSE)</f>
        <v>44232</v>
      </c>
      <c r="P195" s="24">
        <v>45693</v>
      </c>
      <c r="Q195" s="158">
        <f>Tabla1[[#This Row],[F.Vig.Final]]-Tabla1[[#This Row],[f Vig Inicio]]</f>
        <v>1461</v>
      </c>
      <c r="R195" s="141">
        <f>YEAR(Tabla1[[#This Row],[F.Vig.Final]])</f>
        <v>2025</v>
      </c>
      <c r="S195" s="25" t="s">
        <v>161</v>
      </c>
      <c r="T195" s="14" t="s">
        <v>78</v>
      </c>
      <c r="U195" s="14" t="s">
        <v>79</v>
      </c>
      <c r="V195" s="14" t="s">
        <v>924</v>
      </c>
      <c r="W195" s="14" t="s">
        <v>308</v>
      </c>
      <c r="X195" s="14" t="s">
        <v>309</v>
      </c>
      <c r="Y195" s="14" t="s">
        <v>310</v>
      </c>
      <c r="Z195" s="16">
        <f>COUNTIF($X$3:X195, X195)</f>
        <v>5</v>
      </c>
      <c r="AA195" s="16" t="s">
        <v>976</v>
      </c>
      <c r="AB195" s="16" t="s">
        <v>85</v>
      </c>
      <c r="AC195" s="16" t="s">
        <v>86</v>
      </c>
      <c r="AD195" s="16" t="s">
        <v>87</v>
      </c>
      <c r="AE195" s="60" t="s">
        <v>310</v>
      </c>
      <c r="AF195" s="24" t="s">
        <v>89</v>
      </c>
      <c r="AG195" s="27">
        <v>45649</v>
      </c>
      <c r="AH195" s="137">
        <f>Tabla1[[#This Row],[Renov. Flota]]-Tabla1[[#This Row],[Año]]</f>
        <v>-1</v>
      </c>
      <c r="AI195" s="18" t="s">
        <v>308</v>
      </c>
      <c r="AJ195" s="107" t="str">
        <f>VLOOKUP(Tabla1[[#This Row],[Matricula nueva]],'ALTA 20242025'!$B$2:$P$242,15,FALSE)</f>
        <v>X</v>
      </c>
      <c r="AK195" s="60" t="s">
        <v>309</v>
      </c>
      <c r="AM195" s="1" t="s">
        <v>72</v>
      </c>
      <c r="AN195" s="1" t="s">
        <v>91</v>
      </c>
      <c r="AO195" s="1" t="str">
        <f>VLOOKUP(Tabla1[[#This Row],[Matricula nueva]],Hoja2!$A$1:$B$224,2,FALSE)</f>
        <v>VF1RFK00473934266</v>
      </c>
      <c r="AP195" s="70">
        <v>5.6</v>
      </c>
      <c r="AQ195" s="71">
        <f t="shared" si="10"/>
        <v>10</v>
      </c>
      <c r="AR195" s="72">
        <v>17.3</v>
      </c>
      <c r="AS195" s="73">
        <f>IF(Tabla1[[#This Row],[Columna2]]="M1",13073,IF(Tabla1[[#This Row],[Columna2]]="N1",15815,IF(Tabla1[[#This Row],[Columna2]]="L3e",2831,53508)))</f>
        <v>15815</v>
      </c>
      <c r="AT195" s="73">
        <f>(Tabla1[[#This Row],[CVA]]*Tabla1[[#This Row],[F]]-Tabla1[[#This Row],[CVN]])/100*Tabla1[[#This Row],[L]]</f>
        <v>6120.4049999999997</v>
      </c>
      <c r="AU195" s="74" t="s">
        <v>128</v>
      </c>
      <c r="AV195" s="294">
        <f>VLOOKUP(B195,Tabla467824[[ID CAE2]:[AE '[kWh']]],6,FALSE)</f>
        <v>5607.9989999999989</v>
      </c>
      <c r="AW19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96" spans="1:49" ht="15" x14ac:dyDescent="0.25">
      <c r="A196" s="114" t="s">
        <v>978</v>
      </c>
      <c r="B196" t="str">
        <f>VLOOKUP(A196,Tabla46782[ID CAE],1,FALSE)</f>
        <v>CAE500190</v>
      </c>
      <c r="C196" s="25" t="s">
        <v>979</v>
      </c>
      <c r="D196" s="103" t="s">
        <v>72</v>
      </c>
      <c r="E196" s="103"/>
      <c r="F196" s="103" t="s">
        <v>72</v>
      </c>
      <c r="G196" s="103"/>
      <c r="H196" s="103" t="s">
        <v>249</v>
      </c>
      <c r="I196" s="103" t="s">
        <v>249</v>
      </c>
      <c r="J196" s="103"/>
      <c r="K196" s="14" t="s">
        <v>73</v>
      </c>
      <c r="L196" s="14" t="s">
        <v>200</v>
      </c>
      <c r="M196" s="14" t="s">
        <v>201</v>
      </c>
      <c r="N196" s="23" t="s">
        <v>76</v>
      </c>
      <c r="O196" s="151">
        <f>VLOOKUP(Tabla1[[#This Row],[Matricula]],BAJA2022202320242025!$B$3:$CR$245,93,FALSE)</f>
        <v>44235</v>
      </c>
      <c r="P196" s="24">
        <v>45696</v>
      </c>
      <c r="Q196" s="158">
        <f>Tabla1[[#This Row],[F.Vig.Final]]-Tabla1[[#This Row],[f Vig Inicio]]</f>
        <v>1461</v>
      </c>
      <c r="R196" s="141">
        <f>YEAR(Tabla1[[#This Row],[F.Vig.Final]])</f>
        <v>2025</v>
      </c>
      <c r="S196" s="25" t="s">
        <v>77</v>
      </c>
      <c r="T196" s="14" t="s">
        <v>78</v>
      </c>
      <c r="U196" s="14" t="s">
        <v>79</v>
      </c>
      <c r="V196" s="14" t="s">
        <v>924</v>
      </c>
      <c r="W196" s="14" t="s">
        <v>308</v>
      </c>
      <c r="X196" s="14" t="s">
        <v>309</v>
      </c>
      <c r="Y196" s="14" t="s">
        <v>980</v>
      </c>
      <c r="Z196" s="16">
        <f>COUNTIF($X$3:X196, X196)</f>
        <v>6</v>
      </c>
      <c r="AA196" s="16" t="s">
        <v>981</v>
      </c>
      <c r="AB196" s="16" t="s">
        <v>85</v>
      </c>
      <c r="AC196" s="16" t="s">
        <v>86</v>
      </c>
      <c r="AD196" s="16" t="s">
        <v>87</v>
      </c>
      <c r="AE196" s="60" t="s">
        <v>310</v>
      </c>
      <c r="AF196" s="24" t="s">
        <v>89</v>
      </c>
      <c r="AG196" s="27">
        <v>45649</v>
      </c>
      <c r="AH196" s="137">
        <f>Tabla1[[#This Row],[Renov. Flota]]-Tabla1[[#This Row],[Año]]</f>
        <v>-1</v>
      </c>
      <c r="AI196" s="18" t="s">
        <v>308</v>
      </c>
      <c r="AJ196" s="107" t="str">
        <f>VLOOKUP(Tabla1[[#This Row],[Matricula nueva]],'ALTA 20242025'!$B$2:$P$242,15,FALSE)</f>
        <v>X</v>
      </c>
      <c r="AK196" s="60" t="s">
        <v>309</v>
      </c>
      <c r="AM196" s="1" t="s">
        <v>72</v>
      </c>
      <c r="AN196" s="1" t="s">
        <v>91</v>
      </c>
      <c r="AO196" s="1" t="str">
        <f>VLOOKUP(Tabla1[[#This Row],[Matricula nueva]],Hoja2!$A$1:$B$224,2,FALSE)</f>
        <v>VF1RFK00873934299</v>
      </c>
      <c r="AP196" s="70">
        <v>5.6</v>
      </c>
      <c r="AQ196" s="71">
        <f t="shared" si="10"/>
        <v>10</v>
      </c>
      <c r="AR196" s="72">
        <v>17.3</v>
      </c>
      <c r="AS196" s="73">
        <f>IF(Tabla1[[#This Row],[Columna2]]="M1",13073,IF(Tabla1[[#This Row],[Columna2]]="N1",15815,IF(Tabla1[[#This Row],[Columna2]]="L3e",2831,53508)))</f>
        <v>15815</v>
      </c>
      <c r="AT196" s="73">
        <f>(Tabla1[[#This Row],[CVA]]*Tabla1[[#This Row],[F]]-Tabla1[[#This Row],[CVN]])/100*Tabla1[[#This Row],[L]]</f>
        <v>6120.4049999999997</v>
      </c>
      <c r="AU196" s="74" t="s">
        <v>128</v>
      </c>
      <c r="AV196" s="294">
        <f>VLOOKUP(B196,Tabla467824[[ID CAE2]:[AE '[kWh']]],6,FALSE)</f>
        <v>5607.9989999999989</v>
      </c>
      <c r="AW19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97" spans="1:49" ht="15" x14ac:dyDescent="0.25">
      <c r="A197" s="114" t="s">
        <v>983</v>
      </c>
      <c r="B197" t="str">
        <f>VLOOKUP(A197,Tabla46782[ID CAE],1,FALSE)</f>
        <v>CAE500191</v>
      </c>
      <c r="C197" s="25" t="s">
        <v>984</v>
      </c>
      <c r="D197" s="103" t="s">
        <v>72</v>
      </c>
      <c r="E197" s="103"/>
      <c r="F197" s="103" t="s">
        <v>72</v>
      </c>
      <c r="G197" s="103"/>
      <c r="H197" s="103" t="s">
        <v>72</v>
      </c>
      <c r="I197" s="103" t="s">
        <v>72</v>
      </c>
      <c r="J197" s="103"/>
      <c r="K197" s="14" t="s">
        <v>73</v>
      </c>
      <c r="L197" s="14" t="s">
        <v>200</v>
      </c>
      <c r="M197" s="14" t="s">
        <v>201</v>
      </c>
      <c r="N197" s="23" t="s">
        <v>160</v>
      </c>
      <c r="O197" s="151">
        <f>VLOOKUP(Tabla1[[#This Row],[Matricula]],BAJA2022202320242025!$B$3:$CR$245,93,FALSE)</f>
        <v>44250</v>
      </c>
      <c r="P197" s="24">
        <v>45711</v>
      </c>
      <c r="Q197" s="158">
        <f>Tabla1[[#This Row],[F.Vig.Final]]-Tabla1[[#This Row],[f Vig Inicio]]</f>
        <v>1461</v>
      </c>
      <c r="R197" s="141">
        <f>YEAR(Tabla1[[#This Row],[F.Vig.Final]])</f>
        <v>2025</v>
      </c>
      <c r="S197" s="25" t="s">
        <v>161</v>
      </c>
      <c r="T197" s="14" t="s">
        <v>78</v>
      </c>
      <c r="U197" s="14" t="s">
        <v>79</v>
      </c>
      <c r="V197" s="14" t="s">
        <v>924</v>
      </c>
      <c r="W197" s="14" t="s">
        <v>985</v>
      </c>
      <c r="X197" s="14" t="s">
        <v>986</v>
      </c>
      <c r="Y197" s="14" t="s">
        <v>987</v>
      </c>
      <c r="Z197" s="16">
        <f>COUNTIF($X$3:X197, X197)</f>
        <v>1</v>
      </c>
      <c r="AA197" s="16" t="s">
        <v>988</v>
      </c>
      <c r="AB197" s="16" t="s">
        <v>85</v>
      </c>
      <c r="AC197" s="16" t="s">
        <v>86</v>
      </c>
      <c r="AD197" s="16" t="s">
        <v>87</v>
      </c>
      <c r="AE197" s="60" t="s">
        <v>987</v>
      </c>
      <c r="AF197" s="24" t="s">
        <v>89</v>
      </c>
      <c r="AG197" s="27">
        <v>45653</v>
      </c>
      <c r="AH197" s="137">
        <f>Tabla1[[#This Row],[Renov. Flota]]-Tabla1[[#This Row],[Año]]</f>
        <v>-1</v>
      </c>
      <c r="AI197" s="18" t="s">
        <v>985</v>
      </c>
      <c r="AJ197" s="107" t="str">
        <f>VLOOKUP(Tabla1[[#This Row],[Matricula nueva]],'ALTA 20242025'!$B$2:$P$242,15,FALSE)</f>
        <v>4500426843</v>
      </c>
      <c r="AK197" s="60" t="s">
        <v>986</v>
      </c>
      <c r="AM197" s="1" t="s">
        <v>72</v>
      </c>
      <c r="AN197" s="1" t="s">
        <v>91</v>
      </c>
      <c r="AO197" s="1" t="str">
        <f>VLOOKUP(Tabla1[[#This Row],[Matricula nueva]],Hoja2!$A$1:$B$224,2,FALSE)</f>
        <v>VF1RFK00773824876</v>
      </c>
      <c r="AP197" s="70">
        <v>5.6</v>
      </c>
      <c r="AQ197" s="71">
        <f t="shared" si="10"/>
        <v>10</v>
      </c>
      <c r="AR197" s="72">
        <v>17.3</v>
      </c>
      <c r="AS197" s="73">
        <f>IF(Tabla1[[#This Row],[Columna2]]="M1",13073,IF(Tabla1[[#This Row],[Columna2]]="N1",15815,IF(Tabla1[[#This Row],[Columna2]]="L3e",2831,53508)))</f>
        <v>15815</v>
      </c>
      <c r="AT197" s="73">
        <f>(Tabla1[[#This Row],[CVA]]*Tabla1[[#This Row],[F]]-Tabla1[[#This Row],[CVN]])/100*Tabla1[[#This Row],[L]]</f>
        <v>6120.4049999999997</v>
      </c>
      <c r="AU197" s="74" t="s">
        <v>128</v>
      </c>
      <c r="AV197" s="294">
        <f>VLOOKUP(B197,Tabla467824[[ID CAE2]:[AE '[kWh']]],6,FALSE)</f>
        <v>5607.9989999999989</v>
      </c>
      <c r="AW19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98" spans="1:49" ht="15.75" thickBot="1" x14ac:dyDescent="0.3">
      <c r="A198" s="114" t="s">
        <v>991</v>
      </c>
      <c r="B198" t="str">
        <f>VLOOKUP(A198,Tabla46782[ID CAE],1,FALSE)</f>
        <v>CAE500192</v>
      </c>
      <c r="C198" s="25" t="s">
        <v>992</v>
      </c>
      <c r="D198" s="103" t="s">
        <v>72</v>
      </c>
      <c r="E198" s="103"/>
      <c r="F198" s="103" t="s">
        <v>72</v>
      </c>
      <c r="G198" s="103"/>
      <c r="H198" s="103" t="s">
        <v>249</v>
      </c>
      <c r="I198" s="103" t="s">
        <v>249</v>
      </c>
      <c r="J198" s="103"/>
      <c r="K198" s="14" t="s">
        <v>73</v>
      </c>
      <c r="L198" s="14" t="s">
        <v>200</v>
      </c>
      <c r="M198" s="14" t="s">
        <v>201</v>
      </c>
      <c r="N198" s="23" t="s">
        <v>76</v>
      </c>
      <c r="O198" s="153">
        <f>VLOOKUP(Tabla1[[#This Row],[Matricula]],BAJA2022202320242025!$B$3:$CR$245,93,FALSE)</f>
        <v>44228</v>
      </c>
      <c r="P198" s="28">
        <v>45716</v>
      </c>
      <c r="Q198" s="159">
        <f>Tabla1[[#This Row],[F.Vig.Final]]-Tabla1[[#This Row],[f Vig Inicio]]</f>
        <v>1488</v>
      </c>
      <c r="R198" s="141">
        <f>YEAR(Tabla1[[#This Row],[F.Vig.Final]])</f>
        <v>2025</v>
      </c>
      <c r="S198" s="25" t="s">
        <v>77</v>
      </c>
      <c r="T198" s="14" t="s">
        <v>78</v>
      </c>
      <c r="U198" s="14" t="s">
        <v>79</v>
      </c>
      <c r="V198" s="14" t="s">
        <v>924</v>
      </c>
      <c r="W198" s="14" t="s">
        <v>102</v>
      </c>
      <c r="X198" s="14" t="s">
        <v>103</v>
      </c>
      <c r="Y198" s="14" t="s">
        <v>993</v>
      </c>
      <c r="Z198" s="16">
        <f>COUNTIF($X$3:X198, X198)</f>
        <v>41</v>
      </c>
      <c r="AA198" s="16" t="s">
        <v>994</v>
      </c>
      <c r="AB198" s="16" t="s">
        <v>85</v>
      </c>
      <c r="AC198" s="16" t="s">
        <v>86</v>
      </c>
      <c r="AD198" s="16" t="s">
        <v>87</v>
      </c>
      <c r="AE198" s="60" t="s">
        <v>301</v>
      </c>
      <c r="AF198" s="28" t="s">
        <v>89</v>
      </c>
      <c r="AG198" s="27">
        <v>45625</v>
      </c>
      <c r="AH198" s="137">
        <f>Tabla1[[#This Row],[Renov. Flota]]-Tabla1[[#This Row],[Año]]</f>
        <v>-1</v>
      </c>
      <c r="AI198" s="18" t="s">
        <v>102</v>
      </c>
      <c r="AJ198" s="107" t="str">
        <f>VLOOKUP(Tabla1[[#This Row],[Matricula nueva]],'ALTA 20242025'!$B$2:$P$242,15,FALSE)</f>
        <v>4500426782</v>
      </c>
      <c r="AK198" s="60" t="s">
        <v>103</v>
      </c>
      <c r="AM198" s="1" t="s">
        <v>72</v>
      </c>
      <c r="AN198" s="1" t="s">
        <v>109</v>
      </c>
      <c r="AO198" s="1" t="str">
        <f>VLOOKUP(Tabla1[[#This Row],[Matricula nueva]],Hoja2!$A$1:$B$224,2,FALSE)</f>
        <v>VF1RFK00273824798</v>
      </c>
      <c r="AP198" s="75">
        <v>5.6</v>
      </c>
      <c r="AQ198" s="76">
        <f t="shared" si="10"/>
        <v>10</v>
      </c>
      <c r="AR198" s="77">
        <v>17.3</v>
      </c>
      <c r="AS198" s="78">
        <f>IF(Tabla1[[#This Row],[Columna2]]="M1",13073,IF(Tabla1[[#This Row],[Columna2]]="N1",15815,IF(Tabla1[[#This Row],[Columna2]]="L3e",2831,53508)))</f>
        <v>15815</v>
      </c>
      <c r="AT198" s="78">
        <f>(Tabla1[[#This Row],[CVA]]*Tabla1[[#This Row],[F]]-Tabla1[[#This Row],[CVN]])/100*Tabla1[[#This Row],[L]]</f>
        <v>6120.4049999999997</v>
      </c>
      <c r="AU198" s="79" t="s">
        <v>128</v>
      </c>
      <c r="AV198" s="294">
        <f>VLOOKUP(B198,Tabla467824[[ID CAE2]:[AE '[kWh']]],6,FALSE)</f>
        <v>5607.9989999999989</v>
      </c>
      <c r="AW19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199" spans="1:49" ht="15.75" hidden="1" thickBot="1" x14ac:dyDescent="0.3">
      <c r="A199" t="s">
        <v>1319</v>
      </c>
      <c r="B199" t="e">
        <f>VLOOKUP(A199,Tabla46782[ID CAE],1,FALSE)</f>
        <v>#N/A</v>
      </c>
      <c r="C199" s="14" t="s">
        <v>1320</v>
      </c>
      <c r="D199" s="14"/>
      <c r="E199" s="14"/>
      <c r="F199" s="14"/>
      <c r="G199" s="14"/>
      <c r="H199" s="14"/>
      <c r="I199" s="14"/>
      <c r="J199" s="14"/>
      <c r="K199" s="14" t="s">
        <v>73</v>
      </c>
      <c r="L199" s="14" t="s">
        <v>200</v>
      </c>
      <c r="M199" s="14" t="s">
        <v>201</v>
      </c>
      <c r="N199" s="14" t="s">
        <v>160</v>
      </c>
      <c r="O199" s="152">
        <f>VLOOKUP(Tabla1[[#This Row],[Matricula]],BAJA2022202320242025!$B$3:$CR$245,93,FALSE)</f>
        <v>44260</v>
      </c>
      <c r="P199" s="15">
        <v>45721</v>
      </c>
      <c r="Q199" s="160">
        <f>Tabla1[[#This Row],[F.Vig.Final]]-Tabla1[[#This Row],[f Vig Inicio]]</f>
        <v>1461</v>
      </c>
      <c r="R199" s="15">
        <f>YEAR(Tabla1[[#This Row],[F.Vig.Final]])</f>
        <v>2025</v>
      </c>
      <c r="S199" s="14" t="s">
        <v>161</v>
      </c>
      <c r="T199" s="14" t="s">
        <v>78</v>
      </c>
      <c r="U199" s="14" t="s">
        <v>79</v>
      </c>
      <c r="V199" s="14" t="s">
        <v>924</v>
      </c>
      <c r="W199" s="14" t="s">
        <v>584</v>
      </c>
      <c r="X199" s="14" t="s">
        <v>585</v>
      </c>
      <c r="Y199" s="14" t="s">
        <v>1321</v>
      </c>
      <c r="Z199" s="16">
        <f>COUNTIF($X$3:X199, X199)</f>
        <v>17</v>
      </c>
      <c r="AA199" s="16" t="e">
        <v>#N/A</v>
      </c>
      <c r="AB199" s="16" t="e">
        <v>#N/A</v>
      </c>
      <c r="AC199" s="16" t="e">
        <v>#N/A</v>
      </c>
      <c r="AD199" s="16" t="e">
        <v>#N/A</v>
      </c>
      <c r="AE199" s="16" t="e">
        <v>#N/A</v>
      </c>
      <c r="AF199" s="15" t="e">
        <v>#N/A</v>
      </c>
      <c r="AG199" s="17" t="e">
        <v>#N/A</v>
      </c>
      <c r="AH199" s="17" t="e">
        <f>Tabla1[[#This Row],[Renov. Flota]]-Tabla1[[#This Row],[Año]]</f>
        <v>#N/A</v>
      </c>
      <c r="AI199" s="18" t="e">
        <v>#N/A</v>
      </c>
      <c r="AJ199" s="18" t="e">
        <f>VLOOKUP(Tabla1[[#This Row],[Matricula nueva]],'ALTA 20242025'!$B$2:$P$242,15,FALSE)</f>
        <v>#N/A</v>
      </c>
      <c r="AK199" s="19" t="e">
        <v>#N/A</v>
      </c>
      <c r="AN199" s="1"/>
      <c r="AO199" s="1" t="e">
        <f>VLOOKUP(Tabla1[[#This Row],[Matricula nueva]],Hoja2!$A$1:$B$224,2,FALSE)</f>
        <v>#N/A</v>
      </c>
      <c r="AP199" s="1" t="str">
        <f>IF(Tabla1[[#This Row],[Columna2]]="M1",5.1,"")</f>
        <v/>
      </c>
      <c r="AQ199" s="1"/>
      <c r="AR199" s="1"/>
      <c r="AS199" s="47">
        <f>IF(Tabla1[[#This Row],[Columna2]]="M1",13073,IF(Tabla1[[#This Row],[Columna2]]="N1",15815,IF(Tabla1[[#This Row],[Columna2]]="L3e",2831,53508)))</f>
        <v>53508</v>
      </c>
      <c r="AT199" s="47" t="e">
        <f>(Tabla1[[#This Row],[CVA]]*Tabla1[[#This Row],[F]]-Tabla1[[#This Row],[CVN]])/100*Tabla1[[#This Row],[L]]</f>
        <v>#VALUE!</v>
      </c>
      <c r="AU199" s="1"/>
      <c r="AV199" s="1" t="e">
        <f>VLOOKUP(B199,Tabla467824[[ID CAE2]:[AE '[kWh']]],6,FALSE)</f>
        <v>#N/A</v>
      </c>
      <c r="AW19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00" spans="1:49" ht="15.75" thickBot="1" x14ac:dyDescent="0.3">
      <c r="A200" s="114" t="s">
        <v>997</v>
      </c>
      <c r="B200" t="str">
        <f>VLOOKUP(A200,Tabla46782[ID CAE],1,FALSE)</f>
        <v>CAE500194</v>
      </c>
      <c r="C200" s="25" t="s">
        <v>998</v>
      </c>
      <c r="D200" s="103" t="s">
        <v>72</v>
      </c>
      <c r="E200" s="103"/>
      <c r="F200" s="103" t="s">
        <v>72</v>
      </c>
      <c r="G200" s="103"/>
      <c r="H200" s="103" t="s">
        <v>249</v>
      </c>
      <c r="I200" s="103" t="s">
        <v>249</v>
      </c>
      <c r="J200" s="103"/>
      <c r="K200" s="14" t="s">
        <v>73</v>
      </c>
      <c r="L200" s="14" t="s">
        <v>200</v>
      </c>
      <c r="M200" s="14" t="s">
        <v>201</v>
      </c>
      <c r="N200" s="23" t="s">
        <v>160</v>
      </c>
      <c r="O200" s="1">
        <f>VLOOKUP(Tabla1[[#This Row],[Matricula]],BAJA2022202320242025!$B$3:$CR$245,93,FALSE)</f>
        <v>44270</v>
      </c>
      <c r="P200" s="30">
        <v>45731</v>
      </c>
      <c r="Q200" s="162">
        <f>Tabla1[[#This Row],[F.Vig.Final]]-Tabla1[[#This Row],[f Vig Inicio]]</f>
        <v>1461</v>
      </c>
      <c r="R200" s="141">
        <f>YEAR(Tabla1[[#This Row],[F.Vig.Final]])</f>
        <v>2025</v>
      </c>
      <c r="S200" s="25" t="s">
        <v>161</v>
      </c>
      <c r="T200" s="14" t="s">
        <v>78</v>
      </c>
      <c r="U200" s="14" t="s">
        <v>79</v>
      </c>
      <c r="V200" s="14" t="s">
        <v>924</v>
      </c>
      <c r="W200" s="14" t="s">
        <v>102</v>
      </c>
      <c r="X200" s="14" t="s">
        <v>103</v>
      </c>
      <c r="Y200" s="14" t="s">
        <v>669</v>
      </c>
      <c r="Z200" s="16">
        <f>COUNTIF($X$3:X200, X200)</f>
        <v>42</v>
      </c>
      <c r="AA200" s="16" t="s">
        <v>999</v>
      </c>
      <c r="AB200" s="16" t="s">
        <v>85</v>
      </c>
      <c r="AC200" s="16" t="s">
        <v>86</v>
      </c>
      <c r="AD200" s="16" t="s">
        <v>87</v>
      </c>
      <c r="AE200" s="60" t="s">
        <v>301</v>
      </c>
      <c r="AF200" s="30" t="s">
        <v>89</v>
      </c>
      <c r="AG200" s="27">
        <v>45625</v>
      </c>
      <c r="AH200" s="137">
        <f>Tabla1[[#This Row],[Renov. Flota]]-Tabla1[[#This Row],[Año]]</f>
        <v>-1</v>
      </c>
      <c r="AI200" s="18" t="s">
        <v>102</v>
      </c>
      <c r="AJ200" s="107" t="str">
        <f>VLOOKUP(Tabla1[[#This Row],[Matricula nueva]],'ALTA 20242025'!$B$2:$P$242,15,FALSE)</f>
        <v>4500426759</v>
      </c>
      <c r="AK200" s="60" t="s">
        <v>103</v>
      </c>
      <c r="AM200" s="1" t="s">
        <v>72</v>
      </c>
      <c r="AN200" s="1" t="s">
        <v>109</v>
      </c>
      <c r="AO200" s="1" t="str">
        <f>VLOOKUP(Tabla1[[#This Row],[Matricula nueva]],Hoja2!$A$1:$B$224,2,FALSE)</f>
        <v>VF1RFK00X73824788</v>
      </c>
      <c r="AP200" s="80">
        <v>5.6</v>
      </c>
      <c r="AQ200" s="81">
        <f>IF(T200="DIESEL",10,IF(T200="GLP",7.16,9.19))</f>
        <v>10</v>
      </c>
      <c r="AR200" s="82">
        <v>17.3</v>
      </c>
      <c r="AS200" s="83">
        <f>IF(Tabla1[[#This Row],[Columna2]]="M1",13073,IF(Tabla1[[#This Row],[Columna2]]="N1",15815,IF(Tabla1[[#This Row],[Columna2]]="L3e",2831,53508)))</f>
        <v>15815</v>
      </c>
      <c r="AT200" s="83">
        <f>(Tabla1[[#This Row],[CVA]]*Tabla1[[#This Row],[F]]-Tabla1[[#This Row],[CVN]])/100*Tabla1[[#This Row],[L]]</f>
        <v>6120.4049999999997</v>
      </c>
      <c r="AU200" s="84" t="s">
        <v>128</v>
      </c>
      <c r="AV200" s="294">
        <f>VLOOKUP(B200,Tabla467824[[ID CAE2]:[AE '[kWh']]],6,FALSE)</f>
        <v>5607.9989999999989</v>
      </c>
      <c r="AW20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01" spans="1:49" ht="15.75" hidden="1" thickBot="1" x14ac:dyDescent="0.3">
      <c r="A201" t="s">
        <v>1322</v>
      </c>
      <c r="B201" t="e">
        <f>VLOOKUP(A201,Tabla46782[ID CAE],1,FALSE)</f>
        <v>#N/A</v>
      </c>
      <c r="C201" s="14" t="s">
        <v>1323</v>
      </c>
      <c r="D201" s="14"/>
      <c r="E201" s="14"/>
      <c r="F201" s="14"/>
      <c r="G201" s="14"/>
      <c r="H201" s="14"/>
      <c r="I201" s="14"/>
      <c r="J201" s="14"/>
      <c r="K201" s="14" t="s">
        <v>129</v>
      </c>
      <c r="L201" s="14" t="s">
        <v>74</v>
      </c>
      <c r="M201" s="14" t="s">
        <v>75</v>
      </c>
      <c r="N201" s="14" t="s">
        <v>160</v>
      </c>
      <c r="O201" s="152">
        <f>VLOOKUP(Tabla1[[#This Row],[Matricula]],BAJA2022202320242025!$B$3:$CR$245,93,FALSE)</f>
        <v>45491</v>
      </c>
      <c r="P201" s="15">
        <v>45657</v>
      </c>
      <c r="Q201" s="160">
        <f>Tabla1[[#This Row],[F.Vig.Final]]-Tabla1[[#This Row],[f Vig Inicio]]</f>
        <v>166</v>
      </c>
      <c r="R201" s="15">
        <f>YEAR(Tabla1[[#This Row],[F.Vig.Final]])</f>
        <v>2024</v>
      </c>
      <c r="S201" s="14" t="s">
        <v>161</v>
      </c>
      <c r="T201" s="14" t="s">
        <v>78</v>
      </c>
      <c r="U201" s="14" t="s">
        <v>79</v>
      </c>
      <c r="V201" s="14" t="s">
        <v>918</v>
      </c>
      <c r="W201" s="14" t="s">
        <v>131</v>
      </c>
      <c r="X201" s="14" t="s">
        <v>132</v>
      </c>
      <c r="Y201" s="14" t="s">
        <v>135</v>
      </c>
      <c r="Z201" s="16">
        <f>COUNTIF($X$3:X201, X201)</f>
        <v>13</v>
      </c>
      <c r="AA201" s="16" t="e">
        <v>#N/A</v>
      </c>
      <c r="AB201" s="16" t="e">
        <v>#N/A</v>
      </c>
      <c r="AC201" s="16" t="e">
        <v>#N/A</v>
      </c>
      <c r="AD201" s="16" t="e">
        <v>#N/A</v>
      </c>
      <c r="AE201" s="16" t="e">
        <v>#N/A</v>
      </c>
      <c r="AF201" s="15" t="e">
        <v>#N/A</v>
      </c>
      <c r="AG201" s="17" t="e">
        <v>#N/A</v>
      </c>
      <c r="AH201" s="17" t="e">
        <f>Tabla1[[#This Row],[Renov. Flota]]-Tabla1[[#This Row],[Año]]</f>
        <v>#N/A</v>
      </c>
      <c r="AI201" s="18" t="e">
        <v>#N/A</v>
      </c>
      <c r="AJ201" s="18" t="e">
        <f>VLOOKUP(Tabla1[[#This Row],[Matricula nueva]],'ALTA 20242025'!$B$2:$P$242,15,FALSE)</f>
        <v>#N/A</v>
      </c>
      <c r="AK201" s="19" t="e">
        <v>#N/A</v>
      </c>
      <c r="AN201" s="1"/>
      <c r="AO201" s="1" t="e">
        <f>VLOOKUP(Tabla1[[#This Row],[Matricula nueva]],Hoja2!$A$1:$B$224,2,FALSE)</f>
        <v>#N/A</v>
      </c>
      <c r="AP201" s="1" t="str">
        <f>IF(Tabla1[[#This Row],[Columna2]]="M1",5.1,"")</f>
        <v/>
      </c>
      <c r="AQ201" s="1"/>
      <c r="AR201" s="1"/>
      <c r="AS201" s="47">
        <f>IF(Tabla1[[#This Row],[Columna2]]="M1",13073,IF(Tabla1[[#This Row],[Columna2]]="N1",15815,IF(Tabla1[[#This Row],[Columna2]]="L3e",2831,53508)))</f>
        <v>53508</v>
      </c>
      <c r="AT201" s="47" t="e">
        <f>(Tabla1[[#This Row],[CVA]]*Tabla1[[#This Row],[F]]-Tabla1[[#This Row],[CVN]])/100*Tabla1[[#This Row],[L]]</f>
        <v>#VALUE!</v>
      </c>
      <c r="AU201" s="1"/>
      <c r="AV201" s="1" t="e">
        <f>VLOOKUP(B201,Tabla467824[[ID CAE2]:[AE '[kWh']]],6,FALSE)</f>
        <v>#N/A</v>
      </c>
      <c r="AW20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02" spans="1:49" ht="15" x14ac:dyDescent="0.25">
      <c r="A202" s="114" t="s">
        <v>1002</v>
      </c>
      <c r="B202" t="str">
        <f>VLOOKUP(A202,Tabla46782[ID CAE],1,FALSE)</f>
        <v>CAE500196</v>
      </c>
      <c r="C202" s="25" t="s">
        <v>1003</v>
      </c>
      <c r="D202" s="103" t="s">
        <v>72</v>
      </c>
      <c r="E202" s="103"/>
      <c r="F202" s="103" t="s">
        <v>72</v>
      </c>
      <c r="G202" s="103"/>
      <c r="H202" s="103" t="s">
        <v>249</v>
      </c>
      <c r="I202" s="103" t="s">
        <v>249</v>
      </c>
      <c r="J202" s="103"/>
      <c r="K202" s="14" t="s">
        <v>73</v>
      </c>
      <c r="L202" s="14" t="s">
        <v>200</v>
      </c>
      <c r="M202" s="14" t="s">
        <v>201</v>
      </c>
      <c r="N202" s="23" t="s">
        <v>76</v>
      </c>
      <c r="O202" s="154">
        <f>VLOOKUP(Tabla1[[#This Row],[Matricula]],BAJA2022202320242025!$B$3:$CR$245,93,FALSE)</f>
        <v>44266</v>
      </c>
      <c r="P202" s="29">
        <v>45747</v>
      </c>
      <c r="Q202" s="162">
        <f>Tabla1[[#This Row],[F.Vig.Final]]-Tabla1[[#This Row],[f Vig Inicio]]</f>
        <v>1481</v>
      </c>
      <c r="R202" s="141">
        <f>YEAR(Tabla1[[#This Row],[F.Vig.Final]])</f>
        <v>2025</v>
      </c>
      <c r="S202" s="25" t="s">
        <v>77</v>
      </c>
      <c r="T202" s="14" t="s">
        <v>78</v>
      </c>
      <c r="U202" s="14" t="s">
        <v>79</v>
      </c>
      <c r="V202" s="14" t="s">
        <v>924</v>
      </c>
      <c r="W202" s="14" t="s">
        <v>308</v>
      </c>
      <c r="X202" s="14" t="s">
        <v>309</v>
      </c>
      <c r="Y202" s="14" t="s">
        <v>1004</v>
      </c>
      <c r="Z202" s="16">
        <f>COUNTIF($X$3:X202, X202)</f>
        <v>7</v>
      </c>
      <c r="AA202" s="16" t="s">
        <v>1005</v>
      </c>
      <c r="AB202" s="16" t="s">
        <v>85</v>
      </c>
      <c r="AC202" s="16" t="s">
        <v>86</v>
      </c>
      <c r="AD202" s="16" t="s">
        <v>87</v>
      </c>
      <c r="AE202" s="60" t="s">
        <v>310</v>
      </c>
      <c r="AF202" s="29" t="s">
        <v>89</v>
      </c>
      <c r="AG202" s="27">
        <v>45652</v>
      </c>
      <c r="AH202" s="137">
        <f>Tabla1[[#This Row],[Renov. Flota]]-Tabla1[[#This Row],[Año]]</f>
        <v>-1</v>
      </c>
      <c r="AI202" s="18" t="s">
        <v>308</v>
      </c>
      <c r="AJ202" s="107" t="str">
        <f>VLOOKUP(Tabla1[[#This Row],[Matricula nueva]],'ALTA 20242025'!$B$2:$P$242,15,FALSE)</f>
        <v>X</v>
      </c>
      <c r="AK202" s="60" t="s">
        <v>309</v>
      </c>
      <c r="AM202" s="1" t="s">
        <v>72</v>
      </c>
      <c r="AN202" s="1" t="s">
        <v>91</v>
      </c>
      <c r="AO202" s="1" t="str">
        <f>VLOOKUP(Tabla1[[#This Row],[Matricula nueva]],Hoja2!$A$1:$B$224,2,FALSE)</f>
        <v>VF1RFK00673934270</v>
      </c>
      <c r="AP202" s="65">
        <v>5.6</v>
      </c>
      <c r="AQ202" s="66">
        <f>IF(T202="DIESEL",10,IF(T202="GLP",7.16,9.19))</f>
        <v>10</v>
      </c>
      <c r="AR202" s="67">
        <v>17.3</v>
      </c>
      <c r="AS202" s="68">
        <f>IF(Tabla1[[#This Row],[Columna2]]="M1",13073,IF(Tabla1[[#This Row],[Columna2]]="N1",15815,IF(Tabla1[[#This Row],[Columna2]]="L3e",2831,53508)))</f>
        <v>15815</v>
      </c>
      <c r="AT202" s="68">
        <f>(Tabla1[[#This Row],[CVA]]*Tabla1[[#This Row],[F]]-Tabla1[[#This Row],[CVN]])/100*Tabla1[[#This Row],[L]]</f>
        <v>6120.4049999999997</v>
      </c>
      <c r="AU202" s="69" t="s">
        <v>128</v>
      </c>
      <c r="AV202" s="294">
        <f>VLOOKUP(B202,Tabla467824[[ID CAE2]:[AE '[kWh']]],6,FALSE)</f>
        <v>5607.9989999999989</v>
      </c>
      <c r="AW20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03" spans="1:49" ht="15" x14ac:dyDescent="0.25">
      <c r="A203" s="114" t="s">
        <v>1007</v>
      </c>
      <c r="B203" t="str">
        <f>VLOOKUP(A203,Tabla46782[ID CAE],1,FALSE)</f>
        <v>CAE500197</v>
      </c>
      <c r="C203" s="25" t="s">
        <v>1008</v>
      </c>
      <c r="D203" s="103" t="s">
        <v>72</v>
      </c>
      <c r="E203" s="103" t="s">
        <v>72</v>
      </c>
      <c r="F203" s="103" t="s">
        <v>72</v>
      </c>
      <c r="G203" s="103"/>
      <c r="H203" s="103" t="s">
        <v>72</v>
      </c>
      <c r="I203" s="103" t="s">
        <v>72</v>
      </c>
      <c r="J203" s="103"/>
      <c r="K203" s="14" t="s">
        <v>129</v>
      </c>
      <c r="L203" s="14" t="s">
        <v>74</v>
      </c>
      <c r="M203" s="14" t="s">
        <v>75</v>
      </c>
      <c r="N203" s="23" t="s">
        <v>76</v>
      </c>
      <c r="O203" s="155">
        <f>VLOOKUP(Tabla1[[#This Row],[Matricula]],BAJA2022202320242025!$B$3:$CR$245,93,FALSE)</f>
        <v>44069</v>
      </c>
      <c r="P203" s="163">
        <v>45245</v>
      </c>
      <c r="Q203" s="164">
        <f>Tabla1[[#This Row],[F.Vig.Final]]-Tabla1[[#This Row],[f Vig Inicio]]</f>
        <v>1176</v>
      </c>
      <c r="R203" s="141">
        <f>YEAR(Tabla1[[#This Row],[F.Vig.Final]])</f>
        <v>2023</v>
      </c>
      <c r="S203" s="25" t="s">
        <v>77</v>
      </c>
      <c r="T203" s="14" t="s">
        <v>78</v>
      </c>
      <c r="U203" s="14" t="s">
        <v>380</v>
      </c>
      <c r="V203" s="14" t="s">
        <v>1010</v>
      </c>
      <c r="W203" s="14" t="s">
        <v>131</v>
      </c>
      <c r="X203" s="14" t="s">
        <v>132</v>
      </c>
      <c r="Y203" s="14" t="s">
        <v>622</v>
      </c>
      <c r="Z203" s="16">
        <f>COUNTIF($X$3:X203, X203)</f>
        <v>14</v>
      </c>
      <c r="AA203" s="16" t="s">
        <v>1011</v>
      </c>
      <c r="AB203" s="16" t="s">
        <v>85</v>
      </c>
      <c r="AC203" s="16" t="s">
        <v>86</v>
      </c>
      <c r="AD203" s="16" t="s">
        <v>87</v>
      </c>
      <c r="AE203" s="60" t="s">
        <v>610</v>
      </c>
      <c r="AF203" s="24" t="s">
        <v>89</v>
      </c>
      <c r="AG203" s="27">
        <v>45625</v>
      </c>
      <c r="AH203" s="137">
        <f>Tabla1[[#This Row],[Renov. Flota]]-Tabla1[[#This Row],[Año]]</f>
        <v>1</v>
      </c>
      <c r="AI203" s="18" t="s">
        <v>131</v>
      </c>
      <c r="AJ203" s="107" t="str">
        <f>VLOOKUP(Tabla1[[#This Row],[Matricula nueva]],'ALTA 20242025'!$B$2:$P$242,15,FALSE)</f>
        <v>4500426785</v>
      </c>
      <c r="AK203" s="60" t="s">
        <v>132</v>
      </c>
      <c r="AM203" s="1" t="s">
        <v>72</v>
      </c>
      <c r="AN203" s="1" t="s">
        <v>91</v>
      </c>
      <c r="AO203" s="1" t="str">
        <f>VLOOKUP(Tabla1[[#This Row],[Matricula nueva]],Hoja2!$A$1:$B$224,2,FALSE)</f>
        <v>VF1RFK00273824817</v>
      </c>
      <c r="AP203" s="70">
        <v>5.6</v>
      </c>
      <c r="AQ203" s="71">
        <f>IF(T203="DIESEL",10,IF(T203="GLP",7.16,9.19))</f>
        <v>10</v>
      </c>
      <c r="AR203" s="72">
        <v>17.3</v>
      </c>
      <c r="AS203" s="73">
        <f>IF(Tabla1[[#This Row],[Columna2]]="M1",13073,IF(Tabla1[[#This Row],[Columna2]]="N1",15815,IF(Tabla1[[#This Row],[Columna2]]="L3e",2831,53508)))</f>
        <v>15815</v>
      </c>
      <c r="AT203" s="73">
        <f>(Tabla1[[#This Row],[CVA]]*Tabla1[[#This Row],[F]]-Tabla1[[#This Row],[CVN]])/100*Tabla1[[#This Row],[L]]</f>
        <v>6120.4049999999997</v>
      </c>
      <c r="AU203" s="74" t="s">
        <v>128</v>
      </c>
      <c r="AV203" s="294">
        <v>0</v>
      </c>
      <c r="AW20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04" spans="1:49" ht="15.75" thickBot="1" x14ac:dyDescent="0.3">
      <c r="A204" s="114" t="s">
        <v>1014</v>
      </c>
      <c r="B204" t="str">
        <f>VLOOKUP(A204,Tabla46782[ID CAE],1,FALSE)</f>
        <v>CAE500198</v>
      </c>
      <c r="C204" s="25" t="s">
        <v>1015</v>
      </c>
      <c r="D204" s="103" t="s">
        <v>72</v>
      </c>
      <c r="E204" s="103" t="s">
        <v>72</v>
      </c>
      <c r="F204" s="103" t="s">
        <v>72</v>
      </c>
      <c r="G204" s="103"/>
      <c r="H204" s="103" t="s">
        <v>72</v>
      </c>
      <c r="I204" s="103" t="s">
        <v>72</v>
      </c>
      <c r="J204" s="103"/>
      <c r="K204" s="14" t="s">
        <v>129</v>
      </c>
      <c r="L204" s="14" t="s">
        <v>74</v>
      </c>
      <c r="M204" s="14" t="s">
        <v>75</v>
      </c>
      <c r="N204" s="23" t="s">
        <v>76</v>
      </c>
      <c r="O204" s="156">
        <f>VLOOKUP(Tabla1[[#This Row],[Matricula]],BAJA2022202320242025!$B$3:$CR$245,93,FALSE)</f>
        <v>44340</v>
      </c>
      <c r="P204" s="88">
        <v>45292</v>
      </c>
      <c r="Q204" s="164">
        <f>Tabla1[[#This Row],[F.Vig.Final]]-Tabla1[[#This Row],[f Vig Inicio]]</f>
        <v>952</v>
      </c>
      <c r="R204" s="141">
        <f>YEAR(Tabla1[[#This Row],[F.Vig.Final]])</f>
        <v>2024</v>
      </c>
      <c r="S204" s="25" t="s">
        <v>77</v>
      </c>
      <c r="T204" s="14" t="s">
        <v>78</v>
      </c>
      <c r="U204" s="14" t="s">
        <v>380</v>
      </c>
      <c r="V204" s="14" t="s">
        <v>1016</v>
      </c>
      <c r="W204" s="14" t="s">
        <v>131</v>
      </c>
      <c r="X204" s="14" t="s">
        <v>132</v>
      </c>
      <c r="Y204" s="14" t="s">
        <v>135</v>
      </c>
      <c r="Z204" s="16">
        <f>COUNTIF($X$3:X204, X204)</f>
        <v>15</v>
      </c>
      <c r="AA204" s="16" t="s">
        <v>1017</v>
      </c>
      <c r="AB204" s="16" t="s">
        <v>85</v>
      </c>
      <c r="AC204" s="16" t="s">
        <v>86</v>
      </c>
      <c r="AD204" s="16" t="s">
        <v>87</v>
      </c>
      <c r="AE204" s="60" t="s">
        <v>427</v>
      </c>
      <c r="AF204" s="28" t="s">
        <v>89</v>
      </c>
      <c r="AG204" s="27">
        <v>45625</v>
      </c>
      <c r="AH204" s="137">
        <f>Tabla1[[#This Row],[Renov. Flota]]-Tabla1[[#This Row],[Año]]</f>
        <v>0</v>
      </c>
      <c r="AI204" s="18" t="s">
        <v>131</v>
      </c>
      <c r="AJ204" s="107" t="str">
        <f>VLOOKUP(Tabla1[[#This Row],[Matricula nueva]],'ALTA 20242025'!$B$2:$P$242,15,FALSE)</f>
        <v>4500426851</v>
      </c>
      <c r="AK204" s="60" t="s">
        <v>132</v>
      </c>
      <c r="AM204" s="1" t="s">
        <v>72</v>
      </c>
      <c r="AN204" s="1" t="s">
        <v>91</v>
      </c>
      <c r="AO204" s="1" t="str">
        <f>VLOOKUP(Tabla1[[#This Row],[Matricula nueva]],Hoja2!$A$1:$B$224,2,FALSE)</f>
        <v>VF1RFK00873824823</v>
      </c>
      <c r="AP204" s="75">
        <v>5.6</v>
      </c>
      <c r="AQ204" s="76">
        <f>IF(T204="DIESEL",10,IF(T204="GLP",7.16,9.19))</f>
        <v>10</v>
      </c>
      <c r="AR204" s="77">
        <v>17.3</v>
      </c>
      <c r="AS204" s="78">
        <f>IF(Tabla1[[#This Row],[Columna2]]="M1",13073,IF(Tabla1[[#This Row],[Columna2]]="N1",15815,IF(Tabla1[[#This Row],[Columna2]]="L3e",2831,53508)))</f>
        <v>15815</v>
      </c>
      <c r="AT204" s="78">
        <f>(Tabla1[[#This Row],[CVA]]*Tabla1[[#This Row],[F]]-Tabla1[[#This Row],[CVN]])/100*Tabla1[[#This Row],[L]]</f>
        <v>6120.4049999999997</v>
      </c>
      <c r="AU204" s="79" t="s">
        <v>128</v>
      </c>
      <c r="AV204" s="294">
        <f>VLOOKUP(B204,Tabla467824[[ID CAE2]:[AE '[kWh']]],6,FALSE)</f>
        <v>5607.9989999999989</v>
      </c>
      <c r="AW20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05" spans="1:49" ht="15.75" hidden="1" thickBot="1" x14ac:dyDescent="0.3">
      <c r="A205" t="s">
        <v>1324</v>
      </c>
      <c r="B205" t="e">
        <f>VLOOKUP(A205,Tabla46782[ID CAE],1,FALSE)</f>
        <v>#N/A</v>
      </c>
      <c r="C205" s="14" t="s">
        <v>1325</v>
      </c>
      <c r="D205" s="14"/>
      <c r="E205" s="14"/>
      <c r="F205" s="14"/>
      <c r="G205" s="14"/>
      <c r="H205" s="14"/>
      <c r="I205" s="14"/>
      <c r="J205" s="14"/>
      <c r="K205" s="14" t="s">
        <v>73</v>
      </c>
      <c r="L205" s="14" t="s">
        <v>200</v>
      </c>
      <c r="M205" s="14" t="s">
        <v>201</v>
      </c>
      <c r="N205" s="14" t="s">
        <v>76</v>
      </c>
      <c r="O205" s="152">
        <f>VLOOKUP(Tabla1[[#This Row],[Matricula]],BAJA2022202320242025!$B$3:$CR$245,93,FALSE)</f>
        <v>44260</v>
      </c>
      <c r="P205" s="15">
        <v>45747</v>
      </c>
      <c r="Q205" s="160">
        <f>Tabla1[[#This Row],[F.Vig.Final]]-Tabla1[[#This Row],[f Vig Inicio]]</f>
        <v>1487</v>
      </c>
      <c r="R205" s="15">
        <f>YEAR(Tabla1[[#This Row],[F.Vig.Final]])</f>
        <v>2025</v>
      </c>
      <c r="S205" s="14" t="s">
        <v>77</v>
      </c>
      <c r="T205" s="14" t="s">
        <v>78</v>
      </c>
      <c r="U205" s="14" t="s">
        <v>79</v>
      </c>
      <c r="V205" s="14" t="s">
        <v>924</v>
      </c>
      <c r="W205" s="14" t="s">
        <v>131</v>
      </c>
      <c r="X205" s="14" t="s">
        <v>132</v>
      </c>
      <c r="Y205" s="14" t="s">
        <v>427</v>
      </c>
      <c r="Z205" s="16">
        <f>COUNTIF($X$3:X205, X205)</f>
        <v>16</v>
      </c>
      <c r="AA205" s="16" t="e">
        <v>#N/A</v>
      </c>
      <c r="AB205" s="16" t="e">
        <v>#N/A</v>
      </c>
      <c r="AC205" s="16" t="e">
        <v>#N/A</v>
      </c>
      <c r="AD205" s="16" t="e">
        <v>#N/A</v>
      </c>
      <c r="AE205" s="16" t="e">
        <v>#N/A</v>
      </c>
      <c r="AF205" s="15" t="e">
        <v>#N/A</v>
      </c>
      <c r="AG205" s="17" t="e">
        <v>#N/A</v>
      </c>
      <c r="AH205" s="17" t="e">
        <f>Tabla1[[#This Row],[Renov. Flota]]-Tabla1[[#This Row],[Año]]</f>
        <v>#N/A</v>
      </c>
      <c r="AI205" s="18" t="e">
        <v>#N/A</v>
      </c>
      <c r="AJ205" s="18" t="e">
        <f>VLOOKUP(Tabla1[[#This Row],[Matricula nueva]],'ALTA 20242025'!$B$2:$P$242,15,FALSE)</f>
        <v>#N/A</v>
      </c>
      <c r="AK205" s="19" t="e">
        <v>#N/A</v>
      </c>
      <c r="AN205" s="1"/>
      <c r="AO205" s="1" t="e">
        <f>VLOOKUP(Tabla1[[#This Row],[Matricula nueva]],Hoja2!$A$1:$B$224,2,FALSE)</f>
        <v>#N/A</v>
      </c>
      <c r="AP205" s="1" t="str">
        <f>IF(Tabla1[[#This Row],[Columna2]]="M1",5.1,"")</f>
        <v/>
      </c>
      <c r="AQ205" s="1"/>
      <c r="AR205" s="1"/>
      <c r="AS205" s="47">
        <f>IF(Tabla1[[#This Row],[Columna2]]="M1",13073,IF(Tabla1[[#This Row],[Columna2]]="N1",15815,IF(Tabla1[[#This Row],[Columna2]]="L3e",2831,53508)))</f>
        <v>53508</v>
      </c>
      <c r="AT205" s="47" t="e">
        <f>(Tabla1[[#This Row],[CVA]]*Tabla1[[#This Row],[F]]-Tabla1[[#This Row],[CVN]])/100*Tabla1[[#This Row],[L]]</f>
        <v>#VALUE!</v>
      </c>
      <c r="AU205" s="1"/>
      <c r="AV205" s="1" t="e">
        <f>VLOOKUP(B205,Tabla467824[[ID CAE2]:[AE '[kWh']]],6,FALSE)</f>
        <v>#N/A</v>
      </c>
      <c r="AW20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06" spans="1:49" ht="15" x14ac:dyDescent="0.25">
      <c r="A206" s="114" t="s">
        <v>1020</v>
      </c>
      <c r="B206" t="str">
        <f>VLOOKUP(A206,Tabla46782[ID CAE],1,FALSE)</f>
        <v>CAE500200</v>
      </c>
      <c r="C206" s="25" t="s">
        <v>1021</v>
      </c>
      <c r="D206" s="103" t="s">
        <v>72</v>
      </c>
      <c r="E206" s="103" t="s">
        <v>72</v>
      </c>
      <c r="F206" s="103" t="s">
        <v>72</v>
      </c>
      <c r="G206" s="103"/>
      <c r="H206" s="103"/>
      <c r="I206" s="103"/>
      <c r="J206" s="103"/>
      <c r="K206" s="14" t="s">
        <v>73</v>
      </c>
      <c r="L206" s="14" t="s">
        <v>74</v>
      </c>
      <c r="M206" s="14" t="s">
        <v>75</v>
      </c>
      <c r="N206" s="23" t="s">
        <v>76</v>
      </c>
      <c r="O206" s="157">
        <f>VLOOKUP(Tabla1[[#This Row],[Matricula]],BAJA2022202320242025!$B$3:$CR$245,93,FALSE)</f>
        <v>44978</v>
      </c>
      <c r="P206" s="87">
        <v>45345</v>
      </c>
      <c r="Q206" s="164">
        <f>Tabla1[[#This Row],[F.Vig.Final]]-Tabla1[[#This Row],[f Vig Inicio]]</f>
        <v>367</v>
      </c>
      <c r="R206" s="141">
        <f>YEAR(Tabla1[[#This Row],[F.Vig.Final]])</f>
        <v>2024</v>
      </c>
      <c r="S206" s="25" t="s">
        <v>77</v>
      </c>
      <c r="T206" s="14" t="s">
        <v>78</v>
      </c>
      <c r="U206" s="14" t="s">
        <v>359</v>
      </c>
      <c r="V206" s="14" t="s">
        <v>1022</v>
      </c>
      <c r="W206" s="14" t="s">
        <v>336</v>
      </c>
      <c r="X206" s="14" t="s">
        <v>337</v>
      </c>
      <c r="Y206" s="14" t="s">
        <v>880</v>
      </c>
      <c r="Z206" s="16">
        <f>COUNTIF($X$3:X206, X206)</f>
        <v>14</v>
      </c>
      <c r="AA206" s="16" t="s">
        <v>1023</v>
      </c>
      <c r="AB206" s="16" t="s">
        <v>380</v>
      </c>
      <c r="AC206" s="16" t="s">
        <v>381</v>
      </c>
      <c r="AD206" s="16" t="s">
        <v>87</v>
      </c>
      <c r="AE206" s="60" t="s">
        <v>382</v>
      </c>
      <c r="AF206" s="29" t="s">
        <v>89</v>
      </c>
      <c r="AG206" s="27">
        <v>45483</v>
      </c>
      <c r="AH206" s="137">
        <f>Tabla1[[#This Row],[Renov. Flota]]-Tabla1[[#This Row],[Año]]</f>
        <v>0</v>
      </c>
      <c r="AI206" s="18" t="s">
        <v>336</v>
      </c>
      <c r="AJ206" s="109">
        <v>4500407448</v>
      </c>
      <c r="AK206" s="60" t="s">
        <v>337</v>
      </c>
      <c r="AM206" s="1" t="s">
        <v>72</v>
      </c>
      <c r="AN206" s="1" t="s">
        <v>91</v>
      </c>
      <c r="AO206" s="1" t="s">
        <v>1024</v>
      </c>
      <c r="AP206" s="65">
        <f>IF(Tabla1[[#This Row],[Columna2]]="M1",5.1,"")</f>
        <v>5.0999999999999996</v>
      </c>
      <c r="AQ206" s="66">
        <f>IF(T206="DIESEL",10,IF(T206="GLP",7.16,9.19))</f>
        <v>10</v>
      </c>
      <c r="AR206" s="67">
        <v>20</v>
      </c>
      <c r="AS206" s="68">
        <f>IF(Tabla1[[#This Row],[Columna2]]="M1",13073,IF(Tabla1[[#This Row],[Columna2]]="N1",15815,IF(Tabla1[[#This Row],[Columna2]]="L3e",2831,53508)))</f>
        <v>13073</v>
      </c>
      <c r="AT206" s="68">
        <f>(Tabla1[[#This Row],[CVA]]*Tabla1[[#This Row],[F]]-Tabla1[[#This Row],[CVN]])/100*Tabla1[[#This Row],[L]]</f>
        <v>4052.63</v>
      </c>
      <c r="AU206" s="69" t="s">
        <v>70</v>
      </c>
      <c r="AV206" s="294">
        <f>VLOOKUP(B206,Tabla467824[[ID CAE2]:[AE '[kWh']]],6,FALSE)</f>
        <v>7136.4330429999991</v>
      </c>
      <c r="AW20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07" spans="1:49" ht="15.75" thickBot="1" x14ac:dyDescent="0.3">
      <c r="A207" s="114" t="s">
        <v>1025</v>
      </c>
      <c r="B207" t="str">
        <f>VLOOKUP(A207,Tabla46782[ID CAE],1,FALSE)</f>
        <v>CAE500201</v>
      </c>
      <c r="C207" s="25" t="s">
        <v>1026</v>
      </c>
      <c r="D207" s="103" t="s">
        <v>72</v>
      </c>
      <c r="E207" s="103" t="s">
        <v>72</v>
      </c>
      <c r="F207" s="103" t="s">
        <v>72</v>
      </c>
      <c r="G207" s="103"/>
      <c r="H207" s="103"/>
      <c r="I207" s="103"/>
      <c r="J207" s="103"/>
      <c r="K207" s="14" t="s">
        <v>73</v>
      </c>
      <c r="L207" s="14" t="s">
        <v>74</v>
      </c>
      <c r="M207" s="14" t="s">
        <v>75</v>
      </c>
      <c r="N207" s="23" t="s">
        <v>76</v>
      </c>
      <c r="O207" s="156">
        <f>VLOOKUP(Tabla1[[#This Row],[Matricula]],BAJA2022202320242025!$B$3:$CR$245,93,FALSE)</f>
        <v>42984</v>
      </c>
      <c r="P207" s="88">
        <v>45419</v>
      </c>
      <c r="Q207" s="164">
        <f>Tabla1[[#This Row],[F.Vig.Final]]-Tabla1[[#This Row],[f Vig Inicio]]</f>
        <v>2435</v>
      </c>
      <c r="R207" s="141">
        <f>YEAR(Tabla1[[#This Row],[F.Vig.Final]])</f>
        <v>2024</v>
      </c>
      <c r="S207" s="25" t="s">
        <v>77</v>
      </c>
      <c r="T207" s="14" t="s">
        <v>78</v>
      </c>
      <c r="U207" s="14" t="s">
        <v>416</v>
      </c>
      <c r="V207" s="14" t="s">
        <v>1028</v>
      </c>
      <c r="W207" s="14" t="s">
        <v>102</v>
      </c>
      <c r="X207" s="14" t="s">
        <v>103</v>
      </c>
      <c r="Y207" s="14" t="s">
        <v>654</v>
      </c>
      <c r="Z207" s="16">
        <f>COUNTIF($X$3:X207, X207)</f>
        <v>43</v>
      </c>
      <c r="AA207" s="16" t="s">
        <v>1029</v>
      </c>
      <c r="AB207" s="16" t="s">
        <v>140</v>
      </c>
      <c r="AC207" s="16" t="s">
        <v>1030</v>
      </c>
      <c r="AD207" s="16" t="s">
        <v>87</v>
      </c>
      <c r="AE207" s="60" t="s">
        <v>696</v>
      </c>
      <c r="AF207" s="28" t="s">
        <v>89</v>
      </c>
      <c r="AG207" s="27">
        <v>45615</v>
      </c>
      <c r="AH207" s="137">
        <f>Tabla1[[#This Row],[Renov. Flota]]-Tabla1[[#This Row],[Año]]</f>
        <v>0</v>
      </c>
      <c r="AI207" s="18" t="s">
        <v>102</v>
      </c>
      <c r="AJ207" s="109">
        <v>4500406594</v>
      </c>
      <c r="AK207" s="60" t="s">
        <v>103</v>
      </c>
      <c r="AM207" s="1" t="s">
        <v>72</v>
      </c>
      <c r="AN207" s="1" t="s">
        <v>109</v>
      </c>
      <c r="AO207" s="1" t="s">
        <v>1031</v>
      </c>
      <c r="AP207" s="75">
        <f>IF(Tabla1[[#This Row],[Columna2]]="M1",5.1,"")</f>
        <v>5.0999999999999996</v>
      </c>
      <c r="AQ207" s="76">
        <f>IF(T207="DIESEL",10,IF(T207="GLP",7.16,9.19))</f>
        <v>10</v>
      </c>
      <c r="AR207" s="77">
        <v>22.7</v>
      </c>
      <c r="AS207" s="78">
        <f>IF(Tabla1[[#This Row],[Columna2]]="M1",13073,IF(Tabla1[[#This Row],[Columna2]]="N1",15815,IF(Tabla1[[#This Row],[Columna2]]="L3e",2831,53508)))</f>
        <v>13073</v>
      </c>
      <c r="AT207" s="78">
        <f>(Tabla1[[#This Row],[CVA]]*Tabla1[[#This Row],[F]]-Tabla1[[#This Row],[CVN]])/100*Tabla1[[#This Row],[L]]</f>
        <v>3699.6590000000006</v>
      </c>
      <c r="AU207" s="79" t="s">
        <v>70</v>
      </c>
      <c r="AV207" s="294">
        <f>VLOOKUP(B207,Tabla467824[[ID CAE2]:[AE '[kWh']]],6,FALSE)</f>
        <v>5607.9989999999989</v>
      </c>
      <c r="AW20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08" spans="1:49" ht="15.75" hidden="1" thickBot="1" x14ac:dyDescent="0.3">
      <c r="A208" t="s">
        <v>1326</v>
      </c>
      <c r="B208" t="e">
        <f>VLOOKUP(A208,Tabla46782[ID CAE],1,FALSE)</f>
        <v>#N/A</v>
      </c>
      <c r="C208" s="14" t="s">
        <v>1327</v>
      </c>
      <c r="D208" s="14"/>
      <c r="E208" s="14"/>
      <c r="F208" s="14"/>
      <c r="G208" s="14"/>
      <c r="H208" s="14"/>
      <c r="I208" s="14"/>
      <c r="J208" s="14"/>
      <c r="K208" s="14" t="s">
        <v>73</v>
      </c>
      <c r="L208" s="14" t="s">
        <v>200</v>
      </c>
      <c r="M208" s="14" t="s">
        <v>201</v>
      </c>
      <c r="N208" s="14" t="s">
        <v>160</v>
      </c>
      <c r="O208" s="152">
        <f>VLOOKUP(Tabla1[[#This Row],[Matricula]],BAJA2022202320242025!$B$3:$CR$245,93,FALSE)</f>
        <v>44309</v>
      </c>
      <c r="P208" s="15">
        <v>45770</v>
      </c>
      <c r="Q208" s="15">
        <f>Tabla1[[#This Row],[F.Vig.Final]]-Tabla1[[#This Row],[f Vig Inicio]]</f>
        <v>1461</v>
      </c>
      <c r="R208" s="15">
        <f>YEAR(Tabla1[[#This Row],[F.Vig.Final]])</f>
        <v>2025</v>
      </c>
      <c r="S208" s="14" t="s">
        <v>161</v>
      </c>
      <c r="T208" s="14" t="s">
        <v>78</v>
      </c>
      <c r="U208" s="14" t="s">
        <v>85</v>
      </c>
      <c r="V208" s="14" t="s">
        <v>752</v>
      </c>
      <c r="W208" s="14" t="s">
        <v>131</v>
      </c>
      <c r="X208" s="14" t="s">
        <v>132</v>
      </c>
      <c r="Y208" s="14" t="s">
        <v>622</v>
      </c>
      <c r="Z208" s="16">
        <f>COUNTIF($X$3:X208, X208)</f>
        <v>17</v>
      </c>
      <c r="AA208" s="16" t="e">
        <v>#N/A</v>
      </c>
      <c r="AB208" s="16" t="e">
        <v>#N/A</v>
      </c>
      <c r="AC208" s="16" t="e">
        <v>#N/A</v>
      </c>
      <c r="AD208" s="16" t="e">
        <v>#N/A</v>
      </c>
      <c r="AE208" s="16" t="e">
        <v>#N/A</v>
      </c>
      <c r="AF208" s="15" t="e">
        <v>#N/A</v>
      </c>
      <c r="AG208" s="17" t="e">
        <v>#N/A</v>
      </c>
      <c r="AH208" s="17" t="e">
        <f>Tabla1[[#This Row],[Renov. Flota]]-Tabla1[[#This Row],[Año]]</f>
        <v>#N/A</v>
      </c>
      <c r="AI208" s="18" t="e">
        <v>#N/A</v>
      </c>
      <c r="AJ208" s="18" t="e">
        <f>VLOOKUP(Tabla1[[#This Row],[Matricula nueva]],'ALTA 20242025'!$B$2:$P$242,15,FALSE)</f>
        <v>#N/A</v>
      </c>
      <c r="AK208" s="19" t="e">
        <v>#N/A</v>
      </c>
      <c r="AN208" s="1"/>
      <c r="AO208" s="1" t="e">
        <f>VLOOKUP(Tabla1[[#This Row],[Matricula nueva]],Hoja2!$A$1:$B$224,2,FALSE)</f>
        <v>#N/A</v>
      </c>
      <c r="AP208" s="1" t="str">
        <f>IF(Tabla1[[#This Row],[Columna2]]="M1",5.1,"")</f>
        <v/>
      </c>
      <c r="AQ208" s="1"/>
      <c r="AR208" s="1"/>
      <c r="AS208" s="47">
        <f>IF(Tabla1[[#This Row],[Columna2]]="M1",13073,IF(Tabla1[[#This Row],[Columna2]]="N1",15815,IF(Tabla1[[#This Row],[Columna2]]="L3e",2831,53508)))</f>
        <v>53508</v>
      </c>
      <c r="AT208" s="47" t="e">
        <f>(Tabla1[[#This Row],[CVA]]*Tabla1[[#This Row],[F]]-Tabla1[[#This Row],[CVN]])/100*Tabla1[[#This Row],[L]]</f>
        <v>#VALUE!</v>
      </c>
      <c r="AU208" s="1"/>
      <c r="AV208" s="1" t="e">
        <f>VLOOKUP(B208,Tabla467824[[ID CAE2]:[AE '[kWh']]],6,FALSE)</f>
        <v>#N/A</v>
      </c>
      <c r="AW20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09" spans="1:49" ht="15.75" hidden="1" thickBot="1" x14ac:dyDescent="0.3">
      <c r="A209" t="s">
        <v>1328</v>
      </c>
      <c r="B209" t="e">
        <f>VLOOKUP(A209,Tabla46782[ID CAE],1,FALSE)</f>
        <v>#N/A</v>
      </c>
      <c r="C209" s="14" t="s">
        <v>1329</v>
      </c>
      <c r="D209" s="14"/>
      <c r="E209" s="14"/>
      <c r="F209" s="14"/>
      <c r="G209" s="14"/>
      <c r="H209" s="14"/>
      <c r="I209" s="14"/>
      <c r="J209" s="14"/>
      <c r="K209" s="14" t="s">
        <v>158</v>
      </c>
      <c r="L209" s="14" t="s">
        <v>159</v>
      </c>
      <c r="M209" s="14" t="s">
        <v>158</v>
      </c>
      <c r="N209" s="23" t="s">
        <v>171</v>
      </c>
      <c r="O209" s="154">
        <f>VLOOKUP(Tabla1[[#This Row],[Matricula]],BAJA2022202320242025!$B$3:$CR$245,93,FALSE)</f>
        <v>44520</v>
      </c>
      <c r="P209" s="29">
        <v>45630</v>
      </c>
      <c r="Q209" s="139">
        <f>Tabla1[[#This Row],[F.Vig.Final]]-Tabla1[[#This Row],[f Vig Inicio]]</f>
        <v>1110</v>
      </c>
      <c r="R209" s="139">
        <f>YEAR(Tabla1[[#This Row],[F.Vig.Final]])</f>
        <v>2024</v>
      </c>
      <c r="S209" s="25" t="s">
        <v>172</v>
      </c>
      <c r="T209" s="14" t="s">
        <v>78</v>
      </c>
      <c r="U209" s="14" t="s">
        <v>1330</v>
      </c>
      <c r="V209" s="14" t="s">
        <v>1331</v>
      </c>
      <c r="W209" s="14" t="s">
        <v>81</v>
      </c>
      <c r="X209" s="14" t="s">
        <v>82</v>
      </c>
      <c r="Y209" s="14" t="s">
        <v>164</v>
      </c>
      <c r="Z209" s="16">
        <f>COUNTIF($X$3:X209, X209)</f>
        <v>16</v>
      </c>
      <c r="AA209" s="16" t="s">
        <v>1332</v>
      </c>
      <c r="AB209" s="16" t="s">
        <v>85</v>
      </c>
      <c r="AC209" s="16" t="s">
        <v>86</v>
      </c>
      <c r="AD209" s="16" t="s">
        <v>87</v>
      </c>
      <c r="AE209" s="26" t="s">
        <v>174</v>
      </c>
      <c r="AF209" s="29" t="s">
        <v>89</v>
      </c>
      <c r="AG209" s="27">
        <v>45652</v>
      </c>
      <c r="AH209" s="27">
        <f>Tabla1[[#This Row],[Renov. Flota]]-Tabla1[[#This Row],[Año]]</f>
        <v>0</v>
      </c>
      <c r="AI209" s="18" t="s">
        <v>81</v>
      </c>
      <c r="AJ209" s="18" t="str">
        <f>VLOOKUP(Tabla1[[#This Row],[Matricula nueva]],'ALTA 20242025'!$B$2:$P$242,15,FALSE)</f>
        <v>4500426842</v>
      </c>
      <c r="AK209" s="19" t="s">
        <v>82</v>
      </c>
      <c r="AN209" s="1"/>
      <c r="AO209" s="1" t="str">
        <f>VLOOKUP(Tabla1[[#This Row],[Matricula nueva]],Hoja2!$A$1:$B$224,2,FALSE)</f>
        <v>VF1RFK00973824846</v>
      </c>
      <c r="AP209" s="43" t="str">
        <f>IF(Tabla1[[#This Row],[Columna2]]="M1",5.1,"")</f>
        <v/>
      </c>
      <c r="AQ209" s="44">
        <f>IF(T209="DIESEL",10,IF(T209="GLP",7.16,9.19))</f>
        <v>10</v>
      </c>
      <c r="AR209" s="45">
        <v>17.3</v>
      </c>
      <c r="AS209" s="46">
        <f>IF(Tabla1[[#This Row],[Columna2]]="M1",13073,IF(Tabla1[[#This Row],[Columna2]]="N1",15815,IF(Tabla1[[#This Row],[Columna2]]="L3e",2831,53508)))</f>
        <v>53508</v>
      </c>
      <c r="AV209" s="43" t="e">
        <f>VLOOKUP(B209,Tabla467824[[ID CAE2]:[AE '[kWh']]],6,FALSE)</f>
        <v>#N/A</v>
      </c>
      <c r="AW20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10" spans="1:49" ht="15.75" thickBot="1" x14ac:dyDescent="0.3">
      <c r="A210" s="114" t="s">
        <v>1032</v>
      </c>
      <c r="B210" t="str">
        <f>VLOOKUP(A210,Tabla46782[ID CAE],1,FALSE)</f>
        <v>CAE500204</v>
      </c>
      <c r="C210" s="25" t="s">
        <v>1033</v>
      </c>
      <c r="D210" s="103" t="s">
        <v>72</v>
      </c>
      <c r="E210" s="103" t="s">
        <v>72</v>
      </c>
      <c r="F210" s="103" t="s">
        <v>72</v>
      </c>
      <c r="G210" s="103"/>
      <c r="H210" s="103" t="s">
        <v>72</v>
      </c>
      <c r="I210" s="103" t="s">
        <v>72</v>
      </c>
      <c r="J210" s="103"/>
      <c r="K210" s="14" t="s">
        <v>1034</v>
      </c>
      <c r="L210" s="14" t="s">
        <v>200</v>
      </c>
      <c r="M210" s="14" t="s">
        <v>201</v>
      </c>
      <c r="N210" s="23" t="s">
        <v>76</v>
      </c>
      <c r="O210" s="153">
        <f>VLOOKUP(Tabla1[[#This Row],[Matricula]],BAJA2022202320242025!$B$3:$CR$245,93,FALSE)</f>
        <v>43679</v>
      </c>
      <c r="P210" s="28">
        <v>45140</v>
      </c>
      <c r="Q210" s="159">
        <f>Tabla1[[#This Row],[F.Vig.Final]]-Tabla1[[#This Row],[f Vig Inicio]]</f>
        <v>1461</v>
      </c>
      <c r="R210" s="141">
        <f>YEAR(Tabla1[[#This Row],[F.Vig.Final]])</f>
        <v>2023</v>
      </c>
      <c r="S210" s="25" t="s">
        <v>77</v>
      </c>
      <c r="T210" s="14" t="s">
        <v>202</v>
      </c>
      <c r="U210" s="14" t="s">
        <v>416</v>
      </c>
      <c r="V210" s="14" t="s">
        <v>1035</v>
      </c>
      <c r="W210" s="14" t="s">
        <v>119</v>
      </c>
      <c r="X210" s="14" t="s">
        <v>120</v>
      </c>
      <c r="Y210" s="14" t="s">
        <v>776</v>
      </c>
      <c r="Z210" s="16">
        <f>COUNTIF($X$3:X210, X210)</f>
        <v>24</v>
      </c>
      <c r="AA210" s="16" t="s">
        <v>1036</v>
      </c>
      <c r="AB210" s="16" t="s">
        <v>140</v>
      </c>
      <c r="AC210" s="16" t="s">
        <v>151</v>
      </c>
      <c r="AD210" s="16" t="s">
        <v>87</v>
      </c>
      <c r="AE210" s="60" t="s">
        <v>294</v>
      </c>
      <c r="AF210" s="28" t="s">
        <v>89</v>
      </c>
      <c r="AG210" s="27">
        <v>45622</v>
      </c>
      <c r="AH210" s="137">
        <f>Tabla1[[#This Row],[Renov. Flota]]-Tabla1[[#This Row],[Año]]</f>
        <v>1</v>
      </c>
      <c r="AI210" s="18" t="s">
        <v>119</v>
      </c>
      <c r="AJ210" s="107" t="str">
        <f>VLOOKUP(Tabla1[[#This Row],[Matricula nueva]],'ALTA 20242025'!$B$2:$P$242,15,FALSE)</f>
        <v>4500424788</v>
      </c>
      <c r="AK210" s="60" t="s">
        <v>120</v>
      </c>
      <c r="AM210" s="1" t="s">
        <v>72</v>
      </c>
      <c r="AN210" s="1" t="s">
        <v>91</v>
      </c>
      <c r="AO210" s="1" t="str">
        <f>VLOOKUP(Tabla1[[#This Row],[Matricula nueva]],Hoja2!$A$1:$B$224,2,FALSE)</f>
        <v>VR7CBZYA5RT152213</v>
      </c>
      <c r="AP210" s="80">
        <f>IF(Tabla1[[#This Row],[Columna2]]="M1",5.1,"")</f>
        <v>5.0999999999999996</v>
      </c>
      <c r="AQ210" s="81">
        <f>IF(T210="DIESEL",10,IF(T210="GLP",7.16,9.19))</f>
        <v>9.19</v>
      </c>
      <c r="AR210" s="82">
        <v>16.399999999999999</v>
      </c>
      <c r="AS210" s="83">
        <f>IF(Tabla1[[#This Row],[Columna2]]="M1",13073,IF(Tabla1[[#This Row],[Columna2]]="N1",15815,IF(Tabla1[[#This Row],[Columna2]]="L3e",2831,53508)))</f>
        <v>13073</v>
      </c>
      <c r="AT210" s="83">
        <f>(Tabla1[[#This Row],[CVA]]*Tabla1[[#This Row],[F]]-Tabla1[[#This Row],[CVN]])/100*Tabla1[[#This Row],[L]]</f>
        <v>3983.2123699999993</v>
      </c>
      <c r="AU210" s="84" t="s">
        <v>70</v>
      </c>
      <c r="AV210" s="294">
        <f>VLOOKUP(B210,Tabla467824[[ID CAE2]:[AE '[kWh']]],6,FALSE)</f>
        <v>3826.5520744999999</v>
      </c>
      <c r="AW21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11" spans="1:49" ht="15.75" hidden="1" thickBot="1" x14ac:dyDescent="0.3">
      <c r="A211" t="s">
        <v>1333</v>
      </c>
      <c r="B211" t="e">
        <f>VLOOKUP(A211,Tabla46782[ID CAE],1,FALSE)</f>
        <v>#N/A</v>
      </c>
      <c r="C211" s="14" t="s">
        <v>1334</v>
      </c>
      <c r="D211" s="14"/>
      <c r="E211" s="14"/>
      <c r="F211" s="14"/>
      <c r="G211" s="14"/>
      <c r="H211" s="14"/>
      <c r="I211" s="14"/>
      <c r="J211" s="14"/>
      <c r="K211" s="14" t="s">
        <v>73</v>
      </c>
      <c r="L211" s="14" t="s">
        <v>200</v>
      </c>
      <c r="M211" s="14" t="s">
        <v>201</v>
      </c>
      <c r="N211" s="14" t="s">
        <v>160</v>
      </c>
      <c r="O211" s="95">
        <f>VLOOKUP(Tabla1[[#This Row],[Matricula]],BAJA2022202320242025!$B$3:$CR$245,93,FALSE)</f>
        <v>44358</v>
      </c>
      <c r="P211" s="21">
        <v>45819</v>
      </c>
      <c r="Q211" s="21">
        <f>Tabla1[[#This Row],[F.Vig.Final]]-Tabla1[[#This Row],[f Vig Inicio]]</f>
        <v>1461</v>
      </c>
      <c r="R211" s="21">
        <f>YEAR(Tabla1[[#This Row],[F.Vig.Final]])</f>
        <v>2025</v>
      </c>
      <c r="S211" s="14" t="s">
        <v>161</v>
      </c>
      <c r="T211" s="14" t="s">
        <v>78</v>
      </c>
      <c r="U211" s="14" t="s">
        <v>85</v>
      </c>
      <c r="V211" s="14" t="s">
        <v>1335</v>
      </c>
      <c r="W211" s="14" t="s">
        <v>131</v>
      </c>
      <c r="X211" s="14" t="s">
        <v>132</v>
      </c>
      <c r="Y211" s="14" t="s">
        <v>135</v>
      </c>
      <c r="Z211" s="16">
        <f>COUNTIF($X$3:X211, X211)</f>
        <v>18</v>
      </c>
      <c r="AA211" s="16" t="e">
        <v>#N/A</v>
      </c>
      <c r="AB211" s="16" t="e">
        <v>#N/A</v>
      </c>
      <c r="AC211" s="16" t="e">
        <v>#N/A</v>
      </c>
      <c r="AD211" s="16" t="e">
        <v>#N/A</v>
      </c>
      <c r="AE211" s="16" t="e">
        <v>#N/A</v>
      </c>
      <c r="AF211" s="21" t="e">
        <v>#N/A</v>
      </c>
      <c r="AG211" s="17" t="e">
        <v>#N/A</v>
      </c>
      <c r="AH211" s="17" t="e">
        <f>Tabla1[[#This Row],[Renov. Flota]]-Tabla1[[#This Row],[Año]]</f>
        <v>#N/A</v>
      </c>
      <c r="AI211" s="18" t="e">
        <v>#N/A</v>
      </c>
      <c r="AJ211" s="18" t="e">
        <f>VLOOKUP(Tabla1[[#This Row],[Matricula nueva]],'ALTA 20242025'!$B$2:$P$242,15,FALSE)</f>
        <v>#N/A</v>
      </c>
      <c r="AK211" s="19" t="e">
        <v>#N/A</v>
      </c>
      <c r="AN211" s="1"/>
      <c r="AO211" s="1" t="e">
        <f>VLOOKUP(Tabla1[[#This Row],[Matricula nueva]],Hoja2!$A$1:$B$224,2,FALSE)</f>
        <v>#N/A</v>
      </c>
      <c r="AP211" s="1" t="str">
        <f>IF(Tabla1[[#This Row],[Columna2]]="M1",5.1,"")</f>
        <v/>
      </c>
      <c r="AQ211" s="1"/>
      <c r="AR211" s="1"/>
      <c r="AS211" s="47">
        <f>IF(Tabla1[[#This Row],[Columna2]]="M1",13073,IF(Tabla1[[#This Row],[Columna2]]="N1",15815,IF(Tabla1[[#This Row],[Columna2]]="L3e",2831,53508)))</f>
        <v>53508</v>
      </c>
      <c r="AT211" s="47" t="e">
        <f>(Tabla1[[#This Row],[CVA]]*Tabla1[[#This Row],[F]]-Tabla1[[#This Row],[CVN]])/100*Tabla1[[#This Row],[L]]</f>
        <v>#VALUE!</v>
      </c>
      <c r="AU211" s="1"/>
      <c r="AV211" s="1" t="e">
        <f>VLOOKUP(B211,Tabla467824[[ID CAE2]:[AE '[kWh']]],6,FALSE)</f>
        <v>#N/A</v>
      </c>
      <c r="AW21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12" spans="1:49" ht="15.75" hidden="1" thickBot="1" x14ac:dyDescent="0.3">
      <c r="A212" t="s">
        <v>1336</v>
      </c>
      <c r="B212" t="e">
        <f>VLOOKUP(A212,Tabla46782[ID CAE],1,FALSE)</f>
        <v>#N/A</v>
      </c>
      <c r="C212" s="14" t="s">
        <v>1337</v>
      </c>
      <c r="D212" s="14"/>
      <c r="E212" s="14"/>
      <c r="F212" s="14"/>
      <c r="G212" s="14"/>
      <c r="H212" s="14"/>
      <c r="I212" s="14"/>
      <c r="J212" s="14"/>
      <c r="K212" s="14" t="s">
        <v>158</v>
      </c>
      <c r="L212" s="14" t="s">
        <v>159</v>
      </c>
      <c r="M212" s="14" t="s">
        <v>158</v>
      </c>
      <c r="N212" s="14" t="s">
        <v>171</v>
      </c>
      <c r="O212" s="19">
        <f>VLOOKUP(Tabla1[[#This Row],[Matricula]],BAJA2022202320242025!$B$3:$CR$245,93,FALSE)</f>
        <v>45712</v>
      </c>
      <c r="P212" s="17">
        <v>45841</v>
      </c>
      <c r="Q212" s="17">
        <f>Tabla1[[#This Row],[F.Vig.Final]]-Tabla1[[#This Row],[f Vig Inicio]]</f>
        <v>129</v>
      </c>
      <c r="R212" s="17">
        <f>YEAR(Tabla1[[#This Row],[F.Vig.Final]])</f>
        <v>2025</v>
      </c>
      <c r="S212" s="14" t="s">
        <v>172</v>
      </c>
      <c r="T212" s="14" t="s">
        <v>71</v>
      </c>
      <c r="U212" s="14" t="s">
        <v>1338</v>
      </c>
      <c r="V212" s="14" t="s">
        <v>1338</v>
      </c>
      <c r="W212" s="14" t="s">
        <v>1339</v>
      </c>
      <c r="X212" s="14" t="s">
        <v>1340</v>
      </c>
      <c r="Y212" s="14" t="s">
        <v>1341</v>
      </c>
      <c r="Z212" s="16">
        <f>COUNTIF($X$3:X212, X212)</f>
        <v>1</v>
      </c>
      <c r="AA212" s="16" t="e">
        <v>#N/A</v>
      </c>
      <c r="AB212" s="16" t="e">
        <v>#N/A</v>
      </c>
      <c r="AC212" s="16" t="e">
        <v>#N/A</v>
      </c>
      <c r="AD212" s="16" t="e">
        <v>#N/A</v>
      </c>
      <c r="AE212" s="16" t="e">
        <v>#N/A</v>
      </c>
      <c r="AF212" s="17" t="e">
        <v>#N/A</v>
      </c>
      <c r="AG212" s="17" t="e">
        <v>#N/A</v>
      </c>
      <c r="AH212" s="17" t="e">
        <f>Tabla1[[#This Row],[Renov. Flota]]-Tabla1[[#This Row],[Año]]</f>
        <v>#N/A</v>
      </c>
      <c r="AI212" s="18" t="e">
        <v>#N/A</v>
      </c>
      <c r="AJ212" s="18" t="e">
        <f>VLOOKUP(Tabla1[[#This Row],[Matricula nueva]],'ALTA 20242025'!$B$2:$P$242,15,FALSE)</f>
        <v>#N/A</v>
      </c>
      <c r="AK212" s="19" t="e">
        <v>#N/A</v>
      </c>
      <c r="AN212" s="1"/>
      <c r="AO212" s="1" t="e">
        <f>VLOOKUP(Tabla1[[#This Row],[Matricula nueva]],Hoja2!$A$1:$B$224,2,FALSE)</f>
        <v>#N/A</v>
      </c>
      <c r="AP212" s="1" t="str">
        <f>IF(Tabla1[[#This Row],[Columna2]]="M1",5.1,"")</f>
        <v/>
      </c>
      <c r="AQ212" s="1"/>
      <c r="AR212" s="1"/>
      <c r="AS212" s="47">
        <f>IF(Tabla1[[#This Row],[Columna2]]="M1",13073,IF(Tabla1[[#This Row],[Columna2]]="N1",15815,IF(Tabla1[[#This Row],[Columna2]]="L3e",2831,53508)))</f>
        <v>53508</v>
      </c>
      <c r="AT212" s="47" t="e">
        <f>(Tabla1[[#This Row],[CVA]]*Tabla1[[#This Row],[F]]-Tabla1[[#This Row],[CVN]])/100*Tabla1[[#This Row],[L]]</f>
        <v>#VALUE!</v>
      </c>
      <c r="AU212" s="1"/>
      <c r="AV212" s="1" t="e">
        <f>VLOOKUP(B212,Tabla467824[[ID CAE2]:[AE '[kWh']]],6,FALSE)</f>
        <v>#N/A</v>
      </c>
      <c r="AW21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13" spans="1:49" ht="15.75" hidden="1" thickBot="1" x14ac:dyDescent="0.3">
      <c r="A213" t="s">
        <v>1342</v>
      </c>
      <c r="B213" t="e">
        <f>VLOOKUP(A213,Tabla46782[ID CAE],1,FALSE)</f>
        <v>#N/A</v>
      </c>
      <c r="C213" s="14" t="s">
        <v>1343</v>
      </c>
      <c r="D213" s="14"/>
      <c r="E213" s="14"/>
      <c r="F213" s="14"/>
      <c r="G213" s="14"/>
      <c r="H213" s="14"/>
      <c r="I213" s="14"/>
      <c r="J213" s="14"/>
      <c r="K213" s="14" t="s">
        <v>158</v>
      </c>
      <c r="L213" s="14" t="s">
        <v>159</v>
      </c>
      <c r="M213" s="14" t="s">
        <v>158</v>
      </c>
      <c r="N213" s="14" t="s">
        <v>171</v>
      </c>
      <c r="O213" s="50">
        <f>VLOOKUP(Tabla1[[#This Row],[Matricula]],BAJA2022202320242025!$B$3:$CR$245,93,FALSE)</f>
        <v>45712</v>
      </c>
      <c r="P213" s="22">
        <v>45841</v>
      </c>
      <c r="Q213" s="22">
        <f>Tabla1[[#This Row],[F.Vig.Final]]-Tabla1[[#This Row],[f Vig Inicio]]</f>
        <v>129</v>
      </c>
      <c r="R213" s="22">
        <f>YEAR(Tabla1[[#This Row],[F.Vig.Final]])</f>
        <v>2025</v>
      </c>
      <c r="S213" s="14" t="s">
        <v>172</v>
      </c>
      <c r="T213" s="14" t="s">
        <v>71</v>
      </c>
      <c r="U213" s="14" t="s">
        <v>1338</v>
      </c>
      <c r="V213" s="14" t="s">
        <v>1338</v>
      </c>
      <c r="W213" s="14" t="s">
        <v>1339</v>
      </c>
      <c r="X213" s="14" t="s">
        <v>1340</v>
      </c>
      <c r="Y213" s="14" t="s">
        <v>1341</v>
      </c>
      <c r="Z213" s="16">
        <f>COUNTIF($X$3:X213, X213)</f>
        <v>2</v>
      </c>
      <c r="AA213" s="16" t="e">
        <v>#N/A</v>
      </c>
      <c r="AB213" s="16" t="e">
        <v>#N/A</v>
      </c>
      <c r="AC213" s="16" t="e">
        <v>#N/A</v>
      </c>
      <c r="AD213" s="16" t="e">
        <v>#N/A</v>
      </c>
      <c r="AE213" s="16" t="e">
        <v>#N/A</v>
      </c>
      <c r="AF213" s="22" t="e">
        <v>#N/A</v>
      </c>
      <c r="AG213" s="17" t="e">
        <v>#N/A</v>
      </c>
      <c r="AH213" s="17" t="e">
        <f>Tabla1[[#This Row],[Renov. Flota]]-Tabla1[[#This Row],[Año]]</f>
        <v>#N/A</v>
      </c>
      <c r="AI213" s="18" t="e">
        <v>#N/A</v>
      </c>
      <c r="AJ213" s="18" t="e">
        <f>VLOOKUP(Tabla1[[#This Row],[Matricula nueva]],'ALTA 20242025'!$B$2:$P$242,15,FALSE)</f>
        <v>#N/A</v>
      </c>
      <c r="AK213" s="19" t="e">
        <v>#N/A</v>
      </c>
      <c r="AN213" s="1"/>
      <c r="AO213" s="1" t="e">
        <f>VLOOKUP(Tabla1[[#This Row],[Matricula nueva]],Hoja2!$A$1:$B$224,2,FALSE)</f>
        <v>#N/A</v>
      </c>
      <c r="AP213" s="1" t="str">
        <f>IF(Tabla1[[#This Row],[Columna2]]="M1",5.1,"")</f>
        <v/>
      </c>
      <c r="AQ213" s="1"/>
      <c r="AR213" s="1"/>
      <c r="AS213" s="47">
        <f>IF(Tabla1[[#This Row],[Columna2]]="M1",13073,IF(Tabla1[[#This Row],[Columna2]]="N1",15815,IF(Tabla1[[#This Row],[Columna2]]="L3e",2831,53508)))</f>
        <v>53508</v>
      </c>
      <c r="AT213" s="47" t="e">
        <f>(Tabla1[[#This Row],[CVA]]*Tabla1[[#This Row],[F]]-Tabla1[[#This Row],[CVN]])/100*Tabla1[[#This Row],[L]]</f>
        <v>#VALUE!</v>
      </c>
      <c r="AU213" s="1"/>
      <c r="AV213" s="1" t="e">
        <f>VLOOKUP(B213,Tabla467824[[ID CAE2]:[AE '[kWh']]],6,FALSE)</f>
        <v>#N/A</v>
      </c>
      <c r="AW21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14" spans="1:49" ht="15.75" thickBot="1" x14ac:dyDescent="0.3">
      <c r="A214" s="114" t="s">
        <v>1039</v>
      </c>
      <c r="B214" t="str">
        <f>VLOOKUP(A214,Tabla46782[ID CAE],1,FALSE)</f>
        <v>CAE500208</v>
      </c>
      <c r="C214" s="25" t="s">
        <v>1040</v>
      </c>
      <c r="D214" s="103" t="s">
        <v>72</v>
      </c>
      <c r="E214" s="103" t="s">
        <v>72</v>
      </c>
      <c r="F214" s="103" t="s">
        <v>72</v>
      </c>
      <c r="G214" s="103"/>
      <c r="H214" s="103" t="s">
        <v>72</v>
      </c>
      <c r="I214" s="103" t="s">
        <v>72</v>
      </c>
      <c r="J214" s="103"/>
      <c r="K214" s="14" t="s">
        <v>1034</v>
      </c>
      <c r="L214" s="14" t="s">
        <v>200</v>
      </c>
      <c r="M214" s="14" t="s">
        <v>201</v>
      </c>
      <c r="N214" s="23" t="s">
        <v>76</v>
      </c>
      <c r="O214" s="1">
        <f>VLOOKUP(Tabla1[[#This Row],[Matricula]],BAJA2022202320242025!$B$3:$CR$245,93,FALSE)</f>
        <v>43695</v>
      </c>
      <c r="P214" s="30">
        <v>45217</v>
      </c>
      <c r="Q214" s="162">
        <f>Tabla1[[#This Row],[F.Vig.Final]]-Tabla1[[#This Row],[f Vig Inicio]]</f>
        <v>1522</v>
      </c>
      <c r="R214" s="141">
        <f>YEAR(Tabla1[[#This Row],[F.Vig.Final]])</f>
        <v>2023</v>
      </c>
      <c r="S214" s="25" t="s">
        <v>77</v>
      </c>
      <c r="T214" s="14" t="s">
        <v>202</v>
      </c>
      <c r="U214" s="14" t="s">
        <v>416</v>
      </c>
      <c r="V214" s="14" t="s">
        <v>1035</v>
      </c>
      <c r="W214" s="14" t="s">
        <v>119</v>
      </c>
      <c r="X214" s="14" t="s">
        <v>120</v>
      </c>
      <c r="Y214" s="14" t="s">
        <v>1041</v>
      </c>
      <c r="Z214" s="16">
        <f>COUNTIF($X$3:X214, X214)</f>
        <v>25</v>
      </c>
      <c r="AA214" s="16" t="s">
        <v>1042</v>
      </c>
      <c r="AB214" s="16" t="s">
        <v>85</v>
      </c>
      <c r="AC214" s="16" t="s">
        <v>86</v>
      </c>
      <c r="AD214" s="16" t="s">
        <v>87</v>
      </c>
      <c r="AE214" s="60" t="s">
        <v>368</v>
      </c>
      <c r="AF214" s="30" t="s">
        <v>89</v>
      </c>
      <c r="AG214" s="27">
        <v>45645</v>
      </c>
      <c r="AH214" s="137">
        <f>Tabla1[[#This Row],[Renov. Flota]]-Tabla1[[#This Row],[Año]]</f>
        <v>1</v>
      </c>
      <c r="AI214" s="18" t="s">
        <v>119</v>
      </c>
      <c r="AJ214" s="107" t="str">
        <f>VLOOKUP(Tabla1[[#This Row],[Matricula nueva]],'ALTA 20242025'!$B$2:$P$242,15,FALSE)</f>
        <v>4500426793</v>
      </c>
      <c r="AK214" s="60" t="s">
        <v>120</v>
      </c>
      <c r="AM214" s="1" t="s">
        <v>72</v>
      </c>
      <c r="AN214" s="1" t="s">
        <v>91</v>
      </c>
      <c r="AO214" s="1" t="str">
        <f>VLOOKUP(Tabla1[[#This Row],[Matricula nueva]],Hoja2!$A$1:$B$224,2,FALSE)</f>
        <v>VF1RFK00573824892</v>
      </c>
      <c r="AP214" s="80">
        <f>IF(Tabla1[[#This Row],[Columna2]]="M1",5.1,"")</f>
        <v>5.0999999999999996</v>
      </c>
      <c r="AQ214" s="81">
        <f>IF(T214="DIESEL",10,IF(T214="GLP",7.16,9.19))</f>
        <v>9.19</v>
      </c>
      <c r="AR214" s="82">
        <v>17.3</v>
      </c>
      <c r="AS214" s="83">
        <f>IF(Tabla1[[#This Row],[Columna2]]="M1",13073,IF(Tabla1[[#This Row],[Columna2]]="N1",15815,IF(Tabla1[[#This Row],[Columna2]]="L3e",2831,53508)))</f>
        <v>13073</v>
      </c>
      <c r="AT214" s="83">
        <f>(Tabla1[[#This Row],[CVA]]*Tabla1[[#This Row],[F]]-Tabla1[[#This Row],[CVN]])/100*Tabla1[[#This Row],[L]]</f>
        <v>3865.5553699999987</v>
      </c>
      <c r="AU214" s="84" t="s">
        <v>70</v>
      </c>
      <c r="AV214" s="294">
        <f>VLOOKUP(B214,Tabla467824[[ID CAE2]:[AE '[kWh']]],6,FALSE)</f>
        <v>6795.3454000000002</v>
      </c>
      <c r="AW21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15" spans="1:49" ht="15.75" hidden="1" thickBot="1" x14ac:dyDescent="0.3">
      <c r="A215" t="s">
        <v>1344</v>
      </c>
      <c r="B215" t="e">
        <f>VLOOKUP(A215,Tabla46782[ID CAE],1,FALSE)</f>
        <v>#N/A</v>
      </c>
      <c r="C215" s="14" t="s">
        <v>1345</v>
      </c>
      <c r="D215" s="14"/>
      <c r="E215" s="14"/>
      <c r="F215" s="14"/>
      <c r="G215" s="14"/>
      <c r="H215" s="14"/>
      <c r="I215" s="14"/>
      <c r="J215" s="14"/>
      <c r="K215" s="14" t="s">
        <v>158</v>
      </c>
      <c r="L215" s="14" t="s">
        <v>159</v>
      </c>
      <c r="M215" s="14" t="s">
        <v>158</v>
      </c>
      <c r="N215" s="14" t="s">
        <v>171</v>
      </c>
      <c r="O215" s="152">
        <f>VLOOKUP(Tabla1[[#This Row],[Matricula]],BAJA2022202320242025!$B$3:$CR$245,93,FALSE)</f>
        <v>45712</v>
      </c>
      <c r="P215" s="15">
        <v>45841</v>
      </c>
      <c r="Q215" s="15">
        <f>Tabla1[[#This Row],[F.Vig.Final]]-Tabla1[[#This Row],[f Vig Inicio]]</f>
        <v>129</v>
      </c>
      <c r="R215" s="15">
        <f>YEAR(Tabla1[[#This Row],[F.Vig.Final]])</f>
        <v>2025</v>
      </c>
      <c r="S215" s="14" t="s">
        <v>172</v>
      </c>
      <c r="T215" s="14" t="s">
        <v>71</v>
      </c>
      <c r="U215" s="14" t="s">
        <v>1338</v>
      </c>
      <c r="V215" s="14" t="s">
        <v>1338</v>
      </c>
      <c r="W215" s="14" t="s">
        <v>336</v>
      </c>
      <c r="X215" s="14" t="s">
        <v>337</v>
      </c>
      <c r="Y215" s="14" t="s">
        <v>1346</v>
      </c>
      <c r="Z215" s="16">
        <f>COUNTIF($X$3:X215, X215)</f>
        <v>15</v>
      </c>
      <c r="AA215" s="16" t="e">
        <v>#N/A</v>
      </c>
      <c r="AB215" s="16" t="e">
        <v>#N/A</v>
      </c>
      <c r="AC215" s="16" t="e">
        <v>#N/A</v>
      </c>
      <c r="AD215" s="16" t="e">
        <v>#N/A</v>
      </c>
      <c r="AE215" s="16" t="e">
        <v>#N/A</v>
      </c>
      <c r="AF215" s="15" t="e">
        <v>#N/A</v>
      </c>
      <c r="AG215" s="17" t="e">
        <v>#N/A</v>
      </c>
      <c r="AH215" s="17" t="e">
        <f>Tabla1[[#This Row],[Renov. Flota]]-Tabla1[[#This Row],[Año]]</f>
        <v>#N/A</v>
      </c>
      <c r="AI215" s="18" t="e">
        <v>#N/A</v>
      </c>
      <c r="AJ215" s="18" t="e">
        <f>VLOOKUP(Tabla1[[#This Row],[Matricula nueva]],'ALTA 20242025'!$B$2:$P$242,15,FALSE)</f>
        <v>#N/A</v>
      </c>
      <c r="AK215" s="19" t="e">
        <v>#N/A</v>
      </c>
      <c r="AN215" s="1"/>
      <c r="AO215" s="1" t="e">
        <f>VLOOKUP(Tabla1[[#This Row],[Matricula nueva]],Hoja2!$A$1:$B$224,2,FALSE)</f>
        <v>#N/A</v>
      </c>
      <c r="AP215" s="1" t="str">
        <f>IF(Tabla1[[#This Row],[Columna2]]="M1",5.1,"")</f>
        <v/>
      </c>
      <c r="AQ215" s="1"/>
      <c r="AR215" s="1"/>
      <c r="AS215" s="47">
        <f>IF(Tabla1[[#This Row],[Columna2]]="M1",13073,IF(Tabla1[[#This Row],[Columna2]]="N1",15815,IF(Tabla1[[#This Row],[Columna2]]="L3e",2831,53508)))</f>
        <v>53508</v>
      </c>
      <c r="AT215" s="47" t="e">
        <f>(Tabla1[[#This Row],[CVA]]*Tabla1[[#This Row],[F]]-Tabla1[[#This Row],[CVN]])/100*Tabla1[[#This Row],[L]]</f>
        <v>#VALUE!</v>
      </c>
      <c r="AU215" s="1"/>
      <c r="AV215" s="1" t="e">
        <f>VLOOKUP(B215,Tabla467824[[ID CAE2]:[AE '[kWh']]],6,FALSE)</f>
        <v>#N/A</v>
      </c>
      <c r="AW21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16" spans="1:49" ht="15.75" thickBot="1" x14ac:dyDescent="0.3">
      <c r="A216" s="114" t="s">
        <v>1046</v>
      </c>
      <c r="B216" t="str">
        <f>VLOOKUP(A216,Tabla46782[ID CAE],1,FALSE)</f>
        <v>CAE500210</v>
      </c>
      <c r="C216" s="25" t="s">
        <v>1047</v>
      </c>
      <c r="D216" s="103" t="s">
        <v>72</v>
      </c>
      <c r="E216" s="103"/>
      <c r="F216" s="103"/>
      <c r="G216" s="103" t="s">
        <v>72</v>
      </c>
      <c r="H216" s="103" t="s">
        <v>72</v>
      </c>
      <c r="I216" s="103" t="s">
        <v>72</v>
      </c>
      <c r="J216" s="103"/>
      <c r="K216" s="14" t="s">
        <v>158</v>
      </c>
      <c r="L216" s="14" t="s">
        <v>159</v>
      </c>
      <c r="M216" s="14" t="s">
        <v>158</v>
      </c>
      <c r="N216" s="23" t="s">
        <v>171</v>
      </c>
      <c r="O216" s="34">
        <f>VLOOKUP(Tabla1[[#This Row],[Matricula]],BAJA2022202320242025!$B$3:$CR$245,93,FALSE)</f>
        <v>43475</v>
      </c>
      <c r="P216" s="30">
        <v>45124</v>
      </c>
      <c r="Q216" s="162">
        <f>Tabla1[[#This Row],[F.Vig.Final]]-Tabla1[[#This Row],[f Vig Inicio]]</f>
        <v>1649</v>
      </c>
      <c r="R216" s="141">
        <f>YEAR(Tabla1[[#This Row],[F.Vig.Final]])</f>
        <v>2023</v>
      </c>
      <c r="S216" s="25" t="s">
        <v>172</v>
      </c>
      <c r="T216" s="14" t="s">
        <v>78</v>
      </c>
      <c r="U216" s="14" t="s">
        <v>1048</v>
      </c>
      <c r="V216" s="14" t="s">
        <v>1049</v>
      </c>
      <c r="W216" s="14" t="s">
        <v>1050</v>
      </c>
      <c r="X216" s="14" t="s">
        <v>1051</v>
      </c>
      <c r="Y216" s="14" t="s">
        <v>1052</v>
      </c>
      <c r="Z216" s="16">
        <f>COUNTIF($X$3:X216, X216)</f>
        <v>7</v>
      </c>
      <c r="AA216" s="16" t="s">
        <v>1053</v>
      </c>
      <c r="AB216" s="16" t="s">
        <v>85</v>
      </c>
      <c r="AC216" s="16" t="s">
        <v>86</v>
      </c>
      <c r="AD216" s="16" t="s">
        <v>87</v>
      </c>
      <c r="AE216" s="60" t="s">
        <v>1054</v>
      </c>
      <c r="AF216" s="30" t="s">
        <v>547</v>
      </c>
      <c r="AG216" s="27">
        <v>45671</v>
      </c>
      <c r="AH216" s="137">
        <f>Tabla1[[#This Row],[Renov. Flota]]-Tabla1[[#This Row],[Año]]</f>
        <v>2</v>
      </c>
      <c r="AI216" s="18" t="s">
        <v>1050</v>
      </c>
      <c r="AJ216" s="107" t="str">
        <f>VLOOKUP(Tabla1[[#This Row],[Matricula nueva]],'ALTA 20242025'!$B$2:$P$242,15,FALSE)</f>
        <v>4500426789</v>
      </c>
      <c r="AK216" s="60" t="s">
        <v>1051</v>
      </c>
      <c r="AM216" s="1" t="s">
        <v>72</v>
      </c>
      <c r="AN216" s="1" t="s">
        <v>1056</v>
      </c>
      <c r="AO216" s="1" t="str">
        <f>VLOOKUP(Tabla1[[#This Row],[Matricula nueva]],Hoja2!$A$1:$B$224,2,FALSE)</f>
        <v>VF1RFK00673824884</v>
      </c>
      <c r="AP216" s="80">
        <v>35</v>
      </c>
      <c r="AQ216" s="81">
        <f>IF(T216="DIESEL",10,IF(T216="GLP",7.16,9.19))</f>
        <v>10</v>
      </c>
      <c r="AR216" s="82">
        <v>17.3</v>
      </c>
      <c r="AS216" s="83">
        <f>IF(Tabla1[[#This Row],[Columna2]]="M1",13073,IF(Tabla1[[#This Row],[Columna2]]="N1",15815,IF(Tabla1[[#This Row],[Columna2]]="L3e",2831,53508)))</f>
        <v>53508</v>
      </c>
      <c r="AT216" s="83">
        <f>(Tabla1[[#This Row],[CVA]]*Tabla1[[#This Row],[F]]-Tabla1[[#This Row],[CVN]])/100*Tabla1[[#This Row],[L]]</f>
        <v>178021.11600000001</v>
      </c>
      <c r="AU216" s="84" t="s">
        <v>516</v>
      </c>
      <c r="AV216" s="294">
        <f>VLOOKUP(B216,Tabla467824[[ID CAE2]:[AE '[kWh']]],6,FALSE)</f>
        <v>123854.9676</v>
      </c>
      <c r="AW21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217" spans="1:49" ht="15.75" hidden="1" thickBot="1" x14ac:dyDescent="0.3">
      <c r="A217" t="s">
        <v>1058</v>
      </c>
      <c r="B217" t="str">
        <f>VLOOKUP(A217,Tabla46782[ID CAE],1,FALSE)</f>
        <v>CAE500211</v>
      </c>
      <c r="C217" s="14" t="s">
        <v>1347</v>
      </c>
      <c r="D217" s="14"/>
      <c r="E217" s="14"/>
      <c r="F217" s="14"/>
      <c r="G217" s="14"/>
      <c r="H217" s="14"/>
      <c r="I217" s="14"/>
      <c r="J217" s="14"/>
      <c r="K217" s="14" t="s">
        <v>73</v>
      </c>
      <c r="L217" s="14" t="s">
        <v>200</v>
      </c>
      <c r="M217" s="14" t="s">
        <v>201</v>
      </c>
      <c r="N217" s="14" t="s">
        <v>76</v>
      </c>
      <c r="O217" s="95">
        <f>VLOOKUP(Tabla1[[#This Row],[Matricula]],BAJA2022202320242025!$B$3:$CR$245,93,FALSE)</f>
        <v>44475</v>
      </c>
      <c r="P217" s="21">
        <v>45936</v>
      </c>
      <c r="Q217" s="21">
        <f>Tabla1[[#This Row],[F.Vig.Final]]-Tabla1[[#This Row],[f Vig Inicio]]</f>
        <v>1461</v>
      </c>
      <c r="R217" s="21">
        <f>YEAR(Tabla1[[#This Row],[F.Vig.Final]])</f>
        <v>2025</v>
      </c>
      <c r="S217" s="14" t="s">
        <v>77</v>
      </c>
      <c r="T217" s="14" t="s">
        <v>674</v>
      </c>
      <c r="U217" s="14" t="s">
        <v>1348</v>
      </c>
      <c r="V217" s="14" t="s">
        <v>1349</v>
      </c>
      <c r="W217" s="14" t="s">
        <v>131</v>
      </c>
      <c r="X217" s="14" t="s">
        <v>132</v>
      </c>
      <c r="Y217" s="14" t="s">
        <v>316</v>
      </c>
      <c r="Z217" s="16">
        <f>COUNTIF($X$3:X217, X217)</f>
        <v>19</v>
      </c>
      <c r="AA217" s="16" t="e">
        <v>#N/A</v>
      </c>
      <c r="AB217" s="16" t="e">
        <v>#N/A</v>
      </c>
      <c r="AC217" s="16" t="e">
        <v>#N/A</v>
      </c>
      <c r="AD217" s="16" t="e">
        <v>#N/A</v>
      </c>
      <c r="AE217" s="16" t="e">
        <v>#N/A</v>
      </c>
      <c r="AF217" s="21" t="e">
        <v>#N/A</v>
      </c>
      <c r="AG217" s="17" t="e">
        <v>#N/A</v>
      </c>
      <c r="AH217" s="17" t="e">
        <f>Tabla1[[#This Row],[Renov. Flota]]-Tabla1[[#This Row],[Año]]</f>
        <v>#N/A</v>
      </c>
      <c r="AI217" s="18" t="e">
        <v>#N/A</v>
      </c>
      <c r="AJ217" s="18" t="e">
        <f>VLOOKUP(Tabla1[[#This Row],[Matricula nueva]],'ALTA 20242025'!$B$2:$P$242,15,FALSE)</f>
        <v>#N/A</v>
      </c>
      <c r="AK217" s="19" t="e">
        <v>#N/A</v>
      </c>
      <c r="AN217" s="1"/>
      <c r="AO217" s="1" t="e">
        <f>VLOOKUP(Tabla1[[#This Row],[Matricula nueva]],Hoja2!$A$1:$B$224,2,FALSE)</f>
        <v>#N/A</v>
      </c>
      <c r="AP217" s="1" t="str">
        <f>IF(Tabla1[[#This Row],[Columna2]]="M1",5.1,"")</f>
        <v/>
      </c>
      <c r="AQ217" s="1"/>
      <c r="AR217" s="1"/>
      <c r="AS217" s="47">
        <f>IF(Tabla1[[#This Row],[Columna2]]="M1",13073,IF(Tabla1[[#This Row],[Columna2]]="N1",15815,IF(Tabla1[[#This Row],[Columna2]]="L3e",2831,53508)))</f>
        <v>53508</v>
      </c>
      <c r="AT217" s="47" t="e">
        <f>(Tabla1[[#This Row],[CVA]]*Tabla1[[#This Row],[F]]-Tabla1[[#This Row],[CVN]])/100*Tabla1[[#This Row],[L]]</f>
        <v>#VALUE!</v>
      </c>
      <c r="AU217" s="1"/>
      <c r="AV217" s="1">
        <f>VLOOKUP(B217,Tabla467824[[ID CAE2]:[AE '[kWh']]],6,FALSE)</f>
        <v>123854.9676</v>
      </c>
      <c r="AW21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18" spans="1:49" ht="13.5" hidden="1" thickBot="1" x14ac:dyDescent="0.25">
      <c r="C218" s="14" t="s">
        <v>1350</v>
      </c>
      <c r="D218" s="14"/>
      <c r="E218" s="14"/>
      <c r="F218" s="14"/>
      <c r="G218" s="14"/>
      <c r="H218" s="14"/>
      <c r="I218" s="14"/>
      <c r="J218" s="14"/>
      <c r="K218" s="14" t="s">
        <v>73</v>
      </c>
      <c r="L218" s="14" t="s">
        <v>200</v>
      </c>
      <c r="M218" s="14" t="s">
        <v>201</v>
      </c>
      <c r="N218" s="14" t="s">
        <v>160</v>
      </c>
      <c r="O218" s="50">
        <f>VLOOKUP(Tabla1[[#This Row],[Matricula]],BAJA2022202320242025!$B$3:$CR$245,93,FALSE)</f>
        <v>44153</v>
      </c>
      <c r="P218" s="22">
        <v>45979</v>
      </c>
      <c r="Q218" s="22">
        <f>Tabla1[[#This Row],[F.Vig.Final]]-Tabla1[[#This Row],[f Vig Inicio]]</f>
        <v>1826</v>
      </c>
      <c r="R218" s="22">
        <f>YEAR(Tabla1[[#This Row],[F.Vig.Final]])</f>
        <v>2025</v>
      </c>
      <c r="S218" s="14" t="s">
        <v>161</v>
      </c>
      <c r="T218" s="14" t="s">
        <v>78</v>
      </c>
      <c r="U218" s="14" t="s">
        <v>85</v>
      </c>
      <c r="V218" s="14" t="s">
        <v>1351</v>
      </c>
      <c r="W218" s="14" t="s">
        <v>119</v>
      </c>
      <c r="X218" s="14" t="s">
        <v>120</v>
      </c>
      <c r="Y218" s="14" t="s">
        <v>617</v>
      </c>
      <c r="Z218" s="16">
        <f>COUNTIF($X$3:X218, X218)</f>
        <v>26</v>
      </c>
      <c r="AA218" s="16" t="e">
        <v>#N/A</v>
      </c>
      <c r="AB218" s="16" t="e">
        <v>#N/A</v>
      </c>
      <c r="AC218" s="16" t="e">
        <v>#N/A</v>
      </c>
      <c r="AD218" s="16" t="e">
        <v>#N/A</v>
      </c>
      <c r="AE218" s="16" t="e">
        <v>#N/A</v>
      </c>
      <c r="AF218" s="22" t="e">
        <v>#N/A</v>
      </c>
      <c r="AG218" s="17" t="e">
        <v>#N/A</v>
      </c>
      <c r="AH218" s="17" t="e">
        <f>Tabla1[[#This Row],[Renov. Flota]]-Tabla1[[#This Row],[Año]]</f>
        <v>#N/A</v>
      </c>
      <c r="AI218" s="18" t="e">
        <v>#N/A</v>
      </c>
      <c r="AJ218" s="18" t="e">
        <f>VLOOKUP(Tabla1[[#This Row],[Matricula nueva]],'ALTA 20242025'!$B$2:$P$242,15,FALSE)</f>
        <v>#N/A</v>
      </c>
      <c r="AK218" s="19" t="e">
        <v>#N/A</v>
      </c>
      <c r="AN218" s="1"/>
      <c r="AO218" s="1" t="e">
        <f>VLOOKUP(Tabla1[[#This Row],[Matricula nueva]],Hoja2!$A$1:$B$224,2,FALSE)</f>
        <v>#N/A</v>
      </c>
      <c r="AP218" s="1" t="str">
        <f>IF(Tabla1[[#This Row],[Columna2]]="M1",5.1,"")</f>
        <v/>
      </c>
      <c r="AQ218" s="1"/>
      <c r="AR218" s="1"/>
      <c r="AS218" s="47">
        <f>IF(Tabla1[[#This Row],[Columna2]]="M1",13073,IF(Tabla1[[#This Row],[Columna2]]="N1",15815,IF(Tabla1[[#This Row],[Columna2]]="L3e",2831,53508)))</f>
        <v>53508</v>
      </c>
      <c r="AT218" s="47" t="e">
        <f>(Tabla1[[#This Row],[CVA]]*Tabla1[[#This Row],[F]]-Tabla1[[#This Row],[CVN]])/100*Tabla1[[#This Row],[L]]</f>
        <v>#VALUE!</v>
      </c>
      <c r="AU218" s="1"/>
      <c r="AV218" s="1" t="e">
        <f>VLOOKUP(B218,Tabla467824[[ID CAE2]:[AE '[kWh']]],6,FALSE)</f>
        <v>#N/A</v>
      </c>
      <c r="AW21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19" spans="1:49" ht="15.75" thickBot="1" x14ac:dyDescent="0.3">
      <c r="A219" s="114" t="s">
        <v>1058</v>
      </c>
      <c r="B219" t="str">
        <f>VLOOKUP(A219,Tabla46782[ID CAE],1,FALSE)</f>
        <v>CAE500211</v>
      </c>
      <c r="C219" s="25" t="s">
        <v>1059</v>
      </c>
      <c r="D219" s="103" t="s">
        <v>72</v>
      </c>
      <c r="E219" s="103"/>
      <c r="F219" s="103"/>
      <c r="G219" s="103" t="s">
        <v>72</v>
      </c>
      <c r="H219" s="103" t="s">
        <v>72</v>
      </c>
      <c r="I219" s="103" t="s">
        <v>72</v>
      </c>
      <c r="J219" s="103"/>
      <c r="K219" s="14" t="s">
        <v>158</v>
      </c>
      <c r="L219" s="14" t="s">
        <v>159</v>
      </c>
      <c r="M219" s="14" t="s">
        <v>158</v>
      </c>
      <c r="N219" s="23" t="s">
        <v>171</v>
      </c>
      <c r="O219" s="34">
        <f>VLOOKUP(Tabla1[[#This Row],[Matricula]],BAJA2022202320242025!$B$3:$CR$245,93,FALSE)</f>
        <v>43601</v>
      </c>
      <c r="P219" s="30">
        <v>45124</v>
      </c>
      <c r="Q219" s="162">
        <f>Tabla1[[#This Row],[F.Vig.Final]]-Tabla1[[#This Row],[f Vig Inicio]]</f>
        <v>1523</v>
      </c>
      <c r="R219" s="141">
        <f>YEAR(Tabla1[[#This Row],[F.Vig.Final]])</f>
        <v>2023</v>
      </c>
      <c r="S219" s="25" t="s">
        <v>172</v>
      </c>
      <c r="T219" s="14" t="s">
        <v>78</v>
      </c>
      <c r="U219" s="14" t="s">
        <v>887</v>
      </c>
      <c r="V219" s="14" t="s">
        <v>1060</v>
      </c>
      <c r="W219" s="14" t="s">
        <v>1050</v>
      </c>
      <c r="X219" s="14" t="s">
        <v>1051</v>
      </c>
      <c r="Y219" s="14" t="s">
        <v>1052</v>
      </c>
      <c r="Z219" s="16">
        <f>COUNTIF($X$3:X219, X219)</f>
        <v>8</v>
      </c>
      <c r="AA219" s="16" t="s">
        <v>1061</v>
      </c>
      <c r="AB219" s="16" t="s">
        <v>85</v>
      </c>
      <c r="AC219" s="16" t="s">
        <v>86</v>
      </c>
      <c r="AD219" s="16" t="s">
        <v>87</v>
      </c>
      <c r="AE219" s="60" t="s">
        <v>1054</v>
      </c>
      <c r="AF219" s="30" t="s">
        <v>547</v>
      </c>
      <c r="AG219" s="27">
        <v>45671</v>
      </c>
      <c r="AH219" s="137">
        <f>Tabla1[[#This Row],[Renov. Flota]]-Tabla1[[#This Row],[Año]]</f>
        <v>2</v>
      </c>
      <c r="AI219" s="18" t="s">
        <v>1050</v>
      </c>
      <c r="AJ219" s="107" t="str">
        <f>VLOOKUP(Tabla1[[#This Row],[Matricula nueva]],'ALTA 20242025'!$B$2:$P$242,15,FALSE)</f>
        <v>4500426778</v>
      </c>
      <c r="AK219" s="60" t="s">
        <v>1051</v>
      </c>
      <c r="AM219" s="1" t="s">
        <v>72</v>
      </c>
      <c r="AN219" s="1" t="s">
        <v>1056</v>
      </c>
      <c r="AO219" s="1" t="str">
        <f>VLOOKUP(Tabla1[[#This Row],[Matricula nueva]],Hoja2!$A$1:$B$224,2,FALSE)</f>
        <v>VF1RFK00473824883</v>
      </c>
      <c r="AP219" s="80">
        <v>35</v>
      </c>
      <c r="AQ219" s="81">
        <f>IF(T219="DIESEL",10,IF(T219="GLP",7.16,9.19))</f>
        <v>10</v>
      </c>
      <c r="AR219" s="82">
        <v>17.3</v>
      </c>
      <c r="AS219" s="83">
        <f>IF(Tabla1[[#This Row],[Columna2]]="M1",13073,IF(Tabla1[[#This Row],[Columna2]]="N1",15815,IF(Tabla1[[#This Row],[Columna2]]="L3e",2831,53508)))</f>
        <v>53508</v>
      </c>
      <c r="AT219" s="83">
        <f>(Tabla1[[#This Row],[CVA]]*Tabla1[[#This Row],[F]]-Tabla1[[#This Row],[CVN]])/100*Tabla1[[#This Row],[L]]</f>
        <v>178021.11600000001</v>
      </c>
      <c r="AU219" s="84" t="s">
        <v>516</v>
      </c>
      <c r="AV219" s="294">
        <f>VLOOKUP(B219,Tabla467824[[ID CAE2]:[AE '[kWh']]],6,FALSE)</f>
        <v>123854.9676</v>
      </c>
      <c r="AW21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220" spans="1:49" ht="15.75" hidden="1" thickBot="1" x14ac:dyDescent="0.3">
      <c r="A220" t="s">
        <v>1352</v>
      </c>
      <c r="B220" t="e">
        <f>VLOOKUP(A220,Tabla46782[ID CAE],1,FALSE)</f>
        <v>#N/A</v>
      </c>
      <c r="C220" s="14" t="s">
        <v>1353</v>
      </c>
      <c r="D220" s="14"/>
      <c r="E220" s="14"/>
      <c r="F220" s="14"/>
      <c r="G220" s="14"/>
      <c r="H220" s="14"/>
      <c r="I220" s="14"/>
      <c r="J220" s="14"/>
      <c r="K220" s="14" t="s">
        <v>73</v>
      </c>
      <c r="L220" s="14" t="s">
        <v>200</v>
      </c>
      <c r="M220" s="14" t="s">
        <v>201</v>
      </c>
      <c r="N220" s="14" t="s">
        <v>76</v>
      </c>
      <c r="O220" s="95">
        <f>VLOOKUP(Tabla1[[#This Row],[Matricula]],BAJA2022202320242025!$B$3:$CR$245,93,FALSE)</f>
        <v>44167</v>
      </c>
      <c r="P220" s="21">
        <v>45993</v>
      </c>
      <c r="Q220" s="21">
        <f>Tabla1[[#This Row],[F.Vig.Final]]-Tabla1[[#This Row],[f Vig Inicio]]</f>
        <v>1826</v>
      </c>
      <c r="R220" s="21">
        <f>YEAR(Tabla1[[#This Row],[F.Vig.Final]])</f>
        <v>2025</v>
      </c>
      <c r="S220" s="14" t="s">
        <v>77</v>
      </c>
      <c r="T220" s="14" t="s">
        <v>78</v>
      </c>
      <c r="U220" s="14" t="s">
        <v>85</v>
      </c>
      <c r="V220" s="14" t="s">
        <v>1354</v>
      </c>
      <c r="W220" s="14" t="s">
        <v>119</v>
      </c>
      <c r="X220" s="14" t="s">
        <v>120</v>
      </c>
      <c r="Y220" s="14" t="s">
        <v>1355</v>
      </c>
      <c r="Z220" s="16">
        <f>COUNTIF($X$3:X220, X220)</f>
        <v>27</v>
      </c>
      <c r="AA220" s="16" t="e">
        <v>#N/A</v>
      </c>
      <c r="AB220" s="16" t="e">
        <v>#N/A</v>
      </c>
      <c r="AC220" s="16" t="e">
        <v>#N/A</v>
      </c>
      <c r="AD220" s="16" t="e">
        <v>#N/A</v>
      </c>
      <c r="AE220" s="16" t="e">
        <v>#N/A</v>
      </c>
      <c r="AF220" s="21" t="e">
        <v>#N/A</v>
      </c>
      <c r="AG220" s="17" t="e">
        <v>#N/A</v>
      </c>
      <c r="AH220" s="17" t="e">
        <f>Tabla1[[#This Row],[Renov. Flota]]-Tabla1[[#This Row],[Año]]</f>
        <v>#N/A</v>
      </c>
      <c r="AI220" s="18" t="e">
        <v>#N/A</v>
      </c>
      <c r="AJ220" s="18" t="e">
        <f>VLOOKUP(Tabla1[[#This Row],[Matricula nueva]],'ALTA 20242025'!$B$2:$P$242,15,FALSE)</f>
        <v>#N/A</v>
      </c>
      <c r="AK220" s="19" t="e">
        <v>#N/A</v>
      </c>
      <c r="AN220" s="1"/>
      <c r="AO220" s="1" t="e">
        <f>VLOOKUP(Tabla1[[#This Row],[Matricula nueva]],Hoja2!$A$1:$B$224,2,FALSE)</f>
        <v>#N/A</v>
      </c>
      <c r="AP220" s="1" t="str">
        <f>IF(Tabla1[[#This Row],[Columna2]]="M1",5.1,"")</f>
        <v/>
      </c>
      <c r="AQ220" s="1"/>
      <c r="AR220" s="1"/>
      <c r="AS220" s="47">
        <f>IF(Tabla1[[#This Row],[Columna2]]="M1",13073,IF(Tabla1[[#This Row],[Columna2]]="N1",15815,IF(Tabla1[[#This Row],[Columna2]]="L3e",2831,53508)))</f>
        <v>53508</v>
      </c>
      <c r="AT220" s="47" t="e">
        <f>(Tabla1[[#This Row],[CVA]]*Tabla1[[#This Row],[F]]-Tabla1[[#This Row],[CVN]])/100*Tabla1[[#This Row],[L]]</f>
        <v>#VALUE!</v>
      </c>
      <c r="AU220" s="1"/>
      <c r="AV220" s="1" t="e">
        <f>VLOOKUP(B220,Tabla467824[[ID CAE2]:[AE '[kWh']]],6,FALSE)</f>
        <v>#N/A</v>
      </c>
      <c r="AW22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1" spans="1:49" ht="15.75" hidden="1" thickBot="1" x14ac:dyDescent="0.3">
      <c r="A221" t="s">
        <v>1356</v>
      </c>
      <c r="B221" t="e">
        <f>VLOOKUP(A221,Tabla46782[ID CAE],1,FALSE)</f>
        <v>#N/A</v>
      </c>
      <c r="C221" s="31" t="s">
        <v>1357</v>
      </c>
      <c r="D221" s="31"/>
      <c r="E221" s="31"/>
      <c r="F221" s="31"/>
      <c r="G221" s="31"/>
      <c r="H221" s="31"/>
      <c r="I221" s="31"/>
      <c r="J221" s="31"/>
      <c r="K221" s="31" t="s">
        <v>73</v>
      </c>
      <c r="L221" s="31" t="s">
        <v>200</v>
      </c>
      <c r="M221" s="31" t="s">
        <v>201</v>
      </c>
      <c r="N221" s="31" t="s">
        <v>76</v>
      </c>
      <c r="O221" s="31" t="e">
        <f>VLOOKUP(Tabla1[[#This Row],[Matricula]],BAJA2022202320242025!$B$3:$CR$245,93,FALSE)</f>
        <v>#N/A</v>
      </c>
      <c r="P221" s="32">
        <v>44837</v>
      </c>
      <c r="Q221" s="32" t="e">
        <f>Tabla1[[#This Row],[F.Vig.Final]]-Tabla1[[#This Row],[f Vig Inicio]]</f>
        <v>#N/A</v>
      </c>
      <c r="R221" s="32">
        <f>YEAR(Tabla1[[#This Row],[F.Vig.Final]])</f>
        <v>2022</v>
      </c>
      <c r="S221" s="31" t="s">
        <v>77</v>
      </c>
      <c r="T221" s="31" t="s">
        <v>674</v>
      </c>
      <c r="U221" s="31" t="s">
        <v>359</v>
      </c>
      <c r="V221" s="31" t="s">
        <v>1245</v>
      </c>
      <c r="W221" s="31" t="s">
        <v>131</v>
      </c>
      <c r="X221" s="31" t="s">
        <v>132</v>
      </c>
      <c r="Y221" s="31" t="s">
        <v>318</v>
      </c>
      <c r="Z221" s="16">
        <f>COUNTIF($X$3:X221, X221)</f>
        <v>20</v>
      </c>
      <c r="AA221" s="16" t="e">
        <v>#N/A</v>
      </c>
      <c r="AB221" s="16" t="e">
        <v>#N/A</v>
      </c>
      <c r="AC221" s="16" t="e">
        <v>#N/A</v>
      </c>
      <c r="AD221" s="16" t="e">
        <v>#N/A</v>
      </c>
      <c r="AE221" s="16" t="e">
        <v>#N/A</v>
      </c>
      <c r="AF221" s="17" t="e">
        <v>#N/A</v>
      </c>
      <c r="AG221" s="17" t="e">
        <v>#N/A</v>
      </c>
      <c r="AH221" s="17" t="e">
        <f>Tabla1[[#This Row],[Renov. Flota]]-Tabla1[[#This Row],[Año]]</f>
        <v>#N/A</v>
      </c>
      <c r="AI221" s="18" t="e">
        <v>#N/A</v>
      </c>
      <c r="AJ221" s="18" t="e">
        <f>VLOOKUP(Tabla1[[#This Row],[Matricula nueva]],'ALTA 20242025'!$B$2:$P$242,15,FALSE)</f>
        <v>#N/A</v>
      </c>
      <c r="AK221" s="19" t="e">
        <v>#N/A</v>
      </c>
      <c r="AN221" s="1"/>
      <c r="AO221" s="1" t="e">
        <f>VLOOKUP(Tabla1[[#This Row],[Matricula nueva]],Hoja2!$A$1:$B$224,2,FALSE)</f>
        <v>#N/A</v>
      </c>
      <c r="AP221" s="1" t="str">
        <f>IF(Tabla1[[#This Row],[Columna2]]="M1",5.1,"")</f>
        <v/>
      </c>
      <c r="AQ221" s="1"/>
      <c r="AR221" s="1"/>
      <c r="AS221" s="47">
        <f>IF(Tabla1[[#This Row],[Columna2]]="M1",13073,IF(Tabla1[[#This Row],[Columna2]]="N1",15815,IF(Tabla1[[#This Row],[Columna2]]="L3e",2831,53508)))</f>
        <v>53508</v>
      </c>
      <c r="AT221" s="47" t="e">
        <f>(Tabla1[[#This Row],[CVA]]*Tabla1[[#This Row],[F]]-Tabla1[[#This Row],[CVN]])/100*Tabla1[[#This Row],[L]]</f>
        <v>#VALUE!</v>
      </c>
      <c r="AU221" s="1"/>
      <c r="AV221" s="1" t="e">
        <f>VLOOKUP(B221,Tabla467824[[ID CAE2]:[AE '[kWh']]],6,FALSE)</f>
        <v>#N/A</v>
      </c>
      <c r="AW22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2" spans="1:49" ht="15.75" hidden="1" thickBot="1" x14ac:dyDescent="0.3">
      <c r="A222" t="s">
        <v>1358</v>
      </c>
      <c r="B222" t="e">
        <f>VLOOKUP(A222,Tabla46782[ID CAE],1,FALSE)</f>
        <v>#N/A</v>
      </c>
      <c r="C222" s="33" t="s">
        <v>1359</v>
      </c>
      <c r="D222" s="33"/>
      <c r="E222" s="33"/>
      <c r="F222" s="33"/>
      <c r="G222" s="33"/>
      <c r="H222" s="33"/>
      <c r="I222" s="33"/>
      <c r="J222" s="33"/>
      <c r="K222" s="33" t="s">
        <v>73</v>
      </c>
      <c r="L222" s="33" t="s">
        <v>200</v>
      </c>
      <c r="M222" s="33" t="s">
        <v>201</v>
      </c>
      <c r="N222" s="33" t="s">
        <v>76</v>
      </c>
      <c r="O222" s="1">
        <f>VLOOKUP(Tabla1[[#This Row],[Matricula]],BAJA2022202320242025!$B$3:$CR$245,93,FALSE)</f>
        <v>44224</v>
      </c>
      <c r="P222" s="34">
        <v>45685</v>
      </c>
      <c r="Q222" s="34">
        <f>Tabla1[[#This Row],[F.Vig.Final]]-Tabla1[[#This Row],[f Vig Inicio]]</f>
        <v>1461</v>
      </c>
      <c r="R222" s="34">
        <f>YEAR(Tabla1[[#This Row],[F.Vig.Final]])</f>
        <v>2025</v>
      </c>
      <c r="S222" s="33" t="s">
        <v>77</v>
      </c>
      <c r="T222" s="33" t="s">
        <v>71</v>
      </c>
      <c r="U222" s="33" t="s">
        <v>213</v>
      </c>
      <c r="V222" s="33" t="s">
        <v>214</v>
      </c>
      <c r="W222" s="33" t="s">
        <v>336</v>
      </c>
      <c r="X222" s="33" t="s">
        <v>337</v>
      </c>
      <c r="Y222" s="33" t="s">
        <v>338</v>
      </c>
      <c r="Z222" s="16">
        <f>COUNTIF($X$3:X222, X222)</f>
        <v>16</v>
      </c>
      <c r="AA222" s="16" t="e">
        <v>#N/A</v>
      </c>
      <c r="AB222" s="16" t="e">
        <v>#N/A</v>
      </c>
      <c r="AC222" s="16" t="e">
        <v>#N/A</v>
      </c>
      <c r="AD222" s="16" t="e">
        <v>#N/A</v>
      </c>
      <c r="AE222" s="16" t="e">
        <v>#N/A</v>
      </c>
      <c r="AF222" s="17" t="e">
        <v>#N/A</v>
      </c>
      <c r="AG222" s="17" t="e">
        <v>#N/A</v>
      </c>
      <c r="AH222" s="17" t="e">
        <f>Tabla1[[#This Row],[Renov. Flota]]-Tabla1[[#This Row],[Año]]</f>
        <v>#N/A</v>
      </c>
      <c r="AI222" s="18" t="e">
        <v>#N/A</v>
      </c>
      <c r="AJ222" s="18" t="e">
        <f>VLOOKUP(Tabla1[[#This Row],[Matricula nueva]],'ALTA 20242025'!$B$2:$P$242,15,FALSE)</f>
        <v>#N/A</v>
      </c>
      <c r="AK222" s="19" t="e">
        <v>#N/A</v>
      </c>
      <c r="AN222" s="1"/>
      <c r="AO222" s="1" t="e">
        <f>VLOOKUP(Tabla1[[#This Row],[Matricula nueva]],Hoja2!$A$1:$B$224,2,FALSE)</f>
        <v>#N/A</v>
      </c>
      <c r="AP222" s="1" t="str">
        <f>IF(Tabla1[[#This Row],[Columna2]]="M1",5.1,"")</f>
        <v/>
      </c>
      <c r="AQ222" s="1"/>
      <c r="AR222" s="1"/>
      <c r="AS222" s="47">
        <f>IF(Tabla1[[#This Row],[Columna2]]="M1",13073,IF(Tabla1[[#This Row],[Columna2]]="N1",15815,IF(Tabla1[[#This Row],[Columna2]]="L3e",2831,53508)))</f>
        <v>53508</v>
      </c>
      <c r="AT222" s="47" t="e">
        <f>(Tabla1[[#This Row],[CVA]]*Tabla1[[#This Row],[F]]-Tabla1[[#This Row],[CVN]])/100*Tabla1[[#This Row],[L]]</f>
        <v>#VALUE!</v>
      </c>
      <c r="AU222" s="1"/>
      <c r="AV222" s="1" t="e">
        <f>VLOOKUP(B222,Tabla467824[[ID CAE2]:[AE '[kWh']]],6,FALSE)</f>
        <v>#N/A</v>
      </c>
      <c r="AW22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3" spans="1:49" ht="15.75" hidden="1" thickBot="1" x14ac:dyDescent="0.3">
      <c r="A223" t="s">
        <v>1360</v>
      </c>
      <c r="B223" t="e">
        <f>VLOOKUP(A223,Tabla46782[ID CAE],1,FALSE)</f>
        <v>#N/A</v>
      </c>
      <c r="C223" s="31" t="s">
        <v>1361</v>
      </c>
      <c r="D223" s="31"/>
      <c r="E223" s="31"/>
      <c r="F223" s="31"/>
      <c r="G223" s="31"/>
      <c r="H223" s="31"/>
      <c r="I223" s="31"/>
      <c r="J223" s="31"/>
      <c r="K223" s="31" t="s">
        <v>73</v>
      </c>
      <c r="L223" s="31" t="s">
        <v>74</v>
      </c>
      <c r="M223" s="31" t="s">
        <v>75</v>
      </c>
      <c r="N223" s="31" t="s">
        <v>76</v>
      </c>
      <c r="O223" s="31" t="e">
        <f>VLOOKUP(Tabla1[[#This Row],[Matricula]],BAJA2022202320242025!$B$3:$CR$245,93,FALSE)</f>
        <v>#N/A</v>
      </c>
      <c r="P223" s="32">
        <v>44701</v>
      </c>
      <c r="Q223" s="32" t="e">
        <f>Tabla1[[#This Row],[F.Vig.Final]]-Tabla1[[#This Row],[f Vig Inicio]]</f>
        <v>#N/A</v>
      </c>
      <c r="R223" s="32">
        <f>YEAR(Tabla1[[#This Row],[F.Vig.Final]])</f>
        <v>2022</v>
      </c>
      <c r="S223" s="31" t="s">
        <v>77</v>
      </c>
      <c r="T223" s="31" t="s">
        <v>78</v>
      </c>
      <c r="U223" s="31" t="s">
        <v>1362</v>
      </c>
      <c r="V223" s="31" t="s">
        <v>1363</v>
      </c>
      <c r="W223" s="31" t="s">
        <v>336</v>
      </c>
      <c r="X223" s="31" t="s">
        <v>337</v>
      </c>
      <c r="Y223" s="31" t="s">
        <v>1364</v>
      </c>
      <c r="Z223" s="16">
        <f>COUNTIF($X$3:X223, X223)</f>
        <v>17</v>
      </c>
      <c r="AA223" s="16" t="e">
        <v>#N/A</v>
      </c>
      <c r="AB223" s="16" t="e">
        <v>#N/A</v>
      </c>
      <c r="AC223" s="16" t="e">
        <v>#N/A</v>
      </c>
      <c r="AD223" s="16" t="e">
        <v>#N/A</v>
      </c>
      <c r="AE223" s="16" t="e">
        <v>#N/A</v>
      </c>
      <c r="AF223" s="17" t="e">
        <v>#N/A</v>
      </c>
      <c r="AG223" s="17" t="e">
        <v>#N/A</v>
      </c>
      <c r="AH223" s="17" t="e">
        <f>Tabla1[[#This Row],[Renov. Flota]]-Tabla1[[#This Row],[Año]]</f>
        <v>#N/A</v>
      </c>
      <c r="AI223" s="18" t="e">
        <v>#N/A</v>
      </c>
      <c r="AJ223" s="18" t="e">
        <f>VLOOKUP(Tabla1[[#This Row],[Matricula nueva]],'ALTA 20242025'!$B$2:$P$242,15,FALSE)</f>
        <v>#N/A</v>
      </c>
      <c r="AK223" s="19" t="e">
        <v>#N/A</v>
      </c>
      <c r="AN223" s="1"/>
      <c r="AO223" s="1" t="e">
        <f>VLOOKUP(Tabla1[[#This Row],[Matricula nueva]],Hoja2!$A$1:$B$224,2,FALSE)</f>
        <v>#N/A</v>
      </c>
      <c r="AP223" s="1" t="str">
        <f>IF(Tabla1[[#This Row],[Columna2]]="M1",5.1,"")</f>
        <v/>
      </c>
      <c r="AQ223" s="1"/>
      <c r="AR223" s="1"/>
      <c r="AS223" s="47">
        <f>IF(Tabla1[[#This Row],[Columna2]]="M1",13073,IF(Tabla1[[#This Row],[Columna2]]="N1",15815,IF(Tabla1[[#This Row],[Columna2]]="L3e",2831,53508)))</f>
        <v>53508</v>
      </c>
      <c r="AT223" s="47" t="e">
        <f>(Tabla1[[#This Row],[CVA]]*Tabla1[[#This Row],[F]]-Tabla1[[#This Row],[CVN]])/100*Tabla1[[#This Row],[L]]</f>
        <v>#VALUE!</v>
      </c>
      <c r="AU223" s="1"/>
      <c r="AV223" s="1" t="e">
        <f>VLOOKUP(B223,Tabla467824[[ID CAE2]:[AE '[kWh']]],6,FALSE)</f>
        <v>#N/A</v>
      </c>
      <c r="AW22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4" spans="1:49" ht="15.75" hidden="1" thickBot="1" x14ac:dyDescent="0.3">
      <c r="A224" t="s">
        <v>1365</v>
      </c>
      <c r="B224" t="e">
        <f>VLOOKUP(A224,Tabla46782[ID CAE],1,FALSE)</f>
        <v>#N/A</v>
      </c>
      <c r="C224" s="31" t="s">
        <v>1366</v>
      </c>
      <c r="D224" s="31"/>
      <c r="E224" s="31"/>
      <c r="F224" s="31"/>
      <c r="G224" s="31"/>
      <c r="H224" s="31"/>
      <c r="I224" s="31"/>
      <c r="J224" s="31"/>
      <c r="K224" s="31" t="s">
        <v>73</v>
      </c>
      <c r="L224" s="31" t="s">
        <v>172</v>
      </c>
      <c r="M224" s="31" t="s">
        <v>1127</v>
      </c>
      <c r="N224" s="31" t="s">
        <v>76</v>
      </c>
      <c r="O224" s="31" t="e">
        <f>VLOOKUP(Tabla1[[#This Row],[Matricula]],BAJA2022202320242025!$B$3:$CR$245,93,FALSE)</f>
        <v>#N/A</v>
      </c>
      <c r="P224" s="32">
        <v>44765</v>
      </c>
      <c r="Q224" s="32" t="e">
        <f>Tabla1[[#This Row],[F.Vig.Final]]-Tabla1[[#This Row],[f Vig Inicio]]</f>
        <v>#N/A</v>
      </c>
      <c r="R224" s="32">
        <f>YEAR(Tabla1[[#This Row],[F.Vig.Final]])</f>
        <v>2022</v>
      </c>
      <c r="S224" s="31" t="s">
        <v>77</v>
      </c>
      <c r="T224" s="31" t="s">
        <v>78</v>
      </c>
      <c r="U224" s="31" t="s">
        <v>1362</v>
      </c>
      <c r="V224" s="31" t="s">
        <v>1367</v>
      </c>
      <c r="W224" s="31" t="s">
        <v>215</v>
      </c>
      <c r="X224" s="31" t="s">
        <v>216</v>
      </c>
      <c r="Y224" s="31" t="s">
        <v>217</v>
      </c>
      <c r="Z224" s="16">
        <f>COUNTIF($X$3:X224, X224)</f>
        <v>4</v>
      </c>
      <c r="AA224" s="16" t="e">
        <v>#N/A</v>
      </c>
      <c r="AB224" s="16" t="e">
        <v>#N/A</v>
      </c>
      <c r="AC224" s="16" t="e">
        <v>#N/A</v>
      </c>
      <c r="AD224" s="16" t="e">
        <v>#N/A</v>
      </c>
      <c r="AE224" s="16" t="e">
        <v>#N/A</v>
      </c>
      <c r="AF224" s="17" t="e">
        <v>#N/A</v>
      </c>
      <c r="AG224" s="17" t="e">
        <v>#N/A</v>
      </c>
      <c r="AH224" s="17" t="e">
        <f>Tabla1[[#This Row],[Renov. Flota]]-Tabla1[[#This Row],[Año]]</f>
        <v>#N/A</v>
      </c>
      <c r="AI224" s="18" t="e">
        <v>#N/A</v>
      </c>
      <c r="AJ224" s="18" t="e">
        <f>VLOOKUP(Tabla1[[#This Row],[Matricula nueva]],'ALTA 20242025'!$B$2:$P$242,15,FALSE)</f>
        <v>#N/A</v>
      </c>
      <c r="AK224" s="19" t="e">
        <v>#N/A</v>
      </c>
      <c r="AN224" s="1"/>
      <c r="AO224" s="1" t="e">
        <f>VLOOKUP(Tabla1[[#This Row],[Matricula nueva]],Hoja2!$A$1:$B$224,2,FALSE)</f>
        <v>#N/A</v>
      </c>
      <c r="AP224" s="1" t="str">
        <f>IF(Tabla1[[#This Row],[Columna2]]="M1",5.1,"")</f>
        <v/>
      </c>
      <c r="AQ224" s="1"/>
      <c r="AR224" s="1"/>
      <c r="AS224" s="47">
        <f>IF(Tabla1[[#This Row],[Columna2]]="M1",13073,IF(Tabla1[[#This Row],[Columna2]]="N1",15815,IF(Tabla1[[#This Row],[Columna2]]="L3e",2831,53508)))</f>
        <v>53508</v>
      </c>
      <c r="AT224" s="47" t="e">
        <f>(Tabla1[[#This Row],[CVA]]*Tabla1[[#This Row],[F]]-Tabla1[[#This Row],[CVN]])/100*Tabla1[[#This Row],[L]]</f>
        <v>#VALUE!</v>
      </c>
      <c r="AU224" s="1"/>
      <c r="AV224" s="1" t="e">
        <f>VLOOKUP(B224,Tabla467824[[ID CAE2]:[AE '[kWh']]],6,FALSE)</f>
        <v>#N/A</v>
      </c>
      <c r="AW22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5" spans="1:49" ht="15.75" hidden="1" thickBot="1" x14ac:dyDescent="0.3">
      <c r="A225" t="s">
        <v>1368</v>
      </c>
      <c r="B225" t="e">
        <f>VLOOKUP(A225,Tabla46782[ID CAE],1,FALSE)</f>
        <v>#N/A</v>
      </c>
      <c r="C225" s="31" t="s">
        <v>1369</v>
      </c>
      <c r="D225" s="31"/>
      <c r="E225" s="31"/>
      <c r="F225" s="31"/>
      <c r="G225" s="31"/>
      <c r="H225" s="31"/>
      <c r="I225" s="31"/>
      <c r="J225" s="31"/>
      <c r="K225" s="31" t="s">
        <v>129</v>
      </c>
      <c r="L225" s="31" t="s">
        <v>200</v>
      </c>
      <c r="M225" s="31" t="s">
        <v>201</v>
      </c>
      <c r="N225" s="31" t="s">
        <v>76</v>
      </c>
      <c r="O225" s="31" t="e">
        <f>VLOOKUP(Tabla1[[#This Row],[Matricula]],BAJA2022202320242025!$B$3:$CR$245,93,FALSE)</f>
        <v>#N/A</v>
      </c>
      <c r="P225" s="32">
        <v>44922</v>
      </c>
      <c r="Q225" s="32" t="e">
        <f>Tabla1[[#This Row],[F.Vig.Final]]-Tabla1[[#This Row],[f Vig Inicio]]</f>
        <v>#N/A</v>
      </c>
      <c r="R225" s="32">
        <f>YEAR(Tabla1[[#This Row],[F.Vig.Final]])</f>
        <v>2022</v>
      </c>
      <c r="S225" s="31" t="s">
        <v>77</v>
      </c>
      <c r="T225" s="31" t="s">
        <v>78</v>
      </c>
      <c r="U225" s="31" t="s">
        <v>380</v>
      </c>
      <c r="V225" s="31" t="s">
        <v>1370</v>
      </c>
      <c r="W225" s="31" t="s">
        <v>131</v>
      </c>
      <c r="X225" s="31" t="s">
        <v>132</v>
      </c>
      <c r="Y225" s="31" t="s">
        <v>133</v>
      </c>
      <c r="Z225" s="16">
        <f>COUNTIF($X$3:X225, X225)</f>
        <v>21</v>
      </c>
      <c r="AA225" s="16" t="e">
        <v>#N/A</v>
      </c>
      <c r="AB225" s="16" t="e">
        <v>#N/A</v>
      </c>
      <c r="AC225" s="16" t="e">
        <v>#N/A</v>
      </c>
      <c r="AD225" s="16" t="e">
        <v>#N/A</v>
      </c>
      <c r="AE225" s="16" t="e">
        <v>#N/A</v>
      </c>
      <c r="AF225" s="17" t="e">
        <v>#N/A</v>
      </c>
      <c r="AG225" s="17" t="e">
        <v>#N/A</v>
      </c>
      <c r="AH225" s="17" t="e">
        <f>Tabla1[[#This Row],[Renov. Flota]]-Tabla1[[#This Row],[Año]]</f>
        <v>#N/A</v>
      </c>
      <c r="AI225" s="18" t="e">
        <v>#N/A</v>
      </c>
      <c r="AJ225" s="18" t="e">
        <f>VLOOKUP(Tabla1[[#This Row],[Matricula nueva]],'ALTA 20242025'!$B$2:$P$242,15,FALSE)</f>
        <v>#N/A</v>
      </c>
      <c r="AK225" s="19" t="e">
        <v>#N/A</v>
      </c>
      <c r="AN225" s="1"/>
      <c r="AO225" s="1" t="e">
        <f>VLOOKUP(Tabla1[[#This Row],[Matricula nueva]],Hoja2!$A$1:$B$224,2,FALSE)</f>
        <v>#N/A</v>
      </c>
      <c r="AP225" s="1" t="str">
        <f>IF(Tabla1[[#This Row],[Columna2]]="M1",5.1,"")</f>
        <v/>
      </c>
      <c r="AQ225" s="1"/>
      <c r="AR225" s="1"/>
      <c r="AS225" s="47">
        <f>IF(Tabla1[[#This Row],[Columna2]]="M1",13073,IF(Tabla1[[#This Row],[Columna2]]="N1",15815,IF(Tabla1[[#This Row],[Columna2]]="L3e",2831,53508)))</f>
        <v>53508</v>
      </c>
      <c r="AT225" s="47" t="e">
        <f>(Tabla1[[#This Row],[CVA]]*Tabla1[[#This Row],[F]]-Tabla1[[#This Row],[CVN]])/100*Tabla1[[#This Row],[L]]</f>
        <v>#VALUE!</v>
      </c>
      <c r="AU225" s="1"/>
      <c r="AV225" s="1" t="e">
        <f>VLOOKUP(B225,Tabla467824[[ID CAE2]:[AE '[kWh']]],6,FALSE)</f>
        <v>#N/A</v>
      </c>
      <c r="AW22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6" spans="1:49" ht="15.75" hidden="1" thickBot="1" x14ac:dyDescent="0.3">
      <c r="A226" t="s">
        <v>1371</v>
      </c>
      <c r="B226" t="e">
        <f>VLOOKUP(A226,Tabla46782[ID CAE],1,FALSE)</f>
        <v>#N/A</v>
      </c>
      <c r="C226" s="31" t="s">
        <v>1372</v>
      </c>
      <c r="D226" s="31"/>
      <c r="E226" s="31"/>
      <c r="F226" s="31"/>
      <c r="G226" s="31"/>
      <c r="H226" s="31"/>
      <c r="I226" s="31"/>
      <c r="J226" s="31"/>
      <c r="K226" s="31" t="s">
        <v>73</v>
      </c>
      <c r="L226" s="31" t="s">
        <v>200</v>
      </c>
      <c r="M226" s="31" t="s">
        <v>201</v>
      </c>
      <c r="N226" s="31" t="s">
        <v>76</v>
      </c>
      <c r="O226" s="31" t="e">
        <f>VLOOKUP(Tabla1[[#This Row],[Matricula]],BAJA2022202320242025!$B$3:$CR$245,93,FALSE)</f>
        <v>#N/A</v>
      </c>
      <c r="P226" s="32">
        <v>44641</v>
      </c>
      <c r="Q226" s="32" t="e">
        <f>Tabla1[[#This Row],[F.Vig.Final]]-Tabla1[[#This Row],[f Vig Inicio]]</f>
        <v>#N/A</v>
      </c>
      <c r="R226" s="32">
        <f>YEAR(Tabla1[[#This Row],[F.Vig.Final]])</f>
        <v>2022</v>
      </c>
      <c r="S226" s="31" t="s">
        <v>77</v>
      </c>
      <c r="T226" s="31" t="s">
        <v>78</v>
      </c>
      <c r="U226" s="31" t="s">
        <v>359</v>
      </c>
      <c r="V226" s="31" t="s">
        <v>604</v>
      </c>
      <c r="W226" s="31" t="s">
        <v>1373</v>
      </c>
      <c r="X226" s="31" t="s">
        <v>1374</v>
      </c>
      <c r="Y226" s="31" t="s">
        <v>1375</v>
      </c>
      <c r="Z226" s="48">
        <f>COUNTIF($X$3:X226, X226)</f>
        <v>1</v>
      </c>
      <c r="AA226" s="48" t="e">
        <v>#N/A</v>
      </c>
      <c r="AB226" s="48" t="e">
        <v>#N/A</v>
      </c>
      <c r="AC226" s="48" t="e">
        <v>#N/A</v>
      </c>
      <c r="AD226" s="48" t="e">
        <v>#N/A</v>
      </c>
      <c r="AE226" s="16" t="e">
        <v>#N/A</v>
      </c>
      <c r="AF226" s="22" t="e">
        <v>#N/A</v>
      </c>
      <c r="AG226" s="22" t="e">
        <v>#N/A</v>
      </c>
      <c r="AH226" s="22" t="e">
        <f>Tabla1[[#This Row],[Renov. Flota]]-Tabla1[[#This Row],[Año]]</f>
        <v>#N/A</v>
      </c>
      <c r="AI226" s="49" t="e">
        <v>#N/A</v>
      </c>
      <c r="AJ226" s="49" t="e">
        <f>VLOOKUP(Tabla1[[#This Row],[Matricula nueva]],'ALTA 20242025'!$B$2:$P$242,15,FALSE)</f>
        <v>#N/A</v>
      </c>
      <c r="AK226" s="50" t="e">
        <v>#N/A</v>
      </c>
      <c r="AN226" s="1"/>
      <c r="AO226" s="1" t="e">
        <f>VLOOKUP(Tabla1[[#This Row],[Matricula nueva]],Hoja2!$A$1:$B$224,2,FALSE)</f>
        <v>#N/A</v>
      </c>
      <c r="AP226" s="1" t="str">
        <f>IF(Tabla1[[#This Row],[Columna2]]="M1",5.1,"")</f>
        <v/>
      </c>
      <c r="AQ226" s="1"/>
      <c r="AR226" s="1"/>
      <c r="AS226" s="47">
        <f>IF(Tabla1[[#This Row],[Columna2]]="M1",13073,IF(Tabla1[[#This Row],[Columna2]]="N1",15815,IF(Tabla1[[#This Row],[Columna2]]="L3e",2831,53508)))</f>
        <v>53508</v>
      </c>
      <c r="AT226" s="47" t="e">
        <f>(Tabla1[[#This Row],[CVA]]*Tabla1[[#This Row],[F]]-Tabla1[[#This Row],[CVN]])/100*Tabla1[[#This Row],[L]]</f>
        <v>#VALUE!</v>
      </c>
      <c r="AU226" s="1"/>
      <c r="AV226" s="1" t="e">
        <f>VLOOKUP(B226,Tabla467824[[ID CAE2]:[AE '[kWh']]],6,FALSE)</f>
        <v>#N/A</v>
      </c>
      <c r="AW22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7" spans="1:49" ht="15" x14ac:dyDescent="0.25">
      <c r="A227" s="114" t="s">
        <v>1376</v>
      </c>
      <c r="B227" t="e">
        <f>VLOOKUP(A227,Tabla46782[ID CAE],1,FALSE)</f>
        <v>#N/A</v>
      </c>
      <c r="C227" s="113" t="s">
        <v>1377</v>
      </c>
      <c r="D227" s="104"/>
      <c r="E227" s="104"/>
      <c r="F227" s="104"/>
      <c r="G227" s="104" t="s">
        <v>72</v>
      </c>
      <c r="H227" s="104"/>
      <c r="I227" s="104" t="s">
        <v>72</v>
      </c>
      <c r="J227" s="104"/>
      <c r="K227" s="96" t="s">
        <v>158</v>
      </c>
      <c r="L227" s="96" t="s">
        <v>159</v>
      </c>
      <c r="M227" s="96" t="s">
        <v>158</v>
      </c>
      <c r="N227" s="96" t="s">
        <v>171</v>
      </c>
      <c r="O227" s="99">
        <f>VLOOKUP(Tabla1[[#This Row],[Matricula]],BAJA2022202320242025!$B$3:$CR$245,93,FALSE)</f>
        <v>41393</v>
      </c>
      <c r="P227" s="97">
        <v>45124</v>
      </c>
      <c r="Q227" s="162">
        <f>Tabla1[[#This Row],[F.Vig.Final]]-Tabla1[[#This Row],[f Vig Inicio]]</f>
        <v>3731</v>
      </c>
      <c r="R227" s="141">
        <f>YEAR(Tabla1[[#This Row],[F.Vig.Final]])</f>
        <v>2023</v>
      </c>
      <c r="S227" s="96" t="s">
        <v>172</v>
      </c>
      <c r="T227" s="96" t="s">
        <v>78</v>
      </c>
      <c r="U227" s="96" t="s">
        <v>1185</v>
      </c>
      <c r="V227" s="96" t="s">
        <v>1378</v>
      </c>
      <c r="W227" s="96" t="s">
        <v>1050</v>
      </c>
      <c r="X227" s="96" t="s">
        <v>1051</v>
      </c>
      <c r="Y227" s="96" t="s">
        <v>1052</v>
      </c>
      <c r="Z227" s="98">
        <f>COUNTIF($X$3:X227, X227)</f>
        <v>9</v>
      </c>
      <c r="AA227" s="98" t="s">
        <v>1379</v>
      </c>
      <c r="AB227" s="98" t="s">
        <v>85</v>
      </c>
      <c r="AC227" s="98" t="s">
        <v>86</v>
      </c>
      <c r="AD227" s="98" t="s">
        <v>87</v>
      </c>
      <c r="AE227" s="151" t="s">
        <v>1054</v>
      </c>
      <c r="AF227" s="87" t="s">
        <v>547</v>
      </c>
      <c r="AG227" s="99">
        <v>45671</v>
      </c>
      <c r="AH227" s="98">
        <f>Tabla1[[#This Row],[Renov. Flota]]-Tabla1[[#This Row],[Año]]</f>
        <v>2</v>
      </c>
      <c r="AI227" s="100" t="s">
        <v>1050</v>
      </c>
      <c r="AJ227" s="100" t="str">
        <f>VLOOKUP(Tabla1[[#This Row],[Matricula nueva]],'ALTA 20242025'!$B$2:$P$242,15,FALSE)</f>
        <v>4500426764</v>
      </c>
      <c r="AK227" s="101" t="s">
        <v>1051</v>
      </c>
      <c r="AM227" s="1" t="s">
        <v>72</v>
      </c>
      <c r="AN227" s="1" t="s">
        <v>1056</v>
      </c>
      <c r="AO227" s="1" t="str">
        <f>VLOOKUP(Tabla1[[#This Row],[Matricula nueva]],Hoja2!$A$1:$B$224,2,FALSE)</f>
        <v>VF1RFK00973824880</v>
      </c>
      <c r="AP227" s="90">
        <v>35</v>
      </c>
      <c r="AQ227" s="66">
        <f>IF(T227="DIESEL",10,IF(T227="GLP",7.16,9.19))</f>
        <v>10</v>
      </c>
      <c r="AR227" s="67">
        <v>17.3</v>
      </c>
      <c r="AS227" s="68">
        <f>IF(Tabla1[[#This Row],[Columna2]]="M1",13073,IF(Tabla1[[#This Row],[Columna2]]="N1",15815,IF(Tabla1[[#This Row],[Columna2]]="L3e",2831,53508)))</f>
        <v>53508</v>
      </c>
      <c r="AT227" s="68">
        <f>(Tabla1[[#This Row],[CVA]]*Tabla1[[#This Row],[F]]-Tabla1[[#This Row],[CVN]])/100*Tabla1[[#This Row],[L]]</f>
        <v>178021.11600000001</v>
      </c>
      <c r="AU227" s="69" t="s">
        <v>516</v>
      </c>
      <c r="AV227" s="294">
        <v>0</v>
      </c>
      <c r="AW22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28" spans="1:49" ht="15.75" thickBot="1" x14ac:dyDescent="0.3">
      <c r="A228" s="114" t="s">
        <v>1380</v>
      </c>
      <c r="B228" t="e">
        <f>VLOOKUP(A228,Tabla46782[ID CAE],1,FALSE)</f>
        <v>#N/A</v>
      </c>
      <c r="C228" s="149" t="s">
        <v>1381</v>
      </c>
      <c r="D228" s="104"/>
      <c r="E228" s="104"/>
      <c r="F228" s="104"/>
      <c r="G228" s="104"/>
      <c r="H228" s="104"/>
      <c r="I228" s="104"/>
      <c r="J228" s="104"/>
      <c r="K228" s="96" t="s">
        <v>413</v>
      </c>
      <c r="L228" s="96" t="s">
        <v>414</v>
      </c>
      <c r="M228" s="96" t="s">
        <v>415</v>
      </c>
      <c r="N228" s="96" t="s">
        <v>171</v>
      </c>
      <c r="O228" s="101">
        <f>VLOOKUP(Tabla1[[#This Row],[Matricula]],BAJA2022202320242025!$B$3:$CR$245,93,FALSE)</f>
        <v>44562</v>
      </c>
      <c r="P228" s="97">
        <v>45199</v>
      </c>
      <c r="Q228" s="162">
        <f>Tabla1[[#This Row],[F.Vig.Final]]-Tabla1[[#This Row],[f Vig Inicio]]</f>
        <v>637</v>
      </c>
      <c r="R228" s="141">
        <f>YEAR(Tabla1[[#This Row],[F.Vig.Final]])</f>
        <v>2023</v>
      </c>
      <c r="S228" s="96" t="s">
        <v>172</v>
      </c>
      <c r="T228" s="96" t="s">
        <v>71</v>
      </c>
      <c r="U228" s="96" t="s">
        <v>1382</v>
      </c>
      <c r="V228" s="96" t="s">
        <v>1383</v>
      </c>
      <c r="W228" s="96" t="s">
        <v>204</v>
      </c>
      <c r="X228" s="96" t="s">
        <v>205</v>
      </c>
      <c r="Y228" s="96" t="s">
        <v>1081</v>
      </c>
      <c r="Z228" s="98">
        <f>COUNTIF($X$3:X228, X228)</f>
        <v>9</v>
      </c>
      <c r="AA228" s="98" t="s">
        <v>1384</v>
      </c>
      <c r="AB228" s="98" t="s">
        <v>140</v>
      </c>
      <c r="AC228" s="98" t="s">
        <v>151</v>
      </c>
      <c r="AD228" s="98" t="s">
        <v>87</v>
      </c>
      <c r="AE228" s="151" t="s">
        <v>1385</v>
      </c>
      <c r="AF228" s="88" t="s">
        <v>89</v>
      </c>
      <c r="AG228" s="99">
        <v>45637</v>
      </c>
      <c r="AH228" s="98">
        <f>Tabla1[[#This Row],[Renov. Flota]]-Tabla1[[#This Row],[Año]]</f>
        <v>1</v>
      </c>
      <c r="AI228" s="100" t="s">
        <v>204</v>
      </c>
      <c r="AJ228" s="100" t="str">
        <f>VLOOKUP(Tabla1[[#This Row],[Matricula nueva]],'ALTA 20242025'!$B$2:$P$242,15,FALSE)</f>
        <v>4500424895</v>
      </c>
      <c r="AK228" s="101" t="s">
        <v>205</v>
      </c>
      <c r="AM228" s="1" t="s">
        <v>72</v>
      </c>
      <c r="AN228" s="1" t="s">
        <v>91</v>
      </c>
      <c r="AO228" s="1" t="str">
        <f>VLOOKUP(Tabla1[[#This Row],[Matricula nueva]],Hoja2!$A$1:$B$224,2,FALSE)</f>
        <v>VR7CBZYAXRT153034</v>
      </c>
      <c r="AP228" s="91">
        <v>2.9</v>
      </c>
      <c r="AQ228" s="76">
        <f>IF(T228="DIESEL",10,IF(T228="GLP",7.16,9.19))</f>
        <v>9.19</v>
      </c>
      <c r="AR228" s="77">
        <v>16.399999999999999</v>
      </c>
      <c r="AS228" s="78">
        <f>IF(Tabla1[[#This Row],[Columna2]]="M1",13073,IF(Tabla1[[#This Row],[Columna2]]="N1",15815,IF(Tabla1[[#This Row],[Columna2]]="L3e",2831,53508)))</f>
        <v>2831</v>
      </c>
      <c r="AT228" s="78">
        <f>(Tabla1[[#This Row],[CVA]]*Tabla1[[#This Row],[F]]-Tabla1[[#This Row],[CVN]])/100*Tabla1[[#This Row],[L]]</f>
        <v>290.20580999999993</v>
      </c>
      <c r="AU228" s="79" t="s">
        <v>157</v>
      </c>
      <c r="AV228" s="294">
        <v>0</v>
      </c>
      <c r="AW22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29" spans="1:49" ht="15.75" hidden="1" thickBot="1" x14ac:dyDescent="0.3">
      <c r="B229" t="e">
        <f>VLOOKUP(A229,Tabla46782[ID CAE],1,FALSE)</f>
        <v>#N/A</v>
      </c>
      <c r="C229" s="33" t="s">
        <v>1386</v>
      </c>
      <c r="D229" s="33"/>
      <c r="E229" s="33"/>
      <c r="F229" s="33"/>
      <c r="G229" s="33"/>
      <c r="H229" s="33"/>
      <c r="I229" s="33"/>
      <c r="J229" s="33"/>
      <c r="K229" s="33" t="s">
        <v>73</v>
      </c>
      <c r="L229" s="33" t="s">
        <v>200</v>
      </c>
      <c r="M229" s="33" t="s">
        <v>201</v>
      </c>
      <c r="N229" s="33" t="s">
        <v>76</v>
      </c>
      <c r="O229" s="1">
        <f>VLOOKUP(Tabla1[[#This Row],[Matricula]],BAJA2022202320242025!$B$3:$CR$245,93,FALSE)</f>
        <v>43860</v>
      </c>
      <c r="P229" s="34">
        <v>45687</v>
      </c>
      <c r="Q229" s="34">
        <f>Tabla1[[#This Row],[F.Vig.Final]]-Tabla1[[#This Row],[f Vig Inicio]]</f>
        <v>1827</v>
      </c>
      <c r="R229" s="34">
        <f>YEAR(Tabla1[[#This Row],[F.Vig.Final]])</f>
        <v>2025</v>
      </c>
      <c r="S229" s="33" t="s">
        <v>77</v>
      </c>
      <c r="T229" s="33" t="s">
        <v>78</v>
      </c>
      <c r="U229" s="33" t="s">
        <v>359</v>
      </c>
      <c r="V229" s="33" t="s">
        <v>1387</v>
      </c>
      <c r="W229" s="33" t="s">
        <v>119</v>
      </c>
      <c r="X229" s="33" t="s">
        <v>120</v>
      </c>
      <c r="Y229" s="33" t="s">
        <v>770</v>
      </c>
      <c r="Z229" s="93">
        <f>COUNTIF($X$3:X229, X229)</f>
        <v>28</v>
      </c>
      <c r="AA229" s="93" t="e">
        <v>#N/A</v>
      </c>
      <c r="AB229" s="93" t="e">
        <v>#N/A</v>
      </c>
      <c r="AC229" s="93" t="e">
        <v>#N/A</v>
      </c>
      <c r="AD229" s="93" t="e">
        <v>#N/A</v>
      </c>
      <c r="AE229" s="16" t="e">
        <v>#N/A</v>
      </c>
      <c r="AF229" s="21" t="e">
        <v>#N/A</v>
      </c>
      <c r="AG229" s="21" t="e">
        <v>#N/A</v>
      </c>
      <c r="AH229" s="21" t="e">
        <f>Tabla1[[#This Row],[Renov. Flota]]-Tabla1[[#This Row],[Año]]</f>
        <v>#N/A</v>
      </c>
      <c r="AI229" s="94" t="e">
        <v>#N/A</v>
      </c>
      <c r="AJ229" s="94" t="e">
        <f>VLOOKUP(Tabla1[[#This Row],[Matricula nueva]],'ALTA 20242025'!$B$2:$P$242,15,FALSE)</f>
        <v>#N/A</v>
      </c>
      <c r="AK229" s="95" t="e">
        <v>#N/A</v>
      </c>
      <c r="AN229" s="1"/>
      <c r="AO229" s="1" t="e">
        <f>VLOOKUP(Tabla1[[#This Row],[Matricula nueva]],Hoja2!$A$1:$B$224,2,FALSE)</f>
        <v>#N/A</v>
      </c>
      <c r="AP229" s="1" t="str">
        <f>IF(Tabla1[[#This Row],[Columna2]]="M1",5.1,"")</f>
        <v/>
      </c>
      <c r="AQ229" s="1"/>
      <c r="AR229" s="1"/>
      <c r="AS229" s="47">
        <f>IF(Tabla1[[#This Row],[Columna2]]="M1",13073,IF(Tabla1[[#This Row],[Columna2]]="N1",15815,IF(Tabla1[[#This Row],[Columna2]]="L3e",2831,53508)))</f>
        <v>53508</v>
      </c>
      <c r="AT229" s="47" t="e">
        <f>(Tabla1[[#This Row],[CVA]]*Tabla1[[#This Row],[F]]-Tabla1[[#This Row],[CVN]])/100*Tabla1[[#This Row],[L]]</f>
        <v>#VALUE!</v>
      </c>
      <c r="AU229" s="1"/>
      <c r="AV229" s="1" t="e">
        <f>VLOOKUP(B229,Tabla467824[[ID CAE2]:[AE '[kWh']]],6,FALSE)</f>
        <v>#N/A</v>
      </c>
      <c r="AW22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30" spans="1:49" ht="15.75" hidden="1" thickBot="1" x14ac:dyDescent="0.3">
      <c r="B230" t="e">
        <f>VLOOKUP(A230,Tabla46782[ID CAE],1,FALSE)</f>
        <v>#N/A</v>
      </c>
      <c r="C230" s="31" t="s">
        <v>1388</v>
      </c>
      <c r="D230" s="31"/>
      <c r="E230" s="31"/>
      <c r="F230" s="31"/>
      <c r="G230" s="31"/>
      <c r="H230" s="31"/>
      <c r="I230" s="31"/>
      <c r="J230" s="31"/>
      <c r="K230" s="31" t="s">
        <v>129</v>
      </c>
      <c r="L230" s="31" t="s">
        <v>74</v>
      </c>
      <c r="M230" s="31" t="s">
        <v>75</v>
      </c>
      <c r="N230" s="31" t="s">
        <v>76</v>
      </c>
      <c r="O230" s="31" t="e">
        <f>VLOOKUP(Tabla1[[#This Row],[Matricula]],BAJA2022202320242025!$B$3:$CR$245,93,FALSE)</f>
        <v>#N/A</v>
      </c>
      <c r="P230" s="32">
        <v>44634</v>
      </c>
      <c r="Q230" s="32" t="e">
        <f>Tabla1[[#This Row],[F.Vig.Final]]-Tabla1[[#This Row],[f Vig Inicio]]</f>
        <v>#N/A</v>
      </c>
      <c r="R230" s="32">
        <f>YEAR(Tabla1[[#This Row],[F.Vig.Final]])</f>
        <v>2022</v>
      </c>
      <c r="S230" s="31" t="s">
        <v>77</v>
      </c>
      <c r="T230" s="31" t="s">
        <v>78</v>
      </c>
      <c r="U230" s="31" t="s">
        <v>380</v>
      </c>
      <c r="V230" s="31" t="s">
        <v>1389</v>
      </c>
      <c r="W230" s="31" t="s">
        <v>131</v>
      </c>
      <c r="X230" s="31" t="s">
        <v>132</v>
      </c>
      <c r="Y230" s="31" t="s">
        <v>1390</v>
      </c>
      <c r="Z230" s="16">
        <f>COUNTIF($X$3:X230, X230)</f>
        <v>22</v>
      </c>
      <c r="AA230" s="16" t="e">
        <v>#N/A</v>
      </c>
      <c r="AB230" s="16" t="e">
        <v>#N/A</v>
      </c>
      <c r="AC230" s="16" t="e">
        <v>#N/A</v>
      </c>
      <c r="AD230" s="16" t="e">
        <v>#N/A</v>
      </c>
      <c r="AE230" s="16" t="e">
        <v>#N/A</v>
      </c>
      <c r="AF230" s="22" t="e">
        <v>#N/A</v>
      </c>
      <c r="AG230" s="17" t="e">
        <v>#N/A</v>
      </c>
      <c r="AH230" s="17" t="e">
        <f>Tabla1[[#This Row],[Renov. Flota]]-Tabla1[[#This Row],[Año]]</f>
        <v>#N/A</v>
      </c>
      <c r="AI230" s="18" t="e">
        <v>#N/A</v>
      </c>
      <c r="AJ230" s="18" t="e">
        <f>VLOOKUP(Tabla1[[#This Row],[Matricula nueva]],'ALTA 20242025'!$B$2:$P$242,15,FALSE)</f>
        <v>#N/A</v>
      </c>
      <c r="AK230" s="19" t="e">
        <v>#N/A</v>
      </c>
      <c r="AN230" s="1"/>
      <c r="AO230" s="1" t="e">
        <f>VLOOKUP(Tabla1[[#This Row],[Matricula nueva]],Hoja2!$A$1:$B$224,2,FALSE)</f>
        <v>#N/A</v>
      </c>
      <c r="AP230" s="1" t="str">
        <f>IF(Tabla1[[#This Row],[Columna2]]="M1",5.1,"")</f>
        <v/>
      </c>
      <c r="AQ230" s="1"/>
      <c r="AR230" s="1"/>
      <c r="AS230" s="47">
        <f>IF(Tabla1[[#This Row],[Columna2]]="M1",13073,IF(Tabla1[[#This Row],[Columna2]]="N1",15815,IF(Tabla1[[#This Row],[Columna2]]="L3e",2831,53508)))</f>
        <v>53508</v>
      </c>
      <c r="AT230" s="47" t="e">
        <f>(Tabla1[[#This Row],[CVA]]*Tabla1[[#This Row],[F]]-Tabla1[[#This Row],[CVN]])/100*Tabla1[[#This Row],[L]]</f>
        <v>#VALUE!</v>
      </c>
      <c r="AU230" s="1"/>
      <c r="AV230" s="1" t="e">
        <f>VLOOKUP(B230,Tabla467824[[ID CAE2]:[AE '[kWh']]],6,FALSE)</f>
        <v>#N/A</v>
      </c>
      <c r="AW23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31" spans="1:49" ht="15.75" hidden="1" thickBot="1" x14ac:dyDescent="0.3">
      <c r="B231" t="e">
        <f>VLOOKUP(A231,Tabla46782[ID CAE],1,FALSE)</f>
        <v>#N/A</v>
      </c>
      <c r="C231" s="33" t="s">
        <v>1391</v>
      </c>
      <c r="D231" s="33"/>
      <c r="E231" s="33"/>
      <c r="F231" s="33"/>
      <c r="G231" s="33"/>
      <c r="H231" s="33"/>
      <c r="I231" s="33"/>
      <c r="J231" s="33"/>
      <c r="K231" s="33" t="s">
        <v>158</v>
      </c>
      <c r="L231" s="33" t="s">
        <v>159</v>
      </c>
      <c r="M231" s="33" t="s">
        <v>158</v>
      </c>
      <c r="N231" s="33" t="s">
        <v>171</v>
      </c>
      <c r="O231" s="1">
        <f>VLOOKUP(Tabla1[[#This Row],[Matricula]],BAJA2022202320242025!$B$3:$CR$245,93,FALSE)</f>
        <v>44136</v>
      </c>
      <c r="P231" s="30">
        <v>45016</v>
      </c>
      <c r="Q231" s="140">
        <f>Tabla1[[#This Row],[F.Vig.Final]]-Tabla1[[#This Row],[f Vig Inicio]]</f>
        <v>880</v>
      </c>
      <c r="R231" s="140">
        <f>YEAR(Tabla1[[#This Row],[F.Vig.Final]])</f>
        <v>2023</v>
      </c>
      <c r="S231" s="33" t="s">
        <v>172</v>
      </c>
      <c r="T231" s="33" t="s">
        <v>78</v>
      </c>
      <c r="U231" s="33" t="s">
        <v>1338</v>
      </c>
      <c r="V231" s="33" t="s">
        <v>1338</v>
      </c>
      <c r="W231" s="33" t="s">
        <v>131</v>
      </c>
      <c r="X231" s="33" t="s">
        <v>132</v>
      </c>
      <c r="Y231" s="33" t="s">
        <v>610</v>
      </c>
      <c r="Z231" s="16">
        <f>COUNTIF($X$3:X231, X231)</f>
        <v>23</v>
      </c>
      <c r="AA231" s="16" t="s">
        <v>1392</v>
      </c>
      <c r="AB231" s="16" t="s">
        <v>140</v>
      </c>
      <c r="AC231" s="16" t="s">
        <v>151</v>
      </c>
      <c r="AD231" s="16" t="s">
        <v>87</v>
      </c>
      <c r="AE231" s="26" t="s">
        <v>135</v>
      </c>
      <c r="AF231" s="30" t="s">
        <v>89</v>
      </c>
      <c r="AG231" s="27">
        <v>45625</v>
      </c>
      <c r="AH231" s="27">
        <f>Tabla1[[#This Row],[Renov. Flota]]-Tabla1[[#This Row],[Año]]</f>
        <v>1</v>
      </c>
      <c r="AI231" s="18" t="s">
        <v>131</v>
      </c>
      <c r="AJ231" s="18" t="str">
        <f>VLOOKUP(Tabla1[[#This Row],[Matricula nueva]],'ALTA 20242025'!$B$2:$P$242,15,FALSE)</f>
        <v>4500426702</v>
      </c>
      <c r="AK231" s="19" t="s">
        <v>132</v>
      </c>
      <c r="AN231" s="1"/>
      <c r="AO231" s="1" t="str">
        <f>VLOOKUP(Tabla1[[#This Row],[Matricula nueva]],Hoja2!$A$1:$B$224,2,FALSE)</f>
        <v>VR7CBZYA7ST000178</v>
      </c>
      <c r="AP231" s="43" t="str">
        <f>IF(Tabla1[[#This Row],[Columna2]]="M1",5.1,"")</f>
        <v/>
      </c>
      <c r="AQ231" s="44">
        <f>IF(T231="DIESEL",10,IF(T231="GLP",7.16,9.19))</f>
        <v>10</v>
      </c>
      <c r="AR231" s="45">
        <v>16.399999999999999</v>
      </c>
      <c r="AV231" s="43" t="e">
        <f>VLOOKUP(B231,Tabla467824[[ID CAE2]:[AE '[kWh']]],6,FALSE)</f>
        <v>#N/A</v>
      </c>
      <c r="AW23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32" spans="1:49" ht="15.75" hidden="1" thickBot="1" x14ac:dyDescent="0.3">
      <c r="B232" t="e">
        <f>VLOOKUP(A232,Tabla46782[ID CAE],1,FALSE)</f>
        <v>#N/A</v>
      </c>
      <c r="C232" s="31" t="s">
        <v>1393</v>
      </c>
      <c r="D232" s="31"/>
      <c r="E232" s="31"/>
      <c r="F232" s="31"/>
      <c r="G232" s="31"/>
      <c r="H232" s="31"/>
      <c r="I232" s="31"/>
      <c r="J232" s="31"/>
      <c r="K232" s="31" t="s">
        <v>73</v>
      </c>
      <c r="L232" s="31" t="s">
        <v>200</v>
      </c>
      <c r="M232" s="31" t="s">
        <v>201</v>
      </c>
      <c r="N232" s="31" t="s">
        <v>76</v>
      </c>
      <c r="O232" s="31" t="e">
        <f>VLOOKUP(Tabla1[[#This Row],[Matricula]],BAJA2022202320242025!$B$3:$CR$245,93,FALSE)</f>
        <v>#N/A</v>
      </c>
      <c r="P232" s="32">
        <v>44749</v>
      </c>
      <c r="Q232" s="32" t="e">
        <f>Tabla1[[#This Row],[F.Vig.Final]]-Tabla1[[#This Row],[f Vig Inicio]]</f>
        <v>#N/A</v>
      </c>
      <c r="R232" s="32">
        <f>YEAR(Tabla1[[#This Row],[F.Vig.Final]])</f>
        <v>2022</v>
      </c>
      <c r="S232" s="31" t="s">
        <v>77</v>
      </c>
      <c r="T232" s="31" t="s">
        <v>78</v>
      </c>
      <c r="U232" s="31" t="s">
        <v>359</v>
      </c>
      <c r="V232" s="31" t="s">
        <v>604</v>
      </c>
      <c r="W232" s="31" t="s">
        <v>215</v>
      </c>
      <c r="X232" s="31" t="s">
        <v>216</v>
      </c>
      <c r="Y232" s="31" t="s">
        <v>507</v>
      </c>
      <c r="Z232" s="16">
        <f>COUNTIF($X$3:X232, X232)</f>
        <v>5</v>
      </c>
      <c r="AA232" s="16" t="e">
        <v>#N/A</v>
      </c>
      <c r="AB232" s="16" t="e">
        <v>#N/A</v>
      </c>
      <c r="AC232" s="16" t="e">
        <v>#N/A</v>
      </c>
      <c r="AD232" s="16" t="e">
        <v>#N/A</v>
      </c>
      <c r="AE232" s="16" t="e">
        <v>#N/A</v>
      </c>
      <c r="AF232" s="21" t="e">
        <v>#N/A</v>
      </c>
      <c r="AG232" s="17" t="e">
        <v>#N/A</v>
      </c>
      <c r="AH232" s="17" t="e">
        <f>Tabla1[[#This Row],[Renov. Flota]]-Tabla1[[#This Row],[Año]]</f>
        <v>#N/A</v>
      </c>
      <c r="AI232" s="18" t="e">
        <v>#N/A</v>
      </c>
      <c r="AJ232" s="18" t="e">
        <f>VLOOKUP(Tabla1[[#This Row],[Matricula nueva]],'ALTA 20242025'!$B$2:$P$242,15,FALSE)</f>
        <v>#N/A</v>
      </c>
      <c r="AK232" s="19" t="e">
        <v>#N/A</v>
      </c>
      <c r="AN232" s="1"/>
      <c r="AO232" s="1" t="e">
        <f>VLOOKUP(Tabla1[[#This Row],[Matricula nueva]],Hoja2!$A$1:$B$224,2,FALSE)</f>
        <v>#N/A</v>
      </c>
      <c r="AP232" s="1" t="str">
        <f>IF(Tabla1[[#This Row],[Columna2]]="M1",5.1,"")</f>
        <v/>
      </c>
      <c r="AQ232" s="1"/>
      <c r="AR232" s="1"/>
      <c r="AS232" s="47">
        <f>IF(Tabla1[[#This Row],[Columna2]]="M1",13073,IF(Tabla1[[#This Row],[Columna2]]="N1",15815,IF(Tabla1[[#This Row],[Columna2]]="L3e",2831,53508)))</f>
        <v>53508</v>
      </c>
      <c r="AT232" s="47" t="e">
        <f>(Tabla1[[#This Row],[CVA]]*Tabla1[[#This Row],[F]]-Tabla1[[#This Row],[CVN]])/100*Tabla1[[#This Row],[L]]</f>
        <v>#VALUE!</v>
      </c>
      <c r="AU232" s="1"/>
      <c r="AV232" s="1" t="e">
        <f>VLOOKUP(B232,Tabla467824[[ID CAE2]:[AE '[kWh']]],6,FALSE)</f>
        <v>#N/A</v>
      </c>
      <c r="AW23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33" spans="1:49" ht="15.75" hidden="1" thickBot="1" x14ac:dyDescent="0.3">
      <c r="B233" t="e">
        <f>VLOOKUP(A233,Tabla46782[ID CAE],1,FALSE)</f>
        <v>#N/A</v>
      </c>
      <c r="C233" s="31" t="s">
        <v>1394</v>
      </c>
      <c r="D233" s="31"/>
      <c r="E233" s="31"/>
      <c r="F233" s="31"/>
      <c r="G233" s="31"/>
      <c r="H233" s="31"/>
      <c r="I233" s="31"/>
      <c r="J233" s="31"/>
      <c r="K233" s="31" t="s">
        <v>73</v>
      </c>
      <c r="L233" s="31" t="s">
        <v>74</v>
      </c>
      <c r="M233" s="31" t="s">
        <v>75</v>
      </c>
      <c r="N233" s="31" t="s">
        <v>76</v>
      </c>
      <c r="O233" s="31" t="e">
        <f>VLOOKUP(Tabla1[[#This Row],[Matricula]],BAJA2022202320242025!$B$3:$CR$245,93,FALSE)</f>
        <v>#N/A</v>
      </c>
      <c r="P233" s="32">
        <v>44756</v>
      </c>
      <c r="Q233" s="32" t="e">
        <f>Tabla1[[#This Row],[F.Vig.Final]]-Tabla1[[#This Row],[f Vig Inicio]]</f>
        <v>#N/A</v>
      </c>
      <c r="R233" s="32">
        <f>YEAR(Tabla1[[#This Row],[F.Vig.Final]])</f>
        <v>2022</v>
      </c>
      <c r="S233" s="31" t="s">
        <v>77</v>
      </c>
      <c r="T233" s="31" t="s">
        <v>78</v>
      </c>
      <c r="U233" s="31" t="s">
        <v>140</v>
      </c>
      <c r="V233" s="31" t="s">
        <v>1395</v>
      </c>
      <c r="W233" s="31" t="s">
        <v>1396</v>
      </c>
      <c r="X233" s="31" t="s">
        <v>1397</v>
      </c>
      <c r="Y233" s="31" t="s">
        <v>1398</v>
      </c>
      <c r="Z233" s="16">
        <f>COUNTIF($X$3:X233, X233)</f>
        <v>1</v>
      </c>
      <c r="AA233" s="16" t="e">
        <v>#N/A</v>
      </c>
      <c r="AB233" s="16" t="e">
        <v>#N/A</v>
      </c>
      <c r="AC233" s="16" t="e">
        <v>#N/A</v>
      </c>
      <c r="AD233" s="16" t="e">
        <v>#N/A</v>
      </c>
      <c r="AE233" s="16" t="e">
        <v>#N/A</v>
      </c>
      <c r="AF233" s="22" t="e">
        <v>#N/A</v>
      </c>
      <c r="AG233" s="17" t="e">
        <v>#N/A</v>
      </c>
      <c r="AH233" s="17" t="e">
        <f>Tabla1[[#This Row],[Renov. Flota]]-Tabla1[[#This Row],[Año]]</f>
        <v>#N/A</v>
      </c>
      <c r="AI233" s="18" t="e">
        <v>#N/A</v>
      </c>
      <c r="AJ233" s="18" t="e">
        <f>VLOOKUP(Tabla1[[#This Row],[Matricula nueva]],'ALTA 20242025'!$B$2:$P$242,15,FALSE)</f>
        <v>#N/A</v>
      </c>
      <c r="AK233" s="19" t="e">
        <v>#N/A</v>
      </c>
      <c r="AN233" s="1"/>
      <c r="AO233" s="1" t="e">
        <f>VLOOKUP(Tabla1[[#This Row],[Matricula nueva]],Hoja2!$A$1:$B$224,2,FALSE)</f>
        <v>#N/A</v>
      </c>
      <c r="AP233" s="1" t="str">
        <f>IF(Tabla1[[#This Row],[Columna2]]="M1",5.1,"")</f>
        <v/>
      </c>
      <c r="AQ233" s="1"/>
      <c r="AR233" s="1"/>
      <c r="AS233" s="47">
        <f>IF(Tabla1[[#This Row],[Columna2]]="M1",13073,IF(Tabla1[[#This Row],[Columna2]]="N1",15815,IF(Tabla1[[#This Row],[Columna2]]="L3e",2831,53508)))</f>
        <v>53508</v>
      </c>
      <c r="AT233" s="47" t="e">
        <f>(Tabla1[[#This Row],[CVA]]*Tabla1[[#This Row],[F]]-Tabla1[[#This Row],[CVN]])/100*Tabla1[[#This Row],[L]]</f>
        <v>#VALUE!</v>
      </c>
      <c r="AU233" s="1"/>
      <c r="AV233" s="1" t="e">
        <f>VLOOKUP(B233,Tabla467824[[ID CAE2]:[AE '[kWh']]],6,FALSE)</f>
        <v>#N/A</v>
      </c>
      <c r="AW23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34" spans="1:49" ht="15.75" hidden="1" thickBot="1" x14ac:dyDescent="0.3">
      <c r="B234" t="e">
        <f>VLOOKUP(A234,Tabla46782[ID CAE],1,FALSE)</f>
        <v>#N/A</v>
      </c>
      <c r="C234" s="33" t="s">
        <v>1399</v>
      </c>
      <c r="D234" s="33"/>
      <c r="E234" s="33"/>
      <c r="F234" s="33"/>
      <c r="G234" s="33"/>
      <c r="H234" s="33"/>
      <c r="I234" s="33"/>
      <c r="J234" s="33"/>
      <c r="K234" s="33" t="s">
        <v>158</v>
      </c>
      <c r="L234" s="33" t="s">
        <v>159</v>
      </c>
      <c r="M234" s="33" t="s">
        <v>158</v>
      </c>
      <c r="N234" s="33" t="s">
        <v>171</v>
      </c>
      <c r="O234" s="1">
        <f>VLOOKUP(Tabla1[[#This Row],[Matricula]],BAJA2022202320242025!$B$3:$CR$245,93,FALSE)</f>
        <v>42736</v>
      </c>
      <c r="P234" s="36">
        <v>45771</v>
      </c>
      <c r="Q234" s="140">
        <f>Tabla1[[#This Row],[F.Vig.Final]]-Tabla1[[#This Row],[f Vig Inicio]]</f>
        <v>3035</v>
      </c>
      <c r="R234" s="140">
        <f>YEAR(Tabla1[[#This Row],[F.Vig.Final]])</f>
        <v>2025</v>
      </c>
      <c r="S234" s="33" t="s">
        <v>172</v>
      </c>
      <c r="T234" s="33" t="s">
        <v>71</v>
      </c>
      <c r="U234" s="33" t="s">
        <v>1338</v>
      </c>
      <c r="V234" s="33" t="s">
        <v>1338</v>
      </c>
      <c r="W234" s="33" t="s">
        <v>119</v>
      </c>
      <c r="X234" s="33" t="s">
        <v>120</v>
      </c>
      <c r="Y234" s="33" t="s">
        <v>1400</v>
      </c>
      <c r="Z234" s="16">
        <f>COUNTIF($X$3:X234, X234)</f>
        <v>29</v>
      </c>
      <c r="AA234" s="16" t="s">
        <v>1401</v>
      </c>
      <c r="AB234" s="16" t="s">
        <v>140</v>
      </c>
      <c r="AC234" s="16" t="s">
        <v>151</v>
      </c>
      <c r="AD234" s="16" t="s">
        <v>87</v>
      </c>
      <c r="AE234" s="26" t="s">
        <v>501</v>
      </c>
      <c r="AF234" s="29" t="s">
        <v>89</v>
      </c>
      <c r="AG234" s="27">
        <v>45622</v>
      </c>
      <c r="AH234" s="27">
        <f>Tabla1[[#This Row],[Renov. Flota]]-Tabla1[[#This Row],[Año]]</f>
        <v>-1</v>
      </c>
      <c r="AI234" s="18" t="s">
        <v>119</v>
      </c>
      <c r="AJ234" s="18" t="str">
        <f>VLOOKUP(Tabla1[[#This Row],[Matricula nueva]],'ALTA 20242025'!$B$2:$P$242,15,FALSE)</f>
        <v>4500424811</v>
      </c>
      <c r="AK234" s="19" t="s">
        <v>120</v>
      </c>
      <c r="AN234" s="1"/>
      <c r="AO234" s="1" t="str">
        <f>VLOOKUP(Tabla1[[#This Row],[Matricula nueva]],Hoja2!$A$1:$B$224,2,FALSE)</f>
        <v>VR7CBZYA8RT152190</v>
      </c>
      <c r="AP234" s="43" t="str">
        <f>IF(Tabla1[[#This Row],[Columna2]]="M1",5.1,"")</f>
        <v/>
      </c>
      <c r="AQ234" s="44">
        <f>IF(T234="DIESEL",10,IF(T234="GLP",7.16,9.19))</f>
        <v>9.19</v>
      </c>
      <c r="AR234" s="45">
        <v>16.399999999999999</v>
      </c>
      <c r="AV234" s="43" t="e">
        <f>VLOOKUP(B234,Tabla467824[[ID CAE2]:[AE '[kWh']]],6,FALSE)</f>
        <v>#N/A</v>
      </c>
      <c r="AW23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35" spans="1:49" ht="15.75" hidden="1" thickBot="1" x14ac:dyDescent="0.3">
      <c r="B235" t="e">
        <f>VLOOKUP(A235,Tabla46782[ID CAE],1,FALSE)</f>
        <v>#N/A</v>
      </c>
      <c r="C235" s="33" t="s">
        <v>1402</v>
      </c>
      <c r="D235" s="33"/>
      <c r="E235" s="33"/>
      <c r="F235" s="33"/>
      <c r="G235" s="33"/>
      <c r="H235" s="33"/>
      <c r="I235" s="33"/>
      <c r="J235" s="33"/>
      <c r="K235" s="33" t="s">
        <v>158</v>
      </c>
      <c r="L235" s="33" t="s">
        <v>159</v>
      </c>
      <c r="M235" s="33" t="s">
        <v>158</v>
      </c>
      <c r="N235" s="33" t="s">
        <v>171</v>
      </c>
      <c r="O235" s="1">
        <f>VLOOKUP(Tabla1[[#This Row],[Matricula]],BAJA2022202320242025!$B$3:$CR$245,93,FALSE)</f>
        <v>44136</v>
      </c>
      <c r="P235" s="37">
        <v>45279</v>
      </c>
      <c r="Q235" s="140">
        <f>Tabla1[[#This Row],[F.Vig.Final]]-Tabla1[[#This Row],[f Vig Inicio]]</f>
        <v>1143</v>
      </c>
      <c r="R235" s="140">
        <f>YEAR(Tabla1[[#This Row],[F.Vig.Final]])</f>
        <v>2023</v>
      </c>
      <c r="S235" s="33" t="s">
        <v>172</v>
      </c>
      <c r="T235" s="33" t="s">
        <v>78</v>
      </c>
      <c r="U235" s="33" t="s">
        <v>1338</v>
      </c>
      <c r="V235" s="33" t="s">
        <v>1338</v>
      </c>
      <c r="W235" s="33" t="s">
        <v>131</v>
      </c>
      <c r="X235" s="33" t="s">
        <v>132</v>
      </c>
      <c r="Y235" s="33" t="s">
        <v>1403</v>
      </c>
      <c r="Z235" s="16">
        <f>COUNTIF($X$3:X235, X235)</f>
        <v>24</v>
      </c>
      <c r="AA235" s="16" t="s">
        <v>1404</v>
      </c>
      <c r="AB235" s="16" t="s">
        <v>85</v>
      </c>
      <c r="AC235" s="16" t="s">
        <v>86</v>
      </c>
      <c r="AD235" s="16" t="s">
        <v>87</v>
      </c>
      <c r="AE235" s="26" t="s">
        <v>318</v>
      </c>
      <c r="AF235" s="28" t="s">
        <v>89</v>
      </c>
      <c r="AG235" s="27">
        <v>45625</v>
      </c>
      <c r="AH235" s="27">
        <f>Tabla1[[#This Row],[Renov. Flota]]-Tabla1[[#This Row],[Año]]</f>
        <v>1</v>
      </c>
      <c r="AI235" s="18" t="s">
        <v>131</v>
      </c>
      <c r="AJ235" s="18" t="str">
        <f>VLOOKUP(Tabla1[[#This Row],[Matricula nueva]],'ALTA 20242025'!$B$2:$P$242,15,FALSE)</f>
        <v>4500426799</v>
      </c>
      <c r="AK235" s="19" t="s">
        <v>132</v>
      </c>
      <c r="AN235" s="1"/>
      <c r="AO235" s="1" t="str">
        <f>VLOOKUP(Tabla1[[#This Row],[Matricula nueva]],Hoja2!$A$1:$B$224,2,FALSE)</f>
        <v>VF1RFK00473824821</v>
      </c>
      <c r="AP235" s="43" t="str">
        <f>IF(Tabla1[[#This Row],[Columna2]]="M1",5.1,"")</f>
        <v/>
      </c>
      <c r="AQ235" s="44">
        <f>IF(T235="DIESEL",10,IF(T235="GLP",7.16,9.19))</f>
        <v>10</v>
      </c>
      <c r="AR235" s="45">
        <v>17.3</v>
      </c>
      <c r="AV235" s="43" t="e">
        <f>VLOOKUP(B235,Tabla467824[[ID CAE2]:[AE '[kWh']]],6,FALSE)</f>
        <v>#N/A</v>
      </c>
      <c r="AW23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36" spans="1:49" ht="15.75" hidden="1" thickBot="1" x14ac:dyDescent="0.3">
      <c r="B236" t="e">
        <f>VLOOKUP(A236,Tabla46782[ID CAE],1,FALSE)</f>
        <v>#N/A</v>
      </c>
      <c r="C236" s="31" t="s">
        <v>1405</v>
      </c>
      <c r="D236" s="31"/>
      <c r="E236" s="31"/>
      <c r="F236" s="31"/>
      <c r="G236" s="31"/>
      <c r="H236" s="31"/>
      <c r="I236" s="31"/>
      <c r="J236" s="31"/>
      <c r="K236" s="31" t="s">
        <v>73</v>
      </c>
      <c r="L236" s="31" t="s">
        <v>200</v>
      </c>
      <c r="M236" s="31" t="s">
        <v>201</v>
      </c>
      <c r="N236" s="31" t="s">
        <v>76</v>
      </c>
      <c r="O236" s="31" t="e">
        <f>VLOOKUP(Tabla1[[#This Row],[Matricula]],BAJA2022202320242025!$B$3:$CR$245,93,FALSE)</f>
        <v>#N/A</v>
      </c>
      <c r="P236" s="32">
        <v>44824</v>
      </c>
      <c r="Q236" s="32" t="e">
        <f>Tabla1[[#This Row],[F.Vig.Final]]-Tabla1[[#This Row],[f Vig Inicio]]</f>
        <v>#N/A</v>
      </c>
      <c r="R236" s="32">
        <f>YEAR(Tabla1[[#This Row],[F.Vig.Final]])</f>
        <v>2022</v>
      </c>
      <c r="S236" s="31" t="s">
        <v>77</v>
      </c>
      <c r="T236" s="31" t="s">
        <v>78</v>
      </c>
      <c r="U236" s="31" t="s">
        <v>359</v>
      </c>
      <c r="V236" s="31" t="s">
        <v>604</v>
      </c>
      <c r="W236" s="31" t="s">
        <v>584</v>
      </c>
      <c r="X236" s="31" t="s">
        <v>585</v>
      </c>
      <c r="Y236" s="31" t="s">
        <v>1406</v>
      </c>
      <c r="Z236" s="16">
        <f>COUNTIF($X$3:X236, X236)</f>
        <v>18</v>
      </c>
      <c r="AA236" s="16" t="e">
        <v>#N/A</v>
      </c>
      <c r="AB236" s="16" t="e">
        <v>#N/A</v>
      </c>
      <c r="AC236" s="16" t="e">
        <v>#N/A</v>
      </c>
      <c r="AD236" s="16" t="e">
        <v>#N/A</v>
      </c>
      <c r="AE236" s="16" t="e">
        <v>#N/A</v>
      </c>
      <c r="AF236" s="15" t="e">
        <v>#N/A</v>
      </c>
      <c r="AG236" s="17" t="e">
        <v>#N/A</v>
      </c>
      <c r="AH236" s="17" t="e">
        <f>Tabla1[[#This Row],[Renov. Flota]]-Tabla1[[#This Row],[Año]]</f>
        <v>#N/A</v>
      </c>
      <c r="AI236" s="18" t="e">
        <v>#N/A</v>
      </c>
      <c r="AJ236" s="18" t="e">
        <f>VLOOKUP(Tabla1[[#This Row],[Matricula nueva]],'ALTA 20242025'!$B$2:$P$242,15,FALSE)</f>
        <v>#N/A</v>
      </c>
      <c r="AK236" s="19" t="e">
        <v>#N/A</v>
      </c>
      <c r="AN236" s="1"/>
      <c r="AO236" s="1" t="e">
        <f>VLOOKUP(Tabla1[[#This Row],[Matricula nueva]],Hoja2!$A$1:$B$224,2,FALSE)</f>
        <v>#N/A</v>
      </c>
      <c r="AP236" s="1" t="str">
        <f>IF(Tabla1[[#This Row],[Columna2]]="M1",5.1,"")</f>
        <v/>
      </c>
      <c r="AQ236" s="1"/>
      <c r="AR236" s="1"/>
      <c r="AS236" s="47">
        <f>IF(Tabla1[[#This Row],[Columna2]]="M1",13073,IF(Tabla1[[#This Row],[Columna2]]="N1",15815,IF(Tabla1[[#This Row],[Columna2]]="L3e",2831,53508)))</f>
        <v>53508</v>
      </c>
      <c r="AT236" s="47" t="e">
        <f>(Tabla1[[#This Row],[CVA]]*Tabla1[[#This Row],[F]]-Tabla1[[#This Row],[CVN]])/100*Tabla1[[#This Row],[L]]</f>
        <v>#VALUE!</v>
      </c>
      <c r="AU236" s="1"/>
      <c r="AV236" s="1" t="e">
        <f>VLOOKUP(B236,Tabla467824[[ID CAE2]:[AE '[kWh']]],6,FALSE)</f>
        <v>#N/A</v>
      </c>
      <c r="AW23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37" spans="1:49" ht="15.75" hidden="1" thickBot="1" x14ac:dyDescent="0.3">
      <c r="B237" t="e">
        <f>VLOOKUP(A237,Tabla46782[ID CAE],1,FALSE)</f>
        <v>#N/A</v>
      </c>
      <c r="C237" s="33" t="s">
        <v>1407</v>
      </c>
      <c r="D237" s="33"/>
      <c r="E237" s="33"/>
      <c r="F237" s="33"/>
      <c r="G237" s="33"/>
      <c r="H237" s="33"/>
      <c r="I237" s="33"/>
      <c r="J237" s="33"/>
      <c r="K237" s="33" t="s">
        <v>158</v>
      </c>
      <c r="L237" s="33" t="s">
        <v>159</v>
      </c>
      <c r="M237" s="33" t="s">
        <v>158</v>
      </c>
      <c r="N237" s="33" t="s">
        <v>171</v>
      </c>
      <c r="O237" s="1">
        <f>VLOOKUP(Tabla1[[#This Row],[Matricula]],BAJA2022202320242025!$B$3:$CR$245,93,FALSE)</f>
        <v>44834</v>
      </c>
      <c r="P237" s="30">
        <v>45432</v>
      </c>
      <c r="Q237" s="140">
        <f>Tabla1[[#This Row],[F.Vig.Final]]-Tabla1[[#This Row],[f Vig Inicio]]</f>
        <v>598</v>
      </c>
      <c r="R237" s="140">
        <f>YEAR(Tabla1[[#This Row],[F.Vig.Final]])</f>
        <v>2024</v>
      </c>
      <c r="S237" s="33" t="s">
        <v>172</v>
      </c>
      <c r="T237" s="33" t="s">
        <v>78</v>
      </c>
      <c r="U237" s="33" t="s">
        <v>1338</v>
      </c>
      <c r="V237" s="33" t="s">
        <v>1338</v>
      </c>
      <c r="W237" s="33" t="s">
        <v>131</v>
      </c>
      <c r="X237" s="33" t="s">
        <v>132</v>
      </c>
      <c r="Y237" s="33" t="s">
        <v>135</v>
      </c>
      <c r="Z237" s="16">
        <f>COUNTIF($X$3:X237, X237)</f>
        <v>25</v>
      </c>
      <c r="AA237" s="16" t="s">
        <v>1408</v>
      </c>
      <c r="AB237" s="16" t="s">
        <v>85</v>
      </c>
      <c r="AC237" s="16" t="s">
        <v>86</v>
      </c>
      <c r="AD237" s="16" t="s">
        <v>87</v>
      </c>
      <c r="AE237" s="26" t="s">
        <v>622</v>
      </c>
      <c r="AF237" s="30" t="s">
        <v>89</v>
      </c>
      <c r="AG237" s="27">
        <v>45625</v>
      </c>
      <c r="AH237" s="27">
        <f>Tabla1[[#This Row],[Renov. Flota]]-Tabla1[[#This Row],[Año]]</f>
        <v>0</v>
      </c>
      <c r="AI237" s="18" t="s">
        <v>131</v>
      </c>
      <c r="AJ237" s="18" t="str">
        <f>VLOOKUP(Tabla1[[#This Row],[Matricula nueva]],'ALTA 20242025'!$B$2:$P$242,15,FALSE)</f>
        <v>4500426797</v>
      </c>
      <c r="AK237" s="19" t="s">
        <v>132</v>
      </c>
      <c r="AN237" s="1"/>
      <c r="AO237" s="1" t="str">
        <f>VLOOKUP(Tabla1[[#This Row],[Matricula nueva]],Hoja2!$A$1:$B$224,2,FALSE)</f>
        <v>VF1RFK00473824818</v>
      </c>
      <c r="AP237" s="43" t="str">
        <f>IF(Tabla1[[#This Row],[Columna2]]="M1",5.1,"")</f>
        <v/>
      </c>
      <c r="AQ237" s="44">
        <f>IF(T237="DIESEL",10,IF(T237="GLP",7.16,9.19))</f>
        <v>10</v>
      </c>
      <c r="AR237" s="45">
        <v>17.3</v>
      </c>
      <c r="AV237" s="43" t="e">
        <f>VLOOKUP(B237,Tabla467824[[ID CAE2]:[AE '[kWh']]],6,FALSE)</f>
        <v>#N/A</v>
      </c>
      <c r="AW23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38" spans="1:49" ht="15.75" hidden="1" thickBot="1" x14ac:dyDescent="0.3">
      <c r="B238" t="e">
        <f>VLOOKUP(A238,Tabla46782[ID CAE],1,FALSE)</f>
        <v>#N/A</v>
      </c>
      <c r="C238" s="31" t="s">
        <v>1409</v>
      </c>
      <c r="D238" s="31"/>
      <c r="E238" s="31"/>
      <c r="F238" s="31"/>
      <c r="G238" s="31"/>
      <c r="H238" s="31"/>
      <c r="I238" s="31"/>
      <c r="J238" s="31"/>
      <c r="K238" s="31" t="s">
        <v>73</v>
      </c>
      <c r="L238" s="31" t="s">
        <v>200</v>
      </c>
      <c r="M238" s="31" t="s">
        <v>201</v>
      </c>
      <c r="N238" s="31" t="s">
        <v>76</v>
      </c>
      <c r="O238" s="31" t="e">
        <f>VLOOKUP(Tabla1[[#This Row],[Matricula]],BAJA2022202320242025!$B$3:$CR$245,93,FALSE)</f>
        <v>#N/A</v>
      </c>
      <c r="P238" s="32">
        <v>44823</v>
      </c>
      <c r="Q238" s="32" t="e">
        <f>Tabla1[[#This Row],[F.Vig.Final]]-Tabla1[[#This Row],[f Vig Inicio]]</f>
        <v>#N/A</v>
      </c>
      <c r="R238" s="32">
        <f>YEAR(Tabla1[[#This Row],[F.Vig.Final]])</f>
        <v>2022</v>
      </c>
      <c r="S238" s="31" t="s">
        <v>77</v>
      </c>
      <c r="T238" s="31" t="s">
        <v>78</v>
      </c>
      <c r="U238" s="31" t="s">
        <v>359</v>
      </c>
      <c r="V238" s="31" t="s">
        <v>604</v>
      </c>
      <c r="W238" s="31" t="s">
        <v>119</v>
      </c>
      <c r="X238" s="31" t="s">
        <v>120</v>
      </c>
      <c r="Y238" s="31" t="s">
        <v>501</v>
      </c>
      <c r="Z238" s="16">
        <f>COUNTIF($X$3:X238, X238)</f>
        <v>30</v>
      </c>
      <c r="AA238" s="16" t="e">
        <v>#N/A</v>
      </c>
      <c r="AB238" s="16" t="e">
        <v>#N/A</v>
      </c>
      <c r="AC238" s="16" t="e">
        <v>#N/A</v>
      </c>
      <c r="AD238" s="16" t="e">
        <v>#N/A</v>
      </c>
      <c r="AE238" s="16" t="e">
        <v>#N/A</v>
      </c>
      <c r="AF238" s="21" t="e">
        <v>#N/A</v>
      </c>
      <c r="AG238" s="17" t="e">
        <v>#N/A</v>
      </c>
      <c r="AH238" s="17" t="e">
        <f>Tabla1[[#This Row],[Renov. Flota]]-Tabla1[[#This Row],[Año]]</f>
        <v>#N/A</v>
      </c>
      <c r="AI238" s="18" t="e">
        <v>#N/A</v>
      </c>
      <c r="AJ238" s="18" t="e">
        <f>VLOOKUP(Tabla1[[#This Row],[Matricula nueva]],'ALTA 20242025'!$B$2:$P$242,15,FALSE)</f>
        <v>#N/A</v>
      </c>
      <c r="AK238" s="19" t="e">
        <v>#N/A</v>
      </c>
      <c r="AN238" s="1"/>
      <c r="AO238" s="1" t="e">
        <f>VLOOKUP(Tabla1[[#This Row],[Matricula nueva]],Hoja2!$A$1:$B$224,2,FALSE)</f>
        <v>#N/A</v>
      </c>
      <c r="AP238" s="1" t="str">
        <f>IF(Tabla1[[#This Row],[Columna2]]="M1",5.1,"")</f>
        <v/>
      </c>
      <c r="AQ238" s="1"/>
      <c r="AR238" s="1"/>
      <c r="AS238" s="47">
        <f>IF(Tabla1[[#This Row],[Columna2]]="M1",13073,IF(Tabla1[[#This Row],[Columna2]]="N1",15815,IF(Tabla1[[#This Row],[Columna2]]="L3e",2831,53508)))</f>
        <v>53508</v>
      </c>
      <c r="AT238" s="47" t="e">
        <f>(Tabla1[[#This Row],[CVA]]*Tabla1[[#This Row],[F]]-Tabla1[[#This Row],[CVN]])/100*Tabla1[[#This Row],[L]]</f>
        <v>#VALUE!</v>
      </c>
      <c r="AU238" s="1"/>
      <c r="AV238" s="1" t="e">
        <f>VLOOKUP(B238,Tabla467824[[ID CAE2]:[AE '[kWh']]],6,FALSE)</f>
        <v>#N/A</v>
      </c>
      <c r="AW23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39" spans="1:49" ht="15.75" hidden="1" thickBot="1" x14ac:dyDescent="0.3">
      <c r="B239" t="e">
        <f>VLOOKUP(A239,Tabla46782[ID CAE],1,FALSE)</f>
        <v>#N/A</v>
      </c>
      <c r="C239" s="31" t="s">
        <v>1410</v>
      </c>
      <c r="D239" s="31"/>
      <c r="E239" s="31"/>
      <c r="F239" s="31"/>
      <c r="G239" s="31"/>
      <c r="H239" s="31"/>
      <c r="I239" s="31"/>
      <c r="J239" s="31"/>
      <c r="K239" s="31" t="s">
        <v>1411</v>
      </c>
      <c r="L239" s="31" t="s">
        <v>200</v>
      </c>
      <c r="M239" s="31" t="s">
        <v>201</v>
      </c>
      <c r="N239" s="31" t="s">
        <v>76</v>
      </c>
      <c r="O239" s="31" t="e">
        <f>VLOOKUP(Tabla1[[#This Row],[Matricula]],BAJA2022202320242025!$B$3:$CR$245,93,FALSE)</f>
        <v>#N/A</v>
      </c>
      <c r="P239" s="32">
        <v>44579</v>
      </c>
      <c r="Q239" s="32" t="e">
        <f>Tabla1[[#This Row],[F.Vig.Final]]-Tabla1[[#This Row],[f Vig Inicio]]</f>
        <v>#N/A</v>
      </c>
      <c r="R239" s="32">
        <f>YEAR(Tabla1[[#This Row],[F.Vig.Final]])</f>
        <v>2022</v>
      </c>
      <c r="S239" s="31" t="s">
        <v>77</v>
      </c>
      <c r="T239" s="31" t="s">
        <v>78</v>
      </c>
      <c r="U239" s="31" t="s">
        <v>380</v>
      </c>
      <c r="V239" s="31" t="s">
        <v>1412</v>
      </c>
      <c r="W239" s="31" t="s">
        <v>131</v>
      </c>
      <c r="X239" s="31" t="s">
        <v>132</v>
      </c>
      <c r="Y239" s="31" t="s">
        <v>133</v>
      </c>
      <c r="Z239" s="16">
        <f>COUNTIF($X$3:X239, X239)</f>
        <v>26</v>
      </c>
      <c r="AA239" s="16" t="e">
        <v>#N/A</v>
      </c>
      <c r="AB239" s="16" t="e">
        <v>#N/A</v>
      </c>
      <c r="AC239" s="16" t="e">
        <v>#N/A</v>
      </c>
      <c r="AD239" s="16" t="e">
        <v>#N/A</v>
      </c>
      <c r="AE239" s="16" t="e">
        <v>#N/A</v>
      </c>
      <c r="AF239" s="22" t="e">
        <v>#N/A</v>
      </c>
      <c r="AG239" s="17" t="e">
        <v>#N/A</v>
      </c>
      <c r="AH239" s="17" t="e">
        <f>Tabla1[[#This Row],[Renov. Flota]]-Tabla1[[#This Row],[Año]]</f>
        <v>#N/A</v>
      </c>
      <c r="AI239" s="18" t="e">
        <v>#N/A</v>
      </c>
      <c r="AJ239" s="18" t="e">
        <f>VLOOKUP(Tabla1[[#This Row],[Matricula nueva]],'ALTA 20242025'!$B$2:$P$242,15,FALSE)</f>
        <v>#N/A</v>
      </c>
      <c r="AK239" s="19" t="e">
        <v>#N/A</v>
      </c>
      <c r="AN239" s="1"/>
      <c r="AO239" s="1" t="e">
        <f>VLOOKUP(Tabla1[[#This Row],[Matricula nueva]],Hoja2!$A$1:$B$224,2,FALSE)</f>
        <v>#N/A</v>
      </c>
      <c r="AP239" s="1" t="str">
        <f>IF(Tabla1[[#This Row],[Columna2]]="M1",5.1,"")</f>
        <v/>
      </c>
      <c r="AQ239" s="1"/>
      <c r="AR239" s="1"/>
      <c r="AS239" s="47">
        <f>IF(Tabla1[[#This Row],[Columna2]]="M1",13073,IF(Tabla1[[#This Row],[Columna2]]="N1",15815,IF(Tabla1[[#This Row],[Columna2]]="L3e",2831,53508)))</f>
        <v>53508</v>
      </c>
      <c r="AT239" s="47" t="e">
        <f>(Tabla1[[#This Row],[CVA]]*Tabla1[[#This Row],[F]]-Tabla1[[#This Row],[CVN]])/100*Tabla1[[#This Row],[L]]</f>
        <v>#VALUE!</v>
      </c>
      <c r="AU239" s="1"/>
      <c r="AV239" s="1" t="e">
        <f>VLOOKUP(B239,Tabla467824[[ID CAE2]:[AE '[kWh']]],6,FALSE)</f>
        <v>#N/A</v>
      </c>
      <c r="AW23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40" spans="1:49" ht="15.75" hidden="1" thickBot="1" x14ac:dyDescent="0.3">
      <c r="B240" t="e">
        <f>VLOOKUP(A240,Tabla46782[ID CAE],1,FALSE)</f>
        <v>#N/A</v>
      </c>
      <c r="C240" s="33" t="s">
        <v>1413</v>
      </c>
      <c r="D240" s="33"/>
      <c r="E240" s="33"/>
      <c r="F240" s="33"/>
      <c r="G240" s="33"/>
      <c r="H240" s="33"/>
      <c r="I240" s="33"/>
      <c r="J240" s="33"/>
      <c r="K240" s="33" t="s">
        <v>158</v>
      </c>
      <c r="L240" s="33" t="s">
        <v>159</v>
      </c>
      <c r="M240" s="33" t="s">
        <v>158</v>
      </c>
      <c r="N240" s="33" t="s">
        <v>171</v>
      </c>
      <c r="O240" s="1">
        <f>VLOOKUP(Tabla1[[#This Row],[Matricula]],BAJA2022202320242025!$B$3:$CR$245,93,FALSE)</f>
        <v>44872</v>
      </c>
      <c r="P240" s="36">
        <v>45473</v>
      </c>
      <c r="Q240" s="140">
        <f>Tabla1[[#This Row],[F.Vig.Final]]-Tabla1[[#This Row],[f Vig Inicio]]</f>
        <v>601</v>
      </c>
      <c r="R240" s="140">
        <f>YEAR(Tabla1[[#This Row],[F.Vig.Final]])</f>
        <v>2024</v>
      </c>
      <c r="S240" s="33" t="s">
        <v>172</v>
      </c>
      <c r="T240" s="33" t="s">
        <v>78</v>
      </c>
      <c r="U240" s="33" t="s">
        <v>1338</v>
      </c>
      <c r="V240" s="33" t="s">
        <v>1338</v>
      </c>
      <c r="W240" s="33" t="s">
        <v>131</v>
      </c>
      <c r="X240" s="33" t="s">
        <v>132</v>
      </c>
      <c r="Y240" s="33" t="s">
        <v>1390</v>
      </c>
      <c r="Z240" s="16">
        <f>COUNTIF($X$3:X240, X240)</f>
        <v>27</v>
      </c>
      <c r="AA240" s="16" t="s">
        <v>1414</v>
      </c>
      <c r="AB240" s="16" t="s">
        <v>85</v>
      </c>
      <c r="AC240" s="16" t="s">
        <v>86</v>
      </c>
      <c r="AD240" s="16" t="s">
        <v>87</v>
      </c>
      <c r="AE240" s="26" t="s">
        <v>753</v>
      </c>
      <c r="AF240" s="29" t="s">
        <v>89</v>
      </c>
      <c r="AG240" s="27">
        <v>45625</v>
      </c>
      <c r="AH240" s="27">
        <f>Tabla1[[#This Row],[Renov. Flota]]-Tabla1[[#This Row],[Año]]</f>
        <v>0</v>
      </c>
      <c r="AI240" s="18" t="s">
        <v>131</v>
      </c>
      <c r="AJ240" s="18" t="str">
        <f>VLOOKUP(Tabla1[[#This Row],[Matricula nueva]],'ALTA 20242025'!$B$2:$P$242,15,FALSE)</f>
        <v>4500426768</v>
      </c>
      <c r="AK240" s="19" t="s">
        <v>132</v>
      </c>
      <c r="AN240" s="1"/>
      <c r="AO240" s="1" t="str">
        <f>VLOOKUP(Tabla1[[#This Row],[Matricula nueva]],Hoja2!$A$1:$B$224,2,FALSE)</f>
        <v>VF1RFK00173824811</v>
      </c>
      <c r="AP240" s="43" t="str">
        <f>IF(Tabla1[[#This Row],[Columna2]]="M1",5.1,"")</f>
        <v/>
      </c>
      <c r="AQ240" s="44">
        <f>IF(T240="DIESEL",10,IF(T240="GLP",7.16,9.19))</f>
        <v>10</v>
      </c>
      <c r="AR240" s="45">
        <v>17.3</v>
      </c>
      <c r="AV240" s="43" t="e">
        <f>VLOOKUP(B240,Tabla467824[[ID CAE2]:[AE '[kWh']]],6,FALSE)</f>
        <v>#N/A</v>
      </c>
      <c r="AW24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41" spans="1:49" ht="15.75" hidden="1" thickBot="1" x14ac:dyDescent="0.3">
      <c r="B241" t="e">
        <f>VLOOKUP(A241,Tabla46782[ID CAE],1,FALSE)</f>
        <v>#N/A</v>
      </c>
      <c r="C241" s="33" t="s">
        <v>1415</v>
      </c>
      <c r="D241" s="33"/>
      <c r="E241" s="33"/>
      <c r="F241" s="33"/>
      <c r="G241" s="33"/>
      <c r="H241" s="33"/>
      <c r="I241" s="33"/>
      <c r="J241" s="33"/>
      <c r="K241" s="33" t="s">
        <v>158</v>
      </c>
      <c r="L241" s="33" t="s">
        <v>159</v>
      </c>
      <c r="M241" s="33" t="s">
        <v>158</v>
      </c>
      <c r="N241" s="33" t="s">
        <v>171</v>
      </c>
      <c r="O241" s="1">
        <f>VLOOKUP(Tabla1[[#This Row],[Matricula]],BAJA2022202320242025!$B$3:$CR$245,93,FALSE)</f>
        <v>44136</v>
      </c>
      <c r="P241" s="37">
        <v>45551</v>
      </c>
      <c r="Q241" s="140">
        <f>Tabla1[[#This Row],[F.Vig.Final]]-Tabla1[[#This Row],[f Vig Inicio]]</f>
        <v>1415</v>
      </c>
      <c r="R241" s="140">
        <f>YEAR(Tabla1[[#This Row],[F.Vig.Final]])</f>
        <v>2024</v>
      </c>
      <c r="S241" s="33" t="s">
        <v>172</v>
      </c>
      <c r="T241" s="33" t="s">
        <v>78</v>
      </c>
      <c r="U241" s="33" t="s">
        <v>1338</v>
      </c>
      <c r="V241" s="33" t="s">
        <v>1338</v>
      </c>
      <c r="W241" s="33" t="s">
        <v>131</v>
      </c>
      <c r="X241" s="33" t="s">
        <v>132</v>
      </c>
      <c r="Y241" s="33" t="s">
        <v>135</v>
      </c>
      <c r="Z241" s="16">
        <f>COUNTIF($X$3:X241, X241)</f>
        <v>28</v>
      </c>
      <c r="AA241" s="16" t="s">
        <v>1416</v>
      </c>
      <c r="AB241" s="16" t="s">
        <v>85</v>
      </c>
      <c r="AC241" s="16" t="s">
        <v>86</v>
      </c>
      <c r="AD241" s="16" t="s">
        <v>87</v>
      </c>
      <c r="AE241" s="26" t="s">
        <v>318</v>
      </c>
      <c r="AF241" s="28" t="s">
        <v>89</v>
      </c>
      <c r="AG241" s="27">
        <v>45625</v>
      </c>
      <c r="AH241" s="27">
        <f>Tabla1[[#This Row],[Renov. Flota]]-Tabla1[[#This Row],[Año]]</f>
        <v>0</v>
      </c>
      <c r="AI241" s="18" t="s">
        <v>131</v>
      </c>
      <c r="AJ241" s="18" t="str">
        <f>VLOOKUP(Tabla1[[#This Row],[Matricula nueva]],'ALTA 20242025'!$B$2:$P$242,15,FALSE)</f>
        <v>4500426772</v>
      </c>
      <c r="AK241" s="19" t="s">
        <v>132</v>
      </c>
      <c r="AN241" s="1"/>
      <c r="AO241" s="1" t="str">
        <f>VLOOKUP(Tabla1[[#This Row],[Matricula nueva]],Hoja2!$A$1:$B$224,2,FALSE)</f>
        <v>VF1RFK00373824812</v>
      </c>
      <c r="AP241" s="43" t="str">
        <f>IF(Tabla1[[#This Row],[Columna2]]="M1",5.1,"")</f>
        <v/>
      </c>
      <c r="AQ241" s="44">
        <f>IF(T241="DIESEL",10,IF(T241="GLP",7.16,9.19))</f>
        <v>10</v>
      </c>
      <c r="AR241" s="45">
        <v>17.3</v>
      </c>
      <c r="AV241" s="43" t="e">
        <f>VLOOKUP(B241,Tabla467824[[ID CAE2]:[AE '[kWh']]],6,FALSE)</f>
        <v>#N/A</v>
      </c>
      <c r="AW24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42" spans="1:49" ht="15.75" hidden="1" thickBot="1" x14ac:dyDescent="0.3">
      <c r="B242" t="e">
        <f>VLOOKUP(A242,Tabla46782[ID CAE],1,FALSE)</f>
        <v>#N/A</v>
      </c>
      <c r="C242" s="31" t="s">
        <v>1417</v>
      </c>
      <c r="D242" s="31"/>
      <c r="E242" s="31"/>
      <c r="F242" s="31"/>
      <c r="G242" s="31"/>
      <c r="H242" s="31"/>
      <c r="I242" s="31"/>
      <c r="J242" s="31"/>
      <c r="K242" s="31" t="s">
        <v>73</v>
      </c>
      <c r="L242" s="31" t="s">
        <v>200</v>
      </c>
      <c r="M242" s="31" t="s">
        <v>201</v>
      </c>
      <c r="N242" s="31" t="s">
        <v>76</v>
      </c>
      <c r="O242" s="31" t="e">
        <f>VLOOKUP(Tabla1[[#This Row],[Matricula]],BAJA2022202320242025!$B$3:$CR$245,93,FALSE)</f>
        <v>#N/A</v>
      </c>
      <c r="P242" s="32">
        <v>44578</v>
      </c>
      <c r="Q242" s="32" t="e">
        <f>Tabla1[[#This Row],[F.Vig.Final]]-Tabla1[[#This Row],[f Vig Inicio]]</f>
        <v>#N/A</v>
      </c>
      <c r="R242" s="32">
        <f>YEAR(Tabla1[[#This Row],[F.Vig.Final]])</f>
        <v>2022</v>
      </c>
      <c r="S242" s="31" t="s">
        <v>77</v>
      </c>
      <c r="T242" s="31" t="s">
        <v>78</v>
      </c>
      <c r="U242" s="31" t="s">
        <v>1362</v>
      </c>
      <c r="V242" s="31" t="s">
        <v>1367</v>
      </c>
      <c r="W242" s="31" t="s">
        <v>215</v>
      </c>
      <c r="X242" s="31" t="s">
        <v>216</v>
      </c>
      <c r="Y242" s="31" t="s">
        <v>507</v>
      </c>
      <c r="Z242" s="16">
        <f>COUNTIF($X$3:X242, X242)</f>
        <v>6</v>
      </c>
      <c r="AA242" s="16" t="e">
        <v>#N/A</v>
      </c>
      <c r="AB242" s="16" t="e">
        <v>#N/A</v>
      </c>
      <c r="AC242" s="16" t="e">
        <v>#N/A</v>
      </c>
      <c r="AD242" s="16" t="e">
        <v>#N/A</v>
      </c>
      <c r="AE242" s="16" t="e">
        <v>#N/A</v>
      </c>
      <c r="AF242" s="21" t="e">
        <v>#N/A</v>
      </c>
      <c r="AG242" s="17" t="e">
        <v>#N/A</v>
      </c>
      <c r="AH242" s="17" t="e">
        <f>Tabla1[[#This Row],[Renov. Flota]]-Tabla1[[#This Row],[Año]]</f>
        <v>#N/A</v>
      </c>
      <c r="AI242" s="18" t="e">
        <v>#N/A</v>
      </c>
      <c r="AJ242" s="18" t="e">
        <f>VLOOKUP(Tabla1[[#This Row],[Matricula nueva]],'ALTA 20242025'!$B$2:$P$242,15,FALSE)</f>
        <v>#N/A</v>
      </c>
      <c r="AK242" s="19" t="e">
        <v>#N/A</v>
      </c>
      <c r="AN242" s="1"/>
      <c r="AO242" s="1" t="e">
        <f>VLOOKUP(Tabla1[[#This Row],[Matricula nueva]],Hoja2!$A$1:$B$224,2,FALSE)</f>
        <v>#N/A</v>
      </c>
      <c r="AP242" s="1" t="str">
        <f>IF(Tabla1[[#This Row],[Columna2]]="M1",5.1,"")</f>
        <v/>
      </c>
      <c r="AQ242" s="1"/>
      <c r="AR242" s="1"/>
      <c r="AS242" s="47">
        <f>IF(Tabla1[[#This Row],[Columna2]]="M1",13073,IF(Tabla1[[#This Row],[Columna2]]="N1",15815,IF(Tabla1[[#This Row],[Columna2]]="L3e",2831,53508)))</f>
        <v>53508</v>
      </c>
      <c r="AT242" s="47" t="e">
        <f>(Tabla1[[#This Row],[CVA]]*Tabla1[[#This Row],[F]]-Tabla1[[#This Row],[CVN]])/100*Tabla1[[#This Row],[L]]</f>
        <v>#VALUE!</v>
      </c>
      <c r="AU242" s="1"/>
      <c r="AV242" s="1" t="e">
        <f>VLOOKUP(B242,Tabla467824[[ID CAE2]:[AE '[kWh']]],6,FALSE)</f>
        <v>#N/A</v>
      </c>
      <c r="AW24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43" spans="1:49" ht="15.75" hidden="1" thickBot="1" x14ac:dyDescent="0.3">
      <c r="B243" t="e">
        <f>VLOOKUP(A243,Tabla46782[ID CAE],1,FALSE)</f>
        <v>#N/A</v>
      </c>
      <c r="C243" s="31" t="s">
        <v>1418</v>
      </c>
      <c r="D243" s="31"/>
      <c r="E243" s="31"/>
      <c r="F243" s="31"/>
      <c r="G243" s="31"/>
      <c r="H243" s="31"/>
      <c r="I243" s="31"/>
      <c r="J243" s="31"/>
      <c r="K243" s="31" t="s">
        <v>129</v>
      </c>
      <c r="L243" s="31" t="s">
        <v>74</v>
      </c>
      <c r="M243" s="31" t="s">
        <v>75</v>
      </c>
      <c r="N243" s="31" t="s">
        <v>76</v>
      </c>
      <c r="O243" s="31" t="e">
        <f>VLOOKUP(Tabla1[[#This Row],[Matricula]],BAJA2022202320242025!$B$3:$CR$245,93,FALSE)</f>
        <v>#N/A</v>
      </c>
      <c r="P243" s="32">
        <v>44681</v>
      </c>
      <c r="Q243" s="32" t="e">
        <f>Tabla1[[#This Row],[F.Vig.Final]]-Tabla1[[#This Row],[f Vig Inicio]]</f>
        <v>#N/A</v>
      </c>
      <c r="R243" s="32">
        <f>YEAR(Tabla1[[#This Row],[F.Vig.Final]])</f>
        <v>2022</v>
      </c>
      <c r="S243" s="31" t="s">
        <v>77</v>
      </c>
      <c r="T243" s="31" t="s">
        <v>78</v>
      </c>
      <c r="U243" s="31" t="s">
        <v>79</v>
      </c>
      <c r="V243" s="31" t="s">
        <v>1419</v>
      </c>
      <c r="W243" s="31" t="s">
        <v>131</v>
      </c>
      <c r="X243" s="31" t="s">
        <v>132</v>
      </c>
      <c r="Y243" s="31" t="s">
        <v>318</v>
      </c>
      <c r="Z243" s="16">
        <f>COUNTIF($X$3:X243, X243)</f>
        <v>29</v>
      </c>
      <c r="AA243" s="16" t="e">
        <v>#N/A</v>
      </c>
      <c r="AB243" s="16" t="e">
        <v>#N/A</v>
      </c>
      <c r="AC243" s="16" t="e">
        <v>#N/A</v>
      </c>
      <c r="AD243" s="16" t="e">
        <v>#N/A</v>
      </c>
      <c r="AE243" s="16" t="e">
        <v>#N/A</v>
      </c>
      <c r="AF243" s="22" t="e">
        <v>#N/A</v>
      </c>
      <c r="AG243" s="17" t="e">
        <v>#N/A</v>
      </c>
      <c r="AH243" s="17" t="e">
        <f>Tabla1[[#This Row],[Renov. Flota]]-Tabla1[[#This Row],[Año]]</f>
        <v>#N/A</v>
      </c>
      <c r="AI243" s="18" t="e">
        <v>#N/A</v>
      </c>
      <c r="AJ243" s="18" t="e">
        <f>VLOOKUP(Tabla1[[#This Row],[Matricula nueva]],'ALTA 20242025'!$B$2:$P$242,15,FALSE)</f>
        <v>#N/A</v>
      </c>
      <c r="AK243" s="19" t="e">
        <v>#N/A</v>
      </c>
      <c r="AN243" s="1"/>
      <c r="AO243" s="1" t="e">
        <f>VLOOKUP(Tabla1[[#This Row],[Matricula nueva]],Hoja2!$A$1:$B$224,2,FALSE)</f>
        <v>#N/A</v>
      </c>
      <c r="AP243" s="1" t="str">
        <f>IF(Tabla1[[#This Row],[Columna2]]="M1",5.1,"")</f>
        <v/>
      </c>
      <c r="AQ243" s="1"/>
      <c r="AR243" s="1"/>
      <c r="AS243" s="47">
        <f>IF(Tabla1[[#This Row],[Columna2]]="M1",13073,IF(Tabla1[[#This Row],[Columna2]]="N1",15815,IF(Tabla1[[#This Row],[Columna2]]="L3e",2831,53508)))</f>
        <v>53508</v>
      </c>
      <c r="AT243" s="47" t="e">
        <f>(Tabla1[[#This Row],[CVA]]*Tabla1[[#This Row],[F]]-Tabla1[[#This Row],[CVN]])/100*Tabla1[[#This Row],[L]]</f>
        <v>#VALUE!</v>
      </c>
      <c r="AU243" s="1"/>
      <c r="AV243" s="1" t="e">
        <f>VLOOKUP(B243,Tabla467824[[ID CAE2]:[AE '[kWh']]],6,FALSE)</f>
        <v>#N/A</v>
      </c>
      <c r="AW24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44" spans="1:49" ht="15.75" hidden="1" thickBot="1" x14ac:dyDescent="0.3">
      <c r="B244" t="e">
        <f>VLOOKUP(A244,Tabla46782[ID CAE],1,FALSE)</f>
        <v>#N/A</v>
      </c>
      <c r="C244" s="33" t="s">
        <v>1420</v>
      </c>
      <c r="D244" s="33"/>
      <c r="E244" s="33"/>
      <c r="F244" s="33"/>
      <c r="G244" s="33"/>
      <c r="H244" s="33"/>
      <c r="I244" s="33"/>
      <c r="J244" s="33"/>
      <c r="K244" s="33" t="s">
        <v>158</v>
      </c>
      <c r="L244" s="33" t="s">
        <v>159</v>
      </c>
      <c r="M244" s="33" t="s">
        <v>158</v>
      </c>
      <c r="N244" s="33" t="s">
        <v>171</v>
      </c>
      <c r="O244" s="1">
        <f>VLOOKUP(Tabla1[[#This Row],[Matricula]],BAJA2022202320242025!$B$3:$CR$245,93,FALSE)</f>
        <v>45712</v>
      </c>
      <c r="P244" s="30">
        <v>45841</v>
      </c>
      <c r="Q244" s="140">
        <f>Tabla1[[#This Row],[F.Vig.Final]]-Tabla1[[#This Row],[f Vig Inicio]]</f>
        <v>129</v>
      </c>
      <c r="R244" s="140">
        <f>YEAR(Tabla1[[#This Row],[F.Vig.Final]])</f>
        <v>2025</v>
      </c>
      <c r="S244" s="33" t="s">
        <v>172</v>
      </c>
      <c r="T244" s="33" t="s">
        <v>71</v>
      </c>
      <c r="U244" s="33" t="s">
        <v>1338</v>
      </c>
      <c r="V244" s="33" t="s">
        <v>1338</v>
      </c>
      <c r="W244" s="33" t="s">
        <v>336</v>
      </c>
      <c r="X244" s="33" t="s">
        <v>337</v>
      </c>
      <c r="Y244" s="33" t="s">
        <v>1346</v>
      </c>
      <c r="Z244" s="16">
        <f>COUNTIF($X$3:X244, X244)</f>
        <v>18</v>
      </c>
      <c r="AA244" s="16" t="s">
        <v>1421</v>
      </c>
      <c r="AB244" s="16" t="s">
        <v>85</v>
      </c>
      <c r="AC244" s="16" t="s">
        <v>340</v>
      </c>
      <c r="AD244" s="16" t="s">
        <v>87</v>
      </c>
      <c r="AE244" s="26" t="s">
        <v>341</v>
      </c>
      <c r="AF244" s="30" t="s">
        <v>89</v>
      </c>
      <c r="AG244" s="27">
        <v>43435</v>
      </c>
      <c r="AH244" s="27">
        <f>Tabla1[[#This Row],[Renov. Flota]]-Tabla1[[#This Row],[Año]]</f>
        <v>-1</v>
      </c>
      <c r="AI244" s="18" t="s">
        <v>336</v>
      </c>
      <c r="AJ244" s="18" t="str">
        <f>VLOOKUP(Tabla1[[#This Row],[Matricula nueva]],'ALTA 20242025'!$B$2:$P$242,15,FALSE)</f>
        <v>X</v>
      </c>
      <c r="AK244" s="19" t="s">
        <v>337</v>
      </c>
      <c r="AN244" s="1"/>
      <c r="AO244" s="1" t="e">
        <f>VLOOKUP(Tabla1[[#This Row],[Matricula nueva]],Hoja2!$A$1:$B$224,2,FALSE)</f>
        <v>#N/A</v>
      </c>
      <c r="AP244" s="43" t="str">
        <f>IF(Tabla1[[#This Row],[Columna2]]="M1",5.1,"")</f>
        <v/>
      </c>
      <c r="AQ244" s="44">
        <f>IF(T244="DIESEL",10,IF(T244="GLP",7.16,9.19))</f>
        <v>9.19</v>
      </c>
      <c r="AR244" s="45">
        <v>13.3</v>
      </c>
      <c r="AV244" s="43" t="e">
        <f>VLOOKUP(B244,Tabla467824[[ID CAE2]:[AE '[kWh']]],6,FALSE)</f>
        <v>#N/A</v>
      </c>
      <c r="AW24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45" spans="1:49" ht="15.75" hidden="1" thickBot="1" x14ac:dyDescent="0.3">
      <c r="B245" t="e">
        <f>VLOOKUP(A245,Tabla46782[ID CAE],1,FALSE)</f>
        <v>#N/A</v>
      </c>
      <c r="C245" s="33" t="s">
        <v>1422</v>
      </c>
      <c r="D245" s="33"/>
      <c r="E245" s="33"/>
      <c r="F245" s="33"/>
      <c r="G245" s="33"/>
      <c r="H245" s="33"/>
      <c r="I245" s="33"/>
      <c r="J245" s="33"/>
      <c r="K245" s="33" t="s">
        <v>73</v>
      </c>
      <c r="L245" s="33" t="s">
        <v>200</v>
      </c>
      <c r="M245" s="33" t="s">
        <v>201</v>
      </c>
      <c r="N245" s="33" t="s">
        <v>76</v>
      </c>
      <c r="O245" s="1">
        <f>VLOOKUP(Tabla1[[#This Row],[Matricula]],BAJA2022202320242025!$B$3:$CR$245,93,FALSE)</f>
        <v>44235</v>
      </c>
      <c r="P245" s="34">
        <v>45696</v>
      </c>
      <c r="Q245" s="34">
        <f>Tabla1[[#This Row],[F.Vig.Final]]-Tabla1[[#This Row],[f Vig Inicio]]</f>
        <v>1461</v>
      </c>
      <c r="R245" s="34">
        <f>YEAR(Tabla1[[#This Row],[F.Vig.Final]])</f>
        <v>2025</v>
      </c>
      <c r="S245" s="33" t="s">
        <v>77</v>
      </c>
      <c r="T245" s="33" t="s">
        <v>78</v>
      </c>
      <c r="U245" s="33" t="s">
        <v>79</v>
      </c>
      <c r="V245" s="33" t="s">
        <v>924</v>
      </c>
      <c r="W245" s="33" t="s">
        <v>119</v>
      </c>
      <c r="X245" s="33" t="s">
        <v>120</v>
      </c>
      <c r="Y245" s="33" t="s">
        <v>617</v>
      </c>
      <c r="Z245" s="16">
        <f>COUNTIF($X$3:X245, X245)</f>
        <v>31</v>
      </c>
      <c r="AA245" s="16" t="e">
        <v>#N/A</v>
      </c>
      <c r="AB245" s="16" t="e">
        <v>#N/A</v>
      </c>
      <c r="AC245" s="16" t="e">
        <v>#N/A</v>
      </c>
      <c r="AD245" s="16" t="e">
        <v>#N/A</v>
      </c>
      <c r="AE245" s="16" t="e">
        <v>#N/A</v>
      </c>
      <c r="AF245" s="21" t="e">
        <v>#N/A</v>
      </c>
      <c r="AG245" s="17" t="e">
        <v>#N/A</v>
      </c>
      <c r="AH245" s="17" t="e">
        <f>Tabla1[[#This Row],[Renov. Flota]]-Tabla1[[#This Row],[Año]]</f>
        <v>#N/A</v>
      </c>
      <c r="AI245" s="18" t="e">
        <v>#N/A</v>
      </c>
      <c r="AJ245" s="18" t="e">
        <f>VLOOKUP(Tabla1[[#This Row],[Matricula nueva]],'ALTA 20242025'!$B$2:$P$242,15,FALSE)</f>
        <v>#N/A</v>
      </c>
      <c r="AK245" s="19" t="e">
        <v>#N/A</v>
      </c>
      <c r="AN245" s="1"/>
      <c r="AO245" s="1" t="e">
        <f>VLOOKUP(Tabla1[[#This Row],[Matricula nueva]],Hoja2!$A$1:$B$224,2,FALSE)</f>
        <v>#N/A</v>
      </c>
      <c r="AP245" s="1" t="str">
        <f>IF(Tabla1[[#This Row],[Columna2]]="M1",5.1,"")</f>
        <v/>
      </c>
      <c r="AQ245" s="1"/>
      <c r="AR245" s="1"/>
      <c r="AS245" s="47">
        <f>IF(Tabla1[[#This Row],[Columna2]]="M1",13073,IF(Tabla1[[#This Row],[Columna2]]="N1",15815,IF(Tabla1[[#This Row],[Columna2]]="L3e",2831,53508)))</f>
        <v>53508</v>
      </c>
      <c r="AT245" s="47" t="e">
        <f>(Tabla1[[#This Row],[CVA]]*Tabla1[[#This Row],[F]]-Tabla1[[#This Row],[CVN]])/100*Tabla1[[#This Row],[L]]</f>
        <v>#VALUE!</v>
      </c>
      <c r="AU245" s="1"/>
      <c r="AV245" s="1" t="e">
        <f>VLOOKUP(B245,Tabla467824[[ID CAE2]:[AE '[kWh']]],6,FALSE)</f>
        <v>#N/A</v>
      </c>
      <c r="AW24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46" spans="1:49" ht="15.75" hidden="1" thickBot="1" x14ac:dyDescent="0.3">
      <c r="B246" t="e">
        <f>VLOOKUP(A246,Tabla46782[ID CAE],1,FALSE)</f>
        <v>#N/A</v>
      </c>
      <c r="C246" s="31" t="s">
        <v>1423</v>
      </c>
      <c r="D246" s="31"/>
      <c r="E246" s="31"/>
      <c r="F246" s="31"/>
      <c r="G246" s="31"/>
      <c r="H246" s="31"/>
      <c r="I246" s="31"/>
      <c r="J246" s="31"/>
      <c r="K246" s="31" t="s">
        <v>73</v>
      </c>
      <c r="L246" s="31" t="s">
        <v>200</v>
      </c>
      <c r="M246" s="31" t="s">
        <v>201</v>
      </c>
      <c r="N246" s="31" t="s">
        <v>76</v>
      </c>
      <c r="O246" s="31" t="e">
        <f>VLOOKUP(Tabla1[[#This Row],[Matricula]],BAJA2022202320242025!$B$3:$CR$245,93,FALSE)</f>
        <v>#N/A</v>
      </c>
      <c r="P246" s="32">
        <v>44787</v>
      </c>
      <c r="Q246" s="32" t="e">
        <f>Tabla1[[#This Row],[F.Vig.Final]]-Tabla1[[#This Row],[f Vig Inicio]]</f>
        <v>#N/A</v>
      </c>
      <c r="R246" s="32">
        <f>YEAR(Tabla1[[#This Row],[F.Vig.Final]])</f>
        <v>2022</v>
      </c>
      <c r="S246" s="31" t="s">
        <v>77</v>
      </c>
      <c r="T246" s="31" t="s">
        <v>78</v>
      </c>
      <c r="U246" s="31" t="s">
        <v>359</v>
      </c>
      <c r="V246" s="31" t="s">
        <v>1424</v>
      </c>
      <c r="W246" s="31" t="s">
        <v>119</v>
      </c>
      <c r="X246" s="31" t="s">
        <v>120</v>
      </c>
      <c r="Y246" s="31" t="s">
        <v>1425</v>
      </c>
      <c r="Z246" s="16">
        <f>COUNTIF($X$3:X246, X246)</f>
        <v>32</v>
      </c>
      <c r="AA246" s="16" t="e">
        <v>#N/A</v>
      </c>
      <c r="AB246" s="16" t="e">
        <v>#N/A</v>
      </c>
      <c r="AC246" s="16" t="e">
        <v>#N/A</v>
      </c>
      <c r="AD246" s="16" t="e">
        <v>#N/A</v>
      </c>
      <c r="AE246" s="16" t="e">
        <v>#N/A</v>
      </c>
      <c r="AF246" s="17" t="e">
        <v>#N/A</v>
      </c>
      <c r="AG246" s="17" t="e">
        <v>#N/A</v>
      </c>
      <c r="AH246" s="17" t="e">
        <f>Tabla1[[#This Row],[Renov. Flota]]-Tabla1[[#This Row],[Año]]</f>
        <v>#N/A</v>
      </c>
      <c r="AI246" s="18" t="e">
        <v>#N/A</v>
      </c>
      <c r="AJ246" s="18" t="e">
        <f>VLOOKUP(Tabla1[[#This Row],[Matricula nueva]],'ALTA 20242025'!$B$2:$P$242,15,FALSE)</f>
        <v>#N/A</v>
      </c>
      <c r="AK246" s="19" t="e">
        <v>#N/A</v>
      </c>
      <c r="AN246" s="1"/>
      <c r="AO246" s="1" t="e">
        <f>VLOOKUP(Tabla1[[#This Row],[Matricula nueva]],Hoja2!$A$1:$B$224,2,FALSE)</f>
        <v>#N/A</v>
      </c>
      <c r="AP246" s="1" t="str">
        <f>IF(Tabla1[[#This Row],[Columna2]]="M1",5.1,"")</f>
        <v/>
      </c>
      <c r="AQ246" s="1"/>
      <c r="AR246" s="1"/>
      <c r="AS246" s="47">
        <f>IF(Tabla1[[#This Row],[Columna2]]="M1",13073,IF(Tabla1[[#This Row],[Columna2]]="N1",15815,IF(Tabla1[[#This Row],[Columna2]]="L3e",2831,53508)))</f>
        <v>53508</v>
      </c>
      <c r="AT246" s="47" t="e">
        <f>(Tabla1[[#This Row],[CVA]]*Tabla1[[#This Row],[F]]-Tabla1[[#This Row],[CVN]])/100*Tabla1[[#This Row],[L]]</f>
        <v>#VALUE!</v>
      </c>
      <c r="AU246" s="1"/>
      <c r="AV246" s="1" t="e">
        <f>VLOOKUP(B246,Tabla467824[[ID CAE2]:[AE '[kWh']]],6,FALSE)</f>
        <v>#N/A</v>
      </c>
      <c r="AW24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47" spans="1:49" ht="15.75" hidden="1" thickBot="1" x14ac:dyDescent="0.3">
      <c r="B247" t="e">
        <f>VLOOKUP(A247,Tabla46782[ID CAE],1,FALSE)</f>
        <v>#N/A</v>
      </c>
      <c r="C247" s="31" t="s">
        <v>1426</v>
      </c>
      <c r="D247" s="31"/>
      <c r="E247" s="31"/>
      <c r="F247" s="31"/>
      <c r="G247" s="31"/>
      <c r="H247" s="31"/>
      <c r="I247" s="31"/>
      <c r="J247" s="31"/>
      <c r="K247" s="31" t="s">
        <v>73</v>
      </c>
      <c r="L247" s="31" t="s">
        <v>200</v>
      </c>
      <c r="M247" s="31" t="s">
        <v>201</v>
      </c>
      <c r="N247" s="31" t="s">
        <v>76</v>
      </c>
      <c r="O247" s="31" t="e">
        <f>VLOOKUP(Tabla1[[#This Row],[Matricula]],BAJA2022202320242025!$B$3:$CR$245,93,FALSE)</f>
        <v>#N/A</v>
      </c>
      <c r="P247" s="32">
        <v>44808</v>
      </c>
      <c r="Q247" s="32" t="e">
        <f>Tabla1[[#This Row],[F.Vig.Final]]-Tabla1[[#This Row],[f Vig Inicio]]</f>
        <v>#N/A</v>
      </c>
      <c r="R247" s="32">
        <f>YEAR(Tabla1[[#This Row],[F.Vig.Final]])</f>
        <v>2022</v>
      </c>
      <c r="S247" s="31" t="s">
        <v>77</v>
      </c>
      <c r="T247" s="31" t="s">
        <v>78</v>
      </c>
      <c r="U247" s="31" t="s">
        <v>359</v>
      </c>
      <c r="V247" s="31" t="s">
        <v>604</v>
      </c>
      <c r="W247" s="31" t="s">
        <v>131</v>
      </c>
      <c r="X247" s="31" t="s">
        <v>132</v>
      </c>
      <c r="Y247" s="31" t="s">
        <v>135</v>
      </c>
      <c r="Z247" s="48">
        <f>COUNTIF($X$3:X247, X247)</f>
        <v>30</v>
      </c>
      <c r="AA247" s="48" t="e">
        <v>#N/A</v>
      </c>
      <c r="AB247" s="48" t="e">
        <v>#N/A</v>
      </c>
      <c r="AC247" s="48" t="e">
        <v>#N/A</v>
      </c>
      <c r="AD247" s="48" t="e">
        <v>#N/A</v>
      </c>
      <c r="AE247" s="16" t="e">
        <v>#N/A</v>
      </c>
      <c r="AF247" s="22" t="e">
        <v>#N/A</v>
      </c>
      <c r="AG247" s="22" t="e">
        <v>#N/A</v>
      </c>
      <c r="AH247" s="22" t="e">
        <f>Tabla1[[#This Row],[Renov. Flota]]-Tabla1[[#This Row],[Año]]</f>
        <v>#N/A</v>
      </c>
      <c r="AI247" s="49" t="e">
        <v>#N/A</v>
      </c>
      <c r="AJ247" s="49" t="e">
        <f>VLOOKUP(Tabla1[[#This Row],[Matricula nueva]],'ALTA 20242025'!$B$2:$P$242,15,FALSE)</f>
        <v>#N/A</v>
      </c>
      <c r="AK247" s="50" t="e">
        <v>#N/A</v>
      </c>
      <c r="AN247" s="1"/>
      <c r="AO247" s="1" t="e">
        <f>VLOOKUP(Tabla1[[#This Row],[Matricula nueva]],Hoja2!$A$1:$B$224,2,FALSE)</f>
        <v>#N/A</v>
      </c>
      <c r="AP247" s="1" t="str">
        <f>IF(Tabla1[[#This Row],[Columna2]]="M1",5.1,"")</f>
        <v/>
      </c>
      <c r="AQ247" s="1"/>
      <c r="AR247" s="1"/>
      <c r="AS247" s="47">
        <f>IF(Tabla1[[#This Row],[Columna2]]="M1",13073,IF(Tabla1[[#This Row],[Columna2]]="N1",15815,IF(Tabla1[[#This Row],[Columna2]]="L3e",2831,53508)))</f>
        <v>53508</v>
      </c>
      <c r="AT247" s="47" t="e">
        <f>(Tabla1[[#This Row],[CVA]]*Tabla1[[#This Row],[F]]-Tabla1[[#This Row],[CVN]])/100*Tabla1[[#This Row],[L]]</f>
        <v>#VALUE!</v>
      </c>
      <c r="AU247" s="1"/>
      <c r="AV247" s="1" t="e">
        <f>VLOOKUP(B247,Tabla467824[[ID CAE2]:[AE '[kWh']]],6,FALSE)</f>
        <v>#N/A</v>
      </c>
      <c r="AW24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48" spans="1:49" ht="15.75" thickBot="1" x14ac:dyDescent="0.3">
      <c r="A248" s="114" t="s">
        <v>1064</v>
      </c>
      <c r="B248" t="str">
        <f>VLOOKUP(A248,Tabla46782[ID CAE],1,FALSE)</f>
        <v>CAE500221</v>
      </c>
      <c r="C248" s="113" t="s">
        <v>1065</v>
      </c>
      <c r="D248" s="104"/>
      <c r="E248" s="104"/>
      <c r="F248" s="104"/>
      <c r="G248" s="104" t="s">
        <v>72</v>
      </c>
      <c r="H248" s="104" t="s">
        <v>72</v>
      </c>
      <c r="I248" s="104" t="s">
        <v>72</v>
      </c>
      <c r="J248" s="104"/>
      <c r="K248" s="96" t="s">
        <v>158</v>
      </c>
      <c r="L248" s="96" t="s">
        <v>159</v>
      </c>
      <c r="M248" s="96" t="s">
        <v>158</v>
      </c>
      <c r="N248" s="96" t="s">
        <v>171</v>
      </c>
      <c r="O248" s="99">
        <f>VLOOKUP(Tabla1[[#This Row],[Matricula]],BAJA2022202320242025!$B$3:$CR$245,93,FALSE)</f>
        <v>36161</v>
      </c>
      <c r="P248" s="97">
        <v>44994</v>
      </c>
      <c r="Q248" s="162">
        <f>Tabla1[[#This Row],[F.Vig.Final]]-Tabla1[[#This Row],[f Vig Inicio]]</f>
        <v>8833</v>
      </c>
      <c r="R248" s="141">
        <f>YEAR(Tabla1[[#This Row],[F.Vig.Final]])</f>
        <v>2023</v>
      </c>
      <c r="S248" s="96" t="s">
        <v>172</v>
      </c>
      <c r="T248" s="96" t="s">
        <v>78</v>
      </c>
      <c r="U248" s="96" t="s">
        <v>1066</v>
      </c>
      <c r="V248" s="96" t="s">
        <v>1067</v>
      </c>
      <c r="W248" s="96" t="s">
        <v>102</v>
      </c>
      <c r="X248" s="96" t="s">
        <v>103</v>
      </c>
      <c r="Y248" s="96" t="s">
        <v>579</v>
      </c>
      <c r="Z248" s="98">
        <f>COUNTIF($X$3:X248, X248)</f>
        <v>44</v>
      </c>
      <c r="AA248" s="98" t="s">
        <v>1068</v>
      </c>
      <c r="AB248" s="98" t="s">
        <v>79</v>
      </c>
      <c r="AC248" s="98" t="s">
        <v>442</v>
      </c>
      <c r="AD248" s="98" t="s">
        <v>87</v>
      </c>
      <c r="AE248" s="151" t="s">
        <v>107</v>
      </c>
      <c r="AF248" s="89" t="s">
        <v>108</v>
      </c>
      <c r="AG248" s="99">
        <v>45133</v>
      </c>
      <c r="AH248" s="98">
        <f>Tabla1[[#This Row],[Renov. Flota]]-Tabla1[[#This Row],[Año]]</f>
        <v>0</v>
      </c>
      <c r="AI248" s="100" t="s">
        <v>102</v>
      </c>
      <c r="AJ248" s="110">
        <v>4500370229</v>
      </c>
      <c r="AK248" s="101" t="s">
        <v>103</v>
      </c>
      <c r="AM248" s="1" t="s">
        <v>72</v>
      </c>
      <c r="AN248" s="1" t="s">
        <v>109</v>
      </c>
      <c r="AO248" s="1" t="s">
        <v>1069</v>
      </c>
      <c r="AP248" s="92">
        <v>5.6</v>
      </c>
      <c r="AQ248" s="81">
        <f>IF(T248="DIESEL",10,IF(T248="GLP",7.16,9.19))</f>
        <v>10</v>
      </c>
      <c r="AR248" s="82">
        <v>22.7</v>
      </c>
      <c r="AS248" s="83">
        <f>IF(Tabla1[[#This Row],[Columna2]]="M1",13073,IF(Tabla1[[#This Row],[Columna2]]="N1",15815,IF(Tabla1[[#This Row],[Columna2]]="L3e",2831,53508)))</f>
        <v>15815</v>
      </c>
      <c r="AT248" s="83">
        <f>(Tabla1[[#This Row],[CVA]]*Tabla1[[#This Row],[F]]-Tabla1[[#This Row],[CVN]])/100*Tabla1[[#This Row],[L]]</f>
        <v>5266.3949999999995</v>
      </c>
      <c r="AU248" s="84" t="s">
        <v>128</v>
      </c>
      <c r="AV248" s="294">
        <f>VLOOKUP(B248,Tabla467824[[ID CAE2]:[AE '[kWh']]],6,FALSE)</f>
        <v>5607.9989999999989</v>
      </c>
      <c r="AW24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PROPIEDAD</v>
      </c>
    </row>
    <row r="249" spans="1:49" ht="15.75" hidden="1" thickBot="1" x14ac:dyDescent="0.3">
      <c r="A249" t="s">
        <v>1427</v>
      </c>
      <c r="B249" t="e">
        <f>VLOOKUP(A249,Tabla46782[ID CAE],1,FALSE)</f>
        <v>#N/A</v>
      </c>
      <c r="C249" s="31" t="s">
        <v>1428</v>
      </c>
      <c r="D249" s="31"/>
      <c r="E249" s="31"/>
      <c r="F249" s="31"/>
      <c r="G249" s="31"/>
      <c r="H249" s="31"/>
      <c r="I249" s="31"/>
      <c r="J249" s="31"/>
      <c r="K249" s="31" t="s">
        <v>1034</v>
      </c>
      <c r="L249" s="31" t="s">
        <v>200</v>
      </c>
      <c r="M249" s="31" t="s">
        <v>201</v>
      </c>
      <c r="N249" s="31" t="s">
        <v>76</v>
      </c>
      <c r="O249" s="31" t="e">
        <f>VLOOKUP(Tabla1[[#This Row],[Matricula]],BAJA2022202320242025!$B$3:$CR$245,93,FALSE)</f>
        <v>#N/A</v>
      </c>
      <c r="P249" s="32">
        <v>44669</v>
      </c>
      <c r="Q249" s="32" t="e">
        <f>Tabla1[[#This Row],[F.Vig.Final]]-Tabla1[[#This Row],[f Vig Inicio]]</f>
        <v>#N/A</v>
      </c>
      <c r="R249" s="32">
        <f>YEAR(Tabla1[[#This Row],[F.Vig.Final]])</f>
        <v>2022</v>
      </c>
      <c r="S249" s="31" t="s">
        <v>77</v>
      </c>
      <c r="T249" s="31" t="s">
        <v>202</v>
      </c>
      <c r="U249" s="31" t="s">
        <v>416</v>
      </c>
      <c r="V249" s="31" t="s">
        <v>1429</v>
      </c>
      <c r="W249" s="31" t="s">
        <v>336</v>
      </c>
      <c r="X249" s="31" t="s">
        <v>337</v>
      </c>
      <c r="Y249" s="31" t="s">
        <v>1430</v>
      </c>
      <c r="Z249" s="93">
        <f>COUNTIF($X$3:X249, X249)</f>
        <v>19</v>
      </c>
      <c r="AA249" s="93" t="e">
        <v>#N/A</v>
      </c>
      <c r="AB249" s="93" t="e">
        <v>#N/A</v>
      </c>
      <c r="AC249" s="93" t="e">
        <v>#N/A</v>
      </c>
      <c r="AD249" s="93" t="e">
        <v>#N/A</v>
      </c>
      <c r="AE249" s="16" t="e">
        <v>#N/A</v>
      </c>
      <c r="AF249" s="21" t="e">
        <v>#N/A</v>
      </c>
      <c r="AG249" s="21" t="e">
        <v>#N/A</v>
      </c>
      <c r="AH249" s="21" t="e">
        <f>Tabla1[[#This Row],[Renov. Flota]]-Tabla1[[#This Row],[Año]]</f>
        <v>#N/A</v>
      </c>
      <c r="AI249" s="94" t="e">
        <v>#N/A</v>
      </c>
      <c r="AJ249" s="94" t="e">
        <f>VLOOKUP(Tabla1[[#This Row],[Matricula nueva]],'ALTA 20242025'!$B$2:$P$242,15,FALSE)</f>
        <v>#N/A</v>
      </c>
      <c r="AK249" s="95" t="e">
        <v>#N/A</v>
      </c>
      <c r="AN249" s="1"/>
      <c r="AO249" s="1" t="e">
        <f>VLOOKUP(Tabla1[[#This Row],[Matricula nueva]],Hoja2!$A$1:$B$224,2,FALSE)</f>
        <v>#N/A</v>
      </c>
      <c r="AP249" s="1" t="str">
        <f>IF(Tabla1[[#This Row],[Columna2]]="M1",5.1,"")</f>
        <v/>
      </c>
      <c r="AQ249" s="1"/>
      <c r="AR249" s="1"/>
      <c r="AS249" s="47">
        <f>IF(Tabla1[[#This Row],[Columna2]]="M1",13073,IF(Tabla1[[#This Row],[Columna2]]="N1",15815,IF(Tabla1[[#This Row],[Columna2]]="L3e",2831,53508)))</f>
        <v>53508</v>
      </c>
      <c r="AT249" s="47" t="e">
        <f>(Tabla1[[#This Row],[CVA]]*Tabla1[[#This Row],[F]]-Tabla1[[#This Row],[CVN]])/100*Tabla1[[#This Row],[L]]</f>
        <v>#VALUE!</v>
      </c>
      <c r="AU249" s="1"/>
      <c r="AV249" s="1" t="e">
        <f>VLOOKUP(B249,Tabla467824[[ID CAE2]:[AE '[kWh']]],6,FALSE)</f>
        <v>#N/A</v>
      </c>
      <c r="AW24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0" spans="1:49" ht="15.75" hidden="1" thickBot="1" x14ac:dyDescent="0.3">
      <c r="A250" t="s">
        <v>1431</v>
      </c>
      <c r="B250" t="e">
        <f>VLOOKUP(A250,Tabla46782[ID CAE],1,FALSE)</f>
        <v>#N/A</v>
      </c>
      <c r="C250" s="33" t="s">
        <v>1432</v>
      </c>
      <c r="D250" s="33"/>
      <c r="E250" s="33"/>
      <c r="F250" s="33"/>
      <c r="G250" s="33"/>
      <c r="H250" s="33"/>
      <c r="I250" s="33"/>
      <c r="J250" s="33"/>
      <c r="K250" s="33" t="s">
        <v>73</v>
      </c>
      <c r="L250" s="33" t="s">
        <v>200</v>
      </c>
      <c r="M250" s="33" t="s">
        <v>201</v>
      </c>
      <c r="N250" s="33" t="s">
        <v>76</v>
      </c>
      <c r="O250" s="1">
        <f>VLOOKUP(Tabla1[[#This Row],[Matricula]],BAJA2022202320242025!$B$3:$CR$245,93,FALSE)</f>
        <v>44238</v>
      </c>
      <c r="P250" s="34">
        <v>45699</v>
      </c>
      <c r="Q250" s="34">
        <f>Tabla1[[#This Row],[F.Vig.Final]]-Tabla1[[#This Row],[f Vig Inicio]]</f>
        <v>1461</v>
      </c>
      <c r="R250" s="34">
        <f>YEAR(Tabla1[[#This Row],[F.Vig.Final]])</f>
        <v>2025</v>
      </c>
      <c r="S250" s="33" t="s">
        <v>77</v>
      </c>
      <c r="T250" s="33" t="s">
        <v>78</v>
      </c>
      <c r="U250" s="33" t="s">
        <v>79</v>
      </c>
      <c r="V250" s="33" t="s">
        <v>924</v>
      </c>
      <c r="W250" s="33" t="s">
        <v>336</v>
      </c>
      <c r="X250" s="33" t="s">
        <v>337</v>
      </c>
      <c r="Y250" s="33" t="s">
        <v>760</v>
      </c>
      <c r="Z250" s="16">
        <f>COUNTIF($X$3:X250, X250)</f>
        <v>20</v>
      </c>
      <c r="AA250" s="16" t="e">
        <v>#N/A</v>
      </c>
      <c r="AB250" s="16" t="e">
        <v>#N/A</v>
      </c>
      <c r="AC250" s="16" t="e">
        <v>#N/A</v>
      </c>
      <c r="AD250" s="16" t="e">
        <v>#N/A</v>
      </c>
      <c r="AE250" s="16" t="e">
        <v>#N/A</v>
      </c>
      <c r="AF250" s="17" t="e">
        <v>#N/A</v>
      </c>
      <c r="AG250" s="17" t="e">
        <v>#N/A</v>
      </c>
      <c r="AH250" s="17" t="e">
        <f>Tabla1[[#This Row],[Renov. Flota]]-Tabla1[[#This Row],[Año]]</f>
        <v>#N/A</v>
      </c>
      <c r="AI250" s="18" t="e">
        <v>#N/A</v>
      </c>
      <c r="AJ250" s="18" t="e">
        <f>VLOOKUP(Tabla1[[#This Row],[Matricula nueva]],'ALTA 20242025'!$B$2:$P$242,15,FALSE)</f>
        <v>#N/A</v>
      </c>
      <c r="AK250" s="19" t="e">
        <v>#N/A</v>
      </c>
      <c r="AN250" s="1"/>
      <c r="AO250" s="1" t="e">
        <f>VLOOKUP(Tabla1[[#This Row],[Matricula nueva]],Hoja2!$A$1:$B$224,2,FALSE)</f>
        <v>#N/A</v>
      </c>
      <c r="AP250" s="1" t="str">
        <f>IF(Tabla1[[#This Row],[Columna2]]="M1",5.1,"")</f>
        <v/>
      </c>
      <c r="AQ250" s="1"/>
      <c r="AR250" s="1"/>
      <c r="AS250" s="47">
        <f>IF(Tabla1[[#This Row],[Columna2]]="M1",13073,IF(Tabla1[[#This Row],[Columna2]]="N1",15815,IF(Tabla1[[#This Row],[Columna2]]="L3e",2831,53508)))</f>
        <v>53508</v>
      </c>
      <c r="AT250" s="47" t="e">
        <f>(Tabla1[[#This Row],[CVA]]*Tabla1[[#This Row],[F]]-Tabla1[[#This Row],[CVN]])/100*Tabla1[[#This Row],[L]]</f>
        <v>#VALUE!</v>
      </c>
      <c r="AU250" s="1"/>
      <c r="AV250" s="1" t="e">
        <f>VLOOKUP(B250,Tabla467824[[ID CAE2]:[AE '[kWh']]],6,FALSE)</f>
        <v>#N/A</v>
      </c>
      <c r="AW25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1" spans="1:49" ht="15.75" hidden="1" thickBot="1" x14ac:dyDescent="0.3">
      <c r="A251" t="s">
        <v>1433</v>
      </c>
      <c r="B251" t="e">
        <f>VLOOKUP(A251,Tabla46782[ID CAE],1,FALSE)</f>
        <v>#N/A</v>
      </c>
      <c r="C251" s="31" t="s">
        <v>1434</v>
      </c>
      <c r="D251" s="31"/>
      <c r="E251" s="31"/>
      <c r="F251" s="31"/>
      <c r="G251" s="31"/>
      <c r="H251" s="31"/>
      <c r="I251" s="31"/>
      <c r="J251" s="31"/>
      <c r="K251" s="31" t="s">
        <v>73</v>
      </c>
      <c r="L251" s="31" t="s">
        <v>200</v>
      </c>
      <c r="M251" s="31" t="s">
        <v>201</v>
      </c>
      <c r="N251" s="31" t="s">
        <v>76</v>
      </c>
      <c r="O251" s="31" t="e">
        <f>VLOOKUP(Tabla1[[#This Row],[Matricula]],BAJA2022202320242025!$B$3:$CR$245,93,FALSE)</f>
        <v>#N/A</v>
      </c>
      <c r="P251" s="32">
        <v>44657</v>
      </c>
      <c r="Q251" s="32" t="e">
        <f>Tabla1[[#This Row],[F.Vig.Final]]-Tabla1[[#This Row],[f Vig Inicio]]</f>
        <v>#N/A</v>
      </c>
      <c r="R251" s="32">
        <f>YEAR(Tabla1[[#This Row],[F.Vig.Final]])</f>
        <v>2022</v>
      </c>
      <c r="S251" s="31" t="s">
        <v>77</v>
      </c>
      <c r="T251" s="31" t="s">
        <v>78</v>
      </c>
      <c r="U251" s="31" t="s">
        <v>359</v>
      </c>
      <c r="V251" s="31" t="s">
        <v>360</v>
      </c>
      <c r="W251" s="31" t="s">
        <v>584</v>
      </c>
      <c r="X251" s="31" t="s">
        <v>585</v>
      </c>
      <c r="Y251" s="31" t="s">
        <v>1435</v>
      </c>
      <c r="Z251" s="16">
        <f>COUNTIF($X$3:X251, X251)</f>
        <v>19</v>
      </c>
      <c r="AA251" s="16" t="e">
        <v>#N/A</v>
      </c>
      <c r="AB251" s="16" t="e">
        <v>#N/A</v>
      </c>
      <c r="AC251" s="16" t="e">
        <v>#N/A</v>
      </c>
      <c r="AD251" s="16" t="e">
        <v>#N/A</v>
      </c>
      <c r="AE251" s="16" t="e">
        <v>#N/A</v>
      </c>
      <c r="AF251" s="17" t="e">
        <v>#N/A</v>
      </c>
      <c r="AG251" s="17" t="e">
        <v>#N/A</v>
      </c>
      <c r="AH251" s="17" t="e">
        <f>Tabla1[[#This Row],[Renov. Flota]]-Tabla1[[#This Row],[Año]]</f>
        <v>#N/A</v>
      </c>
      <c r="AI251" s="18" t="e">
        <v>#N/A</v>
      </c>
      <c r="AJ251" s="18" t="e">
        <f>VLOOKUP(Tabla1[[#This Row],[Matricula nueva]],'ALTA 20242025'!$B$2:$P$242,15,FALSE)</f>
        <v>#N/A</v>
      </c>
      <c r="AK251" s="19" t="e">
        <v>#N/A</v>
      </c>
      <c r="AN251" s="1"/>
      <c r="AO251" s="1" t="e">
        <f>VLOOKUP(Tabla1[[#This Row],[Matricula nueva]],Hoja2!$A$1:$B$224,2,FALSE)</f>
        <v>#N/A</v>
      </c>
      <c r="AP251" s="1" t="str">
        <f>IF(Tabla1[[#This Row],[Columna2]]="M1",5.1,"")</f>
        <v/>
      </c>
      <c r="AQ251" s="1"/>
      <c r="AR251" s="1"/>
      <c r="AS251" s="47">
        <f>IF(Tabla1[[#This Row],[Columna2]]="M1",13073,IF(Tabla1[[#This Row],[Columna2]]="N1",15815,IF(Tabla1[[#This Row],[Columna2]]="L3e",2831,53508)))</f>
        <v>53508</v>
      </c>
      <c r="AT251" s="47" t="e">
        <f>(Tabla1[[#This Row],[CVA]]*Tabla1[[#This Row],[F]]-Tabla1[[#This Row],[CVN]])/100*Tabla1[[#This Row],[L]]</f>
        <v>#VALUE!</v>
      </c>
      <c r="AU251" s="1"/>
      <c r="AV251" s="1" t="e">
        <f>VLOOKUP(B251,Tabla467824[[ID CAE2]:[AE '[kWh']]],6,FALSE)</f>
        <v>#N/A</v>
      </c>
      <c r="AW25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2" spans="1:49" ht="15.75" hidden="1" thickBot="1" x14ac:dyDescent="0.3">
      <c r="A252" t="s">
        <v>1436</v>
      </c>
      <c r="B252" t="e">
        <f>VLOOKUP(A252,Tabla46782[ID CAE],1,FALSE)</f>
        <v>#N/A</v>
      </c>
      <c r="C252" s="31" t="s">
        <v>1437</v>
      </c>
      <c r="D252" s="31"/>
      <c r="E252" s="31"/>
      <c r="F252" s="31"/>
      <c r="G252" s="31"/>
      <c r="H252" s="31"/>
      <c r="I252" s="31"/>
      <c r="J252" s="31"/>
      <c r="K252" s="31" t="s">
        <v>73</v>
      </c>
      <c r="L252" s="31" t="s">
        <v>200</v>
      </c>
      <c r="M252" s="31" t="s">
        <v>201</v>
      </c>
      <c r="N252" s="31" t="s">
        <v>76</v>
      </c>
      <c r="O252" s="31" t="e">
        <f>VLOOKUP(Tabla1[[#This Row],[Matricula]],BAJA2022202320242025!$B$3:$CR$245,93,FALSE)</f>
        <v>#N/A</v>
      </c>
      <c r="P252" s="32">
        <v>44857</v>
      </c>
      <c r="Q252" s="32" t="e">
        <f>Tabla1[[#This Row],[F.Vig.Final]]-Tabla1[[#This Row],[f Vig Inicio]]</f>
        <v>#N/A</v>
      </c>
      <c r="R252" s="32">
        <f>YEAR(Tabla1[[#This Row],[F.Vig.Final]])</f>
        <v>2022</v>
      </c>
      <c r="S252" s="31" t="s">
        <v>77</v>
      </c>
      <c r="T252" s="31" t="s">
        <v>78</v>
      </c>
      <c r="U252" s="31" t="s">
        <v>359</v>
      </c>
      <c r="V252" s="31" t="s">
        <v>604</v>
      </c>
      <c r="W252" s="31" t="s">
        <v>131</v>
      </c>
      <c r="X252" s="31" t="s">
        <v>132</v>
      </c>
      <c r="Y252" s="31" t="s">
        <v>135</v>
      </c>
      <c r="Z252" s="48">
        <f>COUNTIF($X$3:X252, X252)</f>
        <v>31</v>
      </c>
      <c r="AA252" s="48" t="e">
        <v>#N/A</v>
      </c>
      <c r="AB252" s="48" t="e">
        <v>#N/A</v>
      </c>
      <c r="AC252" s="48" t="e">
        <v>#N/A</v>
      </c>
      <c r="AD252" s="48" t="e">
        <v>#N/A</v>
      </c>
      <c r="AE252" s="16" t="e">
        <v>#N/A</v>
      </c>
      <c r="AF252" s="22" t="e">
        <v>#N/A</v>
      </c>
      <c r="AG252" s="22" t="e">
        <v>#N/A</v>
      </c>
      <c r="AH252" s="22" t="e">
        <f>Tabla1[[#This Row],[Renov. Flota]]-Tabla1[[#This Row],[Año]]</f>
        <v>#N/A</v>
      </c>
      <c r="AI252" s="49" t="e">
        <v>#N/A</v>
      </c>
      <c r="AJ252" s="49" t="e">
        <f>VLOOKUP(Tabla1[[#This Row],[Matricula nueva]],'ALTA 20242025'!$B$2:$P$242,15,FALSE)</f>
        <v>#N/A</v>
      </c>
      <c r="AK252" s="50" t="e">
        <v>#N/A</v>
      </c>
      <c r="AN252" s="1"/>
      <c r="AO252" s="1" t="e">
        <f>VLOOKUP(Tabla1[[#This Row],[Matricula nueva]],Hoja2!$A$1:$B$224,2,FALSE)</f>
        <v>#N/A</v>
      </c>
      <c r="AP252" s="1" t="str">
        <f>IF(Tabla1[[#This Row],[Columna2]]="M1",5.1,"")</f>
        <v/>
      </c>
      <c r="AQ252" s="1"/>
      <c r="AR252" s="1"/>
      <c r="AS252" s="47">
        <f>IF(Tabla1[[#This Row],[Columna2]]="M1",13073,IF(Tabla1[[#This Row],[Columna2]]="N1",15815,IF(Tabla1[[#This Row],[Columna2]]="L3e",2831,53508)))</f>
        <v>53508</v>
      </c>
      <c r="AT252" s="47" t="e">
        <f>(Tabla1[[#This Row],[CVA]]*Tabla1[[#This Row],[F]]-Tabla1[[#This Row],[CVN]])/100*Tabla1[[#This Row],[L]]</f>
        <v>#VALUE!</v>
      </c>
      <c r="AU252" s="1"/>
      <c r="AV252" s="1" t="e">
        <f>VLOOKUP(B252,Tabla467824[[ID CAE2]:[AE '[kWh']]],6,FALSE)</f>
        <v>#N/A</v>
      </c>
      <c r="AW25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3" spans="1:49" ht="15.75" thickBot="1" x14ac:dyDescent="0.3">
      <c r="A253" s="114" t="s">
        <v>1070</v>
      </c>
      <c r="B253" t="str">
        <f>VLOOKUP(A253,Tabla46782[ID CAE],1,FALSE)</f>
        <v>CAE500226</v>
      </c>
      <c r="C253" s="113" t="s">
        <v>1071</v>
      </c>
      <c r="D253" s="104"/>
      <c r="E253" s="104"/>
      <c r="F253" s="104"/>
      <c r="G253" s="104"/>
      <c r="H253" s="104"/>
      <c r="I253" s="104"/>
      <c r="J253" s="104"/>
      <c r="K253" s="96" t="s">
        <v>466</v>
      </c>
      <c r="L253" s="96" t="s">
        <v>200</v>
      </c>
      <c r="M253" s="96" t="s">
        <v>201</v>
      </c>
      <c r="N253" s="96" t="s">
        <v>76</v>
      </c>
      <c r="O253" s="101">
        <f>VLOOKUP(Tabla1[[#This Row],[Matricula]],BAJA2022202320242025!$B$3:$CR$245,93,FALSE)</f>
        <v>44026</v>
      </c>
      <c r="P253" s="97">
        <v>45169</v>
      </c>
      <c r="Q253" s="162">
        <f>Tabla1[[#This Row],[F.Vig.Final]]-Tabla1[[#This Row],[f Vig Inicio]]</f>
        <v>1143</v>
      </c>
      <c r="R253" s="141">
        <f>YEAR(Tabla1[[#This Row],[F.Vig.Final]])</f>
        <v>2023</v>
      </c>
      <c r="S253" s="96" t="s">
        <v>77</v>
      </c>
      <c r="T253" s="96" t="s">
        <v>78</v>
      </c>
      <c r="U253" s="96" t="s">
        <v>467</v>
      </c>
      <c r="V253" s="96" t="s">
        <v>1072</v>
      </c>
      <c r="W253" s="96" t="s">
        <v>960</v>
      </c>
      <c r="X253" s="96" t="s">
        <v>961</v>
      </c>
      <c r="Y253" s="96" t="s">
        <v>1073</v>
      </c>
      <c r="Z253" s="98">
        <f>COUNTIF($X$3:X253, X253)</f>
        <v>2</v>
      </c>
      <c r="AA253" s="98" t="s">
        <v>1074</v>
      </c>
      <c r="AB253" s="98" t="s">
        <v>85</v>
      </c>
      <c r="AC253" s="98" t="s">
        <v>86</v>
      </c>
      <c r="AD253" s="98" t="s">
        <v>87</v>
      </c>
      <c r="AE253" s="151" t="s">
        <v>1075</v>
      </c>
      <c r="AF253" s="89" t="s">
        <v>89</v>
      </c>
      <c r="AG253" s="99">
        <v>45645</v>
      </c>
      <c r="AH253" s="98">
        <f>Tabla1[[#This Row],[Renov. Flota]]-Tabla1[[#This Row],[Año]]</f>
        <v>1</v>
      </c>
      <c r="AI253" s="100" t="s">
        <v>960</v>
      </c>
      <c r="AJ253" s="100" t="str">
        <f>VLOOKUP(Tabla1[[#This Row],[Matricula nueva]],'ALTA 20242025'!$B$2:$P$242,15,FALSE)</f>
        <v>4500426769</v>
      </c>
      <c r="AK253" s="101" t="s">
        <v>961</v>
      </c>
      <c r="AM253" s="1" t="s">
        <v>72</v>
      </c>
      <c r="AN253" s="1" t="s">
        <v>91</v>
      </c>
      <c r="AO253" s="1" t="str">
        <f>VLOOKUP(Tabla1[[#This Row],[Matricula nueva]],Hoja2!$A$1:$B$224,2,FALSE)</f>
        <v>VF1RFK00773934312</v>
      </c>
      <c r="AP253" s="92">
        <f>IF(Tabla1[[#This Row],[Columna2]]="M1",5.1,"")</f>
        <v>5.0999999999999996</v>
      </c>
      <c r="AQ253" s="81">
        <f>IF(T253="DIESEL",10,IF(T253="GLP",7.16,9.19))</f>
        <v>10</v>
      </c>
      <c r="AR253" s="82">
        <v>17.3</v>
      </c>
      <c r="AS253" s="83">
        <f>IF(Tabla1[[#This Row],[Columna2]]="M1",13073,IF(Tabla1[[#This Row],[Columna2]]="N1",15815,IF(Tabla1[[#This Row],[Columna2]]="L3e",2831,53508)))</f>
        <v>13073</v>
      </c>
      <c r="AT253" s="83">
        <f>(Tabla1[[#This Row],[CVA]]*Tabla1[[#This Row],[F]]-Tabla1[[#This Row],[CVN]])/100*Tabla1[[#This Row],[L]]</f>
        <v>4405.6010000000006</v>
      </c>
      <c r="AU253" s="84" t="s">
        <v>70</v>
      </c>
      <c r="AV253" s="294">
        <f>VLOOKUP(B253,Tabla467824[[ID CAE2]:[AE '[kWh']]],6,FALSE)</f>
        <v>6795.3454000000002</v>
      </c>
      <c r="AW25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4" spans="1:49" ht="15.75" hidden="1" thickBot="1" x14ac:dyDescent="0.3">
      <c r="A254" t="s">
        <v>1438</v>
      </c>
      <c r="B254" t="e">
        <f>VLOOKUP(A254,Tabla46782[ID CAE],1,FALSE)</f>
        <v>#N/A</v>
      </c>
      <c r="C254" s="31" t="s">
        <v>1439</v>
      </c>
      <c r="D254" s="31"/>
      <c r="E254" s="31"/>
      <c r="F254" s="31"/>
      <c r="G254" s="31"/>
      <c r="H254" s="31"/>
      <c r="I254" s="31"/>
      <c r="J254" s="31"/>
      <c r="K254" s="31" t="s">
        <v>885</v>
      </c>
      <c r="L254" s="31" t="s">
        <v>161</v>
      </c>
      <c r="M254" s="31" t="s">
        <v>886</v>
      </c>
      <c r="N254" s="31" t="s">
        <v>76</v>
      </c>
      <c r="O254" s="31" t="e">
        <f>VLOOKUP(Tabla1[[#This Row],[Matricula]],BAJA2022202320242025!$B$3:$CR$245,93,FALSE)</f>
        <v>#N/A</v>
      </c>
      <c r="P254" s="32">
        <v>44865</v>
      </c>
      <c r="Q254" s="32" t="e">
        <f>Tabla1[[#This Row],[F.Vig.Final]]-Tabla1[[#This Row],[f Vig Inicio]]</f>
        <v>#N/A</v>
      </c>
      <c r="R254" s="32">
        <f>YEAR(Tabla1[[#This Row],[F.Vig.Final]])</f>
        <v>2022</v>
      </c>
      <c r="S254" s="31" t="s">
        <v>77</v>
      </c>
      <c r="T254" s="31" t="s">
        <v>78</v>
      </c>
      <c r="U254" s="31" t="s">
        <v>85</v>
      </c>
      <c r="V254" s="31" t="s">
        <v>1440</v>
      </c>
      <c r="W254" s="31" t="s">
        <v>1050</v>
      </c>
      <c r="X254" s="31" t="s">
        <v>1051</v>
      </c>
      <c r="Y254" s="31" t="s">
        <v>1052</v>
      </c>
      <c r="Z254" s="93">
        <f>COUNTIF($X$3:X254, X254)</f>
        <v>10</v>
      </c>
      <c r="AA254" s="93" t="e">
        <v>#N/A</v>
      </c>
      <c r="AB254" s="93" t="e">
        <v>#N/A</v>
      </c>
      <c r="AC254" s="93" t="e">
        <v>#N/A</v>
      </c>
      <c r="AD254" s="93" t="e">
        <v>#N/A</v>
      </c>
      <c r="AE254" s="16" t="e">
        <v>#N/A</v>
      </c>
      <c r="AF254" s="21" t="e">
        <v>#N/A</v>
      </c>
      <c r="AG254" s="21" t="e">
        <v>#N/A</v>
      </c>
      <c r="AH254" s="21" t="e">
        <f>Tabla1[[#This Row],[Renov. Flota]]-Tabla1[[#This Row],[Año]]</f>
        <v>#N/A</v>
      </c>
      <c r="AI254" s="94" t="e">
        <v>#N/A</v>
      </c>
      <c r="AJ254" s="94" t="e">
        <f>VLOOKUP(Tabla1[[#This Row],[Matricula nueva]],'ALTA 20242025'!$B$2:$P$242,15,FALSE)</f>
        <v>#N/A</v>
      </c>
      <c r="AK254" s="95" t="e">
        <v>#N/A</v>
      </c>
      <c r="AN254" s="1"/>
      <c r="AO254" s="1" t="e">
        <f>VLOOKUP(Tabla1[[#This Row],[Matricula nueva]],Hoja2!$A$1:$B$224,2,FALSE)</f>
        <v>#N/A</v>
      </c>
      <c r="AP254" s="1" t="str">
        <f>IF(Tabla1[[#This Row],[Columna2]]="M1",5.1,"")</f>
        <v/>
      </c>
      <c r="AQ254" s="1"/>
      <c r="AR254" s="1"/>
      <c r="AS254" s="47">
        <f>IF(Tabla1[[#This Row],[Columna2]]="M1",13073,IF(Tabla1[[#This Row],[Columna2]]="N1",15815,IF(Tabla1[[#This Row],[Columna2]]="L3e",2831,53508)))</f>
        <v>53508</v>
      </c>
      <c r="AT254" s="47" t="e">
        <f>(Tabla1[[#This Row],[CVA]]*Tabla1[[#This Row],[F]]-Tabla1[[#This Row],[CVN]])/100*Tabla1[[#This Row],[L]]</f>
        <v>#VALUE!</v>
      </c>
      <c r="AU254" s="1"/>
      <c r="AV254" s="1" t="e">
        <f>VLOOKUP(B254,Tabla467824[[ID CAE2]:[AE '[kWh']]],6,FALSE)</f>
        <v>#N/A</v>
      </c>
      <c r="AW25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5" spans="1:49" ht="15.75" hidden="1" thickBot="1" x14ac:dyDescent="0.3">
      <c r="A255" t="s">
        <v>1441</v>
      </c>
      <c r="B255" t="e">
        <f>VLOOKUP(A255,Tabla46782[ID CAE],1,FALSE)</f>
        <v>#N/A</v>
      </c>
      <c r="C255" s="31" t="s">
        <v>1442</v>
      </c>
      <c r="D255" s="31"/>
      <c r="E255" s="31"/>
      <c r="F255" s="31"/>
      <c r="G255" s="31"/>
      <c r="H255" s="31"/>
      <c r="I255" s="31"/>
      <c r="J255" s="31"/>
      <c r="K255" s="31" t="s">
        <v>1143</v>
      </c>
      <c r="L255" s="31" t="s">
        <v>74</v>
      </c>
      <c r="M255" s="31" t="s">
        <v>75</v>
      </c>
      <c r="N255" s="31" t="s">
        <v>76</v>
      </c>
      <c r="O255" s="31" t="e">
        <f>VLOOKUP(Tabla1[[#This Row],[Matricula]],BAJA2022202320242025!$B$3:$CR$245,93,FALSE)</f>
        <v>#N/A</v>
      </c>
      <c r="P255" s="32">
        <v>44804</v>
      </c>
      <c r="Q255" s="32" t="e">
        <f>Tabla1[[#This Row],[F.Vig.Final]]-Tabla1[[#This Row],[f Vig Inicio]]</f>
        <v>#N/A</v>
      </c>
      <c r="R255" s="32">
        <f>YEAR(Tabla1[[#This Row],[F.Vig.Final]])</f>
        <v>2022</v>
      </c>
      <c r="S255" s="31" t="s">
        <v>77</v>
      </c>
      <c r="T255" s="31" t="s">
        <v>78</v>
      </c>
      <c r="U255" s="31" t="s">
        <v>524</v>
      </c>
      <c r="V255" s="31" t="s">
        <v>1443</v>
      </c>
      <c r="W255" s="31" t="s">
        <v>1050</v>
      </c>
      <c r="X255" s="31" t="s">
        <v>1051</v>
      </c>
      <c r="Y255" s="31" t="s">
        <v>1052</v>
      </c>
      <c r="Z255" s="16">
        <f>COUNTIF($X$3:X255, X255)</f>
        <v>11</v>
      </c>
      <c r="AA255" s="16" t="e">
        <v>#N/A</v>
      </c>
      <c r="AB255" s="16" t="e">
        <v>#N/A</v>
      </c>
      <c r="AC255" s="16" t="e">
        <v>#N/A</v>
      </c>
      <c r="AD255" s="16" t="e">
        <v>#N/A</v>
      </c>
      <c r="AE255" s="16" t="e">
        <v>#N/A</v>
      </c>
      <c r="AF255" s="17" t="e">
        <v>#N/A</v>
      </c>
      <c r="AG255" s="17" t="e">
        <v>#N/A</v>
      </c>
      <c r="AH255" s="17" t="e">
        <f>Tabla1[[#This Row],[Renov. Flota]]-Tabla1[[#This Row],[Año]]</f>
        <v>#N/A</v>
      </c>
      <c r="AI255" s="18" t="e">
        <v>#N/A</v>
      </c>
      <c r="AJ255" s="18" t="e">
        <f>VLOOKUP(Tabla1[[#This Row],[Matricula nueva]],'ALTA 20242025'!$B$2:$P$242,15,FALSE)</f>
        <v>#N/A</v>
      </c>
      <c r="AK255" s="19" t="e">
        <v>#N/A</v>
      </c>
      <c r="AN255" s="1"/>
      <c r="AO255" s="1" t="e">
        <f>VLOOKUP(Tabla1[[#This Row],[Matricula nueva]],Hoja2!$A$1:$B$224,2,FALSE)</f>
        <v>#N/A</v>
      </c>
      <c r="AP255" s="1" t="str">
        <f>IF(Tabla1[[#This Row],[Columna2]]="M1",5.1,"")</f>
        <v/>
      </c>
      <c r="AQ255" s="1"/>
      <c r="AR255" s="1"/>
      <c r="AS255" s="47">
        <f>IF(Tabla1[[#This Row],[Columna2]]="M1",13073,IF(Tabla1[[#This Row],[Columna2]]="N1",15815,IF(Tabla1[[#This Row],[Columna2]]="L3e",2831,53508)))</f>
        <v>53508</v>
      </c>
      <c r="AT255" s="47" t="e">
        <f>(Tabla1[[#This Row],[CVA]]*Tabla1[[#This Row],[F]]-Tabla1[[#This Row],[CVN]])/100*Tabla1[[#This Row],[L]]</f>
        <v>#VALUE!</v>
      </c>
      <c r="AU255" s="1"/>
      <c r="AV255" s="1" t="e">
        <f>VLOOKUP(B255,Tabla467824[[ID CAE2]:[AE '[kWh']]],6,FALSE)</f>
        <v>#N/A</v>
      </c>
      <c r="AW25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6" spans="1:49" ht="15.75" hidden="1" thickBot="1" x14ac:dyDescent="0.3">
      <c r="A256" t="s">
        <v>1444</v>
      </c>
      <c r="B256" t="e">
        <f>VLOOKUP(A256,Tabla46782[ID CAE],1,FALSE)</f>
        <v>#N/A</v>
      </c>
      <c r="C256" s="31" t="s">
        <v>1445</v>
      </c>
      <c r="D256" s="31"/>
      <c r="E256" s="31"/>
      <c r="F256" s="31"/>
      <c r="G256" s="31"/>
      <c r="H256" s="31"/>
      <c r="I256" s="31"/>
      <c r="J256" s="31"/>
      <c r="K256" s="31" t="s">
        <v>73</v>
      </c>
      <c r="L256" s="31" t="s">
        <v>200</v>
      </c>
      <c r="M256" s="31" t="s">
        <v>201</v>
      </c>
      <c r="N256" s="31" t="s">
        <v>76</v>
      </c>
      <c r="O256" s="31" t="e">
        <f>VLOOKUP(Tabla1[[#This Row],[Matricula]],BAJA2022202320242025!$B$3:$CR$245,93,FALSE)</f>
        <v>#N/A</v>
      </c>
      <c r="P256" s="32">
        <v>44717</v>
      </c>
      <c r="Q256" s="32" t="e">
        <f>Tabla1[[#This Row],[F.Vig.Final]]-Tabla1[[#This Row],[f Vig Inicio]]</f>
        <v>#N/A</v>
      </c>
      <c r="R256" s="32">
        <f>YEAR(Tabla1[[#This Row],[F.Vig.Final]])</f>
        <v>2022</v>
      </c>
      <c r="S256" s="31" t="s">
        <v>77</v>
      </c>
      <c r="T256" s="31" t="s">
        <v>78</v>
      </c>
      <c r="U256" s="31" t="s">
        <v>359</v>
      </c>
      <c r="V256" s="31" t="s">
        <v>604</v>
      </c>
      <c r="W256" s="31" t="s">
        <v>215</v>
      </c>
      <c r="X256" s="31" t="s">
        <v>216</v>
      </c>
      <c r="Y256" s="31" t="s">
        <v>217</v>
      </c>
      <c r="Z256" s="48">
        <f>COUNTIF($X$3:X256, X256)</f>
        <v>7</v>
      </c>
      <c r="AA256" s="48" t="e">
        <v>#N/A</v>
      </c>
      <c r="AB256" s="48" t="e">
        <v>#N/A</v>
      </c>
      <c r="AC256" s="48" t="e">
        <v>#N/A</v>
      </c>
      <c r="AD256" s="48" t="e">
        <v>#N/A</v>
      </c>
      <c r="AE256" s="16" t="e">
        <v>#N/A</v>
      </c>
      <c r="AF256" s="22" t="e">
        <v>#N/A</v>
      </c>
      <c r="AG256" s="22" t="e">
        <v>#N/A</v>
      </c>
      <c r="AH256" s="22" t="e">
        <f>Tabla1[[#This Row],[Renov. Flota]]-Tabla1[[#This Row],[Año]]</f>
        <v>#N/A</v>
      </c>
      <c r="AI256" s="49" t="e">
        <v>#N/A</v>
      </c>
      <c r="AJ256" s="49" t="e">
        <f>VLOOKUP(Tabla1[[#This Row],[Matricula nueva]],'ALTA 20242025'!$B$2:$P$242,15,FALSE)</f>
        <v>#N/A</v>
      </c>
      <c r="AK256" s="50" t="e">
        <v>#N/A</v>
      </c>
      <c r="AN256" s="1"/>
      <c r="AO256" s="1" t="e">
        <f>VLOOKUP(Tabla1[[#This Row],[Matricula nueva]],Hoja2!$A$1:$B$224,2,FALSE)</f>
        <v>#N/A</v>
      </c>
      <c r="AP256" s="1" t="str">
        <f>IF(Tabla1[[#This Row],[Columna2]]="M1",5.1,"")</f>
        <v/>
      </c>
      <c r="AQ256" s="1"/>
      <c r="AR256" s="1"/>
      <c r="AS256" s="47">
        <f>IF(Tabla1[[#This Row],[Columna2]]="M1",13073,IF(Tabla1[[#This Row],[Columna2]]="N1",15815,IF(Tabla1[[#This Row],[Columna2]]="L3e",2831,53508)))</f>
        <v>53508</v>
      </c>
      <c r="AT256" s="47" t="e">
        <f>(Tabla1[[#This Row],[CVA]]*Tabla1[[#This Row],[F]]-Tabla1[[#This Row],[CVN]])/100*Tabla1[[#This Row],[L]]</f>
        <v>#VALUE!</v>
      </c>
      <c r="AU256" s="1"/>
      <c r="AV256" s="1" t="e">
        <f>VLOOKUP(B256,Tabla467824[[ID CAE2]:[AE '[kWh']]],6,FALSE)</f>
        <v>#N/A</v>
      </c>
      <c r="AW25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7" spans="1:49" ht="15.75" thickBot="1" x14ac:dyDescent="0.3">
      <c r="A257" s="114" t="s">
        <v>1078</v>
      </c>
      <c r="B257" t="str">
        <f>VLOOKUP(A257,Tabla46782[ID CAE],1,FALSE)</f>
        <v>CAE500230</v>
      </c>
      <c r="C257" s="113" t="s">
        <v>1079</v>
      </c>
      <c r="D257" s="104" t="s">
        <v>72</v>
      </c>
      <c r="E257" s="104" t="s">
        <v>72</v>
      </c>
      <c r="F257" s="104" t="s">
        <v>72</v>
      </c>
      <c r="G257" s="104"/>
      <c r="H257" s="104" t="s">
        <v>72</v>
      </c>
      <c r="I257" s="104" t="s">
        <v>72</v>
      </c>
      <c r="J257" s="104"/>
      <c r="K257" s="96" t="s">
        <v>1034</v>
      </c>
      <c r="L257" s="96" t="s">
        <v>200</v>
      </c>
      <c r="M257" s="96" t="s">
        <v>201</v>
      </c>
      <c r="N257" s="96" t="s">
        <v>76</v>
      </c>
      <c r="O257" s="101">
        <f>VLOOKUP(Tabla1[[#This Row],[Matricula]],BAJA2022202320242025!$B$3:$CR$245,93,FALSE)</f>
        <v>44148</v>
      </c>
      <c r="P257" s="97">
        <v>45609</v>
      </c>
      <c r="Q257" s="162">
        <f>Tabla1[[#This Row],[F.Vig.Final]]-Tabla1[[#This Row],[f Vig Inicio]]</f>
        <v>1461</v>
      </c>
      <c r="R257" s="141">
        <f>YEAR(Tabla1[[#This Row],[F.Vig.Final]])</f>
        <v>2024</v>
      </c>
      <c r="S257" s="96" t="s">
        <v>77</v>
      </c>
      <c r="T257" s="96" t="s">
        <v>202</v>
      </c>
      <c r="U257" s="96" t="s">
        <v>524</v>
      </c>
      <c r="V257" s="96" t="s">
        <v>1080</v>
      </c>
      <c r="W257" s="96" t="s">
        <v>204</v>
      </c>
      <c r="X257" s="96" t="s">
        <v>205</v>
      </c>
      <c r="Y257" s="96" t="s">
        <v>1081</v>
      </c>
      <c r="Z257" s="98">
        <f>COUNTIF($X$3:X257, X257)</f>
        <v>10</v>
      </c>
      <c r="AA257" s="98" t="s">
        <v>1082</v>
      </c>
      <c r="AB257" s="98" t="s">
        <v>140</v>
      </c>
      <c r="AC257" s="98" t="s">
        <v>151</v>
      </c>
      <c r="AD257" s="98" t="s">
        <v>87</v>
      </c>
      <c r="AE257" s="151" t="s">
        <v>208</v>
      </c>
      <c r="AF257" s="89" t="s">
        <v>89</v>
      </c>
      <c r="AG257" s="99">
        <v>45638</v>
      </c>
      <c r="AH257" s="98">
        <f>Tabla1[[#This Row],[Renov. Flota]]-Tabla1[[#This Row],[Año]]</f>
        <v>0</v>
      </c>
      <c r="AI257" s="100" t="s">
        <v>204</v>
      </c>
      <c r="AJ257" s="100" t="str">
        <f>VLOOKUP(Tabla1[[#This Row],[Matricula nueva]],'ALTA 20242025'!$B$2:$P$242,15,FALSE)</f>
        <v>4500424893</v>
      </c>
      <c r="AK257" s="101" t="s">
        <v>205</v>
      </c>
      <c r="AM257" s="1" t="s">
        <v>72</v>
      </c>
      <c r="AN257" s="1" t="s">
        <v>91</v>
      </c>
      <c r="AO257" s="1" t="str">
        <f>VLOOKUP(Tabla1[[#This Row],[Matricula nueva]],Hoja2!$A$1:$B$224,2,FALSE)</f>
        <v>VR7CBZYA9RT154434</v>
      </c>
      <c r="AP257" s="92">
        <f>IF(Tabla1[[#This Row],[Columna2]]="M1",5.1,"")</f>
        <v>5.0999999999999996</v>
      </c>
      <c r="AQ257" s="81">
        <f>IF(T257="DIESEL",10,IF(T257="GLP",7.16,9.19))</f>
        <v>9.19</v>
      </c>
      <c r="AR257" s="82">
        <v>16.399999999999999</v>
      </c>
      <c r="AS257" s="83">
        <f>IF(Tabla1[[#This Row],[Columna2]]="M1",13073,IF(Tabla1[[#This Row],[Columna2]]="N1",15815,IF(Tabla1[[#This Row],[Columna2]]="L3e",2831,53508)))</f>
        <v>13073</v>
      </c>
      <c r="AT257" s="83">
        <f>(Tabla1[[#This Row],[CVA]]*Tabla1[[#This Row],[F]]-Tabla1[[#This Row],[CVN]])/100*Tabla1[[#This Row],[L]]</f>
        <v>3983.2123699999993</v>
      </c>
      <c r="AU257" s="84" t="s">
        <v>70</v>
      </c>
      <c r="AV257" s="294">
        <f>VLOOKUP(B257,Tabla467824[[ID CAE2]:[AE '[kWh']]],6,FALSE)</f>
        <v>7136.4330429999991</v>
      </c>
      <c r="AW25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58" spans="1:49" ht="15.75" hidden="1" thickBot="1" x14ac:dyDescent="0.3">
      <c r="A258" t="s">
        <v>1086</v>
      </c>
      <c r="B258" t="str">
        <f>VLOOKUP(A258,Tabla46782[ID CAE],1,FALSE)</f>
        <v>CAE500231</v>
      </c>
      <c r="C258" s="31" t="s">
        <v>1446</v>
      </c>
      <c r="D258" s="31"/>
      <c r="E258" s="31"/>
      <c r="F258" s="31"/>
      <c r="G258" s="31"/>
      <c r="H258" s="31"/>
      <c r="I258" s="31"/>
      <c r="J258" s="31"/>
      <c r="K258" s="31" t="s">
        <v>1411</v>
      </c>
      <c r="L258" s="31" t="s">
        <v>200</v>
      </c>
      <c r="M258" s="31" t="s">
        <v>201</v>
      </c>
      <c r="N258" s="31" t="s">
        <v>76</v>
      </c>
      <c r="O258" s="31" t="e">
        <f>VLOOKUP(Tabla1[[#This Row],[Matricula]],BAJA2022202320242025!$B$3:$CR$245,93,FALSE)</f>
        <v>#N/A</v>
      </c>
      <c r="P258" s="32">
        <v>44594</v>
      </c>
      <c r="Q258" s="32" t="e">
        <f>Tabla1[[#This Row],[F.Vig.Final]]-Tabla1[[#This Row],[f Vig Inicio]]</f>
        <v>#N/A</v>
      </c>
      <c r="R258" s="32">
        <f>YEAR(Tabla1[[#This Row],[F.Vig.Final]])</f>
        <v>2022</v>
      </c>
      <c r="S258" s="31" t="s">
        <v>77</v>
      </c>
      <c r="T258" s="31" t="s">
        <v>78</v>
      </c>
      <c r="U258" s="31" t="s">
        <v>380</v>
      </c>
      <c r="V258" s="31" t="s">
        <v>1370</v>
      </c>
      <c r="W258" s="31" t="s">
        <v>131</v>
      </c>
      <c r="X258" s="31" t="s">
        <v>132</v>
      </c>
      <c r="Y258" s="31" t="s">
        <v>1447</v>
      </c>
      <c r="Z258" s="93">
        <f>COUNTIF($X$3:X258, X258)</f>
        <v>32</v>
      </c>
      <c r="AA258" s="93" t="e">
        <v>#N/A</v>
      </c>
      <c r="AB258" s="93" t="e">
        <v>#N/A</v>
      </c>
      <c r="AC258" s="93" t="e">
        <v>#N/A</v>
      </c>
      <c r="AD258" s="93" t="e">
        <v>#N/A</v>
      </c>
      <c r="AE258" s="16" t="e">
        <v>#N/A</v>
      </c>
      <c r="AF258" s="21" t="e">
        <v>#N/A</v>
      </c>
      <c r="AG258" s="21" t="e">
        <v>#N/A</v>
      </c>
      <c r="AH258" s="21" t="e">
        <f>Tabla1[[#This Row],[Renov. Flota]]-Tabla1[[#This Row],[Año]]</f>
        <v>#N/A</v>
      </c>
      <c r="AI258" s="94" t="e">
        <v>#N/A</v>
      </c>
      <c r="AJ258" s="94" t="e">
        <f>VLOOKUP(Tabla1[[#This Row],[Matricula nueva]],'ALTA 20242025'!$B$2:$P$242,15,FALSE)</f>
        <v>#N/A</v>
      </c>
      <c r="AK258" s="95" t="e">
        <v>#N/A</v>
      </c>
      <c r="AN258" s="1"/>
      <c r="AO258" s="1" t="e">
        <f>VLOOKUP(Tabla1[[#This Row],[Matricula nueva]],Hoja2!$A$1:$B$224,2,FALSE)</f>
        <v>#N/A</v>
      </c>
      <c r="AP258" s="1" t="str">
        <f>IF(Tabla1[[#This Row],[Columna2]]="M1",5.1,"")</f>
        <v/>
      </c>
      <c r="AQ258" s="1"/>
      <c r="AR258" s="1"/>
      <c r="AS258" s="47">
        <f>IF(Tabla1[[#This Row],[Columna2]]="M1",13073,IF(Tabla1[[#This Row],[Columna2]]="N1",15815,IF(Tabla1[[#This Row],[Columna2]]="L3e",2831,53508)))</f>
        <v>53508</v>
      </c>
      <c r="AT258" s="47" t="e">
        <f>(Tabla1[[#This Row],[CVA]]*Tabla1[[#This Row],[F]]-Tabla1[[#This Row],[CVN]])/100*Tabla1[[#This Row],[L]]</f>
        <v>#VALUE!</v>
      </c>
      <c r="AU258" s="1"/>
      <c r="AV258" s="1">
        <f>VLOOKUP(B258,Tabla467824[[ID CAE2]:[AE '[kWh']]],6,FALSE)</f>
        <v>6795.3454000000002</v>
      </c>
      <c r="AW25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59" spans="1:49" ht="15.75" hidden="1" thickBot="1" x14ac:dyDescent="0.3">
      <c r="A259" t="s">
        <v>1448</v>
      </c>
      <c r="B259" t="e">
        <f>VLOOKUP(A259,Tabla46782[ID CAE],1,FALSE)</f>
        <v>#N/A</v>
      </c>
      <c r="C259" s="31" t="s">
        <v>1449</v>
      </c>
      <c r="D259" s="31"/>
      <c r="E259" s="31"/>
      <c r="F259" s="31"/>
      <c r="G259" s="31"/>
      <c r="H259" s="31"/>
      <c r="I259" s="31"/>
      <c r="J259" s="31"/>
      <c r="K259" s="31" t="s">
        <v>73</v>
      </c>
      <c r="L259" s="31" t="s">
        <v>200</v>
      </c>
      <c r="M259" s="31" t="s">
        <v>201</v>
      </c>
      <c r="N259" s="31" t="s">
        <v>76</v>
      </c>
      <c r="O259" s="31" t="e">
        <f>VLOOKUP(Tabla1[[#This Row],[Matricula]],BAJA2022202320242025!$B$3:$CR$245,93,FALSE)</f>
        <v>#N/A</v>
      </c>
      <c r="P259" s="32">
        <v>44810</v>
      </c>
      <c r="Q259" s="32" t="e">
        <f>Tabla1[[#This Row],[F.Vig.Final]]-Tabla1[[#This Row],[f Vig Inicio]]</f>
        <v>#N/A</v>
      </c>
      <c r="R259" s="32">
        <f>YEAR(Tabla1[[#This Row],[F.Vig.Final]])</f>
        <v>2022</v>
      </c>
      <c r="S259" s="31" t="s">
        <v>77</v>
      </c>
      <c r="T259" s="31" t="s">
        <v>78</v>
      </c>
      <c r="U259" s="31" t="s">
        <v>359</v>
      </c>
      <c r="V259" s="31" t="s">
        <v>360</v>
      </c>
      <c r="W259" s="31" t="s">
        <v>131</v>
      </c>
      <c r="X259" s="31" t="s">
        <v>132</v>
      </c>
      <c r="Y259" s="31" t="s">
        <v>1450</v>
      </c>
      <c r="Z259" s="16">
        <f>COUNTIF($X$3:X259, X259)</f>
        <v>33</v>
      </c>
      <c r="AA259" s="16" t="e">
        <v>#N/A</v>
      </c>
      <c r="AB259" s="16" t="e">
        <v>#N/A</v>
      </c>
      <c r="AC259" s="16" t="e">
        <v>#N/A</v>
      </c>
      <c r="AD259" s="16" t="e">
        <v>#N/A</v>
      </c>
      <c r="AE259" s="16" t="e">
        <v>#N/A</v>
      </c>
      <c r="AF259" s="17" t="e">
        <v>#N/A</v>
      </c>
      <c r="AG259" s="17" t="e">
        <v>#N/A</v>
      </c>
      <c r="AH259" s="17" t="e">
        <f>Tabla1[[#This Row],[Renov. Flota]]-Tabla1[[#This Row],[Año]]</f>
        <v>#N/A</v>
      </c>
      <c r="AI259" s="18" t="e">
        <v>#N/A</v>
      </c>
      <c r="AJ259" s="18" t="e">
        <f>VLOOKUP(Tabla1[[#This Row],[Matricula nueva]],'ALTA 20242025'!$B$2:$P$242,15,FALSE)</f>
        <v>#N/A</v>
      </c>
      <c r="AK259" s="19" t="e">
        <v>#N/A</v>
      </c>
      <c r="AN259" s="1"/>
      <c r="AO259" s="1" t="e">
        <f>VLOOKUP(Tabla1[[#This Row],[Matricula nueva]],Hoja2!$A$1:$B$224,2,FALSE)</f>
        <v>#N/A</v>
      </c>
      <c r="AP259" s="1" t="str">
        <f>IF(Tabla1[[#This Row],[Columna2]]="M1",5.1,"")</f>
        <v/>
      </c>
      <c r="AQ259" s="1"/>
      <c r="AR259" s="1"/>
      <c r="AS259" s="47">
        <f>IF(Tabla1[[#This Row],[Columna2]]="M1",13073,IF(Tabla1[[#This Row],[Columna2]]="N1",15815,IF(Tabla1[[#This Row],[Columna2]]="L3e",2831,53508)))</f>
        <v>53508</v>
      </c>
      <c r="AT259" s="47" t="e">
        <f>(Tabla1[[#This Row],[CVA]]*Tabla1[[#This Row],[F]]-Tabla1[[#This Row],[CVN]])/100*Tabla1[[#This Row],[L]]</f>
        <v>#VALUE!</v>
      </c>
      <c r="AU259" s="1"/>
      <c r="AV259" s="1" t="e">
        <f>VLOOKUP(B259,Tabla467824[[ID CAE2]:[AE '[kWh']]],6,FALSE)</f>
        <v>#N/A</v>
      </c>
      <c r="AW25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0" spans="1:49" ht="15.75" hidden="1" thickBot="1" x14ac:dyDescent="0.3">
      <c r="A260" t="s">
        <v>1451</v>
      </c>
      <c r="B260" t="e">
        <f>VLOOKUP(A260,Tabla46782[ID CAE],1,FALSE)</f>
        <v>#N/A</v>
      </c>
      <c r="C260" s="33" t="s">
        <v>1452</v>
      </c>
      <c r="D260" s="33"/>
      <c r="E260" s="33"/>
      <c r="F260" s="33"/>
      <c r="G260" s="33"/>
      <c r="H260" s="33"/>
      <c r="I260" s="33"/>
      <c r="J260" s="33"/>
      <c r="K260" s="33" t="s">
        <v>73</v>
      </c>
      <c r="L260" s="33" t="s">
        <v>200</v>
      </c>
      <c r="M260" s="33" t="s">
        <v>201</v>
      </c>
      <c r="N260" s="33" t="s">
        <v>76</v>
      </c>
      <c r="O260" s="1">
        <f>VLOOKUP(Tabla1[[#This Row],[Matricula]],BAJA2022202320242025!$B$3:$CR$245,93,FALSE)</f>
        <v>44260</v>
      </c>
      <c r="P260" s="34">
        <v>45721</v>
      </c>
      <c r="Q260" s="34">
        <f>Tabla1[[#This Row],[F.Vig.Final]]-Tabla1[[#This Row],[f Vig Inicio]]</f>
        <v>1461</v>
      </c>
      <c r="R260" s="34">
        <f>YEAR(Tabla1[[#This Row],[F.Vig.Final]])</f>
        <v>2025</v>
      </c>
      <c r="S260" s="33" t="s">
        <v>77</v>
      </c>
      <c r="T260" s="33" t="s">
        <v>78</v>
      </c>
      <c r="U260" s="33" t="s">
        <v>79</v>
      </c>
      <c r="V260" s="33" t="s">
        <v>924</v>
      </c>
      <c r="W260" s="33" t="s">
        <v>119</v>
      </c>
      <c r="X260" s="33" t="s">
        <v>120</v>
      </c>
      <c r="Y260" s="33" t="s">
        <v>1453</v>
      </c>
      <c r="Z260" s="16">
        <f>COUNTIF($X$3:X260, X260)</f>
        <v>33</v>
      </c>
      <c r="AA260" s="16" t="e">
        <v>#N/A</v>
      </c>
      <c r="AB260" s="16" t="e">
        <v>#N/A</v>
      </c>
      <c r="AC260" s="16" t="e">
        <v>#N/A</v>
      </c>
      <c r="AD260" s="16" t="e">
        <v>#N/A</v>
      </c>
      <c r="AE260" s="16" t="e">
        <v>#N/A</v>
      </c>
      <c r="AF260" s="17" t="e">
        <v>#N/A</v>
      </c>
      <c r="AG260" s="17" t="e">
        <v>#N/A</v>
      </c>
      <c r="AH260" s="17" t="e">
        <f>Tabla1[[#This Row],[Renov. Flota]]-Tabla1[[#This Row],[Año]]</f>
        <v>#N/A</v>
      </c>
      <c r="AI260" s="18" t="e">
        <v>#N/A</v>
      </c>
      <c r="AJ260" s="18" t="e">
        <f>VLOOKUP(Tabla1[[#This Row],[Matricula nueva]],'ALTA 20242025'!$B$2:$P$242,15,FALSE)</f>
        <v>#N/A</v>
      </c>
      <c r="AK260" s="19" t="e">
        <v>#N/A</v>
      </c>
      <c r="AN260" s="1"/>
      <c r="AO260" s="1" t="e">
        <f>VLOOKUP(Tabla1[[#This Row],[Matricula nueva]],Hoja2!$A$1:$B$224,2,FALSE)</f>
        <v>#N/A</v>
      </c>
      <c r="AP260" s="1" t="str">
        <f>IF(Tabla1[[#This Row],[Columna2]]="M1",5.1,"")</f>
        <v/>
      </c>
      <c r="AQ260" s="1"/>
      <c r="AR260" s="1"/>
      <c r="AS260" s="47">
        <f>IF(Tabla1[[#This Row],[Columna2]]="M1",13073,IF(Tabla1[[#This Row],[Columna2]]="N1",15815,IF(Tabla1[[#This Row],[Columna2]]="L3e",2831,53508)))</f>
        <v>53508</v>
      </c>
      <c r="AT260" s="47" t="e">
        <f>(Tabla1[[#This Row],[CVA]]*Tabla1[[#This Row],[F]]-Tabla1[[#This Row],[CVN]])/100*Tabla1[[#This Row],[L]]</f>
        <v>#VALUE!</v>
      </c>
      <c r="AU260" s="1"/>
      <c r="AV260" s="1" t="e">
        <f>VLOOKUP(B260,Tabla467824[[ID CAE2]:[AE '[kWh']]],6,FALSE)</f>
        <v>#N/A</v>
      </c>
      <c r="AW26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1" spans="1:49" ht="15.75" hidden="1" thickBot="1" x14ac:dyDescent="0.3">
      <c r="A261" t="s">
        <v>1454</v>
      </c>
      <c r="B261" t="e">
        <f>VLOOKUP(A261,Tabla46782[ID CAE],1,FALSE)</f>
        <v>#N/A</v>
      </c>
      <c r="C261" s="31" t="s">
        <v>1455</v>
      </c>
      <c r="D261" s="31"/>
      <c r="E261" s="31"/>
      <c r="F261" s="31"/>
      <c r="G261" s="31"/>
      <c r="H261" s="31"/>
      <c r="I261" s="31"/>
      <c r="J261" s="31"/>
      <c r="K261" s="31" t="s">
        <v>73</v>
      </c>
      <c r="L261" s="31" t="s">
        <v>200</v>
      </c>
      <c r="M261" s="31" t="s">
        <v>201</v>
      </c>
      <c r="N261" s="31" t="s">
        <v>76</v>
      </c>
      <c r="O261" s="31" t="e">
        <f>VLOOKUP(Tabla1[[#This Row],[Matricula]],BAJA2022202320242025!$B$3:$CR$245,93,FALSE)</f>
        <v>#N/A</v>
      </c>
      <c r="P261" s="32">
        <v>44790</v>
      </c>
      <c r="Q261" s="32" t="e">
        <f>Tabla1[[#This Row],[F.Vig.Final]]-Tabla1[[#This Row],[f Vig Inicio]]</f>
        <v>#N/A</v>
      </c>
      <c r="R261" s="32">
        <f>YEAR(Tabla1[[#This Row],[F.Vig.Final]])</f>
        <v>2022</v>
      </c>
      <c r="S261" s="31" t="s">
        <v>77</v>
      </c>
      <c r="T261" s="31" t="s">
        <v>78</v>
      </c>
      <c r="U261" s="31" t="s">
        <v>359</v>
      </c>
      <c r="V261" s="31" t="s">
        <v>604</v>
      </c>
      <c r="W261" s="31" t="s">
        <v>131</v>
      </c>
      <c r="X261" s="31" t="s">
        <v>132</v>
      </c>
      <c r="Y261" s="31" t="s">
        <v>135</v>
      </c>
      <c r="Z261" s="16">
        <f>COUNTIF($X$3:X261, X261)</f>
        <v>34</v>
      </c>
      <c r="AA261" s="16" t="e">
        <v>#N/A</v>
      </c>
      <c r="AB261" s="16" t="e">
        <v>#N/A</v>
      </c>
      <c r="AC261" s="16" t="e">
        <v>#N/A</v>
      </c>
      <c r="AD261" s="16" t="e">
        <v>#N/A</v>
      </c>
      <c r="AE261" s="16" t="e">
        <v>#N/A</v>
      </c>
      <c r="AF261" s="17" t="e">
        <v>#N/A</v>
      </c>
      <c r="AG261" s="17" t="e">
        <v>#N/A</v>
      </c>
      <c r="AH261" s="17" t="e">
        <f>Tabla1[[#This Row],[Renov. Flota]]-Tabla1[[#This Row],[Año]]</f>
        <v>#N/A</v>
      </c>
      <c r="AI261" s="18" t="e">
        <v>#N/A</v>
      </c>
      <c r="AJ261" s="18" t="e">
        <f>VLOOKUP(Tabla1[[#This Row],[Matricula nueva]],'ALTA 20242025'!$B$2:$P$242,15,FALSE)</f>
        <v>#N/A</v>
      </c>
      <c r="AK261" s="19" t="e">
        <v>#N/A</v>
      </c>
      <c r="AN261" s="1"/>
      <c r="AO261" s="1" t="e">
        <f>VLOOKUP(Tabla1[[#This Row],[Matricula nueva]],Hoja2!$A$1:$B$224,2,FALSE)</f>
        <v>#N/A</v>
      </c>
      <c r="AP261" s="1" t="str">
        <f>IF(Tabla1[[#This Row],[Columna2]]="M1",5.1,"")</f>
        <v/>
      </c>
      <c r="AQ261" s="1"/>
      <c r="AR261" s="1"/>
      <c r="AS261" s="47">
        <f>IF(Tabla1[[#This Row],[Columna2]]="M1",13073,IF(Tabla1[[#This Row],[Columna2]]="N1",15815,IF(Tabla1[[#This Row],[Columna2]]="L3e",2831,53508)))</f>
        <v>53508</v>
      </c>
      <c r="AT261" s="47" t="e">
        <f>(Tabla1[[#This Row],[CVA]]*Tabla1[[#This Row],[F]]-Tabla1[[#This Row],[CVN]])/100*Tabla1[[#This Row],[L]]</f>
        <v>#VALUE!</v>
      </c>
      <c r="AU261" s="1"/>
      <c r="AV261" s="1" t="e">
        <f>VLOOKUP(B261,Tabla467824[[ID CAE2]:[AE '[kWh']]],6,FALSE)</f>
        <v>#N/A</v>
      </c>
      <c r="AW26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2" spans="1:49" ht="15.75" hidden="1" thickBot="1" x14ac:dyDescent="0.3">
      <c r="B262" t="e">
        <f>VLOOKUP(A262,Tabla46782[ID CAE],1,FALSE)</f>
        <v>#N/A</v>
      </c>
      <c r="C262" s="31" t="s">
        <v>1456</v>
      </c>
      <c r="D262" s="31"/>
      <c r="E262" s="31"/>
      <c r="F262" s="31"/>
      <c r="G262" s="31"/>
      <c r="H262" s="31"/>
      <c r="I262" s="31"/>
      <c r="J262" s="31"/>
      <c r="K262" s="31" t="s">
        <v>129</v>
      </c>
      <c r="L262" s="31" t="s">
        <v>200</v>
      </c>
      <c r="M262" s="31" t="s">
        <v>201</v>
      </c>
      <c r="N262" s="31" t="s">
        <v>76</v>
      </c>
      <c r="O262" s="31" t="e">
        <f>VLOOKUP(Tabla1[[#This Row],[Matricula]],BAJA2022202320242025!$B$3:$CR$245,93,FALSE)</f>
        <v>#N/A</v>
      </c>
      <c r="P262" s="32">
        <v>44742</v>
      </c>
      <c r="Q262" s="32" t="e">
        <f>Tabla1[[#This Row],[F.Vig.Final]]-Tabla1[[#This Row],[f Vig Inicio]]</f>
        <v>#N/A</v>
      </c>
      <c r="R262" s="32">
        <f>YEAR(Tabla1[[#This Row],[F.Vig.Final]])</f>
        <v>2022</v>
      </c>
      <c r="S262" s="31" t="s">
        <v>77</v>
      </c>
      <c r="T262" s="31" t="s">
        <v>78</v>
      </c>
      <c r="U262" s="31" t="s">
        <v>380</v>
      </c>
      <c r="V262" s="31" t="s">
        <v>1370</v>
      </c>
      <c r="W262" s="31" t="s">
        <v>131</v>
      </c>
      <c r="X262" s="31" t="s">
        <v>132</v>
      </c>
      <c r="Y262" s="31" t="s">
        <v>1457</v>
      </c>
      <c r="Z262" s="16">
        <f>COUNTIF($X$3:X262, X262)</f>
        <v>35</v>
      </c>
      <c r="AA262" s="16" t="e">
        <v>#N/A</v>
      </c>
      <c r="AB262" s="16" t="e">
        <v>#N/A</v>
      </c>
      <c r="AC262" s="16" t="e">
        <v>#N/A</v>
      </c>
      <c r="AD262" s="16" t="e">
        <v>#N/A</v>
      </c>
      <c r="AE262" s="16" t="e">
        <v>#N/A</v>
      </c>
      <c r="AF262" s="17" t="e">
        <v>#N/A</v>
      </c>
      <c r="AG262" s="17" t="e">
        <v>#N/A</v>
      </c>
      <c r="AH262" s="17" t="e">
        <f>Tabla1[[#This Row],[Renov. Flota]]-Tabla1[[#This Row],[Año]]</f>
        <v>#N/A</v>
      </c>
      <c r="AI262" s="18" t="e">
        <v>#N/A</v>
      </c>
      <c r="AJ262" s="18" t="e">
        <f>VLOOKUP(Tabla1[[#This Row],[Matricula nueva]],'ALTA 20242025'!$B$2:$P$242,15,FALSE)</f>
        <v>#N/A</v>
      </c>
      <c r="AK262" s="19" t="e">
        <v>#N/A</v>
      </c>
      <c r="AN262" s="1"/>
      <c r="AO262" s="1" t="e">
        <f>VLOOKUP(Tabla1[[#This Row],[Matricula nueva]],Hoja2!$A$1:$B$224,2,FALSE)</f>
        <v>#N/A</v>
      </c>
      <c r="AP262" s="1" t="str">
        <f>IF(Tabla1[[#This Row],[Columna2]]="M1",5.1,"")</f>
        <v/>
      </c>
      <c r="AQ262" s="1"/>
      <c r="AR262" s="1"/>
      <c r="AS262" s="47">
        <f>IF(Tabla1[[#This Row],[Columna2]]="M1",13073,IF(Tabla1[[#This Row],[Columna2]]="N1",15815,IF(Tabla1[[#This Row],[Columna2]]="L3e",2831,53508)))</f>
        <v>53508</v>
      </c>
      <c r="AT262" s="47" t="e">
        <f>(Tabla1[[#This Row],[CVA]]*Tabla1[[#This Row],[F]]-Tabla1[[#This Row],[CVN]])/100*Tabla1[[#This Row],[L]]</f>
        <v>#VALUE!</v>
      </c>
      <c r="AU262" s="1"/>
      <c r="AV262" s="1" t="e">
        <f>VLOOKUP(B262,Tabla467824[[ID CAE2]:[AE '[kWh']]],6,FALSE)</f>
        <v>#N/A</v>
      </c>
      <c r="AW26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3" spans="1:49" ht="15.75" hidden="1" thickBot="1" x14ac:dyDescent="0.3">
      <c r="B263" t="e">
        <f>VLOOKUP(A263,Tabla46782[ID CAE],1,FALSE)</f>
        <v>#N/A</v>
      </c>
      <c r="C263" s="31" t="s">
        <v>1458</v>
      </c>
      <c r="D263" s="31"/>
      <c r="E263" s="31"/>
      <c r="F263" s="31"/>
      <c r="G263" s="31"/>
      <c r="H263" s="31"/>
      <c r="I263" s="31"/>
      <c r="J263" s="31"/>
      <c r="K263" s="31" t="s">
        <v>73</v>
      </c>
      <c r="L263" s="31" t="s">
        <v>200</v>
      </c>
      <c r="M263" s="31" t="s">
        <v>201</v>
      </c>
      <c r="N263" s="31" t="s">
        <v>160</v>
      </c>
      <c r="O263" s="31" t="e">
        <f>VLOOKUP(Tabla1[[#This Row],[Matricula]],BAJA2022202320242025!$B$3:$CR$245,93,FALSE)</f>
        <v>#N/A</v>
      </c>
      <c r="P263" s="32">
        <v>44594</v>
      </c>
      <c r="Q263" s="32" t="e">
        <f>Tabla1[[#This Row],[F.Vig.Final]]-Tabla1[[#This Row],[f Vig Inicio]]</f>
        <v>#N/A</v>
      </c>
      <c r="R263" s="32">
        <f>YEAR(Tabla1[[#This Row],[F.Vig.Final]])</f>
        <v>2022</v>
      </c>
      <c r="S263" s="31" t="s">
        <v>161</v>
      </c>
      <c r="T263" s="31" t="s">
        <v>78</v>
      </c>
      <c r="U263" s="31" t="s">
        <v>359</v>
      </c>
      <c r="V263" s="31" t="s">
        <v>593</v>
      </c>
      <c r="W263" s="31" t="s">
        <v>1128</v>
      </c>
      <c r="X263" s="31" t="s">
        <v>1129</v>
      </c>
      <c r="Y263" s="31" t="s">
        <v>1130</v>
      </c>
      <c r="Z263" s="16">
        <f>COUNTIF($X$3:X263, X263)</f>
        <v>3</v>
      </c>
      <c r="AA263" s="16" t="e">
        <v>#N/A</v>
      </c>
      <c r="AB263" s="16" t="e">
        <v>#N/A</v>
      </c>
      <c r="AC263" s="16" t="e">
        <v>#N/A</v>
      </c>
      <c r="AD263" s="16" t="e">
        <v>#N/A</v>
      </c>
      <c r="AE263" s="16" t="e">
        <v>#N/A</v>
      </c>
      <c r="AF263" s="17" t="e">
        <v>#N/A</v>
      </c>
      <c r="AG263" s="17" t="e">
        <v>#N/A</v>
      </c>
      <c r="AH263" s="17" t="e">
        <f>Tabla1[[#This Row],[Renov. Flota]]-Tabla1[[#This Row],[Año]]</f>
        <v>#N/A</v>
      </c>
      <c r="AI263" s="18" t="e">
        <v>#N/A</v>
      </c>
      <c r="AJ263" s="18" t="e">
        <f>VLOOKUP(Tabla1[[#This Row],[Matricula nueva]],'ALTA 20242025'!$B$2:$P$242,15,FALSE)</f>
        <v>#N/A</v>
      </c>
      <c r="AK263" s="19" t="e">
        <v>#N/A</v>
      </c>
      <c r="AN263" s="1"/>
      <c r="AO263" s="1" t="e">
        <f>VLOOKUP(Tabla1[[#This Row],[Matricula nueva]],Hoja2!$A$1:$B$224,2,FALSE)</f>
        <v>#N/A</v>
      </c>
      <c r="AP263" s="1" t="str">
        <f>IF(Tabla1[[#This Row],[Columna2]]="M1",5.1,"")</f>
        <v/>
      </c>
      <c r="AQ263" s="1"/>
      <c r="AR263" s="1"/>
      <c r="AS263" s="47">
        <f>IF(Tabla1[[#This Row],[Columna2]]="M1",13073,IF(Tabla1[[#This Row],[Columna2]]="N1",15815,IF(Tabla1[[#This Row],[Columna2]]="L3e",2831,53508)))</f>
        <v>53508</v>
      </c>
      <c r="AT263" s="47" t="e">
        <f>(Tabla1[[#This Row],[CVA]]*Tabla1[[#This Row],[F]]-Tabla1[[#This Row],[CVN]])/100*Tabla1[[#This Row],[L]]</f>
        <v>#VALUE!</v>
      </c>
      <c r="AU263" s="1"/>
      <c r="AV263" s="1" t="e">
        <f>VLOOKUP(B263,Tabla467824[[ID CAE2]:[AE '[kWh']]],6,FALSE)</f>
        <v>#N/A</v>
      </c>
      <c r="AW26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4" spans="1:49" ht="15.75" hidden="1" thickBot="1" x14ac:dyDescent="0.3">
      <c r="B264" t="e">
        <f>VLOOKUP(A264,Tabla46782[ID CAE],1,FALSE)</f>
        <v>#N/A</v>
      </c>
      <c r="C264" s="31" t="s">
        <v>1459</v>
      </c>
      <c r="D264" s="31"/>
      <c r="E264" s="31"/>
      <c r="F264" s="31"/>
      <c r="G264" s="31"/>
      <c r="H264" s="31"/>
      <c r="I264" s="31"/>
      <c r="J264" s="31"/>
      <c r="K264" s="31" t="s">
        <v>73</v>
      </c>
      <c r="L264" s="31" t="s">
        <v>200</v>
      </c>
      <c r="M264" s="31" t="s">
        <v>201</v>
      </c>
      <c r="N264" s="31" t="s">
        <v>76</v>
      </c>
      <c r="O264" s="31" t="e">
        <f>VLOOKUP(Tabla1[[#This Row],[Matricula]],BAJA2022202320242025!$B$3:$CR$245,93,FALSE)</f>
        <v>#N/A</v>
      </c>
      <c r="P264" s="32">
        <v>44594</v>
      </c>
      <c r="Q264" s="32" t="e">
        <f>Tabla1[[#This Row],[F.Vig.Final]]-Tabla1[[#This Row],[f Vig Inicio]]</f>
        <v>#N/A</v>
      </c>
      <c r="R264" s="32">
        <f>YEAR(Tabla1[[#This Row],[F.Vig.Final]])</f>
        <v>2022</v>
      </c>
      <c r="S264" s="31" t="s">
        <v>77</v>
      </c>
      <c r="T264" s="31" t="s">
        <v>78</v>
      </c>
      <c r="U264" s="31" t="s">
        <v>359</v>
      </c>
      <c r="V264" s="31" t="s">
        <v>593</v>
      </c>
      <c r="W264" s="31" t="s">
        <v>336</v>
      </c>
      <c r="X264" s="31" t="s">
        <v>337</v>
      </c>
      <c r="Y264" s="31" t="s">
        <v>1004</v>
      </c>
      <c r="Z264" s="48">
        <f>COUNTIF($X$3:X264, X264)</f>
        <v>21</v>
      </c>
      <c r="AA264" s="48" t="e">
        <v>#N/A</v>
      </c>
      <c r="AB264" s="48" t="e">
        <v>#N/A</v>
      </c>
      <c r="AC264" s="48" t="e">
        <v>#N/A</v>
      </c>
      <c r="AD264" s="48" t="e">
        <v>#N/A</v>
      </c>
      <c r="AE264" s="16" t="e">
        <v>#N/A</v>
      </c>
      <c r="AF264" s="22" t="e">
        <v>#N/A</v>
      </c>
      <c r="AG264" s="22" t="e">
        <v>#N/A</v>
      </c>
      <c r="AH264" s="22" t="e">
        <f>Tabla1[[#This Row],[Renov. Flota]]-Tabla1[[#This Row],[Año]]</f>
        <v>#N/A</v>
      </c>
      <c r="AI264" s="49" t="e">
        <v>#N/A</v>
      </c>
      <c r="AJ264" s="49" t="e">
        <f>VLOOKUP(Tabla1[[#This Row],[Matricula nueva]],'ALTA 20242025'!$B$2:$P$242,15,FALSE)</f>
        <v>#N/A</v>
      </c>
      <c r="AK264" s="50" t="e">
        <v>#N/A</v>
      </c>
      <c r="AN264" s="1"/>
      <c r="AO264" s="1" t="e">
        <f>VLOOKUP(Tabla1[[#This Row],[Matricula nueva]],Hoja2!$A$1:$B$224,2,FALSE)</f>
        <v>#N/A</v>
      </c>
      <c r="AP264" s="1" t="str">
        <f>IF(Tabla1[[#This Row],[Columna2]]="M1",5.1,"")</f>
        <v/>
      </c>
      <c r="AQ264" s="1"/>
      <c r="AR264" s="1"/>
      <c r="AS264" s="47">
        <f>IF(Tabla1[[#This Row],[Columna2]]="M1",13073,IF(Tabla1[[#This Row],[Columna2]]="N1",15815,IF(Tabla1[[#This Row],[Columna2]]="L3e",2831,53508)))</f>
        <v>53508</v>
      </c>
      <c r="AT264" s="47" t="e">
        <f>(Tabla1[[#This Row],[CVA]]*Tabla1[[#This Row],[F]]-Tabla1[[#This Row],[CVN]])/100*Tabla1[[#This Row],[L]]</f>
        <v>#VALUE!</v>
      </c>
      <c r="AU264" s="1"/>
      <c r="AV264" s="1" t="e">
        <f>VLOOKUP(B264,Tabla467824[[ID CAE2]:[AE '[kWh']]],6,FALSE)</f>
        <v>#N/A</v>
      </c>
      <c r="AW26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5" spans="1:49" ht="15.75" thickBot="1" x14ac:dyDescent="0.3">
      <c r="A265" s="114" t="s">
        <v>1086</v>
      </c>
      <c r="B265" t="str">
        <f>VLOOKUP(A265,Tabla46782[ID CAE],1,FALSE)</f>
        <v>CAE500231</v>
      </c>
      <c r="C265" s="113" t="s">
        <v>1087</v>
      </c>
      <c r="D265" s="104" t="s">
        <v>72</v>
      </c>
      <c r="E265" s="104" t="s">
        <v>72</v>
      </c>
      <c r="F265" s="104"/>
      <c r="G265" s="104"/>
      <c r="H265" s="104" t="s">
        <v>72</v>
      </c>
      <c r="I265" s="104" t="s">
        <v>72</v>
      </c>
      <c r="J265" s="104"/>
      <c r="K265" s="96" t="s">
        <v>1034</v>
      </c>
      <c r="L265" s="96" t="s">
        <v>200</v>
      </c>
      <c r="M265" s="96" t="s">
        <v>201</v>
      </c>
      <c r="N265" s="96" t="s">
        <v>76</v>
      </c>
      <c r="O265" s="101">
        <f>VLOOKUP(Tabla1[[#This Row],[Matricula]],BAJA2022202320242025!$B$3:$CR$245,93,FALSE)</f>
        <v>42725</v>
      </c>
      <c r="P265" s="97">
        <v>45124</v>
      </c>
      <c r="Q265" s="162">
        <f>Tabla1[[#This Row],[F.Vig.Final]]-Tabla1[[#This Row],[f Vig Inicio]]</f>
        <v>2399</v>
      </c>
      <c r="R265" s="141">
        <f>YEAR(Tabla1[[#This Row],[F.Vig.Final]])</f>
        <v>2023</v>
      </c>
      <c r="S265" s="96" t="s">
        <v>77</v>
      </c>
      <c r="T265" s="96" t="s">
        <v>78</v>
      </c>
      <c r="U265" s="96" t="s">
        <v>524</v>
      </c>
      <c r="V265" s="96" t="s">
        <v>1089</v>
      </c>
      <c r="W265" s="96" t="s">
        <v>119</v>
      </c>
      <c r="X265" s="96" t="s">
        <v>120</v>
      </c>
      <c r="Y265" s="96" t="s">
        <v>1041</v>
      </c>
      <c r="Z265" s="98">
        <f>COUNTIF($X$3:X265, X265)</f>
        <v>34</v>
      </c>
      <c r="AA265" s="98" t="s">
        <v>1090</v>
      </c>
      <c r="AB265" s="98" t="s">
        <v>85</v>
      </c>
      <c r="AC265" s="98" t="s">
        <v>86</v>
      </c>
      <c r="AD265" s="98" t="s">
        <v>87</v>
      </c>
      <c r="AE265" s="151" t="s">
        <v>252</v>
      </c>
      <c r="AF265" s="89" t="s">
        <v>89</v>
      </c>
      <c r="AG265" s="99">
        <v>45645</v>
      </c>
      <c r="AH265" s="98">
        <f>Tabla1[[#This Row],[Renov. Flota]]-Tabla1[[#This Row],[Año]]</f>
        <v>1</v>
      </c>
      <c r="AI265" s="100" t="s">
        <v>119</v>
      </c>
      <c r="AJ265" s="100" t="str">
        <f>VLOOKUP(Tabla1[[#This Row],[Matricula nueva]],'ALTA 20242025'!$B$2:$P$242,15,FALSE)</f>
        <v>4500426795</v>
      </c>
      <c r="AK265" s="101" t="s">
        <v>120</v>
      </c>
      <c r="AM265" s="1" t="s">
        <v>72</v>
      </c>
      <c r="AN265" s="1" t="s">
        <v>91</v>
      </c>
      <c r="AO265" s="1" t="str">
        <f>VLOOKUP(Tabla1[[#This Row],[Matricula nueva]],Hoja2!$A$1:$B$224,2,FALSE)</f>
        <v>VF1RFK00473824897</v>
      </c>
      <c r="AP265" s="92">
        <f>IF(Tabla1[[#This Row],[Columna2]]="M1",5.1,"")</f>
        <v>5.0999999999999996</v>
      </c>
      <c r="AQ265" s="81">
        <f>IF(T265="DIESEL",10,IF(T265="GLP",7.16,9.19))</f>
        <v>10</v>
      </c>
      <c r="AR265" s="82">
        <v>17.3</v>
      </c>
      <c r="AS265" s="83">
        <f>IF(Tabla1[[#This Row],[Columna2]]="M1",13073,IF(Tabla1[[#This Row],[Columna2]]="N1",15815,IF(Tabla1[[#This Row],[Columna2]]="L3e",2831,53508)))</f>
        <v>13073</v>
      </c>
      <c r="AT265" s="83">
        <f>(Tabla1[[#This Row],[CVA]]*Tabla1[[#This Row],[F]]-Tabla1[[#This Row],[CVN]])/100*Tabla1[[#This Row],[L]]</f>
        <v>4405.6010000000006</v>
      </c>
      <c r="AU265" s="84" t="s">
        <v>70</v>
      </c>
      <c r="AV265" s="294">
        <f>VLOOKUP(B265,Tabla467824[[ID CAE2]:[AE '[kWh']]],6,FALSE)</f>
        <v>6795.3454000000002</v>
      </c>
      <c r="AW26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6" spans="1:49" ht="15.75" hidden="1" thickBot="1" x14ac:dyDescent="0.3">
      <c r="A266" t="s">
        <v>1448</v>
      </c>
      <c r="B266" t="e">
        <f>VLOOKUP(A266,Tabla46782[ID CAE],1,FALSE)</f>
        <v>#N/A</v>
      </c>
      <c r="C266" s="31" t="s">
        <v>1460</v>
      </c>
      <c r="D266" s="31"/>
      <c r="E266" s="31"/>
      <c r="F266" s="31"/>
      <c r="G266" s="31"/>
      <c r="H266" s="31"/>
      <c r="I266" s="31"/>
      <c r="J266" s="31"/>
      <c r="K266" s="31" t="s">
        <v>73</v>
      </c>
      <c r="L266" s="31" t="s">
        <v>200</v>
      </c>
      <c r="M266" s="31" t="s">
        <v>201</v>
      </c>
      <c r="N266" s="31" t="s">
        <v>76</v>
      </c>
      <c r="O266" s="31" t="e">
        <f>VLOOKUP(Tabla1[[#This Row],[Matricula]],BAJA2022202320242025!$B$3:$CR$245,93,FALSE)</f>
        <v>#N/A</v>
      </c>
      <c r="P266" s="32">
        <v>44754</v>
      </c>
      <c r="Q266" s="32" t="e">
        <f>Tabla1[[#This Row],[F.Vig.Final]]-Tabla1[[#This Row],[f Vig Inicio]]</f>
        <v>#N/A</v>
      </c>
      <c r="R266" s="32">
        <f>YEAR(Tabla1[[#This Row],[F.Vig.Final]])</f>
        <v>2022</v>
      </c>
      <c r="S266" s="31" t="s">
        <v>77</v>
      </c>
      <c r="T266" s="31" t="s">
        <v>78</v>
      </c>
      <c r="U266" s="31" t="s">
        <v>359</v>
      </c>
      <c r="V266" s="31" t="s">
        <v>1424</v>
      </c>
      <c r="W266" s="31" t="s">
        <v>336</v>
      </c>
      <c r="X266" s="31" t="s">
        <v>337</v>
      </c>
      <c r="Y266" s="31" t="s">
        <v>373</v>
      </c>
      <c r="Z266" s="93">
        <f>COUNTIF($X$3:X266, X266)</f>
        <v>22</v>
      </c>
      <c r="AA266" s="93" t="e">
        <v>#N/A</v>
      </c>
      <c r="AB266" s="93" t="e">
        <v>#N/A</v>
      </c>
      <c r="AC266" s="93" t="e">
        <v>#N/A</v>
      </c>
      <c r="AD266" s="93" t="e">
        <v>#N/A</v>
      </c>
      <c r="AE266" s="16" t="e">
        <v>#N/A</v>
      </c>
      <c r="AF266" s="15" t="e">
        <v>#N/A</v>
      </c>
      <c r="AG266" s="21" t="e">
        <v>#N/A</v>
      </c>
      <c r="AH266" s="21" t="e">
        <f>Tabla1[[#This Row],[Renov. Flota]]-Tabla1[[#This Row],[Año]]</f>
        <v>#N/A</v>
      </c>
      <c r="AI266" s="94" t="e">
        <v>#N/A</v>
      </c>
      <c r="AJ266" s="94" t="e">
        <f>VLOOKUP(Tabla1[[#This Row],[Matricula nueva]],'ALTA 20242025'!$B$2:$P$242,15,FALSE)</f>
        <v>#N/A</v>
      </c>
      <c r="AK266" s="95" t="e">
        <v>#N/A</v>
      </c>
      <c r="AN266" s="1"/>
      <c r="AO266" s="1" t="e">
        <f>VLOOKUP(Tabla1[[#This Row],[Matricula nueva]],Hoja2!$A$1:$B$224,2,FALSE)</f>
        <v>#N/A</v>
      </c>
      <c r="AP266" s="1" t="str">
        <f>IF(Tabla1[[#This Row],[Columna2]]="M1",5.1,"")</f>
        <v/>
      </c>
      <c r="AQ266" s="1"/>
      <c r="AR266" s="1"/>
      <c r="AS266" s="47">
        <f>IF(Tabla1[[#This Row],[Columna2]]="M1",13073,IF(Tabla1[[#This Row],[Columna2]]="N1",15815,IF(Tabla1[[#This Row],[Columna2]]="L3e",2831,53508)))</f>
        <v>53508</v>
      </c>
      <c r="AT266" s="47" t="e">
        <f>(Tabla1[[#This Row],[CVA]]*Tabla1[[#This Row],[F]]-Tabla1[[#This Row],[CVN]])/100*Tabla1[[#This Row],[L]]</f>
        <v>#VALUE!</v>
      </c>
      <c r="AU266" s="1"/>
      <c r="AV266" s="1" t="e">
        <f>VLOOKUP(B266,Tabla467824[[ID CAE2]:[AE '[kWh']]],6,FALSE)</f>
        <v>#N/A</v>
      </c>
      <c r="AW26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7" spans="1:49" ht="15.75" hidden="1" thickBot="1" x14ac:dyDescent="0.3">
      <c r="A267" t="s">
        <v>1451</v>
      </c>
      <c r="B267" t="e">
        <f>VLOOKUP(A267,Tabla46782[ID CAE],1,FALSE)</f>
        <v>#N/A</v>
      </c>
      <c r="C267" s="31" t="s">
        <v>1461</v>
      </c>
      <c r="D267" s="31"/>
      <c r="E267" s="31"/>
      <c r="F267" s="31"/>
      <c r="G267" s="31"/>
      <c r="H267" s="31"/>
      <c r="I267" s="31"/>
      <c r="J267" s="31"/>
      <c r="K267" s="31" t="s">
        <v>73</v>
      </c>
      <c r="L267" s="31" t="s">
        <v>200</v>
      </c>
      <c r="M267" s="31" t="s">
        <v>201</v>
      </c>
      <c r="N267" s="31" t="s">
        <v>76</v>
      </c>
      <c r="O267" s="31" t="e">
        <f>VLOOKUP(Tabla1[[#This Row],[Matricula]],BAJA2022202320242025!$B$3:$CR$245,93,FALSE)</f>
        <v>#N/A</v>
      </c>
      <c r="P267" s="32">
        <v>44725</v>
      </c>
      <c r="Q267" s="32" t="e">
        <f>Tabla1[[#This Row],[F.Vig.Final]]-Tabla1[[#This Row],[f Vig Inicio]]</f>
        <v>#N/A</v>
      </c>
      <c r="R267" s="32">
        <f>YEAR(Tabla1[[#This Row],[F.Vig.Final]])</f>
        <v>2022</v>
      </c>
      <c r="S267" s="31" t="s">
        <v>77</v>
      </c>
      <c r="T267" s="31" t="s">
        <v>78</v>
      </c>
      <c r="U267" s="31" t="s">
        <v>359</v>
      </c>
      <c r="V267" s="31" t="s">
        <v>593</v>
      </c>
      <c r="W267" s="31" t="s">
        <v>131</v>
      </c>
      <c r="X267" s="31" t="s">
        <v>132</v>
      </c>
      <c r="Y267" s="31" t="s">
        <v>318</v>
      </c>
      <c r="Z267" s="16">
        <f>COUNTIF($X$3:X267, X267)</f>
        <v>36</v>
      </c>
      <c r="AA267" s="16" t="e">
        <v>#N/A</v>
      </c>
      <c r="AB267" s="16" t="e">
        <v>#N/A</v>
      </c>
      <c r="AC267" s="16" t="e">
        <v>#N/A</v>
      </c>
      <c r="AD267" s="16" t="e">
        <v>#N/A</v>
      </c>
      <c r="AE267" s="16" t="e">
        <v>#N/A</v>
      </c>
      <c r="AF267" s="21" t="e">
        <v>#N/A</v>
      </c>
      <c r="AG267" s="17" t="e">
        <v>#N/A</v>
      </c>
      <c r="AH267" s="17" t="e">
        <f>Tabla1[[#This Row],[Renov. Flota]]-Tabla1[[#This Row],[Año]]</f>
        <v>#N/A</v>
      </c>
      <c r="AI267" s="18" t="e">
        <v>#N/A</v>
      </c>
      <c r="AJ267" s="18" t="e">
        <f>VLOOKUP(Tabla1[[#This Row],[Matricula nueva]],'ALTA 20242025'!$B$2:$P$242,15,FALSE)</f>
        <v>#N/A</v>
      </c>
      <c r="AK267" s="19" t="e">
        <v>#N/A</v>
      </c>
      <c r="AN267" s="1"/>
      <c r="AO267" s="1" t="e">
        <f>VLOOKUP(Tabla1[[#This Row],[Matricula nueva]],Hoja2!$A$1:$B$224,2,FALSE)</f>
        <v>#N/A</v>
      </c>
      <c r="AP267" s="1" t="str">
        <f>IF(Tabla1[[#This Row],[Columna2]]="M1",5.1,"")</f>
        <v/>
      </c>
      <c r="AQ267" s="1"/>
      <c r="AR267" s="1"/>
      <c r="AS267" s="47">
        <f>IF(Tabla1[[#This Row],[Columna2]]="M1",13073,IF(Tabla1[[#This Row],[Columna2]]="N1",15815,IF(Tabla1[[#This Row],[Columna2]]="L3e",2831,53508)))</f>
        <v>53508</v>
      </c>
      <c r="AT267" s="47" t="e">
        <f>(Tabla1[[#This Row],[CVA]]*Tabla1[[#This Row],[F]]-Tabla1[[#This Row],[CVN]])/100*Tabla1[[#This Row],[L]]</f>
        <v>#VALUE!</v>
      </c>
      <c r="AU267" s="1"/>
      <c r="AV267" s="1" t="e">
        <f>VLOOKUP(B267,Tabla467824[[ID CAE2]:[AE '[kWh']]],6,FALSE)</f>
        <v>#N/A</v>
      </c>
      <c r="AW26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8" spans="1:49" ht="15.75" hidden="1" thickBot="1" x14ac:dyDescent="0.3">
      <c r="A268" t="s">
        <v>1454</v>
      </c>
      <c r="B268" t="e">
        <f>VLOOKUP(A268,Tabla46782[ID CAE],1,FALSE)</f>
        <v>#N/A</v>
      </c>
      <c r="C268" s="31" t="s">
        <v>1462</v>
      </c>
      <c r="D268" s="31"/>
      <c r="E268" s="31"/>
      <c r="F268" s="31"/>
      <c r="G268" s="31"/>
      <c r="H268" s="31"/>
      <c r="I268" s="31"/>
      <c r="J268" s="31"/>
      <c r="K268" s="31" t="s">
        <v>73</v>
      </c>
      <c r="L268" s="31" t="s">
        <v>200</v>
      </c>
      <c r="M268" s="31" t="s">
        <v>201</v>
      </c>
      <c r="N268" s="31" t="s">
        <v>76</v>
      </c>
      <c r="O268" s="31" t="e">
        <f>VLOOKUP(Tabla1[[#This Row],[Matricula]],BAJA2022202320242025!$B$3:$CR$245,93,FALSE)</f>
        <v>#N/A</v>
      </c>
      <c r="P268" s="32">
        <v>44693</v>
      </c>
      <c r="Q268" s="32" t="e">
        <f>Tabla1[[#This Row],[F.Vig.Final]]-Tabla1[[#This Row],[f Vig Inicio]]</f>
        <v>#N/A</v>
      </c>
      <c r="R268" s="32">
        <f>YEAR(Tabla1[[#This Row],[F.Vig.Final]])</f>
        <v>2022</v>
      </c>
      <c r="S268" s="31" t="s">
        <v>77</v>
      </c>
      <c r="T268" s="31" t="s">
        <v>78</v>
      </c>
      <c r="U268" s="31" t="s">
        <v>359</v>
      </c>
      <c r="V268" s="31" t="s">
        <v>360</v>
      </c>
      <c r="W268" s="31" t="s">
        <v>336</v>
      </c>
      <c r="X268" s="31" t="s">
        <v>337</v>
      </c>
      <c r="Y268" s="31" t="s">
        <v>1463</v>
      </c>
      <c r="Z268" s="48">
        <f>COUNTIF($X$3:X268, X268)</f>
        <v>23</v>
      </c>
      <c r="AA268" s="48" t="e">
        <v>#N/A</v>
      </c>
      <c r="AB268" s="48" t="e">
        <v>#N/A</v>
      </c>
      <c r="AC268" s="48" t="e">
        <v>#N/A</v>
      </c>
      <c r="AD268" s="48" t="e">
        <v>#N/A</v>
      </c>
      <c r="AE268" s="16" t="e">
        <v>#N/A</v>
      </c>
      <c r="AF268" s="22" t="e">
        <v>#N/A</v>
      </c>
      <c r="AG268" s="22" t="e">
        <v>#N/A</v>
      </c>
      <c r="AH268" s="22" t="e">
        <f>Tabla1[[#This Row],[Renov. Flota]]-Tabla1[[#This Row],[Año]]</f>
        <v>#N/A</v>
      </c>
      <c r="AI268" s="49" t="e">
        <v>#N/A</v>
      </c>
      <c r="AJ268" s="49" t="e">
        <f>VLOOKUP(Tabla1[[#This Row],[Matricula nueva]],'ALTA 20242025'!$B$2:$P$242,15,FALSE)</f>
        <v>#N/A</v>
      </c>
      <c r="AK268" s="50" t="e">
        <v>#N/A</v>
      </c>
      <c r="AN268" s="1"/>
      <c r="AO268" s="1" t="e">
        <f>VLOOKUP(Tabla1[[#This Row],[Matricula nueva]],Hoja2!$A$1:$B$224,2,FALSE)</f>
        <v>#N/A</v>
      </c>
      <c r="AP268" s="1" t="str">
        <f>IF(Tabla1[[#This Row],[Columna2]]="M1",5.1,"")</f>
        <v/>
      </c>
      <c r="AQ268" s="1"/>
      <c r="AR268" s="1"/>
      <c r="AS268" s="47">
        <f>IF(Tabla1[[#This Row],[Columna2]]="M1",13073,IF(Tabla1[[#This Row],[Columna2]]="N1",15815,IF(Tabla1[[#This Row],[Columna2]]="L3e",2831,53508)))</f>
        <v>53508</v>
      </c>
      <c r="AT268" s="47" t="e">
        <f>(Tabla1[[#This Row],[CVA]]*Tabla1[[#This Row],[F]]-Tabla1[[#This Row],[CVN]])/100*Tabla1[[#This Row],[L]]</f>
        <v>#VALUE!</v>
      </c>
      <c r="AU268" s="1"/>
      <c r="AV268" s="1" t="e">
        <f>VLOOKUP(B268,Tabla467824[[ID CAE2]:[AE '[kWh']]],6,FALSE)</f>
        <v>#N/A</v>
      </c>
      <c r="AW26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69" spans="1:49" ht="15.75" thickBot="1" x14ac:dyDescent="0.3">
      <c r="A269" s="114" t="s">
        <v>1093</v>
      </c>
      <c r="B269" t="str">
        <f>VLOOKUP(A269,Tabla46782[ID CAE],1,FALSE)</f>
        <v>CAE500235</v>
      </c>
      <c r="C269" s="113" t="s">
        <v>1094</v>
      </c>
      <c r="D269" s="104" t="s">
        <v>72</v>
      </c>
      <c r="E269" s="104" t="s">
        <v>72</v>
      </c>
      <c r="F269" s="104" t="s">
        <v>72</v>
      </c>
      <c r="G269" s="104"/>
      <c r="H269" s="104" t="s">
        <v>72</v>
      </c>
      <c r="I269" s="104" t="s">
        <v>72</v>
      </c>
      <c r="J269" s="104"/>
      <c r="K269" s="96" t="s">
        <v>1034</v>
      </c>
      <c r="L269" s="96" t="s">
        <v>200</v>
      </c>
      <c r="M269" s="96" t="s">
        <v>201</v>
      </c>
      <c r="N269" s="96" t="s">
        <v>76</v>
      </c>
      <c r="O269" s="101">
        <f>VLOOKUP(Tabla1[[#This Row],[Matricula]],BAJA2022202320242025!$B$3:$CR$245,93,FALSE)</f>
        <v>44127</v>
      </c>
      <c r="P269" s="97">
        <v>45588</v>
      </c>
      <c r="Q269" s="162">
        <f>Tabla1[[#This Row],[F.Vig.Final]]-Tabla1[[#This Row],[f Vig Inicio]]</f>
        <v>1461</v>
      </c>
      <c r="R269" s="141">
        <f>YEAR(Tabla1[[#This Row],[F.Vig.Final]])</f>
        <v>2024</v>
      </c>
      <c r="S269" s="96" t="s">
        <v>77</v>
      </c>
      <c r="T269" s="96" t="s">
        <v>202</v>
      </c>
      <c r="U269" s="96" t="s">
        <v>524</v>
      </c>
      <c r="V269" s="96" t="s">
        <v>1095</v>
      </c>
      <c r="W269" s="96" t="s">
        <v>204</v>
      </c>
      <c r="X269" s="96" t="s">
        <v>205</v>
      </c>
      <c r="Y269" s="96" t="s">
        <v>206</v>
      </c>
      <c r="Z269" s="98">
        <f>COUNTIF($X$3:X269, X269)</f>
        <v>11</v>
      </c>
      <c r="AA269" s="98" t="s">
        <v>1096</v>
      </c>
      <c r="AB269" s="98" t="s">
        <v>140</v>
      </c>
      <c r="AC269" s="98" t="s">
        <v>151</v>
      </c>
      <c r="AD269" s="98" t="s">
        <v>87</v>
      </c>
      <c r="AE269" s="151" t="s">
        <v>232</v>
      </c>
      <c r="AF269" s="87" t="s">
        <v>89</v>
      </c>
      <c r="AG269" s="99">
        <v>45638</v>
      </c>
      <c r="AH269" s="98">
        <f>Tabla1[[#This Row],[Renov. Flota]]-Tabla1[[#This Row],[Año]]</f>
        <v>0</v>
      </c>
      <c r="AI269" s="100" t="s">
        <v>204</v>
      </c>
      <c r="AJ269" s="100" t="str">
        <f>VLOOKUP(Tabla1[[#This Row],[Matricula nueva]],'ALTA 20242025'!$B$2:$P$242,15,FALSE)</f>
        <v>4500424883</v>
      </c>
      <c r="AK269" s="101" t="s">
        <v>205</v>
      </c>
      <c r="AM269" s="1" t="s">
        <v>72</v>
      </c>
      <c r="AN269" s="1" t="s">
        <v>91</v>
      </c>
      <c r="AO269" s="1" t="str">
        <f>VLOOKUP(Tabla1[[#This Row],[Matricula nueva]],Hoja2!$A$1:$B$224,2,FALSE)</f>
        <v>VR7CBZYA9RT153025</v>
      </c>
      <c r="AP269" s="92">
        <f>IF(Tabla1[[#This Row],[Columna2]]="M1",5.1,"")</f>
        <v>5.0999999999999996</v>
      </c>
      <c r="AQ269" s="81">
        <f>IF(T269="DIESEL",10,IF(T269="GLP",7.16,9.19))</f>
        <v>9.19</v>
      </c>
      <c r="AR269" s="82">
        <v>16.399999999999999</v>
      </c>
      <c r="AS269" s="83">
        <f>IF(Tabla1[[#This Row],[Columna2]]="M1",13073,IF(Tabla1[[#This Row],[Columna2]]="N1",15815,IF(Tabla1[[#This Row],[Columna2]]="L3e",2831,53508)))</f>
        <v>13073</v>
      </c>
      <c r="AT269" s="83">
        <f>(Tabla1[[#This Row],[CVA]]*Tabla1[[#This Row],[F]]-Tabla1[[#This Row],[CVN]])/100*Tabla1[[#This Row],[L]]</f>
        <v>3983.2123699999993</v>
      </c>
      <c r="AU269" s="84" t="s">
        <v>70</v>
      </c>
      <c r="AV269" s="294">
        <f>VLOOKUP(B269,Tabla467824[[ID CAE2]:[AE '[kWh']]],6,FALSE)</f>
        <v>7136.4330429999991</v>
      </c>
      <c r="AW26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70" spans="1:49" ht="15.75" hidden="1" thickBot="1" x14ac:dyDescent="0.3">
      <c r="A270" t="s">
        <v>1099</v>
      </c>
      <c r="B270" t="str">
        <f>VLOOKUP(A270,Tabla46782[ID CAE],1,FALSE)</f>
        <v>CAE500236</v>
      </c>
      <c r="C270" s="31" t="s">
        <v>1464</v>
      </c>
      <c r="D270" s="31"/>
      <c r="E270" s="31"/>
      <c r="F270" s="31"/>
      <c r="G270" s="31"/>
      <c r="H270" s="31"/>
      <c r="I270" s="31"/>
      <c r="J270" s="31"/>
      <c r="K270" s="31" t="s">
        <v>73</v>
      </c>
      <c r="L270" s="31" t="s">
        <v>172</v>
      </c>
      <c r="M270" s="31" t="s">
        <v>1127</v>
      </c>
      <c r="N270" s="31" t="s">
        <v>76</v>
      </c>
      <c r="O270" s="31" t="e">
        <f>VLOOKUP(Tabla1[[#This Row],[Matricula]],BAJA2022202320242025!$B$3:$CR$245,93,FALSE)</f>
        <v>#N/A</v>
      </c>
      <c r="P270" s="32">
        <v>44694</v>
      </c>
      <c r="Q270" s="32" t="e">
        <f>Tabla1[[#This Row],[F.Vig.Final]]-Tabla1[[#This Row],[f Vig Inicio]]</f>
        <v>#N/A</v>
      </c>
      <c r="R270" s="32">
        <f>YEAR(Tabla1[[#This Row],[F.Vig.Final]])</f>
        <v>2022</v>
      </c>
      <c r="S270" s="31" t="s">
        <v>77</v>
      </c>
      <c r="T270" s="31" t="s">
        <v>78</v>
      </c>
      <c r="U270" s="31" t="s">
        <v>85</v>
      </c>
      <c r="V270" s="31" t="s">
        <v>732</v>
      </c>
      <c r="W270" s="31" t="s">
        <v>1128</v>
      </c>
      <c r="X270" s="31" t="s">
        <v>1129</v>
      </c>
      <c r="Y270" s="31" t="s">
        <v>1130</v>
      </c>
      <c r="Z270" s="93">
        <f>COUNTIF($X$3:X270, X270)</f>
        <v>4</v>
      </c>
      <c r="AA270" s="93" t="e">
        <v>#N/A</v>
      </c>
      <c r="AB270" s="93" t="e">
        <v>#N/A</v>
      </c>
      <c r="AC270" s="93" t="e">
        <v>#N/A</v>
      </c>
      <c r="AD270" s="93" t="e">
        <v>#N/A</v>
      </c>
      <c r="AE270" s="16" t="e">
        <v>#N/A</v>
      </c>
      <c r="AF270" s="21" t="e">
        <v>#N/A</v>
      </c>
      <c r="AG270" s="21" t="e">
        <v>#N/A</v>
      </c>
      <c r="AH270" s="21" t="e">
        <f>Tabla1[[#This Row],[Renov. Flota]]-Tabla1[[#This Row],[Año]]</f>
        <v>#N/A</v>
      </c>
      <c r="AI270" s="94" t="e">
        <v>#N/A</v>
      </c>
      <c r="AJ270" s="94" t="e">
        <f>VLOOKUP(Tabla1[[#This Row],[Matricula nueva]],'ALTA 20242025'!$B$2:$P$242,15,FALSE)</f>
        <v>#N/A</v>
      </c>
      <c r="AK270" s="95" t="e">
        <v>#N/A</v>
      </c>
      <c r="AN270" s="1"/>
      <c r="AO270" s="1" t="e">
        <f>VLOOKUP(Tabla1[[#This Row],[Matricula nueva]],Hoja2!$A$1:$B$224,2,FALSE)</f>
        <v>#N/A</v>
      </c>
      <c r="AP270" s="1" t="str">
        <f>IF(Tabla1[[#This Row],[Columna2]]="M1",5.1,"")</f>
        <v/>
      </c>
      <c r="AQ270" s="1"/>
      <c r="AR270" s="1"/>
      <c r="AS270" s="47">
        <f>IF(Tabla1[[#This Row],[Columna2]]="M1",13073,IF(Tabla1[[#This Row],[Columna2]]="N1",15815,IF(Tabla1[[#This Row],[Columna2]]="L3e",2831,53508)))</f>
        <v>53508</v>
      </c>
      <c r="AT270" s="47" t="e">
        <f>(Tabla1[[#This Row],[CVA]]*Tabla1[[#This Row],[F]]-Tabla1[[#This Row],[CVN]])/100*Tabla1[[#This Row],[L]]</f>
        <v>#VALUE!</v>
      </c>
      <c r="AU270" s="1"/>
      <c r="AV270" s="1">
        <f>VLOOKUP(B270,Tabla467824[[ID CAE2]:[AE '[kWh']]],6,FALSE)</f>
        <v>6795.3454000000002</v>
      </c>
      <c r="AW27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1" spans="1:49" ht="15.75" hidden="1" thickBot="1" x14ac:dyDescent="0.3">
      <c r="A271" t="s">
        <v>1465</v>
      </c>
      <c r="B271" t="e">
        <f>VLOOKUP(A271,Tabla46782[ID CAE],1,FALSE)</f>
        <v>#N/A</v>
      </c>
      <c r="C271" s="31" t="s">
        <v>1466</v>
      </c>
      <c r="D271" s="31"/>
      <c r="E271" s="31"/>
      <c r="F271" s="31"/>
      <c r="G271" s="31"/>
      <c r="H271" s="31"/>
      <c r="I271" s="31"/>
      <c r="J271" s="31"/>
      <c r="K271" s="31" t="s">
        <v>73</v>
      </c>
      <c r="L271" s="31" t="s">
        <v>172</v>
      </c>
      <c r="M271" s="31" t="s">
        <v>1127</v>
      </c>
      <c r="N271" s="31" t="s">
        <v>76</v>
      </c>
      <c r="O271" s="31" t="e">
        <f>VLOOKUP(Tabla1[[#This Row],[Matricula]],BAJA2022202320242025!$B$3:$CR$245,93,FALSE)</f>
        <v>#N/A</v>
      </c>
      <c r="P271" s="32">
        <v>44694</v>
      </c>
      <c r="Q271" s="32" t="e">
        <f>Tabla1[[#This Row],[F.Vig.Final]]-Tabla1[[#This Row],[f Vig Inicio]]</f>
        <v>#N/A</v>
      </c>
      <c r="R271" s="32">
        <f>YEAR(Tabla1[[#This Row],[F.Vig.Final]])</f>
        <v>2022</v>
      </c>
      <c r="S271" s="31" t="s">
        <v>77</v>
      </c>
      <c r="T271" s="31" t="s">
        <v>78</v>
      </c>
      <c r="U271" s="31" t="s">
        <v>1362</v>
      </c>
      <c r="V271" s="31" t="s">
        <v>1363</v>
      </c>
      <c r="W271" s="31" t="s">
        <v>119</v>
      </c>
      <c r="X271" s="31" t="s">
        <v>120</v>
      </c>
      <c r="Y271" s="31" t="s">
        <v>1467</v>
      </c>
      <c r="Z271" s="16">
        <f>COUNTIF($X$3:X271, X271)</f>
        <v>35</v>
      </c>
      <c r="AA271" s="16" t="e">
        <v>#N/A</v>
      </c>
      <c r="AB271" s="16" t="e">
        <v>#N/A</v>
      </c>
      <c r="AC271" s="16" t="e">
        <v>#N/A</v>
      </c>
      <c r="AD271" s="16" t="e">
        <v>#N/A</v>
      </c>
      <c r="AE271" s="16" t="e">
        <v>#N/A</v>
      </c>
      <c r="AF271" s="17" t="e">
        <v>#N/A</v>
      </c>
      <c r="AG271" s="17" t="e">
        <v>#N/A</v>
      </c>
      <c r="AH271" s="17" t="e">
        <f>Tabla1[[#This Row],[Renov. Flota]]-Tabla1[[#This Row],[Año]]</f>
        <v>#N/A</v>
      </c>
      <c r="AI271" s="18" t="e">
        <v>#N/A</v>
      </c>
      <c r="AJ271" s="18" t="e">
        <f>VLOOKUP(Tabla1[[#This Row],[Matricula nueva]],'ALTA 20242025'!$B$2:$P$242,15,FALSE)</f>
        <v>#N/A</v>
      </c>
      <c r="AK271" s="19" t="e">
        <v>#N/A</v>
      </c>
      <c r="AN271" s="1"/>
      <c r="AO271" s="1" t="e">
        <f>VLOOKUP(Tabla1[[#This Row],[Matricula nueva]],Hoja2!$A$1:$B$224,2,FALSE)</f>
        <v>#N/A</v>
      </c>
      <c r="AP271" s="1" t="str">
        <f>IF(Tabla1[[#This Row],[Columna2]]="M1",5.1,"")</f>
        <v/>
      </c>
      <c r="AQ271" s="1"/>
      <c r="AR271" s="1"/>
      <c r="AS271" s="47">
        <f>IF(Tabla1[[#This Row],[Columna2]]="M1",13073,IF(Tabla1[[#This Row],[Columna2]]="N1",15815,IF(Tabla1[[#This Row],[Columna2]]="L3e",2831,53508)))</f>
        <v>53508</v>
      </c>
      <c r="AT271" s="47" t="e">
        <f>(Tabla1[[#This Row],[CVA]]*Tabla1[[#This Row],[F]]-Tabla1[[#This Row],[CVN]])/100*Tabla1[[#This Row],[L]]</f>
        <v>#VALUE!</v>
      </c>
      <c r="AU271" s="1"/>
      <c r="AV271" s="1" t="e">
        <f>VLOOKUP(B271,Tabla467824[[ID CAE2]:[AE '[kWh']]],6,FALSE)</f>
        <v>#N/A</v>
      </c>
      <c r="AW27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2" spans="1:49" ht="15.75" hidden="1" thickBot="1" x14ac:dyDescent="0.3">
      <c r="A272" t="s">
        <v>1468</v>
      </c>
      <c r="B272" t="e">
        <f>VLOOKUP(A272,Tabla46782[ID CAE],1,FALSE)</f>
        <v>#N/A</v>
      </c>
      <c r="C272" s="31" t="s">
        <v>1469</v>
      </c>
      <c r="D272" s="31"/>
      <c r="E272" s="31"/>
      <c r="F272" s="31"/>
      <c r="G272" s="31"/>
      <c r="H272" s="31"/>
      <c r="I272" s="31"/>
      <c r="J272" s="31"/>
      <c r="K272" s="31" t="s">
        <v>158</v>
      </c>
      <c r="L272" s="31" t="s">
        <v>159</v>
      </c>
      <c r="M272" s="31" t="s">
        <v>158</v>
      </c>
      <c r="N272" s="31" t="s">
        <v>160</v>
      </c>
      <c r="O272" s="31" t="e">
        <f>VLOOKUP(Tabla1[[#This Row],[Matricula]],BAJA2022202320242025!$B$3:$CR$245,93,FALSE)</f>
        <v>#N/A</v>
      </c>
      <c r="P272" s="32">
        <v>44609</v>
      </c>
      <c r="Q272" s="32" t="e">
        <f>Tabla1[[#This Row],[F.Vig.Final]]-Tabla1[[#This Row],[f Vig Inicio]]</f>
        <v>#N/A</v>
      </c>
      <c r="R272" s="32">
        <f>YEAR(Tabla1[[#This Row],[F.Vig.Final]])</f>
        <v>2022</v>
      </c>
      <c r="S272" s="31" t="s">
        <v>161</v>
      </c>
      <c r="T272" s="31" t="s">
        <v>87</v>
      </c>
      <c r="U272" s="31" t="s">
        <v>85</v>
      </c>
      <c r="V272" s="31" t="s">
        <v>340</v>
      </c>
      <c r="W272" s="31" t="s">
        <v>336</v>
      </c>
      <c r="X272" s="31" t="s">
        <v>337</v>
      </c>
      <c r="Y272" s="31" t="s">
        <v>630</v>
      </c>
      <c r="Z272" s="16">
        <f>COUNTIF($X$3:X272, X272)</f>
        <v>24</v>
      </c>
      <c r="AA272" s="16" t="e">
        <v>#N/A</v>
      </c>
      <c r="AB272" s="16" t="e">
        <v>#N/A</v>
      </c>
      <c r="AC272" s="16" t="e">
        <v>#N/A</v>
      </c>
      <c r="AD272" s="16" t="e">
        <v>#N/A</v>
      </c>
      <c r="AE272" s="16" t="e">
        <v>#N/A</v>
      </c>
      <c r="AF272" s="17" t="e">
        <v>#N/A</v>
      </c>
      <c r="AG272" s="17" t="e">
        <v>#N/A</v>
      </c>
      <c r="AH272" s="17" t="e">
        <f>Tabla1[[#This Row],[Renov. Flota]]-Tabla1[[#This Row],[Año]]</f>
        <v>#N/A</v>
      </c>
      <c r="AI272" s="18" t="e">
        <v>#N/A</v>
      </c>
      <c r="AJ272" s="18" t="e">
        <f>VLOOKUP(Tabla1[[#This Row],[Matricula nueva]],'ALTA 20242025'!$B$2:$P$242,15,FALSE)</f>
        <v>#N/A</v>
      </c>
      <c r="AK272" s="19" t="e">
        <v>#N/A</v>
      </c>
      <c r="AN272" s="1"/>
      <c r="AO272" s="1" t="e">
        <f>VLOOKUP(Tabla1[[#This Row],[Matricula nueva]],Hoja2!$A$1:$B$224,2,FALSE)</f>
        <v>#N/A</v>
      </c>
      <c r="AP272" s="1" t="str">
        <f>IF(Tabla1[[#This Row],[Columna2]]="M1",5.1,"")</f>
        <v/>
      </c>
      <c r="AQ272" s="1"/>
      <c r="AR272" s="1"/>
      <c r="AS272" s="47">
        <f>IF(Tabla1[[#This Row],[Columna2]]="M1",13073,IF(Tabla1[[#This Row],[Columna2]]="N1",15815,IF(Tabla1[[#This Row],[Columna2]]="L3e",2831,53508)))</f>
        <v>53508</v>
      </c>
      <c r="AT272" s="47" t="e">
        <f>(Tabla1[[#This Row],[CVA]]*Tabla1[[#This Row],[F]]-Tabla1[[#This Row],[CVN]])/100*Tabla1[[#This Row],[L]]</f>
        <v>#VALUE!</v>
      </c>
      <c r="AU272" s="1"/>
      <c r="AV272" s="1" t="e">
        <f>VLOOKUP(B272,Tabla467824[[ID CAE2]:[AE '[kWh']]],6,FALSE)</f>
        <v>#N/A</v>
      </c>
      <c r="AW27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273" spans="1:49" ht="15.75" hidden="1" thickBot="1" x14ac:dyDescent="0.3">
      <c r="A273" t="s">
        <v>1470</v>
      </c>
      <c r="B273" t="e">
        <f>VLOOKUP(A273,Tabla46782[ID CAE],1,FALSE)</f>
        <v>#N/A</v>
      </c>
      <c r="C273" s="31" t="s">
        <v>1471</v>
      </c>
      <c r="D273" s="31"/>
      <c r="E273" s="31"/>
      <c r="F273" s="31"/>
      <c r="G273" s="31"/>
      <c r="H273" s="31"/>
      <c r="I273" s="31"/>
      <c r="J273" s="31"/>
      <c r="K273" s="31" t="s">
        <v>1034</v>
      </c>
      <c r="L273" s="31" t="s">
        <v>200</v>
      </c>
      <c r="M273" s="31" t="s">
        <v>201</v>
      </c>
      <c r="N273" s="31" t="s">
        <v>76</v>
      </c>
      <c r="O273" s="31" t="e">
        <f>VLOOKUP(Tabla1[[#This Row],[Matricula]],BAJA2022202320242025!$B$3:$CR$245,93,FALSE)</f>
        <v>#N/A</v>
      </c>
      <c r="P273" s="32">
        <v>44805</v>
      </c>
      <c r="Q273" s="32" t="e">
        <f>Tabla1[[#This Row],[F.Vig.Final]]-Tabla1[[#This Row],[f Vig Inicio]]</f>
        <v>#N/A</v>
      </c>
      <c r="R273" s="32">
        <f>YEAR(Tabla1[[#This Row],[F.Vig.Final]])</f>
        <v>2022</v>
      </c>
      <c r="S273" s="31" t="s">
        <v>77</v>
      </c>
      <c r="T273" s="31" t="s">
        <v>674</v>
      </c>
      <c r="U273" s="31" t="s">
        <v>1348</v>
      </c>
      <c r="V273" s="31" t="s">
        <v>1472</v>
      </c>
      <c r="W273" s="31" t="s">
        <v>336</v>
      </c>
      <c r="X273" s="31" t="s">
        <v>337</v>
      </c>
      <c r="Y273" s="31" t="s">
        <v>1430</v>
      </c>
      <c r="Z273" s="16">
        <f>COUNTIF($X$3:X273, X273)</f>
        <v>25</v>
      </c>
      <c r="AA273" s="16" t="e">
        <v>#N/A</v>
      </c>
      <c r="AB273" s="16" t="e">
        <v>#N/A</v>
      </c>
      <c r="AC273" s="16" t="e">
        <v>#N/A</v>
      </c>
      <c r="AD273" s="16" t="e">
        <v>#N/A</v>
      </c>
      <c r="AE273" s="16" t="e">
        <v>#N/A</v>
      </c>
      <c r="AF273" s="22" t="e">
        <v>#N/A</v>
      </c>
      <c r="AG273" s="17" t="e">
        <v>#N/A</v>
      </c>
      <c r="AH273" s="17" t="e">
        <f>Tabla1[[#This Row],[Renov. Flota]]-Tabla1[[#This Row],[Año]]</f>
        <v>#N/A</v>
      </c>
      <c r="AI273" s="18" t="e">
        <v>#N/A</v>
      </c>
      <c r="AJ273" s="18" t="e">
        <f>VLOOKUP(Tabla1[[#This Row],[Matricula nueva]],'ALTA 20242025'!$B$2:$P$242,15,FALSE)</f>
        <v>#N/A</v>
      </c>
      <c r="AK273" s="19" t="e">
        <v>#N/A</v>
      </c>
      <c r="AN273" s="1"/>
      <c r="AO273" s="1" t="e">
        <f>VLOOKUP(Tabla1[[#This Row],[Matricula nueva]],Hoja2!$A$1:$B$224,2,FALSE)</f>
        <v>#N/A</v>
      </c>
      <c r="AP273" s="1" t="str">
        <f>IF(Tabla1[[#This Row],[Columna2]]="M1",5.1,"")</f>
        <v/>
      </c>
      <c r="AQ273" s="1"/>
      <c r="AR273" s="1"/>
      <c r="AS273" s="47">
        <f>IF(Tabla1[[#This Row],[Columna2]]="M1",13073,IF(Tabla1[[#This Row],[Columna2]]="N1",15815,IF(Tabla1[[#This Row],[Columna2]]="L3e",2831,53508)))</f>
        <v>53508</v>
      </c>
      <c r="AT273" s="47" t="e">
        <f>(Tabla1[[#This Row],[CVA]]*Tabla1[[#This Row],[F]]-Tabla1[[#This Row],[CVN]])/100*Tabla1[[#This Row],[L]]</f>
        <v>#VALUE!</v>
      </c>
      <c r="AU273" s="1"/>
      <c r="AV273" s="1" t="e">
        <f>VLOOKUP(B273,Tabla467824[[ID CAE2]:[AE '[kWh']]],6,FALSE)</f>
        <v>#N/A</v>
      </c>
      <c r="AW27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4" spans="1:49" ht="15.75" hidden="1" thickBot="1" x14ac:dyDescent="0.3">
      <c r="A274" t="s">
        <v>1473</v>
      </c>
      <c r="B274" t="e">
        <f>VLOOKUP(A274,Tabla46782[ID CAE],1,FALSE)</f>
        <v>#N/A</v>
      </c>
      <c r="C274" s="31" t="s">
        <v>1474</v>
      </c>
      <c r="D274" s="31"/>
      <c r="E274" s="31"/>
      <c r="F274" s="31"/>
      <c r="G274" s="31"/>
      <c r="H274" s="31"/>
      <c r="I274" s="31"/>
      <c r="J274" s="31"/>
      <c r="K274" s="31" t="s">
        <v>1034</v>
      </c>
      <c r="L274" s="31" t="s">
        <v>200</v>
      </c>
      <c r="M274" s="31" t="s">
        <v>201</v>
      </c>
      <c r="N274" s="31" t="s">
        <v>160</v>
      </c>
      <c r="O274" s="31" t="e">
        <f>VLOOKUP(Tabla1[[#This Row],[Matricula]],BAJA2022202320242025!$B$3:$CR$245,93,FALSE)</f>
        <v>#N/A</v>
      </c>
      <c r="P274" s="32">
        <v>44805</v>
      </c>
      <c r="Q274" s="32" t="e">
        <f>Tabla1[[#This Row],[F.Vig.Final]]-Tabla1[[#This Row],[f Vig Inicio]]</f>
        <v>#N/A</v>
      </c>
      <c r="R274" s="32">
        <f>YEAR(Tabla1[[#This Row],[F.Vig.Final]])</f>
        <v>2022</v>
      </c>
      <c r="S274" s="31" t="s">
        <v>161</v>
      </c>
      <c r="T274" s="31" t="s">
        <v>674</v>
      </c>
      <c r="U274" s="31" t="s">
        <v>1348</v>
      </c>
      <c r="V274" s="31" t="s">
        <v>1472</v>
      </c>
      <c r="W274" s="31" t="s">
        <v>336</v>
      </c>
      <c r="X274" s="31" t="s">
        <v>337</v>
      </c>
      <c r="Y274" s="31" t="s">
        <v>1430</v>
      </c>
      <c r="Z274" s="16">
        <f>COUNTIF($X$3:X274, X274)</f>
        <v>26</v>
      </c>
      <c r="AA274" s="16" t="e">
        <v>#N/A</v>
      </c>
      <c r="AB274" s="16" t="e">
        <v>#N/A</v>
      </c>
      <c r="AC274" s="16" t="e">
        <v>#N/A</v>
      </c>
      <c r="AD274" s="16" t="e">
        <v>#N/A</v>
      </c>
      <c r="AE274" s="16" t="e">
        <v>#N/A</v>
      </c>
      <c r="AF274" s="21" t="e">
        <v>#N/A</v>
      </c>
      <c r="AG274" s="17" t="e">
        <v>#N/A</v>
      </c>
      <c r="AH274" s="17" t="e">
        <f>Tabla1[[#This Row],[Renov. Flota]]-Tabla1[[#This Row],[Año]]</f>
        <v>#N/A</v>
      </c>
      <c r="AI274" s="18" t="e">
        <v>#N/A</v>
      </c>
      <c r="AJ274" s="18" t="e">
        <f>VLOOKUP(Tabla1[[#This Row],[Matricula nueva]],'ALTA 20242025'!$B$2:$P$242,15,FALSE)</f>
        <v>#N/A</v>
      </c>
      <c r="AK274" s="19" t="e">
        <v>#N/A</v>
      </c>
      <c r="AN274" s="1"/>
      <c r="AO274" s="1" t="e">
        <f>VLOOKUP(Tabla1[[#This Row],[Matricula nueva]],Hoja2!$A$1:$B$224,2,FALSE)</f>
        <v>#N/A</v>
      </c>
      <c r="AP274" s="1" t="str">
        <f>IF(Tabla1[[#This Row],[Columna2]]="M1",5.1,"")</f>
        <v/>
      </c>
      <c r="AQ274" s="1"/>
      <c r="AR274" s="1"/>
      <c r="AS274" s="47">
        <f>IF(Tabla1[[#This Row],[Columna2]]="M1",13073,IF(Tabla1[[#This Row],[Columna2]]="N1",15815,IF(Tabla1[[#This Row],[Columna2]]="L3e",2831,53508)))</f>
        <v>53508</v>
      </c>
      <c r="AT274" s="47" t="e">
        <f>(Tabla1[[#This Row],[CVA]]*Tabla1[[#This Row],[F]]-Tabla1[[#This Row],[CVN]])/100*Tabla1[[#This Row],[L]]</f>
        <v>#VALUE!</v>
      </c>
      <c r="AU274" s="1"/>
      <c r="AV274" s="1" t="e">
        <f>VLOOKUP(B274,Tabla467824[[ID CAE2]:[AE '[kWh']]],6,FALSE)</f>
        <v>#N/A</v>
      </c>
      <c r="AW27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5" spans="1:49" ht="15.75" hidden="1" thickBot="1" x14ac:dyDescent="0.3">
      <c r="A275" t="s">
        <v>1475</v>
      </c>
      <c r="B275" t="e">
        <f>VLOOKUP(A275,Tabla46782[ID CAE],1,FALSE)</f>
        <v>#N/A</v>
      </c>
      <c r="C275" s="31" t="s">
        <v>1476</v>
      </c>
      <c r="D275" s="31"/>
      <c r="E275" s="31"/>
      <c r="F275" s="31"/>
      <c r="G275" s="31"/>
      <c r="H275" s="31"/>
      <c r="I275" s="31"/>
      <c r="J275" s="31"/>
      <c r="K275" s="31" t="s">
        <v>73</v>
      </c>
      <c r="L275" s="31" t="s">
        <v>200</v>
      </c>
      <c r="M275" s="31" t="s">
        <v>201</v>
      </c>
      <c r="N275" s="31" t="s">
        <v>76</v>
      </c>
      <c r="O275" s="31" t="e">
        <f>VLOOKUP(Tabla1[[#This Row],[Matricula]],BAJA2022202320242025!$B$3:$CR$245,93,FALSE)</f>
        <v>#N/A</v>
      </c>
      <c r="P275" s="32">
        <v>44818</v>
      </c>
      <c r="Q275" s="32" t="e">
        <f>Tabla1[[#This Row],[F.Vig.Final]]-Tabla1[[#This Row],[f Vig Inicio]]</f>
        <v>#N/A</v>
      </c>
      <c r="R275" s="32">
        <f>YEAR(Tabla1[[#This Row],[F.Vig.Final]])</f>
        <v>2022</v>
      </c>
      <c r="S275" s="31" t="s">
        <v>77</v>
      </c>
      <c r="T275" s="31" t="s">
        <v>78</v>
      </c>
      <c r="U275" s="31" t="s">
        <v>359</v>
      </c>
      <c r="V275" s="31" t="s">
        <v>593</v>
      </c>
      <c r="W275" s="31" t="s">
        <v>102</v>
      </c>
      <c r="X275" s="31" t="s">
        <v>103</v>
      </c>
      <c r="Y275" s="31" t="s">
        <v>1477</v>
      </c>
      <c r="Z275" s="16">
        <f>COUNTIF($X$3:X275, X275)</f>
        <v>45</v>
      </c>
      <c r="AA275" s="16" t="e">
        <v>#N/A</v>
      </c>
      <c r="AB275" s="16" t="e">
        <v>#N/A</v>
      </c>
      <c r="AC275" s="16" t="e">
        <v>#N/A</v>
      </c>
      <c r="AD275" s="16" t="e">
        <v>#N/A</v>
      </c>
      <c r="AE275" s="16" t="e">
        <v>#N/A</v>
      </c>
      <c r="AF275" s="17" t="e">
        <v>#N/A</v>
      </c>
      <c r="AG275" s="17" t="e">
        <v>#N/A</v>
      </c>
      <c r="AH275" s="17" t="e">
        <f>Tabla1[[#This Row],[Renov. Flota]]-Tabla1[[#This Row],[Año]]</f>
        <v>#N/A</v>
      </c>
      <c r="AI275" s="18" t="e">
        <v>#N/A</v>
      </c>
      <c r="AJ275" s="18" t="e">
        <f>VLOOKUP(Tabla1[[#This Row],[Matricula nueva]],'ALTA 20242025'!$B$2:$P$242,15,FALSE)</f>
        <v>#N/A</v>
      </c>
      <c r="AK275" s="19" t="e">
        <v>#N/A</v>
      </c>
      <c r="AN275" s="1"/>
      <c r="AO275" s="1" t="e">
        <f>VLOOKUP(Tabla1[[#This Row],[Matricula nueva]],Hoja2!$A$1:$B$224,2,FALSE)</f>
        <v>#N/A</v>
      </c>
      <c r="AP275" s="1" t="str">
        <f>IF(Tabla1[[#This Row],[Columna2]]="M1",5.1,"")</f>
        <v/>
      </c>
      <c r="AQ275" s="1"/>
      <c r="AR275" s="1"/>
      <c r="AS275" s="47">
        <f>IF(Tabla1[[#This Row],[Columna2]]="M1",13073,IF(Tabla1[[#This Row],[Columna2]]="N1",15815,IF(Tabla1[[#This Row],[Columna2]]="L3e",2831,53508)))</f>
        <v>53508</v>
      </c>
      <c r="AT275" s="47" t="e">
        <f>(Tabla1[[#This Row],[CVA]]*Tabla1[[#This Row],[F]]-Tabla1[[#This Row],[CVN]])/100*Tabla1[[#This Row],[L]]</f>
        <v>#VALUE!</v>
      </c>
      <c r="AU275" s="1"/>
      <c r="AV275" s="1" t="e">
        <f>VLOOKUP(B275,Tabla467824[[ID CAE2]:[AE '[kWh']]],6,FALSE)</f>
        <v>#N/A</v>
      </c>
      <c r="AW27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6" spans="1:49" ht="15.75" hidden="1" thickBot="1" x14ac:dyDescent="0.3">
      <c r="A276" t="s">
        <v>1478</v>
      </c>
      <c r="B276" t="e">
        <f>VLOOKUP(A276,Tabla46782[ID CAE],1,FALSE)</f>
        <v>#N/A</v>
      </c>
      <c r="C276" s="31" t="s">
        <v>1479</v>
      </c>
      <c r="D276" s="31"/>
      <c r="E276" s="31"/>
      <c r="F276" s="31"/>
      <c r="G276" s="31"/>
      <c r="H276" s="31"/>
      <c r="I276" s="31"/>
      <c r="J276" s="31"/>
      <c r="K276" s="31" t="s">
        <v>73</v>
      </c>
      <c r="L276" s="31" t="s">
        <v>200</v>
      </c>
      <c r="M276" s="31" t="s">
        <v>201</v>
      </c>
      <c r="N276" s="31" t="s">
        <v>76</v>
      </c>
      <c r="O276" s="31" t="e">
        <f>VLOOKUP(Tabla1[[#This Row],[Matricula]],BAJA2022202320242025!$B$3:$CR$245,93,FALSE)</f>
        <v>#N/A</v>
      </c>
      <c r="P276" s="32">
        <v>44816</v>
      </c>
      <c r="Q276" s="32" t="e">
        <f>Tabla1[[#This Row],[F.Vig.Final]]-Tabla1[[#This Row],[f Vig Inicio]]</f>
        <v>#N/A</v>
      </c>
      <c r="R276" s="32">
        <f>YEAR(Tabla1[[#This Row],[F.Vig.Final]])</f>
        <v>2022</v>
      </c>
      <c r="S276" s="31" t="s">
        <v>77</v>
      </c>
      <c r="T276" s="31" t="s">
        <v>78</v>
      </c>
      <c r="U276" s="31" t="s">
        <v>359</v>
      </c>
      <c r="V276" s="31" t="s">
        <v>593</v>
      </c>
      <c r="W276" s="31" t="s">
        <v>102</v>
      </c>
      <c r="X276" s="31" t="s">
        <v>103</v>
      </c>
      <c r="Y276" s="31" t="s">
        <v>1480</v>
      </c>
      <c r="Z276" s="16">
        <f>COUNTIF($X$3:X276, X276)</f>
        <v>46</v>
      </c>
      <c r="AA276" s="16" t="e">
        <v>#N/A</v>
      </c>
      <c r="AB276" s="16" t="e">
        <v>#N/A</v>
      </c>
      <c r="AC276" s="16" t="e">
        <v>#N/A</v>
      </c>
      <c r="AD276" s="16" t="e">
        <v>#N/A</v>
      </c>
      <c r="AE276" s="16" t="e">
        <v>#N/A</v>
      </c>
      <c r="AF276" s="17" t="e">
        <v>#N/A</v>
      </c>
      <c r="AG276" s="17" t="e">
        <v>#N/A</v>
      </c>
      <c r="AH276" s="17" t="e">
        <f>Tabla1[[#This Row],[Renov. Flota]]-Tabla1[[#This Row],[Año]]</f>
        <v>#N/A</v>
      </c>
      <c r="AI276" s="18" t="e">
        <v>#N/A</v>
      </c>
      <c r="AJ276" s="18" t="e">
        <f>VLOOKUP(Tabla1[[#This Row],[Matricula nueva]],'ALTA 20242025'!$B$2:$P$242,15,FALSE)</f>
        <v>#N/A</v>
      </c>
      <c r="AK276" s="19" t="e">
        <v>#N/A</v>
      </c>
      <c r="AN276" s="1"/>
      <c r="AO276" s="1" t="e">
        <f>VLOOKUP(Tabla1[[#This Row],[Matricula nueva]],Hoja2!$A$1:$B$224,2,FALSE)</f>
        <v>#N/A</v>
      </c>
      <c r="AP276" s="1" t="str">
        <f>IF(Tabla1[[#This Row],[Columna2]]="M1",5.1,"")</f>
        <v/>
      </c>
      <c r="AQ276" s="1"/>
      <c r="AR276" s="1"/>
      <c r="AS276" s="47">
        <f>IF(Tabla1[[#This Row],[Columna2]]="M1",13073,IF(Tabla1[[#This Row],[Columna2]]="N1",15815,IF(Tabla1[[#This Row],[Columna2]]="L3e",2831,53508)))</f>
        <v>53508</v>
      </c>
      <c r="AT276" s="47" t="e">
        <f>(Tabla1[[#This Row],[CVA]]*Tabla1[[#This Row],[F]]-Tabla1[[#This Row],[CVN]])/100*Tabla1[[#This Row],[L]]</f>
        <v>#VALUE!</v>
      </c>
      <c r="AU276" s="1"/>
      <c r="AV276" s="1" t="e">
        <f>VLOOKUP(B276,Tabla467824[[ID CAE2]:[AE '[kWh']]],6,FALSE)</f>
        <v>#N/A</v>
      </c>
      <c r="AW27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7" spans="1:49" ht="15.75" hidden="1" thickBot="1" x14ac:dyDescent="0.3">
      <c r="A277" t="s">
        <v>1481</v>
      </c>
      <c r="B277" t="e">
        <f>VLOOKUP(A277,Tabla46782[ID CAE],1,FALSE)</f>
        <v>#N/A</v>
      </c>
      <c r="C277" s="31" t="s">
        <v>1482</v>
      </c>
      <c r="D277" s="31"/>
      <c r="E277" s="31"/>
      <c r="F277" s="31"/>
      <c r="G277" s="31"/>
      <c r="H277" s="31"/>
      <c r="I277" s="31"/>
      <c r="J277" s="31"/>
      <c r="K277" s="31" t="s">
        <v>73</v>
      </c>
      <c r="L277" s="31" t="s">
        <v>200</v>
      </c>
      <c r="M277" s="31" t="s">
        <v>201</v>
      </c>
      <c r="N277" s="31" t="s">
        <v>76</v>
      </c>
      <c r="O277" s="31" t="e">
        <f>VLOOKUP(Tabla1[[#This Row],[Matricula]],BAJA2022202320242025!$B$3:$CR$245,93,FALSE)</f>
        <v>#N/A</v>
      </c>
      <c r="P277" s="32">
        <v>44787</v>
      </c>
      <c r="Q277" s="32" t="e">
        <f>Tabla1[[#This Row],[F.Vig.Final]]-Tabla1[[#This Row],[f Vig Inicio]]</f>
        <v>#N/A</v>
      </c>
      <c r="R277" s="32">
        <f>YEAR(Tabla1[[#This Row],[F.Vig.Final]])</f>
        <v>2022</v>
      </c>
      <c r="S277" s="31" t="s">
        <v>77</v>
      </c>
      <c r="T277" s="31" t="s">
        <v>674</v>
      </c>
      <c r="U277" s="31" t="s">
        <v>359</v>
      </c>
      <c r="V277" s="31" t="s">
        <v>675</v>
      </c>
      <c r="W277" s="31" t="s">
        <v>584</v>
      </c>
      <c r="X277" s="31" t="s">
        <v>585</v>
      </c>
      <c r="Y277" s="31" t="s">
        <v>980</v>
      </c>
      <c r="Z277" s="16">
        <f>COUNTIF($X$3:X277, X277)</f>
        <v>20</v>
      </c>
      <c r="AA277" s="16" t="e">
        <v>#N/A</v>
      </c>
      <c r="AB277" s="16" t="e">
        <v>#N/A</v>
      </c>
      <c r="AC277" s="16" t="e">
        <v>#N/A</v>
      </c>
      <c r="AD277" s="16" t="e">
        <v>#N/A</v>
      </c>
      <c r="AE277" s="16" t="e">
        <v>#N/A</v>
      </c>
      <c r="AF277" s="17" t="e">
        <v>#N/A</v>
      </c>
      <c r="AG277" s="17" t="e">
        <v>#N/A</v>
      </c>
      <c r="AH277" s="17" t="e">
        <f>Tabla1[[#This Row],[Renov. Flota]]-Tabla1[[#This Row],[Año]]</f>
        <v>#N/A</v>
      </c>
      <c r="AI277" s="18" t="e">
        <v>#N/A</v>
      </c>
      <c r="AJ277" s="18" t="e">
        <f>VLOOKUP(Tabla1[[#This Row],[Matricula nueva]],'ALTA 20242025'!$B$2:$P$242,15,FALSE)</f>
        <v>#N/A</v>
      </c>
      <c r="AK277" s="19" t="e">
        <v>#N/A</v>
      </c>
      <c r="AN277" s="1"/>
      <c r="AO277" s="1" t="e">
        <f>VLOOKUP(Tabla1[[#This Row],[Matricula nueva]],Hoja2!$A$1:$B$224,2,FALSE)</f>
        <v>#N/A</v>
      </c>
      <c r="AP277" s="1" t="str">
        <f>IF(Tabla1[[#This Row],[Columna2]]="M1",5.1,"")</f>
        <v/>
      </c>
      <c r="AQ277" s="1"/>
      <c r="AR277" s="1"/>
      <c r="AS277" s="47">
        <f>IF(Tabla1[[#This Row],[Columna2]]="M1",13073,IF(Tabla1[[#This Row],[Columna2]]="N1",15815,IF(Tabla1[[#This Row],[Columna2]]="L3e",2831,53508)))</f>
        <v>53508</v>
      </c>
      <c r="AT277" s="47" t="e">
        <f>(Tabla1[[#This Row],[CVA]]*Tabla1[[#This Row],[F]]-Tabla1[[#This Row],[CVN]])/100*Tabla1[[#This Row],[L]]</f>
        <v>#VALUE!</v>
      </c>
      <c r="AU277" s="1"/>
      <c r="AV277" s="1" t="e">
        <f>VLOOKUP(B277,Tabla467824[[ID CAE2]:[AE '[kWh']]],6,FALSE)</f>
        <v>#N/A</v>
      </c>
      <c r="AW27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8" spans="1:49" ht="15.75" hidden="1" thickBot="1" x14ac:dyDescent="0.3">
      <c r="A278" t="s">
        <v>1483</v>
      </c>
      <c r="B278" t="e">
        <f>VLOOKUP(A278,Tabla46782[ID CAE],1,FALSE)</f>
        <v>#N/A</v>
      </c>
      <c r="C278" s="31" t="s">
        <v>1484</v>
      </c>
      <c r="D278" s="31"/>
      <c r="E278" s="31"/>
      <c r="F278" s="31"/>
      <c r="G278" s="31"/>
      <c r="H278" s="31"/>
      <c r="I278" s="31"/>
      <c r="J278" s="31"/>
      <c r="K278" s="31" t="s">
        <v>1034</v>
      </c>
      <c r="L278" s="31" t="s">
        <v>200</v>
      </c>
      <c r="M278" s="31" t="s">
        <v>201</v>
      </c>
      <c r="N278" s="31" t="s">
        <v>76</v>
      </c>
      <c r="O278" s="31" t="e">
        <f>VLOOKUP(Tabla1[[#This Row],[Matricula]],BAJA2022202320242025!$B$3:$CR$245,93,FALSE)</f>
        <v>#N/A</v>
      </c>
      <c r="P278" s="32">
        <v>44818</v>
      </c>
      <c r="Q278" s="32" t="e">
        <f>Tabla1[[#This Row],[F.Vig.Final]]-Tabla1[[#This Row],[f Vig Inicio]]</f>
        <v>#N/A</v>
      </c>
      <c r="R278" s="32">
        <f>YEAR(Tabla1[[#This Row],[F.Vig.Final]])</f>
        <v>2022</v>
      </c>
      <c r="S278" s="31" t="s">
        <v>77</v>
      </c>
      <c r="T278" s="31" t="s">
        <v>674</v>
      </c>
      <c r="U278" s="31" t="s">
        <v>1348</v>
      </c>
      <c r="V278" s="31" t="s">
        <v>1472</v>
      </c>
      <c r="W278" s="31" t="s">
        <v>336</v>
      </c>
      <c r="X278" s="31" t="s">
        <v>337</v>
      </c>
      <c r="Y278" s="31" t="s">
        <v>1430</v>
      </c>
      <c r="Z278" s="16">
        <f>COUNTIF($X$3:X278, X278)</f>
        <v>27</v>
      </c>
      <c r="AA278" s="16" t="e">
        <v>#N/A</v>
      </c>
      <c r="AB278" s="16" t="e">
        <v>#N/A</v>
      </c>
      <c r="AC278" s="16" t="e">
        <v>#N/A</v>
      </c>
      <c r="AD278" s="16" t="e">
        <v>#N/A</v>
      </c>
      <c r="AE278" s="16" t="e">
        <v>#N/A</v>
      </c>
      <c r="AF278" s="17" t="e">
        <v>#N/A</v>
      </c>
      <c r="AG278" s="17" t="e">
        <v>#N/A</v>
      </c>
      <c r="AH278" s="17" t="e">
        <f>Tabla1[[#This Row],[Renov. Flota]]-Tabla1[[#This Row],[Año]]</f>
        <v>#N/A</v>
      </c>
      <c r="AI278" s="18" t="e">
        <v>#N/A</v>
      </c>
      <c r="AJ278" s="18" t="e">
        <f>VLOOKUP(Tabla1[[#This Row],[Matricula nueva]],'ALTA 20242025'!$B$2:$P$242,15,FALSE)</f>
        <v>#N/A</v>
      </c>
      <c r="AK278" s="19" t="e">
        <v>#N/A</v>
      </c>
      <c r="AN278" s="1"/>
      <c r="AO278" s="1" t="e">
        <f>VLOOKUP(Tabla1[[#This Row],[Matricula nueva]],Hoja2!$A$1:$B$224,2,FALSE)</f>
        <v>#N/A</v>
      </c>
      <c r="AP278" s="1" t="str">
        <f>IF(Tabla1[[#This Row],[Columna2]]="M1",5.1,"")</f>
        <v/>
      </c>
      <c r="AQ278" s="1"/>
      <c r="AR278" s="1"/>
      <c r="AS278" s="47">
        <f>IF(Tabla1[[#This Row],[Columna2]]="M1",13073,IF(Tabla1[[#This Row],[Columna2]]="N1",15815,IF(Tabla1[[#This Row],[Columna2]]="L3e",2831,53508)))</f>
        <v>53508</v>
      </c>
      <c r="AT278" s="47" t="e">
        <f>(Tabla1[[#This Row],[CVA]]*Tabla1[[#This Row],[F]]-Tabla1[[#This Row],[CVN]])/100*Tabla1[[#This Row],[L]]</f>
        <v>#VALUE!</v>
      </c>
      <c r="AU278" s="1"/>
      <c r="AV278" s="1" t="e">
        <f>VLOOKUP(B278,Tabla467824[[ID CAE2]:[AE '[kWh']]],6,FALSE)</f>
        <v>#N/A</v>
      </c>
      <c r="AW27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79" spans="1:49" ht="15.75" hidden="1" thickBot="1" x14ac:dyDescent="0.3">
      <c r="A279" t="s">
        <v>1485</v>
      </c>
      <c r="B279" t="e">
        <f>VLOOKUP(A279,Tabla46782[ID CAE],1,FALSE)</f>
        <v>#N/A</v>
      </c>
      <c r="C279" s="31" t="s">
        <v>1486</v>
      </c>
      <c r="D279" s="31"/>
      <c r="E279" s="31"/>
      <c r="F279" s="31"/>
      <c r="G279" s="31"/>
      <c r="H279" s="31"/>
      <c r="I279" s="31"/>
      <c r="J279" s="31"/>
      <c r="K279" s="31" t="s">
        <v>73</v>
      </c>
      <c r="L279" s="31" t="s">
        <v>200</v>
      </c>
      <c r="M279" s="31" t="s">
        <v>201</v>
      </c>
      <c r="N279" s="31" t="s">
        <v>76</v>
      </c>
      <c r="O279" s="31" t="e">
        <f>VLOOKUP(Tabla1[[#This Row],[Matricula]],BAJA2022202320242025!$B$3:$CR$245,93,FALSE)</f>
        <v>#N/A</v>
      </c>
      <c r="P279" s="32">
        <v>44703</v>
      </c>
      <c r="Q279" s="32" t="e">
        <f>Tabla1[[#This Row],[F.Vig.Final]]-Tabla1[[#This Row],[f Vig Inicio]]</f>
        <v>#N/A</v>
      </c>
      <c r="R279" s="32">
        <f>YEAR(Tabla1[[#This Row],[F.Vig.Final]])</f>
        <v>2022</v>
      </c>
      <c r="S279" s="31" t="s">
        <v>77</v>
      </c>
      <c r="T279" s="31" t="s">
        <v>78</v>
      </c>
      <c r="U279" s="31" t="s">
        <v>359</v>
      </c>
      <c r="V279" s="31" t="s">
        <v>593</v>
      </c>
      <c r="W279" s="31" t="s">
        <v>102</v>
      </c>
      <c r="X279" s="31" t="s">
        <v>103</v>
      </c>
      <c r="Y279" s="31" t="s">
        <v>1487</v>
      </c>
      <c r="Z279" s="16">
        <f>COUNTIF($X$3:X279, X279)</f>
        <v>47</v>
      </c>
      <c r="AA279" s="16" t="e">
        <v>#N/A</v>
      </c>
      <c r="AB279" s="16" t="e">
        <v>#N/A</v>
      </c>
      <c r="AC279" s="16" t="e">
        <v>#N/A</v>
      </c>
      <c r="AD279" s="16" t="e">
        <v>#N/A</v>
      </c>
      <c r="AE279" s="16" t="e">
        <v>#N/A</v>
      </c>
      <c r="AF279" s="17" t="e">
        <v>#N/A</v>
      </c>
      <c r="AG279" s="17" t="e">
        <v>#N/A</v>
      </c>
      <c r="AH279" s="17" t="e">
        <f>Tabla1[[#This Row],[Renov. Flota]]-Tabla1[[#This Row],[Año]]</f>
        <v>#N/A</v>
      </c>
      <c r="AI279" s="18" t="e">
        <v>#N/A</v>
      </c>
      <c r="AJ279" s="18" t="e">
        <f>VLOOKUP(Tabla1[[#This Row],[Matricula nueva]],'ALTA 20242025'!$B$2:$P$242,15,FALSE)</f>
        <v>#N/A</v>
      </c>
      <c r="AK279" s="19" t="e">
        <v>#N/A</v>
      </c>
      <c r="AN279" s="1"/>
      <c r="AO279" s="1" t="e">
        <f>VLOOKUP(Tabla1[[#This Row],[Matricula nueva]],Hoja2!$A$1:$B$224,2,FALSE)</f>
        <v>#N/A</v>
      </c>
      <c r="AP279" s="1" t="str">
        <f>IF(Tabla1[[#This Row],[Columna2]]="M1",5.1,"")</f>
        <v/>
      </c>
      <c r="AQ279" s="1"/>
      <c r="AR279" s="1"/>
      <c r="AS279" s="47">
        <f>IF(Tabla1[[#This Row],[Columna2]]="M1",13073,IF(Tabla1[[#This Row],[Columna2]]="N1",15815,IF(Tabla1[[#This Row],[Columna2]]="L3e",2831,53508)))</f>
        <v>53508</v>
      </c>
      <c r="AT279" s="47" t="e">
        <f>(Tabla1[[#This Row],[CVA]]*Tabla1[[#This Row],[F]]-Tabla1[[#This Row],[CVN]])/100*Tabla1[[#This Row],[L]]</f>
        <v>#VALUE!</v>
      </c>
      <c r="AU279" s="1"/>
      <c r="AV279" s="1" t="e">
        <f>VLOOKUP(B279,Tabla467824[[ID CAE2]:[AE '[kWh']]],6,FALSE)</f>
        <v>#N/A</v>
      </c>
      <c r="AW27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0" spans="1:49" ht="15.75" hidden="1" thickBot="1" x14ac:dyDescent="0.3">
      <c r="A280" t="s">
        <v>1488</v>
      </c>
      <c r="B280" t="e">
        <f>VLOOKUP(A280,Tabla46782[ID CAE],1,FALSE)</f>
        <v>#N/A</v>
      </c>
      <c r="C280" s="31" t="s">
        <v>1489</v>
      </c>
      <c r="D280" s="31"/>
      <c r="E280" s="31"/>
      <c r="F280" s="31"/>
      <c r="G280" s="31"/>
      <c r="H280" s="31"/>
      <c r="I280" s="31"/>
      <c r="J280" s="31"/>
      <c r="K280" s="31" t="s">
        <v>73</v>
      </c>
      <c r="L280" s="31" t="s">
        <v>200</v>
      </c>
      <c r="M280" s="31" t="s">
        <v>201</v>
      </c>
      <c r="N280" s="31" t="s">
        <v>76</v>
      </c>
      <c r="O280" s="31" t="e">
        <f>VLOOKUP(Tabla1[[#This Row],[Matricula]],BAJA2022202320242025!$B$3:$CR$245,93,FALSE)</f>
        <v>#N/A</v>
      </c>
      <c r="P280" s="32">
        <v>44716</v>
      </c>
      <c r="Q280" s="32" t="e">
        <f>Tabla1[[#This Row],[F.Vig.Final]]-Tabla1[[#This Row],[f Vig Inicio]]</f>
        <v>#N/A</v>
      </c>
      <c r="R280" s="32">
        <f>YEAR(Tabla1[[#This Row],[F.Vig.Final]])</f>
        <v>2022</v>
      </c>
      <c r="S280" s="31" t="s">
        <v>77</v>
      </c>
      <c r="T280" s="31" t="s">
        <v>78</v>
      </c>
      <c r="U280" s="31" t="s">
        <v>359</v>
      </c>
      <c r="V280" s="31" t="s">
        <v>593</v>
      </c>
      <c r="W280" s="31" t="s">
        <v>102</v>
      </c>
      <c r="X280" s="31" t="s">
        <v>103</v>
      </c>
      <c r="Y280" s="31" t="s">
        <v>115</v>
      </c>
      <c r="Z280" s="16">
        <f>COUNTIF($X$3:X280, X280)</f>
        <v>48</v>
      </c>
      <c r="AA280" s="16" t="e">
        <v>#N/A</v>
      </c>
      <c r="AB280" s="16" t="e">
        <v>#N/A</v>
      </c>
      <c r="AC280" s="16" t="e">
        <v>#N/A</v>
      </c>
      <c r="AD280" s="16" t="e">
        <v>#N/A</v>
      </c>
      <c r="AE280" s="16" t="e">
        <v>#N/A</v>
      </c>
      <c r="AF280" s="17" t="e">
        <v>#N/A</v>
      </c>
      <c r="AG280" s="17" t="e">
        <v>#N/A</v>
      </c>
      <c r="AH280" s="17" t="e">
        <f>Tabla1[[#This Row],[Renov. Flota]]-Tabla1[[#This Row],[Año]]</f>
        <v>#N/A</v>
      </c>
      <c r="AI280" s="18" t="e">
        <v>#N/A</v>
      </c>
      <c r="AJ280" s="18" t="e">
        <f>VLOOKUP(Tabla1[[#This Row],[Matricula nueva]],'ALTA 20242025'!$B$2:$P$242,15,FALSE)</f>
        <v>#N/A</v>
      </c>
      <c r="AK280" s="19" t="e">
        <v>#N/A</v>
      </c>
      <c r="AN280" s="1"/>
      <c r="AO280" s="1" t="e">
        <f>VLOOKUP(Tabla1[[#This Row],[Matricula nueva]],Hoja2!$A$1:$B$224,2,FALSE)</f>
        <v>#N/A</v>
      </c>
      <c r="AP280" s="1" t="str">
        <f>IF(Tabla1[[#This Row],[Columna2]]="M1",5.1,"")</f>
        <v/>
      </c>
      <c r="AQ280" s="1"/>
      <c r="AR280" s="1"/>
      <c r="AS280" s="47">
        <f>IF(Tabla1[[#This Row],[Columna2]]="M1",13073,IF(Tabla1[[#This Row],[Columna2]]="N1",15815,IF(Tabla1[[#This Row],[Columna2]]="L3e",2831,53508)))</f>
        <v>53508</v>
      </c>
      <c r="AT280" s="47" t="e">
        <f>(Tabla1[[#This Row],[CVA]]*Tabla1[[#This Row],[F]]-Tabla1[[#This Row],[CVN]])/100*Tabla1[[#This Row],[L]]</f>
        <v>#VALUE!</v>
      </c>
      <c r="AU280" s="1"/>
      <c r="AV280" s="1" t="e">
        <f>VLOOKUP(B280,Tabla467824[[ID CAE2]:[AE '[kWh']]],6,FALSE)</f>
        <v>#N/A</v>
      </c>
      <c r="AW28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1" spans="1:49" ht="15.75" hidden="1" thickBot="1" x14ac:dyDescent="0.3">
      <c r="A281" t="s">
        <v>1490</v>
      </c>
      <c r="B281" t="e">
        <f>VLOOKUP(A281,Tabla46782[ID CAE],1,FALSE)</f>
        <v>#N/A</v>
      </c>
      <c r="C281" s="31" t="s">
        <v>1491</v>
      </c>
      <c r="D281" s="31"/>
      <c r="E281" s="31"/>
      <c r="F281" s="31"/>
      <c r="G281" s="31"/>
      <c r="H281" s="31"/>
      <c r="I281" s="31"/>
      <c r="J281" s="31"/>
      <c r="K281" s="31" t="s">
        <v>73</v>
      </c>
      <c r="L281" s="31" t="s">
        <v>200</v>
      </c>
      <c r="M281" s="31" t="s">
        <v>201</v>
      </c>
      <c r="N281" s="31" t="s">
        <v>76</v>
      </c>
      <c r="O281" s="31" t="e">
        <f>VLOOKUP(Tabla1[[#This Row],[Matricula]],BAJA2022202320242025!$B$3:$CR$245,93,FALSE)</f>
        <v>#N/A</v>
      </c>
      <c r="P281" s="32">
        <v>44703</v>
      </c>
      <c r="Q281" s="32" t="e">
        <f>Tabla1[[#This Row],[F.Vig.Final]]-Tabla1[[#This Row],[f Vig Inicio]]</f>
        <v>#N/A</v>
      </c>
      <c r="R281" s="32">
        <f>YEAR(Tabla1[[#This Row],[F.Vig.Final]])</f>
        <v>2022</v>
      </c>
      <c r="S281" s="31" t="s">
        <v>77</v>
      </c>
      <c r="T281" s="31" t="s">
        <v>78</v>
      </c>
      <c r="U281" s="31" t="s">
        <v>359</v>
      </c>
      <c r="V281" s="31" t="s">
        <v>593</v>
      </c>
      <c r="W281" s="31" t="s">
        <v>102</v>
      </c>
      <c r="X281" s="31" t="s">
        <v>103</v>
      </c>
      <c r="Y281" s="31" t="s">
        <v>115</v>
      </c>
      <c r="Z281" s="16">
        <f>COUNTIF($X$3:X281, X281)</f>
        <v>49</v>
      </c>
      <c r="AA281" s="16" t="e">
        <v>#N/A</v>
      </c>
      <c r="AB281" s="16" t="e">
        <v>#N/A</v>
      </c>
      <c r="AC281" s="16" t="e">
        <v>#N/A</v>
      </c>
      <c r="AD281" s="16" t="e">
        <v>#N/A</v>
      </c>
      <c r="AE281" s="16" t="e">
        <v>#N/A</v>
      </c>
      <c r="AF281" s="17" t="e">
        <v>#N/A</v>
      </c>
      <c r="AG281" s="17" t="e">
        <v>#N/A</v>
      </c>
      <c r="AH281" s="17" t="e">
        <f>Tabla1[[#This Row],[Renov. Flota]]-Tabla1[[#This Row],[Año]]</f>
        <v>#N/A</v>
      </c>
      <c r="AI281" s="18" t="e">
        <v>#N/A</v>
      </c>
      <c r="AJ281" s="18" t="e">
        <f>VLOOKUP(Tabla1[[#This Row],[Matricula nueva]],'ALTA 20242025'!$B$2:$P$242,15,FALSE)</f>
        <v>#N/A</v>
      </c>
      <c r="AK281" s="19" t="e">
        <v>#N/A</v>
      </c>
      <c r="AN281" s="1"/>
      <c r="AO281" s="1" t="e">
        <f>VLOOKUP(Tabla1[[#This Row],[Matricula nueva]],Hoja2!$A$1:$B$224,2,FALSE)</f>
        <v>#N/A</v>
      </c>
      <c r="AP281" s="1" t="str">
        <f>IF(Tabla1[[#This Row],[Columna2]]="M1",5.1,"")</f>
        <v/>
      </c>
      <c r="AQ281" s="1"/>
      <c r="AR281" s="1"/>
      <c r="AS281" s="47">
        <f>IF(Tabla1[[#This Row],[Columna2]]="M1",13073,IF(Tabla1[[#This Row],[Columna2]]="N1",15815,IF(Tabla1[[#This Row],[Columna2]]="L3e",2831,53508)))</f>
        <v>53508</v>
      </c>
      <c r="AT281" s="47" t="e">
        <f>(Tabla1[[#This Row],[CVA]]*Tabla1[[#This Row],[F]]-Tabla1[[#This Row],[CVN]])/100*Tabla1[[#This Row],[L]]</f>
        <v>#VALUE!</v>
      </c>
      <c r="AU281" s="1"/>
      <c r="AV281" s="1" t="e">
        <f>VLOOKUP(B281,Tabla467824[[ID CAE2]:[AE '[kWh']]],6,FALSE)</f>
        <v>#N/A</v>
      </c>
      <c r="AW28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2" spans="1:49" ht="15.75" hidden="1" thickBot="1" x14ac:dyDescent="0.3">
      <c r="B282" t="e">
        <f>VLOOKUP(A282,Tabla46782[ID CAE],1,FALSE)</f>
        <v>#N/A</v>
      </c>
      <c r="C282" s="31" t="s">
        <v>1492</v>
      </c>
      <c r="D282" s="31"/>
      <c r="E282" s="31"/>
      <c r="F282" s="31"/>
      <c r="G282" s="31"/>
      <c r="H282" s="31"/>
      <c r="I282" s="31"/>
      <c r="J282" s="31"/>
      <c r="K282" s="31" t="s">
        <v>73</v>
      </c>
      <c r="L282" s="31" t="s">
        <v>200</v>
      </c>
      <c r="M282" s="31" t="s">
        <v>201</v>
      </c>
      <c r="N282" s="31" t="s">
        <v>76</v>
      </c>
      <c r="O282" s="31" t="e">
        <f>VLOOKUP(Tabla1[[#This Row],[Matricula]],BAJA2022202320242025!$B$3:$CR$245,93,FALSE)</f>
        <v>#N/A</v>
      </c>
      <c r="P282" s="32">
        <v>44703</v>
      </c>
      <c r="Q282" s="32" t="e">
        <f>Tabla1[[#This Row],[F.Vig.Final]]-Tabla1[[#This Row],[f Vig Inicio]]</f>
        <v>#N/A</v>
      </c>
      <c r="R282" s="32">
        <f>YEAR(Tabla1[[#This Row],[F.Vig.Final]])</f>
        <v>2022</v>
      </c>
      <c r="S282" s="31" t="s">
        <v>77</v>
      </c>
      <c r="T282" s="31" t="s">
        <v>78</v>
      </c>
      <c r="U282" s="31" t="s">
        <v>359</v>
      </c>
      <c r="V282" s="31" t="s">
        <v>593</v>
      </c>
      <c r="W282" s="31" t="s">
        <v>102</v>
      </c>
      <c r="X282" s="31" t="s">
        <v>103</v>
      </c>
      <c r="Y282" s="31" t="s">
        <v>115</v>
      </c>
      <c r="Z282" s="16">
        <f>COUNTIF($X$3:X282, X282)</f>
        <v>50</v>
      </c>
      <c r="AA282" s="16" t="e">
        <v>#N/A</v>
      </c>
      <c r="AB282" s="16" t="e">
        <v>#N/A</v>
      </c>
      <c r="AC282" s="16" t="e">
        <v>#N/A</v>
      </c>
      <c r="AD282" s="16" t="e">
        <v>#N/A</v>
      </c>
      <c r="AE282" s="16" t="e">
        <v>#N/A</v>
      </c>
      <c r="AF282" s="17" t="e">
        <v>#N/A</v>
      </c>
      <c r="AG282" s="17" t="e">
        <v>#N/A</v>
      </c>
      <c r="AH282" s="17" t="e">
        <f>Tabla1[[#This Row],[Renov. Flota]]-Tabla1[[#This Row],[Año]]</f>
        <v>#N/A</v>
      </c>
      <c r="AI282" s="18" t="e">
        <v>#N/A</v>
      </c>
      <c r="AJ282" s="18" t="e">
        <f>VLOOKUP(Tabla1[[#This Row],[Matricula nueva]],'ALTA 20242025'!$B$2:$P$242,15,FALSE)</f>
        <v>#N/A</v>
      </c>
      <c r="AK282" s="19" t="e">
        <v>#N/A</v>
      </c>
      <c r="AN282" s="1"/>
      <c r="AO282" s="1" t="e">
        <f>VLOOKUP(Tabla1[[#This Row],[Matricula nueva]],Hoja2!$A$1:$B$224,2,FALSE)</f>
        <v>#N/A</v>
      </c>
      <c r="AP282" s="1" t="str">
        <f>IF(Tabla1[[#This Row],[Columna2]]="M1",5.1,"")</f>
        <v/>
      </c>
      <c r="AQ282" s="1"/>
      <c r="AR282" s="1"/>
      <c r="AS282" s="47">
        <f>IF(Tabla1[[#This Row],[Columna2]]="M1",13073,IF(Tabla1[[#This Row],[Columna2]]="N1",15815,IF(Tabla1[[#This Row],[Columna2]]="L3e",2831,53508)))</f>
        <v>53508</v>
      </c>
      <c r="AT282" s="47" t="e">
        <f>(Tabla1[[#This Row],[CVA]]*Tabla1[[#This Row],[F]]-Tabla1[[#This Row],[CVN]])/100*Tabla1[[#This Row],[L]]</f>
        <v>#VALUE!</v>
      </c>
      <c r="AU282" s="1"/>
      <c r="AV282" s="1" t="e">
        <f>VLOOKUP(B282,Tabla467824[[ID CAE2]:[AE '[kWh']]],6,FALSE)</f>
        <v>#N/A</v>
      </c>
      <c r="AW28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3" spans="1:49" ht="15.75" hidden="1" thickBot="1" x14ac:dyDescent="0.3">
      <c r="B283" t="e">
        <f>VLOOKUP(A283,Tabla46782[ID CAE],1,FALSE)</f>
        <v>#N/A</v>
      </c>
      <c r="C283" s="31" t="s">
        <v>1493</v>
      </c>
      <c r="D283" s="31"/>
      <c r="E283" s="31"/>
      <c r="F283" s="31"/>
      <c r="G283" s="31"/>
      <c r="H283" s="31"/>
      <c r="I283" s="31"/>
      <c r="J283" s="31"/>
      <c r="K283" s="31" t="s">
        <v>73</v>
      </c>
      <c r="L283" s="31" t="s">
        <v>200</v>
      </c>
      <c r="M283" s="31" t="s">
        <v>201</v>
      </c>
      <c r="N283" s="31" t="s">
        <v>76</v>
      </c>
      <c r="O283" s="31" t="e">
        <f>VLOOKUP(Tabla1[[#This Row],[Matricula]],BAJA2022202320242025!$B$3:$CR$245,93,FALSE)</f>
        <v>#N/A</v>
      </c>
      <c r="P283" s="32">
        <v>44711</v>
      </c>
      <c r="Q283" s="32" t="e">
        <f>Tabla1[[#This Row],[F.Vig.Final]]-Tabla1[[#This Row],[f Vig Inicio]]</f>
        <v>#N/A</v>
      </c>
      <c r="R283" s="32">
        <f>YEAR(Tabla1[[#This Row],[F.Vig.Final]])</f>
        <v>2022</v>
      </c>
      <c r="S283" s="31" t="s">
        <v>77</v>
      </c>
      <c r="T283" s="31" t="s">
        <v>78</v>
      </c>
      <c r="U283" s="31" t="s">
        <v>359</v>
      </c>
      <c r="V283" s="31" t="s">
        <v>593</v>
      </c>
      <c r="W283" s="31" t="s">
        <v>102</v>
      </c>
      <c r="X283" s="31" t="s">
        <v>103</v>
      </c>
      <c r="Y283" s="31" t="s">
        <v>115</v>
      </c>
      <c r="Z283" s="16">
        <f>COUNTIF($X$3:X283, X283)</f>
        <v>51</v>
      </c>
      <c r="AA283" s="16" t="e">
        <v>#N/A</v>
      </c>
      <c r="AB283" s="16" t="e">
        <v>#N/A</v>
      </c>
      <c r="AC283" s="16" t="e">
        <v>#N/A</v>
      </c>
      <c r="AD283" s="16" t="e">
        <v>#N/A</v>
      </c>
      <c r="AE283" s="16" t="e">
        <v>#N/A</v>
      </c>
      <c r="AF283" s="17" t="e">
        <v>#N/A</v>
      </c>
      <c r="AG283" s="17" t="e">
        <v>#N/A</v>
      </c>
      <c r="AH283" s="17" t="e">
        <f>Tabla1[[#This Row],[Renov. Flota]]-Tabla1[[#This Row],[Año]]</f>
        <v>#N/A</v>
      </c>
      <c r="AI283" s="18" t="e">
        <v>#N/A</v>
      </c>
      <c r="AJ283" s="18" t="e">
        <f>VLOOKUP(Tabla1[[#This Row],[Matricula nueva]],'ALTA 20242025'!$B$2:$P$242,15,FALSE)</f>
        <v>#N/A</v>
      </c>
      <c r="AK283" s="19" t="e">
        <v>#N/A</v>
      </c>
      <c r="AN283" s="1"/>
      <c r="AO283" s="1" t="e">
        <f>VLOOKUP(Tabla1[[#This Row],[Matricula nueva]],Hoja2!$A$1:$B$224,2,FALSE)</f>
        <v>#N/A</v>
      </c>
      <c r="AP283" s="1" t="str">
        <f>IF(Tabla1[[#This Row],[Columna2]]="M1",5.1,"")</f>
        <v/>
      </c>
      <c r="AQ283" s="1"/>
      <c r="AR283" s="1"/>
      <c r="AS283" s="47">
        <f>IF(Tabla1[[#This Row],[Columna2]]="M1",13073,IF(Tabla1[[#This Row],[Columna2]]="N1",15815,IF(Tabla1[[#This Row],[Columna2]]="L3e",2831,53508)))</f>
        <v>53508</v>
      </c>
      <c r="AT283" s="47" t="e">
        <f>(Tabla1[[#This Row],[CVA]]*Tabla1[[#This Row],[F]]-Tabla1[[#This Row],[CVN]])/100*Tabla1[[#This Row],[L]]</f>
        <v>#VALUE!</v>
      </c>
      <c r="AU283" s="1"/>
      <c r="AV283" s="1" t="e">
        <f>VLOOKUP(B283,Tabla467824[[ID CAE2]:[AE '[kWh']]],6,FALSE)</f>
        <v>#N/A</v>
      </c>
      <c r="AW28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4" spans="1:49" ht="15.75" hidden="1" thickBot="1" x14ac:dyDescent="0.3">
      <c r="B284" t="e">
        <f>VLOOKUP(A284,Tabla46782[ID CAE],1,FALSE)</f>
        <v>#N/A</v>
      </c>
      <c r="C284" s="31" t="s">
        <v>1494</v>
      </c>
      <c r="D284" s="31"/>
      <c r="E284" s="31"/>
      <c r="F284" s="31"/>
      <c r="G284" s="31"/>
      <c r="H284" s="31"/>
      <c r="I284" s="31"/>
      <c r="J284" s="31"/>
      <c r="K284" s="31" t="s">
        <v>73</v>
      </c>
      <c r="L284" s="31" t="s">
        <v>200</v>
      </c>
      <c r="M284" s="31" t="s">
        <v>201</v>
      </c>
      <c r="N284" s="31" t="s">
        <v>76</v>
      </c>
      <c r="O284" s="31" t="e">
        <f>VLOOKUP(Tabla1[[#This Row],[Matricula]],BAJA2022202320242025!$B$3:$CR$245,93,FALSE)</f>
        <v>#N/A</v>
      </c>
      <c r="P284" s="32">
        <v>44716</v>
      </c>
      <c r="Q284" s="32" t="e">
        <f>Tabla1[[#This Row],[F.Vig.Final]]-Tabla1[[#This Row],[f Vig Inicio]]</f>
        <v>#N/A</v>
      </c>
      <c r="R284" s="32">
        <f>YEAR(Tabla1[[#This Row],[F.Vig.Final]])</f>
        <v>2022</v>
      </c>
      <c r="S284" s="31" t="s">
        <v>77</v>
      </c>
      <c r="T284" s="31" t="s">
        <v>78</v>
      </c>
      <c r="U284" s="31" t="s">
        <v>359</v>
      </c>
      <c r="V284" s="31" t="s">
        <v>593</v>
      </c>
      <c r="W284" s="31" t="s">
        <v>102</v>
      </c>
      <c r="X284" s="31" t="s">
        <v>103</v>
      </c>
      <c r="Y284" s="31" t="s">
        <v>115</v>
      </c>
      <c r="Z284" s="16">
        <f>COUNTIF($X$3:X284, X284)</f>
        <v>52</v>
      </c>
      <c r="AA284" s="16" t="e">
        <v>#N/A</v>
      </c>
      <c r="AB284" s="16" t="e">
        <v>#N/A</v>
      </c>
      <c r="AC284" s="16" t="e">
        <v>#N/A</v>
      </c>
      <c r="AD284" s="16" t="e">
        <v>#N/A</v>
      </c>
      <c r="AE284" s="16" t="e">
        <v>#N/A</v>
      </c>
      <c r="AF284" s="17" t="e">
        <v>#N/A</v>
      </c>
      <c r="AG284" s="17" t="e">
        <v>#N/A</v>
      </c>
      <c r="AH284" s="17" t="e">
        <f>Tabla1[[#This Row],[Renov. Flota]]-Tabla1[[#This Row],[Año]]</f>
        <v>#N/A</v>
      </c>
      <c r="AI284" s="18" t="e">
        <v>#N/A</v>
      </c>
      <c r="AJ284" s="18" t="e">
        <f>VLOOKUP(Tabla1[[#This Row],[Matricula nueva]],'ALTA 20242025'!$B$2:$P$242,15,FALSE)</f>
        <v>#N/A</v>
      </c>
      <c r="AK284" s="19" t="e">
        <v>#N/A</v>
      </c>
      <c r="AN284" s="1"/>
      <c r="AO284" s="1" t="e">
        <f>VLOOKUP(Tabla1[[#This Row],[Matricula nueva]],Hoja2!$A$1:$B$224,2,FALSE)</f>
        <v>#N/A</v>
      </c>
      <c r="AP284" s="1" t="str">
        <f>IF(Tabla1[[#This Row],[Columna2]]="M1",5.1,"")</f>
        <v/>
      </c>
      <c r="AQ284" s="1"/>
      <c r="AR284" s="1"/>
      <c r="AS284" s="47">
        <f>IF(Tabla1[[#This Row],[Columna2]]="M1",13073,IF(Tabla1[[#This Row],[Columna2]]="N1",15815,IF(Tabla1[[#This Row],[Columna2]]="L3e",2831,53508)))</f>
        <v>53508</v>
      </c>
      <c r="AT284" s="47" t="e">
        <f>(Tabla1[[#This Row],[CVA]]*Tabla1[[#This Row],[F]]-Tabla1[[#This Row],[CVN]])/100*Tabla1[[#This Row],[L]]</f>
        <v>#VALUE!</v>
      </c>
      <c r="AU284" s="1"/>
      <c r="AV284" s="1" t="e">
        <f>VLOOKUP(B284,Tabla467824[[ID CAE2]:[AE '[kWh']]],6,FALSE)</f>
        <v>#N/A</v>
      </c>
      <c r="AW28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5" spans="1:49" ht="15.75" hidden="1" thickBot="1" x14ac:dyDescent="0.3">
      <c r="B285" t="e">
        <f>VLOOKUP(A285,Tabla46782[ID CAE],1,FALSE)</f>
        <v>#N/A</v>
      </c>
      <c r="C285" s="31" t="s">
        <v>1495</v>
      </c>
      <c r="D285" s="31"/>
      <c r="E285" s="31"/>
      <c r="F285" s="31"/>
      <c r="G285" s="31"/>
      <c r="H285" s="31"/>
      <c r="I285" s="31"/>
      <c r="J285" s="31"/>
      <c r="K285" s="31" t="s">
        <v>73</v>
      </c>
      <c r="L285" s="31" t="s">
        <v>200</v>
      </c>
      <c r="M285" s="31" t="s">
        <v>201</v>
      </c>
      <c r="N285" s="31" t="s">
        <v>76</v>
      </c>
      <c r="O285" s="31" t="e">
        <f>VLOOKUP(Tabla1[[#This Row],[Matricula]],BAJA2022202320242025!$B$3:$CR$245,93,FALSE)</f>
        <v>#N/A</v>
      </c>
      <c r="P285" s="32">
        <v>44716</v>
      </c>
      <c r="Q285" s="32" t="e">
        <f>Tabla1[[#This Row],[F.Vig.Final]]-Tabla1[[#This Row],[f Vig Inicio]]</f>
        <v>#N/A</v>
      </c>
      <c r="R285" s="32">
        <f>YEAR(Tabla1[[#This Row],[F.Vig.Final]])</f>
        <v>2022</v>
      </c>
      <c r="S285" s="31" t="s">
        <v>77</v>
      </c>
      <c r="T285" s="31" t="s">
        <v>78</v>
      </c>
      <c r="U285" s="31" t="s">
        <v>359</v>
      </c>
      <c r="V285" s="31" t="s">
        <v>1496</v>
      </c>
      <c r="W285" s="31" t="s">
        <v>102</v>
      </c>
      <c r="X285" s="31" t="s">
        <v>103</v>
      </c>
      <c r="Y285" s="31" t="s">
        <v>457</v>
      </c>
      <c r="Z285" s="16">
        <f>COUNTIF($X$3:X285, X285)</f>
        <v>53</v>
      </c>
      <c r="AA285" s="16" t="e">
        <v>#N/A</v>
      </c>
      <c r="AB285" s="16" t="e">
        <v>#N/A</v>
      </c>
      <c r="AC285" s="16" t="e">
        <v>#N/A</v>
      </c>
      <c r="AD285" s="16" t="e">
        <v>#N/A</v>
      </c>
      <c r="AE285" s="16" t="e">
        <v>#N/A</v>
      </c>
      <c r="AF285" s="17" t="e">
        <v>#N/A</v>
      </c>
      <c r="AG285" s="17" t="e">
        <v>#N/A</v>
      </c>
      <c r="AH285" s="17" t="e">
        <f>Tabla1[[#This Row],[Renov. Flota]]-Tabla1[[#This Row],[Año]]</f>
        <v>#N/A</v>
      </c>
      <c r="AI285" s="18" t="e">
        <v>#N/A</v>
      </c>
      <c r="AJ285" s="18" t="e">
        <f>VLOOKUP(Tabla1[[#This Row],[Matricula nueva]],'ALTA 20242025'!$B$2:$P$242,15,FALSE)</f>
        <v>#N/A</v>
      </c>
      <c r="AK285" s="19" t="e">
        <v>#N/A</v>
      </c>
      <c r="AN285" s="1"/>
      <c r="AO285" s="1" t="e">
        <f>VLOOKUP(Tabla1[[#This Row],[Matricula nueva]],Hoja2!$A$1:$B$224,2,FALSE)</f>
        <v>#N/A</v>
      </c>
      <c r="AP285" s="1" t="str">
        <f>IF(Tabla1[[#This Row],[Columna2]]="M1",5.1,"")</f>
        <v/>
      </c>
      <c r="AQ285" s="1"/>
      <c r="AR285" s="1"/>
      <c r="AS285" s="47">
        <f>IF(Tabla1[[#This Row],[Columna2]]="M1",13073,IF(Tabla1[[#This Row],[Columna2]]="N1",15815,IF(Tabla1[[#This Row],[Columna2]]="L3e",2831,53508)))</f>
        <v>53508</v>
      </c>
      <c r="AT285" s="47" t="e">
        <f>(Tabla1[[#This Row],[CVA]]*Tabla1[[#This Row],[F]]-Tabla1[[#This Row],[CVN]])/100*Tabla1[[#This Row],[L]]</f>
        <v>#VALUE!</v>
      </c>
      <c r="AU285" s="1"/>
      <c r="AV285" s="1" t="e">
        <f>VLOOKUP(B285,Tabla467824[[ID CAE2]:[AE '[kWh']]],6,FALSE)</f>
        <v>#N/A</v>
      </c>
      <c r="AW28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6" spans="1:49" ht="15.75" hidden="1" thickBot="1" x14ac:dyDescent="0.3">
      <c r="B286" t="e">
        <f>VLOOKUP(A286,Tabla46782[ID CAE],1,FALSE)</f>
        <v>#N/A</v>
      </c>
      <c r="C286" s="31" t="s">
        <v>1497</v>
      </c>
      <c r="D286" s="31"/>
      <c r="E286" s="31"/>
      <c r="F286" s="31"/>
      <c r="G286" s="31"/>
      <c r="H286" s="31"/>
      <c r="I286" s="31"/>
      <c r="J286" s="31"/>
      <c r="K286" s="31" t="s">
        <v>1034</v>
      </c>
      <c r="L286" s="31" t="s">
        <v>200</v>
      </c>
      <c r="M286" s="31" t="s">
        <v>201</v>
      </c>
      <c r="N286" s="31" t="s">
        <v>76</v>
      </c>
      <c r="O286" s="31" t="e">
        <f>VLOOKUP(Tabla1[[#This Row],[Matricula]],BAJA2022202320242025!$B$3:$CR$245,93,FALSE)</f>
        <v>#N/A</v>
      </c>
      <c r="P286" s="32">
        <v>44823</v>
      </c>
      <c r="Q286" s="32" t="e">
        <f>Tabla1[[#This Row],[F.Vig.Final]]-Tabla1[[#This Row],[f Vig Inicio]]</f>
        <v>#N/A</v>
      </c>
      <c r="R286" s="32">
        <f>YEAR(Tabla1[[#This Row],[F.Vig.Final]])</f>
        <v>2022</v>
      </c>
      <c r="S286" s="31" t="s">
        <v>77</v>
      </c>
      <c r="T286" s="31" t="s">
        <v>78</v>
      </c>
      <c r="U286" s="31" t="s">
        <v>416</v>
      </c>
      <c r="V286" s="31" t="s">
        <v>1498</v>
      </c>
      <c r="W286" s="31" t="s">
        <v>336</v>
      </c>
      <c r="X286" s="31" t="s">
        <v>337</v>
      </c>
      <c r="Y286" s="31" t="s">
        <v>1499</v>
      </c>
      <c r="Z286" s="16">
        <f>COUNTIF($X$3:X286, X286)</f>
        <v>28</v>
      </c>
      <c r="AA286" s="16" t="e">
        <v>#N/A</v>
      </c>
      <c r="AB286" s="16" t="e">
        <v>#N/A</v>
      </c>
      <c r="AC286" s="16" t="e">
        <v>#N/A</v>
      </c>
      <c r="AD286" s="16" t="e">
        <v>#N/A</v>
      </c>
      <c r="AE286" s="16" t="e">
        <v>#N/A</v>
      </c>
      <c r="AF286" s="17" t="e">
        <v>#N/A</v>
      </c>
      <c r="AG286" s="17" t="e">
        <v>#N/A</v>
      </c>
      <c r="AH286" s="17" t="e">
        <f>Tabla1[[#This Row],[Renov. Flota]]-Tabla1[[#This Row],[Año]]</f>
        <v>#N/A</v>
      </c>
      <c r="AI286" s="18" t="e">
        <v>#N/A</v>
      </c>
      <c r="AJ286" s="18" t="e">
        <f>VLOOKUP(Tabla1[[#This Row],[Matricula nueva]],'ALTA 20242025'!$B$2:$P$242,15,FALSE)</f>
        <v>#N/A</v>
      </c>
      <c r="AK286" s="19" t="e">
        <v>#N/A</v>
      </c>
      <c r="AN286" s="1"/>
      <c r="AO286" s="1" t="e">
        <f>VLOOKUP(Tabla1[[#This Row],[Matricula nueva]],Hoja2!$A$1:$B$224,2,FALSE)</f>
        <v>#N/A</v>
      </c>
      <c r="AP286" s="1" t="str">
        <f>IF(Tabla1[[#This Row],[Columna2]]="M1",5.1,"")</f>
        <v/>
      </c>
      <c r="AQ286" s="1"/>
      <c r="AR286" s="1"/>
      <c r="AS286" s="47">
        <f>IF(Tabla1[[#This Row],[Columna2]]="M1",13073,IF(Tabla1[[#This Row],[Columna2]]="N1",15815,IF(Tabla1[[#This Row],[Columna2]]="L3e",2831,53508)))</f>
        <v>53508</v>
      </c>
      <c r="AT286" s="47" t="e">
        <f>(Tabla1[[#This Row],[CVA]]*Tabla1[[#This Row],[F]]-Tabla1[[#This Row],[CVN]])/100*Tabla1[[#This Row],[L]]</f>
        <v>#VALUE!</v>
      </c>
      <c r="AU286" s="1"/>
      <c r="AV286" s="1" t="e">
        <f>VLOOKUP(B286,Tabla467824[[ID CAE2]:[AE '[kWh']]],6,FALSE)</f>
        <v>#N/A</v>
      </c>
      <c r="AW28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7" spans="1:49" ht="15.75" hidden="1" thickBot="1" x14ac:dyDescent="0.3">
      <c r="B287" t="e">
        <f>VLOOKUP(A287,Tabla46782[ID CAE],1,FALSE)</f>
        <v>#N/A</v>
      </c>
      <c r="C287" s="31" t="s">
        <v>1500</v>
      </c>
      <c r="D287" s="31"/>
      <c r="E287" s="31"/>
      <c r="F287" s="31"/>
      <c r="G287" s="31"/>
      <c r="H287" s="31"/>
      <c r="I287" s="31"/>
      <c r="J287" s="31"/>
      <c r="K287" s="31" t="s">
        <v>73</v>
      </c>
      <c r="L287" s="31" t="s">
        <v>200</v>
      </c>
      <c r="M287" s="31" t="s">
        <v>201</v>
      </c>
      <c r="N287" s="31" t="s">
        <v>76</v>
      </c>
      <c r="O287" s="31" t="e">
        <f>VLOOKUP(Tabla1[[#This Row],[Matricula]],BAJA2022202320242025!$B$3:$CR$245,93,FALSE)</f>
        <v>#N/A</v>
      </c>
      <c r="P287" s="32">
        <v>44809</v>
      </c>
      <c r="Q287" s="32" t="e">
        <f>Tabla1[[#This Row],[F.Vig.Final]]-Tabla1[[#This Row],[f Vig Inicio]]</f>
        <v>#N/A</v>
      </c>
      <c r="R287" s="32">
        <f>YEAR(Tabla1[[#This Row],[F.Vig.Final]])</f>
        <v>2022</v>
      </c>
      <c r="S287" s="31" t="s">
        <v>77</v>
      </c>
      <c r="T287" s="31" t="s">
        <v>78</v>
      </c>
      <c r="U287" s="31" t="s">
        <v>467</v>
      </c>
      <c r="V287" s="31" t="s">
        <v>476</v>
      </c>
      <c r="W287" s="31" t="s">
        <v>584</v>
      </c>
      <c r="X287" s="31" t="s">
        <v>585</v>
      </c>
      <c r="Y287" s="31" t="s">
        <v>1501</v>
      </c>
      <c r="Z287" s="48">
        <f>COUNTIF($X$3:X287, X287)</f>
        <v>21</v>
      </c>
      <c r="AA287" s="48" t="e">
        <v>#N/A</v>
      </c>
      <c r="AB287" s="48" t="e">
        <v>#N/A</v>
      </c>
      <c r="AC287" s="48" t="e">
        <v>#N/A</v>
      </c>
      <c r="AD287" s="48" t="e">
        <v>#N/A</v>
      </c>
      <c r="AE287" s="16" t="e">
        <v>#N/A</v>
      </c>
      <c r="AF287" s="22" t="e">
        <v>#N/A</v>
      </c>
      <c r="AG287" s="22" t="e">
        <v>#N/A</v>
      </c>
      <c r="AH287" s="22" t="e">
        <f>Tabla1[[#This Row],[Renov. Flota]]-Tabla1[[#This Row],[Año]]</f>
        <v>#N/A</v>
      </c>
      <c r="AI287" s="49" t="e">
        <v>#N/A</v>
      </c>
      <c r="AJ287" s="49" t="e">
        <f>VLOOKUP(Tabla1[[#This Row],[Matricula nueva]],'ALTA 20242025'!$B$2:$P$242,15,FALSE)</f>
        <v>#N/A</v>
      </c>
      <c r="AK287" s="50" t="e">
        <v>#N/A</v>
      </c>
      <c r="AN287" s="1"/>
      <c r="AO287" s="1" t="e">
        <f>VLOOKUP(Tabla1[[#This Row],[Matricula nueva]],Hoja2!$A$1:$B$224,2,FALSE)</f>
        <v>#N/A</v>
      </c>
      <c r="AP287" s="1" t="str">
        <f>IF(Tabla1[[#This Row],[Columna2]]="M1",5.1,"")</f>
        <v/>
      </c>
      <c r="AQ287" s="1"/>
      <c r="AR287" s="1"/>
      <c r="AS287" s="47">
        <f>IF(Tabla1[[#This Row],[Columna2]]="M1",13073,IF(Tabla1[[#This Row],[Columna2]]="N1",15815,IF(Tabla1[[#This Row],[Columna2]]="L3e",2831,53508)))</f>
        <v>53508</v>
      </c>
      <c r="AT287" s="47" t="e">
        <f>(Tabla1[[#This Row],[CVA]]*Tabla1[[#This Row],[F]]-Tabla1[[#This Row],[CVN]])/100*Tabla1[[#This Row],[L]]</f>
        <v>#VALUE!</v>
      </c>
      <c r="AU287" s="1"/>
      <c r="AV287" s="1" t="e">
        <f>VLOOKUP(B287,Tabla467824[[ID CAE2]:[AE '[kWh']]],6,FALSE)</f>
        <v>#N/A</v>
      </c>
      <c r="AW28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88" spans="1:49" ht="15.75" thickBot="1" x14ac:dyDescent="0.3">
      <c r="A288" s="114" t="s">
        <v>1099</v>
      </c>
      <c r="B288" t="str">
        <f>VLOOKUP(A288,Tabla46782[ID CAE],1,FALSE)</f>
        <v>CAE500236</v>
      </c>
      <c r="C288" s="113" t="s">
        <v>1100</v>
      </c>
      <c r="D288" s="104" t="s">
        <v>72</v>
      </c>
      <c r="E288" s="104" t="s">
        <v>72</v>
      </c>
      <c r="F288" s="104" t="s">
        <v>72</v>
      </c>
      <c r="G288" s="104"/>
      <c r="H288" s="104" t="s">
        <v>72</v>
      </c>
      <c r="I288" s="104" t="s">
        <v>72</v>
      </c>
      <c r="J288" s="104"/>
      <c r="K288" s="96" t="s">
        <v>1034</v>
      </c>
      <c r="L288" s="96" t="s">
        <v>200</v>
      </c>
      <c r="M288" s="96" t="s">
        <v>201</v>
      </c>
      <c r="N288" s="96" t="s">
        <v>76</v>
      </c>
      <c r="O288" s="101">
        <f>VLOOKUP(Tabla1[[#This Row],[Matricula]],BAJA2022202320242025!$B$3:$CR$245,93,FALSE)</f>
        <v>43663</v>
      </c>
      <c r="P288" s="97">
        <v>45124</v>
      </c>
      <c r="Q288" s="162">
        <f>Tabla1[[#This Row],[F.Vig.Final]]-Tabla1[[#This Row],[f Vig Inicio]]</f>
        <v>1461</v>
      </c>
      <c r="R288" s="141">
        <f>YEAR(Tabla1[[#This Row],[F.Vig.Final]])</f>
        <v>2023</v>
      </c>
      <c r="S288" s="96" t="s">
        <v>77</v>
      </c>
      <c r="T288" s="96" t="s">
        <v>78</v>
      </c>
      <c r="U288" s="96" t="s">
        <v>524</v>
      </c>
      <c r="V288" s="96" t="s">
        <v>1101</v>
      </c>
      <c r="W288" s="96" t="s">
        <v>102</v>
      </c>
      <c r="X288" s="96" t="s">
        <v>103</v>
      </c>
      <c r="Y288" s="96" t="s">
        <v>1102</v>
      </c>
      <c r="Z288" s="98">
        <f>COUNTIF($X$3:X288, X288)</f>
        <v>54</v>
      </c>
      <c r="AA288" s="98" t="s">
        <v>1103</v>
      </c>
      <c r="AB288" s="98" t="s">
        <v>85</v>
      </c>
      <c r="AC288" s="98" t="s">
        <v>340</v>
      </c>
      <c r="AD288" s="98" t="s">
        <v>87</v>
      </c>
      <c r="AE288" s="151" t="s">
        <v>567</v>
      </c>
      <c r="AF288" s="89" t="s">
        <v>108</v>
      </c>
      <c r="AG288" s="99">
        <v>43019</v>
      </c>
      <c r="AH288" s="98">
        <f>Tabla1[[#This Row],[Renov. Flota]]-Tabla1[[#This Row],[Año]]</f>
        <v>0</v>
      </c>
      <c r="AI288" s="100" t="s">
        <v>102</v>
      </c>
      <c r="AJ288" s="110">
        <v>4500349878</v>
      </c>
      <c r="AK288" s="101" t="s">
        <v>103</v>
      </c>
      <c r="AM288" s="1" t="s">
        <v>72</v>
      </c>
      <c r="AN288" s="1" t="s">
        <v>109</v>
      </c>
      <c r="AO288" s="1" t="s">
        <v>1104</v>
      </c>
      <c r="AP288" s="92">
        <f>IF(Tabla1[[#This Row],[Columna2]]="M1",5.1,"")</f>
        <v>5.0999999999999996</v>
      </c>
      <c r="AQ288" s="81">
        <f>IF(T288="DIESEL",10,IF(T288="GLP",7.16,9.19))</f>
        <v>10</v>
      </c>
      <c r="AR288" s="82">
        <v>13.3</v>
      </c>
      <c r="AS288" s="83">
        <f>IF(Tabla1[[#This Row],[Columna2]]="M1",13073,IF(Tabla1[[#This Row],[Columna2]]="N1",15815,IF(Tabla1[[#This Row],[Columna2]]="L3e",2831,53508)))</f>
        <v>13073</v>
      </c>
      <c r="AT288" s="83">
        <f>(Tabla1[[#This Row],[CVA]]*Tabla1[[#This Row],[F]]-Tabla1[[#This Row],[CVN]])/100*Tabla1[[#This Row],[L]]</f>
        <v>4928.5209999999997</v>
      </c>
      <c r="AU288" s="84" t="s">
        <v>70</v>
      </c>
      <c r="AV288" s="294">
        <f>VLOOKUP(B288,Tabla467824[[ID CAE2]:[AE '[kWh']]],6,FALSE)</f>
        <v>6795.3454000000002</v>
      </c>
      <c r="AW28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289" spans="1:49" ht="15.75" hidden="1" thickBot="1" x14ac:dyDescent="0.3">
      <c r="A289" t="s">
        <v>1465</v>
      </c>
      <c r="B289" t="e">
        <f>VLOOKUP(A289,Tabla46782[ID CAE],1,FALSE)</f>
        <v>#N/A</v>
      </c>
      <c r="C289" s="31" t="s">
        <v>1502</v>
      </c>
      <c r="D289" s="31"/>
      <c r="E289" s="31"/>
      <c r="F289" s="31"/>
      <c r="G289" s="31"/>
      <c r="H289" s="31"/>
      <c r="I289" s="31"/>
      <c r="J289" s="31"/>
      <c r="K289" s="31" t="s">
        <v>73</v>
      </c>
      <c r="L289" s="31" t="s">
        <v>200</v>
      </c>
      <c r="M289" s="31" t="s">
        <v>201</v>
      </c>
      <c r="N289" s="31" t="s">
        <v>76</v>
      </c>
      <c r="O289" s="31" t="e">
        <f>VLOOKUP(Tabla1[[#This Row],[Matricula]],BAJA2022202320242025!$B$3:$CR$245,93,FALSE)</f>
        <v>#N/A</v>
      </c>
      <c r="P289" s="32">
        <v>44821</v>
      </c>
      <c r="Q289" s="32" t="e">
        <f>Tabla1[[#This Row],[F.Vig.Final]]-Tabla1[[#This Row],[f Vig Inicio]]</f>
        <v>#N/A</v>
      </c>
      <c r="R289" s="32">
        <f>YEAR(Tabla1[[#This Row],[F.Vig.Final]])</f>
        <v>2022</v>
      </c>
      <c r="S289" s="31" t="s">
        <v>77</v>
      </c>
      <c r="T289" s="31" t="s">
        <v>78</v>
      </c>
      <c r="U289" s="31" t="s">
        <v>359</v>
      </c>
      <c r="V289" s="31" t="s">
        <v>604</v>
      </c>
      <c r="W289" s="31" t="s">
        <v>131</v>
      </c>
      <c r="X289" s="31" t="s">
        <v>132</v>
      </c>
      <c r="Y289" s="31" t="s">
        <v>622</v>
      </c>
      <c r="Z289" s="93">
        <f>COUNTIF($X$3:X289, X289)</f>
        <v>37</v>
      </c>
      <c r="AA289" s="93" t="e">
        <v>#N/A</v>
      </c>
      <c r="AB289" s="93" t="e">
        <v>#N/A</v>
      </c>
      <c r="AC289" s="93" t="e">
        <v>#N/A</v>
      </c>
      <c r="AD289" s="93" t="e">
        <v>#N/A</v>
      </c>
      <c r="AE289" s="16" t="e">
        <v>#N/A</v>
      </c>
      <c r="AF289" s="21" t="e">
        <v>#N/A</v>
      </c>
      <c r="AG289" s="21" t="e">
        <v>#N/A</v>
      </c>
      <c r="AH289" s="21" t="e">
        <f>Tabla1[[#This Row],[Renov. Flota]]-Tabla1[[#This Row],[Año]]</f>
        <v>#N/A</v>
      </c>
      <c r="AI289" s="94" t="e">
        <v>#N/A</v>
      </c>
      <c r="AJ289" s="94" t="e">
        <f>VLOOKUP(Tabla1[[#This Row],[Matricula nueva]],'ALTA 20242025'!$B$2:$P$242,15,FALSE)</f>
        <v>#N/A</v>
      </c>
      <c r="AK289" s="95" t="e">
        <v>#N/A</v>
      </c>
      <c r="AN289" s="1"/>
      <c r="AO289" s="1" t="e">
        <f>VLOOKUP(Tabla1[[#This Row],[Matricula nueva]],Hoja2!$A$1:$B$224,2,FALSE)</f>
        <v>#N/A</v>
      </c>
      <c r="AP289" s="1" t="str">
        <f>IF(Tabla1[[#This Row],[Columna2]]="M1",5.1,"")</f>
        <v/>
      </c>
      <c r="AQ289" s="1"/>
      <c r="AR289" s="1"/>
      <c r="AS289" s="47">
        <f>IF(Tabla1[[#This Row],[Columna2]]="M1",13073,IF(Tabla1[[#This Row],[Columna2]]="N1",15815,IF(Tabla1[[#This Row],[Columna2]]="L3e",2831,53508)))</f>
        <v>53508</v>
      </c>
      <c r="AT289" s="47" t="e">
        <f>(Tabla1[[#This Row],[CVA]]*Tabla1[[#This Row],[F]]-Tabla1[[#This Row],[CVN]])/100*Tabla1[[#This Row],[L]]</f>
        <v>#VALUE!</v>
      </c>
      <c r="AU289" s="1"/>
      <c r="AV289" s="1" t="e">
        <f>VLOOKUP(B289,Tabla467824[[ID CAE2]:[AE '[kWh']]],6,FALSE)</f>
        <v>#N/A</v>
      </c>
      <c r="AW28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0" spans="1:49" ht="15.75" hidden="1" thickBot="1" x14ac:dyDescent="0.3">
      <c r="A290" t="s">
        <v>1468</v>
      </c>
      <c r="B290" t="e">
        <f>VLOOKUP(A290,Tabla46782[ID CAE],1,FALSE)</f>
        <v>#N/A</v>
      </c>
      <c r="C290" s="33" t="s">
        <v>1503</v>
      </c>
      <c r="D290" s="33"/>
      <c r="E290" s="33"/>
      <c r="F290" s="33"/>
      <c r="G290" s="33"/>
      <c r="H290" s="33"/>
      <c r="I290" s="33"/>
      <c r="J290" s="33"/>
      <c r="K290" s="33" t="s">
        <v>73</v>
      </c>
      <c r="L290" s="33" t="s">
        <v>200</v>
      </c>
      <c r="M290" s="33" t="s">
        <v>201</v>
      </c>
      <c r="N290" s="33" t="s">
        <v>76</v>
      </c>
      <c r="O290" s="1">
        <f>VLOOKUP(Tabla1[[#This Row],[Matricula]],BAJA2022202320242025!$B$3:$CR$245,93,FALSE)</f>
        <v>44266</v>
      </c>
      <c r="P290" s="34">
        <v>45747</v>
      </c>
      <c r="Q290" s="34">
        <f>Tabla1[[#This Row],[F.Vig.Final]]-Tabla1[[#This Row],[f Vig Inicio]]</f>
        <v>1481</v>
      </c>
      <c r="R290" s="34">
        <f>YEAR(Tabla1[[#This Row],[F.Vig.Final]])</f>
        <v>2025</v>
      </c>
      <c r="S290" s="33" t="s">
        <v>77</v>
      </c>
      <c r="T290" s="33" t="s">
        <v>78</v>
      </c>
      <c r="U290" s="33" t="s">
        <v>79</v>
      </c>
      <c r="V290" s="33" t="s">
        <v>924</v>
      </c>
      <c r="W290" s="33" t="s">
        <v>308</v>
      </c>
      <c r="X290" s="33" t="s">
        <v>309</v>
      </c>
      <c r="Y290" s="33" t="s">
        <v>1504</v>
      </c>
      <c r="Z290" s="16">
        <f>COUNTIF($X$3:X290, X290)</f>
        <v>8</v>
      </c>
      <c r="AA290" s="16" t="e">
        <v>#N/A</v>
      </c>
      <c r="AB290" s="16" t="e">
        <v>#N/A</v>
      </c>
      <c r="AC290" s="16" t="e">
        <v>#N/A</v>
      </c>
      <c r="AD290" s="16" t="e">
        <v>#N/A</v>
      </c>
      <c r="AE290" s="16" t="e">
        <v>#N/A</v>
      </c>
      <c r="AF290" s="17" t="e">
        <v>#N/A</v>
      </c>
      <c r="AG290" s="17" t="e">
        <v>#N/A</v>
      </c>
      <c r="AH290" s="17" t="e">
        <f>Tabla1[[#This Row],[Renov. Flota]]-Tabla1[[#This Row],[Año]]</f>
        <v>#N/A</v>
      </c>
      <c r="AI290" s="18" t="e">
        <v>#N/A</v>
      </c>
      <c r="AJ290" s="18" t="e">
        <f>VLOOKUP(Tabla1[[#This Row],[Matricula nueva]],'ALTA 20242025'!$B$2:$P$242,15,FALSE)</f>
        <v>#N/A</v>
      </c>
      <c r="AK290" s="19" t="e">
        <v>#N/A</v>
      </c>
      <c r="AN290" s="1"/>
      <c r="AO290" s="1" t="e">
        <f>VLOOKUP(Tabla1[[#This Row],[Matricula nueva]],Hoja2!$A$1:$B$224,2,FALSE)</f>
        <v>#N/A</v>
      </c>
      <c r="AP290" s="1" t="str">
        <f>IF(Tabla1[[#This Row],[Columna2]]="M1",5.1,"")</f>
        <v/>
      </c>
      <c r="AQ290" s="1"/>
      <c r="AR290" s="1"/>
      <c r="AS290" s="47">
        <f>IF(Tabla1[[#This Row],[Columna2]]="M1",13073,IF(Tabla1[[#This Row],[Columna2]]="N1",15815,IF(Tabla1[[#This Row],[Columna2]]="L3e",2831,53508)))</f>
        <v>53508</v>
      </c>
      <c r="AT290" s="47" t="e">
        <f>(Tabla1[[#This Row],[CVA]]*Tabla1[[#This Row],[F]]-Tabla1[[#This Row],[CVN]])/100*Tabla1[[#This Row],[L]]</f>
        <v>#VALUE!</v>
      </c>
      <c r="AU290" s="1"/>
      <c r="AV290" s="1" t="e">
        <f>VLOOKUP(B290,Tabla467824[[ID CAE2]:[AE '[kWh']]],6,FALSE)</f>
        <v>#N/A</v>
      </c>
      <c r="AW29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1" spans="1:49" ht="15.75" hidden="1" thickBot="1" x14ac:dyDescent="0.3">
      <c r="A291" t="s">
        <v>1470</v>
      </c>
      <c r="B291" t="e">
        <f>VLOOKUP(A291,Tabla46782[ID CAE],1,FALSE)</f>
        <v>#N/A</v>
      </c>
      <c r="C291" s="31" t="s">
        <v>1505</v>
      </c>
      <c r="D291" s="31"/>
      <c r="E291" s="31"/>
      <c r="F291" s="31"/>
      <c r="G291" s="31"/>
      <c r="H291" s="31"/>
      <c r="I291" s="31"/>
      <c r="J291" s="31"/>
      <c r="K291" s="31" t="s">
        <v>73</v>
      </c>
      <c r="L291" s="31" t="s">
        <v>200</v>
      </c>
      <c r="M291" s="31" t="s">
        <v>201</v>
      </c>
      <c r="N291" s="31" t="s">
        <v>76</v>
      </c>
      <c r="O291" s="31" t="e">
        <f>VLOOKUP(Tabla1[[#This Row],[Matricula]],BAJA2022202320242025!$B$3:$CR$245,93,FALSE)</f>
        <v>#N/A</v>
      </c>
      <c r="P291" s="32">
        <v>44716</v>
      </c>
      <c r="Q291" s="32" t="e">
        <f>Tabla1[[#This Row],[F.Vig.Final]]-Tabla1[[#This Row],[f Vig Inicio]]</f>
        <v>#N/A</v>
      </c>
      <c r="R291" s="32">
        <f>YEAR(Tabla1[[#This Row],[F.Vig.Final]])</f>
        <v>2022</v>
      </c>
      <c r="S291" s="31" t="s">
        <v>77</v>
      </c>
      <c r="T291" s="31" t="s">
        <v>78</v>
      </c>
      <c r="U291" s="31" t="s">
        <v>359</v>
      </c>
      <c r="V291" s="31" t="s">
        <v>593</v>
      </c>
      <c r="W291" s="31" t="s">
        <v>131</v>
      </c>
      <c r="X291" s="31" t="s">
        <v>132</v>
      </c>
      <c r="Y291" s="31" t="s">
        <v>318</v>
      </c>
      <c r="Z291" s="16">
        <f>COUNTIF($X$3:X291, X291)</f>
        <v>38</v>
      </c>
      <c r="AA291" s="16" t="e">
        <v>#N/A</v>
      </c>
      <c r="AB291" s="16" t="e">
        <v>#N/A</v>
      </c>
      <c r="AC291" s="16" t="e">
        <v>#N/A</v>
      </c>
      <c r="AD291" s="16" t="e">
        <v>#N/A</v>
      </c>
      <c r="AE291" s="16" t="e">
        <v>#N/A</v>
      </c>
      <c r="AF291" s="17" t="e">
        <v>#N/A</v>
      </c>
      <c r="AG291" s="17" t="e">
        <v>#N/A</v>
      </c>
      <c r="AH291" s="17" t="e">
        <f>Tabla1[[#This Row],[Renov. Flota]]-Tabla1[[#This Row],[Año]]</f>
        <v>#N/A</v>
      </c>
      <c r="AI291" s="18" t="e">
        <v>#N/A</v>
      </c>
      <c r="AJ291" s="18" t="e">
        <f>VLOOKUP(Tabla1[[#This Row],[Matricula nueva]],'ALTA 20242025'!$B$2:$P$242,15,FALSE)</f>
        <v>#N/A</v>
      </c>
      <c r="AK291" s="19" t="e">
        <v>#N/A</v>
      </c>
      <c r="AN291" s="1"/>
      <c r="AO291" s="1" t="e">
        <f>VLOOKUP(Tabla1[[#This Row],[Matricula nueva]],Hoja2!$A$1:$B$224,2,FALSE)</f>
        <v>#N/A</v>
      </c>
      <c r="AP291" s="1" t="str">
        <f>IF(Tabla1[[#This Row],[Columna2]]="M1",5.1,"")</f>
        <v/>
      </c>
      <c r="AQ291" s="1"/>
      <c r="AR291" s="1"/>
      <c r="AS291" s="47">
        <f>IF(Tabla1[[#This Row],[Columna2]]="M1",13073,IF(Tabla1[[#This Row],[Columna2]]="N1",15815,IF(Tabla1[[#This Row],[Columna2]]="L3e",2831,53508)))</f>
        <v>53508</v>
      </c>
      <c r="AT291" s="47" t="e">
        <f>(Tabla1[[#This Row],[CVA]]*Tabla1[[#This Row],[F]]-Tabla1[[#This Row],[CVN]])/100*Tabla1[[#This Row],[L]]</f>
        <v>#VALUE!</v>
      </c>
      <c r="AU291" s="1"/>
      <c r="AV291" s="1" t="e">
        <f>VLOOKUP(B291,Tabla467824[[ID CAE2]:[AE '[kWh']]],6,FALSE)</f>
        <v>#N/A</v>
      </c>
      <c r="AW29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2" spans="1:49" ht="15.75" hidden="1" thickBot="1" x14ac:dyDescent="0.3">
      <c r="A292" t="s">
        <v>1473</v>
      </c>
      <c r="B292" t="e">
        <f>VLOOKUP(A292,Tabla46782[ID CAE],1,FALSE)</f>
        <v>#N/A</v>
      </c>
      <c r="C292" s="31" t="s">
        <v>1506</v>
      </c>
      <c r="D292" s="31"/>
      <c r="E292" s="31"/>
      <c r="F292" s="31"/>
      <c r="G292" s="31"/>
      <c r="H292" s="31"/>
      <c r="I292" s="31"/>
      <c r="J292" s="31"/>
      <c r="K292" s="31" t="s">
        <v>1034</v>
      </c>
      <c r="L292" s="31" t="s">
        <v>200</v>
      </c>
      <c r="M292" s="31" t="s">
        <v>201</v>
      </c>
      <c r="N292" s="31" t="s">
        <v>76</v>
      </c>
      <c r="O292" s="31" t="e">
        <f>VLOOKUP(Tabla1[[#This Row],[Matricula]],BAJA2022202320242025!$B$3:$CR$245,93,FALSE)</f>
        <v>#N/A</v>
      </c>
      <c r="P292" s="32">
        <v>44621</v>
      </c>
      <c r="Q292" s="32" t="e">
        <f>Tabla1[[#This Row],[F.Vig.Final]]-Tabla1[[#This Row],[f Vig Inicio]]</f>
        <v>#N/A</v>
      </c>
      <c r="R292" s="32">
        <f>YEAR(Tabla1[[#This Row],[F.Vig.Final]])</f>
        <v>2022</v>
      </c>
      <c r="S292" s="31" t="s">
        <v>77</v>
      </c>
      <c r="T292" s="31" t="s">
        <v>78</v>
      </c>
      <c r="U292" s="31" t="s">
        <v>524</v>
      </c>
      <c r="V292" s="31" t="s">
        <v>1507</v>
      </c>
      <c r="W292" s="31" t="s">
        <v>1508</v>
      </c>
      <c r="X292" s="31" t="s">
        <v>1509</v>
      </c>
      <c r="Y292" s="31" t="s">
        <v>312</v>
      </c>
      <c r="Z292" s="16">
        <f>COUNTIF($X$3:X292, X292)</f>
        <v>1</v>
      </c>
      <c r="AA292" s="16" t="e">
        <v>#N/A</v>
      </c>
      <c r="AB292" s="16" t="e">
        <v>#N/A</v>
      </c>
      <c r="AC292" s="16" t="e">
        <v>#N/A</v>
      </c>
      <c r="AD292" s="16" t="e">
        <v>#N/A</v>
      </c>
      <c r="AE292" s="16" t="e">
        <v>#N/A</v>
      </c>
      <c r="AF292" s="17" t="e">
        <v>#N/A</v>
      </c>
      <c r="AG292" s="17" t="e">
        <v>#N/A</v>
      </c>
      <c r="AH292" s="17" t="e">
        <f>Tabla1[[#This Row],[Renov. Flota]]-Tabla1[[#This Row],[Año]]</f>
        <v>#N/A</v>
      </c>
      <c r="AI292" s="18" t="e">
        <v>#N/A</v>
      </c>
      <c r="AJ292" s="18" t="e">
        <f>VLOOKUP(Tabla1[[#This Row],[Matricula nueva]],'ALTA 20242025'!$B$2:$P$242,15,FALSE)</f>
        <v>#N/A</v>
      </c>
      <c r="AK292" s="19" t="e">
        <v>#N/A</v>
      </c>
      <c r="AN292" s="1"/>
      <c r="AO292" s="1" t="e">
        <f>VLOOKUP(Tabla1[[#This Row],[Matricula nueva]],Hoja2!$A$1:$B$224,2,FALSE)</f>
        <v>#N/A</v>
      </c>
      <c r="AP292" s="1" t="str">
        <f>IF(Tabla1[[#This Row],[Columna2]]="M1",5.1,"")</f>
        <v/>
      </c>
      <c r="AQ292" s="1"/>
      <c r="AR292" s="1"/>
      <c r="AS292" s="47">
        <f>IF(Tabla1[[#This Row],[Columna2]]="M1",13073,IF(Tabla1[[#This Row],[Columna2]]="N1",15815,IF(Tabla1[[#This Row],[Columna2]]="L3e",2831,53508)))</f>
        <v>53508</v>
      </c>
      <c r="AT292" s="47" t="e">
        <f>(Tabla1[[#This Row],[CVA]]*Tabla1[[#This Row],[F]]-Tabla1[[#This Row],[CVN]])/100*Tabla1[[#This Row],[L]]</f>
        <v>#VALUE!</v>
      </c>
      <c r="AU292" s="1"/>
      <c r="AV292" s="1" t="e">
        <f>VLOOKUP(B292,Tabla467824[[ID CAE2]:[AE '[kWh']]],6,FALSE)</f>
        <v>#N/A</v>
      </c>
      <c r="AW29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3" spans="1:49" ht="15.75" hidden="1" thickBot="1" x14ac:dyDescent="0.3">
      <c r="A293" t="s">
        <v>1475</v>
      </c>
      <c r="B293" t="e">
        <f>VLOOKUP(A293,Tabla46782[ID CAE],1,FALSE)</f>
        <v>#N/A</v>
      </c>
      <c r="C293" s="31" t="s">
        <v>1510</v>
      </c>
      <c r="D293" s="31"/>
      <c r="E293" s="31"/>
      <c r="F293" s="31"/>
      <c r="G293" s="31"/>
      <c r="H293" s="31"/>
      <c r="I293" s="31"/>
      <c r="J293" s="31"/>
      <c r="K293" s="31" t="s">
        <v>1034</v>
      </c>
      <c r="L293" s="31" t="s">
        <v>200</v>
      </c>
      <c r="M293" s="31" t="s">
        <v>201</v>
      </c>
      <c r="N293" s="31" t="s">
        <v>76</v>
      </c>
      <c r="O293" s="31" t="e">
        <f>VLOOKUP(Tabla1[[#This Row],[Matricula]],BAJA2022202320242025!$B$3:$CR$245,93,FALSE)</f>
        <v>#N/A</v>
      </c>
      <c r="P293" s="32">
        <v>44621</v>
      </c>
      <c r="Q293" s="32" t="e">
        <f>Tabla1[[#This Row],[F.Vig.Final]]-Tabla1[[#This Row],[f Vig Inicio]]</f>
        <v>#N/A</v>
      </c>
      <c r="R293" s="32">
        <f>YEAR(Tabla1[[#This Row],[F.Vig.Final]])</f>
        <v>2022</v>
      </c>
      <c r="S293" s="31" t="s">
        <v>77</v>
      </c>
      <c r="T293" s="31" t="s">
        <v>78</v>
      </c>
      <c r="U293" s="31" t="s">
        <v>524</v>
      </c>
      <c r="V293" s="31" t="s">
        <v>1507</v>
      </c>
      <c r="W293" s="31" t="s">
        <v>1508</v>
      </c>
      <c r="X293" s="31" t="s">
        <v>1509</v>
      </c>
      <c r="Y293" s="31" t="s">
        <v>312</v>
      </c>
      <c r="Z293" s="16">
        <f>COUNTIF($X$3:X293, X293)</f>
        <v>2</v>
      </c>
      <c r="AA293" s="16" t="e">
        <v>#N/A</v>
      </c>
      <c r="AB293" s="16" t="e">
        <v>#N/A</v>
      </c>
      <c r="AC293" s="16" t="e">
        <v>#N/A</v>
      </c>
      <c r="AD293" s="16" t="e">
        <v>#N/A</v>
      </c>
      <c r="AE293" s="16" t="e">
        <v>#N/A</v>
      </c>
      <c r="AF293" s="17" t="e">
        <v>#N/A</v>
      </c>
      <c r="AG293" s="17" t="e">
        <v>#N/A</v>
      </c>
      <c r="AH293" s="17" t="e">
        <f>Tabla1[[#This Row],[Renov. Flota]]-Tabla1[[#This Row],[Año]]</f>
        <v>#N/A</v>
      </c>
      <c r="AI293" s="18" t="e">
        <v>#N/A</v>
      </c>
      <c r="AJ293" s="18" t="e">
        <f>VLOOKUP(Tabla1[[#This Row],[Matricula nueva]],'ALTA 20242025'!$B$2:$P$242,15,FALSE)</f>
        <v>#N/A</v>
      </c>
      <c r="AK293" s="19" t="e">
        <v>#N/A</v>
      </c>
      <c r="AN293" s="1"/>
      <c r="AO293" s="1" t="e">
        <f>VLOOKUP(Tabla1[[#This Row],[Matricula nueva]],Hoja2!$A$1:$B$224,2,FALSE)</f>
        <v>#N/A</v>
      </c>
      <c r="AP293" s="1" t="str">
        <f>IF(Tabla1[[#This Row],[Columna2]]="M1",5.1,"")</f>
        <v/>
      </c>
      <c r="AQ293" s="1"/>
      <c r="AR293" s="1"/>
      <c r="AS293" s="47">
        <f>IF(Tabla1[[#This Row],[Columna2]]="M1",13073,IF(Tabla1[[#This Row],[Columna2]]="N1",15815,IF(Tabla1[[#This Row],[Columna2]]="L3e",2831,53508)))</f>
        <v>53508</v>
      </c>
      <c r="AT293" s="47" t="e">
        <f>(Tabla1[[#This Row],[CVA]]*Tabla1[[#This Row],[F]]-Tabla1[[#This Row],[CVN]])/100*Tabla1[[#This Row],[L]]</f>
        <v>#VALUE!</v>
      </c>
      <c r="AU293" s="1"/>
      <c r="AV293" s="1" t="e">
        <f>VLOOKUP(B293,Tabla467824[[ID CAE2]:[AE '[kWh']]],6,FALSE)</f>
        <v>#N/A</v>
      </c>
      <c r="AW29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4" spans="1:49" ht="15.75" hidden="1" thickBot="1" x14ac:dyDescent="0.3">
      <c r="A294" t="s">
        <v>1478</v>
      </c>
      <c r="B294" t="e">
        <f>VLOOKUP(A294,Tabla46782[ID CAE],1,FALSE)</f>
        <v>#N/A</v>
      </c>
      <c r="C294" s="31" t="s">
        <v>1511</v>
      </c>
      <c r="D294" s="31"/>
      <c r="E294" s="31"/>
      <c r="F294" s="31"/>
      <c r="G294" s="31"/>
      <c r="H294" s="31"/>
      <c r="I294" s="31"/>
      <c r="J294" s="31"/>
      <c r="K294" s="31" t="s">
        <v>73</v>
      </c>
      <c r="L294" s="31" t="s">
        <v>200</v>
      </c>
      <c r="M294" s="31" t="s">
        <v>201</v>
      </c>
      <c r="N294" s="31" t="s">
        <v>76</v>
      </c>
      <c r="O294" s="31" t="e">
        <f>VLOOKUP(Tabla1[[#This Row],[Matricula]],BAJA2022202320242025!$B$3:$CR$245,93,FALSE)</f>
        <v>#N/A</v>
      </c>
      <c r="P294" s="32">
        <v>44632</v>
      </c>
      <c r="Q294" s="32" t="e">
        <f>Tabla1[[#This Row],[F.Vig.Final]]-Tabla1[[#This Row],[f Vig Inicio]]</f>
        <v>#N/A</v>
      </c>
      <c r="R294" s="32">
        <f>YEAR(Tabla1[[#This Row],[F.Vig.Final]])</f>
        <v>2022</v>
      </c>
      <c r="S294" s="31" t="s">
        <v>77</v>
      </c>
      <c r="T294" s="31" t="s">
        <v>78</v>
      </c>
      <c r="U294" s="31" t="s">
        <v>1362</v>
      </c>
      <c r="V294" s="31" t="s">
        <v>1367</v>
      </c>
      <c r="W294" s="31" t="s">
        <v>1512</v>
      </c>
      <c r="X294" s="31" t="s">
        <v>1513</v>
      </c>
      <c r="Y294" s="31" t="s">
        <v>1514</v>
      </c>
      <c r="Z294" s="16">
        <f>COUNTIF($X$3:X294, X294)</f>
        <v>1</v>
      </c>
      <c r="AA294" s="16" t="e">
        <v>#N/A</v>
      </c>
      <c r="AB294" s="16" t="e">
        <v>#N/A</v>
      </c>
      <c r="AC294" s="16" t="e">
        <v>#N/A</v>
      </c>
      <c r="AD294" s="16" t="e">
        <v>#N/A</v>
      </c>
      <c r="AE294" s="16" t="e">
        <v>#N/A</v>
      </c>
      <c r="AF294" s="17" t="e">
        <v>#N/A</v>
      </c>
      <c r="AG294" s="17" t="e">
        <v>#N/A</v>
      </c>
      <c r="AH294" s="17" t="e">
        <f>Tabla1[[#This Row],[Renov. Flota]]-Tabla1[[#This Row],[Año]]</f>
        <v>#N/A</v>
      </c>
      <c r="AI294" s="18" t="e">
        <v>#N/A</v>
      </c>
      <c r="AJ294" s="18" t="e">
        <f>VLOOKUP(Tabla1[[#This Row],[Matricula nueva]],'ALTA 20242025'!$B$2:$P$242,15,FALSE)</f>
        <v>#N/A</v>
      </c>
      <c r="AK294" s="19" t="e">
        <v>#N/A</v>
      </c>
      <c r="AN294" s="1"/>
      <c r="AO294" s="1" t="e">
        <f>VLOOKUP(Tabla1[[#This Row],[Matricula nueva]],Hoja2!$A$1:$B$224,2,FALSE)</f>
        <v>#N/A</v>
      </c>
      <c r="AP294" s="1" t="str">
        <f>IF(Tabla1[[#This Row],[Columna2]]="M1",5.1,"")</f>
        <v/>
      </c>
      <c r="AQ294" s="1"/>
      <c r="AR294" s="1"/>
      <c r="AS294" s="47">
        <f>IF(Tabla1[[#This Row],[Columna2]]="M1",13073,IF(Tabla1[[#This Row],[Columna2]]="N1",15815,IF(Tabla1[[#This Row],[Columna2]]="L3e",2831,53508)))</f>
        <v>53508</v>
      </c>
      <c r="AT294" s="47" t="e">
        <f>(Tabla1[[#This Row],[CVA]]*Tabla1[[#This Row],[F]]-Tabla1[[#This Row],[CVN]])/100*Tabla1[[#This Row],[L]]</f>
        <v>#VALUE!</v>
      </c>
      <c r="AU294" s="1"/>
      <c r="AV294" s="1" t="e">
        <f>VLOOKUP(B294,Tabla467824[[ID CAE2]:[AE '[kWh']]],6,FALSE)</f>
        <v>#N/A</v>
      </c>
      <c r="AW29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5" spans="1:49" ht="15.75" hidden="1" thickBot="1" x14ac:dyDescent="0.3">
      <c r="A295" t="s">
        <v>1481</v>
      </c>
      <c r="B295" t="e">
        <f>VLOOKUP(A295,Tabla46782[ID CAE],1,FALSE)</f>
        <v>#N/A</v>
      </c>
      <c r="C295" s="31" t="s">
        <v>1515</v>
      </c>
      <c r="D295" s="31"/>
      <c r="E295" s="31"/>
      <c r="F295" s="31"/>
      <c r="G295" s="31"/>
      <c r="H295" s="31"/>
      <c r="I295" s="31"/>
      <c r="J295" s="31"/>
      <c r="K295" s="31" t="s">
        <v>73</v>
      </c>
      <c r="L295" s="31" t="s">
        <v>200</v>
      </c>
      <c r="M295" s="31" t="s">
        <v>201</v>
      </c>
      <c r="N295" s="31" t="s">
        <v>76</v>
      </c>
      <c r="O295" s="31" t="e">
        <f>VLOOKUP(Tabla1[[#This Row],[Matricula]],BAJA2022202320242025!$B$3:$CR$245,93,FALSE)</f>
        <v>#N/A</v>
      </c>
      <c r="P295" s="32">
        <v>44608</v>
      </c>
      <c r="Q295" s="32" t="e">
        <f>Tabla1[[#This Row],[F.Vig.Final]]-Tabla1[[#This Row],[f Vig Inicio]]</f>
        <v>#N/A</v>
      </c>
      <c r="R295" s="32">
        <f>YEAR(Tabla1[[#This Row],[F.Vig.Final]])</f>
        <v>2022</v>
      </c>
      <c r="S295" s="31" t="s">
        <v>77</v>
      </c>
      <c r="T295" s="31" t="s">
        <v>78</v>
      </c>
      <c r="U295" s="31" t="s">
        <v>359</v>
      </c>
      <c r="V295" s="31" t="s">
        <v>593</v>
      </c>
      <c r="W295" s="31" t="s">
        <v>119</v>
      </c>
      <c r="X295" s="31" t="s">
        <v>120</v>
      </c>
      <c r="Y295" s="31" t="s">
        <v>1516</v>
      </c>
      <c r="Z295" s="16">
        <f>COUNTIF($X$3:X295, X295)</f>
        <v>36</v>
      </c>
      <c r="AA295" s="16" t="e">
        <v>#N/A</v>
      </c>
      <c r="AB295" s="16" t="e">
        <v>#N/A</v>
      </c>
      <c r="AC295" s="16" t="e">
        <v>#N/A</v>
      </c>
      <c r="AD295" s="16" t="e">
        <v>#N/A</v>
      </c>
      <c r="AE295" s="16" t="e">
        <v>#N/A</v>
      </c>
      <c r="AF295" s="17" t="e">
        <v>#N/A</v>
      </c>
      <c r="AG295" s="17" t="e">
        <v>#N/A</v>
      </c>
      <c r="AH295" s="17" t="e">
        <f>Tabla1[[#This Row],[Renov. Flota]]-Tabla1[[#This Row],[Año]]</f>
        <v>#N/A</v>
      </c>
      <c r="AI295" s="18" t="e">
        <v>#N/A</v>
      </c>
      <c r="AJ295" s="18" t="e">
        <f>VLOOKUP(Tabla1[[#This Row],[Matricula nueva]],'ALTA 20242025'!$B$2:$P$242,15,FALSE)</f>
        <v>#N/A</v>
      </c>
      <c r="AK295" s="19" t="e">
        <v>#N/A</v>
      </c>
      <c r="AN295" s="1"/>
      <c r="AO295" s="1" t="e">
        <f>VLOOKUP(Tabla1[[#This Row],[Matricula nueva]],Hoja2!$A$1:$B$224,2,FALSE)</f>
        <v>#N/A</v>
      </c>
      <c r="AP295" s="1" t="str">
        <f>IF(Tabla1[[#This Row],[Columna2]]="M1",5.1,"")</f>
        <v/>
      </c>
      <c r="AQ295" s="1"/>
      <c r="AR295" s="1"/>
      <c r="AS295" s="47">
        <f>IF(Tabla1[[#This Row],[Columna2]]="M1",13073,IF(Tabla1[[#This Row],[Columna2]]="N1",15815,IF(Tabla1[[#This Row],[Columna2]]="L3e",2831,53508)))</f>
        <v>53508</v>
      </c>
      <c r="AT295" s="47" t="e">
        <f>(Tabla1[[#This Row],[CVA]]*Tabla1[[#This Row],[F]]-Tabla1[[#This Row],[CVN]])/100*Tabla1[[#This Row],[L]]</f>
        <v>#VALUE!</v>
      </c>
      <c r="AU295" s="1"/>
      <c r="AV295" s="1" t="e">
        <f>VLOOKUP(B295,Tabla467824[[ID CAE2]:[AE '[kWh']]],6,FALSE)</f>
        <v>#N/A</v>
      </c>
      <c r="AW29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6" spans="1:49" ht="15.75" hidden="1" thickBot="1" x14ac:dyDescent="0.3">
      <c r="A296" t="s">
        <v>1483</v>
      </c>
      <c r="B296" t="e">
        <f>VLOOKUP(A296,Tabla46782[ID CAE],1,FALSE)</f>
        <v>#N/A</v>
      </c>
      <c r="C296" s="33" t="s">
        <v>1517</v>
      </c>
      <c r="D296" s="33"/>
      <c r="E296" s="33"/>
      <c r="F296" s="33"/>
      <c r="G296" s="33"/>
      <c r="H296" s="33"/>
      <c r="I296" s="33"/>
      <c r="J296" s="33"/>
      <c r="K296" s="33" t="s">
        <v>73</v>
      </c>
      <c r="L296" s="33" t="s">
        <v>200</v>
      </c>
      <c r="M296" s="33" t="s">
        <v>201</v>
      </c>
      <c r="N296" s="33" t="s">
        <v>160</v>
      </c>
      <c r="O296" s="1">
        <f>VLOOKUP(Tabla1[[#This Row],[Matricula]],BAJA2022202320242025!$B$3:$CR$245,93,FALSE)</f>
        <v>44294</v>
      </c>
      <c r="P296" s="34">
        <v>45755</v>
      </c>
      <c r="Q296" s="34">
        <f>Tabla1[[#This Row],[F.Vig.Final]]-Tabla1[[#This Row],[f Vig Inicio]]</f>
        <v>1461</v>
      </c>
      <c r="R296" s="34">
        <f>YEAR(Tabla1[[#This Row],[F.Vig.Final]])</f>
        <v>2025</v>
      </c>
      <c r="S296" s="33" t="s">
        <v>161</v>
      </c>
      <c r="T296" s="33" t="s">
        <v>78</v>
      </c>
      <c r="U296" s="33" t="s">
        <v>79</v>
      </c>
      <c r="V296" s="33" t="s">
        <v>924</v>
      </c>
      <c r="W296" s="33" t="s">
        <v>102</v>
      </c>
      <c r="X296" s="33" t="s">
        <v>103</v>
      </c>
      <c r="Y296" s="33" t="s">
        <v>1518</v>
      </c>
      <c r="Z296" s="16">
        <f>COUNTIF($X$3:X296, X296)</f>
        <v>55</v>
      </c>
      <c r="AA296" s="16" t="e">
        <v>#N/A</v>
      </c>
      <c r="AB296" s="16" t="e">
        <v>#N/A</v>
      </c>
      <c r="AC296" s="16" t="e">
        <v>#N/A</v>
      </c>
      <c r="AD296" s="16" t="e">
        <v>#N/A</v>
      </c>
      <c r="AE296" s="16" t="e">
        <v>#N/A</v>
      </c>
      <c r="AF296" s="17" t="e">
        <v>#N/A</v>
      </c>
      <c r="AG296" s="17" t="e">
        <v>#N/A</v>
      </c>
      <c r="AH296" s="17" t="e">
        <f>Tabla1[[#This Row],[Renov. Flota]]-Tabla1[[#This Row],[Año]]</f>
        <v>#N/A</v>
      </c>
      <c r="AI296" s="18" t="e">
        <v>#N/A</v>
      </c>
      <c r="AJ296" s="18" t="e">
        <f>VLOOKUP(Tabla1[[#This Row],[Matricula nueva]],'ALTA 20242025'!$B$2:$P$242,15,FALSE)</f>
        <v>#N/A</v>
      </c>
      <c r="AK296" s="19" t="e">
        <v>#N/A</v>
      </c>
      <c r="AN296" s="1"/>
      <c r="AO296" s="1" t="e">
        <f>VLOOKUP(Tabla1[[#This Row],[Matricula nueva]],Hoja2!$A$1:$B$224,2,FALSE)</f>
        <v>#N/A</v>
      </c>
      <c r="AP296" s="1" t="str">
        <f>IF(Tabla1[[#This Row],[Columna2]]="M1",5.1,"")</f>
        <v/>
      </c>
      <c r="AQ296" s="1"/>
      <c r="AR296" s="1"/>
      <c r="AS296" s="47">
        <f>IF(Tabla1[[#This Row],[Columna2]]="M1",13073,IF(Tabla1[[#This Row],[Columna2]]="N1",15815,IF(Tabla1[[#This Row],[Columna2]]="L3e",2831,53508)))</f>
        <v>53508</v>
      </c>
      <c r="AT296" s="47" t="e">
        <f>(Tabla1[[#This Row],[CVA]]*Tabla1[[#This Row],[F]]-Tabla1[[#This Row],[CVN]])/100*Tabla1[[#This Row],[L]]</f>
        <v>#VALUE!</v>
      </c>
      <c r="AU296" s="1"/>
      <c r="AV296" s="1" t="e">
        <f>VLOOKUP(B296,Tabla467824[[ID CAE2]:[AE '[kWh']]],6,FALSE)</f>
        <v>#N/A</v>
      </c>
      <c r="AW29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7" spans="1:49" ht="15.75" hidden="1" thickBot="1" x14ac:dyDescent="0.3">
      <c r="A297" t="s">
        <v>1485</v>
      </c>
      <c r="B297" t="e">
        <f>VLOOKUP(A297,Tabla46782[ID CAE],1,FALSE)</f>
        <v>#N/A</v>
      </c>
      <c r="C297" s="31" t="s">
        <v>1519</v>
      </c>
      <c r="D297" s="31"/>
      <c r="E297" s="31"/>
      <c r="F297" s="31"/>
      <c r="G297" s="31"/>
      <c r="H297" s="31"/>
      <c r="I297" s="31"/>
      <c r="J297" s="31"/>
      <c r="K297" s="31" t="s">
        <v>73</v>
      </c>
      <c r="L297" s="31" t="s">
        <v>200</v>
      </c>
      <c r="M297" s="31" t="s">
        <v>201</v>
      </c>
      <c r="N297" s="31" t="s">
        <v>76</v>
      </c>
      <c r="O297" s="31" t="e">
        <f>VLOOKUP(Tabla1[[#This Row],[Matricula]],BAJA2022202320242025!$B$3:$CR$245,93,FALSE)</f>
        <v>#N/A</v>
      </c>
      <c r="P297" s="32">
        <v>44734</v>
      </c>
      <c r="Q297" s="32" t="e">
        <f>Tabla1[[#This Row],[F.Vig.Final]]-Tabla1[[#This Row],[f Vig Inicio]]</f>
        <v>#N/A</v>
      </c>
      <c r="R297" s="32">
        <f>YEAR(Tabla1[[#This Row],[F.Vig.Final]])</f>
        <v>2022</v>
      </c>
      <c r="S297" s="31" t="s">
        <v>77</v>
      </c>
      <c r="T297" s="31" t="s">
        <v>78</v>
      </c>
      <c r="U297" s="31" t="s">
        <v>359</v>
      </c>
      <c r="V297" s="31" t="s">
        <v>1520</v>
      </c>
      <c r="W297" s="31" t="s">
        <v>1521</v>
      </c>
      <c r="X297" s="31" t="s">
        <v>1522</v>
      </c>
      <c r="Y297" s="31" t="s">
        <v>1523</v>
      </c>
      <c r="Z297" s="16">
        <f>COUNTIF($X$3:X297, X297)</f>
        <v>1</v>
      </c>
      <c r="AA297" s="16" t="e">
        <v>#N/A</v>
      </c>
      <c r="AB297" s="16" t="e">
        <v>#N/A</v>
      </c>
      <c r="AC297" s="16" t="e">
        <v>#N/A</v>
      </c>
      <c r="AD297" s="16" t="e">
        <v>#N/A</v>
      </c>
      <c r="AE297" s="16" t="e">
        <v>#N/A</v>
      </c>
      <c r="AF297" s="17" t="e">
        <v>#N/A</v>
      </c>
      <c r="AG297" s="17" t="e">
        <v>#N/A</v>
      </c>
      <c r="AH297" s="17" t="e">
        <f>Tabla1[[#This Row],[Renov. Flota]]-Tabla1[[#This Row],[Año]]</f>
        <v>#N/A</v>
      </c>
      <c r="AI297" s="18" t="e">
        <v>#N/A</v>
      </c>
      <c r="AJ297" s="18" t="e">
        <f>VLOOKUP(Tabla1[[#This Row],[Matricula nueva]],'ALTA 20242025'!$B$2:$P$242,15,FALSE)</f>
        <v>#N/A</v>
      </c>
      <c r="AK297" s="19" t="e">
        <v>#N/A</v>
      </c>
      <c r="AN297" s="1"/>
      <c r="AO297" s="1" t="e">
        <f>VLOOKUP(Tabla1[[#This Row],[Matricula nueva]],Hoja2!$A$1:$B$224,2,FALSE)</f>
        <v>#N/A</v>
      </c>
      <c r="AP297" s="1" t="str">
        <f>IF(Tabla1[[#This Row],[Columna2]]="M1",5.1,"")</f>
        <v/>
      </c>
      <c r="AQ297" s="1"/>
      <c r="AR297" s="1"/>
      <c r="AS297" s="47">
        <f>IF(Tabla1[[#This Row],[Columna2]]="M1",13073,IF(Tabla1[[#This Row],[Columna2]]="N1",15815,IF(Tabla1[[#This Row],[Columna2]]="L3e",2831,53508)))</f>
        <v>53508</v>
      </c>
      <c r="AT297" s="47" t="e">
        <f>(Tabla1[[#This Row],[CVA]]*Tabla1[[#This Row],[F]]-Tabla1[[#This Row],[CVN]])/100*Tabla1[[#This Row],[L]]</f>
        <v>#VALUE!</v>
      </c>
      <c r="AU297" s="1"/>
      <c r="AV297" s="1" t="e">
        <f>VLOOKUP(B297,Tabla467824[[ID CAE2]:[AE '[kWh']]],6,FALSE)</f>
        <v>#N/A</v>
      </c>
      <c r="AW29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8" spans="1:49" ht="15.75" hidden="1" thickBot="1" x14ac:dyDescent="0.3">
      <c r="A298" t="s">
        <v>1488</v>
      </c>
      <c r="B298" t="e">
        <f>VLOOKUP(A298,Tabla46782[ID CAE],1,FALSE)</f>
        <v>#N/A</v>
      </c>
      <c r="C298" s="31" t="s">
        <v>1524</v>
      </c>
      <c r="D298" s="31"/>
      <c r="E298" s="31"/>
      <c r="F298" s="31"/>
      <c r="G298" s="31"/>
      <c r="H298" s="31"/>
      <c r="I298" s="31"/>
      <c r="J298" s="31"/>
      <c r="K298" s="31" t="s">
        <v>73</v>
      </c>
      <c r="L298" s="31" t="s">
        <v>200</v>
      </c>
      <c r="M298" s="31" t="s">
        <v>201</v>
      </c>
      <c r="N298" s="31" t="s">
        <v>76</v>
      </c>
      <c r="O298" s="31" t="e">
        <f>VLOOKUP(Tabla1[[#This Row],[Matricula]],BAJA2022202320242025!$B$3:$CR$245,93,FALSE)</f>
        <v>#N/A</v>
      </c>
      <c r="P298" s="32">
        <v>44641</v>
      </c>
      <c r="Q298" s="32" t="e">
        <f>Tabla1[[#This Row],[F.Vig.Final]]-Tabla1[[#This Row],[f Vig Inicio]]</f>
        <v>#N/A</v>
      </c>
      <c r="R298" s="32">
        <f>YEAR(Tabla1[[#This Row],[F.Vig.Final]])</f>
        <v>2022</v>
      </c>
      <c r="S298" s="31" t="s">
        <v>77</v>
      </c>
      <c r="T298" s="31" t="s">
        <v>78</v>
      </c>
      <c r="U298" s="31" t="s">
        <v>359</v>
      </c>
      <c r="V298" s="31" t="s">
        <v>604</v>
      </c>
      <c r="W298" s="31" t="s">
        <v>119</v>
      </c>
      <c r="X298" s="31" t="s">
        <v>120</v>
      </c>
      <c r="Y298" s="31" t="s">
        <v>260</v>
      </c>
      <c r="Z298" s="16">
        <f>COUNTIF($X$3:X298, X298)</f>
        <v>37</v>
      </c>
      <c r="AA298" s="16" t="e">
        <v>#N/A</v>
      </c>
      <c r="AB298" s="16" t="e">
        <v>#N/A</v>
      </c>
      <c r="AC298" s="16" t="e">
        <v>#N/A</v>
      </c>
      <c r="AD298" s="16" t="e">
        <v>#N/A</v>
      </c>
      <c r="AE298" s="16" t="e">
        <v>#N/A</v>
      </c>
      <c r="AF298" s="17" t="e">
        <v>#N/A</v>
      </c>
      <c r="AG298" s="17" t="e">
        <v>#N/A</v>
      </c>
      <c r="AH298" s="17" t="e">
        <f>Tabla1[[#This Row],[Renov. Flota]]-Tabla1[[#This Row],[Año]]</f>
        <v>#N/A</v>
      </c>
      <c r="AI298" s="18" t="e">
        <v>#N/A</v>
      </c>
      <c r="AJ298" s="18" t="e">
        <f>VLOOKUP(Tabla1[[#This Row],[Matricula nueva]],'ALTA 20242025'!$B$2:$P$242,15,FALSE)</f>
        <v>#N/A</v>
      </c>
      <c r="AK298" s="19" t="e">
        <v>#N/A</v>
      </c>
      <c r="AN298" s="1"/>
      <c r="AO298" s="1" t="e">
        <f>VLOOKUP(Tabla1[[#This Row],[Matricula nueva]],Hoja2!$A$1:$B$224,2,FALSE)</f>
        <v>#N/A</v>
      </c>
      <c r="AP298" s="1" t="str">
        <f>IF(Tabla1[[#This Row],[Columna2]]="M1",5.1,"")</f>
        <v/>
      </c>
      <c r="AQ298" s="1"/>
      <c r="AR298" s="1"/>
      <c r="AS298" s="47">
        <f>IF(Tabla1[[#This Row],[Columna2]]="M1",13073,IF(Tabla1[[#This Row],[Columna2]]="N1",15815,IF(Tabla1[[#This Row],[Columna2]]="L3e",2831,53508)))</f>
        <v>53508</v>
      </c>
      <c r="AT298" s="47" t="e">
        <f>(Tabla1[[#This Row],[CVA]]*Tabla1[[#This Row],[F]]-Tabla1[[#This Row],[CVN]])/100*Tabla1[[#This Row],[L]]</f>
        <v>#VALUE!</v>
      </c>
      <c r="AU298" s="1"/>
      <c r="AV298" s="1" t="e">
        <f>VLOOKUP(B298,Tabla467824[[ID CAE2]:[AE '[kWh']]],6,FALSE)</f>
        <v>#N/A</v>
      </c>
      <c r="AW29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299" spans="1:49" ht="15.75" hidden="1" thickBot="1" x14ac:dyDescent="0.3">
      <c r="A299" t="s">
        <v>1490</v>
      </c>
      <c r="B299" t="e">
        <f>VLOOKUP(A299,Tabla46782[ID CAE],1,FALSE)</f>
        <v>#N/A</v>
      </c>
      <c r="C299" s="31" t="s">
        <v>1525</v>
      </c>
      <c r="D299" s="31"/>
      <c r="E299" s="31"/>
      <c r="F299" s="31"/>
      <c r="G299" s="31"/>
      <c r="H299" s="31"/>
      <c r="I299" s="31"/>
      <c r="J299" s="31"/>
      <c r="K299" s="31" t="s">
        <v>73</v>
      </c>
      <c r="L299" s="31" t="s">
        <v>200</v>
      </c>
      <c r="M299" s="31" t="s">
        <v>201</v>
      </c>
      <c r="N299" s="31" t="s">
        <v>76</v>
      </c>
      <c r="O299" s="31" t="e">
        <f>VLOOKUP(Tabla1[[#This Row],[Matricula]],BAJA2022202320242025!$B$3:$CR$245,93,FALSE)</f>
        <v>#N/A</v>
      </c>
      <c r="P299" s="32">
        <v>44640</v>
      </c>
      <c r="Q299" s="32" t="e">
        <f>Tabla1[[#This Row],[F.Vig.Final]]-Tabla1[[#This Row],[f Vig Inicio]]</f>
        <v>#N/A</v>
      </c>
      <c r="R299" s="32">
        <f>YEAR(Tabla1[[#This Row],[F.Vig.Final]])</f>
        <v>2022</v>
      </c>
      <c r="S299" s="31" t="s">
        <v>77</v>
      </c>
      <c r="T299" s="31" t="s">
        <v>78</v>
      </c>
      <c r="U299" s="31" t="s">
        <v>359</v>
      </c>
      <c r="V299" s="31" t="s">
        <v>604</v>
      </c>
      <c r="W299" s="31" t="s">
        <v>131</v>
      </c>
      <c r="X299" s="31" t="s">
        <v>132</v>
      </c>
      <c r="Y299" s="31" t="s">
        <v>753</v>
      </c>
      <c r="Z299" s="16">
        <f>COUNTIF($X$3:X299, X299)</f>
        <v>39</v>
      </c>
      <c r="AA299" s="16" t="e">
        <v>#N/A</v>
      </c>
      <c r="AB299" s="16" t="e">
        <v>#N/A</v>
      </c>
      <c r="AC299" s="16" t="e">
        <v>#N/A</v>
      </c>
      <c r="AD299" s="16" t="e">
        <v>#N/A</v>
      </c>
      <c r="AE299" s="16" t="e">
        <v>#N/A</v>
      </c>
      <c r="AF299" s="17" t="e">
        <v>#N/A</v>
      </c>
      <c r="AG299" s="17" t="e">
        <v>#N/A</v>
      </c>
      <c r="AH299" s="17" t="e">
        <f>Tabla1[[#This Row],[Renov. Flota]]-Tabla1[[#This Row],[Año]]</f>
        <v>#N/A</v>
      </c>
      <c r="AI299" s="18" t="e">
        <v>#N/A</v>
      </c>
      <c r="AJ299" s="18" t="e">
        <f>VLOOKUP(Tabla1[[#This Row],[Matricula nueva]],'ALTA 20242025'!$B$2:$P$242,15,FALSE)</f>
        <v>#N/A</v>
      </c>
      <c r="AK299" s="19" t="e">
        <v>#N/A</v>
      </c>
      <c r="AN299" s="1"/>
      <c r="AO299" s="1" t="e">
        <f>VLOOKUP(Tabla1[[#This Row],[Matricula nueva]],Hoja2!$A$1:$B$224,2,FALSE)</f>
        <v>#N/A</v>
      </c>
      <c r="AP299" s="1" t="str">
        <f>IF(Tabla1[[#This Row],[Columna2]]="M1",5.1,"")</f>
        <v/>
      </c>
      <c r="AQ299" s="1"/>
      <c r="AR299" s="1"/>
      <c r="AS299" s="47">
        <f>IF(Tabla1[[#This Row],[Columna2]]="M1",13073,IF(Tabla1[[#This Row],[Columna2]]="N1",15815,IF(Tabla1[[#This Row],[Columna2]]="L3e",2831,53508)))</f>
        <v>53508</v>
      </c>
      <c r="AT299" s="47" t="e">
        <f>(Tabla1[[#This Row],[CVA]]*Tabla1[[#This Row],[F]]-Tabla1[[#This Row],[CVN]])/100*Tabla1[[#This Row],[L]]</f>
        <v>#VALUE!</v>
      </c>
      <c r="AU299" s="1"/>
      <c r="AV299" s="1" t="e">
        <f>VLOOKUP(B299,Tabla467824[[ID CAE2]:[AE '[kWh']]],6,FALSE)</f>
        <v>#N/A</v>
      </c>
      <c r="AW29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0" spans="1:49" ht="15.75" hidden="1" thickBot="1" x14ac:dyDescent="0.3">
      <c r="A300" t="s">
        <v>1526</v>
      </c>
      <c r="B300" t="e">
        <f>VLOOKUP(A300,Tabla46782[ID CAE],1,FALSE)</f>
        <v>#N/A</v>
      </c>
      <c r="C300" s="31" t="s">
        <v>1527</v>
      </c>
      <c r="D300" s="31"/>
      <c r="E300" s="31"/>
      <c r="F300" s="31"/>
      <c r="G300" s="31"/>
      <c r="H300" s="31"/>
      <c r="I300" s="31"/>
      <c r="J300" s="31"/>
      <c r="K300" s="31" t="s">
        <v>73</v>
      </c>
      <c r="L300" s="31" t="s">
        <v>200</v>
      </c>
      <c r="M300" s="31" t="s">
        <v>201</v>
      </c>
      <c r="N300" s="31" t="s">
        <v>76</v>
      </c>
      <c r="O300" s="31" t="e">
        <f>VLOOKUP(Tabla1[[#This Row],[Matricula]],BAJA2022202320242025!$B$3:$CR$245,93,FALSE)</f>
        <v>#N/A</v>
      </c>
      <c r="P300" s="32">
        <v>44711</v>
      </c>
      <c r="Q300" s="32" t="e">
        <f>Tabla1[[#This Row],[F.Vig.Final]]-Tabla1[[#This Row],[f Vig Inicio]]</f>
        <v>#N/A</v>
      </c>
      <c r="R300" s="32">
        <f>YEAR(Tabla1[[#This Row],[F.Vig.Final]])</f>
        <v>2022</v>
      </c>
      <c r="S300" s="31" t="s">
        <v>77</v>
      </c>
      <c r="T300" s="31" t="s">
        <v>78</v>
      </c>
      <c r="U300" s="31" t="s">
        <v>359</v>
      </c>
      <c r="V300" s="31" t="s">
        <v>593</v>
      </c>
      <c r="W300" s="31" t="s">
        <v>336</v>
      </c>
      <c r="X300" s="31" t="s">
        <v>337</v>
      </c>
      <c r="Y300" s="31" t="s">
        <v>1528</v>
      </c>
      <c r="Z300" s="16">
        <f>COUNTIF($X$3:X300, X300)</f>
        <v>29</v>
      </c>
      <c r="AA300" s="16" t="e">
        <v>#N/A</v>
      </c>
      <c r="AB300" s="16" t="e">
        <v>#N/A</v>
      </c>
      <c r="AC300" s="16" t="e">
        <v>#N/A</v>
      </c>
      <c r="AD300" s="16" t="e">
        <v>#N/A</v>
      </c>
      <c r="AE300" s="16" t="e">
        <v>#N/A</v>
      </c>
      <c r="AF300" s="17" t="e">
        <v>#N/A</v>
      </c>
      <c r="AG300" s="17" t="e">
        <v>#N/A</v>
      </c>
      <c r="AH300" s="17" t="e">
        <f>Tabla1[[#This Row],[Renov. Flota]]-Tabla1[[#This Row],[Año]]</f>
        <v>#N/A</v>
      </c>
      <c r="AI300" s="18" t="e">
        <v>#N/A</v>
      </c>
      <c r="AJ300" s="18" t="e">
        <f>VLOOKUP(Tabla1[[#This Row],[Matricula nueva]],'ALTA 20242025'!$B$2:$P$242,15,FALSE)</f>
        <v>#N/A</v>
      </c>
      <c r="AK300" s="19" t="e">
        <v>#N/A</v>
      </c>
      <c r="AN300" s="1"/>
      <c r="AO300" s="1" t="e">
        <f>VLOOKUP(Tabla1[[#This Row],[Matricula nueva]],Hoja2!$A$1:$B$224,2,FALSE)</f>
        <v>#N/A</v>
      </c>
      <c r="AP300" s="1" t="str">
        <f>IF(Tabla1[[#This Row],[Columna2]]="M1",5.1,"")</f>
        <v/>
      </c>
      <c r="AQ300" s="1"/>
      <c r="AR300" s="1"/>
      <c r="AS300" s="47">
        <f>IF(Tabla1[[#This Row],[Columna2]]="M1",13073,IF(Tabla1[[#This Row],[Columna2]]="N1",15815,IF(Tabla1[[#This Row],[Columna2]]="L3e",2831,53508)))</f>
        <v>53508</v>
      </c>
      <c r="AT300" s="47" t="e">
        <f>(Tabla1[[#This Row],[CVA]]*Tabla1[[#This Row],[F]]-Tabla1[[#This Row],[CVN]])/100*Tabla1[[#This Row],[L]]</f>
        <v>#VALUE!</v>
      </c>
      <c r="AU300" s="1"/>
      <c r="AV300" s="1" t="e">
        <f>VLOOKUP(B300,Tabla467824[[ID CAE2]:[AE '[kWh']]],6,FALSE)</f>
        <v>#N/A</v>
      </c>
      <c r="AW30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1" spans="1:49" ht="15.75" hidden="1" thickBot="1" x14ac:dyDescent="0.3">
      <c r="A301" t="s">
        <v>1529</v>
      </c>
      <c r="B301" t="e">
        <f>VLOOKUP(A301,Tabla46782[ID CAE],1,FALSE)</f>
        <v>#N/A</v>
      </c>
      <c r="C301" s="31" t="s">
        <v>1530</v>
      </c>
      <c r="D301" s="31"/>
      <c r="E301" s="31"/>
      <c r="F301" s="31"/>
      <c r="G301" s="31"/>
      <c r="H301" s="31"/>
      <c r="I301" s="31"/>
      <c r="J301" s="31"/>
      <c r="K301" s="31" t="s">
        <v>73</v>
      </c>
      <c r="L301" s="31" t="s">
        <v>200</v>
      </c>
      <c r="M301" s="31" t="s">
        <v>201</v>
      </c>
      <c r="N301" s="31" t="s">
        <v>76</v>
      </c>
      <c r="O301" s="31" t="e">
        <f>VLOOKUP(Tabla1[[#This Row],[Matricula]],BAJA2022202320242025!$B$3:$CR$245,93,FALSE)</f>
        <v>#N/A</v>
      </c>
      <c r="P301" s="32">
        <v>44843</v>
      </c>
      <c r="Q301" s="32" t="e">
        <f>Tabla1[[#This Row],[F.Vig.Final]]-Tabla1[[#This Row],[f Vig Inicio]]</f>
        <v>#N/A</v>
      </c>
      <c r="R301" s="32">
        <f>YEAR(Tabla1[[#This Row],[F.Vig.Final]])</f>
        <v>2022</v>
      </c>
      <c r="S301" s="31" t="s">
        <v>77</v>
      </c>
      <c r="T301" s="31" t="s">
        <v>78</v>
      </c>
      <c r="U301" s="31" t="s">
        <v>359</v>
      </c>
      <c r="V301" s="31" t="s">
        <v>604</v>
      </c>
      <c r="W301" s="31" t="s">
        <v>1531</v>
      </c>
      <c r="X301" s="31" t="s">
        <v>1532</v>
      </c>
      <c r="Y301" s="31" t="s">
        <v>1533</v>
      </c>
      <c r="Z301" s="16">
        <f>COUNTIF($X$3:X301, X301)</f>
        <v>1</v>
      </c>
      <c r="AA301" s="16" t="e">
        <v>#N/A</v>
      </c>
      <c r="AB301" s="16" t="e">
        <v>#N/A</v>
      </c>
      <c r="AC301" s="16" t="e">
        <v>#N/A</v>
      </c>
      <c r="AD301" s="16" t="e">
        <v>#N/A</v>
      </c>
      <c r="AE301" s="16" t="e">
        <v>#N/A</v>
      </c>
      <c r="AF301" s="17" t="e">
        <v>#N/A</v>
      </c>
      <c r="AG301" s="17" t="e">
        <v>#N/A</v>
      </c>
      <c r="AH301" s="17" t="e">
        <f>Tabla1[[#This Row],[Renov. Flota]]-Tabla1[[#This Row],[Año]]</f>
        <v>#N/A</v>
      </c>
      <c r="AI301" s="18" t="e">
        <v>#N/A</v>
      </c>
      <c r="AJ301" s="18" t="e">
        <f>VLOOKUP(Tabla1[[#This Row],[Matricula nueva]],'ALTA 20242025'!$B$2:$P$242,15,FALSE)</f>
        <v>#N/A</v>
      </c>
      <c r="AK301" s="19" t="e">
        <v>#N/A</v>
      </c>
      <c r="AN301" s="1"/>
      <c r="AO301" s="1" t="e">
        <f>VLOOKUP(Tabla1[[#This Row],[Matricula nueva]],Hoja2!$A$1:$B$224,2,FALSE)</f>
        <v>#N/A</v>
      </c>
      <c r="AP301" s="1" t="str">
        <f>IF(Tabla1[[#This Row],[Columna2]]="M1",5.1,"")</f>
        <v/>
      </c>
      <c r="AQ301" s="1"/>
      <c r="AR301" s="1"/>
      <c r="AS301" s="47">
        <f>IF(Tabla1[[#This Row],[Columna2]]="M1",13073,IF(Tabla1[[#This Row],[Columna2]]="N1",15815,IF(Tabla1[[#This Row],[Columna2]]="L3e",2831,53508)))</f>
        <v>53508</v>
      </c>
      <c r="AT301" s="47" t="e">
        <f>(Tabla1[[#This Row],[CVA]]*Tabla1[[#This Row],[F]]-Tabla1[[#This Row],[CVN]])/100*Tabla1[[#This Row],[L]]</f>
        <v>#VALUE!</v>
      </c>
      <c r="AU301" s="1"/>
      <c r="AV301" s="1" t="e">
        <f>VLOOKUP(B301,Tabla467824[[ID CAE2]:[AE '[kWh']]],6,FALSE)</f>
        <v>#N/A</v>
      </c>
      <c r="AW30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2" spans="1:49" ht="15.75" hidden="1" thickBot="1" x14ac:dyDescent="0.3">
      <c r="A302" t="s">
        <v>1534</v>
      </c>
      <c r="B302" t="e">
        <f>VLOOKUP(A302,Tabla46782[ID CAE],1,FALSE)</f>
        <v>#N/A</v>
      </c>
      <c r="C302" s="33" t="s">
        <v>1535</v>
      </c>
      <c r="D302" s="33"/>
      <c r="E302" s="33"/>
      <c r="F302" s="33"/>
      <c r="G302" s="33"/>
      <c r="H302" s="33"/>
      <c r="I302" s="33"/>
      <c r="J302" s="33"/>
      <c r="K302" s="33" t="s">
        <v>73</v>
      </c>
      <c r="L302" s="33" t="s">
        <v>200</v>
      </c>
      <c r="M302" s="33" t="s">
        <v>201</v>
      </c>
      <c r="N302" s="33" t="s">
        <v>160</v>
      </c>
      <c r="O302" s="1">
        <f>VLOOKUP(Tabla1[[#This Row],[Matricula]],BAJA2022202320242025!$B$3:$CR$245,93,FALSE)</f>
        <v>44358</v>
      </c>
      <c r="P302" s="34">
        <v>45819</v>
      </c>
      <c r="Q302" s="34">
        <f>Tabla1[[#This Row],[F.Vig.Final]]-Tabla1[[#This Row],[f Vig Inicio]]</f>
        <v>1461</v>
      </c>
      <c r="R302" s="34">
        <f>YEAR(Tabla1[[#This Row],[F.Vig.Final]])</f>
        <v>2025</v>
      </c>
      <c r="S302" s="33" t="s">
        <v>161</v>
      </c>
      <c r="T302" s="33" t="s">
        <v>78</v>
      </c>
      <c r="U302" s="33" t="s">
        <v>213</v>
      </c>
      <c r="V302" s="33" t="s">
        <v>237</v>
      </c>
      <c r="W302" s="33" t="s">
        <v>102</v>
      </c>
      <c r="X302" s="33" t="s">
        <v>103</v>
      </c>
      <c r="Y302" s="33" t="s">
        <v>1536</v>
      </c>
      <c r="Z302" s="16">
        <f>COUNTIF($X$3:X302, X302)</f>
        <v>56</v>
      </c>
      <c r="AA302" s="16" t="e">
        <v>#N/A</v>
      </c>
      <c r="AB302" s="16" t="e">
        <v>#N/A</v>
      </c>
      <c r="AC302" s="16" t="e">
        <v>#N/A</v>
      </c>
      <c r="AD302" s="16" t="e">
        <v>#N/A</v>
      </c>
      <c r="AE302" s="16" t="e">
        <v>#N/A</v>
      </c>
      <c r="AF302" s="17" t="e">
        <v>#N/A</v>
      </c>
      <c r="AG302" s="17" t="e">
        <v>#N/A</v>
      </c>
      <c r="AH302" s="17" t="e">
        <f>Tabla1[[#This Row],[Renov. Flota]]-Tabla1[[#This Row],[Año]]</f>
        <v>#N/A</v>
      </c>
      <c r="AI302" s="18" t="e">
        <v>#N/A</v>
      </c>
      <c r="AJ302" s="18" t="e">
        <f>VLOOKUP(Tabla1[[#This Row],[Matricula nueva]],'ALTA 20242025'!$B$2:$P$242,15,FALSE)</f>
        <v>#N/A</v>
      </c>
      <c r="AK302" s="19" t="e">
        <v>#N/A</v>
      </c>
      <c r="AN302" s="1"/>
      <c r="AO302" s="1" t="e">
        <f>VLOOKUP(Tabla1[[#This Row],[Matricula nueva]],Hoja2!$A$1:$B$224,2,FALSE)</f>
        <v>#N/A</v>
      </c>
      <c r="AP302" s="1" t="str">
        <f>IF(Tabla1[[#This Row],[Columna2]]="M1",5.1,"")</f>
        <v/>
      </c>
      <c r="AQ302" s="1"/>
      <c r="AR302" s="1"/>
      <c r="AS302" s="47">
        <f>IF(Tabla1[[#This Row],[Columna2]]="M1",13073,IF(Tabla1[[#This Row],[Columna2]]="N1",15815,IF(Tabla1[[#This Row],[Columna2]]="L3e",2831,53508)))</f>
        <v>53508</v>
      </c>
      <c r="AT302" s="47" t="e">
        <f>(Tabla1[[#This Row],[CVA]]*Tabla1[[#This Row],[F]]-Tabla1[[#This Row],[CVN]])/100*Tabla1[[#This Row],[L]]</f>
        <v>#VALUE!</v>
      </c>
      <c r="AU302" s="1"/>
      <c r="AV302" s="1" t="e">
        <f>VLOOKUP(B302,Tabla467824[[ID CAE2]:[AE '[kWh']]],6,FALSE)</f>
        <v>#N/A</v>
      </c>
      <c r="AW30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3" spans="1:49" ht="15.75" hidden="1" thickBot="1" x14ac:dyDescent="0.3">
      <c r="A303" t="s">
        <v>1537</v>
      </c>
      <c r="B303" t="e">
        <f>VLOOKUP(A303,Tabla46782[ID CAE],1,FALSE)</f>
        <v>#N/A</v>
      </c>
      <c r="C303" s="31" t="s">
        <v>1538</v>
      </c>
      <c r="D303" s="31"/>
      <c r="E303" s="31"/>
      <c r="F303" s="31"/>
      <c r="G303" s="31"/>
      <c r="H303" s="31"/>
      <c r="I303" s="31"/>
      <c r="J303" s="31"/>
      <c r="K303" s="31" t="s">
        <v>885</v>
      </c>
      <c r="L303" s="31" t="s">
        <v>161</v>
      </c>
      <c r="M303" s="31" t="s">
        <v>886</v>
      </c>
      <c r="N303" s="31" t="s">
        <v>76</v>
      </c>
      <c r="O303" s="31" t="e">
        <f>VLOOKUP(Tabla1[[#This Row],[Matricula]],BAJA2022202320242025!$B$3:$CR$245,93,FALSE)</f>
        <v>#N/A</v>
      </c>
      <c r="P303" s="32">
        <v>44865</v>
      </c>
      <c r="Q303" s="32" t="e">
        <f>Tabla1[[#This Row],[F.Vig.Final]]-Tabla1[[#This Row],[f Vig Inicio]]</f>
        <v>#N/A</v>
      </c>
      <c r="R303" s="32">
        <f>YEAR(Tabla1[[#This Row],[F.Vig.Final]])</f>
        <v>2022</v>
      </c>
      <c r="S303" s="31" t="s">
        <v>77</v>
      </c>
      <c r="T303" s="31" t="s">
        <v>78</v>
      </c>
      <c r="U303" s="31" t="s">
        <v>213</v>
      </c>
      <c r="V303" s="31" t="s">
        <v>1539</v>
      </c>
      <c r="W303" s="31" t="s">
        <v>336</v>
      </c>
      <c r="X303" s="31" t="s">
        <v>337</v>
      </c>
      <c r="Y303" s="31" t="s">
        <v>1430</v>
      </c>
      <c r="Z303" s="16">
        <f>COUNTIF($X$3:X303, X303)</f>
        <v>30</v>
      </c>
      <c r="AA303" s="16" t="e">
        <v>#N/A</v>
      </c>
      <c r="AB303" s="16" t="e">
        <v>#N/A</v>
      </c>
      <c r="AC303" s="16" t="e">
        <v>#N/A</v>
      </c>
      <c r="AD303" s="16" t="e">
        <v>#N/A</v>
      </c>
      <c r="AE303" s="16" t="e">
        <v>#N/A</v>
      </c>
      <c r="AF303" s="17" t="e">
        <v>#N/A</v>
      </c>
      <c r="AG303" s="17" t="e">
        <v>#N/A</v>
      </c>
      <c r="AH303" s="17" t="e">
        <f>Tabla1[[#This Row],[Renov. Flota]]-Tabla1[[#This Row],[Año]]</f>
        <v>#N/A</v>
      </c>
      <c r="AI303" s="18" t="e">
        <v>#N/A</v>
      </c>
      <c r="AJ303" s="18" t="e">
        <f>VLOOKUP(Tabla1[[#This Row],[Matricula nueva]],'ALTA 20242025'!$B$2:$P$242,15,FALSE)</f>
        <v>#N/A</v>
      </c>
      <c r="AK303" s="19" t="e">
        <v>#N/A</v>
      </c>
      <c r="AN303" s="1"/>
      <c r="AO303" s="1" t="e">
        <f>VLOOKUP(Tabla1[[#This Row],[Matricula nueva]],Hoja2!$A$1:$B$224,2,FALSE)</f>
        <v>#N/A</v>
      </c>
      <c r="AP303" s="1" t="str">
        <f>IF(Tabla1[[#This Row],[Columna2]]="M1",5.1,"")</f>
        <v/>
      </c>
      <c r="AQ303" s="1"/>
      <c r="AR303" s="1"/>
      <c r="AS303" s="47">
        <f>IF(Tabla1[[#This Row],[Columna2]]="M1",13073,IF(Tabla1[[#This Row],[Columna2]]="N1",15815,IF(Tabla1[[#This Row],[Columna2]]="L3e",2831,53508)))</f>
        <v>53508</v>
      </c>
      <c r="AT303" s="47" t="e">
        <f>(Tabla1[[#This Row],[CVA]]*Tabla1[[#This Row],[F]]-Tabla1[[#This Row],[CVN]])/100*Tabla1[[#This Row],[L]]</f>
        <v>#VALUE!</v>
      </c>
      <c r="AU303" s="1"/>
      <c r="AV303" s="1" t="e">
        <f>VLOOKUP(B303,Tabla467824[[ID CAE2]:[AE '[kWh']]],6,FALSE)</f>
        <v>#N/A</v>
      </c>
      <c r="AW30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4" spans="1:49" ht="15.75" hidden="1" thickBot="1" x14ac:dyDescent="0.3">
      <c r="A304" t="s">
        <v>1540</v>
      </c>
      <c r="B304" t="e">
        <f>VLOOKUP(A304,Tabla46782[ID CAE],1,FALSE)</f>
        <v>#N/A</v>
      </c>
      <c r="C304" s="31" t="s">
        <v>1541</v>
      </c>
      <c r="D304" s="31"/>
      <c r="E304" s="31"/>
      <c r="F304" s="31"/>
      <c r="G304" s="31"/>
      <c r="H304" s="31"/>
      <c r="I304" s="31"/>
      <c r="J304" s="31"/>
      <c r="K304" s="31" t="s">
        <v>73</v>
      </c>
      <c r="L304" s="31" t="s">
        <v>200</v>
      </c>
      <c r="M304" s="31" t="s">
        <v>201</v>
      </c>
      <c r="N304" s="31" t="s">
        <v>76</v>
      </c>
      <c r="O304" s="31" t="e">
        <f>VLOOKUP(Tabla1[[#This Row],[Matricula]],BAJA2022202320242025!$B$3:$CR$245,93,FALSE)</f>
        <v>#N/A</v>
      </c>
      <c r="P304" s="32">
        <v>44697</v>
      </c>
      <c r="Q304" s="32" t="e">
        <f>Tabla1[[#This Row],[F.Vig.Final]]-Tabla1[[#This Row],[f Vig Inicio]]</f>
        <v>#N/A</v>
      </c>
      <c r="R304" s="32">
        <f>YEAR(Tabla1[[#This Row],[F.Vig.Final]])</f>
        <v>2022</v>
      </c>
      <c r="S304" s="31" t="s">
        <v>77</v>
      </c>
      <c r="T304" s="31" t="s">
        <v>78</v>
      </c>
      <c r="U304" s="31" t="s">
        <v>359</v>
      </c>
      <c r="V304" s="31" t="s">
        <v>1542</v>
      </c>
      <c r="W304" s="31" t="s">
        <v>102</v>
      </c>
      <c r="X304" s="31" t="s">
        <v>103</v>
      </c>
      <c r="Y304" s="31" t="s">
        <v>115</v>
      </c>
      <c r="Z304" s="48">
        <f>COUNTIF($X$3:X304, X304)</f>
        <v>57</v>
      </c>
      <c r="AA304" s="48" t="e">
        <v>#N/A</v>
      </c>
      <c r="AB304" s="48" t="e">
        <v>#N/A</v>
      </c>
      <c r="AC304" s="48" t="e">
        <v>#N/A</v>
      </c>
      <c r="AD304" s="48" t="e">
        <v>#N/A</v>
      </c>
      <c r="AE304" s="16" t="e">
        <v>#N/A</v>
      </c>
      <c r="AF304" s="22" t="e">
        <v>#N/A</v>
      </c>
      <c r="AG304" s="22" t="e">
        <v>#N/A</v>
      </c>
      <c r="AH304" s="22" t="e">
        <f>Tabla1[[#This Row],[Renov. Flota]]-Tabla1[[#This Row],[Año]]</f>
        <v>#N/A</v>
      </c>
      <c r="AI304" s="49" t="e">
        <v>#N/A</v>
      </c>
      <c r="AJ304" s="49" t="e">
        <f>VLOOKUP(Tabla1[[#This Row],[Matricula nueva]],'ALTA 20242025'!$B$2:$P$242,15,FALSE)</f>
        <v>#N/A</v>
      </c>
      <c r="AK304" s="50" t="e">
        <v>#N/A</v>
      </c>
      <c r="AN304" s="1"/>
      <c r="AO304" s="1" t="e">
        <f>VLOOKUP(Tabla1[[#This Row],[Matricula nueva]],Hoja2!$A$1:$B$224,2,FALSE)</f>
        <v>#N/A</v>
      </c>
      <c r="AP304" s="1" t="str">
        <f>IF(Tabla1[[#This Row],[Columna2]]="M1",5.1,"")</f>
        <v/>
      </c>
      <c r="AQ304" s="1"/>
      <c r="AR304" s="1"/>
      <c r="AS304" s="47">
        <f>IF(Tabla1[[#This Row],[Columna2]]="M1",13073,IF(Tabla1[[#This Row],[Columna2]]="N1",15815,IF(Tabla1[[#This Row],[Columna2]]="L3e",2831,53508)))</f>
        <v>53508</v>
      </c>
      <c r="AT304" s="47" t="e">
        <f>(Tabla1[[#This Row],[CVA]]*Tabla1[[#This Row],[F]]-Tabla1[[#This Row],[CVN]])/100*Tabla1[[#This Row],[L]]</f>
        <v>#VALUE!</v>
      </c>
      <c r="AU304" s="1"/>
      <c r="AV304" s="1" t="e">
        <f>VLOOKUP(B304,Tabla467824[[ID CAE2]:[AE '[kWh']]],6,FALSE)</f>
        <v>#N/A</v>
      </c>
      <c r="AW30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5" spans="1:49" ht="15.75" thickBot="1" x14ac:dyDescent="0.3">
      <c r="A305" s="114" t="s">
        <v>1105</v>
      </c>
      <c r="B305" t="str">
        <f>VLOOKUP(A305,Tabla46782[ID CAE],1,FALSE)</f>
        <v>CAE500253</v>
      </c>
      <c r="C305" s="113" t="s">
        <v>1106</v>
      </c>
      <c r="D305" s="104" t="s">
        <v>72</v>
      </c>
      <c r="E305" s="104" t="s">
        <v>72</v>
      </c>
      <c r="F305" s="104" t="s">
        <v>72</v>
      </c>
      <c r="G305" s="104"/>
      <c r="H305" s="104" t="s">
        <v>249</v>
      </c>
      <c r="I305" s="104" t="s">
        <v>249</v>
      </c>
      <c r="J305" s="104"/>
      <c r="K305" s="96" t="s">
        <v>1034</v>
      </c>
      <c r="L305" s="96" t="s">
        <v>200</v>
      </c>
      <c r="M305" s="96" t="s">
        <v>201</v>
      </c>
      <c r="N305" s="96" t="s">
        <v>76</v>
      </c>
      <c r="O305" s="101">
        <f>VLOOKUP(Tabla1[[#This Row],[Matricula]],BAJA2022202320242025!$B$3:$CR$245,93,FALSE)</f>
        <v>44148</v>
      </c>
      <c r="P305" s="97">
        <v>45609</v>
      </c>
      <c r="Q305" s="162">
        <f>Tabla1[[#This Row],[F.Vig.Final]]-Tabla1[[#This Row],[f Vig Inicio]]</f>
        <v>1461</v>
      </c>
      <c r="R305" s="141">
        <f>YEAR(Tabla1[[#This Row],[F.Vig.Final]])</f>
        <v>2024</v>
      </c>
      <c r="S305" s="96" t="s">
        <v>77</v>
      </c>
      <c r="T305" s="96" t="s">
        <v>202</v>
      </c>
      <c r="U305" s="96" t="s">
        <v>524</v>
      </c>
      <c r="V305" s="96" t="s">
        <v>1107</v>
      </c>
      <c r="W305" s="96" t="s">
        <v>119</v>
      </c>
      <c r="X305" s="96" t="s">
        <v>120</v>
      </c>
      <c r="Y305" s="96" t="s">
        <v>1108</v>
      </c>
      <c r="Z305" s="98">
        <f>COUNTIF($X$3:X305, X305)</f>
        <v>38</v>
      </c>
      <c r="AA305" s="98" t="s">
        <v>1109</v>
      </c>
      <c r="AB305" s="98" t="s">
        <v>140</v>
      </c>
      <c r="AC305" s="98" t="s">
        <v>151</v>
      </c>
      <c r="AD305" s="98" t="s">
        <v>87</v>
      </c>
      <c r="AE305" s="151" t="s">
        <v>501</v>
      </c>
      <c r="AF305" s="89" t="s">
        <v>89</v>
      </c>
      <c r="AG305" s="99">
        <v>45625</v>
      </c>
      <c r="AH305" s="98">
        <f>Tabla1[[#This Row],[Renov. Flota]]-Tabla1[[#This Row],[Año]]</f>
        <v>0</v>
      </c>
      <c r="AI305" s="100" t="s">
        <v>119</v>
      </c>
      <c r="AJ305" s="100" t="str">
        <f>VLOOKUP(Tabla1[[#This Row],[Matricula nueva]],'ALTA 20242025'!$B$2:$P$242,15,FALSE)</f>
        <v>4500424797</v>
      </c>
      <c r="AK305" s="101" t="s">
        <v>120</v>
      </c>
      <c r="AM305" s="1" t="s">
        <v>72</v>
      </c>
      <c r="AN305" s="1" t="s">
        <v>91</v>
      </c>
      <c r="AO305" s="1" t="str">
        <f>VLOOKUP(Tabla1[[#This Row],[Matricula nueva]],Hoja2!$A$1:$B$224,2,FALSE)</f>
        <v>VR7CBZYA4RT152185</v>
      </c>
      <c r="AP305" s="92">
        <f>IF(Tabla1[[#This Row],[Columna2]]="M1",5.1,"")</f>
        <v>5.0999999999999996</v>
      </c>
      <c r="AQ305" s="81">
        <f>IF(T305="DIESEL",10,IF(T305="GLP",7.16,9.19))</f>
        <v>9.19</v>
      </c>
      <c r="AR305" s="82">
        <v>16.399999999999999</v>
      </c>
      <c r="AS305" s="83">
        <f>IF(Tabla1[[#This Row],[Columna2]]="M1",13073,IF(Tabla1[[#This Row],[Columna2]]="N1",15815,IF(Tabla1[[#This Row],[Columna2]]="L3e",2831,53508)))</f>
        <v>13073</v>
      </c>
      <c r="AT305" s="83">
        <f>(Tabla1[[#This Row],[CVA]]*Tabla1[[#This Row],[F]]-Tabla1[[#This Row],[CVN]])/100*Tabla1[[#This Row],[L]]</f>
        <v>3983.2123699999993</v>
      </c>
      <c r="AU305" s="84" t="s">
        <v>70</v>
      </c>
      <c r="AV305" s="294">
        <f>VLOOKUP(B305,Tabla467824[[ID CAE2]:[AE '[kWh']]],6,FALSE)</f>
        <v>7136.4330429999991</v>
      </c>
      <c r="AW30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CORRECTO ALQUILER</v>
      </c>
    </row>
    <row r="306" spans="1:49" ht="15" hidden="1" x14ac:dyDescent="0.25">
      <c r="A306" t="s">
        <v>1543</v>
      </c>
      <c r="B306"/>
      <c r="C306" s="31" t="s">
        <v>1544</v>
      </c>
      <c r="D306" s="31"/>
      <c r="E306" s="31"/>
      <c r="F306" s="31"/>
      <c r="G306" s="31"/>
      <c r="H306" s="31"/>
      <c r="I306" s="31"/>
      <c r="J306" s="31"/>
      <c r="K306" s="31" t="s">
        <v>73</v>
      </c>
      <c r="L306" s="31" t="s">
        <v>200</v>
      </c>
      <c r="M306" s="31" t="s">
        <v>201</v>
      </c>
      <c r="N306" s="31" t="s">
        <v>76</v>
      </c>
      <c r="O306" s="31" t="e">
        <f>VLOOKUP(Tabla1[[#This Row],[Matricula]],BAJA2022202320242025!$B$3:$CR$245,93,FALSE)</f>
        <v>#N/A</v>
      </c>
      <c r="P306" s="32">
        <v>44636</v>
      </c>
      <c r="Q306" s="32" t="e">
        <f>Tabla1[[#This Row],[F.Vig.Final]]-Tabla1[[#This Row],[f Vig Inicio]]</f>
        <v>#N/A</v>
      </c>
      <c r="R306" s="32">
        <f>YEAR(Tabla1[[#This Row],[F.Vig.Final]])</f>
        <v>2022</v>
      </c>
      <c r="S306" s="31" t="s">
        <v>77</v>
      </c>
      <c r="T306" s="31" t="s">
        <v>78</v>
      </c>
      <c r="U306" s="31" t="s">
        <v>359</v>
      </c>
      <c r="V306" s="31" t="s">
        <v>593</v>
      </c>
      <c r="W306" s="31" t="s">
        <v>102</v>
      </c>
      <c r="X306" s="31" t="s">
        <v>103</v>
      </c>
      <c r="Y306" s="31" t="s">
        <v>457</v>
      </c>
      <c r="Z306" s="93">
        <f>COUNTIF($X$3:X306, X306)</f>
        <v>58</v>
      </c>
      <c r="AA306" s="93" t="e">
        <v>#N/A</v>
      </c>
      <c r="AB306" s="93" t="e">
        <v>#N/A</v>
      </c>
      <c r="AC306" s="93" t="e">
        <v>#N/A</v>
      </c>
      <c r="AD306" s="93" t="e">
        <v>#N/A</v>
      </c>
      <c r="AE306" s="16" t="e">
        <v>#N/A</v>
      </c>
      <c r="AF306" s="21" t="e">
        <v>#N/A</v>
      </c>
      <c r="AG306" s="21" t="e">
        <v>#N/A</v>
      </c>
      <c r="AH306" s="21" t="e">
        <f>Tabla1[[#This Row],[Renov. Flota]]-Tabla1[[#This Row],[Año]]</f>
        <v>#N/A</v>
      </c>
      <c r="AI306" s="94" t="e">
        <v>#N/A</v>
      </c>
      <c r="AJ306" s="94" t="e">
        <f>VLOOKUP(Tabla1[[#This Row],[Matricula nueva]],'ALTA 20242025'!$B$2:$P$242,15,FALSE)</f>
        <v>#N/A</v>
      </c>
      <c r="AK306" s="95" t="e">
        <v>#N/A</v>
      </c>
      <c r="AN306" s="1"/>
      <c r="AO306" s="1" t="e">
        <f>VLOOKUP(Tabla1[[#This Row],[Matricula nueva]],Hoja2!$A$1:$B$224,2,FALSE)</f>
        <v>#N/A</v>
      </c>
      <c r="AP306" s="1" t="str">
        <f>IF(Tabla1[[#This Row],[Columna2]]="M1",5.1,"")</f>
        <v/>
      </c>
      <c r="AQ306" s="1"/>
      <c r="AR306" s="1"/>
      <c r="AS306" s="47">
        <f>IF(Tabla1[[#This Row],[Columna2]]="M1",13073,IF(Tabla1[[#This Row],[Columna2]]="N1",15815,IF(Tabla1[[#This Row],[Columna2]]="L3e",2831,53508)))</f>
        <v>53508</v>
      </c>
      <c r="AT306" s="47" t="e">
        <f>(Tabla1[[#This Row],[CVA]]*Tabla1[[#This Row],[F]]-Tabla1[[#This Row],[CVN]])/100*Tabla1[[#This Row],[L]]</f>
        <v>#VALUE!</v>
      </c>
      <c r="AU306" s="1"/>
      <c r="AV306" s="1" t="e">
        <f>VLOOKUP(B306,Tabla467824[[ID CAE2]:[AE '[kWh']]],6,FALSE)</f>
        <v>#N/A</v>
      </c>
      <c r="AW30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7" spans="1:49" ht="15" hidden="1" x14ac:dyDescent="0.25">
      <c r="A307" t="s">
        <v>1545</v>
      </c>
      <c r="B307"/>
      <c r="C307" s="31" t="s">
        <v>1546</v>
      </c>
      <c r="D307" s="31"/>
      <c r="E307" s="31"/>
      <c r="F307" s="31"/>
      <c r="G307" s="31"/>
      <c r="H307" s="31"/>
      <c r="I307" s="31"/>
      <c r="J307" s="31"/>
      <c r="K307" s="31" t="s">
        <v>1034</v>
      </c>
      <c r="L307" s="31" t="s">
        <v>200</v>
      </c>
      <c r="M307" s="31" t="s">
        <v>201</v>
      </c>
      <c r="N307" s="31" t="s">
        <v>76</v>
      </c>
      <c r="O307" s="31" t="e">
        <f>VLOOKUP(Tabla1[[#This Row],[Matricula]],BAJA2022202320242025!$B$3:$CR$245,93,FALSE)</f>
        <v>#N/A</v>
      </c>
      <c r="P307" s="32">
        <v>44886</v>
      </c>
      <c r="Q307" s="32" t="e">
        <f>Tabla1[[#This Row],[F.Vig.Final]]-Tabla1[[#This Row],[f Vig Inicio]]</f>
        <v>#N/A</v>
      </c>
      <c r="R307" s="32">
        <f>YEAR(Tabla1[[#This Row],[F.Vig.Final]])</f>
        <v>2022</v>
      </c>
      <c r="S307" s="31" t="s">
        <v>77</v>
      </c>
      <c r="T307" s="31" t="s">
        <v>78</v>
      </c>
      <c r="U307" s="31" t="s">
        <v>524</v>
      </c>
      <c r="V307" s="31" t="s">
        <v>1547</v>
      </c>
      <c r="W307" s="31" t="s">
        <v>119</v>
      </c>
      <c r="X307" s="31" t="s">
        <v>120</v>
      </c>
      <c r="Y307" s="31" t="s">
        <v>776</v>
      </c>
      <c r="Z307" s="16">
        <f>COUNTIF($X$3:X307, X307)</f>
        <v>39</v>
      </c>
      <c r="AA307" s="16" t="e">
        <v>#N/A</v>
      </c>
      <c r="AB307" s="16" t="e">
        <v>#N/A</v>
      </c>
      <c r="AC307" s="16" t="e">
        <v>#N/A</v>
      </c>
      <c r="AD307" s="16" t="e">
        <v>#N/A</v>
      </c>
      <c r="AE307" s="16" t="e">
        <v>#N/A</v>
      </c>
      <c r="AF307" s="17" t="e">
        <v>#N/A</v>
      </c>
      <c r="AG307" s="17" t="e">
        <v>#N/A</v>
      </c>
      <c r="AH307" s="17" t="e">
        <f>Tabla1[[#This Row],[Renov. Flota]]-Tabla1[[#This Row],[Año]]</f>
        <v>#N/A</v>
      </c>
      <c r="AI307" s="18" t="e">
        <v>#N/A</v>
      </c>
      <c r="AJ307" s="18" t="e">
        <f>VLOOKUP(Tabla1[[#This Row],[Matricula nueva]],'ALTA 20242025'!$B$2:$P$242,15,FALSE)</f>
        <v>#N/A</v>
      </c>
      <c r="AK307" s="19" t="e">
        <v>#N/A</v>
      </c>
      <c r="AN307" s="1"/>
      <c r="AO307" s="1" t="e">
        <f>VLOOKUP(Tabla1[[#This Row],[Matricula nueva]],Hoja2!$A$1:$B$224,2,FALSE)</f>
        <v>#N/A</v>
      </c>
      <c r="AP307" s="1" t="str">
        <f>IF(Tabla1[[#This Row],[Columna2]]="M1",5.1,"")</f>
        <v/>
      </c>
      <c r="AQ307" s="1"/>
      <c r="AR307" s="1"/>
      <c r="AS307" s="47">
        <f>IF(Tabla1[[#This Row],[Columna2]]="M1",13073,IF(Tabla1[[#This Row],[Columna2]]="N1",15815,IF(Tabla1[[#This Row],[Columna2]]="L3e",2831,53508)))</f>
        <v>53508</v>
      </c>
      <c r="AT307" s="47" t="e">
        <f>(Tabla1[[#This Row],[CVA]]*Tabla1[[#This Row],[F]]-Tabla1[[#This Row],[CVN]])/100*Tabla1[[#This Row],[L]]</f>
        <v>#VALUE!</v>
      </c>
      <c r="AU307" s="1"/>
      <c r="AV307" s="1" t="e">
        <f>VLOOKUP(B307,Tabla467824[[ID CAE2]:[AE '[kWh']]],6,FALSE)</f>
        <v>#N/A</v>
      </c>
      <c r="AW30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8" spans="1:49" ht="15" hidden="1" x14ac:dyDescent="0.25">
      <c r="A308" t="s">
        <v>1548</v>
      </c>
      <c r="B308"/>
      <c r="C308" s="31" t="s">
        <v>1549</v>
      </c>
      <c r="D308" s="31"/>
      <c r="E308" s="31"/>
      <c r="F308" s="31"/>
      <c r="G308" s="31"/>
      <c r="H308" s="31"/>
      <c r="I308" s="31"/>
      <c r="J308" s="31"/>
      <c r="K308" s="31" t="s">
        <v>73</v>
      </c>
      <c r="L308" s="31" t="s">
        <v>200</v>
      </c>
      <c r="M308" s="31" t="s">
        <v>201</v>
      </c>
      <c r="N308" s="31" t="s">
        <v>76</v>
      </c>
      <c r="O308" s="31" t="e">
        <f>VLOOKUP(Tabla1[[#This Row],[Matricula]],BAJA2022202320242025!$B$3:$CR$245,93,FALSE)</f>
        <v>#N/A</v>
      </c>
      <c r="P308" s="32">
        <v>44648</v>
      </c>
      <c r="Q308" s="32" t="e">
        <f>Tabla1[[#This Row],[F.Vig.Final]]-Tabla1[[#This Row],[f Vig Inicio]]</f>
        <v>#N/A</v>
      </c>
      <c r="R308" s="32">
        <f>YEAR(Tabla1[[#This Row],[F.Vig.Final]])</f>
        <v>2022</v>
      </c>
      <c r="S308" s="31" t="s">
        <v>77</v>
      </c>
      <c r="T308" s="31" t="s">
        <v>78</v>
      </c>
      <c r="U308" s="31" t="s">
        <v>359</v>
      </c>
      <c r="V308" s="31" t="s">
        <v>593</v>
      </c>
      <c r="W308" s="31" t="s">
        <v>102</v>
      </c>
      <c r="X308" s="31" t="s">
        <v>103</v>
      </c>
      <c r="Y308" s="31" t="s">
        <v>835</v>
      </c>
      <c r="Z308" s="16">
        <f>COUNTIF($X$3:X308, X308)</f>
        <v>59</v>
      </c>
      <c r="AA308" s="16" t="e">
        <v>#N/A</v>
      </c>
      <c r="AB308" s="16" t="e">
        <v>#N/A</v>
      </c>
      <c r="AC308" s="16" t="e">
        <v>#N/A</v>
      </c>
      <c r="AD308" s="16" t="e">
        <v>#N/A</v>
      </c>
      <c r="AE308" s="16" t="e">
        <v>#N/A</v>
      </c>
      <c r="AF308" s="17" t="e">
        <v>#N/A</v>
      </c>
      <c r="AG308" s="17" t="e">
        <v>#N/A</v>
      </c>
      <c r="AH308" s="17" t="e">
        <f>Tabla1[[#This Row],[Renov. Flota]]-Tabla1[[#This Row],[Año]]</f>
        <v>#N/A</v>
      </c>
      <c r="AI308" s="18" t="e">
        <v>#N/A</v>
      </c>
      <c r="AJ308" s="18" t="e">
        <f>VLOOKUP(Tabla1[[#This Row],[Matricula nueva]],'ALTA 20242025'!$B$2:$P$242,15,FALSE)</f>
        <v>#N/A</v>
      </c>
      <c r="AK308" s="19" t="e">
        <v>#N/A</v>
      </c>
      <c r="AN308" s="1"/>
      <c r="AO308" s="1" t="e">
        <f>VLOOKUP(Tabla1[[#This Row],[Matricula nueva]],Hoja2!$A$1:$B$224,2,FALSE)</f>
        <v>#N/A</v>
      </c>
      <c r="AP308" s="1" t="str">
        <f>IF(Tabla1[[#This Row],[Columna2]]="M1",5.1,"")</f>
        <v/>
      </c>
      <c r="AQ308" s="1"/>
      <c r="AR308" s="1"/>
      <c r="AS308" s="47">
        <f>IF(Tabla1[[#This Row],[Columna2]]="M1",13073,IF(Tabla1[[#This Row],[Columna2]]="N1",15815,IF(Tabla1[[#This Row],[Columna2]]="L3e",2831,53508)))</f>
        <v>53508</v>
      </c>
      <c r="AT308" s="47" t="e">
        <f>(Tabla1[[#This Row],[CVA]]*Tabla1[[#This Row],[F]]-Tabla1[[#This Row],[CVN]])/100*Tabla1[[#This Row],[L]]</f>
        <v>#VALUE!</v>
      </c>
      <c r="AU308" s="1"/>
      <c r="AV308" s="1" t="e">
        <f>VLOOKUP(B308,Tabla467824[[ID CAE2]:[AE '[kWh']]],6,FALSE)</f>
        <v>#N/A</v>
      </c>
      <c r="AW30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09" spans="1:49" ht="15" hidden="1" x14ac:dyDescent="0.25">
      <c r="A309" t="s">
        <v>1550</v>
      </c>
      <c r="B309"/>
      <c r="C309" s="31" t="s">
        <v>1551</v>
      </c>
      <c r="D309" s="31"/>
      <c r="E309" s="31"/>
      <c r="F309" s="31"/>
      <c r="G309" s="31"/>
      <c r="H309" s="31"/>
      <c r="I309" s="31"/>
      <c r="J309" s="31"/>
      <c r="K309" s="31" t="s">
        <v>73</v>
      </c>
      <c r="L309" s="31" t="s">
        <v>200</v>
      </c>
      <c r="M309" s="31" t="s">
        <v>201</v>
      </c>
      <c r="N309" s="31" t="s">
        <v>76</v>
      </c>
      <c r="O309" s="31" t="e">
        <f>VLOOKUP(Tabla1[[#This Row],[Matricula]],BAJA2022202320242025!$B$3:$CR$245,93,FALSE)</f>
        <v>#N/A</v>
      </c>
      <c r="P309" s="32">
        <v>44648</v>
      </c>
      <c r="Q309" s="32" t="e">
        <f>Tabla1[[#This Row],[F.Vig.Final]]-Tabla1[[#This Row],[f Vig Inicio]]</f>
        <v>#N/A</v>
      </c>
      <c r="R309" s="32">
        <f>YEAR(Tabla1[[#This Row],[F.Vig.Final]])</f>
        <v>2022</v>
      </c>
      <c r="S309" s="31" t="s">
        <v>77</v>
      </c>
      <c r="T309" s="31" t="s">
        <v>78</v>
      </c>
      <c r="U309" s="31" t="s">
        <v>359</v>
      </c>
      <c r="V309" s="31" t="s">
        <v>593</v>
      </c>
      <c r="W309" s="31" t="s">
        <v>102</v>
      </c>
      <c r="X309" s="31" t="s">
        <v>103</v>
      </c>
      <c r="Y309" s="31" t="s">
        <v>457</v>
      </c>
      <c r="Z309" s="16">
        <f>COUNTIF($X$3:X309, X309)</f>
        <v>60</v>
      </c>
      <c r="AA309" s="16" t="e">
        <v>#N/A</v>
      </c>
      <c r="AB309" s="16" t="e">
        <v>#N/A</v>
      </c>
      <c r="AC309" s="16" t="e">
        <v>#N/A</v>
      </c>
      <c r="AD309" s="16" t="e">
        <v>#N/A</v>
      </c>
      <c r="AE309" s="16" t="e">
        <v>#N/A</v>
      </c>
      <c r="AF309" s="17" t="e">
        <v>#N/A</v>
      </c>
      <c r="AG309" s="17" t="e">
        <v>#N/A</v>
      </c>
      <c r="AH309" s="17" t="e">
        <f>Tabla1[[#This Row],[Renov. Flota]]-Tabla1[[#This Row],[Año]]</f>
        <v>#N/A</v>
      </c>
      <c r="AI309" s="18" t="e">
        <v>#N/A</v>
      </c>
      <c r="AJ309" s="18" t="e">
        <f>VLOOKUP(Tabla1[[#This Row],[Matricula nueva]],'ALTA 20242025'!$B$2:$P$242,15,FALSE)</f>
        <v>#N/A</v>
      </c>
      <c r="AK309" s="19" t="e">
        <v>#N/A</v>
      </c>
      <c r="AN309" s="1"/>
      <c r="AO309" s="1" t="e">
        <f>VLOOKUP(Tabla1[[#This Row],[Matricula nueva]],Hoja2!$A$1:$B$224,2,FALSE)</f>
        <v>#N/A</v>
      </c>
      <c r="AP309" s="1" t="str">
        <f>IF(Tabla1[[#This Row],[Columna2]]="M1",5.1,"")</f>
        <v/>
      </c>
      <c r="AQ309" s="1"/>
      <c r="AR309" s="1"/>
      <c r="AS309" s="47">
        <f>IF(Tabla1[[#This Row],[Columna2]]="M1",13073,IF(Tabla1[[#This Row],[Columna2]]="N1",15815,IF(Tabla1[[#This Row],[Columna2]]="L3e",2831,53508)))</f>
        <v>53508</v>
      </c>
      <c r="AT309" s="47" t="e">
        <f>(Tabla1[[#This Row],[CVA]]*Tabla1[[#This Row],[F]]-Tabla1[[#This Row],[CVN]])/100*Tabla1[[#This Row],[L]]</f>
        <v>#VALUE!</v>
      </c>
      <c r="AU309" s="1"/>
      <c r="AV309" s="1" t="e">
        <f>VLOOKUP(B309,Tabla467824[[ID CAE2]:[AE '[kWh']]],6,FALSE)</f>
        <v>#N/A</v>
      </c>
      <c r="AW30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0" spans="1:49" ht="15" hidden="1" x14ac:dyDescent="0.25">
      <c r="A310" t="s">
        <v>1552</v>
      </c>
      <c r="B310"/>
      <c r="C310" s="33" t="s">
        <v>1553</v>
      </c>
      <c r="D310" s="33"/>
      <c r="E310" s="33"/>
      <c r="F310" s="33"/>
      <c r="G310" s="33"/>
      <c r="H310" s="33"/>
      <c r="I310" s="33"/>
      <c r="J310" s="33"/>
      <c r="K310" s="33" t="s">
        <v>73</v>
      </c>
      <c r="L310" s="33" t="s">
        <v>200</v>
      </c>
      <c r="M310" s="33" t="s">
        <v>201</v>
      </c>
      <c r="N310" s="33" t="s">
        <v>76</v>
      </c>
      <c r="O310" s="1">
        <f>VLOOKUP(Tabla1[[#This Row],[Matricula]],BAJA2022202320242025!$B$3:$CR$245,93,FALSE)</f>
        <v>44166</v>
      </c>
      <c r="P310" s="34">
        <v>45992</v>
      </c>
      <c r="Q310" s="34">
        <f>Tabla1[[#This Row],[F.Vig.Final]]-Tabla1[[#This Row],[f Vig Inicio]]</f>
        <v>1826</v>
      </c>
      <c r="R310" s="34">
        <f>YEAR(Tabla1[[#This Row],[F.Vig.Final]])</f>
        <v>2025</v>
      </c>
      <c r="S310" s="33" t="s">
        <v>77</v>
      </c>
      <c r="T310" s="33" t="s">
        <v>78</v>
      </c>
      <c r="U310" s="33" t="s">
        <v>85</v>
      </c>
      <c r="V310" s="33" t="s">
        <v>1354</v>
      </c>
      <c r="W310" s="33" t="s">
        <v>102</v>
      </c>
      <c r="X310" s="33" t="s">
        <v>103</v>
      </c>
      <c r="Y310" s="33" t="s">
        <v>782</v>
      </c>
      <c r="Z310" s="16">
        <f>COUNTIF($X$3:X310, X310)</f>
        <v>61</v>
      </c>
      <c r="AA310" s="16" t="e">
        <v>#N/A</v>
      </c>
      <c r="AB310" s="16" t="e">
        <v>#N/A</v>
      </c>
      <c r="AC310" s="16" t="e">
        <v>#N/A</v>
      </c>
      <c r="AD310" s="16" t="e">
        <v>#N/A</v>
      </c>
      <c r="AE310" s="16" t="e">
        <v>#N/A</v>
      </c>
      <c r="AF310" s="17" t="e">
        <v>#N/A</v>
      </c>
      <c r="AG310" s="17" t="e">
        <v>#N/A</v>
      </c>
      <c r="AH310" s="17" t="e">
        <f>Tabla1[[#This Row],[Renov. Flota]]-Tabla1[[#This Row],[Año]]</f>
        <v>#N/A</v>
      </c>
      <c r="AI310" s="18" t="e">
        <v>#N/A</v>
      </c>
      <c r="AJ310" s="18" t="e">
        <f>VLOOKUP(Tabla1[[#This Row],[Matricula nueva]],'ALTA 20242025'!$B$2:$P$242,15,FALSE)</f>
        <v>#N/A</v>
      </c>
      <c r="AK310" s="19" t="e">
        <v>#N/A</v>
      </c>
      <c r="AN310" s="1"/>
      <c r="AO310" s="1" t="e">
        <f>VLOOKUP(Tabla1[[#This Row],[Matricula nueva]],Hoja2!$A$1:$B$224,2,FALSE)</f>
        <v>#N/A</v>
      </c>
      <c r="AP310" s="1" t="str">
        <f>IF(Tabla1[[#This Row],[Columna2]]="M1",5.1,"")</f>
        <v/>
      </c>
      <c r="AQ310" s="1"/>
      <c r="AR310" s="1"/>
      <c r="AS310" s="47">
        <f>IF(Tabla1[[#This Row],[Columna2]]="M1",13073,IF(Tabla1[[#This Row],[Columna2]]="N1",15815,IF(Tabla1[[#This Row],[Columna2]]="L3e",2831,53508)))</f>
        <v>53508</v>
      </c>
      <c r="AT310" s="47" t="e">
        <f>(Tabla1[[#This Row],[CVA]]*Tabla1[[#This Row],[F]]-Tabla1[[#This Row],[CVN]])/100*Tabla1[[#This Row],[L]]</f>
        <v>#VALUE!</v>
      </c>
      <c r="AU310" s="1"/>
      <c r="AV310" s="1" t="e">
        <f>VLOOKUP(B310,Tabla467824[[ID CAE2]:[AE '[kWh']]],6,FALSE)</f>
        <v>#N/A</v>
      </c>
      <c r="AW31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1" spans="1:49" ht="15" hidden="1" x14ac:dyDescent="0.25">
      <c r="A311" t="s">
        <v>1554</v>
      </c>
      <c r="B311"/>
      <c r="C311" s="31" t="s">
        <v>1555</v>
      </c>
      <c r="D311" s="31"/>
      <c r="E311" s="31"/>
      <c r="F311" s="31"/>
      <c r="G311" s="31"/>
      <c r="H311" s="31"/>
      <c r="I311" s="31"/>
      <c r="J311" s="31"/>
      <c r="K311" s="31" t="s">
        <v>73</v>
      </c>
      <c r="L311" s="31" t="s">
        <v>172</v>
      </c>
      <c r="M311" s="31" t="s">
        <v>1127</v>
      </c>
      <c r="N311" s="31" t="s">
        <v>76</v>
      </c>
      <c r="O311" s="31" t="e">
        <f>VLOOKUP(Tabla1[[#This Row],[Matricula]],BAJA2022202320242025!$B$3:$CR$245,93,FALSE)</f>
        <v>#N/A</v>
      </c>
      <c r="P311" s="32">
        <v>44685</v>
      </c>
      <c r="Q311" s="32" t="e">
        <f>Tabla1[[#This Row],[F.Vig.Final]]-Tabla1[[#This Row],[f Vig Inicio]]</f>
        <v>#N/A</v>
      </c>
      <c r="R311" s="32">
        <f>YEAR(Tabla1[[#This Row],[F.Vig.Final]])</f>
        <v>2022</v>
      </c>
      <c r="S311" s="31" t="s">
        <v>77</v>
      </c>
      <c r="T311" s="31" t="s">
        <v>78</v>
      </c>
      <c r="U311" s="31" t="s">
        <v>85</v>
      </c>
      <c r="V311" s="31" t="s">
        <v>732</v>
      </c>
      <c r="W311" s="31" t="s">
        <v>584</v>
      </c>
      <c r="X311" s="31" t="s">
        <v>585</v>
      </c>
      <c r="Y311" s="31" t="s">
        <v>1556</v>
      </c>
      <c r="Z311" s="16">
        <f>COUNTIF($X$3:X311, X311)</f>
        <v>22</v>
      </c>
      <c r="AA311" s="16" t="e">
        <v>#N/A</v>
      </c>
      <c r="AB311" s="16" t="e">
        <v>#N/A</v>
      </c>
      <c r="AC311" s="16" t="e">
        <v>#N/A</v>
      </c>
      <c r="AD311" s="16" t="e">
        <v>#N/A</v>
      </c>
      <c r="AE311" s="16" t="e">
        <v>#N/A</v>
      </c>
      <c r="AF311" s="17" t="e">
        <v>#N/A</v>
      </c>
      <c r="AG311" s="17" t="e">
        <v>#N/A</v>
      </c>
      <c r="AH311" s="17" t="e">
        <f>Tabla1[[#This Row],[Renov. Flota]]-Tabla1[[#This Row],[Año]]</f>
        <v>#N/A</v>
      </c>
      <c r="AI311" s="18" t="e">
        <v>#N/A</v>
      </c>
      <c r="AJ311" s="18" t="e">
        <f>VLOOKUP(Tabla1[[#This Row],[Matricula nueva]],'ALTA 20242025'!$B$2:$P$242,15,FALSE)</f>
        <v>#N/A</v>
      </c>
      <c r="AK311" s="19" t="e">
        <v>#N/A</v>
      </c>
      <c r="AN311" s="1"/>
      <c r="AO311" s="1" t="e">
        <f>VLOOKUP(Tabla1[[#This Row],[Matricula nueva]],Hoja2!$A$1:$B$224,2,FALSE)</f>
        <v>#N/A</v>
      </c>
      <c r="AP311" s="1" t="str">
        <f>IF(Tabla1[[#This Row],[Columna2]]="M1",5.1,"")</f>
        <v/>
      </c>
      <c r="AQ311" s="1"/>
      <c r="AR311" s="1"/>
      <c r="AS311" s="47">
        <f>IF(Tabla1[[#This Row],[Columna2]]="M1",13073,IF(Tabla1[[#This Row],[Columna2]]="N1",15815,IF(Tabla1[[#This Row],[Columna2]]="L3e",2831,53508)))</f>
        <v>53508</v>
      </c>
      <c r="AT311" s="47" t="e">
        <f>(Tabla1[[#This Row],[CVA]]*Tabla1[[#This Row],[F]]-Tabla1[[#This Row],[CVN]])/100*Tabla1[[#This Row],[L]]</f>
        <v>#VALUE!</v>
      </c>
      <c r="AU311" s="1"/>
      <c r="AV311" s="1" t="e">
        <f>VLOOKUP(B311,Tabla467824[[ID CAE2]:[AE '[kWh']]],6,FALSE)</f>
        <v>#N/A</v>
      </c>
      <c r="AW31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2" spans="1:49" ht="15" hidden="1" x14ac:dyDescent="0.25">
      <c r="A312" t="s">
        <v>1557</v>
      </c>
      <c r="B312"/>
      <c r="C312" s="31" t="s">
        <v>1558</v>
      </c>
      <c r="D312" s="31"/>
      <c r="E312" s="31"/>
      <c r="F312" s="31"/>
      <c r="G312" s="31"/>
      <c r="H312" s="31"/>
      <c r="I312" s="31"/>
      <c r="J312" s="31"/>
      <c r="K312" s="31" t="s">
        <v>73</v>
      </c>
      <c r="L312" s="31" t="s">
        <v>200</v>
      </c>
      <c r="M312" s="31" t="s">
        <v>201</v>
      </c>
      <c r="N312" s="31" t="s">
        <v>76</v>
      </c>
      <c r="O312" s="31" t="e">
        <f>VLOOKUP(Tabla1[[#This Row],[Matricula]],BAJA2022202320242025!$B$3:$CR$245,93,FALSE)</f>
        <v>#N/A</v>
      </c>
      <c r="P312" s="32">
        <v>44648</v>
      </c>
      <c r="Q312" s="32" t="e">
        <f>Tabla1[[#This Row],[F.Vig.Final]]-Tabla1[[#This Row],[f Vig Inicio]]</f>
        <v>#N/A</v>
      </c>
      <c r="R312" s="32">
        <f>YEAR(Tabla1[[#This Row],[F.Vig.Final]])</f>
        <v>2022</v>
      </c>
      <c r="S312" s="31" t="s">
        <v>77</v>
      </c>
      <c r="T312" s="31" t="s">
        <v>78</v>
      </c>
      <c r="U312" s="31" t="s">
        <v>359</v>
      </c>
      <c r="V312" s="31" t="s">
        <v>1559</v>
      </c>
      <c r="W312" s="31" t="s">
        <v>131</v>
      </c>
      <c r="X312" s="31" t="s">
        <v>132</v>
      </c>
      <c r="Y312" s="31" t="s">
        <v>135</v>
      </c>
      <c r="Z312" s="16">
        <f>COUNTIF($X$3:X312, X312)</f>
        <v>40</v>
      </c>
      <c r="AA312" s="16" t="e">
        <v>#N/A</v>
      </c>
      <c r="AB312" s="16" t="e">
        <v>#N/A</v>
      </c>
      <c r="AC312" s="16" t="e">
        <v>#N/A</v>
      </c>
      <c r="AD312" s="16" t="e">
        <v>#N/A</v>
      </c>
      <c r="AE312" s="16" t="e">
        <v>#N/A</v>
      </c>
      <c r="AF312" s="17" t="e">
        <v>#N/A</v>
      </c>
      <c r="AG312" s="17" t="e">
        <v>#N/A</v>
      </c>
      <c r="AH312" s="17" t="e">
        <f>Tabla1[[#This Row],[Renov. Flota]]-Tabla1[[#This Row],[Año]]</f>
        <v>#N/A</v>
      </c>
      <c r="AI312" s="18" t="e">
        <v>#N/A</v>
      </c>
      <c r="AJ312" s="18" t="e">
        <f>VLOOKUP(Tabla1[[#This Row],[Matricula nueva]],'ALTA 20242025'!$B$2:$P$242,15,FALSE)</f>
        <v>#N/A</v>
      </c>
      <c r="AK312" s="19" t="e">
        <v>#N/A</v>
      </c>
      <c r="AN312" s="1"/>
      <c r="AO312" s="1" t="e">
        <f>VLOOKUP(Tabla1[[#This Row],[Matricula nueva]],Hoja2!$A$1:$B$224,2,FALSE)</f>
        <v>#N/A</v>
      </c>
      <c r="AP312" s="1" t="str">
        <f>IF(Tabla1[[#This Row],[Columna2]]="M1",5.1,"")</f>
        <v/>
      </c>
      <c r="AQ312" s="1"/>
      <c r="AR312" s="1"/>
      <c r="AS312" s="47">
        <f>IF(Tabla1[[#This Row],[Columna2]]="M1",13073,IF(Tabla1[[#This Row],[Columna2]]="N1",15815,IF(Tabla1[[#This Row],[Columna2]]="L3e",2831,53508)))</f>
        <v>53508</v>
      </c>
      <c r="AT312" s="47" t="e">
        <f>(Tabla1[[#This Row],[CVA]]*Tabla1[[#This Row],[F]]-Tabla1[[#This Row],[CVN]])/100*Tabla1[[#This Row],[L]]</f>
        <v>#VALUE!</v>
      </c>
      <c r="AU312" s="1"/>
      <c r="AV312" s="1" t="e">
        <f>VLOOKUP(B312,Tabla467824[[ID CAE2]:[AE '[kWh']]],6,FALSE)</f>
        <v>#N/A</v>
      </c>
      <c r="AW31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3" spans="1:49" ht="15" hidden="1" x14ac:dyDescent="0.25">
      <c r="A313" t="s">
        <v>1560</v>
      </c>
      <c r="B313"/>
      <c r="C313" s="31" t="s">
        <v>1561</v>
      </c>
      <c r="D313" s="31"/>
      <c r="E313" s="31"/>
      <c r="F313" s="31"/>
      <c r="G313" s="31"/>
      <c r="H313" s="31"/>
      <c r="I313" s="31"/>
      <c r="J313" s="31"/>
      <c r="K313" s="31" t="s">
        <v>73</v>
      </c>
      <c r="L313" s="31" t="s">
        <v>200</v>
      </c>
      <c r="M313" s="31" t="s">
        <v>201</v>
      </c>
      <c r="N313" s="31" t="s">
        <v>76</v>
      </c>
      <c r="O313" s="31" t="e">
        <f>VLOOKUP(Tabla1[[#This Row],[Matricula]],BAJA2022202320242025!$B$3:$CR$245,93,FALSE)</f>
        <v>#N/A</v>
      </c>
      <c r="P313" s="32">
        <v>44657</v>
      </c>
      <c r="Q313" s="32" t="e">
        <f>Tabla1[[#This Row],[F.Vig.Final]]-Tabla1[[#This Row],[f Vig Inicio]]</f>
        <v>#N/A</v>
      </c>
      <c r="R313" s="32">
        <f>YEAR(Tabla1[[#This Row],[F.Vig.Final]])</f>
        <v>2022</v>
      </c>
      <c r="S313" s="31" t="s">
        <v>77</v>
      </c>
      <c r="T313" s="31" t="s">
        <v>78</v>
      </c>
      <c r="U313" s="31" t="s">
        <v>359</v>
      </c>
      <c r="V313" s="31" t="s">
        <v>1559</v>
      </c>
      <c r="W313" s="31" t="s">
        <v>131</v>
      </c>
      <c r="X313" s="31" t="s">
        <v>132</v>
      </c>
      <c r="Y313" s="31" t="s">
        <v>1390</v>
      </c>
      <c r="Z313" s="16">
        <f>COUNTIF($X$3:X313, X313)</f>
        <v>41</v>
      </c>
      <c r="AA313" s="16" t="e">
        <v>#N/A</v>
      </c>
      <c r="AB313" s="16" t="e">
        <v>#N/A</v>
      </c>
      <c r="AC313" s="16" t="e">
        <v>#N/A</v>
      </c>
      <c r="AD313" s="16" t="e">
        <v>#N/A</v>
      </c>
      <c r="AE313" s="16" t="e">
        <v>#N/A</v>
      </c>
      <c r="AF313" s="17" t="e">
        <v>#N/A</v>
      </c>
      <c r="AG313" s="17" t="e">
        <v>#N/A</v>
      </c>
      <c r="AH313" s="17" t="e">
        <f>Tabla1[[#This Row],[Renov. Flota]]-Tabla1[[#This Row],[Año]]</f>
        <v>#N/A</v>
      </c>
      <c r="AI313" s="18" t="e">
        <v>#N/A</v>
      </c>
      <c r="AJ313" s="18" t="e">
        <f>VLOOKUP(Tabla1[[#This Row],[Matricula nueva]],'ALTA 20242025'!$B$2:$P$242,15,FALSE)</f>
        <v>#N/A</v>
      </c>
      <c r="AK313" s="19" t="e">
        <v>#N/A</v>
      </c>
      <c r="AN313" s="1"/>
      <c r="AO313" s="1" t="e">
        <f>VLOOKUP(Tabla1[[#This Row],[Matricula nueva]],Hoja2!$A$1:$B$224,2,FALSE)</f>
        <v>#N/A</v>
      </c>
      <c r="AP313" s="1" t="str">
        <f>IF(Tabla1[[#This Row],[Columna2]]="M1",5.1,"")</f>
        <v/>
      </c>
      <c r="AQ313" s="1"/>
      <c r="AR313" s="1"/>
      <c r="AS313" s="47">
        <f>IF(Tabla1[[#This Row],[Columna2]]="M1",13073,IF(Tabla1[[#This Row],[Columna2]]="N1",15815,IF(Tabla1[[#This Row],[Columna2]]="L3e",2831,53508)))</f>
        <v>53508</v>
      </c>
      <c r="AT313" s="47" t="e">
        <f>(Tabla1[[#This Row],[CVA]]*Tabla1[[#This Row],[F]]-Tabla1[[#This Row],[CVN]])/100*Tabla1[[#This Row],[L]]</f>
        <v>#VALUE!</v>
      </c>
      <c r="AU313" s="1"/>
      <c r="AV313" s="1" t="e">
        <f>VLOOKUP(B313,Tabla467824[[ID CAE2]:[AE '[kWh']]],6,FALSE)</f>
        <v>#N/A</v>
      </c>
      <c r="AW31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4" spans="1:49" ht="15" hidden="1" x14ac:dyDescent="0.25">
      <c r="A314" t="s">
        <v>1562</v>
      </c>
      <c r="B314"/>
      <c r="C314" s="31" t="s">
        <v>1563</v>
      </c>
      <c r="D314" s="31"/>
      <c r="E314" s="31"/>
      <c r="F314" s="31"/>
      <c r="G314" s="31"/>
      <c r="H314" s="31"/>
      <c r="I314" s="31"/>
      <c r="J314" s="31"/>
      <c r="K314" s="31" t="s">
        <v>73</v>
      </c>
      <c r="L314" s="31" t="s">
        <v>200</v>
      </c>
      <c r="M314" s="31" t="s">
        <v>201</v>
      </c>
      <c r="N314" s="31" t="s">
        <v>76</v>
      </c>
      <c r="O314" s="31" t="e">
        <f>VLOOKUP(Tabla1[[#This Row],[Matricula]],BAJA2022202320242025!$B$3:$CR$245,93,FALSE)</f>
        <v>#N/A</v>
      </c>
      <c r="P314" s="32">
        <v>44654</v>
      </c>
      <c r="Q314" s="32" t="e">
        <f>Tabla1[[#This Row],[F.Vig.Final]]-Tabla1[[#This Row],[f Vig Inicio]]</f>
        <v>#N/A</v>
      </c>
      <c r="R314" s="32">
        <f>YEAR(Tabla1[[#This Row],[F.Vig.Final]])</f>
        <v>2022</v>
      </c>
      <c r="S314" s="31" t="s">
        <v>77</v>
      </c>
      <c r="T314" s="31" t="s">
        <v>78</v>
      </c>
      <c r="U314" s="31" t="s">
        <v>359</v>
      </c>
      <c r="V314" s="31" t="s">
        <v>1559</v>
      </c>
      <c r="W314" s="31" t="s">
        <v>131</v>
      </c>
      <c r="X314" s="31" t="s">
        <v>132</v>
      </c>
      <c r="Y314" s="31" t="s">
        <v>135</v>
      </c>
      <c r="Z314" s="16">
        <f>COUNTIF($X$3:X314, X314)</f>
        <v>42</v>
      </c>
      <c r="AA314" s="16" t="e">
        <v>#N/A</v>
      </c>
      <c r="AB314" s="16" t="e">
        <v>#N/A</v>
      </c>
      <c r="AC314" s="16" t="e">
        <v>#N/A</v>
      </c>
      <c r="AD314" s="16" t="e">
        <v>#N/A</v>
      </c>
      <c r="AE314" s="16" t="e">
        <v>#N/A</v>
      </c>
      <c r="AF314" s="17" t="e">
        <v>#N/A</v>
      </c>
      <c r="AG314" s="17" t="e">
        <v>#N/A</v>
      </c>
      <c r="AH314" s="17" t="e">
        <f>Tabla1[[#This Row],[Renov. Flota]]-Tabla1[[#This Row],[Año]]</f>
        <v>#N/A</v>
      </c>
      <c r="AI314" s="18" t="e">
        <v>#N/A</v>
      </c>
      <c r="AJ314" s="18" t="e">
        <f>VLOOKUP(Tabla1[[#This Row],[Matricula nueva]],'ALTA 20242025'!$B$2:$P$242,15,FALSE)</f>
        <v>#N/A</v>
      </c>
      <c r="AK314" s="19" t="e">
        <v>#N/A</v>
      </c>
      <c r="AN314" s="1"/>
      <c r="AO314" s="1" t="e">
        <f>VLOOKUP(Tabla1[[#This Row],[Matricula nueva]],Hoja2!$A$1:$B$224,2,FALSE)</f>
        <v>#N/A</v>
      </c>
      <c r="AP314" s="1" t="str">
        <f>IF(Tabla1[[#This Row],[Columna2]]="M1",5.1,"")</f>
        <v/>
      </c>
      <c r="AQ314" s="1"/>
      <c r="AR314" s="1"/>
      <c r="AS314" s="47">
        <f>IF(Tabla1[[#This Row],[Columna2]]="M1",13073,IF(Tabla1[[#This Row],[Columna2]]="N1",15815,IF(Tabla1[[#This Row],[Columna2]]="L3e",2831,53508)))</f>
        <v>53508</v>
      </c>
      <c r="AT314" s="47" t="e">
        <f>(Tabla1[[#This Row],[CVA]]*Tabla1[[#This Row],[F]]-Tabla1[[#This Row],[CVN]])/100*Tabla1[[#This Row],[L]]</f>
        <v>#VALUE!</v>
      </c>
      <c r="AU314" s="1"/>
      <c r="AV314" s="1" t="e">
        <f>VLOOKUP(B314,Tabla467824[[ID CAE2]:[AE '[kWh']]],6,FALSE)</f>
        <v>#N/A</v>
      </c>
      <c r="AW31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5" spans="1:49" ht="15" hidden="1" x14ac:dyDescent="0.25">
      <c r="A315" t="s">
        <v>1564</v>
      </c>
      <c r="B315"/>
      <c r="C315" s="31" t="s">
        <v>1565</v>
      </c>
      <c r="D315" s="31"/>
      <c r="E315" s="31"/>
      <c r="F315" s="31"/>
      <c r="G315" s="31"/>
      <c r="H315" s="31"/>
      <c r="I315" s="31"/>
      <c r="J315" s="31"/>
      <c r="K315" s="31" t="s">
        <v>129</v>
      </c>
      <c r="L315" s="31" t="s">
        <v>74</v>
      </c>
      <c r="M315" s="31" t="s">
        <v>75</v>
      </c>
      <c r="N315" s="31" t="s">
        <v>76</v>
      </c>
      <c r="O315" s="31" t="e">
        <f>VLOOKUP(Tabla1[[#This Row],[Matricula]],BAJA2022202320242025!$B$3:$CR$245,93,FALSE)</f>
        <v>#N/A</v>
      </c>
      <c r="P315" s="32">
        <v>44834</v>
      </c>
      <c r="Q315" s="32" t="e">
        <f>Tabla1[[#This Row],[F.Vig.Final]]-Tabla1[[#This Row],[f Vig Inicio]]</f>
        <v>#N/A</v>
      </c>
      <c r="R315" s="32">
        <f>YEAR(Tabla1[[#This Row],[F.Vig.Final]])</f>
        <v>2022</v>
      </c>
      <c r="S315" s="31" t="s">
        <v>77</v>
      </c>
      <c r="T315" s="31" t="s">
        <v>78</v>
      </c>
      <c r="U315" s="31" t="s">
        <v>79</v>
      </c>
      <c r="V315" s="31" t="s">
        <v>1566</v>
      </c>
      <c r="W315" s="31" t="s">
        <v>131</v>
      </c>
      <c r="X315" s="31" t="s">
        <v>132</v>
      </c>
      <c r="Y315" s="31" t="s">
        <v>133</v>
      </c>
      <c r="Z315" s="16">
        <f>COUNTIF($X$3:X315, X315)</f>
        <v>43</v>
      </c>
      <c r="AA315" s="16" t="e">
        <v>#N/A</v>
      </c>
      <c r="AB315" s="16" t="e">
        <v>#N/A</v>
      </c>
      <c r="AC315" s="16" t="e">
        <v>#N/A</v>
      </c>
      <c r="AD315" s="16" t="e">
        <v>#N/A</v>
      </c>
      <c r="AE315" s="16" t="e">
        <v>#N/A</v>
      </c>
      <c r="AF315" s="17" t="e">
        <v>#N/A</v>
      </c>
      <c r="AG315" s="17" t="e">
        <v>#N/A</v>
      </c>
      <c r="AH315" s="17" t="e">
        <f>Tabla1[[#This Row],[Renov. Flota]]-Tabla1[[#This Row],[Año]]</f>
        <v>#N/A</v>
      </c>
      <c r="AI315" s="18" t="e">
        <v>#N/A</v>
      </c>
      <c r="AJ315" s="18" t="e">
        <f>VLOOKUP(Tabla1[[#This Row],[Matricula nueva]],'ALTA 20242025'!$B$2:$P$242,15,FALSE)</f>
        <v>#N/A</v>
      </c>
      <c r="AK315" s="19" t="e">
        <v>#N/A</v>
      </c>
      <c r="AN315" s="1"/>
      <c r="AO315" s="1" t="e">
        <f>VLOOKUP(Tabla1[[#This Row],[Matricula nueva]],Hoja2!$A$1:$B$224,2,FALSE)</f>
        <v>#N/A</v>
      </c>
      <c r="AP315" s="1" t="str">
        <f>IF(Tabla1[[#This Row],[Columna2]]="M1",5.1,"")</f>
        <v/>
      </c>
      <c r="AQ315" s="1"/>
      <c r="AR315" s="1"/>
      <c r="AS315" s="47">
        <f>IF(Tabla1[[#This Row],[Columna2]]="M1",13073,IF(Tabla1[[#This Row],[Columna2]]="N1",15815,IF(Tabla1[[#This Row],[Columna2]]="L3e",2831,53508)))</f>
        <v>53508</v>
      </c>
      <c r="AT315" s="47" t="e">
        <f>(Tabla1[[#This Row],[CVA]]*Tabla1[[#This Row],[F]]-Tabla1[[#This Row],[CVN]])/100*Tabla1[[#This Row],[L]]</f>
        <v>#VALUE!</v>
      </c>
      <c r="AU315" s="1"/>
      <c r="AV315" s="1" t="e">
        <f>VLOOKUP(B315,Tabla467824[[ID CAE2]:[AE '[kWh']]],6,FALSE)</f>
        <v>#N/A</v>
      </c>
      <c r="AW31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6" spans="1:49" ht="15" hidden="1" x14ac:dyDescent="0.25">
      <c r="A316" t="s">
        <v>1567</v>
      </c>
      <c r="B316"/>
      <c r="C316" s="31" t="s">
        <v>1568</v>
      </c>
      <c r="D316" s="31"/>
      <c r="E316" s="31"/>
      <c r="F316" s="31"/>
      <c r="G316" s="31"/>
      <c r="H316" s="31"/>
      <c r="I316" s="31"/>
      <c r="J316" s="31"/>
      <c r="K316" s="31" t="s">
        <v>73</v>
      </c>
      <c r="L316" s="31" t="s">
        <v>200</v>
      </c>
      <c r="M316" s="31" t="s">
        <v>201</v>
      </c>
      <c r="N316" s="31" t="s">
        <v>76</v>
      </c>
      <c r="O316" s="31" t="e">
        <f>VLOOKUP(Tabla1[[#This Row],[Matricula]],BAJA2022202320242025!$B$3:$CR$245,93,FALSE)</f>
        <v>#N/A</v>
      </c>
      <c r="P316" s="32">
        <v>44818</v>
      </c>
      <c r="Q316" s="32" t="e">
        <f>Tabla1[[#This Row],[F.Vig.Final]]-Tabla1[[#This Row],[f Vig Inicio]]</f>
        <v>#N/A</v>
      </c>
      <c r="R316" s="32">
        <f>YEAR(Tabla1[[#This Row],[F.Vig.Final]])</f>
        <v>2022</v>
      </c>
      <c r="S316" s="31" t="s">
        <v>77</v>
      </c>
      <c r="T316" s="31" t="s">
        <v>78</v>
      </c>
      <c r="U316" s="31" t="s">
        <v>359</v>
      </c>
      <c r="V316" s="31" t="s">
        <v>1559</v>
      </c>
      <c r="W316" s="31" t="s">
        <v>102</v>
      </c>
      <c r="X316" s="31" t="s">
        <v>103</v>
      </c>
      <c r="Y316" s="31" t="s">
        <v>1569</v>
      </c>
      <c r="Z316" s="16">
        <f>COUNTIF($X$3:X316, X316)</f>
        <v>62</v>
      </c>
      <c r="AA316" s="16" t="e">
        <v>#N/A</v>
      </c>
      <c r="AB316" s="16" t="e">
        <v>#N/A</v>
      </c>
      <c r="AC316" s="16" t="e">
        <v>#N/A</v>
      </c>
      <c r="AD316" s="16" t="e">
        <v>#N/A</v>
      </c>
      <c r="AE316" s="16" t="e">
        <v>#N/A</v>
      </c>
      <c r="AF316" s="17" t="e">
        <v>#N/A</v>
      </c>
      <c r="AG316" s="17" t="e">
        <v>#N/A</v>
      </c>
      <c r="AH316" s="17" t="e">
        <f>Tabla1[[#This Row],[Renov. Flota]]-Tabla1[[#This Row],[Año]]</f>
        <v>#N/A</v>
      </c>
      <c r="AI316" s="18" t="e">
        <v>#N/A</v>
      </c>
      <c r="AJ316" s="18" t="e">
        <f>VLOOKUP(Tabla1[[#This Row],[Matricula nueva]],'ALTA 20242025'!$B$2:$P$242,15,FALSE)</f>
        <v>#N/A</v>
      </c>
      <c r="AK316" s="19" t="e">
        <v>#N/A</v>
      </c>
      <c r="AN316" s="1"/>
      <c r="AO316" s="1" t="e">
        <f>VLOOKUP(Tabla1[[#This Row],[Matricula nueva]],Hoja2!$A$1:$B$224,2,FALSE)</f>
        <v>#N/A</v>
      </c>
      <c r="AP316" s="1" t="str">
        <f>IF(Tabla1[[#This Row],[Columna2]]="M1",5.1,"")</f>
        <v/>
      </c>
      <c r="AQ316" s="1"/>
      <c r="AR316" s="1"/>
      <c r="AS316" s="47">
        <f>IF(Tabla1[[#This Row],[Columna2]]="M1",13073,IF(Tabla1[[#This Row],[Columna2]]="N1",15815,IF(Tabla1[[#This Row],[Columna2]]="L3e",2831,53508)))</f>
        <v>53508</v>
      </c>
      <c r="AT316" s="47" t="e">
        <f>(Tabla1[[#This Row],[CVA]]*Tabla1[[#This Row],[F]]-Tabla1[[#This Row],[CVN]])/100*Tabla1[[#This Row],[L]]</f>
        <v>#VALUE!</v>
      </c>
      <c r="AU316" s="1"/>
      <c r="AV316" s="1" t="e">
        <f>VLOOKUP(B316,Tabla467824[[ID CAE2]:[AE '[kWh']]],6,FALSE)</f>
        <v>#N/A</v>
      </c>
      <c r="AW31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7" spans="1:49" ht="15" hidden="1" x14ac:dyDescent="0.25">
      <c r="A317" t="s">
        <v>1570</v>
      </c>
      <c r="B317"/>
      <c r="C317" s="31" t="s">
        <v>1571</v>
      </c>
      <c r="D317" s="31"/>
      <c r="E317" s="31"/>
      <c r="F317" s="31"/>
      <c r="G317" s="31"/>
      <c r="H317" s="31"/>
      <c r="I317" s="31"/>
      <c r="J317" s="31"/>
      <c r="K317" s="31" t="s">
        <v>73</v>
      </c>
      <c r="L317" s="31" t="s">
        <v>200</v>
      </c>
      <c r="M317" s="31" t="s">
        <v>201</v>
      </c>
      <c r="N317" s="31" t="s">
        <v>76</v>
      </c>
      <c r="O317" s="31" t="e">
        <f>VLOOKUP(Tabla1[[#This Row],[Matricula]],BAJA2022202320242025!$B$3:$CR$245,93,FALSE)</f>
        <v>#N/A</v>
      </c>
      <c r="P317" s="32">
        <v>44824</v>
      </c>
      <c r="Q317" s="32" t="e">
        <f>Tabla1[[#This Row],[F.Vig.Final]]-Tabla1[[#This Row],[f Vig Inicio]]</f>
        <v>#N/A</v>
      </c>
      <c r="R317" s="32">
        <f>YEAR(Tabla1[[#This Row],[F.Vig.Final]])</f>
        <v>2022</v>
      </c>
      <c r="S317" s="31" t="s">
        <v>77</v>
      </c>
      <c r="T317" s="31" t="s">
        <v>78</v>
      </c>
      <c r="U317" s="31" t="s">
        <v>359</v>
      </c>
      <c r="V317" s="31" t="s">
        <v>604</v>
      </c>
      <c r="W317" s="31" t="s">
        <v>131</v>
      </c>
      <c r="X317" s="31" t="s">
        <v>132</v>
      </c>
      <c r="Y317" s="31" t="s">
        <v>622</v>
      </c>
      <c r="Z317" s="16">
        <f>COUNTIF($X$3:X317, X317)</f>
        <v>44</v>
      </c>
      <c r="AA317" s="16" t="e">
        <v>#N/A</v>
      </c>
      <c r="AB317" s="16" t="e">
        <v>#N/A</v>
      </c>
      <c r="AC317" s="16" t="e">
        <v>#N/A</v>
      </c>
      <c r="AD317" s="16" t="e">
        <v>#N/A</v>
      </c>
      <c r="AE317" s="16" t="e">
        <v>#N/A</v>
      </c>
      <c r="AF317" s="17" t="e">
        <v>#N/A</v>
      </c>
      <c r="AG317" s="17" t="e">
        <v>#N/A</v>
      </c>
      <c r="AH317" s="17" t="e">
        <f>Tabla1[[#This Row],[Renov. Flota]]-Tabla1[[#This Row],[Año]]</f>
        <v>#N/A</v>
      </c>
      <c r="AI317" s="18" t="e">
        <v>#N/A</v>
      </c>
      <c r="AJ317" s="18" t="e">
        <f>VLOOKUP(Tabla1[[#This Row],[Matricula nueva]],'ALTA 20242025'!$B$2:$P$242,15,FALSE)</f>
        <v>#N/A</v>
      </c>
      <c r="AK317" s="19" t="e">
        <v>#N/A</v>
      </c>
      <c r="AN317" s="1"/>
      <c r="AO317" s="1" t="e">
        <f>VLOOKUP(Tabla1[[#This Row],[Matricula nueva]],Hoja2!$A$1:$B$224,2,FALSE)</f>
        <v>#N/A</v>
      </c>
      <c r="AP317" s="1" t="str">
        <f>IF(Tabla1[[#This Row],[Columna2]]="M1",5.1,"")</f>
        <v/>
      </c>
      <c r="AQ317" s="1"/>
      <c r="AR317" s="1"/>
      <c r="AS317" s="47">
        <f>IF(Tabla1[[#This Row],[Columna2]]="M1",13073,IF(Tabla1[[#This Row],[Columna2]]="N1",15815,IF(Tabla1[[#This Row],[Columna2]]="L3e",2831,53508)))</f>
        <v>53508</v>
      </c>
      <c r="AT317" s="47" t="e">
        <f>(Tabla1[[#This Row],[CVA]]*Tabla1[[#This Row],[F]]-Tabla1[[#This Row],[CVN]])/100*Tabla1[[#This Row],[L]]</f>
        <v>#VALUE!</v>
      </c>
      <c r="AU317" s="1"/>
      <c r="AV317" s="1" t="e">
        <f>VLOOKUP(B317,Tabla467824[[ID CAE2]:[AE '[kWh']]],6,FALSE)</f>
        <v>#N/A</v>
      </c>
      <c r="AW31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8" spans="1:49" ht="15" hidden="1" x14ac:dyDescent="0.25">
      <c r="A318" t="s">
        <v>1572</v>
      </c>
      <c r="B318"/>
      <c r="C318" s="31" t="s">
        <v>1573</v>
      </c>
      <c r="D318" s="31"/>
      <c r="E318" s="31"/>
      <c r="F318" s="31"/>
      <c r="G318" s="31"/>
      <c r="H318" s="31"/>
      <c r="I318" s="31"/>
      <c r="J318" s="31"/>
      <c r="K318" s="31" t="s">
        <v>73</v>
      </c>
      <c r="L318" s="31" t="s">
        <v>200</v>
      </c>
      <c r="M318" s="31" t="s">
        <v>201</v>
      </c>
      <c r="N318" s="31" t="s">
        <v>160</v>
      </c>
      <c r="O318" s="31" t="e">
        <f>VLOOKUP(Tabla1[[#This Row],[Matricula]],BAJA2022202320242025!$B$3:$CR$245,93,FALSE)</f>
        <v>#N/A</v>
      </c>
      <c r="P318" s="32">
        <v>44824</v>
      </c>
      <c r="Q318" s="32" t="e">
        <f>Tabla1[[#This Row],[F.Vig.Final]]-Tabla1[[#This Row],[f Vig Inicio]]</f>
        <v>#N/A</v>
      </c>
      <c r="R318" s="32">
        <f>YEAR(Tabla1[[#This Row],[F.Vig.Final]])</f>
        <v>2022</v>
      </c>
      <c r="S318" s="31" t="s">
        <v>161</v>
      </c>
      <c r="T318" s="31" t="s">
        <v>78</v>
      </c>
      <c r="U318" s="31" t="s">
        <v>359</v>
      </c>
      <c r="V318" s="31" t="s">
        <v>604</v>
      </c>
      <c r="W318" s="31" t="s">
        <v>131</v>
      </c>
      <c r="X318" s="31" t="s">
        <v>132</v>
      </c>
      <c r="Y318" s="31" t="s">
        <v>829</v>
      </c>
      <c r="Z318" s="16">
        <f>COUNTIF($X$3:X318, X318)</f>
        <v>45</v>
      </c>
      <c r="AA318" s="16" t="e">
        <v>#N/A</v>
      </c>
      <c r="AB318" s="16" t="e">
        <v>#N/A</v>
      </c>
      <c r="AC318" s="16" t="e">
        <v>#N/A</v>
      </c>
      <c r="AD318" s="16" t="e">
        <v>#N/A</v>
      </c>
      <c r="AE318" s="16" t="e">
        <v>#N/A</v>
      </c>
      <c r="AF318" s="17" t="e">
        <v>#N/A</v>
      </c>
      <c r="AG318" s="17" t="e">
        <v>#N/A</v>
      </c>
      <c r="AH318" s="17" t="e">
        <f>Tabla1[[#This Row],[Renov. Flota]]-Tabla1[[#This Row],[Año]]</f>
        <v>#N/A</v>
      </c>
      <c r="AI318" s="18" t="e">
        <v>#N/A</v>
      </c>
      <c r="AJ318" s="18" t="e">
        <f>VLOOKUP(Tabla1[[#This Row],[Matricula nueva]],'ALTA 20242025'!$B$2:$P$242,15,FALSE)</f>
        <v>#N/A</v>
      </c>
      <c r="AK318" s="19" t="e">
        <v>#N/A</v>
      </c>
      <c r="AN318" s="1"/>
      <c r="AO318" s="1" t="e">
        <f>VLOOKUP(Tabla1[[#This Row],[Matricula nueva]],Hoja2!$A$1:$B$224,2,FALSE)</f>
        <v>#N/A</v>
      </c>
      <c r="AP318" s="1" t="str">
        <f>IF(Tabla1[[#This Row],[Columna2]]="M1",5.1,"")</f>
        <v/>
      </c>
      <c r="AQ318" s="1"/>
      <c r="AR318" s="1"/>
      <c r="AS318" s="47">
        <f>IF(Tabla1[[#This Row],[Columna2]]="M1",13073,IF(Tabla1[[#This Row],[Columna2]]="N1",15815,IF(Tabla1[[#This Row],[Columna2]]="L3e",2831,53508)))</f>
        <v>53508</v>
      </c>
      <c r="AT318" s="47" t="e">
        <f>(Tabla1[[#This Row],[CVA]]*Tabla1[[#This Row],[F]]-Tabla1[[#This Row],[CVN]])/100*Tabla1[[#This Row],[L]]</f>
        <v>#VALUE!</v>
      </c>
      <c r="AU318" s="1"/>
      <c r="AV318" s="1" t="e">
        <f>VLOOKUP(B318,Tabla467824[[ID CAE2]:[AE '[kWh']]],6,FALSE)</f>
        <v>#N/A</v>
      </c>
      <c r="AW31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19" spans="1:49" ht="15" hidden="1" x14ac:dyDescent="0.25">
      <c r="A319" t="s">
        <v>1574</v>
      </c>
      <c r="B319"/>
      <c r="C319" s="31" t="s">
        <v>1575</v>
      </c>
      <c r="D319" s="31"/>
      <c r="E319" s="31"/>
      <c r="F319" s="31"/>
      <c r="G319" s="31"/>
      <c r="H319" s="31"/>
      <c r="I319" s="31"/>
      <c r="J319" s="31"/>
      <c r="K319" s="31" t="s">
        <v>73</v>
      </c>
      <c r="L319" s="31" t="s">
        <v>200</v>
      </c>
      <c r="M319" s="31" t="s">
        <v>201</v>
      </c>
      <c r="N319" s="31" t="s">
        <v>76</v>
      </c>
      <c r="O319" s="31" t="e">
        <f>VLOOKUP(Tabla1[[#This Row],[Matricula]],BAJA2022202320242025!$B$3:$CR$245,93,FALSE)</f>
        <v>#N/A</v>
      </c>
      <c r="P319" s="32">
        <v>44860</v>
      </c>
      <c r="Q319" s="32" t="e">
        <f>Tabla1[[#This Row],[F.Vig.Final]]-Tabla1[[#This Row],[f Vig Inicio]]</f>
        <v>#N/A</v>
      </c>
      <c r="R319" s="32">
        <f>YEAR(Tabla1[[#This Row],[F.Vig.Final]])</f>
        <v>2022</v>
      </c>
      <c r="S319" s="31" t="s">
        <v>77</v>
      </c>
      <c r="T319" s="31" t="s">
        <v>78</v>
      </c>
      <c r="U319" s="31" t="s">
        <v>359</v>
      </c>
      <c r="V319" s="31" t="s">
        <v>1559</v>
      </c>
      <c r="W319" s="31" t="s">
        <v>131</v>
      </c>
      <c r="X319" s="31" t="s">
        <v>132</v>
      </c>
      <c r="Y319" s="31" t="s">
        <v>135</v>
      </c>
      <c r="Z319" s="16">
        <f>COUNTIF($X$3:X319, X319)</f>
        <v>46</v>
      </c>
      <c r="AA319" s="16" t="e">
        <v>#N/A</v>
      </c>
      <c r="AB319" s="16" t="e">
        <v>#N/A</v>
      </c>
      <c r="AC319" s="16" t="e">
        <v>#N/A</v>
      </c>
      <c r="AD319" s="16" t="e">
        <v>#N/A</v>
      </c>
      <c r="AE319" s="16" t="e">
        <v>#N/A</v>
      </c>
      <c r="AF319" s="17" t="e">
        <v>#N/A</v>
      </c>
      <c r="AG319" s="17" t="e">
        <v>#N/A</v>
      </c>
      <c r="AH319" s="17" t="e">
        <f>Tabla1[[#This Row],[Renov. Flota]]-Tabla1[[#This Row],[Año]]</f>
        <v>#N/A</v>
      </c>
      <c r="AI319" s="18" t="e">
        <v>#N/A</v>
      </c>
      <c r="AJ319" s="18" t="e">
        <f>VLOOKUP(Tabla1[[#This Row],[Matricula nueva]],'ALTA 20242025'!$B$2:$P$242,15,FALSE)</f>
        <v>#N/A</v>
      </c>
      <c r="AK319" s="19" t="e">
        <v>#N/A</v>
      </c>
      <c r="AN319" s="1"/>
      <c r="AO319" s="1" t="e">
        <f>VLOOKUP(Tabla1[[#This Row],[Matricula nueva]],Hoja2!$A$1:$B$224,2,FALSE)</f>
        <v>#N/A</v>
      </c>
      <c r="AP319" s="1" t="str">
        <f>IF(Tabla1[[#This Row],[Columna2]]="M1",5.1,"")</f>
        <v/>
      </c>
      <c r="AQ319" s="1"/>
      <c r="AR319" s="1"/>
      <c r="AS319" s="47">
        <f>IF(Tabla1[[#This Row],[Columna2]]="M1",13073,IF(Tabla1[[#This Row],[Columna2]]="N1",15815,IF(Tabla1[[#This Row],[Columna2]]="L3e",2831,53508)))</f>
        <v>53508</v>
      </c>
      <c r="AT319" s="47" t="e">
        <f>(Tabla1[[#This Row],[CVA]]*Tabla1[[#This Row],[F]]-Tabla1[[#This Row],[CVN]])/100*Tabla1[[#This Row],[L]]</f>
        <v>#VALUE!</v>
      </c>
      <c r="AU319" s="1"/>
      <c r="AV319" s="1" t="e">
        <f>VLOOKUP(B319,Tabla467824[[ID CAE2]:[AE '[kWh']]],6,FALSE)</f>
        <v>#N/A</v>
      </c>
      <c r="AW31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0" spans="1:49" ht="15" hidden="1" x14ac:dyDescent="0.25">
      <c r="A320" t="s">
        <v>1576</v>
      </c>
      <c r="B320"/>
      <c r="C320" s="31" t="s">
        <v>1577</v>
      </c>
      <c r="D320" s="31"/>
      <c r="E320" s="31"/>
      <c r="F320" s="31"/>
      <c r="G320" s="31"/>
      <c r="H320" s="31"/>
      <c r="I320" s="31"/>
      <c r="J320" s="31"/>
      <c r="K320" s="31" t="s">
        <v>73</v>
      </c>
      <c r="L320" s="31" t="s">
        <v>200</v>
      </c>
      <c r="M320" s="31" t="s">
        <v>201</v>
      </c>
      <c r="N320" s="31" t="s">
        <v>76</v>
      </c>
      <c r="O320" s="31" t="e">
        <f>VLOOKUP(Tabla1[[#This Row],[Matricula]],BAJA2022202320242025!$B$3:$CR$245,93,FALSE)</f>
        <v>#N/A</v>
      </c>
      <c r="P320" s="32">
        <v>44860</v>
      </c>
      <c r="Q320" s="32" t="e">
        <f>Tabla1[[#This Row],[F.Vig.Final]]-Tabla1[[#This Row],[f Vig Inicio]]</f>
        <v>#N/A</v>
      </c>
      <c r="R320" s="32">
        <f>YEAR(Tabla1[[#This Row],[F.Vig.Final]])</f>
        <v>2022</v>
      </c>
      <c r="S320" s="31" t="s">
        <v>77</v>
      </c>
      <c r="T320" s="31" t="s">
        <v>78</v>
      </c>
      <c r="U320" s="31" t="s">
        <v>359</v>
      </c>
      <c r="V320" s="31" t="s">
        <v>1559</v>
      </c>
      <c r="W320" s="31" t="s">
        <v>131</v>
      </c>
      <c r="X320" s="31" t="s">
        <v>132</v>
      </c>
      <c r="Y320" s="31" t="s">
        <v>1390</v>
      </c>
      <c r="Z320" s="16">
        <f>COUNTIF($X$3:X320, X320)</f>
        <v>47</v>
      </c>
      <c r="AA320" s="16" t="e">
        <v>#N/A</v>
      </c>
      <c r="AB320" s="16" t="e">
        <v>#N/A</v>
      </c>
      <c r="AC320" s="16" t="e">
        <v>#N/A</v>
      </c>
      <c r="AD320" s="16" t="e">
        <v>#N/A</v>
      </c>
      <c r="AE320" s="16" t="e">
        <v>#N/A</v>
      </c>
      <c r="AF320" s="17" t="e">
        <v>#N/A</v>
      </c>
      <c r="AG320" s="17" t="e">
        <v>#N/A</v>
      </c>
      <c r="AH320" s="17" t="e">
        <f>Tabla1[[#This Row],[Renov. Flota]]-Tabla1[[#This Row],[Año]]</f>
        <v>#N/A</v>
      </c>
      <c r="AI320" s="18" t="e">
        <v>#N/A</v>
      </c>
      <c r="AJ320" s="18" t="e">
        <f>VLOOKUP(Tabla1[[#This Row],[Matricula nueva]],'ALTA 20242025'!$B$2:$P$242,15,FALSE)</f>
        <v>#N/A</v>
      </c>
      <c r="AK320" s="19" t="e">
        <v>#N/A</v>
      </c>
      <c r="AN320" s="1"/>
      <c r="AO320" s="1" t="e">
        <f>VLOOKUP(Tabla1[[#This Row],[Matricula nueva]],Hoja2!$A$1:$B$224,2,FALSE)</f>
        <v>#N/A</v>
      </c>
      <c r="AP320" s="1" t="str">
        <f>IF(Tabla1[[#This Row],[Columna2]]="M1",5.1,"")</f>
        <v/>
      </c>
      <c r="AQ320" s="1"/>
      <c r="AR320" s="1"/>
      <c r="AS320" s="47">
        <f>IF(Tabla1[[#This Row],[Columna2]]="M1",13073,IF(Tabla1[[#This Row],[Columna2]]="N1",15815,IF(Tabla1[[#This Row],[Columna2]]="L3e",2831,53508)))</f>
        <v>53508</v>
      </c>
      <c r="AT320" s="47" t="e">
        <f>(Tabla1[[#This Row],[CVA]]*Tabla1[[#This Row],[F]]-Tabla1[[#This Row],[CVN]])/100*Tabla1[[#This Row],[L]]</f>
        <v>#VALUE!</v>
      </c>
      <c r="AU320" s="1"/>
      <c r="AV320" s="1" t="e">
        <f>VLOOKUP(B320,Tabla467824[[ID CAE2]:[AE '[kWh']]],6,FALSE)</f>
        <v>#N/A</v>
      </c>
      <c r="AW32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1" spans="1:49" ht="15" hidden="1" x14ac:dyDescent="0.25">
      <c r="A321" t="s">
        <v>1578</v>
      </c>
      <c r="B321"/>
      <c r="C321" s="31" t="s">
        <v>1579</v>
      </c>
      <c r="D321" s="31"/>
      <c r="E321" s="31"/>
      <c r="F321" s="31"/>
      <c r="G321" s="31"/>
      <c r="H321" s="31"/>
      <c r="I321" s="31"/>
      <c r="J321" s="31"/>
      <c r="K321" s="31" t="s">
        <v>73</v>
      </c>
      <c r="L321" s="31" t="s">
        <v>200</v>
      </c>
      <c r="M321" s="31" t="s">
        <v>201</v>
      </c>
      <c r="N321" s="31" t="s">
        <v>76</v>
      </c>
      <c r="O321" s="31" t="e">
        <f>VLOOKUP(Tabla1[[#This Row],[Matricula]],BAJA2022202320242025!$B$3:$CR$245,93,FALSE)</f>
        <v>#N/A</v>
      </c>
      <c r="P321" s="32">
        <v>44733</v>
      </c>
      <c r="Q321" s="32" t="e">
        <f>Tabla1[[#This Row],[F.Vig.Final]]-Tabla1[[#This Row],[f Vig Inicio]]</f>
        <v>#N/A</v>
      </c>
      <c r="R321" s="32">
        <f>YEAR(Tabla1[[#This Row],[F.Vig.Final]])</f>
        <v>2022</v>
      </c>
      <c r="S321" s="31" t="s">
        <v>77</v>
      </c>
      <c r="T321" s="31" t="s">
        <v>78</v>
      </c>
      <c r="U321" s="31" t="s">
        <v>359</v>
      </c>
      <c r="V321" s="31" t="s">
        <v>604</v>
      </c>
      <c r="W321" s="31" t="s">
        <v>81</v>
      </c>
      <c r="X321" s="31" t="s">
        <v>82</v>
      </c>
      <c r="Y321" s="31" t="s">
        <v>143</v>
      </c>
      <c r="Z321" s="16">
        <f>COUNTIF($X$3:X321, X321)</f>
        <v>17</v>
      </c>
      <c r="AA321" s="16" t="e">
        <v>#N/A</v>
      </c>
      <c r="AB321" s="16" t="e">
        <v>#N/A</v>
      </c>
      <c r="AC321" s="16" t="e">
        <v>#N/A</v>
      </c>
      <c r="AD321" s="16" t="e">
        <v>#N/A</v>
      </c>
      <c r="AE321" s="16" t="e">
        <v>#N/A</v>
      </c>
      <c r="AF321" s="17" t="e">
        <v>#N/A</v>
      </c>
      <c r="AG321" s="17" t="e">
        <v>#N/A</v>
      </c>
      <c r="AH321" s="17" t="e">
        <f>Tabla1[[#This Row],[Renov. Flota]]-Tabla1[[#This Row],[Año]]</f>
        <v>#N/A</v>
      </c>
      <c r="AI321" s="18" t="e">
        <v>#N/A</v>
      </c>
      <c r="AJ321" s="18" t="e">
        <f>VLOOKUP(Tabla1[[#This Row],[Matricula nueva]],'ALTA 20242025'!$B$2:$P$242,15,FALSE)</f>
        <v>#N/A</v>
      </c>
      <c r="AK321" s="19" t="e">
        <v>#N/A</v>
      </c>
      <c r="AN321" s="1"/>
      <c r="AO321" s="1" t="e">
        <f>VLOOKUP(Tabla1[[#This Row],[Matricula nueva]],Hoja2!$A$1:$B$224,2,FALSE)</f>
        <v>#N/A</v>
      </c>
      <c r="AP321" s="1" t="str">
        <f>IF(Tabla1[[#This Row],[Columna2]]="M1",5.1,"")</f>
        <v/>
      </c>
      <c r="AQ321" s="1"/>
      <c r="AR321" s="1"/>
      <c r="AS321" s="47">
        <f>IF(Tabla1[[#This Row],[Columna2]]="M1",13073,IF(Tabla1[[#This Row],[Columna2]]="N1",15815,IF(Tabla1[[#This Row],[Columna2]]="L3e",2831,53508)))</f>
        <v>53508</v>
      </c>
      <c r="AT321" s="47" t="e">
        <f>(Tabla1[[#This Row],[CVA]]*Tabla1[[#This Row],[F]]-Tabla1[[#This Row],[CVN]])/100*Tabla1[[#This Row],[L]]</f>
        <v>#VALUE!</v>
      </c>
      <c r="AU321" s="1"/>
      <c r="AV321" s="1" t="e">
        <f>VLOOKUP(B321,Tabla467824[[ID CAE2]:[AE '[kWh']]],6,FALSE)</f>
        <v>#N/A</v>
      </c>
      <c r="AW32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2" spans="1:49" ht="15" hidden="1" x14ac:dyDescent="0.25">
      <c r="A322" t="s">
        <v>1580</v>
      </c>
      <c r="B322"/>
      <c r="C322" s="31" t="s">
        <v>1581</v>
      </c>
      <c r="D322" s="31"/>
      <c r="E322" s="31"/>
      <c r="F322" s="31"/>
      <c r="G322" s="31"/>
      <c r="H322" s="31"/>
      <c r="I322" s="31"/>
      <c r="J322" s="31"/>
      <c r="K322" s="31" t="s">
        <v>158</v>
      </c>
      <c r="L322" s="31" t="s">
        <v>159</v>
      </c>
      <c r="M322" s="31" t="s">
        <v>158</v>
      </c>
      <c r="N322" s="31" t="s">
        <v>171</v>
      </c>
      <c r="O322" s="31" t="e">
        <f>VLOOKUP(Tabla1[[#This Row],[Matricula]],BAJA2022202320242025!$B$3:$CR$245,93,FALSE)</f>
        <v>#N/A</v>
      </c>
      <c r="P322" s="32">
        <v>44727</v>
      </c>
      <c r="Q322" s="32" t="e">
        <f>Tabla1[[#This Row],[F.Vig.Final]]-Tabla1[[#This Row],[f Vig Inicio]]</f>
        <v>#N/A</v>
      </c>
      <c r="R322" s="32">
        <f>YEAR(Tabla1[[#This Row],[F.Vig.Final]])</f>
        <v>2022</v>
      </c>
      <c r="S322" s="31" t="s">
        <v>172</v>
      </c>
      <c r="T322" s="31" t="s">
        <v>87</v>
      </c>
      <c r="U322" s="31" t="s">
        <v>726</v>
      </c>
      <c r="V322" s="31" t="s">
        <v>1582</v>
      </c>
      <c r="W322" s="31" t="s">
        <v>336</v>
      </c>
      <c r="X322" s="31" t="s">
        <v>337</v>
      </c>
      <c r="Y322" s="31" t="s">
        <v>1583</v>
      </c>
      <c r="Z322" s="16">
        <f>COUNTIF($X$3:X322, X322)</f>
        <v>31</v>
      </c>
      <c r="AA322" s="16" t="e">
        <v>#N/A</v>
      </c>
      <c r="AB322" s="16" t="e">
        <v>#N/A</v>
      </c>
      <c r="AC322" s="16" t="e">
        <v>#N/A</v>
      </c>
      <c r="AD322" s="16" t="e">
        <v>#N/A</v>
      </c>
      <c r="AE322" s="16" t="e">
        <v>#N/A</v>
      </c>
      <c r="AF322" s="17" t="e">
        <v>#N/A</v>
      </c>
      <c r="AG322" s="17" t="e">
        <v>#N/A</v>
      </c>
      <c r="AH322" s="17" t="e">
        <f>Tabla1[[#This Row],[Renov. Flota]]-Tabla1[[#This Row],[Año]]</f>
        <v>#N/A</v>
      </c>
      <c r="AI322" s="18" t="e">
        <v>#N/A</v>
      </c>
      <c r="AJ322" s="18" t="e">
        <f>VLOOKUP(Tabla1[[#This Row],[Matricula nueva]],'ALTA 20242025'!$B$2:$P$242,15,FALSE)</f>
        <v>#N/A</v>
      </c>
      <c r="AK322" s="19" t="e">
        <v>#N/A</v>
      </c>
      <c r="AN322" s="1"/>
      <c r="AO322" s="1" t="e">
        <f>VLOOKUP(Tabla1[[#This Row],[Matricula nueva]],Hoja2!$A$1:$B$224,2,FALSE)</f>
        <v>#N/A</v>
      </c>
      <c r="AP322" s="1" t="str">
        <f>IF(Tabla1[[#This Row],[Columna2]]="M1",5.1,"")</f>
        <v/>
      </c>
      <c r="AQ322" s="1"/>
      <c r="AR322" s="1"/>
      <c r="AS322" s="47">
        <f>IF(Tabla1[[#This Row],[Columna2]]="M1",13073,IF(Tabla1[[#This Row],[Columna2]]="N1",15815,IF(Tabla1[[#This Row],[Columna2]]="L3e",2831,53508)))</f>
        <v>53508</v>
      </c>
      <c r="AT322" s="47" t="e">
        <f>(Tabla1[[#This Row],[CVA]]*Tabla1[[#This Row],[F]]-Tabla1[[#This Row],[CVN]])/100*Tabla1[[#This Row],[L]]</f>
        <v>#VALUE!</v>
      </c>
      <c r="AU322" s="1"/>
      <c r="AV322" s="1" t="e">
        <f>VLOOKUP(B322,Tabla467824[[ID CAE2]:[AE '[kWh']]],6,FALSE)</f>
        <v>#N/A</v>
      </c>
      <c r="AW32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23" spans="1:49" ht="15" hidden="1" x14ac:dyDescent="0.25">
      <c r="A323" t="s">
        <v>1584</v>
      </c>
      <c r="B323"/>
      <c r="C323" s="31" t="s">
        <v>1585</v>
      </c>
      <c r="D323" s="31"/>
      <c r="E323" s="31"/>
      <c r="F323" s="31"/>
      <c r="G323" s="31"/>
      <c r="H323" s="31"/>
      <c r="I323" s="31"/>
      <c r="J323" s="31"/>
      <c r="K323" s="31" t="s">
        <v>73</v>
      </c>
      <c r="L323" s="31" t="s">
        <v>200</v>
      </c>
      <c r="M323" s="31" t="s">
        <v>201</v>
      </c>
      <c r="N323" s="31" t="s">
        <v>76</v>
      </c>
      <c r="O323" s="31" t="e">
        <f>VLOOKUP(Tabla1[[#This Row],[Matricula]],BAJA2022202320242025!$B$3:$CR$245,93,FALSE)</f>
        <v>#N/A</v>
      </c>
      <c r="P323" s="32">
        <v>44707</v>
      </c>
      <c r="Q323" s="32" t="e">
        <f>Tabla1[[#This Row],[F.Vig.Final]]-Tabla1[[#This Row],[f Vig Inicio]]</f>
        <v>#N/A</v>
      </c>
      <c r="R323" s="32">
        <f>YEAR(Tabla1[[#This Row],[F.Vig.Final]])</f>
        <v>2022</v>
      </c>
      <c r="S323" s="31" t="s">
        <v>77</v>
      </c>
      <c r="T323" s="31" t="s">
        <v>78</v>
      </c>
      <c r="U323" s="31" t="s">
        <v>359</v>
      </c>
      <c r="V323" s="31" t="s">
        <v>593</v>
      </c>
      <c r="W323" s="31" t="s">
        <v>584</v>
      </c>
      <c r="X323" s="31" t="s">
        <v>585</v>
      </c>
      <c r="Y323" s="31" t="s">
        <v>1586</v>
      </c>
      <c r="Z323" s="16">
        <f>COUNTIF($X$3:X323, X323)</f>
        <v>23</v>
      </c>
      <c r="AA323" s="16" t="e">
        <v>#N/A</v>
      </c>
      <c r="AB323" s="16" t="e">
        <v>#N/A</v>
      </c>
      <c r="AC323" s="16" t="e">
        <v>#N/A</v>
      </c>
      <c r="AD323" s="16" t="e">
        <v>#N/A</v>
      </c>
      <c r="AE323" s="16" t="e">
        <v>#N/A</v>
      </c>
      <c r="AF323" s="17" t="e">
        <v>#N/A</v>
      </c>
      <c r="AG323" s="17" t="e">
        <v>#N/A</v>
      </c>
      <c r="AH323" s="17" t="e">
        <f>Tabla1[[#This Row],[Renov. Flota]]-Tabla1[[#This Row],[Año]]</f>
        <v>#N/A</v>
      </c>
      <c r="AI323" s="18" t="e">
        <v>#N/A</v>
      </c>
      <c r="AJ323" s="18" t="e">
        <f>VLOOKUP(Tabla1[[#This Row],[Matricula nueva]],'ALTA 20242025'!$B$2:$P$242,15,FALSE)</f>
        <v>#N/A</v>
      </c>
      <c r="AK323" s="19" t="e">
        <v>#N/A</v>
      </c>
      <c r="AN323" s="1"/>
      <c r="AO323" s="1" t="e">
        <f>VLOOKUP(Tabla1[[#This Row],[Matricula nueva]],Hoja2!$A$1:$B$224,2,FALSE)</f>
        <v>#N/A</v>
      </c>
      <c r="AP323" s="1" t="str">
        <f>IF(Tabla1[[#This Row],[Columna2]]="M1",5.1,"")</f>
        <v/>
      </c>
      <c r="AQ323" s="1"/>
      <c r="AR323" s="1"/>
      <c r="AS323" s="47">
        <f>IF(Tabla1[[#This Row],[Columna2]]="M1",13073,IF(Tabla1[[#This Row],[Columna2]]="N1",15815,IF(Tabla1[[#This Row],[Columna2]]="L3e",2831,53508)))</f>
        <v>53508</v>
      </c>
      <c r="AT323" s="47" t="e">
        <f>(Tabla1[[#This Row],[CVA]]*Tabla1[[#This Row],[F]]-Tabla1[[#This Row],[CVN]])/100*Tabla1[[#This Row],[L]]</f>
        <v>#VALUE!</v>
      </c>
      <c r="AU323" s="1"/>
      <c r="AV323" s="1" t="e">
        <f>VLOOKUP(B323,Tabla467824[[ID CAE2]:[AE '[kWh']]],6,FALSE)</f>
        <v>#N/A</v>
      </c>
      <c r="AW32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4" spans="1:49" ht="15" hidden="1" x14ac:dyDescent="0.25">
      <c r="A324" t="s">
        <v>1587</v>
      </c>
      <c r="B324"/>
      <c r="C324" s="31" t="s">
        <v>1588</v>
      </c>
      <c r="D324" s="31"/>
      <c r="E324" s="31"/>
      <c r="F324" s="31"/>
      <c r="G324" s="31"/>
      <c r="H324" s="31"/>
      <c r="I324" s="31"/>
      <c r="J324" s="31"/>
      <c r="K324" s="31" t="s">
        <v>73</v>
      </c>
      <c r="L324" s="31" t="s">
        <v>200</v>
      </c>
      <c r="M324" s="31" t="s">
        <v>201</v>
      </c>
      <c r="N324" s="31" t="s">
        <v>76</v>
      </c>
      <c r="O324" s="31" t="e">
        <f>VLOOKUP(Tabla1[[#This Row],[Matricula]],BAJA2022202320242025!$B$3:$CR$245,93,FALSE)</f>
        <v>#N/A</v>
      </c>
      <c r="P324" s="32">
        <v>44705</v>
      </c>
      <c r="Q324" s="32" t="e">
        <f>Tabla1[[#This Row],[F.Vig.Final]]-Tabla1[[#This Row],[f Vig Inicio]]</f>
        <v>#N/A</v>
      </c>
      <c r="R324" s="32">
        <f>YEAR(Tabla1[[#This Row],[F.Vig.Final]])</f>
        <v>2022</v>
      </c>
      <c r="S324" s="31" t="s">
        <v>77</v>
      </c>
      <c r="T324" s="31" t="s">
        <v>78</v>
      </c>
      <c r="U324" s="31" t="s">
        <v>359</v>
      </c>
      <c r="V324" s="31" t="s">
        <v>593</v>
      </c>
      <c r="W324" s="31" t="s">
        <v>584</v>
      </c>
      <c r="X324" s="31" t="s">
        <v>585</v>
      </c>
      <c r="Y324" s="31" t="s">
        <v>1589</v>
      </c>
      <c r="Z324" s="16">
        <f>COUNTIF($X$3:X324, X324)</f>
        <v>24</v>
      </c>
      <c r="AA324" s="16" t="e">
        <v>#N/A</v>
      </c>
      <c r="AB324" s="16" t="e">
        <v>#N/A</v>
      </c>
      <c r="AC324" s="16" t="e">
        <v>#N/A</v>
      </c>
      <c r="AD324" s="16" t="e">
        <v>#N/A</v>
      </c>
      <c r="AE324" s="16" t="e">
        <v>#N/A</v>
      </c>
      <c r="AF324" s="17" t="e">
        <v>#N/A</v>
      </c>
      <c r="AG324" s="17" t="e">
        <v>#N/A</v>
      </c>
      <c r="AH324" s="17" t="e">
        <f>Tabla1[[#This Row],[Renov. Flota]]-Tabla1[[#This Row],[Año]]</f>
        <v>#N/A</v>
      </c>
      <c r="AI324" s="18" t="e">
        <v>#N/A</v>
      </c>
      <c r="AJ324" s="18" t="e">
        <f>VLOOKUP(Tabla1[[#This Row],[Matricula nueva]],'ALTA 20242025'!$B$2:$P$242,15,FALSE)</f>
        <v>#N/A</v>
      </c>
      <c r="AK324" s="19" t="e">
        <v>#N/A</v>
      </c>
      <c r="AN324" s="1"/>
      <c r="AO324" s="1" t="e">
        <f>VLOOKUP(Tabla1[[#This Row],[Matricula nueva]],Hoja2!$A$1:$B$224,2,FALSE)</f>
        <v>#N/A</v>
      </c>
      <c r="AP324" s="1" t="str">
        <f>IF(Tabla1[[#This Row],[Columna2]]="M1",5.1,"")</f>
        <v/>
      </c>
      <c r="AQ324" s="1"/>
      <c r="AR324" s="1"/>
      <c r="AS324" s="47">
        <f>IF(Tabla1[[#This Row],[Columna2]]="M1",13073,IF(Tabla1[[#This Row],[Columna2]]="N1",15815,IF(Tabla1[[#This Row],[Columna2]]="L3e",2831,53508)))</f>
        <v>53508</v>
      </c>
      <c r="AT324" s="47" t="e">
        <f>(Tabla1[[#This Row],[CVA]]*Tabla1[[#This Row],[F]]-Tabla1[[#This Row],[CVN]])/100*Tabla1[[#This Row],[L]]</f>
        <v>#VALUE!</v>
      </c>
      <c r="AU324" s="1"/>
      <c r="AV324" s="1" t="e">
        <f>VLOOKUP(B324,Tabla467824[[ID CAE2]:[AE '[kWh']]],6,FALSE)</f>
        <v>#N/A</v>
      </c>
      <c r="AW32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5" spans="1:49" ht="15" hidden="1" x14ac:dyDescent="0.25">
      <c r="A325" t="s">
        <v>1590</v>
      </c>
      <c r="B325"/>
      <c r="C325" s="31" t="s">
        <v>1591</v>
      </c>
      <c r="D325" s="31"/>
      <c r="E325" s="31"/>
      <c r="F325" s="31"/>
      <c r="G325" s="31"/>
      <c r="H325" s="31"/>
      <c r="I325" s="31"/>
      <c r="J325" s="31"/>
      <c r="K325" s="31" t="s">
        <v>129</v>
      </c>
      <c r="L325" s="31" t="s">
        <v>74</v>
      </c>
      <c r="M325" s="31" t="s">
        <v>75</v>
      </c>
      <c r="N325" s="31" t="s">
        <v>76</v>
      </c>
      <c r="O325" s="31" t="e">
        <f>VLOOKUP(Tabla1[[#This Row],[Matricula]],BAJA2022202320242025!$B$3:$CR$245,93,FALSE)</f>
        <v>#N/A</v>
      </c>
      <c r="P325" s="32">
        <v>44845</v>
      </c>
      <c r="Q325" s="32" t="e">
        <f>Tabla1[[#This Row],[F.Vig.Final]]-Tabla1[[#This Row],[f Vig Inicio]]</f>
        <v>#N/A</v>
      </c>
      <c r="R325" s="32">
        <f>YEAR(Tabla1[[#This Row],[F.Vig.Final]])</f>
        <v>2022</v>
      </c>
      <c r="S325" s="31" t="s">
        <v>77</v>
      </c>
      <c r="T325" s="31" t="s">
        <v>78</v>
      </c>
      <c r="U325" s="31" t="s">
        <v>79</v>
      </c>
      <c r="V325" s="31" t="s">
        <v>1592</v>
      </c>
      <c r="W325" s="31" t="s">
        <v>131</v>
      </c>
      <c r="X325" s="31" t="s">
        <v>132</v>
      </c>
      <c r="Y325" s="31" t="s">
        <v>793</v>
      </c>
      <c r="Z325" s="16">
        <f>COUNTIF($X$3:X325, X325)</f>
        <v>48</v>
      </c>
      <c r="AA325" s="16" t="e">
        <v>#N/A</v>
      </c>
      <c r="AB325" s="16" t="e">
        <v>#N/A</v>
      </c>
      <c r="AC325" s="16" t="e">
        <v>#N/A</v>
      </c>
      <c r="AD325" s="16" t="e">
        <v>#N/A</v>
      </c>
      <c r="AE325" s="16" t="e">
        <v>#N/A</v>
      </c>
      <c r="AF325" s="17" t="e">
        <v>#N/A</v>
      </c>
      <c r="AG325" s="17" t="e">
        <v>#N/A</v>
      </c>
      <c r="AH325" s="17" t="e">
        <f>Tabla1[[#This Row],[Renov. Flota]]-Tabla1[[#This Row],[Año]]</f>
        <v>#N/A</v>
      </c>
      <c r="AI325" s="18" t="e">
        <v>#N/A</v>
      </c>
      <c r="AJ325" s="18" t="e">
        <f>VLOOKUP(Tabla1[[#This Row],[Matricula nueva]],'ALTA 20242025'!$B$2:$P$242,15,FALSE)</f>
        <v>#N/A</v>
      </c>
      <c r="AK325" s="19" t="e">
        <v>#N/A</v>
      </c>
      <c r="AN325" s="1"/>
      <c r="AO325" s="1" t="e">
        <f>VLOOKUP(Tabla1[[#This Row],[Matricula nueva]],Hoja2!$A$1:$B$224,2,FALSE)</f>
        <v>#N/A</v>
      </c>
      <c r="AP325" s="1" t="str">
        <f>IF(Tabla1[[#This Row],[Columna2]]="M1",5.1,"")</f>
        <v/>
      </c>
      <c r="AQ325" s="1"/>
      <c r="AR325" s="1"/>
      <c r="AS325" s="47">
        <f>IF(Tabla1[[#This Row],[Columna2]]="M1",13073,IF(Tabla1[[#This Row],[Columna2]]="N1",15815,IF(Tabla1[[#This Row],[Columna2]]="L3e",2831,53508)))</f>
        <v>53508</v>
      </c>
      <c r="AT325" s="47" t="e">
        <f>(Tabla1[[#This Row],[CVA]]*Tabla1[[#This Row],[F]]-Tabla1[[#This Row],[CVN]])/100*Tabla1[[#This Row],[L]]</f>
        <v>#VALUE!</v>
      </c>
      <c r="AU325" s="1"/>
      <c r="AV325" s="1" t="e">
        <f>VLOOKUP(B325,Tabla467824[[ID CAE2]:[AE '[kWh']]],6,FALSE)</f>
        <v>#N/A</v>
      </c>
      <c r="AW32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6" spans="1:49" ht="15" hidden="1" x14ac:dyDescent="0.25">
      <c r="A326" t="s">
        <v>1593</v>
      </c>
      <c r="B326"/>
      <c r="C326" s="31" t="s">
        <v>1594</v>
      </c>
      <c r="D326" s="31"/>
      <c r="E326" s="31"/>
      <c r="F326" s="31"/>
      <c r="G326" s="31"/>
      <c r="H326" s="31"/>
      <c r="I326" s="31"/>
      <c r="J326" s="31"/>
      <c r="K326" s="31" t="s">
        <v>73</v>
      </c>
      <c r="L326" s="31" t="s">
        <v>172</v>
      </c>
      <c r="M326" s="31" t="s">
        <v>1127</v>
      </c>
      <c r="N326" s="31" t="s">
        <v>76</v>
      </c>
      <c r="O326" s="31" t="e">
        <f>VLOOKUP(Tabla1[[#This Row],[Matricula]],BAJA2022202320242025!$B$3:$CR$245,93,FALSE)</f>
        <v>#N/A</v>
      </c>
      <c r="P326" s="32">
        <v>44772</v>
      </c>
      <c r="Q326" s="32" t="e">
        <f>Tabla1[[#This Row],[F.Vig.Final]]-Tabla1[[#This Row],[f Vig Inicio]]</f>
        <v>#N/A</v>
      </c>
      <c r="R326" s="32">
        <f>YEAR(Tabla1[[#This Row],[F.Vig.Final]])</f>
        <v>2022</v>
      </c>
      <c r="S326" s="31" t="s">
        <v>77</v>
      </c>
      <c r="T326" s="31" t="s">
        <v>78</v>
      </c>
      <c r="U326" s="31" t="s">
        <v>1362</v>
      </c>
      <c r="V326" s="31" t="s">
        <v>1367</v>
      </c>
      <c r="W326" s="31" t="s">
        <v>215</v>
      </c>
      <c r="X326" s="31" t="s">
        <v>216</v>
      </c>
      <c r="Y326" s="31" t="s">
        <v>217</v>
      </c>
      <c r="Z326" s="16">
        <f>COUNTIF($X$3:X326, X326)</f>
        <v>8</v>
      </c>
      <c r="AA326" s="16" t="e">
        <v>#N/A</v>
      </c>
      <c r="AB326" s="16" t="e">
        <v>#N/A</v>
      </c>
      <c r="AC326" s="16" t="e">
        <v>#N/A</v>
      </c>
      <c r="AD326" s="16" t="e">
        <v>#N/A</v>
      </c>
      <c r="AE326" s="16" t="e">
        <v>#N/A</v>
      </c>
      <c r="AF326" s="17" t="e">
        <v>#N/A</v>
      </c>
      <c r="AG326" s="17" t="e">
        <v>#N/A</v>
      </c>
      <c r="AH326" s="17" t="e">
        <f>Tabla1[[#This Row],[Renov. Flota]]-Tabla1[[#This Row],[Año]]</f>
        <v>#N/A</v>
      </c>
      <c r="AI326" s="18" t="e">
        <v>#N/A</v>
      </c>
      <c r="AJ326" s="18" t="e">
        <f>VLOOKUP(Tabla1[[#This Row],[Matricula nueva]],'ALTA 20242025'!$B$2:$P$242,15,FALSE)</f>
        <v>#N/A</v>
      </c>
      <c r="AK326" s="19" t="e">
        <v>#N/A</v>
      </c>
      <c r="AN326" s="1"/>
      <c r="AO326" s="1" t="e">
        <f>VLOOKUP(Tabla1[[#This Row],[Matricula nueva]],Hoja2!$A$1:$B$224,2,FALSE)</f>
        <v>#N/A</v>
      </c>
      <c r="AP326" s="1" t="str">
        <f>IF(Tabla1[[#This Row],[Columna2]]="M1",5.1,"")</f>
        <v/>
      </c>
      <c r="AQ326" s="1"/>
      <c r="AR326" s="1"/>
      <c r="AS326" s="47">
        <f>IF(Tabla1[[#This Row],[Columna2]]="M1",13073,IF(Tabla1[[#This Row],[Columna2]]="N1",15815,IF(Tabla1[[#This Row],[Columna2]]="L3e",2831,53508)))</f>
        <v>53508</v>
      </c>
      <c r="AT326" s="47" t="e">
        <f>(Tabla1[[#This Row],[CVA]]*Tabla1[[#This Row],[F]]-Tabla1[[#This Row],[CVN]])/100*Tabla1[[#This Row],[L]]</f>
        <v>#VALUE!</v>
      </c>
      <c r="AU326" s="1"/>
      <c r="AV326" s="1" t="e">
        <f>VLOOKUP(B326,Tabla467824[[ID CAE2]:[AE '[kWh']]],6,FALSE)</f>
        <v>#N/A</v>
      </c>
      <c r="AW32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7" spans="1:49" ht="15" hidden="1" x14ac:dyDescent="0.25">
      <c r="A327" t="s">
        <v>1595</v>
      </c>
      <c r="B327"/>
      <c r="C327" s="31" t="s">
        <v>1596</v>
      </c>
      <c r="D327" s="31"/>
      <c r="E327" s="31"/>
      <c r="F327" s="31"/>
      <c r="G327" s="31"/>
      <c r="H327" s="31"/>
      <c r="I327" s="31"/>
      <c r="J327" s="31"/>
      <c r="K327" s="31" t="s">
        <v>73</v>
      </c>
      <c r="L327" s="31" t="s">
        <v>200</v>
      </c>
      <c r="M327" s="31" t="s">
        <v>201</v>
      </c>
      <c r="N327" s="31" t="s">
        <v>76</v>
      </c>
      <c r="O327" s="31" t="e">
        <f>VLOOKUP(Tabla1[[#This Row],[Matricula]],BAJA2022202320242025!$B$3:$CR$245,93,FALSE)</f>
        <v>#N/A</v>
      </c>
      <c r="P327" s="32">
        <v>44712</v>
      </c>
      <c r="Q327" s="32" t="e">
        <f>Tabla1[[#This Row],[F.Vig.Final]]-Tabla1[[#This Row],[f Vig Inicio]]</f>
        <v>#N/A</v>
      </c>
      <c r="R327" s="32">
        <f>YEAR(Tabla1[[#This Row],[F.Vig.Final]])</f>
        <v>2022</v>
      </c>
      <c r="S327" s="31" t="s">
        <v>77</v>
      </c>
      <c r="T327" s="31" t="s">
        <v>78</v>
      </c>
      <c r="U327" s="31" t="s">
        <v>359</v>
      </c>
      <c r="V327" s="31" t="s">
        <v>593</v>
      </c>
      <c r="W327" s="31" t="s">
        <v>81</v>
      </c>
      <c r="X327" s="31" t="s">
        <v>82</v>
      </c>
      <c r="Y327" s="31" t="s">
        <v>174</v>
      </c>
      <c r="Z327" s="16">
        <f>COUNTIF($X$3:X327, X327)</f>
        <v>18</v>
      </c>
      <c r="AA327" s="16" t="e">
        <v>#N/A</v>
      </c>
      <c r="AB327" s="16" t="e">
        <v>#N/A</v>
      </c>
      <c r="AC327" s="16" t="e">
        <v>#N/A</v>
      </c>
      <c r="AD327" s="16" t="e">
        <v>#N/A</v>
      </c>
      <c r="AE327" s="16" t="e">
        <v>#N/A</v>
      </c>
      <c r="AF327" s="17" t="e">
        <v>#N/A</v>
      </c>
      <c r="AG327" s="17" t="e">
        <v>#N/A</v>
      </c>
      <c r="AH327" s="17" t="e">
        <f>Tabla1[[#This Row],[Renov. Flota]]-Tabla1[[#This Row],[Año]]</f>
        <v>#N/A</v>
      </c>
      <c r="AI327" s="18" t="e">
        <v>#N/A</v>
      </c>
      <c r="AJ327" s="18" t="e">
        <f>VLOOKUP(Tabla1[[#This Row],[Matricula nueva]],'ALTA 20242025'!$B$2:$P$242,15,FALSE)</f>
        <v>#N/A</v>
      </c>
      <c r="AK327" s="19" t="e">
        <v>#N/A</v>
      </c>
      <c r="AN327" s="1"/>
      <c r="AO327" s="1" t="e">
        <f>VLOOKUP(Tabla1[[#This Row],[Matricula nueva]],Hoja2!$A$1:$B$224,2,FALSE)</f>
        <v>#N/A</v>
      </c>
      <c r="AP327" s="1" t="str">
        <f>IF(Tabla1[[#This Row],[Columna2]]="M1",5.1,"")</f>
        <v/>
      </c>
      <c r="AQ327" s="1"/>
      <c r="AR327" s="1"/>
      <c r="AS327" s="47">
        <f>IF(Tabla1[[#This Row],[Columna2]]="M1",13073,IF(Tabla1[[#This Row],[Columna2]]="N1",15815,IF(Tabla1[[#This Row],[Columna2]]="L3e",2831,53508)))</f>
        <v>53508</v>
      </c>
      <c r="AT327" s="47" t="e">
        <f>(Tabla1[[#This Row],[CVA]]*Tabla1[[#This Row],[F]]-Tabla1[[#This Row],[CVN]])/100*Tabla1[[#This Row],[L]]</f>
        <v>#VALUE!</v>
      </c>
      <c r="AU327" s="1"/>
      <c r="AV327" s="1" t="e">
        <f>VLOOKUP(B327,Tabla467824[[ID CAE2]:[AE '[kWh']]],6,FALSE)</f>
        <v>#N/A</v>
      </c>
      <c r="AW32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8" spans="1:49" ht="15" hidden="1" x14ac:dyDescent="0.25">
      <c r="A328" t="s">
        <v>1597</v>
      </c>
      <c r="B328"/>
      <c r="C328" s="31" t="s">
        <v>1598</v>
      </c>
      <c r="D328" s="31"/>
      <c r="E328" s="31"/>
      <c r="F328" s="31"/>
      <c r="G328" s="31"/>
      <c r="H328" s="31"/>
      <c r="I328" s="31"/>
      <c r="J328" s="31"/>
      <c r="K328" s="31" t="s">
        <v>73</v>
      </c>
      <c r="L328" s="31" t="s">
        <v>200</v>
      </c>
      <c r="M328" s="31" t="s">
        <v>201</v>
      </c>
      <c r="N328" s="31" t="s">
        <v>76</v>
      </c>
      <c r="O328" s="31" t="e">
        <f>VLOOKUP(Tabla1[[#This Row],[Matricula]],BAJA2022202320242025!$B$3:$CR$245,93,FALSE)</f>
        <v>#N/A</v>
      </c>
      <c r="P328" s="32">
        <v>44721</v>
      </c>
      <c r="Q328" s="32" t="e">
        <f>Tabla1[[#This Row],[F.Vig.Final]]-Tabla1[[#This Row],[f Vig Inicio]]</f>
        <v>#N/A</v>
      </c>
      <c r="R328" s="32">
        <f>YEAR(Tabla1[[#This Row],[F.Vig.Final]])</f>
        <v>2022</v>
      </c>
      <c r="S328" s="31" t="s">
        <v>77</v>
      </c>
      <c r="T328" s="31" t="s">
        <v>78</v>
      </c>
      <c r="U328" s="31" t="s">
        <v>359</v>
      </c>
      <c r="V328" s="31" t="s">
        <v>1559</v>
      </c>
      <c r="W328" s="31" t="s">
        <v>584</v>
      </c>
      <c r="X328" s="31" t="s">
        <v>585</v>
      </c>
      <c r="Y328" s="31" t="s">
        <v>1599</v>
      </c>
      <c r="Z328" s="16">
        <f>COUNTIF($X$3:X328, X328)</f>
        <v>25</v>
      </c>
      <c r="AA328" s="16" t="e">
        <v>#N/A</v>
      </c>
      <c r="AB328" s="16" t="e">
        <v>#N/A</v>
      </c>
      <c r="AC328" s="16" t="e">
        <v>#N/A</v>
      </c>
      <c r="AD328" s="16" t="e">
        <v>#N/A</v>
      </c>
      <c r="AE328" s="16" t="e">
        <v>#N/A</v>
      </c>
      <c r="AF328" s="17" t="e">
        <v>#N/A</v>
      </c>
      <c r="AG328" s="17" t="e">
        <v>#N/A</v>
      </c>
      <c r="AH328" s="17" t="e">
        <f>Tabla1[[#This Row],[Renov. Flota]]-Tabla1[[#This Row],[Año]]</f>
        <v>#N/A</v>
      </c>
      <c r="AI328" s="18" t="e">
        <v>#N/A</v>
      </c>
      <c r="AJ328" s="18" t="e">
        <f>VLOOKUP(Tabla1[[#This Row],[Matricula nueva]],'ALTA 20242025'!$B$2:$P$242,15,FALSE)</f>
        <v>#N/A</v>
      </c>
      <c r="AK328" s="19" t="e">
        <v>#N/A</v>
      </c>
      <c r="AN328" s="1"/>
      <c r="AO328" s="1" t="e">
        <f>VLOOKUP(Tabla1[[#This Row],[Matricula nueva]],Hoja2!$A$1:$B$224,2,FALSE)</f>
        <v>#N/A</v>
      </c>
      <c r="AP328" s="1" t="str">
        <f>IF(Tabla1[[#This Row],[Columna2]]="M1",5.1,"")</f>
        <v/>
      </c>
      <c r="AQ328" s="1"/>
      <c r="AR328" s="1"/>
      <c r="AS328" s="47">
        <f>IF(Tabla1[[#This Row],[Columna2]]="M1",13073,IF(Tabla1[[#This Row],[Columna2]]="N1",15815,IF(Tabla1[[#This Row],[Columna2]]="L3e",2831,53508)))</f>
        <v>53508</v>
      </c>
      <c r="AT328" s="47" t="e">
        <f>(Tabla1[[#This Row],[CVA]]*Tabla1[[#This Row],[F]]-Tabla1[[#This Row],[CVN]])/100*Tabla1[[#This Row],[L]]</f>
        <v>#VALUE!</v>
      </c>
      <c r="AU328" s="1"/>
      <c r="AV328" s="1" t="e">
        <f>VLOOKUP(B328,Tabla467824[[ID CAE2]:[AE '[kWh']]],6,FALSE)</f>
        <v>#N/A</v>
      </c>
      <c r="AW32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29" spans="1:49" ht="15" hidden="1" x14ac:dyDescent="0.25">
      <c r="A329" t="s">
        <v>1600</v>
      </c>
      <c r="B329"/>
      <c r="C329" s="31" t="s">
        <v>1601</v>
      </c>
      <c r="D329" s="31"/>
      <c r="E329" s="31"/>
      <c r="F329" s="31"/>
      <c r="G329" s="31"/>
      <c r="H329" s="31"/>
      <c r="I329" s="31"/>
      <c r="J329" s="31"/>
      <c r="K329" s="31" t="s">
        <v>466</v>
      </c>
      <c r="L329" s="31" t="s">
        <v>200</v>
      </c>
      <c r="M329" s="31" t="s">
        <v>201</v>
      </c>
      <c r="N329" s="31" t="s">
        <v>76</v>
      </c>
      <c r="O329" s="31" t="e">
        <f>VLOOKUP(Tabla1[[#This Row],[Matricula]],BAJA2022202320242025!$B$3:$CR$245,93,FALSE)</f>
        <v>#N/A</v>
      </c>
      <c r="P329" s="32">
        <v>44699</v>
      </c>
      <c r="Q329" s="32" t="e">
        <f>Tabla1[[#This Row],[F.Vig.Final]]-Tabla1[[#This Row],[f Vig Inicio]]</f>
        <v>#N/A</v>
      </c>
      <c r="R329" s="32">
        <f>YEAR(Tabla1[[#This Row],[F.Vig.Final]])</f>
        <v>2022</v>
      </c>
      <c r="S329" s="31" t="s">
        <v>77</v>
      </c>
      <c r="T329" s="31" t="s">
        <v>78</v>
      </c>
      <c r="U329" s="31" t="s">
        <v>467</v>
      </c>
      <c r="V329" s="31" t="s">
        <v>1602</v>
      </c>
      <c r="W329" s="31" t="s">
        <v>1124</v>
      </c>
      <c r="X329" s="31" t="s">
        <v>1125</v>
      </c>
      <c r="Y329" s="31" t="s">
        <v>312</v>
      </c>
      <c r="Z329" s="16">
        <f>COUNTIF($X$3:X329, X329)</f>
        <v>3</v>
      </c>
      <c r="AA329" s="16" t="e">
        <v>#N/A</v>
      </c>
      <c r="AB329" s="16" t="e">
        <v>#N/A</v>
      </c>
      <c r="AC329" s="16" t="e">
        <v>#N/A</v>
      </c>
      <c r="AD329" s="16" t="e">
        <v>#N/A</v>
      </c>
      <c r="AE329" s="16" t="e">
        <v>#N/A</v>
      </c>
      <c r="AF329" s="17" t="e">
        <v>#N/A</v>
      </c>
      <c r="AG329" s="17" t="e">
        <v>#N/A</v>
      </c>
      <c r="AH329" s="17" t="e">
        <f>Tabla1[[#This Row],[Renov. Flota]]-Tabla1[[#This Row],[Año]]</f>
        <v>#N/A</v>
      </c>
      <c r="AI329" s="18" t="e">
        <v>#N/A</v>
      </c>
      <c r="AJ329" s="18" t="e">
        <f>VLOOKUP(Tabla1[[#This Row],[Matricula nueva]],'ALTA 20242025'!$B$2:$P$242,15,FALSE)</f>
        <v>#N/A</v>
      </c>
      <c r="AK329" s="19" t="e">
        <v>#N/A</v>
      </c>
      <c r="AN329" s="1"/>
      <c r="AO329" s="1" t="e">
        <f>VLOOKUP(Tabla1[[#This Row],[Matricula nueva]],Hoja2!$A$1:$B$224,2,FALSE)</f>
        <v>#N/A</v>
      </c>
      <c r="AP329" s="1" t="str">
        <f>IF(Tabla1[[#This Row],[Columna2]]="M1",5.1,"")</f>
        <v/>
      </c>
      <c r="AQ329" s="1"/>
      <c r="AR329" s="1"/>
      <c r="AS329" s="47">
        <f>IF(Tabla1[[#This Row],[Columna2]]="M1",13073,IF(Tabla1[[#This Row],[Columna2]]="N1",15815,IF(Tabla1[[#This Row],[Columna2]]="L3e",2831,53508)))</f>
        <v>53508</v>
      </c>
      <c r="AT329" s="47" t="e">
        <f>(Tabla1[[#This Row],[CVA]]*Tabla1[[#This Row],[F]]-Tabla1[[#This Row],[CVN]])/100*Tabla1[[#This Row],[L]]</f>
        <v>#VALUE!</v>
      </c>
      <c r="AU329" s="1"/>
      <c r="AV329" s="1" t="e">
        <f>VLOOKUP(B329,Tabla467824[[ID CAE2]:[AE '[kWh']]],6,FALSE)</f>
        <v>#N/A</v>
      </c>
      <c r="AW32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0" spans="1:49" ht="15" hidden="1" x14ac:dyDescent="0.25">
      <c r="A330" t="s">
        <v>1603</v>
      </c>
      <c r="B330"/>
      <c r="C330" s="31" t="s">
        <v>1604</v>
      </c>
      <c r="D330" s="31"/>
      <c r="E330" s="31"/>
      <c r="F330" s="31"/>
      <c r="G330" s="31"/>
      <c r="H330" s="31"/>
      <c r="I330" s="31"/>
      <c r="J330" s="31"/>
      <c r="K330" s="31" t="s">
        <v>73</v>
      </c>
      <c r="L330" s="31" t="s">
        <v>200</v>
      </c>
      <c r="M330" s="31" t="s">
        <v>201</v>
      </c>
      <c r="N330" s="31" t="s">
        <v>76</v>
      </c>
      <c r="O330" s="31" t="e">
        <f>VLOOKUP(Tabla1[[#This Row],[Matricula]],BAJA2022202320242025!$B$3:$CR$245,93,FALSE)</f>
        <v>#N/A</v>
      </c>
      <c r="P330" s="32">
        <v>44721</v>
      </c>
      <c r="Q330" s="32" t="e">
        <f>Tabla1[[#This Row],[F.Vig.Final]]-Tabla1[[#This Row],[f Vig Inicio]]</f>
        <v>#N/A</v>
      </c>
      <c r="R330" s="32">
        <f>YEAR(Tabla1[[#This Row],[F.Vig.Final]])</f>
        <v>2022</v>
      </c>
      <c r="S330" s="31" t="s">
        <v>77</v>
      </c>
      <c r="T330" s="31" t="s">
        <v>78</v>
      </c>
      <c r="U330" s="31" t="s">
        <v>359</v>
      </c>
      <c r="V330" s="31" t="s">
        <v>593</v>
      </c>
      <c r="W330" s="31" t="s">
        <v>1605</v>
      </c>
      <c r="X330" s="31" t="s">
        <v>1606</v>
      </c>
      <c r="Y330" s="31" t="s">
        <v>1607</v>
      </c>
      <c r="Z330" s="16">
        <f>COUNTIF($X$3:X330, X330)</f>
        <v>1</v>
      </c>
      <c r="AA330" s="16" t="e">
        <v>#N/A</v>
      </c>
      <c r="AB330" s="16" t="e">
        <v>#N/A</v>
      </c>
      <c r="AC330" s="16" t="e">
        <v>#N/A</v>
      </c>
      <c r="AD330" s="16" t="e">
        <v>#N/A</v>
      </c>
      <c r="AE330" s="16" t="e">
        <v>#N/A</v>
      </c>
      <c r="AF330" s="17" t="e">
        <v>#N/A</v>
      </c>
      <c r="AG330" s="17" t="e">
        <v>#N/A</v>
      </c>
      <c r="AH330" s="17" t="e">
        <f>Tabla1[[#This Row],[Renov. Flota]]-Tabla1[[#This Row],[Año]]</f>
        <v>#N/A</v>
      </c>
      <c r="AI330" s="18" t="e">
        <v>#N/A</v>
      </c>
      <c r="AJ330" s="18" t="e">
        <f>VLOOKUP(Tabla1[[#This Row],[Matricula nueva]],'ALTA 20242025'!$B$2:$P$242,15,FALSE)</f>
        <v>#N/A</v>
      </c>
      <c r="AK330" s="19" t="e">
        <v>#N/A</v>
      </c>
      <c r="AN330" s="1"/>
      <c r="AO330" s="1" t="e">
        <f>VLOOKUP(Tabla1[[#This Row],[Matricula nueva]],Hoja2!$A$1:$B$224,2,FALSE)</f>
        <v>#N/A</v>
      </c>
      <c r="AP330" s="1" t="str">
        <f>IF(Tabla1[[#This Row],[Columna2]]="M1",5.1,"")</f>
        <v/>
      </c>
      <c r="AQ330" s="1"/>
      <c r="AR330" s="1"/>
      <c r="AS330" s="47">
        <f>IF(Tabla1[[#This Row],[Columna2]]="M1",13073,IF(Tabla1[[#This Row],[Columna2]]="N1",15815,IF(Tabla1[[#This Row],[Columna2]]="L3e",2831,53508)))</f>
        <v>53508</v>
      </c>
      <c r="AT330" s="47" t="e">
        <f>(Tabla1[[#This Row],[CVA]]*Tabla1[[#This Row],[F]]-Tabla1[[#This Row],[CVN]])/100*Tabla1[[#This Row],[L]]</f>
        <v>#VALUE!</v>
      </c>
      <c r="AU330" s="1"/>
      <c r="AV330" s="1" t="e">
        <f>VLOOKUP(B330,Tabla467824[[ID CAE2]:[AE '[kWh']]],6,FALSE)</f>
        <v>#N/A</v>
      </c>
      <c r="AW33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1" spans="1:49" ht="15" hidden="1" x14ac:dyDescent="0.25">
      <c r="A331" t="s">
        <v>1608</v>
      </c>
      <c r="B331"/>
      <c r="C331" s="31" t="s">
        <v>1609</v>
      </c>
      <c r="D331" s="31"/>
      <c r="E331" s="31"/>
      <c r="F331" s="31"/>
      <c r="G331" s="31"/>
      <c r="H331" s="31"/>
      <c r="I331" s="31"/>
      <c r="J331" s="31"/>
      <c r="K331" s="31" t="s">
        <v>73</v>
      </c>
      <c r="L331" s="31" t="s">
        <v>172</v>
      </c>
      <c r="M331" s="31" t="s">
        <v>1127</v>
      </c>
      <c r="N331" s="31" t="s">
        <v>76</v>
      </c>
      <c r="O331" s="31" t="e">
        <f>VLOOKUP(Tabla1[[#This Row],[Matricula]],BAJA2022202320242025!$B$3:$CR$245,93,FALSE)</f>
        <v>#N/A</v>
      </c>
      <c r="P331" s="32">
        <v>44679</v>
      </c>
      <c r="Q331" s="32" t="e">
        <f>Tabla1[[#This Row],[F.Vig.Final]]-Tabla1[[#This Row],[f Vig Inicio]]</f>
        <v>#N/A</v>
      </c>
      <c r="R331" s="32">
        <f>YEAR(Tabla1[[#This Row],[F.Vig.Final]])</f>
        <v>2022</v>
      </c>
      <c r="S331" s="31" t="s">
        <v>77</v>
      </c>
      <c r="T331" s="31" t="s">
        <v>78</v>
      </c>
      <c r="U331" s="31" t="s">
        <v>85</v>
      </c>
      <c r="V331" s="31" t="s">
        <v>732</v>
      </c>
      <c r="W331" s="31" t="s">
        <v>1124</v>
      </c>
      <c r="X331" s="31" t="s">
        <v>1125</v>
      </c>
      <c r="Y331" s="31" t="s">
        <v>312</v>
      </c>
      <c r="Z331" s="16">
        <f>COUNTIF($X$3:X331, X331)</f>
        <v>4</v>
      </c>
      <c r="AA331" s="16" t="e">
        <v>#N/A</v>
      </c>
      <c r="AB331" s="16" t="e">
        <v>#N/A</v>
      </c>
      <c r="AC331" s="16" t="e">
        <v>#N/A</v>
      </c>
      <c r="AD331" s="16" t="e">
        <v>#N/A</v>
      </c>
      <c r="AE331" s="16" t="e">
        <v>#N/A</v>
      </c>
      <c r="AF331" s="17" t="e">
        <v>#N/A</v>
      </c>
      <c r="AG331" s="17" t="e">
        <v>#N/A</v>
      </c>
      <c r="AH331" s="17" t="e">
        <f>Tabla1[[#This Row],[Renov. Flota]]-Tabla1[[#This Row],[Año]]</f>
        <v>#N/A</v>
      </c>
      <c r="AI331" s="18" t="e">
        <v>#N/A</v>
      </c>
      <c r="AJ331" s="18" t="e">
        <f>VLOOKUP(Tabla1[[#This Row],[Matricula nueva]],'ALTA 20242025'!$B$2:$P$242,15,FALSE)</f>
        <v>#N/A</v>
      </c>
      <c r="AK331" s="19" t="e">
        <v>#N/A</v>
      </c>
      <c r="AN331" s="1"/>
      <c r="AO331" s="1" t="e">
        <f>VLOOKUP(Tabla1[[#This Row],[Matricula nueva]],Hoja2!$A$1:$B$224,2,FALSE)</f>
        <v>#N/A</v>
      </c>
      <c r="AP331" s="1" t="str">
        <f>IF(Tabla1[[#This Row],[Columna2]]="M1",5.1,"")</f>
        <v/>
      </c>
      <c r="AQ331" s="1"/>
      <c r="AR331" s="1"/>
      <c r="AS331" s="47">
        <f>IF(Tabla1[[#This Row],[Columna2]]="M1",13073,IF(Tabla1[[#This Row],[Columna2]]="N1",15815,IF(Tabla1[[#This Row],[Columna2]]="L3e",2831,53508)))</f>
        <v>53508</v>
      </c>
      <c r="AT331" s="47" t="e">
        <f>(Tabla1[[#This Row],[CVA]]*Tabla1[[#This Row],[F]]-Tabla1[[#This Row],[CVN]])/100*Tabla1[[#This Row],[L]]</f>
        <v>#VALUE!</v>
      </c>
      <c r="AU331" s="1"/>
      <c r="AV331" s="1" t="e">
        <f>VLOOKUP(B331,Tabla467824[[ID CAE2]:[AE '[kWh']]],6,FALSE)</f>
        <v>#N/A</v>
      </c>
      <c r="AW33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2" spans="1:49" ht="15" hidden="1" x14ac:dyDescent="0.25">
      <c r="A332" t="s">
        <v>1610</v>
      </c>
      <c r="B332"/>
      <c r="C332" s="31" t="s">
        <v>1611</v>
      </c>
      <c r="D332" s="31"/>
      <c r="E332" s="31"/>
      <c r="F332" s="31"/>
      <c r="G332" s="31"/>
      <c r="H332" s="31"/>
      <c r="I332" s="31"/>
      <c r="J332" s="31"/>
      <c r="K332" s="31" t="s">
        <v>466</v>
      </c>
      <c r="L332" s="31" t="s">
        <v>200</v>
      </c>
      <c r="M332" s="31" t="s">
        <v>201</v>
      </c>
      <c r="N332" s="31" t="s">
        <v>76</v>
      </c>
      <c r="O332" s="31" t="e">
        <f>VLOOKUP(Tabla1[[#This Row],[Matricula]],BAJA2022202320242025!$B$3:$CR$245,93,FALSE)</f>
        <v>#N/A</v>
      </c>
      <c r="P332" s="32">
        <v>44565</v>
      </c>
      <c r="Q332" s="32" t="e">
        <f>Tabla1[[#This Row],[F.Vig.Final]]-Tabla1[[#This Row],[f Vig Inicio]]</f>
        <v>#N/A</v>
      </c>
      <c r="R332" s="32">
        <f>YEAR(Tabla1[[#This Row],[F.Vig.Final]])</f>
        <v>2022</v>
      </c>
      <c r="S332" s="31" t="s">
        <v>77</v>
      </c>
      <c r="T332" s="31" t="s">
        <v>78</v>
      </c>
      <c r="U332" s="31" t="s">
        <v>1269</v>
      </c>
      <c r="V332" s="31" t="s">
        <v>1612</v>
      </c>
      <c r="W332" s="31" t="s">
        <v>1124</v>
      </c>
      <c r="X332" s="31" t="s">
        <v>1125</v>
      </c>
      <c r="Y332" s="31" t="s">
        <v>312</v>
      </c>
      <c r="Z332" s="16">
        <f>COUNTIF($X$3:X332, X332)</f>
        <v>5</v>
      </c>
      <c r="AA332" s="16" t="e">
        <v>#N/A</v>
      </c>
      <c r="AB332" s="16" t="e">
        <v>#N/A</v>
      </c>
      <c r="AC332" s="16" t="e">
        <v>#N/A</v>
      </c>
      <c r="AD332" s="16" t="e">
        <v>#N/A</v>
      </c>
      <c r="AE332" s="16" t="e">
        <v>#N/A</v>
      </c>
      <c r="AF332" s="17" t="e">
        <v>#N/A</v>
      </c>
      <c r="AG332" s="17" t="e">
        <v>#N/A</v>
      </c>
      <c r="AH332" s="17" t="e">
        <f>Tabla1[[#This Row],[Renov. Flota]]-Tabla1[[#This Row],[Año]]</f>
        <v>#N/A</v>
      </c>
      <c r="AI332" s="18" t="e">
        <v>#N/A</v>
      </c>
      <c r="AJ332" s="18" t="e">
        <f>VLOOKUP(Tabla1[[#This Row],[Matricula nueva]],'ALTA 20242025'!$B$2:$P$242,15,FALSE)</f>
        <v>#N/A</v>
      </c>
      <c r="AK332" s="19" t="e">
        <v>#N/A</v>
      </c>
      <c r="AN332" s="1"/>
      <c r="AO332" s="1" t="e">
        <f>VLOOKUP(Tabla1[[#This Row],[Matricula nueva]],Hoja2!$A$1:$B$224,2,FALSE)</f>
        <v>#N/A</v>
      </c>
      <c r="AP332" s="1" t="str">
        <f>IF(Tabla1[[#This Row],[Columna2]]="M1",5.1,"")</f>
        <v/>
      </c>
      <c r="AQ332" s="1"/>
      <c r="AR332" s="1"/>
      <c r="AS332" s="47">
        <f>IF(Tabla1[[#This Row],[Columna2]]="M1",13073,IF(Tabla1[[#This Row],[Columna2]]="N1",15815,IF(Tabla1[[#This Row],[Columna2]]="L3e",2831,53508)))</f>
        <v>53508</v>
      </c>
      <c r="AT332" s="47" t="e">
        <f>(Tabla1[[#This Row],[CVA]]*Tabla1[[#This Row],[F]]-Tabla1[[#This Row],[CVN]])/100*Tabla1[[#This Row],[L]]</f>
        <v>#VALUE!</v>
      </c>
      <c r="AU332" s="1"/>
      <c r="AV332" s="1" t="e">
        <f>VLOOKUP(B332,Tabla467824[[ID CAE2]:[AE '[kWh']]],6,FALSE)</f>
        <v>#N/A</v>
      </c>
      <c r="AW33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3" spans="1:49" ht="15" hidden="1" x14ac:dyDescent="0.25">
      <c r="A333" t="s">
        <v>1613</v>
      </c>
      <c r="B333"/>
      <c r="C333" s="31" t="s">
        <v>1614</v>
      </c>
      <c r="D333" s="31"/>
      <c r="E333" s="31"/>
      <c r="F333" s="31"/>
      <c r="G333" s="31"/>
      <c r="H333" s="31"/>
      <c r="I333" s="31"/>
      <c r="J333" s="31"/>
      <c r="K333" s="31" t="s">
        <v>73</v>
      </c>
      <c r="L333" s="31" t="s">
        <v>200</v>
      </c>
      <c r="M333" s="31" t="s">
        <v>201</v>
      </c>
      <c r="N333" s="31" t="s">
        <v>76</v>
      </c>
      <c r="O333" s="31" t="e">
        <f>VLOOKUP(Tabla1[[#This Row],[Matricula]],BAJA2022202320242025!$B$3:$CR$245,93,FALSE)</f>
        <v>#N/A</v>
      </c>
      <c r="P333" s="32">
        <v>44754</v>
      </c>
      <c r="Q333" s="32" t="e">
        <f>Tabla1[[#This Row],[F.Vig.Final]]-Tabla1[[#This Row],[f Vig Inicio]]</f>
        <v>#N/A</v>
      </c>
      <c r="R333" s="32">
        <f>YEAR(Tabla1[[#This Row],[F.Vig.Final]])</f>
        <v>2022</v>
      </c>
      <c r="S333" s="31" t="s">
        <v>77</v>
      </c>
      <c r="T333" s="31" t="s">
        <v>78</v>
      </c>
      <c r="U333" s="31" t="s">
        <v>359</v>
      </c>
      <c r="V333" s="31" t="s">
        <v>593</v>
      </c>
      <c r="W333" s="31" t="s">
        <v>81</v>
      </c>
      <c r="X333" s="31" t="s">
        <v>82</v>
      </c>
      <c r="Y333" s="31" t="s">
        <v>88</v>
      </c>
      <c r="Z333" s="16">
        <f>COUNTIF($X$3:X333, X333)</f>
        <v>19</v>
      </c>
      <c r="AA333" s="16" t="e">
        <v>#N/A</v>
      </c>
      <c r="AB333" s="16" t="e">
        <v>#N/A</v>
      </c>
      <c r="AC333" s="16" t="e">
        <v>#N/A</v>
      </c>
      <c r="AD333" s="16" t="e">
        <v>#N/A</v>
      </c>
      <c r="AE333" s="16" t="e">
        <v>#N/A</v>
      </c>
      <c r="AF333" s="17" t="e">
        <v>#N/A</v>
      </c>
      <c r="AG333" s="17" t="e">
        <v>#N/A</v>
      </c>
      <c r="AH333" s="17" t="e">
        <f>Tabla1[[#This Row],[Renov. Flota]]-Tabla1[[#This Row],[Año]]</f>
        <v>#N/A</v>
      </c>
      <c r="AI333" s="18" t="e">
        <v>#N/A</v>
      </c>
      <c r="AJ333" s="18" t="e">
        <f>VLOOKUP(Tabla1[[#This Row],[Matricula nueva]],'ALTA 20242025'!$B$2:$P$242,15,FALSE)</f>
        <v>#N/A</v>
      </c>
      <c r="AK333" s="19" t="e">
        <v>#N/A</v>
      </c>
      <c r="AN333" s="1"/>
      <c r="AO333" s="1" t="e">
        <f>VLOOKUP(Tabla1[[#This Row],[Matricula nueva]],Hoja2!$A$1:$B$224,2,FALSE)</f>
        <v>#N/A</v>
      </c>
      <c r="AP333" s="1" t="str">
        <f>IF(Tabla1[[#This Row],[Columna2]]="M1",5.1,"")</f>
        <v/>
      </c>
      <c r="AQ333" s="1"/>
      <c r="AR333" s="1"/>
      <c r="AS333" s="47">
        <f>IF(Tabla1[[#This Row],[Columna2]]="M1",13073,IF(Tabla1[[#This Row],[Columna2]]="N1",15815,IF(Tabla1[[#This Row],[Columna2]]="L3e",2831,53508)))</f>
        <v>53508</v>
      </c>
      <c r="AT333" s="47" t="e">
        <f>(Tabla1[[#This Row],[CVA]]*Tabla1[[#This Row],[F]]-Tabla1[[#This Row],[CVN]])/100*Tabla1[[#This Row],[L]]</f>
        <v>#VALUE!</v>
      </c>
      <c r="AU333" s="1"/>
      <c r="AV333" s="1" t="e">
        <f>VLOOKUP(B333,Tabla467824[[ID CAE2]:[AE '[kWh']]],6,FALSE)</f>
        <v>#N/A</v>
      </c>
      <c r="AW33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4" spans="1:49" ht="15" hidden="1" x14ac:dyDescent="0.25">
      <c r="A334" t="s">
        <v>1615</v>
      </c>
      <c r="B334"/>
      <c r="C334" s="31" t="s">
        <v>1616</v>
      </c>
      <c r="D334" s="31"/>
      <c r="E334" s="31"/>
      <c r="F334" s="31"/>
      <c r="G334" s="31"/>
      <c r="H334" s="31"/>
      <c r="I334" s="31"/>
      <c r="J334" s="31"/>
      <c r="K334" s="31" t="s">
        <v>73</v>
      </c>
      <c r="L334" s="31" t="s">
        <v>200</v>
      </c>
      <c r="M334" s="31" t="s">
        <v>201</v>
      </c>
      <c r="N334" s="31" t="s">
        <v>76</v>
      </c>
      <c r="O334" s="31" t="e">
        <f>VLOOKUP(Tabla1[[#This Row],[Matricula]],BAJA2022202320242025!$B$3:$CR$245,93,FALSE)</f>
        <v>#N/A</v>
      </c>
      <c r="P334" s="32">
        <v>44754</v>
      </c>
      <c r="Q334" s="32" t="e">
        <f>Tabla1[[#This Row],[F.Vig.Final]]-Tabla1[[#This Row],[f Vig Inicio]]</f>
        <v>#N/A</v>
      </c>
      <c r="R334" s="32">
        <f>YEAR(Tabla1[[#This Row],[F.Vig.Final]])</f>
        <v>2022</v>
      </c>
      <c r="S334" s="31" t="s">
        <v>77</v>
      </c>
      <c r="T334" s="31" t="s">
        <v>78</v>
      </c>
      <c r="U334" s="31" t="s">
        <v>359</v>
      </c>
      <c r="V334" s="31" t="s">
        <v>593</v>
      </c>
      <c r="W334" s="31" t="s">
        <v>81</v>
      </c>
      <c r="X334" s="31" t="s">
        <v>82</v>
      </c>
      <c r="Y334" s="31" t="s">
        <v>143</v>
      </c>
      <c r="Z334" s="16">
        <f>COUNTIF($X$3:X334, X334)</f>
        <v>20</v>
      </c>
      <c r="AA334" s="16" t="e">
        <v>#N/A</v>
      </c>
      <c r="AB334" s="16" t="e">
        <v>#N/A</v>
      </c>
      <c r="AC334" s="16" t="e">
        <v>#N/A</v>
      </c>
      <c r="AD334" s="16" t="e">
        <v>#N/A</v>
      </c>
      <c r="AE334" s="16" t="e">
        <v>#N/A</v>
      </c>
      <c r="AF334" s="17" t="e">
        <v>#N/A</v>
      </c>
      <c r="AG334" s="17" t="e">
        <v>#N/A</v>
      </c>
      <c r="AH334" s="17" t="e">
        <f>Tabla1[[#This Row],[Renov. Flota]]-Tabla1[[#This Row],[Año]]</f>
        <v>#N/A</v>
      </c>
      <c r="AI334" s="18" t="e">
        <v>#N/A</v>
      </c>
      <c r="AJ334" s="18" t="e">
        <f>VLOOKUP(Tabla1[[#This Row],[Matricula nueva]],'ALTA 20242025'!$B$2:$P$242,15,FALSE)</f>
        <v>#N/A</v>
      </c>
      <c r="AK334" s="19" t="e">
        <v>#N/A</v>
      </c>
      <c r="AN334" s="1"/>
      <c r="AO334" s="1" t="e">
        <f>VLOOKUP(Tabla1[[#This Row],[Matricula nueva]],Hoja2!$A$1:$B$224,2,FALSE)</f>
        <v>#N/A</v>
      </c>
      <c r="AP334" s="1" t="str">
        <f>IF(Tabla1[[#This Row],[Columna2]]="M1",5.1,"")</f>
        <v/>
      </c>
      <c r="AQ334" s="1"/>
      <c r="AR334" s="1"/>
      <c r="AS334" s="47">
        <f>IF(Tabla1[[#This Row],[Columna2]]="M1",13073,IF(Tabla1[[#This Row],[Columna2]]="N1",15815,IF(Tabla1[[#This Row],[Columna2]]="L3e",2831,53508)))</f>
        <v>53508</v>
      </c>
      <c r="AT334" s="47" t="e">
        <f>(Tabla1[[#This Row],[CVA]]*Tabla1[[#This Row],[F]]-Tabla1[[#This Row],[CVN]])/100*Tabla1[[#This Row],[L]]</f>
        <v>#VALUE!</v>
      </c>
      <c r="AU334" s="1"/>
      <c r="AV334" s="1" t="e">
        <f>VLOOKUP(B334,Tabla467824[[ID CAE2]:[AE '[kWh']]],6,FALSE)</f>
        <v>#N/A</v>
      </c>
      <c r="AW33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5" spans="1:49" ht="15" hidden="1" x14ac:dyDescent="0.25">
      <c r="A335" t="s">
        <v>1617</v>
      </c>
      <c r="B335"/>
      <c r="C335" s="31" t="s">
        <v>1618</v>
      </c>
      <c r="D335" s="31"/>
      <c r="E335" s="31"/>
      <c r="F335" s="31"/>
      <c r="G335" s="31"/>
      <c r="H335" s="31"/>
      <c r="I335" s="31"/>
      <c r="J335" s="31"/>
      <c r="K335" s="31" t="s">
        <v>73</v>
      </c>
      <c r="L335" s="31" t="s">
        <v>200</v>
      </c>
      <c r="M335" s="31" t="s">
        <v>201</v>
      </c>
      <c r="N335" s="31" t="s">
        <v>76</v>
      </c>
      <c r="O335" s="31" t="e">
        <f>VLOOKUP(Tabla1[[#This Row],[Matricula]],BAJA2022202320242025!$B$3:$CR$245,93,FALSE)</f>
        <v>#N/A</v>
      </c>
      <c r="P335" s="32">
        <v>44754</v>
      </c>
      <c r="Q335" s="32" t="e">
        <f>Tabla1[[#This Row],[F.Vig.Final]]-Tabla1[[#This Row],[f Vig Inicio]]</f>
        <v>#N/A</v>
      </c>
      <c r="R335" s="32">
        <f>YEAR(Tabla1[[#This Row],[F.Vig.Final]])</f>
        <v>2022</v>
      </c>
      <c r="S335" s="31" t="s">
        <v>77</v>
      </c>
      <c r="T335" s="31" t="s">
        <v>78</v>
      </c>
      <c r="U335" s="31" t="s">
        <v>359</v>
      </c>
      <c r="V335" s="31" t="s">
        <v>593</v>
      </c>
      <c r="W335" s="31" t="s">
        <v>81</v>
      </c>
      <c r="X335" s="31" t="s">
        <v>82</v>
      </c>
      <c r="Y335" s="31" t="s">
        <v>88</v>
      </c>
      <c r="Z335" s="16">
        <f>COUNTIF($X$3:X335, X335)</f>
        <v>21</v>
      </c>
      <c r="AA335" s="16" t="e">
        <v>#N/A</v>
      </c>
      <c r="AB335" s="16" t="e">
        <v>#N/A</v>
      </c>
      <c r="AC335" s="16" t="e">
        <v>#N/A</v>
      </c>
      <c r="AD335" s="16" t="e">
        <v>#N/A</v>
      </c>
      <c r="AE335" s="16" t="e">
        <v>#N/A</v>
      </c>
      <c r="AF335" s="17" t="e">
        <v>#N/A</v>
      </c>
      <c r="AG335" s="17" t="e">
        <v>#N/A</v>
      </c>
      <c r="AH335" s="17" t="e">
        <f>Tabla1[[#This Row],[Renov. Flota]]-Tabla1[[#This Row],[Año]]</f>
        <v>#N/A</v>
      </c>
      <c r="AI335" s="18" t="e">
        <v>#N/A</v>
      </c>
      <c r="AJ335" s="18" t="e">
        <f>VLOOKUP(Tabla1[[#This Row],[Matricula nueva]],'ALTA 20242025'!$B$2:$P$242,15,FALSE)</f>
        <v>#N/A</v>
      </c>
      <c r="AK335" s="19" t="e">
        <v>#N/A</v>
      </c>
      <c r="AN335" s="1"/>
      <c r="AO335" s="1" t="e">
        <f>VLOOKUP(Tabla1[[#This Row],[Matricula nueva]],Hoja2!$A$1:$B$224,2,FALSE)</f>
        <v>#N/A</v>
      </c>
      <c r="AP335" s="1" t="str">
        <f>IF(Tabla1[[#This Row],[Columna2]]="M1",5.1,"")</f>
        <v/>
      </c>
      <c r="AQ335" s="1"/>
      <c r="AR335" s="1"/>
      <c r="AS335" s="47">
        <f>IF(Tabla1[[#This Row],[Columna2]]="M1",13073,IF(Tabla1[[#This Row],[Columna2]]="N1",15815,IF(Tabla1[[#This Row],[Columna2]]="L3e",2831,53508)))</f>
        <v>53508</v>
      </c>
      <c r="AT335" s="47" t="e">
        <f>(Tabla1[[#This Row],[CVA]]*Tabla1[[#This Row],[F]]-Tabla1[[#This Row],[CVN]])/100*Tabla1[[#This Row],[L]]</f>
        <v>#VALUE!</v>
      </c>
      <c r="AU335" s="1"/>
      <c r="AV335" s="1" t="e">
        <f>VLOOKUP(B335,Tabla467824[[ID CAE2]:[AE '[kWh']]],6,FALSE)</f>
        <v>#N/A</v>
      </c>
      <c r="AW33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6" spans="1:49" ht="15" hidden="1" x14ac:dyDescent="0.25">
      <c r="A336" t="s">
        <v>1619</v>
      </c>
      <c r="B336"/>
      <c r="C336" s="31" t="s">
        <v>1620</v>
      </c>
      <c r="D336" s="31"/>
      <c r="E336" s="31"/>
      <c r="F336" s="31"/>
      <c r="G336" s="31"/>
      <c r="H336" s="31"/>
      <c r="I336" s="31"/>
      <c r="J336" s="31"/>
      <c r="K336" s="31" t="s">
        <v>1143</v>
      </c>
      <c r="L336" s="31" t="s">
        <v>74</v>
      </c>
      <c r="M336" s="31" t="s">
        <v>75</v>
      </c>
      <c r="N336" s="31" t="s">
        <v>76</v>
      </c>
      <c r="O336" s="31" t="e">
        <f>VLOOKUP(Tabla1[[#This Row],[Matricula]],BAJA2022202320242025!$B$3:$CR$245,93,FALSE)</f>
        <v>#N/A</v>
      </c>
      <c r="P336" s="32">
        <v>44803</v>
      </c>
      <c r="Q336" s="32" t="e">
        <f>Tabla1[[#This Row],[F.Vig.Final]]-Tabla1[[#This Row],[f Vig Inicio]]</f>
        <v>#N/A</v>
      </c>
      <c r="R336" s="32">
        <f>YEAR(Tabla1[[#This Row],[F.Vig.Final]])</f>
        <v>2022</v>
      </c>
      <c r="S336" s="31" t="s">
        <v>77</v>
      </c>
      <c r="T336" s="31" t="s">
        <v>78</v>
      </c>
      <c r="U336" s="31" t="s">
        <v>1203</v>
      </c>
      <c r="V336" s="31" t="s">
        <v>1049</v>
      </c>
      <c r="W336" s="31" t="s">
        <v>1050</v>
      </c>
      <c r="X336" s="31" t="s">
        <v>1051</v>
      </c>
      <c r="Y336" s="31" t="s">
        <v>1621</v>
      </c>
      <c r="Z336" s="16">
        <f>COUNTIF($X$3:X336, X336)</f>
        <v>12</v>
      </c>
      <c r="AA336" s="16" t="e">
        <v>#N/A</v>
      </c>
      <c r="AB336" s="16" t="e">
        <v>#N/A</v>
      </c>
      <c r="AC336" s="16" t="e">
        <v>#N/A</v>
      </c>
      <c r="AD336" s="16" t="e">
        <v>#N/A</v>
      </c>
      <c r="AE336" s="16" t="e">
        <v>#N/A</v>
      </c>
      <c r="AF336" s="17" t="e">
        <v>#N/A</v>
      </c>
      <c r="AG336" s="17" t="e">
        <v>#N/A</v>
      </c>
      <c r="AH336" s="17" t="e">
        <f>Tabla1[[#This Row],[Renov. Flota]]-Tabla1[[#This Row],[Año]]</f>
        <v>#N/A</v>
      </c>
      <c r="AI336" s="18" t="e">
        <v>#N/A</v>
      </c>
      <c r="AJ336" s="18" t="e">
        <f>VLOOKUP(Tabla1[[#This Row],[Matricula nueva]],'ALTA 20242025'!$B$2:$P$242,15,FALSE)</f>
        <v>#N/A</v>
      </c>
      <c r="AK336" s="19" t="e">
        <v>#N/A</v>
      </c>
      <c r="AN336" s="1"/>
      <c r="AO336" s="1" t="e">
        <f>VLOOKUP(Tabla1[[#This Row],[Matricula nueva]],Hoja2!$A$1:$B$224,2,FALSE)</f>
        <v>#N/A</v>
      </c>
      <c r="AP336" s="1" t="str">
        <f>IF(Tabla1[[#This Row],[Columna2]]="M1",5.1,"")</f>
        <v/>
      </c>
      <c r="AQ336" s="1"/>
      <c r="AR336" s="1"/>
      <c r="AS336" s="47">
        <f>IF(Tabla1[[#This Row],[Columna2]]="M1",13073,IF(Tabla1[[#This Row],[Columna2]]="N1",15815,IF(Tabla1[[#This Row],[Columna2]]="L3e",2831,53508)))</f>
        <v>53508</v>
      </c>
      <c r="AT336" s="47" t="e">
        <f>(Tabla1[[#This Row],[CVA]]*Tabla1[[#This Row],[F]]-Tabla1[[#This Row],[CVN]])/100*Tabla1[[#This Row],[L]]</f>
        <v>#VALUE!</v>
      </c>
      <c r="AU336" s="1"/>
      <c r="AV336" s="1" t="e">
        <f>VLOOKUP(B336,Tabla467824[[ID CAE2]:[AE '[kWh']]],6,FALSE)</f>
        <v>#N/A</v>
      </c>
      <c r="AW33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7" spans="1:49" ht="15" hidden="1" x14ac:dyDescent="0.25">
      <c r="A337" t="s">
        <v>1622</v>
      </c>
      <c r="B337"/>
      <c r="C337" s="31" t="s">
        <v>1623</v>
      </c>
      <c r="D337" s="31"/>
      <c r="E337" s="31"/>
      <c r="F337" s="31"/>
      <c r="G337" s="31"/>
      <c r="H337" s="31"/>
      <c r="I337" s="31"/>
      <c r="J337" s="31"/>
      <c r="K337" s="31" t="s">
        <v>885</v>
      </c>
      <c r="L337" s="31" t="s">
        <v>161</v>
      </c>
      <c r="M337" s="31" t="s">
        <v>886</v>
      </c>
      <c r="N337" s="31" t="s">
        <v>76</v>
      </c>
      <c r="O337" s="31" t="e">
        <f>VLOOKUP(Tabla1[[#This Row],[Matricula]],BAJA2022202320242025!$B$3:$CR$245,93,FALSE)</f>
        <v>#N/A</v>
      </c>
      <c r="P337" s="32">
        <v>44865</v>
      </c>
      <c r="Q337" s="32" t="e">
        <f>Tabla1[[#This Row],[F.Vig.Final]]-Tabla1[[#This Row],[f Vig Inicio]]</f>
        <v>#N/A</v>
      </c>
      <c r="R337" s="32">
        <f>YEAR(Tabla1[[#This Row],[F.Vig.Final]])</f>
        <v>2022</v>
      </c>
      <c r="S337" s="31" t="s">
        <v>77</v>
      </c>
      <c r="T337" s="31" t="s">
        <v>202</v>
      </c>
      <c r="U337" s="31" t="s">
        <v>416</v>
      </c>
      <c r="V337" s="31" t="s">
        <v>417</v>
      </c>
      <c r="W337" s="31" t="s">
        <v>336</v>
      </c>
      <c r="X337" s="31" t="s">
        <v>337</v>
      </c>
      <c r="Y337" s="31" t="s">
        <v>1624</v>
      </c>
      <c r="Z337" s="16">
        <f>COUNTIF($X$3:X337, X337)</f>
        <v>32</v>
      </c>
      <c r="AA337" s="16" t="e">
        <v>#N/A</v>
      </c>
      <c r="AB337" s="16" t="e">
        <v>#N/A</v>
      </c>
      <c r="AC337" s="16" t="e">
        <v>#N/A</v>
      </c>
      <c r="AD337" s="16" t="e">
        <v>#N/A</v>
      </c>
      <c r="AE337" s="16" t="e">
        <v>#N/A</v>
      </c>
      <c r="AF337" s="17" t="e">
        <v>#N/A</v>
      </c>
      <c r="AG337" s="17" t="e">
        <v>#N/A</v>
      </c>
      <c r="AH337" s="17" t="e">
        <f>Tabla1[[#This Row],[Renov. Flota]]-Tabla1[[#This Row],[Año]]</f>
        <v>#N/A</v>
      </c>
      <c r="AI337" s="18" t="e">
        <v>#N/A</v>
      </c>
      <c r="AJ337" s="18" t="e">
        <f>VLOOKUP(Tabla1[[#This Row],[Matricula nueva]],'ALTA 20242025'!$B$2:$P$242,15,FALSE)</f>
        <v>#N/A</v>
      </c>
      <c r="AK337" s="19" t="e">
        <v>#N/A</v>
      </c>
      <c r="AN337" s="1"/>
      <c r="AO337" s="1" t="e">
        <f>VLOOKUP(Tabla1[[#This Row],[Matricula nueva]],Hoja2!$A$1:$B$224,2,FALSE)</f>
        <v>#N/A</v>
      </c>
      <c r="AP337" s="1" t="str">
        <f>IF(Tabla1[[#This Row],[Columna2]]="M1",5.1,"")</f>
        <v/>
      </c>
      <c r="AQ337" s="1"/>
      <c r="AR337" s="1"/>
      <c r="AS337" s="47">
        <f>IF(Tabla1[[#This Row],[Columna2]]="M1",13073,IF(Tabla1[[#This Row],[Columna2]]="N1",15815,IF(Tabla1[[#This Row],[Columna2]]="L3e",2831,53508)))</f>
        <v>53508</v>
      </c>
      <c r="AT337" s="47" t="e">
        <f>(Tabla1[[#This Row],[CVA]]*Tabla1[[#This Row],[F]]-Tabla1[[#This Row],[CVN]])/100*Tabla1[[#This Row],[L]]</f>
        <v>#VALUE!</v>
      </c>
      <c r="AU337" s="1"/>
      <c r="AV337" s="1" t="e">
        <f>VLOOKUP(B337,Tabla467824[[ID CAE2]:[AE '[kWh']]],6,FALSE)</f>
        <v>#N/A</v>
      </c>
      <c r="AW33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8" spans="1:49" hidden="1" x14ac:dyDescent="0.2">
      <c r="C338" s="31" t="s">
        <v>1625</v>
      </c>
      <c r="D338" s="31"/>
      <c r="E338" s="31"/>
      <c r="F338" s="31"/>
      <c r="G338" s="31"/>
      <c r="H338" s="31"/>
      <c r="I338" s="31"/>
      <c r="J338" s="31"/>
      <c r="K338" s="31" t="s">
        <v>73</v>
      </c>
      <c r="L338" s="31" t="s">
        <v>200</v>
      </c>
      <c r="M338" s="31" t="s">
        <v>201</v>
      </c>
      <c r="N338" s="31" t="s">
        <v>76</v>
      </c>
      <c r="O338" s="31" t="e">
        <f>VLOOKUP(Tabla1[[#This Row],[Matricula]],BAJA2022202320242025!$B$3:$CR$245,93,FALSE)</f>
        <v>#N/A</v>
      </c>
      <c r="P338" s="32">
        <v>44563</v>
      </c>
      <c r="Q338" s="32" t="e">
        <f>Tabla1[[#This Row],[F.Vig.Final]]-Tabla1[[#This Row],[f Vig Inicio]]</f>
        <v>#N/A</v>
      </c>
      <c r="R338" s="32">
        <f>YEAR(Tabla1[[#This Row],[F.Vig.Final]])</f>
        <v>2022</v>
      </c>
      <c r="S338" s="31" t="s">
        <v>77</v>
      </c>
      <c r="T338" s="31" t="s">
        <v>674</v>
      </c>
      <c r="U338" s="31" t="s">
        <v>359</v>
      </c>
      <c r="V338" s="31" t="s">
        <v>1245</v>
      </c>
      <c r="W338" s="31" t="s">
        <v>1626</v>
      </c>
      <c r="X338" s="31" t="s">
        <v>1627</v>
      </c>
      <c r="Y338" s="31" t="s">
        <v>1628</v>
      </c>
      <c r="Z338" s="16">
        <f>COUNTIF($X$3:X338, X338)</f>
        <v>1</v>
      </c>
      <c r="AA338" s="16" t="e">
        <v>#N/A</v>
      </c>
      <c r="AB338" s="16" t="e">
        <v>#N/A</v>
      </c>
      <c r="AC338" s="16" t="e">
        <v>#N/A</v>
      </c>
      <c r="AD338" s="16" t="e">
        <v>#N/A</v>
      </c>
      <c r="AE338" s="16" t="e">
        <v>#N/A</v>
      </c>
      <c r="AF338" s="17" t="e">
        <v>#N/A</v>
      </c>
      <c r="AG338" s="17" t="e">
        <v>#N/A</v>
      </c>
      <c r="AH338" s="17" t="e">
        <f>Tabla1[[#This Row],[Renov. Flota]]-Tabla1[[#This Row],[Año]]</f>
        <v>#N/A</v>
      </c>
      <c r="AI338" s="18" t="e">
        <v>#N/A</v>
      </c>
      <c r="AJ338" s="18" t="e">
        <f>VLOOKUP(Tabla1[[#This Row],[Matricula nueva]],'ALTA 20242025'!$B$2:$P$242,15,FALSE)</f>
        <v>#N/A</v>
      </c>
      <c r="AK338" s="19" t="e">
        <v>#N/A</v>
      </c>
      <c r="AN338" s="1"/>
      <c r="AO338" s="1" t="e">
        <f>VLOOKUP(Tabla1[[#This Row],[Matricula nueva]],Hoja2!$A$1:$B$224,2,FALSE)</f>
        <v>#N/A</v>
      </c>
      <c r="AP338" s="1" t="str">
        <f>IF(Tabla1[[#This Row],[Columna2]]="M1",5.1,"")</f>
        <v/>
      </c>
      <c r="AQ338" s="1"/>
      <c r="AR338" s="1"/>
      <c r="AS338" s="47">
        <f>IF(Tabla1[[#This Row],[Columna2]]="M1",13073,IF(Tabla1[[#This Row],[Columna2]]="N1",15815,IF(Tabla1[[#This Row],[Columna2]]="L3e",2831,53508)))</f>
        <v>53508</v>
      </c>
      <c r="AT338" s="47" t="e">
        <f>(Tabla1[[#This Row],[CVA]]*Tabla1[[#This Row],[F]]-Tabla1[[#This Row],[CVN]])/100*Tabla1[[#This Row],[L]]</f>
        <v>#VALUE!</v>
      </c>
      <c r="AU338" s="1"/>
      <c r="AV338" s="1" t="e">
        <f>VLOOKUP(B338,Tabla467824[[ID CAE2]:[AE '[kWh']]],6,FALSE)</f>
        <v>#N/A</v>
      </c>
      <c r="AW33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39" spans="1:49" hidden="1" x14ac:dyDescent="0.2">
      <c r="C339" s="31" t="s">
        <v>1629</v>
      </c>
      <c r="D339" s="31"/>
      <c r="E339" s="31"/>
      <c r="F339" s="31"/>
      <c r="G339" s="31"/>
      <c r="H339" s="31"/>
      <c r="I339" s="31"/>
      <c r="J339" s="31"/>
      <c r="K339" s="31" t="s">
        <v>73</v>
      </c>
      <c r="L339" s="31" t="s">
        <v>200</v>
      </c>
      <c r="M339" s="31" t="s">
        <v>201</v>
      </c>
      <c r="N339" s="31" t="s">
        <v>76</v>
      </c>
      <c r="O339" s="31" t="e">
        <f>VLOOKUP(Tabla1[[#This Row],[Matricula]],BAJA2022202320242025!$B$3:$CR$245,93,FALSE)</f>
        <v>#N/A</v>
      </c>
      <c r="P339" s="32">
        <v>44802</v>
      </c>
      <c r="Q339" s="32" t="e">
        <f>Tabla1[[#This Row],[F.Vig.Final]]-Tabla1[[#This Row],[f Vig Inicio]]</f>
        <v>#N/A</v>
      </c>
      <c r="R339" s="32">
        <f>YEAR(Tabla1[[#This Row],[F.Vig.Final]])</f>
        <v>2022</v>
      </c>
      <c r="S339" s="31" t="s">
        <v>77</v>
      </c>
      <c r="T339" s="31" t="s">
        <v>78</v>
      </c>
      <c r="U339" s="31" t="s">
        <v>1362</v>
      </c>
      <c r="V339" s="31" t="s">
        <v>1367</v>
      </c>
      <c r="W339" s="31" t="s">
        <v>215</v>
      </c>
      <c r="X339" s="31" t="s">
        <v>216</v>
      </c>
      <c r="Y339" s="31" t="s">
        <v>1630</v>
      </c>
      <c r="Z339" s="16">
        <f>COUNTIF($X$3:X339, X339)</f>
        <v>9</v>
      </c>
      <c r="AA339" s="16" t="e">
        <v>#N/A</v>
      </c>
      <c r="AB339" s="16" t="e">
        <v>#N/A</v>
      </c>
      <c r="AC339" s="16" t="e">
        <v>#N/A</v>
      </c>
      <c r="AD339" s="16" t="e">
        <v>#N/A</v>
      </c>
      <c r="AE339" s="16" t="e">
        <v>#N/A</v>
      </c>
      <c r="AF339" s="17" t="e">
        <v>#N/A</v>
      </c>
      <c r="AG339" s="17" t="e">
        <v>#N/A</v>
      </c>
      <c r="AH339" s="17" t="e">
        <f>Tabla1[[#This Row],[Renov. Flota]]-Tabla1[[#This Row],[Año]]</f>
        <v>#N/A</v>
      </c>
      <c r="AI339" s="18" t="e">
        <v>#N/A</v>
      </c>
      <c r="AJ339" s="18" t="e">
        <f>VLOOKUP(Tabla1[[#This Row],[Matricula nueva]],'ALTA 20242025'!$B$2:$P$242,15,FALSE)</f>
        <v>#N/A</v>
      </c>
      <c r="AK339" s="19" t="e">
        <v>#N/A</v>
      </c>
      <c r="AN339" s="1"/>
      <c r="AO339" s="1" t="e">
        <f>VLOOKUP(Tabla1[[#This Row],[Matricula nueva]],Hoja2!$A$1:$B$224,2,FALSE)</f>
        <v>#N/A</v>
      </c>
      <c r="AP339" s="1" t="str">
        <f>IF(Tabla1[[#This Row],[Columna2]]="M1",5.1,"")</f>
        <v/>
      </c>
      <c r="AQ339" s="1"/>
      <c r="AR339" s="1"/>
      <c r="AS339" s="47">
        <f>IF(Tabla1[[#This Row],[Columna2]]="M1",13073,IF(Tabla1[[#This Row],[Columna2]]="N1",15815,IF(Tabla1[[#This Row],[Columna2]]="L3e",2831,53508)))</f>
        <v>53508</v>
      </c>
      <c r="AT339" s="47" t="e">
        <f>(Tabla1[[#This Row],[CVA]]*Tabla1[[#This Row],[F]]-Tabla1[[#This Row],[CVN]])/100*Tabla1[[#This Row],[L]]</f>
        <v>#VALUE!</v>
      </c>
      <c r="AU339" s="1"/>
      <c r="AV339" s="1" t="e">
        <f>VLOOKUP(B339,Tabla467824[[ID CAE2]:[AE '[kWh']]],6,FALSE)</f>
        <v>#N/A</v>
      </c>
      <c r="AW33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0" spans="1:49" hidden="1" x14ac:dyDescent="0.2">
      <c r="C340" s="31" t="s">
        <v>1631</v>
      </c>
      <c r="D340" s="31"/>
      <c r="E340" s="31"/>
      <c r="F340" s="31"/>
      <c r="G340" s="31"/>
      <c r="H340" s="31"/>
      <c r="I340" s="31"/>
      <c r="J340" s="31"/>
      <c r="K340" s="31" t="s">
        <v>1034</v>
      </c>
      <c r="L340" s="31" t="s">
        <v>200</v>
      </c>
      <c r="M340" s="31" t="s">
        <v>201</v>
      </c>
      <c r="N340" s="31" t="s">
        <v>76</v>
      </c>
      <c r="O340" s="31" t="e">
        <f>VLOOKUP(Tabla1[[#This Row],[Matricula]],BAJA2022202320242025!$B$3:$CR$245,93,FALSE)</f>
        <v>#N/A</v>
      </c>
      <c r="P340" s="32">
        <v>44673</v>
      </c>
      <c r="Q340" s="32" t="e">
        <f>Tabla1[[#This Row],[F.Vig.Final]]-Tabla1[[#This Row],[f Vig Inicio]]</f>
        <v>#N/A</v>
      </c>
      <c r="R340" s="32">
        <f>YEAR(Tabla1[[#This Row],[F.Vig.Final]])</f>
        <v>2022</v>
      </c>
      <c r="S340" s="31" t="s">
        <v>77</v>
      </c>
      <c r="T340" s="31" t="s">
        <v>202</v>
      </c>
      <c r="U340" s="31" t="s">
        <v>416</v>
      </c>
      <c r="V340" s="31" t="s">
        <v>1632</v>
      </c>
      <c r="W340" s="31" t="s">
        <v>336</v>
      </c>
      <c r="X340" s="31" t="s">
        <v>337</v>
      </c>
      <c r="Y340" s="31" t="s">
        <v>1499</v>
      </c>
      <c r="Z340" s="16">
        <f>COUNTIF($X$3:X340, X340)</f>
        <v>33</v>
      </c>
      <c r="AA340" s="16" t="e">
        <v>#N/A</v>
      </c>
      <c r="AB340" s="16" t="e">
        <v>#N/A</v>
      </c>
      <c r="AC340" s="16" t="e">
        <v>#N/A</v>
      </c>
      <c r="AD340" s="16" t="e">
        <v>#N/A</v>
      </c>
      <c r="AE340" s="16" t="e">
        <v>#N/A</v>
      </c>
      <c r="AF340" s="17" t="e">
        <v>#N/A</v>
      </c>
      <c r="AG340" s="17" t="e">
        <v>#N/A</v>
      </c>
      <c r="AH340" s="17" t="e">
        <f>Tabla1[[#This Row],[Renov. Flota]]-Tabla1[[#This Row],[Año]]</f>
        <v>#N/A</v>
      </c>
      <c r="AI340" s="18" t="e">
        <v>#N/A</v>
      </c>
      <c r="AJ340" s="18" t="e">
        <f>VLOOKUP(Tabla1[[#This Row],[Matricula nueva]],'ALTA 20242025'!$B$2:$P$242,15,FALSE)</f>
        <v>#N/A</v>
      </c>
      <c r="AK340" s="19" t="e">
        <v>#N/A</v>
      </c>
      <c r="AN340" s="1"/>
      <c r="AO340" s="1" t="e">
        <f>VLOOKUP(Tabla1[[#This Row],[Matricula nueva]],Hoja2!$A$1:$B$224,2,FALSE)</f>
        <v>#N/A</v>
      </c>
      <c r="AP340" s="1" t="str">
        <f>IF(Tabla1[[#This Row],[Columna2]]="M1",5.1,"")</f>
        <v/>
      </c>
      <c r="AQ340" s="1"/>
      <c r="AR340" s="1"/>
      <c r="AS340" s="47">
        <f>IF(Tabla1[[#This Row],[Columna2]]="M1",13073,IF(Tabla1[[#This Row],[Columna2]]="N1",15815,IF(Tabla1[[#This Row],[Columna2]]="L3e",2831,53508)))</f>
        <v>53508</v>
      </c>
      <c r="AT340" s="47" t="e">
        <f>(Tabla1[[#This Row],[CVA]]*Tabla1[[#This Row],[F]]-Tabla1[[#This Row],[CVN]])/100*Tabla1[[#This Row],[L]]</f>
        <v>#VALUE!</v>
      </c>
      <c r="AU340" s="1"/>
      <c r="AV340" s="1" t="e">
        <f>VLOOKUP(B340,Tabla467824[[ID CAE2]:[AE '[kWh']]],6,FALSE)</f>
        <v>#N/A</v>
      </c>
      <c r="AW340"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1" spans="1:49" hidden="1" x14ac:dyDescent="0.2">
      <c r="C341" s="31" t="s">
        <v>1633</v>
      </c>
      <c r="D341" s="31"/>
      <c r="E341" s="31"/>
      <c r="F341" s="31"/>
      <c r="G341" s="31"/>
      <c r="H341" s="31"/>
      <c r="I341" s="31"/>
      <c r="J341" s="31"/>
      <c r="K341" s="31" t="s">
        <v>73</v>
      </c>
      <c r="L341" s="31" t="s">
        <v>200</v>
      </c>
      <c r="M341" s="31" t="s">
        <v>201</v>
      </c>
      <c r="N341" s="31" t="s">
        <v>76</v>
      </c>
      <c r="O341" s="31" t="e">
        <f>VLOOKUP(Tabla1[[#This Row],[Matricula]],BAJA2022202320242025!$B$3:$CR$245,93,FALSE)</f>
        <v>#N/A</v>
      </c>
      <c r="P341" s="32">
        <v>44754</v>
      </c>
      <c r="Q341" s="32" t="e">
        <f>Tabla1[[#This Row],[F.Vig.Final]]-Tabla1[[#This Row],[f Vig Inicio]]</f>
        <v>#N/A</v>
      </c>
      <c r="R341" s="32">
        <f>YEAR(Tabla1[[#This Row],[F.Vig.Final]])</f>
        <v>2022</v>
      </c>
      <c r="S341" s="31" t="s">
        <v>77</v>
      </c>
      <c r="T341" s="31" t="s">
        <v>78</v>
      </c>
      <c r="U341" s="31" t="s">
        <v>359</v>
      </c>
      <c r="V341" s="31" t="s">
        <v>1424</v>
      </c>
      <c r="W341" s="31" t="s">
        <v>119</v>
      </c>
      <c r="X341" s="31" t="s">
        <v>120</v>
      </c>
      <c r="Y341" s="31" t="s">
        <v>1634</v>
      </c>
      <c r="Z341" s="16">
        <f>COUNTIF($X$3:X341, X341)</f>
        <v>40</v>
      </c>
      <c r="AA341" s="16" t="e">
        <v>#N/A</v>
      </c>
      <c r="AB341" s="16" t="e">
        <v>#N/A</v>
      </c>
      <c r="AC341" s="16" t="e">
        <v>#N/A</v>
      </c>
      <c r="AD341" s="16" t="e">
        <v>#N/A</v>
      </c>
      <c r="AE341" s="16" t="e">
        <v>#N/A</v>
      </c>
      <c r="AF341" s="17" t="e">
        <v>#N/A</v>
      </c>
      <c r="AG341" s="17" t="e">
        <v>#N/A</v>
      </c>
      <c r="AH341" s="17" t="e">
        <f>Tabla1[[#This Row],[Renov. Flota]]-Tabla1[[#This Row],[Año]]</f>
        <v>#N/A</v>
      </c>
      <c r="AI341" s="18" t="e">
        <v>#N/A</v>
      </c>
      <c r="AJ341" s="18" t="e">
        <f>VLOOKUP(Tabla1[[#This Row],[Matricula nueva]],'ALTA 20242025'!$B$2:$P$242,15,FALSE)</f>
        <v>#N/A</v>
      </c>
      <c r="AK341" s="19" t="e">
        <v>#N/A</v>
      </c>
      <c r="AN341" s="1"/>
      <c r="AO341" s="1" t="e">
        <f>VLOOKUP(Tabla1[[#This Row],[Matricula nueva]],Hoja2!$A$1:$B$224,2,FALSE)</f>
        <v>#N/A</v>
      </c>
      <c r="AP341" s="1" t="str">
        <f>IF(Tabla1[[#This Row],[Columna2]]="M1",5.1,"")</f>
        <v/>
      </c>
      <c r="AQ341" s="1"/>
      <c r="AR341" s="1"/>
      <c r="AS341" s="47">
        <f>IF(Tabla1[[#This Row],[Columna2]]="M1",13073,IF(Tabla1[[#This Row],[Columna2]]="N1",15815,IF(Tabla1[[#This Row],[Columna2]]="L3e",2831,53508)))</f>
        <v>53508</v>
      </c>
      <c r="AT341" s="47" t="e">
        <f>(Tabla1[[#This Row],[CVA]]*Tabla1[[#This Row],[F]]-Tabla1[[#This Row],[CVN]])/100*Tabla1[[#This Row],[L]]</f>
        <v>#VALUE!</v>
      </c>
      <c r="AU341" s="1"/>
      <c r="AV341" s="1" t="e">
        <f>VLOOKUP(B341,Tabla467824[[ID CAE2]:[AE '[kWh']]],6,FALSE)</f>
        <v>#N/A</v>
      </c>
      <c r="AW341"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2" spans="1:49" hidden="1" x14ac:dyDescent="0.2">
      <c r="C342" s="31" t="s">
        <v>1635</v>
      </c>
      <c r="D342" s="31"/>
      <c r="E342" s="31"/>
      <c r="F342" s="31"/>
      <c r="G342" s="31"/>
      <c r="H342" s="31"/>
      <c r="I342" s="31"/>
      <c r="J342" s="31"/>
      <c r="K342" s="31" t="s">
        <v>1034</v>
      </c>
      <c r="L342" s="31" t="s">
        <v>200</v>
      </c>
      <c r="M342" s="31" t="s">
        <v>201</v>
      </c>
      <c r="N342" s="31" t="s">
        <v>160</v>
      </c>
      <c r="O342" s="31" t="e">
        <f>VLOOKUP(Tabla1[[#This Row],[Matricula]],BAJA2022202320242025!$B$3:$CR$245,93,FALSE)</f>
        <v>#N/A</v>
      </c>
      <c r="P342" s="32">
        <v>44673</v>
      </c>
      <c r="Q342" s="32" t="e">
        <f>Tabla1[[#This Row],[F.Vig.Final]]-Tabla1[[#This Row],[f Vig Inicio]]</f>
        <v>#N/A</v>
      </c>
      <c r="R342" s="32">
        <f>YEAR(Tabla1[[#This Row],[F.Vig.Final]])</f>
        <v>2022</v>
      </c>
      <c r="S342" s="31" t="s">
        <v>161</v>
      </c>
      <c r="T342" s="31" t="s">
        <v>202</v>
      </c>
      <c r="U342" s="31" t="s">
        <v>416</v>
      </c>
      <c r="V342" s="31" t="s">
        <v>1632</v>
      </c>
      <c r="W342" s="31" t="s">
        <v>336</v>
      </c>
      <c r="X342" s="31" t="s">
        <v>337</v>
      </c>
      <c r="Y342" s="31" t="s">
        <v>1499</v>
      </c>
      <c r="Z342" s="16">
        <f>COUNTIF($X$3:X342, X342)</f>
        <v>34</v>
      </c>
      <c r="AA342" s="16" t="e">
        <v>#N/A</v>
      </c>
      <c r="AB342" s="16" t="e">
        <v>#N/A</v>
      </c>
      <c r="AC342" s="16" t="e">
        <v>#N/A</v>
      </c>
      <c r="AD342" s="16" t="e">
        <v>#N/A</v>
      </c>
      <c r="AE342" s="16" t="e">
        <v>#N/A</v>
      </c>
      <c r="AF342" s="17" t="e">
        <v>#N/A</v>
      </c>
      <c r="AG342" s="17" t="e">
        <v>#N/A</v>
      </c>
      <c r="AH342" s="17" t="e">
        <f>Tabla1[[#This Row],[Renov. Flota]]-Tabla1[[#This Row],[Año]]</f>
        <v>#N/A</v>
      </c>
      <c r="AI342" s="18" t="e">
        <v>#N/A</v>
      </c>
      <c r="AJ342" s="18" t="e">
        <f>VLOOKUP(Tabla1[[#This Row],[Matricula nueva]],'ALTA 20242025'!$B$2:$P$242,15,FALSE)</f>
        <v>#N/A</v>
      </c>
      <c r="AK342" s="19" t="e">
        <v>#N/A</v>
      </c>
      <c r="AN342" s="1"/>
      <c r="AO342" s="1" t="e">
        <f>VLOOKUP(Tabla1[[#This Row],[Matricula nueva]],Hoja2!$A$1:$B$224,2,FALSE)</f>
        <v>#N/A</v>
      </c>
      <c r="AP342" s="1" t="str">
        <f>IF(Tabla1[[#This Row],[Columna2]]="M1",5.1,"")</f>
        <v/>
      </c>
      <c r="AQ342" s="1"/>
      <c r="AR342" s="1"/>
      <c r="AS342" s="47">
        <f>IF(Tabla1[[#This Row],[Columna2]]="M1",13073,IF(Tabla1[[#This Row],[Columna2]]="N1",15815,IF(Tabla1[[#This Row],[Columna2]]="L3e",2831,53508)))</f>
        <v>53508</v>
      </c>
      <c r="AT342" s="47" t="e">
        <f>(Tabla1[[#This Row],[CVA]]*Tabla1[[#This Row],[F]]-Tabla1[[#This Row],[CVN]])/100*Tabla1[[#This Row],[L]]</f>
        <v>#VALUE!</v>
      </c>
      <c r="AU342" s="1"/>
      <c r="AV342" s="1" t="e">
        <f>VLOOKUP(B342,Tabla467824[[ID CAE2]:[AE '[kWh']]],6,FALSE)</f>
        <v>#N/A</v>
      </c>
      <c r="AW342"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3" spans="1:49" hidden="1" x14ac:dyDescent="0.2">
      <c r="C343" s="31" t="s">
        <v>1636</v>
      </c>
      <c r="D343" s="31"/>
      <c r="E343" s="31"/>
      <c r="F343" s="31"/>
      <c r="G343" s="31"/>
      <c r="H343" s="31"/>
      <c r="I343" s="31"/>
      <c r="J343" s="31"/>
      <c r="K343" s="31" t="s">
        <v>73</v>
      </c>
      <c r="L343" s="31" t="s">
        <v>200</v>
      </c>
      <c r="M343" s="31" t="s">
        <v>201</v>
      </c>
      <c r="N343" s="31" t="s">
        <v>76</v>
      </c>
      <c r="O343" s="31" t="e">
        <f>VLOOKUP(Tabla1[[#This Row],[Matricula]],BAJA2022202320242025!$B$3:$CR$245,93,FALSE)</f>
        <v>#N/A</v>
      </c>
      <c r="P343" s="32">
        <v>44791</v>
      </c>
      <c r="Q343" s="32" t="e">
        <f>Tabla1[[#This Row],[F.Vig.Final]]-Tabla1[[#This Row],[f Vig Inicio]]</f>
        <v>#N/A</v>
      </c>
      <c r="R343" s="32">
        <f>YEAR(Tabla1[[#This Row],[F.Vig.Final]])</f>
        <v>2022</v>
      </c>
      <c r="S343" s="31" t="s">
        <v>77</v>
      </c>
      <c r="T343" s="31" t="s">
        <v>78</v>
      </c>
      <c r="U343" s="31" t="s">
        <v>359</v>
      </c>
      <c r="V343" s="31" t="s">
        <v>1559</v>
      </c>
      <c r="W343" s="31" t="s">
        <v>584</v>
      </c>
      <c r="X343" s="31" t="s">
        <v>585</v>
      </c>
      <c r="Y343" s="31" t="s">
        <v>1637</v>
      </c>
      <c r="Z343" s="16">
        <f>COUNTIF($X$3:X343, X343)</f>
        <v>26</v>
      </c>
      <c r="AA343" s="16" t="e">
        <v>#N/A</v>
      </c>
      <c r="AB343" s="16" t="e">
        <v>#N/A</v>
      </c>
      <c r="AC343" s="16" t="e">
        <v>#N/A</v>
      </c>
      <c r="AD343" s="16" t="e">
        <v>#N/A</v>
      </c>
      <c r="AE343" s="16" t="e">
        <v>#N/A</v>
      </c>
      <c r="AF343" s="17" t="e">
        <v>#N/A</v>
      </c>
      <c r="AG343" s="17" t="e">
        <v>#N/A</v>
      </c>
      <c r="AH343" s="17" t="e">
        <f>Tabla1[[#This Row],[Renov. Flota]]-Tabla1[[#This Row],[Año]]</f>
        <v>#N/A</v>
      </c>
      <c r="AI343" s="18" t="e">
        <v>#N/A</v>
      </c>
      <c r="AJ343" s="18" t="e">
        <f>VLOOKUP(Tabla1[[#This Row],[Matricula nueva]],'ALTA 20242025'!$B$2:$P$242,15,FALSE)</f>
        <v>#N/A</v>
      </c>
      <c r="AK343" s="19" t="e">
        <v>#N/A</v>
      </c>
      <c r="AN343" s="1"/>
      <c r="AO343" s="1" t="e">
        <f>VLOOKUP(Tabla1[[#This Row],[Matricula nueva]],Hoja2!$A$1:$B$224,2,FALSE)</f>
        <v>#N/A</v>
      </c>
      <c r="AP343" s="1" t="str">
        <f>IF(Tabla1[[#This Row],[Columna2]]="M1",5.1,"")</f>
        <v/>
      </c>
      <c r="AQ343" s="1"/>
      <c r="AR343" s="1"/>
      <c r="AS343" s="47">
        <f>IF(Tabla1[[#This Row],[Columna2]]="M1",13073,IF(Tabla1[[#This Row],[Columna2]]="N1",15815,IF(Tabla1[[#This Row],[Columna2]]="L3e",2831,53508)))</f>
        <v>53508</v>
      </c>
      <c r="AT343" s="47" t="e">
        <f>(Tabla1[[#This Row],[CVA]]*Tabla1[[#This Row],[F]]-Tabla1[[#This Row],[CVN]])/100*Tabla1[[#This Row],[L]]</f>
        <v>#VALUE!</v>
      </c>
      <c r="AU343" s="1"/>
      <c r="AV343" s="1" t="e">
        <f>VLOOKUP(B343,Tabla467824[[ID CAE2]:[AE '[kWh']]],6,FALSE)</f>
        <v>#N/A</v>
      </c>
      <c r="AW343"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4" spans="1:49" hidden="1" x14ac:dyDescent="0.2">
      <c r="C344" s="31" t="s">
        <v>1638</v>
      </c>
      <c r="D344" s="31"/>
      <c r="E344" s="31"/>
      <c r="F344" s="31"/>
      <c r="G344" s="31"/>
      <c r="H344" s="31"/>
      <c r="I344" s="31"/>
      <c r="J344" s="31"/>
      <c r="K344" s="31" t="s">
        <v>885</v>
      </c>
      <c r="L344" s="31" t="s">
        <v>161</v>
      </c>
      <c r="M344" s="31" t="s">
        <v>886</v>
      </c>
      <c r="N344" s="31" t="s">
        <v>76</v>
      </c>
      <c r="O344" s="31" t="e">
        <f>VLOOKUP(Tabla1[[#This Row],[Matricula]],BAJA2022202320242025!$B$3:$CR$245,93,FALSE)</f>
        <v>#N/A</v>
      </c>
      <c r="P344" s="32">
        <v>44865</v>
      </c>
      <c r="Q344" s="32" t="e">
        <f>Tabla1[[#This Row],[F.Vig.Final]]-Tabla1[[#This Row],[f Vig Inicio]]</f>
        <v>#N/A</v>
      </c>
      <c r="R344" s="32">
        <f>YEAR(Tabla1[[#This Row],[F.Vig.Final]])</f>
        <v>2022</v>
      </c>
      <c r="S344" s="31" t="s">
        <v>77</v>
      </c>
      <c r="T344" s="31" t="s">
        <v>78</v>
      </c>
      <c r="U344" s="31" t="s">
        <v>887</v>
      </c>
      <c r="V344" s="31" t="s">
        <v>1639</v>
      </c>
      <c r="W344" s="31" t="s">
        <v>336</v>
      </c>
      <c r="X344" s="31" t="s">
        <v>337</v>
      </c>
      <c r="Y344" s="31" t="s">
        <v>1624</v>
      </c>
      <c r="Z344" s="16">
        <f>COUNTIF($X$3:X344, X344)</f>
        <v>35</v>
      </c>
      <c r="AA344" s="16" t="e">
        <v>#N/A</v>
      </c>
      <c r="AB344" s="16" t="e">
        <v>#N/A</v>
      </c>
      <c r="AC344" s="16" t="e">
        <v>#N/A</v>
      </c>
      <c r="AD344" s="16" t="e">
        <v>#N/A</v>
      </c>
      <c r="AE344" s="16" t="e">
        <v>#N/A</v>
      </c>
      <c r="AF344" s="17" t="e">
        <v>#N/A</v>
      </c>
      <c r="AG344" s="17" t="e">
        <v>#N/A</v>
      </c>
      <c r="AH344" s="17" t="e">
        <f>Tabla1[[#This Row],[Renov. Flota]]-Tabla1[[#This Row],[Año]]</f>
        <v>#N/A</v>
      </c>
      <c r="AI344" s="18" t="e">
        <v>#N/A</v>
      </c>
      <c r="AJ344" s="18" t="e">
        <f>VLOOKUP(Tabla1[[#This Row],[Matricula nueva]],'ALTA 20242025'!$B$2:$P$242,15,FALSE)</f>
        <v>#N/A</v>
      </c>
      <c r="AK344" s="19" t="e">
        <v>#N/A</v>
      </c>
      <c r="AN344" s="1"/>
      <c r="AO344" s="1" t="e">
        <f>VLOOKUP(Tabla1[[#This Row],[Matricula nueva]],Hoja2!$A$1:$B$224,2,FALSE)</f>
        <v>#N/A</v>
      </c>
      <c r="AP344" s="1" t="str">
        <f>IF(Tabla1[[#This Row],[Columna2]]="M1",5.1,"")</f>
        <v/>
      </c>
      <c r="AQ344" s="1"/>
      <c r="AR344" s="1"/>
      <c r="AS344" s="47">
        <f>IF(Tabla1[[#This Row],[Columna2]]="M1",13073,IF(Tabla1[[#This Row],[Columna2]]="N1",15815,IF(Tabla1[[#This Row],[Columna2]]="L3e",2831,53508)))</f>
        <v>53508</v>
      </c>
      <c r="AT344" s="47" t="e">
        <f>(Tabla1[[#This Row],[CVA]]*Tabla1[[#This Row],[F]]-Tabla1[[#This Row],[CVN]])/100*Tabla1[[#This Row],[L]]</f>
        <v>#VALUE!</v>
      </c>
      <c r="AU344" s="1"/>
      <c r="AV344" s="1" t="e">
        <f>VLOOKUP(B344,Tabla467824[[ID CAE2]:[AE '[kWh']]],6,FALSE)</f>
        <v>#N/A</v>
      </c>
      <c r="AW344"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5" spans="1:49" hidden="1" x14ac:dyDescent="0.2">
      <c r="C345" s="31" t="s">
        <v>1640</v>
      </c>
      <c r="D345" s="31"/>
      <c r="E345" s="31"/>
      <c r="F345" s="31"/>
      <c r="G345" s="31"/>
      <c r="H345" s="31"/>
      <c r="I345" s="31"/>
      <c r="J345" s="31"/>
      <c r="K345" s="31" t="s">
        <v>73</v>
      </c>
      <c r="L345" s="31" t="s">
        <v>200</v>
      </c>
      <c r="M345" s="31" t="s">
        <v>201</v>
      </c>
      <c r="N345" s="31" t="s">
        <v>76</v>
      </c>
      <c r="O345" s="31" t="e">
        <f>VLOOKUP(Tabla1[[#This Row],[Matricula]],BAJA2022202320242025!$B$3:$CR$245,93,FALSE)</f>
        <v>#N/A</v>
      </c>
      <c r="P345" s="32">
        <v>44828</v>
      </c>
      <c r="Q345" s="32" t="e">
        <f>Tabla1[[#This Row],[F.Vig.Final]]-Tabla1[[#This Row],[f Vig Inicio]]</f>
        <v>#N/A</v>
      </c>
      <c r="R345" s="32">
        <f>YEAR(Tabla1[[#This Row],[F.Vig.Final]])</f>
        <v>2022</v>
      </c>
      <c r="S345" s="31" t="s">
        <v>77</v>
      </c>
      <c r="T345" s="31" t="s">
        <v>78</v>
      </c>
      <c r="U345" s="31" t="s">
        <v>359</v>
      </c>
      <c r="V345" s="31" t="s">
        <v>604</v>
      </c>
      <c r="W345" s="31" t="s">
        <v>131</v>
      </c>
      <c r="X345" s="31" t="s">
        <v>132</v>
      </c>
      <c r="Y345" s="31" t="s">
        <v>1457</v>
      </c>
      <c r="Z345" s="16">
        <f>COUNTIF($X$3:X345, X345)</f>
        <v>49</v>
      </c>
      <c r="AA345" s="16" t="e">
        <v>#N/A</v>
      </c>
      <c r="AB345" s="16" t="e">
        <v>#N/A</v>
      </c>
      <c r="AC345" s="16" t="e">
        <v>#N/A</v>
      </c>
      <c r="AD345" s="16" t="e">
        <v>#N/A</v>
      </c>
      <c r="AE345" s="16" t="e">
        <v>#N/A</v>
      </c>
      <c r="AF345" s="17" t="e">
        <v>#N/A</v>
      </c>
      <c r="AG345" s="17" t="e">
        <v>#N/A</v>
      </c>
      <c r="AH345" s="17" t="e">
        <f>Tabla1[[#This Row],[Renov. Flota]]-Tabla1[[#This Row],[Año]]</f>
        <v>#N/A</v>
      </c>
      <c r="AI345" s="18" t="e">
        <v>#N/A</v>
      </c>
      <c r="AJ345" s="18" t="e">
        <f>VLOOKUP(Tabla1[[#This Row],[Matricula nueva]],'ALTA 20242025'!$B$2:$P$242,15,FALSE)</f>
        <v>#N/A</v>
      </c>
      <c r="AK345" s="19" t="e">
        <v>#N/A</v>
      </c>
      <c r="AN345" s="1"/>
      <c r="AO345" s="1" t="e">
        <f>VLOOKUP(Tabla1[[#This Row],[Matricula nueva]],Hoja2!$A$1:$B$224,2,FALSE)</f>
        <v>#N/A</v>
      </c>
      <c r="AP345" s="1" t="str">
        <f>IF(Tabla1[[#This Row],[Columna2]]="M1",5.1,"")</f>
        <v/>
      </c>
      <c r="AQ345" s="1"/>
      <c r="AR345" s="1"/>
      <c r="AS345" s="47">
        <f>IF(Tabla1[[#This Row],[Columna2]]="M1",13073,IF(Tabla1[[#This Row],[Columna2]]="N1",15815,IF(Tabla1[[#This Row],[Columna2]]="L3e",2831,53508)))</f>
        <v>53508</v>
      </c>
      <c r="AT345" s="47" t="e">
        <f>(Tabla1[[#This Row],[CVA]]*Tabla1[[#This Row],[F]]-Tabla1[[#This Row],[CVN]])/100*Tabla1[[#This Row],[L]]</f>
        <v>#VALUE!</v>
      </c>
      <c r="AU345" s="1"/>
      <c r="AV345" s="1" t="e">
        <f>VLOOKUP(B345,Tabla467824[[ID CAE2]:[AE '[kWh']]],6,FALSE)</f>
        <v>#N/A</v>
      </c>
      <c r="AW345"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6" spans="1:49" hidden="1" x14ac:dyDescent="0.2">
      <c r="C346" s="31" t="s">
        <v>1641</v>
      </c>
      <c r="D346" s="31"/>
      <c r="E346" s="31"/>
      <c r="F346" s="31"/>
      <c r="G346" s="31"/>
      <c r="H346" s="31"/>
      <c r="I346" s="31"/>
      <c r="J346" s="31"/>
      <c r="K346" s="31" t="s">
        <v>1642</v>
      </c>
      <c r="L346" s="31" t="s">
        <v>74</v>
      </c>
      <c r="M346" s="31" t="s">
        <v>75</v>
      </c>
      <c r="N346" s="31" t="s">
        <v>160</v>
      </c>
      <c r="O346" s="31" t="e">
        <f>VLOOKUP(Tabla1[[#This Row],[Matricula]],BAJA2022202320242025!$B$3:$CR$245,93,FALSE)</f>
        <v>#N/A</v>
      </c>
      <c r="P346" s="32">
        <v>44609</v>
      </c>
      <c r="Q346" s="32" t="e">
        <f>Tabla1[[#This Row],[F.Vig.Final]]-Tabla1[[#This Row],[f Vig Inicio]]</f>
        <v>#N/A</v>
      </c>
      <c r="R346" s="32">
        <f>YEAR(Tabla1[[#This Row],[F.Vig.Final]])</f>
        <v>2022</v>
      </c>
      <c r="S346" s="31" t="s">
        <v>161</v>
      </c>
      <c r="T346" s="31" t="s">
        <v>87</v>
      </c>
      <c r="U346" s="31" t="s">
        <v>85</v>
      </c>
      <c r="V346" s="31" t="s">
        <v>1643</v>
      </c>
      <c r="W346" s="31" t="s">
        <v>336</v>
      </c>
      <c r="X346" s="31" t="s">
        <v>337</v>
      </c>
      <c r="Y346" s="31" t="s">
        <v>630</v>
      </c>
      <c r="Z346" s="16">
        <f>COUNTIF($X$3:X346, X346)</f>
        <v>36</v>
      </c>
      <c r="AA346" s="16" t="e">
        <v>#N/A</v>
      </c>
      <c r="AB346" s="16" t="e">
        <v>#N/A</v>
      </c>
      <c r="AC346" s="16" t="e">
        <v>#N/A</v>
      </c>
      <c r="AD346" s="16" t="e">
        <v>#N/A</v>
      </c>
      <c r="AE346" s="16" t="e">
        <v>#N/A</v>
      </c>
      <c r="AF346" s="17" t="e">
        <v>#N/A</v>
      </c>
      <c r="AG346" s="17" t="e">
        <v>#N/A</v>
      </c>
      <c r="AH346" s="17" t="e">
        <f>Tabla1[[#This Row],[Renov. Flota]]-Tabla1[[#This Row],[Año]]</f>
        <v>#N/A</v>
      </c>
      <c r="AI346" s="18" t="e">
        <v>#N/A</v>
      </c>
      <c r="AJ346" s="18" t="e">
        <f>VLOOKUP(Tabla1[[#This Row],[Matricula nueva]],'ALTA 20242025'!$B$2:$P$242,15,FALSE)</f>
        <v>#N/A</v>
      </c>
      <c r="AK346" s="19" t="e">
        <v>#N/A</v>
      </c>
      <c r="AN346" s="1"/>
      <c r="AO346" s="1" t="e">
        <f>VLOOKUP(Tabla1[[#This Row],[Matricula nueva]],Hoja2!$A$1:$B$224,2,FALSE)</f>
        <v>#N/A</v>
      </c>
      <c r="AP346" s="1" t="str">
        <f>IF(Tabla1[[#This Row],[Columna2]]="M1",5.1,"")</f>
        <v/>
      </c>
      <c r="AQ346" s="1"/>
      <c r="AR346" s="1"/>
      <c r="AS346" s="47">
        <f>IF(Tabla1[[#This Row],[Columna2]]="M1",13073,IF(Tabla1[[#This Row],[Columna2]]="N1",15815,IF(Tabla1[[#This Row],[Columna2]]="L3e",2831,53508)))</f>
        <v>53508</v>
      </c>
      <c r="AT346" s="47" t="e">
        <f>(Tabla1[[#This Row],[CVA]]*Tabla1[[#This Row],[F]]-Tabla1[[#This Row],[CVN]])/100*Tabla1[[#This Row],[L]]</f>
        <v>#VALUE!</v>
      </c>
      <c r="AU346" s="1"/>
      <c r="AV346" s="1" t="e">
        <f>VLOOKUP(B346,Tabla467824[[ID CAE2]:[AE '[kWh']]],6,FALSE)</f>
        <v>#N/A</v>
      </c>
      <c r="AW346"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7" spans="1:49" hidden="1" x14ac:dyDescent="0.2">
      <c r="C347" s="31" t="s">
        <v>1644</v>
      </c>
      <c r="D347" s="31"/>
      <c r="E347" s="31"/>
      <c r="F347" s="31"/>
      <c r="G347" s="31"/>
      <c r="H347" s="31"/>
      <c r="I347" s="31"/>
      <c r="J347" s="31"/>
      <c r="K347" s="31" t="s">
        <v>158</v>
      </c>
      <c r="L347" s="31" t="s">
        <v>159</v>
      </c>
      <c r="M347" s="31" t="s">
        <v>158</v>
      </c>
      <c r="N347" s="31" t="s">
        <v>171</v>
      </c>
      <c r="O347" s="31" t="e">
        <f>VLOOKUP(Tabla1[[#This Row],[Matricula]],BAJA2022202320242025!$B$3:$CR$245,93,FALSE)</f>
        <v>#N/A</v>
      </c>
      <c r="P347" s="32">
        <v>44599</v>
      </c>
      <c r="Q347" s="32" t="e">
        <f>Tabla1[[#This Row],[F.Vig.Final]]-Tabla1[[#This Row],[f Vig Inicio]]</f>
        <v>#N/A</v>
      </c>
      <c r="R347" s="32">
        <f>YEAR(Tabla1[[#This Row],[F.Vig.Final]])</f>
        <v>2022</v>
      </c>
      <c r="S347" s="31" t="s">
        <v>172</v>
      </c>
      <c r="T347" s="31" t="s">
        <v>78</v>
      </c>
      <c r="U347" s="31" t="s">
        <v>1338</v>
      </c>
      <c r="V347" s="31" t="s">
        <v>1338</v>
      </c>
      <c r="W347" s="31" t="s">
        <v>131</v>
      </c>
      <c r="X347" s="31" t="s">
        <v>132</v>
      </c>
      <c r="Y347" s="31" t="s">
        <v>427</v>
      </c>
      <c r="Z347" s="16">
        <f>COUNTIF($X$3:X347, X347)</f>
        <v>50</v>
      </c>
      <c r="AA347" s="16" t="e">
        <v>#N/A</v>
      </c>
      <c r="AB347" s="16" t="e">
        <v>#N/A</v>
      </c>
      <c r="AC347" s="16" t="e">
        <v>#N/A</v>
      </c>
      <c r="AD347" s="16" t="e">
        <v>#N/A</v>
      </c>
      <c r="AE347" s="16" t="e">
        <v>#N/A</v>
      </c>
      <c r="AF347" s="17" t="e">
        <v>#N/A</v>
      </c>
      <c r="AG347" s="17" t="e">
        <v>#N/A</v>
      </c>
      <c r="AH347" s="17" t="e">
        <f>Tabla1[[#This Row],[Renov. Flota]]-Tabla1[[#This Row],[Año]]</f>
        <v>#N/A</v>
      </c>
      <c r="AI347" s="18" t="e">
        <v>#N/A</v>
      </c>
      <c r="AJ347" s="18" t="e">
        <f>VLOOKUP(Tabla1[[#This Row],[Matricula nueva]],'ALTA 20242025'!$B$2:$P$242,15,FALSE)</f>
        <v>#N/A</v>
      </c>
      <c r="AK347" s="19" t="e">
        <v>#N/A</v>
      </c>
      <c r="AN347" s="1"/>
      <c r="AO347" s="1" t="e">
        <f>VLOOKUP(Tabla1[[#This Row],[Matricula nueva]],Hoja2!$A$1:$B$224,2,FALSE)</f>
        <v>#N/A</v>
      </c>
      <c r="AP347" s="1" t="str">
        <f>IF(Tabla1[[#This Row],[Columna2]]="M1",5.1,"")</f>
        <v/>
      </c>
      <c r="AQ347" s="1"/>
      <c r="AR347" s="1"/>
      <c r="AS347" s="47">
        <f>IF(Tabla1[[#This Row],[Columna2]]="M1",13073,IF(Tabla1[[#This Row],[Columna2]]="N1",15815,IF(Tabla1[[#This Row],[Columna2]]="L3e",2831,53508)))</f>
        <v>53508</v>
      </c>
      <c r="AT347" s="47" t="e">
        <f>(Tabla1[[#This Row],[CVA]]*Tabla1[[#This Row],[F]]-Tabla1[[#This Row],[CVN]])/100*Tabla1[[#This Row],[L]]</f>
        <v>#VALUE!</v>
      </c>
      <c r="AU347" s="1"/>
      <c r="AV347" s="1" t="e">
        <f>VLOOKUP(B347,Tabla467824[[ID CAE2]:[AE '[kWh']]],6,FALSE)</f>
        <v>#N/A</v>
      </c>
      <c r="AW347"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48" spans="1:49" hidden="1" x14ac:dyDescent="0.2">
      <c r="C348" s="31" t="s">
        <v>1645</v>
      </c>
      <c r="D348" s="31"/>
      <c r="E348" s="31"/>
      <c r="F348" s="31"/>
      <c r="G348" s="31"/>
      <c r="H348" s="31"/>
      <c r="I348" s="31"/>
      <c r="J348" s="31"/>
      <c r="K348" s="31" t="s">
        <v>1646</v>
      </c>
      <c r="L348" s="31" t="s">
        <v>74</v>
      </c>
      <c r="M348" s="31" t="s">
        <v>75</v>
      </c>
      <c r="N348" s="31" t="s">
        <v>76</v>
      </c>
      <c r="O348" s="31" t="e">
        <f>VLOOKUP(Tabla1[[#This Row],[Matricula]],BAJA2022202320242025!$B$3:$CR$245,93,FALSE)</f>
        <v>#N/A</v>
      </c>
      <c r="P348" s="32">
        <v>44834</v>
      </c>
      <c r="Q348" s="32" t="e">
        <f>Tabla1[[#This Row],[F.Vig.Final]]-Tabla1[[#This Row],[f Vig Inicio]]</f>
        <v>#N/A</v>
      </c>
      <c r="R348" s="32">
        <f>YEAR(Tabla1[[#This Row],[F.Vig.Final]])</f>
        <v>2022</v>
      </c>
      <c r="S348" s="31" t="s">
        <v>77</v>
      </c>
      <c r="T348" s="31" t="s">
        <v>78</v>
      </c>
      <c r="U348" s="31" t="s">
        <v>1646</v>
      </c>
      <c r="V348" s="31" t="s">
        <v>1647</v>
      </c>
      <c r="W348" s="31" t="s">
        <v>1050</v>
      </c>
      <c r="X348" s="31" t="s">
        <v>1051</v>
      </c>
      <c r="Y348" s="31" t="s">
        <v>1052</v>
      </c>
      <c r="Z348" s="16">
        <f>COUNTIF($X$3:X348, X348)</f>
        <v>13</v>
      </c>
      <c r="AA348" s="16" t="e">
        <v>#N/A</v>
      </c>
      <c r="AB348" s="16" t="e">
        <v>#N/A</v>
      </c>
      <c r="AC348" s="16" t="e">
        <v>#N/A</v>
      </c>
      <c r="AD348" s="16" t="e">
        <v>#N/A</v>
      </c>
      <c r="AE348" s="16" t="e">
        <v>#N/A</v>
      </c>
      <c r="AF348" s="17" t="e">
        <v>#N/A</v>
      </c>
      <c r="AG348" s="17" t="e">
        <v>#N/A</v>
      </c>
      <c r="AH348" s="17" t="e">
        <f>Tabla1[[#This Row],[Renov. Flota]]-Tabla1[[#This Row],[Año]]</f>
        <v>#N/A</v>
      </c>
      <c r="AI348" s="18" t="e">
        <v>#N/A</v>
      </c>
      <c r="AJ348" s="18" t="e">
        <f>VLOOKUP(Tabla1[[#This Row],[Matricula nueva]],'ALTA 20242025'!$B$2:$P$242,15,FALSE)</f>
        <v>#N/A</v>
      </c>
      <c r="AK348" s="19" t="e">
        <v>#N/A</v>
      </c>
      <c r="AN348" s="1"/>
      <c r="AO348" s="1" t="e">
        <f>VLOOKUP(Tabla1[[#This Row],[Matricula nueva]],Hoja2!$A$1:$B$224,2,FALSE)</f>
        <v>#N/A</v>
      </c>
      <c r="AP348" s="1" t="str">
        <f>IF(Tabla1[[#This Row],[Columna2]]="M1",5.1,"")</f>
        <v/>
      </c>
      <c r="AQ348" s="1"/>
      <c r="AR348" s="1"/>
      <c r="AS348" s="47">
        <f>IF(Tabla1[[#This Row],[Columna2]]="M1",13073,IF(Tabla1[[#This Row],[Columna2]]="N1",15815,IF(Tabla1[[#This Row],[Columna2]]="L3e",2831,53508)))</f>
        <v>53508</v>
      </c>
      <c r="AT348" s="47" t="e">
        <f>(Tabla1[[#This Row],[CVA]]*Tabla1[[#This Row],[F]]-Tabla1[[#This Row],[CVN]])/100*Tabla1[[#This Row],[L]]</f>
        <v>#VALUE!</v>
      </c>
      <c r="AU348" s="1"/>
      <c r="AV348" s="1" t="e">
        <f>VLOOKUP(B348,Tabla467824[[ID CAE2]:[AE '[kWh']]],6,FALSE)</f>
        <v>#N/A</v>
      </c>
      <c r="AW348"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ALQUILER</v>
      </c>
    </row>
    <row r="349" spans="1:49" hidden="1" x14ac:dyDescent="0.2">
      <c r="C349" s="31" t="s">
        <v>1648</v>
      </c>
      <c r="D349" s="31"/>
      <c r="E349" s="31"/>
      <c r="F349" s="31"/>
      <c r="G349" s="31"/>
      <c r="H349" s="31"/>
      <c r="I349" s="31"/>
      <c r="J349" s="31"/>
      <c r="K349" s="31" t="s">
        <v>158</v>
      </c>
      <c r="L349" s="31" t="s">
        <v>159</v>
      </c>
      <c r="M349" s="31" t="s">
        <v>158</v>
      </c>
      <c r="N349" s="31" t="s">
        <v>171</v>
      </c>
      <c r="O349" s="31" t="e">
        <f>VLOOKUP(Tabla1[[#This Row],[Matricula]],BAJA2022202320242025!$B$3:$CR$245,93,FALSE)</f>
        <v>#N/A</v>
      </c>
      <c r="P349" s="32">
        <v>44607</v>
      </c>
      <c r="Q349" s="32" t="e">
        <f>Tabla1[[#This Row],[F.Vig.Final]]-Tabla1[[#This Row],[f Vig Inicio]]</f>
        <v>#N/A</v>
      </c>
      <c r="R349" s="32">
        <f>YEAR(Tabla1[[#This Row],[F.Vig.Final]])</f>
        <v>2022</v>
      </c>
      <c r="S349" s="31" t="s">
        <v>172</v>
      </c>
      <c r="T349" s="31" t="s">
        <v>78</v>
      </c>
      <c r="U349" s="31" t="s">
        <v>1338</v>
      </c>
      <c r="V349" s="31" t="s">
        <v>1338</v>
      </c>
      <c r="W349" s="31" t="s">
        <v>131</v>
      </c>
      <c r="X349" s="31" t="s">
        <v>132</v>
      </c>
      <c r="Y349" s="31" t="s">
        <v>635</v>
      </c>
      <c r="Z349" s="16">
        <f>COUNTIF($X$3:X349, X349)</f>
        <v>51</v>
      </c>
      <c r="AA349" s="16" t="e">
        <v>#N/A</v>
      </c>
      <c r="AB349" s="16" t="e">
        <v>#N/A</v>
      </c>
      <c r="AC349" s="16" t="e">
        <v>#N/A</v>
      </c>
      <c r="AD349" s="16" t="e">
        <v>#N/A</v>
      </c>
      <c r="AE349" s="16" t="e">
        <v>#N/A</v>
      </c>
      <c r="AF349" s="17" t="e">
        <v>#N/A</v>
      </c>
      <c r="AG349" s="17" t="e">
        <v>#N/A</v>
      </c>
      <c r="AH349" s="17" t="e">
        <f>Tabla1[[#This Row],[Renov. Flota]]-Tabla1[[#This Row],[Año]]</f>
        <v>#N/A</v>
      </c>
      <c r="AI349" s="18" t="e">
        <v>#N/A</v>
      </c>
      <c r="AJ349" s="18" t="e">
        <f>VLOOKUP(Tabla1[[#This Row],[Matricula nueva]],'ALTA 20242025'!$B$2:$P$242,15,FALSE)</f>
        <v>#N/A</v>
      </c>
      <c r="AK349" s="19" t="e">
        <v>#N/A</v>
      </c>
      <c r="AN349" s="1"/>
      <c r="AO349" s="1" t="e">
        <f>VLOOKUP(Tabla1[[#This Row],[Matricula nueva]],Hoja2!$A$1:$B$224,2,FALSE)</f>
        <v>#N/A</v>
      </c>
      <c r="AP349" s="1" t="str">
        <f>IF(Tabla1[[#This Row],[Columna2]]="M1",5.1,"")</f>
        <v/>
      </c>
      <c r="AQ349" s="1"/>
      <c r="AR349" s="1"/>
      <c r="AS349" s="47">
        <f>IF(Tabla1[[#This Row],[Columna2]]="M1",13073,IF(Tabla1[[#This Row],[Columna2]]="N1",15815,IF(Tabla1[[#This Row],[Columna2]]="L3e",2831,53508)))</f>
        <v>53508</v>
      </c>
      <c r="AT349" s="47" t="e">
        <f>(Tabla1[[#This Row],[CVA]]*Tabla1[[#This Row],[F]]-Tabla1[[#This Row],[CVN]])/100*Tabla1[[#This Row],[L]]</f>
        <v>#VALUE!</v>
      </c>
      <c r="AU349" s="1"/>
      <c r="AV349" s="1" t="e">
        <f>VLOOKUP(B349,Tabla467824[[ID CAE2]:[AE '[kWh']]],6,FALSE)</f>
        <v>#N/A</v>
      </c>
      <c r="AW349" s="1" t="str">
        <f>IF(Tabla1[[#This Row],[Tipo Contrato]]&lt;&gt;"Propiedad",IF(AND(Tabla1[[#This Row],[Contrato]]="x",Tabla1[[#This Row],[Acta Devolución]]="x",Tabla1[[#This Row],[Ficha Técnica]]="x"),"CORRECTO ALQUILER","FALSO ALQUILER"),IF(Tabla1[[#This Row],[Tipo Contrato]]="Propiedad",IF(AND(Tabla1[[#This Row],[Permiso de Circulación]]="x",Tabla1[[#This Row],[Ficha Técnica]]="x",Tabla1[[#This Row],[BAJA]]="x"),"CORRECTO PROPIEDAD","FALSO PROPIEDAD")))</f>
        <v>FALSO PROPIEDAD</v>
      </c>
    </row>
    <row r="350" spans="1:49" x14ac:dyDescent="0.2">
      <c r="C350" s="119"/>
      <c r="D350" s="105"/>
      <c r="E350" s="105"/>
      <c r="F350" s="105"/>
      <c r="G350" s="105"/>
      <c r="H350" s="105"/>
      <c r="I350" s="105"/>
      <c r="J350" s="105"/>
      <c r="K350" s="119"/>
      <c r="L350" s="119"/>
      <c r="M350" s="119"/>
      <c r="N350" s="119"/>
      <c r="O350" s="119"/>
      <c r="P350" s="120"/>
      <c r="Q350" s="120"/>
      <c r="R350" s="120"/>
      <c r="S350" s="119"/>
      <c r="T350" s="119"/>
      <c r="U350" s="119"/>
      <c r="V350" s="119"/>
      <c r="W350" s="119"/>
      <c r="X350" s="119"/>
      <c r="Y350" s="119"/>
      <c r="Z350" s="121"/>
      <c r="AA350" s="121"/>
      <c r="AB350" s="121"/>
      <c r="AC350" s="121"/>
      <c r="AD350" s="121"/>
      <c r="AE350" s="121"/>
      <c r="AF350" s="122"/>
      <c r="AG350" s="122"/>
      <c r="AH350" s="121"/>
      <c r="AI350" s="108"/>
      <c r="AJ350" s="108"/>
      <c r="AK350" s="116"/>
      <c r="AL350" s="116"/>
      <c r="AM350" s="116"/>
      <c r="AN350" s="118"/>
      <c r="AO350" s="118"/>
      <c r="AP350" s="115"/>
      <c r="AQ350" s="115"/>
      <c r="AR350" s="115"/>
      <c r="AS350" s="123"/>
      <c r="AT350" s="124">
        <f>SUBTOTAL(109,Tabla1[AE])</f>
        <v>1776157.1000800009</v>
      </c>
      <c r="AU350" s="115"/>
      <c r="AV350" s="282">
        <f>SUBTOTAL(109,Tabla1[CALCULO GF])</f>
        <v>1489516.2144420003</v>
      </c>
      <c r="AW350" s="115"/>
    </row>
    <row r="354" spans="47:48" ht="12.75" customHeight="1" x14ac:dyDescent="0.2">
      <c r="AU354" s="46"/>
      <c r="AV354" s="46"/>
    </row>
  </sheetData>
  <autoFilter ref="A2:B2" xr:uid="{D046194D-F494-41D0-93A8-B2E09EE7ADDA}"/>
  <mergeCells count="3">
    <mergeCell ref="C1:Z1"/>
    <mergeCell ref="AA1:AK1"/>
    <mergeCell ref="AP1:AU1"/>
  </mergeCells>
  <phoneticPr fontId="7" type="noConversion"/>
  <conditionalFormatting sqref="Q7:Q305">
    <cfRule type="cellIs" dxfId="3" priority="1" operator="lessThan">
      <formula>365</formula>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61C1-DA51-457D-9C37-0D1392D6439A}">
  <sheetPr>
    <tabColor rgb="FF00B050"/>
  </sheetPr>
  <dimension ref="A1:BE354"/>
  <sheetViews>
    <sheetView topLeftCell="A178" zoomScale="85" zoomScaleNormal="85" workbookViewId="0">
      <pane xSplit="1" topLeftCell="C1" activePane="topRight" state="frozen"/>
      <selection pane="topRight" activeCell="C7" sqref="C7:C305"/>
    </sheetView>
  </sheetViews>
  <sheetFormatPr baseColWidth="10" defaultColWidth="10.85546875" defaultRowHeight="12.75" customHeight="1" x14ac:dyDescent="0.2"/>
  <cols>
    <col min="1" max="2" width="12.28515625" style="1" hidden="1" customWidth="1"/>
    <col min="3" max="3" width="8.85546875" style="1" customWidth="1"/>
    <col min="4" max="4" width="14.5703125" style="106" hidden="1" customWidth="1"/>
    <col min="5" max="6" width="20.5703125" style="106" hidden="1" customWidth="1"/>
    <col min="7" max="7" width="10.28515625" style="106" hidden="1" customWidth="1"/>
    <col min="8" max="8" width="18.85546875" style="106" hidden="1" customWidth="1"/>
    <col min="9" max="9" width="21.42578125" style="106" hidden="1" customWidth="1"/>
    <col min="10" max="10" width="11.5703125" style="106" hidden="1" customWidth="1"/>
    <col min="11" max="12" width="10.85546875" style="1" hidden="1" customWidth="1"/>
    <col min="13" max="13" width="13" style="1" hidden="1" customWidth="1"/>
    <col min="14" max="15" width="10.85546875" style="1" hidden="1" customWidth="1"/>
    <col min="16" max="18" width="12.5703125" style="1" hidden="1" customWidth="1"/>
    <col min="19" max="19" width="10.85546875" style="1" hidden="1" customWidth="1"/>
    <col min="20" max="20" width="14.42578125" style="1" hidden="1" customWidth="1"/>
    <col min="21" max="21" width="19.85546875" style="1" hidden="1" customWidth="1"/>
    <col min="22" max="22" width="33.85546875" style="1" hidden="1" customWidth="1"/>
    <col min="23" max="23" width="10.85546875" style="1" hidden="1" customWidth="1"/>
    <col min="24" max="24" width="10.85546875" style="144" customWidth="1"/>
    <col min="25" max="25" width="13.85546875" style="1" hidden="1" customWidth="1"/>
    <col min="26" max="26" width="12.5703125" style="1" hidden="1" customWidth="1"/>
    <col min="27" max="27" width="9.28515625" style="1" customWidth="1"/>
    <col min="28" max="29" width="9.42578125" style="1" customWidth="1"/>
    <col min="30" max="30" width="10.42578125" style="1" customWidth="1"/>
    <col min="31" max="31" width="7.28515625" style="1" customWidth="1"/>
    <col min="32" max="32" width="10.140625" style="1" customWidth="1"/>
    <col min="33" max="33" width="11.140625" style="1" customWidth="1"/>
    <col min="34" max="34" width="14" style="1" customWidth="1"/>
    <col min="35" max="35" width="9.28515625" style="1" customWidth="1"/>
    <col min="36" max="36" width="12.42578125" style="1" customWidth="1"/>
    <col min="37" max="37" width="30.5703125" style="1" customWidth="1"/>
    <col min="38" max="38" width="18.5703125" style="1" customWidth="1"/>
    <col min="39" max="39" width="10.140625" style="1" customWidth="1"/>
    <col min="40" max="40" width="6.5703125" style="1" customWidth="1"/>
    <col min="41" max="41" width="11.7109375" style="106" bestFit="1" customWidth="1"/>
    <col min="42" max="42" width="12.85546875" style="40" customWidth="1"/>
    <col min="43" max="44" width="15.85546875" style="1" customWidth="1"/>
    <col min="45" max="45" width="30.42578125" style="1" customWidth="1"/>
    <col min="46" max="46" width="17" style="1" customWidth="1"/>
    <col min="47" max="47" width="14" style="1" customWidth="1"/>
    <col min="48" max="49" width="26.42578125" style="106" customWidth="1"/>
    <col min="50" max="52" width="10.85546875" style="43" customWidth="1"/>
    <col min="53" max="53" width="10.85546875" style="46" customWidth="1"/>
    <col min="54" max="54" width="11.42578125" style="46" customWidth="1"/>
    <col min="55" max="55" width="11.7109375" style="43" hidden="1" customWidth="1"/>
    <col min="56" max="56" width="21.5703125" style="43" hidden="1" customWidth="1"/>
    <col min="57" max="57" width="12.28515625" style="1" hidden="1" customWidth="1"/>
    <col min="58" max="16384" width="10.85546875" style="1"/>
  </cols>
  <sheetData>
    <row r="1" spans="1:57" ht="15.75" thickBot="1" x14ac:dyDescent="0.3">
      <c r="C1" s="388" t="s">
        <v>1649</v>
      </c>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c r="AX1" s="388"/>
      <c r="AY1" s="388"/>
      <c r="AZ1" s="388"/>
      <c r="BA1" s="388"/>
      <c r="BB1" s="388"/>
    </row>
    <row r="2" spans="1:57" s="13" customFormat="1" ht="39" thickBot="1" x14ac:dyDescent="0.25">
      <c r="A2" s="330" t="s">
        <v>4</v>
      </c>
      <c r="B2" s="328" t="s">
        <v>1119</v>
      </c>
      <c r="C2" s="331" t="s">
        <v>1650</v>
      </c>
      <c r="D2" s="299" t="s">
        <v>10</v>
      </c>
      <c r="E2" s="299" t="s">
        <v>11</v>
      </c>
      <c r="F2" s="299" t="s">
        <v>12</v>
      </c>
      <c r="G2" s="299" t="s">
        <v>13</v>
      </c>
      <c r="H2" s="299" t="s">
        <v>14</v>
      </c>
      <c r="I2" s="299" t="s">
        <v>15</v>
      </c>
      <c r="J2" s="299" t="s">
        <v>16</v>
      </c>
      <c r="K2" s="300" t="s">
        <v>17</v>
      </c>
      <c r="L2" s="300" t="s">
        <v>18</v>
      </c>
      <c r="M2" s="300" t="s">
        <v>19</v>
      </c>
      <c r="N2" s="301" t="s">
        <v>20</v>
      </c>
      <c r="O2" s="302" t="s">
        <v>21</v>
      </c>
      <c r="P2" s="303" t="s">
        <v>22</v>
      </c>
      <c r="Q2" s="302" t="s">
        <v>23</v>
      </c>
      <c r="R2" s="302" t="s">
        <v>24</v>
      </c>
      <c r="S2" s="304" t="s">
        <v>25</v>
      </c>
      <c r="T2" s="300" t="s">
        <v>1120</v>
      </c>
      <c r="U2" s="300" t="s">
        <v>27</v>
      </c>
      <c r="V2" s="300" t="s">
        <v>28</v>
      </c>
      <c r="W2" s="301" t="s">
        <v>29</v>
      </c>
      <c r="X2" s="331" t="s">
        <v>30</v>
      </c>
      <c r="Y2" s="304" t="s">
        <v>31</v>
      </c>
      <c r="Z2" s="301" t="s">
        <v>32</v>
      </c>
      <c r="AA2" s="331" t="s">
        <v>1651</v>
      </c>
      <c r="AB2" s="331" t="s">
        <v>1652</v>
      </c>
      <c r="AC2" s="331" t="s">
        <v>1653</v>
      </c>
      <c r="AD2" s="331" t="s">
        <v>1654</v>
      </c>
      <c r="AE2" s="331" t="s">
        <v>1655</v>
      </c>
      <c r="AF2" s="331" t="s">
        <v>1656</v>
      </c>
      <c r="AG2" s="331" t="s">
        <v>1657</v>
      </c>
      <c r="AH2" s="331" t="s">
        <v>1658</v>
      </c>
      <c r="AI2" s="331" t="s">
        <v>33</v>
      </c>
      <c r="AJ2" s="305" t="s">
        <v>34</v>
      </c>
      <c r="AK2" s="306" t="s">
        <v>35</v>
      </c>
      <c r="AL2" s="306" t="s">
        <v>36</v>
      </c>
      <c r="AM2" s="307" t="s">
        <v>37</v>
      </c>
      <c r="AN2" s="331" t="s">
        <v>38</v>
      </c>
      <c r="AO2" s="335" t="s">
        <v>39</v>
      </c>
      <c r="AP2" s="308" t="s">
        <v>40</v>
      </c>
      <c r="AQ2" s="307" t="s">
        <v>41</v>
      </c>
      <c r="AR2" s="307" t="s">
        <v>42</v>
      </c>
      <c r="AS2" s="307" t="s">
        <v>43</v>
      </c>
      <c r="AT2" s="309" t="s">
        <v>44</v>
      </c>
      <c r="AU2" s="309" t="s">
        <v>45</v>
      </c>
      <c r="AV2" s="310" t="s">
        <v>1659</v>
      </c>
      <c r="AW2" s="310" t="s">
        <v>47</v>
      </c>
      <c r="AX2" s="296" t="s">
        <v>48</v>
      </c>
      <c r="AY2" s="297" t="s">
        <v>49</v>
      </c>
      <c r="AZ2" s="297" t="s">
        <v>50</v>
      </c>
      <c r="BA2" s="298" t="s">
        <v>51</v>
      </c>
      <c r="BB2" s="336" t="s">
        <v>1660</v>
      </c>
      <c r="BC2" s="64" t="s">
        <v>53</v>
      </c>
      <c r="BD2" s="293" t="s">
        <v>1121</v>
      </c>
      <c r="BE2" s="145" t="s">
        <v>54</v>
      </c>
    </row>
    <row r="3" spans="1:57" ht="13.5" hidden="1" thickBot="1" x14ac:dyDescent="0.25">
      <c r="C3" s="329" t="s">
        <v>1122</v>
      </c>
      <c r="D3" s="14"/>
      <c r="E3" s="14"/>
      <c r="F3" s="14"/>
      <c r="G3" s="14"/>
      <c r="H3" s="14"/>
      <c r="I3" s="14"/>
      <c r="J3" s="14"/>
      <c r="K3" s="14" t="s">
        <v>1034</v>
      </c>
      <c r="L3" s="14" t="s">
        <v>200</v>
      </c>
      <c r="M3" s="14" t="s">
        <v>201</v>
      </c>
      <c r="N3" s="14" t="s">
        <v>76</v>
      </c>
      <c r="O3" s="152">
        <f>VLOOKUP(Tabla15[[#This Row],[Matricula Antigua]],BAJA2022202320242025!$B$3:$CR$245,93,FALSE)</f>
        <v>43518</v>
      </c>
      <c r="P3" s="15">
        <v>44979</v>
      </c>
      <c r="Q3" s="15">
        <f>Tabla15[[#This Row],[F.Vig.Final]]-Tabla15[[#This Row],[f Vig Inicio]]</f>
        <v>1461</v>
      </c>
      <c r="R3" s="15">
        <f>YEAR(Tabla15[[#This Row],[F.Vig.Final]])</f>
        <v>2023</v>
      </c>
      <c r="S3" s="14" t="s">
        <v>77</v>
      </c>
      <c r="T3" s="14" t="s">
        <v>78</v>
      </c>
      <c r="U3" s="14" t="s">
        <v>524</v>
      </c>
      <c r="V3" s="14" t="s">
        <v>1123</v>
      </c>
      <c r="W3" s="14" t="s">
        <v>1124</v>
      </c>
      <c r="X3" s="329" t="s">
        <v>1125</v>
      </c>
      <c r="Y3" s="14" t="s">
        <v>312</v>
      </c>
      <c r="Z3" s="16">
        <f>COUNTIF($X$3:X3, X3)</f>
        <v>1</v>
      </c>
      <c r="AA3" s="93"/>
      <c r="AB3" s="93"/>
      <c r="AC3" s="93"/>
      <c r="AD3" s="93"/>
      <c r="AE3" s="93"/>
      <c r="AF3" s="93"/>
      <c r="AG3" s="93"/>
      <c r="AH3" s="93"/>
      <c r="AI3" s="93" t="e">
        <v>#N/A</v>
      </c>
      <c r="AJ3" s="16" t="e">
        <v>#N/A</v>
      </c>
      <c r="AK3" s="16" t="e">
        <v>#N/A</v>
      </c>
      <c r="AL3" s="16" t="e">
        <v>#N/A</v>
      </c>
      <c r="AM3" s="16" t="e">
        <v>#N/A</v>
      </c>
      <c r="AN3" s="15" t="e">
        <v>#N/A</v>
      </c>
      <c r="AO3" s="21" t="e">
        <v>#N/A</v>
      </c>
      <c r="AP3" s="17" t="e">
        <f>Tabla15[[#This Row],[Renov. Flota]]-Tabla15[[#This Row],[Año]]</f>
        <v>#N/A</v>
      </c>
      <c r="AQ3" s="18" t="e">
        <v>#N/A</v>
      </c>
      <c r="AR3" s="18" t="e">
        <f>VLOOKUP(Tabla15[[#This Row],[Matricula nueva]],'ALTA 20242025'!$B$2:$P$242,15,FALSE)</f>
        <v>#N/A</v>
      </c>
      <c r="AS3" s="19" t="e">
        <v>#N/A</v>
      </c>
      <c r="AV3" s="1"/>
      <c r="AW3" s="1" t="e">
        <f>VLOOKUP(Tabla15[[#This Row],[Matricula nueva]],Hoja2!$A$1:$B$224,2,FALSE)</f>
        <v>#N/A</v>
      </c>
      <c r="AX3" s="1" t="str">
        <f>IF(Tabla15[[#This Row],[Columna2]]="M1",5.1,"")</f>
        <v/>
      </c>
      <c r="AY3" s="1"/>
      <c r="AZ3" s="1"/>
      <c r="BA3" s="47">
        <f>IF(Tabla15[[#This Row],[Columna2]]="M1",13073,IF(Tabla15[[#This Row],[Columna2]]="N1",15815,IF(Tabla15[[#This Row],[Columna2]]="L3e",2831,53508)))</f>
        <v>53508</v>
      </c>
      <c r="BB3" s="47" t="e">
        <f>(Tabla15[[#This Row],[CVA]]*Tabla15[[#This Row],[F]]-Tabla15[[#This Row],[CVN]])/100*Tabla15[[#This Row],[L]]</f>
        <v>#VALUE!</v>
      </c>
      <c r="BC3" s="1"/>
      <c r="BD3" s="1" t="e">
        <f>VLOOKUP(B3,Tabla467824[[ID CAE2]:[AE '[kWh']]],6,FALSE)</f>
        <v>#N/A</v>
      </c>
      <c r="BE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4" spans="1:57" ht="13.5" hidden="1" thickBot="1" x14ac:dyDescent="0.25">
      <c r="C4" s="14" t="s">
        <v>1126</v>
      </c>
      <c r="D4" s="14"/>
      <c r="E4" s="14"/>
      <c r="F4" s="14"/>
      <c r="G4" s="14"/>
      <c r="H4" s="14"/>
      <c r="I4" s="14"/>
      <c r="J4" s="14"/>
      <c r="K4" s="14" t="s">
        <v>73</v>
      </c>
      <c r="L4" s="14" t="s">
        <v>172</v>
      </c>
      <c r="M4" s="14" t="s">
        <v>1127</v>
      </c>
      <c r="N4" s="14" t="s">
        <v>76</v>
      </c>
      <c r="O4" s="152">
        <f>VLOOKUP(Tabla15[[#This Row],[Matricula Antigua]],BAJA2022202320242025!$B$3:$CR$245,93,FALSE)</f>
        <v>44159</v>
      </c>
      <c r="P4" s="15">
        <v>45037</v>
      </c>
      <c r="Q4" s="15">
        <f>Tabla15[[#This Row],[F.Vig.Final]]-Tabla15[[#This Row],[f Vig Inicio]]</f>
        <v>878</v>
      </c>
      <c r="R4" s="15">
        <f>YEAR(Tabla15[[#This Row],[F.Vig.Final]])</f>
        <v>2023</v>
      </c>
      <c r="S4" s="14" t="s">
        <v>77</v>
      </c>
      <c r="T4" s="14" t="s">
        <v>78</v>
      </c>
      <c r="U4" s="14" t="s">
        <v>85</v>
      </c>
      <c r="V4" s="14" t="s">
        <v>732</v>
      </c>
      <c r="W4" s="14" t="s">
        <v>1128</v>
      </c>
      <c r="X4" s="14" t="s">
        <v>1129</v>
      </c>
      <c r="Y4" s="14" t="s">
        <v>1130</v>
      </c>
      <c r="Z4" s="16">
        <f>COUNTIF($X$3:X4, X4)</f>
        <v>1</v>
      </c>
      <c r="AA4" s="16"/>
      <c r="AB4" s="16"/>
      <c r="AC4" s="16"/>
      <c r="AD4" s="16"/>
      <c r="AE4" s="16"/>
      <c r="AF4" s="16"/>
      <c r="AG4" s="16"/>
      <c r="AH4" s="16"/>
      <c r="AI4" s="16" t="e">
        <v>#N/A</v>
      </c>
      <c r="AJ4" s="16" t="e">
        <v>#N/A</v>
      </c>
      <c r="AK4" s="16" t="e">
        <v>#N/A</v>
      </c>
      <c r="AL4" s="16" t="e">
        <v>#N/A</v>
      </c>
      <c r="AM4" s="16" t="e">
        <v>#N/A</v>
      </c>
      <c r="AN4" s="15" t="e">
        <v>#N/A</v>
      </c>
      <c r="AO4" s="17" t="e">
        <v>#N/A</v>
      </c>
      <c r="AP4" s="17" t="e">
        <f>Tabla15[[#This Row],[Renov. Flota]]-Tabla15[[#This Row],[Año]]</f>
        <v>#N/A</v>
      </c>
      <c r="AQ4" s="18" t="e">
        <v>#N/A</v>
      </c>
      <c r="AR4" s="18" t="e">
        <f>VLOOKUP(Tabla15[[#This Row],[Matricula nueva]],'ALTA 20242025'!$B$2:$P$242,15,FALSE)</f>
        <v>#N/A</v>
      </c>
      <c r="AS4" s="19" t="e">
        <v>#N/A</v>
      </c>
      <c r="AV4" s="1"/>
      <c r="AW4" s="1" t="e">
        <f>VLOOKUP(Tabla15[[#This Row],[Matricula nueva]],Hoja2!$A$1:$B$224,2,FALSE)</f>
        <v>#N/A</v>
      </c>
      <c r="AX4" s="1" t="str">
        <f>IF(Tabla15[[#This Row],[Columna2]]="M1",5.1,"")</f>
        <v/>
      </c>
      <c r="AY4" s="1"/>
      <c r="AZ4" s="1"/>
      <c r="BA4" s="47">
        <f>IF(Tabla15[[#This Row],[Columna2]]="M1",13073,IF(Tabla15[[#This Row],[Columna2]]="N1",15815,IF(Tabla15[[#This Row],[Columna2]]="L3e",2831,53508)))</f>
        <v>53508</v>
      </c>
      <c r="BB4" s="47" t="e">
        <f>(Tabla15[[#This Row],[CVA]]*Tabla15[[#This Row],[F]]-Tabla15[[#This Row],[CVN]])/100*Tabla15[[#This Row],[L]]</f>
        <v>#VALUE!</v>
      </c>
      <c r="BC4" s="1"/>
      <c r="BD4" s="1" t="e">
        <f>VLOOKUP(B4,Tabla467824[[ID CAE2]:[AE '[kWh']]],6,FALSE)</f>
        <v>#N/A</v>
      </c>
      <c r="BE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5" spans="1:57" ht="13.5" hidden="1" thickBot="1" x14ac:dyDescent="0.25">
      <c r="C5" s="14" t="s">
        <v>1131</v>
      </c>
      <c r="D5" s="14"/>
      <c r="E5" s="14"/>
      <c r="F5" s="14"/>
      <c r="G5" s="14"/>
      <c r="H5" s="14"/>
      <c r="I5" s="14"/>
      <c r="J5" s="14"/>
      <c r="K5" s="14" t="s">
        <v>885</v>
      </c>
      <c r="L5" s="14" t="s">
        <v>161</v>
      </c>
      <c r="M5" s="14" t="s">
        <v>886</v>
      </c>
      <c r="N5" s="14" t="s">
        <v>171</v>
      </c>
      <c r="O5" s="95">
        <f>VLOOKUP(Tabla15[[#This Row],[Matricula Antigua]],BAJA2022202320242025!$B$3:$CR$245,93,FALSE)</f>
        <v>43879</v>
      </c>
      <c r="P5" s="21">
        <v>45062</v>
      </c>
      <c r="Q5" s="21">
        <f>Tabla15[[#This Row],[F.Vig.Final]]-Tabla15[[#This Row],[f Vig Inicio]]</f>
        <v>1183</v>
      </c>
      <c r="R5" s="21">
        <f>YEAR(Tabla15[[#This Row],[F.Vig.Final]])</f>
        <v>2023</v>
      </c>
      <c r="S5" s="14" t="s">
        <v>172</v>
      </c>
      <c r="T5" s="14" t="s">
        <v>78</v>
      </c>
      <c r="U5" s="14" t="s">
        <v>1132</v>
      </c>
      <c r="V5" s="14" t="s">
        <v>1133</v>
      </c>
      <c r="W5" s="14" t="s">
        <v>1134</v>
      </c>
      <c r="X5" s="14" t="s">
        <v>1135</v>
      </c>
      <c r="Y5" s="14" t="s">
        <v>1136</v>
      </c>
      <c r="Z5" s="16">
        <f>COUNTIF($X$3:X5, X5)</f>
        <v>1</v>
      </c>
      <c r="AA5" s="16"/>
      <c r="AB5" s="16"/>
      <c r="AC5" s="16"/>
      <c r="AD5" s="16"/>
      <c r="AE5" s="16"/>
      <c r="AF5" s="16"/>
      <c r="AG5" s="16"/>
      <c r="AH5" s="16"/>
      <c r="AI5" s="16" t="e">
        <v>#N/A</v>
      </c>
      <c r="AJ5" s="16" t="e">
        <v>#N/A</v>
      </c>
      <c r="AK5" s="16" t="e">
        <v>#N/A</v>
      </c>
      <c r="AL5" s="16" t="e">
        <v>#N/A</v>
      </c>
      <c r="AM5" s="16" t="e">
        <v>#N/A</v>
      </c>
      <c r="AN5" s="21" t="e">
        <v>#N/A</v>
      </c>
      <c r="AO5" s="17" t="e">
        <v>#N/A</v>
      </c>
      <c r="AP5" s="17" t="e">
        <f>Tabla15[[#This Row],[Renov. Flota]]-Tabla15[[#This Row],[Año]]</f>
        <v>#N/A</v>
      </c>
      <c r="AQ5" s="18" t="e">
        <v>#N/A</v>
      </c>
      <c r="AR5" s="18" t="e">
        <f>VLOOKUP(Tabla15[[#This Row],[Matricula nueva]],'ALTA 20242025'!$B$2:$P$242,15,FALSE)</f>
        <v>#N/A</v>
      </c>
      <c r="AS5" s="19" t="e">
        <v>#N/A</v>
      </c>
      <c r="AV5" s="1"/>
      <c r="AW5" s="1" t="e">
        <f>VLOOKUP(Tabla15[[#This Row],[Matricula nueva]],Hoja2!$A$1:$B$224,2,FALSE)</f>
        <v>#N/A</v>
      </c>
      <c r="AX5" s="1" t="str">
        <f>IF(Tabla15[[#This Row],[Columna2]]="M1",5.1,"")</f>
        <v/>
      </c>
      <c r="AY5" s="1"/>
      <c r="AZ5" s="1"/>
      <c r="BA5" s="47">
        <f>IF(Tabla15[[#This Row],[Columna2]]="M1",13073,IF(Tabla15[[#This Row],[Columna2]]="N1",15815,IF(Tabla15[[#This Row],[Columna2]]="L3e",2831,53508)))</f>
        <v>53508</v>
      </c>
      <c r="BB5" s="47" t="e">
        <f>(Tabla15[[#This Row],[CVA]]*Tabla15[[#This Row],[F]]-Tabla15[[#This Row],[CVN]])/100*Tabla15[[#This Row],[L]]</f>
        <v>#VALUE!</v>
      </c>
      <c r="BC5" s="1"/>
      <c r="BD5" s="1" t="e">
        <f>VLOOKUP(B5,Tabla467824[[ID CAE2]:[AE '[kWh']]],6,FALSE)</f>
        <v>#N/A</v>
      </c>
      <c r="BE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6" spans="1:57" ht="13.5" hidden="1" thickBot="1" x14ac:dyDescent="0.25">
      <c r="C6" s="165" t="s">
        <v>1137</v>
      </c>
      <c r="D6" s="165"/>
      <c r="E6" s="165"/>
      <c r="F6" s="165"/>
      <c r="G6" s="165"/>
      <c r="H6" s="165"/>
      <c r="I6" s="165"/>
      <c r="J6" s="165"/>
      <c r="K6" s="165" t="s">
        <v>158</v>
      </c>
      <c r="L6" s="165" t="s">
        <v>159</v>
      </c>
      <c r="M6" s="165" t="s">
        <v>158</v>
      </c>
      <c r="N6" s="165" t="s">
        <v>171</v>
      </c>
      <c r="O6" s="50">
        <f>VLOOKUP(Tabla15[[#This Row],[Matricula Antigua]],BAJA2022202320242025!$B$3:$CR$245,93,FALSE)</f>
        <v>40274</v>
      </c>
      <c r="P6" s="22">
        <v>45079</v>
      </c>
      <c r="Q6" s="22">
        <f>Tabla15[[#This Row],[F.Vig.Final]]-Tabla15[[#This Row],[f Vig Inicio]]</f>
        <v>4805</v>
      </c>
      <c r="R6" s="22">
        <f>YEAR(Tabla15[[#This Row],[F.Vig.Final]])</f>
        <v>2023</v>
      </c>
      <c r="S6" s="165" t="s">
        <v>172</v>
      </c>
      <c r="T6" s="165" t="s">
        <v>78</v>
      </c>
      <c r="U6" s="165" t="s">
        <v>359</v>
      </c>
      <c r="V6" s="165" t="s">
        <v>1138</v>
      </c>
      <c r="W6" s="165" t="s">
        <v>1139</v>
      </c>
      <c r="X6" s="165" t="s">
        <v>1140</v>
      </c>
      <c r="Y6" s="165" t="s">
        <v>312</v>
      </c>
      <c r="Z6" s="48">
        <f>COUNTIF($X$3:X6, X6)</f>
        <v>1</v>
      </c>
      <c r="AA6" s="48"/>
      <c r="AB6" s="48"/>
      <c r="AC6" s="48"/>
      <c r="AD6" s="48"/>
      <c r="AE6" s="48"/>
      <c r="AF6" s="48"/>
      <c r="AG6" s="48"/>
      <c r="AH6" s="48"/>
      <c r="AI6" s="48" t="e">
        <v>#N/A</v>
      </c>
      <c r="AJ6" s="48" t="e">
        <v>#N/A</v>
      </c>
      <c r="AK6" s="48" t="e">
        <v>#N/A</v>
      </c>
      <c r="AL6" s="48" t="e">
        <v>#N/A</v>
      </c>
      <c r="AM6" s="48" t="e">
        <v>#N/A</v>
      </c>
      <c r="AN6" s="22" t="e">
        <v>#N/A</v>
      </c>
      <c r="AO6" s="22" t="e">
        <v>#N/A</v>
      </c>
      <c r="AP6" s="22" t="e">
        <f>Tabla15[[#This Row],[Renov. Flota]]-Tabla15[[#This Row],[Año]]</f>
        <v>#N/A</v>
      </c>
      <c r="AQ6" s="49" t="e">
        <v>#N/A</v>
      </c>
      <c r="AR6" s="49" t="e">
        <f>VLOOKUP(Tabla15[[#This Row],[Matricula nueva]],'ALTA 20242025'!$B$2:$P$242,15,FALSE)</f>
        <v>#N/A</v>
      </c>
      <c r="AS6" s="50" t="e">
        <v>#N/A</v>
      </c>
      <c r="AV6" s="1"/>
      <c r="AW6" s="1" t="e">
        <f>VLOOKUP(Tabla15[[#This Row],[Matricula nueva]],Hoja2!$A$1:$B$224,2,FALSE)</f>
        <v>#N/A</v>
      </c>
      <c r="AX6" s="1" t="str">
        <f>IF(Tabla15[[#This Row],[Columna2]]="M1",5.1,"")</f>
        <v/>
      </c>
      <c r="AY6" s="1"/>
      <c r="AZ6" s="1"/>
      <c r="BA6" s="47">
        <f>IF(Tabla15[[#This Row],[Columna2]]="M1",13073,IF(Tabla15[[#This Row],[Columna2]]="N1",15815,IF(Tabla15[[#This Row],[Columna2]]="L3e",2831,53508)))</f>
        <v>53508</v>
      </c>
      <c r="BB6" s="47" t="e">
        <f>(Tabla15[[#This Row],[CVA]]*Tabla15[[#This Row],[F]]-Tabla15[[#This Row],[CVN]])/100*Tabla15[[#This Row],[L]]</f>
        <v>#VALUE!</v>
      </c>
      <c r="BC6" s="1"/>
      <c r="BD6" s="1" t="e">
        <f>VLOOKUP(B6,Tabla467824[[ID CAE2]:[AE '[kWh']]],6,FALSE)</f>
        <v>#N/A</v>
      </c>
      <c r="BE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7" spans="1:57" ht="51.75" x14ac:dyDescent="0.25">
      <c r="A7" s="53" t="s">
        <v>68</v>
      </c>
      <c r="B7" s="53" t="s">
        <v>68</v>
      </c>
      <c r="C7" s="332" t="s">
        <v>69</v>
      </c>
      <c r="D7" s="104" t="s">
        <v>72</v>
      </c>
      <c r="E7" s="104" t="s">
        <v>72</v>
      </c>
      <c r="F7" s="104" t="s">
        <v>72</v>
      </c>
      <c r="G7" s="104"/>
      <c r="H7" s="104" t="s">
        <v>72</v>
      </c>
      <c r="I7" s="104" t="s">
        <v>72</v>
      </c>
      <c r="J7" s="104"/>
      <c r="K7" s="96" t="s">
        <v>73</v>
      </c>
      <c r="L7" s="96" t="s">
        <v>74</v>
      </c>
      <c r="M7" s="96" t="s">
        <v>75</v>
      </c>
      <c r="N7" s="96" t="s">
        <v>76</v>
      </c>
      <c r="O7" s="99">
        <f>VLOOKUP(Tabla15[[#This Row],[Matricula Antigua]],BAJA2022202320242025!$B$3:$CR$245,93,FALSE)</f>
        <v>45286</v>
      </c>
      <c r="P7" s="316">
        <v>45322</v>
      </c>
      <c r="Q7" s="317">
        <f>Tabla15[[#This Row],[F.Vig.Final]]-Tabla15[[#This Row],[f Vig Inicio]]</f>
        <v>36</v>
      </c>
      <c r="R7" s="318">
        <f>YEAR(Tabla15[[#This Row],[F.Vig.Final]])</f>
        <v>2024</v>
      </c>
      <c r="S7" s="96" t="s">
        <v>77</v>
      </c>
      <c r="T7" s="96" t="s">
        <v>78</v>
      </c>
      <c r="U7" s="96" t="s">
        <v>79</v>
      </c>
      <c r="V7" s="96" t="s">
        <v>80</v>
      </c>
      <c r="W7" s="96" t="s">
        <v>81</v>
      </c>
      <c r="X7" s="332" t="s">
        <v>82</v>
      </c>
      <c r="Y7" s="96" t="s">
        <v>83</v>
      </c>
      <c r="Z7" s="98">
        <f>COUNTIF($X$3:X7, X7)</f>
        <v>1</v>
      </c>
      <c r="AA7" s="337" t="s">
        <v>1661</v>
      </c>
      <c r="AB7" s="337" t="s">
        <v>1661</v>
      </c>
      <c r="AC7" s="337" t="s">
        <v>1662</v>
      </c>
      <c r="AD7" s="337" t="s">
        <v>1663</v>
      </c>
      <c r="AE7" s="338" t="s">
        <v>1664</v>
      </c>
      <c r="AF7" s="337" t="s">
        <v>1665</v>
      </c>
      <c r="AG7" s="337" t="s">
        <v>1666</v>
      </c>
      <c r="AH7" s="337" t="s">
        <v>1649</v>
      </c>
      <c r="AI7" s="337" t="s">
        <v>84</v>
      </c>
      <c r="AJ7" s="98" t="s">
        <v>85</v>
      </c>
      <c r="AK7" s="98" t="s">
        <v>86</v>
      </c>
      <c r="AL7" s="98" t="s">
        <v>87</v>
      </c>
      <c r="AM7" s="101">
        <v>357107</v>
      </c>
      <c r="AN7" s="348" t="s">
        <v>89</v>
      </c>
      <c r="AO7" s="349">
        <v>45625</v>
      </c>
      <c r="AP7" s="98">
        <f>Tabla15[[#This Row],[Renov. Flota]]-Tabla15[[#This Row],[Año]]</f>
        <v>0</v>
      </c>
      <c r="AQ7" s="100" t="s">
        <v>81</v>
      </c>
      <c r="AR7" s="100" t="str">
        <f>VLOOKUP(Tabla15[[#This Row],[Matricula nueva]],'ALTA 20242025'!$B$2:$P$242,15,FALSE)</f>
        <v>4500426762</v>
      </c>
      <c r="AS7" s="101" t="s">
        <v>82</v>
      </c>
      <c r="AT7" s="101"/>
      <c r="AU7" s="101" t="s">
        <v>72</v>
      </c>
      <c r="AV7" s="101" t="s">
        <v>91</v>
      </c>
      <c r="AW7" s="101" t="str">
        <f>VLOOKUP(Tabla15[[#This Row],[Matricula nueva]],Hoja2!$A$1:$B$224,2,FALSE)</f>
        <v>VF1RFK00273824834</v>
      </c>
      <c r="AX7" s="209">
        <f>IF(Tabla15[[#This Row],[Columna2]]="M1",5.1,"")</f>
        <v>5.0999999999999996</v>
      </c>
      <c r="AY7" s="208">
        <f t="shared" ref="AY7:AY14" si="0">IF(T7="DIESEL",10,IF(T7="GLP",7.16,9.19))</f>
        <v>10</v>
      </c>
      <c r="AZ7" s="313">
        <v>17.3</v>
      </c>
      <c r="BA7" s="314">
        <f>IF(Tabla15[[#This Row],[Columna2]]="M1",13073,IF(Tabla15[[#This Row],[Columna2]]="N1",15815,IF(Tabla15[[#This Row],[Columna2]]="L3e",2831,53508)))</f>
        <v>13073</v>
      </c>
      <c r="BB7" s="350">
        <f>(Tabla15[[#This Row],[CVA]]*Tabla15[[#This Row],[F]]-Tabla15[[#This Row],[CVN]])/100*Tabla15[[#This Row],[L]]</f>
        <v>4405.6010000000006</v>
      </c>
      <c r="BC7" s="69" t="s">
        <v>70</v>
      </c>
      <c r="BD7" s="294">
        <f>VLOOKUP(B7,Tabla467824[[ID CAE2]:[AE '[kWh']]],6,FALSE)</f>
        <v>7136.4330429999991</v>
      </c>
      <c r="BE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8" spans="1:57" ht="51.75" x14ac:dyDescent="0.25">
      <c r="A8" s="53" t="s">
        <v>94</v>
      </c>
      <c r="B8" s="53" t="s">
        <v>94</v>
      </c>
      <c r="C8" s="332" t="s">
        <v>95</v>
      </c>
      <c r="D8" s="104" t="s">
        <v>72</v>
      </c>
      <c r="E8" s="104" t="s">
        <v>72</v>
      </c>
      <c r="F8" s="104" t="s">
        <v>72</v>
      </c>
      <c r="G8" s="104"/>
      <c r="H8" s="104" t="s">
        <v>72</v>
      </c>
      <c r="I8" s="104" t="s">
        <v>72</v>
      </c>
      <c r="J8" s="104"/>
      <c r="K8" s="96" t="s">
        <v>73</v>
      </c>
      <c r="L8" s="96" t="s">
        <v>74</v>
      </c>
      <c r="M8" s="96" t="s">
        <v>75</v>
      </c>
      <c r="N8" s="96" t="s">
        <v>76</v>
      </c>
      <c r="O8" s="99">
        <f>VLOOKUP(Tabla15[[#This Row],[Matricula Antigua]],BAJA2022202320242025!$B$3:$CR$245,93,FALSE)</f>
        <v>45282</v>
      </c>
      <c r="P8" s="316">
        <v>45393</v>
      </c>
      <c r="Q8" s="317">
        <f>Tabla15[[#This Row],[F.Vig.Final]]-Tabla15[[#This Row],[f Vig Inicio]]</f>
        <v>111</v>
      </c>
      <c r="R8" s="318">
        <f>YEAR(Tabla15[[#This Row],[F.Vig.Final]])</f>
        <v>2024</v>
      </c>
      <c r="S8" s="96" t="s">
        <v>77</v>
      </c>
      <c r="T8" s="96" t="s">
        <v>78</v>
      </c>
      <c r="U8" s="96" t="s">
        <v>79</v>
      </c>
      <c r="V8" s="96" t="s">
        <v>80</v>
      </c>
      <c r="W8" s="96" t="s">
        <v>81</v>
      </c>
      <c r="X8" s="332" t="s">
        <v>82</v>
      </c>
      <c r="Y8" s="96" t="s">
        <v>83</v>
      </c>
      <c r="Z8" s="98">
        <f>COUNTIF($X$3:X8, X8)</f>
        <v>2</v>
      </c>
      <c r="AA8" s="337" t="s">
        <v>1661</v>
      </c>
      <c r="AB8" s="337" t="s">
        <v>1661</v>
      </c>
      <c r="AC8" s="337" t="s">
        <v>1662</v>
      </c>
      <c r="AD8" s="337" t="s">
        <v>1663</v>
      </c>
      <c r="AE8" s="339" t="s">
        <v>1664</v>
      </c>
      <c r="AF8" s="340" t="s">
        <v>1665</v>
      </c>
      <c r="AG8" s="337" t="s">
        <v>1666</v>
      </c>
      <c r="AH8" s="337" t="s">
        <v>1649</v>
      </c>
      <c r="AI8" s="337" t="s">
        <v>96</v>
      </c>
      <c r="AJ8" s="98" t="s">
        <v>85</v>
      </c>
      <c r="AK8" s="98" t="s">
        <v>86</v>
      </c>
      <c r="AL8" s="98" t="s">
        <v>87</v>
      </c>
      <c r="AM8" s="101">
        <v>357107</v>
      </c>
      <c r="AN8" s="348" t="s">
        <v>89</v>
      </c>
      <c r="AO8" s="349">
        <v>45625</v>
      </c>
      <c r="AP8" s="98">
        <f>Tabla15[[#This Row],[Renov. Flota]]-Tabla15[[#This Row],[Año]]</f>
        <v>0</v>
      </c>
      <c r="AQ8" s="100" t="s">
        <v>81</v>
      </c>
      <c r="AR8" s="100" t="str">
        <f>VLOOKUP(Tabla15[[#This Row],[Matricula nueva]],'ALTA 20242025'!$B$2:$P$242,15,FALSE)</f>
        <v>4500426781</v>
      </c>
      <c r="AS8" s="101" t="s">
        <v>82</v>
      </c>
      <c r="AT8" s="101"/>
      <c r="AU8" s="101" t="s">
        <v>72</v>
      </c>
      <c r="AV8" s="101" t="s">
        <v>91</v>
      </c>
      <c r="AW8" s="101" t="str">
        <f>VLOOKUP(Tabla15[[#This Row],[Matricula nueva]],Hoja2!$A$1:$B$224,2,FALSE)</f>
        <v>VF1RFK00473824835</v>
      </c>
      <c r="AX8" s="209">
        <f>IF(Tabla15[[#This Row],[Columna2]]="M1",5.1,"")</f>
        <v>5.0999999999999996</v>
      </c>
      <c r="AY8" s="208">
        <f t="shared" si="0"/>
        <v>10</v>
      </c>
      <c r="AZ8" s="313">
        <v>17.3</v>
      </c>
      <c r="BA8" s="314">
        <f>IF(Tabla15[[#This Row],[Columna2]]="M1",13073,IF(Tabla15[[#This Row],[Columna2]]="N1",15815,IF(Tabla15[[#This Row],[Columna2]]="L3e",2831,53508)))</f>
        <v>13073</v>
      </c>
      <c r="BB8" s="350">
        <f>(Tabla15[[#This Row],[CVA]]*Tabla15[[#This Row],[F]]-Tabla15[[#This Row],[CVN]])/100*Tabla15[[#This Row],[L]]</f>
        <v>4405.6010000000006</v>
      </c>
      <c r="BC8" s="74" t="s">
        <v>70</v>
      </c>
      <c r="BD8" s="294">
        <f>VLOOKUP(B8,Tabla467824[[ID CAE2]:[AE '[kWh']]],6,FALSE)</f>
        <v>6795.3454000000002</v>
      </c>
      <c r="BE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 spans="1:57" ht="51.75" x14ac:dyDescent="0.25">
      <c r="A9" s="53" t="s">
        <v>99</v>
      </c>
      <c r="B9" s="53" t="s">
        <v>99</v>
      </c>
      <c r="C9" s="332" t="s">
        <v>100</v>
      </c>
      <c r="D9" s="104" t="s">
        <v>72</v>
      </c>
      <c r="E9" s="104"/>
      <c r="F9" s="104" t="s">
        <v>72</v>
      </c>
      <c r="G9" s="104"/>
      <c r="H9" s="104" t="s">
        <v>72</v>
      </c>
      <c r="I9" s="104" t="s">
        <v>72</v>
      </c>
      <c r="J9" s="104"/>
      <c r="K9" s="96" t="s">
        <v>73</v>
      </c>
      <c r="L9" s="96" t="s">
        <v>74</v>
      </c>
      <c r="M9" s="96" t="s">
        <v>75</v>
      </c>
      <c r="N9" s="96" t="s">
        <v>76</v>
      </c>
      <c r="O9" s="99">
        <f>VLOOKUP(Tabla15[[#This Row],[Matricula Antigua]],BAJA2022202320242025!$B$3:$CR$245,93,FALSE)</f>
        <v>45202</v>
      </c>
      <c r="P9" s="316">
        <v>45259</v>
      </c>
      <c r="Q9" s="317">
        <f>Tabla15[[#This Row],[F.Vig.Final]]-Tabla15[[#This Row],[f Vig Inicio]]</f>
        <v>57</v>
      </c>
      <c r="R9" s="318">
        <f>YEAR(Tabla15[[#This Row],[F.Vig.Final]])</f>
        <v>2023</v>
      </c>
      <c r="S9" s="96" t="s">
        <v>77</v>
      </c>
      <c r="T9" s="96" t="s">
        <v>78</v>
      </c>
      <c r="U9" s="96" t="s">
        <v>79</v>
      </c>
      <c r="V9" s="96" t="s">
        <v>101</v>
      </c>
      <c r="W9" s="96" t="s">
        <v>102</v>
      </c>
      <c r="X9" s="332" t="s">
        <v>1667</v>
      </c>
      <c r="Y9" s="96" t="s">
        <v>104</v>
      </c>
      <c r="Z9" s="98">
        <f>COUNTIF($X$3:X9, X9)</f>
        <v>1</v>
      </c>
      <c r="AA9" s="337" t="s">
        <v>1668</v>
      </c>
      <c r="AB9" s="337" t="s">
        <v>1668</v>
      </c>
      <c r="AC9" s="337" t="s">
        <v>1669</v>
      </c>
      <c r="AD9" s="341" t="s">
        <v>1670</v>
      </c>
      <c r="AE9" s="342" t="s">
        <v>1671</v>
      </c>
      <c r="AF9" s="337" t="s">
        <v>1672</v>
      </c>
      <c r="AG9" s="343" t="s">
        <v>1673</v>
      </c>
      <c r="AH9" s="337" t="s">
        <v>1649</v>
      </c>
      <c r="AI9" s="337" t="s">
        <v>105</v>
      </c>
      <c r="AJ9" s="98" t="s">
        <v>79</v>
      </c>
      <c r="AK9" s="98" t="s">
        <v>106</v>
      </c>
      <c r="AL9" s="98" t="s">
        <v>87</v>
      </c>
      <c r="AM9" s="101" t="s">
        <v>107</v>
      </c>
      <c r="AN9" s="348" t="s">
        <v>108</v>
      </c>
      <c r="AO9" s="349">
        <v>45133</v>
      </c>
      <c r="AP9" s="98">
        <f>Tabla15[[#This Row],[Renov. Flota]]-Tabla15[[#This Row],[Año]]</f>
        <v>0</v>
      </c>
      <c r="AQ9" s="100" t="s">
        <v>102</v>
      </c>
      <c r="AR9" s="100">
        <v>4500370218</v>
      </c>
      <c r="AS9" s="101" t="s">
        <v>103</v>
      </c>
      <c r="AT9" s="101"/>
      <c r="AU9" s="101" t="s">
        <v>72</v>
      </c>
      <c r="AV9" s="101" t="s">
        <v>109</v>
      </c>
      <c r="AW9" s="101" t="s">
        <v>110</v>
      </c>
      <c r="AX9" s="209">
        <f>IF(Tabla15[[#This Row],[Columna2]]="M1",5.1,"")</f>
        <v>5.0999999999999996</v>
      </c>
      <c r="AY9" s="208">
        <f t="shared" si="0"/>
        <v>10</v>
      </c>
      <c r="AZ9" s="313">
        <v>28.2</v>
      </c>
      <c r="BA9" s="314">
        <f>IF(Tabla15[[#This Row],[Columna2]]="M1",13073,IF(Tabla15[[#This Row],[Columna2]]="N1",15815,IF(Tabla15[[#This Row],[Columna2]]="L3e",2831,53508)))</f>
        <v>13073</v>
      </c>
      <c r="BB9" s="350">
        <f>(Tabla15[[#This Row],[CVA]]*Tabla15[[#This Row],[F]]-Tabla15[[#This Row],[CVN]])/100*Tabla15[[#This Row],[L]]</f>
        <v>2980.6440000000002</v>
      </c>
      <c r="BC9" s="74" t="s">
        <v>70</v>
      </c>
      <c r="BD9" s="294">
        <f>VLOOKUP(B9,Tabla467824[[ID CAE2]:[AE '[kWh']]],6,FALSE)</f>
        <v>6795.3454000000002</v>
      </c>
      <c r="BE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0" spans="1:57" ht="51.75" x14ac:dyDescent="0.25">
      <c r="A10" s="53" t="s">
        <v>111</v>
      </c>
      <c r="B10" s="53" t="s">
        <v>111</v>
      </c>
      <c r="C10" s="332" t="s">
        <v>112</v>
      </c>
      <c r="D10" s="104" t="s">
        <v>72</v>
      </c>
      <c r="E10" s="104" t="s">
        <v>72</v>
      </c>
      <c r="F10" s="104" t="s">
        <v>72</v>
      </c>
      <c r="G10" s="104"/>
      <c r="H10" s="104" t="s">
        <v>72</v>
      </c>
      <c r="I10" s="104" t="s">
        <v>72</v>
      </c>
      <c r="J10" s="104"/>
      <c r="K10" s="96" t="s">
        <v>73</v>
      </c>
      <c r="L10" s="96" t="s">
        <v>74</v>
      </c>
      <c r="M10" s="96" t="s">
        <v>75</v>
      </c>
      <c r="N10" s="96" t="s">
        <v>76</v>
      </c>
      <c r="O10" s="99">
        <f>VLOOKUP(Tabla15[[#This Row],[Matricula Antigua]],BAJA2022202320242025!$B$3:$CR$245,93,FALSE)</f>
        <v>45202</v>
      </c>
      <c r="P10" s="316">
        <v>45261</v>
      </c>
      <c r="Q10" s="317">
        <f>Tabla15[[#This Row],[F.Vig.Final]]-Tabla15[[#This Row],[f Vig Inicio]]</f>
        <v>59</v>
      </c>
      <c r="R10" s="318">
        <f>YEAR(Tabla15[[#This Row],[F.Vig.Final]])</f>
        <v>2023</v>
      </c>
      <c r="S10" s="96" t="s">
        <v>77</v>
      </c>
      <c r="T10" s="96" t="s">
        <v>78</v>
      </c>
      <c r="U10" s="96" t="s">
        <v>79</v>
      </c>
      <c r="V10" s="96" t="s">
        <v>101</v>
      </c>
      <c r="W10" s="96" t="s">
        <v>102</v>
      </c>
      <c r="X10" s="332" t="s">
        <v>1667</v>
      </c>
      <c r="Y10" s="96" t="s">
        <v>104</v>
      </c>
      <c r="Z10" s="98">
        <f>COUNTIF($X$3:X10, X10)</f>
        <v>2</v>
      </c>
      <c r="AA10" s="337" t="s">
        <v>1668</v>
      </c>
      <c r="AB10" s="337" t="s">
        <v>1668</v>
      </c>
      <c r="AC10" s="337" t="s">
        <v>1669</v>
      </c>
      <c r="AD10" s="341" t="s">
        <v>1670</v>
      </c>
      <c r="AE10" s="342" t="s">
        <v>1671</v>
      </c>
      <c r="AF10" s="337" t="s">
        <v>1672</v>
      </c>
      <c r="AG10" s="344" t="s">
        <v>1673</v>
      </c>
      <c r="AH10" s="337" t="s">
        <v>1649</v>
      </c>
      <c r="AI10" s="337" t="s">
        <v>113</v>
      </c>
      <c r="AJ10" s="98" t="s">
        <v>85</v>
      </c>
      <c r="AK10" s="98" t="s">
        <v>114</v>
      </c>
      <c r="AL10" s="98" t="s">
        <v>87</v>
      </c>
      <c r="AM10" s="101" t="s">
        <v>115</v>
      </c>
      <c r="AN10" s="348" t="s">
        <v>108</v>
      </c>
      <c r="AO10" s="349">
        <v>44994</v>
      </c>
      <c r="AP10" s="98">
        <f>Tabla15[[#This Row],[Renov. Flota]]-Tabla15[[#This Row],[Año]]</f>
        <v>0</v>
      </c>
      <c r="AQ10" s="100" t="s">
        <v>102</v>
      </c>
      <c r="AR10" s="100">
        <v>4500351521</v>
      </c>
      <c r="AS10" s="101" t="s">
        <v>103</v>
      </c>
      <c r="AT10" s="101"/>
      <c r="AU10" s="101" t="s">
        <v>72</v>
      </c>
      <c r="AV10" s="101" t="s">
        <v>109</v>
      </c>
      <c r="AW10" s="101" t="s">
        <v>116</v>
      </c>
      <c r="AX10" s="209">
        <f>IF(Tabla15[[#This Row],[Columna2]]="M1",5.1,"")</f>
        <v>5.0999999999999996</v>
      </c>
      <c r="AY10" s="208">
        <f t="shared" si="0"/>
        <v>10</v>
      </c>
      <c r="AZ10" s="313">
        <v>17.3</v>
      </c>
      <c r="BA10" s="314">
        <f>IF(Tabla15[[#This Row],[Columna2]]="M1",13073,IF(Tabla15[[#This Row],[Columna2]]="N1",15815,IF(Tabla15[[#This Row],[Columna2]]="L3e",2831,53508)))</f>
        <v>13073</v>
      </c>
      <c r="BB10" s="350">
        <f>(Tabla15[[#This Row],[CVA]]*Tabla15[[#This Row],[F]]-Tabla15[[#This Row],[CVN]])/100*Tabla15[[#This Row],[L]]</f>
        <v>4405.6010000000006</v>
      </c>
      <c r="BC10" s="74" t="s">
        <v>70</v>
      </c>
      <c r="BD10" s="294">
        <f>VLOOKUP(B10,Tabla467824[[ID CAE2]:[AE '[kWh']]],6,FALSE)</f>
        <v>6795.3454000000002</v>
      </c>
      <c r="BE1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 spans="1:57" ht="51.75" x14ac:dyDescent="0.25">
      <c r="A11" s="53" t="s">
        <v>117</v>
      </c>
      <c r="B11" s="53" t="s">
        <v>117</v>
      </c>
      <c r="C11" s="332" t="s">
        <v>118</v>
      </c>
      <c r="D11" s="104" t="s">
        <v>72</v>
      </c>
      <c r="E11" s="104"/>
      <c r="F11" s="104" t="s">
        <v>72</v>
      </c>
      <c r="G11" s="104"/>
      <c r="H11" s="104" t="s">
        <v>72</v>
      </c>
      <c r="I11" s="104" t="s">
        <v>72</v>
      </c>
      <c r="J11" s="104"/>
      <c r="K11" s="96" t="s">
        <v>73</v>
      </c>
      <c r="L11" s="96" t="s">
        <v>74</v>
      </c>
      <c r="M11" s="96" t="s">
        <v>75</v>
      </c>
      <c r="N11" s="96" t="s">
        <v>76</v>
      </c>
      <c r="O11" s="99">
        <f>VLOOKUP(Tabla15[[#This Row],[Matricula Antigua]],BAJA2022202320242025!$B$3:$CR$245,93,FALSE)</f>
        <v>45397</v>
      </c>
      <c r="P11" s="316">
        <v>45414</v>
      </c>
      <c r="Q11" s="317">
        <f>Tabla15[[#This Row],[F.Vig.Final]]-Tabla15[[#This Row],[f Vig Inicio]]</f>
        <v>17</v>
      </c>
      <c r="R11" s="318">
        <f>YEAR(Tabla15[[#This Row],[F.Vig.Final]])</f>
        <v>2024</v>
      </c>
      <c r="S11" s="96" t="s">
        <v>77</v>
      </c>
      <c r="T11" s="96" t="s">
        <v>78</v>
      </c>
      <c r="U11" s="96" t="s">
        <v>79</v>
      </c>
      <c r="V11" s="96" t="s">
        <v>101</v>
      </c>
      <c r="W11" s="96" t="s">
        <v>119</v>
      </c>
      <c r="X11" s="332" t="s">
        <v>1674</v>
      </c>
      <c r="Y11" s="96" t="s">
        <v>121</v>
      </c>
      <c r="Z11" s="98">
        <f>COUNTIF($X$3:X11, X11)</f>
        <v>1</v>
      </c>
      <c r="AA11" s="337" t="s">
        <v>1661</v>
      </c>
      <c r="AB11" s="337" t="s">
        <v>1661</v>
      </c>
      <c r="AC11" s="337" t="s">
        <v>1662</v>
      </c>
      <c r="AD11" s="337" t="s">
        <v>1663</v>
      </c>
      <c r="AE11" s="345" t="s">
        <v>1664</v>
      </c>
      <c r="AF11" s="346" t="s">
        <v>1665</v>
      </c>
      <c r="AG11" s="337" t="s">
        <v>1666</v>
      </c>
      <c r="AH11" s="337" t="s">
        <v>1649</v>
      </c>
      <c r="AI11" s="337" t="s">
        <v>122</v>
      </c>
      <c r="AJ11" s="98" t="s">
        <v>85</v>
      </c>
      <c r="AK11" s="98" t="s">
        <v>86</v>
      </c>
      <c r="AL11" s="98" t="s">
        <v>87</v>
      </c>
      <c r="AM11" s="101" t="s">
        <v>123</v>
      </c>
      <c r="AN11" s="348" t="s">
        <v>89</v>
      </c>
      <c r="AO11" s="349">
        <v>45645</v>
      </c>
      <c r="AP11" s="98">
        <f>Tabla15[[#This Row],[Renov. Flota]]-Tabla15[[#This Row],[Año]]</f>
        <v>0</v>
      </c>
      <c r="AQ11" s="100" t="s">
        <v>119</v>
      </c>
      <c r="AR11" s="100" t="str">
        <f>VLOOKUP(Tabla15[[#This Row],[Matricula nueva]],'ALTA 20242025'!$B$2:$P$242,15,FALSE)</f>
        <v>4500426876</v>
      </c>
      <c r="AS11" s="101" t="s">
        <v>120</v>
      </c>
      <c r="AT11" s="101"/>
      <c r="AU11" s="101" t="s">
        <v>72</v>
      </c>
      <c r="AV11" s="101" t="s">
        <v>91</v>
      </c>
      <c r="AW11" s="101" t="str">
        <f>VLOOKUP(Tabla15[[#This Row],[Matricula nueva]],Hoja2!$A$1:$B$224,2,FALSE)</f>
        <v>VF1RFK00273934296</v>
      </c>
      <c r="AX11" s="209">
        <f>IF(Tabla15[[#This Row],[Columna2]]="M1",5.1,"")</f>
        <v>5.0999999999999996</v>
      </c>
      <c r="AY11" s="208">
        <f t="shared" si="0"/>
        <v>10</v>
      </c>
      <c r="AZ11" s="313">
        <v>17.3</v>
      </c>
      <c r="BA11" s="314">
        <f>IF(Tabla15[[#This Row],[Columna2]]="M1",13073,IF(Tabla15[[#This Row],[Columna2]]="N1",15815,IF(Tabla15[[#This Row],[Columna2]]="L3e",2831,53508)))</f>
        <v>13073</v>
      </c>
      <c r="BB11" s="350">
        <f>(Tabla15[[#This Row],[CVA]]*Tabla15[[#This Row],[F]]-Tabla15[[#This Row],[CVN]])/100*Tabla15[[#This Row],[L]]</f>
        <v>4405.6010000000006</v>
      </c>
      <c r="BC11" s="74" t="s">
        <v>70</v>
      </c>
      <c r="BD11" s="294">
        <f>VLOOKUP(B11,Tabla467824[[ID CAE2]:[AE '[kWh']]],6,FALSE)</f>
        <v>6795.3454000000002</v>
      </c>
      <c r="BE1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 spans="1:57" ht="51.75" x14ac:dyDescent="0.25">
      <c r="A12" s="53" t="s">
        <v>126</v>
      </c>
      <c r="B12" s="53" t="s">
        <v>126</v>
      </c>
      <c r="C12" s="332" t="s">
        <v>127</v>
      </c>
      <c r="D12" s="104" t="s">
        <v>72</v>
      </c>
      <c r="E12" s="104"/>
      <c r="F12" s="104" t="s">
        <v>72</v>
      </c>
      <c r="G12" s="104"/>
      <c r="H12" s="104" t="s">
        <v>72</v>
      </c>
      <c r="I12" s="104" t="s">
        <v>72</v>
      </c>
      <c r="J12" s="104"/>
      <c r="K12" s="96" t="s">
        <v>129</v>
      </c>
      <c r="L12" s="96" t="s">
        <v>74</v>
      </c>
      <c r="M12" s="96" t="s">
        <v>75</v>
      </c>
      <c r="N12" s="96" t="s">
        <v>76</v>
      </c>
      <c r="O12" s="99">
        <f>VLOOKUP(Tabla15[[#This Row],[Matricula Antigua]],BAJA2022202320242025!$B$3:$CR$245,93,FALSE)</f>
        <v>45447</v>
      </c>
      <c r="P12" s="316">
        <v>45657</v>
      </c>
      <c r="Q12" s="317">
        <f>Tabla15[[#This Row],[F.Vig.Final]]-Tabla15[[#This Row],[f Vig Inicio]]</f>
        <v>210</v>
      </c>
      <c r="R12" s="318">
        <f>YEAR(Tabla15[[#This Row],[F.Vig.Final]])</f>
        <v>2024</v>
      </c>
      <c r="S12" s="96" t="s">
        <v>77</v>
      </c>
      <c r="T12" s="96" t="s">
        <v>78</v>
      </c>
      <c r="U12" s="96" t="s">
        <v>79</v>
      </c>
      <c r="V12" s="96" t="s">
        <v>130</v>
      </c>
      <c r="W12" s="96" t="s">
        <v>131</v>
      </c>
      <c r="X12" s="332" t="s">
        <v>132</v>
      </c>
      <c r="Y12" s="96" t="s">
        <v>133</v>
      </c>
      <c r="Z12" s="98">
        <f>COUNTIF($X$3:X12, X12)</f>
        <v>1</v>
      </c>
      <c r="AA12" s="337" t="s">
        <v>1661</v>
      </c>
      <c r="AB12" s="337" t="s">
        <v>1661</v>
      </c>
      <c r="AC12" s="337" t="s">
        <v>1662</v>
      </c>
      <c r="AD12" s="341" t="s">
        <v>1675</v>
      </c>
      <c r="AE12" s="347" t="s">
        <v>1664</v>
      </c>
      <c r="AF12" s="337" t="s">
        <v>1676</v>
      </c>
      <c r="AG12" s="337" t="s">
        <v>1677</v>
      </c>
      <c r="AH12" s="337" t="s">
        <v>1649</v>
      </c>
      <c r="AI12" s="337" t="s">
        <v>134</v>
      </c>
      <c r="AJ12" s="98" t="s">
        <v>85</v>
      </c>
      <c r="AK12" s="98" t="s">
        <v>86</v>
      </c>
      <c r="AL12" s="98" t="s">
        <v>87</v>
      </c>
      <c r="AM12" s="101" t="s">
        <v>135</v>
      </c>
      <c r="AN12" s="348" t="s">
        <v>89</v>
      </c>
      <c r="AO12" s="349">
        <v>45625</v>
      </c>
      <c r="AP12" s="98">
        <f>Tabla15[[#This Row],[Renov. Flota]]-Tabla15[[#This Row],[Año]]</f>
        <v>0</v>
      </c>
      <c r="AQ12" s="100" t="s">
        <v>131</v>
      </c>
      <c r="AR12" s="100" t="str">
        <f>VLOOKUP(Tabla15[[#This Row],[Matricula nueva]],'ALTA 20242025'!$B$2:$P$242,15,FALSE)</f>
        <v>4500426872</v>
      </c>
      <c r="AS12" s="101" t="s">
        <v>132</v>
      </c>
      <c r="AT12" s="101"/>
      <c r="AU12" s="101" t="s">
        <v>72</v>
      </c>
      <c r="AV12" s="101" t="s">
        <v>91</v>
      </c>
      <c r="AW12" s="101" t="str">
        <f>VLOOKUP(Tabla15[[#This Row],[Matricula nueva]],Hoja2!$A$1:$B$224,2,FALSE)</f>
        <v>VF1RFK00073824833</v>
      </c>
      <c r="AX12" s="209">
        <v>5.6</v>
      </c>
      <c r="AY12" s="208">
        <f t="shared" si="0"/>
        <v>10</v>
      </c>
      <c r="AZ12" s="313">
        <v>17.3</v>
      </c>
      <c r="BA12" s="314">
        <f>IF(Tabla15[[#This Row],[Columna2]]="M1",13073,IF(Tabla15[[#This Row],[Columna2]]="N1",15815,IF(Tabla15[[#This Row],[Columna2]]="L3e",2831,53508)))</f>
        <v>15815</v>
      </c>
      <c r="BB12" s="350">
        <f>(Tabla15[[#This Row],[CVA]]*Tabla15[[#This Row],[F]]-Tabla15[[#This Row],[CVN]])/100*Tabla15[[#This Row],[L]]</f>
        <v>6120.4049999999997</v>
      </c>
      <c r="BC12" s="74" t="s">
        <v>128</v>
      </c>
      <c r="BD12" s="294">
        <f>VLOOKUP(B12,Tabla467824[[ID CAE2]:[AE '[kWh']]],6,FALSE)</f>
        <v>5607.9989999999989</v>
      </c>
      <c r="BE1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 spans="1:57" ht="51.75" x14ac:dyDescent="0.25">
      <c r="A13" s="53" t="s">
        <v>138</v>
      </c>
      <c r="B13" s="53" t="s">
        <v>138</v>
      </c>
      <c r="C13" s="332" t="s">
        <v>139</v>
      </c>
      <c r="D13" s="104" t="s">
        <v>72</v>
      </c>
      <c r="E13" s="104" t="s">
        <v>72</v>
      </c>
      <c r="F13" s="104" t="s">
        <v>72</v>
      </c>
      <c r="G13" s="104"/>
      <c r="H13" s="104" t="s">
        <v>72</v>
      </c>
      <c r="I13" s="104" t="s">
        <v>72</v>
      </c>
      <c r="J13" s="104"/>
      <c r="K13" s="96" t="s">
        <v>73</v>
      </c>
      <c r="L13" s="96" t="s">
        <v>74</v>
      </c>
      <c r="M13" s="96" t="s">
        <v>75</v>
      </c>
      <c r="N13" s="96" t="s">
        <v>76</v>
      </c>
      <c r="O13" s="99">
        <f>VLOOKUP(Tabla15[[#This Row],[Matricula Antigua]],BAJA2022202320242025!$B$3:$CR$245,93,FALSE)</f>
        <v>45282</v>
      </c>
      <c r="P13" s="316">
        <v>45321</v>
      </c>
      <c r="Q13" s="317">
        <f>Tabla15[[#This Row],[F.Vig.Final]]-Tabla15[[#This Row],[f Vig Inicio]]</f>
        <v>39</v>
      </c>
      <c r="R13" s="318">
        <f>YEAR(Tabla15[[#This Row],[F.Vig.Final]])</f>
        <v>2024</v>
      </c>
      <c r="S13" s="96" t="s">
        <v>77</v>
      </c>
      <c r="T13" s="96" t="s">
        <v>78</v>
      </c>
      <c r="U13" s="96" t="s">
        <v>140</v>
      </c>
      <c r="V13" s="96" t="s">
        <v>141</v>
      </c>
      <c r="W13" s="96" t="s">
        <v>81</v>
      </c>
      <c r="X13" s="332" t="s">
        <v>82</v>
      </c>
      <c r="Y13" s="96" t="s">
        <v>83</v>
      </c>
      <c r="Z13" s="98">
        <f>COUNTIF($X$3:X13, X13)</f>
        <v>3</v>
      </c>
      <c r="AA13" s="337" t="s">
        <v>1661</v>
      </c>
      <c r="AB13" s="337" t="s">
        <v>1661</v>
      </c>
      <c r="AC13" s="337" t="s">
        <v>1662</v>
      </c>
      <c r="AD13" s="337" t="s">
        <v>1663</v>
      </c>
      <c r="AE13" s="342" t="s">
        <v>1664</v>
      </c>
      <c r="AF13" s="337" t="s">
        <v>1665</v>
      </c>
      <c r="AG13" s="337" t="s">
        <v>1666</v>
      </c>
      <c r="AH13" s="337" t="s">
        <v>1649</v>
      </c>
      <c r="AI13" s="337" t="s">
        <v>142</v>
      </c>
      <c r="AJ13" s="98" t="s">
        <v>85</v>
      </c>
      <c r="AK13" s="98" t="s">
        <v>86</v>
      </c>
      <c r="AL13" s="98" t="s">
        <v>87</v>
      </c>
      <c r="AM13" s="101" t="s">
        <v>143</v>
      </c>
      <c r="AN13" s="348" t="s">
        <v>89</v>
      </c>
      <c r="AO13" s="349">
        <v>45625</v>
      </c>
      <c r="AP13" s="98">
        <f>Tabla15[[#This Row],[Renov. Flota]]-Tabla15[[#This Row],[Año]]</f>
        <v>0</v>
      </c>
      <c r="AQ13" s="100" t="s">
        <v>81</v>
      </c>
      <c r="AR13" s="100" t="str">
        <f>VLOOKUP(Tabla15[[#This Row],[Matricula nueva]],'ALTA 20242025'!$B$2:$P$242,15,FALSE)</f>
        <v>4500426841</v>
      </c>
      <c r="AS13" s="101" t="s">
        <v>82</v>
      </c>
      <c r="AT13" s="101"/>
      <c r="AU13" s="101" t="s">
        <v>72</v>
      </c>
      <c r="AV13" s="101" t="s">
        <v>91</v>
      </c>
      <c r="AW13" s="101" t="str">
        <f>VLOOKUP(Tabla15[[#This Row],[Matricula nueva]],Hoja2!$A$1:$B$224,2,FALSE)</f>
        <v>VF1RFK00773824845</v>
      </c>
      <c r="AX13" s="209">
        <f>IF(Tabla15[[#This Row],[Columna2]]="M1",5.1,"")</f>
        <v>5.0999999999999996</v>
      </c>
      <c r="AY13" s="208">
        <f t="shared" si="0"/>
        <v>10</v>
      </c>
      <c r="AZ13" s="313">
        <v>17.3</v>
      </c>
      <c r="BA13" s="314">
        <f>IF(Tabla15[[#This Row],[Columna2]]="M1",13073,IF(Tabla15[[#This Row],[Columna2]]="N1",15815,IF(Tabla15[[#This Row],[Columna2]]="L3e",2831,53508)))</f>
        <v>13073</v>
      </c>
      <c r="BB13" s="350">
        <f>(Tabla15[[#This Row],[CVA]]*Tabla15[[#This Row],[F]]-Tabla15[[#This Row],[CVN]])/100*Tabla15[[#This Row],[L]]</f>
        <v>4405.6010000000006</v>
      </c>
      <c r="BC13" s="74" t="s">
        <v>70</v>
      </c>
      <c r="BD13" s="294">
        <f>VLOOKUP(B13,Tabla467824[[ID CAE2]:[AE '[kWh']]],6,FALSE)</f>
        <v>6795.3454000000002</v>
      </c>
      <c r="BE1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 spans="1:57" ht="52.5" thickBot="1" x14ac:dyDescent="0.3">
      <c r="A14" s="53" t="s">
        <v>146</v>
      </c>
      <c r="B14" s="53" t="s">
        <v>146</v>
      </c>
      <c r="C14" s="332" t="s">
        <v>147</v>
      </c>
      <c r="D14" s="104" t="s">
        <v>72</v>
      </c>
      <c r="E14" s="104"/>
      <c r="F14" s="104" t="s">
        <v>72</v>
      </c>
      <c r="G14" s="104"/>
      <c r="H14" s="104" t="s">
        <v>72</v>
      </c>
      <c r="I14" s="104" t="s">
        <v>72</v>
      </c>
      <c r="J14" s="104"/>
      <c r="K14" s="96" t="s">
        <v>73</v>
      </c>
      <c r="L14" s="96" t="s">
        <v>74</v>
      </c>
      <c r="M14" s="96" t="s">
        <v>75</v>
      </c>
      <c r="N14" s="96" t="s">
        <v>76</v>
      </c>
      <c r="O14" s="99">
        <f>VLOOKUP(Tabla15[[#This Row],[Matricula Antigua]],BAJA2022202320242025!$B$3:$CR$245,93,FALSE)</f>
        <v>45451</v>
      </c>
      <c r="P14" s="316">
        <v>45565</v>
      </c>
      <c r="Q14" s="317">
        <f>Tabla15[[#This Row],[F.Vig.Final]]-Tabla15[[#This Row],[f Vig Inicio]]</f>
        <v>114</v>
      </c>
      <c r="R14" s="318">
        <f>YEAR(Tabla15[[#This Row],[F.Vig.Final]])</f>
        <v>2024</v>
      </c>
      <c r="S14" s="96" t="s">
        <v>77</v>
      </c>
      <c r="T14" s="96" t="s">
        <v>78</v>
      </c>
      <c r="U14" s="96" t="s">
        <v>140</v>
      </c>
      <c r="V14" s="96" t="s">
        <v>148</v>
      </c>
      <c r="W14" s="96" t="s">
        <v>119</v>
      </c>
      <c r="X14" s="332" t="s">
        <v>1674</v>
      </c>
      <c r="Y14" s="96" t="s">
        <v>149</v>
      </c>
      <c r="Z14" s="98">
        <f>COUNTIF($X$3:X14, X14)</f>
        <v>2</v>
      </c>
      <c r="AA14" s="337" t="s">
        <v>1661</v>
      </c>
      <c r="AB14" s="337" t="s">
        <v>1661</v>
      </c>
      <c r="AC14" s="337" t="s">
        <v>1662</v>
      </c>
      <c r="AD14" s="337" t="s">
        <v>1663</v>
      </c>
      <c r="AE14" s="342" t="s">
        <v>1664</v>
      </c>
      <c r="AF14" s="337" t="s">
        <v>1665</v>
      </c>
      <c r="AG14" s="337" t="s">
        <v>1666</v>
      </c>
      <c r="AH14" s="337" t="s">
        <v>1649</v>
      </c>
      <c r="AI14" s="337" t="s">
        <v>150</v>
      </c>
      <c r="AJ14" s="98" t="s">
        <v>140</v>
      </c>
      <c r="AK14" s="98" t="s">
        <v>151</v>
      </c>
      <c r="AL14" s="98" t="s">
        <v>87</v>
      </c>
      <c r="AM14" s="101" t="s">
        <v>152</v>
      </c>
      <c r="AN14" s="348" t="s">
        <v>89</v>
      </c>
      <c r="AO14" s="349">
        <v>45622</v>
      </c>
      <c r="AP14" s="98">
        <f>Tabla15[[#This Row],[Renov. Flota]]-Tabla15[[#This Row],[Año]]</f>
        <v>0</v>
      </c>
      <c r="AQ14" s="100" t="s">
        <v>119</v>
      </c>
      <c r="AR14" s="100" t="str">
        <f>VLOOKUP(Tabla15[[#This Row],[Matricula nueva]],'ALTA 20242025'!$B$2:$P$242,15,FALSE)</f>
        <v>4500424209</v>
      </c>
      <c r="AS14" s="101" t="s">
        <v>120</v>
      </c>
      <c r="AT14" s="101"/>
      <c r="AU14" s="101" t="s">
        <v>72</v>
      </c>
      <c r="AV14" s="101" t="s">
        <v>91</v>
      </c>
      <c r="AW14" s="101" t="str">
        <f>VLOOKUP(Tabla15[[#This Row],[Matricula nueva]],Hoja2!$A$1:$B$224,2,FALSE)</f>
        <v>VR7CBZYAXRT152191</v>
      </c>
      <c r="AX14" s="209">
        <f>IF(Tabla15[[#This Row],[Columna2]]="M1",5.1,"")</f>
        <v>5.0999999999999996</v>
      </c>
      <c r="AY14" s="208">
        <f t="shared" si="0"/>
        <v>10</v>
      </c>
      <c r="AZ14" s="313">
        <v>16.399999999999999</v>
      </c>
      <c r="BA14" s="314">
        <f>IF(Tabla15[[#This Row],[Columna2]]="M1",13073,IF(Tabla15[[#This Row],[Columna2]]="N1",15815,IF(Tabla15[[#This Row],[Columna2]]="L3e",2831,53508)))</f>
        <v>13073</v>
      </c>
      <c r="BB14" s="350">
        <f>(Tabla15[[#This Row],[CVA]]*Tabla15[[#This Row],[F]]-Tabla15[[#This Row],[CVN]])/100*Tabla15[[#This Row],[L]]</f>
        <v>4523.2580000000007</v>
      </c>
      <c r="BC14" s="79" t="s">
        <v>70</v>
      </c>
      <c r="BD14" s="294">
        <f>VLOOKUP(B14,Tabla467824[[ID CAE2]:[AE '[kWh']]],6,FALSE)</f>
        <v>6795.3454000000002</v>
      </c>
      <c r="BE1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 spans="1:57" ht="15.75" hidden="1" thickBot="1" x14ac:dyDescent="0.3">
      <c r="A15" s="53" t="s">
        <v>1141</v>
      </c>
      <c r="B15" s="53" t="e">
        <v>#N/A</v>
      </c>
      <c r="C15" s="96" t="s">
        <v>1142</v>
      </c>
      <c r="D15" s="96"/>
      <c r="E15" s="96"/>
      <c r="F15" s="96"/>
      <c r="G15" s="96"/>
      <c r="H15" s="96"/>
      <c r="I15" s="96"/>
      <c r="J15" s="96"/>
      <c r="K15" s="96" t="s">
        <v>1143</v>
      </c>
      <c r="L15" s="96" t="s">
        <v>74</v>
      </c>
      <c r="M15" s="96" t="s">
        <v>75</v>
      </c>
      <c r="N15" s="96" t="s">
        <v>76</v>
      </c>
      <c r="O15" s="101">
        <f>VLOOKUP(Tabla15[[#This Row],[Matricula Antigua]],BAJA2022202320242025!$B$3:$CR$245,93,FALSE)</f>
        <v>44756</v>
      </c>
      <c r="P15" s="99">
        <v>45169</v>
      </c>
      <c r="Q15" s="98">
        <f>Tabla15[[#This Row],[F.Vig.Final]]-Tabla15[[#This Row],[f Vig Inicio]]</f>
        <v>413</v>
      </c>
      <c r="R15" s="99">
        <f>YEAR(Tabla15[[#This Row],[F.Vig.Final]])</f>
        <v>2023</v>
      </c>
      <c r="S15" s="96" t="s">
        <v>77</v>
      </c>
      <c r="T15" s="96" t="s">
        <v>78</v>
      </c>
      <c r="U15" s="96" t="s">
        <v>887</v>
      </c>
      <c r="V15" s="96" t="s">
        <v>1144</v>
      </c>
      <c r="W15" s="96" t="s">
        <v>1050</v>
      </c>
      <c r="X15" s="96" t="s">
        <v>1051</v>
      </c>
      <c r="Y15" s="96" t="s">
        <v>1145</v>
      </c>
      <c r="Z15" s="98">
        <f>COUNTIF($X$3:X15, X15)</f>
        <v>1</v>
      </c>
      <c r="AA15" s="98"/>
      <c r="AB15" s="98"/>
      <c r="AC15" s="98"/>
      <c r="AD15" s="98"/>
      <c r="AE15" s="321"/>
      <c r="AF15" s="98"/>
      <c r="AG15" s="98"/>
      <c r="AH15" s="98"/>
      <c r="AI15" s="98" t="e">
        <v>#N/A</v>
      </c>
      <c r="AJ15" s="98" t="e">
        <v>#N/A</v>
      </c>
      <c r="AK15" s="98" t="e">
        <v>#N/A</v>
      </c>
      <c r="AL15" s="98" t="e">
        <v>#N/A</v>
      </c>
      <c r="AM15" s="98" t="e">
        <v>#N/A</v>
      </c>
      <c r="AN15" s="99" t="e">
        <v>#N/A</v>
      </c>
      <c r="AO15" s="99" t="e">
        <v>#N/A</v>
      </c>
      <c r="AP15" s="99" t="e">
        <f>Tabla15[[#This Row],[Renov. Flota]]-Tabla15[[#This Row],[Año]]</f>
        <v>#N/A</v>
      </c>
      <c r="AQ15" s="100" t="e">
        <v>#N/A</v>
      </c>
      <c r="AR15" s="100" t="e">
        <f>VLOOKUP(Tabla15[[#This Row],[Matricula nueva]],'ALTA 20242025'!$B$2:$P$242,15,FALSE)</f>
        <v>#N/A</v>
      </c>
      <c r="AS15" s="101" t="e">
        <v>#N/A</v>
      </c>
      <c r="AT15" s="101"/>
      <c r="AU15" s="101"/>
      <c r="AV15" s="101"/>
      <c r="AW15" s="101" t="e">
        <f>VLOOKUP(Tabla15[[#This Row],[Matricula nueva]],Hoja2!$A$1:$B$224,2,FALSE)</f>
        <v>#N/A</v>
      </c>
      <c r="AX15" s="101" t="str">
        <f>IF(Tabla15[[#This Row],[Columna2]]="M1",5.1,"")</f>
        <v/>
      </c>
      <c r="AY15" s="101"/>
      <c r="AZ15" s="101"/>
      <c r="BA15" s="311">
        <f>IF(Tabla15[[#This Row],[Columna2]]="M1",13073,IF(Tabla15[[#This Row],[Columna2]]="N1",15815,IF(Tabla15[[#This Row],[Columna2]]="L3e",2831,53508)))</f>
        <v>53508</v>
      </c>
      <c r="BB15" s="311" t="e">
        <f>(Tabla15[[#This Row],[CVA]]*Tabla15[[#This Row],[F]]-Tabla15[[#This Row],[CVN]])/100*Tabla15[[#This Row],[L]]</f>
        <v>#VALUE!</v>
      </c>
      <c r="BC15" s="1"/>
      <c r="BD15" s="1" t="e">
        <f>VLOOKUP(B15,Tabla467824[[ID CAE2]:[AE '[kWh']]],6,FALSE)</f>
        <v>#N/A</v>
      </c>
      <c r="BE1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6" spans="1:57" ht="51.75" x14ac:dyDescent="0.25">
      <c r="A16" s="53" t="s">
        <v>155</v>
      </c>
      <c r="B16" s="53" t="s">
        <v>155</v>
      </c>
      <c r="C16" s="332" t="s">
        <v>156</v>
      </c>
      <c r="D16" s="104" t="s">
        <v>72</v>
      </c>
      <c r="E16" s="104"/>
      <c r="F16" s="104"/>
      <c r="G16" s="104" t="s">
        <v>72</v>
      </c>
      <c r="H16" s="104" t="s">
        <v>72</v>
      </c>
      <c r="I16" s="104" t="s">
        <v>72</v>
      </c>
      <c r="J16" s="104"/>
      <c r="K16" s="96" t="s">
        <v>158</v>
      </c>
      <c r="L16" s="96" t="s">
        <v>159</v>
      </c>
      <c r="M16" s="96" t="s">
        <v>158</v>
      </c>
      <c r="N16" s="96" t="s">
        <v>160</v>
      </c>
      <c r="O16" s="99">
        <f>VLOOKUP(Tabla15[[#This Row],[Matricula Antigua]],BAJA2022202320242025!$B$3:$CR$245,93,FALSE)</f>
        <v>43073</v>
      </c>
      <c r="P16" s="316">
        <v>44974</v>
      </c>
      <c r="Q16" s="317">
        <f>Tabla15[[#This Row],[F.Vig.Final]]-Tabla15[[#This Row],[f Vig Inicio]]</f>
        <v>1901</v>
      </c>
      <c r="R16" s="318">
        <f>YEAR(Tabla15[[#This Row],[F.Vig.Final]])</f>
        <v>2023</v>
      </c>
      <c r="S16" s="96" t="s">
        <v>161</v>
      </c>
      <c r="T16" s="96" t="s">
        <v>71</v>
      </c>
      <c r="U16" s="96" t="s">
        <v>162</v>
      </c>
      <c r="V16" s="96" t="s">
        <v>163</v>
      </c>
      <c r="W16" s="96" t="s">
        <v>81</v>
      </c>
      <c r="X16" s="332" t="s">
        <v>82</v>
      </c>
      <c r="Y16" s="96" t="s">
        <v>164</v>
      </c>
      <c r="Z16" s="98">
        <f>COUNTIF($X$3:X16, X16)</f>
        <v>4</v>
      </c>
      <c r="AA16" s="337" t="s">
        <v>1661</v>
      </c>
      <c r="AB16" s="337" t="s">
        <v>1661</v>
      </c>
      <c r="AC16" s="337" t="s">
        <v>1662</v>
      </c>
      <c r="AD16" s="337" t="s">
        <v>1663</v>
      </c>
      <c r="AE16" s="342" t="s">
        <v>1664</v>
      </c>
      <c r="AF16" s="337" t="s">
        <v>1665</v>
      </c>
      <c r="AG16" s="337" t="s">
        <v>1666</v>
      </c>
      <c r="AH16" s="337" t="s">
        <v>1649</v>
      </c>
      <c r="AI16" s="337" t="s">
        <v>165</v>
      </c>
      <c r="AJ16" s="98" t="s">
        <v>85</v>
      </c>
      <c r="AK16" s="98" t="s">
        <v>86</v>
      </c>
      <c r="AL16" s="98" t="s">
        <v>87</v>
      </c>
      <c r="AM16" s="101" t="s">
        <v>143</v>
      </c>
      <c r="AN16" s="348" t="s">
        <v>89</v>
      </c>
      <c r="AO16" s="349">
        <v>45625</v>
      </c>
      <c r="AP16" s="98">
        <f>Tabla15[[#This Row],[Renov. Flota]]-Tabla15[[#This Row],[Año]]</f>
        <v>1</v>
      </c>
      <c r="AQ16" s="100" t="s">
        <v>81</v>
      </c>
      <c r="AR16" s="100" t="str">
        <f>VLOOKUP(Tabla15[[#This Row],[Matricula nueva]],'ALTA 20242025'!$B$2:$P$242,15,FALSE)</f>
        <v>4500426794</v>
      </c>
      <c r="AS16" s="101" t="s">
        <v>82</v>
      </c>
      <c r="AT16" s="101"/>
      <c r="AU16" s="101" t="s">
        <v>72</v>
      </c>
      <c r="AV16" s="101" t="s">
        <v>91</v>
      </c>
      <c r="AW16" s="101" t="str">
        <f>VLOOKUP(Tabla15[[#This Row],[Matricula nueva]],Hoja2!$A$1:$B$224,2,FALSE)</f>
        <v>VF1RFK00173824842</v>
      </c>
      <c r="AX16" s="209">
        <v>2.9</v>
      </c>
      <c r="AY16" s="208">
        <f t="shared" ref="AY16:AY26" si="1">IF(T16="DIESEL",10,IF(T16="GLP",7.16,9.19))</f>
        <v>9.19</v>
      </c>
      <c r="AZ16" s="313">
        <v>17.3</v>
      </c>
      <c r="BA16" s="314">
        <f>IF(Tabla15[[#This Row],[Columna2]]="M1",13073,IF(Tabla15[[#This Row],[Columna2]]="N1",15815,IF(Tabla15[[#This Row],[Columna2]]="L3e",2831,53508)))</f>
        <v>2831</v>
      </c>
      <c r="BB16" s="350">
        <f>(Tabla15[[#This Row],[CVA]]*Tabla15[[#This Row],[F]]-Tabla15[[#This Row],[CVN]])/100*Tabla15[[#This Row],[L]]</f>
        <v>264.72680999999989</v>
      </c>
      <c r="BC16" s="69" t="s">
        <v>157</v>
      </c>
      <c r="BD16" s="294">
        <f>VLOOKUP(B16,Tabla467824[[ID CAE2]:[AE '[kWh']]],6,FALSE)</f>
        <v>617.46940999999993</v>
      </c>
      <c r="BE1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7" spans="1:57" ht="51.75" x14ac:dyDescent="0.25">
      <c r="A17" s="53" t="s">
        <v>169</v>
      </c>
      <c r="B17" s="53" t="s">
        <v>169</v>
      </c>
      <c r="C17" s="332" t="s">
        <v>170</v>
      </c>
      <c r="D17" s="104" t="s">
        <v>72</v>
      </c>
      <c r="E17" s="104"/>
      <c r="F17" s="104"/>
      <c r="G17" s="104" t="s">
        <v>72</v>
      </c>
      <c r="H17" s="104" t="s">
        <v>72</v>
      </c>
      <c r="I17" s="104" t="s">
        <v>72</v>
      </c>
      <c r="J17" s="104"/>
      <c r="K17" s="96" t="s">
        <v>158</v>
      </c>
      <c r="L17" s="96" t="s">
        <v>159</v>
      </c>
      <c r="M17" s="96" t="s">
        <v>158</v>
      </c>
      <c r="N17" s="96" t="s">
        <v>171</v>
      </c>
      <c r="O17" s="99">
        <f>VLOOKUP(Tabla15[[#This Row],[Matricula Antigua]],BAJA2022202320242025!$B$3:$CR$245,93,FALSE)</f>
        <v>42641</v>
      </c>
      <c r="P17" s="316">
        <v>45561</v>
      </c>
      <c r="Q17" s="317">
        <f>Tabla15[[#This Row],[F.Vig.Final]]-Tabla15[[#This Row],[f Vig Inicio]]</f>
        <v>2920</v>
      </c>
      <c r="R17" s="318">
        <f>YEAR(Tabla15[[#This Row],[F.Vig.Final]])</f>
        <v>2024</v>
      </c>
      <c r="S17" s="96" t="s">
        <v>172</v>
      </c>
      <c r="T17" s="96" t="s">
        <v>71</v>
      </c>
      <c r="U17" s="96" t="s">
        <v>162</v>
      </c>
      <c r="V17" s="96" t="s">
        <v>163</v>
      </c>
      <c r="W17" s="96" t="s">
        <v>81</v>
      </c>
      <c r="X17" s="332" t="s">
        <v>82</v>
      </c>
      <c r="Y17" s="96" t="s">
        <v>164</v>
      </c>
      <c r="Z17" s="98">
        <f>COUNTIF($X$3:X17, X17)</f>
        <v>5</v>
      </c>
      <c r="AA17" s="337" t="s">
        <v>1661</v>
      </c>
      <c r="AB17" s="337" t="s">
        <v>1661</v>
      </c>
      <c r="AC17" s="337" t="s">
        <v>1662</v>
      </c>
      <c r="AD17" s="337" t="s">
        <v>1663</v>
      </c>
      <c r="AE17" s="342" t="s">
        <v>1664</v>
      </c>
      <c r="AF17" s="337" t="s">
        <v>1665</v>
      </c>
      <c r="AG17" s="337" t="s">
        <v>1666</v>
      </c>
      <c r="AH17" s="337" t="s">
        <v>1649</v>
      </c>
      <c r="AI17" s="337" t="s">
        <v>173</v>
      </c>
      <c r="AJ17" s="98" t="s">
        <v>85</v>
      </c>
      <c r="AK17" s="98" t="s">
        <v>86</v>
      </c>
      <c r="AL17" s="98" t="s">
        <v>87</v>
      </c>
      <c r="AM17" s="101" t="s">
        <v>174</v>
      </c>
      <c r="AN17" s="348" t="s">
        <v>89</v>
      </c>
      <c r="AO17" s="349">
        <v>45646</v>
      </c>
      <c r="AP17" s="98">
        <f>Tabla15[[#This Row],[Renov. Flota]]-Tabla15[[#This Row],[Año]]</f>
        <v>0</v>
      </c>
      <c r="AQ17" s="100" t="s">
        <v>81</v>
      </c>
      <c r="AR17" s="100" t="str">
        <f>VLOOKUP(Tabla15[[#This Row],[Matricula nueva]],'ALTA 20242025'!$B$2:$P$242,15,FALSE)</f>
        <v>4500426849</v>
      </c>
      <c r="AS17" s="101" t="s">
        <v>82</v>
      </c>
      <c r="AT17" s="101"/>
      <c r="AU17" s="101" t="s">
        <v>72</v>
      </c>
      <c r="AV17" s="101" t="s">
        <v>91</v>
      </c>
      <c r="AW17" s="101" t="str">
        <f>VLOOKUP(Tabla15[[#This Row],[Matricula nueva]],Hoja2!$A$1:$B$224,2,FALSE)</f>
        <v>VF1RFK00473824852</v>
      </c>
      <c r="AX17" s="209">
        <v>2.9</v>
      </c>
      <c r="AY17" s="208">
        <f t="shared" si="1"/>
        <v>9.19</v>
      </c>
      <c r="AZ17" s="313">
        <v>17.3</v>
      </c>
      <c r="BA17" s="314">
        <f>IF(Tabla15[[#This Row],[Columna2]]="M1",13073,IF(Tabla15[[#This Row],[Columna2]]="N1",15815,IF(Tabla15[[#This Row],[Columna2]]="L3e",2831,53508)))</f>
        <v>2831</v>
      </c>
      <c r="BB17" s="350">
        <f>(Tabla15[[#This Row],[CVA]]*Tabla15[[#This Row],[F]]-Tabla15[[#This Row],[CVN]])/100*Tabla15[[#This Row],[L]]</f>
        <v>264.72680999999989</v>
      </c>
      <c r="BC17" s="74" t="s">
        <v>157</v>
      </c>
      <c r="BD17" s="294">
        <f>VLOOKUP(B17,Tabla467824[[ID CAE2]:[AE '[kWh']]],6,FALSE)</f>
        <v>617.46940999999993</v>
      </c>
      <c r="BE1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8" spans="1:57" ht="51.75" x14ac:dyDescent="0.25">
      <c r="A18" s="53" t="s">
        <v>177</v>
      </c>
      <c r="B18" s="53" t="s">
        <v>177</v>
      </c>
      <c r="C18" s="332" t="s">
        <v>178</v>
      </c>
      <c r="D18" s="104" t="s">
        <v>72</v>
      </c>
      <c r="E18" s="104"/>
      <c r="F18" s="104"/>
      <c r="G18" s="104" t="s">
        <v>72</v>
      </c>
      <c r="H18" s="104" t="s">
        <v>72</v>
      </c>
      <c r="I18" s="104" t="s">
        <v>72</v>
      </c>
      <c r="J18" s="104"/>
      <c r="K18" s="96" t="s">
        <v>158</v>
      </c>
      <c r="L18" s="96" t="s">
        <v>159</v>
      </c>
      <c r="M18" s="96" t="s">
        <v>158</v>
      </c>
      <c r="N18" s="96" t="s">
        <v>171</v>
      </c>
      <c r="O18" s="99">
        <f>VLOOKUP(Tabla15[[#This Row],[Matricula Antigua]],BAJA2022202320242025!$B$3:$CR$245,93,FALSE)</f>
        <v>40830</v>
      </c>
      <c r="P18" s="316">
        <v>45561</v>
      </c>
      <c r="Q18" s="317">
        <f>Tabla15[[#This Row],[F.Vig.Final]]-Tabla15[[#This Row],[f Vig Inicio]]</f>
        <v>4731</v>
      </c>
      <c r="R18" s="318">
        <f>YEAR(Tabla15[[#This Row],[F.Vig.Final]])</f>
        <v>2024</v>
      </c>
      <c r="S18" s="96" t="s">
        <v>172</v>
      </c>
      <c r="T18" s="96" t="s">
        <v>71</v>
      </c>
      <c r="U18" s="96" t="s">
        <v>162</v>
      </c>
      <c r="V18" s="96" t="s">
        <v>163</v>
      </c>
      <c r="W18" s="96" t="s">
        <v>81</v>
      </c>
      <c r="X18" s="332" t="s">
        <v>82</v>
      </c>
      <c r="Y18" s="96" t="s">
        <v>164</v>
      </c>
      <c r="Z18" s="98">
        <f>COUNTIF($X$3:X18, X18)</f>
        <v>6</v>
      </c>
      <c r="AA18" s="337" t="s">
        <v>1661</v>
      </c>
      <c r="AB18" s="337" t="s">
        <v>1661</v>
      </c>
      <c r="AC18" s="337" t="s">
        <v>1662</v>
      </c>
      <c r="AD18" s="337" t="s">
        <v>1663</v>
      </c>
      <c r="AE18" s="342" t="s">
        <v>1664</v>
      </c>
      <c r="AF18" s="337" t="s">
        <v>1665</v>
      </c>
      <c r="AG18" s="337" t="s">
        <v>1666</v>
      </c>
      <c r="AH18" s="337" t="s">
        <v>1649</v>
      </c>
      <c r="AI18" s="337" t="s">
        <v>179</v>
      </c>
      <c r="AJ18" s="98" t="s">
        <v>85</v>
      </c>
      <c r="AK18" s="98" t="s">
        <v>86</v>
      </c>
      <c r="AL18" s="98" t="s">
        <v>87</v>
      </c>
      <c r="AM18" s="101" t="s">
        <v>180</v>
      </c>
      <c r="AN18" s="348" t="s">
        <v>89</v>
      </c>
      <c r="AO18" s="349">
        <v>45646</v>
      </c>
      <c r="AP18" s="98">
        <f>Tabla15[[#This Row],[Renov. Flota]]-Tabla15[[#This Row],[Año]]</f>
        <v>0</v>
      </c>
      <c r="AQ18" s="100" t="s">
        <v>81</v>
      </c>
      <c r="AR18" s="100" t="str">
        <f>VLOOKUP(Tabla15[[#This Row],[Matricula nueva]],'ALTA 20242025'!$B$2:$P$242,15,FALSE)</f>
        <v>4500426870</v>
      </c>
      <c r="AS18" s="101" t="s">
        <v>82</v>
      </c>
      <c r="AT18" s="101"/>
      <c r="AU18" s="101" t="s">
        <v>72</v>
      </c>
      <c r="AV18" s="101" t="s">
        <v>91</v>
      </c>
      <c r="AW18" s="101" t="str">
        <f>VLOOKUP(Tabla15[[#This Row],[Matricula nueva]],Hoja2!$A$1:$B$224,2,FALSE)</f>
        <v>VF1RFK00873824854</v>
      </c>
      <c r="AX18" s="209">
        <v>2.9</v>
      </c>
      <c r="AY18" s="208">
        <f t="shared" si="1"/>
        <v>9.19</v>
      </c>
      <c r="AZ18" s="313">
        <v>17.3</v>
      </c>
      <c r="BA18" s="314">
        <f>IF(Tabla15[[#This Row],[Columna2]]="M1",13073,IF(Tabla15[[#This Row],[Columna2]]="N1",15815,IF(Tabla15[[#This Row],[Columna2]]="L3e",2831,53508)))</f>
        <v>2831</v>
      </c>
      <c r="BB18" s="350">
        <f>(Tabla15[[#This Row],[CVA]]*Tabla15[[#This Row],[F]]-Tabla15[[#This Row],[CVN]])/100*Tabla15[[#This Row],[L]]</f>
        <v>264.72680999999989</v>
      </c>
      <c r="BC18" s="74" t="s">
        <v>157</v>
      </c>
      <c r="BD18" s="294">
        <f>VLOOKUP(B18,Tabla467824[[ID CAE2]:[AE '[kWh']]],6,FALSE)</f>
        <v>617.46940999999993</v>
      </c>
      <c r="BE1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9" spans="1:57" ht="51.75" x14ac:dyDescent="0.25">
      <c r="A19" s="53" t="s">
        <v>183</v>
      </c>
      <c r="B19" s="53" t="s">
        <v>183</v>
      </c>
      <c r="C19" s="332" t="s">
        <v>184</v>
      </c>
      <c r="D19" s="104"/>
      <c r="E19" s="104"/>
      <c r="F19" s="104"/>
      <c r="G19" s="104" t="s">
        <v>72</v>
      </c>
      <c r="H19" s="104" t="s">
        <v>72</v>
      </c>
      <c r="I19" s="104" t="s">
        <v>72</v>
      </c>
      <c r="J19" s="104" t="s">
        <v>72</v>
      </c>
      <c r="K19" s="96" t="s">
        <v>158</v>
      </c>
      <c r="L19" s="96" t="s">
        <v>159</v>
      </c>
      <c r="M19" s="96" t="s">
        <v>158</v>
      </c>
      <c r="N19" s="96" t="s">
        <v>171</v>
      </c>
      <c r="O19" s="99">
        <f>VLOOKUP(Tabla15[[#This Row],[Matricula Antigua]],BAJA2022202320242025!$B$3:$CR$245,93,FALSE)</f>
        <v>41017</v>
      </c>
      <c r="P19" s="316">
        <v>45561</v>
      </c>
      <c r="Q19" s="317">
        <f>Tabla15[[#This Row],[F.Vig.Final]]-Tabla15[[#This Row],[f Vig Inicio]]</f>
        <v>4544</v>
      </c>
      <c r="R19" s="318">
        <f>YEAR(Tabla15[[#This Row],[F.Vig.Final]])</f>
        <v>2024</v>
      </c>
      <c r="S19" s="96" t="s">
        <v>172</v>
      </c>
      <c r="T19" s="96" t="s">
        <v>71</v>
      </c>
      <c r="U19" s="96" t="s">
        <v>162</v>
      </c>
      <c r="V19" s="96" t="s">
        <v>163</v>
      </c>
      <c r="W19" s="96" t="s">
        <v>81</v>
      </c>
      <c r="X19" s="332" t="s">
        <v>82</v>
      </c>
      <c r="Y19" s="96" t="s">
        <v>164</v>
      </c>
      <c r="Z19" s="98">
        <f>COUNTIF($X$3:X19, X19)</f>
        <v>7</v>
      </c>
      <c r="AA19" s="337" t="s">
        <v>1661</v>
      </c>
      <c r="AB19" s="337" t="s">
        <v>1661</v>
      </c>
      <c r="AC19" s="337" t="s">
        <v>1662</v>
      </c>
      <c r="AD19" s="337" t="s">
        <v>1663</v>
      </c>
      <c r="AE19" s="342" t="s">
        <v>1664</v>
      </c>
      <c r="AF19" s="337" t="s">
        <v>1665</v>
      </c>
      <c r="AG19" s="337" t="s">
        <v>1666</v>
      </c>
      <c r="AH19" s="337" t="s">
        <v>1649</v>
      </c>
      <c r="AI19" s="337" t="s">
        <v>185</v>
      </c>
      <c r="AJ19" s="98" t="s">
        <v>85</v>
      </c>
      <c r="AK19" s="98" t="s">
        <v>86</v>
      </c>
      <c r="AL19" s="98" t="s">
        <v>87</v>
      </c>
      <c r="AM19" s="101" t="s">
        <v>174</v>
      </c>
      <c r="AN19" s="348" t="s">
        <v>89</v>
      </c>
      <c r="AO19" s="349">
        <v>45646</v>
      </c>
      <c r="AP19" s="98">
        <f>Tabla15[[#This Row],[Renov. Flota]]-Tabla15[[#This Row],[Año]]</f>
        <v>0</v>
      </c>
      <c r="AQ19" s="100" t="s">
        <v>81</v>
      </c>
      <c r="AR19" s="100" t="str">
        <f>VLOOKUP(Tabla15[[#This Row],[Matricula nueva]],'ALTA 20242025'!$B$2:$P$242,15,FALSE)</f>
        <v>4500426847</v>
      </c>
      <c r="AS19" s="101" t="s">
        <v>82</v>
      </c>
      <c r="AT19" s="101"/>
      <c r="AU19" s="101" t="s">
        <v>72</v>
      </c>
      <c r="AV19" s="101" t="s">
        <v>91</v>
      </c>
      <c r="AW19" s="101" t="str">
        <f>VLOOKUP(Tabla15[[#This Row],[Matricula nueva]],Hoja2!$A$1:$B$224,2,FALSE)</f>
        <v>VF1RFK00073824847</v>
      </c>
      <c r="AX19" s="209">
        <v>2.9</v>
      </c>
      <c r="AY19" s="208">
        <f t="shared" si="1"/>
        <v>9.19</v>
      </c>
      <c r="AZ19" s="313">
        <v>17.3</v>
      </c>
      <c r="BA19" s="314">
        <f>IF(Tabla15[[#This Row],[Columna2]]="M1",13073,IF(Tabla15[[#This Row],[Columna2]]="N1",15815,IF(Tabla15[[#This Row],[Columna2]]="L3e",2831,53508)))</f>
        <v>2831</v>
      </c>
      <c r="BB19" s="350">
        <f>(Tabla15[[#This Row],[CVA]]*Tabla15[[#This Row],[F]]-Tabla15[[#This Row],[CVN]])/100*Tabla15[[#This Row],[L]]</f>
        <v>264.72680999999989</v>
      </c>
      <c r="BC19" s="74" t="s">
        <v>157</v>
      </c>
      <c r="BD19" s="294">
        <f>VLOOKUP(B19,Tabla467824[[ID CAE2]:[AE '[kWh']]],6,FALSE)</f>
        <v>617.46940999999993</v>
      </c>
      <c r="BE1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20" spans="1:57" ht="60" x14ac:dyDescent="0.25">
      <c r="A20" s="53" t="s">
        <v>188</v>
      </c>
      <c r="B20" s="53" t="s">
        <v>188</v>
      </c>
      <c r="C20" s="332" t="s">
        <v>189</v>
      </c>
      <c r="D20" s="104" t="s">
        <v>72</v>
      </c>
      <c r="E20" s="104"/>
      <c r="F20" s="104"/>
      <c r="G20" s="104" t="s">
        <v>72</v>
      </c>
      <c r="H20" s="104" t="s">
        <v>72</v>
      </c>
      <c r="I20" s="104" t="s">
        <v>72</v>
      </c>
      <c r="J20" s="104"/>
      <c r="K20" s="96" t="s">
        <v>158</v>
      </c>
      <c r="L20" s="96" t="s">
        <v>159</v>
      </c>
      <c r="M20" s="96" t="s">
        <v>158</v>
      </c>
      <c r="N20" s="96" t="s">
        <v>171</v>
      </c>
      <c r="O20" s="99">
        <f>VLOOKUP(Tabla15[[#This Row],[Matricula Antigua]],BAJA2022202320242025!$B$3:$CR$245,93,FALSE)</f>
        <v>42983</v>
      </c>
      <c r="P20" s="316">
        <v>45604</v>
      </c>
      <c r="Q20" s="317">
        <f>Tabla15[[#This Row],[F.Vig.Final]]-Tabla15[[#This Row],[f Vig Inicio]]</f>
        <v>2621</v>
      </c>
      <c r="R20" s="318">
        <f>YEAR(Tabla15[[#This Row],[F.Vig.Final]])</f>
        <v>2024</v>
      </c>
      <c r="S20" s="96" t="s">
        <v>172</v>
      </c>
      <c r="T20" s="96" t="s">
        <v>71</v>
      </c>
      <c r="U20" s="96" t="s">
        <v>162</v>
      </c>
      <c r="V20" s="96" t="s">
        <v>163</v>
      </c>
      <c r="W20" s="96" t="s">
        <v>190</v>
      </c>
      <c r="X20" s="333" t="s">
        <v>1678</v>
      </c>
      <c r="Y20" s="96" t="s">
        <v>192</v>
      </c>
      <c r="Z20" s="98">
        <f>COUNTIF($X$3:X20, X20)</f>
        <v>1</v>
      </c>
      <c r="AA20" s="337" t="s">
        <v>1661</v>
      </c>
      <c r="AB20" s="337" t="s">
        <v>1661</v>
      </c>
      <c r="AC20" s="337" t="s">
        <v>1662</v>
      </c>
      <c r="AD20" s="337" t="s">
        <v>1663</v>
      </c>
      <c r="AE20" s="342" t="s">
        <v>1664</v>
      </c>
      <c r="AF20" s="337" t="s">
        <v>1665</v>
      </c>
      <c r="AG20" s="337" t="s">
        <v>1666</v>
      </c>
      <c r="AH20" s="337" t="s">
        <v>1649</v>
      </c>
      <c r="AI20" s="337" t="s">
        <v>193</v>
      </c>
      <c r="AJ20" s="98" t="s">
        <v>85</v>
      </c>
      <c r="AK20" s="98" t="s">
        <v>86</v>
      </c>
      <c r="AL20" s="98" t="s">
        <v>87</v>
      </c>
      <c r="AM20" s="101" t="s">
        <v>194</v>
      </c>
      <c r="AN20" s="348" t="s">
        <v>89</v>
      </c>
      <c r="AO20" s="349">
        <v>45646</v>
      </c>
      <c r="AP20" s="98">
        <f>Tabla15[[#This Row],[Renov. Flota]]-Tabla15[[#This Row],[Año]]</f>
        <v>0</v>
      </c>
      <c r="AQ20" s="100" t="s">
        <v>190</v>
      </c>
      <c r="AR20" s="100" t="str">
        <f>VLOOKUP(Tabla15[[#This Row],[Matricula nueva]],'ALTA 20242025'!$B$2:$P$242,15,FALSE)</f>
        <v>4500426779</v>
      </c>
      <c r="AS20" s="101" t="s">
        <v>191</v>
      </c>
      <c r="AT20" s="101"/>
      <c r="AU20" s="101" t="s">
        <v>72</v>
      </c>
      <c r="AV20" s="101" t="s">
        <v>91</v>
      </c>
      <c r="AW20" s="101" t="str">
        <f>VLOOKUP(Tabla15[[#This Row],[Matricula nueva]],Hoja2!$A$1:$B$224,2,FALSE)</f>
        <v>VF1RFK00373934291</v>
      </c>
      <c r="AX20" s="209">
        <v>2.9</v>
      </c>
      <c r="AY20" s="208">
        <f t="shared" si="1"/>
        <v>9.19</v>
      </c>
      <c r="AZ20" s="313">
        <v>17.3</v>
      </c>
      <c r="BA20" s="314">
        <f>IF(Tabla15[[#This Row],[Columna2]]="M1",13073,IF(Tabla15[[#This Row],[Columna2]]="N1",15815,IF(Tabla15[[#This Row],[Columna2]]="L3e",2831,53508)))</f>
        <v>2831</v>
      </c>
      <c r="BB20" s="350">
        <f>(Tabla15[[#This Row],[CVA]]*Tabla15[[#This Row],[F]]-Tabla15[[#This Row],[CVN]])/100*Tabla15[[#This Row],[L]]</f>
        <v>264.72680999999989</v>
      </c>
      <c r="BC20" s="74" t="s">
        <v>157</v>
      </c>
      <c r="BD20" s="294">
        <f>VLOOKUP(B20,Tabla467824[[ID CAE2]:[AE '[kWh']]],6,FALSE)</f>
        <v>617.46940999999993</v>
      </c>
      <c r="BE2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21" spans="1:57" ht="51.75" x14ac:dyDescent="0.25">
      <c r="A21" s="53" t="s">
        <v>197</v>
      </c>
      <c r="B21" s="53" t="s">
        <v>197</v>
      </c>
      <c r="C21" s="332" t="s">
        <v>198</v>
      </c>
      <c r="D21" s="104" t="s">
        <v>72</v>
      </c>
      <c r="E21" s="104" t="s">
        <v>72</v>
      </c>
      <c r="F21" s="104" t="s">
        <v>72</v>
      </c>
      <c r="G21" s="104"/>
      <c r="H21" s="104" t="s">
        <v>72</v>
      </c>
      <c r="I21" s="104" t="s">
        <v>72</v>
      </c>
      <c r="J21" s="104"/>
      <c r="K21" s="96" t="s">
        <v>73</v>
      </c>
      <c r="L21" s="96" t="s">
        <v>200</v>
      </c>
      <c r="M21" s="96" t="s">
        <v>201</v>
      </c>
      <c r="N21" s="96" t="s">
        <v>76</v>
      </c>
      <c r="O21" s="101">
        <f>VLOOKUP(Tabla15[[#This Row],[Matricula Antigua]],BAJA2022202320242025!$B$3:$CR$245,93,FALSE)</f>
        <v>44414</v>
      </c>
      <c r="P21" s="316">
        <v>45875</v>
      </c>
      <c r="Q21" s="317">
        <f>Tabla15[[#This Row],[F.Vig.Final]]-Tabla15[[#This Row],[f Vig Inicio]]</f>
        <v>1461</v>
      </c>
      <c r="R21" s="318">
        <f>YEAR(Tabla15[[#This Row],[F.Vig.Final]])</f>
        <v>2025</v>
      </c>
      <c r="S21" s="96" t="s">
        <v>77</v>
      </c>
      <c r="T21" s="96" t="s">
        <v>202</v>
      </c>
      <c r="U21" s="96" t="s">
        <v>85</v>
      </c>
      <c r="V21" s="96" t="s">
        <v>203</v>
      </c>
      <c r="W21" s="96" t="s">
        <v>204</v>
      </c>
      <c r="X21" s="332" t="s">
        <v>205</v>
      </c>
      <c r="Y21" s="96" t="s">
        <v>206</v>
      </c>
      <c r="Z21" s="98">
        <f>COUNTIF($X$3:X21, X21)</f>
        <v>1</v>
      </c>
      <c r="AA21" s="337" t="s">
        <v>1661</v>
      </c>
      <c r="AB21" s="337" t="s">
        <v>1661</v>
      </c>
      <c r="AC21" s="337" t="s">
        <v>1662</v>
      </c>
      <c r="AD21" s="337" t="s">
        <v>1679</v>
      </c>
      <c r="AE21" s="351" t="s">
        <v>1664</v>
      </c>
      <c r="AF21" s="337" t="s">
        <v>1680</v>
      </c>
      <c r="AG21" s="337" t="s">
        <v>1681</v>
      </c>
      <c r="AH21" s="337" t="s">
        <v>1649</v>
      </c>
      <c r="AI21" s="337" t="s">
        <v>207</v>
      </c>
      <c r="AJ21" s="98" t="s">
        <v>140</v>
      </c>
      <c r="AK21" s="98" t="s">
        <v>151</v>
      </c>
      <c r="AL21" s="98" t="s">
        <v>87</v>
      </c>
      <c r="AM21" s="101" t="s">
        <v>208</v>
      </c>
      <c r="AN21" s="348" t="s">
        <v>89</v>
      </c>
      <c r="AO21" s="349">
        <v>45638</v>
      </c>
      <c r="AP21" s="98">
        <f>Tabla15[[#This Row],[Renov. Flota]]-Tabla15[[#This Row],[Año]]</f>
        <v>-1</v>
      </c>
      <c r="AQ21" s="100" t="s">
        <v>204</v>
      </c>
      <c r="AR21" s="100" t="str">
        <f>VLOOKUP(Tabla15[[#This Row],[Matricula nueva]],'ALTA 20242025'!$B$2:$P$242,15,FALSE)</f>
        <v>4500424885</v>
      </c>
      <c r="AS21" s="101" t="s">
        <v>205</v>
      </c>
      <c r="AT21" s="101"/>
      <c r="AU21" s="101" t="s">
        <v>72</v>
      </c>
      <c r="AV21" s="101" t="s">
        <v>91</v>
      </c>
      <c r="AW21" s="101" t="str">
        <f>VLOOKUP(Tabla15[[#This Row],[Matricula nueva]],Hoja2!$A$1:$B$224,2,FALSE)</f>
        <v>VR7CBZYA5RT154432</v>
      </c>
      <c r="AX21" s="209">
        <f>IF(Tabla15[[#This Row],[Columna2]]="M1",5.1,"")</f>
        <v>5.0999999999999996</v>
      </c>
      <c r="AY21" s="208">
        <f t="shared" si="1"/>
        <v>9.19</v>
      </c>
      <c r="AZ21" s="313">
        <v>16.399999999999999</v>
      </c>
      <c r="BA21" s="314">
        <f>IF(Tabla15[[#This Row],[Columna2]]="M1",13073,IF(Tabla15[[#This Row],[Columna2]]="N1",15815,IF(Tabla15[[#This Row],[Columna2]]="L3e",2831,53508)))</f>
        <v>13073</v>
      </c>
      <c r="BB21" s="350">
        <f>(Tabla15[[#This Row],[CVA]]*Tabla15[[#This Row],[F]]-Tabla15[[#This Row],[CVN]])/100*Tabla15[[#This Row],[L]]</f>
        <v>3983.2123699999993</v>
      </c>
      <c r="BC21" s="74" t="s">
        <v>70</v>
      </c>
      <c r="BD21" s="294">
        <f>VLOOKUP(B21,Tabla467824[[ID CAE2]:[AE '[kWh']]],6,FALSE)</f>
        <v>3826.5520744999999</v>
      </c>
      <c r="BE2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2" spans="1:57" ht="51.75" x14ac:dyDescent="0.25">
      <c r="A22" s="53" t="s">
        <v>211</v>
      </c>
      <c r="B22" s="53" t="s">
        <v>211</v>
      </c>
      <c r="C22" s="332" t="s">
        <v>212</v>
      </c>
      <c r="D22" s="104" t="s">
        <v>72</v>
      </c>
      <c r="E22" s="104"/>
      <c r="F22" s="104" t="s">
        <v>72</v>
      </c>
      <c r="G22" s="104"/>
      <c r="H22" s="104" t="s">
        <v>72</v>
      </c>
      <c r="I22" s="104"/>
      <c r="J22" s="104"/>
      <c r="K22" s="96" t="s">
        <v>73</v>
      </c>
      <c r="L22" s="96" t="s">
        <v>200</v>
      </c>
      <c r="M22" s="96" t="s">
        <v>201</v>
      </c>
      <c r="N22" s="96" t="s">
        <v>76</v>
      </c>
      <c r="O22" s="101">
        <f>VLOOKUP(Tabla15[[#This Row],[Matricula Antigua]],BAJA2022202320242025!$B$3:$CR$245,93,FALSE)</f>
        <v>44224</v>
      </c>
      <c r="P22" s="316">
        <v>45685</v>
      </c>
      <c r="Q22" s="317">
        <f>Tabla15[[#This Row],[F.Vig.Final]]-Tabla15[[#This Row],[f Vig Inicio]]</f>
        <v>1461</v>
      </c>
      <c r="R22" s="318">
        <f>YEAR(Tabla15[[#This Row],[F.Vig.Final]])</f>
        <v>2025</v>
      </c>
      <c r="S22" s="96" t="s">
        <v>77</v>
      </c>
      <c r="T22" s="96" t="s">
        <v>71</v>
      </c>
      <c r="U22" s="96" t="s">
        <v>213</v>
      </c>
      <c r="V22" s="96" t="s">
        <v>214</v>
      </c>
      <c r="W22" s="96" t="s">
        <v>215</v>
      </c>
      <c r="X22" s="332" t="s">
        <v>216</v>
      </c>
      <c r="Y22" s="96" t="s">
        <v>217</v>
      </c>
      <c r="Z22" s="98">
        <f>COUNTIF($X$3:X22, X22)</f>
        <v>1</v>
      </c>
      <c r="AA22" s="337" t="s">
        <v>1661</v>
      </c>
      <c r="AB22" s="337" t="s">
        <v>1661</v>
      </c>
      <c r="AC22" s="337" t="s">
        <v>1662</v>
      </c>
      <c r="AD22" s="333" t="s">
        <v>1679</v>
      </c>
      <c r="AE22" s="351" t="s">
        <v>1664</v>
      </c>
      <c r="AF22" s="337" t="s">
        <v>1680</v>
      </c>
      <c r="AG22" s="337" t="s">
        <v>1681</v>
      </c>
      <c r="AH22" s="337" t="s">
        <v>1649</v>
      </c>
      <c r="AI22" s="337" t="s">
        <v>218</v>
      </c>
      <c r="AJ22" s="98" t="s">
        <v>140</v>
      </c>
      <c r="AK22" s="98" t="s">
        <v>151</v>
      </c>
      <c r="AL22" s="98" t="s">
        <v>87</v>
      </c>
      <c r="AM22" s="101" t="s">
        <v>217</v>
      </c>
      <c r="AN22" s="348" t="s">
        <v>89</v>
      </c>
      <c r="AO22" s="349">
        <v>45625</v>
      </c>
      <c r="AP22" s="98">
        <f>Tabla15[[#This Row],[Renov. Flota]]-Tabla15[[#This Row],[Año]]</f>
        <v>-1</v>
      </c>
      <c r="AQ22" s="100" t="s">
        <v>215</v>
      </c>
      <c r="AR22" s="100" t="str">
        <f>VLOOKUP(Tabla15[[#This Row],[Matricula nueva]],'ALTA 20242025'!$B$2:$P$242,15,FALSE)</f>
        <v>4500424805</v>
      </c>
      <c r="AS22" s="101" t="s">
        <v>216</v>
      </c>
      <c r="AT22" s="101"/>
      <c r="AU22" s="101" t="s">
        <v>72</v>
      </c>
      <c r="AV22" s="101" t="s">
        <v>91</v>
      </c>
      <c r="AW22" s="101" t="str">
        <f>VLOOKUP(Tabla15[[#This Row],[Matricula nueva]],Hoja2!$A$1:$B$224,2,FALSE)</f>
        <v>VR7CBZYA7RT153038</v>
      </c>
      <c r="AX22" s="209">
        <f>IF(Tabla15[[#This Row],[Columna2]]="M1",5.1,"")</f>
        <v>5.0999999999999996</v>
      </c>
      <c r="AY22" s="208">
        <f t="shared" si="1"/>
        <v>9.19</v>
      </c>
      <c r="AZ22" s="313">
        <v>16.399999999999999</v>
      </c>
      <c r="BA22" s="314">
        <f>IF(Tabla15[[#This Row],[Columna2]]="M1",13073,IF(Tabla15[[#This Row],[Columna2]]="N1",15815,IF(Tabla15[[#This Row],[Columna2]]="L3e",2831,53508)))</f>
        <v>13073</v>
      </c>
      <c r="BB22" s="350">
        <f>(Tabla15[[#This Row],[CVA]]*Tabla15[[#This Row],[F]]-Tabla15[[#This Row],[CVN]])/100*Tabla15[[#This Row],[L]]</f>
        <v>3983.2123699999993</v>
      </c>
      <c r="BC22" s="74" t="s">
        <v>70</v>
      </c>
      <c r="BD22" s="294">
        <f>VLOOKUP(B22,Tabla467824[[ID CAE2]:[AE '[kWh']]],6,FALSE)</f>
        <v>7136.4330429999991</v>
      </c>
      <c r="BE2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3" spans="1:57" ht="51.75" x14ac:dyDescent="0.25">
      <c r="A23" s="53" t="s">
        <v>221</v>
      </c>
      <c r="B23" s="53" t="s">
        <v>221</v>
      </c>
      <c r="C23" s="332" t="s">
        <v>222</v>
      </c>
      <c r="D23" s="104" t="s">
        <v>72</v>
      </c>
      <c r="E23" s="104"/>
      <c r="F23" s="104" t="s">
        <v>72</v>
      </c>
      <c r="G23" s="104"/>
      <c r="H23" s="104" t="s">
        <v>72</v>
      </c>
      <c r="I23" s="104" t="s">
        <v>72</v>
      </c>
      <c r="J23" s="104"/>
      <c r="K23" s="96" t="s">
        <v>73</v>
      </c>
      <c r="L23" s="96" t="s">
        <v>200</v>
      </c>
      <c r="M23" s="96" t="s">
        <v>201</v>
      </c>
      <c r="N23" s="96" t="s">
        <v>76</v>
      </c>
      <c r="O23" s="101">
        <f>VLOOKUP(Tabla15[[#This Row],[Matricula Antigua]],BAJA2022202320242025!$B$3:$CR$245,93,FALSE)</f>
        <v>44215</v>
      </c>
      <c r="P23" s="316">
        <v>45676</v>
      </c>
      <c r="Q23" s="317">
        <f>Tabla15[[#This Row],[F.Vig.Final]]-Tabla15[[#This Row],[f Vig Inicio]]</f>
        <v>1461</v>
      </c>
      <c r="R23" s="318">
        <f>YEAR(Tabla15[[#This Row],[F.Vig.Final]])</f>
        <v>2025</v>
      </c>
      <c r="S23" s="96" t="s">
        <v>77</v>
      </c>
      <c r="T23" s="96" t="s">
        <v>71</v>
      </c>
      <c r="U23" s="96" t="s">
        <v>213</v>
      </c>
      <c r="V23" s="96" t="s">
        <v>214</v>
      </c>
      <c r="W23" s="96" t="s">
        <v>119</v>
      </c>
      <c r="X23" s="332" t="s">
        <v>1674</v>
      </c>
      <c r="Y23" s="96" t="s">
        <v>223</v>
      </c>
      <c r="Z23" s="98">
        <f>COUNTIF($X$3:X23, X23)</f>
        <v>3</v>
      </c>
      <c r="AA23" s="337" t="s">
        <v>1661</v>
      </c>
      <c r="AB23" s="337" t="s">
        <v>1661</v>
      </c>
      <c r="AC23" s="337" t="s">
        <v>1662</v>
      </c>
      <c r="AD23" s="337" t="s">
        <v>1663</v>
      </c>
      <c r="AE23" s="342" t="s">
        <v>1664</v>
      </c>
      <c r="AF23" s="337" t="s">
        <v>1665</v>
      </c>
      <c r="AG23" s="337" t="s">
        <v>1666</v>
      </c>
      <c r="AH23" s="337" t="s">
        <v>1649</v>
      </c>
      <c r="AI23" s="337" t="s">
        <v>224</v>
      </c>
      <c r="AJ23" s="98" t="s">
        <v>140</v>
      </c>
      <c r="AK23" s="98" t="s">
        <v>151</v>
      </c>
      <c r="AL23" s="98" t="s">
        <v>87</v>
      </c>
      <c r="AM23" s="101" t="s">
        <v>225</v>
      </c>
      <c r="AN23" s="348" t="s">
        <v>89</v>
      </c>
      <c r="AO23" s="349">
        <v>45622</v>
      </c>
      <c r="AP23" s="98">
        <f>Tabla15[[#This Row],[Renov. Flota]]-Tabla15[[#This Row],[Año]]</f>
        <v>-1</v>
      </c>
      <c r="AQ23" s="100" t="s">
        <v>119</v>
      </c>
      <c r="AR23" s="100" t="str">
        <f>VLOOKUP(Tabla15[[#This Row],[Matricula nueva]],'ALTA 20242025'!$B$2:$P$242,15,FALSE)</f>
        <v>4500424807</v>
      </c>
      <c r="AS23" s="101" t="s">
        <v>120</v>
      </c>
      <c r="AT23" s="101"/>
      <c r="AU23" s="101" t="s">
        <v>72</v>
      </c>
      <c r="AV23" s="101" t="s">
        <v>91</v>
      </c>
      <c r="AW23" s="101" t="str">
        <f>VLOOKUP(Tabla15[[#This Row],[Matricula nueva]],Hoja2!$A$1:$B$224,2,FALSE)</f>
        <v>VR7CBZYA1RT152189</v>
      </c>
      <c r="AX23" s="209">
        <f>IF(Tabla15[[#This Row],[Columna2]]="M1",5.1,"")</f>
        <v>5.0999999999999996</v>
      </c>
      <c r="AY23" s="208">
        <f t="shared" si="1"/>
        <v>9.19</v>
      </c>
      <c r="AZ23" s="313">
        <v>16.399999999999999</v>
      </c>
      <c r="BA23" s="314">
        <f>IF(Tabla15[[#This Row],[Columna2]]="M1",13073,IF(Tabla15[[#This Row],[Columna2]]="N1",15815,IF(Tabla15[[#This Row],[Columna2]]="L3e",2831,53508)))</f>
        <v>13073</v>
      </c>
      <c r="BB23" s="350">
        <f>(Tabla15[[#This Row],[CVA]]*Tabla15[[#This Row],[F]]-Tabla15[[#This Row],[CVN]])/100*Tabla15[[#This Row],[L]]</f>
        <v>3983.2123699999993</v>
      </c>
      <c r="BC23" s="74" t="s">
        <v>70</v>
      </c>
      <c r="BD23" s="294">
        <f>VLOOKUP(B23,Tabla467824[[ID CAE2]:[AE '[kWh']]],6,FALSE)</f>
        <v>7136.4330429999991</v>
      </c>
      <c r="BE2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4" spans="1:57" ht="51.75" x14ac:dyDescent="0.25">
      <c r="A24" s="53" t="s">
        <v>228</v>
      </c>
      <c r="B24" s="53" t="s">
        <v>228</v>
      </c>
      <c r="C24" s="332" t="s">
        <v>229</v>
      </c>
      <c r="D24" s="104" t="s">
        <v>72</v>
      </c>
      <c r="E24" s="104"/>
      <c r="F24" s="104" t="s">
        <v>72</v>
      </c>
      <c r="G24" s="104"/>
      <c r="H24" s="104" t="s">
        <v>72</v>
      </c>
      <c r="I24" s="104" t="s">
        <v>72</v>
      </c>
      <c r="J24" s="104"/>
      <c r="K24" s="96" t="s">
        <v>73</v>
      </c>
      <c r="L24" s="96" t="s">
        <v>200</v>
      </c>
      <c r="M24" s="96" t="s">
        <v>201</v>
      </c>
      <c r="N24" s="96" t="s">
        <v>76</v>
      </c>
      <c r="O24" s="101">
        <f>VLOOKUP(Tabla15[[#This Row],[Matricula Antigua]],BAJA2022202320242025!$B$3:$CR$245,93,FALSE)</f>
        <v>44224</v>
      </c>
      <c r="P24" s="316">
        <v>45689</v>
      </c>
      <c r="Q24" s="317">
        <f>Tabla15[[#This Row],[F.Vig.Final]]-Tabla15[[#This Row],[f Vig Inicio]]</f>
        <v>1465</v>
      </c>
      <c r="R24" s="318">
        <f>YEAR(Tabla15[[#This Row],[F.Vig.Final]])</f>
        <v>2025</v>
      </c>
      <c r="S24" s="96" t="s">
        <v>77</v>
      </c>
      <c r="T24" s="96" t="s">
        <v>71</v>
      </c>
      <c r="U24" s="96" t="s">
        <v>213</v>
      </c>
      <c r="V24" s="96" t="s">
        <v>214</v>
      </c>
      <c r="W24" s="96" t="s">
        <v>204</v>
      </c>
      <c r="X24" s="332" t="s">
        <v>205</v>
      </c>
      <c r="Y24" s="96" t="s">
        <v>230</v>
      </c>
      <c r="Z24" s="98">
        <f>COUNTIF($X$3:X24, X24)</f>
        <v>2</v>
      </c>
      <c r="AA24" s="337" t="s">
        <v>1661</v>
      </c>
      <c r="AB24" s="337" t="s">
        <v>1661</v>
      </c>
      <c r="AC24" s="337" t="s">
        <v>1662</v>
      </c>
      <c r="AD24" s="337" t="s">
        <v>1679</v>
      </c>
      <c r="AE24" s="351" t="s">
        <v>1664</v>
      </c>
      <c r="AF24" s="337" t="s">
        <v>1680</v>
      </c>
      <c r="AG24" s="337" t="s">
        <v>1681</v>
      </c>
      <c r="AH24" s="337" t="s">
        <v>1649</v>
      </c>
      <c r="AI24" s="337" t="s">
        <v>231</v>
      </c>
      <c r="AJ24" s="98" t="s">
        <v>140</v>
      </c>
      <c r="AK24" s="98" t="s">
        <v>151</v>
      </c>
      <c r="AL24" s="98" t="s">
        <v>87</v>
      </c>
      <c r="AM24" s="101" t="s">
        <v>232</v>
      </c>
      <c r="AN24" s="348" t="s">
        <v>89</v>
      </c>
      <c r="AO24" s="349">
        <v>45638</v>
      </c>
      <c r="AP24" s="98">
        <f>Tabla15[[#This Row],[Renov. Flota]]-Tabla15[[#This Row],[Año]]</f>
        <v>-1</v>
      </c>
      <c r="AQ24" s="100" t="s">
        <v>204</v>
      </c>
      <c r="AR24" s="100" t="str">
        <f>VLOOKUP(Tabla15[[#This Row],[Matricula nueva]],'ALTA 20242025'!$B$2:$P$242,15,FALSE)</f>
        <v>4500424896</v>
      </c>
      <c r="AS24" s="101" t="s">
        <v>205</v>
      </c>
      <c r="AT24" s="101"/>
      <c r="AU24" s="101" t="s">
        <v>72</v>
      </c>
      <c r="AV24" s="101" t="s">
        <v>91</v>
      </c>
      <c r="AW24" s="101" t="str">
        <f>VLOOKUP(Tabla15[[#This Row],[Matricula nueva]],Hoja2!$A$1:$B$224,2,FALSE)</f>
        <v>VR7CBZYA2RT154436</v>
      </c>
      <c r="AX24" s="209">
        <f>IF(Tabla15[[#This Row],[Columna2]]="M1",5.1,"")</f>
        <v>5.0999999999999996</v>
      </c>
      <c r="AY24" s="208">
        <f t="shared" si="1"/>
        <v>9.19</v>
      </c>
      <c r="AZ24" s="313">
        <v>16.399999999999999</v>
      </c>
      <c r="BA24" s="314">
        <f>IF(Tabla15[[#This Row],[Columna2]]="M1",13073,IF(Tabla15[[#This Row],[Columna2]]="N1",15815,IF(Tabla15[[#This Row],[Columna2]]="L3e",2831,53508)))</f>
        <v>13073</v>
      </c>
      <c r="BB24" s="350">
        <f>(Tabla15[[#This Row],[CVA]]*Tabla15[[#This Row],[F]]-Tabla15[[#This Row],[CVN]])/100*Tabla15[[#This Row],[L]]</f>
        <v>3983.2123699999993</v>
      </c>
      <c r="BC24" s="74" t="s">
        <v>70</v>
      </c>
      <c r="BD24" s="294">
        <f>VLOOKUP(B24,Tabla467824[[ID CAE2]:[AE '[kWh']]],6,FALSE)</f>
        <v>7136.4330429999991</v>
      </c>
      <c r="BE2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5" spans="1:57" ht="51.75" x14ac:dyDescent="0.25">
      <c r="A25" s="53" t="s">
        <v>235</v>
      </c>
      <c r="B25" s="53" t="s">
        <v>235</v>
      </c>
      <c r="C25" s="332" t="s">
        <v>236</v>
      </c>
      <c r="D25" s="104" t="s">
        <v>72</v>
      </c>
      <c r="E25" s="104"/>
      <c r="F25" s="104" t="s">
        <v>72</v>
      </c>
      <c r="G25" s="104"/>
      <c r="H25" s="104" t="s">
        <v>72</v>
      </c>
      <c r="I25" s="104"/>
      <c r="J25" s="104"/>
      <c r="K25" s="96" t="s">
        <v>73</v>
      </c>
      <c r="L25" s="96" t="s">
        <v>200</v>
      </c>
      <c r="M25" s="96" t="s">
        <v>201</v>
      </c>
      <c r="N25" s="96" t="s">
        <v>76</v>
      </c>
      <c r="O25" s="101">
        <f>VLOOKUP(Tabla15[[#This Row],[Matricula Antigua]],BAJA2022202320242025!$B$3:$CR$245,93,FALSE)</f>
        <v>44133</v>
      </c>
      <c r="P25" s="316">
        <v>45594</v>
      </c>
      <c r="Q25" s="317">
        <f>Tabla15[[#This Row],[F.Vig.Final]]-Tabla15[[#This Row],[f Vig Inicio]]</f>
        <v>1461</v>
      </c>
      <c r="R25" s="318">
        <f>YEAR(Tabla15[[#This Row],[F.Vig.Final]])</f>
        <v>2024</v>
      </c>
      <c r="S25" s="96" t="s">
        <v>77</v>
      </c>
      <c r="T25" s="96" t="s">
        <v>78</v>
      </c>
      <c r="U25" s="96" t="s">
        <v>213</v>
      </c>
      <c r="V25" s="96" t="s">
        <v>237</v>
      </c>
      <c r="W25" s="96" t="s">
        <v>204</v>
      </c>
      <c r="X25" s="332" t="s">
        <v>205</v>
      </c>
      <c r="Y25" s="96" t="s">
        <v>230</v>
      </c>
      <c r="Z25" s="98">
        <f>COUNTIF($X$3:X25, X25)</f>
        <v>3</v>
      </c>
      <c r="AA25" s="337" t="s">
        <v>1661</v>
      </c>
      <c r="AB25" s="337" t="s">
        <v>1661</v>
      </c>
      <c r="AC25" s="337" t="s">
        <v>1662</v>
      </c>
      <c r="AD25" s="337" t="s">
        <v>1679</v>
      </c>
      <c r="AE25" s="351" t="s">
        <v>1664</v>
      </c>
      <c r="AF25" s="337" t="s">
        <v>1680</v>
      </c>
      <c r="AG25" s="337" t="s">
        <v>1681</v>
      </c>
      <c r="AH25" s="337" t="s">
        <v>1649</v>
      </c>
      <c r="AI25" s="337" t="s">
        <v>238</v>
      </c>
      <c r="AJ25" s="98" t="s">
        <v>140</v>
      </c>
      <c r="AK25" s="98" t="s">
        <v>151</v>
      </c>
      <c r="AL25" s="98" t="s">
        <v>87</v>
      </c>
      <c r="AM25" s="101" t="s">
        <v>232</v>
      </c>
      <c r="AN25" s="348" t="s">
        <v>89</v>
      </c>
      <c r="AO25" s="349">
        <v>45638</v>
      </c>
      <c r="AP25" s="98">
        <f>Tabla15[[#This Row],[Renov. Flota]]-Tabla15[[#This Row],[Año]]</f>
        <v>0</v>
      </c>
      <c r="AQ25" s="100" t="s">
        <v>204</v>
      </c>
      <c r="AR25" s="100" t="str">
        <f>VLOOKUP(Tabla15[[#This Row],[Matricula nueva]],'ALTA 20242025'!$B$2:$P$242,15,FALSE)</f>
        <v>4500424877</v>
      </c>
      <c r="AS25" s="101" t="s">
        <v>205</v>
      </c>
      <c r="AT25" s="101"/>
      <c r="AU25" s="101" t="s">
        <v>72</v>
      </c>
      <c r="AV25" s="101" t="s">
        <v>91</v>
      </c>
      <c r="AW25" s="101" t="str">
        <f>VLOOKUP(Tabla15[[#This Row],[Matricula nueva]],Hoja2!$A$1:$B$224,2,FALSE)</f>
        <v>VR7CBZYA3RT153022</v>
      </c>
      <c r="AX25" s="209">
        <f>IF(Tabla15[[#This Row],[Columna2]]="M1",5.1,"")</f>
        <v>5.0999999999999996</v>
      </c>
      <c r="AY25" s="208">
        <f t="shared" si="1"/>
        <v>10</v>
      </c>
      <c r="AZ25" s="313">
        <v>16.399999999999999</v>
      </c>
      <c r="BA25" s="314">
        <f>IF(Tabla15[[#This Row],[Columna2]]="M1",13073,IF(Tabla15[[#This Row],[Columna2]]="N1",15815,IF(Tabla15[[#This Row],[Columna2]]="L3e",2831,53508)))</f>
        <v>13073</v>
      </c>
      <c r="BB25" s="350">
        <f>(Tabla15[[#This Row],[CVA]]*Tabla15[[#This Row],[F]]-Tabla15[[#This Row],[CVN]])/100*Tabla15[[#This Row],[L]]</f>
        <v>4523.2580000000007</v>
      </c>
      <c r="BC25" s="74" t="s">
        <v>70</v>
      </c>
      <c r="BD25" s="294">
        <f>VLOOKUP(B25,Tabla467824[[ID CAE2]:[AE '[kWh']]],6,FALSE)</f>
        <v>6795.3454000000002</v>
      </c>
      <c r="BE2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6" spans="1:57" ht="52.5" thickBot="1" x14ac:dyDescent="0.3">
      <c r="A26" s="53" t="s">
        <v>241</v>
      </c>
      <c r="B26" s="53" t="s">
        <v>241</v>
      </c>
      <c r="C26" s="332" t="s">
        <v>242</v>
      </c>
      <c r="D26" s="104" t="s">
        <v>72</v>
      </c>
      <c r="E26" s="104"/>
      <c r="F26" s="104" t="s">
        <v>72</v>
      </c>
      <c r="G26" s="104"/>
      <c r="H26" s="104" t="s">
        <v>72</v>
      </c>
      <c r="I26" s="104" t="s">
        <v>72</v>
      </c>
      <c r="J26" s="104"/>
      <c r="K26" s="96" t="s">
        <v>73</v>
      </c>
      <c r="L26" s="96" t="s">
        <v>200</v>
      </c>
      <c r="M26" s="96" t="s">
        <v>201</v>
      </c>
      <c r="N26" s="96" t="s">
        <v>76</v>
      </c>
      <c r="O26" s="101">
        <f>VLOOKUP(Tabla15[[#This Row],[Matricula Antigua]],BAJA2022202320242025!$B$3:$CR$245,93,FALSE)</f>
        <v>44133</v>
      </c>
      <c r="P26" s="316">
        <v>45594</v>
      </c>
      <c r="Q26" s="317">
        <f>Tabla15[[#This Row],[F.Vig.Final]]-Tabla15[[#This Row],[f Vig Inicio]]</f>
        <v>1461</v>
      </c>
      <c r="R26" s="318">
        <f>YEAR(Tabla15[[#This Row],[F.Vig.Final]])</f>
        <v>2024</v>
      </c>
      <c r="S26" s="96" t="s">
        <v>77</v>
      </c>
      <c r="T26" s="96" t="s">
        <v>78</v>
      </c>
      <c r="U26" s="96" t="s">
        <v>213</v>
      </c>
      <c r="V26" s="96" t="s">
        <v>237</v>
      </c>
      <c r="W26" s="96" t="s">
        <v>119</v>
      </c>
      <c r="X26" s="332" t="s">
        <v>1674</v>
      </c>
      <c r="Y26" s="96" t="s">
        <v>243</v>
      </c>
      <c r="Z26" s="98">
        <f>COUNTIF($X$3:X26, X26)</f>
        <v>4</v>
      </c>
      <c r="AA26" s="337" t="s">
        <v>1661</v>
      </c>
      <c r="AB26" s="337" t="s">
        <v>1661</v>
      </c>
      <c r="AC26" s="337" t="s">
        <v>1662</v>
      </c>
      <c r="AD26" s="337" t="s">
        <v>1663</v>
      </c>
      <c r="AE26" s="342" t="s">
        <v>1664</v>
      </c>
      <c r="AF26" s="337" t="s">
        <v>1665</v>
      </c>
      <c r="AG26" s="337" t="s">
        <v>1666</v>
      </c>
      <c r="AH26" s="337" t="s">
        <v>1649</v>
      </c>
      <c r="AI26" s="337" t="s">
        <v>244</v>
      </c>
      <c r="AJ26" s="98" t="s">
        <v>140</v>
      </c>
      <c r="AK26" s="98" t="s">
        <v>151</v>
      </c>
      <c r="AL26" s="98" t="s">
        <v>87</v>
      </c>
      <c r="AM26" s="101" t="s">
        <v>223</v>
      </c>
      <c r="AN26" s="348" t="s">
        <v>89</v>
      </c>
      <c r="AO26" s="349">
        <v>45622</v>
      </c>
      <c r="AP26" s="98">
        <f>Tabla15[[#This Row],[Renov. Flota]]-Tabla15[[#This Row],[Año]]</f>
        <v>0</v>
      </c>
      <c r="AQ26" s="100" t="s">
        <v>119</v>
      </c>
      <c r="AR26" s="100" t="str">
        <f>VLOOKUP(Tabla15[[#This Row],[Matricula nueva]],'ALTA 20242025'!$B$2:$P$242,15,FALSE)</f>
        <v>4500424796</v>
      </c>
      <c r="AS26" s="101" t="s">
        <v>120</v>
      </c>
      <c r="AT26" s="101"/>
      <c r="AU26" s="101" t="s">
        <v>72</v>
      </c>
      <c r="AV26" s="101" t="s">
        <v>91</v>
      </c>
      <c r="AW26" s="101" t="str">
        <f>VLOOKUP(Tabla15[[#This Row],[Matricula nueva]],Hoja2!$A$1:$B$224,2,FALSE)</f>
        <v>VR7CBZYA2RT152184</v>
      </c>
      <c r="AX26" s="209">
        <f>IF(Tabla15[[#This Row],[Columna2]]="M1",5.1,"")</f>
        <v>5.0999999999999996</v>
      </c>
      <c r="AY26" s="208">
        <f t="shared" si="1"/>
        <v>10</v>
      </c>
      <c r="AZ26" s="313">
        <v>16.399999999999999</v>
      </c>
      <c r="BA26" s="314">
        <f>IF(Tabla15[[#This Row],[Columna2]]="M1",13073,IF(Tabla15[[#This Row],[Columna2]]="N1",15815,IF(Tabla15[[#This Row],[Columna2]]="L3e",2831,53508)))</f>
        <v>13073</v>
      </c>
      <c r="BB26" s="350">
        <f>(Tabla15[[#This Row],[CVA]]*Tabla15[[#This Row],[F]]-Tabla15[[#This Row],[CVN]])/100*Tabla15[[#This Row],[L]]</f>
        <v>4523.2580000000007</v>
      </c>
      <c r="BC26" s="79" t="s">
        <v>70</v>
      </c>
      <c r="BD26" s="294">
        <f>VLOOKUP(B26,Tabla467824[[ID CAE2]:[AE '[kWh']]],6,FALSE)</f>
        <v>6795.3454000000002</v>
      </c>
      <c r="BE2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7" spans="1:57" ht="15.75" hidden="1" thickBot="1" x14ac:dyDescent="0.3">
      <c r="A27" s="53" t="s">
        <v>1146</v>
      </c>
      <c r="B27" s="53" t="e">
        <v>#N/A</v>
      </c>
      <c r="C27" s="96" t="s">
        <v>1147</v>
      </c>
      <c r="D27" s="96"/>
      <c r="E27" s="96"/>
      <c r="F27" s="96"/>
      <c r="G27" s="96"/>
      <c r="H27" s="96"/>
      <c r="I27" s="96"/>
      <c r="J27" s="96"/>
      <c r="K27" s="96" t="s">
        <v>158</v>
      </c>
      <c r="L27" s="96" t="s">
        <v>159</v>
      </c>
      <c r="M27" s="96" t="s">
        <v>158</v>
      </c>
      <c r="N27" s="96" t="s">
        <v>171</v>
      </c>
      <c r="O27" s="101">
        <f>VLOOKUP(Tabla15[[#This Row],[Matricula Antigua]],BAJA2022202320242025!$B$3:$CR$245,93,FALSE)</f>
        <v>44537</v>
      </c>
      <c r="P27" s="99">
        <v>45245</v>
      </c>
      <c r="Q27" s="98">
        <f>Tabla15[[#This Row],[F.Vig.Final]]-Tabla15[[#This Row],[f Vig Inicio]]</f>
        <v>708</v>
      </c>
      <c r="R27" s="99">
        <f>YEAR(Tabla15[[#This Row],[F.Vig.Final]])</f>
        <v>2023</v>
      </c>
      <c r="S27" s="96" t="s">
        <v>172</v>
      </c>
      <c r="T27" s="96" t="s">
        <v>78</v>
      </c>
      <c r="U27" s="96" t="s">
        <v>524</v>
      </c>
      <c r="V27" s="96" t="s">
        <v>1148</v>
      </c>
      <c r="W27" s="96" t="s">
        <v>1139</v>
      </c>
      <c r="X27" s="96" t="s">
        <v>1140</v>
      </c>
      <c r="Y27" s="96" t="s">
        <v>312</v>
      </c>
      <c r="Z27" s="98">
        <f>COUNTIF($X$3:X27, X27)</f>
        <v>2</v>
      </c>
      <c r="AA27" s="98"/>
      <c r="AB27" s="98"/>
      <c r="AC27" s="98"/>
      <c r="AD27" s="98"/>
      <c r="AE27" s="322"/>
      <c r="AF27" s="98"/>
      <c r="AG27" s="98"/>
      <c r="AH27" s="98"/>
      <c r="AI27" s="98" t="e">
        <v>#N/A</v>
      </c>
      <c r="AJ27" s="98" t="e">
        <v>#N/A</v>
      </c>
      <c r="AK27" s="98" t="e">
        <v>#N/A</v>
      </c>
      <c r="AL27" s="98" t="e">
        <v>#N/A</v>
      </c>
      <c r="AM27" s="98" t="e">
        <v>#N/A</v>
      </c>
      <c r="AN27" s="99" t="e">
        <v>#N/A</v>
      </c>
      <c r="AO27" s="99" t="e">
        <v>#N/A</v>
      </c>
      <c r="AP27" s="99" t="e">
        <f>Tabla15[[#This Row],[Renov. Flota]]-Tabla15[[#This Row],[Año]]</f>
        <v>#N/A</v>
      </c>
      <c r="AQ27" s="100" t="e">
        <v>#N/A</v>
      </c>
      <c r="AR27" s="100" t="e">
        <f>VLOOKUP(Tabla15[[#This Row],[Matricula nueva]],'ALTA 20242025'!$B$2:$P$242,15,FALSE)</f>
        <v>#N/A</v>
      </c>
      <c r="AS27" s="101" t="e">
        <v>#N/A</v>
      </c>
      <c r="AT27" s="101"/>
      <c r="AU27" s="101"/>
      <c r="AV27" s="101"/>
      <c r="AW27" s="101" t="e">
        <f>VLOOKUP(Tabla15[[#This Row],[Matricula nueva]],Hoja2!$A$1:$B$224,2,FALSE)</f>
        <v>#N/A</v>
      </c>
      <c r="AX27" s="101" t="str">
        <f>IF(Tabla15[[#This Row],[Columna2]]="M1",5.1,"")</f>
        <v/>
      </c>
      <c r="AY27" s="101"/>
      <c r="AZ27" s="101"/>
      <c r="BA27" s="311">
        <f>IF(Tabla15[[#This Row],[Columna2]]="M1",13073,IF(Tabla15[[#This Row],[Columna2]]="N1",15815,IF(Tabla15[[#This Row],[Columna2]]="L3e",2831,53508)))</f>
        <v>53508</v>
      </c>
      <c r="BB27" s="311" t="e">
        <f>(Tabla15[[#This Row],[CVA]]*Tabla15[[#This Row],[F]]-Tabla15[[#This Row],[CVN]])/100*Tabla15[[#This Row],[L]]</f>
        <v>#VALUE!</v>
      </c>
      <c r="BC27" s="1"/>
      <c r="BD27" s="1" t="e">
        <f>VLOOKUP(B27,Tabla467824[[ID CAE2]:[AE '[kWh']]],6,FALSE)</f>
        <v>#N/A</v>
      </c>
      <c r="BE2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8" spans="1:57" ht="15.75" hidden="1" thickBot="1" x14ac:dyDescent="0.3">
      <c r="A28" s="53" t="s">
        <v>1149</v>
      </c>
      <c r="B28" s="53" t="e">
        <v>#N/A</v>
      </c>
      <c r="C28" s="96" t="s">
        <v>1150</v>
      </c>
      <c r="D28" s="96"/>
      <c r="E28" s="96"/>
      <c r="F28" s="96"/>
      <c r="G28" s="96"/>
      <c r="H28" s="96"/>
      <c r="I28" s="96"/>
      <c r="J28" s="96"/>
      <c r="K28" s="96" t="s">
        <v>158</v>
      </c>
      <c r="L28" s="96" t="s">
        <v>159</v>
      </c>
      <c r="M28" s="96" t="s">
        <v>158</v>
      </c>
      <c r="N28" s="96" t="s">
        <v>171</v>
      </c>
      <c r="O28" s="101">
        <f>VLOOKUP(Tabla15[[#This Row],[Matricula Antigua]],BAJA2022202320242025!$B$3:$CR$245,93,FALSE)</f>
        <v>38111</v>
      </c>
      <c r="P28" s="99">
        <v>45245</v>
      </c>
      <c r="Q28" s="98">
        <f>Tabla15[[#This Row],[F.Vig.Final]]-Tabla15[[#This Row],[f Vig Inicio]]</f>
        <v>7134</v>
      </c>
      <c r="R28" s="99">
        <f>YEAR(Tabla15[[#This Row],[F.Vig.Final]])</f>
        <v>2023</v>
      </c>
      <c r="S28" s="96" t="s">
        <v>172</v>
      </c>
      <c r="T28" s="96" t="s">
        <v>78</v>
      </c>
      <c r="U28" s="96" t="s">
        <v>85</v>
      </c>
      <c r="V28" s="96" t="s">
        <v>1151</v>
      </c>
      <c r="W28" s="96" t="s">
        <v>1139</v>
      </c>
      <c r="X28" s="96" t="s">
        <v>1140</v>
      </c>
      <c r="Y28" s="96" t="s">
        <v>312</v>
      </c>
      <c r="Z28" s="98">
        <f>COUNTIF($X$3:X28, X28)</f>
        <v>3</v>
      </c>
      <c r="AA28" s="98"/>
      <c r="AB28" s="98"/>
      <c r="AC28" s="98"/>
      <c r="AD28" s="98"/>
      <c r="AE28" s="98"/>
      <c r="AF28" s="98"/>
      <c r="AG28" s="98"/>
      <c r="AH28" s="98"/>
      <c r="AI28" s="98" t="e">
        <v>#N/A</v>
      </c>
      <c r="AJ28" s="98" t="e">
        <v>#N/A</v>
      </c>
      <c r="AK28" s="98" t="e">
        <v>#N/A</v>
      </c>
      <c r="AL28" s="98" t="e">
        <v>#N/A</v>
      </c>
      <c r="AM28" s="98" t="e">
        <v>#N/A</v>
      </c>
      <c r="AN28" s="99" t="e">
        <v>#N/A</v>
      </c>
      <c r="AO28" s="99" t="e">
        <v>#N/A</v>
      </c>
      <c r="AP28" s="99" t="e">
        <f>Tabla15[[#This Row],[Renov. Flota]]-Tabla15[[#This Row],[Año]]</f>
        <v>#N/A</v>
      </c>
      <c r="AQ28" s="100" t="e">
        <v>#N/A</v>
      </c>
      <c r="AR28" s="100" t="e">
        <f>VLOOKUP(Tabla15[[#This Row],[Matricula nueva]],'ALTA 20242025'!$B$2:$P$242,15,FALSE)</f>
        <v>#N/A</v>
      </c>
      <c r="AS28" s="101" t="e">
        <v>#N/A</v>
      </c>
      <c r="AT28" s="101"/>
      <c r="AU28" s="101"/>
      <c r="AV28" s="101"/>
      <c r="AW28" s="101" t="e">
        <f>VLOOKUP(Tabla15[[#This Row],[Matricula nueva]],Hoja2!$A$1:$B$224,2,FALSE)</f>
        <v>#N/A</v>
      </c>
      <c r="AX28" s="101" t="str">
        <f>IF(Tabla15[[#This Row],[Columna2]]="M1",5.1,"")</f>
        <v/>
      </c>
      <c r="AY28" s="101"/>
      <c r="AZ28" s="101"/>
      <c r="BA28" s="311">
        <f>IF(Tabla15[[#This Row],[Columna2]]="M1",13073,IF(Tabla15[[#This Row],[Columna2]]="N1",15815,IF(Tabla15[[#This Row],[Columna2]]="L3e",2831,53508)))</f>
        <v>53508</v>
      </c>
      <c r="BB28" s="311" t="e">
        <f>(Tabla15[[#This Row],[CVA]]*Tabla15[[#This Row],[F]]-Tabla15[[#This Row],[CVN]])/100*Tabla15[[#This Row],[L]]</f>
        <v>#VALUE!</v>
      </c>
      <c r="BC28" s="1"/>
      <c r="BD28" s="1" t="e">
        <f>VLOOKUP(B28,Tabla467824[[ID CAE2]:[AE '[kWh']]],6,FALSE)</f>
        <v>#N/A</v>
      </c>
      <c r="BE2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9" spans="1:57" ht="15.75" hidden="1" thickBot="1" x14ac:dyDescent="0.3">
      <c r="A29" s="53" t="s">
        <v>1152</v>
      </c>
      <c r="B29" s="53" t="e">
        <v>#N/A</v>
      </c>
      <c r="C29" s="96" t="s">
        <v>1153</v>
      </c>
      <c r="D29" s="96"/>
      <c r="E29" s="96"/>
      <c r="F29" s="96"/>
      <c r="G29" s="96"/>
      <c r="H29" s="96"/>
      <c r="I29" s="96"/>
      <c r="J29" s="96"/>
      <c r="K29" s="96" t="s">
        <v>158</v>
      </c>
      <c r="L29" s="96" t="s">
        <v>159</v>
      </c>
      <c r="M29" s="96" t="s">
        <v>158</v>
      </c>
      <c r="N29" s="96" t="s">
        <v>171</v>
      </c>
      <c r="O29" s="101">
        <f>VLOOKUP(Tabla15[[#This Row],[Matricula Antigua]],BAJA2022202320242025!$B$3:$CR$245,93,FALSE)</f>
        <v>38139</v>
      </c>
      <c r="P29" s="99">
        <v>45245</v>
      </c>
      <c r="Q29" s="98">
        <f>Tabla15[[#This Row],[F.Vig.Final]]-Tabla15[[#This Row],[f Vig Inicio]]</f>
        <v>7106</v>
      </c>
      <c r="R29" s="99">
        <f>YEAR(Tabla15[[#This Row],[F.Vig.Final]])</f>
        <v>2023</v>
      </c>
      <c r="S29" s="96" t="s">
        <v>172</v>
      </c>
      <c r="T29" s="96" t="s">
        <v>78</v>
      </c>
      <c r="U29" s="96" t="s">
        <v>85</v>
      </c>
      <c r="V29" s="96" t="s">
        <v>1154</v>
      </c>
      <c r="W29" s="96" t="s">
        <v>1139</v>
      </c>
      <c r="X29" s="96" t="s">
        <v>1140</v>
      </c>
      <c r="Y29" s="96" t="s">
        <v>312</v>
      </c>
      <c r="Z29" s="98">
        <f>COUNTIF($X$3:X29, X29)</f>
        <v>4</v>
      </c>
      <c r="AA29" s="98"/>
      <c r="AB29" s="98"/>
      <c r="AC29" s="98"/>
      <c r="AD29" s="98"/>
      <c r="AE29" s="98"/>
      <c r="AF29" s="98"/>
      <c r="AG29" s="98"/>
      <c r="AH29" s="98"/>
      <c r="AI29" s="98" t="e">
        <v>#N/A</v>
      </c>
      <c r="AJ29" s="98" t="e">
        <v>#N/A</v>
      </c>
      <c r="AK29" s="98" t="e">
        <v>#N/A</v>
      </c>
      <c r="AL29" s="98" t="e">
        <v>#N/A</v>
      </c>
      <c r="AM29" s="98" t="e">
        <v>#N/A</v>
      </c>
      <c r="AN29" s="99" t="e">
        <v>#N/A</v>
      </c>
      <c r="AO29" s="99" t="e">
        <v>#N/A</v>
      </c>
      <c r="AP29" s="99" t="e">
        <f>Tabla15[[#This Row],[Renov. Flota]]-Tabla15[[#This Row],[Año]]</f>
        <v>#N/A</v>
      </c>
      <c r="AQ29" s="100" t="e">
        <v>#N/A</v>
      </c>
      <c r="AR29" s="100" t="e">
        <f>VLOOKUP(Tabla15[[#This Row],[Matricula nueva]],'ALTA 20242025'!$B$2:$P$242,15,FALSE)</f>
        <v>#N/A</v>
      </c>
      <c r="AS29" s="101" t="e">
        <v>#N/A</v>
      </c>
      <c r="AT29" s="101"/>
      <c r="AU29" s="101"/>
      <c r="AV29" s="101"/>
      <c r="AW29" s="101" t="e">
        <f>VLOOKUP(Tabla15[[#This Row],[Matricula nueva]],Hoja2!$A$1:$B$224,2,FALSE)</f>
        <v>#N/A</v>
      </c>
      <c r="AX29" s="101" t="str">
        <f>IF(Tabla15[[#This Row],[Columna2]]="M1",5.1,"")</f>
        <v/>
      </c>
      <c r="AY29" s="101"/>
      <c r="AZ29" s="101"/>
      <c r="BA29" s="311">
        <f>IF(Tabla15[[#This Row],[Columna2]]="M1",13073,IF(Tabla15[[#This Row],[Columna2]]="N1",15815,IF(Tabla15[[#This Row],[Columna2]]="L3e",2831,53508)))</f>
        <v>53508</v>
      </c>
      <c r="BB29" s="311" t="e">
        <f>(Tabla15[[#This Row],[CVA]]*Tabla15[[#This Row],[F]]-Tabla15[[#This Row],[CVN]])/100*Tabla15[[#This Row],[L]]</f>
        <v>#VALUE!</v>
      </c>
      <c r="BC29" s="1"/>
      <c r="BD29" s="1" t="e">
        <f>VLOOKUP(B29,Tabla467824[[ID CAE2]:[AE '[kWh']]],6,FALSE)</f>
        <v>#N/A</v>
      </c>
      <c r="BE2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0" spans="1:57" ht="15.75" hidden="1" thickBot="1" x14ac:dyDescent="0.3">
      <c r="A30" s="53" t="s">
        <v>1155</v>
      </c>
      <c r="B30" s="53" t="e">
        <v>#N/A</v>
      </c>
      <c r="C30" s="96" t="s">
        <v>1156</v>
      </c>
      <c r="D30" s="96"/>
      <c r="E30" s="96"/>
      <c r="F30" s="96"/>
      <c r="G30" s="96"/>
      <c r="H30" s="96"/>
      <c r="I30" s="96"/>
      <c r="J30" s="96"/>
      <c r="K30" s="96" t="s">
        <v>158</v>
      </c>
      <c r="L30" s="96" t="s">
        <v>159</v>
      </c>
      <c r="M30" s="96" t="s">
        <v>158</v>
      </c>
      <c r="N30" s="96" t="s">
        <v>171</v>
      </c>
      <c r="O30" s="101">
        <f>VLOOKUP(Tabla15[[#This Row],[Matricula Antigua]],BAJA2022202320242025!$B$3:$CR$245,93,FALSE)</f>
        <v>44110</v>
      </c>
      <c r="P30" s="99">
        <v>45245</v>
      </c>
      <c r="Q30" s="98">
        <f>Tabla15[[#This Row],[F.Vig.Final]]-Tabla15[[#This Row],[f Vig Inicio]]</f>
        <v>1135</v>
      </c>
      <c r="R30" s="99">
        <f>YEAR(Tabla15[[#This Row],[F.Vig.Final]])</f>
        <v>2023</v>
      </c>
      <c r="S30" s="96" t="s">
        <v>172</v>
      </c>
      <c r="T30" s="96" t="s">
        <v>78</v>
      </c>
      <c r="U30" s="96" t="s">
        <v>887</v>
      </c>
      <c r="V30" s="96" t="s">
        <v>1157</v>
      </c>
      <c r="W30" s="96" t="s">
        <v>1139</v>
      </c>
      <c r="X30" s="96" t="s">
        <v>1140</v>
      </c>
      <c r="Y30" s="96" t="s">
        <v>312</v>
      </c>
      <c r="Z30" s="98">
        <f>COUNTIF($X$3:X30, X30)</f>
        <v>5</v>
      </c>
      <c r="AA30" s="98"/>
      <c r="AB30" s="98"/>
      <c r="AC30" s="98"/>
      <c r="AD30" s="98"/>
      <c r="AE30" s="98"/>
      <c r="AF30" s="98"/>
      <c r="AG30" s="98"/>
      <c r="AH30" s="98"/>
      <c r="AI30" s="98" t="e">
        <v>#N/A</v>
      </c>
      <c r="AJ30" s="98" t="e">
        <v>#N/A</v>
      </c>
      <c r="AK30" s="98" t="e">
        <v>#N/A</v>
      </c>
      <c r="AL30" s="98" t="e">
        <v>#N/A</v>
      </c>
      <c r="AM30" s="98" t="e">
        <v>#N/A</v>
      </c>
      <c r="AN30" s="99" t="e">
        <v>#N/A</v>
      </c>
      <c r="AO30" s="99" t="e">
        <v>#N/A</v>
      </c>
      <c r="AP30" s="99" t="e">
        <f>Tabla15[[#This Row],[Renov. Flota]]-Tabla15[[#This Row],[Año]]</f>
        <v>#N/A</v>
      </c>
      <c r="AQ30" s="100" t="e">
        <v>#N/A</v>
      </c>
      <c r="AR30" s="100" t="e">
        <f>VLOOKUP(Tabla15[[#This Row],[Matricula nueva]],'ALTA 20242025'!$B$2:$P$242,15,FALSE)</f>
        <v>#N/A</v>
      </c>
      <c r="AS30" s="101" t="e">
        <v>#N/A</v>
      </c>
      <c r="AT30" s="101"/>
      <c r="AU30" s="101"/>
      <c r="AV30" s="101"/>
      <c r="AW30" s="101" t="e">
        <f>VLOOKUP(Tabla15[[#This Row],[Matricula nueva]],Hoja2!$A$1:$B$224,2,FALSE)</f>
        <v>#N/A</v>
      </c>
      <c r="AX30" s="101" t="str">
        <f>IF(Tabla15[[#This Row],[Columna2]]="M1",5.1,"")</f>
        <v/>
      </c>
      <c r="AY30" s="101"/>
      <c r="AZ30" s="101"/>
      <c r="BA30" s="311">
        <f>IF(Tabla15[[#This Row],[Columna2]]="M1",13073,IF(Tabla15[[#This Row],[Columna2]]="N1",15815,IF(Tabla15[[#This Row],[Columna2]]="L3e",2831,53508)))</f>
        <v>53508</v>
      </c>
      <c r="BB30" s="311" t="e">
        <f>(Tabla15[[#This Row],[CVA]]*Tabla15[[#This Row],[F]]-Tabla15[[#This Row],[CVN]])/100*Tabla15[[#This Row],[L]]</f>
        <v>#VALUE!</v>
      </c>
      <c r="BC30" s="1"/>
      <c r="BD30" s="1" t="e">
        <f>VLOOKUP(B30,Tabla467824[[ID CAE2]:[AE '[kWh']]],6,FALSE)</f>
        <v>#N/A</v>
      </c>
      <c r="BE3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1" spans="1:57" ht="15.75" hidden="1" thickBot="1" x14ac:dyDescent="0.3">
      <c r="A31" s="53" t="s">
        <v>1158</v>
      </c>
      <c r="B31" s="53" t="e">
        <v>#N/A</v>
      </c>
      <c r="C31" s="96" t="s">
        <v>1159</v>
      </c>
      <c r="D31" s="96"/>
      <c r="E31" s="96"/>
      <c r="F31" s="96"/>
      <c r="G31" s="96"/>
      <c r="H31" s="96"/>
      <c r="I31" s="96"/>
      <c r="J31" s="96"/>
      <c r="K31" s="96" t="s">
        <v>158</v>
      </c>
      <c r="L31" s="96" t="s">
        <v>159</v>
      </c>
      <c r="M31" s="96" t="s">
        <v>158</v>
      </c>
      <c r="N31" s="96" t="s">
        <v>171</v>
      </c>
      <c r="O31" s="101">
        <f>VLOOKUP(Tabla15[[#This Row],[Matricula Antigua]],BAJA2022202320242025!$B$3:$CR$245,93,FALSE)</f>
        <v>42152</v>
      </c>
      <c r="P31" s="99">
        <v>45245</v>
      </c>
      <c r="Q31" s="98">
        <f>Tabla15[[#This Row],[F.Vig.Final]]-Tabla15[[#This Row],[f Vig Inicio]]</f>
        <v>3093</v>
      </c>
      <c r="R31" s="99">
        <f>YEAR(Tabla15[[#This Row],[F.Vig.Final]])</f>
        <v>2023</v>
      </c>
      <c r="S31" s="96" t="s">
        <v>172</v>
      </c>
      <c r="T31" s="96" t="s">
        <v>78</v>
      </c>
      <c r="U31" s="96" t="s">
        <v>524</v>
      </c>
      <c r="V31" s="96" t="s">
        <v>1160</v>
      </c>
      <c r="W31" s="96" t="s">
        <v>1139</v>
      </c>
      <c r="X31" s="96" t="s">
        <v>1140</v>
      </c>
      <c r="Y31" s="96" t="s">
        <v>312</v>
      </c>
      <c r="Z31" s="98">
        <f>COUNTIF($X$3:X31, X31)</f>
        <v>6</v>
      </c>
      <c r="AA31" s="98"/>
      <c r="AB31" s="98"/>
      <c r="AC31" s="98"/>
      <c r="AD31" s="98"/>
      <c r="AE31" s="98"/>
      <c r="AF31" s="98"/>
      <c r="AG31" s="98"/>
      <c r="AH31" s="98"/>
      <c r="AI31" s="98" t="e">
        <v>#N/A</v>
      </c>
      <c r="AJ31" s="98" t="e">
        <v>#N/A</v>
      </c>
      <c r="AK31" s="98" t="e">
        <v>#N/A</v>
      </c>
      <c r="AL31" s="98" t="e">
        <v>#N/A</v>
      </c>
      <c r="AM31" s="98" t="e">
        <v>#N/A</v>
      </c>
      <c r="AN31" s="99" t="e">
        <v>#N/A</v>
      </c>
      <c r="AO31" s="99" t="e">
        <v>#N/A</v>
      </c>
      <c r="AP31" s="99" t="e">
        <f>Tabla15[[#This Row],[Renov. Flota]]-Tabla15[[#This Row],[Año]]</f>
        <v>#N/A</v>
      </c>
      <c r="AQ31" s="100" t="e">
        <v>#N/A</v>
      </c>
      <c r="AR31" s="100" t="e">
        <f>VLOOKUP(Tabla15[[#This Row],[Matricula nueva]],'ALTA 20242025'!$B$2:$P$242,15,FALSE)</f>
        <v>#N/A</v>
      </c>
      <c r="AS31" s="101" t="e">
        <v>#N/A</v>
      </c>
      <c r="AT31" s="101"/>
      <c r="AU31" s="101"/>
      <c r="AV31" s="101"/>
      <c r="AW31" s="101" t="e">
        <f>VLOOKUP(Tabla15[[#This Row],[Matricula nueva]],Hoja2!$A$1:$B$224,2,FALSE)</f>
        <v>#N/A</v>
      </c>
      <c r="AX31" s="101" t="str">
        <f>IF(Tabla15[[#This Row],[Columna2]]="M1",5.1,"")</f>
        <v/>
      </c>
      <c r="AY31" s="101"/>
      <c r="AZ31" s="101"/>
      <c r="BA31" s="311">
        <f>IF(Tabla15[[#This Row],[Columna2]]="M1",13073,IF(Tabla15[[#This Row],[Columna2]]="N1",15815,IF(Tabla15[[#This Row],[Columna2]]="L3e",2831,53508)))</f>
        <v>53508</v>
      </c>
      <c r="BB31" s="311" t="e">
        <f>(Tabla15[[#This Row],[CVA]]*Tabla15[[#This Row],[F]]-Tabla15[[#This Row],[CVN]])/100*Tabla15[[#This Row],[L]]</f>
        <v>#VALUE!</v>
      </c>
      <c r="BC31" s="1"/>
      <c r="BD31" s="1" t="e">
        <f>VLOOKUP(B31,Tabla467824[[ID CAE2]:[AE '[kWh']]],6,FALSE)</f>
        <v>#N/A</v>
      </c>
      <c r="BE3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2" spans="1:57" ht="15.75" hidden="1" thickBot="1" x14ac:dyDescent="0.3">
      <c r="A32" s="53" t="s">
        <v>1161</v>
      </c>
      <c r="B32" s="53" t="e">
        <v>#N/A</v>
      </c>
      <c r="C32" s="96" t="s">
        <v>1162</v>
      </c>
      <c r="D32" s="96"/>
      <c r="E32" s="96"/>
      <c r="F32" s="96"/>
      <c r="G32" s="96"/>
      <c r="H32" s="96"/>
      <c r="I32" s="96"/>
      <c r="J32" s="96"/>
      <c r="K32" s="96" t="s">
        <v>158</v>
      </c>
      <c r="L32" s="96" t="s">
        <v>159</v>
      </c>
      <c r="M32" s="96" t="s">
        <v>158</v>
      </c>
      <c r="N32" s="96" t="s">
        <v>171</v>
      </c>
      <c r="O32" s="101">
        <f>VLOOKUP(Tabla15[[#This Row],[Matricula Antigua]],BAJA2022202320242025!$B$3:$CR$245,93,FALSE)</f>
        <v>44000</v>
      </c>
      <c r="P32" s="99">
        <v>45245</v>
      </c>
      <c r="Q32" s="98">
        <f>Tabla15[[#This Row],[F.Vig.Final]]-Tabla15[[#This Row],[f Vig Inicio]]</f>
        <v>1245</v>
      </c>
      <c r="R32" s="99">
        <f>YEAR(Tabla15[[#This Row],[F.Vig.Final]])</f>
        <v>2023</v>
      </c>
      <c r="S32" s="96" t="s">
        <v>172</v>
      </c>
      <c r="T32" s="96" t="s">
        <v>78</v>
      </c>
      <c r="U32" s="96" t="s">
        <v>524</v>
      </c>
      <c r="V32" s="96" t="s">
        <v>1163</v>
      </c>
      <c r="W32" s="96" t="s">
        <v>1139</v>
      </c>
      <c r="X32" s="96" t="s">
        <v>1140</v>
      </c>
      <c r="Y32" s="96" t="s">
        <v>312</v>
      </c>
      <c r="Z32" s="98">
        <f>COUNTIF($X$3:X32, X32)</f>
        <v>7</v>
      </c>
      <c r="AA32" s="98"/>
      <c r="AB32" s="98"/>
      <c r="AC32" s="98"/>
      <c r="AD32" s="98"/>
      <c r="AE32" s="98"/>
      <c r="AF32" s="98"/>
      <c r="AG32" s="98"/>
      <c r="AH32" s="98"/>
      <c r="AI32" s="98" t="e">
        <v>#N/A</v>
      </c>
      <c r="AJ32" s="98" t="e">
        <v>#N/A</v>
      </c>
      <c r="AK32" s="98" t="e">
        <v>#N/A</v>
      </c>
      <c r="AL32" s="98" t="e">
        <v>#N/A</v>
      </c>
      <c r="AM32" s="98" t="e">
        <v>#N/A</v>
      </c>
      <c r="AN32" s="99" t="e">
        <v>#N/A</v>
      </c>
      <c r="AO32" s="99" t="e">
        <v>#N/A</v>
      </c>
      <c r="AP32" s="99" t="e">
        <f>Tabla15[[#This Row],[Renov. Flota]]-Tabla15[[#This Row],[Año]]</f>
        <v>#N/A</v>
      </c>
      <c r="AQ32" s="100" t="e">
        <v>#N/A</v>
      </c>
      <c r="AR32" s="100" t="e">
        <f>VLOOKUP(Tabla15[[#This Row],[Matricula nueva]],'ALTA 20242025'!$B$2:$P$242,15,FALSE)</f>
        <v>#N/A</v>
      </c>
      <c r="AS32" s="101" t="e">
        <v>#N/A</v>
      </c>
      <c r="AT32" s="101"/>
      <c r="AU32" s="101"/>
      <c r="AV32" s="101"/>
      <c r="AW32" s="101" t="e">
        <f>VLOOKUP(Tabla15[[#This Row],[Matricula nueva]],Hoja2!$A$1:$B$224,2,FALSE)</f>
        <v>#N/A</v>
      </c>
      <c r="AX32" s="101" t="str">
        <f>IF(Tabla15[[#This Row],[Columna2]]="M1",5.1,"")</f>
        <v/>
      </c>
      <c r="AY32" s="101"/>
      <c r="AZ32" s="101"/>
      <c r="BA32" s="311">
        <f>IF(Tabla15[[#This Row],[Columna2]]="M1",13073,IF(Tabla15[[#This Row],[Columna2]]="N1",15815,IF(Tabla15[[#This Row],[Columna2]]="L3e",2831,53508)))</f>
        <v>53508</v>
      </c>
      <c r="BB32" s="311" t="e">
        <f>(Tabla15[[#This Row],[CVA]]*Tabla15[[#This Row],[F]]-Tabla15[[#This Row],[CVN]])/100*Tabla15[[#This Row],[L]]</f>
        <v>#VALUE!</v>
      </c>
      <c r="BC32" s="1"/>
      <c r="BD32" s="1" t="e">
        <f>VLOOKUP(B32,Tabla467824[[ID CAE2]:[AE '[kWh']]],6,FALSE)</f>
        <v>#N/A</v>
      </c>
      <c r="BE3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3" spans="1:57" ht="15.75" hidden="1" thickBot="1" x14ac:dyDescent="0.3">
      <c r="A33" s="53" t="s">
        <v>1164</v>
      </c>
      <c r="B33" s="53" t="e">
        <v>#N/A</v>
      </c>
      <c r="C33" s="96" t="s">
        <v>1165</v>
      </c>
      <c r="D33" s="96"/>
      <c r="E33" s="96"/>
      <c r="F33" s="96"/>
      <c r="G33" s="96"/>
      <c r="H33" s="96"/>
      <c r="I33" s="96"/>
      <c r="J33" s="96"/>
      <c r="K33" s="96" t="s">
        <v>1034</v>
      </c>
      <c r="L33" s="96" t="s">
        <v>200</v>
      </c>
      <c r="M33" s="96" t="s">
        <v>201</v>
      </c>
      <c r="N33" s="96" t="s">
        <v>171</v>
      </c>
      <c r="O33" s="101">
        <f>VLOOKUP(Tabla15[[#This Row],[Matricula Antigua]],BAJA2022202320242025!$B$3:$CR$245,93,FALSE)</f>
        <v>44650</v>
      </c>
      <c r="P33" s="99">
        <v>45245</v>
      </c>
      <c r="Q33" s="98">
        <f>Tabla15[[#This Row],[F.Vig.Final]]-Tabla15[[#This Row],[f Vig Inicio]]</f>
        <v>595</v>
      </c>
      <c r="R33" s="99">
        <f>YEAR(Tabla15[[#This Row],[F.Vig.Final]])</f>
        <v>2023</v>
      </c>
      <c r="S33" s="96" t="s">
        <v>172</v>
      </c>
      <c r="T33" s="96" t="s">
        <v>78</v>
      </c>
      <c r="U33" s="96" t="s">
        <v>524</v>
      </c>
      <c r="V33" s="96" t="s">
        <v>1166</v>
      </c>
      <c r="W33" s="96" t="s">
        <v>1139</v>
      </c>
      <c r="X33" s="96" t="s">
        <v>1140</v>
      </c>
      <c r="Y33" s="96" t="s">
        <v>312</v>
      </c>
      <c r="Z33" s="98">
        <f>COUNTIF($X$3:X33, X33)</f>
        <v>8</v>
      </c>
      <c r="AA33" s="98"/>
      <c r="AB33" s="98"/>
      <c r="AC33" s="98"/>
      <c r="AD33" s="98"/>
      <c r="AE33" s="98"/>
      <c r="AF33" s="98"/>
      <c r="AG33" s="98"/>
      <c r="AH33" s="98"/>
      <c r="AI33" s="98" t="e">
        <v>#N/A</v>
      </c>
      <c r="AJ33" s="98" t="e">
        <v>#N/A</v>
      </c>
      <c r="AK33" s="98" t="e">
        <v>#N/A</v>
      </c>
      <c r="AL33" s="98" t="e">
        <v>#N/A</v>
      </c>
      <c r="AM33" s="98" t="e">
        <v>#N/A</v>
      </c>
      <c r="AN33" s="99" t="e">
        <v>#N/A</v>
      </c>
      <c r="AO33" s="99" t="e">
        <v>#N/A</v>
      </c>
      <c r="AP33" s="99" t="e">
        <f>Tabla15[[#This Row],[Renov. Flota]]-Tabla15[[#This Row],[Año]]</f>
        <v>#N/A</v>
      </c>
      <c r="AQ33" s="100" t="e">
        <v>#N/A</v>
      </c>
      <c r="AR33" s="100" t="e">
        <f>VLOOKUP(Tabla15[[#This Row],[Matricula nueva]],'ALTA 20242025'!$B$2:$P$242,15,FALSE)</f>
        <v>#N/A</v>
      </c>
      <c r="AS33" s="101" t="e">
        <v>#N/A</v>
      </c>
      <c r="AT33" s="101"/>
      <c r="AU33" s="101"/>
      <c r="AV33" s="101"/>
      <c r="AW33" s="101" t="e">
        <f>VLOOKUP(Tabla15[[#This Row],[Matricula nueva]],Hoja2!$A$1:$B$224,2,FALSE)</f>
        <v>#N/A</v>
      </c>
      <c r="AX33" s="101" t="str">
        <f>IF(Tabla15[[#This Row],[Columna2]]="M1",5.1,"")</f>
        <v/>
      </c>
      <c r="AY33" s="101"/>
      <c r="AZ33" s="101"/>
      <c r="BA33" s="311">
        <f>IF(Tabla15[[#This Row],[Columna2]]="M1",13073,IF(Tabla15[[#This Row],[Columna2]]="N1",15815,IF(Tabla15[[#This Row],[Columna2]]="L3e",2831,53508)))</f>
        <v>53508</v>
      </c>
      <c r="BB33" s="311" t="e">
        <f>(Tabla15[[#This Row],[CVA]]*Tabla15[[#This Row],[F]]-Tabla15[[#This Row],[CVN]])/100*Tabla15[[#This Row],[L]]</f>
        <v>#VALUE!</v>
      </c>
      <c r="BC33" s="1"/>
      <c r="BD33" s="1" t="e">
        <f>VLOOKUP(B33,Tabla467824[[ID CAE2]:[AE '[kWh']]],6,FALSE)</f>
        <v>#N/A</v>
      </c>
      <c r="BE3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 spans="1:57" ht="15.75" hidden="1" thickBot="1" x14ac:dyDescent="0.3">
      <c r="A34" s="53" t="s">
        <v>1167</v>
      </c>
      <c r="B34" s="53" t="e">
        <v>#N/A</v>
      </c>
      <c r="C34" s="96" t="s">
        <v>1168</v>
      </c>
      <c r="D34" s="96"/>
      <c r="E34" s="96"/>
      <c r="F34" s="96"/>
      <c r="G34" s="96"/>
      <c r="H34" s="96"/>
      <c r="I34" s="96"/>
      <c r="J34" s="96"/>
      <c r="K34" s="96" t="s">
        <v>158</v>
      </c>
      <c r="L34" s="96" t="s">
        <v>159</v>
      </c>
      <c r="M34" s="96" t="s">
        <v>158</v>
      </c>
      <c r="N34" s="96" t="s">
        <v>171</v>
      </c>
      <c r="O34" s="101">
        <f>VLOOKUP(Tabla15[[#This Row],[Matricula Antigua]],BAJA2022202320242025!$B$3:$CR$245,93,FALSE)</f>
        <v>44516</v>
      </c>
      <c r="P34" s="99">
        <v>45245</v>
      </c>
      <c r="Q34" s="98">
        <f>Tabla15[[#This Row],[F.Vig.Final]]-Tabla15[[#This Row],[f Vig Inicio]]</f>
        <v>729</v>
      </c>
      <c r="R34" s="99">
        <f>YEAR(Tabla15[[#This Row],[F.Vig.Final]])</f>
        <v>2023</v>
      </c>
      <c r="S34" s="96" t="s">
        <v>172</v>
      </c>
      <c r="T34" s="96" t="s">
        <v>78</v>
      </c>
      <c r="U34" s="96" t="s">
        <v>887</v>
      </c>
      <c r="V34" s="96" t="s">
        <v>1157</v>
      </c>
      <c r="W34" s="96" t="s">
        <v>1139</v>
      </c>
      <c r="X34" s="96" t="s">
        <v>1140</v>
      </c>
      <c r="Y34" s="96" t="s">
        <v>312</v>
      </c>
      <c r="Z34" s="98">
        <f>COUNTIF($X$3:X34, X34)</f>
        <v>9</v>
      </c>
      <c r="AA34" s="98"/>
      <c r="AB34" s="98"/>
      <c r="AC34" s="98"/>
      <c r="AD34" s="98"/>
      <c r="AE34" s="98"/>
      <c r="AF34" s="98"/>
      <c r="AG34" s="98"/>
      <c r="AH34" s="98"/>
      <c r="AI34" s="98" t="e">
        <v>#N/A</v>
      </c>
      <c r="AJ34" s="98" t="e">
        <v>#N/A</v>
      </c>
      <c r="AK34" s="98" t="e">
        <v>#N/A</v>
      </c>
      <c r="AL34" s="98" t="e">
        <v>#N/A</v>
      </c>
      <c r="AM34" s="98" t="e">
        <v>#N/A</v>
      </c>
      <c r="AN34" s="99" t="e">
        <v>#N/A</v>
      </c>
      <c r="AO34" s="99" t="e">
        <v>#N/A</v>
      </c>
      <c r="AP34" s="99" t="e">
        <f>Tabla15[[#This Row],[Renov. Flota]]-Tabla15[[#This Row],[Año]]</f>
        <v>#N/A</v>
      </c>
      <c r="AQ34" s="100" t="e">
        <v>#N/A</v>
      </c>
      <c r="AR34" s="100" t="e">
        <f>VLOOKUP(Tabla15[[#This Row],[Matricula nueva]],'ALTA 20242025'!$B$2:$P$242,15,FALSE)</f>
        <v>#N/A</v>
      </c>
      <c r="AS34" s="101" t="e">
        <v>#N/A</v>
      </c>
      <c r="AT34" s="101"/>
      <c r="AU34" s="101"/>
      <c r="AV34" s="101"/>
      <c r="AW34" s="101" t="e">
        <f>VLOOKUP(Tabla15[[#This Row],[Matricula nueva]],Hoja2!$A$1:$B$224,2,FALSE)</f>
        <v>#N/A</v>
      </c>
      <c r="AX34" s="101" t="str">
        <f>IF(Tabla15[[#This Row],[Columna2]]="M1",5.1,"")</f>
        <v/>
      </c>
      <c r="AY34" s="101"/>
      <c r="AZ34" s="101"/>
      <c r="BA34" s="311">
        <f>IF(Tabla15[[#This Row],[Columna2]]="M1",13073,IF(Tabla15[[#This Row],[Columna2]]="N1",15815,IF(Tabla15[[#This Row],[Columna2]]="L3e",2831,53508)))</f>
        <v>53508</v>
      </c>
      <c r="BB34" s="311" t="e">
        <f>(Tabla15[[#This Row],[CVA]]*Tabla15[[#This Row],[F]]-Tabla15[[#This Row],[CVN]])/100*Tabla15[[#This Row],[L]]</f>
        <v>#VALUE!</v>
      </c>
      <c r="BC34" s="1"/>
      <c r="BD34" s="1" t="e">
        <f>VLOOKUP(B34,Tabla467824[[ID CAE2]:[AE '[kWh']]],6,FALSE)</f>
        <v>#N/A</v>
      </c>
      <c r="BE3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5" spans="1:57" ht="15.75" hidden="1" thickBot="1" x14ac:dyDescent="0.3">
      <c r="A35" s="53" t="s">
        <v>1169</v>
      </c>
      <c r="B35" s="53" t="e">
        <v>#N/A</v>
      </c>
      <c r="C35" s="96" t="s">
        <v>1170</v>
      </c>
      <c r="D35" s="96"/>
      <c r="E35" s="96"/>
      <c r="F35" s="96"/>
      <c r="G35" s="96"/>
      <c r="H35" s="96"/>
      <c r="I35" s="96"/>
      <c r="J35" s="96"/>
      <c r="K35" s="96" t="s">
        <v>158</v>
      </c>
      <c r="L35" s="96" t="s">
        <v>159</v>
      </c>
      <c r="M35" s="96" t="s">
        <v>158</v>
      </c>
      <c r="N35" s="96" t="s">
        <v>171</v>
      </c>
      <c r="O35" s="101">
        <f>VLOOKUP(Tabla15[[#This Row],[Matricula Antigua]],BAJA2022202320242025!$B$3:$CR$245,93,FALSE)</f>
        <v>37811</v>
      </c>
      <c r="P35" s="99">
        <v>45245</v>
      </c>
      <c r="Q35" s="98">
        <f>Tabla15[[#This Row],[F.Vig.Final]]-Tabla15[[#This Row],[f Vig Inicio]]</f>
        <v>7434</v>
      </c>
      <c r="R35" s="99">
        <f>YEAR(Tabla15[[#This Row],[F.Vig.Final]])</f>
        <v>2023</v>
      </c>
      <c r="S35" s="96" t="s">
        <v>172</v>
      </c>
      <c r="T35" s="96" t="s">
        <v>78</v>
      </c>
      <c r="U35" s="96" t="s">
        <v>524</v>
      </c>
      <c r="V35" s="96" t="s">
        <v>1171</v>
      </c>
      <c r="W35" s="96" t="s">
        <v>1139</v>
      </c>
      <c r="X35" s="96" t="s">
        <v>1140</v>
      </c>
      <c r="Y35" s="96" t="s">
        <v>312</v>
      </c>
      <c r="Z35" s="98">
        <f>COUNTIF($X$3:X35, X35)</f>
        <v>10</v>
      </c>
      <c r="AA35" s="98"/>
      <c r="AB35" s="98"/>
      <c r="AC35" s="98"/>
      <c r="AD35" s="98"/>
      <c r="AE35" s="320"/>
      <c r="AF35" s="98"/>
      <c r="AG35" s="98"/>
      <c r="AH35" s="98"/>
      <c r="AI35" s="98" t="e">
        <v>#N/A</v>
      </c>
      <c r="AJ35" s="98" t="e">
        <v>#N/A</v>
      </c>
      <c r="AK35" s="98" t="e">
        <v>#N/A</v>
      </c>
      <c r="AL35" s="98" t="e">
        <v>#N/A</v>
      </c>
      <c r="AM35" s="98" t="e">
        <v>#N/A</v>
      </c>
      <c r="AN35" s="99" t="e">
        <v>#N/A</v>
      </c>
      <c r="AO35" s="99" t="e">
        <v>#N/A</v>
      </c>
      <c r="AP35" s="99" t="e">
        <f>Tabla15[[#This Row],[Renov. Flota]]-Tabla15[[#This Row],[Año]]</f>
        <v>#N/A</v>
      </c>
      <c r="AQ35" s="100" t="e">
        <v>#N/A</v>
      </c>
      <c r="AR35" s="100" t="e">
        <f>VLOOKUP(Tabla15[[#This Row],[Matricula nueva]],'ALTA 20242025'!$B$2:$P$242,15,FALSE)</f>
        <v>#N/A</v>
      </c>
      <c r="AS35" s="101" t="e">
        <v>#N/A</v>
      </c>
      <c r="AT35" s="101"/>
      <c r="AU35" s="101"/>
      <c r="AV35" s="101"/>
      <c r="AW35" s="101" t="e">
        <f>VLOOKUP(Tabla15[[#This Row],[Matricula nueva]],Hoja2!$A$1:$B$224,2,FALSE)</f>
        <v>#N/A</v>
      </c>
      <c r="AX35" s="101" t="str">
        <f>IF(Tabla15[[#This Row],[Columna2]]="M1",5.1,"")</f>
        <v/>
      </c>
      <c r="AY35" s="101"/>
      <c r="AZ35" s="101"/>
      <c r="BA35" s="311">
        <f>IF(Tabla15[[#This Row],[Columna2]]="M1",13073,IF(Tabla15[[#This Row],[Columna2]]="N1",15815,IF(Tabla15[[#This Row],[Columna2]]="L3e",2831,53508)))</f>
        <v>53508</v>
      </c>
      <c r="BB35" s="311" t="e">
        <f>(Tabla15[[#This Row],[CVA]]*Tabla15[[#This Row],[F]]-Tabla15[[#This Row],[CVN]])/100*Tabla15[[#This Row],[L]]</f>
        <v>#VALUE!</v>
      </c>
      <c r="BC35" s="1"/>
      <c r="BD35" s="1" t="e">
        <f>VLOOKUP(B35,Tabla467824[[ID CAE2]:[AE '[kWh']]],6,FALSE)</f>
        <v>#N/A</v>
      </c>
      <c r="BE3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6" spans="1:57" ht="52.5" thickBot="1" x14ac:dyDescent="0.3">
      <c r="A36" s="53" t="s">
        <v>247</v>
      </c>
      <c r="B36" s="53" t="s">
        <v>247</v>
      </c>
      <c r="C36" s="332" t="s">
        <v>248</v>
      </c>
      <c r="D36" s="104" t="s">
        <v>72</v>
      </c>
      <c r="E36" s="104"/>
      <c r="F36" s="104"/>
      <c r="G36" s="104"/>
      <c r="H36" s="104" t="s">
        <v>249</v>
      </c>
      <c r="I36" s="104" t="s">
        <v>249</v>
      </c>
      <c r="J36" s="104"/>
      <c r="K36" s="96" t="s">
        <v>73</v>
      </c>
      <c r="L36" s="96" t="s">
        <v>200</v>
      </c>
      <c r="M36" s="96" t="s">
        <v>201</v>
      </c>
      <c r="N36" s="96" t="s">
        <v>160</v>
      </c>
      <c r="O36" s="101">
        <f>VLOOKUP(Tabla15[[#This Row],[Matricula Antigua]],BAJA2022202320242025!$B$3:$CR$245,93,FALSE)</f>
        <v>44133</v>
      </c>
      <c r="P36" s="316">
        <v>45594</v>
      </c>
      <c r="Q36" s="317">
        <f>Tabla15[[#This Row],[F.Vig.Final]]-Tabla15[[#This Row],[f Vig Inicio]]</f>
        <v>1461</v>
      </c>
      <c r="R36" s="318">
        <f>YEAR(Tabla15[[#This Row],[F.Vig.Final]])</f>
        <v>2024</v>
      </c>
      <c r="S36" s="96" t="s">
        <v>161</v>
      </c>
      <c r="T36" s="96" t="s">
        <v>78</v>
      </c>
      <c r="U36" s="96" t="s">
        <v>213</v>
      </c>
      <c r="V36" s="96" t="s">
        <v>237</v>
      </c>
      <c r="W36" s="96" t="s">
        <v>119</v>
      </c>
      <c r="X36" s="332" t="s">
        <v>1674</v>
      </c>
      <c r="Y36" s="96" t="s">
        <v>250</v>
      </c>
      <c r="Z36" s="98">
        <f>COUNTIF($X$3:X36, X36)</f>
        <v>5</v>
      </c>
      <c r="AA36" s="337" t="s">
        <v>1661</v>
      </c>
      <c r="AB36" s="337" t="s">
        <v>1661</v>
      </c>
      <c r="AC36" s="337" t="s">
        <v>1662</v>
      </c>
      <c r="AD36" s="337" t="s">
        <v>1663</v>
      </c>
      <c r="AE36" s="342" t="s">
        <v>1664</v>
      </c>
      <c r="AF36" s="337" t="s">
        <v>1665</v>
      </c>
      <c r="AG36" s="337" t="s">
        <v>1666</v>
      </c>
      <c r="AH36" s="337" t="s">
        <v>1649</v>
      </c>
      <c r="AI36" s="337" t="s">
        <v>251</v>
      </c>
      <c r="AJ36" s="98" t="s">
        <v>140</v>
      </c>
      <c r="AK36" s="98" t="s">
        <v>151</v>
      </c>
      <c r="AL36" s="98" t="s">
        <v>87</v>
      </c>
      <c r="AM36" s="101" t="s">
        <v>252</v>
      </c>
      <c r="AN36" s="348" t="s">
        <v>89</v>
      </c>
      <c r="AO36" s="349">
        <v>45625</v>
      </c>
      <c r="AP36" s="98">
        <f>Tabla15[[#This Row],[Renov. Flota]]-Tabla15[[#This Row],[Año]]</f>
        <v>0</v>
      </c>
      <c r="AQ36" s="100" t="s">
        <v>119</v>
      </c>
      <c r="AR36" s="100" t="str">
        <f>VLOOKUP(Tabla15[[#This Row],[Matricula nueva]],'ALTA 20242025'!$B$2:$P$242,15,FALSE)</f>
        <v>4500424793</v>
      </c>
      <c r="AS36" s="101" t="s">
        <v>120</v>
      </c>
      <c r="AT36" s="101"/>
      <c r="AU36" s="101" t="s">
        <v>72</v>
      </c>
      <c r="AV36" s="101" t="s">
        <v>91</v>
      </c>
      <c r="AW36" s="101" t="str">
        <f>VLOOKUP(Tabla15[[#This Row],[Matricula nueva]],Hoja2!$A$1:$B$224,2,FALSE)</f>
        <v>VR7CBZYA7RT152178</v>
      </c>
      <c r="AX36" s="209">
        <f>IF(Tabla15[[#This Row],[Columna2]]="M1",5.1,"")</f>
        <v>5.0999999999999996</v>
      </c>
      <c r="AY36" s="208">
        <f>IF(T36="DIESEL",10,IF(T36="GLP",7.16,9.19))</f>
        <v>10</v>
      </c>
      <c r="AZ36" s="313">
        <v>16.399999999999999</v>
      </c>
      <c r="BA36" s="314">
        <f>IF(Tabla15[[#This Row],[Columna2]]="M1",13073,IF(Tabla15[[#This Row],[Columna2]]="N1",15815,IF(Tabla15[[#This Row],[Columna2]]="L3e",2831,53508)))</f>
        <v>13073</v>
      </c>
      <c r="BB36" s="350">
        <f>(Tabla15[[#This Row],[CVA]]*Tabla15[[#This Row],[F]]-Tabla15[[#This Row],[CVN]])/100*Tabla15[[#This Row],[L]]</f>
        <v>4523.2580000000007</v>
      </c>
      <c r="BC36" s="84" t="s">
        <v>70</v>
      </c>
      <c r="BD36" s="294">
        <f>VLOOKUP(B36,Tabla467824[[ID CAE2]:[AE '[kWh']]],6,FALSE)</f>
        <v>6795.3454000000002</v>
      </c>
      <c r="BE3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7" spans="1:57" ht="15.75" hidden="1" thickBot="1" x14ac:dyDescent="0.3">
      <c r="A37" s="53" t="s">
        <v>1172</v>
      </c>
      <c r="B37" s="53" t="e">
        <v>#N/A</v>
      </c>
      <c r="C37" s="96" t="s">
        <v>1173</v>
      </c>
      <c r="D37" s="96"/>
      <c r="E37" s="96"/>
      <c r="F37" s="96"/>
      <c r="G37" s="96"/>
      <c r="H37" s="96"/>
      <c r="I37" s="96"/>
      <c r="J37" s="96"/>
      <c r="K37" s="96" t="s">
        <v>158</v>
      </c>
      <c r="L37" s="96" t="s">
        <v>159</v>
      </c>
      <c r="M37" s="96" t="s">
        <v>158</v>
      </c>
      <c r="N37" s="96" t="s">
        <v>171</v>
      </c>
      <c r="O37" s="101">
        <f>VLOOKUP(Tabla15[[#This Row],[Matricula Antigua]],BAJA2022202320242025!$B$3:$CR$245,93,FALSE)</f>
        <v>43994</v>
      </c>
      <c r="P37" s="99">
        <v>45245</v>
      </c>
      <c r="Q37" s="98">
        <f>Tabla15[[#This Row],[F.Vig.Final]]-Tabla15[[#This Row],[f Vig Inicio]]</f>
        <v>1251</v>
      </c>
      <c r="R37" s="99">
        <f>YEAR(Tabla15[[#This Row],[F.Vig.Final]])</f>
        <v>2023</v>
      </c>
      <c r="S37" s="96" t="s">
        <v>172</v>
      </c>
      <c r="T37" s="96" t="s">
        <v>78</v>
      </c>
      <c r="U37" s="96" t="s">
        <v>85</v>
      </c>
      <c r="V37" s="96" t="s">
        <v>1174</v>
      </c>
      <c r="W37" s="96" t="s">
        <v>1139</v>
      </c>
      <c r="X37" s="96" t="s">
        <v>1140</v>
      </c>
      <c r="Y37" s="96" t="s">
        <v>312</v>
      </c>
      <c r="Z37" s="98">
        <f>COUNTIF($X$3:X37, X37)</f>
        <v>11</v>
      </c>
      <c r="AA37" s="98"/>
      <c r="AB37" s="98"/>
      <c r="AC37" s="98"/>
      <c r="AD37" s="98"/>
      <c r="AE37" s="322"/>
      <c r="AF37" s="98"/>
      <c r="AG37" s="98"/>
      <c r="AH37" s="98"/>
      <c r="AI37" s="98" t="e">
        <v>#N/A</v>
      </c>
      <c r="AJ37" s="98" t="e">
        <v>#N/A</v>
      </c>
      <c r="AK37" s="98" t="e">
        <v>#N/A</v>
      </c>
      <c r="AL37" s="98" t="e">
        <v>#N/A</v>
      </c>
      <c r="AM37" s="98" t="e">
        <v>#N/A</v>
      </c>
      <c r="AN37" s="99" t="e">
        <v>#N/A</v>
      </c>
      <c r="AO37" s="99" t="e">
        <v>#N/A</v>
      </c>
      <c r="AP37" s="99" t="e">
        <f>Tabla15[[#This Row],[Renov. Flota]]-Tabla15[[#This Row],[Año]]</f>
        <v>#N/A</v>
      </c>
      <c r="AQ37" s="100" t="e">
        <v>#N/A</v>
      </c>
      <c r="AR37" s="100" t="e">
        <f>VLOOKUP(Tabla15[[#This Row],[Matricula nueva]],'ALTA 20242025'!$B$2:$P$242,15,FALSE)</f>
        <v>#N/A</v>
      </c>
      <c r="AS37" s="101" t="e">
        <v>#N/A</v>
      </c>
      <c r="AT37" s="101"/>
      <c r="AU37" s="101"/>
      <c r="AV37" s="101"/>
      <c r="AW37" s="101" t="e">
        <f>VLOOKUP(Tabla15[[#This Row],[Matricula nueva]],Hoja2!$A$1:$B$224,2,FALSE)</f>
        <v>#N/A</v>
      </c>
      <c r="AX37" s="101" t="str">
        <f>IF(Tabla15[[#This Row],[Columna2]]="M1",5.1,"")</f>
        <v/>
      </c>
      <c r="AY37" s="101"/>
      <c r="AZ37" s="101"/>
      <c r="BA37" s="311">
        <f>IF(Tabla15[[#This Row],[Columna2]]="M1",13073,IF(Tabla15[[#This Row],[Columna2]]="N1",15815,IF(Tabla15[[#This Row],[Columna2]]="L3e",2831,53508)))</f>
        <v>53508</v>
      </c>
      <c r="BB37" s="311" t="e">
        <f>(Tabla15[[#This Row],[CVA]]*Tabla15[[#This Row],[F]]-Tabla15[[#This Row],[CVN]])/100*Tabla15[[#This Row],[L]]</f>
        <v>#VALUE!</v>
      </c>
      <c r="BC37" s="1"/>
      <c r="BD37" s="1" t="e">
        <f>VLOOKUP(B37,Tabla467824[[ID CAE2]:[AE '[kWh']]],6,FALSE)</f>
        <v>#N/A</v>
      </c>
      <c r="BE3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8" spans="1:57" ht="15.75" hidden="1" thickBot="1" x14ac:dyDescent="0.3">
      <c r="A38" s="53" t="s">
        <v>1175</v>
      </c>
      <c r="B38" s="53" t="e">
        <v>#N/A</v>
      </c>
      <c r="C38" s="96" t="s">
        <v>1176</v>
      </c>
      <c r="D38" s="96"/>
      <c r="E38" s="96"/>
      <c r="F38" s="96"/>
      <c r="G38" s="96"/>
      <c r="H38" s="96"/>
      <c r="I38" s="96"/>
      <c r="J38" s="96"/>
      <c r="K38" s="96" t="s">
        <v>158</v>
      </c>
      <c r="L38" s="96" t="s">
        <v>159</v>
      </c>
      <c r="M38" s="96" t="s">
        <v>158</v>
      </c>
      <c r="N38" s="96" t="s">
        <v>171</v>
      </c>
      <c r="O38" s="101">
        <f>VLOOKUP(Tabla15[[#This Row],[Matricula Antigua]],BAJA2022202320242025!$B$3:$CR$245,93,FALSE)</f>
        <v>42830</v>
      </c>
      <c r="P38" s="99">
        <v>45245</v>
      </c>
      <c r="Q38" s="98">
        <f>Tabla15[[#This Row],[F.Vig.Final]]-Tabla15[[#This Row],[f Vig Inicio]]</f>
        <v>2415</v>
      </c>
      <c r="R38" s="99">
        <f>YEAR(Tabla15[[#This Row],[F.Vig.Final]])</f>
        <v>2023</v>
      </c>
      <c r="S38" s="96" t="s">
        <v>172</v>
      </c>
      <c r="T38" s="96" t="s">
        <v>78</v>
      </c>
      <c r="U38" s="96" t="s">
        <v>1177</v>
      </c>
      <c r="V38" s="96" t="s">
        <v>1178</v>
      </c>
      <c r="W38" s="96" t="s">
        <v>1139</v>
      </c>
      <c r="X38" s="96" t="s">
        <v>1140</v>
      </c>
      <c r="Y38" s="96" t="s">
        <v>312</v>
      </c>
      <c r="Z38" s="98">
        <f>COUNTIF($X$3:X38, X38)</f>
        <v>12</v>
      </c>
      <c r="AA38" s="98"/>
      <c r="AB38" s="98"/>
      <c r="AC38" s="98"/>
      <c r="AD38" s="98"/>
      <c r="AE38" s="98"/>
      <c r="AF38" s="98"/>
      <c r="AG38" s="98"/>
      <c r="AH38" s="98"/>
      <c r="AI38" s="98" t="e">
        <v>#N/A</v>
      </c>
      <c r="AJ38" s="98" t="e">
        <v>#N/A</v>
      </c>
      <c r="AK38" s="98" t="e">
        <v>#N/A</v>
      </c>
      <c r="AL38" s="98" t="e">
        <v>#N/A</v>
      </c>
      <c r="AM38" s="98" t="e">
        <v>#N/A</v>
      </c>
      <c r="AN38" s="99" t="e">
        <v>#N/A</v>
      </c>
      <c r="AO38" s="99" t="e">
        <v>#N/A</v>
      </c>
      <c r="AP38" s="99" t="e">
        <f>Tabla15[[#This Row],[Renov. Flota]]-Tabla15[[#This Row],[Año]]</f>
        <v>#N/A</v>
      </c>
      <c r="AQ38" s="100" t="e">
        <v>#N/A</v>
      </c>
      <c r="AR38" s="100" t="e">
        <f>VLOOKUP(Tabla15[[#This Row],[Matricula nueva]],'ALTA 20242025'!$B$2:$P$242,15,FALSE)</f>
        <v>#N/A</v>
      </c>
      <c r="AS38" s="101" t="e">
        <v>#N/A</v>
      </c>
      <c r="AT38" s="101"/>
      <c r="AU38" s="101"/>
      <c r="AV38" s="101"/>
      <c r="AW38" s="101" t="e">
        <f>VLOOKUP(Tabla15[[#This Row],[Matricula nueva]],Hoja2!$A$1:$B$224,2,FALSE)</f>
        <v>#N/A</v>
      </c>
      <c r="AX38" s="101" t="str">
        <f>IF(Tabla15[[#This Row],[Columna2]]="M1",5.1,"")</f>
        <v/>
      </c>
      <c r="AY38" s="101"/>
      <c r="AZ38" s="101"/>
      <c r="BA38" s="311">
        <f>IF(Tabla15[[#This Row],[Columna2]]="M1",13073,IF(Tabla15[[#This Row],[Columna2]]="N1",15815,IF(Tabla15[[#This Row],[Columna2]]="L3e",2831,53508)))</f>
        <v>53508</v>
      </c>
      <c r="BB38" s="311" t="e">
        <f>(Tabla15[[#This Row],[CVA]]*Tabla15[[#This Row],[F]]-Tabla15[[#This Row],[CVN]])/100*Tabla15[[#This Row],[L]]</f>
        <v>#VALUE!</v>
      </c>
      <c r="BC38" s="1"/>
      <c r="BD38" s="1" t="e">
        <f>VLOOKUP(B38,Tabla467824[[ID CAE2]:[AE '[kWh']]],6,FALSE)</f>
        <v>#N/A</v>
      </c>
      <c r="BE3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9" spans="1:57" ht="15.75" hidden="1" thickBot="1" x14ac:dyDescent="0.3">
      <c r="A39" s="53" t="s">
        <v>1179</v>
      </c>
      <c r="B39" s="53" t="e">
        <v>#N/A</v>
      </c>
      <c r="C39" s="96" t="s">
        <v>1180</v>
      </c>
      <c r="D39" s="96"/>
      <c r="E39" s="96"/>
      <c r="F39" s="96"/>
      <c r="G39" s="96"/>
      <c r="H39" s="96"/>
      <c r="I39" s="96"/>
      <c r="J39" s="96"/>
      <c r="K39" s="96" t="s">
        <v>158</v>
      </c>
      <c r="L39" s="96" t="s">
        <v>159</v>
      </c>
      <c r="M39" s="96" t="s">
        <v>158</v>
      </c>
      <c r="N39" s="96" t="s">
        <v>171</v>
      </c>
      <c r="O39" s="101">
        <f>VLOOKUP(Tabla15[[#This Row],[Matricula Antigua]],BAJA2022202320242025!$B$3:$CR$245,93,FALSE)</f>
        <v>43304</v>
      </c>
      <c r="P39" s="99">
        <v>45245</v>
      </c>
      <c r="Q39" s="98">
        <f>Tabla15[[#This Row],[F.Vig.Final]]-Tabla15[[#This Row],[f Vig Inicio]]</f>
        <v>1941</v>
      </c>
      <c r="R39" s="99">
        <f>YEAR(Tabla15[[#This Row],[F.Vig.Final]])</f>
        <v>2023</v>
      </c>
      <c r="S39" s="96" t="s">
        <v>172</v>
      </c>
      <c r="T39" s="96" t="s">
        <v>78</v>
      </c>
      <c r="U39" s="96" t="s">
        <v>1181</v>
      </c>
      <c r="V39" s="96" t="s">
        <v>1182</v>
      </c>
      <c r="W39" s="96" t="s">
        <v>1139</v>
      </c>
      <c r="X39" s="96" t="s">
        <v>1140</v>
      </c>
      <c r="Y39" s="96" t="s">
        <v>312</v>
      </c>
      <c r="Z39" s="98">
        <f>COUNTIF($X$3:X39, X39)</f>
        <v>13</v>
      </c>
      <c r="AA39" s="98"/>
      <c r="AB39" s="98"/>
      <c r="AC39" s="98"/>
      <c r="AD39" s="98"/>
      <c r="AE39" s="98"/>
      <c r="AF39" s="98"/>
      <c r="AG39" s="98"/>
      <c r="AH39" s="98"/>
      <c r="AI39" s="98" t="e">
        <v>#N/A</v>
      </c>
      <c r="AJ39" s="98" t="e">
        <v>#N/A</v>
      </c>
      <c r="AK39" s="98" t="e">
        <v>#N/A</v>
      </c>
      <c r="AL39" s="98" t="e">
        <v>#N/A</v>
      </c>
      <c r="AM39" s="98" t="e">
        <v>#N/A</v>
      </c>
      <c r="AN39" s="99" t="e">
        <v>#N/A</v>
      </c>
      <c r="AO39" s="99" t="e">
        <v>#N/A</v>
      </c>
      <c r="AP39" s="99" t="e">
        <f>Tabla15[[#This Row],[Renov. Flota]]-Tabla15[[#This Row],[Año]]</f>
        <v>#N/A</v>
      </c>
      <c r="AQ39" s="100" t="e">
        <v>#N/A</v>
      </c>
      <c r="AR39" s="100" t="e">
        <f>VLOOKUP(Tabla15[[#This Row],[Matricula nueva]],'ALTA 20242025'!$B$2:$P$242,15,FALSE)</f>
        <v>#N/A</v>
      </c>
      <c r="AS39" s="101" t="e">
        <v>#N/A</v>
      </c>
      <c r="AT39" s="101"/>
      <c r="AU39" s="101"/>
      <c r="AV39" s="101"/>
      <c r="AW39" s="101" t="e">
        <f>VLOOKUP(Tabla15[[#This Row],[Matricula nueva]],Hoja2!$A$1:$B$224,2,FALSE)</f>
        <v>#N/A</v>
      </c>
      <c r="AX39" s="101" t="str">
        <f>IF(Tabla15[[#This Row],[Columna2]]="M1",5.1,"")</f>
        <v/>
      </c>
      <c r="AY39" s="101"/>
      <c r="AZ39" s="101"/>
      <c r="BA39" s="311">
        <f>IF(Tabla15[[#This Row],[Columna2]]="M1",13073,IF(Tabla15[[#This Row],[Columna2]]="N1",15815,IF(Tabla15[[#This Row],[Columna2]]="L3e",2831,53508)))</f>
        <v>53508</v>
      </c>
      <c r="BB39" s="311" t="e">
        <f>(Tabla15[[#This Row],[CVA]]*Tabla15[[#This Row],[F]]-Tabla15[[#This Row],[CVN]])/100*Tabla15[[#This Row],[L]]</f>
        <v>#VALUE!</v>
      </c>
      <c r="BC39" s="1"/>
      <c r="BD39" s="1" t="e">
        <f>VLOOKUP(B39,Tabla467824[[ID CAE2]:[AE '[kWh']]],6,FALSE)</f>
        <v>#N/A</v>
      </c>
      <c r="BE3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0" spans="1:57" ht="15.75" hidden="1" thickBot="1" x14ac:dyDescent="0.3">
      <c r="A40" s="53" t="s">
        <v>1183</v>
      </c>
      <c r="B40" s="53" t="e">
        <v>#N/A</v>
      </c>
      <c r="C40" s="96" t="s">
        <v>1184</v>
      </c>
      <c r="D40" s="96"/>
      <c r="E40" s="96"/>
      <c r="F40" s="96"/>
      <c r="G40" s="96"/>
      <c r="H40" s="96"/>
      <c r="I40" s="96"/>
      <c r="J40" s="96"/>
      <c r="K40" s="96" t="s">
        <v>158</v>
      </c>
      <c r="L40" s="96" t="s">
        <v>159</v>
      </c>
      <c r="M40" s="96" t="s">
        <v>158</v>
      </c>
      <c r="N40" s="96" t="s">
        <v>171</v>
      </c>
      <c r="O40" s="101">
        <f>VLOOKUP(Tabla15[[#This Row],[Matricula Antigua]],BAJA2022202320242025!$B$3:$CR$245,93,FALSE)</f>
        <v>38134</v>
      </c>
      <c r="P40" s="99">
        <v>45245</v>
      </c>
      <c r="Q40" s="98">
        <f>Tabla15[[#This Row],[F.Vig.Final]]-Tabla15[[#This Row],[f Vig Inicio]]</f>
        <v>7111</v>
      </c>
      <c r="R40" s="99">
        <f>YEAR(Tabla15[[#This Row],[F.Vig.Final]])</f>
        <v>2023</v>
      </c>
      <c r="S40" s="96" t="s">
        <v>172</v>
      </c>
      <c r="T40" s="96" t="s">
        <v>78</v>
      </c>
      <c r="U40" s="96" t="s">
        <v>1185</v>
      </c>
      <c r="V40" s="96" t="s">
        <v>1186</v>
      </c>
      <c r="W40" s="96" t="s">
        <v>1139</v>
      </c>
      <c r="X40" s="96" t="s">
        <v>1140</v>
      </c>
      <c r="Y40" s="96" t="s">
        <v>312</v>
      </c>
      <c r="Z40" s="98">
        <f>COUNTIF($X$3:X40, X40)</f>
        <v>14</v>
      </c>
      <c r="AA40" s="98"/>
      <c r="AB40" s="98"/>
      <c r="AC40" s="98"/>
      <c r="AD40" s="98"/>
      <c r="AE40" s="98"/>
      <c r="AF40" s="98"/>
      <c r="AG40" s="98"/>
      <c r="AH40" s="98"/>
      <c r="AI40" s="98" t="e">
        <v>#N/A</v>
      </c>
      <c r="AJ40" s="98" t="e">
        <v>#N/A</v>
      </c>
      <c r="AK40" s="98" t="e">
        <v>#N/A</v>
      </c>
      <c r="AL40" s="98" t="e">
        <v>#N/A</v>
      </c>
      <c r="AM40" s="98" t="e">
        <v>#N/A</v>
      </c>
      <c r="AN40" s="99" t="e">
        <v>#N/A</v>
      </c>
      <c r="AO40" s="99" t="e">
        <v>#N/A</v>
      </c>
      <c r="AP40" s="99" t="e">
        <f>Tabla15[[#This Row],[Renov. Flota]]-Tabla15[[#This Row],[Año]]</f>
        <v>#N/A</v>
      </c>
      <c r="AQ40" s="100" t="e">
        <v>#N/A</v>
      </c>
      <c r="AR40" s="100" t="e">
        <f>VLOOKUP(Tabla15[[#This Row],[Matricula nueva]],'ALTA 20242025'!$B$2:$P$242,15,FALSE)</f>
        <v>#N/A</v>
      </c>
      <c r="AS40" s="101" t="e">
        <v>#N/A</v>
      </c>
      <c r="AT40" s="101"/>
      <c r="AU40" s="101"/>
      <c r="AV40" s="101"/>
      <c r="AW40" s="101" t="e">
        <f>VLOOKUP(Tabla15[[#This Row],[Matricula nueva]],Hoja2!$A$1:$B$224,2,FALSE)</f>
        <v>#N/A</v>
      </c>
      <c r="AX40" s="101" t="str">
        <f>IF(Tabla15[[#This Row],[Columna2]]="M1",5.1,"")</f>
        <v/>
      </c>
      <c r="AY40" s="101"/>
      <c r="AZ40" s="101"/>
      <c r="BA40" s="311">
        <f>IF(Tabla15[[#This Row],[Columna2]]="M1",13073,IF(Tabla15[[#This Row],[Columna2]]="N1",15815,IF(Tabla15[[#This Row],[Columna2]]="L3e",2831,53508)))</f>
        <v>53508</v>
      </c>
      <c r="BB40" s="311" t="e">
        <f>(Tabla15[[#This Row],[CVA]]*Tabla15[[#This Row],[F]]-Tabla15[[#This Row],[CVN]])/100*Tabla15[[#This Row],[L]]</f>
        <v>#VALUE!</v>
      </c>
      <c r="BC40" s="1"/>
      <c r="BD40" s="1" t="e">
        <f>VLOOKUP(B40,Tabla467824[[ID CAE2]:[AE '[kWh']]],6,FALSE)</f>
        <v>#N/A</v>
      </c>
      <c r="BE4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1" spans="1:57" ht="15.75" hidden="1" thickBot="1" x14ac:dyDescent="0.3">
      <c r="A41" s="53" t="s">
        <v>1187</v>
      </c>
      <c r="B41" s="53" t="e">
        <v>#N/A</v>
      </c>
      <c r="C41" s="96" t="s">
        <v>1188</v>
      </c>
      <c r="D41" s="96"/>
      <c r="E41" s="96"/>
      <c r="F41" s="96"/>
      <c r="G41" s="96"/>
      <c r="H41" s="96"/>
      <c r="I41" s="96"/>
      <c r="J41" s="96"/>
      <c r="K41" s="96" t="s">
        <v>158</v>
      </c>
      <c r="L41" s="96" t="s">
        <v>159</v>
      </c>
      <c r="M41" s="96" t="s">
        <v>158</v>
      </c>
      <c r="N41" s="96" t="s">
        <v>171</v>
      </c>
      <c r="O41" s="101">
        <f>VLOOKUP(Tabla15[[#This Row],[Matricula Antigua]],BAJA2022202320242025!$B$3:$CR$245,93,FALSE)</f>
        <v>44064</v>
      </c>
      <c r="P41" s="99">
        <v>45245</v>
      </c>
      <c r="Q41" s="98">
        <f>Tabla15[[#This Row],[F.Vig.Final]]-Tabla15[[#This Row],[f Vig Inicio]]</f>
        <v>1181</v>
      </c>
      <c r="R41" s="99">
        <f>YEAR(Tabla15[[#This Row],[F.Vig.Final]])</f>
        <v>2023</v>
      </c>
      <c r="S41" s="96" t="s">
        <v>172</v>
      </c>
      <c r="T41" s="96" t="s">
        <v>78</v>
      </c>
      <c r="U41" s="96" t="s">
        <v>1189</v>
      </c>
      <c r="V41" s="96" t="s">
        <v>1190</v>
      </c>
      <c r="W41" s="96" t="s">
        <v>1139</v>
      </c>
      <c r="X41" s="96" t="s">
        <v>1140</v>
      </c>
      <c r="Y41" s="96" t="s">
        <v>312</v>
      </c>
      <c r="Z41" s="98">
        <f>COUNTIF($X$3:X41, X41)</f>
        <v>15</v>
      </c>
      <c r="AA41" s="98"/>
      <c r="AB41" s="98"/>
      <c r="AC41" s="98"/>
      <c r="AD41" s="98"/>
      <c r="AE41" s="98"/>
      <c r="AF41" s="98"/>
      <c r="AG41" s="98"/>
      <c r="AH41" s="98"/>
      <c r="AI41" s="98" t="e">
        <v>#N/A</v>
      </c>
      <c r="AJ41" s="98" t="e">
        <v>#N/A</v>
      </c>
      <c r="AK41" s="98" t="e">
        <v>#N/A</v>
      </c>
      <c r="AL41" s="98" t="e">
        <v>#N/A</v>
      </c>
      <c r="AM41" s="98" t="e">
        <v>#N/A</v>
      </c>
      <c r="AN41" s="99" t="e">
        <v>#N/A</v>
      </c>
      <c r="AO41" s="99" t="e">
        <v>#N/A</v>
      </c>
      <c r="AP41" s="99" t="e">
        <f>Tabla15[[#This Row],[Renov. Flota]]-Tabla15[[#This Row],[Año]]</f>
        <v>#N/A</v>
      </c>
      <c r="AQ41" s="100" t="e">
        <v>#N/A</v>
      </c>
      <c r="AR41" s="100" t="e">
        <f>VLOOKUP(Tabla15[[#This Row],[Matricula nueva]],'ALTA 20242025'!$B$2:$P$242,15,FALSE)</f>
        <v>#N/A</v>
      </c>
      <c r="AS41" s="101" t="e">
        <v>#N/A</v>
      </c>
      <c r="AT41" s="101"/>
      <c r="AU41" s="101"/>
      <c r="AV41" s="101"/>
      <c r="AW41" s="101" t="e">
        <f>VLOOKUP(Tabla15[[#This Row],[Matricula nueva]],Hoja2!$A$1:$B$224,2,FALSE)</f>
        <v>#N/A</v>
      </c>
      <c r="AX41" s="101" t="str">
        <f>IF(Tabla15[[#This Row],[Columna2]]="M1",5.1,"")</f>
        <v/>
      </c>
      <c r="AY41" s="101"/>
      <c r="AZ41" s="101"/>
      <c r="BA41" s="311">
        <f>IF(Tabla15[[#This Row],[Columna2]]="M1",13073,IF(Tabla15[[#This Row],[Columna2]]="N1",15815,IF(Tabla15[[#This Row],[Columna2]]="L3e",2831,53508)))</f>
        <v>53508</v>
      </c>
      <c r="BB41" s="311" t="e">
        <f>(Tabla15[[#This Row],[CVA]]*Tabla15[[#This Row],[F]]-Tabla15[[#This Row],[CVN]])/100*Tabla15[[#This Row],[L]]</f>
        <v>#VALUE!</v>
      </c>
      <c r="BC41" s="1"/>
      <c r="BD41" s="1" t="e">
        <f>VLOOKUP(B41,Tabla467824[[ID CAE2]:[AE '[kWh']]],6,FALSE)</f>
        <v>#N/A</v>
      </c>
      <c r="BE4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2" spans="1:57" ht="15.75" hidden="1" thickBot="1" x14ac:dyDescent="0.3">
      <c r="A42" s="53" t="s">
        <v>1191</v>
      </c>
      <c r="B42" s="53" t="e">
        <v>#N/A</v>
      </c>
      <c r="C42" s="96" t="s">
        <v>1192</v>
      </c>
      <c r="D42" s="96"/>
      <c r="E42" s="96"/>
      <c r="F42" s="96"/>
      <c r="G42" s="96"/>
      <c r="H42" s="96"/>
      <c r="I42" s="96"/>
      <c r="J42" s="96"/>
      <c r="K42" s="96" t="s">
        <v>158</v>
      </c>
      <c r="L42" s="96" t="s">
        <v>159</v>
      </c>
      <c r="M42" s="96" t="s">
        <v>158</v>
      </c>
      <c r="N42" s="96" t="s">
        <v>171</v>
      </c>
      <c r="O42" s="101">
        <f>VLOOKUP(Tabla15[[#This Row],[Matricula Antigua]],BAJA2022202320242025!$B$3:$CR$245,93,FALSE)</f>
        <v>44393</v>
      </c>
      <c r="P42" s="99">
        <v>45245</v>
      </c>
      <c r="Q42" s="98">
        <f>Tabla15[[#This Row],[F.Vig.Final]]-Tabla15[[#This Row],[f Vig Inicio]]</f>
        <v>852</v>
      </c>
      <c r="R42" s="99">
        <f>YEAR(Tabla15[[#This Row],[F.Vig.Final]])</f>
        <v>2023</v>
      </c>
      <c r="S42" s="96" t="s">
        <v>172</v>
      </c>
      <c r="T42" s="96" t="s">
        <v>78</v>
      </c>
      <c r="U42" s="96" t="s">
        <v>1193</v>
      </c>
      <c r="V42" s="96" t="s">
        <v>1194</v>
      </c>
      <c r="W42" s="96" t="s">
        <v>1139</v>
      </c>
      <c r="X42" s="96" t="s">
        <v>1140</v>
      </c>
      <c r="Y42" s="96" t="s">
        <v>312</v>
      </c>
      <c r="Z42" s="98">
        <f>COUNTIF($X$3:X42, X42)</f>
        <v>16</v>
      </c>
      <c r="AA42" s="98"/>
      <c r="AB42" s="98"/>
      <c r="AC42" s="98"/>
      <c r="AD42" s="98"/>
      <c r="AE42" s="98"/>
      <c r="AF42" s="98"/>
      <c r="AG42" s="98"/>
      <c r="AH42" s="98"/>
      <c r="AI42" s="98" t="e">
        <v>#N/A</v>
      </c>
      <c r="AJ42" s="98" t="e">
        <v>#N/A</v>
      </c>
      <c r="AK42" s="98" t="e">
        <v>#N/A</v>
      </c>
      <c r="AL42" s="98" t="e">
        <v>#N/A</v>
      </c>
      <c r="AM42" s="98" t="e">
        <v>#N/A</v>
      </c>
      <c r="AN42" s="99" t="e">
        <v>#N/A</v>
      </c>
      <c r="AO42" s="99" t="e">
        <v>#N/A</v>
      </c>
      <c r="AP42" s="99" t="e">
        <f>Tabla15[[#This Row],[Renov. Flota]]-Tabla15[[#This Row],[Año]]</f>
        <v>#N/A</v>
      </c>
      <c r="AQ42" s="100" t="e">
        <v>#N/A</v>
      </c>
      <c r="AR42" s="100" t="e">
        <f>VLOOKUP(Tabla15[[#This Row],[Matricula nueva]],'ALTA 20242025'!$B$2:$P$242,15,FALSE)</f>
        <v>#N/A</v>
      </c>
      <c r="AS42" s="101" t="e">
        <v>#N/A</v>
      </c>
      <c r="AT42" s="101"/>
      <c r="AU42" s="101"/>
      <c r="AV42" s="101"/>
      <c r="AW42" s="101" t="e">
        <f>VLOOKUP(Tabla15[[#This Row],[Matricula nueva]],Hoja2!$A$1:$B$224,2,FALSE)</f>
        <v>#N/A</v>
      </c>
      <c r="AX42" s="101" t="str">
        <f>IF(Tabla15[[#This Row],[Columna2]]="M1",5.1,"")</f>
        <v/>
      </c>
      <c r="AY42" s="101"/>
      <c r="AZ42" s="101"/>
      <c r="BA42" s="311">
        <f>IF(Tabla15[[#This Row],[Columna2]]="M1",13073,IF(Tabla15[[#This Row],[Columna2]]="N1",15815,IF(Tabla15[[#This Row],[Columna2]]="L3e",2831,53508)))</f>
        <v>53508</v>
      </c>
      <c r="BB42" s="311" t="e">
        <f>(Tabla15[[#This Row],[CVA]]*Tabla15[[#This Row],[F]]-Tabla15[[#This Row],[CVN]])/100*Tabla15[[#This Row],[L]]</f>
        <v>#VALUE!</v>
      </c>
      <c r="BC42" s="1"/>
      <c r="BD42" s="1" t="e">
        <f>VLOOKUP(B42,Tabla467824[[ID CAE2]:[AE '[kWh']]],6,FALSE)</f>
        <v>#N/A</v>
      </c>
      <c r="BE4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3" spans="1:57" ht="15.75" hidden="1" thickBot="1" x14ac:dyDescent="0.3">
      <c r="A43" s="53" t="s">
        <v>1195</v>
      </c>
      <c r="B43" s="53" t="e">
        <v>#N/A</v>
      </c>
      <c r="C43" s="96" t="s">
        <v>1196</v>
      </c>
      <c r="D43" s="96"/>
      <c r="E43" s="96"/>
      <c r="F43" s="96"/>
      <c r="G43" s="96"/>
      <c r="H43" s="96"/>
      <c r="I43" s="96"/>
      <c r="J43" s="96"/>
      <c r="K43" s="96" t="s">
        <v>158</v>
      </c>
      <c r="L43" s="96" t="s">
        <v>159</v>
      </c>
      <c r="M43" s="96" t="s">
        <v>158</v>
      </c>
      <c r="N43" s="96" t="s">
        <v>171</v>
      </c>
      <c r="O43" s="101">
        <f>VLOOKUP(Tabla15[[#This Row],[Matricula Antigua]],BAJA2022202320242025!$B$3:$CR$245,93,FALSE)</f>
        <v>38721</v>
      </c>
      <c r="P43" s="99">
        <v>45245</v>
      </c>
      <c r="Q43" s="98">
        <f>Tabla15[[#This Row],[F.Vig.Final]]-Tabla15[[#This Row],[f Vig Inicio]]</f>
        <v>6524</v>
      </c>
      <c r="R43" s="99">
        <f>YEAR(Tabla15[[#This Row],[F.Vig.Final]])</f>
        <v>2023</v>
      </c>
      <c r="S43" s="96" t="s">
        <v>172</v>
      </c>
      <c r="T43" s="96" t="s">
        <v>78</v>
      </c>
      <c r="U43" s="96" t="s">
        <v>1193</v>
      </c>
      <c r="V43" s="96" t="s">
        <v>1197</v>
      </c>
      <c r="W43" s="96" t="s">
        <v>1139</v>
      </c>
      <c r="X43" s="96" t="s">
        <v>1140</v>
      </c>
      <c r="Y43" s="96" t="s">
        <v>312</v>
      </c>
      <c r="Z43" s="98">
        <f>COUNTIF($X$3:X43, X43)</f>
        <v>17</v>
      </c>
      <c r="AA43" s="98"/>
      <c r="AB43" s="98"/>
      <c r="AC43" s="98"/>
      <c r="AD43" s="98"/>
      <c r="AE43" s="98"/>
      <c r="AF43" s="98"/>
      <c r="AG43" s="98"/>
      <c r="AH43" s="98"/>
      <c r="AI43" s="98" t="e">
        <v>#N/A</v>
      </c>
      <c r="AJ43" s="98" t="e">
        <v>#N/A</v>
      </c>
      <c r="AK43" s="98" t="e">
        <v>#N/A</v>
      </c>
      <c r="AL43" s="98" t="e">
        <v>#N/A</v>
      </c>
      <c r="AM43" s="98" t="e">
        <v>#N/A</v>
      </c>
      <c r="AN43" s="99" t="e">
        <v>#N/A</v>
      </c>
      <c r="AO43" s="99" t="e">
        <v>#N/A</v>
      </c>
      <c r="AP43" s="99" t="e">
        <f>Tabla15[[#This Row],[Renov. Flota]]-Tabla15[[#This Row],[Año]]</f>
        <v>#N/A</v>
      </c>
      <c r="AQ43" s="100" t="e">
        <v>#N/A</v>
      </c>
      <c r="AR43" s="100" t="e">
        <f>VLOOKUP(Tabla15[[#This Row],[Matricula nueva]],'ALTA 20242025'!$B$2:$P$242,15,FALSE)</f>
        <v>#N/A</v>
      </c>
      <c r="AS43" s="101" t="e">
        <v>#N/A</v>
      </c>
      <c r="AT43" s="101"/>
      <c r="AU43" s="101"/>
      <c r="AV43" s="101"/>
      <c r="AW43" s="101" t="e">
        <f>VLOOKUP(Tabla15[[#This Row],[Matricula nueva]],Hoja2!$A$1:$B$224,2,FALSE)</f>
        <v>#N/A</v>
      </c>
      <c r="AX43" s="101" t="str">
        <f>IF(Tabla15[[#This Row],[Columna2]]="M1",5.1,"")</f>
        <v/>
      </c>
      <c r="AY43" s="101"/>
      <c r="AZ43" s="101"/>
      <c r="BA43" s="311">
        <f>IF(Tabla15[[#This Row],[Columna2]]="M1",13073,IF(Tabla15[[#This Row],[Columna2]]="N1",15815,IF(Tabla15[[#This Row],[Columna2]]="L3e",2831,53508)))</f>
        <v>53508</v>
      </c>
      <c r="BB43" s="311" t="e">
        <f>(Tabla15[[#This Row],[CVA]]*Tabla15[[#This Row],[F]]-Tabla15[[#This Row],[CVN]])/100*Tabla15[[#This Row],[L]]</f>
        <v>#VALUE!</v>
      </c>
      <c r="BC43" s="1"/>
      <c r="BD43" s="1" t="e">
        <f>VLOOKUP(B43,Tabla467824[[ID CAE2]:[AE '[kWh']]],6,FALSE)</f>
        <v>#N/A</v>
      </c>
      <c r="BE4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4" spans="1:57" ht="15.75" hidden="1" thickBot="1" x14ac:dyDescent="0.3">
      <c r="A44" s="53" t="s">
        <v>1198</v>
      </c>
      <c r="B44" s="53" t="e">
        <v>#N/A</v>
      </c>
      <c r="C44" s="96" t="s">
        <v>1199</v>
      </c>
      <c r="D44" s="96"/>
      <c r="E44" s="96"/>
      <c r="F44" s="96"/>
      <c r="G44" s="96"/>
      <c r="H44" s="96"/>
      <c r="I44" s="96"/>
      <c r="J44" s="96"/>
      <c r="K44" s="96" t="s">
        <v>158</v>
      </c>
      <c r="L44" s="96" t="s">
        <v>159</v>
      </c>
      <c r="M44" s="96" t="s">
        <v>158</v>
      </c>
      <c r="N44" s="96" t="s">
        <v>171</v>
      </c>
      <c r="O44" s="101">
        <f>VLOOKUP(Tabla15[[#This Row],[Matricula Antigua]],BAJA2022202320242025!$B$3:$CR$245,93,FALSE)</f>
        <v>36830</v>
      </c>
      <c r="P44" s="99">
        <v>45245</v>
      </c>
      <c r="Q44" s="98">
        <f>Tabla15[[#This Row],[F.Vig.Final]]-Tabla15[[#This Row],[f Vig Inicio]]</f>
        <v>8415</v>
      </c>
      <c r="R44" s="99">
        <f>YEAR(Tabla15[[#This Row],[F.Vig.Final]])</f>
        <v>2023</v>
      </c>
      <c r="S44" s="96" t="s">
        <v>172</v>
      </c>
      <c r="T44" s="96" t="s">
        <v>78</v>
      </c>
      <c r="U44" s="96" t="s">
        <v>1189</v>
      </c>
      <c r="V44" s="96" t="s">
        <v>1200</v>
      </c>
      <c r="W44" s="96" t="s">
        <v>1139</v>
      </c>
      <c r="X44" s="96" t="s">
        <v>1140</v>
      </c>
      <c r="Y44" s="96" t="s">
        <v>312</v>
      </c>
      <c r="Z44" s="98">
        <f>COUNTIF($X$3:X44, X44)</f>
        <v>18</v>
      </c>
      <c r="AA44" s="98"/>
      <c r="AB44" s="98"/>
      <c r="AC44" s="98"/>
      <c r="AD44" s="98"/>
      <c r="AE44" s="98"/>
      <c r="AF44" s="98"/>
      <c r="AG44" s="98"/>
      <c r="AH44" s="98"/>
      <c r="AI44" s="98" t="e">
        <v>#N/A</v>
      </c>
      <c r="AJ44" s="98" t="e">
        <v>#N/A</v>
      </c>
      <c r="AK44" s="98" t="e">
        <v>#N/A</v>
      </c>
      <c r="AL44" s="98" t="e">
        <v>#N/A</v>
      </c>
      <c r="AM44" s="98" t="e">
        <v>#N/A</v>
      </c>
      <c r="AN44" s="99" t="e">
        <v>#N/A</v>
      </c>
      <c r="AO44" s="99" t="e">
        <v>#N/A</v>
      </c>
      <c r="AP44" s="99" t="e">
        <f>Tabla15[[#This Row],[Renov. Flota]]-Tabla15[[#This Row],[Año]]</f>
        <v>#N/A</v>
      </c>
      <c r="AQ44" s="100" t="e">
        <v>#N/A</v>
      </c>
      <c r="AR44" s="100" t="e">
        <f>VLOOKUP(Tabla15[[#This Row],[Matricula nueva]],'ALTA 20242025'!$B$2:$P$242,15,FALSE)</f>
        <v>#N/A</v>
      </c>
      <c r="AS44" s="101" t="e">
        <v>#N/A</v>
      </c>
      <c r="AT44" s="101"/>
      <c r="AU44" s="101"/>
      <c r="AV44" s="101"/>
      <c r="AW44" s="101" t="e">
        <f>VLOOKUP(Tabla15[[#This Row],[Matricula nueva]],Hoja2!$A$1:$B$224,2,FALSE)</f>
        <v>#N/A</v>
      </c>
      <c r="AX44" s="101" t="str">
        <f>IF(Tabla15[[#This Row],[Columna2]]="M1",5.1,"")</f>
        <v/>
      </c>
      <c r="AY44" s="101"/>
      <c r="AZ44" s="101"/>
      <c r="BA44" s="311">
        <f>IF(Tabla15[[#This Row],[Columna2]]="M1",13073,IF(Tabla15[[#This Row],[Columna2]]="N1",15815,IF(Tabla15[[#This Row],[Columna2]]="L3e",2831,53508)))</f>
        <v>53508</v>
      </c>
      <c r="BB44" s="311" t="e">
        <f>(Tabla15[[#This Row],[CVA]]*Tabla15[[#This Row],[F]]-Tabla15[[#This Row],[CVN]])/100*Tabla15[[#This Row],[L]]</f>
        <v>#VALUE!</v>
      </c>
      <c r="BC44" s="1"/>
      <c r="BD44" s="1" t="e">
        <f>VLOOKUP(B44,Tabla467824[[ID CAE2]:[AE '[kWh']]],6,FALSE)</f>
        <v>#N/A</v>
      </c>
      <c r="BE4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5" spans="1:57" ht="15.75" hidden="1" thickBot="1" x14ac:dyDescent="0.3">
      <c r="A45" s="53" t="s">
        <v>1201</v>
      </c>
      <c r="B45" s="53" t="e">
        <v>#N/A</v>
      </c>
      <c r="C45" s="96" t="s">
        <v>1202</v>
      </c>
      <c r="D45" s="96"/>
      <c r="E45" s="96"/>
      <c r="F45" s="96"/>
      <c r="G45" s="96"/>
      <c r="H45" s="96"/>
      <c r="I45" s="96"/>
      <c r="J45" s="96"/>
      <c r="K45" s="96" t="s">
        <v>158</v>
      </c>
      <c r="L45" s="96" t="s">
        <v>159</v>
      </c>
      <c r="M45" s="96" t="s">
        <v>158</v>
      </c>
      <c r="N45" s="96" t="s">
        <v>171</v>
      </c>
      <c r="O45" s="101">
        <f>VLOOKUP(Tabla15[[#This Row],[Matricula Antigua]],BAJA2022202320242025!$B$3:$CR$245,93,FALSE)</f>
        <v>32874</v>
      </c>
      <c r="P45" s="99">
        <v>45245</v>
      </c>
      <c r="Q45" s="98">
        <f>Tabla15[[#This Row],[F.Vig.Final]]-Tabla15[[#This Row],[f Vig Inicio]]</f>
        <v>12371</v>
      </c>
      <c r="R45" s="99">
        <f>YEAR(Tabla15[[#This Row],[F.Vig.Final]])</f>
        <v>2023</v>
      </c>
      <c r="S45" s="96" t="s">
        <v>172</v>
      </c>
      <c r="T45" s="96" t="s">
        <v>78</v>
      </c>
      <c r="U45" s="96" t="s">
        <v>1203</v>
      </c>
      <c r="V45" s="96" t="s">
        <v>1204</v>
      </c>
      <c r="W45" s="96" t="s">
        <v>1139</v>
      </c>
      <c r="X45" s="96" t="s">
        <v>1140</v>
      </c>
      <c r="Y45" s="96" t="s">
        <v>312</v>
      </c>
      <c r="Z45" s="98">
        <f>COUNTIF($X$3:X45, X45)</f>
        <v>19</v>
      </c>
      <c r="AA45" s="98"/>
      <c r="AB45" s="98"/>
      <c r="AC45" s="98"/>
      <c r="AD45" s="98"/>
      <c r="AE45" s="98"/>
      <c r="AF45" s="98"/>
      <c r="AG45" s="98"/>
      <c r="AH45" s="98"/>
      <c r="AI45" s="98" t="e">
        <v>#N/A</v>
      </c>
      <c r="AJ45" s="98" t="e">
        <v>#N/A</v>
      </c>
      <c r="AK45" s="98" t="e">
        <v>#N/A</v>
      </c>
      <c r="AL45" s="98" t="e">
        <v>#N/A</v>
      </c>
      <c r="AM45" s="98" t="e">
        <v>#N/A</v>
      </c>
      <c r="AN45" s="99" t="e">
        <v>#N/A</v>
      </c>
      <c r="AO45" s="99" t="e">
        <v>#N/A</v>
      </c>
      <c r="AP45" s="99" t="e">
        <f>Tabla15[[#This Row],[Renov. Flota]]-Tabla15[[#This Row],[Año]]</f>
        <v>#N/A</v>
      </c>
      <c r="AQ45" s="100" t="e">
        <v>#N/A</v>
      </c>
      <c r="AR45" s="100" t="e">
        <f>VLOOKUP(Tabla15[[#This Row],[Matricula nueva]],'ALTA 20242025'!$B$2:$P$242,15,FALSE)</f>
        <v>#N/A</v>
      </c>
      <c r="AS45" s="101" t="e">
        <v>#N/A</v>
      </c>
      <c r="AT45" s="101"/>
      <c r="AU45" s="101"/>
      <c r="AV45" s="101"/>
      <c r="AW45" s="101" t="e">
        <f>VLOOKUP(Tabla15[[#This Row],[Matricula nueva]],Hoja2!$A$1:$B$224,2,FALSE)</f>
        <v>#N/A</v>
      </c>
      <c r="AX45" s="101" t="str">
        <f>IF(Tabla15[[#This Row],[Columna2]]="M1",5.1,"")</f>
        <v/>
      </c>
      <c r="AY45" s="101"/>
      <c r="AZ45" s="101"/>
      <c r="BA45" s="311">
        <f>IF(Tabla15[[#This Row],[Columna2]]="M1",13073,IF(Tabla15[[#This Row],[Columna2]]="N1",15815,IF(Tabla15[[#This Row],[Columna2]]="L3e",2831,53508)))</f>
        <v>53508</v>
      </c>
      <c r="BB45" s="311" t="e">
        <f>(Tabla15[[#This Row],[CVA]]*Tabla15[[#This Row],[F]]-Tabla15[[#This Row],[CVN]])/100*Tabla15[[#This Row],[L]]</f>
        <v>#VALUE!</v>
      </c>
      <c r="BC45" s="1"/>
      <c r="BD45" s="1" t="e">
        <f>VLOOKUP(B45,Tabla467824[[ID CAE2]:[AE '[kWh']]],6,FALSE)</f>
        <v>#N/A</v>
      </c>
      <c r="BE4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6" spans="1:57" ht="15.75" hidden="1" thickBot="1" x14ac:dyDescent="0.3">
      <c r="A46" s="53" t="s">
        <v>1205</v>
      </c>
      <c r="B46" s="53" t="e">
        <v>#N/A</v>
      </c>
      <c r="C46" s="96" t="s">
        <v>1206</v>
      </c>
      <c r="D46" s="96"/>
      <c r="E46" s="96"/>
      <c r="F46" s="96"/>
      <c r="G46" s="96"/>
      <c r="H46" s="96"/>
      <c r="I46" s="96"/>
      <c r="J46" s="96"/>
      <c r="K46" s="96" t="s">
        <v>158</v>
      </c>
      <c r="L46" s="96" t="s">
        <v>159</v>
      </c>
      <c r="M46" s="96" t="s">
        <v>158</v>
      </c>
      <c r="N46" s="96" t="s">
        <v>171</v>
      </c>
      <c r="O46" s="101">
        <f>VLOOKUP(Tabla15[[#This Row],[Matricula Antigua]],BAJA2022202320242025!$B$3:$CR$245,93,FALSE)</f>
        <v>35720</v>
      </c>
      <c r="P46" s="99">
        <v>45245</v>
      </c>
      <c r="Q46" s="98">
        <f>Tabla15[[#This Row],[F.Vig.Final]]-Tabla15[[#This Row],[f Vig Inicio]]</f>
        <v>9525</v>
      </c>
      <c r="R46" s="99">
        <f>YEAR(Tabla15[[#This Row],[F.Vig.Final]])</f>
        <v>2023</v>
      </c>
      <c r="S46" s="96" t="s">
        <v>172</v>
      </c>
      <c r="T46" s="96" t="s">
        <v>78</v>
      </c>
      <c r="U46" s="96" t="s">
        <v>1189</v>
      </c>
      <c r="V46" s="96" t="s">
        <v>1207</v>
      </c>
      <c r="W46" s="96" t="s">
        <v>1139</v>
      </c>
      <c r="X46" s="96" t="s">
        <v>1140</v>
      </c>
      <c r="Y46" s="96" t="s">
        <v>312</v>
      </c>
      <c r="Z46" s="98">
        <f>COUNTIF($X$3:X46, X46)</f>
        <v>20</v>
      </c>
      <c r="AA46" s="98"/>
      <c r="AB46" s="98"/>
      <c r="AC46" s="98"/>
      <c r="AD46" s="98"/>
      <c r="AE46" s="98"/>
      <c r="AF46" s="98"/>
      <c r="AG46" s="98"/>
      <c r="AH46" s="98"/>
      <c r="AI46" s="98" t="e">
        <v>#N/A</v>
      </c>
      <c r="AJ46" s="98" t="e">
        <v>#N/A</v>
      </c>
      <c r="AK46" s="98" t="e">
        <v>#N/A</v>
      </c>
      <c r="AL46" s="98" t="e">
        <v>#N/A</v>
      </c>
      <c r="AM46" s="98" t="e">
        <v>#N/A</v>
      </c>
      <c r="AN46" s="99" t="e">
        <v>#N/A</v>
      </c>
      <c r="AO46" s="99" t="e">
        <v>#N/A</v>
      </c>
      <c r="AP46" s="99" t="e">
        <f>Tabla15[[#This Row],[Renov. Flota]]-Tabla15[[#This Row],[Año]]</f>
        <v>#N/A</v>
      </c>
      <c r="AQ46" s="100" t="e">
        <v>#N/A</v>
      </c>
      <c r="AR46" s="100" t="e">
        <f>VLOOKUP(Tabla15[[#This Row],[Matricula nueva]],'ALTA 20242025'!$B$2:$P$242,15,FALSE)</f>
        <v>#N/A</v>
      </c>
      <c r="AS46" s="101" t="e">
        <v>#N/A</v>
      </c>
      <c r="AT46" s="101"/>
      <c r="AU46" s="101"/>
      <c r="AV46" s="101"/>
      <c r="AW46" s="101" t="e">
        <f>VLOOKUP(Tabla15[[#This Row],[Matricula nueva]],Hoja2!$A$1:$B$224,2,FALSE)</f>
        <v>#N/A</v>
      </c>
      <c r="AX46" s="101" t="str">
        <f>IF(Tabla15[[#This Row],[Columna2]]="M1",5.1,"")</f>
        <v/>
      </c>
      <c r="AY46" s="101"/>
      <c r="AZ46" s="101"/>
      <c r="BA46" s="311">
        <f>IF(Tabla15[[#This Row],[Columna2]]="M1",13073,IF(Tabla15[[#This Row],[Columna2]]="N1",15815,IF(Tabla15[[#This Row],[Columna2]]="L3e",2831,53508)))</f>
        <v>53508</v>
      </c>
      <c r="BB46" s="311" t="e">
        <f>(Tabla15[[#This Row],[CVA]]*Tabla15[[#This Row],[F]]-Tabla15[[#This Row],[CVN]])/100*Tabla15[[#This Row],[L]]</f>
        <v>#VALUE!</v>
      </c>
      <c r="BC46" s="1"/>
      <c r="BD46" s="1" t="e">
        <f>VLOOKUP(B46,Tabla467824[[ID CAE2]:[AE '[kWh']]],6,FALSE)</f>
        <v>#N/A</v>
      </c>
      <c r="BE4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7" spans="1:57" ht="15.75" hidden="1" thickBot="1" x14ac:dyDescent="0.3">
      <c r="A47" s="53" t="s">
        <v>1208</v>
      </c>
      <c r="B47" s="53" t="e">
        <v>#N/A</v>
      </c>
      <c r="C47" s="96" t="s">
        <v>1209</v>
      </c>
      <c r="D47" s="96"/>
      <c r="E47" s="96"/>
      <c r="F47" s="96"/>
      <c r="G47" s="96"/>
      <c r="H47" s="96"/>
      <c r="I47" s="96"/>
      <c r="J47" s="96"/>
      <c r="K47" s="96" t="s">
        <v>158</v>
      </c>
      <c r="L47" s="96" t="s">
        <v>159</v>
      </c>
      <c r="M47" s="96" t="s">
        <v>158</v>
      </c>
      <c r="N47" s="96" t="s">
        <v>171</v>
      </c>
      <c r="O47" s="101">
        <f>VLOOKUP(Tabla15[[#This Row],[Matricula Antigua]],BAJA2022202320242025!$B$3:$CR$245,93,FALSE)</f>
        <v>36209</v>
      </c>
      <c r="P47" s="99">
        <v>45245</v>
      </c>
      <c r="Q47" s="98">
        <f>Tabla15[[#This Row],[F.Vig.Final]]-Tabla15[[#This Row],[f Vig Inicio]]</f>
        <v>9036</v>
      </c>
      <c r="R47" s="99">
        <f>YEAR(Tabla15[[#This Row],[F.Vig.Final]])</f>
        <v>2023</v>
      </c>
      <c r="S47" s="96" t="s">
        <v>172</v>
      </c>
      <c r="T47" s="96" t="s">
        <v>78</v>
      </c>
      <c r="U47" s="96" t="s">
        <v>1210</v>
      </c>
      <c r="V47" s="96" t="s">
        <v>1211</v>
      </c>
      <c r="W47" s="96" t="s">
        <v>1139</v>
      </c>
      <c r="X47" s="96" t="s">
        <v>1140</v>
      </c>
      <c r="Y47" s="96" t="s">
        <v>312</v>
      </c>
      <c r="Z47" s="98">
        <f>COUNTIF($X$3:X47, X47)</f>
        <v>21</v>
      </c>
      <c r="AA47" s="98"/>
      <c r="AB47" s="98"/>
      <c r="AC47" s="98"/>
      <c r="AD47" s="98"/>
      <c r="AE47" s="98"/>
      <c r="AF47" s="98"/>
      <c r="AG47" s="98"/>
      <c r="AH47" s="98"/>
      <c r="AI47" s="98" t="e">
        <v>#N/A</v>
      </c>
      <c r="AJ47" s="98" t="e">
        <v>#N/A</v>
      </c>
      <c r="AK47" s="98" t="e">
        <v>#N/A</v>
      </c>
      <c r="AL47" s="98" t="e">
        <v>#N/A</v>
      </c>
      <c r="AM47" s="98" t="e">
        <v>#N/A</v>
      </c>
      <c r="AN47" s="99" t="e">
        <v>#N/A</v>
      </c>
      <c r="AO47" s="99" t="e">
        <v>#N/A</v>
      </c>
      <c r="AP47" s="99" t="e">
        <f>Tabla15[[#This Row],[Renov. Flota]]-Tabla15[[#This Row],[Año]]</f>
        <v>#N/A</v>
      </c>
      <c r="AQ47" s="100" t="e">
        <v>#N/A</v>
      </c>
      <c r="AR47" s="100" t="e">
        <f>VLOOKUP(Tabla15[[#This Row],[Matricula nueva]],'ALTA 20242025'!$B$2:$P$242,15,FALSE)</f>
        <v>#N/A</v>
      </c>
      <c r="AS47" s="101" t="e">
        <v>#N/A</v>
      </c>
      <c r="AT47" s="101"/>
      <c r="AU47" s="101"/>
      <c r="AV47" s="101"/>
      <c r="AW47" s="101" t="e">
        <f>VLOOKUP(Tabla15[[#This Row],[Matricula nueva]],Hoja2!$A$1:$B$224,2,FALSE)</f>
        <v>#N/A</v>
      </c>
      <c r="AX47" s="101" t="str">
        <f>IF(Tabla15[[#This Row],[Columna2]]="M1",5.1,"")</f>
        <v/>
      </c>
      <c r="AY47" s="101"/>
      <c r="AZ47" s="101"/>
      <c r="BA47" s="311">
        <f>IF(Tabla15[[#This Row],[Columna2]]="M1",13073,IF(Tabla15[[#This Row],[Columna2]]="N1",15815,IF(Tabla15[[#This Row],[Columna2]]="L3e",2831,53508)))</f>
        <v>53508</v>
      </c>
      <c r="BB47" s="311" t="e">
        <f>(Tabla15[[#This Row],[CVA]]*Tabla15[[#This Row],[F]]-Tabla15[[#This Row],[CVN]])/100*Tabla15[[#This Row],[L]]</f>
        <v>#VALUE!</v>
      </c>
      <c r="BC47" s="1"/>
      <c r="BD47" s="1" t="e">
        <f>VLOOKUP(B47,Tabla467824[[ID CAE2]:[AE '[kWh']]],6,FALSE)</f>
        <v>#N/A</v>
      </c>
      <c r="BE4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48" spans="1:57" ht="15.75" hidden="1" thickBot="1" x14ac:dyDescent="0.3">
      <c r="A48" s="53" t="s">
        <v>1212</v>
      </c>
      <c r="B48" s="53" t="e">
        <v>#N/A</v>
      </c>
      <c r="C48" s="96" t="s">
        <v>1213</v>
      </c>
      <c r="D48" s="96"/>
      <c r="E48" s="96"/>
      <c r="F48" s="96"/>
      <c r="G48" s="96"/>
      <c r="H48" s="96"/>
      <c r="I48" s="96"/>
      <c r="J48" s="96"/>
      <c r="K48" s="96" t="s">
        <v>885</v>
      </c>
      <c r="L48" s="96" t="s">
        <v>161</v>
      </c>
      <c r="M48" s="96" t="s">
        <v>886</v>
      </c>
      <c r="N48" s="96" t="s">
        <v>171</v>
      </c>
      <c r="O48" s="101">
        <f>VLOOKUP(Tabla15[[#This Row],[Matricula Antigua]],BAJA2022202320242025!$B$3:$CR$245,93,FALSE)</f>
        <v>36891</v>
      </c>
      <c r="P48" s="99">
        <v>45247</v>
      </c>
      <c r="Q48" s="98">
        <f>Tabla15[[#This Row],[F.Vig.Final]]-Tabla15[[#This Row],[f Vig Inicio]]</f>
        <v>8356</v>
      </c>
      <c r="R48" s="99">
        <f>YEAR(Tabla15[[#This Row],[F.Vig.Final]])</f>
        <v>2023</v>
      </c>
      <c r="S48" s="96" t="s">
        <v>172</v>
      </c>
      <c r="T48" s="96" t="s">
        <v>71</v>
      </c>
      <c r="U48" s="96" t="s">
        <v>887</v>
      </c>
      <c r="V48" s="96" t="s">
        <v>1214</v>
      </c>
      <c r="W48" s="96" t="s">
        <v>1050</v>
      </c>
      <c r="X48" s="96" t="s">
        <v>1051</v>
      </c>
      <c r="Y48" s="96" t="s">
        <v>1145</v>
      </c>
      <c r="Z48" s="98">
        <f>COUNTIF($X$3:X48, X48)</f>
        <v>2</v>
      </c>
      <c r="AA48" s="98"/>
      <c r="AB48" s="98"/>
      <c r="AC48" s="98"/>
      <c r="AD48" s="98"/>
      <c r="AE48" s="98"/>
      <c r="AF48" s="98"/>
      <c r="AG48" s="98"/>
      <c r="AH48" s="98"/>
      <c r="AI48" s="98" t="e">
        <v>#N/A</v>
      </c>
      <c r="AJ48" s="98" t="e">
        <v>#N/A</v>
      </c>
      <c r="AK48" s="98" t="e">
        <v>#N/A</v>
      </c>
      <c r="AL48" s="98" t="e">
        <v>#N/A</v>
      </c>
      <c r="AM48" s="98" t="e">
        <v>#N/A</v>
      </c>
      <c r="AN48" s="99" t="e">
        <v>#N/A</v>
      </c>
      <c r="AO48" s="99" t="e">
        <v>#N/A</v>
      </c>
      <c r="AP48" s="99" t="e">
        <f>Tabla15[[#This Row],[Renov. Flota]]-Tabla15[[#This Row],[Año]]</f>
        <v>#N/A</v>
      </c>
      <c r="AQ48" s="100" t="e">
        <v>#N/A</v>
      </c>
      <c r="AR48" s="100" t="e">
        <f>VLOOKUP(Tabla15[[#This Row],[Matricula nueva]],'ALTA 20242025'!$B$2:$P$242,15,FALSE)</f>
        <v>#N/A</v>
      </c>
      <c r="AS48" s="101" t="e">
        <v>#N/A</v>
      </c>
      <c r="AT48" s="101"/>
      <c r="AU48" s="101"/>
      <c r="AV48" s="101"/>
      <c r="AW48" s="101" t="e">
        <f>VLOOKUP(Tabla15[[#This Row],[Matricula nueva]],Hoja2!$A$1:$B$224,2,FALSE)</f>
        <v>#N/A</v>
      </c>
      <c r="AX48" s="101" t="str">
        <f>IF(Tabla15[[#This Row],[Columna2]]="M1",5.1,"")</f>
        <v/>
      </c>
      <c r="AY48" s="101"/>
      <c r="AZ48" s="101"/>
      <c r="BA48" s="311">
        <f>IF(Tabla15[[#This Row],[Columna2]]="M1",13073,IF(Tabla15[[#This Row],[Columna2]]="N1",15815,IF(Tabla15[[#This Row],[Columna2]]="L3e",2831,53508)))</f>
        <v>53508</v>
      </c>
      <c r="BB48" s="311" t="e">
        <f>(Tabla15[[#This Row],[CVA]]*Tabla15[[#This Row],[F]]-Tabla15[[#This Row],[CVN]])/100*Tabla15[[#This Row],[L]]</f>
        <v>#VALUE!</v>
      </c>
      <c r="BC48" s="1"/>
      <c r="BD48" s="1" t="e">
        <f>VLOOKUP(B48,Tabla467824[[ID CAE2]:[AE '[kWh']]],6,FALSE)</f>
        <v>#N/A</v>
      </c>
      <c r="BE4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49" spans="1:57" ht="15.75" hidden="1" thickBot="1" x14ac:dyDescent="0.3">
      <c r="A49" s="53" t="s">
        <v>1215</v>
      </c>
      <c r="B49" s="53" t="e">
        <v>#N/A</v>
      </c>
      <c r="C49" s="96" t="s">
        <v>1216</v>
      </c>
      <c r="D49" s="96"/>
      <c r="E49" s="96"/>
      <c r="F49" s="96"/>
      <c r="G49" s="96"/>
      <c r="H49" s="96"/>
      <c r="I49" s="96"/>
      <c r="J49" s="96"/>
      <c r="K49" s="96" t="s">
        <v>73</v>
      </c>
      <c r="L49" s="96" t="s">
        <v>200</v>
      </c>
      <c r="M49" s="96" t="s">
        <v>201</v>
      </c>
      <c r="N49" s="96" t="s">
        <v>76</v>
      </c>
      <c r="O49" s="101">
        <f>VLOOKUP(Tabla15[[#This Row],[Matricula Antigua]],BAJA2022202320242025!$B$3:$CR$245,93,FALSE)</f>
        <v>43563</v>
      </c>
      <c r="P49" s="99">
        <v>45024</v>
      </c>
      <c r="Q49" s="98">
        <f>Tabla15[[#This Row],[F.Vig.Final]]-Tabla15[[#This Row],[f Vig Inicio]]</f>
        <v>1461</v>
      </c>
      <c r="R49" s="99">
        <f>YEAR(Tabla15[[#This Row],[F.Vig.Final]])</f>
        <v>2023</v>
      </c>
      <c r="S49" s="96" t="s">
        <v>77</v>
      </c>
      <c r="T49" s="96" t="s">
        <v>78</v>
      </c>
      <c r="U49" s="96" t="s">
        <v>359</v>
      </c>
      <c r="V49" s="96" t="s">
        <v>360</v>
      </c>
      <c r="W49" s="96" t="s">
        <v>584</v>
      </c>
      <c r="X49" s="96" t="s">
        <v>585</v>
      </c>
      <c r="Y49" s="96" t="s">
        <v>1217</v>
      </c>
      <c r="Z49" s="98">
        <f>COUNTIF($X$3:X49, X49)</f>
        <v>1</v>
      </c>
      <c r="AA49" s="98"/>
      <c r="AB49" s="98"/>
      <c r="AC49" s="98"/>
      <c r="AD49" s="98"/>
      <c r="AE49" s="320"/>
      <c r="AF49" s="98"/>
      <c r="AG49" s="98"/>
      <c r="AH49" s="98"/>
      <c r="AI49" s="98" t="e">
        <v>#N/A</v>
      </c>
      <c r="AJ49" s="98" t="e">
        <v>#N/A</v>
      </c>
      <c r="AK49" s="98" t="e">
        <v>#N/A</v>
      </c>
      <c r="AL49" s="98" t="e">
        <v>#N/A</v>
      </c>
      <c r="AM49" s="98" t="e">
        <v>#N/A</v>
      </c>
      <c r="AN49" s="99" t="e">
        <v>#N/A</v>
      </c>
      <c r="AO49" s="99" t="e">
        <v>#N/A</v>
      </c>
      <c r="AP49" s="99" t="e">
        <f>Tabla15[[#This Row],[Renov. Flota]]-Tabla15[[#This Row],[Año]]</f>
        <v>#N/A</v>
      </c>
      <c r="AQ49" s="100" t="e">
        <v>#N/A</v>
      </c>
      <c r="AR49" s="100" t="e">
        <f>VLOOKUP(Tabla15[[#This Row],[Matricula nueva]],'ALTA 20242025'!$B$2:$P$242,15,FALSE)</f>
        <v>#N/A</v>
      </c>
      <c r="AS49" s="101" t="e">
        <v>#N/A</v>
      </c>
      <c r="AT49" s="101"/>
      <c r="AU49" s="101"/>
      <c r="AV49" s="101"/>
      <c r="AW49" s="101" t="e">
        <f>VLOOKUP(Tabla15[[#This Row],[Matricula nueva]],Hoja2!$A$1:$B$224,2,FALSE)</f>
        <v>#N/A</v>
      </c>
      <c r="AX49" s="101" t="str">
        <f>IF(Tabla15[[#This Row],[Columna2]]="M1",5.1,"")</f>
        <v/>
      </c>
      <c r="AY49" s="101"/>
      <c r="AZ49" s="101"/>
      <c r="BA49" s="311">
        <f>IF(Tabla15[[#This Row],[Columna2]]="M1",13073,IF(Tabla15[[#This Row],[Columna2]]="N1",15815,IF(Tabla15[[#This Row],[Columna2]]="L3e",2831,53508)))</f>
        <v>53508</v>
      </c>
      <c r="BB49" s="311" t="e">
        <f>(Tabla15[[#This Row],[CVA]]*Tabla15[[#This Row],[F]]-Tabla15[[#This Row],[CVN]])/100*Tabla15[[#This Row],[L]]</f>
        <v>#VALUE!</v>
      </c>
      <c r="BC49" s="1"/>
      <c r="BD49" s="1" t="e">
        <f>VLOOKUP(B49,Tabla467824[[ID CAE2]:[AE '[kWh']]],6,FALSE)</f>
        <v>#N/A</v>
      </c>
      <c r="BE4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50" spans="1:57" ht="51.75" x14ac:dyDescent="0.25">
      <c r="A50" s="53" t="s">
        <v>256</v>
      </c>
      <c r="B50" s="53" t="s">
        <v>256</v>
      </c>
      <c r="C50" s="332" t="s">
        <v>257</v>
      </c>
      <c r="D50" s="104" t="s">
        <v>72</v>
      </c>
      <c r="E50" s="104"/>
      <c r="F50" s="104" t="s">
        <v>72</v>
      </c>
      <c r="G50" s="104"/>
      <c r="H50" s="104" t="s">
        <v>72</v>
      </c>
      <c r="I50" s="104" t="s">
        <v>72</v>
      </c>
      <c r="J50" s="104"/>
      <c r="K50" s="96" t="s">
        <v>73</v>
      </c>
      <c r="L50" s="96" t="s">
        <v>200</v>
      </c>
      <c r="M50" s="96" t="s">
        <v>201</v>
      </c>
      <c r="N50" s="96" t="s">
        <v>76</v>
      </c>
      <c r="O50" s="101">
        <f>VLOOKUP(Tabla15[[#This Row],[Matricula Antigua]],BAJA2022202320242025!$B$3:$CR$245,93,FALSE)</f>
        <v>44133</v>
      </c>
      <c r="P50" s="316">
        <v>45594</v>
      </c>
      <c r="Q50" s="317">
        <f>Tabla15[[#This Row],[F.Vig.Final]]-Tabla15[[#This Row],[f Vig Inicio]]</f>
        <v>1461</v>
      </c>
      <c r="R50" s="318">
        <f>YEAR(Tabla15[[#This Row],[F.Vig.Final]])</f>
        <v>2024</v>
      </c>
      <c r="S50" s="96" t="s">
        <v>77</v>
      </c>
      <c r="T50" s="96" t="s">
        <v>78</v>
      </c>
      <c r="U50" s="96" t="s">
        <v>213</v>
      </c>
      <c r="V50" s="96" t="s">
        <v>237</v>
      </c>
      <c r="W50" s="96" t="s">
        <v>119</v>
      </c>
      <c r="X50" s="332" t="s">
        <v>1674</v>
      </c>
      <c r="Y50" s="96" t="s">
        <v>258</v>
      </c>
      <c r="Z50" s="98">
        <f>COUNTIF($X$3:X50, X50)</f>
        <v>6</v>
      </c>
      <c r="AA50" s="337" t="s">
        <v>1661</v>
      </c>
      <c r="AB50" s="337" t="s">
        <v>1661</v>
      </c>
      <c r="AC50" s="337" t="s">
        <v>1662</v>
      </c>
      <c r="AD50" s="337" t="s">
        <v>1663</v>
      </c>
      <c r="AE50" s="342" t="s">
        <v>1664</v>
      </c>
      <c r="AF50" s="337" t="s">
        <v>1665</v>
      </c>
      <c r="AG50" s="337" t="s">
        <v>1666</v>
      </c>
      <c r="AH50" s="337" t="s">
        <v>1649</v>
      </c>
      <c r="AI50" s="337" t="s">
        <v>259</v>
      </c>
      <c r="AJ50" s="98" t="s">
        <v>140</v>
      </c>
      <c r="AK50" s="98" t="s">
        <v>151</v>
      </c>
      <c r="AL50" s="98" t="s">
        <v>87</v>
      </c>
      <c r="AM50" s="101" t="s">
        <v>260</v>
      </c>
      <c r="AN50" s="348" t="s">
        <v>89</v>
      </c>
      <c r="AO50" s="349">
        <v>45625</v>
      </c>
      <c r="AP50" s="98">
        <f>Tabla15[[#This Row],[Renov. Flota]]-Tabla15[[#This Row],[Año]]</f>
        <v>0</v>
      </c>
      <c r="AQ50" s="100" t="s">
        <v>119</v>
      </c>
      <c r="AR50" s="100" t="str">
        <f>VLOOKUP(Tabla15[[#This Row],[Matricula nueva]],'ALTA 20242025'!$B$2:$P$242,15,FALSE)</f>
        <v>4500424791</v>
      </c>
      <c r="AS50" s="101" t="s">
        <v>120</v>
      </c>
      <c r="AT50" s="101"/>
      <c r="AU50" s="101" t="s">
        <v>72</v>
      </c>
      <c r="AV50" s="101" t="s">
        <v>91</v>
      </c>
      <c r="AW50" s="101" t="str">
        <f>VLOOKUP(Tabla15[[#This Row],[Matricula nueva]],Hoja2!$A$1:$B$224,2,FALSE)</f>
        <v>VR7CBZYA0RT152183</v>
      </c>
      <c r="AX50" s="209">
        <f>IF(Tabla15[[#This Row],[Columna2]]="M1",5.1,"")</f>
        <v>5.0999999999999996</v>
      </c>
      <c r="AY50" s="208">
        <f>IF(T50="DIESEL",10,IF(T50="GLP",7.16,9.19))</f>
        <v>10</v>
      </c>
      <c r="AZ50" s="313">
        <v>16.399999999999999</v>
      </c>
      <c r="BA50" s="314">
        <f>IF(Tabla15[[#This Row],[Columna2]]="M1",13073,IF(Tabla15[[#This Row],[Columna2]]="N1",15815,IF(Tabla15[[#This Row],[Columna2]]="L3e",2831,53508)))</f>
        <v>13073</v>
      </c>
      <c r="BB50" s="350">
        <f>(Tabla15[[#This Row],[CVA]]*Tabla15[[#This Row],[F]]-Tabla15[[#This Row],[CVN]])/100*Tabla15[[#This Row],[L]]</f>
        <v>4523.2580000000007</v>
      </c>
      <c r="BC50" s="69" t="s">
        <v>70</v>
      </c>
      <c r="BD50" s="294">
        <f>VLOOKUP(B50,Tabla467824[[ID CAE2]:[AE '[kWh']]],6,FALSE)</f>
        <v>6795.3454000000002</v>
      </c>
      <c r="BE5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51" spans="1:57" ht="51.75" x14ac:dyDescent="0.25">
      <c r="A51" s="53" t="s">
        <v>263</v>
      </c>
      <c r="B51" s="53" t="s">
        <v>263</v>
      </c>
      <c r="C51" s="332" t="s">
        <v>264</v>
      </c>
      <c r="D51" s="104" t="s">
        <v>72</v>
      </c>
      <c r="E51" s="104"/>
      <c r="F51" s="104" t="s">
        <v>72</v>
      </c>
      <c r="G51" s="104"/>
      <c r="H51" s="104" t="s">
        <v>72</v>
      </c>
      <c r="I51" s="104" t="s">
        <v>72</v>
      </c>
      <c r="J51" s="104"/>
      <c r="K51" s="96" t="s">
        <v>73</v>
      </c>
      <c r="L51" s="96" t="s">
        <v>200</v>
      </c>
      <c r="M51" s="96" t="s">
        <v>201</v>
      </c>
      <c r="N51" s="96" t="s">
        <v>76</v>
      </c>
      <c r="O51" s="101">
        <f>VLOOKUP(Tabla15[[#This Row],[Matricula Antigua]],BAJA2022202320242025!$B$3:$CR$245,93,FALSE)</f>
        <v>44133</v>
      </c>
      <c r="P51" s="316">
        <v>45594</v>
      </c>
      <c r="Q51" s="317">
        <f>Tabla15[[#This Row],[F.Vig.Final]]-Tabla15[[#This Row],[f Vig Inicio]]</f>
        <v>1461</v>
      </c>
      <c r="R51" s="318">
        <f>YEAR(Tabla15[[#This Row],[F.Vig.Final]])</f>
        <v>2024</v>
      </c>
      <c r="S51" s="96" t="s">
        <v>77</v>
      </c>
      <c r="T51" s="96" t="s">
        <v>78</v>
      </c>
      <c r="U51" s="96" t="s">
        <v>213</v>
      </c>
      <c r="V51" s="96" t="s">
        <v>237</v>
      </c>
      <c r="W51" s="96" t="s">
        <v>119</v>
      </c>
      <c r="X51" s="332" t="s">
        <v>1674</v>
      </c>
      <c r="Y51" s="96" t="s">
        <v>265</v>
      </c>
      <c r="Z51" s="98">
        <f>COUNTIF($X$3:X51, X51)</f>
        <v>7</v>
      </c>
      <c r="AA51" s="337" t="s">
        <v>1661</v>
      </c>
      <c r="AB51" s="337" t="s">
        <v>1661</v>
      </c>
      <c r="AC51" s="337" t="s">
        <v>1662</v>
      </c>
      <c r="AD51" s="337" t="s">
        <v>1663</v>
      </c>
      <c r="AE51" s="342" t="s">
        <v>1664</v>
      </c>
      <c r="AF51" s="337" t="s">
        <v>1665</v>
      </c>
      <c r="AG51" s="337" t="s">
        <v>1666</v>
      </c>
      <c r="AH51" s="337" t="s">
        <v>1649</v>
      </c>
      <c r="AI51" s="337" t="s">
        <v>266</v>
      </c>
      <c r="AJ51" s="98" t="s">
        <v>140</v>
      </c>
      <c r="AK51" s="98" t="s">
        <v>151</v>
      </c>
      <c r="AL51" s="98" t="s">
        <v>87</v>
      </c>
      <c r="AM51" s="101" t="s">
        <v>267</v>
      </c>
      <c r="AN51" s="348" t="s">
        <v>89</v>
      </c>
      <c r="AO51" s="349">
        <v>45625</v>
      </c>
      <c r="AP51" s="98">
        <f>Tabla15[[#This Row],[Renov. Flota]]-Tabla15[[#This Row],[Año]]</f>
        <v>0</v>
      </c>
      <c r="AQ51" s="100" t="s">
        <v>119</v>
      </c>
      <c r="AR51" s="100" t="str">
        <f>VLOOKUP(Tabla15[[#This Row],[Matricula nueva]],'ALTA 20242025'!$B$2:$P$242,15,FALSE)</f>
        <v>4500424792</v>
      </c>
      <c r="AS51" s="101" t="s">
        <v>120</v>
      </c>
      <c r="AT51" s="101"/>
      <c r="AU51" s="101" t="s">
        <v>72</v>
      </c>
      <c r="AV51" s="101" t="s">
        <v>91</v>
      </c>
      <c r="AW51" s="101" t="str">
        <f>VLOOKUP(Tabla15[[#This Row],[Matricula nueva]],Hoja2!$A$1:$B$224,2,FALSE)</f>
        <v>VR7CBZYA9RT152182</v>
      </c>
      <c r="AX51" s="209">
        <f>IF(Tabla15[[#This Row],[Columna2]]="M1",5.1,"")</f>
        <v>5.0999999999999996</v>
      </c>
      <c r="AY51" s="208">
        <f>IF(T51="DIESEL",10,IF(T51="GLP",7.16,9.19))</f>
        <v>10</v>
      </c>
      <c r="AZ51" s="313">
        <v>16.399999999999999</v>
      </c>
      <c r="BA51" s="314">
        <f>IF(Tabla15[[#This Row],[Columna2]]="M1",13073,IF(Tabla15[[#This Row],[Columna2]]="N1",15815,IF(Tabla15[[#This Row],[Columna2]]="L3e",2831,53508)))</f>
        <v>13073</v>
      </c>
      <c r="BB51" s="350">
        <f>(Tabla15[[#This Row],[CVA]]*Tabla15[[#This Row],[F]]-Tabla15[[#This Row],[CVN]])/100*Tabla15[[#This Row],[L]]</f>
        <v>4523.2580000000007</v>
      </c>
      <c r="BC51" s="74" t="s">
        <v>70</v>
      </c>
      <c r="BD51" s="294">
        <f>VLOOKUP(B51,Tabla467824[[ID CAE2]:[AE '[kWh']]],6,FALSE)</f>
        <v>6795.3454000000002</v>
      </c>
      <c r="BE5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52" spans="1:57" ht="51.75" x14ac:dyDescent="0.25">
      <c r="A52" s="53" t="s">
        <v>270</v>
      </c>
      <c r="B52" s="53" t="s">
        <v>270</v>
      </c>
      <c r="C52" s="332" t="s">
        <v>271</v>
      </c>
      <c r="D52" s="104" t="s">
        <v>72</v>
      </c>
      <c r="E52" s="104"/>
      <c r="F52" s="104" t="s">
        <v>72</v>
      </c>
      <c r="G52" s="104"/>
      <c r="H52" s="104" t="s">
        <v>72</v>
      </c>
      <c r="I52" s="104" t="s">
        <v>72</v>
      </c>
      <c r="J52" s="104"/>
      <c r="K52" s="96" t="s">
        <v>73</v>
      </c>
      <c r="L52" s="96" t="s">
        <v>200</v>
      </c>
      <c r="M52" s="96" t="s">
        <v>201</v>
      </c>
      <c r="N52" s="96" t="s">
        <v>76</v>
      </c>
      <c r="O52" s="101">
        <f>VLOOKUP(Tabla15[[#This Row],[Matricula Antigua]],BAJA2022202320242025!$B$3:$CR$245,93,FALSE)</f>
        <v>44134</v>
      </c>
      <c r="P52" s="316">
        <v>45595</v>
      </c>
      <c r="Q52" s="317">
        <f>Tabla15[[#This Row],[F.Vig.Final]]-Tabla15[[#This Row],[f Vig Inicio]]</f>
        <v>1461</v>
      </c>
      <c r="R52" s="318">
        <f>YEAR(Tabla15[[#This Row],[F.Vig.Final]])</f>
        <v>2024</v>
      </c>
      <c r="S52" s="96" t="s">
        <v>77</v>
      </c>
      <c r="T52" s="96" t="s">
        <v>78</v>
      </c>
      <c r="U52" s="96" t="s">
        <v>213</v>
      </c>
      <c r="V52" s="96" t="s">
        <v>237</v>
      </c>
      <c r="W52" s="96" t="s">
        <v>81</v>
      </c>
      <c r="X52" s="332" t="s">
        <v>82</v>
      </c>
      <c r="Y52" s="96" t="s">
        <v>164</v>
      </c>
      <c r="Z52" s="98">
        <f>COUNTIF($X$3:X52, X52)</f>
        <v>8</v>
      </c>
      <c r="AA52" s="337" t="s">
        <v>1661</v>
      </c>
      <c r="AB52" s="337" t="s">
        <v>1661</v>
      </c>
      <c r="AC52" s="337" t="s">
        <v>1662</v>
      </c>
      <c r="AD52" s="337" t="s">
        <v>1663</v>
      </c>
      <c r="AE52" s="342" t="s">
        <v>1664</v>
      </c>
      <c r="AF52" s="337" t="s">
        <v>1665</v>
      </c>
      <c r="AG52" s="337" t="s">
        <v>1666</v>
      </c>
      <c r="AH52" s="337" t="s">
        <v>1649</v>
      </c>
      <c r="AI52" s="337" t="s">
        <v>272</v>
      </c>
      <c r="AJ52" s="98" t="s">
        <v>140</v>
      </c>
      <c r="AK52" s="98" t="s">
        <v>151</v>
      </c>
      <c r="AL52" s="98" t="s">
        <v>87</v>
      </c>
      <c r="AM52" s="101" t="s">
        <v>164</v>
      </c>
      <c r="AN52" s="348" t="s">
        <v>89</v>
      </c>
      <c r="AO52" s="349">
        <v>45625</v>
      </c>
      <c r="AP52" s="98">
        <f>Tabla15[[#This Row],[Renov. Flota]]-Tabla15[[#This Row],[Año]]</f>
        <v>0</v>
      </c>
      <c r="AQ52" s="100" t="s">
        <v>81</v>
      </c>
      <c r="AR52" s="100" t="str">
        <f>VLOOKUP(Tabla15[[#This Row],[Matricula nueva]],'ALTA 20242025'!$B$2:$P$242,15,FALSE)</f>
        <v>4500424794</v>
      </c>
      <c r="AS52" s="101" t="s">
        <v>82</v>
      </c>
      <c r="AT52" s="101"/>
      <c r="AU52" s="101" t="s">
        <v>72</v>
      </c>
      <c r="AV52" s="101" t="s">
        <v>91</v>
      </c>
      <c r="AW52" s="101" t="str">
        <f>VLOOKUP(Tabla15[[#This Row],[Matricula nueva]],Hoja2!$A$1:$B$224,2,FALSE)</f>
        <v>VR7CBZYA5RT154429</v>
      </c>
      <c r="AX52" s="209">
        <f>IF(Tabla15[[#This Row],[Columna2]]="M1",5.1,"")</f>
        <v>5.0999999999999996</v>
      </c>
      <c r="AY52" s="208">
        <f>IF(T52="DIESEL",10,IF(T52="GLP",7.16,9.19))</f>
        <v>10</v>
      </c>
      <c r="AZ52" s="313">
        <v>16.399999999999999</v>
      </c>
      <c r="BA52" s="314">
        <f>IF(Tabla15[[#This Row],[Columna2]]="M1",13073,IF(Tabla15[[#This Row],[Columna2]]="N1",15815,IF(Tabla15[[#This Row],[Columna2]]="L3e",2831,53508)))</f>
        <v>13073</v>
      </c>
      <c r="BB52" s="350">
        <f>(Tabla15[[#This Row],[CVA]]*Tabla15[[#This Row],[F]]-Tabla15[[#This Row],[CVN]])/100*Tabla15[[#This Row],[L]]</f>
        <v>4523.2580000000007</v>
      </c>
      <c r="BC52" s="74" t="s">
        <v>70</v>
      </c>
      <c r="BD52" s="294">
        <f>VLOOKUP(B52,Tabla467824[[ID CAE2]:[AE '[kWh']]],6,FALSE)</f>
        <v>6795.3454000000002</v>
      </c>
      <c r="BE5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53" spans="1:57" ht="52.5" thickBot="1" x14ac:dyDescent="0.3">
      <c r="A53" s="53" t="s">
        <v>275</v>
      </c>
      <c r="B53" s="53" t="s">
        <v>275</v>
      </c>
      <c r="C53" s="332" t="s">
        <v>276</v>
      </c>
      <c r="D53" s="104" t="s">
        <v>72</v>
      </c>
      <c r="E53" s="104"/>
      <c r="F53" s="104" t="s">
        <v>72</v>
      </c>
      <c r="G53" s="104"/>
      <c r="H53" s="104" t="s">
        <v>72</v>
      </c>
      <c r="I53" s="104" t="s">
        <v>72</v>
      </c>
      <c r="J53" s="104"/>
      <c r="K53" s="96" t="s">
        <v>73</v>
      </c>
      <c r="L53" s="96" t="s">
        <v>200</v>
      </c>
      <c r="M53" s="96" t="s">
        <v>201</v>
      </c>
      <c r="N53" s="96" t="s">
        <v>76</v>
      </c>
      <c r="O53" s="101">
        <f>VLOOKUP(Tabla15[[#This Row],[Matricula Antigua]],BAJA2022202320242025!$B$3:$CR$245,93,FALSE)</f>
        <v>44166</v>
      </c>
      <c r="P53" s="316">
        <v>45627</v>
      </c>
      <c r="Q53" s="317">
        <f>Tabla15[[#This Row],[F.Vig.Final]]-Tabla15[[#This Row],[f Vig Inicio]]</f>
        <v>1461</v>
      </c>
      <c r="R53" s="318">
        <f>YEAR(Tabla15[[#This Row],[F.Vig.Final]])</f>
        <v>2024</v>
      </c>
      <c r="S53" s="96" t="s">
        <v>77</v>
      </c>
      <c r="T53" s="96" t="s">
        <v>78</v>
      </c>
      <c r="U53" s="96" t="s">
        <v>213</v>
      </c>
      <c r="V53" s="96" t="s">
        <v>237</v>
      </c>
      <c r="W53" s="96" t="s">
        <v>204</v>
      </c>
      <c r="X53" s="332" t="s">
        <v>205</v>
      </c>
      <c r="Y53" s="96" t="s">
        <v>230</v>
      </c>
      <c r="Z53" s="98">
        <f>COUNTIF($X$3:X53, X53)</f>
        <v>4</v>
      </c>
      <c r="AA53" s="337" t="s">
        <v>1661</v>
      </c>
      <c r="AB53" s="337" t="s">
        <v>1661</v>
      </c>
      <c r="AC53" s="337" t="s">
        <v>1662</v>
      </c>
      <c r="AD53" s="337" t="s">
        <v>1679</v>
      </c>
      <c r="AE53" s="351" t="s">
        <v>1664</v>
      </c>
      <c r="AF53" s="337" t="s">
        <v>1680</v>
      </c>
      <c r="AG53" s="337" t="s">
        <v>1681</v>
      </c>
      <c r="AH53" s="337" t="s">
        <v>1649</v>
      </c>
      <c r="AI53" s="337" t="s">
        <v>277</v>
      </c>
      <c r="AJ53" s="98" t="s">
        <v>140</v>
      </c>
      <c r="AK53" s="98" t="s">
        <v>151</v>
      </c>
      <c r="AL53" s="98" t="s">
        <v>87</v>
      </c>
      <c r="AM53" s="101" t="s">
        <v>278</v>
      </c>
      <c r="AN53" s="348" t="s">
        <v>89</v>
      </c>
      <c r="AO53" s="349">
        <v>45638</v>
      </c>
      <c r="AP53" s="98">
        <f>Tabla15[[#This Row],[Renov. Flota]]-Tabla15[[#This Row],[Año]]</f>
        <v>0</v>
      </c>
      <c r="AQ53" s="100" t="s">
        <v>204</v>
      </c>
      <c r="AR53" s="100" t="str">
        <f>VLOOKUP(Tabla15[[#This Row],[Matricula nueva]],'ALTA 20242025'!$B$2:$P$242,15,FALSE)</f>
        <v>4500424898</v>
      </c>
      <c r="AS53" s="101" t="s">
        <v>205</v>
      </c>
      <c r="AT53" s="101"/>
      <c r="AU53" s="101" t="s">
        <v>72</v>
      </c>
      <c r="AV53" s="101" t="s">
        <v>91</v>
      </c>
      <c r="AW53" s="101" t="str">
        <f>VLOOKUP(Tabla15[[#This Row],[Matricula nueva]],Hoja2!$A$1:$B$224,2,FALSE)</f>
        <v>VR7CBZYA1RT153035</v>
      </c>
      <c r="AX53" s="209">
        <f>IF(Tabla15[[#This Row],[Columna2]]="M1",5.1,"")</f>
        <v>5.0999999999999996</v>
      </c>
      <c r="AY53" s="208">
        <f>IF(T53="DIESEL",10,IF(T53="GLP",7.16,9.19))</f>
        <v>10</v>
      </c>
      <c r="AZ53" s="313">
        <v>16.399999999999999</v>
      </c>
      <c r="BA53" s="314">
        <f>IF(Tabla15[[#This Row],[Columna2]]="M1",13073,IF(Tabla15[[#This Row],[Columna2]]="N1",15815,IF(Tabla15[[#This Row],[Columna2]]="L3e",2831,53508)))</f>
        <v>13073</v>
      </c>
      <c r="BB53" s="350">
        <f>(Tabla15[[#This Row],[CVA]]*Tabla15[[#This Row],[F]]-Tabla15[[#This Row],[CVN]])/100*Tabla15[[#This Row],[L]]</f>
        <v>4523.2580000000007</v>
      </c>
      <c r="BC53" s="79" t="s">
        <v>70</v>
      </c>
      <c r="BD53" s="294">
        <f>VLOOKUP(B53,Tabla467824[[ID CAE2]:[AE '[kWh']]],6,FALSE)</f>
        <v>6795.3454000000002</v>
      </c>
      <c r="BE5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54" spans="1:57" ht="15.75" hidden="1" thickBot="1" x14ac:dyDescent="0.3">
      <c r="A54" s="53" t="s">
        <v>1218</v>
      </c>
      <c r="B54" s="53" t="e">
        <v>#N/A</v>
      </c>
      <c r="C54" s="96" t="s">
        <v>1219</v>
      </c>
      <c r="D54" s="96"/>
      <c r="E54" s="96"/>
      <c r="F54" s="96"/>
      <c r="G54" s="96"/>
      <c r="H54" s="96"/>
      <c r="I54" s="96"/>
      <c r="J54" s="96"/>
      <c r="K54" s="96" t="s">
        <v>1143</v>
      </c>
      <c r="L54" s="96" t="s">
        <v>74</v>
      </c>
      <c r="M54" s="96" t="s">
        <v>75</v>
      </c>
      <c r="N54" s="96" t="s">
        <v>76</v>
      </c>
      <c r="O54" s="101">
        <f>VLOOKUP(Tabla15[[#This Row],[Matricula Antigua]],BAJA2022202320242025!$B$3:$CR$245,93,FALSE)</f>
        <v>44664</v>
      </c>
      <c r="P54" s="99">
        <v>45260</v>
      </c>
      <c r="Q54" s="98">
        <f>Tabla15[[#This Row],[F.Vig.Final]]-Tabla15[[#This Row],[f Vig Inicio]]</f>
        <v>596</v>
      </c>
      <c r="R54" s="99">
        <f>YEAR(Tabla15[[#This Row],[F.Vig.Final]])</f>
        <v>2023</v>
      </c>
      <c r="S54" s="96" t="s">
        <v>77</v>
      </c>
      <c r="T54" s="96" t="s">
        <v>78</v>
      </c>
      <c r="U54" s="96" t="s">
        <v>1203</v>
      </c>
      <c r="V54" s="96" t="s">
        <v>1049</v>
      </c>
      <c r="W54" s="96" t="s">
        <v>1050</v>
      </c>
      <c r="X54" s="96" t="s">
        <v>1051</v>
      </c>
      <c r="Y54" s="96" t="s">
        <v>1220</v>
      </c>
      <c r="Z54" s="98">
        <f>COUNTIF($X$3:X54, X54)</f>
        <v>3</v>
      </c>
      <c r="AA54" s="98"/>
      <c r="AB54" s="98"/>
      <c r="AC54" s="98"/>
      <c r="AD54" s="98"/>
      <c r="AE54" s="98"/>
      <c r="AF54" s="98"/>
      <c r="AG54" s="98"/>
      <c r="AH54" s="98"/>
      <c r="AI54" s="98" t="e">
        <v>#N/A</v>
      </c>
      <c r="AJ54" s="98" t="e">
        <v>#N/A</v>
      </c>
      <c r="AK54" s="98" t="e">
        <v>#N/A</v>
      </c>
      <c r="AL54" s="98" t="e">
        <v>#N/A</v>
      </c>
      <c r="AM54" s="98" t="e">
        <v>#N/A</v>
      </c>
      <c r="AN54" s="99" t="e">
        <v>#N/A</v>
      </c>
      <c r="AO54" s="99" t="e">
        <v>#N/A</v>
      </c>
      <c r="AP54" s="99" t="e">
        <f>Tabla15[[#This Row],[Renov. Flota]]-Tabla15[[#This Row],[Año]]</f>
        <v>#N/A</v>
      </c>
      <c r="AQ54" s="100" t="e">
        <v>#N/A</v>
      </c>
      <c r="AR54" s="100" t="e">
        <f>VLOOKUP(Tabla15[[#This Row],[Matricula nueva]],'ALTA 20242025'!$B$2:$P$242,15,FALSE)</f>
        <v>#N/A</v>
      </c>
      <c r="AS54" s="101" t="e">
        <v>#N/A</v>
      </c>
      <c r="AT54" s="101"/>
      <c r="AU54" s="101"/>
      <c r="AV54" s="101"/>
      <c r="AW54" s="101" t="e">
        <f>VLOOKUP(Tabla15[[#This Row],[Matricula nueva]],Hoja2!$A$1:$B$224,2,FALSE)</f>
        <v>#N/A</v>
      </c>
      <c r="AX54" s="101" t="str">
        <f>IF(Tabla15[[#This Row],[Columna2]]="M1",5.1,"")</f>
        <v/>
      </c>
      <c r="AY54" s="101"/>
      <c r="AZ54" s="101"/>
      <c r="BA54" s="311">
        <f>IF(Tabla15[[#This Row],[Columna2]]="M1",13073,IF(Tabla15[[#This Row],[Columna2]]="N1",15815,IF(Tabla15[[#This Row],[Columna2]]="L3e",2831,53508)))</f>
        <v>53508</v>
      </c>
      <c r="BB54" s="311" t="e">
        <f>(Tabla15[[#This Row],[CVA]]*Tabla15[[#This Row],[F]]-Tabla15[[#This Row],[CVN]])/100*Tabla15[[#This Row],[L]]</f>
        <v>#VALUE!</v>
      </c>
      <c r="BC54" s="1"/>
      <c r="BD54" s="1" t="e">
        <f>VLOOKUP(B54,Tabla467824[[ID CAE2]:[AE '[kWh']]],6,FALSE)</f>
        <v>#N/A</v>
      </c>
      <c r="BE5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55" spans="1:57" ht="15.75" hidden="1" thickBot="1" x14ac:dyDescent="0.3">
      <c r="A55" s="53" t="s">
        <v>1221</v>
      </c>
      <c r="B55" s="53" t="e">
        <v>#N/A</v>
      </c>
      <c r="C55" s="96" t="s">
        <v>1222</v>
      </c>
      <c r="D55" s="96"/>
      <c r="E55" s="96"/>
      <c r="F55" s="96"/>
      <c r="G55" s="96"/>
      <c r="H55" s="96"/>
      <c r="I55" s="96"/>
      <c r="J55" s="96"/>
      <c r="K55" s="96" t="s">
        <v>158</v>
      </c>
      <c r="L55" s="96" t="s">
        <v>159</v>
      </c>
      <c r="M55" s="96" t="s">
        <v>158</v>
      </c>
      <c r="N55" s="96" t="s">
        <v>171</v>
      </c>
      <c r="O55" s="101">
        <f>VLOOKUP(Tabla15[[#This Row],[Matricula Antigua]],BAJA2022202320242025!$B$3:$CR$245,93,FALSE)</f>
        <v>40038</v>
      </c>
      <c r="P55" s="99">
        <v>45090</v>
      </c>
      <c r="Q55" s="98">
        <f>Tabla15[[#This Row],[F.Vig.Final]]-Tabla15[[#This Row],[f Vig Inicio]]</f>
        <v>5052</v>
      </c>
      <c r="R55" s="99">
        <f>YEAR(Tabla15[[#This Row],[F.Vig.Final]])</f>
        <v>2023</v>
      </c>
      <c r="S55" s="96" t="s">
        <v>172</v>
      </c>
      <c r="T55" s="96" t="s">
        <v>78</v>
      </c>
      <c r="U55" s="96" t="s">
        <v>1203</v>
      </c>
      <c r="V55" s="96" t="s">
        <v>1049</v>
      </c>
      <c r="W55" s="96" t="s">
        <v>1050</v>
      </c>
      <c r="X55" s="96" t="s">
        <v>1051</v>
      </c>
      <c r="Y55" s="96" t="s">
        <v>1145</v>
      </c>
      <c r="Z55" s="98">
        <f>COUNTIF($X$3:X55, X55)</f>
        <v>4</v>
      </c>
      <c r="AA55" s="98"/>
      <c r="AB55" s="98"/>
      <c r="AC55" s="98"/>
      <c r="AD55" s="98"/>
      <c r="AE55" s="320"/>
      <c r="AF55" s="98"/>
      <c r="AG55" s="98"/>
      <c r="AH55" s="98"/>
      <c r="AI55" s="98" t="e">
        <v>#N/A</v>
      </c>
      <c r="AJ55" s="98" t="e">
        <v>#N/A</v>
      </c>
      <c r="AK55" s="98" t="e">
        <v>#N/A</v>
      </c>
      <c r="AL55" s="98" t="e">
        <v>#N/A</v>
      </c>
      <c r="AM55" s="98" t="e">
        <v>#N/A</v>
      </c>
      <c r="AN55" s="99" t="e">
        <v>#N/A</v>
      </c>
      <c r="AO55" s="99" t="e">
        <v>#N/A</v>
      </c>
      <c r="AP55" s="99" t="e">
        <f>Tabla15[[#This Row],[Renov. Flota]]-Tabla15[[#This Row],[Año]]</f>
        <v>#N/A</v>
      </c>
      <c r="AQ55" s="100" t="e">
        <v>#N/A</v>
      </c>
      <c r="AR55" s="100" t="e">
        <f>VLOOKUP(Tabla15[[#This Row],[Matricula nueva]],'ALTA 20242025'!$B$2:$P$242,15,FALSE)</f>
        <v>#N/A</v>
      </c>
      <c r="AS55" s="101" t="e">
        <v>#N/A</v>
      </c>
      <c r="AT55" s="101"/>
      <c r="AU55" s="101"/>
      <c r="AV55" s="101"/>
      <c r="AW55" s="101" t="e">
        <f>VLOOKUP(Tabla15[[#This Row],[Matricula nueva]],Hoja2!$A$1:$B$224,2,FALSE)</f>
        <v>#N/A</v>
      </c>
      <c r="AX55" s="101" t="str">
        <f>IF(Tabla15[[#This Row],[Columna2]]="M1",5.1,"")</f>
        <v/>
      </c>
      <c r="AY55" s="101"/>
      <c r="AZ55" s="101"/>
      <c r="BA55" s="311">
        <f>IF(Tabla15[[#This Row],[Columna2]]="M1",13073,IF(Tabla15[[#This Row],[Columna2]]="N1",15815,IF(Tabla15[[#This Row],[Columna2]]="L3e",2831,53508)))</f>
        <v>53508</v>
      </c>
      <c r="BB55" s="311" t="e">
        <f>(Tabla15[[#This Row],[CVA]]*Tabla15[[#This Row],[F]]-Tabla15[[#This Row],[CVN]])/100*Tabla15[[#This Row],[L]]</f>
        <v>#VALUE!</v>
      </c>
      <c r="BC55" s="1"/>
      <c r="BD55" s="1" t="e">
        <f>VLOOKUP(B55,Tabla467824[[ID CAE2]:[AE '[kWh']]],6,FALSE)</f>
        <v>#N/A</v>
      </c>
      <c r="BE5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56" spans="1:57" ht="51.75" x14ac:dyDescent="0.25">
      <c r="A56" s="53" t="s">
        <v>281</v>
      </c>
      <c r="B56" s="53" t="s">
        <v>281</v>
      </c>
      <c r="C56" s="332" t="s">
        <v>282</v>
      </c>
      <c r="D56" s="104" t="s">
        <v>72</v>
      </c>
      <c r="E56" s="104"/>
      <c r="F56" s="104" t="s">
        <v>72</v>
      </c>
      <c r="G56" s="104"/>
      <c r="H56" s="104" t="s">
        <v>72</v>
      </c>
      <c r="I56" s="104" t="s">
        <v>72</v>
      </c>
      <c r="J56" s="104"/>
      <c r="K56" s="96" t="s">
        <v>73</v>
      </c>
      <c r="L56" s="96" t="s">
        <v>200</v>
      </c>
      <c r="M56" s="96" t="s">
        <v>201</v>
      </c>
      <c r="N56" s="96" t="s">
        <v>76</v>
      </c>
      <c r="O56" s="101">
        <f>VLOOKUP(Tabla15[[#This Row],[Matricula Antigua]],BAJA2022202320242025!$B$3:$CR$245,93,FALSE)</f>
        <v>44166</v>
      </c>
      <c r="P56" s="316">
        <v>45627</v>
      </c>
      <c r="Q56" s="317">
        <f>Tabla15[[#This Row],[F.Vig.Final]]-Tabla15[[#This Row],[f Vig Inicio]]</f>
        <v>1461</v>
      </c>
      <c r="R56" s="318">
        <f>YEAR(Tabla15[[#This Row],[F.Vig.Final]])</f>
        <v>2024</v>
      </c>
      <c r="S56" s="96" t="s">
        <v>77</v>
      </c>
      <c r="T56" s="96" t="s">
        <v>78</v>
      </c>
      <c r="U56" s="96" t="s">
        <v>213</v>
      </c>
      <c r="V56" s="96" t="s">
        <v>237</v>
      </c>
      <c r="W56" s="96" t="s">
        <v>81</v>
      </c>
      <c r="X56" s="332" t="s">
        <v>82</v>
      </c>
      <c r="Y56" s="96" t="s">
        <v>88</v>
      </c>
      <c r="Z56" s="98">
        <f>COUNTIF($X$3:X56, X56)</f>
        <v>9</v>
      </c>
      <c r="AA56" s="337" t="s">
        <v>1661</v>
      </c>
      <c r="AB56" s="337" t="s">
        <v>1661</v>
      </c>
      <c r="AC56" s="337" t="s">
        <v>1662</v>
      </c>
      <c r="AD56" s="337" t="s">
        <v>1663</v>
      </c>
      <c r="AE56" s="342" t="s">
        <v>1664</v>
      </c>
      <c r="AF56" s="337" t="s">
        <v>1665</v>
      </c>
      <c r="AG56" s="337" t="s">
        <v>1666</v>
      </c>
      <c r="AH56" s="337" t="s">
        <v>1649</v>
      </c>
      <c r="AI56" s="337" t="s">
        <v>283</v>
      </c>
      <c r="AJ56" s="98" t="s">
        <v>140</v>
      </c>
      <c r="AK56" s="98" t="s">
        <v>151</v>
      </c>
      <c r="AL56" s="98" t="s">
        <v>87</v>
      </c>
      <c r="AM56" s="101" t="s">
        <v>88</v>
      </c>
      <c r="AN56" s="348" t="s">
        <v>89</v>
      </c>
      <c r="AO56" s="349">
        <v>45625</v>
      </c>
      <c r="AP56" s="98">
        <f>Tabla15[[#This Row],[Renov. Flota]]-Tabla15[[#This Row],[Año]]</f>
        <v>0</v>
      </c>
      <c r="AQ56" s="100" t="s">
        <v>81</v>
      </c>
      <c r="AR56" s="100" t="str">
        <f>VLOOKUP(Tabla15[[#This Row],[Matricula nueva]],'ALTA 20242025'!$B$2:$P$242,15,FALSE)</f>
        <v>4500424809</v>
      </c>
      <c r="AS56" s="101" t="s">
        <v>82</v>
      </c>
      <c r="AT56" s="101"/>
      <c r="AU56" s="101" t="s">
        <v>72</v>
      </c>
      <c r="AV56" s="101" t="s">
        <v>91</v>
      </c>
      <c r="AW56" s="101" t="str">
        <f>VLOOKUP(Tabla15[[#This Row],[Matricula nueva]],Hoja2!$A$1:$B$224,2,FALSE)</f>
        <v>VR7CBZYA2RT152198</v>
      </c>
      <c r="AX56" s="209">
        <f>IF(Tabla15[[#This Row],[Columna2]]="M1",5.1,"")</f>
        <v>5.0999999999999996</v>
      </c>
      <c r="AY56" s="208">
        <f>IF(T56="DIESEL",10,IF(T56="GLP",7.16,9.19))</f>
        <v>10</v>
      </c>
      <c r="AZ56" s="313">
        <v>16.399999999999999</v>
      </c>
      <c r="BA56" s="314">
        <f>IF(Tabla15[[#This Row],[Columna2]]="M1",13073,IF(Tabla15[[#This Row],[Columna2]]="N1",15815,IF(Tabla15[[#This Row],[Columna2]]="L3e",2831,53508)))</f>
        <v>13073</v>
      </c>
      <c r="BB56" s="350">
        <f>(Tabla15[[#This Row],[CVA]]*Tabla15[[#This Row],[F]]-Tabla15[[#This Row],[CVN]])/100*Tabla15[[#This Row],[L]]</f>
        <v>4523.2580000000007</v>
      </c>
      <c r="BC56" s="69" t="s">
        <v>70</v>
      </c>
      <c r="BD56" s="294">
        <f>VLOOKUP(B56,Tabla467824[[ID CAE2]:[AE '[kWh']]],6,FALSE)</f>
        <v>6795.3454000000002</v>
      </c>
      <c r="BE5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57" spans="1:57" ht="52.5" thickBot="1" x14ac:dyDescent="0.3">
      <c r="A57" s="53" t="s">
        <v>286</v>
      </c>
      <c r="B57" s="53" t="s">
        <v>286</v>
      </c>
      <c r="C57" s="332" t="s">
        <v>287</v>
      </c>
      <c r="D57" s="104" t="s">
        <v>72</v>
      </c>
      <c r="E57" s="104"/>
      <c r="F57" s="104" t="s">
        <v>72</v>
      </c>
      <c r="G57" s="104"/>
      <c r="H57" s="104" t="s">
        <v>72</v>
      </c>
      <c r="I57" s="104" t="s">
        <v>72</v>
      </c>
      <c r="J57" s="104"/>
      <c r="K57" s="96" t="s">
        <v>73</v>
      </c>
      <c r="L57" s="96" t="s">
        <v>200</v>
      </c>
      <c r="M57" s="96" t="s">
        <v>201</v>
      </c>
      <c r="N57" s="96" t="s">
        <v>76</v>
      </c>
      <c r="O57" s="101">
        <f>VLOOKUP(Tabla15[[#This Row],[Matricula Antigua]],BAJA2022202320242025!$B$3:$CR$245,93,FALSE)</f>
        <v>44166</v>
      </c>
      <c r="P57" s="316">
        <v>45627</v>
      </c>
      <c r="Q57" s="317">
        <f>Tabla15[[#This Row],[F.Vig.Final]]-Tabla15[[#This Row],[f Vig Inicio]]</f>
        <v>1461</v>
      </c>
      <c r="R57" s="318">
        <f>YEAR(Tabla15[[#This Row],[F.Vig.Final]])</f>
        <v>2024</v>
      </c>
      <c r="S57" s="96" t="s">
        <v>77</v>
      </c>
      <c r="T57" s="96" t="s">
        <v>78</v>
      </c>
      <c r="U57" s="96" t="s">
        <v>213</v>
      </c>
      <c r="V57" s="96" t="s">
        <v>237</v>
      </c>
      <c r="W57" s="96" t="s">
        <v>204</v>
      </c>
      <c r="X57" s="332" t="s">
        <v>205</v>
      </c>
      <c r="Y57" s="96" t="s">
        <v>230</v>
      </c>
      <c r="Z57" s="98">
        <f>COUNTIF($X$3:X57, X57)</f>
        <v>5</v>
      </c>
      <c r="AA57" s="337" t="s">
        <v>1661</v>
      </c>
      <c r="AB57" s="337" t="s">
        <v>1661</v>
      </c>
      <c r="AC57" s="337" t="s">
        <v>1662</v>
      </c>
      <c r="AD57" s="337" t="s">
        <v>1679</v>
      </c>
      <c r="AE57" s="351" t="s">
        <v>1664</v>
      </c>
      <c r="AF57" s="337" t="s">
        <v>1680</v>
      </c>
      <c r="AG57" s="337" t="s">
        <v>1681</v>
      </c>
      <c r="AH57" s="337" t="s">
        <v>1649</v>
      </c>
      <c r="AI57" s="337" t="s">
        <v>288</v>
      </c>
      <c r="AJ57" s="98" t="s">
        <v>140</v>
      </c>
      <c r="AK57" s="98" t="s">
        <v>151</v>
      </c>
      <c r="AL57" s="98" t="s">
        <v>87</v>
      </c>
      <c r="AM57" s="101" t="s">
        <v>289</v>
      </c>
      <c r="AN57" s="348" t="s">
        <v>89</v>
      </c>
      <c r="AO57" s="349">
        <v>45638</v>
      </c>
      <c r="AP57" s="98">
        <f>Tabla15[[#This Row],[Renov. Flota]]-Tabla15[[#This Row],[Año]]</f>
        <v>0</v>
      </c>
      <c r="AQ57" s="100" t="s">
        <v>204</v>
      </c>
      <c r="AR57" s="100" t="str">
        <f>VLOOKUP(Tabla15[[#This Row],[Matricula nueva]],'ALTA 20242025'!$B$2:$P$242,15,FALSE)</f>
        <v>4500424889</v>
      </c>
      <c r="AS57" s="101" t="s">
        <v>205</v>
      </c>
      <c r="AT57" s="101"/>
      <c r="AU57" s="101" t="s">
        <v>72</v>
      </c>
      <c r="AV57" s="101" t="s">
        <v>91</v>
      </c>
      <c r="AW57" s="101" t="str">
        <f>VLOOKUP(Tabla15[[#This Row],[Matricula nueva]],Hoja2!$A$1:$B$224,2,FALSE)</f>
        <v>VR7CBZYA7RT154433</v>
      </c>
      <c r="AX57" s="209">
        <f>IF(Tabla15[[#This Row],[Columna2]]="M1",5.1,"")</f>
        <v>5.0999999999999996</v>
      </c>
      <c r="AY57" s="208">
        <f>IF(T57="DIESEL",10,IF(T57="GLP",7.16,9.19))</f>
        <v>10</v>
      </c>
      <c r="AZ57" s="313">
        <v>16.399999999999999</v>
      </c>
      <c r="BA57" s="314">
        <f>IF(Tabla15[[#This Row],[Columna2]]="M1",13073,IF(Tabla15[[#This Row],[Columna2]]="N1",15815,IF(Tabla15[[#This Row],[Columna2]]="L3e",2831,53508)))</f>
        <v>13073</v>
      </c>
      <c r="BB57" s="350">
        <f>(Tabla15[[#This Row],[CVA]]*Tabla15[[#This Row],[F]]-Tabla15[[#This Row],[CVN]])/100*Tabla15[[#This Row],[L]]</f>
        <v>4523.2580000000007</v>
      </c>
      <c r="BC57" s="79" t="s">
        <v>70</v>
      </c>
      <c r="BD57" s="294">
        <f>VLOOKUP(B57,Tabla467824[[ID CAE2]:[AE '[kWh']]],6,FALSE)</f>
        <v>6795.3454000000002</v>
      </c>
      <c r="BE5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58" spans="1:57" ht="15.75" hidden="1" thickBot="1" x14ac:dyDescent="0.3">
      <c r="A58" s="53" t="s">
        <v>1223</v>
      </c>
      <c r="B58" s="53" t="e">
        <v>#N/A</v>
      </c>
      <c r="C58" s="96" t="s">
        <v>1224</v>
      </c>
      <c r="D58" s="96"/>
      <c r="E58" s="96"/>
      <c r="F58" s="96"/>
      <c r="G58" s="96"/>
      <c r="H58" s="96"/>
      <c r="I58" s="96"/>
      <c r="J58" s="96"/>
      <c r="K58" s="96" t="s">
        <v>158</v>
      </c>
      <c r="L58" s="96" t="s">
        <v>159</v>
      </c>
      <c r="M58" s="96" t="s">
        <v>158</v>
      </c>
      <c r="N58" s="96" t="s">
        <v>171</v>
      </c>
      <c r="O58" s="101">
        <f>VLOOKUP(Tabla15[[#This Row],[Matricula Antigua]],BAJA2022202320242025!$B$3:$CR$245,93,FALSE)</f>
        <v>41393</v>
      </c>
      <c r="P58" s="99">
        <v>45124</v>
      </c>
      <c r="Q58" s="98">
        <f>Tabla15[[#This Row],[F.Vig.Final]]-Tabla15[[#This Row],[f Vig Inicio]]</f>
        <v>3731</v>
      </c>
      <c r="R58" s="99">
        <f>YEAR(Tabla15[[#This Row],[F.Vig.Final]])</f>
        <v>2023</v>
      </c>
      <c r="S58" s="96" t="s">
        <v>172</v>
      </c>
      <c r="T58" s="96" t="s">
        <v>78</v>
      </c>
      <c r="U58" s="96" t="s">
        <v>1048</v>
      </c>
      <c r="V58" s="96" t="s">
        <v>1225</v>
      </c>
      <c r="W58" s="96" t="s">
        <v>1050</v>
      </c>
      <c r="X58" s="96" t="s">
        <v>1051</v>
      </c>
      <c r="Y58" s="96" t="s">
        <v>1145</v>
      </c>
      <c r="Z58" s="98">
        <f>COUNTIF($X$3:X58, X58)</f>
        <v>5</v>
      </c>
      <c r="AA58" s="98"/>
      <c r="AB58" s="98"/>
      <c r="AC58" s="98"/>
      <c r="AD58" s="98"/>
      <c r="AE58" s="98"/>
      <c r="AF58" s="98"/>
      <c r="AG58" s="98"/>
      <c r="AH58" s="98"/>
      <c r="AI58" s="98" t="e">
        <v>#N/A</v>
      </c>
      <c r="AJ58" s="98" t="e">
        <v>#N/A</v>
      </c>
      <c r="AK58" s="98" t="e">
        <v>#N/A</v>
      </c>
      <c r="AL58" s="98" t="e">
        <v>#N/A</v>
      </c>
      <c r="AM58" s="98" t="e">
        <v>#N/A</v>
      </c>
      <c r="AN58" s="99" t="e">
        <v>#N/A</v>
      </c>
      <c r="AO58" s="99" t="e">
        <v>#N/A</v>
      </c>
      <c r="AP58" s="99" t="e">
        <f>Tabla15[[#This Row],[Renov. Flota]]-Tabla15[[#This Row],[Año]]</f>
        <v>#N/A</v>
      </c>
      <c r="AQ58" s="100" t="e">
        <v>#N/A</v>
      </c>
      <c r="AR58" s="100" t="e">
        <f>VLOOKUP(Tabla15[[#This Row],[Matricula nueva]],'ALTA 20242025'!$B$2:$P$242,15,FALSE)</f>
        <v>#N/A</v>
      </c>
      <c r="AS58" s="101" t="e">
        <v>#N/A</v>
      </c>
      <c r="AT58" s="101"/>
      <c r="AU58" s="101"/>
      <c r="AV58" s="101"/>
      <c r="AW58" s="101" t="e">
        <f>VLOOKUP(Tabla15[[#This Row],[Matricula nueva]],Hoja2!$A$1:$B$224,2,FALSE)</f>
        <v>#N/A</v>
      </c>
      <c r="AX58" s="101" t="str">
        <f>IF(Tabla15[[#This Row],[Columna2]]="M1",5.1,"")</f>
        <v/>
      </c>
      <c r="AY58" s="101"/>
      <c r="AZ58" s="101"/>
      <c r="BA58" s="311">
        <f>IF(Tabla15[[#This Row],[Columna2]]="M1",13073,IF(Tabla15[[#This Row],[Columna2]]="N1",15815,IF(Tabla15[[#This Row],[Columna2]]="L3e",2831,53508)))</f>
        <v>53508</v>
      </c>
      <c r="BB58" s="311" t="e">
        <f>(Tabla15[[#This Row],[CVA]]*Tabla15[[#This Row],[F]]-Tabla15[[#This Row],[CVN]])/100*Tabla15[[#This Row],[L]]</f>
        <v>#VALUE!</v>
      </c>
      <c r="BC58" s="1"/>
      <c r="BD58" s="1" t="e">
        <f>VLOOKUP(B58,Tabla467824[[ID CAE2]:[AE '[kWh']]],6,FALSE)</f>
        <v>#N/A</v>
      </c>
      <c r="BE5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59" spans="1:57" ht="15.75" hidden="1" thickBot="1" x14ac:dyDescent="0.3">
      <c r="A59" s="53" t="s">
        <v>1226</v>
      </c>
      <c r="B59" s="53" t="e">
        <v>#N/A</v>
      </c>
      <c r="C59" s="96" t="s">
        <v>1227</v>
      </c>
      <c r="D59" s="96"/>
      <c r="E59" s="96"/>
      <c r="F59" s="96"/>
      <c r="G59" s="96"/>
      <c r="H59" s="96"/>
      <c r="I59" s="96"/>
      <c r="J59" s="96"/>
      <c r="K59" s="96" t="s">
        <v>158</v>
      </c>
      <c r="L59" s="96" t="s">
        <v>159</v>
      </c>
      <c r="M59" s="96" t="s">
        <v>158</v>
      </c>
      <c r="N59" s="96" t="s">
        <v>171</v>
      </c>
      <c r="O59" s="101">
        <f>VLOOKUP(Tabla15[[#This Row],[Matricula Antigua]],BAJA2022202320242025!$B$3:$CR$245,93,FALSE)</f>
        <v>43439</v>
      </c>
      <c r="P59" s="99">
        <v>45124</v>
      </c>
      <c r="Q59" s="98">
        <f>Tabla15[[#This Row],[F.Vig.Final]]-Tabla15[[#This Row],[f Vig Inicio]]</f>
        <v>1685</v>
      </c>
      <c r="R59" s="99">
        <f>YEAR(Tabla15[[#This Row],[F.Vig.Final]])</f>
        <v>2023</v>
      </c>
      <c r="S59" s="96" t="s">
        <v>172</v>
      </c>
      <c r="T59" s="96" t="s">
        <v>78</v>
      </c>
      <c r="U59" s="96" t="s">
        <v>1203</v>
      </c>
      <c r="V59" s="96" t="s">
        <v>1049</v>
      </c>
      <c r="W59" s="96" t="s">
        <v>1050</v>
      </c>
      <c r="X59" s="96" t="s">
        <v>1051</v>
      </c>
      <c r="Y59" s="96" t="s">
        <v>1052</v>
      </c>
      <c r="Z59" s="98">
        <f>COUNTIF($X$3:X59, X59)</f>
        <v>6</v>
      </c>
      <c r="AA59" s="98"/>
      <c r="AB59" s="98"/>
      <c r="AC59" s="98"/>
      <c r="AD59" s="98"/>
      <c r="AE59" s="320"/>
      <c r="AF59" s="98"/>
      <c r="AG59" s="98"/>
      <c r="AH59" s="98"/>
      <c r="AI59" s="98" t="e">
        <v>#N/A</v>
      </c>
      <c r="AJ59" s="98" t="e">
        <v>#N/A</v>
      </c>
      <c r="AK59" s="98" t="e">
        <v>#N/A</v>
      </c>
      <c r="AL59" s="98" t="e">
        <v>#N/A</v>
      </c>
      <c r="AM59" s="98" t="e">
        <v>#N/A</v>
      </c>
      <c r="AN59" s="99" t="e">
        <v>#N/A</v>
      </c>
      <c r="AO59" s="99" t="e">
        <v>#N/A</v>
      </c>
      <c r="AP59" s="99" t="e">
        <f>Tabla15[[#This Row],[Renov. Flota]]-Tabla15[[#This Row],[Año]]</f>
        <v>#N/A</v>
      </c>
      <c r="AQ59" s="100" t="e">
        <v>#N/A</v>
      </c>
      <c r="AR59" s="100" t="e">
        <f>VLOOKUP(Tabla15[[#This Row],[Matricula nueva]],'ALTA 20242025'!$B$2:$P$242,15,FALSE)</f>
        <v>#N/A</v>
      </c>
      <c r="AS59" s="101" t="e">
        <v>#N/A</v>
      </c>
      <c r="AT59" s="101"/>
      <c r="AU59" s="101"/>
      <c r="AV59" s="101"/>
      <c r="AW59" s="101" t="e">
        <f>VLOOKUP(Tabla15[[#This Row],[Matricula nueva]],Hoja2!$A$1:$B$224,2,FALSE)</f>
        <v>#N/A</v>
      </c>
      <c r="AX59" s="101" t="str">
        <f>IF(Tabla15[[#This Row],[Columna2]]="M1",5.1,"")</f>
        <v/>
      </c>
      <c r="AY59" s="101"/>
      <c r="AZ59" s="101"/>
      <c r="BA59" s="311">
        <f>IF(Tabla15[[#This Row],[Columna2]]="M1",13073,IF(Tabla15[[#This Row],[Columna2]]="N1",15815,IF(Tabla15[[#This Row],[Columna2]]="L3e",2831,53508)))</f>
        <v>53508</v>
      </c>
      <c r="BB59" s="311" t="e">
        <f>(Tabla15[[#This Row],[CVA]]*Tabla15[[#This Row],[F]]-Tabla15[[#This Row],[CVN]])/100*Tabla15[[#This Row],[L]]</f>
        <v>#VALUE!</v>
      </c>
      <c r="BC59" s="1"/>
      <c r="BD59" s="1" t="e">
        <f>VLOOKUP(B59,Tabla467824[[ID CAE2]:[AE '[kWh']]],6,FALSE)</f>
        <v>#N/A</v>
      </c>
      <c r="BE5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60" spans="1:57" ht="51.75" x14ac:dyDescent="0.25">
      <c r="A60" s="53" t="s">
        <v>292</v>
      </c>
      <c r="B60" s="53" t="s">
        <v>292</v>
      </c>
      <c r="C60" s="332" t="s">
        <v>293</v>
      </c>
      <c r="D60" s="104" t="s">
        <v>72</v>
      </c>
      <c r="E60" s="104"/>
      <c r="F60" s="104" t="s">
        <v>72</v>
      </c>
      <c r="G60" s="104"/>
      <c r="H60" s="104" t="s">
        <v>72</v>
      </c>
      <c r="I60" s="104" t="s">
        <v>72</v>
      </c>
      <c r="J60" s="104"/>
      <c r="K60" s="96" t="s">
        <v>73</v>
      </c>
      <c r="L60" s="96" t="s">
        <v>200</v>
      </c>
      <c r="M60" s="96" t="s">
        <v>201</v>
      </c>
      <c r="N60" s="96" t="s">
        <v>76</v>
      </c>
      <c r="O60" s="101">
        <f>VLOOKUP(Tabla15[[#This Row],[Matricula Antigua]],BAJA2022202320242025!$B$3:$CR$245,93,FALSE)</f>
        <v>44179</v>
      </c>
      <c r="P60" s="316">
        <v>45640</v>
      </c>
      <c r="Q60" s="317">
        <f>Tabla15[[#This Row],[F.Vig.Final]]-Tabla15[[#This Row],[f Vig Inicio]]</f>
        <v>1461</v>
      </c>
      <c r="R60" s="318">
        <f>YEAR(Tabla15[[#This Row],[F.Vig.Final]])</f>
        <v>2024</v>
      </c>
      <c r="S60" s="96" t="s">
        <v>77</v>
      </c>
      <c r="T60" s="96" t="s">
        <v>78</v>
      </c>
      <c r="U60" s="96" t="s">
        <v>213</v>
      </c>
      <c r="V60" s="96" t="s">
        <v>237</v>
      </c>
      <c r="W60" s="96" t="s">
        <v>119</v>
      </c>
      <c r="X60" s="332" t="s">
        <v>1674</v>
      </c>
      <c r="Y60" s="96" t="s">
        <v>294</v>
      </c>
      <c r="Z60" s="98">
        <f>COUNTIF($X$3:X60, X60)</f>
        <v>8</v>
      </c>
      <c r="AA60" s="337" t="s">
        <v>1661</v>
      </c>
      <c r="AB60" s="337" t="s">
        <v>1661</v>
      </c>
      <c r="AC60" s="337" t="s">
        <v>1662</v>
      </c>
      <c r="AD60" s="337" t="s">
        <v>1663</v>
      </c>
      <c r="AE60" s="339" t="s">
        <v>1664</v>
      </c>
      <c r="AF60" s="340" t="s">
        <v>1665</v>
      </c>
      <c r="AG60" s="340" t="s">
        <v>1666</v>
      </c>
      <c r="AH60" s="337" t="s">
        <v>1649</v>
      </c>
      <c r="AI60" s="337" t="s">
        <v>295</v>
      </c>
      <c r="AJ60" s="98" t="s">
        <v>140</v>
      </c>
      <c r="AK60" s="98" t="s">
        <v>151</v>
      </c>
      <c r="AL60" s="98" t="s">
        <v>87</v>
      </c>
      <c r="AM60" s="101" t="s">
        <v>296</v>
      </c>
      <c r="AN60" s="348" t="s">
        <v>89</v>
      </c>
      <c r="AO60" s="349">
        <v>45625</v>
      </c>
      <c r="AP60" s="98">
        <f>Tabla15[[#This Row],[Renov. Flota]]-Tabla15[[#This Row],[Año]]</f>
        <v>0</v>
      </c>
      <c r="AQ60" s="100" t="s">
        <v>119</v>
      </c>
      <c r="AR60" s="100" t="str">
        <f>VLOOKUP(Tabla15[[#This Row],[Matricula nueva]],'ALTA 20242025'!$B$2:$P$242,15,FALSE)</f>
        <v>4500426700</v>
      </c>
      <c r="AS60" s="101" t="s">
        <v>120</v>
      </c>
      <c r="AT60" s="101"/>
      <c r="AU60" s="101" t="s">
        <v>72</v>
      </c>
      <c r="AV60" s="101" t="s">
        <v>91</v>
      </c>
      <c r="AW60" s="101" t="str">
        <f>VLOOKUP(Tabla15[[#This Row],[Matricula nueva]],Hoja2!$A$1:$B$224,2,FALSE)</f>
        <v>VR7CBZYA4ST000168</v>
      </c>
      <c r="AX60" s="209">
        <f>IF(Tabla15[[#This Row],[Columna2]]="M1",5.1,"")</f>
        <v>5.0999999999999996</v>
      </c>
      <c r="AY60" s="208">
        <f t="shared" ref="AY60:AY67" si="2">IF(T60="DIESEL",10,IF(T60="GLP",7.16,9.19))</f>
        <v>10</v>
      </c>
      <c r="AZ60" s="313">
        <v>16.399999999999999</v>
      </c>
      <c r="BA60" s="314">
        <f>IF(Tabla15[[#This Row],[Columna2]]="M1",13073,IF(Tabla15[[#This Row],[Columna2]]="N1",15815,IF(Tabla15[[#This Row],[Columna2]]="L3e",2831,53508)))</f>
        <v>13073</v>
      </c>
      <c r="BB60" s="350">
        <f>(Tabla15[[#This Row],[CVA]]*Tabla15[[#This Row],[F]]-Tabla15[[#This Row],[CVN]])/100*Tabla15[[#This Row],[L]]</f>
        <v>4523.2580000000007</v>
      </c>
      <c r="BC60" s="69" t="s">
        <v>70</v>
      </c>
      <c r="BD60" s="294">
        <f>VLOOKUP(B60,Tabla467824[[ID CAE2]:[AE '[kWh']]],6,FALSE)</f>
        <v>6795.3454000000002</v>
      </c>
      <c r="BE6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1" spans="1:57" ht="51.75" x14ac:dyDescent="0.25">
      <c r="A61" s="53" t="s">
        <v>299</v>
      </c>
      <c r="B61" s="53" t="s">
        <v>299</v>
      </c>
      <c r="C61" s="332" t="s">
        <v>300</v>
      </c>
      <c r="D61" s="104" t="s">
        <v>72</v>
      </c>
      <c r="E61" s="104"/>
      <c r="F61" s="104" t="s">
        <v>72</v>
      </c>
      <c r="G61" s="104"/>
      <c r="H61" s="104" t="s">
        <v>72</v>
      </c>
      <c r="I61" s="104" t="s">
        <v>72</v>
      </c>
      <c r="J61" s="104"/>
      <c r="K61" s="96" t="s">
        <v>73</v>
      </c>
      <c r="L61" s="96" t="s">
        <v>200</v>
      </c>
      <c r="M61" s="96" t="s">
        <v>201</v>
      </c>
      <c r="N61" s="96" t="s">
        <v>76</v>
      </c>
      <c r="O61" s="101">
        <f>VLOOKUP(Tabla15[[#This Row],[Matricula Antigua]],BAJA2022202320242025!$B$3:$CR$245,93,FALSE)</f>
        <v>44153</v>
      </c>
      <c r="P61" s="316">
        <v>45614</v>
      </c>
      <c r="Q61" s="317">
        <f>Tabla15[[#This Row],[F.Vig.Final]]-Tabla15[[#This Row],[f Vig Inicio]]</f>
        <v>1461</v>
      </c>
      <c r="R61" s="318">
        <f>YEAR(Tabla15[[#This Row],[F.Vig.Final]])</f>
        <v>2024</v>
      </c>
      <c r="S61" s="96" t="s">
        <v>77</v>
      </c>
      <c r="T61" s="96" t="s">
        <v>78</v>
      </c>
      <c r="U61" s="96" t="s">
        <v>213</v>
      </c>
      <c r="V61" s="96" t="s">
        <v>237</v>
      </c>
      <c r="W61" s="96" t="s">
        <v>102</v>
      </c>
      <c r="X61" s="332" t="s">
        <v>1667</v>
      </c>
      <c r="Y61" s="96" t="s">
        <v>301</v>
      </c>
      <c r="Z61" s="98">
        <f>COUNTIF($X$3:X61, X61)</f>
        <v>3</v>
      </c>
      <c r="AA61" s="337" t="s">
        <v>1668</v>
      </c>
      <c r="AB61" s="337" t="s">
        <v>1668</v>
      </c>
      <c r="AC61" s="337" t="s">
        <v>1669</v>
      </c>
      <c r="AD61" s="341" t="s">
        <v>1670</v>
      </c>
      <c r="AE61" s="342" t="s">
        <v>1671</v>
      </c>
      <c r="AF61" s="337" t="s">
        <v>1672</v>
      </c>
      <c r="AG61" s="344" t="s">
        <v>1673</v>
      </c>
      <c r="AH61" s="337" t="s">
        <v>1649</v>
      </c>
      <c r="AI61" s="337" t="s">
        <v>302</v>
      </c>
      <c r="AJ61" s="98" t="s">
        <v>85</v>
      </c>
      <c r="AK61" s="98" t="s">
        <v>86</v>
      </c>
      <c r="AL61" s="98" t="s">
        <v>87</v>
      </c>
      <c r="AM61" s="101" t="s">
        <v>303</v>
      </c>
      <c r="AN61" s="348" t="s">
        <v>89</v>
      </c>
      <c r="AO61" s="349">
        <v>45625</v>
      </c>
      <c r="AP61" s="98">
        <f>Tabla15[[#This Row],[Renov. Flota]]-Tabla15[[#This Row],[Año]]</f>
        <v>0</v>
      </c>
      <c r="AQ61" s="100" t="s">
        <v>102</v>
      </c>
      <c r="AR61" s="100" t="str">
        <f>VLOOKUP(Tabla15[[#This Row],[Matricula nueva]],'ALTA 20242025'!$B$2:$P$242,15,FALSE)</f>
        <v>4500426774</v>
      </c>
      <c r="AS61" s="101" t="s">
        <v>103</v>
      </c>
      <c r="AT61" s="101"/>
      <c r="AU61" s="101" t="s">
        <v>72</v>
      </c>
      <c r="AV61" s="101" t="s">
        <v>109</v>
      </c>
      <c r="AW61" s="101" t="str">
        <f>VLOOKUP(Tabla15[[#This Row],[Matricula nueva]],Hoja2!$A$1:$B$224,2,FALSE)</f>
        <v>VF1RFK00073824797</v>
      </c>
      <c r="AX61" s="209">
        <f>IF(Tabla15[[#This Row],[Columna2]]="M1",5.1,"")</f>
        <v>5.0999999999999996</v>
      </c>
      <c r="AY61" s="208">
        <f t="shared" si="2"/>
        <v>10</v>
      </c>
      <c r="AZ61" s="313">
        <v>17.3</v>
      </c>
      <c r="BA61" s="314">
        <f>IF(Tabla15[[#This Row],[Columna2]]="M1",13073,IF(Tabla15[[#This Row],[Columna2]]="N1",15815,IF(Tabla15[[#This Row],[Columna2]]="L3e",2831,53508)))</f>
        <v>13073</v>
      </c>
      <c r="BB61" s="350">
        <f>(Tabla15[[#This Row],[CVA]]*Tabla15[[#This Row],[F]]-Tabla15[[#This Row],[CVN]])/100*Tabla15[[#This Row],[L]]</f>
        <v>4405.6010000000006</v>
      </c>
      <c r="BC61" s="74" t="s">
        <v>70</v>
      </c>
      <c r="BD61" s="294">
        <f>VLOOKUP(B61,Tabla467824[[ID CAE2]:[AE '[kWh']]],6,FALSE)</f>
        <v>6795.3454000000002</v>
      </c>
      <c r="BE6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2" spans="1:57" ht="51.75" x14ac:dyDescent="0.25">
      <c r="A62" s="53" t="s">
        <v>306</v>
      </c>
      <c r="B62" s="53" t="s">
        <v>306</v>
      </c>
      <c r="C62" s="332" t="s">
        <v>307</v>
      </c>
      <c r="D62" s="104" t="s">
        <v>72</v>
      </c>
      <c r="E62" s="104"/>
      <c r="F62" s="104" t="s">
        <v>72</v>
      </c>
      <c r="G62" s="104"/>
      <c r="H62" s="104" t="s">
        <v>72</v>
      </c>
      <c r="I62" s="104" t="s">
        <v>72</v>
      </c>
      <c r="J62" s="104"/>
      <c r="K62" s="96" t="s">
        <v>73</v>
      </c>
      <c r="L62" s="96" t="s">
        <v>200</v>
      </c>
      <c r="M62" s="96" t="s">
        <v>201</v>
      </c>
      <c r="N62" s="96" t="s">
        <v>76</v>
      </c>
      <c r="O62" s="101">
        <f>VLOOKUP(Tabla15[[#This Row],[Matricula Antigua]],BAJA2022202320242025!$B$3:$CR$245,93,FALSE)</f>
        <v>44153</v>
      </c>
      <c r="P62" s="316">
        <v>45614</v>
      </c>
      <c r="Q62" s="317">
        <f>Tabla15[[#This Row],[F.Vig.Final]]-Tabla15[[#This Row],[f Vig Inicio]]</f>
        <v>1461</v>
      </c>
      <c r="R62" s="318">
        <f>YEAR(Tabla15[[#This Row],[F.Vig.Final]])</f>
        <v>2024</v>
      </c>
      <c r="S62" s="96" t="s">
        <v>77</v>
      </c>
      <c r="T62" s="96" t="s">
        <v>78</v>
      </c>
      <c r="U62" s="96" t="s">
        <v>213</v>
      </c>
      <c r="V62" s="96" t="s">
        <v>237</v>
      </c>
      <c r="W62" s="96" t="s">
        <v>308</v>
      </c>
      <c r="X62" s="332" t="s">
        <v>309</v>
      </c>
      <c r="Y62" s="96" t="s">
        <v>310</v>
      </c>
      <c r="Z62" s="98">
        <f>COUNTIF($X$3:X62, X62)</f>
        <v>1</v>
      </c>
      <c r="AA62" s="337" t="s">
        <v>1661</v>
      </c>
      <c r="AB62" s="337" t="s">
        <v>1661</v>
      </c>
      <c r="AC62" s="337" t="s">
        <v>1662</v>
      </c>
      <c r="AD62" s="337" t="s">
        <v>1663</v>
      </c>
      <c r="AE62" s="345" t="s">
        <v>1664</v>
      </c>
      <c r="AF62" s="346" t="s">
        <v>1665</v>
      </c>
      <c r="AG62" s="337" t="s">
        <v>1666</v>
      </c>
      <c r="AH62" s="337" t="s">
        <v>1649</v>
      </c>
      <c r="AI62" s="337" t="s">
        <v>311</v>
      </c>
      <c r="AJ62" s="98" t="s">
        <v>85</v>
      </c>
      <c r="AK62" s="98" t="s">
        <v>86</v>
      </c>
      <c r="AL62" s="98" t="s">
        <v>87</v>
      </c>
      <c r="AM62" s="101" t="s">
        <v>312</v>
      </c>
      <c r="AN62" s="348" t="s">
        <v>89</v>
      </c>
      <c r="AO62" s="349">
        <v>45649</v>
      </c>
      <c r="AP62" s="98">
        <f>Tabla15[[#This Row],[Renov. Flota]]-Tabla15[[#This Row],[Año]]</f>
        <v>0</v>
      </c>
      <c r="AQ62" s="100" t="s">
        <v>308</v>
      </c>
      <c r="AR62" s="100" t="str">
        <f>VLOOKUP(Tabla15[[#This Row],[Matricula nueva]],'ALTA 20242025'!$B$2:$P$242,15,FALSE)</f>
        <v>X</v>
      </c>
      <c r="AS62" s="101" t="s">
        <v>309</v>
      </c>
      <c r="AT62" s="101"/>
      <c r="AU62" s="101" t="s">
        <v>72</v>
      </c>
      <c r="AV62" s="101" t="s">
        <v>91</v>
      </c>
      <c r="AW62" s="101" t="str">
        <f>VLOOKUP(Tabla15[[#This Row],[Matricula nueva]],Hoja2!$A$1:$B$224,2,FALSE)</f>
        <v>VF1RFK00073934300</v>
      </c>
      <c r="AX62" s="209">
        <f>IF(Tabla15[[#This Row],[Columna2]]="M1",5.1,"")</f>
        <v>5.0999999999999996</v>
      </c>
      <c r="AY62" s="208">
        <f t="shared" si="2"/>
        <v>10</v>
      </c>
      <c r="AZ62" s="313">
        <v>17.3</v>
      </c>
      <c r="BA62" s="314">
        <f>IF(Tabla15[[#This Row],[Columna2]]="M1",13073,IF(Tabla15[[#This Row],[Columna2]]="N1",15815,IF(Tabla15[[#This Row],[Columna2]]="L3e",2831,53508)))</f>
        <v>13073</v>
      </c>
      <c r="BB62" s="350">
        <f>(Tabla15[[#This Row],[CVA]]*Tabla15[[#This Row],[F]]-Tabla15[[#This Row],[CVN]])/100*Tabla15[[#This Row],[L]]</f>
        <v>4405.6010000000006</v>
      </c>
      <c r="BC62" s="74" t="s">
        <v>70</v>
      </c>
      <c r="BD62" s="294">
        <f>VLOOKUP(B62,Tabla467824[[ID CAE2]:[AE '[kWh']]],6,FALSE)</f>
        <v>6795.3454000000002</v>
      </c>
      <c r="BE6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3" spans="1:57" ht="51.75" x14ac:dyDescent="0.25">
      <c r="A63" s="53" t="s">
        <v>314</v>
      </c>
      <c r="B63" s="53" t="s">
        <v>314</v>
      </c>
      <c r="C63" s="332" t="s">
        <v>315</v>
      </c>
      <c r="D63" s="104" t="s">
        <v>72</v>
      </c>
      <c r="E63" s="104"/>
      <c r="F63" s="104" t="s">
        <v>72</v>
      </c>
      <c r="G63" s="104"/>
      <c r="H63" s="104" t="s">
        <v>72</v>
      </c>
      <c r="I63" s="104" t="s">
        <v>72</v>
      </c>
      <c r="J63" s="104"/>
      <c r="K63" s="96" t="s">
        <v>73</v>
      </c>
      <c r="L63" s="96" t="s">
        <v>200</v>
      </c>
      <c r="M63" s="96" t="s">
        <v>201</v>
      </c>
      <c r="N63" s="96" t="s">
        <v>76</v>
      </c>
      <c r="O63" s="101">
        <f>VLOOKUP(Tabla15[[#This Row],[Matricula Antigua]],BAJA2022202320242025!$B$3:$CR$245,93,FALSE)</f>
        <v>44166</v>
      </c>
      <c r="P63" s="316">
        <v>45627</v>
      </c>
      <c r="Q63" s="317">
        <f>Tabla15[[#This Row],[F.Vig.Final]]-Tabla15[[#This Row],[f Vig Inicio]]</f>
        <v>1461</v>
      </c>
      <c r="R63" s="318">
        <f>YEAR(Tabla15[[#This Row],[F.Vig.Final]])</f>
        <v>2024</v>
      </c>
      <c r="S63" s="96" t="s">
        <v>77</v>
      </c>
      <c r="T63" s="96" t="s">
        <v>78</v>
      </c>
      <c r="U63" s="96" t="s">
        <v>213</v>
      </c>
      <c r="V63" s="96" t="s">
        <v>237</v>
      </c>
      <c r="W63" s="96" t="s">
        <v>131</v>
      </c>
      <c r="X63" s="332" t="s">
        <v>132</v>
      </c>
      <c r="Y63" s="96" t="s">
        <v>316</v>
      </c>
      <c r="Z63" s="98">
        <f>COUNTIF($X$3:X63, X63)</f>
        <v>2</v>
      </c>
      <c r="AA63" s="337" t="s">
        <v>1661</v>
      </c>
      <c r="AB63" s="337" t="s">
        <v>1661</v>
      </c>
      <c r="AC63" s="337" t="s">
        <v>1662</v>
      </c>
      <c r="AD63" s="333" t="s">
        <v>1675</v>
      </c>
      <c r="AE63" s="347" t="s">
        <v>1664</v>
      </c>
      <c r="AF63" s="337" t="s">
        <v>1676</v>
      </c>
      <c r="AG63" s="337" t="s">
        <v>1677</v>
      </c>
      <c r="AH63" s="337" t="s">
        <v>1649</v>
      </c>
      <c r="AI63" s="337" t="s">
        <v>317</v>
      </c>
      <c r="AJ63" s="98" t="s">
        <v>85</v>
      </c>
      <c r="AK63" s="98" t="s">
        <v>86</v>
      </c>
      <c r="AL63" s="98" t="s">
        <v>87</v>
      </c>
      <c r="AM63" s="101" t="s">
        <v>318</v>
      </c>
      <c r="AN63" s="348" t="s">
        <v>89</v>
      </c>
      <c r="AO63" s="349">
        <v>45625</v>
      </c>
      <c r="AP63" s="98">
        <f>Tabla15[[#This Row],[Renov. Flota]]-Tabla15[[#This Row],[Año]]</f>
        <v>0</v>
      </c>
      <c r="AQ63" s="100" t="s">
        <v>131</v>
      </c>
      <c r="AR63" s="100" t="str">
        <f>VLOOKUP(Tabla15[[#This Row],[Matricula nueva]],'ALTA 20242025'!$B$2:$P$242,15,FALSE)</f>
        <v>4500426798</v>
      </c>
      <c r="AS63" s="101" t="s">
        <v>132</v>
      </c>
      <c r="AT63" s="101"/>
      <c r="AU63" s="101" t="s">
        <v>72</v>
      </c>
      <c r="AV63" s="101" t="s">
        <v>91</v>
      </c>
      <c r="AW63" s="101" t="str">
        <f>VLOOKUP(Tabla15[[#This Row],[Matricula nueva]],Hoja2!$A$1:$B$224,2,FALSE)</f>
        <v>VF1RFK00273824820</v>
      </c>
      <c r="AX63" s="209">
        <f>IF(Tabla15[[#This Row],[Columna2]]="M1",5.1,"")</f>
        <v>5.0999999999999996</v>
      </c>
      <c r="AY63" s="208">
        <f t="shared" si="2"/>
        <v>10</v>
      </c>
      <c r="AZ63" s="313">
        <v>17.3</v>
      </c>
      <c r="BA63" s="314">
        <f>IF(Tabla15[[#This Row],[Columna2]]="M1",13073,IF(Tabla15[[#This Row],[Columna2]]="N1",15815,IF(Tabla15[[#This Row],[Columna2]]="L3e",2831,53508)))</f>
        <v>13073</v>
      </c>
      <c r="BB63" s="350">
        <f>(Tabla15[[#This Row],[CVA]]*Tabla15[[#This Row],[F]]-Tabla15[[#This Row],[CVN]])/100*Tabla15[[#This Row],[L]]</f>
        <v>4405.6010000000006</v>
      </c>
      <c r="BC63" s="74" t="s">
        <v>70</v>
      </c>
      <c r="BD63" s="294">
        <f>VLOOKUP(B63,Tabla467824[[ID CAE2]:[AE '[kWh']]],6,FALSE)</f>
        <v>6795.3454000000002</v>
      </c>
      <c r="BE6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4" spans="1:57" ht="51.75" x14ac:dyDescent="0.25">
      <c r="A64" s="53" t="s">
        <v>321</v>
      </c>
      <c r="B64" s="53" t="s">
        <v>321</v>
      </c>
      <c r="C64" s="332" t="s">
        <v>322</v>
      </c>
      <c r="D64" s="104" t="s">
        <v>72</v>
      </c>
      <c r="E64" s="104"/>
      <c r="F64" s="104" t="s">
        <v>72</v>
      </c>
      <c r="G64" s="104"/>
      <c r="H64" s="104" t="s">
        <v>72</v>
      </c>
      <c r="I64" s="104" t="s">
        <v>72</v>
      </c>
      <c r="J64" s="104"/>
      <c r="K64" s="96" t="s">
        <v>73</v>
      </c>
      <c r="L64" s="96" t="s">
        <v>200</v>
      </c>
      <c r="M64" s="96" t="s">
        <v>201</v>
      </c>
      <c r="N64" s="96" t="s">
        <v>76</v>
      </c>
      <c r="O64" s="101">
        <f>VLOOKUP(Tabla15[[#This Row],[Matricula Antigua]],BAJA2022202320242025!$B$3:$CR$245,93,FALSE)</f>
        <v>44215</v>
      </c>
      <c r="P64" s="316">
        <v>45676</v>
      </c>
      <c r="Q64" s="317">
        <f>Tabla15[[#This Row],[F.Vig.Final]]-Tabla15[[#This Row],[f Vig Inicio]]</f>
        <v>1461</v>
      </c>
      <c r="R64" s="318">
        <f>YEAR(Tabla15[[#This Row],[F.Vig.Final]])</f>
        <v>2025</v>
      </c>
      <c r="S64" s="96" t="s">
        <v>77</v>
      </c>
      <c r="T64" s="96" t="s">
        <v>78</v>
      </c>
      <c r="U64" s="96" t="s">
        <v>213</v>
      </c>
      <c r="V64" s="96" t="s">
        <v>237</v>
      </c>
      <c r="W64" s="96" t="s">
        <v>119</v>
      </c>
      <c r="X64" s="332" t="s">
        <v>1674</v>
      </c>
      <c r="Y64" s="96" t="s">
        <v>323</v>
      </c>
      <c r="Z64" s="98">
        <f>COUNTIF($X$3:X64, X64)</f>
        <v>9</v>
      </c>
      <c r="AA64" s="337" t="s">
        <v>1661</v>
      </c>
      <c r="AB64" s="337" t="s">
        <v>1661</v>
      </c>
      <c r="AC64" s="337" t="s">
        <v>1662</v>
      </c>
      <c r="AD64" s="337" t="s">
        <v>1663</v>
      </c>
      <c r="AE64" s="342" t="s">
        <v>1664</v>
      </c>
      <c r="AF64" s="337" t="s">
        <v>1665</v>
      </c>
      <c r="AG64" s="337" t="s">
        <v>1666</v>
      </c>
      <c r="AH64" s="337" t="s">
        <v>1649</v>
      </c>
      <c r="AI64" s="337" t="s">
        <v>324</v>
      </c>
      <c r="AJ64" s="98" t="s">
        <v>85</v>
      </c>
      <c r="AK64" s="98" t="s">
        <v>86</v>
      </c>
      <c r="AL64" s="98" t="s">
        <v>87</v>
      </c>
      <c r="AM64" s="101" t="s">
        <v>325</v>
      </c>
      <c r="AN64" s="348" t="s">
        <v>89</v>
      </c>
      <c r="AO64" s="349">
        <v>45645</v>
      </c>
      <c r="AP64" s="98">
        <f>Tabla15[[#This Row],[Renov. Flota]]-Tabla15[[#This Row],[Año]]</f>
        <v>-1</v>
      </c>
      <c r="AQ64" s="100" t="s">
        <v>119</v>
      </c>
      <c r="AR64" s="100" t="str">
        <f>VLOOKUP(Tabla15[[#This Row],[Matricula nueva]],'ALTA 20242025'!$B$2:$P$242,15,FALSE)</f>
        <v>4500426771</v>
      </c>
      <c r="AS64" s="101" t="s">
        <v>120</v>
      </c>
      <c r="AT64" s="101"/>
      <c r="AU64" s="101" t="s">
        <v>72</v>
      </c>
      <c r="AV64" s="101" t="s">
        <v>91</v>
      </c>
      <c r="AW64" s="101" t="str">
        <f>VLOOKUP(Tabla15[[#This Row],[Matricula nueva]],Hoja2!$A$1:$B$224,2,FALSE)</f>
        <v>VF1RFK00373824888</v>
      </c>
      <c r="AX64" s="209">
        <f>IF(Tabla15[[#This Row],[Columna2]]="M1",5.1,"")</f>
        <v>5.0999999999999996</v>
      </c>
      <c r="AY64" s="208">
        <f t="shared" si="2"/>
        <v>10</v>
      </c>
      <c r="AZ64" s="313">
        <v>17.3</v>
      </c>
      <c r="BA64" s="314">
        <f>IF(Tabla15[[#This Row],[Columna2]]="M1",13073,IF(Tabla15[[#This Row],[Columna2]]="N1",15815,IF(Tabla15[[#This Row],[Columna2]]="L3e",2831,53508)))</f>
        <v>13073</v>
      </c>
      <c r="BB64" s="350">
        <f>(Tabla15[[#This Row],[CVA]]*Tabla15[[#This Row],[F]]-Tabla15[[#This Row],[CVN]])/100*Tabla15[[#This Row],[L]]</f>
        <v>4405.6010000000006</v>
      </c>
      <c r="BC64" s="74" t="s">
        <v>70</v>
      </c>
      <c r="BD64" s="294">
        <f>VLOOKUP(B64,Tabla467824[[ID CAE2]:[AE '[kWh']]],6,FALSE)</f>
        <v>6795.3454000000002</v>
      </c>
      <c r="BE6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5" spans="1:57" ht="60" x14ac:dyDescent="0.25">
      <c r="A65" s="53" t="s">
        <v>328</v>
      </c>
      <c r="B65" s="53" t="s">
        <v>328</v>
      </c>
      <c r="C65" s="332" t="s">
        <v>329</v>
      </c>
      <c r="D65" s="104" t="s">
        <v>72</v>
      </c>
      <c r="E65" s="104"/>
      <c r="F65" s="104" t="s">
        <v>72</v>
      </c>
      <c r="G65" s="104"/>
      <c r="H65" s="104" t="s">
        <v>249</v>
      </c>
      <c r="I65" s="104" t="s">
        <v>249</v>
      </c>
      <c r="J65" s="104"/>
      <c r="K65" s="96" t="s">
        <v>73</v>
      </c>
      <c r="L65" s="96" t="s">
        <v>200</v>
      </c>
      <c r="M65" s="96" t="s">
        <v>201</v>
      </c>
      <c r="N65" s="96" t="s">
        <v>76</v>
      </c>
      <c r="O65" s="101">
        <f>VLOOKUP(Tabla15[[#This Row],[Matricula Antigua]],BAJA2022202320242025!$B$3:$CR$245,93,FALSE)</f>
        <v>44215</v>
      </c>
      <c r="P65" s="316">
        <v>45676</v>
      </c>
      <c r="Q65" s="317">
        <f>Tabla15[[#This Row],[F.Vig.Final]]-Tabla15[[#This Row],[f Vig Inicio]]</f>
        <v>1461</v>
      </c>
      <c r="R65" s="318">
        <f>YEAR(Tabla15[[#This Row],[F.Vig.Final]])</f>
        <v>2025</v>
      </c>
      <c r="S65" s="96" t="s">
        <v>77</v>
      </c>
      <c r="T65" s="96" t="s">
        <v>78</v>
      </c>
      <c r="U65" s="96" t="s">
        <v>213</v>
      </c>
      <c r="V65" s="96" t="s">
        <v>237</v>
      </c>
      <c r="W65" s="96" t="s">
        <v>190</v>
      </c>
      <c r="X65" s="333" t="s">
        <v>1678</v>
      </c>
      <c r="Y65" s="96" t="s">
        <v>194</v>
      </c>
      <c r="Z65" s="98">
        <f>COUNTIF($X$3:X65, X65)</f>
        <v>2</v>
      </c>
      <c r="AA65" s="337" t="s">
        <v>1661</v>
      </c>
      <c r="AB65" s="337" t="s">
        <v>1661</v>
      </c>
      <c r="AC65" s="337" t="s">
        <v>1662</v>
      </c>
      <c r="AD65" s="337" t="s">
        <v>1663</v>
      </c>
      <c r="AE65" s="339" t="s">
        <v>1664</v>
      </c>
      <c r="AF65" s="340" t="s">
        <v>1665</v>
      </c>
      <c r="AG65" s="340" t="s">
        <v>1666</v>
      </c>
      <c r="AH65" s="337" t="s">
        <v>1649</v>
      </c>
      <c r="AI65" s="337" t="s">
        <v>330</v>
      </c>
      <c r="AJ65" s="98" t="s">
        <v>85</v>
      </c>
      <c r="AK65" s="98" t="s">
        <v>86</v>
      </c>
      <c r="AL65" s="98" t="s">
        <v>87</v>
      </c>
      <c r="AM65" s="101" t="s">
        <v>331</v>
      </c>
      <c r="AN65" s="348" t="s">
        <v>89</v>
      </c>
      <c r="AO65" s="349">
        <v>45646</v>
      </c>
      <c r="AP65" s="98">
        <f>Tabla15[[#This Row],[Renov. Flota]]-Tabla15[[#This Row],[Año]]</f>
        <v>-1</v>
      </c>
      <c r="AQ65" s="100" t="s">
        <v>190</v>
      </c>
      <c r="AR65" s="100" t="str">
        <f>VLOOKUP(Tabla15[[#This Row],[Matricula nueva]],'ALTA 20242025'!$B$2:$P$242,15,FALSE)</f>
        <v>4500426874</v>
      </c>
      <c r="AS65" s="101" t="s">
        <v>191</v>
      </c>
      <c r="AT65" s="101"/>
      <c r="AU65" s="101" t="s">
        <v>72</v>
      </c>
      <c r="AV65" s="101" t="s">
        <v>91</v>
      </c>
      <c r="AW65" s="101" t="str">
        <f>VLOOKUP(Tabla15[[#This Row],[Matricula nueva]],Hoja2!$A$1:$B$224,2,FALSE)</f>
        <v>VF1RFK00273934282</v>
      </c>
      <c r="AX65" s="209">
        <f>IF(Tabla15[[#This Row],[Columna2]]="M1",5.1,"")</f>
        <v>5.0999999999999996</v>
      </c>
      <c r="AY65" s="208">
        <f t="shared" si="2"/>
        <v>10</v>
      </c>
      <c r="AZ65" s="313">
        <v>17.3</v>
      </c>
      <c r="BA65" s="314">
        <f>IF(Tabla15[[#This Row],[Columna2]]="M1",13073,IF(Tabla15[[#This Row],[Columna2]]="N1",15815,IF(Tabla15[[#This Row],[Columna2]]="L3e",2831,53508)))</f>
        <v>13073</v>
      </c>
      <c r="BB65" s="350">
        <f>(Tabla15[[#This Row],[CVA]]*Tabla15[[#This Row],[F]]-Tabla15[[#This Row],[CVN]])/100*Tabla15[[#This Row],[L]]</f>
        <v>4405.6010000000006</v>
      </c>
      <c r="BC65" s="74" t="s">
        <v>70</v>
      </c>
      <c r="BD65" s="294">
        <f>VLOOKUP(B65,Tabla467824[[ID CAE2]:[AE '[kWh']]],6,FALSE)</f>
        <v>6795.3454000000002</v>
      </c>
      <c r="BE6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6" spans="1:57" ht="60" x14ac:dyDescent="0.25">
      <c r="A66" s="53" t="s">
        <v>334</v>
      </c>
      <c r="B66" s="53" t="s">
        <v>334</v>
      </c>
      <c r="C66" s="332" t="s">
        <v>335</v>
      </c>
      <c r="D66" s="104" t="s">
        <v>72</v>
      </c>
      <c r="E66" s="104"/>
      <c r="F66" s="104" t="s">
        <v>72</v>
      </c>
      <c r="G66" s="104"/>
      <c r="H66" s="104" t="s">
        <v>72</v>
      </c>
      <c r="I66" s="104" t="s">
        <v>72</v>
      </c>
      <c r="J66" s="104"/>
      <c r="K66" s="96" t="s">
        <v>73</v>
      </c>
      <c r="L66" s="96" t="s">
        <v>200</v>
      </c>
      <c r="M66" s="96" t="s">
        <v>201</v>
      </c>
      <c r="N66" s="96" t="s">
        <v>76</v>
      </c>
      <c r="O66" s="101">
        <f>VLOOKUP(Tabla15[[#This Row],[Matricula Antigua]],BAJA2022202320242025!$B$3:$CR$245,93,FALSE)</f>
        <v>44215</v>
      </c>
      <c r="P66" s="316">
        <v>45676</v>
      </c>
      <c r="Q66" s="317">
        <f>Tabla15[[#This Row],[F.Vig.Final]]-Tabla15[[#This Row],[f Vig Inicio]]</f>
        <v>1461</v>
      </c>
      <c r="R66" s="318">
        <f>YEAR(Tabla15[[#This Row],[F.Vig.Final]])</f>
        <v>2025</v>
      </c>
      <c r="S66" s="96" t="s">
        <v>77</v>
      </c>
      <c r="T66" s="96" t="s">
        <v>78</v>
      </c>
      <c r="U66" s="96" t="s">
        <v>213</v>
      </c>
      <c r="V66" s="96" t="s">
        <v>237</v>
      </c>
      <c r="W66" s="96" t="s">
        <v>336</v>
      </c>
      <c r="X66" s="332" t="s">
        <v>337</v>
      </c>
      <c r="Y66" s="96" t="s">
        <v>338</v>
      </c>
      <c r="Z66" s="98">
        <f>COUNTIF($X$3:X66, X66)</f>
        <v>1</v>
      </c>
      <c r="AA66" s="337" t="s">
        <v>1661</v>
      </c>
      <c r="AB66" s="337" t="s">
        <v>1661</v>
      </c>
      <c r="AC66" s="337" t="s">
        <v>1662</v>
      </c>
      <c r="AD66" s="341" t="s">
        <v>1682</v>
      </c>
      <c r="AE66" s="347" t="s">
        <v>1664</v>
      </c>
      <c r="AF66" s="337" t="s">
        <v>1683</v>
      </c>
      <c r="AG66" s="337" t="s">
        <v>1684</v>
      </c>
      <c r="AH66" s="337" t="s">
        <v>1649</v>
      </c>
      <c r="AI66" s="337" t="s">
        <v>339</v>
      </c>
      <c r="AJ66" s="98" t="s">
        <v>85</v>
      </c>
      <c r="AK66" s="98" t="s">
        <v>340</v>
      </c>
      <c r="AL66" s="98" t="s">
        <v>87</v>
      </c>
      <c r="AM66" s="101" t="s">
        <v>341</v>
      </c>
      <c r="AN66" s="348" t="s">
        <v>89</v>
      </c>
      <c r="AO66" s="349">
        <v>45374</v>
      </c>
      <c r="AP66" s="98">
        <f>Tabla15[[#This Row],[Renov. Flota]]-Tabla15[[#This Row],[Año]]</f>
        <v>-1</v>
      </c>
      <c r="AQ66" s="100" t="s">
        <v>336</v>
      </c>
      <c r="AR66" s="100">
        <v>4500399254</v>
      </c>
      <c r="AS66" s="101" t="s">
        <v>337</v>
      </c>
      <c r="AT66" s="101"/>
      <c r="AU66" s="101" t="s">
        <v>72</v>
      </c>
      <c r="AV66" s="101" t="s">
        <v>91</v>
      </c>
      <c r="AW66" s="312" t="s">
        <v>342</v>
      </c>
      <c r="AX66" s="209">
        <f>IF(Tabla15[[#This Row],[Columna2]]="M1",5.1,"")</f>
        <v>5.0999999999999996</v>
      </c>
      <c r="AY66" s="208">
        <f t="shared" si="2"/>
        <v>10</v>
      </c>
      <c r="AZ66" s="313">
        <v>13.3</v>
      </c>
      <c r="BA66" s="314">
        <f>IF(Tabla15[[#This Row],[Columna2]]="M1",13073,IF(Tabla15[[#This Row],[Columna2]]="N1",15815,IF(Tabla15[[#This Row],[Columna2]]="L3e",2831,53508)))</f>
        <v>13073</v>
      </c>
      <c r="BB66" s="350">
        <f>(Tabla15[[#This Row],[CVA]]*Tabla15[[#This Row],[F]]-Tabla15[[#This Row],[CVN]])/100*Tabla15[[#This Row],[L]]</f>
        <v>4928.5209999999997</v>
      </c>
      <c r="BC66" s="74" t="s">
        <v>70</v>
      </c>
      <c r="BD66" s="294">
        <f>VLOOKUP(B66,Tabla467824[[ID CAE2]:[AE '[kWh']]],6,FALSE)</f>
        <v>6795.3454000000002</v>
      </c>
      <c r="BE6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7" spans="1:57" ht="60.75" thickBot="1" x14ac:dyDescent="0.3">
      <c r="A67" s="53" t="s">
        <v>343</v>
      </c>
      <c r="B67" s="53" t="s">
        <v>343</v>
      </c>
      <c r="C67" s="332" t="s">
        <v>344</v>
      </c>
      <c r="D67" s="104" t="s">
        <v>72</v>
      </c>
      <c r="E67" s="104"/>
      <c r="F67" s="104" t="s">
        <v>72</v>
      </c>
      <c r="G67" s="104"/>
      <c r="H67" s="104" t="s">
        <v>72</v>
      </c>
      <c r="I67" s="104" t="s">
        <v>72</v>
      </c>
      <c r="J67" s="104"/>
      <c r="K67" s="96" t="s">
        <v>73</v>
      </c>
      <c r="L67" s="96" t="s">
        <v>200</v>
      </c>
      <c r="M67" s="96" t="s">
        <v>201</v>
      </c>
      <c r="N67" s="96" t="s">
        <v>160</v>
      </c>
      <c r="O67" s="101">
        <f>VLOOKUP(Tabla15[[#This Row],[Matricula Antigua]],BAJA2022202320242025!$B$3:$CR$245,93,FALSE)</f>
        <v>44237</v>
      </c>
      <c r="P67" s="316">
        <v>45698</v>
      </c>
      <c r="Q67" s="317">
        <f>Tabla15[[#This Row],[F.Vig.Final]]-Tabla15[[#This Row],[f Vig Inicio]]</f>
        <v>1461</v>
      </c>
      <c r="R67" s="318">
        <f>YEAR(Tabla15[[#This Row],[F.Vig.Final]])</f>
        <v>2025</v>
      </c>
      <c r="S67" s="96" t="s">
        <v>161</v>
      </c>
      <c r="T67" s="96" t="s">
        <v>78</v>
      </c>
      <c r="U67" s="96" t="s">
        <v>213</v>
      </c>
      <c r="V67" s="96" t="s">
        <v>237</v>
      </c>
      <c r="W67" s="96" t="s">
        <v>190</v>
      </c>
      <c r="X67" s="333" t="s">
        <v>1678</v>
      </c>
      <c r="Y67" s="96" t="s">
        <v>345</v>
      </c>
      <c r="Z67" s="98">
        <f>COUNTIF($X$3:X67, X67)</f>
        <v>3</v>
      </c>
      <c r="AA67" s="337" t="s">
        <v>1661</v>
      </c>
      <c r="AB67" s="337" t="s">
        <v>1661</v>
      </c>
      <c r="AC67" s="337" t="s">
        <v>1662</v>
      </c>
      <c r="AD67" s="337" t="s">
        <v>1663</v>
      </c>
      <c r="AE67" s="345" t="s">
        <v>1664</v>
      </c>
      <c r="AF67" s="346" t="s">
        <v>1665</v>
      </c>
      <c r="AG67" s="346" t="s">
        <v>1666</v>
      </c>
      <c r="AH67" s="337" t="s">
        <v>1649</v>
      </c>
      <c r="AI67" s="337" t="s">
        <v>346</v>
      </c>
      <c r="AJ67" s="98" t="s">
        <v>85</v>
      </c>
      <c r="AK67" s="98" t="s">
        <v>340</v>
      </c>
      <c r="AL67" s="98" t="s">
        <v>87</v>
      </c>
      <c r="AM67" s="101" t="s">
        <v>345</v>
      </c>
      <c r="AN67" s="348" t="s">
        <v>89</v>
      </c>
      <c r="AO67" s="349">
        <v>45464</v>
      </c>
      <c r="AP67" s="98">
        <f>Tabla15[[#This Row],[Renov. Flota]]-Tabla15[[#This Row],[Año]]</f>
        <v>-1</v>
      </c>
      <c r="AQ67" s="100" t="s">
        <v>190</v>
      </c>
      <c r="AR67" s="100" t="str">
        <f>VLOOKUP(Tabla15[[#This Row],[Matricula nueva]],'ALTA 20242025'!$B$2:$P$242,15,FALSE)</f>
        <v>4500409585</v>
      </c>
      <c r="AS67" s="101" t="s">
        <v>191</v>
      </c>
      <c r="AT67" s="101"/>
      <c r="AU67" s="101" t="s">
        <v>72</v>
      </c>
      <c r="AV67" s="101" t="s">
        <v>91</v>
      </c>
      <c r="AW67" s="101" t="s">
        <v>348</v>
      </c>
      <c r="AX67" s="209">
        <f>IF(Tabla15[[#This Row],[Columna2]]="M1",5.1,"")</f>
        <v>5.0999999999999996</v>
      </c>
      <c r="AY67" s="208">
        <f t="shared" si="2"/>
        <v>10</v>
      </c>
      <c r="AZ67" s="313">
        <v>13.3</v>
      </c>
      <c r="BA67" s="314">
        <f>IF(Tabla15[[#This Row],[Columna2]]="M1",13073,IF(Tabla15[[#This Row],[Columna2]]="N1",15815,IF(Tabla15[[#This Row],[Columna2]]="L3e",2831,53508)))</f>
        <v>13073</v>
      </c>
      <c r="BB67" s="350">
        <f>(Tabla15[[#This Row],[CVA]]*Tabla15[[#This Row],[F]]-Tabla15[[#This Row],[CVN]])/100*Tabla15[[#This Row],[L]]</f>
        <v>4928.5209999999997</v>
      </c>
      <c r="BC67" s="79" t="s">
        <v>70</v>
      </c>
      <c r="BD67" s="294">
        <f>VLOOKUP(B67,Tabla467824[[ID CAE2]:[AE '[kWh']]],6,FALSE)</f>
        <v>6795.3454000000002</v>
      </c>
      <c r="BE6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68" spans="1:57" ht="15.75" hidden="1" thickBot="1" x14ac:dyDescent="0.3">
      <c r="A68" s="53" t="s">
        <v>1228</v>
      </c>
      <c r="B68" s="53" t="e">
        <v>#N/A</v>
      </c>
      <c r="C68" s="96" t="s">
        <v>1229</v>
      </c>
      <c r="D68" s="96"/>
      <c r="E68" s="96"/>
      <c r="F68" s="96"/>
      <c r="G68" s="96"/>
      <c r="H68" s="96"/>
      <c r="I68" s="96"/>
      <c r="J68" s="96"/>
      <c r="K68" s="96" t="s">
        <v>73</v>
      </c>
      <c r="L68" s="96" t="s">
        <v>200</v>
      </c>
      <c r="M68" s="96" t="s">
        <v>201</v>
      </c>
      <c r="N68" s="96" t="s">
        <v>76</v>
      </c>
      <c r="O68" s="101">
        <f>VLOOKUP(Tabla15[[#This Row],[Matricula Antigua]],BAJA2022202320242025!$B$3:$CR$245,93,FALSE)</f>
        <v>43873</v>
      </c>
      <c r="P68" s="99">
        <v>45334</v>
      </c>
      <c r="Q68" s="98">
        <f>Tabla15[[#This Row],[F.Vig.Final]]-Tabla15[[#This Row],[f Vig Inicio]]</f>
        <v>1461</v>
      </c>
      <c r="R68" s="99">
        <f>YEAR(Tabla15[[#This Row],[F.Vig.Final]])</f>
        <v>2024</v>
      </c>
      <c r="S68" s="96" t="s">
        <v>77</v>
      </c>
      <c r="T68" s="96" t="s">
        <v>78</v>
      </c>
      <c r="U68" s="96" t="s">
        <v>85</v>
      </c>
      <c r="V68" s="96" t="s">
        <v>1230</v>
      </c>
      <c r="W68" s="96" t="s">
        <v>1231</v>
      </c>
      <c r="X68" s="96" t="s">
        <v>1232</v>
      </c>
      <c r="Y68" s="96" t="s">
        <v>312</v>
      </c>
      <c r="Z68" s="98">
        <f>COUNTIF($X$3:X68, X68)</f>
        <v>1</v>
      </c>
      <c r="AA68" s="98"/>
      <c r="AB68" s="98"/>
      <c r="AC68" s="98"/>
      <c r="AD68" s="98"/>
      <c r="AE68" s="322"/>
      <c r="AF68" s="98"/>
      <c r="AG68" s="98"/>
      <c r="AH68" s="98"/>
      <c r="AI68" s="98" t="e">
        <v>#N/A</v>
      </c>
      <c r="AJ68" s="98" t="e">
        <v>#N/A</v>
      </c>
      <c r="AK68" s="98" t="e">
        <v>#N/A</v>
      </c>
      <c r="AL68" s="98" t="e">
        <v>#N/A</v>
      </c>
      <c r="AM68" s="98" t="e">
        <v>#N/A</v>
      </c>
      <c r="AN68" s="99" t="e">
        <v>#N/A</v>
      </c>
      <c r="AO68" s="99" t="e">
        <v>#N/A</v>
      </c>
      <c r="AP68" s="99" t="e">
        <f>Tabla15[[#This Row],[Renov. Flota]]-Tabla15[[#This Row],[Año]]</f>
        <v>#N/A</v>
      </c>
      <c r="AQ68" s="100" t="e">
        <v>#N/A</v>
      </c>
      <c r="AR68" s="100" t="e">
        <f>VLOOKUP(Tabla15[[#This Row],[Matricula nueva]],'ALTA 20242025'!$B$2:$P$242,15,FALSE)</f>
        <v>#N/A</v>
      </c>
      <c r="AS68" s="101" t="e">
        <v>#N/A</v>
      </c>
      <c r="AT68" s="101"/>
      <c r="AU68" s="101"/>
      <c r="AV68" s="101"/>
      <c r="AW68" s="101" t="e">
        <f>VLOOKUP(Tabla15[[#This Row],[Matricula nueva]],Hoja2!$A$1:$B$224,2,FALSE)</f>
        <v>#N/A</v>
      </c>
      <c r="AX68" s="101" t="str">
        <f>IF(Tabla15[[#This Row],[Columna2]]="M1",5.1,"")</f>
        <v/>
      </c>
      <c r="AY68" s="101"/>
      <c r="AZ68" s="101"/>
      <c r="BA68" s="311">
        <f>IF(Tabla15[[#This Row],[Columna2]]="M1",13073,IF(Tabla15[[#This Row],[Columna2]]="N1",15815,IF(Tabla15[[#This Row],[Columna2]]="L3e",2831,53508)))</f>
        <v>53508</v>
      </c>
      <c r="BB68" s="311" t="e">
        <f>(Tabla15[[#This Row],[CVA]]*Tabla15[[#This Row],[F]]-Tabla15[[#This Row],[CVN]])/100*Tabla15[[#This Row],[L]]</f>
        <v>#VALUE!</v>
      </c>
      <c r="BC68" s="1"/>
      <c r="BD68" s="1" t="e">
        <f>VLOOKUP(B68,Tabla467824[[ID CAE2]:[AE '[kWh']]],6,FALSE)</f>
        <v>#N/A</v>
      </c>
      <c r="BE6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69" spans="1:57" ht="15.75" hidden="1" thickBot="1" x14ac:dyDescent="0.3">
      <c r="A69" s="53" t="s">
        <v>1233</v>
      </c>
      <c r="B69" s="53" t="e">
        <v>#N/A</v>
      </c>
      <c r="C69" s="96" t="s">
        <v>1234</v>
      </c>
      <c r="D69" s="96"/>
      <c r="E69" s="96"/>
      <c r="F69" s="96"/>
      <c r="G69" s="96"/>
      <c r="H69" s="96"/>
      <c r="I69" s="96"/>
      <c r="J69" s="96"/>
      <c r="K69" s="96" t="s">
        <v>73</v>
      </c>
      <c r="L69" s="96" t="s">
        <v>200</v>
      </c>
      <c r="M69" s="96" t="s">
        <v>201</v>
      </c>
      <c r="N69" s="96" t="s">
        <v>76</v>
      </c>
      <c r="O69" s="101">
        <f>VLOOKUP(Tabla15[[#This Row],[Matricula Antigua]],BAJA2022202320242025!$B$3:$CR$245,93,FALSE)</f>
        <v>43875</v>
      </c>
      <c r="P69" s="99">
        <v>45336</v>
      </c>
      <c r="Q69" s="98">
        <f>Tabla15[[#This Row],[F.Vig.Final]]-Tabla15[[#This Row],[f Vig Inicio]]</f>
        <v>1461</v>
      </c>
      <c r="R69" s="99">
        <f>YEAR(Tabla15[[#This Row],[F.Vig.Final]])</f>
        <v>2024</v>
      </c>
      <c r="S69" s="96" t="s">
        <v>77</v>
      </c>
      <c r="T69" s="96" t="s">
        <v>78</v>
      </c>
      <c r="U69" s="96" t="s">
        <v>85</v>
      </c>
      <c r="V69" s="96" t="s">
        <v>1230</v>
      </c>
      <c r="W69" s="96" t="s">
        <v>1235</v>
      </c>
      <c r="X69" s="96" t="s">
        <v>1236</v>
      </c>
      <c r="Y69" s="96" t="s">
        <v>312</v>
      </c>
      <c r="Z69" s="98">
        <f>COUNTIF($X$3:X69, X69)</f>
        <v>1</v>
      </c>
      <c r="AA69" s="98"/>
      <c r="AB69" s="98"/>
      <c r="AC69" s="98"/>
      <c r="AD69" s="98"/>
      <c r="AE69" s="320"/>
      <c r="AF69" s="320"/>
      <c r="AG69" s="320"/>
      <c r="AH69" s="98"/>
      <c r="AI69" s="98" t="e">
        <v>#N/A</v>
      </c>
      <c r="AJ69" s="98" t="e">
        <v>#N/A</v>
      </c>
      <c r="AK69" s="98" t="e">
        <v>#N/A</v>
      </c>
      <c r="AL69" s="98" t="e">
        <v>#N/A</v>
      </c>
      <c r="AM69" s="98" t="e">
        <v>#N/A</v>
      </c>
      <c r="AN69" s="99" t="e">
        <v>#N/A</v>
      </c>
      <c r="AO69" s="99" t="e">
        <v>#N/A</v>
      </c>
      <c r="AP69" s="99" t="e">
        <f>Tabla15[[#This Row],[Renov. Flota]]-Tabla15[[#This Row],[Año]]</f>
        <v>#N/A</v>
      </c>
      <c r="AQ69" s="100" t="e">
        <v>#N/A</v>
      </c>
      <c r="AR69" s="100" t="e">
        <f>VLOOKUP(Tabla15[[#This Row],[Matricula nueva]],'ALTA 20242025'!$B$2:$P$242,15,FALSE)</f>
        <v>#N/A</v>
      </c>
      <c r="AS69" s="101" t="e">
        <v>#N/A</v>
      </c>
      <c r="AT69" s="101"/>
      <c r="AU69" s="101"/>
      <c r="AV69" s="101"/>
      <c r="AW69" s="101" t="e">
        <f>VLOOKUP(Tabla15[[#This Row],[Matricula nueva]],Hoja2!$A$1:$B$224,2,FALSE)</f>
        <v>#N/A</v>
      </c>
      <c r="AX69" s="101" t="str">
        <f>IF(Tabla15[[#This Row],[Columna2]]="M1",5.1,"")</f>
        <v/>
      </c>
      <c r="AY69" s="101"/>
      <c r="AZ69" s="101"/>
      <c r="BA69" s="311">
        <f>IF(Tabla15[[#This Row],[Columna2]]="M1",13073,IF(Tabla15[[#This Row],[Columna2]]="N1",15815,IF(Tabla15[[#This Row],[Columna2]]="L3e",2831,53508)))</f>
        <v>53508</v>
      </c>
      <c r="BB69" s="311" t="e">
        <f>(Tabla15[[#This Row],[CVA]]*Tabla15[[#This Row],[F]]-Tabla15[[#This Row],[CVN]])/100*Tabla15[[#This Row],[L]]</f>
        <v>#VALUE!</v>
      </c>
      <c r="BC69" s="1"/>
      <c r="BD69" s="1" t="e">
        <f>VLOOKUP(B69,Tabla467824[[ID CAE2]:[AE '[kWh']]],6,FALSE)</f>
        <v>#N/A</v>
      </c>
      <c r="BE6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70" spans="1:57" ht="60" x14ac:dyDescent="0.25">
      <c r="A70" s="53" t="s">
        <v>349</v>
      </c>
      <c r="B70" s="53" t="s">
        <v>349</v>
      </c>
      <c r="C70" s="332" t="s">
        <v>350</v>
      </c>
      <c r="D70" s="104" t="s">
        <v>72</v>
      </c>
      <c r="E70" s="104"/>
      <c r="F70" s="104" t="s">
        <v>72</v>
      </c>
      <c r="G70" s="104"/>
      <c r="H70" s="104" t="s">
        <v>72</v>
      </c>
      <c r="I70" s="104" t="s">
        <v>72</v>
      </c>
      <c r="J70" s="104"/>
      <c r="K70" s="96" t="s">
        <v>73</v>
      </c>
      <c r="L70" s="96" t="s">
        <v>200</v>
      </c>
      <c r="M70" s="96" t="s">
        <v>201</v>
      </c>
      <c r="N70" s="96" t="s">
        <v>76</v>
      </c>
      <c r="O70" s="101">
        <f>VLOOKUP(Tabla15[[#This Row],[Matricula Antigua]],BAJA2022202320242025!$B$3:$CR$245,93,FALSE)</f>
        <v>44186</v>
      </c>
      <c r="P70" s="316">
        <v>45647</v>
      </c>
      <c r="Q70" s="317">
        <f>Tabla15[[#This Row],[F.Vig.Final]]-Tabla15[[#This Row],[f Vig Inicio]]</f>
        <v>1461</v>
      </c>
      <c r="R70" s="318">
        <f>YEAR(Tabla15[[#This Row],[F.Vig.Final]])</f>
        <v>2024</v>
      </c>
      <c r="S70" s="96" t="s">
        <v>77</v>
      </c>
      <c r="T70" s="96" t="s">
        <v>78</v>
      </c>
      <c r="U70" s="96" t="s">
        <v>213</v>
      </c>
      <c r="V70" s="96" t="s">
        <v>237</v>
      </c>
      <c r="W70" s="96" t="s">
        <v>336</v>
      </c>
      <c r="X70" s="332" t="s">
        <v>337</v>
      </c>
      <c r="Y70" s="96" t="s">
        <v>351</v>
      </c>
      <c r="Z70" s="98">
        <f>COUNTIF($X$3:X70, X70)</f>
        <v>2</v>
      </c>
      <c r="AA70" s="337" t="s">
        <v>1661</v>
      </c>
      <c r="AB70" s="337" t="s">
        <v>1661</v>
      </c>
      <c r="AC70" s="337" t="s">
        <v>1662</v>
      </c>
      <c r="AD70" s="341" t="s">
        <v>1682</v>
      </c>
      <c r="AE70" s="347" t="s">
        <v>1664</v>
      </c>
      <c r="AF70" s="337" t="s">
        <v>1683</v>
      </c>
      <c r="AG70" s="337" t="s">
        <v>1684</v>
      </c>
      <c r="AH70" s="337" t="s">
        <v>1649</v>
      </c>
      <c r="AI70" s="337" t="s">
        <v>352</v>
      </c>
      <c r="AJ70" s="98" t="s">
        <v>353</v>
      </c>
      <c r="AK70" s="98" t="s">
        <v>354</v>
      </c>
      <c r="AL70" s="98" t="s">
        <v>87</v>
      </c>
      <c r="AM70" s="101" t="s">
        <v>355</v>
      </c>
      <c r="AN70" s="348" t="s">
        <v>89</v>
      </c>
      <c r="AO70" s="349">
        <v>45391</v>
      </c>
      <c r="AP70" s="98">
        <f>Tabla15[[#This Row],[Renov. Flota]]-Tabla15[[#This Row],[Año]]</f>
        <v>0</v>
      </c>
      <c r="AQ70" s="100" t="s">
        <v>336</v>
      </c>
      <c r="AR70" s="100">
        <v>4500398936</v>
      </c>
      <c r="AS70" s="101" t="s">
        <v>337</v>
      </c>
      <c r="AT70" s="101"/>
      <c r="AU70" s="101" t="s">
        <v>72</v>
      </c>
      <c r="AV70" s="101" t="s">
        <v>91</v>
      </c>
      <c r="AW70" s="101" t="s">
        <v>356</v>
      </c>
      <c r="AX70" s="209">
        <f>IF(Tabla15[[#This Row],[Columna2]]="M1",5.1,"")</f>
        <v>5.0999999999999996</v>
      </c>
      <c r="AY70" s="208">
        <f t="shared" ref="AY70:AY78" si="3">IF(T70="DIESEL",10,IF(T70="GLP",7.16,9.19))</f>
        <v>10</v>
      </c>
      <c r="AZ70" s="313">
        <v>7</v>
      </c>
      <c r="BA70" s="314">
        <f>IF(Tabla15[[#This Row],[Columna2]]="M1",13073,IF(Tabla15[[#This Row],[Columna2]]="N1",15815,IF(Tabla15[[#This Row],[Columna2]]="L3e",2831,53508)))</f>
        <v>13073</v>
      </c>
      <c r="BB70" s="350">
        <f>(Tabla15[[#This Row],[CVA]]*Tabla15[[#This Row],[F]]-Tabla15[[#This Row],[CVN]])/100*Tabla15[[#This Row],[L]]</f>
        <v>5752.12</v>
      </c>
      <c r="BC70" s="69" t="s">
        <v>70</v>
      </c>
      <c r="BD70" s="294">
        <f>VLOOKUP(B70,Tabla467824[[ID CAE2]:[AE '[kWh']]],6,FALSE)</f>
        <v>6795.3454000000002</v>
      </c>
      <c r="BE7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1" spans="1:57" ht="51.75" x14ac:dyDescent="0.25">
      <c r="A71" s="53" t="s">
        <v>357</v>
      </c>
      <c r="B71" s="53" t="s">
        <v>357</v>
      </c>
      <c r="C71" s="332" t="s">
        <v>358</v>
      </c>
      <c r="D71" s="104" t="s">
        <v>72</v>
      </c>
      <c r="E71" s="104" t="s">
        <v>72</v>
      </c>
      <c r="F71" s="104" t="s">
        <v>72</v>
      </c>
      <c r="G71" s="104"/>
      <c r="H71" s="104" t="s">
        <v>72</v>
      </c>
      <c r="I71" s="104" t="s">
        <v>72</v>
      </c>
      <c r="J71" s="104"/>
      <c r="K71" s="96" t="s">
        <v>73</v>
      </c>
      <c r="L71" s="96" t="s">
        <v>200</v>
      </c>
      <c r="M71" s="96" t="s">
        <v>201</v>
      </c>
      <c r="N71" s="96" t="s">
        <v>76</v>
      </c>
      <c r="O71" s="101">
        <f>VLOOKUP(Tabla15[[#This Row],[Matricula Antigua]],BAJA2022202320242025!$B$3:$CR$245,93,FALSE)</f>
        <v>43578</v>
      </c>
      <c r="P71" s="316">
        <v>45039</v>
      </c>
      <c r="Q71" s="317">
        <f>Tabla15[[#This Row],[F.Vig.Final]]-Tabla15[[#This Row],[f Vig Inicio]]</f>
        <v>1461</v>
      </c>
      <c r="R71" s="318">
        <f>YEAR(Tabla15[[#This Row],[F.Vig.Final]])</f>
        <v>2023</v>
      </c>
      <c r="S71" s="96" t="s">
        <v>77</v>
      </c>
      <c r="T71" s="96" t="s">
        <v>78</v>
      </c>
      <c r="U71" s="96" t="s">
        <v>359</v>
      </c>
      <c r="V71" s="96" t="s">
        <v>360</v>
      </c>
      <c r="W71" s="96" t="s">
        <v>131</v>
      </c>
      <c r="X71" s="332" t="s">
        <v>132</v>
      </c>
      <c r="Y71" s="96" t="s">
        <v>133</v>
      </c>
      <c r="Z71" s="98">
        <f>COUNTIF($X$3:X71, X71)</f>
        <v>3</v>
      </c>
      <c r="AA71" s="337" t="s">
        <v>1661</v>
      </c>
      <c r="AB71" s="337" t="s">
        <v>1661</v>
      </c>
      <c r="AC71" s="337" t="s">
        <v>1662</v>
      </c>
      <c r="AD71" s="333" t="s">
        <v>1675</v>
      </c>
      <c r="AE71" s="347" t="s">
        <v>1664</v>
      </c>
      <c r="AF71" s="337" t="s">
        <v>1676</v>
      </c>
      <c r="AG71" s="337" t="s">
        <v>1677</v>
      </c>
      <c r="AH71" s="337" t="s">
        <v>1649</v>
      </c>
      <c r="AI71" s="337" t="s">
        <v>361</v>
      </c>
      <c r="AJ71" s="98" t="s">
        <v>140</v>
      </c>
      <c r="AK71" s="98" t="s">
        <v>151</v>
      </c>
      <c r="AL71" s="98" t="s">
        <v>87</v>
      </c>
      <c r="AM71" s="101" t="s">
        <v>135</v>
      </c>
      <c r="AN71" s="348" t="s">
        <v>89</v>
      </c>
      <c r="AO71" s="349">
        <v>45625</v>
      </c>
      <c r="AP71" s="98">
        <f>Tabla15[[#This Row],[Renov. Flota]]-Tabla15[[#This Row],[Año]]</f>
        <v>1</v>
      </c>
      <c r="AQ71" s="100" t="s">
        <v>131</v>
      </c>
      <c r="AR71" s="100" t="str">
        <f>VLOOKUP(Tabla15[[#This Row],[Matricula nueva]],'ALTA 20242025'!$B$2:$P$242,15,FALSE)</f>
        <v>4500426701</v>
      </c>
      <c r="AS71" s="101" t="s">
        <v>132</v>
      </c>
      <c r="AT71" s="101"/>
      <c r="AU71" s="101" t="s">
        <v>72</v>
      </c>
      <c r="AV71" s="101" t="s">
        <v>91</v>
      </c>
      <c r="AW71" s="101" t="str">
        <f>VLOOKUP(Tabla15[[#This Row],[Matricula nueva]],Hoja2!$A$1:$B$224,2,FALSE)</f>
        <v>VR7CBZYA1ST000158</v>
      </c>
      <c r="AX71" s="209">
        <f>IF(Tabla15[[#This Row],[Columna2]]="M1",5.1,"")</f>
        <v>5.0999999999999996</v>
      </c>
      <c r="AY71" s="208">
        <f t="shared" si="3"/>
        <v>10</v>
      </c>
      <c r="AZ71" s="313">
        <v>16.399999999999999</v>
      </c>
      <c r="BA71" s="314">
        <f>IF(Tabla15[[#This Row],[Columna2]]="M1",13073,IF(Tabla15[[#This Row],[Columna2]]="N1",15815,IF(Tabla15[[#This Row],[Columna2]]="L3e",2831,53508)))</f>
        <v>13073</v>
      </c>
      <c r="BB71" s="350">
        <f>(Tabla15[[#This Row],[CVA]]*Tabla15[[#This Row],[F]]-Tabla15[[#This Row],[CVN]])/100*Tabla15[[#This Row],[L]]</f>
        <v>4523.2580000000007</v>
      </c>
      <c r="BC71" s="74" t="s">
        <v>70</v>
      </c>
      <c r="BD71" s="294">
        <f>VLOOKUP(B71,Tabla467824[[ID CAE2]:[AE '[kWh']]],6,FALSE)</f>
        <v>6795.3454000000002</v>
      </c>
      <c r="BE7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2" spans="1:57" ht="51.75" x14ac:dyDescent="0.25">
      <c r="A72" s="53" t="s">
        <v>364</v>
      </c>
      <c r="B72" s="53" t="s">
        <v>364</v>
      </c>
      <c r="C72" s="332" t="s">
        <v>365</v>
      </c>
      <c r="D72" s="104" t="s">
        <v>72</v>
      </c>
      <c r="E72" s="104"/>
      <c r="F72" s="104" t="s">
        <v>72</v>
      </c>
      <c r="G72" s="104"/>
      <c r="H72" s="104" t="s">
        <v>72</v>
      </c>
      <c r="I72" s="104" t="s">
        <v>72</v>
      </c>
      <c r="J72" s="104"/>
      <c r="K72" s="96" t="s">
        <v>73</v>
      </c>
      <c r="L72" s="96" t="s">
        <v>200</v>
      </c>
      <c r="M72" s="96" t="s">
        <v>201</v>
      </c>
      <c r="N72" s="96" t="s">
        <v>76</v>
      </c>
      <c r="O72" s="101">
        <f>VLOOKUP(Tabla15[[#This Row],[Matricula Antigua]],BAJA2022202320242025!$B$3:$CR$245,93,FALSE)</f>
        <v>43726</v>
      </c>
      <c r="P72" s="316">
        <v>45553</v>
      </c>
      <c r="Q72" s="317">
        <f>Tabla15[[#This Row],[F.Vig.Final]]-Tabla15[[#This Row],[f Vig Inicio]]</f>
        <v>1827</v>
      </c>
      <c r="R72" s="318">
        <f>YEAR(Tabla15[[#This Row],[F.Vig.Final]])</f>
        <v>2024</v>
      </c>
      <c r="S72" s="96" t="s">
        <v>77</v>
      </c>
      <c r="T72" s="96" t="s">
        <v>78</v>
      </c>
      <c r="U72" s="96" t="s">
        <v>359</v>
      </c>
      <c r="V72" s="96" t="s">
        <v>360</v>
      </c>
      <c r="W72" s="96" t="s">
        <v>119</v>
      </c>
      <c r="X72" s="332" t="s">
        <v>1674</v>
      </c>
      <c r="Y72" s="96" t="s">
        <v>366</v>
      </c>
      <c r="Z72" s="98">
        <f>COUNTIF($X$3:X72, X72)</f>
        <v>10</v>
      </c>
      <c r="AA72" s="337" t="s">
        <v>1661</v>
      </c>
      <c r="AB72" s="337" t="s">
        <v>1661</v>
      </c>
      <c r="AC72" s="337" t="s">
        <v>1662</v>
      </c>
      <c r="AD72" s="337" t="s">
        <v>1663</v>
      </c>
      <c r="AE72" s="339" t="s">
        <v>1664</v>
      </c>
      <c r="AF72" s="340" t="s">
        <v>1665</v>
      </c>
      <c r="AG72" s="340" t="s">
        <v>1666</v>
      </c>
      <c r="AH72" s="337" t="s">
        <v>1649</v>
      </c>
      <c r="AI72" s="337" t="s">
        <v>367</v>
      </c>
      <c r="AJ72" s="98" t="s">
        <v>140</v>
      </c>
      <c r="AK72" s="98" t="s">
        <v>151</v>
      </c>
      <c r="AL72" s="98" t="s">
        <v>87</v>
      </c>
      <c r="AM72" s="101" t="s">
        <v>368</v>
      </c>
      <c r="AN72" s="348" t="s">
        <v>89</v>
      </c>
      <c r="AO72" s="349">
        <v>45622</v>
      </c>
      <c r="AP72" s="98">
        <f>Tabla15[[#This Row],[Renov. Flota]]-Tabla15[[#This Row],[Año]]</f>
        <v>0</v>
      </c>
      <c r="AQ72" s="100" t="s">
        <v>119</v>
      </c>
      <c r="AR72" s="100" t="str">
        <f>VLOOKUP(Tabla15[[#This Row],[Matricula nueva]],'ALTA 20242025'!$B$2:$P$242,15,FALSE)</f>
        <v>4500424789</v>
      </c>
      <c r="AS72" s="101" t="s">
        <v>120</v>
      </c>
      <c r="AT72" s="101"/>
      <c r="AU72" s="101" t="s">
        <v>72</v>
      </c>
      <c r="AV72" s="101" t="s">
        <v>91</v>
      </c>
      <c r="AW72" s="101" t="str">
        <f>VLOOKUP(Tabla15[[#This Row],[Matricula nueva]],Hoja2!$A$1:$B$224,2,FALSE)</f>
        <v>VR7CBZYA9RT152179</v>
      </c>
      <c r="AX72" s="209">
        <f>IF(Tabla15[[#This Row],[Columna2]]="M1",5.1,"")</f>
        <v>5.0999999999999996</v>
      </c>
      <c r="AY72" s="208">
        <f t="shared" si="3"/>
        <v>10</v>
      </c>
      <c r="AZ72" s="313">
        <v>16.399999999999999</v>
      </c>
      <c r="BA72" s="314">
        <f>IF(Tabla15[[#This Row],[Columna2]]="M1",13073,IF(Tabla15[[#This Row],[Columna2]]="N1",15815,IF(Tabla15[[#This Row],[Columna2]]="L3e",2831,53508)))</f>
        <v>13073</v>
      </c>
      <c r="BB72" s="350">
        <f>(Tabla15[[#This Row],[CVA]]*Tabla15[[#This Row],[F]]-Tabla15[[#This Row],[CVN]])/100*Tabla15[[#This Row],[L]]</f>
        <v>4523.2580000000007</v>
      </c>
      <c r="BC72" s="74" t="s">
        <v>70</v>
      </c>
      <c r="BD72" s="294">
        <f>VLOOKUP(B72,Tabla467824[[ID CAE2]:[AE '[kWh']]],6,FALSE)</f>
        <v>6795.3454000000002</v>
      </c>
      <c r="BE7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3" spans="1:57" ht="60" x14ac:dyDescent="0.25">
      <c r="A73" s="53" t="s">
        <v>371</v>
      </c>
      <c r="B73" s="53" t="s">
        <v>371</v>
      </c>
      <c r="C73" s="332" t="s">
        <v>372</v>
      </c>
      <c r="D73" s="104" t="s">
        <v>72</v>
      </c>
      <c r="E73" s="104" t="s">
        <v>72</v>
      </c>
      <c r="F73" s="104" t="s">
        <v>72</v>
      </c>
      <c r="G73" s="104"/>
      <c r="H73" s="104" t="s">
        <v>72</v>
      </c>
      <c r="I73" s="104" t="s">
        <v>72</v>
      </c>
      <c r="J73" s="104"/>
      <c r="K73" s="96" t="s">
        <v>73</v>
      </c>
      <c r="L73" s="96" t="s">
        <v>200</v>
      </c>
      <c r="M73" s="96" t="s">
        <v>201</v>
      </c>
      <c r="N73" s="96" t="s">
        <v>76</v>
      </c>
      <c r="O73" s="101">
        <f>VLOOKUP(Tabla15[[#This Row],[Matricula Antigua]],BAJA2022202320242025!$B$3:$CR$245,93,FALSE)</f>
        <v>43749</v>
      </c>
      <c r="P73" s="316">
        <v>45576</v>
      </c>
      <c r="Q73" s="317">
        <f>Tabla15[[#This Row],[F.Vig.Final]]-Tabla15[[#This Row],[f Vig Inicio]]</f>
        <v>1827</v>
      </c>
      <c r="R73" s="318">
        <f>YEAR(Tabla15[[#This Row],[F.Vig.Final]])</f>
        <v>2024</v>
      </c>
      <c r="S73" s="96" t="s">
        <v>77</v>
      </c>
      <c r="T73" s="96" t="s">
        <v>78</v>
      </c>
      <c r="U73" s="96" t="s">
        <v>359</v>
      </c>
      <c r="V73" s="96" t="s">
        <v>360</v>
      </c>
      <c r="W73" s="96" t="s">
        <v>336</v>
      </c>
      <c r="X73" s="332" t="s">
        <v>337</v>
      </c>
      <c r="Y73" s="96" t="s">
        <v>373</v>
      </c>
      <c r="Z73" s="98">
        <f>COUNTIF($X$3:X73, X73)</f>
        <v>3</v>
      </c>
      <c r="AA73" s="337" t="s">
        <v>1661</v>
      </c>
      <c r="AB73" s="337" t="s">
        <v>1661</v>
      </c>
      <c r="AC73" s="337" t="s">
        <v>1662</v>
      </c>
      <c r="AD73" s="341" t="s">
        <v>1682</v>
      </c>
      <c r="AE73" s="347" t="s">
        <v>1664</v>
      </c>
      <c r="AF73" s="337" t="s">
        <v>1683</v>
      </c>
      <c r="AG73" s="337" t="s">
        <v>1684</v>
      </c>
      <c r="AH73" s="337" t="s">
        <v>1649</v>
      </c>
      <c r="AI73" s="337" t="s">
        <v>374</v>
      </c>
      <c r="AJ73" s="98" t="s">
        <v>140</v>
      </c>
      <c r="AK73" s="98" t="s">
        <v>151</v>
      </c>
      <c r="AL73" s="98" t="s">
        <v>87</v>
      </c>
      <c r="AM73" s="101" t="s">
        <v>338</v>
      </c>
      <c r="AN73" s="348" t="s">
        <v>89</v>
      </c>
      <c r="AO73" s="349">
        <v>45625</v>
      </c>
      <c r="AP73" s="98">
        <f>Tabla15[[#This Row],[Renov. Flota]]-Tabla15[[#This Row],[Año]]</f>
        <v>0</v>
      </c>
      <c r="AQ73" s="100" t="s">
        <v>336</v>
      </c>
      <c r="AR73" s="100" t="str">
        <f>VLOOKUP(Tabla15[[#This Row],[Matricula nueva]],'ALTA 20242025'!$B$2:$P$242,15,FALSE)</f>
        <v>4500424798</v>
      </c>
      <c r="AS73" s="101" t="s">
        <v>337</v>
      </c>
      <c r="AT73" s="101"/>
      <c r="AU73" s="101" t="s">
        <v>72</v>
      </c>
      <c r="AV73" s="101" t="s">
        <v>91</v>
      </c>
      <c r="AW73" s="101" t="str">
        <f>VLOOKUP(Tabla15[[#This Row],[Matricula nueva]],Hoja2!$A$1:$B$224,2,FALSE)</f>
        <v>VR7CBZYA9RT153042</v>
      </c>
      <c r="AX73" s="209">
        <f>IF(Tabla15[[#This Row],[Columna2]]="M1",5.1,"")</f>
        <v>5.0999999999999996</v>
      </c>
      <c r="AY73" s="208">
        <f t="shared" si="3"/>
        <v>10</v>
      </c>
      <c r="AZ73" s="313">
        <v>16.399999999999999</v>
      </c>
      <c r="BA73" s="314">
        <f>IF(Tabla15[[#This Row],[Columna2]]="M1",13073,IF(Tabla15[[#This Row],[Columna2]]="N1",15815,IF(Tabla15[[#This Row],[Columna2]]="L3e",2831,53508)))</f>
        <v>13073</v>
      </c>
      <c r="BB73" s="350">
        <f>(Tabla15[[#This Row],[CVA]]*Tabla15[[#This Row],[F]]-Tabla15[[#This Row],[CVN]])/100*Tabla15[[#This Row],[L]]</f>
        <v>4523.2580000000007</v>
      </c>
      <c r="BC73" s="74" t="s">
        <v>70</v>
      </c>
      <c r="BD73" s="294">
        <f>VLOOKUP(B73,Tabla467824[[ID CAE2]:[AE '[kWh']]],6,FALSE)</f>
        <v>6795.3454000000002</v>
      </c>
      <c r="BE7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4" spans="1:57" ht="60" x14ac:dyDescent="0.25">
      <c r="A74" s="53" t="s">
        <v>377</v>
      </c>
      <c r="B74" s="53" t="s">
        <v>377</v>
      </c>
      <c r="C74" s="332" t="s">
        <v>378</v>
      </c>
      <c r="D74" s="104" t="s">
        <v>72</v>
      </c>
      <c r="E74" s="104" t="s">
        <v>72</v>
      </c>
      <c r="F74" s="104" t="s">
        <v>72</v>
      </c>
      <c r="G74" s="104"/>
      <c r="H74" s="104" t="s">
        <v>72</v>
      </c>
      <c r="I74" s="104" t="s">
        <v>72</v>
      </c>
      <c r="J74" s="104"/>
      <c r="K74" s="96" t="s">
        <v>73</v>
      </c>
      <c r="L74" s="96" t="s">
        <v>200</v>
      </c>
      <c r="M74" s="96" t="s">
        <v>201</v>
      </c>
      <c r="N74" s="96" t="s">
        <v>160</v>
      </c>
      <c r="O74" s="101">
        <f>VLOOKUP(Tabla15[[#This Row],[Matricula Antigua]],BAJA2022202320242025!$B$3:$CR$245,93,FALSE)</f>
        <v>43522</v>
      </c>
      <c r="P74" s="316">
        <v>45348</v>
      </c>
      <c r="Q74" s="317">
        <f>Tabla15[[#This Row],[F.Vig.Final]]-Tabla15[[#This Row],[f Vig Inicio]]</f>
        <v>1826</v>
      </c>
      <c r="R74" s="318">
        <f>YEAR(Tabla15[[#This Row],[F.Vig.Final]])</f>
        <v>2024</v>
      </c>
      <c r="S74" s="96" t="s">
        <v>161</v>
      </c>
      <c r="T74" s="96" t="s">
        <v>78</v>
      </c>
      <c r="U74" s="96" t="s">
        <v>359</v>
      </c>
      <c r="V74" s="96" t="s">
        <v>360</v>
      </c>
      <c r="W74" s="96" t="s">
        <v>336</v>
      </c>
      <c r="X74" s="332" t="s">
        <v>337</v>
      </c>
      <c r="Y74" s="96" t="s">
        <v>373</v>
      </c>
      <c r="Z74" s="98">
        <f>COUNTIF($X$3:X74, X74)</f>
        <v>4</v>
      </c>
      <c r="AA74" s="337" t="s">
        <v>1661</v>
      </c>
      <c r="AB74" s="337" t="s">
        <v>1661</v>
      </c>
      <c r="AC74" s="337" t="s">
        <v>1662</v>
      </c>
      <c r="AD74" s="341" t="s">
        <v>1682</v>
      </c>
      <c r="AE74" s="347" t="s">
        <v>1664</v>
      </c>
      <c r="AF74" s="337" t="s">
        <v>1683</v>
      </c>
      <c r="AG74" s="337" t="s">
        <v>1684</v>
      </c>
      <c r="AH74" s="337" t="s">
        <v>1649</v>
      </c>
      <c r="AI74" s="337" t="s">
        <v>379</v>
      </c>
      <c r="AJ74" s="98" t="s">
        <v>380</v>
      </c>
      <c r="AK74" s="98" t="s">
        <v>381</v>
      </c>
      <c r="AL74" s="98" t="s">
        <v>87</v>
      </c>
      <c r="AM74" s="101" t="s">
        <v>382</v>
      </c>
      <c r="AN74" s="348" t="s">
        <v>89</v>
      </c>
      <c r="AO74" s="349">
        <v>45483</v>
      </c>
      <c r="AP74" s="98">
        <f>Tabla15[[#This Row],[Renov. Flota]]-Tabla15[[#This Row],[Año]]</f>
        <v>0</v>
      </c>
      <c r="AQ74" s="100" t="s">
        <v>336</v>
      </c>
      <c r="AR74" s="100">
        <v>4500407442</v>
      </c>
      <c r="AS74" s="101" t="s">
        <v>337</v>
      </c>
      <c r="AT74" s="101"/>
      <c r="AU74" s="101" t="s">
        <v>72</v>
      </c>
      <c r="AV74" s="101" t="s">
        <v>91</v>
      </c>
      <c r="AW74" s="101" t="s">
        <v>383</v>
      </c>
      <c r="AX74" s="209">
        <f>IF(Tabla15[[#This Row],[Columna2]]="M1",5.1,"")</f>
        <v>5.0999999999999996</v>
      </c>
      <c r="AY74" s="208">
        <f t="shared" si="3"/>
        <v>10</v>
      </c>
      <c r="AZ74" s="313">
        <v>20</v>
      </c>
      <c r="BA74" s="314">
        <f>IF(Tabla15[[#This Row],[Columna2]]="M1",13073,IF(Tabla15[[#This Row],[Columna2]]="N1",15815,IF(Tabla15[[#This Row],[Columna2]]="L3e",2831,53508)))</f>
        <v>13073</v>
      </c>
      <c r="BB74" s="350">
        <f>(Tabla15[[#This Row],[CVA]]*Tabla15[[#This Row],[F]]-Tabla15[[#This Row],[CVN]])/100*Tabla15[[#This Row],[L]]</f>
        <v>4052.63</v>
      </c>
      <c r="BC74" s="74" t="s">
        <v>70</v>
      </c>
      <c r="BD74" s="294">
        <f>VLOOKUP(B74,Tabla467824[[ID CAE2]:[AE '[kWh']]],6,FALSE)</f>
        <v>6795.3454000000002</v>
      </c>
      <c r="BE7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5" spans="1:57" ht="51.75" x14ac:dyDescent="0.25">
      <c r="A75" s="53" t="s">
        <v>384</v>
      </c>
      <c r="B75" s="53" t="s">
        <v>384</v>
      </c>
      <c r="C75" s="332" t="s">
        <v>385</v>
      </c>
      <c r="D75" s="104" t="s">
        <v>72</v>
      </c>
      <c r="E75" s="104"/>
      <c r="F75" s="104" t="s">
        <v>72</v>
      </c>
      <c r="G75" s="104"/>
      <c r="H75" s="104" t="s">
        <v>72</v>
      </c>
      <c r="I75" s="104" t="s">
        <v>72</v>
      </c>
      <c r="J75" s="104"/>
      <c r="K75" s="96" t="s">
        <v>73</v>
      </c>
      <c r="L75" s="96" t="s">
        <v>200</v>
      </c>
      <c r="M75" s="96" t="s">
        <v>201</v>
      </c>
      <c r="N75" s="96" t="s">
        <v>76</v>
      </c>
      <c r="O75" s="101">
        <f>VLOOKUP(Tabla15[[#This Row],[Matricula Antigua]],BAJA2022202320242025!$B$3:$CR$245,93,FALSE)</f>
        <v>43584</v>
      </c>
      <c r="P75" s="316">
        <v>45045</v>
      </c>
      <c r="Q75" s="317">
        <f>Tabla15[[#This Row],[F.Vig.Final]]-Tabla15[[#This Row],[f Vig Inicio]]</f>
        <v>1461</v>
      </c>
      <c r="R75" s="318">
        <f>YEAR(Tabla15[[#This Row],[F.Vig.Final]])</f>
        <v>2023</v>
      </c>
      <c r="S75" s="96" t="s">
        <v>77</v>
      </c>
      <c r="T75" s="96" t="s">
        <v>78</v>
      </c>
      <c r="U75" s="96" t="s">
        <v>359</v>
      </c>
      <c r="V75" s="96" t="s">
        <v>360</v>
      </c>
      <c r="W75" s="96" t="s">
        <v>119</v>
      </c>
      <c r="X75" s="332" t="s">
        <v>1674</v>
      </c>
      <c r="Y75" s="96" t="s">
        <v>386</v>
      </c>
      <c r="Z75" s="98">
        <f>COUNTIF($X$3:X75, X75)</f>
        <v>11</v>
      </c>
      <c r="AA75" s="337" t="s">
        <v>1661</v>
      </c>
      <c r="AB75" s="337" t="s">
        <v>1661</v>
      </c>
      <c r="AC75" s="337" t="s">
        <v>1662</v>
      </c>
      <c r="AD75" s="337" t="s">
        <v>1663</v>
      </c>
      <c r="AE75" s="345" t="s">
        <v>1664</v>
      </c>
      <c r="AF75" s="346" t="s">
        <v>1665</v>
      </c>
      <c r="AG75" s="346" t="s">
        <v>1666</v>
      </c>
      <c r="AH75" s="337" t="s">
        <v>1649</v>
      </c>
      <c r="AI75" s="337" t="s">
        <v>387</v>
      </c>
      <c r="AJ75" s="98" t="s">
        <v>85</v>
      </c>
      <c r="AK75" s="98" t="s">
        <v>86</v>
      </c>
      <c r="AL75" s="98" t="s">
        <v>87</v>
      </c>
      <c r="AM75" s="101" t="s">
        <v>152</v>
      </c>
      <c r="AN75" s="348" t="s">
        <v>89</v>
      </c>
      <c r="AO75" s="349">
        <v>45645</v>
      </c>
      <c r="AP75" s="98">
        <f>Tabla15[[#This Row],[Renov. Flota]]-Tabla15[[#This Row],[Año]]</f>
        <v>1</v>
      </c>
      <c r="AQ75" s="100" t="s">
        <v>119</v>
      </c>
      <c r="AR75" s="100" t="str">
        <f>VLOOKUP(Tabla15[[#This Row],[Matricula nueva]],'ALTA 20242025'!$B$2:$P$242,15,FALSE)</f>
        <v>4500426873</v>
      </c>
      <c r="AS75" s="101" t="s">
        <v>120</v>
      </c>
      <c r="AT75" s="101"/>
      <c r="AU75" s="101" t="s">
        <v>72</v>
      </c>
      <c r="AV75" s="101" t="s">
        <v>91</v>
      </c>
      <c r="AW75" s="101" t="str">
        <f>VLOOKUP(Tabla15[[#This Row],[Matricula nueva]],Hoja2!$A$1:$B$224,2,FALSE)</f>
        <v>VF1RFK00073934264</v>
      </c>
      <c r="AX75" s="209">
        <f>IF(Tabla15[[#This Row],[Columna2]]="M1",5.1,"")</f>
        <v>5.0999999999999996</v>
      </c>
      <c r="AY75" s="208">
        <f t="shared" si="3"/>
        <v>10</v>
      </c>
      <c r="AZ75" s="313">
        <v>17.3</v>
      </c>
      <c r="BA75" s="314">
        <f>IF(Tabla15[[#This Row],[Columna2]]="M1",13073,IF(Tabla15[[#This Row],[Columna2]]="N1",15815,IF(Tabla15[[#This Row],[Columna2]]="L3e",2831,53508)))</f>
        <v>13073</v>
      </c>
      <c r="BB75" s="350">
        <f>(Tabla15[[#This Row],[CVA]]*Tabla15[[#This Row],[F]]-Tabla15[[#This Row],[CVN]])/100*Tabla15[[#This Row],[L]]</f>
        <v>4405.6010000000006</v>
      </c>
      <c r="BC75" s="74" t="s">
        <v>70</v>
      </c>
      <c r="BD75" s="294">
        <f>VLOOKUP(B75,Tabla467824[[ID CAE2]:[AE '[kWh']]],6,FALSE)</f>
        <v>6795.3454000000002</v>
      </c>
      <c r="BE7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6" spans="1:57" ht="51.75" x14ac:dyDescent="0.25">
      <c r="A76" s="53" t="s">
        <v>390</v>
      </c>
      <c r="B76" s="53" t="s">
        <v>390</v>
      </c>
      <c r="C76" s="332" t="s">
        <v>391</v>
      </c>
      <c r="D76" s="104" t="s">
        <v>72</v>
      </c>
      <c r="E76" s="104"/>
      <c r="F76" s="104" t="s">
        <v>72</v>
      </c>
      <c r="G76" s="104"/>
      <c r="H76" s="104" t="s">
        <v>72</v>
      </c>
      <c r="I76" s="104" t="s">
        <v>72</v>
      </c>
      <c r="J76" s="104"/>
      <c r="K76" s="96" t="s">
        <v>73</v>
      </c>
      <c r="L76" s="96" t="s">
        <v>200</v>
      </c>
      <c r="M76" s="96" t="s">
        <v>201</v>
      </c>
      <c r="N76" s="96" t="s">
        <v>76</v>
      </c>
      <c r="O76" s="101">
        <f>VLOOKUP(Tabla15[[#This Row],[Matricula Antigua]],BAJA2022202320242025!$B$3:$CR$245,93,FALSE)</f>
        <v>43747</v>
      </c>
      <c r="P76" s="316">
        <v>45208</v>
      </c>
      <c r="Q76" s="317">
        <f>Tabla15[[#This Row],[F.Vig.Final]]-Tabla15[[#This Row],[f Vig Inicio]]</f>
        <v>1461</v>
      </c>
      <c r="R76" s="318">
        <f>YEAR(Tabla15[[#This Row],[F.Vig.Final]])</f>
        <v>2023</v>
      </c>
      <c r="S76" s="96" t="s">
        <v>77</v>
      </c>
      <c r="T76" s="96" t="s">
        <v>78</v>
      </c>
      <c r="U76" s="96" t="s">
        <v>359</v>
      </c>
      <c r="V76" s="96" t="s">
        <v>360</v>
      </c>
      <c r="W76" s="96" t="s">
        <v>131</v>
      </c>
      <c r="X76" s="332" t="s">
        <v>132</v>
      </c>
      <c r="Y76" s="96" t="s">
        <v>392</v>
      </c>
      <c r="Z76" s="98">
        <f>COUNTIF($X$3:X76, X76)</f>
        <v>4</v>
      </c>
      <c r="AA76" s="337" t="s">
        <v>1661</v>
      </c>
      <c r="AB76" s="337" t="s">
        <v>1661</v>
      </c>
      <c r="AC76" s="337" t="s">
        <v>1662</v>
      </c>
      <c r="AD76" s="333" t="s">
        <v>1675</v>
      </c>
      <c r="AE76" s="347" t="s">
        <v>1664</v>
      </c>
      <c r="AF76" s="337" t="s">
        <v>1676</v>
      </c>
      <c r="AG76" s="337" t="s">
        <v>1677</v>
      </c>
      <c r="AH76" s="337" t="s">
        <v>1649</v>
      </c>
      <c r="AI76" s="337" t="s">
        <v>393</v>
      </c>
      <c r="AJ76" s="98" t="s">
        <v>85</v>
      </c>
      <c r="AK76" s="98" t="s">
        <v>86</v>
      </c>
      <c r="AL76" s="98" t="s">
        <v>87</v>
      </c>
      <c r="AM76" s="101" t="s">
        <v>318</v>
      </c>
      <c r="AN76" s="348" t="s">
        <v>89</v>
      </c>
      <c r="AO76" s="349">
        <v>45625</v>
      </c>
      <c r="AP76" s="98">
        <f>Tabla15[[#This Row],[Renov. Flota]]-Tabla15[[#This Row],[Año]]</f>
        <v>1</v>
      </c>
      <c r="AQ76" s="100" t="s">
        <v>131</v>
      </c>
      <c r="AR76" s="100" t="str">
        <f>VLOOKUP(Tabla15[[#This Row],[Matricula nueva]],'ALTA 20242025'!$B$2:$P$242,15,FALSE)</f>
        <v>4500426766</v>
      </c>
      <c r="AS76" s="101" t="s">
        <v>132</v>
      </c>
      <c r="AT76" s="101"/>
      <c r="AU76" s="101" t="s">
        <v>72</v>
      </c>
      <c r="AV76" s="101" t="s">
        <v>91</v>
      </c>
      <c r="AW76" s="101" t="str">
        <f>VLOOKUP(Tabla15[[#This Row],[Matricula nueva]],Hoja2!$A$1:$B$224,2,FALSE)</f>
        <v>VF1RFK00X73824810</v>
      </c>
      <c r="AX76" s="209">
        <f>IF(Tabla15[[#This Row],[Columna2]]="M1",5.1,"")</f>
        <v>5.0999999999999996</v>
      </c>
      <c r="AY76" s="208">
        <f t="shared" si="3"/>
        <v>10</v>
      </c>
      <c r="AZ76" s="313">
        <v>17.3</v>
      </c>
      <c r="BA76" s="314">
        <f>IF(Tabla15[[#This Row],[Columna2]]="M1",13073,IF(Tabla15[[#This Row],[Columna2]]="N1",15815,IF(Tabla15[[#This Row],[Columna2]]="L3e",2831,53508)))</f>
        <v>13073</v>
      </c>
      <c r="BB76" s="350">
        <f>(Tabla15[[#This Row],[CVA]]*Tabla15[[#This Row],[F]]-Tabla15[[#This Row],[CVN]])/100*Tabla15[[#This Row],[L]]</f>
        <v>4405.6010000000006</v>
      </c>
      <c r="BC76" s="74" t="s">
        <v>70</v>
      </c>
      <c r="BD76" s="294">
        <f>VLOOKUP(B76,Tabla467824[[ID CAE2]:[AE '[kWh']]],6,FALSE)</f>
        <v>6795.3454000000002</v>
      </c>
      <c r="BE7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7" spans="1:57" ht="51.75" x14ac:dyDescent="0.25">
      <c r="A77" s="53" t="s">
        <v>396</v>
      </c>
      <c r="B77" s="53" t="s">
        <v>396</v>
      </c>
      <c r="C77" s="332" t="s">
        <v>397</v>
      </c>
      <c r="D77" s="104" t="s">
        <v>72</v>
      </c>
      <c r="E77" s="104"/>
      <c r="F77" s="104" t="s">
        <v>72</v>
      </c>
      <c r="G77" s="104"/>
      <c r="H77" s="104" t="s">
        <v>72</v>
      </c>
      <c r="I77" s="104" t="s">
        <v>72</v>
      </c>
      <c r="J77" s="104"/>
      <c r="K77" s="96" t="s">
        <v>73</v>
      </c>
      <c r="L77" s="96" t="s">
        <v>200</v>
      </c>
      <c r="M77" s="96" t="s">
        <v>201</v>
      </c>
      <c r="N77" s="96" t="s">
        <v>76</v>
      </c>
      <c r="O77" s="101">
        <f>VLOOKUP(Tabla15[[#This Row],[Matricula Antigua]],BAJA2022202320242025!$B$3:$CR$245,93,FALSE)</f>
        <v>43619</v>
      </c>
      <c r="P77" s="316">
        <v>45476</v>
      </c>
      <c r="Q77" s="317">
        <f>Tabla15[[#This Row],[F.Vig.Final]]-Tabla15[[#This Row],[f Vig Inicio]]</f>
        <v>1857</v>
      </c>
      <c r="R77" s="318">
        <f>YEAR(Tabla15[[#This Row],[F.Vig.Final]])</f>
        <v>2024</v>
      </c>
      <c r="S77" s="96" t="s">
        <v>77</v>
      </c>
      <c r="T77" s="96" t="s">
        <v>78</v>
      </c>
      <c r="U77" s="96" t="s">
        <v>359</v>
      </c>
      <c r="V77" s="96" t="s">
        <v>360</v>
      </c>
      <c r="W77" s="96" t="s">
        <v>119</v>
      </c>
      <c r="X77" s="332" t="s">
        <v>1674</v>
      </c>
      <c r="Y77" s="96" t="s">
        <v>366</v>
      </c>
      <c r="Z77" s="98">
        <f>COUNTIF($X$3:X77, X77)</f>
        <v>12</v>
      </c>
      <c r="AA77" s="337" t="s">
        <v>1661</v>
      </c>
      <c r="AB77" s="337" t="s">
        <v>1661</v>
      </c>
      <c r="AC77" s="337" t="s">
        <v>1662</v>
      </c>
      <c r="AD77" s="337" t="s">
        <v>1663</v>
      </c>
      <c r="AE77" s="342" t="s">
        <v>1664</v>
      </c>
      <c r="AF77" s="337" t="s">
        <v>1665</v>
      </c>
      <c r="AG77" s="337" t="s">
        <v>1666</v>
      </c>
      <c r="AH77" s="337" t="s">
        <v>1649</v>
      </c>
      <c r="AI77" s="337" t="s">
        <v>398</v>
      </c>
      <c r="AJ77" s="98" t="s">
        <v>85</v>
      </c>
      <c r="AK77" s="98" t="s">
        <v>86</v>
      </c>
      <c r="AL77" s="98" t="s">
        <v>87</v>
      </c>
      <c r="AM77" s="101" t="s">
        <v>325</v>
      </c>
      <c r="AN77" s="348" t="s">
        <v>89</v>
      </c>
      <c r="AO77" s="349">
        <v>45645</v>
      </c>
      <c r="AP77" s="98">
        <f>Tabla15[[#This Row],[Renov. Flota]]-Tabla15[[#This Row],[Año]]</f>
        <v>0</v>
      </c>
      <c r="AQ77" s="100" t="s">
        <v>119</v>
      </c>
      <c r="AR77" s="100" t="str">
        <f>VLOOKUP(Tabla15[[#This Row],[Matricula nueva]],'ALTA 20242025'!$B$2:$P$242,15,FALSE)</f>
        <v>4500426758</v>
      </c>
      <c r="AS77" s="101" t="s">
        <v>120</v>
      </c>
      <c r="AT77" s="101"/>
      <c r="AU77" s="101" t="s">
        <v>72</v>
      </c>
      <c r="AV77" s="101" t="s">
        <v>91</v>
      </c>
      <c r="AW77" s="101" t="str">
        <f>VLOOKUP(Tabla15[[#This Row],[Matricula nueva]],Hoja2!$A$1:$B$224,2,FALSE)</f>
        <v>VF1RFK00873824885</v>
      </c>
      <c r="AX77" s="209">
        <f>IF(Tabla15[[#This Row],[Columna2]]="M1",5.1,"")</f>
        <v>5.0999999999999996</v>
      </c>
      <c r="AY77" s="208">
        <f t="shared" si="3"/>
        <v>10</v>
      </c>
      <c r="AZ77" s="313">
        <v>17.3</v>
      </c>
      <c r="BA77" s="314">
        <f>IF(Tabla15[[#This Row],[Columna2]]="M1",13073,IF(Tabla15[[#This Row],[Columna2]]="N1",15815,IF(Tabla15[[#This Row],[Columna2]]="L3e",2831,53508)))</f>
        <v>13073</v>
      </c>
      <c r="BB77" s="350">
        <f>(Tabla15[[#This Row],[CVA]]*Tabla15[[#This Row],[F]]-Tabla15[[#This Row],[CVN]])/100*Tabla15[[#This Row],[L]]</f>
        <v>4405.6010000000006</v>
      </c>
      <c r="BC77" s="74" t="s">
        <v>70</v>
      </c>
      <c r="BD77" s="294">
        <f>VLOOKUP(B77,Tabla467824[[ID CAE2]:[AE '[kWh']]],6,FALSE)</f>
        <v>6795.3454000000002</v>
      </c>
      <c r="BE7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8" spans="1:57" ht="52.5" thickBot="1" x14ac:dyDescent="0.3">
      <c r="A78" s="53" t="s">
        <v>401</v>
      </c>
      <c r="B78" s="53" t="s">
        <v>401</v>
      </c>
      <c r="C78" s="332" t="s">
        <v>402</v>
      </c>
      <c r="D78" s="104" t="s">
        <v>72</v>
      </c>
      <c r="E78" s="104" t="s">
        <v>72</v>
      </c>
      <c r="F78" s="104" t="s">
        <v>72</v>
      </c>
      <c r="G78" s="104"/>
      <c r="H78" s="104" t="s">
        <v>72</v>
      </c>
      <c r="I78" s="104" t="s">
        <v>72</v>
      </c>
      <c r="J78" s="104"/>
      <c r="K78" s="96" t="s">
        <v>73</v>
      </c>
      <c r="L78" s="96" t="s">
        <v>200</v>
      </c>
      <c r="M78" s="96" t="s">
        <v>201</v>
      </c>
      <c r="N78" s="96" t="s">
        <v>76</v>
      </c>
      <c r="O78" s="101">
        <f>VLOOKUP(Tabla15[[#This Row],[Matricula Antigua]],BAJA2022202320242025!$B$3:$CR$245,93,FALSE)</f>
        <v>43749</v>
      </c>
      <c r="P78" s="316">
        <v>45576</v>
      </c>
      <c r="Q78" s="317">
        <f>Tabla15[[#This Row],[F.Vig.Final]]-Tabla15[[#This Row],[f Vig Inicio]]</f>
        <v>1827</v>
      </c>
      <c r="R78" s="318">
        <f>YEAR(Tabla15[[#This Row],[F.Vig.Final]])</f>
        <v>2024</v>
      </c>
      <c r="S78" s="96" t="s">
        <v>77</v>
      </c>
      <c r="T78" s="96" t="s">
        <v>78</v>
      </c>
      <c r="U78" s="96" t="s">
        <v>359</v>
      </c>
      <c r="V78" s="96" t="s">
        <v>360</v>
      </c>
      <c r="W78" s="96" t="s">
        <v>403</v>
      </c>
      <c r="X78" s="332" t="s">
        <v>404</v>
      </c>
      <c r="Y78" s="96" t="s">
        <v>405</v>
      </c>
      <c r="Z78" s="98">
        <f>COUNTIF($X$3:X78, X78)</f>
        <v>1</v>
      </c>
      <c r="AA78" s="337" t="s">
        <v>1661</v>
      </c>
      <c r="AB78" s="337" t="s">
        <v>1661</v>
      </c>
      <c r="AC78" s="337" t="s">
        <v>1662</v>
      </c>
      <c r="AD78" s="337" t="s">
        <v>1663</v>
      </c>
      <c r="AE78" s="342" t="s">
        <v>1664</v>
      </c>
      <c r="AF78" s="337" t="s">
        <v>1665</v>
      </c>
      <c r="AG78" s="337" t="s">
        <v>1666</v>
      </c>
      <c r="AH78" s="337" t="s">
        <v>1649</v>
      </c>
      <c r="AI78" s="337" t="s">
        <v>406</v>
      </c>
      <c r="AJ78" s="98" t="s">
        <v>85</v>
      </c>
      <c r="AK78" s="98" t="s">
        <v>86</v>
      </c>
      <c r="AL78" s="98" t="s">
        <v>87</v>
      </c>
      <c r="AM78" s="101" t="s">
        <v>407</v>
      </c>
      <c r="AN78" s="348" t="s">
        <v>89</v>
      </c>
      <c r="AO78" s="349">
        <v>45645</v>
      </c>
      <c r="AP78" s="98">
        <f>Tabla15[[#This Row],[Renov. Flota]]-Tabla15[[#This Row],[Año]]</f>
        <v>0</v>
      </c>
      <c r="AQ78" s="100" t="s">
        <v>403</v>
      </c>
      <c r="AR78" s="100" t="str">
        <f>VLOOKUP(Tabla15[[#This Row],[Matricula nueva]],'ALTA 20242025'!$B$2:$P$242,15,FALSE)</f>
        <v>4500426808</v>
      </c>
      <c r="AS78" s="101" t="s">
        <v>404</v>
      </c>
      <c r="AT78" s="101"/>
      <c r="AU78" s="101" t="s">
        <v>72</v>
      </c>
      <c r="AV78" s="101" t="s">
        <v>91</v>
      </c>
      <c r="AW78" s="101" t="str">
        <f>VLOOKUP(Tabla15[[#This Row],[Matricula nueva]],Hoja2!$A$1:$B$224,2,FALSE)</f>
        <v>VF1RFK00873934304</v>
      </c>
      <c r="AX78" s="209">
        <f>IF(Tabla15[[#This Row],[Columna2]]="M1",5.1,"")</f>
        <v>5.0999999999999996</v>
      </c>
      <c r="AY78" s="208">
        <f t="shared" si="3"/>
        <v>10</v>
      </c>
      <c r="AZ78" s="313">
        <v>17.3</v>
      </c>
      <c r="BA78" s="314">
        <f>IF(Tabla15[[#This Row],[Columna2]]="M1",13073,IF(Tabla15[[#This Row],[Columna2]]="N1",15815,IF(Tabla15[[#This Row],[Columna2]]="L3e",2831,53508)))</f>
        <v>13073</v>
      </c>
      <c r="BB78" s="350">
        <f>(Tabla15[[#This Row],[CVA]]*Tabla15[[#This Row],[F]]-Tabla15[[#This Row],[CVN]])/100*Tabla15[[#This Row],[L]]</f>
        <v>4405.6010000000006</v>
      </c>
      <c r="BC78" s="79" t="s">
        <v>70</v>
      </c>
      <c r="BD78" s="294">
        <f>VLOOKUP(B78,Tabla467824[[ID CAE2]:[AE '[kWh']]],6,FALSE)</f>
        <v>6795.3454000000002</v>
      </c>
      <c r="BE7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79" spans="1:57" ht="15.75" hidden="1" thickBot="1" x14ac:dyDescent="0.3">
      <c r="A79" s="53" t="s">
        <v>1237</v>
      </c>
      <c r="B79" s="53" t="e">
        <v>#N/A</v>
      </c>
      <c r="C79" s="96" t="s">
        <v>1238</v>
      </c>
      <c r="D79" s="96"/>
      <c r="E79" s="96"/>
      <c r="F79" s="96"/>
      <c r="G79" s="96"/>
      <c r="H79" s="96"/>
      <c r="I79" s="96"/>
      <c r="J79" s="96"/>
      <c r="K79" s="96" t="s">
        <v>885</v>
      </c>
      <c r="L79" s="96" t="s">
        <v>161</v>
      </c>
      <c r="M79" s="96" t="s">
        <v>886</v>
      </c>
      <c r="N79" s="96" t="s">
        <v>171</v>
      </c>
      <c r="O79" s="101">
        <f>VLOOKUP(Tabla15[[#This Row],[Matricula Antigua]],BAJA2022202320242025!$B$3:$CR$245,93,FALSE)</f>
        <v>44330</v>
      </c>
      <c r="P79" s="99">
        <v>45382</v>
      </c>
      <c r="Q79" s="98">
        <f>Tabla15[[#This Row],[F.Vig.Final]]-Tabla15[[#This Row],[f Vig Inicio]]</f>
        <v>1052</v>
      </c>
      <c r="R79" s="99">
        <f>YEAR(Tabla15[[#This Row],[F.Vig.Final]])</f>
        <v>2024</v>
      </c>
      <c r="S79" s="96" t="s">
        <v>172</v>
      </c>
      <c r="T79" s="96" t="s">
        <v>78</v>
      </c>
      <c r="U79" s="96" t="s">
        <v>140</v>
      </c>
      <c r="V79" s="96" t="s">
        <v>1239</v>
      </c>
      <c r="W79" s="96" t="s">
        <v>1240</v>
      </c>
      <c r="X79" s="96" t="s">
        <v>1241</v>
      </c>
      <c r="Y79" s="96" t="s">
        <v>1242</v>
      </c>
      <c r="Z79" s="98">
        <f>COUNTIF($X$3:X79, X79)</f>
        <v>1</v>
      </c>
      <c r="AA79" s="98"/>
      <c r="AB79" s="98"/>
      <c r="AC79" s="98"/>
      <c r="AD79" s="98"/>
      <c r="AE79" s="321"/>
      <c r="AF79" s="98"/>
      <c r="AG79" s="98"/>
      <c r="AH79" s="98"/>
      <c r="AI79" s="98" t="e">
        <v>#N/A</v>
      </c>
      <c r="AJ79" s="98" t="e">
        <v>#N/A</v>
      </c>
      <c r="AK79" s="98" t="e">
        <v>#N/A</v>
      </c>
      <c r="AL79" s="98" t="e">
        <v>#N/A</v>
      </c>
      <c r="AM79" s="98" t="e">
        <v>#N/A</v>
      </c>
      <c r="AN79" s="99" t="e">
        <v>#N/A</v>
      </c>
      <c r="AO79" s="99" t="e">
        <v>#N/A</v>
      </c>
      <c r="AP79" s="99" t="e">
        <f>Tabla15[[#This Row],[Renov. Flota]]-Tabla15[[#This Row],[Año]]</f>
        <v>#N/A</v>
      </c>
      <c r="AQ79" s="100" t="e">
        <v>#N/A</v>
      </c>
      <c r="AR79" s="100" t="e">
        <f>VLOOKUP(Tabla15[[#This Row],[Matricula nueva]],'ALTA 20242025'!$B$2:$P$242,15,FALSE)</f>
        <v>#N/A</v>
      </c>
      <c r="AS79" s="101" t="e">
        <v>#N/A</v>
      </c>
      <c r="AT79" s="101"/>
      <c r="AU79" s="101"/>
      <c r="AV79" s="101"/>
      <c r="AW79" s="101" t="e">
        <f>VLOOKUP(Tabla15[[#This Row],[Matricula nueva]],Hoja2!$A$1:$B$224,2,FALSE)</f>
        <v>#N/A</v>
      </c>
      <c r="AX79" s="101" t="str">
        <f>IF(Tabla15[[#This Row],[Columna2]]="M1",5.1,"")</f>
        <v/>
      </c>
      <c r="AY79" s="101"/>
      <c r="AZ79" s="101"/>
      <c r="BA79" s="311">
        <f>IF(Tabla15[[#This Row],[Columna2]]="M1",13073,IF(Tabla15[[#This Row],[Columna2]]="N1",15815,IF(Tabla15[[#This Row],[Columna2]]="L3e",2831,53508)))</f>
        <v>53508</v>
      </c>
      <c r="BB79" s="311" t="e">
        <f>(Tabla15[[#This Row],[CVA]]*Tabla15[[#This Row],[F]]-Tabla15[[#This Row],[CVN]])/100*Tabla15[[#This Row],[L]]</f>
        <v>#VALUE!</v>
      </c>
      <c r="BC79" s="1"/>
      <c r="BD79" s="1" t="e">
        <f>VLOOKUP(B79,Tabla467824[[ID CAE2]:[AE '[kWh']]],6,FALSE)</f>
        <v>#N/A</v>
      </c>
      <c r="BE7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0" spans="1:57" ht="51.75" x14ac:dyDescent="0.25">
      <c r="A80" s="53" t="s">
        <v>410</v>
      </c>
      <c r="B80" s="53" t="s">
        <v>410</v>
      </c>
      <c r="C80" s="352" t="s">
        <v>411</v>
      </c>
      <c r="D80" s="104"/>
      <c r="E80" s="104"/>
      <c r="F80" s="104"/>
      <c r="G80" s="104"/>
      <c r="H80" s="104" t="s">
        <v>72</v>
      </c>
      <c r="I80" s="104"/>
      <c r="J80" s="104"/>
      <c r="K80" s="96" t="s">
        <v>413</v>
      </c>
      <c r="L80" s="96" t="s">
        <v>414</v>
      </c>
      <c r="M80" s="96" t="s">
        <v>415</v>
      </c>
      <c r="N80" s="96" t="s">
        <v>171</v>
      </c>
      <c r="O80" s="101">
        <f>VLOOKUP(Tabla15[[#This Row],[Matricula Antigua]],BAJA2022202320242025!$B$3:$CR$245,93,FALSE)</f>
        <v>42116</v>
      </c>
      <c r="P80" s="316">
        <v>45382</v>
      </c>
      <c r="Q80" s="317">
        <f>Tabla15[[#This Row],[F.Vig.Final]]-Tabla15[[#This Row],[f Vig Inicio]]</f>
        <v>3266</v>
      </c>
      <c r="R80" s="318">
        <f>YEAR(Tabla15[[#This Row],[F.Vig.Final]])</f>
        <v>2024</v>
      </c>
      <c r="S80" s="96" t="s">
        <v>172</v>
      </c>
      <c r="T80" s="96" t="s">
        <v>202</v>
      </c>
      <c r="U80" s="96" t="s">
        <v>416</v>
      </c>
      <c r="V80" s="96" t="s">
        <v>417</v>
      </c>
      <c r="W80" s="96" t="s">
        <v>119</v>
      </c>
      <c r="X80" s="332" t="s">
        <v>1674</v>
      </c>
      <c r="Y80" s="96" t="s">
        <v>366</v>
      </c>
      <c r="Z80" s="98">
        <f>COUNTIF($X$3:X80, X80)</f>
        <v>13</v>
      </c>
      <c r="AA80" s="337" t="s">
        <v>1661</v>
      </c>
      <c r="AB80" s="337" t="s">
        <v>1661</v>
      </c>
      <c r="AC80" s="337" t="s">
        <v>1662</v>
      </c>
      <c r="AD80" s="337" t="s">
        <v>1663</v>
      </c>
      <c r="AE80" s="342" t="s">
        <v>1664</v>
      </c>
      <c r="AF80" s="337" t="s">
        <v>1665</v>
      </c>
      <c r="AG80" s="337" t="s">
        <v>1666</v>
      </c>
      <c r="AH80" s="337" t="s">
        <v>1649</v>
      </c>
      <c r="AI80" s="337" t="s">
        <v>418</v>
      </c>
      <c r="AJ80" s="98" t="s">
        <v>85</v>
      </c>
      <c r="AK80" s="98" t="s">
        <v>86</v>
      </c>
      <c r="AL80" s="98" t="s">
        <v>87</v>
      </c>
      <c r="AM80" s="101" t="s">
        <v>419</v>
      </c>
      <c r="AN80" s="348" t="s">
        <v>89</v>
      </c>
      <c r="AO80" s="349">
        <v>45645</v>
      </c>
      <c r="AP80" s="98">
        <f>Tabla15[[#This Row],[Renov. Flota]]-Tabla15[[#This Row],[Año]]</f>
        <v>0</v>
      </c>
      <c r="AQ80" s="100" t="s">
        <v>119</v>
      </c>
      <c r="AR80" s="100" t="str">
        <f>VLOOKUP(Tabla15[[#This Row],[Matricula nueva]],'ALTA 20242025'!$B$2:$P$242,15,FALSE)</f>
        <v>4500426786</v>
      </c>
      <c r="AS80" s="101" t="s">
        <v>120</v>
      </c>
      <c r="AT80" s="101"/>
      <c r="AU80" s="101" t="s">
        <v>72</v>
      </c>
      <c r="AV80" s="101" t="s">
        <v>91</v>
      </c>
      <c r="AW80" s="101" t="str">
        <f>VLOOKUP(Tabla15[[#This Row],[Matricula nueva]],Hoja2!$A$1:$B$224,2,FALSE)</f>
        <v>VF1RFK00573824889</v>
      </c>
      <c r="AX80" s="209">
        <f>IF(Tabla15[[#This Row],[Columna2]]="M1",5.1,"")</f>
        <v>5.0999999999999996</v>
      </c>
      <c r="AY80" s="208">
        <f>IF(T80="DIESEL",10,IF(T80="GLP",7.16,9.19))</f>
        <v>9.19</v>
      </c>
      <c r="AZ80" s="313">
        <v>17.3</v>
      </c>
      <c r="BA80" s="314">
        <f>IF(Tabla15[[#This Row],[Columna2]]="M1",13073,IF(Tabla15[[#This Row],[Columna2]]="N1",15815,IF(Tabla15[[#This Row],[Columna2]]="L3e",2831,53508)))</f>
        <v>13073</v>
      </c>
      <c r="BB80" s="350">
        <f>(Tabla15[[#This Row],[CVA]]*Tabla15[[#This Row],[F]]-Tabla15[[#This Row],[CVN]])/100*Tabla15[[#This Row],[L]]</f>
        <v>3865.5553699999987</v>
      </c>
      <c r="BC80" s="69" t="s">
        <v>70</v>
      </c>
      <c r="BD80" s="294">
        <v>0</v>
      </c>
      <c r="BE8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1" spans="1:57" ht="52.5" thickBot="1" x14ac:dyDescent="0.3">
      <c r="A81" s="53" t="s">
        <v>423</v>
      </c>
      <c r="B81" s="53" t="s">
        <v>423</v>
      </c>
      <c r="C81" s="332" t="s">
        <v>424</v>
      </c>
      <c r="D81" s="104" t="s">
        <v>72</v>
      </c>
      <c r="E81" s="104" t="s">
        <v>72</v>
      </c>
      <c r="F81" s="104" t="s">
        <v>72</v>
      </c>
      <c r="G81" s="104"/>
      <c r="H81" s="104" t="s">
        <v>72</v>
      </c>
      <c r="I81" s="104" t="s">
        <v>72</v>
      </c>
      <c r="J81" s="104"/>
      <c r="K81" s="96" t="s">
        <v>129</v>
      </c>
      <c r="L81" s="96" t="s">
        <v>74</v>
      </c>
      <c r="M81" s="96" t="s">
        <v>75</v>
      </c>
      <c r="N81" s="96" t="s">
        <v>76</v>
      </c>
      <c r="O81" s="99">
        <f>VLOOKUP(Tabla15[[#This Row],[Matricula Antigua]],BAJA2022202320242025!$B$3:$CR$245,93,FALSE)</f>
        <v>45075</v>
      </c>
      <c r="P81" s="316">
        <v>45189</v>
      </c>
      <c r="Q81" s="317">
        <f>Tabla15[[#This Row],[F.Vig.Final]]-Tabla15[[#This Row],[f Vig Inicio]]</f>
        <v>114</v>
      </c>
      <c r="R81" s="318">
        <f>YEAR(Tabla15[[#This Row],[F.Vig.Final]])</f>
        <v>2023</v>
      </c>
      <c r="S81" s="96" t="s">
        <v>77</v>
      </c>
      <c r="T81" s="96" t="s">
        <v>78</v>
      </c>
      <c r="U81" s="96" t="s">
        <v>380</v>
      </c>
      <c r="V81" s="96" t="s">
        <v>426</v>
      </c>
      <c r="W81" s="96" t="s">
        <v>131</v>
      </c>
      <c r="X81" s="332" t="s">
        <v>132</v>
      </c>
      <c r="Y81" s="96" t="s">
        <v>427</v>
      </c>
      <c r="Z81" s="98">
        <f>COUNTIF($X$3:X81, X81)</f>
        <v>5</v>
      </c>
      <c r="AA81" s="337" t="s">
        <v>1661</v>
      </c>
      <c r="AB81" s="337" t="s">
        <v>1661</v>
      </c>
      <c r="AC81" s="337" t="s">
        <v>1662</v>
      </c>
      <c r="AD81" s="333" t="s">
        <v>1675</v>
      </c>
      <c r="AE81" s="347" t="s">
        <v>1664</v>
      </c>
      <c r="AF81" s="337" t="s">
        <v>1676</v>
      </c>
      <c r="AG81" s="337" t="s">
        <v>1677</v>
      </c>
      <c r="AH81" s="337" t="s">
        <v>1649</v>
      </c>
      <c r="AI81" s="337" t="s">
        <v>428</v>
      </c>
      <c r="AJ81" s="98" t="s">
        <v>140</v>
      </c>
      <c r="AK81" s="98" t="s">
        <v>151</v>
      </c>
      <c r="AL81" s="98" t="s">
        <v>87</v>
      </c>
      <c r="AM81" s="101" t="s">
        <v>429</v>
      </c>
      <c r="AN81" s="348" t="s">
        <v>89</v>
      </c>
      <c r="AO81" s="349">
        <v>45625</v>
      </c>
      <c r="AP81" s="98">
        <f>Tabla15[[#This Row],[Renov. Flota]]-Tabla15[[#This Row],[Año]]</f>
        <v>1</v>
      </c>
      <c r="AQ81" s="100" t="s">
        <v>131</v>
      </c>
      <c r="AR81" s="100" t="str">
        <f>VLOOKUP(Tabla15[[#This Row],[Matricula nueva]],'ALTA 20242025'!$B$2:$P$242,15,FALSE)</f>
        <v>4500426703</v>
      </c>
      <c r="AS81" s="101" t="s">
        <v>132</v>
      </c>
      <c r="AT81" s="101"/>
      <c r="AU81" s="101" t="s">
        <v>72</v>
      </c>
      <c r="AV81" s="101" t="s">
        <v>91</v>
      </c>
      <c r="AW81" s="101" t="str">
        <f>VLOOKUP(Tabla15[[#This Row],[Matricula nueva]],Hoja2!$A$1:$B$224,2,FALSE)</f>
        <v>VR7CBZYA9ST000165</v>
      </c>
      <c r="AX81" s="209">
        <v>5.6</v>
      </c>
      <c r="AY81" s="208">
        <f>IF(T81="DIESEL",10,IF(T81="GLP",7.16,9.19))</f>
        <v>10</v>
      </c>
      <c r="AZ81" s="313">
        <v>16.399999999999999</v>
      </c>
      <c r="BA81" s="314">
        <f>IF(Tabla15[[#This Row],[Columna2]]="M1",13073,IF(Tabla15[[#This Row],[Columna2]]="N1",15815,IF(Tabla15[[#This Row],[Columna2]]="L3e",2831,53508)))</f>
        <v>15815</v>
      </c>
      <c r="BB81" s="350">
        <f>(Tabla15[[#This Row],[CVA]]*Tabla15[[#This Row],[F]]-Tabla15[[#This Row],[CVN]])/100*Tabla15[[#This Row],[L]]</f>
        <v>6262.7400000000007</v>
      </c>
      <c r="BC81" s="79" t="s">
        <v>128</v>
      </c>
      <c r="BD81" s="294">
        <f>VLOOKUP(B81,Tabla467824[[ID CAE2]:[AE '[kWh']]],6,FALSE)</f>
        <v>5607.9989999999989</v>
      </c>
      <c r="BE8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82" spans="1:57" ht="15.75" hidden="1" thickBot="1" x14ac:dyDescent="0.3">
      <c r="A82" s="53" t="s">
        <v>1243</v>
      </c>
      <c r="B82" s="53" t="e">
        <v>#N/A</v>
      </c>
      <c r="C82" s="96" t="s">
        <v>1244</v>
      </c>
      <c r="D82" s="96"/>
      <c r="E82" s="96"/>
      <c r="F82" s="96"/>
      <c r="G82" s="96"/>
      <c r="H82" s="96"/>
      <c r="I82" s="96"/>
      <c r="J82" s="96"/>
      <c r="K82" s="96" t="s">
        <v>73</v>
      </c>
      <c r="L82" s="96" t="s">
        <v>200</v>
      </c>
      <c r="M82" s="96" t="s">
        <v>201</v>
      </c>
      <c r="N82" s="96" t="s">
        <v>76</v>
      </c>
      <c r="O82" s="101">
        <f>VLOOKUP(Tabla15[[#This Row],[Matricula Antigua]],BAJA2022202320242025!$B$3:$CR$245,93,FALSE)</f>
        <v>43416</v>
      </c>
      <c r="P82" s="99">
        <v>45386</v>
      </c>
      <c r="Q82" s="98">
        <f>Tabla15[[#This Row],[F.Vig.Final]]-Tabla15[[#This Row],[f Vig Inicio]]</f>
        <v>1970</v>
      </c>
      <c r="R82" s="99">
        <f>YEAR(Tabla15[[#This Row],[F.Vig.Final]])</f>
        <v>2024</v>
      </c>
      <c r="S82" s="96" t="s">
        <v>77</v>
      </c>
      <c r="T82" s="96" t="s">
        <v>674</v>
      </c>
      <c r="U82" s="96" t="s">
        <v>359</v>
      </c>
      <c r="V82" s="96" t="s">
        <v>1245</v>
      </c>
      <c r="W82" s="96" t="s">
        <v>1124</v>
      </c>
      <c r="X82" s="96" t="s">
        <v>1125</v>
      </c>
      <c r="Y82" s="96" t="s">
        <v>776</v>
      </c>
      <c r="Z82" s="98">
        <f>COUNTIF($X$3:X82, X82)</f>
        <v>2</v>
      </c>
      <c r="AA82" s="98"/>
      <c r="AB82" s="98"/>
      <c r="AC82" s="98"/>
      <c r="AD82" s="98"/>
      <c r="AE82" s="320"/>
      <c r="AF82" s="320"/>
      <c r="AG82" s="320"/>
      <c r="AH82" s="98"/>
      <c r="AI82" s="98" t="e">
        <v>#N/A</v>
      </c>
      <c r="AJ82" s="98" t="e">
        <v>#N/A</v>
      </c>
      <c r="AK82" s="98" t="e">
        <v>#N/A</v>
      </c>
      <c r="AL82" s="98" t="e">
        <v>#N/A</v>
      </c>
      <c r="AM82" s="98" t="e">
        <v>#N/A</v>
      </c>
      <c r="AN82" s="99" t="e">
        <v>#N/A</v>
      </c>
      <c r="AO82" s="99" t="e">
        <v>#N/A</v>
      </c>
      <c r="AP82" s="99" t="e">
        <f>Tabla15[[#This Row],[Renov. Flota]]-Tabla15[[#This Row],[Año]]</f>
        <v>#N/A</v>
      </c>
      <c r="AQ82" s="100" t="e">
        <v>#N/A</v>
      </c>
      <c r="AR82" s="100" t="e">
        <f>VLOOKUP(Tabla15[[#This Row],[Matricula nueva]],'ALTA 20242025'!$B$2:$P$242,15,FALSE)</f>
        <v>#N/A</v>
      </c>
      <c r="AS82" s="101" t="e">
        <v>#N/A</v>
      </c>
      <c r="AT82" s="101"/>
      <c r="AU82" s="101"/>
      <c r="AV82" s="101"/>
      <c r="AW82" s="101" t="e">
        <f>VLOOKUP(Tabla15[[#This Row],[Matricula nueva]],Hoja2!$A$1:$B$224,2,FALSE)</f>
        <v>#N/A</v>
      </c>
      <c r="AX82" s="101" t="str">
        <f>IF(Tabla15[[#This Row],[Columna2]]="M1",5.1,"")</f>
        <v/>
      </c>
      <c r="AY82" s="101"/>
      <c r="AZ82" s="101"/>
      <c r="BA82" s="311">
        <f>IF(Tabla15[[#This Row],[Columna2]]="M1",13073,IF(Tabla15[[#This Row],[Columna2]]="N1",15815,IF(Tabla15[[#This Row],[Columna2]]="L3e",2831,53508)))</f>
        <v>53508</v>
      </c>
      <c r="BB82" s="311" t="e">
        <f>(Tabla15[[#This Row],[CVA]]*Tabla15[[#This Row],[F]]-Tabla15[[#This Row],[CVN]])/100*Tabla15[[#This Row],[L]]</f>
        <v>#VALUE!</v>
      </c>
      <c r="BC82" s="1"/>
      <c r="BD82" s="1" t="e">
        <f>VLOOKUP(B82,Tabla467824[[ID CAE2]:[AE '[kWh']]],6,FALSE)</f>
        <v>#N/A</v>
      </c>
      <c r="BE8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3" spans="1:57" ht="52.5" thickBot="1" x14ac:dyDescent="0.3">
      <c r="A83" s="53" t="s">
        <v>432</v>
      </c>
      <c r="B83" s="53" t="s">
        <v>432</v>
      </c>
      <c r="C83" s="332" t="s">
        <v>433</v>
      </c>
      <c r="D83" s="104" t="s">
        <v>72</v>
      </c>
      <c r="E83" s="104"/>
      <c r="F83" s="104" t="s">
        <v>72</v>
      </c>
      <c r="G83" s="104"/>
      <c r="H83" s="104" t="s">
        <v>72</v>
      </c>
      <c r="I83" s="104" t="s">
        <v>72</v>
      </c>
      <c r="J83" s="104"/>
      <c r="K83" s="96" t="s">
        <v>73</v>
      </c>
      <c r="L83" s="96" t="s">
        <v>74</v>
      </c>
      <c r="M83" s="96" t="s">
        <v>75</v>
      </c>
      <c r="N83" s="96" t="s">
        <v>76</v>
      </c>
      <c r="O83" s="99">
        <f>VLOOKUP(Tabla15[[#This Row],[Matricula Antigua]],BAJA2022202320242025!$B$3:$CR$245,93,FALSE)</f>
        <v>45202</v>
      </c>
      <c r="P83" s="316">
        <v>45278</v>
      </c>
      <c r="Q83" s="317">
        <f>Tabla15[[#This Row],[F.Vig.Final]]-Tabla15[[#This Row],[f Vig Inicio]]</f>
        <v>76</v>
      </c>
      <c r="R83" s="318">
        <f>YEAR(Tabla15[[#This Row],[F.Vig.Final]])</f>
        <v>2023</v>
      </c>
      <c r="S83" s="96" t="s">
        <v>77</v>
      </c>
      <c r="T83" s="96" t="s">
        <v>78</v>
      </c>
      <c r="U83" s="96" t="s">
        <v>85</v>
      </c>
      <c r="V83" s="96" t="s">
        <v>434</v>
      </c>
      <c r="W83" s="96" t="s">
        <v>102</v>
      </c>
      <c r="X83" s="332" t="s">
        <v>1667</v>
      </c>
      <c r="Y83" s="96" t="s">
        <v>104</v>
      </c>
      <c r="Z83" s="98">
        <f>COUNTIF($X$3:X83, X83)</f>
        <v>4</v>
      </c>
      <c r="AA83" s="337" t="s">
        <v>1668</v>
      </c>
      <c r="AB83" s="337" t="s">
        <v>1668</v>
      </c>
      <c r="AC83" s="337" t="s">
        <v>1669</v>
      </c>
      <c r="AD83" s="341" t="s">
        <v>1670</v>
      </c>
      <c r="AE83" s="342" t="s">
        <v>1671</v>
      </c>
      <c r="AF83" s="337" t="s">
        <v>1672</v>
      </c>
      <c r="AG83" s="344" t="s">
        <v>1673</v>
      </c>
      <c r="AH83" s="337" t="s">
        <v>1649</v>
      </c>
      <c r="AI83" s="337" t="s">
        <v>435</v>
      </c>
      <c r="AJ83" s="98" t="s">
        <v>85</v>
      </c>
      <c r="AK83" s="98" t="s">
        <v>114</v>
      </c>
      <c r="AL83" s="98" t="s">
        <v>87</v>
      </c>
      <c r="AM83" s="101" t="s">
        <v>115</v>
      </c>
      <c r="AN83" s="348" t="s">
        <v>108</v>
      </c>
      <c r="AO83" s="349">
        <v>45135</v>
      </c>
      <c r="AP83" s="98">
        <f>Tabla15[[#This Row],[Renov. Flota]]-Tabla15[[#This Row],[Año]]</f>
        <v>0</v>
      </c>
      <c r="AQ83" s="100" t="s">
        <v>102</v>
      </c>
      <c r="AR83" s="100">
        <v>4500351520</v>
      </c>
      <c r="AS83" s="101" t="s">
        <v>103</v>
      </c>
      <c r="AT83" s="101"/>
      <c r="AU83" s="101" t="s">
        <v>72</v>
      </c>
      <c r="AV83" s="101" t="s">
        <v>109</v>
      </c>
      <c r="AW83" s="101" t="s">
        <v>436</v>
      </c>
      <c r="AX83" s="209">
        <f>IF(Tabla15[[#This Row],[Columna2]]="M1",5.1,"")</f>
        <v>5.0999999999999996</v>
      </c>
      <c r="AY83" s="208">
        <f>IF(T83="DIESEL",10,IF(T83="GLP",7.16,9.19))</f>
        <v>10</v>
      </c>
      <c r="AZ83" s="313">
        <v>17.3</v>
      </c>
      <c r="BA83" s="314">
        <f>IF(Tabla15[[#This Row],[Columna2]]="M1",13073,IF(Tabla15[[#This Row],[Columna2]]="N1",15815,IF(Tabla15[[#This Row],[Columna2]]="L3e",2831,53508)))</f>
        <v>13073</v>
      </c>
      <c r="BB83" s="350">
        <f>(Tabla15[[#This Row],[CVA]]*Tabla15[[#This Row],[F]]-Tabla15[[#This Row],[CVN]])/100*Tabla15[[#This Row],[L]]</f>
        <v>4405.6010000000006</v>
      </c>
      <c r="BC83" s="84" t="s">
        <v>70</v>
      </c>
      <c r="BD83" s="294">
        <f>VLOOKUP(B83,Tabla467824[[ID CAE2]:[AE '[kWh']]],6,FALSE)</f>
        <v>6795.3454000000002</v>
      </c>
      <c r="BE8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84" spans="1:57" ht="15.75" hidden="1" thickBot="1" x14ac:dyDescent="0.3">
      <c r="A84" s="53" t="s">
        <v>1246</v>
      </c>
      <c r="B84" s="53" t="e">
        <v>#N/A</v>
      </c>
      <c r="C84" s="96" t="s">
        <v>1247</v>
      </c>
      <c r="D84" s="96"/>
      <c r="E84" s="96"/>
      <c r="F84" s="96"/>
      <c r="G84" s="96"/>
      <c r="H84" s="96"/>
      <c r="I84" s="96"/>
      <c r="J84" s="96"/>
      <c r="K84" s="96" t="s">
        <v>885</v>
      </c>
      <c r="L84" s="96" t="s">
        <v>161</v>
      </c>
      <c r="M84" s="96" t="s">
        <v>886</v>
      </c>
      <c r="N84" s="96" t="s">
        <v>171</v>
      </c>
      <c r="O84" s="101">
        <f>VLOOKUP(Tabla15[[#This Row],[Matricula Antigua]],BAJA2022202320242025!$B$3:$CR$245,93,FALSE)</f>
        <v>43879</v>
      </c>
      <c r="P84" s="99">
        <v>45397</v>
      </c>
      <c r="Q84" s="98">
        <f>Tabla15[[#This Row],[F.Vig.Final]]-Tabla15[[#This Row],[f Vig Inicio]]</f>
        <v>1518</v>
      </c>
      <c r="R84" s="99">
        <f>YEAR(Tabla15[[#This Row],[F.Vig.Final]])</f>
        <v>2024</v>
      </c>
      <c r="S84" s="96" t="s">
        <v>172</v>
      </c>
      <c r="T84" s="96" t="s">
        <v>78</v>
      </c>
      <c r="U84" s="96" t="s">
        <v>1248</v>
      </c>
      <c r="V84" s="96" t="s">
        <v>1249</v>
      </c>
      <c r="W84" s="96" t="s">
        <v>1134</v>
      </c>
      <c r="X84" s="96" t="s">
        <v>1135</v>
      </c>
      <c r="Y84" s="96" t="s">
        <v>1136</v>
      </c>
      <c r="Z84" s="98">
        <f>COUNTIF($X$3:X84, X84)</f>
        <v>2</v>
      </c>
      <c r="AA84" s="98"/>
      <c r="AB84" s="98"/>
      <c r="AC84" s="98"/>
      <c r="AD84" s="98"/>
      <c r="AE84" s="322"/>
      <c r="AF84" s="322"/>
      <c r="AG84" s="98"/>
      <c r="AH84" s="98"/>
      <c r="AI84" s="98" t="e">
        <v>#N/A</v>
      </c>
      <c r="AJ84" s="98" t="e">
        <v>#N/A</v>
      </c>
      <c r="AK84" s="98" t="e">
        <v>#N/A</v>
      </c>
      <c r="AL84" s="98" t="e">
        <v>#N/A</v>
      </c>
      <c r="AM84" s="98" t="e">
        <v>#N/A</v>
      </c>
      <c r="AN84" s="99" t="e">
        <v>#N/A</v>
      </c>
      <c r="AO84" s="99" t="e">
        <v>#N/A</v>
      </c>
      <c r="AP84" s="99" t="e">
        <f>Tabla15[[#This Row],[Renov. Flota]]-Tabla15[[#This Row],[Año]]</f>
        <v>#N/A</v>
      </c>
      <c r="AQ84" s="100" t="e">
        <v>#N/A</v>
      </c>
      <c r="AR84" s="100" t="e">
        <f>VLOOKUP(Tabla15[[#This Row],[Matricula nueva]],'ALTA 20242025'!$B$2:$P$242,15,FALSE)</f>
        <v>#N/A</v>
      </c>
      <c r="AS84" s="101" t="e">
        <v>#N/A</v>
      </c>
      <c r="AT84" s="101"/>
      <c r="AU84" s="101"/>
      <c r="AV84" s="101"/>
      <c r="AW84" s="101" t="e">
        <f>VLOOKUP(Tabla15[[#This Row],[Matricula nueva]],Hoja2!$A$1:$B$224,2,FALSE)</f>
        <v>#N/A</v>
      </c>
      <c r="AX84" s="101" t="str">
        <f>IF(Tabla15[[#This Row],[Columna2]]="M1",5.1,"")</f>
        <v/>
      </c>
      <c r="AY84" s="101"/>
      <c r="AZ84" s="101"/>
      <c r="BA84" s="311">
        <f>IF(Tabla15[[#This Row],[Columna2]]="M1",13073,IF(Tabla15[[#This Row],[Columna2]]="N1",15815,IF(Tabla15[[#This Row],[Columna2]]="L3e",2831,53508)))</f>
        <v>53508</v>
      </c>
      <c r="BB84" s="311" t="e">
        <f>(Tabla15[[#This Row],[CVA]]*Tabla15[[#This Row],[F]]-Tabla15[[#This Row],[CVN]])/100*Tabla15[[#This Row],[L]]</f>
        <v>#VALUE!</v>
      </c>
      <c r="BC84" s="1"/>
      <c r="BD84" s="1" t="e">
        <f>VLOOKUP(B84,Tabla467824[[ID CAE2]:[AE '[kWh']]],6,FALSE)</f>
        <v>#N/A</v>
      </c>
      <c r="BE8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5" spans="1:57" ht="15.75" hidden="1" thickBot="1" x14ac:dyDescent="0.3">
      <c r="A85" s="53" t="s">
        <v>1250</v>
      </c>
      <c r="B85" s="53" t="e">
        <v>#N/A</v>
      </c>
      <c r="C85" s="96" t="s">
        <v>1251</v>
      </c>
      <c r="D85" s="96"/>
      <c r="E85" s="96"/>
      <c r="F85" s="96"/>
      <c r="G85" s="96"/>
      <c r="H85" s="96"/>
      <c r="I85" s="96"/>
      <c r="J85" s="96"/>
      <c r="K85" s="96" t="s">
        <v>885</v>
      </c>
      <c r="L85" s="96" t="s">
        <v>161</v>
      </c>
      <c r="M85" s="96" t="s">
        <v>886</v>
      </c>
      <c r="N85" s="96" t="s">
        <v>171</v>
      </c>
      <c r="O85" s="101">
        <f>VLOOKUP(Tabla15[[#This Row],[Matricula Antigua]],BAJA2022202320242025!$B$3:$CR$245,93,FALSE)</f>
        <v>43879</v>
      </c>
      <c r="P85" s="99">
        <v>45397</v>
      </c>
      <c r="Q85" s="98">
        <f>Tabla15[[#This Row],[F.Vig.Final]]-Tabla15[[#This Row],[f Vig Inicio]]</f>
        <v>1518</v>
      </c>
      <c r="R85" s="99">
        <f>YEAR(Tabla15[[#This Row],[F.Vig.Final]])</f>
        <v>2024</v>
      </c>
      <c r="S85" s="96" t="s">
        <v>172</v>
      </c>
      <c r="T85" s="96" t="s">
        <v>78</v>
      </c>
      <c r="U85" s="96" t="s">
        <v>1248</v>
      </c>
      <c r="V85" s="96" t="s">
        <v>1249</v>
      </c>
      <c r="W85" s="96" t="s">
        <v>1134</v>
      </c>
      <c r="X85" s="96" t="s">
        <v>1135</v>
      </c>
      <c r="Y85" s="96" t="s">
        <v>1136</v>
      </c>
      <c r="Z85" s="98">
        <f>COUNTIF($X$3:X85, X85)</f>
        <v>3</v>
      </c>
      <c r="AA85" s="98"/>
      <c r="AB85" s="98"/>
      <c r="AC85" s="98"/>
      <c r="AD85" s="98"/>
      <c r="AE85" s="320"/>
      <c r="AF85" s="320"/>
      <c r="AG85" s="320"/>
      <c r="AH85" s="98"/>
      <c r="AI85" s="98" t="e">
        <v>#N/A</v>
      </c>
      <c r="AJ85" s="98" t="e">
        <v>#N/A</v>
      </c>
      <c r="AK85" s="98" t="e">
        <v>#N/A</v>
      </c>
      <c r="AL85" s="98" t="e">
        <v>#N/A</v>
      </c>
      <c r="AM85" s="98" t="e">
        <v>#N/A</v>
      </c>
      <c r="AN85" s="99" t="e">
        <v>#N/A</v>
      </c>
      <c r="AO85" s="99" t="e">
        <v>#N/A</v>
      </c>
      <c r="AP85" s="99" t="e">
        <f>Tabla15[[#This Row],[Renov. Flota]]-Tabla15[[#This Row],[Año]]</f>
        <v>#N/A</v>
      </c>
      <c r="AQ85" s="100" t="e">
        <v>#N/A</v>
      </c>
      <c r="AR85" s="100" t="e">
        <f>VLOOKUP(Tabla15[[#This Row],[Matricula nueva]],'ALTA 20242025'!$B$2:$P$242,15,FALSE)</f>
        <v>#N/A</v>
      </c>
      <c r="AS85" s="101" t="e">
        <v>#N/A</v>
      </c>
      <c r="AT85" s="101"/>
      <c r="AU85" s="101"/>
      <c r="AV85" s="101"/>
      <c r="AW85" s="101" t="e">
        <f>VLOOKUP(Tabla15[[#This Row],[Matricula nueva]],Hoja2!$A$1:$B$224,2,FALSE)</f>
        <v>#N/A</v>
      </c>
      <c r="AX85" s="101" t="str">
        <f>IF(Tabla15[[#This Row],[Columna2]]="M1",5.1,"")</f>
        <v/>
      </c>
      <c r="AY85" s="101"/>
      <c r="AZ85" s="101"/>
      <c r="BA85" s="311">
        <f>IF(Tabla15[[#This Row],[Columna2]]="M1",13073,IF(Tabla15[[#This Row],[Columna2]]="N1",15815,IF(Tabla15[[#This Row],[Columna2]]="L3e",2831,53508)))</f>
        <v>53508</v>
      </c>
      <c r="BB85" s="311" t="e">
        <f>(Tabla15[[#This Row],[CVA]]*Tabla15[[#This Row],[F]]-Tabla15[[#This Row],[CVN]])/100*Tabla15[[#This Row],[L]]</f>
        <v>#VALUE!</v>
      </c>
      <c r="BC85" s="1"/>
      <c r="BD85" s="1" t="e">
        <f>VLOOKUP(B85,Tabla467824[[ID CAE2]:[AE '[kWh']]],6,FALSE)</f>
        <v>#N/A</v>
      </c>
      <c r="BE8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6" spans="1:57" ht="51.75" x14ac:dyDescent="0.25">
      <c r="A86" s="53" t="s">
        <v>437</v>
      </c>
      <c r="B86" s="53" t="s">
        <v>437</v>
      </c>
      <c r="C86" s="353" t="s">
        <v>438</v>
      </c>
      <c r="D86" s="104"/>
      <c r="E86" s="104"/>
      <c r="F86" s="104" t="s">
        <v>72</v>
      </c>
      <c r="G86" s="104"/>
      <c r="H86" s="104"/>
      <c r="I86" s="104" t="s">
        <v>249</v>
      </c>
      <c r="J86" s="104" t="s">
        <v>249</v>
      </c>
      <c r="K86" s="96" t="s">
        <v>73</v>
      </c>
      <c r="L86" s="96" t="s">
        <v>74</v>
      </c>
      <c r="M86" s="96" t="s">
        <v>75</v>
      </c>
      <c r="N86" s="96" t="s">
        <v>76</v>
      </c>
      <c r="O86" s="99">
        <f>VLOOKUP(Tabla15[[#This Row],[Matricula Antigua]],BAJA2022202320242025!$B$3:$CR$245,93,FALSE)</f>
        <v>44958</v>
      </c>
      <c r="P86" s="316">
        <v>44984</v>
      </c>
      <c r="Q86" s="317">
        <f>Tabla15[[#This Row],[F.Vig.Final]]-Tabla15[[#This Row],[f Vig Inicio]]</f>
        <v>26</v>
      </c>
      <c r="R86" s="318">
        <f>YEAR(Tabla15[[#This Row],[F.Vig.Final]])</f>
        <v>2023</v>
      </c>
      <c r="S86" s="96" t="s">
        <v>77</v>
      </c>
      <c r="T86" s="96" t="s">
        <v>78</v>
      </c>
      <c r="U86" s="96" t="s">
        <v>85</v>
      </c>
      <c r="V86" s="96" t="s">
        <v>439</v>
      </c>
      <c r="W86" s="96" t="s">
        <v>102</v>
      </c>
      <c r="X86" s="332" t="s">
        <v>1667</v>
      </c>
      <c r="Y86" s="96" t="s">
        <v>440</v>
      </c>
      <c r="Z86" s="98">
        <f>COUNTIF($X$3:X86, X86)</f>
        <v>5</v>
      </c>
      <c r="AA86" s="337" t="s">
        <v>1668</v>
      </c>
      <c r="AB86" s="337" t="s">
        <v>1668</v>
      </c>
      <c r="AC86" s="337" t="s">
        <v>1669</v>
      </c>
      <c r="AD86" s="341" t="s">
        <v>1670</v>
      </c>
      <c r="AE86" s="342" t="s">
        <v>1671</v>
      </c>
      <c r="AF86" s="337" t="s">
        <v>1672</v>
      </c>
      <c r="AG86" s="344" t="s">
        <v>1673</v>
      </c>
      <c r="AH86" s="337" t="s">
        <v>1649</v>
      </c>
      <c r="AI86" s="337" t="s">
        <v>441</v>
      </c>
      <c r="AJ86" s="98" t="s">
        <v>79</v>
      </c>
      <c r="AK86" s="98" t="s">
        <v>442</v>
      </c>
      <c r="AL86" s="98" t="s">
        <v>87</v>
      </c>
      <c r="AM86" s="101" t="s">
        <v>107</v>
      </c>
      <c r="AN86" s="348" t="s">
        <v>108</v>
      </c>
      <c r="AO86" s="349">
        <v>45133</v>
      </c>
      <c r="AP86" s="98">
        <f>Tabla15[[#This Row],[Renov. Flota]]-Tabla15[[#This Row],[Año]]</f>
        <v>0</v>
      </c>
      <c r="AQ86" s="100" t="s">
        <v>102</v>
      </c>
      <c r="AR86" s="100">
        <v>4500370216</v>
      </c>
      <c r="AS86" s="101" t="s">
        <v>103</v>
      </c>
      <c r="AT86" s="101"/>
      <c r="AU86" s="101" t="s">
        <v>72</v>
      </c>
      <c r="AV86" s="101" t="s">
        <v>109</v>
      </c>
      <c r="AW86" s="101" t="s">
        <v>443</v>
      </c>
      <c r="AX86" s="209">
        <f>IF(Tabla15[[#This Row],[Columna2]]="M1",5.1,"")</f>
        <v>5.0999999999999996</v>
      </c>
      <c r="AY86" s="208">
        <f>IF(T86="DIESEL",10,IF(T86="GLP",7.16,9.19))</f>
        <v>10</v>
      </c>
      <c r="AZ86" s="313">
        <v>22.7</v>
      </c>
      <c r="BA86" s="314">
        <f>IF(Tabla15[[#This Row],[Columna2]]="M1",13073,IF(Tabla15[[#This Row],[Columna2]]="N1",15815,IF(Tabla15[[#This Row],[Columna2]]="L3e",2831,53508)))</f>
        <v>13073</v>
      </c>
      <c r="BB86" s="350">
        <f>(Tabla15[[#This Row],[CVA]]*Tabla15[[#This Row],[F]]-Tabla15[[#This Row],[CVN]])/100*Tabla15[[#This Row],[L]]</f>
        <v>3699.6590000000006</v>
      </c>
      <c r="BC86" s="69" t="s">
        <v>70</v>
      </c>
      <c r="BD86" s="294">
        <f>VLOOKUP(B86,Tabla467824[[ID CAE2]:[AE '[kWh']]],6,FALSE)</f>
        <v>6795.3454000000002</v>
      </c>
      <c r="BE8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7" spans="1:57" ht="51.75" x14ac:dyDescent="0.25">
      <c r="A87" s="53" t="s">
        <v>444</v>
      </c>
      <c r="B87" s="53" t="s">
        <v>444</v>
      </c>
      <c r="C87" s="353" t="s">
        <v>445</v>
      </c>
      <c r="D87" s="104"/>
      <c r="E87" s="104"/>
      <c r="F87" s="104" t="s">
        <v>249</v>
      </c>
      <c r="G87" s="104"/>
      <c r="H87" s="104"/>
      <c r="I87" s="104" t="s">
        <v>249</v>
      </c>
      <c r="J87" s="104" t="s">
        <v>249</v>
      </c>
      <c r="K87" s="96" t="s">
        <v>73</v>
      </c>
      <c r="L87" s="96" t="s">
        <v>74</v>
      </c>
      <c r="M87" s="96" t="s">
        <v>75</v>
      </c>
      <c r="N87" s="96" t="s">
        <v>76</v>
      </c>
      <c r="O87" s="99">
        <f>VLOOKUP(Tabla15[[#This Row],[Matricula Antigua]],BAJA2022202320242025!$B$3:$CR$245,93,FALSE)</f>
        <v>44958</v>
      </c>
      <c r="P87" s="316">
        <v>44984</v>
      </c>
      <c r="Q87" s="317">
        <f>Tabla15[[#This Row],[F.Vig.Final]]-Tabla15[[#This Row],[f Vig Inicio]]</f>
        <v>26</v>
      </c>
      <c r="R87" s="318">
        <f>YEAR(Tabla15[[#This Row],[F.Vig.Final]])</f>
        <v>2023</v>
      </c>
      <c r="S87" s="96" t="s">
        <v>77</v>
      </c>
      <c r="T87" s="96" t="s">
        <v>78</v>
      </c>
      <c r="U87" s="96" t="s">
        <v>85</v>
      </c>
      <c r="V87" s="96" t="s">
        <v>439</v>
      </c>
      <c r="W87" s="96" t="s">
        <v>102</v>
      </c>
      <c r="X87" s="332" t="s">
        <v>1667</v>
      </c>
      <c r="Y87" s="96" t="s">
        <v>440</v>
      </c>
      <c r="Z87" s="98">
        <f>COUNTIF($X$3:X87, X87)</f>
        <v>6</v>
      </c>
      <c r="AA87" s="337" t="s">
        <v>1668</v>
      </c>
      <c r="AB87" s="337" t="s">
        <v>1668</v>
      </c>
      <c r="AC87" s="337" t="s">
        <v>1669</v>
      </c>
      <c r="AD87" s="341" t="s">
        <v>1670</v>
      </c>
      <c r="AE87" s="342" t="s">
        <v>1671</v>
      </c>
      <c r="AF87" s="337" t="s">
        <v>1672</v>
      </c>
      <c r="AG87" s="344" t="s">
        <v>1673</v>
      </c>
      <c r="AH87" s="337" t="s">
        <v>1649</v>
      </c>
      <c r="AI87" s="337" t="s">
        <v>446</v>
      </c>
      <c r="AJ87" s="98" t="s">
        <v>79</v>
      </c>
      <c r="AK87" s="98" t="s">
        <v>442</v>
      </c>
      <c r="AL87" s="98" t="s">
        <v>87</v>
      </c>
      <c r="AM87" s="101" t="s">
        <v>107</v>
      </c>
      <c r="AN87" s="348" t="s">
        <v>108</v>
      </c>
      <c r="AO87" s="349">
        <v>45133</v>
      </c>
      <c r="AP87" s="98">
        <f>Tabla15[[#This Row],[Renov. Flota]]-Tabla15[[#This Row],[Año]]</f>
        <v>0</v>
      </c>
      <c r="AQ87" s="100" t="s">
        <v>102</v>
      </c>
      <c r="AR87" s="100">
        <v>4500370232</v>
      </c>
      <c r="AS87" s="101" t="s">
        <v>103</v>
      </c>
      <c r="AT87" s="101"/>
      <c r="AU87" s="101" t="s">
        <v>72</v>
      </c>
      <c r="AV87" s="101" t="s">
        <v>109</v>
      </c>
      <c r="AW87" s="101" t="s">
        <v>447</v>
      </c>
      <c r="AX87" s="209">
        <f>IF(Tabla15[[#This Row],[Columna2]]="M1",5.1,"")</f>
        <v>5.0999999999999996</v>
      </c>
      <c r="AY87" s="208">
        <f>IF(T87="DIESEL",10,IF(T87="GLP",7.16,9.19))</f>
        <v>10</v>
      </c>
      <c r="AZ87" s="313">
        <v>22.7</v>
      </c>
      <c r="BA87" s="314">
        <f>IF(Tabla15[[#This Row],[Columna2]]="M1",13073,IF(Tabla15[[#This Row],[Columna2]]="N1",15815,IF(Tabla15[[#This Row],[Columna2]]="L3e",2831,53508)))</f>
        <v>13073</v>
      </c>
      <c r="BB87" s="350">
        <f>(Tabla15[[#This Row],[CVA]]*Tabla15[[#This Row],[F]]-Tabla15[[#This Row],[CVN]])/100*Tabla15[[#This Row],[L]]</f>
        <v>3699.6590000000006</v>
      </c>
      <c r="BC87" s="74" t="s">
        <v>70</v>
      </c>
      <c r="BD87" s="294">
        <f>VLOOKUP(B87,Tabla467824[[ID CAE2]:[AE '[kWh']]],6,FALSE)</f>
        <v>6795.3454000000002</v>
      </c>
      <c r="BE8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88" spans="1:57" ht="51.75" x14ac:dyDescent="0.25">
      <c r="A88" s="53" t="s">
        <v>448</v>
      </c>
      <c r="B88" s="53" t="s">
        <v>448</v>
      </c>
      <c r="C88" s="332" t="s">
        <v>449</v>
      </c>
      <c r="D88" s="104" t="s">
        <v>72</v>
      </c>
      <c r="E88" s="104" t="s">
        <v>72</v>
      </c>
      <c r="F88" s="104" t="s">
        <v>72</v>
      </c>
      <c r="G88" s="104"/>
      <c r="H88" s="104" t="s">
        <v>72</v>
      </c>
      <c r="I88" s="104" t="s">
        <v>72</v>
      </c>
      <c r="J88" s="104"/>
      <c r="K88" s="96" t="s">
        <v>73</v>
      </c>
      <c r="L88" s="96" t="s">
        <v>74</v>
      </c>
      <c r="M88" s="96" t="s">
        <v>75</v>
      </c>
      <c r="N88" s="96" t="s">
        <v>76</v>
      </c>
      <c r="O88" s="99">
        <f>VLOOKUP(Tabla15[[#This Row],[Matricula Antigua]],BAJA2022202320242025!$B$3:$CR$245,93,FALSE)</f>
        <v>45202</v>
      </c>
      <c r="P88" s="316">
        <v>45372</v>
      </c>
      <c r="Q88" s="317">
        <f>Tabla15[[#This Row],[F.Vig.Final]]-Tabla15[[#This Row],[f Vig Inicio]]</f>
        <v>170</v>
      </c>
      <c r="R88" s="318">
        <f>YEAR(Tabla15[[#This Row],[F.Vig.Final]])</f>
        <v>2024</v>
      </c>
      <c r="S88" s="96" t="s">
        <v>77</v>
      </c>
      <c r="T88" s="96" t="s">
        <v>78</v>
      </c>
      <c r="U88" s="96" t="s">
        <v>85</v>
      </c>
      <c r="V88" s="96" t="s">
        <v>450</v>
      </c>
      <c r="W88" s="96" t="s">
        <v>102</v>
      </c>
      <c r="X88" s="332" t="s">
        <v>1667</v>
      </c>
      <c r="Y88" s="96" t="s">
        <v>104</v>
      </c>
      <c r="Z88" s="98">
        <f>COUNTIF($X$3:X88, X88)</f>
        <v>7</v>
      </c>
      <c r="AA88" s="337" t="s">
        <v>1668</v>
      </c>
      <c r="AB88" s="337" t="s">
        <v>1668</v>
      </c>
      <c r="AC88" s="337" t="s">
        <v>1669</v>
      </c>
      <c r="AD88" s="341" t="s">
        <v>1670</v>
      </c>
      <c r="AE88" s="342" t="s">
        <v>1671</v>
      </c>
      <c r="AF88" s="337" t="s">
        <v>1672</v>
      </c>
      <c r="AG88" s="344" t="s">
        <v>1673</v>
      </c>
      <c r="AH88" s="337" t="s">
        <v>1649</v>
      </c>
      <c r="AI88" s="337" t="s">
        <v>451</v>
      </c>
      <c r="AJ88" s="98" t="s">
        <v>359</v>
      </c>
      <c r="AK88" s="98" t="s">
        <v>452</v>
      </c>
      <c r="AL88" s="98" t="s">
        <v>87</v>
      </c>
      <c r="AM88" s="101" t="s">
        <v>440</v>
      </c>
      <c r="AN88" s="348" t="s">
        <v>108</v>
      </c>
      <c r="AO88" s="349">
        <v>45051</v>
      </c>
      <c r="AP88" s="98">
        <f>Tabla15[[#This Row],[Renov. Flota]]-Tabla15[[#This Row],[Año]]</f>
        <v>-1</v>
      </c>
      <c r="AQ88" s="100" t="s">
        <v>102</v>
      </c>
      <c r="AR88" s="100">
        <v>4500352855</v>
      </c>
      <c r="AS88" s="101" t="s">
        <v>103</v>
      </c>
      <c r="AT88" s="101"/>
      <c r="AU88" s="101" t="s">
        <v>72</v>
      </c>
      <c r="AV88" s="101" t="s">
        <v>109</v>
      </c>
      <c r="AW88" s="101" t="s">
        <v>453</v>
      </c>
      <c r="AX88" s="209">
        <f>IF(Tabla15[[#This Row],[Columna2]]="M1",5.1,"")</f>
        <v>5.0999999999999996</v>
      </c>
      <c r="AY88" s="208">
        <f>IF(T88="DIESEL",10,IF(T88="GLP",7.16,9.19))</f>
        <v>10</v>
      </c>
      <c r="AZ88" s="313">
        <v>28.1</v>
      </c>
      <c r="BA88" s="314">
        <f>IF(Tabla15[[#This Row],[Columna2]]="M1",13073,IF(Tabla15[[#This Row],[Columna2]]="N1",15815,IF(Tabla15[[#This Row],[Columna2]]="L3e",2831,53508)))</f>
        <v>13073</v>
      </c>
      <c r="BB88" s="350">
        <f>(Tabla15[[#This Row],[CVA]]*Tabla15[[#This Row],[F]]-Tabla15[[#This Row],[CVN]])/100*Tabla15[[#This Row],[L]]</f>
        <v>2993.7169999999996</v>
      </c>
      <c r="BC88" s="74" t="s">
        <v>70</v>
      </c>
      <c r="BD88" s="294">
        <f>VLOOKUP(B88,Tabla467824[[ID CAE2]:[AE '[kWh']]],6,FALSE)</f>
        <v>6795.3454000000002</v>
      </c>
      <c r="BE8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89" spans="1:57" ht="51.75" x14ac:dyDescent="0.25">
      <c r="A89" s="53" t="s">
        <v>454</v>
      </c>
      <c r="B89" s="53" t="s">
        <v>454</v>
      </c>
      <c r="C89" s="332" t="s">
        <v>455</v>
      </c>
      <c r="D89" s="104" t="s">
        <v>72</v>
      </c>
      <c r="E89" s="104"/>
      <c r="F89" s="104" t="s">
        <v>72</v>
      </c>
      <c r="G89" s="104"/>
      <c r="H89" s="104" t="s">
        <v>72</v>
      </c>
      <c r="I89" s="104" t="s">
        <v>72</v>
      </c>
      <c r="J89" s="104"/>
      <c r="K89" s="96" t="s">
        <v>73</v>
      </c>
      <c r="L89" s="96" t="s">
        <v>74</v>
      </c>
      <c r="M89" s="96" t="s">
        <v>75</v>
      </c>
      <c r="N89" s="96" t="s">
        <v>76</v>
      </c>
      <c r="O89" s="99">
        <f>VLOOKUP(Tabla15[[#This Row],[Matricula Antigua]],BAJA2022202320242025!$B$3:$CR$245,93,FALSE)</f>
        <v>45202</v>
      </c>
      <c r="P89" s="316">
        <v>45259</v>
      </c>
      <c r="Q89" s="317">
        <f>Tabla15[[#This Row],[F.Vig.Final]]-Tabla15[[#This Row],[f Vig Inicio]]</f>
        <v>57</v>
      </c>
      <c r="R89" s="318">
        <f>YEAR(Tabla15[[#This Row],[F.Vig.Final]])</f>
        <v>2023</v>
      </c>
      <c r="S89" s="96" t="s">
        <v>77</v>
      </c>
      <c r="T89" s="96" t="s">
        <v>78</v>
      </c>
      <c r="U89" s="96" t="s">
        <v>85</v>
      </c>
      <c r="V89" s="96" t="s">
        <v>450</v>
      </c>
      <c r="W89" s="96" t="s">
        <v>102</v>
      </c>
      <c r="X89" s="332" t="s">
        <v>1667</v>
      </c>
      <c r="Y89" s="96" t="s">
        <v>104</v>
      </c>
      <c r="Z89" s="98">
        <f>COUNTIF($X$3:X89, X89)</f>
        <v>8</v>
      </c>
      <c r="AA89" s="337" t="s">
        <v>1668</v>
      </c>
      <c r="AB89" s="337" t="s">
        <v>1668</v>
      </c>
      <c r="AC89" s="337" t="s">
        <v>1669</v>
      </c>
      <c r="AD89" s="341" t="s">
        <v>1670</v>
      </c>
      <c r="AE89" s="342" t="s">
        <v>1671</v>
      </c>
      <c r="AF89" s="337" t="s">
        <v>1672</v>
      </c>
      <c r="AG89" s="344" t="s">
        <v>1673</v>
      </c>
      <c r="AH89" s="337" t="s">
        <v>1649</v>
      </c>
      <c r="AI89" s="337" t="s">
        <v>456</v>
      </c>
      <c r="AJ89" s="98" t="s">
        <v>79</v>
      </c>
      <c r="AK89" s="98" t="s">
        <v>106</v>
      </c>
      <c r="AL89" s="98" t="s">
        <v>87</v>
      </c>
      <c r="AM89" s="101" t="s">
        <v>457</v>
      </c>
      <c r="AN89" s="348" t="s">
        <v>108</v>
      </c>
      <c r="AO89" s="349">
        <v>45133</v>
      </c>
      <c r="AP89" s="98">
        <f>Tabla15[[#This Row],[Renov. Flota]]-Tabla15[[#This Row],[Año]]</f>
        <v>0</v>
      </c>
      <c r="AQ89" s="100" t="s">
        <v>102</v>
      </c>
      <c r="AR89" s="100">
        <v>4500370368</v>
      </c>
      <c r="AS89" s="101" t="s">
        <v>103</v>
      </c>
      <c r="AT89" s="101"/>
      <c r="AU89" s="101" t="s">
        <v>72</v>
      </c>
      <c r="AV89" s="101" t="s">
        <v>109</v>
      </c>
      <c r="AW89" s="101" t="s">
        <v>458</v>
      </c>
      <c r="AX89" s="209">
        <f>IF(Tabla15[[#This Row],[Columna2]]="M1",5.1,"")</f>
        <v>5.0999999999999996</v>
      </c>
      <c r="AY89" s="208">
        <f>IF(T89="DIESEL",10,IF(T89="GLP",7.16,9.19))</f>
        <v>10</v>
      </c>
      <c r="AZ89" s="313">
        <v>28.2</v>
      </c>
      <c r="BA89" s="314">
        <f>IF(Tabla15[[#This Row],[Columna2]]="M1",13073,IF(Tabla15[[#This Row],[Columna2]]="N1",15815,IF(Tabla15[[#This Row],[Columna2]]="L3e",2831,53508)))</f>
        <v>13073</v>
      </c>
      <c r="BB89" s="350">
        <f>(Tabla15[[#This Row],[CVA]]*Tabla15[[#This Row],[F]]-Tabla15[[#This Row],[CVN]])/100*Tabla15[[#This Row],[L]]</f>
        <v>2980.6440000000002</v>
      </c>
      <c r="BC89" s="74" t="s">
        <v>70</v>
      </c>
      <c r="BD89" s="294">
        <f>VLOOKUP(B89,Tabla467824[[ID CAE2]:[AE '[kWh']]],6,FALSE)</f>
        <v>6795.3454000000002</v>
      </c>
      <c r="BE8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0" spans="1:57" ht="52.5" thickBot="1" x14ac:dyDescent="0.3">
      <c r="A90" s="53" t="s">
        <v>459</v>
      </c>
      <c r="B90" s="53" t="s">
        <v>459</v>
      </c>
      <c r="C90" s="332" t="s">
        <v>460</v>
      </c>
      <c r="D90" s="104" t="s">
        <v>72</v>
      </c>
      <c r="E90" s="104"/>
      <c r="F90" s="104" t="s">
        <v>72</v>
      </c>
      <c r="G90" s="104"/>
      <c r="H90" s="104" t="s">
        <v>249</v>
      </c>
      <c r="I90" s="104" t="s">
        <v>249</v>
      </c>
      <c r="J90" s="104"/>
      <c r="K90" s="96" t="s">
        <v>73</v>
      </c>
      <c r="L90" s="96" t="s">
        <v>74</v>
      </c>
      <c r="M90" s="96" t="s">
        <v>75</v>
      </c>
      <c r="N90" s="96" t="s">
        <v>76</v>
      </c>
      <c r="O90" s="99">
        <f>VLOOKUP(Tabla15[[#This Row],[Matricula Antigua]],BAJA2022202320242025!$B$3:$CR$245,93,FALSE)</f>
        <v>45202</v>
      </c>
      <c r="P90" s="316">
        <v>45382</v>
      </c>
      <c r="Q90" s="317">
        <f>Tabla15[[#This Row],[F.Vig.Final]]-Tabla15[[#This Row],[f Vig Inicio]]</f>
        <v>180</v>
      </c>
      <c r="R90" s="318">
        <f>YEAR(Tabla15[[#This Row],[F.Vig.Final]])</f>
        <v>2024</v>
      </c>
      <c r="S90" s="96" t="s">
        <v>77</v>
      </c>
      <c r="T90" s="96" t="s">
        <v>78</v>
      </c>
      <c r="U90" s="96" t="s">
        <v>359</v>
      </c>
      <c r="V90" s="96" t="s">
        <v>461</v>
      </c>
      <c r="W90" s="96" t="s">
        <v>102</v>
      </c>
      <c r="X90" s="332" t="s">
        <v>1667</v>
      </c>
      <c r="Y90" s="96" t="s">
        <v>104</v>
      </c>
      <c r="Z90" s="98">
        <f>COUNTIF($X$3:X90, X90)</f>
        <v>9</v>
      </c>
      <c r="AA90" s="337" t="s">
        <v>1668</v>
      </c>
      <c r="AB90" s="337" t="s">
        <v>1668</v>
      </c>
      <c r="AC90" s="337" t="s">
        <v>1669</v>
      </c>
      <c r="AD90" s="341" t="s">
        <v>1670</v>
      </c>
      <c r="AE90" s="342" t="s">
        <v>1671</v>
      </c>
      <c r="AF90" s="337" t="s">
        <v>1672</v>
      </c>
      <c r="AG90" s="344" t="s">
        <v>1673</v>
      </c>
      <c r="AH90" s="337" t="s">
        <v>1649</v>
      </c>
      <c r="AI90" s="337" t="s">
        <v>462</v>
      </c>
      <c r="AJ90" s="98" t="s">
        <v>359</v>
      </c>
      <c r="AK90" s="98" t="s">
        <v>452</v>
      </c>
      <c r="AL90" s="98" t="s">
        <v>87</v>
      </c>
      <c r="AM90" s="101" t="s">
        <v>115</v>
      </c>
      <c r="AN90" s="348" t="s">
        <v>108</v>
      </c>
      <c r="AO90" s="349">
        <v>45051</v>
      </c>
      <c r="AP90" s="98">
        <f>Tabla15[[#This Row],[Renov. Flota]]-Tabla15[[#This Row],[Año]]</f>
        <v>-1</v>
      </c>
      <c r="AQ90" s="100" t="s">
        <v>102</v>
      </c>
      <c r="AR90" s="100">
        <v>4500351861</v>
      </c>
      <c r="AS90" s="101" t="s">
        <v>103</v>
      </c>
      <c r="AT90" s="101"/>
      <c r="AU90" s="101" t="s">
        <v>72</v>
      </c>
      <c r="AV90" s="101" t="s">
        <v>109</v>
      </c>
      <c r="AW90" s="101" t="s">
        <v>463</v>
      </c>
      <c r="AX90" s="209">
        <f>IF(Tabla15[[#This Row],[Columna2]]="M1",5.1,"")</f>
        <v>5.0999999999999996</v>
      </c>
      <c r="AY90" s="208">
        <f>IF(T90="DIESEL",10,IF(T90="GLP",7.16,9.19))</f>
        <v>10</v>
      </c>
      <c r="AZ90" s="313">
        <v>28.1</v>
      </c>
      <c r="BA90" s="314">
        <f>IF(Tabla15[[#This Row],[Columna2]]="M1",13073,IF(Tabla15[[#This Row],[Columna2]]="N1",15815,IF(Tabla15[[#This Row],[Columna2]]="L3e",2831,53508)))</f>
        <v>13073</v>
      </c>
      <c r="BB90" s="350">
        <f>(Tabla15[[#This Row],[CVA]]*Tabla15[[#This Row],[F]]-Tabla15[[#This Row],[CVN]])/100*Tabla15[[#This Row],[L]]</f>
        <v>2993.7169999999996</v>
      </c>
      <c r="BC90" s="79" t="s">
        <v>70</v>
      </c>
      <c r="BD90" s="294">
        <f>VLOOKUP(B90,Tabla467824[[ID CAE2]:[AE '[kWh']]],6,FALSE)</f>
        <v>6795.3454000000002</v>
      </c>
      <c r="BE9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1" spans="1:57" ht="15.75" hidden="1" thickBot="1" x14ac:dyDescent="0.3">
      <c r="A91" s="53" t="s">
        <v>1252</v>
      </c>
      <c r="B91" s="53" t="e">
        <v>#N/A</v>
      </c>
      <c r="C91" s="96" t="s">
        <v>1253</v>
      </c>
      <c r="D91" s="96"/>
      <c r="E91" s="96"/>
      <c r="F91" s="96"/>
      <c r="G91" s="96"/>
      <c r="H91" s="96"/>
      <c r="I91" s="96"/>
      <c r="J91" s="96"/>
      <c r="K91" s="96" t="s">
        <v>158</v>
      </c>
      <c r="L91" s="96" t="s">
        <v>159</v>
      </c>
      <c r="M91" s="96" t="s">
        <v>158</v>
      </c>
      <c r="N91" s="96" t="s">
        <v>171</v>
      </c>
      <c r="O91" s="101">
        <f>VLOOKUP(Tabla15[[#This Row],[Matricula Antigua]],BAJA2022202320242025!$B$3:$CR$245,93,FALSE)</f>
        <v>37956</v>
      </c>
      <c r="P91" s="99">
        <v>45427</v>
      </c>
      <c r="Q91" s="98">
        <f>Tabla15[[#This Row],[F.Vig.Final]]-Tabla15[[#This Row],[f Vig Inicio]]</f>
        <v>7471</v>
      </c>
      <c r="R91" s="99">
        <f>YEAR(Tabla15[[#This Row],[F.Vig.Final]])</f>
        <v>2024</v>
      </c>
      <c r="S91" s="96" t="s">
        <v>172</v>
      </c>
      <c r="T91" s="96" t="s">
        <v>71</v>
      </c>
      <c r="U91" s="96" t="s">
        <v>1254</v>
      </c>
      <c r="V91" s="96" t="s">
        <v>1255</v>
      </c>
      <c r="W91" s="96" t="s">
        <v>584</v>
      </c>
      <c r="X91" s="96" t="s">
        <v>585</v>
      </c>
      <c r="Y91" s="96" t="s">
        <v>1217</v>
      </c>
      <c r="Z91" s="98">
        <f>COUNTIF($X$3:X91, X91)</f>
        <v>2</v>
      </c>
      <c r="AA91" s="98"/>
      <c r="AB91" s="98"/>
      <c r="AC91" s="98"/>
      <c r="AD91" s="98"/>
      <c r="AE91" s="322"/>
      <c r="AF91" s="322"/>
      <c r="AG91" s="98"/>
      <c r="AH91" s="98"/>
      <c r="AI91" s="98" t="e">
        <v>#N/A</v>
      </c>
      <c r="AJ91" s="98" t="e">
        <v>#N/A</v>
      </c>
      <c r="AK91" s="98" t="e">
        <v>#N/A</v>
      </c>
      <c r="AL91" s="98" t="e">
        <v>#N/A</v>
      </c>
      <c r="AM91" s="98" t="e">
        <v>#N/A</v>
      </c>
      <c r="AN91" s="99" t="e">
        <v>#N/A</v>
      </c>
      <c r="AO91" s="99" t="e">
        <v>#N/A</v>
      </c>
      <c r="AP91" s="99" t="e">
        <f>Tabla15[[#This Row],[Renov. Flota]]-Tabla15[[#This Row],[Año]]</f>
        <v>#N/A</v>
      </c>
      <c r="AQ91" s="100" t="e">
        <v>#N/A</v>
      </c>
      <c r="AR91" s="100" t="e">
        <f>VLOOKUP(Tabla15[[#This Row],[Matricula nueva]],'ALTA 20242025'!$B$2:$P$242,15,FALSE)</f>
        <v>#N/A</v>
      </c>
      <c r="AS91" s="101" t="e">
        <v>#N/A</v>
      </c>
      <c r="AT91" s="101"/>
      <c r="AU91" s="101"/>
      <c r="AV91" s="101"/>
      <c r="AW91" s="101" t="e">
        <f>VLOOKUP(Tabla15[[#This Row],[Matricula nueva]],Hoja2!$A$1:$B$224,2,FALSE)</f>
        <v>#N/A</v>
      </c>
      <c r="AX91" s="101" t="str">
        <f>IF(Tabla15[[#This Row],[Columna2]]="M1",5.1,"")</f>
        <v/>
      </c>
      <c r="AY91" s="101"/>
      <c r="AZ91" s="101"/>
      <c r="BA91" s="311">
        <f>IF(Tabla15[[#This Row],[Columna2]]="M1",13073,IF(Tabla15[[#This Row],[Columna2]]="N1",15815,IF(Tabla15[[#This Row],[Columna2]]="L3e",2831,53508)))</f>
        <v>53508</v>
      </c>
      <c r="BB91" s="311" t="e">
        <f>(Tabla15[[#This Row],[CVA]]*Tabla15[[#This Row],[F]]-Tabla15[[#This Row],[CVN]])/100*Tabla15[[#This Row],[L]]</f>
        <v>#VALUE!</v>
      </c>
      <c r="BC91" s="1"/>
      <c r="BD91" s="1" t="e">
        <f>VLOOKUP(B91,Tabla467824[[ID CAE2]:[AE '[kWh']]],6,FALSE)</f>
        <v>#N/A</v>
      </c>
      <c r="BE9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92" spans="1:57" ht="51.75" x14ac:dyDescent="0.25">
      <c r="A92" s="53" t="s">
        <v>464</v>
      </c>
      <c r="B92" s="53" t="s">
        <v>464</v>
      </c>
      <c r="C92" s="332" t="s">
        <v>465</v>
      </c>
      <c r="D92" s="104" t="s">
        <v>72</v>
      </c>
      <c r="E92" s="104"/>
      <c r="F92" s="104" t="s">
        <v>72</v>
      </c>
      <c r="G92" s="104"/>
      <c r="H92" s="104" t="s">
        <v>72</v>
      </c>
      <c r="I92" s="104" t="s">
        <v>72</v>
      </c>
      <c r="J92" s="104"/>
      <c r="K92" s="96" t="s">
        <v>466</v>
      </c>
      <c r="L92" s="96" t="s">
        <v>200</v>
      </c>
      <c r="M92" s="96" t="s">
        <v>201</v>
      </c>
      <c r="N92" s="96" t="s">
        <v>76</v>
      </c>
      <c r="O92" s="101">
        <f>VLOOKUP(Tabla15[[#This Row],[Matricula Antigua]],BAJA2022202320242025!$B$3:$CR$245,93,FALSE)</f>
        <v>44088</v>
      </c>
      <c r="P92" s="316">
        <v>45549</v>
      </c>
      <c r="Q92" s="317">
        <f>Tabla15[[#This Row],[F.Vig.Final]]-Tabla15[[#This Row],[f Vig Inicio]]</f>
        <v>1461</v>
      </c>
      <c r="R92" s="318">
        <f>YEAR(Tabla15[[#This Row],[F.Vig.Final]])</f>
        <v>2024</v>
      </c>
      <c r="S92" s="96" t="s">
        <v>77</v>
      </c>
      <c r="T92" s="96" t="s">
        <v>78</v>
      </c>
      <c r="U92" s="96" t="s">
        <v>467</v>
      </c>
      <c r="V92" s="96" t="s">
        <v>468</v>
      </c>
      <c r="W92" s="96" t="s">
        <v>469</v>
      </c>
      <c r="X92" s="332" t="s">
        <v>470</v>
      </c>
      <c r="Y92" s="96" t="s">
        <v>471</v>
      </c>
      <c r="Z92" s="98">
        <f>COUNTIF($X$3:X92, X92)</f>
        <v>1</v>
      </c>
      <c r="AA92" s="333" t="s">
        <v>1685</v>
      </c>
      <c r="AB92" s="337" t="s">
        <v>1668</v>
      </c>
      <c r="AC92" s="337" t="s">
        <v>1669</v>
      </c>
      <c r="AD92" s="341" t="s">
        <v>1686</v>
      </c>
      <c r="AE92" s="337" t="s">
        <v>1671</v>
      </c>
      <c r="AF92" s="337" t="s">
        <v>1687</v>
      </c>
      <c r="AG92" s="337" t="s">
        <v>1688</v>
      </c>
      <c r="AH92" s="337" t="s">
        <v>1649</v>
      </c>
      <c r="AI92" s="337" t="s">
        <v>472</v>
      </c>
      <c r="AJ92" s="98" t="s">
        <v>380</v>
      </c>
      <c r="AK92" s="98" t="s">
        <v>381</v>
      </c>
      <c r="AL92" s="98" t="s">
        <v>87</v>
      </c>
      <c r="AM92" s="101" t="s">
        <v>471</v>
      </c>
      <c r="AN92" s="348" t="s">
        <v>89</v>
      </c>
      <c r="AO92" s="349">
        <v>45551</v>
      </c>
      <c r="AP92" s="98">
        <f>Tabla15[[#This Row],[Renov. Flota]]-Tabla15[[#This Row],[Año]]</f>
        <v>0</v>
      </c>
      <c r="AQ92" s="100" t="s">
        <v>469</v>
      </c>
      <c r="AR92" s="100">
        <v>4500413615</v>
      </c>
      <c r="AS92" s="101" t="s">
        <v>470</v>
      </c>
      <c r="AT92" s="101"/>
      <c r="AU92" s="101" t="s">
        <v>72</v>
      </c>
      <c r="AV92" s="101" t="s">
        <v>109</v>
      </c>
      <c r="AW92" s="101" t="s">
        <v>473</v>
      </c>
      <c r="AX92" s="209">
        <v>5.6</v>
      </c>
      <c r="AY92" s="208">
        <f>IF(T92="DIESEL",10,IF(T92="GLP",7.16,9.19))</f>
        <v>10</v>
      </c>
      <c r="AZ92" s="313">
        <v>20</v>
      </c>
      <c r="BA92" s="314">
        <f>IF(Tabla15[[#This Row],[Columna2]]="M1",13073,IF(Tabla15[[#This Row],[Columna2]]="N1",15815,IF(Tabla15[[#This Row],[Columna2]]="L3e",2831,53508)))</f>
        <v>15815</v>
      </c>
      <c r="BB92" s="350">
        <f>(Tabla15[[#This Row],[CVA]]*Tabla15[[#This Row],[F]]-Tabla15[[#This Row],[CVN]])/100*Tabla15[[#This Row],[L]]</f>
        <v>5693.4</v>
      </c>
      <c r="BC92" s="69" t="s">
        <v>128</v>
      </c>
      <c r="BD92" s="294">
        <f>VLOOKUP(B92,Tabla467824[[ID CAE2]:[AE '[kWh']]],6,FALSE)</f>
        <v>5607.9989999999989</v>
      </c>
      <c r="BE9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3" spans="1:57" ht="60" x14ac:dyDescent="0.25">
      <c r="A93" s="53" t="s">
        <v>474</v>
      </c>
      <c r="B93" s="53" t="s">
        <v>474</v>
      </c>
      <c r="C93" s="332" t="s">
        <v>475</v>
      </c>
      <c r="D93" s="104" t="s">
        <v>72</v>
      </c>
      <c r="E93" s="104" t="s">
        <v>72</v>
      </c>
      <c r="F93" s="104" t="s">
        <v>72</v>
      </c>
      <c r="G93" s="104"/>
      <c r="H93" s="104" t="s">
        <v>72</v>
      </c>
      <c r="I93" s="104" t="s">
        <v>72</v>
      </c>
      <c r="J93" s="104"/>
      <c r="K93" s="96" t="s">
        <v>73</v>
      </c>
      <c r="L93" s="96" t="s">
        <v>200</v>
      </c>
      <c r="M93" s="96" t="s">
        <v>201</v>
      </c>
      <c r="N93" s="96" t="s">
        <v>76</v>
      </c>
      <c r="O93" s="101">
        <f>VLOOKUP(Tabla15[[#This Row],[Matricula Antigua]],BAJA2022202320242025!$B$3:$CR$245,93,FALSE)</f>
        <v>42923</v>
      </c>
      <c r="P93" s="316">
        <v>45565</v>
      </c>
      <c r="Q93" s="317">
        <f>Tabla15[[#This Row],[F.Vig.Final]]-Tabla15[[#This Row],[f Vig Inicio]]</f>
        <v>2642</v>
      </c>
      <c r="R93" s="318">
        <f>YEAR(Tabla15[[#This Row],[F.Vig.Final]])</f>
        <v>2024</v>
      </c>
      <c r="S93" s="96" t="s">
        <v>77</v>
      </c>
      <c r="T93" s="96" t="s">
        <v>78</v>
      </c>
      <c r="U93" s="96" t="s">
        <v>467</v>
      </c>
      <c r="V93" s="96" t="s">
        <v>476</v>
      </c>
      <c r="W93" s="96" t="s">
        <v>190</v>
      </c>
      <c r="X93" s="333" t="s">
        <v>1678</v>
      </c>
      <c r="Y93" s="96" t="s">
        <v>477</v>
      </c>
      <c r="Z93" s="98">
        <f>COUNTIF($X$3:X93, X93)</f>
        <v>4</v>
      </c>
      <c r="AA93" s="337" t="s">
        <v>1661</v>
      </c>
      <c r="AB93" s="337" t="s">
        <v>1661</v>
      </c>
      <c r="AC93" s="337" t="s">
        <v>1662</v>
      </c>
      <c r="AD93" s="337" t="s">
        <v>1663</v>
      </c>
      <c r="AE93" s="342" t="s">
        <v>1664</v>
      </c>
      <c r="AF93" s="337" t="s">
        <v>1665</v>
      </c>
      <c r="AG93" s="337" t="s">
        <v>1666</v>
      </c>
      <c r="AH93" s="337" t="s">
        <v>1649</v>
      </c>
      <c r="AI93" s="337" t="s">
        <v>478</v>
      </c>
      <c r="AJ93" s="98" t="s">
        <v>140</v>
      </c>
      <c r="AK93" s="98" t="s">
        <v>151</v>
      </c>
      <c r="AL93" s="98" t="s">
        <v>87</v>
      </c>
      <c r="AM93" s="101" t="s">
        <v>345</v>
      </c>
      <c r="AN93" s="348" t="s">
        <v>89</v>
      </c>
      <c r="AO93" s="349">
        <v>45625</v>
      </c>
      <c r="AP93" s="98">
        <f>Tabla15[[#This Row],[Renov. Flota]]-Tabla15[[#This Row],[Año]]</f>
        <v>0</v>
      </c>
      <c r="AQ93" s="100" t="s">
        <v>190</v>
      </c>
      <c r="AR93" s="100" t="str">
        <f>VLOOKUP(Tabla15[[#This Row],[Matricula nueva]],'ALTA 20242025'!$B$2:$P$242,15,FALSE)</f>
        <v>4500424790</v>
      </c>
      <c r="AS93" s="101" t="s">
        <v>191</v>
      </c>
      <c r="AT93" s="101"/>
      <c r="AU93" s="101" t="s">
        <v>72</v>
      </c>
      <c r="AV93" s="101" t="s">
        <v>91</v>
      </c>
      <c r="AW93" s="101" t="str">
        <f>VLOOKUP(Tabla15[[#This Row],[Matricula nueva]],Hoja2!$A$1:$B$224,2,FALSE)</f>
        <v>VR7CBZYA8RT154442</v>
      </c>
      <c r="AX93" s="209">
        <v>5.6</v>
      </c>
      <c r="AY93" s="208">
        <f>IF(T93="DIESEL",10,IF(T93="GLP",7.16,9.19))</f>
        <v>10</v>
      </c>
      <c r="AZ93" s="313">
        <v>16.399999999999999</v>
      </c>
      <c r="BA93" s="314">
        <f>IF(Tabla15[[#This Row],[Columna2]]="M1",13073,IF(Tabla15[[#This Row],[Columna2]]="N1",15815,IF(Tabla15[[#This Row],[Columna2]]="L3e",2831,53508)))</f>
        <v>15815</v>
      </c>
      <c r="BB93" s="350">
        <f>(Tabla15[[#This Row],[CVA]]*Tabla15[[#This Row],[F]]-Tabla15[[#This Row],[CVN]])/100*Tabla15[[#This Row],[L]]</f>
        <v>6262.7400000000007</v>
      </c>
      <c r="BC93" s="74" t="s">
        <v>128</v>
      </c>
      <c r="BD93" s="294">
        <f>VLOOKUP(B93,Tabla467824[[ID CAE2]:[AE '[kWh']]],6,FALSE)</f>
        <v>5607.9989999999989</v>
      </c>
      <c r="BE9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4" spans="1:57" ht="51.75" x14ac:dyDescent="0.25">
      <c r="A94" s="53" t="s">
        <v>481</v>
      </c>
      <c r="B94" s="53" t="s">
        <v>481</v>
      </c>
      <c r="C94" s="332" t="s">
        <v>482</v>
      </c>
      <c r="D94" s="104" t="s">
        <v>72</v>
      </c>
      <c r="E94" s="104" t="s">
        <v>72</v>
      </c>
      <c r="F94" s="104" t="s">
        <v>72</v>
      </c>
      <c r="G94" s="104"/>
      <c r="H94" s="104" t="s">
        <v>72</v>
      </c>
      <c r="I94" s="104" t="s">
        <v>72</v>
      </c>
      <c r="J94" s="104"/>
      <c r="K94" s="96" t="s">
        <v>73</v>
      </c>
      <c r="L94" s="96" t="s">
        <v>200</v>
      </c>
      <c r="M94" s="96" t="s">
        <v>201</v>
      </c>
      <c r="N94" s="96" t="s">
        <v>160</v>
      </c>
      <c r="O94" s="101">
        <f>VLOOKUP(Tabla15[[#This Row],[Matricula Antigua]],BAJA2022202320242025!$B$3:$CR$245,93,FALSE)</f>
        <v>44166</v>
      </c>
      <c r="P94" s="316">
        <v>45627</v>
      </c>
      <c r="Q94" s="317">
        <f>Tabla15[[#This Row],[F.Vig.Final]]-Tabla15[[#This Row],[f Vig Inicio]]</f>
        <v>1461</v>
      </c>
      <c r="R94" s="318">
        <f>YEAR(Tabla15[[#This Row],[F.Vig.Final]])</f>
        <v>2024</v>
      </c>
      <c r="S94" s="96" t="s">
        <v>161</v>
      </c>
      <c r="T94" s="96" t="s">
        <v>78</v>
      </c>
      <c r="U94" s="96" t="s">
        <v>467</v>
      </c>
      <c r="V94" s="96" t="s">
        <v>476</v>
      </c>
      <c r="W94" s="96" t="s">
        <v>119</v>
      </c>
      <c r="X94" s="332" t="s">
        <v>1674</v>
      </c>
      <c r="Y94" s="96" t="s">
        <v>368</v>
      </c>
      <c r="Z94" s="98">
        <f>COUNTIF($X$3:X94, X94)</f>
        <v>14</v>
      </c>
      <c r="AA94" s="337" t="s">
        <v>1661</v>
      </c>
      <c r="AB94" s="337" t="s">
        <v>1661</v>
      </c>
      <c r="AC94" s="337" t="s">
        <v>1662</v>
      </c>
      <c r="AD94" s="337" t="s">
        <v>1663</v>
      </c>
      <c r="AE94" s="342" t="s">
        <v>1664</v>
      </c>
      <c r="AF94" s="337" t="s">
        <v>1665</v>
      </c>
      <c r="AG94" s="337" t="s">
        <v>1666</v>
      </c>
      <c r="AH94" s="337" t="s">
        <v>1649</v>
      </c>
      <c r="AI94" s="337" t="s">
        <v>483</v>
      </c>
      <c r="AJ94" s="98" t="s">
        <v>140</v>
      </c>
      <c r="AK94" s="98" t="s">
        <v>151</v>
      </c>
      <c r="AL94" s="98" t="s">
        <v>87</v>
      </c>
      <c r="AM94" s="101" t="s">
        <v>323</v>
      </c>
      <c r="AN94" s="348" t="s">
        <v>89</v>
      </c>
      <c r="AO94" s="349">
        <v>45625</v>
      </c>
      <c r="AP94" s="98">
        <f>Tabla15[[#This Row],[Renov. Flota]]-Tabla15[[#This Row],[Año]]</f>
        <v>0</v>
      </c>
      <c r="AQ94" s="100" t="s">
        <v>119</v>
      </c>
      <c r="AR94" s="100" t="str">
        <f>VLOOKUP(Tabla15[[#This Row],[Matricula nueva]],'ALTA 20242025'!$B$2:$P$242,15,FALSE)</f>
        <v>4500424802</v>
      </c>
      <c r="AS94" s="101" t="s">
        <v>120</v>
      </c>
      <c r="AT94" s="101"/>
      <c r="AU94" s="101" t="s">
        <v>72</v>
      </c>
      <c r="AV94" s="101" t="s">
        <v>91</v>
      </c>
      <c r="AW94" s="101" t="str">
        <f>VLOOKUP(Tabla15[[#This Row],[Matricula nueva]],Hoja2!$A$1:$B$224,2,FALSE)</f>
        <v>VR7CBZYA7RT152214</v>
      </c>
      <c r="AX94" s="209">
        <v>5.6</v>
      </c>
      <c r="AY94" s="208">
        <f>IF(T94="DIESEL",10,IF(T94="GLP",7.16,9.19))</f>
        <v>10</v>
      </c>
      <c r="AZ94" s="313">
        <v>16.399999999999999</v>
      </c>
      <c r="BA94" s="314">
        <f>IF(Tabla15[[#This Row],[Columna2]]="M1",13073,IF(Tabla15[[#This Row],[Columna2]]="N1",15815,IF(Tabla15[[#This Row],[Columna2]]="L3e",2831,53508)))</f>
        <v>15815</v>
      </c>
      <c r="BB94" s="350">
        <f>(Tabla15[[#This Row],[CVA]]*Tabla15[[#This Row],[F]]-Tabla15[[#This Row],[CVN]])/100*Tabla15[[#This Row],[L]]</f>
        <v>6262.7400000000007</v>
      </c>
      <c r="BC94" s="74" t="s">
        <v>128</v>
      </c>
      <c r="BD94" s="294">
        <f>VLOOKUP(B94,Tabla467824[[ID CAE2]:[AE '[kWh']]],6,FALSE)</f>
        <v>5607.9989999999989</v>
      </c>
      <c r="BE9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5" spans="1:57" ht="60.75" thickBot="1" x14ac:dyDescent="0.3">
      <c r="A95" s="53" t="s">
        <v>486</v>
      </c>
      <c r="B95" s="53" t="s">
        <v>486</v>
      </c>
      <c r="C95" s="332" t="s">
        <v>487</v>
      </c>
      <c r="D95" s="104" t="s">
        <v>72</v>
      </c>
      <c r="E95" s="104" t="s">
        <v>72</v>
      </c>
      <c r="F95" s="104" t="s">
        <v>72</v>
      </c>
      <c r="G95" s="104"/>
      <c r="H95" s="104" t="s">
        <v>72</v>
      </c>
      <c r="I95" s="104" t="s">
        <v>72</v>
      </c>
      <c r="J95" s="104"/>
      <c r="K95" s="96" t="s">
        <v>73</v>
      </c>
      <c r="L95" s="96" t="s">
        <v>200</v>
      </c>
      <c r="M95" s="96" t="s">
        <v>201</v>
      </c>
      <c r="N95" s="96" t="s">
        <v>76</v>
      </c>
      <c r="O95" s="101">
        <f>VLOOKUP(Tabla15[[#This Row],[Matricula Antigua]],BAJA2022202320242025!$B$3:$CR$245,93,FALSE)</f>
        <v>44176</v>
      </c>
      <c r="P95" s="316">
        <v>45637</v>
      </c>
      <c r="Q95" s="317">
        <f>Tabla15[[#This Row],[F.Vig.Final]]-Tabla15[[#This Row],[f Vig Inicio]]</f>
        <v>1461</v>
      </c>
      <c r="R95" s="318">
        <f>YEAR(Tabla15[[#This Row],[F.Vig.Final]])</f>
        <v>2024</v>
      </c>
      <c r="S95" s="96" t="s">
        <v>77</v>
      </c>
      <c r="T95" s="96" t="s">
        <v>78</v>
      </c>
      <c r="U95" s="96" t="s">
        <v>467</v>
      </c>
      <c r="V95" s="96" t="s">
        <v>476</v>
      </c>
      <c r="W95" s="96" t="s">
        <v>190</v>
      </c>
      <c r="X95" s="333" t="s">
        <v>1678</v>
      </c>
      <c r="Y95" s="96" t="s">
        <v>194</v>
      </c>
      <c r="Z95" s="98">
        <f>COUNTIF($X$3:X95, X95)</f>
        <v>5</v>
      </c>
      <c r="AA95" s="337" t="s">
        <v>1661</v>
      </c>
      <c r="AB95" s="337" t="s">
        <v>1661</v>
      </c>
      <c r="AC95" s="337" t="s">
        <v>1662</v>
      </c>
      <c r="AD95" s="337" t="s">
        <v>1663</v>
      </c>
      <c r="AE95" s="342" t="s">
        <v>1664</v>
      </c>
      <c r="AF95" s="337" t="s">
        <v>1665</v>
      </c>
      <c r="AG95" s="337" t="s">
        <v>1666</v>
      </c>
      <c r="AH95" s="337" t="s">
        <v>1649</v>
      </c>
      <c r="AI95" s="337" t="s">
        <v>488</v>
      </c>
      <c r="AJ95" s="98" t="s">
        <v>85</v>
      </c>
      <c r="AK95" s="98" t="s">
        <v>86</v>
      </c>
      <c r="AL95" s="98" t="s">
        <v>87</v>
      </c>
      <c r="AM95" s="101" t="s">
        <v>477</v>
      </c>
      <c r="AN95" s="348" t="s">
        <v>89</v>
      </c>
      <c r="AO95" s="349">
        <v>45646</v>
      </c>
      <c r="AP95" s="98">
        <f>Tabla15[[#This Row],[Renov. Flota]]-Tabla15[[#This Row],[Año]]</f>
        <v>0</v>
      </c>
      <c r="AQ95" s="100" t="s">
        <v>190</v>
      </c>
      <c r="AR95" s="100" t="str">
        <f>VLOOKUP(Tabla15[[#This Row],[Matricula nueva]],'ALTA 20242025'!$B$2:$P$242,15,FALSE)</f>
        <v>4500426879</v>
      </c>
      <c r="AS95" s="101" t="s">
        <v>191</v>
      </c>
      <c r="AT95" s="101"/>
      <c r="AU95" s="101" t="s">
        <v>72</v>
      </c>
      <c r="AV95" s="101" t="s">
        <v>91</v>
      </c>
      <c r="AW95" s="101" t="str">
        <f>VLOOKUP(Tabla15[[#This Row],[Matricula nueva]],Hoja2!$A$1:$B$224,2,FALSE)</f>
        <v>VF1RFK00973934294</v>
      </c>
      <c r="AX95" s="209">
        <v>5.6</v>
      </c>
      <c r="AY95" s="208">
        <f>IF(T95="DIESEL",10,IF(T95="GLP",7.16,9.19))</f>
        <v>10</v>
      </c>
      <c r="AZ95" s="313">
        <v>17.3</v>
      </c>
      <c r="BA95" s="314">
        <f>IF(Tabla15[[#This Row],[Columna2]]="M1",13073,IF(Tabla15[[#This Row],[Columna2]]="N1",15815,IF(Tabla15[[#This Row],[Columna2]]="L3e",2831,53508)))</f>
        <v>15815</v>
      </c>
      <c r="BB95" s="350">
        <f>(Tabla15[[#This Row],[CVA]]*Tabla15[[#This Row],[F]]-Tabla15[[#This Row],[CVN]])/100*Tabla15[[#This Row],[L]]</f>
        <v>6120.4049999999997</v>
      </c>
      <c r="BC95" s="79" t="s">
        <v>128</v>
      </c>
      <c r="BD95" s="294">
        <f>VLOOKUP(B95,Tabla467824[[ID CAE2]:[AE '[kWh']]],6,FALSE)</f>
        <v>5607.9989999999989</v>
      </c>
      <c r="BE9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6" spans="1:57" ht="15.75" hidden="1" thickBot="1" x14ac:dyDescent="0.3">
      <c r="A96" s="53" t="s">
        <v>1256</v>
      </c>
      <c r="B96" s="53" t="e">
        <v>#N/A</v>
      </c>
      <c r="C96" s="96" t="s">
        <v>1257</v>
      </c>
      <c r="D96" s="96"/>
      <c r="E96" s="96"/>
      <c r="F96" s="96"/>
      <c r="G96" s="96"/>
      <c r="H96" s="96"/>
      <c r="I96" s="96"/>
      <c r="J96" s="96"/>
      <c r="K96" s="96" t="s">
        <v>73</v>
      </c>
      <c r="L96" s="96" t="s">
        <v>200</v>
      </c>
      <c r="M96" s="96" t="s">
        <v>201</v>
      </c>
      <c r="N96" s="96" t="s">
        <v>76</v>
      </c>
      <c r="O96" s="101">
        <f>VLOOKUP(Tabla15[[#This Row],[Matricula Antigua]],BAJA2022202320242025!$B$3:$CR$245,93,FALSE)</f>
        <v>43630</v>
      </c>
      <c r="P96" s="99">
        <v>45457</v>
      </c>
      <c r="Q96" s="98">
        <f>Tabla15[[#This Row],[F.Vig.Final]]-Tabla15[[#This Row],[f Vig Inicio]]</f>
        <v>1827</v>
      </c>
      <c r="R96" s="99">
        <f>YEAR(Tabla15[[#This Row],[F.Vig.Final]])</f>
        <v>2024</v>
      </c>
      <c r="S96" s="96" t="s">
        <v>77</v>
      </c>
      <c r="T96" s="96" t="s">
        <v>674</v>
      </c>
      <c r="U96" s="96" t="s">
        <v>359</v>
      </c>
      <c r="V96" s="96" t="s">
        <v>1245</v>
      </c>
      <c r="W96" s="96" t="s">
        <v>1258</v>
      </c>
      <c r="X96" s="96" t="s">
        <v>1259</v>
      </c>
      <c r="Y96" s="96" t="s">
        <v>1260</v>
      </c>
      <c r="Z96" s="98">
        <f>COUNTIF($X$3:X96, X96)</f>
        <v>1</v>
      </c>
      <c r="AA96" s="98"/>
      <c r="AB96" s="98"/>
      <c r="AC96" s="98"/>
      <c r="AD96" s="98"/>
      <c r="AE96" s="321"/>
      <c r="AF96" s="320"/>
      <c r="AG96" s="320"/>
      <c r="AH96" s="98"/>
      <c r="AI96" s="98" t="e">
        <v>#N/A</v>
      </c>
      <c r="AJ96" s="98" t="e">
        <v>#N/A</v>
      </c>
      <c r="AK96" s="98" t="e">
        <v>#N/A</v>
      </c>
      <c r="AL96" s="98" t="e">
        <v>#N/A</v>
      </c>
      <c r="AM96" s="98" t="e">
        <v>#N/A</v>
      </c>
      <c r="AN96" s="99" t="e">
        <v>#N/A</v>
      </c>
      <c r="AO96" s="99" t="e">
        <v>#N/A</v>
      </c>
      <c r="AP96" s="99" t="e">
        <f>Tabla15[[#This Row],[Renov. Flota]]-Tabla15[[#This Row],[Año]]</f>
        <v>#N/A</v>
      </c>
      <c r="AQ96" s="100" t="e">
        <v>#N/A</v>
      </c>
      <c r="AR96" s="100" t="e">
        <f>VLOOKUP(Tabla15[[#This Row],[Matricula nueva]],'ALTA 20242025'!$B$2:$P$242,15,FALSE)</f>
        <v>#N/A</v>
      </c>
      <c r="AS96" s="101" t="e">
        <v>#N/A</v>
      </c>
      <c r="AT96" s="101"/>
      <c r="AU96" s="101"/>
      <c r="AV96" s="101"/>
      <c r="AW96" s="101" t="e">
        <f>VLOOKUP(Tabla15[[#This Row],[Matricula nueva]],Hoja2!$A$1:$B$224,2,FALSE)</f>
        <v>#N/A</v>
      </c>
      <c r="AX96" s="101" t="str">
        <f>IF(Tabla15[[#This Row],[Columna2]]="M1",5.1,"")</f>
        <v/>
      </c>
      <c r="AY96" s="101"/>
      <c r="AZ96" s="101"/>
      <c r="BA96" s="311">
        <f>IF(Tabla15[[#This Row],[Columna2]]="M1",13073,IF(Tabla15[[#This Row],[Columna2]]="N1",15815,IF(Tabla15[[#This Row],[Columna2]]="L3e",2831,53508)))</f>
        <v>53508</v>
      </c>
      <c r="BB96" s="311" t="e">
        <f>(Tabla15[[#This Row],[CVA]]*Tabla15[[#This Row],[F]]-Tabla15[[#This Row],[CVN]])/100*Tabla15[[#This Row],[L]]</f>
        <v>#VALUE!</v>
      </c>
      <c r="BC96" s="1"/>
      <c r="BD96" s="1" t="e">
        <f>VLOOKUP(B96,Tabla467824[[ID CAE2]:[AE '[kWh']]],6,FALSE)</f>
        <v>#N/A</v>
      </c>
      <c r="BE9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97" spans="1:57" ht="51.75" x14ac:dyDescent="0.25">
      <c r="A97" s="53" t="s">
        <v>491</v>
      </c>
      <c r="B97" s="53" t="s">
        <v>491</v>
      </c>
      <c r="C97" s="332" t="s">
        <v>492</v>
      </c>
      <c r="D97" s="104" t="s">
        <v>72</v>
      </c>
      <c r="E97" s="104" t="s">
        <v>72</v>
      </c>
      <c r="F97" s="104" t="s">
        <v>72</v>
      </c>
      <c r="G97" s="104"/>
      <c r="H97" s="104" t="s">
        <v>72</v>
      </c>
      <c r="I97" s="104" t="s">
        <v>72</v>
      </c>
      <c r="J97" s="104"/>
      <c r="K97" s="96" t="s">
        <v>73</v>
      </c>
      <c r="L97" s="96" t="s">
        <v>200</v>
      </c>
      <c r="M97" s="96" t="s">
        <v>201</v>
      </c>
      <c r="N97" s="96" t="s">
        <v>160</v>
      </c>
      <c r="O97" s="101">
        <f>VLOOKUP(Tabla15[[#This Row],[Matricula Antigua]],BAJA2022202320242025!$B$3:$CR$245,93,FALSE)</f>
        <v>44189</v>
      </c>
      <c r="P97" s="316">
        <v>45650</v>
      </c>
      <c r="Q97" s="317">
        <f>Tabla15[[#This Row],[F.Vig.Final]]-Tabla15[[#This Row],[f Vig Inicio]]</f>
        <v>1461</v>
      </c>
      <c r="R97" s="318">
        <f>YEAR(Tabla15[[#This Row],[F.Vig.Final]])</f>
        <v>2024</v>
      </c>
      <c r="S97" s="96" t="s">
        <v>161</v>
      </c>
      <c r="T97" s="96" t="s">
        <v>78</v>
      </c>
      <c r="U97" s="96" t="s">
        <v>467</v>
      </c>
      <c r="V97" s="96" t="s">
        <v>476</v>
      </c>
      <c r="W97" s="96" t="s">
        <v>102</v>
      </c>
      <c r="X97" s="332" t="s">
        <v>1667</v>
      </c>
      <c r="Y97" s="96" t="s">
        <v>493</v>
      </c>
      <c r="Z97" s="98">
        <f>COUNTIF($X$3:X97, X97)</f>
        <v>10</v>
      </c>
      <c r="AA97" s="337" t="s">
        <v>1668</v>
      </c>
      <c r="AB97" s="337" t="s">
        <v>1668</v>
      </c>
      <c r="AC97" s="337" t="s">
        <v>1669</v>
      </c>
      <c r="AD97" s="341" t="s">
        <v>1670</v>
      </c>
      <c r="AE97" s="342" t="s">
        <v>1671</v>
      </c>
      <c r="AF97" s="337" t="s">
        <v>1672</v>
      </c>
      <c r="AG97" s="344" t="s">
        <v>1673</v>
      </c>
      <c r="AH97" s="337" t="s">
        <v>1649</v>
      </c>
      <c r="AI97" s="337" t="s">
        <v>494</v>
      </c>
      <c r="AJ97" s="98" t="s">
        <v>85</v>
      </c>
      <c r="AK97" s="98" t="s">
        <v>86</v>
      </c>
      <c r="AL97" s="98" t="s">
        <v>87</v>
      </c>
      <c r="AM97" s="101" t="s">
        <v>495</v>
      </c>
      <c r="AN97" s="348" t="s">
        <v>89</v>
      </c>
      <c r="AO97" s="349">
        <v>45625</v>
      </c>
      <c r="AP97" s="98">
        <f>Tabla15[[#This Row],[Renov. Flota]]-Tabla15[[#This Row],[Año]]</f>
        <v>0</v>
      </c>
      <c r="AQ97" s="100" t="s">
        <v>102</v>
      </c>
      <c r="AR97" s="100" t="str">
        <f>VLOOKUP(Tabla15[[#This Row],[Matricula nueva]],'ALTA 20242025'!$B$2:$P$242,15,FALSE)</f>
        <v>4500426787</v>
      </c>
      <c r="AS97" s="101" t="s">
        <v>103</v>
      </c>
      <c r="AT97" s="101"/>
      <c r="AU97" s="101" t="s">
        <v>72</v>
      </c>
      <c r="AV97" s="101" t="s">
        <v>109</v>
      </c>
      <c r="AW97" s="101" t="str">
        <f>VLOOKUP(Tabla15[[#This Row],[Matricula nueva]],Hoja2!$A$1:$B$224,2,FALSE)</f>
        <v>VF1RFK00273824803</v>
      </c>
      <c r="AX97" s="209">
        <v>5.6</v>
      </c>
      <c r="AY97" s="208">
        <f>IF(T97="DIESEL",10,IF(T97="GLP",7.16,9.19))</f>
        <v>10</v>
      </c>
      <c r="AZ97" s="313">
        <v>17.3</v>
      </c>
      <c r="BA97" s="314">
        <f>IF(Tabla15[[#This Row],[Columna2]]="M1",13073,IF(Tabla15[[#This Row],[Columna2]]="N1",15815,IF(Tabla15[[#This Row],[Columna2]]="L3e",2831,53508)))</f>
        <v>15815</v>
      </c>
      <c r="BB97" s="350">
        <f>(Tabla15[[#This Row],[CVA]]*Tabla15[[#This Row],[F]]-Tabla15[[#This Row],[CVN]])/100*Tabla15[[#This Row],[L]]</f>
        <v>6120.4049999999997</v>
      </c>
      <c r="BC97" s="69" t="s">
        <v>128</v>
      </c>
      <c r="BD97" s="294">
        <f>VLOOKUP(B97,Tabla467824[[ID CAE2]:[AE '[kWh']]],6,FALSE)</f>
        <v>5607.9989999999989</v>
      </c>
      <c r="BE9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8" spans="1:57" ht="51.75" x14ac:dyDescent="0.25">
      <c r="A98" s="53" t="s">
        <v>498</v>
      </c>
      <c r="B98" s="53" t="s">
        <v>498</v>
      </c>
      <c r="C98" s="332" t="s">
        <v>499</v>
      </c>
      <c r="D98" s="104" t="s">
        <v>72</v>
      </c>
      <c r="E98" s="104" t="s">
        <v>72</v>
      </c>
      <c r="F98" s="104" t="s">
        <v>72</v>
      </c>
      <c r="G98" s="104"/>
      <c r="H98" s="104" t="s">
        <v>72</v>
      </c>
      <c r="I98" s="104" t="s">
        <v>72</v>
      </c>
      <c r="J98" s="104"/>
      <c r="K98" s="96" t="s">
        <v>73</v>
      </c>
      <c r="L98" s="96" t="s">
        <v>200</v>
      </c>
      <c r="M98" s="96" t="s">
        <v>201</v>
      </c>
      <c r="N98" s="96" t="s">
        <v>76</v>
      </c>
      <c r="O98" s="101">
        <f>VLOOKUP(Tabla15[[#This Row],[Matricula Antigua]],BAJA2022202320242025!$B$3:$CR$245,93,FALSE)</f>
        <v>44176</v>
      </c>
      <c r="P98" s="316">
        <v>45637</v>
      </c>
      <c r="Q98" s="317">
        <f>Tabla15[[#This Row],[F.Vig.Final]]-Tabla15[[#This Row],[f Vig Inicio]]</f>
        <v>1461</v>
      </c>
      <c r="R98" s="318">
        <f>YEAR(Tabla15[[#This Row],[F.Vig.Final]])</f>
        <v>2024</v>
      </c>
      <c r="S98" s="96" t="s">
        <v>77</v>
      </c>
      <c r="T98" s="96" t="s">
        <v>78</v>
      </c>
      <c r="U98" s="96" t="s">
        <v>467</v>
      </c>
      <c r="V98" s="96" t="s">
        <v>500</v>
      </c>
      <c r="W98" s="96" t="s">
        <v>119</v>
      </c>
      <c r="X98" s="332" t="s">
        <v>1674</v>
      </c>
      <c r="Y98" s="96" t="s">
        <v>501</v>
      </c>
      <c r="Z98" s="98">
        <f>COUNTIF($X$3:X98, X98)</f>
        <v>15</v>
      </c>
      <c r="AA98" s="337" t="s">
        <v>1661</v>
      </c>
      <c r="AB98" s="337" t="s">
        <v>1661</v>
      </c>
      <c r="AC98" s="337" t="s">
        <v>1662</v>
      </c>
      <c r="AD98" s="337" t="s">
        <v>1663</v>
      </c>
      <c r="AE98" s="345" t="s">
        <v>1664</v>
      </c>
      <c r="AF98" s="346" t="s">
        <v>1665</v>
      </c>
      <c r="AG98" s="337" t="s">
        <v>1666</v>
      </c>
      <c r="AH98" s="337" t="s">
        <v>1649</v>
      </c>
      <c r="AI98" s="337" t="s">
        <v>502</v>
      </c>
      <c r="AJ98" s="98" t="s">
        <v>140</v>
      </c>
      <c r="AK98" s="98" t="s">
        <v>151</v>
      </c>
      <c r="AL98" s="98" t="s">
        <v>87</v>
      </c>
      <c r="AM98" s="101" t="s">
        <v>243</v>
      </c>
      <c r="AN98" s="348" t="s">
        <v>89</v>
      </c>
      <c r="AO98" s="349">
        <v>45625</v>
      </c>
      <c r="AP98" s="98">
        <f>Tabla15[[#This Row],[Renov. Flota]]-Tabla15[[#This Row],[Año]]</f>
        <v>0</v>
      </c>
      <c r="AQ98" s="100" t="s">
        <v>119</v>
      </c>
      <c r="AR98" s="100" t="str">
        <f>VLOOKUP(Tabla15[[#This Row],[Matricula nueva]],'ALTA 20242025'!$B$2:$P$242,15,FALSE)</f>
        <v>4500424812</v>
      </c>
      <c r="AS98" s="101" t="s">
        <v>120</v>
      </c>
      <c r="AT98" s="101"/>
      <c r="AU98" s="101" t="s">
        <v>72</v>
      </c>
      <c r="AV98" s="101" t="s">
        <v>91</v>
      </c>
      <c r="AW98" s="101" t="str">
        <f>VLOOKUP(Tabla15[[#This Row],[Matricula nueva]],Hoja2!$A$1:$B$224,2,FALSE)</f>
        <v>VR7CBZYA7RT152181</v>
      </c>
      <c r="AX98" s="209">
        <v>5.6</v>
      </c>
      <c r="AY98" s="208">
        <f>IF(T98="DIESEL",10,IF(T98="GLP",7.16,9.19))</f>
        <v>10</v>
      </c>
      <c r="AZ98" s="313">
        <v>16.399999999999999</v>
      </c>
      <c r="BA98" s="314">
        <f>IF(Tabla15[[#This Row],[Columna2]]="M1",13073,IF(Tabla15[[#This Row],[Columna2]]="N1",15815,IF(Tabla15[[#This Row],[Columna2]]="L3e",2831,53508)))</f>
        <v>15815</v>
      </c>
      <c r="BB98" s="350">
        <f>(Tabla15[[#This Row],[CVA]]*Tabla15[[#This Row],[F]]-Tabla15[[#This Row],[CVN]])/100*Tabla15[[#This Row],[L]]</f>
        <v>6262.7400000000007</v>
      </c>
      <c r="BC98" s="74" t="s">
        <v>128</v>
      </c>
      <c r="BD98" s="294">
        <f>VLOOKUP(B98,Tabla467824[[ID CAE2]:[AE '[kWh']]],6,FALSE)</f>
        <v>6795.3454000000002</v>
      </c>
      <c r="BE9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99" spans="1:57" ht="52.5" thickBot="1" x14ac:dyDescent="0.3">
      <c r="A99" s="53" t="s">
        <v>505</v>
      </c>
      <c r="B99" s="53" t="s">
        <v>505</v>
      </c>
      <c r="C99" s="332" t="s">
        <v>506</v>
      </c>
      <c r="D99" s="104" t="s">
        <v>72</v>
      </c>
      <c r="E99" s="104" t="s">
        <v>72</v>
      </c>
      <c r="F99" s="104" t="s">
        <v>72</v>
      </c>
      <c r="G99" s="104"/>
      <c r="H99" s="104" t="s">
        <v>72</v>
      </c>
      <c r="I99" s="104" t="s">
        <v>72</v>
      </c>
      <c r="J99" s="104"/>
      <c r="K99" s="96" t="s">
        <v>73</v>
      </c>
      <c r="L99" s="96" t="s">
        <v>200</v>
      </c>
      <c r="M99" s="96" t="s">
        <v>201</v>
      </c>
      <c r="N99" s="96" t="s">
        <v>76</v>
      </c>
      <c r="O99" s="101">
        <f>VLOOKUP(Tabla15[[#This Row],[Matricula Antigua]],BAJA2022202320242025!$B$3:$CR$245,93,FALSE)</f>
        <v>44176</v>
      </c>
      <c r="P99" s="316">
        <v>45637</v>
      </c>
      <c r="Q99" s="317">
        <f>Tabla15[[#This Row],[F.Vig.Final]]-Tabla15[[#This Row],[f Vig Inicio]]</f>
        <v>1461</v>
      </c>
      <c r="R99" s="318">
        <f>YEAR(Tabla15[[#This Row],[F.Vig.Final]])</f>
        <v>2024</v>
      </c>
      <c r="S99" s="96" t="s">
        <v>77</v>
      </c>
      <c r="T99" s="96" t="s">
        <v>78</v>
      </c>
      <c r="U99" s="96" t="s">
        <v>467</v>
      </c>
      <c r="V99" s="96" t="s">
        <v>500</v>
      </c>
      <c r="W99" s="96" t="s">
        <v>215</v>
      </c>
      <c r="X99" s="332" t="s">
        <v>216</v>
      </c>
      <c r="Y99" s="96" t="s">
        <v>507</v>
      </c>
      <c r="Z99" s="98">
        <f>COUNTIF($X$3:X99, X99)</f>
        <v>2</v>
      </c>
      <c r="AA99" s="337" t="s">
        <v>1661</v>
      </c>
      <c r="AB99" s="337" t="s">
        <v>1661</v>
      </c>
      <c r="AC99" s="337" t="s">
        <v>1662</v>
      </c>
      <c r="AD99" s="333" t="s">
        <v>1679</v>
      </c>
      <c r="AE99" s="351" t="s">
        <v>1664</v>
      </c>
      <c r="AF99" s="337" t="s">
        <v>1680</v>
      </c>
      <c r="AG99" s="337" t="s">
        <v>1681</v>
      </c>
      <c r="AH99" s="337" t="s">
        <v>1649</v>
      </c>
      <c r="AI99" s="337" t="s">
        <v>508</v>
      </c>
      <c r="AJ99" s="98" t="s">
        <v>140</v>
      </c>
      <c r="AK99" s="98" t="s">
        <v>151</v>
      </c>
      <c r="AL99" s="98" t="s">
        <v>87</v>
      </c>
      <c r="AM99" s="101" t="s">
        <v>509</v>
      </c>
      <c r="AN99" s="348" t="s">
        <v>89</v>
      </c>
      <c r="AO99" s="349">
        <v>45625</v>
      </c>
      <c r="AP99" s="98">
        <f>Tabla15[[#This Row],[Renov. Flota]]-Tabla15[[#This Row],[Año]]</f>
        <v>0</v>
      </c>
      <c r="AQ99" s="100" t="s">
        <v>215</v>
      </c>
      <c r="AR99" s="100" t="str">
        <f>VLOOKUP(Tabla15[[#This Row],[Matricula nueva]],'ALTA 20242025'!$B$2:$P$242,15,FALSE)</f>
        <v>4500424806</v>
      </c>
      <c r="AS99" s="101" t="s">
        <v>216</v>
      </c>
      <c r="AT99" s="101"/>
      <c r="AU99" s="101" t="s">
        <v>72</v>
      </c>
      <c r="AV99" s="101" t="s">
        <v>91</v>
      </c>
      <c r="AW99" s="101" t="str">
        <f>VLOOKUP(Tabla15[[#This Row],[Matricula nueva]],Hoja2!$A$1:$B$224,2,FALSE)</f>
        <v>VR7CBZYA5RT153040</v>
      </c>
      <c r="AX99" s="209">
        <v>5.6</v>
      </c>
      <c r="AY99" s="208">
        <f>IF(T99="DIESEL",10,IF(T99="GLP",7.16,9.19))</f>
        <v>10</v>
      </c>
      <c r="AZ99" s="313">
        <v>16.399999999999999</v>
      </c>
      <c r="BA99" s="314">
        <f>IF(Tabla15[[#This Row],[Columna2]]="M1",13073,IF(Tabla15[[#This Row],[Columna2]]="N1",15815,IF(Tabla15[[#This Row],[Columna2]]="L3e",2831,53508)))</f>
        <v>15815</v>
      </c>
      <c r="BB99" s="350">
        <f>(Tabla15[[#This Row],[CVA]]*Tabla15[[#This Row],[F]]-Tabla15[[#This Row],[CVN]])/100*Tabla15[[#This Row],[L]]</f>
        <v>6262.7400000000007</v>
      </c>
      <c r="BC99" s="79" t="s">
        <v>128</v>
      </c>
      <c r="BD99" s="294">
        <f>VLOOKUP(B99,Tabla467824[[ID CAE2]:[AE '[kWh']]],6,FALSE)</f>
        <v>6795.3454000000002</v>
      </c>
      <c r="BE9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00" spans="1:57" ht="15.75" hidden="1" thickBot="1" x14ac:dyDescent="0.3">
      <c r="A100" s="53" t="s">
        <v>1261</v>
      </c>
      <c r="B100" s="53" t="e">
        <v>#N/A</v>
      </c>
      <c r="C100" s="96" t="s">
        <v>1262</v>
      </c>
      <c r="D100" s="96"/>
      <c r="E100" s="96"/>
      <c r="F100" s="96"/>
      <c r="G100" s="96"/>
      <c r="H100" s="96"/>
      <c r="I100" s="96"/>
      <c r="J100" s="96"/>
      <c r="K100" s="96" t="s">
        <v>73</v>
      </c>
      <c r="L100" s="96" t="s">
        <v>200</v>
      </c>
      <c r="M100" s="96" t="s">
        <v>201</v>
      </c>
      <c r="N100" s="96" t="s">
        <v>160</v>
      </c>
      <c r="O100" s="101">
        <f>VLOOKUP(Tabla15[[#This Row],[Matricula Antigua]],BAJA2022202320242025!$B$3:$CR$245,93,FALSE)</f>
        <v>43619</v>
      </c>
      <c r="P100" s="99">
        <v>45476</v>
      </c>
      <c r="Q100" s="98">
        <f>Tabla15[[#This Row],[F.Vig.Final]]-Tabla15[[#This Row],[f Vig Inicio]]</f>
        <v>1857</v>
      </c>
      <c r="R100" s="99">
        <f>YEAR(Tabla15[[#This Row],[F.Vig.Final]])</f>
        <v>2024</v>
      </c>
      <c r="S100" s="96" t="s">
        <v>161</v>
      </c>
      <c r="T100" s="96" t="s">
        <v>78</v>
      </c>
      <c r="U100" s="96" t="s">
        <v>359</v>
      </c>
      <c r="V100" s="96" t="s">
        <v>360</v>
      </c>
      <c r="W100" s="96" t="s">
        <v>584</v>
      </c>
      <c r="X100" s="96" t="s">
        <v>585</v>
      </c>
      <c r="Y100" s="96" t="s">
        <v>1263</v>
      </c>
      <c r="Z100" s="98">
        <f>COUNTIF($X$3:X100, X100)</f>
        <v>3</v>
      </c>
      <c r="AA100" s="98"/>
      <c r="AB100" s="98"/>
      <c r="AC100" s="98"/>
      <c r="AD100" s="98"/>
      <c r="AE100" s="320"/>
      <c r="AF100" s="98"/>
      <c r="AG100" s="98"/>
      <c r="AH100" s="98"/>
      <c r="AI100" s="98" t="e">
        <v>#N/A</v>
      </c>
      <c r="AJ100" s="98" t="e">
        <v>#N/A</v>
      </c>
      <c r="AK100" s="98" t="e">
        <v>#N/A</v>
      </c>
      <c r="AL100" s="98" t="e">
        <v>#N/A</v>
      </c>
      <c r="AM100" s="98" t="e">
        <v>#N/A</v>
      </c>
      <c r="AN100" s="99" t="e">
        <v>#N/A</v>
      </c>
      <c r="AO100" s="99" t="e">
        <v>#N/A</v>
      </c>
      <c r="AP100" s="99" t="e">
        <f>Tabla15[[#This Row],[Renov. Flota]]-Tabla15[[#This Row],[Año]]</f>
        <v>#N/A</v>
      </c>
      <c r="AQ100" s="100" t="e">
        <v>#N/A</v>
      </c>
      <c r="AR100" s="100" t="e">
        <f>VLOOKUP(Tabla15[[#This Row],[Matricula nueva]],'ALTA 20242025'!$B$2:$P$242,15,FALSE)</f>
        <v>#N/A</v>
      </c>
      <c r="AS100" s="101" t="e">
        <v>#N/A</v>
      </c>
      <c r="AT100" s="101"/>
      <c r="AU100" s="101"/>
      <c r="AV100" s="101"/>
      <c r="AW100" s="101" t="e">
        <f>VLOOKUP(Tabla15[[#This Row],[Matricula nueva]],Hoja2!$A$1:$B$224,2,FALSE)</f>
        <v>#N/A</v>
      </c>
      <c r="AX100" s="101" t="str">
        <f>IF(Tabla15[[#This Row],[Columna2]]="M1",5.1,"")</f>
        <v/>
      </c>
      <c r="AY100" s="101"/>
      <c r="AZ100" s="101"/>
      <c r="BA100" s="311">
        <f>IF(Tabla15[[#This Row],[Columna2]]="M1",13073,IF(Tabla15[[#This Row],[Columna2]]="N1",15815,IF(Tabla15[[#This Row],[Columna2]]="L3e",2831,53508)))</f>
        <v>53508</v>
      </c>
      <c r="BB100" s="311" t="e">
        <f>(Tabla15[[#This Row],[CVA]]*Tabla15[[#This Row],[F]]-Tabla15[[#This Row],[CVN]])/100*Tabla15[[#This Row],[L]]</f>
        <v>#VALUE!</v>
      </c>
      <c r="BC100" s="1"/>
      <c r="BD100" s="1" t="e">
        <f>VLOOKUP(B100,Tabla467824[[ID CAE2]:[AE '[kWh']]],6,FALSE)</f>
        <v>#N/A</v>
      </c>
      <c r="BE10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01" spans="1:57" ht="60.75" thickBot="1" x14ac:dyDescent="0.3">
      <c r="A101" s="53" t="s">
        <v>514</v>
      </c>
      <c r="B101" s="53" t="s">
        <v>514</v>
      </c>
      <c r="C101" s="332" t="s">
        <v>515</v>
      </c>
      <c r="D101" s="104"/>
      <c r="E101" s="104"/>
      <c r="F101" s="104"/>
      <c r="G101" s="104" t="s">
        <v>72</v>
      </c>
      <c r="H101" s="104" t="s">
        <v>72</v>
      </c>
      <c r="I101" s="104" t="s">
        <v>72</v>
      </c>
      <c r="J101" s="104"/>
      <c r="K101" s="96" t="s">
        <v>158</v>
      </c>
      <c r="L101" s="96" t="s">
        <v>159</v>
      </c>
      <c r="M101" s="96" t="s">
        <v>158</v>
      </c>
      <c r="N101" s="96" t="s">
        <v>171</v>
      </c>
      <c r="O101" s="99">
        <f>VLOOKUP(Tabla15[[#This Row],[Matricula Antigua]],BAJA2022202320242025!$B$3:$CR$245,93,FALSE)</f>
        <v>39827</v>
      </c>
      <c r="P101" s="316">
        <v>45574</v>
      </c>
      <c r="Q101" s="317">
        <f>Tabla15[[#This Row],[F.Vig.Final]]-Tabla15[[#This Row],[f Vig Inicio]]</f>
        <v>5747</v>
      </c>
      <c r="R101" s="318">
        <f>YEAR(Tabla15[[#This Row],[F.Vig.Final]])</f>
        <v>2024</v>
      </c>
      <c r="S101" s="96" t="s">
        <v>172</v>
      </c>
      <c r="T101" s="96" t="s">
        <v>78</v>
      </c>
      <c r="U101" s="96" t="s">
        <v>85</v>
      </c>
      <c r="V101" s="96" t="s">
        <v>517</v>
      </c>
      <c r="W101" s="96" t="s">
        <v>190</v>
      </c>
      <c r="X101" s="333" t="s">
        <v>1678</v>
      </c>
      <c r="Y101" s="96" t="s">
        <v>518</v>
      </c>
      <c r="Z101" s="98">
        <f>COUNTIF($X$3:X101, X101)</f>
        <v>6</v>
      </c>
      <c r="AA101" s="337" t="s">
        <v>1661</v>
      </c>
      <c r="AB101" s="337" t="s">
        <v>1661</v>
      </c>
      <c r="AC101" s="337" t="s">
        <v>1662</v>
      </c>
      <c r="AD101" s="337" t="s">
        <v>1663</v>
      </c>
      <c r="AE101" s="342" t="s">
        <v>1664</v>
      </c>
      <c r="AF101" s="337" t="s">
        <v>1665</v>
      </c>
      <c r="AG101" s="337" t="s">
        <v>1666</v>
      </c>
      <c r="AH101" s="337" t="s">
        <v>1649</v>
      </c>
      <c r="AI101" s="337" t="s">
        <v>519</v>
      </c>
      <c r="AJ101" s="98" t="s">
        <v>85</v>
      </c>
      <c r="AK101" s="98" t="s">
        <v>86</v>
      </c>
      <c r="AL101" s="98" t="s">
        <v>87</v>
      </c>
      <c r="AM101" s="101" t="s">
        <v>194</v>
      </c>
      <c r="AN101" s="348" t="s">
        <v>89</v>
      </c>
      <c r="AO101" s="349">
        <v>45646</v>
      </c>
      <c r="AP101" s="98">
        <f>Tabla15[[#This Row],[Renov. Flota]]-Tabla15[[#This Row],[Año]]</f>
        <v>0</v>
      </c>
      <c r="AQ101" s="100" t="s">
        <v>190</v>
      </c>
      <c r="AR101" s="100" t="str">
        <f>VLOOKUP(Tabla15[[#This Row],[Matricula nueva]],'ALTA 20242025'!$B$2:$P$242,15,FALSE)</f>
        <v>4500426783</v>
      </c>
      <c r="AS101" s="101" t="s">
        <v>191</v>
      </c>
      <c r="AT101" s="101"/>
      <c r="AU101" s="101" t="s">
        <v>72</v>
      </c>
      <c r="AV101" s="101" t="s">
        <v>91</v>
      </c>
      <c r="AW101" s="101" t="str">
        <f>VLOOKUP(Tabla15[[#This Row],[Matricula nueva]],Hoja2!$A$1:$B$224,2,FALSE)</f>
        <v>VF1RFK00273934279</v>
      </c>
      <c r="AX101" s="209">
        <v>35</v>
      </c>
      <c r="AY101" s="208">
        <f>IF(T101="DIESEL",10,IF(T101="GLP",7.16,9.19))</f>
        <v>10</v>
      </c>
      <c r="AZ101" s="313">
        <v>17.3</v>
      </c>
      <c r="BA101" s="314">
        <f>IF(Tabla15[[#This Row],[Columna2]]="M1",13073,IF(Tabla15[[#This Row],[Columna2]]="N1",15815,IF(Tabla15[[#This Row],[Columna2]]="L3e",2831,53508)))</f>
        <v>53508</v>
      </c>
      <c r="BB101" s="350">
        <f>(Tabla15[[#This Row],[CVA]]*Tabla15[[#This Row],[F]]-Tabla15[[#This Row],[CVN]])/100*Tabla15[[#This Row],[L]]</f>
        <v>178021.11600000001</v>
      </c>
      <c r="BC101" s="84" t="s">
        <v>516</v>
      </c>
      <c r="BD101" s="294">
        <f>VLOOKUP(B101,Tabla467824[[ID CAE2]:[AE '[kWh']]],6,FALSE)</f>
        <v>123854.9676</v>
      </c>
      <c r="BE10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02" spans="1:57" ht="15.75" hidden="1" thickBot="1" x14ac:dyDescent="0.3">
      <c r="A102" s="53" t="s">
        <v>1264</v>
      </c>
      <c r="B102" s="53" t="e">
        <v>#N/A</v>
      </c>
      <c r="C102" s="96" t="s">
        <v>1265</v>
      </c>
      <c r="D102" s="96"/>
      <c r="E102" s="96"/>
      <c r="F102" s="96"/>
      <c r="G102" s="96"/>
      <c r="H102" s="96"/>
      <c r="I102" s="96"/>
      <c r="J102" s="96"/>
      <c r="K102" s="96" t="s">
        <v>73</v>
      </c>
      <c r="L102" s="96" t="s">
        <v>200</v>
      </c>
      <c r="M102" s="96" t="s">
        <v>201</v>
      </c>
      <c r="N102" s="96" t="s">
        <v>76</v>
      </c>
      <c r="O102" s="101">
        <f>VLOOKUP(Tabla15[[#This Row],[Matricula Antigua]],BAJA2022202320242025!$B$3:$CR$245,93,FALSE)</f>
        <v>44029</v>
      </c>
      <c r="P102" s="99">
        <v>45490</v>
      </c>
      <c r="Q102" s="98">
        <f>Tabla15[[#This Row],[F.Vig.Final]]-Tabla15[[#This Row],[f Vig Inicio]]</f>
        <v>1461</v>
      </c>
      <c r="R102" s="99">
        <f>YEAR(Tabla15[[#This Row],[F.Vig.Final]])</f>
        <v>2024</v>
      </c>
      <c r="S102" s="96" t="s">
        <v>77</v>
      </c>
      <c r="T102" s="96" t="s">
        <v>78</v>
      </c>
      <c r="U102" s="96" t="s">
        <v>467</v>
      </c>
      <c r="V102" s="96" t="s">
        <v>1266</v>
      </c>
      <c r="W102" s="96" t="s">
        <v>1235</v>
      </c>
      <c r="X102" s="96" t="s">
        <v>1236</v>
      </c>
      <c r="Y102" s="96" t="s">
        <v>312</v>
      </c>
      <c r="Z102" s="98">
        <f>COUNTIF($X$3:X102, X102)</f>
        <v>2</v>
      </c>
      <c r="AA102" s="98"/>
      <c r="AB102" s="98"/>
      <c r="AC102" s="98"/>
      <c r="AD102" s="98"/>
      <c r="AE102" s="321"/>
      <c r="AF102" s="98"/>
      <c r="AG102" s="98"/>
      <c r="AH102" s="98"/>
      <c r="AI102" s="98" t="e">
        <v>#N/A</v>
      </c>
      <c r="AJ102" s="98" t="e">
        <v>#N/A</v>
      </c>
      <c r="AK102" s="98" t="e">
        <v>#N/A</v>
      </c>
      <c r="AL102" s="98" t="e">
        <v>#N/A</v>
      </c>
      <c r="AM102" s="98" t="e">
        <v>#N/A</v>
      </c>
      <c r="AN102" s="99" t="e">
        <v>#N/A</v>
      </c>
      <c r="AO102" s="99" t="e">
        <v>#N/A</v>
      </c>
      <c r="AP102" s="99" t="e">
        <f>Tabla15[[#This Row],[Renov. Flota]]-Tabla15[[#This Row],[Año]]</f>
        <v>#N/A</v>
      </c>
      <c r="AQ102" s="100" t="e">
        <v>#N/A</v>
      </c>
      <c r="AR102" s="100" t="e">
        <f>VLOOKUP(Tabla15[[#This Row],[Matricula nueva]],'ALTA 20242025'!$B$2:$P$242,15,FALSE)</f>
        <v>#N/A</v>
      </c>
      <c r="AS102" s="101" t="e">
        <v>#N/A</v>
      </c>
      <c r="AT102" s="101"/>
      <c r="AU102" s="101"/>
      <c r="AV102" s="101"/>
      <c r="AW102" s="101" t="e">
        <f>VLOOKUP(Tabla15[[#This Row],[Matricula nueva]],Hoja2!$A$1:$B$224,2,FALSE)</f>
        <v>#N/A</v>
      </c>
      <c r="AX102" s="101" t="str">
        <f>IF(Tabla15[[#This Row],[Columna2]]="M1",5.1,"")</f>
        <v/>
      </c>
      <c r="AY102" s="101"/>
      <c r="AZ102" s="101"/>
      <c r="BA102" s="311">
        <f>IF(Tabla15[[#This Row],[Columna2]]="M1",13073,IF(Tabla15[[#This Row],[Columna2]]="N1",15815,IF(Tabla15[[#This Row],[Columna2]]="L3e",2831,53508)))</f>
        <v>53508</v>
      </c>
      <c r="BB102" s="311" t="e">
        <f>(Tabla15[[#This Row],[CVA]]*Tabla15[[#This Row],[F]]-Tabla15[[#This Row],[CVN]])/100*Tabla15[[#This Row],[L]]</f>
        <v>#VALUE!</v>
      </c>
      <c r="BC102" s="1"/>
      <c r="BD102" s="1" t="e">
        <f>VLOOKUP(B102,Tabla467824[[ID CAE2]:[AE '[kWh']]],6,FALSE)</f>
        <v>#N/A</v>
      </c>
      <c r="BE10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03" spans="1:57" ht="60" x14ac:dyDescent="0.25">
      <c r="A103" s="53" t="s">
        <v>522</v>
      </c>
      <c r="B103" s="53" t="s">
        <v>522</v>
      </c>
      <c r="C103" s="332" t="s">
        <v>523</v>
      </c>
      <c r="D103" s="104"/>
      <c r="E103" s="104"/>
      <c r="F103" s="104"/>
      <c r="G103" s="104" t="s">
        <v>72</v>
      </c>
      <c r="H103" s="104" t="s">
        <v>72</v>
      </c>
      <c r="I103" s="104" t="s">
        <v>72</v>
      </c>
      <c r="J103" s="104"/>
      <c r="K103" s="96" t="s">
        <v>158</v>
      </c>
      <c r="L103" s="96" t="s">
        <v>159</v>
      </c>
      <c r="M103" s="96" t="s">
        <v>158</v>
      </c>
      <c r="N103" s="96" t="s">
        <v>171</v>
      </c>
      <c r="O103" s="99">
        <f>VLOOKUP(Tabla15[[#This Row],[Matricula Antigua]],BAJA2022202320242025!$B$3:$CR$245,93,FALSE)</f>
        <v>39407</v>
      </c>
      <c r="P103" s="316">
        <v>45341</v>
      </c>
      <c r="Q103" s="317">
        <f>Tabla15[[#This Row],[F.Vig.Final]]-Tabla15[[#This Row],[f Vig Inicio]]</f>
        <v>5934</v>
      </c>
      <c r="R103" s="318">
        <f>YEAR(Tabla15[[#This Row],[F.Vig.Final]])</f>
        <v>2024</v>
      </c>
      <c r="S103" s="96" t="s">
        <v>172</v>
      </c>
      <c r="T103" s="96" t="s">
        <v>78</v>
      </c>
      <c r="U103" s="96" t="s">
        <v>524</v>
      </c>
      <c r="V103" s="96" t="s">
        <v>525</v>
      </c>
      <c r="W103" s="96" t="s">
        <v>190</v>
      </c>
      <c r="X103" s="333" t="s">
        <v>1678</v>
      </c>
      <c r="Y103" s="96" t="s">
        <v>518</v>
      </c>
      <c r="Z103" s="98">
        <f>COUNTIF($X$3:X103, X103)</f>
        <v>7</v>
      </c>
      <c r="AA103" s="337" t="s">
        <v>1661</v>
      </c>
      <c r="AB103" s="337" t="s">
        <v>1661</v>
      </c>
      <c r="AC103" s="337" t="s">
        <v>1662</v>
      </c>
      <c r="AD103" s="337" t="s">
        <v>1663</v>
      </c>
      <c r="AE103" s="342" t="s">
        <v>1664</v>
      </c>
      <c r="AF103" s="337" t="s">
        <v>1665</v>
      </c>
      <c r="AG103" s="337" t="s">
        <v>1666</v>
      </c>
      <c r="AH103" s="337" t="s">
        <v>1649</v>
      </c>
      <c r="AI103" s="337" t="s">
        <v>526</v>
      </c>
      <c r="AJ103" s="98" t="s">
        <v>140</v>
      </c>
      <c r="AK103" s="98" t="s">
        <v>151</v>
      </c>
      <c r="AL103" s="98" t="s">
        <v>87</v>
      </c>
      <c r="AM103" s="101" t="s">
        <v>518</v>
      </c>
      <c r="AN103" s="348" t="s">
        <v>89</v>
      </c>
      <c r="AO103" s="349">
        <v>45625</v>
      </c>
      <c r="AP103" s="98">
        <f>Tabla15[[#This Row],[Renov. Flota]]-Tabla15[[#This Row],[Año]]</f>
        <v>0</v>
      </c>
      <c r="AQ103" s="100" t="s">
        <v>190</v>
      </c>
      <c r="AR103" s="100" t="str">
        <f>VLOOKUP(Tabla15[[#This Row],[Matricula nueva]],'ALTA 20242025'!$B$2:$P$242,15,FALSE)</f>
        <v>4500424814</v>
      </c>
      <c r="AS103" s="101" t="s">
        <v>191</v>
      </c>
      <c r="AT103" s="101"/>
      <c r="AU103" s="101" t="s">
        <v>72</v>
      </c>
      <c r="AV103" s="101" t="s">
        <v>91</v>
      </c>
      <c r="AW103" s="101" t="str">
        <f>VLOOKUP(Tabla15[[#This Row],[Matricula nueva]],Hoja2!$A$1:$B$224,2,FALSE)</f>
        <v>VR7CBZYA4RT153045</v>
      </c>
      <c r="AX103" s="209">
        <v>35</v>
      </c>
      <c r="AY103" s="208">
        <f>IF(T103="DIESEL",10,IF(T103="GLP",7.16,9.19))</f>
        <v>10</v>
      </c>
      <c r="AZ103" s="313">
        <v>16.399999999999999</v>
      </c>
      <c r="BA103" s="314">
        <f>IF(Tabla15[[#This Row],[Columna2]]="M1",13073,IF(Tabla15[[#This Row],[Columna2]]="N1",15815,IF(Tabla15[[#This Row],[Columna2]]="L3e",2831,53508)))</f>
        <v>53508</v>
      </c>
      <c r="BB103" s="350">
        <f>(Tabla15[[#This Row],[CVA]]*Tabla15[[#This Row],[F]]-Tabla15[[#This Row],[CVN]])/100*Tabla15[[#This Row],[L]]</f>
        <v>178502.68800000002</v>
      </c>
      <c r="BC103" s="69" t="s">
        <v>516</v>
      </c>
      <c r="BD103" s="294">
        <f>VLOOKUP(B103,Tabla467824[[ID CAE2]:[AE '[kWh']]],6,FALSE)</f>
        <v>123854.9676</v>
      </c>
      <c r="BE10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04" spans="1:57" ht="60" x14ac:dyDescent="0.25">
      <c r="A104" s="53" t="s">
        <v>529</v>
      </c>
      <c r="B104" s="53" t="s">
        <v>529</v>
      </c>
      <c r="C104" s="332" t="s">
        <v>530</v>
      </c>
      <c r="D104" s="104"/>
      <c r="E104" s="104"/>
      <c r="F104" s="104"/>
      <c r="G104" s="104" t="s">
        <v>72</v>
      </c>
      <c r="H104" s="104" t="s">
        <v>72</v>
      </c>
      <c r="I104" s="104" t="s">
        <v>72</v>
      </c>
      <c r="J104" s="104"/>
      <c r="K104" s="96" t="s">
        <v>158</v>
      </c>
      <c r="L104" s="96" t="s">
        <v>159</v>
      </c>
      <c r="M104" s="96" t="s">
        <v>158</v>
      </c>
      <c r="N104" s="96" t="s">
        <v>171</v>
      </c>
      <c r="O104" s="99">
        <f>VLOOKUP(Tabla15[[#This Row],[Matricula Antigua]],BAJA2022202320242025!$B$3:$CR$245,93,FALSE)</f>
        <v>35926</v>
      </c>
      <c r="P104" s="316">
        <v>44972</v>
      </c>
      <c r="Q104" s="317">
        <f>Tabla15[[#This Row],[F.Vig.Final]]-Tabla15[[#This Row],[f Vig Inicio]]</f>
        <v>9046</v>
      </c>
      <c r="R104" s="318">
        <f>YEAR(Tabla15[[#This Row],[F.Vig.Final]])</f>
        <v>2023</v>
      </c>
      <c r="S104" s="96" t="s">
        <v>172</v>
      </c>
      <c r="T104" s="96" t="s">
        <v>78</v>
      </c>
      <c r="U104" s="96" t="s">
        <v>531</v>
      </c>
      <c r="V104" s="96" t="s">
        <v>532</v>
      </c>
      <c r="W104" s="96" t="s">
        <v>190</v>
      </c>
      <c r="X104" s="333" t="s">
        <v>1678</v>
      </c>
      <c r="Y104" s="96" t="s">
        <v>533</v>
      </c>
      <c r="Z104" s="98">
        <f>COUNTIF($X$3:X104, X104)</f>
        <v>8</v>
      </c>
      <c r="AA104" s="337" t="s">
        <v>1661</v>
      </c>
      <c r="AB104" s="337" t="s">
        <v>1661</v>
      </c>
      <c r="AC104" s="337" t="s">
        <v>1662</v>
      </c>
      <c r="AD104" s="337" t="s">
        <v>1663</v>
      </c>
      <c r="AE104" s="342" t="s">
        <v>1664</v>
      </c>
      <c r="AF104" s="337" t="s">
        <v>1665</v>
      </c>
      <c r="AG104" s="337" t="s">
        <v>1666</v>
      </c>
      <c r="AH104" s="337" t="s">
        <v>1649</v>
      </c>
      <c r="AI104" s="337" t="s">
        <v>534</v>
      </c>
      <c r="AJ104" s="98" t="s">
        <v>140</v>
      </c>
      <c r="AK104" s="98" t="s">
        <v>151</v>
      </c>
      <c r="AL104" s="98" t="s">
        <v>87</v>
      </c>
      <c r="AM104" s="101" t="s">
        <v>535</v>
      </c>
      <c r="AN104" s="348" t="s">
        <v>89</v>
      </c>
      <c r="AO104" s="349">
        <v>45625</v>
      </c>
      <c r="AP104" s="98">
        <f>Tabla15[[#This Row],[Renov. Flota]]-Tabla15[[#This Row],[Año]]</f>
        <v>1</v>
      </c>
      <c r="AQ104" s="100" t="s">
        <v>190</v>
      </c>
      <c r="AR104" s="100" t="str">
        <f>VLOOKUP(Tabla15[[#This Row],[Matricula nueva]],'ALTA 20242025'!$B$2:$P$242,15,FALSE)</f>
        <v>4500424819</v>
      </c>
      <c r="AS104" s="101" t="s">
        <v>191</v>
      </c>
      <c r="AT104" s="101"/>
      <c r="AU104" s="101" t="s">
        <v>72</v>
      </c>
      <c r="AV104" s="101" t="s">
        <v>91</v>
      </c>
      <c r="AW104" s="101" t="str">
        <f>VLOOKUP(Tabla15[[#This Row],[Matricula nueva]],Hoja2!$A$1:$B$224,2,FALSE)</f>
        <v>VR7CBZYA3RT154445</v>
      </c>
      <c r="AX104" s="209">
        <v>35</v>
      </c>
      <c r="AY104" s="208">
        <f>IF(T104="DIESEL",10,IF(T104="GLP",7.16,9.19))</f>
        <v>10</v>
      </c>
      <c r="AZ104" s="313">
        <v>16.399999999999999</v>
      </c>
      <c r="BA104" s="314">
        <f>IF(Tabla15[[#This Row],[Columna2]]="M1",13073,IF(Tabla15[[#This Row],[Columna2]]="N1",15815,IF(Tabla15[[#This Row],[Columna2]]="L3e",2831,53508)))</f>
        <v>53508</v>
      </c>
      <c r="BB104" s="350">
        <f>(Tabla15[[#This Row],[CVA]]*Tabla15[[#This Row],[F]]-Tabla15[[#This Row],[CVN]])/100*Tabla15[[#This Row],[L]]</f>
        <v>178502.68800000002</v>
      </c>
      <c r="BC104" s="74" t="s">
        <v>516</v>
      </c>
      <c r="BD104" s="294">
        <f>VLOOKUP(B104,Tabla467824[[ID CAE2]:[AE '[kWh']]],6,FALSE)</f>
        <v>5607.9989999999989</v>
      </c>
      <c r="BE10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05" spans="1:57" ht="51.75" x14ac:dyDescent="0.25">
      <c r="A105" s="53" t="s">
        <v>539</v>
      </c>
      <c r="B105" s="53" t="s">
        <v>539</v>
      </c>
      <c r="C105" s="332" t="s">
        <v>540</v>
      </c>
      <c r="D105" s="104"/>
      <c r="E105" s="104"/>
      <c r="F105" s="104"/>
      <c r="G105" s="104" t="s">
        <v>72</v>
      </c>
      <c r="H105" s="104"/>
      <c r="I105" s="104"/>
      <c r="J105" s="104"/>
      <c r="K105" s="96" t="s">
        <v>158</v>
      </c>
      <c r="L105" s="96" t="s">
        <v>159</v>
      </c>
      <c r="M105" s="96" t="s">
        <v>158</v>
      </c>
      <c r="N105" s="96" t="s">
        <v>171</v>
      </c>
      <c r="O105" s="99">
        <f>VLOOKUP(Tabla15[[#This Row],[Matricula Antigua]],BAJA2022202320242025!$B$3:$CR$245,93,FALSE)</f>
        <v>37956</v>
      </c>
      <c r="P105" s="316">
        <v>45625</v>
      </c>
      <c r="Q105" s="317">
        <f>Tabla15[[#This Row],[F.Vig.Final]]-Tabla15[[#This Row],[f Vig Inicio]]</f>
        <v>7669</v>
      </c>
      <c r="R105" s="318">
        <f>YEAR(Tabla15[[#This Row],[F.Vig.Final]])</f>
        <v>2024</v>
      </c>
      <c r="S105" s="96" t="s">
        <v>172</v>
      </c>
      <c r="T105" s="96" t="s">
        <v>71</v>
      </c>
      <c r="U105" s="96" t="s">
        <v>79</v>
      </c>
      <c r="V105" s="96" t="s">
        <v>541</v>
      </c>
      <c r="W105" s="96" t="s">
        <v>542</v>
      </c>
      <c r="X105" s="332" t="s">
        <v>543</v>
      </c>
      <c r="Y105" s="96" t="s">
        <v>544</v>
      </c>
      <c r="Z105" s="98">
        <f>COUNTIF($X$3:X105, X105)</f>
        <v>1</v>
      </c>
      <c r="AA105" s="337" t="s">
        <v>1689</v>
      </c>
      <c r="AB105" s="337" t="s">
        <v>1690</v>
      </c>
      <c r="AC105" s="337" t="s">
        <v>1662</v>
      </c>
      <c r="AD105" s="333" t="s">
        <v>1691</v>
      </c>
      <c r="AE105" s="347" t="s">
        <v>1671</v>
      </c>
      <c r="AF105" s="340" t="s">
        <v>1692</v>
      </c>
      <c r="AG105" s="340" t="s">
        <v>1693</v>
      </c>
      <c r="AH105" s="337" t="s">
        <v>1649</v>
      </c>
      <c r="AI105" s="337" t="s">
        <v>545</v>
      </c>
      <c r="AJ105" s="98" t="s">
        <v>85</v>
      </c>
      <c r="AK105" s="98" t="s">
        <v>114</v>
      </c>
      <c r="AL105" s="98" t="s">
        <v>87</v>
      </c>
      <c r="AM105" s="101" t="s">
        <v>546</v>
      </c>
      <c r="AN105" s="348" t="s">
        <v>547</v>
      </c>
      <c r="AO105" s="349">
        <v>45674</v>
      </c>
      <c r="AP105" s="98">
        <f>Tabla15[[#This Row],[Renov. Flota]]-Tabla15[[#This Row],[Año]]</f>
        <v>1</v>
      </c>
      <c r="AQ105" s="100" t="s">
        <v>542</v>
      </c>
      <c r="AR105" s="100" t="str">
        <f>VLOOKUP(Tabla15[[#This Row],[Matricula nueva]],'ALTA 20242025'!$B$2:$P$242,15,FALSE)</f>
        <v>4500426844</v>
      </c>
      <c r="AS105" s="101" t="s">
        <v>543</v>
      </c>
      <c r="AT105" s="101"/>
      <c r="AU105" s="101" t="s">
        <v>72</v>
      </c>
      <c r="AV105" s="101" t="s">
        <v>91</v>
      </c>
      <c r="AW105" s="101" t="str">
        <f>VLOOKUP(Tabla15[[#This Row],[Matricula nueva]],Hoja2!$A$1:$B$224,2,FALSE)</f>
        <v>VF1RFK00073824864</v>
      </c>
      <c r="AX105" s="209">
        <v>2.9</v>
      </c>
      <c r="AY105" s="208">
        <f>IF(T105="DIESEL",10,IF(T105="GLP",7.16,9.19))</f>
        <v>9.19</v>
      </c>
      <c r="AZ105" s="313">
        <v>17.3</v>
      </c>
      <c r="BA105" s="314">
        <f>IF(Tabla15[[#This Row],[Columna2]]="M1",13073,IF(Tabla15[[#This Row],[Columna2]]="N1",15815,IF(Tabla15[[#This Row],[Columna2]]="L3e",2831,53508)))</f>
        <v>2831</v>
      </c>
      <c r="BB105" s="350">
        <f>(Tabla15[[#This Row],[CVA]]*Tabla15[[#This Row],[F]]-Tabla15[[#This Row],[CVN]])/100*Tabla15[[#This Row],[L]]</f>
        <v>264.72680999999989</v>
      </c>
      <c r="BC105" s="74" t="s">
        <v>157</v>
      </c>
      <c r="BD105" s="294">
        <f>VLOOKUP(B105,Tabla467824[[ID CAE2]:[AE '[kWh']]],6,FALSE)</f>
        <v>617.46940999999993</v>
      </c>
      <c r="BE10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106" spans="1:57" ht="51.75" x14ac:dyDescent="0.25">
      <c r="A106" s="53" t="s">
        <v>551</v>
      </c>
      <c r="B106" s="53" t="s">
        <v>551</v>
      </c>
      <c r="C106" s="332" t="s">
        <v>552</v>
      </c>
      <c r="D106" s="104" t="s">
        <v>72</v>
      </c>
      <c r="E106" s="104"/>
      <c r="F106" s="104" t="s">
        <v>72</v>
      </c>
      <c r="G106" s="104"/>
      <c r="H106" s="104" t="s">
        <v>249</v>
      </c>
      <c r="I106" s="104" t="s">
        <v>249</v>
      </c>
      <c r="J106" s="104"/>
      <c r="K106" s="96" t="s">
        <v>73</v>
      </c>
      <c r="L106" s="96" t="s">
        <v>74</v>
      </c>
      <c r="M106" s="96" t="s">
        <v>75</v>
      </c>
      <c r="N106" s="96" t="s">
        <v>76</v>
      </c>
      <c r="O106" s="99">
        <f>VLOOKUP(Tabla15[[#This Row],[Matricula Antigua]],BAJA2022202320242025!$B$3:$CR$245,93,FALSE)</f>
        <v>45202</v>
      </c>
      <c r="P106" s="316">
        <v>45259</v>
      </c>
      <c r="Q106" s="317">
        <f>Tabla15[[#This Row],[F.Vig.Final]]-Tabla15[[#This Row],[f Vig Inicio]]</f>
        <v>57</v>
      </c>
      <c r="R106" s="318">
        <f>YEAR(Tabla15[[#This Row],[F.Vig.Final]])</f>
        <v>2023</v>
      </c>
      <c r="S106" s="96" t="s">
        <v>77</v>
      </c>
      <c r="T106" s="96" t="s">
        <v>78</v>
      </c>
      <c r="U106" s="96" t="s">
        <v>359</v>
      </c>
      <c r="V106" s="96" t="s">
        <v>461</v>
      </c>
      <c r="W106" s="96" t="s">
        <v>102</v>
      </c>
      <c r="X106" s="332" t="s">
        <v>1667</v>
      </c>
      <c r="Y106" s="96" t="s">
        <v>104</v>
      </c>
      <c r="Z106" s="98">
        <f>COUNTIF($X$3:X106, X106)</f>
        <v>11</v>
      </c>
      <c r="AA106" s="337" t="s">
        <v>1668</v>
      </c>
      <c r="AB106" s="337" t="s">
        <v>1668</v>
      </c>
      <c r="AC106" s="337" t="s">
        <v>1669</v>
      </c>
      <c r="AD106" s="341" t="s">
        <v>1670</v>
      </c>
      <c r="AE106" s="342" t="s">
        <v>1671</v>
      </c>
      <c r="AF106" s="337" t="s">
        <v>1672</v>
      </c>
      <c r="AG106" s="344" t="s">
        <v>1673</v>
      </c>
      <c r="AH106" s="337" t="s">
        <v>1649</v>
      </c>
      <c r="AI106" s="337" t="s">
        <v>553</v>
      </c>
      <c r="AJ106" s="98" t="s">
        <v>79</v>
      </c>
      <c r="AK106" s="98" t="s">
        <v>106</v>
      </c>
      <c r="AL106" s="98" t="s">
        <v>87</v>
      </c>
      <c r="AM106" s="101" t="s">
        <v>457</v>
      </c>
      <c r="AN106" s="348" t="s">
        <v>108</v>
      </c>
      <c r="AO106" s="349">
        <v>45133</v>
      </c>
      <c r="AP106" s="98">
        <f>Tabla15[[#This Row],[Renov. Flota]]-Tabla15[[#This Row],[Año]]</f>
        <v>0</v>
      </c>
      <c r="AQ106" s="100" t="s">
        <v>102</v>
      </c>
      <c r="AR106" s="100">
        <v>4500370371</v>
      </c>
      <c r="AS106" s="101" t="s">
        <v>103</v>
      </c>
      <c r="AT106" s="101"/>
      <c r="AU106" s="101" t="s">
        <v>72</v>
      </c>
      <c r="AV106" s="101" t="s">
        <v>109</v>
      </c>
      <c r="AW106" s="101" t="s">
        <v>554</v>
      </c>
      <c r="AX106" s="209">
        <f>IF(Tabla15[[#This Row],[Columna2]]="M1",5.1,"")</f>
        <v>5.0999999999999996</v>
      </c>
      <c r="AY106" s="208">
        <f>IF(T106="DIESEL",10,IF(T106="GLP",7.16,9.19))</f>
        <v>10</v>
      </c>
      <c r="AZ106" s="313">
        <v>28.2</v>
      </c>
      <c r="BA106" s="314">
        <f>IF(Tabla15[[#This Row],[Columna2]]="M1",13073,IF(Tabla15[[#This Row],[Columna2]]="N1",15815,IF(Tabla15[[#This Row],[Columna2]]="L3e",2831,53508)))</f>
        <v>13073</v>
      </c>
      <c r="BB106" s="350">
        <f>(Tabla15[[#This Row],[CVA]]*Tabla15[[#This Row],[F]]-Tabla15[[#This Row],[CVN]])/100*Tabla15[[#This Row],[L]]</f>
        <v>2980.6440000000002</v>
      </c>
      <c r="BC106" s="74" t="s">
        <v>70</v>
      </c>
      <c r="BD106" s="294">
        <f>VLOOKUP(B106,Tabla467824[[ID CAE2]:[AE '[kWh']]],6,FALSE)</f>
        <v>6795.3454000000002</v>
      </c>
      <c r="BE10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07" spans="1:57" ht="52.5" thickBot="1" x14ac:dyDescent="0.3">
      <c r="A107" s="53" t="s">
        <v>555</v>
      </c>
      <c r="B107" s="53" t="s">
        <v>555</v>
      </c>
      <c r="C107" s="332" t="s">
        <v>556</v>
      </c>
      <c r="D107" s="104" t="s">
        <v>72</v>
      </c>
      <c r="E107" s="104"/>
      <c r="F107" s="104" t="s">
        <v>72</v>
      </c>
      <c r="G107" s="104"/>
      <c r="H107" s="104" t="s">
        <v>249</v>
      </c>
      <c r="I107" s="104" t="s">
        <v>249</v>
      </c>
      <c r="J107" s="104"/>
      <c r="K107" s="96" t="s">
        <v>73</v>
      </c>
      <c r="L107" s="96" t="s">
        <v>74</v>
      </c>
      <c r="M107" s="96" t="s">
        <v>75</v>
      </c>
      <c r="N107" s="96" t="s">
        <v>76</v>
      </c>
      <c r="O107" s="99">
        <f>VLOOKUP(Tabla15[[#This Row],[Matricula Antigua]],BAJA2022202320242025!$B$3:$CR$245,93,FALSE)</f>
        <v>45204</v>
      </c>
      <c r="P107" s="316">
        <v>45259</v>
      </c>
      <c r="Q107" s="317">
        <f>Tabla15[[#This Row],[F.Vig.Final]]-Tabla15[[#This Row],[f Vig Inicio]]</f>
        <v>55</v>
      </c>
      <c r="R107" s="318">
        <f>YEAR(Tabla15[[#This Row],[F.Vig.Final]])</f>
        <v>2023</v>
      </c>
      <c r="S107" s="96" t="s">
        <v>77</v>
      </c>
      <c r="T107" s="96" t="s">
        <v>78</v>
      </c>
      <c r="U107" s="96" t="s">
        <v>359</v>
      </c>
      <c r="V107" s="96" t="s">
        <v>461</v>
      </c>
      <c r="W107" s="96" t="s">
        <v>102</v>
      </c>
      <c r="X107" s="332" t="s">
        <v>1667</v>
      </c>
      <c r="Y107" s="96" t="s">
        <v>104</v>
      </c>
      <c r="Z107" s="98">
        <f>COUNTIF($X$3:X107, X107)</f>
        <v>12</v>
      </c>
      <c r="AA107" s="337" t="s">
        <v>1668</v>
      </c>
      <c r="AB107" s="337" t="s">
        <v>1668</v>
      </c>
      <c r="AC107" s="337" t="s">
        <v>1669</v>
      </c>
      <c r="AD107" s="341" t="s">
        <v>1670</v>
      </c>
      <c r="AE107" s="342" t="s">
        <v>1671</v>
      </c>
      <c r="AF107" s="337" t="s">
        <v>1672</v>
      </c>
      <c r="AG107" s="344" t="s">
        <v>1673</v>
      </c>
      <c r="AH107" s="337" t="s">
        <v>1649</v>
      </c>
      <c r="AI107" s="337" t="s">
        <v>557</v>
      </c>
      <c r="AJ107" s="98" t="s">
        <v>79</v>
      </c>
      <c r="AK107" s="98" t="s">
        <v>106</v>
      </c>
      <c r="AL107" s="98" t="s">
        <v>87</v>
      </c>
      <c r="AM107" s="101" t="s">
        <v>107</v>
      </c>
      <c r="AN107" s="348" t="s">
        <v>108</v>
      </c>
      <c r="AO107" s="349">
        <v>45133</v>
      </c>
      <c r="AP107" s="98">
        <f>Tabla15[[#This Row],[Renov. Flota]]-Tabla15[[#This Row],[Año]]</f>
        <v>0</v>
      </c>
      <c r="AQ107" s="100" t="s">
        <v>102</v>
      </c>
      <c r="AR107" s="100">
        <v>4500370221</v>
      </c>
      <c r="AS107" s="101" t="s">
        <v>103</v>
      </c>
      <c r="AT107" s="101"/>
      <c r="AU107" s="101" t="s">
        <v>72</v>
      </c>
      <c r="AV107" s="101" t="s">
        <v>109</v>
      </c>
      <c r="AW107" s="101" t="s">
        <v>558</v>
      </c>
      <c r="AX107" s="209">
        <f>IF(Tabla15[[#This Row],[Columna2]]="M1",5.1,"")</f>
        <v>5.0999999999999996</v>
      </c>
      <c r="AY107" s="208">
        <f>IF(T107="DIESEL",10,IF(T107="GLP",7.16,9.19))</f>
        <v>10</v>
      </c>
      <c r="AZ107" s="313">
        <v>28.2</v>
      </c>
      <c r="BA107" s="314">
        <f>IF(Tabla15[[#This Row],[Columna2]]="M1",13073,IF(Tabla15[[#This Row],[Columna2]]="N1",15815,IF(Tabla15[[#This Row],[Columna2]]="L3e",2831,53508)))</f>
        <v>13073</v>
      </c>
      <c r="BB107" s="350">
        <f>(Tabla15[[#This Row],[CVA]]*Tabla15[[#This Row],[F]]-Tabla15[[#This Row],[CVN]])/100*Tabla15[[#This Row],[L]]</f>
        <v>2980.6440000000002</v>
      </c>
      <c r="BC107" s="79" t="s">
        <v>70</v>
      </c>
      <c r="BD107" s="294">
        <f>VLOOKUP(B107,Tabla467824[[ID CAE2]:[AE '[kWh']]],6,FALSE)</f>
        <v>6795.3454000000002</v>
      </c>
      <c r="BE10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08" spans="1:57" ht="15.75" hidden="1" thickBot="1" x14ac:dyDescent="0.3">
      <c r="A108" s="53" t="s">
        <v>1267</v>
      </c>
      <c r="B108" s="53" t="e">
        <v>#N/A</v>
      </c>
      <c r="C108" s="96" t="s">
        <v>1268</v>
      </c>
      <c r="D108" s="96"/>
      <c r="E108" s="96"/>
      <c r="F108" s="96"/>
      <c r="G108" s="96"/>
      <c r="H108" s="96"/>
      <c r="I108" s="96"/>
      <c r="J108" s="96"/>
      <c r="K108" s="96" t="s">
        <v>1034</v>
      </c>
      <c r="L108" s="96" t="s">
        <v>200</v>
      </c>
      <c r="M108" s="96" t="s">
        <v>201</v>
      </c>
      <c r="N108" s="96" t="s">
        <v>76</v>
      </c>
      <c r="O108" s="101">
        <f>VLOOKUP(Tabla15[[#This Row],[Matricula Antigua]],BAJA2022202320242025!$B$3:$CR$245,93,FALSE)</f>
        <v>43326</v>
      </c>
      <c r="P108" s="99">
        <v>45518</v>
      </c>
      <c r="Q108" s="98">
        <f>Tabla15[[#This Row],[F.Vig.Final]]-Tabla15[[#This Row],[f Vig Inicio]]</f>
        <v>2192</v>
      </c>
      <c r="R108" s="99">
        <f>YEAR(Tabla15[[#This Row],[F.Vig.Final]])</f>
        <v>2024</v>
      </c>
      <c r="S108" s="96" t="s">
        <v>77</v>
      </c>
      <c r="T108" s="96" t="s">
        <v>78</v>
      </c>
      <c r="U108" s="96" t="s">
        <v>1269</v>
      </c>
      <c r="V108" s="96" t="s">
        <v>1270</v>
      </c>
      <c r="W108" s="96" t="s">
        <v>1231</v>
      </c>
      <c r="X108" s="96" t="s">
        <v>1232</v>
      </c>
      <c r="Y108" s="96" t="s">
        <v>312</v>
      </c>
      <c r="Z108" s="98">
        <f>COUNTIF($X$3:X108, X108)</f>
        <v>2</v>
      </c>
      <c r="AA108" s="98"/>
      <c r="AB108" s="98"/>
      <c r="AC108" s="98"/>
      <c r="AD108" s="98"/>
      <c r="AE108" s="321"/>
      <c r="AF108" s="321"/>
      <c r="AG108" s="320"/>
      <c r="AH108" s="98"/>
      <c r="AI108" s="98" t="e">
        <v>#N/A</v>
      </c>
      <c r="AJ108" s="98" t="e">
        <v>#N/A</v>
      </c>
      <c r="AK108" s="98" t="e">
        <v>#N/A</v>
      </c>
      <c r="AL108" s="98" t="e">
        <v>#N/A</v>
      </c>
      <c r="AM108" s="98" t="e">
        <v>#N/A</v>
      </c>
      <c r="AN108" s="99" t="e">
        <v>#N/A</v>
      </c>
      <c r="AO108" s="99" t="e">
        <v>#N/A</v>
      </c>
      <c r="AP108" s="99" t="e">
        <f>Tabla15[[#This Row],[Renov. Flota]]-Tabla15[[#This Row],[Año]]</f>
        <v>#N/A</v>
      </c>
      <c r="AQ108" s="100" t="e">
        <v>#N/A</v>
      </c>
      <c r="AR108" s="100" t="e">
        <f>VLOOKUP(Tabla15[[#This Row],[Matricula nueva]],'ALTA 20242025'!$B$2:$P$242,15,FALSE)</f>
        <v>#N/A</v>
      </c>
      <c r="AS108" s="101" t="e">
        <v>#N/A</v>
      </c>
      <c r="AT108" s="101"/>
      <c r="AU108" s="101"/>
      <c r="AV108" s="101"/>
      <c r="AW108" s="101" t="e">
        <f>VLOOKUP(Tabla15[[#This Row],[Matricula nueva]],Hoja2!$A$1:$B$224,2,FALSE)</f>
        <v>#N/A</v>
      </c>
      <c r="AX108" s="101" t="str">
        <f>IF(Tabla15[[#This Row],[Columna2]]="M1",5.1,"")</f>
        <v/>
      </c>
      <c r="AY108" s="101"/>
      <c r="AZ108" s="101"/>
      <c r="BA108" s="311">
        <f>IF(Tabla15[[#This Row],[Columna2]]="M1",13073,IF(Tabla15[[#This Row],[Columna2]]="N1",15815,IF(Tabla15[[#This Row],[Columna2]]="L3e",2831,53508)))</f>
        <v>53508</v>
      </c>
      <c r="BB108" s="311" t="e">
        <f>(Tabla15[[#This Row],[CVA]]*Tabla15[[#This Row],[F]]-Tabla15[[#This Row],[CVN]])/100*Tabla15[[#This Row],[L]]</f>
        <v>#VALUE!</v>
      </c>
      <c r="BC108" s="1"/>
      <c r="BD108" s="1" t="e">
        <f>VLOOKUP(B108,Tabla467824[[ID CAE2]:[AE '[kWh']]],6,FALSE)</f>
        <v>#N/A</v>
      </c>
      <c r="BE10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09" spans="1:57" ht="51.75" x14ac:dyDescent="0.25">
      <c r="A109" s="53" t="s">
        <v>559</v>
      </c>
      <c r="B109" s="53" t="s">
        <v>559</v>
      </c>
      <c r="C109" s="332" t="s">
        <v>560</v>
      </c>
      <c r="D109" s="104" t="s">
        <v>72</v>
      </c>
      <c r="E109" s="104"/>
      <c r="F109" s="104" t="s">
        <v>72</v>
      </c>
      <c r="G109" s="104"/>
      <c r="H109" s="104" t="s">
        <v>249</v>
      </c>
      <c r="I109" s="104" t="s">
        <v>249</v>
      </c>
      <c r="J109" s="104"/>
      <c r="K109" s="96" t="s">
        <v>73</v>
      </c>
      <c r="L109" s="96" t="s">
        <v>74</v>
      </c>
      <c r="M109" s="96" t="s">
        <v>75</v>
      </c>
      <c r="N109" s="96" t="s">
        <v>76</v>
      </c>
      <c r="O109" s="99">
        <f>VLOOKUP(Tabla15[[#This Row],[Matricula Antigua]],BAJA2022202320242025!$B$3:$CR$245,93,FALSE)</f>
        <v>45203</v>
      </c>
      <c r="P109" s="316">
        <v>45250</v>
      </c>
      <c r="Q109" s="317">
        <f>Tabla15[[#This Row],[F.Vig.Final]]-Tabla15[[#This Row],[f Vig Inicio]]</f>
        <v>47</v>
      </c>
      <c r="R109" s="318">
        <f>YEAR(Tabla15[[#This Row],[F.Vig.Final]])</f>
        <v>2023</v>
      </c>
      <c r="S109" s="96" t="s">
        <v>77</v>
      </c>
      <c r="T109" s="96" t="s">
        <v>78</v>
      </c>
      <c r="U109" s="96" t="s">
        <v>359</v>
      </c>
      <c r="V109" s="96" t="s">
        <v>461</v>
      </c>
      <c r="W109" s="96" t="s">
        <v>102</v>
      </c>
      <c r="X109" s="332" t="s">
        <v>1667</v>
      </c>
      <c r="Y109" s="96" t="s">
        <v>104</v>
      </c>
      <c r="Z109" s="98">
        <f>COUNTIF($X$3:X109, X109)</f>
        <v>13</v>
      </c>
      <c r="AA109" s="337" t="s">
        <v>1668</v>
      </c>
      <c r="AB109" s="337" t="s">
        <v>1668</v>
      </c>
      <c r="AC109" s="337" t="s">
        <v>1669</v>
      </c>
      <c r="AD109" s="341" t="s">
        <v>1670</v>
      </c>
      <c r="AE109" s="342" t="s">
        <v>1671</v>
      </c>
      <c r="AF109" s="337" t="s">
        <v>1672</v>
      </c>
      <c r="AG109" s="344" t="s">
        <v>1673</v>
      </c>
      <c r="AH109" s="337" t="s">
        <v>1649</v>
      </c>
      <c r="AI109" s="337" t="s">
        <v>561</v>
      </c>
      <c r="AJ109" s="98" t="s">
        <v>85</v>
      </c>
      <c r="AK109" s="98" t="s">
        <v>114</v>
      </c>
      <c r="AL109" s="98" t="s">
        <v>87</v>
      </c>
      <c r="AM109" s="101" t="s">
        <v>562</v>
      </c>
      <c r="AN109" s="348" t="s">
        <v>108</v>
      </c>
      <c r="AO109" s="349">
        <v>44922</v>
      </c>
      <c r="AP109" s="98">
        <f>Tabla15[[#This Row],[Renov. Flota]]-Tabla15[[#This Row],[Año]]</f>
        <v>0</v>
      </c>
      <c r="AQ109" s="100" t="s">
        <v>102</v>
      </c>
      <c r="AR109" s="100">
        <v>4500348266</v>
      </c>
      <c r="AS109" s="101" t="s">
        <v>103</v>
      </c>
      <c r="AT109" s="101"/>
      <c r="AU109" s="101" t="s">
        <v>72</v>
      </c>
      <c r="AV109" s="101" t="s">
        <v>109</v>
      </c>
      <c r="AW109" s="101" t="s">
        <v>563</v>
      </c>
      <c r="AX109" s="209">
        <f>IF(Tabla15[[#This Row],[Columna2]]="M1",5.1,"")</f>
        <v>5.0999999999999996</v>
      </c>
      <c r="AY109" s="208">
        <f t="shared" ref="AY109:AY123" si="4">IF(T109="DIESEL",10,IF(T109="GLP",7.16,9.19))</f>
        <v>10</v>
      </c>
      <c r="AZ109" s="313">
        <v>17.3</v>
      </c>
      <c r="BA109" s="314">
        <f>IF(Tabla15[[#This Row],[Columna2]]="M1",13073,IF(Tabla15[[#This Row],[Columna2]]="N1",15815,IF(Tabla15[[#This Row],[Columna2]]="L3e",2831,53508)))</f>
        <v>13073</v>
      </c>
      <c r="BB109" s="350">
        <f>(Tabla15[[#This Row],[CVA]]*Tabla15[[#This Row],[F]]-Tabla15[[#This Row],[CVN]])/100*Tabla15[[#This Row],[L]]</f>
        <v>4405.6010000000006</v>
      </c>
      <c r="BC109" s="69" t="s">
        <v>70</v>
      </c>
      <c r="BD109" s="294">
        <f>VLOOKUP(B109,Tabla467824[[ID CAE2]:[AE '[kWh']]],6,FALSE)</f>
        <v>6795.3454000000002</v>
      </c>
      <c r="BE10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0" spans="1:57" ht="51.75" x14ac:dyDescent="0.25">
      <c r="A110" s="53" t="s">
        <v>564</v>
      </c>
      <c r="B110" s="53" t="s">
        <v>564</v>
      </c>
      <c r="C110" s="332" t="s">
        <v>565</v>
      </c>
      <c r="D110" s="104" t="s">
        <v>72</v>
      </c>
      <c r="E110" s="104"/>
      <c r="F110" s="104" t="s">
        <v>72</v>
      </c>
      <c r="G110" s="104"/>
      <c r="H110" s="104" t="s">
        <v>249</v>
      </c>
      <c r="I110" s="104" t="s">
        <v>249</v>
      </c>
      <c r="J110" s="104"/>
      <c r="K110" s="96" t="s">
        <v>73</v>
      </c>
      <c r="L110" s="96" t="s">
        <v>74</v>
      </c>
      <c r="M110" s="96" t="s">
        <v>75</v>
      </c>
      <c r="N110" s="96" t="s">
        <v>76</v>
      </c>
      <c r="O110" s="99">
        <f>VLOOKUP(Tabla15[[#This Row],[Matricula Antigua]],BAJA2022202320242025!$B$3:$CR$245,93,FALSE)</f>
        <v>45202</v>
      </c>
      <c r="P110" s="316">
        <v>45382</v>
      </c>
      <c r="Q110" s="317">
        <f>Tabla15[[#This Row],[F.Vig.Final]]-Tabla15[[#This Row],[f Vig Inicio]]</f>
        <v>180</v>
      </c>
      <c r="R110" s="318">
        <f>YEAR(Tabla15[[#This Row],[F.Vig.Final]])</f>
        <v>2024</v>
      </c>
      <c r="S110" s="96" t="s">
        <v>77</v>
      </c>
      <c r="T110" s="96" t="s">
        <v>78</v>
      </c>
      <c r="U110" s="96" t="s">
        <v>359</v>
      </c>
      <c r="V110" s="96" t="s">
        <v>461</v>
      </c>
      <c r="W110" s="96" t="s">
        <v>102</v>
      </c>
      <c r="X110" s="332" t="s">
        <v>1667</v>
      </c>
      <c r="Y110" s="96" t="s">
        <v>104</v>
      </c>
      <c r="Z110" s="98">
        <f>COUNTIF($X$3:X110, X110)</f>
        <v>14</v>
      </c>
      <c r="AA110" s="337" t="s">
        <v>1668</v>
      </c>
      <c r="AB110" s="337" t="s">
        <v>1668</v>
      </c>
      <c r="AC110" s="337" t="s">
        <v>1669</v>
      </c>
      <c r="AD110" s="341" t="s">
        <v>1670</v>
      </c>
      <c r="AE110" s="342" t="s">
        <v>1671</v>
      </c>
      <c r="AF110" s="337" t="s">
        <v>1672</v>
      </c>
      <c r="AG110" s="344" t="s">
        <v>1673</v>
      </c>
      <c r="AH110" s="337" t="s">
        <v>1649</v>
      </c>
      <c r="AI110" s="337" t="s">
        <v>566</v>
      </c>
      <c r="AJ110" s="98" t="s">
        <v>85</v>
      </c>
      <c r="AK110" s="98" t="s">
        <v>114</v>
      </c>
      <c r="AL110" s="98" t="s">
        <v>87</v>
      </c>
      <c r="AM110" s="101" t="s">
        <v>567</v>
      </c>
      <c r="AN110" s="348" t="s">
        <v>108</v>
      </c>
      <c r="AO110" s="349">
        <v>44922</v>
      </c>
      <c r="AP110" s="98">
        <f>Tabla15[[#This Row],[Renov. Flota]]-Tabla15[[#This Row],[Año]]</f>
        <v>-1</v>
      </c>
      <c r="AQ110" s="100" t="s">
        <v>102</v>
      </c>
      <c r="AR110" s="100">
        <v>4500348764</v>
      </c>
      <c r="AS110" s="101" t="s">
        <v>103</v>
      </c>
      <c r="AT110" s="101"/>
      <c r="AU110" s="101" t="s">
        <v>72</v>
      </c>
      <c r="AV110" s="101" t="s">
        <v>109</v>
      </c>
      <c r="AW110" s="101" t="s">
        <v>568</v>
      </c>
      <c r="AX110" s="209">
        <f>IF(Tabla15[[#This Row],[Columna2]]="M1",5.1,"")</f>
        <v>5.0999999999999996</v>
      </c>
      <c r="AY110" s="208">
        <f t="shared" si="4"/>
        <v>10</v>
      </c>
      <c r="AZ110" s="313">
        <v>17.3</v>
      </c>
      <c r="BA110" s="314">
        <f>IF(Tabla15[[#This Row],[Columna2]]="M1",13073,IF(Tabla15[[#This Row],[Columna2]]="N1",15815,IF(Tabla15[[#This Row],[Columna2]]="L3e",2831,53508)))</f>
        <v>13073</v>
      </c>
      <c r="BB110" s="350">
        <f>(Tabla15[[#This Row],[CVA]]*Tabla15[[#This Row],[F]]-Tabla15[[#This Row],[CVN]])/100*Tabla15[[#This Row],[L]]</f>
        <v>4405.6010000000006</v>
      </c>
      <c r="BC110" s="74" t="s">
        <v>70</v>
      </c>
      <c r="BD110" s="294">
        <f>VLOOKUP(B110,Tabla467824[[ID CAE2]:[AE '[kWh']]],6,FALSE)</f>
        <v>6795.3454000000002</v>
      </c>
      <c r="BE11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1" spans="1:57" ht="51.75" x14ac:dyDescent="0.25">
      <c r="A111" s="53" t="s">
        <v>569</v>
      </c>
      <c r="B111" s="53" t="s">
        <v>569</v>
      </c>
      <c r="C111" s="332" t="s">
        <v>570</v>
      </c>
      <c r="D111" s="104" t="s">
        <v>72</v>
      </c>
      <c r="E111" s="104" t="s">
        <v>72</v>
      </c>
      <c r="F111" s="104" t="s">
        <v>72</v>
      </c>
      <c r="G111" s="104"/>
      <c r="H111" s="104" t="s">
        <v>249</v>
      </c>
      <c r="I111" s="104" t="s">
        <v>249</v>
      </c>
      <c r="J111" s="104"/>
      <c r="K111" s="96" t="s">
        <v>73</v>
      </c>
      <c r="L111" s="96" t="s">
        <v>74</v>
      </c>
      <c r="M111" s="96" t="s">
        <v>75</v>
      </c>
      <c r="N111" s="96" t="s">
        <v>76</v>
      </c>
      <c r="O111" s="99">
        <f>VLOOKUP(Tabla15[[#This Row],[Matricula Antigua]],BAJA2022202320242025!$B$3:$CR$245,93,FALSE)</f>
        <v>45323</v>
      </c>
      <c r="P111" s="316">
        <v>45358</v>
      </c>
      <c r="Q111" s="317">
        <f>Tabla15[[#This Row],[F.Vig.Final]]-Tabla15[[#This Row],[f Vig Inicio]]</f>
        <v>35</v>
      </c>
      <c r="R111" s="318">
        <f>YEAR(Tabla15[[#This Row],[F.Vig.Final]])</f>
        <v>2024</v>
      </c>
      <c r="S111" s="96" t="s">
        <v>77</v>
      </c>
      <c r="T111" s="96" t="s">
        <v>78</v>
      </c>
      <c r="U111" s="96" t="s">
        <v>359</v>
      </c>
      <c r="V111" s="96" t="s">
        <v>571</v>
      </c>
      <c r="W111" s="96" t="s">
        <v>102</v>
      </c>
      <c r="X111" s="332" t="s">
        <v>1667</v>
      </c>
      <c r="Y111" s="96" t="s">
        <v>572</v>
      </c>
      <c r="Z111" s="98">
        <f>COUNTIF($X$3:X111, X111)</f>
        <v>15</v>
      </c>
      <c r="AA111" s="337" t="s">
        <v>1668</v>
      </c>
      <c r="AB111" s="337" t="s">
        <v>1668</v>
      </c>
      <c r="AC111" s="337" t="s">
        <v>1669</v>
      </c>
      <c r="AD111" s="341" t="s">
        <v>1670</v>
      </c>
      <c r="AE111" s="342" t="s">
        <v>1671</v>
      </c>
      <c r="AF111" s="337" t="s">
        <v>1672</v>
      </c>
      <c r="AG111" s="344" t="s">
        <v>1673</v>
      </c>
      <c r="AH111" s="337" t="s">
        <v>1649</v>
      </c>
      <c r="AI111" s="337" t="s">
        <v>573</v>
      </c>
      <c r="AJ111" s="98" t="s">
        <v>85</v>
      </c>
      <c r="AK111" s="98" t="s">
        <v>114</v>
      </c>
      <c r="AL111" s="98" t="s">
        <v>87</v>
      </c>
      <c r="AM111" s="101" t="s">
        <v>574</v>
      </c>
      <c r="AN111" s="348" t="s">
        <v>108</v>
      </c>
      <c r="AO111" s="349">
        <v>45135</v>
      </c>
      <c r="AP111" s="98">
        <f>Tabla15[[#This Row],[Renov. Flota]]-Tabla15[[#This Row],[Año]]</f>
        <v>-1</v>
      </c>
      <c r="AQ111" s="100" t="s">
        <v>102</v>
      </c>
      <c r="AR111" s="100">
        <v>4500352342</v>
      </c>
      <c r="AS111" s="101" t="s">
        <v>103</v>
      </c>
      <c r="AT111" s="101"/>
      <c r="AU111" s="101" t="s">
        <v>72</v>
      </c>
      <c r="AV111" s="101" t="s">
        <v>109</v>
      </c>
      <c r="AW111" s="101" t="s">
        <v>575</v>
      </c>
      <c r="AX111" s="209">
        <f>IF(Tabla15[[#This Row],[Columna2]]="M1",5.1,"")</f>
        <v>5.0999999999999996</v>
      </c>
      <c r="AY111" s="208">
        <f t="shared" si="4"/>
        <v>10</v>
      </c>
      <c r="AZ111" s="313">
        <v>17.3</v>
      </c>
      <c r="BA111" s="314">
        <f>IF(Tabla15[[#This Row],[Columna2]]="M1",13073,IF(Tabla15[[#This Row],[Columna2]]="N1",15815,IF(Tabla15[[#This Row],[Columna2]]="L3e",2831,53508)))</f>
        <v>13073</v>
      </c>
      <c r="BB111" s="350">
        <f>(Tabla15[[#This Row],[CVA]]*Tabla15[[#This Row],[F]]-Tabla15[[#This Row],[CVN]])/100*Tabla15[[#This Row],[L]]</f>
        <v>4405.6010000000006</v>
      </c>
      <c r="BC111" s="74" t="s">
        <v>70</v>
      </c>
      <c r="BD111" s="294">
        <f>VLOOKUP(B111,Tabla467824[[ID CAE2]:[AE '[kWh']]],6,FALSE)</f>
        <v>6795.3454000000002</v>
      </c>
      <c r="BE11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2" spans="1:57" ht="51.75" x14ac:dyDescent="0.25">
      <c r="A112" s="53" t="s">
        <v>576</v>
      </c>
      <c r="B112" s="53" t="s">
        <v>576</v>
      </c>
      <c r="C112" s="332" t="s">
        <v>577</v>
      </c>
      <c r="D112" s="104" t="s">
        <v>72</v>
      </c>
      <c r="E112" s="104" t="s">
        <v>72</v>
      </c>
      <c r="F112" s="104" t="s">
        <v>72</v>
      </c>
      <c r="G112" s="104"/>
      <c r="H112" s="104" t="s">
        <v>72</v>
      </c>
      <c r="I112" s="104" t="s">
        <v>72</v>
      </c>
      <c r="J112" s="104"/>
      <c r="K112" s="96" t="s">
        <v>73</v>
      </c>
      <c r="L112" s="96" t="s">
        <v>200</v>
      </c>
      <c r="M112" s="96" t="s">
        <v>201</v>
      </c>
      <c r="N112" s="96" t="s">
        <v>76</v>
      </c>
      <c r="O112" s="101">
        <f>VLOOKUP(Tabla15[[#This Row],[Matricula Antigua]],BAJA2022202320242025!$B$3:$CR$245,93,FALSE)</f>
        <v>42527</v>
      </c>
      <c r="P112" s="316">
        <v>45316</v>
      </c>
      <c r="Q112" s="317">
        <f>Tabla15[[#This Row],[F.Vig.Final]]-Tabla15[[#This Row],[f Vig Inicio]]</f>
        <v>2789</v>
      </c>
      <c r="R112" s="318">
        <f>YEAR(Tabla15[[#This Row],[F.Vig.Final]])</f>
        <v>2024</v>
      </c>
      <c r="S112" s="96" t="s">
        <v>77</v>
      </c>
      <c r="T112" s="96" t="s">
        <v>78</v>
      </c>
      <c r="U112" s="96" t="s">
        <v>359</v>
      </c>
      <c r="V112" s="96" t="s">
        <v>578</v>
      </c>
      <c r="W112" s="96" t="s">
        <v>102</v>
      </c>
      <c r="X112" s="332" t="s">
        <v>1667</v>
      </c>
      <c r="Y112" s="96" t="s">
        <v>579</v>
      </c>
      <c r="Z112" s="98">
        <f>COUNTIF($X$3:X112, X112)</f>
        <v>16</v>
      </c>
      <c r="AA112" s="337" t="s">
        <v>1668</v>
      </c>
      <c r="AB112" s="337" t="s">
        <v>1668</v>
      </c>
      <c r="AC112" s="337" t="s">
        <v>1669</v>
      </c>
      <c r="AD112" s="341" t="s">
        <v>1670</v>
      </c>
      <c r="AE112" s="342" t="s">
        <v>1671</v>
      </c>
      <c r="AF112" s="337" t="s">
        <v>1672</v>
      </c>
      <c r="AG112" s="344" t="s">
        <v>1673</v>
      </c>
      <c r="AH112" s="337" t="s">
        <v>1649</v>
      </c>
      <c r="AI112" s="337" t="s">
        <v>580</v>
      </c>
      <c r="AJ112" s="98" t="s">
        <v>85</v>
      </c>
      <c r="AK112" s="98" t="s">
        <v>114</v>
      </c>
      <c r="AL112" s="98" t="s">
        <v>87</v>
      </c>
      <c r="AM112" s="101" t="s">
        <v>457</v>
      </c>
      <c r="AN112" s="348" t="s">
        <v>108</v>
      </c>
      <c r="AO112" s="349">
        <v>45135</v>
      </c>
      <c r="AP112" s="98">
        <f>Tabla15[[#This Row],[Renov. Flota]]-Tabla15[[#This Row],[Año]]</f>
        <v>-1</v>
      </c>
      <c r="AQ112" s="100" t="s">
        <v>102</v>
      </c>
      <c r="AR112" s="100">
        <v>4500370369</v>
      </c>
      <c r="AS112" s="101" t="s">
        <v>103</v>
      </c>
      <c r="AT112" s="101"/>
      <c r="AU112" s="101" t="s">
        <v>72</v>
      </c>
      <c r="AV112" s="101" t="s">
        <v>109</v>
      </c>
      <c r="AW112" s="101" t="s">
        <v>581</v>
      </c>
      <c r="AX112" s="209">
        <v>5.6</v>
      </c>
      <c r="AY112" s="208">
        <f t="shared" si="4"/>
        <v>10</v>
      </c>
      <c r="AZ112" s="313">
        <v>17.3</v>
      </c>
      <c r="BA112" s="314">
        <f>IF(Tabla15[[#This Row],[Columna2]]="M1",13073,IF(Tabla15[[#This Row],[Columna2]]="N1",15815,IF(Tabla15[[#This Row],[Columna2]]="L3e",2831,53508)))</f>
        <v>15815</v>
      </c>
      <c r="BB112" s="350">
        <f>(Tabla15[[#This Row],[CVA]]*Tabla15[[#This Row],[F]]-Tabla15[[#This Row],[CVN]])/100*Tabla15[[#This Row],[L]]</f>
        <v>6120.4049999999997</v>
      </c>
      <c r="BC112" s="74" t="s">
        <v>128</v>
      </c>
      <c r="BD112" s="294">
        <f>VLOOKUP(B112,Tabla467824[[ID CAE2]:[AE '[kWh']]],6,FALSE)</f>
        <v>5607.9989999999989</v>
      </c>
      <c r="BE11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3" spans="1:57" ht="60" x14ac:dyDescent="0.25">
      <c r="A113" s="53" t="s">
        <v>582</v>
      </c>
      <c r="B113" s="53" t="s">
        <v>582</v>
      </c>
      <c r="C113" s="332" t="s">
        <v>583</v>
      </c>
      <c r="D113" s="104" t="s">
        <v>72</v>
      </c>
      <c r="E113" s="104" t="s">
        <v>72</v>
      </c>
      <c r="F113" s="104" t="s">
        <v>72</v>
      </c>
      <c r="G113" s="104"/>
      <c r="H113" s="104" t="s">
        <v>72</v>
      </c>
      <c r="I113" s="104" t="s">
        <v>72</v>
      </c>
      <c r="J113" s="104"/>
      <c r="K113" s="96" t="s">
        <v>73</v>
      </c>
      <c r="L113" s="96" t="s">
        <v>200</v>
      </c>
      <c r="M113" s="96" t="s">
        <v>201</v>
      </c>
      <c r="N113" s="96" t="s">
        <v>76</v>
      </c>
      <c r="O113" s="101">
        <f>VLOOKUP(Tabla15[[#This Row],[Matricula Antigua]],BAJA2022202320242025!$B$3:$CR$245,93,FALSE)</f>
        <v>42445</v>
      </c>
      <c r="P113" s="316">
        <v>45001</v>
      </c>
      <c r="Q113" s="317">
        <f>Tabla15[[#This Row],[F.Vig.Final]]-Tabla15[[#This Row],[f Vig Inicio]]</f>
        <v>2556</v>
      </c>
      <c r="R113" s="318">
        <f>YEAR(Tabla15[[#This Row],[F.Vig.Final]])</f>
        <v>2023</v>
      </c>
      <c r="S113" s="96" t="s">
        <v>77</v>
      </c>
      <c r="T113" s="96" t="s">
        <v>78</v>
      </c>
      <c r="U113" s="96" t="s">
        <v>359</v>
      </c>
      <c r="V113" s="96" t="s">
        <v>578</v>
      </c>
      <c r="W113" s="96" t="s">
        <v>584</v>
      </c>
      <c r="X113" s="332" t="s">
        <v>585</v>
      </c>
      <c r="Y113" s="96" t="s">
        <v>586</v>
      </c>
      <c r="Z113" s="98">
        <f>COUNTIF($X$3:X113, X113)</f>
        <v>4</v>
      </c>
      <c r="AA113" s="337" t="s">
        <v>1661</v>
      </c>
      <c r="AB113" s="337" t="s">
        <v>1661</v>
      </c>
      <c r="AC113" s="337" t="s">
        <v>1662</v>
      </c>
      <c r="AD113" s="341" t="s">
        <v>1694</v>
      </c>
      <c r="AE113" s="347" t="s">
        <v>1664</v>
      </c>
      <c r="AF113" s="337" t="s">
        <v>1683</v>
      </c>
      <c r="AG113" s="337" t="s">
        <v>1695</v>
      </c>
      <c r="AH113" s="337" t="s">
        <v>1649</v>
      </c>
      <c r="AI113" s="337" t="s">
        <v>587</v>
      </c>
      <c r="AJ113" s="98" t="s">
        <v>85</v>
      </c>
      <c r="AK113" s="98" t="s">
        <v>86</v>
      </c>
      <c r="AL113" s="98" t="s">
        <v>87</v>
      </c>
      <c r="AM113" s="101" t="s">
        <v>588</v>
      </c>
      <c r="AN113" s="348" t="s">
        <v>89</v>
      </c>
      <c r="AO113" s="349">
        <v>45649</v>
      </c>
      <c r="AP113" s="98">
        <f>Tabla15[[#This Row],[Renov. Flota]]-Tabla15[[#This Row],[Año]]</f>
        <v>1</v>
      </c>
      <c r="AQ113" s="100" t="s">
        <v>584</v>
      </c>
      <c r="AR113" s="100" t="str">
        <f>VLOOKUP(Tabla15[[#This Row],[Matricula nueva]],'ALTA 20242025'!$B$2:$P$242,15,FALSE)</f>
        <v>4500426875</v>
      </c>
      <c r="AS113" s="101" t="s">
        <v>585</v>
      </c>
      <c r="AT113" s="101"/>
      <c r="AU113" s="101" t="s">
        <v>72</v>
      </c>
      <c r="AV113" s="101" t="s">
        <v>91</v>
      </c>
      <c r="AW113" s="101" t="str">
        <f>VLOOKUP(Tabla15[[#This Row],[Matricula nueva]],Hoja2!$A$1:$B$224,2,FALSE)</f>
        <v>VF1RFK00973824863</v>
      </c>
      <c r="AX113" s="209">
        <v>5.6</v>
      </c>
      <c r="AY113" s="208">
        <f t="shared" si="4"/>
        <v>10</v>
      </c>
      <c r="AZ113" s="313">
        <v>17.3</v>
      </c>
      <c r="BA113" s="314">
        <f>IF(Tabla15[[#This Row],[Columna2]]="M1",13073,IF(Tabla15[[#This Row],[Columna2]]="N1",15815,IF(Tabla15[[#This Row],[Columna2]]="L3e",2831,53508)))</f>
        <v>15815</v>
      </c>
      <c r="BB113" s="350">
        <f>(Tabla15[[#This Row],[CVA]]*Tabla15[[#This Row],[F]]-Tabla15[[#This Row],[CVN]])/100*Tabla15[[#This Row],[L]]</f>
        <v>6120.4049999999997</v>
      </c>
      <c r="BC113" s="74" t="s">
        <v>128</v>
      </c>
      <c r="BD113" s="294">
        <f>VLOOKUP(B113,Tabla467824[[ID CAE2]:[AE '[kWh']]],6,FALSE)</f>
        <v>5607.9989999999989</v>
      </c>
      <c r="BE11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4" spans="1:57" ht="51.75" x14ac:dyDescent="0.25">
      <c r="A114" s="53" t="s">
        <v>591</v>
      </c>
      <c r="B114" s="53" t="s">
        <v>591</v>
      </c>
      <c r="C114" s="332" t="s">
        <v>592</v>
      </c>
      <c r="D114" s="104" t="s">
        <v>72</v>
      </c>
      <c r="E114" s="104" t="s">
        <v>72</v>
      </c>
      <c r="F114" s="104" t="s">
        <v>72</v>
      </c>
      <c r="G114" s="104"/>
      <c r="H114" s="104" t="s">
        <v>249</v>
      </c>
      <c r="I114" s="104" t="s">
        <v>249</v>
      </c>
      <c r="J114" s="104"/>
      <c r="K114" s="96" t="s">
        <v>73</v>
      </c>
      <c r="L114" s="96" t="s">
        <v>200</v>
      </c>
      <c r="M114" s="96" t="s">
        <v>201</v>
      </c>
      <c r="N114" s="96" t="s">
        <v>76</v>
      </c>
      <c r="O114" s="101">
        <f>VLOOKUP(Tabla15[[#This Row],[Matricula Antigua]],BAJA2022202320242025!$B$3:$CR$245,93,FALSE)</f>
        <v>43415</v>
      </c>
      <c r="P114" s="316">
        <v>45356</v>
      </c>
      <c r="Q114" s="317">
        <f>Tabla15[[#This Row],[F.Vig.Final]]-Tabla15[[#This Row],[f Vig Inicio]]</f>
        <v>1941</v>
      </c>
      <c r="R114" s="318">
        <f>YEAR(Tabla15[[#This Row],[F.Vig.Final]])</f>
        <v>2024</v>
      </c>
      <c r="S114" s="96" t="s">
        <v>77</v>
      </c>
      <c r="T114" s="96" t="s">
        <v>78</v>
      </c>
      <c r="U114" s="96" t="s">
        <v>359</v>
      </c>
      <c r="V114" s="96" t="s">
        <v>593</v>
      </c>
      <c r="W114" s="96" t="s">
        <v>102</v>
      </c>
      <c r="X114" s="332" t="s">
        <v>1667</v>
      </c>
      <c r="Y114" s="96" t="s">
        <v>594</v>
      </c>
      <c r="Z114" s="98">
        <f>COUNTIF($X$3:X114, X114)</f>
        <v>17</v>
      </c>
      <c r="AA114" s="337" t="s">
        <v>1668</v>
      </c>
      <c r="AB114" s="337" t="s">
        <v>1668</v>
      </c>
      <c r="AC114" s="337" t="s">
        <v>1669</v>
      </c>
      <c r="AD114" s="341" t="s">
        <v>1670</v>
      </c>
      <c r="AE114" s="342" t="s">
        <v>1671</v>
      </c>
      <c r="AF114" s="337" t="s">
        <v>1672</v>
      </c>
      <c r="AG114" s="344" t="s">
        <v>1673</v>
      </c>
      <c r="AH114" s="337" t="s">
        <v>1649</v>
      </c>
      <c r="AI114" s="337" t="s">
        <v>595</v>
      </c>
      <c r="AJ114" s="98" t="s">
        <v>85</v>
      </c>
      <c r="AK114" s="98" t="s">
        <v>114</v>
      </c>
      <c r="AL114" s="98" t="s">
        <v>87</v>
      </c>
      <c r="AM114" s="101" t="s">
        <v>562</v>
      </c>
      <c r="AN114" s="348" t="s">
        <v>108</v>
      </c>
      <c r="AO114" s="349">
        <v>44922</v>
      </c>
      <c r="AP114" s="98">
        <f>Tabla15[[#This Row],[Renov. Flota]]-Tabla15[[#This Row],[Año]]</f>
        <v>-1</v>
      </c>
      <c r="AQ114" s="100" t="s">
        <v>102</v>
      </c>
      <c r="AR114" s="100">
        <v>4500348261</v>
      </c>
      <c r="AS114" s="101" t="s">
        <v>103</v>
      </c>
      <c r="AT114" s="101"/>
      <c r="AU114" s="101" t="s">
        <v>72</v>
      </c>
      <c r="AV114" s="101" t="s">
        <v>109</v>
      </c>
      <c r="AW114" s="101" t="s">
        <v>596</v>
      </c>
      <c r="AX114" s="209">
        <v>5.6</v>
      </c>
      <c r="AY114" s="208">
        <f t="shared" si="4"/>
        <v>10</v>
      </c>
      <c r="AZ114" s="313">
        <v>17.3</v>
      </c>
      <c r="BA114" s="314">
        <f>IF(Tabla15[[#This Row],[Columna2]]="M1",13073,IF(Tabla15[[#This Row],[Columna2]]="N1",15815,IF(Tabla15[[#This Row],[Columna2]]="L3e",2831,53508)))</f>
        <v>15815</v>
      </c>
      <c r="BB114" s="350">
        <f>(Tabla15[[#This Row],[CVA]]*Tabla15[[#This Row],[F]]-Tabla15[[#This Row],[CVN]])/100*Tabla15[[#This Row],[L]]</f>
        <v>6120.4049999999997</v>
      </c>
      <c r="BC114" s="74" t="s">
        <v>128</v>
      </c>
      <c r="BD114" s="294">
        <f>VLOOKUP(B114,Tabla467824[[ID CAE2]:[AE '[kWh']]],6,FALSE)</f>
        <v>5607.9989999999989</v>
      </c>
      <c r="BE11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5" spans="1:57" ht="51.75" x14ac:dyDescent="0.25">
      <c r="A115" s="53" t="s">
        <v>597</v>
      </c>
      <c r="B115" s="53" t="s">
        <v>597</v>
      </c>
      <c r="C115" s="332" t="s">
        <v>598</v>
      </c>
      <c r="D115" s="104" t="s">
        <v>72</v>
      </c>
      <c r="E115" s="104" t="s">
        <v>72</v>
      </c>
      <c r="F115" s="104" t="s">
        <v>72</v>
      </c>
      <c r="G115" s="104"/>
      <c r="H115" s="104" t="s">
        <v>249</v>
      </c>
      <c r="I115" s="104" t="s">
        <v>249</v>
      </c>
      <c r="J115" s="104"/>
      <c r="K115" s="96" t="s">
        <v>73</v>
      </c>
      <c r="L115" s="96" t="s">
        <v>200</v>
      </c>
      <c r="M115" s="96" t="s">
        <v>201</v>
      </c>
      <c r="N115" s="96" t="s">
        <v>76</v>
      </c>
      <c r="O115" s="101">
        <f>VLOOKUP(Tabla15[[#This Row],[Matricula Antigua]],BAJA2022202320242025!$B$3:$CR$245,93,FALSE)</f>
        <v>43355</v>
      </c>
      <c r="P115" s="316">
        <v>45181</v>
      </c>
      <c r="Q115" s="317">
        <f>Tabla15[[#This Row],[F.Vig.Final]]-Tabla15[[#This Row],[f Vig Inicio]]</f>
        <v>1826</v>
      </c>
      <c r="R115" s="318">
        <f>YEAR(Tabla15[[#This Row],[F.Vig.Final]])</f>
        <v>2023</v>
      </c>
      <c r="S115" s="96" t="s">
        <v>77</v>
      </c>
      <c r="T115" s="96" t="s">
        <v>78</v>
      </c>
      <c r="U115" s="96" t="s">
        <v>359</v>
      </c>
      <c r="V115" s="96" t="s">
        <v>593</v>
      </c>
      <c r="W115" s="96" t="s">
        <v>102</v>
      </c>
      <c r="X115" s="332" t="s">
        <v>1667</v>
      </c>
      <c r="Y115" s="96" t="s">
        <v>599</v>
      </c>
      <c r="Z115" s="98">
        <f>COUNTIF($X$3:X115, X115)</f>
        <v>18</v>
      </c>
      <c r="AA115" s="337" t="s">
        <v>1668</v>
      </c>
      <c r="AB115" s="337" t="s">
        <v>1668</v>
      </c>
      <c r="AC115" s="337" t="s">
        <v>1669</v>
      </c>
      <c r="AD115" s="341" t="s">
        <v>1670</v>
      </c>
      <c r="AE115" s="342" t="s">
        <v>1671</v>
      </c>
      <c r="AF115" s="337" t="s">
        <v>1672</v>
      </c>
      <c r="AG115" s="344" t="s">
        <v>1673</v>
      </c>
      <c r="AH115" s="337" t="s">
        <v>1649</v>
      </c>
      <c r="AI115" s="337" t="s">
        <v>600</v>
      </c>
      <c r="AJ115" s="98" t="s">
        <v>85</v>
      </c>
      <c r="AK115" s="98" t="s">
        <v>340</v>
      </c>
      <c r="AL115" s="98" t="s">
        <v>87</v>
      </c>
      <c r="AM115" s="101" t="s">
        <v>567</v>
      </c>
      <c r="AN115" s="348" t="s">
        <v>108</v>
      </c>
      <c r="AO115" s="349">
        <v>44958</v>
      </c>
      <c r="AP115" s="98">
        <f>Tabla15[[#This Row],[Renov. Flota]]-Tabla15[[#This Row],[Año]]</f>
        <v>0</v>
      </c>
      <c r="AQ115" s="100" t="s">
        <v>102</v>
      </c>
      <c r="AR115" s="100">
        <v>4500352582</v>
      </c>
      <c r="AS115" s="101" t="s">
        <v>103</v>
      </c>
      <c r="AT115" s="101"/>
      <c r="AU115" s="101" t="s">
        <v>72</v>
      </c>
      <c r="AV115" s="101" t="s">
        <v>109</v>
      </c>
      <c r="AW115" s="101" t="s">
        <v>601</v>
      </c>
      <c r="AX115" s="209">
        <v>5.6</v>
      </c>
      <c r="AY115" s="208">
        <f t="shared" si="4"/>
        <v>10</v>
      </c>
      <c r="AZ115" s="313">
        <v>13.3</v>
      </c>
      <c r="BA115" s="314">
        <f>IF(Tabla15[[#This Row],[Columna2]]="M1",13073,IF(Tabla15[[#This Row],[Columna2]]="N1",15815,IF(Tabla15[[#This Row],[Columna2]]="L3e",2831,53508)))</f>
        <v>15815</v>
      </c>
      <c r="BB115" s="350">
        <f>(Tabla15[[#This Row],[CVA]]*Tabla15[[#This Row],[F]]-Tabla15[[#This Row],[CVN]])/100*Tabla15[[#This Row],[L]]</f>
        <v>6753.005000000001</v>
      </c>
      <c r="BC115" s="74" t="s">
        <v>128</v>
      </c>
      <c r="BD115" s="294">
        <f>VLOOKUP(B115,Tabla467824[[ID CAE2]:[AE '[kWh']]],6,FALSE)</f>
        <v>5607.9989999999989</v>
      </c>
      <c r="BE11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6" spans="1:57" ht="51.75" x14ac:dyDescent="0.25">
      <c r="A116" s="53" t="s">
        <v>602</v>
      </c>
      <c r="B116" s="53" t="s">
        <v>602</v>
      </c>
      <c r="C116" s="332" t="s">
        <v>603</v>
      </c>
      <c r="D116" s="104" t="s">
        <v>72</v>
      </c>
      <c r="E116" s="104" t="s">
        <v>72</v>
      </c>
      <c r="F116" s="104" t="s">
        <v>72</v>
      </c>
      <c r="G116" s="104"/>
      <c r="H116" s="104" t="s">
        <v>72</v>
      </c>
      <c r="I116" s="104" t="s">
        <v>72</v>
      </c>
      <c r="J116" s="104"/>
      <c r="K116" s="96" t="s">
        <v>73</v>
      </c>
      <c r="L116" s="96" t="s">
        <v>200</v>
      </c>
      <c r="M116" s="96" t="s">
        <v>201</v>
      </c>
      <c r="N116" s="96" t="s">
        <v>76</v>
      </c>
      <c r="O116" s="101">
        <f>VLOOKUP(Tabla15[[#This Row],[Matricula Antigua]],BAJA2022202320242025!$B$3:$CR$245,93,FALSE)</f>
        <v>43172</v>
      </c>
      <c r="P116" s="316">
        <v>44998</v>
      </c>
      <c r="Q116" s="317">
        <f>Tabla15[[#This Row],[F.Vig.Final]]-Tabla15[[#This Row],[f Vig Inicio]]</f>
        <v>1826</v>
      </c>
      <c r="R116" s="318">
        <f>YEAR(Tabla15[[#This Row],[F.Vig.Final]])</f>
        <v>2023</v>
      </c>
      <c r="S116" s="96" t="s">
        <v>77</v>
      </c>
      <c r="T116" s="96" t="s">
        <v>78</v>
      </c>
      <c r="U116" s="96" t="s">
        <v>359</v>
      </c>
      <c r="V116" s="96" t="s">
        <v>604</v>
      </c>
      <c r="W116" s="96" t="s">
        <v>204</v>
      </c>
      <c r="X116" s="332" t="s">
        <v>205</v>
      </c>
      <c r="Y116" s="96" t="s">
        <v>230</v>
      </c>
      <c r="Z116" s="98">
        <f>COUNTIF($X$3:X116, X116)</f>
        <v>6</v>
      </c>
      <c r="AA116" s="337" t="s">
        <v>1661</v>
      </c>
      <c r="AB116" s="337" t="s">
        <v>1661</v>
      </c>
      <c r="AC116" s="337" t="s">
        <v>1662</v>
      </c>
      <c r="AD116" s="337" t="s">
        <v>1679</v>
      </c>
      <c r="AE116" s="351" t="s">
        <v>1664</v>
      </c>
      <c r="AF116" s="337" t="s">
        <v>1680</v>
      </c>
      <c r="AG116" s="337" t="s">
        <v>1681</v>
      </c>
      <c r="AH116" s="337" t="s">
        <v>1649</v>
      </c>
      <c r="AI116" s="337" t="s">
        <v>605</v>
      </c>
      <c r="AJ116" s="98" t="s">
        <v>140</v>
      </c>
      <c r="AK116" s="98" t="s">
        <v>151</v>
      </c>
      <c r="AL116" s="98" t="s">
        <v>87</v>
      </c>
      <c r="AM116" s="101" t="s">
        <v>208</v>
      </c>
      <c r="AN116" s="348" t="s">
        <v>89</v>
      </c>
      <c r="AO116" s="349">
        <v>45637</v>
      </c>
      <c r="AP116" s="98">
        <f>Tabla15[[#This Row],[Renov. Flota]]-Tabla15[[#This Row],[Año]]</f>
        <v>1</v>
      </c>
      <c r="AQ116" s="100" t="s">
        <v>204</v>
      </c>
      <c r="AR116" s="100" t="str">
        <f>VLOOKUP(Tabla15[[#This Row],[Matricula nueva]],'ALTA 20242025'!$B$2:$P$242,15,FALSE)</f>
        <v>4500424902</v>
      </c>
      <c r="AS116" s="101" t="s">
        <v>205</v>
      </c>
      <c r="AT116" s="101"/>
      <c r="AU116" s="101" t="s">
        <v>72</v>
      </c>
      <c r="AV116" s="101" t="s">
        <v>91</v>
      </c>
      <c r="AW116" s="101" t="str">
        <f>VLOOKUP(Tabla15[[#This Row],[Matricula nueva]],Hoja2!$A$1:$B$224,2,FALSE)</f>
        <v>VR7CBZYA5RT153037</v>
      </c>
      <c r="AX116" s="209">
        <f>IF(Tabla15[[#This Row],[Columna2]]="M1",5.1,"")</f>
        <v>5.0999999999999996</v>
      </c>
      <c r="AY116" s="208">
        <f t="shared" si="4"/>
        <v>10</v>
      </c>
      <c r="AZ116" s="313">
        <v>16.399999999999999</v>
      </c>
      <c r="BA116" s="314">
        <f>IF(Tabla15[[#This Row],[Columna2]]="M1",13073,IF(Tabla15[[#This Row],[Columna2]]="N1",15815,IF(Tabla15[[#This Row],[Columna2]]="L3e",2831,53508)))</f>
        <v>13073</v>
      </c>
      <c r="BB116" s="350">
        <f>(Tabla15[[#This Row],[CVA]]*Tabla15[[#This Row],[F]]-Tabla15[[#This Row],[CVN]])/100*Tabla15[[#This Row],[L]]</f>
        <v>4523.2580000000007</v>
      </c>
      <c r="BC116" s="74" t="s">
        <v>70</v>
      </c>
      <c r="BD116" s="294">
        <f>VLOOKUP(B116,Tabla467824[[ID CAE2]:[AE '[kWh']]],6,FALSE)</f>
        <v>6795.3454000000002</v>
      </c>
      <c r="BE11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7" spans="1:57" ht="51.75" x14ac:dyDescent="0.25">
      <c r="A117" s="53" t="s">
        <v>608</v>
      </c>
      <c r="B117" s="53" t="s">
        <v>608</v>
      </c>
      <c r="C117" s="332" t="s">
        <v>609</v>
      </c>
      <c r="D117" s="104" t="s">
        <v>72</v>
      </c>
      <c r="E117" s="104" t="s">
        <v>72</v>
      </c>
      <c r="F117" s="104" t="s">
        <v>72</v>
      </c>
      <c r="G117" s="104"/>
      <c r="H117" s="104" t="s">
        <v>72</v>
      </c>
      <c r="I117" s="104" t="s">
        <v>72</v>
      </c>
      <c r="J117" s="104"/>
      <c r="K117" s="96" t="s">
        <v>73</v>
      </c>
      <c r="L117" s="96" t="s">
        <v>200</v>
      </c>
      <c r="M117" s="96" t="s">
        <v>201</v>
      </c>
      <c r="N117" s="96" t="s">
        <v>76</v>
      </c>
      <c r="O117" s="101">
        <f>VLOOKUP(Tabla15[[#This Row],[Matricula Antigua]],BAJA2022202320242025!$B$3:$CR$245,93,FALSE)</f>
        <v>43213</v>
      </c>
      <c r="P117" s="316">
        <v>45039</v>
      </c>
      <c r="Q117" s="317">
        <f>Tabla15[[#This Row],[F.Vig.Final]]-Tabla15[[#This Row],[f Vig Inicio]]</f>
        <v>1826</v>
      </c>
      <c r="R117" s="318">
        <f>YEAR(Tabla15[[#This Row],[F.Vig.Final]])</f>
        <v>2023</v>
      </c>
      <c r="S117" s="96" t="s">
        <v>77</v>
      </c>
      <c r="T117" s="96" t="s">
        <v>78</v>
      </c>
      <c r="U117" s="96" t="s">
        <v>359</v>
      </c>
      <c r="V117" s="96" t="s">
        <v>604</v>
      </c>
      <c r="W117" s="96" t="s">
        <v>131</v>
      </c>
      <c r="X117" s="332" t="s">
        <v>132</v>
      </c>
      <c r="Y117" s="96" t="s">
        <v>610</v>
      </c>
      <c r="Z117" s="98">
        <f>COUNTIF($X$3:X117, X117)</f>
        <v>6</v>
      </c>
      <c r="AA117" s="337" t="s">
        <v>1661</v>
      </c>
      <c r="AB117" s="337" t="s">
        <v>1661</v>
      </c>
      <c r="AC117" s="337" t="s">
        <v>1662</v>
      </c>
      <c r="AD117" s="333" t="s">
        <v>1675</v>
      </c>
      <c r="AE117" s="347" t="s">
        <v>1664</v>
      </c>
      <c r="AF117" s="337" t="s">
        <v>1676</v>
      </c>
      <c r="AG117" s="337" t="s">
        <v>1677</v>
      </c>
      <c r="AH117" s="337" t="s">
        <v>1649</v>
      </c>
      <c r="AI117" s="337" t="s">
        <v>611</v>
      </c>
      <c r="AJ117" s="98" t="s">
        <v>140</v>
      </c>
      <c r="AK117" s="98" t="s">
        <v>151</v>
      </c>
      <c r="AL117" s="98" t="s">
        <v>87</v>
      </c>
      <c r="AM117" s="101" t="s">
        <v>316</v>
      </c>
      <c r="AN117" s="348" t="s">
        <v>89</v>
      </c>
      <c r="AO117" s="349">
        <v>45625</v>
      </c>
      <c r="AP117" s="98">
        <f>Tabla15[[#This Row],[Renov. Flota]]-Tabla15[[#This Row],[Año]]</f>
        <v>1</v>
      </c>
      <c r="AQ117" s="100" t="s">
        <v>131</v>
      </c>
      <c r="AR117" s="100" t="str">
        <f>VLOOKUP(Tabla15[[#This Row],[Matricula nueva]],'ALTA 20242025'!$B$2:$P$242,15,FALSE)</f>
        <v>4500424801</v>
      </c>
      <c r="AS117" s="101" t="s">
        <v>132</v>
      </c>
      <c r="AT117" s="101"/>
      <c r="AU117" s="101" t="s">
        <v>72</v>
      </c>
      <c r="AV117" s="101" t="s">
        <v>91</v>
      </c>
      <c r="AW117" s="101" t="str">
        <f>VLOOKUP(Tabla15[[#This Row],[Matricula nueva]],Hoja2!$A$1:$B$224,2,FALSE)</f>
        <v>VR7CBZYAXRT152210</v>
      </c>
      <c r="AX117" s="209">
        <f>IF(Tabla15[[#This Row],[Columna2]]="M1",5.1,"")</f>
        <v>5.0999999999999996</v>
      </c>
      <c r="AY117" s="208">
        <f t="shared" si="4"/>
        <v>10</v>
      </c>
      <c r="AZ117" s="313">
        <v>16.399999999999999</v>
      </c>
      <c r="BA117" s="314">
        <f>IF(Tabla15[[#This Row],[Columna2]]="M1",13073,IF(Tabla15[[#This Row],[Columna2]]="N1",15815,IF(Tabla15[[#This Row],[Columna2]]="L3e",2831,53508)))</f>
        <v>13073</v>
      </c>
      <c r="BB117" s="350">
        <f>(Tabla15[[#This Row],[CVA]]*Tabla15[[#This Row],[F]]-Tabla15[[#This Row],[CVN]])/100*Tabla15[[#This Row],[L]]</f>
        <v>4523.2580000000007</v>
      </c>
      <c r="BC117" s="74" t="s">
        <v>70</v>
      </c>
      <c r="BD117" s="294">
        <f>VLOOKUP(B117,Tabla467824[[ID CAE2]:[AE '[kWh']]],6,FALSE)</f>
        <v>6795.3454000000002</v>
      </c>
      <c r="BE11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8" spans="1:57" ht="51.75" x14ac:dyDescent="0.25">
      <c r="A118" s="53" t="s">
        <v>614</v>
      </c>
      <c r="B118" s="53" t="s">
        <v>614</v>
      </c>
      <c r="C118" s="332" t="s">
        <v>615</v>
      </c>
      <c r="D118" s="104" t="s">
        <v>72</v>
      </c>
      <c r="E118" s="104"/>
      <c r="F118" s="104" t="s">
        <v>72</v>
      </c>
      <c r="G118" s="104"/>
      <c r="H118" s="104" t="s">
        <v>249</v>
      </c>
      <c r="I118" s="104" t="s">
        <v>249</v>
      </c>
      <c r="J118" s="104"/>
      <c r="K118" s="96" t="s">
        <v>73</v>
      </c>
      <c r="L118" s="96" t="s">
        <v>200</v>
      </c>
      <c r="M118" s="96" t="s">
        <v>201</v>
      </c>
      <c r="N118" s="96" t="s">
        <v>76</v>
      </c>
      <c r="O118" s="101">
        <f>VLOOKUP(Tabla15[[#This Row],[Matricula Antigua]],BAJA2022202320242025!$B$3:$CR$245,93,FALSE)</f>
        <v>43160</v>
      </c>
      <c r="P118" s="316">
        <v>44986</v>
      </c>
      <c r="Q118" s="317">
        <f>Tabla15[[#This Row],[F.Vig.Final]]-Tabla15[[#This Row],[f Vig Inicio]]</f>
        <v>1826</v>
      </c>
      <c r="R118" s="318">
        <f>YEAR(Tabla15[[#This Row],[F.Vig.Final]])</f>
        <v>2023</v>
      </c>
      <c r="S118" s="96" t="s">
        <v>77</v>
      </c>
      <c r="T118" s="96" t="s">
        <v>78</v>
      </c>
      <c r="U118" s="96" t="s">
        <v>359</v>
      </c>
      <c r="V118" s="96" t="s">
        <v>604</v>
      </c>
      <c r="W118" s="96" t="s">
        <v>119</v>
      </c>
      <c r="X118" s="332" t="s">
        <v>1674</v>
      </c>
      <c r="Y118" s="96" t="s">
        <v>501</v>
      </c>
      <c r="Z118" s="98">
        <f>COUNTIF($X$3:X118, X118)</f>
        <v>16</v>
      </c>
      <c r="AA118" s="337" t="s">
        <v>1661</v>
      </c>
      <c r="AB118" s="337" t="s">
        <v>1661</v>
      </c>
      <c r="AC118" s="337" t="s">
        <v>1662</v>
      </c>
      <c r="AD118" s="337" t="s">
        <v>1663</v>
      </c>
      <c r="AE118" s="342" t="s">
        <v>1664</v>
      </c>
      <c r="AF118" s="337" t="s">
        <v>1665</v>
      </c>
      <c r="AG118" s="337" t="s">
        <v>1666</v>
      </c>
      <c r="AH118" s="337" t="s">
        <v>1649</v>
      </c>
      <c r="AI118" s="337" t="s">
        <v>616</v>
      </c>
      <c r="AJ118" s="98" t="s">
        <v>85</v>
      </c>
      <c r="AK118" s="98" t="s">
        <v>86</v>
      </c>
      <c r="AL118" s="98" t="s">
        <v>87</v>
      </c>
      <c r="AM118" s="101" t="s">
        <v>617</v>
      </c>
      <c r="AN118" s="348" t="s">
        <v>89</v>
      </c>
      <c r="AO118" s="349">
        <v>45645</v>
      </c>
      <c r="AP118" s="98">
        <f>Tabla15[[#This Row],[Renov. Flota]]-Tabla15[[#This Row],[Año]]</f>
        <v>1</v>
      </c>
      <c r="AQ118" s="100" t="s">
        <v>119</v>
      </c>
      <c r="AR118" s="100" t="str">
        <f>VLOOKUP(Tabla15[[#This Row],[Matricula nueva]],'ALTA 20242025'!$B$2:$P$242,15,FALSE)</f>
        <v>4500426846</v>
      </c>
      <c r="AS118" s="101" t="s">
        <v>120</v>
      </c>
      <c r="AT118" s="101"/>
      <c r="AU118" s="101" t="s">
        <v>72</v>
      </c>
      <c r="AV118" s="101" t="s">
        <v>91</v>
      </c>
      <c r="AW118" s="101" t="str">
        <f>VLOOKUP(Tabla15[[#This Row],[Matricula nueva]],Hoja2!$A$1:$B$224,2,FALSE)</f>
        <v>VF1RFK00073934278</v>
      </c>
      <c r="AX118" s="209">
        <f>IF(Tabla15[[#This Row],[Columna2]]="M1",5.1,"")</f>
        <v>5.0999999999999996</v>
      </c>
      <c r="AY118" s="208">
        <f t="shared" si="4"/>
        <v>10</v>
      </c>
      <c r="AZ118" s="313">
        <v>17.3</v>
      </c>
      <c r="BA118" s="314">
        <f>IF(Tabla15[[#This Row],[Columna2]]="M1",13073,IF(Tabla15[[#This Row],[Columna2]]="N1",15815,IF(Tabla15[[#This Row],[Columna2]]="L3e",2831,53508)))</f>
        <v>13073</v>
      </c>
      <c r="BB118" s="350">
        <f>(Tabla15[[#This Row],[CVA]]*Tabla15[[#This Row],[F]]-Tabla15[[#This Row],[CVN]])/100*Tabla15[[#This Row],[L]]</f>
        <v>4405.6010000000006</v>
      </c>
      <c r="BC118" s="74" t="s">
        <v>70</v>
      </c>
      <c r="BD118" s="294">
        <f>VLOOKUP(B118,Tabla467824[[ID CAE2]:[AE '[kWh']]],6,FALSE)</f>
        <v>6795.3454000000002</v>
      </c>
      <c r="BE11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19" spans="1:57" ht="51.75" x14ac:dyDescent="0.25">
      <c r="A119" s="53" t="s">
        <v>620</v>
      </c>
      <c r="B119" s="53" t="s">
        <v>620</v>
      </c>
      <c r="C119" s="332" t="s">
        <v>621</v>
      </c>
      <c r="D119" s="104" t="s">
        <v>72</v>
      </c>
      <c r="E119" s="104" t="s">
        <v>72</v>
      </c>
      <c r="F119" s="104" t="s">
        <v>72</v>
      </c>
      <c r="G119" s="104"/>
      <c r="H119" s="104" t="s">
        <v>72</v>
      </c>
      <c r="I119" s="104" t="s">
        <v>72</v>
      </c>
      <c r="J119" s="104"/>
      <c r="K119" s="96" t="s">
        <v>73</v>
      </c>
      <c r="L119" s="96" t="s">
        <v>200</v>
      </c>
      <c r="M119" s="96" t="s">
        <v>201</v>
      </c>
      <c r="N119" s="96" t="s">
        <v>76</v>
      </c>
      <c r="O119" s="101">
        <f>VLOOKUP(Tabla15[[#This Row],[Matricula Antigua]],BAJA2022202320242025!$B$3:$CR$245,93,FALSE)</f>
        <v>43312</v>
      </c>
      <c r="P119" s="316">
        <v>45323</v>
      </c>
      <c r="Q119" s="317">
        <f>Tabla15[[#This Row],[F.Vig.Final]]-Tabla15[[#This Row],[f Vig Inicio]]</f>
        <v>2011</v>
      </c>
      <c r="R119" s="318">
        <f>YEAR(Tabla15[[#This Row],[F.Vig.Final]])</f>
        <v>2024</v>
      </c>
      <c r="S119" s="96" t="s">
        <v>77</v>
      </c>
      <c r="T119" s="96" t="s">
        <v>78</v>
      </c>
      <c r="U119" s="96" t="s">
        <v>359</v>
      </c>
      <c r="V119" s="96" t="s">
        <v>604</v>
      </c>
      <c r="W119" s="96" t="s">
        <v>131</v>
      </c>
      <c r="X119" s="332" t="s">
        <v>132</v>
      </c>
      <c r="Y119" s="96" t="s">
        <v>622</v>
      </c>
      <c r="Z119" s="98">
        <f>COUNTIF($X$3:X119, X119)</f>
        <v>7</v>
      </c>
      <c r="AA119" s="337" t="s">
        <v>1661</v>
      </c>
      <c r="AB119" s="337" t="s">
        <v>1661</v>
      </c>
      <c r="AC119" s="337" t="s">
        <v>1662</v>
      </c>
      <c r="AD119" s="333" t="s">
        <v>1675</v>
      </c>
      <c r="AE119" s="347" t="s">
        <v>1664</v>
      </c>
      <c r="AF119" s="337" t="s">
        <v>1676</v>
      </c>
      <c r="AG119" s="337" t="s">
        <v>1677</v>
      </c>
      <c r="AH119" s="337" t="s">
        <v>1649</v>
      </c>
      <c r="AI119" s="337" t="s">
        <v>623</v>
      </c>
      <c r="AJ119" s="98" t="s">
        <v>85</v>
      </c>
      <c r="AK119" s="98" t="s">
        <v>86</v>
      </c>
      <c r="AL119" s="98" t="s">
        <v>87</v>
      </c>
      <c r="AM119" s="101" t="s">
        <v>318</v>
      </c>
      <c r="AN119" s="348" t="s">
        <v>89</v>
      </c>
      <c r="AO119" s="349">
        <v>45625</v>
      </c>
      <c r="AP119" s="98">
        <f>Tabla15[[#This Row],[Renov. Flota]]-Tabla15[[#This Row],[Año]]</f>
        <v>0</v>
      </c>
      <c r="AQ119" s="100" t="s">
        <v>131</v>
      </c>
      <c r="AR119" s="100" t="str">
        <f>VLOOKUP(Tabla15[[#This Row],[Matricula nueva]],'ALTA 20242025'!$B$2:$P$242,15,FALSE)</f>
        <v>4500426776</v>
      </c>
      <c r="AS119" s="101" t="s">
        <v>132</v>
      </c>
      <c r="AT119" s="101"/>
      <c r="AU119" s="101" t="s">
        <v>72</v>
      </c>
      <c r="AV119" s="101" t="s">
        <v>91</v>
      </c>
      <c r="AW119" s="101" t="str">
        <f>VLOOKUP(Tabla15[[#This Row],[Matricula nueva]],Hoja2!$A$1:$B$224,2,FALSE)</f>
        <v>VF1RFK00973824815</v>
      </c>
      <c r="AX119" s="209">
        <f>IF(Tabla15[[#This Row],[Columna2]]="M1",5.1,"")</f>
        <v>5.0999999999999996</v>
      </c>
      <c r="AY119" s="208">
        <f t="shared" si="4"/>
        <v>10</v>
      </c>
      <c r="AZ119" s="313">
        <v>17.3</v>
      </c>
      <c r="BA119" s="314">
        <f>IF(Tabla15[[#This Row],[Columna2]]="M1",13073,IF(Tabla15[[#This Row],[Columna2]]="N1",15815,IF(Tabla15[[#This Row],[Columna2]]="L3e",2831,53508)))</f>
        <v>13073</v>
      </c>
      <c r="BB119" s="350">
        <f>(Tabla15[[#This Row],[CVA]]*Tabla15[[#This Row],[F]]-Tabla15[[#This Row],[CVN]])/100*Tabla15[[#This Row],[L]]</f>
        <v>4405.6010000000006</v>
      </c>
      <c r="BC119" s="74" t="s">
        <v>70</v>
      </c>
      <c r="BD119" s="294">
        <f>VLOOKUP(B119,Tabla467824[[ID CAE2]:[AE '[kWh']]],6,FALSE)</f>
        <v>6795.3454000000002</v>
      </c>
      <c r="BE11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0" spans="1:57" ht="60" x14ac:dyDescent="0.25">
      <c r="A120" s="53" t="s">
        <v>626</v>
      </c>
      <c r="B120" s="53" t="s">
        <v>626</v>
      </c>
      <c r="C120" s="332" t="s">
        <v>627</v>
      </c>
      <c r="D120" s="104" t="s">
        <v>72</v>
      </c>
      <c r="E120" s="104" t="s">
        <v>72</v>
      </c>
      <c r="F120" s="104" t="s">
        <v>72</v>
      </c>
      <c r="G120" s="104"/>
      <c r="H120" s="104" t="s">
        <v>72</v>
      </c>
      <c r="I120" s="104" t="s">
        <v>72</v>
      </c>
      <c r="J120" s="104"/>
      <c r="K120" s="96" t="s">
        <v>73</v>
      </c>
      <c r="L120" s="96" t="s">
        <v>200</v>
      </c>
      <c r="M120" s="96" t="s">
        <v>201</v>
      </c>
      <c r="N120" s="96" t="s">
        <v>76</v>
      </c>
      <c r="O120" s="101">
        <f>VLOOKUP(Tabla15[[#This Row],[Matricula Antigua]],BAJA2022202320242025!$B$3:$CR$245,93,FALSE)</f>
        <v>43343</v>
      </c>
      <c r="P120" s="316">
        <v>45016</v>
      </c>
      <c r="Q120" s="317">
        <f>Tabla15[[#This Row],[F.Vig.Final]]-Tabla15[[#This Row],[f Vig Inicio]]</f>
        <v>1673</v>
      </c>
      <c r="R120" s="318">
        <f>YEAR(Tabla15[[#This Row],[F.Vig.Final]])</f>
        <v>2023</v>
      </c>
      <c r="S120" s="96" t="s">
        <v>77</v>
      </c>
      <c r="T120" s="96" t="s">
        <v>78</v>
      </c>
      <c r="U120" s="96" t="s">
        <v>359</v>
      </c>
      <c r="V120" s="96" t="s">
        <v>604</v>
      </c>
      <c r="W120" s="96" t="s">
        <v>336</v>
      </c>
      <c r="X120" s="332" t="s">
        <v>337</v>
      </c>
      <c r="Y120" s="96" t="s">
        <v>628</v>
      </c>
      <c r="Z120" s="98">
        <f>COUNTIF($X$3:X120, X120)</f>
        <v>5</v>
      </c>
      <c r="AA120" s="337" t="s">
        <v>1661</v>
      </c>
      <c r="AB120" s="337" t="s">
        <v>1661</v>
      </c>
      <c r="AC120" s="337" t="s">
        <v>1662</v>
      </c>
      <c r="AD120" s="341" t="s">
        <v>1682</v>
      </c>
      <c r="AE120" s="347" t="s">
        <v>1664</v>
      </c>
      <c r="AF120" s="337" t="s">
        <v>1683</v>
      </c>
      <c r="AG120" s="337" t="s">
        <v>1684</v>
      </c>
      <c r="AH120" s="337" t="s">
        <v>1649</v>
      </c>
      <c r="AI120" s="337" t="s">
        <v>629</v>
      </c>
      <c r="AJ120" s="98" t="s">
        <v>85</v>
      </c>
      <c r="AK120" s="98" t="s">
        <v>340</v>
      </c>
      <c r="AL120" s="98" t="s">
        <v>87</v>
      </c>
      <c r="AM120" s="101" t="s">
        <v>630</v>
      </c>
      <c r="AN120" s="348" t="s">
        <v>108</v>
      </c>
      <c r="AO120" s="349">
        <v>45282</v>
      </c>
      <c r="AP120" s="98">
        <f>Tabla15[[#This Row],[Renov. Flota]]-Tabla15[[#This Row],[Año]]</f>
        <v>0</v>
      </c>
      <c r="AQ120" s="100" t="s">
        <v>336</v>
      </c>
      <c r="AR120" s="100">
        <v>4500389256</v>
      </c>
      <c r="AS120" s="101" t="s">
        <v>337</v>
      </c>
      <c r="AT120" s="101"/>
      <c r="AU120" s="101" t="s">
        <v>72</v>
      </c>
      <c r="AV120" s="101" t="s">
        <v>91</v>
      </c>
      <c r="AW120" s="101" t="s">
        <v>631</v>
      </c>
      <c r="AX120" s="209">
        <f>IF(Tabla15[[#This Row],[Columna2]]="M1",5.1,"")</f>
        <v>5.0999999999999996</v>
      </c>
      <c r="AY120" s="208">
        <f t="shared" si="4"/>
        <v>10</v>
      </c>
      <c r="AZ120" s="313">
        <v>13.3</v>
      </c>
      <c r="BA120" s="314">
        <f>IF(Tabla15[[#This Row],[Columna2]]="M1",13073,IF(Tabla15[[#This Row],[Columna2]]="N1",15815,IF(Tabla15[[#This Row],[Columna2]]="L3e",2831,53508)))</f>
        <v>13073</v>
      </c>
      <c r="BB120" s="350">
        <f>(Tabla15[[#This Row],[CVA]]*Tabla15[[#This Row],[F]]-Tabla15[[#This Row],[CVN]])/100*Tabla15[[#This Row],[L]]</f>
        <v>4928.5209999999997</v>
      </c>
      <c r="BC120" s="74" t="s">
        <v>70</v>
      </c>
      <c r="BD120" s="294">
        <f>VLOOKUP(B120,Tabla467824[[ID CAE2]:[AE '[kWh']]],6,FALSE)</f>
        <v>6795.3454000000002</v>
      </c>
      <c r="BE12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1" spans="1:57" ht="51.75" x14ac:dyDescent="0.25">
      <c r="A121" s="53" t="s">
        <v>632</v>
      </c>
      <c r="B121" s="53" t="s">
        <v>632</v>
      </c>
      <c r="C121" s="332" t="s">
        <v>633</v>
      </c>
      <c r="D121" s="104" t="s">
        <v>72</v>
      </c>
      <c r="E121" s="104"/>
      <c r="F121" s="104" t="s">
        <v>72</v>
      </c>
      <c r="G121" s="104"/>
      <c r="H121" s="104" t="s">
        <v>72</v>
      </c>
      <c r="I121" s="104" t="s">
        <v>72</v>
      </c>
      <c r="J121" s="104"/>
      <c r="K121" s="96" t="s">
        <v>129</v>
      </c>
      <c r="L121" s="96" t="s">
        <v>74</v>
      </c>
      <c r="M121" s="96" t="s">
        <v>75</v>
      </c>
      <c r="N121" s="96" t="s">
        <v>76</v>
      </c>
      <c r="O121" s="99">
        <f>VLOOKUP(Tabla15[[#This Row],[Matricula Antigua]],BAJA2022202320242025!$B$3:$CR$245,93,FALSE)</f>
        <v>45002</v>
      </c>
      <c r="P121" s="316">
        <v>45307</v>
      </c>
      <c r="Q121" s="317">
        <f>Tabla15[[#This Row],[F.Vig.Final]]-Tabla15[[#This Row],[f Vig Inicio]]</f>
        <v>305</v>
      </c>
      <c r="R121" s="318">
        <f>YEAR(Tabla15[[#This Row],[F.Vig.Final]])</f>
        <v>2024</v>
      </c>
      <c r="S121" s="96" t="s">
        <v>77</v>
      </c>
      <c r="T121" s="96" t="s">
        <v>78</v>
      </c>
      <c r="U121" s="96" t="s">
        <v>79</v>
      </c>
      <c r="V121" s="96" t="s">
        <v>634</v>
      </c>
      <c r="W121" s="96" t="s">
        <v>131</v>
      </c>
      <c r="X121" s="332" t="s">
        <v>132</v>
      </c>
      <c r="Y121" s="96" t="s">
        <v>635</v>
      </c>
      <c r="Z121" s="98">
        <f>COUNTIF($X$3:X121, X121)</f>
        <v>8</v>
      </c>
      <c r="AA121" s="337" t="s">
        <v>1661</v>
      </c>
      <c r="AB121" s="337" t="s">
        <v>1661</v>
      </c>
      <c r="AC121" s="337" t="s">
        <v>1662</v>
      </c>
      <c r="AD121" s="333" t="s">
        <v>1675</v>
      </c>
      <c r="AE121" s="347" t="s">
        <v>1664</v>
      </c>
      <c r="AF121" s="337" t="s">
        <v>1676</v>
      </c>
      <c r="AG121" s="337" t="s">
        <v>1677</v>
      </c>
      <c r="AH121" s="337" t="s">
        <v>1649</v>
      </c>
      <c r="AI121" s="337" t="s">
        <v>636</v>
      </c>
      <c r="AJ121" s="98" t="s">
        <v>85</v>
      </c>
      <c r="AK121" s="98" t="s">
        <v>86</v>
      </c>
      <c r="AL121" s="98" t="s">
        <v>87</v>
      </c>
      <c r="AM121" s="101" t="s">
        <v>637</v>
      </c>
      <c r="AN121" s="348" t="s">
        <v>89</v>
      </c>
      <c r="AO121" s="349">
        <v>45625</v>
      </c>
      <c r="AP121" s="98">
        <f>Tabla15[[#This Row],[Renov. Flota]]-Tabla15[[#This Row],[Año]]</f>
        <v>0</v>
      </c>
      <c r="AQ121" s="100" t="s">
        <v>131</v>
      </c>
      <c r="AR121" s="100" t="str">
        <f>VLOOKUP(Tabla15[[#This Row],[Matricula nueva]],'ALTA 20242025'!$B$2:$P$242,15,FALSE)</f>
        <v>4500426780</v>
      </c>
      <c r="AS121" s="101" t="s">
        <v>132</v>
      </c>
      <c r="AT121" s="101"/>
      <c r="AU121" s="101" t="s">
        <v>72</v>
      </c>
      <c r="AV121" s="101" t="s">
        <v>91</v>
      </c>
      <c r="AW121" s="101" t="str">
        <f>VLOOKUP(Tabla15[[#This Row],[Matricula nueva]],Hoja2!$A$1:$B$224,2,FALSE)</f>
        <v>VF1RFK00073824816</v>
      </c>
      <c r="AX121" s="209">
        <v>5.6</v>
      </c>
      <c r="AY121" s="208">
        <f t="shared" si="4"/>
        <v>10</v>
      </c>
      <c r="AZ121" s="313">
        <v>17.3</v>
      </c>
      <c r="BA121" s="314">
        <f>IF(Tabla15[[#This Row],[Columna2]]="M1",13073,IF(Tabla15[[#This Row],[Columna2]]="N1",15815,IF(Tabla15[[#This Row],[Columna2]]="L3e",2831,53508)))</f>
        <v>15815</v>
      </c>
      <c r="BB121" s="350">
        <f>(Tabla15[[#This Row],[CVA]]*Tabla15[[#This Row],[F]]-Tabla15[[#This Row],[CVN]])/100*Tabla15[[#This Row],[L]]</f>
        <v>6120.4049999999997</v>
      </c>
      <c r="BC121" s="74" t="s">
        <v>128</v>
      </c>
      <c r="BD121" s="294">
        <f>VLOOKUP(B121,Tabla467824[[ID CAE2]:[AE '[kWh']]],6,FALSE)</f>
        <v>5607.9989999999989</v>
      </c>
      <c r="BE12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2" spans="1:57" ht="51.75" x14ac:dyDescent="0.25">
      <c r="A122" s="53" t="s">
        <v>640</v>
      </c>
      <c r="B122" s="53" t="s">
        <v>640</v>
      </c>
      <c r="C122" s="332" t="s">
        <v>641</v>
      </c>
      <c r="D122" s="104" t="s">
        <v>72</v>
      </c>
      <c r="E122" s="104" t="s">
        <v>72</v>
      </c>
      <c r="F122" s="104" t="s">
        <v>72</v>
      </c>
      <c r="G122" s="104"/>
      <c r="H122" s="104" t="s">
        <v>72</v>
      </c>
      <c r="I122" s="104" t="s">
        <v>72</v>
      </c>
      <c r="J122" s="104"/>
      <c r="K122" s="96" t="s">
        <v>73</v>
      </c>
      <c r="L122" s="96" t="s">
        <v>74</v>
      </c>
      <c r="M122" s="96" t="s">
        <v>75</v>
      </c>
      <c r="N122" s="96" t="s">
        <v>76</v>
      </c>
      <c r="O122" s="99">
        <f>VLOOKUP(Tabla15[[#This Row],[Matricula Antigua]],BAJA2022202320242025!$B$3:$CR$245,93,FALSE)</f>
        <v>45323</v>
      </c>
      <c r="P122" s="316">
        <v>45468</v>
      </c>
      <c r="Q122" s="317">
        <f>Tabla15[[#This Row],[F.Vig.Final]]-Tabla15[[#This Row],[f Vig Inicio]]</f>
        <v>145</v>
      </c>
      <c r="R122" s="318">
        <f>YEAR(Tabla15[[#This Row],[F.Vig.Final]])</f>
        <v>2024</v>
      </c>
      <c r="S122" s="96" t="s">
        <v>77</v>
      </c>
      <c r="T122" s="96" t="s">
        <v>78</v>
      </c>
      <c r="U122" s="96" t="s">
        <v>85</v>
      </c>
      <c r="V122" s="96" t="s">
        <v>642</v>
      </c>
      <c r="W122" s="96" t="s">
        <v>102</v>
      </c>
      <c r="X122" s="332" t="s">
        <v>1667</v>
      </c>
      <c r="Y122" s="96" t="s">
        <v>572</v>
      </c>
      <c r="Z122" s="98">
        <f>COUNTIF($X$3:X122, X122)</f>
        <v>19</v>
      </c>
      <c r="AA122" s="337" t="s">
        <v>1668</v>
      </c>
      <c r="AB122" s="337" t="s">
        <v>1668</v>
      </c>
      <c r="AC122" s="337" t="s">
        <v>1669</v>
      </c>
      <c r="AD122" s="341" t="s">
        <v>1670</v>
      </c>
      <c r="AE122" s="342" t="s">
        <v>1671</v>
      </c>
      <c r="AF122" s="337" t="s">
        <v>1672</v>
      </c>
      <c r="AG122" s="344" t="s">
        <v>1673</v>
      </c>
      <c r="AH122" s="337" t="s">
        <v>1649</v>
      </c>
      <c r="AI122" s="337" t="s">
        <v>643</v>
      </c>
      <c r="AJ122" s="98" t="s">
        <v>140</v>
      </c>
      <c r="AK122" s="98" t="s">
        <v>151</v>
      </c>
      <c r="AL122" s="98" t="s">
        <v>87</v>
      </c>
      <c r="AM122" s="101" t="s">
        <v>301</v>
      </c>
      <c r="AN122" s="348" t="s">
        <v>89</v>
      </c>
      <c r="AO122" s="349">
        <v>45625</v>
      </c>
      <c r="AP122" s="98">
        <f>Tabla15[[#This Row],[Renov. Flota]]-Tabla15[[#This Row],[Año]]</f>
        <v>0</v>
      </c>
      <c r="AQ122" s="100" t="s">
        <v>102</v>
      </c>
      <c r="AR122" s="100" t="str">
        <f>VLOOKUP(Tabla15[[#This Row],[Matricula nueva]],'ALTA 20242025'!$B$2:$P$242,15,FALSE)</f>
        <v>4500424838</v>
      </c>
      <c r="AS122" s="101" t="s">
        <v>103</v>
      </c>
      <c r="AT122" s="101"/>
      <c r="AU122" s="101" t="s">
        <v>72</v>
      </c>
      <c r="AV122" s="101" t="s">
        <v>109</v>
      </c>
      <c r="AW122" s="101" t="str">
        <f>VLOOKUP(Tabla15[[#This Row],[Matricula nueva]],Hoja2!$A$1:$B$224,2,FALSE)</f>
        <v>VR7CBZYAXRT153017</v>
      </c>
      <c r="AX122" s="209">
        <v>5.6</v>
      </c>
      <c r="AY122" s="208">
        <f t="shared" si="4"/>
        <v>10</v>
      </c>
      <c r="AZ122" s="313">
        <v>16.399999999999999</v>
      </c>
      <c r="BA122" s="314">
        <f>IF(Tabla15[[#This Row],[Columna2]]="M1",13073,IF(Tabla15[[#This Row],[Columna2]]="N1",15815,IF(Tabla15[[#This Row],[Columna2]]="L3e",2831,53508)))</f>
        <v>15815</v>
      </c>
      <c r="BB122" s="350">
        <f>(Tabla15[[#This Row],[CVA]]*Tabla15[[#This Row],[F]]-Tabla15[[#This Row],[CVN]])/100*Tabla15[[#This Row],[L]]</f>
        <v>6262.7400000000007</v>
      </c>
      <c r="BC122" s="74" t="s">
        <v>128</v>
      </c>
      <c r="BD122" s="294">
        <f>VLOOKUP(B122,Tabla467824[[ID CAE2]:[AE '[kWh']]],6,FALSE)</f>
        <v>5607.9989999999989</v>
      </c>
      <c r="BE12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3" spans="1:57" ht="52.5" thickBot="1" x14ac:dyDescent="0.3">
      <c r="A123" s="53" t="s">
        <v>646</v>
      </c>
      <c r="B123" s="53" t="s">
        <v>646</v>
      </c>
      <c r="C123" s="332" t="s">
        <v>647</v>
      </c>
      <c r="D123" s="104" t="s">
        <v>72</v>
      </c>
      <c r="E123" s="104" t="s">
        <v>72</v>
      </c>
      <c r="F123" s="104" t="s">
        <v>72</v>
      </c>
      <c r="G123" s="104"/>
      <c r="H123" s="104" t="s">
        <v>72</v>
      </c>
      <c r="I123" s="104" t="s">
        <v>72</v>
      </c>
      <c r="J123" s="104"/>
      <c r="K123" s="96" t="s">
        <v>73</v>
      </c>
      <c r="L123" s="96" t="s">
        <v>74</v>
      </c>
      <c r="M123" s="96" t="s">
        <v>75</v>
      </c>
      <c r="N123" s="96" t="s">
        <v>76</v>
      </c>
      <c r="O123" s="99">
        <f>VLOOKUP(Tabla15[[#This Row],[Matricula Antigua]],BAJA2022202320242025!$B$3:$CR$245,93,FALSE)</f>
        <v>45323</v>
      </c>
      <c r="P123" s="316">
        <v>45433</v>
      </c>
      <c r="Q123" s="317">
        <f>Tabla15[[#This Row],[F.Vig.Final]]-Tabla15[[#This Row],[f Vig Inicio]]</f>
        <v>110</v>
      </c>
      <c r="R123" s="318">
        <f>YEAR(Tabla15[[#This Row],[F.Vig.Final]])</f>
        <v>2024</v>
      </c>
      <c r="S123" s="96" t="s">
        <v>77</v>
      </c>
      <c r="T123" s="96" t="s">
        <v>78</v>
      </c>
      <c r="U123" s="96" t="s">
        <v>85</v>
      </c>
      <c r="V123" s="96" t="s">
        <v>642</v>
      </c>
      <c r="W123" s="96" t="s">
        <v>102</v>
      </c>
      <c r="X123" s="332" t="s">
        <v>1667</v>
      </c>
      <c r="Y123" s="96" t="s">
        <v>572</v>
      </c>
      <c r="Z123" s="98">
        <f>COUNTIF($X$3:X123, X123)</f>
        <v>20</v>
      </c>
      <c r="AA123" s="337" t="s">
        <v>1668</v>
      </c>
      <c r="AB123" s="337" t="s">
        <v>1668</v>
      </c>
      <c r="AC123" s="337" t="s">
        <v>1669</v>
      </c>
      <c r="AD123" s="341" t="s">
        <v>1670</v>
      </c>
      <c r="AE123" s="342" t="s">
        <v>1671</v>
      </c>
      <c r="AF123" s="337" t="s">
        <v>1672</v>
      </c>
      <c r="AG123" s="344" t="s">
        <v>1673</v>
      </c>
      <c r="AH123" s="337" t="s">
        <v>1649</v>
      </c>
      <c r="AI123" s="337" t="s">
        <v>648</v>
      </c>
      <c r="AJ123" s="98" t="s">
        <v>380</v>
      </c>
      <c r="AK123" s="98" t="s">
        <v>381</v>
      </c>
      <c r="AL123" s="98" t="s">
        <v>87</v>
      </c>
      <c r="AM123" s="101" t="s">
        <v>649</v>
      </c>
      <c r="AN123" s="348" t="s">
        <v>89</v>
      </c>
      <c r="AO123" s="349">
        <v>45616</v>
      </c>
      <c r="AP123" s="98">
        <f>Tabla15[[#This Row],[Renov. Flota]]-Tabla15[[#This Row],[Año]]</f>
        <v>0</v>
      </c>
      <c r="AQ123" s="100" t="s">
        <v>102</v>
      </c>
      <c r="AR123" s="100" t="str">
        <f>VLOOKUP(Tabla15[[#This Row],[Matricula nueva]],'ALTA 20242025'!$B$2:$P$242,15,FALSE)</f>
        <v>4500423385</v>
      </c>
      <c r="AS123" s="101" t="s">
        <v>103</v>
      </c>
      <c r="AT123" s="101"/>
      <c r="AU123" s="101" t="s">
        <v>72</v>
      </c>
      <c r="AV123" s="101" t="s">
        <v>109</v>
      </c>
      <c r="AW123" s="101" t="s">
        <v>651</v>
      </c>
      <c r="AX123" s="209">
        <v>5.6</v>
      </c>
      <c r="AY123" s="208">
        <f t="shared" si="4"/>
        <v>10</v>
      </c>
      <c r="AZ123" s="313">
        <v>20</v>
      </c>
      <c r="BA123" s="314">
        <f>IF(Tabla15[[#This Row],[Columna2]]="M1",13073,IF(Tabla15[[#This Row],[Columna2]]="N1",15815,IF(Tabla15[[#This Row],[Columna2]]="L3e",2831,53508)))</f>
        <v>15815</v>
      </c>
      <c r="BB123" s="350">
        <f>(Tabla15[[#This Row],[CVA]]*Tabla15[[#This Row],[F]]-Tabla15[[#This Row],[CVN]])/100*Tabla15[[#This Row],[L]]</f>
        <v>5693.4</v>
      </c>
      <c r="BC123" s="79" t="s">
        <v>128</v>
      </c>
      <c r="BD123" s="294">
        <f>VLOOKUP(B123,Tabla467824[[ID CAE2]:[AE '[kWh']]],6,FALSE)</f>
        <v>5607.9989999999989</v>
      </c>
      <c r="BE12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4" spans="1:57" ht="15.75" hidden="1" thickBot="1" x14ac:dyDescent="0.3">
      <c r="A124" s="53" t="s">
        <v>1271</v>
      </c>
      <c r="B124" s="53" t="e">
        <v>#N/A</v>
      </c>
      <c r="C124" s="96" t="s">
        <v>1272</v>
      </c>
      <c r="D124" s="96"/>
      <c r="E124" s="96"/>
      <c r="F124" s="96"/>
      <c r="G124" s="96"/>
      <c r="H124" s="96"/>
      <c r="I124" s="96"/>
      <c r="J124" s="96"/>
      <c r="K124" s="96" t="s">
        <v>158</v>
      </c>
      <c r="L124" s="96" t="s">
        <v>159</v>
      </c>
      <c r="M124" s="96" t="s">
        <v>158</v>
      </c>
      <c r="N124" s="96" t="s">
        <v>171</v>
      </c>
      <c r="O124" s="101">
        <f>VLOOKUP(Tabla15[[#This Row],[Matricula Antigua]],BAJA2022202320242025!$B$3:$CR$245,93,FALSE)</f>
        <v>42415</v>
      </c>
      <c r="P124" s="99">
        <v>45579</v>
      </c>
      <c r="Q124" s="98">
        <f>Tabla15[[#This Row],[F.Vig.Final]]-Tabla15[[#This Row],[f Vig Inicio]]</f>
        <v>3164</v>
      </c>
      <c r="R124" s="99">
        <f>YEAR(Tabla15[[#This Row],[F.Vig.Final]])</f>
        <v>2024</v>
      </c>
      <c r="S124" s="96" t="s">
        <v>172</v>
      </c>
      <c r="T124" s="96" t="s">
        <v>78</v>
      </c>
      <c r="U124" s="96" t="s">
        <v>1273</v>
      </c>
      <c r="V124" s="96" t="s">
        <v>1274</v>
      </c>
      <c r="W124" s="96" t="s">
        <v>584</v>
      </c>
      <c r="X124" s="96" t="s">
        <v>585</v>
      </c>
      <c r="Y124" s="96" t="s">
        <v>1275</v>
      </c>
      <c r="Z124" s="98">
        <f>COUNTIF($X$3:X124, X124)</f>
        <v>5</v>
      </c>
      <c r="AA124" s="98"/>
      <c r="AB124" s="98"/>
      <c r="AC124" s="98"/>
      <c r="AD124" s="98"/>
      <c r="AE124" s="321"/>
      <c r="AF124" s="321"/>
      <c r="AG124" s="320"/>
      <c r="AH124" s="98"/>
      <c r="AI124" s="98" t="e">
        <v>#N/A</v>
      </c>
      <c r="AJ124" s="98" t="e">
        <v>#N/A</v>
      </c>
      <c r="AK124" s="98" t="e">
        <v>#N/A</v>
      </c>
      <c r="AL124" s="98" t="e">
        <v>#N/A</v>
      </c>
      <c r="AM124" s="98" t="e">
        <v>#N/A</v>
      </c>
      <c r="AN124" s="99" t="e">
        <v>#N/A</v>
      </c>
      <c r="AO124" s="99" t="e">
        <v>#N/A</v>
      </c>
      <c r="AP124" s="99" t="e">
        <f>Tabla15[[#This Row],[Renov. Flota]]-Tabla15[[#This Row],[Año]]</f>
        <v>#N/A</v>
      </c>
      <c r="AQ124" s="100" t="e">
        <v>#N/A</v>
      </c>
      <c r="AR124" s="100" t="e">
        <f>VLOOKUP(Tabla15[[#This Row],[Matricula nueva]],'ALTA 20242025'!$B$2:$P$242,15,FALSE)</f>
        <v>#N/A</v>
      </c>
      <c r="AS124" s="101" t="e">
        <v>#N/A</v>
      </c>
      <c r="AT124" s="101"/>
      <c r="AU124" s="101"/>
      <c r="AV124" s="101"/>
      <c r="AW124" s="101" t="e">
        <f>VLOOKUP(Tabla15[[#This Row],[Matricula nueva]],Hoja2!$A$1:$B$224,2,FALSE)</f>
        <v>#N/A</v>
      </c>
      <c r="AX124" s="101" t="str">
        <f>IF(Tabla15[[#This Row],[Columna2]]="M1",5.1,"")</f>
        <v/>
      </c>
      <c r="AY124" s="101"/>
      <c r="AZ124" s="101"/>
      <c r="BA124" s="311">
        <f>IF(Tabla15[[#This Row],[Columna2]]="M1",13073,IF(Tabla15[[#This Row],[Columna2]]="N1",15815,IF(Tabla15[[#This Row],[Columna2]]="L3e",2831,53508)))</f>
        <v>53508</v>
      </c>
      <c r="BB124" s="311" t="e">
        <f>(Tabla15[[#This Row],[CVA]]*Tabla15[[#This Row],[F]]-Tabla15[[#This Row],[CVN]])/100*Tabla15[[#This Row],[L]]</f>
        <v>#VALUE!</v>
      </c>
      <c r="BC124" s="1"/>
      <c r="BD124" s="1" t="e">
        <f>VLOOKUP(B124,Tabla467824[[ID CAE2]:[AE '[kWh']]],6,FALSE)</f>
        <v>#N/A</v>
      </c>
      <c r="BE12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125" spans="1:57" ht="51.75" x14ac:dyDescent="0.25">
      <c r="A125" s="53" t="s">
        <v>652</v>
      </c>
      <c r="B125" s="53" t="s">
        <v>652</v>
      </c>
      <c r="C125" s="332" t="s">
        <v>653</v>
      </c>
      <c r="D125" s="104" t="s">
        <v>72</v>
      </c>
      <c r="E125" s="104" t="s">
        <v>72</v>
      </c>
      <c r="F125" s="104" t="s">
        <v>72</v>
      </c>
      <c r="G125" s="104"/>
      <c r="H125" s="104" t="s">
        <v>72</v>
      </c>
      <c r="I125" s="104" t="s">
        <v>72</v>
      </c>
      <c r="J125" s="104"/>
      <c r="K125" s="96" t="s">
        <v>73</v>
      </c>
      <c r="L125" s="96" t="s">
        <v>74</v>
      </c>
      <c r="M125" s="96" t="s">
        <v>75</v>
      </c>
      <c r="N125" s="96" t="s">
        <v>76</v>
      </c>
      <c r="O125" s="99">
        <f>VLOOKUP(Tabla15[[#This Row],[Matricula Antigua]],BAJA2022202320242025!$B$3:$CR$245,93,FALSE)</f>
        <v>45323</v>
      </c>
      <c r="P125" s="316">
        <v>45504</v>
      </c>
      <c r="Q125" s="317">
        <f>Tabla15[[#This Row],[F.Vig.Final]]-Tabla15[[#This Row],[f Vig Inicio]]</f>
        <v>181</v>
      </c>
      <c r="R125" s="318">
        <f>YEAR(Tabla15[[#This Row],[F.Vig.Final]])</f>
        <v>2024</v>
      </c>
      <c r="S125" s="96" t="s">
        <v>77</v>
      </c>
      <c r="T125" s="96" t="s">
        <v>78</v>
      </c>
      <c r="U125" s="96" t="s">
        <v>85</v>
      </c>
      <c r="V125" s="96" t="s">
        <v>642</v>
      </c>
      <c r="W125" s="96" t="s">
        <v>102</v>
      </c>
      <c r="X125" s="332" t="s">
        <v>1667</v>
      </c>
      <c r="Y125" s="96" t="s">
        <v>654</v>
      </c>
      <c r="Z125" s="98">
        <f>COUNTIF($X$3:X125, X125)</f>
        <v>21</v>
      </c>
      <c r="AA125" s="337" t="s">
        <v>1668</v>
      </c>
      <c r="AB125" s="337" t="s">
        <v>1668</v>
      </c>
      <c r="AC125" s="337" t="s">
        <v>1669</v>
      </c>
      <c r="AD125" s="341" t="s">
        <v>1670</v>
      </c>
      <c r="AE125" s="342" t="s">
        <v>1671</v>
      </c>
      <c r="AF125" s="337" t="s">
        <v>1672</v>
      </c>
      <c r="AG125" s="344" t="s">
        <v>1673</v>
      </c>
      <c r="AH125" s="337" t="s">
        <v>1649</v>
      </c>
      <c r="AI125" s="337" t="s">
        <v>655</v>
      </c>
      <c r="AJ125" s="98" t="s">
        <v>380</v>
      </c>
      <c r="AK125" s="98" t="s">
        <v>381</v>
      </c>
      <c r="AL125" s="98" t="s">
        <v>87</v>
      </c>
      <c r="AM125" s="101" t="s">
        <v>649</v>
      </c>
      <c r="AN125" s="348" t="s">
        <v>89</v>
      </c>
      <c r="AO125" s="349">
        <v>45616</v>
      </c>
      <c r="AP125" s="98">
        <f>Tabla15[[#This Row],[Renov. Flota]]-Tabla15[[#This Row],[Año]]</f>
        <v>0</v>
      </c>
      <c r="AQ125" s="100" t="s">
        <v>102</v>
      </c>
      <c r="AR125" s="100" t="str">
        <f>VLOOKUP(Tabla15[[#This Row],[Matricula nueva]],'ALTA 20242025'!$B$2:$P$242,15,FALSE)</f>
        <v>4500423384</v>
      </c>
      <c r="AS125" s="101" t="s">
        <v>103</v>
      </c>
      <c r="AT125" s="101"/>
      <c r="AU125" s="101" t="s">
        <v>72</v>
      </c>
      <c r="AV125" s="101" t="s">
        <v>109</v>
      </c>
      <c r="AW125" s="101" t="s">
        <v>657</v>
      </c>
      <c r="AX125" s="209">
        <v>5.6</v>
      </c>
      <c r="AY125" s="208">
        <f>IF(T125="DIESEL",10,IF(T125="GLP",7.16,9.19))</f>
        <v>10</v>
      </c>
      <c r="AZ125" s="313">
        <v>20</v>
      </c>
      <c r="BA125" s="314">
        <f>IF(Tabla15[[#This Row],[Columna2]]="M1",13073,IF(Tabla15[[#This Row],[Columna2]]="N1",15815,IF(Tabla15[[#This Row],[Columna2]]="L3e",2831,53508)))</f>
        <v>15815</v>
      </c>
      <c r="BB125" s="350">
        <f>(Tabla15[[#This Row],[CVA]]*Tabla15[[#This Row],[F]]-Tabla15[[#This Row],[CVN]])/100*Tabla15[[#This Row],[L]]</f>
        <v>5693.4</v>
      </c>
      <c r="BC125" s="69" t="s">
        <v>128</v>
      </c>
      <c r="BD125" s="294">
        <f>VLOOKUP(B125,Tabla467824[[ID CAE2]:[AE '[kWh']]],6,FALSE)</f>
        <v>5607.9989999999989</v>
      </c>
      <c r="BE12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6" spans="1:57" ht="51.75" x14ac:dyDescent="0.25">
      <c r="A126" s="53" t="s">
        <v>658</v>
      </c>
      <c r="B126" s="53" t="s">
        <v>658</v>
      </c>
      <c r="C126" s="332" t="s">
        <v>659</v>
      </c>
      <c r="D126" s="104" t="s">
        <v>72</v>
      </c>
      <c r="E126" s="104"/>
      <c r="F126" s="104" t="s">
        <v>72</v>
      </c>
      <c r="G126" s="104"/>
      <c r="H126" s="104" t="s">
        <v>72</v>
      </c>
      <c r="I126" s="104" t="s">
        <v>72</v>
      </c>
      <c r="J126" s="104"/>
      <c r="K126" s="96" t="s">
        <v>73</v>
      </c>
      <c r="L126" s="96" t="s">
        <v>74</v>
      </c>
      <c r="M126" s="96" t="s">
        <v>75</v>
      </c>
      <c r="N126" s="96" t="s">
        <v>76</v>
      </c>
      <c r="O126" s="99">
        <f>VLOOKUP(Tabla15[[#This Row],[Matricula Antigua]],BAJA2022202320242025!$B$3:$CR$245,93,FALSE)</f>
        <v>45324</v>
      </c>
      <c r="P126" s="316">
        <v>45372</v>
      </c>
      <c r="Q126" s="317">
        <f>Tabla15[[#This Row],[F.Vig.Final]]-Tabla15[[#This Row],[f Vig Inicio]]</f>
        <v>48</v>
      </c>
      <c r="R126" s="318">
        <f>YEAR(Tabla15[[#This Row],[F.Vig.Final]])</f>
        <v>2024</v>
      </c>
      <c r="S126" s="96" t="s">
        <v>77</v>
      </c>
      <c r="T126" s="96" t="s">
        <v>78</v>
      </c>
      <c r="U126" s="96" t="s">
        <v>85</v>
      </c>
      <c r="V126" s="96" t="s">
        <v>642</v>
      </c>
      <c r="W126" s="96" t="s">
        <v>102</v>
      </c>
      <c r="X126" s="332" t="s">
        <v>1667</v>
      </c>
      <c r="Y126" s="96" t="s">
        <v>649</v>
      </c>
      <c r="Z126" s="98">
        <f>COUNTIF($X$3:X126, X126)</f>
        <v>22</v>
      </c>
      <c r="AA126" s="337" t="s">
        <v>1668</v>
      </c>
      <c r="AB126" s="337" t="s">
        <v>1668</v>
      </c>
      <c r="AC126" s="337" t="s">
        <v>1669</v>
      </c>
      <c r="AD126" s="341" t="s">
        <v>1670</v>
      </c>
      <c r="AE126" s="342" t="s">
        <v>1671</v>
      </c>
      <c r="AF126" s="337" t="s">
        <v>1672</v>
      </c>
      <c r="AG126" s="344" t="s">
        <v>1673</v>
      </c>
      <c r="AH126" s="337" t="s">
        <v>1649</v>
      </c>
      <c r="AI126" s="337" t="s">
        <v>660</v>
      </c>
      <c r="AJ126" s="98" t="s">
        <v>85</v>
      </c>
      <c r="AK126" s="98" t="s">
        <v>114</v>
      </c>
      <c r="AL126" s="98" t="s">
        <v>87</v>
      </c>
      <c r="AM126" s="101" t="s">
        <v>115</v>
      </c>
      <c r="AN126" s="348" t="s">
        <v>108</v>
      </c>
      <c r="AO126" s="349">
        <v>44945</v>
      </c>
      <c r="AP126" s="98">
        <f>Tabla15[[#This Row],[Renov. Flota]]-Tabla15[[#This Row],[Año]]</f>
        <v>-1</v>
      </c>
      <c r="AQ126" s="100" t="s">
        <v>102</v>
      </c>
      <c r="AR126" s="100">
        <v>4500351523</v>
      </c>
      <c r="AS126" s="101" t="s">
        <v>103</v>
      </c>
      <c r="AT126" s="101"/>
      <c r="AU126" s="101" t="s">
        <v>72</v>
      </c>
      <c r="AV126" s="101" t="s">
        <v>109</v>
      </c>
      <c r="AW126" s="101" t="s">
        <v>661</v>
      </c>
      <c r="AX126" s="209">
        <v>5.6</v>
      </c>
      <c r="AY126" s="208">
        <f>IF(T126="DIESEL",10,IF(T126="GLP",7.16,9.19))</f>
        <v>10</v>
      </c>
      <c r="AZ126" s="313">
        <v>17.3</v>
      </c>
      <c r="BA126" s="314">
        <f>IF(Tabla15[[#This Row],[Columna2]]="M1",13073,IF(Tabla15[[#This Row],[Columna2]]="N1",15815,IF(Tabla15[[#This Row],[Columna2]]="L3e",2831,53508)))</f>
        <v>15815</v>
      </c>
      <c r="BB126" s="350">
        <f>(Tabla15[[#This Row],[CVA]]*Tabla15[[#This Row],[F]]-Tabla15[[#This Row],[CVN]])/100*Tabla15[[#This Row],[L]]</f>
        <v>6120.4049999999997</v>
      </c>
      <c r="BC126" s="74" t="s">
        <v>128</v>
      </c>
      <c r="BD126" s="294">
        <f>VLOOKUP(B126,Tabla467824[[ID CAE2]:[AE '[kWh']]],6,FALSE)</f>
        <v>5607.9989999999989</v>
      </c>
      <c r="BE12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7" spans="1:57" ht="51.75" x14ac:dyDescent="0.25">
      <c r="A127" s="53" t="s">
        <v>662</v>
      </c>
      <c r="B127" s="53" t="s">
        <v>662</v>
      </c>
      <c r="C127" s="332" t="s">
        <v>663</v>
      </c>
      <c r="D127" s="104" t="s">
        <v>72</v>
      </c>
      <c r="E127" s="104"/>
      <c r="F127" s="104" t="s">
        <v>72</v>
      </c>
      <c r="G127" s="104"/>
      <c r="H127" s="104" t="s">
        <v>72</v>
      </c>
      <c r="I127" s="104" t="s">
        <v>72</v>
      </c>
      <c r="J127" s="104"/>
      <c r="K127" s="96" t="s">
        <v>73</v>
      </c>
      <c r="L127" s="96" t="s">
        <v>74</v>
      </c>
      <c r="M127" s="96" t="s">
        <v>75</v>
      </c>
      <c r="N127" s="96" t="s">
        <v>76</v>
      </c>
      <c r="O127" s="99">
        <f>VLOOKUP(Tabla15[[#This Row],[Matricula Antigua]],BAJA2022202320242025!$B$3:$CR$245,93,FALSE)</f>
        <v>45324</v>
      </c>
      <c r="P127" s="316">
        <v>45372</v>
      </c>
      <c r="Q127" s="317">
        <f>Tabla15[[#This Row],[F.Vig.Final]]-Tabla15[[#This Row],[f Vig Inicio]]</f>
        <v>48</v>
      </c>
      <c r="R127" s="318">
        <f>YEAR(Tabla15[[#This Row],[F.Vig.Final]])</f>
        <v>2024</v>
      </c>
      <c r="S127" s="96" t="s">
        <v>77</v>
      </c>
      <c r="T127" s="96" t="s">
        <v>78</v>
      </c>
      <c r="U127" s="96" t="s">
        <v>85</v>
      </c>
      <c r="V127" s="96" t="s">
        <v>642</v>
      </c>
      <c r="W127" s="96" t="s">
        <v>102</v>
      </c>
      <c r="X127" s="332" t="s">
        <v>1667</v>
      </c>
      <c r="Y127" s="96" t="s">
        <v>649</v>
      </c>
      <c r="Z127" s="98">
        <f>COUNTIF($X$3:X127, X127)</f>
        <v>23</v>
      </c>
      <c r="AA127" s="337" t="s">
        <v>1668</v>
      </c>
      <c r="AB127" s="337" t="s">
        <v>1668</v>
      </c>
      <c r="AC127" s="337" t="s">
        <v>1669</v>
      </c>
      <c r="AD127" s="341" t="s">
        <v>1670</v>
      </c>
      <c r="AE127" s="342" t="s">
        <v>1671</v>
      </c>
      <c r="AF127" s="337" t="s">
        <v>1672</v>
      </c>
      <c r="AG127" s="344" t="s">
        <v>1673</v>
      </c>
      <c r="AH127" s="337" t="s">
        <v>1649</v>
      </c>
      <c r="AI127" s="337" t="s">
        <v>664</v>
      </c>
      <c r="AJ127" s="98" t="s">
        <v>85</v>
      </c>
      <c r="AK127" s="98" t="s">
        <v>114</v>
      </c>
      <c r="AL127" s="98" t="s">
        <v>87</v>
      </c>
      <c r="AM127" s="101" t="s">
        <v>115</v>
      </c>
      <c r="AN127" s="348" t="s">
        <v>108</v>
      </c>
      <c r="AO127" s="349">
        <v>44945</v>
      </c>
      <c r="AP127" s="98">
        <f>Tabla15[[#This Row],[Renov. Flota]]-Tabla15[[#This Row],[Año]]</f>
        <v>-1</v>
      </c>
      <c r="AQ127" s="100" t="s">
        <v>102</v>
      </c>
      <c r="AR127" s="100">
        <v>4500351522</v>
      </c>
      <c r="AS127" s="101" t="s">
        <v>103</v>
      </c>
      <c r="AT127" s="101"/>
      <c r="AU127" s="101" t="s">
        <v>72</v>
      </c>
      <c r="AV127" s="101" t="s">
        <v>109</v>
      </c>
      <c r="AW127" s="101" t="s">
        <v>665</v>
      </c>
      <c r="AX127" s="209">
        <v>5.6</v>
      </c>
      <c r="AY127" s="208">
        <f>IF(T127="DIESEL",10,IF(T127="GLP",7.16,9.19))</f>
        <v>10</v>
      </c>
      <c r="AZ127" s="313">
        <v>17.3</v>
      </c>
      <c r="BA127" s="314">
        <f>IF(Tabla15[[#This Row],[Columna2]]="M1",13073,IF(Tabla15[[#This Row],[Columna2]]="N1",15815,IF(Tabla15[[#This Row],[Columna2]]="L3e",2831,53508)))</f>
        <v>15815</v>
      </c>
      <c r="BB127" s="350">
        <f>(Tabla15[[#This Row],[CVA]]*Tabla15[[#This Row],[F]]-Tabla15[[#This Row],[CVN]])/100*Tabla15[[#This Row],[L]]</f>
        <v>6120.4049999999997</v>
      </c>
      <c r="BC127" s="74" t="s">
        <v>128</v>
      </c>
      <c r="BD127" s="294">
        <f>VLOOKUP(B127,Tabla467824[[ID CAE2]:[AE '[kWh']]],6,FALSE)</f>
        <v>5607.9989999999989</v>
      </c>
      <c r="BE12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8" spans="1:57" ht="51.75" x14ac:dyDescent="0.25">
      <c r="A128" s="53" t="s">
        <v>666</v>
      </c>
      <c r="B128" s="53" t="s">
        <v>666</v>
      </c>
      <c r="C128" s="332" t="s">
        <v>667</v>
      </c>
      <c r="D128" s="104" t="s">
        <v>72</v>
      </c>
      <c r="E128" s="104" t="s">
        <v>72</v>
      </c>
      <c r="F128" s="104" t="s">
        <v>72</v>
      </c>
      <c r="G128" s="104"/>
      <c r="H128" s="104" t="s">
        <v>72</v>
      </c>
      <c r="I128" s="104" t="s">
        <v>72</v>
      </c>
      <c r="J128" s="104"/>
      <c r="K128" s="96" t="s">
        <v>73</v>
      </c>
      <c r="L128" s="96" t="s">
        <v>74</v>
      </c>
      <c r="M128" s="96" t="s">
        <v>75</v>
      </c>
      <c r="N128" s="96" t="s">
        <v>76</v>
      </c>
      <c r="O128" s="99">
        <f>VLOOKUP(Tabla15[[#This Row],[Matricula Antigua]],BAJA2022202320242025!$B$3:$CR$245,93,FALSE)</f>
        <v>45323</v>
      </c>
      <c r="P128" s="316">
        <v>45425</v>
      </c>
      <c r="Q128" s="317">
        <f>Tabla15[[#This Row],[F.Vig.Final]]-Tabla15[[#This Row],[f Vig Inicio]]</f>
        <v>102</v>
      </c>
      <c r="R128" s="318">
        <f>YEAR(Tabla15[[#This Row],[F.Vig.Final]])</f>
        <v>2024</v>
      </c>
      <c r="S128" s="96" t="s">
        <v>77</v>
      </c>
      <c r="T128" s="96" t="s">
        <v>78</v>
      </c>
      <c r="U128" s="96" t="s">
        <v>85</v>
      </c>
      <c r="V128" s="96" t="s">
        <v>642</v>
      </c>
      <c r="W128" s="96" t="s">
        <v>102</v>
      </c>
      <c r="X128" s="332" t="s">
        <v>1667</v>
      </c>
      <c r="Y128" s="96" t="s">
        <v>572</v>
      </c>
      <c r="Z128" s="98">
        <f>COUNTIF($X$3:X128, X128)</f>
        <v>24</v>
      </c>
      <c r="AA128" s="337" t="s">
        <v>1668</v>
      </c>
      <c r="AB128" s="337" t="s">
        <v>1668</v>
      </c>
      <c r="AC128" s="337" t="s">
        <v>1669</v>
      </c>
      <c r="AD128" s="341" t="s">
        <v>1670</v>
      </c>
      <c r="AE128" s="342" t="s">
        <v>1671</v>
      </c>
      <c r="AF128" s="337" t="s">
        <v>1672</v>
      </c>
      <c r="AG128" s="344" t="s">
        <v>1673</v>
      </c>
      <c r="AH128" s="337" t="s">
        <v>1649</v>
      </c>
      <c r="AI128" s="337" t="s">
        <v>668</v>
      </c>
      <c r="AJ128" s="98" t="s">
        <v>85</v>
      </c>
      <c r="AK128" s="98" t="s">
        <v>86</v>
      </c>
      <c r="AL128" s="98" t="s">
        <v>87</v>
      </c>
      <c r="AM128" s="101" t="s">
        <v>669</v>
      </c>
      <c r="AN128" s="348" t="s">
        <v>89</v>
      </c>
      <c r="AO128" s="349">
        <v>45652</v>
      </c>
      <c r="AP128" s="98">
        <f>Tabla15[[#This Row],[Renov. Flota]]-Tabla15[[#This Row],[Año]]</f>
        <v>0</v>
      </c>
      <c r="AQ128" s="100" t="s">
        <v>102</v>
      </c>
      <c r="AR128" s="100" t="str">
        <f>VLOOKUP(Tabla15[[#This Row],[Matricula nueva]],'ALTA 20242025'!$B$2:$P$242,15,FALSE)</f>
        <v>4500426777</v>
      </c>
      <c r="AS128" s="101" t="s">
        <v>103</v>
      </c>
      <c r="AT128" s="101"/>
      <c r="AU128" s="101" t="s">
        <v>72</v>
      </c>
      <c r="AV128" s="101" t="s">
        <v>109</v>
      </c>
      <c r="AW128" s="101" t="str">
        <f>VLOOKUP(Tabla15[[#This Row],[Matricula nueva]],Hoja2!$A$1:$B$224,2,FALSE)</f>
        <v>VF1RFK00073824878</v>
      </c>
      <c r="AX128" s="209">
        <v>5.6</v>
      </c>
      <c r="AY128" s="208">
        <f>IF(T128="DIESEL",10,IF(T128="GLP",7.16,9.19))</f>
        <v>10</v>
      </c>
      <c r="AZ128" s="313">
        <v>17.3</v>
      </c>
      <c r="BA128" s="314">
        <f>IF(Tabla15[[#This Row],[Columna2]]="M1",13073,IF(Tabla15[[#This Row],[Columna2]]="N1",15815,IF(Tabla15[[#This Row],[Columna2]]="L3e",2831,53508)))</f>
        <v>15815</v>
      </c>
      <c r="BB128" s="350">
        <f>(Tabla15[[#This Row],[CVA]]*Tabla15[[#This Row],[F]]-Tabla15[[#This Row],[CVN]])/100*Tabla15[[#This Row],[L]]</f>
        <v>6120.4049999999997</v>
      </c>
      <c r="BC128" s="74" t="s">
        <v>128</v>
      </c>
      <c r="BD128" s="294">
        <f>VLOOKUP(B128,Tabla467824[[ID CAE2]:[AE '[kWh']]],6,FALSE)</f>
        <v>5607.9989999999989</v>
      </c>
      <c r="BE12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29" spans="1:57" ht="52.5" thickBot="1" x14ac:dyDescent="0.3">
      <c r="A129" s="53" t="s">
        <v>672</v>
      </c>
      <c r="B129" s="53" t="s">
        <v>672</v>
      </c>
      <c r="C129" s="332" t="s">
        <v>673</v>
      </c>
      <c r="D129" s="104" t="s">
        <v>72</v>
      </c>
      <c r="E129" s="104"/>
      <c r="F129" s="104" t="s">
        <v>72</v>
      </c>
      <c r="G129" s="104"/>
      <c r="H129" s="104" t="s">
        <v>249</v>
      </c>
      <c r="I129" s="104" t="s">
        <v>249</v>
      </c>
      <c r="J129" s="104"/>
      <c r="K129" s="96" t="s">
        <v>73</v>
      </c>
      <c r="L129" s="96" t="s">
        <v>200</v>
      </c>
      <c r="M129" s="96" t="s">
        <v>201</v>
      </c>
      <c r="N129" s="96" t="s">
        <v>76</v>
      </c>
      <c r="O129" s="101">
        <f>VLOOKUP(Tabla15[[#This Row],[Matricula Antigua]],BAJA2022202320242025!$B$3:$CR$245,93,FALSE)</f>
        <v>43182</v>
      </c>
      <c r="P129" s="316">
        <v>45008</v>
      </c>
      <c r="Q129" s="317">
        <f>Tabla15[[#This Row],[F.Vig.Final]]-Tabla15[[#This Row],[f Vig Inicio]]</f>
        <v>1826</v>
      </c>
      <c r="R129" s="318">
        <f>YEAR(Tabla15[[#This Row],[F.Vig.Final]])</f>
        <v>2023</v>
      </c>
      <c r="S129" s="96" t="s">
        <v>77</v>
      </c>
      <c r="T129" s="96" t="s">
        <v>674</v>
      </c>
      <c r="U129" s="96" t="s">
        <v>359</v>
      </c>
      <c r="V129" s="96" t="s">
        <v>675</v>
      </c>
      <c r="W129" s="96" t="s">
        <v>204</v>
      </c>
      <c r="X129" s="332" t="s">
        <v>205</v>
      </c>
      <c r="Y129" s="96" t="s">
        <v>232</v>
      </c>
      <c r="Z129" s="98">
        <f>COUNTIF($X$3:X129, X129)</f>
        <v>7</v>
      </c>
      <c r="AA129" s="337" t="s">
        <v>1661</v>
      </c>
      <c r="AB129" s="337" t="s">
        <v>1661</v>
      </c>
      <c r="AC129" s="337" t="s">
        <v>1662</v>
      </c>
      <c r="AD129" s="337" t="s">
        <v>1679</v>
      </c>
      <c r="AE129" s="351" t="s">
        <v>1664</v>
      </c>
      <c r="AF129" s="337" t="s">
        <v>1680</v>
      </c>
      <c r="AG129" s="337" t="s">
        <v>1681</v>
      </c>
      <c r="AH129" s="337" t="s">
        <v>1649</v>
      </c>
      <c r="AI129" s="337" t="s">
        <v>676</v>
      </c>
      <c r="AJ129" s="98" t="s">
        <v>140</v>
      </c>
      <c r="AK129" s="98" t="s">
        <v>151</v>
      </c>
      <c r="AL129" s="98" t="s">
        <v>87</v>
      </c>
      <c r="AM129" s="101" t="s">
        <v>230</v>
      </c>
      <c r="AN129" s="348" t="s">
        <v>89</v>
      </c>
      <c r="AO129" s="349">
        <v>45637</v>
      </c>
      <c r="AP129" s="98">
        <f>Tabla15[[#This Row],[Renov. Flota]]-Tabla15[[#This Row],[Año]]</f>
        <v>1</v>
      </c>
      <c r="AQ129" s="100" t="s">
        <v>204</v>
      </c>
      <c r="AR129" s="100" t="str">
        <f>VLOOKUP(Tabla15[[#This Row],[Matricula nueva]],'ALTA 20242025'!$B$2:$P$242,15,FALSE)</f>
        <v>4500424867</v>
      </c>
      <c r="AS129" s="101" t="s">
        <v>205</v>
      </c>
      <c r="AT129" s="101"/>
      <c r="AU129" s="101" t="s">
        <v>72</v>
      </c>
      <c r="AV129" s="101" t="s">
        <v>91</v>
      </c>
      <c r="AW129" s="101" t="str">
        <f>VLOOKUP(Tabla15[[#This Row],[Matricula nueva]],Hoja2!$A$1:$B$224,2,FALSE)</f>
        <v>VR7CBZYA6RT153032</v>
      </c>
      <c r="AX129" s="209">
        <f>IF(Tabla15[[#This Row],[Columna2]]="M1",5.1,"")</f>
        <v>5.0999999999999996</v>
      </c>
      <c r="AY129" s="208">
        <f>IF(T129="DIESEL",10,IF(T129="GLP",7.16,9.19))</f>
        <v>7.16</v>
      </c>
      <c r="AZ129" s="313">
        <v>16.399999999999999</v>
      </c>
      <c r="BA129" s="314">
        <f>IF(Tabla15[[#This Row],[Columna2]]="M1",13073,IF(Tabla15[[#This Row],[Columna2]]="N1",15815,IF(Tabla15[[#This Row],[Columna2]]="L3e",2831,53508)))</f>
        <v>13073</v>
      </c>
      <c r="BB129" s="350">
        <f>(Tabla15[[#This Row],[CVA]]*Tabla15[[#This Row],[F]]-Tabla15[[#This Row],[CVN]])/100*Tabla15[[#This Row],[L]]</f>
        <v>2629.7646800000002</v>
      </c>
      <c r="BC129" s="79" t="s">
        <v>70</v>
      </c>
      <c r="BD129" s="294">
        <f>VLOOKUP(B129,Tabla467824[[ID CAE2]:[AE '[kWh']]],6,FALSE)</f>
        <v>3694.6912599999996</v>
      </c>
      <c r="BE12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0" spans="1:57" ht="15.75" hidden="1" thickBot="1" x14ac:dyDescent="0.3">
      <c r="A130" s="53" t="s">
        <v>1276</v>
      </c>
      <c r="B130" s="53" t="e">
        <v>#N/A</v>
      </c>
      <c r="C130" s="96" t="s">
        <v>1277</v>
      </c>
      <c r="D130" s="96"/>
      <c r="E130" s="96"/>
      <c r="F130" s="96"/>
      <c r="G130" s="96"/>
      <c r="H130" s="96"/>
      <c r="I130" s="96"/>
      <c r="J130" s="96"/>
      <c r="K130" s="96" t="s">
        <v>73</v>
      </c>
      <c r="L130" s="96" t="s">
        <v>200</v>
      </c>
      <c r="M130" s="96" t="s">
        <v>201</v>
      </c>
      <c r="N130" s="96" t="s">
        <v>76</v>
      </c>
      <c r="O130" s="101">
        <f>VLOOKUP(Tabla15[[#This Row],[Matricula Antigua]],BAJA2022202320242025!$B$3:$CR$245,93,FALSE)</f>
        <v>44133</v>
      </c>
      <c r="P130" s="99">
        <v>45594</v>
      </c>
      <c r="Q130" s="98">
        <f>Tabla15[[#This Row],[F.Vig.Final]]-Tabla15[[#This Row],[f Vig Inicio]]</f>
        <v>1461</v>
      </c>
      <c r="R130" s="99">
        <f>YEAR(Tabla15[[#This Row],[F.Vig.Final]])</f>
        <v>2024</v>
      </c>
      <c r="S130" s="96" t="s">
        <v>77</v>
      </c>
      <c r="T130" s="96" t="s">
        <v>78</v>
      </c>
      <c r="U130" s="96" t="s">
        <v>213</v>
      </c>
      <c r="V130" s="96" t="s">
        <v>237</v>
      </c>
      <c r="W130" s="96" t="s">
        <v>584</v>
      </c>
      <c r="X130" s="96" t="s">
        <v>585</v>
      </c>
      <c r="Y130" s="96" t="s">
        <v>1278</v>
      </c>
      <c r="Z130" s="98">
        <f>COUNTIF($X$3:X130, X130)</f>
        <v>6</v>
      </c>
      <c r="AA130" s="98"/>
      <c r="AB130" s="98"/>
      <c r="AC130" s="98"/>
      <c r="AD130" s="98"/>
      <c r="AE130" s="98"/>
      <c r="AF130" s="98"/>
      <c r="AG130" s="98"/>
      <c r="AH130" s="98"/>
      <c r="AI130" s="98" t="e">
        <v>#N/A</v>
      </c>
      <c r="AJ130" s="98" t="e">
        <v>#N/A</v>
      </c>
      <c r="AK130" s="98" t="e">
        <v>#N/A</v>
      </c>
      <c r="AL130" s="98" t="e">
        <v>#N/A</v>
      </c>
      <c r="AM130" s="98" t="e">
        <v>#N/A</v>
      </c>
      <c r="AN130" s="99" t="e">
        <v>#N/A</v>
      </c>
      <c r="AO130" s="99" t="e">
        <v>#N/A</v>
      </c>
      <c r="AP130" s="99" t="e">
        <f>Tabla15[[#This Row],[Renov. Flota]]-Tabla15[[#This Row],[Año]]</f>
        <v>#N/A</v>
      </c>
      <c r="AQ130" s="100" t="e">
        <v>#N/A</v>
      </c>
      <c r="AR130" s="100" t="e">
        <f>VLOOKUP(Tabla15[[#This Row],[Matricula nueva]],'ALTA 20242025'!$B$2:$P$242,15,FALSE)</f>
        <v>#N/A</v>
      </c>
      <c r="AS130" s="101" t="e">
        <v>#N/A</v>
      </c>
      <c r="AT130" s="101"/>
      <c r="AU130" s="101"/>
      <c r="AV130" s="101"/>
      <c r="AW130" s="101" t="e">
        <f>VLOOKUP(Tabla15[[#This Row],[Matricula nueva]],Hoja2!$A$1:$B$224,2,FALSE)</f>
        <v>#N/A</v>
      </c>
      <c r="AX130" s="101" t="str">
        <f>IF(Tabla15[[#This Row],[Columna2]]="M1",5.1,"")</f>
        <v/>
      </c>
      <c r="AY130" s="101"/>
      <c r="AZ130" s="101"/>
      <c r="BA130" s="311">
        <f>IF(Tabla15[[#This Row],[Columna2]]="M1",13073,IF(Tabla15[[#This Row],[Columna2]]="N1",15815,IF(Tabla15[[#This Row],[Columna2]]="L3e",2831,53508)))</f>
        <v>53508</v>
      </c>
      <c r="BB130" s="311" t="e">
        <f>(Tabla15[[#This Row],[CVA]]*Tabla15[[#This Row],[F]]-Tabla15[[#This Row],[CVN]])/100*Tabla15[[#This Row],[L]]</f>
        <v>#VALUE!</v>
      </c>
      <c r="BC130" s="1"/>
      <c r="BD130" s="1" t="e">
        <f>VLOOKUP(B130,Tabla467824[[ID CAE2]:[AE '[kWh']]],6,FALSE)</f>
        <v>#N/A</v>
      </c>
      <c r="BE13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31" spans="1:57" ht="51.75" x14ac:dyDescent="0.25">
      <c r="A131" s="53" t="s">
        <v>679</v>
      </c>
      <c r="B131" s="53" t="s">
        <v>679</v>
      </c>
      <c r="C131" s="332" t="s">
        <v>680</v>
      </c>
      <c r="D131" s="104" t="s">
        <v>72</v>
      </c>
      <c r="E131" s="104" t="s">
        <v>72</v>
      </c>
      <c r="F131" s="104" t="s">
        <v>72</v>
      </c>
      <c r="G131" s="104"/>
      <c r="H131" s="104" t="s">
        <v>72</v>
      </c>
      <c r="I131" s="104" t="s">
        <v>72</v>
      </c>
      <c r="J131" s="104"/>
      <c r="K131" s="96" t="s">
        <v>73</v>
      </c>
      <c r="L131" s="96" t="s">
        <v>200</v>
      </c>
      <c r="M131" s="96" t="s">
        <v>201</v>
      </c>
      <c r="N131" s="96" t="s">
        <v>76</v>
      </c>
      <c r="O131" s="101">
        <f>VLOOKUP(Tabla15[[#This Row],[Matricula Antigua]],BAJA2022202320242025!$B$3:$CR$245,93,FALSE)</f>
        <v>43560</v>
      </c>
      <c r="P131" s="316">
        <v>45021</v>
      </c>
      <c r="Q131" s="317">
        <f>Tabla15[[#This Row],[F.Vig.Final]]-Tabla15[[#This Row],[f Vig Inicio]]</f>
        <v>1461</v>
      </c>
      <c r="R131" s="318">
        <f>YEAR(Tabla15[[#This Row],[F.Vig.Final]])</f>
        <v>2023</v>
      </c>
      <c r="S131" s="96" t="s">
        <v>77</v>
      </c>
      <c r="T131" s="96" t="s">
        <v>674</v>
      </c>
      <c r="U131" s="96" t="s">
        <v>359</v>
      </c>
      <c r="V131" s="96" t="s">
        <v>675</v>
      </c>
      <c r="W131" s="96" t="s">
        <v>204</v>
      </c>
      <c r="X131" s="332" t="s">
        <v>205</v>
      </c>
      <c r="Y131" s="96" t="s">
        <v>682</v>
      </c>
      <c r="Z131" s="98">
        <f>COUNTIF($X$3:X131, X131)</f>
        <v>8</v>
      </c>
      <c r="AA131" s="337" t="s">
        <v>1661</v>
      </c>
      <c r="AB131" s="337" t="s">
        <v>1661</v>
      </c>
      <c r="AC131" s="337" t="s">
        <v>1662</v>
      </c>
      <c r="AD131" s="337" t="s">
        <v>1679</v>
      </c>
      <c r="AE131" s="351" t="s">
        <v>1664</v>
      </c>
      <c r="AF131" s="337" t="s">
        <v>1680</v>
      </c>
      <c r="AG131" s="337" t="s">
        <v>1681</v>
      </c>
      <c r="AH131" s="337" t="s">
        <v>1649</v>
      </c>
      <c r="AI131" s="337" t="s">
        <v>683</v>
      </c>
      <c r="AJ131" s="98" t="s">
        <v>140</v>
      </c>
      <c r="AK131" s="98" t="s">
        <v>151</v>
      </c>
      <c r="AL131" s="98" t="s">
        <v>87</v>
      </c>
      <c r="AM131" s="101" t="s">
        <v>232</v>
      </c>
      <c r="AN131" s="348" t="s">
        <v>89</v>
      </c>
      <c r="AO131" s="349">
        <v>45637</v>
      </c>
      <c r="AP131" s="98">
        <f>Tabla15[[#This Row],[Renov. Flota]]-Tabla15[[#This Row],[Año]]</f>
        <v>1</v>
      </c>
      <c r="AQ131" s="100" t="s">
        <v>204</v>
      </c>
      <c r="AR131" s="100" t="str">
        <f>VLOOKUP(Tabla15[[#This Row],[Matricula nueva]],'ALTA 20242025'!$B$2:$P$242,15,FALSE)</f>
        <v>4500424886</v>
      </c>
      <c r="AS131" s="101" t="s">
        <v>205</v>
      </c>
      <c r="AT131" s="101"/>
      <c r="AU131" s="101" t="s">
        <v>72</v>
      </c>
      <c r="AV131" s="101" t="s">
        <v>91</v>
      </c>
      <c r="AW131" s="101" t="str">
        <f>VLOOKUP(Tabla15[[#This Row],[Matricula nueva]],Hoja2!$A$1:$B$224,2,FALSE)</f>
        <v>VR7CBZYA2RT153027</v>
      </c>
      <c r="AX131" s="209">
        <f>IF(Tabla15[[#This Row],[Columna2]]="M1",5.1,"")</f>
        <v>5.0999999999999996</v>
      </c>
      <c r="AY131" s="208">
        <f t="shared" ref="AY131:AY140" si="5">IF(T131="DIESEL",10,IF(T131="GLP",7.16,9.19))</f>
        <v>7.16</v>
      </c>
      <c r="AZ131" s="313">
        <v>16.399999999999999</v>
      </c>
      <c r="BA131" s="314">
        <f>IF(Tabla15[[#This Row],[Columna2]]="M1",13073,IF(Tabla15[[#This Row],[Columna2]]="N1",15815,IF(Tabla15[[#This Row],[Columna2]]="L3e",2831,53508)))</f>
        <v>13073</v>
      </c>
      <c r="BB131" s="350">
        <f>(Tabla15[[#This Row],[CVA]]*Tabla15[[#This Row],[F]]-Tabla15[[#This Row],[CVN]])/100*Tabla15[[#This Row],[L]]</f>
        <v>2629.7646800000002</v>
      </c>
      <c r="BC131" s="69" t="s">
        <v>70</v>
      </c>
      <c r="BD131" s="294">
        <f>VLOOKUP(B131,Tabla467824[[ID CAE2]:[AE '[kWh']]],6,FALSE)</f>
        <v>3694.6912599999996</v>
      </c>
      <c r="BE13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2" spans="1:57" ht="51.75" x14ac:dyDescent="0.25">
      <c r="A132" s="53" t="s">
        <v>686</v>
      </c>
      <c r="B132" s="53" t="s">
        <v>686</v>
      </c>
      <c r="C132" s="332" t="s">
        <v>687</v>
      </c>
      <c r="D132" s="104" t="s">
        <v>72</v>
      </c>
      <c r="E132" s="104" t="s">
        <v>72</v>
      </c>
      <c r="F132" s="104"/>
      <c r="G132" s="104" t="s">
        <v>72</v>
      </c>
      <c r="H132" s="104" t="s">
        <v>72</v>
      </c>
      <c r="I132" s="104" t="s">
        <v>72</v>
      </c>
      <c r="J132" s="104"/>
      <c r="K132" s="96" t="s">
        <v>73</v>
      </c>
      <c r="L132" s="96" t="s">
        <v>200</v>
      </c>
      <c r="M132" s="96" t="s">
        <v>201</v>
      </c>
      <c r="N132" s="96" t="s">
        <v>160</v>
      </c>
      <c r="O132" s="101">
        <f>VLOOKUP(Tabla15[[#This Row],[Matricula Antigua]],BAJA2022202320242025!$B$3:$CR$245,93,FALSE)</f>
        <v>43685</v>
      </c>
      <c r="P132" s="316">
        <v>45512</v>
      </c>
      <c r="Q132" s="317">
        <f>Tabla15[[#This Row],[F.Vig.Final]]-Tabla15[[#This Row],[f Vig Inicio]]</f>
        <v>1827</v>
      </c>
      <c r="R132" s="318">
        <f>YEAR(Tabla15[[#This Row],[F.Vig.Final]])</f>
        <v>2024</v>
      </c>
      <c r="S132" s="96" t="s">
        <v>161</v>
      </c>
      <c r="T132" s="96" t="s">
        <v>78</v>
      </c>
      <c r="U132" s="96" t="s">
        <v>359</v>
      </c>
      <c r="V132" s="96" t="s">
        <v>688</v>
      </c>
      <c r="W132" s="96" t="s">
        <v>689</v>
      </c>
      <c r="X132" s="332" t="s">
        <v>690</v>
      </c>
      <c r="Y132" s="96" t="s">
        <v>691</v>
      </c>
      <c r="Z132" s="98">
        <f>COUNTIF($X$3:X132, X132)</f>
        <v>1</v>
      </c>
      <c r="AA132" s="337" t="s">
        <v>1696</v>
      </c>
      <c r="AB132" s="337" t="s">
        <v>1697</v>
      </c>
      <c r="AC132" s="337" t="s">
        <v>1669</v>
      </c>
      <c r="AD132" s="341" t="s">
        <v>1698</v>
      </c>
      <c r="AE132" s="347" t="s">
        <v>1671</v>
      </c>
      <c r="AF132" s="340" t="s">
        <v>1699</v>
      </c>
      <c r="AG132" s="340" t="s">
        <v>1700</v>
      </c>
      <c r="AH132" s="337" t="s">
        <v>1649</v>
      </c>
      <c r="AI132" s="337" t="s">
        <v>692</v>
      </c>
      <c r="AJ132" s="98" t="s">
        <v>85</v>
      </c>
      <c r="AK132" s="98" t="s">
        <v>340</v>
      </c>
      <c r="AL132" s="98" t="s">
        <v>87</v>
      </c>
      <c r="AM132" s="101" t="s">
        <v>691</v>
      </c>
      <c r="AN132" s="348" t="s">
        <v>108</v>
      </c>
      <c r="AO132" s="349">
        <v>44958</v>
      </c>
      <c r="AP132" s="98">
        <f>Tabla15[[#This Row],[Renov. Flota]]-Tabla15[[#This Row],[Año]]</f>
        <v>-1</v>
      </c>
      <c r="AQ132" s="100" t="s">
        <v>689</v>
      </c>
      <c r="AR132" s="100">
        <v>4500349877</v>
      </c>
      <c r="AS132" s="101" t="s">
        <v>690</v>
      </c>
      <c r="AT132" s="101"/>
      <c r="AU132" s="101"/>
      <c r="AV132" s="101" t="s">
        <v>109</v>
      </c>
      <c r="AW132" s="101" t="s">
        <v>693</v>
      </c>
      <c r="AX132" s="209">
        <f>IF(Tabla15[[#This Row],[Columna2]]="M1",5.1,"")</f>
        <v>5.0999999999999996</v>
      </c>
      <c r="AY132" s="208">
        <f t="shared" si="5"/>
        <v>10</v>
      </c>
      <c r="AZ132" s="313">
        <v>13.3</v>
      </c>
      <c r="BA132" s="314">
        <f>IF(Tabla15[[#This Row],[Columna2]]="M1",13073,IF(Tabla15[[#This Row],[Columna2]]="N1",15815,IF(Tabla15[[#This Row],[Columna2]]="L3e",2831,53508)))</f>
        <v>13073</v>
      </c>
      <c r="BB132" s="350">
        <f>(Tabla15[[#This Row],[CVA]]*Tabla15[[#This Row],[F]]-Tabla15[[#This Row],[CVN]])/100*Tabla15[[#This Row],[L]]</f>
        <v>4928.5209999999997</v>
      </c>
      <c r="BC132" s="74" t="s">
        <v>70</v>
      </c>
      <c r="BD132" s="294">
        <f>VLOOKUP(B132,Tabla467824[[ID CAE2]:[AE '[kWh']]],6,FALSE)</f>
        <v>6795.3454000000002</v>
      </c>
      <c r="BE13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33" spans="1:57" ht="51.75" x14ac:dyDescent="0.25">
      <c r="A133" s="53" t="s">
        <v>694</v>
      </c>
      <c r="B133" s="53" t="s">
        <v>694</v>
      </c>
      <c r="C133" s="332" t="s">
        <v>695</v>
      </c>
      <c r="D133" s="104" t="s">
        <v>72</v>
      </c>
      <c r="E133" s="104" t="s">
        <v>72</v>
      </c>
      <c r="F133" s="104" t="s">
        <v>72</v>
      </c>
      <c r="G133" s="104"/>
      <c r="H133" s="104" t="s">
        <v>72</v>
      </c>
      <c r="I133" s="104" t="s">
        <v>72</v>
      </c>
      <c r="J133" s="104"/>
      <c r="K133" s="96" t="s">
        <v>73</v>
      </c>
      <c r="L133" s="96" t="s">
        <v>74</v>
      </c>
      <c r="M133" s="96" t="s">
        <v>75</v>
      </c>
      <c r="N133" s="96" t="s">
        <v>76</v>
      </c>
      <c r="O133" s="99">
        <f>VLOOKUP(Tabla15[[#This Row],[Matricula Antigua]],BAJA2022202320242025!$B$3:$CR$245,93,FALSE)</f>
        <v>45447</v>
      </c>
      <c r="P133" s="316">
        <v>45516</v>
      </c>
      <c r="Q133" s="317">
        <f>Tabla15[[#This Row],[F.Vig.Final]]-Tabla15[[#This Row],[f Vig Inicio]]</f>
        <v>69</v>
      </c>
      <c r="R133" s="318">
        <f>YEAR(Tabla15[[#This Row],[F.Vig.Final]])</f>
        <v>2024</v>
      </c>
      <c r="S133" s="96" t="s">
        <v>77</v>
      </c>
      <c r="T133" s="96" t="s">
        <v>78</v>
      </c>
      <c r="U133" s="96" t="s">
        <v>85</v>
      </c>
      <c r="V133" s="96" t="s">
        <v>642</v>
      </c>
      <c r="W133" s="96" t="s">
        <v>102</v>
      </c>
      <c r="X133" s="332" t="s">
        <v>1667</v>
      </c>
      <c r="Y133" s="96" t="s">
        <v>696</v>
      </c>
      <c r="Z133" s="98">
        <f>COUNTIF($X$3:X133, X133)</f>
        <v>25</v>
      </c>
      <c r="AA133" s="337" t="s">
        <v>1668</v>
      </c>
      <c r="AB133" s="337" t="s">
        <v>1668</v>
      </c>
      <c r="AC133" s="337" t="s">
        <v>1669</v>
      </c>
      <c r="AD133" s="341" t="s">
        <v>1670</v>
      </c>
      <c r="AE133" s="342" t="s">
        <v>1671</v>
      </c>
      <c r="AF133" s="337" t="s">
        <v>1672</v>
      </c>
      <c r="AG133" s="344" t="s">
        <v>1673</v>
      </c>
      <c r="AH133" s="337" t="s">
        <v>1649</v>
      </c>
      <c r="AI133" s="337" t="s">
        <v>697</v>
      </c>
      <c r="AJ133" s="98" t="s">
        <v>85</v>
      </c>
      <c r="AK133" s="98" t="s">
        <v>86</v>
      </c>
      <c r="AL133" s="98" t="s">
        <v>87</v>
      </c>
      <c r="AM133" s="101" t="s">
        <v>698</v>
      </c>
      <c r="AN133" s="348" t="s">
        <v>89</v>
      </c>
      <c r="AO133" s="349">
        <v>45625</v>
      </c>
      <c r="AP133" s="98">
        <f>Tabla15[[#This Row],[Renov. Flota]]-Tabla15[[#This Row],[Año]]</f>
        <v>0</v>
      </c>
      <c r="AQ133" s="100" t="s">
        <v>102</v>
      </c>
      <c r="AR133" s="100" t="str">
        <f>VLOOKUP(Tabla15[[#This Row],[Matricula nueva]],'ALTA 20242025'!$B$2:$P$242,15,FALSE)</f>
        <v>4500426784</v>
      </c>
      <c r="AS133" s="101" t="s">
        <v>103</v>
      </c>
      <c r="AT133" s="101"/>
      <c r="AU133" s="101" t="s">
        <v>72</v>
      </c>
      <c r="AV133" s="101" t="s">
        <v>109</v>
      </c>
      <c r="AW133" s="101" t="str">
        <f>VLOOKUP(Tabla15[[#This Row],[Matricula nueva]],Hoja2!$A$1:$B$224,2,FALSE)</f>
        <v>VF1RFK00973824801</v>
      </c>
      <c r="AX133" s="209">
        <v>5.6</v>
      </c>
      <c r="AY133" s="208">
        <f t="shared" si="5"/>
        <v>10</v>
      </c>
      <c r="AZ133" s="313">
        <v>17.3</v>
      </c>
      <c r="BA133" s="314">
        <f>IF(Tabla15[[#This Row],[Columna2]]="M1",13073,IF(Tabla15[[#This Row],[Columna2]]="N1",15815,IF(Tabla15[[#This Row],[Columna2]]="L3e",2831,53508)))</f>
        <v>15815</v>
      </c>
      <c r="BB133" s="350">
        <f>(Tabla15[[#This Row],[CVA]]*Tabla15[[#This Row],[F]]-Tabla15[[#This Row],[CVN]])/100*Tabla15[[#This Row],[L]]</f>
        <v>6120.4049999999997</v>
      </c>
      <c r="BC133" s="74" t="s">
        <v>128</v>
      </c>
      <c r="BD133" s="294">
        <f>VLOOKUP(B133,Tabla467824[[ID CAE2]:[AE '[kWh']]],6,FALSE)</f>
        <v>5607.9989999999989</v>
      </c>
      <c r="BE13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4" spans="1:57" ht="51.75" x14ac:dyDescent="0.25">
      <c r="A134" s="53" t="s">
        <v>701</v>
      </c>
      <c r="B134" s="53" t="s">
        <v>701</v>
      </c>
      <c r="C134" s="332" t="s">
        <v>702</v>
      </c>
      <c r="D134" s="104" t="s">
        <v>72</v>
      </c>
      <c r="E134" s="104" t="s">
        <v>72</v>
      </c>
      <c r="F134" s="104" t="s">
        <v>72</v>
      </c>
      <c r="G134" s="104"/>
      <c r="H134" s="104" t="s">
        <v>72</v>
      </c>
      <c r="I134" s="104" t="s">
        <v>72</v>
      </c>
      <c r="J134" s="104"/>
      <c r="K134" s="96" t="s">
        <v>73</v>
      </c>
      <c r="L134" s="96" t="s">
        <v>74</v>
      </c>
      <c r="M134" s="96" t="s">
        <v>75</v>
      </c>
      <c r="N134" s="96" t="s">
        <v>76</v>
      </c>
      <c r="O134" s="99">
        <f>VLOOKUP(Tabla15[[#This Row],[Matricula Antigua]],BAJA2022202320242025!$B$3:$CR$245,93,FALSE)</f>
        <v>45447</v>
      </c>
      <c r="P134" s="316">
        <v>45516</v>
      </c>
      <c r="Q134" s="317">
        <f>Tabla15[[#This Row],[F.Vig.Final]]-Tabla15[[#This Row],[f Vig Inicio]]</f>
        <v>69</v>
      </c>
      <c r="R134" s="318">
        <f>YEAR(Tabla15[[#This Row],[F.Vig.Final]])</f>
        <v>2024</v>
      </c>
      <c r="S134" s="96" t="s">
        <v>77</v>
      </c>
      <c r="T134" s="96" t="s">
        <v>78</v>
      </c>
      <c r="U134" s="96" t="s">
        <v>85</v>
      </c>
      <c r="V134" s="96" t="s">
        <v>642</v>
      </c>
      <c r="W134" s="96" t="s">
        <v>102</v>
      </c>
      <c r="X134" s="332" t="s">
        <v>1667</v>
      </c>
      <c r="Y134" s="96" t="s">
        <v>696</v>
      </c>
      <c r="Z134" s="98">
        <f>COUNTIF($X$3:X134, X134)</f>
        <v>26</v>
      </c>
      <c r="AA134" s="337" t="s">
        <v>1668</v>
      </c>
      <c r="AB134" s="337" t="s">
        <v>1668</v>
      </c>
      <c r="AC134" s="337" t="s">
        <v>1669</v>
      </c>
      <c r="AD134" s="341" t="s">
        <v>1670</v>
      </c>
      <c r="AE134" s="342" t="s">
        <v>1671</v>
      </c>
      <c r="AF134" s="337" t="s">
        <v>1672</v>
      </c>
      <c r="AG134" s="344" t="s">
        <v>1673</v>
      </c>
      <c r="AH134" s="337" t="s">
        <v>1649</v>
      </c>
      <c r="AI134" s="337" t="s">
        <v>703</v>
      </c>
      <c r="AJ134" s="98" t="s">
        <v>85</v>
      </c>
      <c r="AK134" s="98" t="s">
        <v>86</v>
      </c>
      <c r="AL134" s="98" t="s">
        <v>87</v>
      </c>
      <c r="AM134" s="101" t="s">
        <v>579</v>
      </c>
      <c r="AN134" s="348" t="s">
        <v>89</v>
      </c>
      <c r="AO134" s="349">
        <v>45625</v>
      </c>
      <c r="AP134" s="98">
        <f>Tabla15[[#This Row],[Renov. Flota]]-Tabla15[[#This Row],[Año]]</f>
        <v>0</v>
      </c>
      <c r="AQ134" s="100" t="s">
        <v>102</v>
      </c>
      <c r="AR134" s="100" t="str">
        <f>VLOOKUP(Tabla15[[#This Row],[Matricula nueva]],'ALTA 20242025'!$B$2:$P$242,15,FALSE)</f>
        <v>4500426757</v>
      </c>
      <c r="AS134" s="101" t="s">
        <v>103</v>
      </c>
      <c r="AT134" s="101"/>
      <c r="AU134" s="101" t="s">
        <v>72</v>
      </c>
      <c r="AV134" s="101" t="s">
        <v>109</v>
      </c>
      <c r="AW134" s="101" t="str">
        <f>VLOOKUP(Tabla15[[#This Row],[Matricula nueva]],Hoja2!$A$1:$B$224,2,FALSE)</f>
        <v>VF1RFK00073824783</v>
      </c>
      <c r="AX134" s="209">
        <v>5.6</v>
      </c>
      <c r="AY134" s="208">
        <f t="shared" si="5"/>
        <v>10</v>
      </c>
      <c r="AZ134" s="313">
        <v>17.3</v>
      </c>
      <c r="BA134" s="314">
        <f>IF(Tabla15[[#This Row],[Columna2]]="M1",13073,IF(Tabla15[[#This Row],[Columna2]]="N1",15815,IF(Tabla15[[#This Row],[Columna2]]="L3e",2831,53508)))</f>
        <v>15815</v>
      </c>
      <c r="BB134" s="350">
        <f>(Tabla15[[#This Row],[CVA]]*Tabla15[[#This Row],[F]]-Tabla15[[#This Row],[CVN]])/100*Tabla15[[#This Row],[L]]</f>
        <v>6120.4049999999997</v>
      </c>
      <c r="BC134" s="74" t="s">
        <v>128</v>
      </c>
      <c r="BD134" s="294">
        <f>VLOOKUP(B134,Tabla467824[[ID CAE2]:[AE '[kWh']]],6,FALSE)</f>
        <v>5607.9989999999989</v>
      </c>
      <c r="BE13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5" spans="1:57" ht="51.75" x14ac:dyDescent="0.25">
      <c r="A135" s="53" t="s">
        <v>706</v>
      </c>
      <c r="B135" s="53" t="s">
        <v>706</v>
      </c>
      <c r="C135" s="332" t="s">
        <v>707</v>
      </c>
      <c r="D135" s="104" t="s">
        <v>72</v>
      </c>
      <c r="E135" s="104" t="s">
        <v>72</v>
      </c>
      <c r="F135" s="104" t="s">
        <v>72</v>
      </c>
      <c r="G135" s="104"/>
      <c r="H135" s="104" t="s">
        <v>72</v>
      </c>
      <c r="I135" s="104" t="s">
        <v>72</v>
      </c>
      <c r="J135" s="104"/>
      <c r="K135" s="96" t="s">
        <v>73</v>
      </c>
      <c r="L135" s="96" t="s">
        <v>74</v>
      </c>
      <c r="M135" s="96" t="s">
        <v>75</v>
      </c>
      <c r="N135" s="96" t="s">
        <v>76</v>
      </c>
      <c r="O135" s="99">
        <f>VLOOKUP(Tabla15[[#This Row],[Matricula Antigua]],BAJA2022202320242025!$B$3:$CR$245,93,FALSE)</f>
        <v>45447</v>
      </c>
      <c r="P135" s="316">
        <v>45516</v>
      </c>
      <c r="Q135" s="317">
        <f>Tabla15[[#This Row],[F.Vig.Final]]-Tabla15[[#This Row],[f Vig Inicio]]</f>
        <v>69</v>
      </c>
      <c r="R135" s="318">
        <f>YEAR(Tabla15[[#This Row],[F.Vig.Final]])</f>
        <v>2024</v>
      </c>
      <c r="S135" s="96" t="s">
        <v>77</v>
      </c>
      <c r="T135" s="96" t="s">
        <v>78</v>
      </c>
      <c r="U135" s="96" t="s">
        <v>85</v>
      </c>
      <c r="V135" s="96" t="s">
        <v>642</v>
      </c>
      <c r="W135" s="96" t="s">
        <v>102</v>
      </c>
      <c r="X135" s="332" t="s">
        <v>1667</v>
      </c>
      <c r="Y135" s="96" t="s">
        <v>696</v>
      </c>
      <c r="Z135" s="98">
        <f>COUNTIF($X$3:X135, X135)</f>
        <v>27</v>
      </c>
      <c r="AA135" s="337" t="s">
        <v>1668</v>
      </c>
      <c r="AB135" s="337" t="s">
        <v>1668</v>
      </c>
      <c r="AC135" s="337" t="s">
        <v>1669</v>
      </c>
      <c r="AD135" s="341" t="s">
        <v>1670</v>
      </c>
      <c r="AE135" s="342" t="s">
        <v>1671</v>
      </c>
      <c r="AF135" s="337" t="s">
        <v>1672</v>
      </c>
      <c r="AG135" s="344" t="s">
        <v>1673</v>
      </c>
      <c r="AH135" s="337" t="s">
        <v>1649</v>
      </c>
      <c r="AI135" s="337" t="s">
        <v>708</v>
      </c>
      <c r="AJ135" s="98" t="s">
        <v>85</v>
      </c>
      <c r="AK135" s="98" t="s">
        <v>86</v>
      </c>
      <c r="AL135" s="98" t="s">
        <v>87</v>
      </c>
      <c r="AM135" s="101" t="s">
        <v>579</v>
      </c>
      <c r="AN135" s="348" t="s">
        <v>89</v>
      </c>
      <c r="AO135" s="349">
        <v>45625</v>
      </c>
      <c r="AP135" s="98">
        <f>Tabla15[[#This Row],[Renov. Flota]]-Tabla15[[#This Row],[Año]]</f>
        <v>0</v>
      </c>
      <c r="AQ135" s="100" t="s">
        <v>102</v>
      </c>
      <c r="AR135" s="100" t="str">
        <f>VLOOKUP(Tabla15[[#This Row],[Matricula nueva]],'ALTA 20242025'!$B$2:$P$242,15,FALSE)</f>
        <v>4500426788</v>
      </c>
      <c r="AS135" s="101" t="s">
        <v>103</v>
      </c>
      <c r="AT135" s="101"/>
      <c r="AU135" s="101" t="s">
        <v>72</v>
      </c>
      <c r="AV135" s="101" t="s">
        <v>109</v>
      </c>
      <c r="AW135" s="101" t="str">
        <f>VLOOKUP(Tabla15[[#This Row],[Matricula nueva]],Hoja2!$A$1:$B$224,2,FALSE)</f>
        <v>VF1RFK00673824805</v>
      </c>
      <c r="AX135" s="209">
        <v>5.6</v>
      </c>
      <c r="AY135" s="208">
        <f t="shared" si="5"/>
        <v>10</v>
      </c>
      <c r="AZ135" s="313">
        <v>17.3</v>
      </c>
      <c r="BA135" s="314">
        <f>IF(Tabla15[[#This Row],[Columna2]]="M1",13073,IF(Tabla15[[#This Row],[Columna2]]="N1",15815,IF(Tabla15[[#This Row],[Columna2]]="L3e",2831,53508)))</f>
        <v>15815</v>
      </c>
      <c r="BB135" s="350">
        <f>(Tabla15[[#This Row],[CVA]]*Tabla15[[#This Row],[F]]-Tabla15[[#This Row],[CVN]])/100*Tabla15[[#This Row],[L]]</f>
        <v>6120.4049999999997</v>
      </c>
      <c r="BC135" s="74" t="s">
        <v>128</v>
      </c>
      <c r="BD135" s="294">
        <f>VLOOKUP(B135,Tabla467824[[ID CAE2]:[AE '[kWh']]],6,FALSE)</f>
        <v>5607.9989999999989</v>
      </c>
      <c r="BE13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6" spans="1:57" ht="51.75" x14ac:dyDescent="0.25">
      <c r="A136" s="53" t="s">
        <v>711</v>
      </c>
      <c r="B136" s="53" t="s">
        <v>711</v>
      </c>
      <c r="C136" s="332" t="s">
        <v>712</v>
      </c>
      <c r="D136" s="104" t="s">
        <v>72</v>
      </c>
      <c r="E136" s="104" t="s">
        <v>72</v>
      </c>
      <c r="F136" s="104" t="s">
        <v>72</v>
      </c>
      <c r="G136" s="104"/>
      <c r="H136" s="104" t="s">
        <v>72</v>
      </c>
      <c r="I136" s="104" t="s">
        <v>72</v>
      </c>
      <c r="J136" s="104"/>
      <c r="K136" s="96" t="s">
        <v>73</v>
      </c>
      <c r="L136" s="96" t="s">
        <v>74</v>
      </c>
      <c r="M136" s="96" t="s">
        <v>75</v>
      </c>
      <c r="N136" s="96" t="s">
        <v>76</v>
      </c>
      <c r="O136" s="99">
        <f>VLOOKUP(Tabla15[[#This Row],[Matricula Antigua]],BAJA2022202320242025!$B$3:$CR$245,93,FALSE)</f>
        <v>45447</v>
      </c>
      <c r="P136" s="316">
        <v>45656</v>
      </c>
      <c r="Q136" s="317">
        <f>Tabla15[[#This Row],[F.Vig.Final]]-Tabla15[[#This Row],[f Vig Inicio]]</f>
        <v>209</v>
      </c>
      <c r="R136" s="318">
        <f>YEAR(Tabla15[[#This Row],[F.Vig.Final]])</f>
        <v>2024</v>
      </c>
      <c r="S136" s="96" t="s">
        <v>77</v>
      </c>
      <c r="T136" s="96" t="s">
        <v>78</v>
      </c>
      <c r="U136" s="96" t="s">
        <v>85</v>
      </c>
      <c r="V136" s="96" t="s">
        <v>642</v>
      </c>
      <c r="W136" s="96" t="s">
        <v>102</v>
      </c>
      <c r="X136" s="332" t="s">
        <v>1667</v>
      </c>
      <c r="Y136" s="96" t="s">
        <v>696</v>
      </c>
      <c r="Z136" s="98">
        <f>COUNTIF($X$3:X136, X136)</f>
        <v>28</v>
      </c>
      <c r="AA136" s="337" t="s">
        <v>1668</v>
      </c>
      <c r="AB136" s="337" t="s">
        <v>1668</v>
      </c>
      <c r="AC136" s="337" t="s">
        <v>1669</v>
      </c>
      <c r="AD136" s="341" t="s">
        <v>1670</v>
      </c>
      <c r="AE136" s="342" t="s">
        <v>1671</v>
      </c>
      <c r="AF136" s="337" t="s">
        <v>1672</v>
      </c>
      <c r="AG136" s="344" t="s">
        <v>1673</v>
      </c>
      <c r="AH136" s="337" t="s">
        <v>1649</v>
      </c>
      <c r="AI136" s="337" t="s">
        <v>713</v>
      </c>
      <c r="AJ136" s="98" t="s">
        <v>85</v>
      </c>
      <c r="AK136" s="98" t="s">
        <v>86</v>
      </c>
      <c r="AL136" s="98" t="s">
        <v>87</v>
      </c>
      <c r="AM136" s="101" t="s">
        <v>714</v>
      </c>
      <c r="AN136" s="348" t="s">
        <v>89</v>
      </c>
      <c r="AO136" s="349">
        <v>45625</v>
      </c>
      <c r="AP136" s="98">
        <f>Tabla15[[#This Row],[Renov. Flota]]-Tabla15[[#This Row],[Año]]</f>
        <v>0</v>
      </c>
      <c r="AQ136" s="100" t="s">
        <v>102</v>
      </c>
      <c r="AR136" s="100" t="str">
        <f>VLOOKUP(Tabla15[[#This Row],[Matricula nueva]],'ALTA 20242025'!$B$2:$P$242,15,FALSE)</f>
        <v>4500426773</v>
      </c>
      <c r="AS136" s="101" t="s">
        <v>103</v>
      </c>
      <c r="AT136" s="101"/>
      <c r="AU136" s="101" t="s">
        <v>72</v>
      </c>
      <c r="AV136" s="101" t="s">
        <v>109</v>
      </c>
      <c r="AW136" s="101" t="str">
        <f>VLOOKUP(Tabla15[[#This Row],[Matricula nueva]],Hoja2!$A$1:$B$224,2,FALSE)</f>
        <v>VF1RFK00573824794</v>
      </c>
      <c r="AX136" s="209">
        <v>5.6</v>
      </c>
      <c r="AY136" s="208">
        <f t="shared" si="5"/>
        <v>10</v>
      </c>
      <c r="AZ136" s="313">
        <v>17.3</v>
      </c>
      <c r="BA136" s="314">
        <f>IF(Tabla15[[#This Row],[Columna2]]="M1",13073,IF(Tabla15[[#This Row],[Columna2]]="N1",15815,IF(Tabla15[[#This Row],[Columna2]]="L3e",2831,53508)))</f>
        <v>15815</v>
      </c>
      <c r="BB136" s="350">
        <f>(Tabla15[[#This Row],[CVA]]*Tabla15[[#This Row],[F]]-Tabla15[[#This Row],[CVN]])/100*Tabla15[[#This Row],[L]]</f>
        <v>6120.4049999999997</v>
      </c>
      <c r="BC136" s="74" t="s">
        <v>128</v>
      </c>
      <c r="BD136" s="294">
        <f>VLOOKUP(B136,Tabla467824[[ID CAE2]:[AE '[kWh']]],6,FALSE)</f>
        <v>5607.9989999999989</v>
      </c>
      <c r="BE13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7" spans="1:57" ht="51.75" x14ac:dyDescent="0.25">
      <c r="A137" s="53" t="s">
        <v>717</v>
      </c>
      <c r="B137" s="53" t="s">
        <v>717</v>
      </c>
      <c r="C137" s="332" t="s">
        <v>718</v>
      </c>
      <c r="D137" s="104" t="s">
        <v>72</v>
      </c>
      <c r="E137" s="104"/>
      <c r="F137" s="104" t="s">
        <v>72</v>
      </c>
      <c r="G137" s="104"/>
      <c r="H137" s="104" t="s">
        <v>72</v>
      </c>
      <c r="I137" s="104" t="s">
        <v>72</v>
      </c>
      <c r="J137" s="104"/>
      <c r="K137" s="96" t="s">
        <v>73</v>
      </c>
      <c r="L137" s="96" t="s">
        <v>74</v>
      </c>
      <c r="M137" s="96" t="s">
        <v>75</v>
      </c>
      <c r="N137" s="96" t="s">
        <v>76</v>
      </c>
      <c r="O137" s="99">
        <f>VLOOKUP(Tabla15[[#This Row],[Matricula Antigua]],BAJA2022202320242025!$B$3:$CR$245,93,FALSE)</f>
        <v>45505</v>
      </c>
      <c r="P137" s="316">
        <v>45657</v>
      </c>
      <c r="Q137" s="317">
        <f>Tabla15[[#This Row],[F.Vig.Final]]-Tabla15[[#This Row],[f Vig Inicio]]</f>
        <v>152</v>
      </c>
      <c r="R137" s="318">
        <f>YEAR(Tabla15[[#This Row],[F.Vig.Final]])</f>
        <v>2024</v>
      </c>
      <c r="S137" s="96" t="s">
        <v>77</v>
      </c>
      <c r="T137" s="96" t="s">
        <v>78</v>
      </c>
      <c r="U137" s="96" t="s">
        <v>85</v>
      </c>
      <c r="V137" s="96" t="s">
        <v>642</v>
      </c>
      <c r="W137" s="96" t="s">
        <v>102</v>
      </c>
      <c r="X137" s="332" t="s">
        <v>1667</v>
      </c>
      <c r="Y137" s="96" t="s">
        <v>719</v>
      </c>
      <c r="Z137" s="98">
        <f>COUNTIF($X$3:X137, X137)</f>
        <v>29</v>
      </c>
      <c r="AA137" s="337" t="s">
        <v>1668</v>
      </c>
      <c r="AB137" s="337" t="s">
        <v>1668</v>
      </c>
      <c r="AC137" s="337" t="s">
        <v>1669</v>
      </c>
      <c r="AD137" s="341" t="s">
        <v>1670</v>
      </c>
      <c r="AE137" s="342" t="s">
        <v>1671</v>
      </c>
      <c r="AF137" s="337" t="s">
        <v>1672</v>
      </c>
      <c r="AG137" s="344" t="s">
        <v>1673</v>
      </c>
      <c r="AH137" s="337" t="s">
        <v>1649</v>
      </c>
      <c r="AI137" s="337" t="s">
        <v>720</v>
      </c>
      <c r="AJ137" s="98" t="s">
        <v>85</v>
      </c>
      <c r="AK137" s="98" t="s">
        <v>86</v>
      </c>
      <c r="AL137" s="98" t="s">
        <v>87</v>
      </c>
      <c r="AM137" s="101" t="s">
        <v>301</v>
      </c>
      <c r="AN137" s="348" t="s">
        <v>89</v>
      </c>
      <c r="AO137" s="349">
        <v>45625</v>
      </c>
      <c r="AP137" s="98">
        <f>Tabla15[[#This Row],[Renov. Flota]]-Tabla15[[#This Row],[Año]]</f>
        <v>0</v>
      </c>
      <c r="AQ137" s="100" t="s">
        <v>102</v>
      </c>
      <c r="AR137" s="100" t="str">
        <f>VLOOKUP(Tabla15[[#This Row],[Matricula nueva]],'ALTA 20242025'!$B$2:$P$242,15,FALSE)</f>
        <v>4500426845</v>
      </c>
      <c r="AS137" s="101" t="s">
        <v>103</v>
      </c>
      <c r="AT137" s="101"/>
      <c r="AU137" s="101" t="s">
        <v>72</v>
      </c>
      <c r="AV137" s="101" t="s">
        <v>109</v>
      </c>
      <c r="AW137" s="101" t="str">
        <f>VLOOKUP(Tabla15[[#This Row],[Matricula nueva]],Hoja2!$A$1:$B$224,2,FALSE)</f>
        <v>VF1RFK00X73824807</v>
      </c>
      <c r="AX137" s="209">
        <v>5.6</v>
      </c>
      <c r="AY137" s="208">
        <f t="shared" si="5"/>
        <v>10</v>
      </c>
      <c r="AZ137" s="313">
        <v>17.3</v>
      </c>
      <c r="BA137" s="314">
        <f>IF(Tabla15[[#This Row],[Columna2]]="M1",13073,IF(Tabla15[[#This Row],[Columna2]]="N1",15815,IF(Tabla15[[#This Row],[Columna2]]="L3e",2831,53508)))</f>
        <v>15815</v>
      </c>
      <c r="BB137" s="350">
        <f>(Tabla15[[#This Row],[CVA]]*Tabla15[[#This Row],[F]]-Tabla15[[#This Row],[CVN]])/100*Tabla15[[#This Row],[L]]</f>
        <v>6120.4049999999997</v>
      </c>
      <c r="BC137" s="74" t="s">
        <v>128</v>
      </c>
      <c r="BD137" s="294">
        <f>VLOOKUP(B137,Tabla467824[[ID CAE2]:[AE '[kWh']]],6,FALSE)</f>
        <v>5607.9989999999989</v>
      </c>
      <c r="BE13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8" spans="1:57" ht="51.75" x14ac:dyDescent="0.25">
      <c r="A138" s="53" t="s">
        <v>723</v>
      </c>
      <c r="B138" s="53" t="s">
        <v>723</v>
      </c>
      <c r="C138" s="332" t="s">
        <v>724</v>
      </c>
      <c r="D138" s="104" t="s">
        <v>72</v>
      </c>
      <c r="E138" s="104" t="s">
        <v>72</v>
      </c>
      <c r="F138" s="104" t="s">
        <v>72</v>
      </c>
      <c r="G138" s="104"/>
      <c r="H138" s="104" t="s">
        <v>249</v>
      </c>
      <c r="I138" s="104" t="s">
        <v>249</v>
      </c>
      <c r="J138" s="104"/>
      <c r="K138" s="96" t="s">
        <v>725</v>
      </c>
      <c r="L138" s="96" t="s">
        <v>74</v>
      </c>
      <c r="M138" s="96" t="s">
        <v>75</v>
      </c>
      <c r="N138" s="96" t="s">
        <v>76</v>
      </c>
      <c r="O138" s="99">
        <f>VLOOKUP(Tabla15[[#This Row],[Matricula Antigua]],BAJA2022202320242025!$B$3:$CR$245,93,FALSE)</f>
        <v>44958</v>
      </c>
      <c r="P138" s="316">
        <v>45107</v>
      </c>
      <c r="Q138" s="317">
        <f>Tabla15[[#This Row],[F.Vig.Final]]-Tabla15[[#This Row],[f Vig Inicio]]</f>
        <v>149</v>
      </c>
      <c r="R138" s="318">
        <f>YEAR(Tabla15[[#This Row],[F.Vig.Final]])</f>
        <v>2023</v>
      </c>
      <c r="S138" s="96" t="s">
        <v>77</v>
      </c>
      <c r="T138" s="96" t="s">
        <v>78</v>
      </c>
      <c r="U138" s="96" t="s">
        <v>726</v>
      </c>
      <c r="V138" s="96" t="s">
        <v>727</v>
      </c>
      <c r="W138" s="96" t="s">
        <v>102</v>
      </c>
      <c r="X138" s="332" t="s">
        <v>1667</v>
      </c>
      <c r="Y138" s="96" t="s">
        <v>440</v>
      </c>
      <c r="Z138" s="98">
        <f>COUNTIF($X$3:X138, X138)</f>
        <v>30</v>
      </c>
      <c r="AA138" s="337" t="s">
        <v>1668</v>
      </c>
      <c r="AB138" s="337" t="s">
        <v>1668</v>
      </c>
      <c r="AC138" s="337" t="s">
        <v>1669</v>
      </c>
      <c r="AD138" s="341" t="s">
        <v>1670</v>
      </c>
      <c r="AE138" s="342" t="s">
        <v>1671</v>
      </c>
      <c r="AF138" s="337" t="s">
        <v>1672</v>
      </c>
      <c r="AG138" s="344" t="s">
        <v>1673</v>
      </c>
      <c r="AH138" s="337" t="s">
        <v>1649</v>
      </c>
      <c r="AI138" s="337" t="s">
        <v>728</v>
      </c>
      <c r="AJ138" s="98" t="s">
        <v>359</v>
      </c>
      <c r="AK138" s="98" t="s">
        <v>452</v>
      </c>
      <c r="AL138" s="98" t="s">
        <v>87</v>
      </c>
      <c r="AM138" s="101" t="s">
        <v>115</v>
      </c>
      <c r="AN138" s="348" t="s">
        <v>108</v>
      </c>
      <c r="AO138" s="349">
        <v>45051</v>
      </c>
      <c r="AP138" s="98">
        <f>Tabla15[[#This Row],[Renov. Flota]]-Tabla15[[#This Row],[Año]]</f>
        <v>0</v>
      </c>
      <c r="AQ138" s="100" t="s">
        <v>102</v>
      </c>
      <c r="AR138" s="100">
        <v>4500351860</v>
      </c>
      <c r="AS138" s="101" t="s">
        <v>103</v>
      </c>
      <c r="AT138" s="101"/>
      <c r="AU138" s="101" t="s">
        <v>72</v>
      </c>
      <c r="AV138" s="101" t="s">
        <v>109</v>
      </c>
      <c r="AW138" s="101" t="s">
        <v>729</v>
      </c>
      <c r="AX138" s="209">
        <v>5.6</v>
      </c>
      <c r="AY138" s="208">
        <f t="shared" si="5"/>
        <v>10</v>
      </c>
      <c r="AZ138" s="313">
        <v>28.1</v>
      </c>
      <c r="BA138" s="314">
        <f>IF(Tabla15[[#This Row],[Columna2]]="M1",13073,IF(Tabla15[[#This Row],[Columna2]]="N1",15815,IF(Tabla15[[#This Row],[Columna2]]="L3e",2831,53508)))</f>
        <v>15815</v>
      </c>
      <c r="BB138" s="350">
        <f>(Tabla15[[#This Row],[CVA]]*Tabla15[[#This Row],[F]]-Tabla15[[#This Row],[CVN]])/100*Tabla15[[#This Row],[L]]</f>
        <v>4412.3849999999993</v>
      </c>
      <c r="BC138" s="74" t="s">
        <v>128</v>
      </c>
      <c r="BD138" s="294">
        <f>VLOOKUP(B138,Tabla467824[[ID CAE2]:[AE '[kWh']]],6,FALSE)</f>
        <v>5607.9989999999989</v>
      </c>
      <c r="BE13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39" spans="1:57" ht="51.75" x14ac:dyDescent="0.25">
      <c r="A139" s="53" t="s">
        <v>730</v>
      </c>
      <c r="B139" s="53" t="s">
        <v>730</v>
      </c>
      <c r="C139" s="332" t="s">
        <v>731</v>
      </c>
      <c r="D139" s="104" t="s">
        <v>72</v>
      </c>
      <c r="E139" s="104" t="s">
        <v>72</v>
      </c>
      <c r="F139" s="104" t="s">
        <v>72</v>
      </c>
      <c r="G139" s="104"/>
      <c r="H139" s="104" t="s">
        <v>72</v>
      </c>
      <c r="I139" s="104" t="s">
        <v>72</v>
      </c>
      <c r="J139" s="104"/>
      <c r="K139" s="96" t="s">
        <v>73</v>
      </c>
      <c r="L139" s="96" t="s">
        <v>74</v>
      </c>
      <c r="M139" s="96" t="s">
        <v>75</v>
      </c>
      <c r="N139" s="96" t="s">
        <v>76</v>
      </c>
      <c r="O139" s="99">
        <f>VLOOKUP(Tabla15[[#This Row],[Matricula Antigua]],BAJA2022202320242025!$B$3:$CR$245,93,FALSE)</f>
        <v>45282</v>
      </c>
      <c r="P139" s="316">
        <v>45321</v>
      </c>
      <c r="Q139" s="317">
        <f>Tabla15[[#This Row],[F.Vig.Final]]-Tabla15[[#This Row],[f Vig Inicio]]</f>
        <v>39</v>
      </c>
      <c r="R139" s="318">
        <f>YEAR(Tabla15[[#This Row],[F.Vig.Final]])</f>
        <v>2024</v>
      </c>
      <c r="S139" s="96" t="s">
        <v>77</v>
      </c>
      <c r="T139" s="96" t="s">
        <v>78</v>
      </c>
      <c r="U139" s="96" t="s">
        <v>85</v>
      </c>
      <c r="V139" s="96" t="s">
        <v>732</v>
      </c>
      <c r="W139" s="96" t="s">
        <v>81</v>
      </c>
      <c r="X139" s="332" t="s">
        <v>82</v>
      </c>
      <c r="Y139" s="96" t="s">
        <v>83</v>
      </c>
      <c r="Z139" s="98">
        <f>COUNTIF($X$3:X139, X139)</f>
        <v>10</v>
      </c>
      <c r="AA139" s="337" t="s">
        <v>1661</v>
      </c>
      <c r="AB139" s="337" t="s">
        <v>1661</v>
      </c>
      <c r="AC139" s="337" t="s">
        <v>1662</v>
      </c>
      <c r="AD139" s="337" t="s">
        <v>1663</v>
      </c>
      <c r="AE139" s="354" t="s">
        <v>1664</v>
      </c>
      <c r="AF139" s="355" t="s">
        <v>1665</v>
      </c>
      <c r="AG139" s="340" t="s">
        <v>1666</v>
      </c>
      <c r="AH139" s="337" t="s">
        <v>1649</v>
      </c>
      <c r="AI139" s="337" t="s">
        <v>733</v>
      </c>
      <c r="AJ139" s="98" t="s">
        <v>85</v>
      </c>
      <c r="AK139" s="98" t="s">
        <v>86</v>
      </c>
      <c r="AL139" s="98" t="s">
        <v>87</v>
      </c>
      <c r="AM139" s="101" t="s">
        <v>143</v>
      </c>
      <c r="AN139" s="348" t="s">
        <v>89</v>
      </c>
      <c r="AO139" s="349">
        <v>45625</v>
      </c>
      <c r="AP139" s="98">
        <f>Tabla15[[#This Row],[Renov. Flota]]-Tabla15[[#This Row],[Año]]</f>
        <v>0</v>
      </c>
      <c r="AQ139" s="100" t="s">
        <v>81</v>
      </c>
      <c r="AR139" s="100" t="str">
        <f>VLOOKUP(Tabla15[[#This Row],[Matricula nueva]],'ALTA 20242025'!$B$2:$P$242,15,FALSE)</f>
        <v>4500426790</v>
      </c>
      <c r="AS139" s="101" t="s">
        <v>82</v>
      </c>
      <c r="AT139" s="101"/>
      <c r="AU139" s="101" t="s">
        <v>72</v>
      </c>
      <c r="AV139" s="101" t="s">
        <v>91</v>
      </c>
      <c r="AW139" s="101" t="str">
        <f>VLOOKUP(Tabla15[[#This Row],[Matricula nueva]],Hoja2!$A$1:$B$224,2,FALSE)</f>
        <v>VF1RFK00873824837</v>
      </c>
      <c r="AX139" s="209">
        <v>5.6</v>
      </c>
      <c r="AY139" s="208">
        <f t="shared" si="5"/>
        <v>10</v>
      </c>
      <c r="AZ139" s="313">
        <v>17.3</v>
      </c>
      <c r="BA139" s="314">
        <f>IF(Tabla15[[#This Row],[Columna2]]="M1",13073,IF(Tabla15[[#This Row],[Columna2]]="N1",15815,IF(Tabla15[[#This Row],[Columna2]]="L3e",2831,53508)))</f>
        <v>15815</v>
      </c>
      <c r="BB139" s="350">
        <f>(Tabla15[[#This Row],[CVA]]*Tabla15[[#This Row],[F]]-Tabla15[[#This Row],[CVN]])/100*Tabla15[[#This Row],[L]]</f>
        <v>6120.4049999999997</v>
      </c>
      <c r="BC139" s="74" t="s">
        <v>128</v>
      </c>
      <c r="BD139" s="294">
        <f>VLOOKUP(B139,Tabla467824[[ID CAE2]:[AE '[kWh']]],6,FALSE)</f>
        <v>5607.9989999999989</v>
      </c>
      <c r="BE13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0" spans="1:57" ht="52.5" thickBot="1" x14ac:dyDescent="0.3">
      <c r="A140" s="53" t="s">
        <v>736</v>
      </c>
      <c r="B140" s="53" t="s">
        <v>736</v>
      </c>
      <c r="C140" s="332" t="s">
        <v>737</v>
      </c>
      <c r="D140" s="104" t="s">
        <v>72</v>
      </c>
      <c r="E140" s="104" t="s">
        <v>72</v>
      </c>
      <c r="F140" s="104" t="s">
        <v>72</v>
      </c>
      <c r="G140" s="104"/>
      <c r="H140" s="104" t="s">
        <v>72</v>
      </c>
      <c r="I140" s="104" t="s">
        <v>72</v>
      </c>
      <c r="J140" s="104"/>
      <c r="K140" s="96" t="s">
        <v>73</v>
      </c>
      <c r="L140" s="96" t="s">
        <v>74</v>
      </c>
      <c r="M140" s="96" t="s">
        <v>75</v>
      </c>
      <c r="N140" s="96" t="s">
        <v>76</v>
      </c>
      <c r="O140" s="99">
        <f>VLOOKUP(Tabla15[[#This Row],[Matricula Antigua]],BAJA2022202320242025!$B$3:$CR$245,93,FALSE)</f>
        <v>44974</v>
      </c>
      <c r="P140" s="316">
        <v>45057</v>
      </c>
      <c r="Q140" s="317">
        <f>Tabla15[[#This Row],[F.Vig.Final]]-Tabla15[[#This Row],[f Vig Inicio]]</f>
        <v>83</v>
      </c>
      <c r="R140" s="318">
        <f>YEAR(Tabla15[[#This Row],[F.Vig.Final]])</f>
        <v>2023</v>
      </c>
      <c r="S140" s="96" t="s">
        <v>77</v>
      </c>
      <c r="T140" s="96" t="s">
        <v>78</v>
      </c>
      <c r="U140" s="96" t="s">
        <v>738</v>
      </c>
      <c r="V140" s="96" t="s">
        <v>739</v>
      </c>
      <c r="W140" s="96" t="s">
        <v>102</v>
      </c>
      <c r="X140" s="332" t="s">
        <v>1667</v>
      </c>
      <c r="Y140" s="96" t="s">
        <v>740</v>
      </c>
      <c r="Z140" s="98">
        <f>COUNTIF($X$3:X140, X140)</f>
        <v>31</v>
      </c>
      <c r="AA140" s="337" t="s">
        <v>1668</v>
      </c>
      <c r="AB140" s="337" t="s">
        <v>1668</v>
      </c>
      <c r="AC140" s="337" t="s">
        <v>1669</v>
      </c>
      <c r="AD140" s="341" t="s">
        <v>1670</v>
      </c>
      <c r="AE140" s="342" t="s">
        <v>1671</v>
      </c>
      <c r="AF140" s="337" t="s">
        <v>1672</v>
      </c>
      <c r="AG140" s="344" t="s">
        <v>1673</v>
      </c>
      <c r="AH140" s="337" t="s">
        <v>1649</v>
      </c>
      <c r="AI140" s="337" t="s">
        <v>741</v>
      </c>
      <c r="AJ140" s="98" t="s">
        <v>79</v>
      </c>
      <c r="AK140" s="98" t="s">
        <v>442</v>
      </c>
      <c r="AL140" s="98" t="s">
        <v>87</v>
      </c>
      <c r="AM140" s="101" t="s">
        <v>107</v>
      </c>
      <c r="AN140" s="348" t="s">
        <v>108</v>
      </c>
      <c r="AO140" s="349">
        <v>45133</v>
      </c>
      <c r="AP140" s="98">
        <f>Tabla15[[#This Row],[Renov. Flota]]-Tabla15[[#This Row],[Año]]</f>
        <v>0</v>
      </c>
      <c r="AQ140" s="100" t="s">
        <v>102</v>
      </c>
      <c r="AR140" s="100">
        <v>4500370224</v>
      </c>
      <c r="AS140" s="101" t="s">
        <v>103</v>
      </c>
      <c r="AT140" s="101"/>
      <c r="AU140" s="101" t="s">
        <v>72</v>
      </c>
      <c r="AV140" s="101" t="s">
        <v>109</v>
      </c>
      <c r="AW140" s="101" t="s">
        <v>742</v>
      </c>
      <c r="AX140" s="209">
        <f>IF(Tabla15[[#This Row],[Columna2]]="M1",5.1,"")</f>
        <v>5.0999999999999996</v>
      </c>
      <c r="AY140" s="208">
        <f t="shared" si="5"/>
        <v>10</v>
      </c>
      <c r="AZ140" s="313">
        <v>22.7</v>
      </c>
      <c r="BA140" s="314">
        <f>IF(Tabla15[[#This Row],[Columna2]]="M1",13073,IF(Tabla15[[#This Row],[Columna2]]="N1",15815,IF(Tabla15[[#This Row],[Columna2]]="L3e",2831,53508)))</f>
        <v>13073</v>
      </c>
      <c r="BB140" s="350">
        <f>(Tabla15[[#This Row],[CVA]]*Tabla15[[#This Row],[F]]-Tabla15[[#This Row],[CVN]])/100*Tabla15[[#This Row],[L]]</f>
        <v>3699.6590000000006</v>
      </c>
      <c r="BC140" s="79" t="s">
        <v>70</v>
      </c>
      <c r="BD140" s="294">
        <f>VLOOKUP(B140,Tabla467824[[ID CAE2]:[AE '[kWh']]],6,FALSE)</f>
        <v>6795.3454000000002</v>
      </c>
      <c r="BE14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1" spans="1:57" ht="15.75" hidden="1" thickBot="1" x14ac:dyDescent="0.3">
      <c r="A141" s="53" t="s">
        <v>1279</v>
      </c>
      <c r="B141" s="53" t="e">
        <v>#N/A</v>
      </c>
      <c r="C141" s="96" t="s">
        <v>1280</v>
      </c>
      <c r="D141" s="96"/>
      <c r="E141" s="96"/>
      <c r="F141" s="96"/>
      <c r="G141" s="96"/>
      <c r="H141" s="96"/>
      <c r="I141" s="96"/>
      <c r="J141" s="96"/>
      <c r="K141" s="96" t="s">
        <v>73</v>
      </c>
      <c r="L141" s="96" t="s">
        <v>200</v>
      </c>
      <c r="M141" s="96" t="s">
        <v>201</v>
      </c>
      <c r="N141" s="96" t="s">
        <v>160</v>
      </c>
      <c r="O141" s="101">
        <f>VLOOKUP(Tabla15[[#This Row],[Matricula Antigua]],BAJA2022202320242025!$B$3:$CR$245,93,FALSE)</f>
        <v>43795</v>
      </c>
      <c r="P141" s="99">
        <v>45622</v>
      </c>
      <c r="Q141" s="98">
        <f>Tabla15[[#This Row],[F.Vig.Final]]-Tabla15[[#This Row],[f Vig Inicio]]</f>
        <v>1827</v>
      </c>
      <c r="R141" s="99">
        <f>YEAR(Tabla15[[#This Row],[F.Vig.Final]])</f>
        <v>2024</v>
      </c>
      <c r="S141" s="96" t="s">
        <v>161</v>
      </c>
      <c r="T141" s="96" t="s">
        <v>78</v>
      </c>
      <c r="U141" s="96" t="s">
        <v>359</v>
      </c>
      <c r="V141" s="96" t="s">
        <v>769</v>
      </c>
      <c r="W141" s="96" t="s">
        <v>689</v>
      </c>
      <c r="X141" s="96" t="s">
        <v>690</v>
      </c>
      <c r="Y141" s="96" t="s">
        <v>691</v>
      </c>
      <c r="Z141" s="98">
        <f>COUNTIF($X$3:X141, X141)</f>
        <v>2</v>
      </c>
      <c r="AA141" s="98"/>
      <c r="AB141" s="98"/>
      <c r="AC141" s="98"/>
      <c r="AD141" s="98"/>
      <c r="AE141" s="321"/>
      <c r="AF141" s="321"/>
      <c r="AG141" s="320"/>
      <c r="AH141" s="98"/>
      <c r="AI141" s="98" t="e">
        <v>#N/A</v>
      </c>
      <c r="AJ141" s="98" t="e">
        <v>#N/A</v>
      </c>
      <c r="AK141" s="98" t="e">
        <v>#N/A</v>
      </c>
      <c r="AL141" s="98" t="e">
        <v>#N/A</v>
      </c>
      <c r="AM141" s="98" t="e">
        <v>#N/A</v>
      </c>
      <c r="AN141" s="99" t="e">
        <v>#N/A</v>
      </c>
      <c r="AO141" s="99" t="e">
        <v>#N/A</v>
      </c>
      <c r="AP141" s="99" t="e">
        <f>Tabla15[[#This Row],[Renov. Flota]]-Tabla15[[#This Row],[Año]]</f>
        <v>#N/A</v>
      </c>
      <c r="AQ141" s="100" t="e">
        <v>#N/A</v>
      </c>
      <c r="AR141" s="100" t="e">
        <f>VLOOKUP(Tabla15[[#This Row],[Matricula nueva]],'ALTA 20242025'!$B$2:$P$242,15,FALSE)</f>
        <v>#N/A</v>
      </c>
      <c r="AS141" s="101" t="e">
        <v>#N/A</v>
      </c>
      <c r="AT141" s="101"/>
      <c r="AU141" s="101"/>
      <c r="AV141" s="101"/>
      <c r="AW141" s="101" t="e">
        <f>VLOOKUP(Tabla15[[#This Row],[Matricula nueva]],Hoja2!$A$1:$B$224,2,FALSE)</f>
        <v>#N/A</v>
      </c>
      <c r="AX141" s="101" t="str">
        <f>IF(Tabla15[[#This Row],[Columna2]]="M1",5.1,"")</f>
        <v/>
      </c>
      <c r="AY141" s="101"/>
      <c r="AZ141" s="101"/>
      <c r="BA141" s="311">
        <f>IF(Tabla15[[#This Row],[Columna2]]="M1",13073,IF(Tabla15[[#This Row],[Columna2]]="N1",15815,IF(Tabla15[[#This Row],[Columna2]]="L3e",2831,53508)))</f>
        <v>53508</v>
      </c>
      <c r="BB141" s="311" t="e">
        <f>(Tabla15[[#This Row],[CVA]]*Tabla15[[#This Row],[F]]-Tabla15[[#This Row],[CVN]])/100*Tabla15[[#This Row],[L]]</f>
        <v>#VALUE!</v>
      </c>
      <c r="BC141" s="1"/>
      <c r="BD141" s="1" t="e">
        <f>VLOOKUP(B141,Tabla467824[[ID CAE2]:[AE '[kWh']]],6,FALSE)</f>
        <v>#N/A</v>
      </c>
      <c r="BE14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42" spans="1:57" ht="60" x14ac:dyDescent="0.25">
      <c r="A142" s="53" t="s">
        <v>743</v>
      </c>
      <c r="B142" s="53" t="s">
        <v>743</v>
      </c>
      <c r="C142" s="332" t="s">
        <v>744</v>
      </c>
      <c r="D142" s="104" t="s">
        <v>72</v>
      </c>
      <c r="E142" s="104" t="s">
        <v>72</v>
      </c>
      <c r="F142" s="104" t="s">
        <v>72</v>
      </c>
      <c r="G142" s="104"/>
      <c r="H142" s="104" t="s">
        <v>249</v>
      </c>
      <c r="I142" s="104" t="s">
        <v>249</v>
      </c>
      <c r="J142" s="104"/>
      <c r="K142" s="96" t="s">
        <v>73</v>
      </c>
      <c r="L142" s="96" t="s">
        <v>74</v>
      </c>
      <c r="M142" s="96" t="s">
        <v>75</v>
      </c>
      <c r="N142" s="96" t="s">
        <v>76</v>
      </c>
      <c r="O142" s="99">
        <f>VLOOKUP(Tabla15[[#This Row],[Matricula Antigua]],BAJA2022202320242025!$B$3:$CR$245,93,FALSE)</f>
        <v>45420</v>
      </c>
      <c r="P142" s="316">
        <v>45450</v>
      </c>
      <c r="Q142" s="317">
        <f>Tabla15[[#This Row],[F.Vig.Final]]-Tabla15[[#This Row],[f Vig Inicio]]</f>
        <v>30</v>
      </c>
      <c r="R142" s="318">
        <f>YEAR(Tabla15[[#This Row],[F.Vig.Final]])</f>
        <v>2024</v>
      </c>
      <c r="S142" s="96" t="s">
        <v>77</v>
      </c>
      <c r="T142" s="96" t="s">
        <v>78</v>
      </c>
      <c r="U142" s="96" t="s">
        <v>213</v>
      </c>
      <c r="V142" s="96" t="s">
        <v>745</v>
      </c>
      <c r="W142" s="96" t="s">
        <v>336</v>
      </c>
      <c r="X142" s="332" t="s">
        <v>337</v>
      </c>
      <c r="Y142" s="96" t="s">
        <v>746</v>
      </c>
      <c r="Z142" s="98">
        <f>COUNTIF($X$3:X142, X142)</f>
        <v>6</v>
      </c>
      <c r="AA142" s="337" t="s">
        <v>1661</v>
      </c>
      <c r="AB142" s="337" t="s">
        <v>1661</v>
      </c>
      <c r="AC142" s="337" t="s">
        <v>1662</v>
      </c>
      <c r="AD142" s="341" t="s">
        <v>1682</v>
      </c>
      <c r="AE142" s="347" t="s">
        <v>1664</v>
      </c>
      <c r="AF142" s="337" t="s">
        <v>1683</v>
      </c>
      <c r="AG142" s="337" t="s">
        <v>1684</v>
      </c>
      <c r="AH142" s="337" t="s">
        <v>1649</v>
      </c>
      <c r="AI142" s="337" t="s">
        <v>747</v>
      </c>
      <c r="AJ142" s="98" t="s">
        <v>140</v>
      </c>
      <c r="AK142" s="98" t="s">
        <v>151</v>
      </c>
      <c r="AL142" s="98" t="s">
        <v>87</v>
      </c>
      <c r="AM142" s="101" t="s">
        <v>351</v>
      </c>
      <c r="AN142" s="348" t="s">
        <v>89</v>
      </c>
      <c r="AO142" s="349">
        <v>45625</v>
      </c>
      <c r="AP142" s="98">
        <f>Tabla15[[#This Row],[Renov. Flota]]-Tabla15[[#This Row],[Año]]</f>
        <v>0</v>
      </c>
      <c r="AQ142" s="100" t="s">
        <v>336</v>
      </c>
      <c r="AR142" s="100" t="str">
        <f>VLOOKUP(Tabla15[[#This Row],[Matricula nueva]],'ALTA 20242025'!$B$2:$P$242,15,FALSE)</f>
        <v>4500424787</v>
      </c>
      <c r="AS142" s="101" t="s">
        <v>337</v>
      </c>
      <c r="AT142" s="101"/>
      <c r="AU142" s="101" t="s">
        <v>72</v>
      </c>
      <c r="AV142" s="101" t="s">
        <v>91</v>
      </c>
      <c r="AW142" s="101" t="str">
        <f>VLOOKUP(Tabla15[[#This Row],[Matricula nueva]],Hoja2!$A$1:$B$224,2,FALSE)</f>
        <v>VR7CBZYA6RT152219</v>
      </c>
      <c r="AX142" s="209">
        <f>IF(Tabla15[[#This Row],[Columna2]]="M1",5.1,"")</f>
        <v>5.0999999999999996</v>
      </c>
      <c r="AY142" s="208">
        <f t="shared" ref="AY142:AY147" si="6">IF(T142="DIESEL",10,IF(T142="GLP",7.16,9.19))</f>
        <v>10</v>
      </c>
      <c r="AZ142" s="313">
        <v>16.399999999999999</v>
      </c>
      <c r="BA142" s="314">
        <f>IF(Tabla15[[#This Row],[Columna2]]="M1",13073,IF(Tabla15[[#This Row],[Columna2]]="N1",15815,IF(Tabla15[[#This Row],[Columna2]]="L3e",2831,53508)))</f>
        <v>13073</v>
      </c>
      <c r="BB142" s="350">
        <f>(Tabla15[[#This Row],[CVA]]*Tabla15[[#This Row],[F]]-Tabla15[[#This Row],[CVN]])/100*Tabla15[[#This Row],[L]]</f>
        <v>4523.2580000000007</v>
      </c>
      <c r="BC142" s="69" t="s">
        <v>70</v>
      </c>
      <c r="BD142" s="294">
        <f>VLOOKUP(B142,Tabla467824[[ID CAE2]:[AE '[kWh']]],6,FALSE)</f>
        <v>6795.3454000000002</v>
      </c>
      <c r="BE14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3" spans="1:57" ht="51.75" x14ac:dyDescent="0.25">
      <c r="A143" s="53" t="s">
        <v>750</v>
      </c>
      <c r="B143" s="53" t="s">
        <v>750</v>
      </c>
      <c r="C143" s="332" t="s">
        <v>751</v>
      </c>
      <c r="D143" s="104" t="s">
        <v>72</v>
      </c>
      <c r="E143" s="104"/>
      <c r="F143" s="104" t="s">
        <v>72</v>
      </c>
      <c r="G143" s="104"/>
      <c r="H143" s="104" t="s">
        <v>72</v>
      </c>
      <c r="I143" s="104" t="s">
        <v>72</v>
      </c>
      <c r="J143" s="104"/>
      <c r="K143" s="96" t="s">
        <v>129</v>
      </c>
      <c r="L143" s="96" t="s">
        <v>74</v>
      </c>
      <c r="M143" s="96" t="s">
        <v>75</v>
      </c>
      <c r="N143" s="96" t="s">
        <v>76</v>
      </c>
      <c r="O143" s="99">
        <f>VLOOKUP(Tabla15[[#This Row],[Matricula Antigua]],BAJA2022202320242025!$B$3:$CR$245,93,FALSE)</f>
        <v>44861</v>
      </c>
      <c r="P143" s="316">
        <v>44964</v>
      </c>
      <c r="Q143" s="317">
        <f>Tabla15[[#This Row],[F.Vig.Final]]-Tabla15[[#This Row],[f Vig Inicio]]</f>
        <v>103</v>
      </c>
      <c r="R143" s="318">
        <f>YEAR(Tabla15[[#This Row],[F.Vig.Final]])</f>
        <v>2023</v>
      </c>
      <c r="S143" s="96" t="s">
        <v>77</v>
      </c>
      <c r="T143" s="96" t="s">
        <v>78</v>
      </c>
      <c r="U143" s="96" t="s">
        <v>85</v>
      </c>
      <c r="V143" s="96" t="s">
        <v>752</v>
      </c>
      <c r="W143" s="96" t="s">
        <v>131</v>
      </c>
      <c r="X143" s="332" t="s">
        <v>132</v>
      </c>
      <c r="Y143" s="96" t="s">
        <v>753</v>
      </c>
      <c r="Z143" s="98">
        <f>COUNTIF($X$3:X143, X143)</f>
        <v>9</v>
      </c>
      <c r="AA143" s="337" t="s">
        <v>1661</v>
      </c>
      <c r="AB143" s="337" t="s">
        <v>1661</v>
      </c>
      <c r="AC143" s="337" t="s">
        <v>1662</v>
      </c>
      <c r="AD143" s="333" t="s">
        <v>1675</v>
      </c>
      <c r="AE143" s="347" t="s">
        <v>1664</v>
      </c>
      <c r="AF143" s="337" t="s">
        <v>1676</v>
      </c>
      <c r="AG143" s="337" t="s">
        <v>1677</v>
      </c>
      <c r="AH143" s="337" t="s">
        <v>1649</v>
      </c>
      <c r="AI143" s="337" t="s">
        <v>754</v>
      </c>
      <c r="AJ143" s="98" t="s">
        <v>380</v>
      </c>
      <c r="AK143" s="98" t="s">
        <v>381</v>
      </c>
      <c r="AL143" s="98" t="s">
        <v>87</v>
      </c>
      <c r="AM143" s="101" t="s">
        <v>622</v>
      </c>
      <c r="AN143" s="348" t="s">
        <v>89</v>
      </c>
      <c r="AO143" s="349">
        <v>45608</v>
      </c>
      <c r="AP143" s="98">
        <f>Tabla15[[#This Row],[Renov. Flota]]-Tabla15[[#This Row],[Año]]</f>
        <v>1</v>
      </c>
      <c r="AQ143" s="100" t="s">
        <v>131</v>
      </c>
      <c r="AR143" s="100">
        <v>4500421017</v>
      </c>
      <c r="AS143" s="101" t="s">
        <v>132</v>
      </c>
      <c r="AT143" s="101"/>
      <c r="AU143" s="101" t="s">
        <v>72</v>
      </c>
      <c r="AV143" s="101" t="s">
        <v>91</v>
      </c>
      <c r="AW143" s="101" t="s">
        <v>755</v>
      </c>
      <c r="AX143" s="209">
        <v>5.6</v>
      </c>
      <c r="AY143" s="208">
        <f t="shared" si="6"/>
        <v>10</v>
      </c>
      <c r="AZ143" s="313">
        <v>20</v>
      </c>
      <c r="BA143" s="314">
        <f>IF(Tabla15[[#This Row],[Columna2]]="M1",13073,IF(Tabla15[[#This Row],[Columna2]]="N1",15815,IF(Tabla15[[#This Row],[Columna2]]="L3e",2831,53508)))</f>
        <v>15815</v>
      </c>
      <c r="BB143" s="350">
        <f>(Tabla15[[#This Row],[CVA]]*Tabla15[[#This Row],[F]]-Tabla15[[#This Row],[CVN]])/100*Tabla15[[#This Row],[L]]</f>
        <v>5693.4</v>
      </c>
      <c r="BC143" s="74" t="s">
        <v>128</v>
      </c>
      <c r="BD143" s="294">
        <f>VLOOKUP(B143,Tabla467824[[ID CAE2]:[AE '[kWh']]],6,FALSE)</f>
        <v>5607.9989999999989</v>
      </c>
      <c r="BE14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4" spans="1:57" ht="60" x14ac:dyDescent="0.25">
      <c r="A144" s="53" t="s">
        <v>756</v>
      </c>
      <c r="B144" s="53" t="s">
        <v>756</v>
      </c>
      <c r="C144" s="332" t="s">
        <v>757</v>
      </c>
      <c r="D144" s="104" t="s">
        <v>72</v>
      </c>
      <c r="E144" s="104" t="s">
        <v>72</v>
      </c>
      <c r="F144" s="104" t="s">
        <v>72</v>
      </c>
      <c r="G144" s="104"/>
      <c r="H144" s="104" t="s">
        <v>249</v>
      </c>
      <c r="I144" s="104" t="s">
        <v>249</v>
      </c>
      <c r="J144" s="104"/>
      <c r="K144" s="96" t="s">
        <v>73</v>
      </c>
      <c r="L144" s="96" t="s">
        <v>74</v>
      </c>
      <c r="M144" s="96" t="s">
        <v>75</v>
      </c>
      <c r="N144" s="96" t="s">
        <v>76</v>
      </c>
      <c r="O144" s="99">
        <f>VLOOKUP(Tabla15[[#This Row],[Matricula Antigua]],BAJA2022202320242025!$B$3:$CR$245,93,FALSE)</f>
        <v>45350</v>
      </c>
      <c r="P144" s="316">
        <v>45406</v>
      </c>
      <c r="Q144" s="317">
        <f>Tabla15[[#This Row],[F.Vig.Final]]-Tabla15[[#This Row],[f Vig Inicio]]</f>
        <v>56</v>
      </c>
      <c r="R144" s="318">
        <f>YEAR(Tabla15[[#This Row],[F.Vig.Final]])</f>
        <v>2024</v>
      </c>
      <c r="S144" s="96" t="s">
        <v>77</v>
      </c>
      <c r="T144" s="96" t="s">
        <v>78</v>
      </c>
      <c r="U144" s="96" t="s">
        <v>85</v>
      </c>
      <c r="V144" s="96" t="s">
        <v>758</v>
      </c>
      <c r="W144" s="96" t="s">
        <v>336</v>
      </c>
      <c r="X144" s="332" t="s">
        <v>337</v>
      </c>
      <c r="Y144" s="96" t="s">
        <v>373</v>
      </c>
      <c r="Z144" s="98">
        <f>COUNTIF($X$3:X144, X144)</f>
        <v>7</v>
      </c>
      <c r="AA144" s="337" t="s">
        <v>1661</v>
      </c>
      <c r="AB144" s="337" t="s">
        <v>1661</v>
      </c>
      <c r="AC144" s="337" t="s">
        <v>1662</v>
      </c>
      <c r="AD144" s="341" t="s">
        <v>1682</v>
      </c>
      <c r="AE144" s="347" t="s">
        <v>1664</v>
      </c>
      <c r="AF144" s="337" t="s">
        <v>1683</v>
      </c>
      <c r="AG144" s="337" t="s">
        <v>1684</v>
      </c>
      <c r="AH144" s="337" t="s">
        <v>1649</v>
      </c>
      <c r="AI144" s="337" t="s">
        <v>759</v>
      </c>
      <c r="AJ144" s="98" t="s">
        <v>85</v>
      </c>
      <c r="AK144" s="98" t="s">
        <v>86</v>
      </c>
      <c r="AL144" s="98" t="s">
        <v>87</v>
      </c>
      <c r="AM144" s="101" t="s">
        <v>760</v>
      </c>
      <c r="AN144" s="348" t="s">
        <v>89</v>
      </c>
      <c r="AO144" s="349">
        <v>45649</v>
      </c>
      <c r="AP144" s="98">
        <f>Tabla15[[#This Row],[Renov. Flota]]-Tabla15[[#This Row],[Año]]</f>
        <v>0</v>
      </c>
      <c r="AQ144" s="100" t="s">
        <v>336</v>
      </c>
      <c r="AR144" s="100" t="str">
        <f>VLOOKUP(Tabla15[[#This Row],[Matricula nueva]],'ALTA 20242025'!$B$2:$P$242,15,FALSE)</f>
        <v>4500426850</v>
      </c>
      <c r="AS144" s="101" t="s">
        <v>337</v>
      </c>
      <c r="AT144" s="101"/>
      <c r="AU144" s="101" t="s">
        <v>72</v>
      </c>
      <c r="AV144" s="101" t="s">
        <v>91</v>
      </c>
      <c r="AW144" s="101" t="str">
        <f>VLOOKUP(Tabla15[[#This Row],[Matricula nueva]],Hoja2!$A$1:$B$224,2,FALSE)</f>
        <v>VF1RFK00673934284</v>
      </c>
      <c r="AX144" s="209">
        <f>IF(Tabla15[[#This Row],[Columna2]]="M1",5.1,"")</f>
        <v>5.0999999999999996</v>
      </c>
      <c r="AY144" s="208">
        <f t="shared" si="6"/>
        <v>10</v>
      </c>
      <c r="AZ144" s="313">
        <v>17.3</v>
      </c>
      <c r="BA144" s="314">
        <f>IF(Tabla15[[#This Row],[Columna2]]="M1",13073,IF(Tabla15[[#This Row],[Columna2]]="N1",15815,IF(Tabla15[[#This Row],[Columna2]]="L3e",2831,53508)))</f>
        <v>13073</v>
      </c>
      <c r="BB144" s="350">
        <f>(Tabla15[[#This Row],[CVA]]*Tabla15[[#This Row],[F]]-Tabla15[[#This Row],[CVN]])/100*Tabla15[[#This Row],[L]]</f>
        <v>4405.6010000000006</v>
      </c>
      <c r="BC144" s="74" t="s">
        <v>70</v>
      </c>
      <c r="BD144" s="294">
        <f>VLOOKUP(B144,Tabla467824[[ID CAE2]:[AE '[kWh']]],6,FALSE)</f>
        <v>6795.3454000000002</v>
      </c>
      <c r="BE14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5" spans="1:57" ht="51.75" x14ac:dyDescent="0.25">
      <c r="A145" s="53" t="s">
        <v>763</v>
      </c>
      <c r="B145" s="53" t="s">
        <v>763</v>
      </c>
      <c r="C145" s="332" t="s">
        <v>764</v>
      </c>
      <c r="D145" s="104" t="s">
        <v>72</v>
      </c>
      <c r="E145" s="104"/>
      <c r="F145" s="104" t="s">
        <v>72</v>
      </c>
      <c r="G145" s="104"/>
      <c r="H145" s="104" t="s">
        <v>249</v>
      </c>
      <c r="I145" s="104" t="s">
        <v>249</v>
      </c>
      <c r="J145" s="104"/>
      <c r="K145" s="96" t="s">
        <v>73</v>
      </c>
      <c r="L145" s="96" t="s">
        <v>74</v>
      </c>
      <c r="M145" s="96" t="s">
        <v>75</v>
      </c>
      <c r="N145" s="96" t="s">
        <v>76</v>
      </c>
      <c r="O145" s="99">
        <f>VLOOKUP(Tabla15[[#This Row],[Matricula Antigua]],BAJA2022202320242025!$B$3:$CR$245,93,FALSE)</f>
        <v>45422</v>
      </c>
      <c r="P145" s="316">
        <v>45473</v>
      </c>
      <c r="Q145" s="317">
        <f>Tabla15[[#This Row],[F.Vig.Final]]-Tabla15[[#This Row],[f Vig Inicio]]</f>
        <v>51</v>
      </c>
      <c r="R145" s="318">
        <f>YEAR(Tabla15[[#This Row],[F.Vig.Final]])</f>
        <v>2024</v>
      </c>
      <c r="S145" s="96" t="s">
        <v>77</v>
      </c>
      <c r="T145" s="96" t="s">
        <v>78</v>
      </c>
      <c r="U145" s="96" t="s">
        <v>85</v>
      </c>
      <c r="V145" s="96" t="s">
        <v>758</v>
      </c>
      <c r="W145" s="96" t="s">
        <v>308</v>
      </c>
      <c r="X145" s="332" t="s">
        <v>309</v>
      </c>
      <c r="Y145" s="96" t="s">
        <v>312</v>
      </c>
      <c r="Z145" s="98">
        <f>COUNTIF($X$3:X145, X145)</f>
        <v>2</v>
      </c>
      <c r="AA145" s="337" t="s">
        <v>1661</v>
      </c>
      <c r="AB145" s="337" t="s">
        <v>1661</v>
      </c>
      <c r="AC145" s="337" t="s">
        <v>1662</v>
      </c>
      <c r="AD145" s="337" t="s">
        <v>1663</v>
      </c>
      <c r="AE145" s="354" t="s">
        <v>1664</v>
      </c>
      <c r="AF145" s="355" t="s">
        <v>1665</v>
      </c>
      <c r="AG145" s="355" t="s">
        <v>1666</v>
      </c>
      <c r="AH145" s="337" t="s">
        <v>1649</v>
      </c>
      <c r="AI145" s="337" t="s">
        <v>765</v>
      </c>
      <c r="AJ145" s="98" t="s">
        <v>85</v>
      </c>
      <c r="AK145" s="98" t="s">
        <v>86</v>
      </c>
      <c r="AL145" s="98" t="s">
        <v>87</v>
      </c>
      <c r="AM145" s="101" t="s">
        <v>310</v>
      </c>
      <c r="AN145" s="348" t="s">
        <v>89</v>
      </c>
      <c r="AO145" s="349">
        <v>45649</v>
      </c>
      <c r="AP145" s="98">
        <f>Tabla15[[#This Row],[Renov. Flota]]-Tabla15[[#This Row],[Año]]</f>
        <v>0</v>
      </c>
      <c r="AQ145" s="100" t="s">
        <v>308</v>
      </c>
      <c r="AR145" s="100" t="str">
        <f>VLOOKUP(Tabla15[[#This Row],[Matricula nueva]],'ALTA 20242025'!$B$2:$P$242,15,FALSE)</f>
        <v>X</v>
      </c>
      <c r="AS145" s="101" t="s">
        <v>309</v>
      </c>
      <c r="AT145" s="101"/>
      <c r="AU145" s="101" t="s">
        <v>72</v>
      </c>
      <c r="AV145" s="101" t="s">
        <v>91</v>
      </c>
      <c r="AW145" s="101" t="str">
        <f>VLOOKUP(Tabla15[[#This Row],[Matricula nueva]],Hoja2!$A$1:$B$224,2,FALSE)</f>
        <v>VF1RFK00373934288</v>
      </c>
      <c r="AX145" s="209">
        <f>IF(Tabla15[[#This Row],[Columna2]]="M1",5.1,"")</f>
        <v>5.0999999999999996</v>
      </c>
      <c r="AY145" s="208">
        <f t="shared" si="6"/>
        <v>10</v>
      </c>
      <c r="AZ145" s="313">
        <v>17.3</v>
      </c>
      <c r="BA145" s="314">
        <f>IF(Tabla15[[#This Row],[Columna2]]="M1",13073,IF(Tabla15[[#This Row],[Columna2]]="N1",15815,IF(Tabla15[[#This Row],[Columna2]]="L3e",2831,53508)))</f>
        <v>13073</v>
      </c>
      <c r="BB145" s="350">
        <f>(Tabla15[[#This Row],[CVA]]*Tabla15[[#This Row],[F]]-Tabla15[[#This Row],[CVN]])/100*Tabla15[[#This Row],[L]]</f>
        <v>4405.6010000000006</v>
      </c>
      <c r="BC145" s="74" t="s">
        <v>70</v>
      </c>
      <c r="BD145" s="294">
        <f>VLOOKUP(B145,Tabla467824[[ID CAE2]:[AE '[kWh']]],6,FALSE)</f>
        <v>6795.3454000000002</v>
      </c>
      <c r="BE14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6" spans="1:57" ht="51.75" x14ac:dyDescent="0.25">
      <c r="A146" s="53" t="s">
        <v>1281</v>
      </c>
      <c r="B146" s="53" t="e">
        <v>#N/A</v>
      </c>
      <c r="C146" s="352" t="s">
        <v>1282</v>
      </c>
      <c r="D146" s="104"/>
      <c r="E146" s="104"/>
      <c r="F146" s="104"/>
      <c r="G146" s="104"/>
      <c r="H146" s="104"/>
      <c r="I146" s="104"/>
      <c r="J146" s="104"/>
      <c r="K146" s="96" t="s">
        <v>73</v>
      </c>
      <c r="L146" s="96" t="s">
        <v>74</v>
      </c>
      <c r="M146" s="96" t="s">
        <v>75</v>
      </c>
      <c r="N146" s="96" t="s">
        <v>76</v>
      </c>
      <c r="O146" s="99">
        <f>VLOOKUP(Tabla15[[#This Row],[Matricula Antigua]],BAJA2022202320242025!$B$3:$CR$245,93,FALSE)</f>
        <v>44958</v>
      </c>
      <c r="P146" s="316">
        <v>44958</v>
      </c>
      <c r="Q146" s="317">
        <f>Tabla15[[#This Row],[F.Vig.Final]]-Tabla15[[#This Row],[f Vig Inicio]]</f>
        <v>0</v>
      </c>
      <c r="R146" s="318">
        <f>YEAR(Tabla15[[#This Row],[F.Vig.Final]])</f>
        <v>2023</v>
      </c>
      <c r="S146" s="96" t="s">
        <v>77</v>
      </c>
      <c r="T146" s="96" t="s">
        <v>78</v>
      </c>
      <c r="U146" s="96" t="s">
        <v>380</v>
      </c>
      <c r="V146" s="96" t="s">
        <v>787</v>
      </c>
      <c r="W146" s="96" t="s">
        <v>102</v>
      </c>
      <c r="X146" s="332" t="s">
        <v>1667</v>
      </c>
      <c r="Y146" s="96" t="s">
        <v>440</v>
      </c>
      <c r="Z146" s="98">
        <f>COUNTIF($X$3:X146, X146)</f>
        <v>32</v>
      </c>
      <c r="AA146" s="337" t="s">
        <v>1668</v>
      </c>
      <c r="AB146" s="337" t="s">
        <v>1668</v>
      </c>
      <c r="AC146" s="337" t="s">
        <v>1669</v>
      </c>
      <c r="AD146" s="341" t="s">
        <v>1670</v>
      </c>
      <c r="AE146" s="342" t="s">
        <v>1671</v>
      </c>
      <c r="AF146" s="337" t="s">
        <v>1672</v>
      </c>
      <c r="AG146" s="344" t="s">
        <v>1673</v>
      </c>
      <c r="AH146" s="337" t="s">
        <v>1649</v>
      </c>
      <c r="AI146" s="337" t="s">
        <v>1283</v>
      </c>
      <c r="AJ146" s="98" t="s">
        <v>359</v>
      </c>
      <c r="AK146" s="98" t="s">
        <v>452</v>
      </c>
      <c r="AL146" s="98" t="s">
        <v>87</v>
      </c>
      <c r="AM146" s="101" t="s">
        <v>440</v>
      </c>
      <c r="AN146" s="348" t="s">
        <v>108</v>
      </c>
      <c r="AO146" s="349">
        <v>45063</v>
      </c>
      <c r="AP146" s="98">
        <f>Tabla15[[#This Row],[Renov. Flota]]-Tabla15[[#This Row],[Año]]</f>
        <v>0</v>
      </c>
      <c r="AQ146" s="100" t="s">
        <v>102</v>
      </c>
      <c r="AR146" s="100">
        <v>4500352857</v>
      </c>
      <c r="AS146" s="101" t="s">
        <v>103</v>
      </c>
      <c r="AT146" s="101"/>
      <c r="AU146" s="101" t="s">
        <v>72</v>
      </c>
      <c r="AV146" s="101" t="s">
        <v>109</v>
      </c>
      <c r="AW146" s="101" t="s">
        <v>1284</v>
      </c>
      <c r="AX146" s="209">
        <v>5.6</v>
      </c>
      <c r="AY146" s="208">
        <f t="shared" si="6"/>
        <v>10</v>
      </c>
      <c r="AZ146" s="313">
        <v>28.1</v>
      </c>
      <c r="BA146" s="314">
        <f>IF(Tabla15[[#This Row],[Columna2]]="M1",13073,IF(Tabla15[[#This Row],[Columna2]]="N1",15815,IF(Tabla15[[#This Row],[Columna2]]="L3e",2831,53508)))</f>
        <v>15815</v>
      </c>
      <c r="BB146" s="350">
        <f>(Tabla15[[#This Row],[CVA]]*Tabla15[[#This Row],[F]]-Tabla15[[#This Row],[CVN]])/100*Tabla15[[#This Row],[L]]</f>
        <v>4412.3849999999993</v>
      </c>
      <c r="BC146" s="74" t="s">
        <v>128</v>
      </c>
      <c r="BD146" s="294">
        <v>0</v>
      </c>
      <c r="BE14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47" spans="1:57" ht="52.5" thickBot="1" x14ac:dyDescent="0.3">
      <c r="A147" s="53" t="s">
        <v>767</v>
      </c>
      <c r="B147" s="53" t="s">
        <v>767</v>
      </c>
      <c r="C147" s="332" t="s">
        <v>768</v>
      </c>
      <c r="D147" s="104" t="s">
        <v>72</v>
      </c>
      <c r="E147" s="104"/>
      <c r="F147" s="104" t="s">
        <v>72</v>
      </c>
      <c r="G147" s="104"/>
      <c r="H147" s="104" t="s">
        <v>72</v>
      </c>
      <c r="I147" s="104" t="s">
        <v>72</v>
      </c>
      <c r="J147" s="104"/>
      <c r="K147" s="96" t="s">
        <v>73</v>
      </c>
      <c r="L147" s="96" t="s">
        <v>200</v>
      </c>
      <c r="M147" s="96" t="s">
        <v>201</v>
      </c>
      <c r="N147" s="96" t="s">
        <v>76</v>
      </c>
      <c r="O147" s="101">
        <f>VLOOKUP(Tabla15[[#This Row],[Matricula Antigua]],BAJA2022202320242025!$B$3:$CR$245,93,FALSE)</f>
        <v>43819</v>
      </c>
      <c r="P147" s="316">
        <v>45280</v>
      </c>
      <c r="Q147" s="317">
        <f>Tabla15[[#This Row],[F.Vig.Final]]-Tabla15[[#This Row],[f Vig Inicio]]</f>
        <v>1461</v>
      </c>
      <c r="R147" s="318">
        <f>YEAR(Tabla15[[#This Row],[F.Vig.Final]])</f>
        <v>2023</v>
      </c>
      <c r="S147" s="96" t="s">
        <v>77</v>
      </c>
      <c r="T147" s="96" t="s">
        <v>78</v>
      </c>
      <c r="U147" s="96" t="s">
        <v>359</v>
      </c>
      <c r="V147" s="96" t="s">
        <v>769</v>
      </c>
      <c r="W147" s="96" t="s">
        <v>119</v>
      </c>
      <c r="X147" s="332" t="s">
        <v>1674</v>
      </c>
      <c r="Y147" s="96" t="s">
        <v>770</v>
      </c>
      <c r="Z147" s="98">
        <f>COUNTIF($X$3:X147, X147)</f>
        <v>17</v>
      </c>
      <c r="AA147" s="337" t="s">
        <v>1661</v>
      </c>
      <c r="AB147" s="337" t="s">
        <v>1661</v>
      </c>
      <c r="AC147" s="337" t="s">
        <v>1662</v>
      </c>
      <c r="AD147" s="337" t="s">
        <v>1663</v>
      </c>
      <c r="AE147" s="345" t="s">
        <v>1664</v>
      </c>
      <c r="AF147" s="346" t="s">
        <v>1665</v>
      </c>
      <c r="AG147" s="337" t="s">
        <v>1666</v>
      </c>
      <c r="AH147" s="337" t="s">
        <v>1649</v>
      </c>
      <c r="AI147" s="337" t="s">
        <v>771</v>
      </c>
      <c r="AJ147" s="98" t="s">
        <v>140</v>
      </c>
      <c r="AK147" s="98" t="s">
        <v>151</v>
      </c>
      <c r="AL147" s="98" t="s">
        <v>87</v>
      </c>
      <c r="AM147" s="101" t="s">
        <v>501</v>
      </c>
      <c r="AN147" s="348" t="s">
        <v>89</v>
      </c>
      <c r="AO147" s="349">
        <v>45622</v>
      </c>
      <c r="AP147" s="98">
        <f>Tabla15[[#This Row],[Renov. Flota]]-Tabla15[[#This Row],[Año]]</f>
        <v>1</v>
      </c>
      <c r="AQ147" s="100" t="s">
        <v>119</v>
      </c>
      <c r="AR147" s="100" t="str">
        <f>VLOOKUP(Tabla15[[#This Row],[Matricula nueva]],'ALTA 20242025'!$B$2:$P$242,15,FALSE)</f>
        <v>4500424775</v>
      </c>
      <c r="AS147" s="101" t="s">
        <v>120</v>
      </c>
      <c r="AT147" s="101"/>
      <c r="AU147" s="101" t="s">
        <v>72</v>
      </c>
      <c r="AV147" s="101" t="s">
        <v>91</v>
      </c>
      <c r="AW147" s="101" t="str">
        <f>VLOOKUP(Tabla15[[#This Row],[Matricula nueva]],Hoja2!$A$1:$B$224,2,FALSE)</f>
        <v>VR7CBZYA6RT152186</v>
      </c>
      <c r="AX147" s="209">
        <f>IF(Tabla15[[#This Row],[Columna2]]="M1",5.1,"")</f>
        <v>5.0999999999999996</v>
      </c>
      <c r="AY147" s="208">
        <f t="shared" si="6"/>
        <v>10</v>
      </c>
      <c r="AZ147" s="313">
        <v>16.399999999999999</v>
      </c>
      <c r="BA147" s="314">
        <f>IF(Tabla15[[#This Row],[Columna2]]="M1",13073,IF(Tabla15[[#This Row],[Columna2]]="N1",15815,IF(Tabla15[[#This Row],[Columna2]]="L3e",2831,53508)))</f>
        <v>13073</v>
      </c>
      <c r="BB147" s="350">
        <f>(Tabla15[[#This Row],[CVA]]*Tabla15[[#This Row],[F]]-Tabla15[[#This Row],[CVN]])/100*Tabla15[[#This Row],[L]]</f>
        <v>4523.2580000000007</v>
      </c>
      <c r="BC147" s="79" t="s">
        <v>70</v>
      </c>
      <c r="BD147" s="294">
        <f>VLOOKUP(B147,Tabla467824[[ID CAE2]:[AE '[kWh']]],6,FALSE)</f>
        <v>6795.3454000000002</v>
      </c>
      <c r="BE14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48" spans="1:57" ht="15.75" hidden="1" thickBot="1" x14ac:dyDescent="0.3">
      <c r="A148" s="53" t="s">
        <v>1285</v>
      </c>
      <c r="B148" s="53" t="e">
        <v>#N/A</v>
      </c>
      <c r="C148" s="96" t="s">
        <v>1286</v>
      </c>
      <c r="D148" s="96"/>
      <c r="E148" s="96"/>
      <c r="F148" s="96"/>
      <c r="G148" s="96"/>
      <c r="H148" s="96"/>
      <c r="I148" s="96"/>
      <c r="J148" s="96"/>
      <c r="K148" s="96" t="s">
        <v>73</v>
      </c>
      <c r="L148" s="96" t="s">
        <v>200</v>
      </c>
      <c r="M148" s="96" t="s">
        <v>201</v>
      </c>
      <c r="N148" s="96" t="s">
        <v>160</v>
      </c>
      <c r="O148" s="101">
        <f>VLOOKUP(Tabla15[[#This Row],[Matricula Antigua]],BAJA2022202320242025!$B$3:$CR$245,93,FALSE)</f>
        <v>44166</v>
      </c>
      <c r="P148" s="99">
        <v>45627</v>
      </c>
      <c r="Q148" s="98">
        <f>Tabla15[[#This Row],[F.Vig.Final]]-Tabla15[[#This Row],[f Vig Inicio]]</f>
        <v>1461</v>
      </c>
      <c r="R148" s="99">
        <f>YEAR(Tabla15[[#This Row],[F.Vig.Final]])</f>
        <v>2024</v>
      </c>
      <c r="S148" s="96" t="s">
        <v>161</v>
      </c>
      <c r="T148" s="96" t="s">
        <v>78</v>
      </c>
      <c r="U148" s="96" t="s">
        <v>467</v>
      </c>
      <c r="V148" s="96" t="s">
        <v>476</v>
      </c>
      <c r="W148" s="96" t="s">
        <v>584</v>
      </c>
      <c r="X148" s="96" t="s">
        <v>585</v>
      </c>
      <c r="Y148" s="96" t="s">
        <v>1287</v>
      </c>
      <c r="Z148" s="98">
        <f>COUNTIF($X$3:X148, X148)</f>
        <v>7</v>
      </c>
      <c r="AA148" s="98"/>
      <c r="AB148" s="98"/>
      <c r="AC148" s="98"/>
      <c r="AD148" s="98"/>
      <c r="AE148" s="321"/>
      <c r="AF148" s="98"/>
      <c r="AG148" s="98"/>
      <c r="AH148" s="98"/>
      <c r="AI148" s="98" t="e">
        <v>#N/A</v>
      </c>
      <c r="AJ148" s="98" t="e">
        <v>#N/A</v>
      </c>
      <c r="AK148" s="98" t="e">
        <v>#N/A</v>
      </c>
      <c r="AL148" s="98" t="e">
        <v>#N/A</v>
      </c>
      <c r="AM148" s="98" t="e">
        <v>#N/A</v>
      </c>
      <c r="AN148" s="99" t="e">
        <v>#N/A</v>
      </c>
      <c r="AO148" s="99" t="e">
        <v>#N/A</v>
      </c>
      <c r="AP148" s="99" t="e">
        <f>Tabla15[[#This Row],[Renov. Flota]]-Tabla15[[#This Row],[Año]]</f>
        <v>#N/A</v>
      </c>
      <c r="AQ148" s="100" t="e">
        <v>#N/A</v>
      </c>
      <c r="AR148" s="100" t="e">
        <f>VLOOKUP(Tabla15[[#This Row],[Matricula nueva]],'ALTA 20242025'!$B$2:$P$242,15,FALSE)</f>
        <v>#N/A</v>
      </c>
      <c r="AS148" s="101" t="e">
        <v>#N/A</v>
      </c>
      <c r="AT148" s="101"/>
      <c r="AU148" s="101"/>
      <c r="AV148" s="101"/>
      <c r="AW148" s="101" t="e">
        <f>VLOOKUP(Tabla15[[#This Row],[Matricula nueva]],Hoja2!$A$1:$B$224,2,FALSE)</f>
        <v>#N/A</v>
      </c>
      <c r="AX148" s="101" t="str">
        <f>IF(Tabla15[[#This Row],[Columna2]]="M1",5.1,"")</f>
        <v/>
      </c>
      <c r="AY148" s="101"/>
      <c r="AZ148" s="101"/>
      <c r="BA148" s="311">
        <f>IF(Tabla15[[#This Row],[Columna2]]="M1",13073,IF(Tabla15[[#This Row],[Columna2]]="N1",15815,IF(Tabla15[[#This Row],[Columna2]]="L3e",2831,53508)))</f>
        <v>53508</v>
      </c>
      <c r="BB148" s="311" t="e">
        <f>(Tabla15[[#This Row],[CVA]]*Tabla15[[#This Row],[F]]-Tabla15[[#This Row],[CVN]])/100*Tabla15[[#This Row],[L]]</f>
        <v>#VALUE!</v>
      </c>
      <c r="BC148" s="1"/>
      <c r="BD148" s="1" t="e">
        <f>VLOOKUP(B148,Tabla467824[[ID CAE2]:[AE '[kWh']]],6,FALSE)</f>
        <v>#N/A</v>
      </c>
      <c r="BE14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49" spans="1:57" ht="51.75" x14ac:dyDescent="0.25">
      <c r="A149" s="53" t="s">
        <v>774</v>
      </c>
      <c r="B149" s="53" t="s">
        <v>774</v>
      </c>
      <c r="C149" s="332" t="s">
        <v>775</v>
      </c>
      <c r="D149" s="104" t="s">
        <v>72</v>
      </c>
      <c r="E149" s="104"/>
      <c r="F149" s="104" t="s">
        <v>72</v>
      </c>
      <c r="G149" s="104"/>
      <c r="H149" s="104" t="s">
        <v>72</v>
      </c>
      <c r="I149" s="104" t="s">
        <v>72</v>
      </c>
      <c r="J149" s="104"/>
      <c r="K149" s="96" t="s">
        <v>73</v>
      </c>
      <c r="L149" s="96" t="s">
        <v>200</v>
      </c>
      <c r="M149" s="96" t="s">
        <v>201</v>
      </c>
      <c r="N149" s="96" t="s">
        <v>76</v>
      </c>
      <c r="O149" s="101">
        <f>VLOOKUP(Tabla15[[#This Row],[Matricula Antigua]],BAJA2022202320242025!$B$3:$CR$245,93,FALSE)</f>
        <v>43819</v>
      </c>
      <c r="P149" s="316">
        <v>45646</v>
      </c>
      <c r="Q149" s="317">
        <f>Tabla15[[#This Row],[F.Vig.Final]]-Tabla15[[#This Row],[f Vig Inicio]]</f>
        <v>1827</v>
      </c>
      <c r="R149" s="318">
        <f>YEAR(Tabla15[[#This Row],[F.Vig.Final]])</f>
        <v>2024</v>
      </c>
      <c r="S149" s="96" t="s">
        <v>77</v>
      </c>
      <c r="T149" s="96" t="s">
        <v>78</v>
      </c>
      <c r="U149" s="96" t="s">
        <v>359</v>
      </c>
      <c r="V149" s="96" t="s">
        <v>769</v>
      </c>
      <c r="W149" s="96" t="s">
        <v>119</v>
      </c>
      <c r="X149" s="332" t="s">
        <v>1674</v>
      </c>
      <c r="Y149" s="96" t="s">
        <v>776</v>
      </c>
      <c r="Z149" s="98">
        <f>COUNTIF($X$3:X149, X149)</f>
        <v>18</v>
      </c>
      <c r="AA149" s="337" t="s">
        <v>1661</v>
      </c>
      <c r="AB149" s="337" t="s">
        <v>1661</v>
      </c>
      <c r="AC149" s="337" t="s">
        <v>1662</v>
      </c>
      <c r="AD149" s="337" t="s">
        <v>1663</v>
      </c>
      <c r="AE149" s="339" t="s">
        <v>1664</v>
      </c>
      <c r="AF149" s="340" t="s">
        <v>1665</v>
      </c>
      <c r="AG149" s="340" t="s">
        <v>1666</v>
      </c>
      <c r="AH149" s="337" t="s">
        <v>1649</v>
      </c>
      <c r="AI149" s="337" t="s">
        <v>777</v>
      </c>
      <c r="AJ149" s="98" t="s">
        <v>140</v>
      </c>
      <c r="AK149" s="98" t="s">
        <v>151</v>
      </c>
      <c r="AL149" s="98" t="s">
        <v>87</v>
      </c>
      <c r="AM149" s="101" t="s">
        <v>258</v>
      </c>
      <c r="AN149" s="348" t="s">
        <v>89</v>
      </c>
      <c r="AO149" s="349">
        <v>45625</v>
      </c>
      <c r="AP149" s="98">
        <f>Tabla15[[#This Row],[Renov. Flota]]-Tabla15[[#This Row],[Año]]</f>
        <v>0</v>
      </c>
      <c r="AQ149" s="100" t="s">
        <v>119</v>
      </c>
      <c r="AR149" s="100" t="str">
        <f>VLOOKUP(Tabla15[[#This Row],[Matricula nueva]],'ALTA 20242025'!$B$2:$P$242,15,FALSE)</f>
        <v>4500424813</v>
      </c>
      <c r="AS149" s="101" t="s">
        <v>120</v>
      </c>
      <c r="AT149" s="101"/>
      <c r="AU149" s="101" t="s">
        <v>72</v>
      </c>
      <c r="AV149" s="101" t="s">
        <v>91</v>
      </c>
      <c r="AW149" s="101" t="str">
        <f>VLOOKUP(Tabla15[[#This Row],[Matricula nueva]],Hoja2!$A$1:$B$224,2,FALSE)</f>
        <v>VR7CBZYA1RT152192</v>
      </c>
      <c r="AX149" s="209">
        <f>IF(Tabla15[[#This Row],[Columna2]]="M1",5.1,"")</f>
        <v>5.0999999999999996</v>
      </c>
      <c r="AY149" s="208">
        <f>IF(T149="DIESEL",10,IF(T149="GLP",7.16,9.19))</f>
        <v>10</v>
      </c>
      <c r="AZ149" s="313">
        <v>16.399999999999999</v>
      </c>
      <c r="BA149" s="314">
        <f>IF(Tabla15[[#This Row],[Columna2]]="M1",13073,IF(Tabla15[[#This Row],[Columna2]]="N1",15815,IF(Tabla15[[#This Row],[Columna2]]="L3e",2831,53508)))</f>
        <v>13073</v>
      </c>
      <c r="BB149" s="350">
        <f>(Tabla15[[#This Row],[CVA]]*Tabla15[[#This Row],[F]]-Tabla15[[#This Row],[CVN]])/100*Tabla15[[#This Row],[L]]</f>
        <v>4523.2580000000007</v>
      </c>
      <c r="BC149" s="69" t="s">
        <v>70</v>
      </c>
      <c r="BD149" s="294">
        <f>VLOOKUP(B149,Tabla467824[[ID CAE2]:[AE '[kWh']]],6,FALSE)</f>
        <v>6795.3454000000002</v>
      </c>
      <c r="BE14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0" spans="1:57" ht="51.75" x14ac:dyDescent="0.25">
      <c r="A150" s="53" t="s">
        <v>780</v>
      </c>
      <c r="B150" s="53" t="s">
        <v>780</v>
      </c>
      <c r="C150" s="332" t="s">
        <v>781</v>
      </c>
      <c r="D150" s="104" t="s">
        <v>72</v>
      </c>
      <c r="E150" s="104" t="s">
        <v>72</v>
      </c>
      <c r="F150" s="104" t="s">
        <v>72</v>
      </c>
      <c r="G150" s="104"/>
      <c r="H150" s="104" t="s">
        <v>72</v>
      </c>
      <c r="I150" s="104" t="s">
        <v>72</v>
      </c>
      <c r="J150" s="104"/>
      <c r="K150" s="96" t="s">
        <v>73</v>
      </c>
      <c r="L150" s="96" t="s">
        <v>200</v>
      </c>
      <c r="M150" s="96" t="s">
        <v>201</v>
      </c>
      <c r="N150" s="96" t="s">
        <v>76</v>
      </c>
      <c r="O150" s="101">
        <f>VLOOKUP(Tabla15[[#This Row],[Matricula Antigua]],BAJA2022202320242025!$B$3:$CR$245,93,FALSE)</f>
        <v>43803</v>
      </c>
      <c r="P150" s="316">
        <v>45287</v>
      </c>
      <c r="Q150" s="317">
        <f>Tabla15[[#This Row],[F.Vig.Final]]-Tabla15[[#This Row],[f Vig Inicio]]</f>
        <v>1484</v>
      </c>
      <c r="R150" s="318">
        <f>YEAR(Tabla15[[#This Row],[F.Vig.Final]])</f>
        <v>2023</v>
      </c>
      <c r="S150" s="96" t="s">
        <v>77</v>
      </c>
      <c r="T150" s="96" t="s">
        <v>78</v>
      </c>
      <c r="U150" s="96" t="s">
        <v>359</v>
      </c>
      <c r="V150" s="96" t="s">
        <v>769</v>
      </c>
      <c r="W150" s="96" t="s">
        <v>102</v>
      </c>
      <c r="X150" s="332" t="s">
        <v>1667</v>
      </c>
      <c r="Y150" s="96" t="s">
        <v>782</v>
      </c>
      <c r="Z150" s="98">
        <f>COUNTIF($X$3:X150, X150)</f>
        <v>33</v>
      </c>
      <c r="AA150" s="337" t="s">
        <v>1668</v>
      </c>
      <c r="AB150" s="337" t="s">
        <v>1668</v>
      </c>
      <c r="AC150" s="337" t="s">
        <v>1669</v>
      </c>
      <c r="AD150" s="341" t="s">
        <v>1670</v>
      </c>
      <c r="AE150" s="342" t="s">
        <v>1671</v>
      </c>
      <c r="AF150" s="337" t="s">
        <v>1672</v>
      </c>
      <c r="AG150" s="344" t="s">
        <v>1673</v>
      </c>
      <c r="AH150" s="337" t="s">
        <v>1649</v>
      </c>
      <c r="AI150" s="337" t="s">
        <v>783</v>
      </c>
      <c r="AJ150" s="98" t="s">
        <v>85</v>
      </c>
      <c r="AK150" s="98" t="s">
        <v>114</v>
      </c>
      <c r="AL150" s="98" t="s">
        <v>87</v>
      </c>
      <c r="AM150" s="101" t="s">
        <v>457</v>
      </c>
      <c r="AN150" s="348" t="s">
        <v>108</v>
      </c>
      <c r="AO150" s="349">
        <v>45135</v>
      </c>
      <c r="AP150" s="98">
        <f>Tabla15[[#This Row],[Renov. Flota]]-Tabla15[[#This Row],[Año]]</f>
        <v>0</v>
      </c>
      <c r="AQ150" s="100" t="s">
        <v>102</v>
      </c>
      <c r="AR150" s="100">
        <v>4500370370</v>
      </c>
      <c r="AS150" s="101" t="s">
        <v>103</v>
      </c>
      <c r="AT150" s="101"/>
      <c r="AU150" s="101" t="s">
        <v>72</v>
      </c>
      <c r="AV150" s="101" t="s">
        <v>109</v>
      </c>
      <c r="AW150" s="101" t="s">
        <v>784</v>
      </c>
      <c r="AX150" s="209">
        <f>IF(Tabla15[[#This Row],[Columna2]]="M1",5.1,"")</f>
        <v>5.0999999999999996</v>
      </c>
      <c r="AY150" s="208">
        <f>IF(T150="DIESEL",10,IF(T150="GLP",7.16,9.19))</f>
        <v>10</v>
      </c>
      <c r="AZ150" s="313">
        <v>17.3</v>
      </c>
      <c r="BA150" s="314">
        <f>IF(Tabla15[[#This Row],[Columna2]]="M1",13073,IF(Tabla15[[#This Row],[Columna2]]="N1",15815,IF(Tabla15[[#This Row],[Columna2]]="L3e",2831,53508)))</f>
        <v>13073</v>
      </c>
      <c r="BB150" s="350">
        <f>(Tabla15[[#This Row],[CVA]]*Tabla15[[#This Row],[F]]-Tabla15[[#This Row],[CVN]])/100*Tabla15[[#This Row],[L]]</f>
        <v>4405.6010000000006</v>
      </c>
      <c r="BC150" s="74" t="s">
        <v>70</v>
      </c>
      <c r="BD150" s="294">
        <f>VLOOKUP(B150,Tabla467824[[ID CAE2]:[AE '[kWh']]],6,FALSE)</f>
        <v>6795.3454000000002</v>
      </c>
      <c r="BE15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1" spans="1:57" ht="52.5" thickBot="1" x14ac:dyDescent="0.3">
      <c r="A151" s="53" t="s">
        <v>785</v>
      </c>
      <c r="B151" s="53" t="s">
        <v>785</v>
      </c>
      <c r="C151" s="332" t="s">
        <v>786</v>
      </c>
      <c r="D151" s="104" t="s">
        <v>72</v>
      </c>
      <c r="E151" s="104" t="s">
        <v>72</v>
      </c>
      <c r="F151" s="104" t="s">
        <v>72</v>
      </c>
      <c r="G151" s="104"/>
      <c r="H151" s="104" t="s">
        <v>249</v>
      </c>
      <c r="I151" s="104" t="s">
        <v>249</v>
      </c>
      <c r="J151" s="104"/>
      <c r="K151" s="96" t="s">
        <v>725</v>
      </c>
      <c r="L151" s="96" t="s">
        <v>74</v>
      </c>
      <c r="M151" s="96" t="s">
        <v>75</v>
      </c>
      <c r="N151" s="96" t="s">
        <v>76</v>
      </c>
      <c r="O151" s="99">
        <f>VLOOKUP(Tabla15[[#This Row],[Matricula Antigua]],BAJA2022202320242025!$B$3:$CR$245,93,FALSE)</f>
        <v>44958</v>
      </c>
      <c r="P151" s="316">
        <v>45188</v>
      </c>
      <c r="Q151" s="317">
        <f>Tabla15[[#This Row],[F.Vig.Final]]-Tabla15[[#This Row],[f Vig Inicio]]</f>
        <v>230</v>
      </c>
      <c r="R151" s="318">
        <f>YEAR(Tabla15[[#This Row],[F.Vig.Final]])</f>
        <v>2023</v>
      </c>
      <c r="S151" s="96" t="s">
        <v>77</v>
      </c>
      <c r="T151" s="96" t="s">
        <v>78</v>
      </c>
      <c r="U151" s="96" t="s">
        <v>380</v>
      </c>
      <c r="V151" s="96" t="s">
        <v>787</v>
      </c>
      <c r="W151" s="96" t="s">
        <v>102</v>
      </c>
      <c r="X151" s="332" t="s">
        <v>1667</v>
      </c>
      <c r="Y151" s="96" t="s">
        <v>440</v>
      </c>
      <c r="Z151" s="98">
        <f>COUNTIF($X$3:X151, X151)</f>
        <v>34</v>
      </c>
      <c r="AA151" s="337" t="s">
        <v>1668</v>
      </c>
      <c r="AB151" s="337" t="s">
        <v>1668</v>
      </c>
      <c r="AC151" s="337" t="s">
        <v>1669</v>
      </c>
      <c r="AD151" s="341" t="s">
        <v>1670</v>
      </c>
      <c r="AE151" s="342" t="s">
        <v>1671</v>
      </c>
      <c r="AF151" s="337" t="s">
        <v>1672</v>
      </c>
      <c r="AG151" s="344" t="s">
        <v>1673</v>
      </c>
      <c r="AH151" s="337" t="s">
        <v>1649</v>
      </c>
      <c r="AI151" s="337" t="s">
        <v>788</v>
      </c>
      <c r="AJ151" s="98" t="s">
        <v>85</v>
      </c>
      <c r="AK151" s="98" t="s">
        <v>114</v>
      </c>
      <c r="AL151" s="98" t="s">
        <v>87</v>
      </c>
      <c r="AM151" s="101" t="s">
        <v>567</v>
      </c>
      <c r="AN151" s="348" t="s">
        <v>108</v>
      </c>
      <c r="AO151" s="349">
        <v>44922</v>
      </c>
      <c r="AP151" s="98">
        <f>Tabla15[[#This Row],[Renov. Flota]]-Tabla15[[#This Row],[Año]]</f>
        <v>0</v>
      </c>
      <c r="AQ151" s="100" t="s">
        <v>102</v>
      </c>
      <c r="AR151" s="100">
        <v>4500348765</v>
      </c>
      <c r="AS151" s="101" t="s">
        <v>103</v>
      </c>
      <c r="AT151" s="101"/>
      <c r="AU151" s="101" t="s">
        <v>72</v>
      </c>
      <c r="AV151" s="101" t="s">
        <v>109</v>
      </c>
      <c r="AW151" s="101" t="s">
        <v>789</v>
      </c>
      <c r="AX151" s="209">
        <v>5.6</v>
      </c>
      <c r="AY151" s="208">
        <f>IF(T151="DIESEL",10,IF(T151="GLP",7.16,9.19))</f>
        <v>10</v>
      </c>
      <c r="AZ151" s="313">
        <v>17.3</v>
      </c>
      <c r="BA151" s="314">
        <f>IF(Tabla15[[#This Row],[Columna2]]="M1",13073,IF(Tabla15[[#This Row],[Columna2]]="N1",15815,IF(Tabla15[[#This Row],[Columna2]]="L3e",2831,53508)))</f>
        <v>15815</v>
      </c>
      <c r="BB151" s="350">
        <f>(Tabla15[[#This Row],[CVA]]*Tabla15[[#This Row],[F]]-Tabla15[[#This Row],[CVN]])/100*Tabla15[[#This Row],[L]]</f>
        <v>6120.4049999999997</v>
      </c>
      <c r="BC151" s="79" t="s">
        <v>128</v>
      </c>
      <c r="BD151" s="294">
        <f>VLOOKUP(B151,Tabla467824[[ID CAE2]:[AE '[kWh']]],6,FALSE)</f>
        <v>5607.9989999999989</v>
      </c>
      <c r="BE15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2" spans="1:57" ht="15.75" hidden="1" thickBot="1" x14ac:dyDescent="0.3">
      <c r="A152" s="53" t="s">
        <v>1288</v>
      </c>
      <c r="B152" s="53" t="e">
        <v>#N/A</v>
      </c>
      <c r="C152" s="96" t="s">
        <v>1289</v>
      </c>
      <c r="D152" s="96"/>
      <c r="E152" s="96"/>
      <c r="F152" s="96"/>
      <c r="G152" s="96"/>
      <c r="H152" s="96"/>
      <c r="I152" s="96"/>
      <c r="J152" s="96"/>
      <c r="K152" s="96" t="s">
        <v>73</v>
      </c>
      <c r="L152" s="96" t="s">
        <v>200</v>
      </c>
      <c r="M152" s="96" t="s">
        <v>201</v>
      </c>
      <c r="N152" s="96" t="s">
        <v>76</v>
      </c>
      <c r="O152" s="101">
        <f>VLOOKUP(Tabla15[[#This Row],[Matricula Antigua]],BAJA2022202320242025!$B$3:$CR$245,93,FALSE)</f>
        <v>44176</v>
      </c>
      <c r="P152" s="99">
        <v>45637</v>
      </c>
      <c r="Q152" s="98">
        <f>Tabla15[[#This Row],[F.Vig.Final]]-Tabla15[[#This Row],[f Vig Inicio]]</f>
        <v>1461</v>
      </c>
      <c r="R152" s="99">
        <f>YEAR(Tabla15[[#This Row],[F.Vig.Final]])</f>
        <v>2024</v>
      </c>
      <c r="S152" s="96" t="s">
        <v>77</v>
      </c>
      <c r="T152" s="96" t="s">
        <v>78</v>
      </c>
      <c r="U152" s="96" t="s">
        <v>467</v>
      </c>
      <c r="V152" s="96" t="s">
        <v>476</v>
      </c>
      <c r="W152" s="96" t="s">
        <v>1290</v>
      </c>
      <c r="X152" s="96" t="s">
        <v>1291</v>
      </c>
      <c r="Y152" s="96" t="s">
        <v>1292</v>
      </c>
      <c r="Z152" s="98">
        <f>COUNTIF($X$3:X152, X152)</f>
        <v>1</v>
      </c>
      <c r="AA152" s="98"/>
      <c r="AB152" s="98"/>
      <c r="AC152" s="98"/>
      <c r="AD152" s="98"/>
      <c r="AE152" s="322"/>
      <c r="AF152" s="322"/>
      <c r="AG152" s="98"/>
      <c r="AH152" s="98"/>
      <c r="AI152" s="98" t="e">
        <v>#N/A</v>
      </c>
      <c r="AJ152" s="98" t="e">
        <v>#N/A</v>
      </c>
      <c r="AK152" s="98" t="e">
        <v>#N/A</v>
      </c>
      <c r="AL152" s="98" t="e">
        <v>#N/A</v>
      </c>
      <c r="AM152" s="98" t="e">
        <v>#N/A</v>
      </c>
      <c r="AN152" s="99" t="e">
        <v>#N/A</v>
      </c>
      <c r="AO152" s="99" t="e">
        <v>#N/A</v>
      </c>
      <c r="AP152" s="99" t="e">
        <f>Tabla15[[#This Row],[Renov. Flota]]-Tabla15[[#This Row],[Año]]</f>
        <v>#N/A</v>
      </c>
      <c r="AQ152" s="100" t="e">
        <v>#N/A</v>
      </c>
      <c r="AR152" s="100" t="e">
        <f>VLOOKUP(Tabla15[[#This Row],[Matricula nueva]],'ALTA 20242025'!$B$2:$P$242,15,FALSE)</f>
        <v>#N/A</v>
      </c>
      <c r="AS152" s="101" t="e">
        <v>#N/A</v>
      </c>
      <c r="AT152" s="101"/>
      <c r="AU152" s="101"/>
      <c r="AV152" s="101"/>
      <c r="AW152" s="101" t="e">
        <f>VLOOKUP(Tabla15[[#This Row],[Matricula nueva]],Hoja2!$A$1:$B$224,2,FALSE)</f>
        <v>#N/A</v>
      </c>
      <c r="AX152" s="101" t="str">
        <f>IF(Tabla15[[#This Row],[Columna2]]="M1",5.1,"")</f>
        <v/>
      </c>
      <c r="AY152" s="101"/>
      <c r="AZ152" s="101"/>
      <c r="BA152" s="311">
        <f>IF(Tabla15[[#This Row],[Columna2]]="M1",13073,IF(Tabla15[[#This Row],[Columna2]]="N1",15815,IF(Tabla15[[#This Row],[Columna2]]="L3e",2831,53508)))</f>
        <v>53508</v>
      </c>
      <c r="BB152" s="311" t="e">
        <f>(Tabla15[[#This Row],[CVA]]*Tabla15[[#This Row],[F]]-Tabla15[[#This Row],[CVN]])/100*Tabla15[[#This Row],[L]]</f>
        <v>#VALUE!</v>
      </c>
      <c r="BC152" s="1"/>
      <c r="BD152" s="1" t="e">
        <f>VLOOKUP(B152,Tabla467824[[ID CAE2]:[AE '[kWh']]],6,FALSE)</f>
        <v>#N/A</v>
      </c>
      <c r="BE15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53" spans="1:57" ht="51.75" x14ac:dyDescent="0.25">
      <c r="A153" s="53" t="s">
        <v>790</v>
      </c>
      <c r="B153" s="53" t="s">
        <v>790</v>
      </c>
      <c r="C153" s="332" t="s">
        <v>791</v>
      </c>
      <c r="D153" s="104"/>
      <c r="E153" s="104"/>
      <c r="F153" s="104"/>
      <c r="G153" s="104" t="s">
        <v>72</v>
      </c>
      <c r="H153" s="104" t="s">
        <v>72</v>
      </c>
      <c r="I153" s="104" t="s">
        <v>72</v>
      </c>
      <c r="J153" s="104" t="s">
        <v>72</v>
      </c>
      <c r="K153" s="96" t="s">
        <v>158</v>
      </c>
      <c r="L153" s="96" t="s">
        <v>159</v>
      </c>
      <c r="M153" s="96" t="s">
        <v>158</v>
      </c>
      <c r="N153" s="96" t="s">
        <v>171</v>
      </c>
      <c r="O153" s="99">
        <f>VLOOKUP(Tabla15[[#This Row],[Matricula Antigua]],BAJA2022202320242025!$B$3:$CR$245,93,FALSE)</f>
        <v>41638</v>
      </c>
      <c r="P153" s="316">
        <v>44971</v>
      </c>
      <c r="Q153" s="317">
        <f>Tabla15[[#This Row],[F.Vig.Final]]-Tabla15[[#This Row],[f Vig Inicio]]</f>
        <v>3333</v>
      </c>
      <c r="R153" s="318">
        <f>YEAR(Tabla15[[#This Row],[F.Vig.Final]])</f>
        <v>2023</v>
      </c>
      <c r="S153" s="96" t="s">
        <v>172</v>
      </c>
      <c r="T153" s="96" t="s">
        <v>78</v>
      </c>
      <c r="U153" s="96" t="s">
        <v>380</v>
      </c>
      <c r="V153" s="96" t="s">
        <v>792</v>
      </c>
      <c r="W153" s="96" t="s">
        <v>131</v>
      </c>
      <c r="X153" s="332" t="s">
        <v>132</v>
      </c>
      <c r="Y153" s="96" t="s">
        <v>793</v>
      </c>
      <c r="Z153" s="98">
        <f>COUNTIF($X$3:X153, X153)</f>
        <v>10</v>
      </c>
      <c r="AA153" s="337" t="s">
        <v>1661</v>
      </c>
      <c r="AB153" s="337" t="s">
        <v>1661</v>
      </c>
      <c r="AC153" s="337" t="s">
        <v>1662</v>
      </c>
      <c r="AD153" s="333" t="s">
        <v>1675</v>
      </c>
      <c r="AE153" s="347" t="s">
        <v>1664</v>
      </c>
      <c r="AF153" s="337" t="s">
        <v>1676</v>
      </c>
      <c r="AG153" s="337" t="s">
        <v>1677</v>
      </c>
      <c r="AH153" s="337" t="s">
        <v>1649</v>
      </c>
      <c r="AI153" s="337" t="s">
        <v>794</v>
      </c>
      <c r="AJ153" s="98" t="s">
        <v>140</v>
      </c>
      <c r="AK153" s="98" t="s">
        <v>151</v>
      </c>
      <c r="AL153" s="98" t="s">
        <v>87</v>
      </c>
      <c r="AM153" s="101" t="s">
        <v>622</v>
      </c>
      <c r="AN153" s="348" t="s">
        <v>89</v>
      </c>
      <c r="AO153" s="349">
        <v>45625</v>
      </c>
      <c r="AP153" s="98">
        <f>Tabla15[[#This Row],[Renov. Flota]]-Tabla15[[#This Row],[Año]]</f>
        <v>1</v>
      </c>
      <c r="AQ153" s="100" t="s">
        <v>131</v>
      </c>
      <c r="AR153" s="100" t="str">
        <f>VLOOKUP(Tabla15[[#This Row],[Matricula nueva]],'ALTA 20242025'!$B$2:$P$242,15,FALSE)</f>
        <v>4500424804</v>
      </c>
      <c r="AS153" s="101" t="s">
        <v>132</v>
      </c>
      <c r="AT153" s="101"/>
      <c r="AU153" s="101" t="s">
        <v>72</v>
      </c>
      <c r="AV153" s="101" t="s">
        <v>91</v>
      </c>
      <c r="AW153" s="101" t="str">
        <f>VLOOKUP(Tabla15[[#This Row],[Matricula nueva]],Hoja2!$A$1:$B$224,2,FALSE)</f>
        <v>VR7CBZYA1RT152211</v>
      </c>
      <c r="AX153" s="209">
        <v>5.6</v>
      </c>
      <c r="AY153" s="208">
        <f t="shared" ref="AY153:AY163" si="7">IF(T153="DIESEL",10,IF(T153="GLP",7.16,9.19))</f>
        <v>10</v>
      </c>
      <c r="AZ153" s="313">
        <v>16.399999999999999</v>
      </c>
      <c r="BA153" s="314">
        <f>IF(Tabla15[[#This Row],[Columna2]]="M1",13073,IF(Tabla15[[#This Row],[Columna2]]="N1",15815,IF(Tabla15[[#This Row],[Columna2]]="L3e",2831,53508)))</f>
        <v>15815</v>
      </c>
      <c r="BB153" s="350">
        <f>(Tabla15[[#This Row],[CVA]]*Tabla15[[#This Row],[F]]-Tabla15[[#This Row],[CVN]])/100*Tabla15[[#This Row],[L]]</f>
        <v>6262.7400000000007</v>
      </c>
      <c r="BC153" s="69" t="s">
        <v>128</v>
      </c>
      <c r="BD153" s="294">
        <f>VLOOKUP(B153,Tabla467824[[ID CAE2]:[AE '[kWh']]],6,FALSE)</f>
        <v>5607.9989999999989</v>
      </c>
      <c r="BE15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54" spans="1:57" ht="51.75" x14ac:dyDescent="0.25">
      <c r="A154" s="53" t="s">
        <v>797</v>
      </c>
      <c r="B154" s="53" t="s">
        <v>797</v>
      </c>
      <c r="C154" s="332" t="s">
        <v>798</v>
      </c>
      <c r="D154" s="104" t="s">
        <v>72</v>
      </c>
      <c r="E154" s="104" t="s">
        <v>72</v>
      </c>
      <c r="F154" s="104" t="s">
        <v>72</v>
      </c>
      <c r="G154" s="104"/>
      <c r="H154" s="104" t="s">
        <v>249</v>
      </c>
      <c r="I154" s="104" t="s">
        <v>249</v>
      </c>
      <c r="J154" s="104"/>
      <c r="K154" s="96" t="s">
        <v>725</v>
      </c>
      <c r="L154" s="96" t="s">
        <v>74</v>
      </c>
      <c r="M154" s="96" t="s">
        <v>75</v>
      </c>
      <c r="N154" s="96" t="s">
        <v>76</v>
      </c>
      <c r="O154" s="99">
        <f>VLOOKUP(Tabla15[[#This Row],[Matricula Antigua]],BAJA2022202320242025!$B$3:$CR$245,93,FALSE)</f>
        <v>45017</v>
      </c>
      <c r="P154" s="316">
        <v>45188</v>
      </c>
      <c r="Q154" s="317">
        <f>Tabla15[[#This Row],[F.Vig.Final]]-Tabla15[[#This Row],[f Vig Inicio]]</f>
        <v>171</v>
      </c>
      <c r="R154" s="318">
        <f>YEAR(Tabla15[[#This Row],[F.Vig.Final]])</f>
        <v>2023</v>
      </c>
      <c r="S154" s="96" t="s">
        <v>77</v>
      </c>
      <c r="T154" s="96" t="s">
        <v>78</v>
      </c>
      <c r="U154" s="96" t="s">
        <v>380</v>
      </c>
      <c r="V154" s="96" t="s">
        <v>799</v>
      </c>
      <c r="W154" s="96" t="s">
        <v>102</v>
      </c>
      <c r="X154" s="332" t="s">
        <v>1667</v>
      </c>
      <c r="Y154" s="96" t="s">
        <v>440</v>
      </c>
      <c r="Z154" s="98">
        <f>COUNTIF($X$3:X154, X154)</f>
        <v>35</v>
      </c>
      <c r="AA154" s="337" t="s">
        <v>1668</v>
      </c>
      <c r="AB154" s="337" t="s">
        <v>1668</v>
      </c>
      <c r="AC154" s="337" t="s">
        <v>1669</v>
      </c>
      <c r="AD154" s="341" t="s">
        <v>1670</v>
      </c>
      <c r="AE154" s="339" t="s">
        <v>1671</v>
      </c>
      <c r="AF154" s="340" t="s">
        <v>1672</v>
      </c>
      <c r="AG154" s="356" t="s">
        <v>1673</v>
      </c>
      <c r="AH154" s="337" t="s">
        <v>1649</v>
      </c>
      <c r="AI154" s="337" t="s">
        <v>800</v>
      </c>
      <c r="AJ154" s="98" t="s">
        <v>85</v>
      </c>
      <c r="AK154" s="98" t="s">
        <v>340</v>
      </c>
      <c r="AL154" s="98" t="s">
        <v>87</v>
      </c>
      <c r="AM154" s="101" t="s">
        <v>562</v>
      </c>
      <c r="AN154" s="348" t="s">
        <v>108</v>
      </c>
      <c r="AO154" s="349">
        <v>44929</v>
      </c>
      <c r="AP154" s="98">
        <f>Tabla15[[#This Row],[Renov. Flota]]-Tabla15[[#This Row],[Año]]</f>
        <v>0</v>
      </c>
      <c r="AQ154" s="100" t="s">
        <v>102</v>
      </c>
      <c r="AR154" s="100">
        <v>4500350425</v>
      </c>
      <c r="AS154" s="101" t="s">
        <v>103</v>
      </c>
      <c r="AT154" s="101"/>
      <c r="AU154" s="101" t="s">
        <v>72</v>
      </c>
      <c r="AV154" s="101" t="s">
        <v>109</v>
      </c>
      <c r="AW154" s="101" t="s">
        <v>801</v>
      </c>
      <c r="AX154" s="209">
        <v>5.6</v>
      </c>
      <c r="AY154" s="208">
        <f t="shared" si="7"/>
        <v>10</v>
      </c>
      <c r="AZ154" s="313">
        <v>13.3</v>
      </c>
      <c r="BA154" s="314">
        <f>IF(Tabla15[[#This Row],[Columna2]]="M1",13073,IF(Tabla15[[#This Row],[Columna2]]="N1",15815,IF(Tabla15[[#This Row],[Columna2]]="L3e",2831,53508)))</f>
        <v>15815</v>
      </c>
      <c r="BB154" s="350">
        <f>(Tabla15[[#This Row],[CVA]]*Tabla15[[#This Row],[F]]-Tabla15[[#This Row],[CVN]])/100*Tabla15[[#This Row],[L]]</f>
        <v>6753.005000000001</v>
      </c>
      <c r="BC154" s="74" t="s">
        <v>128</v>
      </c>
      <c r="BD154" s="294">
        <f>VLOOKUP(B154,Tabla467824[[ID CAE2]:[AE '[kWh']]],6,FALSE)</f>
        <v>5607.9989999999989</v>
      </c>
      <c r="BE15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5" spans="1:57" ht="60" x14ac:dyDescent="0.25">
      <c r="A155" s="53" t="s">
        <v>802</v>
      </c>
      <c r="B155" s="53" t="s">
        <v>802</v>
      </c>
      <c r="C155" s="332" t="s">
        <v>803</v>
      </c>
      <c r="D155" s="104" t="s">
        <v>72</v>
      </c>
      <c r="E155" s="104" t="s">
        <v>72</v>
      </c>
      <c r="F155" s="104" t="s">
        <v>72</v>
      </c>
      <c r="G155" s="104"/>
      <c r="H155" s="104" t="s">
        <v>72</v>
      </c>
      <c r="I155" s="104" t="s">
        <v>72</v>
      </c>
      <c r="J155" s="104"/>
      <c r="K155" s="96" t="s">
        <v>73</v>
      </c>
      <c r="L155" s="96" t="s">
        <v>200</v>
      </c>
      <c r="M155" s="96" t="s">
        <v>201</v>
      </c>
      <c r="N155" s="96" t="s">
        <v>76</v>
      </c>
      <c r="O155" s="101">
        <f>VLOOKUP(Tabla15[[#This Row],[Matricula Antigua]],BAJA2022202320242025!$B$3:$CR$245,93,FALSE)</f>
        <v>44244</v>
      </c>
      <c r="P155" s="316">
        <v>45705</v>
      </c>
      <c r="Q155" s="317">
        <f>Tabla15[[#This Row],[F.Vig.Final]]-Tabla15[[#This Row],[f Vig Inicio]]</f>
        <v>1461</v>
      </c>
      <c r="R155" s="318">
        <f>YEAR(Tabla15[[#This Row],[F.Vig.Final]])</f>
        <v>2025</v>
      </c>
      <c r="S155" s="96" t="s">
        <v>77</v>
      </c>
      <c r="T155" s="96" t="s">
        <v>78</v>
      </c>
      <c r="U155" s="96" t="s">
        <v>85</v>
      </c>
      <c r="V155" s="96" t="s">
        <v>804</v>
      </c>
      <c r="W155" s="96" t="s">
        <v>336</v>
      </c>
      <c r="X155" s="332" t="s">
        <v>337</v>
      </c>
      <c r="Y155" s="96" t="s">
        <v>805</v>
      </c>
      <c r="Z155" s="98">
        <f>COUNTIF($X$3:X155, X155)</f>
        <v>8</v>
      </c>
      <c r="AA155" s="337" t="s">
        <v>1661</v>
      </c>
      <c r="AB155" s="337" t="s">
        <v>1661</v>
      </c>
      <c r="AC155" s="337" t="s">
        <v>1662</v>
      </c>
      <c r="AD155" s="341" t="s">
        <v>1682</v>
      </c>
      <c r="AE155" s="347" t="s">
        <v>1664</v>
      </c>
      <c r="AF155" s="337" t="s">
        <v>1683</v>
      </c>
      <c r="AG155" s="337" t="s">
        <v>1684</v>
      </c>
      <c r="AH155" s="337" t="s">
        <v>1649</v>
      </c>
      <c r="AI155" s="337" t="s">
        <v>806</v>
      </c>
      <c r="AJ155" s="98" t="s">
        <v>140</v>
      </c>
      <c r="AK155" s="98" t="s">
        <v>151</v>
      </c>
      <c r="AL155" s="98" t="s">
        <v>87</v>
      </c>
      <c r="AM155" s="101" t="s">
        <v>807</v>
      </c>
      <c r="AN155" s="348" t="s">
        <v>89</v>
      </c>
      <c r="AO155" s="349">
        <v>45625</v>
      </c>
      <c r="AP155" s="98">
        <f>Tabla15[[#This Row],[Renov. Flota]]-Tabla15[[#This Row],[Año]]</f>
        <v>-1</v>
      </c>
      <c r="AQ155" s="100" t="s">
        <v>336</v>
      </c>
      <c r="AR155" s="100" t="str">
        <f>VLOOKUP(Tabla15[[#This Row],[Matricula nueva]],'ALTA 20242025'!$B$2:$P$242,15,FALSE)</f>
        <v>4500425488</v>
      </c>
      <c r="AS155" s="101" t="s">
        <v>337</v>
      </c>
      <c r="AT155" s="101"/>
      <c r="AU155" s="101" t="s">
        <v>72</v>
      </c>
      <c r="AV155" s="101" t="s">
        <v>91</v>
      </c>
      <c r="AW155" s="101" t="str">
        <f>VLOOKUP(Tabla15[[#This Row],[Matricula nueva]],Hoja2!$A$1:$B$224,2,FALSE)</f>
        <v>VR7CBZYA2RT153044</v>
      </c>
      <c r="AX155" s="209">
        <v>5.6</v>
      </c>
      <c r="AY155" s="208">
        <f t="shared" si="7"/>
        <v>10</v>
      </c>
      <c r="AZ155" s="313">
        <v>16.399999999999999</v>
      </c>
      <c r="BA155" s="314">
        <f>IF(Tabla15[[#This Row],[Columna2]]="M1",13073,IF(Tabla15[[#This Row],[Columna2]]="N1",15815,IF(Tabla15[[#This Row],[Columna2]]="L3e",2831,53508)))</f>
        <v>15815</v>
      </c>
      <c r="BB155" s="350">
        <f>(Tabla15[[#This Row],[CVA]]*Tabla15[[#This Row],[F]]-Tabla15[[#This Row],[CVN]])/100*Tabla15[[#This Row],[L]]</f>
        <v>6262.7400000000007</v>
      </c>
      <c r="BC155" s="74" t="s">
        <v>128</v>
      </c>
      <c r="BD155" s="294">
        <f>VLOOKUP(B155,Tabla467824[[ID CAE2]:[AE '[kWh']]],6,FALSE)</f>
        <v>6795.3454000000002</v>
      </c>
      <c r="BE15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6" spans="1:57" ht="51.75" x14ac:dyDescent="0.25">
      <c r="A156" s="53" t="s">
        <v>810</v>
      </c>
      <c r="B156" s="53" t="s">
        <v>810</v>
      </c>
      <c r="C156" s="332" t="s">
        <v>811</v>
      </c>
      <c r="D156" s="104" t="s">
        <v>72</v>
      </c>
      <c r="E156" s="104" t="s">
        <v>72</v>
      </c>
      <c r="F156" s="104" t="s">
        <v>72</v>
      </c>
      <c r="G156" s="104"/>
      <c r="H156" s="104" t="s">
        <v>249</v>
      </c>
      <c r="I156" s="104" t="s">
        <v>249</v>
      </c>
      <c r="J156" s="104"/>
      <c r="K156" s="96" t="s">
        <v>725</v>
      </c>
      <c r="L156" s="96" t="s">
        <v>74</v>
      </c>
      <c r="M156" s="96" t="s">
        <v>75</v>
      </c>
      <c r="N156" s="96" t="s">
        <v>76</v>
      </c>
      <c r="O156" s="99">
        <f>VLOOKUP(Tabla15[[#This Row],[Matricula Antigua]],BAJA2022202320242025!$B$3:$CR$245,93,FALSE)</f>
        <v>44958</v>
      </c>
      <c r="P156" s="316">
        <v>45107</v>
      </c>
      <c r="Q156" s="317">
        <f>Tabla15[[#This Row],[F.Vig.Final]]-Tabla15[[#This Row],[f Vig Inicio]]</f>
        <v>149</v>
      </c>
      <c r="R156" s="318">
        <f>YEAR(Tabla15[[#This Row],[F.Vig.Final]])</f>
        <v>2023</v>
      </c>
      <c r="S156" s="96" t="s">
        <v>77</v>
      </c>
      <c r="T156" s="96" t="s">
        <v>78</v>
      </c>
      <c r="U156" s="96" t="s">
        <v>79</v>
      </c>
      <c r="V156" s="96" t="s">
        <v>812</v>
      </c>
      <c r="W156" s="96" t="s">
        <v>102</v>
      </c>
      <c r="X156" s="332" t="s">
        <v>1667</v>
      </c>
      <c r="Y156" s="96" t="s">
        <v>440</v>
      </c>
      <c r="Z156" s="98">
        <f>COUNTIF($X$3:X156, X156)</f>
        <v>36</v>
      </c>
      <c r="AA156" s="337" t="s">
        <v>1668</v>
      </c>
      <c r="AB156" s="337" t="s">
        <v>1668</v>
      </c>
      <c r="AC156" s="337" t="s">
        <v>1669</v>
      </c>
      <c r="AD156" s="341" t="s">
        <v>1670</v>
      </c>
      <c r="AE156" s="345" t="s">
        <v>1671</v>
      </c>
      <c r="AF156" s="346" t="s">
        <v>1672</v>
      </c>
      <c r="AG156" s="357" t="s">
        <v>1673</v>
      </c>
      <c r="AH156" s="337" t="s">
        <v>1649</v>
      </c>
      <c r="AI156" s="337" t="s">
        <v>813</v>
      </c>
      <c r="AJ156" s="98" t="s">
        <v>359</v>
      </c>
      <c r="AK156" s="98" t="s">
        <v>452</v>
      </c>
      <c r="AL156" s="98" t="s">
        <v>87</v>
      </c>
      <c r="AM156" s="101" t="s">
        <v>440</v>
      </c>
      <c r="AN156" s="348" t="s">
        <v>108</v>
      </c>
      <c r="AO156" s="349">
        <v>45051</v>
      </c>
      <c r="AP156" s="98">
        <f>Tabla15[[#This Row],[Renov. Flota]]-Tabla15[[#This Row],[Año]]</f>
        <v>0</v>
      </c>
      <c r="AQ156" s="100" t="s">
        <v>102</v>
      </c>
      <c r="AR156" s="100">
        <v>4500352577</v>
      </c>
      <c r="AS156" s="101" t="s">
        <v>103</v>
      </c>
      <c r="AT156" s="101"/>
      <c r="AU156" s="101" t="s">
        <v>72</v>
      </c>
      <c r="AV156" s="101" t="s">
        <v>109</v>
      </c>
      <c r="AW156" s="101" t="s">
        <v>814</v>
      </c>
      <c r="AX156" s="209">
        <v>5.6</v>
      </c>
      <c r="AY156" s="208">
        <f t="shared" si="7"/>
        <v>10</v>
      </c>
      <c r="AZ156" s="313">
        <v>28.1</v>
      </c>
      <c r="BA156" s="314">
        <f>IF(Tabla15[[#This Row],[Columna2]]="M1",13073,IF(Tabla15[[#This Row],[Columna2]]="N1",15815,IF(Tabla15[[#This Row],[Columna2]]="L3e",2831,53508)))</f>
        <v>15815</v>
      </c>
      <c r="BB156" s="350">
        <f>(Tabla15[[#This Row],[CVA]]*Tabla15[[#This Row],[F]]-Tabla15[[#This Row],[CVN]])/100*Tabla15[[#This Row],[L]]</f>
        <v>4412.3849999999993</v>
      </c>
      <c r="BC156" s="74" t="s">
        <v>128</v>
      </c>
      <c r="BD156" s="294">
        <f>VLOOKUP(B156,Tabla467824[[ID CAE2]:[AE '[kWh']]],6,FALSE)</f>
        <v>5607.9989999999989</v>
      </c>
      <c r="BE15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7" spans="1:57" ht="51.75" x14ac:dyDescent="0.25">
      <c r="A157" s="53" t="s">
        <v>815</v>
      </c>
      <c r="B157" s="53" t="s">
        <v>815</v>
      </c>
      <c r="C157" s="332" t="s">
        <v>816</v>
      </c>
      <c r="D157" s="104" t="s">
        <v>72</v>
      </c>
      <c r="E157" s="104"/>
      <c r="F157" s="104" t="s">
        <v>72</v>
      </c>
      <c r="G157" s="104"/>
      <c r="H157" s="104" t="s">
        <v>72</v>
      </c>
      <c r="I157" s="104" t="s">
        <v>72</v>
      </c>
      <c r="J157" s="104"/>
      <c r="K157" s="96" t="s">
        <v>73</v>
      </c>
      <c r="L157" s="96" t="s">
        <v>200</v>
      </c>
      <c r="M157" s="96" t="s">
        <v>201</v>
      </c>
      <c r="N157" s="96" t="s">
        <v>76</v>
      </c>
      <c r="O157" s="101">
        <f>VLOOKUP(Tabla15[[#This Row],[Matricula Antigua]],BAJA2022202320242025!$B$3:$CR$245,93,FALSE)</f>
        <v>44140</v>
      </c>
      <c r="P157" s="316">
        <v>45601</v>
      </c>
      <c r="Q157" s="317">
        <f>Tabla15[[#This Row],[F.Vig.Final]]-Tabla15[[#This Row],[f Vig Inicio]]</f>
        <v>1461</v>
      </c>
      <c r="R157" s="318">
        <f>YEAR(Tabla15[[#This Row],[F.Vig.Final]])</f>
        <v>2024</v>
      </c>
      <c r="S157" s="96" t="s">
        <v>77</v>
      </c>
      <c r="T157" s="96" t="s">
        <v>78</v>
      </c>
      <c r="U157" s="96" t="s">
        <v>213</v>
      </c>
      <c r="V157" s="96" t="s">
        <v>817</v>
      </c>
      <c r="W157" s="96" t="s">
        <v>119</v>
      </c>
      <c r="X157" s="332" t="s">
        <v>1674</v>
      </c>
      <c r="Y157" s="96" t="s">
        <v>386</v>
      </c>
      <c r="Z157" s="98">
        <f>COUNTIF($X$3:X157, X157)</f>
        <v>19</v>
      </c>
      <c r="AA157" s="337" t="s">
        <v>1661</v>
      </c>
      <c r="AB157" s="337" t="s">
        <v>1661</v>
      </c>
      <c r="AC157" s="337" t="s">
        <v>1662</v>
      </c>
      <c r="AD157" s="337" t="s">
        <v>1663</v>
      </c>
      <c r="AE157" s="345" t="s">
        <v>1664</v>
      </c>
      <c r="AF157" s="346" t="s">
        <v>1665</v>
      </c>
      <c r="AG157" s="337" t="s">
        <v>1666</v>
      </c>
      <c r="AH157" s="337" t="s">
        <v>1649</v>
      </c>
      <c r="AI157" s="337" t="s">
        <v>818</v>
      </c>
      <c r="AJ157" s="98" t="s">
        <v>140</v>
      </c>
      <c r="AK157" s="98" t="s">
        <v>151</v>
      </c>
      <c r="AL157" s="98" t="s">
        <v>87</v>
      </c>
      <c r="AM157" s="101" t="s">
        <v>223</v>
      </c>
      <c r="AN157" s="348" t="s">
        <v>89</v>
      </c>
      <c r="AO157" s="349">
        <v>45625</v>
      </c>
      <c r="AP157" s="98">
        <f>Tabla15[[#This Row],[Renov. Flota]]-Tabla15[[#This Row],[Año]]</f>
        <v>0</v>
      </c>
      <c r="AQ157" s="100" t="s">
        <v>119</v>
      </c>
      <c r="AR157" s="100" t="str">
        <f>VLOOKUP(Tabla15[[#This Row],[Matricula nueva]],'ALTA 20242025'!$B$2:$P$242,15,FALSE)</f>
        <v>4500424803</v>
      </c>
      <c r="AS157" s="101" t="s">
        <v>120</v>
      </c>
      <c r="AT157" s="101"/>
      <c r="AU157" s="101" t="s">
        <v>72</v>
      </c>
      <c r="AV157" s="101" t="s">
        <v>91</v>
      </c>
      <c r="AW157" s="101" t="str">
        <f>VLOOKUP(Tabla15[[#This Row],[Matricula nueva]],Hoja2!$A$1:$B$224,2,FALSE)</f>
        <v>VR7CBZYAXRT152188</v>
      </c>
      <c r="AX157" s="209">
        <f>IF(Tabla15[[#This Row],[Columna2]]="M1",5.1,"")</f>
        <v>5.0999999999999996</v>
      </c>
      <c r="AY157" s="208">
        <f t="shared" si="7"/>
        <v>10</v>
      </c>
      <c r="AZ157" s="313">
        <v>16.399999999999999</v>
      </c>
      <c r="BA157" s="314">
        <f>IF(Tabla15[[#This Row],[Columna2]]="M1",13073,IF(Tabla15[[#This Row],[Columna2]]="N1",15815,IF(Tabla15[[#This Row],[Columna2]]="L3e",2831,53508)))</f>
        <v>13073</v>
      </c>
      <c r="BB157" s="350">
        <f>(Tabla15[[#This Row],[CVA]]*Tabla15[[#This Row],[F]]-Tabla15[[#This Row],[CVN]])/100*Tabla15[[#This Row],[L]]</f>
        <v>4523.2580000000007</v>
      </c>
      <c r="BC157" s="74" t="s">
        <v>70</v>
      </c>
      <c r="BD157" s="294">
        <f>VLOOKUP(B157,Tabla467824[[ID CAE2]:[AE '[kWh']]],6,FALSE)</f>
        <v>6795.3454000000002</v>
      </c>
      <c r="BE15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8" spans="1:57" ht="51.75" x14ac:dyDescent="0.25">
      <c r="A158" s="53" t="s">
        <v>821</v>
      </c>
      <c r="B158" s="53" t="s">
        <v>821</v>
      </c>
      <c r="C158" s="332" t="s">
        <v>822</v>
      </c>
      <c r="D158" s="104" t="s">
        <v>72</v>
      </c>
      <c r="E158" s="104" t="s">
        <v>72</v>
      </c>
      <c r="F158" s="104" t="s">
        <v>72</v>
      </c>
      <c r="G158" s="104"/>
      <c r="H158" s="104" t="s">
        <v>72</v>
      </c>
      <c r="I158" s="104" t="s">
        <v>72</v>
      </c>
      <c r="J158" s="104"/>
      <c r="K158" s="96" t="s">
        <v>73</v>
      </c>
      <c r="L158" s="96" t="s">
        <v>200</v>
      </c>
      <c r="M158" s="96" t="s">
        <v>201</v>
      </c>
      <c r="N158" s="96" t="s">
        <v>76</v>
      </c>
      <c r="O158" s="101">
        <f>VLOOKUP(Tabla15[[#This Row],[Matricula Antigua]],BAJA2022202320242025!$B$3:$CR$245,93,FALSE)</f>
        <v>44151</v>
      </c>
      <c r="P158" s="316">
        <v>45612</v>
      </c>
      <c r="Q158" s="317">
        <f>Tabla15[[#This Row],[F.Vig.Final]]-Tabla15[[#This Row],[f Vig Inicio]]</f>
        <v>1461</v>
      </c>
      <c r="R158" s="318">
        <f>YEAR(Tabla15[[#This Row],[F.Vig.Final]])</f>
        <v>2024</v>
      </c>
      <c r="S158" s="96" t="s">
        <v>77</v>
      </c>
      <c r="T158" s="96" t="s">
        <v>78</v>
      </c>
      <c r="U158" s="96" t="s">
        <v>213</v>
      </c>
      <c r="V158" s="96" t="s">
        <v>817</v>
      </c>
      <c r="W158" s="96" t="s">
        <v>119</v>
      </c>
      <c r="X158" s="332" t="s">
        <v>1674</v>
      </c>
      <c r="Y158" s="96" t="s">
        <v>368</v>
      </c>
      <c r="Z158" s="98">
        <f>COUNTIF($X$3:X158, X158)</f>
        <v>20</v>
      </c>
      <c r="AA158" s="337" t="s">
        <v>1661</v>
      </c>
      <c r="AB158" s="337" t="s">
        <v>1661</v>
      </c>
      <c r="AC158" s="337" t="s">
        <v>1662</v>
      </c>
      <c r="AD158" s="337" t="s">
        <v>1663</v>
      </c>
      <c r="AE158" s="342" t="s">
        <v>1664</v>
      </c>
      <c r="AF158" s="337" t="s">
        <v>1665</v>
      </c>
      <c r="AG158" s="337" t="s">
        <v>1666</v>
      </c>
      <c r="AH158" s="337" t="s">
        <v>1649</v>
      </c>
      <c r="AI158" s="337" t="s">
        <v>823</v>
      </c>
      <c r="AJ158" s="98" t="s">
        <v>140</v>
      </c>
      <c r="AK158" s="98" t="s">
        <v>151</v>
      </c>
      <c r="AL158" s="98" t="s">
        <v>87</v>
      </c>
      <c r="AM158" s="101" t="s">
        <v>265</v>
      </c>
      <c r="AN158" s="348" t="s">
        <v>89</v>
      </c>
      <c r="AO158" s="349">
        <v>45625</v>
      </c>
      <c r="AP158" s="98">
        <f>Tabla15[[#This Row],[Renov. Flota]]-Tabla15[[#This Row],[Año]]</f>
        <v>0</v>
      </c>
      <c r="AQ158" s="100" t="s">
        <v>119</v>
      </c>
      <c r="AR158" s="100" t="str">
        <f>VLOOKUP(Tabla15[[#This Row],[Matricula nueva]],'ALTA 20242025'!$B$2:$P$242,15,FALSE)</f>
        <v>4500424818</v>
      </c>
      <c r="AS158" s="101" t="s">
        <v>120</v>
      </c>
      <c r="AT158" s="101"/>
      <c r="AU158" s="101" t="s">
        <v>72</v>
      </c>
      <c r="AV158" s="101" t="s">
        <v>91</v>
      </c>
      <c r="AW158" s="101" t="str">
        <f>VLOOKUP(Tabla15[[#This Row],[Matricula nueva]],Hoja2!$A$1:$B$224,2,FALSE)</f>
        <v>VR7CBZYA5RT152194</v>
      </c>
      <c r="AX158" s="209">
        <f>IF(Tabla15[[#This Row],[Columna2]]="M1",5.1,"")</f>
        <v>5.0999999999999996</v>
      </c>
      <c r="AY158" s="208">
        <f t="shared" si="7"/>
        <v>10</v>
      </c>
      <c r="AZ158" s="313">
        <v>16.399999999999999</v>
      </c>
      <c r="BA158" s="314">
        <f>IF(Tabla15[[#This Row],[Columna2]]="M1",13073,IF(Tabla15[[#This Row],[Columna2]]="N1",15815,IF(Tabla15[[#This Row],[Columna2]]="L3e",2831,53508)))</f>
        <v>13073</v>
      </c>
      <c r="BB158" s="350">
        <f>(Tabla15[[#This Row],[CVA]]*Tabla15[[#This Row],[F]]-Tabla15[[#This Row],[CVN]])/100*Tabla15[[#This Row],[L]]</f>
        <v>4523.2580000000007</v>
      </c>
      <c r="BC158" s="74" t="s">
        <v>70</v>
      </c>
      <c r="BD158" s="294">
        <f>VLOOKUP(B158,Tabla467824[[ID CAE2]:[AE '[kWh']]],6,FALSE)</f>
        <v>6795.3454000000002</v>
      </c>
      <c r="BE15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59" spans="1:57" ht="51.75" x14ac:dyDescent="0.25">
      <c r="A159" s="53" t="s">
        <v>826</v>
      </c>
      <c r="B159" s="53" t="s">
        <v>826</v>
      </c>
      <c r="C159" s="332" t="s">
        <v>827</v>
      </c>
      <c r="D159" s="104" t="s">
        <v>72</v>
      </c>
      <c r="E159" s="104"/>
      <c r="F159" s="104" t="s">
        <v>72</v>
      </c>
      <c r="G159" s="104"/>
      <c r="H159" s="104" t="s">
        <v>72</v>
      </c>
      <c r="I159" s="104" t="s">
        <v>72</v>
      </c>
      <c r="J159" s="104"/>
      <c r="K159" s="96" t="s">
        <v>73</v>
      </c>
      <c r="L159" s="96" t="s">
        <v>200</v>
      </c>
      <c r="M159" s="96" t="s">
        <v>201</v>
      </c>
      <c r="N159" s="96" t="s">
        <v>76</v>
      </c>
      <c r="O159" s="101">
        <f>VLOOKUP(Tabla15[[#This Row],[Matricula Antigua]],BAJA2022202320242025!$B$3:$CR$245,93,FALSE)</f>
        <v>44140</v>
      </c>
      <c r="P159" s="316">
        <v>45601</v>
      </c>
      <c r="Q159" s="317">
        <f>Tabla15[[#This Row],[F.Vig.Final]]-Tabla15[[#This Row],[f Vig Inicio]]</f>
        <v>1461</v>
      </c>
      <c r="R159" s="318">
        <f>YEAR(Tabla15[[#This Row],[F.Vig.Final]])</f>
        <v>2024</v>
      </c>
      <c r="S159" s="96" t="s">
        <v>77</v>
      </c>
      <c r="T159" s="96" t="s">
        <v>78</v>
      </c>
      <c r="U159" s="96" t="s">
        <v>213</v>
      </c>
      <c r="V159" s="96" t="s">
        <v>817</v>
      </c>
      <c r="W159" s="96" t="s">
        <v>131</v>
      </c>
      <c r="X159" s="332" t="s">
        <v>132</v>
      </c>
      <c r="Y159" s="96" t="s">
        <v>135</v>
      </c>
      <c r="Z159" s="98">
        <f>COUNTIF($X$3:X159, X159)</f>
        <v>11</v>
      </c>
      <c r="AA159" s="337" t="s">
        <v>1661</v>
      </c>
      <c r="AB159" s="337" t="s">
        <v>1661</v>
      </c>
      <c r="AC159" s="337" t="s">
        <v>1662</v>
      </c>
      <c r="AD159" s="333" t="s">
        <v>1675</v>
      </c>
      <c r="AE159" s="347" t="s">
        <v>1664</v>
      </c>
      <c r="AF159" s="337" t="s">
        <v>1676</v>
      </c>
      <c r="AG159" s="337" t="s">
        <v>1677</v>
      </c>
      <c r="AH159" s="337" t="s">
        <v>1649</v>
      </c>
      <c r="AI159" s="337" t="s">
        <v>828</v>
      </c>
      <c r="AJ159" s="98" t="s">
        <v>85</v>
      </c>
      <c r="AK159" s="98" t="s">
        <v>86</v>
      </c>
      <c r="AL159" s="98" t="s">
        <v>87</v>
      </c>
      <c r="AM159" s="101" t="s">
        <v>829</v>
      </c>
      <c r="AN159" s="348" t="s">
        <v>89</v>
      </c>
      <c r="AO159" s="349">
        <v>45625</v>
      </c>
      <c r="AP159" s="98">
        <f>Tabla15[[#This Row],[Renov. Flota]]-Tabla15[[#This Row],[Año]]</f>
        <v>0</v>
      </c>
      <c r="AQ159" s="100" t="s">
        <v>131</v>
      </c>
      <c r="AR159" s="100" t="str">
        <f>VLOOKUP(Tabla15[[#This Row],[Matricula nueva]],'ALTA 20242025'!$B$2:$P$242,15,FALSE)</f>
        <v>4500426761</v>
      </c>
      <c r="AS159" s="101" t="s">
        <v>132</v>
      </c>
      <c r="AT159" s="101"/>
      <c r="AU159" s="101" t="s">
        <v>72</v>
      </c>
      <c r="AV159" s="101" t="s">
        <v>91</v>
      </c>
      <c r="AW159" s="101" t="str">
        <f>VLOOKUP(Tabla15[[#This Row],[Matricula nueva]],Hoja2!$A$1:$B$224,2,FALSE)</f>
        <v>VF1RFK00173824808</v>
      </c>
      <c r="AX159" s="209">
        <f>IF(Tabla15[[#This Row],[Columna2]]="M1",5.1,"")</f>
        <v>5.0999999999999996</v>
      </c>
      <c r="AY159" s="208">
        <f t="shared" si="7"/>
        <v>10</v>
      </c>
      <c r="AZ159" s="313">
        <v>17.3</v>
      </c>
      <c r="BA159" s="314">
        <f>IF(Tabla15[[#This Row],[Columna2]]="M1",13073,IF(Tabla15[[#This Row],[Columna2]]="N1",15815,IF(Tabla15[[#This Row],[Columna2]]="L3e",2831,53508)))</f>
        <v>13073</v>
      </c>
      <c r="BB159" s="350">
        <f>(Tabla15[[#This Row],[CVA]]*Tabla15[[#This Row],[F]]-Tabla15[[#This Row],[CVN]])/100*Tabla15[[#This Row],[L]]</f>
        <v>4405.6010000000006</v>
      </c>
      <c r="BC159" s="74" t="s">
        <v>70</v>
      </c>
      <c r="BD159" s="294">
        <f>VLOOKUP(B159,Tabla467824[[ID CAE2]:[AE '[kWh']]],6,FALSE)</f>
        <v>6795.3454000000002</v>
      </c>
      <c r="BE15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60" spans="1:57" ht="51.75" x14ac:dyDescent="0.25">
      <c r="A160" s="53" t="s">
        <v>832</v>
      </c>
      <c r="B160" s="53" t="s">
        <v>832</v>
      </c>
      <c r="C160" s="332" t="s">
        <v>833</v>
      </c>
      <c r="D160" s="104" t="s">
        <v>72</v>
      </c>
      <c r="E160" s="104" t="s">
        <v>72</v>
      </c>
      <c r="F160" s="104" t="s">
        <v>72</v>
      </c>
      <c r="G160" s="104"/>
      <c r="H160" s="104" t="s">
        <v>72</v>
      </c>
      <c r="I160" s="104" t="s">
        <v>72</v>
      </c>
      <c r="J160" s="104"/>
      <c r="K160" s="96" t="s">
        <v>73</v>
      </c>
      <c r="L160" s="96" t="s">
        <v>200</v>
      </c>
      <c r="M160" s="96" t="s">
        <v>201</v>
      </c>
      <c r="N160" s="96" t="s">
        <v>76</v>
      </c>
      <c r="O160" s="101">
        <f>VLOOKUP(Tabla15[[#This Row],[Matricula Antigua]],BAJA2022202320242025!$B$3:$CR$245,93,FALSE)</f>
        <v>44223</v>
      </c>
      <c r="P160" s="316">
        <v>45684</v>
      </c>
      <c r="Q160" s="317">
        <f>Tabla15[[#This Row],[F.Vig.Final]]-Tabla15[[#This Row],[f Vig Inicio]]</f>
        <v>1461</v>
      </c>
      <c r="R160" s="318">
        <f>YEAR(Tabla15[[#This Row],[F.Vig.Final]])</f>
        <v>2025</v>
      </c>
      <c r="S160" s="96" t="s">
        <v>77</v>
      </c>
      <c r="T160" s="96" t="s">
        <v>78</v>
      </c>
      <c r="U160" s="96" t="s">
        <v>213</v>
      </c>
      <c r="V160" s="96" t="s">
        <v>817</v>
      </c>
      <c r="W160" s="96" t="s">
        <v>102</v>
      </c>
      <c r="X160" s="332" t="s">
        <v>1667</v>
      </c>
      <c r="Y160" s="96" t="s">
        <v>782</v>
      </c>
      <c r="Z160" s="98">
        <f>COUNTIF($X$3:X160, X160)</f>
        <v>37</v>
      </c>
      <c r="AA160" s="337" t="s">
        <v>1668</v>
      </c>
      <c r="AB160" s="337" t="s">
        <v>1668</v>
      </c>
      <c r="AC160" s="337" t="s">
        <v>1669</v>
      </c>
      <c r="AD160" s="341" t="s">
        <v>1670</v>
      </c>
      <c r="AE160" s="342" t="s">
        <v>1671</v>
      </c>
      <c r="AF160" s="337" t="s">
        <v>1672</v>
      </c>
      <c r="AG160" s="344" t="s">
        <v>1673</v>
      </c>
      <c r="AH160" s="337" t="s">
        <v>1649</v>
      </c>
      <c r="AI160" s="337" t="s">
        <v>834</v>
      </c>
      <c r="AJ160" s="98" t="s">
        <v>85</v>
      </c>
      <c r="AK160" s="98" t="s">
        <v>86</v>
      </c>
      <c r="AL160" s="98" t="s">
        <v>87</v>
      </c>
      <c r="AM160" s="101" t="s">
        <v>835</v>
      </c>
      <c r="AN160" s="348" t="s">
        <v>89</v>
      </c>
      <c r="AO160" s="349">
        <v>45625</v>
      </c>
      <c r="AP160" s="98">
        <f>Tabla15[[#This Row],[Renov. Flota]]-Tabla15[[#This Row],[Año]]</f>
        <v>-1</v>
      </c>
      <c r="AQ160" s="100" t="s">
        <v>102</v>
      </c>
      <c r="AR160" s="100" t="str">
        <f>VLOOKUP(Tabla15[[#This Row],[Matricula nueva]],'ALTA 20242025'!$B$2:$P$242,15,FALSE)</f>
        <v>4500426770</v>
      </c>
      <c r="AS160" s="101" t="s">
        <v>103</v>
      </c>
      <c r="AT160" s="101"/>
      <c r="AU160" s="101" t="s">
        <v>72</v>
      </c>
      <c r="AV160" s="101" t="s">
        <v>109</v>
      </c>
      <c r="AW160" s="101" t="str">
        <f>VLOOKUP(Tabla15[[#This Row],[Matricula nueva]],Hoja2!$A$1:$B$224,2,FALSE)</f>
        <v>VF1RFK00873824790</v>
      </c>
      <c r="AX160" s="209">
        <f>IF(Tabla15[[#This Row],[Columna2]]="M1",5.1,"")</f>
        <v>5.0999999999999996</v>
      </c>
      <c r="AY160" s="208">
        <f t="shared" si="7"/>
        <v>10</v>
      </c>
      <c r="AZ160" s="313">
        <v>17.3</v>
      </c>
      <c r="BA160" s="314">
        <f>IF(Tabla15[[#This Row],[Columna2]]="M1",13073,IF(Tabla15[[#This Row],[Columna2]]="N1",15815,IF(Tabla15[[#This Row],[Columna2]]="L3e",2831,53508)))</f>
        <v>13073</v>
      </c>
      <c r="BB160" s="350">
        <f>(Tabla15[[#This Row],[CVA]]*Tabla15[[#This Row],[F]]-Tabla15[[#This Row],[CVN]])/100*Tabla15[[#This Row],[L]]</f>
        <v>4405.6010000000006</v>
      </c>
      <c r="BC160" s="74" t="s">
        <v>70</v>
      </c>
      <c r="BD160" s="294">
        <f>VLOOKUP(B160,Tabla467824[[ID CAE2]:[AE '[kWh']]],6,FALSE)</f>
        <v>6795.3454000000002</v>
      </c>
      <c r="BE16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61" spans="1:57" ht="51.75" x14ac:dyDescent="0.25">
      <c r="A161" s="53" t="s">
        <v>838</v>
      </c>
      <c r="B161" s="53" t="s">
        <v>838</v>
      </c>
      <c r="C161" s="332" t="s">
        <v>839</v>
      </c>
      <c r="D161" s="104" t="s">
        <v>72</v>
      </c>
      <c r="E161" s="104" t="s">
        <v>72</v>
      </c>
      <c r="F161" s="104" t="s">
        <v>72</v>
      </c>
      <c r="G161" s="104"/>
      <c r="H161" s="104" t="s">
        <v>249</v>
      </c>
      <c r="I161" s="104" t="s">
        <v>249</v>
      </c>
      <c r="J161" s="104"/>
      <c r="K161" s="96" t="s">
        <v>725</v>
      </c>
      <c r="L161" s="96" t="s">
        <v>74</v>
      </c>
      <c r="M161" s="96" t="s">
        <v>75</v>
      </c>
      <c r="N161" s="96" t="s">
        <v>76</v>
      </c>
      <c r="O161" s="99">
        <f>VLOOKUP(Tabla15[[#This Row],[Matricula Antigua]],BAJA2022202320242025!$B$3:$CR$245,93,FALSE)</f>
        <v>44958</v>
      </c>
      <c r="P161" s="316">
        <v>45188</v>
      </c>
      <c r="Q161" s="317">
        <f>Tabla15[[#This Row],[F.Vig.Final]]-Tabla15[[#This Row],[f Vig Inicio]]</f>
        <v>230</v>
      </c>
      <c r="R161" s="318">
        <f>YEAR(Tabla15[[#This Row],[F.Vig.Final]])</f>
        <v>2023</v>
      </c>
      <c r="S161" s="96" t="s">
        <v>77</v>
      </c>
      <c r="T161" s="96" t="s">
        <v>78</v>
      </c>
      <c r="U161" s="96" t="s">
        <v>79</v>
      </c>
      <c r="V161" s="96" t="s">
        <v>812</v>
      </c>
      <c r="W161" s="96" t="s">
        <v>102</v>
      </c>
      <c r="X161" s="332" t="s">
        <v>1667</v>
      </c>
      <c r="Y161" s="96" t="s">
        <v>440</v>
      </c>
      <c r="Z161" s="98">
        <f>COUNTIF($X$3:X161, X161)</f>
        <v>38</v>
      </c>
      <c r="AA161" s="337" t="s">
        <v>1668</v>
      </c>
      <c r="AB161" s="337" t="s">
        <v>1668</v>
      </c>
      <c r="AC161" s="337" t="s">
        <v>1669</v>
      </c>
      <c r="AD161" s="341" t="s">
        <v>1670</v>
      </c>
      <c r="AE161" s="342" t="s">
        <v>1671</v>
      </c>
      <c r="AF161" s="337" t="s">
        <v>1672</v>
      </c>
      <c r="AG161" s="344" t="s">
        <v>1673</v>
      </c>
      <c r="AH161" s="337" t="s">
        <v>1649</v>
      </c>
      <c r="AI161" s="337" t="s">
        <v>840</v>
      </c>
      <c r="AJ161" s="98" t="s">
        <v>85</v>
      </c>
      <c r="AK161" s="98" t="s">
        <v>114</v>
      </c>
      <c r="AL161" s="98" t="s">
        <v>87</v>
      </c>
      <c r="AM161" s="101" t="s">
        <v>567</v>
      </c>
      <c r="AN161" s="348" t="s">
        <v>108</v>
      </c>
      <c r="AO161" s="349">
        <v>44922</v>
      </c>
      <c r="AP161" s="98">
        <f>Tabla15[[#This Row],[Renov. Flota]]-Tabla15[[#This Row],[Año]]</f>
        <v>0</v>
      </c>
      <c r="AQ161" s="100" t="s">
        <v>102</v>
      </c>
      <c r="AR161" s="100">
        <v>4500348763</v>
      </c>
      <c r="AS161" s="101" t="s">
        <v>103</v>
      </c>
      <c r="AT161" s="101"/>
      <c r="AU161" s="101" t="s">
        <v>72</v>
      </c>
      <c r="AV161" s="101" t="s">
        <v>109</v>
      </c>
      <c r="AW161" s="101" t="s">
        <v>841</v>
      </c>
      <c r="AX161" s="209">
        <v>5.6</v>
      </c>
      <c r="AY161" s="208">
        <f t="shared" si="7"/>
        <v>10</v>
      </c>
      <c r="AZ161" s="313">
        <v>17.3</v>
      </c>
      <c r="BA161" s="314">
        <f>IF(Tabla15[[#This Row],[Columna2]]="M1",13073,IF(Tabla15[[#This Row],[Columna2]]="N1",15815,IF(Tabla15[[#This Row],[Columna2]]="L3e",2831,53508)))</f>
        <v>15815</v>
      </c>
      <c r="BB161" s="350">
        <f>(Tabla15[[#This Row],[CVA]]*Tabla15[[#This Row],[F]]-Tabla15[[#This Row],[CVN]])/100*Tabla15[[#This Row],[L]]</f>
        <v>6120.4049999999997</v>
      </c>
      <c r="BC161" s="74" t="s">
        <v>128</v>
      </c>
      <c r="BD161" s="294">
        <f>VLOOKUP(B161,Tabla467824[[ID CAE2]:[AE '[kWh']]],6,FALSE)</f>
        <v>5607.9989999999989</v>
      </c>
      <c r="BE16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62" spans="1:57" ht="51.75" x14ac:dyDescent="0.25">
      <c r="A162" s="53" t="s">
        <v>842</v>
      </c>
      <c r="B162" s="53" t="s">
        <v>842</v>
      </c>
      <c r="C162" s="332" t="s">
        <v>843</v>
      </c>
      <c r="D162" s="104" t="s">
        <v>72</v>
      </c>
      <c r="E162" s="104"/>
      <c r="F162" s="104"/>
      <c r="G162" s="104" t="s">
        <v>72</v>
      </c>
      <c r="H162" s="104"/>
      <c r="I162" s="104" t="s">
        <v>72</v>
      </c>
      <c r="J162" s="104" t="s">
        <v>72</v>
      </c>
      <c r="K162" s="96" t="s">
        <v>158</v>
      </c>
      <c r="L162" s="96" t="s">
        <v>159</v>
      </c>
      <c r="M162" s="96" t="s">
        <v>158</v>
      </c>
      <c r="N162" s="96" t="s">
        <v>171</v>
      </c>
      <c r="O162" s="99">
        <f>VLOOKUP(Tabla15[[#This Row],[Matricula Antigua]],BAJA2022202320242025!$B$3:$CR$245,93,FALSE)</f>
        <v>41544</v>
      </c>
      <c r="P162" s="316">
        <v>45561</v>
      </c>
      <c r="Q162" s="317">
        <f>Tabla15[[#This Row],[F.Vig.Final]]-Tabla15[[#This Row],[f Vig Inicio]]</f>
        <v>4017</v>
      </c>
      <c r="R162" s="318">
        <f>YEAR(Tabla15[[#This Row],[F.Vig.Final]])</f>
        <v>2024</v>
      </c>
      <c r="S162" s="96" t="s">
        <v>172</v>
      </c>
      <c r="T162" s="96" t="s">
        <v>71</v>
      </c>
      <c r="U162" s="96" t="s">
        <v>844</v>
      </c>
      <c r="V162" s="96" t="s">
        <v>845</v>
      </c>
      <c r="W162" s="96" t="s">
        <v>81</v>
      </c>
      <c r="X162" s="332" t="s">
        <v>82</v>
      </c>
      <c r="Y162" s="96" t="s">
        <v>164</v>
      </c>
      <c r="Z162" s="98">
        <f>COUNTIF($X$3:X162, X162)</f>
        <v>11</v>
      </c>
      <c r="AA162" s="337" t="s">
        <v>1661</v>
      </c>
      <c r="AB162" s="337" t="s">
        <v>1661</v>
      </c>
      <c r="AC162" s="337" t="s">
        <v>1662</v>
      </c>
      <c r="AD162" s="337" t="s">
        <v>1663</v>
      </c>
      <c r="AE162" s="345" t="s">
        <v>1664</v>
      </c>
      <c r="AF162" s="346" t="s">
        <v>1665</v>
      </c>
      <c r="AG162" s="337" t="s">
        <v>1666</v>
      </c>
      <c r="AH162" s="337" t="s">
        <v>1649</v>
      </c>
      <c r="AI162" s="337" t="s">
        <v>846</v>
      </c>
      <c r="AJ162" s="98" t="s">
        <v>380</v>
      </c>
      <c r="AK162" s="98" t="s">
        <v>381</v>
      </c>
      <c r="AL162" s="98" t="s">
        <v>87</v>
      </c>
      <c r="AM162" s="101" t="s">
        <v>164</v>
      </c>
      <c r="AN162" s="348" t="s">
        <v>89</v>
      </c>
      <c r="AO162" s="349">
        <v>45616</v>
      </c>
      <c r="AP162" s="98">
        <f>Tabla15[[#This Row],[Renov. Flota]]-Tabla15[[#This Row],[Año]]</f>
        <v>0</v>
      </c>
      <c r="AQ162" s="100" t="s">
        <v>81</v>
      </c>
      <c r="AR162" s="100" t="str">
        <f>VLOOKUP(Tabla15[[#This Row],[Matricula nueva]],'ALTA 20242025'!$B$2:$P$242,15,FALSE)</f>
        <v>4500423383</v>
      </c>
      <c r="AS162" s="101" t="s">
        <v>82</v>
      </c>
      <c r="AT162" s="101"/>
      <c r="AU162" s="101" t="s">
        <v>72</v>
      </c>
      <c r="AV162" s="101" t="s">
        <v>91</v>
      </c>
      <c r="AW162" s="101" t="s">
        <v>848</v>
      </c>
      <c r="AX162" s="209">
        <v>2.9</v>
      </c>
      <c r="AY162" s="208">
        <f t="shared" si="7"/>
        <v>9.19</v>
      </c>
      <c r="AZ162" s="313">
        <v>20</v>
      </c>
      <c r="BA162" s="314">
        <f>IF(Tabla15[[#This Row],[Columna2]]="M1",13073,IF(Tabla15[[#This Row],[Columna2]]="N1",15815,IF(Tabla15[[#This Row],[Columna2]]="L3e",2831,53508)))</f>
        <v>2831</v>
      </c>
      <c r="BB162" s="350">
        <f>(Tabla15[[#This Row],[CVA]]*Tabla15[[#This Row],[F]]-Tabla15[[#This Row],[CVN]])/100*Tabla15[[#This Row],[L]]</f>
        <v>188.28980999999987</v>
      </c>
      <c r="BC162" s="74" t="s">
        <v>157</v>
      </c>
      <c r="BD162" s="294">
        <f>VLOOKUP(B162,Tabla467824[[ID CAE2]:[AE '[kWh']]],6,FALSE)</f>
        <v>617.46940999999993</v>
      </c>
      <c r="BE16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163" spans="1:57" ht="52.5" thickBot="1" x14ac:dyDescent="0.3">
      <c r="A163" s="53" t="s">
        <v>849</v>
      </c>
      <c r="B163" s="53" t="s">
        <v>849</v>
      </c>
      <c r="C163" s="332" t="s">
        <v>850</v>
      </c>
      <c r="D163" s="104" t="s">
        <v>72</v>
      </c>
      <c r="E163" s="104"/>
      <c r="F163" s="104"/>
      <c r="G163" s="104" t="s">
        <v>72</v>
      </c>
      <c r="H163" s="104" t="s">
        <v>72</v>
      </c>
      <c r="I163" s="104" t="s">
        <v>72</v>
      </c>
      <c r="J163" s="104"/>
      <c r="K163" s="96" t="s">
        <v>158</v>
      </c>
      <c r="L163" s="96" t="s">
        <v>159</v>
      </c>
      <c r="M163" s="96" t="s">
        <v>158</v>
      </c>
      <c r="N163" s="96" t="s">
        <v>171</v>
      </c>
      <c r="O163" s="99">
        <f>VLOOKUP(Tabla15[[#This Row],[Matricula Antigua]],BAJA2022202320242025!$B$3:$CR$245,93,FALSE)</f>
        <v>41960</v>
      </c>
      <c r="P163" s="316">
        <v>45579</v>
      </c>
      <c r="Q163" s="317">
        <f>Tabla15[[#This Row],[F.Vig.Final]]-Tabla15[[#This Row],[f Vig Inicio]]</f>
        <v>3619</v>
      </c>
      <c r="R163" s="318">
        <f>YEAR(Tabla15[[#This Row],[F.Vig.Final]])</f>
        <v>2024</v>
      </c>
      <c r="S163" s="96" t="s">
        <v>172</v>
      </c>
      <c r="T163" s="96" t="s">
        <v>71</v>
      </c>
      <c r="U163" s="96" t="s">
        <v>844</v>
      </c>
      <c r="V163" s="96" t="s">
        <v>845</v>
      </c>
      <c r="W163" s="96" t="s">
        <v>81</v>
      </c>
      <c r="X163" s="332" t="s">
        <v>82</v>
      </c>
      <c r="Y163" s="96" t="s">
        <v>143</v>
      </c>
      <c r="Z163" s="98">
        <f>COUNTIF($X$3:X163, X163)</f>
        <v>12</v>
      </c>
      <c r="AA163" s="337" t="s">
        <v>1661</v>
      </c>
      <c r="AB163" s="337" t="s">
        <v>1661</v>
      </c>
      <c r="AC163" s="337" t="s">
        <v>1662</v>
      </c>
      <c r="AD163" s="337" t="s">
        <v>1663</v>
      </c>
      <c r="AE163" s="342" t="s">
        <v>1664</v>
      </c>
      <c r="AF163" s="337" t="s">
        <v>1665</v>
      </c>
      <c r="AG163" s="337" t="s">
        <v>1666</v>
      </c>
      <c r="AH163" s="337" t="s">
        <v>1649</v>
      </c>
      <c r="AI163" s="337" t="s">
        <v>851</v>
      </c>
      <c r="AJ163" s="98" t="s">
        <v>380</v>
      </c>
      <c r="AK163" s="98" t="s">
        <v>381</v>
      </c>
      <c r="AL163" s="98" t="s">
        <v>87</v>
      </c>
      <c r="AM163" s="101" t="s">
        <v>174</v>
      </c>
      <c r="AN163" s="348" t="s">
        <v>89</v>
      </c>
      <c r="AO163" s="349">
        <v>45616</v>
      </c>
      <c r="AP163" s="98">
        <f>Tabla15[[#This Row],[Renov. Flota]]-Tabla15[[#This Row],[Año]]</f>
        <v>0</v>
      </c>
      <c r="AQ163" s="100" t="s">
        <v>81</v>
      </c>
      <c r="AR163" s="100" t="str">
        <f>VLOOKUP(Tabla15[[#This Row],[Matricula nueva]],'ALTA 20242025'!$B$2:$P$242,15,FALSE)</f>
        <v>4500423228</v>
      </c>
      <c r="AS163" s="101" t="s">
        <v>82</v>
      </c>
      <c r="AT163" s="101"/>
      <c r="AU163" s="101" t="s">
        <v>72</v>
      </c>
      <c r="AV163" s="101" t="s">
        <v>91</v>
      </c>
      <c r="AW163" s="101" t="s">
        <v>853</v>
      </c>
      <c r="AX163" s="209">
        <v>2.9</v>
      </c>
      <c r="AY163" s="208">
        <f t="shared" si="7"/>
        <v>9.19</v>
      </c>
      <c r="AZ163" s="313">
        <v>20</v>
      </c>
      <c r="BA163" s="314">
        <f>IF(Tabla15[[#This Row],[Columna2]]="M1",13073,IF(Tabla15[[#This Row],[Columna2]]="N1",15815,IF(Tabla15[[#This Row],[Columna2]]="L3e",2831,53508)))</f>
        <v>2831</v>
      </c>
      <c r="BB163" s="350">
        <f>(Tabla15[[#This Row],[CVA]]*Tabla15[[#This Row],[F]]-Tabla15[[#This Row],[CVN]])/100*Tabla15[[#This Row],[L]]</f>
        <v>188.28980999999987</v>
      </c>
      <c r="BC163" s="79" t="s">
        <v>157</v>
      </c>
      <c r="BD163" s="294">
        <f>VLOOKUP(B163,Tabla467824[[ID CAE2]:[AE '[kWh']]],6,FALSE)</f>
        <v>617.46940999999993</v>
      </c>
      <c r="BE16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64" spans="1:57" ht="15.75" hidden="1" thickBot="1" x14ac:dyDescent="0.3">
      <c r="A164" s="53" t="s">
        <v>1293</v>
      </c>
      <c r="B164" s="53" t="e">
        <v>#N/A</v>
      </c>
      <c r="C164" s="96" t="s">
        <v>1294</v>
      </c>
      <c r="D164" s="96"/>
      <c r="E164" s="96"/>
      <c r="F164" s="96"/>
      <c r="G164" s="96"/>
      <c r="H164" s="96"/>
      <c r="I164" s="96"/>
      <c r="J164" s="96"/>
      <c r="K164" s="96" t="s">
        <v>73</v>
      </c>
      <c r="L164" s="96" t="s">
        <v>200</v>
      </c>
      <c r="M164" s="96" t="s">
        <v>201</v>
      </c>
      <c r="N164" s="96" t="s">
        <v>160</v>
      </c>
      <c r="O164" s="101">
        <f>VLOOKUP(Tabla15[[#This Row],[Matricula Antigua]],BAJA2022202320242025!$B$3:$CR$245,93,FALSE)</f>
        <v>44196</v>
      </c>
      <c r="P164" s="99">
        <v>45657</v>
      </c>
      <c r="Q164" s="98">
        <f>Tabla15[[#This Row],[F.Vig.Final]]-Tabla15[[#This Row],[f Vig Inicio]]</f>
        <v>1461</v>
      </c>
      <c r="R164" s="318">
        <f>YEAR(Tabla15[[#This Row],[F.Vig.Final]])</f>
        <v>2024</v>
      </c>
      <c r="S164" s="96" t="s">
        <v>161</v>
      </c>
      <c r="T164" s="96" t="s">
        <v>78</v>
      </c>
      <c r="U164" s="96" t="s">
        <v>467</v>
      </c>
      <c r="V164" s="96" t="s">
        <v>500</v>
      </c>
      <c r="W164" s="96" t="s">
        <v>584</v>
      </c>
      <c r="X164" s="96" t="s">
        <v>585</v>
      </c>
      <c r="Y164" s="96" t="s">
        <v>897</v>
      </c>
      <c r="Z164" s="98">
        <f>COUNTIF($X$3:X164, X164)</f>
        <v>8</v>
      </c>
      <c r="AA164" s="98"/>
      <c r="AB164" s="98"/>
      <c r="AC164" s="98"/>
      <c r="AD164" s="98"/>
      <c r="AE164" s="321"/>
      <c r="AF164" s="98"/>
      <c r="AG164" s="98"/>
      <c r="AH164" s="98"/>
      <c r="AI164" s="98" t="e">
        <v>#N/A</v>
      </c>
      <c r="AJ164" s="98" t="e">
        <v>#N/A</v>
      </c>
      <c r="AK164" s="98" t="e">
        <v>#N/A</v>
      </c>
      <c r="AL164" s="98" t="e">
        <v>#N/A</v>
      </c>
      <c r="AM164" s="98" t="e">
        <v>#N/A</v>
      </c>
      <c r="AN164" s="99" t="e">
        <v>#N/A</v>
      </c>
      <c r="AO164" s="99" t="e">
        <v>#N/A</v>
      </c>
      <c r="AP164" s="98" t="e">
        <f>Tabla15[[#This Row],[Renov. Flota]]-Tabla15[[#This Row],[Año]]</f>
        <v>#N/A</v>
      </c>
      <c r="AQ164" s="100" t="e">
        <v>#N/A</v>
      </c>
      <c r="AR164" s="100" t="e">
        <f>VLOOKUP(Tabla15[[#This Row],[Matricula nueva]],'ALTA 20242025'!$B$2:$P$242,15,FALSE)</f>
        <v>#N/A</v>
      </c>
      <c r="AS164" s="101" t="e">
        <v>#N/A</v>
      </c>
      <c r="AT164" s="101"/>
      <c r="AU164" s="101"/>
      <c r="AV164" s="101"/>
      <c r="AW164" s="101" t="e">
        <f>VLOOKUP(Tabla15[[#This Row],[Matricula nueva]],Hoja2!$A$1:$B$224,2,FALSE)</f>
        <v>#N/A</v>
      </c>
      <c r="AX164" s="101" t="str">
        <f>IF(Tabla15[[#This Row],[Columna2]]="M1",5.1,"")</f>
        <v/>
      </c>
      <c r="AY164" s="101"/>
      <c r="AZ164" s="101"/>
      <c r="BA164" s="311">
        <f>IF(Tabla15[[#This Row],[Columna2]]="M1",13073,IF(Tabla15[[#This Row],[Columna2]]="N1",15815,IF(Tabla15[[#This Row],[Columna2]]="L3e",2831,53508)))</f>
        <v>53508</v>
      </c>
      <c r="BB164" s="311" t="e">
        <f>(Tabla15[[#This Row],[CVA]]*Tabla15[[#This Row],[F]]-Tabla15[[#This Row],[CVN]])/100*Tabla15[[#This Row],[L]]</f>
        <v>#VALUE!</v>
      </c>
      <c r="BC164" s="1"/>
      <c r="BD164" s="1" t="e">
        <f>VLOOKUP(B164,Tabla467824[[ID CAE2]:[AE '[kWh']]],6,FALSE)</f>
        <v>#N/A</v>
      </c>
      <c r="BE16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65" spans="1:57" ht="51.75" x14ac:dyDescent="0.25">
      <c r="A165" s="53" t="s">
        <v>854</v>
      </c>
      <c r="B165" s="53" t="s">
        <v>854</v>
      </c>
      <c r="C165" s="332" t="s">
        <v>855</v>
      </c>
      <c r="D165" s="104"/>
      <c r="E165" s="104"/>
      <c r="F165" s="104"/>
      <c r="G165" s="104" t="s">
        <v>72</v>
      </c>
      <c r="H165" s="104" t="s">
        <v>72</v>
      </c>
      <c r="I165" s="104" t="s">
        <v>72</v>
      </c>
      <c r="J165" s="104"/>
      <c r="K165" s="96" t="s">
        <v>158</v>
      </c>
      <c r="L165" s="96" t="s">
        <v>159</v>
      </c>
      <c r="M165" s="96" t="s">
        <v>158</v>
      </c>
      <c r="N165" s="96" t="s">
        <v>171</v>
      </c>
      <c r="O165" s="99">
        <f>VLOOKUP(Tabla15[[#This Row],[Matricula Antigua]],BAJA2022202320242025!$B$3:$CR$245,93,FALSE)</f>
        <v>42122</v>
      </c>
      <c r="P165" s="316">
        <v>45558</v>
      </c>
      <c r="Q165" s="317">
        <f>Tabla15[[#This Row],[F.Vig.Final]]-Tabla15[[#This Row],[f Vig Inicio]]</f>
        <v>3436</v>
      </c>
      <c r="R165" s="318">
        <f>YEAR(Tabla15[[#This Row],[F.Vig.Final]])</f>
        <v>2024</v>
      </c>
      <c r="S165" s="96" t="s">
        <v>172</v>
      </c>
      <c r="T165" s="96" t="s">
        <v>71</v>
      </c>
      <c r="U165" s="96" t="s">
        <v>844</v>
      </c>
      <c r="V165" s="96" t="s">
        <v>845</v>
      </c>
      <c r="W165" s="96" t="s">
        <v>81</v>
      </c>
      <c r="X165" s="332" t="s">
        <v>82</v>
      </c>
      <c r="Y165" s="96" t="s">
        <v>143</v>
      </c>
      <c r="Z165" s="98">
        <f>COUNTIF($X$3:X165, X165)</f>
        <v>13</v>
      </c>
      <c r="AA165" s="337" t="s">
        <v>1661</v>
      </c>
      <c r="AB165" s="337" t="s">
        <v>1661</v>
      </c>
      <c r="AC165" s="337" t="s">
        <v>1662</v>
      </c>
      <c r="AD165" s="337" t="s">
        <v>1663</v>
      </c>
      <c r="AE165" s="342" t="s">
        <v>1664</v>
      </c>
      <c r="AF165" s="337" t="s">
        <v>1665</v>
      </c>
      <c r="AG165" s="337" t="s">
        <v>1666</v>
      </c>
      <c r="AH165" s="337" t="s">
        <v>1649</v>
      </c>
      <c r="AI165" s="337" t="s">
        <v>856</v>
      </c>
      <c r="AJ165" s="98" t="s">
        <v>85</v>
      </c>
      <c r="AK165" s="98" t="s">
        <v>86</v>
      </c>
      <c r="AL165" s="98" t="s">
        <v>87</v>
      </c>
      <c r="AM165" s="101" t="s">
        <v>174</v>
      </c>
      <c r="AN165" s="348" t="s">
        <v>89</v>
      </c>
      <c r="AO165" s="349">
        <v>45625</v>
      </c>
      <c r="AP165" s="98">
        <f>Tabla15[[#This Row],[Renov. Flota]]-Tabla15[[#This Row],[Año]]</f>
        <v>0</v>
      </c>
      <c r="AQ165" s="100" t="s">
        <v>81</v>
      </c>
      <c r="AR165" s="100" t="str">
        <f>VLOOKUP(Tabla15[[#This Row],[Matricula nueva]],'ALTA 20242025'!$B$2:$P$242,15,FALSE)</f>
        <v>4500426792</v>
      </c>
      <c r="AS165" s="101" t="s">
        <v>82</v>
      </c>
      <c r="AT165" s="101"/>
      <c r="AU165" s="101" t="s">
        <v>72</v>
      </c>
      <c r="AV165" s="101" t="s">
        <v>91</v>
      </c>
      <c r="AW165" s="101" t="str">
        <f>VLOOKUP(Tabla15[[#This Row],[Matricula nueva]],Hoja2!$A$1:$B$224,2,FALSE)</f>
        <v>VF1RFK00X73824841</v>
      </c>
      <c r="AX165" s="209">
        <v>2.9</v>
      </c>
      <c r="AY165" s="208">
        <f t="shared" ref="AY165:AY171" si="8">IF(T165="DIESEL",10,IF(T165="GLP",7.16,9.19))</f>
        <v>9.19</v>
      </c>
      <c r="AZ165" s="313">
        <v>17.3</v>
      </c>
      <c r="BA165" s="314">
        <f>IF(Tabla15[[#This Row],[Columna2]]="M1",13073,IF(Tabla15[[#This Row],[Columna2]]="N1",15815,IF(Tabla15[[#This Row],[Columna2]]="L3e",2831,53508)))</f>
        <v>2831</v>
      </c>
      <c r="BB165" s="350">
        <f>(Tabla15[[#This Row],[CVA]]*Tabla15[[#This Row],[F]]-Tabla15[[#This Row],[CVN]])/100*Tabla15[[#This Row],[L]]</f>
        <v>264.72680999999989</v>
      </c>
      <c r="BC165" s="69" t="s">
        <v>157</v>
      </c>
      <c r="BD165" s="294">
        <f>VLOOKUP(B165,Tabla467824[[ID CAE2]:[AE '[kWh']]],6,FALSE)</f>
        <v>617.46940999999993</v>
      </c>
      <c r="BE16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66" spans="1:57" ht="51.75" x14ac:dyDescent="0.25">
      <c r="A166" s="53" t="s">
        <v>859</v>
      </c>
      <c r="B166" s="53" t="s">
        <v>859</v>
      </c>
      <c r="C166" s="332" t="s">
        <v>860</v>
      </c>
      <c r="D166" s="104" t="s">
        <v>72</v>
      </c>
      <c r="E166" s="104"/>
      <c r="F166" s="104"/>
      <c r="G166" s="104" t="s">
        <v>72</v>
      </c>
      <c r="H166" s="104" t="s">
        <v>72</v>
      </c>
      <c r="I166" s="104" t="s">
        <v>72</v>
      </c>
      <c r="J166" s="104" t="s">
        <v>72</v>
      </c>
      <c r="K166" s="96" t="s">
        <v>158</v>
      </c>
      <c r="L166" s="96" t="s">
        <v>159</v>
      </c>
      <c r="M166" s="96" t="s">
        <v>158</v>
      </c>
      <c r="N166" s="96" t="s">
        <v>171</v>
      </c>
      <c r="O166" s="99">
        <f>VLOOKUP(Tabla15[[#This Row],[Matricula Antigua]],BAJA2022202320242025!$B$3:$CR$245,93,FALSE)</f>
        <v>41960</v>
      </c>
      <c r="P166" s="316">
        <v>45561</v>
      </c>
      <c r="Q166" s="317">
        <f>Tabla15[[#This Row],[F.Vig.Final]]-Tabla15[[#This Row],[f Vig Inicio]]</f>
        <v>3601</v>
      </c>
      <c r="R166" s="318">
        <f>YEAR(Tabla15[[#This Row],[F.Vig.Final]])</f>
        <v>2024</v>
      </c>
      <c r="S166" s="96" t="s">
        <v>172</v>
      </c>
      <c r="T166" s="96" t="s">
        <v>71</v>
      </c>
      <c r="U166" s="96" t="s">
        <v>844</v>
      </c>
      <c r="V166" s="96" t="s">
        <v>845</v>
      </c>
      <c r="W166" s="96" t="s">
        <v>81</v>
      </c>
      <c r="X166" s="332" t="s">
        <v>82</v>
      </c>
      <c r="Y166" s="96" t="s">
        <v>143</v>
      </c>
      <c r="Z166" s="98">
        <f>COUNTIF($X$3:X166, X166)</f>
        <v>14</v>
      </c>
      <c r="AA166" s="337" t="s">
        <v>1661</v>
      </c>
      <c r="AB166" s="337" t="s">
        <v>1661</v>
      </c>
      <c r="AC166" s="337" t="s">
        <v>1662</v>
      </c>
      <c r="AD166" s="337" t="s">
        <v>1663</v>
      </c>
      <c r="AE166" s="339" t="s">
        <v>1664</v>
      </c>
      <c r="AF166" s="340" t="s">
        <v>1665</v>
      </c>
      <c r="AG166" s="340" t="s">
        <v>1666</v>
      </c>
      <c r="AH166" s="337" t="s">
        <v>1649</v>
      </c>
      <c r="AI166" s="337" t="s">
        <v>861</v>
      </c>
      <c r="AJ166" s="98" t="s">
        <v>85</v>
      </c>
      <c r="AK166" s="98" t="s">
        <v>86</v>
      </c>
      <c r="AL166" s="98" t="s">
        <v>87</v>
      </c>
      <c r="AM166" s="101" t="s">
        <v>143</v>
      </c>
      <c r="AN166" s="348" t="s">
        <v>89</v>
      </c>
      <c r="AO166" s="349">
        <v>45625</v>
      </c>
      <c r="AP166" s="98">
        <f>Tabla15[[#This Row],[Renov. Flota]]-Tabla15[[#This Row],[Año]]</f>
        <v>0</v>
      </c>
      <c r="AQ166" s="100" t="s">
        <v>81</v>
      </c>
      <c r="AR166" s="100" t="str">
        <f>VLOOKUP(Tabla15[[#This Row],[Matricula nueva]],'ALTA 20242025'!$B$2:$P$242,15,FALSE)</f>
        <v>4500426840</v>
      </c>
      <c r="AS166" s="101" t="s">
        <v>82</v>
      </c>
      <c r="AT166" s="101"/>
      <c r="AU166" s="101" t="s">
        <v>72</v>
      </c>
      <c r="AV166" s="101" t="s">
        <v>91</v>
      </c>
      <c r="AW166" s="101" t="str">
        <f>VLOOKUP(Tabla15[[#This Row],[Matricula nueva]],Hoja2!$A$1:$B$224,2,FALSE)</f>
        <v>VF1RFK00573824844</v>
      </c>
      <c r="AX166" s="209">
        <v>2.9</v>
      </c>
      <c r="AY166" s="208">
        <f t="shared" si="8"/>
        <v>9.19</v>
      </c>
      <c r="AZ166" s="313">
        <v>17.3</v>
      </c>
      <c r="BA166" s="314">
        <f>IF(Tabla15[[#This Row],[Columna2]]="M1",13073,IF(Tabla15[[#This Row],[Columna2]]="N1",15815,IF(Tabla15[[#This Row],[Columna2]]="L3e",2831,53508)))</f>
        <v>2831</v>
      </c>
      <c r="BB166" s="350">
        <f>(Tabla15[[#This Row],[CVA]]*Tabla15[[#This Row],[F]]-Tabla15[[#This Row],[CVN]])/100*Tabla15[[#This Row],[L]]</f>
        <v>264.72680999999989</v>
      </c>
      <c r="BC166" s="74" t="s">
        <v>157</v>
      </c>
      <c r="BD166" s="294">
        <f>VLOOKUP(B166,Tabla467824[[ID CAE2]:[AE '[kWh']]],6,FALSE)</f>
        <v>617.46940999999993</v>
      </c>
      <c r="BE16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167" spans="1:57" ht="60" x14ac:dyDescent="0.25">
      <c r="A167" s="53" t="s">
        <v>864</v>
      </c>
      <c r="B167" s="53" t="s">
        <v>864</v>
      </c>
      <c r="C167" s="332" t="s">
        <v>865</v>
      </c>
      <c r="D167" s="104" t="s">
        <v>72</v>
      </c>
      <c r="E167" s="104"/>
      <c r="F167" s="104"/>
      <c r="G167" s="104"/>
      <c r="H167" s="104" t="s">
        <v>72</v>
      </c>
      <c r="I167" s="104" t="s">
        <v>72</v>
      </c>
      <c r="J167" s="104"/>
      <c r="K167" s="96" t="s">
        <v>866</v>
      </c>
      <c r="L167" s="96" t="s">
        <v>74</v>
      </c>
      <c r="M167" s="96" t="s">
        <v>75</v>
      </c>
      <c r="N167" s="96" t="s">
        <v>76</v>
      </c>
      <c r="O167" s="99">
        <f>VLOOKUP(Tabla15[[#This Row],[Matricula Antigua]],BAJA2022202320242025!$B$3:$CR$245,93,FALSE)</f>
        <v>45541</v>
      </c>
      <c r="P167" s="316">
        <v>45631</v>
      </c>
      <c r="Q167" s="317">
        <f>Tabla15[[#This Row],[F.Vig.Final]]-Tabla15[[#This Row],[f Vig Inicio]]</f>
        <v>90</v>
      </c>
      <c r="R167" s="318">
        <f>YEAR(Tabla15[[#This Row],[F.Vig.Final]])</f>
        <v>2024</v>
      </c>
      <c r="S167" s="96" t="s">
        <v>77</v>
      </c>
      <c r="T167" s="96" t="s">
        <v>78</v>
      </c>
      <c r="U167" s="96" t="s">
        <v>79</v>
      </c>
      <c r="V167" s="96" t="s">
        <v>867</v>
      </c>
      <c r="W167" s="96" t="s">
        <v>336</v>
      </c>
      <c r="X167" s="332" t="s">
        <v>337</v>
      </c>
      <c r="Y167" s="96" t="s">
        <v>351</v>
      </c>
      <c r="Z167" s="98">
        <f>COUNTIF($X$3:X167, X167)</f>
        <v>9</v>
      </c>
      <c r="AA167" s="337" t="s">
        <v>1661</v>
      </c>
      <c r="AB167" s="337" t="s">
        <v>1661</v>
      </c>
      <c r="AC167" s="337" t="s">
        <v>1662</v>
      </c>
      <c r="AD167" s="341" t="s">
        <v>1682</v>
      </c>
      <c r="AE167" s="347" t="s">
        <v>1664</v>
      </c>
      <c r="AF167" s="337" t="s">
        <v>1683</v>
      </c>
      <c r="AG167" s="337" t="s">
        <v>1684</v>
      </c>
      <c r="AH167" s="337" t="s">
        <v>1649</v>
      </c>
      <c r="AI167" s="337" t="s">
        <v>868</v>
      </c>
      <c r="AJ167" s="98" t="s">
        <v>140</v>
      </c>
      <c r="AK167" s="98" t="s">
        <v>151</v>
      </c>
      <c r="AL167" s="98" t="s">
        <v>87</v>
      </c>
      <c r="AM167" s="101" t="s">
        <v>338</v>
      </c>
      <c r="AN167" s="348" t="s">
        <v>89</v>
      </c>
      <c r="AO167" s="349">
        <v>45625</v>
      </c>
      <c r="AP167" s="98">
        <f>Tabla15[[#This Row],[Renov. Flota]]-Tabla15[[#This Row],[Año]]</f>
        <v>0</v>
      </c>
      <c r="AQ167" s="100" t="s">
        <v>336</v>
      </c>
      <c r="AR167" s="100" t="str">
        <f>VLOOKUP(Tabla15[[#This Row],[Matricula nueva]],'ALTA 20242025'!$B$2:$P$242,15,FALSE)</f>
        <v>4500424800</v>
      </c>
      <c r="AS167" s="101" t="s">
        <v>337</v>
      </c>
      <c r="AT167" s="101"/>
      <c r="AU167" s="101" t="s">
        <v>72</v>
      </c>
      <c r="AV167" s="101" t="s">
        <v>91</v>
      </c>
      <c r="AW167" s="101" t="str">
        <f>VLOOKUP(Tabla15[[#This Row],[Matricula nueva]],Hoja2!$A$1:$B$224,2,FALSE)</f>
        <v>VR7CBZYA4RT154440</v>
      </c>
      <c r="AX167" s="209">
        <v>5.6</v>
      </c>
      <c r="AY167" s="208">
        <f t="shared" si="8"/>
        <v>10</v>
      </c>
      <c r="AZ167" s="313">
        <v>16.399999999999999</v>
      </c>
      <c r="BA167" s="314">
        <f>IF(Tabla15[[#This Row],[Columna2]]="M1",13073,IF(Tabla15[[#This Row],[Columna2]]="N1",15815,IF(Tabla15[[#This Row],[Columna2]]="L3e",2831,53508)))</f>
        <v>15815</v>
      </c>
      <c r="BB167" s="350">
        <f>(Tabla15[[#This Row],[CVA]]*Tabla15[[#This Row],[F]]-Tabla15[[#This Row],[CVN]])/100*Tabla15[[#This Row],[L]]</f>
        <v>6262.7400000000007</v>
      </c>
      <c r="BC167" s="74" t="s">
        <v>128</v>
      </c>
      <c r="BD167" s="294">
        <f>VLOOKUP(B167,Tabla467824[[ID CAE2]:[AE '[kWh']]],6,FALSE)</f>
        <v>5607.9989999999989</v>
      </c>
      <c r="BE16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68" spans="1:57" ht="60" x14ac:dyDescent="0.25">
      <c r="A168" s="53" t="s">
        <v>871</v>
      </c>
      <c r="B168" s="53" t="s">
        <v>871</v>
      </c>
      <c r="C168" s="332" t="s">
        <v>872</v>
      </c>
      <c r="D168" s="104" t="s">
        <v>72</v>
      </c>
      <c r="E168" s="104"/>
      <c r="F168" s="104"/>
      <c r="G168" s="104"/>
      <c r="H168" s="104" t="s">
        <v>72</v>
      </c>
      <c r="I168" s="104" t="s">
        <v>72</v>
      </c>
      <c r="J168" s="104"/>
      <c r="K168" s="96" t="s">
        <v>866</v>
      </c>
      <c r="L168" s="96" t="s">
        <v>74</v>
      </c>
      <c r="M168" s="96" t="s">
        <v>75</v>
      </c>
      <c r="N168" s="96" t="s">
        <v>76</v>
      </c>
      <c r="O168" s="99">
        <f>VLOOKUP(Tabla15[[#This Row],[Matricula Antigua]],BAJA2022202320242025!$B$3:$CR$245,93,FALSE)</f>
        <v>45541</v>
      </c>
      <c r="P168" s="316">
        <v>45631</v>
      </c>
      <c r="Q168" s="317">
        <f>Tabla15[[#This Row],[F.Vig.Final]]-Tabla15[[#This Row],[f Vig Inicio]]</f>
        <v>90</v>
      </c>
      <c r="R168" s="318">
        <f>YEAR(Tabla15[[#This Row],[F.Vig.Final]])</f>
        <v>2024</v>
      </c>
      <c r="S168" s="96" t="s">
        <v>77</v>
      </c>
      <c r="T168" s="96" t="s">
        <v>78</v>
      </c>
      <c r="U168" s="96" t="s">
        <v>79</v>
      </c>
      <c r="V168" s="96" t="s">
        <v>867</v>
      </c>
      <c r="W168" s="96" t="s">
        <v>336</v>
      </c>
      <c r="X168" s="332" t="s">
        <v>337</v>
      </c>
      <c r="Y168" s="96" t="s">
        <v>351</v>
      </c>
      <c r="Z168" s="98">
        <f>COUNTIF($X$3:X168, X168)</f>
        <v>10</v>
      </c>
      <c r="AA168" s="337" t="s">
        <v>1661</v>
      </c>
      <c r="AB168" s="337" t="s">
        <v>1661</v>
      </c>
      <c r="AC168" s="337" t="s">
        <v>1662</v>
      </c>
      <c r="AD168" s="341" t="s">
        <v>1682</v>
      </c>
      <c r="AE168" s="347" t="s">
        <v>1664</v>
      </c>
      <c r="AF168" s="337" t="s">
        <v>1683</v>
      </c>
      <c r="AG168" s="337" t="s">
        <v>1684</v>
      </c>
      <c r="AH168" s="337" t="s">
        <v>1649</v>
      </c>
      <c r="AI168" s="337" t="s">
        <v>873</v>
      </c>
      <c r="AJ168" s="98" t="s">
        <v>140</v>
      </c>
      <c r="AK168" s="98" t="s">
        <v>151</v>
      </c>
      <c r="AL168" s="98" t="s">
        <v>87</v>
      </c>
      <c r="AM168" s="101" t="s">
        <v>874</v>
      </c>
      <c r="AN168" s="348" t="s">
        <v>89</v>
      </c>
      <c r="AO168" s="349">
        <v>45625</v>
      </c>
      <c r="AP168" s="98">
        <f>Tabla15[[#This Row],[Renov. Flota]]-Tabla15[[#This Row],[Año]]</f>
        <v>0</v>
      </c>
      <c r="AQ168" s="100" t="s">
        <v>336</v>
      </c>
      <c r="AR168" s="100" t="str">
        <f>VLOOKUP(Tabla15[[#This Row],[Matricula nueva]],'ALTA 20242025'!$B$2:$P$242,15,FALSE)</f>
        <v>4500424799</v>
      </c>
      <c r="AS168" s="101" t="s">
        <v>337</v>
      </c>
      <c r="AT168" s="101"/>
      <c r="AU168" s="101" t="s">
        <v>72</v>
      </c>
      <c r="AV168" s="101" t="s">
        <v>91</v>
      </c>
      <c r="AW168" s="101" t="str">
        <f>VLOOKUP(Tabla15[[#This Row],[Matricula nueva]],Hoja2!$A$1:$B$224,2,FALSE)</f>
        <v>VR7CBZYA0RT153043</v>
      </c>
      <c r="AX168" s="209">
        <v>5.6</v>
      </c>
      <c r="AY168" s="208">
        <f t="shared" si="8"/>
        <v>10</v>
      </c>
      <c r="AZ168" s="313">
        <v>16.399999999999999</v>
      </c>
      <c r="BA168" s="314">
        <f>IF(Tabla15[[#This Row],[Columna2]]="M1",13073,IF(Tabla15[[#This Row],[Columna2]]="N1",15815,IF(Tabla15[[#This Row],[Columna2]]="L3e",2831,53508)))</f>
        <v>15815</v>
      </c>
      <c r="BB168" s="350">
        <f>(Tabla15[[#This Row],[CVA]]*Tabla15[[#This Row],[F]]-Tabla15[[#This Row],[CVN]])/100*Tabla15[[#This Row],[L]]</f>
        <v>6262.7400000000007</v>
      </c>
      <c r="BC168" s="74" t="s">
        <v>128</v>
      </c>
      <c r="BD168" s="294">
        <f>VLOOKUP(B168,Tabla467824[[ID CAE2]:[AE '[kWh']]],6,FALSE)</f>
        <v>5607.9989999999989</v>
      </c>
      <c r="BE16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69" spans="1:57" ht="60" x14ac:dyDescent="0.25">
      <c r="A169" s="53" t="s">
        <v>877</v>
      </c>
      <c r="B169" s="53" t="s">
        <v>877</v>
      </c>
      <c r="C169" s="332" t="s">
        <v>878</v>
      </c>
      <c r="D169" s="104" t="s">
        <v>72</v>
      </c>
      <c r="E169" s="104"/>
      <c r="F169" s="104" t="s">
        <v>72</v>
      </c>
      <c r="G169" s="104"/>
      <c r="H169" s="104"/>
      <c r="I169" s="104"/>
      <c r="J169" s="104"/>
      <c r="K169" s="96" t="s">
        <v>73</v>
      </c>
      <c r="L169" s="96" t="s">
        <v>74</v>
      </c>
      <c r="M169" s="96" t="s">
        <v>75</v>
      </c>
      <c r="N169" s="96" t="s">
        <v>76</v>
      </c>
      <c r="O169" s="99">
        <f>VLOOKUP(Tabla15[[#This Row],[Matricula Antigua]],BAJA2022202320242025!$B$3:$CR$245,93,FALSE)</f>
        <v>44452</v>
      </c>
      <c r="P169" s="316">
        <v>45261</v>
      </c>
      <c r="Q169" s="317">
        <f>Tabla15[[#This Row],[F.Vig.Final]]-Tabla15[[#This Row],[f Vig Inicio]]</f>
        <v>809</v>
      </c>
      <c r="R169" s="318">
        <f>YEAR(Tabla15[[#This Row],[F.Vig.Final]])</f>
        <v>2023</v>
      </c>
      <c r="S169" s="96" t="s">
        <v>77</v>
      </c>
      <c r="T169" s="96" t="s">
        <v>71</v>
      </c>
      <c r="U169" s="96" t="s">
        <v>79</v>
      </c>
      <c r="V169" s="96" t="s">
        <v>879</v>
      </c>
      <c r="W169" s="96" t="s">
        <v>336</v>
      </c>
      <c r="X169" s="332" t="s">
        <v>337</v>
      </c>
      <c r="Y169" s="96" t="s">
        <v>880</v>
      </c>
      <c r="Z169" s="98">
        <f>COUNTIF($X$3:X169, X169)</f>
        <v>11</v>
      </c>
      <c r="AA169" s="337" t="s">
        <v>1661</v>
      </c>
      <c r="AB169" s="337" t="s">
        <v>1661</v>
      </c>
      <c r="AC169" s="337" t="s">
        <v>1662</v>
      </c>
      <c r="AD169" s="341" t="s">
        <v>1682</v>
      </c>
      <c r="AE169" s="347" t="s">
        <v>1664</v>
      </c>
      <c r="AF169" s="337" t="s">
        <v>1683</v>
      </c>
      <c r="AG169" s="337" t="s">
        <v>1684</v>
      </c>
      <c r="AH169" s="337" t="s">
        <v>1649</v>
      </c>
      <c r="AI169" s="337" t="s">
        <v>881</v>
      </c>
      <c r="AJ169" s="98" t="s">
        <v>380</v>
      </c>
      <c r="AK169" s="98" t="s">
        <v>381</v>
      </c>
      <c r="AL169" s="98" t="s">
        <v>87</v>
      </c>
      <c r="AM169" s="101" t="s">
        <v>382</v>
      </c>
      <c r="AN169" s="348" t="s">
        <v>89</v>
      </c>
      <c r="AO169" s="349">
        <v>45483</v>
      </c>
      <c r="AP169" s="98">
        <f>Tabla15[[#This Row],[Renov. Flota]]-Tabla15[[#This Row],[Año]]</f>
        <v>1</v>
      </c>
      <c r="AQ169" s="100" t="s">
        <v>336</v>
      </c>
      <c r="AR169" s="100">
        <v>4500407445</v>
      </c>
      <c r="AS169" s="101" t="s">
        <v>337</v>
      </c>
      <c r="AT169" s="101"/>
      <c r="AU169" s="101" t="s">
        <v>72</v>
      </c>
      <c r="AV169" s="101" t="s">
        <v>91</v>
      </c>
      <c r="AW169" s="101" t="s">
        <v>882</v>
      </c>
      <c r="AX169" s="209">
        <f>IF(Tabla15[[#This Row],[Columna2]]="M1",5.1,"")</f>
        <v>5.0999999999999996</v>
      </c>
      <c r="AY169" s="208">
        <f t="shared" si="8"/>
        <v>9.19</v>
      </c>
      <c r="AZ169" s="313">
        <v>20</v>
      </c>
      <c r="BA169" s="314">
        <f>IF(Tabla15[[#This Row],[Columna2]]="M1",13073,IF(Tabla15[[#This Row],[Columna2]]="N1",15815,IF(Tabla15[[#This Row],[Columna2]]="L3e",2831,53508)))</f>
        <v>13073</v>
      </c>
      <c r="BB169" s="350">
        <f>(Tabla15[[#This Row],[CVA]]*Tabla15[[#This Row],[F]]-Tabla15[[#This Row],[CVN]])/100*Tabla15[[#This Row],[L]]</f>
        <v>3512.5843699999991</v>
      </c>
      <c r="BC169" s="74" t="s">
        <v>70</v>
      </c>
      <c r="BD169" s="294">
        <f>VLOOKUP(B169,Tabla467824[[ID CAE2]:[AE '[kWh']]],6,FALSE)</f>
        <v>7136.4330429999991</v>
      </c>
      <c r="BE16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0" spans="1:57" ht="51.75" x14ac:dyDescent="0.25">
      <c r="A170" s="53" t="s">
        <v>883</v>
      </c>
      <c r="B170" s="53" t="s">
        <v>883</v>
      </c>
      <c r="C170" s="332" t="s">
        <v>884</v>
      </c>
      <c r="D170" s="104"/>
      <c r="E170" s="104"/>
      <c r="F170" s="104"/>
      <c r="G170" s="104"/>
      <c r="H170" s="104"/>
      <c r="I170" s="104"/>
      <c r="J170" s="104"/>
      <c r="K170" s="96" t="s">
        <v>885</v>
      </c>
      <c r="L170" s="96" t="s">
        <v>161</v>
      </c>
      <c r="M170" s="96" t="s">
        <v>886</v>
      </c>
      <c r="N170" s="96" t="s">
        <v>171</v>
      </c>
      <c r="O170" s="101">
        <f>VLOOKUP(Tabla15[[#This Row],[Matricula Antigua]],BAJA2022202320242025!$B$3:$CR$245,93,FALSE)</f>
        <v>45444</v>
      </c>
      <c r="P170" s="316">
        <v>45444</v>
      </c>
      <c r="Q170" s="317">
        <f>Tabla15[[#This Row],[F.Vig.Final]]-Tabla15[[#This Row],[f Vig Inicio]]</f>
        <v>0</v>
      </c>
      <c r="R170" s="318">
        <f>YEAR(Tabla15[[#This Row],[F.Vig.Final]])</f>
        <v>2024</v>
      </c>
      <c r="S170" s="96" t="s">
        <v>172</v>
      </c>
      <c r="T170" s="96" t="s">
        <v>78</v>
      </c>
      <c r="U170" s="96" t="s">
        <v>887</v>
      </c>
      <c r="V170" s="96" t="s">
        <v>888</v>
      </c>
      <c r="W170" s="96" t="s">
        <v>102</v>
      </c>
      <c r="X170" s="332" t="s">
        <v>1667</v>
      </c>
      <c r="Y170" s="96" t="s">
        <v>696</v>
      </c>
      <c r="Z170" s="98">
        <f>COUNTIF($X$3:X170, X170)</f>
        <v>39</v>
      </c>
      <c r="AA170" s="337" t="s">
        <v>1668</v>
      </c>
      <c r="AB170" s="337" t="s">
        <v>1668</v>
      </c>
      <c r="AC170" s="337" t="s">
        <v>1669</v>
      </c>
      <c r="AD170" s="341" t="s">
        <v>1670</v>
      </c>
      <c r="AE170" s="345" t="s">
        <v>1671</v>
      </c>
      <c r="AF170" s="346" t="s">
        <v>1672</v>
      </c>
      <c r="AG170" s="357" t="s">
        <v>1673</v>
      </c>
      <c r="AH170" s="337" t="s">
        <v>1649</v>
      </c>
      <c r="AI170" s="337" t="s">
        <v>889</v>
      </c>
      <c r="AJ170" s="98" t="s">
        <v>140</v>
      </c>
      <c r="AK170" s="98" t="s">
        <v>151</v>
      </c>
      <c r="AL170" s="98" t="s">
        <v>87</v>
      </c>
      <c r="AM170" s="101" t="s">
        <v>303</v>
      </c>
      <c r="AN170" s="348" t="s">
        <v>89</v>
      </c>
      <c r="AO170" s="349">
        <v>45625</v>
      </c>
      <c r="AP170" s="98">
        <f>Tabla15[[#This Row],[Renov. Flota]]-Tabla15[[#This Row],[Año]]</f>
        <v>0</v>
      </c>
      <c r="AQ170" s="100" t="s">
        <v>102</v>
      </c>
      <c r="AR170" s="100" t="str">
        <f>VLOOKUP(Tabla15[[#This Row],[Matricula nueva]],'ALTA 20242025'!$B$2:$P$242,15,FALSE)</f>
        <v>4500424827</v>
      </c>
      <c r="AS170" s="101" t="s">
        <v>103</v>
      </c>
      <c r="AT170" s="101"/>
      <c r="AU170" s="101" t="s">
        <v>72</v>
      </c>
      <c r="AV170" s="101" t="s">
        <v>109</v>
      </c>
      <c r="AW170" s="101" t="str">
        <f>VLOOKUP(Tabla15[[#This Row],[Matricula nueva]],Hoja2!$A$1:$B$224,2,FALSE)</f>
        <v>VR7CBZYA9RT152196</v>
      </c>
      <c r="AX170" s="209">
        <v>5.6</v>
      </c>
      <c r="AY170" s="208">
        <f t="shared" si="8"/>
        <v>10</v>
      </c>
      <c r="AZ170" s="313">
        <v>16.399999999999999</v>
      </c>
      <c r="BA170" s="314">
        <f>IF(Tabla15[[#This Row],[Columna2]]="M1",13073,IF(Tabla15[[#This Row],[Columna2]]="N1",15815,IF(Tabla15[[#This Row],[Columna2]]="L3e",2831,53508)))</f>
        <v>15815</v>
      </c>
      <c r="BB170" s="350">
        <f>(Tabla15[[#This Row],[CVA]]*Tabla15[[#This Row],[F]]-Tabla15[[#This Row],[CVN]])/100*Tabla15[[#This Row],[L]]</f>
        <v>6262.7400000000007</v>
      </c>
      <c r="BC170" s="74" t="s">
        <v>128</v>
      </c>
      <c r="BD170" s="294">
        <f>VLOOKUP(B170,Tabla467824[[ID CAE2]:[AE '[kWh']]],6,FALSE)</f>
        <v>123854.9676</v>
      </c>
      <c r="BE17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1" spans="1:57" ht="60.75" thickBot="1" x14ac:dyDescent="0.3">
      <c r="A171" s="53" t="s">
        <v>892</v>
      </c>
      <c r="B171" s="53" t="s">
        <v>892</v>
      </c>
      <c r="C171" s="332" t="s">
        <v>893</v>
      </c>
      <c r="D171" s="104" t="s">
        <v>72</v>
      </c>
      <c r="E171" s="104" t="s">
        <v>72</v>
      </c>
      <c r="F171" s="104" t="s">
        <v>72</v>
      </c>
      <c r="G171" s="104"/>
      <c r="H171" s="104" t="s">
        <v>249</v>
      </c>
      <c r="I171" s="104" t="s">
        <v>72</v>
      </c>
      <c r="J171" s="104"/>
      <c r="K171" s="96" t="s">
        <v>73</v>
      </c>
      <c r="L171" s="96" t="s">
        <v>200</v>
      </c>
      <c r="M171" s="96" t="s">
        <v>201</v>
      </c>
      <c r="N171" s="96" t="s">
        <v>76</v>
      </c>
      <c r="O171" s="101">
        <f>VLOOKUP(Tabla15[[#This Row],[Matricula Antigua]],BAJA2022202320242025!$B$3:$CR$245,93,FALSE)</f>
        <v>42747</v>
      </c>
      <c r="P171" s="316">
        <v>45169</v>
      </c>
      <c r="Q171" s="317">
        <f>Tabla15[[#This Row],[F.Vig.Final]]-Tabla15[[#This Row],[f Vig Inicio]]</f>
        <v>2422</v>
      </c>
      <c r="R171" s="318">
        <f>YEAR(Tabla15[[#This Row],[F.Vig.Final]])</f>
        <v>2023</v>
      </c>
      <c r="S171" s="96" t="s">
        <v>77</v>
      </c>
      <c r="T171" s="96" t="s">
        <v>78</v>
      </c>
      <c r="U171" s="96" t="s">
        <v>359</v>
      </c>
      <c r="V171" s="96" t="s">
        <v>894</v>
      </c>
      <c r="W171" s="96" t="s">
        <v>584</v>
      </c>
      <c r="X171" s="332" t="s">
        <v>585</v>
      </c>
      <c r="Y171" s="96" t="s">
        <v>895</v>
      </c>
      <c r="Z171" s="98">
        <f>COUNTIF($X$3:X171, X171)</f>
        <v>9</v>
      </c>
      <c r="AA171" s="337" t="s">
        <v>1661</v>
      </c>
      <c r="AB171" s="337" t="s">
        <v>1661</v>
      </c>
      <c r="AC171" s="337" t="s">
        <v>1662</v>
      </c>
      <c r="AD171" s="341" t="s">
        <v>1694</v>
      </c>
      <c r="AE171" s="347" t="s">
        <v>1664</v>
      </c>
      <c r="AF171" s="337" t="s">
        <v>1683</v>
      </c>
      <c r="AG171" s="337" t="s">
        <v>1695</v>
      </c>
      <c r="AH171" s="337" t="s">
        <v>1649</v>
      </c>
      <c r="AI171" s="337" t="s">
        <v>896</v>
      </c>
      <c r="AJ171" s="98" t="s">
        <v>85</v>
      </c>
      <c r="AK171" s="98" t="s">
        <v>86</v>
      </c>
      <c r="AL171" s="98" t="s">
        <v>87</v>
      </c>
      <c r="AM171" s="101" t="s">
        <v>897</v>
      </c>
      <c r="AN171" s="348" t="s">
        <v>89</v>
      </c>
      <c r="AO171" s="349">
        <v>45649</v>
      </c>
      <c r="AP171" s="98">
        <f>Tabla15[[#This Row],[Renov. Flota]]-Tabla15[[#This Row],[Año]]</f>
        <v>1</v>
      </c>
      <c r="AQ171" s="100" t="s">
        <v>584</v>
      </c>
      <c r="AR171" s="100" t="str">
        <f>VLOOKUP(Tabla15[[#This Row],[Matricula nueva]],'ALTA 20242025'!$B$2:$P$242,15,FALSE)</f>
        <v>4500427622</v>
      </c>
      <c r="AS171" s="101" t="s">
        <v>585</v>
      </c>
      <c r="AT171" s="101"/>
      <c r="AU171" s="101" t="s">
        <v>72</v>
      </c>
      <c r="AV171" s="101" t="s">
        <v>91</v>
      </c>
      <c r="AW171" s="101" t="str">
        <f>VLOOKUP(Tabla15[[#This Row],[Matricula nueva]],Hoja2!$A$1:$B$224,2,FALSE)</f>
        <v>VF1RFK00373824857</v>
      </c>
      <c r="AX171" s="209">
        <v>5.6</v>
      </c>
      <c r="AY171" s="208">
        <f t="shared" si="8"/>
        <v>10</v>
      </c>
      <c r="AZ171" s="313">
        <v>17.3</v>
      </c>
      <c r="BA171" s="314">
        <f>IF(Tabla15[[#This Row],[Columna2]]="M1",13073,IF(Tabla15[[#This Row],[Columna2]]="N1",15815,IF(Tabla15[[#This Row],[Columna2]]="L3e",2831,53508)))</f>
        <v>15815</v>
      </c>
      <c r="BB171" s="350">
        <f>(Tabla15[[#This Row],[CVA]]*Tabla15[[#This Row],[F]]-Tabla15[[#This Row],[CVN]])/100*Tabla15[[#This Row],[L]]</f>
        <v>6120.4049999999997</v>
      </c>
      <c r="BC171" s="79" t="s">
        <v>128</v>
      </c>
      <c r="BD171" s="294">
        <f>VLOOKUP(B171,Tabla467824[[ID CAE2]:[AE '[kWh']]],6,FALSE)</f>
        <v>5607.9989999999989</v>
      </c>
      <c r="BE17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72" spans="1:57" ht="15.75" hidden="1" thickBot="1" x14ac:dyDescent="0.3">
      <c r="A172" s="53" t="s">
        <v>1295</v>
      </c>
      <c r="B172" s="53" t="e">
        <v>#N/A</v>
      </c>
      <c r="C172" s="96" t="s">
        <v>1296</v>
      </c>
      <c r="D172" s="96"/>
      <c r="E172" s="96"/>
      <c r="F172" s="96"/>
      <c r="G172" s="96"/>
      <c r="H172" s="96"/>
      <c r="I172" s="96"/>
      <c r="J172" s="96"/>
      <c r="K172" s="96" t="s">
        <v>73</v>
      </c>
      <c r="L172" s="96" t="s">
        <v>200</v>
      </c>
      <c r="M172" s="96" t="s">
        <v>201</v>
      </c>
      <c r="N172" s="96" t="s">
        <v>160</v>
      </c>
      <c r="O172" s="101">
        <f>VLOOKUP(Tabla15[[#This Row],[Matricula Antigua]],BAJA2022202320242025!$B$3:$CR$245,93,FALSE)</f>
        <v>44224</v>
      </c>
      <c r="P172" s="99">
        <v>45685</v>
      </c>
      <c r="Q172" s="98">
        <f>Tabla15[[#This Row],[F.Vig.Final]]-Tabla15[[#This Row],[f Vig Inicio]]</f>
        <v>1461</v>
      </c>
      <c r="R172" s="99">
        <f>YEAR(Tabla15[[#This Row],[F.Vig.Final]])</f>
        <v>2025</v>
      </c>
      <c r="S172" s="96" t="s">
        <v>161</v>
      </c>
      <c r="T172" s="96" t="s">
        <v>78</v>
      </c>
      <c r="U172" s="96" t="s">
        <v>79</v>
      </c>
      <c r="V172" s="96" t="s">
        <v>924</v>
      </c>
      <c r="W172" s="96" t="s">
        <v>584</v>
      </c>
      <c r="X172" s="96" t="s">
        <v>585</v>
      </c>
      <c r="Y172" s="96" t="s">
        <v>1297</v>
      </c>
      <c r="Z172" s="98">
        <f>COUNTIF($X$3:X172, X172)</f>
        <v>10</v>
      </c>
      <c r="AA172" s="98"/>
      <c r="AB172" s="98"/>
      <c r="AC172" s="98"/>
      <c r="AD172" s="98"/>
      <c r="AE172" s="320"/>
      <c r="AF172" s="98"/>
      <c r="AG172" s="98"/>
      <c r="AH172" s="98"/>
      <c r="AI172" s="98" t="e">
        <v>#N/A</v>
      </c>
      <c r="AJ172" s="98" t="e">
        <v>#N/A</v>
      </c>
      <c r="AK172" s="98" t="e">
        <v>#N/A</v>
      </c>
      <c r="AL172" s="98" t="e">
        <v>#N/A</v>
      </c>
      <c r="AM172" s="98" t="e">
        <v>#N/A</v>
      </c>
      <c r="AN172" s="99" t="e">
        <v>#N/A</v>
      </c>
      <c r="AO172" s="99" t="e">
        <v>#N/A</v>
      </c>
      <c r="AP172" s="99" t="e">
        <f>Tabla15[[#This Row],[Renov. Flota]]-Tabla15[[#This Row],[Año]]</f>
        <v>#N/A</v>
      </c>
      <c r="AQ172" s="100" t="e">
        <v>#N/A</v>
      </c>
      <c r="AR172" s="100" t="e">
        <f>VLOOKUP(Tabla15[[#This Row],[Matricula nueva]],'ALTA 20242025'!$B$2:$P$242,15,FALSE)</f>
        <v>#N/A</v>
      </c>
      <c r="AS172" s="101" t="e">
        <v>#N/A</v>
      </c>
      <c r="AT172" s="101"/>
      <c r="AU172" s="101"/>
      <c r="AV172" s="101"/>
      <c r="AW172" s="101" t="e">
        <f>VLOOKUP(Tabla15[[#This Row],[Matricula nueva]],Hoja2!$A$1:$B$224,2,FALSE)</f>
        <v>#N/A</v>
      </c>
      <c r="AX172" s="101" t="str">
        <f>IF(Tabla15[[#This Row],[Columna2]]="M1",5.1,"")</f>
        <v/>
      </c>
      <c r="AY172" s="101"/>
      <c r="AZ172" s="101"/>
      <c r="BA172" s="311">
        <f>IF(Tabla15[[#This Row],[Columna2]]="M1",13073,IF(Tabla15[[#This Row],[Columna2]]="N1",15815,IF(Tabla15[[#This Row],[Columna2]]="L3e",2831,53508)))</f>
        <v>53508</v>
      </c>
      <c r="BB172" s="311" t="e">
        <f>(Tabla15[[#This Row],[CVA]]*Tabla15[[#This Row],[F]]-Tabla15[[#This Row],[CVN]])/100*Tabla15[[#This Row],[L]]</f>
        <v>#VALUE!</v>
      </c>
      <c r="BC172" s="1"/>
      <c r="BD172" s="1" t="e">
        <f>VLOOKUP(B172,Tabla467824[[ID CAE2]:[AE '[kWh']]],6,FALSE)</f>
        <v>#N/A</v>
      </c>
      <c r="BE17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3" spans="1:57" ht="51.75" x14ac:dyDescent="0.25">
      <c r="A173" s="53" t="s">
        <v>900</v>
      </c>
      <c r="B173" s="53" t="s">
        <v>900</v>
      </c>
      <c r="C173" s="332" t="s">
        <v>901</v>
      </c>
      <c r="D173" s="104"/>
      <c r="E173" s="104" t="s">
        <v>72</v>
      </c>
      <c r="F173" s="104" t="s">
        <v>72</v>
      </c>
      <c r="G173" s="104"/>
      <c r="H173" s="104"/>
      <c r="I173" s="104"/>
      <c r="J173" s="104"/>
      <c r="K173" s="96" t="s">
        <v>466</v>
      </c>
      <c r="L173" s="96" t="s">
        <v>200</v>
      </c>
      <c r="M173" s="96" t="s">
        <v>201</v>
      </c>
      <c r="N173" s="96" t="s">
        <v>76</v>
      </c>
      <c r="O173" s="101">
        <f>VLOOKUP(Tabla15[[#This Row],[Matricula Antigua]],BAJA2022202320242025!$B$3:$CR$245,93,FALSE)</f>
        <v>44203</v>
      </c>
      <c r="P173" s="316">
        <v>45664</v>
      </c>
      <c r="Q173" s="317">
        <f>Tabla15[[#This Row],[F.Vig.Final]]-Tabla15[[#This Row],[f Vig Inicio]]</f>
        <v>1461</v>
      </c>
      <c r="R173" s="318">
        <f>YEAR(Tabla15[[#This Row],[F.Vig.Final]])</f>
        <v>2025</v>
      </c>
      <c r="S173" s="96" t="s">
        <v>77</v>
      </c>
      <c r="T173" s="96" t="s">
        <v>78</v>
      </c>
      <c r="U173" s="96" t="s">
        <v>467</v>
      </c>
      <c r="V173" s="96" t="s">
        <v>902</v>
      </c>
      <c r="W173" s="96" t="s">
        <v>119</v>
      </c>
      <c r="X173" s="332" t="s">
        <v>1674</v>
      </c>
      <c r="Y173" s="96" t="s">
        <v>776</v>
      </c>
      <c r="Z173" s="98">
        <f>COUNTIF($X$3:X173, X173)</f>
        <v>21</v>
      </c>
      <c r="AA173" s="337" t="s">
        <v>1661</v>
      </c>
      <c r="AB173" s="337" t="s">
        <v>1661</v>
      </c>
      <c r="AC173" s="337" t="s">
        <v>1662</v>
      </c>
      <c r="AD173" s="337" t="s">
        <v>1663</v>
      </c>
      <c r="AE173" s="339" t="s">
        <v>1664</v>
      </c>
      <c r="AF173" s="340" t="s">
        <v>1665</v>
      </c>
      <c r="AG173" s="340" t="s">
        <v>1666</v>
      </c>
      <c r="AH173" s="337" t="s">
        <v>1649</v>
      </c>
      <c r="AI173" s="337" t="s">
        <v>903</v>
      </c>
      <c r="AJ173" s="98" t="s">
        <v>85</v>
      </c>
      <c r="AK173" s="98" t="s">
        <v>86</v>
      </c>
      <c r="AL173" s="98" t="s">
        <v>87</v>
      </c>
      <c r="AM173" s="101" t="s">
        <v>617</v>
      </c>
      <c r="AN173" s="348" t="s">
        <v>89</v>
      </c>
      <c r="AO173" s="349">
        <v>45645</v>
      </c>
      <c r="AP173" s="98">
        <f>Tabla15[[#This Row],[Renov. Flota]]-Tabla15[[#This Row],[Año]]</f>
        <v>-1</v>
      </c>
      <c r="AQ173" s="100" t="s">
        <v>119</v>
      </c>
      <c r="AR173" s="100" t="str">
        <f>VLOOKUP(Tabla15[[#This Row],[Matricula nueva]],'ALTA 20242025'!$B$2:$P$242,15,FALSE)</f>
        <v>4500426868</v>
      </c>
      <c r="AS173" s="101" t="s">
        <v>120</v>
      </c>
      <c r="AT173" s="101"/>
      <c r="AU173" s="101" t="s">
        <v>72</v>
      </c>
      <c r="AV173" s="101" t="s">
        <v>91</v>
      </c>
      <c r="AW173" s="101" t="str">
        <f>VLOOKUP(Tabla15[[#This Row],[Matricula nueva]],Hoja2!$A$1:$B$224,2,FALSE)</f>
        <v>VF1RFK00173934256</v>
      </c>
      <c r="AX173" s="209">
        <v>5.6</v>
      </c>
      <c r="AY173" s="208">
        <f t="shared" ref="AY173:AY182" si="9">IF(T173="DIESEL",10,IF(T173="GLP",7.16,9.19))</f>
        <v>10</v>
      </c>
      <c r="AZ173" s="313">
        <v>17.3</v>
      </c>
      <c r="BA173" s="314">
        <f>IF(Tabla15[[#This Row],[Columna2]]="M1",13073,IF(Tabla15[[#This Row],[Columna2]]="N1",15815,IF(Tabla15[[#This Row],[Columna2]]="L3e",2831,53508)))</f>
        <v>15815</v>
      </c>
      <c r="BB173" s="350">
        <f>(Tabla15[[#This Row],[CVA]]*Tabla15[[#This Row],[F]]-Tabla15[[#This Row],[CVN]])/100*Tabla15[[#This Row],[L]]</f>
        <v>6120.4049999999997</v>
      </c>
      <c r="BC173" s="69" t="s">
        <v>128</v>
      </c>
      <c r="BD173" s="294">
        <f>VLOOKUP(B173,Tabla467824[[ID CAE2]:[AE '[kWh']]],6,FALSE)</f>
        <v>6795.3454000000002</v>
      </c>
      <c r="BE17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4" spans="1:57" ht="60" x14ac:dyDescent="0.25">
      <c r="A174" s="53" t="s">
        <v>906</v>
      </c>
      <c r="B174" s="53" t="s">
        <v>906</v>
      </c>
      <c r="C174" s="332" t="s">
        <v>907</v>
      </c>
      <c r="D174" s="104" t="s">
        <v>72</v>
      </c>
      <c r="E174" s="104"/>
      <c r="F174" s="104" t="s">
        <v>72</v>
      </c>
      <c r="G174" s="104"/>
      <c r="H174" s="104"/>
      <c r="I174" s="104"/>
      <c r="J174" s="104"/>
      <c r="K174" s="96" t="s">
        <v>73</v>
      </c>
      <c r="L174" s="96" t="s">
        <v>74</v>
      </c>
      <c r="M174" s="96" t="s">
        <v>75</v>
      </c>
      <c r="N174" s="96" t="s">
        <v>76</v>
      </c>
      <c r="O174" s="99">
        <f>VLOOKUP(Tabla15[[#This Row],[Matricula Antigua]],BAJA2022202320242025!$B$3:$CR$245,93,FALSE)</f>
        <v>44392</v>
      </c>
      <c r="P174" s="316">
        <v>45230</v>
      </c>
      <c r="Q174" s="317">
        <f>Tabla15[[#This Row],[F.Vig.Final]]-Tabla15[[#This Row],[f Vig Inicio]]</f>
        <v>838</v>
      </c>
      <c r="R174" s="318">
        <f>YEAR(Tabla15[[#This Row],[F.Vig.Final]])</f>
        <v>2023</v>
      </c>
      <c r="S174" s="96" t="s">
        <v>77</v>
      </c>
      <c r="T174" s="96" t="s">
        <v>71</v>
      </c>
      <c r="U174" s="96" t="s">
        <v>79</v>
      </c>
      <c r="V174" s="96" t="s">
        <v>879</v>
      </c>
      <c r="W174" s="96" t="s">
        <v>336</v>
      </c>
      <c r="X174" s="332" t="s">
        <v>337</v>
      </c>
      <c r="Y174" s="96" t="s">
        <v>880</v>
      </c>
      <c r="Z174" s="98">
        <f>COUNTIF($X$3:X174, X174)</f>
        <v>12</v>
      </c>
      <c r="AA174" s="337" t="s">
        <v>1661</v>
      </c>
      <c r="AB174" s="337" t="s">
        <v>1661</v>
      </c>
      <c r="AC174" s="337" t="s">
        <v>1662</v>
      </c>
      <c r="AD174" s="341" t="s">
        <v>1682</v>
      </c>
      <c r="AE174" s="347" t="s">
        <v>1664</v>
      </c>
      <c r="AF174" s="337" t="s">
        <v>1683</v>
      </c>
      <c r="AG174" s="337" t="s">
        <v>1684</v>
      </c>
      <c r="AH174" s="337" t="s">
        <v>1649</v>
      </c>
      <c r="AI174" s="337" t="s">
        <v>908</v>
      </c>
      <c r="AJ174" s="98" t="s">
        <v>85</v>
      </c>
      <c r="AK174" s="98" t="s">
        <v>114</v>
      </c>
      <c r="AL174" s="98" t="s">
        <v>87</v>
      </c>
      <c r="AM174" s="101" t="s">
        <v>909</v>
      </c>
      <c r="AN174" s="348" t="s">
        <v>108</v>
      </c>
      <c r="AO174" s="349">
        <v>45282</v>
      </c>
      <c r="AP174" s="98">
        <f>Tabla15[[#This Row],[Renov. Flota]]-Tabla15[[#This Row],[Año]]</f>
        <v>0</v>
      </c>
      <c r="AQ174" s="100" t="s">
        <v>336</v>
      </c>
      <c r="AR174" s="100">
        <v>4500389150</v>
      </c>
      <c r="AS174" s="101" t="s">
        <v>337</v>
      </c>
      <c r="AT174" s="101"/>
      <c r="AU174" s="101" t="s">
        <v>72</v>
      </c>
      <c r="AV174" s="101" t="s">
        <v>91</v>
      </c>
      <c r="AW174" s="101" t="s">
        <v>910</v>
      </c>
      <c r="AX174" s="209">
        <f>IF(Tabla15[[#This Row],[Columna2]]="M1",5.1,"")</f>
        <v>5.0999999999999996</v>
      </c>
      <c r="AY174" s="208">
        <f t="shared" si="9"/>
        <v>9.19</v>
      </c>
      <c r="AZ174" s="313">
        <v>17.3</v>
      </c>
      <c r="BA174" s="314">
        <f>IF(Tabla15[[#This Row],[Columna2]]="M1",13073,IF(Tabla15[[#This Row],[Columna2]]="N1",15815,IF(Tabla15[[#This Row],[Columna2]]="L3e",2831,53508)))</f>
        <v>13073</v>
      </c>
      <c r="BB174" s="350">
        <f>(Tabla15[[#This Row],[CVA]]*Tabla15[[#This Row],[F]]-Tabla15[[#This Row],[CVN]])/100*Tabla15[[#This Row],[L]]</f>
        <v>3865.5553699999987</v>
      </c>
      <c r="BC174" s="74" t="s">
        <v>70</v>
      </c>
      <c r="BD174" s="294">
        <f>VLOOKUP(B174,Tabla467824[[ID CAE2]:[AE '[kWh']]],6,FALSE)</f>
        <v>7136.4330429999991</v>
      </c>
      <c r="BE17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5" spans="1:57" ht="60" x14ac:dyDescent="0.25">
      <c r="A175" s="53" t="s">
        <v>911</v>
      </c>
      <c r="B175" s="53" t="s">
        <v>911</v>
      </c>
      <c r="C175" s="332" t="s">
        <v>912</v>
      </c>
      <c r="D175" s="104" t="s">
        <v>72</v>
      </c>
      <c r="E175" s="104"/>
      <c r="F175" s="104" t="s">
        <v>72</v>
      </c>
      <c r="G175" s="104"/>
      <c r="H175" s="104"/>
      <c r="I175" s="104"/>
      <c r="J175" s="104"/>
      <c r="K175" s="96" t="s">
        <v>73</v>
      </c>
      <c r="L175" s="96" t="s">
        <v>74</v>
      </c>
      <c r="M175" s="96" t="s">
        <v>75</v>
      </c>
      <c r="N175" s="96" t="s">
        <v>76</v>
      </c>
      <c r="O175" s="99">
        <f>VLOOKUP(Tabla15[[#This Row],[Matricula Antigua]],BAJA2022202320242025!$B$3:$CR$245,93,FALSE)</f>
        <v>44411</v>
      </c>
      <c r="P175" s="316">
        <v>45233</v>
      </c>
      <c r="Q175" s="317">
        <f>Tabla15[[#This Row],[F.Vig.Final]]-Tabla15[[#This Row],[f Vig Inicio]]</f>
        <v>822</v>
      </c>
      <c r="R175" s="318">
        <f>YEAR(Tabla15[[#This Row],[F.Vig.Final]])</f>
        <v>2023</v>
      </c>
      <c r="S175" s="96" t="s">
        <v>77</v>
      </c>
      <c r="T175" s="96" t="s">
        <v>71</v>
      </c>
      <c r="U175" s="96" t="s">
        <v>79</v>
      </c>
      <c r="V175" s="96" t="s">
        <v>879</v>
      </c>
      <c r="W175" s="96" t="s">
        <v>336</v>
      </c>
      <c r="X175" s="332" t="s">
        <v>337</v>
      </c>
      <c r="Y175" s="96" t="s">
        <v>880</v>
      </c>
      <c r="Z175" s="98">
        <f>COUNTIF($X$3:X175, X175)</f>
        <v>13</v>
      </c>
      <c r="AA175" s="337" t="s">
        <v>1661</v>
      </c>
      <c r="AB175" s="337" t="s">
        <v>1661</v>
      </c>
      <c r="AC175" s="337" t="s">
        <v>1662</v>
      </c>
      <c r="AD175" s="341" t="s">
        <v>1682</v>
      </c>
      <c r="AE175" s="347" t="s">
        <v>1664</v>
      </c>
      <c r="AF175" s="337" t="s">
        <v>1683</v>
      </c>
      <c r="AG175" s="337" t="s">
        <v>1684</v>
      </c>
      <c r="AH175" s="337" t="s">
        <v>1649</v>
      </c>
      <c r="AI175" s="337" t="s">
        <v>913</v>
      </c>
      <c r="AJ175" s="98" t="s">
        <v>85</v>
      </c>
      <c r="AK175" s="98" t="s">
        <v>340</v>
      </c>
      <c r="AL175" s="98" t="s">
        <v>87</v>
      </c>
      <c r="AM175" s="101" t="s">
        <v>382</v>
      </c>
      <c r="AN175" s="348" t="s">
        <v>89</v>
      </c>
      <c r="AO175" s="349">
        <v>45481</v>
      </c>
      <c r="AP175" s="98">
        <f>Tabla15[[#This Row],[Renov. Flota]]-Tabla15[[#This Row],[Año]]</f>
        <v>1</v>
      </c>
      <c r="AQ175" s="100" t="s">
        <v>336</v>
      </c>
      <c r="AR175" s="100" t="str">
        <f>VLOOKUP(Tabla15[[#This Row],[Matricula nueva]],'ALTA 20242025'!$B$2:$P$242,15,FALSE)</f>
        <v>4500408050</v>
      </c>
      <c r="AS175" s="101" t="s">
        <v>337</v>
      </c>
      <c r="AT175" s="101"/>
      <c r="AU175" s="101" t="s">
        <v>72</v>
      </c>
      <c r="AV175" s="101" t="s">
        <v>91</v>
      </c>
      <c r="AW175" s="101" t="s">
        <v>915</v>
      </c>
      <c r="AX175" s="209">
        <f>IF(Tabla15[[#This Row],[Columna2]]="M1",5.1,"")</f>
        <v>5.0999999999999996</v>
      </c>
      <c r="AY175" s="208">
        <f t="shared" si="9"/>
        <v>9.19</v>
      </c>
      <c r="AZ175" s="313">
        <v>13.3</v>
      </c>
      <c r="BA175" s="314">
        <f>IF(Tabla15[[#This Row],[Columna2]]="M1",13073,IF(Tabla15[[#This Row],[Columna2]]="N1",15815,IF(Tabla15[[#This Row],[Columna2]]="L3e",2831,53508)))</f>
        <v>13073</v>
      </c>
      <c r="BB175" s="350">
        <f>(Tabla15[[#This Row],[CVA]]*Tabla15[[#This Row],[F]]-Tabla15[[#This Row],[CVN]])/100*Tabla15[[#This Row],[L]]</f>
        <v>4388.4753699999983</v>
      </c>
      <c r="BC175" s="74" t="s">
        <v>70</v>
      </c>
      <c r="BD175" s="294">
        <f>VLOOKUP(B175,Tabla467824[[ID CAE2]:[AE '[kWh']]],6,FALSE)</f>
        <v>7136.4330429999991</v>
      </c>
      <c r="BE17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6" spans="1:57" ht="51.75" x14ac:dyDescent="0.25">
      <c r="A176" s="53" t="s">
        <v>916</v>
      </c>
      <c r="B176" s="53" t="s">
        <v>916</v>
      </c>
      <c r="C176" s="332" t="s">
        <v>917</v>
      </c>
      <c r="D176" s="104" t="s">
        <v>72</v>
      </c>
      <c r="E176" s="104"/>
      <c r="F176" s="104" t="s">
        <v>72</v>
      </c>
      <c r="G176" s="104"/>
      <c r="H176" s="104"/>
      <c r="I176" s="104"/>
      <c r="J176" s="104"/>
      <c r="K176" s="96" t="s">
        <v>129</v>
      </c>
      <c r="L176" s="96" t="s">
        <v>74</v>
      </c>
      <c r="M176" s="96" t="s">
        <v>75</v>
      </c>
      <c r="N176" s="96" t="s">
        <v>76</v>
      </c>
      <c r="O176" s="99">
        <f>VLOOKUP(Tabla15[[#This Row],[Matricula Antigua]],BAJA2022202320242025!$B$3:$CR$245,93,FALSE)</f>
        <v>44260</v>
      </c>
      <c r="P176" s="316">
        <v>44966</v>
      </c>
      <c r="Q176" s="317">
        <f>Tabla15[[#This Row],[F.Vig.Final]]-Tabla15[[#This Row],[f Vig Inicio]]</f>
        <v>706</v>
      </c>
      <c r="R176" s="318">
        <f>YEAR(Tabla15[[#This Row],[F.Vig.Final]])</f>
        <v>2023</v>
      </c>
      <c r="S176" s="96" t="s">
        <v>77</v>
      </c>
      <c r="T176" s="96" t="s">
        <v>78</v>
      </c>
      <c r="U176" s="96" t="s">
        <v>79</v>
      </c>
      <c r="V176" s="96" t="s">
        <v>918</v>
      </c>
      <c r="W176" s="96" t="s">
        <v>131</v>
      </c>
      <c r="X176" s="332" t="s">
        <v>132</v>
      </c>
      <c r="Y176" s="96" t="s">
        <v>133</v>
      </c>
      <c r="Z176" s="98">
        <f>COUNTIF($X$3:X176, X176)</f>
        <v>12</v>
      </c>
      <c r="AA176" s="337" t="s">
        <v>1661</v>
      </c>
      <c r="AB176" s="337" t="s">
        <v>1661</v>
      </c>
      <c r="AC176" s="337" t="s">
        <v>1662</v>
      </c>
      <c r="AD176" s="333" t="s">
        <v>1675</v>
      </c>
      <c r="AE176" s="347" t="s">
        <v>1664</v>
      </c>
      <c r="AF176" s="337" t="s">
        <v>1676</v>
      </c>
      <c r="AG176" s="337" t="s">
        <v>1677</v>
      </c>
      <c r="AH176" s="337" t="s">
        <v>1649</v>
      </c>
      <c r="AI176" s="337" t="s">
        <v>919</v>
      </c>
      <c r="AJ176" s="98" t="s">
        <v>140</v>
      </c>
      <c r="AK176" s="98" t="s">
        <v>151</v>
      </c>
      <c r="AL176" s="98" t="s">
        <v>87</v>
      </c>
      <c r="AM176" s="101" t="s">
        <v>316</v>
      </c>
      <c r="AN176" s="348" t="s">
        <v>89</v>
      </c>
      <c r="AO176" s="349">
        <v>45622</v>
      </c>
      <c r="AP176" s="98">
        <f>Tabla15[[#This Row],[Renov. Flota]]-Tabla15[[#This Row],[Año]]</f>
        <v>1</v>
      </c>
      <c r="AQ176" s="100" t="s">
        <v>131</v>
      </c>
      <c r="AR176" s="100" t="str">
        <f>VLOOKUP(Tabla15[[#This Row],[Matricula nueva]],'ALTA 20242025'!$B$2:$P$242,15,FALSE)</f>
        <v>4500424795</v>
      </c>
      <c r="AS176" s="101" t="s">
        <v>132</v>
      </c>
      <c r="AT176" s="101"/>
      <c r="AU176" s="101" t="s">
        <v>72</v>
      </c>
      <c r="AV176" s="101" t="s">
        <v>91</v>
      </c>
      <c r="AW176" s="101" t="str">
        <f>VLOOKUP(Tabla15[[#This Row],[Matricula nueva]],Hoja2!$A$1:$B$224,2,FALSE)</f>
        <v>VR7CBZYA3RT152209</v>
      </c>
      <c r="AX176" s="209">
        <v>5.6</v>
      </c>
      <c r="AY176" s="208">
        <f t="shared" si="9"/>
        <v>10</v>
      </c>
      <c r="AZ176" s="313">
        <v>16.399999999999999</v>
      </c>
      <c r="BA176" s="314">
        <f>IF(Tabla15[[#This Row],[Columna2]]="M1",13073,IF(Tabla15[[#This Row],[Columna2]]="N1",15815,IF(Tabla15[[#This Row],[Columna2]]="L3e",2831,53508)))</f>
        <v>15815</v>
      </c>
      <c r="BB176" s="350">
        <f>(Tabla15[[#This Row],[CVA]]*Tabla15[[#This Row],[F]]-Tabla15[[#This Row],[CVN]])/100*Tabla15[[#This Row],[L]]</f>
        <v>6262.7400000000007</v>
      </c>
      <c r="BC176" s="74" t="s">
        <v>128</v>
      </c>
      <c r="BD176" s="294">
        <f>VLOOKUP(B176,Tabla467824[[ID CAE2]:[AE '[kWh']]],6,FALSE)</f>
        <v>5607.9989999999989</v>
      </c>
      <c r="BE17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77" spans="1:57" ht="60" x14ac:dyDescent="0.25">
      <c r="A177" s="53" t="s">
        <v>922</v>
      </c>
      <c r="B177" s="53" t="s">
        <v>922</v>
      </c>
      <c r="C177" s="332" t="s">
        <v>923</v>
      </c>
      <c r="D177" s="104" t="s">
        <v>72</v>
      </c>
      <c r="E177" s="104"/>
      <c r="F177" s="104" t="s">
        <v>72</v>
      </c>
      <c r="G177" s="104"/>
      <c r="H177" s="104" t="s">
        <v>249</v>
      </c>
      <c r="I177" s="104" t="s">
        <v>249</v>
      </c>
      <c r="J177" s="104"/>
      <c r="K177" s="96" t="s">
        <v>73</v>
      </c>
      <c r="L177" s="96" t="s">
        <v>200</v>
      </c>
      <c r="M177" s="96" t="s">
        <v>201</v>
      </c>
      <c r="N177" s="96" t="s">
        <v>160</v>
      </c>
      <c r="O177" s="101">
        <f>VLOOKUP(Tabla15[[#This Row],[Matricula Antigua]],BAJA2022202320242025!$B$3:$CR$245,93,FALSE)</f>
        <v>44263</v>
      </c>
      <c r="P177" s="316">
        <v>45419</v>
      </c>
      <c r="Q177" s="317">
        <f>Tabla15[[#This Row],[F.Vig.Final]]-Tabla15[[#This Row],[f Vig Inicio]]</f>
        <v>1156</v>
      </c>
      <c r="R177" s="318">
        <f>YEAR(Tabla15[[#This Row],[F.Vig.Final]])</f>
        <v>2024</v>
      </c>
      <c r="S177" s="96" t="s">
        <v>161</v>
      </c>
      <c r="T177" s="96" t="s">
        <v>78</v>
      </c>
      <c r="U177" s="96" t="s">
        <v>79</v>
      </c>
      <c r="V177" s="96" t="s">
        <v>924</v>
      </c>
      <c r="W177" s="96" t="s">
        <v>190</v>
      </c>
      <c r="X177" s="333" t="s">
        <v>1678</v>
      </c>
      <c r="Y177" s="96" t="s">
        <v>477</v>
      </c>
      <c r="Z177" s="98">
        <f>COUNTIF($X$3:X177, X177)</f>
        <v>9</v>
      </c>
      <c r="AA177" s="337" t="s">
        <v>1661</v>
      </c>
      <c r="AB177" s="337" t="s">
        <v>1661</v>
      </c>
      <c r="AC177" s="337" t="s">
        <v>1662</v>
      </c>
      <c r="AD177" s="337" t="s">
        <v>1663</v>
      </c>
      <c r="AE177" s="342" t="s">
        <v>1664</v>
      </c>
      <c r="AF177" s="337" t="s">
        <v>1665</v>
      </c>
      <c r="AG177" s="337" t="s">
        <v>1666</v>
      </c>
      <c r="AH177" s="337" t="s">
        <v>1649</v>
      </c>
      <c r="AI177" s="337" t="s">
        <v>925</v>
      </c>
      <c r="AJ177" s="98" t="s">
        <v>140</v>
      </c>
      <c r="AK177" s="98" t="s">
        <v>151</v>
      </c>
      <c r="AL177" s="98" t="s">
        <v>87</v>
      </c>
      <c r="AM177" s="101" t="s">
        <v>194</v>
      </c>
      <c r="AN177" s="348" t="s">
        <v>89</v>
      </c>
      <c r="AO177" s="349">
        <v>45625</v>
      </c>
      <c r="AP177" s="98">
        <f>Tabla15[[#This Row],[Renov. Flota]]-Tabla15[[#This Row],[Año]]</f>
        <v>0</v>
      </c>
      <c r="AQ177" s="100" t="s">
        <v>190</v>
      </c>
      <c r="AR177" s="100" t="str">
        <f>VLOOKUP(Tabla15[[#This Row],[Matricula nueva]],'ALTA 20242025'!$B$2:$P$242,15,FALSE)</f>
        <v>4500424816</v>
      </c>
      <c r="AS177" s="101" t="s">
        <v>191</v>
      </c>
      <c r="AT177" s="101"/>
      <c r="AU177" s="101" t="s">
        <v>72</v>
      </c>
      <c r="AV177" s="101" t="s">
        <v>91</v>
      </c>
      <c r="AW177" s="101" t="str">
        <f>VLOOKUP(Tabla15[[#This Row],[Matricula nueva]],Hoja2!$A$1:$B$224,2,FALSE)</f>
        <v>VR7CBZYAXRT154443</v>
      </c>
      <c r="AX177" s="209">
        <v>5.6</v>
      </c>
      <c r="AY177" s="208">
        <f t="shared" si="9"/>
        <v>10</v>
      </c>
      <c r="AZ177" s="313">
        <v>16.399999999999999</v>
      </c>
      <c r="BA177" s="314">
        <f>IF(Tabla15[[#This Row],[Columna2]]="M1",13073,IF(Tabla15[[#This Row],[Columna2]]="N1",15815,IF(Tabla15[[#This Row],[Columna2]]="L3e",2831,53508)))</f>
        <v>15815</v>
      </c>
      <c r="BB177" s="350">
        <f>(Tabla15[[#This Row],[CVA]]*Tabla15[[#This Row],[F]]-Tabla15[[#This Row],[CVN]])/100*Tabla15[[#This Row],[L]]</f>
        <v>6262.7400000000007</v>
      </c>
      <c r="BC177" s="74" t="s">
        <v>128</v>
      </c>
      <c r="BD177" s="294">
        <f>VLOOKUP(B177,Tabla467824[[ID CAE2]:[AE '[kWh']]],6,FALSE)</f>
        <v>5607.9989999999989</v>
      </c>
      <c r="BE17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78" spans="1:57" ht="51.75" x14ac:dyDescent="0.25">
      <c r="A178" s="53" t="s">
        <v>928</v>
      </c>
      <c r="B178" s="53" t="s">
        <v>928</v>
      </c>
      <c r="C178" s="332" t="s">
        <v>929</v>
      </c>
      <c r="D178" s="104" t="s">
        <v>72</v>
      </c>
      <c r="E178" s="104"/>
      <c r="F178" s="104" t="s">
        <v>72</v>
      </c>
      <c r="G178" s="104"/>
      <c r="H178" s="104" t="s">
        <v>249</v>
      </c>
      <c r="I178" s="104" t="s">
        <v>249</v>
      </c>
      <c r="J178" s="104"/>
      <c r="K178" s="96" t="s">
        <v>73</v>
      </c>
      <c r="L178" s="96" t="s">
        <v>200</v>
      </c>
      <c r="M178" s="96" t="s">
        <v>201</v>
      </c>
      <c r="N178" s="96" t="s">
        <v>160</v>
      </c>
      <c r="O178" s="101">
        <f>VLOOKUP(Tabla15[[#This Row],[Matricula Antigua]],BAJA2022202320242025!$B$3:$CR$245,93,FALSE)</f>
        <v>44270</v>
      </c>
      <c r="P178" s="316">
        <v>45731</v>
      </c>
      <c r="Q178" s="317">
        <f>Tabla15[[#This Row],[F.Vig.Final]]-Tabla15[[#This Row],[f Vig Inicio]]</f>
        <v>1461</v>
      </c>
      <c r="R178" s="318">
        <f>YEAR(Tabla15[[#This Row],[F.Vig.Final]])</f>
        <v>2025</v>
      </c>
      <c r="S178" s="96" t="s">
        <v>161</v>
      </c>
      <c r="T178" s="96" t="s">
        <v>78</v>
      </c>
      <c r="U178" s="96" t="s">
        <v>79</v>
      </c>
      <c r="V178" s="96" t="s">
        <v>924</v>
      </c>
      <c r="W178" s="96" t="s">
        <v>119</v>
      </c>
      <c r="X178" s="332" t="s">
        <v>1674</v>
      </c>
      <c r="Y178" s="96" t="s">
        <v>419</v>
      </c>
      <c r="Z178" s="98">
        <f>COUNTIF($X$3:X178, X178)</f>
        <v>22</v>
      </c>
      <c r="AA178" s="337" t="s">
        <v>1661</v>
      </c>
      <c r="AB178" s="337" t="s">
        <v>1661</v>
      </c>
      <c r="AC178" s="337" t="s">
        <v>1662</v>
      </c>
      <c r="AD178" s="337" t="s">
        <v>1663</v>
      </c>
      <c r="AE178" s="342" t="s">
        <v>1664</v>
      </c>
      <c r="AF178" s="337" t="s">
        <v>1665</v>
      </c>
      <c r="AG178" s="337" t="s">
        <v>1666</v>
      </c>
      <c r="AH178" s="337" t="s">
        <v>1649</v>
      </c>
      <c r="AI178" s="337" t="s">
        <v>930</v>
      </c>
      <c r="AJ178" s="98" t="s">
        <v>140</v>
      </c>
      <c r="AK178" s="98" t="s">
        <v>151</v>
      </c>
      <c r="AL178" s="98" t="s">
        <v>87</v>
      </c>
      <c r="AM178" s="101" t="s">
        <v>617</v>
      </c>
      <c r="AN178" s="348" t="s">
        <v>89</v>
      </c>
      <c r="AO178" s="349">
        <v>45625</v>
      </c>
      <c r="AP178" s="98">
        <f>Tabla15[[#This Row],[Renov. Flota]]-Tabla15[[#This Row],[Año]]</f>
        <v>-1</v>
      </c>
      <c r="AQ178" s="100" t="s">
        <v>119</v>
      </c>
      <c r="AR178" s="100" t="str">
        <f>VLOOKUP(Tabla15[[#This Row],[Matricula nueva]],'ALTA 20242025'!$B$2:$P$242,15,FALSE)</f>
        <v>4500424815</v>
      </c>
      <c r="AS178" s="101" t="s">
        <v>120</v>
      </c>
      <c r="AT178" s="101"/>
      <c r="AU178" s="101" t="s">
        <v>72</v>
      </c>
      <c r="AV178" s="101" t="s">
        <v>91</v>
      </c>
      <c r="AW178" s="101" t="str">
        <f>VLOOKUP(Tabla15[[#This Row],[Matricula nueva]],Hoja2!$A$1:$B$224,2,FALSE)</f>
        <v>VR7CBZYA3RT152193</v>
      </c>
      <c r="AX178" s="209">
        <v>5.6</v>
      </c>
      <c r="AY178" s="208">
        <f t="shared" si="9"/>
        <v>10</v>
      </c>
      <c r="AZ178" s="313">
        <v>16.399999999999999</v>
      </c>
      <c r="BA178" s="314">
        <f>IF(Tabla15[[#This Row],[Columna2]]="M1",13073,IF(Tabla15[[#This Row],[Columna2]]="N1",15815,IF(Tabla15[[#This Row],[Columna2]]="L3e",2831,53508)))</f>
        <v>15815</v>
      </c>
      <c r="BB178" s="350">
        <f>(Tabla15[[#This Row],[CVA]]*Tabla15[[#This Row],[F]]-Tabla15[[#This Row],[CVN]])/100*Tabla15[[#This Row],[L]]</f>
        <v>6262.7400000000007</v>
      </c>
      <c r="BC178" s="74" t="s">
        <v>128</v>
      </c>
      <c r="BD178" s="294">
        <f>VLOOKUP(B178,Tabla467824[[ID CAE2]:[AE '[kWh']]],6,FALSE)</f>
        <v>5607.9989999999989</v>
      </c>
      <c r="BE17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79" spans="1:57" ht="51.75" x14ac:dyDescent="0.25">
      <c r="A179" s="53" t="s">
        <v>933</v>
      </c>
      <c r="B179" s="53" t="s">
        <v>933</v>
      </c>
      <c r="C179" s="332" t="s">
        <v>934</v>
      </c>
      <c r="D179" s="104" t="s">
        <v>72</v>
      </c>
      <c r="E179" s="104"/>
      <c r="F179" s="104" t="s">
        <v>72</v>
      </c>
      <c r="G179" s="104"/>
      <c r="H179" s="104" t="s">
        <v>249</v>
      </c>
      <c r="I179" s="104" t="s">
        <v>249</v>
      </c>
      <c r="J179" s="104"/>
      <c r="K179" s="96" t="s">
        <v>73</v>
      </c>
      <c r="L179" s="96" t="s">
        <v>200</v>
      </c>
      <c r="M179" s="96" t="s">
        <v>201</v>
      </c>
      <c r="N179" s="96" t="s">
        <v>76</v>
      </c>
      <c r="O179" s="101">
        <f>VLOOKUP(Tabla15[[#This Row],[Matricula Antigua]],BAJA2022202320242025!$B$3:$CR$245,93,FALSE)</f>
        <v>44224</v>
      </c>
      <c r="P179" s="316">
        <v>45685</v>
      </c>
      <c r="Q179" s="317">
        <f>Tabla15[[#This Row],[F.Vig.Final]]-Tabla15[[#This Row],[f Vig Inicio]]</f>
        <v>1461</v>
      </c>
      <c r="R179" s="318">
        <f>YEAR(Tabla15[[#This Row],[F.Vig.Final]])</f>
        <v>2025</v>
      </c>
      <c r="S179" s="96" t="s">
        <v>77</v>
      </c>
      <c r="T179" s="96" t="s">
        <v>78</v>
      </c>
      <c r="U179" s="96" t="s">
        <v>79</v>
      </c>
      <c r="V179" s="96" t="s">
        <v>924</v>
      </c>
      <c r="W179" s="96" t="s">
        <v>81</v>
      </c>
      <c r="X179" s="332" t="s">
        <v>82</v>
      </c>
      <c r="Y179" s="96" t="s">
        <v>174</v>
      </c>
      <c r="Z179" s="98">
        <f>COUNTIF($X$3:X179, X179)</f>
        <v>15</v>
      </c>
      <c r="AA179" s="337" t="s">
        <v>1661</v>
      </c>
      <c r="AB179" s="337" t="s">
        <v>1661</v>
      </c>
      <c r="AC179" s="337" t="s">
        <v>1662</v>
      </c>
      <c r="AD179" s="337" t="s">
        <v>1663</v>
      </c>
      <c r="AE179" s="339" t="s">
        <v>1664</v>
      </c>
      <c r="AF179" s="340" t="s">
        <v>1665</v>
      </c>
      <c r="AG179" s="340" t="s">
        <v>1666</v>
      </c>
      <c r="AH179" s="337" t="s">
        <v>1649</v>
      </c>
      <c r="AI179" s="337" t="s">
        <v>935</v>
      </c>
      <c r="AJ179" s="98" t="s">
        <v>140</v>
      </c>
      <c r="AK179" s="98" t="s">
        <v>151</v>
      </c>
      <c r="AL179" s="98" t="s">
        <v>87</v>
      </c>
      <c r="AM179" s="101" t="s">
        <v>164</v>
      </c>
      <c r="AN179" s="348" t="s">
        <v>89</v>
      </c>
      <c r="AO179" s="349">
        <v>45630</v>
      </c>
      <c r="AP179" s="98">
        <f>Tabla15[[#This Row],[Renov. Flota]]-Tabla15[[#This Row],[Año]]</f>
        <v>-1</v>
      </c>
      <c r="AQ179" s="100" t="s">
        <v>81</v>
      </c>
      <c r="AR179" s="100" t="str">
        <f>VLOOKUP(Tabla15[[#This Row],[Matricula nueva]],'ALTA 20242025'!$B$2:$P$242,15,FALSE)</f>
        <v>4500424817</v>
      </c>
      <c r="AS179" s="101" t="s">
        <v>82</v>
      </c>
      <c r="AT179" s="101"/>
      <c r="AU179" s="101" t="s">
        <v>72</v>
      </c>
      <c r="AV179" s="101" t="s">
        <v>91</v>
      </c>
      <c r="AW179" s="101" t="str">
        <f>VLOOKUP(Tabla15[[#This Row],[Matricula nueva]],Hoja2!$A$1:$B$224,2,FALSE)</f>
        <v>VR7CBZYA4RT152199</v>
      </c>
      <c r="AX179" s="209">
        <v>5.6</v>
      </c>
      <c r="AY179" s="208">
        <f t="shared" si="9"/>
        <v>10</v>
      </c>
      <c r="AZ179" s="313">
        <v>16.399999999999999</v>
      </c>
      <c r="BA179" s="314">
        <f>IF(Tabla15[[#This Row],[Columna2]]="M1",13073,IF(Tabla15[[#This Row],[Columna2]]="N1",15815,IF(Tabla15[[#This Row],[Columna2]]="L3e",2831,53508)))</f>
        <v>15815</v>
      </c>
      <c r="BB179" s="350">
        <f>(Tabla15[[#This Row],[CVA]]*Tabla15[[#This Row],[F]]-Tabla15[[#This Row],[CVN]])/100*Tabla15[[#This Row],[L]]</f>
        <v>6262.7400000000007</v>
      </c>
      <c r="BC179" s="74" t="s">
        <v>128</v>
      </c>
      <c r="BD179" s="294">
        <f>VLOOKUP(B179,Tabla467824[[ID CAE2]:[AE '[kWh']]],6,FALSE)</f>
        <v>5607.9989999999989</v>
      </c>
      <c r="BE17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80" spans="1:57" ht="51.75" x14ac:dyDescent="0.25">
      <c r="A180" s="53" t="s">
        <v>938</v>
      </c>
      <c r="B180" s="53" t="s">
        <v>938</v>
      </c>
      <c r="C180" s="332" t="s">
        <v>939</v>
      </c>
      <c r="D180" s="104" t="s">
        <v>72</v>
      </c>
      <c r="E180" s="104"/>
      <c r="F180" s="104" t="s">
        <v>72</v>
      </c>
      <c r="G180" s="104"/>
      <c r="H180" s="104" t="s">
        <v>249</v>
      </c>
      <c r="I180" s="104" t="s">
        <v>249</v>
      </c>
      <c r="J180" s="104"/>
      <c r="K180" s="96" t="s">
        <v>73</v>
      </c>
      <c r="L180" s="96" t="s">
        <v>200</v>
      </c>
      <c r="M180" s="96" t="s">
        <v>201</v>
      </c>
      <c r="N180" s="96" t="s">
        <v>76</v>
      </c>
      <c r="O180" s="101">
        <f>VLOOKUP(Tabla15[[#This Row],[Matricula Antigua]],BAJA2022202320242025!$B$3:$CR$245,93,FALSE)</f>
        <v>44263</v>
      </c>
      <c r="P180" s="316">
        <v>45747</v>
      </c>
      <c r="Q180" s="317">
        <f>Tabla15[[#This Row],[F.Vig.Final]]-Tabla15[[#This Row],[f Vig Inicio]]</f>
        <v>1484</v>
      </c>
      <c r="R180" s="318">
        <f>YEAR(Tabla15[[#This Row],[F.Vig.Final]])</f>
        <v>2025</v>
      </c>
      <c r="S180" s="96" t="s">
        <v>77</v>
      </c>
      <c r="T180" s="96" t="s">
        <v>78</v>
      </c>
      <c r="U180" s="96" t="s">
        <v>79</v>
      </c>
      <c r="V180" s="96" t="s">
        <v>924</v>
      </c>
      <c r="W180" s="96" t="s">
        <v>102</v>
      </c>
      <c r="X180" s="332" t="s">
        <v>1667</v>
      </c>
      <c r="Y180" s="96" t="s">
        <v>495</v>
      </c>
      <c r="Z180" s="98">
        <f>COUNTIF($X$3:X180, X180)</f>
        <v>40</v>
      </c>
      <c r="AA180" s="337" t="s">
        <v>1668</v>
      </c>
      <c r="AB180" s="337" t="s">
        <v>1668</v>
      </c>
      <c r="AC180" s="337" t="s">
        <v>1669</v>
      </c>
      <c r="AD180" s="341" t="s">
        <v>1670</v>
      </c>
      <c r="AE180" s="342" t="s">
        <v>1671</v>
      </c>
      <c r="AF180" s="337" t="s">
        <v>1672</v>
      </c>
      <c r="AG180" s="344" t="s">
        <v>1673</v>
      </c>
      <c r="AH180" s="337" t="s">
        <v>1649</v>
      </c>
      <c r="AI180" s="337" t="s">
        <v>940</v>
      </c>
      <c r="AJ180" s="98" t="s">
        <v>380</v>
      </c>
      <c r="AK180" s="98" t="s">
        <v>381</v>
      </c>
      <c r="AL180" s="98" t="s">
        <v>87</v>
      </c>
      <c r="AM180" s="101" t="s">
        <v>696</v>
      </c>
      <c r="AN180" s="348" t="s">
        <v>89</v>
      </c>
      <c r="AO180" s="349">
        <v>45463</v>
      </c>
      <c r="AP180" s="98">
        <f>Tabla15[[#This Row],[Renov. Flota]]-Tabla15[[#This Row],[Año]]</f>
        <v>-1</v>
      </c>
      <c r="AQ180" s="100" t="s">
        <v>102</v>
      </c>
      <c r="AR180" s="100">
        <v>4500406593</v>
      </c>
      <c r="AS180" s="101" t="s">
        <v>103</v>
      </c>
      <c r="AT180" s="101"/>
      <c r="AU180" s="101" t="s">
        <v>72</v>
      </c>
      <c r="AV180" s="101" t="s">
        <v>109</v>
      </c>
      <c r="AW180" s="101" t="s">
        <v>941</v>
      </c>
      <c r="AX180" s="209">
        <v>5.6</v>
      </c>
      <c r="AY180" s="208">
        <f t="shared" si="9"/>
        <v>10</v>
      </c>
      <c r="AZ180" s="313">
        <v>20</v>
      </c>
      <c r="BA180" s="314">
        <f>IF(Tabla15[[#This Row],[Columna2]]="M1",13073,IF(Tabla15[[#This Row],[Columna2]]="N1",15815,IF(Tabla15[[#This Row],[Columna2]]="L3e",2831,53508)))</f>
        <v>15815</v>
      </c>
      <c r="BB180" s="350">
        <f>(Tabla15[[#This Row],[CVA]]*Tabla15[[#This Row],[F]]-Tabla15[[#This Row],[CVN]])/100*Tabla15[[#This Row],[L]]</f>
        <v>5693.4</v>
      </c>
      <c r="BC180" s="74" t="s">
        <v>128</v>
      </c>
      <c r="BD180" s="294">
        <f>VLOOKUP(B180,Tabla467824[[ID CAE2]:[AE '[kWh']]],6,FALSE)</f>
        <v>5607.9989999999989</v>
      </c>
      <c r="BE18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81" spans="1:57" ht="51.75" x14ac:dyDescent="0.25">
      <c r="A181" s="53" t="s">
        <v>942</v>
      </c>
      <c r="B181" s="53" t="s">
        <v>942</v>
      </c>
      <c r="C181" s="332" t="s">
        <v>943</v>
      </c>
      <c r="D181" s="104" t="s">
        <v>72</v>
      </c>
      <c r="E181" s="104"/>
      <c r="F181" s="104" t="s">
        <v>72</v>
      </c>
      <c r="G181" s="104"/>
      <c r="H181" s="104" t="s">
        <v>249</v>
      </c>
      <c r="I181" s="104" t="s">
        <v>249</v>
      </c>
      <c r="J181" s="104"/>
      <c r="K181" s="96" t="s">
        <v>73</v>
      </c>
      <c r="L181" s="96" t="s">
        <v>200</v>
      </c>
      <c r="M181" s="96" t="s">
        <v>201</v>
      </c>
      <c r="N181" s="96" t="s">
        <v>160</v>
      </c>
      <c r="O181" s="101">
        <f>VLOOKUP(Tabla15[[#This Row],[Matricula Antigua]],BAJA2022202320242025!$B$3:$CR$245,93,FALSE)</f>
        <v>44291</v>
      </c>
      <c r="P181" s="316">
        <v>45752</v>
      </c>
      <c r="Q181" s="317">
        <f>Tabla15[[#This Row],[F.Vig.Final]]-Tabla15[[#This Row],[f Vig Inicio]]</f>
        <v>1461</v>
      </c>
      <c r="R181" s="318">
        <f>YEAR(Tabla15[[#This Row],[F.Vig.Final]])</f>
        <v>2025</v>
      </c>
      <c r="S181" s="96" t="s">
        <v>161</v>
      </c>
      <c r="T181" s="96" t="s">
        <v>78</v>
      </c>
      <c r="U181" s="96" t="s">
        <v>79</v>
      </c>
      <c r="V181" s="96" t="s">
        <v>924</v>
      </c>
      <c r="W181" s="96" t="s">
        <v>119</v>
      </c>
      <c r="X181" s="332" t="s">
        <v>1674</v>
      </c>
      <c r="Y181" s="96" t="s">
        <v>152</v>
      </c>
      <c r="Z181" s="98">
        <f>COUNTIF($X$3:X181, X181)</f>
        <v>23</v>
      </c>
      <c r="AA181" s="337" t="s">
        <v>1661</v>
      </c>
      <c r="AB181" s="337" t="s">
        <v>1661</v>
      </c>
      <c r="AC181" s="337" t="s">
        <v>1662</v>
      </c>
      <c r="AD181" s="337" t="s">
        <v>1663</v>
      </c>
      <c r="AE181" s="345" t="s">
        <v>1664</v>
      </c>
      <c r="AF181" s="346" t="s">
        <v>1665</v>
      </c>
      <c r="AG181" s="337" t="s">
        <v>1666</v>
      </c>
      <c r="AH181" s="337" t="s">
        <v>1649</v>
      </c>
      <c r="AI181" s="337" t="s">
        <v>944</v>
      </c>
      <c r="AJ181" s="98" t="s">
        <v>85</v>
      </c>
      <c r="AK181" s="98" t="s">
        <v>86</v>
      </c>
      <c r="AL181" s="98" t="s">
        <v>87</v>
      </c>
      <c r="AM181" s="101" t="s">
        <v>617</v>
      </c>
      <c r="AN181" s="348" t="s">
        <v>89</v>
      </c>
      <c r="AO181" s="349">
        <v>45645</v>
      </c>
      <c r="AP181" s="98">
        <f>Tabla15[[#This Row],[Renov. Flota]]-Tabla15[[#This Row],[Año]]</f>
        <v>-1</v>
      </c>
      <c r="AQ181" s="100" t="s">
        <v>119</v>
      </c>
      <c r="AR181" s="100" t="str">
        <f>VLOOKUP(Tabla15[[#This Row],[Matricula nueva]],'ALTA 20242025'!$B$2:$P$242,15,FALSE)</f>
        <v>4500426867</v>
      </c>
      <c r="AS181" s="101" t="s">
        <v>120</v>
      </c>
      <c r="AT181" s="101"/>
      <c r="AU181" s="101" t="s">
        <v>72</v>
      </c>
      <c r="AV181" s="101" t="s">
        <v>91</v>
      </c>
      <c r="AW181" s="101" t="str">
        <f>VLOOKUP(Tabla15[[#This Row],[Matricula nueva]],Hoja2!$A$1:$B$224,2,FALSE)</f>
        <v>VF1RFK00073934281</v>
      </c>
      <c r="AX181" s="209">
        <v>5.6</v>
      </c>
      <c r="AY181" s="208">
        <f t="shared" si="9"/>
        <v>10</v>
      </c>
      <c r="AZ181" s="313">
        <v>17.3</v>
      </c>
      <c r="BA181" s="314">
        <f>IF(Tabla15[[#This Row],[Columna2]]="M1",13073,IF(Tabla15[[#This Row],[Columna2]]="N1",15815,IF(Tabla15[[#This Row],[Columna2]]="L3e",2831,53508)))</f>
        <v>15815</v>
      </c>
      <c r="BB181" s="350">
        <f>(Tabla15[[#This Row],[CVA]]*Tabla15[[#This Row],[F]]-Tabla15[[#This Row],[CVN]])/100*Tabla15[[#This Row],[L]]</f>
        <v>6120.4049999999997</v>
      </c>
      <c r="BC181" s="74" t="s">
        <v>128</v>
      </c>
      <c r="BD181" s="294">
        <f>VLOOKUP(B181,Tabla467824[[ID CAE2]:[AE '[kWh']]],6,FALSE)</f>
        <v>5607.9989999999989</v>
      </c>
      <c r="BE18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82" spans="1:57" ht="60.75" thickBot="1" x14ac:dyDescent="0.3">
      <c r="A182" s="53" t="s">
        <v>947</v>
      </c>
      <c r="B182" s="53" t="s">
        <v>947</v>
      </c>
      <c r="C182" s="332" t="s">
        <v>948</v>
      </c>
      <c r="D182" s="104" t="s">
        <v>72</v>
      </c>
      <c r="E182" s="104"/>
      <c r="F182" s="104" t="s">
        <v>72</v>
      </c>
      <c r="G182" s="104"/>
      <c r="H182" s="104" t="s">
        <v>249</v>
      </c>
      <c r="I182" s="104" t="s">
        <v>249</v>
      </c>
      <c r="J182" s="104"/>
      <c r="K182" s="96" t="s">
        <v>73</v>
      </c>
      <c r="L182" s="96" t="s">
        <v>200</v>
      </c>
      <c r="M182" s="96" t="s">
        <v>201</v>
      </c>
      <c r="N182" s="96" t="s">
        <v>160</v>
      </c>
      <c r="O182" s="101">
        <f>VLOOKUP(Tabla15[[#This Row],[Matricula Antigua]],BAJA2022202320242025!$B$3:$CR$245,93,FALSE)</f>
        <v>44224</v>
      </c>
      <c r="P182" s="316">
        <v>45685</v>
      </c>
      <c r="Q182" s="317">
        <f>Tabla15[[#This Row],[F.Vig.Final]]-Tabla15[[#This Row],[f Vig Inicio]]</f>
        <v>1461</v>
      </c>
      <c r="R182" s="318">
        <f>YEAR(Tabla15[[#This Row],[F.Vig.Final]])</f>
        <v>2025</v>
      </c>
      <c r="S182" s="96" t="s">
        <v>161</v>
      </c>
      <c r="T182" s="96" t="s">
        <v>78</v>
      </c>
      <c r="U182" s="96" t="s">
        <v>79</v>
      </c>
      <c r="V182" s="96" t="s">
        <v>924</v>
      </c>
      <c r="W182" s="96" t="s">
        <v>190</v>
      </c>
      <c r="X182" s="333" t="s">
        <v>1678</v>
      </c>
      <c r="Y182" s="96" t="s">
        <v>194</v>
      </c>
      <c r="Z182" s="98">
        <f>COUNTIF($X$3:X182, X182)</f>
        <v>10</v>
      </c>
      <c r="AA182" s="337" t="s">
        <v>1661</v>
      </c>
      <c r="AB182" s="337" t="s">
        <v>1661</v>
      </c>
      <c r="AC182" s="337" t="s">
        <v>1662</v>
      </c>
      <c r="AD182" s="337" t="s">
        <v>1663</v>
      </c>
      <c r="AE182" s="342" t="s">
        <v>1664</v>
      </c>
      <c r="AF182" s="337" t="s">
        <v>1665</v>
      </c>
      <c r="AG182" s="337" t="s">
        <v>1666</v>
      </c>
      <c r="AH182" s="337" t="s">
        <v>1649</v>
      </c>
      <c r="AI182" s="337" t="s">
        <v>949</v>
      </c>
      <c r="AJ182" s="98" t="s">
        <v>85</v>
      </c>
      <c r="AK182" s="98" t="s">
        <v>86</v>
      </c>
      <c r="AL182" s="98" t="s">
        <v>87</v>
      </c>
      <c r="AM182" s="101" t="s">
        <v>477</v>
      </c>
      <c r="AN182" s="348" t="s">
        <v>89</v>
      </c>
      <c r="AO182" s="349">
        <v>45646</v>
      </c>
      <c r="AP182" s="98">
        <f>Tabla15[[#This Row],[Renov. Flota]]-Tabla15[[#This Row],[Año]]</f>
        <v>-1</v>
      </c>
      <c r="AQ182" s="100" t="s">
        <v>190</v>
      </c>
      <c r="AR182" s="100" t="str">
        <f>VLOOKUP(Tabla15[[#This Row],[Matricula nueva]],'ALTA 20242025'!$B$2:$P$242,15,FALSE)</f>
        <v>4500426765</v>
      </c>
      <c r="AS182" s="101" t="s">
        <v>191</v>
      </c>
      <c r="AT182" s="101"/>
      <c r="AU182" s="101" t="s">
        <v>72</v>
      </c>
      <c r="AV182" s="101" t="s">
        <v>91</v>
      </c>
      <c r="AW182" s="101" t="str">
        <f>VLOOKUP(Tabla15[[#This Row],[Matricula nueva]],Hoja2!$A$1:$B$224,2,FALSE)</f>
        <v>VF1RFK00173934306</v>
      </c>
      <c r="AX182" s="209">
        <v>5.6</v>
      </c>
      <c r="AY182" s="208">
        <f t="shared" si="9"/>
        <v>10</v>
      </c>
      <c r="AZ182" s="313">
        <v>17.3</v>
      </c>
      <c r="BA182" s="314">
        <f>IF(Tabla15[[#This Row],[Columna2]]="M1",13073,IF(Tabla15[[#This Row],[Columna2]]="N1",15815,IF(Tabla15[[#This Row],[Columna2]]="L3e",2831,53508)))</f>
        <v>15815</v>
      </c>
      <c r="BB182" s="350">
        <f>(Tabla15[[#This Row],[CVA]]*Tabla15[[#This Row],[F]]-Tabla15[[#This Row],[CVN]])/100*Tabla15[[#This Row],[L]]</f>
        <v>6120.4049999999997</v>
      </c>
      <c r="BC182" s="79" t="s">
        <v>128</v>
      </c>
      <c r="BD182" s="294">
        <f>VLOOKUP(B182,Tabla467824[[ID CAE2]:[AE '[kWh']]],6,FALSE)</f>
        <v>5607.9989999999989</v>
      </c>
      <c r="BE18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83" spans="1:57" ht="15.75" hidden="1" thickBot="1" x14ac:dyDescent="0.3">
      <c r="A183" s="53" t="s">
        <v>1298</v>
      </c>
      <c r="B183" s="53" t="e">
        <v>#N/A</v>
      </c>
      <c r="C183" s="96" t="s">
        <v>1299</v>
      </c>
      <c r="D183" s="96"/>
      <c r="E183" s="96"/>
      <c r="F183" s="96"/>
      <c r="G183" s="96"/>
      <c r="H183" s="96"/>
      <c r="I183" s="96"/>
      <c r="J183" s="96"/>
      <c r="K183" s="96" t="s">
        <v>73</v>
      </c>
      <c r="L183" s="96" t="s">
        <v>200</v>
      </c>
      <c r="M183" s="96" t="s">
        <v>201</v>
      </c>
      <c r="N183" s="96" t="s">
        <v>160</v>
      </c>
      <c r="O183" s="101">
        <f>VLOOKUP(Tabla15[[#This Row],[Matricula Antigua]],BAJA2022202320242025!$B$3:$CR$245,93,FALSE)</f>
        <v>44232</v>
      </c>
      <c r="P183" s="99">
        <v>45693</v>
      </c>
      <c r="Q183" s="98">
        <f>Tabla15[[#This Row],[F.Vig.Final]]-Tabla15[[#This Row],[f Vig Inicio]]</f>
        <v>1461</v>
      </c>
      <c r="R183" s="99">
        <f>YEAR(Tabla15[[#This Row],[F.Vig.Final]])</f>
        <v>2025</v>
      </c>
      <c r="S183" s="96" t="s">
        <v>161</v>
      </c>
      <c r="T183" s="96" t="s">
        <v>78</v>
      </c>
      <c r="U183" s="96" t="s">
        <v>79</v>
      </c>
      <c r="V183" s="96" t="s">
        <v>924</v>
      </c>
      <c r="W183" s="96" t="s">
        <v>584</v>
      </c>
      <c r="X183" s="96" t="s">
        <v>585</v>
      </c>
      <c r="Y183" s="96" t="s">
        <v>1300</v>
      </c>
      <c r="Z183" s="98">
        <f>COUNTIF($X$3:X183, X183)</f>
        <v>11</v>
      </c>
      <c r="AA183" s="98"/>
      <c r="AB183" s="98"/>
      <c r="AC183" s="98"/>
      <c r="AD183" s="98"/>
      <c r="AE183" s="322"/>
      <c r="AF183" s="98"/>
      <c r="AG183" s="98"/>
      <c r="AH183" s="98"/>
      <c r="AI183" s="98" t="e">
        <v>#N/A</v>
      </c>
      <c r="AJ183" s="98" t="e">
        <v>#N/A</v>
      </c>
      <c r="AK183" s="98" t="e">
        <v>#N/A</v>
      </c>
      <c r="AL183" s="98" t="e">
        <v>#N/A</v>
      </c>
      <c r="AM183" s="98" t="e">
        <v>#N/A</v>
      </c>
      <c r="AN183" s="99" t="e">
        <v>#N/A</v>
      </c>
      <c r="AO183" s="99" t="e">
        <v>#N/A</v>
      </c>
      <c r="AP183" s="99" t="e">
        <f>Tabla15[[#This Row],[Renov. Flota]]-Tabla15[[#This Row],[Año]]</f>
        <v>#N/A</v>
      </c>
      <c r="AQ183" s="100" t="e">
        <v>#N/A</v>
      </c>
      <c r="AR183" s="100" t="e">
        <f>VLOOKUP(Tabla15[[#This Row],[Matricula nueva]],'ALTA 20242025'!$B$2:$P$242,15,FALSE)</f>
        <v>#N/A</v>
      </c>
      <c r="AS183" s="101" t="e">
        <v>#N/A</v>
      </c>
      <c r="AT183" s="101"/>
      <c r="AU183" s="101"/>
      <c r="AV183" s="101"/>
      <c r="AW183" s="101" t="e">
        <f>VLOOKUP(Tabla15[[#This Row],[Matricula nueva]],Hoja2!$A$1:$B$224,2,FALSE)</f>
        <v>#N/A</v>
      </c>
      <c r="AX183" s="101" t="str">
        <f>IF(Tabla15[[#This Row],[Columna2]]="M1",5.1,"")</f>
        <v/>
      </c>
      <c r="AY183" s="101"/>
      <c r="AZ183" s="101"/>
      <c r="BA183" s="311">
        <f>IF(Tabla15[[#This Row],[Columna2]]="M1",13073,IF(Tabla15[[#This Row],[Columna2]]="N1",15815,IF(Tabla15[[#This Row],[Columna2]]="L3e",2831,53508)))</f>
        <v>53508</v>
      </c>
      <c r="BB183" s="311" t="e">
        <f>(Tabla15[[#This Row],[CVA]]*Tabla15[[#This Row],[F]]-Tabla15[[#This Row],[CVN]])/100*Tabla15[[#This Row],[L]]</f>
        <v>#VALUE!</v>
      </c>
      <c r="BC183" s="1"/>
      <c r="BD183" s="1" t="e">
        <f>VLOOKUP(B183,Tabla467824[[ID CAE2]:[AE '[kWh']]],6,FALSE)</f>
        <v>#N/A</v>
      </c>
      <c r="BE18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84" spans="1:57" ht="15.75" hidden="1" thickBot="1" x14ac:dyDescent="0.3">
      <c r="A184" s="53" t="s">
        <v>1301</v>
      </c>
      <c r="B184" s="53" t="e">
        <v>#N/A</v>
      </c>
      <c r="C184" s="96" t="s">
        <v>1302</v>
      </c>
      <c r="D184" s="96"/>
      <c r="E184" s="96"/>
      <c r="F184" s="96"/>
      <c r="G184" s="96"/>
      <c r="H184" s="96"/>
      <c r="I184" s="96"/>
      <c r="J184" s="96"/>
      <c r="K184" s="96" t="s">
        <v>73</v>
      </c>
      <c r="L184" s="96" t="s">
        <v>200</v>
      </c>
      <c r="M184" s="96" t="s">
        <v>201</v>
      </c>
      <c r="N184" s="96" t="s">
        <v>160</v>
      </c>
      <c r="O184" s="101">
        <f>VLOOKUP(Tabla15[[#This Row],[Matricula Antigua]],BAJA2022202320242025!$B$3:$CR$245,93,FALSE)</f>
        <v>44232</v>
      </c>
      <c r="P184" s="99">
        <v>45693</v>
      </c>
      <c r="Q184" s="98">
        <f>Tabla15[[#This Row],[F.Vig.Final]]-Tabla15[[#This Row],[f Vig Inicio]]</f>
        <v>1461</v>
      </c>
      <c r="R184" s="99">
        <f>YEAR(Tabla15[[#This Row],[F.Vig.Final]])</f>
        <v>2025</v>
      </c>
      <c r="S184" s="96" t="s">
        <v>161</v>
      </c>
      <c r="T184" s="96" t="s">
        <v>78</v>
      </c>
      <c r="U184" s="96" t="s">
        <v>79</v>
      </c>
      <c r="V184" s="96" t="s">
        <v>924</v>
      </c>
      <c r="W184" s="96" t="s">
        <v>584</v>
      </c>
      <c r="X184" s="96" t="s">
        <v>585</v>
      </c>
      <c r="Y184" s="96" t="s">
        <v>1303</v>
      </c>
      <c r="Z184" s="98">
        <f>COUNTIF($X$3:X184, X184)</f>
        <v>12</v>
      </c>
      <c r="AA184" s="98"/>
      <c r="AB184" s="98"/>
      <c r="AC184" s="98"/>
      <c r="AD184" s="98"/>
      <c r="AE184" s="320"/>
      <c r="AF184" s="98"/>
      <c r="AG184" s="98"/>
      <c r="AH184" s="98"/>
      <c r="AI184" s="98" t="e">
        <v>#N/A</v>
      </c>
      <c r="AJ184" s="98" t="e">
        <v>#N/A</v>
      </c>
      <c r="AK184" s="98" t="e">
        <v>#N/A</v>
      </c>
      <c r="AL184" s="98" t="e">
        <v>#N/A</v>
      </c>
      <c r="AM184" s="98" t="e">
        <v>#N/A</v>
      </c>
      <c r="AN184" s="99" t="e">
        <v>#N/A</v>
      </c>
      <c r="AO184" s="99" t="e">
        <v>#N/A</v>
      </c>
      <c r="AP184" s="99" t="e">
        <f>Tabla15[[#This Row],[Renov. Flota]]-Tabla15[[#This Row],[Año]]</f>
        <v>#N/A</v>
      </c>
      <c r="AQ184" s="100" t="e">
        <v>#N/A</v>
      </c>
      <c r="AR184" s="100" t="e">
        <f>VLOOKUP(Tabla15[[#This Row],[Matricula nueva]],'ALTA 20242025'!$B$2:$P$242,15,FALSE)</f>
        <v>#N/A</v>
      </c>
      <c r="AS184" s="101" t="e">
        <v>#N/A</v>
      </c>
      <c r="AT184" s="101"/>
      <c r="AU184" s="101"/>
      <c r="AV184" s="101"/>
      <c r="AW184" s="101" t="e">
        <f>VLOOKUP(Tabla15[[#This Row],[Matricula nueva]],Hoja2!$A$1:$B$224,2,FALSE)</f>
        <v>#N/A</v>
      </c>
      <c r="AX184" s="101" t="str">
        <f>IF(Tabla15[[#This Row],[Columna2]]="M1",5.1,"")</f>
        <v/>
      </c>
      <c r="AY184" s="101"/>
      <c r="AZ184" s="101"/>
      <c r="BA184" s="311">
        <f>IF(Tabla15[[#This Row],[Columna2]]="M1",13073,IF(Tabla15[[#This Row],[Columna2]]="N1",15815,IF(Tabla15[[#This Row],[Columna2]]="L3e",2831,53508)))</f>
        <v>53508</v>
      </c>
      <c r="BB184" s="311" t="e">
        <f>(Tabla15[[#This Row],[CVA]]*Tabla15[[#This Row],[F]]-Tabla15[[#This Row],[CVN]])/100*Tabla15[[#This Row],[L]]</f>
        <v>#VALUE!</v>
      </c>
      <c r="BC184" s="1"/>
      <c r="BD184" s="1" t="e">
        <f>VLOOKUP(B184,Tabla467824[[ID CAE2]:[AE '[kWh']]],6,FALSE)</f>
        <v>#N/A</v>
      </c>
      <c r="BE18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85" spans="1:57" ht="60" x14ac:dyDescent="0.25">
      <c r="A185" s="53" t="s">
        <v>952</v>
      </c>
      <c r="B185" s="53" t="s">
        <v>952</v>
      </c>
      <c r="C185" s="332" t="s">
        <v>953</v>
      </c>
      <c r="D185" s="104" t="s">
        <v>72</v>
      </c>
      <c r="E185" s="104"/>
      <c r="F185" s="104" t="s">
        <v>72</v>
      </c>
      <c r="G185" s="104"/>
      <c r="H185" s="104" t="s">
        <v>249</v>
      </c>
      <c r="I185" s="104" t="s">
        <v>249</v>
      </c>
      <c r="J185" s="104"/>
      <c r="K185" s="96" t="s">
        <v>73</v>
      </c>
      <c r="L185" s="96" t="s">
        <v>200</v>
      </c>
      <c r="M185" s="96" t="s">
        <v>201</v>
      </c>
      <c r="N185" s="96" t="s">
        <v>160</v>
      </c>
      <c r="O185" s="101">
        <f>VLOOKUP(Tabla15[[#This Row],[Matricula Antigua]],BAJA2022202320242025!$B$3:$CR$245,93,FALSE)</f>
        <v>44228</v>
      </c>
      <c r="P185" s="316">
        <v>45689</v>
      </c>
      <c r="Q185" s="317">
        <f>Tabla15[[#This Row],[F.Vig.Final]]-Tabla15[[#This Row],[f Vig Inicio]]</f>
        <v>1461</v>
      </c>
      <c r="R185" s="318">
        <f>YEAR(Tabla15[[#This Row],[F.Vig.Final]])</f>
        <v>2025</v>
      </c>
      <c r="S185" s="96" t="s">
        <v>161</v>
      </c>
      <c r="T185" s="96" t="s">
        <v>78</v>
      </c>
      <c r="U185" s="96" t="s">
        <v>79</v>
      </c>
      <c r="V185" s="96" t="s">
        <v>924</v>
      </c>
      <c r="W185" s="96" t="s">
        <v>190</v>
      </c>
      <c r="X185" s="333" t="s">
        <v>1678</v>
      </c>
      <c r="Y185" s="96" t="s">
        <v>194</v>
      </c>
      <c r="Z185" s="98">
        <f>COUNTIF($X$3:X185, X185)</f>
        <v>11</v>
      </c>
      <c r="AA185" s="337" t="s">
        <v>1661</v>
      </c>
      <c r="AB185" s="337" t="s">
        <v>1661</v>
      </c>
      <c r="AC185" s="337" t="s">
        <v>1662</v>
      </c>
      <c r="AD185" s="337" t="s">
        <v>1663</v>
      </c>
      <c r="AE185" s="342" t="s">
        <v>1664</v>
      </c>
      <c r="AF185" s="337" t="s">
        <v>1665</v>
      </c>
      <c r="AG185" s="337" t="s">
        <v>1666</v>
      </c>
      <c r="AH185" s="337" t="s">
        <v>1649</v>
      </c>
      <c r="AI185" s="337" t="s">
        <v>954</v>
      </c>
      <c r="AJ185" s="98" t="s">
        <v>85</v>
      </c>
      <c r="AK185" s="98" t="s">
        <v>86</v>
      </c>
      <c r="AL185" s="98" t="s">
        <v>87</v>
      </c>
      <c r="AM185" s="101" t="s">
        <v>955</v>
      </c>
      <c r="AN185" s="348" t="s">
        <v>89</v>
      </c>
      <c r="AO185" s="349">
        <v>45646</v>
      </c>
      <c r="AP185" s="98">
        <f>Tabla15[[#This Row],[Renov. Flota]]-Tabla15[[#This Row],[Año]]</f>
        <v>-1</v>
      </c>
      <c r="AQ185" s="100" t="s">
        <v>190</v>
      </c>
      <c r="AR185" s="100" t="str">
        <f>VLOOKUP(Tabla15[[#This Row],[Matricula nueva]],'ALTA 20242025'!$B$2:$P$242,15,FALSE)</f>
        <v>4500428761</v>
      </c>
      <c r="AS185" s="101" t="s">
        <v>191</v>
      </c>
      <c r="AT185" s="101"/>
      <c r="AU185" s="101" t="s">
        <v>72</v>
      </c>
      <c r="AV185" s="101" t="s">
        <v>91</v>
      </c>
      <c r="AW185" s="101" t="str">
        <f>VLOOKUP(Tabla15[[#This Row],[Matricula nueva]],Hoja2!$A$1:$B$224,2,FALSE)</f>
        <v>VF1RFK00973934263</v>
      </c>
      <c r="AX185" s="209">
        <v>5.6</v>
      </c>
      <c r="AY185" s="208">
        <f>IF(T185="DIESEL",10,IF(T185="GLP",7.16,9.19))</f>
        <v>10</v>
      </c>
      <c r="AZ185" s="313">
        <v>17.3</v>
      </c>
      <c r="BA185" s="314">
        <f>IF(Tabla15[[#This Row],[Columna2]]="M1",13073,IF(Tabla15[[#This Row],[Columna2]]="N1",15815,IF(Tabla15[[#This Row],[Columna2]]="L3e",2831,53508)))</f>
        <v>15815</v>
      </c>
      <c r="BB185" s="350">
        <f>(Tabla15[[#This Row],[CVA]]*Tabla15[[#This Row],[F]]-Tabla15[[#This Row],[CVN]])/100*Tabla15[[#This Row],[L]]</f>
        <v>6120.4049999999997</v>
      </c>
      <c r="BC185" s="69" t="s">
        <v>128</v>
      </c>
      <c r="BD185" s="294">
        <f>VLOOKUP(B185,Tabla467824[[ID CAE2]:[AE '[kWh']]],6,FALSE)</f>
        <v>5607.9989999999989</v>
      </c>
      <c r="BE18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86" spans="1:57" ht="52.5" thickBot="1" x14ac:dyDescent="0.3">
      <c r="A186" s="53" t="s">
        <v>958</v>
      </c>
      <c r="B186" s="53" t="s">
        <v>958</v>
      </c>
      <c r="C186" s="332" t="s">
        <v>959</v>
      </c>
      <c r="D186" s="104" t="s">
        <v>72</v>
      </c>
      <c r="E186" s="104"/>
      <c r="F186" s="104" t="s">
        <v>72</v>
      </c>
      <c r="G186" s="104"/>
      <c r="H186" s="104" t="s">
        <v>249</v>
      </c>
      <c r="I186" s="104" t="s">
        <v>249</v>
      </c>
      <c r="J186" s="104"/>
      <c r="K186" s="96" t="s">
        <v>73</v>
      </c>
      <c r="L186" s="96" t="s">
        <v>200</v>
      </c>
      <c r="M186" s="96" t="s">
        <v>201</v>
      </c>
      <c r="N186" s="96" t="s">
        <v>160</v>
      </c>
      <c r="O186" s="101">
        <f>VLOOKUP(Tabla15[[#This Row],[Matricula Antigua]],BAJA2022202320242025!$B$3:$CR$245,93,FALSE)</f>
        <v>44228</v>
      </c>
      <c r="P186" s="316">
        <v>45689</v>
      </c>
      <c r="Q186" s="317">
        <f>Tabla15[[#This Row],[F.Vig.Final]]-Tabla15[[#This Row],[f Vig Inicio]]</f>
        <v>1461</v>
      </c>
      <c r="R186" s="318">
        <f>YEAR(Tabla15[[#This Row],[F.Vig.Final]])</f>
        <v>2025</v>
      </c>
      <c r="S186" s="96" t="s">
        <v>161</v>
      </c>
      <c r="T186" s="96" t="s">
        <v>78</v>
      </c>
      <c r="U186" s="96" t="s">
        <v>79</v>
      </c>
      <c r="V186" s="96" t="s">
        <v>924</v>
      </c>
      <c r="W186" s="96" t="s">
        <v>960</v>
      </c>
      <c r="X186" s="332" t="s">
        <v>961</v>
      </c>
      <c r="Y186" s="96" t="s">
        <v>962</v>
      </c>
      <c r="Z186" s="98">
        <f>COUNTIF($X$3:X186, X186)</f>
        <v>1</v>
      </c>
      <c r="AA186" s="337" t="s">
        <v>1661</v>
      </c>
      <c r="AB186" s="337" t="s">
        <v>1661</v>
      </c>
      <c r="AC186" s="337" t="s">
        <v>1662</v>
      </c>
      <c r="AD186" s="341" t="s">
        <v>1701</v>
      </c>
      <c r="AE186" s="337" t="s">
        <v>1664</v>
      </c>
      <c r="AF186" s="337" t="s">
        <v>1702</v>
      </c>
      <c r="AG186" s="337" t="s">
        <v>1703</v>
      </c>
      <c r="AH186" s="337" t="s">
        <v>1649</v>
      </c>
      <c r="AI186" s="337" t="s">
        <v>963</v>
      </c>
      <c r="AJ186" s="98" t="s">
        <v>85</v>
      </c>
      <c r="AK186" s="98" t="s">
        <v>86</v>
      </c>
      <c r="AL186" s="98" t="s">
        <v>87</v>
      </c>
      <c r="AM186" s="101" t="s">
        <v>962</v>
      </c>
      <c r="AN186" s="348" t="s">
        <v>89</v>
      </c>
      <c r="AO186" s="349">
        <v>45645</v>
      </c>
      <c r="AP186" s="98">
        <f>Tabla15[[#This Row],[Renov. Flota]]-Tabla15[[#This Row],[Año]]</f>
        <v>-1</v>
      </c>
      <c r="AQ186" s="100" t="s">
        <v>960</v>
      </c>
      <c r="AR186" s="100" t="str">
        <f>VLOOKUP(Tabla15[[#This Row],[Matricula nueva]],'ALTA 20242025'!$B$2:$P$242,15,FALSE)</f>
        <v>4500426871</v>
      </c>
      <c r="AS186" s="101" t="s">
        <v>961</v>
      </c>
      <c r="AT186" s="101"/>
      <c r="AU186" s="101" t="s">
        <v>72</v>
      </c>
      <c r="AV186" s="101" t="s">
        <v>91</v>
      </c>
      <c r="AW186" s="101" t="str">
        <f>VLOOKUP(Tabla15[[#This Row],[Matricula nueva]],Hoja2!$A$1:$B$224,2,FALSE)</f>
        <v>VF1RFK00073934295</v>
      </c>
      <c r="AX186" s="209">
        <v>5.6</v>
      </c>
      <c r="AY186" s="208">
        <f>IF(T186="DIESEL",10,IF(T186="GLP",7.16,9.19))</f>
        <v>10</v>
      </c>
      <c r="AZ186" s="313">
        <v>17.3</v>
      </c>
      <c r="BA186" s="314">
        <f>IF(Tabla15[[#This Row],[Columna2]]="M1",13073,IF(Tabla15[[#This Row],[Columna2]]="N1",15815,IF(Tabla15[[#This Row],[Columna2]]="L3e",2831,53508)))</f>
        <v>15815</v>
      </c>
      <c r="BB186" s="350">
        <f>(Tabla15[[#This Row],[CVA]]*Tabla15[[#This Row],[F]]-Tabla15[[#This Row],[CVN]])/100*Tabla15[[#This Row],[L]]</f>
        <v>6120.4049999999997</v>
      </c>
      <c r="BC186" s="79" t="s">
        <v>128</v>
      </c>
      <c r="BD186" s="294">
        <f>VLOOKUP(B186,Tabla467824[[ID CAE2]:[AE '[kWh']]],6,FALSE)</f>
        <v>5607.9989999999989</v>
      </c>
      <c r="BE18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87" spans="1:57" ht="15.75" hidden="1" thickBot="1" x14ac:dyDescent="0.3">
      <c r="A187" s="53" t="s">
        <v>1304</v>
      </c>
      <c r="B187" s="53" t="e">
        <v>#N/A</v>
      </c>
      <c r="C187" s="96" t="s">
        <v>1305</v>
      </c>
      <c r="D187" s="96"/>
      <c r="E187" s="96"/>
      <c r="F187" s="96"/>
      <c r="G187" s="96"/>
      <c r="H187" s="96"/>
      <c r="I187" s="96"/>
      <c r="J187" s="96"/>
      <c r="K187" s="96" t="s">
        <v>73</v>
      </c>
      <c r="L187" s="96" t="s">
        <v>200</v>
      </c>
      <c r="M187" s="96" t="s">
        <v>201</v>
      </c>
      <c r="N187" s="96" t="s">
        <v>160</v>
      </c>
      <c r="O187" s="101">
        <f>VLOOKUP(Tabla15[[#This Row],[Matricula Antigua]],BAJA2022202320242025!$B$3:$CR$245,93,FALSE)</f>
        <v>44235</v>
      </c>
      <c r="P187" s="99">
        <v>45696</v>
      </c>
      <c r="Q187" s="98">
        <f>Tabla15[[#This Row],[F.Vig.Final]]-Tabla15[[#This Row],[f Vig Inicio]]</f>
        <v>1461</v>
      </c>
      <c r="R187" s="99">
        <f>YEAR(Tabla15[[#This Row],[F.Vig.Final]])</f>
        <v>2025</v>
      </c>
      <c r="S187" s="96" t="s">
        <v>161</v>
      </c>
      <c r="T187" s="96" t="s">
        <v>78</v>
      </c>
      <c r="U187" s="96" t="s">
        <v>79</v>
      </c>
      <c r="V187" s="96" t="s">
        <v>924</v>
      </c>
      <c r="W187" s="96" t="s">
        <v>584</v>
      </c>
      <c r="X187" s="96" t="s">
        <v>585</v>
      </c>
      <c r="Y187" s="96" t="s">
        <v>1303</v>
      </c>
      <c r="Z187" s="98">
        <f>COUNTIF($X$3:X187, X187)</f>
        <v>13</v>
      </c>
      <c r="AA187" s="98"/>
      <c r="AB187" s="98"/>
      <c r="AC187" s="98"/>
      <c r="AD187" s="98"/>
      <c r="AE187" s="98"/>
      <c r="AF187" s="98"/>
      <c r="AG187" s="98"/>
      <c r="AH187" s="98"/>
      <c r="AI187" s="98" t="e">
        <v>#N/A</v>
      </c>
      <c r="AJ187" s="98" t="e">
        <v>#N/A</v>
      </c>
      <c r="AK187" s="98" t="e">
        <v>#N/A</v>
      </c>
      <c r="AL187" s="98" t="e">
        <v>#N/A</v>
      </c>
      <c r="AM187" s="98" t="e">
        <v>#N/A</v>
      </c>
      <c r="AN187" s="99" t="e">
        <v>#N/A</v>
      </c>
      <c r="AO187" s="99" t="e">
        <v>#N/A</v>
      </c>
      <c r="AP187" s="99" t="e">
        <f>Tabla15[[#This Row],[Renov. Flota]]-Tabla15[[#This Row],[Año]]</f>
        <v>#N/A</v>
      </c>
      <c r="AQ187" s="100" t="e">
        <v>#N/A</v>
      </c>
      <c r="AR187" s="100" t="e">
        <f>VLOOKUP(Tabla15[[#This Row],[Matricula nueva]],'ALTA 20242025'!$B$2:$P$242,15,FALSE)</f>
        <v>#N/A</v>
      </c>
      <c r="AS187" s="101" t="e">
        <v>#N/A</v>
      </c>
      <c r="AT187" s="101"/>
      <c r="AU187" s="101"/>
      <c r="AV187" s="101"/>
      <c r="AW187" s="101" t="e">
        <f>VLOOKUP(Tabla15[[#This Row],[Matricula nueva]],Hoja2!$A$1:$B$224,2,FALSE)</f>
        <v>#N/A</v>
      </c>
      <c r="AX187" s="101" t="str">
        <f>IF(Tabla15[[#This Row],[Columna2]]="M1",5.1,"")</f>
        <v/>
      </c>
      <c r="AY187" s="101"/>
      <c r="AZ187" s="101"/>
      <c r="BA187" s="311">
        <f>IF(Tabla15[[#This Row],[Columna2]]="M1",13073,IF(Tabla15[[#This Row],[Columna2]]="N1",15815,IF(Tabla15[[#This Row],[Columna2]]="L3e",2831,53508)))</f>
        <v>53508</v>
      </c>
      <c r="BB187" s="311" t="e">
        <f>(Tabla15[[#This Row],[CVA]]*Tabla15[[#This Row],[F]]-Tabla15[[#This Row],[CVN]])/100*Tabla15[[#This Row],[L]]</f>
        <v>#VALUE!</v>
      </c>
      <c r="BC187" s="1"/>
      <c r="BD187" s="1" t="e">
        <f>VLOOKUP(B187,Tabla467824[[ID CAE2]:[AE '[kWh']]],6,FALSE)</f>
        <v>#N/A</v>
      </c>
      <c r="BE18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88" spans="1:57" ht="15.75" hidden="1" thickBot="1" x14ac:dyDescent="0.3">
      <c r="A188" s="53" t="s">
        <v>1306</v>
      </c>
      <c r="B188" s="53" t="e">
        <v>#N/A</v>
      </c>
      <c r="C188" s="96" t="s">
        <v>1307</v>
      </c>
      <c r="D188" s="96"/>
      <c r="E188" s="96"/>
      <c r="F188" s="96"/>
      <c r="G188" s="96"/>
      <c r="H188" s="96"/>
      <c r="I188" s="96"/>
      <c r="J188" s="96"/>
      <c r="K188" s="96" t="s">
        <v>73</v>
      </c>
      <c r="L188" s="96" t="s">
        <v>200</v>
      </c>
      <c r="M188" s="96" t="s">
        <v>201</v>
      </c>
      <c r="N188" s="96" t="s">
        <v>160</v>
      </c>
      <c r="O188" s="101">
        <f>VLOOKUP(Tabla15[[#This Row],[Matricula Antigua]],BAJA2022202320242025!$B$3:$CR$245,93,FALSE)</f>
        <v>44235</v>
      </c>
      <c r="P188" s="99">
        <v>45696</v>
      </c>
      <c r="Q188" s="98">
        <f>Tabla15[[#This Row],[F.Vig.Final]]-Tabla15[[#This Row],[f Vig Inicio]]</f>
        <v>1461</v>
      </c>
      <c r="R188" s="99">
        <f>YEAR(Tabla15[[#This Row],[F.Vig.Final]])</f>
        <v>2025</v>
      </c>
      <c r="S188" s="96" t="s">
        <v>161</v>
      </c>
      <c r="T188" s="96" t="s">
        <v>78</v>
      </c>
      <c r="U188" s="96" t="s">
        <v>79</v>
      </c>
      <c r="V188" s="96" t="s">
        <v>924</v>
      </c>
      <c r="W188" s="96" t="s">
        <v>1128</v>
      </c>
      <c r="X188" s="96" t="s">
        <v>1129</v>
      </c>
      <c r="Y188" s="96" t="s">
        <v>1308</v>
      </c>
      <c r="Z188" s="98">
        <f>COUNTIF($X$3:X188, X188)</f>
        <v>2</v>
      </c>
      <c r="AA188" s="98"/>
      <c r="AB188" s="98"/>
      <c r="AC188" s="98"/>
      <c r="AD188" s="98"/>
      <c r="AE188" s="98"/>
      <c r="AF188" s="98"/>
      <c r="AG188" s="98"/>
      <c r="AH188" s="98"/>
      <c r="AI188" s="98" t="e">
        <v>#N/A</v>
      </c>
      <c r="AJ188" s="98" t="e">
        <v>#N/A</v>
      </c>
      <c r="AK188" s="98" t="e">
        <v>#N/A</v>
      </c>
      <c r="AL188" s="98" t="e">
        <v>#N/A</v>
      </c>
      <c r="AM188" s="98" t="e">
        <v>#N/A</v>
      </c>
      <c r="AN188" s="99" t="e">
        <v>#N/A</v>
      </c>
      <c r="AO188" s="99" t="e">
        <v>#N/A</v>
      </c>
      <c r="AP188" s="99" t="e">
        <f>Tabla15[[#This Row],[Renov. Flota]]-Tabla15[[#This Row],[Año]]</f>
        <v>#N/A</v>
      </c>
      <c r="AQ188" s="100" t="e">
        <v>#N/A</v>
      </c>
      <c r="AR188" s="100" t="e">
        <f>VLOOKUP(Tabla15[[#This Row],[Matricula nueva]],'ALTA 20242025'!$B$2:$P$242,15,FALSE)</f>
        <v>#N/A</v>
      </c>
      <c r="AS188" s="101" t="e">
        <v>#N/A</v>
      </c>
      <c r="AT188" s="101"/>
      <c r="AU188" s="101"/>
      <c r="AV188" s="101"/>
      <c r="AW188" s="101" t="e">
        <f>VLOOKUP(Tabla15[[#This Row],[Matricula nueva]],Hoja2!$A$1:$B$224,2,FALSE)</f>
        <v>#N/A</v>
      </c>
      <c r="AX188" s="101" t="str">
        <f>IF(Tabla15[[#This Row],[Columna2]]="M1",5.1,"")</f>
        <v/>
      </c>
      <c r="AY188" s="101"/>
      <c r="AZ188" s="101"/>
      <c r="BA188" s="311">
        <f>IF(Tabla15[[#This Row],[Columna2]]="M1",13073,IF(Tabla15[[#This Row],[Columna2]]="N1",15815,IF(Tabla15[[#This Row],[Columna2]]="L3e",2831,53508)))</f>
        <v>53508</v>
      </c>
      <c r="BB188" s="311" t="e">
        <f>(Tabla15[[#This Row],[CVA]]*Tabla15[[#This Row],[F]]-Tabla15[[#This Row],[CVN]])/100*Tabla15[[#This Row],[L]]</f>
        <v>#VALUE!</v>
      </c>
      <c r="BC188" s="1"/>
      <c r="BD188" s="1" t="e">
        <f>VLOOKUP(B188,Tabla467824[[ID CAE2]:[AE '[kWh']]],6,FALSE)</f>
        <v>#N/A</v>
      </c>
      <c r="BE18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89" spans="1:57" ht="15.75" hidden="1" thickBot="1" x14ac:dyDescent="0.3">
      <c r="A189" s="53" t="s">
        <v>1309</v>
      </c>
      <c r="B189" s="53" t="e">
        <v>#N/A</v>
      </c>
      <c r="C189" s="96" t="s">
        <v>1310</v>
      </c>
      <c r="D189" s="96"/>
      <c r="E189" s="96"/>
      <c r="F189" s="96"/>
      <c r="G189" s="96"/>
      <c r="H189" s="96"/>
      <c r="I189" s="96"/>
      <c r="J189" s="96"/>
      <c r="K189" s="96" t="s">
        <v>73</v>
      </c>
      <c r="L189" s="96" t="s">
        <v>200</v>
      </c>
      <c r="M189" s="96" t="s">
        <v>201</v>
      </c>
      <c r="N189" s="96" t="s">
        <v>76</v>
      </c>
      <c r="O189" s="101">
        <f>VLOOKUP(Tabla15[[#This Row],[Matricula Antigua]],BAJA2022202320242025!$B$3:$CR$245,93,FALSE)</f>
        <v>44235</v>
      </c>
      <c r="P189" s="99">
        <v>45696</v>
      </c>
      <c r="Q189" s="98">
        <f>Tabla15[[#This Row],[F.Vig.Final]]-Tabla15[[#This Row],[f Vig Inicio]]</f>
        <v>1461</v>
      </c>
      <c r="R189" s="99">
        <f>YEAR(Tabla15[[#This Row],[F.Vig.Final]])</f>
        <v>2025</v>
      </c>
      <c r="S189" s="96" t="s">
        <v>77</v>
      </c>
      <c r="T189" s="96" t="s">
        <v>78</v>
      </c>
      <c r="U189" s="96" t="s">
        <v>79</v>
      </c>
      <c r="V189" s="96" t="s">
        <v>924</v>
      </c>
      <c r="W189" s="96" t="s">
        <v>584</v>
      </c>
      <c r="X189" s="96" t="s">
        <v>585</v>
      </c>
      <c r="Y189" s="96" t="s">
        <v>1311</v>
      </c>
      <c r="Z189" s="98">
        <f>COUNTIF($X$3:X189, X189)</f>
        <v>14</v>
      </c>
      <c r="AA189" s="98"/>
      <c r="AB189" s="98"/>
      <c r="AC189" s="98"/>
      <c r="AD189" s="98"/>
      <c r="AE189" s="98"/>
      <c r="AF189" s="98"/>
      <c r="AG189" s="98"/>
      <c r="AH189" s="98"/>
      <c r="AI189" s="98" t="e">
        <v>#N/A</v>
      </c>
      <c r="AJ189" s="98" t="e">
        <v>#N/A</v>
      </c>
      <c r="AK189" s="98" t="e">
        <v>#N/A</v>
      </c>
      <c r="AL189" s="98" t="e">
        <v>#N/A</v>
      </c>
      <c r="AM189" s="98" t="e">
        <v>#N/A</v>
      </c>
      <c r="AN189" s="99" t="e">
        <v>#N/A</v>
      </c>
      <c r="AO189" s="99" t="e">
        <v>#N/A</v>
      </c>
      <c r="AP189" s="99" t="e">
        <f>Tabla15[[#This Row],[Renov. Flota]]-Tabla15[[#This Row],[Año]]</f>
        <v>#N/A</v>
      </c>
      <c r="AQ189" s="100" t="e">
        <v>#N/A</v>
      </c>
      <c r="AR189" s="100" t="e">
        <f>VLOOKUP(Tabla15[[#This Row],[Matricula nueva]],'ALTA 20242025'!$B$2:$P$242,15,FALSE)</f>
        <v>#N/A</v>
      </c>
      <c r="AS189" s="101" t="e">
        <v>#N/A</v>
      </c>
      <c r="AT189" s="101"/>
      <c r="AU189" s="101"/>
      <c r="AV189" s="101"/>
      <c r="AW189" s="101" t="e">
        <f>VLOOKUP(Tabla15[[#This Row],[Matricula nueva]],Hoja2!$A$1:$B$224,2,FALSE)</f>
        <v>#N/A</v>
      </c>
      <c r="AX189" s="101" t="str">
        <f>IF(Tabla15[[#This Row],[Columna2]]="M1",5.1,"")</f>
        <v/>
      </c>
      <c r="AY189" s="101"/>
      <c r="AZ189" s="101"/>
      <c r="BA189" s="311">
        <f>IF(Tabla15[[#This Row],[Columna2]]="M1",13073,IF(Tabla15[[#This Row],[Columna2]]="N1",15815,IF(Tabla15[[#This Row],[Columna2]]="L3e",2831,53508)))</f>
        <v>53508</v>
      </c>
      <c r="BB189" s="311" t="e">
        <f>(Tabla15[[#This Row],[CVA]]*Tabla15[[#This Row],[F]]-Tabla15[[#This Row],[CVN]])/100*Tabla15[[#This Row],[L]]</f>
        <v>#VALUE!</v>
      </c>
      <c r="BC189" s="1"/>
      <c r="BD189" s="1" t="e">
        <f>VLOOKUP(B189,Tabla467824[[ID CAE2]:[AE '[kWh']]],6,FALSE)</f>
        <v>#N/A</v>
      </c>
      <c r="BE18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90" spans="1:57" ht="15.75" hidden="1" thickBot="1" x14ac:dyDescent="0.3">
      <c r="A190" s="53" t="s">
        <v>1312</v>
      </c>
      <c r="B190" s="53" t="e">
        <v>#N/A</v>
      </c>
      <c r="C190" s="96" t="s">
        <v>1313</v>
      </c>
      <c r="D190" s="96"/>
      <c r="E190" s="96"/>
      <c r="F190" s="96"/>
      <c r="G190" s="96"/>
      <c r="H190" s="96"/>
      <c r="I190" s="96"/>
      <c r="J190" s="96"/>
      <c r="K190" s="96" t="s">
        <v>73</v>
      </c>
      <c r="L190" s="96" t="s">
        <v>200</v>
      </c>
      <c r="M190" s="96" t="s">
        <v>201</v>
      </c>
      <c r="N190" s="96" t="s">
        <v>76</v>
      </c>
      <c r="O190" s="101">
        <f>VLOOKUP(Tabla15[[#This Row],[Matricula Antigua]],BAJA2022202320242025!$B$3:$CR$245,93,FALSE)</f>
        <v>44176</v>
      </c>
      <c r="P190" s="99">
        <v>45637</v>
      </c>
      <c r="Q190" s="98">
        <f>Tabla15[[#This Row],[F.Vig.Final]]-Tabla15[[#This Row],[f Vig Inicio]]</f>
        <v>1461</v>
      </c>
      <c r="R190" s="99">
        <f>YEAR(Tabla15[[#This Row],[F.Vig.Final]])</f>
        <v>2024</v>
      </c>
      <c r="S190" s="96" t="s">
        <v>77</v>
      </c>
      <c r="T190" s="96" t="s">
        <v>78</v>
      </c>
      <c r="U190" s="96" t="s">
        <v>467</v>
      </c>
      <c r="V190" s="96" t="s">
        <v>500</v>
      </c>
      <c r="W190" s="96" t="s">
        <v>215</v>
      </c>
      <c r="X190" s="96" t="s">
        <v>216</v>
      </c>
      <c r="Y190" s="96" t="s">
        <v>507</v>
      </c>
      <c r="Z190" s="98">
        <f>COUNTIF($X$3:X190, X190)</f>
        <v>3</v>
      </c>
      <c r="AA190" s="98"/>
      <c r="AB190" s="98"/>
      <c r="AC190" s="98"/>
      <c r="AD190" s="98"/>
      <c r="AE190" s="98"/>
      <c r="AF190" s="98"/>
      <c r="AG190" s="98"/>
      <c r="AH190" s="98"/>
      <c r="AI190" s="98" t="e">
        <v>#N/A</v>
      </c>
      <c r="AJ190" s="98" t="e">
        <v>#N/A</v>
      </c>
      <c r="AK190" s="98" t="e">
        <v>#N/A</v>
      </c>
      <c r="AL190" s="98" t="e">
        <v>#N/A</v>
      </c>
      <c r="AM190" s="98" t="e">
        <v>#N/A</v>
      </c>
      <c r="AN190" s="99" t="e">
        <v>#N/A</v>
      </c>
      <c r="AO190" s="99" t="e">
        <v>#N/A</v>
      </c>
      <c r="AP190" s="99" t="e">
        <f>Tabla15[[#This Row],[Renov. Flota]]-Tabla15[[#This Row],[Año]]</f>
        <v>#N/A</v>
      </c>
      <c r="AQ190" s="100" t="e">
        <v>#N/A</v>
      </c>
      <c r="AR190" s="100" t="e">
        <f>VLOOKUP(Tabla15[[#This Row],[Matricula nueva]],'ALTA 20242025'!$B$2:$P$242,15,FALSE)</f>
        <v>#N/A</v>
      </c>
      <c r="AS190" s="101" t="e">
        <v>#N/A</v>
      </c>
      <c r="AT190" s="101"/>
      <c r="AU190" s="101"/>
      <c r="AV190" s="101"/>
      <c r="AW190" s="101" t="e">
        <f>VLOOKUP(Tabla15[[#This Row],[Matricula nueva]],Hoja2!$A$1:$B$224,2,FALSE)</f>
        <v>#N/A</v>
      </c>
      <c r="AX190" s="101" t="str">
        <f>IF(Tabla15[[#This Row],[Columna2]]="M1",5.1,"")</f>
        <v/>
      </c>
      <c r="AY190" s="101"/>
      <c r="AZ190" s="101"/>
      <c r="BA190" s="311">
        <f>IF(Tabla15[[#This Row],[Columna2]]="M1",13073,IF(Tabla15[[#This Row],[Columna2]]="N1",15815,IF(Tabla15[[#This Row],[Columna2]]="L3e",2831,53508)))</f>
        <v>53508</v>
      </c>
      <c r="BB190" s="311" t="e">
        <f>(Tabla15[[#This Row],[CVA]]*Tabla15[[#This Row],[F]]-Tabla15[[#This Row],[CVN]])/100*Tabla15[[#This Row],[L]]</f>
        <v>#VALUE!</v>
      </c>
      <c r="BC190" s="1"/>
      <c r="BD190" s="1" t="e">
        <f>VLOOKUP(B190,Tabla467824[[ID CAE2]:[AE '[kWh']]],6,FALSE)</f>
        <v>#N/A</v>
      </c>
      <c r="BE19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91" spans="1:57" ht="15.75" hidden="1" thickBot="1" x14ac:dyDescent="0.3">
      <c r="A191" s="53" t="s">
        <v>1314</v>
      </c>
      <c r="B191" s="53" t="e">
        <v>#N/A</v>
      </c>
      <c r="C191" s="96" t="s">
        <v>1315</v>
      </c>
      <c r="D191" s="96"/>
      <c r="E191" s="96"/>
      <c r="F191" s="96"/>
      <c r="G191" s="96"/>
      <c r="H191" s="96"/>
      <c r="I191" s="96"/>
      <c r="J191" s="96"/>
      <c r="K191" s="96" t="s">
        <v>73</v>
      </c>
      <c r="L191" s="96" t="s">
        <v>200</v>
      </c>
      <c r="M191" s="96" t="s">
        <v>201</v>
      </c>
      <c r="N191" s="96" t="s">
        <v>171</v>
      </c>
      <c r="O191" s="101">
        <f>VLOOKUP(Tabla15[[#This Row],[Matricula Antigua]],BAJA2022202320242025!$B$3:$CR$245,93,FALSE)</f>
        <v>44235</v>
      </c>
      <c r="P191" s="99">
        <v>45696</v>
      </c>
      <c r="Q191" s="98">
        <f>Tabla15[[#This Row],[F.Vig.Final]]-Tabla15[[#This Row],[f Vig Inicio]]</f>
        <v>1461</v>
      </c>
      <c r="R191" s="99">
        <f>YEAR(Tabla15[[#This Row],[F.Vig.Final]])</f>
        <v>2025</v>
      </c>
      <c r="S191" s="96" t="s">
        <v>172</v>
      </c>
      <c r="T191" s="96" t="s">
        <v>78</v>
      </c>
      <c r="U191" s="96" t="s">
        <v>79</v>
      </c>
      <c r="V191" s="96" t="s">
        <v>924</v>
      </c>
      <c r="W191" s="96" t="s">
        <v>584</v>
      </c>
      <c r="X191" s="96" t="s">
        <v>585</v>
      </c>
      <c r="Y191" s="96" t="s">
        <v>1316</v>
      </c>
      <c r="Z191" s="98">
        <f>COUNTIF($X$3:X191, X191)</f>
        <v>15</v>
      </c>
      <c r="AA191" s="98"/>
      <c r="AB191" s="98"/>
      <c r="AC191" s="98"/>
      <c r="AD191" s="98"/>
      <c r="AE191" s="98"/>
      <c r="AF191" s="98"/>
      <c r="AG191" s="98"/>
      <c r="AH191" s="98"/>
      <c r="AI191" s="98" t="e">
        <v>#N/A</v>
      </c>
      <c r="AJ191" s="98" t="e">
        <v>#N/A</v>
      </c>
      <c r="AK191" s="98" t="e">
        <v>#N/A</v>
      </c>
      <c r="AL191" s="98" t="e">
        <v>#N/A</v>
      </c>
      <c r="AM191" s="98" t="e">
        <v>#N/A</v>
      </c>
      <c r="AN191" s="99" t="e">
        <v>#N/A</v>
      </c>
      <c r="AO191" s="99" t="e">
        <v>#N/A</v>
      </c>
      <c r="AP191" s="99" t="e">
        <f>Tabla15[[#This Row],[Renov. Flota]]-Tabla15[[#This Row],[Año]]</f>
        <v>#N/A</v>
      </c>
      <c r="AQ191" s="100" t="e">
        <v>#N/A</v>
      </c>
      <c r="AR191" s="100" t="e">
        <f>VLOOKUP(Tabla15[[#This Row],[Matricula nueva]],'ALTA 20242025'!$B$2:$P$242,15,FALSE)</f>
        <v>#N/A</v>
      </c>
      <c r="AS191" s="101" t="e">
        <v>#N/A</v>
      </c>
      <c r="AT191" s="101"/>
      <c r="AU191" s="101"/>
      <c r="AV191" s="101"/>
      <c r="AW191" s="101" t="e">
        <f>VLOOKUP(Tabla15[[#This Row],[Matricula nueva]],Hoja2!$A$1:$B$224,2,FALSE)</f>
        <v>#N/A</v>
      </c>
      <c r="AX191" s="101" t="str">
        <f>IF(Tabla15[[#This Row],[Columna2]]="M1",5.1,"")</f>
        <v/>
      </c>
      <c r="AY191" s="101"/>
      <c r="AZ191" s="101"/>
      <c r="BA191" s="311">
        <f>IF(Tabla15[[#This Row],[Columna2]]="M1",13073,IF(Tabla15[[#This Row],[Columna2]]="N1",15815,IF(Tabla15[[#This Row],[Columna2]]="L3e",2831,53508)))</f>
        <v>53508</v>
      </c>
      <c r="BB191" s="311" t="e">
        <f>(Tabla15[[#This Row],[CVA]]*Tabla15[[#This Row],[F]]-Tabla15[[#This Row],[CVN]])/100*Tabla15[[#This Row],[L]]</f>
        <v>#VALUE!</v>
      </c>
      <c r="BC191" s="1"/>
      <c r="BD191" s="1" t="e">
        <f>VLOOKUP(B191,Tabla467824[[ID CAE2]:[AE '[kWh']]],6,FALSE)</f>
        <v>#N/A</v>
      </c>
      <c r="BE19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92" spans="1:57" ht="15.75" hidden="1" thickBot="1" x14ac:dyDescent="0.3">
      <c r="A192" s="53" t="s">
        <v>1317</v>
      </c>
      <c r="B192" s="53" t="e">
        <v>#N/A</v>
      </c>
      <c r="C192" s="96" t="s">
        <v>1318</v>
      </c>
      <c r="D192" s="96"/>
      <c r="E192" s="96"/>
      <c r="F192" s="96"/>
      <c r="G192" s="96"/>
      <c r="H192" s="96"/>
      <c r="I192" s="96"/>
      <c r="J192" s="96"/>
      <c r="K192" s="96" t="s">
        <v>73</v>
      </c>
      <c r="L192" s="96" t="s">
        <v>200</v>
      </c>
      <c r="M192" s="96" t="s">
        <v>201</v>
      </c>
      <c r="N192" s="96" t="s">
        <v>160</v>
      </c>
      <c r="O192" s="101">
        <f>VLOOKUP(Tabla15[[#This Row],[Matricula Antigua]],BAJA2022202320242025!$B$3:$CR$245,93,FALSE)</f>
        <v>44235</v>
      </c>
      <c r="P192" s="99">
        <v>45696</v>
      </c>
      <c r="Q192" s="98">
        <f>Tabla15[[#This Row],[F.Vig.Final]]-Tabla15[[#This Row],[f Vig Inicio]]</f>
        <v>1461</v>
      </c>
      <c r="R192" s="99">
        <f>YEAR(Tabla15[[#This Row],[F.Vig.Final]])</f>
        <v>2025</v>
      </c>
      <c r="S192" s="96" t="s">
        <v>161</v>
      </c>
      <c r="T192" s="96" t="s">
        <v>78</v>
      </c>
      <c r="U192" s="96" t="s">
        <v>79</v>
      </c>
      <c r="V192" s="96" t="s">
        <v>924</v>
      </c>
      <c r="W192" s="96" t="s">
        <v>584</v>
      </c>
      <c r="X192" s="96" t="s">
        <v>585</v>
      </c>
      <c r="Y192" s="96" t="s">
        <v>588</v>
      </c>
      <c r="Z192" s="98">
        <f>COUNTIF($X$3:X192, X192)</f>
        <v>16</v>
      </c>
      <c r="AA192" s="98"/>
      <c r="AB192" s="98"/>
      <c r="AC192" s="98"/>
      <c r="AD192" s="98"/>
      <c r="AE192" s="320"/>
      <c r="AF192" s="98"/>
      <c r="AG192" s="98"/>
      <c r="AH192" s="98"/>
      <c r="AI192" s="98" t="e">
        <v>#N/A</v>
      </c>
      <c r="AJ192" s="98" t="e">
        <v>#N/A</v>
      </c>
      <c r="AK192" s="98" t="e">
        <v>#N/A</v>
      </c>
      <c r="AL192" s="98" t="e">
        <v>#N/A</v>
      </c>
      <c r="AM192" s="98" t="e">
        <v>#N/A</v>
      </c>
      <c r="AN192" s="99" t="e">
        <v>#N/A</v>
      </c>
      <c r="AO192" s="99" t="e">
        <v>#N/A</v>
      </c>
      <c r="AP192" s="99" t="e">
        <f>Tabla15[[#This Row],[Renov. Flota]]-Tabla15[[#This Row],[Año]]</f>
        <v>#N/A</v>
      </c>
      <c r="AQ192" s="100" t="e">
        <v>#N/A</v>
      </c>
      <c r="AR192" s="100" t="e">
        <f>VLOOKUP(Tabla15[[#This Row],[Matricula nueva]],'ALTA 20242025'!$B$2:$P$242,15,FALSE)</f>
        <v>#N/A</v>
      </c>
      <c r="AS192" s="101" t="e">
        <v>#N/A</v>
      </c>
      <c r="AT192" s="101"/>
      <c r="AU192" s="101"/>
      <c r="AV192" s="101"/>
      <c r="AW192" s="101" t="e">
        <f>VLOOKUP(Tabla15[[#This Row],[Matricula nueva]],Hoja2!$A$1:$B$224,2,FALSE)</f>
        <v>#N/A</v>
      </c>
      <c r="AX192" s="101" t="str">
        <f>IF(Tabla15[[#This Row],[Columna2]]="M1",5.1,"")</f>
        <v/>
      </c>
      <c r="AY192" s="101"/>
      <c r="AZ192" s="101"/>
      <c r="BA192" s="311">
        <f>IF(Tabla15[[#This Row],[Columna2]]="M1",13073,IF(Tabla15[[#This Row],[Columna2]]="N1",15815,IF(Tabla15[[#This Row],[Columna2]]="L3e",2831,53508)))</f>
        <v>53508</v>
      </c>
      <c r="BB192" s="311" t="e">
        <f>(Tabla15[[#This Row],[CVA]]*Tabla15[[#This Row],[F]]-Tabla15[[#This Row],[CVN]])/100*Tabla15[[#This Row],[L]]</f>
        <v>#VALUE!</v>
      </c>
      <c r="BC192" s="1"/>
      <c r="BD192" s="1" t="e">
        <f>VLOOKUP(B192,Tabla467824[[ID CAE2]:[AE '[kWh']]],6,FALSE)</f>
        <v>#N/A</v>
      </c>
      <c r="BE19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193" spans="1:57" ht="51.75" x14ac:dyDescent="0.25">
      <c r="A193" s="53" t="s">
        <v>966</v>
      </c>
      <c r="B193" s="53" t="s">
        <v>966</v>
      </c>
      <c r="C193" s="332" t="s">
        <v>967</v>
      </c>
      <c r="D193" s="104" t="s">
        <v>72</v>
      </c>
      <c r="E193" s="104" t="s">
        <v>72</v>
      </c>
      <c r="F193" s="104" t="s">
        <v>72</v>
      </c>
      <c r="G193" s="104"/>
      <c r="H193" s="104" t="s">
        <v>249</v>
      </c>
      <c r="I193" s="104" t="s">
        <v>249</v>
      </c>
      <c r="J193" s="104"/>
      <c r="K193" s="96" t="s">
        <v>73</v>
      </c>
      <c r="L193" s="96" t="s">
        <v>200</v>
      </c>
      <c r="M193" s="96" t="s">
        <v>201</v>
      </c>
      <c r="N193" s="96" t="s">
        <v>76</v>
      </c>
      <c r="O193" s="101">
        <f>VLOOKUP(Tabla15[[#This Row],[Matricula Antigua]],BAJA2022202320242025!$B$3:$CR$245,93,FALSE)</f>
        <v>44228</v>
      </c>
      <c r="P193" s="316">
        <v>45689</v>
      </c>
      <c r="Q193" s="317">
        <f>Tabla15[[#This Row],[F.Vig.Final]]-Tabla15[[#This Row],[f Vig Inicio]]</f>
        <v>1461</v>
      </c>
      <c r="R193" s="318">
        <f>YEAR(Tabla15[[#This Row],[F.Vig.Final]])</f>
        <v>2025</v>
      </c>
      <c r="S193" s="96" t="s">
        <v>77</v>
      </c>
      <c r="T193" s="96" t="s">
        <v>78</v>
      </c>
      <c r="U193" s="96" t="s">
        <v>79</v>
      </c>
      <c r="V193" s="96" t="s">
        <v>924</v>
      </c>
      <c r="W193" s="96" t="s">
        <v>308</v>
      </c>
      <c r="X193" s="332" t="s">
        <v>309</v>
      </c>
      <c r="Y193" s="96" t="s">
        <v>310</v>
      </c>
      <c r="Z193" s="98">
        <f>COUNTIF($X$3:X193, X193)</f>
        <v>3</v>
      </c>
      <c r="AA193" s="337" t="s">
        <v>1661</v>
      </c>
      <c r="AB193" s="337" t="s">
        <v>1661</v>
      </c>
      <c r="AC193" s="337" t="s">
        <v>1662</v>
      </c>
      <c r="AD193" s="337" t="s">
        <v>1663</v>
      </c>
      <c r="AE193" s="342" t="s">
        <v>1664</v>
      </c>
      <c r="AF193" s="337" t="s">
        <v>1665</v>
      </c>
      <c r="AG193" s="337" t="s">
        <v>1666</v>
      </c>
      <c r="AH193" s="337" t="s">
        <v>1649</v>
      </c>
      <c r="AI193" s="337" t="s">
        <v>968</v>
      </c>
      <c r="AJ193" s="98" t="s">
        <v>85</v>
      </c>
      <c r="AK193" s="98" t="s">
        <v>86</v>
      </c>
      <c r="AL193" s="98" t="s">
        <v>87</v>
      </c>
      <c r="AM193" s="101" t="s">
        <v>310</v>
      </c>
      <c r="AN193" s="348" t="s">
        <v>89</v>
      </c>
      <c r="AO193" s="349">
        <v>45649</v>
      </c>
      <c r="AP193" s="98">
        <f>Tabla15[[#This Row],[Renov. Flota]]-Tabla15[[#This Row],[Año]]</f>
        <v>-1</v>
      </c>
      <c r="AQ193" s="100" t="s">
        <v>308</v>
      </c>
      <c r="AR193" s="100" t="str">
        <f>VLOOKUP(Tabla15[[#This Row],[Matricula nueva]],'ALTA 20242025'!$B$2:$P$242,15,FALSE)</f>
        <v>X</v>
      </c>
      <c r="AS193" s="101" t="s">
        <v>309</v>
      </c>
      <c r="AT193" s="101"/>
      <c r="AU193" s="101" t="s">
        <v>72</v>
      </c>
      <c r="AV193" s="101" t="s">
        <v>91</v>
      </c>
      <c r="AW193" s="101" t="str">
        <f>VLOOKUP(Tabla15[[#This Row],[Matricula nueva]],Hoja2!$A$1:$B$224,2,FALSE)</f>
        <v>VF1RFK00673934303</v>
      </c>
      <c r="AX193" s="209">
        <v>5.6</v>
      </c>
      <c r="AY193" s="208">
        <f t="shared" ref="AY193:AY198" si="10">IF(T193="DIESEL",10,IF(T193="GLP",7.16,9.19))</f>
        <v>10</v>
      </c>
      <c r="AZ193" s="313">
        <v>17.3</v>
      </c>
      <c r="BA193" s="314">
        <f>IF(Tabla15[[#This Row],[Columna2]]="M1",13073,IF(Tabla15[[#This Row],[Columna2]]="N1",15815,IF(Tabla15[[#This Row],[Columna2]]="L3e",2831,53508)))</f>
        <v>15815</v>
      </c>
      <c r="BB193" s="350">
        <f>(Tabla15[[#This Row],[CVA]]*Tabla15[[#This Row],[F]]-Tabla15[[#This Row],[CVN]])/100*Tabla15[[#This Row],[L]]</f>
        <v>6120.4049999999997</v>
      </c>
      <c r="BC193" s="69" t="s">
        <v>128</v>
      </c>
      <c r="BD193" s="294">
        <f>VLOOKUP(B193,Tabla467824[[ID CAE2]:[AE '[kWh']]],6,FALSE)</f>
        <v>5607.9989999999989</v>
      </c>
      <c r="BE19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94" spans="1:57" ht="51.75" x14ac:dyDescent="0.25">
      <c r="A194" s="53" t="s">
        <v>970</v>
      </c>
      <c r="B194" s="53" t="s">
        <v>970</v>
      </c>
      <c r="C194" s="332" t="s">
        <v>971</v>
      </c>
      <c r="D194" s="104" t="s">
        <v>72</v>
      </c>
      <c r="E194" s="104"/>
      <c r="F194" s="104" t="s">
        <v>72</v>
      </c>
      <c r="G194" s="104"/>
      <c r="H194" s="104" t="s">
        <v>249</v>
      </c>
      <c r="I194" s="104" t="s">
        <v>249</v>
      </c>
      <c r="J194" s="104"/>
      <c r="K194" s="96" t="s">
        <v>73</v>
      </c>
      <c r="L194" s="96" t="s">
        <v>200</v>
      </c>
      <c r="M194" s="96" t="s">
        <v>201</v>
      </c>
      <c r="N194" s="96" t="s">
        <v>160</v>
      </c>
      <c r="O194" s="101">
        <f>VLOOKUP(Tabla15[[#This Row],[Matricula Antigua]],BAJA2022202320242025!$B$3:$CR$245,93,FALSE)</f>
        <v>44228</v>
      </c>
      <c r="P194" s="316">
        <v>45689</v>
      </c>
      <c r="Q194" s="317">
        <f>Tabla15[[#This Row],[F.Vig.Final]]-Tabla15[[#This Row],[f Vig Inicio]]</f>
        <v>1461</v>
      </c>
      <c r="R194" s="318">
        <f>YEAR(Tabla15[[#This Row],[F.Vig.Final]])</f>
        <v>2025</v>
      </c>
      <c r="S194" s="96" t="s">
        <v>161</v>
      </c>
      <c r="T194" s="96" t="s">
        <v>78</v>
      </c>
      <c r="U194" s="96" t="s">
        <v>79</v>
      </c>
      <c r="V194" s="96" t="s">
        <v>924</v>
      </c>
      <c r="W194" s="96" t="s">
        <v>308</v>
      </c>
      <c r="X194" s="332" t="s">
        <v>309</v>
      </c>
      <c r="Y194" s="96" t="s">
        <v>310</v>
      </c>
      <c r="Z194" s="98">
        <f>COUNTIF($X$3:X194, X194)</f>
        <v>4</v>
      </c>
      <c r="AA194" s="337" t="s">
        <v>1661</v>
      </c>
      <c r="AB194" s="337" t="s">
        <v>1661</v>
      </c>
      <c r="AC194" s="337" t="s">
        <v>1662</v>
      </c>
      <c r="AD194" s="337" t="s">
        <v>1663</v>
      </c>
      <c r="AE194" s="342" t="s">
        <v>1664</v>
      </c>
      <c r="AF194" s="337" t="s">
        <v>1665</v>
      </c>
      <c r="AG194" s="337" t="s">
        <v>1666</v>
      </c>
      <c r="AH194" s="337" t="s">
        <v>1649</v>
      </c>
      <c r="AI194" s="337" t="s">
        <v>972</v>
      </c>
      <c r="AJ194" s="98" t="s">
        <v>85</v>
      </c>
      <c r="AK194" s="98" t="s">
        <v>86</v>
      </c>
      <c r="AL194" s="98" t="s">
        <v>87</v>
      </c>
      <c r="AM194" s="101" t="s">
        <v>312</v>
      </c>
      <c r="AN194" s="348" t="s">
        <v>89</v>
      </c>
      <c r="AO194" s="349">
        <v>45649</v>
      </c>
      <c r="AP194" s="98">
        <f>Tabla15[[#This Row],[Renov. Flota]]-Tabla15[[#This Row],[Año]]</f>
        <v>-1</v>
      </c>
      <c r="AQ194" s="100" t="s">
        <v>308</v>
      </c>
      <c r="AR194" s="100" t="str">
        <f>VLOOKUP(Tabla15[[#This Row],[Matricula nueva]],'ALTA 20242025'!$B$2:$P$242,15,FALSE)</f>
        <v>X</v>
      </c>
      <c r="AS194" s="101" t="s">
        <v>309</v>
      </c>
      <c r="AT194" s="101"/>
      <c r="AU194" s="101" t="s">
        <v>72</v>
      </c>
      <c r="AV194" s="101" t="s">
        <v>91</v>
      </c>
      <c r="AW194" s="101" t="str">
        <f>VLOOKUP(Tabla15[[#This Row],[Matricula nueva]],Hoja2!$A$1:$B$224,2,FALSE)</f>
        <v>VF1RFK00573934261</v>
      </c>
      <c r="AX194" s="209">
        <v>5.6</v>
      </c>
      <c r="AY194" s="208">
        <f t="shared" si="10"/>
        <v>10</v>
      </c>
      <c r="AZ194" s="313">
        <v>17.3</v>
      </c>
      <c r="BA194" s="314">
        <f>IF(Tabla15[[#This Row],[Columna2]]="M1",13073,IF(Tabla15[[#This Row],[Columna2]]="N1",15815,IF(Tabla15[[#This Row],[Columna2]]="L3e",2831,53508)))</f>
        <v>15815</v>
      </c>
      <c r="BB194" s="350">
        <f>(Tabla15[[#This Row],[CVA]]*Tabla15[[#This Row],[F]]-Tabla15[[#This Row],[CVN]])/100*Tabla15[[#This Row],[L]]</f>
        <v>6120.4049999999997</v>
      </c>
      <c r="BC194" s="74" t="s">
        <v>128</v>
      </c>
      <c r="BD194" s="294">
        <f>VLOOKUP(B194,Tabla467824[[ID CAE2]:[AE '[kWh']]],6,FALSE)</f>
        <v>5607.9989999999989</v>
      </c>
      <c r="BE19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95" spans="1:57" ht="51.75" x14ac:dyDescent="0.25">
      <c r="A195" s="53" t="s">
        <v>974</v>
      </c>
      <c r="B195" s="53" t="s">
        <v>974</v>
      </c>
      <c r="C195" s="332" t="s">
        <v>975</v>
      </c>
      <c r="D195" s="104" t="s">
        <v>72</v>
      </c>
      <c r="E195" s="104"/>
      <c r="F195" s="104" t="s">
        <v>72</v>
      </c>
      <c r="G195" s="104"/>
      <c r="H195" s="104" t="s">
        <v>72</v>
      </c>
      <c r="I195" s="104" t="s">
        <v>72</v>
      </c>
      <c r="J195" s="104"/>
      <c r="K195" s="96" t="s">
        <v>73</v>
      </c>
      <c r="L195" s="96" t="s">
        <v>200</v>
      </c>
      <c r="M195" s="96" t="s">
        <v>201</v>
      </c>
      <c r="N195" s="96" t="s">
        <v>160</v>
      </c>
      <c r="O195" s="101">
        <f>VLOOKUP(Tabla15[[#This Row],[Matricula Antigua]],BAJA2022202320242025!$B$3:$CR$245,93,FALSE)</f>
        <v>44232</v>
      </c>
      <c r="P195" s="316">
        <v>45693</v>
      </c>
      <c r="Q195" s="317">
        <f>Tabla15[[#This Row],[F.Vig.Final]]-Tabla15[[#This Row],[f Vig Inicio]]</f>
        <v>1461</v>
      </c>
      <c r="R195" s="318">
        <f>YEAR(Tabla15[[#This Row],[F.Vig.Final]])</f>
        <v>2025</v>
      </c>
      <c r="S195" s="96" t="s">
        <v>161</v>
      </c>
      <c r="T195" s="96" t="s">
        <v>78</v>
      </c>
      <c r="U195" s="96" t="s">
        <v>79</v>
      </c>
      <c r="V195" s="96" t="s">
        <v>924</v>
      </c>
      <c r="W195" s="96" t="s">
        <v>308</v>
      </c>
      <c r="X195" s="332" t="s">
        <v>309</v>
      </c>
      <c r="Y195" s="96" t="s">
        <v>310</v>
      </c>
      <c r="Z195" s="98">
        <f>COUNTIF($X$3:X195, X195)</f>
        <v>5</v>
      </c>
      <c r="AA195" s="337" t="s">
        <v>1661</v>
      </c>
      <c r="AB195" s="337" t="s">
        <v>1661</v>
      </c>
      <c r="AC195" s="337" t="s">
        <v>1662</v>
      </c>
      <c r="AD195" s="337" t="s">
        <v>1663</v>
      </c>
      <c r="AE195" s="342" t="s">
        <v>1664</v>
      </c>
      <c r="AF195" s="337" t="s">
        <v>1665</v>
      </c>
      <c r="AG195" s="337" t="s">
        <v>1666</v>
      </c>
      <c r="AH195" s="337" t="s">
        <v>1649</v>
      </c>
      <c r="AI195" s="337" t="s">
        <v>976</v>
      </c>
      <c r="AJ195" s="98" t="s">
        <v>85</v>
      </c>
      <c r="AK195" s="98" t="s">
        <v>86</v>
      </c>
      <c r="AL195" s="98" t="s">
        <v>87</v>
      </c>
      <c r="AM195" s="101" t="s">
        <v>310</v>
      </c>
      <c r="AN195" s="348" t="s">
        <v>89</v>
      </c>
      <c r="AO195" s="349">
        <v>45649</v>
      </c>
      <c r="AP195" s="98">
        <f>Tabla15[[#This Row],[Renov. Flota]]-Tabla15[[#This Row],[Año]]</f>
        <v>-1</v>
      </c>
      <c r="AQ195" s="100" t="s">
        <v>308</v>
      </c>
      <c r="AR195" s="100" t="str">
        <f>VLOOKUP(Tabla15[[#This Row],[Matricula nueva]],'ALTA 20242025'!$B$2:$P$242,15,FALSE)</f>
        <v>X</v>
      </c>
      <c r="AS195" s="101" t="s">
        <v>309</v>
      </c>
      <c r="AT195" s="101"/>
      <c r="AU195" s="101" t="s">
        <v>72</v>
      </c>
      <c r="AV195" s="101" t="s">
        <v>91</v>
      </c>
      <c r="AW195" s="101" t="str">
        <f>VLOOKUP(Tabla15[[#This Row],[Matricula nueva]],Hoja2!$A$1:$B$224,2,FALSE)</f>
        <v>VF1RFK00473934266</v>
      </c>
      <c r="AX195" s="209">
        <v>5.6</v>
      </c>
      <c r="AY195" s="208">
        <f t="shared" si="10"/>
        <v>10</v>
      </c>
      <c r="AZ195" s="313">
        <v>17.3</v>
      </c>
      <c r="BA195" s="314">
        <f>IF(Tabla15[[#This Row],[Columna2]]="M1",13073,IF(Tabla15[[#This Row],[Columna2]]="N1",15815,IF(Tabla15[[#This Row],[Columna2]]="L3e",2831,53508)))</f>
        <v>15815</v>
      </c>
      <c r="BB195" s="350">
        <f>(Tabla15[[#This Row],[CVA]]*Tabla15[[#This Row],[F]]-Tabla15[[#This Row],[CVN]])/100*Tabla15[[#This Row],[L]]</f>
        <v>6120.4049999999997</v>
      </c>
      <c r="BC195" s="74" t="s">
        <v>128</v>
      </c>
      <c r="BD195" s="294">
        <f>VLOOKUP(B195,Tabla467824[[ID CAE2]:[AE '[kWh']]],6,FALSE)</f>
        <v>5607.9989999999989</v>
      </c>
      <c r="BE19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96" spans="1:57" ht="51.75" x14ac:dyDescent="0.25">
      <c r="A196" s="53" t="s">
        <v>978</v>
      </c>
      <c r="B196" s="53" t="s">
        <v>978</v>
      </c>
      <c r="C196" s="332" t="s">
        <v>979</v>
      </c>
      <c r="D196" s="104" t="s">
        <v>72</v>
      </c>
      <c r="E196" s="104"/>
      <c r="F196" s="104" t="s">
        <v>72</v>
      </c>
      <c r="G196" s="104"/>
      <c r="H196" s="104" t="s">
        <v>249</v>
      </c>
      <c r="I196" s="104" t="s">
        <v>249</v>
      </c>
      <c r="J196" s="104"/>
      <c r="K196" s="96" t="s">
        <v>73</v>
      </c>
      <c r="L196" s="96" t="s">
        <v>200</v>
      </c>
      <c r="M196" s="96" t="s">
        <v>201</v>
      </c>
      <c r="N196" s="96" t="s">
        <v>76</v>
      </c>
      <c r="O196" s="101">
        <f>VLOOKUP(Tabla15[[#This Row],[Matricula Antigua]],BAJA2022202320242025!$B$3:$CR$245,93,FALSE)</f>
        <v>44235</v>
      </c>
      <c r="P196" s="316">
        <v>45696</v>
      </c>
      <c r="Q196" s="317">
        <f>Tabla15[[#This Row],[F.Vig.Final]]-Tabla15[[#This Row],[f Vig Inicio]]</f>
        <v>1461</v>
      </c>
      <c r="R196" s="318">
        <f>YEAR(Tabla15[[#This Row],[F.Vig.Final]])</f>
        <v>2025</v>
      </c>
      <c r="S196" s="96" t="s">
        <v>77</v>
      </c>
      <c r="T196" s="96" t="s">
        <v>78</v>
      </c>
      <c r="U196" s="96" t="s">
        <v>79</v>
      </c>
      <c r="V196" s="96" t="s">
        <v>924</v>
      </c>
      <c r="W196" s="96" t="s">
        <v>308</v>
      </c>
      <c r="X196" s="332" t="s">
        <v>309</v>
      </c>
      <c r="Y196" s="96" t="s">
        <v>980</v>
      </c>
      <c r="Z196" s="98">
        <f>COUNTIF($X$3:X196, X196)</f>
        <v>6</v>
      </c>
      <c r="AA196" s="337" t="s">
        <v>1661</v>
      </c>
      <c r="AB196" s="337" t="s">
        <v>1661</v>
      </c>
      <c r="AC196" s="337" t="s">
        <v>1662</v>
      </c>
      <c r="AD196" s="337" t="s">
        <v>1663</v>
      </c>
      <c r="AE196" s="342" t="s">
        <v>1664</v>
      </c>
      <c r="AF196" s="337" t="s">
        <v>1665</v>
      </c>
      <c r="AG196" s="337" t="s">
        <v>1666</v>
      </c>
      <c r="AH196" s="337" t="s">
        <v>1649</v>
      </c>
      <c r="AI196" s="337" t="s">
        <v>981</v>
      </c>
      <c r="AJ196" s="98" t="s">
        <v>85</v>
      </c>
      <c r="AK196" s="98" t="s">
        <v>86</v>
      </c>
      <c r="AL196" s="98" t="s">
        <v>87</v>
      </c>
      <c r="AM196" s="101" t="s">
        <v>310</v>
      </c>
      <c r="AN196" s="348" t="s">
        <v>89</v>
      </c>
      <c r="AO196" s="349">
        <v>45649</v>
      </c>
      <c r="AP196" s="98">
        <f>Tabla15[[#This Row],[Renov. Flota]]-Tabla15[[#This Row],[Año]]</f>
        <v>-1</v>
      </c>
      <c r="AQ196" s="100" t="s">
        <v>308</v>
      </c>
      <c r="AR196" s="100" t="str">
        <f>VLOOKUP(Tabla15[[#This Row],[Matricula nueva]],'ALTA 20242025'!$B$2:$P$242,15,FALSE)</f>
        <v>X</v>
      </c>
      <c r="AS196" s="101" t="s">
        <v>309</v>
      </c>
      <c r="AT196" s="101"/>
      <c r="AU196" s="101" t="s">
        <v>72</v>
      </c>
      <c r="AV196" s="101" t="s">
        <v>91</v>
      </c>
      <c r="AW196" s="101" t="str">
        <f>VLOOKUP(Tabla15[[#This Row],[Matricula nueva]],Hoja2!$A$1:$B$224,2,FALSE)</f>
        <v>VF1RFK00873934299</v>
      </c>
      <c r="AX196" s="209">
        <v>5.6</v>
      </c>
      <c r="AY196" s="208">
        <f t="shared" si="10"/>
        <v>10</v>
      </c>
      <c r="AZ196" s="313">
        <v>17.3</v>
      </c>
      <c r="BA196" s="314">
        <f>IF(Tabla15[[#This Row],[Columna2]]="M1",13073,IF(Tabla15[[#This Row],[Columna2]]="N1",15815,IF(Tabla15[[#This Row],[Columna2]]="L3e",2831,53508)))</f>
        <v>15815</v>
      </c>
      <c r="BB196" s="350">
        <f>(Tabla15[[#This Row],[CVA]]*Tabla15[[#This Row],[F]]-Tabla15[[#This Row],[CVN]])/100*Tabla15[[#This Row],[L]]</f>
        <v>6120.4049999999997</v>
      </c>
      <c r="BC196" s="74" t="s">
        <v>128</v>
      </c>
      <c r="BD196" s="294">
        <f>VLOOKUP(B196,Tabla467824[[ID CAE2]:[AE '[kWh']]],6,FALSE)</f>
        <v>5607.9989999999989</v>
      </c>
      <c r="BE19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97" spans="1:57" ht="51.75" x14ac:dyDescent="0.25">
      <c r="A197" s="53" t="s">
        <v>983</v>
      </c>
      <c r="B197" s="53" t="s">
        <v>983</v>
      </c>
      <c r="C197" s="332" t="s">
        <v>984</v>
      </c>
      <c r="D197" s="104" t="s">
        <v>72</v>
      </c>
      <c r="E197" s="104"/>
      <c r="F197" s="104" t="s">
        <v>72</v>
      </c>
      <c r="G197" s="104"/>
      <c r="H197" s="104" t="s">
        <v>72</v>
      </c>
      <c r="I197" s="104" t="s">
        <v>72</v>
      </c>
      <c r="J197" s="104"/>
      <c r="K197" s="96" t="s">
        <v>73</v>
      </c>
      <c r="L197" s="96" t="s">
        <v>200</v>
      </c>
      <c r="M197" s="96" t="s">
        <v>201</v>
      </c>
      <c r="N197" s="96" t="s">
        <v>160</v>
      </c>
      <c r="O197" s="101">
        <f>VLOOKUP(Tabla15[[#This Row],[Matricula Antigua]],BAJA2022202320242025!$B$3:$CR$245,93,FALSE)</f>
        <v>44250</v>
      </c>
      <c r="P197" s="316">
        <v>45711</v>
      </c>
      <c r="Q197" s="317">
        <f>Tabla15[[#This Row],[F.Vig.Final]]-Tabla15[[#This Row],[f Vig Inicio]]</f>
        <v>1461</v>
      </c>
      <c r="R197" s="318">
        <f>YEAR(Tabla15[[#This Row],[F.Vig.Final]])</f>
        <v>2025</v>
      </c>
      <c r="S197" s="96" t="s">
        <v>161</v>
      </c>
      <c r="T197" s="96" t="s">
        <v>78</v>
      </c>
      <c r="U197" s="96" t="s">
        <v>79</v>
      </c>
      <c r="V197" s="96" t="s">
        <v>924</v>
      </c>
      <c r="W197" s="96" t="s">
        <v>985</v>
      </c>
      <c r="X197" s="332" t="s">
        <v>986</v>
      </c>
      <c r="Y197" s="96" t="s">
        <v>987</v>
      </c>
      <c r="Z197" s="98">
        <f>COUNTIF($X$3:X197, X197)</f>
        <v>1</v>
      </c>
      <c r="AA197" s="337" t="s">
        <v>1661</v>
      </c>
      <c r="AB197" s="337" t="s">
        <v>1661</v>
      </c>
      <c r="AC197" s="337" t="s">
        <v>1662</v>
      </c>
      <c r="AD197" s="337" t="s">
        <v>1663</v>
      </c>
      <c r="AE197" s="339" t="s">
        <v>1664</v>
      </c>
      <c r="AF197" s="340" t="s">
        <v>1665</v>
      </c>
      <c r="AG197" s="340" t="s">
        <v>1666</v>
      </c>
      <c r="AH197" s="337" t="s">
        <v>1649</v>
      </c>
      <c r="AI197" s="337" t="s">
        <v>988</v>
      </c>
      <c r="AJ197" s="98" t="s">
        <v>85</v>
      </c>
      <c r="AK197" s="98" t="s">
        <v>86</v>
      </c>
      <c r="AL197" s="98" t="s">
        <v>87</v>
      </c>
      <c r="AM197" s="101" t="s">
        <v>987</v>
      </c>
      <c r="AN197" s="348" t="s">
        <v>89</v>
      </c>
      <c r="AO197" s="349">
        <v>45653</v>
      </c>
      <c r="AP197" s="98">
        <f>Tabla15[[#This Row],[Renov. Flota]]-Tabla15[[#This Row],[Año]]</f>
        <v>-1</v>
      </c>
      <c r="AQ197" s="100" t="s">
        <v>985</v>
      </c>
      <c r="AR197" s="100" t="str">
        <f>VLOOKUP(Tabla15[[#This Row],[Matricula nueva]],'ALTA 20242025'!$B$2:$P$242,15,FALSE)</f>
        <v>4500426843</v>
      </c>
      <c r="AS197" s="101" t="s">
        <v>986</v>
      </c>
      <c r="AT197" s="101"/>
      <c r="AU197" s="101" t="s">
        <v>72</v>
      </c>
      <c r="AV197" s="101" t="s">
        <v>91</v>
      </c>
      <c r="AW197" s="101" t="str">
        <f>VLOOKUP(Tabla15[[#This Row],[Matricula nueva]],Hoja2!$A$1:$B$224,2,FALSE)</f>
        <v>VF1RFK00773824876</v>
      </c>
      <c r="AX197" s="209">
        <v>5.6</v>
      </c>
      <c r="AY197" s="208">
        <f t="shared" si="10"/>
        <v>10</v>
      </c>
      <c r="AZ197" s="313">
        <v>17.3</v>
      </c>
      <c r="BA197" s="314">
        <f>IF(Tabla15[[#This Row],[Columna2]]="M1",13073,IF(Tabla15[[#This Row],[Columna2]]="N1",15815,IF(Tabla15[[#This Row],[Columna2]]="L3e",2831,53508)))</f>
        <v>15815</v>
      </c>
      <c r="BB197" s="350">
        <f>(Tabla15[[#This Row],[CVA]]*Tabla15[[#This Row],[F]]-Tabla15[[#This Row],[CVN]])/100*Tabla15[[#This Row],[L]]</f>
        <v>6120.4049999999997</v>
      </c>
      <c r="BC197" s="74" t="s">
        <v>128</v>
      </c>
      <c r="BD197" s="294">
        <f>VLOOKUP(B197,Tabla467824[[ID CAE2]:[AE '[kWh']]],6,FALSE)</f>
        <v>5607.9989999999989</v>
      </c>
      <c r="BE19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98" spans="1:57" ht="52.5" thickBot="1" x14ac:dyDescent="0.3">
      <c r="A198" s="53" t="s">
        <v>991</v>
      </c>
      <c r="B198" s="53" t="s">
        <v>991</v>
      </c>
      <c r="C198" s="332" t="s">
        <v>992</v>
      </c>
      <c r="D198" s="104" t="s">
        <v>72</v>
      </c>
      <c r="E198" s="104"/>
      <c r="F198" s="104" t="s">
        <v>72</v>
      </c>
      <c r="G198" s="104"/>
      <c r="H198" s="104" t="s">
        <v>249</v>
      </c>
      <c r="I198" s="104" t="s">
        <v>249</v>
      </c>
      <c r="J198" s="104"/>
      <c r="K198" s="96" t="s">
        <v>73</v>
      </c>
      <c r="L198" s="96" t="s">
        <v>200</v>
      </c>
      <c r="M198" s="96" t="s">
        <v>201</v>
      </c>
      <c r="N198" s="96" t="s">
        <v>76</v>
      </c>
      <c r="O198" s="101">
        <f>VLOOKUP(Tabla15[[#This Row],[Matricula Antigua]],BAJA2022202320242025!$B$3:$CR$245,93,FALSE)</f>
        <v>44228</v>
      </c>
      <c r="P198" s="316">
        <v>45716</v>
      </c>
      <c r="Q198" s="317">
        <f>Tabla15[[#This Row],[F.Vig.Final]]-Tabla15[[#This Row],[f Vig Inicio]]</f>
        <v>1488</v>
      </c>
      <c r="R198" s="318">
        <f>YEAR(Tabla15[[#This Row],[F.Vig.Final]])</f>
        <v>2025</v>
      </c>
      <c r="S198" s="96" t="s">
        <v>77</v>
      </c>
      <c r="T198" s="96" t="s">
        <v>78</v>
      </c>
      <c r="U198" s="96" t="s">
        <v>79</v>
      </c>
      <c r="V198" s="96" t="s">
        <v>924</v>
      </c>
      <c r="W198" s="96" t="s">
        <v>102</v>
      </c>
      <c r="X198" s="332" t="s">
        <v>1667</v>
      </c>
      <c r="Y198" s="96" t="s">
        <v>993</v>
      </c>
      <c r="Z198" s="98">
        <f>COUNTIF($X$3:X198, X198)</f>
        <v>41</v>
      </c>
      <c r="AA198" s="337" t="s">
        <v>1668</v>
      </c>
      <c r="AB198" s="337" t="s">
        <v>1668</v>
      </c>
      <c r="AC198" s="337" t="s">
        <v>1669</v>
      </c>
      <c r="AD198" s="341" t="s">
        <v>1670</v>
      </c>
      <c r="AE198" s="342" t="s">
        <v>1671</v>
      </c>
      <c r="AF198" s="337" t="s">
        <v>1672</v>
      </c>
      <c r="AG198" s="344" t="s">
        <v>1673</v>
      </c>
      <c r="AH198" s="337" t="s">
        <v>1649</v>
      </c>
      <c r="AI198" s="337" t="s">
        <v>994</v>
      </c>
      <c r="AJ198" s="98" t="s">
        <v>85</v>
      </c>
      <c r="AK198" s="98" t="s">
        <v>86</v>
      </c>
      <c r="AL198" s="98" t="s">
        <v>87</v>
      </c>
      <c r="AM198" s="101" t="s">
        <v>301</v>
      </c>
      <c r="AN198" s="348" t="s">
        <v>89</v>
      </c>
      <c r="AO198" s="349">
        <v>45625</v>
      </c>
      <c r="AP198" s="98">
        <f>Tabla15[[#This Row],[Renov. Flota]]-Tabla15[[#This Row],[Año]]</f>
        <v>-1</v>
      </c>
      <c r="AQ198" s="100" t="s">
        <v>102</v>
      </c>
      <c r="AR198" s="100" t="str">
        <f>VLOOKUP(Tabla15[[#This Row],[Matricula nueva]],'ALTA 20242025'!$B$2:$P$242,15,FALSE)</f>
        <v>4500426782</v>
      </c>
      <c r="AS198" s="101" t="s">
        <v>103</v>
      </c>
      <c r="AT198" s="101"/>
      <c r="AU198" s="101" t="s">
        <v>72</v>
      </c>
      <c r="AV198" s="101" t="s">
        <v>109</v>
      </c>
      <c r="AW198" s="101" t="str">
        <f>VLOOKUP(Tabla15[[#This Row],[Matricula nueva]],Hoja2!$A$1:$B$224,2,FALSE)</f>
        <v>VF1RFK00273824798</v>
      </c>
      <c r="AX198" s="209">
        <v>5.6</v>
      </c>
      <c r="AY198" s="208">
        <f t="shared" si="10"/>
        <v>10</v>
      </c>
      <c r="AZ198" s="313">
        <v>17.3</v>
      </c>
      <c r="BA198" s="314">
        <f>IF(Tabla15[[#This Row],[Columna2]]="M1",13073,IF(Tabla15[[#This Row],[Columna2]]="N1",15815,IF(Tabla15[[#This Row],[Columna2]]="L3e",2831,53508)))</f>
        <v>15815</v>
      </c>
      <c r="BB198" s="350">
        <f>(Tabla15[[#This Row],[CVA]]*Tabla15[[#This Row],[F]]-Tabla15[[#This Row],[CVN]])/100*Tabla15[[#This Row],[L]]</f>
        <v>6120.4049999999997</v>
      </c>
      <c r="BC198" s="79" t="s">
        <v>128</v>
      </c>
      <c r="BD198" s="294">
        <f>VLOOKUP(B198,Tabla467824[[ID CAE2]:[AE '[kWh']]],6,FALSE)</f>
        <v>5607.9989999999989</v>
      </c>
      <c r="BE19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199" spans="1:57" ht="15.75" hidden="1" thickBot="1" x14ac:dyDescent="0.3">
      <c r="A199" s="53" t="s">
        <v>1319</v>
      </c>
      <c r="B199" s="53" t="e">
        <v>#N/A</v>
      </c>
      <c r="C199" s="96" t="s">
        <v>1320</v>
      </c>
      <c r="D199" s="96"/>
      <c r="E199" s="96"/>
      <c r="F199" s="96"/>
      <c r="G199" s="96"/>
      <c r="H199" s="96"/>
      <c r="I199" s="96"/>
      <c r="J199" s="96"/>
      <c r="K199" s="96" t="s">
        <v>73</v>
      </c>
      <c r="L199" s="96" t="s">
        <v>200</v>
      </c>
      <c r="M199" s="96" t="s">
        <v>201</v>
      </c>
      <c r="N199" s="96" t="s">
        <v>160</v>
      </c>
      <c r="O199" s="101">
        <f>VLOOKUP(Tabla15[[#This Row],[Matricula Antigua]],BAJA2022202320242025!$B$3:$CR$245,93,FALSE)</f>
        <v>44260</v>
      </c>
      <c r="P199" s="99">
        <v>45721</v>
      </c>
      <c r="Q199" s="98">
        <f>Tabla15[[#This Row],[F.Vig.Final]]-Tabla15[[#This Row],[f Vig Inicio]]</f>
        <v>1461</v>
      </c>
      <c r="R199" s="99">
        <f>YEAR(Tabla15[[#This Row],[F.Vig.Final]])</f>
        <v>2025</v>
      </c>
      <c r="S199" s="96" t="s">
        <v>161</v>
      </c>
      <c r="T199" s="96" t="s">
        <v>78</v>
      </c>
      <c r="U199" s="96" t="s">
        <v>79</v>
      </c>
      <c r="V199" s="96" t="s">
        <v>924</v>
      </c>
      <c r="W199" s="96" t="s">
        <v>584</v>
      </c>
      <c r="X199" s="96" t="s">
        <v>585</v>
      </c>
      <c r="Y199" s="96" t="s">
        <v>1321</v>
      </c>
      <c r="Z199" s="98">
        <f>COUNTIF($X$3:X199, X199)</f>
        <v>17</v>
      </c>
      <c r="AA199" s="98"/>
      <c r="AB199" s="98"/>
      <c r="AC199" s="98"/>
      <c r="AD199" s="98"/>
      <c r="AE199" s="321"/>
      <c r="AF199" s="321"/>
      <c r="AG199" s="320"/>
      <c r="AH199" s="98"/>
      <c r="AI199" s="98" t="e">
        <v>#N/A</v>
      </c>
      <c r="AJ199" s="98" t="e">
        <v>#N/A</v>
      </c>
      <c r="AK199" s="98" t="e">
        <v>#N/A</v>
      </c>
      <c r="AL199" s="98" t="e">
        <v>#N/A</v>
      </c>
      <c r="AM199" s="98" t="e">
        <v>#N/A</v>
      </c>
      <c r="AN199" s="99" t="e">
        <v>#N/A</v>
      </c>
      <c r="AO199" s="99" t="e">
        <v>#N/A</v>
      </c>
      <c r="AP199" s="99" t="e">
        <f>Tabla15[[#This Row],[Renov. Flota]]-Tabla15[[#This Row],[Año]]</f>
        <v>#N/A</v>
      </c>
      <c r="AQ199" s="100" t="e">
        <v>#N/A</v>
      </c>
      <c r="AR199" s="100" t="e">
        <f>VLOOKUP(Tabla15[[#This Row],[Matricula nueva]],'ALTA 20242025'!$B$2:$P$242,15,FALSE)</f>
        <v>#N/A</v>
      </c>
      <c r="AS199" s="101" t="e">
        <v>#N/A</v>
      </c>
      <c r="AT199" s="101"/>
      <c r="AU199" s="101"/>
      <c r="AV199" s="101"/>
      <c r="AW199" s="101" t="e">
        <f>VLOOKUP(Tabla15[[#This Row],[Matricula nueva]],Hoja2!$A$1:$B$224,2,FALSE)</f>
        <v>#N/A</v>
      </c>
      <c r="AX199" s="101" t="str">
        <f>IF(Tabla15[[#This Row],[Columna2]]="M1",5.1,"")</f>
        <v/>
      </c>
      <c r="AY199" s="101"/>
      <c r="AZ199" s="101"/>
      <c r="BA199" s="311">
        <f>IF(Tabla15[[#This Row],[Columna2]]="M1",13073,IF(Tabla15[[#This Row],[Columna2]]="N1",15815,IF(Tabla15[[#This Row],[Columna2]]="L3e",2831,53508)))</f>
        <v>53508</v>
      </c>
      <c r="BB199" s="311" t="e">
        <f>(Tabla15[[#This Row],[CVA]]*Tabla15[[#This Row],[F]]-Tabla15[[#This Row],[CVN]])/100*Tabla15[[#This Row],[L]]</f>
        <v>#VALUE!</v>
      </c>
      <c r="BC199" s="1"/>
      <c r="BD199" s="1" t="e">
        <f>VLOOKUP(B199,Tabla467824[[ID CAE2]:[AE '[kWh']]],6,FALSE)</f>
        <v>#N/A</v>
      </c>
      <c r="BE19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00" spans="1:57" ht="52.5" thickBot="1" x14ac:dyDescent="0.3">
      <c r="A200" s="53" t="s">
        <v>997</v>
      </c>
      <c r="B200" s="53" t="s">
        <v>997</v>
      </c>
      <c r="C200" s="332" t="s">
        <v>998</v>
      </c>
      <c r="D200" s="104" t="s">
        <v>72</v>
      </c>
      <c r="E200" s="104"/>
      <c r="F200" s="104" t="s">
        <v>72</v>
      </c>
      <c r="G200" s="104"/>
      <c r="H200" s="104" t="s">
        <v>249</v>
      </c>
      <c r="I200" s="104" t="s">
        <v>249</v>
      </c>
      <c r="J200" s="104"/>
      <c r="K200" s="96" t="s">
        <v>73</v>
      </c>
      <c r="L200" s="96" t="s">
        <v>200</v>
      </c>
      <c r="M200" s="96" t="s">
        <v>201</v>
      </c>
      <c r="N200" s="96" t="s">
        <v>160</v>
      </c>
      <c r="O200" s="101">
        <f>VLOOKUP(Tabla15[[#This Row],[Matricula Antigua]],BAJA2022202320242025!$B$3:$CR$245,93,FALSE)</f>
        <v>44270</v>
      </c>
      <c r="P200" s="316">
        <v>45731</v>
      </c>
      <c r="Q200" s="317">
        <f>Tabla15[[#This Row],[F.Vig.Final]]-Tabla15[[#This Row],[f Vig Inicio]]</f>
        <v>1461</v>
      </c>
      <c r="R200" s="318">
        <f>YEAR(Tabla15[[#This Row],[F.Vig.Final]])</f>
        <v>2025</v>
      </c>
      <c r="S200" s="96" t="s">
        <v>161</v>
      </c>
      <c r="T200" s="96" t="s">
        <v>78</v>
      </c>
      <c r="U200" s="96" t="s">
        <v>79</v>
      </c>
      <c r="V200" s="96" t="s">
        <v>924</v>
      </c>
      <c r="W200" s="96" t="s">
        <v>102</v>
      </c>
      <c r="X200" s="332" t="s">
        <v>1667</v>
      </c>
      <c r="Y200" s="96" t="s">
        <v>669</v>
      </c>
      <c r="Z200" s="98">
        <f>COUNTIF($X$3:X200, X200)</f>
        <v>42</v>
      </c>
      <c r="AA200" s="337" t="s">
        <v>1668</v>
      </c>
      <c r="AB200" s="337" t="s">
        <v>1668</v>
      </c>
      <c r="AC200" s="337" t="s">
        <v>1669</v>
      </c>
      <c r="AD200" s="341" t="s">
        <v>1670</v>
      </c>
      <c r="AE200" s="342" t="s">
        <v>1671</v>
      </c>
      <c r="AF200" s="337" t="s">
        <v>1672</v>
      </c>
      <c r="AG200" s="344" t="s">
        <v>1673</v>
      </c>
      <c r="AH200" s="337" t="s">
        <v>1649</v>
      </c>
      <c r="AI200" s="337" t="s">
        <v>999</v>
      </c>
      <c r="AJ200" s="98" t="s">
        <v>85</v>
      </c>
      <c r="AK200" s="98" t="s">
        <v>86</v>
      </c>
      <c r="AL200" s="98" t="s">
        <v>87</v>
      </c>
      <c r="AM200" s="101" t="s">
        <v>301</v>
      </c>
      <c r="AN200" s="348" t="s">
        <v>89</v>
      </c>
      <c r="AO200" s="349">
        <v>45625</v>
      </c>
      <c r="AP200" s="98">
        <f>Tabla15[[#This Row],[Renov. Flota]]-Tabla15[[#This Row],[Año]]</f>
        <v>-1</v>
      </c>
      <c r="AQ200" s="100" t="s">
        <v>102</v>
      </c>
      <c r="AR200" s="100" t="str">
        <f>VLOOKUP(Tabla15[[#This Row],[Matricula nueva]],'ALTA 20242025'!$B$2:$P$242,15,FALSE)</f>
        <v>4500426759</v>
      </c>
      <c r="AS200" s="101" t="s">
        <v>103</v>
      </c>
      <c r="AT200" s="101"/>
      <c r="AU200" s="101" t="s">
        <v>72</v>
      </c>
      <c r="AV200" s="101" t="s">
        <v>109</v>
      </c>
      <c r="AW200" s="101" t="str">
        <f>VLOOKUP(Tabla15[[#This Row],[Matricula nueva]],Hoja2!$A$1:$B$224,2,FALSE)</f>
        <v>VF1RFK00X73824788</v>
      </c>
      <c r="AX200" s="209">
        <v>5.6</v>
      </c>
      <c r="AY200" s="208">
        <f>IF(T200="DIESEL",10,IF(T200="GLP",7.16,9.19))</f>
        <v>10</v>
      </c>
      <c r="AZ200" s="313">
        <v>17.3</v>
      </c>
      <c r="BA200" s="314">
        <f>IF(Tabla15[[#This Row],[Columna2]]="M1",13073,IF(Tabla15[[#This Row],[Columna2]]="N1",15815,IF(Tabla15[[#This Row],[Columna2]]="L3e",2831,53508)))</f>
        <v>15815</v>
      </c>
      <c r="BB200" s="350">
        <f>(Tabla15[[#This Row],[CVA]]*Tabla15[[#This Row],[F]]-Tabla15[[#This Row],[CVN]])/100*Tabla15[[#This Row],[L]]</f>
        <v>6120.4049999999997</v>
      </c>
      <c r="BC200" s="84" t="s">
        <v>128</v>
      </c>
      <c r="BD200" s="294">
        <f>VLOOKUP(B200,Tabla467824[[ID CAE2]:[AE '[kWh']]],6,FALSE)</f>
        <v>5607.9989999999989</v>
      </c>
      <c r="BE20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01" spans="1:57" ht="15.75" hidden="1" thickBot="1" x14ac:dyDescent="0.3">
      <c r="A201" s="53" t="s">
        <v>1322</v>
      </c>
      <c r="B201" s="53" t="e">
        <v>#N/A</v>
      </c>
      <c r="C201" s="96" t="s">
        <v>1323</v>
      </c>
      <c r="D201" s="96"/>
      <c r="E201" s="96"/>
      <c r="F201" s="96"/>
      <c r="G201" s="96"/>
      <c r="H201" s="96"/>
      <c r="I201" s="96"/>
      <c r="J201" s="96"/>
      <c r="K201" s="96" t="s">
        <v>129</v>
      </c>
      <c r="L201" s="96" t="s">
        <v>74</v>
      </c>
      <c r="M201" s="96" t="s">
        <v>75</v>
      </c>
      <c r="N201" s="96" t="s">
        <v>160</v>
      </c>
      <c r="O201" s="101">
        <f>VLOOKUP(Tabla15[[#This Row],[Matricula Antigua]],BAJA2022202320242025!$B$3:$CR$245,93,FALSE)</f>
        <v>45491</v>
      </c>
      <c r="P201" s="99">
        <v>45657</v>
      </c>
      <c r="Q201" s="98">
        <f>Tabla15[[#This Row],[F.Vig.Final]]-Tabla15[[#This Row],[f Vig Inicio]]</f>
        <v>166</v>
      </c>
      <c r="R201" s="99">
        <f>YEAR(Tabla15[[#This Row],[F.Vig.Final]])</f>
        <v>2024</v>
      </c>
      <c r="S201" s="96" t="s">
        <v>161</v>
      </c>
      <c r="T201" s="96" t="s">
        <v>78</v>
      </c>
      <c r="U201" s="96" t="s">
        <v>79</v>
      </c>
      <c r="V201" s="96" t="s">
        <v>918</v>
      </c>
      <c r="W201" s="96" t="s">
        <v>131</v>
      </c>
      <c r="X201" s="96" t="s">
        <v>132</v>
      </c>
      <c r="Y201" s="96" t="s">
        <v>135</v>
      </c>
      <c r="Z201" s="98">
        <f>COUNTIF($X$3:X201, X201)</f>
        <v>13</v>
      </c>
      <c r="AA201" s="98"/>
      <c r="AB201" s="98"/>
      <c r="AC201" s="98"/>
      <c r="AD201" s="98"/>
      <c r="AE201" s="321"/>
      <c r="AF201" s="322"/>
      <c r="AG201" s="98"/>
      <c r="AH201" s="98"/>
      <c r="AI201" s="98" t="e">
        <v>#N/A</v>
      </c>
      <c r="AJ201" s="98" t="e">
        <v>#N/A</v>
      </c>
      <c r="AK201" s="98" t="e">
        <v>#N/A</v>
      </c>
      <c r="AL201" s="98" t="e">
        <v>#N/A</v>
      </c>
      <c r="AM201" s="98" t="e">
        <v>#N/A</v>
      </c>
      <c r="AN201" s="99" t="e">
        <v>#N/A</v>
      </c>
      <c r="AO201" s="99" t="e">
        <v>#N/A</v>
      </c>
      <c r="AP201" s="99" t="e">
        <f>Tabla15[[#This Row],[Renov. Flota]]-Tabla15[[#This Row],[Año]]</f>
        <v>#N/A</v>
      </c>
      <c r="AQ201" s="100" t="e">
        <v>#N/A</v>
      </c>
      <c r="AR201" s="100" t="e">
        <f>VLOOKUP(Tabla15[[#This Row],[Matricula nueva]],'ALTA 20242025'!$B$2:$P$242,15,FALSE)</f>
        <v>#N/A</v>
      </c>
      <c r="AS201" s="101" t="e">
        <v>#N/A</v>
      </c>
      <c r="AT201" s="101"/>
      <c r="AU201" s="101"/>
      <c r="AV201" s="101"/>
      <c r="AW201" s="101" t="e">
        <f>VLOOKUP(Tabla15[[#This Row],[Matricula nueva]],Hoja2!$A$1:$B$224,2,FALSE)</f>
        <v>#N/A</v>
      </c>
      <c r="AX201" s="101" t="str">
        <f>IF(Tabla15[[#This Row],[Columna2]]="M1",5.1,"")</f>
        <v/>
      </c>
      <c r="AY201" s="101"/>
      <c r="AZ201" s="101"/>
      <c r="BA201" s="311">
        <f>IF(Tabla15[[#This Row],[Columna2]]="M1",13073,IF(Tabla15[[#This Row],[Columna2]]="N1",15815,IF(Tabla15[[#This Row],[Columna2]]="L3e",2831,53508)))</f>
        <v>53508</v>
      </c>
      <c r="BB201" s="311" t="e">
        <f>(Tabla15[[#This Row],[CVA]]*Tabla15[[#This Row],[F]]-Tabla15[[#This Row],[CVN]])/100*Tabla15[[#This Row],[L]]</f>
        <v>#VALUE!</v>
      </c>
      <c r="BC201" s="1"/>
      <c r="BD201" s="1" t="e">
        <f>VLOOKUP(B201,Tabla467824[[ID CAE2]:[AE '[kWh']]],6,FALSE)</f>
        <v>#N/A</v>
      </c>
      <c r="BE20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02" spans="1:57" ht="51.75" x14ac:dyDescent="0.25">
      <c r="A202" s="53" t="s">
        <v>1002</v>
      </c>
      <c r="B202" s="53" t="s">
        <v>1002</v>
      </c>
      <c r="C202" s="332" t="s">
        <v>1003</v>
      </c>
      <c r="D202" s="104" t="s">
        <v>72</v>
      </c>
      <c r="E202" s="104"/>
      <c r="F202" s="104" t="s">
        <v>72</v>
      </c>
      <c r="G202" s="104"/>
      <c r="H202" s="104" t="s">
        <v>249</v>
      </c>
      <c r="I202" s="104" t="s">
        <v>249</v>
      </c>
      <c r="J202" s="104"/>
      <c r="K202" s="96" t="s">
        <v>73</v>
      </c>
      <c r="L202" s="96" t="s">
        <v>200</v>
      </c>
      <c r="M202" s="96" t="s">
        <v>201</v>
      </c>
      <c r="N202" s="96" t="s">
        <v>76</v>
      </c>
      <c r="O202" s="101">
        <f>VLOOKUP(Tabla15[[#This Row],[Matricula Antigua]],BAJA2022202320242025!$B$3:$CR$245,93,FALSE)</f>
        <v>44266</v>
      </c>
      <c r="P202" s="316">
        <v>45747</v>
      </c>
      <c r="Q202" s="317">
        <f>Tabla15[[#This Row],[F.Vig.Final]]-Tabla15[[#This Row],[f Vig Inicio]]</f>
        <v>1481</v>
      </c>
      <c r="R202" s="318">
        <f>YEAR(Tabla15[[#This Row],[F.Vig.Final]])</f>
        <v>2025</v>
      </c>
      <c r="S202" s="96" t="s">
        <v>77</v>
      </c>
      <c r="T202" s="96" t="s">
        <v>78</v>
      </c>
      <c r="U202" s="96" t="s">
        <v>79</v>
      </c>
      <c r="V202" s="96" t="s">
        <v>924</v>
      </c>
      <c r="W202" s="96" t="s">
        <v>308</v>
      </c>
      <c r="X202" s="332" t="s">
        <v>309</v>
      </c>
      <c r="Y202" s="96" t="s">
        <v>1004</v>
      </c>
      <c r="Z202" s="98">
        <f>COUNTIF($X$3:X202, X202)</f>
        <v>7</v>
      </c>
      <c r="AA202" s="337" t="s">
        <v>1661</v>
      </c>
      <c r="AB202" s="337" t="s">
        <v>1661</v>
      </c>
      <c r="AC202" s="337" t="s">
        <v>1662</v>
      </c>
      <c r="AD202" s="337" t="s">
        <v>1663</v>
      </c>
      <c r="AE202" s="342" t="s">
        <v>1664</v>
      </c>
      <c r="AF202" s="337" t="s">
        <v>1665</v>
      </c>
      <c r="AG202" s="337" t="s">
        <v>1666</v>
      </c>
      <c r="AH202" s="337" t="s">
        <v>1649</v>
      </c>
      <c r="AI202" s="337" t="s">
        <v>1005</v>
      </c>
      <c r="AJ202" s="98" t="s">
        <v>85</v>
      </c>
      <c r="AK202" s="98" t="s">
        <v>86</v>
      </c>
      <c r="AL202" s="98" t="s">
        <v>87</v>
      </c>
      <c r="AM202" s="101" t="s">
        <v>310</v>
      </c>
      <c r="AN202" s="348" t="s">
        <v>89</v>
      </c>
      <c r="AO202" s="349">
        <v>45652</v>
      </c>
      <c r="AP202" s="98">
        <f>Tabla15[[#This Row],[Renov. Flota]]-Tabla15[[#This Row],[Año]]</f>
        <v>-1</v>
      </c>
      <c r="AQ202" s="100" t="s">
        <v>308</v>
      </c>
      <c r="AR202" s="100" t="str">
        <f>VLOOKUP(Tabla15[[#This Row],[Matricula nueva]],'ALTA 20242025'!$B$2:$P$242,15,FALSE)</f>
        <v>X</v>
      </c>
      <c r="AS202" s="101" t="s">
        <v>309</v>
      </c>
      <c r="AT202" s="101"/>
      <c r="AU202" s="101" t="s">
        <v>72</v>
      </c>
      <c r="AV202" s="101" t="s">
        <v>91</v>
      </c>
      <c r="AW202" s="101" t="str">
        <f>VLOOKUP(Tabla15[[#This Row],[Matricula nueva]],Hoja2!$A$1:$B$224,2,FALSE)</f>
        <v>VF1RFK00673934270</v>
      </c>
      <c r="AX202" s="209">
        <v>5.6</v>
      </c>
      <c r="AY202" s="208">
        <f>IF(T202="DIESEL",10,IF(T202="GLP",7.16,9.19))</f>
        <v>10</v>
      </c>
      <c r="AZ202" s="313">
        <v>17.3</v>
      </c>
      <c r="BA202" s="314">
        <f>IF(Tabla15[[#This Row],[Columna2]]="M1",13073,IF(Tabla15[[#This Row],[Columna2]]="N1",15815,IF(Tabla15[[#This Row],[Columna2]]="L3e",2831,53508)))</f>
        <v>15815</v>
      </c>
      <c r="BB202" s="350">
        <f>(Tabla15[[#This Row],[CVA]]*Tabla15[[#This Row],[F]]-Tabla15[[#This Row],[CVN]])/100*Tabla15[[#This Row],[L]]</f>
        <v>6120.4049999999997</v>
      </c>
      <c r="BC202" s="69" t="s">
        <v>128</v>
      </c>
      <c r="BD202" s="294">
        <f>VLOOKUP(B202,Tabla467824[[ID CAE2]:[AE '[kWh']]],6,FALSE)</f>
        <v>5607.9989999999989</v>
      </c>
      <c r="BE20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03" spans="1:57" ht="51.75" x14ac:dyDescent="0.25">
      <c r="A203" s="53" t="s">
        <v>1007</v>
      </c>
      <c r="B203" s="53" t="s">
        <v>1007</v>
      </c>
      <c r="C203" s="332" t="s">
        <v>1008</v>
      </c>
      <c r="D203" s="104" t="s">
        <v>72</v>
      </c>
      <c r="E203" s="104" t="s">
        <v>72</v>
      </c>
      <c r="F203" s="104" t="s">
        <v>72</v>
      </c>
      <c r="G203" s="104"/>
      <c r="H203" s="104" t="s">
        <v>72</v>
      </c>
      <c r="I203" s="104" t="s">
        <v>72</v>
      </c>
      <c r="J203" s="104"/>
      <c r="K203" s="96" t="s">
        <v>129</v>
      </c>
      <c r="L203" s="96" t="s">
        <v>74</v>
      </c>
      <c r="M203" s="96" t="s">
        <v>75</v>
      </c>
      <c r="N203" s="96" t="s">
        <v>76</v>
      </c>
      <c r="O203" s="99">
        <f>VLOOKUP(Tabla15[[#This Row],[Matricula Antigua]],BAJA2022202320242025!$B$3:$CR$245,93,FALSE)</f>
        <v>44069</v>
      </c>
      <c r="P203" s="316">
        <v>45245</v>
      </c>
      <c r="Q203" s="317">
        <f>Tabla15[[#This Row],[F.Vig.Final]]-Tabla15[[#This Row],[f Vig Inicio]]</f>
        <v>1176</v>
      </c>
      <c r="R203" s="318">
        <f>YEAR(Tabla15[[#This Row],[F.Vig.Final]])</f>
        <v>2023</v>
      </c>
      <c r="S203" s="96" t="s">
        <v>77</v>
      </c>
      <c r="T203" s="96" t="s">
        <v>78</v>
      </c>
      <c r="U203" s="96" t="s">
        <v>380</v>
      </c>
      <c r="V203" s="96" t="s">
        <v>1010</v>
      </c>
      <c r="W203" s="96" t="s">
        <v>131</v>
      </c>
      <c r="X203" s="332" t="s">
        <v>132</v>
      </c>
      <c r="Y203" s="96" t="s">
        <v>622</v>
      </c>
      <c r="Z203" s="98">
        <f>COUNTIF($X$3:X203, X203)</f>
        <v>14</v>
      </c>
      <c r="AA203" s="337" t="s">
        <v>1661</v>
      </c>
      <c r="AB203" s="337" t="s">
        <v>1661</v>
      </c>
      <c r="AC203" s="337" t="s">
        <v>1662</v>
      </c>
      <c r="AD203" s="333" t="s">
        <v>1675</v>
      </c>
      <c r="AE203" s="347" t="s">
        <v>1664</v>
      </c>
      <c r="AF203" s="337" t="s">
        <v>1676</v>
      </c>
      <c r="AG203" s="337" t="s">
        <v>1677</v>
      </c>
      <c r="AH203" s="337" t="s">
        <v>1649</v>
      </c>
      <c r="AI203" s="337" t="s">
        <v>1011</v>
      </c>
      <c r="AJ203" s="98" t="s">
        <v>85</v>
      </c>
      <c r="AK203" s="98" t="s">
        <v>86</v>
      </c>
      <c r="AL203" s="98" t="s">
        <v>87</v>
      </c>
      <c r="AM203" s="101" t="s">
        <v>610</v>
      </c>
      <c r="AN203" s="348" t="s">
        <v>89</v>
      </c>
      <c r="AO203" s="349">
        <v>45625</v>
      </c>
      <c r="AP203" s="98">
        <f>Tabla15[[#This Row],[Renov. Flota]]-Tabla15[[#This Row],[Año]]</f>
        <v>1</v>
      </c>
      <c r="AQ203" s="100" t="s">
        <v>131</v>
      </c>
      <c r="AR203" s="100" t="str">
        <f>VLOOKUP(Tabla15[[#This Row],[Matricula nueva]],'ALTA 20242025'!$B$2:$P$242,15,FALSE)</f>
        <v>4500426785</v>
      </c>
      <c r="AS203" s="101" t="s">
        <v>132</v>
      </c>
      <c r="AT203" s="101"/>
      <c r="AU203" s="101" t="s">
        <v>72</v>
      </c>
      <c r="AV203" s="101" t="s">
        <v>91</v>
      </c>
      <c r="AW203" s="101" t="str">
        <f>VLOOKUP(Tabla15[[#This Row],[Matricula nueva]],Hoja2!$A$1:$B$224,2,FALSE)</f>
        <v>VF1RFK00273824817</v>
      </c>
      <c r="AX203" s="209">
        <v>5.6</v>
      </c>
      <c r="AY203" s="208">
        <f>IF(T203="DIESEL",10,IF(T203="GLP",7.16,9.19))</f>
        <v>10</v>
      </c>
      <c r="AZ203" s="313">
        <v>17.3</v>
      </c>
      <c r="BA203" s="314">
        <f>IF(Tabla15[[#This Row],[Columna2]]="M1",13073,IF(Tabla15[[#This Row],[Columna2]]="N1",15815,IF(Tabla15[[#This Row],[Columna2]]="L3e",2831,53508)))</f>
        <v>15815</v>
      </c>
      <c r="BB203" s="350">
        <f>(Tabla15[[#This Row],[CVA]]*Tabla15[[#This Row],[F]]-Tabla15[[#This Row],[CVN]])/100*Tabla15[[#This Row],[L]]</f>
        <v>6120.4049999999997</v>
      </c>
      <c r="BC203" s="74" t="s">
        <v>128</v>
      </c>
      <c r="BD203" s="294">
        <v>0</v>
      </c>
      <c r="BE20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04" spans="1:57" ht="52.5" thickBot="1" x14ac:dyDescent="0.3">
      <c r="A204" s="53" t="s">
        <v>1014</v>
      </c>
      <c r="B204" s="53" t="s">
        <v>1014</v>
      </c>
      <c r="C204" s="332" t="s">
        <v>1015</v>
      </c>
      <c r="D204" s="104" t="s">
        <v>72</v>
      </c>
      <c r="E204" s="104" t="s">
        <v>72</v>
      </c>
      <c r="F204" s="104" t="s">
        <v>72</v>
      </c>
      <c r="G204" s="104"/>
      <c r="H204" s="104" t="s">
        <v>72</v>
      </c>
      <c r="I204" s="104" t="s">
        <v>72</v>
      </c>
      <c r="J204" s="104"/>
      <c r="K204" s="96" t="s">
        <v>129</v>
      </c>
      <c r="L204" s="96" t="s">
        <v>74</v>
      </c>
      <c r="M204" s="96" t="s">
        <v>75</v>
      </c>
      <c r="N204" s="96" t="s">
        <v>76</v>
      </c>
      <c r="O204" s="99">
        <f>VLOOKUP(Tabla15[[#This Row],[Matricula Antigua]],BAJA2022202320242025!$B$3:$CR$245,93,FALSE)</f>
        <v>44340</v>
      </c>
      <c r="P204" s="316">
        <v>45292</v>
      </c>
      <c r="Q204" s="317">
        <f>Tabla15[[#This Row],[F.Vig.Final]]-Tabla15[[#This Row],[f Vig Inicio]]</f>
        <v>952</v>
      </c>
      <c r="R204" s="318">
        <f>YEAR(Tabla15[[#This Row],[F.Vig.Final]])</f>
        <v>2024</v>
      </c>
      <c r="S204" s="96" t="s">
        <v>77</v>
      </c>
      <c r="T204" s="96" t="s">
        <v>78</v>
      </c>
      <c r="U204" s="96" t="s">
        <v>380</v>
      </c>
      <c r="V204" s="96" t="s">
        <v>1016</v>
      </c>
      <c r="W204" s="96" t="s">
        <v>131</v>
      </c>
      <c r="X204" s="332" t="s">
        <v>132</v>
      </c>
      <c r="Y204" s="96" t="s">
        <v>135</v>
      </c>
      <c r="Z204" s="98">
        <f>COUNTIF($X$3:X204, X204)</f>
        <v>15</v>
      </c>
      <c r="AA204" s="337" t="s">
        <v>1661</v>
      </c>
      <c r="AB204" s="337" t="s">
        <v>1661</v>
      </c>
      <c r="AC204" s="337" t="s">
        <v>1662</v>
      </c>
      <c r="AD204" s="333" t="s">
        <v>1675</v>
      </c>
      <c r="AE204" s="347" t="s">
        <v>1664</v>
      </c>
      <c r="AF204" s="337" t="s">
        <v>1676</v>
      </c>
      <c r="AG204" s="337" t="s">
        <v>1677</v>
      </c>
      <c r="AH204" s="337" t="s">
        <v>1649</v>
      </c>
      <c r="AI204" s="337" t="s">
        <v>1017</v>
      </c>
      <c r="AJ204" s="98" t="s">
        <v>85</v>
      </c>
      <c r="AK204" s="98" t="s">
        <v>86</v>
      </c>
      <c r="AL204" s="98" t="s">
        <v>87</v>
      </c>
      <c r="AM204" s="101" t="s">
        <v>427</v>
      </c>
      <c r="AN204" s="348" t="s">
        <v>89</v>
      </c>
      <c r="AO204" s="349">
        <v>45625</v>
      </c>
      <c r="AP204" s="98">
        <f>Tabla15[[#This Row],[Renov. Flota]]-Tabla15[[#This Row],[Año]]</f>
        <v>0</v>
      </c>
      <c r="AQ204" s="100" t="s">
        <v>131</v>
      </c>
      <c r="AR204" s="100" t="str">
        <f>VLOOKUP(Tabla15[[#This Row],[Matricula nueva]],'ALTA 20242025'!$B$2:$P$242,15,FALSE)</f>
        <v>4500426851</v>
      </c>
      <c r="AS204" s="101" t="s">
        <v>132</v>
      </c>
      <c r="AT204" s="101"/>
      <c r="AU204" s="101" t="s">
        <v>72</v>
      </c>
      <c r="AV204" s="101" t="s">
        <v>91</v>
      </c>
      <c r="AW204" s="101" t="str">
        <f>VLOOKUP(Tabla15[[#This Row],[Matricula nueva]],Hoja2!$A$1:$B$224,2,FALSE)</f>
        <v>VF1RFK00873824823</v>
      </c>
      <c r="AX204" s="209">
        <v>5.6</v>
      </c>
      <c r="AY204" s="208">
        <f>IF(T204="DIESEL",10,IF(T204="GLP",7.16,9.19))</f>
        <v>10</v>
      </c>
      <c r="AZ204" s="313">
        <v>17.3</v>
      </c>
      <c r="BA204" s="314">
        <f>IF(Tabla15[[#This Row],[Columna2]]="M1",13073,IF(Tabla15[[#This Row],[Columna2]]="N1",15815,IF(Tabla15[[#This Row],[Columna2]]="L3e",2831,53508)))</f>
        <v>15815</v>
      </c>
      <c r="BB204" s="350">
        <f>(Tabla15[[#This Row],[CVA]]*Tabla15[[#This Row],[F]]-Tabla15[[#This Row],[CVN]])/100*Tabla15[[#This Row],[L]]</f>
        <v>6120.4049999999997</v>
      </c>
      <c r="BC204" s="79" t="s">
        <v>128</v>
      </c>
      <c r="BD204" s="294">
        <f>VLOOKUP(B204,Tabla467824[[ID CAE2]:[AE '[kWh']]],6,FALSE)</f>
        <v>5607.9989999999989</v>
      </c>
      <c r="BE20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05" spans="1:57" ht="15.75" hidden="1" thickBot="1" x14ac:dyDescent="0.3">
      <c r="A205" s="53" t="s">
        <v>1324</v>
      </c>
      <c r="B205" s="53" t="e">
        <v>#N/A</v>
      </c>
      <c r="C205" s="96" t="s">
        <v>1325</v>
      </c>
      <c r="D205" s="96"/>
      <c r="E205" s="96"/>
      <c r="F205" s="96"/>
      <c r="G205" s="96"/>
      <c r="H205" s="96"/>
      <c r="I205" s="96"/>
      <c r="J205" s="96"/>
      <c r="K205" s="96" t="s">
        <v>73</v>
      </c>
      <c r="L205" s="96" t="s">
        <v>200</v>
      </c>
      <c r="M205" s="96" t="s">
        <v>201</v>
      </c>
      <c r="N205" s="96" t="s">
        <v>76</v>
      </c>
      <c r="O205" s="101">
        <f>VLOOKUP(Tabla15[[#This Row],[Matricula Antigua]],BAJA2022202320242025!$B$3:$CR$245,93,FALSE)</f>
        <v>44260</v>
      </c>
      <c r="P205" s="99">
        <v>45747</v>
      </c>
      <c r="Q205" s="98">
        <f>Tabla15[[#This Row],[F.Vig.Final]]-Tabla15[[#This Row],[f Vig Inicio]]</f>
        <v>1487</v>
      </c>
      <c r="R205" s="99">
        <f>YEAR(Tabla15[[#This Row],[F.Vig.Final]])</f>
        <v>2025</v>
      </c>
      <c r="S205" s="96" t="s">
        <v>77</v>
      </c>
      <c r="T205" s="96" t="s">
        <v>78</v>
      </c>
      <c r="U205" s="96" t="s">
        <v>79</v>
      </c>
      <c r="V205" s="96" t="s">
        <v>924</v>
      </c>
      <c r="W205" s="96" t="s">
        <v>131</v>
      </c>
      <c r="X205" s="96" t="s">
        <v>132</v>
      </c>
      <c r="Y205" s="96" t="s">
        <v>427</v>
      </c>
      <c r="Z205" s="98">
        <f>COUNTIF($X$3:X205, X205)</f>
        <v>16</v>
      </c>
      <c r="AA205" s="98"/>
      <c r="AB205" s="98"/>
      <c r="AC205" s="98"/>
      <c r="AD205" s="98"/>
      <c r="AE205" s="320"/>
      <c r="AF205" s="320"/>
      <c r="AG205" s="320"/>
      <c r="AH205" s="98"/>
      <c r="AI205" s="98" t="e">
        <v>#N/A</v>
      </c>
      <c r="AJ205" s="98" t="e">
        <v>#N/A</v>
      </c>
      <c r="AK205" s="98" t="e">
        <v>#N/A</v>
      </c>
      <c r="AL205" s="98" t="e">
        <v>#N/A</v>
      </c>
      <c r="AM205" s="98" t="e">
        <v>#N/A</v>
      </c>
      <c r="AN205" s="99" t="e">
        <v>#N/A</v>
      </c>
      <c r="AO205" s="99" t="e">
        <v>#N/A</v>
      </c>
      <c r="AP205" s="99" t="e">
        <f>Tabla15[[#This Row],[Renov. Flota]]-Tabla15[[#This Row],[Año]]</f>
        <v>#N/A</v>
      </c>
      <c r="AQ205" s="100" t="e">
        <v>#N/A</v>
      </c>
      <c r="AR205" s="100" t="e">
        <f>VLOOKUP(Tabla15[[#This Row],[Matricula nueva]],'ALTA 20242025'!$B$2:$P$242,15,FALSE)</f>
        <v>#N/A</v>
      </c>
      <c r="AS205" s="101" t="e">
        <v>#N/A</v>
      </c>
      <c r="AT205" s="101"/>
      <c r="AU205" s="101"/>
      <c r="AV205" s="101"/>
      <c r="AW205" s="101" t="e">
        <f>VLOOKUP(Tabla15[[#This Row],[Matricula nueva]],Hoja2!$A$1:$B$224,2,FALSE)</f>
        <v>#N/A</v>
      </c>
      <c r="AX205" s="101" t="str">
        <f>IF(Tabla15[[#This Row],[Columna2]]="M1",5.1,"")</f>
        <v/>
      </c>
      <c r="AY205" s="101"/>
      <c r="AZ205" s="101"/>
      <c r="BA205" s="311">
        <f>IF(Tabla15[[#This Row],[Columna2]]="M1",13073,IF(Tabla15[[#This Row],[Columna2]]="N1",15815,IF(Tabla15[[#This Row],[Columna2]]="L3e",2831,53508)))</f>
        <v>53508</v>
      </c>
      <c r="BB205" s="311" t="e">
        <f>(Tabla15[[#This Row],[CVA]]*Tabla15[[#This Row],[F]]-Tabla15[[#This Row],[CVN]])/100*Tabla15[[#This Row],[L]]</f>
        <v>#VALUE!</v>
      </c>
      <c r="BC205" s="1"/>
      <c r="BD205" s="1" t="e">
        <f>VLOOKUP(B205,Tabla467824[[ID CAE2]:[AE '[kWh']]],6,FALSE)</f>
        <v>#N/A</v>
      </c>
      <c r="BE20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06" spans="1:57" ht="60" x14ac:dyDescent="0.25">
      <c r="A206" s="53" t="s">
        <v>1020</v>
      </c>
      <c r="B206" s="53" t="s">
        <v>1020</v>
      </c>
      <c r="C206" s="332" t="s">
        <v>1021</v>
      </c>
      <c r="D206" s="104" t="s">
        <v>72</v>
      </c>
      <c r="E206" s="104" t="s">
        <v>72</v>
      </c>
      <c r="F206" s="104" t="s">
        <v>72</v>
      </c>
      <c r="G206" s="104"/>
      <c r="H206" s="104"/>
      <c r="I206" s="104"/>
      <c r="J206" s="104"/>
      <c r="K206" s="96" t="s">
        <v>73</v>
      </c>
      <c r="L206" s="96" t="s">
        <v>74</v>
      </c>
      <c r="M206" s="96" t="s">
        <v>75</v>
      </c>
      <c r="N206" s="96" t="s">
        <v>76</v>
      </c>
      <c r="O206" s="99">
        <f>VLOOKUP(Tabla15[[#This Row],[Matricula Antigua]],BAJA2022202320242025!$B$3:$CR$245,93,FALSE)</f>
        <v>44978</v>
      </c>
      <c r="P206" s="316">
        <v>45345</v>
      </c>
      <c r="Q206" s="317">
        <f>Tabla15[[#This Row],[F.Vig.Final]]-Tabla15[[#This Row],[f Vig Inicio]]</f>
        <v>367</v>
      </c>
      <c r="R206" s="318">
        <f>YEAR(Tabla15[[#This Row],[F.Vig.Final]])</f>
        <v>2024</v>
      </c>
      <c r="S206" s="96" t="s">
        <v>77</v>
      </c>
      <c r="T206" s="96" t="s">
        <v>78</v>
      </c>
      <c r="U206" s="96" t="s">
        <v>359</v>
      </c>
      <c r="V206" s="96" t="s">
        <v>1022</v>
      </c>
      <c r="W206" s="96" t="s">
        <v>336</v>
      </c>
      <c r="X206" s="332" t="s">
        <v>337</v>
      </c>
      <c r="Y206" s="96" t="s">
        <v>880</v>
      </c>
      <c r="Z206" s="98">
        <f>COUNTIF($X$3:X206, X206)</f>
        <v>14</v>
      </c>
      <c r="AA206" s="337" t="s">
        <v>1661</v>
      </c>
      <c r="AB206" s="337" t="s">
        <v>1661</v>
      </c>
      <c r="AC206" s="337" t="s">
        <v>1662</v>
      </c>
      <c r="AD206" s="341" t="s">
        <v>1682</v>
      </c>
      <c r="AE206" s="347" t="s">
        <v>1664</v>
      </c>
      <c r="AF206" s="337" t="s">
        <v>1683</v>
      </c>
      <c r="AG206" s="337" t="s">
        <v>1684</v>
      </c>
      <c r="AH206" s="337" t="s">
        <v>1649</v>
      </c>
      <c r="AI206" s="337" t="s">
        <v>1023</v>
      </c>
      <c r="AJ206" s="98" t="s">
        <v>380</v>
      </c>
      <c r="AK206" s="98" t="s">
        <v>381</v>
      </c>
      <c r="AL206" s="98" t="s">
        <v>87</v>
      </c>
      <c r="AM206" s="101" t="s">
        <v>382</v>
      </c>
      <c r="AN206" s="348" t="s">
        <v>89</v>
      </c>
      <c r="AO206" s="349">
        <v>45483</v>
      </c>
      <c r="AP206" s="98">
        <f>Tabla15[[#This Row],[Renov. Flota]]-Tabla15[[#This Row],[Año]]</f>
        <v>0</v>
      </c>
      <c r="AQ206" s="100" t="s">
        <v>336</v>
      </c>
      <c r="AR206" s="100">
        <v>4500407448</v>
      </c>
      <c r="AS206" s="101" t="s">
        <v>337</v>
      </c>
      <c r="AT206" s="101"/>
      <c r="AU206" s="101" t="s">
        <v>72</v>
      </c>
      <c r="AV206" s="101" t="s">
        <v>91</v>
      </c>
      <c r="AW206" s="101" t="s">
        <v>1024</v>
      </c>
      <c r="AX206" s="209">
        <f>IF(Tabla15[[#This Row],[Columna2]]="M1",5.1,"")</f>
        <v>5.0999999999999996</v>
      </c>
      <c r="AY206" s="208">
        <f>IF(T206="DIESEL",10,IF(T206="GLP",7.16,9.19))</f>
        <v>10</v>
      </c>
      <c r="AZ206" s="313">
        <v>20</v>
      </c>
      <c r="BA206" s="314">
        <f>IF(Tabla15[[#This Row],[Columna2]]="M1",13073,IF(Tabla15[[#This Row],[Columna2]]="N1",15815,IF(Tabla15[[#This Row],[Columna2]]="L3e",2831,53508)))</f>
        <v>13073</v>
      </c>
      <c r="BB206" s="350">
        <f>(Tabla15[[#This Row],[CVA]]*Tabla15[[#This Row],[F]]-Tabla15[[#This Row],[CVN]])/100*Tabla15[[#This Row],[L]]</f>
        <v>4052.63</v>
      </c>
      <c r="BC206" s="69" t="s">
        <v>70</v>
      </c>
      <c r="BD206" s="294">
        <f>VLOOKUP(B206,Tabla467824[[ID CAE2]:[AE '[kWh']]],6,FALSE)</f>
        <v>7136.4330429999991</v>
      </c>
      <c r="BE20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07" spans="1:57" ht="52.5" thickBot="1" x14ac:dyDescent="0.3">
      <c r="A207" s="53" t="s">
        <v>1025</v>
      </c>
      <c r="B207" s="53" t="s">
        <v>1025</v>
      </c>
      <c r="C207" s="332" t="s">
        <v>1026</v>
      </c>
      <c r="D207" s="104" t="s">
        <v>72</v>
      </c>
      <c r="E207" s="104" t="s">
        <v>72</v>
      </c>
      <c r="F207" s="104" t="s">
        <v>72</v>
      </c>
      <c r="G207" s="104"/>
      <c r="H207" s="104"/>
      <c r="I207" s="104"/>
      <c r="J207" s="104"/>
      <c r="K207" s="96" t="s">
        <v>73</v>
      </c>
      <c r="L207" s="96" t="s">
        <v>74</v>
      </c>
      <c r="M207" s="96" t="s">
        <v>75</v>
      </c>
      <c r="N207" s="96" t="s">
        <v>76</v>
      </c>
      <c r="O207" s="99">
        <f>VLOOKUP(Tabla15[[#This Row],[Matricula Antigua]],BAJA2022202320242025!$B$3:$CR$245,93,FALSE)</f>
        <v>42984</v>
      </c>
      <c r="P207" s="316">
        <v>45419</v>
      </c>
      <c r="Q207" s="317">
        <f>Tabla15[[#This Row],[F.Vig.Final]]-Tabla15[[#This Row],[f Vig Inicio]]</f>
        <v>2435</v>
      </c>
      <c r="R207" s="318">
        <f>YEAR(Tabla15[[#This Row],[F.Vig.Final]])</f>
        <v>2024</v>
      </c>
      <c r="S207" s="96" t="s">
        <v>77</v>
      </c>
      <c r="T207" s="96" t="s">
        <v>78</v>
      </c>
      <c r="U207" s="96" t="s">
        <v>416</v>
      </c>
      <c r="V207" s="96" t="s">
        <v>1028</v>
      </c>
      <c r="W207" s="96" t="s">
        <v>102</v>
      </c>
      <c r="X207" s="332" t="s">
        <v>1667</v>
      </c>
      <c r="Y207" s="96" t="s">
        <v>654</v>
      </c>
      <c r="Z207" s="98">
        <f>COUNTIF($X$3:X207, X207)</f>
        <v>43</v>
      </c>
      <c r="AA207" s="337" t="s">
        <v>1668</v>
      </c>
      <c r="AB207" s="337" t="s">
        <v>1668</v>
      </c>
      <c r="AC207" s="337" t="s">
        <v>1669</v>
      </c>
      <c r="AD207" s="341" t="s">
        <v>1670</v>
      </c>
      <c r="AE207" s="345" t="s">
        <v>1671</v>
      </c>
      <c r="AF207" s="346" t="s">
        <v>1672</v>
      </c>
      <c r="AG207" s="357" t="s">
        <v>1673</v>
      </c>
      <c r="AH207" s="337" t="s">
        <v>1649</v>
      </c>
      <c r="AI207" s="337" t="s">
        <v>1029</v>
      </c>
      <c r="AJ207" s="98" t="s">
        <v>140</v>
      </c>
      <c r="AK207" s="98" t="s">
        <v>1030</v>
      </c>
      <c r="AL207" s="98" t="s">
        <v>87</v>
      </c>
      <c r="AM207" s="101" t="s">
        <v>696</v>
      </c>
      <c r="AN207" s="348" t="s">
        <v>89</v>
      </c>
      <c r="AO207" s="349">
        <v>45615</v>
      </c>
      <c r="AP207" s="98">
        <f>Tabla15[[#This Row],[Renov. Flota]]-Tabla15[[#This Row],[Año]]</f>
        <v>0</v>
      </c>
      <c r="AQ207" s="100" t="s">
        <v>102</v>
      </c>
      <c r="AR207" s="100">
        <v>4500406594</v>
      </c>
      <c r="AS207" s="101" t="s">
        <v>103</v>
      </c>
      <c r="AT207" s="101"/>
      <c r="AU207" s="101" t="s">
        <v>72</v>
      </c>
      <c r="AV207" s="101" t="s">
        <v>109</v>
      </c>
      <c r="AW207" s="101" t="s">
        <v>1031</v>
      </c>
      <c r="AX207" s="209">
        <f>IF(Tabla15[[#This Row],[Columna2]]="M1",5.1,"")</f>
        <v>5.0999999999999996</v>
      </c>
      <c r="AY207" s="208">
        <f>IF(T207="DIESEL",10,IF(T207="GLP",7.16,9.19))</f>
        <v>10</v>
      </c>
      <c r="AZ207" s="313">
        <v>22.7</v>
      </c>
      <c r="BA207" s="314">
        <f>IF(Tabla15[[#This Row],[Columna2]]="M1",13073,IF(Tabla15[[#This Row],[Columna2]]="N1",15815,IF(Tabla15[[#This Row],[Columna2]]="L3e",2831,53508)))</f>
        <v>13073</v>
      </c>
      <c r="BB207" s="350">
        <f>(Tabla15[[#This Row],[CVA]]*Tabla15[[#This Row],[F]]-Tabla15[[#This Row],[CVN]])/100*Tabla15[[#This Row],[L]]</f>
        <v>3699.6590000000006</v>
      </c>
      <c r="BC207" s="79" t="s">
        <v>70</v>
      </c>
      <c r="BD207" s="294">
        <f>VLOOKUP(B207,Tabla467824[[ID CAE2]:[AE '[kWh']]],6,FALSE)</f>
        <v>5607.9989999999989</v>
      </c>
      <c r="BE20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08" spans="1:57" ht="15.75" hidden="1" thickBot="1" x14ac:dyDescent="0.3">
      <c r="A208" s="53" t="s">
        <v>1326</v>
      </c>
      <c r="B208" s="53" t="e">
        <v>#N/A</v>
      </c>
      <c r="C208" s="96" t="s">
        <v>1327</v>
      </c>
      <c r="D208" s="96"/>
      <c r="E208" s="96"/>
      <c r="F208" s="96"/>
      <c r="G208" s="96"/>
      <c r="H208" s="96"/>
      <c r="I208" s="96"/>
      <c r="J208" s="96"/>
      <c r="K208" s="96" t="s">
        <v>73</v>
      </c>
      <c r="L208" s="96" t="s">
        <v>200</v>
      </c>
      <c r="M208" s="96" t="s">
        <v>201</v>
      </c>
      <c r="N208" s="96" t="s">
        <v>160</v>
      </c>
      <c r="O208" s="101">
        <f>VLOOKUP(Tabla15[[#This Row],[Matricula Antigua]],BAJA2022202320242025!$B$3:$CR$245,93,FALSE)</f>
        <v>44309</v>
      </c>
      <c r="P208" s="99">
        <v>45770</v>
      </c>
      <c r="Q208" s="99">
        <f>Tabla15[[#This Row],[F.Vig.Final]]-Tabla15[[#This Row],[f Vig Inicio]]</f>
        <v>1461</v>
      </c>
      <c r="R208" s="99">
        <f>YEAR(Tabla15[[#This Row],[F.Vig.Final]])</f>
        <v>2025</v>
      </c>
      <c r="S208" s="96" t="s">
        <v>161</v>
      </c>
      <c r="T208" s="96" t="s">
        <v>78</v>
      </c>
      <c r="U208" s="96" t="s">
        <v>85</v>
      </c>
      <c r="V208" s="96" t="s">
        <v>752</v>
      </c>
      <c r="W208" s="96" t="s">
        <v>131</v>
      </c>
      <c r="X208" s="96" t="s">
        <v>132</v>
      </c>
      <c r="Y208" s="96" t="s">
        <v>622</v>
      </c>
      <c r="Z208" s="98">
        <f>COUNTIF($X$3:X208, X208)</f>
        <v>17</v>
      </c>
      <c r="AA208" s="98"/>
      <c r="AB208" s="98"/>
      <c r="AC208" s="98"/>
      <c r="AD208" s="98"/>
      <c r="AE208" s="322"/>
      <c r="AF208" s="322"/>
      <c r="AG208" s="98"/>
      <c r="AH208" s="98"/>
      <c r="AI208" s="98" t="e">
        <v>#N/A</v>
      </c>
      <c r="AJ208" s="98" t="e">
        <v>#N/A</v>
      </c>
      <c r="AK208" s="98" t="e">
        <v>#N/A</v>
      </c>
      <c r="AL208" s="98" t="e">
        <v>#N/A</v>
      </c>
      <c r="AM208" s="98" t="e">
        <v>#N/A</v>
      </c>
      <c r="AN208" s="99" t="e">
        <v>#N/A</v>
      </c>
      <c r="AO208" s="99" t="e">
        <v>#N/A</v>
      </c>
      <c r="AP208" s="99" t="e">
        <f>Tabla15[[#This Row],[Renov. Flota]]-Tabla15[[#This Row],[Año]]</f>
        <v>#N/A</v>
      </c>
      <c r="AQ208" s="100" t="e">
        <v>#N/A</v>
      </c>
      <c r="AR208" s="100" t="e">
        <f>VLOOKUP(Tabla15[[#This Row],[Matricula nueva]],'ALTA 20242025'!$B$2:$P$242,15,FALSE)</f>
        <v>#N/A</v>
      </c>
      <c r="AS208" s="101" t="e">
        <v>#N/A</v>
      </c>
      <c r="AT208" s="101"/>
      <c r="AU208" s="101"/>
      <c r="AV208" s="101"/>
      <c r="AW208" s="101" t="e">
        <f>VLOOKUP(Tabla15[[#This Row],[Matricula nueva]],Hoja2!$A$1:$B$224,2,FALSE)</f>
        <v>#N/A</v>
      </c>
      <c r="AX208" s="101" t="str">
        <f>IF(Tabla15[[#This Row],[Columna2]]="M1",5.1,"")</f>
        <v/>
      </c>
      <c r="AY208" s="101"/>
      <c r="AZ208" s="101"/>
      <c r="BA208" s="311">
        <f>IF(Tabla15[[#This Row],[Columna2]]="M1",13073,IF(Tabla15[[#This Row],[Columna2]]="N1",15815,IF(Tabla15[[#This Row],[Columna2]]="L3e",2831,53508)))</f>
        <v>53508</v>
      </c>
      <c r="BB208" s="311" t="e">
        <f>(Tabla15[[#This Row],[CVA]]*Tabla15[[#This Row],[F]]-Tabla15[[#This Row],[CVN]])/100*Tabla15[[#This Row],[L]]</f>
        <v>#VALUE!</v>
      </c>
      <c r="BC208" s="1"/>
      <c r="BD208" s="1" t="e">
        <f>VLOOKUP(B208,Tabla467824[[ID CAE2]:[AE '[kWh']]],6,FALSE)</f>
        <v>#N/A</v>
      </c>
      <c r="BE20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09" spans="1:57" ht="15.75" hidden="1" thickBot="1" x14ac:dyDescent="0.3">
      <c r="A209" s="53" t="s">
        <v>1328</v>
      </c>
      <c r="B209" s="53" t="e">
        <v>#N/A</v>
      </c>
      <c r="C209" s="96" t="s">
        <v>1329</v>
      </c>
      <c r="D209" s="96"/>
      <c r="E209" s="96"/>
      <c r="F209" s="96"/>
      <c r="G209" s="96"/>
      <c r="H209" s="96"/>
      <c r="I209" s="96"/>
      <c r="J209" s="96"/>
      <c r="K209" s="96" t="s">
        <v>158</v>
      </c>
      <c r="L209" s="96" t="s">
        <v>159</v>
      </c>
      <c r="M209" s="96" t="s">
        <v>158</v>
      </c>
      <c r="N209" s="96" t="s">
        <v>171</v>
      </c>
      <c r="O209" s="101">
        <f>VLOOKUP(Tabla15[[#This Row],[Matricula Antigua]],BAJA2022202320242025!$B$3:$CR$245,93,FALSE)</f>
        <v>44520</v>
      </c>
      <c r="P209" s="316">
        <v>45630</v>
      </c>
      <c r="Q209" s="316">
        <f>Tabla15[[#This Row],[F.Vig.Final]]-Tabla15[[#This Row],[f Vig Inicio]]</f>
        <v>1110</v>
      </c>
      <c r="R209" s="316">
        <f>YEAR(Tabla15[[#This Row],[F.Vig.Final]])</f>
        <v>2024</v>
      </c>
      <c r="S209" s="96" t="s">
        <v>172</v>
      </c>
      <c r="T209" s="96" t="s">
        <v>78</v>
      </c>
      <c r="U209" s="96" t="s">
        <v>1330</v>
      </c>
      <c r="V209" s="96" t="s">
        <v>1331</v>
      </c>
      <c r="W209" s="96" t="s">
        <v>81</v>
      </c>
      <c r="X209" s="96" t="s">
        <v>82</v>
      </c>
      <c r="Y209" s="96" t="s">
        <v>164</v>
      </c>
      <c r="Z209" s="98">
        <f>COUNTIF($X$3:X209, X209)</f>
        <v>16</v>
      </c>
      <c r="AA209" s="98"/>
      <c r="AB209" s="98"/>
      <c r="AC209" s="98"/>
      <c r="AD209" s="98"/>
      <c r="AE209" s="320"/>
      <c r="AF209" s="98"/>
      <c r="AG209" s="98"/>
      <c r="AH209" s="98"/>
      <c r="AI209" s="98" t="s">
        <v>1332</v>
      </c>
      <c r="AJ209" s="98" t="s">
        <v>85</v>
      </c>
      <c r="AK209" s="98" t="s">
        <v>86</v>
      </c>
      <c r="AL209" s="98" t="s">
        <v>87</v>
      </c>
      <c r="AM209" s="98" t="s">
        <v>174</v>
      </c>
      <c r="AN209" s="316" t="s">
        <v>89</v>
      </c>
      <c r="AO209" s="99">
        <v>45652</v>
      </c>
      <c r="AP209" s="99">
        <f>Tabla15[[#This Row],[Renov. Flota]]-Tabla15[[#This Row],[Año]]</f>
        <v>0</v>
      </c>
      <c r="AQ209" s="100" t="s">
        <v>81</v>
      </c>
      <c r="AR209" s="100" t="str">
        <f>VLOOKUP(Tabla15[[#This Row],[Matricula nueva]],'ALTA 20242025'!$B$2:$P$242,15,FALSE)</f>
        <v>4500426842</v>
      </c>
      <c r="AS209" s="101" t="s">
        <v>82</v>
      </c>
      <c r="AT209" s="101"/>
      <c r="AU209" s="101"/>
      <c r="AV209" s="101"/>
      <c r="AW209" s="101" t="str">
        <f>VLOOKUP(Tabla15[[#This Row],[Matricula nueva]],Hoja2!$A$1:$B$224,2,FALSE)</f>
        <v>VF1RFK00973824846</v>
      </c>
      <c r="AX209" s="209" t="str">
        <f>IF(Tabla15[[#This Row],[Columna2]]="M1",5.1,"")</f>
        <v/>
      </c>
      <c r="AY209" s="208">
        <f>IF(T209="DIESEL",10,IF(T209="GLP",7.16,9.19))</f>
        <v>10</v>
      </c>
      <c r="AZ209" s="313">
        <v>17.3</v>
      </c>
      <c r="BA209" s="314">
        <f>IF(Tabla15[[#This Row],[Columna2]]="M1",13073,IF(Tabla15[[#This Row],[Columna2]]="N1",15815,IF(Tabla15[[#This Row],[Columna2]]="L3e",2831,53508)))</f>
        <v>53508</v>
      </c>
      <c r="BB209" s="314"/>
      <c r="BD209" s="43" t="e">
        <f>VLOOKUP(B209,Tabla467824[[ID CAE2]:[AE '[kWh']]],6,FALSE)</f>
        <v>#N/A</v>
      </c>
      <c r="BE20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10" spans="1:57" ht="52.5" thickBot="1" x14ac:dyDescent="0.3">
      <c r="A210" s="53" t="s">
        <v>1032</v>
      </c>
      <c r="B210" s="53" t="s">
        <v>1032</v>
      </c>
      <c r="C210" s="332" t="s">
        <v>1033</v>
      </c>
      <c r="D210" s="104" t="s">
        <v>72</v>
      </c>
      <c r="E210" s="104" t="s">
        <v>72</v>
      </c>
      <c r="F210" s="104" t="s">
        <v>72</v>
      </c>
      <c r="G210" s="104"/>
      <c r="H210" s="104" t="s">
        <v>72</v>
      </c>
      <c r="I210" s="104" t="s">
        <v>72</v>
      </c>
      <c r="J210" s="104"/>
      <c r="K210" s="96" t="s">
        <v>1034</v>
      </c>
      <c r="L210" s="96" t="s">
        <v>200</v>
      </c>
      <c r="M210" s="96" t="s">
        <v>201</v>
      </c>
      <c r="N210" s="96" t="s">
        <v>76</v>
      </c>
      <c r="O210" s="101">
        <f>VLOOKUP(Tabla15[[#This Row],[Matricula Antigua]],BAJA2022202320242025!$B$3:$CR$245,93,FALSE)</f>
        <v>43679</v>
      </c>
      <c r="P210" s="316">
        <v>45140</v>
      </c>
      <c r="Q210" s="317">
        <f>Tabla15[[#This Row],[F.Vig.Final]]-Tabla15[[#This Row],[f Vig Inicio]]</f>
        <v>1461</v>
      </c>
      <c r="R210" s="318">
        <f>YEAR(Tabla15[[#This Row],[F.Vig.Final]])</f>
        <v>2023</v>
      </c>
      <c r="S210" s="96" t="s">
        <v>77</v>
      </c>
      <c r="T210" s="96" t="s">
        <v>202</v>
      </c>
      <c r="U210" s="96" t="s">
        <v>416</v>
      </c>
      <c r="V210" s="96" t="s">
        <v>1035</v>
      </c>
      <c r="W210" s="96" t="s">
        <v>119</v>
      </c>
      <c r="X210" s="332" t="s">
        <v>1674</v>
      </c>
      <c r="Y210" s="96" t="s">
        <v>776</v>
      </c>
      <c r="Z210" s="98">
        <f>COUNTIF($X$3:X210, X210)</f>
        <v>24</v>
      </c>
      <c r="AA210" s="337" t="s">
        <v>1661</v>
      </c>
      <c r="AB210" s="337" t="s">
        <v>1661</v>
      </c>
      <c r="AC210" s="337" t="s">
        <v>1662</v>
      </c>
      <c r="AD210" s="337" t="s">
        <v>1663</v>
      </c>
      <c r="AE210" s="342" t="s">
        <v>1664</v>
      </c>
      <c r="AF210" s="337" t="s">
        <v>1665</v>
      </c>
      <c r="AG210" s="337" t="s">
        <v>1666</v>
      </c>
      <c r="AH210" s="337" t="s">
        <v>1649</v>
      </c>
      <c r="AI210" s="337" t="s">
        <v>1036</v>
      </c>
      <c r="AJ210" s="98" t="s">
        <v>140</v>
      </c>
      <c r="AK210" s="98" t="s">
        <v>151</v>
      </c>
      <c r="AL210" s="98" t="s">
        <v>87</v>
      </c>
      <c r="AM210" s="101" t="s">
        <v>294</v>
      </c>
      <c r="AN210" s="348" t="s">
        <v>89</v>
      </c>
      <c r="AO210" s="349">
        <v>45622</v>
      </c>
      <c r="AP210" s="98">
        <f>Tabla15[[#This Row],[Renov. Flota]]-Tabla15[[#This Row],[Año]]</f>
        <v>1</v>
      </c>
      <c r="AQ210" s="100" t="s">
        <v>119</v>
      </c>
      <c r="AR210" s="100" t="str">
        <f>VLOOKUP(Tabla15[[#This Row],[Matricula nueva]],'ALTA 20242025'!$B$2:$P$242,15,FALSE)</f>
        <v>4500424788</v>
      </c>
      <c r="AS210" s="101" t="s">
        <v>120</v>
      </c>
      <c r="AT210" s="101"/>
      <c r="AU210" s="101" t="s">
        <v>72</v>
      </c>
      <c r="AV210" s="101" t="s">
        <v>91</v>
      </c>
      <c r="AW210" s="101" t="str">
        <f>VLOOKUP(Tabla15[[#This Row],[Matricula nueva]],Hoja2!$A$1:$B$224,2,FALSE)</f>
        <v>VR7CBZYA5RT152213</v>
      </c>
      <c r="AX210" s="209">
        <f>IF(Tabla15[[#This Row],[Columna2]]="M1",5.1,"")</f>
        <v>5.0999999999999996</v>
      </c>
      <c r="AY210" s="208">
        <f>IF(T210="DIESEL",10,IF(T210="GLP",7.16,9.19))</f>
        <v>9.19</v>
      </c>
      <c r="AZ210" s="313">
        <v>16.399999999999999</v>
      </c>
      <c r="BA210" s="314">
        <f>IF(Tabla15[[#This Row],[Columna2]]="M1",13073,IF(Tabla15[[#This Row],[Columna2]]="N1",15815,IF(Tabla15[[#This Row],[Columna2]]="L3e",2831,53508)))</f>
        <v>13073</v>
      </c>
      <c r="BB210" s="350">
        <f>(Tabla15[[#This Row],[CVA]]*Tabla15[[#This Row],[F]]-Tabla15[[#This Row],[CVN]])/100*Tabla15[[#This Row],[L]]</f>
        <v>3983.2123699999993</v>
      </c>
      <c r="BC210" s="84" t="s">
        <v>70</v>
      </c>
      <c r="BD210" s="294">
        <f>VLOOKUP(B210,Tabla467824[[ID CAE2]:[AE '[kWh']]],6,FALSE)</f>
        <v>3826.5520744999999</v>
      </c>
      <c r="BE21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11" spans="1:57" ht="15.75" hidden="1" thickBot="1" x14ac:dyDescent="0.3">
      <c r="A211" s="53" t="s">
        <v>1333</v>
      </c>
      <c r="B211" s="53" t="e">
        <v>#N/A</v>
      </c>
      <c r="C211" s="96" t="s">
        <v>1334</v>
      </c>
      <c r="D211" s="96"/>
      <c r="E211" s="96"/>
      <c r="F211" s="96"/>
      <c r="G211" s="96"/>
      <c r="H211" s="96"/>
      <c r="I211" s="96"/>
      <c r="J211" s="96"/>
      <c r="K211" s="96" t="s">
        <v>73</v>
      </c>
      <c r="L211" s="96" t="s">
        <v>200</v>
      </c>
      <c r="M211" s="96" t="s">
        <v>201</v>
      </c>
      <c r="N211" s="96" t="s">
        <v>160</v>
      </c>
      <c r="O211" s="101">
        <f>VLOOKUP(Tabla15[[#This Row],[Matricula Antigua]],BAJA2022202320242025!$B$3:$CR$245,93,FALSE)</f>
        <v>44358</v>
      </c>
      <c r="P211" s="99">
        <v>45819</v>
      </c>
      <c r="Q211" s="99">
        <f>Tabla15[[#This Row],[F.Vig.Final]]-Tabla15[[#This Row],[f Vig Inicio]]</f>
        <v>1461</v>
      </c>
      <c r="R211" s="99">
        <f>YEAR(Tabla15[[#This Row],[F.Vig.Final]])</f>
        <v>2025</v>
      </c>
      <c r="S211" s="96" t="s">
        <v>161</v>
      </c>
      <c r="T211" s="96" t="s">
        <v>78</v>
      </c>
      <c r="U211" s="96" t="s">
        <v>85</v>
      </c>
      <c r="V211" s="96" t="s">
        <v>1335</v>
      </c>
      <c r="W211" s="96" t="s">
        <v>131</v>
      </c>
      <c r="X211" s="96" t="s">
        <v>132</v>
      </c>
      <c r="Y211" s="96" t="s">
        <v>135</v>
      </c>
      <c r="Z211" s="98">
        <f>COUNTIF($X$3:X211, X211)</f>
        <v>18</v>
      </c>
      <c r="AA211" s="98"/>
      <c r="AB211" s="98"/>
      <c r="AC211" s="98"/>
      <c r="AD211" s="98"/>
      <c r="AE211" s="322"/>
      <c r="AF211" s="98"/>
      <c r="AG211" s="98"/>
      <c r="AH211" s="98"/>
      <c r="AI211" s="98" t="e">
        <v>#N/A</v>
      </c>
      <c r="AJ211" s="98" t="e">
        <v>#N/A</v>
      </c>
      <c r="AK211" s="98" t="e">
        <v>#N/A</v>
      </c>
      <c r="AL211" s="98" t="e">
        <v>#N/A</v>
      </c>
      <c r="AM211" s="98" t="e">
        <v>#N/A</v>
      </c>
      <c r="AN211" s="99" t="e">
        <v>#N/A</v>
      </c>
      <c r="AO211" s="99" t="e">
        <v>#N/A</v>
      </c>
      <c r="AP211" s="99" t="e">
        <f>Tabla15[[#This Row],[Renov. Flota]]-Tabla15[[#This Row],[Año]]</f>
        <v>#N/A</v>
      </c>
      <c r="AQ211" s="100" t="e">
        <v>#N/A</v>
      </c>
      <c r="AR211" s="100" t="e">
        <f>VLOOKUP(Tabla15[[#This Row],[Matricula nueva]],'ALTA 20242025'!$B$2:$P$242,15,FALSE)</f>
        <v>#N/A</v>
      </c>
      <c r="AS211" s="101" t="e">
        <v>#N/A</v>
      </c>
      <c r="AT211" s="101"/>
      <c r="AU211" s="101"/>
      <c r="AV211" s="101"/>
      <c r="AW211" s="101" t="e">
        <f>VLOOKUP(Tabla15[[#This Row],[Matricula nueva]],Hoja2!$A$1:$B$224,2,FALSE)</f>
        <v>#N/A</v>
      </c>
      <c r="AX211" s="101" t="str">
        <f>IF(Tabla15[[#This Row],[Columna2]]="M1",5.1,"")</f>
        <v/>
      </c>
      <c r="AY211" s="101"/>
      <c r="AZ211" s="101"/>
      <c r="BA211" s="311">
        <f>IF(Tabla15[[#This Row],[Columna2]]="M1",13073,IF(Tabla15[[#This Row],[Columna2]]="N1",15815,IF(Tabla15[[#This Row],[Columna2]]="L3e",2831,53508)))</f>
        <v>53508</v>
      </c>
      <c r="BB211" s="311" t="e">
        <f>(Tabla15[[#This Row],[CVA]]*Tabla15[[#This Row],[F]]-Tabla15[[#This Row],[CVN]])/100*Tabla15[[#This Row],[L]]</f>
        <v>#VALUE!</v>
      </c>
      <c r="BC211" s="1"/>
      <c r="BD211" s="1" t="e">
        <f>VLOOKUP(B211,Tabla467824[[ID CAE2]:[AE '[kWh']]],6,FALSE)</f>
        <v>#N/A</v>
      </c>
      <c r="BE21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12" spans="1:57" ht="15.75" hidden="1" thickBot="1" x14ac:dyDescent="0.3">
      <c r="A212" s="53" t="s">
        <v>1336</v>
      </c>
      <c r="B212" s="53" t="e">
        <v>#N/A</v>
      </c>
      <c r="C212" s="96" t="s">
        <v>1337</v>
      </c>
      <c r="D212" s="96"/>
      <c r="E212" s="96"/>
      <c r="F212" s="96"/>
      <c r="G212" s="96"/>
      <c r="H212" s="96"/>
      <c r="I212" s="96"/>
      <c r="J212" s="96"/>
      <c r="K212" s="96" t="s">
        <v>158</v>
      </c>
      <c r="L212" s="96" t="s">
        <v>159</v>
      </c>
      <c r="M212" s="96" t="s">
        <v>158</v>
      </c>
      <c r="N212" s="96" t="s">
        <v>171</v>
      </c>
      <c r="O212" s="101">
        <f>VLOOKUP(Tabla15[[#This Row],[Matricula Antigua]],BAJA2022202320242025!$B$3:$CR$245,93,FALSE)</f>
        <v>45712</v>
      </c>
      <c r="P212" s="99">
        <v>45841</v>
      </c>
      <c r="Q212" s="99">
        <f>Tabla15[[#This Row],[F.Vig.Final]]-Tabla15[[#This Row],[f Vig Inicio]]</f>
        <v>129</v>
      </c>
      <c r="R212" s="99">
        <f>YEAR(Tabla15[[#This Row],[F.Vig.Final]])</f>
        <v>2025</v>
      </c>
      <c r="S212" s="96" t="s">
        <v>172</v>
      </c>
      <c r="T212" s="96" t="s">
        <v>71</v>
      </c>
      <c r="U212" s="96" t="s">
        <v>1338</v>
      </c>
      <c r="V212" s="96" t="s">
        <v>1338</v>
      </c>
      <c r="W212" s="96" t="s">
        <v>1339</v>
      </c>
      <c r="X212" s="96" t="s">
        <v>1340</v>
      </c>
      <c r="Y212" s="96" t="s">
        <v>1341</v>
      </c>
      <c r="Z212" s="98">
        <f>COUNTIF($X$3:X212, X212)</f>
        <v>1</v>
      </c>
      <c r="AA212" s="98"/>
      <c r="AB212" s="98"/>
      <c r="AC212" s="98"/>
      <c r="AD212" s="98"/>
      <c r="AE212" s="98"/>
      <c r="AF212" s="98"/>
      <c r="AG212" s="98"/>
      <c r="AH212" s="98"/>
      <c r="AI212" s="98" t="e">
        <v>#N/A</v>
      </c>
      <c r="AJ212" s="98" t="e">
        <v>#N/A</v>
      </c>
      <c r="AK212" s="98" t="e">
        <v>#N/A</v>
      </c>
      <c r="AL212" s="98" t="e">
        <v>#N/A</v>
      </c>
      <c r="AM212" s="98" t="e">
        <v>#N/A</v>
      </c>
      <c r="AN212" s="99" t="e">
        <v>#N/A</v>
      </c>
      <c r="AO212" s="99" t="e">
        <v>#N/A</v>
      </c>
      <c r="AP212" s="99" t="e">
        <f>Tabla15[[#This Row],[Renov. Flota]]-Tabla15[[#This Row],[Año]]</f>
        <v>#N/A</v>
      </c>
      <c r="AQ212" s="100" t="e">
        <v>#N/A</v>
      </c>
      <c r="AR212" s="100" t="e">
        <f>VLOOKUP(Tabla15[[#This Row],[Matricula nueva]],'ALTA 20242025'!$B$2:$P$242,15,FALSE)</f>
        <v>#N/A</v>
      </c>
      <c r="AS212" s="101" t="e">
        <v>#N/A</v>
      </c>
      <c r="AT212" s="101"/>
      <c r="AU212" s="101"/>
      <c r="AV212" s="101"/>
      <c r="AW212" s="101" t="e">
        <f>VLOOKUP(Tabla15[[#This Row],[Matricula nueva]],Hoja2!$A$1:$B$224,2,FALSE)</f>
        <v>#N/A</v>
      </c>
      <c r="AX212" s="101" t="str">
        <f>IF(Tabla15[[#This Row],[Columna2]]="M1",5.1,"")</f>
        <v/>
      </c>
      <c r="AY212" s="101"/>
      <c r="AZ212" s="101"/>
      <c r="BA212" s="311">
        <f>IF(Tabla15[[#This Row],[Columna2]]="M1",13073,IF(Tabla15[[#This Row],[Columna2]]="N1",15815,IF(Tabla15[[#This Row],[Columna2]]="L3e",2831,53508)))</f>
        <v>53508</v>
      </c>
      <c r="BB212" s="311" t="e">
        <f>(Tabla15[[#This Row],[CVA]]*Tabla15[[#This Row],[F]]-Tabla15[[#This Row],[CVN]])/100*Tabla15[[#This Row],[L]]</f>
        <v>#VALUE!</v>
      </c>
      <c r="BC212" s="1"/>
      <c r="BD212" s="1" t="e">
        <f>VLOOKUP(B212,Tabla467824[[ID CAE2]:[AE '[kWh']]],6,FALSE)</f>
        <v>#N/A</v>
      </c>
      <c r="BE21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13" spans="1:57" ht="15.75" hidden="1" thickBot="1" x14ac:dyDescent="0.3">
      <c r="A213" s="53" t="s">
        <v>1342</v>
      </c>
      <c r="B213" s="53" t="e">
        <v>#N/A</v>
      </c>
      <c r="C213" s="96" t="s">
        <v>1343</v>
      </c>
      <c r="D213" s="96"/>
      <c r="E213" s="96"/>
      <c r="F213" s="96"/>
      <c r="G213" s="96"/>
      <c r="H213" s="96"/>
      <c r="I213" s="96"/>
      <c r="J213" s="96"/>
      <c r="K213" s="96" t="s">
        <v>158</v>
      </c>
      <c r="L213" s="96" t="s">
        <v>159</v>
      </c>
      <c r="M213" s="96" t="s">
        <v>158</v>
      </c>
      <c r="N213" s="96" t="s">
        <v>171</v>
      </c>
      <c r="O213" s="101">
        <f>VLOOKUP(Tabla15[[#This Row],[Matricula Antigua]],BAJA2022202320242025!$B$3:$CR$245,93,FALSE)</f>
        <v>45712</v>
      </c>
      <c r="P213" s="99">
        <v>45841</v>
      </c>
      <c r="Q213" s="99">
        <f>Tabla15[[#This Row],[F.Vig.Final]]-Tabla15[[#This Row],[f Vig Inicio]]</f>
        <v>129</v>
      </c>
      <c r="R213" s="99">
        <f>YEAR(Tabla15[[#This Row],[F.Vig.Final]])</f>
        <v>2025</v>
      </c>
      <c r="S213" s="96" t="s">
        <v>172</v>
      </c>
      <c r="T213" s="96" t="s">
        <v>71</v>
      </c>
      <c r="U213" s="96" t="s">
        <v>1338</v>
      </c>
      <c r="V213" s="96" t="s">
        <v>1338</v>
      </c>
      <c r="W213" s="96" t="s">
        <v>1339</v>
      </c>
      <c r="X213" s="96" t="s">
        <v>1340</v>
      </c>
      <c r="Y213" s="96" t="s">
        <v>1341</v>
      </c>
      <c r="Z213" s="98">
        <f>COUNTIF($X$3:X213, X213)</f>
        <v>2</v>
      </c>
      <c r="AA213" s="98"/>
      <c r="AB213" s="98"/>
      <c r="AC213" s="98"/>
      <c r="AD213" s="98"/>
      <c r="AE213" s="320"/>
      <c r="AF213" s="98"/>
      <c r="AG213" s="98"/>
      <c r="AH213" s="98"/>
      <c r="AI213" s="98" t="e">
        <v>#N/A</v>
      </c>
      <c r="AJ213" s="98" t="e">
        <v>#N/A</v>
      </c>
      <c r="AK213" s="98" t="e">
        <v>#N/A</v>
      </c>
      <c r="AL213" s="98" t="e">
        <v>#N/A</v>
      </c>
      <c r="AM213" s="98" t="e">
        <v>#N/A</v>
      </c>
      <c r="AN213" s="99" t="e">
        <v>#N/A</v>
      </c>
      <c r="AO213" s="99" t="e">
        <v>#N/A</v>
      </c>
      <c r="AP213" s="99" t="e">
        <f>Tabla15[[#This Row],[Renov. Flota]]-Tabla15[[#This Row],[Año]]</f>
        <v>#N/A</v>
      </c>
      <c r="AQ213" s="100" t="e">
        <v>#N/A</v>
      </c>
      <c r="AR213" s="100" t="e">
        <f>VLOOKUP(Tabla15[[#This Row],[Matricula nueva]],'ALTA 20242025'!$B$2:$P$242,15,FALSE)</f>
        <v>#N/A</v>
      </c>
      <c r="AS213" s="101" t="e">
        <v>#N/A</v>
      </c>
      <c r="AT213" s="101"/>
      <c r="AU213" s="101"/>
      <c r="AV213" s="101"/>
      <c r="AW213" s="101" t="e">
        <f>VLOOKUP(Tabla15[[#This Row],[Matricula nueva]],Hoja2!$A$1:$B$224,2,FALSE)</f>
        <v>#N/A</v>
      </c>
      <c r="AX213" s="101" t="str">
        <f>IF(Tabla15[[#This Row],[Columna2]]="M1",5.1,"")</f>
        <v/>
      </c>
      <c r="AY213" s="101"/>
      <c r="AZ213" s="101"/>
      <c r="BA213" s="311">
        <f>IF(Tabla15[[#This Row],[Columna2]]="M1",13073,IF(Tabla15[[#This Row],[Columna2]]="N1",15815,IF(Tabla15[[#This Row],[Columna2]]="L3e",2831,53508)))</f>
        <v>53508</v>
      </c>
      <c r="BB213" s="311" t="e">
        <f>(Tabla15[[#This Row],[CVA]]*Tabla15[[#This Row],[F]]-Tabla15[[#This Row],[CVN]])/100*Tabla15[[#This Row],[L]]</f>
        <v>#VALUE!</v>
      </c>
      <c r="BC213" s="1"/>
      <c r="BD213" s="1" t="e">
        <f>VLOOKUP(B213,Tabla467824[[ID CAE2]:[AE '[kWh']]],6,FALSE)</f>
        <v>#N/A</v>
      </c>
      <c r="BE21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14" spans="1:57" ht="52.5" thickBot="1" x14ac:dyDescent="0.3">
      <c r="A214" s="53" t="s">
        <v>1039</v>
      </c>
      <c r="B214" s="53" t="s">
        <v>1039</v>
      </c>
      <c r="C214" s="332" t="s">
        <v>1040</v>
      </c>
      <c r="D214" s="104" t="s">
        <v>72</v>
      </c>
      <c r="E214" s="104" t="s">
        <v>72</v>
      </c>
      <c r="F214" s="104" t="s">
        <v>72</v>
      </c>
      <c r="G214" s="104"/>
      <c r="H214" s="104" t="s">
        <v>72</v>
      </c>
      <c r="I214" s="104" t="s">
        <v>72</v>
      </c>
      <c r="J214" s="104"/>
      <c r="K214" s="96" t="s">
        <v>1034</v>
      </c>
      <c r="L214" s="96" t="s">
        <v>200</v>
      </c>
      <c r="M214" s="96" t="s">
        <v>201</v>
      </c>
      <c r="N214" s="96" t="s">
        <v>76</v>
      </c>
      <c r="O214" s="101">
        <f>VLOOKUP(Tabla15[[#This Row],[Matricula Antigua]],BAJA2022202320242025!$B$3:$CR$245,93,FALSE)</f>
        <v>43695</v>
      </c>
      <c r="P214" s="316">
        <v>45217</v>
      </c>
      <c r="Q214" s="317">
        <f>Tabla15[[#This Row],[F.Vig.Final]]-Tabla15[[#This Row],[f Vig Inicio]]</f>
        <v>1522</v>
      </c>
      <c r="R214" s="318">
        <f>YEAR(Tabla15[[#This Row],[F.Vig.Final]])</f>
        <v>2023</v>
      </c>
      <c r="S214" s="96" t="s">
        <v>77</v>
      </c>
      <c r="T214" s="96" t="s">
        <v>202</v>
      </c>
      <c r="U214" s="96" t="s">
        <v>416</v>
      </c>
      <c r="V214" s="96" t="s">
        <v>1035</v>
      </c>
      <c r="W214" s="96" t="s">
        <v>119</v>
      </c>
      <c r="X214" s="332" t="s">
        <v>1674</v>
      </c>
      <c r="Y214" s="96" t="s">
        <v>1041</v>
      </c>
      <c r="Z214" s="98">
        <f>COUNTIF($X$3:X214, X214)</f>
        <v>25</v>
      </c>
      <c r="AA214" s="337" t="s">
        <v>1661</v>
      </c>
      <c r="AB214" s="337" t="s">
        <v>1661</v>
      </c>
      <c r="AC214" s="337" t="s">
        <v>1662</v>
      </c>
      <c r="AD214" s="337" t="s">
        <v>1663</v>
      </c>
      <c r="AE214" s="342" t="s">
        <v>1664</v>
      </c>
      <c r="AF214" s="337" t="s">
        <v>1665</v>
      </c>
      <c r="AG214" s="337" t="s">
        <v>1666</v>
      </c>
      <c r="AH214" s="337" t="s">
        <v>1649</v>
      </c>
      <c r="AI214" s="337" t="s">
        <v>1042</v>
      </c>
      <c r="AJ214" s="98" t="s">
        <v>85</v>
      </c>
      <c r="AK214" s="98" t="s">
        <v>86</v>
      </c>
      <c r="AL214" s="98" t="s">
        <v>87</v>
      </c>
      <c r="AM214" s="101" t="s">
        <v>368</v>
      </c>
      <c r="AN214" s="348" t="s">
        <v>89</v>
      </c>
      <c r="AO214" s="349">
        <v>45645</v>
      </c>
      <c r="AP214" s="98">
        <f>Tabla15[[#This Row],[Renov. Flota]]-Tabla15[[#This Row],[Año]]</f>
        <v>1</v>
      </c>
      <c r="AQ214" s="100" t="s">
        <v>119</v>
      </c>
      <c r="AR214" s="100" t="str">
        <f>VLOOKUP(Tabla15[[#This Row],[Matricula nueva]],'ALTA 20242025'!$B$2:$P$242,15,FALSE)</f>
        <v>4500426793</v>
      </c>
      <c r="AS214" s="101" t="s">
        <v>120</v>
      </c>
      <c r="AT214" s="101"/>
      <c r="AU214" s="101" t="s">
        <v>72</v>
      </c>
      <c r="AV214" s="101" t="s">
        <v>91</v>
      </c>
      <c r="AW214" s="101" t="str">
        <f>VLOOKUP(Tabla15[[#This Row],[Matricula nueva]],Hoja2!$A$1:$B$224,2,FALSE)</f>
        <v>VF1RFK00573824892</v>
      </c>
      <c r="AX214" s="209">
        <f>IF(Tabla15[[#This Row],[Columna2]]="M1",5.1,"")</f>
        <v>5.0999999999999996</v>
      </c>
      <c r="AY214" s="208">
        <f>IF(T214="DIESEL",10,IF(T214="GLP",7.16,9.19))</f>
        <v>9.19</v>
      </c>
      <c r="AZ214" s="313">
        <v>17.3</v>
      </c>
      <c r="BA214" s="314">
        <f>IF(Tabla15[[#This Row],[Columna2]]="M1",13073,IF(Tabla15[[#This Row],[Columna2]]="N1",15815,IF(Tabla15[[#This Row],[Columna2]]="L3e",2831,53508)))</f>
        <v>13073</v>
      </c>
      <c r="BB214" s="350">
        <f>(Tabla15[[#This Row],[CVA]]*Tabla15[[#This Row],[F]]-Tabla15[[#This Row],[CVN]])/100*Tabla15[[#This Row],[L]]</f>
        <v>3865.5553699999987</v>
      </c>
      <c r="BC214" s="84" t="s">
        <v>70</v>
      </c>
      <c r="BD214" s="294">
        <f>VLOOKUP(B214,Tabla467824[[ID CAE2]:[AE '[kWh']]],6,FALSE)</f>
        <v>6795.3454000000002</v>
      </c>
      <c r="BE21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15" spans="1:57" ht="15.75" hidden="1" thickBot="1" x14ac:dyDescent="0.3">
      <c r="A215" s="53" t="s">
        <v>1344</v>
      </c>
      <c r="B215" s="53" t="e">
        <v>#N/A</v>
      </c>
      <c r="C215" s="96" t="s">
        <v>1345</v>
      </c>
      <c r="D215" s="96"/>
      <c r="E215" s="96"/>
      <c r="F215" s="96"/>
      <c r="G215" s="96"/>
      <c r="H215" s="96"/>
      <c r="I215" s="96"/>
      <c r="J215" s="96"/>
      <c r="K215" s="96" t="s">
        <v>158</v>
      </c>
      <c r="L215" s="96" t="s">
        <v>159</v>
      </c>
      <c r="M215" s="96" t="s">
        <v>158</v>
      </c>
      <c r="N215" s="96" t="s">
        <v>171</v>
      </c>
      <c r="O215" s="101">
        <f>VLOOKUP(Tabla15[[#This Row],[Matricula Antigua]],BAJA2022202320242025!$B$3:$CR$245,93,FALSE)</f>
        <v>45712</v>
      </c>
      <c r="P215" s="99">
        <v>45841</v>
      </c>
      <c r="Q215" s="99">
        <f>Tabla15[[#This Row],[F.Vig.Final]]-Tabla15[[#This Row],[f Vig Inicio]]</f>
        <v>129</v>
      </c>
      <c r="R215" s="99">
        <f>YEAR(Tabla15[[#This Row],[F.Vig.Final]])</f>
        <v>2025</v>
      </c>
      <c r="S215" s="96" t="s">
        <v>172</v>
      </c>
      <c r="T215" s="96" t="s">
        <v>71</v>
      </c>
      <c r="U215" s="96" t="s">
        <v>1338</v>
      </c>
      <c r="V215" s="96" t="s">
        <v>1338</v>
      </c>
      <c r="W215" s="96" t="s">
        <v>336</v>
      </c>
      <c r="X215" s="96" t="s">
        <v>337</v>
      </c>
      <c r="Y215" s="96" t="s">
        <v>1346</v>
      </c>
      <c r="Z215" s="98">
        <f>COUNTIF($X$3:X215, X215)</f>
        <v>15</v>
      </c>
      <c r="AA215" s="98"/>
      <c r="AB215" s="98"/>
      <c r="AC215" s="98"/>
      <c r="AD215" s="98"/>
      <c r="AE215" s="322"/>
      <c r="AF215" s="98"/>
      <c r="AG215" s="98"/>
      <c r="AH215" s="98"/>
      <c r="AI215" s="98" t="e">
        <v>#N/A</v>
      </c>
      <c r="AJ215" s="98" t="e">
        <v>#N/A</v>
      </c>
      <c r="AK215" s="98" t="e">
        <v>#N/A</v>
      </c>
      <c r="AL215" s="98" t="e">
        <v>#N/A</v>
      </c>
      <c r="AM215" s="98" t="e">
        <v>#N/A</v>
      </c>
      <c r="AN215" s="99" t="e">
        <v>#N/A</v>
      </c>
      <c r="AO215" s="99" t="e">
        <v>#N/A</v>
      </c>
      <c r="AP215" s="99" t="e">
        <f>Tabla15[[#This Row],[Renov. Flota]]-Tabla15[[#This Row],[Año]]</f>
        <v>#N/A</v>
      </c>
      <c r="AQ215" s="100" t="e">
        <v>#N/A</v>
      </c>
      <c r="AR215" s="100" t="e">
        <f>VLOOKUP(Tabla15[[#This Row],[Matricula nueva]],'ALTA 20242025'!$B$2:$P$242,15,FALSE)</f>
        <v>#N/A</v>
      </c>
      <c r="AS215" s="101" t="e">
        <v>#N/A</v>
      </c>
      <c r="AT215" s="101"/>
      <c r="AU215" s="101"/>
      <c r="AV215" s="101"/>
      <c r="AW215" s="101" t="e">
        <f>VLOOKUP(Tabla15[[#This Row],[Matricula nueva]],Hoja2!$A$1:$B$224,2,FALSE)</f>
        <v>#N/A</v>
      </c>
      <c r="AX215" s="101" t="str">
        <f>IF(Tabla15[[#This Row],[Columna2]]="M1",5.1,"")</f>
        <v/>
      </c>
      <c r="AY215" s="101"/>
      <c r="AZ215" s="101"/>
      <c r="BA215" s="311">
        <f>IF(Tabla15[[#This Row],[Columna2]]="M1",13073,IF(Tabla15[[#This Row],[Columna2]]="N1",15815,IF(Tabla15[[#This Row],[Columna2]]="L3e",2831,53508)))</f>
        <v>53508</v>
      </c>
      <c r="BB215" s="311" t="e">
        <f>(Tabla15[[#This Row],[CVA]]*Tabla15[[#This Row],[F]]-Tabla15[[#This Row],[CVN]])/100*Tabla15[[#This Row],[L]]</f>
        <v>#VALUE!</v>
      </c>
      <c r="BC215" s="1"/>
      <c r="BD215" s="1" t="e">
        <f>VLOOKUP(B215,Tabla467824[[ID CAE2]:[AE '[kWh']]],6,FALSE)</f>
        <v>#N/A</v>
      </c>
      <c r="BE21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16" spans="1:57" ht="60.75" thickBot="1" x14ac:dyDescent="0.3">
      <c r="A216" s="53" t="s">
        <v>1046</v>
      </c>
      <c r="B216" s="53" t="s">
        <v>1046</v>
      </c>
      <c r="C216" s="332" t="s">
        <v>1047</v>
      </c>
      <c r="D216" s="104" t="s">
        <v>72</v>
      </c>
      <c r="E216" s="104"/>
      <c r="F216" s="104"/>
      <c r="G216" s="104" t="s">
        <v>72</v>
      </c>
      <c r="H216" s="104" t="s">
        <v>72</v>
      </c>
      <c r="I216" s="104" t="s">
        <v>72</v>
      </c>
      <c r="J216" s="104"/>
      <c r="K216" s="96" t="s">
        <v>158</v>
      </c>
      <c r="L216" s="96" t="s">
        <v>159</v>
      </c>
      <c r="M216" s="96" t="s">
        <v>158</v>
      </c>
      <c r="N216" s="96" t="s">
        <v>171</v>
      </c>
      <c r="O216" s="99">
        <f>VLOOKUP(Tabla15[[#This Row],[Matricula Antigua]],BAJA2022202320242025!$B$3:$CR$245,93,FALSE)</f>
        <v>43475</v>
      </c>
      <c r="P216" s="316">
        <v>45124</v>
      </c>
      <c r="Q216" s="317">
        <f>Tabla15[[#This Row],[F.Vig.Final]]-Tabla15[[#This Row],[f Vig Inicio]]</f>
        <v>1649</v>
      </c>
      <c r="R216" s="318">
        <f>YEAR(Tabla15[[#This Row],[F.Vig.Final]])</f>
        <v>2023</v>
      </c>
      <c r="S216" s="96" t="s">
        <v>172</v>
      </c>
      <c r="T216" s="96" t="s">
        <v>78</v>
      </c>
      <c r="U216" s="96" t="s">
        <v>1048</v>
      </c>
      <c r="V216" s="96" t="s">
        <v>1049</v>
      </c>
      <c r="W216" s="96" t="s">
        <v>1050</v>
      </c>
      <c r="X216" s="332" t="s">
        <v>1051</v>
      </c>
      <c r="Y216" s="96" t="s">
        <v>1052</v>
      </c>
      <c r="Z216" s="98">
        <f>COUNTIF($X$3:X216, X216)</f>
        <v>7</v>
      </c>
      <c r="AA216" s="337" t="s">
        <v>1704</v>
      </c>
      <c r="AB216" s="337" t="s">
        <v>1704</v>
      </c>
      <c r="AC216" s="337" t="s">
        <v>1705</v>
      </c>
      <c r="AD216" s="341" t="s">
        <v>1706</v>
      </c>
      <c r="AE216" s="347" t="s">
        <v>1707</v>
      </c>
      <c r="AF216" s="337" t="s">
        <v>1708</v>
      </c>
      <c r="AG216" s="337" t="s">
        <v>1709</v>
      </c>
      <c r="AH216" s="337" t="s">
        <v>1649</v>
      </c>
      <c r="AI216" s="337" t="s">
        <v>1053</v>
      </c>
      <c r="AJ216" s="98" t="s">
        <v>85</v>
      </c>
      <c r="AK216" s="98" t="s">
        <v>86</v>
      </c>
      <c r="AL216" s="98" t="s">
        <v>87</v>
      </c>
      <c r="AM216" s="101" t="s">
        <v>1054</v>
      </c>
      <c r="AN216" s="348" t="s">
        <v>547</v>
      </c>
      <c r="AO216" s="349">
        <v>45671</v>
      </c>
      <c r="AP216" s="98">
        <f>Tabla15[[#This Row],[Renov. Flota]]-Tabla15[[#This Row],[Año]]</f>
        <v>2</v>
      </c>
      <c r="AQ216" s="100" t="s">
        <v>1050</v>
      </c>
      <c r="AR216" s="100" t="str">
        <f>VLOOKUP(Tabla15[[#This Row],[Matricula nueva]],'ALTA 20242025'!$B$2:$P$242,15,FALSE)</f>
        <v>4500426789</v>
      </c>
      <c r="AS216" s="101" t="s">
        <v>1051</v>
      </c>
      <c r="AT216" s="101"/>
      <c r="AU216" s="101" t="s">
        <v>72</v>
      </c>
      <c r="AV216" s="101" t="s">
        <v>1056</v>
      </c>
      <c r="AW216" s="101" t="str">
        <f>VLOOKUP(Tabla15[[#This Row],[Matricula nueva]],Hoja2!$A$1:$B$224,2,FALSE)</f>
        <v>VF1RFK00673824884</v>
      </c>
      <c r="AX216" s="209">
        <v>35</v>
      </c>
      <c r="AY216" s="208">
        <f>IF(T216="DIESEL",10,IF(T216="GLP",7.16,9.19))</f>
        <v>10</v>
      </c>
      <c r="AZ216" s="313">
        <v>17.3</v>
      </c>
      <c r="BA216" s="314">
        <f>IF(Tabla15[[#This Row],[Columna2]]="M1",13073,IF(Tabla15[[#This Row],[Columna2]]="N1",15815,IF(Tabla15[[#This Row],[Columna2]]="L3e",2831,53508)))</f>
        <v>53508</v>
      </c>
      <c r="BB216" s="350">
        <f>(Tabla15[[#This Row],[CVA]]*Tabla15[[#This Row],[F]]-Tabla15[[#This Row],[CVN]])/100*Tabla15[[#This Row],[L]]</f>
        <v>178021.11600000001</v>
      </c>
      <c r="BC216" s="84" t="s">
        <v>516</v>
      </c>
      <c r="BD216" s="294">
        <f>VLOOKUP(B216,Tabla467824[[ID CAE2]:[AE '[kWh']]],6,FALSE)</f>
        <v>123854.9676</v>
      </c>
      <c r="BE21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217" spans="1:57" ht="15.75" hidden="1" thickBot="1" x14ac:dyDescent="0.3">
      <c r="A217" s="53" t="s">
        <v>1058</v>
      </c>
      <c r="B217" s="53" t="s">
        <v>1058</v>
      </c>
      <c r="C217" s="96" t="s">
        <v>1347</v>
      </c>
      <c r="D217" s="96"/>
      <c r="E217" s="96"/>
      <c r="F217" s="96"/>
      <c r="G217" s="96"/>
      <c r="H217" s="96"/>
      <c r="I217" s="96"/>
      <c r="J217" s="96"/>
      <c r="K217" s="96" t="s">
        <v>73</v>
      </c>
      <c r="L217" s="96" t="s">
        <v>200</v>
      </c>
      <c r="M217" s="96" t="s">
        <v>201</v>
      </c>
      <c r="N217" s="96" t="s">
        <v>76</v>
      </c>
      <c r="O217" s="101">
        <f>VLOOKUP(Tabla15[[#This Row],[Matricula Antigua]],BAJA2022202320242025!$B$3:$CR$245,93,FALSE)</f>
        <v>44475</v>
      </c>
      <c r="P217" s="99">
        <v>45936</v>
      </c>
      <c r="Q217" s="99">
        <f>Tabla15[[#This Row],[F.Vig.Final]]-Tabla15[[#This Row],[f Vig Inicio]]</f>
        <v>1461</v>
      </c>
      <c r="R217" s="99">
        <f>YEAR(Tabla15[[#This Row],[F.Vig.Final]])</f>
        <v>2025</v>
      </c>
      <c r="S217" s="96" t="s">
        <v>77</v>
      </c>
      <c r="T217" s="96" t="s">
        <v>674</v>
      </c>
      <c r="U217" s="96" t="s">
        <v>1348</v>
      </c>
      <c r="V217" s="96" t="s">
        <v>1349</v>
      </c>
      <c r="W217" s="96" t="s">
        <v>131</v>
      </c>
      <c r="X217" s="96" t="s">
        <v>132</v>
      </c>
      <c r="Y217" s="96" t="s">
        <v>316</v>
      </c>
      <c r="Z217" s="98">
        <f>COUNTIF($X$3:X217, X217)</f>
        <v>19</v>
      </c>
      <c r="AA217" s="98"/>
      <c r="AB217" s="98"/>
      <c r="AC217" s="98"/>
      <c r="AD217" s="98"/>
      <c r="AE217" s="98"/>
      <c r="AF217" s="98"/>
      <c r="AG217" s="98"/>
      <c r="AH217" s="98"/>
      <c r="AI217" s="98" t="e">
        <v>#N/A</v>
      </c>
      <c r="AJ217" s="98" t="e">
        <v>#N/A</v>
      </c>
      <c r="AK217" s="98" t="e">
        <v>#N/A</v>
      </c>
      <c r="AL217" s="98" t="e">
        <v>#N/A</v>
      </c>
      <c r="AM217" s="98" t="e">
        <v>#N/A</v>
      </c>
      <c r="AN217" s="99" t="e">
        <v>#N/A</v>
      </c>
      <c r="AO217" s="99" t="e">
        <v>#N/A</v>
      </c>
      <c r="AP217" s="99" t="e">
        <f>Tabla15[[#This Row],[Renov. Flota]]-Tabla15[[#This Row],[Año]]</f>
        <v>#N/A</v>
      </c>
      <c r="AQ217" s="100" t="e">
        <v>#N/A</v>
      </c>
      <c r="AR217" s="100" t="e">
        <f>VLOOKUP(Tabla15[[#This Row],[Matricula nueva]],'ALTA 20242025'!$B$2:$P$242,15,FALSE)</f>
        <v>#N/A</v>
      </c>
      <c r="AS217" s="101" t="e">
        <v>#N/A</v>
      </c>
      <c r="AT217" s="101"/>
      <c r="AU217" s="101"/>
      <c r="AV217" s="101"/>
      <c r="AW217" s="101" t="e">
        <f>VLOOKUP(Tabla15[[#This Row],[Matricula nueva]],Hoja2!$A$1:$B$224,2,FALSE)</f>
        <v>#N/A</v>
      </c>
      <c r="AX217" s="101" t="str">
        <f>IF(Tabla15[[#This Row],[Columna2]]="M1",5.1,"")</f>
        <v/>
      </c>
      <c r="AY217" s="101"/>
      <c r="AZ217" s="101"/>
      <c r="BA217" s="311">
        <f>IF(Tabla15[[#This Row],[Columna2]]="M1",13073,IF(Tabla15[[#This Row],[Columna2]]="N1",15815,IF(Tabla15[[#This Row],[Columna2]]="L3e",2831,53508)))</f>
        <v>53508</v>
      </c>
      <c r="BB217" s="311" t="e">
        <f>(Tabla15[[#This Row],[CVA]]*Tabla15[[#This Row],[F]]-Tabla15[[#This Row],[CVN]])/100*Tabla15[[#This Row],[L]]</f>
        <v>#VALUE!</v>
      </c>
      <c r="BC217" s="1"/>
      <c r="BD217" s="1">
        <f>VLOOKUP(B217,Tabla467824[[ID CAE2]:[AE '[kWh']]],6,FALSE)</f>
        <v>123854.9676</v>
      </c>
      <c r="BE21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18" spans="1:57" ht="13.5" hidden="1" thickBot="1" x14ac:dyDescent="0.25">
      <c r="A218" s="101"/>
      <c r="B218" s="101"/>
      <c r="C218" s="96" t="s">
        <v>1350</v>
      </c>
      <c r="D218" s="96"/>
      <c r="E218" s="96"/>
      <c r="F218" s="96"/>
      <c r="G218" s="96"/>
      <c r="H218" s="96"/>
      <c r="I218" s="96"/>
      <c r="J218" s="96"/>
      <c r="K218" s="96" t="s">
        <v>73</v>
      </c>
      <c r="L218" s="96" t="s">
        <v>200</v>
      </c>
      <c r="M218" s="96" t="s">
        <v>201</v>
      </c>
      <c r="N218" s="96" t="s">
        <v>160</v>
      </c>
      <c r="O218" s="101">
        <f>VLOOKUP(Tabla15[[#This Row],[Matricula Antigua]],BAJA2022202320242025!$B$3:$CR$245,93,FALSE)</f>
        <v>44153</v>
      </c>
      <c r="P218" s="99">
        <v>45979</v>
      </c>
      <c r="Q218" s="99">
        <f>Tabla15[[#This Row],[F.Vig.Final]]-Tabla15[[#This Row],[f Vig Inicio]]</f>
        <v>1826</v>
      </c>
      <c r="R218" s="99">
        <f>YEAR(Tabla15[[#This Row],[F.Vig.Final]])</f>
        <v>2025</v>
      </c>
      <c r="S218" s="96" t="s">
        <v>161</v>
      </c>
      <c r="T218" s="96" t="s">
        <v>78</v>
      </c>
      <c r="U218" s="96" t="s">
        <v>85</v>
      </c>
      <c r="V218" s="96" t="s">
        <v>1351</v>
      </c>
      <c r="W218" s="96" t="s">
        <v>119</v>
      </c>
      <c r="X218" s="96" t="s">
        <v>120</v>
      </c>
      <c r="Y218" s="96" t="s">
        <v>617</v>
      </c>
      <c r="Z218" s="98">
        <f>COUNTIF($X$3:X218, X218)</f>
        <v>1</v>
      </c>
      <c r="AA218" s="98"/>
      <c r="AB218" s="98"/>
      <c r="AC218" s="98"/>
      <c r="AD218" s="98"/>
      <c r="AE218" s="98"/>
      <c r="AF218" s="98"/>
      <c r="AG218" s="98"/>
      <c r="AH218" s="98"/>
      <c r="AI218" s="98" t="e">
        <v>#N/A</v>
      </c>
      <c r="AJ218" s="98" t="e">
        <v>#N/A</v>
      </c>
      <c r="AK218" s="98" t="e">
        <v>#N/A</v>
      </c>
      <c r="AL218" s="98" t="e">
        <v>#N/A</v>
      </c>
      <c r="AM218" s="98" t="e">
        <v>#N/A</v>
      </c>
      <c r="AN218" s="99" t="e">
        <v>#N/A</v>
      </c>
      <c r="AO218" s="99" t="e">
        <v>#N/A</v>
      </c>
      <c r="AP218" s="99" t="e">
        <f>Tabla15[[#This Row],[Renov. Flota]]-Tabla15[[#This Row],[Año]]</f>
        <v>#N/A</v>
      </c>
      <c r="AQ218" s="100" t="e">
        <v>#N/A</v>
      </c>
      <c r="AR218" s="100" t="e">
        <f>VLOOKUP(Tabla15[[#This Row],[Matricula nueva]],'ALTA 20242025'!$B$2:$P$242,15,FALSE)</f>
        <v>#N/A</v>
      </c>
      <c r="AS218" s="101" t="e">
        <v>#N/A</v>
      </c>
      <c r="AT218" s="101"/>
      <c r="AU218" s="101"/>
      <c r="AV218" s="101"/>
      <c r="AW218" s="101" t="e">
        <f>VLOOKUP(Tabla15[[#This Row],[Matricula nueva]],Hoja2!$A$1:$B$224,2,FALSE)</f>
        <v>#N/A</v>
      </c>
      <c r="AX218" s="101" t="str">
        <f>IF(Tabla15[[#This Row],[Columna2]]="M1",5.1,"")</f>
        <v/>
      </c>
      <c r="AY218" s="101"/>
      <c r="AZ218" s="101"/>
      <c r="BA218" s="311">
        <f>IF(Tabla15[[#This Row],[Columna2]]="M1",13073,IF(Tabla15[[#This Row],[Columna2]]="N1",15815,IF(Tabla15[[#This Row],[Columna2]]="L3e",2831,53508)))</f>
        <v>53508</v>
      </c>
      <c r="BB218" s="311" t="e">
        <f>(Tabla15[[#This Row],[CVA]]*Tabla15[[#This Row],[F]]-Tabla15[[#This Row],[CVN]])/100*Tabla15[[#This Row],[L]]</f>
        <v>#VALUE!</v>
      </c>
      <c r="BC218" s="1"/>
      <c r="BD218" s="1" t="e">
        <f>VLOOKUP(B218,Tabla467824[[ID CAE2]:[AE '[kWh']]],6,FALSE)</f>
        <v>#N/A</v>
      </c>
      <c r="BE21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19" spans="1:57" ht="60.75" thickBot="1" x14ac:dyDescent="0.3">
      <c r="A219" s="53" t="s">
        <v>1058</v>
      </c>
      <c r="B219" s="53" t="s">
        <v>1058</v>
      </c>
      <c r="C219" s="332" t="s">
        <v>1059</v>
      </c>
      <c r="D219" s="104" t="s">
        <v>72</v>
      </c>
      <c r="E219" s="104"/>
      <c r="F219" s="104"/>
      <c r="G219" s="104" t="s">
        <v>72</v>
      </c>
      <c r="H219" s="104" t="s">
        <v>72</v>
      </c>
      <c r="I219" s="104" t="s">
        <v>72</v>
      </c>
      <c r="J219" s="104"/>
      <c r="K219" s="96" t="s">
        <v>158</v>
      </c>
      <c r="L219" s="96" t="s">
        <v>159</v>
      </c>
      <c r="M219" s="96" t="s">
        <v>158</v>
      </c>
      <c r="N219" s="96" t="s">
        <v>171</v>
      </c>
      <c r="O219" s="99">
        <f>VLOOKUP(Tabla15[[#This Row],[Matricula Antigua]],BAJA2022202320242025!$B$3:$CR$245,93,FALSE)</f>
        <v>43601</v>
      </c>
      <c r="P219" s="316">
        <v>45124</v>
      </c>
      <c r="Q219" s="317">
        <f>Tabla15[[#This Row],[F.Vig.Final]]-Tabla15[[#This Row],[f Vig Inicio]]</f>
        <v>1523</v>
      </c>
      <c r="R219" s="318">
        <f>YEAR(Tabla15[[#This Row],[F.Vig.Final]])</f>
        <v>2023</v>
      </c>
      <c r="S219" s="96" t="s">
        <v>172</v>
      </c>
      <c r="T219" s="96" t="s">
        <v>78</v>
      </c>
      <c r="U219" s="96" t="s">
        <v>887</v>
      </c>
      <c r="V219" s="96" t="s">
        <v>1060</v>
      </c>
      <c r="W219" s="96" t="s">
        <v>1050</v>
      </c>
      <c r="X219" s="332" t="s">
        <v>1051</v>
      </c>
      <c r="Y219" s="96" t="s">
        <v>1052</v>
      </c>
      <c r="Z219" s="98">
        <f>COUNTIF($X$3:X219, X219)</f>
        <v>8</v>
      </c>
      <c r="AA219" s="337" t="s">
        <v>1704</v>
      </c>
      <c r="AB219" s="337" t="s">
        <v>1704</v>
      </c>
      <c r="AC219" s="337" t="s">
        <v>1705</v>
      </c>
      <c r="AD219" s="341" t="s">
        <v>1706</v>
      </c>
      <c r="AE219" s="347" t="s">
        <v>1707</v>
      </c>
      <c r="AF219" s="337" t="s">
        <v>1708</v>
      </c>
      <c r="AG219" s="337" t="s">
        <v>1709</v>
      </c>
      <c r="AH219" s="337" t="s">
        <v>1649</v>
      </c>
      <c r="AI219" s="337" t="s">
        <v>1061</v>
      </c>
      <c r="AJ219" s="98" t="s">
        <v>85</v>
      </c>
      <c r="AK219" s="98" t="s">
        <v>86</v>
      </c>
      <c r="AL219" s="98" t="s">
        <v>87</v>
      </c>
      <c r="AM219" s="101" t="s">
        <v>1054</v>
      </c>
      <c r="AN219" s="348" t="s">
        <v>547</v>
      </c>
      <c r="AO219" s="349">
        <v>45671</v>
      </c>
      <c r="AP219" s="98">
        <f>Tabla15[[#This Row],[Renov. Flota]]-Tabla15[[#This Row],[Año]]</f>
        <v>2</v>
      </c>
      <c r="AQ219" s="100" t="s">
        <v>1050</v>
      </c>
      <c r="AR219" s="100" t="str">
        <f>VLOOKUP(Tabla15[[#This Row],[Matricula nueva]],'ALTA 20242025'!$B$2:$P$242,15,FALSE)</f>
        <v>4500426778</v>
      </c>
      <c r="AS219" s="101" t="s">
        <v>1051</v>
      </c>
      <c r="AT219" s="101"/>
      <c r="AU219" s="101" t="s">
        <v>72</v>
      </c>
      <c r="AV219" s="101" t="s">
        <v>1056</v>
      </c>
      <c r="AW219" s="101" t="str">
        <f>VLOOKUP(Tabla15[[#This Row],[Matricula nueva]],Hoja2!$A$1:$B$224,2,FALSE)</f>
        <v>VF1RFK00473824883</v>
      </c>
      <c r="AX219" s="209">
        <v>35</v>
      </c>
      <c r="AY219" s="208">
        <f>IF(T219="DIESEL",10,IF(T219="GLP",7.16,9.19))</f>
        <v>10</v>
      </c>
      <c r="AZ219" s="313">
        <v>17.3</v>
      </c>
      <c r="BA219" s="314">
        <f>IF(Tabla15[[#This Row],[Columna2]]="M1",13073,IF(Tabla15[[#This Row],[Columna2]]="N1",15815,IF(Tabla15[[#This Row],[Columna2]]="L3e",2831,53508)))</f>
        <v>53508</v>
      </c>
      <c r="BB219" s="350">
        <f>(Tabla15[[#This Row],[CVA]]*Tabla15[[#This Row],[F]]-Tabla15[[#This Row],[CVN]])/100*Tabla15[[#This Row],[L]]</f>
        <v>178021.11600000001</v>
      </c>
      <c r="BC219" s="84" t="s">
        <v>516</v>
      </c>
      <c r="BD219" s="294">
        <f>VLOOKUP(B219,Tabla467824[[ID CAE2]:[AE '[kWh']]],6,FALSE)</f>
        <v>123854.9676</v>
      </c>
      <c r="BE21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220" spans="1:57" ht="15.75" hidden="1" thickBot="1" x14ac:dyDescent="0.3">
      <c r="A220" s="53" t="s">
        <v>1352</v>
      </c>
      <c r="B220" s="53" t="e">
        <v>#N/A</v>
      </c>
      <c r="C220" s="96" t="s">
        <v>1353</v>
      </c>
      <c r="D220" s="96"/>
      <c r="E220" s="96"/>
      <c r="F220" s="96"/>
      <c r="G220" s="96"/>
      <c r="H220" s="96"/>
      <c r="I220" s="96"/>
      <c r="J220" s="96"/>
      <c r="K220" s="96" t="s">
        <v>73</v>
      </c>
      <c r="L220" s="96" t="s">
        <v>200</v>
      </c>
      <c r="M220" s="96" t="s">
        <v>201</v>
      </c>
      <c r="N220" s="96" t="s">
        <v>76</v>
      </c>
      <c r="O220" s="101">
        <f>VLOOKUP(Tabla15[[#This Row],[Matricula Antigua]],BAJA2022202320242025!$B$3:$CR$245,93,FALSE)</f>
        <v>44167</v>
      </c>
      <c r="P220" s="99">
        <v>45993</v>
      </c>
      <c r="Q220" s="99">
        <f>Tabla15[[#This Row],[F.Vig.Final]]-Tabla15[[#This Row],[f Vig Inicio]]</f>
        <v>1826</v>
      </c>
      <c r="R220" s="99">
        <f>YEAR(Tabla15[[#This Row],[F.Vig.Final]])</f>
        <v>2025</v>
      </c>
      <c r="S220" s="96" t="s">
        <v>77</v>
      </c>
      <c r="T220" s="96" t="s">
        <v>78</v>
      </c>
      <c r="U220" s="96" t="s">
        <v>85</v>
      </c>
      <c r="V220" s="96" t="s">
        <v>1354</v>
      </c>
      <c r="W220" s="96" t="s">
        <v>119</v>
      </c>
      <c r="X220" s="96" t="s">
        <v>120</v>
      </c>
      <c r="Y220" s="96" t="s">
        <v>1355</v>
      </c>
      <c r="Z220" s="98">
        <f>COUNTIF($X$3:X220, X220)</f>
        <v>2</v>
      </c>
      <c r="AA220" s="98"/>
      <c r="AB220" s="98"/>
      <c r="AC220" s="98"/>
      <c r="AD220" s="98"/>
      <c r="AE220" s="98"/>
      <c r="AF220" s="98"/>
      <c r="AG220" s="98"/>
      <c r="AH220" s="98"/>
      <c r="AI220" s="98" t="e">
        <v>#N/A</v>
      </c>
      <c r="AJ220" s="98" t="e">
        <v>#N/A</v>
      </c>
      <c r="AK220" s="98" t="e">
        <v>#N/A</v>
      </c>
      <c r="AL220" s="98" t="e">
        <v>#N/A</v>
      </c>
      <c r="AM220" s="98" t="e">
        <v>#N/A</v>
      </c>
      <c r="AN220" s="99" t="e">
        <v>#N/A</v>
      </c>
      <c r="AO220" s="99" t="e">
        <v>#N/A</v>
      </c>
      <c r="AP220" s="99" t="e">
        <f>Tabla15[[#This Row],[Renov. Flota]]-Tabla15[[#This Row],[Año]]</f>
        <v>#N/A</v>
      </c>
      <c r="AQ220" s="100" t="e">
        <v>#N/A</v>
      </c>
      <c r="AR220" s="100" t="e">
        <f>VLOOKUP(Tabla15[[#This Row],[Matricula nueva]],'ALTA 20242025'!$B$2:$P$242,15,FALSE)</f>
        <v>#N/A</v>
      </c>
      <c r="AS220" s="101" t="e">
        <v>#N/A</v>
      </c>
      <c r="AT220" s="101"/>
      <c r="AU220" s="101"/>
      <c r="AV220" s="101"/>
      <c r="AW220" s="101" t="e">
        <f>VLOOKUP(Tabla15[[#This Row],[Matricula nueva]],Hoja2!$A$1:$B$224,2,FALSE)</f>
        <v>#N/A</v>
      </c>
      <c r="AX220" s="101" t="str">
        <f>IF(Tabla15[[#This Row],[Columna2]]="M1",5.1,"")</f>
        <v/>
      </c>
      <c r="AY220" s="101"/>
      <c r="AZ220" s="101"/>
      <c r="BA220" s="311">
        <f>IF(Tabla15[[#This Row],[Columna2]]="M1",13073,IF(Tabla15[[#This Row],[Columna2]]="N1",15815,IF(Tabla15[[#This Row],[Columna2]]="L3e",2831,53508)))</f>
        <v>53508</v>
      </c>
      <c r="BB220" s="311" t="e">
        <f>(Tabla15[[#This Row],[CVA]]*Tabla15[[#This Row],[F]]-Tabla15[[#This Row],[CVN]])/100*Tabla15[[#This Row],[L]]</f>
        <v>#VALUE!</v>
      </c>
      <c r="BC220" s="1"/>
      <c r="BD220" s="1" t="e">
        <f>VLOOKUP(B220,Tabla467824[[ID CAE2]:[AE '[kWh']]],6,FALSE)</f>
        <v>#N/A</v>
      </c>
      <c r="BE22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1" spans="1:57" ht="15.75" hidden="1" thickBot="1" x14ac:dyDescent="0.3">
      <c r="A221" s="53" t="s">
        <v>1356</v>
      </c>
      <c r="B221" s="53" t="e">
        <v>#N/A</v>
      </c>
      <c r="C221" s="100" t="s">
        <v>1357</v>
      </c>
      <c r="D221" s="100"/>
      <c r="E221" s="100"/>
      <c r="F221" s="100"/>
      <c r="G221" s="100"/>
      <c r="H221" s="100"/>
      <c r="I221" s="100"/>
      <c r="J221" s="100"/>
      <c r="K221" s="100" t="s">
        <v>73</v>
      </c>
      <c r="L221" s="100" t="s">
        <v>200</v>
      </c>
      <c r="M221" s="100" t="s">
        <v>201</v>
      </c>
      <c r="N221" s="100" t="s">
        <v>76</v>
      </c>
      <c r="O221" s="100" t="e">
        <f>VLOOKUP(Tabla15[[#This Row],[Matricula Antigua]],BAJA2022202320242025!$B$3:$CR$245,93,FALSE)</f>
        <v>#N/A</v>
      </c>
      <c r="P221" s="315">
        <v>44837</v>
      </c>
      <c r="Q221" s="315" t="e">
        <f>Tabla15[[#This Row],[F.Vig.Final]]-Tabla15[[#This Row],[f Vig Inicio]]</f>
        <v>#N/A</v>
      </c>
      <c r="R221" s="315">
        <f>YEAR(Tabla15[[#This Row],[F.Vig.Final]])</f>
        <v>2022</v>
      </c>
      <c r="S221" s="100" t="s">
        <v>77</v>
      </c>
      <c r="T221" s="100" t="s">
        <v>674</v>
      </c>
      <c r="U221" s="100" t="s">
        <v>359</v>
      </c>
      <c r="V221" s="100" t="s">
        <v>1245</v>
      </c>
      <c r="W221" s="100" t="s">
        <v>131</v>
      </c>
      <c r="X221" s="100" t="s">
        <v>132</v>
      </c>
      <c r="Y221" s="100" t="s">
        <v>318</v>
      </c>
      <c r="Z221" s="98">
        <f>COUNTIF($X$3:X221, X221)</f>
        <v>20</v>
      </c>
      <c r="AA221" s="98"/>
      <c r="AB221" s="98"/>
      <c r="AC221" s="98"/>
      <c r="AD221" s="98"/>
      <c r="AE221" s="98"/>
      <c r="AF221" s="98"/>
      <c r="AG221" s="98"/>
      <c r="AH221" s="98"/>
      <c r="AI221" s="98" t="e">
        <v>#N/A</v>
      </c>
      <c r="AJ221" s="98" t="e">
        <v>#N/A</v>
      </c>
      <c r="AK221" s="98" t="e">
        <v>#N/A</v>
      </c>
      <c r="AL221" s="98" t="e">
        <v>#N/A</v>
      </c>
      <c r="AM221" s="98" t="e">
        <v>#N/A</v>
      </c>
      <c r="AN221" s="99" t="e">
        <v>#N/A</v>
      </c>
      <c r="AO221" s="99" t="e">
        <v>#N/A</v>
      </c>
      <c r="AP221" s="99" t="e">
        <f>Tabla15[[#This Row],[Renov. Flota]]-Tabla15[[#This Row],[Año]]</f>
        <v>#N/A</v>
      </c>
      <c r="AQ221" s="100" t="e">
        <v>#N/A</v>
      </c>
      <c r="AR221" s="100" t="e">
        <f>VLOOKUP(Tabla15[[#This Row],[Matricula nueva]],'ALTA 20242025'!$B$2:$P$242,15,FALSE)</f>
        <v>#N/A</v>
      </c>
      <c r="AS221" s="101" t="e">
        <v>#N/A</v>
      </c>
      <c r="AT221" s="101"/>
      <c r="AU221" s="101"/>
      <c r="AV221" s="101"/>
      <c r="AW221" s="101" t="e">
        <f>VLOOKUP(Tabla15[[#This Row],[Matricula nueva]],Hoja2!$A$1:$B$224,2,FALSE)</f>
        <v>#N/A</v>
      </c>
      <c r="AX221" s="101" t="str">
        <f>IF(Tabla15[[#This Row],[Columna2]]="M1",5.1,"")</f>
        <v/>
      </c>
      <c r="AY221" s="101"/>
      <c r="AZ221" s="101"/>
      <c r="BA221" s="311">
        <f>IF(Tabla15[[#This Row],[Columna2]]="M1",13073,IF(Tabla15[[#This Row],[Columna2]]="N1",15815,IF(Tabla15[[#This Row],[Columna2]]="L3e",2831,53508)))</f>
        <v>53508</v>
      </c>
      <c r="BB221" s="311" t="e">
        <f>(Tabla15[[#This Row],[CVA]]*Tabla15[[#This Row],[F]]-Tabla15[[#This Row],[CVN]])/100*Tabla15[[#This Row],[L]]</f>
        <v>#VALUE!</v>
      </c>
      <c r="BC221" s="1"/>
      <c r="BD221" s="1" t="e">
        <f>VLOOKUP(B221,Tabla467824[[ID CAE2]:[AE '[kWh']]],6,FALSE)</f>
        <v>#N/A</v>
      </c>
      <c r="BE22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2" spans="1:57" ht="15.75" hidden="1" thickBot="1" x14ac:dyDescent="0.3">
      <c r="A222" s="53" t="s">
        <v>1358</v>
      </c>
      <c r="B222" s="53" t="e">
        <v>#N/A</v>
      </c>
      <c r="C222" s="96" t="s">
        <v>1359</v>
      </c>
      <c r="D222" s="96"/>
      <c r="E222" s="96"/>
      <c r="F222" s="96"/>
      <c r="G222" s="96"/>
      <c r="H222" s="96"/>
      <c r="I222" s="96"/>
      <c r="J222" s="96"/>
      <c r="K222" s="96" t="s">
        <v>73</v>
      </c>
      <c r="L222" s="96" t="s">
        <v>200</v>
      </c>
      <c r="M222" s="96" t="s">
        <v>201</v>
      </c>
      <c r="N222" s="96" t="s">
        <v>76</v>
      </c>
      <c r="O222" s="101">
        <f>VLOOKUP(Tabla15[[#This Row],[Matricula Antigua]],BAJA2022202320242025!$B$3:$CR$245,93,FALSE)</f>
        <v>44224</v>
      </c>
      <c r="P222" s="99">
        <v>45685</v>
      </c>
      <c r="Q222" s="99">
        <f>Tabla15[[#This Row],[F.Vig.Final]]-Tabla15[[#This Row],[f Vig Inicio]]</f>
        <v>1461</v>
      </c>
      <c r="R222" s="99">
        <f>YEAR(Tabla15[[#This Row],[F.Vig.Final]])</f>
        <v>2025</v>
      </c>
      <c r="S222" s="96" t="s">
        <v>77</v>
      </c>
      <c r="T222" s="96" t="s">
        <v>71</v>
      </c>
      <c r="U222" s="96" t="s">
        <v>213</v>
      </c>
      <c r="V222" s="96" t="s">
        <v>214</v>
      </c>
      <c r="W222" s="96" t="s">
        <v>336</v>
      </c>
      <c r="X222" s="96" t="s">
        <v>337</v>
      </c>
      <c r="Y222" s="96" t="s">
        <v>338</v>
      </c>
      <c r="Z222" s="98">
        <f>COUNTIF($X$3:X222, X222)</f>
        <v>16</v>
      </c>
      <c r="AA222" s="98"/>
      <c r="AB222" s="98"/>
      <c r="AC222" s="98"/>
      <c r="AD222" s="98"/>
      <c r="AE222" s="98"/>
      <c r="AF222" s="98"/>
      <c r="AG222" s="98"/>
      <c r="AH222" s="98"/>
      <c r="AI222" s="98" t="e">
        <v>#N/A</v>
      </c>
      <c r="AJ222" s="98" t="e">
        <v>#N/A</v>
      </c>
      <c r="AK222" s="98" t="e">
        <v>#N/A</v>
      </c>
      <c r="AL222" s="98" t="e">
        <v>#N/A</v>
      </c>
      <c r="AM222" s="98" t="e">
        <v>#N/A</v>
      </c>
      <c r="AN222" s="99" t="e">
        <v>#N/A</v>
      </c>
      <c r="AO222" s="99" t="e">
        <v>#N/A</v>
      </c>
      <c r="AP222" s="99" t="e">
        <f>Tabla15[[#This Row],[Renov. Flota]]-Tabla15[[#This Row],[Año]]</f>
        <v>#N/A</v>
      </c>
      <c r="AQ222" s="100" t="e">
        <v>#N/A</v>
      </c>
      <c r="AR222" s="100" t="e">
        <f>VLOOKUP(Tabla15[[#This Row],[Matricula nueva]],'ALTA 20242025'!$B$2:$P$242,15,FALSE)</f>
        <v>#N/A</v>
      </c>
      <c r="AS222" s="101" t="e">
        <v>#N/A</v>
      </c>
      <c r="AT222" s="101"/>
      <c r="AU222" s="101"/>
      <c r="AV222" s="101"/>
      <c r="AW222" s="101" t="e">
        <f>VLOOKUP(Tabla15[[#This Row],[Matricula nueva]],Hoja2!$A$1:$B$224,2,FALSE)</f>
        <v>#N/A</v>
      </c>
      <c r="AX222" s="101" t="str">
        <f>IF(Tabla15[[#This Row],[Columna2]]="M1",5.1,"")</f>
        <v/>
      </c>
      <c r="AY222" s="101"/>
      <c r="AZ222" s="101"/>
      <c r="BA222" s="311">
        <f>IF(Tabla15[[#This Row],[Columna2]]="M1",13073,IF(Tabla15[[#This Row],[Columna2]]="N1",15815,IF(Tabla15[[#This Row],[Columna2]]="L3e",2831,53508)))</f>
        <v>53508</v>
      </c>
      <c r="BB222" s="311" t="e">
        <f>(Tabla15[[#This Row],[CVA]]*Tabla15[[#This Row],[F]]-Tabla15[[#This Row],[CVN]])/100*Tabla15[[#This Row],[L]]</f>
        <v>#VALUE!</v>
      </c>
      <c r="BC222" s="1"/>
      <c r="BD222" s="1" t="e">
        <f>VLOOKUP(B222,Tabla467824[[ID CAE2]:[AE '[kWh']]],6,FALSE)</f>
        <v>#N/A</v>
      </c>
      <c r="BE22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3" spans="1:57" ht="15.75" hidden="1" thickBot="1" x14ac:dyDescent="0.3">
      <c r="A223" s="53" t="s">
        <v>1360</v>
      </c>
      <c r="B223" s="53" t="e">
        <v>#N/A</v>
      </c>
      <c r="C223" s="100" t="s">
        <v>1361</v>
      </c>
      <c r="D223" s="100"/>
      <c r="E223" s="100"/>
      <c r="F223" s="100"/>
      <c r="G223" s="100"/>
      <c r="H223" s="100"/>
      <c r="I223" s="100"/>
      <c r="J223" s="100"/>
      <c r="K223" s="100" t="s">
        <v>73</v>
      </c>
      <c r="L223" s="100" t="s">
        <v>74</v>
      </c>
      <c r="M223" s="100" t="s">
        <v>75</v>
      </c>
      <c r="N223" s="100" t="s">
        <v>76</v>
      </c>
      <c r="O223" s="100" t="e">
        <f>VLOOKUP(Tabla15[[#This Row],[Matricula Antigua]],BAJA2022202320242025!$B$3:$CR$245,93,FALSE)</f>
        <v>#N/A</v>
      </c>
      <c r="P223" s="315">
        <v>44701</v>
      </c>
      <c r="Q223" s="315" t="e">
        <f>Tabla15[[#This Row],[F.Vig.Final]]-Tabla15[[#This Row],[f Vig Inicio]]</f>
        <v>#N/A</v>
      </c>
      <c r="R223" s="315">
        <f>YEAR(Tabla15[[#This Row],[F.Vig.Final]])</f>
        <v>2022</v>
      </c>
      <c r="S223" s="100" t="s">
        <v>77</v>
      </c>
      <c r="T223" s="100" t="s">
        <v>78</v>
      </c>
      <c r="U223" s="100" t="s">
        <v>1362</v>
      </c>
      <c r="V223" s="100" t="s">
        <v>1363</v>
      </c>
      <c r="W223" s="100" t="s">
        <v>336</v>
      </c>
      <c r="X223" s="100" t="s">
        <v>337</v>
      </c>
      <c r="Y223" s="100" t="s">
        <v>1364</v>
      </c>
      <c r="Z223" s="98">
        <f>COUNTIF($X$3:X223, X223)</f>
        <v>17</v>
      </c>
      <c r="AA223" s="98"/>
      <c r="AB223" s="98"/>
      <c r="AC223" s="98"/>
      <c r="AD223" s="98"/>
      <c r="AE223" s="98"/>
      <c r="AF223" s="98"/>
      <c r="AG223" s="98"/>
      <c r="AH223" s="98"/>
      <c r="AI223" s="98" t="e">
        <v>#N/A</v>
      </c>
      <c r="AJ223" s="98" t="e">
        <v>#N/A</v>
      </c>
      <c r="AK223" s="98" t="e">
        <v>#N/A</v>
      </c>
      <c r="AL223" s="98" t="e">
        <v>#N/A</v>
      </c>
      <c r="AM223" s="98" t="e">
        <v>#N/A</v>
      </c>
      <c r="AN223" s="99" t="e">
        <v>#N/A</v>
      </c>
      <c r="AO223" s="99" t="e">
        <v>#N/A</v>
      </c>
      <c r="AP223" s="99" t="e">
        <f>Tabla15[[#This Row],[Renov. Flota]]-Tabla15[[#This Row],[Año]]</f>
        <v>#N/A</v>
      </c>
      <c r="AQ223" s="100" t="e">
        <v>#N/A</v>
      </c>
      <c r="AR223" s="100" t="e">
        <f>VLOOKUP(Tabla15[[#This Row],[Matricula nueva]],'ALTA 20242025'!$B$2:$P$242,15,FALSE)</f>
        <v>#N/A</v>
      </c>
      <c r="AS223" s="101" t="e">
        <v>#N/A</v>
      </c>
      <c r="AT223" s="101"/>
      <c r="AU223" s="101"/>
      <c r="AV223" s="101"/>
      <c r="AW223" s="101" t="e">
        <f>VLOOKUP(Tabla15[[#This Row],[Matricula nueva]],Hoja2!$A$1:$B$224,2,FALSE)</f>
        <v>#N/A</v>
      </c>
      <c r="AX223" s="101" t="str">
        <f>IF(Tabla15[[#This Row],[Columna2]]="M1",5.1,"")</f>
        <v/>
      </c>
      <c r="AY223" s="101"/>
      <c r="AZ223" s="101"/>
      <c r="BA223" s="311">
        <f>IF(Tabla15[[#This Row],[Columna2]]="M1",13073,IF(Tabla15[[#This Row],[Columna2]]="N1",15815,IF(Tabla15[[#This Row],[Columna2]]="L3e",2831,53508)))</f>
        <v>53508</v>
      </c>
      <c r="BB223" s="311" t="e">
        <f>(Tabla15[[#This Row],[CVA]]*Tabla15[[#This Row],[F]]-Tabla15[[#This Row],[CVN]])/100*Tabla15[[#This Row],[L]]</f>
        <v>#VALUE!</v>
      </c>
      <c r="BC223" s="1"/>
      <c r="BD223" s="1" t="e">
        <f>VLOOKUP(B223,Tabla467824[[ID CAE2]:[AE '[kWh']]],6,FALSE)</f>
        <v>#N/A</v>
      </c>
      <c r="BE22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4" spans="1:57" ht="15.75" hidden="1" thickBot="1" x14ac:dyDescent="0.3">
      <c r="A224" s="53" t="s">
        <v>1365</v>
      </c>
      <c r="B224" s="53" t="e">
        <v>#N/A</v>
      </c>
      <c r="C224" s="100" t="s">
        <v>1366</v>
      </c>
      <c r="D224" s="100"/>
      <c r="E224" s="100"/>
      <c r="F224" s="100"/>
      <c r="G224" s="100"/>
      <c r="H224" s="100"/>
      <c r="I224" s="100"/>
      <c r="J224" s="100"/>
      <c r="K224" s="100" t="s">
        <v>73</v>
      </c>
      <c r="L224" s="100" t="s">
        <v>172</v>
      </c>
      <c r="M224" s="100" t="s">
        <v>1127</v>
      </c>
      <c r="N224" s="100" t="s">
        <v>76</v>
      </c>
      <c r="O224" s="100" t="e">
        <f>VLOOKUP(Tabla15[[#This Row],[Matricula Antigua]],BAJA2022202320242025!$B$3:$CR$245,93,FALSE)</f>
        <v>#N/A</v>
      </c>
      <c r="P224" s="315">
        <v>44765</v>
      </c>
      <c r="Q224" s="315" t="e">
        <f>Tabla15[[#This Row],[F.Vig.Final]]-Tabla15[[#This Row],[f Vig Inicio]]</f>
        <v>#N/A</v>
      </c>
      <c r="R224" s="315">
        <f>YEAR(Tabla15[[#This Row],[F.Vig.Final]])</f>
        <v>2022</v>
      </c>
      <c r="S224" s="100" t="s">
        <v>77</v>
      </c>
      <c r="T224" s="100" t="s">
        <v>78</v>
      </c>
      <c r="U224" s="100" t="s">
        <v>1362</v>
      </c>
      <c r="V224" s="100" t="s">
        <v>1367</v>
      </c>
      <c r="W224" s="100" t="s">
        <v>215</v>
      </c>
      <c r="X224" s="100" t="s">
        <v>216</v>
      </c>
      <c r="Y224" s="100" t="s">
        <v>217</v>
      </c>
      <c r="Z224" s="98">
        <f>COUNTIF($X$3:X224, X224)</f>
        <v>4</v>
      </c>
      <c r="AA224" s="98"/>
      <c r="AB224" s="98"/>
      <c r="AC224" s="98"/>
      <c r="AD224" s="98"/>
      <c r="AE224" s="98"/>
      <c r="AF224" s="98"/>
      <c r="AG224" s="98"/>
      <c r="AH224" s="98"/>
      <c r="AI224" s="98" t="e">
        <v>#N/A</v>
      </c>
      <c r="AJ224" s="98" t="e">
        <v>#N/A</v>
      </c>
      <c r="AK224" s="98" t="e">
        <v>#N/A</v>
      </c>
      <c r="AL224" s="98" t="e">
        <v>#N/A</v>
      </c>
      <c r="AM224" s="98" t="e">
        <v>#N/A</v>
      </c>
      <c r="AN224" s="99" t="e">
        <v>#N/A</v>
      </c>
      <c r="AO224" s="99" t="e">
        <v>#N/A</v>
      </c>
      <c r="AP224" s="99" t="e">
        <f>Tabla15[[#This Row],[Renov. Flota]]-Tabla15[[#This Row],[Año]]</f>
        <v>#N/A</v>
      </c>
      <c r="AQ224" s="100" t="e">
        <v>#N/A</v>
      </c>
      <c r="AR224" s="100" t="e">
        <f>VLOOKUP(Tabla15[[#This Row],[Matricula nueva]],'ALTA 20242025'!$B$2:$P$242,15,FALSE)</f>
        <v>#N/A</v>
      </c>
      <c r="AS224" s="101" t="e">
        <v>#N/A</v>
      </c>
      <c r="AT224" s="101"/>
      <c r="AU224" s="101"/>
      <c r="AV224" s="101"/>
      <c r="AW224" s="101" t="e">
        <f>VLOOKUP(Tabla15[[#This Row],[Matricula nueva]],Hoja2!$A$1:$B$224,2,FALSE)</f>
        <v>#N/A</v>
      </c>
      <c r="AX224" s="101" t="str">
        <f>IF(Tabla15[[#This Row],[Columna2]]="M1",5.1,"")</f>
        <v/>
      </c>
      <c r="AY224" s="101"/>
      <c r="AZ224" s="101"/>
      <c r="BA224" s="311">
        <f>IF(Tabla15[[#This Row],[Columna2]]="M1",13073,IF(Tabla15[[#This Row],[Columna2]]="N1",15815,IF(Tabla15[[#This Row],[Columna2]]="L3e",2831,53508)))</f>
        <v>53508</v>
      </c>
      <c r="BB224" s="311" t="e">
        <f>(Tabla15[[#This Row],[CVA]]*Tabla15[[#This Row],[F]]-Tabla15[[#This Row],[CVN]])/100*Tabla15[[#This Row],[L]]</f>
        <v>#VALUE!</v>
      </c>
      <c r="BC224" s="1"/>
      <c r="BD224" s="1" t="e">
        <f>VLOOKUP(B224,Tabla467824[[ID CAE2]:[AE '[kWh']]],6,FALSE)</f>
        <v>#N/A</v>
      </c>
      <c r="BE22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5" spans="1:57" ht="15.75" hidden="1" thickBot="1" x14ac:dyDescent="0.3">
      <c r="A225" s="53" t="s">
        <v>1368</v>
      </c>
      <c r="B225" s="53" t="e">
        <v>#N/A</v>
      </c>
      <c r="C225" s="100" t="s">
        <v>1369</v>
      </c>
      <c r="D225" s="100"/>
      <c r="E225" s="100"/>
      <c r="F225" s="100"/>
      <c r="G225" s="100"/>
      <c r="H225" s="100"/>
      <c r="I225" s="100"/>
      <c r="J225" s="100"/>
      <c r="K225" s="100" t="s">
        <v>129</v>
      </c>
      <c r="L225" s="100" t="s">
        <v>200</v>
      </c>
      <c r="M225" s="100" t="s">
        <v>201</v>
      </c>
      <c r="N225" s="100" t="s">
        <v>76</v>
      </c>
      <c r="O225" s="100" t="e">
        <f>VLOOKUP(Tabla15[[#This Row],[Matricula Antigua]],BAJA2022202320242025!$B$3:$CR$245,93,FALSE)</f>
        <v>#N/A</v>
      </c>
      <c r="P225" s="315">
        <v>44922</v>
      </c>
      <c r="Q225" s="315" t="e">
        <f>Tabla15[[#This Row],[F.Vig.Final]]-Tabla15[[#This Row],[f Vig Inicio]]</f>
        <v>#N/A</v>
      </c>
      <c r="R225" s="315">
        <f>YEAR(Tabla15[[#This Row],[F.Vig.Final]])</f>
        <v>2022</v>
      </c>
      <c r="S225" s="100" t="s">
        <v>77</v>
      </c>
      <c r="T225" s="100" t="s">
        <v>78</v>
      </c>
      <c r="U225" s="100" t="s">
        <v>380</v>
      </c>
      <c r="V225" s="100" t="s">
        <v>1370</v>
      </c>
      <c r="W225" s="100" t="s">
        <v>131</v>
      </c>
      <c r="X225" s="100" t="s">
        <v>132</v>
      </c>
      <c r="Y225" s="100" t="s">
        <v>133</v>
      </c>
      <c r="Z225" s="98">
        <f>COUNTIF($X$3:X225, X225)</f>
        <v>21</v>
      </c>
      <c r="AA225" s="98"/>
      <c r="AB225" s="98"/>
      <c r="AC225" s="98"/>
      <c r="AD225" s="98"/>
      <c r="AE225" s="98"/>
      <c r="AF225" s="98"/>
      <c r="AG225" s="98"/>
      <c r="AH225" s="98"/>
      <c r="AI225" s="98" t="e">
        <v>#N/A</v>
      </c>
      <c r="AJ225" s="98" t="e">
        <v>#N/A</v>
      </c>
      <c r="AK225" s="98" t="e">
        <v>#N/A</v>
      </c>
      <c r="AL225" s="98" t="e">
        <v>#N/A</v>
      </c>
      <c r="AM225" s="98" t="e">
        <v>#N/A</v>
      </c>
      <c r="AN225" s="99" t="e">
        <v>#N/A</v>
      </c>
      <c r="AO225" s="99" t="e">
        <v>#N/A</v>
      </c>
      <c r="AP225" s="99" t="e">
        <f>Tabla15[[#This Row],[Renov. Flota]]-Tabla15[[#This Row],[Año]]</f>
        <v>#N/A</v>
      </c>
      <c r="AQ225" s="100" t="e">
        <v>#N/A</v>
      </c>
      <c r="AR225" s="100" t="e">
        <f>VLOOKUP(Tabla15[[#This Row],[Matricula nueva]],'ALTA 20242025'!$B$2:$P$242,15,FALSE)</f>
        <v>#N/A</v>
      </c>
      <c r="AS225" s="101" t="e">
        <v>#N/A</v>
      </c>
      <c r="AT225" s="101"/>
      <c r="AU225" s="101"/>
      <c r="AV225" s="101"/>
      <c r="AW225" s="101" t="e">
        <f>VLOOKUP(Tabla15[[#This Row],[Matricula nueva]],Hoja2!$A$1:$B$224,2,FALSE)</f>
        <v>#N/A</v>
      </c>
      <c r="AX225" s="101" t="str">
        <f>IF(Tabla15[[#This Row],[Columna2]]="M1",5.1,"")</f>
        <v/>
      </c>
      <c r="AY225" s="101"/>
      <c r="AZ225" s="101"/>
      <c r="BA225" s="311">
        <f>IF(Tabla15[[#This Row],[Columna2]]="M1",13073,IF(Tabla15[[#This Row],[Columna2]]="N1",15815,IF(Tabla15[[#This Row],[Columna2]]="L3e",2831,53508)))</f>
        <v>53508</v>
      </c>
      <c r="BB225" s="311" t="e">
        <f>(Tabla15[[#This Row],[CVA]]*Tabla15[[#This Row],[F]]-Tabla15[[#This Row],[CVN]])/100*Tabla15[[#This Row],[L]]</f>
        <v>#VALUE!</v>
      </c>
      <c r="BC225" s="1"/>
      <c r="BD225" s="1" t="e">
        <f>VLOOKUP(B225,Tabla467824[[ID CAE2]:[AE '[kWh']]],6,FALSE)</f>
        <v>#N/A</v>
      </c>
      <c r="BE22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6" spans="1:57" ht="15.75" hidden="1" thickBot="1" x14ac:dyDescent="0.3">
      <c r="A226" s="53" t="s">
        <v>1371</v>
      </c>
      <c r="B226" s="53" t="e">
        <v>#N/A</v>
      </c>
      <c r="C226" s="100" t="s">
        <v>1372</v>
      </c>
      <c r="D226" s="100"/>
      <c r="E226" s="100"/>
      <c r="F226" s="100"/>
      <c r="G226" s="100"/>
      <c r="H226" s="100"/>
      <c r="I226" s="100"/>
      <c r="J226" s="100"/>
      <c r="K226" s="100" t="s">
        <v>73</v>
      </c>
      <c r="L226" s="100" t="s">
        <v>200</v>
      </c>
      <c r="M226" s="100" t="s">
        <v>201</v>
      </c>
      <c r="N226" s="100" t="s">
        <v>76</v>
      </c>
      <c r="O226" s="100" t="e">
        <f>VLOOKUP(Tabla15[[#This Row],[Matricula Antigua]],BAJA2022202320242025!$B$3:$CR$245,93,FALSE)</f>
        <v>#N/A</v>
      </c>
      <c r="P226" s="315">
        <v>44641</v>
      </c>
      <c r="Q226" s="315" t="e">
        <f>Tabla15[[#This Row],[F.Vig.Final]]-Tabla15[[#This Row],[f Vig Inicio]]</f>
        <v>#N/A</v>
      </c>
      <c r="R226" s="315">
        <f>YEAR(Tabla15[[#This Row],[F.Vig.Final]])</f>
        <v>2022</v>
      </c>
      <c r="S226" s="100" t="s">
        <v>77</v>
      </c>
      <c r="T226" s="100" t="s">
        <v>78</v>
      </c>
      <c r="U226" s="100" t="s">
        <v>359</v>
      </c>
      <c r="V226" s="100" t="s">
        <v>604</v>
      </c>
      <c r="W226" s="100" t="s">
        <v>1373</v>
      </c>
      <c r="X226" s="100" t="s">
        <v>1374</v>
      </c>
      <c r="Y226" s="100" t="s">
        <v>1375</v>
      </c>
      <c r="Z226" s="98">
        <f>COUNTIF($X$3:X226, X226)</f>
        <v>1</v>
      </c>
      <c r="AA226" s="98"/>
      <c r="AB226" s="98"/>
      <c r="AC226" s="98"/>
      <c r="AD226" s="98"/>
      <c r="AE226" s="98"/>
      <c r="AF226" s="98"/>
      <c r="AG226" s="98"/>
      <c r="AH226" s="98"/>
      <c r="AI226" s="98" t="e">
        <v>#N/A</v>
      </c>
      <c r="AJ226" s="98" t="e">
        <v>#N/A</v>
      </c>
      <c r="AK226" s="98" t="e">
        <v>#N/A</v>
      </c>
      <c r="AL226" s="98" t="e">
        <v>#N/A</v>
      </c>
      <c r="AM226" s="98" t="e">
        <v>#N/A</v>
      </c>
      <c r="AN226" s="99" t="e">
        <v>#N/A</v>
      </c>
      <c r="AO226" s="99" t="e">
        <v>#N/A</v>
      </c>
      <c r="AP226" s="99" t="e">
        <f>Tabla15[[#This Row],[Renov. Flota]]-Tabla15[[#This Row],[Año]]</f>
        <v>#N/A</v>
      </c>
      <c r="AQ226" s="100" t="e">
        <v>#N/A</v>
      </c>
      <c r="AR226" s="100" t="e">
        <f>VLOOKUP(Tabla15[[#This Row],[Matricula nueva]],'ALTA 20242025'!$B$2:$P$242,15,FALSE)</f>
        <v>#N/A</v>
      </c>
      <c r="AS226" s="101" t="e">
        <v>#N/A</v>
      </c>
      <c r="AT226" s="101"/>
      <c r="AU226" s="101"/>
      <c r="AV226" s="101"/>
      <c r="AW226" s="101" t="e">
        <f>VLOOKUP(Tabla15[[#This Row],[Matricula nueva]],Hoja2!$A$1:$B$224,2,FALSE)</f>
        <v>#N/A</v>
      </c>
      <c r="AX226" s="101" t="str">
        <f>IF(Tabla15[[#This Row],[Columna2]]="M1",5.1,"")</f>
        <v/>
      </c>
      <c r="AY226" s="101"/>
      <c r="AZ226" s="101"/>
      <c r="BA226" s="311">
        <f>IF(Tabla15[[#This Row],[Columna2]]="M1",13073,IF(Tabla15[[#This Row],[Columna2]]="N1",15815,IF(Tabla15[[#This Row],[Columna2]]="L3e",2831,53508)))</f>
        <v>53508</v>
      </c>
      <c r="BB226" s="311" t="e">
        <f>(Tabla15[[#This Row],[CVA]]*Tabla15[[#This Row],[F]]-Tabla15[[#This Row],[CVN]])/100*Tabla15[[#This Row],[L]]</f>
        <v>#VALUE!</v>
      </c>
      <c r="BC226" s="1"/>
      <c r="BD226" s="1" t="e">
        <f>VLOOKUP(B226,Tabla467824[[ID CAE2]:[AE '[kWh']]],6,FALSE)</f>
        <v>#N/A</v>
      </c>
      <c r="BE22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7" spans="1:57" ht="60" x14ac:dyDescent="0.25">
      <c r="A227" s="53" t="s">
        <v>1376</v>
      </c>
      <c r="B227" s="53" t="e">
        <v>#N/A</v>
      </c>
      <c r="C227" s="332" t="s">
        <v>1377</v>
      </c>
      <c r="D227" s="104"/>
      <c r="E227" s="104"/>
      <c r="F227" s="104"/>
      <c r="G227" s="104" t="s">
        <v>72</v>
      </c>
      <c r="H227" s="104"/>
      <c r="I227" s="104" t="s">
        <v>72</v>
      </c>
      <c r="J227" s="104"/>
      <c r="K227" s="96" t="s">
        <v>158</v>
      </c>
      <c r="L227" s="96" t="s">
        <v>159</v>
      </c>
      <c r="M227" s="96" t="s">
        <v>158</v>
      </c>
      <c r="N227" s="96" t="s">
        <v>171</v>
      </c>
      <c r="O227" s="99">
        <f>VLOOKUP(Tabla15[[#This Row],[Matricula Antigua]],BAJA2022202320242025!$B$3:$CR$245,93,FALSE)</f>
        <v>41393</v>
      </c>
      <c r="P227" s="316">
        <v>45124</v>
      </c>
      <c r="Q227" s="317">
        <f>Tabla15[[#This Row],[F.Vig.Final]]-Tabla15[[#This Row],[f Vig Inicio]]</f>
        <v>3731</v>
      </c>
      <c r="R227" s="318">
        <f>YEAR(Tabla15[[#This Row],[F.Vig.Final]])</f>
        <v>2023</v>
      </c>
      <c r="S227" s="96" t="s">
        <v>172</v>
      </c>
      <c r="T227" s="96" t="s">
        <v>78</v>
      </c>
      <c r="U227" s="96" t="s">
        <v>1185</v>
      </c>
      <c r="V227" s="96" t="s">
        <v>1378</v>
      </c>
      <c r="W227" s="96" t="s">
        <v>1050</v>
      </c>
      <c r="X227" s="332" t="s">
        <v>1051</v>
      </c>
      <c r="Y227" s="96" t="s">
        <v>1052</v>
      </c>
      <c r="Z227" s="98">
        <f>COUNTIF($X$3:X227, X227)</f>
        <v>9</v>
      </c>
      <c r="AA227" s="337" t="s">
        <v>1704</v>
      </c>
      <c r="AB227" s="337" t="s">
        <v>1704</v>
      </c>
      <c r="AC227" s="337" t="s">
        <v>1705</v>
      </c>
      <c r="AD227" s="341" t="s">
        <v>1706</v>
      </c>
      <c r="AE227" s="347" t="s">
        <v>1707</v>
      </c>
      <c r="AF227" s="337" t="s">
        <v>1708</v>
      </c>
      <c r="AG227" s="337" t="s">
        <v>1709</v>
      </c>
      <c r="AH227" s="337" t="s">
        <v>1649</v>
      </c>
      <c r="AI227" s="337" t="s">
        <v>1379</v>
      </c>
      <c r="AJ227" s="98" t="s">
        <v>85</v>
      </c>
      <c r="AK227" s="98" t="s">
        <v>86</v>
      </c>
      <c r="AL227" s="98" t="s">
        <v>87</v>
      </c>
      <c r="AM227" s="101" t="s">
        <v>1054</v>
      </c>
      <c r="AN227" s="348" t="s">
        <v>547</v>
      </c>
      <c r="AO227" s="349">
        <v>45671</v>
      </c>
      <c r="AP227" s="98">
        <f>Tabla15[[#This Row],[Renov. Flota]]-Tabla15[[#This Row],[Año]]</f>
        <v>2</v>
      </c>
      <c r="AQ227" s="100" t="s">
        <v>1050</v>
      </c>
      <c r="AR227" s="100" t="str">
        <f>VLOOKUP(Tabla15[[#This Row],[Matricula nueva]],'ALTA 20242025'!$B$2:$P$242,15,FALSE)</f>
        <v>4500426764</v>
      </c>
      <c r="AS227" s="101" t="s">
        <v>1051</v>
      </c>
      <c r="AT227" s="101"/>
      <c r="AU227" s="101" t="s">
        <v>72</v>
      </c>
      <c r="AV227" s="101" t="s">
        <v>1056</v>
      </c>
      <c r="AW227" s="101" t="str">
        <f>VLOOKUP(Tabla15[[#This Row],[Matricula nueva]],Hoja2!$A$1:$B$224,2,FALSE)</f>
        <v>VF1RFK00973824880</v>
      </c>
      <c r="AX227" s="209">
        <v>35</v>
      </c>
      <c r="AY227" s="208">
        <f>IF(T227="DIESEL",10,IF(T227="GLP",7.16,9.19))</f>
        <v>10</v>
      </c>
      <c r="AZ227" s="313">
        <v>17.3</v>
      </c>
      <c r="BA227" s="314">
        <f>IF(Tabla15[[#This Row],[Columna2]]="M1",13073,IF(Tabla15[[#This Row],[Columna2]]="N1",15815,IF(Tabla15[[#This Row],[Columna2]]="L3e",2831,53508)))</f>
        <v>53508</v>
      </c>
      <c r="BB227" s="350">
        <f>(Tabla15[[#This Row],[CVA]]*Tabla15[[#This Row],[F]]-Tabla15[[#This Row],[CVN]])/100*Tabla15[[#This Row],[L]]</f>
        <v>178021.11600000001</v>
      </c>
      <c r="BC227" s="69" t="s">
        <v>516</v>
      </c>
      <c r="BD227" s="294">
        <v>0</v>
      </c>
      <c r="BE22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28" spans="1:57" ht="52.5" thickBot="1" x14ac:dyDescent="0.3">
      <c r="A228" s="53" t="s">
        <v>1380</v>
      </c>
      <c r="B228" s="53" t="e">
        <v>#N/A</v>
      </c>
      <c r="C228" s="332" t="s">
        <v>1381</v>
      </c>
      <c r="D228" s="104"/>
      <c r="E228" s="104"/>
      <c r="F228" s="104"/>
      <c r="G228" s="104"/>
      <c r="H228" s="104"/>
      <c r="I228" s="104"/>
      <c r="J228" s="104"/>
      <c r="K228" s="96" t="s">
        <v>413</v>
      </c>
      <c r="L228" s="96" t="s">
        <v>414</v>
      </c>
      <c r="M228" s="96" t="s">
        <v>415</v>
      </c>
      <c r="N228" s="96" t="s">
        <v>171</v>
      </c>
      <c r="O228" s="101">
        <f>VLOOKUP(Tabla15[[#This Row],[Matricula Antigua]],BAJA2022202320242025!$B$3:$CR$245,93,FALSE)</f>
        <v>44562</v>
      </c>
      <c r="P228" s="316">
        <v>45199</v>
      </c>
      <c r="Q228" s="317">
        <f>Tabla15[[#This Row],[F.Vig.Final]]-Tabla15[[#This Row],[f Vig Inicio]]</f>
        <v>637</v>
      </c>
      <c r="R228" s="318">
        <f>YEAR(Tabla15[[#This Row],[F.Vig.Final]])</f>
        <v>2023</v>
      </c>
      <c r="S228" s="96" t="s">
        <v>172</v>
      </c>
      <c r="T228" s="96" t="s">
        <v>71</v>
      </c>
      <c r="U228" s="96" t="s">
        <v>1382</v>
      </c>
      <c r="V228" s="96" t="s">
        <v>1383</v>
      </c>
      <c r="W228" s="96" t="s">
        <v>204</v>
      </c>
      <c r="X228" s="332" t="s">
        <v>205</v>
      </c>
      <c r="Y228" s="96" t="s">
        <v>1081</v>
      </c>
      <c r="Z228" s="98">
        <f>COUNTIF($X$3:X228, X228)</f>
        <v>9</v>
      </c>
      <c r="AA228" s="337" t="s">
        <v>1661</v>
      </c>
      <c r="AB228" s="337" t="s">
        <v>1661</v>
      </c>
      <c r="AC228" s="337" t="s">
        <v>1662</v>
      </c>
      <c r="AD228" s="337" t="s">
        <v>1679</v>
      </c>
      <c r="AE228" s="351" t="s">
        <v>1664</v>
      </c>
      <c r="AF228" s="337" t="s">
        <v>1680</v>
      </c>
      <c r="AG228" s="337" t="s">
        <v>1681</v>
      </c>
      <c r="AH228" s="337" t="s">
        <v>1649</v>
      </c>
      <c r="AI228" s="337" t="s">
        <v>1384</v>
      </c>
      <c r="AJ228" s="98" t="s">
        <v>140</v>
      </c>
      <c r="AK228" s="98" t="s">
        <v>151</v>
      </c>
      <c r="AL228" s="98" t="s">
        <v>87</v>
      </c>
      <c r="AM228" s="101" t="s">
        <v>1385</v>
      </c>
      <c r="AN228" s="348" t="s">
        <v>89</v>
      </c>
      <c r="AO228" s="349">
        <v>45637</v>
      </c>
      <c r="AP228" s="98">
        <f>Tabla15[[#This Row],[Renov. Flota]]-Tabla15[[#This Row],[Año]]</f>
        <v>1</v>
      </c>
      <c r="AQ228" s="100" t="s">
        <v>204</v>
      </c>
      <c r="AR228" s="100" t="str">
        <f>VLOOKUP(Tabla15[[#This Row],[Matricula nueva]],'ALTA 20242025'!$B$2:$P$242,15,FALSE)</f>
        <v>4500424895</v>
      </c>
      <c r="AS228" s="101" t="s">
        <v>205</v>
      </c>
      <c r="AT228" s="101"/>
      <c r="AU228" s="101" t="s">
        <v>72</v>
      </c>
      <c r="AV228" s="101" t="s">
        <v>91</v>
      </c>
      <c r="AW228" s="101" t="str">
        <f>VLOOKUP(Tabla15[[#This Row],[Matricula nueva]],Hoja2!$A$1:$B$224,2,FALSE)</f>
        <v>VR7CBZYAXRT153034</v>
      </c>
      <c r="AX228" s="209">
        <v>2.9</v>
      </c>
      <c r="AY228" s="208">
        <f>IF(T228="DIESEL",10,IF(T228="GLP",7.16,9.19))</f>
        <v>9.19</v>
      </c>
      <c r="AZ228" s="313">
        <v>16.399999999999999</v>
      </c>
      <c r="BA228" s="314">
        <f>IF(Tabla15[[#This Row],[Columna2]]="M1",13073,IF(Tabla15[[#This Row],[Columna2]]="N1",15815,IF(Tabla15[[#This Row],[Columna2]]="L3e",2831,53508)))</f>
        <v>2831</v>
      </c>
      <c r="BB228" s="350">
        <f>(Tabla15[[#This Row],[CVA]]*Tabla15[[#This Row],[F]]-Tabla15[[#This Row],[CVN]])/100*Tabla15[[#This Row],[L]]</f>
        <v>290.20580999999993</v>
      </c>
      <c r="BC228" s="79" t="s">
        <v>157</v>
      </c>
      <c r="BD228" s="294">
        <v>0</v>
      </c>
      <c r="BE22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29" spans="1:57" ht="15.75" hidden="1" thickBot="1" x14ac:dyDescent="0.3">
      <c r="A229" s="101"/>
      <c r="B229" s="53" t="e">
        <v>#N/A</v>
      </c>
      <c r="C229" s="96" t="s">
        <v>1386</v>
      </c>
      <c r="D229" s="96"/>
      <c r="E229" s="96"/>
      <c r="F229" s="96"/>
      <c r="G229" s="96"/>
      <c r="H229" s="96"/>
      <c r="I229" s="96"/>
      <c r="J229" s="96"/>
      <c r="K229" s="96" t="s">
        <v>73</v>
      </c>
      <c r="L229" s="96" t="s">
        <v>200</v>
      </c>
      <c r="M229" s="96" t="s">
        <v>201</v>
      </c>
      <c r="N229" s="96" t="s">
        <v>76</v>
      </c>
      <c r="O229" s="101">
        <f>VLOOKUP(Tabla15[[#This Row],[Matricula Antigua]],BAJA2022202320242025!$B$3:$CR$245,93,FALSE)</f>
        <v>43860</v>
      </c>
      <c r="P229" s="99">
        <v>45687</v>
      </c>
      <c r="Q229" s="99">
        <f>Tabla15[[#This Row],[F.Vig.Final]]-Tabla15[[#This Row],[f Vig Inicio]]</f>
        <v>1827</v>
      </c>
      <c r="R229" s="99">
        <f>YEAR(Tabla15[[#This Row],[F.Vig.Final]])</f>
        <v>2025</v>
      </c>
      <c r="S229" s="96" t="s">
        <v>77</v>
      </c>
      <c r="T229" s="96" t="s">
        <v>78</v>
      </c>
      <c r="U229" s="96" t="s">
        <v>359</v>
      </c>
      <c r="V229" s="96" t="s">
        <v>1387</v>
      </c>
      <c r="W229" s="96" t="s">
        <v>119</v>
      </c>
      <c r="X229" s="96" t="s">
        <v>120</v>
      </c>
      <c r="Y229" s="96" t="s">
        <v>770</v>
      </c>
      <c r="Z229" s="98">
        <f>COUNTIF($X$3:X229, X229)</f>
        <v>3</v>
      </c>
      <c r="AA229" s="98"/>
      <c r="AB229" s="98"/>
      <c r="AC229" s="98"/>
      <c r="AD229" s="98"/>
      <c r="AE229" s="98"/>
      <c r="AF229" s="98"/>
      <c r="AG229" s="98"/>
      <c r="AH229" s="98"/>
      <c r="AI229" s="98" t="e">
        <v>#N/A</v>
      </c>
      <c r="AJ229" s="98" t="e">
        <v>#N/A</v>
      </c>
      <c r="AK229" s="98" t="e">
        <v>#N/A</v>
      </c>
      <c r="AL229" s="98" t="e">
        <v>#N/A</v>
      </c>
      <c r="AM229" s="98" t="e">
        <v>#N/A</v>
      </c>
      <c r="AN229" s="99" t="e">
        <v>#N/A</v>
      </c>
      <c r="AO229" s="99" t="e">
        <v>#N/A</v>
      </c>
      <c r="AP229" s="99" t="e">
        <f>Tabla15[[#This Row],[Renov. Flota]]-Tabla15[[#This Row],[Año]]</f>
        <v>#N/A</v>
      </c>
      <c r="AQ229" s="100" t="e">
        <v>#N/A</v>
      </c>
      <c r="AR229" s="100" t="e">
        <f>VLOOKUP(Tabla15[[#This Row],[Matricula nueva]],'ALTA 20242025'!$B$2:$P$242,15,FALSE)</f>
        <v>#N/A</v>
      </c>
      <c r="AS229" s="101" t="e">
        <v>#N/A</v>
      </c>
      <c r="AT229" s="101"/>
      <c r="AU229" s="101"/>
      <c r="AV229" s="101"/>
      <c r="AW229" s="101" t="e">
        <f>VLOOKUP(Tabla15[[#This Row],[Matricula nueva]],Hoja2!$A$1:$B$224,2,FALSE)</f>
        <v>#N/A</v>
      </c>
      <c r="AX229" s="101" t="str">
        <f>IF(Tabla15[[#This Row],[Columna2]]="M1",5.1,"")</f>
        <v/>
      </c>
      <c r="AY229" s="101"/>
      <c r="AZ229" s="101"/>
      <c r="BA229" s="311">
        <f>IF(Tabla15[[#This Row],[Columna2]]="M1",13073,IF(Tabla15[[#This Row],[Columna2]]="N1",15815,IF(Tabla15[[#This Row],[Columna2]]="L3e",2831,53508)))</f>
        <v>53508</v>
      </c>
      <c r="BB229" s="311" t="e">
        <f>(Tabla15[[#This Row],[CVA]]*Tabla15[[#This Row],[F]]-Tabla15[[#This Row],[CVN]])/100*Tabla15[[#This Row],[L]]</f>
        <v>#VALUE!</v>
      </c>
      <c r="BC229" s="1"/>
      <c r="BD229" s="1" t="e">
        <f>VLOOKUP(B229,Tabla467824[[ID CAE2]:[AE '[kWh']]],6,FALSE)</f>
        <v>#N/A</v>
      </c>
      <c r="BE22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30" spans="1:57" ht="15.75" hidden="1" thickBot="1" x14ac:dyDescent="0.3">
      <c r="A230" s="101"/>
      <c r="B230" s="53" t="e">
        <v>#N/A</v>
      </c>
      <c r="C230" s="100" t="s">
        <v>1388</v>
      </c>
      <c r="D230" s="100"/>
      <c r="E230" s="100"/>
      <c r="F230" s="100"/>
      <c r="G230" s="100"/>
      <c r="H230" s="100"/>
      <c r="I230" s="100"/>
      <c r="J230" s="100"/>
      <c r="K230" s="100" t="s">
        <v>129</v>
      </c>
      <c r="L230" s="100" t="s">
        <v>74</v>
      </c>
      <c r="M230" s="100" t="s">
        <v>75</v>
      </c>
      <c r="N230" s="100" t="s">
        <v>76</v>
      </c>
      <c r="O230" s="100" t="e">
        <f>VLOOKUP(Tabla15[[#This Row],[Matricula Antigua]],BAJA2022202320242025!$B$3:$CR$245,93,FALSE)</f>
        <v>#N/A</v>
      </c>
      <c r="P230" s="315">
        <v>44634</v>
      </c>
      <c r="Q230" s="315" t="e">
        <f>Tabla15[[#This Row],[F.Vig.Final]]-Tabla15[[#This Row],[f Vig Inicio]]</f>
        <v>#N/A</v>
      </c>
      <c r="R230" s="315">
        <f>YEAR(Tabla15[[#This Row],[F.Vig.Final]])</f>
        <v>2022</v>
      </c>
      <c r="S230" s="100" t="s">
        <v>77</v>
      </c>
      <c r="T230" s="100" t="s">
        <v>78</v>
      </c>
      <c r="U230" s="100" t="s">
        <v>380</v>
      </c>
      <c r="V230" s="100" t="s">
        <v>1389</v>
      </c>
      <c r="W230" s="100" t="s">
        <v>131</v>
      </c>
      <c r="X230" s="100" t="s">
        <v>132</v>
      </c>
      <c r="Y230" s="100" t="s">
        <v>1390</v>
      </c>
      <c r="Z230" s="98">
        <f>COUNTIF($X$3:X230, X230)</f>
        <v>22</v>
      </c>
      <c r="AA230" s="98"/>
      <c r="AB230" s="98"/>
      <c r="AC230" s="98"/>
      <c r="AD230" s="98"/>
      <c r="AE230" s="98"/>
      <c r="AF230" s="98"/>
      <c r="AG230" s="98"/>
      <c r="AH230" s="98"/>
      <c r="AI230" s="98" t="e">
        <v>#N/A</v>
      </c>
      <c r="AJ230" s="98" t="e">
        <v>#N/A</v>
      </c>
      <c r="AK230" s="98" t="e">
        <v>#N/A</v>
      </c>
      <c r="AL230" s="98" t="e">
        <v>#N/A</v>
      </c>
      <c r="AM230" s="98" t="e">
        <v>#N/A</v>
      </c>
      <c r="AN230" s="99" t="e">
        <v>#N/A</v>
      </c>
      <c r="AO230" s="99" t="e">
        <v>#N/A</v>
      </c>
      <c r="AP230" s="99" t="e">
        <f>Tabla15[[#This Row],[Renov. Flota]]-Tabla15[[#This Row],[Año]]</f>
        <v>#N/A</v>
      </c>
      <c r="AQ230" s="100" t="e">
        <v>#N/A</v>
      </c>
      <c r="AR230" s="100" t="e">
        <f>VLOOKUP(Tabla15[[#This Row],[Matricula nueva]],'ALTA 20242025'!$B$2:$P$242,15,FALSE)</f>
        <v>#N/A</v>
      </c>
      <c r="AS230" s="101" t="e">
        <v>#N/A</v>
      </c>
      <c r="AT230" s="101"/>
      <c r="AU230" s="101"/>
      <c r="AV230" s="101"/>
      <c r="AW230" s="101" t="e">
        <f>VLOOKUP(Tabla15[[#This Row],[Matricula nueva]],Hoja2!$A$1:$B$224,2,FALSE)</f>
        <v>#N/A</v>
      </c>
      <c r="AX230" s="101" t="str">
        <f>IF(Tabla15[[#This Row],[Columna2]]="M1",5.1,"")</f>
        <v/>
      </c>
      <c r="AY230" s="101"/>
      <c r="AZ230" s="101"/>
      <c r="BA230" s="311">
        <f>IF(Tabla15[[#This Row],[Columna2]]="M1",13073,IF(Tabla15[[#This Row],[Columna2]]="N1",15815,IF(Tabla15[[#This Row],[Columna2]]="L3e",2831,53508)))</f>
        <v>53508</v>
      </c>
      <c r="BB230" s="311" t="e">
        <f>(Tabla15[[#This Row],[CVA]]*Tabla15[[#This Row],[F]]-Tabla15[[#This Row],[CVN]])/100*Tabla15[[#This Row],[L]]</f>
        <v>#VALUE!</v>
      </c>
      <c r="BC230" s="1"/>
      <c r="BD230" s="1" t="e">
        <f>VLOOKUP(B230,Tabla467824[[ID CAE2]:[AE '[kWh']]],6,FALSE)</f>
        <v>#N/A</v>
      </c>
      <c r="BE23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31" spans="1:57" ht="15.75" hidden="1" thickBot="1" x14ac:dyDescent="0.3">
      <c r="A231" s="101"/>
      <c r="B231" s="53" t="e">
        <v>#N/A</v>
      </c>
      <c r="C231" s="96" t="s">
        <v>1391</v>
      </c>
      <c r="D231" s="96"/>
      <c r="E231" s="96"/>
      <c r="F231" s="96"/>
      <c r="G231" s="96"/>
      <c r="H231" s="96"/>
      <c r="I231" s="96"/>
      <c r="J231" s="96"/>
      <c r="K231" s="96" t="s">
        <v>158</v>
      </c>
      <c r="L231" s="96" t="s">
        <v>159</v>
      </c>
      <c r="M231" s="96" t="s">
        <v>158</v>
      </c>
      <c r="N231" s="96" t="s">
        <v>171</v>
      </c>
      <c r="O231" s="101">
        <f>VLOOKUP(Tabla15[[#This Row],[Matricula Antigua]],BAJA2022202320242025!$B$3:$CR$245,93,FALSE)</f>
        <v>44136</v>
      </c>
      <c r="P231" s="316">
        <v>45016</v>
      </c>
      <c r="Q231" s="316">
        <f>Tabla15[[#This Row],[F.Vig.Final]]-Tabla15[[#This Row],[f Vig Inicio]]</f>
        <v>880</v>
      </c>
      <c r="R231" s="316">
        <f>YEAR(Tabla15[[#This Row],[F.Vig.Final]])</f>
        <v>2023</v>
      </c>
      <c r="S231" s="96" t="s">
        <v>172</v>
      </c>
      <c r="T231" s="96" t="s">
        <v>78</v>
      </c>
      <c r="U231" s="96" t="s">
        <v>1338</v>
      </c>
      <c r="V231" s="96" t="s">
        <v>1338</v>
      </c>
      <c r="W231" s="96" t="s">
        <v>131</v>
      </c>
      <c r="X231" s="96" t="s">
        <v>132</v>
      </c>
      <c r="Y231" s="96" t="s">
        <v>610</v>
      </c>
      <c r="Z231" s="98">
        <f>COUNTIF($X$3:X231, X231)</f>
        <v>23</v>
      </c>
      <c r="AA231" s="98"/>
      <c r="AB231" s="98"/>
      <c r="AC231" s="98"/>
      <c r="AD231" s="98"/>
      <c r="AE231" s="98"/>
      <c r="AF231" s="98"/>
      <c r="AG231" s="98"/>
      <c r="AH231" s="98"/>
      <c r="AI231" s="98" t="s">
        <v>1392</v>
      </c>
      <c r="AJ231" s="98" t="s">
        <v>140</v>
      </c>
      <c r="AK231" s="98" t="s">
        <v>151</v>
      </c>
      <c r="AL231" s="98" t="s">
        <v>87</v>
      </c>
      <c r="AM231" s="98" t="s">
        <v>135</v>
      </c>
      <c r="AN231" s="316" t="s">
        <v>89</v>
      </c>
      <c r="AO231" s="99">
        <v>45625</v>
      </c>
      <c r="AP231" s="99">
        <f>Tabla15[[#This Row],[Renov. Flota]]-Tabla15[[#This Row],[Año]]</f>
        <v>1</v>
      </c>
      <c r="AQ231" s="100" t="s">
        <v>131</v>
      </c>
      <c r="AR231" s="100" t="str">
        <f>VLOOKUP(Tabla15[[#This Row],[Matricula nueva]],'ALTA 20242025'!$B$2:$P$242,15,FALSE)</f>
        <v>4500426702</v>
      </c>
      <c r="AS231" s="101" t="s">
        <v>132</v>
      </c>
      <c r="AT231" s="101"/>
      <c r="AU231" s="101"/>
      <c r="AV231" s="101"/>
      <c r="AW231" s="101" t="str">
        <f>VLOOKUP(Tabla15[[#This Row],[Matricula nueva]],Hoja2!$A$1:$B$224,2,FALSE)</f>
        <v>VR7CBZYA7ST000178</v>
      </c>
      <c r="AX231" s="209" t="str">
        <f>IF(Tabla15[[#This Row],[Columna2]]="M1",5.1,"")</f>
        <v/>
      </c>
      <c r="AY231" s="208">
        <f>IF(T231="DIESEL",10,IF(T231="GLP",7.16,9.19))</f>
        <v>10</v>
      </c>
      <c r="AZ231" s="313">
        <v>16.399999999999999</v>
      </c>
      <c r="BA231" s="314"/>
      <c r="BB231" s="314"/>
      <c r="BD231" s="43" t="e">
        <f>VLOOKUP(B231,Tabla467824[[ID CAE2]:[AE '[kWh']]],6,FALSE)</f>
        <v>#N/A</v>
      </c>
      <c r="BE23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32" spans="1:57" ht="15.75" hidden="1" thickBot="1" x14ac:dyDescent="0.3">
      <c r="A232" s="101"/>
      <c r="B232" s="53" t="e">
        <v>#N/A</v>
      </c>
      <c r="C232" s="100" t="s">
        <v>1393</v>
      </c>
      <c r="D232" s="100"/>
      <c r="E232" s="100"/>
      <c r="F232" s="100"/>
      <c r="G232" s="100"/>
      <c r="H232" s="100"/>
      <c r="I232" s="100"/>
      <c r="J232" s="100"/>
      <c r="K232" s="100" t="s">
        <v>73</v>
      </c>
      <c r="L232" s="100" t="s">
        <v>200</v>
      </c>
      <c r="M232" s="100" t="s">
        <v>201</v>
      </c>
      <c r="N232" s="100" t="s">
        <v>76</v>
      </c>
      <c r="O232" s="100" t="e">
        <f>VLOOKUP(Tabla15[[#This Row],[Matricula Antigua]],BAJA2022202320242025!$B$3:$CR$245,93,FALSE)</f>
        <v>#N/A</v>
      </c>
      <c r="P232" s="315">
        <v>44749</v>
      </c>
      <c r="Q232" s="315" t="e">
        <f>Tabla15[[#This Row],[F.Vig.Final]]-Tabla15[[#This Row],[f Vig Inicio]]</f>
        <v>#N/A</v>
      </c>
      <c r="R232" s="315">
        <f>YEAR(Tabla15[[#This Row],[F.Vig.Final]])</f>
        <v>2022</v>
      </c>
      <c r="S232" s="100" t="s">
        <v>77</v>
      </c>
      <c r="T232" s="100" t="s">
        <v>78</v>
      </c>
      <c r="U232" s="100" t="s">
        <v>359</v>
      </c>
      <c r="V232" s="100" t="s">
        <v>604</v>
      </c>
      <c r="W232" s="100" t="s">
        <v>215</v>
      </c>
      <c r="X232" s="100" t="s">
        <v>216</v>
      </c>
      <c r="Y232" s="100" t="s">
        <v>507</v>
      </c>
      <c r="Z232" s="98">
        <f>COUNTIF($X$3:X232, X232)</f>
        <v>5</v>
      </c>
      <c r="AA232" s="98"/>
      <c r="AB232" s="98"/>
      <c r="AC232" s="98"/>
      <c r="AD232" s="98"/>
      <c r="AE232" s="98"/>
      <c r="AF232" s="98"/>
      <c r="AG232" s="98"/>
      <c r="AH232" s="98"/>
      <c r="AI232" s="98" t="e">
        <v>#N/A</v>
      </c>
      <c r="AJ232" s="98" t="e">
        <v>#N/A</v>
      </c>
      <c r="AK232" s="98" t="e">
        <v>#N/A</v>
      </c>
      <c r="AL232" s="98" t="e">
        <v>#N/A</v>
      </c>
      <c r="AM232" s="98" t="e">
        <v>#N/A</v>
      </c>
      <c r="AN232" s="99" t="e">
        <v>#N/A</v>
      </c>
      <c r="AO232" s="99" t="e">
        <v>#N/A</v>
      </c>
      <c r="AP232" s="99" t="e">
        <f>Tabla15[[#This Row],[Renov. Flota]]-Tabla15[[#This Row],[Año]]</f>
        <v>#N/A</v>
      </c>
      <c r="AQ232" s="100" t="e">
        <v>#N/A</v>
      </c>
      <c r="AR232" s="100" t="e">
        <f>VLOOKUP(Tabla15[[#This Row],[Matricula nueva]],'ALTA 20242025'!$B$2:$P$242,15,FALSE)</f>
        <v>#N/A</v>
      </c>
      <c r="AS232" s="101" t="e">
        <v>#N/A</v>
      </c>
      <c r="AT232" s="101"/>
      <c r="AU232" s="101"/>
      <c r="AV232" s="101"/>
      <c r="AW232" s="101" t="e">
        <f>VLOOKUP(Tabla15[[#This Row],[Matricula nueva]],Hoja2!$A$1:$B$224,2,FALSE)</f>
        <v>#N/A</v>
      </c>
      <c r="AX232" s="101" t="str">
        <f>IF(Tabla15[[#This Row],[Columna2]]="M1",5.1,"")</f>
        <v/>
      </c>
      <c r="AY232" s="101"/>
      <c r="AZ232" s="101"/>
      <c r="BA232" s="311">
        <f>IF(Tabla15[[#This Row],[Columna2]]="M1",13073,IF(Tabla15[[#This Row],[Columna2]]="N1",15815,IF(Tabla15[[#This Row],[Columna2]]="L3e",2831,53508)))</f>
        <v>53508</v>
      </c>
      <c r="BB232" s="311" t="e">
        <f>(Tabla15[[#This Row],[CVA]]*Tabla15[[#This Row],[F]]-Tabla15[[#This Row],[CVN]])/100*Tabla15[[#This Row],[L]]</f>
        <v>#VALUE!</v>
      </c>
      <c r="BC232" s="1"/>
      <c r="BD232" s="1" t="e">
        <f>VLOOKUP(B232,Tabla467824[[ID CAE2]:[AE '[kWh']]],6,FALSE)</f>
        <v>#N/A</v>
      </c>
      <c r="BE23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33" spans="1:57" ht="15.75" hidden="1" thickBot="1" x14ac:dyDescent="0.3">
      <c r="A233" s="101"/>
      <c r="B233" s="53" t="e">
        <v>#N/A</v>
      </c>
      <c r="C233" s="100" t="s">
        <v>1394</v>
      </c>
      <c r="D233" s="100"/>
      <c r="E233" s="100"/>
      <c r="F233" s="100"/>
      <c r="G233" s="100"/>
      <c r="H233" s="100"/>
      <c r="I233" s="100"/>
      <c r="J233" s="100"/>
      <c r="K233" s="100" t="s">
        <v>73</v>
      </c>
      <c r="L233" s="100" t="s">
        <v>74</v>
      </c>
      <c r="M233" s="100" t="s">
        <v>75</v>
      </c>
      <c r="N233" s="100" t="s">
        <v>76</v>
      </c>
      <c r="O233" s="100" t="e">
        <f>VLOOKUP(Tabla15[[#This Row],[Matricula Antigua]],BAJA2022202320242025!$B$3:$CR$245,93,FALSE)</f>
        <v>#N/A</v>
      </c>
      <c r="P233" s="315">
        <v>44756</v>
      </c>
      <c r="Q233" s="315" t="e">
        <f>Tabla15[[#This Row],[F.Vig.Final]]-Tabla15[[#This Row],[f Vig Inicio]]</f>
        <v>#N/A</v>
      </c>
      <c r="R233" s="315">
        <f>YEAR(Tabla15[[#This Row],[F.Vig.Final]])</f>
        <v>2022</v>
      </c>
      <c r="S233" s="100" t="s">
        <v>77</v>
      </c>
      <c r="T233" s="100" t="s">
        <v>78</v>
      </c>
      <c r="U233" s="100" t="s">
        <v>140</v>
      </c>
      <c r="V233" s="100" t="s">
        <v>1395</v>
      </c>
      <c r="W233" s="100" t="s">
        <v>1396</v>
      </c>
      <c r="X233" s="100" t="s">
        <v>1397</v>
      </c>
      <c r="Y233" s="100" t="s">
        <v>1398</v>
      </c>
      <c r="Z233" s="98">
        <f>COUNTIF($X$3:X233, X233)</f>
        <v>1</v>
      </c>
      <c r="AA233" s="98"/>
      <c r="AB233" s="98"/>
      <c r="AC233" s="98"/>
      <c r="AD233" s="98"/>
      <c r="AE233" s="98"/>
      <c r="AF233" s="98"/>
      <c r="AG233" s="98"/>
      <c r="AH233" s="98"/>
      <c r="AI233" s="98" t="e">
        <v>#N/A</v>
      </c>
      <c r="AJ233" s="98" t="e">
        <v>#N/A</v>
      </c>
      <c r="AK233" s="98" t="e">
        <v>#N/A</v>
      </c>
      <c r="AL233" s="98" t="e">
        <v>#N/A</v>
      </c>
      <c r="AM233" s="98" t="e">
        <v>#N/A</v>
      </c>
      <c r="AN233" s="99" t="e">
        <v>#N/A</v>
      </c>
      <c r="AO233" s="99" t="e">
        <v>#N/A</v>
      </c>
      <c r="AP233" s="99" t="e">
        <f>Tabla15[[#This Row],[Renov. Flota]]-Tabla15[[#This Row],[Año]]</f>
        <v>#N/A</v>
      </c>
      <c r="AQ233" s="100" t="e">
        <v>#N/A</v>
      </c>
      <c r="AR233" s="100" t="e">
        <f>VLOOKUP(Tabla15[[#This Row],[Matricula nueva]],'ALTA 20242025'!$B$2:$P$242,15,FALSE)</f>
        <v>#N/A</v>
      </c>
      <c r="AS233" s="101" t="e">
        <v>#N/A</v>
      </c>
      <c r="AT233" s="101"/>
      <c r="AU233" s="101"/>
      <c r="AV233" s="101"/>
      <c r="AW233" s="101" t="e">
        <f>VLOOKUP(Tabla15[[#This Row],[Matricula nueva]],Hoja2!$A$1:$B$224,2,FALSE)</f>
        <v>#N/A</v>
      </c>
      <c r="AX233" s="101" t="str">
        <f>IF(Tabla15[[#This Row],[Columna2]]="M1",5.1,"")</f>
        <v/>
      </c>
      <c r="AY233" s="101"/>
      <c r="AZ233" s="101"/>
      <c r="BA233" s="311">
        <f>IF(Tabla15[[#This Row],[Columna2]]="M1",13073,IF(Tabla15[[#This Row],[Columna2]]="N1",15815,IF(Tabla15[[#This Row],[Columna2]]="L3e",2831,53508)))</f>
        <v>53508</v>
      </c>
      <c r="BB233" s="311" t="e">
        <f>(Tabla15[[#This Row],[CVA]]*Tabla15[[#This Row],[F]]-Tabla15[[#This Row],[CVN]])/100*Tabla15[[#This Row],[L]]</f>
        <v>#VALUE!</v>
      </c>
      <c r="BC233" s="1"/>
      <c r="BD233" s="1" t="e">
        <f>VLOOKUP(B233,Tabla467824[[ID CAE2]:[AE '[kWh']]],6,FALSE)</f>
        <v>#N/A</v>
      </c>
      <c r="BE23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34" spans="1:57" ht="15.75" hidden="1" thickBot="1" x14ac:dyDescent="0.3">
      <c r="A234" s="101"/>
      <c r="B234" s="53" t="e">
        <v>#N/A</v>
      </c>
      <c r="C234" s="96" t="s">
        <v>1399</v>
      </c>
      <c r="D234" s="96"/>
      <c r="E234" s="96"/>
      <c r="F234" s="96"/>
      <c r="G234" s="96"/>
      <c r="H234" s="96"/>
      <c r="I234" s="96"/>
      <c r="J234" s="96"/>
      <c r="K234" s="96" t="s">
        <v>158</v>
      </c>
      <c r="L234" s="96" t="s">
        <v>159</v>
      </c>
      <c r="M234" s="96" t="s">
        <v>158</v>
      </c>
      <c r="N234" s="96" t="s">
        <v>171</v>
      </c>
      <c r="O234" s="101">
        <f>VLOOKUP(Tabla15[[#This Row],[Matricula Antigua]],BAJA2022202320242025!$B$3:$CR$245,93,FALSE)</f>
        <v>42736</v>
      </c>
      <c r="P234" s="316">
        <v>45771</v>
      </c>
      <c r="Q234" s="316">
        <f>Tabla15[[#This Row],[F.Vig.Final]]-Tabla15[[#This Row],[f Vig Inicio]]</f>
        <v>3035</v>
      </c>
      <c r="R234" s="316">
        <f>YEAR(Tabla15[[#This Row],[F.Vig.Final]])</f>
        <v>2025</v>
      </c>
      <c r="S234" s="96" t="s">
        <v>172</v>
      </c>
      <c r="T234" s="96" t="s">
        <v>71</v>
      </c>
      <c r="U234" s="96" t="s">
        <v>1338</v>
      </c>
      <c r="V234" s="96" t="s">
        <v>1338</v>
      </c>
      <c r="W234" s="96" t="s">
        <v>119</v>
      </c>
      <c r="X234" s="96" t="s">
        <v>120</v>
      </c>
      <c r="Y234" s="96" t="s">
        <v>1400</v>
      </c>
      <c r="Z234" s="98">
        <f>COUNTIF($X$3:X234, X234)</f>
        <v>4</v>
      </c>
      <c r="AA234" s="98"/>
      <c r="AB234" s="98"/>
      <c r="AC234" s="98"/>
      <c r="AD234" s="98"/>
      <c r="AE234" s="98"/>
      <c r="AF234" s="98"/>
      <c r="AG234" s="98"/>
      <c r="AH234" s="98"/>
      <c r="AI234" s="98" t="s">
        <v>1401</v>
      </c>
      <c r="AJ234" s="98" t="s">
        <v>140</v>
      </c>
      <c r="AK234" s="98" t="s">
        <v>151</v>
      </c>
      <c r="AL234" s="98" t="s">
        <v>87</v>
      </c>
      <c r="AM234" s="98" t="s">
        <v>501</v>
      </c>
      <c r="AN234" s="316" t="s">
        <v>89</v>
      </c>
      <c r="AO234" s="99">
        <v>45622</v>
      </c>
      <c r="AP234" s="99">
        <f>Tabla15[[#This Row],[Renov. Flota]]-Tabla15[[#This Row],[Año]]</f>
        <v>-1</v>
      </c>
      <c r="AQ234" s="100" t="s">
        <v>119</v>
      </c>
      <c r="AR234" s="100" t="str">
        <f>VLOOKUP(Tabla15[[#This Row],[Matricula nueva]],'ALTA 20242025'!$B$2:$P$242,15,FALSE)</f>
        <v>4500424811</v>
      </c>
      <c r="AS234" s="101" t="s">
        <v>120</v>
      </c>
      <c r="AT234" s="101"/>
      <c r="AU234" s="101"/>
      <c r="AV234" s="101"/>
      <c r="AW234" s="101" t="str">
        <f>VLOOKUP(Tabla15[[#This Row],[Matricula nueva]],Hoja2!$A$1:$B$224,2,FALSE)</f>
        <v>VR7CBZYA8RT152190</v>
      </c>
      <c r="AX234" s="209" t="str">
        <f>IF(Tabla15[[#This Row],[Columna2]]="M1",5.1,"")</f>
        <v/>
      </c>
      <c r="AY234" s="208">
        <f>IF(T234="DIESEL",10,IF(T234="GLP",7.16,9.19))</f>
        <v>9.19</v>
      </c>
      <c r="AZ234" s="313">
        <v>16.399999999999999</v>
      </c>
      <c r="BA234" s="314"/>
      <c r="BB234" s="314"/>
      <c r="BD234" s="43" t="e">
        <f>VLOOKUP(B234,Tabla467824[[ID CAE2]:[AE '[kWh']]],6,FALSE)</f>
        <v>#N/A</v>
      </c>
      <c r="BE23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35" spans="1:57" ht="15.75" hidden="1" thickBot="1" x14ac:dyDescent="0.3">
      <c r="A235" s="101"/>
      <c r="B235" s="53" t="e">
        <v>#N/A</v>
      </c>
      <c r="C235" s="96" t="s">
        <v>1402</v>
      </c>
      <c r="D235" s="96"/>
      <c r="E235" s="96"/>
      <c r="F235" s="96"/>
      <c r="G235" s="96"/>
      <c r="H235" s="96"/>
      <c r="I235" s="96"/>
      <c r="J235" s="96"/>
      <c r="K235" s="96" t="s">
        <v>158</v>
      </c>
      <c r="L235" s="96" t="s">
        <v>159</v>
      </c>
      <c r="M235" s="96" t="s">
        <v>158</v>
      </c>
      <c r="N235" s="96" t="s">
        <v>171</v>
      </c>
      <c r="O235" s="101">
        <f>VLOOKUP(Tabla15[[#This Row],[Matricula Antigua]],BAJA2022202320242025!$B$3:$CR$245,93,FALSE)</f>
        <v>44136</v>
      </c>
      <c r="P235" s="316">
        <v>45279</v>
      </c>
      <c r="Q235" s="316">
        <f>Tabla15[[#This Row],[F.Vig.Final]]-Tabla15[[#This Row],[f Vig Inicio]]</f>
        <v>1143</v>
      </c>
      <c r="R235" s="316">
        <f>YEAR(Tabla15[[#This Row],[F.Vig.Final]])</f>
        <v>2023</v>
      </c>
      <c r="S235" s="96" t="s">
        <v>172</v>
      </c>
      <c r="T235" s="96" t="s">
        <v>78</v>
      </c>
      <c r="U235" s="96" t="s">
        <v>1338</v>
      </c>
      <c r="V235" s="96" t="s">
        <v>1338</v>
      </c>
      <c r="W235" s="96" t="s">
        <v>131</v>
      </c>
      <c r="X235" s="96" t="s">
        <v>132</v>
      </c>
      <c r="Y235" s="96" t="s">
        <v>1403</v>
      </c>
      <c r="Z235" s="98">
        <f>COUNTIF($X$3:X235, X235)</f>
        <v>24</v>
      </c>
      <c r="AA235" s="98"/>
      <c r="AB235" s="98"/>
      <c r="AC235" s="98"/>
      <c r="AD235" s="98"/>
      <c r="AE235" s="98"/>
      <c r="AF235" s="98"/>
      <c r="AG235" s="98"/>
      <c r="AH235" s="98"/>
      <c r="AI235" s="98" t="s">
        <v>1404</v>
      </c>
      <c r="AJ235" s="98" t="s">
        <v>85</v>
      </c>
      <c r="AK235" s="98" t="s">
        <v>86</v>
      </c>
      <c r="AL235" s="98" t="s">
        <v>87</v>
      </c>
      <c r="AM235" s="98" t="s">
        <v>318</v>
      </c>
      <c r="AN235" s="316" t="s">
        <v>89</v>
      </c>
      <c r="AO235" s="99">
        <v>45625</v>
      </c>
      <c r="AP235" s="99">
        <f>Tabla15[[#This Row],[Renov. Flota]]-Tabla15[[#This Row],[Año]]</f>
        <v>1</v>
      </c>
      <c r="AQ235" s="100" t="s">
        <v>131</v>
      </c>
      <c r="AR235" s="100" t="str">
        <f>VLOOKUP(Tabla15[[#This Row],[Matricula nueva]],'ALTA 20242025'!$B$2:$P$242,15,FALSE)</f>
        <v>4500426799</v>
      </c>
      <c r="AS235" s="101" t="s">
        <v>132</v>
      </c>
      <c r="AT235" s="101"/>
      <c r="AU235" s="101"/>
      <c r="AV235" s="101"/>
      <c r="AW235" s="101" t="str">
        <f>VLOOKUP(Tabla15[[#This Row],[Matricula nueva]],Hoja2!$A$1:$B$224,2,FALSE)</f>
        <v>VF1RFK00473824821</v>
      </c>
      <c r="AX235" s="209" t="str">
        <f>IF(Tabla15[[#This Row],[Columna2]]="M1",5.1,"")</f>
        <v/>
      </c>
      <c r="AY235" s="208">
        <f>IF(T235="DIESEL",10,IF(T235="GLP",7.16,9.19))</f>
        <v>10</v>
      </c>
      <c r="AZ235" s="313">
        <v>17.3</v>
      </c>
      <c r="BA235" s="314"/>
      <c r="BB235" s="314"/>
      <c r="BD235" s="43" t="e">
        <f>VLOOKUP(B235,Tabla467824[[ID CAE2]:[AE '[kWh']]],6,FALSE)</f>
        <v>#N/A</v>
      </c>
      <c r="BE23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36" spans="1:57" ht="15.75" hidden="1" thickBot="1" x14ac:dyDescent="0.3">
      <c r="A236" s="101"/>
      <c r="B236" s="53" t="e">
        <v>#N/A</v>
      </c>
      <c r="C236" s="100" t="s">
        <v>1405</v>
      </c>
      <c r="D236" s="100"/>
      <c r="E236" s="100"/>
      <c r="F236" s="100"/>
      <c r="G236" s="100"/>
      <c r="H236" s="100"/>
      <c r="I236" s="100"/>
      <c r="J236" s="100"/>
      <c r="K236" s="100" t="s">
        <v>73</v>
      </c>
      <c r="L236" s="100" t="s">
        <v>200</v>
      </c>
      <c r="M236" s="100" t="s">
        <v>201</v>
      </c>
      <c r="N236" s="100" t="s">
        <v>76</v>
      </c>
      <c r="O236" s="100" t="e">
        <f>VLOOKUP(Tabla15[[#This Row],[Matricula Antigua]],BAJA2022202320242025!$B$3:$CR$245,93,FALSE)</f>
        <v>#N/A</v>
      </c>
      <c r="P236" s="315">
        <v>44824</v>
      </c>
      <c r="Q236" s="315" t="e">
        <f>Tabla15[[#This Row],[F.Vig.Final]]-Tabla15[[#This Row],[f Vig Inicio]]</f>
        <v>#N/A</v>
      </c>
      <c r="R236" s="315">
        <f>YEAR(Tabla15[[#This Row],[F.Vig.Final]])</f>
        <v>2022</v>
      </c>
      <c r="S236" s="100" t="s">
        <v>77</v>
      </c>
      <c r="T236" s="100" t="s">
        <v>78</v>
      </c>
      <c r="U236" s="100" t="s">
        <v>359</v>
      </c>
      <c r="V236" s="100" t="s">
        <v>604</v>
      </c>
      <c r="W236" s="100" t="s">
        <v>584</v>
      </c>
      <c r="X236" s="100" t="s">
        <v>585</v>
      </c>
      <c r="Y236" s="100" t="s">
        <v>1406</v>
      </c>
      <c r="Z236" s="98">
        <f>COUNTIF($X$3:X236, X236)</f>
        <v>18</v>
      </c>
      <c r="AA236" s="98"/>
      <c r="AB236" s="98"/>
      <c r="AC236" s="98"/>
      <c r="AD236" s="98"/>
      <c r="AE236" s="98"/>
      <c r="AF236" s="98"/>
      <c r="AG236" s="98"/>
      <c r="AH236" s="98"/>
      <c r="AI236" s="98" t="e">
        <v>#N/A</v>
      </c>
      <c r="AJ236" s="98" t="e">
        <v>#N/A</v>
      </c>
      <c r="AK236" s="98" t="e">
        <v>#N/A</v>
      </c>
      <c r="AL236" s="98" t="e">
        <v>#N/A</v>
      </c>
      <c r="AM236" s="98" t="e">
        <v>#N/A</v>
      </c>
      <c r="AN236" s="99" t="e">
        <v>#N/A</v>
      </c>
      <c r="AO236" s="99" t="e">
        <v>#N/A</v>
      </c>
      <c r="AP236" s="99" t="e">
        <f>Tabla15[[#This Row],[Renov. Flota]]-Tabla15[[#This Row],[Año]]</f>
        <v>#N/A</v>
      </c>
      <c r="AQ236" s="100" t="e">
        <v>#N/A</v>
      </c>
      <c r="AR236" s="100" t="e">
        <f>VLOOKUP(Tabla15[[#This Row],[Matricula nueva]],'ALTA 20242025'!$B$2:$P$242,15,FALSE)</f>
        <v>#N/A</v>
      </c>
      <c r="AS236" s="101" t="e">
        <v>#N/A</v>
      </c>
      <c r="AT236" s="101"/>
      <c r="AU236" s="101"/>
      <c r="AV236" s="101"/>
      <c r="AW236" s="101" t="e">
        <f>VLOOKUP(Tabla15[[#This Row],[Matricula nueva]],Hoja2!$A$1:$B$224,2,FALSE)</f>
        <v>#N/A</v>
      </c>
      <c r="AX236" s="101" t="str">
        <f>IF(Tabla15[[#This Row],[Columna2]]="M1",5.1,"")</f>
        <v/>
      </c>
      <c r="AY236" s="101"/>
      <c r="AZ236" s="101"/>
      <c r="BA236" s="311">
        <f>IF(Tabla15[[#This Row],[Columna2]]="M1",13073,IF(Tabla15[[#This Row],[Columna2]]="N1",15815,IF(Tabla15[[#This Row],[Columna2]]="L3e",2831,53508)))</f>
        <v>53508</v>
      </c>
      <c r="BB236" s="311" t="e">
        <f>(Tabla15[[#This Row],[CVA]]*Tabla15[[#This Row],[F]]-Tabla15[[#This Row],[CVN]])/100*Tabla15[[#This Row],[L]]</f>
        <v>#VALUE!</v>
      </c>
      <c r="BC236" s="1"/>
      <c r="BD236" s="1" t="e">
        <f>VLOOKUP(B236,Tabla467824[[ID CAE2]:[AE '[kWh']]],6,FALSE)</f>
        <v>#N/A</v>
      </c>
      <c r="BE23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37" spans="1:57" ht="15.75" hidden="1" thickBot="1" x14ac:dyDescent="0.3">
      <c r="A237" s="101"/>
      <c r="B237" s="53" t="e">
        <v>#N/A</v>
      </c>
      <c r="C237" s="96" t="s">
        <v>1407</v>
      </c>
      <c r="D237" s="96"/>
      <c r="E237" s="96"/>
      <c r="F237" s="96"/>
      <c r="G237" s="96"/>
      <c r="H237" s="96"/>
      <c r="I237" s="96"/>
      <c r="J237" s="96"/>
      <c r="K237" s="96" t="s">
        <v>158</v>
      </c>
      <c r="L237" s="96" t="s">
        <v>159</v>
      </c>
      <c r="M237" s="96" t="s">
        <v>158</v>
      </c>
      <c r="N237" s="96" t="s">
        <v>171</v>
      </c>
      <c r="O237" s="101">
        <f>VLOOKUP(Tabla15[[#This Row],[Matricula Antigua]],BAJA2022202320242025!$B$3:$CR$245,93,FALSE)</f>
        <v>44834</v>
      </c>
      <c r="P237" s="316">
        <v>45432</v>
      </c>
      <c r="Q237" s="316">
        <f>Tabla15[[#This Row],[F.Vig.Final]]-Tabla15[[#This Row],[f Vig Inicio]]</f>
        <v>598</v>
      </c>
      <c r="R237" s="316">
        <f>YEAR(Tabla15[[#This Row],[F.Vig.Final]])</f>
        <v>2024</v>
      </c>
      <c r="S237" s="96" t="s">
        <v>172</v>
      </c>
      <c r="T237" s="96" t="s">
        <v>78</v>
      </c>
      <c r="U237" s="96" t="s">
        <v>1338</v>
      </c>
      <c r="V237" s="96" t="s">
        <v>1338</v>
      </c>
      <c r="W237" s="96" t="s">
        <v>131</v>
      </c>
      <c r="X237" s="96" t="s">
        <v>132</v>
      </c>
      <c r="Y237" s="96" t="s">
        <v>135</v>
      </c>
      <c r="Z237" s="98">
        <f>COUNTIF($X$3:X237, X237)</f>
        <v>25</v>
      </c>
      <c r="AA237" s="98"/>
      <c r="AB237" s="98"/>
      <c r="AC237" s="98"/>
      <c r="AD237" s="98"/>
      <c r="AE237" s="98"/>
      <c r="AF237" s="98"/>
      <c r="AG237" s="98"/>
      <c r="AH237" s="98"/>
      <c r="AI237" s="98" t="s">
        <v>1408</v>
      </c>
      <c r="AJ237" s="98" t="s">
        <v>85</v>
      </c>
      <c r="AK237" s="98" t="s">
        <v>86</v>
      </c>
      <c r="AL237" s="98" t="s">
        <v>87</v>
      </c>
      <c r="AM237" s="98" t="s">
        <v>622</v>
      </c>
      <c r="AN237" s="316" t="s">
        <v>89</v>
      </c>
      <c r="AO237" s="99">
        <v>45625</v>
      </c>
      <c r="AP237" s="99">
        <f>Tabla15[[#This Row],[Renov. Flota]]-Tabla15[[#This Row],[Año]]</f>
        <v>0</v>
      </c>
      <c r="AQ237" s="100" t="s">
        <v>131</v>
      </c>
      <c r="AR237" s="100" t="str">
        <f>VLOOKUP(Tabla15[[#This Row],[Matricula nueva]],'ALTA 20242025'!$B$2:$P$242,15,FALSE)</f>
        <v>4500426797</v>
      </c>
      <c r="AS237" s="101" t="s">
        <v>132</v>
      </c>
      <c r="AT237" s="101"/>
      <c r="AU237" s="101"/>
      <c r="AV237" s="101"/>
      <c r="AW237" s="101" t="str">
        <f>VLOOKUP(Tabla15[[#This Row],[Matricula nueva]],Hoja2!$A$1:$B$224,2,FALSE)</f>
        <v>VF1RFK00473824818</v>
      </c>
      <c r="AX237" s="209" t="str">
        <f>IF(Tabla15[[#This Row],[Columna2]]="M1",5.1,"")</f>
        <v/>
      </c>
      <c r="AY237" s="208">
        <f>IF(T237="DIESEL",10,IF(T237="GLP",7.16,9.19))</f>
        <v>10</v>
      </c>
      <c r="AZ237" s="313">
        <v>17.3</v>
      </c>
      <c r="BA237" s="314"/>
      <c r="BB237" s="314"/>
      <c r="BD237" s="43" t="e">
        <f>VLOOKUP(B237,Tabla467824[[ID CAE2]:[AE '[kWh']]],6,FALSE)</f>
        <v>#N/A</v>
      </c>
      <c r="BE23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38" spans="1:57" ht="15.75" hidden="1" thickBot="1" x14ac:dyDescent="0.3">
      <c r="A238" s="101"/>
      <c r="B238" s="53" t="e">
        <v>#N/A</v>
      </c>
      <c r="C238" s="100" t="s">
        <v>1409</v>
      </c>
      <c r="D238" s="100"/>
      <c r="E238" s="100"/>
      <c r="F238" s="100"/>
      <c r="G238" s="100"/>
      <c r="H238" s="100"/>
      <c r="I238" s="100"/>
      <c r="J238" s="100"/>
      <c r="K238" s="100" t="s">
        <v>73</v>
      </c>
      <c r="L238" s="100" t="s">
        <v>200</v>
      </c>
      <c r="M238" s="100" t="s">
        <v>201</v>
      </c>
      <c r="N238" s="100" t="s">
        <v>76</v>
      </c>
      <c r="O238" s="100" t="e">
        <f>VLOOKUP(Tabla15[[#This Row],[Matricula Antigua]],BAJA2022202320242025!$B$3:$CR$245,93,FALSE)</f>
        <v>#N/A</v>
      </c>
      <c r="P238" s="315">
        <v>44823</v>
      </c>
      <c r="Q238" s="315" t="e">
        <f>Tabla15[[#This Row],[F.Vig.Final]]-Tabla15[[#This Row],[f Vig Inicio]]</f>
        <v>#N/A</v>
      </c>
      <c r="R238" s="315">
        <f>YEAR(Tabla15[[#This Row],[F.Vig.Final]])</f>
        <v>2022</v>
      </c>
      <c r="S238" s="100" t="s">
        <v>77</v>
      </c>
      <c r="T238" s="100" t="s">
        <v>78</v>
      </c>
      <c r="U238" s="100" t="s">
        <v>359</v>
      </c>
      <c r="V238" s="100" t="s">
        <v>604</v>
      </c>
      <c r="W238" s="100" t="s">
        <v>119</v>
      </c>
      <c r="X238" s="100" t="s">
        <v>120</v>
      </c>
      <c r="Y238" s="100" t="s">
        <v>501</v>
      </c>
      <c r="Z238" s="98">
        <f>COUNTIF($X$3:X238, X238)</f>
        <v>5</v>
      </c>
      <c r="AA238" s="98"/>
      <c r="AB238" s="98"/>
      <c r="AC238" s="98"/>
      <c r="AD238" s="98"/>
      <c r="AE238" s="98"/>
      <c r="AF238" s="98"/>
      <c r="AG238" s="98"/>
      <c r="AH238" s="98"/>
      <c r="AI238" s="98" t="e">
        <v>#N/A</v>
      </c>
      <c r="AJ238" s="98" t="e">
        <v>#N/A</v>
      </c>
      <c r="AK238" s="98" t="e">
        <v>#N/A</v>
      </c>
      <c r="AL238" s="98" t="e">
        <v>#N/A</v>
      </c>
      <c r="AM238" s="98" t="e">
        <v>#N/A</v>
      </c>
      <c r="AN238" s="99" t="e">
        <v>#N/A</v>
      </c>
      <c r="AO238" s="99" t="e">
        <v>#N/A</v>
      </c>
      <c r="AP238" s="99" t="e">
        <f>Tabla15[[#This Row],[Renov. Flota]]-Tabla15[[#This Row],[Año]]</f>
        <v>#N/A</v>
      </c>
      <c r="AQ238" s="100" t="e">
        <v>#N/A</v>
      </c>
      <c r="AR238" s="100" t="e">
        <f>VLOOKUP(Tabla15[[#This Row],[Matricula nueva]],'ALTA 20242025'!$B$2:$P$242,15,FALSE)</f>
        <v>#N/A</v>
      </c>
      <c r="AS238" s="101" t="e">
        <v>#N/A</v>
      </c>
      <c r="AT238" s="101"/>
      <c r="AU238" s="101"/>
      <c r="AV238" s="101"/>
      <c r="AW238" s="101" t="e">
        <f>VLOOKUP(Tabla15[[#This Row],[Matricula nueva]],Hoja2!$A$1:$B$224,2,FALSE)</f>
        <v>#N/A</v>
      </c>
      <c r="AX238" s="101" t="str">
        <f>IF(Tabla15[[#This Row],[Columna2]]="M1",5.1,"")</f>
        <v/>
      </c>
      <c r="AY238" s="101"/>
      <c r="AZ238" s="101"/>
      <c r="BA238" s="311">
        <f>IF(Tabla15[[#This Row],[Columna2]]="M1",13073,IF(Tabla15[[#This Row],[Columna2]]="N1",15815,IF(Tabla15[[#This Row],[Columna2]]="L3e",2831,53508)))</f>
        <v>53508</v>
      </c>
      <c r="BB238" s="311" t="e">
        <f>(Tabla15[[#This Row],[CVA]]*Tabla15[[#This Row],[F]]-Tabla15[[#This Row],[CVN]])/100*Tabla15[[#This Row],[L]]</f>
        <v>#VALUE!</v>
      </c>
      <c r="BC238" s="1"/>
      <c r="BD238" s="1" t="e">
        <f>VLOOKUP(B238,Tabla467824[[ID CAE2]:[AE '[kWh']]],6,FALSE)</f>
        <v>#N/A</v>
      </c>
      <c r="BE23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39" spans="1:57" ht="15.75" hidden="1" thickBot="1" x14ac:dyDescent="0.3">
      <c r="A239" s="101"/>
      <c r="B239" s="53" t="e">
        <v>#N/A</v>
      </c>
      <c r="C239" s="100" t="s">
        <v>1410</v>
      </c>
      <c r="D239" s="100"/>
      <c r="E239" s="100"/>
      <c r="F239" s="100"/>
      <c r="G239" s="100"/>
      <c r="H239" s="100"/>
      <c r="I239" s="100"/>
      <c r="J239" s="100"/>
      <c r="K239" s="100" t="s">
        <v>1411</v>
      </c>
      <c r="L239" s="100" t="s">
        <v>200</v>
      </c>
      <c r="M239" s="100" t="s">
        <v>201</v>
      </c>
      <c r="N239" s="100" t="s">
        <v>76</v>
      </c>
      <c r="O239" s="100" t="e">
        <f>VLOOKUP(Tabla15[[#This Row],[Matricula Antigua]],BAJA2022202320242025!$B$3:$CR$245,93,FALSE)</f>
        <v>#N/A</v>
      </c>
      <c r="P239" s="315">
        <v>44579</v>
      </c>
      <c r="Q239" s="315" t="e">
        <f>Tabla15[[#This Row],[F.Vig.Final]]-Tabla15[[#This Row],[f Vig Inicio]]</f>
        <v>#N/A</v>
      </c>
      <c r="R239" s="315">
        <f>YEAR(Tabla15[[#This Row],[F.Vig.Final]])</f>
        <v>2022</v>
      </c>
      <c r="S239" s="100" t="s">
        <v>77</v>
      </c>
      <c r="T239" s="100" t="s">
        <v>78</v>
      </c>
      <c r="U239" s="100" t="s">
        <v>380</v>
      </c>
      <c r="V239" s="100" t="s">
        <v>1412</v>
      </c>
      <c r="W239" s="100" t="s">
        <v>131</v>
      </c>
      <c r="X239" s="100" t="s">
        <v>132</v>
      </c>
      <c r="Y239" s="100" t="s">
        <v>133</v>
      </c>
      <c r="Z239" s="98">
        <f>COUNTIF($X$3:X239, X239)</f>
        <v>26</v>
      </c>
      <c r="AA239" s="98"/>
      <c r="AB239" s="98"/>
      <c r="AC239" s="98"/>
      <c r="AD239" s="98"/>
      <c r="AE239" s="98"/>
      <c r="AF239" s="98"/>
      <c r="AG239" s="98"/>
      <c r="AH239" s="98"/>
      <c r="AI239" s="98" t="e">
        <v>#N/A</v>
      </c>
      <c r="AJ239" s="98" t="e">
        <v>#N/A</v>
      </c>
      <c r="AK239" s="98" t="e">
        <v>#N/A</v>
      </c>
      <c r="AL239" s="98" t="e">
        <v>#N/A</v>
      </c>
      <c r="AM239" s="98" t="e">
        <v>#N/A</v>
      </c>
      <c r="AN239" s="99" t="e">
        <v>#N/A</v>
      </c>
      <c r="AO239" s="99" t="e">
        <v>#N/A</v>
      </c>
      <c r="AP239" s="99" t="e">
        <f>Tabla15[[#This Row],[Renov. Flota]]-Tabla15[[#This Row],[Año]]</f>
        <v>#N/A</v>
      </c>
      <c r="AQ239" s="100" t="e">
        <v>#N/A</v>
      </c>
      <c r="AR239" s="100" t="e">
        <f>VLOOKUP(Tabla15[[#This Row],[Matricula nueva]],'ALTA 20242025'!$B$2:$P$242,15,FALSE)</f>
        <v>#N/A</v>
      </c>
      <c r="AS239" s="101" t="e">
        <v>#N/A</v>
      </c>
      <c r="AT239" s="101"/>
      <c r="AU239" s="101"/>
      <c r="AV239" s="101"/>
      <c r="AW239" s="101" t="e">
        <f>VLOOKUP(Tabla15[[#This Row],[Matricula nueva]],Hoja2!$A$1:$B$224,2,FALSE)</f>
        <v>#N/A</v>
      </c>
      <c r="AX239" s="101" t="str">
        <f>IF(Tabla15[[#This Row],[Columna2]]="M1",5.1,"")</f>
        <v/>
      </c>
      <c r="AY239" s="101"/>
      <c r="AZ239" s="101"/>
      <c r="BA239" s="311">
        <f>IF(Tabla15[[#This Row],[Columna2]]="M1",13073,IF(Tabla15[[#This Row],[Columna2]]="N1",15815,IF(Tabla15[[#This Row],[Columna2]]="L3e",2831,53508)))</f>
        <v>53508</v>
      </c>
      <c r="BB239" s="311" t="e">
        <f>(Tabla15[[#This Row],[CVA]]*Tabla15[[#This Row],[F]]-Tabla15[[#This Row],[CVN]])/100*Tabla15[[#This Row],[L]]</f>
        <v>#VALUE!</v>
      </c>
      <c r="BC239" s="1"/>
      <c r="BD239" s="1" t="e">
        <f>VLOOKUP(B239,Tabla467824[[ID CAE2]:[AE '[kWh']]],6,FALSE)</f>
        <v>#N/A</v>
      </c>
      <c r="BE23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40" spans="1:57" ht="15.75" hidden="1" thickBot="1" x14ac:dyDescent="0.3">
      <c r="A240" s="101"/>
      <c r="B240" s="53" t="e">
        <v>#N/A</v>
      </c>
      <c r="C240" s="96" t="s">
        <v>1413</v>
      </c>
      <c r="D240" s="96"/>
      <c r="E240" s="96"/>
      <c r="F240" s="96"/>
      <c r="G240" s="96"/>
      <c r="H240" s="96"/>
      <c r="I240" s="96"/>
      <c r="J240" s="96"/>
      <c r="K240" s="96" t="s">
        <v>158</v>
      </c>
      <c r="L240" s="96" t="s">
        <v>159</v>
      </c>
      <c r="M240" s="96" t="s">
        <v>158</v>
      </c>
      <c r="N240" s="96" t="s">
        <v>171</v>
      </c>
      <c r="O240" s="101">
        <f>VLOOKUP(Tabla15[[#This Row],[Matricula Antigua]],BAJA2022202320242025!$B$3:$CR$245,93,FALSE)</f>
        <v>44872</v>
      </c>
      <c r="P240" s="316">
        <v>45473</v>
      </c>
      <c r="Q240" s="316">
        <f>Tabla15[[#This Row],[F.Vig.Final]]-Tabla15[[#This Row],[f Vig Inicio]]</f>
        <v>601</v>
      </c>
      <c r="R240" s="316">
        <f>YEAR(Tabla15[[#This Row],[F.Vig.Final]])</f>
        <v>2024</v>
      </c>
      <c r="S240" s="96" t="s">
        <v>172</v>
      </c>
      <c r="T240" s="96" t="s">
        <v>78</v>
      </c>
      <c r="U240" s="96" t="s">
        <v>1338</v>
      </c>
      <c r="V240" s="96" t="s">
        <v>1338</v>
      </c>
      <c r="W240" s="96" t="s">
        <v>131</v>
      </c>
      <c r="X240" s="96" t="s">
        <v>132</v>
      </c>
      <c r="Y240" s="96" t="s">
        <v>1390</v>
      </c>
      <c r="Z240" s="98">
        <f>COUNTIF($X$3:X240, X240)</f>
        <v>27</v>
      </c>
      <c r="AA240" s="98"/>
      <c r="AB240" s="98"/>
      <c r="AC240" s="98"/>
      <c r="AD240" s="98"/>
      <c r="AE240" s="98"/>
      <c r="AF240" s="98"/>
      <c r="AG240" s="98"/>
      <c r="AH240" s="98"/>
      <c r="AI240" s="98" t="s">
        <v>1414</v>
      </c>
      <c r="AJ240" s="98" t="s">
        <v>85</v>
      </c>
      <c r="AK240" s="98" t="s">
        <v>86</v>
      </c>
      <c r="AL240" s="98" t="s">
        <v>87</v>
      </c>
      <c r="AM240" s="98" t="s">
        <v>753</v>
      </c>
      <c r="AN240" s="316" t="s">
        <v>89</v>
      </c>
      <c r="AO240" s="99">
        <v>45625</v>
      </c>
      <c r="AP240" s="99">
        <f>Tabla15[[#This Row],[Renov. Flota]]-Tabla15[[#This Row],[Año]]</f>
        <v>0</v>
      </c>
      <c r="AQ240" s="100" t="s">
        <v>131</v>
      </c>
      <c r="AR240" s="100" t="str">
        <f>VLOOKUP(Tabla15[[#This Row],[Matricula nueva]],'ALTA 20242025'!$B$2:$P$242,15,FALSE)</f>
        <v>4500426768</v>
      </c>
      <c r="AS240" s="101" t="s">
        <v>132</v>
      </c>
      <c r="AT240" s="101"/>
      <c r="AU240" s="101"/>
      <c r="AV240" s="101"/>
      <c r="AW240" s="101" t="str">
        <f>VLOOKUP(Tabla15[[#This Row],[Matricula nueva]],Hoja2!$A$1:$B$224,2,FALSE)</f>
        <v>VF1RFK00173824811</v>
      </c>
      <c r="AX240" s="209" t="str">
        <f>IF(Tabla15[[#This Row],[Columna2]]="M1",5.1,"")</f>
        <v/>
      </c>
      <c r="AY240" s="208">
        <f>IF(T240="DIESEL",10,IF(T240="GLP",7.16,9.19))</f>
        <v>10</v>
      </c>
      <c r="AZ240" s="313">
        <v>17.3</v>
      </c>
      <c r="BA240" s="314"/>
      <c r="BB240" s="314"/>
      <c r="BD240" s="43" t="e">
        <f>VLOOKUP(B240,Tabla467824[[ID CAE2]:[AE '[kWh']]],6,FALSE)</f>
        <v>#N/A</v>
      </c>
      <c r="BE24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41" spans="1:57" ht="15.75" hidden="1" thickBot="1" x14ac:dyDescent="0.3">
      <c r="A241" s="101"/>
      <c r="B241" s="53" t="e">
        <v>#N/A</v>
      </c>
      <c r="C241" s="96" t="s">
        <v>1415</v>
      </c>
      <c r="D241" s="96"/>
      <c r="E241" s="96"/>
      <c r="F241" s="96"/>
      <c r="G241" s="96"/>
      <c r="H241" s="96"/>
      <c r="I241" s="96"/>
      <c r="J241" s="96"/>
      <c r="K241" s="96" t="s">
        <v>158</v>
      </c>
      <c r="L241" s="96" t="s">
        <v>159</v>
      </c>
      <c r="M241" s="96" t="s">
        <v>158</v>
      </c>
      <c r="N241" s="96" t="s">
        <v>171</v>
      </c>
      <c r="O241" s="101">
        <f>VLOOKUP(Tabla15[[#This Row],[Matricula Antigua]],BAJA2022202320242025!$B$3:$CR$245,93,FALSE)</f>
        <v>44136</v>
      </c>
      <c r="P241" s="316">
        <v>45551</v>
      </c>
      <c r="Q241" s="316">
        <f>Tabla15[[#This Row],[F.Vig.Final]]-Tabla15[[#This Row],[f Vig Inicio]]</f>
        <v>1415</v>
      </c>
      <c r="R241" s="316">
        <f>YEAR(Tabla15[[#This Row],[F.Vig.Final]])</f>
        <v>2024</v>
      </c>
      <c r="S241" s="96" t="s">
        <v>172</v>
      </c>
      <c r="T241" s="96" t="s">
        <v>78</v>
      </c>
      <c r="U241" s="96" t="s">
        <v>1338</v>
      </c>
      <c r="V241" s="96" t="s">
        <v>1338</v>
      </c>
      <c r="W241" s="96" t="s">
        <v>131</v>
      </c>
      <c r="X241" s="96" t="s">
        <v>132</v>
      </c>
      <c r="Y241" s="96" t="s">
        <v>135</v>
      </c>
      <c r="Z241" s="98">
        <f>COUNTIF($X$3:X241, X241)</f>
        <v>28</v>
      </c>
      <c r="AA241" s="98"/>
      <c r="AB241" s="98"/>
      <c r="AC241" s="98"/>
      <c r="AD241" s="98"/>
      <c r="AE241" s="98"/>
      <c r="AF241" s="98"/>
      <c r="AG241" s="98"/>
      <c r="AH241" s="98"/>
      <c r="AI241" s="98" t="s">
        <v>1416</v>
      </c>
      <c r="AJ241" s="98" t="s">
        <v>85</v>
      </c>
      <c r="AK241" s="98" t="s">
        <v>86</v>
      </c>
      <c r="AL241" s="98" t="s">
        <v>87</v>
      </c>
      <c r="AM241" s="98" t="s">
        <v>318</v>
      </c>
      <c r="AN241" s="316" t="s">
        <v>89</v>
      </c>
      <c r="AO241" s="99">
        <v>45625</v>
      </c>
      <c r="AP241" s="99">
        <f>Tabla15[[#This Row],[Renov. Flota]]-Tabla15[[#This Row],[Año]]</f>
        <v>0</v>
      </c>
      <c r="AQ241" s="100" t="s">
        <v>131</v>
      </c>
      <c r="AR241" s="100" t="str">
        <f>VLOOKUP(Tabla15[[#This Row],[Matricula nueva]],'ALTA 20242025'!$B$2:$P$242,15,FALSE)</f>
        <v>4500426772</v>
      </c>
      <c r="AS241" s="101" t="s">
        <v>132</v>
      </c>
      <c r="AT241" s="101"/>
      <c r="AU241" s="101"/>
      <c r="AV241" s="101"/>
      <c r="AW241" s="101" t="str">
        <f>VLOOKUP(Tabla15[[#This Row],[Matricula nueva]],Hoja2!$A$1:$B$224,2,FALSE)</f>
        <v>VF1RFK00373824812</v>
      </c>
      <c r="AX241" s="209" t="str">
        <f>IF(Tabla15[[#This Row],[Columna2]]="M1",5.1,"")</f>
        <v/>
      </c>
      <c r="AY241" s="208">
        <f>IF(T241="DIESEL",10,IF(T241="GLP",7.16,9.19))</f>
        <v>10</v>
      </c>
      <c r="AZ241" s="313">
        <v>17.3</v>
      </c>
      <c r="BA241" s="314"/>
      <c r="BB241" s="314"/>
      <c r="BD241" s="43" t="e">
        <f>VLOOKUP(B241,Tabla467824[[ID CAE2]:[AE '[kWh']]],6,FALSE)</f>
        <v>#N/A</v>
      </c>
      <c r="BE24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42" spans="1:57" ht="15.75" hidden="1" thickBot="1" x14ac:dyDescent="0.3">
      <c r="A242" s="101"/>
      <c r="B242" s="53" t="e">
        <v>#N/A</v>
      </c>
      <c r="C242" s="100" t="s">
        <v>1417</v>
      </c>
      <c r="D242" s="100"/>
      <c r="E242" s="100"/>
      <c r="F242" s="100"/>
      <c r="G242" s="100"/>
      <c r="H242" s="100"/>
      <c r="I242" s="100"/>
      <c r="J242" s="100"/>
      <c r="K242" s="100" t="s">
        <v>73</v>
      </c>
      <c r="L242" s="100" t="s">
        <v>200</v>
      </c>
      <c r="M242" s="100" t="s">
        <v>201</v>
      </c>
      <c r="N242" s="100" t="s">
        <v>76</v>
      </c>
      <c r="O242" s="100" t="e">
        <f>VLOOKUP(Tabla15[[#This Row],[Matricula Antigua]],BAJA2022202320242025!$B$3:$CR$245,93,FALSE)</f>
        <v>#N/A</v>
      </c>
      <c r="P242" s="315">
        <v>44578</v>
      </c>
      <c r="Q242" s="315" t="e">
        <f>Tabla15[[#This Row],[F.Vig.Final]]-Tabla15[[#This Row],[f Vig Inicio]]</f>
        <v>#N/A</v>
      </c>
      <c r="R242" s="315">
        <f>YEAR(Tabla15[[#This Row],[F.Vig.Final]])</f>
        <v>2022</v>
      </c>
      <c r="S242" s="100" t="s">
        <v>77</v>
      </c>
      <c r="T242" s="100" t="s">
        <v>78</v>
      </c>
      <c r="U242" s="100" t="s">
        <v>1362</v>
      </c>
      <c r="V242" s="100" t="s">
        <v>1367</v>
      </c>
      <c r="W242" s="100" t="s">
        <v>215</v>
      </c>
      <c r="X242" s="100" t="s">
        <v>216</v>
      </c>
      <c r="Y242" s="100" t="s">
        <v>507</v>
      </c>
      <c r="Z242" s="98">
        <f>COUNTIF($X$3:X242, X242)</f>
        <v>6</v>
      </c>
      <c r="AA242" s="98"/>
      <c r="AB242" s="98"/>
      <c r="AC242" s="98"/>
      <c r="AD242" s="98"/>
      <c r="AE242" s="98"/>
      <c r="AF242" s="98"/>
      <c r="AG242" s="98"/>
      <c r="AH242" s="98"/>
      <c r="AI242" s="98" t="e">
        <v>#N/A</v>
      </c>
      <c r="AJ242" s="98" t="e">
        <v>#N/A</v>
      </c>
      <c r="AK242" s="98" t="e">
        <v>#N/A</v>
      </c>
      <c r="AL242" s="98" t="e">
        <v>#N/A</v>
      </c>
      <c r="AM242" s="98" t="e">
        <v>#N/A</v>
      </c>
      <c r="AN242" s="99" t="e">
        <v>#N/A</v>
      </c>
      <c r="AO242" s="99" t="e">
        <v>#N/A</v>
      </c>
      <c r="AP242" s="99" t="e">
        <f>Tabla15[[#This Row],[Renov. Flota]]-Tabla15[[#This Row],[Año]]</f>
        <v>#N/A</v>
      </c>
      <c r="AQ242" s="100" t="e">
        <v>#N/A</v>
      </c>
      <c r="AR242" s="100" t="e">
        <f>VLOOKUP(Tabla15[[#This Row],[Matricula nueva]],'ALTA 20242025'!$B$2:$P$242,15,FALSE)</f>
        <v>#N/A</v>
      </c>
      <c r="AS242" s="101" t="e">
        <v>#N/A</v>
      </c>
      <c r="AT242" s="101"/>
      <c r="AU242" s="101"/>
      <c r="AV242" s="101"/>
      <c r="AW242" s="101" t="e">
        <f>VLOOKUP(Tabla15[[#This Row],[Matricula nueva]],Hoja2!$A$1:$B$224,2,FALSE)</f>
        <v>#N/A</v>
      </c>
      <c r="AX242" s="101" t="str">
        <f>IF(Tabla15[[#This Row],[Columna2]]="M1",5.1,"")</f>
        <v/>
      </c>
      <c r="AY242" s="101"/>
      <c r="AZ242" s="101"/>
      <c r="BA242" s="311">
        <f>IF(Tabla15[[#This Row],[Columna2]]="M1",13073,IF(Tabla15[[#This Row],[Columna2]]="N1",15815,IF(Tabla15[[#This Row],[Columna2]]="L3e",2831,53508)))</f>
        <v>53508</v>
      </c>
      <c r="BB242" s="311" t="e">
        <f>(Tabla15[[#This Row],[CVA]]*Tabla15[[#This Row],[F]]-Tabla15[[#This Row],[CVN]])/100*Tabla15[[#This Row],[L]]</f>
        <v>#VALUE!</v>
      </c>
      <c r="BC242" s="1"/>
      <c r="BD242" s="1" t="e">
        <f>VLOOKUP(B242,Tabla467824[[ID CAE2]:[AE '[kWh']]],6,FALSE)</f>
        <v>#N/A</v>
      </c>
      <c r="BE24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43" spans="1:57" ht="15.75" hidden="1" thickBot="1" x14ac:dyDescent="0.3">
      <c r="A243" s="101"/>
      <c r="B243" s="53" t="e">
        <v>#N/A</v>
      </c>
      <c r="C243" s="100" t="s">
        <v>1418</v>
      </c>
      <c r="D243" s="100"/>
      <c r="E243" s="100"/>
      <c r="F243" s="100"/>
      <c r="G243" s="100"/>
      <c r="H243" s="100"/>
      <c r="I243" s="100"/>
      <c r="J243" s="100"/>
      <c r="K243" s="100" t="s">
        <v>129</v>
      </c>
      <c r="L243" s="100" t="s">
        <v>74</v>
      </c>
      <c r="M243" s="100" t="s">
        <v>75</v>
      </c>
      <c r="N243" s="100" t="s">
        <v>76</v>
      </c>
      <c r="O243" s="100" t="e">
        <f>VLOOKUP(Tabla15[[#This Row],[Matricula Antigua]],BAJA2022202320242025!$B$3:$CR$245,93,FALSE)</f>
        <v>#N/A</v>
      </c>
      <c r="P243" s="315">
        <v>44681</v>
      </c>
      <c r="Q243" s="315" t="e">
        <f>Tabla15[[#This Row],[F.Vig.Final]]-Tabla15[[#This Row],[f Vig Inicio]]</f>
        <v>#N/A</v>
      </c>
      <c r="R243" s="315">
        <f>YEAR(Tabla15[[#This Row],[F.Vig.Final]])</f>
        <v>2022</v>
      </c>
      <c r="S243" s="100" t="s">
        <v>77</v>
      </c>
      <c r="T243" s="100" t="s">
        <v>78</v>
      </c>
      <c r="U243" s="100" t="s">
        <v>79</v>
      </c>
      <c r="V243" s="100" t="s">
        <v>1419</v>
      </c>
      <c r="W243" s="100" t="s">
        <v>131</v>
      </c>
      <c r="X243" s="100" t="s">
        <v>132</v>
      </c>
      <c r="Y243" s="100" t="s">
        <v>318</v>
      </c>
      <c r="Z243" s="98">
        <f>COUNTIF($X$3:X243, X243)</f>
        <v>29</v>
      </c>
      <c r="AA243" s="98"/>
      <c r="AB243" s="98"/>
      <c r="AC243" s="98"/>
      <c r="AD243" s="98"/>
      <c r="AE243" s="98"/>
      <c r="AF243" s="98"/>
      <c r="AG243" s="98"/>
      <c r="AH243" s="98"/>
      <c r="AI243" s="98" t="e">
        <v>#N/A</v>
      </c>
      <c r="AJ243" s="98" t="e">
        <v>#N/A</v>
      </c>
      <c r="AK243" s="98" t="e">
        <v>#N/A</v>
      </c>
      <c r="AL243" s="98" t="e">
        <v>#N/A</v>
      </c>
      <c r="AM243" s="98" t="e">
        <v>#N/A</v>
      </c>
      <c r="AN243" s="99" t="e">
        <v>#N/A</v>
      </c>
      <c r="AO243" s="99" t="e">
        <v>#N/A</v>
      </c>
      <c r="AP243" s="99" t="e">
        <f>Tabla15[[#This Row],[Renov. Flota]]-Tabla15[[#This Row],[Año]]</f>
        <v>#N/A</v>
      </c>
      <c r="AQ243" s="100" t="e">
        <v>#N/A</v>
      </c>
      <c r="AR243" s="100" t="e">
        <f>VLOOKUP(Tabla15[[#This Row],[Matricula nueva]],'ALTA 20242025'!$B$2:$P$242,15,FALSE)</f>
        <v>#N/A</v>
      </c>
      <c r="AS243" s="101" t="e">
        <v>#N/A</v>
      </c>
      <c r="AT243" s="101"/>
      <c r="AU243" s="101"/>
      <c r="AV243" s="101"/>
      <c r="AW243" s="101" t="e">
        <f>VLOOKUP(Tabla15[[#This Row],[Matricula nueva]],Hoja2!$A$1:$B$224,2,FALSE)</f>
        <v>#N/A</v>
      </c>
      <c r="AX243" s="101" t="str">
        <f>IF(Tabla15[[#This Row],[Columna2]]="M1",5.1,"")</f>
        <v/>
      </c>
      <c r="AY243" s="101"/>
      <c r="AZ243" s="101"/>
      <c r="BA243" s="311">
        <f>IF(Tabla15[[#This Row],[Columna2]]="M1",13073,IF(Tabla15[[#This Row],[Columna2]]="N1",15815,IF(Tabla15[[#This Row],[Columna2]]="L3e",2831,53508)))</f>
        <v>53508</v>
      </c>
      <c r="BB243" s="311" t="e">
        <f>(Tabla15[[#This Row],[CVA]]*Tabla15[[#This Row],[F]]-Tabla15[[#This Row],[CVN]])/100*Tabla15[[#This Row],[L]]</f>
        <v>#VALUE!</v>
      </c>
      <c r="BC243" s="1"/>
      <c r="BD243" s="1" t="e">
        <f>VLOOKUP(B243,Tabla467824[[ID CAE2]:[AE '[kWh']]],6,FALSE)</f>
        <v>#N/A</v>
      </c>
      <c r="BE24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44" spans="1:57" ht="15.75" hidden="1" thickBot="1" x14ac:dyDescent="0.3">
      <c r="A244" s="101"/>
      <c r="B244" s="53" t="e">
        <v>#N/A</v>
      </c>
      <c r="C244" s="96" t="s">
        <v>1420</v>
      </c>
      <c r="D244" s="96"/>
      <c r="E244" s="96"/>
      <c r="F244" s="96"/>
      <c r="G244" s="96"/>
      <c r="H244" s="96"/>
      <c r="I244" s="96"/>
      <c r="J244" s="96"/>
      <c r="K244" s="96" t="s">
        <v>158</v>
      </c>
      <c r="L244" s="96" t="s">
        <v>159</v>
      </c>
      <c r="M244" s="96" t="s">
        <v>158</v>
      </c>
      <c r="N244" s="96" t="s">
        <v>171</v>
      </c>
      <c r="O244" s="101">
        <f>VLOOKUP(Tabla15[[#This Row],[Matricula Antigua]],BAJA2022202320242025!$B$3:$CR$245,93,FALSE)</f>
        <v>45712</v>
      </c>
      <c r="P244" s="316">
        <v>45841</v>
      </c>
      <c r="Q244" s="316">
        <f>Tabla15[[#This Row],[F.Vig.Final]]-Tabla15[[#This Row],[f Vig Inicio]]</f>
        <v>129</v>
      </c>
      <c r="R244" s="316">
        <f>YEAR(Tabla15[[#This Row],[F.Vig.Final]])</f>
        <v>2025</v>
      </c>
      <c r="S244" s="96" t="s">
        <v>172</v>
      </c>
      <c r="T244" s="96" t="s">
        <v>71</v>
      </c>
      <c r="U244" s="96" t="s">
        <v>1338</v>
      </c>
      <c r="V244" s="96" t="s">
        <v>1338</v>
      </c>
      <c r="W244" s="96" t="s">
        <v>336</v>
      </c>
      <c r="X244" s="96" t="s">
        <v>337</v>
      </c>
      <c r="Y244" s="96" t="s">
        <v>1346</v>
      </c>
      <c r="Z244" s="98">
        <f>COUNTIF($X$3:X244, X244)</f>
        <v>18</v>
      </c>
      <c r="AA244" s="98"/>
      <c r="AB244" s="98"/>
      <c r="AC244" s="98"/>
      <c r="AD244" s="98"/>
      <c r="AE244" s="98"/>
      <c r="AF244" s="98"/>
      <c r="AG244" s="98"/>
      <c r="AH244" s="98"/>
      <c r="AI244" s="98" t="s">
        <v>1421</v>
      </c>
      <c r="AJ244" s="98" t="s">
        <v>85</v>
      </c>
      <c r="AK244" s="98" t="s">
        <v>340</v>
      </c>
      <c r="AL244" s="98" t="s">
        <v>87</v>
      </c>
      <c r="AM244" s="98" t="s">
        <v>341</v>
      </c>
      <c r="AN244" s="316" t="s">
        <v>89</v>
      </c>
      <c r="AO244" s="99">
        <v>43435</v>
      </c>
      <c r="AP244" s="99">
        <f>Tabla15[[#This Row],[Renov. Flota]]-Tabla15[[#This Row],[Año]]</f>
        <v>-1</v>
      </c>
      <c r="AQ244" s="100" t="s">
        <v>336</v>
      </c>
      <c r="AR244" s="100" t="str">
        <f>VLOOKUP(Tabla15[[#This Row],[Matricula nueva]],'ALTA 20242025'!$B$2:$P$242,15,FALSE)</f>
        <v>X</v>
      </c>
      <c r="AS244" s="101" t="s">
        <v>337</v>
      </c>
      <c r="AT244" s="101"/>
      <c r="AU244" s="101"/>
      <c r="AV244" s="101"/>
      <c r="AW244" s="101" t="e">
        <f>VLOOKUP(Tabla15[[#This Row],[Matricula nueva]],Hoja2!$A$1:$B$224,2,FALSE)</f>
        <v>#N/A</v>
      </c>
      <c r="AX244" s="209" t="str">
        <f>IF(Tabla15[[#This Row],[Columna2]]="M1",5.1,"")</f>
        <v/>
      </c>
      <c r="AY244" s="208">
        <f>IF(T244="DIESEL",10,IF(T244="GLP",7.16,9.19))</f>
        <v>9.19</v>
      </c>
      <c r="AZ244" s="313">
        <v>13.3</v>
      </c>
      <c r="BA244" s="314"/>
      <c r="BB244" s="314"/>
      <c r="BD244" s="43" t="e">
        <f>VLOOKUP(B244,Tabla467824[[ID CAE2]:[AE '[kWh']]],6,FALSE)</f>
        <v>#N/A</v>
      </c>
      <c r="BE24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45" spans="1:57" ht="15.75" hidden="1" thickBot="1" x14ac:dyDescent="0.3">
      <c r="A245" s="101"/>
      <c r="B245" s="53" t="e">
        <v>#N/A</v>
      </c>
      <c r="C245" s="96" t="s">
        <v>1422</v>
      </c>
      <c r="D245" s="96"/>
      <c r="E245" s="96"/>
      <c r="F245" s="96"/>
      <c r="G245" s="96"/>
      <c r="H245" s="96"/>
      <c r="I245" s="96"/>
      <c r="J245" s="96"/>
      <c r="K245" s="96" t="s">
        <v>73</v>
      </c>
      <c r="L245" s="96" t="s">
        <v>200</v>
      </c>
      <c r="M245" s="96" t="s">
        <v>201</v>
      </c>
      <c r="N245" s="96" t="s">
        <v>76</v>
      </c>
      <c r="O245" s="101">
        <f>VLOOKUP(Tabla15[[#This Row],[Matricula Antigua]],BAJA2022202320242025!$B$3:$CR$245,93,FALSE)</f>
        <v>44235</v>
      </c>
      <c r="P245" s="99">
        <v>45696</v>
      </c>
      <c r="Q245" s="99">
        <f>Tabla15[[#This Row],[F.Vig.Final]]-Tabla15[[#This Row],[f Vig Inicio]]</f>
        <v>1461</v>
      </c>
      <c r="R245" s="99">
        <f>YEAR(Tabla15[[#This Row],[F.Vig.Final]])</f>
        <v>2025</v>
      </c>
      <c r="S245" s="96" t="s">
        <v>77</v>
      </c>
      <c r="T245" s="96" t="s">
        <v>78</v>
      </c>
      <c r="U245" s="96" t="s">
        <v>79</v>
      </c>
      <c r="V245" s="96" t="s">
        <v>924</v>
      </c>
      <c r="W245" s="96" t="s">
        <v>119</v>
      </c>
      <c r="X245" s="96" t="s">
        <v>120</v>
      </c>
      <c r="Y245" s="96" t="s">
        <v>617</v>
      </c>
      <c r="Z245" s="98">
        <f>COUNTIF($X$3:X245, X245)</f>
        <v>6</v>
      </c>
      <c r="AA245" s="98"/>
      <c r="AB245" s="98"/>
      <c r="AC245" s="98"/>
      <c r="AD245" s="98"/>
      <c r="AE245" s="98"/>
      <c r="AF245" s="98"/>
      <c r="AG245" s="98"/>
      <c r="AH245" s="98"/>
      <c r="AI245" s="98" t="e">
        <v>#N/A</v>
      </c>
      <c r="AJ245" s="98" t="e">
        <v>#N/A</v>
      </c>
      <c r="AK245" s="98" t="e">
        <v>#N/A</v>
      </c>
      <c r="AL245" s="98" t="e">
        <v>#N/A</v>
      </c>
      <c r="AM245" s="98" t="e">
        <v>#N/A</v>
      </c>
      <c r="AN245" s="99" t="e">
        <v>#N/A</v>
      </c>
      <c r="AO245" s="99" t="e">
        <v>#N/A</v>
      </c>
      <c r="AP245" s="99" t="e">
        <f>Tabla15[[#This Row],[Renov. Flota]]-Tabla15[[#This Row],[Año]]</f>
        <v>#N/A</v>
      </c>
      <c r="AQ245" s="100" t="e">
        <v>#N/A</v>
      </c>
      <c r="AR245" s="100" t="e">
        <f>VLOOKUP(Tabla15[[#This Row],[Matricula nueva]],'ALTA 20242025'!$B$2:$P$242,15,FALSE)</f>
        <v>#N/A</v>
      </c>
      <c r="AS245" s="101" t="e">
        <v>#N/A</v>
      </c>
      <c r="AT245" s="101"/>
      <c r="AU245" s="101"/>
      <c r="AV245" s="101"/>
      <c r="AW245" s="101" t="e">
        <f>VLOOKUP(Tabla15[[#This Row],[Matricula nueva]],Hoja2!$A$1:$B$224,2,FALSE)</f>
        <v>#N/A</v>
      </c>
      <c r="AX245" s="101" t="str">
        <f>IF(Tabla15[[#This Row],[Columna2]]="M1",5.1,"")</f>
        <v/>
      </c>
      <c r="AY245" s="101"/>
      <c r="AZ245" s="101"/>
      <c r="BA245" s="311">
        <f>IF(Tabla15[[#This Row],[Columna2]]="M1",13073,IF(Tabla15[[#This Row],[Columna2]]="N1",15815,IF(Tabla15[[#This Row],[Columna2]]="L3e",2831,53508)))</f>
        <v>53508</v>
      </c>
      <c r="BB245" s="311" t="e">
        <f>(Tabla15[[#This Row],[CVA]]*Tabla15[[#This Row],[F]]-Tabla15[[#This Row],[CVN]])/100*Tabla15[[#This Row],[L]]</f>
        <v>#VALUE!</v>
      </c>
      <c r="BC245" s="1"/>
      <c r="BD245" s="1" t="e">
        <f>VLOOKUP(B245,Tabla467824[[ID CAE2]:[AE '[kWh']]],6,FALSE)</f>
        <v>#N/A</v>
      </c>
      <c r="BE24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46" spans="1:57" ht="15.75" hidden="1" thickBot="1" x14ac:dyDescent="0.3">
      <c r="A246" s="101"/>
      <c r="B246" s="53" t="e">
        <v>#N/A</v>
      </c>
      <c r="C246" s="100" t="s">
        <v>1423</v>
      </c>
      <c r="D246" s="100"/>
      <c r="E246" s="100"/>
      <c r="F246" s="100"/>
      <c r="G246" s="100"/>
      <c r="H246" s="100"/>
      <c r="I246" s="100"/>
      <c r="J246" s="100"/>
      <c r="K246" s="100" t="s">
        <v>73</v>
      </c>
      <c r="L246" s="100" t="s">
        <v>200</v>
      </c>
      <c r="M246" s="100" t="s">
        <v>201</v>
      </c>
      <c r="N246" s="100" t="s">
        <v>76</v>
      </c>
      <c r="O246" s="100" t="e">
        <f>VLOOKUP(Tabla15[[#This Row],[Matricula Antigua]],BAJA2022202320242025!$B$3:$CR$245,93,FALSE)</f>
        <v>#N/A</v>
      </c>
      <c r="P246" s="315">
        <v>44787</v>
      </c>
      <c r="Q246" s="315" t="e">
        <f>Tabla15[[#This Row],[F.Vig.Final]]-Tabla15[[#This Row],[f Vig Inicio]]</f>
        <v>#N/A</v>
      </c>
      <c r="R246" s="315">
        <f>YEAR(Tabla15[[#This Row],[F.Vig.Final]])</f>
        <v>2022</v>
      </c>
      <c r="S246" s="100" t="s">
        <v>77</v>
      </c>
      <c r="T246" s="100" t="s">
        <v>78</v>
      </c>
      <c r="U246" s="100" t="s">
        <v>359</v>
      </c>
      <c r="V246" s="100" t="s">
        <v>1424</v>
      </c>
      <c r="W246" s="100" t="s">
        <v>119</v>
      </c>
      <c r="X246" s="100" t="s">
        <v>120</v>
      </c>
      <c r="Y246" s="100" t="s">
        <v>1425</v>
      </c>
      <c r="Z246" s="98">
        <f>COUNTIF($X$3:X246, X246)</f>
        <v>7</v>
      </c>
      <c r="AA246" s="98"/>
      <c r="AB246" s="98"/>
      <c r="AC246" s="98"/>
      <c r="AD246" s="98"/>
      <c r="AE246" s="98"/>
      <c r="AF246" s="98"/>
      <c r="AG246" s="98"/>
      <c r="AH246" s="98"/>
      <c r="AI246" s="98" t="e">
        <v>#N/A</v>
      </c>
      <c r="AJ246" s="98" t="e">
        <v>#N/A</v>
      </c>
      <c r="AK246" s="98" t="e">
        <v>#N/A</v>
      </c>
      <c r="AL246" s="98" t="e">
        <v>#N/A</v>
      </c>
      <c r="AM246" s="98" t="e">
        <v>#N/A</v>
      </c>
      <c r="AN246" s="99" t="e">
        <v>#N/A</v>
      </c>
      <c r="AO246" s="99" t="e">
        <v>#N/A</v>
      </c>
      <c r="AP246" s="99" t="e">
        <f>Tabla15[[#This Row],[Renov. Flota]]-Tabla15[[#This Row],[Año]]</f>
        <v>#N/A</v>
      </c>
      <c r="AQ246" s="100" t="e">
        <v>#N/A</v>
      </c>
      <c r="AR246" s="100" t="e">
        <f>VLOOKUP(Tabla15[[#This Row],[Matricula nueva]],'ALTA 20242025'!$B$2:$P$242,15,FALSE)</f>
        <v>#N/A</v>
      </c>
      <c r="AS246" s="101" t="e">
        <v>#N/A</v>
      </c>
      <c r="AT246" s="101"/>
      <c r="AU246" s="101"/>
      <c r="AV246" s="101"/>
      <c r="AW246" s="101" t="e">
        <f>VLOOKUP(Tabla15[[#This Row],[Matricula nueva]],Hoja2!$A$1:$B$224,2,FALSE)</f>
        <v>#N/A</v>
      </c>
      <c r="AX246" s="101" t="str">
        <f>IF(Tabla15[[#This Row],[Columna2]]="M1",5.1,"")</f>
        <v/>
      </c>
      <c r="AY246" s="101"/>
      <c r="AZ246" s="101"/>
      <c r="BA246" s="311">
        <f>IF(Tabla15[[#This Row],[Columna2]]="M1",13073,IF(Tabla15[[#This Row],[Columna2]]="N1",15815,IF(Tabla15[[#This Row],[Columna2]]="L3e",2831,53508)))</f>
        <v>53508</v>
      </c>
      <c r="BB246" s="311" t="e">
        <f>(Tabla15[[#This Row],[CVA]]*Tabla15[[#This Row],[F]]-Tabla15[[#This Row],[CVN]])/100*Tabla15[[#This Row],[L]]</f>
        <v>#VALUE!</v>
      </c>
      <c r="BC246" s="1"/>
      <c r="BD246" s="1" t="e">
        <f>VLOOKUP(B246,Tabla467824[[ID CAE2]:[AE '[kWh']]],6,FALSE)</f>
        <v>#N/A</v>
      </c>
      <c r="BE24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47" spans="1:57" ht="15.75" hidden="1" thickBot="1" x14ac:dyDescent="0.3">
      <c r="A247" s="101"/>
      <c r="B247" s="53" t="e">
        <v>#N/A</v>
      </c>
      <c r="C247" s="100" t="s">
        <v>1426</v>
      </c>
      <c r="D247" s="100"/>
      <c r="E247" s="100"/>
      <c r="F247" s="100"/>
      <c r="G247" s="100"/>
      <c r="H247" s="100"/>
      <c r="I247" s="100"/>
      <c r="J247" s="100"/>
      <c r="K247" s="100" t="s">
        <v>73</v>
      </c>
      <c r="L247" s="100" t="s">
        <v>200</v>
      </c>
      <c r="M247" s="100" t="s">
        <v>201</v>
      </c>
      <c r="N247" s="100" t="s">
        <v>76</v>
      </c>
      <c r="O247" s="100" t="e">
        <f>VLOOKUP(Tabla15[[#This Row],[Matricula Antigua]],BAJA2022202320242025!$B$3:$CR$245,93,FALSE)</f>
        <v>#N/A</v>
      </c>
      <c r="P247" s="315">
        <v>44808</v>
      </c>
      <c r="Q247" s="315" t="e">
        <f>Tabla15[[#This Row],[F.Vig.Final]]-Tabla15[[#This Row],[f Vig Inicio]]</f>
        <v>#N/A</v>
      </c>
      <c r="R247" s="315">
        <f>YEAR(Tabla15[[#This Row],[F.Vig.Final]])</f>
        <v>2022</v>
      </c>
      <c r="S247" s="100" t="s">
        <v>77</v>
      </c>
      <c r="T247" s="100" t="s">
        <v>78</v>
      </c>
      <c r="U247" s="100" t="s">
        <v>359</v>
      </c>
      <c r="V247" s="100" t="s">
        <v>604</v>
      </c>
      <c r="W247" s="100" t="s">
        <v>131</v>
      </c>
      <c r="X247" s="100" t="s">
        <v>132</v>
      </c>
      <c r="Y247" s="100" t="s">
        <v>135</v>
      </c>
      <c r="Z247" s="98">
        <f>COUNTIF($X$3:X247, X247)</f>
        <v>30</v>
      </c>
      <c r="AA247" s="98"/>
      <c r="AB247" s="98"/>
      <c r="AC247" s="98"/>
      <c r="AD247" s="98"/>
      <c r="AE247" s="320"/>
      <c r="AF247" s="320"/>
      <c r="AG247" s="320"/>
      <c r="AH247" s="98"/>
      <c r="AI247" s="98" t="e">
        <v>#N/A</v>
      </c>
      <c r="AJ247" s="98" t="e">
        <v>#N/A</v>
      </c>
      <c r="AK247" s="98" t="e">
        <v>#N/A</v>
      </c>
      <c r="AL247" s="98" t="e">
        <v>#N/A</v>
      </c>
      <c r="AM247" s="98" t="e">
        <v>#N/A</v>
      </c>
      <c r="AN247" s="99" t="e">
        <v>#N/A</v>
      </c>
      <c r="AO247" s="99" t="e">
        <v>#N/A</v>
      </c>
      <c r="AP247" s="99" t="e">
        <f>Tabla15[[#This Row],[Renov. Flota]]-Tabla15[[#This Row],[Año]]</f>
        <v>#N/A</v>
      </c>
      <c r="AQ247" s="100" t="e">
        <v>#N/A</v>
      </c>
      <c r="AR247" s="100" t="e">
        <f>VLOOKUP(Tabla15[[#This Row],[Matricula nueva]],'ALTA 20242025'!$B$2:$P$242,15,FALSE)</f>
        <v>#N/A</v>
      </c>
      <c r="AS247" s="101" t="e">
        <v>#N/A</v>
      </c>
      <c r="AT247" s="101"/>
      <c r="AU247" s="101"/>
      <c r="AV247" s="101"/>
      <c r="AW247" s="101" t="e">
        <f>VLOOKUP(Tabla15[[#This Row],[Matricula nueva]],Hoja2!$A$1:$B$224,2,FALSE)</f>
        <v>#N/A</v>
      </c>
      <c r="AX247" s="101" t="str">
        <f>IF(Tabla15[[#This Row],[Columna2]]="M1",5.1,"")</f>
        <v/>
      </c>
      <c r="AY247" s="101"/>
      <c r="AZ247" s="101"/>
      <c r="BA247" s="311">
        <f>IF(Tabla15[[#This Row],[Columna2]]="M1",13073,IF(Tabla15[[#This Row],[Columna2]]="N1",15815,IF(Tabla15[[#This Row],[Columna2]]="L3e",2831,53508)))</f>
        <v>53508</v>
      </c>
      <c r="BB247" s="311" t="e">
        <f>(Tabla15[[#This Row],[CVA]]*Tabla15[[#This Row],[F]]-Tabla15[[#This Row],[CVN]])/100*Tabla15[[#This Row],[L]]</f>
        <v>#VALUE!</v>
      </c>
      <c r="BC247" s="1"/>
      <c r="BD247" s="1" t="e">
        <f>VLOOKUP(B247,Tabla467824[[ID CAE2]:[AE '[kWh']]],6,FALSE)</f>
        <v>#N/A</v>
      </c>
      <c r="BE24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48" spans="1:57" ht="52.5" thickBot="1" x14ac:dyDescent="0.3">
      <c r="A248" s="53" t="s">
        <v>1064</v>
      </c>
      <c r="B248" s="53" t="s">
        <v>1064</v>
      </c>
      <c r="C248" s="332" t="s">
        <v>1065</v>
      </c>
      <c r="D248" s="104"/>
      <c r="E248" s="104"/>
      <c r="F248" s="104"/>
      <c r="G248" s="104" t="s">
        <v>72</v>
      </c>
      <c r="H248" s="104" t="s">
        <v>72</v>
      </c>
      <c r="I248" s="104" t="s">
        <v>72</v>
      </c>
      <c r="J248" s="104"/>
      <c r="K248" s="96" t="s">
        <v>158</v>
      </c>
      <c r="L248" s="96" t="s">
        <v>159</v>
      </c>
      <c r="M248" s="96" t="s">
        <v>158</v>
      </c>
      <c r="N248" s="96" t="s">
        <v>171</v>
      </c>
      <c r="O248" s="99">
        <f>VLOOKUP(Tabla15[[#This Row],[Matricula Antigua]],BAJA2022202320242025!$B$3:$CR$245,93,FALSE)</f>
        <v>36161</v>
      </c>
      <c r="P248" s="316">
        <v>44994</v>
      </c>
      <c r="Q248" s="317">
        <f>Tabla15[[#This Row],[F.Vig.Final]]-Tabla15[[#This Row],[f Vig Inicio]]</f>
        <v>8833</v>
      </c>
      <c r="R248" s="318">
        <f>YEAR(Tabla15[[#This Row],[F.Vig.Final]])</f>
        <v>2023</v>
      </c>
      <c r="S248" s="96" t="s">
        <v>172</v>
      </c>
      <c r="T248" s="96" t="s">
        <v>78</v>
      </c>
      <c r="U248" s="96" t="s">
        <v>1066</v>
      </c>
      <c r="V248" s="96" t="s">
        <v>1067</v>
      </c>
      <c r="W248" s="96" t="s">
        <v>102</v>
      </c>
      <c r="X248" s="332" t="s">
        <v>1667</v>
      </c>
      <c r="Y248" s="96" t="s">
        <v>579</v>
      </c>
      <c r="Z248" s="98">
        <f>COUNTIF($X$3:X248, X248)</f>
        <v>44</v>
      </c>
      <c r="AA248" s="337" t="s">
        <v>1668</v>
      </c>
      <c r="AB248" s="337" t="s">
        <v>1668</v>
      </c>
      <c r="AC248" s="337" t="s">
        <v>1669</v>
      </c>
      <c r="AD248" s="341" t="s">
        <v>1670</v>
      </c>
      <c r="AE248" s="342" t="s">
        <v>1671</v>
      </c>
      <c r="AF248" s="337" t="s">
        <v>1672</v>
      </c>
      <c r="AG248" s="344" t="s">
        <v>1673</v>
      </c>
      <c r="AH248" s="337" t="s">
        <v>1649</v>
      </c>
      <c r="AI248" s="337" t="s">
        <v>1068</v>
      </c>
      <c r="AJ248" s="98" t="s">
        <v>79</v>
      </c>
      <c r="AK248" s="98" t="s">
        <v>442</v>
      </c>
      <c r="AL248" s="98" t="s">
        <v>87</v>
      </c>
      <c r="AM248" s="101" t="s">
        <v>107</v>
      </c>
      <c r="AN248" s="348" t="s">
        <v>108</v>
      </c>
      <c r="AO248" s="349">
        <v>45133</v>
      </c>
      <c r="AP248" s="98">
        <f>Tabla15[[#This Row],[Renov. Flota]]-Tabla15[[#This Row],[Año]]</f>
        <v>0</v>
      </c>
      <c r="AQ248" s="100" t="s">
        <v>102</v>
      </c>
      <c r="AR248" s="100">
        <v>4500370229</v>
      </c>
      <c r="AS248" s="101" t="s">
        <v>103</v>
      </c>
      <c r="AT248" s="101"/>
      <c r="AU248" s="101" t="s">
        <v>72</v>
      </c>
      <c r="AV248" s="101" t="s">
        <v>109</v>
      </c>
      <c r="AW248" s="101" t="s">
        <v>1069</v>
      </c>
      <c r="AX248" s="209">
        <v>5.6</v>
      </c>
      <c r="AY248" s="208">
        <f>IF(T248="DIESEL",10,IF(T248="GLP",7.16,9.19))</f>
        <v>10</v>
      </c>
      <c r="AZ248" s="313">
        <v>22.7</v>
      </c>
      <c r="BA248" s="314">
        <f>IF(Tabla15[[#This Row],[Columna2]]="M1",13073,IF(Tabla15[[#This Row],[Columna2]]="N1",15815,IF(Tabla15[[#This Row],[Columna2]]="L3e",2831,53508)))</f>
        <v>15815</v>
      </c>
      <c r="BB248" s="350">
        <f>(Tabla15[[#This Row],[CVA]]*Tabla15[[#This Row],[F]]-Tabla15[[#This Row],[CVN]])/100*Tabla15[[#This Row],[L]]</f>
        <v>5266.3949999999995</v>
      </c>
      <c r="BC248" s="84" t="s">
        <v>128</v>
      </c>
      <c r="BD248" s="294">
        <f>VLOOKUP(B248,Tabla467824[[ID CAE2]:[AE '[kWh']]],6,FALSE)</f>
        <v>5607.9989999999989</v>
      </c>
      <c r="BE24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PROPIEDAD</v>
      </c>
    </row>
    <row r="249" spans="1:57" ht="15.75" hidden="1" thickBot="1" x14ac:dyDescent="0.3">
      <c r="A249" s="53" t="s">
        <v>1427</v>
      </c>
      <c r="B249" s="53" t="e">
        <v>#N/A</v>
      </c>
      <c r="C249" s="100" t="s">
        <v>1428</v>
      </c>
      <c r="D249" s="100"/>
      <c r="E249" s="100"/>
      <c r="F249" s="100"/>
      <c r="G249" s="100"/>
      <c r="H249" s="100"/>
      <c r="I249" s="100"/>
      <c r="J249" s="100"/>
      <c r="K249" s="100" t="s">
        <v>1034</v>
      </c>
      <c r="L249" s="100" t="s">
        <v>200</v>
      </c>
      <c r="M249" s="100" t="s">
        <v>201</v>
      </c>
      <c r="N249" s="100" t="s">
        <v>76</v>
      </c>
      <c r="O249" s="100" t="e">
        <f>VLOOKUP(Tabla15[[#This Row],[Matricula Antigua]],BAJA2022202320242025!$B$3:$CR$245,93,FALSE)</f>
        <v>#N/A</v>
      </c>
      <c r="P249" s="315">
        <v>44669</v>
      </c>
      <c r="Q249" s="315" t="e">
        <f>Tabla15[[#This Row],[F.Vig.Final]]-Tabla15[[#This Row],[f Vig Inicio]]</f>
        <v>#N/A</v>
      </c>
      <c r="R249" s="315">
        <f>YEAR(Tabla15[[#This Row],[F.Vig.Final]])</f>
        <v>2022</v>
      </c>
      <c r="S249" s="100" t="s">
        <v>77</v>
      </c>
      <c r="T249" s="100" t="s">
        <v>202</v>
      </c>
      <c r="U249" s="100" t="s">
        <v>416</v>
      </c>
      <c r="V249" s="100" t="s">
        <v>1429</v>
      </c>
      <c r="W249" s="100" t="s">
        <v>336</v>
      </c>
      <c r="X249" s="100" t="s">
        <v>337</v>
      </c>
      <c r="Y249" s="100" t="s">
        <v>1430</v>
      </c>
      <c r="Z249" s="98">
        <f>COUNTIF($X$3:X249, X249)</f>
        <v>19</v>
      </c>
      <c r="AA249" s="98"/>
      <c r="AB249" s="98"/>
      <c r="AC249" s="98"/>
      <c r="AD249" s="98"/>
      <c r="AE249" s="322"/>
      <c r="AF249" s="322"/>
      <c r="AG249" s="98"/>
      <c r="AH249" s="98"/>
      <c r="AI249" s="98" t="e">
        <v>#N/A</v>
      </c>
      <c r="AJ249" s="98" t="e">
        <v>#N/A</v>
      </c>
      <c r="AK249" s="98" t="e">
        <v>#N/A</v>
      </c>
      <c r="AL249" s="98" t="e">
        <v>#N/A</v>
      </c>
      <c r="AM249" s="98" t="e">
        <v>#N/A</v>
      </c>
      <c r="AN249" s="99" t="e">
        <v>#N/A</v>
      </c>
      <c r="AO249" s="99" t="e">
        <v>#N/A</v>
      </c>
      <c r="AP249" s="99" t="e">
        <f>Tabla15[[#This Row],[Renov. Flota]]-Tabla15[[#This Row],[Año]]</f>
        <v>#N/A</v>
      </c>
      <c r="AQ249" s="100" t="e">
        <v>#N/A</v>
      </c>
      <c r="AR249" s="100" t="e">
        <f>VLOOKUP(Tabla15[[#This Row],[Matricula nueva]],'ALTA 20242025'!$B$2:$P$242,15,FALSE)</f>
        <v>#N/A</v>
      </c>
      <c r="AS249" s="101" t="e">
        <v>#N/A</v>
      </c>
      <c r="AT249" s="101"/>
      <c r="AU249" s="101"/>
      <c r="AV249" s="101"/>
      <c r="AW249" s="101" t="e">
        <f>VLOOKUP(Tabla15[[#This Row],[Matricula nueva]],Hoja2!$A$1:$B$224,2,FALSE)</f>
        <v>#N/A</v>
      </c>
      <c r="AX249" s="101" t="str">
        <f>IF(Tabla15[[#This Row],[Columna2]]="M1",5.1,"")</f>
        <v/>
      </c>
      <c r="AY249" s="101"/>
      <c r="AZ249" s="101"/>
      <c r="BA249" s="311">
        <f>IF(Tabla15[[#This Row],[Columna2]]="M1",13073,IF(Tabla15[[#This Row],[Columna2]]="N1",15815,IF(Tabla15[[#This Row],[Columna2]]="L3e",2831,53508)))</f>
        <v>53508</v>
      </c>
      <c r="BB249" s="311" t="e">
        <f>(Tabla15[[#This Row],[CVA]]*Tabla15[[#This Row],[F]]-Tabla15[[#This Row],[CVN]])/100*Tabla15[[#This Row],[L]]</f>
        <v>#VALUE!</v>
      </c>
      <c r="BC249" s="1"/>
      <c r="BD249" s="1" t="e">
        <f>VLOOKUP(B249,Tabla467824[[ID CAE2]:[AE '[kWh']]],6,FALSE)</f>
        <v>#N/A</v>
      </c>
      <c r="BE24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0" spans="1:57" ht="15.75" hidden="1" thickBot="1" x14ac:dyDescent="0.3">
      <c r="A250" s="53" t="s">
        <v>1431</v>
      </c>
      <c r="B250" s="53" t="e">
        <v>#N/A</v>
      </c>
      <c r="C250" s="96" t="s">
        <v>1432</v>
      </c>
      <c r="D250" s="96"/>
      <c r="E250" s="96"/>
      <c r="F250" s="96"/>
      <c r="G250" s="96"/>
      <c r="H250" s="96"/>
      <c r="I250" s="96"/>
      <c r="J250" s="96"/>
      <c r="K250" s="96" t="s">
        <v>73</v>
      </c>
      <c r="L250" s="96" t="s">
        <v>200</v>
      </c>
      <c r="M250" s="96" t="s">
        <v>201</v>
      </c>
      <c r="N250" s="96" t="s">
        <v>76</v>
      </c>
      <c r="O250" s="101">
        <f>VLOOKUP(Tabla15[[#This Row],[Matricula Antigua]],BAJA2022202320242025!$B$3:$CR$245,93,FALSE)</f>
        <v>44238</v>
      </c>
      <c r="P250" s="99">
        <v>45699</v>
      </c>
      <c r="Q250" s="99">
        <f>Tabla15[[#This Row],[F.Vig.Final]]-Tabla15[[#This Row],[f Vig Inicio]]</f>
        <v>1461</v>
      </c>
      <c r="R250" s="99">
        <f>YEAR(Tabla15[[#This Row],[F.Vig.Final]])</f>
        <v>2025</v>
      </c>
      <c r="S250" s="96" t="s">
        <v>77</v>
      </c>
      <c r="T250" s="96" t="s">
        <v>78</v>
      </c>
      <c r="U250" s="96" t="s">
        <v>79</v>
      </c>
      <c r="V250" s="96" t="s">
        <v>924</v>
      </c>
      <c r="W250" s="96" t="s">
        <v>336</v>
      </c>
      <c r="X250" s="96" t="s">
        <v>337</v>
      </c>
      <c r="Y250" s="96" t="s">
        <v>760</v>
      </c>
      <c r="Z250" s="98">
        <f>COUNTIF($X$3:X250, X250)</f>
        <v>20</v>
      </c>
      <c r="AA250" s="98"/>
      <c r="AB250" s="98"/>
      <c r="AC250" s="98"/>
      <c r="AD250" s="98"/>
      <c r="AE250" s="98"/>
      <c r="AF250" s="98"/>
      <c r="AG250" s="98"/>
      <c r="AH250" s="98"/>
      <c r="AI250" s="98" t="e">
        <v>#N/A</v>
      </c>
      <c r="AJ250" s="98" t="e">
        <v>#N/A</v>
      </c>
      <c r="AK250" s="98" t="e">
        <v>#N/A</v>
      </c>
      <c r="AL250" s="98" t="e">
        <v>#N/A</v>
      </c>
      <c r="AM250" s="98" t="e">
        <v>#N/A</v>
      </c>
      <c r="AN250" s="99" t="e">
        <v>#N/A</v>
      </c>
      <c r="AO250" s="99" t="e">
        <v>#N/A</v>
      </c>
      <c r="AP250" s="99" t="e">
        <f>Tabla15[[#This Row],[Renov. Flota]]-Tabla15[[#This Row],[Año]]</f>
        <v>#N/A</v>
      </c>
      <c r="AQ250" s="100" t="e">
        <v>#N/A</v>
      </c>
      <c r="AR250" s="100" t="e">
        <f>VLOOKUP(Tabla15[[#This Row],[Matricula nueva]],'ALTA 20242025'!$B$2:$P$242,15,FALSE)</f>
        <v>#N/A</v>
      </c>
      <c r="AS250" s="101" t="e">
        <v>#N/A</v>
      </c>
      <c r="AT250" s="101"/>
      <c r="AU250" s="101"/>
      <c r="AV250" s="101"/>
      <c r="AW250" s="101" t="e">
        <f>VLOOKUP(Tabla15[[#This Row],[Matricula nueva]],Hoja2!$A$1:$B$224,2,FALSE)</f>
        <v>#N/A</v>
      </c>
      <c r="AX250" s="101" t="str">
        <f>IF(Tabla15[[#This Row],[Columna2]]="M1",5.1,"")</f>
        <v/>
      </c>
      <c r="AY250" s="101"/>
      <c r="AZ250" s="101"/>
      <c r="BA250" s="311">
        <f>IF(Tabla15[[#This Row],[Columna2]]="M1",13073,IF(Tabla15[[#This Row],[Columna2]]="N1",15815,IF(Tabla15[[#This Row],[Columna2]]="L3e",2831,53508)))</f>
        <v>53508</v>
      </c>
      <c r="BB250" s="311" t="e">
        <f>(Tabla15[[#This Row],[CVA]]*Tabla15[[#This Row],[F]]-Tabla15[[#This Row],[CVN]])/100*Tabla15[[#This Row],[L]]</f>
        <v>#VALUE!</v>
      </c>
      <c r="BC250" s="1"/>
      <c r="BD250" s="1" t="e">
        <f>VLOOKUP(B250,Tabla467824[[ID CAE2]:[AE '[kWh']]],6,FALSE)</f>
        <v>#N/A</v>
      </c>
      <c r="BE25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1" spans="1:57" ht="15.75" hidden="1" thickBot="1" x14ac:dyDescent="0.3">
      <c r="A251" s="53" t="s">
        <v>1433</v>
      </c>
      <c r="B251" s="53" t="e">
        <v>#N/A</v>
      </c>
      <c r="C251" s="100" t="s">
        <v>1434</v>
      </c>
      <c r="D251" s="100"/>
      <c r="E251" s="100"/>
      <c r="F251" s="100"/>
      <c r="G251" s="100"/>
      <c r="H251" s="100"/>
      <c r="I251" s="100"/>
      <c r="J251" s="100"/>
      <c r="K251" s="100" t="s">
        <v>73</v>
      </c>
      <c r="L251" s="100" t="s">
        <v>200</v>
      </c>
      <c r="M251" s="100" t="s">
        <v>201</v>
      </c>
      <c r="N251" s="100" t="s">
        <v>76</v>
      </c>
      <c r="O251" s="100" t="e">
        <f>VLOOKUP(Tabla15[[#This Row],[Matricula Antigua]],BAJA2022202320242025!$B$3:$CR$245,93,FALSE)</f>
        <v>#N/A</v>
      </c>
      <c r="P251" s="315">
        <v>44657</v>
      </c>
      <c r="Q251" s="315" t="e">
        <f>Tabla15[[#This Row],[F.Vig.Final]]-Tabla15[[#This Row],[f Vig Inicio]]</f>
        <v>#N/A</v>
      </c>
      <c r="R251" s="315">
        <f>YEAR(Tabla15[[#This Row],[F.Vig.Final]])</f>
        <v>2022</v>
      </c>
      <c r="S251" s="100" t="s">
        <v>77</v>
      </c>
      <c r="T251" s="100" t="s">
        <v>78</v>
      </c>
      <c r="U251" s="100" t="s">
        <v>359</v>
      </c>
      <c r="V251" s="100" t="s">
        <v>360</v>
      </c>
      <c r="W251" s="100" t="s">
        <v>584</v>
      </c>
      <c r="X251" s="100" t="s">
        <v>585</v>
      </c>
      <c r="Y251" s="100" t="s">
        <v>1435</v>
      </c>
      <c r="Z251" s="98">
        <f>COUNTIF($X$3:X251, X251)</f>
        <v>19</v>
      </c>
      <c r="AA251" s="98"/>
      <c r="AB251" s="98"/>
      <c r="AC251" s="98"/>
      <c r="AD251" s="98"/>
      <c r="AE251" s="98"/>
      <c r="AF251" s="98"/>
      <c r="AG251" s="98"/>
      <c r="AH251" s="98"/>
      <c r="AI251" s="98" t="e">
        <v>#N/A</v>
      </c>
      <c r="AJ251" s="98" t="e">
        <v>#N/A</v>
      </c>
      <c r="AK251" s="98" t="e">
        <v>#N/A</v>
      </c>
      <c r="AL251" s="98" t="e">
        <v>#N/A</v>
      </c>
      <c r="AM251" s="98" t="e">
        <v>#N/A</v>
      </c>
      <c r="AN251" s="99" t="e">
        <v>#N/A</v>
      </c>
      <c r="AO251" s="99" t="e">
        <v>#N/A</v>
      </c>
      <c r="AP251" s="99" t="e">
        <f>Tabla15[[#This Row],[Renov. Flota]]-Tabla15[[#This Row],[Año]]</f>
        <v>#N/A</v>
      </c>
      <c r="AQ251" s="100" t="e">
        <v>#N/A</v>
      </c>
      <c r="AR251" s="100" t="e">
        <f>VLOOKUP(Tabla15[[#This Row],[Matricula nueva]],'ALTA 20242025'!$B$2:$P$242,15,FALSE)</f>
        <v>#N/A</v>
      </c>
      <c r="AS251" s="101" t="e">
        <v>#N/A</v>
      </c>
      <c r="AT251" s="101"/>
      <c r="AU251" s="101"/>
      <c r="AV251" s="101"/>
      <c r="AW251" s="101" t="e">
        <f>VLOOKUP(Tabla15[[#This Row],[Matricula nueva]],Hoja2!$A$1:$B$224,2,FALSE)</f>
        <v>#N/A</v>
      </c>
      <c r="AX251" s="101" t="str">
        <f>IF(Tabla15[[#This Row],[Columna2]]="M1",5.1,"")</f>
        <v/>
      </c>
      <c r="AY251" s="101"/>
      <c r="AZ251" s="101"/>
      <c r="BA251" s="311">
        <f>IF(Tabla15[[#This Row],[Columna2]]="M1",13073,IF(Tabla15[[#This Row],[Columna2]]="N1",15815,IF(Tabla15[[#This Row],[Columna2]]="L3e",2831,53508)))</f>
        <v>53508</v>
      </c>
      <c r="BB251" s="311" t="e">
        <f>(Tabla15[[#This Row],[CVA]]*Tabla15[[#This Row],[F]]-Tabla15[[#This Row],[CVN]])/100*Tabla15[[#This Row],[L]]</f>
        <v>#VALUE!</v>
      </c>
      <c r="BC251" s="1"/>
      <c r="BD251" s="1" t="e">
        <f>VLOOKUP(B251,Tabla467824[[ID CAE2]:[AE '[kWh']]],6,FALSE)</f>
        <v>#N/A</v>
      </c>
      <c r="BE25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2" spans="1:57" ht="15.75" hidden="1" thickBot="1" x14ac:dyDescent="0.3">
      <c r="A252" s="53" t="s">
        <v>1436</v>
      </c>
      <c r="B252" s="53" t="e">
        <v>#N/A</v>
      </c>
      <c r="C252" s="100" t="s">
        <v>1437</v>
      </c>
      <c r="D252" s="100"/>
      <c r="E252" s="100"/>
      <c r="F252" s="100"/>
      <c r="G252" s="100"/>
      <c r="H252" s="100"/>
      <c r="I252" s="100"/>
      <c r="J252" s="100"/>
      <c r="K252" s="100" t="s">
        <v>73</v>
      </c>
      <c r="L252" s="100" t="s">
        <v>200</v>
      </c>
      <c r="M252" s="100" t="s">
        <v>201</v>
      </c>
      <c r="N252" s="100" t="s">
        <v>76</v>
      </c>
      <c r="O252" s="100" t="e">
        <f>VLOOKUP(Tabla15[[#This Row],[Matricula Antigua]],BAJA2022202320242025!$B$3:$CR$245,93,FALSE)</f>
        <v>#N/A</v>
      </c>
      <c r="P252" s="315">
        <v>44857</v>
      </c>
      <c r="Q252" s="315" t="e">
        <f>Tabla15[[#This Row],[F.Vig.Final]]-Tabla15[[#This Row],[f Vig Inicio]]</f>
        <v>#N/A</v>
      </c>
      <c r="R252" s="315">
        <f>YEAR(Tabla15[[#This Row],[F.Vig.Final]])</f>
        <v>2022</v>
      </c>
      <c r="S252" s="100" t="s">
        <v>77</v>
      </c>
      <c r="T252" s="100" t="s">
        <v>78</v>
      </c>
      <c r="U252" s="100" t="s">
        <v>359</v>
      </c>
      <c r="V252" s="100" t="s">
        <v>604</v>
      </c>
      <c r="W252" s="100" t="s">
        <v>131</v>
      </c>
      <c r="X252" s="100" t="s">
        <v>132</v>
      </c>
      <c r="Y252" s="100" t="s">
        <v>135</v>
      </c>
      <c r="Z252" s="98">
        <f>COUNTIF($X$3:X252, X252)</f>
        <v>31</v>
      </c>
      <c r="AA252" s="98"/>
      <c r="AB252" s="98"/>
      <c r="AC252" s="98"/>
      <c r="AD252" s="98"/>
      <c r="AE252" s="98"/>
      <c r="AF252" s="98"/>
      <c r="AG252" s="98"/>
      <c r="AH252" s="98"/>
      <c r="AI252" s="98" t="e">
        <v>#N/A</v>
      </c>
      <c r="AJ252" s="98" t="e">
        <v>#N/A</v>
      </c>
      <c r="AK252" s="98" t="e">
        <v>#N/A</v>
      </c>
      <c r="AL252" s="98" t="e">
        <v>#N/A</v>
      </c>
      <c r="AM252" s="98" t="e">
        <v>#N/A</v>
      </c>
      <c r="AN252" s="99" t="e">
        <v>#N/A</v>
      </c>
      <c r="AO252" s="99" t="e">
        <v>#N/A</v>
      </c>
      <c r="AP252" s="99" t="e">
        <f>Tabla15[[#This Row],[Renov. Flota]]-Tabla15[[#This Row],[Año]]</f>
        <v>#N/A</v>
      </c>
      <c r="AQ252" s="100" t="e">
        <v>#N/A</v>
      </c>
      <c r="AR252" s="100" t="e">
        <f>VLOOKUP(Tabla15[[#This Row],[Matricula nueva]],'ALTA 20242025'!$B$2:$P$242,15,FALSE)</f>
        <v>#N/A</v>
      </c>
      <c r="AS252" s="101" t="e">
        <v>#N/A</v>
      </c>
      <c r="AT252" s="101"/>
      <c r="AU252" s="101"/>
      <c r="AV252" s="101"/>
      <c r="AW252" s="101" t="e">
        <f>VLOOKUP(Tabla15[[#This Row],[Matricula nueva]],Hoja2!$A$1:$B$224,2,FALSE)</f>
        <v>#N/A</v>
      </c>
      <c r="AX252" s="101" t="str">
        <f>IF(Tabla15[[#This Row],[Columna2]]="M1",5.1,"")</f>
        <v/>
      </c>
      <c r="AY252" s="101"/>
      <c r="AZ252" s="101"/>
      <c r="BA252" s="311">
        <f>IF(Tabla15[[#This Row],[Columna2]]="M1",13073,IF(Tabla15[[#This Row],[Columna2]]="N1",15815,IF(Tabla15[[#This Row],[Columna2]]="L3e",2831,53508)))</f>
        <v>53508</v>
      </c>
      <c r="BB252" s="311" t="e">
        <f>(Tabla15[[#This Row],[CVA]]*Tabla15[[#This Row],[F]]-Tabla15[[#This Row],[CVN]])/100*Tabla15[[#This Row],[L]]</f>
        <v>#VALUE!</v>
      </c>
      <c r="BC252" s="1"/>
      <c r="BD252" s="1" t="e">
        <f>VLOOKUP(B252,Tabla467824[[ID CAE2]:[AE '[kWh']]],6,FALSE)</f>
        <v>#N/A</v>
      </c>
      <c r="BE25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3" spans="1:57" ht="52.5" thickBot="1" x14ac:dyDescent="0.3">
      <c r="A253" s="53" t="s">
        <v>1070</v>
      </c>
      <c r="B253" s="53" t="s">
        <v>1070</v>
      </c>
      <c r="C253" s="332" t="s">
        <v>1071</v>
      </c>
      <c r="D253" s="104"/>
      <c r="E253" s="104"/>
      <c r="F253" s="104"/>
      <c r="G253" s="104"/>
      <c r="H253" s="104"/>
      <c r="I253" s="104"/>
      <c r="J253" s="104"/>
      <c r="K253" s="96" t="s">
        <v>466</v>
      </c>
      <c r="L253" s="96" t="s">
        <v>200</v>
      </c>
      <c r="M253" s="96" t="s">
        <v>201</v>
      </c>
      <c r="N253" s="96" t="s">
        <v>76</v>
      </c>
      <c r="O253" s="101">
        <f>VLOOKUP(Tabla15[[#This Row],[Matricula Antigua]],BAJA2022202320242025!$B$3:$CR$245,93,FALSE)</f>
        <v>44026</v>
      </c>
      <c r="P253" s="316">
        <v>45169</v>
      </c>
      <c r="Q253" s="317">
        <f>Tabla15[[#This Row],[F.Vig.Final]]-Tabla15[[#This Row],[f Vig Inicio]]</f>
        <v>1143</v>
      </c>
      <c r="R253" s="318">
        <f>YEAR(Tabla15[[#This Row],[F.Vig.Final]])</f>
        <v>2023</v>
      </c>
      <c r="S253" s="96" t="s">
        <v>77</v>
      </c>
      <c r="T253" s="96" t="s">
        <v>78</v>
      </c>
      <c r="U253" s="96" t="s">
        <v>467</v>
      </c>
      <c r="V253" s="96" t="s">
        <v>1072</v>
      </c>
      <c r="W253" s="96" t="s">
        <v>960</v>
      </c>
      <c r="X253" s="332" t="s">
        <v>961</v>
      </c>
      <c r="Y253" s="96" t="s">
        <v>1073</v>
      </c>
      <c r="Z253" s="98">
        <f>COUNTIF($X$3:X253, X253)</f>
        <v>2</v>
      </c>
      <c r="AA253" s="337" t="s">
        <v>1661</v>
      </c>
      <c r="AB253" s="337" t="s">
        <v>1661</v>
      </c>
      <c r="AC253" s="337" t="s">
        <v>1662</v>
      </c>
      <c r="AD253" s="341" t="s">
        <v>1701</v>
      </c>
      <c r="AE253" s="337" t="s">
        <v>1664</v>
      </c>
      <c r="AF253" s="337" t="s">
        <v>1702</v>
      </c>
      <c r="AG253" s="337" t="s">
        <v>1703</v>
      </c>
      <c r="AH253" s="337" t="s">
        <v>1649</v>
      </c>
      <c r="AI253" s="337" t="s">
        <v>1074</v>
      </c>
      <c r="AJ253" s="98" t="s">
        <v>85</v>
      </c>
      <c r="AK253" s="98" t="s">
        <v>86</v>
      </c>
      <c r="AL253" s="98" t="s">
        <v>87</v>
      </c>
      <c r="AM253" s="101" t="s">
        <v>1075</v>
      </c>
      <c r="AN253" s="348" t="s">
        <v>89</v>
      </c>
      <c r="AO253" s="349">
        <v>45645</v>
      </c>
      <c r="AP253" s="98">
        <f>Tabla15[[#This Row],[Renov. Flota]]-Tabla15[[#This Row],[Año]]</f>
        <v>1</v>
      </c>
      <c r="AQ253" s="100" t="s">
        <v>960</v>
      </c>
      <c r="AR253" s="100" t="str">
        <f>VLOOKUP(Tabla15[[#This Row],[Matricula nueva]],'ALTA 20242025'!$B$2:$P$242,15,FALSE)</f>
        <v>4500426769</v>
      </c>
      <c r="AS253" s="101" t="s">
        <v>961</v>
      </c>
      <c r="AT253" s="101"/>
      <c r="AU253" s="101" t="s">
        <v>72</v>
      </c>
      <c r="AV253" s="101" t="s">
        <v>91</v>
      </c>
      <c r="AW253" s="101" t="str">
        <f>VLOOKUP(Tabla15[[#This Row],[Matricula nueva]],Hoja2!$A$1:$B$224,2,FALSE)</f>
        <v>VF1RFK00773934312</v>
      </c>
      <c r="AX253" s="209">
        <f>IF(Tabla15[[#This Row],[Columna2]]="M1",5.1,"")</f>
        <v>5.0999999999999996</v>
      </c>
      <c r="AY253" s="208">
        <f>IF(T253="DIESEL",10,IF(T253="GLP",7.16,9.19))</f>
        <v>10</v>
      </c>
      <c r="AZ253" s="313">
        <v>17.3</v>
      </c>
      <c r="BA253" s="314">
        <f>IF(Tabla15[[#This Row],[Columna2]]="M1",13073,IF(Tabla15[[#This Row],[Columna2]]="N1",15815,IF(Tabla15[[#This Row],[Columna2]]="L3e",2831,53508)))</f>
        <v>13073</v>
      </c>
      <c r="BB253" s="350">
        <f>(Tabla15[[#This Row],[CVA]]*Tabla15[[#This Row],[F]]-Tabla15[[#This Row],[CVN]])/100*Tabla15[[#This Row],[L]]</f>
        <v>4405.6010000000006</v>
      </c>
      <c r="BC253" s="84" t="s">
        <v>70</v>
      </c>
      <c r="BD253" s="294">
        <f>VLOOKUP(B253,Tabla467824[[ID CAE2]:[AE '[kWh']]],6,FALSE)</f>
        <v>6795.3454000000002</v>
      </c>
      <c r="BE25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4" spans="1:57" ht="15.75" hidden="1" thickBot="1" x14ac:dyDescent="0.3">
      <c r="A254" s="53" t="s">
        <v>1438</v>
      </c>
      <c r="B254" s="53" t="e">
        <v>#N/A</v>
      </c>
      <c r="C254" s="100" t="s">
        <v>1439</v>
      </c>
      <c r="D254" s="100"/>
      <c r="E254" s="100"/>
      <c r="F254" s="100"/>
      <c r="G254" s="100"/>
      <c r="H254" s="100"/>
      <c r="I254" s="100"/>
      <c r="J254" s="100"/>
      <c r="K254" s="100" t="s">
        <v>885</v>
      </c>
      <c r="L254" s="100" t="s">
        <v>161</v>
      </c>
      <c r="M254" s="100" t="s">
        <v>886</v>
      </c>
      <c r="N254" s="100" t="s">
        <v>76</v>
      </c>
      <c r="O254" s="100" t="e">
        <f>VLOOKUP(Tabla15[[#This Row],[Matricula Antigua]],BAJA2022202320242025!$B$3:$CR$245,93,FALSE)</f>
        <v>#N/A</v>
      </c>
      <c r="P254" s="315">
        <v>44865</v>
      </c>
      <c r="Q254" s="315" t="e">
        <f>Tabla15[[#This Row],[F.Vig.Final]]-Tabla15[[#This Row],[f Vig Inicio]]</f>
        <v>#N/A</v>
      </c>
      <c r="R254" s="315">
        <f>YEAR(Tabla15[[#This Row],[F.Vig.Final]])</f>
        <v>2022</v>
      </c>
      <c r="S254" s="100" t="s">
        <v>77</v>
      </c>
      <c r="T254" s="100" t="s">
        <v>78</v>
      </c>
      <c r="U254" s="100" t="s">
        <v>85</v>
      </c>
      <c r="V254" s="100" t="s">
        <v>1440</v>
      </c>
      <c r="W254" s="100" t="s">
        <v>1050</v>
      </c>
      <c r="X254" s="100" t="s">
        <v>1051</v>
      </c>
      <c r="Y254" s="100" t="s">
        <v>1052</v>
      </c>
      <c r="Z254" s="98">
        <f>COUNTIF($X$3:X254, X254)</f>
        <v>10</v>
      </c>
      <c r="AA254" s="98"/>
      <c r="AB254" s="98"/>
      <c r="AC254" s="98"/>
      <c r="AD254" s="98"/>
      <c r="AE254" s="98"/>
      <c r="AF254" s="98"/>
      <c r="AG254" s="98"/>
      <c r="AH254" s="98"/>
      <c r="AI254" s="98" t="e">
        <v>#N/A</v>
      </c>
      <c r="AJ254" s="98" t="e">
        <v>#N/A</v>
      </c>
      <c r="AK254" s="98" t="e">
        <v>#N/A</v>
      </c>
      <c r="AL254" s="98" t="e">
        <v>#N/A</v>
      </c>
      <c r="AM254" s="98" t="e">
        <v>#N/A</v>
      </c>
      <c r="AN254" s="99" t="e">
        <v>#N/A</v>
      </c>
      <c r="AO254" s="99" t="e">
        <v>#N/A</v>
      </c>
      <c r="AP254" s="99" t="e">
        <f>Tabla15[[#This Row],[Renov. Flota]]-Tabla15[[#This Row],[Año]]</f>
        <v>#N/A</v>
      </c>
      <c r="AQ254" s="100" t="e">
        <v>#N/A</v>
      </c>
      <c r="AR254" s="100" t="e">
        <f>VLOOKUP(Tabla15[[#This Row],[Matricula nueva]],'ALTA 20242025'!$B$2:$P$242,15,FALSE)</f>
        <v>#N/A</v>
      </c>
      <c r="AS254" s="101" t="e">
        <v>#N/A</v>
      </c>
      <c r="AT254" s="101"/>
      <c r="AU254" s="101"/>
      <c r="AV254" s="101"/>
      <c r="AW254" s="101" t="e">
        <f>VLOOKUP(Tabla15[[#This Row],[Matricula nueva]],Hoja2!$A$1:$B$224,2,FALSE)</f>
        <v>#N/A</v>
      </c>
      <c r="AX254" s="101" t="str">
        <f>IF(Tabla15[[#This Row],[Columna2]]="M1",5.1,"")</f>
        <v/>
      </c>
      <c r="AY254" s="101"/>
      <c r="AZ254" s="101"/>
      <c r="BA254" s="311">
        <f>IF(Tabla15[[#This Row],[Columna2]]="M1",13073,IF(Tabla15[[#This Row],[Columna2]]="N1",15815,IF(Tabla15[[#This Row],[Columna2]]="L3e",2831,53508)))</f>
        <v>53508</v>
      </c>
      <c r="BB254" s="311" t="e">
        <f>(Tabla15[[#This Row],[CVA]]*Tabla15[[#This Row],[F]]-Tabla15[[#This Row],[CVN]])/100*Tabla15[[#This Row],[L]]</f>
        <v>#VALUE!</v>
      </c>
      <c r="BC254" s="1"/>
      <c r="BD254" s="1" t="e">
        <f>VLOOKUP(B254,Tabla467824[[ID CAE2]:[AE '[kWh']]],6,FALSE)</f>
        <v>#N/A</v>
      </c>
      <c r="BE25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5" spans="1:57" ht="15.75" hidden="1" thickBot="1" x14ac:dyDescent="0.3">
      <c r="A255" s="53" t="s">
        <v>1441</v>
      </c>
      <c r="B255" s="53" t="e">
        <v>#N/A</v>
      </c>
      <c r="C255" s="100" t="s">
        <v>1442</v>
      </c>
      <c r="D255" s="100"/>
      <c r="E255" s="100"/>
      <c r="F255" s="100"/>
      <c r="G255" s="100"/>
      <c r="H255" s="100"/>
      <c r="I255" s="100"/>
      <c r="J255" s="100"/>
      <c r="K255" s="100" t="s">
        <v>1143</v>
      </c>
      <c r="L255" s="100" t="s">
        <v>74</v>
      </c>
      <c r="M255" s="100" t="s">
        <v>75</v>
      </c>
      <c r="N255" s="100" t="s">
        <v>76</v>
      </c>
      <c r="O255" s="100" t="e">
        <f>VLOOKUP(Tabla15[[#This Row],[Matricula Antigua]],BAJA2022202320242025!$B$3:$CR$245,93,FALSE)</f>
        <v>#N/A</v>
      </c>
      <c r="P255" s="315">
        <v>44804</v>
      </c>
      <c r="Q255" s="315" t="e">
        <f>Tabla15[[#This Row],[F.Vig.Final]]-Tabla15[[#This Row],[f Vig Inicio]]</f>
        <v>#N/A</v>
      </c>
      <c r="R255" s="315">
        <f>YEAR(Tabla15[[#This Row],[F.Vig.Final]])</f>
        <v>2022</v>
      </c>
      <c r="S255" s="100" t="s">
        <v>77</v>
      </c>
      <c r="T255" s="100" t="s">
        <v>78</v>
      </c>
      <c r="U255" s="100" t="s">
        <v>524</v>
      </c>
      <c r="V255" s="100" t="s">
        <v>1443</v>
      </c>
      <c r="W255" s="100" t="s">
        <v>1050</v>
      </c>
      <c r="X255" s="100" t="s">
        <v>1051</v>
      </c>
      <c r="Y255" s="100" t="s">
        <v>1052</v>
      </c>
      <c r="Z255" s="98">
        <f>COUNTIF($X$3:X255, X255)</f>
        <v>11</v>
      </c>
      <c r="AA255" s="98"/>
      <c r="AB255" s="98"/>
      <c r="AC255" s="98"/>
      <c r="AD255" s="98"/>
      <c r="AE255" s="98"/>
      <c r="AF255" s="98"/>
      <c r="AG255" s="98"/>
      <c r="AH255" s="98"/>
      <c r="AI255" s="98" t="e">
        <v>#N/A</v>
      </c>
      <c r="AJ255" s="98" t="e">
        <v>#N/A</v>
      </c>
      <c r="AK255" s="98" t="e">
        <v>#N/A</v>
      </c>
      <c r="AL255" s="98" t="e">
        <v>#N/A</v>
      </c>
      <c r="AM255" s="98" t="e">
        <v>#N/A</v>
      </c>
      <c r="AN255" s="99" t="e">
        <v>#N/A</v>
      </c>
      <c r="AO255" s="99" t="e">
        <v>#N/A</v>
      </c>
      <c r="AP255" s="99" t="e">
        <f>Tabla15[[#This Row],[Renov. Flota]]-Tabla15[[#This Row],[Año]]</f>
        <v>#N/A</v>
      </c>
      <c r="AQ255" s="100" t="e">
        <v>#N/A</v>
      </c>
      <c r="AR255" s="100" t="e">
        <f>VLOOKUP(Tabla15[[#This Row],[Matricula nueva]],'ALTA 20242025'!$B$2:$P$242,15,FALSE)</f>
        <v>#N/A</v>
      </c>
      <c r="AS255" s="101" t="e">
        <v>#N/A</v>
      </c>
      <c r="AT255" s="101"/>
      <c r="AU255" s="101"/>
      <c r="AV255" s="101"/>
      <c r="AW255" s="101" t="e">
        <f>VLOOKUP(Tabla15[[#This Row],[Matricula nueva]],Hoja2!$A$1:$B$224,2,FALSE)</f>
        <v>#N/A</v>
      </c>
      <c r="AX255" s="101" t="str">
        <f>IF(Tabla15[[#This Row],[Columna2]]="M1",5.1,"")</f>
        <v/>
      </c>
      <c r="AY255" s="101"/>
      <c r="AZ255" s="101"/>
      <c r="BA255" s="311">
        <f>IF(Tabla15[[#This Row],[Columna2]]="M1",13073,IF(Tabla15[[#This Row],[Columna2]]="N1",15815,IF(Tabla15[[#This Row],[Columna2]]="L3e",2831,53508)))</f>
        <v>53508</v>
      </c>
      <c r="BB255" s="311" t="e">
        <f>(Tabla15[[#This Row],[CVA]]*Tabla15[[#This Row],[F]]-Tabla15[[#This Row],[CVN]])/100*Tabla15[[#This Row],[L]]</f>
        <v>#VALUE!</v>
      </c>
      <c r="BC255" s="1"/>
      <c r="BD255" s="1" t="e">
        <f>VLOOKUP(B255,Tabla467824[[ID CAE2]:[AE '[kWh']]],6,FALSE)</f>
        <v>#N/A</v>
      </c>
      <c r="BE25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6" spans="1:57" ht="15.75" hidden="1" thickBot="1" x14ac:dyDescent="0.3">
      <c r="A256" s="53" t="s">
        <v>1444</v>
      </c>
      <c r="B256" s="53" t="e">
        <v>#N/A</v>
      </c>
      <c r="C256" s="100" t="s">
        <v>1445</v>
      </c>
      <c r="D256" s="100"/>
      <c r="E256" s="100"/>
      <c r="F256" s="100"/>
      <c r="G256" s="100"/>
      <c r="H256" s="100"/>
      <c r="I256" s="100"/>
      <c r="J256" s="100"/>
      <c r="K256" s="100" t="s">
        <v>73</v>
      </c>
      <c r="L256" s="100" t="s">
        <v>200</v>
      </c>
      <c r="M256" s="100" t="s">
        <v>201</v>
      </c>
      <c r="N256" s="100" t="s">
        <v>76</v>
      </c>
      <c r="O256" s="100" t="e">
        <f>VLOOKUP(Tabla15[[#This Row],[Matricula Antigua]],BAJA2022202320242025!$B$3:$CR$245,93,FALSE)</f>
        <v>#N/A</v>
      </c>
      <c r="P256" s="315">
        <v>44717</v>
      </c>
      <c r="Q256" s="315" t="e">
        <f>Tabla15[[#This Row],[F.Vig.Final]]-Tabla15[[#This Row],[f Vig Inicio]]</f>
        <v>#N/A</v>
      </c>
      <c r="R256" s="315">
        <f>YEAR(Tabla15[[#This Row],[F.Vig.Final]])</f>
        <v>2022</v>
      </c>
      <c r="S256" s="100" t="s">
        <v>77</v>
      </c>
      <c r="T256" s="100" t="s">
        <v>78</v>
      </c>
      <c r="U256" s="100" t="s">
        <v>359</v>
      </c>
      <c r="V256" s="100" t="s">
        <v>604</v>
      </c>
      <c r="W256" s="100" t="s">
        <v>215</v>
      </c>
      <c r="X256" s="100" t="s">
        <v>216</v>
      </c>
      <c r="Y256" s="100" t="s">
        <v>217</v>
      </c>
      <c r="Z256" s="98">
        <f>COUNTIF($X$3:X256, X256)</f>
        <v>7</v>
      </c>
      <c r="AA256" s="98"/>
      <c r="AB256" s="98"/>
      <c r="AC256" s="98"/>
      <c r="AD256" s="98"/>
      <c r="AE256" s="98"/>
      <c r="AF256" s="98"/>
      <c r="AG256" s="98"/>
      <c r="AH256" s="98"/>
      <c r="AI256" s="98" t="e">
        <v>#N/A</v>
      </c>
      <c r="AJ256" s="98" t="e">
        <v>#N/A</v>
      </c>
      <c r="AK256" s="98" t="e">
        <v>#N/A</v>
      </c>
      <c r="AL256" s="98" t="e">
        <v>#N/A</v>
      </c>
      <c r="AM256" s="98" t="e">
        <v>#N/A</v>
      </c>
      <c r="AN256" s="99" t="e">
        <v>#N/A</v>
      </c>
      <c r="AO256" s="99" t="e">
        <v>#N/A</v>
      </c>
      <c r="AP256" s="99" t="e">
        <f>Tabla15[[#This Row],[Renov. Flota]]-Tabla15[[#This Row],[Año]]</f>
        <v>#N/A</v>
      </c>
      <c r="AQ256" s="100" t="e">
        <v>#N/A</v>
      </c>
      <c r="AR256" s="100" t="e">
        <f>VLOOKUP(Tabla15[[#This Row],[Matricula nueva]],'ALTA 20242025'!$B$2:$P$242,15,FALSE)</f>
        <v>#N/A</v>
      </c>
      <c r="AS256" s="101" t="e">
        <v>#N/A</v>
      </c>
      <c r="AT256" s="101"/>
      <c r="AU256" s="101"/>
      <c r="AV256" s="101"/>
      <c r="AW256" s="101" t="e">
        <f>VLOOKUP(Tabla15[[#This Row],[Matricula nueva]],Hoja2!$A$1:$B$224,2,FALSE)</f>
        <v>#N/A</v>
      </c>
      <c r="AX256" s="101" t="str">
        <f>IF(Tabla15[[#This Row],[Columna2]]="M1",5.1,"")</f>
        <v/>
      </c>
      <c r="AY256" s="101"/>
      <c r="AZ256" s="101"/>
      <c r="BA256" s="311">
        <f>IF(Tabla15[[#This Row],[Columna2]]="M1",13073,IF(Tabla15[[#This Row],[Columna2]]="N1",15815,IF(Tabla15[[#This Row],[Columna2]]="L3e",2831,53508)))</f>
        <v>53508</v>
      </c>
      <c r="BB256" s="311" t="e">
        <f>(Tabla15[[#This Row],[CVA]]*Tabla15[[#This Row],[F]]-Tabla15[[#This Row],[CVN]])/100*Tabla15[[#This Row],[L]]</f>
        <v>#VALUE!</v>
      </c>
      <c r="BC256" s="1"/>
      <c r="BD256" s="1" t="e">
        <f>VLOOKUP(B256,Tabla467824[[ID CAE2]:[AE '[kWh']]],6,FALSE)</f>
        <v>#N/A</v>
      </c>
      <c r="BE25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7" spans="1:57" ht="52.5" thickBot="1" x14ac:dyDescent="0.3">
      <c r="A257" s="53" t="s">
        <v>1078</v>
      </c>
      <c r="B257" s="53" t="s">
        <v>1078</v>
      </c>
      <c r="C257" s="332" t="s">
        <v>1079</v>
      </c>
      <c r="D257" s="104" t="s">
        <v>72</v>
      </c>
      <c r="E257" s="104" t="s">
        <v>72</v>
      </c>
      <c r="F257" s="104" t="s">
        <v>72</v>
      </c>
      <c r="G257" s="104"/>
      <c r="H257" s="104" t="s">
        <v>72</v>
      </c>
      <c r="I257" s="104" t="s">
        <v>72</v>
      </c>
      <c r="J257" s="104"/>
      <c r="K257" s="96" t="s">
        <v>1034</v>
      </c>
      <c r="L257" s="96" t="s">
        <v>200</v>
      </c>
      <c r="M257" s="96" t="s">
        <v>201</v>
      </c>
      <c r="N257" s="96" t="s">
        <v>76</v>
      </c>
      <c r="O257" s="101">
        <f>VLOOKUP(Tabla15[[#This Row],[Matricula Antigua]],BAJA2022202320242025!$B$3:$CR$245,93,FALSE)</f>
        <v>44148</v>
      </c>
      <c r="P257" s="316">
        <v>45609</v>
      </c>
      <c r="Q257" s="317">
        <f>Tabla15[[#This Row],[F.Vig.Final]]-Tabla15[[#This Row],[f Vig Inicio]]</f>
        <v>1461</v>
      </c>
      <c r="R257" s="318">
        <f>YEAR(Tabla15[[#This Row],[F.Vig.Final]])</f>
        <v>2024</v>
      </c>
      <c r="S257" s="96" t="s">
        <v>77</v>
      </c>
      <c r="T257" s="96" t="s">
        <v>202</v>
      </c>
      <c r="U257" s="96" t="s">
        <v>524</v>
      </c>
      <c r="V257" s="96" t="s">
        <v>1080</v>
      </c>
      <c r="W257" s="96" t="s">
        <v>204</v>
      </c>
      <c r="X257" s="332" t="s">
        <v>205</v>
      </c>
      <c r="Y257" s="96" t="s">
        <v>1081</v>
      </c>
      <c r="Z257" s="98">
        <f>COUNTIF($X$3:X257, X257)</f>
        <v>10</v>
      </c>
      <c r="AA257" s="337" t="s">
        <v>1661</v>
      </c>
      <c r="AB257" s="337" t="s">
        <v>1661</v>
      </c>
      <c r="AC257" s="337" t="s">
        <v>1662</v>
      </c>
      <c r="AD257" s="337" t="s">
        <v>1679</v>
      </c>
      <c r="AE257" s="351" t="s">
        <v>1664</v>
      </c>
      <c r="AF257" s="337" t="s">
        <v>1680</v>
      </c>
      <c r="AG257" s="337" t="s">
        <v>1681</v>
      </c>
      <c r="AH257" s="337" t="s">
        <v>1649</v>
      </c>
      <c r="AI257" s="337" t="s">
        <v>1082</v>
      </c>
      <c r="AJ257" s="98" t="s">
        <v>140</v>
      </c>
      <c r="AK257" s="98" t="s">
        <v>151</v>
      </c>
      <c r="AL257" s="98" t="s">
        <v>87</v>
      </c>
      <c r="AM257" s="101" t="s">
        <v>208</v>
      </c>
      <c r="AN257" s="348" t="s">
        <v>89</v>
      </c>
      <c r="AO257" s="349">
        <v>45638</v>
      </c>
      <c r="AP257" s="98">
        <f>Tabla15[[#This Row],[Renov. Flota]]-Tabla15[[#This Row],[Año]]</f>
        <v>0</v>
      </c>
      <c r="AQ257" s="100" t="s">
        <v>204</v>
      </c>
      <c r="AR257" s="100" t="str">
        <f>VLOOKUP(Tabla15[[#This Row],[Matricula nueva]],'ALTA 20242025'!$B$2:$P$242,15,FALSE)</f>
        <v>4500424893</v>
      </c>
      <c r="AS257" s="101" t="s">
        <v>205</v>
      </c>
      <c r="AT257" s="101"/>
      <c r="AU257" s="101" t="s">
        <v>72</v>
      </c>
      <c r="AV257" s="101" t="s">
        <v>91</v>
      </c>
      <c r="AW257" s="101" t="str">
        <f>VLOOKUP(Tabla15[[#This Row],[Matricula nueva]],Hoja2!$A$1:$B$224,2,FALSE)</f>
        <v>VR7CBZYA9RT154434</v>
      </c>
      <c r="AX257" s="209">
        <f>IF(Tabla15[[#This Row],[Columna2]]="M1",5.1,"")</f>
        <v>5.0999999999999996</v>
      </c>
      <c r="AY257" s="208">
        <f>IF(T257="DIESEL",10,IF(T257="GLP",7.16,9.19))</f>
        <v>9.19</v>
      </c>
      <c r="AZ257" s="313">
        <v>16.399999999999999</v>
      </c>
      <c r="BA257" s="314">
        <f>IF(Tabla15[[#This Row],[Columna2]]="M1",13073,IF(Tabla15[[#This Row],[Columna2]]="N1",15815,IF(Tabla15[[#This Row],[Columna2]]="L3e",2831,53508)))</f>
        <v>13073</v>
      </c>
      <c r="BB257" s="350">
        <f>(Tabla15[[#This Row],[CVA]]*Tabla15[[#This Row],[F]]-Tabla15[[#This Row],[CVN]])/100*Tabla15[[#This Row],[L]]</f>
        <v>3983.2123699999993</v>
      </c>
      <c r="BC257" s="84" t="s">
        <v>70</v>
      </c>
      <c r="BD257" s="294">
        <f>VLOOKUP(B257,Tabla467824[[ID CAE2]:[AE '[kWh']]],6,FALSE)</f>
        <v>7136.4330429999991</v>
      </c>
      <c r="BE25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58" spans="1:57" ht="15.75" hidden="1" thickBot="1" x14ac:dyDescent="0.3">
      <c r="A258" s="53" t="s">
        <v>1086</v>
      </c>
      <c r="B258" s="53" t="s">
        <v>1086</v>
      </c>
      <c r="C258" s="100" t="s">
        <v>1446</v>
      </c>
      <c r="D258" s="100"/>
      <c r="E258" s="100"/>
      <c r="F258" s="100"/>
      <c r="G258" s="100"/>
      <c r="H258" s="100"/>
      <c r="I258" s="100"/>
      <c r="J258" s="100"/>
      <c r="K258" s="100" t="s">
        <v>1411</v>
      </c>
      <c r="L258" s="100" t="s">
        <v>200</v>
      </c>
      <c r="M258" s="100" t="s">
        <v>201</v>
      </c>
      <c r="N258" s="100" t="s">
        <v>76</v>
      </c>
      <c r="O258" s="100" t="e">
        <f>VLOOKUP(Tabla15[[#This Row],[Matricula Antigua]],BAJA2022202320242025!$B$3:$CR$245,93,FALSE)</f>
        <v>#N/A</v>
      </c>
      <c r="P258" s="315">
        <v>44594</v>
      </c>
      <c r="Q258" s="315" t="e">
        <f>Tabla15[[#This Row],[F.Vig.Final]]-Tabla15[[#This Row],[f Vig Inicio]]</f>
        <v>#N/A</v>
      </c>
      <c r="R258" s="315">
        <f>YEAR(Tabla15[[#This Row],[F.Vig.Final]])</f>
        <v>2022</v>
      </c>
      <c r="S258" s="100" t="s">
        <v>77</v>
      </c>
      <c r="T258" s="100" t="s">
        <v>78</v>
      </c>
      <c r="U258" s="100" t="s">
        <v>380</v>
      </c>
      <c r="V258" s="100" t="s">
        <v>1370</v>
      </c>
      <c r="W258" s="100" t="s">
        <v>131</v>
      </c>
      <c r="X258" s="100" t="s">
        <v>132</v>
      </c>
      <c r="Y258" s="100" t="s">
        <v>1447</v>
      </c>
      <c r="Z258" s="98">
        <f>COUNTIF($X$3:X258, X258)</f>
        <v>32</v>
      </c>
      <c r="AA258" s="98"/>
      <c r="AB258" s="98"/>
      <c r="AC258" s="98"/>
      <c r="AD258" s="98"/>
      <c r="AE258" s="98"/>
      <c r="AF258" s="98"/>
      <c r="AG258" s="98"/>
      <c r="AH258" s="98"/>
      <c r="AI258" s="98" t="e">
        <v>#N/A</v>
      </c>
      <c r="AJ258" s="98" t="e">
        <v>#N/A</v>
      </c>
      <c r="AK258" s="98" t="e">
        <v>#N/A</v>
      </c>
      <c r="AL258" s="98" t="e">
        <v>#N/A</v>
      </c>
      <c r="AM258" s="98" t="e">
        <v>#N/A</v>
      </c>
      <c r="AN258" s="99" t="e">
        <v>#N/A</v>
      </c>
      <c r="AO258" s="99" t="e">
        <v>#N/A</v>
      </c>
      <c r="AP258" s="99" t="e">
        <f>Tabla15[[#This Row],[Renov. Flota]]-Tabla15[[#This Row],[Año]]</f>
        <v>#N/A</v>
      </c>
      <c r="AQ258" s="100" t="e">
        <v>#N/A</v>
      </c>
      <c r="AR258" s="100" t="e">
        <f>VLOOKUP(Tabla15[[#This Row],[Matricula nueva]],'ALTA 20242025'!$B$2:$P$242,15,FALSE)</f>
        <v>#N/A</v>
      </c>
      <c r="AS258" s="101" t="e">
        <v>#N/A</v>
      </c>
      <c r="AT258" s="101"/>
      <c r="AU258" s="101"/>
      <c r="AV258" s="101"/>
      <c r="AW258" s="101" t="e">
        <f>VLOOKUP(Tabla15[[#This Row],[Matricula nueva]],Hoja2!$A$1:$B$224,2,FALSE)</f>
        <v>#N/A</v>
      </c>
      <c r="AX258" s="101" t="str">
        <f>IF(Tabla15[[#This Row],[Columna2]]="M1",5.1,"")</f>
        <v/>
      </c>
      <c r="AY258" s="101"/>
      <c r="AZ258" s="101"/>
      <c r="BA258" s="311">
        <f>IF(Tabla15[[#This Row],[Columna2]]="M1",13073,IF(Tabla15[[#This Row],[Columna2]]="N1",15815,IF(Tabla15[[#This Row],[Columna2]]="L3e",2831,53508)))</f>
        <v>53508</v>
      </c>
      <c r="BB258" s="311" t="e">
        <f>(Tabla15[[#This Row],[CVA]]*Tabla15[[#This Row],[F]]-Tabla15[[#This Row],[CVN]])/100*Tabla15[[#This Row],[L]]</f>
        <v>#VALUE!</v>
      </c>
      <c r="BC258" s="1"/>
      <c r="BD258" s="1">
        <f>VLOOKUP(B258,Tabla467824[[ID CAE2]:[AE '[kWh']]],6,FALSE)</f>
        <v>6795.3454000000002</v>
      </c>
      <c r="BE25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59" spans="1:57" ht="15.75" hidden="1" thickBot="1" x14ac:dyDescent="0.3">
      <c r="A259" s="53" t="s">
        <v>1448</v>
      </c>
      <c r="B259" s="53" t="e">
        <v>#N/A</v>
      </c>
      <c r="C259" s="100" t="s">
        <v>1449</v>
      </c>
      <c r="D259" s="100"/>
      <c r="E259" s="100"/>
      <c r="F259" s="100"/>
      <c r="G259" s="100"/>
      <c r="H259" s="100"/>
      <c r="I259" s="100"/>
      <c r="J259" s="100"/>
      <c r="K259" s="100" t="s">
        <v>73</v>
      </c>
      <c r="L259" s="100" t="s">
        <v>200</v>
      </c>
      <c r="M259" s="100" t="s">
        <v>201</v>
      </c>
      <c r="N259" s="100" t="s">
        <v>76</v>
      </c>
      <c r="O259" s="100" t="e">
        <f>VLOOKUP(Tabla15[[#This Row],[Matricula Antigua]],BAJA2022202320242025!$B$3:$CR$245,93,FALSE)</f>
        <v>#N/A</v>
      </c>
      <c r="P259" s="315">
        <v>44810</v>
      </c>
      <c r="Q259" s="315" t="e">
        <f>Tabla15[[#This Row],[F.Vig.Final]]-Tabla15[[#This Row],[f Vig Inicio]]</f>
        <v>#N/A</v>
      </c>
      <c r="R259" s="315">
        <f>YEAR(Tabla15[[#This Row],[F.Vig.Final]])</f>
        <v>2022</v>
      </c>
      <c r="S259" s="100" t="s">
        <v>77</v>
      </c>
      <c r="T259" s="100" t="s">
        <v>78</v>
      </c>
      <c r="U259" s="100" t="s">
        <v>359</v>
      </c>
      <c r="V259" s="100" t="s">
        <v>360</v>
      </c>
      <c r="W259" s="100" t="s">
        <v>131</v>
      </c>
      <c r="X259" s="100" t="s">
        <v>132</v>
      </c>
      <c r="Y259" s="100" t="s">
        <v>1450</v>
      </c>
      <c r="Z259" s="98">
        <f>COUNTIF($X$3:X259, X259)</f>
        <v>33</v>
      </c>
      <c r="AA259" s="98"/>
      <c r="AB259" s="98"/>
      <c r="AC259" s="98"/>
      <c r="AD259" s="98"/>
      <c r="AE259" s="98"/>
      <c r="AF259" s="98"/>
      <c r="AG259" s="98"/>
      <c r="AH259" s="98"/>
      <c r="AI259" s="98" t="e">
        <v>#N/A</v>
      </c>
      <c r="AJ259" s="98" t="e">
        <v>#N/A</v>
      </c>
      <c r="AK259" s="98" t="e">
        <v>#N/A</v>
      </c>
      <c r="AL259" s="98" t="e">
        <v>#N/A</v>
      </c>
      <c r="AM259" s="98" t="e">
        <v>#N/A</v>
      </c>
      <c r="AN259" s="99" t="e">
        <v>#N/A</v>
      </c>
      <c r="AO259" s="99" t="e">
        <v>#N/A</v>
      </c>
      <c r="AP259" s="99" t="e">
        <f>Tabla15[[#This Row],[Renov. Flota]]-Tabla15[[#This Row],[Año]]</f>
        <v>#N/A</v>
      </c>
      <c r="AQ259" s="100" t="e">
        <v>#N/A</v>
      </c>
      <c r="AR259" s="100" t="e">
        <f>VLOOKUP(Tabla15[[#This Row],[Matricula nueva]],'ALTA 20242025'!$B$2:$P$242,15,FALSE)</f>
        <v>#N/A</v>
      </c>
      <c r="AS259" s="101" t="e">
        <v>#N/A</v>
      </c>
      <c r="AT259" s="101"/>
      <c r="AU259" s="101"/>
      <c r="AV259" s="101"/>
      <c r="AW259" s="101" t="e">
        <f>VLOOKUP(Tabla15[[#This Row],[Matricula nueva]],Hoja2!$A$1:$B$224,2,FALSE)</f>
        <v>#N/A</v>
      </c>
      <c r="AX259" s="101" t="str">
        <f>IF(Tabla15[[#This Row],[Columna2]]="M1",5.1,"")</f>
        <v/>
      </c>
      <c r="AY259" s="101"/>
      <c r="AZ259" s="101"/>
      <c r="BA259" s="311">
        <f>IF(Tabla15[[#This Row],[Columna2]]="M1",13073,IF(Tabla15[[#This Row],[Columna2]]="N1",15815,IF(Tabla15[[#This Row],[Columna2]]="L3e",2831,53508)))</f>
        <v>53508</v>
      </c>
      <c r="BB259" s="311" t="e">
        <f>(Tabla15[[#This Row],[CVA]]*Tabla15[[#This Row],[F]]-Tabla15[[#This Row],[CVN]])/100*Tabla15[[#This Row],[L]]</f>
        <v>#VALUE!</v>
      </c>
      <c r="BC259" s="1"/>
      <c r="BD259" s="1" t="e">
        <f>VLOOKUP(B259,Tabla467824[[ID CAE2]:[AE '[kWh']]],6,FALSE)</f>
        <v>#N/A</v>
      </c>
      <c r="BE25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0" spans="1:57" ht="15.75" hidden="1" thickBot="1" x14ac:dyDescent="0.3">
      <c r="A260" s="53" t="s">
        <v>1451</v>
      </c>
      <c r="B260" s="53" t="e">
        <v>#N/A</v>
      </c>
      <c r="C260" s="96" t="s">
        <v>1452</v>
      </c>
      <c r="D260" s="96"/>
      <c r="E260" s="96"/>
      <c r="F260" s="96"/>
      <c r="G260" s="96"/>
      <c r="H260" s="96"/>
      <c r="I260" s="96"/>
      <c r="J260" s="96"/>
      <c r="K260" s="96" t="s">
        <v>73</v>
      </c>
      <c r="L260" s="96" t="s">
        <v>200</v>
      </c>
      <c r="M260" s="96" t="s">
        <v>201</v>
      </c>
      <c r="N260" s="96" t="s">
        <v>76</v>
      </c>
      <c r="O260" s="101">
        <f>VLOOKUP(Tabla15[[#This Row],[Matricula Antigua]],BAJA2022202320242025!$B$3:$CR$245,93,FALSE)</f>
        <v>44260</v>
      </c>
      <c r="P260" s="99">
        <v>45721</v>
      </c>
      <c r="Q260" s="99">
        <f>Tabla15[[#This Row],[F.Vig.Final]]-Tabla15[[#This Row],[f Vig Inicio]]</f>
        <v>1461</v>
      </c>
      <c r="R260" s="99">
        <f>YEAR(Tabla15[[#This Row],[F.Vig.Final]])</f>
        <v>2025</v>
      </c>
      <c r="S260" s="96" t="s">
        <v>77</v>
      </c>
      <c r="T260" s="96" t="s">
        <v>78</v>
      </c>
      <c r="U260" s="96" t="s">
        <v>79</v>
      </c>
      <c r="V260" s="96" t="s">
        <v>924</v>
      </c>
      <c r="W260" s="96" t="s">
        <v>119</v>
      </c>
      <c r="X260" s="96" t="s">
        <v>120</v>
      </c>
      <c r="Y260" s="96" t="s">
        <v>1453</v>
      </c>
      <c r="Z260" s="98">
        <f>COUNTIF($X$3:X260, X260)</f>
        <v>8</v>
      </c>
      <c r="AA260" s="98"/>
      <c r="AB260" s="98"/>
      <c r="AC260" s="98"/>
      <c r="AD260" s="98"/>
      <c r="AE260" s="98"/>
      <c r="AF260" s="98"/>
      <c r="AG260" s="98"/>
      <c r="AH260" s="98"/>
      <c r="AI260" s="98" t="e">
        <v>#N/A</v>
      </c>
      <c r="AJ260" s="98" t="e">
        <v>#N/A</v>
      </c>
      <c r="AK260" s="98" t="e">
        <v>#N/A</v>
      </c>
      <c r="AL260" s="98" t="e">
        <v>#N/A</v>
      </c>
      <c r="AM260" s="98" t="e">
        <v>#N/A</v>
      </c>
      <c r="AN260" s="99" t="e">
        <v>#N/A</v>
      </c>
      <c r="AO260" s="99" t="e">
        <v>#N/A</v>
      </c>
      <c r="AP260" s="99" t="e">
        <f>Tabla15[[#This Row],[Renov. Flota]]-Tabla15[[#This Row],[Año]]</f>
        <v>#N/A</v>
      </c>
      <c r="AQ260" s="100" t="e">
        <v>#N/A</v>
      </c>
      <c r="AR260" s="100" t="e">
        <f>VLOOKUP(Tabla15[[#This Row],[Matricula nueva]],'ALTA 20242025'!$B$2:$P$242,15,FALSE)</f>
        <v>#N/A</v>
      </c>
      <c r="AS260" s="101" t="e">
        <v>#N/A</v>
      </c>
      <c r="AT260" s="101"/>
      <c r="AU260" s="101"/>
      <c r="AV260" s="101"/>
      <c r="AW260" s="101" t="e">
        <f>VLOOKUP(Tabla15[[#This Row],[Matricula nueva]],Hoja2!$A$1:$B$224,2,FALSE)</f>
        <v>#N/A</v>
      </c>
      <c r="AX260" s="101" t="str">
        <f>IF(Tabla15[[#This Row],[Columna2]]="M1",5.1,"")</f>
        <v/>
      </c>
      <c r="AY260" s="101"/>
      <c r="AZ260" s="101"/>
      <c r="BA260" s="311">
        <f>IF(Tabla15[[#This Row],[Columna2]]="M1",13073,IF(Tabla15[[#This Row],[Columna2]]="N1",15815,IF(Tabla15[[#This Row],[Columna2]]="L3e",2831,53508)))</f>
        <v>53508</v>
      </c>
      <c r="BB260" s="311" t="e">
        <f>(Tabla15[[#This Row],[CVA]]*Tabla15[[#This Row],[F]]-Tabla15[[#This Row],[CVN]])/100*Tabla15[[#This Row],[L]]</f>
        <v>#VALUE!</v>
      </c>
      <c r="BC260" s="1"/>
      <c r="BD260" s="1" t="e">
        <f>VLOOKUP(B260,Tabla467824[[ID CAE2]:[AE '[kWh']]],6,FALSE)</f>
        <v>#N/A</v>
      </c>
      <c r="BE26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1" spans="1:57" ht="15.75" hidden="1" thickBot="1" x14ac:dyDescent="0.3">
      <c r="A261" s="53" t="s">
        <v>1454</v>
      </c>
      <c r="B261" s="53" t="e">
        <v>#N/A</v>
      </c>
      <c r="C261" s="100" t="s">
        <v>1455</v>
      </c>
      <c r="D261" s="100"/>
      <c r="E261" s="100"/>
      <c r="F261" s="100"/>
      <c r="G261" s="100"/>
      <c r="H261" s="100"/>
      <c r="I261" s="100"/>
      <c r="J261" s="100"/>
      <c r="K261" s="100" t="s">
        <v>73</v>
      </c>
      <c r="L261" s="100" t="s">
        <v>200</v>
      </c>
      <c r="M261" s="100" t="s">
        <v>201</v>
      </c>
      <c r="N261" s="100" t="s">
        <v>76</v>
      </c>
      <c r="O261" s="100" t="e">
        <f>VLOOKUP(Tabla15[[#This Row],[Matricula Antigua]],BAJA2022202320242025!$B$3:$CR$245,93,FALSE)</f>
        <v>#N/A</v>
      </c>
      <c r="P261" s="315">
        <v>44790</v>
      </c>
      <c r="Q261" s="315" t="e">
        <f>Tabla15[[#This Row],[F.Vig.Final]]-Tabla15[[#This Row],[f Vig Inicio]]</f>
        <v>#N/A</v>
      </c>
      <c r="R261" s="315">
        <f>YEAR(Tabla15[[#This Row],[F.Vig.Final]])</f>
        <v>2022</v>
      </c>
      <c r="S261" s="100" t="s">
        <v>77</v>
      </c>
      <c r="T261" s="100" t="s">
        <v>78</v>
      </c>
      <c r="U261" s="100" t="s">
        <v>359</v>
      </c>
      <c r="V261" s="100" t="s">
        <v>604</v>
      </c>
      <c r="W261" s="100" t="s">
        <v>131</v>
      </c>
      <c r="X261" s="100" t="s">
        <v>132</v>
      </c>
      <c r="Y261" s="100" t="s">
        <v>135</v>
      </c>
      <c r="Z261" s="98">
        <f>COUNTIF($X$3:X261, X261)</f>
        <v>34</v>
      </c>
      <c r="AA261" s="98"/>
      <c r="AB261" s="98"/>
      <c r="AC261" s="98"/>
      <c r="AD261" s="98"/>
      <c r="AE261" s="98"/>
      <c r="AF261" s="98"/>
      <c r="AG261" s="98"/>
      <c r="AH261" s="98"/>
      <c r="AI261" s="98" t="e">
        <v>#N/A</v>
      </c>
      <c r="AJ261" s="98" t="e">
        <v>#N/A</v>
      </c>
      <c r="AK261" s="98" t="e">
        <v>#N/A</v>
      </c>
      <c r="AL261" s="98" t="e">
        <v>#N/A</v>
      </c>
      <c r="AM261" s="98" t="e">
        <v>#N/A</v>
      </c>
      <c r="AN261" s="99" t="e">
        <v>#N/A</v>
      </c>
      <c r="AO261" s="99" t="e">
        <v>#N/A</v>
      </c>
      <c r="AP261" s="99" t="e">
        <f>Tabla15[[#This Row],[Renov. Flota]]-Tabla15[[#This Row],[Año]]</f>
        <v>#N/A</v>
      </c>
      <c r="AQ261" s="100" t="e">
        <v>#N/A</v>
      </c>
      <c r="AR261" s="100" t="e">
        <f>VLOOKUP(Tabla15[[#This Row],[Matricula nueva]],'ALTA 20242025'!$B$2:$P$242,15,FALSE)</f>
        <v>#N/A</v>
      </c>
      <c r="AS261" s="101" t="e">
        <v>#N/A</v>
      </c>
      <c r="AT261" s="101"/>
      <c r="AU261" s="101"/>
      <c r="AV261" s="101"/>
      <c r="AW261" s="101" t="e">
        <f>VLOOKUP(Tabla15[[#This Row],[Matricula nueva]],Hoja2!$A$1:$B$224,2,FALSE)</f>
        <v>#N/A</v>
      </c>
      <c r="AX261" s="101" t="str">
        <f>IF(Tabla15[[#This Row],[Columna2]]="M1",5.1,"")</f>
        <v/>
      </c>
      <c r="AY261" s="101"/>
      <c r="AZ261" s="101"/>
      <c r="BA261" s="311">
        <f>IF(Tabla15[[#This Row],[Columna2]]="M1",13073,IF(Tabla15[[#This Row],[Columna2]]="N1",15815,IF(Tabla15[[#This Row],[Columna2]]="L3e",2831,53508)))</f>
        <v>53508</v>
      </c>
      <c r="BB261" s="311" t="e">
        <f>(Tabla15[[#This Row],[CVA]]*Tabla15[[#This Row],[F]]-Tabla15[[#This Row],[CVN]])/100*Tabla15[[#This Row],[L]]</f>
        <v>#VALUE!</v>
      </c>
      <c r="BC261" s="1"/>
      <c r="BD261" s="1" t="e">
        <f>VLOOKUP(B261,Tabla467824[[ID CAE2]:[AE '[kWh']]],6,FALSE)</f>
        <v>#N/A</v>
      </c>
      <c r="BE26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2" spans="1:57" ht="15.75" hidden="1" thickBot="1" x14ac:dyDescent="0.3">
      <c r="A262" s="101"/>
      <c r="B262" s="53" t="e">
        <v>#N/A</v>
      </c>
      <c r="C262" s="100" t="s">
        <v>1456</v>
      </c>
      <c r="D262" s="100"/>
      <c r="E262" s="100"/>
      <c r="F262" s="100"/>
      <c r="G262" s="100"/>
      <c r="H262" s="100"/>
      <c r="I262" s="100"/>
      <c r="J262" s="100"/>
      <c r="K262" s="100" t="s">
        <v>129</v>
      </c>
      <c r="L262" s="100" t="s">
        <v>200</v>
      </c>
      <c r="M262" s="100" t="s">
        <v>201</v>
      </c>
      <c r="N262" s="100" t="s">
        <v>76</v>
      </c>
      <c r="O262" s="100" t="e">
        <f>VLOOKUP(Tabla15[[#This Row],[Matricula Antigua]],BAJA2022202320242025!$B$3:$CR$245,93,FALSE)</f>
        <v>#N/A</v>
      </c>
      <c r="P262" s="315">
        <v>44742</v>
      </c>
      <c r="Q262" s="315" t="e">
        <f>Tabla15[[#This Row],[F.Vig.Final]]-Tabla15[[#This Row],[f Vig Inicio]]</f>
        <v>#N/A</v>
      </c>
      <c r="R262" s="315">
        <f>YEAR(Tabla15[[#This Row],[F.Vig.Final]])</f>
        <v>2022</v>
      </c>
      <c r="S262" s="100" t="s">
        <v>77</v>
      </c>
      <c r="T262" s="100" t="s">
        <v>78</v>
      </c>
      <c r="U262" s="100" t="s">
        <v>380</v>
      </c>
      <c r="V262" s="100" t="s">
        <v>1370</v>
      </c>
      <c r="W262" s="100" t="s">
        <v>131</v>
      </c>
      <c r="X262" s="100" t="s">
        <v>132</v>
      </c>
      <c r="Y262" s="100" t="s">
        <v>1457</v>
      </c>
      <c r="Z262" s="98">
        <f>COUNTIF($X$3:X262, X262)</f>
        <v>35</v>
      </c>
      <c r="AA262" s="98"/>
      <c r="AB262" s="98"/>
      <c r="AC262" s="98"/>
      <c r="AD262" s="98"/>
      <c r="AE262" s="98"/>
      <c r="AF262" s="98"/>
      <c r="AG262" s="98"/>
      <c r="AH262" s="98"/>
      <c r="AI262" s="98" t="e">
        <v>#N/A</v>
      </c>
      <c r="AJ262" s="98" t="e">
        <v>#N/A</v>
      </c>
      <c r="AK262" s="98" t="e">
        <v>#N/A</v>
      </c>
      <c r="AL262" s="98" t="e">
        <v>#N/A</v>
      </c>
      <c r="AM262" s="98" t="e">
        <v>#N/A</v>
      </c>
      <c r="AN262" s="99" t="e">
        <v>#N/A</v>
      </c>
      <c r="AO262" s="99" t="e">
        <v>#N/A</v>
      </c>
      <c r="AP262" s="99" t="e">
        <f>Tabla15[[#This Row],[Renov. Flota]]-Tabla15[[#This Row],[Año]]</f>
        <v>#N/A</v>
      </c>
      <c r="AQ262" s="100" t="e">
        <v>#N/A</v>
      </c>
      <c r="AR262" s="100" t="e">
        <f>VLOOKUP(Tabla15[[#This Row],[Matricula nueva]],'ALTA 20242025'!$B$2:$P$242,15,FALSE)</f>
        <v>#N/A</v>
      </c>
      <c r="AS262" s="101" t="e">
        <v>#N/A</v>
      </c>
      <c r="AT262" s="101"/>
      <c r="AU262" s="101"/>
      <c r="AV262" s="101"/>
      <c r="AW262" s="101" t="e">
        <f>VLOOKUP(Tabla15[[#This Row],[Matricula nueva]],Hoja2!$A$1:$B$224,2,FALSE)</f>
        <v>#N/A</v>
      </c>
      <c r="AX262" s="101" t="str">
        <f>IF(Tabla15[[#This Row],[Columna2]]="M1",5.1,"")</f>
        <v/>
      </c>
      <c r="AY262" s="101"/>
      <c r="AZ262" s="101"/>
      <c r="BA262" s="311">
        <f>IF(Tabla15[[#This Row],[Columna2]]="M1",13073,IF(Tabla15[[#This Row],[Columna2]]="N1",15815,IF(Tabla15[[#This Row],[Columna2]]="L3e",2831,53508)))</f>
        <v>53508</v>
      </c>
      <c r="BB262" s="311" t="e">
        <f>(Tabla15[[#This Row],[CVA]]*Tabla15[[#This Row],[F]]-Tabla15[[#This Row],[CVN]])/100*Tabla15[[#This Row],[L]]</f>
        <v>#VALUE!</v>
      </c>
      <c r="BC262" s="1"/>
      <c r="BD262" s="1" t="e">
        <f>VLOOKUP(B262,Tabla467824[[ID CAE2]:[AE '[kWh']]],6,FALSE)</f>
        <v>#N/A</v>
      </c>
      <c r="BE26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3" spans="1:57" ht="15.75" hidden="1" thickBot="1" x14ac:dyDescent="0.3">
      <c r="A263" s="101"/>
      <c r="B263" s="53" t="e">
        <v>#N/A</v>
      </c>
      <c r="C263" s="100" t="s">
        <v>1458</v>
      </c>
      <c r="D263" s="100"/>
      <c r="E263" s="100"/>
      <c r="F263" s="100"/>
      <c r="G263" s="100"/>
      <c r="H263" s="100"/>
      <c r="I263" s="100"/>
      <c r="J263" s="100"/>
      <c r="K263" s="100" t="s">
        <v>73</v>
      </c>
      <c r="L263" s="100" t="s">
        <v>200</v>
      </c>
      <c r="M263" s="100" t="s">
        <v>201</v>
      </c>
      <c r="N263" s="100" t="s">
        <v>160</v>
      </c>
      <c r="O263" s="100" t="e">
        <f>VLOOKUP(Tabla15[[#This Row],[Matricula Antigua]],BAJA2022202320242025!$B$3:$CR$245,93,FALSE)</f>
        <v>#N/A</v>
      </c>
      <c r="P263" s="315">
        <v>44594</v>
      </c>
      <c r="Q263" s="315" t="e">
        <f>Tabla15[[#This Row],[F.Vig.Final]]-Tabla15[[#This Row],[f Vig Inicio]]</f>
        <v>#N/A</v>
      </c>
      <c r="R263" s="315">
        <f>YEAR(Tabla15[[#This Row],[F.Vig.Final]])</f>
        <v>2022</v>
      </c>
      <c r="S263" s="100" t="s">
        <v>161</v>
      </c>
      <c r="T263" s="100" t="s">
        <v>78</v>
      </c>
      <c r="U263" s="100" t="s">
        <v>359</v>
      </c>
      <c r="V263" s="100" t="s">
        <v>593</v>
      </c>
      <c r="W263" s="100" t="s">
        <v>1128</v>
      </c>
      <c r="X263" s="100" t="s">
        <v>1129</v>
      </c>
      <c r="Y263" s="100" t="s">
        <v>1130</v>
      </c>
      <c r="Z263" s="98">
        <f>COUNTIF($X$3:X263, X263)</f>
        <v>3</v>
      </c>
      <c r="AA263" s="98"/>
      <c r="AB263" s="98"/>
      <c r="AC263" s="98"/>
      <c r="AD263" s="98"/>
      <c r="AE263" s="98"/>
      <c r="AF263" s="98"/>
      <c r="AG263" s="98"/>
      <c r="AH263" s="98"/>
      <c r="AI263" s="98" t="e">
        <v>#N/A</v>
      </c>
      <c r="AJ263" s="98" t="e">
        <v>#N/A</v>
      </c>
      <c r="AK263" s="98" t="e">
        <v>#N/A</v>
      </c>
      <c r="AL263" s="98" t="e">
        <v>#N/A</v>
      </c>
      <c r="AM263" s="98" t="e">
        <v>#N/A</v>
      </c>
      <c r="AN263" s="99" t="e">
        <v>#N/A</v>
      </c>
      <c r="AO263" s="99" t="e">
        <v>#N/A</v>
      </c>
      <c r="AP263" s="99" t="e">
        <f>Tabla15[[#This Row],[Renov. Flota]]-Tabla15[[#This Row],[Año]]</f>
        <v>#N/A</v>
      </c>
      <c r="AQ263" s="100" t="e">
        <v>#N/A</v>
      </c>
      <c r="AR263" s="100" t="e">
        <f>VLOOKUP(Tabla15[[#This Row],[Matricula nueva]],'ALTA 20242025'!$B$2:$P$242,15,FALSE)</f>
        <v>#N/A</v>
      </c>
      <c r="AS263" s="101" t="e">
        <v>#N/A</v>
      </c>
      <c r="AT263" s="101"/>
      <c r="AU263" s="101"/>
      <c r="AV263" s="101"/>
      <c r="AW263" s="101" t="e">
        <f>VLOOKUP(Tabla15[[#This Row],[Matricula nueva]],Hoja2!$A$1:$B$224,2,FALSE)</f>
        <v>#N/A</v>
      </c>
      <c r="AX263" s="101" t="str">
        <f>IF(Tabla15[[#This Row],[Columna2]]="M1",5.1,"")</f>
        <v/>
      </c>
      <c r="AY263" s="101"/>
      <c r="AZ263" s="101"/>
      <c r="BA263" s="311">
        <f>IF(Tabla15[[#This Row],[Columna2]]="M1",13073,IF(Tabla15[[#This Row],[Columna2]]="N1",15815,IF(Tabla15[[#This Row],[Columna2]]="L3e",2831,53508)))</f>
        <v>53508</v>
      </c>
      <c r="BB263" s="311" t="e">
        <f>(Tabla15[[#This Row],[CVA]]*Tabla15[[#This Row],[F]]-Tabla15[[#This Row],[CVN]])/100*Tabla15[[#This Row],[L]]</f>
        <v>#VALUE!</v>
      </c>
      <c r="BC263" s="1"/>
      <c r="BD263" s="1" t="e">
        <f>VLOOKUP(B263,Tabla467824[[ID CAE2]:[AE '[kWh']]],6,FALSE)</f>
        <v>#N/A</v>
      </c>
      <c r="BE26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4" spans="1:57" ht="15.75" hidden="1" thickBot="1" x14ac:dyDescent="0.3">
      <c r="A264" s="101"/>
      <c r="B264" s="53" t="e">
        <v>#N/A</v>
      </c>
      <c r="C264" s="100" t="s">
        <v>1459</v>
      </c>
      <c r="D264" s="100"/>
      <c r="E264" s="100"/>
      <c r="F264" s="100"/>
      <c r="G264" s="100"/>
      <c r="H264" s="100"/>
      <c r="I264" s="100"/>
      <c r="J264" s="100"/>
      <c r="K264" s="100" t="s">
        <v>73</v>
      </c>
      <c r="L264" s="100" t="s">
        <v>200</v>
      </c>
      <c r="M264" s="100" t="s">
        <v>201</v>
      </c>
      <c r="N264" s="100" t="s">
        <v>76</v>
      </c>
      <c r="O264" s="100" t="e">
        <f>VLOOKUP(Tabla15[[#This Row],[Matricula Antigua]],BAJA2022202320242025!$B$3:$CR$245,93,FALSE)</f>
        <v>#N/A</v>
      </c>
      <c r="P264" s="315">
        <v>44594</v>
      </c>
      <c r="Q264" s="315" t="e">
        <f>Tabla15[[#This Row],[F.Vig.Final]]-Tabla15[[#This Row],[f Vig Inicio]]</f>
        <v>#N/A</v>
      </c>
      <c r="R264" s="315">
        <f>YEAR(Tabla15[[#This Row],[F.Vig.Final]])</f>
        <v>2022</v>
      </c>
      <c r="S264" s="100" t="s">
        <v>77</v>
      </c>
      <c r="T264" s="100" t="s">
        <v>78</v>
      </c>
      <c r="U264" s="100" t="s">
        <v>359</v>
      </c>
      <c r="V264" s="100" t="s">
        <v>593</v>
      </c>
      <c r="W264" s="100" t="s">
        <v>336</v>
      </c>
      <c r="X264" s="100" t="s">
        <v>337</v>
      </c>
      <c r="Y264" s="100" t="s">
        <v>1004</v>
      </c>
      <c r="Z264" s="98">
        <f>COUNTIF($X$3:X264, X264)</f>
        <v>21</v>
      </c>
      <c r="AA264" s="98"/>
      <c r="AB264" s="98"/>
      <c r="AC264" s="98"/>
      <c r="AD264" s="98"/>
      <c r="AE264" s="320"/>
      <c r="AF264" s="98"/>
      <c r="AG264" s="98"/>
      <c r="AH264" s="98"/>
      <c r="AI264" s="98" t="e">
        <v>#N/A</v>
      </c>
      <c r="AJ264" s="98" t="e">
        <v>#N/A</v>
      </c>
      <c r="AK264" s="98" t="e">
        <v>#N/A</v>
      </c>
      <c r="AL264" s="98" t="e">
        <v>#N/A</v>
      </c>
      <c r="AM264" s="98" t="e">
        <v>#N/A</v>
      </c>
      <c r="AN264" s="99" t="e">
        <v>#N/A</v>
      </c>
      <c r="AO264" s="99" t="e">
        <v>#N/A</v>
      </c>
      <c r="AP264" s="99" t="e">
        <f>Tabla15[[#This Row],[Renov. Flota]]-Tabla15[[#This Row],[Año]]</f>
        <v>#N/A</v>
      </c>
      <c r="AQ264" s="100" t="e">
        <v>#N/A</v>
      </c>
      <c r="AR264" s="100" t="e">
        <f>VLOOKUP(Tabla15[[#This Row],[Matricula nueva]],'ALTA 20242025'!$B$2:$P$242,15,FALSE)</f>
        <v>#N/A</v>
      </c>
      <c r="AS264" s="101" t="e">
        <v>#N/A</v>
      </c>
      <c r="AT264" s="101"/>
      <c r="AU264" s="101"/>
      <c r="AV264" s="101"/>
      <c r="AW264" s="101" t="e">
        <f>VLOOKUP(Tabla15[[#This Row],[Matricula nueva]],Hoja2!$A$1:$B$224,2,FALSE)</f>
        <v>#N/A</v>
      </c>
      <c r="AX264" s="101" t="str">
        <f>IF(Tabla15[[#This Row],[Columna2]]="M1",5.1,"")</f>
        <v/>
      </c>
      <c r="AY264" s="101"/>
      <c r="AZ264" s="101"/>
      <c r="BA264" s="311">
        <f>IF(Tabla15[[#This Row],[Columna2]]="M1",13073,IF(Tabla15[[#This Row],[Columna2]]="N1",15815,IF(Tabla15[[#This Row],[Columna2]]="L3e",2831,53508)))</f>
        <v>53508</v>
      </c>
      <c r="BB264" s="311" t="e">
        <f>(Tabla15[[#This Row],[CVA]]*Tabla15[[#This Row],[F]]-Tabla15[[#This Row],[CVN]])/100*Tabla15[[#This Row],[L]]</f>
        <v>#VALUE!</v>
      </c>
      <c r="BC264" s="1"/>
      <c r="BD264" s="1" t="e">
        <f>VLOOKUP(B264,Tabla467824[[ID CAE2]:[AE '[kWh']]],6,FALSE)</f>
        <v>#N/A</v>
      </c>
      <c r="BE26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5" spans="1:57" ht="52.5" thickBot="1" x14ac:dyDescent="0.3">
      <c r="A265" s="53" t="s">
        <v>1086</v>
      </c>
      <c r="B265" s="53" t="s">
        <v>1086</v>
      </c>
      <c r="C265" s="332" t="s">
        <v>1087</v>
      </c>
      <c r="D265" s="104" t="s">
        <v>72</v>
      </c>
      <c r="E265" s="104" t="s">
        <v>72</v>
      </c>
      <c r="F265" s="104"/>
      <c r="G265" s="104"/>
      <c r="H265" s="104" t="s">
        <v>72</v>
      </c>
      <c r="I265" s="104" t="s">
        <v>72</v>
      </c>
      <c r="J265" s="104"/>
      <c r="K265" s="96" t="s">
        <v>1034</v>
      </c>
      <c r="L265" s="96" t="s">
        <v>200</v>
      </c>
      <c r="M265" s="96" t="s">
        <v>201</v>
      </c>
      <c r="N265" s="96" t="s">
        <v>76</v>
      </c>
      <c r="O265" s="101">
        <f>VLOOKUP(Tabla15[[#This Row],[Matricula Antigua]],BAJA2022202320242025!$B$3:$CR$245,93,FALSE)</f>
        <v>42725</v>
      </c>
      <c r="P265" s="316">
        <v>45124</v>
      </c>
      <c r="Q265" s="317">
        <f>Tabla15[[#This Row],[F.Vig.Final]]-Tabla15[[#This Row],[f Vig Inicio]]</f>
        <v>2399</v>
      </c>
      <c r="R265" s="318">
        <f>YEAR(Tabla15[[#This Row],[F.Vig.Final]])</f>
        <v>2023</v>
      </c>
      <c r="S265" s="96" t="s">
        <v>77</v>
      </c>
      <c r="T265" s="96" t="s">
        <v>78</v>
      </c>
      <c r="U265" s="96" t="s">
        <v>524</v>
      </c>
      <c r="V265" s="96" t="s">
        <v>1089</v>
      </c>
      <c r="W265" s="96" t="s">
        <v>119</v>
      </c>
      <c r="X265" s="332" t="s">
        <v>1674</v>
      </c>
      <c r="Y265" s="96" t="s">
        <v>1041</v>
      </c>
      <c r="Z265" s="98">
        <f>COUNTIF($X$3:X265, X265)</f>
        <v>26</v>
      </c>
      <c r="AA265" s="337" t="s">
        <v>1661</v>
      </c>
      <c r="AB265" s="337" t="s">
        <v>1661</v>
      </c>
      <c r="AC265" s="337" t="s">
        <v>1662</v>
      </c>
      <c r="AD265" s="337" t="s">
        <v>1663</v>
      </c>
      <c r="AE265" s="342" t="s">
        <v>1664</v>
      </c>
      <c r="AF265" s="337" t="s">
        <v>1665</v>
      </c>
      <c r="AG265" s="337" t="s">
        <v>1666</v>
      </c>
      <c r="AH265" s="337" t="s">
        <v>1649</v>
      </c>
      <c r="AI265" s="337" t="s">
        <v>1090</v>
      </c>
      <c r="AJ265" s="98" t="s">
        <v>85</v>
      </c>
      <c r="AK265" s="98" t="s">
        <v>86</v>
      </c>
      <c r="AL265" s="98" t="s">
        <v>87</v>
      </c>
      <c r="AM265" s="101" t="s">
        <v>252</v>
      </c>
      <c r="AN265" s="348" t="s">
        <v>89</v>
      </c>
      <c r="AO265" s="349">
        <v>45645</v>
      </c>
      <c r="AP265" s="98">
        <f>Tabla15[[#This Row],[Renov. Flota]]-Tabla15[[#This Row],[Año]]</f>
        <v>1</v>
      </c>
      <c r="AQ265" s="100" t="s">
        <v>119</v>
      </c>
      <c r="AR265" s="100" t="str">
        <f>VLOOKUP(Tabla15[[#This Row],[Matricula nueva]],'ALTA 20242025'!$B$2:$P$242,15,FALSE)</f>
        <v>4500426795</v>
      </c>
      <c r="AS265" s="101" t="s">
        <v>120</v>
      </c>
      <c r="AT265" s="101"/>
      <c r="AU265" s="101" t="s">
        <v>72</v>
      </c>
      <c r="AV265" s="101" t="s">
        <v>91</v>
      </c>
      <c r="AW265" s="101" t="str">
        <f>VLOOKUP(Tabla15[[#This Row],[Matricula nueva]],Hoja2!$A$1:$B$224,2,FALSE)</f>
        <v>VF1RFK00473824897</v>
      </c>
      <c r="AX265" s="209">
        <f>IF(Tabla15[[#This Row],[Columna2]]="M1",5.1,"")</f>
        <v>5.0999999999999996</v>
      </c>
      <c r="AY265" s="208">
        <f>IF(T265="DIESEL",10,IF(T265="GLP",7.16,9.19))</f>
        <v>10</v>
      </c>
      <c r="AZ265" s="313">
        <v>17.3</v>
      </c>
      <c r="BA265" s="314">
        <f>IF(Tabla15[[#This Row],[Columna2]]="M1",13073,IF(Tabla15[[#This Row],[Columna2]]="N1",15815,IF(Tabla15[[#This Row],[Columna2]]="L3e",2831,53508)))</f>
        <v>13073</v>
      </c>
      <c r="BB265" s="350">
        <f>(Tabla15[[#This Row],[CVA]]*Tabla15[[#This Row],[F]]-Tabla15[[#This Row],[CVN]])/100*Tabla15[[#This Row],[L]]</f>
        <v>4405.6010000000006</v>
      </c>
      <c r="BC265" s="84" t="s">
        <v>70</v>
      </c>
      <c r="BD265" s="294">
        <f>VLOOKUP(B265,Tabla467824[[ID CAE2]:[AE '[kWh']]],6,FALSE)</f>
        <v>6795.3454000000002</v>
      </c>
      <c r="BE26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6" spans="1:57" ht="15.75" hidden="1" thickBot="1" x14ac:dyDescent="0.3">
      <c r="A266" s="53" t="s">
        <v>1448</v>
      </c>
      <c r="B266" s="53" t="e">
        <v>#N/A</v>
      </c>
      <c r="C266" s="100" t="s">
        <v>1460</v>
      </c>
      <c r="D266" s="100"/>
      <c r="E266" s="100"/>
      <c r="F266" s="100"/>
      <c r="G266" s="100"/>
      <c r="H266" s="100"/>
      <c r="I266" s="100"/>
      <c r="J266" s="100"/>
      <c r="K266" s="100" t="s">
        <v>73</v>
      </c>
      <c r="L266" s="100" t="s">
        <v>200</v>
      </c>
      <c r="M266" s="100" t="s">
        <v>201</v>
      </c>
      <c r="N266" s="100" t="s">
        <v>76</v>
      </c>
      <c r="O266" s="100" t="e">
        <f>VLOOKUP(Tabla15[[#This Row],[Matricula Antigua]],BAJA2022202320242025!$B$3:$CR$245,93,FALSE)</f>
        <v>#N/A</v>
      </c>
      <c r="P266" s="315">
        <v>44754</v>
      </c>
      <c r="Q266" s="315" t="e">
        <f>Tabla15[[#This Row],[F.Vig.Final]]-Tabla15[[#This Row],[f Vig Inicio]]</f>
        <v>#N/A</v>
      </c>
      <c r="R266" s="315">
        <f>YEAR(Tabla15[[#This Row],[F.Vig.Final]])</f>
        <v>2022</v>
      </c>
      <c r="S266" s="100" t="s">
        <v>77</v>
      </c>
      <c r="T266" s="100" t="s">
        <v>78</v>
      </c>
      <c r="U266" s="100" t="s">
        <v>359</v>
      </c>
      <c r="V266" s="100" t="s">
        <v>1424</v>
      </c>
      <c r="W266" s="100" t="s">
        <v>336</v>
      </c>
      <c r="X266" s="100" t="s">
        <v>337</v>
      </c>
      <c r="Y266" s="100" t="s">
        <v>373</v>
      </c>
      <c r="Z266" s="98">
        <f>COUNTIF($X$3:X266, X266)</f>
        <v>22</v>
      </c>
      <c r="AA266" s="98"/>
      <c r="AB266" s="98"/>
      <c r="AC266" s="98"/>
      <c r="AD266" s="98"/>
      <c r="AE266" s="322"/>
      <c r="AF266" s="98"/>
      <c r="AG266" s="98"/>
      <c r="AH266" s="98"/>
      <c r="AI266" s="98" t="e">
        <v>#N/A</v>
      </c>
      <c r="AJ266" s="98" t="e">
        <v>#N/A</v>
      </c>
      <c r="AK266" s="98" t="e">
        <v>#N/A</v>
      </c>
      <c r="AL266" s="98" t="e">
        <v>#N/A</v>
      </c>
      <c r="AM266" s="98" t="e">
        <v>#N/A</v>
      </c>
      <c r="AN266" s="99" t="e">
        <v>#N/A</v>
      </c>
      <c r="AO266" s="99" t="e">
        <v>#N/A</v>
      </c>
      <c r="AP266" s="99" t="e">
        <f>Tabla15[[#This Row],[Renov. Flota]]-Tabla15[[#This Row],[Año]]</f>
        <v>#N/A</v>
      </c>
      <c r="AQ266" s="100" t="e">
        <v>#N/A</v>
      </c>
      <c r="AR266" s="100" t="e">
        <f>VLOOKUP(Tabla15[[#This Row],[Matricula nueva]],'ALTA 20242025'!$B$2:$P$242,15,FALSE)</f>
        <v>#N/A</v>
      </c>
      <c r="AS266" s="101" t="e">
        <v>#N/A</v>
      </c>
      <c r="AT266" s="101"/>
      <c r="AU266" s="101"/>
      <c r="AV266" s="101"/>
      <c r="AW266" s="101" t="e">
        <f>VLOOKUP(Tabla15[[#This Row],[Matricula nueva]],Hoja2!$A$1:$B$224,2,FALSE)</f>
        <v>#N/A</v>
      </c>
      <c r="AX266" s="101" t="str">
        <f>IF(Tabla15[[#This Row],[Columna2]]="M1",5.1,"")</f>
        <v/>
      </c>
      <c r="AY266" s="101"/>
      <c r="AZ266" s="101"/>
      <c r="BA266" s="311">
        <f>IF(Tabla15[[#This Row],[Columna2]]="M1",13073,IF(Tabla15[[#This Row],[Columna2]]="N1",15815,IF(Tabla15[[#This Row],[Columna2]]="L3e",2831,53508)))</f>
        <v>53508</v>
      </c>
      <c r="BB266" s="311" t="e">
        <f>(Tabla15[[#This Row],[CVA]]*Tabla15[[#This Row],[F]]-Tabla15[[#This Row],[CVN]])/100*Tabla15[[#This Row],[L]]</f>
        <v>#VALUE!</v>
      </c>
      <c r="BC266" s="1"/>
      <c r="BD266" s="1" t="e">
        <f>VLOOKUP(B266,Tabla467824[[ID CAE2]:[AE '[kWh']]],6,FALSE)</f>
        <v>#N/A</v>
      </c>
      <c r="BE26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7" spans="1:57" ht="15.75" hidden="1" thickBot="1" x14ac:dyDescent="0.3">
      <c r="A267" s="53" t="s">
        <v>1451</v>
      </c>
      <c r="B267" s="53" t="e">
        <v>#N/A</v>
      </c>
      <c r="C267" s="100" t="s">
        <v>1461</v>
      </c>
      <c r="D267" s="100"/>
      <c r="E267" s="100"/>
      <c r="F267" s="100"/>
      <c r="G267" s="100"/>
      <c r="H267" s="100"/>
      <c r="I267" s="100"/>
      <c r="J267" s="100"/>
      <c r="K267" s="100" t="s">
        <v>73</v>
      </c>
      <c r="L267" s="100" t="s">
        <v>200</v>
      </c>
      <c r="M267" s="100" t="s">
        <v>201</v>
      </c>
      <c r="N267" s="100" t="s">
        <v>76</v>
      </c>
      <c r="O267" s="100" t="e">
        <f>VLOOKUP(Tabla15[[#This Row],[Matricula Antigua]],BAJA2022202320242025!$B$3:$CR$245,93,FALSE)</f>
        <v>#N/A</v>
      </c>
      <c r="P267" s="315">
        <v>44725</v>
      </c>
      <c r="Q267" s="315" t="e">
        <f>Tabla15[[#This Row],[F.Vig.Final]]-Tabla15[[#This Row],[f Vig Inicio]]</f>
        <v>#N/A</v>
      </c>
      <c r="R267" s="315">
        <f>YEAR(Tabla15[[#This Row],[F.Vig.Final]])</f>
        <v>2022</v>
      </c>
      <c r="S267" s="100" t="s">
        <v>77</v>
      </c>
      <c r="T267" s="100" t="s">
        <v>78</v>
      </c>
      <c r="U267" s="100" t="s">
        <v>359</v>
      </c>
      <c r="V267" s="100" t="s">
        <v>593</v>
      </c>
      <c r="W267" s="100" t="s">
        <v>131</v>
      </c>
      <c r="X267" s="100" t="s">
        <v>132</v>
      </c>
      <c r="Y267" s="100" t="s">
        <v>318</v>
      </c>
      <c r="Z267" s="98">
        <f>COUNTIF($X$3:X267, X267)</f>
        <v>36</v>
      </c>
      <c r="AA267" s="98"/>
      <c r="AB267" s="98"/>
      <c r="AC267" s="98"/>
      <c r="AD267" s="98"/>
      <c r="AE267" s="98"/>
      <c r="AF267" s="98"/>
      <c r="AG267" s="98"/>
      <c r="AH267" s="98"/>
      <c r="AI267" s="98" t="e">
        <v>#N/A</v>
      </c>
      <c r="AJ267" s="98" t="e">
        <v>#N/A</v>
      </c>
      <c r="AK267" s="98" t="e">
        <v>#N/A</v>
      </c>
      <c r="AL267" s="98" t="e">
        <v>#N/A</v>
      </c>
      <c r="AM267" s="98" t="e">
        <v>#N/A</v>
      </c>
      <c r="AN267" s="99" t="e">
        <v>#N/A</v>
      </c>
      <c r="AO267" s="99" t="e">
        <v>#N/A</v>
      </c>
      <c r="AP267" s="99" t="e">
        <f>Tabla15[[#This Row],[Renov. Flota]]-Tabla15[[#This Row],[Año]]</f>
        <v>#N/A</v>
      </c>
      <c r="AQ267" s="100" t="e">
        <v>#N/A</v>
      </c>
      <c r="AR267" s="100" t="e">
        <f>VLOOKUP(Tabla15[[#This Row],[Matricula nueva]],'ALTA 20242025'!$B$2:$P$242,15,FALSE)</f>
        <v>#N/A</v>
      </c>
      <c r="AS267" s="101" t="e">
        <v>#N/A</v>
      </c>
      <c r="AT267" s="101"/>
      <c r="AU267" s="101"/>
      <c r="AV267" s="101"/>
      <c r="AW267" s="101" t="e">
        <f>VLOOKUP(Tabla15[[#This Row],[Matricula nueva]],Hoja2!$A$1:$B$224,2,FALSE)</f>
        <v>#N/A</v>
      </c>
      <c r="AX267" s="101" t="str">
        <f>IF(Tabla15[[#This Row],[Columna2]]="M1",5.1,"")</f>
        <v/>
      </c>
      <c r="AY267" s="101"/>
      <c r="AZ267" s="101"/>
      <c r="BA267" s="311">
        <f>IF(Tabla15[[#This Row],[Columna2]]="M1",13073,IF(Tabla15[[#This Row],[Columna2]]="N1",15815,IF(Tabla15[[#This Row],[Columna2]]="L3e",2831,53508)))</f>
        <v>53508</v>
      </c>
      <c r="BB267" s="311" t="e">
        <f>(Tabla15[[#This Row],[CVA]]*Tabla15[[#This Row],[F]]-Tabla15[[#This Row],[CVN]])/100*Tabla15[[#This Row],[L]]</f>
        <v>#VALUE!</v>
      </c>
      <c r="BC267" s="1"/>
      <c r="BD267" s="1" t="e">
        <f>VLOOKUP(B267,Tabla467824[[ID CAE2]:[AE '[kWh']]],6,FALSE)</f>
        <v>#N/A</v>
      </c>
      <c r="BE26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8" spans="1:57" ht="15.75" hidden="1" thickBot="1" x14ac:dyDescent="0.3">
      <c r="A268" s="53" t="s">
        <v>1454</v>
      </c>
      <c r="B268" s="53" t="e">
        <v>#N/A</v>
      </c>
      <c r="C268" s="100" t="s">
        <v>1462</v>
      </c>
      <c r="D268" s="100"/>
      <c r="E268" s="100"/>
      <c r="F268" s="100"/>
      <c r="G268" s="100"/>
      <c r="H268" s="100"/>
      <c r="I268" s="100"/>
      <c r="J268" s="100"/>
      <c r="K268" s="100" t="s">
        <v>73</v>
      </c>
      <c r="L268" s="100" t="s">
        <v>200</v>
      </c>
      <c r="M268" s="100" t="s">
        <v>201</v>
      </c>
      <c r="N268" s="100" t="s">
        <v>76</v>
      </c>
      <c r="O268" s="100" t="e">
        <f>VLOOKUP(Tabla15[[#This Row],[Matricula Antigua]],BAJA2022202320242025!$B$3:$CR$245,93,FALSE)</f>
        <v>#N/A</v>
      </c>
      <c r="P268" s="315">
        <v>44693</v>
      </c>
      <c r="Q268" s="315" t="e">
        <f>Tabla15[[#This Row],[F.Vig.Final]]-Tabla15[[#This Row],[f Vig Inicio]]</f>
        <v>#N/A</v>
      </c>
      <c r="R268" s="315">
        <f>YEAR(Tabla15[[#This Row],[F.Vig.Final]])</f>
        <v>2022</v>
      </c>
      <c r="S268" s="100" t="s">
        <v>77</v>
      </c>
      <c r="T268" s="100" t="s">
        <v>78</v>
      </c>
      <c r="U268" s="100" t="s">
        <v>359</v>
      </c>
      <c r="V268" s="100" t="s">
        <v>360</v>
      </c>
      <c r="W268" s="100" t="s">
        <v>336</v>
      </c>
      <c r="X268" s="100" t="s">
        <v>337</v>
      </c>
      <c r="Y268" s="100" t="s">
        <v>1463</v>
      </c>
      <c r="Z268" s="98">
        <f>COUNTIF($X$3:X268, X268)</f>
        <v>23</v>
      </c>
      <c r="AA268" s="98"/>
      <c r="AB268" s="98"/>
      <c r="AC268" s="98"/>
      <c r="AD268" s="98"/>
      <c r="AE268" s="98"/>
      <c r="AF268" s="98"/>
      <c r="AG268" s="98"/>
      <c r="AH268" s="98"/>
      <c r="AI268" s="98" t="e">
        <v>#N/A</v>
      </c>
      <c r="AJ268" s="98" t="e">
        <v>#N/A</v>
      </c>
      <c r="AK268" s="98" t="e">
        <v>#N/A</v>
      </c>
      <c r="AL268" s="98" t="e">
        <v>#N/A</v>
      </c>
      <c r="AM268" s="98" t="e">
        <v>#N/A</v>
      </c>
      <c r="AN268" s="99" t="e">
        <v>#N/A</v>
      </c>
      <c r="AO268" s="99" t="e">
        <v>#N/A</v>
      </c>
      <c r="AP268" s="99" t="e">
        <f>Tabla15[[#This Row],[Renov. Flota]]-Tabla15[[#This Row],[Año]]</f>
        <v>#N/A</v>
      </c>
      <c r="AQ268" s="100" t="e">
        <v>#N/A</v>
      </c>
      <c r="AR268" s="100" t="e">
        <f>VLOOKUP(Tabla15[[#This Row],[Matricula nueva]],'ALTA 20242025'!$B$2:$P$242,15,FALSE)</f>
        <v>#N/A</v>
      </c>
      <c r="AS268" s="101" t="e">
        <v>#N/A</v>
      </c>
      <c r="AT268" s="101"/>
      <c r="AU268" s="101"/>
      <c r="AV268" s="101"/>
      <c r="AW268" s="101" t="e">
        <f>VLOOKUP(Tabla15[[#This Row],[Matricula nueva]],Hoja2!$A$1:$B$224,2,FALSE)</f>
        <v>#N/A</v>
      </c>
      <c r="AX268" s="101" t="str">
        <f>IF(Tabla15[[#This Row],[Columna2]]="M1",5.1,"")</f>
        <v/>
      </c>
      <c r="AY268" s="101"/>
      <c r="AZ268" s="101"/>
      <c r="BA268" s="311">
        <f>IF(Tabla15[[#This Row],[Columna2]]="M1",13073,IF(Tabla15[[#This Row],[Columna2]]="N1",15815,IF(Tabla15[[#This Row],[Columna2]]="L3e",2831,53508)))</f>
        <v>53508</v>
      </c>
      <c r="BB268" s="311" t="e">
        <f>(Tabla15[[#This Row],[CVA]]*Tabla15[[#This Row],[F]]-Tabla15[[#This Row],[CVN]])/100*Tabla15[[#This Row],[L]]</f>
        <v>#VALUE!</v>
      </c>
      <c r="BC268" s="1"/>
      <c r="BD268" s="1" t="e">
        <f>VLOOKUP(B268,Tabla467824[[ID CAE2]:[AE '[kWh']]],6,FALSE)</f>
        <v>#N/A</v>
      </c>
      <c r="BE26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69" spans="1:57" ht="52.5" thickBot="1" x14ac:dyDescent="0.3">
      <c r="A269" s="53" t="s">
        <v>1093</v>
      </c>
      <c r="B269" s="53" t="s">
        <v>1093</v>
      </c>
      <c r="C269" s="332" t="s">
        <v>1094</v>
      </c>
      <c r="D269" s="104" t="s">
        <v>72</v>
      </c>
      <c r="E269" s="104" t="s">
        <v>72</v>
      </c>
      <c r="F269" s="104" t="s">
        <v>72</v>
      </c>
      <c r="G269" s="104"/>
      <c r="H269" s="104" t="s">
        <v>72</v>
      </c>
      <c r="I269" s="104" t="s">
        <v>72</v>
      </c>
      <c r="J269" s="104"/>
      <c r="K269" s="96" t="s">
        <v>1034</v>
      </c>
      <c r="L269" s="96" t="s">
        <v>200</v>
      </c>
      <c r="M269" s="96" t="s">
        <v>201</v>
      </c>
      <c r="N269" s="96" t="s">
        <v>76</v>
      </c>
      <c r="O269" s="101">
        <f>VLOOKUP(Tabla15[[#This Row],[Matricula Antigua]],BAJA2022202320242025!$B$3:$CR$245,93,FALSE)</f>
        <v>44127</v>
      </c>
      <c r="P269" s="316">
        <v>45588</v>
      </c>
      <c r="Q269" s="317">
        <f>Tabla15[[#This Row],[F.Vig.Final]]-Tabla15[[#This Row],[f Vig Inicio]]</f>
        <v>1461</v>
      </c>
      <c r="R269" s="318">
        <f>YEAR(Tabla15[[#This Row],[F.Vig.Final]])</f>
        <v>2024</v>
      </c>
      <c r="S269" s="96" t="s">
        <v>77</v>
      </c>
      <c r="T269" s="96" t="s">
        <v>202</v>
      </c>
      <c r="U269" s="96" t="s">
        <v>524</v>
      </c>
      <c r="V269" s="96" t="s">
        <v>1095</v>
      </c>
      <c r="W269" s="96" t="s">
        <v>204</v>
      </c>
      <c r="X269" s="332" t="s">
        <v>205</v>
      </c>
      <c r="Y269" s="96" t="s">
        <v>206</v>
      </c>
      <c r="Z269" s="98">
        <f>COUNTIF($X$3:X269, X269)</f>
        <v>11</v>
      </c>
      <c r="AA269" s="337" t="s">
        <v>1661</v>
      </c>
      <c r="AB269" s="337" t="s">
        <v>1661</v>
      </c>
      <c r="AC269" s="337" t="s">
        <v>1662</v>
      </c>
      <c r="AD269" s="337" t="s">
        <v>1679</v>
      </c>
      <c r="AE269" s="351" t="s">
        <v>1664</v>
      </c>
      <c r="AF269" s="337" t="s">
        <v>1680</v>
      </c>
      <c r="AG269" s="337" t="s">
        <v>1681</v>
      </c>
      <c r="AH269" s="337" t="s">
        <v>1649</v>
      </c>
      <c r="AI269" s="337" t="s">
        <v>1096</v>
      </c>
      <c r="AJ269" s="98" t="s">
        <v>140</v>
      </c>
      <c r="AK269" s="98" t="s">
        <v>151</v>
      </c>
      <c r="AL269" s="98" t="s">
        <v>87</v>
      </c>
      <c r="AM269" s="101" t="s">
        <v>232</v>
      </c>
      <c r="AN269" s="348" t="s">
        <v>89</v>
      </c>
      <c r="AO269" s="349">
        <v>45638</v>
      </c>
      <c r="AP269" s="98">
        <f>Tabla15[[#This Row],[Renov. Flota]]-Tabla15[[#This Row],[Año]]</f>
        <v>0</v>
      </c>
      <c r="AQ269" s="100" t="s">
        <v>204</v>
      </c>
      <c r="AR269" s="100" t="str">
        <f>VLOOKUP(Tabla15[[#This Row],[Matricula nueva]],'ALTA 20242025'!$B$2:$P$242,15,FALSE)</f>
        <v>4500424883</v>
      </c>
      <c r="AS269" s="101" t="s">
        <v>205</v>
      </c>
      <c r="AT269" s="101"/>
      <c r="AU269" s="101" t="s">
        <v>72</v>
      </c>
      <c r="AV269" s="101" t="s">
        <v>91</v>
      </c>
      <c r="AW269" s="101" t="str">
        <f>VLOOKUP(Tabla15[[#This Row],[Matricula nueva]],Hoja2!$A$1:$B$224,2,FALSE)</f>
        <v>VR7CBZYA9RT153025</v>
      </c>
      <c r="AX269" s="209">
        <f>IF(Tabla15[[#This Row],[Columna2]]="M1",5.1,"")</f>
        <v>5.0999999999999996</v>
      </c>
      <c r="AY269" s="208">
        <f>IF(T269="DIESEL",10,IF(T269="GLP",7.16,9.19))</f>
        <v>9.19</v>
      </c>
      <c r="AZ269" s="313">
        <v>16.399999999999999</v>
      </c>
      <c r="BA269" s="314">
        <f>IF(Tabla15[[#This Row],[Columna2]]="M1",13073,IF(Tabla15[[#This Row],[Columna2]]="N1",15815,IF(Tabla15[[#This Row],[Columna2]]="L3e",2831,53508)))</f>
        <v>13073</v>
      </c>
      <c r="BB269" s="350">
        <f>(Tabla15[[#This Row],[CVA]]*Tabla15[[#This Row],[F]]-Tabla15[[#This Row],[CVN]])/100*Tabla15[[#This Row],[L]]</f>
        <v>3983.2123699999993</v>
      </c>
      <c r="BC269" s="84" t="s">
        <v>70</v>
      </c>
      <c r="BD269" s="294">
        <f>VLOOKUP(B269,Tabla467824[[ID CAE2]:[AE '[kWh']]],6,FALSE)</f>
        <v>7136.4330429999991</v>
      </c>
      <c r="BE26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70" spans="1:57" ht="15.75" hidden="1" thickBot="1" x14ac:dyDescent="0.3">
      <c r="A270" s="53" t="s">
        <v>1099</v>
      </c>
      <c r="B270" s="53" t="s">
        <v>1099</v>
      </c>
      <c r="C270" s="100" t="s">
        <v>1464</v>
      </c>
      <c r="D270" s="100"/>
      <c r="E270" s="100"/>
      <c r="F270" s="100"/>
      <c r="G270" s="100"/>
      <c r="H270" s="100"/>
      <c r="I270" s="100"/>
      <c r="J270" s="100"/>
      <c r="K270" s="100" t="s">
        <v>73</v>
      </c>
      <c r="L270" s="100" t="s">
        <v>172</v>
      </c>
      <c r="M270" s="100" t="s">
        <v>1127</v>
      </c>
      <c r="N270" s="100" t="s">
        <v>76</v>
      </c>
      <c r="O270" s="100" t="e">
        <f>VLOOKUP(Tabla15[[#This Row],[Matricula Antigua]],BAJA2022202320242025!$B$3:$CR$245,93,FALSE)</f>
        <v>#N/A</v>
      </c>
      <c r="P270" s="315">
        <v>44694</v>
      </c>
      <c r="Q270" s="315" t="e">
        <f>Tabla15[[#This Row],[F.Vig.Final]]-Tabla15[[#This Row],[f Vig Inicio]]</f>
        <v>#N/A</v>
      </c>
      <c r="R270" s="315">
        <f>YEAR(Tabla15[[#This Row],[F.Vig.Final]])</f>
        <v>2022</v>
      </c>
      <c r="S270" s="100" t="s">
        <v>77</v>
      </c>
      <c r="T270" s="100" t="s">
        <v>78</v>
      </c>
      <c r="U270" s="100" t="s">
        <v>85</v>
      </c>
      <c r="V270" s="100" t="s">
        <v>732</v>
      </c>
      <c r="W270" s="100" t="s">
        <v>1128</v>
      </c>
      <c r="X270" s="100" t="s">
        <v>1129</v>
      </c>
      <c r="Y270" s="100" t="s">
        <v>1130</v>
      </c>
      <c r="Z270" s="98">
        <f>COUNTIF($X$3:X270, X270)</f>
        <v>4</v>
      </c>
      <c r="AA270" s="98"/>
      <c r="AB270" s="98"/>
      <c r="AC270" s="98"/>
      <c r="AD270" s="98"/>
      <c r="AE270" s="98"/>
      <c r="AF270" s="98"/>
      <c r="AG270" s="98"/>
      <c r="AH270" s="98"/>
      <c r="AI270" s="98" t="e">
        <v>#N/A</v>
      </c>
      <c r="AJ270" s="98" t="e">
        <v>#N/A</v>
      </c>
      <c r="AK270" s="98" t="e">
        <v>#N/A</v>
      </c>
      <c r="AL270" s="98" t="e">
        <v>#N/A</v>
      </c>
      <c r="AM270" s="98" t="e">
        <v>#N/A</v>
      </c>
      <c r="AN270" s="99" t="e">
        <v>#N/A</v>
      </c>
      <c r="AO270" s="99" t="e">
        <v>#N/A</v>
      </c>
      <c r="AP270" s="99" t="e">
        <f>Tabla15[[#This Row],[Renov. Flota]]-Tabla15[[#This Row],[Año]]</f>
        <v>#N/A</v>
      </c>
      <c r="AQ270" s="100" t="e">
        <v>#N/A</v>
      </c>
      <c r="AR270" s="100" t="e">
        <f>VLOOKUP(Tabla15[[#This Row],[Matricula nueva]],'ALTA 20242025'!$B$2:$P$242,15,FALSE)</f>
        <v>#N/A</v>
      </c>
      <c r="AS270" s="101" t="e">
        <v>#N/A</v>
      </c>
      <c r="AT270" s="101"/>
      <c r="AU270" s="101"/>
      <c r="AV270" s="101"/>
      <c r="AW270" s="101" t="e">
        <f>VLOOKUP(Tabla15[[#This Row],[Matricula nueva]],Hoja2!$A$1:$B$224,2,FALSE)</f>
        <v>#N/A</v>
      </c>
      <c r="AX270" s="101" t="str">
        <f>IF(Tabla15[[#This Row],[Columna2]]="M1",5.1,"")</f>
        <v/>
      </c>
      <c r="AY270" s="101"/>
      <c r="AZ270" s="101"/>
      <c r="BA270" s="311">
        <f>IF(Tabla15[[#This Row],[Columna2]]="M1",13073,IF(Tabla15[[#This Row],[Columna2]]="N1",15815,IF(Tabla15[[#This Row],[Columna2]]="L3e",2831,53508)))</f>
        <v>53508</v>
      </c>
      <c r="BB270" s="311" t="e">
        <f>(Tabla15[[#This Row],[CVA]]*Tabla15[[#This Row],[F]]-Tabla15[[#This Row],[CVN]])/100*Tabla15[[#This Row],[L]]</f>
        <v>#VALUE!</v>
      </c>
      <c r="BC270" s="1"/>
      <c r="BD270" s="1">
        <f>VLOOKUP(B270,Tabla467824[[ID CAE2]:[AE '[kWh']]],6,FALSE)</f>
        <v>6795.3454000000002</v>
      </c>
      <c r="BE27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1" spans="1:57" ht="15.75" hidden="1" thickBot="1" x14ac:dyDescent="0.3">
      <c r="A271" s="53" t="s">
        <v>1465</v>
      </c>
      <c r="B271" s="53" t="e">
        <v>#N/A</v>
      </c>
      <c r="C271" s="100" t="s">
        <v>1466</v>
      </c>
      <c r="D271" s="100"/>
      <c r="E271" s="100"/>
      <c r="F271" s="100"/>
      <c r="G271" s="100"/>
      <c r="H271" s="100"/>
      <c r="I271" s="100"/>
      <c r="J271" s="100"/>
      <c r="K271" s="100" t="s">
        <v>73</v>
      </c>
      <c r="L271" s="100" t="s">
        <v>172</v>
      </c>
      <c r="M271" s="100" t="s">
        <v>1127</v>
      </c>
      <c r="N271" s="100" t="s">
        <v>76</v>
      </c>
      <c r="O271" s="100" t="e">
        <f>VLOOKUP(Tabla15[[#This Row],[Matricula Antigua]],BAJA2022202320242025!$B$3:$CR$245,93,FALSE)</f>
        <v>#N/A</v>
      </c>
      <c r="P271" s="315">
        <v>44694</v>
      </c>
      <c r="Q271" s="315" t="e">
        <f>Tabla15[[#This Row],[F.Vig.Final]]-Tabla15[[#This Row],[f Vig Inicio]]</f>
        <v>#N/A</v>
      </c>
      <c r="R271" s="315">
        <f>YEAR(Tabla15[[#This Row],[F.Vig.Final]])</f>
        <v>2022</v>
      </c>
      <c r="S271" s="100" t="s">
        <v>77</v>
      </c>
      <c r="T271" s="100" t="s">
        <v>78</v>
      </c>
      <c r="U271" s="100" t="s">
        <v>1362</v>
      </c>
      <c r="V271" s="100" t="s">
        <v>1363</v>
      </c>
      <c r="W271" s="100" t="s">
        <v>119</v>
      </c>
      <c r="X271" s="100" t="s">
        <v>120</v>
      </c>
      <c r="Y271" s="100" t="s">
        <v>1467</v>
      </c>
      <c r="Z271" s="98">
        <f>COUNTIF($X$3:X271, X271)</f>
        <v>9</v>
      </c>
      <c r="AA271" s="98"/>
      <c r="AB271" s="98"/>
      <c r="AC271" s="98"/>
      <c r="AD271" s="98"/>
      <c r="AE271" s="98"/>
      <c r="AF271" s="98"/>
      <c r="AG271" s="98"/>
      <c r="AH271" s="98"/>
      <c r="AI271" s="98" t="e">
        <v>#N/A</v>
      </c>
      <c r="AJ271" s="98" t="e">
        <v>#N/A</v>
      </c>
      <c r="AK271" s="98" t="e">
        <v>#N/A</v>
      </c>
      <c r="AL271" s="98" t="e">
        <v>#N/A</v>
      </c>
      <c r="AM271" s="98" t="e">
        <v>#N/A</v>
      </c>
      <c r="AN271" s="99" t="e">
        <v>#N/A</v>
      </c>
      <c r="AO271" s="99" t="e">
        <v>#N/A</v>
      </c>
      <c r="AP271" s="99" t="e">
        <f>Tabla15[[#This Row],[Renov. Flota]]-Tabla15[[#This Row],[Año]]</f>
        <v>#N/A</v>
      </c>
      <c r="AQ271" s="100" t="e">
        <v>#N/A</v>
      </c>
      <c r="AR271" s="100" t="e">
        <f>VLOOKUP(Tabla15[[#This Row],[Matricula nueva]],'ALTA 20242025'!$B$2:$P$242,15,FALSE)</f>
        <v>#N/A</v>
      </c>
      <c r="AS271" s="101" t="e">
        <v>#N/A</v>
      </c>
      <c r="AT271" s="101"/>
      <c r="AU271" s="101"/>
      <c r="AV271" s="101"/>
      <c r="AW271" s="101" t="e">
        <f>VLOOKUP(Tabla15[[#This Row],[Matricula nueva]],Hoja2!$A$1:$B$224,2,FALSE)</f>
        <v>#N/A</v>
      </c>
      <c r="AX271" s="101" t="str">
        <f>IF(Tabla15[[#This Row],[Columna2]]="M1",5.1,"")</f>
        <v/>
      </c>
      <c r="AY271" s="101"/>
      <c r="AZ271" s="101"/>
      <c r="BA271" s="311">
        <f>IF(Tabla15[[#This Row],[Columna2]]="M1",13073,IF(Tabla15[[#This Row],[Columna2]]="N1",15815,IF(Tabla15[[#This Row],[Columna2]]="L3e",2831,53508)))</f>
        <v>53508</v>
      </c>
      <c r="BB271" s="311" t="e">
        <f>(Tabla15[[#This Row],[CVA]]*Tabla15[[#This Row],[F]]-Tabla15[[#This Row],[CVN]])/100*Tabla15[[#This Row],[L]]</f>
        <v>#VALUE!</v>
      </c>
      <c r="BC271" s="1"/>
      <c r="BD271" s="1" t="e">
        <f>VLOOKUP(B271,Tabla467824[[ID CAE2]:[AE '[kWh']]],6,FALSE)</f>
        <v>#N/A</v>
      </c>
      <c r="BE27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2" spans="1:57" ht="15.75" hidden="1" thickBot="1" x14ac:dyDescent="0.3">
      <c r="A272" s="53" t="s">
        <v>1468</v>
      </c>
      <c r="B272" s="53" t="e">
        <v>#N/A</v>
      </c>
      <c r="C272" s="100" t="s">
        <v>1469</v>
      </c>
      <c r="D272" s="100"/>
      <c r="E272" s="100"/>
      <c r="F272" s="100"/>
      <c r="G272" s="100"/>
      <c r="H272" s="100"/>
      <c r="I272" s="100"/>
      <c r="J272" s="100"/>
      <c r="K272" s="100" t="s">
        <v>158</v>
      </c>
      <c r="L272" s="100" t="s">
        <v>159</v>
      </c>
      <c r="M272" s="100" t="s">
        <v>158</v>
      </c>
      <c r="N272" s="100" t="s">
        <v>160</v>
      </c>
      <c r="O272" s="100" t="e">
        <f>VLOOKUP(Tabla15[[#This Row],[Matricula Antigua]],BAJA2022202320242025!$B$3:$CR$245,93,FALSE)</f>
        <v>#N/A</v>
      </c>
      <c r="P272" s="315">
        <v>44609</v>
      </c>
      <c r="Q272" s="315" t="e">
        <f>Tabla15[[#This Row],[F.Vig.Final]]-Tabla15[[#This Row],[f Vig Inicio]]</f>
        <v>#N/A</v>
      </c>
      <c r="R272" s="315">
        <f>YEAR(Tabla15[[#This Row],[F.Vig.Final]])</f>
        <v>2022</v>
      </c>
      <c r="S272" s="100" t="s">
        <v>161</v>
      </c>
      <c r="T272" s="100" t="s">
        <v>87</v>
      </c>
      <c r="U272" s="100" t="s">
        <v>85</v>
      </c>
      <c r="V272" s="100" t="s">
        <v>340</v>
      </c>
      <c r="W272" s="100" t="s">
        <v>336</v>
      </c>
      <c r="X272" s="100" t="s">
        <v>337</v>
      </c>
      <c r="Y272" s="100" t="s">
        <v>630</v>
      </c>
      <c r="Z272" s="98">
        <f>COUNTIF($X$3:X272, X272)</f>
        <v>24</v>
      </c>
      <c r="AA272" s="98"/>
      <c r="AB272" s="98"/>
      <c r="AC272" s="98"/>
      <c r="AD272" s="98"/>
      <c r="AE272" s="98"/>
      <c r="AF272" s="98"/>
      <c r="AG272" s="98"/>
      <c r="AH272" s="98"/>
      <c r="AI272" s="98" t="e">
        <v>#N/A</v>
      </c>
      <c r="AJ272" s="98" t="e">
        <v>#N/A</v>
      </c>
      <c r="AK272" s="98" t="e">
        <v>#N/A</v>
      </c>
      <c r="AL272" s="98" t="e">
        <v>#N/A</v>
      </c>
      <c r="AM272" s="98" t="e">
        <v>#N/A</v>
      </c>
      <c r="AN272" s="99" t="e">
        <v>#N/A</v>
      </c>
      <c r="AO272" s="99" t="e">
        <v>#N/A</v>
      </c>
      <c r="AP272" s="99" t="e">
        <f>Tabla15[[#This Row],[Renov. Flota]]-Tabla15[[#This Row],[Año]]</f>
        <v>#N/A</v>
      </c>
      <c r="AQ272" s="100" t="e">
        <v>#N/A</v>
      </c>
      <c r="AR272" s="100" t="e">
        <f>VLOOKUP(Tabla15[[#This Row],[Matricula nueva]],'ALTA 20242025'!$B$2:$P$242,15,FALSE)</f>
        <v>#N/A</v>
      </c>
      <c r="AS272" s="101" t="e">
        <v>#N/A</v>
      </c>
      <c r="AT272" s="101"/>
      <c r="AU272" s="101"/>
      <c r="AV272" s="101"/>
      <c r="AW272" s="101" t="e">
        <f>VLOOKUP(Tabla15[[#This Row],[Matricula nueva]],Hoja2!$A$1:$B$224,2,FALSE)</f>
        <v>#N/A</v>
      </c>
      <c r="AX272" s="101" t="str">
        <f>IF(Tabla15[[#This Row],[Columna2]]="M1",5.1,"")</f>
        <v/>
      </c>
      <c r="AY272" s="101"/>
      <c r="AZ272" s="101"/>
      <c r="BA272" s="311">
        <f>IF(Tabla15[[#This Row],[Columna2]]="M1",13073,IF(Tabla15[[#This Row],[Columna2]]="N1",15815,IF(Tabla15[[#This Row],[Columna2]]="L3e",2831,53508)))</f>
        <v>53508</v>
      </c>
      <c r="BB272" s="311" t="e">
        <f>(Tabla15[[#This Row],[CVA]]*Tabla15[[#This Row],[F]]-Tabla15[[#This Row],[CVN]])/100*Tabla15[[#This Row],[L]]</f>
        <v>#VALUE!</v>
      </c>
      <c r="BC272" s="1"/>
      <c r="BD272" s="1" t="e">
        <f>VLOOKUP(B272,Tabla467824[[ID CAE2]:[AE '[kWh']]],6,FALSE)</f>
        <v>#N/A</v>
      </c>
      <c r="BE27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273" spans="1:57" ht="15.75" hidden="1" thickBot="1" x14ac:dyDescent="0.3">
      <c r="A273" s="53" t="s">
        <v>1470</v>
      </c>
      <c r="B273" s="53" t="e">
        <v>#N/A</v>
      </c>
      <c r="C273" s="100" t="s">
        <v>1471</v>
      </c>
      <c r="D273" s="100"/>
      <c r="E273" s="100"/>
      <c r="F273" s="100"/>
      <c r="G273" s="100"/>
      <c r="H273" s="100"/>
      <c r="I273" s="100"/>
      <c r="J273" s="100"/>
      <c r="K273" s="100" t="s">
        <v>1034</v>
      </c>
      <c r="L273" s="100" t="s">
        <v>200</v>
      </c>
      <c r="M273" s="100" t="s">
        <v>201</v>
      </c>
      <c r="N273" s="100" t="s">
        <v>76</v>
      </c>
      <c r="O273" s="100" t="e">
        <f>VLOOKUP(Tabla15[[#This Row],[Matricula Antigua]],BAJA2022202320242025!$B$3:$CR$245,93,FALSE)</f>
        <v>#N/A</v>
      </c>
      <c r="P273" s="315">
        <v>44805</v>
      </c>
      <c r="Q273" s="315" t="e">
        <f>Tabla15[[#This Row],[F.Vig.Final]]-Tabla15[[#This Row],[f Vig Inicio]]</f>
        <v>#N/A</v>
      </c>
      <c r="R273" s="315">
        <f>YEAR(Tabla15[[#This Row],[F.Vig.Final]])</f>
        <v>2022</v>
      </c>
      <c r="S273" s="100" t="s">
        <v>77</v>
      </c>
      <c r="T273" s="100" t="s">
        <v>674</v>
      </c>
      <c r="U273" s="100" t="s">
        <v>1348</v>
      </c>
      <c r="V273" s="100" t="s">
        <v>1472</v>
      </c>
      <c r="W273" s="100" t="s">
        <v>336</v>
      </c>
      <c r="X273" s="100" t="s">
        <v>337</v>
      </c>
      <c r="Y273" s="100" t="s">
        <v>1430</v>
      </c>
      <c r="Z273" s="98">
        <f>COUNTIF($X$3:X273, X273)</f>
        <v>25</v>
      </c>
      <c r="AA273" s="98"/>
      <c r="AB273" s="98"/>
      <c r="AC273" s="98"/>
      <c r="AD273" s="98"/>
      <c r="AE273" s="98"/>
      <c r="AF273" s="98"/>
      <c r="AG273" s="98"/>
      <c r="AH273" s="98"/>
      <c r="AI273" s="98" t="e">
        <v>#N/A</v>
      </c>
      <c r="AJ273" s="98" t="e">
        <v>#N/A</v>
      </c>
      <c r="AK273" s="98" t="e">
        <v>#N/A</v>
      </c>
      <c r="AL273" s="98" t="e">
        <v>#N/A</v>
      </c>
      <c r="AM273" s="98" t="e">
        <v>#N/A</v>
      </c>
      <c r="AN273" s="99" t="e">
        <v>#N/A</v>
      </c>
      <c r="AO273" s="99" t="e">
        <v>#N/A</v>
      </c>
      <c r="AP273" s="99" t="e">
        <f>Tabla15[[#This Row],[Renov. Flota]]-Tabla15[[#This Row],[Año]]</f>
        <v>#N/A</v>
      </c>
      <c r="AQ273" s="100" t="e">
        <v>#N/A</v>
      </c>
      <c r="AR273" s="100" t="e">
        <f>VLOOKUP(Tabla15[[#This Row],[Matricula nueva]],'ALTA 20242025'!$B$2:$P$242,15,FALSE)</f>
        <v>#N/A</v>
      </c>
      <c r="AS273" s="101" t="e">
        <v>#N/A</v>
      </c>
      <c r="AT273" s="101"/>
      <c r="AU273" s="101"/>
      <c r="AV273" s="101"/>
      <c r="AW273" s="101" t="e">
        <f>VLOOKUP(Tabla15[[#This Row],[Matricula nueva]],Hoja2!$A$1:$B$224,2,FALSE)</f>
        <v>#N/A</v>
      </c>
      <c r="AX273" s="101" t="str">
        <f>IF(Tabla15[[#This Row],[Columna2]]="M1",5.1,"")</f>
        <v/>
      </c>
      <c r="AY273" s="101"/>
      <c r="AZ273" s="101"/>
      <c r="BA273" s="311">
        <f>IF(Tabla15[[#This Row],[Columna2]]="M1",13073,IF(Tabla15[[#This Row],[Columna2]]="N1",15815,IF(Tabla15[[#This Row],[Columna2]]="L3e",2831,53508)))</f>
        <v>53508</v>
      </c>
      <c r="BB273" s="311" t="e">
        <f>(Tabla15[[#This Row],[CVA]]*Tabla15[[#This Row],[F]]-Tabla15[[#This Row],[CVN]])/100*Tabla15[[#This Row],[L]]</f>
        <v>#VALUE!</v>
      </c>
      <c r="BC273" s="1"/>
      <c r="BD273" s="1" t="e">
        <f>VLOOKUP(B273,Tabla467824[[ID CAE2]:[AE '[kWh']]],6,FALSE)</f>
        <v>#N/A</v>
      </c>
      <c r="BE27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4" spans="1:57" ht="15.75" hidden="1" thickBot="1" x14ac:dyDescent="0.3">
      <c r="A274" s="53" t="s">
        <v>1473</v>
      </c>
      <c r="B274" s="53" t="e">
        <v>#N/A</v>
      </c>
      <c r="C274" s="100" t="s">
        <v>1474</v>
      </c>
      <c r="D274" s="100"/>
      <c r="E274" s="100"/>
      <c r="F274" s="100"/>
      <c r="G274" s="100"/>
      <c r="H274" s="100"/>
      <c r="I274" s="100"/>
      <c r="J274" s="100"/>
      <c r="K274" s="100" t="s">
        <v>1034</v>
      </c>
      <c r="L274" s="100" t="s">
        <v>200</v>
      </c>
      <c r="M274" s="100" t="s">
        <v>201</v>
      </c>
      <c r="N274" s="100" t="s">
        <v>160</v>
      </c>
      <c r="O274" s="100" t="e">
        <f>VLOOKUP(Tabla15[[#This Row],[Matricula Antigua]],BAJA2022202320242025!$B$3:$CR$245,93,FALSE)</f>
        <v>#N/A</v>
      </c>
      <c r="P274" s="315">
        <v>44805</v>
      </c>
      <c r="Q274" s="315" t="e">
        <f>Tabla15[[#This Row],[F.Vig.Final]]-Tabla15[[#This Row],[f Vig Inicio]]</f>
        <v>#N/A</v>
      </c>
      <c r="R274" s="315">
        <f>YEAR(Tabla15[[#This Row],[F.Vig.Final]])</f>
        <v>2022</v>
      </c>
      <c r="S274" s="100" t="s">
        <v>161</v>
      </c>
      <c r="T274" s="100" t="s">
        <v>674</v>
      </c>
      <c r="U274" s="100" t="s">
        <v>1348</v>
      </c>
      <c r="V274" s="100" t="s">
        <v>1472</v>
      </c>
      <c r="W274" s="100" t="s">
        <v>336</v>
      </c>
      <c r="X274" s="100" t="s">
        <v>337</v>
      </c>
      <c r="Y274" s="100" t="s">
        <v>1430</v>
      </c>
      <c r="Z274" s="98">
        <f>COUNTIF($X$3:X274, X274)</f>
        <v>26</v>
      </c>
      <c r="AA274" s="98"/>
      <c r="AB274" s="98"/>
      <c r="AC274" s="98"/>
      <c r="AD274" s="98"/>
      <c r="AE274" s="98"/>
      <c r="AF274" s="98"/>
      <c r="AG274" s="98"/>
      <c r="AH274" s="98"/>
      <c r="AI274" s="98" t="e">
        <v>#N/A</v>
      </c>
      <c r="AJ274" s="98" t="e">
        <v>#N/A</v>
      </c>
      <c r="AK274" s="98" t="e">
        <v>#N/A</v>
      </c>
      <c r="AL274" s="98" t="e">
        <v>#N/A</v>
      </c>
      <c r="AM274" s="98" t="e">
        <v>#N/A</v>
      </c>
      <c r="AN274" s="99" t="e">
        <v>#N/A</v>
      </c>
      <c r="AO274" s="99" t="e">
        <v>#N/A</v>
      </c>
      <c r="AP274" s="99" t="e">
        <f>Tabla15[[#This Row],[Renov. Flota]]-Tabla15[[#This Row],[Año]]</f>
        <v>#N/A</v>
      </c>
      <c r="AQ274" s="100" t="e">
        <v>#N/A</v>
      </c>
      <c r="AR274" s="100" t="e">
        <f>VLOOKUP(Tabla15[[#This Row],[Matricula nueva]],'ALTA 20242025'!$B$2:$P$242,15,FALSE)</f>
        <v>#N/A</v>
      </c>
      <c r="AS274" s="101" t="e">
        <v>#N/A</v>
      </c>
      <c r="AT274" s="101"/>
      <c r="AU274" s="101"/>
      <c r="AV274" s="101"/>
      <c r="AW274" s="101" t="e">
        <f>VLOOKUP(Tabla15[[#This Row],[Matricula nueva]],Hoja2!$A$1:$B$224,2,FALSE)</f>
        <v>#N/A</v>
      </c>
      <c r="AX274" s="101" t="str">
        <f>IF(Tabla15[[#This Row],[Columna2]]="M1",5.1,"")</f>
        <v/>
      </c>
      <c r="AY274" s="101"/>
      <c r="AZ274" s="101"/>
      <c r="BA274" s="311">
        <f>IF(Tabla15[[#This Row],[Columna2]]="M1",13073,IF(Tabla15[[#This Row],[Columna2]]="N1",15815,IF(Tabla15[[#This Row],[Columna2]]="L3e",2831,53508)))</f>
        <v>53508</v>
      </c>
      <c r="BB274" s="311" t="e">
        <f>(Tabla15[[#This Row],[CVA]]*Tabla15[[#This Row],[F]]-Tabla15[[#This Row],[CVN]])/100*Tabla15[[#This Row],[L]]</f>
        <v>#VALUE!</v>
      </c>
      <c r="BC274" s="1"/>
      <c r="BD274" s="1" t="e">
        <f>VLOOKUP(B274,Tabla467824[[ID CAE2]:[AE '[kWh']]],6,FALSE)</f>
        <v>#N/A</v>
      </c>
      <c r="BE27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5" spans="1:57" ht="15.75" hidden="1" thickBot="1" x14ac:dyDescent="0.3">
      <c r="A275" s="53" t="s">
        <v>1475</v>
      </c>
      <c r="B275" s="53" t="e">
        <v>#N/A</v>
      </c>
      <c r="C275" s="100" t="s">
        <v>1476</v>
      </c>
      <c r="D275" s="100"/>
      <c r="E275" s="100"/>
      <c r="F275" s="100"/>
      <c r="G275" s="100"/>
      <c r="H275" s="100"/>
      <c r="I275" s="100"/>
      <c r="J275" s="100"/>
      <c r="K275" s="100" t="s">
        <v>73</v>
      </c>
      <c r="L275" s="100" t="s">
        <v>200</v>
      </c>
      <c r="M275" s="100" t="s">
        <v>201</v>
      </c>
      <c r="N275" s="100" t="s">
        <v>76</v>
      </c>
      <c r="O275" s="100" t="e">
        <f>VLOOKUP(Tabla15[[#This Row],[Matricula Antigua]],BAJA2022202320242025!$B$3:$CR$245,93,FALSE)</f>
        <v>#N/A</v>
      </c>
      <c r="P275" s="315">
        <v>44818</v>
      </c>
      <c r="Q275" s="315" t="e">
        <f>Tabla15[[#This Row],[F.Vig.Final]]-Tabla15[[#This Row],[f Vig Inicio]]</f>
        <v>#N/A</v>
      </c>
      <c r="R275" s="315">
        <f>YEAR(Tabla15[[#This Row],[F.Vig.Final]])</f>
        <v>2022</v>
      </c>
      <c r="S275" s="100" t="s">
        <v>77</v>
      </c>
      <c r="T275" s="100" t="s">
        <v>78</v>
      </c>
      <c r="U275" s="100" t="s">
        <v>359</v>
      </c>
      <c r="V275" s="100" t="s">
        <v>593</v>
      </c>
      <c r="W275" s="100" t="s">
        <v>102</v>
      </c>
      <c r="X275" s="100" t="s">
        <v>103</v>
      </c>
      <c r="Y275" s="100" t="s">
        <v>1477</v>
      </c>
      <c r="Z275" s="98">
        <f>COUNTIF($X$3:X275, X275)</f>
        <v>1</v>
      </c>
      <c r="AA275" s="98"/>
      <c r="AB275" s="98"/>
      <c r="AC275" s="98"/>
      <c r="AD275" s="98"/>
      <c r="AE275" s="98"/>
      <c r="AF275" s="98"/>
      <c r="AG275" s="98"/>
      <c r="AH275" s="98"/>
      <c r="AI275" s="98" t="e">
        <v>#N/A</v>
      </c>
      <c r="AJ275" s="98" t="e">
        <v>#N/A</v>
      </c>
      <c r="AK275" s="98" t="e">
        <v>#N/A</v>
      </c>
      <c r="AL275" s="98" t="e">
        <v>#N/A</v>
      </c>
      <c r="AM275" s="98" t="e">
        <v>#N/A</v>
      </c>
      <c r="AN275" s="99" t="e">
        <v>#N/A</v>
      </c>
      <c r="AO275" s="99" t="e">
        <v>#N/A</v>
      </c>
      <c r="AP275" s="99" t="e">
        <f>Tabla15[[#This Row],[Renov. Flota]]-Tabla15[[#This Row],[Año]]</f>
        <v>#N/A</v>
      </c>
      <c r="AQ275" s="100" t="e">
        <v>#N/A</v>
      </c>
      <c r="AR275" s="100" t="e">
        <f>VLOOKUP(Tabla15[[#This Row],[Matricula nueva]],'ALTA 20242025'!$B$2:$P$242,15,FALSE)</f>
        <v>#N/A</v>
      </c>
      <c r="AS275" s="101" t="e">
        <v>#N/A</v>
      </c>
      <c r="AT275" s="101"/>
      <c r="AU275" s="101"/>
      <c r="AV275" s="101"/>
      <c r="AW275" s="101" t="e">
        <f>VLOOKUP(Tabla15[[#This Row],[Matricula nueva]],Hoja2!$A$1:$B$224,2,FALSE)</f>
        <v>#N/A</v>
      </c>
      <c r="AX275" s="101" t="str">
        <f>IF(Tabla15[[#This Row],[Columna2]]="M1",5.1,"")</f>
        <v/>
      </c>
      <c r="AY275" s="101"/>
      <c r="AZ275" s="101"/>
      <c r="BA275" s="311">
        <f>IF(Tabla15[[#This Row],[Columna2]]="M1",13073,IF(Tabla15[[#This Row],[Columna2]]="N1",15815,IF(Tabla15[[#This Row],[Columna2]]="L3e",2831,53508)))</f>
        <v>53508</v>
      </c>
      <c r="BB275" s="311" t="e">
        <f>(Tabla15[[#This Row],[CVA]]*Tabla15[[#This Row],[F]]-Tabla15[[#This Row],[CVN]])/100*Tabla15[[#This Row],[L]]</f>
        <v>#VALUE!</v>
      </c>
      <c r="BC275" s="1"/>
      <c r="BD275" s="1" t="e">
        <f>VLOOKUP(B275,Tabla467824[[ID CAE2]:[AE '[kWh']]],6,FALSE)</f>
        <v>#N/A</v>
      </c>
      <c r="BE27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6" spans="1:57" ht="15.75" hidden="1" thickBot="1" x14ac:dyDescent="0.3">
      <c r="A276" s="53" t="s">
        <v>1478</v>
      </c>
      <c r="B276" s="53" t="e">
        <v>#N/A</v>
      </c>
      <c r="C276" s="100" t="s">
        <v>1479</v>
      </c>
      <c r="D276" s="100"/>
      <c r="E276" s="100"/>
      <c r="F276" s="100"/>
      <c r="G276" s="100"/>
      <c r="H276" s="100"/>
      <c r="I276" s="100"/>
      <c r="J276" s="100"/>
      <c r="K276" s="100" t="s">
        <v>73</v>
      </c>
      <c r="L276" s="100" t="s">
        <v>200</v>
      </c>
      <c r="M276" s="100" t="s">
        <v>201</v>
      </c>
      <c r="N276" s="100" t="s">
        <v>76</v>
      </c>
      <c r="O276" s="100" t="e">
        <f>VLOOKUP(Tabla15[[#This Row],[Matricula Antigua]],BAJA2022202320242025!$B$3:$CR$245,93,FALSE)</f>
        <v>#N/A</v>
      </c>
      <c r="P276" s="315">
        <v>44816</v>
      </c>
      <c r="Q276" s="315" t="e">
        <f>Tabla15[[#This Row],[F.Vig.Final]]-Tabla15[[#This Row],[f Vig Inicio]]</f>
        <v>#N/A</v>
      </c>
      <c r="R276" s="315">
        <f>YEAR(Tabla15[[#This Row],[F.Vig.Final]])</f>
        <v>2022</v>
      </c>
      <c r="S276" s="100" t="s">
        <v>77</v>
      </c>
      <c r="T276" s="100" t="s">
        <v>78</v>
      </c>
      <c r="U276" s="100" t="s">
        <v>359</v>
      </c>
      <c r="V276" s="100" t="s">
        <v>593</v>
      </c>
      <c r="W276" s="100" t="s">
        <v>102</v>
      </c>
      <c r="X276" s="100" t="s">
        <v>103</v>
      </c>
      <c r="Y276" s="100" t="s">
        <v>1480</v>
      </c>
      <c r="Z276" s="98">
        <f>COUNTIF($X$3:X276, X276)</f>
        <v>2</v>
      </c>
      <c r="AA276" s="98"/>
      <c r="AB276" s="98"/>
      <c r="AC276" s="98"/>
      <c r="AD276" s="98"/>
      <c r="AE276" s="98"/>
      <c r="AF276" s="98"/>
      <c r="AG276" s="98"/>
      <c r="AH276" s="98"/>
      <c r="AI276" s="98" t="e">
        <v>#N/A</v>
      </c>
      <c r="AJ276" s="98" t="e">
        <v>#N/A</v>
      </c>
      <c r="AK276" s="98" t="e">
        <v>#N/A</v>
      </c>
      <c r="AL276" s="98" t="e">
        <v>#N/A</v>
      </c>
      <c r="AM276" s="98" t="e">
        <v>#N/A</v>
      </c>
      <c r="AN276" s="99" t="e">
        <v>#N/A</v>
      </c>
      <c r="AO276" s="99" t="e">
        <v>#N/A</v>
      </c>
      <c r="AP276" s="99" t="e">
        <f>Tabla15[[#This Row],[Renov. Flota]]-Tabla15[[#This Row],[Año]]</f>
        <v>#N/A</v>
      </c>
      <c r="AQ276" s="100" t="e">
        <v>#N/A</v>
      </c>
      <c r="AR276" s="100" t="e">
        <f>VLOOKUP(Tabla15[[#This Row],[Matricula nueva]],'ALTA 20242025'!$B$2:$P$242,15,FALSE)</f>
        <v>#N/A</v>
      </c>
      <c r="AS276" s="101" t="e">
        <v>#N/A</v>
      </c>
      <c r="AT276" s="101"/>
      <c r="AU276" s="101"/>
      <c r="AV276" s="101"/>
      <c r="AW276" s="101" t="e">
        <f>VLOOKUP(Tabla15[[#This Row],[Matricula nueva]],Hoja2!$A$1:$B$224,2,FALSE)</f>
        <v>#N/A</v>
      </c>
      <c r="AX276" s="101" t="str">
        <f>IF(Tabla15[[#This Row],[Columna2]]="M1",5.1,"")</f>
        <v/>
      </c>
      <c r="AY276" s="101"/>
      <c r="AZ276" s="101"/>
      <c r="BA276" s="311">
        <f>IF(Tabla15[[#This Row],[Columna2]]="M1",13073,IF(Tabla15[[#This Row],[Columna2]]="N1",15815,IF(Tabla15[[#This Row],[Columna2]]="L3e",2831,53508)))</f>
        <v>53508</v>
      </c>
      <c r="BB276" s="311" t="e">
        <f>(Tabla15[[#This Row],[CVA]]*Tabla15[[#This Row],[F]]-Tabla15[[#This Row],[CVN]])/100*Tabla15[[#This Row],[L]]</f>
        <v>#VALUE!</v>
      </c>
      <c r="BC276" s="1"/>
      <c r="BD276" s="1" t="e">
        <f>VLOOKUP(B276,Tabla467824[[ID CAE2]:[AE '[kWh']]],6,FALSE)</f>
        <v>#N/A</v>
      </c>
      <c r="BE27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7" spans="1:57" ht="15.75" hidden="1" thickBot="1" x14ac:dyDescent="0.3">
      <c r="A277" s="53" t="s">
        <v>1481</v>
      </c>
      <c r="B277" s="53" t="e">
        <v>#N/A</v>
      </c>
      <c r="C277" s="100" t="s">
        <v>1482</v>
      </c>
      <c r="D277" s="100"/>
      <c r="E277" s="100"/>
      <c r="F277" s="100"/>
      <c r="G277" s="100"/>
      <c r="H277" s="100"/>
      <c r="I277" s="100"/>
      <c r="J277" s="100"/>
      <c r="K277" s="100" t="s">
        <v>73</v>
      </c>
      <c r="L277" s="100" t="s">
        <v>200</v>
      </c>
      <c r="M277" s="100" t="s">
        <v>201</v>
      </c>
      <c r="N277" s="100" t="s">
        <v>76</v>
      </c>
      <c r="O277" s="100" t="e">
        <f>VLOOKUP(Tabla15[[#This Row],[Matricula Antigua]],BAJA2022202320242025!$B$3:$CR$245,93,FALSE)</f>
        <v>#N/A</v>
      </c>
      <c r="P277" s="315">
        <v>44787</v>
      </c>
      <c r="Q277" s="315" t="e">
        <f>Tabla15[[#This Row],[F.Vig.Final]]-Tabla15[[#This Row],[f Vig Inicio]]</f>
        <v>#N/A</v>
      </c>
      <c r="R277" s="315">
        <f>YEAR(Tabla15[[#This Row],[F.Vig.Final]])</f>
        <v>2022</v>
      </c>
      <c r="S277" s="100" t="s">
        <v>77</v>
      </c>
      <c r="T277" s="100" t="s">
        <v>674</v>
      </c>
      <c r="U277" s="100" t="s">
        <v>359</v>
      </c>
      <c r="V277" s="100" t="s">
        <v>675</v>
      </c>
      <c r="W277" s="100" t="s">
        <v>584</v>
      </c>
      <c r="X277" s="100" t="s">
        <v>585</v>
      </c>
      <c r="Y277" s="100" t="s">
        <v>980</v>
      </c>
      <c r="Z277" s="98">
        <f>COUNTIF($X$3:X277, X277)</f>
        <v>20</v>
      </c>
      <c r="AA277" s="98"/>
      <c r="AB277" s="98"/>
      <c r="AC277" s="98"/>
      <c r="AD277" s="98"/>
      <c r="AE277" s="98"/>
      <c r="AF277" s="98"/>
      <c r="AG277" s="98"/>
      <c r="AH277" s="98"/>
      <c r="AI277" s="98" t="e">
        <v>#N/A</v>
      </c>
      <c r="AJ277" s="98" t="e">
        <v>#N/A</v>
      </c>
      <c r="AK277" s="98" t="e">
        <v>#N/A</v>
      </c>
      <c r="AL277" s="98" t="e">
        <v>#N/A</v>
      </c>
      <c r="AM277" s="98" t="e">
        <v>#N/A</v>
      </c>
      <c r="AN277" s="99" t="e">
        <v>#N/A</v>
      </c>
      <c r="AO277" s="99" t="e">
        <v>#N/A</v>
      </c>
      <c r="AP277" s="99" t="e">
        <f>Tabla15[[#This Row],[Renov. Flota]]-Tabla15[[#This Row],[Año]]</f>
        <v>#N/A</v>
      </c>
      <c r="AQ277" s="100" t="e">
        <v>#N/A</v>
      </c>
      <c r="AR277" s="100" t="e">
        <f>VLOOKUP(Tabla15[[#This Row],[Matricula nueva]],'ALTA 20242025'!$B$2:$P$242,15,FALSE)</f>
        <v>#N/A</v>
      </c>
      <c r="AS277" s="101" t="e">
        <v>#N/A</v>
      </c>
      <c r="AT277" s="101"/>
      <c r="AU277" s="101"/>
      <c r="AV277" s="101"/>
      <c r="AW277" s="101" t="e">
        <f>VLOOKUP(Tabla15[[#This Row],[Matricula nueva]],Hoja2!$A$1:$B$224,2,FALSE)</f>
        <v>#N/A</v>
      </c>
      <c r="AX277" s="101" t="str">
        <f>IF(Tabla15[[#This Row],[Columna2]]="M1",5.1,"")</f>
        <v/>
      </c>
      <c r="AY277" s="101"/>
      <c r="AZ277" s="101"/>
      <c r="BA277" s="311">
        <f>IF(Tabla15[[#This Row],[Columna2]]="M1",13073,IF(Tabla15[[#This Row],[Columna2]]="N1",15815,IF(Tabla15[[#This Row],[Columna2]]="L3e",2831,53508)))</f>
        <v>53508</v>
      </c>
      <c r="BB277" s="311" t="e">
        <f>(Tabla15[[#This Row],[CVA]]*Tabla15[[#This Row],[F]]-Tabla15[[#This Row],[CVN]])/100*Tabla15[[#This Row],[L]]</f>
        <v>#VALUE!</v>
      </c>
      <c r="BC277" s="1"/>
      <c r="BD277" s="1" t="e">
        <f>VLOOKUP(B277,Tabla467824[[ID CAE2]:[AE '[kWh']]],6,FALSE)</f>
        <v>#N/A</v>
      </c>
      <c r="BE27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8" spans="1:57" ht="15.75" hidden="1" thickBot="1" x14ac:dyDescent="0.3">
      <c r="A278" s="53" t="s">
        <v>1483</v>
      </c>
      <c r="B278" s="53" t="e">
        <v>#N/A</v>
      </c>
      <c r="C278" s="100" t="s">
        <v>1484</v>
      </c>
      <c r="D278" s="100"/>
      <c r="E278" s="100"/>
      <c r="F278" s="100"/>
      <c r="G278" s="100"/>
      <c r="H278" s="100"/>
      <c r="I278" s="100"/>
      <c r="J278" s="100"/>
      <c r="K278" s="100" t="s">
        <v>1034</v>
      </c>
      <c r="L278" s="100" t="s">
        <v>200</v>
      </c>
      <c r="M278" s="100" t="s">
        <v>201</v>
      </c>
      <c r="N278" s="100" t="s">
        <v>76</v>
      </c>
      <c r="O278" s="100" t="e">
        <f>VLOOKUP(Tabla15[[#This Row],[Matricula Antigua]],BAJA2022202320242025!$B$3:$CR$245,93,FALSE)</f>
        <v>#N/A</v>
      </c>
      <c r="P278" s="315">
        <v>44818</v>
      </c>
      <c r="Q278" s="315" t="e">
        <f>Tabla15[[#This Row],[F.Vig.Final]]-Tabla15[[#This Row],[f Vig Inicio]]</f>
        <v>#N/A</v>
      </c>
      <c r="R278" s="315">
        <f>YEAR(Tabla15[[#This Row],[F.Vig.Final]])</f>
        <v>2022</v>
      </c>
      <c r="S278" s="100" t="s">
        <v>77</v>
      </c>
      <c r="T278" s="100" t="s">
        <v>674</v>
      </c>
      <c r="U278" s="100" t="s">
        <v>1348</v>
      </c>
      <c r="V278" s="100" t="s">
        <v>1472</v>
      </c>
      <c r="W278" s="100" t="s">
        <v>336</v>
      </c>
      <c r="X278" s="100" t="s">
        <v>337</v>
      </c>
      <c r="Y278" s="100" t="s">
        <v>1430</v>
      </c>
      <c r="Z278" s="98">
        <f>COUNTIF($X$3:X278, X278)</f>
        <v>27</v>
      </c>
      <c r="AA278" s="98"/>
      <c r="AB278" s="98"/>
      <c r="AC278" s="98"/>
      <c r="AD278" s="98"/>
      <c r="AE278" s="98"/>
      <c r="AF278" s="98"/>
      <c r="AG278" s="98"/>
      <c r="AH278" s="98"/>
      <c r="AI278" s="98" t="e">
        <v>#N/A</v>
      </c>
      <c r="AJ278" s="98" t="e">
        <v>#N/A</v>
      </c>
      <c r="AK278" s="98" t="e">
        <v>#N/A</v>
      </c>
      <c r="AL278" s="98" t="e">
        <v>#N/A</v>
      </c>
      <c r="AM278" s="98" t="e">
        <v>#N/A</v>
      </c>
      <c r="AN278" s="99" t="e">
        <v>#N/A</v>
      </c>
      <c r="AO278" s="99" t="e">
        <v>#N/A</v>
      </c>
      <c r="AP278" s="99" t="e">
        <f>Tabla15[[#This Row],[Renov. Flota]]-Tabla15[[#This Row],[Año]]</f>
        <v>#N/A</v>
      </c>
      <c r="AQ278" s="100" t="e">
        <v>#N/A</v>
      </c>
      <c r="AR278" s="100" t="e">
        <f>VLOOKUP(Tabla15[[#This Row],[Matricula nueva]],'ALTA 20242025'!$B$2:$P$242,15,FALSE)</f>
        <v>#N/A</v>
      </c>
      <c r="AS278" s="101" t="e">
        <v>#N/A</v>
      </c>
      <c r="AT278" s="101"/>
      <c r="AU278" s="101"/>
      <c r="AV278" s="101"/>
      <c r="AW278" s="101" t="e">
        <f>VLOOKUP(Tabla15[[#This Row],[Matricula nueva]],Hoja2!$A$1:$B$224,2,FALSE)</f>
        <v>#N/A</v>
      </c>
      <c r="AX278" s="101" t="str">
        <f>IF(Tabla15[[#This Row],[Columna2]]="M1",5.1,"")</f>
        <v/>
      </c>
      <c r="AY278" s="101"/>
      <c r="AZ278" s="101"/>
      <c r="BA278" s="311">
        <f>IF(Tabla15[[#This Row],[Columna2]]="M1",13073,IF(Tabla15[[#This Row],[Columna2]]="N1",15815,IF(Tabla15[[#This Row],[Columna2]]="L3e",2831,53508)))</f>
        <v>53508</v>
      </c>
      <c r="BB278" s="311" t="e">
        <f>(Tabla15[[#This Row],[CVA]]*Tabla15[[#This Row],[F]]-Tabla15[[#This Row],[CVN]])/100*Tabla15[[#This Row],[L]]</f>
        <v>#VALUE!</v>
      </c>
      <c r="BC278" s="1"/>
      <c r="BD278" s="1" t="e">
        <f>VLOOKUP(B278,Tabla467824[[ID CAE2]:[AE '[kWh']]],6,FALSE)</f>
        <v>#N/A</v>
      </c>
      <c r="BE27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79" spans="1:57" ht="15.75" hidden="1" thickBot="1" x14ac:dyDescent="0.3">
      <c r="A279" s="53" t="s">
        <v>1485</v>
      </c>
      <c r="B279" s="53" t="e">
        <v>#N/A</v>
      </c>
      <c r="C279" s="100" t="s">
        <v>1486</v>
      </c>
      <c r="D279" s="100"/>
      <c r="E279" s="100"/>
      <c r="F279" s="100"/>
      <c r="G279" s="100"/>
      <c r="H279" s="100"/>
      <c r="I279" s="100"/>
      <c r="J279" s="100"/>
      <c r="K279" s="100" t="s">
        <v>73</v>
      </c>
      <c r="L279" s="100" t="s">
        <v>200</v>
      </c>
      <c r="M279" s="100" t="s">
        <v>201</v>
      </c>
      <c r="N279" s="100" t="s">
        <v>76</v>
      </c>
      <c r="O279" s="100" t="e">
        <f>VLOOKUP(Tabla15[[#This Row],[Matricula Antigua]],BAJA2022202320242025!$B$3:$CR$245,93,FALSE)</f>
        <v>#N/A</v>
      </c>
      <c r="P279" s="315">
        <v>44703</v>
      </c>
      <c r="Q279" s="315" t="e">
        <f>Tabla15[[#This Row],[F.Vig.Final]]-Tabla15[[#This Row],[f Vig Inicio]]</f>
        <v>#N/A</v>
      </c>
      <c r="R279" s="315">
        <f>YEAR(Tabla15[[#This Row],[F.Vig.Final]])</f>
        <v>2022</v>
      </c>
      <c r="S279" s="100" t="s">
        <v>77</v>
      </c>
      <c r="T279" s="100" t="s">
        <v>78</v>
      </c>
      <c r="U279" s="100" t="s">
        <v>359</v>
      </c>
      <c r="V279" s="100" t="s">
        <v>593</v>
      </c>
      <c r="W279" s="100" t="s">
        <v>102</v>
      </c>
      <c r="X279" s="100" t="s">
        <v>103</v>
      </c>
      <c r="Y279" s="100" t="s">
        <v>1487</v>
      </c>
      <c r="Z279" s="98">
        <f>COUNTIF($X$3:X279, X279)</f>
        <v>3</v>
      </c>
      <c r="AA279" s="98"/>
      <c r="AB279" s="98"/>
      <c r="AC279" s="98"/>
      <c r="AD279" s="98"/>
      <c r="AE279" s="98"/>
      <c r="AF279" s="98"/>
      <c r="AG279" s="98"/>
      <c r="AH279" s="98"/>
      <c r="AI279" s="98" t="e">
        <v>#N/A</v>
      </c>
      <c r="AJ279" s="98" t="e">
        <v>#N/A</v>
      </c>
      <c r="AK279" s="98" t="e">
        <v>#N/A</v>
      </c>
      <c r="AL279" s="98" t="e">
        <v>#N/A</v>
      </c>
      <c r="AM279" s="98" t="e">
        <v>#N/A</v>
      </c>
      <c r="AN279" s="99" t="e">
        <v>#N/A</v>
      </c>
      <c r="AO279" s="99" t="e">
        <v>#N/A</v>
      </c>
      <c r="AP279" s="99" t="e">
        <f>Tabla15[[#This Row],[Renov. Flota]]-Tabla15[[#This Row],[Año]]</f>
        <v>#N/A</v>
      </c>
      <c r="AQ279" s="100" t="e">
        <v>#N/A</v>
      </c>
      <c r="AR279" s="100" t="e">
        <f>VLOOKUP(Tabla15[[#This Row],[Matricula nueva]],'ALTA 20242025'!$B$2:$P$242,15,FALSE)</f>
        <v>#N/A</v>
      </c>
      <c r="AS279" s="101" t="e">
        <v>#N/A</v>
      </c>
      <c r="AT279" s="101"/>
      <c r="AU279" s="101"/>
      <c r="AV279" s="101"/>
      <c r="AW279" s="101" t="e">
        <f>VLOOKUP(Tabla15[[#This Row],[Matricula nueva]],Hoja2!$A$1:$B$224,2,FALSE)</f>
        <v>#N/A</v>
      </c>
      <c r="AX279" s="101" t="str">
        <f>IF(Tabla15[[#This Row],[Columna2]]="M1",5.1,"")</f>
        <v/>
      </c>
      <c r="AY279" s="101"/>
      <c r="AZ279" s="101"/>
      <c r="BA279" s="311">
        <f>IF(Tabla15[[#This Row],[Columna2]]="M1",13073,IF(Tabla15[[#This Row],[Columna2]]="N1",15815,IF(Tabla15[[#This Row],[Columna2]]="L3e",2831,53508)))</f>
        <v>53508</v>
      </c>
      <c r="BB279" s="311" t="e">
        <f>(Tabla15[[#This Row],[CVA]]*Tabla15[[#This Row],[F]]-Tabla15[[#This Row],[CVN]])/100*Tabla15[[#This Row],[L]]</f>
        <v>#VALUE!</v>
      </c>
      <c r="BC279" s="1"/>
      <c r="BD279" s="1" t="e">
        <f>VLOOKUP(B279,Tabla467824[[ID CAE2]:[AE '[kWh']]],6,FALSE)</f>
        <v>#N/A</v>
      </c>
      <c r="BE27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0" spans="1:57" ht="15.75" hidden="1" thickBot="1" x14ac:dyDescent="0.3">
      <c r="A280" s="53" t="s">
        <v>1488</v>
      </c>
      <c r="B280" s="53" t="e">
        <v>#N/A</v>
      </c>
      <c r="C280" s="100" t="s">
        <v>1489</v>
      </c>
      <c r="D280" s="100"/>
      <c r="E280" s="100"/>
      <c r="F280" s="100"/>
      <c r="G280" s="100"/>
      <c r="H280" s="100"/>
      <c r="I280" s="100"/>
      <c r="J280" s="100"/>
      <c r="K280" s="100" t="s">
        <v>73</v>
      </c>
      <c r="L280" s="100" t="s">
        <v>200</v>
      </c>
      <c r="M280" s="100" t="s">
        <v>201</v>
      </c>
      <c r="N280" s="100" t="s">
        <v>76</v>
      </c>
      <c r="O280" s="100" t="e">
        <f>VLOOKUP(Tabla15[[#This Row],[Matricula Antigua]],BAJA2022202320242025!$B$3:$CR$245,93,FALSE)</f>
        <v>#N/A</v>
      </c>
      <c r="P280" s="315">
        <v>44716</v>
      </c>
      <c r="Q280" s="315" t="e">
        <f>Tabla15[[#This Row],[F.Vig.Final]]-Tabla15[[#This Row],[f Vig Inicio]]</f>
        <v>#N/A</v>
      </c>
      <c r="R280" s="315">
        <f>YEAR(Tabla15[[#This Row],[F.Vig.Final]])</f>
        <v>2022</v>
      </c>
      <c r="S280" s="100" t="s">
        <v>77</v>
      </c>
      <c r="T280" s="100" t="s">
        <v>78</v>
      </c>
      <c r="U280" s="100" t="s">
        <v>359</v>
      </c>
      <c r="V280" s="100" t="s">
        <v>593</v>
      </c>
      <c r="W280" s="100" t="s">
        <v>102</v>
      </c>
      <c r="X280" s="100" t="s">
        <v>103</v>
      </c>
      <c r="Y280" s="100" t="s">
        <v>115</v>
      </c>
      <c r="Z280" s="98">
        <f>COUNTIF($X$3:X280, X280)</f>
        <v>4</v>
      </c>
      <c r="AA280" s="98"/>
      <c r="AB280" s="98"/>
      <c r="AC280" s="98"/>
      <c r="AD280" s="98"/>
      <c r="AE280" s="98"/>
      <c r="AF280" s="98"/>
      <c r="AG280" s="98"/>
      <c r="AH280" s="98"/>
      <c r="AI280" s="98" t="e">
        <v>#N/A</v>
      </c>
      <c r="AJ280" s="98" t="e">
        <v>#N/A</v>
      </c>
      <c r="AK280" s="98" t="e">
        <v>#N/A</v>
      </c>
      <c r="AL280" s="98" t="e">
        <v>#N/A</v>
      </c>
      <c r="AM280" s="98" t="e">
        <v>#N/A</v>
      </c>
      <c r="AN280" s="99" t="e">
        <v>#N/A</v>
      </c>
      <c r="AO280" s="99" t="e">
        <v>#N/A</v>
      </c>
      <c r="AP280" s="99" t="e">
        <f>Tabla15[[#This Row],[Renov. Flota]]-Tabla15[[#This Row],[Año]]</f>
        <v>#N/A</v>
      </c>
      <c r="AQ280" s="100" t="e">
        <v>#N/A</v>
      </c>
      <c r="AR280" s="100" t="e">
        <f>VLOOKUP(Tabla15[[#This Row],[Matricula nueva]],'ALTA 20242025'!$B$2:$P$242,15,FALSE)</f>
        <v>#N/A</v>
      </c>
      <c r="AS280" s="101" t="e">
        <v>#N/A</v>
      </c>
      <c r="AT280" s="101"/>
      <c r="AU280" s="101"/>
      <c r="AV280" s="101"/>
      <c r="AW280" s="101" t="e">
        <f>VLOOKUP(Tabla15[[#This Row],[Matricula nueva]],Hoja2!$A$1:$B$224,2,FALSE)</f>
        <v>#N/A</v>
      </c>
      <c r="AX280" s="101" t="str">
        <f>IF(Tabla15[[#This Row],[Columna2]]="M1",5.1,"")</f>
        <v/>
      </c>
      <c r="AY280" s="101"/>
      <c r="AZ280" s="101"/>
      <c r="BA280" s="311">
        <f>IF(Tabla15[[#This Row],[Columna2]]="M1",13073,IF(Tabla15[[#This Row],[Columna2]]="N1",15815,IF(Tabla15[[#This Row],[Columna2]]="L3e",2831,53508)))</f>
        <v>53508</v>
      </c>
      <c r="BB280" s="311" t="e">
        <f>(Tabla15[[#This Row],[CVA]]*Tabla15[[#This Row],[F]]-Tabla15[[#This Row],[CVN]])/100*Tabla15[[#This Row],[L]]</f>
        <v>#VALUE!</v>
      </c>
      <c r="BC280" s="1"/>
      <c r="BD280" s="1" t="e">
        <f>VLOOKUP(B280,Tabla467824[[ID CAE2]:[AE '[kWh']]],6,FALSE)</f>
        <v>#N/A</v>
      </c>
      <c r="BE28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1" spans="1:57" ht="15.75" hidden="1" thickBot="1" x14ac:dyDescent="0.3">
      <c r="A281" s="53" t="s">
        <v>1490</v>
      </c>
      <c r="B281" s="53" t="e">
        <v>#N/A</v>
      </c>
      <c r="C281" s="100" t="s">
        <v>1491</v>
      </c>
      <c r="D281" s="100"/>
      <c r="E281" s="100"/>
      <c r="F281" s="100"/>
      <c r="G281" s="100"/>
      <c r="H281" s="100"/>
      <c r="I281" s="100"/>
      <c r="J281" s="100"/>
      <c r="K281" s="100" t="s">
        <v>73</v>
      </c>
      <c r="L281" s="100" t="s">
        <v>200</v>
      </c>
      <c r="M281" s="100" t="s">
        <v>201</v>
      </c>
      <c r="N281" s="100" t="s">
        <v>76</v>
      </c>
      <c r="O281" s="100" t="e">
        <f>VLOOKUP(Tabla15[[#This Row],[Matricula Antigua]],BAJA2022202320242025!$B$3:$CR$245,93,FALSE)</f>
        <v>#N/A</v>
      </c>
      <c r="P281" s="315">
        <v>44703</v>
      </c>
      <c r="Q281" s="315" t="e">
        <f>Tabla15[[#This Row],[F.Vig.Final]]-Tabla15[[#This Row],[f Vig Inicio]]</f>
        <v>#N/A</v>
      </c>
      <c r="R281" s="315">
        <f>YEAR(Tabla15[[#This Row],[F.Vig.Final]])</f>
        <v>2022</v>
      </c>
      <c r="S281" s="100" t="s">
        <v>77</v>
      </c>
      <c r="T281" s="100" t="s">
        <v>78</v>
      </c>
      <c r="U281" s="100" t="s">
        <v>359</v>
      </c>
      <c r="V281" s="100" t="s">
        <v>593</v>
      </c>
      <c r="W281" s="100" t="s">
        <v>102</v>
      </c>
      <c r="X281" s="100" t="s">
        <v>103</v>
      </c>
      <c r="Y281" s="100" t="s">
        <v>115</v>
      </c>
      <c r="Z281" s="98">
        <f>COUNTIF($X$3:X281, X281)</f>
        <v>5</v>
      </c>
      <c r="AA281" s="98"/>
      <c r="AB281" s="98"/>
      <c r="AC281" s="98"/>
      <c r="AD281" s="98"/>
      <c r="AE281" s="98"/>
      <c r="AF281" s="98"/>
      <c r="AG281" s="98"/>
      <c r="AH281" s="98"/>
      <c r="AI281" s="98" t="e">
        <v>#N/A</v>
      </c>
      <c r="AJ281" s="98" t="e">
        <v>#N/A</v>
      </c>
      <c r="AK281" s="98" t="e">
        <v>#N/A</v>
      </c>
      <c r="AL281" s="98" t="e">
        <v>#N/A</v>
      </c>
      <c r="AM281" s="98" t="e">
        <v>#N/A</v>
      </c>
      <c r="AN281" s="99" t="e">
        <v>#N/A</v>
      </c>
      <c r="AO281" s="99" t="e">
        <v>#N/A</v>
      </c>
      <c r="AP281" s="99" t="e">
        <f>Tabla15[[#This Row],[Renov. Flota]]-Tabla15[[#This Row],[Año]]</f>
        <v>#N/A</v>
      </c>
      <c r="AQ281" s="100" t="e">
        <v>#N/A</v>
      </c>
      <c r="AR281" s="100" t="e">
        <f>VLOOKUP(Tabla15[[#This Row],[Matricula nueva]],'ALTA 20242025'!$B$2:$P$242,15,FALSE)</f>
        <v>#N/A</v>
      </c>
      <c r="AS281" s="101" t="e">
        <v>#N/A</v>
      </c>
      <c r="AT281" s="101"/>
      <c r="AU281" s="101"/>
      <c r="AV281" s="101"/>
      <c r="AW281" s="101" t="e">
        <f>VLOOKUP(Tabla15[[#This Row],[Matricula nueva]],Hoja2!$A$1:$B$224,2,FALSE)</f>
        <v>#N/A</v>
      </c>
      <c r="AX281" s="101" t="str">
        <f>IF(Tabla15[[#This Row],[Columna2]]="M1",5.1,"")</f>
        <v/>
      </c>
      <c r="AY281" s="101"/>
      <c r="AZ281" s="101"/>
      <c r="BA281" s="311">
        <f>IF(Tabla15[[#This Row],[Columna2]]="M1",13073,IF(Tabla15[[#This Row],[Columna2]]="N1",15815,IF(Tabla15[[#This Row],[Columna2]]="L3e",2831,53508)))</f>
        <v>53508</v>
      </c>
      <c r="BB281" s="311" t="e">
        <f>(Tabla15[[#This Row],[CVA]]*Tabla15[[#This Row],[F]]-Tabla15[[#This Row],[CVN]])/100*Tabla15[[#This Row],[L]]</f>
        <v>#VALUE!</v>
      </c>
      <c r="BC281" s="1"/>
      <c r="BD281" s="1" t="e">
        <f>VLOOKUP(B281,Tabla467824[[ID CAE2]:[AE '[kWh']]],6,FALSE)</f>
        <v>#N/A</v>
      </c>
      <c r="BE28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2" spans="1:57" ht="15.75" hidden="1" thickBot="1" x14ac:dyDescent="0.3">
      <c r="A282" s="101"/>
      <c r="B282" s="53" t="e">
        <v>#N/A</v>
      </c>
      <c r="C282" s="100" t="s">
        <v>1492</v>
      </c>
      <c r="D282" s="100"/>
      <c r="E282" s="100"/>
      <c r="F282" s="100"/>
      <c r="G282" s="100"/>
      <c r="H282" s="100"/>
      <c r="I282" s="100"/>
      <c r="J282" s="100"/>
      <c r="K282" s="100" t="s">
        <v>73</v>
      </c>
      <c r="L282" s="100" t="s">
        <v>200</v>
      </c>
      <c r="M282" s="100" t="s">
        <v>201</v>
      </c>
      <c r="N282" s="100" t="s">
        <v>76</v>
      </c>
      <c r="O282" s="100" t="e">
        <f>VLOOKUP(Tabla15[[#This Row],[Matricula Antigua]],BAJA2022202320242025!$B$3:$CR$245,93,FALSE)</f>
        <v>#N/A</v>
      </c>
      <c r="P282" s="315">
        <v>44703</v>
      </c>
      <c r="Q282" s="315" t="e">
        <f>Tabla15[[#This Row],[F.Vig.Final]]-Tabla15[[#This Row],[f Vig Inicio]]</f>
        <v>#N/A</v>
      </c>
      <c r="R282" s="315">
        <f>YEAR(Tabla15[[#This Row],[F.Vig.Final]])</f>
        <v>2022</v>
      </c>
      <c r="S282" s="100" t="s">
        <v>77</v>
      </c>
      <c r="T282" s="100" t="s">
        <v>78</v>
      </c>
      <c r="U282" s="100" t="s">
        <v>359</v>
      </c>
      <c r="V282" s="100" t="s">
        <v>593</v>
      </c>
      <c r="W282" s="100" t="s">
        <v>102</v>
      </c>
      <c r="X282" s="100" t="s">
        <v>103</v>
      </c>
      <c r="Y282" s="100" t="s">
        <v>115</v>
      </c>
      <c r="Z282" s="98">
        <f>COUNTIF($X$3:X282, X282)</f>
        <v>6</v>
      </c>
      <c r="AA282" s="98"/>
      <c r="AB282" s="98"/>
      <c r="AC282" s="98"/>
      <c r="AD282" s="98"/>
      <c r="AE282" s="98"/>
      <c r="AF282" s="98"/>
      <c r="AG282" s="98"/>
      <c r="AH282" s="98"/>
      <c r="AI282" s="98" t="e">
        <v>#N/A</v>
      </c>
      <c r="AJ282" s="98" t="e">
        <v>#N/A</v>
      </c>
      <c r="AK282" s="98" t="e">
        <v>#N/A</v>
      </c>
      <c r="AL282" s="98" t="e">
        <v>#N/A</v>
      </c>
      <c r="AM282" s="98" t="e">
        <v>#N/A</v>
      </c>
      <c r="AN282" s="99" t="e">
        <v>#N/A</v>
      </c>
      <c r="AO282" s="99" t="e">
        <v>#N/A</v>
      </c>
      <c r="AP282" s="99" t="e">
        <f>Tabla15[[#This Row],[Renov. Flota]]-Tabla15[[#This Row],[Año]]</f>
        <v>#N/A</v>
      </c>
      <c r="AQ282" s="100" t="e">
        <v>#N/A</v>
      </c>
      <c r="AR282" s="100" t="e">
        <f>VLOOKUP(Tabla15[[#This Row],[Matricula nueva]],'ALTA 20242025'!$B$2:$P$242,15,FALSE)</f>
        <v>#N/A</v>
      </c>
      <c r="AS282" s="101" t="e">
        <v>#N/A</v>
      </c>
      <c r="AT282" s="101"/>
      <c r="AU282" s="101"/>
      <c r="AV282" s="101"/>
      <c r="AW282" s="101" t="e">
        <f>VLOOKUP(Tabla15[[#This Row],[Matricula nueva]],Hoja2!$A$1:$B$224,2,FALSE)</f>
        <v>#N/A</v>
      </c>
      <c r="AX282" s="101" t="str">
        <f>IF(Tabla15[[#This Row],[Columna2]]="M1",5.1,"")</f>
        <v/>
      </c>
      <c r="AY282" s="101"/>
      <c r="AZ282" s="101"/>
      <c r="BA282" s="311">
        <f>IF(Tabla15[[#This Row],[Columna2]]="M1",13073,IF(Tabla15[[#This Row],[Columna2]]="N1",15815,IF(Tabla15[[#This Row],[Columna2]]="L3e",2831,53508)))</f>
        <v>53508</v>
      </c>
      <c r="BB282" s="311" t="e">
        <f>(Tabla15[[#This Row],[CVA]]*Tabla15[[#This Row],[F]]-Tabla15[[#This Row],[CVN]])/100*Tabla15[[#This Row],[L]]</f>
        <v>#VALUE!</v>
      </c>
      <c r="BC282" s="1"/>
      <c r="BD282" s="1" t="e">
        <f>VLOOKUP(B282,Tabla467824[[ID CAE2]:[AE '[kWh']]],6,FALSE)</f>
        <v>#N/A</v>
      </c>
      <c r="BE28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3" spans="1:57" ht="15.75" hidden="1" thickBot="1" x14ac:dyDescent="0.3">
      <c r="A283" s="101"/>
      <c r="B283" s="53" t="e">
        <v>#N/A</v>
      </c>
      <c r="C283" s="100" t="s">
        <v>1493</v>
      </c>
      <c r="D283" s="100"/>
      <c r="E283" s="100"/>
      <c r="F283" s="100"/>
      <c r="G283" s="100"/>
      <c r="H283" s="100"/>
      <c r="I283" s="100"/>
      <c r="J283" s="100"/>
      <c r="K283" s="100" t="s">
        <v>73</v>
      </c>
      <c r="L283" s="100" t="s">
        <v>200</v>
      </c>
      <c r="M283" s="100" t="s">
        <v>201</v>
      </c>
      <c r="N283" s="100" t="s">
        <v>76</v>
      </c>
      <c r="O283" s="100" t="e">
        <f>VLOOKUP(Tabla15[[#This Row],[Matricula Antigua]],BAJA2022202320242025!$B$3:$CR$245,93,FALSE)</f>
        <v>#N/A</v>
      </c>
      <c r="P283" s="315">
        <v>44711</v>
      </c>
      <c r="Q283" s="315" t="e">
        <f>Tabla15[[#This Row],[F.Vig.Final]]-Tabla15[[#This Row],[f Vig Inicio]]</f>
        <v>#N/A</v>
      </c>
      <c r="R283" s="315">
        <f>YEAR(Tabla15[[#This Row],[F.Vig.Final]])</f>
        <v>2022</v>
      </c>
      <c r="S283" s="100" t="s">
        <v>77</v>
      </c>
      <c r="T283" s="100" t="s">
        <v>78</v>
      </c>
      <c r="U283" s="100" t="s">
        <v>359</v>
      </c>
      <c r="V283" s="100" t="s">
        <v>593</v>
      </c>
      <c r="W283" s="100" t="s">
        <v>102</v>
      </c>
      <c r="X283" s="100" t="s">
        <v>103</v>
      </c>
      <c r="Y283" s="100" t="s">
        <v>115</v>
      </c>
      <c r="Z283" s="98">
        <f>COUNTIF($X$3:X283, X283)</f>
        <v>7</v>
      </c>
      <c r="AA283" s="98"/>
      <c r="AB283" s="98"/>
      <c r="AC283" s="98"/>
      <c r="AD283" s="98"/>
      <c r="AE283" s="98"/>
      <c r="AF283" s="98"/>
      <c r="AG283" s="98"/>
      <c r="AH283" s="98"/>
      <c r="AI283" s="98" t="e">
        <v>#N/A</v>
      </c>
      <c r="AJ283" s="98" t="e">
        <v>#N/A</v>
      </c>
      <c r="AK283" s="98" t="e">
        <v>#N/A</v>
      </c>
      <c r="AL283" s="98" t="e">
        <v>#N/A</v>
      </c>
      <c r="AM283" s="98" t="e">
        <v>#N/A</v>
      </c>
      <c r="AN283" s="99" t="e">
        <v>#N/A</v>
      </c>
      <c r="AO283" s="99" t="e">
        <v>#N/A</v>
      </c>
      <c r="AP283" s="99" t="e">
        <f>Tabla15[[#This Row],[Renov. Flota]]-Tabla15[[#This Row],[Año]]</f>
        <v>#N/A</v>
      </c>
      <c r="AQ283" s="100" t="e">
        <v>#N/A</v>
      </c>
      <c r="AR283" s="100" t="e">
        <f>VLOOKUP(Tabla15[[#This Row],[Matricula nueva]],'ALTA 20242025'!$B$2:$P$242,15,FALSE)</f>
        <v>#N/A</v>
      </c>
      <c r="AS283" s="101" t="e">
        <v>#N/A</v>
      </c>
      <c r="AT283" s="101"/>
      <c r="AU283" s="101"/>
      <c r="AV283" s="101"/>
      <c r="AW283" s="101" t="e">
        <f>VLOOKUP(Tabla15[[#This Row],[Matricula nueva]],Hoja2!$A$1:$B$224,2,FALSE)</f>
        <v>#N/A</v>
      </c>
      <c r="AX283" s="101" t="str">
        <f>IF(Tabla15[[#This Row],[Columna2]]="M1",5.1,"")</f>
        <v/>
      </c>
      <c r="AY283" s="101"/>
      <c r="AZ283" s="101"/>
      <c r="BA283" s="311">
        <f>IF(Tabla15[[#This Row],[Columna2]]="M1",13073,IF(Tabla15[[#This Row],[Columna2]]="N1",15815,IF(Tabla15[[#This Row],[Columna2]]="L3e",2831,53508)))</f>
        <v>53508</v>
      </c>
      <c r="BB283" s="311" t="e">
        <f>(Tabla15[[#This Row],[CVA]]*Tabla15[[#This Row],[F]]-Tabla15[[#This Row],[CVN]])/100*Tabla15[[#This Row],[L]]</f>
        <v>#VALUE!</v>
      </c>
      <c r="BC283" s="1"/>
      <c r="BD283" s="1" t="e">
        <f>VLOOKUP(B283,Tabla467824[[ID CAE2]:[AE '[kWh']]],6,FALSE)</f>
        <v>#N/A</v>
      </c>
      <c r="BE28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4" spans="1:57" ht="15.75" hidden="1" thickBot="1" x14ac:dyDescent="0.3">
      <c r="A284" s="101"/>
      <c r="B284" s="53" t="e">
        <v>#N/A</v>
      </c>
      <c r="C284" s="100" t="s">
        <v>1494</v>
      </c>
      <c r="D284" s="100"/>
      <c r="E284" s="100"/>
      <c r="F284" s="100"/>
      <c r="G284" s="100"/>
      <c r="H284" s="100"/>
      <c r="I284" s="100"/>
      <c r="J284" s="100"/>
      <c r="K284" s="100" t="s">
        <v>73</v>
      </c>
      <c r="L284" s="100" t="s">
        <v>200</v>
      </c>
      <c r="M284" s="100" t="s">
        <v>201</v>
      </c>
      <c r="N284" s="100" t="s">
        <v>76</v>
      </c>
      <c r="O284" s="100" t="e">
        <f>VLOOKUP(Tabla15[[#This Row],[Matricula Antigua]],BAJA2022202320242025!$B$3:$CR$245,93,FALSE)</f>
        <v>#N/A</v>
      </c>
      <c r="P284" s="315">
        <v>44716</v>
      </c>
      <c r="Q284" s="315" t="e">
        <f>Tabla15[[#This Row],[F.Vig.Final]]-Tabla15[[#This Row],[f Vig Inicio]]</f>
        <v>#N/A</v>
      </c>
      <c r="R284" s="315">
        <f>YEAR(Tabla15[[#This Row],[F.Vig.Final]])</f>
        <v>2022</v>
      </c>
      <c r="S284" s="100" t="s">
        <v>77</v>
      </c>
      <c r="T284" s="100" t="s">
        <v>78</v>
      </c>
      <c r="U284" s="100" t="s">
        <v>359</v>
      </c>
      <c r="V284" s="100" t="s">
        <v>593</v>
      </c>
      <c r="W284" s="100" t="s">
        <v>102</v>
      </c>
      <c r="X284" s="100" t="s">
        <v>103</v>
      </c>
      <c r="Y284" s="100" t="s">
        <v>115</v>
      </c>
      <c r="Z284" s="98">
        <f>COUNTIF($X$3:X284, X284)</f>
        <v>8</v>
      </c>
      <c r="AA284" s="98"/>
      <c r="AB284" s="98"/>
      <c r="AC284" s="98"/>
      <c r="AD284" s="98"/>
      <c r="AE284" s="98"/>
      <c r="AF284" s="98"/>
      <c r="AG284" s="98"/>
      <c r="AH284" s="98"/>
      <c r="AI284" s="98" t="e">
        <v>#N/A</v>
      </c>
      <c r="AJ284" s="98" t="e">
        <v>#N/A</v>
      </c>
      <c r="AK284" s="98" t="e">
        <v>#N/A</v>
      </c>
      <c r="AL284" s="98" t="e">
        <v>#N/A</v>
      </c>
      <c r="AM284" s="98" t="e">
        <v>#N/A</v>
      </c>
      <c r="AN284" s="99" t="e">
        <v>#N/A</v>
      </c>
      <c r="AO284" s="99" t="e">
        <v>#N/A</v>
      </c>
      <c r="AP284" s="99" t="e">
        <f>Tabla15[[#This Row],[Renov. Flota]]-Tabla15[[#This Row],[Año]]</f>
        <v>#N/A</v>
      </c>
      <c r="AQ284" s="100" t="e">
        <v>#N/A</v>
      </c>
      <c r="AR284" s="100" t="e">
        <f>VLOOKUP(Tabla15[[#This Row],[Matricula nueva]],'ALTA 20242025'!$B$2:$P$242,15,FALSE)</f>
        <v>#N/A</v>
      </c>
      <c r="AS284" s="101" t="e">
        <v>#N/A</v>
      </c>
      <c r="AT284" s="101"/>
      <c r="AU284" s="101"/>
      <c r="AV284" s="101"/>
      <c r="AW284" s="101" t="e">
        <f>VLOOKUP(Tabla15[[#This Row],[Matricula nueva]],Hoja2!$A$1:$B$224,2,FALSE)</f>
        <v>#N/A</v>
      </c>
      <c r="AX284" s="101" t="str">
        <f>IF(Tabla15[[#This Row],[Columna2]]="M1",5.1,"")</f>
        <v/>
      </c>
      <c r="AY284" s="101"/>
      <c r="AZ284" s="101"/>
      <c r="BA284" s="311">
        <f>IF(Tabla15[[#This Row],[Columna2]]="M1",13073,IF(Tabla15[[#This Row],[Columna2]]="N1",15815,IF(Tabla15[[#This Row],[Columna2]]="L3e",2831,53508)))</f>
        <v>53508</v>
      </c>
      <c r="BB284" s="311" t="e">
        <f>(Tabla15[[#This Row],[CVA]]*Tabla15[[#This Row],[F]]-Tabla15[[#This Row],[CVN]])/100*Tabla15[[#This Row],[L]]</f>
        <v>#VALUE!</v>
      </c>
      <c r="BC284" s="1"/>
      <c r="BD284" s="1" t="e">
        <f>VLOOKUP(B284,Tabla467824[[ID CAE2]:[AE '[kWh']]],6,FALSE)</f>
        <v>#N/A</v>
      </c>
      <c r="BE28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5" spans="1:57" ht="15.75" hidden="1" thickBot="1" x14ac:dyDescent="0.3">
      <c r="A285" s="101"/>
      <c r="B285" s="53" t="e">
        <v>#N/A</v>
      </c>
      <c r="C285" s="100" t="s">
        <v>1495</v>
      </c>
      <c r="D285" s="100"/>
      <c r="E285" s="100"/>
      <c r="F285" s="100"/>
      <c r="G285" s="100"/>
      <c r="H285" s="100"/>
      <c r="I285" s="100"/>
      <c r="J285" s="100"/>
      <c r="K285" s="100" t="s">
        <v>73</v>
      </c>
      <c r="L285" s="100" t="s">
        <v>200</v>
      </c>
      <c r="M285" s="100" t="s">
        <v>201</v>
      </c>
      <c r="N285" s="100" t="s">
        <v>76</v>
      </c>
      <c r="O285" s="100" t="e">
        <f>VLOOKUP(Tabla15[[#This Row],[Matricula Antigua]],BAJA2022202320242025!$B$3:$CR$245,93,FALSE)</f>
        <v>#N/A</v>
      </c>
      <c r="P285" s="315">
        <v>44716</v>
      </c>
      <c r="Q285" s="315" t="e">
        <f>Tabla15[[#This Row],[F.Vig.Final]]-Tabla15[[#This Row],[f Vig Inicio]]</f>
        <v>#N/A</v>
      </c>
      <c r="R285" s="315">
        <f>YEAR(Tabla15[[#This Row],[F.Vig.Final]])</f>
        <v>2022</v>
      </c>
      <c r="S285" s="100" t="s">
        <v>77</v>
      </c>
      <c r="T285" s="100" t="s">
        <v>78</v>
      </c>
      <c r="U285" s="100" t="s">
        <v>359</v>
      </c>
      <c r="V285" s="100" t="s">
        <v>1496</v>
      </c>
      <c r="W285" s="100" t="s">
        <v>102</v>
      </c>
      <c r="X285" s="100" t="s">
        <v>103</v>
      </c>
      <c r="Y285" s="100" t="s">
        <v>457</v>
      </c>
      <c r="Z285" s="98">
        <f>COUNTIF($X$3:X285, X285)</f>
        <v>9</v>
      </c>
      <c r="AA285" s="98"/>
      <c r="AB285" s="98"/>
      <c r="AC285" s="98"/>
      <c r="AD285" s="98"/>
      <c r="AE285" s="98"/>
      <c r="AF285" s="98"/>
      <c r="AG285" s="98"/>
      <c r="AH285" s="98"/>
      <c r="AI285" s="98" t="e">
        <v>#N/A</v>
      </c>
      <c r="AJ285" s="98" t="e">
        <v>#N/A</v>
      </c>
      <c r="AK285" s="98" t="e">
        <v>#N/A</v>
      </c>
      <c r="AL285" s="98" t="e">
        <v>#N/A</v>
      </c>
      <c r="AM285" s="98" t="e">
        <v>#N/A</v>
      </c>
      <c r="AN285" s="99" t="e">
        <v>#N/A</v>
      </c>
      <c r="AO285" s="99" t="e">
        <v>#N/A</v>
      </c>
      <c r="AP285" s="99" t="e">
        <f>Tabla15[[#This Row],[Renov. Flota]]-Tabla15[[#This Row],[Año]]</f>
        <v>#N/A</v>
      </c>
      <c r="AQ285" s="100" t="e">
        <v>#N/A</v>
      </c>
      <c r="AR285" s="100" t="e">
        <f>VLOOKUP(Tabla15[[#This Row],[Matricula nueva]],'ALTA 20242025'!$B$2:$P$242,15,FALSE)</f>
        <v>#N/A</v>
      </c>
      <c r="AS285" s="101" t="e">
        <v>#N/A</v>
      </c>
      <c r="AT285" s="101"/>
      <c r="AU285" s="101"/>
      <c r="AV285" s="101"/>
      <c r="AW285" s="101" t="e">
        <f>VLOOKUP(Tabla15[[#This Row],[Matricula nueva]],Hoja2!$A$1:$B$224,2,FALSE)</f>
        <v>#N/A</v>
      </c>
      <c r="AX285" s="101" t="str">
        <f>IF(Tabla15[[#This Row],[Columna2]]="M1",5.1,"")</f>
        <v/>
      </c>
      <c r="AY285" s="101"/>
      <c r="AZ285" s="101"/>
      <c r="BA285" s="311">
        <f>IF(Tabla15[[#This Row],[Columna2]]="M1",13073,IF(Tabla15[[#This Row],[Columna2]]="N1",15815,IF(Tabla15[[#This Row],[Columna2]]="L3e",2831,53508)))</f>
        <v>53508</v>
      </c>
      <c r="BB285" s="311" t="e">
        <f>(Tabla15[[#This Row],[CVA]]*Tabla15[[#This Row],[F]]-Tabla15[[#This Row],[CVN]])/100*Tabla15[[#This Row],[L]]</f>
        <v>#VALUE!</v>
      </c>
      <c r="BC285" s="1"/>
      <c r="BD285" s="1" t="e">
        <f>VLOOKUP(B285,Tabla467824[[ID CAE2]:[AE '[kWh']]],6,FALSE)</f>
        <v>#N/A</v>
      </c>
      <c r="BE28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6" spans="1:57" ht="15.75" hidden="1" thickBot="1" x14ac:dyDescent="0.3">
      <c r="A286" s="101"/>
      <c r="B286" s="53" t="e">
        <v>#N/A</v>
      </c>
      <c r="C286" s="100" t="s">
        <v>1497</v>
      </c>
      <c r="D286" s="100"/>
      <c r="E286" s="100"/>
      <c r="F286" s="100"/>
      <c r="G286" s="100"/>
      <c r="H286" s="100"/>
      <c r="I286" s="100"/>
      <c r="J286" s="100"/>
      <c r="K286" s="100" t="s">
        <v>1034</v>
      </c>
      <c r="L286" s="100" t="s">
        <v>200</v>
      </c>
      <c r="M286" s="100" t="s">
        <v>201</v>
      </c>
      <c r="N286" s="100" t="s">
        <v>76</v>
      </c>
      <c r="O286" s="100" t="e">
        <f>VLOOKUP(Tabla15[[#This Row],[Matricula Antigua]],BAJA2022202320242025!$B$3:$CR$245,93,FALSE)</f>
        <v>#N/A</v>
      </c>
      <c r="P286" s="315">
        <v>44823</v>
      </c>
      <c r="Q286" s="315" t="e">
        <f>Tabla15[[#This Row],[F.Vig.Final]]-Tabla15[[#This Row],[f Vig Inicio]]</f>
        <v>#N/A</v>
      </c>
      <c r="R286" s="315">
        <f>YEAR(Tabla15[[#This Row],[F.Vig.Final]])</f>
        <v>2022</v>
      </c>
      <c r="S286" s="100" t="s">
        <v>77</v>
      </c>
      <c r="T286" s="100" t="s">
        <v>78</v>
      </c>
      <c r="U286" s="100" t="s">
        <v>416</v>
      </c>
      <c r="V286" s="100" t="s">
        <v>1498</v>
      </c>
      <c r="W286" s="100" t="s">
        <v>336</v>
      </c>
      <c r="X286" s="100" t="s">
        <v>337</v>
      </c>
      <c r="Y286" s="100" t="s">
        <v>1499</v>
      </c>
      <c r="Z286" s="98">
        <f>COUNTIF($X$3:X286, X286)</f>
        <v>28</v>
      </c>
      <c r="AA286" s="98"/>
      <c r="AB286" s="98"/>
      <c r="AC286" s="98"/>
      <c r="AD286" s="98"/>
      <c r="AE286" s="98"/>
      <c r="AF286" s="98"/>
      <c r="AG286" s="98"/>
      <c r="AH286" s="98"/>
      <c r="AI286" s="98" t="e">
        <v>#N/A</v>
      </c>
      <c r="AJ286" s="98" t="e">
        <v>#N/A</v>
      </c>
      <c r="AK286" s="98" t="e">
        <v>#N/A</v>
      </c>
      <c r="AL286" s="98" t="e">
        <v>#N/A</v>
      </c>
      <c r="AM286" s="98" t="e">
        <v>#N/A</v>
      </c>
      <c r="AN286" s="99" t="e">
        <v>#N/A</v>
      </c>
      <c r="AO286" s="99" t="e">
        <v>#N/A</v>
      </c>
      <c r="AP286" s="99" t="e">
        <f>Tabla15[[#This Row],[Renov. Flota]]-Tabla15[[#This Row],[Año]]</f>
        <v>#N/A</v>
      </c>
      <c r="AQ286" s="100" t="e">
        <v>#N/A</v>
      </c>
      <c r="AR286" s="100" t="e">
        <f>VLOOKUP(Tabla15[[#This Row],[Matricula nueva]],'ALTA 20242025'!$B$2:$P$242,15,FALSE)</f>
        <v>#N/A</v>
      </c>
      <c r="AS286" s="101" t="e">
        <v>#N/A</v>
      </c>
      <c r="AT286" s="101"/>
      <c r="AU286" s="101"/>
      <c r="AV286" s="101"/>
      <c r="AW286" s="101" t="e">
        <f>VLOOKUP(Tabla15[[#This Row],[Matricula nueva]],Hoja2!$A$1:$B$224,2,FALSE)</f>
        <v>#N/A</v>
      </c>
      <c r="AX286" s="101" t="str">
        <f>IF(Tabla15[[#This Row],[Columna2]]="M1",5.1,"")</f>
        <v/>
      </c>
      <c r="AY286" s="101"/>
      <c r="AZ286" s="101"/>
      <c r="BA286" s="311">
        <f>IF(Tabla15[[#This Row],[Columna2]]="M1",13073,IF(Tabla15[[#This Row],[Columna2]]="N1",15815,IF(Tabla15[[#This Row],[Columna2]]="L3e",2831,53508)))</f>
        <v>53508</v>
      </c>
      <c r="BB286" s="311" t="e">
        <f>(Tabla15[[#This Row],[CVA]]*Tabla15[[#This Row],[F]]-Tabla15[[#This Row],[CVN]])/100*Tabla15[[#This Row],[L]]</f>
        <v>#VALUE!</v>
      </c>
      <c r="BC286" s="1"/>
      <c r="BD286" s="1" t="e">
        <f>VLOOKUP(B286,Tabla467824[[ID CAE2]:[AE '[kWh']]],6,FALSE)</f>
        <v>#N/A</v>
      </c>
      <c r="BE28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7" spans="1:57" ht="15.75" hidden="1" thickBot="1" x14ac:dyDescent="0.3">
      <c r="A287" s="101"/>
      <c r="B287" s="53" t="e">
        <v>#N/A</v>
      </c>
      <c r="C287" s="100" t="s">
        <v>1500</v>
      </c>
      <c r="D287" s="100"/>
      <c r="E287" s="100"/>
      <c r="F287" s="100"/>
      <c r="G287" s="100"/>
      <c r="H287" s="100"/>
      <c r="I287" s="100"/>
      <c r="J287" s="100"/>
      <c r="K287" s="100" t="s">
        <v>73</v>
      </c>
      <c r="L287" s="100" t="s">
        <v>200</v>
      </c>
      <c r="M287" s="100" t="s">
        <v>201</v>
      </c>
      <c r="N287" s="100" t="s">
        <v>76</v>
      </c>
      <c r="O287" s="100" t="e">
        <f>VLOOKUP(Tabla15[[#This Row],[Matricula Antigua]],BAJA2022202320242025!$B$3:$CR$245,93,FALSE)</f>
        <v>#N/A</v>
      </c>
      <c r="P287" s="315">
        <v>44809</v>
      </c>
      <c r="Q287" s="315" t="e">
        <f>Tabla15[[#This Row],[F.Vig.Final]]-Tabla15[[#This Row],[f Vig Inicio]]</f>
        <v>#N/A</v>
      </c>
      <c r="R287" s="315">
        <f>YEAR(Tabla15[[#This Row],[F.Vig.Final]])</f>
        <v>2022</v>
      </c>
      <c r="S287" s="100" t="s">
        <v>77</v>
      </c>
      <c r="T287" s="100" t="s">
        <v>78</v>
      </c>
      <c r="U287" s="100" t="s">
        <v>467</v>
      </c>
      <c r="V287" s="100" t="s">
        <v>476</v>
      </c>
      <c r="W287" s="100" t="s">
        <v>584</v>
      </c>
      <c r="X287" s="100" t="s">
        <v>585</v>
      </c>
      <c r="Y287" s="100" t="s">
        <v>1501</v>
      </c>
      <c r="Z287" s="98">
        <f>COUNTIF($X$3:X287, X287)</f>
        <v>21</v>
      </c>
      <c r="AA287" s="98"/>
      <c r="AB287" s="98"/>
      <c r="AC287" s="98"/>
      <c r="AD287" s="98"/>
      <c r="AE287" s="320"/>
      <c r="AF287" s="320"/>
      <c r="AG287" s="320"/>
      <c r="AH287" s="98"/>
      <c r="AI287" s="98" t="e">
        <v>#N/A</v>
      </c>
      <c r="AJ287" s="98" t="e">
        <v>#N/A</v>
      </c>
      <c r="AK287" s="98" t="e">
        <v>#N/A</v>
      </c>
      <c r="AL287" s="98" t="e">
        <v>#N/A</v>
      </c>
      <c r="AM287" s="98" t="e">
        <v>#N/A</v>
      </c>
      <c r="AN287" s="99" t="e">
        <v>#N/A</v>
      </c>
      <c r="AO287" s="99" t="e">
        <v>#N/A</v>
      </c>
      <c r="AP287" s="99" t="e">
        <f>Tabla15[[#This Row],[Renov. Flota]]-Tabla15[[#This Row],[Año]]</f>
        <v>#N/A</v>
      </c>
      <c r="AQ287" s="100" t="e">
        <v>#N/A</v>
      </c>
      <c r="AR287" s="100" t="e">
        <f>VLOOKUP(Tabla15[[#This Row],[Matricula nueva]],'ALTA 20242025'!$B$2:$P$242,15,FALSE)</f>
        <v>#N/A</v>
      </c>
      <c r="AS287" s="101" t="e">
        <v>#N/A</v>
      </c>
      <c r="AT287" s="101"/>
      <c r="AU287" s="101"/>
      <c r="AV287" s="101"/>
      <c r="AW287" s="101" t="e">
        <f>VLOOKUP(Tabla15[[#This Row],[Matricula nueva]],Hoja2!$A$1:$B$224,2,FALSE)</f>
        <v>#N/A</v>
      </c>
      <c r="AX287" s="101" t="str">
        <f>IF(Tabla15[[#This Row],[Columna2]]="M1",5.1,"")</f>
        <v/>
      </c>
      <c r="AY287" s="101"/>
      <c r="AZ287" s="101"/>
      <c r="BA287" s="311">
        <f>IF(Tabla15[[#This Row],[Columna2]]="M1",13073,IF(Tabla15[[#This Row],[Columna2]]="N1",15815,IF(Tabla15[[#This Row],[Columna2]]="L3e",2831,53508)))</f>
        <v>53508</v>
      </c>
      <c r="BB287" s="311" t="e">
        <f>(Tabla15[[#This Row],[CVA]]*Tabla15[[#This Row],[F]]-Tabla15[[#This Row],[CVN]])/100*Tabla15[[#This Row],[L]]</f>
        <v>#VALUE!</v>
      </c>
      <c r="BC287" s="1"/>
      <c r="BD287" s="1" t="e">
        <f>VLOOKUP(B287,Tabla467824[[ID CAE2]:[AE '[kWh']]],6,FALSE)</f>
        <v>#N/A</v>
      </c>
      <c r="BE28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88" spans="1:57" ht="52.5" thickBot="1" x14ac:dyDescent="0.3">
      <c r="A288" s="53" t="s">
        <v>1099</v>
      </c>
      <c r="B288" s="53" t="s">
        <v>1099</v>
      </c>
      <c r="C288" s="332" t="s">
        <v>1100</v>
      </c>
      <c r="D288" s="104" t="s">
        <v>72</v>
      </c>
      <c r="E288" s="104" t="s">
        <v>72</v>
      </c>
      <c r="F288" s="104" t="s">
        <v>72</v>
      </c>
      <c r="G288" s="104"/>
      <c r="H288" s="104" t="s">
        <v>72</v>
      </c>
      <c r="I288" s="104" t="s">
        <v>72</v>
      </c>
      <c r="J288" s="104"/>
      <c r="K288" s="96" t="s">
        <v>1034</v>
      </c>
      <c r="L288" s="96" t="s">
        <v>200</v>
      </c>
      <c r="M288" s="96" t="s">
        <v>201</v>
      </c>
      <c r="N288" s="96" t="s">
        <v>76</v>
      </c>
      <c r="O288" s="101">
        <f>VLOOKUP(Tabla15[[#This Row],[Matricula Antigua]],BAJA2022202320242025!$B$3:$CR$245,93,FALSE)</f>
        <v>43663</v>
      </c>
      <c r="P288" s="316">
        <v>45124</v>
      </c>
      <c r="Q288" s="317">
        <f>Tabla15[[#This Row],[F.Vig.Final]]-Tabla15[[#This Row],[f Vig Inicio]]</f>
        <v>1461</v>
      </c>
      <c r="R288" s="318">
        <f>YEAR(Tabla15[[#This Row],[F.Vig.Final]])</f>
        <v>2023</v>
      </c>
      <c r="S288" s="96" t="s">
        <v>77</v>
      </c>
      <c r="T288" s="96" t="s">
        <v>78</v>
      </c>
      <c r="U288" s="96" t="s">
        <v>524</v>
      </c>
      <c r="V288" s="96" t="s">
        <v>1101</v>
      </c>
      <c r="W288" s="96" t="s">
        <v>102</v>
      </c>
      <c r="X288" s="332" t="s">
        <v>1667</v>
      </c>
      <c r="Y288" s="96" t="s">
        <v>1102</v>
      </c>
      <c r="Z288" s="98">
        <f>COUNTIF($X$3:X288, X288)</f>
        <v>45</v>
      </c>
      <c r="AA288" s="337" t="s">
        <v>1668</v>
      </c>
      <c r="AB288" s="337" t="s">
        <v>1668</v>
      </c>
      <c r="AC288" s="337" t="s">
        <v>1669</v>
      </c>
      <c r="AD288" s="358" t="s">
        <v>1670</v>
      </c>
      <c r="AE288" s="342" t="s">
        <v>1671</v>
      </c>
      <c r="AF288" s="337" t="s">
        <v>1672</v>
      </c>
      <c r="AG288" s="344" t="s">
        <v>1673</v>
      </c>
      <c r="AH288" s="337" t="s">
        <v>1649</v>
      </c>
      <c r="AI288" s="337" t="s">
        <v>1103</v>
      </c>
      <c r="AJ288" s="98" t="s">
        <v>85</v>
      </c>
      <c r="AK288" s="98" t="s">
        <v>340</v>
      </c>
      <c r="AL288" s="98" t="s">
        <v>87</v>
      </c>
      <c r="AM288" s="101" t="s">
        <v>567</v>
      </c>
      <c r="AN288" s="348" t="s">
        <v>108</v>
      </c>
      <c r="AO288" s="349">
        <v>44927</v>
      </c>
      <c r="AP288" s="98">
        <f>Tabla15[[#This Row],[Renov. Flota]]-Tabla15[[#This Row],[Año]]</f>
        <v>0</v>
      </c>
      <c r="AQ288" s="100" t="s">
        <v>102</v>
      </c>
      <c r="AR288" s="100">
        <v>4500349878</v>
      </c>
      <c r="AS288" s="101" t="s">
        <v>103</v>
      </c>
      <c r="AT288" s="101"/>
      <c r="AU288" s="101" t="s">
        <v>72</v>
      </c>
      <c r="AV288" s="101" t="s">
        <v>109</v>
      </c>
      <c r="AW288" s="101" t="s">
        <v>1104</v>
      </c>
      <c r="AX288" s="209">
        <f>IF(Tabla15[[#This Row],[Columna2]]="M1",5.1,"")</f>
        <v>5.0999999999999996</v>
      </c>
      <c r="AY288" s="208">
        <f>IF(T288="DIESEL",10,IF(T288="GLP",7.16,9.19))</f>
        <v>10</v>
      </c>
      <c r="AZ288" s="313">
        <v>13.3</v>
      </c>
      <c r="BA288" s="314">
        <f>IF(Tabla15[[#This Row],[Columna2]]="M1",13073,IF(Tabla15[[#This Row],[Columna2]]="N1",15815,IF(Tabla15[[#This Row],[Columna2]]="L3e",2831,53508)))</f>
        <v>13073</v>
      </c>
      <c r="BB288" s="350">
        <f>(Tabla15[[#This Row],[CVA]]*Tabla15[[#This Row],[F]]-Tabla15[[#This Row],[CVN]])/100*Tabla15[[#This Row],[L]]</f>
        <v>4928.5209999999997</v>
      </c>
      <c r="BC288" s="84" t="s">
        <v>70</v>
      </c>
      <c r="BD288" s="294">
        <f>VLOOKUP(B288,Tabla467824[[ID CAE2]:[AE '[kWh']]],6,FALSE)</f>
        <v>6795.3454000000002</v>
      </c>
      <c r="BE28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289" spans="1:57" ht="15.75" hidden="1" thickBot="1" x14ac:dyDescent="0.3">
      <c r="A289" s="53" t="s">
        <v>1465</v>
      </c>
      <c r="B289" s="53" t="e">
        <v>#N/A</v>
      </c>
      <c r="C289" s="100" t="s">
        <v>1502</v>
      </c>
      <c r="D289" s="100"/>
      <c r="E289" s="100"/>
      <c r="F289" s="100"/>
      <c r="G289" s="100"/>
      <c r="H289" s="100"/>
      <c r="I289" s="100"/>
      <c r="J289" s="100"/>
      <c r="K289" s="100" t="s">
        <v>73</v>
      </c>
      <c r="L289" s="100" t="s">
        <v>200</v>
      </c>
      <c r="M289" s="100" t="s">
        <v>201</v>
      </c>
      <c r="N289" s="100" t="s">
        <v>76</v>
      </c>
      <c r="O289" s="100" t="e">
        <f>VLOOKUP(Tabla15[[#This Row],[Matricula Antigua]],BAJA2022202320242025!$B$3:$CR$245,93,FALSE)</f>
        <v>#N/A</v>
      </c>
      <c r="P289" s="315">
        <v>44821</v>
      </c>
      <c r="Q289" s="315" t="e">
        <f>Tabla15[[#This Row],[F.Vig.Final]]-Tabla15[[#This Row],[f Vig Inicio]]</f>
        <v>#N/A</v>
      </c>
      <c r="R289" s="315">
        <f>YEAR(Tabla15[[#This Row],[F.Vig.Final]])</f>
        <v>2022</v>
      </c>
      <c r="S289" s="100" t="s">
        <v>77</v>
      </c>
      <c r="T289" s="100" t="s">
        <v>78</v>
      </c>
      <c r="U289" s="100" t="s">
        <v>359</v>
      </c>
      <c r="V289" s="100" t="s">
        <v>604</v>
      </c>
      <c r="W289" s="100" t="s">
        <v>131</v>
      </c>
      <c r="X289" s="100" t="s">
        <v>132</v>
      </c>
      <c r="Y289" s="100" t="s">
        <v>622</v>
      </c>
      <c r="Z289" s="98">
        <f>COUNTIF($X$3:X289, X289)</f>
        <v>37</v>
      </c>
      <c r="AA289" s="98"/>
      <c r="AB289" s="98"/>
      <c r="AC289" s="98"/>
      <c r="AD289" s="98"/>
      <c r="AE289" s="322"/>
      <c r="AF289" s="322"/>
      <c r="AG289" s="98"/>
      <c r="AH289" s="98"/>
      <c r="AI289" s="98" t="e">
        <v>#N/A</v>
      </c>
      <c r="AJ289" s="98" t="e">
        <v>#N/A</v>
      </c>
      <c r="AK289" s="98" t="e">
        <v>#N/A</v>
      </c>
      <c r="AL289" s="98" t="e">
        <v>#N/A</v>
      </c>
      <c r="AM289" s="98" t="e">
        <v>#N/A</v>
      </c>
      <c r="AN289" s="99" t="e">
        <v>#N/A</v>
      </c>
      <c r="AO289" s="99" t="e">
        <v>#N/A</v>
      </c>
      <c r="AP289" s="99" t="e">
        <f>Tabla15[[#This Row],[Renov. Flota]]-Tabla15[[#This Row],[Año]]</f>
        <v>#N/A</v>
      </c>
      <c r="AQ289" s="100" t="e">
        <v>#N/A</v>
      </c>
      <c r="AR289" s="100" t="e">
        <f>VLOOKUP(Tabla15[[#This Row],[Matricula nueva]],'ALTA 20242025'!$B$2:$P$242,15,FALSE)</f>
        <v>#N/A</v>
      </c>
      <c r="AS289" s="101" t="e">
        <v>#N/A</v>
      </c>
      <c r="AT289" s="101"/>
      <c r="AU289" s="101"/>
      <c r="AV289" s="101"/>
      <c r="AW289" s="101" t="e">
        <f>VLOOKUP(Tabla15[[#This Row],[Matricula nueva]],Hoja2!$A$1:$B$224,2,FALSE)</f>
        <v>#N/A</v>
      </c>
      <c r="AX289" s="101" t="str">
        <f>IF(Tabla15[[#This Row],[Columna2]]="M1",5.1,"")</f>
        <v/>
      </c>
      <c r="AY289" s="101"/>
      <c r="AZ289" s="101"/>
      <c r="BA289" s="311">
        <f>IF(Tabla15[[#This Row],[Columna2]]="M1",13073,IF(Tabla15[[#This Row],[Columna2]]="N1",15815,IF(Tabla15[[#This Row],[Columna2]]="L3e",2831,53508)))</f>
        <v>53508</v>
      </c>
      <c r="BB289" s="311" t="e">
        <f>(Tabla15[[#This Row],[CVA]]*Tabla15[[#This Row],[F]]-Tabla15[[#This Row],[CVN]])/100*Tabla15[[#This Row],[L]]</f>
        <v>#VALUE!</v>
      </c>
      <c r="BC289" s="1"/>
      <c r="BD289" s="1" t="e">
        <f>VLOOKUP(B289,Tabla467824[[ID CAE2]:[AE '[kWh']]],6,FALSE)</f>
        <v>#N/A</v>
      </c>
      <c r="BE28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0" spans="1:57" ht="15.75" hidden="1" thickBot="1" x14ac:dyDescent="0.3">
      <c r="A290" s="53" t="s">
        <v>1468</v>
      </c>
      <c r="B290" s="53" t="e">
        <v>#N/A</v>
      </c>
      <c r="C290" s="96" t="s">
        <v>1503</v>
      </c>
      <c r="D290" s="96"/>
      <c r="E290" s="96"/>
      <c r="F290" s="96"/>
      <c r="G290" s="96"/>
      <c r="H290" s="96"/>
      <c r="I290" s="96"/>
      <c r="J290" s="96"/>
      <c r="K290" s="96" t="s">
        <v>73</v>
      </c>
      <c r="L290" s="96" t="s">
        <v>200</v>
      </c>
      <c r="M290" s="96" t="s">
        <v>201</v>
      </c>
      <c r="N290" s="96" t="s">
        <v>76</v>
      </c>
      <c r="O290" s="101">
        <f>VLOOKUP(Tabla15[[#This Row],[Matricula Antigua]],BAJA2022202320242025!$B$3:$CR$245,93,FALSE)</f>
        <v>44266</v>
      </c>
      <c r="P290" s="99">
        <v>45747</v>
      </c>
      <c r="Q290" s="99">
        <f>Tabla15[[#This Row],[F.Vig.Final]]-Tabla15[[#This Row],[f Vig Inicio]]</f>
        <v>1481</v>
      </c>
      <c r="R290" s="99">
        <f>YEAR(Tabla15[[#This Row],[F.Vig.Final]])</f>
        <v>2025</v>
      </c>
      <c r="S290" s="96" t="s">
        <v>77</v>
      </c>
      <c r="T290" s="96" t="s">
        <v>78</v>
      </c>
      <c r="U290" s="96" t="s">
        <v>79</v>
      </c>
      <c r="V290" s="96" t="s">
        <v>924</v>
      </c>
      <c r="W290" s="96" t="s">
        <v>308</v>
      </c>
      <c r="X290" s="96" t="s">
        <v>309</v>
      </c>
      <c r="Y290" s="96" t="s">
        <v>1504</v>
      </c>
      <c r="Z290" s="98">
        <f>COUNTIF($X$3:X290, X290)</f>
        <v>8</v>
      </c>
      <c r="AA290" s="98"/>
      <c r="AB290" s="98"/>
      <c r="AC290" s="98"/>
      <c r="AD290" s="98"/>
      <c r="AE290" s="98"/>
      <c r="AF290" s="98"/>
      <c r="AG290" s="98"/>
      <c r="AH290" s="98"/>
      <c r="AI290" s="98" t="e">
        <v>#N/A</v>
      </c>
      <c r="AJ290" s="98" t="e">
        <v>#N/A</v>
      </c>
      <c r="AK290" s="98" t="e">
        <v>#N/A</v>
      </c>
      <c r="AL290" s="98" t="e">
        <v>#N/A</v>
      </c>
      <c r="AM290" s="98" t="e">
        <v>#N/A</v>
      </c>
      <c r="AN290" s="99" t="e">
        <v>#N/A</v>
      </c>
      <c r="AO290" s="99" t="e">
        <v>#N/A</v>
      </c>
      <c r="AP290" s="99" t="e">
        <f>Tabla15[[#This Row],[Renov. Flota]]-Tabla15[[#This Row],[Año]]</f>
        <v>#N/A</v>
      </c>
      <c r="AQ290" s="100" t="e">
        <v>#N/A</v>
      </c>
      <c r="AR290" s="100" t="e">
        <f>VLOOKUP(Tabla15[[#This Row],[Matricula nueva]],'ALTA 20242025'!$B$2:$P$242,15,FALSE)</f>
        <v>#N/A</v>
      </c>
      <c r="AS290" s="101" t="e">
        <v>#N/A</v>
      </c>
      <c r="AT290" s="101"/>
      <c r="AU290" s="101"/>
      <c r="AV290" s="101"/>
      <c r="AW290" s="101" t="e">
        <f>VLOOKUP(Tabla15[[#This Row],[Matricula nueva]],Hoja2!$A$1:$B$224,2,FALSE)</f>
        <v>#N/A</v>
      </c>
      <c r="AX290" s="101" t="str">
        <f>IF(Tabla15[[#This Row],[Columna2]]="M1",5.1,"")</f>
        <v/>
      </c>
      <c r="AY290" s="101"/>
      <c r="AZ290" s="101"/>
      <c r="BA290" s="311">
        <f>IF(Tabla15[[#This Row],[Columna2]]="M1",13073,IF(Tabla15[[#This Row],[Columna2]]="N1",15815,IF(Tabla15[[#This Row],[Columna2]]="L3e",2831,53508)))</f>
        <v>53508</v>
      </c>
      <c r="BB290" s="311" t="e">
        <f>(Tabla15[[#This Row],[CVA]]*Tabla15[[#This Row],[F]]-Tabla15[[#This Row],[CVN]])/100*Tabla15[[#This Row],[L]]</f>
        <v>#VALUE!</v>
      </c>
      <c r="BC290" s="1"/>
      <c r="BD290" s="1" t="e">
        <f>VLOOKUP(B290,Tabla467824[[ID CAE2]:[AE '[kWh']]],6,FALSE)</f>
        <v>#N/A</v>
      </c>
      <c r="BE29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1" spans="1:57" ht="15.75" hidden="1" thickBot="1" x14ac:dyDescent="0.3">
      <c r="A291" s="53" t="s">
        <v>1470</v>
      </c>
      <c r="B291" s="53" t="e">
        <v>#N/A</v>
      </c>
      <c r="C291" s="100" t="s">
        <v>1505</v>
      </c>
      <c r="D291" s="100"/>
      <c r="E291" s="100"/>
      <c r="F291" s="100"/>
      <c r="G291" s="100"/>
      <c r="H291" s="100"/>
      <c r="I291" s="100"/>
      <c r="J291" s="100"/>
      <c r="K291" s="100" t="s">
        <v>73</v>
      </c>
      <c r="L291" s="100" t="s">
        <v>200</v>
      </c>
      <c r="M291" s="100" t="s">
        <v>201</v>
      </c>
      <c r="N291" s="100" t="s">
        <v>76</v>
      </c>
      <c r="O291" s="100" t="e">
        <f>VLOOKUP(Tabla15[[#This Row],[Matricula Antigua]],BAJA2022202320242025!$B$3:$CR$245,93,FALSE)</f>
        <v>#N/A</v>
      </c>
      <c r="P291" s="315">
        <v>44716</v>
      </c>
      <c r="Q291" s="315" t="e">
        <f>Tabla15[[#This Row],[F.Vig.Final]]-Tabla15[[#This Row],[f Vig Inicio]]</f>
        <v>#N/A</v>
      </c>
      <c r="R291" s="315">
        <f>YEAR(Tabla15[[#This Row],[F.Vig.Final]])</f>
        <v>2022</v>
      </c>
      <c r="S291" s="100" t="s">
        <v>77</v>
      </c>
      <c r="T291" s="100" t="s">
        <v>78</v>
      </c>
      <c r="U291" s="100" t="s">
        <v>359</v>
      </c>
      <c r="V291" s="100" t="s">
        <v>593</v>
      </c>
      <c r="W291" s="100" t="s">
        <v>131</v>
      </c>
      <c r="X291" s="100" t="s">
        <v>132</v>
      </c>
      <c r="Y291" s="100" t="s">
        <v>318</v>
      </c>
      <c r="Z291" s="98">
        <f>COUNTIF($X$3:X291, X291)</f>
        <v>38</v>
      </c>
      <c r="AA291" s="98"/>
      <c r="AB291" s="98"/>
      <c r="AC291" s="98"/>
      <c r="AD291" s="98"/>
      <c r="AE291" s="98"/>
      <c r="AF291" s="98"/>
      <c r="AG291" s="98"/>
      <c r="AH291" s="98"/>
      <c r="AI291" s="98" t="e">
        <v>#N/A</v>
      </c>
      <c r="AJ291" s="98" t="e">
        <v>#N/A</v>
      </c>
      <c r="AK291" s="98" t="e">
        <v>#N/A</v>
      </c>
      <c r="AL291" s="98" t="e">
        <v>#N/A</v>
      </c>
      <c r="AM291" s="98" t="e">
        <v>#N/A</v>
      </c>
      <c r="AN291" s="99" t="e">
        <v>#N/A</v>
      </c>
      <c r="AO291" s="99" t="e">
        <v>#N/A</v>
      </c>
      <c r="AP291" s="99" t="e">
        <f>Tabla15[[#This Row],[Renov. Flota]]-Tabla15[[#This Row],[Año]]</f>
        <v>#N/A</v>
      </c>
      <c r="AQ291" s="100" t="e">
        <v>#N/A</v>
      </c>
      <c r="AR291" s="100" t="e">
        <f>VLOOKUP(Tabla15[[#This Row],[Matricula nueva]],'ALTA 20242025'!$B$2:$P$242,15,FALSE)</f>
        <v>#N/A</v>
      </c>
      <c r="AS291" s="101" t="e">
        <v>#N/A</v>
      </c>
      <c r="AT291" s="101"/>
      <c r="AU291" s="101"/>
      <c r="AV291" s="101"/>
      <c r="AW291" s="101" t="e">
        <f>VLOOKUP(Tabla15[[#This Row],[Matricula nueva]],Hoja2!$A$1:$B$224,2,FALSE)</f>
        <v>#N/A</v>
      </c>
      <c r="AX291" s="101" t="str">
        <f>IF(Tabla15[[#This Row],[Columna2]]="M1",5.1,"")</f>
        <v/>
      </c>
      <c r="AY291" s="101"/>
      <c r="AZ291" s="101"/>
      <c r="BA291" s="311">
        <f>IF(Tabla15[[#This Row],[Columna2]]="M1",13073,IF(Tabla15[[#This Row],[Columna2]]="N1",15815,IF(Tabla15[[#This Row],[Columna2]]="L3e",2831,53508)))</f>
        <v>53508</v>
      </c>
      <c r="BB291" s="311" t="e">
        <f>(Tabla15[[#This Row],[CVA]]*Tabla15[[#This Row],[F]]-Tabla15[[#This Row],[CVN]])/100*Tabla15[[#This Row],[L]]</f>
        <v>#VALUE!</v>
      </c>
      <c r="BC291" s="1"/>
      <c r="BD291" s="1" t="e">
        <f>VLOOKUP(B291,Tabla467824[[ID CAE2]:[AE '[kWh']]],6,FALSE)</f>
        <v>#N/A</v>
      </c>
      <c r="BE29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2" spans="1:57" ht="15.75" hidden="1" thickBot="1" x14ac:dyDescent="0.3">
      <c r="A292" s="53" t="s">
        <v>1473</v>
      </c>
      <c r="B292" s="53" t="e">
        <v>#N/A</v>
      </c>
      <c r="C292" s="100" t="s">
        <v>1506</v>
      </c>
      <c r="D292" s="100"/>
      <c r="E292" s="100"/>
      <c r="F292" s="100"/>
      <c r="G292" s="100"/>
      <c r="H292" s="100"/>
      <c r="I292" s="100"/>
      <c r="J292" s="100"/>
      <c r="K292" s="100" t="s">
        <v>1034</v>
      </c>
      <c r="L292" s="100" t="s">
        <v>200</v>
      </c>
      <c r="M292" s="100" t="s">
        <v>201</v>
      </c>
      <c r="N292" s="100" t="s">
        <v>76</v>
      </c>
      <c r="O292" s="100" t="e">
        <f>VLOOKUP(Tabla15[[#This Row],[Matricula Antigua]],BAJA2022202320242025!$B$3:$CR$245,93,FALSE)</f>
        <v>#N/A</v>
      </c>
      <c r="P292" s="315">
        <v>44621</v>
      </c>
      <c r="Q292" s="315" t="e">
        <f>Tabla15[[#This Row],[F.Vig.Final]]-Tabla15[[#This Row],[f Vig Inicio]]</f>
        <v>#N/A</v>
      </c>
      <c r="R292" s="315">
        <f>YEAR(Tabla15[[#This Row],[F.Vig.Final]])</f>
        <v>2022</v>
      </c>
      <c r="S292" s="100" t="s">
        <v>77</v>
      </c>
      <c r="T292" s="100" t="s">
        <v>78</v>
      </c>
      <c r="U292" s="100" t="s">
        <v>524</v>
      </c>
      <c r="V292" s="100" t="s">
        <v>1507</v>
      </c>
      <c r="W292" s="100" t="s">
        <v>1508</v>
      </c>
      <c r="X292" s="100" t="s">
        <v>1509</v>
      </c>
      <c r="Y292" s="100" t="s">
        <v>312</v>
      </c>
      <c r="Z292" s="98">
        <f>COUNTIF($X$3:X292, X292)</f>
        <v>1</v>
      </c>
      <c r="AA292" s="98"/>
      <c r="AB292" s="98"/>
      <c r="AC292" s="98"/>
      <c r="AD292" s="98"/>
      <c r="AE292" s="98"/>
      <c r="AF292" s="98"/>
      <c r="AG292" s="98"/>
      <c r="AH292" s="98"/>
      <c r="AI292" s="98" t="e">
        <v>#N/A</v>
      </c>
      <c r="AJ292" s="98" t="e">
        <v>#N/A</v>
      </c>
      <c r="AK292" s="98" t="e">
        <v>#N/A</v>
      </c>
      <c r="AL292" s="98" t="e">
        <v>#N/A</v>
      </c>
      <c r="AM292" s="98" t="e">
        <v>#N/A</v>
      </c>
      <c r="AN292" s="99" t="e">
        <v>#N/A</v>
      </c>
      <c r="AO292" s="99" t="e">
        <v>#N/A</v>
      </c>
      <c r="AP292" s="99" t="e">
        <f>Tabla15[[#This Row],[Renov. Flota]]-Tabla15[[#This Row],[Año]]</f>
        <v>#N/A</v>
      </c>
      <c r="AQ292" s="100" t="e">
        <v>#N/A</v>
      </c>
      <c r="AR292" s="100" t="e">
        <f>VLOOKUP(Tabla15[[#This Row],[Matricula nueva]],'ALTA 20242025'!$B$2:$P$242,15,FALSE)</f>
        <v>#N/A</v>
      </c>
      <c r="AS292" s="101" t="e">
        <v>#N/A</v>
      </c>
      <c r="AT292" s="101"/>
      <c r="AU292" s="101"/>
      <c r="AV292" s="101"/>
      <c r="AW292" s="101" t="e">
        <f>VLOOKUP(Tabla15[[#This Row],[Matricula nueva]],Hoja2!$A$1:$B$224,2,FALSE)</f>
        <v>#N/A</v>
      </c>
      <c r="AX292" s="101" t="str">
        <f>IF(Tabla15[[#This Row],[Columna2]]="M1",5.1,"")</f>
        <v/>
      </c>
      <c r="AY292" s="101"/>
      <c r="AZ292" s="101"/>
      <c r="BA292" s="311">
        <f>IF(Tabla15[[#This Row],[Columna2]]="M1",13073,IF(Tabla15[[#This Row],[Columna2]]="N1",15815,IF(Tabla15[[#This Row],[Columna2]]="L3e",2831,53508)))</f>
        <v>53508</v>
      </c>
      <c r="BB292" s="311" t="e">
        <f>(Tabla15[[#This Row],[CVA]]*Tabla15[[#This Row],[F]]-Tabla15[[#This Row],[CVN]])/100*Tabla15[[#This Row],[L]]</f>
        <v>#VALUE!</v>
      </c>
      <c r="BC292" s="1"/>
      <c r="BD292" s="1" t="e">
        <f>VLOOKUP(B292,Tabla467824[[ID CAE2]:[AE '[kWh']]],6,FALSE)</f>
        <v>#N/A</v>
      </c>
      <c r="BE29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3" spans="1:57" ht="15.75" hidden="1" thickBot="1" x14ac:dyDescent="0.3">
      <c r="A293" s="53" t="s">
        <v>1475</v>
      </c>
      <c r="B293" s="53" t="e">
        <v>#N/A</v>
      </c>
      <c r="C293" s="100" t="s">
        <v>1510</v>
      </c>
      <c r="D293" s="100"/>
      <c r="E293" s="100"/>
      <c r="F293" s="100"/>
      <c r="G293" s="100"/>
      <c r="H293" s="100"/>
      <c r="I293" s="100"/>
      <c r="J293" s="100"/>
      <c r="K293" s="100" t="s">
        <v>1034</v>
      </c>
      <c r="L293" s="100" t="s">
        <v>200</v>
      </c>
      <c r="M293" s="100" t="s">
        <v>201</v>
      </c>
      <c r="N293" s="100" t="s">
        <v>76</v>
      </c>
      <c r="O293" s="100" t="e">
        <f>VLOOKUP(Tabla15[[#This Row],[Matricula Antigua]],BAJA2022202320242025!$B$3:$CR$245,93,FALSE)</f>
        <v>#N/A</v>
      </c>
      <c r="P293" s="315">
        <v>44621</v>
      </c>
      <c r="Q293" s="315" t="e">
        <f>Tabla15[[#This Row],[F.Vig.Final]]-Tabla15[[#This Row],[f Vig Inicio]]</f>
        <v>#N/A</v>
      </c>
      <c r="R293" s="315">
        <f>YEAR(Tabla15[[#This Row],[F.Vig.Final]])</f>
        <v>2022</v>
      </c>
      <c r="S293" s="100" t="s">
        <v>77</v>
      </c>
      <c r="T293" s="100" t="s">
        <v>78</v>
      </c>
      <c r="U293" s="100" t="s">
        <v>524</v>
      </c>
      <c r="V293" s="100" t="s">
        <v>1507</v>
      </c>
      <c r="W293" s="100" t="s">
        <v>1508</v>
      </c>
      <c r="X293" s="100" t="s">
        <v>1509</v>
      </c>
      <c r="Y293" s="100" t="s">
        <v>312</v>
      </c>
      <c r="Z293" s="98">
        <f>COUNTIF($X$3:X293, X293)</f>
        <v>2</v>
      </c>
      <c r="AA293" s="98"/>
      <c r="AB293" s="98"/>
      <c r="AC293" s="98"/>
      <c r="AD293" s="98"/>
      <c r="AE293" s="98"/>
      <c r="AF293" s="98"/>
      <c r="AG293" s="98"/>
      <c r="AH293" s="98"/>
      <c r="AI293" s="98" t="e">
        <v>#N/A</v>
      </c>
      <c r="AJ293" s="98" t="e">
        <v>#N/A</v>
      </c>
      <c r="AK293" s="98" t="e">
        <v>#N/A</v>
      </c>
      <c r="AL293" s="98" t="e">
        <v>#N/A</v>
      </c>
      <c r="AM293" s="98" t="e">
        <v>#N/A</v>
      </c>
      <c r="AN293" s="99" t="e">
        <v>#N/A</v>
      </c>
      <c r="AO293" s="99" t="e">
        <v>#N/A</v>
      </c>
      <c r="AP293" s="99" t="e">
        <f>Tabla15[[#This Row],[Renov. Flota]]-Tabla15[[#This Row],[Año]]</f>
        <v>#N/A</v>
      </c>
      <c r="AQ293" s="100" t="e">
        <v>#N/A</v>
      </c>
      <c r="AR293" s="100" t="e">
        <f>VLOOKUP(Tabla15[[#This Row],[Matricula nueva]],'ALTA 20242025'!$B$2:$P$242,15,FALSE)</f>
        <v>#N/A</v>
      </c>
      <c r="AS293" s="101" t="e">
        <v>#N/A</v>
      </c>
      <c r="AT293" s="101"/>
      <c r="AU293" s="101"/>
      <c r="AV293" s="101"/>
      <c r="AW293" s="101" t="e">
        <f>VLOOKUP(Tabla15[[#This Row],[Matricula nueva]],Hoja2!$A$1:$B$224,2,FALSE)</f>
        <v>#N/A</v>
      </c>
      <c r="AX293" s="101" t="str">
        <f>IF(Tabla15[[#This Row],[Columna2]]="M1",5.1,"")</f>
        <v/>
      </c>
      <c r="AY293" s="101"/>
      <c r="AZ293" s="101"/>
      <c r="BA293" s="311">
        <f>IF(Tabla15[[#This Row],[Columna2]]="M1",13073,IF(Tabla15[[#This Row],[Columna2]]="N1",15815,IF(Tabla15[[#This Row],[Columna2]]="L3e",2831,53508)))</f>
        <v>53508</v>
      </c>
      <c r="BB293" s="311" t="e">
        <f>(Tabla15[[#This Row],[CVA]]*Tabla15[[#This Row],[F]]-Tabla15[[#This Row],[CVN]])/100*Tabla15[[#This Row],[L]]</f>
        <v>#VALUE!</v>
      </c>
      <c r="BC293" s="1"/>
      <c r="BD293" s="1" t="e">
        <f>VLOOKUP(B293,Tabla467824[[ID CAE2]:[AE '[kWh']]],6,FALSE)</f>
        <v>#N/A</v>
      </c>
      <c r="BE29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4" spans="1:57" ht="15.75" hidden="1" thickBot="1" x14ac:dyDescent="0.3">
      <c r="A294" s="53" t="s">
        <v>1478</v>
      </c>
      <c r="B294" s="53" t="e">
        <v>#N/A</v>
      </c>
      <c r="C294" s="100" t="s">
        <v>1511</v>
      </c>
      <c r="D294" s="100"/>
      <c r="E294" s="100"/>
      <c r="F294" s="100"/>
      <c r="G294" s="100"/>
      <c r="H294" s="100"/>
      <c r="I294" s="100"/>
      <c r="J294" s="100"/>
      <c r="K294" s="100" t="s">
        <v>73</v>
      </c>
      <c r="L294" s="100" t="s">
        <v>200</v>
      </c>
      <c r="M294" s="100" t="s">
        <v>201</v>
      </c>
      <c r="N294" s="100" t="s">
        <v>76</v>
      </c>
      <c r="O294" s="100" t="e">
        <f>VLOOKUP(Tabla15[[#This Row],[Matricula Antigua]],BAJA2022202320242025!$B$3:$CR$245,93,FALSE)</f>
        <v>#N/A</v>
      </c>
      <c r="P294" s="315">
        <v>44632</v>
      </c>
      <c r="Q294" s="315" t="e">
        <f>Tabla15[[#This Row],[F.Vig.Final]]-Tabla15[[#This Row],[f Vig Inicio]]</f>
        <v>#N/A</v>
      </c>
      <c r="R294" s="315">
        <f>YEAR(Tabla15[[#This Row],[F.Vig.Final]])</f>
        <v>2022</v>
      </c>
      <c r="S294" s="100" t="s">
        <v>77</v>
      </c>
      <c r="T294" s="100" t="s">
        <v>78</v>
      </c>
      <c r="U294" s="100" t="s">
        <v>1362</v>
      </c>
      <c r="V294" s="100" t="s">
        <v>1367</v>
      </c>
      <c r="W294" s="100" t="s">
        <v>1512</v>
      </c>
      <c r="X294" s="100" t="s">
        <v>1513</v>
      </c>
      <c r="Y294" s="100" t="s">
        <v>1514</v>
      </c>
      <c r="Z294" s="98">
        <f>COUNTIF($X$3:X294, X294)</f>
        <v>1</v>
      </c>
      <c r="AA294" s="98"/>
      <c r="AB294" s="98"/>
      <c r="AC294" s="98"/>
      <c r="AD294" s="98"/>
      <c r="AE294" s="98"/>
      <c r="AF294" s="98"/>
      <c r="AG294" s="98"/>
      <c r="AH294" s="98"/>
      <c r="AI294" s="98" t="e">
        <v>#N/A</v>
      </c>
      <c r="AJ294" s="98" t="e">
        <v>#N/A</v>
      </c>
      <c r="AK294" s="98" t="e">
        <v>#N/A</v>
      </c>
      <c r="AL294" s="98" t="e">
        <v>#N/A</v>
      </c>
      <c r="AM294" s="98" t="e">
        <v>#N/A</v>
      </c>
      <c r="AN294" s="99" t="e">
        <v>#N/A</v>
      </c>
      <c r="AO294" s="99" t="e">
        <v>#N/A</v>
      </c>
      <c r="AP294" s="99" t="e">
        <f>Tabla15[[#This Row],[Renov. Flota]]-Tabla15[[#This Row],[Año]]</f>
        <v>#N/A</v>
      </c>
      <c r="AQ294" s="100" t="e">
        <v>#N/A</v>
      </c>
      <c r="AR294" s="100" t="e">
        <f>VLOOKUP(Tabla15[[#This Row],[Matricula nueva]],'ALTA 20242025'!$B$2:$P$242,15,FALSE)</f>
        <v>#N/A</v>
      </c>
      <c r="AS294" s="101" t="e">
        <v>#N/A</v>
      </c>
      <c r="AT294" s="101"/>
      <c r="AU294" s="101"/>
      <c r="AV294" s="101"/>
      <c r="AW294" s="101" t="e">
        <f>VLOOKUP(Tabla15[[#This Row],[Matricula nueva]],Hoja2!$A$1:$B$224,2,FALSE)</f>
        <v>#N/A</v>
      </c>
      <c r="AX294" s="101" t="str">
        <f>IF(Tabla15[[#This Row],[Columna2]]="M1",5.1,"")</f>
        <v/>
      </c>
      <c r="AY294" s="101"/>
      <c r="AZ294" s="101"/>
      <c r="BA294" s="311">
        <f>IF(Tabla15[[#This Row],[Columna2]]="M1",13073,IF(Tabla15[[#This Row],[Columna2]]="N1",15815,IF(Tabla15[[#This Row],[Columna2]]="L3e",2831,53508)))</f>
        <v>53508</v>
      </c>
      <c r="BB294" s="311" t="e">
        <f>(Tabla15[[#This Row],[CVA]]*Tabla15[[#This Row],[F]]-Tabla15[[#This Row],[CVN]])/100*Tabla15[[#This Row],[L]]</f>
        <v>#VALUE!</v>
      </c>
      <c r="BC294" s="1"/>
      <c r="BD294" s="1" t="e">
        <f>VLOOKUP(B294,Tabla467824[[ID CAE2]:[AE '[kWh']]],6,FALSE)</f>
        <v>#N/A</v>
      </c>
      <c r="BE29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5" spans="1:57" ht="15.75" hidden="1" thickBot="1" x14ac:dyDescent="0.3">
      <c r="A295" s="53" t="s">
        <v>1481</v>
      </c>
      <c r="B295" s="53" t="e">
        <v>#N/A</v>
      </c>
      <c r="C295" s="100" t="s">
        <v>1515</v>
      </c>
      <c r="D295" s="100"/>
      <c r="E295" s="100"/>
      <c r="F295" s="100"/>
      <c r="G295" s="100"/>
      <c r="H295" s="100"/>
      <c r="I295" s="100"/>
      <c r="J295" s="100"/>
      <c r="K295" s="100" t="s">
        <v>73</v>
      </c>
      <c r="L295" s="100" t="s">
        <v>200</v>
      </c>
      <c r="M295" s="100" t="s">
        <v>201</v>
      </c>
      <c r="N295" s="100" t="s">
        <v>76</v>
      </c>
      <c r="O295" s="100" t="e">
        <f>VLOOKUP(Tabla15[[#This Row],[Matricula Antigua]],BAJA2022202320242025!$B$3:$CR$245,93,FALSE)</f>
        <v>#N/A</v>
      </c>
      <c r="P295" s="315">
        <v>44608</v>
      </c>
      <c r="Q295" s="315" t="e">
        <f>Tabla15[[#This Row],[F.Vig.Final]]-Tabla15[[#This Row],[f Vig Inicio]]</f>
        <v>#N/A</v>
      </c>
      <c r="R295" s="315">
        <f>YEAR(Tabla15[[#This Row],[F.Vig.Final]])</f>
        <v>2022</v>
      </c>
      <c r="S295" s="100" t="s">
        <v>77</v>
      </c>
      <c r="T295" s="100" t="s">
        <v>78</v>
      </c>
      <c r="U295" s="100" t="s">
        <v>359</v>
      </c>
      <c r="V295" s="100" t="s">
        <v>593</v>
      </c>
      <c r="W295" s="100" t="s">
        <v>119</v>
      </c>
      <c r="X295" s="100" t="s">
        <v>120</v>
      </c>
      <c r="Y295" s="100" t="s">
        <v>1516</v>
      </c>
      <c r="Z295" s="98">
        <f>COUNTIF($X$3:X295, X295)</f>
        <v>10</v>
      </c>
      <c r="AA295" s="98"/>
      <c r="AB295" s="98"/>
      <c r="AC295" s="98"/>
      <c r="AD295" s="98"/>
      <c r="AE295" s="98"/>
      <c r="AF295" s="98"/>
      <c r="AG295" s="98"/>
      <c r="AH295" s="98"/>
      <c r="AI295" s="98" t="e">
        <v>#N/A</v>
      </c>
      <c r="AJ295" s="98" t="e">
        <v>#N/A</v>
      </c>
      <c r="AK295" s="98" t="e">
        <v>#N/A</v>
      </c>
      <c r="AL295" s="98" t="e">
        <v>#N/A</v>
      </c>
      <c r="AM295" s="98" t="e">
        <v>#N/A</v>
      </c>
      <c r="AN295" s="99" t="e">
        <v>#N/A</v>
      </c>
      <c r="AO295" s="99" t="e">
        <v>#N/A</v>
      </c>
      <c r="AP295" s="99" t="e">
        <f>Tabla15[[#This Row],[Renov. Flota]]-Tabla15[[#This Row],[Año]]</f>
        <v>#N/A</v>
      </c>
      <c r="AQ295" s="100" t="e">
        <v>#N/A</v>
      </c>
      <c r="AR295" s="100" t="e">
        <f>VLOOKUP(Tabla15[[#This Row],[Matricula nueva]],'ALTA 20242025'!$B$2:$P$242,15,FALSE)</f>
        <v>#N/A</v>
      </c>
      <c r="AS295" s="101" t="e">
        <v>#N/A</v>
      </c>
      <c r="AT295" s="101"/>
      <c r="AU295" s="101"/>
      <c r="AV295" s="101"/>
      <c r="AW295" s="101" t="e">
        <f>VLOOKUP(Tabla15[[#This Row],[Matricula nueva]],Hoja2!$A$1:$B$224,2,FALSE)</f>
        <v>#N/A</v>
      </c>
      <c r="AX295" s="101" t="str">
        <f>IF(Tabla15[[#This Row],[Columna2]]="M1",5.1,"")</f>
        <v/>
      </c>
      <c r="AY295" s="101"/>
      <c r="AZ295" s="101"/>
      <c r="BA295" s="311">
        <f>IF(Tabla15[[#This Row],[Columna2]]="M1",13073,IF(Tabla15[[#This Row],[Columna2]]="N1",15815,IF(Tabla15[[#This Row],[Columna2]]="L3e",2831,53508)))</f>
        <v>53508</v>
      </c>
      <c r="BB295" s="311" t="e">
        <f>(Tabla15[[#This Row],[CVA]]*Tabla15[[#This Row],[F]]-Tabla15[[#This Row],[CVN]])/100*Tabla15[[#This Row],[L]]</f>
        <v>#VALUE!</v>
      </c>
      <c r="BC295" s="1"/>
      <c r="BD295" s="1" t="e">
        <f>VLOOKUP(B295,Tabla467824[[ID CAE2]:[AE '[kWh']]],6,FALSE)</f>
        <v>#N/A</v>
      </c>
      <c r="BE29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6" spans="1:57" ht="15.75" hidden="1" thickBot="1" x14ac:dyDescent="0.3">
      <c r="A296" s="53" t="s">
        <v>1483</v>
      </c>
      <c r="B296" s="53" t="e">
        <v>#N/A</v>
      </c>
      <c r="C296" s="96" t="s">
        <v>1517</v>
      </c>
      <c r="D296" s="96"/>
      <c r="E296" s="96"/>
      <c r="F296" s="96"/>
      <c r="G296" s="96"/>
      <c r="H296" s="96"/>
      <c r="I296" s="96"/>
      <c r="J296" s="96"/>
      <c r="K296" s="96" t="s">
        <v>73</v>
      </c>
      <c r="L296" s="96" t="s">
        <v>200</v>
      </c>
      <c r="M296" s="96" t="s">
        <v>201</v>
      </c>
      <c r="N296" s="96" t="s">
        <v>160</v>
      </c>
      <c r="O296" s="101">
        <f>VLOOKUP(Tabla15[[#This Row],[Matricula Antigua]],BAJA2022202320242025!$B$3:$CR$245,93,FALSE)</f>
        <v>44294</v>
      </c>
      <c r="P296" s="99">
        <v>45755</v>
      </c>
      <c r="Q296" s="99">
        <f>Tabla15[[#This Row],[F.Vig.Final]]-Tabla15[[#This Row],[f Vig Inicio]]</f>
        <v>1461</v>
      </c>
      <c r="R296" s="99">
        <f>YEAR(Tabla15[[#This Row],[F.Vig.Final]])</f>
        <v>2025</v>
      </c>
      <c r="S296" s="96" t="s">
        <v>161</v>
      </c>
      <c r="T296" s="96" t="s">
        <v>78</v>
      </c>
      <c r="U296" s="96" t="s">
        <v>79</v>
      </c>
      <c r="V296" s="96" t="s">
        <v>924</v>
      </c>
      <c r="W296" s="96" t="s">
        <v>102</v>
      </c>
      <c r="X296" s="96" t="s">
        <v>103</v>
      </c>
      <c r="Y296" s="96" t="s">
        <v>1518</v>
      </c>
      <c r="Z296" s="98">
        <f>COUNTIF($X$3:X296, X296)</f>
        <v>10</v>
      </c>
      <c r="AA296" s="98"/>
      <c r="AB296" s="98"/>
      <c r="AC296" s="98"/>
      <c r="AD296" s="98"/>
      <c r="AE296" s="98"/>
      <c r="AF296" s="98"/>
      <c r="AG296" s="98"/>
      <c r="AH296" s="98"/>
      <c r="AI296" s="98" t="e">
        <v>#N/A</v>
      </c>
      <c r="AJ296" s="98" t="e">
        <v>#N/A</v>
      </c>
      <c r="AK296" s="98" t="e">
        <v>#N/A</v>
      </c>
      <c r="AL296" s="98" t="e">
        <v>#N/A</v>
      </c>
      <c r="AM296" s="98" t="e">
        <v>#N/A</v>
      </c>
      <c r="AN296" s="99" t="e">
        <v>#N/A</v>
      </c>
      <c r="AO296" s="99" t="e">
        <v>#N/A</v>
      </c>
      <c r="AP296" s="99" t="e">
        <f>Tabla15[[#This Row],[Renov. Flota]]-Tabla15[[#This Row],[Año]]</f>
        <v>#N/A</v>
      </c>
      <c r="AQ296" s="100" t="e">
        <v>#N/A</v>
      </c>
      <c r="AR296" s="100" t="e">
        <f>VLOOKUP(Tabla15[[#This Row],[Matricula nueva]],'ALTA 20242025'!$B$2:$P$242,15,FALSE)</f>
        <v>#N/A</v>
      </c>
      <c r="AS296" s="101" t="e">
        <v>#N/A</v>
      </c>
      <c r="AT296" s="101"/>
      <c r="AU296" s="101"/>
      <c r="AV296" s="101"/>
      <c r="AW296" s="101" t="e">
        <f>VLOOKUP(Tabla15[[#This Row],[Matricula nueva]],Hoja2!$A$1:$B$224,2,FALSE)</f>
        <v>#N/A</v>
      </c>
      <c r="AX296" s="101" t="str">
        <f>IF(Tabla15[[#This Row],[Columna2]]="M1",5.1,"")</f>
        <v/>
      </c>
      <c r="AY296" s="101"/>
      <c r="AZ296" s="101"/>
      <c r="BA296" s="311">
        <f>IF(Tabla15[[#This Row],[Columna2]]="M1",13073,IF(Tabla15[[#This Row],[Columna2]]="N1",15815,IF(Tabla15[[#This Row],[Columna2]]="L3e",2831,53508)))</f>
        <v>53508</v>
      </c>
      <c r="BB296" s="311" t="e">
        <f>(Tabla15[[#This Row],[CVA]]*Tabla15[[#This Row],[F]]-Tabla15[[#This Row],[CVN]])/100*Tabla15[[#This Row],[L]]</f>
        <v>#VALUE!</v>
      </c>
      <c r="BC296" s="1"/>
      <c r="BD296" s="1" t="e">
        <f>VLOOKUP(B296,Tabla467824[[ID CAE2]:[AE '[kWh']]],6,FALSE)</f>
        <v>#N/A</v>
      </c>
      <c r="BE29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7" spans="1:57" ht="15.75" hidden="1" thickBot="1" x14ac:dyDescent="0.3">
      <c r="A297" s="53" t="s">
        <v>1485</v>
      </c>
      <c r="B297" s="53" t="e">
        <v>#N/A</v>
      </c>
      <c r="C297" s="100" t="s">
        <v>1519</v>
      </c>
      <c r="D297" s="100"/>
      <c r="E297" s="100"/>
      <c r="F297" s="100"/>
      <c r="G297" s="100"/>
      <c r="H297" s="100"/>
      <c r="I297" s="100"/>
      <c r="J297" s="100"/>
      <c r="K297" s="100" t="s">
        <v>73</v>
      </c>
      <c r="L297" s="100" t="s">
        <v>200</v>
      </c>
      <c r="M297" s="100" t="s">
        <v>201</v>
      </c>
      <c r="N297" s="100" t="s">
        <v>76</v>
      </c>
      <c r="O297" s="100" t="e">
        <f>VLOOKUP(Tabla15[[#This Row],[Matricula Antigua]],BAJA2022202320242025!$B$3:$CR$245,93,FALSE)</f>
        <v>#N/A</v>
      </c>
      <c r="P297" s="315">
        <v>44734</v>
      </c>
      <c r="Q297" s="315" t="e">
        <f>Tabla15[[#This Row],[F.Vig.Final]]-Tabla15[[#This Row],[f Vig Inicio]]</f>
        <v>#N/A</v>
      </c>
      <c r="R297" s="315">
        <f>YEAR(Tabla15[[#This Row],[F.Vig.Final]])</f>
        <v>2022</v>
      </c>
      <c r="S297" s="100" t="s">
        <v>77</v>
      </c>
      <c r="T297" s="100" t="s">
        <v>78</v>
      </c>
      <c r="U297" s="100" t="s">
        <v>359</v>
      </c>
      <c r="V297" s="100" t="s">
        <v>1520</v>
      </c>
      <c r="W297" s="100" t="s">
        <v>1521</v>
      </c>
      <c r="X297" s="100" t="s">
        <v>1522</v>
      </c>
      <c r="Y297" s="100" t="s">
        <v>1523</v>
      </c>
      <c r="Z297" s="98">
        <f>COUNTIF($X$3:X297, X297)</f>
        <v>1</v>
      </c>
      <c r="AA297" s="98"/>
      <c r="AB297" s="98"/>
      <c r="AC297" s="98"/>
      <c r="AD297" s="98"/>
      <c r="AE297" s="98"/>
      <c r="AF297" s="98"/>
      <c r="AG297" s="98"/>
      <c r="AH297" s="98"/>
      <c r="AI297" s="98" t="e">
        <v>#N/A</v>
      </c>
      <c r="AJ297" s="98" t="e">
        <v>#N/A</v>
      </c>
      <c r="AK297" s="98" t="e">
        <v>#N/A</v>
      </c>
      <c r="AL297" s="98" t="e">
        <v>#N/A</v>
      </c>
      <c r="AM297" s="98" t="e">
        <v>#N/A</v>
      </c>
      <c r="AN297" s="99" t="e">
        <v>#N/A</v>
      </c>
      <c r="AO297" s="99" t="e">
        <v>#N/A</v>
      </c>
      <c r="AP297" s="99" t="e">
        <f>Tabla15[[#This Row],[Renov. Flota]]-Tabla15[[#This Row],[Año]]</f>
        <v>#N/A</v>
      </c>
      <c r="AQ297" s="100" t="e">
        <v>#N/A</v>
      </c>
      <c r="AR297" s="100" t="e">
        <f>VLOOKUP(Tabla15[[#This Row],[Matricula nueva]],'ALTA 20242025'!$B$2:$P$242,15,FALSE)</f>
        <v>#N/A</v>
      </c>
      <c r="AS297" s="101" t="e">
        <v>#N/A</v>
      </c>
      <c r="AT297" s="101"/>
      <c r="AU297" s="101"/>
      <c r="AV297" s="101"/>
      <c r="AW297" s="101" t="e">
        <f>VLOOKUP(Tabla15[[#This Row],[Matricula nueva]],Hoja2!$A$1:$B$224,2,FALSE)</f>
        <v>#N/A</v>
      </c>
      <c r="AX297" s="101" t="str">
        <f>IF(Tabla15[[#This Row],[Columna2]]="M1",5.1,"")</f>
        <v/>
      </c>
      <c r="AY297" s="101"/>
      <c r="AZ297" s="101"/>
      <c r="BA297" s="311">
        <f>IF(Tabla15[[#This Row],[Columna2]]="M1",13073,IF(Tabla15[[#This Row],[Columna2]]="N1",15815,IF(Tabla15[[#This Row],[Columna2]]="L3e",2831,53508)))</f>
        <v>53508</v>
      </c>
      <c r="BB297" s="311" t="e">
        <f>(Tabla15[[#This Row],[CVA]]*Tabla15[[#This Row],[F]]-Tabla15[[#This Row],[CVN]])/100*Tabla15[[#This Row],[L]]</f>
        <v>#VALUE!</v>
      </c>
      <c r="BC297" s="1"/>
      <c r="BD297" s="1" t="e">
        <f>VLOOKUP(B297,Tabla467824[[ID CAE2]:[AE '[kWh']]],6,FALSE)</f>
        <v>#N/A</v>
      </c>
      <c r="BE29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8" spans="1:57" ht="15.75" hidden="1" thickBot="1" x14ac:dyDescent="0.3">
      <c r="A298" s="53" t="s">
        <v>1488</v>
      </c>
      <c r="B298" s="53" t="e">
        <v>#N/A</v>
      </c>
      <c r="C298" s="100" t="s">
        <v>1524</v>
      </c>
      <c r="D298" s="100"/>
      <c r="E298" s="100"/>
      <c r="F298" s="100"/>
      <c r="G298" s="100"/>
      <c r="H298" s="100"/>
      <c r="I298" s="100"/>
      <c r="J298" s="100"/>
      <c r="K298" s="100" t="s">
        <v>73</v>
      </c>
      <c r="L298" s="100" t="s">
        <v>200</v>
      </c>
      <c r="M298" s="100" t="s">
        <v>201</v>
      </c>
      <c r="N298" s="100" t="s">
        <v>76</v>
      </c>
      <c r="O298" s="100" t="e">
        <f>VLOOKUP(Tabla15[[#This Row],[Matricula Antigua]],BAJA2022202320242025!$B$3:$CR$245,93,FALSE)</f>
        <v>#N/A</v>
      </c>
      <c r="P298" s="315">
        <v>44641</v>
      </c>
      <c r="Q298" s="315" t="e">
        <f>Tabla15[[#This Row],[F.Vig.Final]]-Tabla15[[#This Row],[f Vig Inicio]]</f>
        <v>#N/A</v>
      </c>
      <c r="R298" s="315">
        <f>YEAR(Tabla15[[#This Row],[F.Vig.Final]])</f>
        <v>2022</v>
      </c>
      <c r="S298" s="100" t="s">
        <v>77</v>
      </c>
      <c r="T298" s="100" t="s">
        <v>78</v>
      </c>
      <c r="U298" s="100" t="s">
        <v>359</v>
      </c>
      <c r="V298" s="100" t="s">
        <v>604</v>
      </c>
      <c r="W298" s="100" t="s">
        <v>119</v>
      </c>
      <c r="X298" s="100" t="s">
        <v>120</v>
      </c>
      <c r="Y298" s="100" t="s">
        <v>260</v>
      </c>
      <c r="Z298" s="98">
        <f>COUNTIF($X$3:X298, X298)</f>
        <v>11</v>
      </c>
      <c r="AA298" s="98"/>
      <c r="AB298" s="98"/>
      <c r="AC298" s="98"/>
      <c r="AD298" s="98"/>
      <c r="AE298" s="98"/>
      <c r="AF298" s="98"/>
      <c r="AG298" s="98"/>
      <c r="AH298" s="98"/>
      <c r="AI298" s="98" t="e">
        <v>#N/A</v>
      </c>
      <c r="AJ298" s="98" t="e">
        <v>#N/A</v>
      </c>
      <c r="AK298" s="98" t="e">
        <v>#N/A</v>
      </c>
      <c r="AL298" s="98" t="e">
        <v>#N/A</v>
      </c>
      <c r="AM298" s="98" t="e">
        <v>#N/A</v>
      </c>
      <c r="AN298" s="99" t="e">
        <v>#N/A</v>
      </c>
      <c r="AO298" s="99" t="e">
        <v>#N/A</v>
      </c>
      <c r="AP298" s="99" t="e">
        <f>Tabla15[[#This Row],[Renov. Flota]]-Tabla15[[#This Row],[Año]]</f>
        <v>#N/A</v>
      </c>
      <c r="AQ298" s="100" t="e">
        <v>#N/A</v>
      </c>
      <c r="AR298" s="100" t="e">
        <f>VLOOKUP(Tabla15[[#This Row],[Matricula nueva]],'ALTA 20242025'!$B$2:$P$242,15,FALSE)</f>
        <v>#N/A</v>
      </c>
      <c r="AS298" s="101" t="e">
        <v>#N/A</v>
      </c>
      <c r="AT298" s="101"/>
      <c r="AU298" s="101"/>
      <c r="AV298" s="101"/>
      <c r="AW298" s="101" t="e">
        <f>VLOOKUP(Tabla15[[#This Row],[Matricula nueva]],Hoja2!$A$1:$B$224,2,FALSE)</f>
        <v>#N/A</v>
      </c>
      <c r="AX298" s="101" t="str">
        <f>IF(Tabla15[[#This Row],[Columna2]]="M1",5.1,"")</f>
        <v/>
      </c>
      <c r="AY298" s="101"/>
      <c r="AZ298" s="101"/>
      <c r="BA298" s="311">
        <f>IF(Tabla15[[#This Row],[Columna2]]="M1",13073,IF(Tabla15[[#This Row],[Columna2]]="N1",15815,IF(Tabla15[[#This Row],[Columna2]]="L3e",2831,53508)))</f>
        <v>53508</v>
      </c>
      <c r="BB298" s="311" t="e">
        <f>(Tabla15[[#This Row],[CVA]]*Tabla15[[#This Row],[F]]-Tabla15[[#This Row],[CVN]])/100*Tabla15[[#This Row],[L]]</f>
        <v>#VALUE!</v>
      </c>
      <c r="BC298" s="1"/>
      <c r="BD298" s="1" t="e">
        <f>VLOOKUP(B298,Tabla467824[[ID CAE2]:[AE '[kWh']]],6,FALSE)</f>
        <v>#N/A</v>
      </c>
      <c r="BE29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299" spans="1:57" ht="15.75" hidden="1" thickBot="1" x14ac:dyDescent="0.3">
      <c r="A299" s="53" t="s">
        <v>1490</v>
      </c>
      <c r="B299" s="53" t="e">
        <v>#N/A</v>
      </c>
      <c r="C299" s="100" t="s">
        <v>1525</v>
      </c>
      <c r="D299" s="100"/>
      <c r="E299" s="100"/>
      <c r="F299" s="100"/>
      <c r="G299" s="100"/>
      <c r="H299" s="100"/>
      <c r="I299" s="100"/>
      <c r="J299" s="100"/>
      <c r="K299" s="100" t="s">
        <v>73</v>
      </c>
      <c r="L299" s="100" t="s">
        <v>200</v>
      </c>
      <c r="M299" s="100" t="s">
        <v>201</v>
      </c>
      <c r="N299" s="100" t="s">
        <v>76</v>
      </c>
      <c r="O299" s="100" t="e">
        <f>VLOOKUP(Tabla15[[#This Row],[Matricula Antigua]],BAJA2022202320242025!$B$3:$CR$245,93,FALSE)</f>
        <v>#N/A</v>
      </c>
      <c r="P299" s="315">
        <v>44640</v>
      </c>
      <c r="Q299" s="315" t="e">
        <f>Tabla15[[#This Row],[F.Vig.Final]]-Tabla15[[#This Row],[f Vig Inicio]]</f>
        <v>#N/A</v>
      </c>
      <c r="R299" s="315">
        <f>YEAR(Tabla15[[#This Row],[F.Vig.Final]])</f>
        <v>2022</v>
      </c>
      <c r="S299" s="100" t="s">
        <v>77</v>
      </c>
      <c r="T299" s="100" t="s">
        <v>78</v>
      </c>
      <c r="U299" s="100" t="s">
        <v>359</v>
      </c>
      <c r="V299" s="100" t="s">
        <v>604</v>
      </c>
      <c r="W299" s="100" t="s">
        <v>131</v>
      </c>
      <c r="X299" s="100" t="s">
        <v>132</v>
      </c>
      <c r="Y299" s="100" t="s">
        <v>753</v>
      </c>
      <c r="Z299" s="98">
        <f>COUNTIF($X$3:X299, X299)</f>
        <v>39</v>
      </c>
      <c r="AA299" s="98"/>
      <c r="AB299" s="98"/>
      <c r="AC299" s="98"/>
      <c r="AD299" s="98"/>
      <c r="AE299" s="98"/>
      <c r="AF299" s="98"/>
      <c r="AG299" s="98"/>
      <c r="AH299" s="98"/>
      <c r="AI299" s="98" t="e">
        <v>#N/A</v>
      </c>
      <c r="AJ299" s="98" t="e">
        <v>#N/A</v>
      </c>
      <c r="AK299" s="98" t="e">
        <v>#N/A</v>
      </c>
      <c r="AL299" s="98" t="e">
        <v>#N/A</v>
      </c>
      <c r="AM299" s="98" t="e">
        <v>#N/A</v>
      </c>
      <c r="AN299" s="99" t="e">
        <v>#N/A</v>
      </c>
      <c r="AO299" s="99" t="e">
        <v>#N/A</v>
      </c>
      <c r="AP299" s="99" t="e">
        <f>Tabla15[[#This Row],[Renov. Flota]]-Tabla15[[#This Row],[Año]]</f>
        <v>#N/A</v>
      </c>
      <c r="AQ299" s="100" t="e">
        <v>#N/A</v>
      </c>
      <c r="AR299" s="100" t="e">
        <f>VLOOKUP(Tabla15[[#This Row],[Matricula nueva]],'ALTA 20242025'!$B$2:$P$242,15,FALSE)</f>
        <v>#N/A</v>
      </c>
      <c r="AS299" s="101" t="e">
        <v>#N/A</v>
      </c>
      <c r="AT299" s="101"/>
      <c r="AU299" s="101"/>
      <c r="AV299" s="101"/>
      <c r="AW299" s="101" t="e">
        <f>VLOOKUP(Tabla15[[#This Row],[Matricula nueva]],Hoja2!$A$1:$B$224,2,FALSE)</f>
        <v>#N/A</v>
      </c>
      <c r="AX299" s="101" t="str">
        <f>IF(Tabla15[[#This Row],[Columna2]]="M1",5.1,"")</f>
        <v/>
      </c>
      <c r="AY299" s="101"/>
      <c r="AZ299" s="101"/>
      <c r="BA299" s="311">
        <f>IF(Tabla15[[#This Row],[Columna2]]="M1",13073,IF(Tabla15[[#This Row],[Columna2]]="N1",15815,IF(Tabla15[[#This Row],[Columna2]]="L3e",2831,53508)))</f>
        <v>53508</v>
      </c>
      <c r="BB299" s="311" t="e">
        <f>(Tabla15[[#This Row],[CVA]]*Tabla15[[#This Row],[F]]-Tabla15[[#This Row],[CVN]])/100*Tabla15[[#This Row],[L]]</f>
        <v>#VALUE!</v>
      </c>
      <c r="BC299" s="1"/>
      <c r="BD299" s="1" t="e">
        <f>VLOOKUP(B299,Tabla467824[[ID CAE2]:[AE '[kWh']]],6,FALSE)</f>
        <v>#N/A</v>
      </c>
      <c r="BE29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0" spans="1:57" ht="15.75" hidden="1" thickBot="1" x14ac:dyDescent="0.3">
      <c r="A300" s="53" t="s">
        <v>1526</v>
      </c>
      <c r="B300" s="53" t="e">
        <v>#N/A</v>
      </c>
      <c r="C300" s="100" t="s">
        <v>1527</v>
      </c>
      <c r="D300" s="100"/>
      <c r="E300" s="100"/>
      <c r="F300" s="100"/>
      <c r="G300" s="100"/>
      <c r="H300" s="100"/>
      <c r="I300" s="100"/>
      <c r="J300" s="100"/>
      <c r="K300" s="100" t="s">
        <v>73</v>
      </c>
      <c r="L300" s="100" t="s">
        <v>200</v>
      </c>
      <c r="M300" s="100" t="s">
        <v>201</v>
      </c>
      <c r="N300" s="100" t="s">
        <v>76</v>
      </c>
      <c r="O300" s="100" t="e">
        <f>VLOOKUP(Tabla15[[#This Row],[Matricula Antigua]],BAJA2022202320242025!$B$3:$CR$245,93,FALSE)</f>
        <v>#N/A</v>
      </c>
      <c r="P300" s="315">
        <v>44711</v>
      </c>
      <c r="Q300" s="315" t="e">
        <f>Tabla15[[#This Row],[F.Vig.Final]]-Tabla15[[#This Row],[f Vig Inicio]]</f>
        <v>#N/A</v>
      </c>
      <c r="R300" s="315">
        <f>YEAR(Tabla15[[#This Row],[F.Vig.Final]])</f>
        <v>2022</v>
      </c>
      <c r="S300" s="100" t="s">
        <v>77</v>
      </c>
      <c r="T300" s="100" t="s">
        <v>78</v>
      </c>
      <c r="U300" s="100" t="s">
        <v>359</v>
      </c>
      <c r="V300" s="100" t="s">
        <v>593</v>
      </c>
      <c r="W300" s="100" t="s">
        <v>336</v>
      </c>
      <c r="X300" s="100" t="s">
        <v>337</v>
      </c>
      <c r="Y300" s="100" t="s">
        <v>1528</v>
      </c>
      <c r="Z300" s="98">
        <f>COUNTIF($X$3:X300, X300)</f>
        <v>29</v>
      </c>
      <c r="AA300" s="98"/>
      <c r="AB300" s="98"/>
      <c r="AC300" s="98"/>
      <c r="AD300" s="98"/>
      <c r="AE300" s="98"/>
      <c r="AF300" s="98"/>
      <c r="AG300" s="98"/>
      <c r="AH300" s="98"/>
      <c r="AI300" s="98" t="e">
        <v>#N/A</v>
      </c>
      <c r="AJ300" s="98" t="e">
        <v>#N/A</v>
      </c>
      <c r="AK300" s="98" t="e">
        <v>#N/A</v>
      </c>
      <c r="AL300" s="98" t="e">
        <v>#N/A</v>
      </c>
      <c r="AM300" s="98" t="e">
        <v>#N/A</v>
      </c>
      <c r="AN300" s="99" t="e">
        <v>#N/A</v>
      </c>
      <c r="AO300" s="99" t="e">
        <v>#N/A</v>
      </c>
      <c r="AP300" s="99" t="e">
        <f>Tabla15[[#This Row],[Renov. Flota]]-Tabla15[[#This Row],[Año]]</f>
        <v>#N/A</v>
      </c>
      <c r="AQ300" s="100" t="e">
        <v>#N/A</v>
      </c>
      <c r="AR300" s="100" t="e">
        <f>VLOOKUP(Tabla15[[#This Row],[Matricula nueva]],'ALTA 20242025'!$B$2:$P$242,15,FALSE)</f>
        <v>#N/A</v>
      </c>
      <c r="AS300" s="101" t="e">
        <v>#N/A</v>
      </c>
      <c r="AT300" s="101"/>
      <c r="AU300" s="101"/>
      <c r="AV300" s="101"/>
      <c r="AW300" s="101" t="e">
        <f>VLOOKUP(Tabla15[[#This Row],[Matricula nueva]],Hoja2!$A$1:$B$224,2,FALSE)</f>
        <v>#N/A</v>
      </c>
      <c r="AX300" s="101" t="str">
        <f>IF(Tabla15[[#This Row],[Columna2]]="M1",5.1,"")</f>
        <v/>
      </c>
      <c r="AY300" s="101"/>
      <c r="AZ300" s="101"/>
      <c r="BA300" s="311">
        <f>IF(Tabla15[[#This Row],[Columna2]]="M1",13073,IF(Tabla15[[#This Row],[Columna2]]="N1",15815,IF(Tabla15[[#This Row],[Columna2]]="L3e",2831,53508)))</f>
        <v>53508</v>
      </c>
      <c r="BB300" s="311" t="e">
        <f>(Tabla15[[#This Row],[CVA]]*Tabla15[[#This Row],[F]]-Tabla15[[#This Row],[CVN]])/100*Tabla15[[#This Row],[L]]</f>
        <v>#VALUE!</v>
      </c>
      <c r="BC300" s="1"/>
      <c r="BD300" s="1" t="e">
        <f>VLOOKUP(B300,Tabla467824[[ID CAE2]:[AE '[kWh']]],6,FALSE)</f>
        <v>#N/A</v>
      </c>
      <c r="BE30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1" spans="1:57" ht="15.75" hidden="1" thickBot="1" x14ac:dyDescent="0.3">
      <c r="A301" s="53" t="s">
        <v>1529</v>
      </c>
      <c r="B301" s="53" t="e">
        <v>#N/A</v>
      </c>
      <c r="C301" s="100" t="s">
        <v>1530</v>
      </c>
      <c r="D301" s="100"/>
      <c r="E301" s="100"/>
      <c r="F301" s="100"/>
      <c r="G301" s="100"/>
      <c r="H301" s="100"/>
      <c r="I301" s="100"/>
      <c r="J301" s="100"/>
      <c r="K301" s="100" t="s">
        <v>73</v>
      </c>
      <c r="L301" s="100" t="s">
        <v>200</v>
      </c>
      <c r="M301" s="100" t="s">
        <v>201</v>
      </c>
      <c r="N301" s="100" t="s">
        <v>76</v>
      </c>
      <c r="O301" s="100" t="e">
        <f>VLOOKUP(Tabla15[[#This Row],[Matricula Antigua]],BAJA2022202320242025!$B$3:$CR$245,93,FALSE)</f>
        <v>#N/A</v>
      </c>
      <c r="P301" s="315">
        <v>44843</v>
      </c>
      <c r="Q301" s="315" t="e">
        <f>Tabla15[[#This Row],[F.Vig.Final]]-Tabla15[[#This Row],[f Vig Inicio]]</f>
        <v>#N/A</v>
      </c>
      <c r="R301" s="315">
        <f>YEAR(Tabla15[[#This Row],[F.Vig.Final]])</f>
        <v>2022</v>
      </c>
      <c r="S301" s="100" t="s">
        <v>77</v>
      </c>
      <c r="T301" s="100" t="s">
        <v>78</v>
      </c>
      <c r="U301" s="100" t="s">
        <v>359</v>
      </c>
      <c r="V301" s="100" t="s">
        <v>604</v>
      </c>
      <c r="W301" s="100" t="s">
        <v>1531</v>
      </c>
      <c r="X301" s="100" t="s">
        <v>1532</v>
      </c>
      <c r="Y301" s="100" t="s">
        <v>1533</v>
      </c>
      <c r="Z301" s="98">
        <f>COUNTIF($X$3:X301, X301)</f>
        <v>1</v>
      </c>
      <c r="AA301" s="98"/>
      <c r="AB301" s="98"/>
      <c r="AC301" s="98"/>
      <c r="AD301" s="98"/>
      <c r="AE301" s="98"/>
      <c r="AF301" s="98"/>
      <c r="AG301" s="98"/>
      <c r="AH301" s="98"/>
      <c r="AI301" s="98" t="e">
        <v>#N/A</v>
      </c>
      <c r="AJ301" s="98" t="e">
        <v>#N/A</v>
      </c>
      <c r="AK301" s="98" t="e">
        <v>#N/A</v>
      </c>
      <c r="AL301" s="98" t="e">
        <v>#N/A</v>
      </c>
      <c r="AM301" s="98" t="e">
        <v>#N/A</v>
      </c>
      <c r="AN301" s="99" t="e">
        <v>#N/A</v>
      </c>
      <c r="AO301" s="99" t="e">
        <v>#N/A</v>
      </c>
      <c r="AP301" s="99" t="e">
        <f>Tabla15[[#This Row],[Renov. Flota]]-Tabla15[[#This Row],[Año]]</f>
        <v>#N/A</v>
      </c>
      <c r="AQ301" s="100" t="e">
        <v>#N/A</v>
      </c>
      <c r="AR301" s="100" t="e">
        <f>VLOOKUP(Tabla15[[#This Row],[Matricula nueva]],'ALTA 20242025'!$B$2:$P$242,15,FALSE)</f>
        <v>#N/A</v>
      </c>
      <c r="AS301" s="101" t="e">
        <v>#N/A</v>
      </c>
      <c r="AT301" s="101"/>
      <c r="AU301" s="101"/>
      <c r="AV301" s="101"/>
      <c r="AW301" s="101" t="e">
        <f>VLOOKUP(Tabla15[[#This Row],[Matricula nueva]],Hoja2!$A$1:$B$224,2,FALSE)</f>
        <v>#N/A</v>
      </c>
      <c r="AX301" s="101" t="str">
        <f>IF(Tabla15[[#This Row],[Columna2]]="M1",5.1,"")</f>
        <v/>
      </c>
      <c r="AY301" s="101"/>
      <c r="AZ301" s="101"/>
      <c r="BA301" s="311">
        <f>IF(Tabla15[[#This Row],[Columna2]]="M1",13073,IF(Tabla15[[#This Row],[Columna2]]="N1",15815,IF(Tabla15[[#This Row],[Columna2]]="L3e",2831,53508)))</f>
        <v>53508</v>
      </c>
      <c r="BB301" s="311" t="e">
        <f>(Tabla15[[#This Row],[CVA]]*Tabla15[[#This Row],[F]]-Tabla15[[#This Row],[CVN]])/100*Tabla15[[#This Row],[L]]</f>
        <v>#VALUE!</v>
      </c>
      <c r="BC301" s="1"/>
      <c r="BD301" s="1" t="e">
        <f>VLOOKUP(B301,Tabla467824[[ID CAE2]:[AE '[kWh']]],6,FALSE)</f>
        <v>#N/A</v>
      </c>
      <c r="BE30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2" spans="1:57" ht="15.75" hidden="1" thickBot="1" x14ac:dyDescent="0.3">
      <c r="A302" s="53" t="s">
        <v>1534</v>
      </c>
      <c r="B302" s="53" t="e">
        <v>#N/A</v>
      </c>
      <c r="C302" s="96" t="s">
        <v>1535</v>
      </c>
      <c r="D302" s="96"/>
      <c r="E302" s="96"/>
      <c r="F302" s="96"/>
      <c r="G302" s="96"/>
      <c r="H302" s="96"/>
      <c r="I302" s="96"/>
      <c r="J302" s="96"/>
      <c r="K302" s="96" t="s">
        <v>73</v>
      </c>
      <c r="L302" s="96" t="s">
        <v>200</v>
      </c>
      <c r="M302" s="96" t="s">
        <v>201</v>
      </c>
      <c r="N302" s="96" t="s">
        <v>160</v>
      </c>
      <c r="O302" s="101">
        <f>VLOOKUP(Tabla15[[#This Row],[Matricula Antigua]],BAJA2022202320242025!$B$3:$CR$245,93,FALSE)</f>
        <v>44358</v>
      </c>
      <c r="P302" s="99">
        <v>45819</v>
      </c>
      <c r="Q302" s="99">
        <f>Tabla15[[#This Row],[F.Vig.Final]]-Tabla15[[#This Row],[f Vig Inicio]]</f>
        <v>1461</v>
      </c>
      <c r="R302" s="99">
        <f>YEAR(Tabla15[[#This Row],[F.Vig.Final]])</f>
        <v>2025</v>
      </c>
      <c r="S302" s="96" t="s">
        <v>161</v>
      </c>
      <c r="T302" s="96" t="s">
        <v>78</v>
      </c>
      <c r="U302" s="96" t="s">
        <v>213</v>
      </c>
      <c r="V302" s="96" t="s">
        <v>237</v>
      </c>
      <c r="W302" s="96" t="s">
        <v>102</v>
      </c>
      <c r="X302" s="96" t="s">
        <v>103</v>
      </c>
      <c r="Y302" s="96" t="s">
        <v>1536</v>
      </c>
      <c r="Z302" s="98">
        <f>COUNTIF($X$3:X302, X302)</f>
        <v>11</v>
      </c>
      <c r="AA302" s="98"/>
      <c r="AB302" s="98"/>
      <c r="AC302" s="98"/>
      <c r="AD302" s="98"/>
      <c r="AE302" s="98"/>
      <c r="AF302" s="98"/>
      <c r="AG302" s="98"/>
      <c r="AH302" s="98"/>
      <c r="AI302" s="98" t="e">
        <v>#N/A</v>
      </c>
      <c r="AJ302" s="98" t="e">
        <v>#N/A</v>
      </c>
      <c r="AK302" s="98" t="e">
        <v>#N/A</v>
      </c>
      <c r="AL302" s="98" t="e">
        <v>#N/A</v>
      </c>
      <c r="AM302" s="98" t="e">
        <v>#N/A</v>
      </c>
      <c r="AN302" s="99" t="e">
        <v>#N/A</v>
      </c>
      <c r="AO302" s="99" t="e">
        <v>#N/A</v>
      </c>
      <c r="AP302" s="99" t="e">
        <f>Tabla15[[#This Row],[Renov. Flota]]-Tabla15[[#This Row],[Año]]</f>
        <v>#N/A</v>
      </c>
      <c r="AQ302" s="100" t="e">
        <v>#N/A</v>
      </c>
      <c r="AR302" s="100" t="e">
        <f>VLOOKUP(Tabla15[[#This Row],[Matricula nueva]],'ALTA 20242025'!$B$2:$P$242,15,FALSE)</f>
        <v>#N/A</v>
      </c>
      <c r="AS302" s="101" t="e">
        <v>#N/A</v>
      </c>
      <c r="AT302" s="101"/>
      <c r="AU302" s="101"/>
      <c r="AV302" s="101"/>
      <c r="AW302" s="101" t="e">
        <f>VLOOKUP(Tabla15[[#This Row],[Matricula nueva]],Hoja2!$A$1:$B$224,2,FALSE)</f>
        <v>#N/A</v>
      </c>
      <c r="AX302" s="101" t="str">
        <f>IF(Tabla15[[#This Row],[Columna2]]="M1",5.1,"")</f>
        <v/>
      </c>
      <c r="AY302" s="101"/>
      <c r="AZ302" s="101"/>
      <c r="BA302" s="311">
        <f>IF(Tabla15[[#This Row],[Columna2]]="M1",13073,IF(Tabla15[[#This Row],[Columna2]]="N1",15815,IF(Tabla15[[#This Row],[Columna2]]="L3e",2831,53508)))</f>
        <v>53508</v>
      </c>
      <c r="BB302" s="311" t="e">
        <f>(Tabla15[[#This Row],[CVA]]*Tabla15[[#This Row],[F]]-Tabla15[[#This Row],[CVN]])/100*Tabla15[[#This Row],[L]]</f>
        <v>#VALUE!</v>
      </c>
      <c r="BC302" s="1"/>
      <c r="BD302" s="1" t="e">
        <f>VLOOKUP(B302,Tabla467824[[ID CAE2]:[AE '[kWh']]],6,FALSE)</f>
        <v>#N/A</v>
      </c>
      <c r="BE30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3" spans="1:57" ht="15.75" hidden="1" thickBot="1" x14ac:dyDescent="0.3">
      <c r="A303" s="53" t="s">
        <v>1537</v>
      </c>
      <c r="B303" s="53" t="e">
        <v>#N/A</v>
      </c>
      <c r="C303" s="100" t="s">
        <v>1538</v>
      </c>
      <c r="D303" s="100"/>
      <c r="E303" s="100"/>
      <c r="F303" s="100"/>
      <c r="G303" s="100"/>
      <c r="H303" s="100"/>
      <c r="I303" s="100"/>
      <c r="J303" s="100"/>
      <c r="K303" s="100" t="s">
        <v>885</v>
      </c>
      <c r="L303" s="100" t="s">
        <v>161</v>
      </c>
      <c r="M303" s="100" t="s">
        <v>886</v>
      </c>
      <c r="N303" s="100" t="s">
        <v>76</v>
      </c>
      <c r="O303" s="100" t="e">
        <f>VLOOKUP(Tabla15[[#This Row],[Matricula Antigua]],BAJA2022202320242025!$B$3:$CR$245,93,FALSE)</f>
        <v>#N/A</v>
      </c>
      <c r="P303" s="315">
        <v>44865</v>
      </c>
      <c r="Q303" s="315" t="e">
        <f>Tabla15[[#This Row],[F.Vig.Final]]-Tabla15[[#This Row],[f Vig Inicio]]</f>
        <v>#N/A</v>
      </c>
      <c r="R303" s="315">
        <f>YEAR(Tabla15[[#This Row],[F.Vig.Final]])</f>
        <v>2022</v>
      </c>
      <c r="S303" s="100" t="s">
        <v>77</v>
      </c>
      <c r="T303" s="100" t="s">
        <v>78</v>
      </c>
      <c r="U303" s="100" t="s">
        <v>213</v>
      </c>
      <c r="V303" s="100" t="s">
        <v>1539</v>
      </c>
      <c r="W303" s="100" t="s">
        <v>336</v>
      </c>
      <c r="X303" s="100" t="s">
        <v>337</v>
      </c>
      <c r="Y303" s="100" t="s">
        <v>1430</v>
      </c>
      <c r="Z303" s="98">
        <f>COUNTIF($X$3:X303, X303)</f>
        <v>30</v>
      </c>
      <c r="AA303" s="98"/>
      <c r="AB303" s="98"/>
      <c r="AC303" s="98"/>
      <c r="AD303" s="98"/>
      <c r="AE303" s="98"/>
      <c r="AF303" s="98"/>
      <c r="AG303" s="98"/>
      <c r="AH303" s="98"/>
      <c r="AI303" s="98" t="e">
        <v>#N/A</v>
      </c>
      <c r="AJ303" s="98" t="e">
        <v>#N/A</v>
      </c>
      <c r="AK303" s="98" t="e">
        <v>#N/A</v>
      </c>
      <c r="AL303" s="98" t="e">
        <v>#N/A</v>
      </c>
      <c r="AM303" s="98" t="e">
        <v>#N/A</v>
      </c>
      <c r="AN303" s="99" t="e">
        <v>#N/A</v>
      </c>
      <c r="AO303" s="99" t="e">
        <v>#N/A</v>
      </c>
      <c r="AP303" s="99" t="e">
        <f>Tabla15[[#This Row],[Renov. Flota]]-Tabla15[[#This Row],[Año]]</f>
        <v>#N/A</v>
      </c>
      <c r="AQ303" s="100" t="e">
        <v>#N/A</v>
      </c>
      <c r="AR303" s="100" t="e">
        <f>VLOOKUP(Tabla15[[#This Row],[Matricula nueva]],'ALTA 20242025'!$B$2:$P$242,15,FALSE)</f>
        <v>#N/A</v>
      </c>
      <c r="AS303" s="101" t="e">
        <v>#N/A</v>
      </c>
      <c r="AT303" s="101"/>
      <c r="AU303" s="101"/>
      <c r="AV303" s="101"/>
      <c r="AW303" s="101" t="e">
        <f>VLOOKUP(Tabla15[[#This Row],[Matricula nueva]],Hoja2!$A$1:$B$224,2,FALSE)</f>
        <v>#N/A</v>
      </c>
      <c r="AX303" s="101" t="str">
        <f>IF(Tabla15[[#This Row],[Columna2]]="M1",5.1,"")</f>
        <v/>
      </c>
      <c r="AY303" s="101"/>
      <c r="AZ303" s="101"/>
      <c r="BA303" s="311">
        <f>IF(Tabla15[[#This Row],[Columna2]]="M1",13073,IF(Tabla15[[#This Row],[Columna2]]="N1",15815,IF(Tabla15[[#This Row],[Columna2]]="L3e",2831,53508)))</f>
        <v>53508</v>
      </c>
      <c r="BB303" s="311" t="e">
        <f>(Tabla15[[#This Row],[CVA]]*Tabla15[[#This Row],[F]]-Tabla15[[#This Row],[CVN]])/100*Tabla15[[#This Row],[L]]</f>
        <v>#VALUE!</v>
      </c>
      <c r="BC303" s="1"/>
      <c r="BD303" s="1" t="e">
        <f>VLOOKUP(B303,Tabla467824[[ID CAE2]:[AE '[kWh']]],6,FALSE)</f>
        <v>#N/A</v>
      </c>
      <c r="BE30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4" spans="1:57" ht="15.75" hidden="1" thickBot="1" x14ac:dyDescent="0.3">
      <c r="A304" s="53" t="s">
        <v>1540</v>
      </c>
      <c r="B304" s="53" t="e">
        <v>#N/A</v>
      </c>
      <c r="C304" s="100" t="s">
        <v>1541</v>
      </c>
      <c r="D304" s="100"/>
      <c r="E304" s="100"/>
      <c r="F304" s="100"/>
      <c r="G304" s="100"/>
      <c r="H304" s="100"/>
      <c r="I304" s="100"/>
      <c r="J304" s="100"/>
      <c r="K304" s="100" t="s">
        <v>73</v>
      </c>
      <c r="L304" s="100" t="s">
        <v>200</v>
      </c>
      <c r="M304" s="100" t="s">
        <v>201</v>
      </c>
      <c r="N304" s="100" t="s">
        <v>76</v>
      </c>
      <c r="O304" s="100" t="e">
        <f>VLOOKUP(Tabla15[[#This Row],[Matricula Antigua]],BAJA2022202320242025!$B$3:$CR$245,93,FALSE)</f>
        <v>#N/A</v>
      </c>
      <c r="P304" s="315">
        <v>44697</v>
      </c>
      <c r="Q304" s="315" t="e">
        <f>Tabla15[[#This Row],[F.Vig.Final]]-Tabla15[[#This Row],[f Vig Inicio]]</f>
        <v>#N/A</v>
      </c>
      <c r="R304" s="315">
        <f>YEAR(Tabla15[[#This Row],[F.Vig.Final]])</f>
        <v>2022</v>
      </c>
      <c r="S304" s="100" t="s">
        <v>77</v>
      </c>
      <c r="T304" s="100" t="s">
        <v>78</v>
      </c>
      <c r="U304" s="100" t="s">
        <v>359</v>
      </c>
      <c r="V304" s="100" t="s">
        <v>1542</v>
      </c>
      <c r="W304" s="100" t="s">
        <v>102</v>
      </c>
      <c r="X304" s="100" t="s">
        <v>103</v>
      </c>
      <c r="Y304" s="100" t="s">
        <v>115</v>
      </c>
      <c r="Z304" s="98">
        <f>COUNTIF($X$3:X304, X304)</f>
        <v>12</v>
      </c>
      <c r="AA304" s="98"/>
      <c r="AB304" s="98"/>
      <c r="AC304" s="98"/>
      <c r="AD304" s="98"/>
      <c r="AE304" s="320"/>
      <c r="AF304" s="98"/>
      <c r="AG304" s="98"/>
      <c r="AH304" s="98"/>
      <c r="AI304" s="98" t="e">
        <v>#N/A</v>
      </c>
      <c r="AJ304" s="98" t="e">
        <v>#N/A</v>
      </c>
      <c r="AK304" s="98" t="e">
        <v>#N/A</v>
      </c>
      <c r="AL304" s="98" t="e">
        <v>#N/A</v>
      </c>
      <c r="AM304" s="98" t="e">
        <v>#N/A</v>
      </c>
      <c r="AN304" s="99" t="e">
        <v>#N/A</v>
      </c>
      <c r="AO304" s="99" t="e">
        <v>#N/A</v>
      </c>
      <c r="AP304" s="99" t="e">
        <f>Tabla15[[#This Row],[Renov. Flota]]-Tabla15[[#This Row],[Año]]</f>
        <v>#N/A</v>
      </c>
      <c r="AQ304" s="100" t="e">
        <v>#N/A</v>
      </c>
      <c r="AR304" s="100" t="e">
        <f>VLOOKUP(Tabla15[[#This Row],[Matricula nueva]],'ALTA 20242025'!$B$2:$P$242,15,FALSE)</f>
        <v>#N/A</v>
      </c>
      <c r="AS304" s="101" t="e">
        <v>#N/A</v>
      </c>
      <c r="AT304" s="101"/>
      <c r="AU304" s="101"/>
      <c r="AV304" s="101"/>
      <c r="AW304" s="101" t="e">
        <f>VLOOKUP(Tabla15[[#This Row],[Matricula nueva]],Hoja2!$A$1:$B$224,2,FALSE)</f>
        <v>#N/A</v>
      </c>
      <c r="AX304" s="101" t="str">
        <f>IF(Tabla15[[#This Row],[Columna2]]="M1",5.1,"")</f>
        <v/>
      </c>
      <c r="AY304" s="101"/>
      <c r="AZ304" s="101"/>
      <c r="BA304" s="311">
        <f>IF(Tabla15[[#This Row],[Columna2]]="M1",13073,IF(Tabla15[[#This Row],[Columna2]]="N1",15815,IF(Tabla15[[#This Row],[Columna2]]="L3e",2831,53508)))</f>
        <v>53508</v>
      </c>
      <c r="BB304" s="311" t="e">
        <f>(Tabla15[[#This Row],[CVA]]*Tabla15[[#This Row],[F]]-Tabla15[[#This Row],[CVN]])/100*Tabla15[[#This Row],[L]]</f>
        <v>#VALUE!</v>
      </c>
      <c r="BC304" s="1"/>
      <c r="BD304" s="1" t="e">
        <f>VLOOKUP(B304,Tabla467824[[ID CAE2]:[AE '[kWh']]],6,FALSE)</f>
        <v>#N/A</v>
      </c>
      <c r="BE30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5" spans="1:57" ht="52.5" thickBot="1" x14ac:dyDescent="0.3">
      <c r="A305" s="53" t="s">
        <v>1105</v>
      </c>
      <c r="B305" s="53" t="s">
        <v>1105</v>
      </c>
      <c r="C305" s="332" t="s">
        <v>1106</v>
      </c>
      <c r="D305" s="104" t="s">
        <v>72</v>
      </c>
      <c r="E305" s="104" t="s">
        <v>72</v>
      </c>
      <c r="F305" s="104" t="s">
        <v>72</v>
      </c>
      <c r="G305" s="104"/>
      <c r="H305" s="104" t="s">
        <v>249</v>
      </c>
      <c r="I305" s="104" t="s">
        <v>249</v>
      </c>
      <c r="J305" s="104"/>
      <c r="K305" s="96" t="s">
        <v>1034</v>
      </c>
      <c r="L305" s="96" t="s">
        <v>200</v>
      </c>
      <c r="M305" s="96" t="s">
        <v>201</v>
      </c>
      <c r="N305" s="96" t="s">
        <v>76</v>
      </c>
      <c r="O305" s="101">
        <f>VLOOKUP(Tabla15[[#This Row],[Matricula Antigua]],BAJA2022202320242025!$B$3:$CR$245,93,FALSE)</f>
        <v>44148</v>
      </c>
      <c r="P305" s="316">
        <v>45609</v>
      </c>
      <c r="Q305" s="317">
        <f>Tabla15[[#This Row],[F.Vig.Final]]-Tabla15[[#This Row],[f Vig Inicio]]</f>
        <v>1461</v>
      </c>
      <c r="R305" s="318">
        <f>YEAR(Tabla15[[#This Row],[F.Vig.Final]])</f>
        <v>2024</v>
      </c>
      <c r="S305" s="96" t="s">
        <v>77</v>
      </c>
      <c r="T305" s="96" t="s">
        <v>202</v>
      </c>
      <c r="U305" s="96" t="s">
        <v>524</v>
      </c>
      <c r="V305" s="96" t="s">
        <v>1107</v>
      </c>
      <c r="W305" s="96" t="s">
        <v>119</v>
      </c>
      <c r="X305" s="332" t="s">
        <v>1674</v>
      </c>
      <c r="Y305" s="96" t="s">
        <v>1108</v>
      </c>
      <c r="Z305" s="98">
        <f>COUNTIF($X$3:X305, X305)</f>
        <v>27</v>
      </c>
      <c r="AA305" s="337" t="s">
        <v>1661</v>
      </c>
      <c r="AB305" s="337" t="s">
        <v>1661</v>
      </c>
      <c r="AC305" s="337" t="s">
        <v>1662</v>
      </c>
      <c r="AD305" s="337" t="s">
        <v>1663</v>
      </c>
      <c r="AE305" s="342" t="s">
        <v>1664</v>
      </c>
      <c r="AF305" s="337" t="s">
        <v>1665</v>
      </c>
      <c r="AG305" s="337" t="s">
        <v>1666</v>
      </c>
      <c r="AH305" s="337" t="s">
        <v>1649</v>
      </c>
      <c r="AI305" s="337" t="s">
        <v>1109</v>
      </c>
      <c r="AJ305" s="98" t="s">
        <v>140</v>
      </c>
      <c r="AK305" s="98" t="s">
        <v>151</v>
      </c>
      <c r="AL305" s="98" t="s">
        <v>87</v>
      </c>
      <c r="AM305" s="101" t="s">
        <v>501</v>
      </c>
      <c r="AN305" s="348" t="s">
        <v>89</v>
      </c>
      <c r="AO305" s="349">
        <v>45625</v>
      </c>
      <c r="AP305" s="98">
        <f>Tabla15[[#This Row],[Renov. Flota]]-Tabla15[[#This Row],[Año]]</f>
        <v>0</v>
      </c>
      <c r="AQ305" s="100" t="s">
        <v>119</v>
      </c>
      <c r="AR305" s="100" t="str">
        <f>VLOOKUP(Tabla15[[#This Row],[Matricula nueva]],'ALTA 20242025'!$B$2:$P$242,15,FALSE)</f>
        <v>4500424797</v>
      </c>
      <c r="AS305" s="101" t="s">
        <v>120</v>
      </c>
      <c r="AT305" s="101"/>
      <c r="AU305" s="101" t="s">
        <v>72</v>
      </c>
      <c r="AV305" s="101" t="s">
        <v>91</v>
      </c>
      <c r="AW305" s="101" t="str">
        <f>VLOOKUP(Tabla15[[#This Row],[Matricula nueva]],Hoja2!$A$1:$B$224,2,FALSE)</f>
        <v>VR7CBZYA4RT152185</v>
      </c>
      <c r="AX305" s="209">
        <f>IF(Tabla15[[#This Row],[Columna2]]="M1",5.1,"")</f>
        <v>5.0999999999999996</v>
      </c>
      <c r="AY305" s="208">
        <f>IF(T305="DIESEL",10,IF(T305="GLP",7.16,9.19))</f>
        <v>9.19</v>
      </c>
      <c r="AZ305" s="313">
        <v>16.399999999999999</v>
      </c>
      <c r="BA305" s="314">
        <f>IF(Tabla15[[#This Row],[Columna2]]="M1",13073,IF(Tabla15[[#This Row],[Columna2]]="N1",15815,IF(Tabla15[[#This Row],[Columna2]]="L3e",2831,53508)))</f>
        <v>13073</v>
      </c>
      <c r="BB305" s="350">
        <f>(Tabla15[[#This Row],[CVA]]*Tabla15[[#This Row],[F]]-Tabla15[[#This Row],[CVN]])/100*Tabla15[[#This Row],[L]]</f>
        <v>3983.2123699999993</v>
      </c>
      <c r="BC305" s="84" t="s">
        <v>70</v>
      </c>
      <c r="BD305" s="294">
        <f>VLOOKUP(B305,Tabla467824[[ID CAE2]:[AE '[kWh']]],6,FALSE)</f>
        <v>7136.4330429999991</v>
      </c>
      <c r="BE30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CORRECTO ALQUILER</v>
      </c>
    </row>
    <row r="306" spans="1:57" ht="15" hidden="1" x14ac:dyDescent="0.25">
      <c r="A306" t="s">
        <v>1543</v>
      </c>
      <c r="B306"/>
      <c r="C306" s="31" t="s">
        <v>1544</v>
      </c>
      <c r="D306" s="31"/>
      <c r="E306" s="31"/>
      <c r="F306" s="31"/>
      <c r="G306" s="31"/>
      <c r="H306" s="31"/>
      <c r="I306" s="31"/>
      <c r="J306" s="31"/>
      <c r="K306" s="31" t="s">
        <v>73</v>
      </c>
      <c r="L306" s="31" t="s">
        <v>200</v>
      </c>
      <c r="M306" s="31" t="s">
        <v>201</v>
      </c>
      <c r="N306" s="31" t="s">
        <v>76</v>
      </c>
      <c r="O306" s="31" t="e">
        <f>VLOOKUP(Tabla15[[#This Row],[Matricula Antigua]],BAJA2022202320242025!$B$3:$CR$245,93,FALSE)</f>
        <v>#N/A</v>
      </c>
      <c r="P306" s="32">
        <v>44636</v>
      </c>
      <c r="Q306" s="32" t="e">
        <f>Tabla15[[#This Row],[F.Vig.Final]]-Tabla15[[#This Row],[f Vig Inicio]]</f>
        <v>#N/A</v>
      </c>
      <c r="R306" s="32">
        <f>YEAR(Tabla15[[#This Row],[F.Vig.Final]])</f>
        <v>2022</v>
      </c>
      <c r="S306" s="31" t="s">
        <v>77</v>
      </c>
      <c r="T306" s="31" t="s">
        <v>78</v>
      </c>
      <c r="U306" s="31" t="s">
        <v>359</v>
      </c>
      <c r="V306" s="31" t="s">
        <v>593</v>
      </c>
      <c r="W306" s="31" t="s">
        <v>102</v>
      </c>
      <c r="X306" s="31" t="s">
        <v>103</v>
      </c>
      <c r="Y306" s="31" t="s">
        <v>457</v>
      </c>
      <c r="Z306" s="93">
        <f>COUNTIF($X$3:X306, X306)</f>
        <v>13</v>
      </c>
      <c r="AA306" s="93"/>
      <c r="AB306" s="93"/>
      <c r="AC306" s="93"/>
      <c r="AD306" s="93"/>
      <c r="AE306" s="93"/>
      <c r="AF306" s="93"/>
      <c r="AG306" s="93"/>
      <c r="AH306" s="93"/>
      <c r="AI306" s="93" t="e">
        <v>#N/A</v>
      </c>
      <c r="AJ306" s="93" t="e">
        <v>#N/A</v>
      </c>
      <c r="AK306" s="93" t="e">
        <v>#N/A</v>
      </c>
      <c r="AL306" s="93" t="e">
        <v>#N/A</v>
      </c>
      <c r="AM306" s="93" t="e">
        <v>#N/A</v>
      </c>
      <c r="AN306" s="21" t="e">
        <v>#N/A</v>
      </c>
      <c r="AO306" s="21" t="e">
        <v>#N/A</v>
      </c>
      <c r="AP306" s="21" t="e">
        <f>Tabla15[[#This Row],[Renov. Flota]]-Tabla15[[#This Row],[Año]]</f>
        <v>#N/A</v>
      </c>
      <c r="AQ306" s="94" t="e">
        <v>#N/A</v>
      </c>
      <c r="AR306" s="94" t="e">
        <f>VLOOKUP(Tabla15[[#This Row],[Matricula nueva]],'ALTA 20242025'!$B$2:$P$242,15,FALSE)</f>
        <v>#N/A</v>
      </c>
      <c r="AS306" s="95" t="e">
        <v>#N/A</v>
      </c>
      <c r="AV306" s="1"/>
      <c r="AW306" s="1" t="e">
        <f>VLOOKUP(Tabla15[[#This Row],[Matricula nueva]],Hoja2!$A$1:$B$224,2,FALSE)</f>
        <v>#N/A</v>
      </c>
      <c r="AX306" s="1" t="str">
        <f>IF(Tabla15[[#This Row],[Columna2]]="M1",5.1,"")</f>
        <v/>
      </c>
      <c r="AY306" s="1"/>
      <c r="AZ306" s="1"/>
      <c r="BA306" s="47">
        <f>IF(Tabla15[[#This Row],[Columna2]]="M1",13073,IF(Tabla15[[#This Row],[Columna2]]="N1",15815,IF(Tabla15[[#This Row],[Columna2]]="L3e",2831,53508)))</f>
        <v>53508</v>
      </c>
      <c r="BB306" s="47" t="e">
        <f>(Tabla15[[#This Row],[CVA]]*Tabla15[[#This Row],[F]]-Tabla15[[#This Row],[CVN]])/100*Tabla15[[#This Row],[L]]</f>
        <v>#VALUE!</v>
      </c>
      <c r="BC306" s="1"/>
      <c r="BD306" s="1" t="e">
        <f>VLOOKUP(B306,Tabla467824[[ID CAE2]:[AE '[kWh']]],6,FALSE)</f>
        <v>#N/A</v>
      </c>
      <c r="BE30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7" spans="1:57" ht="15" hidden="1" x14ac:dyDescent="0.25">
      <c r="A307" t="s">
        <v>1545</v>
      </c>
      <c r="B307"/>
      <c r="C307" s="31" t="s">
        <v>1546</v>
      </c>
      <c r="D307" s="31"/>
      <c r="E307" s="31"/>
      <c r="F307" s="31"/>
      <c r="G307" s="31"/>
      <c r="H307" s="31"/>
      <c r="I307" s="31"/>
      <c r="J307" s="31"/>
      <c r="K307" s="31" t="s">
        <v>1034</v>
      </c>
      <c r="L307" s="31" t="s">
        <v>200</v>
      </c>
      <c r="M307" s="31" t="s">
        <v>201</v>
      </c>
      <c r="N307" s="31" t="s">
        <v>76</v>
      </c>
      <c r="O307" s="31" t="e">
        <f>VLOOKUP(Tabla15[[#This Row],[Matricula Antigua]],BAJA2022202320242025!$B$3:$CR$245,93,FALSE)</f>
        <v>#N/A</v>
      </c>
      <c r="P307" s="32">
        <v>44886</v>
      </c>
      <c r="Q307" s="32" t="e">
        <f>Tabla15[[#This Row],[F.Vig.Final]]-Tabla15[[#This Row],[f Vig Inicio]]</f>
        <v>#N/A</v>
      </c>
      <c r="R307" s="32">
        <f>YEAR(Tabla15[[#This Row],[F.Vig.Final]])</f>
        <v>2022</v>
      </c>
      <c r="S307" s="31" t="s">
        <v>77</v>
      </c>
      <c r="T307" s="31" t="s">
        <v>78</v>
      </c>
      <c r="U307" s="31" t="s">
        <v>524</v>
      </c>
      <c r="V307" s="31" t="s">
        <v>1547</v>
      </c>
      <c r="W307" s="31" t="s">
        <v>119</v>
      </c>
      <c r="X307" s="31" t="s">
        <v>120</v>
      </c>
      <c r="Y307" s="31" t="s">
        <v>776</v>
      </c>
      <c r="Z307" s="16">
        <f>COUNTIF($X$3:X307, X307)</f>
        <v>12</v>
      </c>
      <c r="AA307" s="16"/>
      <c r="AB307" s="16"/>
      <c r="AC307" s="16"/>
      <c r="AD307" s="16"/>
      <c r="AE307" s="16"/>
      <c r="AF307" s="16"/>
      <c r="AG307" s="16"/>
      <c r="AH307" s="16"/>
      <c r="AI307" s="16" t="e">
        <v>#N/A</v>
      </c>
      <c r="AJ307" s="16" t="e">
        <v>#N/A</v>
      </c>
      <c r="AK307" s="16" t="e">
        <v>#N/A</v>
      </c>
      <c r="AL307" s="16" t="e">
        <v>#N/A</v>
      </c>
      <c r="AM307" s="16" t="e">
        <v>#N/A</v>
      </c>
      <c r="AN307" s="17" t="e">
        <v>#N/A</v>
      </c>
      <c r="AO307" s="17" t="e">
        <v>#N/A</v>
      </c>
      <c r="AP307" s="17" t="e">
        <f>Tabla15[[#This Row],[Renov. Flota]]-Tabla15[[#This Row],[Año]]</f>
        <v>#N/A</v>
      </c>
      <c r="AQ307" s="18" t="e">
        <v>#N/A</v>
      </c>
      <c r="AR307" s="18" t="e">
        <f>VLOOKUP(Tabla15[[#This Row],[Matricula nueva]],'ALTA 20242025'!$B$2:$P$242,15,FALSE)</f>
        <v>#N/A</v>
      </c>
      <c r="AS307" s="19" t="e">
        <v>#N/A</v>
      </c>
      <c r="AV307" s="1"/>
      <c r="AW307" s="1" t="e">
        <f>VLOOKUP(Tabla15[[#This Row],[Matricula nueva]],Hoja2!$A$1:$B$224,2,FALSE)</f>
        <v>#N/A</v>
      </c>
      <c r="AX307" s="1" t="str">
        <f>IF(Tabla15[[#This Row],[Columna2]]="M1",5.1,"")</f>
        <v/>
      </c>
      <c r="AY307" s="1"/>
      <c r="AZ307" s="1"/>
      <c r="BA307" s="47">
        <f>IF(Tabla15[[#This Row],[Columna2]]="M1",13073,IF(Tabla15[[#This Row],[Columna2]]="N1",15815,IF(Tabla15[[#This Row],[Columna2]]="L3e",2831,53508)))</f>
        <v>53508</v>
      </c>
      <c r="BB307" s="47" t="e">
        <f>(Tabla15[[#This Row],[CVA]]*Tabla15[[#This Row],[F]]-Tabla15[[#This Row],[CVN]])/100*Tabla15[[#This Row],[L]]</f>
        <v>#VALUE!</v>
      </c>
      <c r="BC307" s="1"/>
      <c r="BD307" s="1" t="e">
        <f>VLOOKUP(B307,Tabla467824[[ID CAE2]:[AE '[kWh']]],6,FALSE)</f>
        <v>#N/A</v>
      </c>
      <c r="BE30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8" spans="1:57" ht="15" hidden="1" x14ac:dyDescent="0.25">
      <c r="A308" t="s">
        <v>1548</v>
      </c>
      <c r="B308"/>
      <c r="C308" s="31" t="s">
        <v>1549</v>
      </c>
      <c r="D308" s="31"/>
      <c r="E308" s="31"/>
      <c r="F308" s="31"/>
      <c r="G308" s="31"/>
      <c r="H308" s="31"/>
      <c r="I308" s="31"/>
      <c r="J308" s="31"/>
      <c r="K308" s="31" t="s">
        <v>73</v>
      </c>
      <c r="L308" s="31" t="s">
        <v>200</v>
      </c>
      <c r="M308" s="31" t="s">
        <v>201</v>
      </c>
      <c r="N308" s="31" t="s">
        <v>76</v>
      </c>
      <c r="O308" s="31" t="e">
        <f>VLOOKUP(Tabla15[[#This Row],[Matricula Antigua]],BAJA2022202320242025!$B$3:$CR$245,93,FALSE)</f>
        <v>#N/A</v>
      </c>
      <c r="P308" s="32">
        <v>44648</v>
      </c>
      <c r="Q308" s="32" t="e">
        <f>Tabla15[[#This Row],[F.Vig.Final]]-Tabla15[[#This Row],[f Vig Inicio]]</f>
        <v>#N/A</v>
      </c>
      <c r="R308" s="32">
        <f>YEAR(Tabla15[[#This Row],[F.Vig.Final]])</f>
        <v>2022</v>
      </c>
      <c r="S308" s="31" t="s">
        <v>77</v>
      </c>
      <c r="T308" s="31" t="s">
        <v>78</v>
      </c>
      <c r="U308" s="31" t="s">
        <v>359</v>
      </c>
      <c r="V308" s="31" t="s">
        <v>593</v>
      </c>
      <c r="W308" s="31" t="s">
        <v>102</v>
      </c>
      <c r="X308" s="31" t="s">
        <v>103</v>
      </c>
      <c r="Y308" s="31" t="s">
        <v>835</v>
      </c>
      <c r="Z308" s="16">
        <f>COUNTIF($X$3:X308, X308)</f>
        <v>14</v>
      </c>
      <c r="AA308" s="16"/>
      <c r="AB308" s="16"/>
      <c r="AC308" s="16"/>
      <c r="AD308" s="16"/>
      <c r="AE308" s="16"/>
      <c r="AF308" s="16"/>
      <c r="AG308" s="16"/>
      <c r="AH308" s="16"/>
      <c r="AI308" s="16" t="e">
        <v>#N/A</v>
      </c>
      <c r="AJ308" s="16" t="e">
        <v>#N/A</v>
      </c>
      <c r="AK308" s="16" t="e">
        <v>#N/A</v>
      </c>
      <c r="AL308" s="16" t="e">
        <v>#N/A</v>
      </c>
      <c r="AM308" s="16" t="e">
        <v>#N/A</v>
      </c>
      <c r="AN308" s="17" t="e">
        <v>#N/A</v>
      </c>
      <c r="AO308" s="17" t="e">
        <v>#N/A</v>
      </c>
      <c r="AP308" s="17" t="e">
        <f>Tabla15[[#This Row],[Renov. Flota]]-Tabla15[[#This Row],[Año]]</f>
        <v>#N/A</v>
      </c>
      <c r="AQ308" s="18" t="e">
        <v>#N/A</v>
      </c>
      <c r="AR308" s="18" t="e">
        <f>VLOOKUP(Tabla15[[#This Row],[Matricula nueva]],'ALTA 20242025'!$B$2:$P$242,15,FALSE)</f>
        <v>#N/A</v>
      </c>
      <c r="AS308" s="19" t="e">
        <v>#N/A</v>
      </c>
      <c r="AV308" s="1"/>
      <c r="AW308" s="1" t="e">
        <f>VLOOKUP(Tabla15[[#This Row],[Matricula nueva]],Hoja2!$A$1:$B$224,2,FALSE)</f>
        <v>#N/A</v>
      </c>
      <c r="AX308" s="1" t="str">
        <f>IF(Tabla15[[#This Row],[Columna2]]="M1",5.1,"")</f>
        <v/>
      </c>
      <c r="AY308" s="1"/>
      <c r="AZ308" s="1"/>
      <c r="BA308" s="47">
        <f>IF(Tabla15[[#This Row],[Columna2]]="M1",13073,IF(Tabla15[[#This Row],[Columna2]]="N1",15815,IF(Tabla15[[#This Row],[Columna2]]="L3e",2831,53508)))</f>
        <v>53508</v>
      </c>
      <c r="BB308" s="47" t="e">
        <f>(Tabla15[[#This Row],[CVA]]*Tabla15[[#This Row],[F]]-Tabla15[[#This Row],[CVN]])/100*Tabla15[[#This Row],[L]]</f>
        <v>#VALUE!</v>
      </c>
      <c r="BC308" s="1"/>
      <c r="BD308" s="1" t="e">
        <f>VLOOKUP(B308,Tabla467824[[ID CAE2]:[AE '[kWh']]],6,FALSE)</f>
        <v>#N/A</v>
      </c>
      <c r="BE30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09" spans="1:57" ht="15" hidden="1" x14ac:dyDescent="0.25">
      <c r="A309" t="s">
        <v>1550</v>
      </c>
      <c r="B309"/>
      <c r="C309" s="31" t="s">
        <v>1551</v>
      </c>
      <c r="D309" s="31"/>
      <c r="E309" s="31"/>
      <c r="F309" s="31"/>
      <c r="G309" s="31"/>
      <c r="H309" s="31"/>
      <c r="I309" s="31"/>
      <c r="J309" s="31"/>
      <c r="K309" s="31" t="s">
        <v>73</v>
      </c>
      <c r="L309" s="31" t="s">
        <v>200</v>
      </c>
      <c r="M309" s="31" t="s">
        <v>201</v>
      </c>
      <c r="N309" s="31" t="s">
        <v>76</v>
      </c>
      <c r="O309" s="31" t="e">
        <f>VLOOKUP(Tabla15[[#This Row],[Matricula Antigua]],BAJA2022202320242025!$B$3:$CR$245,93,FALSE)</f>
        <v>#N/A</v>
      </c>
      <c r="P309" s="32">
        <v>44648</v>
      </c>
      <c r="Q309" s="32" t="e">
        <f>Tabla15[[#This Row],[F.Vig.Final]]-Tabla15[[#This Row],[f Vig Inicio]]</f>
        <v>#N/A</v>
      </c>
      <c r="R309" s="32">
        <f>YEAR(Tabla15[[#This Row],[F.Vig.Final]])</f>
        <v>2022</v>
      </c>
      <c r="S309" s="31" t="s">
        <v>77</v>
      </c>
      <c r="T309" s="31" t="s">
        <v>78</v>
      </c>
      <c r="U309" s="31" t="s">
        <v>359</v>
      </c>
      <c r="V309" s="31" t="s">
        <v>593</v>
      </c>
      <c r="W309" s="31" t="s">
        <v>102</v>
      </c>
      <c r="X309" s="31" t="s">
        <v>103</v>
      </c>
      <c r="Y309" s="31" t="s">
        <v>457</v>
      </c>
      <c r="Z309" s="16">
        <f>COUNTIF($X$3:X309, X309)</f>
        <v>15</v>
      </c>
      <c r="AA309" s="16"/>
      <c r="AB309" s="16"/>
      <c r="AC309" s="16"/>
      <c r="AD309" s="16"/>
      <c r="AE309" s="16"/>
      <c r="AF309" s="16"/>
      <c r="AG309" s="16"/>
      <c r="AH309" s="16"/>
      <c r="AI309" s="16" t="e">
        <v>#N/A</v>
      </c>
      <c r="AJ309" s="16" t="e">
        <v>#N/A</v>
      </c>
      <c r="AK309" s="16" t="e">
        <v>#N/A</v>
      </c>
      <c r="AL309" s="16" t="e">
        <v>#N/A</v>
      </c>
      <c r="AM309" s="16" t="e">
        <v>#N/A</v>
      </c>
      <c r="AN309" s="17" t="e">
        <v>#N/A</v>
      </c>
      <c r="AO309" s="17" t="e">
        <v>#N/A</v>
      </c>
      <c r="AP309" s="17" t="e">
        <f>Tabla15[[#This Row],[Renov. Flota]]-Tabla15[[#This Row],[Año]]</f>
        <v>#N/A</v>
      </c>
      <c r="AQ309" s="18" t="e">
        <v>#N/A</v>
      </c>
      <c r="AR309" s="18" t="e">
        <f>VLOOKUP(Tabla15[[#This Row],[Matricula nueva]],'ALTA 20242025'!$B$2:$P$242,15,FALSE)</f>
        <v>#N/A</v>
      </c>
      <c r="AS309" s="19" t="e">
        <v>#N/A</v>
      </c>
      <c r="AV309" s="1"/>
      <c r="AW309" s="1" t="e">
        <f>VLOOKUP(Tabla15[[#This Row],[Matricula nueva]],Hoja2!$A$1:$B$224,2,FALSE)</f>
        <v>#N/A</v>
      </c>
      <c r="AX309" s="1" t="str">
        <f>IF(Tabla15[[#This Row],[Columna2]]="M1",5.1,"")</f>
        <v/>
      </c>
      <c r="AY309" s="1"/>
      <c r="AZ309" s="1"/>
      <c r="BA309" s="47">
        <f>IF(Tabla15[[#This Row],[Columna2]]="M1",13073,IF(Tabla15[[#This Row],[Columna2]]="N1",15815,IF(Tabla15[[#This Row],[Columna2]]="L3e",2831,53508)))</f>
        <v>53508</v>
      </c>
      <c r="BB309" s="47" t="e">
        <f>(Tabla15[[#This Row],[CVA]]*Tabla15[[#This Row],[F]]-Tabla15[[#This Row],[CVN]])/100*Tabla15[[#This Row],[L]]</f>
        <v>#VALUE!</v>
      </c>
      <c r="BC309" s="1"/>
      <c r="BD309" s="1" t="e">
        <f>VLOOKUP(B309,Tabla467824[[ID CAE2]:[AE '[kWh']]],6,FALSE)</f>
        <v>#N/A</v>
      </c>
      <c r="BE30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0" spans="1:57" ht="15" hidden="1" x14ac:dyDescent="0.25">
      <c r="A310" t="s">
        <v>1552</v>
      </c>
      <c r="B310"/>
      <c r="C310" s="33" t="s">
        <v>1553</v>
      </c>
      <c r="D310" s="33"/>
      <c r="E310" s="33"/>
      <c r="F310" s="33"/>
      <c r="G310" s="33"/>
      <c r="H310" s="33"/>
      <c r="I310" s="33"/>
      <c r="J310" s="33"/>
      <c r="K310" s="33" t="s">
        <v>73</v>
      </c>
      <c r="L310" s="33" t="s">
        <v>200</v>
      </c>
      <c r="M310" s="33" t="s">
        <v>201</v>
      </c>
      <c r="N310" s="33" t="s">
        <v>76</v>
      </c>
      <c r="O310" s="1">
        <f>VLOOKUP(Tabla15[[#This Row],[Matricula Antigua]],BAJA2022202320242025!$B$3:$CR$245,93,FALSE)</f>
        <v>44166</v>
      </c>
      <c r="P310" s="34">
        <v>45992</v>
      </c>
      <c r="Q310" s="34">
        <f>Tabla15[[#This Row],[F.Vig.Final]]-Tabla15[[#This Row],[f Vig Inicio]]</f>
        <v>1826</v>
      </c>
      <c r="R310" s="34">
        <f>YEAR(Tabla15[[#This Row],[F.Vig.Final]])</f>
        <v>2025</v>
      </c>
      <c r="S310" s="33" t="s">
        <v>77</v>
      </c>
      <c r="T310" s="33" t="s">
        <v>78</v>
      </c>
      <c r="U310" s="33" t="s">
        <v>85</v>
      </c>
      <c r="V310" s="33" t="s">
        <v>1354</v>
      </c>
      <c r="W310" s="33" t="s">
        <v>102</v>
      </c>
      <c r="X310" s="33" t="s">
        <v>103</v>
      </c>
      <c r="Y310" s="33" t="s">
        <v>782</v>
      </c>
      <c r="Z310" s="16">
        <f>COUNTIF($X$3:X310, X310)</f>
        <v>16</v>
      </c>
      <c r="AA310" s="16"/>
      <c r="AB310" s="16"/>
      <c r="AC310" s="16"/>
      <c r="AD310" s="16"/>
      <c r="AE310" s="16"/>
      <c r="AF310" s="16"/>
      <c r="AG310" s="16"/>
      <c r="AH310" s="16"/>
      <c r="AI310" s="16" t="e">
        <v>#N/A</v>
      </c>
      <c r="AJ310" s="16" t="e">
        <v>#N/A</v>
      </c>
      <c r="AK310" s="16" t="e">
        <v>#N/A</v>
      </c>
      <c r="AL310" s="16" t="e">
        <v>#N/A</v>
      </c>
      <c r="AM310" s="16" t="e">
        <v>#N/A</v>
      </c>
      <c r="AN310" s="17" t="e">
        <v>#N/A</v>
      </c>
      <c r="AO310" s="17" t="e">
        <v>#N/A</v>
      </c>
      <c r="AP310" s="17" t="e">
        <f>Tabla15[[#This Row],[Renov. Flota]]-Tabla15[[#This Row],[Año]]</f>
        <v>#N/A</v>
      </c>
      <c r="AQ310" s="18" t="e">
        <v>#N/A</v>
      </c>
      <c r="AR310" s="18" t="e">
        <f>VLOOKUP(Tabla15[[#This Row],[Matricula nueva]],'ALTA 20242025'!$B$2:$P$242,15,FALSE)</f>
        <v>#N/A</v>
      </c>
      <c r="AS310" s="19" t="e">
        <v>#N/A</v>
      </c>
      <c r="AV310" s="1"/>
      <c r="AW310" s="1" t="e">
        <f>VLOOKUP(Tabla15[[#This Row],[Matricula nueva]],Hoja2!$A$1:$B$224,2,FALSE)</f>
        <v>#N/A</v>
      </c>
      <c r="AX310" s="1" t="str">
        <f>IF(Tabla15[[#This Row],[Columna2]]="M1",5.1,"")</f>
        <v/>
      </c>
      <c r="AY310" s="1"/>
      <c r="AZ310" s="1"/>
      <c r="BA310" s="47">
        <f>IF(Tabla15[[#This Row],[Columna2]]="M1",13073,IF(Tabla15[[#This Row],[Columna2]]="N1",15815,IF(Tabla15[[#This Row],[Columna2]]="L3e",2831,53508)))</f>
        <v>53508</v>
      </c>
      <c r="BB310" s="47" t="e">
        <f>(Tabla15[[#This Row],[CVA]]*Tabla15[[#This Row],[F]]-Tabla15[[#This Row],[CVN]])/100*Tabla15[[#This Row],[L]]</f>
        <v>#VALUE!</v>
      </c>
      <c r="BC310" s="1"/>
      <c r="BD310" s="1" t="e">
        <f>VLOOKUP(B310,Tabla467824[[ID CAE2]:[AE '[kWh']]],6,FALSE)</f>
        <v>#N/A</v>
      </c>
      <c r="BE31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1" spans="1:57" ht="15" hidden="1" x14ac:dyDescent="0.25">
      <c r="A311" t="s">
        <v>1554</v>
      </c>
      <c r="B311"/>
      <c r="C311" s="31" t="s">
        <v>1555</v>
      </c>
      <c r="D311" s="31"/>
      <c r="E311" s="31"/>
      <c r="F311" s="31"/>
      <c r="G311" s="31"/>
      <c r="H311" s="31"/>
      <c r="I311" s="31"/>
      <c r="J311" s="31"/>
      <c r="K311" s="31" t="s">
        <v>73</v>
      </c>
      <c r="L311" s="31" t="s">
        <v>172</v>
      </c>
      <c r="M311" s="31" t="s">
        <v>1127</v>
      </c>
      <c r="N311" s="31" t="s">
        <v>76</v>
      </c>
      <c r="O311" s="31" t="e">
        <f>VLOOKUP(Tabla15[[#This Row],[Matricula Antigua]],BAJA2022202320242025!$B$3:$CR$245,93,FALSE)</f>
        <v>#N/A</v>
      </c>
      <c r="P311" s="32">
        <v>44685</v>
      </c>
      <c r="Q311" s="32" t="e">
        <f>Tabla15[[#This Row],[F.Vig.Final]]-Tabla15[[#This Row],[f Vig Inicio]]</f>
        <v>#N/A</v>
      </c>
      <c r="R311" s="32">
        <f>YEAR(Tabla15[[#This Row],[F.Vig.Final]])</f>
        <v>2022</v>
      </c>
      <c r="S311" s="31" t="s">
        <v>77</v>
      </c>
      <c r="T311" s="31" t="s">
        <v>78</v>
      </c>
      <c r="U311" s="31" t="s">
        <v>85</v>
      </c>
      <c r="V311" s="31" t="s">
        <v>732</v>
      </c>
      <c r="W311" s="31" t="s">
        <v>584</v>
      </c>
      <c r="X311" s="31" t="s">
        <v>585</v>
      </c>
      <c r="Y311" s="31" t="s">
        <v>1556</v>
      </c>
      <c r="Z311" s="16">
        <f>COUNTIF($X$3:X311, X311)</f>
        <v>22</v>
      </c>
      <c r="AA311" s="16"/>
      <c r="AB311" s="16"/>
      <c r="AC311" s="16"/>
      <c r="AD311" s="16"/>
      <c r="AE311" s="16"/>
      <c r="AF311" s="16"/>
      <c r="AG311" s="16"/>
      <c r="AH311" s="16"/>
      <c r="AI311" s="16" t="e">
        <v>#N/A</v>
      </c>
      <c r="AJ311" s="16" t="e">
        <v>#N/A</v>
      </c>
      <c r="AK311" s="16" t="e">
        <v>#N/A</v>
      </c>
      <c r="AL311" s="16" t="e">
        <v>#N/A</v>
      </c>
      <c r="AM311" s="16" t="e">
        <v>#N/A</v>
      </c>
      <c r="AN311" s="17" t="e">
        <v>#N/A</v>
      </c>
      <c r="AO311" s="17" t="e">
        <v>#N/A</v>
      </c>
      <c r="AP311" s="17" t="e">
        <f>Tabla15[[#This Row],[Renov. Flota]]-Tabla15[[#This Row],[Año]]</f>
        <v>#N/A</v>
      </c>
      <c r="AQ311" s="18" t="e">
        <v>#N/A</v>
      </c>
      <c r="AR311" s="18" t="e">
        <f>VLOOKUP(Tabla15[[#This Row],[Matricula nueva]],'ALTA 20242025'!$B$2:$P$242,15,FALSE)</f>
        <v>#N/A</v>
      </c>
      <c r="AS311" s="19" t="e">
        <v>#N/A</v>
      </c>
      <c r="AV311" s="1"/>
      <c r="AW311" s="1" t="e">
        <f>VLOOKUP(Tabla15[[#This Row],[Matricula nueva]],Hoja2!$A$1:$B$224,2,FALSE)</f>
        <v>#N/A</v>
      </c>
      <c r="AX311" s="1" t="str">
        <f>IF(Tabla15[[#This Row],[Columna2]]="M1",5.1,"")</f>
        <v/>
      </c>
      <c r="AY311" s="1"/>
      <c r="AZ311" s="1"/>
      <c r="BA311" s="47">
        <f>IF(Tabla15[[#This Row],[Columna2]]="M1",13073,IF(Tabla15[[#This Row],[Columna2]]="N1",15815,IF(Tabla15[[#This Row],[Columna2]]="L3e",2831,53508)))</f>
        <v>53508</v>
      </c>
      <c r="BB311" s="47" t="e">
        <f>(Tabla15[[#This Row],[CVA]]*Tabla15[[#This Row],[F]]-Tabla15[[#This Row],[CVN]])/100*Tabla15[[#This Row],[L]]</f>
        <v>#VALUE!</v>
      </c>
      <c r="BC311" s="1"/>
      <c r="BD311" s="1" t="e">
        <f>VLOOKUP(B311,Tabla467824[[ID CAE2]:[AE '[kWh']]],6,FALSE)</f>
        <v>#N/A</v>
      </c>
      <c r="BE31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2" spans="1:57" ht="15" hidden="1" x14ac:dyDescent="0.25">
      <c r="A312" t="s">
        <v>1557</v>
      </c>
      <c r="B312"/>
      <c r="C312" s="31" t="s">
        <v>1558</v>
      </c>
      <c r="D312" s="31"/>
      <c r="E312" s="31"/>
      <c r="F312" s="31"/>
      <c r="G312" s="31"/>
      <c r="H312" s="31"/>
      <c r="I312" s="31"/>
      <c r="J312" s="31"/>
      <c r="K312" s="31" t="s">
        <v>73</v>
      </c>
      <c r="L312" s="31" t="s">
        <v>200</v>
      </c>
      <c r="M312" s="31" t="s">
        <v>201</v>
      </c>
      <c r="N312" s="31" t="s">
        <v>76</v>
      </c>
      <c r="O312" s="31" t="e">
        <f>VLOOKUP(Tabla15[[#This Row],[Matricula Antigua]],BAJA2022202320242025!$B$3:$CR$245,93,FALSE)</f>
        <v>#N/A</v>
      </c>
      <c r="P312" s="32">
        <v>44648</v>
      </c>
      <c r="Q312" s="32" t="e">
        <f>Tabla15[[#This Row],[F.Vig.Final]]-Tabla15[[#This Row],[f Vig Inicio]]</f>
        <v>#N/A</v>
      </c>
      <c r="R312" s="32">
        <f>YEAR(Tabla15[[#This Row],[F.Vig.Final]])</f>
        <v>2022</v>
      </c>
      <c r="S312" s="31" t="s">
        <v>77</v>
      </c>
      <c r="T312" s="31" t="s">
        <v>78</v>
      </c>
      <c r="U312" s="31" t="s">
        <v>359</v>
      </c>
      <c r="V312" s="31" t="s">
        <v>1559</v>
      </c>
      <c r="W312" s="31" t="s">
        <v>131</v>
      </c>
      <c r="X312" s="31" t="s">
        <v>132</v>
      </c>
      <c r="Y312" s="31" t="s">
        <v>135</v>
      </c>
      <c r="Z312" s="16">
        <f>COUNTIF($X$3:X312, X312)</f>
        <v>40</v>
      </c>
      <c r="AA312" s="16"/>
      <c r="AB312" s="16"/>
      <c r="AC312" s="16"/>
      <c r="AD312" s="16"/>
      <c r="AE312" s="16"/>
      <c r="AF312" s="16"/>
      <c r="AG312" s="16"/>
      <c r="AH312" s="16"/>
      <c r="AI312" s="16" t="e">
        <v>#N/A</v>
      </c>
      <c r="AJ312" s="16" t="e">
        <v>#N/A</v>
      </c>
      <c r="AK312" s="16" t="e">
        <v>#N/A</v>
      </c>
      <c r="AL312" s="16" t="e">
        <v>#N/A</v>
      </c>
      <c r="AM312" s="16" t="e">
        <v>#N/A</v>
      </c>
      <c r="AN312" s="17" t="e">
        <v>#N/A</v>
      </c>
      <c r="AO312" s="17" t="e">
        <v>#N/A</v>
      </c>
      <c r="AP312" s="17" t="e">
        <f>Tabla15[[#This Row],[Renov. Flota]]-Tabla15[[#This Row],[Año]]</f>
        <v>#N/A</v>
      </c>
      <c r="AQ312" s="18" t="e">
        <v>#N/A</v>
      </c>
      <c r="AR312" s="18" t="e">
        <f>VLOOKUP(Tabla15[[#This Row],[Matricula nueva]],'ALTA 20242025'!$B$2:$P$242,15,FALSE)</f>
        <v>#N/A</v>
      </c>
      <c r="AS312" s="19" t="e">
        <v>#N/A</v>
      </c>
      <c r="AV312" s="1"/>
      <c r="AW312" s="1" t="e">
        <f>VLOOKUP(Tabla15[[#This Row],[Matricula nueva]],Hoja2!$A$1:$B$224,2,FALSE)</f>
        <v>#N/A</v>
      </c>
      <c r="AX312" s="1" t="str">
        <f>IF(Tabla15[[#This Row],[Columna2]]="M1",5.1,"")</f>
        <v/>
      </c>
      <c r="AY312" s="1"/>
      <c r="AZ312" s="1"/>
      <c r="BA312" s="47">
        <f>IF(Tabla15[[#This Row],[Columna2]]="M1",13073,IF(Tabla15[[#This Row],[Columna2]]="N1",15815,IF(Tabla15[[#This Row],[Columna2]]="L3e",2831,53508)))</f>
        <v>53508</v>
      </c>
      <c r="BB312" s="47" t="e">
        <f>(Tabla15[[#This Row],[CVA]]*Tabla15[[#This Row],[F]]-Tabla15[[#This Row],[CVN]])/100*Tabla15[[#This Row],[L]]</f>
        <v>#VALUE!</v>
      </c>
      <c r="BC312" s="1"/>
      <c r="BD312" s="1" t="e">
        <f>VLOOKUP(B312,Tabla467824[[ID CAE2]:[AE '[kWh']]],6,FALSE)</f>
        <v>#N/A</v>
      </c>
      <c r="BE31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3" spans="1:57" ht="15" hidden="1" x14ac:dyDescent="0.25">
      <c r="A313" t="s">
        <v>1560</v>
      </c>
      <c r="B313"/>
      <c r="C313" s="31" t="s">
        <v>1561</v>
      </c>
      <c r="D313" s="31"/>
      <c r="E313" s="31"/>
      <c r="F313" s="31"/>
      <c r="G313" s="31"/>
      <c r="H313" s="31"/>
      <c r="I313" s="31"/>
      <c r="J313" s="31"/>
      <c r="K313" s="31" t="s">
        <v>73</v>
      </c>
      <c r="L313" s="31" t="s">
        <v>200</v>
      </c>
      <c r="M313" s="31" t="s">
        <v>201</v>
      </c>
      <c r="N313" s="31" t="s">
        <v>76</v>
      </c>
      <c r="O313" s="31" t="e">
        <f>VLOOKUP(Tabla15[[#This Row],[Matricula Antigua]],BAJA2022202320242025!$B$3:$CR$245,93,FALSE)</f>
        <v>#N/A</v>
      </c>
      <c r="P313" s="32">
        <v>44657</v>
      </c>
      <c r="Q313" s="32" t="e">
        <f>Tabla15[[#This Row],[F.Vig.Final]]-Tabla15[[#This Row],[f Vig Inicio]]</f>
        <v>#N/A</v>
      </c>
      <c r="R313" s="32">
        <f>YEAR(Tabla15[[#This Row],[F.Vig.Final]])</f>
        <v>2022</v>
      </c>
      <c r="S313" s="31" t="s">
        <v>77</v>
      </c>
      <c r="T313" s="31" t="s">
        <v>78</v>
      </c>
      <c r="U313" s="31" t="s">
        <v>359</v>
      </c>
      <c r="V313" s="31" t="s">
        <v>1559</v>
      </c>
      <c r="W313" s="31" t="s">
        <v>131</v>
      </c>
      <c r="X313" s="31" t="s">
        <v>132</v>
      </c>
      <c r="Y313" s="31" t="s">
        <v>1390</v>
      </c>
      <c r="Z313" s="16">
        <f>COUNTIF($X$3:X313, X313)</f>
        <v>41</v>
      </c>
      <c r="AA313" s="16"/>
      <c r="AB313" s="16"/>
      <c r="AC313" s="16"/>
      <c r="AD313" s="16"/>
      <c r="AE313" s="16"/>
      <c r="AF313" s="16"/>
      <c r="AG313" s="16"/>
      <c r="AH313" s="16"/>
      <c r="AI313" s="16" t="e">
        <v>#N/A</v>
      </c>
      <c r="AJ313" s="16" t="e">
        <v>#N/A</v>
      </c>
      <c r="AK313" s="16" t="e">
        <v>#N/A</v>
      </c>
      <c r="AL313" s="16" t="e">
        <v>#N/A</v>
      </c>
      <c r="AM313" s="16" t="e">
        <v>#N/A</v>
      </c>
      <c r="AN313" s="17" t="e">
        <v>#N/A</v>
      </c>
      <c r="AO313" s="17" t="e">
        <v>#N/A</v>
      </c>
      <c r="AP313" s="17" t="e">
        <f>Tabla15[[#This Row],[Renov. Flota]]-Tabla15[[#This Row],[Año]]</f>
        <v>#N/A</v>
      </c>
      <c r="AQ313" s="18" t="e">
        <v>#N/A</v>
      </c>
      <c r="AR313" s="18" t="e">
        <f>VLOOKUP(Tabla15[[#This Row],[Matricula nueva]],'ALTA 20242025'!$B$2:$P$242,15,FALSE)</f>
        <v>#N/A</v>
      </c>
      <c r="AS313" s="19" t="e">
        <v>#N/A</v>
      </c>
      <c r="AV313" s="1"/>
      <c r="AW313" s="1" t="e">
        <f>VLOOKUP(Tabla15[[#This Row],[Matricula nueva]],Hoja2!$A$1:$B$224,2,FALSE)</f>
        <v>#N/A</v>
      </c>
      <c r="AX313" s="1" t="str">
        <f>IF(Tabla15[[#This Row],[Columna2]]="M1",5.1,"")</f>
        <v/>
      </c>
      <c r="AY313" s="1"/>
      <c r="AZ313" s="1"/>
      <c r="BA313" s="47">
        <f>IF(Tabla15[[#This Row],[Columna2]]="M1",13073,IF(Tabla15[[#This Row],[Columna2]]="N1",15815,IF(Tabla15[[#This Row],[Columna2]]="L3e",2831,53508)))</f>
        <v>53508</v>
      </c>
      <c r="BB313" s="47" t="e">
        <f>(Tabla15[[#This Row],[CVA]]*Tabla15[[#This Row],[F]]-Tabla15[[#This Row],[CVN]])/100*Tabla15[[#This Row],[L]]</f>
        <v>#VALUE!</v>
      </c>
      <c r="BC313" s="1"/>
      <c r="BD313" s="1" t="e">
        <f>VLOOKUP(B313,Tabla467824[[ID CAE2]:[AE '[kWh']]],6,FALSE)</f>
        <v>#N/A</v>
      </c>
      <c r="BE31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4" spans="1:57" ht="15" hidden="1" x14ac:dyDescent="0.25">
      <c r="A314" t="s">
        <v>1562</v>
      </c>
      <c r="B314"/>
      <c r="C314" s="31" t="s">
        <v>1563</v>
      </c>
      <c r="D314" s="31"/>
      <c r="E314" s="31"/>
      <c r="F314" s="31"/>
      <c r="G314" s="31"/>
      <c r="H314" s="31"/>
      <c r="I314" s="31"/>
      <c r="J314" s="31"/>
      <c r="K314" s="31" t="s">
        <v>73</v>
      </c>
      <c r="L314" s="31" t="s">
        <v>200</v>
      </c>
      <c r="M314" s="31" t="s">
        <v>201</v>
      </c>
      <c r="N314" s="31" t="s">
        <v>76</v>
      </c>
      <c r="O314" s="31" t="e">
        <f>VLOOKUP(Tabla15[[#This Row],[Matricula Antigua]],BAJA2022202320242025!$B$3:$CR$245,93,FALSE)</f>
        <v>#N/A</v>
      </c>
      <c r="P314" s="32">
        <v>44654</v>
      </c>
      <c r="Q314" s="32" t="e">
        <f>Tabla15[[#This Row],[F.Vig.Final]]-Tabla15[[#This Row],[f Vig Inicio]]</f>
        <v>#N/A</v>
      </c>
      <c r="R314" s="32">
        <f>YEAR(Tabla15[[#This Row],[F.Vig.Final]])</f>
        <v>2022</v>
      </c>
      <c r="S314" s="31" t="s">
        <v>77</v>
      </c>
      <c r="T314" s="31" t="s">
        <v>78</v>
      </c>
      <c r="U314" s="31" t="s">
        <v>359</v>
      </c>
      <c r="V314" s="31" t="s">
        <v>1559</v>
      </c>
      <c r="W314" s="31" t="s">
        <v>131</v>
      </c>
      <c r="X314" s="31" t="s">
        <v>132</v>
      </c>
      <c r="Y314" s="31" t="s">
        <v>135</v>
      </c>
      <c r="Z314" s="16">
        <f>COUNTIF($X$3:X314, X314)</f>
        <v>42</v>
      </c>
      <c r="AA314" s="16"/>
      <c r="AB314" s="16"/>
      <c r="AC314" s="16"/>
      <c r="AD314" s="16"/>
      <c r="AE314" s="16"/>
      <c r="AF314" s="16"/>
      <c r="AG314" s="16"/>
      <c r="AH314" s="16"/>
      <c r="AI314" s="16" t="e">
        <v>#N/A</v>
      </c>
      <c r="AJ314" s="16" t="e">
        <v>#N/A</v>
      </c>
      <c r="AK314" s="16" t="e">
        <v>#N/A</v>
      </c>
      <c r="AL314" s="16" t="e">
        <v>#N/A</v>
      </c>
      <c r="AM314" s="16" t="e">
        <v>#N/A</v>
      </c>
      <c r="AN314" s="17" t="e">
        <v>#N/A</v>
      </c>
      <c r="AO314" s="17" t="e">
        <v>#N/A</v>
      </c>
      <c r="AP314" s="17" t="e">
        <f>Tabla15[[#This Row],[Renov. Flota]]-Tabla15[[#This Row],[Año]]</f>
        <v>#N/A</v>
      </c>
      <c r="AQ314" s="18" t="e">
        <v>#N/A</v>
      </c>
      <c r="AR314" s="18" t="e">
        <f>VLOOKUP(Tabla15[[#This Row],[Matricula nueva]],'ALTA 20242025'!$B$2:$P$242,15,FALSE)</f>
        <v>#N/A</v>
      </c>
      <c r="AS314" s="19" t="e">
        <v>#N/A</v>
      </c>
      <c r="AV314" s="1"/>
      <c r="AW314" s="1" t="e">
        <f>VLOOKUP(Tabla15[[#This Row],[Matricula nueva]],Hoja2!$A$1:$B$224,2,FALSE)</f>
        <v>#N/A</v>
      </c>
      <c r="AX314" s="1" t="str">
        <f>IF(Tabla15[[#This Row],[Columna2]]="M1",5.1,"")</f>
        <v/>
      </c>
      <c r="AY314" s="1"/>
      <c r="AZ314" s="1"/>
      <c r="BA314" s="47">
        <f>IF(Tabla15[[#This Row],[Columna2]]="M1",13073,IF(Tabla15[[#This Row],[Columna2]]="N1",15815,IF(Tabla15[[#This Row],[Columna2]]="L3e",2831,53508)))</f>
        <v>53508</v>
      </c>
      <c r="BB314" s="47" t="e">
        <f>(Tabla15[[#This Row],[CVA]]*Tabla15[[#This Row],[F]]-Tabla15[[#This Row],[CVN]])/100*Tabla15[[#This Row],[L]]</f>
        <v>#VALUE!</v>
      </c>
      <c r="BC314" s="1"/>
      <c r="BD314" s="1" t="e">
        <f>VLOOKUP(B314,Tabla467824[[ID CAE2]:[AE '[kWh']]],6,FALSE)</f>
        <v>#N/A</v>
      </c>
      <c r="BE31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5" spans="1:57" ht="15" hidden="1" x14ac:dyDescent="0.25">
      <c r="A315" t="s">
        <v>1564</v>
      </c>
      <c r="B315"/>
      <c r="C315" s="31" t="s">
        <v>1565</v>
      </c>
      <c r="D315" s="31"/>
      <c r="E315" s="31"/>
      <c r="F315" s="31"/>
      <c r="G315" s="31"/>
      <c r="H315" s="31"/>
      <c r="I315" s="31"/>
      <c r="J315" s="31"/>
      <c r="K315" s="31" t="s">
        <v>129</v>
      </c>
      <c r="L315" s="31" t="s">
        <v>74</v>
      </c>
      <c r="M315" s="31" t="s">
        <v>75</v>
      </c>
      <c r="N315" s="31" t="s">
        <v>76</v>
      </c>
      <c r="O315" s="31" t="e">
        <f>VLOOKUP(Tabla15[[#This Row],[Matricula Antigua]],BAJA2022202320242025!$B$3:$CR$245,93,FALSE)</f>
        <v>#N/A</v>
      </c>
      <c r="P315" s="32">
        <v>44834</v>
      </c>
      <c r="Q315" s="32" t="e">
        <f>Tabla15[[#This Row],[F.Vig.Final]]-Tabla15[[#This Row],[f Vig Inicio]]</f>
        <v>#N/A</v>
      </c>
      <c r="R315" s="32">
        <f>YEAR(Tabla15[[#This Row],[F.Vig.Final]])</f>
        <v>2022</v>
      </c>
      <c r="S315" s="31" t="s">
        <v>77</v>
      </c>
      <c r="T315" s="31" t="s">
        <v>78</v>
      </c>
      <c r="U315" s="31" t="s">
        <v>79</v>
      </c>
      <c r="V315" s="31" t="s">
        <v>1566</v>
      </c>
      <c r="W315" s="31" t="s">
        <v>131</v>
      </c>
      <c r="X315" s="31" t="s">
        <v>132</v>
      </c>
      <c r="Y315" s="31" t="s">
        <v>133</v>
      </c>
      <c r="Z315" s="16">
        <f>COUNTIF($X$3:X315, X315)</f>
        <v>43</v>
      </c>
      <c r="AA315" s="16"/>
      <c r="AB315" s="16"/>
      <c r="AC315" s="16"/>
      <c r="AD315" s="16"/>
      <c r="AE315" s="16"/>
      <c r="AF315" s="16"/>
      <c r="AG315" s="16"/>
      <c r="AH315" s="16"/>
      <c r="AI315" s="16" t="e">
        <v>#N/A</v>
      </c>
      <c r="AJ315" s="16" t="e">
        <v>#N/A</v>
      </c>
      <c r="AK315" s="16" t="e">
        <v>#N/A</v>
      </c>
      <c r="AL315" s="16" t="e">
        <v>#N/A</v>
      </c>
      <c r="AM315" s="16" t="e">
        <v>#N/A</v>
      </c>
      <c r="AN315" s="17" t="e">
        <v>#N/A</v>
      </c>
      <c r="AO315" s="17" t="e">
        <v>#N/A</v>
      </c>
      <c r="AP315" s="17" t="e">
        <f>Tabla15[[#This Row],[Renov. Flota]]-Tabla15[[#This Row],[Año]]</f>
        <v>#N/A</v>
      </c>
      <c r="AQ315" s="18" t="e">
        <v>#N/A</v>
      </c>
      <c r="AR315" s="18" t="e">
        <f>VLOOKUP(Tabla15[[#This Row],[Matricula nueva]],'ALTA 20242025'!$B$2:$P$242,15,FALSE)</f>
        <v>#N/A</v>
      </c>
      <c r="AS315" s="19" t="e">
        <v>#N/A</v>
      </c>
      <c r="AV315" s="1"/>
      <c r="AW315" s="1" t="e">
        <f>VLOOKUP(Tabla15[[#This Row],[Matricula nueva]],Hoja2!$A$1:$B$224,2,FALSE)</f>
        <v>#N/A</v>
      </c>
      <c r="AX315" s="1" t="str">
        <f>IF(Tabla15[[#This Row],[Columna2]]="M1",5.1,"")</f>
        <v/>
      </c>
      <c r="AY315" s="1"/>
      <c r="AZ315" s="1"/>
      <c r="BA315" s="47">
        <f>IF(Tabla15[[#This Row],[Columna2]]="M1",13073,IF(Tabla15[[#This Row],[Columna2]]="N1",15815,IF(Tabla15[[#This Row],[Columna2]]="L3e",2831,53508)))</f>
        <v>53508</v>
      </c>
      <c r="BB315" s="47" t="e">
        <f>(Tabla15[[#This Row],[CVA]]*Tabla15[[#This Row],[F]]-Tabla15[[#This Row],[CVN]])/100*Tabla15[[#This Row],[L]]</f>
        <v>#VALUE!</v>
      </c>
      <c r="BC315" s="1"/>
      <c r="BD315" s="1" t="e">
        <f>VLOOKUP(B315,Tabla467824[[ID CAE2]:[AE '[kWh']]],6,FALSE)</f>
        <v>#N/A</v>
      </c>
      <c r="BE31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6" spans="1:57" ht="15" hidden="1" x14ac:dyDescent="0.25">
      <c r="A316" t="s">
        <v>1567</v>
      </c>
      <c r="B316"/>
      <c r="C316" s="31" t="s">
        <v>1568</v>
      </c>
      <c r="D316" s="31"/>
      <c r="E316" s="31"/>
      <c r="F316" s="31"/>
      <c r="G316" s="31"/>
      <c r="H316" s="31"/>
      <c r="I316" s="31"/>
      <c r="J316" s="31"/>
      <c r="K316" s="31" t="s">
        <v>73</v>
      </c>
      <c r="L316" s="31" t="s">
        <v>200</v>
      </c>
      <c r="M316" s="31" t="s">
        <v>201</v>
      </c>
      <c r="N316" s="31" t="s">
        <v>76</v>
      </c>
      <c r="O316" s="31" t="e">
        <f>VLOOKUP(Tabla15[[#This Row],[Matricula Antigua]],BAJA2022202320242025!$B$3:$CR$245,93,FALSE)</f>
        <v>#N/A</v>
      </c>
      <c r="P316" s="32">
        <v>44818</v>
      </c>
      <c r="Q316" s="32" t="e">
        <f>Tabla15[[#This Row],[F.Vig.Final]]-Tabla15[[#This Row],[f Vig Inicio]]</f>
        <v>#N/A</v>
      </c>
      <c r="R316" s="32">
        <f>YEAR(Tabla15[[#This Row],[F.Vig.Final]])</f>
        <v>2022</v>
      </c>
      <c r="S316" s="31" t="s">
        <v>77</v>
      </c>
      <c r="T316" s="31" t="s">
        <v>78</v>
      </c>
      <c r="U316" s="31" t="s">
        <v>359</v>
      </c>
      <c r="V316" s="31" t="s">
        <v>1559</v>
      </c>
      <c r="W316" s="31" t="s">
        <v>102</v>
      </c>
      <c r="X316" s="31" t="s">
        <v>103</v>
      </c>
      <c r="Y316" s="31" t="s">
        <v>1569</v>
      </c>
      <c r="Z316" s="16">
        <f>COUNTIF($X$3:X316, X316)</f>
        <v>17</v>
      </c>
      <c r="AA316" s="16"/>
      <c r="AB316" s="16"/>
      <c r="AC316" s="16"/>
      <c r="AD316" s="16"/>
      <c r="AE316" s="16"/>
      <c r="AF316" s="16"/>
      <c r="AG316" s="16"/>
      <c r="AH316" s="16"/>
      <c r="AI316" s="16" t="e">
        <v>#N/A</v>
      </c>
      <c r="AJ316" s="16" t="e">
        <v>#N/A</v>
      </c>
      <c r="AK316" s="16" t="e">
        <v>#N/A</v>
      </c>
      <c r="AL316" s="16" t="e">
        <v>#N/A</v>
      </c>
      <c r="AM316" s="16" t="e">
        <v>#N/A</v>
      </c>
      <c r="AN316" s="17" t="e">
        <v>#N/A</v>
      </c>
      <c r="AO316" s="17" t="e">
        <v>#N/A</v>
      </c>
      <c r="AP316" s="17" t="e">
        <f>Tabla15[[#This Row],[Renov. Flota]]-Tabla15[[#This Row],[Año]]</f>
        <v>#N/A</v>
      </c>
      <c r="AQ316" s="18" t="e">
        <v>#N/A</v>
      </c>
      <c r="AR316" s="18" t="e">
        <f>VLOOKUP(Tabla15[[#This Row],[Matricula nueva]],'ALTA 20242025'!$B$2:$P$242,15,FALSE)</f>
        <v>#N/A</v>
      </c>
      <c r="AS316" s="19" t="e">
        <v>#N/A</v>
      </c>
      <c r="AV316" s="1"/>
      <c r="AW316" s="1" t="e">
        <f>VLOOKUP(Tabla15[[#This Row],[Matricula nueva]],Hoja2!$A$1:$B$224,2,FALSE)</f>
        <v>#N/A</v>
      </c>
      <c r="AX316" s="1" t="str">
        <f>IF(Tabla15[[#This Row],[Columna2]]="M1",5.1,"")</f>
        <v/>
      </c>
      <c r="AY316" s="1"/>
      <c r="AZ316" s="1"/>
      <c r="BA316" s="47">
        <f>IF(Tabla15[[#This Row],[Columna2]]="M1",13073,IF(Tabla15[[#This Row],[Columna2]]="N1",15815,IF(Tabla15[[#This Row],[Columna2]]="L3e",2831,53508)))</f>
        <v>53508</v>
      </c>
      <c r="BB316" s="47" t="e">
        <f>(Tabla15[[#This Row],[CVA]]*Tabla15[[#This Row],[F]]-Tabla15[[#This Row],[CVN]])/100*Tabla15[[#This Row],[L]]</f>
        <v>#VALUE!</v>
      </c>
      <c r="BC316" s="1"/>
      <c r="BD316" s="1" t="e">
        <f>VLOOKUP(B316,Tabla467824[[ID CAE2]:[AE '[kWh']]],6,FALSE)</f>
        <v>#N/A</v>
      </c>
      <c r="BE31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7" spans="1:57" ht="15" hidden="1" x14ac:dyDescent="0.25">
      <c r="A317" t="s">
        <v>1570</v>
      </c>
      <c r="B317"/>
      <c r="C317" s="31" t="s">
        <v>1571</v>
      </c>
      <c r="D317" s="31"/>
      <c r="E317" s="31"/>
      <c r="F317" s="31"/>
      <c r="G317" s="31"/>
      <c r="H317" s="31"/>
      <c r="I317" s="31"/>
      <c r="J317" s="31"/>
      <c r="K317" s="31" t="s">
        <v>73</v>
      </c>
      <c r="L317" s="31" t="s">
        <v>200</v>
      </c>
      <c r="M317" s="31" t="s">
        <v>201</v>
      </c>
      <c r="N317" s="31" t="s">
        <v>76</v>
      </c>
      <c r="O317" s="31" t="e">
        <f>VLOOKUP(Tabla15[[#This Row],[Matricula Antigua]],BAJA2022202320242025!$B$3:$CR$245,93,FALSE)</f>
        <v>#N/A</v>
      </c>
      <c r="P317" s="32">
        <v>44824</v>
      </c>
      <c r="Q317" s="32" t="e">
        <f>Tabla15[[#This Row],[F.Vig.Final]]-Tabla15[[#This Row],[f Vig Inicio]]</f>
        <v>#N/A</v>
      </c>
      <c r="R317" s="32">
        <f>YEAR(Tabla15[[#This Row],[F.Vig.Final]])</f>
        <v>2022</v>
      </c>
      <c r="S317" s="31" t="s">
        <v>77</v>
      </c>
      <c r="T317" s="31" t="s">
        <v>78</v>
      </c>
      <c r="U317" s="31" t="s">
        <v>359</v>
      </c>
      <c r="V317" s="31" t="s">
        <v>604</v>
      </c>
      <c r="W317" s="31" t="s">
        <v>131</v>
      </c>
      <c r="X317" s="31" t="s">
        <v>132</v>
      </c>
      <c r="Y317" s="31" t="s">
        <v>622</v>
      </c>
      <c r="Z317" s="16">
        <f>COUNTIF($X$3:X317, X317)</f>
        <v>44</v>
      </c>
      <c r="AA317" s="16"/>
      <c r="AB317" s="16"/>
      <c r="AC317" s="16"/>
      <c r="AD317" s="16"/>
      <c r="AE317" s="16"/>
      <c r="AF317" s="16"/>
      <c r="AG317" s="16"/>
      <c r="AH317" s="16"/>
      <c r="AI317" s="16" t="e">
        <v>#N/A</v>
      </c>
      <c r="AJ317" s="16" t="e">
        <v>#N/A</v>
      </c>
      <c r="AK317" s="16" t="e">
        <v>#N/A</v>
      </c>
      <c r="AL317" s="16" t="e">
        <v>#N/A</v>
      </c>
      <c r="AM317" s="16" t="e">
        <v>#N/A</v>
      </c>
      <c r="AN317" s="17" t="e">
        <v>#N/A</v>
      </c>
      <c r="AO317" s="17" t="e">
        <v>#N/A</v>
      </c>
      <c r="AP317" s="17" t="e">
        <f>Tabla15[[#This Row],[Renov. Flota]]-Tabla15[[#This Row],[Año]]</f>
        <v>#N/A</v>
      </c>
      <c r="AQ317" s="18" t="e">
        <v>#N/A</v>
      </c>
      <c r="AR317" s="18" t="e">
        <f>VLOOKUP(Tabla15[[#This Row],[Matricula nueva]],'ALTA 20242025'!$B$2:$P$242,15,FALSE)</f>
        <v>#N/A</v>
      </c>
      <c r="AS317" s="19" t="e">
        <v>#N/A</v>
      </c>
      <c r="AV317" s="1"/>
      <c r="AW317" s="1" t="e">
        <f>VLOOKUP(Tabla15[[#This Row],[Matricula nueva]],Hoja2!$A$1:$B$224,2,FALSE)</f>
        <v>#N/A</v>
      </c>
      <c r="AX317" s="1" t="str">
        <f>IF(Tabla15[[#This Row],[Columna2]]="M1",5.1,"")</f>
        <v/>
      </c>
      <c r="AY317" s="1"/>
      <c r="AZ317" s="1"/>
      <c r="BA317" s="47">
        <f>IF(Tabla15[[#This Row],[Columna2]]="M1",13073,IF(Tabla15[[#This Row],[Columna2]]="N1",15815,IF(Tabla15[[#This Row],[Columna2]]="L3e",2831,53508)))</f>
        <v>53508</v>
      </c>
      <c r="BB317" s="47" t="e">
        <f>(Tabla15[[#This Row],[CVA]]*Tabla15[[#This Row],[F]]-Tabla15[[#This Row],[CVN]])/100*Tabla15[[#This Row],[L]]</f>
        <v>#VALUE!</v>
      </c>
      <c r="BC317" s="1"/>
      <c r="BD317" s="1" t="e">
        <f>VLOOKUP(B317,Tabla467824[[ID CAE2]:[AE '[kWh']]],6,FALSE)</f>
        <v>#N/A</v>
      </c>
      <c r="BE31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8" spans="1:57" ht="15" hidden="1" x14ac:dyDescent="0.25">
      <c r="A318" t="s">
        <v>1572</v>
      </c>
      <c r="B318"/>
      <c r="C318" s="31" t="s">
        <v>1573</v>
      </c>
      <c r="D318" s="31"/>
      <c r="E318" s="31"/>
      <c r="F318" s="31"/>
      <c r="G318" s="31"/>
      <c r="H318" s="31"/>
      <c r="I318" s="31"/>
      <c r="J318" s="31"/>
      <c r="K318" s="31" t="s">
        <v>73</v>
      </c>
      <c r="L318" s="31" t="s">
        <v>200</v>
      </c>
      <c r="M318" s="31" t="s">
        <v>201</v>
      </c>
      <c r="N318" s="31" t="s">
        <v>160</v>
      </c>
      <c r="O318" s="31" t="e">
        <f>VLOOKUP(Tabla15[[#This Row],[Matricula Antigua]],BAJA2022202320242025!$B$3:$CR$245,93,FALSE)</f>
        <v>#N/A</v>
      </c>
      <c r="P318" s="32">
        <v>44824</v>
      </c>
      <c r="Q318" s="32" t="e">
        <f>Tabla15[[#This Row],[F.Vig.Final]]-Tabla15[[#This Row],[f Vig Inicio]]</f>
        <v>#N/A</v>
      </c>
      <c r="R318" s="32">
        <f>YEAR(Tabla15[[#This Row],[F.Vig.Final]])</f>
        <v>2022</v>
      </c>
      <c r="S318" s="31" t="s">
        <v>161</v>
      </c>
      <c r="T318" s="31" t="s">
        <v>78</v>
      </c>
      <c r="U318" s="31" t="s">
        <v>359</v>
      </c>
      <c r="V318" s="31" t="s">
        <v>604</v>
      </c>
      <c r="W318" s="31" t="s">
        <v>131</v>
      </c>
      <c r="X318" s="31" t="s">
        <v>132</v>
      </c>
      <c r="Y318" s="31" t="s">
        <v>829</v>
      </c>
      <c r="Z318" s="16">
        <f>COUNTIF($X$3:X318, X318)</f>
        <v>45</v>
      </c>
      <c r="AA318" s="16"/>
      <c r="AB318" s="16"/>
      <c r="AC318" s="16"/>
      <c r="AD318" s="16"/>
      <c r="AE318" s="16"/>
      <c r="AF318" s="16"/>
      <c r="AG318" s="16"/>
      <c r="AH318" s="16"/>
      <c r="AI318" s="16" t="e">
        <v>#N/A</v>
      </c>
      <c r="AJ318" s="16" t="e">
        <v>#N/A</v>
      </c>
      <c r="AK318" s="16" t="e">
        <v>#N/A</v>
      </c>
      <c r="AL318" s="16" t="e">
        <v>#N/A</v>
      </c>
      <c r="AM318" s="16" t="e">
        <v>#N/A</v>
      </c>
      <c r="AN318" s="17" t="e">
        <v>#N/A</v>
      </c>
      <c r="AO318" s="17" t="e">
        <v>#N/A</v>
      </c>
      <c r="AP318" s="17" t="e">
        <f>Tabla15[[#This Row],[Renov. Flota]]-Tabla15[[#This Row],[Año]]</f>
        <v>#N/A</v>
      </c>
      <c r="AQ318" s="18" t="e">
        <v>#N/A</v>
      </c>
      <c r="AR318" s="18" t="e">
        <f>VLOOKUP(Tabla15[[#This Row],[Matricula nueva]],'ALTA 20242025'!$B$2:$P$242,15,FALSE)</f>
        <v>#N/A</v>
      </c>
      <c r="AS318" s="19" t="e">
        <v>#N/A</v>
      </c>
      <c r="AV318" s="1"/>
      <c r="AW318" s="1" t="e">
        <f>VLOOKUP(Tabla15[[#This Row],[Matricula nueva]],Hoja2!$A$1:$B$224,2,FALSE)</f>
        <v>#N/A</v>
      </c>
      <c r="AX318" s="1" t="str">
        <f>IF(Tabla15[[#This Row],[Columna2]]="M1",5.1,"")</f>
        <v/>
      </c>
      <c r="AY318" s="1"/>
      <c r="AZ318" s="1"/>
      <c r="BA318" s="47">
        <f>IF(Tabla15[[#This Row],[Columna2]]="M1",13073,IF(Tabla15[[#This Row],[Columna2]]="N1",15815,IF(Tabla15[[#This Row],[Columna2]]="L3e",2831,53508)))</f>
        <v>53508</v>
      </c>
      <c r="BB318" s="47" t="e">
        <f>(Tabla15[[#This Row],[CVA]]*Tabla15[[#This Row],[F]]-Tabla15[[#This Row],[CVN]])/100*Tabla15[[#This Row],[L]]</f>
        <v>#VALUE!</v>
      </c>
      <c r="BC318" s="1"/>
      <c r="BD318" s="1" t="e">
        <f>VLOOKUP(B318,Tabla467824[[ID CAE2]:[AE '[kWh']]],6,FALSE)</f>
        <v>#N/A</v>
      </c>
      <c r="BE31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19" spans="1:57" ht="15" hidden="1" x14ac:dyDescent="0.25">
      <c r="A319" t="s">
        <v>1574</v>
      </c>
      <c r="B319"/>
      <c r="C319" s="31" t="s">
        <v>1575</v>
      </c>
      <c r="D319" s="31"/>
      <c r="E319" s="31"/>
      <c r="F319" s="31"/>
      <c r="G319" s="31"/>
      <c r="H319" s="31"/>
      <c r="I319" s="31"/>
      <c r="J319" s="31"/>
      <c r="K319" s="31" t="s">
        <v>73</v>
      </c>
      <c r="L319" s="31" t="s">
        <v>200</v>
      </c>
      <c r="M319" s="31" t="s">
        <v>201</v>
      </c>
      <c r="N319" s="31" t="s">
        <v>76</v>
      </c>
      <c r="O319" s="31" t="e">
        <f>VLOOKUP(Tabla15[[#This Row],[Matricula Antigua]],BAJA2022202320242025!$B$3:$CR$245,93,FALSE)</f>
        <v>#N/A</v>
      </c>
      <c r="P319" s="32">
        <v>44860</v>
      </c>
      <c r="Q319" s="32" t="e">
        <f>Tabla15[[#This Row],[F.Vig.Final]]-Tabla15[[#This Row],[f Vig Inicio]]</f>
        <v>#N/A</v>
      </c>
      <c r="R319" s="32">
        <f>YEAR(Tabla15[[#This Row],[F.Vig.Final]])</f>
        <v>2022</v>
      </c>
      <c r="S319" s="31" t="s">
        <v>77</v>
      </c>
      <c r="T319" s="31" t="s">
        <v>78</v>
      </c>
      <c r="U319" s="31" t="s">
        <v>359</v>
      </c>
      <c r="V319" s="31" t="s">
        <v>1559</v>
      </c>
      <c r="W319" s="31" t="s">
        <v>131</v>
      </c>
      <c r="X319" s="31" t="s">
        <v>132</v>
      </c>
      <c r="Y319" s="31" t="s">
        <v>135</v>
      </c>
      <c r="Z319" s="16">
        <f>COUNTIF($X$3:X319, X319)</f>
        <v>46</v>
      </c>
      <c r="AA319" s="16"/>
      <c r="AB319" s="16"/>
      <c r="AC319" s="16"/>
      <c r="AD319" s="16"/>
      <c r="AE319" s="16"/>
      <c r="AF319" s="16"/>
      <c r="AG319" s="16"/>
      <c r="AH319" s="16"/>
      <c r="AI319" s="16" t="e">
        <v>#N/A</v>
      </c>
      <c r="AJ319" s="16" t="e">
        <v>#N/A</v>
      </c>
      <c r="AK319" s="16" t="e">
        <v>#N/A</v>
      </c>
      <c r="AL319" s="16" t="e">
        <v>#N/A</v>
      </c>
      <c r="AM319" s="16" t="e">
        <v>#N/A</v>
      </c>
      <c r="AN319" s="17" t="e">
        <v>#N/A</v>
      </c>
      <c r="AO319" s="17" t="e">
        <v>#N/A</v>
      </c>
      <c r="AP319" s="17" t="e">
        <f>Tabla15[[#This Row],[Renov. Flota]]-Tabla15[[#This Row],[Año]]</f>
        <v>#N/A</v>
      </c>
      <c r="AQ319" s="18" t="e">
        <v>#N/A</v>
      </c>
      <c r="AR319" s="18" t="e">
        <f>VLOOKUP(Tabla15[[#This Row],[Matricula nueva]],'ALTA 20242025'!$B$2:$P$242,15,FALSE)</f>
        <v>#N/A</v>
      </c>
      <c r="AS319" s="19" t="e">
        <v>#N/A</v>
      </c>
      <c r="AV319" s="1"/>
      <c r="AW319" s="1" t="e">
        <f>VLOOKUP(Tabla15[[#This Row],[Matricula nueva]],Hoja2!$A$1:$B$224,2,FALSE)</f>
        <v>#N/A</v>
      </c>
      <c r="AX319" s="1" t="str">
        <f>IF(Tabla15[[#This Row],[Columna2]]="M1",5.1,"")</f>
        <v/>
      </c>
      <c r="AY319" s="1"/>
      <c r="AZ319" s="1"/>
      <c r="BA319" s="47">
        <f>IF(Tabla15[[#This Row],[Columna2]]="M1",13073,IF(Tabla15[[#This Row],[Columna2]]="N1",15815,IF(Tabla15[[#This Row],[Columna2]]="L3e",2831,53508)))</f>
        <v>53508</v>
      </c>
      <c r="BB319" s="47" t="e">
        <f>(Tabla15[[#This Row],[CVA]]*Tabla15[[#This Row],[F]]-Tabla15[[#This Row],[CVN]])/100*Tabla15[[#This Row],[L]]</f>
        <v>#VALUE!</v>
      </c>
      <c r="BC319" s="1"/>
      <c r="BD319" s="1" t="e">
        <f>VLOOKUP(B319,Tabla467824[[ID CAE2]:[AE '[kWh']]],6,FALSE)</f>
        <v>#N/A</v>
      </c>
      <c r="BE31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0" spans="1:57" ht="15" hidden="1" x14ac:dyDescent="0.25">
      <c r="A320" t="s">
        <v>1576</v>
      </c>
      <c r="B320"/>
      <c r="C320" s="31" t="s">
        <v>1577</v>
      </c>
      <c r="D320" s="31"/>
      <c r="E320" s="31"/>
      <c r="F320" s="31"/>
      <c r="G320" s="31"/>
      <c r="H320" s="31"/>
      <c r="I320" s="31"/>
      <c r="J320" s="31"/>
      <c r="K320" s="31" t="s">
        <v>73</v>
      </c>
      <c r="L320" s="31" t="s">
        <v>200</v>
      </c>
      <c r="M320" s="31" t="s">
        <v>201</v>
      </c>
      <c r="N320" s="31" t="s">
        <v>76</v>
      </c>
      <c r="O320" s="31" t="e">
        <f>VLOOKUP(Tabla15[[#This Row],[Matricula Antigua]],BAJA2022202320242025!$B$3:$CR$245,93,FALSE)</f>
        <v>#N/A</v>
      </c>
      <c r="P320" s="32">
        <v>44860</v>
      </c>
      <c r="Q320" s="32" t="e">
        <f>Tabla15[[#This Row],[F.Vig.Final]]-Tabla15[[#This Row],[f Vig Inicio]]</f>
        <v>#N/A</v>
      </c>
      <c r="R320" s="32">
        <f>YEAR(Tabla15[[#This Row],[F.Vig.Final]])</f>
        <v>2022</v>
      </c>
      <c r="S320" s="31" t="s">
        <v>77</v>
      </c>
      <c r="T320" s="31" t="s">
        <v>78</v>
      </c>
      <c r="U320" s="31" t="s">
        <v>359</v>
      </c>
      <c r="V320" s="31" t="s">
        <v>1559</v>
      </c>
      <c r="W320" s="31" t="s">
        <v>131</v>
      </c>
      <c r="X320" s="31" t="s">
        <v>132</v>
      </c>
      <c r="Y320" s="31" t="s">
        <v>1390</v>
      </c>
      <c r="Z320" s="16">
        <f>COUNTIF($X$3:X320, X320)</f>
        <v>47</v>
      </c>
      <c r="AA320" s="16"/>
      <c r="AB320" s="16"/>
      <c r="AC320" s="16"/>
      <c r="AD320" s="16"/>
      <c r="AE320" s="16"/>
      <c r="AF320" s="16"/>
      <c r="AG320" s="16"/>
      <c r="AH320" s="16"/>
      <c r="AI320" s="16" t="e">
        <v>#N/A</v>
      </c>
      <c r="AJ320" s="16" t="e">
        <v>#N/A</v>
      </c>
      <c r="AK320" s="16" t="e">
        <v>#N/A</v>
      </c>
      <c r="AL320" s="16" t="e">
        <v>#N/A</v>
      </c>
      <c r="AM320" s="16" t="e">
        <v>#N/A</v>
      </c>
      <c r="AN320" s="17" t="e">
        <v>#N/A</v>
      </c>
      <c r="AO320" s="17" t="e">
        <v>#N/A</v>
      </c>
      <c r="AP320" s="17" t="e">
        <f>Tabla15[[#This Row],[Renov. Flota]]-Tabla15[[#This Row],[Año]]</f>
        <v>#N/A</v>
      </c>
      <c r="AQ320" s="18" t="e">
        <v>#N/A</v>
      </c>
      <c r="AR320" s="18" t="e">
        <f>VLOOKUP(Tabla15[[#This Row],[Matricula nueva]],'ALTA 20242025'!$B$2:$P$242,15,FALSE)</f>
        <v>#N/A</v>
      </c>
      <c r="AS320" s="19" t="e">
        <v>#N/A</v>
      </c>
      <c r="AV320" s="1"/>
      <c r="AW320" s="1" t="e">
        <f>VLOOKUP(Tabla15[[#This Row],[Matricula nueva]],Hoja2!$A$1:$B$224,2,FALSE)</f>
        <v>#N/A</v>
      </c>
      <c r="AX320" s="1" t="str">
        <f>IF(Tabla15[[#This Row],[Columna2]]="M1",5.1,"")</f>
        <v/>
      </c>
      <c r="AY320" s="1"/>
      <c r="AZ320" s="1"/>
      <c r="BA320" s="47">
        <f>IF(Tabla15[[#This Row],[Columna2]]="M1",13073,IF(Tabla15[[#This Row],[Columna2]]="N1",15815,IF(Tabla15[[#This Row],[Columna2]]="L3e",2831,53508)))</f>
        <v>53508</v>
      </c>
      <c r="BB320" s="47" t="e">
        <f>(Tabla15[[#This Row],[CVA]]*Tabla15[[#This Row],[F]]-Tabla15[[#This Row],[CVN]])/100*Tabla15[[#This Row],[L]]</f>
        <v>#VALUE!</v>
      </c>
      <c r="BC320" s="1"/>
      <c r="BD320" s="1" t="e">
        <f>VLOOKUP(B320,Tabla467824[[ID CAE2]:[AE '[kWh']]],6,FALSE)</f>
        <v>#N/A</v>
      </c>
      <c r="BE32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1" spans="1:57" ht="15" hidden="1" x14ac:dyDescent="0.25">
      <c r="A321" t="s">
        <v>1578</v>
      </c>
      <c r="B321"/>
      <c r="C321" s="31" t="s">
        <v>1579</v>
      </c>
      <c r="D321" s="31"/>
      <c r="E321" s="31"/>
      <c r="F321" s="31"/>
      <c r="G321" s="31"/>
      <c r="H321" s="31"/>
      <c r="I321" s="31"/>
      <c r="J321" s="31"/>
      <c r="K321" s="31" t="s">
        <v>73</v>
      </c>
      <c r="L321" s="31" t="s">
        <v>200</v>
      </c>
      <c r="M321" s="31" t="s">
        <v>201</v>
      </c>
      <c r="N321" s="31" t="s">
        <v>76</v>
      </c>
      <c r="O321" s="31" t="e">
        <f>VLOOKUP(Tabla15[[#This Row],[Matricula Antigua]],BAJA2022202320242025!$B$3:$CR$245,93,FALSE)</f>
        <v>#N/A</v>
      </c>
      <c r="P321" s="32">
        <v>44733</v>
      </c>
      <c r="Q321" s="32" t="e">
        <f>Tabla15[[#This Row],[F.Vig.Final]]-Tabla15[[#This Row],[f Vig Inicio]]</f>
        <v>#N/A</v>
      </c>
      <c r="R321" s="32">
        <f>YEAR(Tabla15[[#This Row],[F.Vig.Final]])</f>
        <v>2022</v>
      </c>
      <c r="S321" s="31" t="s">
        <v>77</v>
      </c>
      <c r="T321" s="31" t="s">
        <v>78</v>
      </c>
      <c r="U321" s="31" t="s">
        <v>359</v>
      </c>
      <c r="V321" s="31" t="s">
        <v>604</v>
      </c>
      <c r="W321" s="31" t="s">
        <v>81</v>
      </c>
      <c r="X321" s="31" t="s">
        <v>82</v>
      </c>
      <c r="Y321" s="31" t="s">
        <v>143</v>
      </c>
      <c r="Z321" s="16">
        <f>COUNTIF($X$3:X321, X321)</f>
        <v>17</v>
      </c>
      <c r="AA321" s="16"/>
      <c r="AB321" s="16"/>
      <c r="AC321" s="16"/>
      <c r="AD321" s="16"/>
      <c r="AE321" s="16"/>
      <c r="AF321" s="16"/>
      <c r="AG321" s="16"/>
      <c r="AH321" s="16"/>
      <c r="AI321" s="16" t="e">
        <v>#N/A</v>
      </c>
      <c r="AJ321" s="16" t="e">
        <v>#N/A</v>
      </c>
      <c r="AK321" s="16" t="e">
        <v>#N/A</v>
      </c>
      <c r="AL321" s="16" t="e">
        <v>#N/A</v>
      </c>
      <c r="AM321" s="16" t="e">
        <v>#N/A</v>
      </c>
      <c r="AN321" s="17" t="e">
        <v>#N/A</v>
      </c>
      <c r="AO321" s="17" t="e">
        <v>#N/A</v>
      </c>
      <c r="AP321" s="17" t="e">
        <f>Tabla15[[#This Row],[Renov. Flota]]-Tabla15[[#This Row],[Año]]</f>
        <v>#N/A</v>
      </c>
      <c r="AQ321" s="18" t="e">
        <v>#N/A</v>
      </c>
      <c r="AR321" s="18" t="e">
        <f>VLOOKUP(Tabla15[[#This Row],[Matricula nueva]],'ALTA 20242025'!$B$2:$P$242,15,FALSE)</f>
        <v>#N/A</v>
      </c>
      <c r="AS321" s="19" t="e">
        <v>#N/A</v>
      </c>
      <c r="AV321" s="1"/>
      <c r="AW321" s="1" t="e">
        <f>VLOOKUP(Tabla15[[#This Row],[Matricula nueva]],Hoja2!$A$1:$B$224,2,FALSE)</f>
        <v>#N/A</v>
      </c>
      <c r="AX321" s="1" t="str">
        <f>IF(Tabla15[[#This Row],[Columna2]]="M1",5.1,"")</f>
        <v/>
      </c>
      <c r="AY321" s="1"/>
      <c r="AZ321" s="1"/>
      <c r="BA321" s="47">
        <f>IF(Tabla15[[#This Row],[Columna2]]="M1",13073,IF(Tabla15[[#This Row],[Columna2]]="N1",15815,IF(Tabla15[[#This Row],[Columna2]]="L3e",2831,53508)))</f>
        <v>53508</v>
      </c>
      <c r="BB321" s="47" t="e">
        <f>(Tabla15[[#This Row],[CVA]]*Tabla15[[#This Row],[F]]-Tabla15[[#This Row],[CVN]])/100*Tabla15[[#This Row],[L]]</f>
        <v>#VALUE!</v>
      </c>
      <c r="BC321" s="1"/>
      <c r="BD321" s="1" t="e">
        <f>VLOOKUP(B321,Tabla467824[[ID CAE2]:[AE '[kWh']]],6,FALSE)</f>
        <v>#N/A</v>
      </c>
      <c r="BE32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2" spans="1:57" ht="15" hidden="1" x14ac:dyDescent="0.25">
      <c r="A322" t="s">
        <v>1580</v>
      </c>
      <c r="B322"/>
      <c r="C322" s="31" t="s">
        <v>1581</v>
      </c>
      <c r="D322" s="31"/>
      <c r="E322" s="31"/>
      <c r="F322" s="31"/>
      <c r="G322" s="31"/>
      <c r="H322" s="31"/>
      <c r="I322" s="31"/>
      <c r="J322" s="31"/>
      <c r="K322" s="31" t="s">
        <v>158</v>
      </c>
      <c r="L322" s="31" t="s">
        <v>159</v>
      </c>
      <c r="M322" s="31" t="s">
        <v>158</v>
      </c>
      <c r="N322" s="31" t="s">
        <v>171</v>
      </c>
      <c r="O322" s="31" t="e">
        <f>VLOOKUP(Tabla15[[#This Row],[Matricula Antigua]],BAJA2022202320242025!$B$3:$CR$245,93,FALSE)</f>
        <v>#N/A</v>
      </c>
      <c r="P322" s="32">
        <v>44727</v>
      </c>
      <c r="Q322" s="32" t="e">
        <f>Tabla15[[#This Row],[F.Vig.Final]]-Tabla15[[#This Row],[f Vig Inicio]]</f>
        <v>#N/A</v>
      </c>
      <c r="R322" s="32">
        <f>YEAR(Tabla15[[#This Row],[F.Vig.Final]])</f>
        <v>2022</v>
      </c>
      <c r="S322" s="31" t="s">
        <v>172</v>
      </c>
      <c r="T322" s="31" t="s">
        <v>87</v>
      </c>
      <c r="U322" s="31" t="s">
        <v>726</v>
      </c>
      <c r="V322" s="31" t="s">
        <v>1582</v>
      </c>
      <c r="W322" s="31" t="s">
        <v>336</v>
      </c>
      <c r="X322" s="31" t="s">
        <v>337</v>
      </c>
      <c r="Y322" s="31" t="s">
        <v>1583</v>
      </c>
      <c r="Z322" s="16">
        <f>COUNTIF($X$3:X322, X322)</f>
        <v>31</v>
      </c>
      <c r="AA322" s="16"/>
      <c r="AB322" s="16"/>
      <c r="AC322" s="16"/>
      <c r="AD322" s="16"/>
      <c r="AE322" s="16"/>
      <c r="AF322" s="16"/>
      <c r="AG322" s="16"/>
      <c r="AH322" s="16"/>
      <c r="AI322" s="16" t="e">
        <v>#N/A</v>
      </c>
      <c r="AJ322" s="16" t="e">
        <v>#N/A</v>
      </c>
      <c r="AK322" s="16" t="e">
        <v>#N/A</v>
      </c>
      <c r="AL322" s="16" t="e">
        <v>#N/A</v>
      </c>
      <c r="AM322" s="16" t="e">
        <v>#N/A</v>
      </c>
      <c r="AN322" s="17" t="e">
        <v>#N/A</v>
      </c>
      <c r="AO322" s="17" t="e">
        <v>#N/A</v>
      </c>
      <c r="AP322" s="17" t="e">
        <f>Tabla15[[#This Row],[Renov. Flota]]-Tabla15[[#This Row],[Año]]</f>
        <v>#N/A</v>
      </c>
      <c r="AQ322" s="18" t="e">
        <v>#N/A</v>
      </c>
      <c r="AR322" s="18" t="e">
        <f>VLOOKUP(Tabla15[[#This Row],[Matricula nueva]],'ALTA 20242025'!$B$2:$P$242,15,FALSE)</f>
        <v>#N/A</v>
      </c>
      <c r="AS322" s="19" t="e">
        <v>#N/A</v>
      </c>
      <c r="AV322" s="1"/>
      <c r="AW322" s="1" t="e">
        <f>VLOOKUP(Tabla15[[#This Row],[Matricula nueva]],Hoja2!$A$1:$B$224,2,FALSE)</f>
        <v>#N/A</v>
      </c>
      <c r="AX322" s="1" t="str">
        <f>IF(Tabla15[[#This Row],[Columna2]]="M1",5.1,"")</f>
        <v/>
      </c>
      <c r="AY322" s="1"/>
      <c r="AZ322" s="1"/>
      <c r="BA322" s="47">
        <f>IF(Tabla15[[#This Row],[Columna2]]="M1",13073,IF(Tabla15[[#This Row],[Columna2]]="N1",15815,IF(Tabla15[[#This Row],[Columna2]]="L3e",2831,53508)))</f>
        <v>53508</v>
      </c>
      <c r="BB322" s="47" t="e">
        <f>(Tabla15[[#This Row],[CVA]]*Tabla15[[#This Row],[F]]-Tabla15[[#This Row],[CVN]])/100*Tabla15[[#This Row],[L]]</f>
        <v>#VALUE!</v>
      </c>
      <c r="BC322" s="1"/>
      <c r="BD322" s="1" t="e">
        <f>VLOOKUP(B322,Tabla467824[[ID CAE2]:[AE '[kWh']]],6,FALSE)</f>
        <v>#N/A</v>
      </c>
      <c r="BE32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23" spans="1:57" ht="15" hidden="1" x14ac:dyDescent="0.25">
      <c r="A323" t="s">
        <v>1584</v>
      </c>
      <c r="B323"/>
      <c r="C323" s="31" t="s">
        <v>1585</v>
      </c>
      <c r="D323" s="31"/>
      <c r="E323" s="31"/>
      <c r="F323" s="31"/>
      <c r="G323" s="31"/>
      <c r="H323" s="31"/>
      <c r="I323" s="31"/>
      <c r="J323" s="31"/>
      <c r="K323" s="31" t="s">
        <v>73</v>
      </c>
      <c r="L323" s="31" t="s">
        <v>200</v>
      </c>
      <c r="M323" s="31" t="s">
        <v>201</v>
      </c>
      <c r="N323" s="31" t="s">
        <v>76</v>
      </c>
      <c r="O323" s="31" t="e">
        <f>VLOOKUP(Tabla15[[#This Row],[Matricula Antigua]],BAJA2022202320242025!$B$3:$CR$245,93,FALSE)</f>
        <v>#N/A</v>
      </c>
      <c r="P323" s="32">
        <v>44707</v>
      </c>
      <c r="Q323" s="32" t="e">
        <f>Tabla15[[#This Row],[F.Vig.Final]]-Tabla15[[#This Row],[f Vig Inicio]]</f>
        <v>#N/A</v>
      </c>
      <c r="R323" s="32">
        <f>YEAR(Tabla15[[#This Row],[F.Vig.Final]])</f>
        <v>2022</v>
      </c>
      <c r="S323" s="31" t="s">
        <v>77</v>
      </c>
      <c r="T323" s="31" t="s">
        <v>78</v>
      </c>
      <c r="U323" s="31" t="s">
        <v>359</v>
      </c>
      <c r="V323" s="31" t="s">
        <v>593</v>
      </c>
      <c r="W323" s="31" t="s">
        <v>584</v>
      </c>
      <c r="X323" s="31" t="s">
        <v>585</v>
      </c>
      <c r="Y323" s="31" t="s">
        <v>1586</v>
      </c>
      <c r="Z323" s="16">
        <f>COUNTIF($X$3:X323, X323)</f>
        <v>23</v>
      </c>
      <c r="AA323" s="16"/>
      <c r="AB323" s="16"/>
      <c r="AC323" s="16"/>
      <c r="AD323" s="16"/>
      <c r="AE323" s="16"/>
      <c r="AF323" s="16"/>
      <c r="AG323" s="16"/>
      <c r="AH323" s="16"/>
      <c r="AI323" s="16" t="e">
        <v>#N/A</v>
      </c>
      <c r="AJ323" s="16" t="e">
        <v>#N/A</v>
      </c>
      <c r="AK323" s="16" t="e">
        <v>#N/A</v>
      </c>
      <c r="AL323" s="16" t="e">
        <v>#N/A</v>
      </c>
      <c r="AM323" s="16" t="e">
        <v>#N/A</v>
      </c>
      <c r="AN323" s="17" t="e">
        <v>#N/A</v>
      </c>
      <c r="AO323" s="17" t="e">
        <v>#N/A</v>
      </c>
      <c r="AP323" s="17" t="e">
        <f>Tabla15[[#This Row],[Renov. Flota]]-Tabla15[[#This Row],[Año]]</f>
        <v>#N/A</v>
      </c>
      <c r="AQ323" s="18" t="e">
        <v>#N/A</v>
      </c>
      <c r="AR323" s="18" t="e">
        <f>VLOOKUP(Tabla15[[#This Row],[Matricula nueva]],'ALTA 20242025'!$B$2:$P$242,15,FALSE)</f>
        <v>#N/A</v>
      </c>
      <c r="AS323" s="19" t="e">
        <v>#N/A</v>
      </c>
      <c r="AV323" s="1"/>
      <c r="AW323" s="1" t="e">
        <f>VLOOKUP(Tabla15[[#This Row],[Matricula nueva]],Hoja2!$A$1:$B$224,2,FALSE)</f>
        <v>#N/A</v>
      </c>
      <c r="AX323" s="1" t="str">
        <f>IF(Tabla15[[#This Row],[Columna2]]="M1",5.1,"")</f>
        <v/>
      </c>
      <c r="AY323" s="1"/>
      <c r="AZ323" s="1"/>
      <c r="BA323" s="47">
        <f>IF(Tabla15[[#This Row],[Columna2]]="M1",13073,IF(Tabla15[[#This Row],[Columna2]]="N1",15815,IF(Tabla15[[#This Row],[Columna2]]="L3e",2831,53508)))</f>
        <v>53508</v>
      </c>
      <c r="BB323" s="47" t="e">
        <f>(Tabla15[[#This Row],[CVA]]*Tabla15[[#This Row],[F]]-Tabla15[[#This Row],[CVN]])/100*Tabla15[[#This Row],[L]]</f>
        <v>#VALUE!</v>
      </c>
      <c r="BC323" s="1"/>
      <c r="BD323" s="1" t="e">
        <f>VLOOKUP(B323,Tabla467824[[ID CAE2]:[AE '[kWh']]],6,FALSE)</f>
        <v>#N/A</v>
      </c>
      <c r="BE32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4" spans="1:57" ht="15" hidden="1" x14ac:dyDescent="0.25">
      <c r="A324" t="s">
        <v>1587</v>
      </c>
      <c r="B324"/>
      <c r="C324" s="31" t="s">
        <v>1588</v>
      </c>
      <c r="D324" s="31"/>
      <c r="E324" s="31"/>
      <c r="F324" s="31"/>
      <c r="G324" s="31"/>
      <c r="H324" s="31"/>
      <c r="I324" s="31"/>
      <c r="J324" s="31"/>
      <c r="K324" s="31" t="s">
        <v>73</v>
      </c>
      <c r="L324" s="31" t="s">
        <v>200</v>
      </c>
      <c r="M324" s="31" t="s">
        <v>201</v>
      </c>
      <c r="N324" s="31" t="s">
        <v>76</v>
      </c>
      <c r="O324" s="31" t="e">
        <f>VLOOKUP(Tabla15[[#This Row],[Matricula Antigua]],BAJA2022202320242025!$B$3:$CR$245,93,FALSE)</f>
        <v>#N/A</v>
      </c>
      <c r="P324" s="32">
        <v>44705</v>
      </c>
      <c r="Q324" s="32" t="e">
        <f>Tabla15[[#This Row],[F.Vig.Final]]-Tabla15[[#This Row],[f Vig Inicio]]</f>
        <v>#N/A</v>
      </c>
      <c r="R324" s="32">
        <f>YEAR(Tabla15[[#This Row],[F.Vig.Final]])</f>
        <v>2022</v>
      </c>
      <c r="S324" s="31" t="s">
        <v>77</v>
      </c>
      <c r="T324" s="31" t="s">
        <v>78</v>
      </c>
      <c r="U324" s="31" t="s">
        <v>359</v>
      </c>
      <c r="V324" s="31" t="s">
        <v>593</v>
      </c>
      <c r="W324" s="31" t="s">
        <v>584</v>
      </c>
      <c r="X324" s="31" t="s">
        <v>585</v>
      </c>
      <c r="Y324" s="31" t="s">
        <v>1589</v>
      </c>
      <c r="Z324" s="16">
        <f>COUNTIF($X$3:X324, X324)</f>
        <v>24</v>
      </c>
      <c r="AA324" s="16"/>
      <c r="AB324" s="16"/>
      <c r="AC324" s="16"/>
      <c r="AD324" s="16"/>
      <c r="AE324" s="16"/>
      <c r="AF324" s="16"/>
      <c r="AG324" s="16"/>
      <c r="AH324" s="16"/>
      <c r="AI324" s="16" t="e">
        <v>#N/A</v>
      </c>
      <c r="AJ324" s="16" t="e">
        <v>#N/A</v>
      </c>
      <c r="AK324" s="16" t="e">
        <v>#N/A</v>
      </c>
      <c r="AL324" s="16" t="e">
        <v>#N/A</v>
      </c>
      <c r="AM324" s="16" t="e">
        <v>#N/A</v>
      </c>
      <c r="AN324" s="17" t="e">
        <v>#N/A</v>
      </c>
      <c r="AO324" s="17" t="e">
        <v>#N/A</v>
      </c>
      <c r="AP324" s="17" t="e">
        <f>Tabla15[[#This Row],[Renov. Flota]]-Tabla15[[#This Row],[Año]]</f>
        <v>#N/A</v>
      </c>
      <c r="AQ324" s="18" t="e">
        <v>#N/A</v>
      </c>
      <c r="AR324" s="18" t="e">
        <f>VLOOKUP(Tabla15[[#This Row],[Matricula nueva]],'ALTA 20242025'!$B$2:$P$242,15,FALSE)</f>
        <v>#N/A</v>
      </c>
      <c r="AS324" s="19" t="e">
        <v>#N/A</v>
      </c>
      <c r="AV324" s="1"/>
      <c r="AW324" s="1" t="e">
        <f>VLOOKUP(Tabla15[[#This Row],[Matricula nueva]],Hoja2!$A$1:$B$224,2,FALSE)</f>
        <v>#N/A</v>
      </c>
      <c r="AX324" s="1" t="str">
        <f>IF(Tabla15[[#This Row],[Columna2]]="M1",5.1,"")</f>
        <v/>
      </c>
      <c r="AY324" s="1"/>
      <c r="AZ324" s="1"/>
      <c r="BA324" s="47">
        <f>IF(Tabla15[[#This Row],[Columna2]]="M1",13073,IF(Tabla15[[#This Row],[Columna2]]="N1",15815,IF(Tabla15[[#This Row],[Columna2]]="L3e",2831,53508)))</f>
        <v>53508</v>
      </c>
      <c r="BB324" s="47" t="e">
        <f>(Tabla15[[#This Row],[CVA]]*Tabla15[[#This Row],[F]]-Tabla15[[#This Row],[CVN]])/100*Tabla15[[#This Row],[L]]</f>
        <v>#VALUE!</v>
      </c>
      <c r="BC324" s="1"/>
      <c r="BD324" s="1" t="e">
        <f>VLOOKUP(B324,Tabla467824[[ID CAE2]:[AE '[kWh']]],6,FALSE)</f>
        <v>#N/A</v>
      </c>
      <c r="BE32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5" spans="1:57" ht="15" hidden="1" x14ac:dyDescent="0.25">
      <c r="A325" t="s">
        <v>1590</v>
      </c>
      <c r="B325"/>
      <c r="C325" s="31" t="s">
        <v>1591</v>
      </c>
      <c r="D325" s="31"/>
      <c r="E325" s="31"/>
      <c r="F325" s="31"/>
      <c r="G325" s="31"/>
      <c r="H325" s="31"/>
      <c r="I325" s="31"/>
      <c r="J325" s="31"/>
      <c r="K325" s="31" t="s">
        <v>129</v>
      </c>
      <c r="L325" s="31" t="s">
        <v>74</v>
      </c>
      <c r="M325" s="31" t="s">
        <v>75</v>
      </c>
      <c r="N325" s="31" t="s">
        <v>76</v>
      </c>
      <c r="O325" s="31" t="e">
        <f>VLOOKUP(Tabla15[[#This Row],[Matricula Antigua]],BAJA2022202320242025!$B$3:$CR$245,93,FALSE)</f>
        <v>#N/A</v>
      </c>
      <c r="P325" s="32">
        <v>44845</v>
      </c>
      <c r="Q325" s="32" t="e">
        <f>Tabla15[[#This Row],[F.Vig.Final]]-Tabla15[[#This Row],[f Vig Inicio]]</f>
        <v>#N/A</v>
      </c>
      <c r="R325" s="32">
        <f>YEAR(Tabla15[[#This Row],[F.Vig.Final]])</f>
        <v>2022</v>
      </c>
      <c r="S325" s="31" t="s">
        <v>77</v>
      </c>
      <c r="T325" s="31" t="s">
        <v>78</v>
      </c>
      <c r="U325" s="31" t="s">
        <v>79</v>
      </c>
      <c r="V325" s="31" t="s">
        <v>1592</v>
      </c>
      <c r="W325" s="31" t="s">
        <v>131</v>
      </c>
      <c r="X325" s="31" t="s">
        <v>132</v>
      </c>
      <c r="Y325" s="31" t="s">
        <v>793</v>
      </c>
      <c r="Z325" s="16">
        <f>COUNTIF($X$3:X325, X325)</f>
        <v>48</v>
      </c>
      <c r="AA325" s="16"/>
      <c r="AB325" s="16"/>
      <c r="AC325" s="16"/>
      <c r="AD325" s="16"/>
      <c r="AE325" s="16"/>
      <c r="AF325" s="16"/>
      <c r="AG325" s="16"/>
      <c r="AH325" s="16"/>
      <c r="AI325" s="16" t="e">
        <v>#N/A</v>
      </c>
      <c r="AJ325" s="16" t="e">
        <v>#N/A</v>
      </c>
      <c r="AK325" s="16" t="e">
        <v>#N/A</v>
      </c>
      <c r="AL325" s="16" t="e">
        <v>#N/A</v>
      </c>
      <c r="AM325" s="16" t="e">
        <v>#N/A</v>
      </c>
      <c r="AN325" s="17" t="e">
        <v>#N/A</v>
      </c>
      <c r="AO325" s="17" t="e">
        <v>#N/A</v>
      </c>
      <c r="AP325" s="17" t="e">
        <f>Tabla15[[#This Row],[Renov. Flota]]-Tabla15[[#This Row],[Año]]</f>
        <v>#N/A</v>
      </c>
      <c r="AQ325" s="18" t="e">
        <v>#N/A</v>
      </c>
      <c r="AR325" s="18" t="e">
        <f>VLOOKUP(Tabla15[[#This Row],[Matricula nueva]],'ALTA 20242025'!$B$2:$P$242,15,FALSE)</f>
        <v>#N/A</v>
      </c>
      <c r="AS325" s="19" t="e">
        <v>#N/A</v>
      </c>
      <c r="AV325" s="1"/>
      <c r="AW325" s="1" t="e">
        <f>VLOOKUP(Tabla15[[#This Row],[Matricula nueva]],Hoja2!$A$1:$B$224,2,FALSE)</f>
        <v>#N/A</v>
      </c>
      <c r="AX325" s="1" t="str">
        <f>IF(Tabla15[[#This Row],[Columna2]]="M1",5.1,"")</f>
        <v/>
      </c>
      <c r="AY325" s="1"/>
      <c r="AZ325" s="1"/>
      <c r="BA325" s="47">
        <f>IF(Tabla15[[#This Row],[Columna2]]="M1",13073,IF(Tabla15[[#This Row],[Columna2]]="N1",15815,IF(Tabla15[[#This Row],[Columna2]]="L3e",2831,53508)))</f>
        <v>53508</v>
      </c>
      <c r="BB325" s="47" t="e">
        <f>(Tabla15[[#This Row],[CVA]]*Tabla15[[#This Row],[F]]-Tabla15[[#This Row],[CVN]])/100*Tabla15[[#This Row],[L]]</f>
        <v>#VALUE!</v>
      </c>
      <c r="BC325" s="1"/>
      <c r="BD325" s="1" t="e">
        <f>VLOOKUP(B325,Tabla467824[[ID CAE2]:[AE '[kWh']]],6,FALSE)</f>
        <v>#N/A</v>
      </c>
      <c r="BE32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6" spans="1:57" ht="15" hidden="1" x14ac:dyDescent="0.25">
      <c r="A326" t="s">
        <v>1593</v>
      </c>
      <c r="B326"/>
      <c r="C326" s="31" t="s">
        <v>1594</v>
      </c>
      <c r="D326" s="31"/>
      <c r="E326" s="31"/>
      <c r="F326" s="31"/>
      <c r="G326" s="31"/>
      <c r="H326" s="31"/>
      <c r="I326" s="31"/>
      <c r="J326" s="31"/>
      <c r="K326" s="31" t="s">
        <v>73</v>
      </c>
      <c r="L326" s="31" t="s">
        <v>172</v>
      </c>
      <c r="M326" s="31" t="s">
        <v>1127</v>
      </c>
      <c r="N326" s="31" t="s">
        <v>76</v>
      </c>
      <c r="O326" s="31" t="e">
        <f>VLOOKUP(Tabla15[[#This Row],[Matricula Antigua]],BAJA2022202320242025!$B$3:$CR$245,93,FALSE)</f>
        <v>#N/A</v>
      </c>
      <c r="P326" s="32">
        <v>44772</v>
      </c>
      <c r="Q326" s="32" t="e">
        <f>Tabla15[[#This Row],[F.Vig.Final]]-Tabla15[[#This Row],[f Vig Inicio]]</f>
        <v>#N/A</v>
      </c>
      <c r="R326" s="32">
        <f>YEAR(Tabla15[[#This Row],[F.Vig.Final]])</f>
        <v>2022</v>
      </c>
      <c r="S326" s="31" t="s">
        <v>77</v>
      </c>
      <c r="T326" s="31" t="s">
        <v>78</v>
      </c>
      <c r="U326" s="31" t="s">
        <v>1362</v>
      </c>
      <c r="V326" s="31" t="s">
        <v>1367</v>
      </c>
      <c r="W326" s="31" t="s">
        <v>215</v>
      </c>
      <c r="X326" s="31" t="s">
        <v>216</v>
      </c>
      <c r="Y326" s="31" t="s">
        <v>217</v>
      </c>
      <c r="Z326" s="16">
        <f>COUNTIF($X$3:X326, X326)</f>
        <v>8</v>
      </c>
      <c r="AA326" s="16"/>
      <c r="AB326" s="16"/>
      <c r="AC326" s="16"/>
      <c r="AD326" s="16"/>
      <c r="AE326" s="16"/>
      <c r="AF326" s="16"/>
      <c r="AG326" s="16"/>
      <c r="AH326" s="16"/>
      <c r="AI326" s="16" t="e">
        <v>#N/A</v>
      </c>
      <c r="AJ326" s="16" t="e">
        <v>#N/A</v>
      </c>
      <c r="AK326" s="16" t="e">
        <v>#N/A</v>
      </c>
      <c r="AL326" s="16" t="e">
        <v>#N/A</v>
      </c>
      <c r="AM326" s="16" t="e">
        <v>#N/A</v>
      </c>
      <c r="AN326" s="17" t="e">
        <v>#N/A</v>
      </c>
      <c r="AO326" s="17" t="e">
        <v>#N/A</v>
      </c>
      <c r="AP326" s="17" t="e">
        <f>Tabla15[[#This Row],[Renov. Flota]]-Tabla15[[#This Row],[Año]]</f>
        <v>#N/A</v>
      </c>
      <c r="AQ326" s="18" t="e">
        <v>#N/A</v>
      </c>
      <c r="AR326" s="18" t="e">
        <f>VLOOKUP(Tabla15[[#This Row],[Matricula nueva]],'ALTA 20242025'!$B$2:$P$242,15,FALSE)</f>
        <v>#N/A</v>
      </c>
      <c r="AS326" s="19" t="e">
        <v>#N/A</v>
      </c>
      <c r="AV326" s="1"/>
      <c r="AW326" s="1" t="e">
        <f>VLOOKUP(Tabla15[[#This Row],[Matricula nueva]],Hoja2!$A$1:$B$224,2,FALSE)</f>
        <v>#N/A</v>
      </c>
      <c r="AX326" s="1" t="str">
        <f>IF(Tabla15[[#This Row],[Columna2]]="M1",5.1,"")</f>
        <v/>
      </c>
      <c r="AY326" s="1"/>
      <c r="AZ326" s="1"/>
      <c r="BA326" s="47">
        <f>IF(Tabla15[[#This Row],[Columna2]]="M1",13073,IF(Tabla15[[#This Row],[Columna2]]="N1",15815,IF(Tabla15[[#This Row],[Columna2]]="L3e",2831,53508)))</f>
        <v>53508</v>
      </c>
      <c r="BB326" s="47" t="e">
        <f>(Tabla15[[#This Row],[CVA]]*Tabla15[[#This Row],[F]]-Tabla15[[#This Row],[CVN]])/100*Tabla15[[#This Row],[L]]</f>
        <v>#VALUE!</v>
      </c>
      <c r="BC326" s="1"/>
      <c r="BD326" s="1" t="e">
        <f>VLOOKUP(B326,Tabla467824[[ID CAE2]:[AE '[kWh']]],6,FALSE)</f>
        <v>#N/A</v>
      </c>
      <c r="BE32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7" spans="1:57" ht="15" hidden="1" x14ac:dyDescent="0.25">
      <c r="A327" t="s">
        <v>1595</v>
      </c>
      <c r="B327"/>
      <c r="C327" s="31" t="s">
        <v>1596</v>
      </c>
      <c r="D327" s="31"/>
      <c r="E327" s="31"/>
      <c r="F327" s="31"/>
      <c r="G327" s="31"/>
      <c r="H327" s="31"/>
      <c r="I327" s="31"/>
      <c r="J327" s="31"/>
      <c r="K327" s="31" t="s">
        <v>73</v>
      </c>
      <c r="L327" s="31" t="s">
        <v>200</v>
      </c>
      <c r="M327" s="31" t="s">
        <v>201</v>
      </c>
      <c r="N327" s="31" t="s">
        <v>76</v>
      </c>
      <c r="O327" s="31" t="e">
        <f>VLOOKUP(Tabla15[[#This Row],[Matricula Antigua]],BAJA2022202320242025!$B$3:$CR$245,93,FALSE)</f>
        <v>#N/A</v>
      </c>
      <c r="P327" s="32">
        <v>44712</v>
      </c>
      <c r="Q327" s="32" t="e">
        <f>Tabla15[[#This Row],[F.Vig.Final]]-Tabla15[[#This Row],[f Vig Inicio]]</f>
        <v>#N/A</v>
      </c>
      <c r="R327" s="32">
        <f>YEAR(Tabla15[[#This Row],[F.Vig.Final]])</f>
        <v>2022</v>
      </c>
      <c r="S327" s="31" t="s">
        <v>77</v>
      </c>
      <c r="T327" s="31" t="s">
        <v>78</v>
      </c>
      <c r="U327" s="31" t="s">
        <v>359</v>
      </c>
      <c r="V327" s="31" t="s">
        <v>593</v>
      </c>
      <c r="W327" s="31" t="s">
        <v>81</v>
      </c>
      <c r="X327" s="31" t="s">
        <v>82</v>
      </c>
      <c r="Y327" s="31" t="s">
        <v>174</v>
      </c>
      <c r="Z327" s="16">
        <f>COUNTIF($X$3:X327, X327)</f>
        <v>18</v>
      </c>
      <c r="AA327" s="16"/>
      <c r="AB327" s="16"/>
      <c r="AC327" s="16"/>
      <c r="AD327" s="16"/>
      <c r="AE327" s="16"/>
      <c r="AF327" s="16"/>
      <c r="AG327" s="16"/>
      <c r="AH327" s="16"/>
      <c r="AI327" s="16" t="e">
        <v>#N/A</v>
      </c>
      <c r="AJ327" s="16" t="e">
        <v>#N/A</v>
      </c>
      <c r="AK327" s="16" t="e">
        <v>#N/A</v>
      </c>
      <c r="AL327" s="16" t="e">
        <v>#N/A</v>
      </c>
      <c r="AM327" s="16" t="e">
        <v>#N/A</v>
      </c>
      <c r="AN327" s="17" t="e">
        <v>#N/A</v>
      </c>
      <c r="AO327" s="17" t="e">
        <v>#N/A</v>
      </c>
      <c r="AP327" s="17" t="e">
        <f>Tabla15[[#This Row],[Renov. Flota]]-Tabla15[[#This Row],[Año]]</f>
        <v>#N/A</v>
      </c>
      <c r="AQ327" s="18" t="e">
        <v>#N/A</v>
      </c>
      <c r="AR327" s="18" t="e">
        <f>VLOOKUP(Tabla15[[#This Row],[Matricula nueva]],'ALTA 20242025'!$B$2:$P$242,15,FALSE)</f>
        <v>#N/A</v>
      </c>
      <c r="AS327" s="19" t="e">
        <v>#N/A</v>
      </c>
      <c r="AV327" s="1"/>
      <c r="AW327" s="1" t="e">
        <f>VLOOKUP(Tabla15[[#This Row],[Matricula nueva]],Hoja2!$A$1:$B$224,2,FALSE)</f>
        <v>#N/A</v>
      </c>
      <c r="AX327" s="1" t="str">
        <f>IF(Tabla15[[#This Row],[Columna2]]="M1",5.1,"")</f>
        <v/>
      </c>
      <c r="AY327" s="1"/>
      <c r="AZ327" s="1"/>
      <c r="BA327" s="47">
        <f>IF(Tabla15[[#This Row],[Columna2]]="M1",13073,IF(Tabla15[[#This Row],[Columna2]]="N1",15815,IF(Tabla15[[#This Row],[Columna2]]="L3e",2831,53508)))</f>
        <v>53508</v>
      </c>
      <c r="BB327" s="47" t="e">
        <f>(Tabla15[[#This Row],[CVA]]*Tabla15[[#This Row],[F]]-Tabla15[[#This Row],[CVN]])/100*Tabla15[[#This Row],[L]]</f>
        <v>#VALUE!</v>
      </c>
      <c r="BC327" s="1"/>
      <c r="BD327" s="1" t="e">
        <f>VLOOKUP(B327,Tabla467824[[ID CAE2]:[AE '[kWh']]],6,FALSE)</f>
        <v>#N/A</v>
      </c>
      <c r="BE32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8" spans="1:57" ht="15" hidden="1" x14ac:dyDescent="0.25">
      <c r="A328" t="s">
        <v>1597</v>
      </c>
      <c r="B328"/>
      <c r="C328" s="31" t="s">
        <v>1598</v>
      </c>
      <c r="D328" s="31"/>
      <c r="E328" s="31"/>
      <c r="F328" s="31"/>
      <c r="G328" s="31"/>
      <c r="H328" s="31"/>
      <c r="I328" s="31"/>
      <c r="J328" s="31"/>
      <c r="K328" s="31" t="s">
        <v>73</v>
      </c>
      <c r="L328" s="31" t="s">
        <v>200</v>
      </c>
      <c r="M328" s="31" t="s">
        <v>201</v>
      </c>
      <c r="N328" s="31" t="s">
        <v>76</v>
      </c>
      <c r="O328" s="31" t="e">
        <f>VLOOKUP(Tabla15[[#This Row],[Matricula Antigua]],BAJA2022202320242025!$B$3:$CR$245,93,FALSE)</f>
        <v>#N/A</v>
      </c>
      <c r="P328" s="32">
        <v>44721</v>
      </c>
      <c r="Q328" s="32" t="e">
        <f>Tabla15[[#This Row],[F.Vig.Final]]-Tabla15[[#This Row],[f Vig Inicio]]</f>
        <v>#N/A</v>
      </c>
      <c r="R328" s="32">
        <f>YEAR(Tabla15[[#This Row],[F.Vig.Final]])</f>
        <v>2022</v>
      </c>
      <c r="S328" s="31" t="s">
        <v>77</v>
      </c>
      <c r="T328" s="31" t="s">
        <v>78</v>
      </c>
      <c r="U328" s="31" t="s">
        <v>359</v>
      </c>
      <c r="V328" s="31" t="s">
        <v>1559</v>
      </c>
      <c r="W328" s="31" t="s">
        <v>584</v>
      </c>
      <c r="X328" s="31" t="s">
        <v>585</v>
      </c>
      <c r="Y328" s="31" t="s">
        <v>1599</v>
      </c>
      <c r="Z328" s="16">
        <f>COUNTIF($X$3:X328, X328)</f>
        <v>25</v>
      </c>
      <c r="AA328" s="16"/>
      <c r="AB328" s="16"/>
      <c r="AC328" s="16"/>
      <c r="AD328" s="16"/>
      <c r="AE328" s="16"/>
      <c r="AF328" s="16"/>
      <c r="AG328" s="16"/>
      <c r="AH328" s="16"/>
      <c r="AI328" s="16" t="e">
        <v>#N/A</v>
      </c>
      <c r="AJ328" s="16" t="e">
        <v>#N/A</v>
      </c>
      <c r="AK328" s="16" t="e">
        <v>#N/A</v>
      </c>
      <c r="AL328" s="16" t="e">
        <v>#N/A</v>
      </c>
      <c r="AM328" s="16" t="e">
        <v>#N/A</v>
      </c>
      <c r="AN328" s="17" t="e">
        <v>#N/A</v>
      </c>
      <c r="AO328" s="17" t="e">
        <v>#N/A</v>
      </c>
      <c r="AP328" s="17" t="e">
        <f>Tabla15[[#This Row],[Renov. Flota]]-Tabla15[[#This Row],[Año]]</f>
        <v>#N/A</v>
      </c>
      <c r="AQ328" s="18" t="e">
        <v>#N/A</v>
      </c>
      <c r="AR328" s="18" t="e">
        <f>VLOOKUP(Tabla15[[#This Row],[Matricula nueva]],'ALTA 20242025'!$B$2:$P$242,15,FALSE)</f>
        <v>#N/A</v>
      </c>
      <c r="AS328" s="19" t="e">
        <v>#N/A</v>
      </c>
      <c r="AV328" s="1"/>
      <c r="AW328" s="1" t="e">
        <f>VLOOKUP(Tabla15[[#This Row],[Matricula nueva]],Hoja2!$A$1:$B$224,2,FALSE)</f>
        <v>#N/A</v>
      </c>
      <c r="AX328" s="1" t="str">
        <f>IF(Tabla15[[#This Row],[Columna2]]="M1",5.1,"")</f>
        <v/>
      </c>
      <c r="AY328" s="1"/>
      <c r="AZ328" s="1"/>
      <c r="BA328" s="47">
        <f>IF(Tabla15[[#This Row],[Columna2]]="M1",13073,IF(Tabla15[[#This Row],[Columna2]]="N1",15815,IF(Tabla15[[#This Row],[Columna2]]="L3e",2831,53508)))</f>
        <v>53508</v>
      </c>
      <c r="BB328" s="47" t="e">
        <f>(Tabla15[[#This Row],[CVA]]*Tabla15[[#This Row],[F]]-Tabla15[[#This Row],[CVN]])/100*Tabla15[[#This Row],[L]]</f>
        <v>#VALUE!</v>
      </c>
      <c r="BC328" s="1"/>
      <c r="BD328" s="1" t="e">
        <f>VLOOKUP(B328,Tabla467824[[ID CAE2]:[AE '[kWh']]],6,FALSE)</f>
        <v>#N/A</v>
      </c>
      <c r="BE32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29" spans="1:57" ht="15" hidden="1" x14ac:dyDescent="0.25">
      <c r="A329" t="s">
        <v>1600</v>
      </c>
      <c r="B329"/>
      <c r="C329" s="31" t="s">
        <v>1601</v>
      </c>
      <c r="D329" s="31"/>
      <c r="E329" s="31"/>
      <c r="F329" s="31"/>
      <c r="G329" s="31"/>
      <c r="H329" s="31"/>
      <c r="I329" s="31"/>
      <c r="J329" s="31"/>
      <c r="K329" s="31" t="s">
        <v>466</v>
      </c>
      <c r="L329" s="31" t="s">
        <v>200</v>
      </c>
      <c r="M329" s="31" t="s">
        <v>201</v>
      </c>
      <c r="N329" s="31" t="s">
        <v>76</v>
      </c>
      <c r="O329" s="31" t="e">
        <f>VLOOKUP(Tabla15[[#This Row],[Matricula Antigua]],BAJA2022202320242025!$B$3:$CR$245,93,FALSE)</f>
        <v>#N/A</v>
      </c>
      <c r="P329" s="32">
        <v>44699</v>
      </c>
      <c r="Q329" s="32" t="e">
        <f>Tabla15[[#This Row],[F.Vig.Final]]-Tabla15[[#This Row],[f Vig Inicio]]</f>
        <v>#N/A</v>
      </c>
      <c r="R329" s="32">
        <f>YEAR(Tabla15[[#This Row],[F.Vig.Final]])</f>
        <v>2022</v>
      </c>
      <c r="S329" s="31" t="s">
        <v>77</v>
      </c>
      <c r="T329" s="31" t="s">
        <v>78</v>
      </c>
      <c r="U329" s="31" t="s">
        <v>467</v>
      </c>
      <c r="V329" s="31" t="s">
        <v>1602</v>
      </c>
      <c r="W329" s="31" t="s">
        <v>1124</v>
      </c>
      <c r="X329" s="31" t="s">
        <v>1125</v>
      </c>
      <c r="Y329" s="31" t="s">
        <v>312</v>
      </c>
      <c r="Z329" s="16">
        <f>COUNTIF($X$3:X329, X329)</f>
        <v>3</v>
      </c>
      <c r="AA329" s="16"/>
      <c r="AB329" s="16"/>
      <c r="AC329" s="16"/>
      <c r="AD329" s="16"/>
      <c r="AE329" s="16"/>
      <c r="AF329" s="16"/>
      <c r="AG329" s="16"/>
      <c r="AH329" s="16"/>
      <c r="AI329" s="16" t="e">
        <v>#N/A</v>
      </c>
      <c r="AJ329" s="16" t="e">
        <v>#N/A</v>
      </c>
      <c r="AK329" s="16" t="e">
        <v>#N/A</v>
      </c>
      <c r="AL329" s="16" t="e">
        <v>#N/A</v>
      </c>
      <c r="AM329" s="16" t="e">
        <v>#N/A</v>
      </c>
      <c r="AN329" s="17" t="e">
        <v>#N/A</v>
      </c>
      <c r="AO329" s="17" t="e">
        <v>#N/A</v>
      </c>
      <c r="AP329" s="17" t="e">
        <f>Tabla15[[#This Row],[Renov. Flota]]-Tabla15[[#This Row],[Año]]</f>
        <v>#N/A</v>
      </c>
      <c r="AQ329" s="18" t="e">
        <v>#N/A</v>
      </c>
      <c r="AR329" s="18" t="e">
        <f>VLOOKUP(Tabla15[[#This Row],[Matricula nueva]],'ALTA 20242025'!$B$2:$P$242,15,FALSE)</f>
        <v>#N/A</v>
      </c>
      <c r="AS329" s="19" t="e">
        <v>#N/A</v>
      </c>
      <c r="AV329" s="1"/>
      <c r="AW329" s="1" t="e">
        <f>VLOOKUP(Tabla15[[#This Row],[Matricula nueva]],Hoja2!$A$1:$B$224,2,FALSE)</f>
        <v>#N/A</v>
      </c>
      <c r="AX329" s="1" t="str">
        <f>IF(Tabla15[[#This Row],[Columna2]]="M1",5.1,"")</f>
        <v/>
      </c>
      <c r="AY329" s="1"/>
      <c r="AZ329" s="1"/>
      <c r="BA329" s="47">
        <f>IF(Tabla15[[#This Row],[Columna2]]="M1",13073,IF(Tabla15[[#This Row],[Columna2]]="N1",15815,IF(Tabla15[[#This Row],[Columna2]]="L3e",2831,53508)))</f>
        <v>53508</v>
      </c>
      <c r="BB329" s="47" t="e">
        <f>(Tabla15[[#This Row],[CVA]]*Tabla15[[#This Row],[F]]-Tabla15[[#This Row],[CVN]])/100*Tabla15[[#This Row],[L]]</f>
        <v>#VALUE!</v>
      </c>
      <c r="BC329" s="1"/>
      <c r="BD329" s="1" t="e">
        <f>VLOOKUP(B329,Tabla467824[[ID CAE2]:[AE '[kWh']]],6,FALSE)</f>
        <v>#N/A</v>
      </c>
      <c r="BE32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0" spans="1:57" ht="15" hidden="1" x14ac:dyDescent="0.25">
      <c r="A330" t="s">
        <v>1603</v>
      </c>
      <c r="B330"/>
      <c r="C330" s="31" t="s">
        <v>1604</v>
      </c>
      <c r="D330" s="31"/>
      <c r="E330" s="31"/>
      <c r="F330" s="31"/>
      <c r="G330" s="31"/>
      <c r="H330" s="31"/>
      <c r="I330" s="31"/>
      <c r="J330" s="31"/>
      <c r="K330" s="31" t="s">
        <v>73</v>
      </c>
      <c r="L330" s="31" t="s">
        <v>200</v>
      </c>
      <c r="M330" s="31" t="s">
        <v>201</v>
      </c>
      <c r="N330" s="31" t="s">
        <v>76</v>
      </c>
      <c r="O330" s="31" t="e">
        <f>VLOOKUP(Tabla15[[#This Row],[Matricula Antigua]],BAJA2022202320242025!$B$3:$CR$245,93,FALSE)</f>
        <v>#N/A</v>
      </c>
      <c r="P330" s="32">
        <v>44721</v>
      </c>
      <c r="Q330" s="32" t="e">
        <f>Tabla15[[#This Row],[F.Vig.Final]]-Tabla15[[#This Row],[f Vig Inicio]]</f>
        <v>#N/A</v>
      </c>
      <c r="R330" s="32">
        <f>YEAR(Tabla15[[#This Row],[F.Vig.Final]])</f>
        <v>2022</v>
      </c>
      <c r="S330" s="31" t="s">
        <v>77</v>
      </c>
      <c r="T330" s="31" t="s">
        <v>78</v>
      </c>
      <c r="U330" s="31" t="s">
        <v>359</v>
      </c>
      <c r="V330" s="31" t="s">
        <v>593</v>
      </c>
      <c r="W330" s="31" t="s">
        <v>1605</v>
      </c>
      <c r="X330" s="31" t="s">
        <v>1606</v>
      </c>
      <c r="Y330" s="31" t="s">
        <v>1607</v>
      </c>
      <c r="Z330" s="16">
        <f>COUNTIF($X$3:X330, X330)</f>
        <v>1</v>
      </c>
      <c r="AA330" s="16"/>
      <c r="AB330" s="16"/>
      <c r="AC330" s="16"/>
      <c r="AD330" s="16"/>
      <c r="AE330" s="16"/>
      <c r="AF330" s="16"/>
      <c r="AG330" s="16"/>
      <c r="AH330" s="16"/>
      <c r="AI330" s="16" t="e">
        <v>#N/A</v>
      </c>
      <c r="AJ330" s="16" t="e">
        <v>#N/A</v>
      </c>
      <c r="AK330" s="16" t="e">
        <v>#N/A</v>
      </c>
      <c r="AL330" s="16" t="e">
        <v>#N/A</v>
      </c>
      <c r="AM330" s="16" t="e">
        <v>#N/A</v>
      </c>
      <c r="AN330" s="17" t="e">
        <v>#N/A</v>
      </c>
      <c r="AO330" s="17" t="e">
        <v>#N/A</v>
      </c>
      <c r="AP330" s="17" t="e">
        <f>Tabla15[[#This Row],[Renov. Flota]]-Tabla15[[#This Row],[Año]]</f>
        <v>#N/A</v>
      </c>
      <c r="AQ330" s="18" t="e">
        <v>#N/A</v>
      </c>
      <c r="AR330" s="18" t="e">
        <f>VLOOKUP(Tabla15[[#This Row],[Matricula nueva]],'ALTA 20242025'!$B$2:$P$242,15,FALSE)</f>
        <v>#N/A</v>
      </c>
      <c r="AS330" s="19" t="e">
        <v>#N/A</v>
      </c>
      <c r="AV330" s="1"/>
      <c r="AW330" s="1" t="e">
        <f>VLOOKUP(Tabla15[[#This Row],[Matricula nueva]],Hoja2!$A$1:$B$224,2,FALSE)</f>
        <v>#N/A</v>
      </c>
      <c r="AX330" s="1" t="str">
        <f>IF(Tabla15[[#This Row],[Columna2]]="M1",5.1,"")</f>
        <v/>
      </c>
      <c r="AY330" s="1"/>
      <c r="AZ330" s="1"/>
      <c r="BA330" s="47">
        <f>IF(Tabla15[[#This Row],[Columna2]]="M1",13073,IF(Tabla15[[#This Row],[Columna2]]="N1",15815,IF(Tabla15[[#This Row],[Columna2]]="L3e",2831,53508)))</f>
        <v>53508</v>
      </c>
      <c r="BB330" s="47" t="e">
        <f>(Tabla15[[#This Row],[CVA]]*Tabla15[[#This Row],[F]]-Tabla15[[#This Row],[CVN]])/100*Tabla15[[#This Row],[L]]</f>
        <v>#VALUE!</v>
      </c>
      <c r="BC330" s="1"/>
      <c r="BD330" s="1" t="e">
        <f>VLOOKUP(B330,Tabla467824[[ID CAE2]:[AE '[kWh']]],6,FALSE)</f>
        <v>#N/A</v>
      </c>
      <c r="BE33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1" spans="1:57" ht="15" hidden="1" x14ac:dyDescent="0.25">
      <c r="A331" t="s">
        <v>1608</v>
      </c>
      <c r="B331"/>
      <c r="C331" s="31" t="s">
        <v>1609</v>
      </c>
      <c r="D331" s="31"/>
      <c r="E331" s="31"/>
      <c r="F331" s="31"/>
      <c r="G331" s="31"/>
      <c r="H331" s="31"/>
      <c r="I331" s="31"/>
      <c r="J331" s="31"/>
      <c r="K331" s="31" t="s">
        <v>73</v>
      </c>
      <c r="L331" s="31" t="s">
        <v>172</v>
      </c>
      <c r="M331" s="31" t="s">
        <v>1127</v>
      </c>
      <c r="N331" s="31" t="s">
        <v>76</v>
      </c>
      <c r="O331" s="31" t="e">
        <f>VLOOKUP(Tabla15[[#This Row],[Matricula Antigua]],BAJA2022202320242025!$B$3:$CR$245,93,FALSE)</f>
        <v>#N/A</v>
      </c>
      <c r="P331" s="32">
        <v>44679</v>
      </c>
      <c r="Q331" s="32" t="e">
        <f>Tabla15[[#This Row],[F.Vig.Final]]-Tabla15[[#This Row],[f Vig Inicio]]</f>
        <v>#N/A</v>
      </c>
      <c r="R331" s="32">
        <f>YEAR(Tabla15[[#This Row],[F.Vig.Final]])</f>
        <v>2022</v>
      </c>
      <c r="S331" s="31" t="s">
        <v>77</v>
      </c>
      <c r="T331" s="31" t="s">
        <v>78</v>
      </c>
      <c r="U331" s="31" t="s">
        <v>85</v>
      </c>
      <c r="V331" s="31" t="s">
        <v>732</v>
      </c>
      <c r="W331" s="31" t="s">
        <v>1124</v>
      </c>
      <c r="X331" s="31" t="s">
        <v>1125</v>
      </c>
      <c r="Y331" s="31" t="s">
        <v>312</v>
      </c>
      <c r="Z331" s="16">
        <f>COUNTIF($X$3:X331, X331)</f>
        <v>4</v>
      </c>
      <c r="AA331" s="16"/>
      <c r="AB331" s="16"/>
      <c r="AC331" s="16"/>
      <c r="AD331" s="16"/>
      <c r="AE331" s="16"/>
      <c r="AF331" s="16"/>
      <c r="AG331" s="16"/>
      <c r="AH331" s="16"/>
      <c r="AI331" s="16" t="e">
        <v>#N/A</v>
      </c>
      <c r="AJ331" s="16" t="e">
        <v>#N/A</v>
      </c>
      <c r="AK331" s="16" t="e">
        <v>#N/A</v>
      </c>
      <c r="AL331" s="16" t="e">
        <v>#N/A</v>
      </c>
      <c r="AM331" s="16" t="e">
        <v>#N/A</v>
      </c>
      <c r="AN331" s="17" t="e">
        <v>#N/A</v>
      </c>
      <c r="AO331" s="17" t="e">
        <v>#N/A</v>
      </c>
      <c r="AP331" s="17" t="e">
        <f>Tabla15[[#This Row],[Renov. Flota]]-Tabla15[[#This Row],[Año]]</f>
        <v>#N/A</v>
      </c>
      <c r="AQ331" s="18" t="e">
        <v>#N/A</v>
      </c>
      <c r="AR331" s="18" t="e">
        <f>VLOOKUP(Tabla15[[#This Row],[Matricula nueva]],'ALTA 20242025'!$B$2:$P$242,15,FALSE)</f>
        <v>#N/A</v>
      </c>
      <c r="AS331" s="19" t="e">
        <v>#N/A</v>
      </c>
      <c r="AV331" s="1"/>
      <c r="AW331" s="1" t="e">
        <f>VLOOKUP(Tabla15[[#This Row],[Matricula nueva]],Hoja2!$A$1:$B$224,2,FALSE)</f>
        <v>#N/A</v>
      </c>
      <c r="AX331" s="1" t="str">
        <f>IF(Tabla15[[#This Row],[Columna2]]="M1",5.1,"")</f>
        <v/>
      </c>
      <c r="AY331" s="1"/>
      <c r="AZ331" s="1"/>
      <c r="BA331" s="47">
        <f>IF(Tabla15[[#This Row],[Columna2]]="M1",13073,IF(Tabla15[[#This Row],[Columna2]]="N1",15815,IF(Tabla15[[#This Row],[Columna2]]="L3e",2831,53508)))</f>
        <v>53508</v>
      </c>
      <c r="BB331" s="47" t="e">
        <f>(Tabla15[[#This Row],[CVA]]*Tabla15[[#This Row],[F]]-Tabla15[[#This Row],[CVN]])/100*Tabla15[[#This Row],[L]]</f>
        <v>#VALUE!</v>
      </c>
      <c r="BC331" s="1"/>
      <c r="BD331" s="1" t="e">
        <f>VLOOKUP(B331,Tabla467824[[ID CAE2]:[AE '[kWh']]],6,FALSE)</f>
        <v>#N/A</v>
      </c>
      <c r="BE33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2" spans="1:57" ht="15" hidden="1" x14ac:dyDescent="0.25">
      <c r="A332" t="s">
        <v>1610</v>
      </c>
      <c r="B332"/>
      <c r="C332" s="31" t="s">
        <v>1611</v>
      </c>
      <c r="D332" s="31"/>
      <c r="E332" s="31"/>
      <c r="F332" s="31"/>
      <c r="G332" s="31"/>
      <c r="H332" s="31"/>
      <c r="I332" s="31"/>
      <c r="J332" s="31"/>
      <c r="K332" s="31" t="s">
        <v>466</v>
      </c>
      <c r="L332" s="31" t="s">
        <v>200</v>
      </c>
      <c r="M332" s="31" t="s">
        <v>201</v>
      </c>
      <c r="N332" s="31" t="s">
        <v>76</v>
      </c>
      <c r="O332" s="31" t="e">
        <f>VLOOKUP(Tabla15[[#This Row],[Matricula Antigua]],BAJA2022202320242025!$B$3:$CR$245,93,FALSE)</f>
        <v>#N/A</v>
      </c>
      <c r="P332" s="32">
        <v>44565</v>
      </c>
      <c r="Q332" s="32" t="e">
        <f>Tabla15[[#This Row],[F.Vig.Final]]-Tabla15[[#This Row],[f Vig Inicio]]</f>
        <v>#N/A</v>
      </c>
      <c r="R332" s="32">
        <f>YEAR(Tabla15[[#This Row],[F.Vig.Final]])</f>
        <v>2022</v>
      </c>
      <c r="S332" s="31" t="s">
        <v>77</v>
      </c>
      <c r="T332" s="31" t="s">
        <v>78</v>
      </c>
      <c r="U332" s="31" t="s">
        <v>1269</v>
      </c>
      <c r="V332" s="31" t="s">
        <v>1612</v>
      </c>
      <c r="W332" s="31" t="s">
        <v>1124</v>
      </c>
      <c r="X332" s="31" t="s">
        <v>1125</v>
      </c>
      <c r="Y332" s="31" t="s">
        <v>312</v>
      </c>
      <c r="Z332" s="16">
        <f>COUNTIF($X$3:X332, X332)</f>
        <v>5</v>
      </c>
      <c r="AA332" s="16"/>
      <c r="AB332" s="16"/>
      <c r="AC332" s="16"/>
      <c r="AD332" s="16"/>
      <c r="AE332" s="16"/>
      <c r="AF332" s="16"/>
      <c r="AG332" s="16"/>
      <c r="AH332" s="16"/>
      <c r="AI332" s="16" t="e">
        <v>#N/A</v>
      </c>
      <c r="AJ332" s="16" t="e">
        <v>#N/A</v>
      </c>
      <c r="AK332" s="16" t="e">
        <v>#N/A</v>
      </c>
      <c r="AL332" s="16" t="e">
        <v>#N/A</v>
      </c>
      <c r="AM332" s="16" t="e">
        <v>#N/A</v>
      </c>
      <c r="AN332" s="17" t="e">
        <v>#N/A</v>
      </c>
      <c r="AO332" s="17" t="e">
        <v>#N/A</v>
      </c>
      <c r="AP332" s="17" t="e">
        <f>Tabla15[[#This Row],[Renov. Flota]]-Tabla15[[#This Row],[Año]]</f>
        <v>#N/A</v>
      </c>
      <c r="AQ332" s="18" t="e">
        <v>#N/A</v>
      </c>
      <c r="AR332" s="18" t="e">
        <f>VLOOKUP(Tabla15[[#This Row],[Matricula nueva]],'ALTA 20242025'!$B$2:$P$242,15,FALSE)</f>
        <v>#N/A</v>
      </c>
      <c r="AS332" s="19" t="e">
        <v>#N/A</v>
      </c>
      <c r="AV332" s="1"/>
      <c r="AW332" s="1" t="e">
        <f>VLOOKUP(Tabla15[[#This Row],[Matricula nueva]],Hoja2!$A$1:$B$224,2,FALSE)</f>
        <v>#N/A</v>
      </c>
      <c r="AX332" s="1" t="str">
        <f>IF(Tabla15[[#This Row],[Columna2]]="M1",5.1,"")</f>
        <v/>
      </c>
      <c r="AY332" s="1"/>
      <c r="AZ332" s="1"/>
      <c r="BA332" s="47">
        <f>IF(Tabla15[[#This Row],[Columna2]]="M1",13073,IF(Tabla15[[#This Row],[Columna2]]="N1",15815,IF(Tabla15[[#This Row],[Columna2]]="L3e",2831,53508)))</f>
        <v>53508</v>
      </c>
      <c r="BB332" s="47" t="e">
        <f>(Tabla15[[#This Row],[CVA]]*Tabla15[[#This Row],[F]]-Tabla15[[#This Row],[CVN]])/100*Tabla15[[#This Row],[L]]</f>
        <v>#VALUE!</v>
      </c>
      <c r="BC332" s="1"/>
      <c r="BD332" s="1" t="e">
        <f>VLOOKUP(B332,Tabla467824[[ID CAE2]:[AE '[kWh']]],6,FALSE)</f>
        <v>#N/A</v>
      </c>
      <c r="BE33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3" spans="1:57" ht="15" hidden="1" x14ac:dyDescent="0.25">
      <c r="A333" t="s">
        <v>1613</v>
      </c>
      <c r="B333"/>
      <c r="C333" s="31" t="s">
        <v>1614</v>
      </c>
      <c r="D333" s="31"/>
      <c r="E333" s="31"/>
      <c r="F333" s="31"/>
      <c r="G333" s="31"/>
      <c r="H333" s="31"/>
      <c r="I333" s="31"/>
      <c r="J333" s="31"/>
      <c r="K333" s="31" t="s">
        <v>73</v>
      </c>
      <c r="L333" s="31" t="s">
        <v>200</v>
      </c>
      <c r="M333" s="31" t="s">
        <v>201</v>
      </c>
      <c r="N333" s="31" t="s">
        <v>76</v>
      </c>
      <c r="O333" s="31" t="e">
        <f>VLOOKUP(Tabla15[[#This Row],[Matricula Antigua]],BAJA2022202320242025!$B$3:$CR$245,93,FALSE)</f>
        <v>#N/A</v>
      </c>
      <c r="P333" s="32">
        <v>44754</v>
      </c>
      <c r="Q333" s="32" t="e">
        <f>Tabla15[[#This Row],[F.Vig.Final]]-Tabla15[[#This Row],[f Vig Inicio]]</f>
        <v>#N/A</v>
      </c>
      <c r="R333" s="32">
        <f>YEAR(Tabla15[[#This Row],[F.Vig.Final]])</f>
        <v>2022</v>
      </c>
      <c r="S333" s="31" t="s">
        <v>77</v>
      </c>
      <c r="T333" s="31" t="s">
        <v>78</v>
      </c>
      <c r="U333" s="31" t="s">
        <v>359</v>
      </c>
      <c r="V333" s="31" t="s">
        <v>593</v>
      </c>
      <c r="W333" s="31" t="s">
        <v>81</v>
      </c>
      <c r="X333" s="31" t="s">
        <v>82</v>
      </c>
      <c r="Y333" s="31" t="s">
        <v>88</v>
      </c>
      <c r="Z333" s="16">
        <f>COUNTIF($X$3:X333, X333)</f>
        <v>19</v>
      </c>
      <c r="AA333" s="16"/>
      <c r="AB333" s="16"/>
      <c r="AC333" s="16"/>
      <c r="AD333" s="16"/>
      <c r="AE333" s="16"/>
      <c r="AF333" s="16"/>
      <c r="AG333" s="16"/>
      <c r="AH333" s="16"/>
      <c r="AI333" s="16" t="e">
        <v>#N/A</v>
      </c>
      <c r="AJ333" s="16" t="e">
        <v>#N/A</v>
      </c>
      <c r="AK333" s="16" t="e">
        <v>#N/A</v>
      </c>
      <c r="AL333" s="16" t="e">
        <v>#N/A</v>
      </c>
      <c r="AM333" s="16" t="e">
        <v>#N/A</v>
      </c>
      <c r="AN333" s="17" t="e">
        <v>#N/A</v>
      </c>
      <c r="AO333" s="17" t="e">
        <v>#N/A</v>
      </c>
      <c r="AP333" s="17" t="e">
        <f>Tabla15[[#This Row],[Renov. Flota]]-Tabla15[[#This Row],[Año]]</f>
        <v>#N/A</v>
      </c>
      <c r="AQ333" s="18" t="e">
        <v>#N/A</v>
      </c>
      <c r="AR333" s="18" t="e">
        <f>VLOOKUP(Tabla15[[#This Row],[Matricula nueva]],'ALTA 20242025'!$B$2:$P$242,15,FALSE)</f>
        <v>#N/A</v>
      </c>
      <c r="AS333" s="19" t="e">
        <v>#N/A</v>
      </c>
      <c r="AV333" s="1"/>
      <c r="AW333" s="1" t="e">
        <f>VLOOKUP(Tabla15[[#This Row],[Matricula nueva]],Hoja2!$A$1:$B$224,2,FALSE)</f>
        <v>#N/A</v>
      </c>
      <c r="AX333" s="1" t="str">
        <f>IF(Tabla15[[#This Row],[Columna2]]="M1",5.1,"")</f>
        <v/>
      </c>
      <c r="AY333" s="1"/>
      <c r="AZ333" s="1"/>
      <c r="BA333" s="47">
        <f>IF(Tabla15[[#This Row],[Columna2]]="M1",13073,IF(Tabla15[[#This Row],[Columna2]]="N1",15815,IF(Tabla15[[#This Row],[Columna2]]="L3e",2831,53508)))</f>
        <v>53508</v>
      </c>
      <c r="BB333" s="47" t="e">
        <f>(Tabla15[[#This Row],[CVA]]*Tabla15[[#This Row],[F]]-Tabla15[[#This Row],[CVN]])/100*Tabla15[[#This Row],[L]]</f>
        <v>#VALUE!</v>
      </c>
      <c r="BC333" s="1"/>
      <c r="BD333" s="1" t="e">
        <f>VLOOKUP(B333,Tabla467824[[ID CAE2]:[AE '[kWh']]],6,FALSE)</f>
        <v>#N/A</v>
      </c>
      <c r="BE33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4" spans="1:57" ht="15" hidden="1" x14ac:dyDescent="0.25">
      <c r="A334" t="s">
        <v>1615</v>
      </c>
      <c r="B334"/>
      <c r="C334" s="31" t="s">
        <v>1616</v>
      </c>
      <c r="D334" s="31"/>
      <c r="E334" s="31"/>
      <c r="F334" s="31"/>
      <c r="G334" s="31"/>
      <c r="H334" s="31"/>
      <c r="I334" s="31"/>
      <c r="J334" s="31"/>
      <c r="K334" s="31" t="s">
        <v>73</v>
      </c>
      <c r="L334" s="31" t="s">
        <v>200</v>
      </c>
      <c r="M334" s="31" t="s">
        <v>201</v>
      </c>
      <c r="N334" s="31" t="s">
        <v>76</v>
      </c>
      <c r="O334" s="31" t="e">
        <f>VLOOKUP(Tabla15[[#This Row],[Matricula Antigua]],BAJA2022202320242025!$B$3:$CR$245,93,FALSE)</f>
        <v>#N/A</v>
      </c>
      <c r="P334" s="32">
        <v>44754</v>
      </c>
      <c r="Q334" s="32" t="e">
        <f>Tabla15[[#This Row],[F.Vig.Final]]-Tabla15[[#This Row],[f Vig Inicio]]</f>
        <v>#N/A</v>
      </c>
      <c r="R334" s="32">
        <f>YEAR(Tabla15[[#This Row],[F.Vig.Final]])</f>
        <v>2022</v>
      </c>
      <c r="S334" s="31" t="s">
        <v>77</v>
      </c>
      <c r="T334" s="31" t="s">
        <v>78</v>
      </c>
      <c r="U334" s="31" t="s">
        <v>359</v>
      </c>
      <c r="V334" s="31" t="s">
        <v>593</v>
      </c>
      <c r="W334" s="31" t="s">
        <v>81</v>
      </c>
      <c r="X334" s="31" t="s">
        <v>82</v>
      </c>
      <c r="Y334" s="31" t="s">
        <v>143</v>
      </c>
      <c r="Z334" s="16">
        <f>COUNTIF($X$3:X334, X334)</f>
        <v>20</v>
      </c>
      <c r="AA334" s="16"/>
      <c r="AB334" s="16"/>
      <c r="AC334" s="16"/>
      <c r="AD334" s="16"/>
      <c r="AE334" s="16"/>
      <c r="AF334" s="16"/>
      <c r="AG334" s="16"/>
      <c r="AH334" s="16"/>
      <c r="AI334" s="16" t="e">
        <v>#N/A</v>
      </c>
      <c r="AJ334" s="16" t="e">
        <v>#N/A</v>
      </c>
      <c r="AK334" s="16" t="e">
        <v>#N/A</v>
      </c>
      <c r="AL334" s="16" t="e">
        <v>#N/A</v>
      </c>
      <c r="AM334" s="16" t="e">
        <v>#N/A</v>
      </c>
      <c r="AN334" s="17" t="e">
        <v>#N/A</v>
      </c>
      <c r="AO334" s="17" t="e">
        <v>#N/A</v>
      </c>
      <c r="AP334" s="17" t="e">
        <f>Tabla15[[#This Row],[Renov. Flota]]-Tabla15[[#This Row],[Año]]</f>
        <v>#N/A</v>
      </c>
      <c r="AQ334" s="18" t="e">
        <v>#N/A</v>
      </c>
      <c r="AR334" s="18" t="e">
        <f>VLOOKUP(Tabla15[[#This Row],[Matricula nueva]],'ALTA 20242025'!$B$2:$P$242,15,FALSE)</f>
        <v>#N/A</v>
      </c>
      <c r="AS334" s="19" t="e">
        <v>#N/A</v>
      </c>
      <c r="AV334" s="1"/>
      <c r="AW334" s="1" t="e">
        <f>VLOOKUP(Tabla15[[#This Row],[Matricula nueva]],Hoja2!$A$1:$B$224,2,FALSE)</f>
        <v>#N/A</v>
      </c>
      <c r="AX334" s="1" t="str">
        <f>IF(Tabla15[[#This Row],[Columna2]]="M1",5.1,"")</f>
        <v/>
      </c>
      <c r="AY334" s="1"/>
      <c r="AZ334" s="1"/>
      <c r="BA334" s="47">
        <f>IF(Tabla15[[#This Row],[Columna2]]="M1",13073,IF(Tabla15[[#This Row],[Columna2]]="N1",15815,IF(Tabla15[[#This Row],[Columna2]]="L3e",2831,53508)))</f>
        <v>53508</v>
      </c>
      <c r="BB334" s="47" t="e">
        <f>(Tabla15[[#This Row],[CVA]]*Tabla15[[#This Row],[F]]-Tabla15[[#This Row],[CVN]])/100*Tabla15[[#This Row],[L]]</f>
        <v>#VALUE!</v>
      </c>
      <c r="BC334" s="1"/>
      <c r="BD334" s="1" t="e">
        <f>VLOOKUP(B334,Tabla467824[[ID CAE2]:[AE '[kWh']]],6,FALSE)</f>
        <v>#N/A</v>
      </c>
      <c r="BE33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5" spans="1:57" ht="15" hidden="1" x14ac:dyDescent="0.25">
      <c r="A335" t="s">
        <v>1617</v>
      </c>
      <c r="B335"/>
      <c r="C335" s="31" t="s">
        <v>1618</v>
      </c>
      <c r="D335" s="31"/>
      <c r="E335" s="31"/>
      <c r="F335" s="31"/>
      <c r="G335" s="31"/>
      <c r="H335" s="31"/>
      <c r="I335" s="31"/>
      <c r="J335" s="31"/>
      <c r="K335" s="31" t="s">
        <v>73</v>
      </c>
      <c r="L335" s="31" t="s">
        <v>200</v>
      </c>
      <c r="M335" s="31" t="s">
        <v>201</v>
      </c>
      <c r="N335" s="31" t="s">
        <v>76</v>
      </c>
      <c r="O335" s="31" t="e">
        <f>VLOOKUP(Tabla15[[#This Row],[Matricula Antigua]],BAJA2022202320242025!$B$3:$CR$245,93,FALSE)</f>
        <v>#N/A</v>
      </c>
      <c r="P335" s="32">
        <v>44754</v>
      </c>
      <c r="Q335" s="32" t="e">
        <f>Tabla15[[#This Row],[F.Vig.Final]]-Tabla15[[#This Row],[f Vig Inicio]]</f>
        <v>#N/A</v>
      </c>
      <c r="R335" s="32">
        <f>YEAR(Tabla15[[#This Row],[F.Vig.Final]])</f>
        <v>2022</v>
      </c>
      <c r="S335" s="31" t="s">
        <v>77</v>
      </c>
      <c r="T335" s="31" t="s">
        <v>78</v>
      </c>
      <c r="U335" s="31" t="s">
        <v>359</v>
      </c>
      <c r="V335" s="31" t="s">
        <v>593</v>
      </c>
      <c r="W335" s="31" t="s">
        <v>81</v>
      </c>
      <c r="X335" s="31" t="s">
        <v>82</v>
      </c>
      <c r="Y335" s="31" t="s">
        <v>88</v>
      </c>
      <c r="Z335" s="16">
        <f>COUNTIF($X$3:X335, X335)</f>
        <v>21</v>
      </c>
      <c r="AA335" s="16"/>
      <c r="AB335" s="16"/>
      <c r="AC335" s="16"/>
      <c r="AD335" s="16"/>
      <c r="AE335" s="16"/>
      <c r="AF335" s="16"/>
      <c r="AG335" s="16"/>
      <c r="AH335" s="16"/>
      <c r="AI335" s="16" t="e">
        <v>#N/A</v>
      </c>
      <c r="AJ335" s="16" t="e">
        <v>#N/A</v>
      </c>
      <c r="AK335" s="16" t="e">
        <v>#N/A</v>
      </c>
      <c r="AL335" s="16" t="e">
        <v>#N/A</v>
      </c>
      <c r="AM335" s="16" t="e">
        <v>#N/A</v>
      </c>
      <c r="AN335" s="17" t="e">
        <v>#N/A</v>
      </c>
      <c r="AO335" s="17" t="e">
        <v>#N/A</v>
      </c>
      <c r="AP335" s="17" t="e">
        <f>Tabla15[[#This Row],[Renov. Flota]]-Tabla15[[#This Row],[Año]]</f>
        <v>#N/A</v>
      </c>
      <c r="AQ335" s="18" t="e">
        <v>#N/A</v>
      </c>
      <c r="AR335" s="18" t="e">
        <f>VLOOKUP(Tabla15[[#This Row],[Matricula nueva]],'ALTA 20242025'!$B$2:$P$242,15,FALSE)</f>
        <v>#N/A</v>
      </c>
      <c r="AS335" s="19" t="e">
        <v>#N/A</v>
      </c>
      <c r="AV335" s="1"/>
      <c r="AW335" s="1" t="e">
        <f>VLOOKUP(Tabla15[[#This Row],[Matricula nueva]],Hoja2!$A$1:$B$224,2,FALSE)</f>
        <v>#N/A</v>
      </c>
      <c r="AX335" s="1" t="str">
        <f>IF(Tabla15[[#This Row],[Columna2]]="M1",5.1,"")</f>
        <v/>
      </c>
      <c r="AY335" s="1"/>
      <c r="AZ335" s="1"/>
      <c r="BA335" s="47">
        <f>IF(Tabla15[[#This Row],[Columna2]]="M1",13073,IF(Tabla15[[#This Row],[Columna2]]="N1",15815,IF(Tabla15[[#This Row],[Columna2]]="L3e",2831,53508)))</f>
        <v>53508</v>
      </c>
      <c r="BB335" s="47" t="e">
        <f>(Tabla15[[#This Row],[CVA]]*Tabla15[[#This Row],[F]]-Tabla15[[#This Row],[CVN]])/100*Tabla15[[#This Row],[L]]</f>
        <v>#VALUE!</v>
      </c>
      <c r="BC335" s="1"/>
      <c r="BD335" s="1" t="e">
        <f>VLOOKUP(B335,Tabla467824[[ID CAE2]:[AE '[kWh']]],6,FALSE)</f>
        <v>#N/A</v>
      </c>
      <c r="BE33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6" spans="1:57" ht="15" hidden="1" x14ac:dyDescent="0.25">
      <c r="A336" t="s">
        <v>1619</v>
      </c>
      <c r="B336"/>
      <c r="C336" s="31" t="s">
        <v>1620</v>
      </c>
      <c r="D336" s="31"/>
      <c r="E336" s="31"/>
      <c r="F336" s="31"/>
      <c r="G336" s="31"/>
      <c r="H336" s="31"/>
      <c r="I336" s="31"/>
      <c r="J336" s="31"/>
      <c r="K336" s="31" t="s">
        <v>1143</v>
      </c>
      <c r="L336" s="31" t="s">
        <v>74</v>
      </c>
      <c r="M336" s="31" t="s">
        <v>75</v>
      </c>
      <c r="N336" s="31" t="s">
        <v>76</v>
      </c>
      <c r="O336" s="31" t="e">
        <f>VLOOKUP(Tabla15[[#This Row],[Matricula Antigua]],BAJA2022202320242025!$B$3:$CR$245,93,FALSE)</f>
        <v>#N/A</v>
      </c>
      <c r="P336" s="32">
        <v>44803</v>
      </c>
      <c r="Q336" s="32" t="e">
        <f>Tabla15[[#This Row],[F.Vig.Final]]-Tabla15[[#This Row],[f Vig Inicio]]</f>
        <v>#N/A</v>
      </c>
      <c r="R336" s="32">
        <f>YEAR(Tabla15[[#This Row],[F.Vig.Final]])</f>
        <v>2022</v>
      </c>
      <c r="S336" s="31" t="s">
        <v>77</v>
      </c>
      <c r="T336" s="31" t="s">
        <v>78</v>
      </c>
      <c r="U336" s="31" t="s">
        <v>1203</v>
      </c>
      <c r="V336" s="31" t="s">
        <v>1049</v>
      </c>
      <c r="W336" s="31" t="s">
        <v>1050</v>
      </c>
      <c r="X336" s="31" t="s">
        <v>1051</v>
      </c>
      <c r="Y336" s="31" t="s">
        <v>1621</v>
      </c>
      <c r="Z336" s="16">
        <f>COUNTIF($X$3:X336, X336)</f>
        <v>12</v>
      </c>
      <c r="AA336" s="16"/>
      <c r="AB336" s="16"/>
      <c r="AC336" s="16"/>
      <c r="AD336" s="16"/>
      <c r="AE336" s="16"/>
      <c r="AF336" s="16"/>
      <c r="AG336" s="16"/>
      <c r="AH336" s="16"/>
      <c r="AI336" s="16" t="e">
        <v>#N/A</v>
      </c>
      <c r="AJ336" s="16" t="e">
        <v>#N/A</v>
      </c>
      <c r="AK336" s="16" t="e">
        <v>#N/A</v>
      </c>
      <c r="AL336" s="16" t="e">
        <v>#N/A</v>
      </c>
      <c r="AM336" s="16" t="e">
        <v>#N/A</v>
      </c>
      <c r="AN336" s="17" t="e">
        <v>#N/A</v>
      </c>
      <c r="AO336" s="17" t="e">
        <v>#N/A</v>
      </c>
      <c r="AP336" s="17" t="e">
        <f>Tabla15[[#This Row],[Renov. Flota]]-Tabla15[[#This Row],[Año]]</f>
        <v>#N/A</v>
      </c>
      <c r="AQ336" s="18" t="e">
        <v>#N/A</v>
      </c>
      <c r="AR336" s="18" t="e">
        <f>VLOOKUP(Tabla15[[#This Row],[Matricula nueva]],'ALTA 20242025'!$B$2:$P$242,15,FALSE)</f>
        <v>#N/A</v>
      </c>
      <c r="AS336" s="19" t="e">
        <v>#N/A</v>
      </c>
      <c r="AV336" s="1"/>
      <c r="AW336" s="1" t="e">
        <f>VLOOKUP(Tabla15[[#This Row],[Matricula nueva]],Hoja2!$A$1:$B$224,2,FALSE)</f>
        <v>#N/A</v>
      </c>
      <c r="AX336" s="1" t="str">
        <f>IF(Tabla15[[#This Row],[Columna2]]="M1",5.1,"")</f>
        <v/>
      </c>
      <c r="AY336" s="1"/>
      <c r="AZ336" s="1"/>
      <c r="BA336" s="47">
        <f>IF(Tabla15[[#This Row],[Columna2]]="M1",13073,IF(Tabla15[[#This Row],[Columna2]]="N1",15815,IF(Tabla15[[#This Row],[Columna2]]="L3e",2831,53508)))</f>
        <v>53508</v>
      </c>
      <c r="BB336" s="47" t="e">
        <f>(Tabla15[[#This Row],[CVA]]*Tabla15[[#This Row],[F]]-Tabla15[[#This Row],[CVN]])/100*Tabla15[[#This Row],[L]]</f>
        <v>#VALUE!</v>
      </c>
      <c r="BC336" s="1"/>
      <c r="BD336" s="1" t="e">
        <f>VLOOKUP(B336,Tabla467824[[ID CAE2]:[AE '[kWh']]],6,FALSE)</f>
        <v>#N/A</v>
      </c>
      <c r="BE33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7" spans="1:57" ht="15" hidden="1" x14ac:dyDescent="0.25">
      <c r="A337" t="s">
        <v>1622</v>
      </c>
      <c r="B337"/>
      <c r="C337" s="31" t="s">
        <v>1623</v>
      </c>
      <c r="D337" s="31"/>
      <c r="E337" s="31"/>
      <c r="F337" s="31"/>
      <c r="G337" s="31"/>
      <c r="H337" s="31"/>
      <c r="I337" s="31"/>
      <c r="J337" s="31"/>
      <c r="K337" s="31" t="s">
        <v>885</v>
      </c>
      <c r="L337" s="31" t="s">
        <v>161</v>
      </c>
      <c r="M337" s="31" t="s">
        <v>886</v>
      </c>
      <c r="N337" s="31" t="s">
        <v>76</v>
      </c>
      <c r="O337" s="31" t="e">
        <f>VLOOKUP(Tabla15[[#This Row],[Matricula Antigua]],BAJA2022202320242025!$B$3:$CR$245,93,FALSE)</f>
        <v>#N/A</v>
      </c>
      <c r="P337" s="32">
        <v>44865</v>
      </c>
      <c r="Q337" s="32" t="e">
        <f>Tabla15[[#This Row],[F.Vig.Final]]-Tabla15[[#This Row],[f Vig Inicio]]</f>
        <v>#N/A</v>
      </c>
      <c r="R337" s="32">
        <f>YEAR(Tabla15[[#This Row],[F.Vig.Final]])</f>
        <v>2022</v>
      </c>
      <c r="S337" s="31" t="s">
        <v>77</v>
      </c>
      <c r="T337" s="31" t="s">
        <v>202</v>
      </c>
      <c r="U337" s="31" t="s">
        <v>416</v>
      </c>
      <c r="V337" s="31" t="s">
        <v>417</v>
      </c>
      <c r="W337" s="31" t="s">
        <v>336</v>
      </c>
      <c r="X337" s="31" t="s">
        <v>337</v>
      </c>
      <c r="Y337" s="31" t="s">
        <v>1624</v>
      </c>
      <c r="Z337" s="16">
        <f>COUNTIF($X$3:X337, X337)</f>
        <v>32</v>
      </c>
      <c r="AA337" s="16"/>
      <c r="AB337" s="16"/>
      <c r="AC337" s="16"/>
      <c r="AD337" s="16"/>
      <c r="AE337" s="16"/>
      <c r="AF337" s="16"/>
      <c r="AG337" s="16"/>
      <c r="AH337" s="16"/>
      <c r="AI337" s="16" t="e">
        <v>#N/A</v>
      </c>
      <c r="AJ337" s="16" t="e">
        <v>#N/A</v>
      </c>
      <c r="AK337" s="16" t="e">
        <v>#N/A</v>
      </c>
      <c r="AL337" s="16" t="e">
        <v>#N/A</v>
      </c>
      <c r="AM337" s="16" t="e">
        <v>#N/A</v>
      </c>
      <c r="AN337" s="17" t="e">
        <v>#N/A</v>
      </c>
      <c r="AO337" s="17" t="e">
        <v>#N/A</v>
      </c>
      <c r="AP337" s="17" t="e">
        <f>Tabla15[[#This Row],[Renov. Flota]]-Tabla15[[#This Row],[Año]]</f>
        <v>#N/A</v>
      </c>
      <c r="AQ337" s="18" t="e">
        <v>#N/A</v>
      </c>
      <c r="AR337" s="18" t="e">
        <f>VLOOKUP(Tabla15[[#This Row],[Matricula nueva]],'ALTA 20242025'!$B$2:$P$242,15,FALSE)</f>
        <v>#N/A</v>
      </c>
      <c r="AS337" s="19" t="e">
        <v>#N/A</v>
      </c>
      <c r="AV337" s="1"/>
      <c r="AW337" s="1" t="e">
        <f>VLOOKUP(Tabla15[[#This Row],[Matricula nueva]],Hoja2!$A$1:$B$224,2,FALSE)</f>
        <v>#N/A</v>
      </c>
      <c r="AX337" s="1" t="str">
        <f>IF(Tabla15[[#This Row],[Columna2]]="M1",5.1,"")</f>
        <v/>
      </c>
      <c r="AY337" s="1"/>
      <c r="AZ337" s="1"/>
      <c r="BA337" s="47">
        <f>IF(Tabla15[[#This Row],[Columna2]]="M1",13073,IF(Tabla15[[#This Row],[Columna2]]="N1",15815,IF(Tabla15[[#This Row],[Columna2]]="L3e",2831,53508)))</f>
        <v>53508</v>
      </c>
      <c r="BB337" s="47" t="e">
        <f>(Tabla15[[#This Row],[CVA]]*Tabla15[[#This Row],[F]]-Tabla15[[#This Row],[CVN]])/100*Tabla15[[#This Row],[L]]</f>
        <v>#VALUE!</v>
      </c>
      <c r="BC337" s="1"/>
      <c r="BD337" s="1" t="e">
        <f>VLOOKUP(B337,Tabla467824[[ID CAE2]:[AE '[kWh']]],6,FALSE)</f>
        <v>#N/A</v>
      </c>
      <c r="BE33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8" spans="1:57" hidden="1" x14ac:dyDescent="0.2">
      <c r="C338" s="31" t="s">
        <v>1625</v>
      </c>
      <c r="D338" s="31"/>
      <c r="E338" s="31"/>
      <c r="F338" s="31"/>
      <c r="G338" s="31"/>
      <c r="H338" s="31"/>
      <c r="I338" s="31"/>
      <c r="J338" s="31"/>
      <c r="K338" s="31" t="s">
        <v>73</v>
      </c>
      <c r="L338" s="31" t="s">
        <v>200</v>
      </c>
      <c r="M338" s="31" t="s">
        <v>201</v>
      </c>
      <c r="N338" s="31" t="s">
        <v>76</v>
      </c>
      <c r="O338" s="31" t="e">
        <f>VLOOKUP(Tabla15[[#This Row],[Matricula Antigua]],BAJA2022202320242025!$B$3:$CR$245,93,FALSE)</f>
        <v>#N/A</v>
      </c>
      <c r="P338" s="32">
        <v>44563</v>
      </c>
      <c r="Q338" s="32" t="e">
        <f>Tabla15[[#This Row],[F.Vig.Final]]-Tabla15[[#This Row],[f Vig Inicio]]</f>
        <v>#N/A</v>
      </c>
      <c r="R338" s="32">
        <f>YEAR(Tabla15[[#This Row],[F.Vig.Final]])</f>
        <v>2022</v>
      </c>
      <c r="S338" s="31" t="s">
        <v>77</v>
      </c>
      <c r="T338" s="31" t="s">
        <v>674</v>
      </c>
      <c r="U338" s="31" t="s">
        <v>359</v>
      </c>
      <c r="V338" s="31" t="s">
        <v>1245</v>
      </c>
      <c r="W338" s="31" t="s">
        <v>1626</v>
      </c>
      <c r="X338" s="31" t="s">
        <v>1627</v>
      </c>
      <c r="Y338" s="31" t="s">
        <v>1628</v>
      </c>
      <c r="Z338" s="16">
        <f>COUNTIF($X$3:X338, X338)</f>
        <v>1</v>
      </c>
      <c r="AA338" s="16"/>
      <c r="AB338" s="16"/>
      <c r="AC338" s="16"/>
      <c r="AD338" s="16"/>
      <c r="AE338" s="16"/>
      <c r="AF338" s="16"/>
      <c r="AG338" s="16"/>
      <c r="AH338" s="16"/>
      <c r="AI338" s="16" t="e">
        <v>#N/A</v>
      </c>
      <c r="AJ338" s="16" t="e">
        <v>#N/A</v>
      </c>
      <c r="AK338" s="16" t="e">
        <v>#N/A</v>
      </c>
      <c r="AL338" s="16" t="e">
        <v>#N/A</v>
      </c>
      <c r="AM338" s="16" t="e">
        <v>#N/A</v>
      </c>
      <c r="AN338" s="17" t="e">
        <v>#N/A</v>
      </c>
      <c r="AO338" s="17" t="e">
        <v>#N/A</v>
      </c>
      <c r="AP338" s="17" t="e">
        <f>Tabla15[[#This Row],[Renov. Flota]]-Tabla15[[#This Row],[Año]]</f>
        <v>#N/A</v>
      </c>
      <c r="AQ338" s="18" t="e">
        <v>#N/A</v>
      </c>
      <c r="AR338" s="18" t="e">
        <f>VLOOKUP(Tabla15[[#This Row],[Matricula nueva]],'ALTA 20242025'!$B$2:$P$242,15,FALSE)</f>
        <v>#N/A</v>
      </c>
      <c r="AS338" s="19" t="e">
        <v>#N/A</v>
      </c>
      <c r="AV338" s="1"/>
      <c r="AW338" s="1" t="e">
        <f>VLOOKUP(Tabla15[[#This Row],[Matricula nueva]],Hoja2!$A$1:$B$224,2,FALSE)</f>
        <v>#N/A</v>
      </c>
      <c r="AX338" s="1" t="str">
        <f>IF(Tabla15[[#This Row],[Columna2]]="M1",5.1,"")</f>
        <v/>
      </c>
      <c r="AY338" s="1"/>
      <c r="AZ338" s="1"/>
      <c r="BA338" s="47">
        <f>IF(Tabla15[[#This Row],[Columna2]]="M1",13073,IF(Tabla15[[#This Row],[Columna2]]="N1",15815,IF(Tabla15[[#This Row],[Columna2]]="L3e",2831,53508)))</f>
        <v>53508</v>
      </c>
      <c r="BB338" s="47" t="e">
        <f>(Tabla15[[#This Row],[CVA]]*Tabla15[[#This Row],[F]]-Tabla15[[#This Row],[CVN]])/100*Tabla15[[#This Row],[L]]</f>
        <v>#VALUE!</v>
      </c>
      <c r="BC338" s="1"/>
      <c r="BD338" s="1" t="e">
        <f>VLOOKUP(B338,Tabla467824[[ID CAE2]:[AE '[kWh']]],6,FALSE)</f>
        <v>#N/A</v>
      </c>
      <c r="BE33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39" spans="1:57" hidden="1" x14ac:dyDescent="0.2">
      <c r="C339" s="31" t="s">
        <v>1629</v>
      </c>
      <c r="D339" s="31"/>
      <c r="E339" s="31"/>
      <c r="F339" s="31"/>
      <c r="G339" s="31"/>
      <c r="H339" s="31"/>
      <c r="I339" s="31"/>
      <c r="J339" s="31"/>
      <c r="K339" s="31" t="s">
        <v>73</v>
      </c>
      <c r="L339" s="31" t="s">
        <v>200</v>
      </c>
      <c r="M339" s="31" t="s">
        <v>201</v>
      </c>
      <c r="N339" s="31" t="s">
        <v>76</v>
      </c>
      <c r="O339" s="31" t="e">
        <f>VLOOKUP(Tabla15[[#This Row],[Matricula Antigua]],BAJA2022202320242025!$B$3:$CR$245,93,FALSE)</f>
        <v>#N/A</v>
      </c>
      <c r="P339" s="32">
        <v>44802</v>
      </c>
      <c r="Q339" s="32" t="e">
        <f>Tabla15[[#This Row],[F.Vig.Final]]-Tabla15[[#This Row],[f Vig Inicio]]</f>
        <v>#N/A</v>
      </c>
      <c r="R339" s="32">
        <f>YEAR(Tabla15[[#This Row],[F.Vig.Final]])</f>
        <v>2022</v>
      </c>
      <c r="S339" s="31" t="s">
        <v>77</v>
      </c>
      <c r="T339" s="31" t="s">
        <v>78</v>
      </c>
      <c r="U339" s="31" t="s">
        <v>1362</v>
      </c>
      <c r="V339" s="31" t="s">
        <v>1367</v>
      </c>
      <c r="W339" s="31" t="s">
        <v>215</v>
      </c>
      <c r="X339" s="31" t="s">
        <v>216</v>
      </c>
      <c r="Y339" s="31" t="s">
        <v>1630</v>
      </c>
      <c r="Z339" s="16">
        <f>COUNTIF($X$3:X339, X339)</f>
        <v>9</v>
      </c>
      <c r="AA339" s="16"/>
      <c r="AB339" s="16"/>
      <c r="AC339" s="16"/>
      <c r="AD339" s="16"/>
      <c r="AE339" s="16"/>
      <c r="AF339" s="16"/>
      <c r="AG339" s="16"/>
      <c r="AH339" s="16"/>
      <c r="AI339" s="16" t="e">
        <v>#N/A</v>
      </c>
      <c r="AJ339" s="16" t="e">
        <v>#N/A</v>
      </c>
      <c r="AK339" s="16" t="e">
        <v>#N/A</v>
      </c>
      <c r="AL339" s="16" t="e">
        <v>#N/A</v>
      </c>
      <c r="AM339" s="16" t="e">
        <v>#N/A</v>
      </c>
      <c r="AN339" s="17" t="e">
        <v>#N/A</v>
      </c>
      <c r="AO339" s="17" t="e">
        <v>#N/A</v>
      </c>
      <c r="AP339" s="17" t="e">
        <f>Tabla15[[#This Row],[Renov. Flota]]-Tabla15[[#This Row],[Año]]</f>
        <v>#N/A</v>
      </c>
      <c r="AQ339" s="18" t="e">
        <v>#N/A</v>
      </c>
      <c r="AR339" s="18" t="e">
        <f>VLOOKUP(Tabla15[[#This Row],[Matricula nueva]],'ALTA 20242025'!$B$2:$P$242,15,FALSE)</f>
        <v>#N/A</v>
      </c>
      <c r="AS339" s="19" t="e">
        <v>#N/A</v>
      </c>
      <c r="AV339" s="1"/>
      <c r="AW339" s="1" t="e">
        <f>VLOOKUP(Tabla15[[#This Row],[Matricula nueva]],Hoja2!$A$1:$B$224,2,FALSE)</f>
        <v>#N/A</v>
      </c>
      <c r="AX339" s="1" t="str">
        <f>IF(Tabla15[[#This Row],[Columna2]]="M1",5.1,"")</f>
        <v/>
      </c>
      <c r="AY339" s="1"/>
      <c r="AZ339" s="1"/>
      <c r="BA339" s="47">
        <f>IF(Tabla15[[#This Row],[Columna2]]="M1",13073,IF(Tabla15[[#This Row],[Columna2]]="N1",15815,IF(Tabla15[[#This Row],[Columna2]]="L3e",2831,53508)))</f>
        <v>53508</v>
      </c>
      <c r="BB339" s="47" t="e">
        <f>(Tabla15[[#This Row],[CVA]]*Tabla15[[#This Row],[F]]-Tabla15[[#This Row],[CVN]])/100*Tabla15[[#This Row],[L]]</f>
        <v>#VALUE!</v>
      </c>
      <c r="BC339" s="1"/>
      <c r="BD339" s="1" t="e">
        <f>VLOOKUP(B339,Tabla467824[[ID CAE2]:[AE '[kWh']]],6,FALSE)</f>
        <v>#N/A</v>
      </c>
      <c r="BE33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0" spans="1:57" hidden="1" x14ac:dyDescent="0.2">
      <c r="C340" s="31" t="s">
        <v>1631</v>
      </c>
      <c r="D340" s="31"/>
      <c r="E340" s="31"/>
      <c r="F340" s="31"/>
      <c r="G340" s="31"/>
      <c r="H340" s="31"/>
      <c r="I340" s="31"/>
      <c r="J340" s="31"/>
      <c r="K340" s="31" t="s">
        <v>1034</v>
      </c>
      <c r="L340" s="31" t="s">
        <v>200</v>
      </c>
      <c r="M340" s="31" t="s">
        <v>201</v>
      </c>
      <c r="N340" s="31" t="s">
        <v>76</v>
      </c>
      <c r="O340" s="31" t="e">
        <f>VLOOKUP(Tabla15[[#This Row],[Matricula Antigua]],BAJA2022202320242025!$B$3:$CR$245,93,FALSE)</f>
        <v>#N/A</v>
      </c>
      <c r="P340" s="32">
        <v>44673</v>
      </c>
      <c r="Q340" s="32" t="e">
        <f>Tabla15[[#This Row],[F.Vig.Final]]-Tabla15[[#This Row],[f Vig Inicio]]</f>
        <v>#N/A</v>
      </c>
      <c r="R340" s="32">
        <f>YEAR(Tabla15[[#This Row],[F.Vig.Final]])</f>
        <v>2022</v>
      </c>
      <c r="S340" s="31" t="s">
        <v>77</v>
      </c>
      <c r="T340" s="31" t="s">
        <v>202</v>
      </c>
      <c r="U340" s="31" t="s">
        <v>416</v>
      </c>
      <c r="V340" s="31" t="s">
        <v>1632</v>
      </c>
      <c r="W340" s="31" t="s">
        <v>336</v>
      </c>
      <c r="X340" s="31" t="s">
        <v>337</v>
      </c>
      <c r="Y340" s="31" t="s">
        <v>1499</v>
      </c>
      <c r="Z340" s="16">
        <f>COUNTIF($X$3:X340, X340)</f>
        <v>33</v>
      </c>
      <c r="AA340" s="16"/>
      <c r="AB340" s="16"/>
      <c r="AC340" s="16"/>
      <c r="AD340" s="16"/>
      <c r="AE340" s="16"/>
      <c r="AF340" s="16"/>
      <c r="AG340" s="16"/>
      <c r="AH340" s="16"/>
      <c r="AI340" s="16" t="e">
        <v>#N/A</v>
      </c>
      <c r="AJ340" s="16" t="e">
        <v>#N/A</v>
      </c>
      <c r="AK340" s="16" t="e">
        <v>#N/A</v>
      </c>
      <c r="AL340" s="16" t="e">
        <v>#N/A</v>
      </c>
      <c r="AM340" s="16" t="e">
        <v>#N/A</v>
      </c>
      <c r="AN340" s="17" t="e">
        <v>#N/A</v>
      </c>
      <c r="AO340" s="17" t="e">
        <v>#N/A</v>
      </c>
      <c r="AP340" s="17" t="e">
        <f>Tabla15[[#This Row],[Renov. Flota]]-Tabla15[[#This Row],[Año]]</f>
        <v>#N/A</v>
      </c>
      <c r="AQ340" s="18" t="e">
        <v>#N/A</v>
      </c>
      <c r="AR340" s="18" t="e">
        <f>VLOOKUP(Tabla15[[#This Row],[Matricula nueva]],'ALTA 20242025'!$B$2:$P$242,15,FALSE)</f>
        <v>#N/A</v>
      </c>
      <c r="AS340" s="19" t="e">
        <v>#N/A</v>
      </c>
      <c r="AV340" s="1"/>
      <c r="AW340" s="1" t="e">
        <f>VLOOKUP(Tabla15[[#This Row],[Matricula nueva]],Hoja2!$A$1:$B$224,2,FALSE)</f>
        <v>#N/A</v>
      </c>
      <c r="AX340" s="1" t="str">
        <f>IF(Tabla15[[#This Row],[Columna2]]="M1",5.1,"")</f>
        <v/>
      </c>
      <c r="AY340" s="1"/>
      <c r="AZ340" s="1"/>
      <c r="BA340" s="47">
        <f>IF(Tabla15[[#This Row],[Columna2]]="M1",13073,IF(Tabla15[[#This Row],[Columna2]]="N1",15815,IF(Tabla15[[#This Row],[Columna2]]="L3e",2831,53508)))</f>
        <v>53508</v>
      </c>
      <c r="BB340" s="47" t="e">
        <f>(Tabla15[[#This Row],[CVA]]*Tabla15[[#This Row],[F]]-Tabla15[[#This Row],[CVN]])/100*Tabla15[[#This Row],[L]]</f>
        <v>#VALUE!</v>
      </c>
      <c r="BC340" s="1"/>
      <c r="BD340" s="1" t="e">
        <f>VLOOKUP(B340,Tabla467824[[ID CAE2]:[AE '[kWh']]],6,FALSE)</f>
        <v>#N/A</v>
      </c>
      <c r="BE340"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1" spans="1:57" hidden="1" x14ac:dyDescent="0.2">
      <c r="C341" s="31" t="s">
        <v>1633</v>
      </c>
      <c r="D341" s="31"/>
      <c r="E341" s="31"/>
      <c r="F341" s="31"/>
      <c r="G341" s="31"/>
      <c r="H341" s="31"/>
      <c r="I341" s="31"/>
      <c r="J341" s="31"/>
      <c r="K341" s="31" t="s">
        <v>73</v>
      </c>
      <c r="L341" s="31" t="s">
        <v>200</v>
      </c>
      <c r="M341" s="31" t="s">
        <v>201</v>
      </c>
      <c r="N341" s="31" t="s">
        <v>76</v>
      </c>
      <c r="O341" s="31" t="e">
        <f>VLOOKUP(Tabla15[[#This Row],[Matricula Antigua]],BAJA2022202320242025!$B$3:$CR$245,93,FALSE)</f>
        <v>#N/A</v>
      </c>
      <c r="P341" s="32">
        <v>44754</v>
      </c>
      <c r="Q341" s="32" t="e">
        <f>Tabla15[[#This Row],[F.Vig.Final]]-Tabla15[[#This Row],[f Vig Inicio]]</f>
        <v>#N/A</v>
      </c>
      <c r="R341" s="32">
        <f>YEAR(Tabla15[[#This Row],[F.Vig.Final]])</f>
        <v>2022</v>
      </c>
      <c r="S341" s="31" t="s">
        <v>77</v>
      </c>
      <c r="T341" s="31" t="s">
        <v>78</v>
      </c>
      <c r="U341" s="31" t="s">
        <v>359</v>
      </c>
      <c r="V341" s="31" t="s">
        <v>1424</v>
      </c>
      <c r="W341" s="31" t="s">
        <v>119</v>
      </c>
      <c r="X341" s="31" t="s">
        <v>120</v>
      </c>
      <c r="Y341" s="31" t="s">
        <v>1634</v>
      </c>
      <c r="Z341" s="16">
        <f>COUNTIF($X$3:X341, X341)</f>
        <v>13</v>
      </c>
      <c r="AA341" s="16"/>
      <c r="AB341" s="16"/>
      <c r="AC341" s="16"/>
      <c r="AD341" s="16"/>
      <c r="AE341" s="16"/>
      <c r="AF341" s="16"/>
      <c r="AG341" s="16"/>
      <c r="AH341" s="16"/>
      <c r="AI341" s="16" t="e">
        <v>#N/A</v>
      </c>
      <c r="AJ341" s="16" t="e">
        <v>#N/A</v>
      </c>
      <c r="AK341" s="16" t="e">
        <v>#N/A</v>
      </c>
      <c r="AL341" s="16" t="e">
        <v>#N/A</v>
      </c>
      <c r="AM341" s="16" t="e">
        <v>#N/A</v>
      </c>
      <c r="AN341" s="17" t="e">
        <v>#N/A</v>
      </c>
      <c r="AO341" s="17" t="e">
        <v>#N/A</v>
      </c>
      <c r="AP341" s="17" t="e">
        <f>Tabla15[[#This Row],[Renov. Flota]]-Tabla15[[#This Row],[Año]]</f>
        <v>#N/A</v>
      </c>
      <c r="AQ341" s="18" t="e">
        <v>#N/A</v>
      </c>
      <c r="AR341" s="18" t="e">
        <f>VLOOKUP(Tabla15[[#This Row],[Matricula nueva]],'ALTA 20242025'!$B$2:$P$242,15,FALSE)</f>
        <v>#N/A</v>
      </c>
      <c r="AS341" s="19" t="e">
        <v>#N/A</v>
      </c>
      <c r="AV341" s="1"/>
      <c r="AW341" s="1" t="e">
        <f>VLOOKUP(Tabla15[[#This Row],[Matricula nueva]],Hoja2!$A$1:$B$224,2,FALSE)</f>
        <v>#N/A</v>
      </c>
      <c r="AX341" s="1" t="str">
        <f>IF(Tabla15[[#This Row],[Columna2]]="M1",5.1,"")</f>
        <v/>
      </c>
      <c r="AY341" s="1"/>
      <c r="AZ341" s="1"/>
      <c r="BA341" s="47">
        <f>IF(Tabla15[[#This Row],[Columna2]]="M1",13073,IF(Tabla15[[#This Row],[Columna2]]="N1",15815,IF(Tabla15[[#This Row],[Columna2]]="L3e",2831,53508)))</f>
        <v>53508</v>
      </c>
      <c r="BB341" s="47" t="e">
        <f>(Tabla15[[#This Row],[CVA]]*Tabla15[[#This Row],[F]]-Tabla15[[#This Row],[CVN]])/100*Tabla15[[#This Row],[L]]</f>
        <v>#VALUE!</v>
      </c>
      <c r="BC341" s="1"/>
      <c r="BD341" s="1" t="e">
        <f>VLOOKUP(B341,Tabla467824[[ID CAE2]:[AE '[kWh']]],6,FALSE)</f>
        <v>#N/A</v>
      </c>
      <c r="BE341"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2" spans="1:57" hidden="1" x14ac:dyDescent="0.2">
      <c r="C342" s="31" t="s">
        <v>1635</v>
      </c>
      <c r="D342" s="31"/>
      <c r="E342" s="31"/>
      <c r="F342" s="31"/>
      <c r="G342" s="31"/>
      <c r="H342" s="31"/>
      <c r="I342" s="31"/>
      <c r="J342" s="31"/>
      <c r="K342" s="31" t="s">
        <v>1034</v>
      </c>
      <c r="L342" s="31" t="s">
        <v>200</v>
      </c>
      <c r="M342" s="31" t="s">
        <v>201</v>
      </c>
      <c r="N342" s="31" t="s">
        <v>160</v>
      </c>
      <c r="O342" s="31" t="e">
        <f>VLOOKUP(Tabla15[[#This Row],[Matricula Antigua]],BAJA2022202320242025!$B$3:$CR$245,93,FALSE)</f>
        <v>#N/A</v>
      </c>
      <c r="P342" s="32">
        <v>44673</v>
      </c>
      <c r="Q342" s="32" t="e">
        <f>Tabla15[[#This Row],[F.Vig.Final]]-Tabla15[[#This Row],[f Vig Inicio]]</f>
        <v>#N/A</v>
      </c>
      <c r="R342" s="32">
        <f>YEAR(Tabla15[[#This Row],[F.Vig.Final]])</f>
        <v>2022</v>
      </c>
      <c r="S342" s="31" t="s">
        <v>161</v>
      </c>
      <c r="T342" s="31" t="s">
        <v>202</v>
      </c>
      <c r="U342" s="31" t="s">
        <v>416</v>
      </c>
      <c r="V342" s="31" t="s">
        <v>1632</v>
      </c>
      <c r="W342" s="31" t="s">
        <v>336</v>
      </c>
      <c r="X342" s="31" t="s">
        <v>337</v>
      </c>
      <c r="Y342" s="31" t="s">
        <v>1499</v>
      </c>
      <c r="Z342" s="16">
        <f>COUNTIF($X$3:X342, X342)</f>
        <v>34</v>
      </c>
      <c r="AA342" s="16"/>
      <c r="AB342" s="16"/>
      <c r="AC342" s="16"/>
      <c r="AD342" s="16"/>
      <c r="AE342" s="16"/>
      <c r="AF342" s="16"/>
      <c r="AG342" s="16"/>
      <c r="AH342" s="16"/>
      <c r="AI342" s="16" t="e">
        <v>#N/A</v>
      </c>
      <c r="AJ342" s="16" t="e">
        <v>#N/A</v>
      </c>
      <c r="AK342" s="16" t="e">
        <v>#N/A</v>
      </c>
      <c r="AL342" s="16" t="e">
        <v>#N/A</v>
      </c>
      <c r="AM342" s="16" t="e">
        <v>#N/A</v>
      </c>
      <c r="AN342" s="17" t="e">
        <v>#N/A</v>
      </c>
      <c r="AO342" s="17" t="e">
        <v>#N/A</v>
      </c>
      <c r="AP342" s="17" t="e">
        <f>Tabla15[[#This Row],[Renov. Flota]]-Tabla15[[#This Row],[Año]]</f>
        <v>#N/A</v>
      </c>
      <c r="AQ342" s="18" t="e">
        <v>#N/A</v>
      </c>
      <c r="AR342" s="18" t="e">
        <f>VLOOKUP(Tabla15[[#This Row],[Matricula nueva]],'ALTA 20242025'!$B$2:$P$242,15,FALSE)</f>
        <v>#N/A</v>
      </c>
      <c r="AS342" s="19" t="e">
        <v>#N/A</v>
      </c>
      <c r="AV342" s="1"/>
      <c r="AW342" s="1" t="e">
        <f>VLOOKUP(Tabla15[[#This Row],[Matricula nueva]],Hoja2!$A$1:$B$224,2,FALSE)</f>
        <v>#N/A</v>
      </c>
      <c r="AX342" s="1" t="str">
        <f>IF(Tabla15[[#This Row],[Columna2]]="M1",5.1,"")</f>
        <v/>
      </c>
      <c r="AY342" s="1"/>
      <c r="AZ342" s="1"/>
      <c r="BA342" s="47">
        <f>IF(Tabla15[[#This Row],[Columna2]]="M1",13073,IF(Tabla15[[#This Row],[Columna2]]="N1",15815,IF(Tabla15[[#This Row],[Columna2]]="L3e",2831,53508)))</f>
        <v>53508</v>
      </c>
      <c r="BB342" s="47" t="e">
        <f>(Tabla15[[#This Row],[CVA]]*Tabla15[[#This Row],[F]]-Tabla15[[#This Row],[CVN]])/100*Tabla15[[#This Row],[L]]</f>
        <v>#VALUE!</v>
      </c>
      <c r="BC342" s="1"/>
      <c r="BD342" s="1" t="e">
        <f>VLOOKUP(B342,Tabla467824[[ID CAE2]:[AE '[kWh']]],6,FALSE)</f>
        <v>#N/A</v>
      </c>
      <c r="BE342"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3" spans="1:57" hidden="1" x14ac:dyDescent="0.2">
      <c r="C343" s="31" t="s">
        <v>1636</v>
      </c>
      <c r="D343" s="31"/>
      <c r="E343" s="31"/>
      <c r="F343" s="31"/>
      <c r="G343" s="31"/>
      <c r="H343" s="31"/>
      <c r="I343" s="31"/>
      <c r="J343" s="31"/>
      <c r="K343" s="31" t="s">
        <v>73</v>
      </c>
      <c r="L343" s="31" t="s">
        <v>200</v>
      </c>
      <c r="M343" s="31" t="s">
        <v>201</v>
      </c>
      <c r="N343" s="31" t="s">
        <v>76</v>
      </c>
      <c r="O343" s="31" t="e">
        <f>VLOOKUP(Tabla15[[#This Row],[Matricula Antigua]],BAJA2022202320242025!$B$3:$CR$245,93,FALSE)</f>
        <v>#N/A</v>
      </c>
      <c r="P343" s="32">
        <v>44791</v>
      </c>
      <c r="Q343" s="32" t="e">
        <f>Tabla15[[#This Row],[F.Vig.Final]]-Tabla15[[#This Row],[f Vig Inicio]]</f>
        <v>#N/A</v>
      </c>
      <c r="R343" s="32">
        <f>YEAR(Tabla15[[#This Row],[F.Vig.Final]])</f>
        <v>2022</v>
      </c>
      <c r="S343" s="31" t="s">
        <v>77</v>
      </c>
      <c r="T343" s="31" t="s">
        <v>78</v>
      </c>
      <c r="U343" s="31" t="s">
        <v>359</v>
      </c>
      <c r="V343" s="31" t="s">
        <v>1559</v>
      </c>
      <c r="W343" s="31" t="s">
        <v>584</v>
      </c>
      <c r="X343" s="31" t="s">
        <v>585</v>
      </c>
      <c r="Y343" s="31" t="s">
        <v>1637</v>
      </c>
      <c r="Z343" s="16">
        <f>COUNTIF($X$3:X343, X343)</f>
        <v>26</v>
      </c>
      <c r="AA343" s="16"/>
      <c r="AB343" s="16"/>
      <c r="AC343" s="16"/>
      <c r="AD343" s="16"/>
      <c r="AE343" s="16"/>
      <c r="AF343" s="16"/>
      <c r="AG343" s="16"/>
      <c r="AH343" s="16"/>
      <c r="AI343" s="16" t="e">
        <v>#N/A</v>
      </c>
      <c r="AJ343" s="16" t="e">
        <v>#N/A</v>
      </c>
      <c r="AK343" s="16" t="e">
        <v>#N/A</v>
      </c>
      <c r="AL343" s="16" t="e">
        <v>#N/A</v>
      </c>
      <c r="AM343" s="16" t="e">
        <v>#N/A</v>
      </c>
      <c r="AN343" s="17" t="e">
        <v>#N/A</v>
      </c>
      <c r="AO343" s="17" t="e">
        <v>#N/A</v>
      </c>
      <c r="AP343" s="17" t="e">
        <f>Tabla15[[#This Row],[Renov. Flota]]-Tabla15[[#This Row],[Año]]</f>
        <v>#N/A</v>
      </c>
      <c r="AQ343" s="18" t="e">
        <v>#N/A</v>
      </c>
      <c r="AR343" s="18" t="e">
        <f>VLOOKUP(Tabla15[[#This Row],[Matricula nueva]],'ALTA 20242025'!$B$2:$P$242,15,FALSE)</f>
        <v>#N/A</v>
      </c>
      <c r="AS343" s="19" t="e">
        <v>#N/A</v>
      </c>
      <c r="AV343" s="1"/>
      <c r="AW343" s="1" t="e">
        <f>VLOOKUP(Tabla15[[#This Row],[Matricula nueva]],Hoja2!$A$1:$B$224,2,FALSE)</f>
        <v>#N/A</v>
      </c>
      <c r="AX343" s="1" t="str">
        <f>IF(Tabla15[[#This Row],[Columna2]]="M1",5.1,"")</f>
        <v/>
      </c>
      <c r="AY343" s="1"/>
      <c r="AZ343" s="1"/>
      <c r="BA343" s="47">
        <f>IF(Tabla15[[#This Row],[Columna2]]="M1",13073,IF(Tabla15[[#This Row],[Columna2]]="N1",15815,IF(Tabla15[[#This Row],[Columna2]]="L3e",2831,53508)))</f>
        <v>53508</v>
      </c>
      <c r="BB343" s="47" t="e">
        <f>(Tabla15[[#This Row],[CVA]]*Tabla15[[#This Row],[F]]-Tabla15[[#This Row],[CVN]])/100*Tabla15[[#This Row],[L]]</f>
        <v>#VALUE!</v>
      </c>
      <c r="BC343" s="1"/>
      <c r="BD343" s="1" t="e">
        <f>VLOOKUP(B343,Tabla467824[[ID CAE2]:[AE '[kWh']]],6,FALSE)</f>
        <v>#N/A</v>
      </c>
      <c r="BE343"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4" spans="1:57" hidden="1" x14ac:dyDescent="0.2">
      <c r="C344" s="31" t="s">
        <v>1638</v>
      </c>
      <c r="D344" s="31"/>
      <c r="E344" s="31"/>
      <c r="F344" s="31"/>
      <c r="G344" s="31"/>
      <c r="H344" s="31"/>
      <c r="I344" s="31"/>
      <c r="J344" s="31"/>
      <c r="K344" s="31" t="s">
        <v>885</v>
      </c>
      <c r="L344" s="31" t="s">
        <v>161</v>
      </c>
      <c r="M344" s="31" t="s">
        <v>886</v>
      </c>
      <c r="N344" s="31" t="s">
        <v>76</v>
      </c>
      <c r="O344" s="31" t="e">
        <f>VLOOKUP(Tabla15[[#This Row],[Matricula Antigua]],BAJA2022202320242025!$B$3:$CR$245,93,FALSE)</f>
        <v>#N/A</v>
      </c>
      <c r="P344" s="32">
        <v>44865</v>
      </c>
      <c r="Q344" s="32" t="e">
        <f>Tabla15[[#This Row],[F.Vig.Final]]-Tabla15[[#This Row],[f Vig Inicio]]</f>
        <v>#N/A</v>
      </c>
      <c r="R344" s="32">
        <f>YEAR(Tabla15[[#This Row],[F.Vig.Final]])</f>
        <v>2022</v>
      </c>
      <c r="S344" s="31" t="s">
        <v>77</v>
      </c>
      <c r="T344" s="31" t="s">
        <v>78</v>
      </c>
      <c r="U344" s="31" t="s">
        <v>887</v>
      </c>
      <c r="V344" s="31" t="s">
        <v>1639</v>
      </c>
      <c r="W344" s="31" t="s">
        <v>336</v>
      </c>
      <c r="X344" s="31" t="s">
        <v>337</v>
      </c>
      <c r="Y344" s="31" t="s">
        <v>1624</v>
      </c>
      <c r="Z344" s="16">
        <f>COUNTIF($X$3:X344, X344)</f>
        <v>35</v>
      </c>
      <c r="AA344" s="16"/>
      <c r="AB344" s="16"/>
      <c r="AC344" s="16"/>
      <c r="AD344" s="16"/>
      <c r="AE344" s="16"/>
      <c r="AF344" s="16"/>
      <c r="AG344" s="16"/>
      <c r="AH344" s="16"/>
      <c r="AI344" s="16" t="e">
        <v>#N/A</v>
      </c>
      <c r="AJ344" s="16" t="e">
        <v>#N/A</v>
      </c>
      <c r="AK344" s="16" t="e">
        <v>#N/A</v>
      </c>
      <c r="AL344" s="16" t="e">
        <v>#N/A</v>
      </c>
      <c r="AM344" s="16" t="e">
        <v>#N/A</v>
      </c>
      <c r="AN344" s="17" t="e">
        <v>#N/A</v>
      </c>
      <c r="AO344" s="17" t="e">
        <v>#N/A</v>
      </c>
      <c r="AP344" s="17" t="e">
        <f>Tabla15[[#This Row],[Renov. Flota]]-Tabla15[[#This Row],[Año]]</f>
        <v>#N/A</v>
      </c>
      <c r="AQ344" s="18" t="e">
        <v>#N/A</v>
      </c>
      <c r="AR344" s="18" t="e">
        <f>VLOOKUP(Tabla15[[#This Row],[Matricula nueva]],'ALTA 20242025'!$B$2:$P$242,15,FALSE)</f>
        <v>#N/A</v>
      </c>
      <c r="AS344" s="19" t="e">
        <v>#N/A</v>
      </c>
      <c r="AV344" s="1"/>
      <c r="AW344" s="1" t="e">
        <f>VLOOKUP(Tabla15[[#This Row],[Matricula nueva]],Hoja2!$A$1:$B$224,2,FALSE)</f>
        <v>#N/A</v>
      </c>
      <c r="AX344" s="1" t="str">
        <f>IF(Tabla15[[#This Row],[Columna2]]="M1",5.1,"")</f>
        <v/>
      </c>
      <c r="AY344" s="1"/>
      <c r="AZ344" s="1"/>
      <c r="BA344" s="47">
        <f>IF(Tabla15[[#This Row],[Columna2]]="M1",13073,IF(Tabla15[[#This Row],[Columna2]]="N1",15815,IF(Tabla15[[#This Row],[Columna2]]="L3e",2831,53508)))</f>
        <v>53508</v>
      </c>
      <c r="BB344" s="47" t="e">
        <f>(Tabla15[[#This Row],[CVA]]*Tabla15[[#This Row],[F]]-Tabla15[[#This Row],[CVN]])/100*Tabla15[[#This Row],[L]]</f>
        <v>#VALUE!</v>
      </c>
      <c r="BC344" s="1"/>
      <c r="BD344" s="1" t="e">
        <f>VLOOKUP(B344,Tabla467824[[ID CAE2]:[AE '[kWh']]],6,FALSE)</f>
        <v>#N/A</v>
      </c>
      <c r="BE344"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5" spans="1:57" hidden="1" x14ac:dyDescent="0.2">
      <c r="C345" s="31" t="s">
        <v>1640</v>
      </c>
      <c r="D345" s="31"/>
      <c r="E345" s="31"/>
      <c r="F345" s="31"/>
      <c r="G345" s="31"/>
      <c r="H345" s="31"/>
      <c r="I345" s="31"/>
      <c r="J345" s="31"/>
      <c r="K345" s="31" t="s">
        <v>73</v>
      </c>
      <c r="L345" s="31" t="s">
        <v>200</v>
      </c>
      <c r="M345" s="31" t="s">
        <v>201</v>
      </c>
      <c r="N345" s="31" t="s">
        <v>76</v>
      </c>
      <c r="O345" s="31" t="e">
        <f>VLOOKUP(Tabla15[[#This Row],[Matricula Antigua]],BAJA2022202320242025!$B$3:$CR$245,93,FALSE)</f>
        <v>#N/A</v>
      </c>
      <c r="P345" s="32">
        <v>44828</v>
      </c>
      <c r="Q345" s="32" t="e">
        <f>Tabla15[[#This Row],[F.Vig.Final]]-Tabla15[[#This Row],[f Vig Inicio]]</f>
        <v>#N/A</v>
      </c>
      <c r="R345" s="32">
        <f>YEAR(Tabla15[[#This Row],[F.Vig.Final]])</f>
        <v>2022</v>
      </c>
      <c r="S345" s="31" t="s">
        <v>77</v>
      </c>
      <c r="T345" s="31" t="s">
        <v>78</v>
      </c>
      <c r="U345" s="31" t="s">
        <v>359</v>
      </c>
      <c r="V345" s="31" t="s">
        <v>604</v>
      </c>
      <c r="W345" s="31" t="s">
        <v>131</v>
      </c>
      <c r="X345" s="31" t="s">
        <v>132</v>
      </c>
      <c r="Y345" s="31" t="s">
        <v>1457</v>
      </c>
      <c r="Z345" s="16">
        <f>COUNTIF($X$3:X345, X345)</f>
        <v>49</v>
      </c>
      <c r="AA345" s="16"/>
      <c r="AB345" s="16"/>
      <c r="AC345" s="16"/>
      <c r="AD345" s="16"/>
      <c r="AE345" s="16"/>
      <c r="AF345" s="16"/>
      <c r="AG345" s="16"/>
      <c r="AH345" s="16"/>
      <c r="AI345" s="16" t="e">
        <v>#N/A</v>
      </c>
      <c r="AJ345" s="16" t="e">
        <v>#N/A</v>
      </c>
      <c r="AK345" s="16" t="e">
        <v>#N/A</v>
      </c>
      <c r="AL345" s="16" t="e">
        <v>#N/A</v>
      </c>
      <c r="AM345" s="16" t="e">
        <v>#N/A</v>
      </c>
      <c r="AN345" s="17" t="e">
        <v>#N/A</v>
      </c>
      <c r="AO345" s="17" t="e">
        <v>#N/A</v>
      </c>
      <c r="AP345" s="17" t="e">
        <f>Tabla15[[#This Row],[Renov. Flota]]-Tabla15[[#This Row],[Año]]</f>
        <v>#N/A</v>
      </c>
      <c r="AQ345" s="18" t="e">
        <v>#N/A</v>
      </c>
      <c r="AR345" s="18" t="e">
        <f>VLOOKUP(Tabla15[[#This Row],[Matricula nueva]],'ALTA 20242025'!$B$2:$P$242,15,FALSE)</f>
        <v>#N/A</v>
      </c>
      <c r="AS345" s="19" t="e">
        <v>#N/A</v>
      </c>
      <c r="AV345" s="1"/>
      <c r="AW345" s="1" t="e">
        <f>VLOOKUP(Tabla15[[#This Row],[Matricula nueva]],Hoja2!$A$1:$B$224,2,FALSE)</f>
        <v>#N/A</v>
      </c>
      <c r="AX345" s="1" t="str">
        <f>IF(Tabla15[[#This Row],[Columna2]]="M1",5.1,"")</f>
        <v/>
      </c>
      <c r="AY345" s="1"/>
      <c r="AZ345" s="1"/>
      <c r="BA345" s="47">
        <f>IF(Tabla15[[#This Row],[Columna2]]="M1",13073,IF(Tabla15[[#This Row],[Columna2]]="N1",15815,IF(Tabla15[[#This Row],[Columna2]]="L3e",2831,53508)))</f>
        <v>53508</v>
      </c>
      <c r="BB345" s="47" t="e">
        <f>(Tabla15[[#This Row],[CVA]]*Tabla15[[#This Row],[F]]-Tabla15[[#This Row],[CVN]])/100*Tabla15[[#This Row],[L]]</f>
        <v>#VALUE!</v>
      </c>
      <c r="BC345" s="1"/>
      <c r="BD345" s="1" t="e">
        <f>VLOOKUP(B345,Tabla467824[[ID CAE2]:[AE '[kWh']]],6,FALSE)</f>
        <v>#N/A</v>
      </c>
      <c r="BE345"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6" spans="1:57" hidden="1" x14ac:dyDescent="0.2">
      <c r="C346" s="31" t="s">
        <v>1641</v>
      </c>
      <c r="D346" s="31"/>
      <c r="E346" s="31"/>
      <c r="F346" s="31"/>
      <c r="G346" s="31"/>
      <c r="H346" s="31"/>
      <c r="I346" s="31"/>
      <c r="J346" s="31"/>
      <c r="K346" s="31" t="s">
        <v>1642</v>
      </c>
      <c r="L346" s="31" t="s">
        <v>74</v>
      </c>
      <c r="M346" s="31" t="s">
        <v>75</v>
      </c>
      <c r="N346" s="31" t="s">
        <v>160</v>
      </c>
      <c r="O346" s="31" t="e">
        <f>VLOOKUP(Tabla15[[#This Row],[Matricula Antigua]],BAJA2022202320242025!$B$3:$CR$245,93,FALSE)</f>
        <v>#N/A</v>
      </c>
      <c r="P346" s="32">
        <v>44609</v>
      </c>
      <c r="Q346" s="32" t="e">
        <f>Tabla15[[#This Row],[F.Vig.Final]]-Tabla15[[#This Row],[f Vig Inicio]]</f>
        <v>#N/A</v>
      </c>
      <c r="R346" s="32">
        <f>YEAR(Tabla15[[#This Row],[F.Vig.Final]])</f>
        <v>2022</v>
      </c>
      <c r="S346" s="31" t="s">
        <v>161</v>
      </c>
      <c r="T346" s="31" t="s">
        <v>87</v>
      </c>
      <c r="U346" s="31" t="s">
        <v>85</v>
      </c>
      <c r="V346" s="31" t="s">
        <v>1643</v>
      </c>
      <c r="W346" s="31" t="s">
        <v>336</v>
      </c>
      <c r="X346" s="31" t="s">
        <v>337</v>
      </c>
      <c r="Y346" s="31" t="s">
        <v>630</v>
      </c>
      <c r="Z346" s="16">
        <f>COUNTIF($X$3:X346, X346)</f>
        <v>36</v>
      </c>
      <c r="AA346" s="16"/>
      <c r="AB346" s="16"/>
      <c r="AC346" s="16"/>
      <c r="AD346" s="16"/>
      <c r="AE346" s="16"/>
      <c r="AF346" s="16"/>
      <c r="AG346" s="16"/>
      <c r="AH346" s="16"/>
      <c r="AI346" s="16" t="e">
        <v>#N/A</v>
      </c>
      <c r="AJ346" s="16" t="e">
        <v>#N/A</v>
      </c>
      <c r="AK346" s="16" t="e">
        <v>#N/A</v>
      </c>
      <c r="AL346" s="16" t="e">
        <v>#N/A</v>
      </c>
      <c r="AM346" s="16" t="e">
        <v>#N/A</v>
      </c>
      <c r="AN346" s="17" t="e">
        <v>#N/A</v>
      </c>
      <c r="AO346" s="17" t="e">
        <v>#N/A</v>
      </c>
      <c r="AP346" s="17" t="e">
        <f>Tabla15[[#This Row],[Renov. Flota]]-Tabla15[[#This Row],[Año]]</f>
        <v>#N/A</v>
      </c>
      <c r="AQ346" s="18" t="e">
        <v>#N/A</v>
      </c>
      <c r="AR346" s="18" t="e">
        <f>VLOOKUP(Tabla15[[#This Row],[Matricula nueva]],'ALTA 20242025'!$B$2:$P$242,15,FALSE)</f>
        <v>#N/A</v>
      </c>
      <c r="AS346" s="19" t="e">
        <v>#N/A</v>
      </c>
      <c r="AV346" s="1"/>
      <c r="AW346" s="1" t="e">
        <f>VLOOKUP(Tabla15[[#This Row],[Matricula nueva]],Hoja2!$A$1:$B$224,2,FALSE)</f>
        <v>#N/A</v>
      </c>
      <c r="AX346" s="1" t="str">
        <f>IF(Tabla15[[#This Row],[Columna2]]="M1",5.1,"")</f>
        <v/>
      </c>
      <c r="AY346" s="1"/>
      <c r="AZ346" s="1"/>
      <c r="BA346" s="47">
        <f>IF(Tabla15[[#This Row],[Columna2]]="M1",13073,IF(Tabla15[[#This Row],[Columna2]]="N1",15815,IF(Tabla15[[#This Row],[Columna2]]="L3e",2831,53508)))</f>
        <v>53508</v>
      </c>
      <c r="BB346" s="47" t="e">
        <f>(Tabla15[[#This Row],[CVA]]*Tabla15[[#This Row],[F]]-Tabla15[[#This Row],[CVN]])/100*Tabla15[[#This Row],[L]]</f>
        <v>#VALUE!</v>
      </c>
      <c r="BC346" s="1"/>
      <c r="BD346" s="1" t="e">
        <f>VLOOKUP(B346,Tabla467824[[ID CAE2]:[AE '[kWh']]],6,FALSE)</f>
        <v>#N/A</v>
      </c>
      <c r="BE346"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7" spans="1:57" hidden="1" x14ac:dyDescent="0.2">
      <c r="C347" s="31" t="s">
        <v>1644</v>
      </c>
      <c r="D347" s="31"/>
      <c r="E347" s="31"/>
      <c r="F347" s="31"/>
      <c r="G347" s="31"/>
      <c r="H347" s="31"/>
      <c r="I347" s="31"/>
      <c r="J347" s="31"/>
      <c r="K347" s="31" t="s">
        <v>158</v>
      </c>
      <c r="L347" s="31" t="s">
        <v>159</v>
      </c>
      <c r="M347" s="31" t="s">
        <v>158</v>
      </c>
      <c r="N347" s="31" t="s">
        <v>171</v>
      </c>
      <c r="O347" s="31" t="e">
        <f>VLOOKUP(Tabla15[[#This Row],[Matricula Antigua]],BAJA2022202320242025!$B$3:$CR$245,93,FALSE)</f>
        <v>#N/A</v>
      </c>
      <c r="P347" s="32">
        <v>44599</v>
      </c>
      <c r="Q347" s="32" t="e">
        <f>Tabla15[[#This Row],[F.Vig.Final]]-Tabla15[[#This Row],[f Vig Inicio]]</f>
        <v>#N/A</v>
      </c>
      <c r="R347" s="32">
        <f>YEAR(Tabla15[[#This Row],[F.Vig.Final]])</f>
        <v>2022</v>
      </c>
      <c r="S347" s="31" t="s">
        <v>172</v>
      </c>
      <c r="T347" s="31" t="s">
        <v>78</v>
      </c>
      <c r="U347" s="31" t="s">
        <v>1338</v>
      </c>
      <c r="V347" s="31" t="s">
        <v>1338</v>
      </c>
      <c r="W347" s="31" t="s">
        <v>131</v>
      </c>
      <c r="X347" s="31" t="s">
        <v>132</v>
      </c>
      <c r="Y347" s="31" t="s">
        <v>427</v>
      </c>
      <c r="Z347" s="16">
        <f>COUNTIF($X$3:X347, X347)</f>
        <v>50</v>
      </c>
      <c r="AA347" s="16"/>
      <c r="AB347" s="16"/>
      <c r="AC347" s="16"/>
      <c r="AD347" s="16"/>
      <c r="AE347" s="16"/>
      <c r="AF347" s="16"/>
      <c r="AG347" s="16"/>
      <c r="AH347" s="16"/>
      <c r="AI347" s="16" t="e">
        <v>#N/A</v>
      </c>
      <c r="AJ347" s="16" t="e">
        <v>#N/A</v>
      </c>
      <c r="AK347" s="16" t="e">
        <v>#N/A</v>
      </c>
      <c r="AL347" s="16" t="e">
        <v>#N/A</v>
      </c>
      <c r="AM347" s="16" t="e">
        <v>#N/A</v>
      </c>
      <c r="AN347" s="17" t="e">
        <v>#N/A</v>
      </c>
      <c r="AO347" s="17" t="e">
        <v>#N/A</v>
      </c>
      <c r="AP347" s="17" t="e">
        <f>Tabla15[[#This Row],[Renov. Flota]]-Tabla15[[#This Row],[Año]]</f>
        <v>#N/A</v>
      </c>
      <c r="AQ347" s="18" t="e">
        <v>#N/A</v>
      </c>
      <c r="AR347" s="18" t="e">
        <f>VLOOKUP(Tabla15[[#This Row],[Matricula nueva]],'ALTA 20242025'!$B$2:$P$242,15,FALSE)</f>
        <v>#N/A</v>
      </c>
      <c r="AS347" s="19" t="e">
        <v>#N/A</v>
      </c>
      <c r="AV347" s="1"/>
      <c r="AW347" s="1" t="e">
        <f>VLOOKUP(Tabla15[[#This Row],[Matricula nueva]],Hoja2!$A$1:$B$224,2,FALSE)</f>
        <v>#N/A</v>
      </c>
      <c r="AX347" s="1" t="str">
        <f>IF(Tabla15[[#This Row],[Columna2]]="M1",5.1,"")</f>
        <v/>
      </c>
      <c r="AY347" s="1"/>
      <c r="AZ347" s="1"/>
      <c r="BA347" s="47">
        <f>IF(Tabla15[[#This Row],[Columna2]]="M1",13073,IF(Tabla15[[#This Row],[Columna2]]="N1",15815,IF(Tabla15[[#This Row],[Columna2]]="L3e",2831,53508)))</f>
        <v>53508</v>
      </c>
      <c r="BB347" s="47" t="e">
        <f>(Tabla15[[#This Row],[CVA]]*Tabla15[[#This Row],[F]]-Tabla15[[#This Row],[CVN]])/100*Tabla15[[#This Row],[L]]</f>
        <v>#VALUE!</v>
      </c>
      <c r="BC347" s="1"/>
      <c r="BD347" s="1" t="e">
        <f>VLOOKUP(B347,Tabla467824[[ID CAE2]:[AE '[kWh']]],6,FALSE)</f>
        <v>#N/A</v>
      </c>
      <c r="BE347"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48" spans="1:57" hidden="1" x14ac:dyDescent="0.2">
      <c r="C348" s="31" t="s">
        <v>1645</v>
      </c>
      <c r="D348" s="31"/>
      <c r="E348" s="31"/>
      <c r="F348" s="31"/>
      <c r="G348" s="31"/>
      <c r="H348" s="31"/>
      <c r="I348" s="31"/>
      <c r="J348" s="31"/>
      <c r="K348" s="31" t="s">
        <v>1646</v>
      </c>
      <c r="L348" s="31" t="s">
        <v>74</v>
      </c>
      <c r="M348" s="31" t="s">
        <v>75</v>
      </c>
      <c r="N348" s="31" t="s">
        <v>76</v>
      </c>
      <c r="O348" s="31" t="e">
        <f>VLOOKUP(Tabla15[[#This Row],[Matricula Antigua]],BAJA2022202320242025!$B$3:$CR$245,93,FALSE)</f>
        <v>#N/A</v>
      </c>
      <c r="P348" s="32">
        <v>44834</v>
      </c>
      <c r="Q348" s="32" t="e">
        <f>Tabla15[[#This Row],[F.Vig.Final]]-Tabla15[[#This Row],[f Vig Inicio]]</f>
        <v>#N/A</v>
      </c>
      <c r="R348" s="32">
        <f>YEAR(Tabla15[[#This Row],[F.Vig.Final]])</f>
        <v>2022</v>
      </c>
      <c r="S348" s="31" t="s">
        <v>77</v>
      </c>
      <c r="T348" s="31" t="s">
        <v>78</v>
      </c>
      <c r="U348" s="31" t="s">
        <v>1646</v>
      </c>
      <c r="V348" s="31" t="s">
        <v>1647</v>
      </c>
      <c r="W348" s="31" t="s">
        <v>1050</v>
      </c>
      <c r="X348" s="31" t="s">
        <v>1051</v>
      </c>
      <c r="Y348" s="31" t="s">
        <v>1052</v>
      </c>
      <c r="Z348" s="16">
        <f>COUNTIF($X$3:X348, X348)</f>
        <v>13</v>
      </c>
      <c r="AA348" s="16"/>
      <c r="AB348" s="16"/>
      <c r="AC348" s="16"/>
      <c r="AD348" s="16"/>
      <c r="AE348" s="16"/>
      <c r="AF348" s="16"/>
      <c r="AG348" s="16"/>
      <c r="AH348" s="16"/>
      <c r="AI348" s="16" t="e">
        <v>#N/A</v>
      </c>
      <c r="AJ348" s="16" t="e">
        <v>#N/A</v>
      </c>
      <c r="AK348" s="16" t="e">
        <v>#N/A</v>
      </c>
      <c r="AL348" s="16" t="e">
        <v>#N/A</v>
      </c>
      <c r="AM348" s="16" t="e">
        <v>#N/A</v>
      </c>
      <c r="AN348" s="17" t="e">
        <v>#N/A</v>
      </c>
      <c r="AO348" s="17" t="e">
        <v>#N/A</v>
      </c>
      <c r="AP348" s="17" t="e">
        <f>Tabla15[[#This Row],[Renov. Flota]]-Tabla15[[#This Row],[Año]]</f>
        <v>#N/A</v>
      </c>
      <c r="AQ348" s="18" t="e">
        <v>#N/A</v>
      </c>
      <c r="AR348" s="18" t="e">
        <f>VLOOKUP(Tabla15[[#This Row],[Matricula nueva]],'ALTA 20242025'!$B$2:$P$242,15,FALSE)</f>
        <v>#N/A</v>
      </c>
      <c r="AS348" s="19" t="e">
        <v>#N/A</v>
      </c>
      <c r="AV348" s="1"/>
      <c r="AW348" s="1" t="e">
        <f>VLOOKUP(Tabla15[[#This Row],[Matricula nueva]],Hoja2!$A$1:$B$224,2,FALSE)</f>
        <v>#N/A</v>
      </c>
      <c r="AX348" s="1" t="str">
        <f>IF(Tabla15[[#This Row],[Columna2]]="M1",5.1,"")</f>
        <v/>
      </c>
      <c r="AY348" s="1"/>
      <c r="AZ348" s="1"/>
      <c r="BA348" s="47">
        <f>IF(Tabla15[[#This Row],[Columna2]]="M1",13073,IF(Tabla15[[#This Row],[Columna2]]="N1",15815,IF(Tabla15[[#This Row],[Columna2]]="L3e",2831,53508)))</f>
        <v>53508</v>
      </c>
      <c r="BB348" s="47" t="e">
        <f>(Tabla15[[#This Row],[CVA]]*Tabla15[[#This Row],[F]]-Tabla15[[#This Row],[CVN]])/100*Tabla15[[#This Row],[L]]</f>
        <v>#VALUE!</v>
      </c>
      <c r="BC348" s="1"/>
      <c r="BD348" s="1" t="e">
        <f>VLOOKUP(B348,Tabla467824[[ID CAE2]:[AE '[kWh']]],6,FALSE)</f>
        <v>#N/A</v>
      </c>
      <c r="BE348"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ALQUILER</v>
      </c>
    </row>
    <row r="349" spans="1:57" hidden="1" x14ac:dyDescent="0.2">
      <c r="C349" s="31" t="s">
        <v>1648</v>
      </c>
      <c r="D349" s="31"/>
      <c r="E349" s="31"/>
      <c r="F349" s="31"/>
      <c r="G349" s="31"/>
      <c r="H349" s="31"/>
      <c r="I349" s="31"/>
      <c r="J349" s="31"/>
      <c r="K349" s="31" t="s">
        <v>158</v>
      </c>
      <c r="L349" s="31" t="s">
        <v>159</v>
      </c>
      <c r="M349" s="31" t="s">
        <v>158</v>
      </c>
      <c r="N349" s="31" t="s">
        <v>171</v>
      </c>
      <c r="O349" s="31" t="e">
        <f>VLOOKUP(Tabla15[[#This Row],[Matricula Antigua]],BAJA2022202320242025!$B$3:$CR$245,93,FALSE)</f>
        <v>#N/A</v>
      </c>
      <c r="P349" s="32">
        <v>44607</v>
      </c>
      <c r="Q349" s="32" t="e">
        <f>Tabla15[[#This Row],[F.Vig.Final]]-Tabla15[[#This Row],[f Vig Inicio]]</f>
        <v>#N/A</v>
      </c>
      <c r="R349" s="32">
        <f>YEAR(Tabla15[[#This Row],[F.Vig.Final]])</f>
        <v>2022</v>
      </c>
      <c r="S349" s="31" t="s">
        <v>172</v>
      </c>
      <c r="T349" s="31" t="s">
        <v>78</v>
      </c>
      <c r="U349" s="31" t="s">
        <v>1338</v>
      </c>
      <c r="V349" s="31" t="s">
        <v>1338</v>
      </c>
      <c r="W349" s="31" t="s">
        <v>131</v>
      </c>
      <c r="X349" s="31" t="s">
        <v>132</v>
      </c>
      <c r="Y349" s="31" t="s">
        <v>635</v>
      </c>
      <c r="Z349" s="16">
        <f>COUNTIF($X$3:X349, X349)</f>
        <v>51</v>
      </c>
      <c r="AA349" s="48"/>
      <c r="AB349" s="48"/>
      <c r="AC349" s="48"/>
      <c r="AD349" s="48"/>
      <c r="AE349" s="48"/>
      <c r="AF349" s="48"/>
      <c r="AG349" s="48"/>
      <c r="AH349" s="48"/>
      <c r="AI349" s="48" t="e">
        <v>#N/A</v>
      </c>
      <c r="AJ349" s="16" t="e">
        <v>#N/A</v>
      </c>
      <c r="AK349" s="16" t="e">
        <v>#N/A</v>
      </c>
      <c r="AL349" s="16" t="e">
        <v>#N/A</v>
      </c>
      <c r="AM349" s="16" t="e">
        <v>#N/A</v>
      </c>
      <c r="AN349" s="22" t="e">
        <v>#N/A</v>
      </c>
      <c r="AO349" s="22" t="e">
        <v>#N/A</v>
      </c>
      <c r="AP349" s="17" t="e">
        <f>Tabla15[[#This Row],[Renov. Flota]]-Tabla15[[#This Row],[Año]]</f>
        <v>#N/A</v>
      </c>
      <c r="AQ349" s="18" t="e">
        <v>#N/A</v>
      </c>
      <c r="AR349" s="18" t="e">
        <f>VLOOKUP(Tabla15[[#This Row],[Matricula nueva]],'ALTA 20242025'!$B$2:$P$242,15,FALSE)</f>
        <v>#N/A</v>
      </c>
      <c r="AS349" s="19" t="e">
        <v>#N/A</v>
      </c>
      <c r="AV349" s="1"/>
      <c r="AW349" s="1" t="e">
        <f>VLOOKUP(Tabla15[[#This Row],[Matricula nueva]],Hoja2!$A$1:$B$224,2,FALSE)</f>
        <v>#N/A</v>
      </c>
      <c r="AX349" s="1" t="str">
        <f>IF(Tabla15[[#This Row],[Columna2]]="M1",5.1,"")</f>
        <v/>
      </c>
      <c r="AY349" s="1"/>
      <c r="AZ349" s="1"/>
      <c r="BA349" s="47">
        <f>IF(Tabla15[[#This Row],[Columna2]]="M1",13073,IF(Tabla15[[#This Row],[Columna2]]="N1",15815,IF(Tabla15[[#This Row],[Columna2]]="L3e",2831,53508)))</f>
        <v>53508</v>
      </c>
      <c r="BB349" s="47" t="e">
        <f>(Tabla15[[#This Row],[CVA]]*Tabla15[[#This Row],[F]]-Tabla15[[#This Row],[CVN]])/100*Tabla15[[#This Row],[L]]</f>
        <v>#VALUE!</v>
      </c>
      <c r="BC349" s="1"/>
      <c r="BD349" s="1" t="e">
        <f>VLOOKUP(B349,Tabla467824[[ID CAE2]:[AE '[kWh']]],6,FALSE)</f>
        <v>#N/A</v>
      </c>
      <c r="BE349" s="1" t="str">
        <f>IF(Tabla15[[#This Row],[Tipo Contrato]]&lt;&gt;"Propiedad",IF(AND(Tabla15[[#This Row],[Contrato]]="x",Tabla15[[#This Row],[Acta Devolución]]="x",Tabla15[[#This Row],[Ficha Técnica]]="x"),"CORRECTO ALQUILER","FALSO ALQUILER"),IF(Tabla15[[#This Row],[Tipo Contrato]]="Propiedad",IF(AND(Tabla15[[#This Row],[Permiso de Circulación]]="x",Tabla15[[#This Row],[Ficha Técnica]]="x",Tabla15[[#This Row],[BAJA]]="x"),"CORRECTO PROPIEDAD","FALSO PROPIEDAD")))</f>
        <v>FALSO PROPIEDAD</v>
      </c>
    </row>
    <row r="350" spans="1:57" x14ac:dyDescent="0.2">
      <c r="C350" s="119"/>
      <c r="D350" s="105"/>
      <c r="E350" s="105"/>
      <c r="F350" s="105"/>
      <c r="G350" s="105"/>
      <c r="H350" s="105"/>
      <c r="I350" s="105"/>
      <c r="J350" s="105"/>
      <c r="K350" s="119"/>
      <c r="L350" s="119"/>
      <c r="M350" s="119"/>
      <c r="N350" s="119"/>
      <c r="O350" s="119"/>
      <c r="P350" s="120"/>
      <c r="Q350" s="120"/>
      <c r="R350" s="120"/>
      <c r="S350" s="119"/>
      <c r="T350" s="119"/>
      <c r="U350" s="119"/>
      <c r="V350" s="119"/>
      <c r="W350" s="119"/>
      <c r="X350" s="334"/>
      <c r="Y350" s="119"/>
      <c r="Z350" s="323"/>
      <c r="AA350" s="325"/>
      <c r="AB350" s="325"/>
      <c r="AC350" s="325"/>
      <c r="AD350" s="325"/>
      <c r="AE350" s="325"/>
      <c r="AF350" s="325"/>
      <c r="AG350" s="325"/>
      <c r="AH350" s="325"/>
      <c r="AI350" s="325"/>
      <c r="AJ350" s="324"/>
      <c r="AK350" s="121"/>
      <c r="AL350" s="121"/>
      <c r="AM350" s="323"/>
      <c r="AN350" s="326"/>
      <c r="AO350" s="327"/>
      <c r="AP350" s="324"/>
      <c r="AQ350" s="108"/>
      <c r="AR350" s="108"/>
      <c r="AS350" s="116"/>
      <c r="AT350" s="116"/>
      <c r="AU350" s="116"/>
      <c r="AV350" s="118"/>
      <c r="AW350" s="118"/>
      <c r="AX350" s="115"/>
      <c r="AY350" s="115"/>
      <c r="AZ350" s="115"/>
      <c r="BA350" s="123"/>
      <c r="BB350" s="319">
        <f>SUBTOTAL(109,Tabla15[Ahorro estimado])</f>
        <v>1776157.1000800009</v>
      </c>
      <c r="BC350" s="115"/>
      <c r="BD350" s="282">
        <f>SUBTOTAL(109,Tabla15[CALCULO GF])</f>
        <v>1489516.2144420003</v>
      </c>
      <c r="BE350" s="115"/>
    </row>
    <row r="354" spans="55:56" ht="12.75" customHeight="1" x14ac:dyDescent="0.2">
      <c r="BC354" s="46"/>
      <c r="BD354" s="46"/>
    </row>
  </sheetData>
  <mergeCells count="1">
    <mergeCell ref="C1:BB1"/>
  </mergeCells>
  <phoneticPr fontId="7" type="noConversion"/>
  <conditionalFormatting sqref="Q7:Q305">
    <cfRule type="cellIs" dxfId="2" priority="1" operator="lessThan">
      <formula>365</formula>
    </cfRule>
  </conditionalFormatting>
  <pageMargins left="0.70866141732283472" right="0.70866141732283472" top="0.74803149606299213" bottom="0.74803149606299213" header="0.31496062992125984" footer="0.31496062992125984"/>
  <pageSetup paperSize="9"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1079-D86C-4324-993F-E540F6583F07}">
  <sheetPr filterMode="1">
    <tabColor rgb="FF00B050"/>
  </sheetPr>
  <dimension ref="A1:BR354"/>
  <sheetViews>
    <sheetView zoomScale="85" zoomScaleNormal="85" workbookViewId="0">
      <pane xSplit="1" topLeftCell="C1" activePane="topRight" state="frozen"/>
      <selection pane="topRight" activeCell="AO13" sqref="AO13"/>
    </sheetView>
  </sheetViews>
  <sheetFormatPr baseColWidth="10" defaultColWidth="10.85546875" defaultRowHeight="12.75" customHeight="1" x14ac:dyDescent="0.2"/>
  <cols>
    <col min="1" max="2" width="10.140625" style="1" hidden="1" customWidth="1"/>
    <col min="3" max="3" width="8.85546875" style="1" customWidth="1"/>
    <col min="4" max="4" width="14.5703125" style="106" hidden="1" customWidth="1"/>
    <col min="5" max="6" width="20.5703125" style="106" hidden="1" customWidth="1"/>
    <col min="7" max="7" width="10.28515625" style="106" hidden="1" customWidth="1"/>
    <col min="8" max="8" width="18.85546875" style="106" hidden="1" customWidth="1"/>
    <col min="9" max="9" width="21.42578125" style="106" hidden="1" customWidth="1"/>
    <col min="10" max="10" width="11.5703125" style="106" hidden="1" customWidth="1"/>
    <col min="11" max="12" width="10.85546875" style="1" hidden="1" customWidth="1"/>
    <col min="13" max="13" width="13" style="1" hidden="1" customWidth="1"/>
    <col min="14" max="15" width="10.85546875" style="1" hidden="1" customWidth="1"/>
    <col min="16" max="18" width="12.5703125" style="1" hidden="1" customWidth="1"/>
    <col min="19" max="19" width="10.85546875" style="1" hidden="1" customWidth="1"/>
    <col min="20" max="20" width="14.42578125" style="1" hidden="1" customWidth="1"/>
    <col min="21" max="21" width="19.85546875" style="1" hidden="1" customWidth="1"/>
    <col min="22" max="22" width="33.85546875" style="1" hidden="1" customWidth="1"/>
    <col min="23" max="23" width="10.85546875" style="1" hidden="1" customWidth="1"/>
    <col min="24" max="24" width="10.85546875" style="144" customWidth="1"/>
    <col min="25" max="25" width="13.85546875" style="1" hidden="1" customWidth="1"/>
    <col min="26" max="26" width="12.5703125" style="1" hidden="1" customWidth="1"/>
    <col min="27" max="27" width="9.28515625" style="1" customWidth="1"/>
    <col min="28" max="29" width="9.42578125" style="1" customWidth="1"/>
    <col min="30" max="30" width="10.42578125" style="1" customWidth="1"/>
    <col min="31" max="31" width="7.28515625" style="1" customWidth="1"/>
    <col min="32" max="32" width="10.140625" style="1" customWidth="1"/>
    <col min="33" max="33" width="11.140625" style="1" customWidth="1"/>
    <col min="34" max="34" width="14" style="1" customWidth="1"/>
    <col min="35" max="35" width="9.28515625" style="1" customWidth="1"/>
    <col min="36" max="36" width="12.42578125" style="1" hidden="1" customWidth="1"/>
    <col min="37" max="37" width="30.5703125" style="1" hidden="1" customWidth="1"/>
    <col min="38" max="38" width="18.5703125" style="1" hidden="1" customWidth="1"/>
    <col min="39" max="39" width="10.140625" style="1" hidden="1" customWidth="1"/>
    <col min="40" max="40" width="6.5703125" style="1" hidden="1" customWidth="1"/>
    <col min="41" max="41" width="10" style="106" customWidth="1"/>
    <col min="42" max="42" width="12.85546875" style="40" hidden="1" customWidth="1"/>
    <col min="43" max="44" width="15.85546875" style="1" hidden="1" customWidth="1"/>
    <col min="45" max="45" width="30.42578125" style="1" hidden="1" customWidth="1"/>
    <col min="46" max="46" width="17" style="1" hidden="1" customWidth="1"/>
    <col min="47" max="47" width="14" style="1" hidden="1" customWidth="1"/>
    <col min="48" max="49" width="26.42578125" style="106" hidden="1" customWidth="1"/>
    <col min="50" max="52" width="10.85546875" style="43" hidden="1" customWidth="1"/>
    <col min="53" max="53" width="7.42578125" style="46" hidden="1" customWidth="1"/>
    <col min="54" max="54" width="8.7109375" style="46" customWidth="1"/>
    <col min="55" max="55" width="11.7109375" style="43" hidden="1" customWidth="1"/>
    <col min="56" max="56" width="10.28515625" style="43" hidden="1" customWidth="1"/>
    <col min="57" max="57" width="22.42578125" style="1" hidden="1" customWidth="1"/>
    <col min="58" max="62" width="10.85546875" style="1"/>
    <col min="63" max="63" width="22.85546875" style="1" bestFit="1" customWidth="1"/>
    <col min="64" max="64" width="6.28515625" style="1" bestFit="1" customWidth="1"/>
    <col min="65" max="65" width="14" style="1" bestFit="1" customWidth="1"/>
    <col min="66" max="66" width="6.7109375" style="1" bestFit="1" customWidth="1"/>
    <col min="67" max="67" width="7.7109375" style="1" bestFit="1" customWidth="1"/>
    <col min="68" max="68" width="8.5703125" style="1" bestFit="1" customWidth="1"/>
    <col min="69" max="69" width="11.140625" style="1" bestFit="1" customWidth="1"/>
    <col min="70" max="70" width="12.5703125" style="1" bestFit="1" customWidth="1"/>
    <col min="71" max="16384" width="10.85546875" style="1"/>
  </cols>
  <sheetData>
    <row r="1" spans="1:70" ht="15.75" thickBot="1" x14ac:dyDescent="0.3">
      <c r="C1" s="388" t="s">
        <v>1649</v>
      </c>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c r="AX1" s="388"/>
      <c r="AY1" s="388"/>
      <c r="AZ1" s="388"/>
      <c r="BA1" s="388"/>
      <c r="BB1" s="388"/>
    </row>
    <row r="2" spans="1:70" s="13" customFormat="1" ht="39" thickBot="1" x14ac:dyDescent="0.25">
      <c r="A2" s="330" t="s">
        <v>4</v>
      </c>
      <c r="B2" s="328" t="s">
        <v>1119</v>
      </c>
      <c r="C2" s="331" t="s">
        <v>1650</v>
      </c>
      <c r="D2" s="299" t="s">
        <v>10</v>
      </c>
      <c r="E2" s="299" t="s">
        <v>11</v>
      </c>
      <c r="F2" s="299" t="s">
        <v>12</v>
      </c>
      <c r="G2" s="299" t="s">
        <v>13</v>
      </c>
      <c r="H2" s="299" t="s">
        <v>14</v>
      </c>
      <c r="I2" s="299" t="s">
        <v>15</v>
      </c>
      <c r="J2" s="299" t="s">
        <v>16</v>
      </c>
      <c r="K2" s="300" t="s">
        <v>17</v>
      </c>
      <c r="L2" s="300" t="s">
        <v>18</v>
      </c>
      <c r="M2" s="300" t="s">
        <v>19</v>
      </c>
      <c r="N2" s="301" t="s">
        <v>20</v>
      </c>
      <c r="O2" s="302" t="s">
        <v>21</v>
      </c>
      <c r="P2" s="303" t="s">
        <v>22</v>
      </c>
      <c r="Q2" s="302" t="s">
        <v>23</v>
      </c>
      <c r="R2" s="302" t="s">
        <v>24</v>
      </c>
      <c r="S2" s="304" t="s">
        <v>25</v>
      </c>
      <c r="T2" s="300" t="s">
        <v>1120</v>
      </c>
      <c r="U2" s="300" t="s">
        <v>27</v>
      </c>
      <c r="V2" s="300" t="s">
        <v>28</v>
      </c>
      <c r="W2" s="301" t="s">
        <v>29</v>
      </c>
      <c r="X2" s="331" t="s">
        <v>30</v>
      </c>
      <c r="Y2" s="304" t="s">
        <v>31</v>
      </c>
      <c r="Z2" s="301" t="s">
        <v>32</v>
      </c>
      <c r="AA2" s="331" t="s">
        <v>1651</v>
      </c>
      <c r="AB2" s="331" t="s">
        <v>1652</v>
      </c>
      <c r="AC2" s="331" t="s">
        <v>1653</v>
      </c>
      <c r="AD2" s="331" t="s">
        <v>1654</v>
      </c>
      <c r="AE2" s="331" t="s">
        <v>1655</v>
      </c>
      <c r="AF2" s="331" t="s">
        <v>1656</v>
      </c>
      <c r="AG2" s="331" t="s">
        <v>1657</v>
      </c>
      <c r="AH2" s="331" t="s">
        <v>1658</v>
      </c>
      <c r="AI2" s="331" t="s">
        <v>33</v>
      </c>
      <c r="AJ2" s="305" t="s">
        <v>34</v>
      </c>
      <c r="AK2" s="306" t="s">
        <v>35</v>
      </c>
      <c r="AL2" s="306" t="s">
        <v>36</v>
      </c>
      <c r="AM2" s="307" t="s">
        <v>37</v>
      </c>
      <c r="AN2" s="331" t="s">
        <v>38</v>
      </c>
      <c r="AO2" s="335" t="s">
        <v>39</v>
      </c>
      <c r="AP2" s="308" t="s">
        <v>40</v>
      </c>
      <c r="AQ2" s="307" t="s">
        <v>41</v>
      </c>
      <c r="AR2" s="307" t="s">
        <v>42</v>
      </c>
      <c r="AS2" s="307" t="s">
        <v>43</v>
      </c>
      <c r="AT2" s="309" t="s">
        <v>44</v>
      </c>
      <c r="AU2" s="309" t="s">
        <v>45</v>
      </c>
      <c r="AV2" s="310" t="s">
        <v>1659</v>
      </c>
      <c r="AW2" s="310" t="s">
        <v>47</v>
      </c>
      <c r="AX2" s="296" t="s">
        <v>48</v>
      </c>
      <c r="AY2" s="297" t="s">
        <v>49</v>
      </c>
      <c r="AZ2" s="297" t="s">
        <v>50</v>
      </c>
      <c r="BA2" s="298" t="s">
        <v>51</v>
      </c>
      <c r="BB2" s="336" t="s">
        <v>1660</v>
      </c>
      <c r="BC2" s="64" t="s">
        <v>53</v>
      </c>
      <c r="BD2" s="335" t="s">
        <v>1121</v>
      </c>
      <c r="BE2" s="145" t="s">
        <v>54</v>
      </c>
    </row>
    <row r="3" spans="1:70" ht="13.5" hidden="1" thickBot="1" x14ac:dyDescent="0.25">
      <c r="C3" s="329" t="s">
        <v>1122</v>
      </c>
      <c r="D3" s="14"/>
      <c r="E3" s="14"/>
      <c r="F3" s="14"/>
      <c r="G3" s="14"/>
      <c r="H3" s="14"/>
      <c r="I3" s="14"/>
      <c r="J3" s="14"/>
      <c r="K3" s="14" t="s">
        <v>1034</v>
      </c>
      <c r="L3" s="14" t="s">
        <v>200</v>
      </c>
      <c r="M3" s="14" t="s">
        <v>201</v>
      </c>
      <c r="N3" s="14" t="s">
        <v>76</v>
      </c>
      <c r="O3" s="152">
        <f>VLOOKUP(Tabla156[[#This Row],[Matricula Antigua]],BAJA2022202320242025!$B$3:$CR$245,93,FALSE)</f>
        <v>43518</v>
      </c>
      <c r="P3" s="15">
        <v>44979</v>
      </c>
      <c r="Q3" s="15">
        <f>Tabla156[[#This Row],[F.Vig.Final]]-Tabla156[[#This Row],[f Vig Inicio]]</f>
        <v>1461</v>
      </c>
      <c r="R3" s="15">
        <f>YEAR(Tabla156[[#This Row],[F.Vig.Final]])</f>
        <v>2023</v>
      </c>
      <c r="S3" s="14" t="s">
        <v>77</v>
      </c>
      <c r="T3" s="14" t="s">
        <v>78</v>
      </c>
      <c r="U3" s="14" t="s">
        <v>524</v>
      </c>
      <c r="V3" s="14" t="s">
        <v>1123</v>
      </c>
      <c r="W3" s="14" t="s">
        <v>1124</v>
      </c>
      <c r="X3" s="329" t="s">
        <v>1125</v>
      </c>
      <c r="Y3" s="14" t="s">
        <v>312</v>
      </c>
      <c r="Z3" s="16">
        <f>COUNTIF($X$3:X3, X3)</f>
        <v>1</v>
      </c>
      <c r="AA3" s="93"/>
      <c r="AB3" s="93"/>
      <c r="AC3" s="93"/>
      <c r="AD3" s="93"/>
      <c r="AE3" s="93"/>
      <c r="AF3" s="93"/>
      <c r="AG3" s="93"/>
      <c r="AH3" s="93"/>
      <c r="AI3" s="93" t="e">
        <v>#N/A</v>
      </c>
      <c r="AJ3" s="16" t="e">
        <v>#N/A</v>
      </c>
      <c r="AK3" s="16" t="e">
        <v>#N/A</v>
      </c>
      <c r="AL3" s="16" t="e">
        <v>#N/A</v>
      </c>
      <c r="AM3" s="16" t="e">
        <v>#N/A</v>
      </c>
      <c r="AN3" s="15" t="e">
        <v>#N/A</v>
      </c>
      <c r="AO3" s="21" t="e">
        <v>#N/A</v>
      </c>
      <c r="AP3" s="17" t="e">
        <f>Tabla156[[#This Row],[Renov. Flota]]-Tabla156[[#This Row],[Año]]</f>
        <v>#N/A</v>
      </c>
      <c r="AQ3" s="18" t="e">
        <v>#N/A</v>
      </c>
      <c r="AR3" s="18" t="e">
        <f>VLOOKUP(Tabla156[[#This Row],[Matricula nueva]],'ALTA 20242025'!$B$2:$P$242,15,FALSE)</f>
        <v>#N/A</v>
      </c>
      <c r="AS3" s="19" t="e">
        <v>#N/A</v>
      </c>
      <c r="AV3" s="1"/>
      <c r="AW3" s="1" t="e">
        <f>VLOOKUP(Tabla156[[#This Row],[Matricula nueva]],Hoja2!$A$1:$B$224,2,FALSE)</f>
        <v>#N/A</v>
      </c>
      <c r="AX3" s="1" t="str">
        <f>IF(Tabla156[[#This Row],[Columna2]]="M1",5.1,"")</f>
        <v/>
      </c>
      <c r="AY3" s="1"/>
      <c r="AZ3" s="1"/>
      <c r="BA3" s="47">
        <f>IF(Tabla156[[#This Row],[Columna2]]="M1",13073,IF(Tabla156[[#This Row],[Columna2]]="N1",15815,IF(Tabla156[[#This Row],[Columna2]]="L3e",2831,53508)))</f>
        <v>53508</v>
      </c>
      <c r="BB3" s="47" t="e">
        <f>(Tabla156[[#This Row],[CVA]]*Tabla156[[#This Row],[F]]-Tabla156[[#This Row],[CVN]])/100*Tabla156[[#This Row],[L]]</f>
        <v>#VALUE!</v>
      </c>
      <c r="BC3" s="1"/>
      <c r="BD3" s="1" t="e">
        <f>VLOOKUP(B3,Tabla467824[[ID CAE2]:[AE '[kWh']]],6,FALSE)</f>
        <v>#N/A</v>
      </c>
      <c r="BE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4" spans="1:70" ht="13.5" hidden="1" thickBot="1" x14ac:dyDescent="0.25">
      <c r="C4" s="14" t="s">
        <v>1126</v>
      </c>
      <c r="D4" s="14"/>
      <c r="E4" s="14"/>
      <c r="F4" s="14"/>
      <c r="G4" s="14"/>
      <c r="H4" s="14"/>
      <c r="I4" s="14"/>
      <c r="J4" s="14"/>
      <c r="K4" s="14" t="s">
        <v>73</v>
      </c>
      <c r="L4" s="14" t="s">
        <v>172</v>
      </c>
      <c r="M4" s="14" t="s">
        <v>1127</v>
      </c>
      <c r="N4" s="14" t="s">
        <v>76</v>
      </c>
      <c r="O4" s="152">
        <f>VLOOKUP(Tabla156[[#This Row],[Matricula Antigua]],BAJA2022202320242025!$B$3:$CR$245,93,FALSE)</f>
        <v>44159</v>
      </c>
      <c r="P4" s="15">
        <v>45037</v>
      </c>
      <c r="Q4" s="15">
        <f>Tabla156[[#This Row],[F.Vig.Final]]-Tabla156[[#This Row],[f Vig Inicio]]</f>
        <v>878</v>
      </c>
      <c r="R4" s="15">
        <f>YEAR(Tabla156[[#This Row],[F.Vig.Final]])</f>
        <v>2023</v>
      </c>
      <c r="S4" s="14" t="s">
        <v>77</v>
      </c>
      <c r="T4" s="14" t="s">
        <v>78</v>
      </c>
      <c r="U4" s="14" t="s">
        <v>85</v>
      </c>
      <c r="V4" s="14" t="s">
        <v>732</v>
      </c>
      <c r="W4" s="14" t="s">
        <v>1128</v>
      </c>
      <c r="X4" s="14" t="s">
        <v>1129</v>
      </c>
      <c r="Y4" s="14" t="s">
        <v>1130</v>
      </c>
      <c r="Z4" s="16">
        <f>COUNTIF($X$3:X4, X4)</f>
        <v>1</v>
      </c>
      <c r="AA4" s="16"/>
      <c r="AB4" s="16"/>
      <c r="AC4" s="16"/>
      <c r="AD4" s="16"/>
      <c r="AE4" s="16"/>
      <c r="AF4" s="16"/>
      <c r="AG4" s="16"/>
      <c r="AH4" s="16"/>
      <c r="AI4" s="16" t="e">
        <v>#N/A</v>
      </c>
      <c r="AJ4" s="16" t="e">
        <v>#N/A</v>
      </c>
      <c r="AK4" s="16" t="e">
        <v>#N/A</v>
      </c>
      <c r="AL4" s="16" t="e">
        <v>#N/A</v>
      </c>
      <c r="AM4" s="16" t="e">
        <v>#N/A</v>
      </c>
      <c r="AN4" s="15" t="e">
        <v>#N/A</v>
      </c>
      <c r="AO4" s="17" t="e">
        <v>#N/A</v>
      </c>
      <c r="AP4" s="17" t="e">
        <f>Tabla156[[#This Row],[Renov. Flota]]-Tabla156[[#This Row],[Año]]</f>
        <v>#N/A</v>
      </c>
      <c r="AQ4" s="18" t="e">
        <v>#N/A</v>
      </c>
      <c r="AR4" s="18" t="e">
        <f>VLOOKUP(Tabla156[[#This Row],[Matricula nueva]],'ALTA 20242025'!$B$2:$P$242,15,FALSE)</f>
        <v>#N/A</v>
      </c>
      <c r="AS4" s="19" t="e">
        <v>#N/A</v>
      </c>
      <c r="AV4" s="1"/>
      <c r="AW4" s="1" t="e">
        <f>VLOOKUP(Tabla156[[#This Row],[Matricula nueva]],Hoja2!$A$1:$B$224,2,FALSE)</f>
        <v>#N/A</v>
      </c>
      <c r="AX4" s="1" t="str">
        <f>IF(Tabla156[[#This Row],[Columna2]]="M1",5.1,"")</f>
        <v/>
      </c>
      <c r="AY4" s="1"/>
      <c r="AZ4" s="1"/>
      <c r="BA4" s="47">
        <f>IF(Tabla156[[#This Row],[Columna2]]="M1",13073,IF(Tabla156[[#This Row],[Columna2]]="N1",15815,IF(Tabla156[[#This Row],[Columna2]]="L3e",2831,53508)))</f>
        <v>53508</v>
      </c>
      <c r="BB4" s="47" t="e">
        <f>(Tabla156[[#This Row],[CVA]]*Tabla156[[#This Row],[F]]-Tabla156[[#This Row],[CVN]])/100*Tabla156[[#This Row],[L]]</f>
        <v>#VALUE!</v>
      </c>
      <c r="BC4" s="1"/>
      <c r="BD4" s="1" t="e">
        <f>VLOOKUP(B4,Tabla467824[[ID CAE2]:[AE '[kWh']]],6,FALSE)</f>
        <v>#N/A</v>
      </c>
      <c r="BE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5" spans="1:70" ht="13.5" hidden="1" thickBot="1" x14ac:dyDescent="0.25">
      <c r="C5" s="14" t="s">
        <v>1131</v>
      </c>
      <c r="D5" s="14"/>
      <c r="E5" s="14"/>
      <c r="F5" s="14"/>
      <c r="G5" s="14"/>
      <c r="H5" s="14"/>
      <c r="I5" s="14"/>
      <c r="J5" s="14"/>
      <c r="K5" s="14" t="s">
        <v>885</v>
      </c>
      <c r="L5" s="14" t="s">
        <v>161</v>
      </c>
      <c r="M5" s="14" t="s">
        <v>886</v>
      </c>
      <c r="N5" s="14" t="s">
        <v>171</v>
      </c>
      <c r="O5" s="95">
        <f>VLOOKUP(Tabla156[[#This Row],[Matricula Antigua]],BAJA2022202320242025!$B$3:$CR$245,93,FALSE)</f>
        <v>43879</v>
      </c>
      <c r="P5" s="21">
        <v>45062</v>
      </c>
      <c r="Q5" s="21">
        <f>Tabla156[[#This Row],[F.Vig.Final]]-Tabla156[[#This Row],[f Vig Inicio]]</f>
        <v>1183</v>
      </c>
      <c r="R5" s="21">
        <f>YEAR(Tabla156[[#This Row],[F.Vig.Final]])</f>
        <v>2023</v>
      </c>
      <c r="S5" s="14" t="s">
        <v>172</v>
      </c>
      <c r="T5" s="14" t="s">
        <v>78</v>
      </c>
      <c r="U5" s="14" t="s">
        <v>1132</v>
      </c>
      <c r="V5" s="14" t="s">
        <v>1133</v>
      </c>
      <c r="W5" s="14" t="s">
        <v>1134</v>
      </c>
      <c r="X5" s="14" t="s">
        <v>1135</v>
      </c>
      <c r="Y5" s="14" t="s">
        <v>1136</v>
      </c>
      <c r="Z5" s="16">
        <f>COUNTIF($X$3:X5, X5)</f>
        <v>1</v>
      </c>
      <c r="AA5" s="16"/>
      <c r="AB5" s="16"/>
      <c r="AC5" s="16"/>
      <c r="AD5" s="16"/>
      <c r="AE5" s="16"/>
      <c r="AF5" s="16"/>
      <c r="AG5" s="16"/>
      <c r="AH5" s="16"/>
      <c r="AI5" s="16" t="e">
        <v>#N/A</v>
      </c>
      <c r="AJ5" s="16" t="e">
        <v>#N/A</v>
      </c>
      <c r="AK5" s="16" t="e">
        <v>#N/A</v>
      </c>
      <c r="AL5" s="16" t="e">
        <v>#N/A</v>
      </c>
      <c r="AM5" s="16" t="e">
        <v>#N/A</v>
      </c>
      <c r="AN5" s="21" t="e">
        <v>#N/A</v>
      </c>
      <c r="AO5" s="17" t="e">
        <v>#N/A</v>
      </c>
      <c r="AP5" s="17" t="e">
        <f>Tabla156[[#This Row],[Renov. Flota]]-Tabla156[[#This Row],[Año]]</f>
        <v>#N/A</v>
      </c>
      <c r="AQ5" s="18" t="e">
        <v>#N/A</v>
      </c>
      <c r="AR5" s="18" t="e">
        <f>VLOOKUP(Tabla156[[#This Row],[Matricula nueva]],'ALTA 20242025'!$B$2:$P$242,15,FALSE)</f>
        <v>#N/A</v>
      </c>
      <c r="AS5" s="19" t="e">
        <v>#N/A</v>
      </c>
      <c r="AV5" s="1"/>
      <c r="AW5" s="1" t="e">
        <f>VLOOKUP(Tabla156[[#This Row],[Matricula nueva]],Hoja2!$A$1:$B$224,2,FALSE)</f>
        <v>#N/A</v>
      </c>
      <c r="AX5" s="1" t="str">
        <f>IF(Tabla156[[#This Row],[Columna2]]="M1",5.1,"")</f>
        <v/>
      </c>
      <c r="AY5" s="1"/>
      <c r="AZ5" s="1"/>
      <c r="BA5" s="47">
        <f>IF(Tabla156[[#This Row],[Columna2]]="M1",13073,IF(Tabla156[[#This Row],[Columna2]]="N1",15815,IF(Tabla156[[#This Row],[Columna2]]="L3e",2831,53508)))</f>
        <v>53508</v>
      </c>
      <c r="BB5" s="47" t="e">
        <f>(Tabla156[[#This Row],[CVA]]*Tabla156[[#This Row],[F]]-Tabla156[[#This Row],[CVN]])/100*Tabla156[[#This Row],[L]]</f>
        <v>#VALUE!</v>
      </c>
      <c r="BC5" s="1"/>
      <c r="BD5" s="1" t="e">
        <f>VLOOKUP(B5,Tabla467824[[ID CAE2]:[AE '[kWh']]],6,FALSE)</f>
        <v>#N/A</v>
      </c>
      <c r="BE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6" spans="1:70" ht="13.5" hidden="1" thickBot="1" x14ac:dyDescent="0.25">
      <c r="C6" s="165" t="s">
        <v>1137</v>
      </c>
      <c r="D6" s="165"/>
      <c r="E6" s="165"/>
      <c r="F6" s="165"/>
      <c r="G6" s="165"/>
      <c r="H6" s="165"/>
      <c r="I6" s="165"/>
      <c r="J6" s="165"/>
      <c r="K6" s="165" t="s">
        <v>158</v>
      </c>
      <c r="L6" s="165" t="s">
        <v>159</v>
      </c>
      <c r="M6" s="165" t="s">
        <v>158</v>
      </c>
      <c r="N6" s="165" t="s">
        <v>171</v>
      </c>
      <c r="O6" s="50">
        <f>VLOOKUP(Tabla156[[#This Row],[Matricula Antigua]],BAJA2022202320242025!$B$3:$CR$245,93,FALSE)</f>
        <v>40274</v>
      </c>
      <c r="P6" s="22">
        <v>45079</v>
      </c>
      <c r="Q6" s="22">
        <f>Tabla156[[#This Row],[F.Vig.Final]]-Tabla156[[#This Row],[f Vig Inicio]]</f>
        <v>4805</v>
      </c>
      <c r="R6" s="22">
        <f>YEAR(Tabla156[[#This Row],[F.Vig.Final]])</f>
        <v>2023</v>
      </c>
      <c r="S6" s="165" t="s">
        <v>172</v>
      </c>
      <c r="T6" s="165" t="s">
        <v>78</v>
      </c>
      <c r="U6" s="165" t="s">
        <v>359</v>
      </c>
      <c r="V6" s="165" t="s">
        <v>1138</v>
      </c>
      <c r="W6" s="165" t="s">
        <v>1139</v>
      </c>
      <c r="X6" s="165" t="s">
        <v>1140</v>
      </c>
      <c r="Y6" s="165" t="s">
        <v>312</v>
      </c>
      <c r="Z6" s="48">
        <f>COUNTIF($X$3:X6, X6)</f>
        <v>1</v>
      </c>
      <c r="AA6" s="48"/>
      <c r="AB6" s="48"/>
      <c r="AC6" s="48"/>
      <c r="AD6" s="48"/>
      <c r="AE6" s="48"/>
      <c r="AF6" s="48"/>
      <c r="AG6" s="48"/>
      <c r="AH6" s="48"/>
      <c r="AI6" s="48" t="e">
        <v>#N/A</v>
      </c>
      <c r="AJ6" s="48" t="e">
        <v>#N/A</v>
      </c>
      <c r="AK6" s="48" t="e">
        <v>#N/A</v>
      </c>
      <c r="AL6" s="48" t="e">
        <v>#N/A</v>
      </c>
      <c r="AM6" s="48" t="e">
        <v>#N/A</v>
      </c>
      <c r="AN6" s="22" t="e">
        <v>#N/A</v>
      </c>
      <c r="AO6" s="22" t="e">
        <v>#N/A</v>
      </c>
      <c r="AP6" s="22" t="e">
        <f>Tabla156[[#This Row],[Renov. Flota]]-Tabla156[[#This Row],[Año]]</f>
        <v>#N/A</v>
      </c>
      <c r="AQ6" s="49" t="e">
        <v>#N/A</v>
      </c>
      <c r="AR6" s="49" t="e">
        <f>VLOOKUP(Tabla156[[#This Row],[Matricula nueva]],'ALTA 20242025'!$B$2:$P$242,15,FALSE)</f>
        <v>#N/A</v>
      </c>
      <c r="AS6" s="50" t="e">
        <v>#N/A</v>
      </c>
      <c r="AV6" s="1"/>
      <c r="AW6" s="1" t="e">
        <f>VLOOKUP(Tabla156[[#This Row],[Matricula nueva]],Hoja2!$A$1:$B$224,2,FALSE)</f>
        <v>#N/A</v>
      </c>
      <c r="AX6" s="1" t="str">
        <f>IF(Tabla156[[#This Row],[Columna2]]="M1",5.1,"")</f>
        <v/>
      </c>
      <c r="AY6" s="1"/>
      <c r="AZ6" s="1"/>
      <c r="BA6" s="47">
        <f>IF(Tabla156[[#This Row],[Columna2]]="M1",13073,IF(Tabla156[[#This Row],[Columna2]]="N1",15815,IF(Tabla156[[#This Row],[Columna2]]="L3e",2831,53508)))</f>
        <v>53508</v>
      </c>
      <c r="BB6" s="47" t="e">
        <f>(Tabla156[[#This Row],[CVA]]*Tabla156[[#This Row],[F]]-Tabla156[[#This Row],[CVN]])/100*Tabla156[[#This Row],[L]]</f>
        <v>#VALUE!</v>
      </c>
      <c r="BC6" s="1"/>
      <c r="BD6" s="1" t="e">
        <f>VLOOKUP(B6,Tabla467824[[ID CAE2]:[AE '[kWh']]],6,FALSE)</f>
        <v>#N/A</v>
      </c>
      <c r="BE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7" spans="1:70" ht="51.75" x14ac:dyDescent="0.25">
      <c r="A7" s="53" t="s">
        <v>68</v>
      </c>
      <c r="B7" s="53" t="s">
        <v>68</v>
      </c>
      <c r="C7" s="332" t="s">
        <v>69</v>
      </c>
      <c r="D7" s="104" t="s">
        <v>72</v>
      </c>
      <c r="E7" s="104" t="s">
        <v>72</v>
      </c>
      <c r="F7" s="104" t="s">
        <v>72</v>
      </c>
      <c r="G7" s="104"/>
      <c r="H7" s="104" t="s">
        <v>72</v>
      </c>
      <c r="I7" s="104" t="s">
        <v>72</v>
      </c>
      <c r="J7" s="104"/>
      <c r="K7" s="96" t="s">
        <v>73</v>
      </c>
      <c r="L7" s="96" t="s">
        <v>74</v>
      </c>
      <c r="M7" s="96" t="s">
        <v>75</v>
      </c>
      <c r="N7" s="96" t="s">
        <v>76</v>
      </c>
      <c r="O7" s="99">
        <f>VLOOKUP(Tabla156[[#This Row],[Matricula Antigua]],BAJA2022202320242025!$B$3:$CR$245,93,FALSE)</f>
        <v>45286</v>
      </c>
      <c r="P7" s="316">
        <v>45322</v>
      </c>
      <c r="Q7" s="317">
        <f>Tabla156[[#This Row],[F.Vig.Final]]-Tabla156[[#This Row],[f Vig Inicio]]</f>
        <v>36</v>
      </c>
      <c r="R7" s="318">
        <f>YEAR(Tabla156[[#This Row],[F.Vig.Final]])</f>
        <v>2024</v>
      </c>
      <c r="S7" s="96" t="s">
        <v>77</v>
      </c>
      <c r="T7" s="96" t="s">
        <v>78</v>
      </c>
      <c r="U7" s="96" t="s">
        <v>79</v>
      </c>
      <c r="V7" s="96" t="s">
        <v>80</v>
      </c>
      <c r="W7" s="96" t="s">
        <v>81</v>
      </c>
      <c r="X7" s="332" t="s">
        <v>82</v>
      </c>
      <c r="Y7" s="96" t="s">
        <v>83</v>
      </c>
      <c r="Z7" s="98">
        <f>COUNTIF($X$3:X7, X7)</f>
        <v>1</v>
      </c>
      <c r="AA7" s="337" t="s">
        <v>1661</v>
      </c>
      <c r="AB7" s="337" t="s">
        <v>1661</v>
      </c>
      <c r="AC7" s="337" t="s">
        <v>1662</v>
      </c>
      <c r="AD7" s="337" t="s">
        <v>1663</v>
      </c>
      <c r="AE7" s="338" t="s">
        <v>1664</v>
      </c>
      <c r="AF7" s="337" t="s">
        <v>1665</v>
      </c>
      <c r="AG7" s="337" t="s">
        <v>1666</v>
      </c>
      <c r="AH7" s="337" t="s">
        <v>1649</v>
      </c>
      <c r="AI7" s="337" t="s">
        <v>84</v>
      </c>
      <c r="AJ7" s="98" t="s">
        <v>85</v>
      </c>
      <c r="AK7" s="98" t="s">
        <v>86</v>
      </c>
      <c r="AL7" s="98" t="s">
        <v>87</v>
      </c>
      <c r="AM7" s="101">
        <v>357107</v>
      </c>
      <c r="AN7" s="348" t="s">
        <v>89</v>
      </c>
      <c r="AO7" s="349">
        <v>45625</v>
      </c>
      <c r="AP7" s="98">
        <f>Tabla156[[#This Row],[Renov. Flota]]-Tabla156[[#This Row],[Año]]</f>
        <v>0</v>
      </c>
      <c r="AQ7" s="100" t="s">
        <v>81</v>
      </c>
      <c r="AR7" s="100" t="str">
        <f>VLOOKUP(Tabla156[[#This Row],[Matricula nueva]],'ALTA 20242025'!$B$2:$P$242,15,FALSE)</f>
        <v>4500426762</v>
      </c>
      <c r="AS7" s="101" t="s">
        <v>82</v>
      </c>
      <c r="AT7" s="101"/>
      <c r="AU7" s="101" t="s">
        <v>72</v>
      </c>
      <c r="AV7" s="101" t="s">
        <v>91</v>
      </c>
      <c r="AW7" s="101" t="str">
        <f>VLOOKUP(Tabla156[[#This Row],[Matricula nueva]],Hoja2!$A$1:$B$224,2,FALSE)</f>
        <v>VF1RFK00273824834</v>
      </c>
      <c r="AX7" s="209">
        <f>IF(Tabla156[[#This Row],[Columna2]]="M1",5.1,"")</f>
        <v>5.0999999999999996</v>
      </c>
      <c r="AY7" s="208">
        <f t="shared" ref="AY7:AY14" si="0">IF(T7="DIESEL",10,IF(T7="GLP",7.16,9.19))</f>
        <v>10</v>
      </c>
      <c r="AZ7" s="313">
        <v>17.3</v>
      </c>
      <c r="BA7" s="314">
        <f>IF(Tabla156[[#This Row],[Columna2]]="M1",13073,IF(Tabla156[[#This Row],[Columna2]]="N1",15815,IF(Tabla156[[#This Row],[Columna2]]="L3e",2831,53508)))</f>
        <v>13073</v>
      </c>
      <c r="BB7" s="350">
        <f>(Tabla156[[#This Row],[CVA]]*Tabla156[[#This Row],[F]]-Tabla156[[#This Row],[CVN]])/100*Tabla156[[#This Row],[L]]</f>
        <v>4405.6010000000006</v>
      </c>
      <c r="BC7" s="90" t="s">
        <v>70</v>
      </c>
      <c r="BD7" s="209">
        <f>VLOOKUP(B7,Tabla467824[[ID CAE2]:[AE '[kWh']]],6,FALSE)</f>
        <v>7136.4330429999991</v>
      </c>
      <c r="BE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7"/>
      <c r="BL7"/>
      <c r="BM7"/>
      <c r="BN7"/>
      <c r="BO7"/>
      <c r="BP7"/>
      <c r="BQ7"/>
      <c r="BR7"/>
    </row>
    <row r="8" spans="1:70" ht="51.75" x14ac:dyDescent="0.25">
      <c r="A8" s="53" t="s">
        <v>94</v>
      </c>
      <c r="B8" s="53" t="s">
        <v>94</v>
      </c>
      <c r="C8" s="332" t="s">
        <v>95</v>
      </c>
      <c r="D8" s="104" t="s">
        <v>72</v>
      </c>
      <c r="E8" s="104" t="s">
        <v>72</v>
      </c>
      <c r="F8" s="104" t="s">
        <v>72</v>
      </c>
      <c r="G8" s="104"/>
      <c r="H8" s="104" t="s">
        <v>72</v>
      </c>
      <c r="I8" s="104" t="s">
        <v>72</v>
      </c>
      <c r="J8" s="104"/>
      <c r="K8" s="96" t="s">
        <v>73</v>
      </c>
      <c r="L8" s="96" t="s">
        <v>74</v>
      </c>
      <c r="M8" s="96" t="s">
        <v>75</v>
      </c>
      <c r="N8" s="96" t="s">
        <v>76</v>
      </c>
      <c r="O8" s="99">
        <f>VLOOKUP(Tabla156[[#This Row],[Matricula Antigua]],BAJA2022202320242025!$B$3:$CR$245,93,FALSE)</f>
        <v>45282</v>
      </c>
      <c r="P8" s="316">
        <v>45393</v>
      </c>
      <c r="Q8" s="317">
        <f>Tabla156[[#This Row],[F.Vig.Final]]-Tabla156[[#This Row],[f Vig Inicio]]</f>
        <v>111</v>
      </c>
      <c r="R8" s="318">
        <f>YEAR(Tabla156[[#This Row],[F.Vig.Final]])</f>
        <v>2024</v>
      </c>
      <c r="S8" s="96" t="s">
        <v>77</v>
      </c>
      <c r="T8" s="96" t="s">
        <v>78</v>
      </c>
      <c r="U8" s="96" t="s">
        <v>79</v>
      </c>
      <c r="V8" s="96" t="s">
        <v>80</v>
      </c>
      <c r="W8" s="96" t="s">
        <v>81</v>
      </c>
      <c r="X8" s="332" t="s">
        <v>82</v>
      </c>
      <c r="Y8" s="96" t="s">
        <v>83</v>
      </c>
      <c r="Z8" s="98">
        <f>COUNTIF($X$3:X8, X8)</f>
        <v>2</v>
      </c>
      <c r="AA8" s="337" t="s">
        <v>1661</v>
      </c>
      <c r="AB8" s="337" t="s">
        <v>1661</v>
      </c>
      <c r="AC8" s="337" t="s">
        <v>1662</v>
      </c>
      <c r="AD8" s="337" t="s">
        <v>1663</v>
      </c>
      <c r="AE8" s="339" t="s">
        <v>1664</v>
      </c>
      <c r="AF8" s="340" t="s">
        <v>1665</v>
      </c>
      <c r="AG8" s="337" t="s">
        <v>1666</v>
      </c>
      <c r="AH8" s="337" t="s">
        <v>1649</v>
      </c>
      <c r="AI8" s="337" t="s">
        <v>96</v>
      </c>
      <c r="AJ8" s="98" t="s">
        <v>85</v>
      </c>
      <c r="AK8" s="98" t="s">
        <v>86</v>
      </c>
      <c r="AL8" s="98" t="s">
        <v>87</v>
      </c>
      <c r="AM8" s="101">
        <v>357107</v>
      </c>
      <c r="AN8" s="348" t="s">
        <v>89</v>
      </c>
      <c r="AO8" s="349">
        <v>45625</v>
      </c>
      <c r="AP8" s="98">
        <f>Tabla156[[#This Row],[Renov. Flota]]-Tabla156[[#This Row],[Año]]</f>
        <v>0</v>
      </c>
      <c r="AQ8" s="100" t="s">
        <v>81</v>
      </c>
      <c r="AR8" s="100" t="str">
        <f>VLOOKUP(Tabla156[[#This Row],[Matricula nueva]],'ALTA 20242025'!$B$2:$P$242,15,FALSE)</f>
        <v>4500426781</v>
      </c>
      <c r="AS8" s="101" t="s">
        <v>82</v>
      </c>
      <c r="AT8" s="101"/>
      <c r="AU8" s="101" t="s">
        <v>72</v>
      </c>
      <c r="AV8" s="101" t="s">
        <v>91</v>
      </c>
      <c r="AW8" s="101" t="str">
        <f>VLOOKUP(Tabla156[[#This Row],[Matricula nueva]],Hoja2!$A$1:$B$224,2,FALSE)</f>
        <v>VF1RFK00473824835</v>
      </c>
      <c r="AX8" s="209">
        <f>IF(Tabla156[[#This Row],[Columna2]]="M1",5.1,"")</f>
        <v>5.0999999999999996</v>
      </c>
      <c r="AY8" s="208">
        <f t="shared" si="0"/>
        <v>10</v>
      </c>
      <c r="AZ8" s="313">
        <v>17.3</v>
      </c>
      <c r="BA8" s="314">
        <f>IF(Tabla156[[#This Row],[Columna2]]="M1",13073,IF(Tabla156[[#This Row],[Columna2]]="N1",15815,IF(Tabla156[[#This Row],[Columna2]]="L3e",2831,53508)))</f>
        <v>13073</v>
      </c>
      <c r="BB8" s="350">
        <f>(Tabla156[[#This Row],[CVA]]*Tabla156[[#This Row],[F]]-Tabla156[[#This Row],[CVN]])/100*Tabla156[[#This Row],[L]]</f>
        <v>4405.6010000000006</v>
      </c>
      <c r="BC8" s="294" t="s">
        <v>70</v>
      </c>
      <c r="BD8" s="209">
        <f>VLOOKUP(B8,Tabla467824[[ID CAE2]:[AE '[kWh']]],6,FALSE)</f>
        <v>6795.3454000000002</v>
      </c>
      <c r="BE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8"/>
      <c r="BL8"/>
      <c r="BM8"/>
      <c r="BN8"/>
      <c r="BO8"/>
      <c r="BP8"/>
      <c r="BQ8"/>
      <c r="BR8"/>
    </row>
    <row r="9" spans="1:70" ht="51.75" x14ac:dyDescent="0.25">
      <c r="A9" s="53" t="s">
        <v>99</v>
      </c>
      <c r="B9" s="53" t="s">
        <v>99</v>
      </c>
      <c r="C9" s="332" t="s">
        <v>100</v>
      </c>
      <c r="D9" s="104" t="s">
        <v>72</v>
      </c>
      <c r="E9" s="104"/>
      <c r="F9" s="104" t="s">
        <v>72</v>
      </c>
      <c r="G9" s="104"/>
      <c r="H9" s="104" t="s">
        <v>72</v>
      </c>
      <c r="I9" s="104" t="s">
        <v>72</v>
      </c>
      <c r="J9" s="104"/>
      <c r="K9" s="96" t="s">
        <v>73</v>
      </c>
      <c r="L9" s="96" t="s">
        <v>74</v>
      </c>
      <c r="M9" s="96" t="s">
        <v>75</v>
      </c>
      <c r="N9" s="96" t="s">
        <v>76</v>
      </c>
      <c r="O9" s="99">
        <f>VLOOKUP(Tabla156[[#This Row],[Matricula Antigua]],BAJA2022202320242025!$B$3:$CR$245,93,FALSE)</f>
        <v>45202</v>
      </c>
      <c r="P9" s="316">
        <v>45259</v>
      </c>
      <c r="Q9" s="317">
        <f>Tabla156[[#This Row],[F.Vig.Final]]-Tabla156[[#This Row],[f Vig Inicio]]</f>
        <v>57</v>
      </c>
      <c r="R9" s="318">
        <f>YEAR(Tabla156[[#This Row],[F.Vig.Final]])</f>
        <v>2023</v>
      </c>
      <c r="S9" s="96" t="s">
        <v>77</v>
      </c>
      <c r="T9" s="96" t="s">
        <v>78</v>
      </c>
      <c r="U9" s="96" t="s">
        <v>79</v>
      </c>
      <c r="V9" s="96" t="s">
        <v>101</v>
      </c>
      <c r="W9" s="96" t="s">
        <v>102</v>
      </c>
      <c r="X9" s="332" t="s">
        <v>1667</v>
      </c>
      <c r="Y9" s="96" t="s">
        <v>104</v>
      </c>
      <c r="Z9" s="98">
        <f>COUNTIF($X$3:X9, X9)</f>
        <v>1</v>
      </c>
      <c r="AA9" s="337" t="s">
        <v>1668</v>
      </c>
      <c r="AB9" s="337" t="s">
        <v>1668</v>
      </c>
      <c r="AC9" s="337" t="s">
        <v>1669</v>
      </c>
      <c r="AD9" s="341" t="s">
        <v>1670</v>
      </c>
      <c r="AE9" s="342" t="s">
        <v>1671</v>
      </c>
      <c r="AF9" s="337" t="s">
        <v>1672</v>
      </c>
      <c r="AG9" s="343" t="s">
        <v>1673</v>
      </c>
      <c r="AH9" s="337" t="s">
        <v>1649</v>
      </c>
      <c r="AI9" s="337" t="s">
        <v>105</v>
      </c>
      <c r="AJ9" s="98" t="s">
        <v>79</v>
      </c>
      <c r="AK9" s="98" t="s">
        <v>106</v>
      </c>
      <c r="AL9" s="98" t="s">
        <v>87</v>
      </c>
      <c r="AM9" s="101" t="s">
        <v>107</v>
      </c>
      <c r="AN9" s="348" t="s">
        <v>108</v>
      </c>
      <c r="AO9" s="349">
        <v>45133</v>
      </c>
      <c r="AP9" s="98">
        <f>Tabla156[[#This Row],[Renov. Flota]]-Tabla156[[#This Row],[Año]]</f>
        <v>0</v>
      </c>
      <c r="AQ9" s="100" t="s">
        <v>102</v>
      </c>
      <c r="AR9" s="100">
        <v>4500370218</v>
      </c>
      <c r="AS9" s="101" t="s">
        <v>103</v>
      </c>
      <c r="AT9" s="101"/>
      <c r="AU9" s="101" t="s">
        <v>72</v>
      </c>
      <c r="AV9" s="101" t="s">
        <v>109</v>
      </c>
      <c r="AW9" s="101" t="s">
        <v>110</v>
      </c>
      <c r="AX9" s="209">
        <f>IF(Tabla156[[#This Row],[Columna2]]="M1",5.1,"")</f>
        <v>5.0999999999999996</v>
      </c>
      <c r="AY9" s="208">
        <f t="shared" si="0"/>
        <v>10</v>
      </c>
      <c r="AZ9" s="313">
        <v>28.2</v>
      </c>
      <c r="BA9" s="314">
        <f>IF(Tabla156[[#This Row],[Columna2]]="M1",13073,IF(Tabla156[[#This Row],[Columna2]]="N1",15815,IF(Tabla156[[#This Row],[Columna2]]="L3e",2831,53508)))</f>
        <v>13073</v>
      </c>
      <c r="BB9" s="350">
        <f>(Tabla156[[#This Row],[CVA]]*Tabla156[[#This Row],[F]]-Tabla156[[#This Row],[CVN]])/100*Tabla156[[#This Row],[L]]</f>
        <v>2980.6440000000002</v>
      </c>
      <c r="BC9" s="294" t="s">
        <v>70</v>
      </c>
      <c r="BD9" s="209">
        <f>VLOOKUP(B9,Tabla467824[[ID CAE2]:[AE '[kWh']]],6,FALSE)</f>
        <v>6795.3454000000002</v>
      </c>
      <c r="BE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9"/>
      <c r="BL9"/>
      <c r="BM9"/>
      <c r="BN9"/>
      <c r="BO9"/>
      <c r="BP9"/>
      <c r="BQ9"/>
      <c r="BR9"/>
    </row>
    <row r="10" spans="1:70" ht="51.75" x14ac:dyDescent="0.25">
      <c r="A10" s="53" t="s">
        <v>111</v>
      </c>
      <c r="B10" s="53" t="s">
        <v>111</v>
      </c>
      <c r="C10" s="332" t="s">
        <v>112</v>
      </c>
      <c r="D10" s="104" t="s">
        <v>72</v>
      </c>
      <c r="E10" s="104" t="s">
        <v>72</v>
      </c>
      <c r="F10" s="104" t="s">
        <v>72</v>
      </c>
      <c r="G10" s="104"/>
      <c r="H10" s="104" t="s">
        <v>72</v>
      </c>
      <c r="I10" s="104" t="s">
        <v>72</v>
      </c>
      <c r="J10" s="104"/>
      <c r="K10" s="96" t="s">
        <v>73</v>
      </c>
      <c r="L10" s="96" t="s">
        <v>74</v>
      </c>
      <c r="M10" s="96" t="s">
        <v>75</v>
      </c>
      <c r="N10" s="96" t="s">
        <v>76</v>
      </c>
      <c r="O10" s="99">
        <f>VLOOKUP(Tabla156[[#This Row],[Matricula Antigua]],BAJA2022202320242025!$B$3:$CR$245,93,FALSE)</f>
        <v>45202</v>
      </c>
      <c r="P10" s="316">
        <v>45261</v>
      </c>
      <c r="Q10" s="317">
        <f>Tabla156[[#This Row],[F.Vig.Final]]-Tabla156[[#This Row],[f Vig Inicio]]</f>
        <v>59</v>
      </c>
      <c r="R10" s="318">
        <f>YEAR(Tabla156[[#This Row],[F.Vig.Final]])</f>
        <v>2023</v>
      </c>
      <c r="S10" s="96" t="s">
        <v>77</v>
      </c>
      <c r="T10" s="96" t="s">
        <v>78</v>
      </c>
      <c r="U10" s="96" t="s">
        <v>79</v>
      </c>
      <c r="V10" s="96" t="s">
        <v>101</v>
      </c>
      <c r="W10" s="96" t="s">
        <v>102</v>
      </c>
      <c r="X10" s="332" t="s">
        <v>1667</v>
      </c>
      <c r="Y10" s="96" t="s">
        <v>104</v>
      </c>
      <c r="Z10" s="98">
        <f>COUNTIF($X$3:X10, X10)</f>
        <v>2</v>
      </c>
      <c r="AA10" s="337" t="s">
        <v>1668</v>
      </c>
      <c r="AB10" s="337" t="s">
        <v>1668</v>
      </c>
      <c r="AC10" s="337" t="s">
        <v>1669</v>
      </c>
      <c r="AD10" s="341" t="s">
        <v>1670</v>
      </c>
      <c r="AE10" s="342" t="s">
        <v>1671</v>
      </c>
      <c r="AF10" s="337" t="s">
        <v>1672</v>
      </c>
      <c r="AG10" s="344" t="s">
        <v>1673</v>
      </c>
      <c r="AH10" s="337" t="s">
        <v>1649</v>
      </c>
      <c r="AI10" s="337" t="s">
        <v>113</v>
      </c>
      <c r="AJ10" s="98" t="s">
        <v>85</v>
      </c>
      <c r="AK10" s="98" t="s">
        <v>114</v>
      </c>
      <c r="AL10" s="98" t="s">
        <v>87</v>
      </c>
      <c r="AM10" s="101" t="s">
        <v>115</v>
      </c>
      <c r="AN10" s="348" t="s">
        <v>108</v>
      </c>
      <c r="AO10" s="349">
        <v>44994</v>
      </c>
      <c r="AP10" s="98">
        <f>Tabla156[[#This Row],[Renov. Flota]]-Tabla156[[#This Row],[Año]]</f>
        <v>0</v>
      </c>
      <c r="AQ10" s="100" t="s">
        <v>102</v>
      </c>
      <c r="AR10" s="100">
        <v>4500351521</v>
      </c>
      <c r="AS10" s="101" t="s">
        <v>103</v>
      </c>
      <c r="AT10" s="101"/>
      <c r="AU10" s="101" t="s">
        <v>72</v>
      </c>
      <c r="AV10" s="101" t="s">
        <v>109</v>
      </c>
      <c r="AW10" s="101" t="s">
        <v>116</v>
      </c>
      <c r="AX10" s="209">
        <f>IF(Tabla156[[#This Row],[Columna2]]="M1",5.1,"")</f>
        <v>5.0999999999999996</v>
      </c>
      <c r="AY10" s="208">
        <f t="shared" si="0"/>
        <v>10</v>
      </c>
      <c r="AZ10" s="313">
        <v>17.3</v>
      </c>
      <c r="BA10" s="314">
        <f>IF(Tabla156[[#This Row],[Columna2]]="M1",13073,IF(Tabla156[[#This Row],[Columna2]]="N1",15815,IF(Tabla156[[#This Row],[Columna2]]="L3e",2831,53508)))</f>
        <v>13073</v>
      </c>
      <c r="BB10" s="350">
        <f>(Tabla156[[#This Row],[CVA]]*Tabla156[[#This Row],[F]]-Tabla156[[#This Row],[CVN]])/100*Tabla156[[#This Row],[L]]</f>
        <v>4405.6010000000006</v>
      </c>
      <c r="BC10" s="294" t="s">
        <v>70</v>
      </c>
      <c r="BD10" s="209">
        <f>VLOOKUP(B10,Tabla467824[[ID CAE2]:[AE '[kWh']]],6,FALSE)</f>
        <v>6795.3454000000002</v>
      </c>
      <c r="BE1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10"/>
      <c r="BL10"/>
      <c r="BM10"/>
      <c r="BN10"/>
      <c r="BO10"/>
      <c r="BP10"/>
      <c r="BQ10"/>
      <c r="BR10"/>
    </row>
    <row r="11" spans="1:70" ht="51.75" x14ac:dyDescent="0.25">
      <c r="A11" s="53" t="s">
        <v>117</v>
      </c>
      <c r="B11" s="53" t="s">
        <v>117</v>
      </c>
      <c r="C11" s="332" t="s">
        <v>118</v>
      </c>
      <c r="D11" s="104" t="s">
        <v>72</v>
      </c>
      <c r="E11" s="104"/>
      <c r="F11" s="104" t="s">
        <v>72</v>
      </c>
      <c r="G11" s="104"/>
      <c r="H11" s="104" t="s">
        <v>72</v>
      </c>
      <c r="I11" s="104" t="s">
        <v>72</v>
      </c>
      <c r="J11" s="104"/>
      <c r="K11" s="96" t="s">
        <v>73</v>
      </c>
      <c r="L11" s="96" t="s">
        <v>74</v>
      </c>
      <c r="M11" s="96" t="s">
        <v>75</v>
      </c>
      <c r="N11" s="96" t="s">
        <v>76</v>
      </c>
      <c r="O11" s="99">
        <f>VLOOKUP(Tabla156[[#This Row],[Matricula Antigua]],BAJA2022202320242025!$B$3:$CR$245,93,FALSE)</f>
        <v>45397</v>
      </c>
      <c r="P11" s="316">
        <v>45414</v>
      </c>
      <c r="Q11" s="317">
        <f>Tabla156[[#This Row],[F.Vig.Final]]-Tabla156[[#This Row],[f Vig Inicio]]</f>
        <v>17</v>
      </c>
      <c r="R11" s="318">
        <f>YEAR(Tabla156[[#This Row],[F.Vig.Final]])</f>
        <v>2024</v>
      </c>
      <c r="S11" s="96" t="s">
        <v>77</v>
      </c>
      <c r="T11" s="96" t="s">
        <v>78</v>
      </c>
      <c r="U11" s="96" t="s">
        <v>79</v>
      </c>
      <c r="V11" s="96" t="s">
        <v>101</v>
      </c>
      <c r="W11" s="96" t="s">
        <v>119</v>
      </c>
      <c r="X11" s="332" t="s">
        <v>1674</v>
      </c>
      <c r="Y11" s="96" t="s">
        <v>121</v>
      </c>
      <c r="Z11" s="98">
        <f>COUNTIF($X$3:X11, X11)</f>
        <v>1</v>
      </c>
      <c r="AA11" s="337" t="s">
        <v>1661</v>
      </c>
      <c r="AB11" s="337" t="s">
        <v>1661</v>
      </c>
      <c r="AC11" s="337" t="s">
        <v>1662</v>
      </c>
      <c r="AD11" s="337" t="s">
        <v>1663</v>
      </c>
      <c r="AE11" s="345" t="s">
        <v>1664</v>
      </c>
      <c r="AF11" s="346" t="s">
        <v>1665</v>
      </c>
      <c r="AG11" s="337" t="s">
        <v>1666</v>
      </c>
      <c r="AH11" s="337" t="s">
        <v>1649</v>
      </c>
      <c r="AI11" s="337" t="s">
        <v>122</v>
      </c>
      <c r="AJ11" s="98" t="s">
        <v>85</v>
      </c>
      <c r="AK11" s="98" t="s">
        <v>86</v>
      </c>
      <c r="AL11" s="98" t="s">
        <v>87</v>
      </c>
      <c r="AM11" s="101" t="s">
        <v>123</v>
      </c>
      <c r="AN11" s="348" t="s">
        <v>89</v>
      </c>
      <c r="AO11" s="349">
        <v>45645</v>
      </c>
      <c r="AP11" s="98">
        <f>Tabla156[[#This Row],[Renov. Flota]]-Tabla156[[#This Row],[Año]]</f>
        <v>0</v>
      </c>
      <c r="AQ11" s="100" t="s">
        <v>119</v>
      </c>
      <c r="AR11" s="100" t="str">
        <f>VLOOKUP(Tabla156[[#This Row],[Matricula nueva]],'ALTA 20242025'!$B$2:$P$242,15,FALSE)</f>
        <v>4500426876</v>
      </c>
      <c r="AS11" s="101" t="s">
        <v>120</v>
      </c>
      <c r="AT11" s="101"/>
      <c r="AU11" s="101" t="s">
        <v>72</v>
      </c>
      <c r="AV11" s="101" t="s">
        <v>91</v>
      </c>
      <c r="AW11" s="101" t="str">
        <f>VLOOKUP(Tabla156[[#This Row],[Matricula nueva]],Hoja2!$A$1:$B$224,2,FALSE)</f>
        <v>VF1RFK00273934296</v>
      </c>
      <c r="AX11" s="209">
        <f>IF(Tabla156[[#This Row],[Columna2]]="M1",5.1,"")</f>
        <v>5.0999999999999996</v>
      </c>
      <c r="AY11" s="208">
        <f t="shared" si="0"/>
        <v>10</v>
      </c>
      <c r="AZ11" s="313">
        <v>17.3</v>
      </c>
      <c r="BA11" s="314">
        <f>IF(Tabla156[[#This Row],[Columna2]]="M1",13073,IF(Tabla156[[#This Row],[Columna2]]="N1",15815,IF(Tabla156[[#This Row],[Columna2]]="L3e",2831,53508)))</f>
        <v>13073</v>
      </c>
      <c r="BB11" s="350">
        <f>(Tabla156[[#This Row],[CVA]]*Tabla156[[#This Row],[F]]-Tabla156[[#This Row],[CVN]])/100*Tabla156[[#This Row],[L]]</f>
        <v>4405.6010000000006</v>
      </c>
      <c r="BC11" s="294" t="s">
        <v>70</v>
      </c>
      <c r="BD11" s="209">
        <f>VLOOKUP(B11,Tabla467824[[ID CAE2]:[AE '[kWh']]],6,FALSE)</f>
        <v>6795.3454000000002</v>
      </c>
      <c r="BE1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11"/>
      <c r="BL11"/>
      <c r="BM11"/>
      <c r="BN11"/>
      <c r="BO11"/>
      <c r="BP11"/>
      <c r="BQ11"/>
      <c r="BR11"/>
    </row>
    <row r="12" spans="1:70" ht="51.75" x14ac:dyDescent="0.25">
      <c r="A12" s="53" t="s">
        <v>126</v>
      </c>
      <c r="B12" s="53" t="s">
        <v>126</v>
      </c>
      <c r="C12" s="332" t="s">
        <v>127</v>
      </c>
      <c r="D12" s="104" t="s">
        <v>72</v>
      </c>
      <c r="E12" s="104"/>
      <c r="F12" s="104" t="s">
        <v>72</v>
      </c>
      <c r="G12" s="104"/>
      <c r="H12" s="104" t="s">
        <v>72</v>
      </c>
      <c r="I12" s="104" t="s">
        <v>72</v>
      </c>
      <c r="J12" s="104"/>
      <c r="K12" s="96" t="s">
        <v>129</v>
      </c>
      <c r="L12" s="96" t="s">
        <v>74</v>
      </c>
      <c r="M12" s="96" t="s">
        <v>75</v>
      </c>
      <c r="N12" s="96" t="s">
        <v>76</v>
      </c>
      <c r="O12" s="99">
        <f>VLOOKUP(Tabla156[[#This Row],[Matricula Antigua]],BAJA2022202320242025!$B$3:$CR$245,93,FALSE)</f>
        <v>45447</v>
      </c>
      <c r="P12" s="316">
        <v>45657</v>
      </c>
      <c r="Q12" s="317">
        <f>Tabla156[[#This Row],[F.Vig.Final]]-Tabla156[[#This Row],[f Vig Inicio]]</f>
        <v>210</v>
      </c>
      <c r="R12" s="318">
        <f>YEAR(Tabla156[[#This Row],[F.Vig.Final]])</f>
        <v>2024</v>
      </c>
      <c r="S12" s="96" t="s">
        <v>77</v>
      </c>
      <c r="T12" s="96" t="s">
        <v>78</v>
      </c>
      <c r="U12" s="96" t="s">
        <v>79</v>
      </c>
      <c r="V12" s="96" t="s">
        <v>130</v>
      </c>
      <c r="W12" s="96" t="s">
        <v>131</v>
      </c>
      <c r="X12" s="332" t="s">
        <v>132</v>
      </c>
      <c r="Y12" s="96" t="s">
        <v>133</v>
      </c>
      <c r="Z12" s="98">
        <f>COUNTIF($X$3:X12, X12)</f>
        <v>1</v>
      </c>
      <c r="AA12" s="337" t="s">
        <v>1661</v>
      </c>
      <c r="AB12" s="337" t="s">
        <v>1661</v>
      </c>
      <c r="AC12" s="337" t="s">
        <v>1662</v>
      </c>
      <c r="AD12" s="341" t="s">
        <v>1675</v>
      </c>
      <c r="AE12" s="347" t="s">
        <v>1664</v>
      </c>
      <c r="AF12" s="337" t="s">
        <v>1676</v>
      </c>
      <c r="AG12" s="337" t="s">
        <v>1677</v>
      </c>
      <c r="AH12" s="337" t="s">
        <v>1649</v>
      </c>
      <c r="AI12" s="337" t="s">
        <v>134</v>
      </c>
      <c r="AJ12" s="98" t="s">
        <v>85</v>
      </c>
      <c r="AK12" s="98" t="s">
        <v>86</v>
      </c>
      <c r="AL12" s="98" t="s">
        <v>87</v>
      </c>
      <c r="AM12" s="101" t="s">
        <v>135</v>
      </c>
      <c r="AN12" s="348" t="s">
        <v>89</v>
      </c>
      <c r="AO12" s="349">
        <v>45625</v>
      </c>
      <c r="AP12" s="98">
        <f>Tabla156[[#This Row],[Renov. Flota]]-Tabla156[[#This Row],[Año]]</f>
        <v>0</v>
      </c>
      <c r="AQ12" s="100" t="s">
        <v>131</v>
      </c>
      <c r="AR12" s="100" t="str">
        <f>VLOOKUP(Tabla156[[#This Row],[Matricula nueva]],'ALTA 20242025'!$B$2:$P$242,15,FALSE)</f>
        <v>4500426872</v>
      </c>
      <c r="AS12" s="101" t="s">
        <v>132</v>
      </c>
      <c r="AT12" s="101"/>
      <c r="AU12" s="101" t="s">
        <v>72</v>
      </c>
      <c r="AV12" s="101" t="s">
        <v>91</v>
      </c>
      <c r="AW12" s="101" t="str">
        <f>VLOOKUP(Tabla156[[#This Row],[Matricula nueva]],Hoja2!$A$1:$B$224,2,FALSE)</f>
        <v>VF1RFK00073824833</v>
      </c>
      <c r="AX12" s="209">
        <v>5.6</v>
      </c>
      <c r="AY12" s="208">
        <f t="shared" si="0"/>
        <v>10</v>
      </c>
      <c r="AZ12" s="313">
        <v>17.3</v>
      </c>
      <c r="BA12" s="314">
        <f>IF(Tabla156[[#This Row],[Columna2]]="M1",13073,IF(Tabla156[[#This Row],[Columna2]]="N1",15815,IF(Tabla156[[#This Row],[Columna2]]="L3e",2831,53508)))</f>
        <v>15815</v>
      </c>
      <c r="BB12" s="350">
        <f>(Tabla156[[#This Row],[CVA]]*Tabla156[[#This Row],[F]]-Tabla156[[#This Row],[CVN]])/100*Tabla156[[#This Row],[L]]</f>
        <v>6120.4049999999997</v>
      </c>
      <c r="BC12" s="294" t="s">
        <v>128</v>
      </c>
      <c r="BD12" s="209">
        <f>VLOOKUP(B12,Tabla467824[[ID CAE2]:[AE '[kWh']]],6,FALSE)</f>
        <v>5607.9989999999989</v>
      </c>
      <c r="BE1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12"/>
      <c r="BL12"/>
      <c r="BM12"/>
      <c r="BN12"/>
      <c r="BO12"/>
      <c r="BP12"/>
      <c r="BQ12"/>
      <c r="BR12"/>
    </row>
    <row r="13" spans="1:70" ht="51.75" x14ac:dyDescent="0.25">
      <c r="A13" s="53" t="s">
        <v>138</v>
      </c>
      <c r="B13" s="53" t="s">
        <v>138</v>
      </c>
      <c r="C13" s="332" t="s">
        <v>139</v>
      </c>
      <c r="D13" s="104" t="s">
        <v>72</v>
      </c>
      <c r="E13" s="104" t="s">
        <v>72</v>
      </c>
      <c r="F13" s="104" t="s">
        <v>72</v>
      </c>
      <c r="G13" s="104"/>
      <c r="H13" s="104" t="s">
        <v>72</v>
      </c>
      <c r="I13" s="104" t="s">
        <v>72</v>
      </c>
      <c r="J13" s="104"/>
      <c r="K13" s="96" t="s">
        <v>73</v>
      </c>
      <c r="L13" s="96" t="s">
        <v>74</v>
      </c>
      <c r="M13" s="96" t="s">
        <v>75</v>
      </c>
      <c r="N13" s="96" t="s">
        <v>76</v>
      </c>
      <c r="O13" s="99">
        <f>VLOOKUP(Tabla156[[#This Row],[Matricula Antigua]],BAJA2022202320242025!$B$3:$CR$245,93,FALSE)</f>
        <v>45282</v>
      </c>
      <c r="P13" s="316">
        <v>45321</v>
      </c>
      <c r="Q13" s="317">
        <f>Tabla156[[#This Row],[F.Vig.Final]]-Tabla156[[#This Row],[f Vig Inicio]]</f>
        <v>39</v>
      </c>
      <c r="R13" s="318">
        <f>YEAR(Tabla156[[#This Row],[F.Vig.Final]])</f>
        <v>2024</v>
      </c>
      <c r="S13" s="96" t="s">
        <v>77</v>
      </c>
      <c r="T13" s="96" t="s">
        <v>78</v>
      </c>
      <c r="U13" s="96" t="s">
        <v>140</v>
      </c>
      <c r="V13" s="96" t="s">
        <v>141</v>
      </c>
      <c r="W13" s="96" t="s">
        <v>81</v>
      </c>
      <c r="X13" s="332" t="s">
        <v>82</v>
      </c>
      <c r="Y13" s="96" t="s">
        <v>83</v>
      </c>
      <c r="Z13" s="98">
        <f>COUNTIF($X$3:X13, X13)</f>
        <v>3</v>
      </c>
      <c r="AA13" s="337" t="s">
        <v>1661</v>
      </c>
      <c r="AB13" s="337" t="s">
        <v>1661</v>
      </c>
      <c r="AC13" s="337" t="s">
        <v>1662</v>
      </c>
      <c r="AD13" s="337" t="s">
        <v>1663</v>
      </c>
      <c r="AE13" s="342" t="s">
        <v>1664</v>
      </c>
      <c r="AF13" s="337" t="s">
        <v>1665</v>
      </c>
      <c r="AG13" s="337" t="s">
        <v>1666</v>
      </c>
      <c r="AH13" s="337" t="s">
        <v>1649</v>
      </c>
      <c r="AI13" s="337" t="s">
        <v>142</v>
      </c>
      <c r="AJ13" s="98" t="s">
        <v>85</v>
      </c>
      <c r="AK13" s="98" t="s">
        <v>86</v>
      </c>
      <c r="AL13" s="98" t="s">
        <v>87</v>
      </c>
      <c r="AM13" s="101" t="s">
        <v>143</v>
      </c>
      <c r="AN13" s="348" t="s">
        <v>89</v>
      </c>
      <c r="AO13" s="349">
        <v>45625</v>
      </c>
      <c r="AP13" s="98">
        <f>Tabla156[[#This Row],[Renov. Flota]]-Tabla156[[#This Row],[Año]]</f>
        <v>0</v>
      </c>
      <c r="AQ13" s="100" t="s">
        <v>81</v>
      </c>
      <c r="AR13" s="100" t="str">
        <f>VLOOKUP(Tabla156[[#This Row],[Matricula nueva]],'ALTA 20242025'!$B$2:$P$242,15,FALSE)</f>
        <v>4500426841</v>
      </c>
      <c r="AS13" s="101" t="s">
        <v>82</v>
      </c>
      <c r="AT13" s="101"/>
      <c r="AU13" s="101" t="s">
        <v>72</v>
      </c>
      <c r="AV13" s="101" t="s">
        <v>91</v>
      </c>
      <c r="AW13" s="101" t="str">
        <f>VLOOKUP(Tabla156[[#This Row],[Matricula nueva]],Hoja2!$A$1:$B$224,2,FALSE)</f>
        <v>VF1RFK00773824845</v>
      </c>
      <c r="AX13" s="209">
        <f>IF(Tabla156[[#This Row],[Columna2]]="M1",5.1,"")</f>
        <v>5.0999999999999996</v>
      </c>
      <c r="AY13" s="208">
        <f t="shared" si="0"/>
        <v>10</v>
      </c>
      <c r="AZ13" s="313">
        <v>17.3</v>
      </c>
      <c r="BA13" s="314">
        <f>IF(Tabla156[[#This Row],[Columna2]]="M1",13073,IF(Tabla156[[#This Row],[Columna2]]="N1",15815,IF(Tabla156[[#This Row],[Columna2]]="L3e",2831,53508)))</f>
        <v>13073</v>
      </c>
      <c r="BB13" s="350">
        <f>(Tabla156[[#This Row],[CVA]]*Tabla156[[#This Row],[F]]-Tabla156[[#This Row],[CVN]])/100*Tabla156[[#This Row],[L]]</f>
        <v>4405.6010000000006</v>
      </c>
      <c r="BC13" s="294" t="s">
        <v>70</v>
      </c>
      <c r="BD13" s="209">
        <f>VLOOKUP(B13,Tabla467824[[ID CAE2]:[AE '[kWh']]],6,FALSE)</f>
        <v>6795.3454000000002</v>
      </c>
      <c r="BE1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13"/>
      <c r="BL13"/>
      <c r="BM13"/>
      <c r="BN13"/>
      <c r="BO13"/>
      <c r="BP13"/>
      <c r="BQ13"/>
      <c r="BR13"/>
    </row>
    <row r="14" spans="1:70" ht="52.5" thickBot="1" x14ac:dyDescent="0.3">
      <c r="A14" s="53" t="s">
        <v>146</v>
      </c>
      <c r="B14" s="53" t="s">
        <v>146</v>
      </c>
      <c r="C14" s="332" t="s">
        <v>147</v>
      </c>
      <c r="D14" s="104" t="s">
        <v>72</v>
      </c>
      <c r="E14" s="104"/>
      <c r="F14" s="104" t="s">
        <v>72</v>
      </c>
      <c r="G14" s="104"/>
      <c r="H14" s="104" t="s">
        <v>72</v>
      </c>
      <c r="I14" s="104" t="s">
        <v>72</v>
      </c>
      <c r="J14" s="104"/>
      <c r="K14" s="96" t="s">
        <v>73</v>
      </c>
      <c r="L14" s="96" t="s">
        <v>74</v>
      </c>
      <c r="M14" s="96" t="s">
        <v>75</v>
      </c>
      <c r="N14" s="96" t="s">
        <v>76</v>
      </c>
      <c r="O14" s="99">
        <f>VLOOKUP(Tabla156[[#This Row],[Matricula Antigua]],BAJA2022202320242025!$B$3:$CR$245,93,FALSE)</f>
        <v>45451</v>
      </c>
      <c r="P14" s="316">
        <v>45565</v>
      </c>
      <c r="Q14" s="317">
        <f>Tabla156[[#This Row],[F.Vig.Final]]-Tabla156[[#This Row],[f Vig Inicio]]</f>
        <v>114</v>
      </c>
      <c r="R14" s="318">
        <f>YEAR(Tabla156[[#This Row],[F.Vig.Final]])</f>
        <v>2024</v>
      </c>
      <c r="S14" s="96" t="s">
        <v>77</v>
      </c>
      <c r="T14" s="96" t="s">
        <v>78</v>
      </c>
      <c r="U14" s="96" t="s">
        <v>140</v>
      </c>
      <c r="V14" s="96" t="s">
        <v>148</v>
      </c>
      <c r="W14" s="96" t="s">
        <v>119</v>
      </c>
      <c r="X14" s="332" t="s">
        <v>1674</v>
      </c>
      <c r="Y14" s="96" t="s">
        <v>149</v>
      </c>
      <c r="Z14" s="98">
        <f>COUNTIF($X$3:X14, X14)</f>
        <v>2</v>
      </c>
      <c r="AA14" s="337" t="s">
        <v>1661</v>
      </c>
      <c r="AB14" s="337" t="s">
        <v>1661</v>
      </c>
      <c r="AC14" s="337" t="s">
        <v>1662</v>
      </c>
      <c r="AD14" s="337" t="s">
        <v>1663</v>
      </c>
      <c r="AE14" s="342" t="s">
        <v>1664</v>
      </c>
      <c r="AF14" s="337" t="s">
        <v>1665</v>
      </c>
      <c r="AG14" s="337" t="s">
        <v>1666</v>
      </c>
      <c r="AH14" s="337" t="s">
        <v>1649</v>
      </c>
      <c r="AI14" s="337" t="s">
        <v>150</v>
      </c>
      <c r="AJ14" s="98" t="s">
        <v>140</v>
      </c>
      <c r="AK14" s="98" t="s">
        <v>151</v>
      </c>
      <c r="AL14" s="98" t="s">
        <v>87</v>
      </c>
      <c r="AM14" s="101" t="s">
        <v>152</v>
      </c>
      <c r="AN14" s="348" t="s">
        <v>89</v>
      </c>
      <c r="AO14" s="349">
        <v>45622</v>
      </c>
      <c r="AP14" s="98">
        <f>Tabla156[[#This Row],[Renov. Flota]]-Tabla156[[#This Row],[Año]]</f>
        <v>0</v>
      </c>
      <c r="AQ14" s="100" t="s">
        <v>119</v>
      </c>
      <c r="AR14" s="100" t="str">
        <f>VLOOKUP(Tabla156[[#This Row],[Matricula nueva]],'ALTA 20242025'!$B$2:$P$242,15,FALSE)</f>
        <v>4500424209</v>
      </c>
      <c r="AS14" s="101" t="s">
        <v>120</v>
      </c>
      <c r="AT14" s="101"/>
      <c r="AU14" s="101" t="s">
        <v>72</v>
      </c>
      <c r="AV14" s="101" t="s">
        <v>91</v>
      </c>
      <c r="AW14" s="101" t="str">
        <f>VLOOKUP(Tabla156[[#This Row],[Matricula nueva]],Hoja2!$A$1:$B$224,2,FALSE)</f>
        <v>VR7CBZYAXRT152191</v>
      </c>
      <c r="AX14" s="209">
        <f>IF(Tabla156[[#This Row],[Columna2]]="M1",5.1,"")</f>
        <v>5.0999999999999996</v>
      </c>
      <c r="AY14" s="208">
        <f t="shared" si="0"/>
        <v>10</v>
      </c>
      <c r="AZ14" s="313">
        <v>16.399999999999999</v>
      </c>
      <c r="BA14" s="314">
        <f>IF(Tabla156[[#This Row],[Columna2]]="M1",13073,IF(Tabla156[[#This Row],[Columna2]]="N1",15815,IF(Tabla156[[#This Row],[Columna2]]="L3e",2831,53508)))</f>
        <v>13073</v>
      </c>
      <c r="BB14" s="350">
        <f>(Tabla156[[#This Row],[CVA]]*Tabla156[[#This Row],[F]]-Tabla156[[#This Row],[CVN]])/100*Tabla156[[#This Row],[L]]</f>
        <v>4523.2580000000007</v>
      </c>
      <c r="BC14" s="91" t="s">
        <v>70</v>
      </c>
      <c r="BD14" s="209">
        <f>VLOOKUP(B14,Tabla467824[[ID CAE2]:[AE '[kWh']]],6,FALSE)</f>
        <v>6795.3454000000002</v>
      </c>
      <c r="BE1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14"/>
      <c r="BL14"/>
      <c r="BM14"/>
      <c r="BN14"/>
      <c r="BO14"/>
      <c r="BP14"/>
      <c r="BQ14"/>
      <c r="BR14"/>
    </row>
    <row r="15" spans="1:70" ht="15.75" hidden="1" thickBot="1" x14ac:dyDescent="0.3">
      <c r="A15" s="53" t="s">
        <v>1141</v>
      </c>
      <c r="B15" s="53" t="e">
        <v>#N/A</v>
      </c>
      <c r="C15" s="96" t="s">
        <v>1142</v>
      </c>
      <c r="D15" s="96"/>
      <c r="E15" s="96"/>
      <c r="F15" s="96"/>
      <c r="G15" s="96"/>
      <c r="H15" s="96"/>
      <c r="I15" s="96"/>
      <c r="J15" s="96"/>
      <c r="K15" s="96" t="s">
        <v>1143</v>
      </c>
      <c r="L15" s="96" t="s">
        <v>74</v>
      </c>
      <c r="M15" s="96" t="s">
        <v>75</v>
      </c>
      <c r="N15" s="96" t="s">
        <v>76</v>
      </c>
      <c r="O15" s="101">
        <f>VLOOKUP(Tabla156[[#This Row],[Matricula Antigua]],BAJA2022202320242025!$B$3:$CR$245,93,FALSE)</f>
        <v>44756</v>
      </c>
      <c r="P15" s="99">
        <v>45169</v>
      </c>
      <c r="Q15" s="98">
        <f>Tabla156[[#This Row],[F.Vig.Final]]-Tabla156[[#This Row],[f Vig Inicio]]</f>
        <v>413</v>
      </c>
      <c r="R15" s="99">
        <f>YEAR(Tabla156[[#This Row],[F.Vig.Final]])</f>
        <v>2023</v>
      </c>
      <c r="S15" s="96" t="s">
        <v>77</v>
      </c>
      <c r="T15" s="96" t="s">
        <v>78</v>
      </c>
      <c r="U15" s="96" t="s">
        <v>887</v>
      </c>
      <c r="V15" s="96" t="s">
        <v>1144</v>
      </c>
      <c r="W15" s="96" t="s">
        <v>1050</v>
      </c>
      <c r="X15" s="96" t="s">
        <v>1051</v>
      </c>
      <c r="Y15" s="96" t="s">
        <v>1145</v>
      </c>
      <c r="Z15" s="98">
        <f>COUNTIF($X$3:X15, X15)</f>
        <v>1</v>
      </c>
      <c r="AA15" s="98"/>
      <c r="AB15" s="98"/>
      <c r="AC15" s="98"/>
      <c r="AD15" s="98"/>
      <c r="AE15" s="321"/>
      <c r="AF15" s="98"/>
      <c r="AG15" s="98"/>
      <c r="AH15" s="98"/>
      <c r="AI15" s="98" t="e">
        <v>#N/A</v>
      </c>
      <c r="AJ15" s="98" t="e">
        <v>#N/A</v>
      </c>
      <c r="AK15" s="98" t="e">
        <v>#N/A</v>
      </c>
      <c r="AL15" s="98" t="e">
        <v>#N/A</v>
      </c>
      <c r="AM15" s="98" t="e">
        <v>#N/A</v>
      </c>
      <c r="AN15" s="99" t="e">
        <v>#N/A</v>
      </c>
      <c r="AO15" s="99" t="e">
        <v>#N/A</v>
      </c>
      <c r="AP15" s="99" t="e">
        <f>Tabla156[[#This Row],[Renov. Flota]]-Tabla156[[#This Row],[Año]]</f>
        <v>#N/A</v>
      </c>
      <c r="AQ15" s="100" t="e">
        <v>#N/A</v>
      </c>
      <c r="AR15" s="100" t="e">
        <f>VLOOKUP(Tabla156[[#This Row],[Matricula nueva]],'ALTA 20242025'!$B$2:$P$242,15,FALSE)</f>
        <v>#N/A</v>
      </c>
      <c r="AS15" s="101" t="e">
        <v>#N/A</v>
      </c>
      <c r="AT15" s="101"/>
      <c r="AU15" s="101"/>
      <c r="AV15" s="101"/>
      <c r="AW15" s="101" t="e">
        <f>VLOOKUP(Tabla156[[#This Row],[Matricula nueva]],Hoja2!$A$1:$B$224,2,FALSE)</f>
        <v>#N/A</v>
      </c>
      <c r="AX15" s="101" t="str">
        <f>IF(Tabla156[[#This Row],[Columna2]]="M1",5.1,"")</f>
        <v/>
      </c>
      <c r="AY15" s="101"/>
      <c r="AZ15" s="101"/>
      <c r="BA15" s="311">
        <f>IF(Tabla156[[#This Row],[Columna2]]="M1",13073,IF(Tabla156[[#This Row],[Columna2]]="N1",15815,IF(Tabla156[[#This Row],[Columna2]]="L3e",2831,53508)))</f>
        <v>53508</v>
      </c>
      <c r="BB15" s="311" t="e">
        <f>(Tabla156[[#This Row],[CVA]]*Tabla156[[#This Row],[F]]-Tabla156[[#This Row],[CVN]])/100*Tabla156[[#This Row],[L]]</f>
        <v>#VALUE!</v>
      </c>
      <c r="BC15" s="1"/>
      <c r="BD15" s="1" t="e">
        <f>VLOOKUP(B15,Tabla467824[[ID CAE2]:[AE '[kWh']]],6,FALSE)</f>
        <v>#N/A</v>
      </c>
      <c r="BE1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c r="BK15"/>
      <c r="BL15"/>
      <c r="BM15"/>
      <c r="BN15"/>
      <c r="BO15"/>
      <c r="BP15"/>
      <c r="BQ15"/>
      <c r="BR15"/>
    </row>
    <row r="16" spans="1:70" ht="51.75" x14ac:dyDescent="0.25">
      <c r="A16" s="53" t="s">
        <v>155</v>
      </c>
      <c r="B16" s="53" t="s">
        <v>155</v>
      </c>
      <c r="C16" s="332" t="s">
        <v>156</v>
      </c>
      <c r="D16" s="104" t="s">
        <v>72</v>
      </c>
      <c r="E16" s="104"/>
      <c r="F16" s="104"/>
      <c r="G16" s="104" t="s">
        <v>72</v>
      </c>
      <c r="H16" s="104" t="s">
        <v>72</v>
      </c>
      <c r="I16" s="104" t="s">
        <v>72</v>
      </c>
      <c r="J16" s="104"/>
      <c r="K16" s="96" t="s">
        <v>158</v>
      </c>
      <c r="L16" s="96" t="s">
        <v>159</v>
      </c>
      <c r="M16" s="96" t="s">
        <v>158</v>
      </c>
      <c r="N16" s="96" t="s">
        <v>160</v>
      </c>
      <c r="O16" s="99">
        <f>VLOOKUP(Tabla156[[#This Row],[Matricula Antigua]],BAJA2022202320242025!$B$3:$CR$245,93,FALSE)</f>
        <v>43073</v>
      </c>
      <c r="P16" s="316">
        <v>44974</v>
      </c>
      <c r="Q16" s="317">
        <f>Tabla156[[#This Row],[F.Vig.Final]]-Tabla156[[#This Row],[f Vig Inicio]]</f>
        <v>1901</v>
      </c>
      <c r="R16" s="318">
        <f>YEAR(Tabla156[[#This Row],[F.Vig.Final]])</f>
        <v>2023</v>
      </c>
      <c r="S16" s="96" t="s">
        <v>161</v>
      </c>
      <c r="T16" s="96" t="s">
        <v>71</v>
      </c>
      <c r="U16" s="96" t="s">
        <v>162</v>
      </c>
      <c r="V16" s="96" t="s">
        <v>163</v>
      </c>
      <c r="W16" s="96" t="s">
        <v>81</v>
      </c>
      <c r="X16" s="332" t="s">
        <v>82</v>
      </c>
      <c r="Y16" s="96" t="s">
        <v>164</v>
      </c>
      <c r="Z16" s="98">
        <f>COUNTIF($X$3:X16, X16)</f>
        <v>4</v>
      </c>
      <c r="AA16" s="337" t="s">
        <v>1661</v>
      </c>
      <c r="AB16" s="337" t="s">
        <v>1661</v>
      </c>
      <c r="AC16" s="337" t="s">
        <v>1662</v>
      </c>
      <c r="AD16" s="337" t="s">
        <v>1663</v>
      </c>
      <c r="AE16" s="342" t="s">
        <v>1664</v>
      </c>
      <c r="AF16" s="337" t="s">
        <v>1665</v>
      </c>
      <c r="AG16" s="337" t="s">
        <v>1666</v>
      </c>
      <c r="AH16" s="337" t="s">
        <v>1649</v>
      </c>
      <c r="AI16" s="337" t="s">
        <v>165</v>
      </c>
      <c r="AJ16" s="98" t="s">
        <v>85</v>
      </c>
      <c r="AK16" s="98" t="s">
        <v>86</v>
      </c>
      <c r="AL16" s="98" t="s">
        <v>87</v>
      </c>
      <c r="AM16" s="101" t="s">
        <v>143</v>
      </c>
      <c r="AN16" s="348" t="s">
        <v>89</v>
      </c>
      <c r="AO16" s="349">
        <v>45625</v>
      </c>
      <c r="AP16" s="98">
        <f>Tabla156[[#This Row],[Renov. Flota]]-Tabla156[[#This Row],[Año]]</f>
        <v>1</v>
      </c>
      <c r="AQ16" s="100" t="s">
        <v>81</v>
      </c>
      <c r="AR16" s="100" t="str">
        <f>VLOOKUP(Tabla156[[#This Row],[Matricula nueva]],'ALTA 20242025'!$B$2:$P$242,15,FALSE)</f>
        <v>4500426794</v>
      </c>
      <c r="AS16" s="101" t="s">
        <v>82</v>
      </c>
      <c r="AT16" s="101"/>
      <c r="AU16" s="101" t="s">
        <v>72</v>
      </c>
      <c r="AV16" s="101" t="s">
        <v>91</v>
      </c>
      <c r="AW16" s="101" t="str">
        <f>VLOOKUP(Tabla156[[#This Row],[Matricula nueva]],Hoja2!$A$1:$B$224,2,FALSE)</f>
        <v>VF1RFK00173824842</v>
      </c>
      <c r="AX16" s="209">
        <v>2.9</v>
      </c>
      <c r="AY16" s="208">
        <f t="shared" ref="AY16:AY26" si="1">IF(T16="DIESEL",10,IF(T16="GLP",7.16,9.19))</f>
        <v>9.19</v>
      </c>
      <c r="AZ16" s="313">
        <v>17.3</v>
      </c>
      <c r="BA16" s="314">
        <f>IF(Tabla156[[#This Row],[Columna2]]="M1",13073,IF(Tabla156[[#This Row],[Columna2]]="N1",15815,IF(Tabla156[[#This Row],[Columna2]]="L3e",2831,53508)))</f>
        <v>2831</v>
      </c>
      <c r="BB16" s="350">
        <f>(Tabla156[[#This Row],[CVA]]*Tabla156[[#This Row],[F]]-Tabla156[[#This Row],[CVN]])/100*Tabla156[[#This Row],[L]]</f>
        <v>264.72680999999989</v>
      </c>
      <c r="BC16" s="90" t="s">
        <v>157</v>
      </c>
      <c r="BD16" s="209">
        <f>VLOOKUP(B16,Tabla467824[[ID CAE2]:[AE '[kWh']]],6,FALSE)</f>
        <v>617.46940999999993</v>
      </c>
      <c r="BE1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c r="BK16"/>
      <c r="BL16"/>
      <c r="BM16"/>
      <c r="BN16"/>
      <c r="BO16"/>
      <c r="BP16"/>
      <c r="BQ16"/>
      <c r="BR16"/>
    </row>
    <row r="17" spans="1:70" ht="51.75" x14ac:dyDescent="0.25">
      <c r="A17" s="53" t="s">
        <v>169</v>
      </c>
      <c r="B17" s="53" t="s">
        <v>169</v>
      </c>
      <c r="C17" s="332" t="s">
        <v>170</v>
      </c>
      <c r="D17" s="104" t="s">
        <v>72</v>
      </c>
      <c r="E17" s="104"/>
      <c r="F17" s="104"/>
      <c r="G17" s="104" t="s">
        <v>72</v>
      </c>
      <c r="H17" s="104" t="s">
        <v>72</v>
      </c>
      <c r="I17" s="104" t="s">
        <v>72</v>
      </c>
      <c r="J17" s="104"/>
      <c r="K17" s="96" t="s">
        <v>158</v>
      </c>
      <c r="L17" s="96" t="s">
        <v>159</v>
      </c>
      <c r="M17" s="96" t="s">
        <v>158</v>
      </c>
      <c r="N17" s="96" t="s">
        <v>171</v>
      </c>
      <c r="O17" s="99">
        <f>VLOOKUP(Tabla156[[#This Row],[Matricula Antigua]],BAJA2022202320242025!$B$3:$CR$245,93,FALSE)</f>
        <v>42641</v>
      </c>
      <c r="P17" s="316">
        <v>45561</v>
      </c>
      <c r="Q17" s="317">
        <f>Tabla156[[#This Row],[F.Vig.Final]]-Tabla156[[#This Row],[f Vig Inicio]]</f>
        <v>2920</v>
      </c>
      <c r="R17" s="318">
        <f>YEAR(Tabla156[[#This Row],[F.Vig.Final]])</f>
        <v>2024</v>
      </c>
      <c r="S17" s="96" t="s">
        <v>172</v>
      </c>
      <c r="T17" s="96" t="s">
        <v>71</v>
      </c>
      <c r="U17" s="96" t="s">
        <v>162</v>
      </c>
      <c r="V17" s="96" t="s">
        <v>163</v>
      </c>
      <c r="W17" s="96" t="s">
        <v>81</v>
      </c>
      <c r="X17" s="332" t="s">
        <v>82</v>
      </c>
      <c r="Y17" s="96" t="s">
        <v>164</v>
      </c>
      <c r="Z17" s="98">
        <f>COUNTIF($X$3:X17, X17)</f>
        <v>5</v>
      </c>
      <c r="AA17" s="337" t="s">
        <v>1661</v>
      </c>
      <c r="AB17" s="337" t="s">
        <v>1661</v>
      </c>
      <c r="AC17" s="337" t="s">
        <v>1662</v>
      </c>
      <c r="AD17" s="337" t="s">
        <v>1663</v>
      </c>
      <c r="AE17" s="342" t="s">
        <v>1664</v>
      </c>
      <c r="AF17" s="337" t="s">
        <v>1665</v>
      </c>
      <c r="AG17" s="337" t="s">
        <v>1666</v>
      </c>
      <c r="AH17" s="337" t="s">
        <v>1649</v>
      </c>
      <c r="AI17" s="337" t="s">
        <v>173</v>
      </c>
      <c r="AJ17" s="98" t="s">
        <v>85</v>
      </c>
      <c r="AK17" s="98" t="s">
        <v>86</v>
      </c>
      <c r="AL17" s="98" t="s">
        <v>87</v>
      </c>
      <c r="AM17" s="101" t="s">
        <v>174</v>
      </c>
      <c r="AN17" s="348" t="s">
        <v>89</v>
      </c>
      <c r="AO17" s="349">
        <v>45646</v>
      </c>
      <c r="AP17" s="98">
        <f>Tabla156[[#This Row],[Renov. Flota]]-Tabla156[[#This Row],[Año]]</f>
        <v>0</v>
      </c>
      <c r="AQ17" s="100" t="s">
        <v>81</v>
      </c>
      <c r="AR17" s="100" t="str">
        <f>VLOOKUP(Tabla156[[#This Row],[Matricula nueva]],'ALTA 20242025'!$B$2:$P$242,15,FALSE)</f>
        <v>4500426849</v>
      </c>
      <c r="AS17" s="101" t="s">
        <v>82</v>
      </c>
      <c r="AT17" s="101"/>
      <c r="AU17" s="101" t="s">
        <v>72</v>
      </c>
      <c r="AV17" s="101" t="s">
        <v>91</v>
      </c>
      <c r="AW17" s="101" t="str">
        <f>VLOOKUP(Tabla156[[#This Row],[Matricula nueva]],Hoja2!$A$1:$B$224,2,FALSE)</f>
        <v>VF1RFK00473824852</v>
      </c>
      <c r="AX17" s="209">
        <v>2.9</v>
      </c>
      <c r="AY17" s="208">
        <f t="shared" si="1"/>
        <v>9.19</v>
      </c>
      <c r="AZ17" s="313">
        <v>17.3</v>
      </c>
      <c r="BA17" s="314">
        <f>IF(Tabla156[[#This Row],[Columna2]]="M1",13073,IF(Tabla156[[#This Row],[Columna2]]="N1",15815,IF(Tabla156[[#This Row],[Columna2]]="L3e",2831,53508)))</f>
        <v>2831</v>
      </c>
      <c r="BB17" s="350">
        <f>(Tabla156[[#This Row],[CVA]]*Tabla156[[#This Row],[F]]-Tabla156[[#This Row],[CVN]])/100*Tabla156[[#This Row],[L]]</f>
        <v>264.72680999999989</v>
      </c>
      <c r="BC17" s="294" t="s">
        <v>157</v>
      </c>
      <c r="BD17" s="209">
        <f>VLOOKUP(B17,Tabla467824[[ID CAE2]:[AE '[kWh']]],6,FALSE)</f>
        <v>617.46940999999993</v>
      </c>
      <c r="BE1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c r="BK17"/>
      <c r="BL17"/>
      <c r="BM17"/>
      <c r="BN17"/>
      <c r="BO17"/>
      <c r="BP17"/>
      <c r="BQ17"/>
      <c r="BR17"/>
    </row>
    <row r="18" spans="1:70" ht="51.75" x14ac:dyDescent="0.25">
      <c r="A18" s="53" t="s">
        <v>177</v>
      </c>
      <c r="B18" s="53" t="s">
        <v>177</v>
      </c>
      <c r="C18" s="332" t="s">
        <v>178</v>
      </c>
      <c r="D18" s="104" t="s">
        <v>72</v>
      </c>
      <c r="E18" s="104"/>
      <c r="F18" s="104"/>
      <c r="G18" s="104" t="s">
        <v>72</v>
      </c>
      <c r="H18" s="104" t="s">
        <v>72</v>
      </c>
      <c r="I18" s="104" t="s">
        <v>72</v>
      </c>
      <c r="J18" s="104"/>
      <c r="K18" s="96" t="s">
        <v>158</v>
      </c>
      <c r="L18" s="96" t="s">
        <v>159</v>
      </c>
      <c r="M18" s="96" t="s">
        <v>158</v>
      </c>
      <c r="N18" s="96" t="s">
        <v>171</v>
      </c>
      <c r="O18" s="99">
        <f>VLOOKUP(Tabla156[[#This Row],[Matricula Antigua]],BAJA2022202320242025!$B$3:$CR$245,93,FALSE)</f>
        <v>40830</v>
      </c>
      <c r="P18" s="316">
        <v>45561</v>
      </c>
      <c r="Q18" s="317">
        <f>Tabla156[[#This Row],[F.Vig.Final]]-Tabla156[[#This Row],[f Vig Inicio]]</f>
        <v>4731</v>
      </c>
      <c r="R18" s="318">
        <f>YEAR(Tabla156[[#This Row],[F.Vig.Final]])</f>
        <v>2024</v>
      </c>
      <c r="S18" s="96" t="s">
        <v>172</v>
      </c>
      <c r="T18" s="96" t="s">
        <v>71</v>
      </c>
      <c r="U18" s="96" t="s">
        <v>162</v>
      </c>
      <c r="V18" s="96" t="s">
        <v>163</v>
      </c>
      <c r="W18" s="96" t="s">
        <v>81</v>
      </c>
      <c r="X18" s="332" t="s">
        <v>82</v>
      </c>
      <c r="Y18" s="96" t="s">
        <v>164</v>
      </c>
      <c r="Z18" s="98">
        <f>COUNTIF($X$3:X18, X18)</f>
        <v>6</v>
      </c>
      <c r="AA18" s="337" t="s">
        <v>1661</v>
      </c>
      <c r="AB18" s="337" t="s">
        <v>1661</v>
      </c>
      <c r="AC18" s="337" t="s">
        <v>1662</v>
      </c>
      <c r="AD18" s="337" t="s">
        <v>1663</v>
      </c>
      <c r="AE18" s="342" t="s">
        <v>1664</v>
      </c>
      <c r="AF18" s="337" t="s">
        <v>1665</v>
      </c>
      <c r="AG18" s="337" t="s">
        <v>1666</v>
      </c>
      <c r="AH18" s="337" t="s">
        <v>1649</v>
      </c>
      <c r="AI18" s="337" t="s">
        <v>179</v>
      </c>
      <c r="AJ18" s="98" t="s">
        <v>85</v>
      </c>
      <c r="AK18" s="98" t="s">
        <v>86</v>
      </c>
      <c r="AL18" s="98" t="s">
        <v>87</v>
      </c>
      <c r="AM18" s="101" t="s">
        <v>180</v>
      </c>
      <c r="AN18" s="348" t="s">
        <v>89</v>
      </c>
      <c r="AO18" s="349">
        <v>45646</v>
      </c>
      <c r="AP18" s="98">
        <f>Tabla156[[#This Row],[Renov. Flota]]-Tabla156[[#This Row],[Año]]</f>
        <v>0</v>
      </c>
      <c r="AQ18" s="100" t="s">
        <v>81</v>
      </c>
      <c r="AR18" s="100" t="str">
        <f>VLOOKUP(Tabla156[[#This Row],[Matricula nueva]],'ALTA 20242025'!$B$2:$P$242,15,FALSE)</f>
        <v>4500426870</v>
      </c>
      <c r="AS18" s="101" t="s">
        <v>82</v>
      </c>
      <c r="AT18" s="101"/>
      <c r="AU18" s="101" t="s">
        <v>72</v>
      </c>
      <c r="AV18" s="101" t="s">
        <v>91</v>
      </c>
      <c r="AW18" s="101" t="str">
        <f>VLOOKUP(Tabla156[[#This Row],[Matricula nueva]],Hoja2!$A$1:$B$224,2,FALSE)</f>
        <v>VF1RFK00873824854</v>
      </c>
      <c r="AX18" s="209">
        <v>2.9</v>
      </c>
      <c r="AY18" s="208">
        <f t="shared" si="1"/>
        <v>9.19</v>
      </c>
      <c r="AZ18" s="313">
        <v>17.3</v>
      </c>
      <c r="BA18" s="314">
        <f>IF(Tabla156[[#This Row],[Columna2]]="M1",13073,IF(Tabla156[[#This Row],[Columna2]]="N1",15815,IF(Tabla156[[#This Row],[Columna2]]="L3e",2831,53508)))</f>
        <v>2831</v>
      </c>
      <c r="BB18" s="350">
        <f>(Tabla156[[#This Row],[CVA]]*Tabla156[[#This Row],[F]]-Tabla156[[#This Row],[CVN]])/100*Tabla156[[#This Row],[L]]</f>
        <v>264.72680999999989</v>
      </c>
      <c r="BC18" s="294" t="s">
        <v>157</v>
      </c>
      <c r="BD18" s="209">
        <f>VLOOKUP(B18,Tabla467824[[ID CAE2]:[AE '[kWh']]],6,FALSE)</f>
        <v>617.46940999999993</v>
      </c>
      <c r="BE1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c r="BK18"/>
      <c r="BL18"/>
      <c r="BM18"/>
      <c r="BN18"/>
      <c r="BO18"/>
      <c r="BP18"/>
      <c r="BQ18"/>
      <c r="BR18"/>
    </row>
    <row r="19" spans="1:70" ht="51.75" x14ac:dyDescent="0.25">
      <c r="A19" s="53" t="s">
        <v>183</v>
      </c>
      <c r="B19" s="53" t="s">
        <v>183</v>
      </c>
      <c r="C19" s="332" t="s">
        <v>184</v>
      </c>
      <c r="D19" s="104"/>
      <c r="E19" s="104"/>
      <c r="F19" s="104"/>
      <c r="G19" s="104" t="s">
        <v>72</v>
      </c>
      <c r="H19" s="104" t="s">
        <v>72</v>
      </c>
      <c r="I19" s="104" t="s">
        <v>72</v>
      </c>
      <c r="J19" s="104" t="s">
        <v>72</v>
      </c>
      <c r="K19" s="96" t="s">
        <v>158</v>
      </c>
      <c r="L19" s="96" t="s">
        <v>159</v>
      </c>
      <c r="M19" s="96" t="s">
        <v>158</v>
      </c>
      <c r="N19" s="96" t="s">
        <v>171</v>
      </c>
      <c r="O19" s="99">
        <f>VLOOKUP(Tabla156[[#This Row],[Matricula Antigua]],BAJA2022202320242025!$B$3:$CR$245,93,FALSE)</f>
        <v>41017</v>
      </c>
      <c r="P19" s="316">
        <v>45561</v>
      </c>
      <c r="Q19" s="317">
        <f>Tabla156[[#This Row],[F.Vig.Final]]-Tabla156[[#This Row],[f Vig Inicio]]</f>
        <v>4544</v>
      </c>
      <c r="R19" s="318">
        <f>YEAR(Tabla156[[#This Row],[F.Vig.Final]])</f>
        <v>2024</v>
      </c>
      <c r="S19" s="96" t="s">
        <v>172</v>
      </c>
      <c r="T19" s="96" t="s">
        <v>71</v>
      </c>
      <c r="U19" s="96" t="s">
        <v>162</v>
      </c>
      <c r="V19" s="96" t="s">
        <v>163</v>
      </c>
      <c r="W19" s="96" t="s">
        <v>81</v>
      </c>
      <c r="X19" s="332" t="s">
        <v>82</v>
      </c>
      <c r="Y19" s="96" t="s">
        <v>164</v>
      </c>
      <c r="Z19" s="98">
        <f>COUNTIF($X$3:X19, X19)</f>
        <v>7</v>
      </c>
      <c r="AA19" s="337" t="s">
        <v>1661</v>
      </c>
      <c r="AB19" s="337" t="s">
        <v>1661</v>
      </c>
      <c r="AC19" s="337" t="s">
        <v>1662</v>
      </c>
      <c r="AD19" s="337" t="s">
        <v>1663</v>
      </c>
      <c r="AE19" s="342" t="s">
        <v>1664</v>
      </c>
      <c r="AF19" s="337" t="s">
        <v>1665</v>
      </c>
      <c r="AG19" s="337" t="s">
        <v>1666</v>
      </c>
      <c r="AH19" s="337" t="s">
        <v>1649</v>
      </c>
      <c r="AI19" s="337" t="s">
        <v>185</v>
      </c>
      <c r="AJ19" s="98" t="s">
        <v>85</v>
      </c>
      <c r="AK19" s="98" t="s">
        <v>86</v>
      </c>
      <c r="AL19" s="98" t="s">
        <v>87</v>
      </c>
      <c r="AM19" s="101" t="s">
        <v>174</v>
      </c>
      <c r="AN19" s="348" t="s">
        <v>89</v>
      </c>
      <c r="AO19" s="349">
        <v>45646</v>
      </c>
      <c r="AP19" s="98">
        <f>Tabla156[[#This Row],[Renov. Flota]]-Tabla156[[#This Row],[Año]]</f>
        <v>0</v>
      </c>
      <c r="AQ19" s="100" t="s">
        <v>81</v>
      </c>
      <c r="AR19" s="100" t="str">
        <f>VLOOKUP(Tabla156[[#This Row],[Matricula nueva]],'ALTA 20242025'!$B$2:$P$242,15,FALSE)</f>
        <v>4500426847</v>
      </c>
      <c r="AS19" s="101" t="s">
        <v>82</v>
      </c>
      <c r="AT19" s="101"/>
      <c r="AU19" s="101" t="s">
        <v>72</v>
      </c>
      <c r="AV19" s="101" t="s">
        <v>91</v>
      </c>
      <c r="AW19" s="101" t="str">
        <f>VLOOKUP(Tabla156[[#This Row],[Matricula nueva]],Hoja2!$A$1:$B$224,2,FALSE)</f>
        <v>VF1RFK00073824847</v>
      </c>
      <c r="AX19" s="209">
        <v>2.9</v>
      </c>
      <c r="AY19" s="208">
        <f t="shared" si="1"/>
        <v>9.19</v>
      </c>
      <c r="AZ19" s="313">
        <v>17.3</v>
      </c>
      <c r="BA19" s="314">
        <f>IF(Tabla156[[#This Row],[Columna2]]="M1",13073,IF(Tabla156[[#This Row],[Columna2]]="N1",15815,IF(Tabla156[[#This Row],[Columna2]]="L3e",2831,53508)))</f>
        <v>2831</v>
      </c>
      <c r="BB19" s="350">
        <f>(Tabla156[[#This Row],[CVA]]*Tabla156[[#This Row],[F]]-Tabla156[[#This Row],[CVN]])/100*Tabla156[[#This Row],[L]]</f>
        <v>264.72680999999989</v>
      </c>
      <c r="BC19" s="294" t="s">
        <v>157</v>
      </c>
      <c r="BD19" s="209">
        <f>VLOOKUP(B19,Tabla467824[[ID CAE2]:[AE '[kWh']]],6,FALSE)</f>
        <v>617.46940999999993</v>
      </c>
      <c r="BE1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c r="BK19"/>
      <c r="BL19"/>
      <c r="BM19"/>
      <c r="BN19"/>
      <c r="BO19"/>
      <c r="BP19"/>
      <c r="BQ19"/>
      <c r="BR19"/>
    </row>
    <row r="20" spans="1:70" ht="60" x14ac:dyDescent="0.25">
      <c r="A20" s="53" t="s">
        <v>188</v>
      </c>
      <c r="B20" s="53" t="s">
        <v>188</v>
      </c>
      <c r="C20" s="332" t="s">
        <v>189</v>
      </c>
      <c r="D20" s="104" t="s">
        <v>72</v>
      </c>
      <c r="E20" s="104"/>
      <c r="F20" s="104"/>
      <c r="G20" s="104" t="s">
        <v>72</v>
      </c>
      <c r="H20" s="104" t="s">
        <v>72</v>
      </c>
      <c r="I20" s="104" t="s">
        <v>72</v>
      </c>
      <c r="J20" s="104"/>
      <c r="K20" s="96" t="s">
        <v>158</v>
      </c>
      <c r="L20" s="96" t="s">
        <v>159</v>
      </c>
      <c r="M20" s="96" t="s">
        <v>158</v>
      </c>
      <c r="N20" s="96" t="s">
        <v>171</v>
      </c>
      <c r="O20" s="99">
        <f>VLOOKUP(Tabla156[[#This Row],[Matricula Antigua]],BAJA2022202320242025!$B$3:$CR$245,93,FALSE)</f>
        <v>42983</v>
      </c>
      <c r="P20" s="316">
        <v>45604</v>
      </c>
      <c r="Q20" s="317">
        <f>Tabla156[[#This Row],[F.Vig.Final]]-Tabla156[[#This Row],[f Vig Inicio]]</f>
        <v>2621</v>
      </c>
      <c r="R20" s="318">
        <f>YEAR(Tabla156[[#This Row],[F.Vig.Final]])</f>
        <v>2024</v>
      </c>
      <c r="S20" s="96" t="s">
        <v>172</v>
      </c>
      <c r="T20" s="96" t="s">
        <v>71</v>
      </c>
      <c r="U20" s="96" t="s">
        <v>162</v>
      </c>
      <c r="V20" s="96" t="s">
        <v>163</v>
      </c>
      <c r="W20" s="96" t="s">
        <v>190</v>
      </c>
      <c r="X20" s="333" t="s">
        <v>1678</v>
      </c>
      <c r="Y20" s="96" t="s">
        <v>192</v>
      </c>
      <c r="Z20" s="98">
        <f>COUNTIF($X$3:X20, X20)</f>
        <v>1</v>
      </c>
      <c r="AA20" s="337" t="s">
        <v>1661</v>
      </c>
      <c r="AB20" s="337" t="s">
        <v>1661</v>
      </c>
      <c r="AC20" s="337" t="s">
        <v>1662</v>
      </c>
      <c r="AD20" s="337" t="s">
        <v>1663</v>
      </c>
      <c r="AE20" s="342" t="s">
        <v>1664</v>
      </c>
      <c r="AF20" s="337" t="s">
        <v>1665</v>
      </c>
      <c r="AG20" s="337" t="s">
        <v>1666</v>
      </c>
      <c r="AH20" s="337" t="s">
        <v>1649</v>
      </c>
      <c r="AI20" s="337" t="s">
        <v>193</v>
      </c>
      <c r="AJ20" s="98" t="s">
        <v>85</v>
      </c>
      <c r="AK20" s="98" t="s">
        <v>86</v>
      </c>
      <c r="AL20" s="98" t="s">
        <v>87</v>
      </c>
      <c r="AM20" s="101" t="s">
        <v>194</v>
      </c>
      <c r="AN20" s="348" t="s">
        <v>89</v>
      </c>
      <c r="AO20" s="349">
        <v>45646</v>
      </c>
      <c r="AP20" s="98">
        <f>Tabla156[[#This Row],[Renov. Flota]]-Tabla156[[#This Row],[Año]]</f>
        <v>0</v>
      </c>
      <c r="AQ20" s="100" t="s">
        <v>190</v>
      </c>
      <c r="AR20" s="100" t="str">
        <f>VLOOKUP(Tabla156[[#This Row],[Matricula nueva]],'ALTA 20242025'!$B$2:$P$242,15,FALSE)</f>
        <v>4500426779</v>
      </c>
      <c r="AS20" s="101" t="s">
        <v>191</v>
      </c>
      <c r="AT20" s="101"/>
      <c r="AU20" s="101" t="s">
        <v>72</v>
      </c>
      <c r="AV20" s="101" t="s">
        <v>91</v>
      </c>
      <c r="AW20" s="101" t="str">
        <f>VLOOKUP(Tabla156[[#This Row],[Matricula nueva]],Hoja2!$A$1:$B$224,2,FALSE)</f>
        <v>VF1RFK00373934291</v>
      </c>
      <c r="AX20" s="209">
        <v>2.9</v>
      </c>
      <c r="AY20" s="208">
        <f t="shared" si="1"/>
        <v>9.19</v>
      </c>
      <c r="AZ20" s="313">
        <v>17.3</v>
      </c>
      <c r="BA20" s="314">
        <f>IF(Tabla156[[#This Row],[Columna2]]="M1",13073,IF(Tabla156[[#This Row],[Columna2]]="N1",15815,IF(Tabla156[[#This Row],[Columna2]]="L3e",2831,53508)))</f>
        <v>2831</v>
      </c>
      <c r="BB20" s="350">
        <f>(Tabla156[[#This Row],[CVA]]*Tabla156[[#This Row],[F]]-Tabla156[[#This Row],[CVN]])/100*Tabla156[[#This Row],[L]]</f>
        <v>264.72680999999989</v>
      </c>
      <c r="BC20" s="294" t="s">
        <v>157</v>
      </c>
      <c r="BD20" s="209">
        <f>VLOOKUP(B20,Tabla467824[[ID CAE2]:[AE '[kWh']]],6,FALSE)</f>
        <v>617.46940999999993</v>
      </c>
      <c r="BE2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c r="BK20"/>
      <c r="BL20"/>
      <c r="BM20"/>
      <c r="BN20"/>
      <c r="BO20"/>
      <c r="BP20"/>
      <c r="BQ20"/>
      <c r="BR20"/>
    </row>
    <row r="21" spans="1:70" ht="51.75" x14ac:dyDescent="0.25">
      <c r="A21" s="53" t="s">
        <v>197</v>
      </c>
      <c r="B21" s="53" t="s">
        <v>197</v>
      </c>
      <c r="C21" s="332" t="s">
        <v>198</v>
      </c>
      <c r="D21" s="104" t="s">
        <v>72</v>
      </c>
      <c r="E21" s="104" t="s">
        <v>72</v>
      </c>
      <c r="F21" s="104" t="s">
        <v>72</v>
      </c>
      <c r="G21" s="104"/>
      <c r="H21" s="104" t="s">
        <v>72</v>
      </c>
      <c r="I21" s="104" t="s">
        <v>72</v>
      </c>
      <c r="J21" s="104"/>
      <c r="K21" s="96" t="s">
        <v>73</v>
      </c>
      <c r="L21" s="96" t="s">
        <v>200</v>
      </c>
      <c r="M21" s="96" t="s">
        <v>201</v>
      </c>
      <c r="N21" s="96" t="s">
        <v>76</v>
      </c>
      <c r="O21" s="101">
        <f>VLOOKUP(Tabla156[[#This Row],[Matricula Antigua]],BAJA2022202320242025!$B$3:$CR$245,93,FALSE)</f>
        <v>44414</v>
      </c>
      <c r="P21" s="316">
        <v>45875</v>
      </c>
      <c r="Q21" s="317">
        <f>Tabla156[[#This Row],[F.Vig.Final]]-Tabla156[[#This Row],[f Vig Inicio]]</f>
        <v>1461</v>
      </c>
      <c r="R21" s="318">
        <f>YEAR(Tabla156[[#This Row],[F.Vig.Final]])</f>
        <v>2025</v>
      </c>
      <c r="S21" s="96" t="s">
        <v>77</v>
      </c>
      <c r="T21" s="96" t="s">
        <v>202</v>
      </c>
      <c r="U21" s="96" t="s">
        <v>85</v>
      </c>
      <c r="V21" s="96" t="s">
        <v>203</v>
      </c>
      <c r="W21" s="96" t="s">
        <v>204</v>
      </c>
      <c r="X21" s="332" t="s">
        <v>205</v>
      </c>
      <c r="Y21" s="96" t="s">
        <v>206</v>
      </c>
      <c r="Z21" s="98">
        <f>COUNTIF($X$3:X21, X21)</f>
        <v>1</v>
      </c>
      <c r="AA21" s="337" t="s">
        <v>1661</v>
      </c>
      <c r="AB21" s="337" t="s">
        <v>1661</v>
      </c>
      <c r="AC21" s="337" t="s">
        <v>1662</v>
      </c>
      <c r="AD21" s="337" t="s">
        <v>1679</v>
      </c>
      <c r="AE21" s="351" t="s">
        <v>1664</v>
      </c>
      <c r="AF21" s="337" t="s">
        <v>1680</v>
      </c>
      <c r="AG21" s="337" t="s">
        <v>1681</v>
      </c>
      <c r="AH21" s="337" t="s">
        <v>1649</v>
      </c>
      <c r="AI21" s="337" t="s">
        <v>207</v>
      </c>
      <c r="AJ21" s="98" t="s">
        <v>140</v>
      </c>
      <c r="AK21" s="98" t="s">
        <v>151</v>
      </c>
      <c r="AL21" s="98" t="s">
        <v>87</v>
      </c>
      <c r="AM21" s="101" t="s">
        <v>208</v>
      </c>
      <c r="AN21" s="348" t="s">
        <v>89</v>
      </c>
      <c r="AO21" s="349">
        <v>45638</v>
      </c>
      <c r="AP21" s="98">
        <f>Tabla156[[#This Row],[Renov. Flota]]-Tabla156[[#This Row],[Año]]</f>
        <v>-1</v>
      </c>
      <c r="AQ21" s="100" t="s">
        <v>204</v>
      </c>
      <c r="AR21" s="100" t="str">
        <f>VLOOKUP(Tabla156[[#This Row],[Matricula nueva]],'ALTA 20242025'!$B$2:$P$242,15,FALSE)</f>
        <v>4500424885</v>
      </c>
      <c r="AS21" s="101" t="s">
        <v>205</v>
      </c>
      <c r="AT21" s="101"/>
      <c r="AU21" s="101" t="s">
        <v>72</v>
      </c>
      <c r="AV21" s="101" t="s">
        <v>91</v>
      </c>
      <c r="AW21" s="101" t="str">
        <f>VLOOKUP(Tabla156[[#This Row],[Matricula nueva]],Hoja2!$A$1:$B$224,2,FALSE)</f>
        <v>VR7CBZYA5RT154432</v>
      </c>
      <c r="AX21" s="209">
        <f>IF(Tabla156[[#This Row],[Columna2]]="M1",5.1,"")</f>
        <v>5.0999999999999996</v>
      </c>
      <c r="AY21" s="208">
        <f t="shared" si="1"/>
        <v>9.19</v>
      </c>
      <c r="AZ21" s="313">
        <v>16.399999999999999</v>
      </c>
      <c r="BA21" s="314">
        <f>IF(Tabla156[[#This Row],[Columna2]]="M1",13073,IF(Tabla156[[#This Row],[Columna2]]="N1",15815,IF(Tabla156[[#This Row],[Columna2]]="L3e",2831,53508)))</f>
        <v>13073</v>
      </c>
      <c r="BB21" s="350">
        <f>(Tabla156[[#This Row],[CVA]]*Tabla156[[#This Row],[F]]-Tabla156[[#This Row],[CVN]])/100*Tabla156[[#This Row],[L]]</f>
        <v>3983.2123699999993</v>
      </c>
      <c r="BC21" s="294" t="s">
        <v>70</v>
      </c>
      <c r="BD21" s="209">
        <f>VLOOKUP(B21,Tabla467824[[ID CAE2]:[AE '[kWh']]],6,FALSE)</f>
        <v>3826.5520744999999</v>
      </c>
      <c r="BE2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21"/>
      <c r="BL21"/>
      <c r="BM21"/>
      <c r="BN21"/>
      <c r="BO21"/>
      <c r="BP21"/>
      <c r="BQ21"/>
      <c r="BR21"/>
    </row>
    <row r="22" spans="1:70" ht="51.75" x14ac:dyDescent="0.25">
      <c r="A22" s="53" t="s">
        <v>211</v>
      </c>
      <c r="B22" s="53" t="s">
        <v>211</v>
      </c>
      <c r="C22" s="332" t="s">
        <v>212</v>
      </c>
      <c r="D22" s="104" t="s">
        <v>72</v>
      </c>
      <c r="E22" s="104"/>
      <c r="F22" s="104" t="s">
        <v>72</v>
      </c>
      <c r="G22" s="104"/>
      <c r="H22" s="104" t="s">
        <v>72</v>
      </c>
      <c r="I22" s="104"/>
      <c r="J22" s="104"/>
      <c r="K22" s="96" t="s">
        <v>73</v>
      </c>
      <c r="L22" s="96" t="s">
        <v>200</v>
      </c>
      <c r="M22" s="96" t="s">
        <v>201</v>
      </c>
      <c r="N22" s="96" t="s">
        <v>76</v>
      </c>
      <c r="O22" s="101">
        <f>VLOOKUP(Tabla156[[#This Row],[Matricula Antigua]],BAJA2022202320242025!$B$3:$CR$245,93,FALSE)</f>
        <v>44224</v>
      </c>
      <c r="P22" s="316">
        <v>45685</v>
      </c>
      <c r="Q22" s="317">
        <f>Tabla156[[#This Row],[F.Vig.Final]]-Tabla156[[#This Row],[f Vig Inicio]]</f>
        <v>1461</v>
      </c>
      <c r="R22" s="318">
        <f>YEAR(Tabla156[[#This Row],[F.Vig.Final]])</f>
        <v>2025</v>
      </c>
      <c r="S22" s="96" t="s">
        <v>77</v>
      </c>
      <c r="T22" s="96" t="s">
        <v>71</v>
      </c>
      <c r="U22" s="96" t="s">
        <v>213</v>
      </c>
      <c r="V22" s="96" t="s">
        <v>214</v>
      </c>
      <c r="W22" s="96" t="s">
        <v>215</v>
      </c>
      <c r="X22" s="332" t="s">
        <v>216</v>
      </c>
      <c r="Y22" s="96" t="s">
        <v>217</v>
      </c>
      <c r="Z22" s="98">
        <f>COUNTIF($X$3:X22, X22)</f>
        <v>1</v>
      </c>
      <c r="AA22" s="337" t="s">
        <v>1661</v>
      </c>
      <c r="AB22" s="337" t="s">
        <v>1661</v>
      </c>
      <c r="AC22" s="337" t="s">
        <v>1662</v>
      </c>
      <c r="AD22" s="333" t="s">
        <v>1679</v>
      </c>
      <c r="AE22" s="351" t="s">
        <v>1664</v>
      </c>
      <c r="AF22" s="337" t="s">
        <v>1680</v>
      </c>
      <c r="AG22" s="337" t="s">
        <v>1681</v>
      </c>
      <c r="AH22" s="337" t="s">
        <v>1649</v>
      </c>
      <c r="AI22" s="337" t="s">
        <v>218</v>
      </c>
      <c r="AJ22" s="98" t="s">
        <v>140</v>
      </c>
      <c r="AK22" s="98" t="s">
        <v>151</v>
      </c>
      <c r="AL22" s="98" t="s">
        <v>87</v>
      </c>
      <c r="AM22" s="101" t="s">
        <v>217</v>
      </c>
      <c r="AN22" s="348" t="s">
        <v>89</v>
      </c>
      <c r="AO22" s="349">
        <v>45625</v>
      </c>
      <c r="AP22" s="98">
        <f>Tabla156[[#This Row],[Renov. Flota]]-Tabla156[[#This Row],[Año]]</f>
        <v>-1</v>
      </c>
      <c r="AQ22" s="100" t="s">
        <v>215</v>
      </c>
      <c r="AR22" s="100" t="str">
        <f>VLOOKUP(Tabla156[[#This Row],[Matricula nueva]],'ALTA 20242025'!$B$2:$P$242,15,FALSE)</f>
        <v>4500424805</v>
      </c>
      <c r="AS22" s="101" t="s">
        <v>216</v>
      </c>
      <c r="AT22" s="101"/>
      <c r="AU22" s="101" t="s">
        <v>72</v>
      </c>
      <c r="AV22" s="101" t="s">
        <v>91</v>
      </c>
      <c r="AW22" s="101" t="str">
        <f>VLOOKUP(Tabla156[[#This Row],[Matricula nueva]],Hoja2!$A$1:$B$224,2,FALSE)</f>
        <v>VR7CBZYA7RT153038</v>
      </c>
      <c r="AX22" s="209">
        <f>IF(Tabla156[[#This Row],[Columna2]]="M1",5.1,"")</f>
        <v>5.0999999999999996</v>
      </c>
      <c r="AY22" s="208">
        <f t="shared" si="1"/>
        <v>9.19</v>
      </c>
      <c r="AZ22" s="313">
        <v>16.399999999999999</v>
      </c>
      <c r="BA22" s="314">
        <f>IF(Tabla156[[#This Row],[Columna2]]="M1",13073,IF(Tabla156[[#This Row],[Columna2]]="N1",15815,IF(Tabla156[[#This Row],[Columna2]]="L3e",2831,53508)))</f>
        <v>13073</v>
      </c>
      <c r="BB22" s="350">
        <f>(Tabla156[[#This Row],[CVA]]*Tabla156[[#This Row],[F]]-Tabla156[[#This Row],[CVN]])/100*Tabla156[[#This Row],[L]]</f>
        <v>3983.2123699999993</v>
      </c>
      <c r="BC22" s="294" t="s">
        <v>70</v>
      </c>
      <c r="BD22" s="209">
        <f>VLOOKUP(B22,Tabla467824[[ID CAE2]:[AE '[kWh']]],6,FALSE)</f>
        <v>7136.4330429999991</v>
      </c>
      <c r="BE2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22"/>
      <c r="BL22"/>
      <c r="BM22"/>
      <c r="BN22"/>
      <c r="BO22"/>
      <c r="BP22"/>
      <c r="BQ22"/>
      <c r="BR22"/>
    </row>
    <row r="23" spans="1:70" ht="51.75" x14ac:dyDescent="0.25">
      <c r="A23" s="53" t="s">
        <v>221</v>
      </c>
      <c r="B23" s="53" t="s">
        <v>221</v>
      </c>
      <c r="C23" s="332" t="s">
        <v>222</v>
      </c>
      <c r="D23" s="104" t="s">
        <v>72</v>
      </c>
      <c r="E23" s="104"/>
      <c r="F23" s="104" t="s">
        <v>72</v>
      </c>
      <c r="G23" s="104"/>
      <c r="H23" s="104" t="s">
        <v>72</v>
      </c>
      <c r="I23" s="104" t="s">
        <v>72</v>
      </c>
      <c r="J23" s="104"/>
      <c r="K23" s="96" t="s">
        <v>73</v>
      </c>
      <c r="L23" s="96" t="s">
        <v>200</v>
      </c>
      <c r="M23" s="96" t="s">
        <v>201</v>
      </c>
      <c r="N23" s="96" t="s">
        <v>76</v>
      </c>
      <c r="O23" s="101">
        <f>VLOOKUP(Tabla156[[#This Row],[Matricula Antigua]],BAJA2022202320242025!$B$3:$CR$245,93,FALSE)</f>
        <v>44215</v>
      </c>
      <c r="P23" s="316">
        <v>45676</v>
      </c>
      <c r="Q23" s="317">
        <f>Tabla156[[#This Row],[F.Vig.Final]]-Tabla156[[#This Row],[f Vig Inicio]]</f>
        <v>1461</v>
      </c>
      <c r="R23" s="318">
        <f>YEAR(Tabla156[[#This Row],[F.Vig.Final]])</f>
        <v>2025</v>
      </c>
      <c r="S23" s="96" t="s">
        <v>77</v>
      </c>
      <c r="T23" s="96" t="s">
        <v>71</v>
      </c>
      <c r="U23" s="96" t="s">
        <v>213</v>
      </c>
      <c r="V23" s="96" t="s">
        <v>214</v>
      </c>
      <c r="W23" s="96" t="s">
        <v>119</v>
      </c>
      <c r="X23" s="332" t="s">
        <v>1674</v>
      </c>
      <c r="Y23" s="96" t="s">
        <v>223</v>
      </c>
      <c r="Z23" s="98">
        <f>COUNTIF($X$3:X23, X23)</f>
        <v>3</v>
      </c>
      <c r="AA23" s="337" t="s">
        <v>1661</v>
      </c>
      <c r="AB23" s="337" t="s">
        <v>1661</v>
      </c>
      <c r="AC23" s="337" t="s">
        <v>1662</v>
      </c>
      <c r="AD23" s="337" t="s">
        <v>1663</v>
      </c>
      <c r="AE23" s="342" t="s">
        <v>1664</v>
      </c>
      <c r="AF23" s="337" t="s">
        <v>1665</v>
      </c>
      <c r="AG23" s="337" t="s">
        <v>1666</v>
      </c>
      <c r="AH23" s="337" t="s">
        <v>1649</v>
      </c>
      <c r="AI23" s="337" t="s">
        <v>224</v>
      </c>
      <c r="AJ23" s="98" t="s">
        <v>140</v>
      </c>
      <c r="AK23" s="98" t="s">
        <v>151</v>
      </c>
      <c r="AL23" s="98" t="s">
        <v>87</v>
      </c>
      <c r="AM23" s="101" t="s">
        <v>225</v>
      </c>
      <c r="AN23" s="348" t="s">
        <v>89</v>
      </c>
      <c r="AO23" s="349">
        <v>45622</v>
      </c>
      <c r="AP23" s="98">
        <f>Tabla156[[#This Row],[Renov. Flota]]-Tabla156[[#This Row],[Año]]</f>
        <v>-1</v>
      </c>
      <c r="AQ23" s="100" t="s">
        <v>119</v>
      </c>
      <c r="AR23" s="100" t="str">
        <f>VLOOKUP(Tabla156[[#This Row],[Matricula nueva]],'ALTA 20242025'!$B$2:$P$242,15,FALSE)</f>
        <v>4500424807</v>
      </c>
      <c r="AS23" s="101" t="s">
        <v>120</v>
      </c>
      <c r="AT23" s="101"/>
      <c r="AU23" s="101" t="s">
        <v>72</v>
      </c>
      <c r="AV23" s="101" t="s">
        <v>91</v>
      </c>
      <c r="AW23" s="101" t="str">
        <f>VLOOKUP(Tabla156[[#This Row],[Matricula nueva]],Hoja2!$A$1:$B$224,2,FALSE)</f>
        <v>VR7CBZYA1RT152189</v>
      </c>
      <c r="AX23" s="209">
        <f>IF(Tabla156[[#This Row],[Columna2]]="M1",5.1,"")</f>
        <v>5.0999999999999996</v>
      </c>
      <c r="AY23" s="208">
        <f t="shared" si="1"/>
        <v>9.19</v>
      </c>
      <c r="AZ23" s="313">
        <v>16.399999999999999</v>
      </c>
      <c r="BA23" s="314">
        <f>IF(Tabla156[[#This Row],[Columna2]]="M1",13073,IF(Tabla156[[#This Row],[Columna2]]="N1",15815,IF(Tabla156[[#This Row],[Columna2]]="L3e",2831,53508)))</f>
        <v>13073</v>
      </c>
      <c r="BB23" s="350">
        <f>(Tabla156[[#This Row],[CVA]]*Tabla156[[#This Row],[F]]-Tabla156[[#This Row],[CVN]])/100*Tabla156[[#This Row],[L]]</f>
        <v>3983.2123699999993</v>
      </c>
      <c r="BC23" s="294" t="s">
        <v>70</v>
      </c>
      <c r="BD23" s="209">
        <f>VLOOKUP(B23,Tabla467824[[ID CAE2]:[AE '[kWh']]],6,FALSE)</f>
        <v>7136.4330429999991</v>
      </c>
      <c r="BE2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23"/>
      <c r="BL23"/>
      <c r="BM23"/>
      <c r="BN23"/>
      <c r="BO23"/>
      <c r="BP23"/>
      <c r="BQ23"/>
      <c r="BR23"/>
    </row>
    <row r="24" spans="1:70" ht="51.75" x14ac:dyDescent="0.25">
      <c r="A24" s="53" t="s">
        <v>228</v>
      </c>
      <c r="B24" s="53" t="s">
        <v>228</v>
      </c>
      <c r="C24" s="332" t="s">
        <v>229</v>
      </c>
      <c r="D24" s="104" t="s">
        <v>72</v>
      </c>
      <c r="E24" s="104"/>
      <c r="F24" s="104" t="s">
        <v>72</v>
      </c>
      <c r="G24" s="104"/>
      <c r="H24" s="104" t="s">
        <v>72</v>
      </c>
      <c r="I24" s="104" t="s">
        <v>72</v>
      </c>
      <c r="J24" s="104"/>
      <c r="K24" s="96" t="s">
        <v>73</v>
      </c>
      <c r="L24" s="96" t="s">
        <v>200</v>
      </c>
      <c r="M24" s="96" t="s">
        <v>201</v>
      </c>
      <c r="N24" s="96" t="s">
        <v>76</v>
      </c>
      <c r="O24" s="101">
        <f>VLOOKUP(Tabla156[[#This Row],[Matricula Antigua]],BAJA2022202320242025!$B$3:$CR$245,93,FALSE)</f>
        <v>44224</v>
      </c>
      <c r="P24" s="316">
        <v>45689</v>
      </c>
      <c r="Q24" s="317">
        <f>Tabla156[[#This Row],[F.Vig.Final]]-Tabla156[[#This Row],[f Vig Inicio]]</f>
        <v>1465</v>
      </c>
      <c r="R24" s="318">
        <f>YEAR(Tabla156[[#This Row],[F.Vig.Final]])</f>
        <v>2025</v>
      </c>
      <c r="S24" s="96" t="s">
        <v>77</v>
      </c>
      <c r="T24" s="96" t="s">
        <v>71</v>
      </c>
      <c r="U24" s="96" t="s">
        <v>213</v>
      </c>
      <c r="V24" s="96" t="s">
        <v>214</v>
      </c>
      <c r="W24" s="96" t="s">
        <v>204</v>
      </c>
      <c r="X24" s="332" t="s">
        <v>205</v>
      </c>
      <c r="Y24" s="96" t="s">
        <v>230</v>
      </c>
      <c r="Z24" s="98">
        <f>COUNTIF($X$3:X24, X24)</f>
        <v>2</v>
      </c>
      <c r="AA24" s="337" t="s">
        <v>1661</v>
      </c>
      <c r="AB24" s="337" t="s">
        <v>1661</v>
      </c>
      <c r="AC24" s="337" t="s">
        <v>1662</v>
      </c>
      <c r="AD24" s="337" t="s">
        <v>1679</v>
      </c>
      <c r="AE24" s="351" t="s">
        <v>1664</v>
      </c>
      <c r="AF24" s="337" t="s">
        <v>1680</v>
      </c>
      <c r="AG24" s="337" t="s">
        <v>1681</v>
      </c>
      <c r="AH24" s="337" t="s">
        <v>1649</v>
      </c>
      <c r="AI24" s="337" t="s">
        <v>231</v>
      </c>
      <c r="AJ24" s="98" t="s">
        <v>140</v>
      </c>
      <c r="AK24" s="98" t="s">
        <v>151</v>
      </c>
      <c r="AL24" s="98" t="s">
        <v>87</v>
      </c>
      <c r="AM24" s="101" t="s">
        <v>232</v>
      </c>
      <c r="AN24" s="348" t="s">
        <v>89</v>
      </c>
      <c r="AO24" s="349">
        <v>45638</v>
      </c>
      <c r="AP24" s="98">
        <f>Tabla156[[#This Row],[Renov. Flota]]-Tabla156[[#This Row],[Año]]</f>
        <v>-1</v>
      </c>
      <c r="AQ24" s="100" t="s">
        <v>204</v>
      </c>
      <c r="AR24" s="100" t="str">
        <f>VLOOKUP(Tabla156[[#This Row],[Matricula nueva]],'ALTA 20242025'!$B$2:$P$242,15,FALSE)</f>
        <v>4500424896</v>
      </c>
      <c r="AS24" s="101" t="s">
        <v>205</v>
      </c>
      <c r="AT24" s="101"/>
      <c r="AU24" s="101" t="s">
        <v>72</v>
      </c>
      <c r="AV24" s="101" t="s">
        <v>91</v>
      </c>
      <c r="AW24" s="101" t="str">
        <f>VLOOKUP(Tabla156[[#This Row],[Matricula nueva]],Hoja2!$A$1:$B$224,2,FALSE)</f>
        <v>VR7CBZYA2RT154436</v>
      </c>
      <c r="AX24" s="209">
        <f>IF(Tabla156[[#This Row],[Columna2]]="M1",5.1,"")</f>
        <v>5.0999999999999996</v>
      </c>
      <c r="AY24" s="208">
        <f t="shared" si="1"/>
        <v>9.19</v>
      </c>
      <c r="AZ24" s="313">
        <v>16.399999999999999</v>
      </c>
      <c r="BA24" s="314">
        <f>IF(Tabla156[[#This Row],[Columna2]]="M1",13073,IF(Tabla156[[#This Row],[Columna2]]="N1",15815,IF(Tabla156[[#This Row],[Columna2]]="L3e",2831,53508)))</f>
        <v>13073</v>
      </c>
      <c r="BB24" s="350">
        <f>(Tabla156[[#This Row],[CVA]]*Tabla156[[#This Row],[F]]-Tabla156[[#This Row],[CVN]])/100*Tabla156[[#This Row],[L]]</f>
        <v>3983.2123699999993</v>
      </c>
      <c r="BC24" s="294" t="s">
        <v>70</v>
      </c>
      <c r="BD24" s="209">
        <f>VLOOKUP(B24,Tabla467824[[ID CAE2]:[AE '[kWh']]],6,FALSE)</f>
        <v>7136.4330429999991</v>
      </c>
      <c r="BE2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24"/>
      <c r="BL24"/>
      <c r="BM24"/>
      <c r="BN24"/>
      <c r="BO24"/>
      <c r="BP24"/>
      <c r="BQ24"/>
      <c r="BR24"/>
    </row>
    <row r="25" spans="1:70" ht="51.75" x14ac:dyDescent="0.25">
      <c r="A25" s="53" t="s">
        <v>235</v>
      </c>
      <c r="B25" s="53" t="s">
        <v>235</v>
      </c>
      <c r="C25" s="332" t="s">
        <v>236</v>
      </c>
      <c r="D25" s="104" t="s">
        <v>72</v>
      </c>
      <c r="E25" s="104"/>
      <c r="F25" s="104" t="s">
        <v>72</v>
      </c>
      <c r="G25" s="104"/>
      <c r="H25" s="104" t="s">
        <v>72</v>
      </c>
      <c r="I25" s="104"/>
      <c r="J25" s="104"/>
      <c r="K25" s="96" t="s">
        <v>73</v>
      </c>
      <c r="L25" s="96" t="s">
        <v>200</v>
      </c>
      <c r="M25" s="96" t="s">
        <v>201</v>
      </c>
      <c r="N25" s="96" t="s">
        <v>76</v>
      </c>
      <c r="O25" s="101">
        <f>VLOOKUP(Tabla156[[#This Row],[Matricula Antigua]],BAJA2022202320242025!$B$3:$CR$245,93,FALSE)</f>
        <v>44133</v>
      </c>
      <c r="P25" s="316">
        <v>45594</v>
      </c>
      <c r="Q25" s="317">
        <f>Tabla156[[#This Row],[F.Vig.Final]]-Tabla156[[#This Row],[f Vig Inicio]]</f>
        <v>1461</v>
      </c>
      <c r="R25" s="318">
        <f>YEAR(Tabla156[[#This Row],[F.Vig.Final]])</f>
        <v>2024</v>
      </c>
      <c r="S25" s="96" t="s">
        <v>77</v>
      </c>
      <c r="T25" s="96" t="s">
        <v>78</v>
      </c>
      <c r="U25" s="96" t="s">
        <v>213</v>
      </c>
      <c r="V25" s="96" t="s">
        <v>237</v>
      </c>
      <c r="W25" s="96" t="s">
        <v>204</v>
      </c>
      <c r="X25" s="332" t="s">
        <v>205</v>
      </c>
      <c r="Y25" s="96" t="s">
        <v>230</v>
      </c>
      <c r="Z25" s="98">
        <f>COUNTIF($X$3:X25, X25)</f>
        <v>3</v>
      </c>
      <c r="AA25" s="337" t="s">
        <v>1661</v>
      </c>
      <c r="AB25" s="337" t="s">
        <v>1661</v>
      </c>
      <c r="AC25" s="337" t="s">
        <v>1662</v>
      </c>
      <c r="AD25" s="337" t="s">
        <v>1679</v>
      </c>
      <c r="AE25" s="351" t="s">
        <v>1664</v>
      </c>
      <c r="AF25" s="337" t="s">
        <v>1680</v>
      </c>
      <c r="AG25" s="337" t="s">
        <v>1681</v>
      </c>
      <c r="AH25" s="337" t="s">
        <v>1649</v>
      </c>
      <c r="AI25" s="337" t="s">
        <v>238</v>
      </c>
      <c r="AJ25" s="98" t="s">
        <v>140</v>
      </c>
      <c r="AK25" s="98" t="s">
        <v>151</v>
      </c>
      <c r="AL25" s="98" t="s">
        <v>87</v>
      </c>
      <c r="AM25" s="101" t="s">
        <v>232</v>
      </c>
      <c r="AN25" s="348" t="s">
        <v>89</v>
      </c>
      <c r="AO25" s="349">
        <v>45638</v>
      </c>
      <c r="AP25" s="98">
        <f>Tabla156[[#This Row],[Renov. Flota]]-Tabla156[[#This Row],[Año]]</f>
        <v>0</v>
      </c>
      <c r="AQ25" s="100" t="s">
        <v>204</v>
      </c>
      <c r="AR25" s="100" t="str">
        <f>VLOOKUP(Tabla156[[#This Row],[Matricula nueva]],'ALTA 20242025'!$B$2:$P$242,15,FALSE)</f>
        <v>4500424877</v>
      </c>
      <c r="AS25" s="101" t="s">
        <v>205</v>
      </c>
      <c r="AT25" s="101"/>
      <c r="AU25" s="101" t="s">
        <v>72</v>
      </c>
      <c r="AV25" s="101" t="s">
        <v>91</v>
      </c>
      <c r="AW25" s="101" t="str">
        <f>VLOOKUP(Tabla156[[#This Row],[Matricula nueva]],Hoja2!$A$1:$B$224,2,FALSE)</f>
        <v>VR7CBZYA3RT153022</v>
      </c>
      <c r="AX25" s="209">
        <f>IF(Tabla156[[#This Row],[Columna2]]="M1",5.1,"")</f>
        <v>5.0999999999999996</v>
      </c>
      <c r="AY25" s="208">
        <f t="shared" si="1"/>
        <v>10</v>
      </c>
      <c r="AZ25" s="313">
        <v>16.399999999999999</v>
      </c>
      <c r="BA25" s="314">
        <f>IF(Tabla156[[#This Row],[Columna2]]="M1",13073,IF(Tabla156[[#This Row],[Columna2]]="N1",15815,IF(Tabla156[[#This Row],[Columna2]]="L3e",2831,53508)))</f>
        <v>13073</v>
      </c>
      <c r="BB25" s="350">
        <f>(Tabla156[[#This Row],[CVA]]*Tabla156[[#This Row],[F]]-Tabla156[[#This Row],[CVN]])/100*Tabla156[[#This Row],[L]]</f>
        <v>4523.2580000000007</v>
      </c>
      <c r="BC25" s="294" t="s">
        <v>70</v>
      </c>
      <c r="BD25" s="209">
        <f>VLOOKUP(B25,Tabla467824[[ID CAE2]:[AE '[kWh']]],6,FALSE)</f>
        <v>6795.3454000000002</v>
      </c>
      <c r="BE2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25"/>
      <c r="BL25"/>
      <c r="BM25"/>
      <c r="BN25"/>
      <c r="BO25"/>
      <c r="BP25"/>
      <c r="BQ25"/>
      <c r="BR25"/>
    </row>
    <row r="26" spans="1:70" ht="52.5" thickBot="1" x14ac:dyDescent="0.3">
      <c r="A26" s="53" t="s">
        <v>241</v>
      </c>
      <c r="B26" s="53" t="s">
        <v>241</v>
      </c>
      <c r="C26" s="332" t="s">
        <v>242</v>
      </c>
      <c r="D26" s="104" t="s">
        <v>72</v>
      </c>
      <c r="E26" s="104"/>
      <c r="F26" s="104" t="s">
        <v>72</v>
      </c>
      <c r="G26" s="104"/>
      <c r="H26" s="104" t="s">
        <v>72</v>
      </c>
      <c r="I26" s="104" t="s">
        <v>72</v>
      </c>
      <c r="J26" s="104"/>
      <c r="K26" s="96" t="s">
        <v>73</v>
      </c>
      <c r="L26" s="96" t="s">
        <v>200</v>
      </c>
      <c r="M26" s="96" t="s">
        <v>201</v>
      </c>
      <c r="N26" s="96" t="s">
        <v>76</v>
      </c>
      <c r="O26" s="101">
        <f>VLOOKUP(Tabla156[[#This Row],[Matricula Antigua]],BAJA2022202320242025!$B$3:$CR$245,93,FALSE)</f>
        <v>44133</v>
      </c>
      <c r="P26" s="316">
        <v>45594</v>
      </c>
      <c r="Q26" s="317">
        <f>Tabla156[[#This Row],[F.Vig.Final]]-Tabla156[[#This Row],[f Vig Inicio]]</f>
        <v>1461</v>
      </c>
      <c r="R26" s="318">
        <f>YEAR(Tabla156[[#This Row],[F.Vig.Final]])</f>
        <v>2024</v>
      </c>
      <c r="S26" s="96" t="s">
        <v>77</v>
      </c>
      <c r="T26" s="96" t="s">
        <v>78</v>
      </c>
      <c r="U26" s="96" t="s">
        <v>213</v>
      </c>
      <c r="V26" s="96" t="s">
        <v>237</v>
      </c>
      <c r="W26" s="96" t="s">
        <v>119</v>
      </c>
      <c r="X26" s="332" t="s">
        <v>1674</v>
      </c>
      <c r="Y26" s="96" t="s">
        <v>243</v>
      </c>
      <c r="Z26" s="98">
        <f>COUNTIF($X$3:X26, X26)</f>
        <v>4</v>
      </c>
      <c r="AA26" s="337" t="s">
        <v>1661</v>
      </c>
      <c r="AB26" s="337" t="s">
        <v>1661</v>
      </c>
      <c r="AC26" s="337" t="s">
        <v>1662</v>
      </c>
      <c r="AD26" s="337" t="s">
        <v>1663</v>
      </c>
      <c r="AE26" s="342" t="s">
        <v>1664</v>
      </c>
      <c r="AF26" s="337" t="s">
        <v>1665</v>
      </c>
      <c r="AG26" s="337" t="s">
        <v>1666</v>
      </c>
      <c r="AH26" s="337" t="s">
        <v>1649</v>
      </c>
      <c r="AI26" s="337" t="s">
        <v>244</v>
      </c>
      <c r="AJ26" s="98" t="s">
        <v>140</v>
      </c>
      <c r="AK26" s="98" t="s">
        <v>151</v>
      </c>
      <c r="AL26" s="98" t="s">
        <v>87</v>
      </c>
      <c r="AM26" s="101" t="s">
        <v>223</v>
      </c>
      <c r="AN26" s="348" t="s">
        <v>89</v>
      </c>
      <c r="AO26" s="349">
        <v>45622</v>
      </c>
      <c r="AP26" s="98">
        <f>Tabla156[[#This Row],[Renov. Flota]]-Tabla156[[#This Row],[Año]]</f>
        <v>0</v>
      </c>
      <c r="AQ26" s="100" t="s">
        <v>119</v>
      </c>
      <c r="AR26" s="100" t="str">
        <f>VLOOKUP(Tabla156[[#This Row],[Matricula nueva]],'ALTA 20242025'!$B$2:$P$242,15,FALSE)</f>
        <v>4500424796</v>
      </c>
      <c r="AS26" s="101" t="s">
        <v>120</v>
      </c>
      <c r="AT26" s="101"/>
      <c r="AU26" s="101" t="s">
        <v>72</v>
      </c>
      <c r="AV26" s="101" t="s">
        <v>91</v>
      </c>
      <c r="AW26" s="101" t="str">
        <f>VLOOKUP(Tabla156[[#This Row],[Matricula nueva]],Hoja2!$A$1:$B$224,2,FALSE)</f>
        <v>VR7CBZYA2RT152184</v>
      </c>
      <c r="AX26" s="209">
        <f>IF(Tabla156[[#This Row],[Columna2]]="M1",5.1,"")</f>
        <v>5.0999999999999996</v>
      </c>
      <c r="AY26" s="208">
        <f t="shared" si="1"/>
        <v>10</v>
      </c>
      <c r="AZ26" s="313">
        <v>16.399999999999999</v>
      </c>
      <c r="BA26" s="314">
        <f>IF(Tabla156[[#This Row],[Columna2]]="M1",13073,IF(Tabla156[[#This Row],[Columna2]]="N1",15815,IF(Tabla156[[#This Row],[Columna2]]="L3e",2831,53508)))</f>
        <v>13073</v>
      </c>
      <c r="BB26" s="350">
        <f>(Tabla156[[#This Row],[CVA]]*Tabla156[[#This Row],[F]]-Tabla156[[#This Row],[CVN]])/100*Tabla156[[#This Row],[L]]</f>
        <v>4523.2580000000007</v>
      </c>
      <c r="BC26" s="91" t="s">
        <v>70</v>
      </c>
      <c r="BD26" s="209">
        <f>VLOOKUP(B26,Tabla467824[[ID CAE2]:[AE '[kWh']]],6,FALSE)</f>
        <v>6795.3454000000002</v>
      </c>
      <c r="BE2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c r="BK26"/>
      <c r="BL26"/>
      <c r="BM26"/>
      <c r="BN26"/>
      <c r="BO26"/>
      <c r="BP26"/>
      <c r="BQ26"/>
      <c r="BR26"/>
    </row>
    <row r="27" spans="1:70" ht="15.75" hidden="1" thickBot="1" x14ac:dyDescent="0.3">
      <c r="A27" s="53" t="s">
        <v>1146</v>
      </c>
      <c r="B27" s="53" t="e">
        <v>#N/A</v>
      </c>
      <c r="C27" s="96" t="s">
        <v>1147</v>
      </c>
      <c r="D27" s="96"/>
      <c r="E27" s="96"/>
      <c r="F27" s="96"/>
      <c r="G27" s="96"/>
      <c r="H27" s="96"/>
      <c r="I27" s="96"/>
      <c r="J27" s="96"/>
      <c r="K27" s="96" t="s">
        <v>158</v>
      </c>
      <c r="L27" s="96" t="s">
        <v>159</v>
      </c>
      <c r="M27" s="96" t="s">
        <v>158</v>
      </c>
      <c r="N27" s="96" t="s">
        <v>171</v>
      </c>
      <c r="O27" s="101">
        <f>VLOOKUP(Tabla156[[#This Row],[Matricula Antigua]],BAJA2022202320242025!$B$3:$CR$245,93,FALSE)</f>
        <v>44537</v>
      </c>
      <c r="P27" s="99">
        <v>45245</v>
      </c>
      <c r="Q27" s="98">
        <f>Tabla156[[#This Row],[F.Vig.Final]]-Tabla156[[#This Row],[f Vig Inicio]]</f>
        <v>708</v>
      </c>
      <c r="R27" s="99">
        <f>YEAR(Tabla156[[#This Row],[F.Vig.Final]])</f>
        <v>2023</v>
      </c>
      <c r="S27" s="96" t="s">
        <v>172</v>
      </c>
      <c r="T27" s="96" t="s">
        <v>78</v>
      </c>
      <c r="U27" s="96" t="s">
        <v>524</v>
      </c>
      <c r="V27" s="96" t="s">
        <v>1148</v>
      </c>
      <c r="W27" s="96" t="s">
        <v>1139</v>
      </c>
      <c r="X27" s="96" t="s">
        <v>1140</v>
      </c>
      <c r="Y27" s="96" t="s">
        <v>312</v>
      </c>
      <c r="Z27" s="98">
        <f>COUNTIF($X$3:X27, X27)</f>
        <v>2</v>
      </c>
      <c r="AA27" s="98"/>
      <c r="AB27" s="98"/>
      <c r="AC27" s="98"/>
      <c r="AD27" s="98"/>
      <c r="AE27" s="322"/>
      <c r="AF27" s="98"/>
      <c r="AG27" s="98"/>
      <c r="AH27" s="98"/>
      <c r="AI27" s="98" t="e">
        <v>#N/A</v>
      </c>
      <c r="AJ27" s="98" t="e">
        <v>#N/A</v>
      </c>
      <c r="AK27" s="98" t="e">
        <v>#N/A</v>
      </c>
      <c r="AL27" s="98" t="e">
        <v>#N/A</v>
      </c>
      <c r="AM27" s="98" t="e">
        <v>#N/A</v>
      </c>
      <c r="AN27" s="99" t="e">
        <v>#N/A</v>
      </c>
      <c r="AO27" s="99" t="e">
        <v>#N/A</v>
      </c>
      <c r="AP27" s="99" t="e">
        <f>Tabla156[[#This Row],[Renov. Flota]]-Tabla156[[#This Row],[Año]]</f>
        <v>#N/A</v>
      </c>
      <c r="AQ27" s="100" t="e">
        <v>#N/A</v>
      </c>
      <c r="AR27" s="100" t="e">
        <f>VLOOKUP(Tabla156[[#This Row],[Matricula nueva]],'ALTA 20242025'!$B$2:$P$242,15,FALSE)</f>
        <v>#N/A</v>
      </c>
      <c r="AS27" s="101" t="e">
        <v>#N/A</v>
      </c>
      <c r="AT27" s="101"/>
      <c r="AU27" s="101"/>
      <c r="AV27" s="101"/>
      <c r="AW27" s="101" t="e">
        <f>VLOOKUP(Tabla156[[#This Row],[Matricula nueva]],Hoja2!$A$1:$B$224,2,FALSE)</f>
        <v>#N/A</v>
      </c>
      <c r="AX27" s="101" t="str">
        <f>IF(Tabla156[[#This Row],[Columna2]]="M1",5.1,"")</f>
        <v/>
      </c>
      <c r="AY27" s="101"/>
      <c r="AZ27" s="101"/>
      <c r="BA27" s="311">
        <f>IF(Tabla156[[#This Row],[Columna2]]="M1",13073,IF(Tabla156[[#This Row],[Columna2]]="N1",15815,IF(Tabla156[[#This Row],[Columna2]]="L3e",2831,53508)))</f>
        <v>53508</v>
      </c>
      <c r="BB27" s="311" t="e">
        <f>(Tabla156[[#This Row],[CVA]]*Tabla156[[#This Row],[F]]-Tabla156[[#This Row],[CVN]])/100*Tabla156[[#This Row],[L]]</f>
        <v>#VALUE!</v>
      </c>
      <c r="BC27" s="1"/>
      <c r="BD27" s="1" t="e">
        <f>VLOOKUP(B27,Tabla467824[[ID CAE2]:[AE '[kWh']]],6,FALSE)</f>
        <v>#N/A</v>
      </c>
      <c r="BE2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27"/>
      <c r="BL27"/>
      <c r="BM27"/>
      <c r="BN27"/>
      <c r="BO27"/>
      <c r="BP27"/>
      <c r="BQ27"/>
      <c r="BR27"/>
    </row>
    <row r="28" spans="1:70" ht="15.75" hidden="1" thickBot="1" x14ac:dyDescent="0.3">
      <c r="A28" s="53" t="s">
        <v>1149</v>
      </c>
      <c r="B28" s="53" t="e">
        <v>#N/A</v>
      </c>
      <c r="C28" s="96" t="s">
        <v>1150</v>
      </c>
      <c r="D28" s="96"/>
      <c r="E28" s="96"/>
      <c r="F28" s="96"/>
      <c r="G28" s="96"/>
      <c r="H28" s="96"/>
      <c r="I28" s="96"/>
      <c r="J28" s="96"/>
      <c r="K28" s="96" t="s">
        <v>158</v>
      </c>
      <c r="L28" s="96" t="s">
        <v>159</v>
      </c>
      <c r="M28" s="96" t="s">
        <v>158</v>
      </c>
      <c r="N28" s="96" t="s">
        <v>171</v>
      </c>
      <c r="O28" s="101">
        <f>VLOOKUP(Tabla156[[#This Row],[Matricula Antigua]],BAJA2022202320242025!$B$3:$CR$245,93,FALSE)</f>
        <v>38111</v>
      </c>
      <c r="P28" s="99">
        <v>45245</v>
      </c>
      <c r="Q28" s="98">
        <f>Tabla156[[#This Row],[F.Vig.Final]]-Tabla156[[#This Row],[f Vig Inicio]]</f>
        <v>7134</v>
      </c>
      <c r="R28" s="99">
        <f>YEAR(Tabla156[[#This Row],[F.Vig.Final]])</f>
        <v>2023</v>
      </c>
      <c r="S28" s="96" t="s">
        <v>172</v>
      </c>
      <c r="T28" s="96" t="s">
        <v>78</v>
      </c>
      <c r="U28" s="96" t="s">
        <v>85</v>
      </c>
      <c r="V28" s="96" t="s">
        <v>1151</v>
      </c>
      <c r="W28" s="96" t="s">
        <v>1139</v>
      </c>
      <c r="X28" s="96" t="s">
        <v>1140</v>
      </c>
      <c r="Y28" s="96" t="s">
        <v>312</v>
      </c>
      <c r="Z28" s="98">
        <f>COUNTIF($X$3:X28, X28)</f>
        <v>3</v>
      </c>
      <c r="AA28" s="98"/>
      <c r="AB28" s="98"/>
      <c r="AC28" s="98"/>
      <c r="AD28" s="98"/>
      <c r="AE28" s="98"/>
      <c r="AF28" s="98"/>
      <c r="AG28" s="98"/>
      <c r="AH28" s="98"/>
      <c r="AI28" s="98" t="e">
        <v>#N/A</v>
      </c>
      <c r="AJ28" s="98" t="e">
        <v>#N/A</v>
      </c>
      <c r="AK28" s="98" t="e">
        <v>#N/A</v>
      </c>
      <c r="AL28" s="98" t="e">
        <v>#N/A</v>
      </c>
      <c r="AM28" s="98" t="e">
        <v>#N/A</v>
      </c>
      <c r="AN28" s="99" t="e">
        <v>#N/A</v>
      </c>
      <c r="AO28" s="99" t="e">
        <v>#N/A</v>
      </c>
      <c r="AP28" s="99" t="e">
        <f>Tabla156[[#This Row],[Renov. Flota]]-Tabla156[[#This Row],[Año]]</f>
        <v>#N/A</v>
      </c>
      <c r="AQ28" s="100" t="e">
        <v>#N/A</v>
      </c>
      <c r="AR28" s="100" t="e">
        <f>VLOOKUP(Tabla156[[#This Row],[Matricula nueva]],'ALTA 20242025'!$B$2:$P$242,15,FALSE)</f>
        <v>#N/A</v>
      </c>
      <c r="AS28" s="101" t="e">
        <v>#N/A</v>
      </c>
      <c r="AT28" s="101"/>
      <c r="AU28" s="101"/>
      <c r="AV28" s="101"/>
      <c r="AW28" s="101" t="e">
        <f>VLOOKUP(Tabla156[[#This Row],[Matricula nueva]],Hoja2!$A$1:$B$224,2,FALSE)</f>
        <v>#N/A</v>
      </c>
      <c r="AX28" s="101" t="str">
        <f>IF(Tabla156[[#This Row],[Columna2]]="M1",5.1,"")</f>
        <v/>
      </c>
      <c r="AY28" s="101"/>
      <c r="AZ28" s="101"/>
      <c r="BA28" s="311">
        <f>IF(Tabla156[[#This Row],[Columna2]]="M1",13073,IF(Tabla156[[#This Row],[Columna2]]="N1",15815,IF(Tabla156[[#This Row],[Columna2]]="L3e",2831,53508)))</f>
        <v>53508</v>
      </c>
      <c r="BB28" s="311" t="e">
        <f>(Tabla156[[#This Row],[CVA]]*Tabla156[[#This Row],[F]]-Tabla156[[#This Row],[CVN]])/100*Tabla156[[#This Row],[L]]</f>
        <v>#VALUE!</v>
      </c>
      <c r="BC28" s="1"/>
      <c r="BD28" s="1" t="e">
        <f>VLOOKUP(B28,Tabla467824[[ID CAE2]:[AE '[kWh']]],6,FALSE)</f>
        <v>#N/A</v>
      </c>
      <c r="BE2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28"/>
      <c r="BL28"/>
      <c r="BM28"/>
      <c r="BN28"/>
      <c r="BO28"/>
      <c r="BP28"/>
      <c r="BQ28"/>
      <c r="BR28"/>
    </row>
    <row r="29" spans="1:70" ht="15.75" hidden="1" thickBot="1" x14ac:dyDescent="0.3">
      <c r="A29" s="53" t="s">
        <v>1152</v>
      </c>
      <c r="B29" s="53" t="e">
        <v>#N/A</v>
      </c>
      <c r="C29" s="96" t="s">
        <v>1153</v>
      </c>
      <c r="D29" s="96"/>
      <c r="E29" s="96"/>
      <c r="F29" s="96"/>
      <c r="G29" s="96"/>
      <c r="H29" s="96"/>
      <c r="I29" s="96"/>
      <c r="J29" s="96"/>
      <c r="K29" s="96" t="s">
        <v>158</v>
      </c>
      <c r="L29" s="96" t="s">
        <v>159</v>
      </c>
      <c r="M29" s="96" t="s">
        <v>158</v>
      </c>
      <c r="N29" s="96" t="s">
        <v>171</v>
      </c>
      <c r="O29" s="101">
        <f>VLOOKUP(Tabla156[[#This Row],[Matricula Antigua]],BAJA2022202320242025!$B$3:$CR$245,93,FALSE)</f>
        <v>38139</v>
      </c>
      <c r="P29" s="99">
        <v>45245</v>
      </c>
      <c r="Q29" s="98">
        <f>Tabla156[[#This Row],[F.Vig.Final]]-Tabla156[[#This Row],[f Vig Inicio]]</f>
        <v>7106</v>
      </c>
      <c r="R29" s="99">
        <f>YEAR(Tabla156[[#This Row],[F.Vig.Final]])</f>
        <v>2023</v>
      </c>
      <c r="S29" s="96" t="s">
        <v>172</v>
      </c>
      <c r="T29" s="96" t="s">
        <v>78</v>
      </c>
      <c r="U29" s="96" t="s">
        <v>85</v>
      </c>
      <c r="V29" s="96" t="s">
        <v>1154</v>
      </c>
      <c r="W29" s="96" t="s">
        <v>1139</v>
      </c>
      <c r="X29" s="96" t="s">
        <v>1140</v>
      </c>
      <c r="Y29" s="96" t="s">
        <v>312</v>
      </c>
      <c r="Z29" s="98">
        <f>COUNTIF($X$3:X29, X29)</f>
        <v>4</v>
      </c>
      <c r="AA29" s="98"/>
      <c r="AB29" s="98"/>
      <c r="AC29" s="98"/>
      <c r="AD29" s="98"/>
      <c r="AE29" s="98"/>
      <c r="AF29" s="98"/>
      <c r="AG29" s="98"/>
      <c r="AH29" s="98"/>
      <c r="AI29" s="98" t="e">
        <v>#N/A</v>
      </c>
      <c r="AJ29" s="98" t="e">
        <v>#N/A</v>
      </c>
      <c r="AK29" s="98" t="e">
        <v>#N/A</v>
      </c>
      <c r="AL29" s="98" t="e">
        <v>#N/A</v>
      </c>
      <c r="AM29" s="98" t="e">
        <v>#N/A</v>
      </c>
      <c r="AN29" s="99" t="e">
        <v>#N/A</v>
      </c>
      <c r="AO29" s="99" t="e">
        <v>#N/A</v>
      </c>
      <c r="AP29" s="99" t="e">
        <f>Tabla156[[#This Row],[Renov. Flota]]-Tabla156[[#This Row],[Año]]</f>
        <v>#N/A</v>
      </c>
      <c r="AQ29" s="100" t="e">
        <v>#N/A</v>
      </c>
      <c r="AR29" s="100" t="e">
        <f>VLOOKUP(Tabla156[[#This Row],[Matricula nueva]],'ALTA 20242025'!$B$2:$P$242,15,FALSE)</f>
        <v>#N/A</v>
      </c>
      <c r="AS29" s="101" t="e">
        <v>#N/A</v>
      </c>
      <c r="AT29" s="101"/>
      <c r="AU29" s="101"/>
      <c r="AV29" s="101"/>
      <c r="AW29" s="101" t="e">
        <f>VLOOKUP(Tabla156[[#This Row],[Matricula nueva]],Hoja2!$A$1:$B$224,2,FALSE)</f>
        <v>#N/A</v>
      </c>
      <c r="AX29" s="101" t="str">
        <f>IF(Tabla156[[#This Row],[Columna2]]="M1",5.1,"")</f>
        <v/>
      </c>
      <c r="AY29" s="101"/>
      <c r="AZ29" s="101"/>
      <c r="BA29" s="311">
        <f>IF(Tabla156[[#This Row],[Columna2]]="M1",13073,IF(Tabla156[[#This Row],[Columna2]]="N1",15815,IF(Tabla156[[#This Row],[Columna2]]="L3e",2831,53508)))</f>
        <v>53508</v>
      </c>
      <c r="BB29" s="311" t="e">
        <f>(Tabla156[[#This Row],[CVA]]*Tabla156[[#This Row],[F]]-Tabla156[[#This Row],[CVN]])/100*Tabla156[[#This Row],[L]]</f>
        <v>#VALUE!</v>
      </c>
      <c r="BC29" s="1"/>
      <c r="BD29" s="1" t="e">
        <f>VLOOKUP(B29,Tabla467824[[ID CAE2]:[AE '[kWh']]],6,FALSE)</f>
        <v>#N/A</v>
      </c>
      <c r="BE2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29"/>
      <c r="BL29"/>
      <c r="BM29"/>
      <c r="BN29"/>
      <c r="BO29"/>
      <c r="BP29"/>
      <c r="BQ29"/>
      <c r="BR29"/>
    </row>
    <row r="30" spans="1:70" ht="15.75" hidden="1" thickBot="1" x14ac:dyDescent="0.3">
      <c r="A30" s="53" t="s">
        <v>1155</v>
      </c>
      <c r="B30" s="53" t="e">
        <v>#N/A</v>
      </c>
      <c r="C30" s="96" t="s">
        <v>1156</v>
      </c>
      <c r="D30" s="96"/>
      <c r="E30" s="96"/>
      <c r="F30" s="96"/>
      <c r="G30" s="96"/>
      <c r="H30" s="96"/>
      <c r="I30" s="96"/>
      <c r="J30" s="96"/>
      <c r="K30" s="96" t="s">
        <v>158</v>
      </c>
      <c r="L30" s="96" t="s">
        <v>159</v>
      </c>
      <c r="M30" s="96" t="s">
        <v>158</v>
      </c>
      <c r="N30" s="96" t="s">
        <v>171</v>
      </c>
      <c r="O30" s="101">
        <f>VLOOKUP(Tabla156[[#This Row],[Matricula Antigua]],BAJA2022202320242025!$B$3:$CR$245,93,FALSE)</f>
        <v>44110</v>
      </c>
      <c r="P30" s="99">
        <v>45245</v>
      </c>
      <c r="Q30" s="98">
        <f>Tabla156[[#This Row],[F.Vig.Final]]-Tabla156[[#This Row],[f Vig Inicio]]</f>
        <v>1135</v>
      </c>
      <c r="R30" s="99">
        <f>YEAR(Tabla156[[#This Row],[F.Vig.Final]])</f>
        <v>2023</v>
      </c>
      <c r="S30" s="96" t="s">
        <v>172</v>
      </c>
      <c r="T30" s="96" t="s">
        <v>78</v>
      </c>
      <c r="U30" s="96" t="s">
        <v>887</v>
      </c>
      <c r="V30" s="96" t="s">
        <v>1157</v>
      </c>
      <c r="W30" s="96" t="s">
        <v>1139</v>
      </c>
      <c r="X30" s="96" t="s">
        <v>1140</v>
      </c>
      <c r="Y30" s="96" t="s">
        <v>312</v>
      </c>
      <c r="Z30" s="98">
        <f>COUNTIF($X$3:X30, X30)</f>
        <v>5</v>
      </c>
      <c r="AA30" s="98"/>
      <c r="AB30" s="98"/>
      <c r="AC30" s="98"/>
      <c r="AD30" s="98"/>
      <c r="AE30" s="98"/>
      <c r="AF30" s="98"/>
      <c r="AG30" s="98"/>
      <c r="AH30" s="98"/>
      <c r="AI30" s="98" t="e">
        <v>#N/A</v>
      </c>
      <c r="AJ30" s="98" t="e">
        <v>#N/A</v>
      </c>
      <c r="AK30" s="98" t="e">
        <v>#N/A</v>
      </c>
      <c r="AL30" s="98" t="e">
        <v>#N/A</v>
      </c>
      <c r="AM30" s="98" t="e">
        <v>#N/A</v>
      </c>
      <c r="AN30" s="99" t="e">
        <v>#N/A</v>
      </c>
      <c r="AO30" s="99" t="e">
        <v>#N/A</v>
      </c>
      <c r="AP30" s="99" t="e">
        <f>Tabla156[[#This Row],[Renov. Flota]]-Tabla156[[#This Row],[Año]]</f>
        <v>#N/A</v>
      </c>
      <c r="AQ30" s="100" t="e">
        <v>#N/A</v>
      </c>
      <c r="AR30" s="100" t="e">
        <f>VLOOKUP(Tabla156[[#This Row],[Matricula nueva]],'ALTA 20242025'!$B$2:$P$242,15,FALSE)</f>
        <v>#N/A</v>
      </c>
      <c r="AS30" s="101" t="e">
        <v>#N/A</v>
      </c>
      <c r="AT30" s="101"/>
      <c r="AU30" s="101"/>
      <c r="AV30" s="101"/>
      <c r="AW30" s="101" t="e">
        <f>VLOOKUP(Tabla156[[#This Row],[Matricula nueva]],Hoja2!$A$1:$B$224,2,FALSE)</f>
        <v>#N/A</v>
      </c>
      <c r="AX30" s="101" t="str">
        <f>IF(Tabla156[[#This Row],[Columna2]]="M1",5.1,"")</f>
        <v/>
      </c>
      <c r="AY30" s="101"/>
      <c r="AZ30" s="101"/>
      <c r="BA30" s="311">
        <f>IF(Tabla156[[#This Row],[Columna2]]="M1",13073,IF(Tabla156[[#This Row],[Columna2]]="N1",15815,IF(Tabla156[[#This Row],[Columna2]]="L3e",2831,53508)))</f>
        <v>53508</v>
      </c>
      <c r="BB30" s="311" t="e">
        <f>(Tabla156[[#This Row],[CVA]]*Tabla156[[#This Row],[F]]-Tabla156[[#This Row],[CVN]])/100*Tabla156[[#This Row],[L]]</f>
        <v>#VALUE!</v>
      </c>
      <c r="BC30" s="1"/>
      <c r="BD30" s="1" t="e">
        <f>VLOOKUP(B30,Tabla467824[[ID CAE2]:[AE '[kWh']]],6,FALSE)</f>
        <v>#N/A</v>
      </c>
      <c r="BE3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0"/>
      <c r="BL30"/>
      <c r="BM30"/>
      <c r="BN30"/>
      <c r="BO30"/>
      <c r="BP30"/>
      <c r="BQ30"/>
      <c r="BR30"/>
    </row>
    <row r="31" spans="1:70" ht="15.75" hidden="1" thickBot="1" x14ac:dyDescent="0.3">
      <c r="A31" s="53" t="s">
        <v>1158</v>
      </c>
      <c r="B31" s="53" t="e">
        <v>#N/A</v>
      </c>
      <c r="C31" s="96" t="s">
        <v>1159</v>
      </c>
      <c r="D31" s="96"/>
      <c r="E31" s="96"/>
      <c r="F31" s="96"/>
      <c r="G31" s="96"/>
      <c r="H31" s="96"/>
      <c r="I31" s="96"/>
      <c r="J31" s="96"/>
      <c r="K31" s="96" t="s">
        <v>158</v>
      </c>
      <c r="L31" s="96" t="s">
        <v>159</v>
      </c>
      <c r="M31" s="96" t="s">
        <v>158</v>
      </c>
      <c r="N31" s="96" t="s">
        <v>171</v>
      </c>
      <c r="O31" s="101">
        <f>VLOOKUP(Tabla156[[#This Row],[Matricula Antigua]],BAJA2022202320242025!$B$3:$CR$245,93,FALSE)</f>
        <v>42152</v>
      </c>
      <c r="P31" s="99">
        <v>45245</v>
      </c>
      <c r="Q31" s="98">
        <f>Tabla156[[#This Row],[F.Vig.Final]]-Tabla156[[#This Row],[f Vig Inicio]]</f>
        <v>3093</v>
      </c>
      <c r="R31" s="99">
        <f>YEAR(Tabla156[[#This Row],[F.Vig.Final]])</f>
        <v>2023</v>
      </c>
      <c r="S31" s="96" t="s">
        <v>172</v>
      </c>
      <c r="T31" s="96" t="s">
        <v>78</v>
      </c>
      <c r="U31" s="96" t="s">
        <v>524</v>
      </c>
      <c r="V31" s="96" t="s">
        <v>1160</v>
      </c>
      <c r="W31" s="96" t="s">
        <v>1139</v>
      </c>
      <c r="X31" s="96" t="s">
        <v>1140</v>
      </c>
      <c r="Y31" s="96" t="s">
        <v>312</v>
      </c>
      <c r="Z31" s="98">
        <f>COUNTIF($X$3:X31, X31)</f>
        <v>6</v>
      </c>
      <c r="AA31" s="98"/>
      <c r="AB31" s="98"/>
      <c r="AC31" s="98"/>
      <c r="AD31" s="98"/>
      <c r="AE31" s="98"/>
      <c r="AF31" s="98"/>
      <c r="AG31" s="98"/>
      <c r="AH31" s="98"/>
      <c r="AI31" s="98" t="e">
        <v>#N/A</v>
      </c>
      <c r="AJ31" s="98" t="e">
        <v>#N/A</v>
      </c>
      <c r="AK31" s="98" t="e">
        <v>#N/A</v>
      </c>
      <c r="AL31" s="98" t="e">
        <v>#N/A</v>
      </c>
      <c r="AM31" s="98" t="e">
        <v>#N/A</v>
      </c>
      <c r="AN31" s="99" t="e">
        <v>#N/A</v>
      </c>
      <c r="AO31" s="99" t="e">
        <v>#N/A</v>
      </c>
      <c r="AP31" s="99" t="e">
        <f>Tabla156[[#This Row],[Renov. Flota]]-Tabla156[[#This Row],[Año]]</f>
        <v>#N/A</v>
      </c>
      <c r="AQ31" s="100" t="e">
        <v>#N/A</v>
      </c>
      <c r="AR31" s="100" t="e">
        <f>VLOOKUP(Tabla156[[#This Row],[Matricula nueva]],'ALTA 20242025'!$B$2:$P$242,15,FALSE)</f>
        <v>#N/A</v>
      </c>
      <c r="AS31" s="101" t="e">
        <v>#N/A</v>
      </c>
      <c r="AT31" s="101"/>
      <c r="AU31" s="101"/>
      <c r="AV31" s="101"/>
      <c r="AW31" s="101" t="e">
        <f>VLOOKUP(Tabla156[[#This Row],[Matricula nueva]],Hoja2!$A$1:$B$224,2,FALSE)</f>
        <v>#N/A</v>
      </c>
      <c r="AX31" s="101" t="str">
        <f>IF(Tabla156[[#This Row],[Columna2]]="M1",5.1,"")</f>
        <v/>
      </c>
      <c r="AY31" s="101"/>
      <c r="AZ31" s="101"/>
      <c r="BA31" s="311">
        <f>IF(Tabla156[[#This Row],[Columna2]]="M1",13073,IF(Tabla156[[#This Row],[Columna2]]="N1",15815,IF(Tabla156[[#This Row],[Columna2]]="L3e",2831,53508)))</f>
        <v>53508</v>
      </c>
      <c r="BB31" s="311" t="e">
        <f>(Tabla156[[#This Row],[CVA]]*Tabla156[[#This Row],[F]]-Tabla156[[#This Row],[CVN]])/100*Tabla156[[#This Row],[L]]</f>
        <v>#VALUE!</v>
      </c>
      <c r="BC31" s="1"/>
      <c r="BD31" s="1" t="e">
        <f>VLOOKUP(B31,Tabla467824[[ID CAE2]:[AE '[kWh']]],6,FALSE)</f>
        <v>#N/A</v>
      </c>
      <c r="BE3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1"/>
      <c r="BL31"/>
      <c r="BM31"/>
      <c r="BN31"/>
      <c r="BO31"/>
      <c r="BP31"/>
      <c r="BQ31"/>
      <c r="BR31"/>
    </row>
    <row r="32" spans="1:70" ht="15.75" hidden="1" thickBot="1" x14ac:dyDescent="0.3">
      <c r="A32" s="53" t="s">
        <v>1161</v>
      </c>
      <c r="B32" s="53" t="e">
        <v>#N/A</v>
      </c>
      <c r="C32" s="96" t="s">
        <v>1162</v>
      </c>
      <c r="D32" s="96"/>
      <c r="E32" s="96"/>
      <c r="F32" s="96"/>
      <c r="G32" s="96"/>
      <c r="H32" s="96"/>
      <c r="I32" s="96"/>
      <c r="J32" s="96"/>
      <c r="K32" s="96" t="s">
        <v>158</v>
      </c>
      <c r="L32" s="96" t="s">
        <v>159</v>
      </c>
      <c r="M32" s="96" t="s">
        <v>158</v>
      </c>
      <c r="N32" s="96" t="s">
        <v>171</v>
      </c>
      <c r="O32" s="101">
        <f>VLOOKUP(Tabla156[[#This Row],[Matricula Antigua]],BAJA2022202320242025!$B$3:$CR$245,93,FALSE)</f>
        <v>44000</v>
      </c>
      <c r="P32" s="99">
        <v>45245</v>
      </c>
      <c r="Q32" s="98">
        <f>Tabla156[[#This Row],[F.Vig.Final]]-Tabla156[[#This Row],[f Vig Inicio]]</f>
        <v>1245</v>
      </c>
      <c r="R32" s="99">
        <f>YEAR(Tabla156[[#This Row],[F.Vig.Final]])</f>
        <v>2023</v>
      </c>
      <c r="S32" s="96" t="s">
        <v>172</v>
      </c>
      <c r="T32" s="96" t="s">
        <v>78</v>
      </c>
      <c r="U32" s="96" t="s">
        <v>524</v>
      </c>
      <c r="V32" s="96" t="s">
        <v>1163</v>
      </c>
      <c r="W32" s="96" t="s">
        <v>1139</v>
      </c>
      <c r="X32" s="96" t="s">
        <v>1140</v>
      </c>
      <c r="Y32" s="96" t="s">
        <v>312</v>
      </c>
      <c r="Z32" s="98">
        <f>COUNTIF($X$3:X32, X32)</f>
        <v>7</v>
      </c>
      <c r="AA32" s="98"/>
      <c r="AB32" s="98"/>
      <c r="AC32" s="98"/>
      <c r="AD32" s="98"/>
      <c r="AE32" s="98"/>
      <c r="AF32" s="98"/>
      <c r="AG32" s="98"/>
      <c r="AH32" s="98"/>
      <c r="AI32" s="98" t="e">
        <v>#N/A</v>
      </c>
      <c r="AJ32" s="98" t="e">
        <v>#N/A</v>
      </c>
      <c r="AK32" s="98" t="e">
        <v>#N/A</v>
      </c>
      <c r="AL32" s="98" t="e">
        <v>#N/A</v>
      </c>
      <c r="AM32" s="98" t="e">
        <v>#N/A</v>
      </c>
      <c r="AN32" s="99" t="e">
        <v>#N/A</v>
      </c>
      <c r="AO32" s="99" t="e">
        <v>#N/A</v>
      </c>
      <c r="AP32" s="99" t="e">
        <f>Tabla156[[#This Row],[Renov. Flota]]-Tabla156[[#This Row],[Año]]</f>
        <v>#N/A</v>
      </c>
      <c r="AQ32" s="100" t="e">
        <v>#N/A</v>
      </c>
      <c r="AR32" s="100" t="e">
        <f>VLOOKUP(Tabla156[[#This Row],[Matricula nueva]],'ALTA 20242025'!$B$2:$P$242,15,FALSE)</f>
        <v>#N/A</v>
      </c>
      <c r="AS32" s="101" t="e">
        <v>#N/A</v>
      </c>
      <c r="AT32" s="101"/>
      <c r="AU32" s="101"/>
      <c r="AV32" s="101"/>
      <c r="AW32" s="101" t="e">
        <f>VLOOKUP(Tabla156[[#This Row],[Matricula nueva]],Hoja2!$A$1:$B$224,2,FALSE)</f>
        <v>#N/A</v>
      </c>
      <c r="AX32" s="101" t="str">
        <f>IF(Tabla156[[#This Row],[Columna2]]="M1",5.1,"")</f>
        <v/>
      </c>
      <c r="AY32" s="101"/>
      <c r="AZ32" s="101"/>
      <c r="BA32" s="311">
        <f>IF(Tabla156[[#This Row],[Columna2]]="M1",13073,IF(Tabla156[[#This Row],[Columna2]]="N1",15815,IF(Tabla156[[#This Row],[Columna2]]="L3e",2831,53508)))</f>
        <v>53508</v>
      </c>
      <c r="BB32" s="311" t="e">
        <f>(Tabla156[[#This Row],[CVA]]*Tabla156[[#This Row],[F]]-Tabla156[[#This Row],[CVN]])/100*Tabla156[[#This Row],[L]]</f>
        <v>#VALUE!</v>
      </c>
      <c r="BC32" s="1"/>
      <c r="BD32" s="1" t="e">
        <f>VLOOKUP(B32,Tabla467824[[ID CAE2]:[AE '[kWh']]],6,FALSE)</f>
        <v>#N/A</v>
      </c>
      <c r="BE3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2"/>
      <c r="BL32"/>
      <c r="BM32"/>
      <c r="BN32"/>
      <c r="BO32"/>
      <c r="BP32"/>
      <c r="BQ32"/>
      <c r="BR32"/>
    </row>
    <row r="33" spans="1:70" ht="15.75" hidden="1" thickBot="1" x14ac:dyDescent="0.3">
      <c r="A33" s="53" t="s">
        <v>1164</v>
      </c>
      <c r="B33" s="53" t="e">
        <v>#N/A</v>
      </c>
      <c r="C33" s="96" t="s">
        <v>1165</v>
      </c>
      <c r="D33" s="96"/>
      <c r="E33" s="96"/>
      <c r="F33" s="96"/>
      <c r="G33" s="96"/>
      <c r="H33" s="96"/>
      <c r="I33" s="96"/>
      <c r="J33" s="96"/>
      <c r="K33" s="96" t="s">
        <v>1034</v>
      </c>
      <c r="L33" s="96" t="s">
        <v>200</v>
      </c>
      <c r="M33" s="96" t="s">
        <v>201</v>
      </c>
      <c r="N33" s="96" t="s">
        <v>171</v>
      </c>
      <c r="O33" s="101">
        <f>VLOOKUP(Tabla156[[#This Row],[Matricula Antigua]],BAJA2022202320242025!$B$3:$CR$245,93,FALSE)</f>
        <v>44650</v>
      </c>
      <c r="P33" s="99">
        <v>45245</v>
      </c>
      <c r="Q33" s="98">
        <f>Tabla156[[#This Row],[F.Vig.Final]]-Tabla156[[#This Row],[f Vig Inicio]]</f>
        <v>595</v>
      </c>
      <c r="R33" s="99">
        <f>YEAR(Tabla156[[#This Row],[F.Vig.Final]])</f>
        <v>2023</v>
      </c>
      <c r="S33" s="96" t="s">
        <v>172</v>
      </c>
      <c r="T33" s="96" t="s">
        <v>78</v>
      </c>
      <c r="U33" s="96" t="s">
        <v>524</v>
      </c>
      <c r="V33" s="96" t="s">
        <v>1166</v>
      </c>
      <c r="W33" s="96" t="s">
        <v>1139</v>
      </c>
      <c r="X33" s="96" t="s">
        <v>1140</v>
      </c>
      <c r="Y33" s="96" t="s">
        <v>312</v>
      </c>
      <c r="Z33" s="98">
        <f>COUNTIF($X$3:X33, X33)</f>
        <v>8</v>
      </c>
      <c r="AA33" s="98"/>
      <c r="AB33" s="98"/>
      <c r="AC33" s="98"/>
      <c r="AD33" s="98"/>
      <c r="AE33" s="98"/>
      <c r="AF33" s="98"/>
      <c r="AG33" s="98"/>
      <c r="AH33" s="98"/>
      <c r="AI33" s="98" t="e">
        <v>#N/A</v>
      </c>
      <c r="AJ33" s="98" t="e">
        <v>#N/A</v>
      </c>
      <c r="AK33" s="98" t="e">
        <v>#N/A</v>
      </c>
      <c r="AL33" s="98" t="e">
        <v>#N/A</v>
      </c>
      <c r="AM33" s="98" t="e">
        <v>#N/A</v>
      </c>
      <c r="AN33" s="99" t="e">
        <v>#N/A</v>
      </c>
      <c r="AO33" s="99" t="e">
        <v>#N/A</v>
      </c>
      <c r="AP33" s="99" t="e">
        <f>Tabla156[[#This Row],[Renov. Flota]]-Tabla156[[#This Row],[Año]]</f>
        <v>#N/A</v>
      </c>
      <c r="AQ33" s="100" t="e">
        <v>#N/A</v>
      </c>
      <c r="AR33" s="100" t="e">
        <f>VLOOKUP(Tabla156[[#This Row],[Matricula nueva]],'ALTA 20242025'!$B$2:$P$242,15,FALSE)</f>
        <v>#N/A</v>
      </c>
      <c r="AS33" s="101" t="e">
        <v>#N/A</v>
      </c>
      <c r="AT33" s="101"/>
      <c r="AU33" s="101"/>
      <c r="AV33" s="101"/>
      <c r="AW33" s="101" t="e">
        <f>VLOOKUP(Tabla156[[#This Row],[Matricula nueva]],Hoja2!$A$1:$B$224,2,FALSE)</f>
        <v>#N/A</v>
      </c>
      <c r="AX33" s="101" t="str">
        <f>IF(Tabla156[[#This Row],[Columna2]]="M1",5.1,"")</f>
        <v/>
      </c>
      <c r="AY33" s="101"/>
      <c r="AZ33" s="101"/>
      <c r="BA33" s="311">
        <f>IF(Tabla156[[#This Row],[Columna2]]="M1",13073,IF(Tabla156[[#This Row],[Columna2]]="N1",15815,IF(Tabla156[[#This Row],[Columna2]]="L3e",2831,53508)))</f>
        <v>53508</v>
      </c>
      <c r="BB33" s="311" t="e">
        <f>(Tabla156[[#This Row],[CVA]]*Tabla156[[#This Row],[F]]-Tabla156[[#This Row],[CVN]])/100*Tabla156[[#This Row],[L]]</f>
        <v>#VALUE!</v>
      </c>
      <c r="BC33" s="1"/>
      <c r="BD33" s="1" t="e">
        <f>VLOOKUP(B33,Tabla467824[[ID CAE2]:[AE '[kWh']]],6,FALSE)</f>
        <v>#N/A</v>
      </c>
      <c r="BE3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c r="BK33"/>
      <c r="BL33"/>
      <c r="BM33"/>
      <c r="BN33"/>
      <c r="BO33"/>
      <c r="BP33"/>
      <c r="BQ33"/>
      <c r="BR33"/>
    </row>
    <row r="34" spans="1:70" ht="15.75" hidden="1" thickBot="1" x14ac:dyDescent="0.3">
      <c r="A34" s="53" t="s">
        <v>1167</v>
      </c>
      <c r="B34" s="53" t="e">
        <v>#N/A</v>
      </c>
      <c r="C34" s="96" t="s">
        <v>1168</v>
      </c>
      <c r="D34" s="96"/>
      <c r="E34" s="96"/>
      <c r="F34" s="96"/>
      <c r="G34" s="96"/>
      <c r="H34" s="96"/>
      <c r="I34" s="96"/>
      <c r="J34" s="96"/>
      <c r="K34" s="96" t="s">
        <v>158</v>
      </c>
      <c r="L34" s="96" t="s">
        <v>159</v>
      </c>
      <c r="M34" s="96" t="s">
        <v>158</v>
      </c>
      <c r="N34" s="96" t="s">
        <v>171</v>
      </c>
      <c r="O34" s="101">
        <f>VLOOKUP(Tabla156[[#This Row],[Matricula Antigua]],BAJA2022202320242025!$B$3:$CR$245,93,FALSE)</f>
        <v>44516</v>
      </c>
      <c r="P34" s="99">
        <v>45245</v>
      </c>
      <c r="Q34" s="98">
        <f>Tabla156[[#This Row],[F.Vig.Final]]-Tabla156[[#This Row],[f Vig Inicio]]</f>
        <v>729</v>
      </c>
      <c r="R34" s="99">
        <f>YEAR(Tabla156[[#This Row],[F.Vig.Final]])</f>
        <v>2023</v>
      </c>
      <c r="S34" s="96" t="s">
        <v>172</v>
      </c>
      <c r="T34" s="96" t="s">
        <v>78</v>
      </c>
      <c r="U34" s="96" t="s">
        <v>887</v>
      </c>
      <c r="V34" s="96" t="s">
        <v>1157</v>
      </c>
      <c r="W34" s="96" t="s">
        <v>1139</v>
      </c>
      <c r="X34" s="96" t="s">
        <v>1140</v>
      </c>
      <c r="Y34" s="96" t="s">
        <v>312</v>
      </c>
      <c r="Z34" s="98">
        <f>COUNTIF($X$3:X34, X34)</f>
        <v>9</v>
      </c>
      <c r="AA34" s="98"/>
      <c r="AB34" s="98"/>
      <c r="AC34" s="98"/>
      <c r="AD34" s="98"/>
      <c r="AE34" s="98"/>
      <c r="AF34" s="98"/>
      <c r="AG34" s="98"/>
      <c r="AH34" s="98"/>
      <c r="AI34" s="98" t="e">
        <v>#N/A</v>
      </c>
      <c r="AJ34" s="98" t="e">
        <v>#N/A</v>
      </c>
      <c r="AK34" s="98" t="e">
        <v>#N/A</v>
      </c>
      <c r="AL34" s="98" t="e">
        <v>#N/A</v>
      </c>
      <c r="AM34" s="98" t="e">
        <v>#N/A</v>
      </c>
      <c r="AN34" s="99" t="e">
        <v>#N/A</v>
      </c>
      <c r="AO34" s="99" t="e">
        <v>#N/A</v>
      </c>
      <c r="AP34" s="99" t="e">
        <f>Tabla156[[#This Row],[Renov. Flota]]-Tabla156[[#This Row],[Año]]</f>
        <v>#N/A</v>
      </c>
      <c r="AQ34" s="100" t="e">
        <v>#N/A</v>
      </c>
      <c r="AR34" s="100" t="e">
        <f>VLOOKUP(Tabla156[[#This Row],[Matricula nueva]],'ALTA 20242025'!$B$2:$P$242,15,FALSE)</f>
        <v>#N/A</v>
      </c>
      <c r="AS34" s="101" t="e">
        <v>#N/A</v>
      </c>
      <c r="AT34" s="101"/>
      <c r="AU34" s="101"/>
      <c r="AV34" s="101"/>
      <c r="AW34" s="101" t="e">
        <f>VLOOKUP(Tabla156[[#This Row],[Matricula nueva]],Hoja2!$A$1:$B$224,2,FALSE)</f>
        <v>#N/A</v>
      </c>
      <c r="AX34" s="101" t="str">
        <f>IF(Tabla156[[#This Row],[Columna2]]="M1",5.1,"")</f>
        <v/>
      </c>
      <c r="AY34" s="101"/>
      <c r="AZ34" s="101"/>
      <c r="BA34" s="311">
        <f>IF(Tabla156[[#This Row],[Columna2]]="M1",13073,IF(Tabla156[[#This Row],[Columna2]]="N1",15815,IF(Tabla156[[#This Row],[Columna2]]="L3e",2831,53508)))</f>
        <v>53508</v>
      </c>
      <c r="BB34" s="311" t="e">
        <f>(Tabla156[[#This Row],[CVA]]*Tabla156[[#This Row],[F]]-Tabla156[[#This Row],[CVN]])/100*Tabla156[[#This Row],[L]]</f>
        <v>#VALUE!</v>
      </c>
      <c r="BC34" s="1"/>
      <c r="BD34" s="1" t="e">
        <f>VLOOKUP(B34,Tabla467824[[ID CAE2]:[AE '[kWh']]],6,FALSE)</f>
        <v>#N/A</v>
      </c>
      <c r="BE3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4"/>
      <c r="BL34"/>
      <c r="BM34"/>
      <c r="BN34"/>
      <c r="BO34"/>
      <c r="BP34"/>
      <c r="BQ34"/>
      <c r="BR34"/>
    </row>
    <row r="35" spans="1:70" ht="15.75" hidden="1" thickBot="1" x14ac:dyDescent="0.3">
      <c r="A35" s="53" t="s">
        <v>1169</v>
      </c>
      <c r="B35" s="53" t="e">
        <v>#N/A</v>
      </c>
      <c r="C35" s="96" t="s">
        <v>1170</v>
      </c>
      <c r="D35" s="96"/>
      <c r="E35" s="96"/>
      <c r="F35" s="96"/>
      <c r="G35" s="96"/>
      <c r="H35" s="96"/>
      <c r="I35" s="96"/>
      <c r="J35" s="96"/>
      <c r="K35" s="96" t="s">
        <v>158</v>
      </c>
      <c r="L35" s="96" t="s">
        <v>159</v>
      </c>
      <c r="M35" s="96" t="s">
        <v>158</v>
      </c>
      <c r="N35" s="96" t="s">
        <v>171</v>
      </c>
      <c r="O35" s="101">
        <f>VLOOKUP(Tabla156[[#This Row],[Matricula Antigua]],BAJA2022202320242025!$B$3:$CR$245,93,FALSE)</f>
        <v>37811</v>
      </c>
      <c r="P35" s="99">
        <v>45245</v>
      </c>
      <c r="Q35" s="98">
        <f>Tabla156[[#This Row],[F.Vig.Final]]-Tabla156[[#This Row],[f Vig Inicio]]</f>
        <v>7434</v>
      </c>
      <c r="R35" s="99">
        <f>YEAR(Tabla156[[#This Row],[F.Vig.Final]])</f>
        <v>2023</v>
      </c>
      <c r="S35" s="96" t="s">
        <v>172</v>
      </c>
      <c r="T35" s="96" t="s">
        <v>78</v>
      </c>
      <c r="U35" s="96" t="s">
        <v>524</v>
      </c>
      <c r="V35" s="96" t="s">
        <v>1171</v>
      </c>
      <c r="W35" s="96" t="s">
        <v>1139</v>
      </c>
      <c r="X35" s="96" t="s">
        <v>1140</v>
      </c>
      <c r="Y35" s="96" t="s">
        <v>312</v>
      </c>
      <c r="Z35" s="98">
        <f>COUNTIF($X$3:X35, X35)</f>
        <v>10</v>
      </c>
      <c r="AA35" s="98"/>
      <c r="AB35" s="98"/>
      <c r="AC35" s="98"/>
      <c r="AD35" s="98"/>
      <c r="AE35" s="320"/>
      <c r="AF35" s="98"/>
      <c r="AG35" s="98"/>
      <c r="AH35" s="98"/>
      <c r="AI35" s="98" t="e">
        <v>#N/A</v>
      </c>
      <c r="AJ35" s="98" t="e">
        <v>#N/A</v>
      </c>
      <c r="AK35" s="98" t="e">
        <v>#N/A</v>
      </c>
      <c r="AL35" s="98" t="e">
        <v>#N/A</v>
      </c>
      <c r="AM35" s="98" t="e">
        <v>#N/A</v>
      </c>
      <c r="AN35" s="99" t="e">
        <v>#N/A</v>
      </c>
      <c r="AO35" s="99" t="e">
        <v>#N/A</v>
      </c>
      <c r="AP35" s="99" t="e">
        <f>Tabla156[[#This Row],[Renov. Flota]]-Tabla156[[#This Row],[Año]]</f>
        <v>#N/A</v>
      </c>
      <c r="AQ35" s="100" t="e">
        <v>#N/A</v>
      </c>
      <c r="AR35" s="100" t="e">
        <f>VLOOKUP(Tabla156[[#This Row],[Matricula nueva]],'ALTA 20242025'!$B$2:$P$242,15,FALSE)</f>
        <v>#N/A</v>
      </c>
      <c r="AS35" s="101" t="e">
        <v>#N/A</v>
      </c>
      <c r="AT35" s="101"/>
      <c r="AU35" s="101"/>
      <c r="AV35" s="101"/>
      <c r="AW35" s="101" t="e">
        <f>VLOOKUP(Tabla156[[#This Row],[Matricula nueva]],Hoja2!$A$1:$B$224,2,FALSE)</f>
        <v>#N/A</v>
      </c>
      <c r="AX35" s="101" t="str">
        <f>IF(Tabla156[[#This Row],[Columna2]]="M1",5.1,"")</f>
        <v/>
      </c>
      <c r="AY35" s="101"/>
      <c r="AZ35" s="101"/>
      <c r="BA35" s="311">
        <f>IF(Tabla156[[#This Row],[Columna2]]="M1",13073,IF(Tabla156[[#This Row],[Columna2]]="N1",15815,IF(Tabla156[[#This Row],[Columna2]]="L3e",2831,53508)))</f>
        <v>53508</v>
      </c>
      <c r="BB35" s="311" t="e">
        <f>(Tabla156[[#This Row],[CVA]]*Tabla156[[#This Row],[F]]-Tabla156[[#This Row],[CVN]])/100*Tabla156[[#This Row],[L]]</f>
        <v>#VALUE!</v>
      </c>
      <c r="BC35" s="1"/>
      <c r="BD35" s="1" t="e">
        <f>VLOOKUP(B35,Tabla467824[[ID CAE2]:[AE '[kWh']]],6,FALSE)</f>
        <v>#N/A</v>
      </c>
      <c r="BE3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5"/>
      <c r="BL35"/>
      <c r="BM35"/>
      <c r="BN35"/>
      <c r="BO35"/>
      <c r="BP35"/>
      <c r="BQ35"/>
      <c r="BR35"/>
    </row>
    <row r="36" spans="1:70" ht="52.5" thickBot="1" x14ac:dyDescent="0.3">
      <c r="A36" s="53" t="s">
        <v>247</v>
      </c>
      <c r="B36" s="53" t="s">
        <v>247</v>
      </c>
      <c r="C36" s="332" t="s">
        <v>248</v>
      </c>
      <c r="D36" s="104" t="s">
        <v>72</v>
      </c>
      <c r="E36" s="104"/>
      <c r="F36" s="104"/>
      <c r="G36" s="104"/>
      <c r="H36" s="104" t="s">
        <v>249</v>
      </c>
      <c r="I36" s="104" t="s">
        <v>249</v>
      </c>
      <c r="J36" s="104"/>
      <c r="K36" s="96" t="s">
        <v>73</v>
      </c>
      <c r="L36" s="96" t="s">
        <v>200</v>
      </c>
      <c r="M36" s="96" t="s">
        <v>201</v>
      </c>
      <c r="N36" s="96" t="s">
        <v>160</v>
      </c>
      <c r="O36" s="101">
        <f>VLOOKUP(Tabla156[[#This Row],[Matricula Antigua]],BAJA2022202320242025!$B$3:$CR$245,93,FALSE)</f>
        <v>44133</v>
      </c>
      <c r="P36" s="316">
        <v>45594</v>
      </c>
      <c r="Q36" s="317">
        <f>Tabla156[[#This Row],[F.Vig.Final]]-Tabla156[[#This Row],[f Vig Inicio]]</f>
        <v>1461</v>
      </c>
      <c r="R36" s="318">
        <f>YEAR(Tabla156[[#This Row],[F.Vig.Final]])</f>
        <v>2024</v>
      </c>
      <c r="S36" s="96" t="s">
        <v>161</v>
      </c>
      <c r="T36" s="96" t="s">
        <v>78</v>
      </c>
      <c r="U36" s="96" t="s">
        <v>213</v>
      </c>
      <c r="V36" s="96" t="s">
        <v>237</v>
      </c>
      <c r="W36" s="96" t="s">
        <v>119</v>
      </c>
      <c r="X36" s="332" t="s">
        <v>1674</v>
      </c>
      <c r="Y36" s="96" t="s">
        <v>250</v>
      </c>
      <c r="Z36" s="98">
        <f>COUNTIF($X$3:X36, X36)</f>
        <v>5</v>
      </c>
      <c r="AA36" s="337" t="s">
        <v>1661</v>
      </c>
      <c r="AB36" s="337" t="s">
        <v>1661</v>
      </c>
      <c r="AC36" s="337" t="s">
        <v>1662</v>
      </c>
      <c r="AD36" s="337" t="s">
        <v>1663</v>
      </c>
      <c r="AE36" s="342" t="s">
        <v>1664</v>
      </c>
      <c r="AF36" s="337" t="s">
        <v>1665</v>
      </c>
      <c r="AG36" s="337" t="s">
        <v>1666</v>
      </c>
      <c r="AH36" s="337" t="s">
        <v>1649</v>
      </c>
      <c r="AI36" s="337" t="s">
        <v>251</v>
      </c>
      <c r="AJ36" s="98" t="s">
        <v>140</v>
      </c>
      <c r="AK36" s="98" t="s">
        <v>151</v>
      </c>
      <c r="AL36" s="98" t="s">
        <v>87</v>
      </c>
      <c r="AM36" s="101" t="s">
        <v>252</v>
      </c>
      <c r="AN36" s="348" t="s">
        <v>89</v>
      </c>
      <c r="AO36" s="349">
        <v>45625</v>
      </c>
      <c r="AP36" s="98">
        <f>Tabla156[[#This Row],[Renov. Flota]]-Tabla156[[#This Row],[Año]]</f>
        <v>0</v>
      </c>
      <c r="AQ36" s="100" t="s">
        <v>119</v>
      </c>
      <c r="AR36" s="100" t="str">
        <f>VLOOKUP(Tabla156[[#This Row],[Matricula nueva]],'ALTA 20242025'!$B$2:$P$242,15,FALSE)</f>
        <v>4500424793</v>
      </c>
      <c r="AS36" s="101" t="s">
        <v>120</v>
      </c>
      <c r="AT36" s="101"/>
      <c r="AU36" s="101" t="s">
        <v>72</v>
      </c>
      <c r="AV36" s="101" t="s">
        <v>91</v>
      </c>
      <c r="AW36" s="101" t="str">
        <f>VLOOKUP(Tabla156[[#This Row],[Matricula nueva]],Hoja2!$A$1:$B$224,2,FALSE)</f>
        <v>VR7CBZYA7RT152178</v>
      </c>
      <c r="AX36" s="209">
        <f>IF(Tabla156[[#This Row],[Columna2]]="M1",5.1,"")</f>
        <v>5.0999999999999996</v>
      </c>
      <c r="AY36" s="208">
        <f>IF(T36="DIESEL",10,IF(T36="GLP",7.16,9.19))</f>
        <v>10</v>
      </c>
      <c r="AZ36" s="313">
        <v>16.399999999999999</v>
      </c>
      <c r="BA36" s="314">
        <f>IF(Tabla156[[#This Row],[Columna2]]="M1",13073,IF(Tabla156[[#This Row],[Columna2]]="N1",15815,IF(Tabla156[[#This Row],[Columna2]]="L3e",2831,53508)))</f>
        <v>13073</v>
      </c>
      <c r="BB36" s="350">
        <f>(Tabla156[[#This Row],[CVA]]*Tabla156[[#This Row],[F]]-Tabla156[[#This Row],[CVN]])/100*Tabla156[[#This Row],[L]]</f>
        <v>4523.2580000000007</v>
      </c>
      <c r="BC36" s="92" t="s">
        <v>70</v>
      </c>
      <c r="BD36" s="209">
        <f>VLOOKUP(B36,Tabla467824[[ID CAE2]:[AE '[kWh']]],6,FALSE)</f>
        <v>6795.3454000000002</v>
      </c>
      <c r="BE3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c r="BK36"/>
      <c r="BL36"/>
      <c r="BM36"/>
      <c r="BN36"/>
      <c r="BO36"/>
      <c r="BP36"/>
      <c r="BQ36"/>
      <c r="BR36"/>
    </row>
    <row r="37" spans="1:70" ht="15.75" hidden="1" thickBot="1" x14ac:dyDescent="0.3">
      <c r="A37" s="53" t="s">
        <v>1172</v>
      </c>
      <c r="B37" s="53" t="e">
        <v>#N/A</v>
      </c>
      <c r="C37" s="96" t="s">
        <v>1173</v>
      </c>
      <c r="D37" s="96"/>
      <c r="E37" s="96"/>
      <c r="F37" s="96"/>
      <c r="G37" s="96"/>
      <c r="H37" s="96"/>
      <c r="I37" s="96"/>
      <c r="J37" s="96"/>
      <c r="K37" s="96" t="s">
        <v>158</v>
      </c>
      <c r="L37" s="96" t="s">
        <v>159</v>
      </c>
      <c r="M37" s="96" t="s">
        <v>158</v>
      </c>
      <c r="N37" s="96" t="s">
        <v>171</v>
      </c>
      <c r="O37" s="101">
        <f>VLOOKUP(Tabla156[[#This Row],[Matricula Antigua]],BAJA2022202320242025!$B$3:$CR$245,93,FALSE)</f>
        <v>43994</v>
      </c>
      <c r="P37" s="99">
        <v>45245</v>
      </c>
      <c r="Q37" s="98">
        <f>Tabla156[[#This Row],[F.Vig.Final]]-Tabla156[[#This Row],[f Vig Inicio]]</f>
        <v>1251</v>
      </c>
      <c r="R37" s="99">
        <f>YEAR(Tabla156[[#This Row],[F.Vig.Final]])</f>
        <v>2023</v>
      </c>
      <c r="S37" s="96" t="s">
        <v>172</v>
      </c>
      <c r="T37" s="96" t="s">
        <v>78</v>
      </c>
      <c r="U37" s="96" t="s">
        <v>85</v>
      </c>
      <c r="V37" s="96" t="s">
        <v>1174</v>
      </c>
      <c r="W37" s="96" t="s">
        <v>1139</v>
      </c>
      <c r="X37" s="96" t="s">
        <v>1140</v>
      </c>
      <c r="Y37" s="96" t="s">
        <v>312</v>
      </c>
      <c r="Z37" s="98">
        <f>COUNTIF($X$3:X37, X37)</f>
        <v>11</v>
      </c>
      <c r="AA37" s="98"/>
      <c r="AB37" s="98"/>
      <c r="AC37" s="98"/>
      <c r="AD37" s="98"/>
      <c r="AE37" s="322"/>
      <c r="AF37" s="98"/>
      <c r="AG37" s="98"/>
      <c r="AH37" s="98"/>
      <c r="AI37" s="98" t="e">
        <v>#N/A</v>
      </c>
      <c r="AJ37" s="98" t="e">
        <v>#N/A</v>
      </c>
      <c r="AK37" s="98" t="e">
        <v>#N/A</v>
      </c>
      <c r="AL37" s="98" t="e">
        <v>#N/A</v>
      </c>
      <c r="AM37" s="98" t="e">
        <v>#N/A</v>
      </c>
      <c r="AN37" s="99" t="e">
        <v>#N/A</v>
      </c>
      <c r="AO37" s="99" t="e">
        <v>#N/A</v>
      </c>
      <c r="AP37" s="99" t="e">
        <f>Tabla156[[#This Row],[Renov. Flota]]-Tabla156[[#This Row],[Año]]</f>
        <v>#N/A</v>
      </c>
      <c r="AQ37" s="100" t="e">
        <v>#N/A</v>
      </c>
      <c r="AR37" s="100" t="e">
        <f>VLOOKUP(Tabla156[[#This Row],[Matricula nueva]],'ALTA 20242025'!$B$2:$P$242,15,FALSE)</f>
        <v>#N/A</v>
      </c>
      <c r="AS37" s="101" t="e">
        <v>#N/A</v>
      </c>
      <c r="AT37" s="101"/>
      <c r="AU37" s="101"/>
      <c r="AV37" s="101"/>
      <c r="AW37" s="101" t="e">
        <f>VLOOKUP(Tabla156[[#This Row],[Matricula nueva]],Hoja2!$A$1:$B$224,2,FALSE)</f>
        <v>#N/A</v>
      </c>
      <c r="AX37" s="101" t="str">
        <f>IF(Tabla156[[#This Row],[Columna2]]="M1",5.1,"")</f>
        <v/>
      </c>
      <c r="AY37" s="101"/>
      <c r="AZ37" s="101"/>
      <c r="BA37" s="311">
        <f>IF(Tabla156[[#This Row],[Columna2]]="M1",13073,IF(Tabla156[[#This Row],[Columna2]]="N1",15815,IF(Tabla156[[#This Row],[Columna2]]="L3e",2831,53508)))</f>
        <v>53508</v>
      </c>
      <c r="BB37" s="311" t="e">
        <f>(Tabla156[[#This Row],[CVA]]*Tabla156[[#This Row],[F]]-Tabla156[[#This Row],[CVN]])/100*Tabla156[[#This Row],[L]]</f>
        <v>#VALUE!</v>
      </c>
      <c r="BC37" s="1"/>
      <c r="BD37" s="1" t="e">
        <f>VLOOKUP(B37,Tabla467824[[ID CAE2]:[AE '[kWh']]],6,FALSE)</f>
        <v>#N/A</v>
      </c>
      <c r="BE3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7"/>
      <c r="BL37"/>
      <c r="BM37"/>
      <c r="BN37"/>
      <c r="BO37"/>
      <c r="BP37"/>
      <c r="BQ37"/>
      <c r="BR37"/>
    </row>
    <row r="38" spans="1:70" ht="15.75" hidden="1" thickBot="1" x14ac:dyDescent="0.3">
      <c r="A38" s="53" t="s">
        <v>1175</v>
      </c>
      <c r="B38" s="53" t="e">
        <v>#N/A</v>
      </c>
      <c r="C38" s="96" t="s">
        <v>1176</v>
      </c>
      <c r="D38" s="96"/>
      <c r="E38" s="96"/>
      <c r="F38" s="96"/>
      <c r="G38" s="96"/>
      <c r="H38" s="96"/>
      <c r="I38" s="96"/>
      <c r="J38" s="96"/>
      <c r="K38" s="96" t="s">
        <v>158</v>
      </c>
      <c r="L38" s="96" t="s">
        <v>159</v>
      </c>
      <c r="M38" s="96" t="s">
        <v>158</v>
      </c>
      <c r="N38" s="96" t="s">
        <v>171</v>
      </c>
      <c r="O38" s="101">
        <f>VLOOKUP(Tabla156[[#This Row],[Matricula Antigua]],BAJA2022202320242025!$B$3:$CR$245,93,FALSE)</f>
        <v>42830</v>
      </c>
      <c r="P38" s="99">
        <v>45245</v>
      </c>
      <c r="Q38" s="98">
        <f>Tabla156[[#This Row],[F.Vig.Final]]-Tabla156[[#This Row],[f Vig Inicio]]</f>
        <v>2415</v>
      </c>
      <c r="R38" s="99">
        <f>YEAR(Tabla156[[#This Row],[F.Vig.Final]])</f>
        <v>2023</v>
      </c>
      <c r="S38" s="96" t="s">
        <v>172</v>
      </c>
      <c r="T38" s="96" t="s">
        <v>78</v>
      </c>
      <c r="U38" s="96" t="s">
        <v>1177</v>
      </c>
      <c r="V38" s="96" t="s">
        <v>1178</v>
      </c>
      <c r="W38" s="96" t="s">
        <v>1139</v>
      </c>
      <c r="X38" s="96" t="s">
        <v>1140</v>
      </c>
      <c r="Y38" s="96" t="s">
        <v>312</v>
      </c>
      <c r="Z38" s="98">
        <f>COUNTIF($X$3:X38, X38)</f>
        <v>12</v>
      </c>
      <c r="AA38" s="98"/>
      <c r="AB38" s="98"/>
      <c r="AC38" s="98"/>
      <c r="AD38" s="98"/>
      <c r="AE38" s="98"/>
      <c r="AF38" s="98"/>
      <c r="AG38" s="98"/>
      <c r="AH38" s="98"/>
      <c r="AI38" s="98" t="e">
        <v>#N/A</v>
      </c>
      <c r="AJ38" s="98" t="e">
        <v>#N/A</v>
      </c>
      <c r="AK38" s="98" t="e">
        <v>#N/A</v>
      </c>
      <c r="AL38" s="98" t="e">
        <v>#N/A</v>
      </c>
      <c r="AM38" s="98" t="e">
        <v>#N/A</v>
      </c>
      <c r="AN38" s="99" t="e">
        <v>#N/A</v>
      </c>
      <c r="AO38" s="99" t="e">
        <v>#N/A</v>
      </c>
      <c r="AP38" s="99" t="e">
        <f>Tabla156[[#This Row],[Renov. Flota]]-Tabla156[[#This Row],[Año]]</f>
        <v>#N/A</v>
      </c>
      <c r="AQ38" s="100" t="e">
        <v>#N/A</v>
      </c>
      <c r="AR38" s="100" t="e">
        <f>VLOOKUP(Tabla156[[#This Row],[Matricula nueva]],'ALTA 20242025'!$B$2:$P$242,15,FALSE)</f>
        <v>#N/A</v>
      </c>
      <c r="AS38" s="101" t="e">
        <v>#N/A</v>
      </c>
      <c r="AT38" s="101"/>
      <c r="AU38" s="101"/>
      <c r="AV38" s="101"/>
      <c r="AW38" s="101" t="e">
        <f>VLOOKUP(Tabla156[[#This Row],[Matricula nueva]],Hoja2!$A$1:$B$224,2,FALSE)</f>
        <v>#N/A</v>
      </c>
      <c r="AX38" s="101" t="str">
        <f>IF(Tabla156[[#This Row],[Columna2]]="M1",5.1,"")</f>
        <v/>
      </c>
      <c r="AY38" s="101"/>
      <c r="AZ38" s="101"/>
      <c r="BA38" s="311">
        <f>IF(Tabla156[[#This Row],[Columna2]]="M1",13073,IF(Tabla156[[#This Row],[Columna2]]="N1",15815,IF(Tabla156[[#This Row],[Columna2]]="L3e",2831,53508)))</f>
        <v>53508</v>
      </c>
      <c r="BB38" s="311" t="e">
        <f>(Tabla156[[#This Row],[CVA]]*Tabla156[[#This Row],[F]]-Tabla156[[#This Row],[CVN]])/100*Tabla156[[#This Row],[L]]</f>
        <v>#VALUE!</v>
      </c>
      <c r="BC38" s="1"/>
      <c r="BD38" s="1" t="e">
        <f>VLOOKUP(B38,Tabla467824[[ID CAE2]:[AE '[kWh']]],6,FALSE)</f>
        <v>#N/A</v>
      </c>
      <c r="BE3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8"/>
      <c r="BL38"/>
      <c r="BM38"/>
      <c r="BN38"/>
      <c r="BO38"/>
      <c r="BP38"/>
      <c r="BQ38"/>
      <c r="BR38"/>
    </row>
    <row r="39" spans="1:70" ht="15.75" hidden="1" thickBot="1" x14ac:dyDescent="0.3">
      <c r="A39" s="53" t="s">
        <v>1179</v>
      </c>
      <c r="B39" s="53" t="e">
        <v>#N/A</v>
      </c>
      <c r="C39" s="96" t="s">
        <v>1180</v>
      </c>
      <c r="D39" s="96"/>
      <c r="E39" s="96"/>
      <c r="F39" s="96"/>
      <c r="G39" s="96"/>
      <c r="H39" s="96"/>
      <c r="I39" s="96"/>
      <c r="J39" s="96"/>
      <c r="K39" s="96" t="s">
        <v>158</v>
      </c>
      <c r="L39" s="96" t="s">
        <v>159</v>
      </c>
      <c r="M39" s="96" t="s">
        <v>158</v>
      </c>
      <c r="N39" s="96" t="s">
        <v>171</v>
      </c>
      <c r="O39" s="101">
        <f>VLOOKUP(Tabla156[[#This Row],[Matricula Antigua]],BAJA2022202320242025!$B$3:$CR$245,93,FALSE)</f>
        <v>43304</v>
      </c>
      <c r="P39" s="99">
        <v>45245</v>
      </c>
      <c r="Q39" s="98">
        <f>Tabla156[[#This Row],[F.Vig.Final]]-Tabla156[[#This Row],[f Vig Inicio]]</f>
        <v>1941</v>
      </c>
      <c r="R39" s="99">
        <f>YEAR(Tabla156[[#This Row],[F.Vig.Final]])</f>
        <v>2023</v>
      </c>
      <c r="S39" s="96" t="s">
        <v>172</v>
      </c>
      <c r="T39" s="96" t="s">
        <v>78</v>
      </c>
      <c r="U39" s="96" t="s">
        <v>1181</v>
      </c>
      <c r="V39" s="96" t="s">
        <v>1182</v>
      </c>
      <c r="W39" s="96" t="s">
        <v>1139</v>
      </c>
      <c r="X39" s="96" t="s">
        <v>1140</v>
      </c>
      <c r="Y39" s="96" t="s">
        <v>312</v>
      </c>
      <c r="Z39" s="98">
        <f>COUNTIF($X$3:X39, X39)</f>
        <v>13</v>
      </c>
      <c r="AA39" s="98"/>
      <c r="AB39" s="98"/>
      <c r="AC39" s="98"/>
      <c r="AD39" s="98"/>
      <c r="AE39" s="98"/>
      <c r="AF39" s="98"/>
      <c r="AG39" s="98"/>
      <c r="AH39" s="98"/>
      <c r="AI39" s="98" t="e">
        <v>#N/A</v>
      </c>
      <c r="AJ39" s="98" t="e">
        <v>#N/A</v>
      </c>
      <c r="AK39" s="98" t="e">
        <v>#N/A</v>
      </c>
      <c r="AL39" s="98" t="e">
        <v>#N/A</v>
      </c>
      <c r="AM39" s="98" t="e">
        <v>#N/A</v>
      </c>
      <c r="AN39" s="99" t="e">
        <v>#N/A</v>
      </c>
      <c r="AO39" s="99" t="e">
        <v>#N/A</v>
      </c>
      <c r="AP39" s="99" t="e">
        <f>Tabla156[[#This Row],[Renov. Flota]]-Tabla156[[#This Row],[Año]]</f>
        <v>#N/A</v>
      </c>
      <c r="AQ39" s="100" t="e">
        <v>#N/A</v>
      </c>
      <c r="AR39" s="100" t="e">
        <f>VLOOKUP(Tabla156[[#This Row],[Matricula nueva]],'ALTA 20242025'!$B$2:$P$242,15,FALSE)</f>
        <v>#N/A</v>
      </c>
      <c r="AS39" s="101" t="e">
        <v>#N/A</v>
      </c>
      <c r="AT39" s="101"/>
      <c r="AU39" s="101"/>
      <c r="AV39" s="101"/>
      <c r="AW39" s="101" t="e">
        <f>VLOOKUP(Tabla156[[#This Row],[Matricula nueva]],Hoja2!$A$1:$B$224,2,FALSE)</f>
        <v>#N/A</v>
      </c>
      <c r="AX39" s="101" t="str">
        <f>IF(Tabla156[[#This Row],[Columna2]]="M1",5.1,"")</f>
        <v/>
      </c>
      <c r="AY39" s="101"/>
      <c r="AZ39" s="101"/>
      <c r="BA39" s="311">
        <f>IF(Tabla156[[#This Row],[Columna2]]="M1",13073,IF(Tabla156[[#This Row],[Columna2]]="N1",15815,IF(Tabla156[[#This Row],[Columna2]]="L3e",2831,53508)))</f>
        <v>53508</v>
      </c>
      <c r="BB39" s="311" t="e">
        <f>(Tabla156[[#This Row],[CVA]]*Tabla156[[#This Row],[F]]-Tabla156[[#This Row],[CVN]])/100*Tabla156[[#This Row],[L]]</f>
        <v>#VALUE!</v>
      </c>
      <c r="BC39" s="1"/>
      <c r="BD39" s="1" t="e">
        <f>VLOOKUP(B39,Tabla467824[[ID CAE2]:[AE '[kWh']]],6,FALSE)</f>
        <v>#N/A</v>
      </c>
      <c r="BE3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39"/>
      <c r="BL39"/>
      <c r="BM39"/>
      <c r="BN39"/>
      <c r="BO39"/>
      <c r="BP39"/>
      <c r="BQ39"/>
      <c r="BR39"/>
    </row>
    <row r="40" spans="1:70" ht="15.75" hidden="1" thickBot="1" x14ac:dyDescent="0.3">
      <c r="A40" s="53" t="s">
        <v>1183</v>
      </c>
      <c r="B40" s="53" t="e">
        <v>#N/A</v>
      </c>
      <c r="C40" s="96" t="s">
        <v>1184</v>
      </c>
      <c r="D40" s="96"/>
      <c r="E40" s="96"/>
      <c r="F40" s="96"/>
      <c r="G40" s="96"/>
      <c r="H40" s="96"/>
      <c r="I40" s="96"/>
      <c r="J40" s="96"/>
      <c r="K40" s="96" t="s">
        <v>158</v>
      </c>
      <c r="L40" s="96" t="s">
        <v>159</v>
      </c>
      <c r="M40" s="96" t="s">
        <v>158</v>
      </c>
      <c r="N40" s="96" t="s">
        <v>171</v>
      </c>
      <c r="O40" s="101">
        <f>VLOOKUP(Tabla156[[#This Row],[Matricula Antigua]],BAJA2022202320242025!$B$3:$CR$245,93,FALSE)</f>
        <v>38134</v>
      </c>
      <c r="P40" s="99">
        <v>45245</v>
      </c>
      <c r="Q40" s="98">
        <f>Tabla156[[#This Row],[F.Vig.Final]]-Tabla156[[#This Row],[f Vig Inicio]]</f>
        <v>7111</v>
      </c>
      <c r="R40" s="99">
        <f>YEAR(Tabla156[[#This Row],[F.Vig.Final]])</f>
        <v>2023</v>
      </c>
      <c r="S40" s="96" t="s">
        <v>172</v>
      </c>
      <c r="T40" s="96" t="s">
        <v>78</v>
      </c>
      <c r="U40" s="96" t="s">
        <v>1185</v>
      </c>
      <c r="V40" s="96" t="s">
        <v>1186</v>
      </c>
      <c r="W40" s="96" t="s">
        <v>1139</v>
      </c>
      <c r="X40" s="96" t="s">
        <v>1140</v>
      </c>
      <c r="Y40" s="96" t="s">
        <v>312</v>
      </c>
      <c r="Z40" s="98">
        <f>COUNTIF($X$3:X40, X40)</f>
        <v>14</v>
      </c>
      <c r="AA40" s="98"/>
      <c r="AB40" s="98"/>
      <c r="AC40" s="98"/>
      <c r="AD40" s="98"/>
      <c r="AE40" s="98"/>
      <c r="AF40" s="98"/>
      <c r="AG40" s="98"/>
      <c r="AH40" s="98"/>
      <c r="AI40" s="98" t="e">
        <v>#N/A</v>
      </c>
      <c r="AJ40" s="98" t="e">
        <v>#N/A</v>
      </c>
      <c r="AK40" s="98" t="e">
        <v>#N/A</v>
      </c>
      <c r="AL40" s="98" t="e">
        <v>#N/A</v>
      </c>
      <c r="AM40" s="98" t="e">
        <v>#N/A</v>
      </c>
      <c r="AN40" s="99" t="e">
        <v>#N/A</v>
      </c>
      <c r="AO40" s="99" t="e">
        <v>#N/A</v>
      </c>
      <c r="AP40" s="99" t="e">
        <f>Tabla156[[#This Row],[Renov. Flota]]-Tabla156[[#This Row],[Año]]</f>
        <v>#N/A</v>
      </c>
      <c r="AQ40" s="100" t="e">
        <v>#N/A</v>
      </c>
      <c r="AR40" s="100" t="e">
        <f>VLOOKUP(Tabla156[[#This Row],[Matricula nueva]],'ALTA 20242025'!$B$2:$P$242,15,FALSE)</f>
        <v>#N/A</v>
      </c>
      <c r="AS40" s="101" t="e">
        <v>#N/A</v>
      </c>
      <c r="AT40" s="101"/>
      <c r="AU40" s="101"/>
      <c r="AV40" s="101"/>
      <c r="AW40" s="101" t="e">
        <f>VLOOKUP(Tabla156[[#This Row],[Matricula nueva]],Hoja2!$A$1:$B$224,2,FALSE)</f>
        <v>#N/A</v>
      </c>
      <c r="AX40" s="101" t="str">
        <f>IF(Tabla156[[#This Row],[Columna2]]="M1",5.1,"")</f>
        <v/>
      </c>
      <c r="AY40" s="101"/>
      <c r="AZ40" s="101"/>
      <c r="BA40" s="311">
        <f>IF(Tabla156[[#This Row],[Columna2]]="M1",13073,IF(Tabla156[[#This Row],[Columna2]]="N1",15815,IF(Tabla156[[#This Row],[Columna2]]="L3e",2831,53508)))</f>
        <v>53508</v>
      </c>
      <c r="BB40" s="311" t="e">
        <f>(Tabla156[[#This Row],[CVA]]*Tabla156[[#This Row],[F]]-Tabla156[[#This Row],[CVN]])/100*Tabla156[[#This Row],[L]]</f>
        <v>#VALUE!</v>
      </c>
      <c r="BC40" s="1"/>
      <c r="BD40" s="1" t="e">
        <f>VLOOKUP(B40,Tabla467824[[ID CAE2]:[AE '[kWh']]],6,FALSE)</f>
        <v>#N/A</v>
      </c>
      <c r="BE4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0"/>
      <c r="BL40"/>
      <c r="BM40"/>
      <c r="BN40"/>
      <c r="BO40"/>
      <c r="BP40"/>
      <c r="BQ40"/>
      <c r="BR40"/>
    </row>
    <row r="41" spans="1:70" ht="15.75" hidden="1" thickBot="1" x14ac:dyDescent="0.3">
      <c r="A41" s="53" t="s">
        <v>1187</v>
      </c>
      <c r="B41" s="53" t="e">
        <v>#N/A</v>
      </c>
      <c r="C41" s="96" t="s">
        <v>1188</v>
      </c>
      <c r="D41" s="96"/>
      <c r="E41" s="96"/>
      <c r="F41" s="96"/>
      <c r="G41" s="96"/>
      <c r="H41" s="96"/>
      <c r="I41" s="96"/>
      <c r="J41" s="96"/>
      <c r="K41" s="96" t="s">
        <v>158</v>
      </c>
      <c r="L41" s="96" t="s">
        <v>159</v>
      </c>
      <c r="M41" s="96" t="s">
        <v>158</v>
      </c>
      <c r="N41" s="96" t="s">
        <v>171</v>
      </c>
      <c r="O41" s="101">
        <f>VLOOKUP(Tabla156[[#This Row],[Matricula Antigua]],BAJA2022202320242025!$B$3:$CR$245,93,FALSE)</f>
        <v>44064</v>
      </c>
      <c r="P41" s="99">
        <v>45245</v>
      </c>
      <c r="Q41" s="98">
        <f>Tabla156[[#This Row],[F.Vig.Final]]-Tabla156[[#This Row],[f Vig Inicio]]</f>
        <v>1181</v>
      </c>
      <c r="R41" s="99">
        <f>YEAR(Tabla156[[#This Row],[F.Vig.Final]])</f>
        <v>2023</v>
      </c>
      <c r="S41" s="96" t="s">
        <v>172</v>
      </c>
      <c r="T41" s="96" t="s">
        <v>78</v>
      </c>
      <c r="U41" s="96" t="s">
        <v>1189</v>
      </c>
      <c r="V41" s="96" t="s">
        <v>1190</v>
      </c>
      <c r="W41" s="96" t="s">
        <v>1139</v>
      </c>
      <c r="X41" s="96" t="s">
        <v>1140</v>
      </c>
      <c r="Y41" s="96" t="s">
        <v>312</v>
      </c>
      <c r="Z41" s="98">
        <f>COUNTIF($X$3:X41, X41)</f>
        <v>15</v>
      </c>
      <c r="AA41" s="98"/>
      <c r="AB41" s="98"/>
      <c r="AC41" s="98"/>
      <c r="AD41" s="98"/>
      <c r="AE41" s="98"/>
      <c r="AF41" s="98"/>
      <c r="AG41" s="98"/>
      <c r="AH41" s="98"/>
      <c r="AI41" s="98" t="e">
        <v>#N/A</v>
      </c>
      <c r="AJ41" s="98" t="e">
        <v>#N/A</v>
      </c>
      <c r="AK41" s="98" t="e">
        <v>#N/A</v>
      </c>
      <c r="AL41" s="98" t="e">
        <v>#N/A</v>
      </c>
      <c r="AM41" s="98" t="e">
        <v>#N/A</v>
      </c>
      <c r="AN41" s="99" t="e">
        <v>#N/A</v>
      </c>
      <c r="AO41" s="99" t="e">
        <v>#N/A</v>
      </c>
      <c r="AP41" s="99" t="e">
        <f>Tabla156[[#This Row],[Renov. Flota]]-Tabla156[[#This Row],[Año]]</f>
        <v>#N/A</v>
      </c>
      <c r="AQ41" s="100" t="e">
        <v>#N/A</v>
      </c>
      <c r="AR41" s="100" t="e">
        <f>VLOOKUP(Tabla156[[#This Row],[Matricula nueva]],'ALTA 20242025'!$B$2:$P$242,15,FALSE)</f>
        <v>#N/A</v>
      </c>
      <c r="AS41" s="101" t="e">
        <v>#N/A</v>
      </c>
      <c r="AT41" s="101"/>
      <c r="AU41" s="101"/>
      <c r="AV41" s="101"/>
      <c r="AW41" s="101" t="e">
        <f>VLOOKUP(Tabla156[[#This Row],[Matricula nueva]],Hoja2!$A$1:$B$224,2,FALSE)</f>
        <v>#N/A</v>
      </c>
      <c r="AX41" s="101" t="str">
        <f>IF(Tabla156[[#This Row],[Columna2]]="M1",5.1,"")</f>
        <v/>
      </c>
      <c r="AY41" s="101"/>
      <c r="AZ41" s="101"/>
      <c r="BA41" s="311">
        <f>IF(Tabla156[[#This Row],[Columna2]]="M1",13073,IF(Tabla156[[#This Row],[Columna2]]="N1",15815,IF(Tabla156[[#This Row],[Columna2]]="L3e",2831,53508)))</f>
        <v>53508</v>
      </c>
      <c r="BB41" s="311" t="e">
        <f>(Tabla156[[#This Row],[CVA]]*Tabla156[[#This Row],[F]]-Tabla156[[#This Row],[CVN]])/100*Tabla156[[#This Row],[L]]</f>
        <v>#VALUE!</v>
      </c>
      <c r="BC41" s="1"/>
      <c r="BD41" s="1" t="e">
        <f>VLOOKUP(B41,Tabla467824[[ID CAE2]:[AE '[kWh']]],6,FALSE)</f>
        <v>#N/A</v>
      </c>
      <c r="BE4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1"/>
      <c r="BL41"/>
      <c r="BM41"/>
      <c r="BN41"/>
      <c r="BO41"/>
      <c r="BP41"/>
      <c r="BQ41"/>
      <c r="BR41"/>
    </row>
    <row r="42" spans="1:70" ht="15.75" hidden="1" thickBot="1" x14ac:dyDescent="0.3">
      <c r="A42" s="53" t="s">
        <v>1191</v>
      </c>
      <c r="B42" s="53" t="e">
        <v>#N/A</v>
      </c>
      <c r="C42" s="96" t="s">
        <v>1192</v>
      </c>
      <c r="D42" s="96"/>
      <c r="E42" s="96"/>
      <c r="F42" s="96"/>
      <c r="G42" s="96"/>
      <c r="H42" s="96"/>
      <c r="I42" s="96"/>
      <c r="J42" s="96"/>
      <c r="K42" s="96" t="s">
        <v>158</v>
      </c>
      <c r="L42" s="96" t="s">
        <v>159</v>
      </c>
      <c r="M42" s="96" t="s">
        <v>158</v>
      </c>
      <c r="N42" s="96" t="s">
        <v>171</v>
      </c>
      <c r="O42" s="101">
        <f>VLOOKUP(Tabla156[[#This Row],[Matricula Antigua]],BAJA2022202320242025!$B$3:$CR$245,93,FALSE)</f>
        <v>44393</v>
      </c>
      <c r="P42" s="99">
        <v>45245</v>
      </c>
      <c r="Q42" s="98">
        <f>Tabla156[[#This Row],[F.Vig.Final]]-Tabla156[[#This Row],[f Vig Inicio]]</f>
        <v>852</v>
      </c>
      <c r="R42" s="99">
        <f>YEAR(Tabla156[[#This Row],[F.Vig.Final]])</f>
        <v>2023</v>
      </c>
      <c r="S42" s="96" t="s">
        <v>172</v>
      </c>
      <c r="T42" s="96" t="s">
        <v>78</v>
      </c>
      <c r="U42" s="96" t="s">
        <v>1193</v>
      </c>
      <c r="V42" s="96" t="s">
        <v>1194</v>
      </c>
      <c r="W42" s="96" t="s">
        <v>1139</v>
      </c>
      <c r="X42" s="96" t="s">
        <v>1140</v>
      </c>
      <c r="Y42" s="96" t="s">
        <v>312</v>
      </c>
      <c r="Z42" s="98">
        <f>COUNTIF($X$3:X42, X42)</f>
        <v>16</v>
      </c>
      <c r="AA42" s="98"/>
      <c r="AB42" s="98"/>
      <c r="AC42" s="98"/>
      <c r="AD42" s="98"/>
      <c r="AE42" s="98"/>
      <c r="AF42" s="98"/>
      <c r="AG42" s="98"/>
      <c r="AH42" s="98"/>
      <c r="AI42" s="98" t="e">
        <v>#N/A</v>
      </c>
      <c r="AJ42" s="98" t="e">
        <v>#N/A</v>
      </c>
      <c r="AK42" s="98" t="e">
        <v>#N/A</v>
      </c>
      <c r="AL42" s="98" t="e">
        <v>#N/A</v>
      </c>
      <c r="AM42" s="98" t="e">
        <v>#N/A</v>
      </c>
      <c r="AN42" s="99" t="e">
        <v>#N/A</v>
      </c>
      <c r="AO42" s="99" t="e">
        <v>#N/A</v>
      </c>
      <c r="AP42" s="99" t="e">
        <f>Tabla156[[#This Row],[Renov. Flota]]-Tabla156[[#This Row],[Año]]</f>
        <v>#N/A</v>
      </c>
      <c r="AQ42" s="100" t="e">
        <v>#N/A</v>
      </c>
      <c r="AR42" s="100" t="e">
        <f>VLOOKUP(Tabla156[[#This Row],[Matricula nueva]],'ALTA 20242025'!$B$2:$P$242,15,FALSE)</f>
        <v>#N/A</v>
      </c>
      <c r="AS42" s="101" t="e">
        <v>#N/A</v>
      </c>
      <c r="AT42" s="101"/>
      <c r="AU42" s="101"/>
      <c r="AV42" s="101"/>
      <c r="AW42" s="101" t="e">
        <f>VLOOKUP(Tabla156[[#This Row],[Matricula nueva]],Hoja2!$A$1:$B$224,2,FALSE)</f>
        <v>#N/A</v>
      </c>
      <c r="AX42" s="101" t="str">
        <f>IF(Tabla156[[#This Row],[Columna2]]="M1",5.1,"")</f>
        <v/>
      </c>
      <c r="AY42" s="101"/>
      <c r="AZ42" s="101"/>
      <c r="BA42" s="311">
        <f>IF(Tabla156[[#This Row],[Columna2]]="M1",13073,IF(Tabla156[[#This Row],[Columna2]]="N1",15815,IF(Tabla156[[#This Row],[Columna2]]="L3e",2831,53508)))</f>
        <v>53508</v>
      </c>
      <c r="BB42" s="311" t="e">
        <f>(Tabla156[[#This Row],[CVA]]*Tabla156[[#This Row],[F]]-Tabla156[[#This Row],[CVN]])/100*Tabla156[[#This Row],[L]]</f>
        <v>#VALUE!</v>
      </c>
      <c r="BC42" s="1"/>
      <c r="BD42" s="1" t="e">
        <f>VLOOKUP(B42,Tabla467824[[ID CAE2]:[AE '[kWh']]],6,FALSE)</f>
        <v>#N/A</v>
      </c>
      <c r="BE4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2"/>
      <c r="BL42"/>
      <c r="BM42"/>
      <c r="BN42"/>
      <c r="BO42"/>
      <c r="BP42"/>
      <c r="BQ42"/>
      <c r="BR42"/>
    </row>
    <row r="43" spans="1:70" ht="15.75" hidden="1" thickBot="1" x14ac:dyDescent="0.3">
      <c r="A43" s="53" t="s">
        <v>1195</v>
      </c>
      <c r="B43" s="53" t="e">
        <v>#N/A</v>
      </c>
      <c r="C43" s="96" t="s">
        <v>1196</v>
      </c>
      <c r="D43" s="96"/>
      <c r="E43" s="96"/>
      <c r="F43" s="96"/>
      <c r="G43" s="96"/>
      <c r="H43" s="96"/>
      <c r="I43" s="96"/>
      <c r="J43" s="96"/>
      <c r="K43" s="96" t="s">
        <v>158</v>
      </c>
      <c r="L43" s="96" t="s">
        <v>159</v>
      </c>
      <c r="M43" s="96" t="s">
        <v>158</v>
      </c>
      <c r="N43" s="96" t="s">
        <v>171</v>
      </c>
      <c r="O43" s="101">
        <f>VLOOKUP(Tabla156[[#This Row],[Matricula Antigua]],BAJA2022202320242025!$B$3:$CR$245,93,FALSE)</f>
        <v>38721</v>
      </c>
      <c r="P43" s="99">
        <v>45245</v>
      </c>
      <c r="Q43" s="98">
        <f>Tabla156[[#This Row],[F.Vig.Final]]-Tabla156[[#This Row],[f Vig Inicio]]</f>
        <v>6524</v>
      </c>
      <c r="R43" s="99">
        <f>YEAR(Tabla156[[#This Row],[F.Vig.Final]])</f>
        <v>2023</v>
      </c>
      <c r="S43" s="96" t="s">
        <v>172</v>
      </c>
      <c r="T43" s="96" t="s">
        <v>78</v>
      </c>
      <c r="U43" s="96" t="s">
        <v>1193</v>
      </c>
      <c r="V43" s="96" t="s">
        <v>1197</v>
      </c>
      <c r="W43" s="96" t="s">
        <v>1139</v>
      </c>
      <c r="X43" s="96" t="s">
        <v>1140</v>
      </c>
      <c r="Y43" s="96" t="s">
        <v>312</v>
      </c>
      <c r="Z43" s="98">
        <f>COUNTIF($X$3:X43, X43)</f>
        <v>17</v>
      </c>
      <c r="AA43" s="98"/>
      <c r="AB43" s="98"/>
      <c r="AC43" s="98"/>
      <c r="AD43" s="98"/>
      <c r="AE43" s="98"/>
      <c r="AF43" s="98"/>
      <c r="AG43" s="98"/>
      <c r="AH43" s="98"/>
      <c r="AI43" s="98" t="e">
        <v>#N/A</v>
      </c>
      <c r="AJ43" s="98" t="e">
        <v>#N/A</v>
      </c>
      <c r="AK43" s="98" t="e">
        <v>#N/A</v>
      </c>
      <c r="AL43" s="98" t="e">
        <v>#N/A</v>
      </c>
      <c r="AM43" s="98" t="e">
        <v>#N/A</v>
      </c>
      <c r="AN43" s="99" t="e">
        <v>#N/A</v>
      </c>
      <c r="AO43" s="99" t="e">
        <v>#N/A</v>
      </c>
      <c r="AP43" s="99" t="e">
        <f>Tabla156[[#This Row],[Renov. Flota]]-Tabla156[[#This Row],[Año]]</f>
        <v>#N/A</v>
      </c>
      <c r="AQ43" s="100" t="e">
        <v>#N/A</v>
      </c>
      <c r="AR43" s="100" t="e">
        <f>VLOOKUP(Tabla156[[#This Row],[Matricula nueva]],'ALTA 20242025'!$B$2:$P$242,15,FALSE)</f>
        <v>#N/A</v>
      </c>
      <c r="AS43" s="101" t="e">
        <v>#N/A</v>
      </c>
      <c r="AT43" s="101"/>
      <c r="AU43" s="101"/>
      <c r="AV43" s="101"/>
      <c r="AW43" s="101" t="e">
        <f>VLOOKUP(Tabla156[[#This Row],[Matricula nueva]],Hoja2!$A$1:$B$224,2,FALSE)</f>
        <v>#N/A</v>
      </c>
      <c r="AX43" s="101" t="str">
        <f>IF(Tabla156[[#This Row],[Columna2]]="M1",5.1,"")</f>
        <v/>
      </c>
      <c r="AY43" s="101"/>
      <c r="AZ43" s="101"/>
      <c r="BA43" s="311">
        <f>IF(Tabla156[[#This Row],[Columna2]]="M1",13073,IF(Tabla156[[#This Row],[Columna2]]="N1",15815,IF(Tabla156[[#This Row],[Columna2]]="L3e",2831,53508)))</f>
        <v>53508</v>
      </c>
      <c r="BB43" s="311" t="e">
        <f>(Tabla156[[#This Row],[CVA]]*Tabla156[[#This Row],[F]]-Tabla156[[#This Row],[CVN]])/100*Tabla156[[#This Row],[L]]</f>
        <v>#VALUE!</v>
      </c>
      <c r="BC43" s="1"/>
      <c r="BD43" s="1" t="e">
        <f>VLOOKUP(B43,Tabla467824[[ID CAE2]:[AE '[kWh']]],6,FALSE)</f>
        <v>#N/A</v>
      </c>
      <c r="BE4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3"/>
      <c r="BL43"/>
      <c r="BM43"/>
      <c r="BN43"/>
      <c r="BO43"/>
      <c r="BP43"/>
      <c r="BQ43"/>
      <c r="BR43"/>
    </row>
    <row r="44" spans="1:70" ht="15.75" hidden="1" thickBot="1" x14ac:dyDescent="0.3">
      <c r="A44" s="53" t="s">
        <v>1198</v>
      </c>
      <c r="B44" s="53" t="e">
        <v>#N/A</v>
      </c>
      <c r="C44" s="96" t="s">
        <v>1199</v>
      </c>
      <c r="D44" s="96"/>
      <c r="E44" s="96"/>
      <c r="F44" s="96"/>
      <c r="G44" s="96"/>
      <c r="H44" s="96"/>
      <c r="I44" s="96"/>
      <c r="J44" s="96"/>
      <c r="K44" s="96" t="s">
        <v>158</v>
      </c>
      <c r="L44" s="96" t="s">
        <v>159</v>
      </c>
      <c r="M44" s="96" t="s">
        <v>158</v>
      </c>
      <c r="N44" s="96" t="s">
        <v>171</v>
      </c>
      <c r="O44" s="101">
        <f>VLOOKUP(Tabla156[[#This Row],[Matricula Antigua]],BAJA2022202320242025!$B$3:$CR$245,93,FALSE)</f>
        <v>36830</v>
      </c>
      <c r="P44" s="99">
        <v>45245</v>
      </c>
      <c r="Q44" s="98">
        <f>Tabla156[[#This Row],[F.Vig.Final]]-Tabla156[[#This Row],[f Vig Inicio]]</f>
        <v>8415</v>
      </c>
      <c r="R44" s="99">
        <f>YEAR(Tabla156[[#This Row],[F.Vig.Final]])</f>
        <v>2023</v>
      </c>
      <c r="S44" s="96" t="s">
        <v>172</v>
      </c>
      <c r="T44" s="96" t="s">
        <v>78</v>
      </c>
      <c r="U44" s="96" t="s">
        <v>1189</v>
      </c>
      <c r="V44" s="96" t="s">
        <v>1200</v>
      </c>
      <c r="W44" s="96" t="s">
        <v>1139</v>
      </c>
      <c r="X44" s="96" t="s">
        <v>1140</v>
      </c>
      <c r="Y44" s="96" t="s">
        <v>312</v>
      </c>
      <c r="Z44" s="98">
        <f>COUNTIF($X$3:X44, X44)</f>
        <v>18</v>
      </c>
      <c r="AA44" s="98"/>
      <c r="AB44" s="98"/>
      <c r="AC44" s="98"/>
      <c r="AD44" s="98"/>
      <c r="AE44" s="98"/>
      <c r="AF44" s="98"/>
      <c r="AG44" s="98"/>
      <c r="AH44" s="98"/>
      <c r="AI44" s="98" t="e">
        <v>#N/A</v>
      </c>
      <c r="AJ44" s="98" t="e">
        <v>#N/A</v>
      </c>
      <c r="AK44" s="98" t="e">
        <v>#N/A</v>
      </c>
      <c r="AL44" s="98" t="e">
        <v>#N/A</v>
      </c>
      <c r="AM44" s="98" t="e">
        <v>#N/A</v>
      </c>
      <c r="AN44" s="99" t="e">
        <v>#N/A</v>
      </c>
      <c r="AO44" s="99" t="e">
        <v>#N/A</v>
      </c>
      <c r="AP44" s="99" t="e">
        <f>Tabla156[[#This Row],[Renov. Flota]]-Tabla156[[#This Row],[Año]]</f>
        <v>#N/A</v>
      </c>
      <c r="AQ44" s="100" t="e">
        <v>#N/A</v>
      </c>
      <c r="AR44" s="100" t="e">
        <f>VLOOKUP(Tabla156[[#This Row],[Matricula nueva]],'ALTA 20242025'!$B$2:$P$242,15,FALSE)</f>
        <v>#N/A</v>
      </c>
      <c r="AS44" s="101" t="e">
        <v>#N/A</v>
      </c>
      <c r="AT44" s="101"/>
      <c r="AU44" s="101"/>
      <c r="AV44" s="101"/>
      <c r="AW44" s="101" t="e">
        <f>VLOOKUP(Tabla156[[#This Row],[Matricula nueva]],Hoja2!$A$1:$B$224,2,FALSE)</f>
        <v>#N/A</v>
      </c>
      <c r="AX44" s="101" t="str">
        <f>IF(Tabla156[[#This Row],[Columna2]]="M1",5.1,"")</f>
        <v/>
      </c>
      <c r="AY44" s="101"/>
      <c r="AZ44" s="101"/>
      <c r="BA44" s="311">
        <f>IF(Tabla156[[#This Row],[Columna2]]="M1",13073,IF(Tabla156[[#This Row],[Columna2]]="N1",15815,IF(Tabla156[[#This Row],[Columna2]]="L3e",2831,53508)))</f>
        <v>53508</v>
      </c>
      <c r="BB44" s="311" t="e">
        <f>(Tabla156[[#This Row],[CVA]]*Tabla156[[#This Row],[F]]-Tabla156[[#This Row],[CVN]])/100*Tabla156[[#This Row],[L]]</f>
        <v>#VALUE!</v>
      </c>
      <c r="BC44" s="1"/>
      <c r="BD44" s="1" t="e">
        <f>VLOOKUP(B44,Tabla467824[[ID CAE2]:[AE '[kWh']]],6,FALSE)</f>
        <v>#N/A</v>
      </c>
      <c r="BE4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4"/>
      <c r="BL44"/>
      <c r="BM44"/>
      <c r="BN44"/>
      <c r="BO44"/>
      <c r="BP44"/>
      <c r="BQ44"/>
      <c r="BR44"/>
    </row>
    <row r="45" spans="1:70" ht="15.75" hidden="1" thickBot="1" x14ac:dyDescent="0.3">
      <c r="A45" s="53" t="s">
        <v>1201</v>
      </c>
      <c r="B45" s="53" t="e">
        <v>#N/A</v>
      </c>
      <c r="C45" s="96" t="s">
        <v>1202</v>
      </c>
      <c r="D45" s="96"/>
      <c r="E45" s="96"/>
      <c r="F45" s="96"/>
      <c r="G45" s="96"/>
      <c r="H45" s="96"/>
      <c r="I45" s="96"/>
      <c r="J45" s="96"/>
      <c r="K45" s="96" t="s">
        <v>158</v>
      </c>
      <c r="L45" s="96" t="s">
        <v>159</v>
      </c>
      <c r="M45" s="96" t="s">
        <v>158</v>
      </c>
      <c r="N45" s="96" t="s">
        <v>171</v>
      </c>
      <c r="O45" s="101">
        <f>VLOOKUP(Tabla156[[#This Row],[Matricula Antigua]],BAJA2022202320242025!$B$3:$CR$245,93,FALSE)</f>
        <v>32874</v>
      </c>
      <c r="P45" s="99">
        <v>45245</v>
      </c>
      <c r="Q45" s="98">
        <f>Tabla156[[#This Row],[F.Vig.Final]]-Tabla156[[#This Row],[f Vig Inicio]]</f>
        <v>12371</v>
      </c>
      <c r="R45" s="99">
        <f>YEAR(Tabla156[[#This Row],[F.Vig.Final]])</f>
        <v>2023</v>
      </c>
      <c r="S45" s="96" t="s">
        <v>172</v>
      </c>
      <c r="T45" s="96" t="s">
        <v>78</v>
      </c>
      <c r="U45" s="96" t="s">
        <v>1203</v>
      </c>
      <c r="V45" s="96" t="s">
        <v>1204</v>
      </c>
      <c r="W45" s="96" t="s">
        <v>1139</v>
      </c>
      <c r="X45" s="96" t="s">
        <v>1140</v>
      </c>
      <c r="Y45" s="96" t="s">
        <v>312</v>
      </c>
      <c r="Z45" s="98">
        <f>COUNTIF($X$3:X45, X45)</f>
        <v>19</v>
      </c>
      <c r="AA45" s="98"/>
      <c r="AB45" s="98"/>
      <c r="AC45" s="98"/>
      <c r="AD45" s="98"/>
      <c r="AE45" s="98"/>
      <c r="AF45" s="98"/>
      <c r="AG45" s="98"/>
      <c r="AH45" s="98"/>
      <c r="AI45" s="98" t="e">
        <v>#N/A</v>
      </c>
      <c r="AJ45" s="98" t="e">
        <v>#N/A</v>
      </c>
      <c r="AK45" s="98" t="e">
        <v>#N/A</v>
      </c>
      <c r="AL45" s="98" t="e">
        <v>#N/A</v>
      </c>
      <c r="AM45" s="98" t="e">
        <v>#N/A</v>
      </c>
      <c r="AN45" s="99" t="e">
        <v>#N/A</v>
      </c>
      <c r="AO45" s="99" t="e">
        <v>#N/A</v>
      </c>
      <c r="AP45" s="99" t="e">
        <f>Tabla156[[#This Row],[Renov. Flota]]-Tabla156[[#This Row],[Año]]</f>
        <v>#N/A</v>
      </c>
      <c r="AQ45" s="100" t="e">
        <v>#N/A</v>
      </c>
      <c r="AR45" s="100" t="e">
        <f>VLOOKUP(Tabla156[[#This Row],[Matricula nueva]],'ALTA 20242025'!$B$2:$P$242,15,FALSE)</f>
        <v>#N/A</v>
      </c>
      <c r="AS45" s="101" t="e">
        <v>#N/A</v>
      </c>
      <c r="AT45" s="101"/>
      <c r="AU45" s="101"/>
      <c r="AV45" s="101"/>
      <c r="AW45" s="101" t="e">
        <f>VLOOKUP(Tabla156[[#This Row],[Matricula nueva]],Hoja2!$A$1:$B$224,2,FALSE)</f>
        <v>#N/A</v>
      </c>
      <c r="AX45" s="101" t="str">
        <f>IF(Tabla156[[#This Row],[Columna2]]="M1",5.1,"")</f>
        <v/>
      </c>
      <c r="AY45" s="101"/>
      <c r="AZ45" s="101"/>
      <c r="BA45" s="311">
        <f>IF(Tabla156[[#This Row],[Columna2]]="M1",13073,IF(Tabla156[[#This Row],[Columna2]]="N1",15815,IF(Tabla156[[#This Row],[Columna2]]="L3e",2831,53508)))</f>
        <v>53508</v>
      </c>
      <c r="BB45" s="311" t="e">
        <f>(Tabla156[[#This Row],[CVA]]*Tabla156[[#This Row],[F]]-Tabla156[[#This Row],[CVN]])/100*Tabla156[[#This Row],[L]]</f>
        <v>#VALUE!</v>
      </c>
      <c r="BC45" s="1"/>
      <c r="BD45" s="1" t="e">
        <f>VLOOKUP(B45,Tabla467824[[ID CAE2]:[AE '[kWh']]],6,FALSE)</f>
        <v>#N/A</v>
      </c>
      <c r="BE4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5"/>
      <c r="BL45"/>
      <c r="BM45"/>
      <c r="BN45"/>
      <c r="BO45"/>
      <c r="BP45"/>
      <c r="BQ45"/>
      <c r="BR45"/>
    </row>
    <row r="46" spans="1:70" ht="15.75" hidden="1" thickBot="1" x14ac:dyDescent="0.3">
      <c r="A46" s="53" t="s">
        <v>1205</v>
      </c>
      <c r="B46" s="53" t="e">
        <v>#N/A</v>
      </c>
      <c r="C46" s="96" t="s">
        <v>1206</v>
      </c>
      <c r="D46" s="96"/>
      <c r="E46" s="96"/>
      <c r="F46" s="96"/>
      <c r="G46" s="96"/>
      <c r="H46" s="96"/>
      <c r="I46" s="96"/>
      <c r="J46" s="96"/>
      <c r="K46" s="96" t="s">
        <v>158</v>
      </c>
      <c r="L46" s="96" t="s">
        <v>159</v>
      </c>
      <c r="M46" s="96" t="s">
        <v>158</v>
      </c>
      <c r="N46" s="96" t="s">
        <v>171</v>
      </c>
      <c r="O46" s="101">
        <f>VLOOKUP(Tabla156[[#This Row],[Matricula Antigua]],BAJA2022202320242025!$B$3:$CR$245,93,FALSE)</f>
        <v>35720</v>
      </c>
      <c r="P46" s="99">
        <v>45245</v>
      </c>
      <c r="Q46" s="98">
        <f>Tabla156[[#This Row],[F.Vig.Final]]-Tabla156[[#This Row],[f Vig Inicio]]</f>
        <v>9525</v>
      </c>
      <c r="R46" s="99">
        <f>YEAR(Tabla156[[#This Row],[F.Vig.Final]])</f>
        <v>2023</v>
      </c>
      <c r="S46" s="96" t="s">
        <v>172</v>
      </c>
      <c r="T46" s="96" t="s">
        <v>78</v>
      </c>
      <c r="U46" s="96" t="s">
        <v>1189</v>
      </c>
      <c r="V46" s="96" t="s">
        <v>1207</v>
      </c>
      <c r="W46" s="96" t="s">
        <v>1139</v>
      </c>
      <c r="X46" s="96" t="s">
        <v>1140</v>
      </c>
      <c r="Y46" s="96" t="s">
        <v>312</v>
      </c>
      <c r="Z46" s="98">
        <f>COUNTIF($X$3:X46, X46)</f>
        <v>20</v>
      </c>
      <c r="AA46" s="98"/>
      <c r="AB46" s="98"/>
      <c r="AC46" s="98"/>
      <c r="AD46" s="98"/>
      <c r="AE46" s="98"/>
      <c r="AF46" s="98"/>
      <c r="AG46" s="98"/>
      <c r="AH46" s="98"/>
      <c r="AI46" s="98" t="e">
        <v>#N/A</v>
      </c>
      <c r="AJ46" s="98" t="e">
        <v>#N/A</v>
      </c>
      <c r="AK46" s="98" t="e">
        <v>#N/A</v>
      </c>
      <c r="AL46" s="98" t="e">
        <v>#N/A</v>
      </c>
      <c r="AM46" s="98" t="e">
        <v>#N/A</v>
      </c>
      <c r="AN46" s="99" t="e">
        <v>#N/A</v>
      </c>
      <c r="AO46" s="99" t="e">
        <v>#N/A</v>
      </c>
      <c r="AP46" s="99" t="e">
        <f>Tabla156[[#This Row],[Renov. Flota]]-Tabla156[[#This Row],[Año]]</f>
        <v>#N/A</v>
      </c>
      <c r="AQ46" s="100" t="e">
        <v>#N/A</v>
      </c>
      <c r="AR46" s="100" t="e">
        <f>VLOOKUP(Tabla156[[#This Row],[Matricula nueva]],'ALTA 20242025'!$B$2:$P$242,15,FALSE)</f>
        <v>#N/A</v>
      </c>
      <c r="AS46" s="101" t="e">
        <v>#N/A</v>
      </c>
      <c r="AT46" s="101"/>
      <c r="AU46" s="101"/>
      <c r="AV46" s="101"/>
      <c r="AW46" s="101" t="e">
        <f>VLOOKUP(Tabla156[[#This Row],[Matricula nueva]],Hoja2!$A$1:$B$224,2,FALSE)</f>
        <v>#N/A</v>
      </c>
      <c r="AX46" s="101" t="str">
        <f>IF(Tabla156[[#This Row],[Columna2]]="M1",5.1,"")</f>
        <v/>
      </c>
      <c r="AY46" s="101"/>
      <c r="AZ46" s="101"/>
      <c r="BA46" s="311">
        <f>IF(Tabla156[[#This Row],[Columna2]]="M1",13073,IF(Tabla156[[#This Row],[Columna2]]="N1",15815,IF(Tabla156[[#This Row],[Columna2]]="L3e",2831,53508)))</f>
        <v>53508</v>
      </c>
      <c r="BB46" s="311" t="e">
        <f>(Tabla156[[#This Row],[CVA]]*Tabla156[[#This Row],[F]]-Tabla156[[#This Row],[CVN]])/100*Tabla156[[#This Row],[L]]</f>
        <v>#VALUE!</v>
      </c>
      <c r="BC46" s="1"/>
      <c r="BD46" s="1" t="e">
        <f>VLOOKUP(B46,Tabla467824[[ID CAE2]:[AE '[kWh']]],6,FALSE)</f>
        <v>#N/A</v>
      </c>
      <c r="BE4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c r="BK46"/>
      <c r="BL46"/>
      <c r="BM46"/>
      <c r="BN46"/>
      <c r="BO46"/>
      <c r="BP46"/>
      <c r="BQ46"/>
      <c r="BR46"/>
    </row>
    <row r="47" spans="1:70" ht="15.75" hidden="1" thickBot="1" x14ac:dyDescent="0.3">
      <c r="A47" s="53" t="s">
        <v>1208</v>
      </c>
      <c r="B47" s="53" t="e">
        <v>#N/A</v>
      </c>
      <c r="C47" s="96" t="s">
        <v>1209</v>
      </c>
      <c r="D47" s="96"/>
      <c r="E47" s="96"/>
      <c r="F47" s="96"/>
      <c r="G47" s="96"/>
      <c r="H47" s="96"/>
      <c r="I47" s="96"/>
      <c r="J47" s="96"/>
      <c r="K47" s="96" t="s">
        <v>158</v>
      </c>
      <c r="L47" s="96" t="s">
        <v>159</v>
      </c>
      <c r="M47" s="96" t="s">
        <v>158</v>
      </c>
      <c r="N47" s="96" t="s">
        <v>171</v>
      </c>
      <c r="O47" s="101">
        <f>VLOOKUP(Tabla156[[#This Row],[Matricula Antigua]],BAJA2022202320242025!$B$3:$CR$245,93,FALSE)</f>
        <v>36209</v>
      </c>
      <c r="P47" s="99">
        <v>45245</v>
      </c>
      <c r="Q47" s="98">
        <f>Tabla156[[#This Row],[F.Vig.Final]]-Tabla156[[#This Row],[f Vig Inicio]]</f>
        <v>9036</v>
      </c>
      <c r="R47" s="99">
        <f>YEAR(Tabla156[[#This Row],[F.Vig.Final]])</f>
        <v>2023</v>
      </c>
      <c r="S47" s="96" t="s">
        <v>172</v>
      </c>
      <c r="T47" s="96" t="s">
        <v>78</v>
      </c>
      <c r="U47" s="96" t="s">
        <v>1210</v>
      </c>
      <c r="V47" s="96" t="s">
        <v>1211</v>
      </c>
      <c r="W47" s="96" t="s">
        <v>1139</v>
      </c>
      <c r="X47" s="96" t="s">
        <v>1140</v>
      </c>
      <c r="Y47" s="96" t="s">
        <v>312</v>
      </c>
      <c r="Z47" s="98">
        <f>COUNTIF($X$3:X47, X47)</f>
        <v>21</v>
      </c>
      <c r="AA47" s="98"/>
      <c r="AB47" s="98"/>
      <c r="AC47" s="98"/>
      <c r="AD47" s="98"/>
      <c r="AE47" s="98"/>
      <c r="AF47" s="98"/>
      <c r="AG47" s="98"/>
      <c r="AH47" s="98"/>
      <c r="AI47" s="98" t="e">
        <v>#N/A</v>
      </c>
      <c r="AJ47" s="98" t="e">
        <v>#N/A</v>
      </c>
      <c r="AK47" s="98" t="e">
        <v>#N/A</v>
      </c>
      <c r="AL47" s="98" t="e">
        <v>#N/A</v>
      </c>
      <c r="AM47" s="98" t="e">
        <v>#N/A</v>
      </c>
      <c r="AN47" s="99" t="e">
        <v>#N/A</v>
      </c>
      <c r="AO47" s="99" t="e">
        <v>#N/A</v>
      </c>
      <c r="AP47" s="99" t="e">
        <f>Tabla156[[#This Row],[Renov. Flota]]-Tabla156[[#This Row],[Año]]</f>
        <v>#N/A</v>
      </c>
      <c r="AQ47" s="100" t="e">
        <v>#N/A</v>
      </c>
      <c r="AR47" s="100" t="e">
        <f>VLOOKUP(Tabla156[[#This Row],[Matricula nueva]],'ALTA 20242025'!$B$2:$P$242,15,FALSE)</f>
        <v>#N/A</v>
      </c>
      <c r="AS47" s="101" t="e">
        <v>#N/A</v>
      </c>
      <c r="AT47" s="101"/>
      <c r="AU47" s="101"/>
      <c r="AV47" s="101"/>
      <c r="AW47" s="101" t="e">
        <f>VLOOKUP(Tabla156[[#This Row],[Matricula nueva]],Hoja2!$A$1:$B$224,2,FALSE)</f>
        <v>#N/A</v>
      </c>
      <c r="AX47" s="101" t="str">
        <f>IF(Tabla156[[#This Row],[Columna2]]="M1",5.1,"")</f>
        <v/>
      </c>
      <c r="AY47" s="101"/>
      <c r="AZ47" s="101"/>
      <c r="BA47" s="311">
        <f>IF(Tabla156[[#This Row],[Columna2]]="M1",13073,IF(Tabla156[[#This Row],[Columna2]]="N1",15815,IF(Tabla156[[#This Row],[Columna2]]="L3e",2831,53508)))</f>
        <v>53508</v>
      </c>
      <c r="BB47" s="311" t="e">
        <f>(Tabla156[[#This Row],[CVA]]*Tabla156[[#This Row],[F]]-Tabla156[[#This Row],[CVN]])/100*Tabla156[[#This Row],[L]]</f>
        <v>#VALUE!</v>
      </c>
      <c r="BC47" s="1"/>
      <c r="BD47" s="1" t="e">
        <f>VLOOKUP(B47,Tabla467824[[ID CAE2]:[AE '[kWh']]],6,FALSE)</f>
        <v>#N/A</v>
      </c>
      <c r="BE4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48" spans="1:70" ht="15.75" hidden="1" thickBot="1" x14ac:dyDescent="0.3">
      <c r="A48" s="53" t="s">
        <v>1212</v>
      </c>
      <c r="B48" s="53" t="e">
        <v>#N/A</v>
      </c>
      <c r="C48" s="96" t="s">
        <v>1213</v>
      </c>
      <c r="D48" s="96"/>
      <c r="E48" s="96"/>
      <c r="F48" s="96"/>
      <c r="G48" s="96"/>
      <c r="H48" s="96"/>
      <c r="I48" s="96"/>
      <c r="J48" s="96"/>
      <c r="K48" s="96" t="s">
        <v>885</v>
      </c>
      <c r="L48" s="96" t="s">
        <v>161</v>
      </c>
      <c r="M48" s="96" t="s">
        <v>886</v>
      </c>
      <c r="N48" s="96" t="s">
        <v>171</v>
      </c>
      <c r="O48" s="101">
        <f>VLOOKUP(Tabla156[[#This Row],[Matricula Antigua]],BAJA2022202320242025!$B$3:$CR$245,93,FALSE)</f>
        <v>36891</v>
      </c>
      <c r="P48" s="99">
        <v>45247</v>
      </c>
      <c r="Q48" s="98">
        <f>Tabla156[[#This Row],[F.Vig.Final]]-Tabla156[[#This Row],[f Vig Inicio]]</f>
        <v>8356</v>
      </c>
      <c r="R48" s="99">
        <f>YEAR(Tabla156[[#This Row],[F.Vig.Final]])</f>
        <v>2023</v>
      </c>
      <c r="S48" s="96" t="s">
        <v>172</v>
      </c>
      <c r="T48" s="96" t="s">
        <v>71</v>
      </c>
      <c r="U48" s="96" t="s">
        <v>887</v>
      </c>
      <c r="V48" s="96" t="s">
        <v>1214</v>
      </c>
      <c r="W48" s="96" t="s">
        <v>1050</v>
      </c>
      <c r="X48" s="96" t="s">
        <v>1051</v>
      </c>
      <c r="Y48" s="96" t="s">
        <v>1145</v>
      </c>
      <c r="Z48" s="98">
        <f>COUNTIF($X$3:X48, X48)</f>
        <v>2</v>
      </c>
      <c r="AA48" s="98"/>
      <c r="AB48" s="98"/>
      <c r="AC48" s="98"/>
      <c r="AD48" s="98"/>
      <c r="AE48" s="98"/>
      <c r="AF48" s="98"/>
      <c r="AG48" s="98"/>
      <c r="AH48" s="98"/>
      <c r="AI48" s="98" t="e">
        <v>#N/A</v>
      </c>
      <c r="AJ48" s="98" t="e">
        <v>#N/A</v>
      </c>
      <c r="AK48" s="98" t="e">
        <v>#N/A</v>
      </c>
      <c r="AL48" s="98" t="e">
        <v>#N/A</v>
      </c>
      <c r="AM48" s="98" t="e">
        <v>#N/A</v>
      </c>
      <c r="AN48" s="99" t="e">
        <v>#N/A</v>
      </c>
      <c r="AO48" s="99" t="e">
        <v>#N/A</v>
      </c>
      <c r="AP48" s="99" t="e">
        <f>Tabla156[[#This Row],[Renov. Flota]]-Tabla156[[#This Row],[Año]]</f>
        <v>#N/A</v>
      </c>
      <c r="AQ48" s="100" t="e">
        <v>#N/A</v>
      </c>
      <c r="AR48" s="100" t="e">
        <f>VLOOKUP(Tabla156[[#This Row],[Matricula nueva]],'ALTA 20242025'!$B$2:$P$242,15,FALSE)</f>
        <v>#N/A</v>
      </c>
      <c r="AS48" s="101" t="e">
        <v>#N/A</v>
      </c>
      <c r="AT48" s="101"/>
      <c r="AU48" s="101"/>
      <c r="AV48" s="101"/>
      <c r="AW48" s="101" t="e">
        <f>VLOOKUP(Tabla156[[#This Row],[Matricula nueva]],Hoja2!$A$1:$B$224,2,FALSE)</f>
        <v>#N/A</v>
      </c>
      <c r="AX48" s="101" t="str">
        <f>IF(Tabla156[[#This Row],[Columna2]]="M1",5.1,"")</f>
        <v/>
      </c>
      <c r="AY48" s="101"/>
      <c r="AZ48" s="101"/>
      <c r="BA48" s="311">
        <f>IF(Tabla156[[#This Row],[Columna2]]="M1",13073,IF(Tabla156[[#This Row],[Columna2]]="N1",15815,IF(Tabla156[[#This Row],[Columna2]]="L3e",2831,53508)))</f>
        <v>53508</v>
      </c>
      <c r="BB48" s="311" t="e">
        <f>(Tabla156[[#This Row],[CVA]]*Tabla156[[#This Row],[F]]-Tabla156[[#This Row],[CVN]])/100*Tabla156[[#This Row],[L]]</f>
        <v>#VALUE!</v>
      </c>
      <c r="BC48" s="1"/>
      <c r="BD48" s="1" t="e">
        <f>VLOOKUP(B48,Tabla467824[[ID CAE2]:[AE '[kWh']]],6,FALSE)</f>
        <v>#N/A</v>
      </c>
      <c r="BE4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49" spans="1:57" ht="15.75" hidden="1" thickBot="1" x14ac:dyDescent="0.3">
      <c r="A49" s="53" t="s">
        <v>1215</v>
      </c>
      <c r="B49" s="53" t="e">
        <v>#N/A</v>
      </c>
      <c r="C49" s="96" t="s">
        <v>1216</v>
      </c>
      <c r="D49" s="96"/>
      <c r="E49" s="96"/>
      <c r="F49" s="96"/>
      <c r="G49" s="96"/>
      <c r="H49" s="96"/>
      <c r="I49" s="96"/>
      <c r="J49" s="96"/>
      <c r="K49" s="96" t="s">
        <v>73</v>
      </c>
      <c r="L49" s="96" t="s">
        <v>200</v>
      </c>
      <c r="M49" s="96" t="s">
        <v>201</v>
      </c>
      <c r="N49" s="96" t="s">
        <v>76</v>
      </c>
      <c r="O49" s="101">
        <f>VLOOKUP(Tabla156[[#This Row],[Matricula Antigua]],BAJA2022202320242025!$B$3:$CR$245,93,FALSE)</f>
        <v>43563</v>
      </c>
      <c r="P49" s="99">
        <v>45024</v>
      </c>
      <c r="Q49" s="98">
        <f>Tabla156[[#This Row],[F.Vig.Final]]-Tabla156[[#This Row],[f Vig Inicio]]</f>
        <v>1461</v>
      </c>
      <c r="R49" s="99">
        <f>YEAR(Tabla156[[#This Row],[F.Vig.Final]])</f>
        <v>2023</v>
      </c>
      <c r="S49" s="96" t="s">
        <v>77</v>
      </c>
      <c r="T49" s="96" t="s">
        <v>78</v>
      </c>
      <c r="U49" s="96" t="s">
        <v>359</v>
      </c>
      <c r="V49" s="96" t="s">
        <v>360</v>
      </c>
      <c r="W49" s="96" t="s">
        <v>584</v>
      </c>
      <c r="X49" s="96" t="s">
        <v>585</v>
      </c>
      <c r="Y49" s="96" t="s">
        <v>1217</v>
      </c>
      <c r="Z49" s="98">
        <f>COUNTIF($X$3:X49, X49)</f>
        <v>1</v>
      </c>
      <c r="AA49" s="98"/>
      <c r="AB49" s="98"/>
      <c r="AC49" s="98"/>
      <c r="AD49" s="98"/>
      <c r="AE49" s="320"/>
      <c r="AF49" s="98"/>
      <c r="AG49" s="98"/>
      <c r="AH49" s="98"/>
      <c r="AI49" s="98" t="e">
        <v>#N/A</v>
      </c>
      <c r="AJ49" s="98" t="e">
        <v>#N/A</v>
      </c>
      <c r="AK49" s="98" t="e">
        <v>#N/A</v>
      </c>
      <c r="AL49" s="98" t="e">
        <v>#N/A</v>
      </c>
      <c r="AM49" s="98" t="e">
        <v>#N/A</v>
      </c>
      <c r="AN49" s="99" t="e">
        <v>#N/A</v>
      </c>
      <c r="AO49" s="99" t="e">
        <v>#N/A</v>
      </c>
      <c r="AP49" s="99" t="e">
        <f>Tabla156[[#This Row],[Renov. Flota]]-Tabla156[[#This Row],[Año]]</f>
        <v>#N/A</v>
      </c>
      <c r="AQ49" s="100" t="e">
        <v>#N/A</v>
      </c>
      <c r="AR49" s="100" t="e">
        <f>VLOOKUP(Tabla156[[#This Row],[Matricula nueva]],'ALTA 20242025'!$B$2:$P$242,15,FALSE)</f>
        <v>#N/A</v>
      </c>
      <c r="AS49" s="101" t="e">
        <v>#N/A</v>
      </c>
      <c r="AT49" s="101"/>
      <c r="AU49" s="101"/>
      <c r="AV49" s="101"/>
      <c r="AW49" s="101" t="e">
        <f>VLOOKUP(Tabla156[[#This Row],[Matricula nueva]],Hoja2!$A$1:$B$224,2,FALSE)</f>
        <v>#N/A</v>
      </c>
      <c r="AX49" s="101" t="str">
        <f>IF(Tabla156[[#This Row],[Columna2]]="M1",5.1,"")</f>
        <v/>
      </c>
      <c r="AY49" s="101"/>
      <c r="AZ49" s="101"/>
      <c r="BA49" s="311">
        <f>IF(Tabla156[[#This Row],[Columna2]]="M1",13073,IF(Tabla156[[#This Row],[Columna2]]="N1",15815,IF(Tabla156[[#This Row],[Columna2]]="L3e",2831,53508)))</f>
        <v>53508</v>
      </c>
      <c r="BB49" s="311" t="e">
        <f>(Tabla156[[#This Row],[CVA]]*Tabla156[[#This Row],[F]]-Tabla156[[#This Row],[CVN]])/100*Tabla156[[#This Row],[L]]</f>
        <v>#VALUE!</v>
      </c>
      <c r="BC49" s="1"/>
      <c r="BD49" s="1" t="e">
        <f>VLOOKUP(B49,Tabla467824[[ID CAE2]:[AE '[kWh']]],6,FALSE)</f>
        <v>#N/A</v>
      </c>
      <c r="BE4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50" spans="1:57" ht="51.75" x14ac:dyDescent="0.25">
      <c r="A50" s="53" t="s">
        <v>256</v>
      </c>
      <c r="B50" s="53" t="s">
        <v>256</v>
      </c>
      <c r="C50" s="332" t="s">
        <v>257</v>
      </c>
      <c r="D50" s="104" t="s">
        <v>72</v>
      </c>
      <c r="E50" s="104"/>
      <c r="F50" s="104" t="s">
        <v>72</v>
      </c>
      <c r="G50" s="104"/>
      <c r="H50" s="104" t="s">
        <v>72</v>
      </c>
      <c r="I50" s="104" t="s">
        <v>72</v>
      </c>
      <c r="J50" s="104"/>
      <c r="K50" s="96" t="s">
        <v>73</v>
      </c>
      <c r="L50" s="96" t="s">
        <v>200</v>
      </c>
      <c r="M50" s="96" t="s">
        <v>201</v>
      </c>
      <c r="N50" s="96" t="s">
        <v>76</v>
      </c>
      <c r="O50" s="101">
        <f>VLOOKUP(Tabla156[[#This Row],[Matricula Antigua]],BAJA2022202320242025!$B$3:$CR$245,93,FALSE)</f>
        <v>44133</v>
      </c>
      <c r="P50" s="316">
        <v>45594</v>
      </c>
      <c r="Q50" s="317">
        <f>Tabla156[[#This Row],[F.Vig.Final]]-Tabla156[[#This Row],[f Vig Inicio]]</f>
        <v>1461</v>
      </c>
      <c r="R50" s="318">
        <f>YEAR(Tabla156[[#This Row],[F.Vig.Final]])</f>
        <v>2024</v>
      </c>
      <c r="S50" s="96" t="s">
        <v>77</v>
      </c>
      <c r="T50" s="96" t="s">
        <v>78</v>
      </c>
      <c r="U50" s="96" t="s">
        <v>213</v>
      </c>
      <c r="V50" s="96" t="s">
        <v>237</v>
      </c>
      <c r="W50" s="96" t="s">
        <v>119</v>
      </c>
      <c r="X50" s="332" t="s">
        <v>1674</v>
      </c>
      <c r="Y50" s="96" t="s">
        <v>258</v>
      </c>
      <c r="Z50" s="98">
        <f>COUNTIF($X$3:X50, X50)</f>
        <v>6</v>
      </c>
      <c r="AA50" s="337" t="s">
        <v>1661</v>
      </c>
      <c r="AB50" s="337" t="s">
        <v>1661</v>
      </c>
      <c r="AC50" s="337" t="s">
        <v>1662</v>
      </c>
      <c r="AD50" s="337" t="s">
        <v>1663</v>
      </c>
      <c r="AE50" s="342" t="s">
        <v>1664</v>
      </c>
      <c r="AF50" s="337" t="s">
        <v>1665</v>
      </c>
      <c r="AG50" s="337" t="s">
        <v>1666</v>
      </c>
      <c r="AH50" s="337" t="s">
        <v>1649</v>
      </c>
      <c r="AI50" s="337" t="s">
        <v>259</v>
      </c>
      <c r="AJ50" s="98" t="s">
        <v>140</v>
      </c>
      <c r="AK50" s="98" t="s">
        <v>151</v>
      </c>
      <c r="AL50" s="98" t="s">
        <v>87</v>
      </c>
      <c r="AM50" s="101" t="s">
        <v>260</v>
      </c>
      <c r="AN50" s="348" t="s">
        <v>89</v>
      </c>
      <c r="AO50" s="349">
        <v>45625</v>
      </c>
      <c r="AP50" s="98">
        <f>Tabla156[[#This Row],[Renov. Flota]]-Tabla156[[#This Row],[Año]]</f>
        <v>0</v>
      </c>
      <c r="AQ50" s="100" t="s">
        <v>119</v>
      </c>
      <c r="AR50" s="100" t="str">
        <f>VLOOKUP(Tabla156[[#This Row],[Matricula nueva]],'ALTA 20242025'!$B$2:$P$242,15,FALSE)</f>
        <v>4500424791</v>
      </c>
      <c r="AS50" s="101" t="s">
        <v>120</v>
      </c>
      <c r="AT50" s="101"/>
      <c r="AU50" s="101" t="s">
        <v>72</v>
      </c>
      <c r="AV50" s="101" t="s">
        <v>91</v>
      </c>
      <c r="AW50" s="101" t="str">
        <f>VLOOKUP(Tabla156[[#This Row],[Matricula nueva]],Hoja2!$A$1:$B$224,2,FALSE)</f>
        <v>VR7CBZYA0RT152183</v>
      </c>
      <c r="AX50" s="209">
        <f>IF(Tabla156[[#This Row],[Columna2]]="M1",5.1,"")</f>
        <v>5.0999999999999996</v>
      </c>
      <c r="AY50" s="208">
        <f>IF(T50="DIESEL",10,IF(T50="GLP",7.16,9.19))</f>
        <v>10</v>
      </c>
      <c r="AZ50" s="313">
        <v>16.399999999999999</v>
      </c>
      <c r="BA50" s="314">
        <f>IF(Tabla156[[#This Row],[Columna2]]="M1",13073,IF(Tabla156[[#This Row],[Columna2]]="N1",15815,IF(Tabla156[[#This Row],[Columna2]]="L3e",2831,53508)))</f>
        <v>13073</v>
      </c>
      <c r="BB50" s="350">
        <f>(Tabla156[[#This Row],[CVA]]*Tabla156[[#This Row],[F]]-Tabla156[[#This Row],[CVN]])/100*Tabla156[[#This Row],[L]]</f>
        <v>4523.2580000000007</v>
      </c>
      <c r="BC50" s="90" t="s">
        <v>70</v>
      </c>
      <c r="BD50" s="209">
        <f>VLOOKUP(B50,Tabla467824[[ID CAE2]:[AE '[kWh']]],6,FALSE)</f>
        <v>6795.3454000000002</v>
      </c>
      <c r="BE5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51" spans="1:57" ht="51.75" x14ac:dyDescent="0.25">
      <c r="A51" s="53" t="s">
        <v>263</v>
      </c>
      <c r="B51" s="53" t="s">
        <v>263</v>
      </c>
      <c r="C51" s="332" t="s">
        <v>264</v>
      </c>
      <c r="D51" s="104" t="s">
        <v>72</v>
      </c>
      <c r="E51" s="104"/>
      <c r="F51" s="104" t="s">
        <v>72</v>
      </c>
      <c r="G51" s="104"/>
      <c r="H51" s="104" t="s">
        <v>72</v>
      </c>
      <c r="I51" s="104" t="s">
        <v>72</v>
      </c>
      <c r="J51" s="104"/>
      <c r="K51" s="96" t="s">
        <v>73</v>
      </c>
      <c r="L51" s="96" t="s">
        <v>200</v>
      </c>
      <c r="M51" s="96" t="s">
        <v>201</v>
      </c>
      <c r="N51" s="96" t="s">
        <v>76</v>
      </c>
      <c r="O51" s="101">
        <f>VLOOKUP(Tabla156[[#This Row],[Matricula Antigua]],BAJA2022202320242025!$B$3:$CR$245,93,FALSE)</f>
        <v>44133</v>
      </c>
      <c r="P51" s="316">
        <v>45594</v>
      </c>
      <c r="Q51" s="317">
        <f>Tabla156[[#This Row],[F.Vig.Final]]-Tabla156[[#This Row],[f Vig Inicio]]</f>
        <v>1461</v>
      </c>
      <c r="R51" s="318">
        <f>YEAR(Tabla156[[#This Row],[F.Vig.Final]])</f>
        <v>2024</v>
      </c>
      <c r="S51" s="96" t="s">
        <v>77</v>
      </c>
      <c r="T51" s="96" t="s">
        <v>78</v>
      </c>
      <c r="U51" s="96" t="s">
        <v>213</v>
      </c>
      <c r="V51" s="96" t="s">
        <v>237</v>
      </c>
      <c r="W51" s="96" t="s">
        <v>119</v>
      </c>
      <c r="X51" s="332" t="s">
        <v>1674</v>
      </c>
      <c r="Y51" s="96" t="s">
        <v>265</v>
      </c>
      <c r="Z51" s="98">
        <f>COUNTIF($X$3:X51, X51)</f>
        <v>7</v>
      </c>
      <c r="AA51" s="337" t="s">
        <v>1661</v>
      </c>
      <c r="AB51" s="337" t="s">
        <v>1661</v>
      </c>
      <c r="AC51" s="337" t="s">
        <v>1662</v>
      </c>
      <c r="AD51" s="337" t="s">
        <v>1663</v>
      </c>
      <c r="AE51" s="342" t="s">
        <v>1664</v>
      </c>
      <c r="AF51" s="337" t="s">
        <v>1665</v>
      </c>
      <c r="AG51" s="337" t="s">
        <v>1666</v>
      </c>
      <c r="AH51" s="337" t="s">
        <v>1649</v>
      </c>
      <c r="AI51" s="337" t="s">
        <v>266</v>
      </c>
      <c r="AJ51" s="98" t="s">
        <v>140</v>
      </c>
      <c r="AK51" s="98" t="s">
        <v>151</v>
      </c>
      <c r="AL51" s="98" t="s">
        <v>87</v>
      </c>
      <c r="AM51" s="101" t="s">
        <v>267</v>
      </c>
      <c r="AN51" s="348" t="s">
        <v>89</v>
      </c>
      <c r="AO51" s="349">
        <v>45625</v>
      </c>
      <c r="AP51" s="98">
        <f>Tabla156[[#This Row],[Renov. Flota]]-Tabla156[[#This Row],[Año]]</f>
        <v>0</v>
      </c>
      <c r="AQ51" s="100" t="s">
        <v>119</v>
      </c>
      <c r="AR51" s="100" t="str">
        <f>VLOOKUP(Tabla156[[#This Row],[Matricula nueva]],'ALTA 20242025'!$B$2:$P$242,15,FALSE)</f>
        <v>4500424792</v>
      </c>
      <c r="AS51" s="101" t="s">
        <v>120</v>
      </c>
      <c r="AT51" s="101"/>
      <c r="AU51" s="101" t="s">
        <v>72</v>
      </c>
      <c r="AV51" s="101" t="s">
        <v>91</v>
      </c>
      <c r="AW51" s="101" t="str">
        <f>VLOOKUP(Tabla156[[#This Row],[Matricula nueva]],Hoja2!$A$1:$B$224,2,FALSE)</f>
        <v>VR7CBZYA9RT152182</v>
      </c>
      <c r="AX51" s="209">
        <f>IF(Tabla156[[#This Row],[Columna2]]="M1",5.1,"")</f>
        <v>5.0999999999999996</v>
      </c>
      <c r="AY51" s="208">
        <f>IF(T51="DIESEL",10,IF(T51="GLP",7.16,9.19))</f>
        <v>10</v>
      </c>
      <c r="AZ51" s="313">
        <v>16.399999999999999</v>
      </c>
      <c r="BA51" s="314">
        <f>IF(Tabla156[[#This Row],[Columna2]]="M1",13073,IF(Tabla156[[#This Row],[Columna2]]="N1",15815,IF(Tabla156[[#This Row],[Columna2]]="L3e",2831,53508)))</f>
        <v>13073</v>
      </c>
      <c r="BB51" s="350">
        <f>(Tabla156[[#This Row],[CVA]]*Tabla156[[#This Row],[F]]-Tabla156[[#This Row],[CVN]])/100*Tabla156[[#This Row],[L]]</f>
        <v>4523.2580000000007</v>
      </c>
      <c r="BC51" s="294" t="s">
        <v>70</v>
      </c>
      <c r="BD51" s="209">
        <f>VLOOKUP(B51,Tabla467824[[ID CAE2]:[AE '[kWh']]],6,FALSE)</f>
        <v>6795.3454000000002</v>
      </c>
      <c r="BE5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52" spans="1:57" ht="51.75" x14ac:dyDescent="0.25">
      <c r="A52" s="53" t="s">
        <v>270</v>
      </c>
      <c r="B52" s="53" t="s">
        <v>270</v>
      </c>
      <c r="C52" s="332" t="s">
        <v>271</v>
      </c>
      <c r="D52" s="104" t="s">
        <v>72</v>
      </c>
      <c r="E52" s="104"/>
      <c r="F52" s="104" t="s">
        <v>72</v>
      </c>
      <c r="G52" s="104"/>
      <c r="H52" s="104" t="s">
        <v>72</v>
      </c>
      <c r="I52" s="104" t="s">
        <v>72</v>
      </c>
      <c r="J52" s="104"/>
      <c r="K52" s="96" t="s">
        <v>73</v>
      </c>
      <c r="L52" s="96" t="s">
        <v>200</v>
      </c>
      <c r="M52" s="96" t="s">
        <v>201</v>
      </c>
      <c r="N52" s="96" t="s">
        <v>76</v>
      </c>
      <c r="O52" s="101">
        <f>VLOOKUP(Tabla156[[#This Row],[Matricula Antigua]],BAJA2022202320242025!$B$3:$CR$245,93,FALSE)</f>
        <v>44134</v>
      </c>
      <c r="P52" s="316">
        <v>45595</v>
      </c>
      <c r="Q52" s="317">
        <f>Tabla156[[#This Row],[F.Vig.Final]]-Tabla156[[#This Row],[f Vig Inicio]]</f>
        <v>1461</v>
      </c>
      <c r="R52" s="318">
        <f>YEAR(Tabla156[[#This Row],[F.Vig.Final]])</f>
        <v>2024</v>
      </c>
      <c r="S52" s="96" t="s">
        <v>77</v>
      </c>
      <c r="T52" s="96" t="s">
        <v>78</v>
      </c>
      <c r="U52" s="96" t="s">
        <v>213</v>
      </c>
      <c r="V52" s="96" t="s">
        <v>237</v>
      </c>
      <c r="W52" s="96" t="s">
        <v>81</v>
      </c>
      <c r="X52" s="332" t="s">
        <v>82</v>
      </c>
      <c r="Y52" s="96" t="s">
        <v>164</v>
      </c>
      <c r="Z52" s="98">
        <f>COUNTIF($X$3:X52, X52)</f>
        <v>8</v>
      </c>
      <c r="AA52" s="337" t="s">
        <v>1661</v>
      </c>
      <c r="AB52" s="337" t="s">
        <v>1661</v>
      </c>
      <c r="AC52" s="337" t="s">
        <v>1662</v>
      </c>
      <c r="AD52" s="337" t="s">
        <v>1663</v>
      </c>
      <c r="AE52" s="342" t="s">
        <v>1664</v>
      </c>
      <c r="AF52" s="337" t="s">
        <v>1665</v>
      </c>
      <c r="AG52" s="337" t="s">
        <v>1666</v>
      </c>
      <c r="AH52" s="337" t="s">
        <v>1649</v>
      </c>
      <c r="AI52" s="337" t="s">
        <v>272</v>
      </c>
      <c r="AJ52" s="98" t="s">
        <v>140</v>
      </c>
      <c r="AK52" s="98" t="s">
        <v>151</v>
      </c>
      <c r="AL52" s="98" t="s">
        <v>87</v>
      </c>
      <c r="AM52" s="101" t="s">
        <v>164</v>
      </c>
      <c r="AN52" s="348" t="s">
        <v>89</v>
      </c>
      <c r="AO52" s="349">
        <v>45625</v>
      </c>
      <c r="AP52" s="98">
        <f>Tabla156[[#This Row],[Renov. Flota]]-Tabla156[[#This Row],[Año]]</f>
        <v>0</v>
      </c>
      <c r="AQ52" s="100" t="s">
        <v>81</v>
      </c>
      <c r="AR52" s="100" t="str">
        <f>VLOOKUP(Tabla156[[#This Row],[Matricula nueva]],'ALTA 20242025'!$B$2:$P$242,15,FALSE)</f>
        <v>4500424794</v>
      </c>
      <c r="AS52" s="101" t="s">
        <v>82</v>
      </c>
      <c r="AT52" s="101"/>
      <c r="AU52" s="101" t="s">
        <v>72</v>
      </c>
      <c r="AV52" s="101" t="s">
        <v>91</v>
      </c>
      <c r="AW52" s="101" t="str">
        <f>VLOOKUP(Tabla156[[#This Row],[Matricula nueva]],Hoja2!$A$1:$B$224,2,FALSE)</f>
        <v>VR7CBZYA5RT154429</v>
      </c>
      <c r="AX52" s="209">
        <f>IF(Tabla156[[#This Row],[Columna2]]="M1",5.1,"")</f>
        <v>5.0999999999999996</v>
      </c>
      <c r="AY52" s="208">
        <f>IF(T52="DIESEL",10,IF(T52="GLP",7.16,9.19))</f>
        <v>10</v>
      </c>
      <c r="AZ52" s="313">
        <v>16.399999999999999</v>
      </c>
      <c r="BA52" s="314">
        <f>IF(Tabla156[[#This Row],[Columna2]]="M1",13073,IF(Tabla156[[#This Row],[Columna2]]="N1",15815,IF(Tabla156[[#This Row],[Columna2]]="L3e",2831,53508)))</f>
        <v>13073</v>
      </c>
      <c r="BB52" s="350">
        <f>(Tabla156[[#This Row],[CVA]]*Tabla156[[#This Row],[F]]-Tabla156[[#This Row],[CVN]])/100*Tabla156[[#This Row],[L]]</f>
        <v>4523.2580000000007</v>
      </c>
      <c r="BC52" s="294" t="s">
        <v>70</v>
      </c>
      <c r="BD52" s="209">
        <f>VLOOKUP(B52,Tabla467824[[ID CAE2]:[AE '[kWh']]],6,FALSE)</f>
        <v>6795.3454000000002</v>
      </c>
      <c r="BE5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53" spans="1:57" ht="52.5" thickBot="1" x14ac:dyDescent="0.3">
      <c r="A53" s="53" t="s">
        <v>275</v>
      </c>
      <c r="B53" s="53" t="s">
        <v>275</v>
      </c>
      <c r="C53" s="332" t="s">
        <v>276</v>
      </c>
      <c r="D53" s="104" t="s">
        <v>72</v>
      </c>
      <c r="E53" s="104"/>
      <c r="F53" s="104" t="s">
        <v>72</v>
      </c>
      <c r="G53" s="104"/>
      <c r="H53" s="104" t="s">
        <v>72</v>
      </c>
      <c r="I53" s="104" t="s">
        <v>72</v>
      </c>
      <c r="J53" s="104"/>
      <c r="K53" s="96" t="s">
        <v>73</v>
      </c>
      <c r="L53" s="96" t="s">
        <v>200</v>
      </c>
      <c r="M53" s="96" t="s">
        <v>201</v>
      </c>
      <c r="N53" s="96" t="s">
        <v>76</v>
      </c>
      <c r="O53" s="101">
        <f>VLOOKUP(Tabla156[[#This Row],[Matricula Antigua]],BAJA2022202320242025!$B$3:$CR$245,93,FALSE)</f>
        <v>44166</v>
      </c>
      <c r="P53" s="316">
        <v>45627</v>
      </c>
      <c r="Q53" s="317">
        <f>Tabla156[[#This Row],[F.Vig.Final]]-Tabla156[[#This Row],[f Vig Inicio]]</f>
        <v>1461</v>
      </c>
      <c r="R53" s="318">
        <f>YEAR(Tabla156[[#This Row],[F.Vig.Final]])</f>
        <v>2024</v>
      </c>
      <c r="S53" s="96" t="s">
        <v>77</v>
      </c>
      <c r="T53" s="96" t="s">
        <v>78</v>
      </c>
      <c r="U53" s="96" t="s">
        <v>213</v>
      </c>
      <c r="V53" s="96" t="s">
        <v>237</v>
      </c>
      <c r="W53" s="96" t="s">
        <v>204</v>
      </c>
      <c r="X53" s="332" t="s">
        <v>205</v>
      </c>
      <c r="Y53" s="96" t="s">
        <v>230</v>
      </c>
      <c r="Z53" s="98">
        <f>COUNTIF($X$3:X53, X53)</f>
        <v>4</v>
      </c>
      <c r="AA53" s="337" t="s">
        <v>1661</v>
      </c>
      <c r="AB53" s="337" t="s">
        <v>1661</v>
      </c>
      <c r="AC53" s="337" t="s">
        <v>1662</v>
      </c>
      <c r="AD53" s="337" t="s">
        <v>1679</v>
      </c>
      <c r="AE53" s="351" t="s">
        <v>1664</v>
      </c>
      <c r="AF53" s="337" t="s">
        <v>1680</v>
      </c>
      <c r="AG53" s="337" t="s">
        <v>1681</v>
      </c>
      <c r="AH53" s="337" t="s">
        <v>1649</v>
      </c>
      <c r="AI53" s="337" t="s">
        <v>277</v>
      </c>
      <c r="AJ53" s="98" t="s">
        <v>140</v>
      </c>
      <c r="AK53" s="98" t="s">
        <v>151</v>
      </c>
      <c r="AL53" s="98" t="s">
        <v>87</v>
      </c>
      <c r="AM53" s="101" t="s">
        <v>278</v>
      </c>
      <c r="AN53" s="348" t="s">
        <v>89</v>
      </c>
      <c r="AO53" s="349">
        <v>45638</v>
      </c>
      <c r="AP53" s="98">
        <f>Tabla156[[#This Row],[Renov. Flota]]-Tabla156[[#This Row],[Año]]</f>
        <v>0</v>
      </c>
      <c r="AQ53" s="100" t="s">
        <v>204</v>
      </c>
      <c r="AR53" s="100" t="str">
        <f>VLOOKUP(Tabla156[[#This Row],[Matricula nueva]],'ALTA 20242025'!$B$2:$P$242,15,FALSE)</f>
        <v>4500424898</v>
      </c>
      <c r="AS53" s="101" t="s">
        <v>205</v>
      </c>
      <c r="AT53" s="101"/>
      <c r="AU53" s="101" t="s">
        <v>72</v>
      </c>
      <c r="AV53" s="101" t="s">
        <v>91</v>
      </c>
      <c r="AW53" s="101" t="str">
        <f>VLOOKUP(Tabla156[[#This Row],[Matricula nueva]],Hoja2!$A$1:$B$224,2,FALSE)</f>
        <v>VR7CBZYA1RT153035</v>
      </c>
      <c r="AX53" s="209">
        <f>IF(Tabla156[[#This Row],[Columna2]]="M1",5.1,"")</f>
        <v>5.0999999999999996</v>
      </c>
      <c r="AY53" s="208">
        <f>IF(T53="DIESEL",10,IF(T53="GLP",7.16,9.19))</f>
        <v>10</v>
      </c>
      <c r="AZ53" s="313">
        <v>16.399999999999999</v>
      </c>
      <c r="BA53" s="314">
        <f>IF(Tabla156[[#This Row],[Columna2]]="M1",13073,IF(Tabla156[[#This Row],[Columna2]]="N1",15815,IF(Tabla156[[#This Row],[Columna2]]="L3e",2831,53508)))</f>
        <v>13073</v>
      </c>
      <c r="BB53" s="350">
        <f>(Tabla156[[#This Row],[CVA]]*Tabla156[[#This Row],[F]]-Tabla156[[#This Row],[CVN]])/100*Tabla156[[#This Row],[L]]</f>
        <v>4523.2580000000007</v>
      </c>
      <c r="BC53" s="91" t="s">
        <v>70</v>
      </c>
      <c r="BD53" s="209">
        <f>VLOOKUP(B53,Tabla467824[[ID CAE2]:[AE '[kWh']]],6,FALSE)</f>
        <v>6795.3454000000002</v>
      </c>
      <c r="BE5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54" spans="1:57" ht="15.75" hidden="1" thickBot="1" x14ac:dyDescent="0.3">
      <c r="A54" s="53" t="s">
        <v>1218</v>
      </c>
      <c r="B54" s="53" t="e">
        <v>#N/A</v>
      </c>
      <c r="C54" s="96" t="s">
        <v>1219</v>
      </c>
      <c r="D54" s="96"/>
      <c r="E54" s="96"/>
      <c r="F54" s="96"/>
      <c r="G54" s="96"/>
      <c r="H54" s="96"/>
      <c r="I54" s="96"/>
      <c r="J54" s="96"/>
      <c r="K54" s="96" t="s">
        <v>1143</v>
      </c>
      <c r="L54" s="96" t="s">
        <v>74</v>
      </c>
      <c r="M54" s="96" t="s">
        <v>75</v>
      </c>
      <c r="N54" s="96" t="s">
        <v>76</v>
      </c>
      <c r="O54" s="101">
        <f>VLOOKUP(Tabla156[[#This Row],[Matricula Antigua]],BAJA2022202320242025!$B$3:$CR$245,93,FALSE)</f>
        <v>44664</v>
      </c>
      <c r="P54" s="99">
        <v>45260</v>
      </c>
      <c r="Q54" s="98">
        <f>Tabla156[[#This Row],[F.Vig.Final]]-Tabla156[[#This Row],[f Vig Inicio]]</f>
        <v>596</v>
      </c>
      <c r="R54" s="99">
        <f>YEAR(Tabla156[[#This Row],[F.Vig.Final]])</f>
        <v>2023</v>
      </c>
      <c r="S54" s="96" t="s">
        <v>77</v>
      </c>
      <c r="T54" s="96" t="s">
        <v>78</v>
      </c>
      <c r="U54" s="96" t="s">
        <v>1203</v>
      </c>
      <c r="V54" s="96" t="s">
        <v>1049</v>
      </c>
      <c r="W54" s="96" t="s">
        <v>1050</v>
      </c>
      <c r="X54" s="96" t="s">
        <v>1051</v>
      </c>
      <c r="Y54" s="96" t="s">
        <v>1220</v>
      </c>
      <c r="Z54" s="98">
        <f>COUNTIF($X$3:X54, X54)</f>
        <v>3</v>
      </c>
      <c r="AA54" s="98"/>
      <c r="AB54" s="98"/>
      <c r="AC54" s="98"/>
      <c r="AD54" s="98"/>
      <c r="AE54" s="98"/>
      <c r="AF54" s="98"/>
      <c r="AG54" s="98"/>
      <c r="AH54" s="98"/>
      <c r="AI54" s="98" t="e">
        <v>#N/A</v>
      </c>
      <c r="AJ54" s="98" t="e">
        <v>#N/A</v>
      </c>
      <c r="AK54" s="98" t="e">
        <v>#N/A</v>
      </c>
      <c r="AL54" s="98" t="e">
        <v>#N/A</v>
      </c>
      <c r="AM54" s="98" t="e">
        <v>#N/A</v>
      </c>
      <c r="AN54" s="99" t="e">
        <v>#N/A</v>
      </c>
      <c r="AO54" s="99" t="e">
        <v>#N/A</v>
      </c>
      <c r="AP54" s="99" t="e">
        <f>Tabla156[[#This Row],[Renov. Flota]]-Tabla156[[#This Row],[Año]]</f>
        <v>#N/A</v>
      </c>
      <c r="AQ54" s="100" t="e">
        <v>#N/A</v>
      </c>
      <c r="AR54" s="100" t="e">
        <f>VLOOKUP(Tabla156[[#This Row],[Matricula nueva]],'ALTA 20242025'!$B$2:$P$242,15,FALSE)</f>
        <v>#N/A</v>
      </c>
      <c r="AS54" s="101" t="e">
        <v>#N/A</v>
      </c>
      <c r="AT54" s="101"/>
      <c r="AU54" s="101"/>
      <c r="AV54" s="101"/>
      <c r="AW54" s="101" t="e">
        <f>VLOOKUP(Tabla156[[#This Row],[Matricula nueva]],Hoja2!$A$1:$B$224,2,FALSE)</f>
        <v>#N/A</v>
      </c>
      <c r="AX54" s="101" t="str">
        <f>IF(Tabla156[[#This Row],[Columna2]]="M1",5.1,"")</f>
        <v/>
      </c>
      <c r="AY54" s="101"/>
      <c r="AZ54" s="101"/>
      <c r="BA54" s="311">
        <f>IF(Tabla156[[#This Row],[Columna2]]="M1",13073,IF(Tabla156[[#This Row],[Columna2]]="N1",15815,IF(Tabla156[[#This Row],[Columna2]]="L3e",2831,53508)))</f>
        <v>53508</v>
      </c>
      <c r="BB54" s="311" t="e">
        <f>(Tabla156[[#This Row],[CVA]]*Tabla156[[#This Row],[F]]-Tabla156[[#This Row],[CVN]])/100*Tabla156[[#This Row],[L]]</f>
        <v>#VALUE!</v>
      </c>
      <c r="BC54" s="1"/>
      <c r="BD54" s="1" t="e">
        <f>VLOOKUP(B54,Tabla467824[[ID CAE2]:[AE '[kWh']]],6,FALSE)</f>
        <v>#N/A</v>
      </c>
      <c r="BE5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55" spans="1:57" ht="15.75" hidden="1" thickBot="1" x14ac:dyDescent="0.3">
      <c r="A55" s="53" t="s">
        <v>1221</v>
      </c>
      <c r="B55" s="53" t="e">
        <v>#N/A</v>
      </c>
      <c r="C55" s="96" t="s">
        <v>1222</v>
      </c>
      <c r="D55" s="96"/>
      <c r="E55" s="96"/>
      <c r="F55" s="96"/>
      <c r="G55" s="96"/>
      <c r="H55" s="96"/>
      <c r="I55" s="96"/>
      <c r="J55" s="96"/>
      <c r="K55" s="96" t="s">
        <v>158</v>
      </c>
      <c r="L55" s="96" t="s">
        <v>159</v>
      </c>
      <c r="M55" s="96" t="s">
        <v>158</v>
      </c>
      <c r="N55" s="96" t="s">
        <v>171</v>
      </c>
      <c r="O55" s="101">
        <f>VLOOKUP(Tabla156[[#This Row],[Matricula Antigua]],BAJA2022202320242025!$B$3:$CR$245,93,FALSE)</f>
        <v>40038</v>
      </c>
      <c r="P55" s="99">
        <v>45090</v>
      </c>
      <c r="Q55" s="98">
        <f>Tabla156[[#This Row],[F.Vig.Final]]-Tabla156[[#This Row],[f Vig Inicio]]</f>
        <v>5052</v>
      </c>
      <c r="R55" s="99">
        <f>YEAR(Tabla156[[#This Row],[F.Vig.Final]])</f>
        <v>2023</v>
      </c>
      <c r="S55" s="96" t="s">
        <v>172</v>
      </c>
      <c r="T55" s="96" t="s">
        <v>78</v>
      </c>
      <c r="U55" s="96" t="s">
        <v>1203</v>
      </c>
      <c r="V55" s="96" t="s">
        <v>1049</v>
      </c>
      <c r="W55" s="96" t="s">
        <v>1050</v>
      </c>
      <c r="X55" s="96" t="s">
        <v>1051</v>
      </c>
      <c r="Y55" s="96" t="s">
        <v>1145</v>
      </c>
      <c r="Z55" s="98">
        <f>COUNTIF($X$3:X55, X55)</f>
        <v>4</v>
      </c>
      <c r="AA55" s="98"/>
      <c r="AB55" s="98"/>
      <c r="AC55" s="98"/>
      <c r="AD55" s="98"/>
      <c r="AE55" s="320"/>
      <c r="AF55" s="98"/>
      <c r="AG55" s="98"/>
      <c r="AH55" s="98"/>
      <c r="AI55" s="98" t="e">
        <v>#N/A</v>
      </c>
      <c r="AJ55" s="98" t="e">
        <v>#N/A</v>
      </c>
      <c r="AK55" s="98" t="e">
        <v>#N/A</v>
      </c>
      <c r="AL55" s="98" t="e">
        <v>#N/A</v>
      </c>
      <c r="AM55" s="98" t="e">
        <v>#N/A</v>
      </c>
      <c r="AN55" s="99" t="e">
        <v>#N/A</v>
      </c>
      <c r="AO55" s="99" t="e">
        <v>#N/A</v>
      </c>
      <c r="AP55" s="99" t="e">
        <f>Tabla156[[#This Row],[Renov. Flota]]-Tabla156[[#This Row],[Año]]</f>
        <v>#N/A</v>
      </c>
      <c r="AQ55" s="100" t="e">
        <v>#N/A</v>
      </c>
      <c r="AR55" s="100" t="e">
        <f>VLOOKUP(Tabla156[[#This Row],[Matricula nueva]],'ALTA 20242025'!$B$2:$P$242,15,FALSE)</f>
        <v>#N/A</v>
      </c>
      <c r="AS55" s="101" t="e">
        <v>#N/A</v>
      </c>
      <c r="AT55" s="101"/>
      <c r="AU55" s="101"/>
      <c r="AV55" s="101"/>
      <c r="AW55" s="101" t="e">
        <f>VLOOKUP(Tabla156[[#This Row],[Matricula nueva]],Hoja2!$A$1:$B$224,2,FALSE)</f>
        <v>#N/A</v>
      </c>
      <c r="AX55" s="101" t="str">
        <f>IF(Tabla156[[#This Row],[Columna2]]="M1",5.1,"")</f>
        <v/>
      </c>
      <c r="AY55" s="101"/>
      <c r="AZ55" s="101"/>
      <c r="BA55" s="311">
        <f>IF(Tabla156[[#This Row],[Columna2]]="M1",13073,IF(Tabla156[[#This Row],[Columna2]]="N1",15815,IF(Tabla156[[#This Row],[Columna2]]="L3e",2831,53508)))</f>
        <v>53508</v>
      </c>
      <c r="BB55" s="311" t="e">
        <f>(Tabla156[[#This Row],[CVA]]*Tabla156[[#This Row],[F]]-Tabla156[[#This Row],[CVN]])/100*Tabla156[[#This Row],[L]]</f>
        <v>#VALUE!</v>
      </c>
      <c r="BC55" s="1"/>
      <c r="BD55" s="1" t="e">
        <f>VLOOKUP(B55,Tabla467824[[ID CAE2]:[AE '[kWh']]],6,FALSE)</f>
        <v>#N/A</v>
      </c>
      <c r="BE5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56" spans="1:57" ht="51.75" x14ac:dyDescent="0.25">
      <c r="A56" s="53" t="s">
        <v>281</v>
      </c>
      <c r="B56" s="53" t="s">
        <v>281</v>
      </c>
      <c r="C56" s="332" t="s">
        <v>282</v>
      </c>
      <c r="D56" s="104" t="s">
        <v>72</v>
      </c>
      <c r="E56" s="104"/>
      <c r="F56" s="104" t="s">
        <v>72</v>
      </c>
      <c r="G56" s="104"/>
      <c r="H56" s="104" t="s">
        <v>72</v>
      </c>
      <c r="I56" s="104" t="s">
        <v>72</v>
      </c>
      <c r="J56" s="104"/>
      <c r="K56" s="96" t="s">
        <v>73</v>
      </c>
      <c r="L56" s="96" t="s">
        <v>200</v>
      </c>
      <c r="M56" s="96" t="s">
        <v>201</v>
      </c>
      <c r="N56" s="96" t="s">
        <v>76</v>
      </c>
      <c r="O56" s="101">
        <f>VLOOKUP(Tabla156[[#This Row],[Matricula Antigua]],BAJA2022202320242025!$B$3:$CR$245,93,FALSE)</f>
        <v>44166</v>
      </c>
      <c r="P56" s="316">
        <v>45627</v>
      </c>
      <c r="Q56" s="317">
        <f>Tabla156[[#This Row],[F.Vig.Final]]-Tabla156[[#This Row],[f Vig Inicio]]</f>
        <v>1461</v>
      </c>
      <c r="R56" s="318">
        <f>YEAR(Tabla156[[#This Row],[F.Vig.Final]])</f>
        <v>2024</v>
      </c>
      <c r="S56" s="96" t="s">
        <v>77</v>
      </c>
      <c r="T56" s="96" t="s">
        <v>78</v>
      </c>
      <c r="U56" s="96" t="s">
        <v>213</v>
      </c>
      <c r="V56" s="96" t="s">
        <v>237</v>
      </c>
      <c r="W56" s="96" t="s">
        <v>81</v>
      </c>
      <c r="X56" s="332" t="s">
        <v>82</v>
      </c>
      <c r="Y56" s="96" t="s">
        <v>88</v>
      </c>
      <c r="Z56" s="98">
        <f>COUNTIF($X$3:X56, X56)</f>
        <v>9</v>
      </c>
      <c r="AA56" s="337" t="s">
        <v>1661</v>
      </c>
      <c r="AB56" s="337" t="s">
        <v>1661</v>
      </c>
      <c r="AC56" s="337" t="s">
        <v>1662</v>
      </c>
      <c r="AD56" s="337" t="s">
        <v>1663</v>
      </c>
      <c r="AE56" s="342" t="s">
        <v>1664</v>
      </c>
      <c r="AF56" s="337" t="s">
        <v>1665</v>
      </c>
      <c r="AG56" s="337" t="s">
        <v>1666</v>
      </c>
      <c r="AH56" s="337" t="s">
        <v>1649</v>
      </c>
      <c r="AI56" s="337" t="s">
        <v>283</v>
      </c>
      <c r="AJ56" s="98" t="s">
        <v>140</v>
      </c>
      <c r="AK56" s="98" t="s">
        <v>151</v>
      </c>
      <c r="AL56" s="98" t="s">
        <v>87</v>
      </c>
      <c r="AM56" s="101" t="s">
        <v>88</v>
      </c>
      <c r="AN56" s="348" t="s">
        <v>89</v>
      </c>
      <c r="AO56" s="349">
        <v>45625</v>
      </c>
      <c r="AP56" s="98">
        <f>Tabla156[[#This Row],[Renov. Flota]]-Tabla156[[#This Row],[Año]]</f>
        <v>0</v>
      </c>
      <c r="AQ56" s="100" t="s">
        <v>81</v>
      </c>
      <c r="AR56" s="100" t="str">
        <f>VLOOKUP(Tabla156[[#This Row],[Matricula nueva]],'ALTA 20242025'!$B$2:$P$242,15,FALSE)</f>
        <v>4500424809</v>
      </c>
      <c r="AS56" s="101" t="s">
        <v>82</v>
      </c>
      <c r="AT56" s="101"/>
      <c r="AU56" s="101" t="s">
        <v>72</v>
      </c>
      <c r="AV56" s="101" t="s">
        <v>91</v>
      </c>
      <c r="AW56" s="101" t="str">
        <f>VLOOKUP(Tabla156[[#This Row],[Matricula nueva]],Hoja2!$A$1:$B$224,2,FALSE)</f>
        <v>VR7CBZYA2RT152198</v>
      </c>
      <c r="AX56" s="209">
        <f>IF(Tabla156[[#This Row],[Columna2]]="M1",5.1,"")</f>
        <v>5.0999999999999996</v>
      </c>
      <c r="AY56" s="208">
        <f>IF(T56="DIESEL",10,IF(T56="GLP",7.16,9.19))</f>
        <v>10</v>
      </c>
      <c r="AZ56" s="313">
        <v>16.399999999999999</v>
      </c>
      <c r="BA56" s="314">
        <f>IF(Tabla156[[#This Row],[Columna2]]="M1",13073,IF(Tabla156[[#This Row],[Columna2]]="N1",15815,IF(Tabla156[[#This Row],[Columna2]]="L3e",2831,53508)))</f>
        <v>13073</v>
      </c>
      <c r="BB56" s="350">
        <f>(Tabla156[[#This Row],[CVA]]*Tabla156[[#This Row],[F]]-Tabla156[[#This Row],[CVN]])/100*Tabla156[[#This Row],[L]]</f>
        <v>4523.2580000000007</v>
      </c>
      <c r="BC56" s="90" t="s">
        <v>70</v>
      </c>
      <c r="BD56" s="209">
        <f>VLOOKUP(B56,Tabla467824[[ID CAE2]:[AE '[kWh']]],6,FALSE)</f>
        <v>6795.3454000000002</v>
      </c>
      <c r="BE5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57" spans="1:57" ht="52.5" thickBot="1" x14ac:dyDescent="0.3">
      <c r="A57" s="53" t="s">
        <v>286</v>
      </c>
      <c r="B57" s="53" t="s">
        <v>286</v>
      </c>
      <c r="C57" s="332" t="s">
        <v>287</v>
      </c>
      <c r="D57" s="104" t="s">
        <v>72</v>
      </c>
      <c r="E57" s="104"/>
      <c r="F57" s="104" t="s">
        <v>72</v>
      </c>
      <c r="G57" s="104"/>
      <c r="H57" s="104" t="s">
        <v>72</v>
      </c>
      <c r="I57" s="104" t="s">
        <v>72</v>
      </c>
      <c r="J57" s="104"/>
      <c r="K57" s="96" t="s">
        <v>73</v>
      </c>
      <c r="L57" s="96" t="s">
        <v>200</v>
      </c>
      <c r="M57" s="96" t="s">
        <v>201</v>
      </c>
      <c r="N57" s="96" t="s">
        <v>76</v>
      </c>
      <c r="O57" s="101">
        <f>VLOOKUP(Tabla156[[#This Row],[Matricula Antigua]],BAJA2022202320242025!$B$3:$CR$245,93,FALSE)</f>
        <v>44166</v>
      </c>
      <c r="P57" s="316">
        <v>45627</v>
      </c>
      <c r="Q57" s="317">
        <f>Tabla156[[#This Row],[F.Vig.Final]]-Tabla156[[#This Row],[f Vig Inicio]]</f>
        <v>1461</v>
      </c>
      <c r="R57" s="318">
        <f>YEAR(Tabla156[[#This Row],[F.Vig.Final]])</f>
        <v>2024</v>
      </c>
      <c r="S57" s="96" t="s">
        <v>77</v>
      </c>
      <c r="T57" s="96" t="s">
        <v>78</v>
      </c>
      <c r="U57" s="96" t="s">
        <v>213</v>
      </c>
      <c r="V57" s="96" t="s">
        <v>237</v>
      </c>
      <c r="W57" s="96" t="s">
        <v>204</v>
      </c>
      <c r="X57" s="332" t="s">
        <v>205</v>
      </c>
      <c r="Y57" s="96" t="s">
        <v>230</v>
      </c>
      <c r="Z57" s="98">
        <f>COUNTIF($X$3:X57, X57)</f>
        <v>5</v>
      </c>
      <c r="AA57" s="337" t="s">
        <v>1661</v>
      </c>
      <c r="AB57" s="337" t="s">
        <v>1661</v>
      </c>
      <c r="AC57" s="337" t="s">
        <v>1662</v>
      </c>
      <c r="AD57" s="337" t="s">
        <v>1679</v>
      </c>
      <c r="AE57" s="351" t="s">
        <v>1664</v>
      </c>
      <c r="AF57" s="337" t="s">
        <v>1680</v>
      </c>
      <c r="AG57" s="337" t="s">
        <v>1681</v>
      </c>
      <c r="AH57" s="337" t="s">
        <v>1649</v>
      </c>
      <c r="AI57" s="337" t="s">
        <v>288</v>
      </c>
      <c r="AJ57" s="98" t="s">
        <v>140</v>
      </c>
      <c r="AK57" s="98" t="s">
        <v>151</v>
      </c>
      <c r="AL57" s="98" t="s">
        <v>87</v>
      </c>
      <c r="AM57" s="101" t="s">
        <v>289</v>
      </c>
      <c r="AN57" s="348" t="s">
        <v>89</v>
      </c>
      <c r="AO57" s="349">
        <v>45638</v>
      </c>
      <c r="AP57" s="98">
        <f>Tabla156[[#This Row],[Renov. Flota]]-Tabla156[[#This Row],[Año]]</f>
        <v>0</v>
      </c>
      <c r="AQ57" s="100" t="s">
        <v>204</v>
      </c>
      <c r="AR57" s="100" t="str">
        <f>VLOOKUP(Tabla156[[#This Row],[Matricula nueva]],'ALTA 20242025'!$B$2:$P$242,15,FALSE)</f>
        <v>4500424889</v>
      </c>
      <c r="AS57" s="101" t="s">
        <v>205</v>
      </c>
      <c r="AT57" s="101"/>
      <c r="AU57" s="101" t="s">
        <v>72</v>
      </c>
      <c r="AV57" s="101" t="s">
        <v>91</v>
      </c>
      <c r="AW57" s="101" t="str">
        <f>VLOOKUP(Tabla156[[#This Row],[Matricula nueva]],Hoja2!$A$1:$B$224,2,FALSE)</f>
        <v>VR7CBZYA7RT154433</v>
      </c>
      <c r="AX57" s="209">
        <f>IF(Tabla156[[#This Row],[Columna2]]="M1",5.1,"")</f>
        <v>5.0999999999999996</v>
      </c>
      <c r="AY57" s="208">
        <f>IF(T57="DIESEL",10,IF(T57="GLP",7.16,9.19))</f>
        <v>10</v>
      </c>
      <c r="AZ57" s="313">
        <v>16.399999999999999</v>
      </c>
      <c r="BA57" s="314">
        <f>IF(Tabla156[[#This Row],[Columna2]]="M1",13073,IF(Tabla156[[#This Row],[Columna2]]="N1",15815,IF(Tabla156[[#This Row],[Columna2]]="L3e",2831,53508)))</f>
        <v>13073</v>
      </c>
      <c r="BB57" s="350">
        <f>(Tabla156[[#This Row],[CVA]]*Tabla156[[#This Row],[F]]-Tabla156[[#This Row],[CVN]])/100*Tabla156[[#This Row],[L]]</f>
        <v>4523.2580000000007</v>
      </c>
      <c r="BC57" s="91" t="s">
        <v>70</v>
      </c>
      <c r="BD57" s="209">
        <f>VLOOKUP(B57,Tabla467824[[ID CAE2]:[AE '[kWh']]],6,FALSE)</f>
        <v>6795.3454000000002</v>
      </c>
      <c r="BE5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58" spans="1:57" ht="15.75" hidden="1" thickBot="1" x14ac:dyDescent="0.3">
      <c r="A58" s="53" t="s">
        <v>1223</v>
      </c>
      <c r="B58" s="53" t="e">
        <v>#N/A</v>
      </c>
      <c r="C58" s="96" t="s">
        <v>1224</v>
      </c>
      <c r="D58" s="96"/>
      <c r="E58" s="96"/>
      <c r="F58" s="96"/>
      <c r="G58" s="96"/>
      <c r="H58" s="96"/>
      <c r="I58" s="96"/>
      <c r="J58" s="96"/>
      <c r="K58" s="96" t="s">
        <v>158</v>
      </c>
      <c r="L58" s="96" t="s">
        <v>159</v>
      </c>
      <c r="M58" s="96" t="s">
        <v>158</v>
      </c>
      <c r="N58" s="96" t="s">
        <v>171</v>
      </c>
      <c r="O58" s="101">
        <f>VLOOKUP(Tabla156[[#This Row],[Matricula Antigua]],BAJA2022202320242025!$B$3:$CR$245,93,FALSE)</f>
        <v>41393</v>
      </c>
      <c r="P58" s="99">
        <v>45124</v>
      </c>
      <c r="Q58" s="98">
        <f>Tabla156[[#This Row],[F.Vig.Final]]-Tabla156[[#This Row],[f Vig Inicio]]</f>
        <v>3731</v>
      </c>
      <c r="R58" s="99">
        <f>YEAR(Tabla156[[#This Row],[F.Vig.Final]])</f>
        <v>2023</v>
      </c>
      <c r="S58" s="96" t="s">
        <v>172</v>
      </c>
      <c r="T58" s="96" t="s">
        <v>78</v>
      </c>
      <c r="U58" s="96" t="s">
        <v>1048</v>
      </c>
      <c r="V58" s="96" t="s">
        <v>1225</v>
      </c>
      <c r="W58" s="96" t="s">
        <v>1050</v>
      </c>
      <c r="X58" s="96" t="s">
        <v>1051</v>
      </c>
      <c r="Y58" s="96" t="s">
        <v>1145</v>
      </c>
      <c r="Z58" s="98">
        <f>COUNTIF($X$3:X58, X58)</f>
        <v>5</v>
      </c>
      <c r="AA58" s="98"/>
      <c r="AB58" s="98"/>
      <c r="AC58" s="98"/>
      <c r="AD58" s="98"/>
      <c r="AE58" s="98"/>
      <c r="AF58" s="98"/>
      <c r="AG58" s="98"/>
      <c r="AH58" s="98"/>
      <c r="AI58" s="98" t="e">
        <v>#N/A</v>
      </c>
      <c r="AJ58" s="98" t="e">
        <v>#N/A</v>
      </c>
      <c r="AK58" s="98" t="e">
        <v>#N/A</v>
      </c>
      <c r="AL58" s="98" t="e">
        <v>#N/A</v>
      </c>
      <c r="AM58" s="98" t="e">
        <v>#N/A</v>
      </c>
      <c r="AN58" s="99" t="e">
        <v>#N/A</v>
      </c>
      <c r="AO58" s="99" t="e">
        <v>#N/A</v>
      </c>
      <c r="AP58" s="99" t="e">
        <f>Tabla156[[#This Row],[Renov. Flota]]-Tabla156[[#This Row],[Año]]</f>
        <v>#N/A</v>
      </c>
      <c r="AQ58" s="100" t="e">
        <v>#N/A</v>
      </c>
      <c r="AR58" s="100" t="e">
        <f>VLOOKUP(Tabla156[[#This Row],[Matricula nueva]],'ALTA 20242025'!$B$2:$P$242,15,FALSE)</f>
        <v>#N/A</v>
      </c>
      <c r="AS58" s="101" t="e">
        <v>#N/A</v>
      </c>
      <c r="AT58" s="101"/>
      <c r="AU58" s="101"/>
      <c r="AV58" s="101"/>
      <c r="AW58" s="101" t="e">
        <f>VLOOKUP(Tabla156[[#This Row],[Matricula nueva]],Hoja2!$A$1:$B$224,2,FALSE)</f>
        <v>#N/A</v>
      </c>
      <c r="AX58" s="101" t="str">
        <f>IF(Tabla156[[#This Row],[Columna2]]="M1",5.1,"")</f>
        <v/>
      </c>
      <c r="AY58" s="101"/>
      <c r="AZ58" s="101"/>
      <c r="BA58" s="311">
        <f>IF(Tabla156[[#This Row],[Columna2]]="M1",13073,IF(Tabla156[[#This Row],[Columna2]]="N1",15815,IF(Tabla156[[#This Row],[Columna2]]="L3e",2831,53508)))</f>
        <v>53508</v>
      </c>
      <c r="BB58" s="311" t="e">
        <f>(Tabla156[[#This Row],[CVA]]*Tabla156[[#This Row],[F]]-Tabla156[[#This Row],[CVN]])/100*Tabla156[[#This Row],[L]]</f>
        <v>#VALUE!</v>
      </c>
      <c r="BC58" s="1"/>
      <c r="BD58" s="1" t="e">
        <f>VLOOKUP(B58,Tabla467824[[ID CAE2]:[AE '[kWh']]],6,FALSE)</f>
        <v>#N/A</v>
      </c>
      <c r="BE5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59" spans="1:57" ht="15.75" hidden="1" thickBot="1" x14ac:dyDescent="0.3">
      <c r="A59" s="53" t="s">
        <v>1226</v>
      </c>
      <c r="B59" s="53" t="e">
        <v>#N/A</v>
      </c>
      <c r="C59" s="96" t="s">
        <v>1227</v>
      </c>
      <c r="D59" s="96"/>
      <c r="E59" s="96"/>
      <c r="F59" s="96"/>
      <c r="G59" s="96"/>
      <c r="H59" s="96"/>
      <c r="I59" s="96"/>
      <c r="J59" s="96"/>
      <c r="K59" s="96" t="s">
        <v>158</v>
      </c>
      <c r="L59" s="96" t="s">
        <v>159</v>
      </c>
      <c r="M59" s="96" t="s">
        <v>158</v>
      </c>
      <c r="N59" s="96" t="s">
        <v>171</v>
      </c>
      <c r="O59" s="101">
        <f>VLOOKUP(Tabla156[[#This Row],[Matricula Antigua]],BAJA2022202320242025!$B$3:$CR$245,93,FALSE)</f>
        <v>43439</v>
      </c>
      <c r="P59" s="99">
        <v>45124</v>
      </c>
      <c r="Q59" s="98">
        <f>Tabla156[[#This Row],[F.Vig.Final]]-Tabla156[[#This Row],[f Vig Inicio]]</f>
        <v>1685</v>
      </c>
      <c r="R59" s="99">
        <f>YEAR(Tabla156[[#This Row],[F.Vig.Final]])</f>
        <v>2023</v>
      </c>
      <c r="S59" s="96" t="s">
        <v>172</v>
      </c>
      <c r="T59" s="96" t="s">
        <v>78</v>
      </c>
      <c r="U59" s="96" t="s">
        <v>1203</v>
      </c>
      <c r="V59" s="96" t="s">
        <v>1049</v>
      </c>
      <c r="W59" s="96" t="s">
        <v>1050</v>
      </c>
      <c r="X59" s="96" t="s">
        <v>1051</v>
      </c>
      <c r="Y59" s="96" t="s">
        <v>1052</v>
      </c>
      <c r="Z59" s="98">
        <f>COUNTIF($X$3:X59, X59)</f>
        <v>6</v>
      </c>
      <c r="AA59" s="98"/>
      <c r="AB59" s="98"/>
      <c r="AC59" s="98"/>
      <c r="AD59" s="98"/>
      <c r="AE59" s="320"/>
      <c r="AF59" s="98"/>
      <c r="AG59" s="98"/>
      <c r="AH59" s="98"/>
      <c r="AI59" s="98" t="e">
        <v>#N/A</v>
      </c>
      <c r="AJ59" s="98" t="e">
        <v>#N/A</v>
      </c>
      <c r="AK59" s="98" t="e">
        <v>#N/A</v>
      </c>
      <c r="AL59" s="98" t="e">
        <v>#N/A</v>
      </c>
      <c r="AM59" s="98" t="e">
        <v>#N/A</v>
      </c>
      <c r="AN59" s="99" t="e">
        <v>#N/A</v>
      </c>
      <c r="AO59" s="99" t="e">
        <v>#N/A</v>
      </c>
      <c r="AP59" s="99" t="e">
        <f>Tabla156[[#This Row],[Renov. Flota]]-Tabla156[[#This Row],[Año]]</f>
        <v>#N/A</v>
      </c>
      <c r="AQ59" s="100" t="e">
        <v>#N/A</v>
      </c>
      <c r="AR59" s="100" t="e">
        <f>VLOOKUP(Tabla156[[#This Row],[Matricula nueva]],'ALTA 20242025'!$B$2:$P$242,15,FALSE)</f>
        <v>#N/A</v>
      </c>
      <c r="AS59" s="101" t="e">
        <v>#N/A</v>
      </c>
      <c r="AT59" s="101"/>
      <c r="AU59" s="101"/>
      <c r="AV59" s="101"/>
      <c r="AW59" s="101" t="e">
        <f>VLOOKUP(Tabla156[[#This Row],[Matricula nueva]],Hoja2!$A$1:$B$224,2,FALSE)</f>
        <v>#N/A</v>
      </c>
      <c r="AX59" s="101" t="str">
        <f>IF(Tabla156[[#This Row],[Columna2]]="M1",5.1,"")</f>
        <v/>
      </c>
      <c r="AY59" s="101"/>
      <c r="AZ59" s="101"/>
      <c r="BA59" s="311">
        <f>IF(Tabla156[[#This Row],[Columna2]]="M1",13073,IF(Tabla156[[#This Row],[Columna2]]="N1",15815,IF(Tabla156[[#This Row],[Columna2]]="L3e",2831,53508)))</f>
        <v>53508</v>
      </c>
      <c r="BB59" s="311" t="e">
        <f>(Tabla156[[#This Row],[CVA]]*Tabla156[[#This Row],[F]]-Tabla156[[#This Row],[CVN]])/100*Tabla156[[#This Row],[L]]</f>
        <v>#VALUE!</v>
      </c>
      <c r="BC59" s="1"/>
      <c r="BD59" s="1" t="e">
        <f>VLOOKUP(B59,Tabla467824[[ID CAE2]:[AE '[kWh']]],6,FALSE)</f>
        <v>#N/A</v>
      </c>
      <c r="BE5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60" spans="1:57" ht="51.75" x14ac:dyDescent="0.25">
      <c r="A60" s="53" t="s">
        <v>292</v>
      </c>
      <c r="B60" s="53" t="s">
        <v>292</v>
      </c>
      <c r="C60" s="332" t="s">
        <v>293</v>
      </c>
      <c r="D60" s="104" t="s">
        <v>72</v>
      </c>
      <c r="E60" s="104"/>
      <c r="F60" s="104" t="s">
        <v>72</v>
      </c>
      <c r="G60" s="104"/>
      <c r="H60" s="104" t="s">
        <v>72</v>
      </c>
      <c r="I60" s="104" t="s">
        <v>72</v>
      </c>
      <c r="J60" s="104"/>
      <c r="K60" s="96" t="s">
        <v>73</v>
      </c>
      <c r="L60" s="96" t="s">
        <v>200</v>
      </c>
      <c r="M60" s="96" t="s">
        <v>201</v>
      </c>
      <c r="N60" s="96" t="s">
        <v>76</v>
      </c>
      <c r="O60" s="101">
        <f>VLOOKUP(Tabla156[[#This Row],[Matricula Antigua]],BAJA2022202320242025!$B$3:$CR$245,93,FALSE)</f>
        <v>44179</v>
      </c>
      <c r="P60" s="316">
        <v>45640</v>
      </c>
      <c r="Q60" s="317">
        <f>Tabla156[[#This Row],[F.Vig.Final]]-Tabla156[[#This Row],[f Vig Inicio]]</f>
        <v>1461</v>
      </c>
      <c r="R60" s="318">
        <f>YEAR(Tabla156[[#This Row],[F.Vig.Final]])</f>
        <v>2024</v>
      </c>
      <c r="S60" s="96" t="s">
        <v>77</v>
      </c>
      <c r="T60" s="96" t="s">
        <v>78</v>
      </c>
      <c r="U60" s="96" t="s">
        <v>213</v>
      </c>
      <c r="V60" s="96" t="s">
        <v>237</v>
      </c>
      <c r="W60" s="96" t="s">
        <v>119</v>
      </c>
      <c r="X60" s="332" t="s">
        <v>1674</v>
      </c>
      <c r="Y60" s="96" t="s">
        <v>294</v>
      </c>
      <c r="Z60" s="98">
        <f>COUNTIF($X$3:X60, X60)</f>
        <v>8</v>
      </c>
      <c r="AA60" s="337" t="s">
        <v>1661</v>
      </c>
      <c r="AB60" s="337" t="s">
        <v>1661</v>
      </c>
      <c r="AC60" s="337" t="s">
        <v>1662</v>
      </c>
      <c r="AD60" s="337" t="s">
        <v>1663</v>
      </c>
      <c r="AE60" s="339" t="s">
        <v>1664</v>
      </c>
      <c r="AF60" s="340" t="s">
        <v>1665</v>
      </c>
      <c r="AG60" s="340" t="s">
        <v>1666</v>
      </c>
      <c r="AH60" s="337" t="s">
        <v>1649</v>
      </c>
      <c r="AI60" s="337" t="s">
        <v>295</v>
      </c>
      <c r="AJ60" s="98" t="s">
        <v>140</v>
      </c>
      <c r="AK60" s="98" t="s">
        <v>151</v>
      </c>
      <c r="AL60" s="98" t="s">
        <v>87</v>
      </c>
      <c r="AM60" s="101" t="s">
        <v>296</v>
      </c>
      <c r="AN60" s="348" t="s">
        <v>89</v>
      </c>
      <c r="AO60" s="349">
        <v>45625</v>
      </c>
      <c r="AP60" s="98">
        <f>Tabla156[[#This Row],[Renov. Flota]]-Tabla156[[#This Row],[Año]]</f>
        <v>0</v>
      </c>
      <c r="AQ60" s="100" t="s">
        <v>119</v>
      </c>
      <c r="AR60" s="100" t="str">
        <f>VLOOKUP(Tabla156[[#This Row],[Matricula nueva]],'ALTA 20242025'!$B$2:$P$242,15,FALSE)</f>
        <v>4500426700</v>
      </c>
      <c r="AS60" s="101" t="s">
        <v>120</v>
      </c>
      <c r="AT60" s="101"/>
      <c r="AU60" s="101" t="s">
        <v>72</v>
      </c>
      <c r="AV60" s="101" t="s">
        <v>91</v>
      </c>
      <c r="AW60" s="101" t="str">
        <f>VLOOKUP(Tabla156[[#This Row],[Matricula nueva]],Hoja2!$A$1:$B$224,2,FALSE)</f>
        <v>VR7CBZYA4ST000168</v>
      </c>
      <c r="AX60" s="209">
        <f>IF(Tabla156[[#This Row],[Columna2]]="M1",5.1,"")</f>
        <v>5.0999999999999996</v>
      </c>
      <c r="AY60" s="208">
        <f t="shared" ref="AY60:AY67" si="2">IF(T60="DIESEL",10,IF(T60="GLP",7.16,9.19))</f>
        <v>10</v>
      </c>
      <c r="AZ60" s="313">
        <v>16.399999999999999</v>
      </c>
      <c r="BA60" s="314">
        <f>IF(Tabla156[[#This Row],[Columna2]]="M1",13073,IF(Tabla156[[#This Row],[Columna2]]="N1",15815,IF(Tabla156[[#This Row],[Columna2]]="L3e",2831,53508)))</f>
        <v>13073</v>
      </c>
      <c r="BB60" s="350">
        <f>(Tabla156[[#This Row],[CVA]]*Tabla156[[#This Row],[F]]-Tabla156[[#This Row],[CVN]])/100*Tabla156[[#This Row],[L]]</f>
        <v>4523.2580000000007</v>
      </c>
      <c r="BC60" s="90" t="s">
        <v>70</v>
      </c>
      <c r="BD60" s="209">
        <f>VLOOKUP(B60,Tabla467824[[ID CAE2]:[AE '[kWh']]],6,FALSE)</f>
        <v>6795.3454000000002</v>
      </c>
      <c r="BE6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1" spans="1:57" ht="51.75" x14ac:dyDescent="0.25">
      <c r="A61" s="53" t="s">
        <v>299</v>
      </c>
      <c r="B61" s="53" t="s">
        <v>299</v>
      </c>
      <c r="C61" s="332" t="s">
        <v>300</v>
      </c>
      <c r="D61" s="104" t="s">
        <v>72</v>
      </c>
      <c r="E61" s="104"/>
      <c r="F61" s="104" t="s">
        <v>72</v>
      </c>
      <c r="G61" s="104"/>
      <c r="H61" s="104" t="s">
        <v>72</v>
      </c>
      <c r="I61" s="104" t="s">
        <v>72</v>
      </c>
      <c r="J61" s="104"/>
      <c r="K61" s="96" t="s">
        <v>73</v>
      </c>
      <c r="L61" s="96" t="s">
        <v>200</v>
      </c>
      <c r="M61" s="96" t="s">
        <v>201</v>
      </c>
      <c r="N61" s="96" t="s">
        <v>76</v>
      </c>
      <c r="O61" s="101">
        <f>VLOOKUP(Tabla156[[#This Row],[Matricula Antigua]],BAJA2022202320242025!$B$3:$CR$245,93,FALSE)</f>
        <v>44153</v>
      </c>
      <c r="P61" s="316">
        <v>45614</v>
      </c>
      <c r="Q61" s="317">
        <f>Tabla156[[#This Row],[F.Vig.Final]]-Tabla156[[#This Row],[f Vig Inicio]]</f>
        <v>1461</v>
      </c>
      <c r="R61" s="318">
        <f>YEAR(Tabla156[[#This Row],[F.Vig.Final]])</f>
        <v>2024</v>
      </c>
      <c r="S61" s="96" t="s">
        <v>77</v>
      </c>
      <c r="T61" s="96" t="s">
        <v>78</v>
      </c>
      <c r="U61" s="96" t="s">
        <v>213</v>
      </c>
      <c r="V61" s="96" t="s">
        <v>237</v>
      </c>
      <c r="W61" s="96" t="s">
        <v>102</v>
      </c>
      <c r="X61" s="332" t="s">
        <v>1667</v>
      </c>
      <c r="Y61" s="96" t="s">
        <v>301</v>
      </c>
      <c r="Z61" s="98">
        <f>COUNTIF($X$3:X61, X61)</f>
        <v>3</v>
      </c>
      <c r="AA61" s="337" t="s">
        <v>1668</v>
      </c>
      <c r="AB61" s="337" t="s">
        <v>1668</v>
      </c>
      <c r="AC61" s="337" t="s">
        <v>1669</v>
      </c>
      <c r="AD61" s="341" t="s">
        <v>1670</v>
      </c>
      <c r="AE61" s="342" t="s">
        <v>1671</v>
      </c>
      <c r="AF61" s="337" t="s">
        <v>1672</v>
      </c>
      <c r="AG61" s="344" t="s">
        <v>1673</v>
      </c>
      <c r="AH61" s="337" t="s">
        <v>1649</v>
      </c>
      <c r="AI61" s="337" t="s">
        <v>302</v>
      </c>
      <c r="AJ61" s="98" t="s">
        <v>85</v>
      </c>
      <c r="AK61" s="98" t="s">
        <v>86</v>
      </c>
      <c r="AL61" s="98" t="s">
        <v>87</v>
      </c>
      <c r="AM61" s="101" t="s">
        <v>303</v>
      </c>
      <c r="AN61" s="348" t="s">
        <v>89</v>
      </c>
      <c r="AO61" s="349">
        <v>45625</v>
      </c>
      <c r="AP61" s="98">
        <f>Tabla156[[#This Row],[Renov. Flota]]-Tabla156[[#This Row],[Año]]</f>
        <v>0</v>
      </c>
      <c r="AQ61" s="100" t="s">
        <v>102</v>
      </c>
      <c r="AR61" s="100" t="str">
        <f>VLOOKUP(Tabla156[[#This Row],[Matricula nueva]],'ALTA 20242025'!$B$2:$P$242,15,FALSE)</f>
        <v>4500426774</v>
      </c>
      <c r="AS61" s="101" t="s">
        <v>103</v>
      </c>
      <c r="AT61" s="101"/>
      <c r="AU61" s="101" t="s">
        <v>72</v>
      </c>
      <c r="AV61" s="101" t="s">
        <v>109</v>
      </c>
      <c r="AW61" s="101" t="str">
        <f>VLOOKUP(Tabla156[[#This Row],[Matricula nueva]],Hoja2!$A$1:$B$224,2,FALSE)</f>
        <v>VF1RFK00073824797</v>
      </c>
      <c r="AX61" s="209">
        <f>IF(Tabla156[[#This Row],[Columna2]]="M1",5.1,"")</f>
        <v>5.0999999999999996</v>
      </c>
      <c r="AY61" s="208">
        <f t="shared" si="2"/>
        <v>10</v>
      </c>
      <c r="AZ61" s="313">
        <v>17.3</v>
      </c>
      <c r="BA61" s="314">
        <f>IF(Tabla156[[#This Row],[Columna2]]="M1",13073,IF(Tabla156[[#This Row],[Columna2]]="N1",15815,IF(Tabla156[[#This Row],[Columna2]]="L3e",2831,53508)))</f>
        <v>13073</v>
      </c>
      <c r="BB61" s="350">
        <f>(Tabla156[[#This Row],[CVA]]*Tabla156[[#This Row],[F]]-Tabla156[[#This Row],[CVN]])/100*Tabla156[[#This Row],[L]]</f>
        <v>4405.6010000000006</v>
      </c>
      <c r="BC61" s="294" t="s">
        <v>70</v>
      </c>
      <c r="BD61" s="209">
        <f>VLOOKUP(B61,Tabla467824[[ID CAE2]:[AE '[kWh']]],6,FALSE)</f>
        <v>6795.3454000000002</v>
      </c>
      <c r="BE6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2" spans="1:57" ht="51.75" x14ac:dyDescent="0.25">
      <c r="A62" s="53" t="s">
        <v>306</v>
      </c>
      <c r="B62" s="53" t="s">
        <v>306</v>
      </c>
      <c r="C62" s="332" t="s">
        <v>307</v>
      </c>
      <c r="D62" s="104" t="s">
        <v>72</v>
      </c>
      <c r="E62" s="104"/>
      <c r="F62" s="104" t="s">
        <v>72</v>
      </c>
      <c r="G62" s="104"/>
      <c r="H62" s="104" t="s">
        <v>72</v>
      </c>
      <c r="I62" s="104" t="s">
        <v>72</v>
      </c>
      <c r="J62" s="104"/>
      <c r="K62" s="96" t="s">
        <v>73</v>
      </c>
      <c r="L62" s="96" t="s">
        <v>200</v>
      </c>
      <c r="M62" s="96" t="s">
        <v>201</v>
      </c>
      <c r="N62" s="96" t="s">
        <v>76</v>
      </c>
      <c r="O62" s="101">
        <f>VLOOKUP(Tabla156[[#This Row],[Matricula Antigua]],BAJA2022202320242025!$B$3:$CR$245,93,FALSE)</f>
        <v>44153</v>
      </c>
      <c r="P62" s="316">
        <v>45614</v>
      </c>
      <c r="Q62" s="317">
        <f>Tabla156[[#This Row],[F.Vig.Final]]-Tabla156[[#This Row],[f Vig Inicio]]</f>
        <v>1461</v>
      </c>
      <c r="R62" s="318">
        <f>YEAR(Tabla156[[#This Row],[F.Vig.Final]])</f>
        <v>2024</v>
      </c>
      <c r="S62" s="96" t="s">
        <v>77</v>
      </c>
      <c r="T62" s="96" t="s">
        <v>78</v>
      </c>
      <c r="U62" s="96" t="s">
        <v>213</v>
      </c>
      <c r="V62" s="96" t="s">
        <v>237</v>
      </c>
      <c r="W62" s="96" t="s">
        <v>308</v>
      </c>
      <c r="X62" s="332" t="s">
        <v>309</v>
      </c>
      <c r="Y62" s="96" t="s">
        <v>310</v>
      </c>
      <c r="Z62" s="98">
        <f>COUNTIF($X$3:X62, X62)</f>
        <v>1</v>
      </c>
      <c r="AA62" s="337" t="s">
        <v>1661</v>
      </c>
      <c r="AB62" s="337" t="s">
        <v>1661</v>
      </c>
      <c r="AC62" s="337" t="s">
        <v>1662</v>
      </c>
      <c r="AD62" s="337" t="s">
        <v>1663</v>
      </c>
      <c r="AE62" s="345" t="s">
        <v>1664</v>
      </c>
      <c r="AF62" s="346" t="s">
        <v>1665</v>
      </c>
      <c r="AG62" s="337" t="s">
        <v>1666</v>
      </c>
      <c r="AH62" s="337" t="s">
        <v>1649</v>
      </c>
      <c r="AI62" s="337" t="s">
        <v>311</v>
      </c>
      <c r="AJ62" s="98" t="s">
        <v>85</v>
      </c>
      <c r="AK62" s="98" t="s">
        <v>86</v>
      </c>
      <c r="AL62" s="98" t="s">
        <v>87</v>
      </c>
      <c r="AM62" s="101" t="s">
        <v>312</v>
      </c>
      <c r="AN62" s="348" t="s">
        <v>89</v>
      </c>
      <c r="AO62" s="349">
        <v>45649</v>
      </c>
      <c r="AP62" s="98">
        <f>Tabla156[[#This Row],[Renov. Flota]]-Tabla156[[#This Row],[Año]]</f>
        <v>0</v>
      </c>
      <c r="AQ62" s="100" t="s">
        <v>308</v>
      </c>
      <c r="AR62" s="100" t="str">
        <f>VLOOKUP(Tabla156[[#This Row],[Matricula nueva]],'ALTA 20242025'!$B$2:$P$242,15,FALSE)</f>
        <v>X</v>
      </c>
      <c r="AS62" s="101" t="s">
        <v>309</v>
      </c>
      <c r="AT62" s="101"/>
      <c r="AU62" s="101" t="s">
        <v>72</v>
      </c>
      <c r="AV62" s="101" t="s">
        <v>91</v>
      </c>
      <c r="AW62" s="101" t="str">
        <f>VLOOKUP(Tabla156[[#This Row],[Matricula nueva]],Hoja2!$A$1:$B$224,2,FALSE)</f>
        <v>VF1RFK00073934300</v>
      </c>
      <c r="AX62" s="209">
        <f>IF(Tabla156[[#This Row],[Columna2]]="M1",5.1,"")</f>
        <v>5.0999999999999996</v>
      </c>
      <c r="AY62" s="208">
        <f t="shared" si="2"/>
        <v>10</v>
      </c>
      <c r="AZ62" s="313">
        <v>17.3</v>
      </c>
      <c r="BA62" s="314">
        <f>IF(Tabla156[[#This Row],[Columna2]]="M1",13073,IF(Tabla156[[#This Row],[Columna2]]="N1",15815,IF(Tabla156[[#This Row],[Columna2]]="L3e",2831,53508)))</f>
        <v>13073</v>
      </c>
      <c r="BB62" s="350">
        <f>(Tabla156[[#This Row],[CVA]]*Tabla156[[#This Row],[F]]-Tabla156[[#This Row],[CVN]])/100*Tabla156[[#This Row],[L]]</f>
        <v>4405.6010000000006</v>
      </c>
      <c r="BC62" s="294" t="s">
        <v>70</v>
      </c>
      <c r="BD62" s="209">
        <f>VLOOKUP(B62,Tabla467824[[ID CAE2]:[AE '[kWh']]],6,FALSE)</f>
        <v>6795.3454000000002</v>
      </c>
      <c r="BE6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3" spans="1:57" ht="51.75" x14ac:dyDescent="0.25">
      <c r="A63" s="53" t="s">
        <v>314</v>
      </c>
      <c r="B63" s="53" t="s">
        <v>314</v>
      </c>
      <c r="C63" s="332" t="s">
        <v>315</v>
      </c>
      <c r="D63" s="104" t="s">
        <v>72</v>
      </c>
      <c r="E63" s="104"/>
      <c r="F63" s="104" t="s">
        <v>72</v>
      </c>
      <c r="G63" s="104"/>
      <c r="H63" s="104" t="s">
        <v>72</v>
      </c>
      <c r="I63" s="104" t="s">
        <v>72</v>
      </c>
      <c r="J63" s="104"/>
      <c r="K63" s="96" t="s">
        <v>73</v>
      </c>
      <c r="L63" s="96" t="s">
        <v>200</v>
      </c>
      <c r="M63" s="96" t="s">
        <v>201</v>
      </c>
      <c r="N63" s="96" t="s">
        <v>76</v>
      </c>
      <c r="O63" s="101">
        <f>VLOOKUP(Tabla156[[#This Row],[Matricula Antigua]],BAJA2022202320242025!$B$3:$CR$245,93,FALSE)</f>
        <v>44166</v>
      </c>
      <c r="P63" s="316">
        <v>45627</v>
      </c>
      <c r="Q63" s="317">
        <f>Tabla156[[#This Row],[F.Vig.Final]]-Tabla156[[#This Row],[f Vig Inicio]]</f>
        <v>1461</v>
      </c>
      <c r="R63" s="318">
        <f>YEAR(Tabla156[[#This Row],[F.Vig.Final]])</f>
        <v>2024</v>
      </c>
      <c r="S63" s="96" t="s">
        <v>77</v>
      </c>
      <c r="T63" s="96" t="s">
        <v>78</v>
      </c>
      <c r="U63" s="96" t="s">
        <v>213</v>
      </c>
      <c r="V63" s="96" t="s">
        <v>237</v>
      </c>
      <c r="W63" s="96" t="s">
        <v>131</v>
      </c>
      <c r="X63" s="332" t="s">
        <v>132</v>
      </c>
      <c r="Y63" s="96" t="s">
        <v>316</v>
      </c>
      <c r="Z63" s="98">
        <f>COUNTIF($X$3:X63, X63)</f>
        <v>2</v>
      </c>
      <c r="AA63" s="337" t="s">
        <v>1661</v>
      </c>
      <c r="AB63" s="337" t="s">
        <v>1661</v>
      </c>
      <c r="AC63" s="337" t="s">
        <v>1662</v>
      </c>
      <c r="AD63" s="333" t="s">
        <v>1675</v>
      </c>
      <c r="AE63" s="347" t="s">
        <v>1664</v>
      </c>
      <c r="AF63" s="337" t="s">
        <v>1676</v>
      </c>
      <c r="AG63" s="337" t="s">
        <v>1677</v>
      </c>
      <c r="AH63" s="337" t="s">
        <v>1649</v>
      </c>
      <c r="AI63" s="337" t="s">
        <v>317</v>
      </c>
      <c r="AJ63" s="98" t="s">
        <v>85</v>
      </c>
      <c r="AK63" s="98" t="s">
        <v>86</v>
      </c>
      <c r="AL63" s="98" t="s">
        <v>87</v>
      </c>
      <c r="AM63" s="101" t="s">
        <v>318</v>
      </c>
      <c r="AN63" s="348" t="s">
        <v>89</v>
      </c>
      <c r="AO63" s="349">
        <v>45625</v>
      </c>
      <c r="AP63" s="98">
        <f>Tabla156[[#This Row],[Renov. Flota]]-Tabla156[[#This Row],[Año]]</f>
        <v>0</v>
      </c>
      <c r="AQ63" s="100" t="s">
        <v>131</v>
      </c>
      <c r="AR63" s="100" t="str">
        <f>VLOOKUP(Tabla156[[#This Row],[Matricula nueva]],'ALTA 20242025'!$B$2:$P$242,15,FALSE)</f>
        <v>4500426798</v>
      </c>
      <c r="AS63" s="101" t="s">
        <v>132</v>
      </c>
      <c r="AT63" s="101"/>
      <c r="AU63" s="101" t="s">
        <v>72</v>
      </c>
      <c r="AV63" s="101" t="s">
        <v>91</v>
      </c>
      <c r="AW63" s="101" t="str">
        <f>VLOOKUP(Tabla156[[#This Row],[Matricula nueva]],Hoja2!$A$1:$B$224,2,FALSE)</f>
        <v>VF1RFK00273824820</v>
      </c>
      <c r="AX63" s="209">
        <f>IF(Tabla156[[#This Row],[Columna2]]="M1",5.1,"")</f>
        <v>5.0999999999999996</v>
      </c>
      <c r="AY63" s="208">
        <f t="shared" si="2"/>
        <v>10</v>
      </c>
      <c r="AZ63" s="313">
        <v>17.3</v>
      </c>
      <c r="BA63" s="314">
        <f>IF(Tabla156[[#This Row],[Columna2]]="M1",13073,IF(Tabla156[[#This Row],[Columna2]]="N1",15815,IF(Tabla156[[#This Row],[Columna2]]="L3e",2831,53508)))</f>
        <v>13073</v>
      </c>
      <c r="BB63" s="350">
        <f>(Tabla156[[#This Row],[CVA]]*Tabla156[[#This Row],[F]]-Tabla156[[#This Row],[CVN]])/100*Tabla156[[#This Row],[L]]</f>
        <v>4405.6010000000006</v>
      </c>
      <c r="BC63" s="294" t="s">
        <v>70</v>
      </c>
      <c r="BD63" s="209">
        <f>VLOOKUP(B63,Tabla467824[[ID CAE2]:[AE '[kWh']]],6,FALSE)</f>
        <v>6795.3454000000002</v>
      </c>
      <c r="BE6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4" spans="1:57" ht="51.75" x14ac:dyDescent="0.25">
      <c r="A64" s="53" t="s">
        <v>321</v>
      </c>
      <c r="B64" s="53" t="s">
        <v>321</v>
      </c>
      <c r="C64" s="332" t="s">
        <v>322</v>
      </c>
      <c r="D64" s="104" t="s">
        <v>72</v>
      </c>
      <c r="E64" s="104"/>
      <c r="F64" s="104" t="s">
        <v>72</v>
      </c>
      <c r="G64" s="104"/>
      <c r="H64" s="104" t="s">
        <v>72</v>
      </c>
      <c r="I64" s="104" t="s">
        <v>72</v>
      </c>
      <c r="J64" s="104"/>
      <c r="K64" s="96" t="s">
        <v>73</v>
      </c>
      <c r="L64" s="96" t="s">
        <v>200</v>
      </c>
      <c r="M64" s="96" t="s">
        <v>201</v>
      </c>
      <c r="N64" s="96" t="s">
        <v>76</v>
      </c>
      <c r="O64" s="101">
        <f>VLOOKUP(Tabla156[[#This Row],[Matricula Antigua]],BAJA2022202320242025!$B$3:$CR$245,93,FALSE)</f>
        <v>44215</v>
      </c>
      <c r="P64" s="316">
        <v>45676</v>
      </c>
      <c r="Q64" s="317">
        <f>Tabla156[[#This Row],[F.Vig.Final]]-Tabla156[[#This Row],[f Vig Inicio]]</f>
        <v>1461</v>
      </c>
      <c r="R64" s="318">
        <f>YEAR(Tabla156[[#This Row],[F.Vig.Final]])</f>
        <v>2025</v>
      </c>
      <c r="S64" s="96" t="s">
        <v>77</v>
      </c>
      <c r="T64" s="96" t="s">
        <v>78</v>
      </c>
      <c r="U64" s="96" t="s">
        <v>213</v>
      </c>
      <c r="V64" s="96" t="s">
        <v>237</v>
      </c>
      <c r="W64" s="96" t="s">
        <v>119</v>
      </c>
      <c r="X64" s="332" t="s">
        <v>1674</v>
      </c>
      <c r="Y64" s="96" t="s">
        <v>323</v>
      </c>
      <c r="Z64" s="98">
        <f>COUNTIF($X$3:X64, X64)</f>
        <v>9</v>
      </c>
      <c r="AA64" s="337" t="s">
        <v>1661</v>
      </c>
      <c r="AB64" s="337" t="s">
        <v>1661</v>
      </c>
      <c r="AC64" s="337" t="s">
        <v>1662</v>
      </c>
      <c r="AD64" s="337" t="s">
        <v>1663</v>
      </c>
      <c r="AE64" s="342" t="s">
        <v>1664</v>
      </c>
      <c r="AF64" s="337" t="s">
        <v>1665</v>
      </c>
      <c r="AG64" s="337" t="s">
        <v>1666</v>
      </c>
      <c r="AH64" s="337" t="s">
        <v>1649</v>
      </c>
      <c r="AI64" s="337" t="s">
        <v>324</v>
      </c>
      <c r="AJ64" s="98" t="s">
        <v>85</v>
      </c>
      <c r="AK64" s="98" t="s">
        <v>86</v>
      </c>
      <c r="AL64" s="98" t="s">
        <v>87</v>
      </c>
      <c r="AM64" s="101" t="s">
        <v>325</v>
      </c>
      <c r="AN64" s="348" t="s">
        <v>89</v>
      </c>
      <c r="AO64" s="349">
        <v>45645</v>
      </c>
      <c r="AP64" s="98">
        <f>Tabla156[[#This Row],[Renov. Flota]]-Tabla156[[#This Row],[Año]]</f>
        <v>-1</v>
      </c>
      <c r="AQ64" s="100" t="s">
        <v>119</v>
      </c>
      <c r="AR64" s="100" t="str">
        <f>VLOOKUP(Tabla156[[#This Row],[Matricula nueva]],'ALTA 20242025'!$B$2:$P$242,15,FALSE)</f>
        <v>4500426771</v>
      </c>
      <c r="AS64" s="101" t="s">
        <v>120</v>
      </c>
      <c r="AT64" s="101"/>
      <c r="AU64" s="101" t="s">
        <v>72</v>
      </c>
      <c r="AV64" s="101" t="s">
        <v>91</v>
      </c>
      <c r="AW64" s="101" t="str">
        <f>VLOOKUP(Tabla156[[#This Row],[Matricula nueva]],Hoja2!$A$1:$B$224,2,FALSE)</f>
        <v>VF1RFK00373824888</v>
      </c>
      <c r="AX64" s="209">
        <f>IF(Tabla156[[#This Row],[Columna2]]="M1",5.1,"")</f>
        <v>5.0999999999999996</v>
      </c>
      <c r="AY64" s="208">
        <f t="shared" si="2"/>
        <v>10</v>
      </c>
      <c r="AZ64" s="313">
        <v>17.3</v>
      </c>
      <c r="BA64" s="314">
        <f>IF(Tabla156[[#This Row],[Columna2]]="M1",13073,IF(Tabla156[[#This Row],[Columna2]]="N1",15815,IF(Tabla156[[#This Row],[Columna2]]="L3e",2831,53508)))</f>
        <v>13073</v>
      </c>
      <c r="BB64" s="350">
        <f>(Tabla156[[#This Row],[CVA]]*Tabla156[[#This Row],[F]]-Tabla156[[#This Row],[CVN]])/100*Tabla156[[#This Row],[L]]</f>
        <v>4405.6010000000006</v>
      </c>
      <c r="BC64" s="294" t="s">
        <v>70</v>
      </c>
      <c r="BD64" s="209">
        <f>VLOOKUP(B64,Tabla467824[[ID CAE2]:[AE '[kWh']]],6,FALSE)</f>
        <v>6795.3454000000002</v>
      </c>
      <c r="BE6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5" spans="1:57" ht="60" x14ac:dyDescent="0.25">
      <c r="A65" s="53" t="s">
        <v>328</v>
      </c>
      <c r="B65" s="53" t="s">
        <v>328</v>
      </c>
      <c r="C65" s="332" t="s">
        <v>329</v>
      </c>
      <c r="D65" s="104" t="s">
        <v>72</v>
      </c>
      <c r="E65" s="104"/>
      <c r="F65" s="104" t="s">
        <v>72</v>
      </c>
      <c r="G65" s="104"/>
      <c r="H65" s="104" t="s">
        <v>249</v>
      </c>
      <c r="I65" s="104" t="s">
        <v>249</v>
      </c>
      <c r="J65" s="104"/>
      <c r="K65" s="96" t="s">
        <v>73</v>
      </c>
      <c r="L65" s="96" t="s">
        <v>200</v>
      </c>
      <c r="M65" s="96" t="s">
        <v>201</v>
      </c>
      <c r="N65" s="96" t="s">
        <v>76</v>
      </c>
      <c r="O65" s="101">
        <f>VLOOKUP(Tabla156[[#This Row],[Matricula Antigua]],BAJA2022202320242025!$B$3:$CR$245,93,FALSE)</f>
        <v>44215</v>
      </c>
      <c r="P65" s="316">
        <v>45676</v>
      </c>
      <c r="Q65" s="317">
        <f>Tabla156[[#This Row],[F.Vig.Final]]-Tabla156[[#This Row],[f Vig Inicio]]</f>
        <v>1461</v>
      </c>
      <c r="R65" s="318">
        <f>YEAR(Tabla156[[#This Row],[F.Vig.Final]])</f>
        <v>2025</v>
      </c>
      <c r="S65" s="96" t="s">
        <v>77</v>
      </c>
      <c r="T65" s="96" t="s">
        <v>78</v>
      </c>
      <c r="U65" s="96" t="s">
        <v>213</v>
      </c>
      <c r="V65" s="96" t="s">
        <v>237</v>
      </c>
      <c r="W65" s="96" t="s">
        <v>190</v>
      </c>
      <c r="X65" s="333" t="s">
        <v>1678</v>
      </c>
      <c r="Y65" s="96" t="s">
        <v>194</v>
      </c>
      <c r="Z65" s="98">
        <f>COUNTIF($X$3:X65, X65)</f>
        <v>2</v>
      </c>
      <c r="AA65" s="337" t="s">
        <v>1661</v>
      </c>
      <c r="AB65" s="337" t="s">
        <v>1661</v>
      </c>
      <c r="AC65" s="337" t="s">
        <v>1662</v>
      </c>
      <c r="AD65" s="337" t="s">
        <v>1663</v>
      </c>
      <c r="AE65" s="339" t="s">
        <v>1664</v>
      </c>
      <c r="AF65" s="340" t="s">
        <v>1665</v>
      </c>
      <c r="AG65" s="340" t="s">
        <v>1666</v>
      </c>
      <c r="AH65" s="337" t="s">
        <v>1649</v>
      </c>
      <c r="AI65" s="337" t="s">
        <v>330</v>
      </c>
      <c r="AJ65" s="98" t="s">
        <v>85</v>
      </c>
      <c r="AK65" s="98" t="s">
        <v>86</v>
      </c>
      <c r="AL65" s="98" t="s">
        <v>87</v>
      </c>
      <c r="AM65" s="101" t="s">
        <v>331</v>
      </c>
      <c r="AN65" s="348" t="s">
        <v>89</v>
      </c>
      <c r="AO65" s="349">
        <v>45646</v>
      </c>
      <c r="AP65" s="98">
        <f>Tabla156[[#This Row],[Renov. Flota]]-Tabla156[[#This Row],[Año]]</f>
        <v>-1</v>
      </c>
      <c r="AQ65" s="100" t="s">
        <v>190</v>
      </c>
      <c r="AR65" s="100" t="str">
        <f>VLOOKUP(Tabla156[[#This Row],[Matricula nueva]],'ALTA 20242025'!$B$2:$P$242,15,FALSE)</f>
        <v>4500426874</v>
      </c>
      <c r="AS65" s="101" t="s">
        <v>191</v>
      </c>
      <c r="AT65" s="101"/>
      <c r="AU65" s="101" t="s">
        <v>72</v>
      </c>
      <c r="AV65" s="101" t="s">
        <v>91</v>
      </c>
      <c r="AW65" s="101" t="str">
        <f>VLOOKUP(Tabla156[[#This Row],[Matricula nueva]],Hoja2!$A$1:$B$224,2,FALSE)</f>
        <v>VF1RFK00273934282</v>
      </c>
      <c r="AX65" s="209">
        <f>IF(Tabla156[[#This Row],[Columna2]]="M1",5.1,"")</f>
        <v>5.0999999999999996</v>
      </c>
      <c r="AY65" s="208">
        <f t="shared" si="2"/>
        <v>10</v>
      </c>
      <c r="AZ65" s="313">
        <v>17.3</v>
      </c>
      <c r="BA65" s="314">
        <f>IF(Tabla156[[#This Row],[Columna2]]="M1",13073,IF(Tabla156[[#This Row],[Columna2]]="N1",15815,IF(Tabla156[[#This Row],[Columna2]]="L3e",2831,53508)))</f>
        <v>13073</v>
      </c>
      <c r="BB65" s="350">
        <f>(Tabla156[[#This Row],[CVA]]*Tabla156[[#This Row],[F]]-Tabla156[[#This Row],[CVN]])/100*Tabla156[[#This Row],[L]]</f>
        <v>4405.6010000000006</v>
      </c>
      <c r="BC65" s="294" t="s">
        <v>70</v>
      </c>
      <c r="BD65" s="209">
        <f>VLOOKUP(B65,Tabla467824[[ID CAE2]:[AE '[kWh']]],6,FALSE)</f>
        <v>6795.3454000000002</v>
      </c>
      <c r="BE6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6" spans="1:57" ht="60" x14ac:dyDescent="0.25">
      <c r="A66" s="53" t="s">
        <v>334</v>
      </c>
      <c r="B66" s="53" t="s">
        <v>334</v>
      </c>
      <c r="C66" s="332" t="s">
        <v>335</v>
      </c>
      <c r="D66" s="104" t="s">
        <v>72</v>
      </c>
      <c r="E66" s="104"/>
      <c r="F66" s="104" t="s">
        <v>72</v>
      </c>
      <c r="G66" s="104"/>
      <c r="H66" s="104" t="s">
        <v>72</v>
      </c>
      <c r="I66" s="104" t="s">
        <v>72</v>
      </c>
      <c r="J66" s="104"/>
      <c r="K66" s="96" t="s">
        <v>73</v>
      </c>
      <c r="L66" s="96" t="s">
        <v>200</v>
      </c>
      <c r="M66" s="96" t="s">
        <v>201</v>
      </c>
      <c r="N66" s="96" t="s">
        <v>76</v>
      </c>
      <c r="O66" s="101">
        <f>VLOOKUP(Tabla156[[#This Row],[Matricula Antigua]],BAJA2022202320242025!$B$3:$CR$245,93,FALSE)</f>
        <v>44215</v>
      </c>
      <c r="P66" s="316">
        <v>45676</v>
      </c>
      <c r="Q66" s="317">
        <f>Tabla156[[#This Row],[F.Vig.Final]]-Tabla156[[#This Row],[f Vig Inicio]]</f>
        <v>1461</v>
      </c>
      <c r="R66" s="318">
        <f>YEAR(Tabla156[[#This Row],[F.Vig.Final]])</f>
        <v>2025</v>
      </c>
      <c r="S66" s="96" t="s">
        <v>77</v>
      </c>
      <c r="T66" s="96" t="s">
        <v>78</v>
      </c>
      <c r="U66" s="96" t="s">
        <v>213</v>
      </c>
      <c r="V66" s="96" t="s">
        <v>237</v>
      </c>
      <c r="W66" s="96" t="s">
        <v>336</v>
      </c>
      <c r="X66" s="332" t="s">
        <v>337</v>
      </c>
      <c r="Y66" s="96" t="s">
        <v>338</v>
      </c>
      <c r="Z66" s="98">
        <f>COUNTIF($X$3:X66, X66)</f>
        <v>1</v>
      </c>
      <c r="AA66" s="337" t="s">
        <v>1661</v>
      </c>
      <c r="AB66" s="337" t="s">
        <v>1661</v>
      </c>
      <c r="AC66" s="337" t="s">
        <v>1662</v>
      </c>
      <c r="AD66" s="341" t="s">
        <v>1682</v>
      </c>
      <c r="AE66" s="347" t="s">
        <v>1664</v>
      </c>
      <c r="AF66" s="337" t="s">
        <v>1683</v>
      </c>
      <c r="AG66" s="337" t="s">
        <v>1684</v>
      </c>
      <c r="AH66" s="337" t="s">
        <v>1649</v>
      </c>
      <c r="AI66" s="337" t="s">
        <v>339</v>
      </c>
      <c r="AJ66" s="98" t="s">
        <v>85</v>
      </c>
      <c r="AK66" s="98" t="s">
        <v>340</v>
      </c>
      <c r="AL66" s="98" t="s">
        <v>87</v>
      </c>
      <c r="AM66" s="101" t="s">
        <v>341</v>
      </c>
      <c r="AN66" s="348" t="s">
        <v>89</v>
      </c>
      <c r="AO66" s="349">
        <v>45374</v>
      </c>
      <c r="AP66" s="98">
        <f>Tabla156[[#This Row],[Renov. Flota]]-Tabla156[[#This Row],[Año]]</f>
        <v>-1</v>
      </c>
      <c r="AQ66" s="100" t="s">
        <v>336</v>
      </c>
      <c r="AR66" s="100">
        <v>4500399254</v>
      </c>
      <c r="AS66" s="101" t="s">
        <v>337</v>
      </c>
      <c r="AT66" s="101"/>
      <c r="AU66" s="101" t="s">
        <v>72</v>
      </c>
      <c r="AV66" s="101" t="s">
        <v>91</v>
      </c>
      <c r="AW66" s="312" t="s">
        <v>342</v>
      </c>
      <c r="AX66" s="209">
        <f>IF(Tabla156[[#This Row],[Columna2]]="M1",5.1,"")</f>
        <v>5.0999999999999996</v>
      </c>
      <c r="AY66" s="208">
        <f t="shared" si="2"/>
        <v>10</v>
      </c>
      <c r="AZ66" s="313">
        <v>13.3</v>
      </c>
      <c r="BA66" s="314">
        <f>IF(Tabla156[[#This Row],[Columna2]]="M1",13073,IF(Tabla156[[#This Row],[Columna2]]="N1",15815,IF(Tabla156[[#This Row],[Columna2]]="L3e",2831,53508)))</f>
        <v>13073</v>
      </c>
      <c r="BB66" s="350">
        <f>(Tabla156[[#This Row],[CVA]]*Tabla156[[#This Row],[F]]-Tabla156[[#This Row],[CVN]])/100*Tabla156[[#This Row],[L]]</f>
        <v>4928.5209999999997</v>
      </c>
      <c r="BC66" s="294" t="s">
        <v>70</v>
      </c>
      <c r="BD66" s="209">
        <f>VLOOKUP(B66,Tabla467824[[ID CAE2]:[AE '[kWh']]],6,FALSE)</f>
        <v>6795.3454000000002</v>
      </c>
      <c r="BE6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7" spans="1:57" ht="60.75" thickBot="1" x14ac:dyDescent="0.3">
      <c r="A67" s="53" t="s">
        <v>343</v>
      </c>
      <c r="B67" s="53" t="s">
        <v>343</v>
      </c>
      <c r="C67" s="332" t="s">
        <v>344</v>
      </c>
      <c r="D67" s="104" t="s">
        <v>72</v>
      </c>
      <c r="E67" s="104"/>
      <c r="F67" s="104" t="s">
        <v>72</v>
      </c>
      <c r="G67" s="104"/>
      <c r="H67" s="104" t="s">
        <v>72</v>
      </c>
      <c r="I67" s="104" t="s">
        <v>72</v>
      </c>
      <c r="J67" s="104"/>
      <c r="K67" s="96" t="s">
        <v>73</v>
      </c>
      <c r="L67" s="96" t="s">
        <v>200</v>
      </c>
      <c r="M67" s="96" t="s">
        <v>201</v>
      </c>
      <c r="N67" s="96" t="s">
        <v>160</v>
      </c>
      <c r="O67" s="101">
        <f>VLOOKUP(Tabla156[[#This Row],[Matricula Antigua]],BAJA2022202320242025!$B$3:$CR$245,93,FALSE)</f>
        <v>44237</v>
      </c>
      <c r="P67" s="316">
        <v>45698</v>
      </c>
      <c r="Q67" s="317">
        <f>Tabla156[[#This Row],[F.Vig.Final]]-Tabla156[[#This Row],[f Vig Inicio]]</f>
        <v>1461</v>
      </c>
      <c r="R67" s="318">
        <f>YEAR(Tabla156[[#This Row],[F.Vig.Final]])</f>
        <v>2025</v>
      </c>
      <c r="S67" s="96" t="s">
        <v>161</v>
      </c>
      <c r="T67" s="96" t="s">
        <v>78</v>
      </c>
      <c r="U67" s="96" t="s">
        <v>213</v>
      </c>
      <c r="V67" s="96" t="s">
        <v>237</v>
      </c>
      <c r="W67" s="96" t="s">
        <v>190</v>
      </c>
      <c r="X67" s="333" t="s">
        <v>1678</v>
      </c>
      <c r="Y67" s="96" t="s">
        <v>345</v>
      </c>
      <c r="Z67" s="98">
        <f>COUNTIF($X$3:X67, X67)</f>
        <v>3</v>
      </c>
      <c r="AA67" s="337" t="s">
        <v>1661</v>
      </c>
      <c r="AB67" s="337" t="s">
        <v>1661</v>
      </c>
      <c r="AC67" s="337" t="s">
        <v>1662</v>
      </c>
      <c r="AD67" s="337" t="s">
        <v>1663</v>
      </c>
      <c r="AE67" s="345" t="s">
        <v>1664</v>
      </c>
      <c r="AF67" s="346" t="s">
        <v>1665</v>
      </c>
      <c r="AG67" s="346" t="s">
        <v>1666</v>
      </c>
      <c r="AH67" s="337" t="s">
        <v>1649</v>
      </c>
      <c r="AI67" s="337" t="s">
        <v>346</v>
      </c>
      <c r="AJ67" s="98" t="s">
        <v>85</v>
      </c>
      <c r="AK67" s="98" t="s">
        <v>340</v>
      </c>
      <c r="AL67" s="98" t="s">
        <v>87</v>
      </c>
      <c r="AM67" s="101" t="s">
        <v>345</v>
      </c>
      <c r="AN67" s="348" t="s">
        <v>89</v>
      </c>
      <c r="AO67" s="349">
        <v>45464</v>
      </c>
      <c r="AP67" s="98">
        <f>Tabla156[[#This Row],[Renov. Flota]]-Tabla156[[#This Row],[Año]]</f>
        <v>-1</v>
      </c>
      <c r="AQ67" s="100" t="s">
        <v>190</v>
      </c>
      <c r="AR67" s="100" t="str">
        <f>VLOOKUP(Tabla156[[#This Row],[Matricula nueva]],'ALTA 20242025'!$B$2:$P$242,15,FALSE)</f>
        <v>4500409585</v>
      </c>
      <c r="AS67" s="101" t="s">
        <v>191</v>
      </c>
      <c r="AT67" s="101"/>
      <c r="AU67" s="101" t="s">
        <v>72</v>
      </c>
      <c r="AV67" s="101" t="s">
        <v>91</v>
      </c>
      <c r="AW67" s="101" t="s">
        <v>348</v>
      </c>
      <c r="AX67" s="209">
        <f>IF(Tabla156[[#This Row],[Columna2]]="M1",5.1,"")</f>
        <v>5.0999999999999996</v>
      </c>
      <c r="AY67" s="208">
        <f t="shared" si="2"/>
        <v>10</v>
      </c>
      <c r="AZ67" s="313">
        <v>13.3</v>
      </c>
      <c r="BA67" s="314">
        <f>IF(Tabla156[[#This Row],[Columna2]]="M1",13073,IF(Tabla156[[#This Row],[Columna2]]="N1",15815,IF(Tabla156[[#This Row],[Columna2]]="L3e",2831,53508)))</f>
        <v>13073</v>
      </c>
      <c r="BB67" s="350">
        <f>(Tabla156[[#This Row],[CVA]]*Tabla156[[#This Row],[F]]-Tabla156[[#This Row],[CVN]])/100*Tabla156[[#This Row],[L]]</f>
        <v>4928.5209999999997</v>
      </c>
      <c r="BC67" s="91" t="s">
        <v>70</v>
      </c>
      <c r="BD67" s="209">
        <f>VLOOKUP(B67,Tabla467824[[ID CAE2]:[AE '[kWh']]],6,FALSE)</f>
        <v>6795.3454000000002</v>
      </c>
      <c r="BE6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68" spans="1:57" ht="15.75" hidden="1" thickBot="1" x14ac:dyDescent="0.3">
      <c r="A68" s="53" t="s">
        <v>1228</v>
      </c>
      <c r="B68" s="53" t="e">
        <v>#N/A</v>
      </c>
      <c r="C68" s="96" t="s">
        <v>1229</v>
      </c>
      <c r="D68" s="96"/>
      <c r="E68" s="96"/>
      <c r="F68" s="96"/>
      <c r="G68" s="96"/>
      <c r="H68" s="96"/>
      <c r="I68" s="96"/>
      <c r="J68" s="96"/>
      <c r="K68" s="96" t="s">
        <v>73</v>
      </c>
      <c r="L68" s="96" t="s">
        <v>200</v>
      </c>
      <c r="M68" s="96" t="s">
        <v>201</v>
      </c>
      <c r="N68" s="96" t="s">
        <v>76</v>
      </c>
      <c r="O68" s="101">
        <f>VLOOKUP(Tabla156[[#This Row],[Matricula Antigua]],BAJA2022202320242025!$B$3:$CR$245,93,FALSE)</f>
        <v>43873</v>
      </c>
      <c r="P68" s="99">
        <v>45334</v>
      </c>
      <c r="Q68" s="98">
        <f>Tabla156[[#This Row],[F.Vig.Final]]-Tabla156[[#This Row],[f Vig Inicio]]</f>
        <v>1461</v>
      </c>
      <c r="R68" s="99">
        <f>YEAR(Tabla156[[#This Row],[F.Vig.Final]])</f>
        <v>2024</v>
      </c>
      <c r="S68" s="96" t="s">
        <v>77</v>
      </c>
      <c r="T68" s="96" t="s">
        <v>78</v>
      </c>
      <c r="U68" s="96" t="s">
        <v>85</v>
      </c>
      <c r="V68" s="96" t="s">
        <v>1230</v>
      </c>
      <c r="W68" s="96" t="s">
        <v>1231</v>
      </c>
      <c r="X68" s="96" t="s">
        <v>1232</v>
      </c>
      <c r="Y68" s="96" t="s">
        <v>312</v>
      </c>
      <c r="Z68" s="98">
        <f>COUNTIF($X$3:X68, X68)</f>
        <v>1</v>
      </c>
      <c r="AA68" s="98"/>
      <c r="AB68" s="98"/>
      <c r="AC68" s="98"/>
      <c r="AD68" s="98"/>
      <c r="AE68" s="322"/>
      <c r="AF68" s="98"/>
      <c r="AG68" s="98"/>
      <c r="AH68" s="98"/>
      <c r="AI68" s="98" t="e">
        <v>#N/A</v>
      </c>
      <c r="AJ68" s="98" t="e">
        <v>#N/A</v>
      </c>
      <c r="AK68" s="98" t="e">
        <v>#N/A</v>
      </c>
      <c r="AL68" s="98" t="e">
        <v>#N/A</v>
      </c>
      <c r="AM68" s="98" t="e">
        <v>#N/A</v>
      </c>
      <c r="AN68" s="99" t="e">
        <v>#N/A</v>
      </c>
      <c r="AO68" s="99" t="e">
        <v>#N/A</v>
      </c>
      <c r="AP68" s="99" t="e">
        <f>Tabla156[[#This Row],[Renov. Flota]]-Tabla156[[#This Row],[Año]]</f>
        <v>#N/A</v>
      </c>
      <c r="AQ68" s="100" t="e">
        <v>#N/A</v>
      </c>
      <c r="AR68" s="100" t="e">
        <f>VLOOKUP(Tabla156[[#This Row],[Matricula nueva]],'ALTA 20242025'!$B$2:$P$242,15,FALSE)</f>
        <v>#N/A</v>
      </c>
      <c r="AS68" s="101" t="e">
        <v>#N/A</v>
      </c>
      <c r="AT68" s="101"/>
      <c r="AU68" s="101"/>
      <c r="AV68" s="101"/>
      <c r="AW68" s="101" t="e">
        <f>VLOOKUP(Tabla156[[#This Row],[Matricula nueva]],Hoja2!$A$1:$B$224,2,FALSE)</f>
        <v>#N/A</v>
      </c>
      <c r="AX68" s="101" t="str">
        <f>IF(Tabla156[[#This Row],[Columna2]]="M1",5.1,"")</f>
        <v/>
      </c>
      <c r="AY68" s="101"/>
      <c r="AZ68" s="101"/>
      <c r="BA68" s="311">
        <f>IF(Tabla156[[#This Row],[Columna2]]="M1",13073,IF(Tabla156[[#This Row],[Columna2]]="N1",15815,IF(Tabla156[[#This Row],[Columna2]]="L3e",2831,53508)))</f>
        <v>53508</v>
      </c>
      <c r="BB68" s="311" t="e">
        <f>(Tabla156[[#This Row],[CVA]]*Tabla156[[#This Row],[F]]-Tabla156[[#This Row],[CVN]])/100*Tabla156[[#This Row],[L]]</f>
        <v>#VALUE!</v>
      </c>
      <c r="BC68" s="1"/>
      <c r="BD68" s="1" t="e">
        <f>VLOOKUP(B68,Tabla467824[[ID CAE2]:[AE '[kWh']]],6,FALSE)</f>
        <v>#N/A</v>
      </c>
      <c r="BE6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69" spans="1:57" ht="15.75" hidden="1" thickBot="1" x14ac:dyDescent="0.3">
      <c r="A69" s="53" t="s">
        <v>1233</v>
      </c>
      <c r="B69" s="53" t="e">
        <v>#N/A</v>
      </c>
      <c r="C69" s="96" t="s">
        <v>1234</v>
      </c>
      <c r="D69" s="96"/>
      <c r="E69" s="96"/>
      <c r="F69" s="96"/>
      <c r="G69" s="96"/>
      <c r="H69" s="96"/>
      <c r="I69" s="96"/>
      <c r="J69" s="96"/>
      <c r="K69" s="96" t="s">
        <v>73</v>
      </c>
      <c r="L69" s="96" t="s">
        <v>200</v>
      </c>
      <c r="M69" s="96" t="s">
        <v>201</v>
      </c>
      <c r="N69" s="96" t="s">
        <v>76</v>
      </c>
      <c r="O69" s="101">
        <f>VLOOKUP(Tabla156[[#This Row],[Matricula Antigua]],BAJA2022202320242025!$B$3:$CR$245,93,FALSE)</f>
        <v>43875</v>
      </c>
      <c r="P69" s="99">
        <v>45336</v>
      </c>
      <c r="Q69" s="98">
        <f>Tabla156[[#This Row],[F.Vig.Final]]-Tabla156[[#This Row],[f Vig Inicio]]</f>
        <v>1461</v>
      </c>
      <c r="R69" s="99">
        <f>YEAR(Tabla156[[#This Row],[F.Vig.Final]])</f>
        <v>2024</v>
      </c>
      <c r="S69" s="96" t="s">
        <v>77</v>
      </c>
      <c r="T69" s="96" t="s">
        <v>78</v>
      </c>
      <c r="U69" s="96" t="s">
        <v>85</v>
      </c>
      <c r="V69" s="96" t="s">
        <v>1230</v>
      </c>
      <c r="W69" s="96" t="s">
        <v>1235</v>
      </c>
      <c r="X69" s="96" t="s">
        <v>1236</v>
      </c>
      <c r="Y69" s="96" t="s">
        <v>312</v>
      </c>
      <c r="Z69" s="98">
        <f>COUNTIF($X$3:X69, X69)</f>
        <v>1</v>
      </c>
      <c r="AA69" s="98"/>
      <c r="AB69" s="98"/>
      <c r="AC69" s="98"/>
      <c r="AD69" s="98"/>
      <c r="AE69" s="320"/>
      <c r="AF69" s="320"/>
      <c r="AG69" s="320"/>
      <c r="AH69" s="98"/>
      <c r="AI69" s="98" t="e">
        <v>#N/A</v>
      </c>
      <c r="AJ69" s="98" t="e">
        <v>#N/A</v>
      </c>
      <c r="AK69" s="98" t="e">
        <v>#N/A</v>
      </c>
      <c r="AL69" s="98" t="e">
        <v>#N/A</v>
      </c>
      <c r="AM69" s="98" t="e">
        <v>#N/A</v>
      </c>
      <c r="AN69" s="99" t="e">
        <v>#N/A</v>
      </c>
      <c r="AO69" s="99" t="e">
        <v>#N/A</v>
      </c>
      <c r="AP69" s="99" t="e">
        <f>Tabla156[[#This Row],[Renov. Flota]]-Tabla156[[#This Row],[Año]]</f>
        <v>#N/A</v>
      </c>
      <c r="AQ69" s="100" t="e">
        <v>#N/A</v>
      </c>
      <c r="AR69" s="100" t="e">
        <f>VLOOKUP(Tabla156[[#This Row],[Matricula nueva]],'ALTA 20242025'!$B$2:$P$242,15,FALSE)</f>
        <v>#N/A</v>
      </c>
      <c r="AS69" s="101" t="e">
        <v>#N/A</v>
      </c>
      <c r="AT69" s="101"/>
      <c r="AU69" s="101"/>
      <c r="AV69" s="101"/>
      <c r="AW69" s="101" t="e">
        <f>VLOOKUP(Tabla156[[#This Row],[Matricula nueva]],Hoja2!$A$1:$B$224,2,FALSE)</f>
        <v>#N/A</v>
      </c>
      <c r="AX69" s="101" t="str">
        <f>IF(Tabla156[[#This Row],[Columna2]]="M1",5.1,"")</f>
        <v/>
      </c>
      <c r="AY69" s="101"/>
      <c r="AZ69" s="101"/>
      <c r="BA69" s="311">
        <f>IF(Tabla156[[#This Row],[Columna2]]="M1",13073,IF(Tabla156[[#This Row],[Columna2]]="N1",15815,IF(Tabla156[[#This Row],[Columna2]]="L3e",2831,53508)))</f>
        <v>53508</v>
      </c>
      <c r="BB69" s="311" t="e">
        <f>(Tabla156[[#This Row],[CVA]]*Tabla156[[#This Row],[F]]-Tabla156[[#This Row],[CVN]])/100*Tabla156[[#This Row],[L]]</f>
        <v>#VALUE!</v>
      </c>
      <c r="BC69" s="1"/>
      <c r="BD69" s="1" t="e">
        <f>VLOOKUP(B69,Tabla467824[[ID CAE2]:[AE '[kWh']]],6,FALSE)</f>
        <v>#N/A</v>
      </c>
      <c r="BE6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70" spans="1:57" ht="60" x14ac:dyDescent="0.25">
      <c r="A70" s="53" t="s">
        <v>349</v>
      </c>
      <c r="B70" s="53" t="s">
        <v>349</v>
      </c>
      <c r="C70" s="332" t="s">
        <v>350</v>
      </c>
      <c r="D70" s="104" t="s">
        <v>72</v>
      </c>
      <c r="E70" s="104"/>
      <c r="F70" s="104" t="s">
        <v>72</v>
      </c>
      <c r="G70" s="104"/>
      <c r="H70" s="104" t="s">
        <v>72</v>
      </c>
      <c r="I70" s="104" t="s">
        <v>72</v>
      </c>
      <c r="J70" s="104"/>
      <c r="K70" s="96" t="s">
        <v>73</v>
      </c>
      <c r="L70" s="96" t="s">
        <v>200</v>
      </c>
      <c r="M70" s="96" t="s">
        <v>201</v>
      </c>
      <c r="N70" s="96" t="s">
        <v>76</v>
      </c>
      <c r="O70" s="101">
        <f>VLOOKUP(Tabla156[[#This Row],[Matricula Antigua]],BAJA2022202320242025!$B$3:$CR$245,93,FALSE)</f>
        <v>44186</v>
      </c>
      <c r="P70" s="316">
        <v>45647</v>
      </c>
      <c r="Q70" s="317">
        <f>Tabla156[[#This Row],[F.Vig.Final]]-Tabla156[[#This Row],[f Vig Inicio]]</f>
        <v>1461</v>
      </c>
      <c r="R70" s="318">
        <f>YEAR(Tabla156[[#This Row],[F.Vig.Final]])</f>
        <v>2024</v>
      </c>
      <c r="S70" s="96" t="s">
        <v>77</v>
      </c>
      <c r="T70" s="96" t="s">
        <v>78</v>
      </c>
      <c r="U70" s="96" t="s">
        <v>213</v>
      </c>
      <c r="V70" s="96" t="s">
        <v>237</v>
      </c>
      <c r="W70" s="96" t="s">
        <v>336</v>
      </c>
      <c r="X70" s="332" t="s">
        <v>337</v>
      </c>
      <c r="Y70" s="96" t="s">
        <v>351</v>
      </c>
      <c r="Z70" s="98">
        <f>COUNTIF($X$3:X70, X70)</f>
        <v>2</v>
      </c>
      <c r="AA70" s="337" t="s">
        <v>1661</v>
      </c>
      <c r="AB70" s="337" t="s">
        <v>1661</v>
      </c>
      <c r="AC70" s="337" t="s">
        <v>1662</v>
      </c>
      <c r="AD70" s="341" t="s">
        <v>1682</v>
      </c>
      <c r="AE70" s="347" t="s">
        <v>1664</v>
      </c>
      <c r="AF70" s="337" t="s">
        <v>1683</v>
      </c>
      <c r="AG70" s="337" t="s">
        <v>1684</v>
      </c>
      <c r="AH70" s="337" t="s">
        <v>1649</v>
      </c>
      <c r="AI70" s="337" t="s">
        <v>352</v>
      </c>
      <c r="AJ70" s="98" t="s">
        <v>353</v>
      </c>
      <c r="AK70" s="98" t="s">
        <v>354</v>
      </c>
      <c r="AL70" s="98" t="s">
        <v>87</v>
      </c>
      <c r="AM70" s="101" t="s">
        <v>355</v>
      </c>
      <c r="AN70" s="348" t="s">
        <v>89</v>
      </c>
      <c r="AO70" s="349">
        <v>45391</v>
      </c>
      <c r="AP70" s="98">
        <f>Tabla156[[#This Row],[Renov. Flota]]-Tabla156[[#This Row],[Año]]</f>
        <v>0</v>
      </c>
      <c r="AQ70" s="100" t="s">
        <v>336</v>
      </c>
      <c r="AR70" s="100">
        <v>4500398936</v>
      </c>
      <c r="AS70" s="101" t="s">
        <v>337</v>
      </c>
      <c r="AT70" s="101"/>
      <c r="AU70" s="101" t="s">
        <v>72</v>
      </c>
      <c r="AV70" s="101" t="s">
        <v>91</v>
      </c>
      <c r="AW70" s="101" t="s">
        <v>356</v>
      </c>
      <c r="AX70" s="209">
        <f>IF(Tabla156[[#This Row],[Columna2]]="M1",5.1,"")</f>
        <v>5.0999999999999996</v>
      </c>
      <c r="AY70" s="208">
        <f t="shared" ref="AY70:AY78" si="3">IF(T70="DIESEL",10,IF(T70="GLP",7.16,9.19))</f>
        <v>10</v>
      </c>
      <c r="AZ70" s="313">
        <v>7</v>
      </c>
      <c r="BA70" s="314">
        <f>IF(Tabla156[[#This Row],[Columna2]]="M1",13073,IF(Tabla156[[#This Row],[Columna2]]="N1",15815,IF(Tabla156[[#This Row],[Columna2]]="L3e",2831,53508)))</f>
        <v>13073</v>
      </c>
      <c r="BB70" s="350">
        <f>(Tabla156[[#This Row],[CVA]]*Tabla156[[#This Row],[F]]-Tabla156[[#This Row],[CVN]])/100*Tabla156[[#This Row],[L]]</f>
        <v>5752.12</v>
      </c>
      <c r="BC70" s="90" t="s">
        <v>70</v>
      </c>
      <c r="BD70" s="209">
        <f>VLOOKUP(B70,Tabla467824[[ID CAE2]:[AE '[kWh']]],6,FALSE)</f>
        <v>6795.3454000000002</v>
      </c>
      <c r="BE7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1" spans="1:57" ht="51.75" x14ac:dyDescent="0.25">
      <c r="A71" s="53" t="s">
        <v>357</v>
      </c>
      <c r="B71" s="53" t="s">
        <v>357</v>
      </c>
      <c r="C71" s="332" t="s">
        <v>358</v>
      </c>
      <c r="D71" s="104" t="s">
        <v>72</v>
      </c>
      <c r="E71" s="104" t="s">
        <v>72</v>
      </c>
      <c r="F71" s="104" t="s">
        <v>72</v>
      </c>
      <c r="G71" s="104"/>
      <c r="H71" s="104" t="s">
        <v>72</v>
      </c>
      <c r="I71" s="104" t="s">
        <v>72</v>
      </c>
      <c r="J71" s="104"/>
      <c r="K71" s="96" t="s">
        <v>73</v>
      </c>
      <c r="L71" s="96" t="s">
        <v>200</v>
      </c>
      <c r="M71" s="96" t="s">
        <v>201</v>
      </c>
      <c r="N71" s="96" t="s">
        <v>76</v>
      </c>
      <c r="O71" s="101">
        <f>VLOOKUP(Tabla156[[#This Row],[Matricula Antigua]],BAJA2022202320242025!$B$3:$CR$245,93,FALSE)</f>
        <v>43578</v>
      </c>
      <c r="P71" s="316">
        <v>45039</v>
      </c>
      <c r="Q71" s="317">
        <f>Tabla156[[#This Row],[F.Vig.Final]]-Tabla156[[#This Row],[f Vig Inicio]]</f>
        <v>1461</v>
      </c>
      <c r="R71" s="318">
        <f>YEAR(Tabla156[[#This Row],[F.Vig.Final]])</f>
        <v>2023</v>
      </c>
      <c r="S71" s="96" t="s">
        <v>77</v>
      </c>
      <c r="T71" s="96" t="s">
        <v>78</v>
      </c>
      <c r="U71" s="96" t="s">
        <v>359</v>
      </c>
      <c r="V71" s="96" t="s">
        <v>360</v>
      </c>
      <c r="W71" s="96" t="s">
        <v>131</v>
      </c>
      <c r="X71" s="332" t="s">
        <v>132</v>
      </c>
      <c r="Y71" s="96" t="s">
        <v>133</v>
      </c>
      <c r="Z71" s="98">
        <f>COUNTIF($X$3:X71, X71)</f>
        <v>3</v>
      </c>
      <c r="AA71" s="337" t="s">
        <v>1661</v>
      </c>
      <c r="AB71" s="337" t="s">
        <v>1661</v>
      </c>
      <c r="AC71" s="337" t="s">
        <v>1662</v>
      </c>
      <c r="AD71" s="333" t="s">
        <v>1675</v>
      </c>
      <c r="AE71" s="347" t="s">
        <v>1664</v>
      </c>
      <c r="AF71" s="337" t="s">
        <v>1676</v>
      </c>
      <c r="AG71" s="337" t="s">
        <v>1677</v>
      </c>
      <c r="AH71" s="337" t="s">
        <v>1649</v>
      </c>
      <c r="AI71" s="337" t="s">
        <v>361</v>
      </c>
      <c r="AJ71" s="98" t="s">
        <v>140</v>
      </c>
      <c r="AK71" s="98" t="s">
        <v>151</v>
      </c>
      <c r="AL71" s="98" t="s">
        <v>87</v>
      </c>
      <c r="AM71" s="101" t="s">
        <v>135</v>
      </c>
      <c r="AN71" s="348" t="s">
        <v>89</v>
      </c>
      <c r="AO71" s="349">
        <v>45625</v>
      </c>
      <c r="AP71" s="98">
        <f>Tabla156[[#This Row],[Renov. Flota]]-Tabla156[[#This Row],[Año]]</f>
        <v>1</v>
      </c>
      <c r="AQ71" s="100" t="s">
        <v>131</v>
      </c>
      <c r="AR71" s="100" t="str">
        <f>VLOOKUP(Tabla156[[#This Row],[Matricula nueva]],'ALTA 20242025'!$B$2:$P$242,15,FALSE)</f>
        <v>4500426701</v>
      </c>
      <c r="AS71" s="101" t="s">
        <v>132</v>
      </c>
      <c r="AT71" s="101"/>
      <c r="AU71" s="101" t="s">
        <v>72</v>
      </c>
      <c r="AV71" s="101" t="s">
        <v>91</v>
      </c>
      <c r="AW71" s="101" t="str">
        <f>VLOOKUP(Tabla156[[#This Row],[Matricula nueva]],Hoja2!$A$1:$B$224,2,FALSE)</f>
        <v>VR7CBZYA1ST000158</v>
      </c>
      <c r="AX71" s="209">
        <f>IF(Tabla156[[#This Row],[Columna2]]="M1",5.1,"")</f>
        <v>5.0999999999999996</v>
      </c>
      <c r="AY71" s="208">
        <f t="shared" si="3"/>
        <v>10</v>
      </c>
      <c r="AZ71" s="313">
        <v>16.399999999999999</v>
      </c>
      <c r="BA71" s="314">
        <f>IF(Tabla156[[#This Row],[Columna2]]="M1",13073,IF(Tabla156[[#This Row],[Columna2]]="N1",15815,IF(Tabla156[[#This Row],[Columna2]]="L3e",2831,53508)))</f>
        <v>13073</v>
      </c>
      <c r="BB71" s="350">
        <f>(Tabla156[[#This Row],[CVA]]*Tabla156[[#This Row],[F]]-Tabla156[[#This Row],[CVN]])/100*Tabla156[[#This Row],[L]]</f>
        <v>4523.2580000000007</v>
      </c>
      <c r="BC71" s="294" t="s">
        <v>70</v>
      </c>
      <c r="BD71" s="209">
        <f>VLOOKUP(B71,Tabla467824[[ID CAE2]:[AE '[kWh']]],6,FALSE)</f>
        <v>6795.3454000000002</v>
      </c>
      <c r="BE7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2" spans="1:57" ht="51.75" x14ac:dyDescent="0.25">
      <c r="A72" s="53" t="s">
        <v>364</v>
      </c>
      <c r="B72" s="53" t="s">
        <v>364</v>
      </c>
      <c r="C72" s="332" t="s">
        <v>365</v>
      </c>
      <c r="D72" s="104" t="s">
        <v>72</v>
      </c>
      <c r="E72" s="104"/>
      <c r="F72" s="104" t="s">
        <v>72</v>
      </c>
      <c r="G72" s="104"/>
      <c r="H72" s="104" t="s">
        <v>72</v>
      </c>
      <c r="I72" s="104" t="s">
        <v>72</v>
      </c>
      <c r="J72" s="104"/>
      <c r="K72" s="96" t="s">
        <v>73</v>
      </c>
      <c r="L72" s="96" t="s">
        <v>200</v>
      </c>
      <c r="M72" s="96" t="s">
        <v>201</v>
      </c>
      <c r="N72" s="96" t="s">
        <v>76</v>
      </c>
      <c r="O72" s="101">
        <f>VLOOKUP(Tabla156[[#This Row],[Matricula Antigua]],BAJA2022202320242025!$B$3:$CR$245,93,FALSE)</f>
        <v>43726</v>
      </c>
      <c r="P72" s="316">
        <v>45553</v>
      </c>
      <c r="Q72" s="317">
        <f>Tabla156[[#This Row],[F.Vig.Final]]-Tabla156[[#This Row],[f Vig Inicio]]</f>
        <v>1827</v>
      </c>
      <c r="R72" s="318">
        <f>YEAR(Tabla156[[#This Row],[F.Vig.Final]])</f>
        <v>2024</v>
      </c>
      <c r="S72" s="96" t="s">
        <v>77</v>
      </c>
      <c r="T72" s="96" t="s">
        <v>78</v>
      </c>
      <c r="U72" s="96" t="s">
        <v>359</v>
      </c>
      <c r="V72" s="96" t="s">
        <v>360</v>
      </c>
      <c r="W72" s="96" t="s">
        <v>119</v>
      </c>
      <c r="X72" s="332" t="s">
        <v>1674</v>
      </c>
      <c r="Y72" s="96" t="s">
        <v>366</v>
      </c>
      <c r="Z72" s="98">
        <f>COUNTIF($X$3:X72, X72)</f>
        <v>10</v>
      </c>
      <c r="AA72" s="337" t="s">
        <v>1661</v>
      </c>
      <c r="AB72" s="337" t="s">
        <v>1661</v>
      </c>
      <c r="AC72" s="337" t="s">
        <v>1662</v>
      </c>
      <c r="AD72" s="337" t="s">
        <v>1663</v>
      </c>
      <c r="AE72" s="339" t="s">
        <v>1664</v>
      </c>
      <c r="AF72" s="340" t="s">
        <v>1665</v>
      </c>
      <c r="AG72" s="340" t="s">
        <v>1666</v>
      </c>
      <c r="AH72" s="337" t="s">
        <v>1649</v>
      </c>
      <c r="AI72" s="337" t="s">
        <v>367</v>
      </c>
      <c r="AJ72" s="98" t="s">
        <v>140</v>
      </c>
      <c r="AK72" s="98" t="s">
        <v>151</v>
      </c>
      <c r="AL72" s="98" t="s">
        <v>87</v>
      </c>
      <c r="AM72" s="101" t="s">
        <v>368</v>
      </c>
      <c r="AN72" s="348" t="s">
        <v>89</v>
      </c>
      <c r="AO72" s="349">
        <v>45622</v>
      </c>
      <c r="AP72" s="98">
        <f>Tabla156[[#This Row],[Renov. Flota]]-Tabla156[[#This Row],[Año]]</f>
        <v>0</v>
      </c>
      <c r="AQ72" s="100" t="s">
        <v>119</v>
      </c>
      <c r="AR72" s="100" t="str">
        <f>VLOOKUP(Tabla156[[#This Row],[Matricula nueva]],'ALTA 20242025'!$B$2:$P$242,15,FALSE)</f>
        <v>4500424789</v>
      </c>
      <c r="AS72" s="101" t="s">
        <v>120</v>
      </c>
      <c r="AT72" s="101"/>
      <c r="AU72" s="101" t="s">
        <v>72</v>
      </c>
      <c r="AV72" s="101" t="s">
        <v>91</v>
      </c>
      <c r="AW72" s="101" t="str">
        <f>VLOOKUP(Tabla156[[#This Row],[Matricula nueva]],Hoja2!$A$1:$B$224,2,FALSE)</f>
        <v>VR7CBZYA9RT152179</v>
      </c>
      <c r="AX72" s="209">
        <f>IF(Tabla156[[#This Row],[Columna2]]="M1",5.1,"")</f>
        <v>5.0999999999999996</v>
      </c>
      <c r="AY72" s="208">
        <f t="shared" si="3"/>
        <v>10</v>
      </c>
      <c r="AZ72" s="313">
        <v>16.399999999999999</v>
      </c>
      <c r="BA72" s="314">
        <f>IF(Tabla156[[#This Row],[Columna2]]="M1",13073,IF(Tabla156[[#This Row],[Columna2]]="N1",15815,IF(Tabla156[[#This Row],[Columna2]]="L3e",2831,53508)))</f>
        <v>13073</v>
      </c>
      <c r="BB72" s="350">
        <f>(Tabla156[[#This Row],[CVA]]*Tabla156[[#This Row],[F]]-Tabla156[[#This Row],[CVN]])/100*Tabla156[[#This Row],[L]]</f>
        <v>4523.2580000000007</v>
      </c>
      <c r="BC72" s="294" t="s">
        <v>70</v>
      </c>
      <c r="BD72" s="209">
        <f>VLOOKUP(B72,Tabla467824[[ID CAE2]:[AE '[kWh']]],6,FALSE)</f>
        <v>6795.3454000000002</v>
      </c>
      <c r="BE7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3" spans="1:57" ht="60" x14ac:dyDescent="0.25">
      <c r="A73" s="53" t="s">
        <v>371</v>
      </c>
      <c r="B73" s="53" t="s">
        <v>371</v>
      </c>
      <c r="C73" s="332" t="s">
        <v>372</v>
      </c>
      <c r="D73" s="104" t="s">
        <v>72</v>
      </c>
      <c r="E73" s="104" t="s">
        <v>72</v>
      </c>
      <c r="F73" s="104" t="s">
        <v>72</v>
      </c>
      <c r="G73" s="104"/>
      <c r="H73" s="104" t="s">
        <v>72</v>
      </c>
      <c r="I73" s="104" t="s">
        <v>72</v>
      </c>
      <c r="J73" s="104"/>
      <c r="K73" s="96" t="s">
        <v>73</v>
      </c>
      <c r="L73" s="96" t="s">
        <v>200</v>
      </c>
      <c r="M73" s="96" t="s">
        <v>201</v>
      </c>
      <c r="N73" s="96" t="s">
        <v>76</v>
      </c>
      <c r="O73" s="101">
        <f>VLOOKUP(Tabla156[[#This Row],[Matricula Antigua]],BAJA2022202320242025!$B$3:$CR$245,93,FALSE)</f>
        <v>43749</v>
      </c>
      <c r="P73" s="316">
        <v>45576</v>
      </c>
      <c r="Q73" s="317">
        <f>Tabla156[[#This Row],[F.Vig.Final]]-Tabla156[[#This Row],[f Vig Inicio]]</f>
        <v>1827</v>
      </c>
      <c r="R73" s="318">
        <f>YEAR(Tabla156[[#This Row],[F.Vig.Final]])</f>
        <v>2024</v>
      </c>
      <c r="S73" s="96" t="s">
        <v>77</v>
      </c>
      <c r="T73" s="96" t="s">
        <v>78</v>
      </c>
      <c r="U73" s="96" t="s">
        <v>359</v>
      </c>
      <c r="V73" s="96" t="s">
        <v>360</v>
      </c>
      <c r="W73" s="96" t="s">
        <v>336</v>
      </c>
      <c r="X73" s="332" t="s">
        <v>337</v>
      </c>
      <c r="Y73" s="96" t="s">
        <v>373</v>
      </c>
      <c r="Z73" s="98">
        <f>COUNTIF($X$3:X73, X73)</f>
        <v>3</v>
      </c>
      <c r="AA73" s="337" t="s">
        <v>1661</v>
      </c>
      <c r="AB73" s="337" t="s">
        <v>1661</v>
      </c>
      <c r="AC73" s="337" t="s">
        <v>1662</v>
      </c>
      <c r="AD73" s="341" t="s">
        <v>1682</v>
      </c>
      <c r="AE73" s="347" t="s">
        <v>1664</v>
      </c>
      <c r="AF73" s="337" t="s">
        <v>1683</v>
      </c>
      <c r="AG73" s="337" t="s">
        <v>1684</v>
      </c>
      <c r="AH73" s="337" t="s">
        <v>1649</v>
      </c>
      <c r="AI73" s="337" t="s">
        <v>374</v>
      </c>
      <c r="AJ73" s="98" t="s">
        <v>140</v>
      </c>
      <c r="AK73" s="98" t="s">
        <v>151</v>
      </c>
      <c r="AL73" s="98" t="s">
        <v>87</v>
      </c>
      <c r="AM73" s="101" t="s">
        <v>338</v>
      </c>
      <c r="AN73" s="348" t="s">
        <v>89</v>
      </c>
      <c r="AO73" s="349">
        <v>45625</v>
      </c>
      <c r="AP73" s="98">
        <f>Tabla156[[#This Row],[Renov. Flota]]-Tabla156[[#This Row],[Año]]</f>
        <v>0</v>
      </c>
      <c r="AQ73" s="100" t="s">
        <v>336</v>
      </c>
      <c r="AR73" s="100" t="str">
        <f>VLOOKUP(Tabla156[[#This Row],[Matricula nueva]],'ALTA 20242025'!$B$2:$P$242,15,FALSE)</f>
        <v>4500424798</v>
      </c>
      <c r="AS73" s="101" t="s">
        <v>337</v>
      </c>
      <c r="AT73" s="101"/>
      <c r="AU73" s="101" t="s">
        <v>72</v>
      </c>
      <c r="AV73" s="101" t="s">
        <v>91</v>
      </c>
      <c r="AW73" s="101" t="str">
        <f>VLOOKUP(Tabla156[[#This Row],[Matricula nueva]],Hoja2!$A$1:$B$224,2,FALSE)</f>
        <v>VR7CBZYA9RT153042</v>
      </c>
      <c r="AX73" s="209">
        <f>IF(Tabla156[[#This Row],[Columna2]]="M1",5.1,"")</f>
        <v>5.0999999999999996</v>
      </c>
      <c r="AY73" s="208">
        <f t="shared" si="3"/>
        <v>10</v>
      </c>
      <c r="AZ73" s="313">
        <v>16.399999999999999</v>
      </c>
      <c r="BA73" s="314">
        <f>IF(Tabla156[[#This Row],[Columna2]]="M1",13073,IF(Tabla156[[#This Row],[Columna2]]="N1",15815,IF(Tabla156[[#This Row],[Columna2]]="L3e",2831,53508)))</f>
        <v>13073</v>
      </c>
      <c r="BB73" s="350">
        <f>(Tabla156[[#This Row],[CVA]]*Tabla156[[#This Row],[F]]-Tabla156[[#This Row],[CVN]])/100*Tabla156[[#This Row],[L]]</f>
        <v>4523.2580000000007</v>
      </c>
      <c r="BC73" s="294" t="s">
        <v>70</v>
      </c>
      <c r="BD73" s="209">
        <f>VLOOKUP(B73,Tabla467824[[ID CAE2]:[AE '[kWh']]],6,FALSE)</f>
        <v>6795.3454000000002</v>
      </c>
      <c r="BE7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4" spans="1:57" ht="60" x14ac:dyDescent="0.25">
      <c r="A74" s="53" t="s">
        <v>377</v>
      </c>
      <c r="B74" s="53" t="s">
        <v>377</v>
      </c>
      <c r="C74" s="332" t="s">
        <v>378</v>
      </c>
      <c r="D74" s="104" t="s">
        <v>72</v>
      </c>
      <c r="E74" s="104" t="s">
        <v>72</v>
      </c>
      <c r="F74" s="104" t="s">
        <v>72</v>
      </c>
      <c r="G74" s="104"/>
      <c r="H74" s="104" t="s">
        <v>72</v>
      </c>
      <c r="I74" s="104" t="s">
        <v>72</v>
      </c>
      <c r="J74" s="104"/>
      <c r="K74" s="96" t="s">
        <v>73</v>
      </c>
      <c r="L74" s="96" t="s">
        <v>200</v>
      </c>
      <c r="M74" s="96" t="s">
        <v>201</v>
      </c>
      <c r="N74" s="96" t="s">
        <v>160</v>
      </c>
      <c r="O74" s="101">
        <f>VLOOKUP(Tabla156[[#This Row],[Matricula Antigua]],BAJA2022202320242025!$B$3:$CR$245,93,FALSE)</f>
        <v>43522</v>
      </c>
      <c r="P74" s="316">
        <v>45348</v>
      </c>
      <c r="Q74" s="317">
        <f>Tabla156[[#This Row],[F.Vig.Final]]-Tabla156[[#This Row],[f Vig Inicio]]</f>
        <v>1826</v>
      </c>
      <c r="R74" s="318">
        <f>YEAR(Tabla156[[#This Row],[F.Vig.Final]])</f>
        <v>2024</v>
      </c>
      <c r="S74" s="96" t="s">
        <v>161</v>
      </c>
      <c r="T74" s="96" t="s">
        <v>78</v>
      </c>
      <c r="U74" s="96" t="s">
        <v>359</v>
      </c>
      <c r="V74" s="96" t="s">
        <v>360</v>
      </c>
      <c r="W74" s="96" t="s">
        <v>336</v>
      </c>
      <c r="X74" s="332" t="s">
        <v>337</v>
      </c>
      <c r="Y74" s="96" t="s">
        <v>373</v>
      </c>
      <c r="Z74" s="98">
        <f>COUNTIF($X$3:X74, X74)</f>
        <v>4</v>
      </c>
      <c r="AA74" s="337" t="s">
        <v>1661</v>
      </c>
      <c r="AB74" s="337" t="s">
        <v>1661</v>
      </c>
      <c r="AC74" s="337" t="s">
        <v>1662</v>
      </c>
      <c r="AD74" s="341" t="s">
        <v>1682</v>
      </c>
      <c r="AE74" s="347" t="s">
        <v>1664</v>
      </c>
      <c r="AF74" s="337" t="s">
        <v>1683</v>
      </c>
      <c r="AG74" s="337" t="s">
        <v>1684</v>
      </c>
      <c r="AH74" s="337" t="s">
        <v>1649</v>
      </c>
      <c r="AI74" s="337" t="s">
        <v>379</v>
      </c>
      <c r="AJ74" s="98" t="s">
        <v>380</v>
      </c>
      <c r="AK74" s="98" t="s">
        <v>381</v>
      </c>
      <c r="AL74" s="98" t="s">
        <v>87</v>
      </c>
      <c r="AM74" s="101" t="s">
        <v>382</v>
      </c>
      <c r="AN74" s="348" t="s">
        <v>89</v>
      </c>
      <c r="AO74" s="349">
        <v>45483</v>
      </c>
      <c r="AP74" s="98">
        <f>Tabla156[[#This Row],[Renov. Flota]]-Tabla156[[#This Row],[Año]]</f>
        <v>0</v>
      </c>
      <c r="AQ74" s="100" t="s">
        <v>336</v>
      </c>
      <c r="AR74" s="100">
        <v>4500407442</v>
      </c>
      <c r="AS74" s="101" t="s">
        <v>337</v>
      </c>
      <c r="AT74" s="101"/>
      <c r="AU74" s="101" t="s">
        <v>72</v>
      </c>
      <c r="AV74" s="101" t="s">
        <v>91</v>
      </c>
      <c r="AW74" s="101" t="s">
        <v>383</v>
      </c>
      <c r="AX74" s="209">
        <f>IF(Tabla156[[#This Row],[Columna2]]="M1",5.1,"")</f>
        <v>5.0999999999999996</v>
      </c>
      <c r="AY74" s="208">
        <f t="shared" si="3"/>
        <v>10</v>
      </c>
      <c r="AZ74" s="313">
        <v>20</v>
      </c>
      <c r="BA74" s="314">
        <f>IF(Tabla156[[#This Row],[Columna2]]="M1",13073,IF(Tabla156[[#This Row],[Columna2]]="N1",15815,IF(Tabla156[[#This Row],[Columna2]]="L3e",2831,53508)))</f>
        <v>13073</v>
      </c>
      <c r="BB74" s="350">
        <f>(Tabla156[[#This Row],[CVA]]*Tabla156[[#This Row],[F]]-Tabla156[[#This Row],[CVN]])/100*Tabla156[[#This Row],[L]]</f>
        <v>4052.63</v>
      </c>
      <c r="BC74" s="294" t="s">
        <v>70</v>
      </c>
      <c r="BD74" s="209">
        <f>VLOOKUP(B74,Tabla467824[[ID CAE2]:[AE '[kWh']]],6,FALSE)</f>
        <v>6795.3454000000002</v>
      </c>
      <c r="BE7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5" spans="1:57" ht="51.75" x14ac:dyDescent="0.25">
      <c r="A75" s="53" t="s">
        <v>384</v>
      </c>
      <c r="B75" s="53" t="s">
        <v>384</v>
      </c>
      <c r="C75" s="332" t="s">
        <v>385</v>
      </c>
      <c r="D75" s="104" t="s">
        <v>72</v>
      </c>
      <c r="E75" s="104"/>
      <c r="F75" s="104" t="s">
        <v>72</v>
      </c>
      <c r="G75" s="104"/>
      <c r="H75" s="104" t="s">
        <v>72</v>
      </c>
      <c r="I75" s="104" t="s">
        <v>72</v>
      </c>
      <c r="J75" s="104"/>
      <c r="K75" s="96" t="s">
        <v>73</v>
      </c>
      <c r="L75" s="96" t="s">
        <v>200</v>
      </c>
      <c r="M75" s="96" t="s">
        <v>201</v>
      </c>
      <c r="N75" s="96" t="s">
        <v>76</v>
      </c>
      <c r="O75" s="101">
        <f>VLOOKUP(Tabla156[[#This Row],[Matricula Antigua]],BAJA2022202320242025!$B$3:$CR$245,93,FALSE)</f>
        <v>43584</v>
      </c>
      <c r="P75" s="316">
        <v>45045</v>
      </c>
      <c r="Q75" s="317">
        <f>Tabla156[[#This Row],[F.Vig.Final]]-Tabla156[[#This Row],[f Vig Inicio]]</f>
        <v>1461</v>
      </c>
      <c r="R75" s="318">
        <f>YEAR(Tabla156[[#This Row],[F.Vig.Final]])</f>
        <v>2023</v>
      </c>
      <c r="S75" s="96" t="s">
        <v>77</v>
      </c>
      <c r="T75" s="96" t="s">
        <v>78</v>
      </c>
      <c r="U75" s="96" t="s">
        <v>359</v>
      </c>
      <c r="V75" s="96" t="s">
        <v>360</v>
      </c>
      <c r="W75" s="96" t="s">
        <v>119</v>
      </c>
      <c r="X75" s="332" t="s">
        <v>1674</v>
      </c>
      <c r="Y75" s="96" t="s">
        <v>386</v>
      </c>
      <c r="Z75" s="98">
        <f>COUNTIF($X$3:X75, X75)</f>
        <v>11</v>
      </c>
      <c r="AA75" s="337" t="s">
        <v>1661</v>
      </c>
      <c r="AB75" s="337" t="s">
        <v>1661</v>
      </c>
      <c r="AC75" s="337" t="s">
        <v>1662</v>
      </c>
      <c r="AD75" s="337" t="s">
        <v>1663</v>
      </c>
      <c r="AE75" s="345" t="s">
        <v>1664</v>
      </c>
      <c r="AF75" s="346" t="s">
        <v>1665</v>
      </c>
      <c r="AG75" s="346" t="s">
        <v>1666</v>
      </c>
      <c r="AH75" s="337" t="s">
        <v>1649</v>
      </c>
      <c r="AI75" s="337" t="s">
        <v>387</v>
      </c>
      <c r="AJ75" s="98" t="s">
        <v>85</v>
      </c>
      <c r="AK75" s="98" t="s">
        <v>86</v>
      </c>
      <c r="AL75" s="98" t="s">
        <v>87</v>
      </c>
      <c r="AM75" s="101" t="s">
        <v>152</v>
      </c>
      <c r="AN75" s="348" t="s">
        <v>89</v>
      </c>
      <c r="AO75" s="349">
        <v>45645</v>
      </c>
      <c r="AP75" s="98">
        <f>Tabla156[[#This Row],[Renov. Flota]]-Tabla156[[#This Row],[Año]]</f>
        <v>1</v>
      </c>
      <c r="AQ75" s="100" t="s">
        <v>119</v>
      </c>
      <c r="AR75" s="100" t="str">
        <f>VLOOKUP(Tabla156[[#This Row],[Matricula nueva]],'ALTA 20242025'!$B$2:$P$242,15,FALSE)</f>
        <v>4500426873</v>
      </c>
      <c r="AS75" s="101" t="s">
        <v>120</v>
      </c>
      <c r="AT75" s="101"/>
      <c r="AU75" s="101" t="s">
        <v>72</v>
      </c>
      <c r="AV75" s="101" t="s">
        <v>91</v>
      </c>
      <c r="AW75" s="101" t="str">
        <f>VLOOKUP(Tabla156[[#This Row],[Matricula nueva]],Hoja2!$A$1:$B$224,2,FALSE)</f>
        <v>VF1RFK00073934264</v>
      </c>
      <c r="AX75" s="209">
        <f>IF(Tabla156[[#This Row],[Columna2]]="M1",5.1,"")</f>
        <v>5.0999999999999996</v>
      </c>
      <c r="AY75" s="208">
        <f t="shared" si="3"/>
        <v>10</v>
      </c>
      <c r="AZ75" s="313">
        <v>17.3</v>
      </c>
      <c r="BA75" s="314">
        <f>IF(Tabla156[[#This Row],[Columna2]]="M1",13073,IF(Tabla156[[#This Row],[Columna2]]="N1",15815,IF(Tabla156[[#This Row],[Columna2]]="L3e",2831,53508)))</f>
        <v>13073</v>
      </c>
      <c r="BB75" s="350">
        <f>(Tabla156[[#This Row],[CVA]]*Tabla156[[#This Row],[F]]-Tabla156[[#This Row],[CVN]])/100*Tabla156[[#This Row],[L]]</f>
        <v>4405.6010000000006</v>
      </c>
      <c r="BC75" s="294" t="s">
        <v>70</v>
      </c>
      <c r="BD75" s="209">
        <f>VLOOKUP(B75,Tabla467824[[ID CAE2]:[AE '[kWh']]],6,FALSE)</f>
        <v>6795.3454000000002</v>
      </c>
      <c r="BE7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6" spans="1:57" ht="51.75" x14ac:dyDescent="0.25">
      <c r="A76" s="53" t="s">
        <v>390</v>
      </c>
      <c r="B76" s="53" t="s">
        <v>390</v>
      </c>
      <c r="C76" s="332" t="s">
        <v>391</v>
      </c>
      <c r="D76" s="104" t="s">
        <v>72</v>
      </c>
      <c r="E76" s="104"/>
      <c r="F76" s="104" t="s">
        <v>72</v>
      </c>
      <c r="G76" s="104"/>
      <c r="H76" s="104" t="s">
        <v>72</v>
      </c>
      <c r="I76" s="104" t="s">
        <v>72</v>
      </c>
      <c r="J76" s="104"/>
      <c r="K76" s="96" t="s">
        <v>73</v>
      </c>
      <c r="L76" s="96" t="s">
        <v>200</v>
      </c>
      <c r="M76" s="96" t="s">
        <v>201</v>
      </c>
      <c r="N76" s="96" t="s">
        <v>76</v>
      </c>
      <c r="O76" s="101">
        <f>VLOOKUP(Tabla156[[#This Row],[Matricula Antigua]],BAJA2022202320242025!$B$3:$CR$245,93,FALSE)</f>
        <v>43747</v>
      </c>
      <c r="P76" s="316">
        <v>45208</v>
      </c>
      <c r="Q76" s="317">
        <f>Tabla156[[#This Row],[F.Vig.Final]]-Tabla156[[#This Row],[f Vig Inicio]]</f>
        <v>1461</v>
      </c>
      <c r="R76" s="318">
        <f>YEAR(Tabla156[[#This Row],[F.Vig.Final]])</f>
        <v>2023</v>
      </c>
      <c r="S76" s="96" t="s">
        <v>77</v>
      </c>
      <c r="T76" s="96" t="s">
        <v>78</v>
      </c>
      <c r="U76" s="96" t="s">
        <v>359</v>
      </c>
      <c r="V76" s="96" t="s">
        <v>360</v>
      </c>
      <c r="W76" s="96" t="s">
        <v>131</v>
      </c>
      <c r="X76" s="332" t="s">
        <v>132</v>
      </c>
      <c r="Y76" s="96" t="s">
        <v>392</v>
      </c>
      <c r="Z76" s="98">
        <f>COUNTIF($X$3:X76, X76)</f>
        <v>4</v>
      </c>
      <c r="AA76" s="337" t="s">
        <v>1661</v>
      </c>
      <c r="AB76" s="337" t="s">
        <v>1661</v>
      </c>
      <c r="AC76" s="337" t="s">
        <v>1662</v>
      </c>
      <c r="AD76" s="333" t="s">
        <v>1675</v>
      </c>
      <c r="AE76" s="347" t="s">
        <v>1664</v>
      </c>
      <c r="AF76" s="337" t="s">
        <v>1676</v>
      </c>
      <c r="AG76" s="337" t="s">
        <v>1677</v>
      </c>
      <c r="AH76" s="337" t="s">
        <v>1649</v>
      </c>
      <c r="AI76" s="337" t="s">
        <v>393</v>
      </c>
      <c r="AJ76" s="98" t="s">
        <v>85</v>
      </c>
      <c r="AK76" s="98" t="s">
        <v>86</v>
      </c>
      <c r="AL76" s="98" t="s">
        <v>87</v>
      </c>
      <c r="AM76" s="101" t="s">
        <v>318</v>
      </c>
      <c r="AN76" s="348" t="s">
        <v>89</v>
      </c>
      <c r="AO76" s="349">
        <v>45625</v>
      </c>
      <c r="AP76" s="98">
        <f>Tabla156[[#This Row],[Renov. Flota]]-Tabla156[[#This Row],[Año]]</f>
        <v>1</v>
      </c>
      <c r="AQ76" s="100" t="s">
        <v>131</v>
      </c>
      <c r="AR76" s="100" t="str">
        <f>VLOOKUP(Tabla156[[#This Row],[Matricula nueva]],'ALTA 20242025'!$B$2:$P$242,15,FALSE)</f>
        <v>4500426766</v>
      </c>
      <c r="AS76" s="101" t="s">
        <v>132</v>
      </c>
      <c r="AT76" s="101"/>
      <c r="AU76" s="101" t="s">
        <v>72</v>
      </c>
      <c r="AV76" s="101" t="s">
        <v>91</v>
      </c>
      <c r="AW76" s="101" t="str">
        <f>VLOOKUP(Tabla156[[#This Row],[Matricula nueva]],Hoja2!$A$1:$B$224,2,FALSE)</f>
        <v>VF1RFK00X73824810</v>
      </c>
      <c r="AX76" s="209">
        <f>IF(Tabla156[[#This Row],[Columna2]]="M1",5.1,"")</f>
        <v>5.0999999999999996</v>
      </c>
      <c r="AY76" s="208">
        <f t="shared" si="3"/>
        <v>10</v>
      </c>
      <c r="AZ76" s="313">
        <v>17.3</v>
      </c>
      <c r="BA76" s="314">
        <f>IF(Tabla156[[#This Row],[Columna2]]="M1",13073,IF(Tabla156[[#This Row],[Columna2]]="N1",15815,IF(Tabla156[[#This Row],[Columna2]]="L3e",2831,53508)))</f>
        <v>13073</v>
      </c>
      <c r="BB76" s="350">
        <f>(Tabla156[[#This Row],[CVA]]*Tabla156[[#This Row],[F]]-Tabla156[[#This Row],[CVN]])/100*Tabla156[[#This Row],[L]]</f>
        <v>4405.6010000000006</v>
      </c>
      <c r="BC76" s="294" t="s">
        <v>70</v>
      </c>
      <c r="BD76" s="209">
        <f>VLOOKUP(B76,Tabla467824[[ID CAE2]:[AE '[kWh']]],6,FALSE)</f>
        <v>6795.3454000000002</v>
      </c>
      <c r="BE7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7" spans="1:57" ht="51.75" x14ac:dyDescent="0.25">
      <c r="A77" s="53" t="s">
        <v>396</v>
      </c>
      <c r="B77" s="53" t="s">
        <v>396</v>
      </c>
      <c r="C77" s="332" t="s">
        <v>397</v>
      </c>
      <c r="D77" s="104" t="s">
        <v>72</v>
      </c>
      <c r="E77" s="104"/>
      <c r="F77" s="104" t="s">
        <v>72</v>
      </c>
      <c r="G77" s="104"/>
      <c r="H77" s="104" t="s">
        <v>72</v>
      </c>
      <c r="I77" s="104" t="s">
        <v>72</v>
      </c>
      <c r="J77" s="104"/>
      <c r="K77" s="96" t="s">
        <v>73</v>
      </c>
      <c r="L77" s="96" t="s">
        <v>200</v>
      </c>
      <c r="M77" s="96" t="s">
        <v>201</v>
      </c>
      <c r="N77" s="96" t="s">
        <v>76</v>
      </c>
      <c r="O77" s="101">
        <f>VLOOKUP(Tabla156[[#This Row],[Matricula Antigua]],BAJA2022202320242025!$B$3:$CR$245,93,FALSE)</f>
        <v>43619</v>
      </c>
      <c r="P77" s="316">
        <v>45476</v>
      </c>
      <c r="Q77" s="317">
        <f>Tabla156[[#This Row],[F.Vig.Final]]-Tabla156[[#This Row],[f Vig Inicio]]</f>
        <v>1857</v>
      </c>
      <c r="R77" s="318">
        <f>YEAR(Tabla156[[#This Row],[F.Vig.Final]])</f>
        <v>2024</v>
      </c>
      <c r="S77" s="96" t="s">
        <v>77</v>
      </c>
      <c r="T77" s="96" t="s">
        <v>78</v>
      </c>
      <c r="U77" s="96" t="s">
        <v>359</v>
      </c>
      <c r="V77" s="96" t="s">
        <v>360</v>
      </c>
      <c r="W77" s="96" t="s">
        <v>119</v>
      </c>
      <c r="X77" s="332" t="s">
        <v>1674</v>
      </c>
      <c r="Y77" s="96" t="s">
        <v>366</v>
      </c>
      <c r="Z77" s="98">
        <f>COUNTIF($X$3:X77, X77)</f>
        <v>12</v>
      </c>
      <c r="AA77" s="337" t="s">
        <v>1661</v>
      </c>
      <c r="AB77" s="337" t="s">
        <v>1661</v>
      </c>
      <c r="AC77" s="337" t="s">
        <v>1662</v>
      </c>
      <c r="AD77" s="337" t="s">
        <v>1663</v>
      </c>
      <c r="AE77" s="342" t="s">
        <v>1664</v>
      </c>
      <c r="AF77" s="337" t="s">
        <v>1665</v>
      </c>
      <c r="AG77" s="337" t="s">
        <v>1666</v>
      </c>
      <c r="AH77" s="337" t="s">
        <v>1649</v>
      </c>
      <c r="AI77" s="337" t="s">
        <v>398</v>
      </c>
      <c r="AJ77" s="98" t="s">
        <v>85</v>
      </c>
      <c r="AK77" s="98" t="s">
        <v>86</v>
      </c>
      <c r="AL77" s="98" t="s">
        <v>87</v>
      </c>
      <c r="AM77" s="101" t="s">
        <v>325</v>
      </c>
      <c r="AN77" s="348" t="s">
        <v>89</v>
      </c>
      <c r="AO77" s="349">
        <v>45645</v>
      </c>
      <c r="AP77" s="98">
        <f>Tabla156[[#This Row],[Renov. Flota]]-Tabla156[[#This Row],[Año]]</f>
        <v>0</v>
      </c>
      <c r="AQ77" s="100" t="s">
        <v>119</v>
      </c>
      <c r="AR77" s="100" t="str">
        <f>VLOOKUP(Tabla156[[#This Row],[Matricula nueva]],'ALTA 20242025'!$B$2:$P$242,15,FALSE)</f>
        <v>4500426758</v>
      </c>
      <c r="AS77" s="101" t="s">
        <v>120</v>
      </c>
      <c r="AT77" s="101"/>
      <c r="AU77" s="101" t="s">
        <v>72</v>
      </c>
      <c r="AV77" s="101" t="s">
        <v>91</v>
      </c>
      <c r="AW77" s="101" t="str">
        <f>VLOOKUP(Tabla156[[#This Row],[Matricula nueva]],Hoja2!$A$1:$B$224,2,FALSE)</f>
        <v>VF1RFK00873824885</v>
      </c>
      <c r="AX77" s="209">
        <f>IF(Tabla156[[#This Row],[Columna2]]="M1",5.1,"")</f>
        <v>5.0999999999999996</v>
      </c>
      <c r="AY77" s="208">
        <f t="shared" si="3"/>
        <v>10</v>
      </c>
      <c r="AZ77" s="313">
        <v>17.3</v>
      </c>
      <c r="BA77" s="314">
        <f>IF(Tabla156[[#This Row],[Columna2]]="M1",13073,IF(Tabla156[[#This Row],[Columna2]]="N1",15815,IF(Tabla156[[#This Row],[Columna2]]="L3e",2831,53508)))</f>
        <v>13073</v>
      </c>
      <c r="BB77" s="350">
        <f>(Tabla156[[#This Row],[CVA]]*Tabla156[[#This Row],[F]]-Tabla156[[#This Row],[CVN]])/100*Tabla156[[#This Row],[L]]</f>
        <v>4405.6010000000006</v>
      </c>
      <c r="BC77" s="294" t="s">
        <v>70</v>
      </c>
      <c r="BD77" s="209">
        <f>VLOOKUP(B77,Tabla467824[[ID CAE2]:[AE '[kWh']]],6,FALSE)</f>
        <v>6795.3454000000002</v>
      </c>
      <c r="BE7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8" spans="1:57" ht="52.5" thickBot="1" x14ac:dyDescent="0.3">
      <c r="A78" s="53" t="s">
        <v>401</v>
      </c>
      <c r="B78" s="53" t="s">
        <v>401</v>
      </c>
      <c r="C78" s="332" t="s">
        <v>402</v>
      </c>
      <c r="D78" s="104" t="s">
        <v>72</v>
      </c>
      <c r="E78" s="104" t="s">
        <v>72</v>
      </c>
      <c r="F78" s="104" t="s">
        <v>72</v>
      </c>
      <c r="G78" s="104"/>
      <c r="H78" s="104" t="s">
        <v>72</v>
      </c>
      <c r="I78" s="104" t="s">
        <v>72</v>
      </c>
      <c r="J78" s="104"/>
      <c r="K78" s="96" t="s">
        <v>73</v>
      </c>
      <c r="L78" s="96" t="s">
        <v>200</v>
      </c>
      <c r="M78" s="96" t="s">
        <v>201</v>
      </c>
      <c r="N78" s="96" t="s">
        <v>76</v>
      </c>
      <c r="O78" s="101">
        <f>VLOOKUP(Tabla156[[#This Row],[Matricula Antigua]],BAJA2022202320242025!$B$3:$CR$245,93,FALSE)</f>
        <v>43749</v>
      </c>
      <c r="P78" s="316">
        <v>45576</v>
      </c>
      <c r="Q78" s="317">
        <f>Tabla156[[#This Row],[F.Vig.Final]]-Tabla156[[#This Row],[f Vig Inicio]]</f>
        <v>1827</v>
      </c>
      <c r="R78" s="318">
        <f>YEAR(Tabla156[[#This Row],[F.Vig.Final]])</f>
        <v>2024</v>
      </c>
      <c r="S78" s="96" t="s">
        <v>77</v>
      </c>
      <c r="T78" s="96" t="s">
        <v>78</v>
      </c>
      <c r="U78" s="96" t="s">
        <v>359</v>
      </c>
      <c r="V78" s="96" t="s">
        <v>360</v>
      </c>
      <c r="W78" s="96" t="s">
        <v>403</v>
      </c>
      <c r="X78" s="332" t="s">
        <v>404</v>
      </c>
      <c r="Y78" s="96" t="s">
        <v>405</v>
      </c>
      <c r="Z78" s="98">
        <f>COUNTIF($X$3:X78, X78)</f>
        <v>1</v>
      </c>
      <c r="AA78" s="337" t="s">
        <v>1661</v>
      </c>
      <c r="AB78" s="337" t="s">
        <v>1661</v>
      </c>
      <c r="AC78" s="337" t="s">
        <v>1662</v>
      </c>
      <c r="AD78" s="337" t="s">
        <v>1663</v>
      </c>
      <c r="AE78" s="342" t="s">
        <v>1664</v>
      </c>
      <c r="AF78" s="337" t="s">
        <v>1665</v>
      </c>
      <c r="AG78" s="337" t="s">
        <v>1666</v>
      </c>
      <c r="AH78" s="337" t="s">
        <v>1649</v>
      </c>
      <c r="AI78" s="337" t="s">
        <v>406</v>
      </c>
      <c r="AJ78" s="98" t="s">
        <v>85</v>
      </c>
      <c r="AK78" s="98" t="s">
        <v>86</v>
      </c>
      <c r="AL78" s="98" t="s">
        <v>87</v>
      </c>
      <c r="AM78" s="101" t="s">
        <v>407</v>
      </c>
      <c r="AN78" s="348" t="s">
        <v>89</v>
      </c>
      <c r="AO78" s="349">
        <v>45645</v>
      </c>
      <c r="AP78" s="98">
        <f>Tabla156[[#This Row],[Renov. Flota]]-Tabla156[[#This Row],[Año]]</f>
        <v>0</v>
      </c>
      <c r="AQ78" s="100" t="s">
        <v>403</v>
      </c>
      <c r="AR78" s="100" t="str">
        <f>VLOOKUP(Tabla156[[#This Row],[Matricula nueva]],'ALTA 20242025'!$B$2:$P$242,15,FALSE)</f>
        <v>4500426808</v>
      </c>
      <c r="AS78" s="101" t="s">
        <v>404</v>
      </c>
      <c r="AT78" s="101"/>
      <c r="AU78" s="101" t="s">
        <v>72</v>
      </c>
      <c r="AV78" s="101" t="s">
        <v>91</v>
      </c>
      <c r="AW78" s="101" t="str">
        <f>VLOOKUP(Tabla156[[#This Row],[Matricula nueva]],Hoja2!$A$1:$B$224,2,FALSE)</f>
        <v>VF1RFK00873934304</v>
      </c>
      <c r="AX78" s="209">
        <f>IF(Tabla156[[#This Row],[Columna2]]="M1",5.1,"")</f>
        <v>5.0999999999999996</v>
      </c>
      <c r="AY78" s="208">
        <f t="shared" si="3"/>
        <v>10</v>
      </c>
      <c r="AZ78" s="313">
        <v>17.3</v>
      </c>
      <c r="BA78" s="314">
        <f>IF(Tabla156[[#This Row],[Columna2]]="M1",13073,IF(Tabla156[[#This Row],[Columna2]]="N1",15815,IF(Tabla156[[#This Row],[Columna2]]="L3e",2831,53508)))</f>
        <v>13073</v>
      </c>
      <c r="BB78" s="350">
        <f>(Tabla156[[#This Row],[CVA]]*Tabla156[[#This Row],[F]]-Tabla156[[#This Row],[CVN]])/100*Tabla156[[#This Row],[L]]</f>
        <v>4405.6010000000006</v>
      </c>
      <c r="BC78" s="91" t="s">
        <v>70</v>
      </c>
      <c r="BD78" s="209">
        <f>VLOOKUP(B78,Tabla467824[[ID CAE2]:[AE '[kWh']]],6,FALSE)</f>
        <v>6795.3454000000002</v>
      </c>
      <c r="BE7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79" spans="1:57" ht="15.75" hidden="1" thickBot="1" x14ac:dyDescent="0.3">
      <c r="A79" s="53" t="s">
        <v>1237</v>
      </c>
      <c r="B79" s="53" t="e">
        <v>#N/A</v>
      </c>
      <c r="C79" s="96" t="s">
        <v>1238</v>
      </c>
      <c r="D79" s="96"/>
      <c r="E79" s="96"/>
      <c r="F79" s="96"/>
      <c r="G79" s="96"/>
      <c r="H79" s="96"/>
      <c r="I79" s="96"/>
      <c r="J79" s="96"/>
      <c r="K79" s="96" t="s">
        <v>885</v>
      </c>
      <c r="L79" s="96" t="s">
        <v>161</v>
      </c>
      <c r="M79" s="96" t="s">
        <v>886</v>
      </c>
      <c r="N79" s="96" t="s">
        <v>171</v>
      </c>
      <c r="O79" s="101">
        <f>VLOOKUP(Tabla156[[#This Row],[Matricula Antigua]],BAJA2022202320242025!$B$3:$CR$245,93,FALSE)</f>
        <v>44330</v>
      </c>
      <c r="P79" s="99">
        <v>45382</v>
      </c>
      <c r="Q79" s="98">
        <f>Tabla156[[#This Row],[F.Vig.Final]]-Tabla156[[#This Row],[f Vig Inicio]]</f>
        <v>1052</v>
      </c>
      <c r="R79" s="99">
        <f>YEAR(Tabla156[[#This Row],[F.Vig.Final]])</f>
        <v>2024</v>
      </c>
      <c r="S79" s="96" t="s">
        <v>172</v>
      </c>
      <c r="T79" s="96" t="s">
        <v>78</v>
      </c>
      <c r="U79" s="96" t="s">
        <v>140</v>
      </c>
      <c r="V79" s="96" t="s">
        <v>1239</v>
      </c>
      <c r="W79" s="96" t="s">
        <v>1240</v>
      </c>
      <c r="X79" s="96" t="s">
        <v>1241</v>
      </c>
      <c r="Y79" s="96" t="s">
        <v>1242</v>
      </c>
      <c r="Z79" s="98">
        <f>COUNTIF($X$3:X79, X79)</f>
        <v>1</v>
      </c>
      <c r="AA79" s="98"/>
      <c r="AB79" s="98"/>
      <c r="AC79" s="98"/>
      <c r="AD79" s="98"/>
      <c r="AE79" s="321"/>
      <c r="AF79" s="98"/>
      <c r="AG79" s="98"/>
      <c r="AH79" s="98"/>
      <c r="AI79" s="98" t="e">
        <v>#N/A</v>
      </c>
      <c r="AJ79" s="98" t="e">
        <v>#N/A</v>
      </c>
      <c r="AK79" s="98" t="e">
        <v>#N/A</v>
      </c>
      <c r="AL79" s="98" t="e">
        <v>#N/A</v>
      </c>
      <c r="AM79" s="98" t="e">
        <v>#N/A</v>
      </c>
      <c r="AN79" s="99" t="e">
        <v>#N/A</v>
      </c>
      <c r="AO79" s="99" t="e">
        <v>#N/A</v>
      </c>
      <c r="AP79" s="99" t="e">
        <f>Tabla156[[#This Row],[Renov. Flota]]-Tabla156[[#This Row],[Año]]</f>
        <v>#N/A</v>
      </c>
      <c r="AQ79" s="100" t="e">
        <v>#N/A</v>
      </c>
      <c r="AR79" s="100" t="e">
        <f>VLOOKUP(Tabla156[[#This Row],[Matricula nueva]],'ALTA 20242025'!$B$2:$P$242,15,FALSE)</f>
        <v>#N/A</v>
      </c>
      <c r="AS79" s="101" t="e">
        <v>#N/A</v>
      </c>
      <c r="AT79" s="101"/>
      <c r="AU79" s="101"/>
      <c r="AV79" s="101"/>
      <c r="AW79" s="101" t="e">
        <f>VLOOKUP(Tabla156[[#This Row],[Matricula nueva]],Hoja2!$A$1:$B$224,2,FALSE)</f>
        <v>#N/A</v>
      </c>
      <c r="AX79" s="101" t="str">
        <f>IF(Tabla156[[#This Row],[Columna2]]="M1",5.1,"")</f>
        <v/>
      </c>
      <c r="AY79" s="101"/>
      <c r="AZ79" s="101"/>
      <c r="BA79" s="311">
        <f>IF(Tabla156[[#This Row],[Columna2]]="M1",13073,IF(Tabla156[[#This Row],[Columna2]]="N1",15815,IF(Tabla156[[#This Row],[Columna2]]="L3e",2831,53508)))</f>
        <v>53508</v>
      </c>
      <c r="BB79" s="311" t="e">
        <f>(Tabla156[[#This Row],[CVA]]*Tabla156[[#This Row],[F]]-Tabla156[[#This Row],[CVN]])/100*Tabla156[[#This Row],[L]]</f>
        <v>#VALUE!</v>
      </c>
      <c r="BC79" s="1"/>
      <c r="BD79" s="1" t="e">
        <f>VLOOKUP(B79,Tabla467824[[ID CAE2]:[AE '[kWh']]],6,FALSE)</f>
        <v>#N/A</v>
      </c>
      <c r="BE7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0" spans="1:57" ht="51.75" x14ac:dyDescent="0.25">
      <c r="A80" s="53" t="s">
        <v>410</v>
      </c>
      <c r="B80" s="53" t="s">
        <v>410</v>
      </c>
      <c r="C80" s="332" t="s">
        <v>411</v>
      </c>
      <c r="D80" s="104"/>
      <c r="E80" s="104"/>
      <c r="F80" s="104"/>
      <c r="G80" s="104"/>
      <c r="H80" s="104" t="s">
        <v>72</v>
      </c>
      <c r="I80" s="104"/>
      <c r="J80" s="104"/>
      <c r="K80" s="96" t="s">
        <v>413</v>
      </c>
      <c r="L80" s="96" t="s">
        <v>414</v>
      </c>
      <c r="M80" s="96" t="s">
        <v>415</v>
      </c>
      <c r="N80" s="96" t="s">
        <v>171</v>
      </c>
      <c r="O80" s="101">
        <f>VLOOKUP(Tabla156[[#This Row],[Matricula Antigua]],BAJA2022202320242025!$B$3:$CR$245,93,FALSE)</f>
        <v>42116</v>
      </c>
      <c r="P80" s="316">
        <v>45382</v>
      </c>
      <c r="Q80" s="317">
        <f>Tabla156[[#This Row],[F.Vig.Final]]-Tabla156[[#This Row],[f Vig Inicio]]</f>
        <v>3266</v>
      </c>
      <c r="R80" s="318">
        <f>YEAR(Tabla156[[#This Row],[F.Vig.Final]])</f>
        <v>2024</v>
      </c>
      <c r="S80" s="96" t="s">
        <v>172</v>
      </c>
      <c r="T80" s="96" t="s">
        <v>202</v>
      </c>
      <c r="U80" s="96" t="s">
        <v>416</v>
      </c>
      <c r="V80" s="96" t="s">
        <v>417</v>
      </c>
      <c r="W80" s="96" t="s">
        <v>119</v>
      </c>
      <c r="X80" s="332" t="s">
        <v>1674</v>
      </c>
      <c r="Y80" s="96" t="s">
        <v>366</v>
      </c>
      <c r="Z80" s="98">
        <f>COUNTIF($X$3:X80, X80)</f>
        <v>13</v>
      </c>
      <c r="AA80" s="337" t="s">
        <v>1661</v>
      </c>
      <c r="AB80" s="337" t="s">
        <v>1661</v>
      </c>
      <c r="AC80" s="337" t="s">
        <v>1662</v>
      </c>
      <c r="AD80" s="337" t="s">
        <v>1663</v>
      </c>
      <c r="AE80" s="342" t="s">
        <v>1664</v>
      </c>
      <c r="AF80" s="337" t="s">
        <v>1665</v>
      </c>
      <c r="AG80" s="337" t="s">
        <v>1666</v>
      </c>
      <c r="AH80" s="337" t="s">
        <v>1649</v>
      </c>
      <c r="AI80" s="337" t="s">
        <v>418</v>
      </c>
      <c r="AJ80" s="98" t="s">
        <v>85</v>
      </c>
      <c r="AK80" s="98" t="s">
        <v>86</v>
      </c>
      <c r="AL80" s="98" t="s">
        <v>87</v>
      </c>
      <c r="AM80" s="101" t="s">
        <v>419</v>
      </c>
      <c r="AN80" s="348" t="s">
        <v>89</v>
      </c>
      <c r="AO80" s="349">
        <v>45645</v>
      </c>
      <c r="AP80" s="98">
        <f>Tabla156[[#This Row],[Renov. Flota]]-Tabla156[[#This Row],[Año]]</f>
        <v>0</v>
      </c>
      <c r="AQ80" s="100" t="s">
        <v>119</v>
      </c>
      <c r="AR80" s="100" t="str">
        <f>VLOOKUP(Tabla156[[#This Row],[Matricula nueva]],'ALTA 20242025'!$B$2:$P$242,15,FALSE)</f>
        <v>4500426786</v>
      </c>
      <c r="AS80" s="101" t="s">
        <v>120</v>
      </c>
      <c r="AT80" s="101"/>
      <c r="AU80" s="101" t="s">
        <v>72</v>
      </c>
      <c r="AV80" s="101" t="s">
        <v>91</v>
      </c>
      <c r="AW80" s="101" t="str">
        <f>VLOOKUP(Tabla156[[#This Row],[Matricula nueva]],Hoja2!$A$1:$B$224,2,FALSE)</f>
        <v>VF1RFK00573824889</v>
      </c>
      <c r="AX80" s="209">
        <f>IF(Tabla156[[#This Row],[Columna2]]="M1",5.1,"")</f>
        <v>5.0999999999999996</v>
      </c>
      <c r="AY80" s="208">
        <f>IF(T80="DIESEL",10,IF(T80="GLP",7.16,9.19))</f>
        <v>9.19</v>
      </c>
      <c r="AZ80" s="313">
        <v>17.3</v>
      </c>
      <c r="BA80" s="314">
        <f>IF(Tabla156[[#This Row],[Columna2]]="M1",13073,IF(Tabla156[[#This Row],[Columna2]]="N1",15815,IF(Tabla156[[#This Row],[Columna2]]="L3e",2831,53508)))</f>
        <v>13073</v>
      </c>
      <c r="BB80" s="350">
        <f>(Tabla156[[#This Row],[CVA]]*Tabla156[[#This Row],[F]]-Tabla156[[#This Row],[CVN]])/100*Tabla156[[#This Row],[L]]</f>
        <v>3865.5553699999987</v>
      </c>
      <c r="BC80" s="90" t="s">
        <v>70</v>
      </c>
      <c r="BD80" s="209">
        <v>0</v>
      </c>
      <c r="BE8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1" spans="1:57" ht="52.5" thickBot="1" x14ac:dyDescent="0.3">
      <c r="A81" s="53" t="s">
        <v>423</v>
      </c>
      <c r="B81" s="53" t="s">
        <v>423</v>
      </c>
      <c r="C81" s="332" t="s">
        <v>424</v>
      </c>
      <c r="D81" s="104" t="s">
        <v>72</v>
      </c>
      <c r="E81" s="104" t="s">
        <v>72</v>
      </c>
      <c r="F81" s="104" t="s">
        <v>72</v>
      </c>
      <c r="G81" s="104"/>
      <c r="H81" s="104" t="s">
        <v>72</v>
      </c>
      <c r="I81" s="104" t="s">
        <v>72</v>
      </c>
      <c r="J81" s="104"/>
      <c r="K81" s="96" t="s">
        <v>129</v>
      </c>
      <c r="L81" s="96" t="s">
        <v>74</v>
      </c>
      <c r="M81" s="96" t="s">
        <v>75</v>
      </c>
      <c r="N81" s="96" t="s">
        <v>76</v>
      </c>
      <c r="O81" s="99">
        <f>VLOOKUP(Tabla156[[#This Row],[Matricula Antigua]],BAJA2022202320242025!$B$3:$CR$245,93,FALSE)</f>
        <v>45075</v>
      </c>
      <c r="P81" s="316">
        <v>45189</v>
      </c>
      <c r="Q81" s="317">
        <f>Tabla156[[#This Row],[F.Vig.Final]]-Tabla156[[#This Row],[f Vig Inicio]]</f>
        <v>114</v>
      </c>
      <c r="R81" s="318">
        <f>YEAR(Tabla156[[#This Row],[F.Vig.Final]])</f>
        <v>2023</v>
      </c>
      <c r="S81" s="96" t="s">
        <v>77</v>
      </c>
      <c r="T81" s="96" t="s">
        <v>78</v>
      </c>
      <c r="U81" s="96" t="s">
        <v>380</v>
      </c>
      <c r="V81" s="96" t="s">
        <v>426</v>
      </c>
      <c r="W81" s="96" t="s">
        <v>131</v>
      </c>
      <c r="X81" s="332" t="s">
        <v>132</v>
      </c>
      <c r="Y81" s="96" t="s">
        <v>427</v>
      </c>
      <c r="Z81" s="98">
        <f>COUNTIF($X$3:X81, X81)</f>
        <v>5</v>
      </c>
      <c r="AA81" s="337" t="s">
        <v>1661</v>
      </c>
      <c r="AB81" s="337" t="s">
        <v>1661</v>
      </c>
      <c r="AC81" s="337" t="s">
        <v>1662</v>
      </c>
      <c r="AD81" s="333" t="s">
        <v>1675</v>
      </c>
      <c r="AE81" s="347" t="s">
        <v>1664</v>
      </c>
      <c r="AF81" s="337" t="s">
        <v>1676</v>
      </c>
      <c r="AG81" s="337" t="s">
        <v>1677</v>
      </c>
      <c r="AH81" s="337" t="s">
        <v>1649</v>
      </c>
      <c r="AI81" s="337" t="s">
        <v>428</v>
      </c>
      <c r="AJ81" s="98" t="s">
        <v>140</v>
      </c>
      <c r="AK81" s="98" t="s">
        <v>151</v>
      </c>
      <c r="AL81" s="98" t="s">
        <v>87</v>
      </c>
      <c r="AM81" s="101" t="s">
        <v>429</v>
      </c>
      <c r="AN81" s="348" t="s">
        <v>89</v>
      </c>
      <c r="AO81" s="349">
        <v>45625</v>
      </c>
      <c r="AP81" s="98">
        <f>Tabla156[[#This Row],[Renov. Flota]]-Tabla156[[#This Row],[Año]]</f>
        <v>1</v>
      </c>
      <c r="AQ81" s="100" t="s">
        <v>131</v>
      </c>
      <c r="AR81" s="100" t="str">
        <f>VLOOKUP(Tabla156[[#This Row],[Matricula nueva]],'ALTA 20242025'!$B$2:$P$242,15,FALSE)</f>
        <v>4500426703</v>
      </c>
      <c r="AS81" s="101" t="s">
        <v>132</v>
      </c>
      <c r="AT81" s="101"/>
      <c r="AU81" s="101" t="s">
        <v>72</v>
      </c>
      <c r="AV81" s="101" t="s">
        <v>91</v>
      </c>
      <c r="AW81" s="101" t="str">
        <f>VLOOKUP(Tabla156[[#This Row],[Matricula nueva]],Hoja2!$A$1:$B$224,2,FALSE)</f>
        <v>VR7CBZYA9ST000165</v>
      </c>
      <c r="AX81" s="209">
        <v>5.6</v>
      </c>
      <c r="AY81" s="208">
        <f>IF(T81="DIESEL",10,IF(T81="GLP",7.16,9.19))</f>
        <v>10</v>
      </c>
      <c r="AZ81" s="313">
        <v>16.399999999999999</v>
      </c>
      <c r="BA81" s="314">
        <f>IF(Tabla156[[#This Row],[Columna2]]="M1",13073,IF(Tabla156[[#This Row],[Columna2]]="N1",15815,IF(Tabla156[[#This Row],[Columna2]]="L3e",2831,53508)))</f>
        <v>15815</v>
      </c>
      <c r="BB81" s="350">
        <f>(Tabla156[[#This Row],[CVA]]*Tabla156[[#This Row],[F]]-Tabla156[[#This Row],[CVN]])/100*Tabla156[[#This Row],[L]]</f>
        <v>6262.7400000000007</v>
      </c>
      <c r="BC81" s="91" t="s">
        <v>128</v>
      </c>
      <c r="BD81" s="209">
        <f>VLOOKUP(B81,Tabla467824[[ID CAE2]:[AE '[kWh']]],6,FALSE)</f>
        <v>5607.9989999999989</v>
      </c>
      <c r="BE8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82" spans="1:57" ht="15.75" hidden="1" thickBot="1" x14ac:dyDescent="0.3">
      <c r="A82" s="53" t="s">
        <v>1243</v>
      </c>
      <c r="B82" s="53" t="e">
        <v>#N/A</v>
      </c>
      <c r="C82" s="96" t="s">
        <v>1244</v>
      </c>
      <c r="D82" s="96"/>
      <c r="E82" s="96"/>
      <c r="F82" s="96"/>
      <c r="G82" s="96"/>
      <c r="H82" s="96"/>
      <c r="I82" s="96"/>
      <c r="J82" s="96"/>
      <c r="K82" s="96" t="s">
        <v>73</v>
      </c>
      <c r="L82" s="96" t="s">
        <v>200</v>
      </c>
      <c r="M82" s="96" t="s">
        <v>201</v>
      </c>
      <c r="N82" s="96" t="s">
        <v>76</v>
      </c>
      <c r="O82" s="101">
        <f>VLOOKUP(Tabla156[[#This Row],[Matricula Antigua]],BAJA2022202320242025!$B$3:$CR$245,93,FALSE)</f>
        <v>43416</v>
      </c>
      <c r="P82" s="99">
        <v>45386</v>
      </c>
      <c r="Q82" s="98">
        <f>Tabla156[[#This Row],[F.Vig.Final]]-Tabla156[[#This Row],[f Vig Inicio]]</f>
        <v>1970</v>
      </c>
      <c r="R82" s="99">
        <f>YEAR(Tabla156[[#This Row],[F.Vig.Final]])</f>
        <v>2024</v>
      </c>
      <c r="S82" s="96" t="s">
        <v>77</v>
      </c>
      <c r="T82" s="96" t="s">
        <v>674</v>
      </c>
      <c r="U82" s="96" t="s">
        <v>359</v>
      </c>
      <c r="V82" s="96" t="s">
        <v>1245</v>
      </c>
      <c r="W82" s="96" t="s">
        <v>1124</v>
      </c>
      <c r="X82" s="96" t="s">
        <v>1125</v>
      </c>
      <c r="Y82" s="96" t="s">
        <v>776</v>
      </c>
      <c r="Z82" s="98">
        <f>COUNTIF($X$3:X82, X82)</f>
        <v>2</v>
      </c>
      <c r="AA82" s="98"/>
      <c r="AB82" s="98"/>
      <c r="AC82" s="98"/>
      <c r="AD82" s="98"/>
      <c r="AE82" s="320"/>
      <c r="AF82" s="320"/>
      <c r="AG82" s="320"/>
      <c r="AH82" s="98"/>
      <c r="AI82" s="98" t="e">
        <v>#N/A</v>
      </c>
      <c r="AJ82" s="98" t="e">
        <v>#N/A</v>
      </c>
      <c r="AK82" s="98" t="e">
        <v>#N/A</v>
      </c>
      <c r="AL82" s="98" t="e">
        <v>#N/A</v>
      </c>
      <c r="AM82" s="98" t="e">
        <v>#N/A</v>
      </c>
      <c r="AN82" s="99" t="e">
        <v>#N/A</v>
      </c>
      <c r="AO82" s="99" t="e">
        <v>#N/A</v>
      </c>
      <c r="AP82" s="99" t="e">
        <f>Tabla156[[#This Row],[Renov. Flota]]-Tabla156[[#This Row],[Año]]</f>
        <v>#N/A</v>
      </c>
      <c r="AQ82" s="100" t="e">
        <v>#N/A</v>
      </c>
      <c r="AR82" s="100" t="e">
        <f>VLOOKUP(Tabla156[[#This Row],[Matricula nueva]],'ALTA 20242025'!$B$2:$P$242,15,FALSE)</f>
        <v>#N/A</v>
      </c>
      <c r="AS82" s="101" t="e">
        <v>#N/A</v>
      </c>
      <c r="AT82" s="101"/>
      <c r="AU82" s="101"/>
      <c r="AV82" s="101"/>
      <c r="AW82" s="101" t="e">
        <f>VLOOKUP(Tabla156[[#This Row],[Matricula nueva]],Hoja2!$A$1:$B$224,2,FALSE)</f>
        <v>#N/A</v>
      </c>
      <c r="AX82" s="101" t="str">
        <f>IF(Tabla156[[#This Row],[Columna2]]="M1",5.1,"")</f>
        <v/>
      </c>
      <c r="AY82" s="101"/>
      <c r="AZ82" s="101"/>
      <c r="BA82" s="311">
        <f>IF(Tabla156[[#This Row],[Columna2]]="M1",13073,IF(Tabla156[[#This Row],[Columna2]]="N1",15815,IF(Tabla156[[#This Row],[Columna2]]="L3e",2831,53508)))</f>
        <v>53508</v>
      </c>
      <c r="BB82" s="311" t="e">
        <f>(Tabla156[[#This Row],[CVA]]*Tabla156[[#This Row],[F]]-Tabla156[[#This Row],[CVN]])/100*Tabla156[[#This Row],[L]]</f>
        <v>#VALUE!</v>
      </c>
      <c r="BC82" s="1"/>
      <c r="BD82" s="1" t="e">
        <f>VLOOKUP(B82,Tabla467824[[ID CAE2]:[AE '[kWh']]],6,FALSE)</f>
        <v>#N/A</v>
      </c>
      <c r="BE8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3" spans="1:57" ht="52.5" thickBot="1" x14ac:dyDescent="0.3">
      <c r="A83" s="53" t="s">
        <v>432</v>
      </c>
      <c r="B83" s="53" t="s">
        <v>432</v>
      </c>
      <c r="C83" s="332" t="s">
        <v>433</v>
      </c>
      <c r="D83" s="104" t="s">
        <v>72</v>
      </c>
      <c r="E83" s="104"/>
      <c r="F83" s="104" t="s">
        <v>72</v>
      </c>
      <c r="G83" s="104"/>
      <c r="H83" s="104" t="s">
        <v>72</v>
      </c>
      <c r="I83" s="104" t="s">
        <v>72</v>
      </c>
      <c r="J83" s="104"/>
      <c r="K83" s="96" t="s">
        <v>73</v>
      </c>
      <c r="L83" s="96" t="s">
        <v>74</v>
      </c>
      <c r="M83" s="96" t="s">
        <v>75</v>
      </c>
      <c r="N83" s="96" t="s">
        <v>76</v>
      </c>
      <c r="O83" s="99">
        <f>VLOOKUP(Tabla156[[#This Row],[Matricula Antigua]],BAJA2022202320242025!$B$3:$CR$245,93,FALSE)</f>
        <v>45202</v>
      </c>
      <c r="P83" s="316">
        <v>45278</v>
      </c>
      <c r="Q83" s="317">
        <f>Tabla156[[#This Row],[F.Vig.Final]]-Tabla156[[#This Row],[f Vig Inicio]]</f>
        <v>76</v>
      </c>
      <c r="R83" s="318">
        <f>YEAR(Tabla156[[#This Row],[F.Vig.Final]])</f>
        <v>2023</v>
      </c>
      <c r="S83" s="96" t="s">
        <v>77</v>
      </c>
      <c r="T83" s="96" t="s">
        <v>78</v>
      </c>
      <c r="U83" s="96" t="s">
        <v>85</v>
      </c>
      <c r="V83" s="96" t="s">
        <v>434</v>
      </c>
      <c r="W83" s="96" t="s">
        <v>102</v>
      </c>
      <c r="X83" s="332" t="s">
        <v>1667</v>
      </c>
      <c r="Y83" s="96" t="s">
        <v>104</v>
      </c>
      <c r="Z83" s="98">
        <f>COUNTIF($X$3:X83, X83)</f>
        <v>4</v>
      </c>
      <c r="AA83" s="337" t="s">
        <v>1668</v>
      </c>
      <c r="AB83" s="337" t="s">
        <v>1668</v>
      </c>
      <c r="AC83" s="337" t="s">
        <v>1669</v>
      </c>
      <c r="AD83" s="341" t="s">
        <v>1670</v>
      </c>
      <c r="AE83" s="342" t="s">
        <v>1671</v>
      </c>
      <c r="AF83" s="337" t="s">
        <v>1672</v>
      </c>
      <c r="AG83" s="344" t="s">
        <v>1673</v>
      </c>
      <c r="AH83" s="337" t="s">
        <v>1649</v>
      </c>
      <c r="AI83" s="337" t="s">
        <v>435</v>
      </c>
      <c r="AJ83" s="98" t="s">
        <v>85</v>
      </c>
      <c r="AK83" s="98" t="s">
        <v>114</v>
      </c>
      <c r="AL83" s="98" t="s">
        <v>87</v>
      </c>
      <c r="AM83" s="101" t="s">
        <v>115</v>
      </c>
      <c r="AN83" s="348" t="s">
        <v>108</v>
      </c>
      <c r="AO83" s="349">
        <v>45135</v>
      </c>
      <c r="AP83" s="98">
        <f>Tabla156[[#This Row],[Renov. Flota]]-Tabla156[[#This Row],[Año]]</f>
        <v>0</v>
      </c>
      <c r="AQ83" s="100" t="s">
        <v>102</v>
      </c>
      <c r="AR83" s="100">
        <v>4500351520</v>
      </c>
      <c r="AS83" s="101" t="s">
        <v>103</v>
      </c>
      <c r="AT83" s="101"/>
      <c r="AU83" s="101" t="s">
        <v>72</v>
      </c>
      <c r="AV83" s="101" t="s">
        <v>109</v>
      </c>
      <c r="AW83" s="101" t="s">
        <v>436</v>
      </c>
      <c r="AX83" s="209">
        <f>IF(Tabla156[[#This Row],[Columna2]]="M1",5.1,"")</f>
        <v>5.0999999999999996</v>
      </c>
      <c r="AY83" s="208">
        <f>IF(T83="DIESEL",10,IF(T83="GLP",7.16,9.19))</f>
        <v>10</v>
      </c>
      <c r="AZ83" s="313">
        <v>17.3</v>
      </c>
      <c r="BA83" s="314">
        <f>IF(Tabla156[[#This Row],[Columna2]]="M1",13073,IF(Tabla156[[#This Row],[Columna2]]="N1",15815,IF(Tabla156[[#This Row],[Columna2]]="L3e",2831,53508)))</f>
        <v>13073</v>
      </c>
      <c r="BB83" s="350">
        <f>(Tabla156[[#This Row],[CVA]]*Tabla156[[#This Row],[F]]-Tabla156[[#This Row],[CVN]])/100*Tabla156[[#This Row],[L]]</f>
        <v>4405.6010000000006</v>
      </c>
      <c r="BC83" s="92" t="s">
        <v>70</v>
      </c>
      <c r="BD83" s="209">
        <f>VLOOKUP(B83,Tabla467824[[ID CAE2]:[AE '[kWh']]],6,FALSE)</f>
        <v>6795.3454000000002</v>
      </c>
      <c r="BE8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84" spans="1:57" ht="15.75" hidden="1" thickBot="1" x14ac:dyDescent="0.3">
      <c r="A84" s="53" t="s">
        <v>1246</v>
      </c>
      <c r="B84" s="53" t="e">
        <v>#N/A</v>
      </c>
      <c r="C84" s="96" t="s">
        <v>1247</v>
      </c>
      <c r="D84" s="96"/>
      <c r="E84" s="96"/>
      <c r="F84" s="96"/>
      <c r="G84" s="96"/>
      <c r="H84" s="96"/>
      <c r="I84" s="96"/>
      <c r="J84" s="96"/>
      <c r="K84" s="96" t="s">
        <v>885</v>
      </c>
      <c r="L84" s="96" t="s">
        <v>161</v>
      </c>
      <c r="M84" s="96" t="s">
        <v>886</v>
      </c>
      <c r="N84" s="96" t="s">
        <v>171</v>
      </c>
      <c r="O84" s="101">
        <f>VLOOKUP(Tabla156[[#This Row],[Matricula Antigua]],BAJA2022202320242025!$B$3:$CR$245,93,FALSE)</f>
        <v>43879</v>
      </c>
      <c r="P84" s="99">
        <v>45397</v>
      </c>
      <c r="Q84" s="98">
        <f>Tabla156[[#This Row],[F.Vig.Final]]-Tabla156[[#This Row],[f Vig Inicio]]</f>
        <v>1518</v>
      </c>
      <c r="R84" s="99">
        <f>YEAR(Tabla156[[#This Row],[F.Vig.Final]])</f>
        <v>2024</v>
      </c>
      <c r="S84" s="96" t="s">
        <v>172</v>
      </c>
      <c r="T84" s="96" t="s">
        <v>78</v>
      </c>
      <c r="U84" s="96" t="s">
        <v>1248</v>
      </c>
      <c r="V84" s="96" t="s">
        <v>1249</v>
      </c>
      <c r="W84" s="96" t="s">
        <v>1134</v>
      </c>
      <c r="X84" s="96" t="s">
        <v>1135</v>
      </c>
      <c r="Y84" s="96" t="s">
        <v>1136</v>
      </c>
      <c r="Z84" s="98">
        <f>COUNTIF($X$3:X84, X84)</f>
        <v>2</v>
      </c>
      <c r="AA84" s="98"/>
      <c r="AB84" s="98"/>
      <c r="AC84" s="98"/>
      <c r="AD84" s="98"/>
      <c r="AE84" s="322"/>
      <c r="AF84" s="322"/>
      <c r="AG84" s="98"/>
      <c r="AH84" s="98"/>
      <c r="AI84" s="98" t="e">
        <v>#N/A</v>
      </c>
      <c r="AJ84" s="98" t="e">
        <v>#N/A</v>
      </c>
      <c r="AK84" s="98" t="e">
        <v>#N/A</v>
      </c>
      <c r="AL84" s="98" t="e">
        <v>#N/A</v>
      </c>
      <c r="AM84" s="98" t="e">
        <v>#N/A</v>
      </c>
      <c r="AN84" s="99" t="e">
        <v>#N/A</v>
      </c>
      <c r="AO84" s="99" t="e">
        <v>#N/A</v>
      </c>
      <c r="AP84" s="99" t="e">
        <f>Tabla156[[#This Row],[Renov. Flota]]-Tabla156[[#This Row],[Año]]</f>
        <v>#N/A</v>
      </c>
      <c r="AQ84" s="100" t="e">
        <v>#N/A</v>
      </c>
      <c r="AR84" s="100" t="e">
        <f>VLOOKUP(Tabla156[[#This Row],[Matricula nueva]],'ALTA 20242025'!$B$2:$P$242,15,FALSE)</f>
        <v>#N/A</v>
      </c>
      <c r="AS84" s="101" t="e">
        <v>#N/A</v>
      </c>
      <c r="AT84" s="101"/>
      <c r="AU84" s="101"/>
      <c r="AV84" s="101"/>
      <c r="AW84" s="101" t="e">
        <f>VLOOKUP(Tabla156[[#This Row],[Matricula nueva]],Hoja2!$A$1:$B$224,2,FALSE)</f>
        <v>#N/A</v>
      </c>
      <c r="AX84" s="101" t="str">
        <f>IF(Tabla156[[#This Row],[Columna2]]="M1",5.1,"")</f>
        <v/>
      </c>
      <c r="AY84" s="101"/>
      <c r="AZ84" s="101"/>
      <c r="BA84" s="311">
        <f>IF(Tabla156[[#This Row],[Columna2]]="M1",13073,IF(Tabla156[[#This Row],[Columna2]]="N1",15815,IF(Tabla156[[#This Row],[Columna2]]="L3e",2831,53508)))</f>
        <v>53508</v>
      </c>
      <c r="BB84" s="311" t="e">
        <f>(Tabla156[[#This Row],[CVA]]*Tabla156[[#This Row],[F]]-Tabla156[[#This Row],[CVN]])/100*Tabla156[[#This Row],[L]]</f>
        <v>#VALUE!</v>
      </c>
      <c r="BC84" s="1"/>
      <c r="BD84" s="1" t="e">
        <f>VLOOKUP(B84,Tabla467824[[ID CAE2]:[AE '[kWh']]],6,FALSE)</f>
        <v>#N/A</v>
      </c>
      <c r="BE8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5" spans="1:57" ht="15.75" hidden="1" thickBot="1" x14ac:dyDescent="0.3">
      <c r="A85" s="53" t="s">
        <v>1250</v>
      </c>
      <c r="B85" s="53" t="e">
        <v>#N/A</v>
      </c>
      <c r="C85" s="96" t="s">
        <v>1251</v>
      </c>
      <c r="D85" s="96"/>
      <c r="E85" s="96"/>
      <c r="F85" s="96"/>
      <c r="G85" s="96"/>
      <c r="H85" s="96"/>
      <c r="I85" s="96"/>
      <c r="J85" s="96"/>
      <c r="K85" s="96" t="s">
        <v>885</v>
      </c>
      <c r="L85" s="96" t="s">
        <v>161</v>
      </c>
      <c r="M85" s="96" t="s">
        <v>886</v>
      </c>
      <c r="N85" s="96" t="s">
        <v>171</v>
      </c>
      <c r="O85" s="101">
        <f>VLOOKUP(Tabla156[[#This Row],[Matricula Antigua]],BAJA2022202320242025!$B$3:$CR$245,93,FALSE)</f>
        <v>43879</v>
      </c>
      <c r="P85" s="99">
        <v>45397</v>
      </c>
      <c r="Q85" s="98">
        <f>Tabla156[[#This Row],[F.Vig.Final]]-Tabla156[[#This Row],[f Vig Inicio]]</f>
        <v>1518</v>
      </c>
      <c r="R85" s="99">
        <f>YEAR(Tabla156[[#This Row],[F.Vig.Final]])</f>
        <v>2024</v>
      </c>
      <c r="S85" s="96" t="s">
        <v>172</v>
      </c>
      <c r="T85" s="96" t="s">
        <v>78</v>
      </c>
      <c r="U85" s="96" t="s">
        <v>1248</v>
      </c>
      <c r="V85" s="96" t="s">
        <v>1249</v>
      </c>
      <c r="W85" s="96" t="s">
        <v>1134</v>
      </c>
      <c r="X85" s="96" t="s">
        <v>1135</v>
      </c>
      <c r="Y85" s="96" t="s">
        <v>1136</v>
      </c>
      <c r="Z85" s="98">
        <f>COUNTIF($X$3:X85, X85)</f>
        <v>3</v>
      </c>
      <c r="AA85" s="98"/>
      <c r="AB85" s="98"/>
      <c r="AC85" s="98"/>
      <c r="AD85" s="98"/>
      <c r="AE85" s="320"/>
      <c r="AF85" s="320"/>
      <c r="AG85" s="320"/>
      <c r="AH85" s="98"/>
      <c r="AI85" s="98" t="e">
        <v>#N/A</v>
      </c>
      <c r="AJ85" s="98" t="e">
        <v>#N/A</v>
      </c>
      <c r="AK85" s="98" t="e">
        <v>#N/A</v>
      </c>
      <c r="AL85" s="98" t="e">
        <v>#N/A</v>
      </c>
      <c r="AM85" s="98" t="e">
        <v>#N/A</v>
      </c>
      <c r="AN85" s="99" t="e">
        <v>#N/A</v>
      </c>
      <c r="AO85" s="99" t="e">
        <v>#N/A</v>
      </c>
      <c r="AP85" s="99" t="e">
        <f>Tabla156[[#This Row],[Renov. Flota]]-Tabla156[[#This Row],[Año]]</f>
        <v>#N/A</v>
      </c>
      <c r="AQ85" s="100" t="e">
        <v>#N/A</v>
      </c>
      <c r="AR85" s="100" t="e">
        <f>VLOOKUP(Tabla156[[#This Row],[Matricula nueva]],'ALTA 20242025'!$B$2:$P$242,15,FALSE)</f>
        <v>#N/A</v>
      </c>
      <c r="AS85" s="101" t="e">
        <v>#N/A</v>
      </c>
      <c r="AT85" s="101"/>
      <c r="AU85" s="101"/>
      <c r="AV85" s="101"/>
      <c r="AW85" s="101" t="e">
        <f>VLOOKUP(Tabla156[[#This Row],[Matricula nueva]],Hoja2!$A$1:$B$224,2,FALSE)</f>
        <v>#N/A</v>
      </c>
      <c r="AX85" s="101" t="str">
        <f>IF(Tabla156[[#This Row],[Columna2]]="M1",5.1,"")</f>
        <v/>
      </c>
      <c r="AY85" s="101"/>
      <c r="AZ85" s="101"/>
      <c r="BA85" s="311">
        <f>IF(Tabla156[[#This Row],[Columna2]]="M1",13073,IF(Tabla156[[#This Row],[Columna2]]="N1",15815,IF(Tabla156[[#This Row],[Columna2]]="L3e",2831,53508)))</f>
        <v>53508</v>
      </c>
      <c r="BB85" s="311" t="e">
        <f>(Tabla156[[#This Row],[CVA]]*Tabla156[[#This Row],[F]]-Tabla156[[#This Row],[CVN]])/100*Tabla156[[#This Row],[L]]</f>
        <v>#VALUE!</v>
      </c>
      <c r="BC85" s="1"/>
      <c r="BD85" s="1" t="e">
        <f>VLOOKUP(B85,Tabla467824[[ID CAE2]:[AE '[kWh']]],6,FALSE)</f>
        <v>#N/A</v>
      </c>
      <c r="BE8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6" spans="1:57" ht="51.75" x14ac:dyDescent="0.25">
      <c r="A86" s="53" t="s">
        <v>437</v>
      </c>
      <c r="B86" s="53" t="s">
        <v>437</v>
      </c>
      <c r="C86" s="353" t="s">
        <v>438</v>
      </c>
      <c r="D86" s="104"/>
      <c r="E86" s="104"/>
      <c r="F86" s="104" t="s">
        <v>72</v>
      </c>
      <c r="G86" s="104"/>
      <c r="H86" s="104"/>
      <c r="I86" s="104" t="s">
        <v>249</v>
      </c>
      <c r="J86" s="104" t="s">
        <v>249</v>
      </c>
      <c r="K86" s="96" t="s">
        <v>73</v>
      </c>
      <c r="L86" s="96" t="s">
        <v>74</v>
      </c>
      <c r="M86" s="96" t="s">
        <v>75</v>
      </c>
      <c r="N86" s="96" t="s">
        <v>76</v>
      </c>
      <c r="O86" s="99">
        <f>VLOOKUP(Tabla156[[#This Row],[Matricula Antigua]],BAJA2022202320242025!$B$3:$CR$245,93,FALSE)</f>
        <v>44958</v>
      </c>
      <c r="P86" s="316">
        <v>44984</v>
      </c>
      <c r="Q86" s="317">
        <f>Tabla156[[#This Row],[F.Vig.Final]]-Tabla156[[#This Row],[f Vig Inicio]]</f>
        <v>26</v>
      </c>
      <c r="R86" s="318">
        <f>YEAR(Tabla156[[#This Row],[F.Vig.Final]])</f>
        <v>2023</v>
      </c>
      <c r="S86" s="96" t="s">
        <v>77</v>
      </c>
      <c r="T86" s="96" t="s">
        <v>78</v>
      </c>
      <c r="U86" s="96" t="s">
        <v>85</v>
      </c>
      <c r="V86" s="96" t="s">
        <v>439</v>
      </c>
      <c r="W86" s="96" t="s">
        <v>102</v>
      </c>
      <c r="X86" s="332" t="s">
        <v>1667</v>
      </c>
      <c r="Y86" s="96" t="s">
        <v>440</v>
      </c>
      <c r="Z86" s="98">
        <f>COUNTIF($X$3:X86, X86)</f>
        <v>5</v>
      </c>
      <c r="AA86" s="337" t="s">
        <v>1668</v>
      </c>
      <c r="AB86" s="337" t="s">
        <v>1668</v>
      </c>
      <c r="AC86" s="337" t="s">
        <v>1669</v>
      </c>
      <c r="AD86" s="341" t="s">
        <v>1670</v>
      </c>
      <c r="AE86" s="342" t="s">
        <v>1671</v>
      </c>
      <c r="AF86" s="337" t="s">
        <v>1672</v>
      </c>
      <c r="AG86" s="344" t="s">
        <v>1673</v>
      </c>
      <c r="AH86" s="337" t="s">
        <v>1649</v>
      </c>
      <c r="AI86" s="337" t="s">
        <v>441</v>
      </c>
      <c r="AJ86" s="98" t="s">
        <v>79</v>
      </c>
      <c r="AK86" s="98" t="s">
        <v>442</v>
      </c>
      <c r="AL86" s="98" t="s">
        <v>87</v>
      </c>
      <c r="AM86" s="101" t="s">
        <v>107</v>
      </c>
      <c r="AN86" s="348" t="s">
        <v>108</v>
      </c>
      <c r="AO86" s="349">
        <v>45133</v>
      </c>
      <c r="AP86" s="98">
        <f>Tabla156[[#This Row],[Renov. Flota]]-Tabla156[[#This Row],[Año]]</f>
        <v>0</v>
      </c>
      <c r="AQ86" s="100" t="s">
        <v>102</v>
      </c>
      <c r="AR86" s="100">
        <v>4500370216</v>
      </c>
      <c r="AS86" s="101" t="s">
        <v>103</v>
      </c>
      <c r="AT86" s="101"/>
      <c r="AU86" s="101" t="s">
        <v>72</v>
      </c>
      <c r="AV86" s="101" t="s">
        <v>109</v>
      </c>
      <c r="AW86" s="101" t="s">
        <v>443</v>
      </c>
      <c r="AX86" s="209">
        <f>IF(Tabla156[[#This Row],[Columna2]]="M1",5.1,"")</f>
        <v>5.0999999999999996</v>
      </c>
      <c r="AY86" s="208">
        <f>IF(T86="DIESEL",10,IF(T86="GLP",7.16,9.19))</f>
        <v>10</v>
      </c>
      <c r="AZ86" s="313">
        <v>22.7</v>
      </c>
      <c r="BA86" s="314">
        <f>IF(Tabla156[[#This Row],[Columna2]]="M1",13073,IF(Tabla156[[#This Row],[Columna2]]="N1",15815,IF(Tabla156[[#This Row],[Columna2]]="L3e",2831,53508)))</f>
        <v>13073</v>
      </c>
      <c r="BB86" s="350">
        <f>(Tabla156[[#This Row],[CVA]]*Tabla156[[#This Row],[F]]-Tabla156[[#This Row],[CVN]])/100*Tabla156[[#This Row],[L]]</f>
        <v>3699.6590000000006</v>
      </c>
      <c r="BC86" s="90" t="s">
        <v>70</v>
      </c>
      <c r="BD86" s="209">
        <f>VLOOKUP(B86,Tabla467824[[ID CAE2]:[AE '[kWh']]],6,FALSE)</f>
        <v>6795.3454000000002</v>
      </c>
      <c r="BE8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7" spans="1:57" ht="51.75" x14ac:dyDescent="0.25">
      <c r="A87" s="53" t="s">
        <v>444</v>
      </c>
      <c r="B87" s="53" t="s">
        <v>444</v>
      </c>
      <c r="C87" s="353" t="s">
        <v>445</v>
      </c>
      <c r="D87" s="104"/>
      <c r="E87" s="104"/>
      <c r="F87" s="104" t="s">
        <v>249</v>
      </c>
      <c r="G87" s="104"/>
      <c r="H87" s="104"/>
      <c r="I87" s="104" t="s">
        <v>249</v>
      </c>
      <c r="J87" s="104" t="s">
        <v>249</v>
      </c>
      <c r="K87" s="96" t="s">
        <v>73</v>
      </c>
      <c r="L87" s="96" t="s">
        <v>74</v>
      </c>
      <c r="M87" s="96" t="s">
        <v>75</v>
      </c>
      <c r="N87" s="96" t="s">
        <v>76</v>
      </c>
      <c r="O87" s="99">
        <f>VLOOKUP(Tabla156[[#This Row],[Matricula Antigua]],BAJA2022202320242025!$B$3:$CR$245,93,FALSE)</f>
        <v>44958</v>
      </c>
      <c r="P87" s="316">
        <v>44984</v>
      </c>
      <c r="Q87" s="317">
        <f>Tabla156[[#This Row],[F.Vig.Final]]-Tabla156[[#This Row],[f Vig Inicio]]</f>
        <v>26</v>
      </c>
      <c r="R87" s="318">
        <f>YEAR(Tabla156[[#This Row],[F.Vig.Final]])</f>
        <v>2023</v>
      </c>
      <c r="S87" s="96" t="s">
        <v>77</v>
      </c>
      <c r="T87" s="96" t="s">
        <v>78</v>
      </c>
      <c r="U87" s="96" t="s">
        <v>85</v>
      </c>
      <c r="V87" s="96" t="s">
        <v>439</v>
      </c>
      <c r="W87" s="96" t="s">
        <v>102</v>
      </c>
      <c r="X87" s="332" t="s">
        <v>1667</v>
      </c>
      <c r="Y87" s="96" t="s">
        <v>440</v>
      </c>
      <c r="Z87" s="98">
        <f>COUNTIF($X$3:X87, X87)</f>
        <v>6</v>
      </c>
      <c r="AA87" s="337" t="s">
        <v>1668</v>
      </c>
      <c r="AB87" s="337" t="s">
        <v>1668</v>
      </c>
      <c r="AC87" s="337" t="s">
        <v>1669</v>
      </c>
      <c r="AD87" s="341" t="s">
        <v>1670</v>
      </c>
      <c r="AE87" s="342" t="s">
        <v>1671</v>
      </c>
      <c r="AF87" s="337" t="s">
        <v>1672</v>
      </c>
      <c r="AG87" s="344" t="s">
        <v>1673</v>
      </c>
      <c r="AH87" s="337" t="s">
        <v>1649</v>
      </c>
      <c r="AI87" s="337" t="s">
        <v>446</v>
      </c>
      <c r="AJ87" s="98" t="s">
        <v>79</v>
      </c>
      <c r="AK87" s="98" t="s">
        <v>442</v>
      </c>
      <c r="AL87" s="98" t="s">
        <v>87</v>
      </c>
      <c r="AM87" s="101" t="s">
        <v>107</v>
      </c>
      <c r="AN87" s="348" t="s">
        <v>108</v>
      </c>
      <c r="AO87" s="349">
        <v>45133</v>
      </c>
      <c r="AP87" s="98">
        <f>Tabla156[[#This Row],[Renov. Flota]]-Tabla156[[#This Row],[Año]]</f>
        <v>0</v>
      </c>
      <c r="AQ87" s="100" t="s">
        <v>102</v>
      </c>
      <c r="AR87" s="100">
        <v>4500370232</v>
      </c>
      <c r="AS87" s="101" t="s">
        <v>103</v>
      </c>
      <c r="AT87" s="101"/>
      <c r="AU87" s="101" t="s">
        <v>72</v>
      </c>
      <c r="AV87" s="101" t="s">
        <v>109</v>
      </c>
      <c r="AW87" s="101" t="s">
        <v>447</v>
      </c>
      <c r="AX87" s="209">
        <f>IF(Tabla156[[#This Row],[Columna2]]="M1",5.1,"")</f>
        <v>5.0999999999999996</v>
      </c>
      <c r="AY87" s="208">
        <f>IF(T87="DIESEL",10,IF(T87="GLP",7.16,9.19))</f>
        <v>10</v>
      </c>
      <c r="AZ87" s="313">
        <v>22.7</v>
      </c>
      <c r="BA87" s="314">
        <f>IF(Tabla156[[#This Row],[Columna2]]="M1",13073,IF(Tabla156[[#This Row],[Columna2]]="N1",15815,IF(Tabla156[[#This Row],[Columna2]]="L3e",2831,53508)))</f>
        <v>13073</v>
      </c>
      <c r="BB87" s="350">
        <f>(Tabla156[[#This Row],[CVA]]*Tabla156[[#This Row],[F]]-Tabla156[[#This Row],[CVN]])/100*Tabla156[[#This Row],[L]]</f>
        <v>3699.6590000000006</v>
      </c>
      <c r="BC87" s="294" t="s">
        <v>70</v>
      </c>
      <c r="BD87" s="209">
        <f>VLOOKUP(B87,Tabla467824[[ID CAE2]:[AE '[kWh']]],6,FALSE)</f>
        <v>6795.3454000000002</v>
      </c>
      <c r="BE8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88" spans="1:57" ht="51.75" x14ac:dyDescent="0.25">
      <c r="A88" s="53" t="s">
        <v>448</v>
      </c>
      <c r="B88" s="53" t="s">
        <v>448</v>
      </c>
      <c r="C88" s="332" t="s">
        <v>449</v>
      </c>
      <c r="D88" s="104" t="s">
        <v>72</v>
      </c>
      <c r="E88" s="104" t="s">
        <v>72</v>
      </c>
      <c r="F88" s="104" t="s">
        <v>72</v>
      </c>
      <c r="G88" s="104"/>
      <c r="H88" s="104" t="s">
        <v>72</v>
      </c>
      <c r="I88" s="104" t="s">
        <v>72</v>
      </c>
      <c r="J88" s="104"/>
      <c r="K88" s="96" t="s">
        <v>73</v>
      </c>
      <c r="L88" s="96" t="s">
        <v>74</v>
      </c>
      <c r="M88" s="96" t="s">
        <v>75</v>
      </c>
      <c r="N88" s="96" t="s">
        <v>76</v>
      </c>
      <c r="O88" s="99">
        <f>VLOOKUP(Tabla156[[#This Row],[Matricula Antigua]],BAJA2022202320242025!$B$3:$CR$245,93,FALSE)</f>
        <v>45202</v>
      </c>
      <c r="P88" s="316">
        <v>45372</v>
      </c>
      <c r="Q88" s="317">
        <f>Tabla156[[#This Row],[F.Vig.Final]]-Tabla156[[#This Row],[f Vig Inicio]]</f>
        <v>170</v>
      </c>
      <c r="R88" s="318">
        <f>YEAR(Tabla156[[#This Row],[F.Vig.Final]])</f>
        <v>2024</v>
      </c>
      <c r="S88" s="96" t="s">
        <v>77</v>
      </c>
      <c r="T88" s="96" t="s">
        <v>78</v>
      </c>
      <c r="U88" s="96" t="s">
        <v>85</v>
      </c>
      <c r="V88" s="96" t="s">
        <v>450</v>
      </c>
      <c r="W88" s="96" t="s">
        <v>102</v>
      </c>
      <c r="X88" s="332" t="s">
        <v>1667</v>
      </c>
      <c r="Y88" s="96" t="s">
        <v>104</v>
      </c>
      <c r="Z88" s="98">
        <f>COUNTIF($X$3:X88, X88)</f>
        <v>7</v>
      </c>
      <c r="AA88" s="337" t="s">
        <v>1668</v>
      </c>
      <c r="AB88" s="337" t="s">
        <v>1668</v>
      </c>
      <c r="AC88" s="337" t="s">
        <v>1669</v>
      </c>
      <c r="AD88" s="341" t="s">
        <v>1670</v>
      </c>
      <c r="AE88" s="342" t="s">
        <v>1671</v>
      </c>
      <c r="AF88" s="337" t="s">
        <v>1672</v>
      </c>
      <c r="AG88" s="344" t="s">
        <v>1673</v>
      </c>
      <c r="AH88" s="337" t="s">
        <v>1649</v>
      </c>
      <c r="AI88" s="337" t="s">
        <v>451</v>
      </c>
      <c r="AJ88" s="98" t="s">
        <v>359</v>
      </c>
      <c r="AK88" s="98" t="s">
        <v>452</v>
      </c>
      <c r="AL88" s="98" t="s">
        <v>87</v>
      </c>
      <c r="AM88" s="101" t="s">
        <v>440</v>
      </c>
      <c r="AN88" s="348" t="s">
        <v>108</v>
      </c>
      <c r="AO88" s="349">
        <v>45051</v>
      </c>
      <c r="AP88" s="98">
        <f>Tabla156[[#This Row],[Renov. Flota]]-Tabla156[[#This Row],[Año]]</f>
        <v>-1</v>
      </c>
      <c r="AQ88" s="100" t="s">
        <v>102</v>
      </c>
      <c r="AR88" s="100">
        <v>4500352855</v>
      </c>
      <c r="AS88" s="101" t="s">
        <v>103</v>
      </c>
      <c r="AT88" s="101"/>
      <c r="AU88" s="101" t="s">
        <v>72</v>
      </c>
      <c r="AV88" s="101" t="s">
        <v>109</v>
      </c>
      <c r="AW88" s="101" t="s">
        <v>453</v>
      </c>
      <c r="AX88" s="209">
        <f>IF(Tabla156[[#This Row],[Columna2]]="M1",5.1,"")</f>
        <v>5.0999999999999996</v>
      </c>
      <c r="AY88" s="208">
        <f>IF(T88="DIESEL",10,IF(T88="GLP",7.16,9.19))</f>
        <v>10</v>
      </c>
      <c r="AZ88" s="313">
        <v>28.1</v>
      </c>
      <c r="BA88" s="314">
        <f>IF(Tabla156[[#This Row],[Columna2]]="M1",13073,IF(Tabla156[[#This Row],[Columna2]]="N1",15815,IF(Tabla156[[#This Row],[Columna2]]="L3e",2831,53508)))</f>
        <v>13073</v>
      </c>
      <c r="BB88" s="350">
        <f>(Tabla156[[#This Row],[CVA]]*Tabla156[[#This Row],[F]]-Tabla156[[#This Row],[CVN]])/100*Tabla156[[#This Row],[L]]</f>
        <v>2993.7169999999996</v>
      </c>
      <c r="BC88" s="294" t="s">
        <v>70</v>
      </c>
      <c r="BD88" s="209">
        <f>VLOOKUP(B88,Tabla467824[[ID CAE2]:[AE '[kWh']]],6,FALSE)</f>
        <v>6795.3454000000002</v>
      </c>
      <c r="BE8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89" spans="1:57" ht="51.75" x14ac:dyDescent="0.25">
      <c r="A89" s="53" t="s">
        <v>454</v>
      </c>
      <c r="B89" s="53" t="s">
        <v>454</v>
      </c>
      <c r="C89" s="332" t="s">
        <v>455</v>
      </c>
      <c r="D89" s="104" t="s">
        <v>72</v>
      </c>
      <c r="E89" s="104"/>
      <c r="F89" s="104" t="s">
        <v>72</v>
      </c>
      <c r="G89" s="104"/>
      <c r="H89" s="104" t="s">
        <v>72</v>
      </c>
      <c r="I89" s="104" t="s">
        <v>72</v>
      </c>
      <c r="J89" s="104"/>
      <c r="K89" s="96" t="s">
        <v>73</v>
      </c>
      <c r="L89" s="96" t="s">
        <v>74</v>
      </c>
      <c r="M89" s="96" t="s">
        <v>75</v>
      </c>
      <c r="N89" s="96" t="s">
        <v>76</v>
      </c>
      <c r="O89" s="99">
        <f>VLOOKUP(Tabla156[[#This Row],[Matricula Antigua]],BAJA2022202320242025!$B$3:$CR$245,93,FALSE)</f>
        <v>45202</v>
      </c>
      <c r="P89" s="316">
        <v>45259</v>
      </c>
      <c r="Q89" s="317">
        <f>Tabla156[[#This Row],[F.Vig.Final]]-Tabla156[[#This Row],[f Vig Inicio]]</f>
        <v>57</v>
      </c>
      <c r="R89" s="318">
        <f>YEAR(Tabla156[[#This Row],[F.Vig.Final]])</f>
        <v>2023</v>
      </c>
      <c r="S89" s="96" t="s">
        <v>77</v>
      </c>
      <c r="T89" s="96" t="s">
        <v>78</v>
      </c>
      <c r="U89" s="96" t="s">
        <v>85</v>
      </c>
      <c r="V89" s="96" t="s">
        <v>450</v>
      </c>
      <c r="W89" s="96" t="s">
        <v>102</v>
      </c>
      <c r="X89" s="332" t="s">
        <v>1667</v>
      </c>
      <c r="Y89" s="96" t="s">
        <v>104</v>
      </c>
      <c r="Z89" s="98">
        <f>COUNTIF($X$3:X89, X89)</f>
        <v>8</v>
      </c>
      <c r="AA89" s="337" t="s">
        <v>1668</v>
      </c>
      <c r="AB89" s="337" t="s">
        <v>1668</v>
      </c>
      <c r="AC89" s="337" t="s">
        <v>1669</v>
      </c>
      <c r="AD89" s="341" t="s">
        <v>1670</v>
      </c>
      <c r="AE89" s="342" t="s">
        <v>1671</v>
      </c>
      <c r="AF89" s="337" t="s">
        <v>1672</v>
      </c>
      <c r="AG89" s="344" t="s">
        <v>1673</v>
      </c>
      <c r="AH89" s="337" t="s">
        <v>1649</v>
      </c>
      <c r="AI89" s="337" t="s">
        <v>456</v>
      </c>
      <c r="AJ89" s="98" t="s">
        <v>79</v>
      </c>
      <c r="AK89" s="98" t="s">
        <v>106</v>
      </c>
      <c r="AL89" s="98" t="s">
        <v>87</v>
      </c>
      <c r="AM89" s="101" t="s">
        <v>457</v>
      </c>
      <c r="AN89" s="348" t="s">
        <v>108</v>
      </c>
      <c r="AO89" s="349">
        <v>45133</v>
      </c>
      <c r="AP89" s="98">
        <f>Tabla156[[#This Row],[Renov. Flota]]-Tabla156[[#This Row],[Año]]</f>
        <v>0</v>
      </c>
      <c r="AQ89" s="100" t="s">
        <v>102</v>
      </c>
      <c r="AR89" s="100">
        <v>4500370368</v>
      </c>
      <c r="AS89" s="101" t="s">
        <v>103</v>
      </c>
      <c r="AT89" s="101"/>
      <c r="AU89" s="101" t="s">
        <v>72</v>
      </c>
      <c r="AV89" s="101" t="s">
        <v>109</v>
      </c>
      <c r="AW89" s="101" t="s">
        <v>458</v>
      </c>
      <c r="AX89" s="209">
        <f>IF(Tabla156[[#This Row],[Columna2]]="M1",5.1,"")</f>
        <v>5.0999999999999996</v>
      </c>
      <c r="AY89" s="208">
        <f>IF(T89="DIESEL",10,IF(T89="GLP",7.16,9.19))</f>
        <v>10</v>
      </c>
      <c r="AZ89" s="313">
        <v>28.2</v>
      </c>
      <c r="BA89" s="314">
        <f>IF(Tabla156[[#This Row],[Columna2]]="M1",13073,IF(Tabla156[[#This Row],[Columna2]]="N1",15815,IF(Tabla156[[#This Row],[Columna2]]="L3e",2831,53508)))</f>
        <v>13073</v>
      </c>
      <c r="BB89" s="350">
        <f>(Tabla156[[#This Row],[CVA]]*Tabla156[[#This Row],[F]]-Tabla156[[#This Row],[CVN]])/100*Tabla156[[#This Row],[L]]</f>
        <v>2980.6440000000002</v>
      </c>
      <c r="BC89" s="294" t="s">
        <v>70</v>
      </c>
      <c r="BD89" s="209">
        <f>VLOOKUP(B89,Tabla467824[[ID CAE2]:[AE '[kWh']]],6,FALSE)</f>
        <v>6795.3454000000002</v>
      </c>
      <c r="BE8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0" spans="1:57" ht="52.5" thickBot="1" x14ac:dyDescent="0.3">
      <c r="A90" s="53" t="s">
        <v>459</v>
      </c>
      <c r="B90" s="53" t="s">
        <v>459</v>
      </c>
      <c r="C90" s="332" t="s">
        <v>460</v>
      </c>
      <c r="D90" s="104" t="s">
        <v>72</v>
      </c>
      <c r="E90" s="104"/>
      <c r="F90" s="104" t="s">
        <v>72</v>
      </c>
      <c r="G90" s="104"/>
      <c r="H90" s="104" t="s">
        <v>249</v>
      </c>
      <c r="I90" s="104" t="s">
        <v>249</v>
      </c>
      <c r="J90" s="104"/>
      <c r="K90" s="96" t="s">
        <v>73</v>
      </c>
      <c r="L90" s="96" t="s">
        <v>74</v>
      </c>
      <c r="M90" s="96" t="s">
        <v>75</v>
      </c>
      <c r="N90" s="96" t="s">
        <v>76</v>
      </c>
      <c r="O90" s="99">
        <f>VLOOKUP(Tabla156[[#This Row],[Matricula Antigua]],BAJA2022202320242025!$B$3:$CR$245,93,FALSE)</f>
        <v>45202</v>
      </c>
      <c r="P90" s="316">
        <v>45382</v>
      </c>
      <c r="Q90" s="317">
        <f>Tabla156[[#This Row],[F.Vig.Final]]-Tabla156[[#This Row],[f Vig Inicio]]</f>
        <v>180</v>
      </c>
      <c r="R90" s="318">
        <f>YEAR(Tabla156[[#This Row],[F.Vig.Final]])</f>
        <v>2024</v>
      </c>
      <c r="S90" s="96" t="s">
        <v>77</v>
      </c>
      <c r="T90" s="96" t="s">
        <v>78</v>
      </c>
      <c r="U90" s="96" t="s">
        <v>359</v>
      </c>
      <c r="V90" s="96" t="s">
        <v>461</v>
      </c>
      <c r="W90" s="96" t="s">
        <v>102</v>
      </c>
      <c r="X90" s="332" t="s">
        <v>1667</v>
      </c>
      <c r="Y90" s="96" t="s">
        <v>104</v>
      </c>
      <c r="Z90" s="98">
        <f>COUNTIF($X$3:X90, X90)</f>
        <v>9</v>
      </c>
      <c r="AA90" s="337" t="s">
        <v>1668</v>
      </c>
      <c r="AB90" s="337" t="s">
        <v>1668</v>
      </c>
      <c r="AC90" s="337" t="s">
        <v>1669</v>
      </c>
      <c r="AD90" s="341" t="s">
        <v>1670</v>
      </c>
      <c r="AE90" s="342" t="s">
        <v>1671</v>
      </c>
      <c r="AF90" s="337" t="s">
        <v>1672</v>
      </c>
      <c r="AG90" s="344" t="s">
        <v>1673</v>
      </c>
      <c r="AH90" s="337" t="s">
        <v>1649</v>
      </c>
      <c r="AI90" s="337" t="s">
        <v>462</v>
      </c>
      <c r="AJ90" s="98" t="s">
        <v>359</v>
      </c>
      <c r="AK90" s="98" t="s">
        <v>452</v>
      </c>
      <c r="AL90" s="98" t="s">
        <v>87</v>
      </c>
      <c r="AM90" s="101" t="s">
        <v>115</v>
      </c>
      <c r="AN90" s="348" t="s">
        <v>108</v>
      </c>
      <c r="AO90" s="349">
        <v>45051</v>
      </c>
      <c r="AP90" s="98">
        <f>Tabla156[[#This Row],[Renov. Flota]]-Tabla156[[#This Row],[Año]]</f>
        <v>-1</v>
      </c>
      <c r="AQ90" s="100" t="s">
        <v>102</v>
      </c>
      <c r="AR90" s="100">
        <v>4500351861</v>
      </c>
      <c r="AS90" s="101" t="s">
        <v>103</v>
      </c>
      <c r="AT90" s="101"/>
      <c r="AU90" s="101" t="s">
        <v>72</v>
      </c>
      <c r="AV90" s="101" t="s">
        <v>109</v>
      </c>
      <c r="AW90" s="101" t="s">
        <v>463</v>
      </c>
      <c r="AX90" s="209">
        <f>IF(Tabla156[[#This Row],[Columna2]]="M1",5.1,"")</f>
        <v>5.0999999999999996</v>
      </c>
      <c r="AY90" s="208">
        <f>IF(T90="DIESEL",10,IF(T90="GLP",7.16,9.19))</f>
        <v>10</v>
      </c>
      <c r="AZ90" s="313">
        <v>28.1</v>
      </c>
      <c r="BA90" s="314">
        <f>IF(Tabla156[[#This Row],[Columna2]]="M1",13073,IF(Tabla156[[#This Row],[Columna2]]="N1",15815,IF(Tabla156[[#This Row],[Columna2]]="L3e",2831,53508)))</f>
        <v>13073</v>
      </c>
      <c r="BB90" s="350">
        <f>(Tabla156[[#This Row],[CVA]]*Tabla156[[#This Row],[F]]-Tabla156[[#This Row],[CVN]])/100*Tabla156[[#This Row],[L]]</f>
        <v>2993.7169999999996</v>
      </c>
      <c r="BC90" s="91" t="s">
        <v>70</v>
      </c>
      <c r="BD90" s="209">
        <f>VLOOKUP(B90,Tabla467824[[ID CAE2]:[AE '[kWh']]],6,FALSE)</f>
        <v>6795.3454000000002</v>
      </c>
      <c r="BE9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1" spans="1:57" ht="15.75" hidden="1" thickBot="1" x14ac:dyDescent="0.3">
      <c r="A91" s="53" t="s">
        <v>1252</v>
      </c>
      <c r="B91" s="53" t="e">
        <v>#N/A</v>
      </c>
      <c r="C91" s="96" t="s">
        <v>1253</v>
      </c>
      <c r="D91" s="96"/>
      <c r="E91" s="96"/>
      <c r="F91" s="96"/>
      <c r="G91" s="96"/>
      <c r="H91" s="96"/>
      <c r="I91" s="96"/>
      <c r="J91" s="96"/>
      <c r="K91" s="96" t="s">
        <v>158</v>
      </c>
      <c r="L91" s="96" t="s">
        <v>159</v>
      </c>
      <c r="M91" s="96" t="s">
        <v>158</v>
      </c>
      <c r="N91" s="96" t="s">
        <v>171</v>
      </c>
      <c r="O91" s="101">
        <f>VLOOKUP(Tabla156[[#This Row],[Matricula Antigua]],BAJA2022202320242025!$B$3:$CR$245,93,FALSE)</f>
        <v>37956</v>
      </c>
      <c r="P91" s="99">
        <v>45427</v>
      </c>
      <c r="Q91" s="98">
        <f>Tabla156[[#This Row],[F.Vig.Final]]-Tabla156[[#This Row],[f Vig Inicio]]</f>
        <v>7471</v>
      </c>
      <c r="R91" s="99">
        <f>YEAR(Tabla156[[#This Row],[F.Vig.Final]])</f>
        <v>2024</v>
      </c>
      <c r="S91" s="96" t="s">
        <v>172</v>
      </c>
      <c r="T91" s="96" t="s">
        <v>71</v>
      </c>
      <c r="U91" s="96" t="s">
        <v>1254</v>
      </c>
      <c r="V91" s="96" t="s">
        <v>1255</v>
      </c>
      <c r="W91" s="96" t="s">
        <v>584</v>
      </c>
      <c r="X91" s="96" t="s">
        <v>585</v>
      </c>
      <c r="Y91" s="96" t="s">
        <v>1217</v>
      </c>
      <c r="Z91" s="98">
        <f>COUNTIF($X$3:X91, X91)</f>
        <v>2</v>
      </c>
      <c r="AA91" s="98"/>
      <c r="AB91" s="98"/>
      <c r="AC91" s="98"/>
      <c r="AD91" s="98"/>
      <c r="AE91" s="322"/>
      <c r="AF91" s="322"/>
      <c r="AG91" s="98"/>
      <c r="AH91" s="98"/>
      <c r="AI91" s="98" t="e">
        <v>#N/A</v>
      </c>
      <c r="AJ91" s="98" t="e">
        <v>#N/A</v>
      </c>
      <c r="AK91" s="98" t="e">
        <v>#N/A</v>
      </c>
      <c r="AL91" s="98" t="e">
        <v>#N/A</v>
      </c>
      <c r="AM91" s="98" t="e">
        <v>#N/A</v>
      </c>
      <c r="AN91" s="99" t="e">
        <v>#N/A</v>
      </c>
      <c r="AO91" s="99" t="e">
        <v>#N/A</v>
      </c>
      <c r="AP91" s="99" t="e">
        <f>Tabla156[[#This Row],[Renov. Flota]]-Tabla156[[#This Row],[Año]]</f>
        <v>#N/A</v>
      </c>
      <c r="AQ91" s="100" t="e">
        <v>#N/A</v>
      </c>
      <c r="AR91" s="100" t="e">
        <f>VLOOKUP(Tabla156[[#This Row],[Matricula nueva]],'ALTA 20242025'!$B$2:$P$242,15,FALSE)</f>
        <v>#N/A</v>
      </c>
      <c r="AS91" s="101" t="e">
        <v>#N/A</v>
      </c>
      <c r="AT91" s="101"/>
      <c r="AU91" s="101"/>
      <c r="AV91" s="101"/>
      <c r="AW91" s="101" t="e">
        <f>VLOOKUP(Tabla156[[#This Row],[Matricula nueva]],Hoja2!$A$1:$B$224,2,FALSE)</f>
        <v>#N/A</v>
      </c>
      <c r="AX91" s="101" t="str">
        <f>IF(Tabla156[[#This Row],[Columna2]]="M1",5.1,"")</f>
        <v/>
      </c>
      <c r="AY91" s="101"/>
      <c r="AZ91" s="101"/>
      <c r="BA91" s="311">
        <f>IF(Tabla156[[#This Row],[Columna2]]="M1",13073,IF(Tabla156[[#This Row],[Columna2]]="N1",15815,IF(Tabla156[[#This Row],[Columna2]]="L3e",2831,53508)))</f>
        <v>53508</v>
      </c>
      <c r="BB91" s="311" t="e">
        <f>(Tabla156[[#This Row],[CVA]]*Tabla156[[#This Row],[F]]-Tabla156[[#This Row],[CVN]])/100*Tabla156[[#This Row],[L]]</f>
        <v>#VALUE!</v>
      </c>
      <c r="BC91" s="1"/>
      <c r="BD91" s="1" t="e">
        <f>VLOOKUP(B91,Tabla467824[[ID CAE2]:[AE '[kWh']]],6,FALSE)</f>
        <v>#N/A</v>
      </c>
      <c r="BE9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92" spans="1:57" ht="51.75" x14ac:dyDescent="0.25">
      <c r="A92" s="53" t="s">
        <v>464</v>
      </c>
      <c r="B92" s="53" t="s">
        <v>464</v>
      </c>
      <c r="C92" s="332" t="s">
        <v>465</v>
      </c>
      <c r="D92" s="104" t="s">
        <v>72</v>
      </c>
      <c r="E92" s="104"/>
      <c r="F92" s="104" t="s">
        <v>72</v>
      </c>
      <c r="G92" s="104"/>
      <c r="H92" s="104" t="s">
        <v>72</v>
      </c>
      <c r="I92" s="104" t="s">
        <v>72</v>
      </c>
      <c r="J92" s="104"/>
      <c r="K92" s="96" t="s">
        <v>466</v>
      </c>
      <c r="L92" s="96" t="s">
        <v>200</v>
      </c>
      <c r="M92" s="96" t="s">
        <v>201</v>
      </c>
      <c r="N92" s="96" t="s">
        <v>76</v>
      </c>
      <c r="O92" s="101">
        <f>VLOOKUP(Tabla156[[#This Row],[Matricula Antigua]],BAJA2022202320242025!$B$3:$CR$245,93,FALSE)</f>
        <v>44088</v>
      </c>
      <c r="P92" s="316">
        <v>45549</v>
      </c>
      <c r="Q92" s="317">
        <f>Tabla156[[#This Row],[F.Vig.Final]]-Tabla156[[#This Row],[f Vig Inicio]]</f>
        <v>1461</v>
      </c>
      <c r="R92" s="318">
        <f>YEAR(Tabla156[[#This Row],[F.Vig.Final]])</f>
        <v>2024</v>
      </c>
      <c r="S92" s="96" t="s">
        <v>77</v>
      </c>
      <c r="T92" s="96" t="s">
        <v>78</v>
      </c>
      <c r="U92" s="96" t="s">
        <v>467</v>
      </c>
      <c r="V92" s="96" t="s">
        <v>468</v>
      </c>
      <c r="W92" s="96" t="s">
        <v>469</v>
      </c>
      <c r="X92" s="332" t="s">
        <v>470</v>
      </c>
      <c r="Y92" s="96" t="s">
        <v>471</v>
      </c>
      <c r="Z92" s="98">
        <f>COUNTIF($X$3:X92, X92)</f>
        <v>1</v>
      </c>
      <c r="AA92" s="333" t="s">
        <v>1685</v>
      </c>
      <c r="AB92" s="337" t="s">
        <v>1668</v>
      </c>
      <c r="AC92" s="337" t="s">
        <v>1669</v>
      </c>
      <c r="AD92" s="341" t="s">
        <v>1686</v>
      </c>
      <c r="AE92" s="337" t="s">
        <v>1671</v>
      </c>
      <c r="AF92" s="337" t="s">
        <v>1687</v>
      </c>
      <c r="AG92" s="337" t="s">
        <v>1688</v>
      </c>
      <c r="AH92" s="337" t="s">
        <v>1649</v>
      </c>
      <c r="AI92" s="337" t="s">
        <v>472</v>
      </c>
      <c r="AJ92" s="98" t="s">
        <v>380</v>
      </c>
      <c r="AK92" s="98" t="s">
        <v>381</v>
      </c>
      <c r="AL92" s="98" t="s">
        <v>87</v>
      </c>
      <c r="AM92" s="101" t="s">
        <v>471</v>
      </c>
      <c r="AN92" s="348" t="s">
        <v>89</v>
      </c>
      <c r="AO92" s="349">
        <v>45551</v>
      </c>
      <c r="AP92" s="98">
        <f>Tabla156[[#This Row],[Renov. Flota]]-Tabla156[[#This Row],[Año]]</f>
        <v>0</v>
      </c>
      <c r="AQ92" s="100" t="s">
        <v>469</v>
      </c>
      <c r="AR92" s="100">
        <v>4500413615</v>
      </c>
      <c r="AS92" s="101" t="s">
        <v>470</v>
      </c>
      <c r="AT92" s="101"/>
      <c r="AU92" s="101" t="s">
        <v>72</v>
      </c>
      <c r="AV92" s="101" t="s">
        <v>109</v>
      </c>
      <c r="AW92" s="101" t="s">
        <v>473</v>
      </c>
      <c r="AX92" s="209">
        <v>5.6</v>
      </c>
      <c r="AY92" s="208">
        <f>IF(T92="DIESEL",10,IF(T92="GLP",7.16,9.19))</f>
        <v>10</v>
      </c>
      <c r="AZ92" s="313">
        <v>20</v>
      </c>
      <c r="BA92" s="314">
        <f>IF(Tabla156[[#This Row],[Columna2]]="M1",13073,IF(Tabla156[[#This Row],[Columna2]]="N1",15815,IF(Tabla156[[#This Row],[Columna2]]="L3e",2831,53508)))</f>
        <v>15815</v>
      </c>
      <c r="BB92" s="350">
        <f>(Tabla156[[#This Row],[CVA]]*Tabla156[[#This Row],[F]]-Tabla156[[#This Row],[CVN]])/100*Tabla156[[#This Row],[L]]</f>
        <v>5693.4</v>
      </c>
      <c r="BC92" s="90" t="s">
        <v>128</v>
      </c>
      <c r="BD92" s="209">
        <f>VLOOKUP(B92,Tabla467824[[ID CAE2]:[AE '[kWh']]],6,FALSE)</f>
        <v>5607.9989999999989</v>
      </c>
      <c r="BE9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3" spans="1:57" ht="60" x14ac:dyDescent="0.25">
      <c r="A93" s="53" t="s">
        <v>474</v>
      </c>
      <c r="B93" s="53" t="s">
        <v>474</v>
      </c>
      <c r="C93" s="332" t="s">
        <v>475</v>
      </c>
      <c r="D93" s="104" t="s">
        <v>72</v>
      </c>
      <c r="E93" s="104" t="s">
        <v>72</v>
      </c>
      <c r="F93" s="104" t="s">
        <v>72</v>
      </c>
      <c r="G93" s="104"/>
      <c r="H93" s="104" t="s">
        <v>72</v>
      </c>
      <c r="I93" s="104" t="s">
        <v>72</v>
      </c>
      <c r="J93" s="104"/>
      <c r="K93" s="96" t="s">
        <v>73</v>
      </c>
      <c r="L93" s="96" t="s">
        <v>200</v>
      </c>
      <c r="M93" s="96" t="s">
        <v>201</v>
      </c>
      <c r="N93" s="96" t="s">
        <v>76</v>
      </c>
      <c r="O93" s="101">
        <f>VLOOKUP(Tabla156[[#This Row],[Matricula Antigua]],BAJA2022202320242025!$B$3:$CR$245,93,FALSE)</f>
        <v>42923</v>
      </c>
      <c r="P93" s="316">
        <v>45565</v>
      </c>
      <c r="Q93" s="317">
        <f>Tabla156[[#This Row],[F.Vig.Final]]-Tabla156[[#This Row],[f Vig Inicio]]</f>
        <v>2642</v>
      </c>
      <c r="R93" s="318">
        <f>YEAR(Tabla156[[#This Row],[F.Vig.Final]])</f>
        <v>2024</v>
      </c>
      <c r="S93" s="96" t="s">
        <v>77</v>
      </c>
      <c r="T93" s="96" t="s">
        <v>78</v>
      </c>
      <c r="U93" s="96" t="s">
        <v>467</v>
      </c>
      <c r="V93" s="96" t="s">
        <v>476</v>
      </c>
      <c r="W93" s="96" t="s">
        <v>190</v>
      </c>
      <c r="X93" s="333" t="s">
        <v>1678</v>
      </c>
      <c r="Y93" s="96" t="s">
        <v>477</v>
      </c>
      <c r="Z93" s="98">
        <f>COUNTIF($X$3:X93, X93)</f>
        <v>4</v>
      </c>
      <c r="AA93" s="337" t="s">
        <v>1661</v>
      </c>
      <c r="AB93" s="337" t="s">
        <v>1661</v>
      </c>
      <c r="AC93" s="337" t="s">
        <v>1662</v>
      </c>
      <c r="AD93" s="337" t="s">
        <v>1663</v>
      </c>
      <c r="AE93" s="342" t="s">
        <v>1664</v>
      </c>
      <c r="AF93" s="337" t="s">
        <v>1665</v>
      </c>
      <c r="AG93" s="337" t="s">
        <v>1666</v>
      </c>
      <c r="AH93" s="337" t="s">
        <v>1649</v>
      </c>
      <c r="AI93" s="337" t="s">
        <v>478</v>
      </c>
      <c r="AJ93" s="98" t="s">
        <v>140</v>
      </c>
      <c r="AK93" s="98" t="s">
        <v>151</v>
      </c>
      <c r="AL93" s="98" t="s">
        <v>87</v>
      </c>
      <c r="AM93" s="101" t="s">
        <v>345</v>
      </c>
      <c r="AN93" s="348" t="s">
        <v>89</v>
      </c>
      <c r="AO93" s="349">
        <v>45625</v>
      </c>
      <c r="AP93" s="98">
        <f>Tabla156[[#This Row],[Renov. Flota]]-Tabla156[[#This Row],[Año]]</f>
        <v>0</v>
      </c>
      <c r="AQ93" s="100" t="s">
        <v>190</v>
      </c>
      <c r="AR93" s="100" t="str">
        <f>VLOOKUP(Tabla156[[#This Row],[Matricula nueva]],'ALTA 20242025'!$B$2:$P$242,15,FALSE)</f>
        <v>4500424790</v>
      </c>
      <c r="AS93" s="101" t="s">
        <v>191</v>
      </c>
      <c r="AT93" s="101"/>
      <c r="AU93" s="101" t="s">
        <v>72</v>
      </c>
      <c r="AV93" s="101" t="s">
        <v>91</v>
      </c>
      <c r="AW93" s="101" t="str">
        <f>VLOOKUP(Tabla156[[#This Row],[Matricula nueva]],Hoja2!$A$1:$B$224,2,FALSE)</f>
        <v>VR7CBZYA8RT154442</v>
      </c>
      <c r="AX93" s="209">
        <v>5.6</v>
      </c>
      <c r="AY93" s="208">
        <f>IF(T93="DIESEL",10,IF(T93="GLP",7.16,9.19))</f>
        <v>10</v>
      </c>
      <c r="AZ93" s="313">
        <v>16.399999999999999</v>
      </c>
      <c r="BA93" s="314">
        <f>IF(Tabla156[[#This Row],[Columna2]]="M1",13073,IF(Tabla156[[#This Row],[Columna2]]="N1",15815,IF(Tabla156[[#This Row],[Columna2]]="L3e",2831,53508)))</f>
        <v>15815</v>
      </c>
      <c r="BB93" s="350">
        <f>(Tabla156[[#This Row],[CVA]]*Tabla156[[#This Row],[F]]-Tabla156[[#This Row],[CVN]])/100*Tabla156[[#This Row],[L]]</f>
        <v>6262.7400000000007</v>
      </c>
      <c r="BC93" s="294" t="s">
        <v>128</v>
      </c>
      <c r="BD93" s="209">
        <f>VLOOKUP(B93,Tabla467824[[ID CAE2]:[AE '[kWh']]],6,FALSE)</f>
        <v>5607.9989999999989</v>
      </c>
      <c r="BE9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4" spans="1:57" ht="51.75" x14ac:dyDescent="0.25">
      <c r="A94" s="53" t="s">
        <v>481</v>
      </c>
      <c r="B94" s="53" t="s">
        <v>481</v>
      </c>
      <c r="C94" s="332" t="s">
        <v>482</v>
      </c>
      <c r="D94" s="104" t="s">
        <v>72</v>
      </c>
      <c r="E94" s="104" t="s">
        <v>72</v>
      </c>
      <c r="F94" s="104" t="s">
        <v>72</v>
      </c>
      <c r="G94" s="104"/>
      <c r="H94" s="104" t="s">
        <v>72</v>
      </c>
      <c r="I94" s="104" t="s">
        <v>72</v>
      </c>
      <c r="J94" s="104"/>
      <c r="K94" s="96" t="s">
        <v>73</v>
      </c>
      <c r="L94" s="96" t="s">
        <v>200</v>
      </c>
      <c r="M94" s="96" t="s">
        <v>201</v>
      </c>
      <c r="N94" s="96" t="s">
        <v>160</v>
      </c>
      <c r="O94" s="101">
        <f>VLOOKUP(Tabla156[[#This Row],[Matricula Antigua]],BAJA2022202320242025!$B$3:$CR$245,93,FALSE)</f>
        <v>44166</v>
      </c>
      <c r="P94" s="316">
        <v>45627</v>
      </c>
      <c r="Q94" s="317">
        <f>Tabla156[[#This Row],[F.Vig.Final]]-Tabla156[[#This Row],[f Vig Inicio]]</f>
        <v>1461</v>
      </c>
      <c r="R94" s="318">
        <f>YEAR(Tabla156[[#This Row],[F.Vig.Final]])</f>
        <v>2024</v>
      </c>
      <c r="S94" s="96" t="s">
        <v>161</v>
      </c>
      <c r="T94" s="96" t="s">
        <v>78</v>
      </c>
      <c r="U94" s="96" t="s">
        <v>467</v>
      </c>
      <c r="V94" s="96" t="s">
        <v>476</v>
      </c>
      <c r="W94" s="96" t="s">
        <v>119</v>
      </c>
      <c r="X94" s="332" t="s">
        <v>1674</v>
      </c>
      <c r="Y94" s="96" t="s">
        <v>368</v>
      </c>
      <c r="Z94" s="98">
        <f>COUNTIF($X$3:X94, X94)</f>
        <v>14</v>
      </c>
      <c r="AA94" s="337" t="s">
        <v>1661</v>
      </c>
      <c r="AB94" s="337" t="s">
        <v>1661</v>
      </c>
      <c r="AC94" s="337" t="s">
        <v>1662</v>
      </c>
      <c r="AD94" s="337" t="s">
        <v>1663</v>
      </c>
      <c r="AE94" s="342" t="s">
        <v>1664</v>
      </c>
      <c r="AF94" s="337" t="s">
        <v>1665</v>
      </c>
      <c r="AG94" s="337" t="s">
        <v>1666</v>
      </c>
      <c r="AH94" s="337" t="s">
        <v>1649</v>
      </c>
      <c r="AI94" s="337" t="s">
        <v>483</v>
      </c>
      <c r="AJ94" s="98" t="s">
        <v>140</v>
      </c>
      <c r="AK94" s="98" t="s">
        <v>151</v>
      </c>
      <c r="AL94" s="98" t="s">
        <v>87</v>
      </c>
      <c r="AM94" s="101" t="s">
        <v>323</v>
      </c>
      <c r="AN94" s="348" t="s">
        <v>89</v>
      </c>
      <c r="AO94" s="349">
        <v>45625</v>
      </c>
      <c r="AP94" s="98">
        <f>Tabla156[[#This Row],[Renov. Flota]]-Tabla156[[#This Row],[Año]]</f>
        <v>0</v>
      </c>
      <c r="AQ94" s="100" t="s">
        <v>119</v>
      </c>
      <c r="AR94" s="100" t="str">
        <f>VLOOKUP(Tabla156[[#This Row],[Matricula nueva]],'ALTA 20242025'!$B$2:$P$242,15,FALSE)</f>
        <v>4500424802</v>
      </c>
      <c r="AS94" s="101" t="s">
        <v>120</v>
      </c>
      <c r="AT94" s="101"/>
      <c r="AU94" s="101" t="s">
        <v>72</v>
      </c>
      <c r="AV94" s="101" t="s">
        <v>91</v>
      </c>
      <c r="AW94" s="101" t="str">
        <f>VLOOKUP(Tabla156[[#This Row],[Matricula nueva]],Hoja2!$A$1:$B$224,2,FALSE)</f>
        <v>VR7CBZYA7RT152214</v>
      </c>
      <c r="AX94" s="209">
        <v>5.6</v>
      </c>
      <c r="AY94" s="208">
        <f>IF(T94="DIESEL",10,IF(T94="GLP",7.16,9.19))</f>
        <v>10</v>
      </c>
      <c r="AZ94" s="313">
        <v>16.399999999999999</v>
      </c>
      <c r="BA94" s="314">
        <f>IF(Tabla156[[#This Row],[Columna2]]="M1",13073,IF(Tabla156[[#This Row],[Columna2]]="N1",15815,IF(Tabla156[[#This Row],[Columna2]]="L3e",2831,53508)))</f>
        <v>15815</v>
      </c>
      <c r="BB94" s="350">
        <f>(Tabla156[[#This Row],[CVA]]*Tabla156[[#This Row],[F]]-Tabla156[[#This Row],[CVN]])/100*Tabla156[[#This Row],[L]]</f>
        <v>6262.7400000000007</v>
      </c>
      <c r="BC94" s="294" t="s">
        <v>128</v>
      </c>
      <c r="BD94" s="209">
        <f>VLOOKUP(B94,Tabla467824[[ID CAE2]:[AE '[kWh']]],6,FALSE)</f>
        <v>5607.9989999999989</v>
      </c>
      <c r="BE9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5" spans="1:57" ht="60.75" thickBot="1" x14ac:dyDescent="0.3">
      <c r="A95" s="53" t="s">
        <v>486</v>
      </c>
      <c r="B95" s="53" t="s">
        <v>486</v>
      </c>
      <c r="C95" s="332" t="s">
        <v>487</v>
      </c>
      <c r="D95" s="104" t="s">
        <v>72</v>
      </c>
      <c r="E95" s="104" t="s">
        <v>72</v>
      </c>
      <c r="F95" s="104" t="s">
        <v>72</v>
      </c>
      <c r="G95" s="104"/>
      <c r="H95" s="104" t="s">
        <v>72</v>
      </c>
      <c r="I95" s="104" t="s">
        <v>72</v>
      </c>
      <c r="J95" s="104"/>
      <c r="K95" s="96" t="s">
        <v>73</v>
      </c>
      <c r="L95" s="96" t="s">
        <v>200</v>
      </c>
      <c r="M95" s="96" t="s">
        <v>201</v>
      </c>
      <c r="N95" s="96" t="s">
        <v>76</v>
      </c>
      <c r="O95" s="101">
        <f>VLOOKUP(Tabla156[[#This Row],[Matricula Antigua]],BAJA2022202320242025!$B$3:$CR$245,93,FALSE)</f>
        <v>44176</v>
      </c>
      <c r="P95" s="316">
        <v>45637</v>
      </c>
      <c r="Q95" s="317">
        <f>Tabla156[[#This Row],[F.Vig.Final]]-Tabla156[[#This Row],[f Vig Inicio]]</f>
        <v>1461</v>
      </c>
      <c r="R95" s="318">
        <f>YEAR(Tabla156[[#This Row],[F.Vig.Final]])</f>
        <v>2024</v>
      </c>
      <c r="S95" s="96" t="s">
        <v>77</v>
      </c>
      <c r="T95" s="96" t="s">
        <v>78</v>
      </c>
      <c r="U95" s="96" t="s">
        <v>467</v>
      </c>
      <c r="V95" s="96" t="s">
        <v>476</v>
      </c>
      <c r="W95" s="96" t="s">
        <v>190</v>
      </c>
      <c r="X95" s="333" t="s">
        <v>1678</v>
      </c>
      <c r="Y95" s="96" t="s">
        <v>194</v>
      </c>
      <c r="Z95" s="98">
        <f>COUNTIF($X$3:X95, X95)</f>
        <v>5</v>
      </c>
      <c r="AA95" s="337" t="s">
        <v>1661</v>
      </c>
      <c r="AB95" s="337" t="s">
        <v>1661</v>
      </c>
      <c r="AC95" s="337" t="s">
        <v>1662</v>
      </c>
      <c r="AD95" s="337" t="s">
        <v>1663</v>
      </c>
      <c r="AE95" s="342" t="s">
        <v>1664</v>
      </c>
      <c r="AF95" s="337" t="s">
        <v>1665</v>
      </c>
      <c r="AG95" s="337" t="s">
        <v>1666</v>
      </c>
      <c r="AH95" s="337" t="s">
        <v>1649</v>
      </c>
      <c r="AI95" s="337" t="s">
        <v>488</v>
      </c>
      <c r="AJ95" s="98" t="s">
        <v>85</v>
      </c>
      <c r="AK95" s="98" t="s">
        <v>86</v>
      </c>
      <c r="AL95" s="98" t="s">
        <v>87</v>
      </c>
      <c r="AM95" s="101" t="s">
        <v>477</v>
      </c>
      <c r="AN95" s="348" t="s">
        <v>89</v>
      </c>
      <c r="AO95" s="349">
        <v>45646</v>
      </c>
      <c r="AP95" s="98">
        <f>Tabla156[[#This Row],[Renov. Flota]]-Tabla156[[#This Row],[Año]]</f>
        <v>0</v>
      </c>
      <c r="AQ95" s="100" t="s">
        <v>190</v>
      </c>
      <c r="AR95" s="100" t="str">
        <f>VLOOKUP(Tabla156[[#This Row],[Matricula nueva]],'ALTA 20242025'!$B$2:$P$242,15,FALSE)</f>
        <v>4500426879</v>
      </c>
      <c r="AS95" s="101" t="s">
        <v>191</v>
      </c>
      <c r="AT95" s="101"/>
      <c r="AU95" s="101" t="s">
        <v>72</v>
      </c>
      <c r="AV95" s="101" t="s">
        <v>91</v>
      </c>
      <c r="AW95" s="101" t="str">
        <f>VLOOKUP(Tabla156[[#This Row],[Matricula nueva]],Hoja2!$A$1:$B$224,2,FALSE)</f>
        <v>VF1RFK00973934294</v>
      </c>
      <c r="AX95" s="209">
        <v>5.6</v>
      </c>
      <c r="AY95" s="208">
        <f>IF(T95="DIESEL",10,IF(T95="GLP",7.16,9.19))</f>
        <v>10</v>
      </c>
      <c r="AZ95" s="313">
        <v>17.3</v>
      </c>
      <c r="BA95" s="314">
        <f>IF(Tabla156[[#This Row],[Columna2]]="M1",13073,IF(Tabla156[[#This Row],[Columna2]]="N1",15815,IF(Tabla156[[#This Row],[Columna2]]="L3e",2831,53508)))</f>
        <v>15815</v>
      </c>
      <c r="BB95" s="350">
        <f>(Tabla156[[#This Row],[CVA]]*Tabla156[[#This Row],[F]]-Tabla156[[#This Row],[CVN]])/100*Tabla156[[#This Row],[L]]</f>
        <v>6120.4049999999997</v>
      </c>
      <c r="BC95" s="91" t="s">
        <v>128</v>
      </c>
      <c r="BD95" s="209">
        <f>VLOOKUP(B95,Tabla467824[[ID CAE2]:[AE '[kWh']]],6,FALSE)</f>
        <v>5607.9989999999989</v>
      </c>
      <c r="BE9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6" spans="1:57" ht="15.75" hidden="1" thickBot="1" x14ac:dyDescent="0.3">
      <c r="A96" s="53" t="s">
        <v>1256</v>
      </c>
      <c r="B96" s="53" t="e">
        <v>#N/A</v>
      </c>
      <c r="C96" s="96" t="s">
        <v>1257</v>
      </c>
      <c r="D96" s="96"/>
      <c r="E96" s="96"/>
      <c r="F96" s="96"/>
      <c r="G96" s="96"/>
      <c r="H96" s="96"/>
      <c r="I96" s="96"/>
      <c r="J96" s="96"/>
      <c r="K96" s="96" t="s">
        <v>73</v>
      </c>
      <c r="L96" s="96" t="s">
        <v>200</v>
      </c>
      <c r="M96" s="96" t="s">
        <v>201</v>
      </c>
      <c r="N96" s="96" t="s">
        <v>76</v>
      </c>
      <c r="O96" s="101">
        <f>VLOOKUP(Tabla156[[#This Row],[Matricula Antigua]],BAJA2022202320242025!$B$3:$CR$245,93,FALSE)</f>
        <v>43630</v>
      </c>
      <c r="P96" s="99">
        <v>45457</v>
      </c>
      <c r="Q96" s="98">
        <f>Tabla156[[#This Row],[F.Vig.Final]]-Tabla156[[#This Row],[f Vig Inicio]]</f>
        <v>1827</v>
      </c>
      <c r="R96" s="99">
        <f>YEAR(Tabla156[[#This Row],[F.Vig.Final]])</f>
        <v>2024</v>
      </c>
      <c r="S96" s="96" t="s">
        <v>77</v>
      </c>
      <c r="T96" s="96" t="s">
        <v>674</v>
      </c>
      <c r="U96" s="96" t="s">
        <v>359</v>
      </c>
      <c r="V96" s="96" t="s">
        <v>1245</v>
      </c>
      <c r="W96" s="96" t="s">
        <v>1258</v>
      </c>
      <c r="X96" s="96" t="s">
        <v>1259</v>
      </c>
      <c r="Y96" s="96" t="s">
        <v>1260</v>
      </c>
      <c r="Z96" s="98">
        <f>COUNTIF($X$3:X96, X96)</f>
        <v>1</v>
      </c>
      <c r="AA96" s="98"/>
      <c r="AB96" s="98"/>
      <c r="AC96" s="98"/>
      <c r="AD96" s="98"/>
      <c r="AE96" s="321"/>
      <c r="AF96" s="320"/>
      <c r="AG96" s="320"/>
      <c r="AH96" s="98"/>
      <c r="AI96" s="98" t="e">
        <v>#N/A</v>
      </c>
      <c r="AJ96" s="98" t="e">
        <v>#N/A</v>
      </c>
      <c r="AK96" s="98" t="e">
        <v>#N/A</v>
      </c>
      <c r="AL96" s="98" t="e">
        <v>#N/A</v>
      </c>
      <c r="AM96" s="98" t="e">
        <v>#N/A</v>
      </c>
      <c r="AN96" s="99" t="e">
        <v>#N/A</v>
      </c>
      <c r="AO96" s="99" t="e">
        <v>#N/A</v>
      </c>
      <c r="AP96" s="99" t="e">
        <f>Tabla156[[#This Row],[Renov. Flota]]-Tabla156[[#This Row],[Año]]</f>
        <v>#N/A</v>
      </c>
      <c r="AQ96" s="100" t="e">
        <v>#N/A</v>
      </c>
      <c r="AR96" s="100" t="e">
        <f>VLOOKUP(Tabla156[[#This Row],[Matricula nueva]],'ALTA 20242025'!$B$2:$P$242,15,FALSE)</f>
        <v>#N/A</v>
      </c>
      <c r="AS96" s="101" t="e">
        <v>#N/A</v>
      </c>
      <c r="AT96" s="101"/>
      <c r="AU96" s="101"/>
      <c r="AV96" s="101"/>
      <c r="AW96" s="101" t="e">
        <f>VLOOKUP(Tabla156[[#This Row],[Matricula nueva]],Hoja2!$A$1:$B$224,2,FALSE)</f>
        <v>#N/A</v>
      </c>
      <c r="AX96" s="101" t="str">
        <f>IF(Tabla156[[#This Row],[Columna2]]="M1",5.1,"")</f>
        <v/>
      </c>
      <c r="AY96" s="101"/>
      <c r="AZ96" s="101"/>
      <c r="BA96" s="311">
        <f>IF(Tabla156[[#This Row],[Columna2]]="M1",13073,IF(Tabla156[[#This Row],[Columna2]]="N1",15815,IF(Tabla156[[#This Row],[Columna2]]="L3e",2831,53508)))</f>
        <v>53508</v>
      </c>
      <c r="BB96" s="311" t="e">
        <f>(Tabla156[[#This Row],[CVA]]*Tabla156[[#This Row],[F]]-Tabla156[[#This Row],[CVN]])/100*Tabla156[[#This Row],[L]]</f>
        <v>#VALUE!</v>
      </c>
      <c r="BC96" s="1"/>
      <c r="BD96" s="1" t="e">
        <f>VLOOKUP(B96,Tabla467824[[ID CAE2]:[AE '[kWh']]],6,FALSE)</f>
        <v>#N/A</v>
      </c>
      <c r="BE9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97" spans="1:57" ht="51.75" x14ac:dyDescent="0.25">
      <c r="A97" s="53" t="s">
        <v>491</v>
      </c>
      <c r="B97" s="53" t="s">
        <v>491</v>
      </c>
      <c r="C97" s="332" t="s">
        <v>492</v>
      </c>
      <c r="D97" s="104" t="s">
        <v>72</v>
      </c>
      <c r="E97" s="104" t="s">
        <v>72</v>
      </c>
      <c r="F97" s="104" t="s">
        <v>72</v>
      </c>
      <c r="G97" s="104"/>
      <c r="H97" s="104" t="s">
        <v>72</v>
      </c>
      <c r="I97" s="104" t="s">
        <v>72</v>
      </c>
      <c r="J97" s="104"/>
      <c r="K97" s="96" t="s">
        <v>73</v>
      </c>
      <c r="L97" s="96" t="s">
        <v>200</v>
      </c>
      <c r="M97" s="96" t="s">
        <v>201</v>
      </c>
      <c r="N97" s="96" t="s">
        <v>160</v>
      </c>
      <c r="O97" s="101">
        <f>VLOOKUP(Tabla156[[#This Row],[Matricula Antigua]],BAJA2022202320242025!$B$3:$CR$245,93,FALSE)</f>
        <v>44189</v>
      </c>
      <c r="P97" s="316">
        <v>45650</v>
      </c>
      <c r="Q97" s="317">
        <f>Tabla156[[#This Row],[F.Vig.Final]]-Tabla156[[#This Row],[f Vig Inicio]]</f>
        <v>1461</v>
      </c>
      <c r="R97" s="318">
        <f>YEAR(Tabla156[[#This Row],[F.Vig.Final]])</f>
        <v>2024</v>
      </c>
      <c r="S97" s="96" t="s">
        <v>161</v>
      </c>
      <c r="T97" s="96" t="s">
        <v>78</v>
      </c>
      <c r="U97" s="96" t="s">
        <v>467</v>
      </c>
      <c r="V97" s="96" t="s">
        <v>476</v>
      </c>
      <c r="W97" s="96" t="s">
        <v>102</v>
      </c>
      <c r="X97" s="332" t="s">
        <v>1667</v>
      </c>
      <c r="Y97" s="96" t="s">
        <v>493</v>
      </c>
      <c r="Z97" s="98">
        <f>COUNTIF($X$3:X97, X97)</f>
        <v>10</v>
      </c>
      <c r="AA97" s="337" t="s">
        <v>1668</v>
      </c>
      <c r="AB97" s="337" t="s">
        <v>1668</v>
      </c>
      <c r="AC97" s="337" t="s">
        <v>1669</v>
      </c>
      <c r="AD97" s="341" t="s">
        <v>1670</v>
      </c>
      <c r="AE97" s="342" t="s">
        <v>1671</v>
      </c>
      <c r="AF97" s="337" t="s">
        <v>1672</v>
      </c>
      <c r="AG97" s="344" t="s">
        <v>1673</v>
      </c>
      <c r="AH97" s="337" t="s">
        <v>1649</v>
      </c>
      <c r="AI97" s="337" t="s">
        <v>494</v>
      </c>
      <c r="AJ97" s="98" t="s">
        <v>85</v>
      </c>
      <c r="AK97" s="98" t="s">
        <v>86</v>
      </c>
      <c r="AL97" s="98" t="s">
        <v>87</v>
      </c>
      <c r="AM97" s="101" t="s">
        <v>495</v>
      </c>
      <c r="AN97" s="348" t="s">
        <v>89</v>
      </c>
      <c r="AO97" s="349">
        <v>45625</v>
      </c>
      <c r="AP97" s="98">
        <f>Tabla156[[#This Row],[Renov. Flota]]-Tabla156[[#This Row],[Año]]</f>
        <v>0</v>
      </c>
      <c r="AQ97" s="100" t="s">
        <v>102</v>
      </c>
      <c r="AR97" s="100" t="str">
        <f>VLOOKUP(Tabla156[[#This Row],[Matricula nueva]],'ALTA 20242025'!$B$2:$P$242,15,FALSE)</f>
        <v>4500426787</v>
      </c>
      <c r="AS97" s="101" t="s">
        <v>103</v>
      </c>
      <c r="AT97" s="101"/>
      <c r="AU97" s="101" t="s">
        <v>72</v>
      </c>
      <c r="AV97" s="101" t="s">
        <v>109</v>
      </c>
      <c r="AW97" s="101" t="str">
        <f>VLOOKUP(Tabla156[[#This Row],[Matricula nueva]],Hoja2!$A$1:$B$224,2,FALSE)</f>
        <v>VF1RFK00273824803</v>
      </c>
      <c r="AX97" s="209">
        <v>5.6</v>
      </c>
      <c r="AY97" s="208">
        <f>IF(T97="DIESEL",10,IF(T97="GLP",7.16,9.19))</f>
        <v>10</v>
      </c>
      <c r="AZ97" s="313">
        <v>17.3</v>
      </c>
      <c r="BA97" s="314">
        <f>IF(Tabla156[[#This Row],[Columna2]]="M1",13073,IF(Tabla156[[#This Row],[Columna2]]="N1",15815,IF(Tabla156[[#This Row],[Columna2]]="L3e",2831,53508)))</f>
        <v>15815</v>
      </c>
      <c r="BB97" s="350">
        <f>(Tabla156[[#This Row],[CVA]]*Tabla156[[#This Row],[F]]-Tabla156[[#This Row],[CVN]])/100*Tabla156[[#This Row],[L]]</f>
        <v>6120.4049999999997</v>
      </c>
      <c r="BC97" s="90" t="s">
        <v>128</v>
      </c>
      <c r="BD97" s="209">
        <f>VLOOKUP(B97,Tabla467824[[ID CAE2]:[AE '[kWh']]],6,FALSE)</f>
        <v>5607.9989999999989</v>
      </c>
      <c r="BE9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8" spans="1:57" ht="51.75" x14ac:dyDescent="0.25">
      <c r="A98" s="53" t="s">
        <v>498</v>
      </c>
      <c r="B98" s="53" t="s">
        <v>498</v>
      </c>
      <c r="C98" s="332" t="s">
        <v>499</v>
      </c>
      <c r="D98" s="104" t="s">
        <v>72</v>
      </c>
      <c r="E98" s="104" t="s">
        <v>72</v>
      </c>
      <c r="F98" s="104" t="s">
        <v>72</v>
      </c>
      <c r="G98" s="104"/>
      <c r="H98" s="104" t="s">
        <v>72</v>
      </c>
      <c r="I98" s="104" t="s">
        <v>72</v>
      </c>
      <c r="J98" s="104"/>
      <c r="K98" s="96" t="s">
        <v>73</v>
      </c>
      <c r="L98" s="96" t="s">
        <v>200</v>
      </c>
      <c r="M98" s="96" t="s">
        <v>201</v>
      </c>
      <c r="N98" s="96" t="s">
        <v>76</v>
      </c>
      <c r="O98" s="101">
        <f>VLOOKUP(Tabla156[[#This Row],[Matricula Antigua]],BAJA2022202320242025!$B$3:$CR$245,93,FALSE)</f>
        <v>44176</v>
      </c>
      <c r="P98" s="316">
        <v>45637</v>
      </c>
      <c r="Q98" s="317">
        <f>Tabla156[[#This Row],[F.Vig.Final]]-Tabla156[[#This Row],[f Vig Inicio]]</f>
        <v>1461</v>
      </c>
      <c r="R98" s="318">
        <f>YEAR(Tabla156[[#This Row],[F.Vig.Final]])</f>
        <v>2024</v>
      </c>
      <c r="S98" s="96" t="s">
        <v>77</v>
      </c>
      <c r="T98" s="96" t="s">
        <v>78</v>
      </c>
      <c r="U98" s="96" t="s">
        <v>467</v>
      </c>
      <c r="V98" s="96" t="s">
        <v>500</v>
      </c>
      <c r="W98" s="96" t="s">
        <v>119</v>
      </c>
      <c r="X98" s="332" t="s">
        <v>1674</v>
      </c>
      <c r="Y98" s="96" t="s">
        <v>501</v>
      </c>
      <c r="Z98" s="98">
        <f>COUNTIF($X$3:X98, X98)</f>
        <v>15</v>
      </c>
      <c r="AA98" s="337" t="s">
        <v>1661</v>
      </c>
      <c r="AB98" s="337" t="s">
        <v>1661</v>
      </c>
      <c r="AC98" s="337" t="s">
        <v>1662</v>
      </c>
      <c r="AD98" s="337" t="s">
        <v>1663</v>
      </c>
      <c r="AE98" s="345" t="s">
        <v>1664</v>
      </c>
      <c r="AF98" s="346" t="s">
        <v>1665</v>
      </c>
      <c r="AG98" s="337" t="s">
        <v>1666</v>
      </c>
      <c r="AH98" s="337" t="s">
        <v>1649</v>
      </c>
      <c r="AI98" s="337" t="s">
        <v>502</v>
      </c>
      <c r="AJ98" s="98" t="s">
        <v>140</v>
      </c>
      <c r="AK98" s="98" t="s">
        <v>151</v>
      </c>
      <c r="AL98" s="98" t="s">
        <v>87</v>
      </c>
      <c r="AM98" s="101" t="s">
        <v>243</v>
      </c>
      <c r="AN98" s="348" t="s">
        <v>89</v>
      </c>
      <c r="AO98" s="349">
        <v>45625</v>
      </c>
      <c r="AP98" s="98">
        <f>Tabla156[[#This Row],[Renov. Flota]]-Tabla156[[#This Row],[Año]]</f>
        <v>0</v>
      </c>
      <c r="AQ98" s="100" t="s">
        <v>119</v>
      </c>
      <c r="AR98" s="100" t="str">
        <f>VLOOKUP(Tabla156[[#This Row],[Matricula nueva]],'ALTA 20242025'!$B$2:$P$242,15,FALSE)</f>
        <v>4500424812</v>
      </c>
      <c r="AS98" s="101" t="s">
        <v>120</v>
      </c>
      <c r="AT98" s="101"/>
      <c r="AU98" s="101" t="s">
        <v>72</v>
      </c>
      <c r="AV98" s="101" t="s">
        <v>91</v>
      </c>
      <c r="AW98" s="101" t="str">
        <f>VLOOKUP(Tabla156[[#This Row],[Matricula nueva]],Hoja2!$A$1:$B$224,2,FALSE)</f>
        <v>VR7CBZYA7RT152181</v>
      </c>
      <c r="AX98" s="209">
        <v>5.6</v>
      </c>
      <c r="AY98" s="208">
        <f>IF(T98="DIESEL",10,IF(T98="GLP",7.16,9.19))</f>
        <v>10</v>
      </c>
      <c r="AZ98" s="313">
        <v>16.399999999999999</v>
      </c>
      <c r="BA98" s="314">
        <f>IF(Tabla156[[#This Row],[Columna2]]="M1",13073,IF(Tabla156[[#This Row],[Columna2]]="N1",15815,IF(Tabla156[[#This Row],[Columna2]]="L3e",2831,53508)))</f>
        <v>15815</v>
      </c>
      <c r="BB98" s="350">
        <f>(Tabla156[[#This Row],[CVA]]*Tabla156[[#This Row],[F]]-Tabla156[[#This Row],[CVN]])/100*Tabla156[[#This Row],[L]]</f>
        <v>6262.7400000000007</v>
      </c>
      <c r="BC98" s="294" t="s">
        <v>128</v>
      </c>
      <c r="BD98" s="209">
        <f>VLOOKUP(B98,Tabla467824[[ID CAE2]:[AE '[kWh']]],6,FALSE)</f>
        <v>6795.3454000000002</v>
      </c>
      <c r="BE9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99" spans="1:57" ht="52.5" thickBot="1" x14ac:dyDescent="0.3">
      <c r="A99" s="53" t="s">
        <v>505</v>
      </c>
      <c r="B99" s="53" t="s">
        <v>505</v>
      </c>
      <c r="C99" s="332" t="s">
        <v>506</v>
      </c>
      <c r="D99" s="104" t="s">
        <v>72</v>
      </c>
      <c r="E99" s="104" t="s">
        <v>72</v>
      </c>
      <c r="F99" s="104" t="s">
        <v>72</v>
      </c>
      <c r="G99" s="104"/>
      <c r="H99" s="104" t="s">
        <v>72</v>
      </c>
      <c r="I99" s="104" t="s">
        <v>72</v>
      </c>
      <c r="J99" s="104"/>
      <c r="K99" s="96" t="s">
        <v>73</v>
      </c>
      <c r="L99" s="96" t="s">
        <v>200</v>
      </c>
      <c r="M99" s="96" t="s">
        <v>201</v>
      </c>
      <c r="N99" s="96" t="s">
        <v>76</v>
      </c>
      <c r="O99" s="101">
        <f>VLOOKUP(Tabla156[[#This Row],[Matricula Antigua]],BAJA2022202320242025!$B$3:$CR$245,93,FALSE)</f>
        <v>44176</v>
      </c>
      <c r="P99" s="316">
        <v>45637</v>
      </c>
      <c r="Q99" s="317">
        <f>Tabla156[[#This Row],[F.Vig.Final]]-Tabla156[[#This Row],[f Vig Inicio]]</f>
        <v>1461</v>
      </c>
      <c r="R99" s="318">
        <f>YEAR(Tabla156[[#This Row],[F.Vig.Final]])</f>
        <v>2024</v>
      </c>
      <c r="S99" s="96" t="s">
        <v>77</v>
      </c>
      <c r="T99" s="96" t="s">
        <v>78</v>
      </c>
      <c r="U99" s="96" t="s">
        <v>467</v>
      </c>
      <c r="V99" s="96" t="s">
        <v>500</v>
      </c>
      <c r="W99" s="96" t="s">
        <v>215</v>
      </c>
      <c r="X99" s="332" t="s">
        <v>216</v>
      </c>
      <c r="Y99" s="96" t="s">
        <v>507</v>
      </c>
      <c r="Z99" s="98">
        <f>COUNTIF($X$3:X99, X99)</f>
        <v>2</v>
      </c>
      <c r="AA99" s="337" t="s">
        <v>1661</v>
      </c>
      <c r="AB99" s="337" t="s">
        <v>1661</v>
      </c>
      <c r="AC99" s="337" t="s">
        <v>1662</v>
      </c>
      <c r="AD99" s="333" t="s">
        <v>1679</v>
      </c>
      <c r="AE99" s="351" t="s">
        <v>1664</v>
      </c>
      <c r="AF99" s="337" t="s">
        <v>1680</v>
      </c>
      <c r="AG99" s="337" t="s">
        <v>1681</v>
      </c>
      <c r="AH99" s="337" t="s">
        <v>1649</v>
      </c>
      <c r="AI99" s="337" t="s">
        <v>508</v>
      </c>
      <c r="AJ99" s="98" t="s">
        <v>140</v>
      </c>
      <c r="AK99" s="98" t="s">
        <v>151</v>
      </c>
      <c r="AL99" s="98" t="s">
        <v>87</v>
      </c>
      <c r="AM99" s="101" t="s">
        <v>509</v>
      </c>
      <c r="AN99" s="348" t="s">
        <v>89</v>
      </c>
      <c r="AO99" s="349">
        <v>45625</v>
      </c>
      <c r="AP99" s="98">
        <f>Tabla156[[#This Row],[Renov. Flota]]-Tabla156[[#This Row],[Año]]</f>
        <v>0</v>
      </c>
      <c r="AQ99" s="100" t="s">
        <v>215</v>
      </c>
      <c r="AR99" s="100" t="str">
        <f>VLOOKUP(Tabla156[[#This Row],[Matricula nueva]],'ALTA 20242025'!$B$2:$P$242,15,FALSE)</f>
        <v>4500424806</v>
      </c>
      <c r="AS99" s="101" t="s">
        <v>216</v>
      </c>
      <c r="AT99" s="101"/>
      <c r="AU99" s="101" t="s">
        <v>72</v>
      </c>
      <c r="AV99" s="101" t="s">
        <v>91</v>
      </c>
      <c r="AW99" s="101" t="str">
        <f>VLOOKUP(Tabla156[[#This Row],[Matricula nueva]],Hoja2!$A$1:$B$224,2,FALSE)</f>
        <v>VR7CBZYA5RT153040</v>
      </c>
      <c r="AX99" s="209">
        <v>5.6</v>
      </c>
      <c r="AY99" s="208">
        <f>IF(T99="DIESEL",10,IF(T99="GLP",7.16,9.19))</f>
        <v>10</v>
      </c>
      <c r="AZ99" s="313">
        <v>16.399999999999999</v>
      </c>
      <c r="BA99" s="314">
        <f>IF(Tabla156[[#This Row],[Columna2]]="M1",13073,IF(Tabla156[[#This Row],[Columna2]]="N1",15815,IF(Tabla156[[#This Row],[Columna2]]="L3e",2831,53508)))</f>
        <v>15815</v>
      </c>
      <c r="BB99" s="350">
        <f>(Tabla156[[#This Row],[CVA]]*Tabla156[[#This Row],[F]]-Tabla156[[#This Row],[CVN]])/100*Tabla156[[#This Row],[L]]</f>
        <v>6262.7400000000007</v>
      </c>
      <c r="BC99" s="91" t="s">
        <v>128</v>
      </c>
      <c r="BD99" s="209">
        <f>VLOOKUP(B99,Tabla467824[[ID CAE2]:[AE '[kWh']]],6,FALSE)</f>
        <v>6795.3454000000002</v>
      </c>
      <c r="BE9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00" spans="1:57" ht="15.75" hidden="1" thickBot="1" x14ac:dyDescent="0.3">
      <c r="A100" s="53" t="s">
        <v>1261</v>
      </c>
      <c r="B100" s="53" t="e">
        <v>#N/A</v>
      </c>
      <c r="C100" s="96" t="s">
        <v>1262</v>
      </c>
      <c r="D100" s="96"/>
      <c r="E100" s="96"/>
      <c r="F100" s="96"/>
      <c r="G100" s="96"/>
      <c r="H100" s="96"/>
      <c r="I100" s="96"/>
      <c r="J100" s="96"/>
      <c r="K100" s="96" t="s">
        <v>73</v>
      </c>
      <c r="L100" s="96" t="s">
        <v>200</v>
      </c>
      <c r="M100" s="96" t="s">
        <v>201</v>
      </c>
      <c r="N100" s="96" t="s">
        <v>160</v>
      </c>
      <c r="O100" s="101">
        <f>VLOOKUP(Tabla156[[#This Row],[Matricula Antigua]],BAJA2022202320242025!$B$3:$CR$245,93,FALSE)</f>
        <v>43619</v>
      </c>
      <c r="P100" s="99">
        <v>45476</v>
      </c>
      <c r="Q100" s="98">
        <f>Tabla156[[#This Row],[F.Vig.Final]]-Tabla156[[#This Row],[f Vig Inicio]]</f>
        <v>1857</v>
      </c>
      <c r="R100" s="99">
        <f>YEAR(Tabla156[[#This Row],[F.Vig.Final]])</f>
        <v>2024</v>
      </c>
      <c r="S100" s="96" t="s">
        <v>161</v>
      </c>
      <c r="T100" s="96" t="s">
        <v>78</v>
      </c>
      <c r="U100" s="96" t="s">
        <v>359</v>
      </c>
      <c r="V100" s="96" t="s">
        <v>360</v>
      </c>
      <c r="W100" s="96" t="s">
        <v>584</v>
      </c>
      <c r="X100" s="96" t="s">
        <v>585</v>
      </c>
      <c r="Y100" s="96" t="s">
        <v>1263</v>
      </c>
      <c r="Z100" s="98">
        <f>COUNTIF($X$3:X100, X100)</f>
        <v>3</v>
      </c>
      <c r="AA100" s="98"/>
      <c r="AB100" s="98"/>
      <c r="AC100" s="98"/>
      <c r="AD100" s="98"/>
      <c r="AE100" s="320"/>
      <c r="AF100" s="98"/>
      <c r="AG100" s="98"/>
      <c r="AH100" s="98"/>
      <c r="AI100" s="98" t="e">
        <v>#N/A</v>
      </c>
      <c r="AJ100" s="98" t="e">
        <v>#N/A</v>
      </c>
      <c r="AK100" s="98" t="e">
        <v>#N/A</v>
      </c>
      <c r="AL100" s="98" t="e">
        <v>#N/A</v>
      </c>
      <c r="AM100" s="98" t="e">
        <v>#N/A</v>
      </c>
      <c r="AN100" s="99" t="e">
        <v>#N/A</v>
      </c>
      <c r="AO100" s="99" t="e">
        <v>#N/A</v>
      </c>
      <c r="AP100" s="99" t="e">
        <f>Tabla156[[#This Row],[Renov. Flota]]-Tabla156[[#This Row],[Año]]</f>
        <v>#N/A</v>
      </c>
      <c r="AQ100" s="100" t="e">
        <v>#N/A</v>
      </c>
      <c r="AR100" s="100" t="e">
        <f>VLOOKUP(Tabla156[[#This Row],[Matricula nueva]],'ALTA 20242025'!$B$2:$P$242,15,FALSE)</f>
        <v>#N/A</v>
      </c>
      <c r="AS100" s="101" t="e">
        <v>#N/A</v>
      </c>
      <c r="AT100" s="101"/>
      <c r="AU100" s="101"/>
      <c r="AV100" s="101"/>
      <c r="AW100" s="101" t="e">
        <f>VLOOKUP(Tabla156[[#This Row],[Matricula nueva]],Hoja2!$A$1:$B$224,2,FALSE)</f>
        <v>#N/A</v>
      </c>
      <c r="AX100" s="101" t="str">
        <f>IF(Tabla156[[#This Row],[Columna2]]="M1",5.1,"")</f>
        <v/>
      </c>
      <c r="AY100" s="101"/>
      <c r="AZ100" s="101"/>
      <c r="BA100" s="311">
        <f>IF(Tabla156[[#This Row],[Columna2]]="M1",13073,IF(Tabla156[[#This Row],[Columna2]]="N1",15815,IF(Tabla156[[#This Row],[Columna2]]="L3e",2831,53508)))</f>
        <v>53508</v>
      </c>
      <c r="BB100" s="311" t="e">
        <f>(Tabla156[[#This Row],[CVA]]*Tabla156[[#This Row],[F]]-Tabla156[[#This Row],[CVN]])/100*Tabla156[[#This Row],[L]]</f>
        <v>#VALUE!</v>
      </c>
      <c r="BC100" s="1"/>
      <c r="BD100" s="1" t="e">
        <f>VLOOKUP(B100,Tabla467824[[ID CAE2]:[AE '[kWh']]],6,FALSE)</f>
        <v>#N/A</v>
      </c>
      <c r="BE10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01" spans="1:57" ht="60.75" thickBot="1" x14ac:dyDescent="0.3">
      <c r="A101" s="53" t="s">
        <v>514</v>
      </c>
      <c r="B101" s="53" t="s">
        <v>514</v>
      </c>
      <c r="C101" s="332" t="s">
        <v>515</v>
      </c>
      <c r="D101" s="104"/>
      <c r="E101" s="104"/>
      <c r="F101" s="104"/>
      <c r="G101" s="104" t="s">
        <v>72</v>
      </c>
      <c r="H101" s="104" t="s">
        <v>72</v>
      </c>
      <c r="I101" s="104" t="s">
        <v>72</v>
      </c>
      <c r="J101" s="104"/>
      <c r="K101" s="96" t="s">
        <v>158</v>
      </c>
      <c r="L101" s="96" t="s">
        <v>159</v>
      </c>
      <c r="M101" s="96" t="s">
        <v>158</v>
      </c>
      <c r="N101" s="96" t="s">
        <v>171</v>
      </c>
      <c r="O101" s="99">
        <f>VLOOKUP(Tabla156[[#This Row],[Matricula Antigua]],BAJA2022202320242025!$B$3:$CR$245,93,FALSE)</f>
        <v>39827</v>
      </c>
      <c r="P101" s="316">
        <v>45574</v>
      </c>
      <c r="Q101" s="317">
        <f>Tabla156[[#This Row],[F.Vig.Final]]-Tabla156[[#This Row],[f Vig Inicio]]</f>
        <v>5747</v>
      </c>
      <c r="R101" s="318">
        <f>YEAR(Tabla156[[#This Row],[F.Vig.Final]])</f>
        <v>2024</v>
      </c>
      <c r="S101" s="96" t="s">
        <v>172</v>
      </c>
      <c r="T101" s="96" t="s">
        <v>78</v>
      </c>
      <c r="U101" s="96" t="s">
        <v>85</v>
      </c>
      <c r="V101" s="96" t="s">
        <v>517</v>
      </c>
      <c r="W101" s="96" t="s">
        <v>190</v>
      </c>
      <c r="X101" s="333" t="s">
        <v>1678</v>
      </c>
      <c r="Y101" s="96" t="s">
        <v>518</v>
      </c>
      <c r="Z101" s="98">
        <f>COUNTIF($X$3:X101, X101)</f>
        <v>6</v>
      </c>
      <c r="AA101" s="337" t="s">
        <v>1661</v>
      </c>
      <c r="AB101" s="337" t="s">
        <v>1661</v>
      </c>
      <c r="AC101" s="337" t="s">
        <v>1662</v>
      </c>
      <c r="AD101" s="337" t="s">
        <v>1663</v>
      </c>
      <c r="AE101" s="342" t="s">
        <v>1664</v>
      </c>
      <c r="AF101" s="337" t="s">
        <v>1665</v>
      </c>
      <c r="AG101" s="337" t="s">
        <v>1666</v>
      </c>
      <c r="AH101" s="337" t="s">
        <v>1649</v>
      </c>
      <c r="AI101" s="337" t="s">
        <v>519</v>
      </c>
      <c r="AJ101" s="98" t="s">
        <v>85</v>
      </c>
      <c r="AK101" s="98" t="s">
        <v>86</v>
      </c>
      <c r="AL101" s="98" t="s">
        <v>87</v>
      </c>
      <c r="AM101" s="101" t="s">
        <v>194</v>
      </c>
      <c r="AN101" s="348" t="s">
        <v>89</v>
      </c>
      <c r="AO101" s="349">
        <v>45646</v>
      </c>
      <c r="AP101" s="98">
        <f>Tabla156[[#This Row],[Renov. Flota]]-Tabla156[[#This Row],[Año]]</f>
        <v>0</v>
      </c>
      <c r="AQ101" s="100" t="s">
        <v>190</v>
      </c>
      <c r="AR101" s="100" t="str">
        <f>VLOOKUP(Tabla156[[#This Row],[Matricula nueva]],'ALTA 20242025'!$B$2:$P$242,15,FALSE)</f>
        <v>4500426783</v>
      </c>
      <c r="AS101" s="101" t="s">
        <v>191</v>
      </c>
      <c r="AT101" s="101"/>
      <c r="AU101" s="101" t="s">
        <v>72</v>
      </c>
      <c r="AV101" s="101" t="s">
        <v>91</v>
      </c>
      <c r="AW101" s="101" t="str">
        <f>VLOOKUP(Tabla156[[#This Row],[Matricula nueva]],Hoja2!$A$1:$B$224,2,FALSE)</f>
        <v>VF1RFK00273934279</v>
      </c>
      <c r="AX101" s="209">
        <v>35</v>
      </c>
      <c r="AY101" s="208">
        <f>IF(T101="DIESEL",10,IF(T101="GLP",7.16,9.19))</f>
        <v>10</v>
      </c>
      <c r="AZ101" s="313">
        <v>17.3</v>
      </c>
      <c r="BA101" s="314">
        <f>IF(Tabla156[[#This Row],[Columna2]]="M1",13073,IF(Tabla156[[#This Row],[Columna2]]="N1",15815,IF(Tabla156[[#This Row],[Columna2]]="L3e",2831,53508)))</f>
        <v>53508</v>
      </c>
      <c r="BB101" s="350">
        <f>(Tabla156[[#This Row],[CVA]]*Tabla156[[#This Row],[F]]-Tabla156[[#This Row],[CVN]])/100*Tabla156[[#This Row],[L]]</f>
        <v>178021.11600000001</v>
      </c>
      <c r="BC101" s="92" t="s">
        <v>516</v>
      </c>
      <c r="BD101" s="209">
        <f>VLOOKUP(B101,Tabla467824[[ID CAE2]:[AE '[kWh']]],6,FALSE)</f>
        <v>123854.9676</v>
      </c>
      <c r="BE10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02" spans="1:57" ht="15.75" hidden="1" thickBot="1" x14ac:dyDescent="0.3">
      <c r="A102" s="53" t="s">
        <v>1264</v>
      </c>
      <c r="B102" s="53" t="e">
        <v>#N/A</v>
      </c>
      <c r="C102" s="96" t="s">
        <v>1265</v>
      </c>
      <c r="D102" s="96"/>
      <c r="E102" s="96"/>
      <c r="F102" s="96"/>
      <c r="G102" s="96"/>
      <c r="H102" s="96"/>
      <c r="I102" s="96"/>
      <c r="J102" s="96"/>
      <c r="K102" s="96" t="s">
        <v>73</v>
      </c>
      <c r="L102" s="96" t="s">
        <v>200</v>
      </c>
      <c r="M102" s="96" t="s">
        <v>201</v>
      </c>
      <c r="N102" s="96" t="s">
        <v>76</v>
      </c>
      <c r="O102" s="101">
        <f>VLOOKUP(Tabla156[[#This Row],[Matricula Antigua]],BAJA2022202320242025!$B$3:$CR$245,93,FALSE)</f>
        <v>44029</v>
      </c>
      <c r="P102" s="99">
        <v>45490</v>
      </c>
      <c r="Q102" s="98">
        <f>Tabla156[[#This Row],[F.Vig.Final]]-Tabla156[[#This Row],[f Vig Inicio]]</f>
        <v>1461</v>
      </c>
      <c r="R102" s="99">
        <f>YEAR(Tabla156[[#This Row],[F.Vig.Final]])</f>
        <v>2024</v>
      </c>
      <c r="S102" s="96" t="s">
        <v>77</v>
      </c>
      <c r="T102" s="96" t="s">
        <v>78</v>
      </c>
      <c r="U102" s="96" t="s">
        <v>467</v>
      </c>
      <c r="V102" s="96" t="s">
        <v>1266</v>
      </c>
      <c r="W102" s="96" t="s">
        <v>1235</v>
      </c>
      <c r="X102" s="96" t="s">
        <v>1236</v>
      </c>
      <c r="Y102" s="96" t="s">
        <v>312</v>
      </c>
      <c r="Z102" s="98">
        <f>COUNTIF($X$3:X102, X102)</f>
        <v>2</v>
      </c>
      <c r="AA102" s="98"/>
      <c r="AB102" s="98"/>
      <c r="AC102" s="98"/>
      <c r="AD102" s="98"/>
      <c r="AE102" s="321"/>
      <c r="AF102" s="98"/>
      <c r="AG102" s="98"/>
      <c r="AH102" s="98"/>
      <c r="AI102" s="98" t="e">
        <v>#N/A</v>
      </c>
      <c r="AJ102" s="98" t="e">
        <v>#N/A</v>
      </c>
      <c r="AK102" s="98" t="e">
        <v>#N/A</v>
      </c>
      <c r="AL102" s="98" t="e">
        <v>#N/A</v>
      </c>
      <c r="AM102" s="98" t="e">
        <v>#N/A</v>
      </c>
      <c r="AN102" s="99" t="e">
        <v>#N/A</v>
      </c>
      <c r="AO102" s="99" t="e">
        <v>#N/A</v>
      </c>
      <c r="AP102" s="99" t="e">
        <f>Tabla156[[#This Row],[Renov. Flota]]-Tabla156[[#This Row],[Año]]</f>
        <v>#N/A</v>
      </c>
      <c r="AQ102" s="100" t="e">
        <v>#N/A</v>
      </c>
      <c r="AR102" s="100" t="e">
        <f>VLOOKUP(Tabla156[[#This Row],[Matricula nueva]],'ALTA 20242025'!$B$2:$P$242,15,FALSE)</f>
        <v>#N/A</v>
      </c>
      <c r="AS102" s="101" t="e">
        <v>#N/A</v>
      </c>
      <c r="AT102" s="101"/>
      <c r="AU102" s="101"/>
      <c r="AV102" s="101"/>
      <c r="AW102" s="101" t="e">
        <f>VLOOKUP(Tabla156[[#This Row],[Matricula nueva]],Hoja2!$A$1:$B$224,2,FALSE)</f>
        <v>#N/A</v>
      </c>
      <c r="AX102" s="101" t="str">
        <f>IF(Tabla156[[#This Row],[Columna2]]="M1",5.1,"")</f>
        <v/>
      </c>
      <c r="AY102" s="101"/>
      <c r="AZ102" s="101"/>
      <c r="BA102" s="311">
        <f>IF(Tabla156[[#This Row],[Columna2]]="M1",13073,IF(Tabla156[[#This Row],[Columna2]]="N1",15815,IF(Tabla156[[#This Row],[Columna2]]="L3e",2831,53508)))</f>
        <v>53508</v>
      </c>
      <c r="BB102" s="311" t="e">
        <f>(Tabla156[[#This Row],[CVA]]*Tabla156[[#This Row],[F]]-Tabla156[[#This Row],[CVN]])/100*Tabla156[[#This Row],[L]]</f>
        <v>#VALUE!</v>
      </c>
      <c r="BC102" s="1"/>
      <c r="BD102" s="1" t="e">
        <f>VLOOKUP(B102,Tabla467824[[ID CAE2]:[AE '[kWh']]],6,FALSE)</f>
        <v>#N/A</v>
      </c>
      <c r="BE10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03" spans="1:57" ht="60" x14ac:dyDescent="0.25">
      <c r="A103" s="53" t="s">
        <v>522</v>
      </c>
      <c r="B103" s="53" t="s">
        <v>522</v>
      </c>
      <c r="C103" s="332" t="s">
        <v>523</v>
      </c>
      <c r="D103" s="104"/>
      <c r="E103" s="104"/>
      <c r="F103" s="104"/>
      <c r="G103" s="104" t="s">
        <v>72</v>
      </c>
      <c r="H103" s="104" t="s">
        <v>72</v>
      </c>
      <c r="I103" s="104" t="s">
        <v>72</v>
      </c>
      <c r="J103" s="104"/>
      <c r="K103" s="96" t="s">
        <v>158</v>
      </c>
      <c r="L103" s="96" t="s">
        <v>159</v>
      </c>
      <c r="M103" s="96" t="s">
        <v>158</v>
      </c>
      <c r="N103" s="96" t="s">
        <v>171</v>
      </c>
      <c r="O103" s="99">
        <f>VLOOKUP(Tabla156[[#This Row],[Matricula Antigua]],BAJA2022202320242025!$B$3:$CR$245,93,FALSE)</f>
        <v>39407</v>
      </c>
      <c r="P103" s="316">
        <v>45341</v>
      </c>
      <c r="Q103" s="317">
        <f>Tabla156[[#This Row],[F.Vig.Final]]-Tabla156[[#This Row],[f Vig Inicio]]</f>
        <v>5934</v>
      </c>
      <c r="R103" s="318">
        <f>YEAR(Tabla156[[#This Row],[F.Vig.Final]])</f>
        <v>2024</v>
      </c>
      <c r="S103" s="96" t="s">
        <v>172</v>
      </c>
      <c r="T103" s="96" t="s">
        <v>78</v>
      </c>
      <c r="U103" s="96" t="s">
        <v>524</v>
      </c>
      <c r="V103" s="96" t="s">
        <v>525</v>
      </c>
      <c r="W103" s="96" t="s">
        <v>190</v>
      </c>
      <c r="X103" s="333" t="s">
        <v>1678</v>
      </c>
      <c r="Y103" s="96" t="s">
        <v>518</v>
      </c>
      <c r="Z103" s="98">
        <f>COUNTIF($X$3:X103, X103)</f>
        <v>7</v>
      </c>
      <c r="AA103" s="337" t="s">
        <v>1661</v>
      </c>
      <c r="AB103" s="337" t="s">
        <v>1661</v>
      </c>
      <c r="AC103" s="337" t="s">
        <v>1662</v>
      </c>
      <c r="AD103" s="337" t="s">
        <v>1663</v>
      </c>
      <c r="AE103" s="342" t="s">
        <v>1664</v>
      </c>
      <c r="AF103" s="337" t="s">
        <v>1665</v>
      </c>
      <c r="AG103" s="337" t="s">
        <v>1666</v>
      </c>
      <c r="AH103" s="337" t="s">
        <v>1649</v>
      </c>
      <c r="AI103" s="337" t="s">
        <v>526</v>
      </c>
      <c r="AJ103" s="98" t="s">
        <v>140</v>
      </c>
      <c r="AK103" s="98" t="s">
        <v>151</v>
      </c>
      <c r="AL103" s="98" t="s">
        <v>87</v>
      </c>
      <c r="AM103" s="101" t="s">
        <v>518</v>
      </c>
      <c r="AN103" s="348" t="s">
        <v>89</v>
      </c>
      <c r="AO103" s="349">
        <v>45625</v>
      </c>
      <c r="AP103" s="98">
        <f>Tabla156[[#This Row],[Renov. Flota]]-Tabla156[[#This Row],[Año]]</f>
        <v>0</v>
      </c>
      <c r="AQ103" s="100" t="s">
        <v>190</v>
      </c>
      <c r="AR103" s="100" t="str">
        <f>VLOOKUP(Tabla156[[#This Row],[Matricula nueva]],'ALTA 20242025'!$B$2:$P$242,15,FALSE)</f>
        <v>4500424814</v>
      </c>
      <c r="AS103" s="101" t="s">
        <v>191</v>
      </c>
      <c r="AT103" s="101"/>
      <c r="AU103" s="101" t="s">
        <v>72</v>
      </c>
      <c r="AV103" s="101" t="s">
        <v>91</v>
      </c>
      <c r="AW103" s="101" t="str">
        <f>VLOOKUP(Tabla156[[#This Row],[Matricula nueva]],Hoja2!$A$1:$B$224,2,FALSE)</f>
        <v>VR7CBZYA4RT153045</v>
      </c>
      <c r="AX103" s="209">
        <v>35</v>
      </c>
      <c r="AY103" s="208">
        <f>IF(T103="DIESEL",10,IF(T103="GLP",7.16,9.19))</f>
        <v>10</v>
      </c>
      <c r="AZ103" s="313">
        <v>16.399999999999999</v>
      </c>
      <c r="BA103" s="314">
        <f>IF(Tabla156[[#This Row],[Columna2]]="M1",13073,IF(Tabla156[[#This Row],[Columna2]]="N1",15815,IF(Tabla156[[#This Row],[Columna2]]="L3e",2831,53508)))</f>
        <v>53508</v>
      </c>
      <c r="BB103" s="350">
        <f>(Tabla156[[#This Row],[CVA]]*Tabla156[[#This Row],[F]]-Tabla156[[#This Row],[CVN]])/100*Tabla156[[#This Row],[L]]</f>
        <v>178502.68800000002</v>
      </c>
      <c r="BC103" s="90" t="s">
        <v>516</v>
      </c>
      <c r="BD103" s="209">
        <f>VLOOKUP(B103,Tabla467824[[ID CAE2]:[AE '[kWh']]],6,FALSE)</f>
        <v>123854.9676</v>
      </c>
      <c r="BE10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04" spans="1:57" ht="60" x14ac:dyDescent="0.25">
      <c r="A104" s="53" t="s">
        <v>529</v>
      </c>
      <c r="B104" s="53" t="s">
        <v>529</v>
      </c>
      <c r="C104" s="332" t="s">
        <v>530</v>
      </c>
      <c r="D104" s="104"/>
      <c r="E104" s="104"/>
      <c r="F104" s="104"/>
      <c r="G104" s="104" t="s">
        <v>72</v>
      </c>
      <c r="H104" s="104" t="s">
        <v>72</v>
      </c>
      <c r="I104" s="104" t="s">
        <v>72</v>
      </c>
      <c r="J104" s="104"/>
      <c r="K104" s="96" t="s">
        <v>158</v>
      </c>
      <c r="L104" s="96" t="s">
        <v>159</v>
      </c>
      <c r="M104" s="96" t="s">
        <v>158</v>
      </c>
      <c r="N104" s="96" t="s">
        <v>171</v>
      </c>
      <c r="O104" s="99">
        <f>VLOOKUP(Tabla156[[#This Row],[Matricula Antigua]],BAJA2022202320242025!$B$3:$CR$245,93,FALSE)</f>
        <v>35926</v>
      </c>
      <c r="P104" s="316">
        <v>44972</v>
      </c>
      <c r="Q104" s="317">
        <f>Tabla156[[#This Row],[F.Vig.Final]]-Tabla156[[#This Row],[f Vig Inicio]]</f>
        <v>9046</v>
      </c>
      <c r="R104" s="318">
        <f>YEAR(Tabla156[[#This Row],[F.Vig.Final]])</f>
        <v>2023</v>
      </c>
      <c r="S104" s="96" t="s">
        <v>172</v>
      </c>
      <c r="T104" s="96" t="s">
        <v>78</v>
      </c>
      <c r="U104" s="96" t="s">
        <v>531</v>
      </c>
      <c r="V104" s="96" t="s">
        <v>532</v>
      </c>
      <c r="W104" s="96" t="s">
        <v>190</v>
      </c>
      <c r="X104" s="333" t="s">
        <v>1678</v>
      </c>
      <c r="Y104" s="96" t="s">
        <v>533</v>
      </c>
      <c r="Z104" s="98">
        <f>COUNTIF($X$3:X104, X104)</f>
        <v>8</v>
      </c>
      <c r="AA104" s="337" t="s">
        <v>1661</v>
      </c>
      <c r="AB104" s="337" t="s">
        <v>1661</v>
      </c>
      <c r="AC104" s="337" t="s">
        <v>1662</v>
      </c>
      <c r="AD104" s="337" t="s">
        <v>1663</v>
      </c>
      <c r="AE104" s="342" t="s">
        <v>1664</v>
      </c>
      <c r="AF104" s="337" t="s">
        <v>1665</v>
      </c>
      <c r="AG104" s="337" t="s">
        <v>1666</v>
      </c>
      <c r="AH104" s="337" t="s">
        <v>1649</v>
      </c>
      <c r="AI104" s="337" t="s">
        <v>534</v>
      </c>
      <c r="AJ104" s="98" t="s">
        <v>140</v>
      </c>
      <c r="AK104" s="98" t="s">
        <v>151</v>
      </c>
      <c r="AL104" s="98" t="s">
        <v>87</v>
      </c>
      <c r="AM104" s="101" t="s">
        <v>535</v>
      </c>
      <c r="AN104" s="348" t="s">
        <v>89</v>
      </c>
      <c r="AO104" s="349">
        <v>45625</v>
      </c>
      <c r="AP104" s="98">
        <f>Tabla156[[#This Row],[Renov. Flota]]-Tabla156[[#This Row],[Año]]</f>
        <v>1</v>
      </c>
      <c r="AQ104" s="100" t="s">
        <v>190</v>
      </c>
      <c r="AR104" s="100" t="str">
        <f>VLOOKUP(Tabla156[[#This Row],[Matricula nueva]],'ALTA 20242025'!$B$2:$P$242,15,FALSE)</f>
        <v>4500424819</v>
      </c>
      <c r="AS104" s="101" t="s">
        <v>191</v>
      </c>
      <c r="AT104" s="101"/>
      <c r="AU104" s="101" t="s">
        <v>72</v>
      </c>
      <c r="AV104" s="101" t="s">
        <v>91</v>
      </c>
      <c r="AW104" s="101" t="str">
        <f>VLOOKUP(Tabla156[[#This Row],[Matricula nueva]],Hoja2!$A$1:$B$224,2,FALSE)</f>
        <v>VR7CBZYA3RT154445</v>
      </c>
      <c r="AX104" s="209">
        <v>35</v>
      </c>
      <c r="AY104" s="208">
        <f>IF(T104="DIESEL",10,IF(T104="GLP",7.16,9.19))</f>
        <v>10</v>
      </c>
      <c r="AZ104" s="313">
        <v>16.399999999999999</v>
      </c>
      <c r="BA104" s="314">
        <f>IF(Tabla156[[#This Row],[Columna2]]="M1",13073,IF(Tabla156[[#This Row],[Columna2]]="N1",15815,IF(Tabla156[[#This Row],[Columna2]]="L3e",2831,53508)))</f>
        <v>53508</v>
      </c>
      <c r="BB104" s="350">
        <f>(Tabla156[[#This Row],[CVA]]*Tabla156[[#This Row],[F]]-Tabla156[[#This Row],[CVN]])/100*Tabla156[[#This Row],[L]]</f>
        <v>178502.68800000002</v>
      </c>
      <c r="BC104" s="294" t="s">
        <v>516</v>
      </c>
      <c r="BD104" s="209">
        <f>VLOOKUP(B104,Tabla467824[[ID CAE2]:[AE '[kWh']]],6,FALSE)</f>
        <v>5607.9989999999989</v>
      </c>
      <c r="BE10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05" spans="1:57" ht="51.75" x14ac:dyDescent="0.25">
      <c r="A105" s="53" t="s">
        <v>539</v>
      </c>
      <c r="B105" s="53" t="s">
        <v>539</v>
      </c>
      <c r="C105" s="332" t="s">
        <v>540</v>
      </c>
      <c r="D105" s="104"/>
      <c r="E105" s="104"/>
      <c r="F105" s="104"/>
      <c r="G105" s="104" t="s">
        <v>72</v>
      </c>
      <c r="H105" s="104"/>
      <c r="I105" s="104"/>
      <c r="J105" s="104"/>
      <c r="K105" s="96" t="s">
        <v>158</v>
      </c>
      <c r="L105" s="96" t="s">
        <v>159</v>
      </c>
      <c r="M105" s="96" t="s">
        <v>158</v>
      </c>
      <c r="N105" s="96" t="s">
        <v>171</v>
      </c>
      <c r="O105" s="99">
        <f>VLOOKUP(Tabla156[[#This Row],[Matricula Antigua]],BAJA2022202320242025!$B$3:$CR$245,93,FALSE)</f>
        <v>37956</v>
      </c>
      <c r="P105" s="316">
        <v>45625</v>
      </c>
      <c r="Q105" s="317">
        <f>Tabla156[[#This Row],[F.Vig.Final]]-Tabla156[[#This Row],[f Vig Inicio]]</f>
        <v>7669</v>
      </c>
      <c r="R105" s="318">
        <f>YEAR(Tabla156[[#This Row],[F.Vig.Final]])</f>
        <v>2024</v>
      </c>
      <c r="S105" s="96" t="s">
        <v>172</v>
      </c>
      <c r="T105" s="96" t="s">
        <v>71</v>
      </c>
      <c r="U105" s="96" t="s">
        <v>79</v>
      </c>
      <c r="V105" s="96" t="s">
        <v>541</v>
      </c>
      <c r="W105" s="96" t="s">
        <v>542</v>
      </c>
      <c r="X105" s="332" t="s">
        <v>543</v>
      </c>
      <c r="Y105" s="96" t="s">
        <v>544</v>
      </c>
      <c r="Z105" s="98">
        <f>COUNTIF($X$3:X105, X105)</f>
        <v>1</v>
      </c>
      <c r="AA105" s="337" t="s">
        <v>1689</v>
      </c>
      <c r="AB105" s="337" t="s">
        <v>1690</v>
      </c>
      <c r="AC105" s="337" t="s">
        <v>1662</v>
      </c>
      <c r="AD105" s="333" t="s">
        <v>1691</v>
      </c>
      <c r="AE105" s="347" t="s">
        <v>1671</v>
      </c>
      <c r="AF105" s="340" t="s">
        <v>1692</v>
      </c>
      <c r="AG105" s="340" t="s">
        <v>1693</v>
      </c>
      <c r="AH105" s="337" t="s">
        <v>1649</v>
      </c>
      <c r="AI105" s="337" t="s">
        <v>545</v>
      </c>
      <c r="AJ105" s="98" t="s">
        <v>85</v>
      </c>
      <c r="AK105" s="98" t="s">
        <v>114</v>
      </c>
      <c r="AL105" s="98" t="s">
        <v>87</v>
      </c>
      <c r="AM105" s="101" t="s">
        <v>546</v>
      </c>
      <c r="AN105" s="348" t="s">
        <v>547</v>
      </c>
      <c r="AO105" s="349">
        <v>45674</v>
      </c>
      <c r="AP105" s="98">
        <f>Tabla156[[#This Row],[Renov. Flota]]-Tabla156[[#This Row],[Año]]</f>
        <v>1</v>
      </c>
      <c r="AQ105" s="100" t="s">
        <v>542</v>
      </c>
      <c r="AR105" s="100" t="str">
        <f>VLOOKUP(Tabla156[[#This Row],[Matricula nueva]],'ALTA 20242025'!$B$2:$P$242,15,FALSE)</f>
        <v>4500426844</v>
      </c>
      <c r="AS105" s="101" t="s">
        <v>543</v>
      </c>
      <c r="AT105" s="101"/>
      <c r="AU105" s="101" t="s">
        <v>72</v>
      </c>
      <c r="AV105" s="101" t="s">
        <v>91</v>
      </c>
      <c r="AW105" s="101" t="str">
        <f>VLOOKUP(Tabla156[[#This Row],[Matricula nueva]],Hoja2!$A$1:$B$224,2,FALSE)</f>
        <v>VF1RFK00073824864</v>
      </c>
      <c r="AX105" s="209">
        <v>2.9</v>
      </c>
      <c r="AY105" s="208">
        <f>IF(T105="DIESEL",10,IF(T105="GLP",7.16,9.19))</f>
        <v>9.19</v>
      </c>
      <c r="AZ105" s="313">
        <v>17.3</v>
      </c>
      <c r="BA105" s="314">
        <f>IF(Tabla156[[#This Row],[Columna2]]="M1",13073,IF(Tabla156[[#This Row],[Columna2]]="N1",15815,IF(Tabla156[[#This Row],[Columna2]]="L3e",2831,53508)))</f>
        <v>2831</v>
      </c>
      <c r="BB105" s="350">
        <f>(Tabla156[[#This Row],[CVA]]*Tabla156[[#This Row],[F]]-Tabla156[[#This Row],[CVN]])/100*Tabla156[[#This Row],[L]]</f>
        <v>264.72680999999989</v>
      </c>
      <c r="BC105" s="294" t="s">
        <v>157</v>
      </c>
      <c r="BD105" s="209">
        <f>VLOOKUP(B105,Tabla467824[[ID CAE2]:[AE '[kWh']]],6,FALSE)</f>
        <v>617.46940999999993</v>
      </c>
      <c r="BE10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106" spans="1:57" ht="51.75" x14ac:dyDescent="0.25">
      <c r="A106" s="53" t="s">
        <v>551</v>
      </c>
      <c r="B106" s="53" t="s">
        <v>551</v>
      </c>
      <c r="C106" s="332" t="s">
        <v>552</v>
      </c>
      <c r="D106" s="104" t="s">
        <v>72</v>
      </c>
      <c r="E106" s="104"/>
      <c r="F106" s="104" t="s">
        <v>72</v>
      </c>
      <c r="G106" s="104"/>
      <c r="H106" s="104" t="s">
        <v>249</v>
      </c>
      <c r="I106" s="104" t="s">
        <v>249</v>
      </c>
      <c r="J106" s="104"/>
      <c r="K106" s="96" t="s">
        <v>73</v>
      </c>
      <c r="L106" s="96" t="s">
        <v>74</v>
      </c>
      <c r="M106" s="96" t="s">
        <v>75</v>
      </c>
      <c r="N106" s="96" t="s">
        <v>76</v>
      </c>
      <c r="O106" s="99">
        <f>VLOOKUP(Tabla156[[#This Row],[Matricula Antigua]],BAJA2022202320242025!$B$3:$CR$245,93,FALSE)</f>
        <v>45202</v>
      </c>
      <c r="P106" s="316">
        <v>45259</v>
      </c>
      <c r="Q106" s="317">
        <f>Tabla156[[#This Row],[F.Vig.Final]]-Tabla156[[#This Row],[f Vig Inicio]]</f>
        <v>57</v>
      </c>
      <c r="R106" s="318">
        <f>YEAR(Tabla156[[#This Row],[F.Vig.Final]])</f>
        <v>2023</v>
      </c>
      <c r="S106" s="96" t="s">
        <v>77</v>
      </c>
      <c r="T106" s="96" t="s">
        <v>78</v>
      </c>
      <c r="U106" s="96" t="s">
        <v>359</v>
      </c>
      <c r="V106" s="96" t="s">
        <v>461</v>
      </c>
      <c r="W106" s="96" t="s">
        <v>102</v>
      </c>
      <c r="X106" s="332" t="s">
        <v>1667</v>
      </c>
      <c r="Y106" s="96" t="s">
        <v>104</v>
      </c>
      <c r="Z106" s="98">
        <f>COUNTIF($X$3:X106, X106)</f>
        <v>11</v>
      </c>
      <c r="AA106" s="337" t="s">
        <v>1668</v>
      </c>
      <c r="AB106" s="337" t="s">
        <v>1668</v>
      </c>
      <c r="AC106" s="337" t="s">
        <v>1669</v>
      </c>
      <c r="AD106" s="341" t="s">
        <v>1670</v>
      </c>
      <c r="AE106" s="342" t="s">
        <v>1671</v>
      </c>
      <c r="AF106" s="337" t="s">
        <v>1672</v>
      </c>
      <c r="AG106" s="344" t="s">
        <v>1673</v>
      </c>
      <c r="AH106" s="337" t="s">
        <v>1649</v>
      </c>
      <c r="AI106" s="337" t="s">
        <v>553</v>
      </c>
      <c r="AJ106" s="98" t="s">
        <v>79</v>
      </c>
      <c r="AK106" s="98" t="s">
        <v>106</v>
      </c>
      <c r="AL106" s="98" t="s">
        <v>87</v>
      </c>
      <c r="AM106" s="101" t="s">
        <v>457</v>
      </c>
      <c r="AN106" s="348" t="s">
        <v>108</v>
      </c>
      <c r="AO106" s="349">
        <v>45133</v>
      </c>
      <c r="AP106" s="98">
        <f>Tabla156[[#This Row],[Renov. Flota]]-Tabla156[[#This Row],[Año]]</f>
        <v>0</v>
      </c>
      <c r="AQ106" s="100" t="s">
        <v>102</v>
      </c>
      <c r="AR106" s="100">
        <v>4500370371</v>
      </c>
      <c r="AS106" s="101" t="s">
        <v>103</v>
      </c>
      <c r="AT106" s="101"/>
      <c r="AU106" s="101" t="s">
        <v>72</v>
      </c>
      <c r="AV106" s="101" t="s">
        <v>109</v>
      </c>
      <c r="AW106" s="101" t="s">
        <v>554</v>
      </c>
      <c r="AX106" s="209">
        <f>IF(Tabla156[[#This Row],[Columna2]]="M1",5.1,"")</f>
        <v>5.0999999999999996</v>
      </c>
      <c r="AY106" s="208">
        <f>IF(T106="DIESEL",10,IF(T106="GLP",7.16,9.19))</f>
        <v>10</v>
      </c>
      <c r="AZ106" s="313">
        <v>28.2</v>
      </c>
      <c r="BA106" s="314">
        <f>IF(Tabla156[[#This Row],[Columna2]]="M1",13073,IF(Tabla156[[#This Row],[Columna2]]="N1",15815,IF(Tabla156[[#This Row],[Columna2]]="L3e",2831,53508)))</f>
        <v>13073</v>
      </c>
      <c r="BB106" s="350">
        <f>(Tabla156[[#This Row],[CVA]]*Tabla156[[#This Row],[F]]-Tabla156[[#This Row],[CVN]])/100*Tabla156[[#This Row],[L]]</f>
        <v>2980.6440000000002</v>
      </c>
      <c r="BC106" s="294" t="s">
        <v>70</v>
      </c>
      <c r="BD106" s="209">
        <f>VLOOKUP(B106,Tabla467824[[ID CAE2]:[AE '[kWh']]],6,FALSE)</f>
        <v>6795.3454000000002</v>
      </c>
      <c r="BE10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07" spans="1:57" ht="52.5" thickBot="1" x14ac:dyDescent="0.3">
      <c r="A107" s="53" t="s">
        <v>555</v>
      </c>
      <c r="B107" s="53" t="s">
        <v>555</v>
      </c>
      <c r="C107" s="332" t="s">
        <v>556</v>
      </c>
      <c r="D107" s="104" t="s">
        <v>72</v>
      </c>
      <c r="E107" s="104"/>
      <c r="F107" s="104" t="s">
        <v>72</v>
      </c>
      <c r="G107" s="104"/>
      <c r="H107" s="104" t="s">
        <v>249</v>
      </c>
      <c r="I107" s="104" t="s">
        <v>249</v>
      </c>
      <c r="J107" s="104"/>
      <c r="K107" s="96" t="s">
        <v>73</v>
      </c>
      <c r="L107" s="96" t="s">
        <v>74</v>
      </c>
      <c r="M107" s="96" t="s">
        <v>75</v>
      </c>
      <c r="N107" s="96" t="s">
        <v>76</v>
      </c>
      <c r="O107" s="99">
        <f>VLOOKUP(Tabla156[[#This Row],[Matricula Antigua]],BAJA2022202320242025!$B$3:$CR$245,93,FALSE)</f>
        <v>45204</v>
      </c>
      <c r="P107" s="316">
        <v>45259</v>
      </c>
      <c r="Q107" s="317">
        <f>Tabla156[[#This Row],[F.Vig.Final]]-Tabla156[[#This Row],[f Vig Inicio]]</f>
        <v>55</v>
      </c>
      <c r="R107" s="318">
        <f>YEAR(Tabla156[[#This Row],[F.Vig.Final]])</f>
        <v>2023</v>
      </c>
      <c r="S107" s="96" t="s">
        <v>77</v>
      </c>
      <c r="T107" s="96" t="s">
        <v>78</v>
      </c>
      <c r="U107" s="96" t="s">
        <v>359</v>
      </c>
      <c r="V107" s="96" t="s">
        <v>461</v>
      </c>
      <c r="W107" s="96" t="s">
        <v>102</v>
      </c>
      <c r="X107" s="332" t="s">
        <v>1667</v>
      </c>
      <c r="Y107" s="96" t="s">
        <v>104</v>
      </c>
      <c r="Z107" s="98">
        <f>COUNTIF($X$3:X107, X107)</f>
        <v>12</v>
      </c>
      <c r="AA107" s="337" t="s">
        <v>1668</v>
      </c>
      <c r="AB107" s="337" t="s">
        <v>1668</v>
      </c>
      <c r="AC107" s="337" t="s">
        <v>1669</v>
      </c>
      <c r="AD107" s="341" t="s">
        <v>1670</v>
      </c>
      <c r="AE107" s="342" t="s">
        <v>1671</v>
      </c>
      <c r="AF107" s="337" t="s">
        <v>1672</v>
      </c>
      <c r="AG107" s="344" t="s">
        <v>1673</v>
      </c>
      <c r="AH107" s="337" t="s">
        <v>1649</v>
      </c>
      <c r="AI107" s="337" t="s">
        <v>557</v>
      </c>
      <c r="AJ107" s="98" t="s">
        <v>79</v>
      </c>
      <c r="AK107" s="98" t="s">
        <v>106</v>
      </c>
      <c r="AL107" s="98" t="s">
        <v>87</v>
      </c>
      <c r="AM107" s="101" t="s">
        <v>107</v>
      </c>
      <c r="AN107" s="348" t="s">
        <v>108</v>
      </c>
      <c r="AO107" s="349">
        <v>45133</v>
      </c>
      <c r="AP107" s="98">
        <f>Tabla156[[#This Row],[Renov. Flota]]-Tabla156[[#This Row],[Año]]</f>
        <v>0</v>
      </c>
      <c r="AQ107" s="100" t="s">
        <v>102</v>
      </c>
      <c r="AR107" s="100">
        <v>4500370221</v>
      </c>
      <c r="AS107" s="101" t="s">
        <v>103</v>
      </c>
      <c r="AT107" s="101"/>
      <c r="AU107" s="101" t="s">
        <v>72</v>
      </c>
      <c r="AV107" s="101" t="s">
        <v>109</v>
      </c>
      <c r="AW107" s="101" t="s">
        <v>558</v>
      </c>
      <c r="AX107" s="209">
        <f>IF(Tabla156[[#This Row],[Columna2]]="M1",5.1,"")</f>
        <v>5.0999999999999996</v>
      </c>
      <c r="AY107" s="208">
        <f>IF(T107="DIESEL",10,IF(T107="GLP",7.16,9.19))</f>
        <v>10</v>
      </c>
      <c r="AZ107" s="313">
        <v>28.2</v>
      </c>
      <c r="BA107" s="314">
        <f>IF(Tabla156[[#This Row],[Columna2]]="M1",13073,IF(Tabla156[[#This Row],[Columna2]]="N1",15815,IF(Tabla156[[#This Row],[Columna2]]="L3e",2831,53508)))</f>
        <v>13073</v>
      </c>
      <c r="BB107" s="350">
        <f>(Tabla156[[#This Row],[CVA]]*Tabla156[[#This Row],[F]]-Tabla156[[#This Row],[CVN]])/100*Tabla156[[#This Row],[L]]</f>
        <v>2980.6440000000002</v>
      </c>
      <c r="BC107" s="91" t="s">
        <v>70</v>
      </c>
      <c r="BD107" s="209">
        <f>VLOOKUP(B107,Tabla467824[[ID CAE2]:[AE '[kWh']]],6,FALSE)</f>
        <v>6795.3454000000002</v>
      </c>
      <c r="BE10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08" spans="1:57" ht="15.75" hidden="1" thickBot="1" x14ac:dyDescent="0.3">
      <c r="A108" s="53" t="s">
        <v>1267</v>
      </c>
      <c r="B108" s="53" t="e">
        <v>#N/A</v>
      </c>
      <c r="C108" s="96" t="s">
        <v>1268</v>
      </c>
      <c r="D108" s="96"/>
      <c r="E108" s="96"/>
      <c r="F108" s="96"/>
      <c r="G108" s="96"/>
      <c r="H108" s="96"/>
      <c r="I108" s="96"/>
      <c r="J108" s="96"/>
      <c r="K108" s="96" t="s">
        <v>1034</v>
      </c>
      <c r="L108" s="96" t="s">
        <v>200</v>
      </c>
      <c r="M108" s="96" t="s">
        <v>201</v>
      </c>
      <c r="N108" s="96" t="s">
        <v>76</v>
      </c>
      <c r="O108" s="101">
        <f>VLOOKUP(Tabla156[[#This Row],[Matricula Antigua]],BAJA2022202320242025!$B$3:$CR$245,93,FALSE)</f>
        <v>43326</v>
      </c>
      <c r="P108" s="99">
        <v>45518</v>
      </c>
      <c r="Q108" s="98">
        <f>Tabla156[[#This Row],[F.Vig.Final]]-Tabla156[[#This Row],[f Vig Inicio]]</f>
        <v>2192</v>
      </c>
      <c r="R108" s="99">
        <f>YEAR(Tabla156[[#This Row],[F.Vig.Final]])</f>
        <v>2024</v>
      </c>
      <c r="S108" s="96" t="s">
        <v>77</v>
      </c>
      <c r="T108" s="96" t="s">
        <v>78</v>
      </c>
      <c r="U108" s="96" t="s">
        <v>1269</v>
      </c>
      <c r="V108" s="96" t="s">
        <v>1270</v>
      </c>
      <c r="W108" s="96" t="s">
        <v>1231</v>
      </c>
      <c r="X108" s="96" t="s">
        <v>1232</v>
      </c>
      <c r="Y108" s="96" t="s">
        <v>312</v>
      </c>
      <c r="Z108" s="98">
        <f>COUNTIF($X$3:X108, X108)</f>
        <v>2</v>
      </c>
      <c r="AA108" s="98"/>
      <c r="AB108" s="98"/>
      <c r="AC108" s="98"/>
      <c r="AD108" s="98"/>
      <c r="AE108" s="321"/>
      <c r="AF108" s="321"/>
      <c r="AG108" s="320"/>
      <c r="AH108" s="98"/>
      <c r="AI108" s="98" t="e">
        <v>#N/A</v>
      </c>
      <c r="AJ108" s="98" t="e">
        <v>#N/A</v>
      </c>
      <c r="AK108" s="98" t="e">
        <v>#N/A</v>
      </c>
      <c r="AL108" s="98" t="e">
        <v>#N/A</v>
      </c>
      <c r="AM108" s="98" t="e">
        <v>#N/A</v>
      </c>
      <c r="AN108" s="99" t="e">
        <v>#N/A</v>
      </c>
      <c r="AO108" s="99" t="e">
        <v>#N/A</v>
      </c>
      <c r="AP108" s="99" t="e">
        <f>Tabla156[[#This Row],[Renov. Flota]]-Tabla156[[#This Row],[Año]]</f>
        <v>#N/A</v>
      </c>
      <c r="AQ108" s="100" t="e">
        <v>#N/A</v>
      </c>
      <c r="AR108" s="100" t="e">
        <f>VLOOKUP(Tabla156[[#This Row],[Matricula nueva]],'ALTA 20242025'!$B$2:$P$242,15,FALSE)</f>
        <v>#N/A</v>
      </c>
      <c r="AS108" s="101" t="e">
        <v>#N/A</v>
      </c>
      <c r="AT108" s="101"/>
      <c r="AU108" s="101"/>
      <c r="AV108" s="101"/>
      <c r="AW108" s="101" t="e">
        <f>VLOOKUP(Tabla156[[#This Row],[Matricula nueva]],Hoja2!$A$1:$B$224,2,FALSE)</f>
        <v>#N/A</v>
      </c>
      <c r="AX108" s="101" t="str">
        <f>IF(Tabla156[[#This Row],[Columna2]]="M1",5.1,"")</f>
        <v/>
      </c>
      <c r="AY108" s="101"/>
      <c r="AZ108" s="101"/>
      <c r="BA108" s="311">
        <f>IF(Tabla156[[#This Row],[Columna2]]="M1",13073,IF(Tabla156[[#This Row],[Columna2]]="N1",15815,IF(Tabla156[[#This Row],[Columna2]]="L3e",2831,53508)))</f>
        <v>53508</v>
      </c>
      <c r="BB108" s="311" t="e">
        <f>(Tabla156[[#This Row],[CVA]]*Tabla156[[#This Row],[F]]-Tabla156[[#This Row],[CVN]])/100*Tabla156[[#This Row],[L]]</f>
        <v>#VALUE!</v>
      </c>
      <c r="BC108" s="1"/>
      <c r="BD108" s="1" t="e">
        <f>VLOOKUP(B108,Tabla467824[[ID CAE2]:[AE '[kWh']]],6,FALSE)</f>
        <v>#N/A</v>
      </c>
      <c r="BE10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09" spans="1:57" ht="51.75" x14ac:dyDescent="0.25">
      <c r="A109" s="53" t="s">
        <v>559</v>
      </c>
      <c r="B109" s="53" t="s">
        <v>559</v>
      </c>
      <c r="C109" s="332" t="s">
        <v>560</v>
      </c>
      <c r="D109" s="104" t="s">
        <v>72</v>
      </c>
      <c r="E109" s="104"/>
      <c r="F109" s="104" t="s">
        <v>72</v>
      </c>
      <c r="G109" s="104"/>
      <c r="H109" s="104" t="s">
        <v>249</v>
      </c>
      <c r="I109" s="104" t="s">
        <v>249</v>
      </c>
      <c r="J109" s="104"/>
      <c r="K109" s="96" t="s">
        <v>73</v>
      </c>
      <c r="L109" s="96" t="s">
        <v>74</v>
      </c>
      <c r="M109" s="96" t="s">
        <v>75</v>
      </c>
      <c r="N109" s="96" t="s">
        <v>76</v>
      </c>
      <c r="O109" s="99">
        <f>VLOOKUP(Tabla156[[#This Row],[Matricula Antigua]],BAJA2022202320242025!$B$3:$CR$245,93,FALSE)</f>
        <v>45203</v>
      </c>
      <c r="P109" s="316">
        <v>45250</v>
      </c>
      <c r="Q109" s="317">
        <f>Tabla156[[#This Row],[F.Vig.Final]]-Tabla156[[#This Row],[f Vig Inicio]]</f>
        <v>47</v>
      </c>
      <c r="R109" s="318">
        <f>YEAR(Tabla156[[#This Row],[F.Vig.Final]])</f>
        <v>2023</v>
      </c>
      <c r="S109" s="96" t="s">
        <v>77</v>
      </c>
      <c r="T109" s="96" t="s">
        <v>78</v>
      </c>
      <c r="U109" s="96" t="s">
        <v>359</v>
      </c>
      <c r="V109" s="96" t="s">
        <v>461</v>
      </c>
      <c r="W109" s="96" t="s">
        <v>102</v>
      </c>
      <c r="X109" s="332" t="s">
        <v>1667</v>
      </c>
      <c r="Y109" s="96" t="s">
        <v>104</v>
      </c>
      <c r="Z109" s="98">
        <f>COUNTIF($X$3:X109, X109)</f>
        <v>13</v>
      </c>
      <c r="AA109" s="337" t="s">
        <v>1668</v>
      </c>
      <c r="AB109" s="337" t="s">
        <v>1668</v>
      </c>
      <c r="AC109" s="337" t="s">
        <v>1669</v>
      </c>
      <c r="AD109" s="341" t="s">
        <v>1670</v>
      </c>
      <c r="AE109" s="342" t="s">
        <v>1671</v>
      </c>
      <c r="AF109" s="337" t="s">
        <v>1672</v>
      </c>
      <c r="AG109" s="344" t="s">
        <v>1673</v>
      </c>
      <c r="AH109" s="337" t="s">
        <v>1649</v>
      </c>
      <c r="AI109" s="337" t="s">
        <v>561</v>
      </c>
      <c r="AJ109" s="98" t="s">
        <v>85</v>
      </c>
      <c r="AK109" s="98" t="s">
        <v>114</v>
      </c>
      <c r="AL109" s="98" t="s">
        <v>87</v>
      </c>
      <c r="AM109" s="101" t="s">
        <v>562</v>
      </c>
      <c r="AN109" s="348" t="s">
        <v>108</v>
      </c>
      <c r="AO109" s="349">
        <v>44922</v>
      </c>
      <c r="AP109" s="98">
        <f>Tabla156[[#This Row],[Renov. Flota]]-Tabla156[[#This Row],[Año]]</f>
        <v>0</v>
      </c>
      <c r="AQ109" s="100" t="s">
        <v>102</v>
      </c>
      <c r="AR109" s="100">
        <v>4500348266</v>
      </c>
      <c r="AS109" s="101" t="s">
        <v>103</v>
      </c>
      <c r="AT109" s="101"/>
      <c r="AU109" s="101" t="s">
        <v>72</v>
      </c>
      <c r="AV109" s="101" t="s">
        <v>109</v>
      </c>
      <c r="AW109" s="101" t="s">
        <v>563</v>
      </c>
      <c r="AX109" s="209">
        <f>IF(Tabla156[[#This Row],[Columna2]]="M1",5.1,"")</f>
        <v>5.0999999999999996</v>
      </c>
      <c r="AY109" s="208">
        <f t="shared" ref="AY109:AY123" si="4">IF(T109="DIESEL",10,IF(T109="GLP",7.16,9.19))</f>
        <v>10</v>
      </c>
      <c r="AZ109" s="313">
        <v>17.3</v>
      </c>
      <c r="BA109" s="314">
        <f>IF(Tabla156[[#This Row],[Columna2]]="M1",13073,IF(Tabla156[[#This Row],[Columna2]]="N1",15815,IF(Tabla156[[#This Row],[Columna2]]="L3e",2831,53508)))</f>
        <v>13073</v>
      </c>
      <c r="BB109" s="350">
        <f>(Tabla156[[#This Row],[CVA]]*Tabla156[[#This Row],[F]]-Tabla156[[#This Row],[CVN]])/100*Tabla156[[#This Row],[L]]</f>
        <v>4405.6010000000006</v>
      </c>
      <c r="BC109" s="90" t="s">
        <v>70</v>
      </c>
      <c r="BD109" s="209">
        <f>VLOOKUP(B109,Tabla467824[[ID CAE2]:[AE '[kWh']]],6,FALSE)</f>
        <v>6795.3454000000002</v>
      </c>
      <c r="BE10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0" spans="1:57" ht="51.75" x14ac:dyDescent="0.25">
      <c r="A110" s="53" t="s">
        <v>564</v>
      </c>
      <c r="B110" s="53" t="s">
        <v>564</v>
      </c>
      <c r="C110" s="332" t="s">
        <v>565</v>
      </c>
      <c r="D110" s="104" t="s">
        <v>72</v>
      </c>
      <c r="E110" s="104"/>
      <c r="F110" s="104" t="s">
        <v>72</v>
      </c>
      <c r="G110" s="104"/>
      <c r="H110" s="104" t="s">
        <v>249</v>
      </c>
      <c r="I110" s="104" t="s">
        <v>249</v>
      </c>
      <c r="J110" s="104"/>
      <c r="K110" s="96" t="s">
        <v>73</v>
      </c>
      <c r="L110" s="96" t="s">
        <v>74</v>
      </c>
      <c r="M110" s="96" t="s">
        <v>75</v>
      </c>
      <c r="N110" s="96" t="s">
        <v>76</v>
      </c>
      <c r="O110" s="99">
        <f>VLOOKUP(Tabla156[[#This Row],[Matricula Antigua]],BAJA2022202320242025!$B$3:$CR$245,93,FALSE)</f>
        <v>45202</v>
      </c>
      <c r="P110" s="316">
        <v>45382</v>
      </c>
      <c r="Q110" s="317">
        <f>Tabla156[[#This Row],[F.Vig.Final]]-Tabla156[[#This Row],[f Vig Inicio]]</f>
        <v>180</v>
      </c>
      <c r="R110" s="318">
        <f>YEAR(Tabla156[[#This Row],[F.Vig.Final]])</f>
        <v>2024</v>
      </c>
      <c r="S110" s="96" t="s">
        <v>77</v>
      </c>
      <c r="T110" s="96" t="s">
        <v>78</v>
      </c>
      <c r="U110" s="96" t="s">
        <v>359</v>
      </c>
      <c r="V110" s="96" t="s">
        <v>461</v>
      </c>
      <c r="W110" s="96" t="s">
        <v>102</v>
      </c>
      <c r="X110" s="332" t="s">
        <v>1667</v>
      </c>
      <c r="Y110" s="96" t="s">
        <v>104</v>
      </c>
      <c r="Z110" s="98">
        <f>COUNTIF($X$3:X110, X110)</f>
        <v>14</v>
      </c>
      <c r="AA110" s="337" t="s">
        <v>1668</v>
      </c>
      <c r="AB110" s="337" t="s">
        <v>1668</v>
      </c>
      <c r="AC110" s="337" t="s">
        <v>1669</v>
      </c>
      <c r="AD110" s="341" t="s">
        <v>1670</v>
      </c>
      <c r="AE110" s="342" t="s">
        <v>1671</v>
      </c>
      <c r="AF110" s="337" t="s">
        <v>1672</v>
      </c>
      <c r="AG110" s="344" t="s">
        <v>1673</v>
      </c>
      <c r="AH110" s="337" t="s">
        <v>1649</v>
      </c>
      <c r="AI110" s="337" t="s">
        <v>566</v>
      </c>
      <c r="AJ110" s="98" t="s">
        <v>85</v>
      </c>
      <c r="AK110" s="98" t="s">
        <v>114</v>
      </c>
      <c r="AL110" s="98" t="s">
        <v>87</v>
      </c>
      <c r="AM110" s="101" t="s">
        <v>567</v>
      </c>
      <c r="AN110" s="348" t="s">
        <v>108</v>
      </c>
      <c r="AO110" s="349">
        <v>44922</v>
      </c>
      <c r="AP110" s="98">
        <f>Tabla156[[#This Row],[Renov. Flota]]-Tabla156[[#This Row],[Año]]</f>
        <v>-1</v>
      </c>
      <c r="AQ110" s="100" t="s">
        <v>102</v>
      </c>
      <c r="AR110" s="100">
        <v>4500348764</v>
      </c>
      <c r="AS110" s="101" t="s">
        <v>103</v>
      </c>
      <c r="AT110" s="101"/>
      <c r="AU110" s="101" t="s">
        <v>72</v>
      </c>
      <c r="AV110" s="101" t="s">
        <v>109</v>
      </c>
      <c r="AW110" s="101" t="s">
        <v>568</v>
      </c>
      <c r="AX110" s="209">
        <f>IF(Tabla156[[#This Row],[Columna2]]="M1",5.1,"")</f>
        <v>5.0999999999999996</v>
      </c>
      <c r="AY110" s="208">
        <f t="shared" si="4"/>
        <v>10</v>
      </c>
      <c r="AZ110" s="313">
        <v>17.3</v>
      </c>
      <c r="BA110" s="314">
        <f>IF(Tabla156[[#This Row],[Columna2]]="M1",13073,IF(Tabla156[[#This Row],[Columna2]]="N1",15815,IF(Tabla156[[#This Row],[Columna2]]="L3e",2831,53508)))</f>
        <v>13073</v>
      </c>
      <c r="BB110" s="350">
        <f>(Tabla156[[#This Row],[CVA]]*Tabla156[[#This Row],[F]]-Tabla156[[#This Row],[CVN]])/100*Tabla156[[#This Row],[L]]</f>
        <v>4405.6010000000006</v>
      </c>
      <c r="BC110" s="294" t="s">
        <v>70</v>
      </c>
      <c r="BD110" s="209">
        <f>VLOOKUP(B110,Tabla467824[[ID CAE2]:[AE '[kWh']]],6,FALSE)</f>
        <v>6795.3454000000002</v>
      </c>
      <c r="BE11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1" spans="1:57" ht="51.75" x14ac:dyDescent="0.25">
      <c r="A111" s="53" t="s">
        <v>569</v>
      </c>
      <c r="B111" s="53" t="s">
        <v>569</v>
      </c>
      <c r="C111" s="332" t="s">
        <v>570</v>
      </c>
      <c r="D111" s="104" t="s">
        <v>72</v>
      </c>
      <c r="E111" s="104" t="s">
        <v>72</v>
      </c>
      <c r="F111" s="104" t="s">
        <v>72</v>
      </c>
      <c r="G111" s="104"/>
      <c r="H111" s="104" t="s">
        <v>249</v>
      </c>
      <c r="I111" s="104" t="s">
        <v>249</v>
      </c>
      <c r="J111" s="104"/>
      <c r="K111" s="96" t="s">
        <v>73</v>
      </c>
      <c r="L111" s="96" t="s">
        <v>74</v>
      </c>
      <c r="M111" s="96" t="s">
        <v>75</v>
      </c>
      <c r="N111" s="96" t="s">
        <v>76</v>
      </c>
      <c r="O111" s="99">
        <f>VLOOKUP(Tabla156[[#This Row],[Matricula Antigua]],BAJA2022202320242025!$B$3:$CR$245,93,FALSE)</f>
        <v>45323</v>
      </c>
      <c r="P111" s="316">
        <v>45358</v>
      </c>
      <c r="Q111" s="317">
        <f>Tabla156[[#This Row],[F.Vig.Final]]-Tabla156[[#This Row],[f Vig Inicio]]</f>
        <v>35</v>
      </c>
      <c r="R111" s="318">
        <f>YEAR(Tabla156[[#This Row],[F.Vig.Final]])</f>
        <v>2024</v>
      </c>
      <c r="S111" s="96" t="s">
        <v>77</v>
      </c>
      <c r="T111" s="96" t="s">
        <v>78</v>
      </c>
      <c r="U111" s="96" t="s">
        <v>359</v>
      </c>
      <c r="V111" s="96" t="s">
        <v>571</v>
      </c>
      <c r="W111" s="96" t="s">
        <v>102</v>
      </c>
      <c r="X111" s="332" t="s">
        <v>1667</v>
      </c>
      <c r="Y111" s="96" t="s">
        <v>572</v>
      </c>
      <c r="Z111" s="98">
        <f>COUNTIF($X$3:X111, X111)</f>
        <v>15</v>
      </c>
      <c r="AA111" s="337" t="s">
        <v>1668</v>
      </c>
      <c r="AB111" s="337" t="s">
        <v>1668</v>
      </c>
      <c r="AC111" s="337" t="s">
        <v>1669</v>
      </c>
      <c r="AD111" s="341" t="s">
        <v>1670</v>
      </c>
      <c r="AE111" s="342" t="s">
        <v>1671</v>
      </c>
      <c r="AF111" s="337" t="s">
        <v>1672</v>
      </c>
      <c r="AG111" s="344" t="s">
        <v>1673</v>
      </c>
      <c r="AH111" s="337" t="s">
        <v>1649</v>
      </c>
      <c r="AI111" s="337" t="s">
        <v>573</v>
      </c>
      <c r="AJ111" s="98" t="s">
        <v>85</v>
      </c>
      <c r="AK111" s="98" t="s">
        <v>114</v>
      </c>
      <c r="AL111" s="98" t="s">
        <v>87</v>
      </c>
      <c r="AM111" s="101" t="s">
        <v>574</v>
      </c>
      <c r="AN111" s="348" t="s">
        <v>108</v>
      </c>
      <c r="AO111" s="349">
        <v>45135</v>
      </c>
      <c r="AP111" s="98">
        <f>Tabla156[[#This Row],[Renov. Flota]]-Tabla156[[#This Row],[Año]]</f>
        <v>-1</v>
      </c>
      <c r="AQ111" s="100" t="s">
        <v>102</v>
      </c>
      <c r="AR111" s="100">
        <v>4500352342</v>
      </c>
      <c r="AS111" s="101" t="s">
        <v>103</v>
      </c>
      <c r="AT111" s="101"/>
      <c r="AU111" s="101" t="s">
        <v>72</v>
      </c>
      <c r="AV111" s="101" t="s">
        <v>109</v>
      </c>
      <c r="AW111" s="101" t="s">
        <v>575</v>
      </c>
      <c r="AX111" s="209">
        <f>IF(Tabla156[[#This Row],[Columna2]]="M1",5.1,"")</f>
        <v>5.0999999999999996</v>
      </c>
      <c r="AY111" s="208">
        <f t="shared" si="4"/>
        <v>10</v>
      </c>
      <c r="AZ111" s="313">
        <v>17.3</v>
      </c>
      <c r="BA111" s="314">
        <f>IF(Tabla156[[#This Row],[Columna2]]="M1",13073,IF(Tabla156[[#This Row],[Columna2]]="N1",15815,IF(Tabla156[[#This Row],[Columna2]]="L3e",2831,53508)))</f>
        <v>13073</v>
      </c>
      <c r="BB111" s="350">
        <f>(Tabla156[[#This Row],[CVA]]*Tabla156[[#This Row],[F]]-Tabla156[[#This Row],[CVN]])/100*Tabla156[[#This Row],[L]]</f>
        <v>4405.6010000000006</v>
      </c>
      <c r="BC111" s="294" t="s">
        <v>70</v>
      </c>
      <c r="BD111" s="209">
        <f>VLOOKUP(B111,Tabla467824[[ID CAE2]:[AE '[kWh']]],6,FALSE)</f>
        <v>6795.3454000000002</v>
      </c>
      <c r="BE11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2" spans="1:57" ht="51.75" x14ac:dyDescent="0.25">
      <c r="A112" s="53" t="s">
        <v>576</v>
      </c>
      <c r="B112" s="53" t="s">
        <v>576</v>
      </c>
      <c r="C112" s="332" t="s">
        <v>577</v>
      </c>
      <c r="D112" s="104" t="s">
        <v>72</v>
      </c>
      <c r="E112" s="104" t="s">
        <v>72</v>
      </c>
      <c r="F112" s="104" t="s">
        <v>72</v>
      </c>
      <c r="G112" s="104"/>
      <c r="H112" s="104" t="s">
        <v>72</v>
      </c>
      <c r="I112" s="104" t="s">
        <v>72</v>
      </c>
      <c r="J112" s="104"/>
      <c r="K112" s="96" t="s">
        <v>73</v>
      </c>
      <c r="L112" s="96" t="s">
        <v>200</v>
      </c>
      <c r="M112" s="96" t="s">
        <v>201</v>
      </c>
      <c r="N112" s="96" t="s">
        <v>76</v>
      </c>
      <c r="O112" s="101">
        <f>VLOOKUP(Tabla156[[#This Row],[Matricula Antigua]],BAJA2022202320242025!$B$3:$CR$245,93,FALSE)</f>
        <v>42527</v>
      </c>
      <c r="P112" s="316">
        <v>45316</v>
      </c>
      <c r="Q112" s="317">
        <f>Tabla156[[#This Row],[F.Vig.Final]]-Tabla156[[#This Row],[f Vig Inicio]]</f>
        <v>2789</v>
      </c>
      <c r="R112" s="318">
        <f>YEAR(Tabla156[[#This Row],[F.Vig.Final]])</f>
        <v>2024</v>
      </c>
      <c r="S112" s="96" t="s">
        <v>77</v>
      </c>
      <c r="T112" s="96" t="s">
        <v>78</v>
      </c>
      <c r="U112" s="96" t="s">
        <v>359</v>
      </c>
      <c r="V112" s="96" t="s">
        <v>578</v>
      </c>
      <c r="W112" s="96" t="s">
        <v>102</v>
      </c>
      <c r="X112" s="332" t="s">
        <v>1667</v>
      </c>
      <c r="Y112" s="96" t="s">
        <v>579</v>
      </c>
      <c r="Z112" s="98">
        <f>COUNTIF($X$3:X112, X112)</f>
        <v>16</v>
      </c>
      <c r="AA112" s="337" t="s">
        <v>1668</v>
      </c>
      <c r="AB112" s="337" t="s">
        <v>1668</v>
      </c>
      <c r="AC112" s="337" t="s">
        <v>1669</v>
      </c>
      <c r="AD112" s="341" t="s">
        <v>1670</v>
      </c>
      <c r="AE112" s="342" t="s">
        <v>1671</v>
      </c>
      <c r="AF112" s="337" t="s">
        <v>1672</v>
      </c>
      <c r="AG112" s="344" t="s">
        <v>1673</v>
      </c>
      <c r="AH112" s="337" t="s">
        <v>1649</v>
      </c>
      <c r="AI112" s="337" t="s">
        <v>580</v>
      </c>
      <c r="AJ112" s="98" t="s">
        <v>85</v>
      </c>
      <c r="AK112" s="98" t="s">
        <v>114</v>
      </c>
      <c r="AL112" s="98" t="s">
        <v>87</v>
      </c>
      <c r="AM112" s="101" t="s">
        <v>457</v>
      </c>
      <c r="AN112" s="348" t="s">
        <v>108</v>
      </c>
      <c r="AO112" s="349">
        <v>45135</v>
      </c>
      <c r="AP112" s="98">
        <f>Tabla156[[#This Row],[Renov. Flota]]-Tabla156[[#This Row],[Año]]</f>
        <v>-1</v>
      </c>
      <c r="AQ112" s="100" t="s">
        <v>102</v>
      </c>
      <c r="AR112" s="100">
        <v>4500370369</v>
      </c>
      <c r="AS112" s="101" t="s">
        <v>103</v>
      </c>
      <c r="AT112" s="101"/>
      <c r="AU112" s="101" t="s">
        <v>72</v>
      </c>
      <c r="AV112" s="101" t="s">
        <v>109</v>
      </c>
      <c r="AW112" s="101" t="s">
        <v>581</v>
      </c>
      <c r="AX112" s="209">
        <v>5.6</v>
      </c>
      <c r="AY112" s="208">
        <f t="shared" si="4"/>
        <v>10</v>
      </c>
      <c r="AZ112" s="313">
        <v>17.3</v>
      </c>
      <c r="BA112" s="314">
        <f>IF(Tabla156[[#This Row],[Columna2]]="M1",13073,IF(Tabla156[[#This Row],[Columna2]]="N1",15815,IF(Tabla156[[#This Row],[Columna2]]="L3e",2831,53508)))</f>
        <v>15815</v>
      </c>
      <c r="BB112" s="350">
        <f>(Tabla156[[#This Row],[CVA]]*Tabla156[[#This Row],[F]]-Tabla156[[#This Row],[CVN]])/100*Tabla156[[#This Row],[L]]</f>
        <v>6120.4049999999997</v>
      </c>
      <c r="BC112" s="294" t="s">
        <v>128</v>
      </c>
      <c r="BD112" s="209">
        <f>VLOOKUP(B112,Tabla467824[[ID CAE2]:[AE '[kWh']]],6,FALSE)</f>
        <v>5607.9989999999989</v>
      </c>
      <c r="BE11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3" spans="1:57" ht="60" x14ac:dyDescent="0.25">
      <c r="A113" s="53" t="s">
        <v>582</v>
      </c>
      <c r="B113" s="53" t="s">
        <v>582</v>
      </c>
      <c r="C113" s="332" t="s">
        <v>583</v>
      </c>
      <c r="D113" s="104" t="s">
        <v>72</v>
      </c>
      <c r="E113" s="104" t="s">
        <v>72</v>
      </c>
      <c r="F113" s="104" t="s">
        <v>72</v>
      </c>
      <c r="G113" s="104"/>
      <c r="H113" s="104" t="s">
        <v>72</v>
      </c>
      <c r="I113" s="104" t="s">
        <v>72</v>
      </c>
      <c r="J113" s="104"/>
      <c r="K113" s="96" t="s">
        <v>73</v>
      </c>
      <c r="L113" s="96" t="s">
        <v>200</v>
      </c>
      <c r="M113" s="96" t="s">
        <v>201</v>
      </c>
      <c r="N113" s="96" t="s">
        <v>76</v>
      </c>
      <c r="O113" s="101">
        <f>VLOOKUP(Tabla156[[#This Row],[Matricula Antigua]],BAJA2022202320242025!$B$3:$CR$245,93,FALSE)</f>
        <v>42445</v>
      </c>
      <c r="P113" s="316">
        <v>45001</v>
      </c>
      <c r="Q113" s="317">
        <f>Tabla156[[#This Row],[F.Vig.Final]]-Tabla156[[#This Row],[f Vig Inicio]]</f>
        <v>2556</v>
      </c>
      <c r="R113" s="318">
        <f>YEAR(Tabla156[[#This Row],[F.Vig.Final]])</f>
        <v>2023</v>
      </c>
      <c r="S113" s="96" t="s">
        <v>77</v>
      </c>
      <c r="T113" s="96" t="s">
        <v>78</v>
      </c>
      <c r="U113" s="96" t="s">
        <v>359</v>
      </c>
      <c r="V113" s="96" t="s">
        <v>578</v>
      </c>
      <c r="W113" s="96" t="s">
        <v>584</v>
      </c>
      <c r="X113" s="332" t="s">
        <v>585</v>
      </c>
      <c r="Y113" s="96" t="s">
        <v>586</v>
      </c>
      <c r="Z113" s="98">
        <f>COUNTIF($X$3:X113, X113)</f>
        <v>4</v>
      </c>
      <c r="AA113" s="337" t="s">
        <v>1661</v>
      </c>
      <c r="AB113" s="337" t="s">
        <v>1661</v>
      </c>
      <c r="AC113" s="337" t="s">
        <v>1662</v>
      </c>
      <c r="AD113" s="341" t="s">
        <v>1694</v>
      </c>
      <c r="AE113" s="347" t="s">
        <v>1664</v>
      </c>
      <c r="AF113" s="337" t="s">
        <v>1683</v>
      </c>
      <c r="AG113" s="337" t="s">
        <v>1695</v>
      </c>
      <c r="AH113" s="337" t="s">
        <v>1649</v>
      </c>
      <c r="AI113" s="337" t="s">
        <v>587</v>
      </c>
      <c r="AJ113" s="98" t="s">
        <v>85</v>
      </c>
      <c r="AK113" s="98" t="s">
        <v>86</v>
      </c>
      <c r="AL113" s="98" t="s">
        <v>87</v>
      </c>
      <c r="AM113" s="101" t="s">
        <v>588</v>
      </c>
      <c r="AN113" s="348" t="s">
        <v>89</v>
      </c>
      <c r="AO113" s="349">
        <v>45649</v>
      </c>
      <c r="AP113" s="98">
        <f>Tabla156[[#This Row],[Renov. Flota]]-Tabla156[[#This Row],[Año]]</f>
        <v>1</v>
      </c>
      <c r="AQ113" s="100" t="s">
        <v>584</v>
      </c>
      <c r="AR113" s="100" t="str">
        <f>VLOOKUP(Tabla156[[#This Row],[Matricula nueva]],'ALTA 20242025'!$B$2:$P$242,15,FALSE)</f>
        <v>4500426875</v>
      </c>
      <c r="AS113" s="101" t="s">
        <v>585</v>
      </c>
      <c r="AT113" s="101"/>
      <c r="AU113" s="101" t="s">
        <v>72</v>
      </c>
      <c r="AV113" s="101" t="s">
        <v>91</v>
      </c>
      <c r="AW113" s="101" t="str">
        <f>VLOOKUP(Tabla156[[#This Row],[Matricula nueva]],Hoja2!$A$1:$B$224,2,FALSE)</f>
        <v>VF1RFK00973824863</v>
      </c>
      <c r="AX113" s="209">
        <v>5.6</v>
      </c>
      <c r="AY113" s="208">
        <f t="shared" si="4"/>
        <v>10</v>
      </c>
      <c r="AZ113" s="313">
        <v>17.3</v>
      </c>
      <c r="BA113" s="314">
        <f>IF(Tabla156[[#This Row],[Columna2]]="M1",13073,IF(Tabla156[[#This Row],[Columna2]]="N1",15815,IF(Tabla156[[#This Row],[Columna2]]="L3e",2831,53508)))</f>
        <v>15815</v>
      </c>
      <c r="BB113" s="350">
        <f>(Tabla156[[#This Row],[CVA]]*Tabla156[[#This Row],[F]]-Tabla156[[#This Row],[CVN]])/100*Tabla156[[#This Row],[L]]</f>
        <v>6120.4049999999997</v>
      </c>
      <c r="BC113" s="294" t="s">
        <v>128</v>
      </c>
      <c r="BD113" s="209">
        <f>VLOOKUP(B113,Tabla467824[[ID CAE2]:[AE '[kWh']]],6,FALSE)</f>
        <v>5607.9989999999989</v>
      </c>
      <c r="BE11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4" spans="1:57" ht="51.75" x14ac:dyDescent="0.25">
      <c r="A114" s="53" t="s">
        <v>591</v>
      </c>
      <c r="B114" s="53" t="s">
        <v>591</v>
      </c>
      <c r="C114" s="332" t="s">
        <v>592</v>
      </c>
      <c r="D114" s="104" t="s">
        <v>72</v>
      </c>
      <c r="E114" s="104" t="s">
        <v>72</v>
      </c>
      <c r="F114" s="104" t="s">
        <v>72</v>
      </c>
      <c r="G114" s="104"/>
      <c r="H114" s="104" t="s">
        <v>249</v>
      </c>
      <c r="I114" s="104" t="s">
        <v>249</v>
      </c>
      <c r="J114" s="104"/>
      <c r="K114" s="96" t="s">
        <v>73</v>
      </c>
      <c r="L114" s="96" t="s">
        <v>200</v>
      </c>
      <c r="M114" s="96" t="s">
        <v>201</v>
      </c>
      <c r="N114" s="96" t="s">
        <v>76</v>
      </c>
      <c r="O114" s="101">
        <f>VLOOKUP(Tabla156[[#This Row],[Matricula Antigua]],BAJA2022202320242025!$B$3:$CR$245,93,FALSE)</f>
        <v>43415</v>
      </c>
      <c r="P114" s="316">
        <v>45356</v>
      </c>
      <c r="Q114" s="317">
        <f>Tabla156[[#This Row],[F.Vig.Final]]-Tabla156[[#This Row],[f Vig Inicio]]</f>
        <v>1941</v>
      </c>
      <c r="R114" s="318">
        <f>YEAR(Tabla156[[#This Row],[F.Vig.Final]])</f>
        <v>2024</v>
      </c>
      <c r="S114" s="96" t="s">
        <v>77</v>
      </c>
      <c r="T114" s="96" t="s">
        <v>78</v>
      </c>
      <c r="U114" s="96" t="s">
        <v>359</v>
      </c>
      <c r="V114" s="96" t="s">
        <v>593</v>
      </c>
      <c r="W114" s="96" t="s">
        <v>102</v>
      </c>
      <c r="X114" s="332" t="s">
        <v>1667</v>
      </c>
      <c r="Y114" s="96" t="s">
        <v>594</v>
      </c>
      <c r="Z114" s="98">
        <f>COUNTIF($X$3:X114, X114)</f>
        <v>17</v>
      </c>
      <c r="AA114" s="337" t="s">
        <v>1668</v>
      </c>
      <c r="AB114" s="337" t="s">
        <v>1668</v>
      </c>
      <c r="AC114" s="337" t="s">
        <v>1669</v>
      </c>
      <c r="AD114" s="341" t="s">
        <v>1670</v>
      </c>
      <c r="AE114" s="342" t="s">
        <v>1671</v>
      </c>
      <c r="AF114" s="337" t="s">
        <v>1672</v>
      </c>
      <c r="AG114" s="344" t="s">
        <v>1673</v>
      </c>
      <c r="AH114" s="337" t="s">
        <v>1649</v>
      </c>
      <c r="AI114" s="337" t="s">
        <v>595</v>
      </c>
      <c r="AJ114" s="98" t="s">
        <v>85</v>
      </c>
      <c r="AK114" s="98" t="s">
        <v>114</v>
      </c>
      <c r="AL114" s="98" t="s">
        <v>87</v>
      </c>
      <c r="AM114" s="101" t="s">
        <v>562</v>
      </c>
      <c r="AN114" s="348" t="s">
        <v>108</v>
      </c>
      <c r="AO114" s="349">
        <v>44922</v>
      </c>
      <c r="AP114" s="98">
        <f>Tabla156[[#This Row],[Renov. Flota]]-Tabla156[[#This Row],[Año]]</f>
        <v>-1</v>
      </c>
      <c r="AQ114" s="100" t="s">
        <v>102</v>
      </c>
      <c r="AR114" s="100">
        <v>4500348261</v>
      </c>
      <c r="AS114" s="101" t="s">
        <v>103</v>
      </c>
      <c r="AT114" s="101"/>
      <c r="AU114" s="101" t="s">
        <v>72</v>
      </c>
      <c r="AV114" s="101" t="s">
        <v>109</v>
      </c>
      <c r="AW114" s="101" t="s">
        <v>596</v>
      </c>
      <c r="AX114" s="209">
        <v>5.6</v>
      </c>
      <c r="AY114" s="208">
        <f t="shared" si="4"/>
        <v>10</v>
      </c>
      <c r="AZ114" s="313">
        <v>17.3</v>
      </c>
      <c r="BA114" s="314">
        <f>IF(Tabla156[[#This Row],[Columna2]]="M1",13073,IF(Tabla156[[#This Row],[Columna2]]="N1",15815,IF(Tabla156[[#This Row],[Columna2]]="L3e",2831,53508)))</f>
        <v>15815</v>
      </c>
      <c r="BB114" s="350">
        <f>(Tabla156[[#This Row],[CVA]]*Tabla156[[#This Row],[F]]-Tabla156[[#This Row],[CVN]])/100*Tabla156[[#This Row],[L]]</f>
        <v>6120.4049999999997</v>
      </c>
      <c r="BC114" s="294" t="s">
        <v>128</v>
      </c>
      <c r="BD114" s="209">
        <f>VLOOKUP(B114,Tabla467824[[ID CAE2]:[AE '[kWh']]],6,FALSE)</f>
        <v>5607.9989999999989</v>
      </c>
      <c r="BE11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5" spans="1:57" ht="51.75" x14ac:dyDescent="0.25">
      <c r="A115" s="53" t="s">
        <v>597</v>
      </c>
      <c r="B115" s="53" t="s">
        <v>597</v>
      </c>
      <c r="C115" s="332" t="s">
        <v>598</v>
      </c>
      <c r="D115" s="104" t="s">
        <v>72</v>
      </c>
      <c r="E115" s="104" t="s">
        <v>72</v>
      </c>
      <c r="F115" s="104" t="s">
        <v>72</v>
      </c>
      <c r="G115" s="104"/>
      <c r="H115" s="104" t="s">
        <v>249</v>
      </c>
      <c r="I115" s="104" t="s">
        <v>249</v>
      </c>
      <c r="J115" s="104"/>
      <c r="K115" s="96" t="s">
        <v>73</v>
      </c>
      <c r="L115" s="96" t="s">
        <v>200</v>
      </c>
      <c r="M115" s="96" t="s">
        <v>201</v>
      </c>
      <c r="N115" s="96" t="s">
        <v>76</v>
      </c>
      <c r="O115" s="101">
        <f>VLOOKUP(Tabla156[[#This Row],[Matricula Antigua]],BAJA2022202320242025!$B$3:$CR$245,93,FALSE)</f>
        <v>43355</v>
      </c>
      <c r="P115" s="316">
        <v>45181</v>
      </c>
      <c r="Q115" s="317">
        <f>Tabla156[[#This Row],[F.Vig.Final]]-Tabla156[[#This Row],[f Vig Inicio]]</f>
        <v>1826</v>
      </c>
      <c r="R115" s="318">
        <f>YEAR(Tabla156[[#This Row],[F.Vig.Final]])</f>
        <v>2023</v>
      </c>
      <c r="S115" s="96" t="s">
        <v>77</v>
      </c>
      <c r="T115" s="96" t="s">
        <v>78</v>
      </c>
      <c r="U115" s="96" t="s">
        <v>359</v>
      </c>
      <c r="V115" s="96" t="s">
        <v>593</v>
      </c>
      <c r="W115" s="96" t="s">
        <v>102</v>
      </c>
      <c r="X115" s="332" t="s">
        <v>1667</v>
      </c>
      <c r="Y115" s="96" t="s">
        <v>599</v>
      </c>
      <c r="Z115" s="98">
        <f>COUNTIF($X$3:X115, X115)</f>
        <v>18</v>
      </c>
      <c r="AA115" s="337" t="s">
        <v>1668</v>
      </c>
      <c r="AB115" s="337" t="s">
        <v>1668</v>
      </c>
      <c r="AC115" s="337" t="s">
        <v>1669</v>
      </c>
      <c r="AD115" s="341" t="s">
        <v>1670</v>
      </c>
      <c r="AE115" s="342" t="s">
        <v>1671</v>
      </c>
      <c r="AF115" s="337" t="s">
        <v>1672</v>
      </c>
      <c r="AG115" s="344" t="s">
        <v>1673</v>
      </c>
      <c r="AH115" s="337" t="s">
        <v>1649</v>
      </c>
      <c r="AI115" s="337" t="s">
        <v>600</v>
      </c>
      <c r="AJ115" s="98" t="s">
        <v>85</v>
      </c>
      <c r="AK115" s="98" t="s">
        <v>340</v>
      </c>
      <c r="AL115" s="98" t="s">
        <v>87</v>
      </c>
      <c r="AM115" s="101" t="s">
        <v>567</v>
      </c>
      <c r="AN115" s="348" t="s">
        <v>108</v>
      </c>
      <c r="AO115" s="349">
        <v>44958</v>
      </c>
      <c r="AP115" s="98">
        <f>Tabla156[[#This Row],[Renov. Flota]]-Tabla156[[#This Row],[Año]]</f>
        <v>0</v>
      </c>
      <c r="AQ115" s="100" t="s">
        <v>102</v>
      </c>
      <c r="AR115" s="100">
        <v>4500352582</v>
      </c>
      <c r="AS115" s="101" t="s">
        <v>103</v>
      </c>
      <c r="AT115" s="101"/>
      <c r="AU115" s="101" t="s">
        <v>72</v>
      </c>
      <c r="AV115" s="101" t="s">
        <v>109</v>
      </c>
      <c r="AW115" s="101" t="s">
        <v>601</v>
      </c>
      <c r="AX115" s="209">
        <v>5.6</v>
      </c>
      <c r="AY115" s="208">
        <f t="shared" si="4"/>
        <v>10</v>
      </c>
      <c r="AZ115" s="313">
        <v>13.3</v>
      </c>
      <c r="BA115" s="314">
        <f>IF(Tabla156[[#This Row],[Columna2]]="M1",13073,IF(Tabla156[[#This Row],[Columna2]]="N1",15815,IF(Tabla156[[#This Row],[Columna2]]="L3e",2831,53508)))</f>
        <v>15815</v>
      </c>
      <c r="BB115" s="350">
        <f>(Tabla156[[#This Row],[CVA]]*Tabla156[[#This Row],[F]]-Tabla156[[#This Row],[CVN]])/100*Tabla156[[#This Row],[L]]</f>
        <v>6753.005000000001</v>
      </c>
      <c r="BC115" s="294" t="s">
        <v>128</v>
      </c>
      <c r="BD115" s="209">
        <f>VLOOKUP(B115,Tabla467824[[ID CAE2]:[AE '[kWh']]],6,FALSE)</f>
        <v>5607.9989999999989</v>
      </c>
      <c r="BE11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6" spans="1:57" ht="51.75" x14ac:dyDescent="0.25">
      <c r="A116" s="53" t="s">
        <v>602</v>
      </c>
      <c r="B116" s="53" t="s">
        <v>602</v>
      </c>
      <c r="C116" s="332" t="s">
        <v>603</v>
      </c>
      <c r="D116" s="104" t="s">
        <v>72</v>
      </c>
      <c r="E116" s="104" t="s">
        <v>72</v>
      </c>
      <c r="F116" s="104" t="s">
        <v>72</v>
      </c>
      <c r="G116" s="104"/>
      <c r="H116" s="104" t="s">
        <v>72</v>
      </c>
      <c r="I116" s="104" t="s">
        <v>72</v>
      </c>
      <c r="J116" s="104"/>
      <c r="K116" s="96" t="s">
        <v>73</v>
      </c>
      <c r="L116" s="96" t="s">
        <v>200</v>
      </c>
      <c r="M116" s="96" t="s">
        <v>201</v>
      </c>
      <c r="N116" s="96" t="s">
        <v>76</v>
      </c>
      <c r="O116" s="101">
        <f>VLOOKUP(Tabla156[[#This Row],[Matricula Antigua]],BAJA2022202320242025!$B$3:$CR$245,93,FALSE)</f>
        <v>43172</v>
      </c>
      <c r="P116" s="316">
        <v>44998</v>
      </c>
      <c r="Q116" s="317">
        <f>Tabla156[[#This Row],[F.Vig.Final]]-Tabla156[[#This Row],[f Vig Inicio]]</f>
        <v>1826</v>
      </c>
      <c r="R116" s="318">
        <f>YEAR(Tabla156[[#This Row],[F.Vig.Final]])</f>
        <v>2023</v>
      </c>
      <c r="S116" s="96" t="s">
        <v>77</v>
      </c>
      <c r="T116" s="96" t="s">
        <v>78</v>
      </c>
      <c r="U116" s="96" t="s">
        <v>359</v>
      </c>
      <c r="V116" s="96" t="s">
        <v>604</v>
      </c>
      <c r="W116" s="96" t="s">
        <v>204</v>
      </c>
      <c r="X116" s="332" t="s">
        <v>205</v>
      </c>
      <c r="Y116" s="96" t="s">
        <v>230</v>
      </c>
      <c r="Z116" s="98">
        <f>COUNTIF($X$3:X116, X116)</f>
        <v>6</v>
      </c>
      <c r="AA116" s="337" t="s">
        <v>1661</v>
      </c>
      <c r="AB116" s="337" t="s">
        <v>1661</v>
      </c>
      <c r="AC116" s="337" t="s">
        <v>1662</v>
      </c>
      <c r="AD116" s="337" t="s">
        <v>1679</v>
      </c>
      <c r="AE116" s="351" t="s">
        <v>1664</v>
      </c>
      <c r="AF116" s="337" t="s">
        <v>1680</v>
      </c>
      <c r="AG116" s="337" t="s">
        <v>1681</v>
      </c>
      <c r="AH116" s="337" t="s">
        <v>1649</v>
      </c>
      <c r="AI116" s="337" t="s">
        <v>605</v>
      </c>
      <c r="AJ116" s="98" t="s">
        <v>140</v>
      </c>
      <c r="AK116" s="98" t="s">
        <v>151</v>
      </c>
      <c r="AL116" s="98" t="s">
        <v>87</v>
      </c>
      <c r="AM116" s="101" t="s">
        <v>208</v>
      </c>
      <c r="AN116" s="348" t="s">
        <v>89</v>
      </c>
      <c r="AO116" s="349">
        <v>45637</v>
      </c>
      <c r="AP116" s="98">
        <f>Tabla156[[#This Row],[Renov. Flota]]-Tabla156[[#This Row],[Año]]</f>
        <v>1</v>
      </c>
      <c r="AQ116" s="100" t="s">
        <v>204</v>
      </c>
      <c r="AR116" s="100" t="str">
        <f>VLOOKUP(Tabla156[[#This Row],[Matricula nueva]],'ALTA 20242025'!$B$2:$P$242,15,FALSE)</f>
        <v>4500424902</v>
      </c>
      <c r="AS116" s="101" t="s">
        <v>205</v>
      </c>
      <c r="AT116" s="101"/>
      <c r="AU116" s="101" t="s">
        <v>72</v>
      </c>
      <c r="AV116" s="101" t="s">
        <v>91</v>
      </c>
      <c r="AW116" s="101" t="str">
        <f>VLOOKUP(Tabla156[[#This Row],[Matricula nueva]],Hoja2!$A$1:$B$224,2,FALSE)</f>
        <v>VR7CBZYA5RT153037</v>
      </c>
      <c r="AX116" s="209">
        <f>IF(Tabla156[[#This Row],[Columna2]]="M1",5.1,"")</f>
        <v>5.0999999999999996</v>
      </c>
      <c r="AY116" s="208">
        <f t="shared" si="4"/>
        <v>10</v>
      </c>
      <c r="AZ116" s="313">
        <v>16.399999999999999</v>
      </c>
      <c r="BA116" s="314">
        <f>IF(Tabla156[[#This Row],[Columna2]]="M1",13073,IF(Tabla156[[#This Row],[Columna2]]="N1",15815,IF(Tabla156[[#This Row],[Columna2]]="L3e",2831,53508)))</f>
        <v>13073</v>
      </c>
      <c r="BB116" s="350">
        <f>(Tabla156[[#This Row],[CVA]]*Tabla156[[#This Row],[F]]-Tabla156[[#This Row],[CVN]])/100*Tabla156[[#This Row],[L]]</f>
        <v>4523.2580000000007</v>
      </c>
      <c r="BC116" s="294" t="s">
        <v>70</v>
      </c>
      <c r="BD116" s="209">
        <f>VLOOKUP(B116,Tabla467824[[ID CAE2]:[AE '[kWh']]],6,FALSE)</f>
        <v>6795.3454000000002</v>
      </c>
      <c r="BE11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7" spans="1:57" ht="51.75" x14ac:dyDescent="0.25">
      <c r="A117" s="53" t="s">
        <v>608</v>
      </c>
      <c r="B117" s="53" t="s">
        <v>608</v>
      </c>
      <c r="C117" s="332" t="s">
        <v>609</v>
      </c>
      <c r="D117" s="104" t="s">
        <v>72</v>
      </c>
      <c r="E117" s="104" t="s">
        <v>72</v>
      </c>
      <c r="F117" s="104" t="s">
        <v>72</v>
      </c>
      <c r="G117" s="104"/>
      <c r="H117" s="104" t="s">
        <v>72</v>
      </c>
      <c r="I117" s="104" t="s">
        <v>72</v>
      </c>
      <c r="J117" s="104"/>
      <c r="K117" s="96" t="s">
        <v>73</v>
      </c>
      <c r="L117" s="96" t="s">
        <v>200</v>
      </c>
      <c r="M117" s="96" t="s">
        <v>201</v>
      </c>
      <c r="N117" s="96" t="s">
        <v>76</v>
      </c>
      <c r="O117" s="101">
        <f>VLOOKUP(Tabla156[[#This Row],[Matricula Antigua]],BAJA2022202320242025!$B$3:$CR$245,93,FALSE)</f>
        <v>43213</v>
      </c>
      <c r="P117" s="316">
        <v>45039</v>
      </c>
      <c r="Q117" s="317">
        <f>Tabla156[[#This Row],[F.Vig.Final]]-Tabla156[[#This Row],[f Vig Inicio]]</f>
        <v>1826</v>
      </c>
      <c r="R117" s="318">
        <f>YEAR(Tabla156[[#This Row],[F.Vig.Final]])</f>
        <v>2023</v>
      </c>
      <c r="S117" s="96" t="s">
        <v>77</v>
      </c>
      <c r="T117" s="96" t="s">
        <v>78</v>
      </c>
      <c r="U117" s="96" t="s">
        <v>359</v>
      </c>
      <c r="V117" s="96" t="s">
        <v>604</v>
      </c>
      <c r="W117" s="96" t="s">
        <v>131</v>
      </c>
      <c r="X117" s="332" t="s">
        <v>132</v>
      </c>
      <c r="Y117" s="96" t="s">
        <v>610</v>
      </c>
      <c r="Z117" s="98">
        <f>COUNTIF($X$3:X117, X117)</f>
        <v>6</v>
      </c>
      <c r="AA117" s="337" t="s">
        <v>1661</v>
      </c>
      <c r="AB117" s="337" t="s">
        <v>1661</v>
      </c>
      <c r="AC117" s="337" t="s">
        <v>1662</v>
      </c>
      <c r="AD117" s="333" t="s">
        <v>1675</v>
      </c>
      <c r="AE117" s="347" t="s">
        <v>1664</v>
      </c>
      <c r="AF117" s="337" t="s">
        <v>1676</v>
      </c>
      <c r="AG117" s="337" t="s">
        <v>1677</v>
      </c>
      <c r="AH117" s="337" t="s">
        <v>1649</v>
      </c>
      <c r="AI117" s="337" t="s">
        <v>611</v>
      </c>
      <c r="AJ117" s="98" t="s">
        <v>140</v>
      </c>
      <c r="AK117" s="98" t="s">
        <v>151</v>
      </c>
      <c r="AL117" s="98" t="s">
        <v>87</v>
      </c>
      <c r="AM117" s="101" t="s">
        <v>316</v>
      </c>
      <c r="AN117" s="348" t="s">
        <v>89</v>
      </c>
      <c r="AO117" s="349">
        <v>45625</v>
      </c>
      <c r="AP117" s="98">
        <f>Tabla156[[#This Row],[Renov. Flota]]-Tabla156[[#This Row],[Año]]</f>
        <v>1</v>
      </c>
      <c r="AQ117" s="100" t="s">
        <v>131</v>
      </c>
      <c r="AR117" s="100" t="str">
        <f>VLOOKUP(Tabla156[[#This Row],[Matricula nueva]],'ALTA 20242025'!$B$2:$P$242,15,FALSE)</f>
        <v>4500424801</v>
      </c>
      <c r="AS117" s="101" t="s">
        <v>132</v>
      </c>
      <c r="AT117" s="101"/>
      <c r="AU117" s="101" t="s">
        <v>72</v>
      </c>
      <c r="AV117" s="101" t="s">
        <v>91</v>
      </c>
      <c r="AW117" s="101" t="str">
        <f>VLOOKUP(Tabla156[[#This Row],[Matricula nueva]],Hoja2!$A$1:$B$224,2,FALSE)</f>
        <v>VR7CBZYAXRT152210</v>
      </c>
      <c r="AX117" s="209">
        <f>IF(Tabla156[[#This Row],[Columna2]]="M1",5.1,"")</f>
        <v>5.0999999999999996</v>
      </c>
      <c r="AY117" s="208">
        <f t="shared" si="4"/>
        <v>10</v>
      </c>
      <c r="AZ117" s="313">
        <v>16.399999999999999</v>
      </c>
      <c r="BA117" s="314">
        <f>IF(Tabla156[[#This Row],[Columna2]]="M1",13073,IF(Tabla156[[#This Row],[Columna2]]="N1",15815,IF(Tabla156[[#This Row],[Columna2]]="L3e",2831,53508)))</f>
        <v>13073</v>
      </c>
      <c r="BB117" s="350">
        <f>(Tabla156[[#This Row],[CVA]]*Tabla156[[#This Row],[F]]-Tabla156[[#This Row],[CVN]])/100*Tabla156[[#This Row],[L]]</f>
        <v>4523.2580000000007</v>
      </c>
      <c r="BC117" s="294" t="s">
        <v>70</v>
      </c>
      <c r="BD117" s="209">
        <f>VLOOKUP(B117,Tabla467824[[ID CAE2]:[AE '[kWh']]],6,FALSE)</f>
        <v>6795.3454000000002</v>
      </c>
      <c r="BE11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8" spans="1:57" ht="51.75" x14ac:dyDescent="0.25">
      <c r="A118" s="53" t="s">
        <v>614</v>
      </c>
      <c r="B118" s="53" t="s">
        <v>614</v>
      </c>
      <c r="C118" s="332" t="s">
        <v>615</v>
      </c>
      <c r="D118" s="104" t="s">
        <v>72</v>
      </c>
      <c r="E118" s="104"/>
      <c r="F118" s="104" t="s">
        <v>72</v>
      </c>
      <c r="G118" s="104"/>
      <c r="H118" s="104" t="s">
        <v>249</v>
      </c>
      <c r="I118" s="104" t="s">
        <v>249</v>
      </c>
      <c r="J118" s="104"/>
      <c r="K118" s="96" t="s">
        <v>73</v>
      </c>
      <c r="L118" s="96" t="s">
        <v>200</v>
      </c>
      <c r="M118" s="96" t="s">
        <v>201</v>
      </c>
      <c r="N118" s="96" t="s">
        <v>76</v>
      </c>
      <c r="O118" s="101">
        <f>VLOOKUP(Tabla156[[#This Row],[Matricula Antigua]],BAJA2022202320242025!$B$3:$CR$245,93,FALSE)</f>
        <v>43160</v>
      </c>
      <c r="P118" s="316">
        <v>44986</v>
      </c>
      <c r="Q118" s="317">
        <f>Tabla156[[#This Row],[F.Vig.Final]]-Tabla156[[#This Row],[f Vig Inicio]]</f>
        <v>1826</v>
      </c>
      <c r="R118" s="318">
        <f>YEAR(Tabla156[[#This Row],[F.Vig.Final]])</f>
        <v>2023</v>
      </c>
      <c r="S118" s="96" t="s">
        <v>77</v>
      </c>
      <c r="T118" s="96" t="s">
        <v>78</v>
      </c>
      <c r="U118" s="96" t="s">
        <v>359</v>
      </c>
      <c r="V118" s="96" t="s">
        <v>604</v>
      </c>
      <c r="W118" s="96" t="s">
        <v>119</v>
      </c>
      <c r="X118" s="332" t="s">
        <v>1674</v>
      </c>
      <c r="Y118" s="96" t="s">
        <v>501</v>
      </c>
      <c r="Z118" s="98">
        <f>COUNTIF($X$3:X118, X118)</f>
        <v>16</v>
      </c>
      <c r="AA118" s="337" t="s">
        <v>1661</v>
      </c>
      <c r="AB118" s="337" t="s">
        <v>1661</v>
      </c>
      <c r="AC118" s="337" t="s">
        <v>1662</v>
      </c>
      <c r="AD118" s="337" t="s">
        <v>1663</v>
      </c>
      <c r="AE118" s="342" t="s">
        <v>1664</v>
      </c>
      <c r="AF118" s="337" t="s">
        <v>1665</v>
      </c>
      <c r="AG118" s="337" t="s">
        <v>1666</v>
      </c>
      <c r="AH118" s="337" t="s">
        <v>1649</v>
      </c>
      <c r="AI118" s="337" t="s">
        <v>616</v>
      </c>
      <c r="AJ118" s="98" t="s">
        <v>85</v>
      </c>
      <c r="AK118" s="98" t="s">
        <v>86</v>
      </c>
      <c r="AL118" s="98" t="s">
        <v>87</v>
      </c>
      <c r="AM118" s="101" t="s">
        <v>617</v>
      </c>
      <c r="AN118" s="348" t="s">
        <v>89</v>
      </c>
      <c r="AO118" s="349">
        <v>45645</v>
      </c>
      <c r="AP118" s="98">
        <f>Tabla156[[#This Row],[Renov. Flota]]-Tabla156[[#This Row],[Año]]</f>
        <v>1</v>
      </c>
      <c r="AQ118" s="100" t="s">
        <v>119</v>
      </c>
      <c r="AR118" s="100" t="str">
        <f>VLOOKUP(Tabla156[[#This Row],[Matricula nueva]],'ALTA 20242025'!$B$2:$P$242,15,FALSE)</f>
        <v>4500426846</v>
      </c>
      <c r="AS118" s="101" t="s">
        <v>120</v>
      </c>
      <c r="AT118" s="101"/>
      <c r="AU118" s="101" t="s">
        <v>72</v>
      </c>
      <c r="AV118" s="101" t="s">
        <v>91</v>
      </c>
      <c r="AW118" s="101" t="str">
        <f>VLOOKUP(Tabla156[[#This Row],[Matricula nueva]],Hoja2!$A$1:$B$224,2,FALSE)</f>
        <v>VF1RFK00073934278</v>
      </c>
      <c r="AX118" s="209">
        <f>IF(Tabla156[[#This Row],[Columna2]]="M1",5.1,"")</f>
        <v>5.0999999999999996</v>
      </c>
      <c r="AY118" s="208">
        <f t="shared" si="4"/>
        <v>10</v>
      </c>
      <c r="AZ118" s="313">
        <v>17.3</v>
      </c>
      <c r="BA118" s="314">
        <f>IF(Tabla156[[#This Row],[Columna2]]="M1",13073,IF(Tabla156[[#This Row],[Columna2]]="N1",15815,IF(Tabla156[[#This Row],[Columna2]]="L3e",2831,53508)))</f>
        <v>13073</v>
      </c>
      <c r="BB118" s="350">
        <f>(Tabla156[[#This Row],[CVA]]*Tabla156[[#This Row],[F]]-Tabla156[[#This Row],[CVN]])/100*Tabla156[[#This Row],[L]]</f>
        <v>4405.6010000000006</v>
      </c>
      <c r="BC118" s="294" t="s">
        <v>70</v>
      </c>
      <c r="BD118" s="209">
        <f>VLOOKUP(B118,Tabla467824[[ID CAE2]:[AE '[kWh']]],6,FALSE)</f>
        <v>6795.3454000000002</v>
      </c>
      <c r="BE11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19" spans="1:57" ht="51.75" x14ac:dyDescent="0.25">
      <c r="A119" s="53" t="s">
        <v>620</v>
      </c>
      <c r="B119" s="53" t="s">
        <v>620</v>
      </c>
      <c r="C119" s="332" t="s">
        <v>621</v>
      </c>
      <c r="D119" s="104" t="s">
        <v>72</v>
      </c>
      <c r="E119" s="104" t="s">
        <v>72</v>
      </c>
      <c r="F119" s="104" t="s">
        <v>72</v>
      </c>
      <c r="G119" s="104"/>
      <c r="H119" s="104" t="s">
        <v>72</v>
      </c>
      <c r="I119" s="104" t="s">
        <v>72</v>
      </c>
      <c r="J119" s="104"/>
      <c r="K119" s="96" t="s">
        <v>73</v>
      </c>
      <c r="L119" s="96" t="s">
        <v>200</v>
      </c>
      <c r="M119" s="96" t="s">
        <v>201</v>
      </c>
      <c r="N119" s="96" t="s">
        <v>76</v>
      </c>
      <c r="O119" s="101">
        <f>VLOOKUP(Tabla156[[#This Row],[Matricula Antigua]],BAJA2022202320242025!$B$3:$CR$245,93,FALSE)</f>
        <v>43312</v>
      </c>
      <c r="P119" s="316">
        <v>45323</v>
      </c>
      <c r="Q119" s="317">
        <f>Tabla156[[#This Row],[F.Vig.Final]]-Tabla156[[#This Row],[f Vig Inicio]]</f>
        <v>2011</v>
      </c>
      <c r="R119" s="318">
        <f>YEAR(Tabla156[[#This Row],[F.Vig.Final]])</f>
        <v>2024</v>
      </c>
      <c r="S119" s="96" t="s">
        <v>77</v>
      </c>
      <c r="T119" s="96" t="s">
        <v>78</v>
      </c>
      <c r="U119" s="96" t="s">
        <v>359</v>
      </c>
      <c r="V119" s="96" t="s">
        <v>604</v>
      </c>
      <c r="W119" s="96" t="s">
        <v>131</v>
      </c>
      <c r="X119" s="332" t="s">
        <v>132</v>
      </c>
      <c r="Y119" s="96" t="s">
        <v>622</v>
      </c>
      <c r="Z119" s="98">
        <f>COUNTIF($X$3:X119, X119)</f>
        <v>7</v>
      </c>
      <c r="AA119" s="337" t="s">
        <v>1661</v>
      </c>
      <c r="AB119" s="337" t="s">
        <v>1661</v>
      </c>
      <c r="AC119" s="337" t="s">
        <v>1662</v>
      </c>
      <c r="AD119" s="333" t="s">
        <v>1675</v>
      </c>
      <c r="AE119" s="347" t="s">
        <v>1664</v>
      </c>
      <c r="AF119" s="337" t="s">
        <v>1676</v>
      </c>
      <c r="AG119" s="337" t="s">
        <v>1677</v>
      </c>
      <c r="AH119" s="337" t="s">
        <v>1649</v>
      </c>
      <c r="AI119" s="337" t="s">
        <v>623</v>
      </c>
      <c r="AJ119" s="98" t="s">
        <v>85</v>
      </c>
      <c r="AK119" s="98" t="s">
        <v>86</v>
      </c>
      <c r="AL119" s="98" t="s">
        <v>87</v>
      </c>
      <c r="AM119" s="101" t="s">
        <v>318</v>
      </c>
      <c r="AN119" s="348" t="s">
        <v>89</v>
      </c>
      <c r="AO119" s="349">
        <v>45625</v>
      </c>
      <c r="AP119" s="98">
        <f>Tabla156[[#This Row],[Renov. Flota]]-Tabla156[[#This Row],[Año]]</f>
        <v>0</v>
      </c>
      <c r="AQ119" s="100" t="s">
        <v>131</v>
      </c>
      <c r="AR119" s="100" t="str">
        <f>VLOOKUP(Tabla156[[#This Row],[Matricula nueva]],'ALTA 20242025'!$B$2:$P$242,15,FALSE)</f>
        <v>4500426776</v>
      </c>
      <c r="AS119" s="101" t="s">
        <v>132</v>
      </c>
      <c r="AT119" s="101"/>
      <c r="AU119" s="101" t="s">
        <v>72</v>
      </c>
      <c r="AV119" s="101" t="s">
        <v>91</v>
      </c>
      <c r="AW119" s="101" t="str">
        <f>VLOOKUP(Tabla156[[#This Row],[Matricula nueva]],Hoja2!$A$1:$B$224,2,FALSE)</f>
        <v>VF1RFK00973824815</v>
      </c>
      <c r="AX119" s="209">
        <f>IF(Tabla156[[#This Row],[Columna2]]="M1",5.1,"")</f>
        <v>5.0999999999999996</v>
      </c>
      <c r="AY119" s="208">
        <f t="shared" si="4"/>
        <v>10</v>
      </c>
      <c r="AZ119" s="313">
        <v>17.3</v>
      </c>
      <c r="BA119" s="314">
        <f>IF(Tabla156[[#This Row],[Columna2]]="M1",13073,IF(Tabla156[[#This Row],[Columna2]]="N1",15815,IF(Tabla156[[#This Row],[Columna2]]="L3e",2831,53508)))</f>
        <v>13073</v>
      </c>
      <c r="BB119" s="350">
        <f>(Tabla156[[#This Row],[CVA]]*Tabla156[[#This Row],[F]]-Tabla156[[#This Row],[CVN]])/100*Tabla156[[#This Row],[L]]</f>
        <v>4405.6010000000006</v>
      </c>
      <c r="BC119" s="294" t="s">
        <v>70</v>
      </c>
      <c r="BD119" s="209">
        <f>VLOOKUP(B119,Tabla467824[[ID CAE2]:[AE '[kWh']]],6,FALSE)</f>
        <v>6795.3454000000002</v>
      </c>
      <c r="BE11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0" spans="1:57" ht="60" x14ac:dyDescent="0.25">
      <c r="A120" s="53" t="s">
        <v>626</v>
      </c>
      <c r="B120" s="53" t="s">
        <v>626</v>
      </c>
      <c r="C120" s="332" t="s">
        <v>627</v>
      </c>
      <c r="D120" s="104" t="s">
        <v>72</v>
      </c>
      <c r="E120" s="104" t="s">
        <v>72</v>
      </c>
      <c r="F120" s="104" t="s">
        <v>72</v>
      </c>
      <c r="G120" s="104"/>
      <c r="H120" s="104" t="s">
        <v>72</v>
      </c>
      <c r="I120" s="104" t="s">
        <v>72</v>
      </c>
      <c r="J120" s="104"/>
      <c r="K120" s="96" t="s">
        <v>73</v>
      </c>
      <c r="L120" s="96" t="s">
        <v>200</v>
      </c>
      <c r="M120" s="96" t="s">
        <v>201</v>
      </c>
      <c r="N120" s="96" t="s">
        <v>76</v>
      </c>
      <c r="O120" s="101">
        <f>VLOOKUP(Tabla156[[#This Row],[Matricula Antigua]],BAJA2022202320242025!$B$3:$CR$245,93,FALSE)</f>
        <v>43343</v>
      </c>
      <c r="P120" s="316">
        <v>45016</v>
      </c>
      <c r="Q120" s="317">
        <f>Tabla156[[#This Row],[F.Vig.Final]]-Tabla156[[#This Row],[f Vig Inicio]]</f>
        <v>1673</v>
      </c>
      <c r="R120" s="318">
        <f>YEAR(Tabla156[[#This Row],[F.Vig.Final]])</f>
        <v>2023</v>
      </c>
      <c r="S120" s="96" t="s">
        <v>77</v>
      </c>
      <c r="T120" s="96" t="s">
        <v>78</v>
      </c>
      <c r="U120" s="96" t="s">
        <v>359</v>
      </c>
      <c r="V120" s="96" t="s">
        <v>604</v>
      </c>
      <c r="W120" s="96" t="s">
        <v>336</v>
      </c>
      <c r="X120" s="332" t="s">
        <v>337</v>
      </c>
      <c r="Y120" s="96" t="s">
        <v>628</v>
      </c>
      <c r="Z120" s="98">
        <f>COUNTIF($X$3:X120, X120)</f>
        <v>5</v>
      </c>
      <c r="AA120" s="337" t="s">
        <v>1661</v>
      </c>
      <c r="AB120" s="337" t="s">
        <v>1661</v>
      </c>
      <c r="AC120" s="337" t="s">
        <v>1662</v>
      </c>
      <c r="AD120" s="341" t="s">
        <v>1682</v>
      </c>
      <c r="AE120" s="347" t="s">
        <v>1664</v>
      </c>
      <c r="AF120" s="337" t="s">
        <v>1683</v>
      </c>
      <c r="AG120" s="337" t="s">
        <v>1684</v>
      </c>
      <c r="AH120" s="337" t="s">
        <v>1649</v>
      </c>
      <c r="AI120" s="337" t="s">
        <v>629</v>
      </c>
      <c r="AJ120" s="98" t="s">
        <v>85</v>
      </c>
      <c r="AK120" s="98" t="s">
        <v>340</v>
      </c>
      <c r="AL120" s="98" t="s">
        <v>87</v>
      </c>
      <c r="AM120" s="101" t="s">
        <v>630</v>
      </c>
      <c r="AN120" s="348" t="s">
        <v>108</v>
      </c>
      <c r="AO120" s="349">
        <v>45282</v>
      </c>
      <c r="AP120" s="98">
        <f>Tabla156[[#This Row],[Renov. Flota]]-Tabla156[[#This Row],[Año]]</f>
        <v>0</v>
      </c>
      <c r="AQ120" s="100" t="s">
        <v>336</v>
      </c>
      <c r="AR120" s="100">
        <v>4500389256</v>
      </c>
      <c r="AS120" s="101" t="s">
        <v>337</v>
      </c>
      <c r="AT120" s="101"/>
      <c r="AU120" s="101" t="s">
        <v>72</v>
      </c>
      <c r="AV120" s="101" t="s">
        <v>91</v>
      </c>
      <c r="AW120" s="101" t="s">
        <v>631</v>
      </c>
      <c r="AX120" s="209">
        <f>IF(Tabla156[[#This Row],[Columna2]]="M1",5.1,"")</f>
        <v>5.0999999999999996</v>
      </c>
      <c r="AY120" s="208">
        <f t="shared" si="4"/>
        <v>10</v>
      </c>
      <c r="AZ120" s="313">
        <v>13.3</v>
      </c>
      <c r="BA120" s="314">
        <f>IF(Tabla156[[#This Row],[Columna2]]="M1",13073,IF(Tabla156[[#This Row],[Columna2]]="N1",15815,IF(Tabla156[[#This Row],[Columna2]]="L3e",2831,53508)))</f>
        <v>13073</v>
      </c>
      <c r="BB120" s="350">
        <f>(Tabla156[[#This Row],[CVA]]*Tabla156[[#This Row],[F]]-Tabla156[[#This Row],[CVN]])/100*Tabla156[[#This Row],[L]]</f>
        <v>4928.5209999999997</v>
      </c>
      <c r="BC120" s="294" t="s">
        <v>70</v>
      </c>
      <c r="BD120" s="209">
        <f>VLOOKUP(B120,Tabla467824[[ID CAE2]:[AE '[kWh']]],6,FALSE)</f>
        <v>6795.3454000000002</v>
      </c>
      <c r="BE12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1" spans="1:57" ht="51.75" x14ac:dyDescent="0.25">
      <c r="A121" s="53" t="s">
        <v>632</v>
      </c>
      <c r="B121" s="53" t="s">
        <v>632</v>
      </c>
      <c r="C121" s="332" t="s">
        <v>633</v>
      </c>
      <c r="D121" s="104" t="s">
        <v>72</v>
      </c>
      <c r="E121" s="104"/>
      <c r="F121" s="104" t="s">
        <v>72</v>
      </c>
      <c r="G121" s="104"/>
      <c r="H121" s="104" t="s">
        <v>72</v>
      </c>
      <c r="I121" s="104" t="s">
        <v>72</v>
      </c>
      <c r="J121" s="104"/>
      <c r="K121" s="96" t="s">
        <v>129</v>
      </c>
      <c r="L121" s="96" t="s">
        <v>74</v>
      </c>
      <c r="M121" s="96" t="s">
        <v>75</v>
      </c>
      <c r="N121" s="96" t="s">
        <v>76</v>
      </c>
      <c r="O121" s="99">
        <f>VLOOKUP(Tabla156[[#This Row],[Matricula Antigua]],BAJA2022202320242025!$B$3:$CR$245,93,FALSE)</f>
        <v>45002</v>
      </c>
      <c r="P121" s="316">
        <v>45307</v>
      </c>
      <c r="Q121" s="317">
        <f>Tabla156[[#This Row],[F.Vig.Final]]-Tabla156[[#This Row],[f Vig Inicio]]</f>
        <v>305</v>
      </c>
      <c r="R121" s="318">
        <f>YEAR(Tabla156[[#This Row],[F.Vig.Final]])</f>
        <v>2024</v>
      </c>
      <c r="S121" s="96" t="s">
        <v>77</v>
      </c>
      <c r="T121" s="96" t="s">
        <v>78</v>
      </c>
      <c r="U121" s="96" t="s">
        <v>79</v>
      </c>
      <c r="V121" s="96" t="s">
        <v>634</v>
      </c>
      <c r="W121" s="96" t="s">
        <v>131</v>
      </c>
      <c r="X121" s="332" t="s">
        <v>132</v>
      </c>
      <c r="Y121" s="96" t="s">
        <v>635</v>
      </c>
      <c r="Z121" s="98">
        <f>COUNTIF($X$3:X121, X121)</f>
        <v>8</v>
      </c>
      <c r="AA121" s="337" t="s">
        <v>1661</v>
      </c>
      <c r="AB121" s="337" t="s">
        <v>1661</v>
      </c>
      <c r="AC121" s="337" t="s">
        <v>1662</v>
      </c>
      <c r="AD121" s="333" t="s">
        <v>1675</v>
      </c>
      <c r="AE121" s="347" t="s">
        <v>1664</v>
      </c>
      <c r="AF121" s="337" t="s">
        <v>1676</v>
      </c>
      <c r="AG121" s="337" t="s">
        <v>1677</v>
      </c>
      <c r="AH121" s="337" t="s">
        <v>1649</v>
      </c>
      <c r="AI121" s="337" t="s">
        <v>636</v>
      </c>
      <c r="AJ121" s="98" t="s">
        <v>85</v>
      </c>
      <c r="AK121" s="98" t="s">
        <v>86</v>
      </c>
      <c r="AL121" s="98" t="s">
        <v>87</v>
      </c>
      <c r="AM121" s="101" t="s">
        <v>637</v>
      </c>
      <c r="AN121" s="348" t="s">
        <v>89</v>
      </c>
      <c r="AO121" s="349">
        <v>45625</v>
      </c>
      <c r="AP121" s="98">
        <f>Tabla156[[#This Row],[Renov. Flota]]-Tabla156[[#This Row],[Año]]</f>
        <v>0</v>
      </c>
      <c r="AQ121" s="100" t="s">
        <v>131</v>
      </c>
      <c r="AR121" s="100" t="str">
        <f>VLOOKUP(Tabla156[[#This Row],[Matricula nueva]],'ALTA 20242025'!$B$2:$P$242,15,FALSE)</f>
        <v>4500426780</v>
      </c>
      <c r="AS121" s="101" t="s">
        <v>132</v>
      </c>
      <c r="AT121" s="101"/>
      <c r="AU121" s="101" t="s">
        <v>72</v>
      </c>
      <c r="AV121" s="101" t="s">
        <v>91</v>
      </c>
      <c r="AW121" s="101" t="str">
        <f>VLOOKUP(Tabla156[[#This Row],[Matricula nueva]],Hoja2!$A$1:$B$224,2,FALSE)</f>
        <v>VF1RFK00073824816</v>
      </c>
      <c r="AX121" s="209">
        <v>5.6</v>
      </c>
      <c r="AY121" s="208">
        <f t="shared" si="4"/>
        <v>10</v>
      </c>
      <c r="AZ121" s="313">
        <v>17.3</v>
      </c>
      <c r="BA121" s="314">
        <f>IF(Tabla156[[#This Row],[Columna2]]="M1",13073,IF(Tabla156[[#This Row],[Columna2]]="N1",15815,IF(Tabla156[[#This Row],[Columna2]]="L3e",2831,53508)))</f>
        <v>15815</v>
      </c>
      <c r="BB121" s="350">
        <f>(Tabla156[[#This Row],[CVA]]*Tabla156[[#This Row],[F]]-Tabla156[[#This Row],[CVN]])/100*Tabla156[[#This Row],[L]]</f>
        <v>6120.4049999999997</v>
      </c>
      <c r="BC121" s="294" t="s">
        <v>128</v>
      </c>
      <c r="BD121" s="209">
        <f>VLOOKUP(B121,Tabla467824[[ID CAE2]:[AE '[kWh']]],6,FALSE)</f>
        <v>5607.9989999999989</v>
      </c>
      <c r="BE12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2" spans="1:57" ht="51.75" x14ac:dyDescent="0.25">
      <c r="A122" s="53" t="s">
        <v>640</v>
      </c>
      <c r="B122" s="53" t="s">
        <v>640</v>
      </c>
      <c r="C122" s="332" t="s">
        <v>641</v>
      </c>
      <c r="D122" s="104" t="s">
        <v>72</v>
      </c>
      <c r="E122" s="104" t="s">
        <v>72</v>
      </c>
      <c r="F122" s="104" t="s">
        <v>72</v>
      </c>
      <c r="G122" s="104"/>
      <c r="H122" s="104" t="s">
        <v>72</v>
      </c>
      <c r="I122" s="104" t="s">
        <v>72</v>
      </c>
      <c r="J122" s="104"/>
      <c r="K122" s="96" t="s">
        <v>73</v>
      </c>
      <c r="L122" s="96" t="s">
        <v>74</v>
      </c>
      <c r="M122" s="96" t="s">
        <v>75</v>
      </c>
      <c r="N122" s="96" t="s">
        <v>76</v>
      </c>
      <c r="O122" s="99">
        <f>VLOOKUP(Tabla156[[#This Row],[Matricula Antigua]],BAJA2022202320242025!$B$3:$CR$245,93,FALSE)</f>
        <v>45323</v>
      </c>
      <c r="P122" s="316">
        <v>45468</v>
      </c>
      <c r="Q122" s="317">
        <f>Tabla156[[#This Row],[F.Vig.Final]]-Tabla156[[#This Row],[f Vig Inicio]]</f>
        <v>145</v>
      </c>
      <c r="R122" s="318">
        <f>YEAR(Tabla156[[#This Row],[F.Vig.Final]])</f>
        <v>2024</v>
      </c>
      <c r="S122" s="96" t="s">
        <v>77</v>
      </c>
      <c r="T122" s="96" t="s">
        <v>78</v>
      </c>
      <c r="U122" s="96" t="s">
        <v>85</v>
      </c>
      <c r="V122" s="96" t="s">
        <v>642</v>
      </c>
      <c r="W122" s="96" t="s">
        <v>102</v>
      </c>
      <c r="X122" s="332" t="s">
        <v>1667</v>
      </c>
      <c r="Y122" s="96" t="s">
        <v>572</v>
      </c>
      <c r="Z122" s="98">
        <f>COUNTIF($X$3:X122, X122)</f>
        <v>19</v>
      </c>
      <c r="AA122" s="337" t="s">
        <v>1668</v>
      </c>
      <c r="AB122" s="337" t="s">
        <v>1668</v>
      </c>
      <c r="AC122" s="337" t="s">
        <v>1669</v>
      </c>
      <c r="AD122" s="341" t="s">
        <v>1670</v>
      </c>
      <c r="AE122" s="342" t="s">
        <v>1671</v>
      </c>
      <c r="AF122" s="337" t="s">
        <v>1672</v>
      </c>
      <c r="AG122" s="344" t="s">
        <v>1673</v>
      </c>
      <c r="AH122" s="337" t="s">
        <v>1649</v>
      </c>
      <c r="AI122" s="337" t="s">
        <v>643</v>
      </c>
      <c r="AJ122" s="98" t="s">
        <v>140</v>
      </c>
      <c r="AK122" s="98" t="s">
        <v>151</v>
      </c>
      <c r="AL122" s="98" t="s">
        <v>87</v>
      </c>
      <c r="AM122" s="101" t="s">
        <v>301</v>
      </c>
      <c r="AN122" s="348" t="s">
        <v>89</v>
      </c>
      <c r="AO122" s="349">
        <v>45625</v>
      </c>
      <c r="AP122" s="98">
        <f>Tabla156[[#This Row],[Renov. Flota]]-Tabla156[[#This Row],[Año]]</f>
        <v>0</v>
      </c>
      <c r="AQ122" s="100" t="s">
        <v>102</v>
      </c>
      <c r="AR122" s="100" t="str">
        <f>VLOOKUP(Tabla156[[#This Row],[Matricula nueva]],'ALTA 20242025'!$B$2:$P$242,15,FALSE)</f>
        <v>4500424838</v>
      </c>
      <c r="AS122" s="101" t="s">
        <v>103</v>
      </c>
      <c r="AT122" s="101"/>
      <c r="AU122" s="101" t="s">
        <v>72</v>
      </c>
      <c r="AV122" s="101" t="s">
        <v>109</v>
      </c>
      <c r="AW122" s="101" t="str">
        <f>VLOOKUP(Tabla156[[#This Row],[Matricula nueva]],Hoja2!$A$1:$B$224,2,FALSE)</f>
        <v>VR7CBZYAXRT153017</v>
      </c>
      <c r="AX122" s="209">
        <v>5.6</v>
      </c>
      <c r="AY122" s="208">
        <f t="shared" si="4"/>
        <v>10</v>
      </c>
      <c r="AZ122" s="313">
        <v>16.399999999999999</v>
      </c>
      <c r="BA122" s="314">
        <f>IF(Tabla156[[#This Row],[Columna2]]="M1",13073,IF(Tabla156[[#This Row],[Columna2]]="N1",15815,IF(Tabla156[[#This Row],[Columna2]]="L3e",2831,53508)))</f>
        <v>15815</v>
      </c>
      <c r="BB122" s="350">
        <f>(Tabla156[[#This Row],[CVA]]*Tabla156[[#This Row],[F]]-Tabla156[[#This Row],[CVN]])/100*Tabla156[[#This Row],[L]]</f>
        <v>6262.7400000000007</v>
      </c>
      <c r="BC122" s="294" t="s">
        <v>128</v>
      </c>
      <c r="BD122" s="209">
        <f>VLOOKUP(B122,Tabla467824[[ID CAE2]:[AE '[kWh']]],6,FALSE)</f>
        <v>5607.9989999999989</v>
      </c>
      <c r="BE12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3" spans="1:57" ht="52.5" thickBot="1" x14ac:dyDescent="0.3">
      <c r="A123" s="53" t="s">
        <v>646</v>
      </c>
      <c r="B123" s="53" t="s">
        <v>646</v>
      </c>
      <c r="C123" s="332" t="s">
        <v>647</v>
      </c>
      <c r="D123" s="104" t="s">
        <v>72</v>
      </c>
      <c r="E123" s="104" t="s">
        <v>72</v>
      </c>
      <c r="F123" s="104" t="s">
        <v>72</v>
      </c>
      <c r="G123" s="104"/>
      <c r="H123" s="104" t="s">
        <v>72</v>
      </c>
      <c r="I123" s="104" t="s">
        <v>72</v>
      </c>
      <c r="J123" s="104"/>
      <c r="K123" s="96" t="s">
        <v>73</v>
      </c>
      <c r="L123" s="96" t="s">
        <v>74</v>
      </c>
      <c r="M123" s="96" t="s">
        <v>75</v>
      </c>
      <c r="N123" s="96" t="s">
        <v>76</v>
      </c>
      <c r="O123" s="99">
        <f>VLOOKUP(Tabla156[[#This Row],[Matricula Antigua]],BAJA2022202320242025!$B$3:$CR$245,93,FALSE)</f>
        <v>45323</v>
      </c>
      <c r="P123" s="316">
        <v>45433</v>
      </c>
      <c r="Q123" s="317">
        <f>Tabla156[[#This Row],[F.Vig.Final]]-Tabla156[[#This Row],[f Vig Inicio]]</f>
        <v>110</v>
      </c>
      <c r="R123" s="318">
        <f>YEAR(Tabla156[[#This Row],[F.Vig.Final]])</f>
        <v>2024</v>
      </c>
      <c r="S123" s="96" t="s">
        <v>77</v>
      </c>
      <c r="T123" s="96" t="s">
        <v>78</v>
      </c>
      <c r="U123" s="96" t="s">
        <v>85</v>
      </c>
      <c r="V123" s="96" t="s">
        <v>642</v>
      </c>
      <c r="W123" s="96" t="s">
        <v>102</v>
      </c>
      <c r="X123" s="332" t="s">
        <v>1667</v>
      </c>
      <c r="Y123" s="96" t="s">
        <v>572</v>
      </c>
      <c r="Z123" s="98">
        <f>COUNTIF($X$3:X123, X123)</f>
        <v>20</v>
      </c>
      <c r="AA123" s="337" t="s">
        <v>1668</v>
      </c>
      <c r="AB123" s="337" t="s">
        <v>1668</v>
      </c>
      <c r="AC123" s="337" t="s">
        <v>1669</v>
      </c>
      <c r="AD123" s="341" t="s">
        <v>1670</v>
      </c>
      <c r="AE123" s="342" t="s">
        <v>1671</v>
      </c>
      <c r="AF123" s="337" t="s">
        <v>1672</v>
      </c>
      <c r="AG123" s="344" t="s">
        <v>1673</v>
      </c>
      <c r="AH123" s="337" t="s">
        <v>1649</v>
      </c>
      <c r="AI123" s="337" t="s">
        <v>648</v>
      </c>
      <c r="AJ123" s="98" t="s">
        <v>380</v>
      </c>
      <c r="AK123" s="98" t="s">
        <v>381</v>
      </c>
      <c r="AL123" s="98" t="s">
        <v>87</v>
      </c>
      <c r="AM123" s="101" t="s">
        <v>649</v>
      </c>
      <c r="AN123" s="348" t="s">
        <v>89</v>
      </c>
      <c r="AO123" s="349">
        <v>45616</v>
      </c>
      <c r="AP123" s="98">
        <f>Tabla156[[#This Row],[Renov. Flota]]-Tabla156[[#This Row],[Año]]</f>
        <v>0</v>
      </c>
      <c r="AQ123" s="100" t="s">
        <v>102</v>
      </c>
      <c r="AR123" s="100" t="str">
        <f>VLOOKUP(Tabla156[[#This Row],[Matricula nueva]],'ALTA 20242025'!$B$2:$P$242,15,FALSE)</f>
        <v>4500423385</v>
      </c>
      <c r="AS123" s="101" t="s">
        <v>103</v>
      </c>
      <c r="AT123" s="101"/>
      <c r="AU123" s="101" t="s">
        <v>72</v>
      </c>
      <c r="AV123" s="101" t="s">
        <v>109</v>
      </c>
      <c r="AW123" s="101" t="s">
        <v>651</v>
      </c>
      <c r="AX123" s="209">
        <v>5.6</v>
      </c>
      <c r="AY123" s="208">
        <f t="shared" si="4"/>
        <v>10</v>
      </c>
      <c r="AZ123" s="313">
        <v>20</v>
      </c>
      <c r="BA123" s="314">
        <f>IF(Tabla156[[#This Row],[Columna2]]="M1",13073,IF(Tabla156[[#This Row],[Columna2]]="N1",15815,IF(Tabla156[[#This Row],[Columna2]]="L3e",2831,53508)))</f>
        <v>15815</v>
      </c>
      <c r="BB123" s="350">
        <f>(Tabla156[[#This Row],[CVA]]*Tabla156[[#This Row],[F]]-Tabla156[[#This Row],[CVN]])/100*Tabla156[[#This Row],[L]]</f>
        <v>5693.4</v>
      </c>
      <c r="BC123" s="91" t="s">
        <v>128</v>
      </c>
      <c r="BD123" s="209">
        <f>VLOOKUP(B123,Tabla467824[[ID CAE2]:[AE '[kWh']]],6,FALSE)</f>
        <v>5607.9989999999989</v>
      </c>
      <c r="BE12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4" spans="1:57" ht="15.75" hidden="1" thickBot="1" x14ac:dyDescent="0.3">
      <c r="A124" s="53" t="s">
        <v>1271</v>
      </c>
      <c r="B124" s="53" t="e">
        <v>#N/A</v>
      </c>
      <c r="C124" s="96" t="s">
        <v>1272</v>
      </c>
      <c r="D124" s="96"/>
      <c r="E124" s="96"/>
      <c r="F124" s="96"/>
      <c r="G124" s="96"/>
      <c r="H124" s="96"/>
      <c r="I124" s="96"/>
      <c r="J124" s="96"/>
      <c r="K124" s="96" t="s">
        <v>158</v>
      </c>
      <c r="L124" s="96" t="s">
        <v>159</v>
      </c>
      <c r="M124" s="96" t="s">
        <v>158</v>
      </c>
      <c r="N124" s="96" t="s">
        <v>171</v>
      </c>
      <c r="O124" s="101">
        <f>VLOOKUP(Tabla156[[#This Row],[Matricula Antigua]],BAJA2022202320242025!$B$3:$CR$245,93,FALSE)</f>
        <v>42415</v>
      </c>
      <c r="P124" s="99">
        <v>45579</v>
      </c>
      <c r="Q124" s="98">
        <f>Tabla156[[#This Row],[F.Vig.Final]]-Tabla156[[#This Row],[f Vig Inicio]]</f>
        <v>3164</v>
      </c>
      <c r="R124" s="99">
        <f>YEAR(Tabla156[[#This Row],[F.Vig.Final]])</f>
        <v>2024</v>
      </c>
      <c r="S124" s="96" t="s">
        <v>172</v>
      </c>
      <c r="T124" s="96" t="s">
        <v>78</v>
      </c>
      <c r="U124" s="96" t="s">
        <v>1273</v>
      </c>
      <c r="V124" s="96" t="s">
        <v>1274</v>
      </c>
      <c r="W124" s="96" t="s">
        <v>584</v>
      </c>
      <c r="X124" s="96" t="s">
        <v>585</v>
      </c>
      <c r="Y124" s="96" t="s">
        <v>1275</v>
      </c>
      <c r="Z124" s="98">
        <f>COUNTIF($X$3:X124, X124)</f>
        <v>5</v>
      </c>
      <c r="AA124" s="98"/>
      <c r="AB124" s="98"/>
      <c r="AC124" s="98"/>
      <c r="AD124" s="98"/>
      <c r="AE124" s="321"/>
      <c r="AF124" s="321"/>
      <c r="AG124" s="320"/>
      <c r="AH124" s="98"/>
      <c r="AI124" s="98" t="e">
        <v>#N/A</v>
      </c>
      <c r="AJ124" s="98" t="e">
        <v>#N/A</v>
      </c>
      <c r="AK124" s="98" t="e">
        <v>#N/A</v>
      </c>
      <c r="AL124" s="98" t="e">
        <v>#N/A</v>
      </c>
      <c r="AM124" s="98" t="e">
        <v>#N/A</v>
      </c>
      <c r="AN124" s="99" t="e">
        <v>#N/A</v>
      </c>
      <c r="AO124" s="99" t="e">
        <v>#N/A</v>
      </c>
      <c r="AP124" s="99" t="e">
        <f>Tabla156[[#This Row],[Renov. Flota]]-Tabla156[[#This Row],[Año]]</f>
        <v>#N/A</v>
      </c>
      <c r="AQ124" s="100" t="e">
        <v>#N/A</v>
      </c>
      <c r="AR124" s="100" t="e">
        <f>VLOOKUP(Tabla156[[#This Row],[Matricula nueva]],'ALTA 20242025'!$B$2:$P$242,15,FALSE)</f>
        <v>#N/A</v>
      </c>
      <c r="AS124" s="101" t="e">
        <v>#N/A</v>
      </c>
      <c r="AT124" s="101"/>
      <c r="AU124" s="101"/>
      <c r="AV124" s="101"/>
      <c r="AW124" s="101" t="e">
        <f>VLOOKUP(Tabla156[[#This Row],[Matricula nueva]],Hoja2!$A$1:$B$224,2,FALSE)</f>
        <v>#N/A</v>
      </c>
      <c r="AX124" s="101" t="str">
        <f>IF(Tabla156[[#This Row],[Columna2]]="M1",5.1,"")</f>
        <v/>
      </c>
      <c r="AY124" s="101"/>
      <c r="AZ124" s="101"/>
      <c r="BA124" s="311">
        <f>IF(Tabla156[[#This Row],[Columna2]]="M1",13073,IF(Tabla156[[#This Row],[Columna2]]="N1",15815,IF(Tabla156[[#This Row],[Columna2]]="L3e",2831,53508)))</f>
        <v>53508</v>
      </c>
      <c r="BB124" s="311" t="e">
        <f>(Tabla156[[#This Row],[CVA]]*Tabla156[[#This Row],[F]]-Tabla156[[#This Row],[CVN]])/100*Tabla156[[#This Row],[L]]</f>
        <v>#VALUE!</v>
      </c>
      <c r="BC124" s="1"/>
      <c r="BD124" s="1" t="e">
        <f>VLOOKUP(B124,Tabla467824[[ID CAE2]:[AE '[kWh']]],6,FALSE)</f>
        <v>#N/A</v>
      </c>
      <c r="BE12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125" spans="1:57" ht="51.75" x14ac:dyDescent="0.25">
      <c r="A125" s="53" t="s">
        <v>652</v>
      </c>
      <c r="B125" s="53" t="s">
        <v>652</v>
      </c>
      <c r="C125" s="332" t="s">
        <v>653</v>
      </c>
      <c r="D125" s="104" t="s">
        <v>72</v>
      </c>
      <c r="E125" s="104" t="s">
        <v>72</v>
      </c>
      <c r="F125" s="104" t="s">
        <v>72</v>
      </c>
      <c r="G125" s="104"/>
      <c r="H125" s="104" t="s">
        <v>72</v>
      </c>
      <c r="I125" s="104" t="s">
        <v>72</v>
      </c>
      <c r="J125" s="104"/>
      <c r="K125" s="96" t="s">
        <v>73</v>
      </c>
      <c r="L125" s="96" t="s">
        <v>74</v>
      </c>
      <c r="M125" s="96" t="s">
        <v>75</v>
      </c>
      <c r="N125" s="96" t="s">
        <v>76</v>
      </c>
      <c r="O125" s="99">
        <f>VLOOKUP(Tabla156[[#This Row],[Matricula Antigua]],BAJA2022202320242025!$B$3:$CR$245,93,FALSE)</f>
        <v>45323</v>
      </c>
      <c r="P125" s="316">
        <v>45504</v>
      </c>
      <c r="Q125" s="317">
        <f>Tabla156[[#This Row],[F.Vig.Final]]-Tabla156[[#This Row],[f Vig Inicio]]</f>
        <v>181</v>
      </c>
      <c r="R125" s="318">
        <f>YEAR(Tabla156[[#This Row],[F.Vig.Final]])</f>
        <v>2024</v>
      </c>
      <c r="S125" s="96" t="s">
        <v>77</v>
      </c>
      <c r="T125" s="96" t="s">
        <v>78</v>
      </c>
      <c r="U125" s="96" t="s">
        <v>85</v>
      </c>
      <c r="V125" s="96" t="s">
        <v>642</v>
      </c>
      <c r="W125" s="96" t="s">
        <v>102</v>
      </c>
      <c r="X125" s="332" t="s">
        <v>1667</v>
      </c>
      <c r="Y125" s="96" t="s">
        <v>654</v>
      </c>
      <c r="Z125" s="98">
        <f>COUNTIF($X$3:X125, X125)</f>
        <v>21</v>
      </c>
      <c r="AA125" s="337" t="s">
        <v>1668</v>
      </c>
      <c r="AB125" s="337" t="s">
        <v>1668</v>
      </c>
      <c r="AC125" s="337" t="s">
        <v>1669</v>
      </c>
      <c r="AD125" s="341" t="s">
        <v>1670</v>
      </c>
      <c r="AE125" s="342" t="s">
        <v>1671</v>
      </c>
      <c r="AF125" s="337" t="s">
        <v>1672</v>
      </c>
      <c r="AG125" s="344" t="s">
        <v>1673</v>
      </c>
      <c r="AH125" s="337" t="s">
        <v>1649</v>
      </c>
      <c r="AI125" s="337" t="s">
        <v>655</v>
      </c>
      <c r="AJ125" s="98" t="s">
        <v>380</v>
      </c>
      <c r="AK125" s="98" t="s">
        <v>381</v>
      </c>
      <c r="AL125" s="98" t="s">
        <v>87</v>
      </c>
      <c r="AM125" s="101" t="s">
        <v>649</v>
      </c>
      <c r="AN125" s="348" t="s">
        <v>89</v>
      </c>
      <c r="AO125" s="349">
        <v>45616</v>
      </c>
      <c r="AP125" s="98">
        <f>Tabla156[[#This Row],[Renov. Flota]]-Tabla156[[#This Row],[Año]]</f>
        <v>0</v>
      </c>
      <c r="AQ125" s="100" t="s">
        <v>102</v>
      </c>
      <c r="AR125" s="100" t="str">
        <f>VLOOKUP(Tabla156[[#This Row],[Matricula nueva]],'ALTA 20242025'!$B$2:$P$242,15,FALSE)</f>
        <v>4500423384</v>
      </c>
      <c r="AS125" s="101" t="s">
        <v>103</v>
      </c>
      <c r="AT125" s="101"/>
      <c r="AU125" s="101" t="s">
        <v>72</v>
      </c>
      <c r="AV125" s="101" t="s">
        <v>109</v>
      </c>
      <c r="AW125" s="101" t="s">
        <v>657</v>
      </c>
      <c r="AX125" s="209">
        <v>5.6</v>
      </c>
      <c r="AY125" s="208">
        <f>IF(T125="DIESEL",10,IF(T125="GLP",7.16,9.19))</f>
        <v>10</v>
      </c>
      <c r="AZ125" s="313">
        <v>20</v>
      </c>
      <c r="BA125" s="314">
        <f>IF(Tabla156[[#This Row],[Columna2]]="M1",13073,IF(Tabla156[[#This Row],[Columna2]]="N1",15815,IF(Tabla156[[#This Row],[Columna2]]="L3e",2831,53508)))</f>
        <v>15815</v>
      </c>
      <c r="BB125" s="350">
        <f>(Tabla156[[#This Row],[CVA]]*Tabla156[[#This Row],[F]]-Tabla156[[#This Row],[CVN]])/100*Tabla156[[#This Row],[L]]</f>
        <v>5693.4</v>
      </c>
      <c r="BC125" s="90" t="s">
        <v>128</v>
      </c>
      <c r="BD125" s="209">
        <f>VLOOKUP(B125,Tabla467824[[ID CAE2]:[AE '[kWh']]],6,FALSE)</f>
        <v>5607.9989999999989</v>
      </c>
      <c r="BE12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6" spans="1:57" ht="51.75" x14ac:dyDescent="0.25">
      <c r="A126" s="53" t="s">
        <v>658</v>
      </c>
      <c r="B126" s="53" t="s">
        <v>658</v>
      </c>
      <c r="C126" s="332" t="s">
        <v>659</v>
      </c>
      <c r="D126" s="104" t="s">
        <v>72</v>
      </c>
      <c r="E126" s="104"/>
      <c r="F126" s="104" t="s">
        <v>72</v>
      </c>
      <c r="G126" s="104"/>
      <c r="H126" s="104" t="s">
        <v>72</v>
      </c>
      <c r="I126" s="104" t="s">
        <v>72</v>
      </c>
      <c r="J126" s="104"/>
      <c r="K126" s="96" t="s">
        <v>73</v>
      </c>
      <c r="L126" s="96" t="s">
        <v>74</v>
      </c>
      <c r="M126" s="96" t="s">
        <v>75</v>
      </c>
      <c r="N126" s="96" t="s">
        <v>76</v>
      </c>
      <c r="O126" s="99">
        <f>VLOOKUP(Tabla156[[#This Row],[Matricula Antigua]],BAJA2022202320242025!$B$3:$CR$245,93,FALSE)</f>
        <v>45324</v>
      </c>
      <c r="P126" s="316">
        <v>45372</v>
      </c>
      <c r="Q126" s="317">
        <f>Tabla156[[#This Row],[F.Vig.Final]]-Tabla156[[#This Row],[f Vig Inicio]]</f>
        <v>48</v>
      </c>
      <c r="R126" s="318">
        <f>YEAR(Tabla156[[#This Row],[F.Vig.Final]])</f>
        <v>2024</v>
      </c>
      <c r="S126" s="96" t="s">
        <v>77</v>
      </c>
      <c r="T126" s="96" t="s">
        <v>78</v>
      </c>
      <c r="U126" s="96" t="s">
        <v>85</v>
      </c>
      <c r="V126" s="96" t="s">
        <v>642</v>
      </c>
      <c r="W126" s="96" t="s">
        <v>102</v>
      </c>
      <c r="X126" s="332" t="s">
        <v>1667</v>
      </c>
      <c r="Y126" s="96" t="s">
        <v>649</v>
      </c>
      <c r="Z126" s="98">
        <f>COUNTIF($X$3:X126, X126)</f>
        <v>22</v>
      </c>
      <c r="AA126" s="337" t="s">
        <v>1668</v>
      </c>
      <c r="AB126" s="337" t="s">
        <v>1668</v>
      </c>
      <c r="AC126" s="337" t="s">
        <v>1669</v>
      </c>
      <c r="AD126" s="341" t="s">
        <v>1670</v>
      </c>
      <c r="AE126" s="342" t="s">
        <v>1671</v>
      </c>
      <c r="AF126" s="337" t="s">
        <v>1672</v>
      </c>
      <c r="AG126" s="344" t="s">
        <v>1673</v>
      </c>
      <c r="AH126" s="337" t="s">
        <v>1649</v>
      </c>
      <c r="AI126" s="337" t="s">
        <v>660</v>
      </c>
      <c r="AJ126" s="98" t="s">
        <v>85</v>
      </c>
      <c r="AK126" s="98" t="s">
        <v>114</v>
      </c>
      <c r="AL126" s="98" t="s">
        <v>87</v>
      </c>
      <c r="AM126" s="101" t="s">
        <v>115</v>
      </c>
      <c r="AN126" s="348" t="s">
        <v>108</v>
      </c>
      <c r="AO126" s="349">
        <v>44945</v>
      </c>
      <c r="AP126" s="98">
        <f>Tabla156[[#This Row],[Renov. Flota]]-Tabla156[[#This Row],[Año]]</f>
        <v>-1</v>
      </c>
      <c r="AQ126" s="100" t="s">
        <v>102</v>
      </c>
      <c r="AR126" s="100">
        <v>4500351523</v>
      </c>
      <c r="AS126" s="101" t="s">
        <v>103</v>
      </c>
      <c r="AT126" s="101"/>
      <c r="AU126" s="101" t="s">
        <v>72</v>
      </c>
      <c r="AV126" s="101" t="s">
        <v>109</v>
      </c>
      <c r="AW126" s="101" t="s">
        <v>661</v>
      </c>
      <c r="AX126" s="209">
        <v>5.6</v>
      </c>
      <c r="AY126" s="208">
        <f>IF(T126="DIESEL",10,IF(T126="GLP",7.16,9.19))</f>
        <v>10</v>
      </c>
      <c r="AZ126" s="313">
        <v>17.3</v>
      </c>
      <c r="BA126" s="314">
        <f>IF(Tabla156[[#This Row],[Columna2]]="M1",13073,IF(Tabla156[[#This Row],[Columna2]]="N1",15815,IF(Tabla156[[#This Row],[Columna2]]="L3e",2831,53508)))</f>
        <v>15815</v>
      </c>
      <c r="BB126" s="350">
        <f>(Tabla156[[#This Row],[CVA]]*Tabla156[[#This Row],[F]]-Tabla156[[#This Row],[CVN]])/100*Tabla156[[#This Row],[L]]</f>
        <v>6120.4049999999997</v>
      </c>
      <c r="BC126" s="294" t="s">
        <v>128</v>
      </c>
      <c r="BD126" s="209">
        <f>VLOOKUP(B126,Tabla467824[[ID CAE2]:[AE '[kWh']]],6,FALSE)</f>
        <v>5607.9989999999989</v>
      </c>
      <c r="BE12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7" spans="1:57" ht="51.75" x14ac:dyDescent="0.25">
      <c r="A127" s="53" t="s">
        <v>662</v>
      </c>
      <c r="B127" s="53" t="s">
        <v>662</v>
      </c>
      <c r="C127" s="332" t="s">
        <v>663</v>
      </c>
      <c r="D127" s="104" t="s">
        <v>72</v>
      </c>
      <c r="E127" s="104"/>
      <c r="F127" s="104" t="s">
        <v>72</v>
      </c>
      <c r="G127" s="104"/>
      <c r="H127" s="104" t="s">
        <v>72</v>
      </c>
      <c r="I127" s="104" t="s">
        <v>72</v>
      </c>
      <c r="J127" s="104"/>
      <c r="K127" s="96" t="s">
        <v>73</v>
      </c>
      <c r="L127" s="96" t="s">
        <v>74</v>
      </c>
      <c r="M127" s="96" t="s">
        <v>75</v>
      </c>
      <c r="N127" s="96" t="s">
        <v>76</v>
      </c>
      <c r="O127" s="99">
        <f>VLOOKUP(Tabla156[[#This Row],[Matricula Antigua]],BAJA2022202320242025!$B$3:$CR$245,93,FALSE)</f>
        <v>45324</v>
      </c>
      <c r="P127" s="316">
        <v>45372</v>
      </c>
      <c r="Q127" s="317">
        <f>Tabla156[[#This Row],[F.Vig.Final]]-Tabla156[[#This Row],[f Vig Inicio]]</f>
        <v>48</v>
      </c>
      <c r="R127" s="318">
        <f>YEAR(Tabla156[[#This Row],[F.Vig.Final]])</f>
        <v>2024</v>
      </c>
      <c r="S127" s="96" t="s">
        <v>77</v>
      </c>
      <c r="T127" s="96" t="s">
        <v>78</v>
      </c>
      <c r="U127" s="96" t="s">
        <v>85</v>
      </c>
      <c r="V127" s="96" t="s">
        <v>642</v>
      </c>
      <c r="W127" s="96" t="s">
        <v>102</v>
      </c>
      <c r="X127" s="332" t="s">
        <v>1667</v>
      </c>
      <c r="Y127" s="96" t="s">
        <v>649</v>
      </c>
      <c r="Z127" s="98">
        <f>COUNTIF($X$3:X127, X127)</f>
        <v>23</v>
      </c>
      <c r="AA127" s="337" t="s">
        <v>1668</v>
      </c>
      <c r="AB127" s="337" t="s">
        <v>1668</v>
      </c>
      <c r="AC127" s="337" t="s">
        <v>1669</v>
      </c>
      <c r="AD127" s="341" t="s">
        <v>1670</v>
      </c>
      <c r="AE127" s="342" t="s">
        <v>1671</v>
      </c>
      <c r="AF127" s="337" t="s">
        <v>1672</v>
      </c>
      <c r="AG127" s="344" t="s">
        <v>1673</v>
      </c>
      <c r="AH127" s="337" t="s">
        <v>1649</v>
      </c>
      <c r="AI127" s="337" t="s">
        <v>664</v>
      </c>
      <c r="AJ127" s="98" t="s">
        <v>85</v>
      </c>
      <c r="AK127" s="98" t="s">
        <v>114</v>
      </c>
      <c r="AL127" s="98" t="s">
        <v>87</v>
      </c>
      <c r="AM127" s="101" t="s">
        <v>115</v>
      </c>
      <c r="AN127" s="348" t="s">
        <v>108</v>
      </c>
      <c r="AO127" s="349">
        <v>44945</v>
      </c>
      <c r="AP127" s="98">
        <f>Tabla156[[#This Row],[Renov. Flota]]-Tabla156[[#This Row],[Año]]</f>
        <v>-1</v>
      </c>
      <c r="AQ127" s="100" t="s">
        <v>102</v>
      </c>
      <c r="AR127" s="100">
        <v>4500351522</v>
      </c>
      <c r="AS127" s="101" t="s">
        <v>103</v>
      </c>
      <c r="AT127" s="101"/>
      <c r="AU127" s="101" t="s">
        <v>72</v>
      </c>
      <c r="AV127" s="101" t="s">
        <v>109</v>
      </c>
      <c r="AW127" s="101" t="s">
        <v>665</v>
      </c>
      <c r="AX127" s="209">
        <v>5.6</v>
      </c>
      <c r="AY127" s="208">
        <f>IF(T127="DIESEL",10,IF(T127="GLP",7.16,9.19))</f>
        <v>10</v>
      </c>
      <c r="AZ127" s="313">
        <v>17.3</v>
      </c>
      <c r="BA127" s="314">
        <f>IF(Tabla156[[#This Row],[Columna2]]="M1",13073,IF(Tabla156[[#This Row],[Columna2]]="N1",15815,IF(Tabla156[[#This Row],[Columna2]]="L3e",2831,53508)))</f>
        <v>15815</v>
      </c>
      <c r="BB127" s="350">
        <f>(Tabla156[[#This Row],[CVA]]*Tabla156[[#This Row],[F]]-Tabla156[[#This Row],[CVN]])/100*Tabla156[[#This Row],[L]]</f>
        <v>6120.4049999999997</v>
      </c>
      <c r="BC127" s="294" t="s">
        <v>128</v>
      </c>
      <c r="BD127" s="209">
        <f>VLOOKUP(B127,Tabla467824[[ID CAE2]:[AE '[kWh']]],6,FALSE)</f>
        <v>5607.9989999999989</v>
      </c>
      <c r="BE12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8" spans="1:57" ht="51.75" x14ac:dyDescent="0.25">
      <c r="A128" s="53" t="s">
        <v>666</v>
      </c>
      <c r="B128" s="53" t="s">
        <v>666</v>
      </c>
      <c r="C128" s="332" t="s">
        <v>667</v>
      </c>
      <c r="D128" s="104" t="s">
        <v>72</v>
      </c>
      <c r="E128" s="104" t="s">
        <v>72</v>
      </c>
      <c r="F128" s="104" t="s">
        <v>72</v>
      </c>
      <c r="G128" s="104"/>
      <c r="H128" s="104" t="s">
        <v>72</v>
      </c>
      <c r="I128" s="104" t="s">
        <v>72</v>
      </c>
      <c r="J128" s="104"/>
      <c r="K128" s="96" t="s">
        <v>73</v>
      </c>
      <c r="L128" s="96" t="s">
        <v>74</v>
      </c>
      <c r="M128" s="96" t="s">
        <v>75</v>
      </c>
      <c r="N128" s="96" t="s">
        <v>76</v>
      </c>
      <c r="O128" s="99">
        <f>VLOOKUP(Tabla156[[#This Row],[Matricula Antigua]],BAJA2022202320242025!$B$3:$CR$245,93,FALSE)</f>
        <v>45323</v>
      </c>
      <c r="P128" s="316">
        <v>45425</v>
      </c>
      <c r="Q128" s="317">
        <f>Tabla156[[#This Row],[F.Vig.Final]]-Tabla156[[#This Row],[f Vig Inicio]]</f>
        <v>102</v>
      </c>
      <c r="R128" s="318">
        <f>YEAR(Tabla156[[#This Row],[F.Vig.Final]])</f>
        <v>2024</v>
      </c>
      <c r="S128" s="96" t="s">
        <v>77</v>
      </c>
      <c r="T128" s="96" t="s">
        <v>78</v>
      </c>
      <c r="U128" s="96" t="s">
        <v>85</v>
      </c>
      <c r="V128" s="96" t="s">
        <v>642</v>
      </c>
      <c r="W128" s="96" t="s">
        <v>102</v>
      </c>
      <c r="X128" s="332" t="s">
        <v>1667</v>
      </c>
      <c r="Y128" s="96" t="s">
        <v>572</v>
      </c>
      <c r="Z128" s="98">
        <f>COUNTIF($X$3:X128, X128)</f>
        <v>24</v>
      </c>
      <c r="AA128" s="337" t="s">
        <v>1668</v>
      </c>
      <c r="AB128" s="337" t="s">
        <v>1668</v>
      </c>
      <c r="AC128" s="337" t="s">
        <v>1669</v>
      </c>
      <c r="AD128" s="341" t="s">
        <v>1670</v>
      </c>
      <c r="AE128" s="342" t="s">
        <v>1671</v>
      </c>
      <c r="AF128" s="337" t="s">
        <v>1672</v>
      </c>
      <c r="AG128" s="344" t="s">
        <v>1673</v>
      </c>
      <c r="AH128" s="337" t="s">
        <v>1649</v>
      </c>
      <c r="AI128" s="337" t="s">
        <v>668</v>
      </c>
      <c r="AJ128" s="98" t="s">
        <v>85</v>
      </c>
      <c r="AK128" s="98" t="s">
        <v>86</v>
      </c>
      <c r="AL128" s="98" t="s">
        <v>87</v>
      </c>
      <c r="AM128" s="101" t="s">
        <v>669</v>
      </c>
      <c r="AN128" s="348" t="s">
        <v>89</v>
      </c>
      <c r="AO128" s="349">
        <v>45652</v>
      </c>
      <c r="AP128" s="98">
        <f>Tabla156[[#This Row],[Renov. Flota]]-Tabla156[[#This Row],[Año]]</f>
        <v>0</v>
      </c>
      <c r="AQ128" s="100" t="s">
        <v>102</v>
      </c>
      <c r="AR128" s="100" t="str">
        <f>VLOOKUP(Tabla156[[#This Row],[Matricula nueva]],'ALTA 20242025'!$B$2:$P$242,15,FALSE)</f>
        <v>4500426777</v>
      </c>
      <c r="AS128" s="101" t="s">
        <v>103</v>
      </c>
      <c r="AT128" s="101"/>
      <c r="AU128" s="101" t="s">
        <v>72</v>
      </c>
      <c r="AV128" s="101" t="s">
        <v>109</v>
      </c>
      <c r="AW128" s="101" t="str">
        <f>VLOOKUP(Tabla156[[#This Row],[Matricula nueva]],Hoja2!$A$1:$B$224,2,FALSE)</f>
        <v>VF1RFK00073824878</v>
      </c>
      <c r="AX128" s="209">
        <v>5.6</v>
      </c>
      <c r="AY128" s="208">
        <f>IF(T128="DIESEL",10,IF(T128="GLP",7.16,9.19))</f>
        <v>10</v>
      </c>
      <c r="AZ128" s="313">
        <v>17.3</v>
      </c>
      <c r="BA128" s="314">
        <f>IF(Tabla156[[#This Row],[Columna2]]="M1",13073,IF(Tabla156[[#This Row],[Columna2]]="N1",15815,IF(Tabla156[[#This Row],[Columna2]]="L3e",2831,53508)))</f>
        <v>15815</v>
      </c>
      <c r="BB128" s="350">
        <f>(Tabla156[[#This Row],[CVA]]*Tabla156[[#This Row],[F]]-Tabla156[[#This Row],[CVN]])/100*Tabla156[[#This Row],[L]]</f>
        <v>6120.4049999999997</v>
      </c>
      <c r="BC128" s="294" t="s">
        <v>128</v>
      </c>
      <c r="BD128" s="209">
        <f>VLOOKUP(B128,Tabla467824[[ID CAE2]:[AE '[kWh']]],6,FALSE)</f>
        <v>5607.9989999999989</v>
      </c>
      <c r="BE12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29" spans="1:57" ht="52.5" thickBot="1" x14ac:dyDescent="0.3">
      <c r="A129" s="53" t="s">
        <v>672</v>
      </c>
      <c r="B129" s="53" t="s">
        <v>672</v>
      </c>
      <c r="C129" s="332" t="s">
        <v>673</v>
      </c>
      <c r="D129" s="104" t="s">
        <v>72</v>
      </c>
      <c r="E129" s="104"/>
      <c r="F129" s="104" t="s">
        <v>72</v>
      </c>
      <c r="G129" s="104"/>
      <c r="H129" s="104" t="s">
        <v>249</v>
      </c>
      <c r="I129" s="104" t="s">
        <v>249</v>
      </c>
      <c r="J129" s="104"/>
      <c r="K129" s="96" t="s">
        <v>73</v>
      </c>
      <c r="L129" s="96" t="s">
        <v>200</v>
      </c>
      <c r="M129" s="96" t="s">
        <v>201</v>
      </c>
      <c r="N129" s="96" t="s">
        <v>76</v>
      </c>
      <c r="O129" s="101">
        <f>VLOOKUP(Tabla156[[#This Row],[Matricula Antigua]],BAJA2022202320242025!$B$3:$CR$245,93,FALSE)</f>
        <v>43182</v>
      </c>
      <c r="P129" s="316">
        <v>45008</v>
      </c>
      <c r="Q129" s="317">
        <f>Tabla156[[#This Row],[F.Vig.Final]]-Tabla156[[#This Row],[f Vig Inicio]]</f>
        <v>1826</v>
      </c>
      <c r="R129" s="318">
        <f>YEAR(Tabla156[[#This Row],[F.Vig.Final]])</f>
        <v>2023</v>
      </c>
      <c r="S129" s="96" t="s">
        <v>77</v>
      </c>
      <c r="T129" s="96" t="s">
        <v>674</v>
      </c>
      <c r="U129" s="96" t="s">
        <v>359</v>
      </c>
      <c r="V129" s="96" t="s">
        <v>675</v>
      </c>
      <c r="W129" s="96" t="s">
        <v>204</v>
      </c>
      <c r="X129" s="332" t="s">
        <v>205</v>
      </c>
      <c r="Y129" s="96" t="s">
        <v>232</v>
      </c>
      <c r="Z129" s="98">
        <f>COUNTIF($X$3:X129, X129)</f>
        <v>7</v>
      </c>
      <c r="AA129" s="337" t="s">
        <v>1661</v>
      </c>
      <c r="AB129" s="337" t="s">
        <v>1661</v>
      </c>
      <c r="AC129" s="337" t="s">
        <v>1662</v>
      </c>
      <c r="AD129" s="337" t="s">
        <v>1679</v>
      </c>
      <c r="AE129" s="351" t="s">
        <v>1664</v>
      </c>
      <c r="AF129" s="337" t="s">
        <v>1680</v>
      </c>
      <c r="AG129" s="337" t="s">
        <v>1681</v>
      </c>
      <c r="AH129" s="337" t="s">
        <v>1649</v>
      </c>
      <c r="AI129" s="337" t="s">
        <v>676</v>
      </c>
      <c r="AJ129" s="98" t="s">
        <v>140</v>
      </c>
      <c r="AK129" s="98" t="s">
        <v>151</v>
      </c>
      <c r="AL129" s="98" t="s">
        <v>87</v>
      </c>
      <c r="AM129" s="101" t="s">
        <v>230</v>
      </c>
      <c r="AN129" s="348" t="s">
        <v>89</v>
      </c>
      <c r="AO129" s="349">
        <v>45637</v>
      </c>
      <c r="AP129" s="98">
        <f>Tabla156[[#This Row],[Renov. Flota]]-Tabla156[[#This Row],[Año]]</f>
        <v>1</v>
      </c>
      <c r="AQ129" s="100" t="s">
        <v>204</v>
      </c>
      <c r="AR129" s="100" t="str">
        <f>VLOOKUP(Tabla156[[#This Row],[Matricula nueva]],'ALTA 20242025'!$B$2:$P$242,15,FALSE)</f>
        <v>4500424867</v>
      </c>
      <c r="AS129" s="101" t="s">
        <v>205</v>
      </c>
      <c r="AT129" s="101"/>
      <c r="AU129" s="101" t="s">
        <v>72</v>
      </c>
      <c r="AV129" s="101" t="s">
        <v>91</v>
      </c>
      <c r="AW129" s="101" t="str">
        <f>VLOOKUP(Tabla156[[#This Row],[Matricula nueva]],Hoja2!$A$1:$B$224,2,FALSE)</f>
        <v>VR7CBZYA6RT153032</v>
      </c>
      <c r="AX129" s="209">
        <f>IF(Tabla156[[#This Row],[Columna2]]="M1",5.1,"")</f>
        <v>5.0999999999999996</v>
      </c>
      <c r="AY129" s="208">
        <f>IF(T129="DIESEL",10,IF(T129="GLP",7.16,9.19))</f>
        <v>7.16</v>
      </c>
      <c r="AZ129" s="313">
        <v>16.399999999999999</v>
      </c>
      <c r="BA129" s="314">
        <f>IF(Tabla156[[#This Row],[Columna2]]="M1",13073,IF(Tabla156[[#This Row],[Columna2]]="N1",15815,IF(Tabla156[[#This Row],[Columna2]]="L3e",2831,53508)))</f>
        <v>13073</v>
      </c>
      <c r="BB129" s="350">
        <f>(Tabla156[[#This Row],[CVA]]*Tabla156[[#This Row],[F]]-Tabla156[[#This Row],[CVN]])/100*Tabla156[[#This Row],[L]]</f>
        <v>2629.7646800000002</v>
      </c>
      <c r="BC129" s="91" t="s">
        <v>70</v>
      </c>
      <c r="BD129" s="209">
        <f>VLOOKUP(B129,Tabla467824[[ID CAE2]:[AE '[kWh']]],6,FALSE)</f>
        <v>3694.6912599999996</v>
      </c>
      <c r="BE12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0" spans="1:57" ht="15.75" hidden="1" thickBot="1" x14ac:dyDescent="0.3">
      <c r="A130" s="53" t="s">
        <v>1276</v>
      </c>
      <c r="B130" s="53" t="e">
        <v>#N/A</v>
      </c>
      <c r="C130" s="96" t="s">
        <v>1277</v>
      </c>
      <c r="D130" s="96"/>
      <c r="E130" s="96"/>
      <c r="F130" s="96"/>
      <c r="G130" s="96"/>
      <c r="H130" s="96"/>
      <c r="I130" s="96"/>
      <c r="J130" s="96"/>
      <c r="K130" s="96" t="s">
        <v>73</v>
      </c>
      <c r="L130" s="96" t="s">
        <v>200</v>
      </c>
      <c r="M130" s="96" t="s">
        <v>201</v>
      </c>
      <c r="N130" s="96" t="s">
        <v>76</v>
      </c>
      <c r="O130" s="101">
        <f>VLOOKUP(Tabla156[[#This Row],[Matricula Antigua]],BAJA2022202320242025!$B$3:$CR$245,93,FALSE)</f>
        <v>44133</v>
      </c>
      <c r="P130" s="99">
        <v>45594</v>
      </c>
      <c r="Q130" s="98">
        <f>Tabla156[[#This Row],[F.Vig.Final]]-Tabla156[[#This Row],[f Vig Inicio]]</f>
        <v>1461</v>
      </c>
      <c r="R130" s="99">
        <f>YEAR(Tabla156[[#This Row],[F.Vig.Final]])</f>
        <v>2024</v>
      </c>
      <c r="S130" s="96" t="s">
        <v>77</v>
      </c>
      <c r="T130" s="96" t="s">
        <v>78</v>
      </c>
      <c r="U130" s="96" t="s">
        <v>213</v>
      </c>
      <c r="V130" s="96" t="s">
        <v>237</v>
      </c>
      <c r="W130" s="96" t="s">
        <v>584</v>
      </c>
      <c r="X130" s="96" t="s">
        <v>585</v>
      </c>
      <c r="Y130" s="96" t="s">
        <v>1278</v>
      </c>
      <c r="Z130" s="98">
        <f>COUNTIF($X$3:X130, X130)</f>
        <v>6</v>
      </c>
      <c r="AA130" s="98"/>
      <c r="AB130" s="98"/>
      <c r="AC130" s="98"/>
      <c r="AD130" s="98"/>
      <c r="AE130" s="98"/>
      <c r="AF130" s="98"/>
      <c r="AG130" s="98"/>
      <c r="AH130" s="98"/>
      <c r="AI130" s="98" t="e">
        <v>#N/A</v>
      </c>
      <c r="AJ130" s="98" t="e">
        <v>#N/A</v>
      </c>
      <c r="AK130" s="98" t="e">
        <v>#N/A</v>
      </c>
      <c r="AL130" s="98" t="e">
        <v>#N/A</v>
      </c>
      <c r="AM130" s="98" t="e">
        <v>#N/A</v>
      </c>
      <c r="AN130" s="99" t="e">
        <v>#N/A</v>
      </c>
      <c r="AO130" s="99" t="e">
        <v>#N/A</v>
      </c>
      <c r="AP130" s="99" t="e">
        <f>Tabla156[[#This Row],[Renov. Flota]]-Tabla156[[#This Row],[Año]]</f>
        <v>#N/A</v>
      </c>
      <c r="AQ130" s="100" t="e">
        <v>#N/A</v>
      </c>
      <c r="AR130" s="100" t="e">
        <f>VLOOKUP(Tabla156[[#This Row],[Matricula nueva]],'ALTA 20242025'!$B$2:$P$242,15,FALSE)</f>
        <v>#N/A</v>
      </c>
      <c r="AS130" s="101" t="e">
        <v>#N/A</v>
      </c>
      <c r="AT130" s="101"/>
      <c r="AU130" s="101"/>
      <c r="AV130" s="101"/>
      <c r="AW130" s="101" t="e">
        <f>VLOOKUP(Tabla156[[#This Row],[Matricula nueva]],Hoja2!$A$1:$B$224,2,FALSE)</f>
        <v>#N/A</v>
      </c>
      <c r="AX130" s="101" t="str">
        <f>IF(Tabla156[[#This Row],[Columna2]]="M1",5.1,"")</f>
        <v/>
      </c>
      <c r="AY130" s="101"/>
      <c r="AZ130" s="101"/>
      <c r="BA130" s="311">
        <f>IF(Tabla156[[#This Row],[Columna2]]="M1",13073,IF(Tabla156[[#This Row],[Columna2]]="N1",15815,IF(Tabla156[[#This Row],[Columna2]]="L3e",2831,53508)))</f>
        <v>53508</v>
      </c>
      <c r="BB130" s="311" t="e">
        <f>(Tabla156[[#This Row],[CVA]]*Tabla156[[#This Row],[F]]-Tabla156[[#This Row],[CVN]])/100*Tabla156[[#This Row],[L]]</f>
        <v>#VALUE!</v>
      </c>
      <c r="BC130" s="1"/>
      <c r="BD130" s="1" t="e">
        <f>VLOOKUP(B130,Tabla467824[[ID CAE2]:[AE '[kWh']]],6,FALSE)</f>
        <v>#N/A</v>
      </c>
      <c r="BE13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31" spans="1:57" ht="51.75" x14ac:dyDescent="0.25">
      <c r="A131" s="53" t="s">
        <v>679</v>
      </c>
      <c r="B131" s="53" t="s">
        <v>679</v>
      </c>
      <c r="C131" s="332" t="s">
        <v>680</v>
      </c>
      <c r="D131" s="104" t="s">
        <v>72</v>
      </c>
      <c r="E131" s="104" t="s">
        <v>72</v>
      </c>
      <c r="F131" s="104" t="s">
        <v>72</v>
      </c>
      <c r="G131" s="104"/>
      <c r="H131" s="104" t="s">
        <v>72</v>
      </c>
      <c r="I131" s="104" t="s">
        <v>72</v>
      </c>
      <c r="J131" s="104"/>
      <c r="K131" s="96" t="s">
        <v>73</v>
      </c>
      <c r="L131" s="96" t="s">
        <v>200</v>
      </c>
      <c r="M131" s="96" t="s">
        <v>201</v>
      </c>
      <c r="N131" s="96" t="s">
        <v>76</v>
      </c>
      <c r="O131" s="101">
        <f>VLOOKUP(Tabla156[[#This Row],[Matricula Antigua]],BAJA2022202320242025!$B$3:$CR$245,93,FALSE)</f>
        <v>43560</v>
      </c>
      <c r="P131" s="316">
        <v>45021</v>
      </c>
      <c r="Q131" s="317">
        <f>Tabla156[[#This Row],[F.Vig.Final]]-Tabla156[[#This Row],[f Vig Inicio]]</f>
        <v>1461</v>
      </c>
      <c r="R131" s="318">
        <f>YEAR(Tabla156[[#This Row],[F.Vig.Final]])</f>
        <v>2023</v>
      </c>
      <c r="S131" s="96" t="s">
        <v>77</v>
      </c>
      <c r="T131" s="96" t="s">
        <v>674</v>
      </c>
      <c r="U131" s="96" t="s">
        <v>359</v>
      </c>
      <c r="V131" s="96" t="s">
        <v>675</v>
      </c>
      <c r="W131" s="96" t="s">
        <v>204</v>
      </c>
      <c r="X131" s="332" t="s">
        <v>205</v>
      </c>
      <c r="Y131" s="96" t="s">
        <v>682</v>
      </c>
      <c r="Z131" s="98">
        <f>COUNTIF($X$3:X131, X131)</f>
        <v>8</v>
      </c>
      <c r="AA131" s="337" t="s">
        <v>1661</v>
      </c>
      <c r="AB131" s="337" t="s">
        <v>1661</v>
      </c>
      <c r="AC131" s="337" t="s">
        <v>1662</v>
      </c>
      <c r="AD131" s="337" t="s">
        <v>1679</v>
      </c>
      <c r="AE131" s="351" t="s">
        <v>1664</v>
      </c>
      <c r="AF131" s="337" t="s">
        <v>1680</v>
      </c>
      <c r="AG131" s="337" t="s">
        <v>1681</v>
      </c>
      <c r="AH131" s="337" t="s">
        <v>1649</v>
      </c>
      <c r="AI131" s="337" t="s">
        <v>683</v>
      </c>
      <c r="AJ131" s="98" t="s">
        <v>140</v>
      </c>
      <c r="AK131" s="98" t="s">
        <v>151</v>
      </c>
      <c r="AL131" s="98" t="s">
        <v>87</v>
      </c>
      <c r="AM131" s="101" t="s">
        <v>232</v>
      </c>
      <c r="AN131" s="348" t="s">
        <v>89</v>
      </c>
      <c r="AO131" s="349">
        <v>45637</v>
      </c>
      <c r="AP131" s="98">
        <f>Tabla156[[#This Row],[Renov. Flota]]-Tabla156[[#This Row],[Año]]</f>
        <v>1</v>
      </c>
      <c r="AQ131" s="100" t="s">
        <v>204</v>
      </c>
      <c r="AR131" s="100" t="str">
        <f>VLOOKUP(Tabla156[[#This Row],[Matricula nueva]],'ALTA 20242025'!$B$2:$P$242,15,FALSE)</f>
        <v>4500424886</v>
      </c>
      <c r="AS131" s="101" t="s">
        <v>205</v>
      </c>
      <c r="AT131" s="101"/>
      <c r="AU131" s="101" t="s">
        <v>72</v>
      </c>
      <c r="AV131" s="101" t="s">
        <v>91</v>
      </c>
      <c r="AW131" s="101" t="str">
        <f>VLOOKUP(Tabla156[[#This Row],[Matricula nueva]],Hoja2!$A$1:$B$224,2,FALSE)</f>
        <v>VR7CBZYA2RT153027</v>
      </c>
      <c r="AX131" s="209">
        <f>IF(Tabla156[[#This Row],[Columna2]]="M1",5.1,"")</f>
        <v>5.0999999999999996</v>
      </c>
      <c r="AY131" s="208">
        <f t="shared" ref="AY131:AY140" si="5">IF(T131="DIESEL",10,IF(T131="GLP",7.16,9.19))</f>
        <v>7.16</v>
      </c>
      <c r="AZ131" s="313">
        <v>16.399999999999999</v>
      </c>
      <c r="BA131" s="314">
        <f>IF(Tabla156[[#This Row],[Columna2]]="M1",13073,IF(Tabla156[[#This Row],[Columna2]]="N1",15815,IF(Tabla156[[#This Row],[Columna2]]="L3e",2831,53508)))</f>
        <v>13073</v>
      </c>
      <c r="BB131" s="350">
        <f>(Tabla156[[#This Row],[CVA]]*Tabla156[[#This Row],[F]]-Tabla156[[#This Row],[CVN]])/100*Tabla156[[#This Row],[L]]</f>
        <v>2629.7646800000002</v>
      </c>
      <c r="BC131" s="90" t="s">
        <v>70</v>
      </c>
      <c r="BD131" s="209">
        <f>VLOOKUP(B131,Tabla467824[[ID CAE2]:[AE '[kWh']]],6,FALSE)</f>
        <v>3694.6912599999996</v>
      </c>
      <c r="BE13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2" spans="1:57" ht="51.75" x14ac:dyDescent="0.25">
      <c r="A132" s="53" t="s">
        <v>686</v>
      </c>
      <c r="B132" s="53" t="s">
        <v>686</v>
      </c>
      <c r="C132" s="332" t="s">
        <v>687</v>
      </c>
      <c r="D132" s="104" t="s">
        <v>72</v>
      </c>
      <c r="E132" s="104" t="s">
        <v>72</v>
      </c>
      <c r="F132" s="104"/>
      <c r="G132" s="104" t="s">
        <v>72</v>
      </c>
      <c r="H132" s="104" t="s">
        <v>72</v>
      </c>
      <c r="I132" s="104" t="s">
        <v>72</v>
      </c>
      <c r="J132" s="104"/>
      <c r="K132" s="96" t="s">
        <v>73</v>
      </c>
      <c r="L132" s="96" t="s">
        <v>200</v>
      </c>
      <c r="M132" s="96" t="s">
        <v>201</v>
      </c>
      <c r="N132" s="96" t="s">
        <v>160</v>
      </c>
      <c r="O132" s="101">
        <f>VLOOKUP(Tabla156[[#This Row],[Matricula Antigua]],BAJA2022202320242025!$B$3:$CR$245,93,FALSE)</f>
        <v>43685</v>
      </c>
      <c r="P132" s="316">
        <v>45512</v>
      </c>
      <c r="Q132" s="317">
        <f>Tabla156[[#This Row],[F.Vig.Final]]-Tabla156[[#This Row],[f Vig Inicio]]</f>
        <v>1827</v>
      </c>
      <c r="R132" s="318">
        <f>YEAR(Tabla156[[#This Row],[F.Vig.Final]])</f>
        <v>2024</v>
      </c>
      <c r="S132" s="96" t="s">
        <v>161</v>
      </c>
      <c r="T132" s="96" t="s">
        <v>78</v>
      </c>
      <c r="U132" s="96" t="s">
        <v>359</v>
      </c>
      <c r="V132" s="96" t="s">
        <v>688</v>
      </c>
      <c r="W132" s="96" t="s">
        <v>689</v>
      </c>
      <c r="X132" s="332" t="s">
        <v>690</v>
      </c>
      <c r="Y132" s="96" t="s">
        <v>691</v>
      </c>
      <c r="Z132" s="98">
        <f>COUNTIF($X$3:X132, X132)</f>
        <v>1</v>
      </c>
      <c r="AA132" s="337" t="s">
        <v>1696</v>
      </c>
      <c r="AB132" s="337" t="s">
        <v>1697</v>
      </c>
      <c r="AC132" s="337" t="s">
        <v>1669</v>
      </c>
      <c r="AD132" s="341" t="s">
        <v>1698</v>
      </c>
      <c r="AE132" s="347" t="s">
        <v>1671</v>
      </c>
      <c r="AF132" s="340" t="s">
        <v>1699</v>
      </c>
      <c r="AG132" s="340" t="s">
        <v>1700</v>
      </c>
      <c r="AH132" s="337" t="s">
        <v>1649</v>
      </c>
      <c r="AI132" s="337" t="s">
        <v>692</v>
      </c>
      <c r="AJ132" s="98" t="s">
        <v>85</v>
      </c>
      <c r="AK132" s="98" t="s">
        <v>340</v>
      </c>
      <c r="AL132" s="98" t="s">
        <v>87</v>
      </c>
      <c r="AM132" s="101" t="s">
        <v>691</v>
      </c>
      <c r="AN132" s="348" t="s">
        <v>108</v>
      </c>
      <c r="AO132" s="349">
        <v>44958</v>
      </c>
      <c r="AP132" s="98">
        <f>Tabla156[[#This Row],[Renov. Flota]]-Tabla156[[#This Row],[Año]]</f>
        <v>-1</v>
      </c>
      <c r="AQ132" s="100" t="s">
        <v>689</v>
      </c>
      <c r="AR132" s="100">
        <v>4500349877</v>
      </c>
      <c r="AS132" s="101" t="s">
        <v>690</v>
      </c>
      <c r="AT132" s="101"/>
      <c r="AU132" s="101"/>
      <c r="AV132" s="101" t="s">
        <v>109</v>
      </c>
      <c r="AW132" s="101" t="s">
        <v>693</v>
      </c>
      <c r="AX132" s="209">
        <f>IF(Tabla156[[#This Row],[Columna2]]="M1",5.1,"")</f>
        <v>5.0999999999999996</v>
      </c>
      <c r="AY132" s="208">
        <f t="shared" si="5"/>
        <v>10</v>
      </c>
      <c r="AZ132" s="313">
        <v>13.3</v>
      </c>
      <c r="BA132" s="314">
        <f>IF(Tabla156[[#This Row],[Columna2]]="M1",13073,IF(Tabla156[[#This Row],[Columna2]]="N1",15815,IF(Tabla156[[#This Row],[Columna2]]="L3e",2831,53508)))</f>
        <v>13073</v>
      </c>
      <c r="BB132" s="350">
        <f>(Tabla156[[#This Row],[CVA]]*Tabla156[[#This Row],[F]]-Tabla156[[#This Row],[CVN]])/100*Tabla156[[#This Row],[L]]</f>
        <v>4928.5209999999997</v>
      </c>
      <c r="BC132" s="294" t="s">
        <v>70</v>
      </c>
      <c r="BD132" s="209">
        <f>VLOOKUP(B132,Tabla467824[[ID CAE2]:[AE '[kWh']]],6,FALSE)</f>
        <v>6795.3454000000002</v>
      </c>
      <c r="BE13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33" spans="1:57" ht="51.75" x14ac:dyDescent="0.25">
      <c r="A133" s="53" t="s">
        <v>694</v>
      </c>
      <c r="B133" s="53" t="s">
        <v>694</v>
      </c>
      <c r="C133" s="332" t="s">
        <v>695</v>
      </c>
      <c r="D133" s="104" t="s">
        <v>72</v>
      </c>
      <c r="E133" s="104" t="s">
        <v>72</v>
      </c>
      <c r="F133" s="104" t="s">
        <v>72</v>
      </c>
      <c r="G133" s="104"/>
      <c r="H133" s="104" t="s">
        <v>72</v>
      </c>
      <c r="I133" s="104" t="s">
        <v>72</v>
      </c>
      <c r="J133" s="104"/>
      <c r="K133" s="96" t="s">
        <v>73</v>
      </c>
      <c r="L133" s="96" t="s">
        <v>74</v>
      </c>
      <c r="M133" s="96" t="s">
        <v>75</v>
      </c>
      <c r="N133" s="96" t="s">
        <v>76</v>
      </c>
      <c r="O133" s="99">
        <f>VLOOKUP(Tabla156[[#This Row],[Matricula Antigua]],BAJA2022202320242025!$B$3:$CR$245,93,FALSE)</f>
        <v>45447</v>
      </c>
      <c r="P133" s="316">
        <v>45516</v>
      </c>
      <c r="Q133" s="317">
        <f>Tabla156[[#This Row],[F.Vig.Final]]-Tabla156[[#This Row],[f Vig Inicio]]</f>
        <v>69</v>
      </c>
      <c r="R133" s="318">
        <f>YEAR(Tabla156[[#This Row],[F.Vig.Final]])</f>
        <v>2024</v>
      </c>
      <c r="S133" s="96" t="s">
        <v>77</v>
      </c>
      <c r="T133" s="96" t="s">
        <v>78</v>
      </c>
      <c r="U133" s="96" t="s">
        <v>85</v>
      </c>
      <c r="V133" s="96" t="s">
        <v>642</v>
      </c>
      <c r="W133" s="96" t="s">
        <v>102</v>
      </c>
      <c r="X133" s="332" t="s">
        <v>1667</v>
      </c>
      <c r="Y133" s="96" t="s">
        <v>696</v>
      </c>
      <c r="Z133" s="98">
        <f>COUNTIF($X$3:X133, X133)</f>
        <v>25</v>
      </c>
      <c r="AA133" s="337" t="s">
        <v>1668</v>
      </c>
      <c r="AB133" s="337" t="s">
        <v>1668</v>
      </c>
      <c r="AC133" s="337" t="s">
        <v>1669</v>
      </c>
      <c r="AD133" s="341" t="s">
        <v>1670</v>
      </c>
      <c r="AE133" s="342" t="s">
        <v>1671</v>
      </c>
      <c r="AF133" s="337" t="s">
        <v>1672</v>
      </c>
      <c r="AG133" s="344" t="s">
        <v>1673</v>
      </c>
      <c r="AH133" s="337" t="s">
        <v>1649</v>
      </c>
      <c r="AI133" s="337" t="s">
        <v>697</v>
      </c>
      <c r="AJ133" s="98" t="s">
        <v>85</v>
      </c>
      <c r="AK133" s="98" t="s">
        <v>86</v>
      </c>
      <c r="AL133" s="98" t="s">
        <v>87</v>
      </c>
      <c r="AM133" s="101" t="s">
        <v>698</v>
      </c>
      <c r="AN133" s="348" t="s">
        <v>89</v>
      </c>
      <c r="AO133" s="349">
        <v>45625</v>
      </c>
      <c r="AP133" s="98">
        <f>Tabla156[[#This Row],[Renov. Flota]]-Tabla156[[#This Row],[Año]]</f>
        <v>0</v>
      </c>
      <c r="AQ133" s="100" t="s">
        <v>102</v>
      </c>
      <c r="AR133" s="100" t="str">
        <f>VLOOKUP(Tabla156[[#This Row],[Matricula nueva]],'ALTA 20242025'!$B$2:$P$242,15,FALSE)</f>
        <v>4500426784</v>
      </c>
      <c r="AS133" s="101" t="s">
        <v>103</v>
      </c>
      <c r="AT133" s="101"/>
      <c r="AU133" s="101" t="s">
        <v>72</v>
      </c>
      <c r="AV133" s="101" t="s">
        <v>109</v>
      </c>
      <c r="AW133" s="101" t="str">
        <f>VLOOKUP(Tabla156[[#This Row],[Matricula nueva]],Hoja2!$A$1:$B$224,2,FALSE)</f>
        <v>VF1RFK00973824801</v>
      </c>
      <c r="AX133" s="209">
        <v>5.6</v>
      </c>
      <c r="AY133" s="208">
        <f t="shared" si="5"/>
        <v>10</v>
      </c>
      <c r="AZ133" s="313">
        <v>17.3</v>
      </c>
      <c r="BA133" s="314">
        <f>IF(Tabla156[[#This Row],[Columna2]]="M1",13073,IF(Tabla156[[#This Row],[Columna2]]="N1",15815,IF(Tabla156[[#This Row],[Columna2]]="L3e",2831,53508)))</f>
        <v>15815</v>
      </c>
      <c r="BB133" s="350">
        <f>(Tabla156[[#This Row],[CVA]]*Tabla156[[#This Row],[F]]-Tabla156[[#This Row],[CVN]])/100*Tabla156[[#This Row],[L]]</f>
        <v>6120.4049999999997</v>
      </c>
      <c r="BC133" s="294" t="s">
        <v>128</v>
      </c>
      <c r="BD133" s="209">
        <f>VLOOKUP(B133,Tabla467824[[ID CAE2]:[AE '[kWh']]],6,FALSE)</f>
        <v>5607.9989999999989</v>
      </c>
      <c r="BE13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4" spans="1:57" ht="51.75" x14ac:dyDescent="0.25">
      <c r="A134" s="53" t="s">
        <v>701</v>
      </c>
      <c r="B134" s="53" t="s">
        <v>701</v>
      </c>
      <c r="C134" s="332" t="s">
        <v>702</v>
      </c>
      <c r="D134" s="104" t="s">
        <v>72</v>
      </c>
      <c r="E134" s="104" t="s">
        <v>72</v>
      </c>
      <c r="F134" s="104" t="s">
        <v>72</v>
      </c>
      <c r="G134" s="104"/>
      <c r="H134" s="104" t="s">
        <v>72</v>
      </c>
      <c r="I134" s="104" t="s">
        <v>72</v>
      </c>
      <c r="J134" s="104"/>
      <c r="K134" s="96" t="s">
        <v>73</v>
      </c>
      <c r="L134" s="96" t="s">
        <v>74</v>
      </c>
      <c r="M134" s="96" t="s">
        <v>75</v>
      </c>
      <c r="N134" s="96" t="s">
        <v>76</v>
      </c>
      <c r="O134" s="99">
        <f>VLOOKUP(Tabla156[[#This Row],[Matricula Antigua]],BAJA2022202320242025!$B$3:$CR$245,93,FALSE)</f>
        <v>45447</v>
      </c>
      <c r="P134" s="316">
        <v>45516</v>
      </c>
      <c r="Q134" s="317">
        <f>Tabla156[[#This Row],[F.Vig.Final]]-Tabla156[[#This Row],[f Vig Inicio]]</f>
        <v>69</v>
      </c>
      <c r="R134" s="318">
        <f>YEAR(Tabla156[[#This Row],[F.Vig.Final]])</f>
        <v>2024</v>
      </c>
      <c r="S134" s="96" t="s">
        <v>77</v>
      </c>
      <c r="T134" s="96" t="s">
        <v>78</v>
      </c>
      <c r="U134" s="96" t="s">
        <v>85</v>
      </c>
      <c r="V134" s="96" t="s">
        <v>642</v>
      </c>
      <c r="W134" s="96" t="s">
        <v>102</v>
      </c>
      <c r="X134" s="332" t="s">
        <v>1667</v>
      </c>
      <c r="Y134" s="96" t="s">
        <v>696</v>
      </c>
      <c r="Z134" s="98">
        <f>COUNTIF($X$3:X134, X134)</f>
        <v>26</v>
      </c>
      <c r="AA134" s="337" t="s">
        <v>1668</v>
      </c>
      <c r="AB134" s="337" t="s">
        <v>1668</v>
      </c>
      <c r="AC134" s="337" t="s">
        <v>1669</v>
      </c>
      <c r="AD134" s="341" t="s">
        <v>1670</v>
      </c>
      <c r="AE134" s="342" t="s">
        <v>1671</v>
      </c>
      <c r="AF134" s="337" t="s">
        <v>1672</v>
      </c>
      <c r="AG134" s="344" t="s">
        <v>1673</v>
      </c>
      <c r="AH134" s="337" t="s">
        <v>1649</v>
      </c>
      <c r="AI134" s="337" t="s">
        <v>703</v>
      </c>
      <c r="AJ134" s="98" t="s">
        <v>85</v>
      </c>
      <c r="AK134" s="98" t="s">
        <v>86</v>
      </c>
      <c r="AL134" s="98" t="s">
        <v>87</v>
      </c>
      <c r="AM134" s="101" t="s">
        <v>579</v>
      </c>
      <c r="AN134" s="348" t="s">
        <v>89</v>
      </c>
      <c r="AO134" s="349">
        <v>45625</v>
      </c>
      <c r="AP134" s="98">
        <f>Tabla156[[#This Row],[Renov. Flota]]-Tabla156[[#This Row],[Año]]</f>
        <v>0</v>
      </c>
      <c r="AQ134" s="100" t="s">
        <v>102</v>
      </c>
      <c r="AR134" s="100" t="str">
        <f>VLOOKUP(Tabla156[[#This Row],[Matricula nueva]],'ALTA 20242025'!$B$2:$P$242,15,FALSE)</f>
        <v>4500426757</v>
      </c>
      <c r="AS134" s="101" t="s">
        <v>103</v>
      </c>
      <c r="AT134" s="101"/>
      <c r="AU134" s="101" t="s">
        <v>72</v>
      </c>
      <c r="AV134" s="101" t="s">
        <v>109</v>
      </c>
      <c r="AW134" s="101" t="str">
        <f>VLOOKUP(Tabla156[[#This Row],[Matricula nueva]],Hoja2!$A$1:$B$224,2,FALSE)</f>
        <v>VF1RFK00073824783</v>
      </c>
      <c r="AX134" s="209">
        <v>5.6</v>
      </c>
      <c r="AY134" s="208">
        <f t="shared" si="5"/>
        <v>10</v>
      </c>
      <c r="AZ134" s="313">
        <v>17.3</v>
      </c>
      <c r="BA134" s="314">
        <f>IF(Tabla156[[#This Row],[Columna2]]="M1",13073,IF(Tabla156[[#This Row],[Columna2]]="N1",15815,IF(Tabla156[[#This Row],[Columna2]]="L3e",2831,53508)))</f>
        <v>15815</v>
      </c>
      <c r="BB134" s="350">
        <f>(Tabla156[[#This Row],[CVA]]*Tabla156[[#This Row],[F]]-Tabla156[[#This Row],[CVN]])/100*Tabla156[[#This Row],[L]]</f>
        <v>6120.4049999999997</v>
      </c>
      <c r="BC134" s="294" t="s">
        <v>128</v>
      </c>
      <c r="BD134" s="209">
        <f>VLOOKUP(B134,Tabla467824[[ID CAE2]:[AE '[kWh']]],6,FALSE)</f>
        <v>5607.9989999999989</v>
      </c>
      <c r="BE13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5" spans="1:57" ht="51.75" x14ac:dyDescent="0.25">
      <c r="A135" s="53" t="s">
        <v>706</v>
      </c>
      <c r="B135" s="53" t="s">
        <v>706</v>
      </c>
      <c r="C135" s="332" t="s">
        <v>707</v>
      </c>
      <c r="D135" s="104" t="s">
        <v>72</v>
      </c>
      <c r="E135" s="104" t="s">
        <v>72</v>
      </c>
      <c r="F135" s="104" t="s">
        <v>72</v>
      </c>
      <c r="G135" s="104"/>
      <c r="H135" s="104" t="s">
        <v>72</v>
      </c>
      <c r="I135" s="104" t="s">
        <v>72</v>
      </c>
      <c r="J135" s="104"/>
      <c r="K135" s="96" t="s">
        <v>73</v>
      </c>
      <c r="L135" s="96" t="s">
        <v>74</v>
      </c>
      <c r="M135" s="96" t="s">
        <v>75</v>
      </c>
      <c r="N135" s="96" t="s">
        <v>76</v>
      </c>
      <c r="O135" s="99">
        <f>VLOOKUP(Tabla156[[#This Row],[Matricula Antigua]],BAJA2022202320242025!$B$3:$CR$245,93,FALSE)</f>
        <v>45447</v>
      </c>
      <c r="P135" s="316">
        <v>45516</v>
      </c>
      <c r="Q135" s="317">
        <f>Tabla156[[#This Row],[F.Vig.Final]]-Tabla156[[#This Row],[f Vig Inicio]]</f>
        <v>69</v>
      </c>
      <c r="R135" s="318">
        <f>YEAR(Tabla156[[#This Row],[F.Vig.Final]])</f>
        <v>2024</v>
      </c>
      <c r="S135" s="96" t="s">
        <v>77</v>
      </c>
      <c r="T135" s="96" t="s">
        <v>78</v>
      </c>
      <c r="U135" s="96" t="s">
        <v>85</v>
      </c>
      <c r="V135" s="96" t="s">
        <v>642</v>
      </c>
      <c r="W135" s="96" t="s">
        <v>102</v>
      </c>
      <c r="X135" s="332" t="s">
        <v>1667</v>
      </c>
      <c r="Y135" s="96" t="s">
        <v>696</v>
      </c>
      <c r="Z135" s="98">
        <f>COUNTIF($X$3:X135, X135)</f>
        <v>27</v>
      </c>
      <c r="AA135" s="337" t="s">
        <v>1668</v>
      </c>
      <c r="AB135" s="337" t="s">
        <v>1668</v>
      </c>
      <c r="AC135" s="337" t="s">
        <v>1669</v>
      </c>
      <c r="AD135" s="341" t="s">
        <v>1670</v>
      </c>
      <c r="AE135" s="342" t="s">
        <v>1671</v>
      </c>
      <c r="AF135" s="337" t="s">
        <v>1672</v>
      </c>
      <c r="AG135" s="344" t="s">
        <v>1673</v>
      </c>
      <c r="AH135" s="337" t="s">
        <v>1649</v>
      </c>
      <c r="AI135" s="337" t="s">
        <v>708</v>
      </c>
      <c r="AJ135" s="98" t="s">
        <v>85</v>
      </c>
      <c r="AK135" s="98" t="s">
        <v>86</v>
      </c>
      <c r="AL135" s="98" t="s">
        <v>87</v>
      </c>
      <c r="AM135" s="101" t="s">
        <v>579</v>
      </c>
      <c r="AN135" s="348" t="s">
        <v>89</v>
      </c>
      <c r="AO135" s="349">
        <v>45625</v>
      </c>
      <c r="AP135" s="98">
        <f>Tabla156[[#This Row],[Renov. Flota]]-Tabla156[[#This Row],[Año]]</f>
        <v>0</v>
      </c>
      <c r="AQ135" s="100" t="s">
        <v>102</v>
      </c>
      <c r="AR135" s="100" t="str">
        <f>VLOOKUP(Tabla156[[#This Row],[Matricula nueva]],'ALTA 20242025'!$B$2:$P$242,15,FALSE)</f>
        <v>4500426788</v>
      </c>
      <c r="AS135" s="101" t="s">
        <v>103</v>
      </c>
      <c r="AT135" s="101"/>
      <c r="AU135" s="101" t="s">
        <v>72</v>
      </c>
      <c r="AV135" s="101" t="s">
        <v>109</v>
      </c>
      <c r="AW135" s="101" t="str">
        <f>VLOOKUP(Tabla156[[#This Row],[Matricula nueva]],Hoja2!$A$1:$B$224,2,FALSE)</f>
        <v>VF1RFK00673824805</v>
      </c>
      <c r="AX135" s="209">
        <v>5.6</v>
      </c>
      <c r="AY135" s="208">
        <f t="shared" si="5"/>
        <v>10</v>
      </c>
      <c r="AZ135" s="313">
        <v>17.3</v>
      </c>
      <c r="BA135" s="314">
        <f>IF(Tabla156[[#This Row],[Columna2]]="M1",13073,IF(Tabla156[[#This Row],[Columna2]]="N1",15815,IF(Tabla156[[#This Row],[Columna2]]="L3e",2831,53508)))</f>
        <v>15815</v>
      </c>
      <c r="BB135" s="350">
        <f>(Tabla156[[#This Row],[CVA]]*Tabla156[[#This Row],[F]]-Tabla156[[#This Row],[CVN]])/100*Tabla156[[#This Row],[L]]</f>
        <v>6120.4049999999997</v>
      </c>
      <c r="BC135" s="294" t="s">
        <v>128</v>
      </c>
      <c r="BD135" s="209">
        <f>VLOOKUP(B135,Tabla467824[[ID CAE2]:[AE '[kWh']]],6,FALSE)</f>
        <v>5607.9989999999989</v>
      </c>
      <c r="BE13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6" spans="1:57" ht="51.75" x14ac:dyDescent="0.25">
      <c r="A136" s="53" t="s">
        <v>711</v>
      </c>
      <c r="B136" s="53" t="s">
        <v>711</v>
      </c>
      <c r="C136" s="332" t="s">
        <v>712</v>
      </c>
      <c r="D136" s="104" t="s">
        <v>72</v>
      </c>
      <c r="E136" s="104" t="s">
        <v>72</v>
      </c>
      <c r="F136" s="104" t="s">
        <v>72</v>
      </c>
      <c r="G136" s="104"/>
      <c r="H136" s="104" t="s">
        <v>72</v>
      </c>
      <c r="I136" s="104" t="s">
        <v>72</v>
      </c>
      <c r="J136" s="104"/>
      <c r="K136" s="96" t="s">
        <v>73</v>
      </c>
      <c r="L136" s="96" t="s">
        <v>74</v>
      </c>
      <c r="M136" s="96" t="s">
        <v>75</v>
      </c>
      <c r="N136" s="96" t="s">
        <v>76</v>
      </c>
      <c r="O136" s="99">
        <f>VLOOKUP(Tabla156[[#This Row],[Matricula Antigua]],BAJA2022202320242025!$B$3:$CR$245,93,FALSE)</f>
        <v>45447</v>
      </c>
      <c r="P136" s="316">
        <v>45656</v>
      </c>
      <c r="Q136" s="317">
        <f>Tabla156[[#This Row],[F.Vig.Final]]-Tabla156[[#This Row],[f Vig Inicio]]</f>
        <v>209</v>
      </c>
      <c r="R136" s="318">
        <f>YEAR(Tabla156[[#This Row],[F.Vig.Final]])</f>
        <v>2024</v>
      </c>
      <c r="S136" s="96" t="s">
        <v>77</v>
      </c>
      <c r="T136" s="96" t="s">
        <v>78</v>
      </c>
      <c r="U136" s="96" t="s">
        <v>85</v>
      </c>
      <c r="V136" s="96" t="s">
        <v>642</v>
      </c>
      <c r="W136" s="96" t="s">
        <v>102</v>
      </c>
      <c r="X136" s="332" t="s">
        <v>1667</v>
      </c>
      <c r="Y136" s="96" t="s">
        <v>696</v>
      </c>
      <c r="Z136" s="98">
        <f>COUNTIF($X$3:X136, X136)</f>
        <v>28</v>
      </c>
      <c r="AA136" s="337" t="s">
        <v>1668</v>
      </c>
      <c r="AB136" s="337" t="s">
        <v>1668</v>
      </c>
      <c r="AC136" s="337" t="s">
        <v>1669</v>
      </c>
      <c r="AD136" s="341" t="s">
        <v>1670</v>
      </c>
      <c r="AE136" s="342" t="s">
        <v>1671</v>
      </c>
      <c r="AF136" s="337" t="s">
        <v>1672</v>
      </c>
      <c r="AG136" s="344" t="s">
        <v>1673</v>
      </c>
      <c r="AH136" s="337" t="s">
        <v>1649</v>
      </c>
      <c r="AI136" s="337" t="s">
        <v>713</v>
      </c>
      <c r="AJ136" s="98" t="s">
        <v>85</v>
      </c>
      <c r="AK136" s="98" t="s">
        <v>86</v>
      </c>
      <c r="AL136" s="98" t="s">
        <v>87</v>
      </c>
      <c r="AM136" s="101" t="s">
        <v>714</v>
      </c>
      <c r="AN136" s="348" t="s">
        <v>89</v>
      </c>
      <c r="AO136" s="349">
        <v>45625</v>
      </c>
      <c r="AP136" s="98">
        <f>Tabla156[[#This Row],[Renov. Flota]]-Tabla156[[#This Row],[Año]]</f>
        <v>0</v>
      </c>
      <c r="AQ136" s="100" t="s">
        <v>102</v>
      </c>
      <c r="AR136" s="100" t="str">
        <f>VLOOKUP(Tabla156[[#This Row],[Matricula nueva]],'ALTA 20242025'!$B$2:$P$242,15,FALSE)</f>
        <v>4500426773</v>
      </c>
      <c r="AS136" s="101" t="s">
        <v>103</v>
      </c>
      <c r="AT136" s="101"/>
      <c r="AU136" s="101" t="s">
        <v>72</v>
      </c>
      <c r="AV136" s="101" t="s">
        <v>109</v>
      </c>
      <c r="AW136" s="101" t="str">
        <f>VLOOKUP(Tabla156[[#This Row],[Matricula nueva]],Hoja2!$A$1:$B$224,2,FALSE)</f>
        <v>VF1RFK00573824794</v>
      </c>
      <c r="AX136" s="209">
        <v>5.6</v>
      </c>
      <c r="AY136" s="208">
        <f t="shared" si="5"/>
        <v>10</v>
      </c>
      <c r="AZ136" s="313">
        <v>17.3</v>
      </c>
      <c r="BA136" s="314">
        <f>IF(Tabla156[[#This Row],[Columna2]]="M1",13073,IF(Tabla156[[#This Row],[Columna2]]="N1",15815,IF(Tabla156[[#This Row],[Columna2]]="L3e",2831,53508)))</f>
        <v>15815</v>
      </c>
      <c r="BB136" s="350">
        <f>(Tabla156[[#This Row],[CVA]]*Tabla156[[#This Row],[F]]-Tabla156[[#This Row],[CVN]])/100*Tabla156[[#This Row],[L]]</f>
        <v>6120.4049999999997</v>
      </c>
      <c r="BC136" s="294" t="s">
        <v>128</v>
      </c>
      <c r="BD136" s="209">
        <f>VLOOKUP(B136,Tabla467824[[ID CAE2]:[AE '[kWh']]],6,FALSE)</f>
        <v>5607.9989999999989</v>
      </c>
      <c r="BE13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7" spans="1:57" ht="51.75" x14ac:dyDescent="0.25">
      <c r="A137" s="53" t="s">
        <v>717</v>
      </c>
      <c r="B137" s="53" t="s">
        <v>717</v>
      </c>
      <c r="C137" s="332" t="s">
        <v>718</v>
      </c>
      <c r="D137" s="104" t="s">
        <v>72</v>
      </c>
      <c r="E137" s="104"/>
      <c r="F137" s="104" t="s">
        <v>72</v>
      </c>
      <c r="G137" s="104"/>
      <c r="H137" s="104" t="s">
        <v>72</v>
      </c>
      <c r="I137" s="104" t="s">
        <v>72</v>
      </c>
      <c r="J137" s="104"/>
      <c r="K137" s="96" t="s">
        <v>73</v>
      </c>
      <c r="L137" s="96" t="s">
        <v>74</v>
      </c>
      <c r="M137" s="96" t="s">
        <v>75</v>
      </c>
      <c r="N137" s="96" t="s">
        <v>76</v>
      </c>
      <c r="O137" s="99">
        <f>VLOOKUP(Tabla156[[#This Row],[Matricula Antigua]],BAJA2022202320242025!$B$3:$CR$245,93,FALSE)</f>
        <v>45505</v>
      </c>
      <c r="P137" s="316">
        <v>45657</v>
      </c>
      <c r="Q137" s="317">
        <f>Tabla156[[#This Row],[F.Vig.Final]]-Tabla156[[#This Row],[f Vig Inicio]]</f>
        <v>152</v>
      </c>
      <c r="R137" s="318">
        <f>YEAR(Tabla156[[#This Row],[F.Vig.Final]])</f>
        <v>2024</v>
      </c>
      <c r="S137" s="96" t="s">
        <v>77</v>
      </c>
      <c r="T137" s="96" t="s">
        <v>78</v>
      </c>
      <c r="U137" s="96" t="s">
        <v>85</v>
      </c>
      <c r="V137" s="96" t="s">
        <v>642</v>
      </c>
      <c r="W137" s="96" t="s">
        <v>102</v>
      </c>
      <c r="X137" s="332" t="s">
        <v>1667</v>
      </c>
      <c r="Y137" s="96" t="s">
        <v>719</v>
      </c>
      <c r="Z137" s="98">
        <f>COUNTIF($X$3:X137, X137)</f>
        <v>29</v>
      </c>
      <c r="AA137" s="337" t="s">
        <v>1668</v>
      </c>
      <c r="AB137" s="337" t="s">
        <v>1668</v>
      </c>
      <c r="AC137" s="337" t="s">
        <v>1669</v>
      </c>
      <c r="AD137" s="341" t="s">
        <v>1670</v>
      </c>
      <c r="AE137" s="342" t="s">
        <v>1671</v>
      </c>
      <c r="AF137" s="337" t="s">
        <v>1672</v>
      </c>
      <c r="AG137" s="344" t="s">
        <v>1673</v>
      </c>
      <c r="AH137" s="337" t="s">
        <v>1649</v>
      </c>
      <c r="AI137" s="337" t="s">
        <v>720</v>
      </c>
      <c r="AJ137" s="98" t="s">
        <v>85</v>
      </c>
      <c r="AK137" s="98" t="s">
        <v>86</v>
      </c>
      <c r="AL137" s="98" t="s">
        <v>87</v>
      </c>
      <c r="AM137" s="101" t="s">
        <v>301</v>
      </c>
      <c r="AN137" s="348" t="s">
        <v>89</v>
      </c>
      <c r="AO137" s="349">
        <v>45625</v>
      </c>
      <c r="AP137" s="98">
        <f>Tabla156[[#This Row],[Renov. Flota]]-Tabla156[[#This Row],[Año]]</f>
        <v>0</v>
      </c>
      <c r="AQ137" s="100" t="s">
        <v>102</v>
      </c>
      <c r="AR137" s="100" t="str">
        <f>VLOOKUP(Tabla156[[#This Row],[Matricula nueva]],'ALTA 20242025'!$B$2:$P$242,15,FALSE)</f>
        <v>4500426845</v>
      </c>
      <c r="AS137" s="101" t="s">
        <v>103</v>
      </c>
      <c r="AT137" s="101"/>
      <c r="AU137" s="101" t="s">
        <v>72</v>
      </c>
      <c r="AV137" s="101" t="s">
        <v>109</v>
      </c>
      <c r="AW137" s="101" t="str">
        <f>VLOOKUP(Tabla156[[#This Row],[Matricula nueva]],Hoja2!$A$1:$B$224,2,FALSE)</f>
        <v>VF1RFK00X73824807</v>
      </c>
      <c r="AX137" s="209">
        <v>5.6</v>
      </c>
      <c r="AY137" s="208">
        <f t="shared" si="5"/>
        <v>10</v>
      </c>
      <c r="AZ137" s="313">
        <v>17.3</v>
      </c>
      <c r="BA137" s="314">
        <f>IF(Tabla156[[#This Row],[Columna2]]="M1",13073,IF(Tabla156[[#This Row],[Columna2]]="N1",15815,IF(Tabla156[[#This Row],[Columna2]]="L3e",2831,53508)))</f>
        <v>15815</v>
      </c>
      <c r="BB137" s="350">
        <f>(Tabla156[[#This Row],[CVA]]*Tabla156[[#This Row],[F]]-Tabla156[[#This Row],[CVN]])/100*Tabla156[[#This Row],[L]]</f>
        <v>6120.4049999999997</v>
      </c>
      <c r="BC137" s="294" t="s">
        <v>128</v>
      </c>
      <c r="BD137" s="209">
        <f>VLOOKUP(B137,Tabla467824[[ID CAE2]:[AE '[kWh']]],6,FALSE)</f>
        <v>5607.9989999999989</v>
      </c>
      <c r="BE13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8" spans="1:57" ht="51.75" x14ac:dyDescent="0.25">
      <c r="A138" s="53" t="s">
        <v>723</v>
      </c>
      <c r="B138" s="53" t="s">
        <v>723</v>
      </c>
      <c r="C138" s="332" t="s">
        <v>724</v>
      </c>
      <c r="D138" s="104" t="s">
        <v>72</v>
      </c>
      <c r="E138" s="104" t="s">
        <v>72</v>
      </c>
      <c r="F138" s="104" t="s">
        <v>72</v>
      </c>
      <c r="G138" s="104"/>
      <c r="H138" s="104" t="s">
        <v>249</v>
      </c>
      <c r="I138" s="104" t="s">
        <v>249</v>
      </c>
      <c r="J138" s="104"/>
      <c r="K138" s="96" t="s">
        <v>725</v>
      </c>
      <c r="L138" s="96" t="s">
        <v>74</v>
      </c>
      <c r="M138" s="96" t="s">
        <v>75</v>
      </c>
      <c r="N138" s="96" t="s">
        <v>76</v>
      </c>
      <c r="O138" s="99">
        <f>VLOOKUP(Tabla156[[#This Row],[Matricula Antigua]],BAJA2022202320242025!$B$3:$CR$245,93,FALSE)</f>
        <v>44958</v>
      </c>
      <c r="P138" s="316">
        <v>45107</v>
      </c>
      <c r="Q138" s="317">
        <f>Tabla156[[#This Row],[F.Vig.Final]]-Tabla156[[#This Row],[f Vig Inicio]]</f>
        <v>149</v>
      </c>
      <c r="R138" s="318">
        <f>YEAR(Tabla156[[#This Row],[F.Vig.Final]])</f>
        <v>2023</v>
      </c>
      <c r="S138" s="96" t="s">
        <v>77</v>
      </c>
      <c r="T138" s="96" t="s">
        <v>78</v>
      </c>
      <c r="U138" s="96" t="s">
        <v>726</v>
      </c>
      <c r="V138" s="96" t="s">
        <v>727</v>
      </c>
      <c r="W138" s="96" t="s">
        <v>102</v>
      </c>
      <c r="X138" s="332" t="s">
        <v>1667</v>
      </c>
      <c r="Y138" s="96" t="s">
        <v>440</v>
      </c>
      <c r="Z138" s="98">
        <f>COUNTIF($X$3:X138, X138)</f>
        <v>30</v>
      </c>
      <c r="AA138" s="337" t="s">
        <v>1668</v>
      </c>
      <c r="AB138" s="337" t="s">
        <v>1668</v>
      </c>
      <c r="AC138" s="337" t="s">
        <v>1669</v>
      </c>
      <c r="AD138" s="341" t="s">
        <v>1670</v>
      </c>
      <c r="AE138" s="342" t="s">
        <v>1671</v>
      </c>
      <c r="AF138" s="337" t="s">
        <v>1672</v>
      </c>
      <c r="AG138" s="344" t="s">
        <v>1673</v>
      </c>
      <c r="AH138" s="337" t="s">
        <v>1649</v>
      </c>
      <c r="AI138" s="337" t="s">
        <v>728</v>
      </c>
      <c r="AJ138" s="98" t="s">
        <v>359</v>
      </c>
      <c r="AK138" s="98" t="s">
        <v>452</v>
      </c>
      <c r="AL138" s="98" t="s">
        <v>87</v>
      </c>
      <c r="AM138" s="101" t="s">
        <v>115</v>
      </c>
      <c r="AN138" s="348" t="s">
        <v>108</v>
      </c>
      <c r="AO138" s="349">
        <v>45051</v>
      </c>
      <c r="AP138" s="98">
        <f>Tabla156[[#This Row],[Renov. Flota]]-Tabla156[[#This Row],[Año]]</f>
        <v>0</v>
      </c>
      <c r="AQ138" s="100" t="s">
        <v>102</v>
      </c>
      <c r="AR138" s="100">
        <v>4500351860</v>
      </c>
      <c r="AS138" s="101" t="s">
        <v>103</v>
      </c>
      <c r="AT138" s="101"/>
      <c r="AU138" s="101" t="s">
        <v>72</v>
      </c>
      <c r="AV138" s="101" t="s">
        <v>109</v>
      </c>
      <c r="AW138" s="101" t="s">
        <v>729</v>
      </c>
      <c r="AX138" s="209">
        <v>5.6</v>
      </c>
      <c r="AY138" s="208">
        <f t="shared" si="5"/>
        <v>10</v>
      </c>
      <c r="AZ138" s="313">
        <v>28.1</v>
      </c>
      <c r="BA138" s="314">
        <f>IF(Tabla156[[#This Row],[Columna2]]="M1",13073,IF(Tabla156[[#This Row],[Columna2]]="N1",15815,IF(Tabla156[[#This Row],[Columna2]]="L3e",2831,53508)))</f>
        <v>15815</v>
      </c>
      <c r="BB138" s="350">
        <f>(Tabla156[[#This Row],[CVA]]*Tabla156[[#This Row],[F]]-Tabla156[[#This Row],[CVN]])/100*Tabla156[[#This Row],[L]]</f>
        <v>4412.3849999999993</v>
      </c>
      <c r="BC138" s="294" t="s">
        <v>128</v>
      </c>
      <c r="BD138" s="209">
        <f>VLOOKUP(B138,Tabla467824[[ID CAE2]:[AE '[kWh']]],6,FALSE)</f>
        <v>5607.9989999999989</v>
      </c>
      <c r="BE13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39" spans="1:57" ht="51.75" x14ac:dyDescent="0.25">
      <c r="A139" s="53" t="s">
        <v>730</v>
      </c>
      <c r="B139" s="53" t="s">
        <v>730</v>
      </c>
      <c r="C139" s="332" t="s">
        <v>731</v>
      </c>
      <c r="D139" s="104" t="s">
        <v>72</v>
      </c>
      <c r="E139" s="104" t="s">
        <v>72</v>
      </c>
      <c r="F139" s="104" t="s">
        <v>72</v>
      </c>
      <c r="G139" s="104"/>
      <c r="H139" s="104" t="s">
        <v>72</v>
      </c>
      <c r="I139" s="104" t="s">
        <v>72</v>
      </c>
      <c r="J139" s="104"/>
      <c r="K139" s="96" t="s">
        <v>73</v>
      </c>
      <c r="L139" s="96" t="s">
        <v>74</v>
      </c>
      <c r="M139" s="96" t="s">
        <v>75</v>
      </c>
      <c r="N139" s="96" t="s">
        <v>76</v>
      </c>
      <c r="O139" s="99">
        <f>VLOOKUP(Tabla156[[#This Row],[Matricula Antigua]],BAJA2022202320242025!$B$3:$CR$245,93,FALSE)</f>
        <v>45282</v>
      </c>
      <c r="P139" s="316">
        <v>45321</v>
      </c>
      <c r="Q139" s="317">
        <f>Tabla156[[#This Row],[F.Vig.Final]]-Tabla156[[#This Row],[f Vig Inicio]]</f>
        <v>39</v>
      </c>
      <c r="R139" s="318">
        <f>YEAR(Tabla156[[#This Row],[F.Vig.Final]])</f>
        <v>2024</v>
      </c>
      <c r="S139" s="96" t="s">
        <v>77</v>
      </c>
      <c r="T139" s="96" t="s">
        <v>78</v>
      </c>
      <c r="U139" s="96" t="s">
        <v>85</v>
      </c>
      <c r="V139" s="96" t="s">
        <v>732</v>
      </c>
      <c r="W139" s="96" t="s">
        <v>81</v>
      </c>
      <c r="X139" s="332" t="s">
        <v>82</v>
      </c>
      <c r="Y139" s="96" t="s">
        <v>83</v>
      </c>
      <c r="Z139" s="98">
        <f>COUNTIF($X$3:X139, X139)</f>
        <v>10</v>
      </c>
      <c r="AA139" s="337" t="s">
        <v>1661</v>
      </c>
      <c r="AB139" s="337" t="s">
        <v>1661</v>
      </c>
      <c r="AC139" s="337" t="s">
        <v>1662</v>
      </c>
      <c r="AD139" s="337" t="s">
        <v>1663</v>
      </c>
      <c r="AE139" s="354" t="s">
        <v>1664</v>
      </c>
      <c r="AF139" s="355" t="s">
        <v>1665</v>
      </c>
      <c r="AG139" s="340" t="s">
        <v>1666</v>
      </c>
      <c r="AH139" s="337" t="s">
        <v>1649</v>
      </c>
      <c r="AI139" s="337" t="s">
        <v>733</v>
      </c>
      <c r="AJ139" s="98" t="s">
        <v>85</v>
      </c>
      <c r="AK139" s="98" t="s">
        <v>86</v>
      </c>
      <c r="AL139" s="98" t="s">
        <v>87</v>
      </c>
      <c r="AM139" s="101" t="s">
        <v>143</v>
      </c>
      <c r="AN139" s="348" t="s">
        <v>89</v>
      </c>
      <c r="AO139" s="349">
        <v>45625</v>
      </c>
      <c r="AP139" s="98">
        <f>Tabla156[[#This Row],[Renov. Flota]]-Tabla156[[#This Row],[Año]]</f>
        <v>0</v>
      </c>
      <c r="AQ139" s="100" t="s">
        <v>81</v>
      </c>
      <c r="AR139" s="100" t="str">
        <f>VLOOKUP(Tabla156[[#This Row],[Matricula nueva]],'ALTA 20242025'!$B$2:$P$242,15,FALSE)</f>
        <v>4500426790</v>
      </c>
      <c r="AS139" s="101" t="s">
        <v>82</v>
      </c>
      <c r="AT139" s="101"/>
      <c r="AU139" s="101" t="s">
        <v>72</v>
      </c>
      <c r="AV139" s="101" t="s">
        <v>91</v>
      </c>
      <c r="AW139" s="101" t="str">
        <f>VLOOKUP(Tabla156[[#This Row],[Matricula nueva]],Hoja2!$A$1:$B$224,2,FALSE)</f>
        <v>VF1RFK00873824837</v>
      </c>
      <c r="AX139" s="209">
        <v>5.6</v>
      </c>
      <c r="AY139" s="208">
        <f t="shared" si="5"/>
        <v>10</v>
      </c>
      <c r="AZ139" s="313">
        <v>17.3</v>
      </c>
      <c r="BA139" s="314">
        <f>IF(Tabla156[[#This Row],[Columna2]]="M1",13073,IF(Tabla156[[#This Row],[Columna2]]="N1",15815,IF(Tabla156[[#This Row],[Columna2]]="L3e",2831,53508)))</f>
        <v>15815</v>
      </c>
      <c r="BB139" s="350">
        <f>(Tabla156[[#This Row],[CVA]]*Tabla156[[#This Row],[F]]-Tabla156[[#This Row],[CVN]])/100*Tabla156[[#This Row],[L]]</f>
        <v>6120.4049999999997</v>
      </c>
      <c r="BC139" s="294" t="s">
        <v>128</v>
      </c>
      <c r="BD139" s="209">
        <f>VLOOKUP(B139,Tabla467824[[ID CAE2]:[AE '[kWh']]],6,FALSE)</f>
        <v>5607.9989999999989</v>
      </c>
      <c r="BE13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0" spans="1:57" ht="52.5" thickBot="1" x14ac:dyDescent="0.3">
      <c r="A140" s="53" t="s">
        <v>736</v>
      </c>
      <c r="B140" s="53" t="s">
        <v>736</v>
      </c>
      <c r="C140" s="332" t="s">
        <v>737</v>
      </c>
      <c r="D140" s="104" t="s">
        <v>72</v>
      </c>
      <c r="E140" s="104" t="s">
        <v>72</v>
      </c>
      <c r="F140" s="104" t="s">
        <v>72</v>
      </c>
      <c r="G140" s="104"/>
      <c r="H140" s="104" t="s">
        <v>72</v>
      </c>
      <c r="I140" s="104" t="s">
        <v>72</v>
      </c>
      <c r="J140" s="104"/>
      <c r="K140" s="96" t="s">
        <v>73</v>
      </c>
      <c r="L140" s="96" t="s">
        <v>74</v>
      </c>
      <c r="M140" s="96" t="s">
        <v>75</v>
      </c>
      <c r="N140" s="96" t="s">
        <v>76</v>
      </c>
      <c r="O140" s="99">
        <f>VLOOKUP(Tabla156[[#This Row],[Matricula Antigua]],BAJA2022202320242025!$B$3:$CR$245,93,FALSE)</f>
        <v>44974</v>
      </c>
      <c r="P140" s="316">
        <v>45057</v>
      </c>
      <c r="Q140" s="317">
        <f>Tabla156[[#This Row],[F.Vig.Final]]-Tabla156[[#This Row],[f Vig Inicio]]</f>
        <v>83</v>
      </c>
      <c r="R140" s="318">
        <f>YEAR(Tabla156[[#This Row],[F.Vig.Final]])</f>
        <v>2023</v>
      </c>
      <c r="S140" s="96" t="s">
        <v>77</v>
      </c>
      <c r="T140" s="96" t="s">
        <v>78</v>
      </c>
      <c r="U140" s="96" t="s">
        <v>738</v>
      </c>
      <c r="V140" s="96" t="s">
        <v>739</v>
      </c>
      <c r="W140" s="96" t="s">
        <v>102</v>
      </c>
      <c r="X140" s="332" t="s">
        <v>1667</v>
      </c>
      <c r="Y140" s="96" t="s">
        <v>740</v>
      </c>
      <c r="Z140" s="98">
        <f>COUNTIF($X$3:X140, X140)</f>
        <v>31</v>
      </c>
      <c r="AA140" s="337" t="s">
        <v>1668</v>
      </c>
      <c r="AB140" s="337" t="s">
        <v>1668</v>
      </c>
      <c r="AC140" s="337" t="s">
        <v>1669</v>
      </c>
      <c r="AD140" s="341" t="s">
        <v>1670</v>
      </c>
      <c r="AE140" s="342" t="s">
        <v>1671</v>
      </c>
      <c r="AF140" s="337" t="s">
        <v>1672</v>
      </c>
      <c r="AG140" s="344" t="s">
        <v>1673</v>
      </c>
      <c r="AH140" s="337" t="s">
        <v>1649</v>
      </c>
      <c r="AI140" s="337" t="s">
        <v>741</v>
      </c>
      <c r="AJ140" s="98" t="s">
        <v>79</v>
      </c>
      <c r="AK140" s="98" t="s">
        <v>442</v>
      </c>
      <c r="AL140" s="98" t="s">
        <v>87</v>
      </c>
      <c r="AM140" s="101" t="s">
        <v>107</v>
      </c>
      <c r="AN140" s="348" t="s">
        <v>108</v>
      </c>
      <c r="AO140" s="349">
        <v>45133</v>
      </c>
      <c r="AP140" s="98">
        <f>Tabla156[[#This Row],[Renov. Flota]]-Tabla156[[#This Row],[Año]]</f>
        <v>0</v>
      </c>
      <c r="AQ140" s="100" t="s">
        <v>102</v>
      </c>
      <c r="AR140" s="100">
        <v>4500370224</v>
      </c>
      <c r="AS140" s="101" t="s">
        <v>103</v>
      </c>
      <c r="AT140" s="101"/>
      <c r="AU140" s="101" t="s">
        <v>72</v>
      </c>
      <c r="AV140" s="101" t="s">
        <v>109</v>
      </c>
      <c r="AW140" s="101" t="s">
        <v>742</v>
      </c>
      <c r="AX140" s="209">
        <f>IF(Tabla156[[#This Row],[Columna2]]="M1",5.1,"")</f>
        <v>5.0999999999999996</v>
      </c>
      <c r="AY140" s="208">
        <f t="shared" si="5"/>
        <v>10</v>
      </c>
      <c r="AZ140" s="313">
        <v>22.7</v>
      </c>
      <c r="BA140" s="314">
        <f>IF(Tabla156[[#This Row],[Columna2]]="M1",13073,IF(Tabla156[[#This Row],[Columna2]]="N1",15815,IF(Tabla156[[#This Row],[Columna2]]="L3e",2831,53508)))</f>
        <v>13073</v>
      </c>
      <c r="BB140" s="350">
        <f>(Tabla156[[#This Row],[CVA]]*Tabla156[[#This Row],[F]]-Tabla156[[#This Row],[CVN]])/100*Tabla156[[#This Row],[L]]</f>
        <v>3699.6590000000006</v>
      </c>
      <c r="BC140" s="91" t="s">
        <v>70</v>
      </c>
      <c r="BD140" s="209">
        <f>VLOOKUP(B140,Tabla467824[[ID CAE2]:[AE '[kWh']]],6,FALSE)</f>
        <v>6795.3454000000002</v>
      </c>
      <c r="BE14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1" spans="1:57" ht="15.75" hidden="1" thickBot="1" x14ac:dyDescent="0.3">
      <c r="A141" s="53" t="s">
        <v>1279</v>
      </c>
      <c r="B141" s="53" t="e">
        <v>#N/A</v>
      </c>
      <c r="C141" s="96" t="s">
        <v>1280</v>
      </c>
      <c r="D141" s="96"/>
      <c r="E141" s="96"/>
      <c r="F141" s="96"/>
      <c r="G141" s="96"/>
      <c r="H141" s="96"/>
      <c r="I141" s="96"/>
      <c r="J141" s="96"/>
      <c r="K141" s="96" t="s">
        <v>73</v>
      </c>
      <c r="L141" s="96" t="s">
        <v>200</v>
      </c>
      <c r="M141" s="96" t="s">
        <v>201</v>
      </c>
      <c r="N141" s="96" t="s">
        <v>160</v>
      </c>
      <c r="O141" s="101">
        <f>VLOOKUP(Tabla156[[#This Row],[Matricula Antigua]],BAJA2022202320242025!$B$3:$CR$245,93,FALSE)</f>
        <v>43795</v>
      </c>
      <c r="P141" s="99">
        <v>45622</v>
      </c>
      <c r="Q141" s="98">
        <f>Tabla156[[#This Row],[F.Vig.Final]]-Tabla156[[#This Row],[f Vig Inicio]]</f>
        <v>1827</v>
      </c>
      <c r="R141" s="99">
        <f>YEAR(Tabla156[[#This Row],[F.Vig.Final]])</f>
        <v>2024</v>
      </c>
      <c r="S141" s="96" t="s">
        <v>161</v>
      </c>
      <c r="T141" s="96" t="s">
        <v>78</v>
      </c>
      <c r="U141" s="96" t="s">
        <v>359</v>
      </c>
      <c r="V141" s="96" t="s">
        <v>769</v>
      </c>
      <c r="W141" s="96" t="s">
        <v>689</v>
      </c>
      <c r="X141" s="96" t="s">
        <v>690</v>
      </c>
      <c r="Y141" s="96" t="s">
        <v>691</v>
      </c>
      <c r="Z141" s="98">
        <f>COUNTIF($X$3:X141, X141)</f>
        <v>2</v>
      </c>
      <c r="AA141" s="98"/>
      <c r="AB141" s="98"/>
      <c r="AC141" s="98"/>
      <c r="AD141" s="98"/>
      <c r="AE141" s="321"/>
      <c r="AF141" s="321"/>
      <c r="AG141" s="320"/>
      <c r="AH141" s="98"/>
      <c r="AI141" s="98" t="e">
        <v>#N/A</v>
      </c>
      <c r="AJ141" s="98" t="e">
        <v>#N/A</v>
      </c>
      <c r="AK141" s="98" t="e">
        <v>#N/A</v>
      </c>
      <c r="AL141" s="98" t="e">
        <v>#N/A</v>
      </c>
      <c r="AM141" s="98" t="e">
        <v>#N/A</v>
      </c>
      <c r="AN141" s="99" t="e">
        <v>#N/A</v>
      </c>
      <c r="AO141" s="99" t="e">
        <v>#N/A</v>
      </c>
      <c r="AP141" s="99" t="e">
        <f>Tabla156[[#This Row],[Renov. Flota]]-Tabla156[[#This Row],[Año]]</f>
        <v>#N/A</v>
      </c>
      <c r="AQ141" s="100" t="e">
        <v>#N/A</v>
      </c>
      <c r="AR141" s="100" t="e">
        <f>VLOOKUP(Tabla156[[#This Row],[Matricula nueva]],'ALTA 20242025'!$B$2:$P$242,15,FALSE)</f>
        <v>#N/A</v>
      </c>
      <c r="AS141" s="101" t="e">
        <v>#N/A</v>
      </c>
      <c r="AT141" s="101"/>
      <c r="AU141" s="101"/>
      <c r="AV141" s="101"/>
      <c r="AW141" s="101" t="e">
        <f>VLOOKUP(Tabla156[[#This Row],[Matricula nueva]],Hoja2!$A$1:$B$224,2,FALSE)</f>
        <v>#N/A</v>
      </c>
      <c r="AX141" s="101" t="str">
        <f>IF(Tabla156[[#This Row],[Columna2]]="M1",5.1,"")</f>
        <v/>
      </c>
      <c r="AY141" s="101"/>
      <c r="AZ141" s="101"/>
      <c r="BA141" s="311">
        <f>IF(Tabla156[[#This Row],[Columna2]]="M1",13073,IF(Tabla156[[#This Row],[Columna2]]="N1",15815,IF(Tabla156[[#This Row],[Columna2]]="L3e",2831,53508)))</f>
        <v>53508</v>
      </c>
      <c r="BB141" s="311" t="e">
        <f>(Tabla156[[#This Row],[CVA]]*Tabla156[[#This Row],[F]]-Tabla156[[#This Row],[CVN]])/100*Tabla156[[#This Row],[L]]</f>
        <v>#VALUE!</v>
      </c>
      <c r="BC141" s="1"/>
      <c r="BD141" s="1" t="e">
        <f>VLOOKUP(B141,Tabla467824[[ID CAE2]:[AE '[kWh']]],6,FALSE)</f>
        <v>#N/A</v>
      </c>
      <c r="BE14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42" spans="1:57" ht="60" x14ac:dyDescent="0.25">
      <c r="A142" s="53" t="s">
        <v>743</v>
      </c>
      <c r="B142" s="53" t="s">
        <v>743</v>
      </c>
      <c r="C142" s="332" t="s">
        <v>744</v>
      </c>
      <c r="D142" s="104" t="s">
        <v>72</v>
      </c>
      <c r="E142" s="104" t="s">
        <v>72</v>
      </c>
      <c r="F142" s="104" t="s">
        <v>72</v>
      </c>
      <c r="G142" s="104"/>
      <c r="H142" s="104" t="s">
        <v>249</v>
      </c>
      <c r="I142" s="104" t="s">
        <v>249</v>
      </c>
      <c r="J142" s="104"/>
      <c r="K142" s="96" t="s">
        <v>73</v>
      </c>
      <c r="L142" s="96" t="s">
        <v>74</v>
      </c>
      <c r="M142" s="96" t="s">
        <v>75</v>
      </c>
      <c r="N142" s="96" t="s">
        <v>76</v>
      </c>
      <c r="O142" s="99">
        <f>VLOOKUP(Tabla156[[#This Row],[Matricula Antigua]],BAJA2022202320242025!$B$3:$CR$245,93,FALSE)</f>
        <v>45420</v>
      </c>
      <c r="P142" s="316">
        <v>45450</v>
      </c>
      <c r="Q142" s="317">
        <f>Tabla156[[#This Row],[F.Vig.Final]]-Tabla156[[#This Row],[f Vig Inicio]]</f>
        <v>30</v>
      </c>
      <c r="R142" s="318">
        <f>YEAR(Tabla156[[#This Row],[F.Vig.Final]])</f>
        <v>2024</v>
      </c>
      <c r="S142" s="96" t="s">
        <v>77</v>
      </c>
      <c r="T142" s="96" t="s">
        <v>78</v>
      </c>
      <c r="U142" s="96" t="s">
        <v>213</v>
      </c>
      <c r="V142" s="96" t="s">
        <v>745</v>
      </c>
      <c r="W142" s="96" t="s">
        <v>336</v>
      </c>
      <c r="X142" s="332" t="s">
        <v>337</v>
      </c>
      <c r="Y142" s="96" t="s">
        <v>746</v>
      </c>
      <c r="Z142" s="98">
        <f>COUNTIF($X$3:X142, X142)</f>
        <v>6</v>
      </c>
      <c r="AA142" s="337" t="s">
        <v>1661</v>
      </c>
      <c r="AB142" s="337" t="s">
        <v>1661</v>
      </c>
      <c r="AC142" s="337" t="s">
        <v>1662</v>
      </c>
      <c r="AD142" s="341" t="s">
        <v>1682</v>
      </c>
      <c r="AE142" s="347" t="s">
        <v>1664</v>
      </c>
      <c r="AF142" s="337" t="s">
        <v>1683</v>
      </c>
      <c r="AG142" s="337" t="s">
        <v>1684</v>
      </c>
      <c r="AH142" s="337" t="s">
        <v>1649</v>
      </c>
      <c r="AI142" s="337" t="s">
        <v>747</v>
      </c>
      <c r="AJ142" s="98" t="s">
        <v>140</v>
      </c>
      <c r="AK142" s="98" t="s">
        <v>151</v>
      </c>
      <c r="AL142" s="98" t="s">
        <v>87</v>
      </c>
      <c r="AM142" s="101" t="s">
        <v>351</v>
      </c>
      <c r="AN142" s="348" t="s">
        <v>89</v>
      </c>
      <c r="AO142" s="349">
        <v>45625</v>
      </c>
      <c r="AP142" s="98">
        <f>Tabla156[[#This Row],[Renov. Flota]]-Tabla156[[#This Row],[Año]]</f>
        <v>0</v>
      </c>
      <c r="AQ142" s="100" t="s">
        <v>336</v>
      </c>
      <c r="AR142" s="100" t="str">
        <f>VLOOKUP(Tabla156[[#This Row],[Matricula nueva]],'ALTA 20242025'!$B$2:$P$242,15,FALSE)</f>
        <v>4500424787</v>
      </c>
      <c r="AS142" s="101" t="s">
        <v>337</v>
      </c>
      <c r="AT142" s="101"/>
      <c r="AU142" s="101" t="s">
        <v>72</v>
      </c>
      <c r="AV142" s="101" t="s">
        <v>91</v>
      </c>
      <c r="AW142" s="101" t="str">
        <f>VLOOKUP(Tabla156[[#This Row],[Matricula nueva]],Hoja2!$A$1:$B$224,2,FALSE)</f>
        <v>VR7CBZYA6RT152219</v>
      </c>
      <c r="AX142" s="209">
        <f>IF(Tabla156[[#This Row],[Columna2]]="M1",5.1,"")</f>
        <v>5.0999999999999996</v>
      </c>
      <c r="AY142" s="208">
        <f t="shared" ref="AY142:AY147" si="6">IF(T142="DIESEL",10,IF(T142="GLP",7.16,9.19))</f>
        <v>10</v>
      </c>
      <c r="AZ142" s="313">
        <v>16.399999999999999</v>
      </c>
      <c r="BA142" s="314">
        <f>IF(Tabla156[[#This Row],[Columna2]]="M1",13073,IF(Tabla156[[#This Row],[Columna2]]="N1",15815,IF(Tabla156[[#This Row],[Columna2]]="L3e",2831,53508)))</f>
        <v>13073</v>
      </c>
      <c r="BB142" s="350">
        <f>(Tabla156[[#This Row],[CVA]]*Tabla156[[#This Row],[F]]-Tabla156[[#This Row],[CVN]])/100*Tabla156[[#This Row],[L]]</f>
        <v>4523.2580000000007</v>
      </c>
      <c r="BC142" s="90" t="s">
        <v>70</v>
      </c>
      <c r="BD142" s="209">
        <f>VLOOKUP(B142,Tabla467824[[ID CAE2]:[AE '[kWh']]],6,FALSE)</f>
        <v>6795.3454000000002</v>
      </c>
      <c r="BE14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3" spans="1:57" ht="51.75" x14ac:dyDescent="0.25">
      <c r="A143" s="53" t="s">
        <v>750</v>
      </c>
      <c r="B143" s="53" t="s">
        <v>750</v>
      </c>
      <c r="C143" s="332" t="s">
        <v>751</v>
      </c>
      <c r="D143" s="104" t="s">
        <v>72</v>
      </c>
      <c r="E143" s="104"/>
      <c r="F143" s="104" t="s">
        <v>72</v>
      </c>
      <c r="G143" s="104"/>
      <c r="H143" s="104" t="s">
        <v>72</v>
      </c>
      <c r="I143" s="104" t="s">
        <v>72</v>
      </c>
      <c r="J143" s="104"/>
      <c r="K143" s="96" t="s">
        <v>129</v>
      </c>
      <c r="L143" s="96" t="s">
        <v>74</v>
      </c>
      <c r="M143" s="96" t="s">
        <v>75</v>
      </c>
      <c r="N143" s="96" t="s">
        <v>76</v>
      </c>
      <c r="O143" s="99">
        <f>VLOOKUP(Tabla156[[#This Row],[Matricula Antigua]],BAJA2022202320242025!$B$3:$CR$245,93,FALSE)</f>
        <v>44861</v>
      </c>
      <c r="P143" s="316">
        <v>44964</v>
      </c>
      <c r="Q143" s="317">
        <f>Tabla156[[#This Row],[F.Vig.Final]]-Tabla156[[#This Row],[f Vig Inicio]]</f>
        <v>103</v>
      </c>
      <c r="R143" s="318">
        <f>YEAR(Tabla156[[#This Row],[F.Vig.Final]])</f>
        <v>2023</v>
      </c>
      <c r="S143" s="96" t="s">
        <v>77</v>
      </c>
      <c r="T143" s="96" t="s">
        <v>78</v>
      </c>
      <c r="U143" s="96" t="s">
        <v>85</v>
      </c>
      <c r="V143" s="96" t="s">
        <v>752</v>
      </c>
      <c r="W143" s="96" t="s">
        <v>131</v>
      </c>
      <c r="X143" s="332" t="s">
        <v>132</v>
      </c>
      <c r="Y143" s="96" t="s">
        <v>753</v>
      </c>
      <c r="Z143" s="98">
        <f>COUNTIF($X$3:X143, X143)</f>
        <v>9</v>
      </c>
      <c r="AA143" s="337" t="s">
        <v>1661</v>
      </c>
      <c r="AB143" s="337" t="s">
        <v>1661</v>
      </c>
      <c r="AC143" s="337" t="s">
        <v>1662</v>
      </c>
      <c r="AD143" s="333" t="s">
        <v>1675</v>
      </c>
      <c r="AE143" s="347" t="s">
        <v>1664</v>
      </c>
      <c r="AF143" s="337" t="s">
        <v>1676</v>
      </c>
      <c r="AG143" s="337" t="s">
        <v>1677</v>
      </c>
      <c r="AH143" s="337" t="s">
        <v>1649</v>
      </c>
      <c r="AI143" s="337" t="s">
        <v>754</v>
      </c>
      <c r="AJ143" s="98" t="s">
        <v>380</v>
      </c>
      <c r="AK143" s="98" t="s">
        <v>381</v>
      </c>
      <c r="AL143" s="98" t="s">
        <v>87</v>
      </c>
      <c r="AM143" s="101" t="s">
        <v>622</v>
      </c>
      <c r="AN143" s="348" t="s">
        <v>89</v>
      </c>
      <c r="AO143" s="349">
        <v>45608</v>
      </c>
      <c r="AP143" s="98">
        <f>Tabla156[[#This Row],[Renov. Flota]]-Tabla156[[#This Row],[Año]]</f>
        <v>1</v>
      </c>
      <c r="AQ143" s="100" t="s">
        <v>131</v>
      </c>
      <c r="AR143" s="100">
        <v>4500421017</v>
      </c>
      <c r="AS143" s="101" t="s">
        <v>132</v>
      </c>
      <c r="AT143" s="101"/>
      <c r="AU143" s="101" t="s">
        <v>72</v>
      </c>
      <c r="AV143" s="101" t="s">
        <v>91</v>
      </c>
      <c r="AW143" s="101" t="s">
        <v>755</v>
      </c>
      <c r="AX143" s="209">
        <v>5.6</v>
      </c>
      <c r="AY143" s="208">
        <f t="shared" si="6"/>
        <v>10</v>
      </c>
      <c r="AZ143" s="313">
        <v>20</v>
      </c>
      <c r="BA143" s="314">
        <f>IF(Tabla156[[#This Row],[Columna2]]="M1",13073,IF(Tabla156[[#This Row],[Columna2]]="N1",15815,IF(Tabla156[[#This Row],[Columna2]]="L3e",2831,53508)))</f>
        <v>15815</v>
      </c>
      <c r="BB143" s="350">
        <f>(Tabla156[[#This Row],[CVA]]*Tabla156[[#This Row],[F]]-Tabla156[[#This Row],[CVN]])/100*Tabla156[[#This Row],[L]]</f>
        <v>5693.4</v>
      </c>
      <c r="BC143" s="294" t="s">
        <v>128</v>
      </c>
      <c r="BD143" s="209">
        <f>VLOOKUP(B143,Tabla467824[[ID CAE2]:[AE '[kWh']]],6,FALSE)</f>
        <v>5607.9989999999989</v>
      </c>
      <c r="BE14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4" spans="1:57" ht="60" x14ac:dyDescent="0.25">
      <c r="A144" s="53" t="s">
        <v>756</v>
      </c>
      <c r="B144" s="53" t="s">
        <v>756</v>
      </c>
      <c r="C144" s="332" t="s">
        <v>757</v>
      </c>
      <c r="D144" s="104" t="s">
        <v>72</v>
      </c>
      <c r="E144" s="104" t="s">
        <v>72</v>
      </c>
      <c r="F144" s="104" t="s">
        <v>72</v>
      </c>
      <c r="G144" s="104"/>
      <c r="H144" s="104" t="s">
        <v>249</v>
      </c>
      <c r="I144" s="104" t="s">
        <v>249</v>
      </c>
      <c r="J144" s="104"/>
      <c r="K144" s="96" t="s">
        <v>73</v>
      </c>
      <c r="L144" s="96" t="s">
        <v>74</v>
      </c>
      <c r="M144" s="96" t="s">
        <v>75</v>
      </c>
      <c r="N144" s="96" t="s">
        <v>76</v>
      </c>
      <c r="O144" s="99">
        <f>VLOOKUP(Tabla156[[#This Row],[Matricula Antigua]],BAJA2022202320242025!$B$3:$CR$245,93,FALSE)</f>
        <v>45350</v>
      </c>
      <c r="P144" s="316">
        <v>45406</v>
      </c>
      <c r="Q144" s="317">
        <f>Tabla156[[#This Row],[F.Vig.Final]]-Tabla156[[#This Row],[f Vig Inicio]]</f>
        <v>56</v>
      </c>
      <c r="R144" s="318">
        <f>YEAR(Tabla156[[#This Row],[F.Vig.Final]])</f>
        <v>2024</v>
      </c>
      <c r="S144" s="96" t="s">
        <v>77</v>
      </c>
      <c r="T144" s="96" t="s">
        <v>78</v>
      </c>
      <c r="U144" s="96" t="s">
        <v>85</v>
      </c>
      <c r="V144" s="96" t="s">
        <v>758</v>
      </c>
      <c r="W144" s="96" t="s">
        <v>336</v>
      </c>
      <c r="X144" s="332" t="s">
        <v>337</v>
      </c>
      <c r="Y144" s="96" t="s">
        <v>373</v>
      </c>
      <c r="Z144" s="98">
        <f>COUNTIF($X$3:X144, X144)</f>
        <v>7</v>
      </c>
      <c r="AA144" s="337" t="s">
        <v>1661</v>
      </c>
      <c r="AB144" s="337" t="s">
        <v>1661</v>
      </c>
      <c r="AC144" s="337" t="s">
        <v>1662</v>
      </c>
      <c r="AD144" s="341" t="s">
        <v>1682</v>
      </c>
      <c r="AE144" s="347" t="s">
        <v>1664</v>
      </c>
      <c r="AF144" s="337" t="s">
        <v>1683</v>
      </c>
      <c r="AG144" s="337" t="s">
        <v>1684</v>
      </c>
      <c r="AH144" s="337" t="s">
        <v>1649</v>
      </c>
      <c r="AI144" s="337" t="s">
        <v>759</v>
      </c>
      <c r="AJ144" s="98" t="s">
        <v>85</v>
      </c>
      <c r="AK144" s="98" t="s">
        <v>86</v>
      </c>
      <c r="AL144" s="98" t="s">
        <v>87</v>
      </c>
      <c r="AM144" s="101" t="s">
        <v>760</v>
      </c>
      <c r="AN144" s="348" t="s">
        <v>89</v>
      </c>
      <c r="AO144" s="349">
        <v>45649</v>
      </c>
      <c r="AP144" s="98">
        <f>Tabla156[[#This Row],[Renov. Flota]]-Tabla156[[#This Row],[Año]]</f>
        <v>0</v>
      </c>
      <c r="AQ144" s="100" t="s">
        <v>336</v>
      </c>
      <c r="AR144" s="100" t="str">
        <f>VLOOKUP(Tabla156[[#This Row],[Matricula nueva]],'ALTA 20242025'!$B$2:$P$242,15,FALSE)</f>
        <v>4500426850</v>
      </c>
      <c r="AS144" s="101" t="s">
        <v>337</v>
      </c>
      <c r="AT144" s="101"/>
      <c r="AU144" s="101" t="s">
        <v>72</v>
      </c>
      <c r="AV144" s="101" t="s">
        <v>91</v>
      </c>
      <c r="AW144" s="101" t="str">
        <f>VLOOKUP(Tabla156[[#This Row],[Matricula nueva]],Hoja2!$A$1:$B$224,2,FALSE)</f>
        <v>VF1RFK00673934284</v>
      </c>
      <c r="AX144" s="209">
        <f>IF(Tabla156[[#This Row],[Columna2]]="M1",5.1,"")</f>
        <v>5.0999999999999996</v>
      </c>
      <c r="AY144" s="208">
        <f t="shared" si="6"/>
        <v>10</v>
      </c>
      <c r="AZ144" s="313">
        <v>17.3</v>
      </c>
      <c r="BA144" s="314">
        <f>IF(Tabla156[[#This Row],[Columna2]]="M1",13073,IF(Tabla156[[#This Row],[Columna2]]="N1",15815,IF(Tabla156[[#This Row],[Columna2]]="L3e",2831,53508)))</f>
        <v>13073</v>
      </c>
      <c r="BB144" s="350">
        <f>(Tabla156[[#This Row],[CVA]]*Tabla156[[#This Row],[F]]-Tabla156[[#This Row],[CVN]])/100*Tabla156[[#This Row],[L]]</f>
        <v>4405.6010000000006</v>
      </c>
      <c r="BC144" s="294" t="s">
        <v>70</v>
      </c>
      <c r="BD144" s="209">
        <f>VLOOKUP(B144,Tabla467824[[ID CAE2]:[AE '[kWh']]],6,FALSE)</f>
        <v>6795.3454000000002</v>
      </c>
      <c r="BE14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5" spans="1:57" ht="51.75" x14ac:dyDescent="0.25">
      <c r="A145" s="53" t="s">
        <v>763</v>
      </c>
      <c r="B145" s="53" t="s">
        <v>763</v>
      </c>
      <c r="C145" s="332" t="s">
        <v>764</v>
      </c>
      <c r="D145" s="104" t="s">
        <v>72</v>
      </c>
      <c r="E145" s="104"/>
      <c r="F145" s="104" t="s">
        <v>72</v>
      </c>
      <c r="G145" s="104"/>
      <c r="H145" s="104" t="s">
        <v>249</v>
      </c>
      <c r="I145" s="104" t="s">
        <v>249</v>
      </c>
      <c r="J145" s="104"/>
      <c r="K145" s="96" t="s">
        <v>73</v>
      </c>
      <c r="L145" s="96" t="s">
        <v>74</v>
      </c>
      <c r="M145" s="96" t="s">
        <v>75</v>
      </c>
      <c r="N145" s="96" t="s">
        <v>76</v>
      </c>
      <c r="O145" s="99">
        <f>VLOOKUP(Tabla156[[#This Row],[Matricula Antigua]],BAJA2022202320242025!$B$3:$CR$245,93,FALSE)</f>
        <v>45422</v>
      </c>
      <c r="P145" s="316">
        <v>45473</v>
      </c>
      <c r="Q145" s="317">
        <f>Tabla156[[#This Row],[F.Vig.Final]]-Tabla156[[#This Row],[f Vig Inicio]]</f>
        <v>51</v>
      </c>
      <c r="R145" s="318">
        <f>YEAR(Tabla156[[#This Row],[F.Vig.Final]])</f>
        <v>2024</v>
      </c>
      <c r="S145" s="96" t="s">
        <v>77</v>
      </c>
      <c r="T145" s="96" t="s">
        <v>78</v>
      </c>
      <c r="U145" s="96" t="s">
        <v>85</v>
      </c>
      <c r="V145" s="96" t="s">
        <v>758</v>
      </c>
      <c r="W145" s="96" t="s">
        <v>308</v>
      </c>
      <c r="X145" s="332" t="s">
        <v>309</v>
      </c>
      <c r="Y145" s="96" t="s">
        <v>312</v>
      </c>
      <c r="Z145" s="98">
        <f>COUNTIF($X$3:X145, X145)</f>
        <v>2</v>
      </c>
      <c r="AA145" s="337" t="s">
        <v>1661</v>
      </c>
      <c r="AB145" s="337" t="s">
        <v>1661</v>
      </c>
      <c r="AC145" s="337" t="s">
        <v>1662</v>
      </c>
      <c r="AD145" s="337" t="s">
        <v>1663</v>
      </c>
      <c r="AE145" s="354" t="s">
        <v>1664</v>
      </c>
      <c r="AF145" s="355" t="s">
        <v>1665</v>
      </c>
      <c r="AG145" s="355" t="s">
        <v>1666</v>
      </c>
      <c r="AH145" s="337" t="s">
        <v>1649</v>
      </c>
      <c r="AI145" s="337" t="s">
        <v>765</v>
      </c>
      <c r="AJ145" s="98" t="s">
        <v>85</v>
      </c>
      <c r="AK145" s="98" t="s">
        <v>86</v>
      </c>
      <c r="AL145" s="98" t="s">
        <v>87</v>
      </c>
      <c r="AM145" s="101" t="s">
        <v>310</v>
      </c>
      <c r="AN145" s="348" t="s">
        <v>89</v>
      </c>
      <c r="AO145" s="349">
        <v>45649</v>
      </c>
      <c r="AP145" s="98">
        <f>Tabla156[[#This Row],[Renov. Flota]]-Tabla156[[#This Row],[Año]]</f>
        <v>0</v>
      </c>
      <c r="AQ145" s="100" t="s">
        <v>308</v>
      </c>
      <c r="AR145" s="100" t="str">
        <f>VLOOKUP(Tabla156[[#This Row],[Matricula nueva]],'ALTA 20242025'!$B$2:$P$242,15,FALSE)</f>
        <v>X</v>
      </c>
      <c r="AS145" s="101" t="s">
        <v>309</v>
      </c>
      <c r="AT145" s="101"/>
      <c r="AU145" s="101" t="s">
        <v>72</v>
      </c>
      <c r="AV145" s="101" t="s">
        <v>91</v>
      </c>
      <c r="AW145" s="101" t="str">
        <f>VLOOKUP(Tabla156[[#This Row],[Matricula nueva]],Hoja2!$A$1:$B$224,2,FALSE)</f>
        <v>VF1RFK00373934288</v>
      </c>
      <c r="AX145" s="209">
        <f>IF(Tabla156[[#This Row],[Columna2]]="M1",5.1,"")</f>
        <v>5.0999999999999996</v>
      </c>
      <c r="AY145" s="208">
        <f t="shared" si="6"/>
        <v>10</v>
      </c>
      <c r="AZ145" s="313">
        <v>17.3</v>
      </c>
      <c r="BA145" s="314">
        <f>IF(Tabla156[[#This Row],[Columna2]]="M1",13073,IF(Tabla156[[#This Row],[Columna2]]="N1",15815,IF(Tabla156[[#This Row],[Columna2]]="L3e",2831,53508)))</f>
        <v>13073</v>
      </c>
      <c r="BB145" s="350">
        <f>(Tabla156[[#This Row],[CVA]]*Tabla156[[#This Row],[F]]-Tabla156[[#This Row],[CVN]])/100*Tabla156[[#This Row],[L]]</f>
        <v>4405.6010000000006</v>
      </c>
      <c r="BC145" s="294" t="s">
        <v>70</v>
      </c>
      <c r="BD145" s="209">
        <f>VLOOKUP(B145,Tabla467824[[ID CAE2]:[AE '[kWh']]],6,FALSE)</f>
        <v>6795.3454000000002</v>
      </c>
      <c r="BE14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6" spans="1:57" ht="51.75" x14ac:dyDescent="0.25">
      <c r="A146" s="53" t="s">
        <v>1281</v>
      </c>
      <c r="B146" s="53" t="e">
        <v>#N/A</v>
      </c>
      <c r="C146" s="352" t="s">
        <v>1282</v>
      </c>
      <c r="D146" s="104"/>
      <c r="E146" s="104"/>
      <c r="F146" s="104"/>
      <c r="G146" s="104"/>
      <c r="H146" s="104"/>
      <c r="I146" s="104"/>
      <c r="J146" s="104"/>
      <c r="K146" s="96" t="s">
        <v>73</v>
      </c>
      <c r="L146" s="96" t="s">
        <v>74</v>
      </c>
      <c r="M146" s="96" t="s">
        <v>75</v>
      </c>
      <c r="N146" s="96" t="s">
        <v>76</v>
      </c>
      <c r="O146" s="99">
        <f>VLOOKUP(Tabla156[[#This Row],[Matricula Antigua]],BAJA2022202320242025!$B$3:$CR$245,93,FALSE)</f>
        <v>44958</v>
      </c>
      <c r="P146" s="316">
        <v>44958</v>
      </c>
      <c r="Q146" s="317">
        <f>Tabla156[[#This Row],[F.Vig.Final]]-Tabla156[[#This Row],[f Vig Inicio]]</f>
        <v>0</v>
      </c>
      <c r="R146" s="318">
        <f>YEAR(Tabla156[[#This Row],[F.Vig.Final]])</f>
        <v>2023</v>
      </c>
      <c r="S146" s="96" t="s">
        <v>77</v>
      </c>
      <c r="T146" s="96" t="s">
        <v>78</v>
      </c>
      <c r="U146" s="96" t="s">
        <v>380</v>
      </c>
      <c r="V146" s="96" t="s">
        <v>787</v>
      </c>
      <c r="W146" s="96" t="s">
        <v>102</v>
      </c>
      <c r="X146" s="332" t="s">
        <v>1667</v>
      </c>
      <c r="Y146" s="96" t="s">
        <v>440</v>
      </c>
      <c r="Z146" s="98">
        <f>COUNTIF($X$3:X146, X146)</f>
        <v>32</v>
      </c>
      <c r="AA146" s="337" t="s">
        <v>1668</v>
      </c>
      <c r="AB146" s="337" t="s">
        <v>1668</v>
      </c>
      <c r="AC146" s="337" t="s">
        <v>1669</v>
      </c>
      <c r="AD146" s="341" t="s">
        <v>1670</v>
      </c>
      <c r="AE146" s="342" t="s">
        <v>1671</v>
      </c>
      <c r="AF146" s="337" t="s">
        <v>1672</v>
      </c>
      <c r="AG146" s="344" t="s">
        <v>1673</v>
      </c>
      <c r="AH146" s="337" t="s">
        <v>1649</v>
      </c>
      <c r="AI146" s="337" t="s">
        <v>1283</v>
      </c>
      <c r="AJ146" s="98" t="s">
        <v>359</v>
      </c>
      <c r="AK146" s="98" t="s">
        <v>452</v>
      </c>
      <c r="AL146" s="98" t="s">
        <v>87</v>
      </c>
      <c r="AM146" s="101" t="s">
        <v>440</v>
      </c>
      <c r="AN146" s="348" t="s">
        <v>108</v>
      </c>
      <c r="AO146" s="349">
        <v>45063</v>
      </c>
      <c r="AP146" s="98">
        <f>Tabla156[[#This Row],[Renov. Flota]]-Tabla156[[#This Row],[Año]]</f>
        <v>0</v>
      </c>
      <c r="AQ146" s="100" t="s">
        <v>102</v>
      </c>
      <c r="AR146" s="100">
        <v>4500352857</v>
      </c>
      <c r="AS146" s="101" t="s">
        <v>103</v>
      </c>
      <c r="AT146" s="101"/>
      <c r="AU146" s="101" t="s">
        <v>72</v>
      </c>
      <c r="AV146" s="101" t="s">
        <v>109</v>
      </c>
      <c r="AW146" s="101" t="s">
        <v>1284</v>
      </c>
      <c r="AX146" s="209">
        <v>5.6</v>
      </c>
      <c r="AY146" s="208">
        <f t="shared" si="6"/>
        <v>10</v>
      </c>
      <c r="AZ146" s="313">
        <v>28.1</v>
      </c>
      <c r="BA146" s="314">
        <f>IF(Tabla156[[#This Row],[Columna2]]="M1",13073,IF(Tabla156[[#This Row],[Columna2]]="N1",15815,IF(Tabla156[[#This Row],[Columna2]]="L3e",2831,53508)))</f>
        <v>15815</v>
      </c>
      <c r="BB146" s="350">
        <f>(Tabla156[[#This Row],[CVA]]*Tabla156[[#This Row],[F]]-Tabla156[[#This Row],[CVN]])/100*Tabla156[[#This Row],[L]]</f>
        <v>4412.3849999999993</v>
      </c>
      <c r="BC146" s="294" t="s">
        <v>128</v>
      </c>
      <c r="BD146" s="209">
        <v>0</v>
      </c>
      <c r="BE14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47" spans="1:57" ht="52.5" thickBot="1" x14ac:dyDescent="0.3">
      <c r="A147" s="53" t="s">
        <v>767</v>
      </c>
      <c r="B147" s="53" t="s">
        <v>767</v>
      </c>
      <c r="C147" s="332" t="s">
        <v>768</v>
      </c>
      <c r="D147" s="104" t="s">
        <v>72</v>
      </c>
      <c r="E147" s="104"/>
      <c r="F147" s="104" t="s">
        <v>72</v>
      </c>
      <c r="G147" s="104"/>
      <c r="H147" s="104" t="s">
        <v>72</v>
      </c>
      <c r="I147" s="104" t="s">
        <v>72</v>
      </c>
      <c r="J147" s="104"/>
      <c r="K147" s="96" t="s">
        <v>73</v>
      </c>
      <c r="L147" s="96" t="s">
        <v>200</v>
      </c>
      <c r="M147" s="96" t="s">
        <v>201</v>
      </c>
      <c r="N147" s="96" t="s">
        <v>76</v>
      </c>
      <c r="O147" s="101">
        <f>VLOOKUP(Tabla156[[#This Row],[Matricula Antigua]],BAJA2022202320242025!$B$3:$CR$245,93,FALSE)</f>
        <v>43819</v>
      </c>
      <c r="P147" s="316">
        <v>45280</v>
      </c>
      <c r="Q147" s="317">
        <f>Tabla156[[#This Row],[F.Vig.Final]]-Tabla156[[#This Row],[f Vig Inicio]]</f>
        <v>1461</v>
      </c>
      <c r="R147" s="318">
        <f>YEAR(Tabla156[[#This Row],[F.Vig.Final]])</f>
        <v>2023</v>
      </c>
      <c r="S147" s="96" t="s">
        <v>77</v>
      </c>
      <c r="T147" s="96" t="s">
        <v>78</v>
      </c>
      <c r="U147" s="96" t="s">
        <v>359</v>
      </c>
      <c r="V147" s="96" t="s">
        <v>769</v>
      </c>
      <c r="W147" s="96" t="s">
        <v>119</v>
      </c>
      <c r="X147" s="332" t="s">
        <v>1674</v>
      </c>
      <c r="Y147" s="96" t="s">
        <v>770</v>
      </c>
      <c r="Z147" s="98">
        <f>COUNTIF($X$3:X147, X147)</f>
        <v>17</v>
      </c>
      <c r="AA147" s="337" t="s">
        <v>1661</v>
      </c>
      <c r="AB147" s="337" t="s">
        <v>1661</v>
      </c>
      <c r="AC147" s="337" t="s">
        <v>1662</v>
      </c>
      <c r="AD147" s="337" t="s">
        <v>1663</v>
      </c>
      <c r="AE147" s="345" t="s">
        <v>1664</v>
      </c>
      <c r="AF147" s="346" t="s">
        <v>1665</v>
      </c>
      <c r="AG147" s="337" t="s">
        <v>1666</v>
      </c>
      <c r="AH147" s="337" t="s">
        <v>1649</v>
      </c>
      <c r="AI147" s="337" t="s">
        <v>771</v>
      </c>
      <c r="AJ147" s="98" t="s">
        <v>140</v>
      </c>
      <c r="AK147" s="98" t="s">
        <v>151</v>
      </c>
      <c r="AL147" s="98" t="s">
        <v>87</v>
      </c>
      <c r="AM147" s="101" t="s">
        <v>501</v>
      </c>
      <c r="AN147" s="348" t="s">
        <v>89</v>
      </c>
      <c r="AO147" s="349">
        <v>45622</v>
      </c>
      <c r="AP147" s="98">
        <f>Tabla156[[#This Row],[Renov. Flota]]-Tabla156[[#This Row],[Año]]</f>
        <v>1</v>
      </c>
      <c r="AQ147" s="100" t="s">
        <v>119</v>
      </c>
      <c r="AR147" s="100" t="str">
        <f>VLOOKUP(Tabla156[[#This Row],[Matricula nueva]],'ALTA 20242025'!$B$2:$P$242,15,FALSE)</f>
        <v>4500424775</v>
      </c>
      <c r="AS147" s="101" t="s">
        <v>120</v>
      </c>
      <c r="AT147" s="101"/>
      <c r="AU147" s="101" t="s">
        <v>72</v>
      </c>
      <c r="AV147" s="101" t="s">
        <v>91</v>
      </c>
      <c r="AW147" s="101" t="str">
        <f>VLOOKUP(Tabla156[[#This Row],[Matricula nueva]],Hoja2!$A$1:$B$224,2,FALSE)</f>
        <v>VR7CBZYA6RT152186</v>
      </c>
      <c r="AX147" s="209">
        <f>IF(Tabla156[[#This Row],[Columna2]]="M1",5.1,"")</f>
        <v>5.0999999999999996</v>
      </c>
      <c r="AY147" s="208">
        <f t="shared" si="6"/>
        <v>10</v>
      </c>
      <c r="AZ147" s="313">
        <v>16.399999999999999</v>
      </c>
      <c r="BA147" s="314">
        <f>IF(Tabla156[[#This Row],[Columna2]]="M1",13073,IF(Tabla156[[#This Row],[Columna2]]="N1",15815,IF(Tabla156[[#This Row],[Columna2]]="L3e",2831,53508)))</f>
        <v>13073</v>
      </c>
      <c r="BB147" s="350">
        <f>(Tabla156[[#This Row],[CVA]]*Tabla156[[#This Row],[F]]-Tabla156[[#This Row],[CVN]])/100*Tabla156[[#This Row],[L]]</f>
        <v>4523.2580000000007</v>
      </c>
      <c r="BC147" s="91" t="s">
        <v>70</v>
      </c>
      <c r="BD147" s="209">
        <f>VLOOKUP(B147,Tabla467824[[ID CAE2]:[AE '[kWh']]],6,FALSE)</f>
        <v>6795.3454000000002</v>
      </c>
      <c r="BE14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48" spans="1:57" ht="15.75" hidden="1" thickBot="1" x14ac:dyDescent="0.3">
      <c r="A148" s="53" t="s">
        <v>1285</v>
      </c>
      <c r="B148" s="53" t="e">
        <v>#N/A</v>
      </c>
      <c r="C148" s="96" t="s">
        <v>1286</v>
      </c>
      <c r="D148" s="96"/>
      <c r="E148" s="96"/>
      <c r="F148" s="96"/>
      <c r="G148" s="96"/>
      <c r="H148" s="96"/>
      <c r="I148" s="96"/>
      <c r="J148" s="96"/>
      <c r="K148" s="96" t="s">
        <v>73</v>
      </c>
      <c r="L148" s="96" t="s">
        <v>200</v>
      </c>
      <c r="M148" s="96" t="s">
        <v>201</v>
      </c>
      <c r="N148" s="96" t="s">
        <v>160</v>
      </c>
      <c r="O148" s="101">
        <f>VLOOKUP(Tabla156[[#This Row],[Matricula Antigua]],BAJA2022202320242025!$B$3:$CR$245,93,FALSE)</f>
        <v>44166</v>
      </c>
      <c r="P148" s="99">
        <v>45627</v>
      </c>
      <c r="Q148" s="98">
        <f>Tabla156[[#This Row],[F.Vig.Final]]-Tabla156[[#This Row],[f Vig Inicio]]</f>
        <v>1461</v>
      </c>
      <c r="R148" s="99">
        <f>YEAR(Tabla156[[#This Row],[F.Vig.Final]])</f>
        <v>2024</v>
      </c>
      <c r="S148" s="96" t="s">
        <v>161</v>
      </c>
      <c r="T148" s="96" t="s">
        <v>78</v>
      </c>
      <c r="U148" s="96" t="s">
        <v>467</v>
      </c>
      <c r="V148" s="96" t="s">
        <v>476</v>
      </c>
      <c r="W148" s="96" t="s">
        <v>584</v>
      </c>
      <c r="X148" s="96" t="s">
        <v>585</v>
      </c>
      <c r="Y148" s="96" t="s">
        <v>1287</v>
      </c>
      <c r="Z148" s="98">
        <f>COUNTIF($X$3:X148, X148)</f>
        <v>7</v>
      </c>
      <c r="AA148" s="98"/>
      <c r="AB148" s="98"/>
      <c r="AC148" s="98"/>
      <c r="AD148" s="98"/>
      <c r="AE148" s="321"/>
      <c r="AF148" s="98"/>
      <c r="AG148" s="98"/>
      <c r="AH148" s="98"/>
      <c r="AI148" s="98" t="e">
        <v>#N/A</v>
      </c>
      <c r="AJ148" s="98" t="e">
        <v>#N/A</v>
      </c>
      <c r="AK148" s="98" t="e">
        <v>#N/A</v>
      </c>
      <c r="AL148" s="98" t="e">
        <v>#N/A</v>
      </c>
      <c r="AM148" s="98" t="e">
        <v>#N/A</v>
      </c>
      <c r="AN148" s="99" t="e">
        <v>#N/A</v>
      </c>
      <c r="AO148" s="99" t="e">
        <v>#N/A</v>
      </c>
      <c r="AP148" s="99" t="e">
        <f>Tabla156[[#This Row],[Renov. Flota]]-Tabla156[[#This Row],[Año]]</f>
        <v>#N/A</v>
      </c>
      <c r="AQ148" s="100" t="e">
        <v>#N/A</v>
      </c>
      <c r="AR148" s="100" t="e">
        <f>VLOOKUP(Tabla156[[#This Row],[Matricula nueva]],'ALTA 20242025'!$B$2:$P$242,15,FALSE)</f>
        <v>#N/A</v>
      </c>
      <c r="AS148" s="101" t="e">
        <v>#N/A</v>
      </c>
      <c r="AT148" s="101"/>
      <c r="AU148" s="101"/>
      <c r="AV148" s="101"/>
      <c r="AW148" s="101" t="e">
        <f>VLOOKUP(Tabla156[[#This Row],[Matricula nueva]],Hoja2!$A$1:$B$224,2,FALSE)</f>
        <v>#N/A</v>
      </c>
      <c r="AX148" s="101" t="str">
        <f>IF(Tabla156[[#This Row],[Columna2]]="M1",5.1,"")</f>
        <v/>
      </c>
      <c r="AY148" s="101"/>
      <c r="AZ148" s="101"/>
      <c r="BA148" s="311">
        <f>IF(Tabla156[[#This Row],[Columna2]]="M1",13073,IF(Tabla156[[#This Row],[Columna2]]="N1",15815,IF(Tabla156[[#This Row],[Columna2]]="L3e",2831,53508)))</f>
        <v>53508</v>
      </c>
      <c r="BB148" s="311" t="e">
        <f>(Tabla156[[#This Row],[CVA]]*Tabla156[[#This Row],[F]]-Tabla156[[#This Row],[CVN]])/100*Tabla156[[#This Row],[L]]</f>
        <v>#VALUE!</v>
      </c>
      <c r="BC148" s="1"/>
      <c r="BD148" s="1" t="e">
        <f>VLOOKUP(B148,Tabla467824[[ID CAE2]:[AE '[kWh']]],6,FALSE)</f>
        <v>#N/A</v>
      </c>
      <c r="BE14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49" spans="1:57" ht="51.75" x14ac:dyDescent="0.25">
      <c r="A149" s="53" t="s">
        <v>774</v>
      </c>
      <c r="B149" s="53" t="s">
        <v>774</v>
      </c>
      <c r="C149" s="332" t="s">
        <v>775</v>
      </c>
      <c r="D149" s="104" t="s">
        <v>72</v>
      </c>
      <c r="E149" s="104"/>
      <c r="F149" s="104" t="s">
        <v>72</v>
      </c>
      <c r="G149" s="104"/>
      <c r="H149" s="104" t="s">
        <v>72</v>
      </c>
      <c r="I149" s="104" t="s">
        <v>72</v>
      </c>
      <c r="J149" s="104"/>
      <c r="K149" s="96" t="s">
        <v>73</v>
      </c>
      <c r="L149" s="96" t="s">
        <v>200</v>
      </c>
      <c r="M149" s="96" t="s">
        <v>201</v>
      </c>
      <c r="N149" s="96" t="s">
        <v>76</v>
      </c>
      <c r="O149" s="101">
        <f>VLOOKUP(Tabla156[[#This Row],[Matricula Antigua]],BAJA2022202320242025!$B$3:$CR$245,93,FALSE)</f>
        <v>43819</v>
      </c>
      <c r="P149" s="316">
        <v>45646</v>
      </c>
      <c r="Q149" s="317">
        <f>Tabla156[[#This Row],[F.Vig.Final]]-Tabla156[[#This Row],[f Vig Inicio]]</f>
        <v>1827</v>
      </c>
      <c r="R149" s="318">
        <f>YEAR(Tabla156[[#This Row],[F.Vig.Final]])</f>
        <v>2024</v>
      </c>
      <c r="S149" s="96" t="s">
        <v>77</v>
      </c>
      <c r="T149" s="96" t="s">
        <v>78</v>
      </c>
      <c r="U149" s="96" t="s">
        <v>359</v>
      </c>
      <c r="V149" s="96" t="s">
        <v>769</v>
      </c>
      <c r="W149" s="96" t="s">
        <v>119</v>
      </c>
      <c r="X149" s="332" t="s">
        <v>1674</v>
      </c>
      <c r="Y149" s="96" t="s">
        <v>776</v>
      </c>
      <c r="Z149" s="98">
        <f>COUNTIF($X$3:X149, X149)</f>
        <v>18</v>
      </c>
      <c r="AA149" s="337" t="s">
        <v>1661</v>
      </c>
      <c r="AB149" s="337" t="s">
        <v>1661</v>
      </c>
      <c r="AC149" s="337" t="s">
        <v>1662</v>
      </c>
      <c r="AD149" s="337" t="s">
        <v>1663</v>
      </c>
      <c r="AE149" s="339" t="s">
        <v>1664</v>
      </c>
      <c r="AF149" s="340" t="s">
        <v>1665</v>
      </c>
      <c r="AG149" s="340" t="s">
        <v>1666</v>
      </c>
      <c r="AH149" s="337" t="s">
        <v>1649</v>
      </c>
      <c r="AI149" s="337" t="s">
        <v>777</v>
      </c>
      <c r="AJ149" s="98" t="s">
        <v>140</v>
      </c>
      <c r="AK149" s="98" t="s">
        <v>151</v>
      </c>
      <c r="AL149" s="98" t="s">
        <v>87</v>
      </c>
      <c r="AM149" s="101" t="s">
        <v>258</v>
      </c>
      <c r="AN149" s="348" t="s">
        <v>89</v>
      </c>
      <c r="AO149" s="349">
        <v>45625</v>
      </c>
      <c r="AP149" s="98">
        <f>Tabla156[[#This Row],[Renov. Flota]]-Tabla156[[#This Row],[Año]]</f>
        <v>0</v>
      </c>
      <c r="AQ149" s="100" t="s">
        <v>119</v>
      </c>
      <c r="AR149" s="100" t="str">
        <f>VLOOKUP(Tabla156[[#This Row],[Matricula nueva]],'ALTA 20242025'!$B$2:$P$242,15,FALSE)</f>
        <v>4500424813</v>
      </c>
      <c r="AS149" s="101" t="s">
        <v>120</v>
      </c>
      <c r="AT149" s="101"/>
      <c r="AU149" s="101" t="s">
        <v>72</v>
      </c>
      <c r="AV149" s="101" t="s">
        <v>91</v>
      </c>
      <c r="AW149" s="101" t="str">
        <f>VLOOKUP(Tabla156[[#This Row],[Matricula nueva]],Hoja2!$A$1:$B$224,2,FALSE)</f>
        <v>VR7CBZYA1RT152192</v>
      </c>
      <c r="AX149" s="209">
        <f>IF(Tabla156[[#This Row],[Columna2]]="M1",5.1,"")</f>
        <v>5.0999999999999996</v>
      </c>
      <c r="AY149" s="208">
        <f>IF(T149="DIESEL",10,IF(T149="GLP",7.16,9.19))</f>
        <v>10</v>
      </c>
      <c r="AZ149" s="313">
        <v>16.399999999999999</v>
      </c>
      <c r="BA149" s="314">
        <f>IF(Tabla156[[#This Row],[Columna2]]="M1",13073,IF(Tabla156[[#This Row],[Columna2]]="N1",15815,IF(Tabla156[[#This Row],[Columna2]]="L3e",2831,53508)))</f>
        <v>13073</v>
      </c>
      <c r="BB149" s="350">
        <f>(Tabla156[[#This Row],[CVA]]*Tabla156[[#This Row],[F]]-Tabla156[[#This Row],[CVN]])/100*Tabla156[[#This Row],[L]]</f>
        <v>4523.2580000000007</v>
      </c>
      <c r="BC149" s="90" t="s">
        <v>70</v>
      </c>
      <c r="BD149" s="209">
        <f>VLOOKUP(B149,Tabla467824[[ID CAE2]:[AE '[kWh']]],6,FALSE)</f>
        <v>6795.3454000000002</v>
      </c>
      <c r="BE14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0" spans="1:57" ht="51.75" x14ac:dyDescent="0.25">
      <c r="A150" s="53" t="s">
        <v>780</v>
      </c>
      <c r="B150" s="53" t="s">
        <v>780</v>
      </c>
      <c r="C150" s="332" t="s">
        <v>781</v>
      </c>
      <c r="D150" s="104" t="s">
        <v>72</v>
      </c>
      <c r="E150" s="104" t="s">
        <v>72</v>
      </c>
      <c r="F150" s="104" t="s">
        <v>72</v>
      </c>
      <c r="G150" s="104"/>
      <c r="H150" s="104" t="s">
        <v>72</v>
      </c>
      <c r="I150" s="104" t="s">
        <v>72</v>
      </c>
      <c r="J150" s="104"/>
      <c r="K150" s="96" t="s">
        <v>73</v>
      </c>
      <c r="L150" s="96" t="s">
        <v>200</v>
      </c>
      <c r="M150" s="96" t="s">
        <v>201</v>
      </c>
      <c r="N150" s="96" t="s">
        <v>76</v>
      </c>
      <c r="O150" s="101">
        <f>VLOOKUP(Tabla156[[#This Row],[Matricula Antigua]],BAJA2022202320242025!$B$3:$CR$245,93,FALSE)</f>
        <v>43803</v>
      </c>
      <c r="P150" s="316">
        <v>45287</v>
      </c>
      <c r="Q150" s="317">
        <f>Tabla156[[#This Row],[F.Vig.Final]]-Tabla156[[#This Row],[f Vig Inicio]]</f>
        <v>1484</v>
      </c>
      <c r="R150" s="318">
        <f>YEAR(Tabla156[[#This Row],[F.Vig.Final]])</f>
        <v>2023</v>
      </c>
      <c r="S150" s="96" t="s">
        <v>77</v>
      </c>
      <c r="T150" s="96" t="s">
        <v>78</v>
      </c>
      <c r="U150" s="96" t="s">
        <v>359</v>
      </c>
      <c r="V150" s="96" t="s">
        <v>769</v>
      </c>
      <c r="W150" s="96" t="s">
        <v>102</v>
      </c>
      <c r="X150" s="332" t="s">
        <v>1667</v>
      </c>
      <c r="Y150" s="96" t="s">
        <v>782</v>
      </c>
      <c r="Z150" s="98">
        <f>COUNTIF($X$3:X150, X150)</f>
        <v>33</v>
      </c>
      <c r="AA150" s="337" t="s">
        <v>1668</v>
      </c>
      <c r="AB150" s="337" t="s">
        <v>1668</v>
      </c>
      <c r="AC150" s="337" t="s">
        <v>1669</v>
      </c>
      <c r="AD150" s="341" t="s">
        <v>1670</v>
      </c>
      <c r="AE150" s="342" t="s">
        <v>1671</v>
      </c>
      <c r="AF150" s="337" t="s">
        <v>1672</v>
      </c>
      <c r="AG150" s="344" t="s">
        <v>1673</v>
      </c>
      <c r="AH150" s="337" t="s">
        <v>1649</v>
      </c>
      <c r="AI150" s="337" t="s">
        <v>783</v>
      </c>
      <c r="AJ150" s="98" t="s">
        <v>85</v>
      </c>
      <c r="AK150" s="98" t="s">
        <v>114</v>
      </c>
      <c r="AL150" s="98" t="s">
        <v>87</v>
      </c>
      <c r="AM150" s="101" t="s">
        <v>457</v>
      </c>
      <c r="AN150" s="348" t="s">
        <v>108</v>
      </c>
      <c r="AO150" s="349">
        <v>45135</v>
      </c>
      <c r="AP150" s="98">
        <f>Tabla156[[#This Row],[Renov. Flota]]-Tabla156[[#This Row],[Año]]</f>
        <v>0</v>
      </c>
      <c r="AQ150" s="100" t="s">
        <v>102</v>
      </c>
      <c r="AR150" s="100">
        <v>4500370370</v>
      </c>
      <c r="AS150" s="101" t="s">
        <v>103</v>
      </c>
      <c r="AT150" s="101"/>
      <c r="AU150" s="101" t="s">
        <v>72</v>
      </c>
      <c r="AV150" s="101" t="s">
        <v>109</v>
      </c>
      <c r="AW150" s="101" t="s">
        <v>784</v>
      </c>
      <c r="AX150" s="209">
        <f>IF(Tabla156[[#This Row],[Columna2]]="M1",5.1,"")</f>
        <v>5.0999999999999996</v>
      </c>
      <c r="AY150" s="208">
        <f>IF(T150="DIESEL",10,IF(T150="GLP",7.16,9.19))</f>
        <v>10</v>
      </c>
      <c r="AZ150" s="313">
        <v>17.3</v>
      </c>
      <c r="BA150" s="314">
        <f>IF(Tabla156[[#This Row],[Columna2]]="M1",13073,IF(Tabla156[[#This Row],[Columna2]]="N1",15815,IF(Tabla156[[#This Row],[Columna2]]="L3e",2831,53508)))</f>
        <v>13073</v>
      </c>
      <c r="BB150" s="350">
        <f>(Tabla156[[#This Row],[CVA]]*Tabla156[[#This Row],[F]]-Tabla156[[#This Row],[CVN]])/100*Tabla156[[#This Row],[L]]</f>
        <v>4405.6010000000006</v>
      </c>
      <c r="BC150" s="294" t="s">
        <v>70</v>
      </c>
      <c r="BD150" s="209">
        <f>VLOOKUP(B150,Tabla467824[[ID CAE2]:[AE '[kWh']]],6,FALSE)</f>
        <v>6795.3454000000002</v>
      </c>
      <c r="BE15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1" spans="1:57" ht="52.5" thickBot="1" x14ac:dyDescent="0.3">
      <c r="A151" s="53" t="s">
        <v>785</v>
      </c>
      <c r="B151" s="53" t="s">
        <v>785</v>
      </c>
      <c r="C151" s="332" t="s">
        <v>786</v>
      </c>
      <c r="D151" s="104" t="s">
        <v>72</v>
      </c>
      <c r="E151" s="104" t="s">
        <v>72</v>
      </c>
      <c r="F151" s="104" t="s">
        <v>72</v>
      </c>
      <c r="G151" s="104"/>
      <c r="H151" s="104" t="s">
        <v>249</v>
      </c>
      <c r="I151" s="104" t="s">
        <v>249</v>
      </c>
      <c r="J151" s="104"/>
      <c r="K151" s="96" t="s">
        <v>725</v>
      </c>
      <c r="L151" s="96" t="s">
        <v>74</v>
      </c>
      <c r="M151" s="96" t="s">
        <v>75</v>
      </c>
      <c r="N151" s="96" t="s">
        <v>76</v>
      </c>
      <c r="O151" s="99">
        <f>VLOOKUP(Tabla156[[#This Row],[Matricula Antigua]],BAJA2022202320242025!$B$3:$CR$245,93,FALSE)</f>
        <v>44958</v>
      </c>
      <c r="P151" s="316">
        <v>45188</v>
      </c>
      <c r="Q151" s="317">
        <f>Tabla156[[#This Row],[F.Vig.Final]]-Tabla156[[#This Row],[f Vig Inicio]]</f>
        <v>230</v>
      </c>
      <c r="R151" s="318">
        <f>YEAR(Tabla156[[#This Row],[F.Vig.Final]])</f>
        <v>2023</v>
      </c>
      <c r="S151" s="96" t="s">
        <v>77</v>
      </c>
      <c r="T151" s="96" t="s">
        <v>78</v>
      </c>
      <c r="U151" s="96" t="s">
        <v>380</v>
      </c>
      <c r="V151" s="96" t="s">
        <v>787</v>
      </c>
      <c r="W151" s="96" t="s">
        <v>102</v>
      </c>
      <c r="X151" s="332" t="s">
        <v>1667</v>
      </c>
      <c r="Y151" s="96" t="s">
        <v>440</v>
      </c>
      <c r="Z151" s="98">
        <f>COUNTIF($X$3:X151, X151)</f>
        <v>34</v>
      </c>
      <c r="AA151" s="337" t="s">
        <v>1668</v>
      </c>
      <c r="AB151" s="337" t="s">
        <v>1668</v>
      </c>
      <c r="AC151" s="337" t="s">
        <v>1669</v>
      </c>
      <c r="AD151" s="341" t="s">
        <v>1670</v>
      </c>
      <c r="AE151" s="342" t="s">
        <v>1671</v>
      </c>
      <c r="AF151" s="337" t="s">
        <v>1672</v>
      </c>
      <c r="AG151" s="344" t="s">
        <v>1673</v>
      </c>
      <c r="AH151" s="337" t="s">
        <v>1649</v>
      </c>
      <c r="AI151" s="337" t="s">
        <v>788</v>
      </c>
      <c r="AJ151" s="98" t="s">
        <v>85</v>
      </c>
      <c r="AK151" s="98" t="s">
        <v>114</v>
      </c>
      <c r="AL151" s="98" t="s">
        <v>87</v>
      </c>
      <c r="AM151" s="101" t="s">
        <v>567</v>
      </c>
      <c r="AN151" s="348" t="s">
        <v>108</v>
      </c>
      <c r="AO151" s="349">
        <v>44922</v>
      </c>
      <c r="AP151" s="98">
        <f>Tabla156[[#This Row],[Renov. Flota]]-Tabla156[[#This Row],[Año]]</f>
        <v>0</v>
      </c>
      <c r="AQ151" s="100" t="s">
        <v>102</v>
      </c>
      <c r="AR151" s="100">
        <v>4500348765</v>
      </c>
      <c r="AS151" s="101" t="s">
        <v>103</v>
      </c>
      <c r="AT151" s="101"/>
      <c r="AU151" s="101" t="s">
        <v>72</v>
      </c>
      <c r="AV151" s="101" t="s">
        <v>109</v>
      </c>
      <c r="AW151" s="101" t="s">
        <v>789</v>
      </c>
      <c r="AX151" s="209">
        <v>5.6</v>
      </c>
      <c r="AY151" s="208">
        <f>IF(T151="DIESEL",10,IF(T151="GLP",7.16,9.19))</f>
        <v>10</v>
      </c>
      <c r="AZ151" s="313">
        <v>17.3</v>
      </c>
      <c r="BA151" s="314">
        <f>IF(Tabla156[[#This Row],[Columna2]]="M1",13073,IF(Tabla156[[#This Row],[Columna2]]="N1",15815,IF(Tabla156[[#This Row],[Columna2]]="L3e",2831,53508)))</f>
        <v>15815</v>
      </c>
      <c r="BB151" s="350">
        <f>(Tabla156[[#This Row],[CVA]]*Tabla156[[#This Row],[F]]-Tabla156[[#This Row],[CVN]])/100*Tabla156[[#This Row],[L]]</f>
        <v>6120.4049999999997</v>
      </c>
      <c r="BC151" s="91" t="s">
        <v>128</v>
      </c>
      <c r="BD151" s="209">
        <f>VLOOKUP(B151,Tabla467824[[ID CAE2]:[AE '[kWh']]],6,FALSE)</f>
        <v>5607.9989999999989</v>
      </c>
      <c r="BE15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2" spans="1:57" ht="15.75" hidden="1" thickBot="1" x14ac:dyDescent="0.3">
      <c r="A152" s="53" t="s">
        <v>1288</v>
      </c>
      <c r="B152" s="53" t="e">
        <v>#N/A</v>
      </c>
      <c r="C152" s="96" t="s">
        <v>1289</v>
      </c>
      <c r="D152" s="96"/>
      <c r="E152" s="96"/>
      <c r="F152" s="96"/>
      <c r="G152" s="96"/>
      <c r="H152" s="96"/>
      <c r="I152" s="96"/>
      <c r="J152" s="96"/>
      <c r="K152" s="96" t="s">
        <v>73</v>
      </c>
      <c r="L152" s="96" t="s">
        <v>200</v>
      </c>
      <c r="M152" s="96" t="s">
        <v>201</v>
      </c>
      <c r="N152" s="96" t="s">
        <v>76</v>
      </c>
      <c r="O152" s="101">
        <f>VLOOKUP(Tabla156[[#This Row],[Matricula Antigua]],BAJA2022202320242025!$B$3:$CR$245,93,FALSE)</f>
        <v>44176</v>
      </c>
      <c r="P152" s="99">
        <v>45637</v>
      </c>
      <c r="Q152" s="98">
        <f>Tabla156[[#This Row],[F.Vig.Final]]-Tabla156[[#This Row],[f Vig Inicio]]</f>
        <v>1461</v>
      </c>
      <c r="R152" s="99">
        <f>YEAR(Tabla156[[#This Row],[F.Vig.Final]])</f>
        <v>2024</v>
      </c>
      <c r="S152" s="96" t="s">
        <v>77</v>
      </c>
      <c r="T152" s="96" t="s">
        <v>78</v>
      </c>
      <c r="U152" s="96" t="s">
        <v>467</v>
      </c>
      <c r="V152" s="96" t="s">
        <v>476</v>
      </c>
      <c r="W152" s="96" t="s">
        <v>1290</v>
      </c>
      <c r="X152" s="96" t="s">
        <v>1291</v>
      </c>
      <c r="Y152" s="96" t="s">
        <v>1292</v>
      </c>
      <c r="Z152" s="98">
        <f>COUNTIF($X$3:X152, X152)</f>
        <v>1</v>
      </c>
      <c r="AA152" s="98"/>
      <c r="AB152" s="98"/>
      <c r="AC152" s="98"/>
      <c r="AD152" s="98"/>
      <c r="AE152" s="322"/>
      <c r="AF152" s="322"/>
      <c r="AG152" s="98"/>
      <c r="AH152" s="98"/>
      <c r="AI152" s="98" t="e">
        <v>#N/A</v>
      </c>
      <c r="AJ152" s="98" t="e">
        <v>#N/A</v>
      </c>
      <c r="AK152" s="98" t="e">
        <v>#N/A</v>
      </c>
      <c r="AL152" s="98" t="e">
        <v>#N/A</v>
      </c>
      <c r="AM152" s="98" t="e">
        <v>#N/A</v>
      </c>
      <c r="AN152" s="99" t="e">
        <v>#N/A</v>
      </c>
      <c r="AO152" s="99" t="e">
        <v>#N/A</v>
      </c>
      <c r="AP152" s="99" t="e">
        <f>Tabla156[[#This Row],[Renov. Flota]]-Tabla156[[#This Row],[Año]]</f>
        <v>#N/A</v>
      </c>
      <c r="AQ152" s="100" t="e">
        <v>#N/A</v>
      </c>
      <c r="AR152" s="100" t="e">
        <f>VLOOKUP(Tabla156[[#This Row],[Matricula nueva]],'ALTA 20242025'!$B$2:$P$242,15,FALSE)</f>
        <v>#N/A</v>
      </c>
      <c r="AS152" s="101" t="e">
        <v>#N/A</v>
      </c>
      <c r="AT152" s="101"/>
      <c r="AU152" s="101"/>
      <c r="AV152" s="101"/>
      <c r="AW152" s="101" t="e">
        <f>VLOOKUP(Tabla156[[#This Row],[Matricula nueva]],Hoja2!$A$1:$B$224,2,FALSE)</f>
        <v>#N/A</v>
      </c>
      <c r="AX152" s="101" t="str">
        <f>IF(Tabla156[[#This Row],[Columna2]]="M1",5.1,"")</f>
        <v/>
      </c>
      <c r="AY152" s="101"/>
      <c r="AZ152" s="101"/>
      <c r="BA152" s="311">
        <f>IF(Tabla156[[#This Row],[Columna2]]="M1",13073,IF(Tabla156[[#This Row],[Columna2]]="N1",15815,IF(Tabla156[[#This Row],[Columna2]]="L3e",2831,53508)))</f>
        <v>53508</v>
      </c>
      <c r="BB152" s="311" t="e">
        <f>(Tabla156[[#This Row],[CVA]]*Tabla156[[#This Row],[F]]-Tabla156[[#This Row],[CVN]])/100*Tabla156[[#This Row],[L]]</f>
        <v>#VALUE!</v>
      </c>
      <c r="BC152" s="1"/>
      <c r="BD152" s="1" t="e">
        <f>VLOOKUP(B152,Tabla467824[[ID CAE2]:[AE '[kWh']]],6,FALSE)</f>
        <v>#N/A</v>
      </c>
      <c r="BE15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53" spans="1:57" ht="51.75" x14ac:dyDescent="0.25">
      <c r="A153" s="53" t="s">
        <v>790</v>
      </c>
      <c r="B153" s="53" t="s">
        <v>790</v>
      </c>
      <c r="C153" s="332" t="s">
        <v>791</v>
      </c>
      <c r="D153" s="104"/>
      <c r="E153" s="104"/>
      <c r="F153" s="104"/>
      <c r="G153" s="104" t="s">
        <v>72</v>
      </c>
      <c r="H153" s="104" t="s">
        <v>72</v>
      </c>
      <c r="I153" s="104" t="s">
        <v>72</v>
      </c>
      <c r="J153" s="104" t="s">
        <v>72</v>
      </c>
      <c r="K153" s="96" t="s">
        <v>158</v>
      </c>
      <c r="L153" s="96" t="s">
        <v>159</v>
      </c>
      <c r="M153" s="96" t="s">
        <v>158</v>
      </c>
      <c r="N153" s="96" t="s">
        <v>171</v>
      </c>
      <c r="O153" s="99">
        <f>VLOOKUP(Tabla156[[#This Row],[Matricula Antigua]],BAJA2022202320242025!$B$3:$CR$245,93,FALSE)</f>
        <v>41638</v>
      </c>
      <c r="P153" s="316">
        <v>44971</v>
      </c>
      <c r="Q153" s="317">
        <f>Tabla156[[#This Row],[F.Vig.Final]]-Tabla156[[#This Row],[f Vig Inicio]]</f>
        <v>3333</v>
      </c>
      <c r="R153" s="318">
        <f>YEAR(Tabla156[[#This Row],[F.Vig.Final]])</f>
        <v>2023</v>
      </c>
      <c r="S153" s="96" t="s">
        <v>172</v>
      </c>
      <c r="T153" s="96" t="s">
        <v>78</v>
      </c>
      <c r="U153" s="96" t="s">
        <v>380</v>
      </c>
      <c r="V153" s="96" t="s">
        <v>792</v>
      </c>
      <c r="W153" s="96" t="s">
        <v>131</v>
      </c>
      <c r="X153" s="332" t="s">
        <v>132</v>
      </c>
      <c r="Y153" s="96" t="s">
        <v>793</v>
      </c>
      <c r="Z153" s="98">
        <f>COUNTIF($X$3:X153, X153)</f>
        <v>10</v>
      </c>
      <c r="AA153" s="337" t="s">
        <v>1661</v>
      </c>
      <c r="AB153" s="337" t="s">
        <v>1661</v>
      </c>
      <c r="AC153" s="337" t="s">
        <v>1662</v>
      </c>
      <c r="AD153" s="333" t="s">
        <v>1675</v>
      </c>
      <c r="AE153" s="347" t="s">
        <v>1664</v>
      </c>
      <c r="AF153" s="337" t="s">
        <v>1676</v>
      </c>
      <c r="AG153" s="337" t="s">
        <v>1677</v>
      </c>
      <c r="AH153" s="337" t="s">
        <v>1649</v>
      </c>
      <c r="AI153" s="337" t="s">
        <v>794</v>
      </c>
      <c r="AJ153" s="98" t="s">
        <v>140</v>
      </c>
      <c r="AK153" s="98" t="s">
        <v>151</v>
      </c>
      <c r="AL153" s="98" t="s">
        <v>87</v>
      </c>
      <c r="AM153" s="101" t="s">
        <v>622</v>
      </c>
      <c r="AN153" s="348" t="s">
        <v>89</v>
      </c>
      <c r="AO153" s="349">
        <v>45625</v>
      </c>
      <c r="AP153" s="98">
        <f>Tabla156[[#This Row],[Renov. Flota]]-Tabla156[[#This Row],[Año]]</f>
        <v>1</v>
      </c>
      <c r="AQ153" s="100" t="s">
        <v>131</v>
      </c>
      <c r="AR153" s="100" t="str">
        <f>VLOOKUP(Tabla156[[#This Row],[Matricula nueva]],'ALTA 20242025'!$B$2:$P$242,15,FALSE)</f>
        <v>4500424804</v>
      </c>
      <c r="AS153" s="101" t="s">
        <v>132</v>
      </c>
      <c r="AT153" s="101"/>
      <c r="AU153" s="101" t="s">
        <v>72</v>
      </c>
      <c r="AV153" s="101" t="s">
        <v>91</v>
      </c>
      <c r="AW153" s="101" t="str">
        <f>VLOOKUP(Tabla156[[#This Row],[Matricula nueva]],Hoja2!$A$1:$B$224,2,FALSE)</f>
        <v>VR7CBZYA1RT152211</v>
      </c>
      <c r="AX153" s="209">
        <v>5.6</v>
      </c>
      <c r="AY153" s="208">
        <f t="shared" ref="AY153:AY163" si="7">IF(T153="DIESEL",10,IF(T153="GLP",7.16,9.19))</f>
        <v>10</v>
      </c>
      <c r="AZ153" s="313">
        <v>16.399999999999999</v>
      </c>
      <c r="BA153" s="314">
        <f>IF(Tabla156[[#This Row],[Columna2]]="M1",13073,IF(Tabla156[[#This Row],[Columna2]]="N1",15815,IF(Tabla156[[#This Row],[Columna2]]="L3e",2831,53508)))</f>
        <v>15815</v>
      </c>
      <c r="BB153" s="350">
        <f>(Tabla156[[#This Row],[CVA]]*Tabla156[[#This Row],[F]]-Tabla156[[#This Row],[CVN]])/100*Tabla156[[#This Row],[L]]</f>
        <v>6262.7400000000007</v>
      </c>
      <c r="BC153" s="90" t="s">
        <v>128</v>
      </c>
      <c r="BD153" s="209">
        <f>VLOOKUP(B153,Tabla467824[[ID CAE2]:[AE '[kWh']]],6,FALSE)</f>
        <v>5607.9989999999989</v>
      </c>
      <c r="BE15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54" spans="1:57" ht="51.75" x14ac:dyDescent="0.25">
      <c r="A154" s="53" t="s">
        <v>797</v>
      </c>
      <c r="B154" s="53" t="s">
        <v>797</v>
      </c>
      <c r="C154" s="332" t="s">
        <v>798</v>
      </c>
      <c r="D154" s="104" t="s">
        <v>72</v>
      </c>
      <c r="E154" s="104" t="s">
        <v>72</v>
      </c>
      <c r="F154" s="104" t="s">
        <v>72</v>
      </c>
      <c r="G154" s="104"/>
      <c r="H154" s="104" t="s">
        <v>249</v>
      </c>
      <c r="I154" s="104" t="s">
        <v>249</v>
      </c>
      <c r="J154" s="104"/>
      <c r="K154" s="96" t="s">
        <v>725</v>
      </c>
      <c r="L154" s="96" t="s">
        <v>74</v>
      </c>
      <c r="M154" s="96" t="s">
        <v>75</v>
      </c>
      <c r="N154" s="96" t="s">
        <v>76</v>
      </c>
      <c r="O154" s="99">
        <f>VLOOKUP(Tabla156[[#This Row],[Matricula Antigua]],BAJA2022202320242025!$B$3:$CR$245,93,FALSE)</f>
        <v>45017</v>
      </c>
      <c r="P154" s="316">
        <v>45188</v>
      </c>
      <c r="Q154" s="317">
        <f>Tabla156[[#This Row],[F.Vig.Final]]-Tabla156[[#This Row],[f Vig Inicio]]</f>
        <v>171</v>
      </c>
      <c r="R154" s="318">
        <f>YEAR(Tabla156[[#This Row],[F.Vig.Final]])</f>
        <v>2023</v>
      </c>
      <c r="S154" s="96" t="s">
        <v>77</v>
      </c>
      <c r="T154" s="96" t="s">
        <v>78</v>
      </c>
      <c r="U154" s="96" t="s">
        <v>380</v>
      </c>
      <c r="V154" s="96" t="s">
        <v>799</v>
      </c>
      <c r="W154" s="96" t="s">
        <v>102</v>
      </c>
      <c r="X154" s="332" t="s">
        <v>1667</v>
      </c>
      <c r="Y154" s="96" t="s">
        <v>440</v>
      </c>
      <c r="Z154" s="98">
        <f>COUNTIF($X$3:X154, X154)</f>
        <v>35</v>
      </c>
      <c r="AA154" s="337" t="s">
        <v>1668</v>
      </c>
      <c r="AB154" s="337" t="s">
        <v>1668</v>
      </c>
      <c r="AC154" s="337" t="s">
        <v>1669</v>
      </c>
      <c r="AD154" s="341" t="s">
        <v>1670</v>
      </c>
      <c r="AE154" s="339" t="s">
        <v>1671</v>
      </c>
      <c r="AF154" s="340" t="s">
        <v>1672</v>
      </c>
      <c r="AG154" s="356" t="s">
        <v>1673</v>
      </c>
      <c r="AH154" s="337" t="s">
        <v>1649</v>
      </c>
      <c r="AI154" s="337" t="s">
        <v>800</v>
      </c>
      <c r="AJ154" s="98" t="s">
        <v>85</v>
      </c>
      <c r="AK154" s="98" t="s">
        <v>340</v>
      </c>
      <c r="AL154" s="98" t="s">
        <v>87</v>
      </c>
      <c r="AM154" s="101" t="s">
        <v>562</v>
      </c>
      <c r="AN154" s="348" t="s">
        <v>108</v>
      </c>
      <c r="AO154" s="349">
        <v>44929</v>
      </c>
      <c r="AP154" s="98">
        <f>Tabla156[[#This Row],[Renov. Flota]]-Tabla156[[#This Row],[Año]]</f>
        <v>0</v>
      </c>
      <c r="AQ154" s="100" t="s">
        <v>102</v>
      </c>
      <c r="AR154" s="100">
        <v>4500350425</v>
      </c>
      <c r="AS154" s="101" t="s">
        <v>103</v>
      </c>
      <c r="AT154" s="101"/>
      <c r="AU154" s="101" t="s">
        <v>72</v>
      </c>
      <c r="AV154" s="101" t="s">
        <v>109</v>
      </c>
      <c r="AW154" s="101" t="s">
        <v>801</v>
      </c>
      <c r="AX154" s="209">
        <v>5.6</v>
      </c>
      <c r="AY154" s="208">
        <f t="shared" si="7"/>
        <v>10</v>
      </c>
      <c r="AZ154" s="313">
        <v>13.3</v>
      </c>
      <c r="BA154" s="314">
        <f>IF(Tabla156[[#This Row],[Columna2]]="M1",13073,IF(Tabla156[[#This Row],[Columna2]]="N1",15815,IF(Tabla156[[#This Row],[Columna2]]="L3e",2831,53508)))</f>
        <v>15815</v>
      </c>
      <c r="BB154" s="350">
        <f>(Tabla156[[#This Row],[CVA]]*Tabla156[[#This Row],[F]]-Tabla156[[#This Row],[CVN]])/100*Tabla156[[#This Row],[L]]</f>
        <v>6753.005000000001</v>
      </c>
      <c r="BC154" s="294" t="s">
        <v>128</v>
      </c>
      <c r="BD154" s="209">
        <f>VLOOKUP(B154,Tabla467824[[ID CAE2]:[AE '[kWh']]],6,FALSE)</f>
        <v>5607.9989999999989</v>
      </c>
      <c r="BE15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5" spans="1:57" ht="60" x14ac:dyDescent="0.25">
      <c r="A155" s="53" t="s">
        <v>802</v>
      </c>
      <c r="B155" s="53" t="s">
        <v>802</v>
      </c>
      <c r="C155" s="332" t="s">
        <v>803</v>
      </c>
      <c r="D155" s="104" t="s">
        <v>72</v>
      </c>
      <c r="E155" s="104" t="s">
        <v>72</v>
      </c>
      <c r="F155" s="104" t="s">
        <v>72</v>
      </c>
      <c r="G155" s="104"/>
      <c r="H155" s="104" t="s">
        <v>72</v>
      </c>
      <c r="I155" s="104" t="s">
        <v>72</v>
      </c>
      <c r="J155" s="104"/>
      <c r="K155" s="96" t="s">
        <v>73</v>
      </c>
      <c r="L155" s="96" t="s">
        <v>200</v>
      </c>
      <c r="M155" s="96" t="s">
        <v>201</v>
      </c>
      <c r="N155" s="96" t="s">
        <v>76</v>
      </c>
      <c r="O155" s="101">
        <f>VLOOKUP(Tabla156[[#This Row],[Matricula Antigua]],BAJA2022202320242025!$B$3:$CR$245,93,FALSE)</f>
        <v>44244</v>
      </c>
      <c r="P155" s="316">
        <v>45705</v>
      </c>
      <c r="Q155" s="317">
        <f>Tabla156[[#This Row],[F.Vig.Final]]-Tabla156[[#This Row],[f Vig Inicio]]</f>
        <v>1461</v>
      </c>
      <c r="R155" s="318">
        <f>YEAR(Tabla156[[#This Row],[F.Vig.Final]])</f>
        <v>2025</v>
      </c>
      <c r="S155" s="96" t="s">
        <v>77</v>
      </c>
      <c r="T155" s="96" t="s">
        <v>78</v>
      </c>
      <c r="U155" s="96" t="s">
        <v>85</v>
      </c>
      <c r="V155" s="96" t="s">
        <v>804</v>
      </c>
      <c r="W155" s="96" t="s">
        <v>336</v>
      </c>
      <c r="X155" s="332" t="s">
        <v>337</v>
      </c>
      <c r="Y155" s="96" t="s">
        <v>805</v>
      </c>
      <c r="Z155" s="98">
        <f>COUNTIF($X$3:X155, X155)</f>
        <v>8</v>
      </c>
      <c r="AA155" s="337" t="s">
        <v>1661</v>
      </c>
      <c r="AB155" s="337" t="s">
        <v>1661</v>
      </c>
      <c r="AC155" s="337" t="s">
        <v>1662</v>
      </c>
      <c r="AD155" s="341" t="s">
        <v>1682</v>
      </c>
      <c r="AE155" s="347" t="s">
        <v>1664</v>
      </c>
      <c r="AF155" s="337" t="s">
        <v>1683</v>
      </c>
      <c r="AG155" s="337" t="s">
        <v>1684</v>
      </c>
      <c r="AH155" s="337" t="s">
        <v>1649</v>
      </c>
      <c r="AI155" s="337" t="s">
        <v>806</v>
      </c>
      <c r="AJ155" s="98" t="s">
        <v>140</v>
      </c>
      <c r="AK155" s="98" t="s">
        <v>151</v>
      </c>
      <c r="AL155" s="98" t="s">
        <v>87</v>
      </c>
      <c r="AM155" s="101" t="s">
        <v>807</v>
      </c>
      <c r="AN155" s="348" t="s">
        <v>89</v>
      </c>
      <c r="AO155" s="349">
        <v>45625</v>
      </c>
      <c r="AP155" s="98">
        <f>Tabla156[[#This Row],[Renov. Flota]]-Tabla156[[#This Row],[Año]]</f>
        <v>-1</v>
      </c>
      <c r="AQ155" s="100" t="s">
        <v>336</v>
      </c>
      <c r="AR155" s="100" t="str">
        <f>VLOOKUP(Tabla156[[#This Row],[Matricula nueva]],'ALTA 20242025'!$B$2:$P$242,15,FALSE)</f>
        <v>4500425488</v>
      </c>
      <c r="AS155" s="101" t="s">
        <v>337</v>
      </c>
      <c r="AT155" s="101"/>
      <c r="AU155" s="101" t="s">
        <v>72</v>
      </c>
      <c r="AV155" s="101" t="s">
        <v>91</v>
      </c>
      <c r="AW155" s="101" t="str">
        <f>VLOOKUP(Tabla156[[#This Row],[Matricula nueva]],Hoja2!$A$1:$B$224,2,FALSE)</f>
        <v>VR7CBZYA2RT153044</v>
      </c>
      <c r="AX155" s="209">
        <v>5.6</v>
      </c>
      <c r="AY155" s="208">
        <f t="shared" si="7"/>
        <v>10</v>
      </c>
      <c r="AZ155" s="313">
        <v>16.399999999999999</v>
      </c>
      <c r="BA155" s="314">
        <f>IF(Tabla156[[#This Row],[Columna2]]="M1",13073,IF(Tabla156[[#This Row],[Columna2]]="N1",15815,IF(Tabla156[[#This Row],[Columna2]]="L3e",2831,53508)))</f>
        <v>15815</v>
      </c>
      <c r="BB155" s="350">
        <f>(Tabla156[[#This Row],[CVA]]*Tabla156[[#This Row],[F]]-Tabla156[[#This Row],[CVN]])/100*Tabla156[[#This Row],[L]]</f>
        <v>6262.7400000000007</v>
      </c>
      <c r="BC155" s="294" t="s">
        <v>128</v>
      </c>
      <c r="BD155" s="209">
        <f>VLOOKUP(B155,Tabla467824[[ID CAE2]:[AE '[kWh']]],6,FALSE)</f>
        <v>6795.3454000000002</v>
      </c>
      <c r="BE15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6" spans="1:57" ht="51.75" x14ac:dyDescent="0.25">
      <c r="A156" s="53" t="s">
        <v>810</v>
      </c>
      <c r="B156" s="53" t="s">
        <v>810</v>
      </c>
      <c r="C156" s="332" t="s">
        <v>811</v>
      </c>
      <c r="D156" s="104" t="s">
        <v>72</v>
      </c>
      <c r="E156" s="104" t="s">
        <v>72</v>
      </c>
      <c r="F156" s="104" t="s">
        <v>72</v>
      </c>
      <c r="G156" s="104"/>
      <c r="H156" s="104" t="s">
        <v>249</v>
      </c>
      <c r="I156" s="104" t="s">
        <v>249</v>
      </c>
      <c r="J156" s="104"/>
      <c r="K156" s="96" t="s">
        <v>725</v>
      </c>
      <c r="L156" s="96" t="s">
        <v>74</v>
      </c>
      <c r="M156" s="96" t="s">
        <v>75</v>
      </c>
      <c r="N156" s="96" t="s">
        <v>76</v>
      </c>
      <c r="O156" s="99">
        <f>VLOOKUP(Tabla156[[#This Row],[Matricula Antigua]],BAJA2022202320242025!$B$3:$CR$245,93,FALSE)</f>
        <v>44958</v>
      </c>
      <c r="P156" s="316">
        <v>45107</v>
      </c>
      <c r="Q156" s="317">
        <f>Tabla156[[#This Row],[F.Vig.Final]]-Tabla156[[#This Row],[f Vig Inicio]]</f>
        <v>149</v>
      </c>
      <c r="R156" s="318">
        <f>YEAR(Tabla156[[#This Row],[F.Vig.Final]])</f>
        <v>2023</v>
      </c>
      <c r="S156" s="96" t="s">
        <v>77</v>
      </c>
      <c r="T156" s="96" t="s">
        <v>78</v>
      </c>
      <c r="U156" s="96" t="s">
        <v>79</v>
      </c>
      <c r="V156" s="96" t="s">
        <v>812</v>
      </c>
      <c r="W156" s="96" t="s">
        <v>102</v>
      </c>
      <c r="X156" s="332" t="s">
        <v>1667</v>
      </c>
      <c r="Y156" s="96" t="s">
        <v>440</v>
      </c>
      <c r="Z156" s="98">
        <f>COUNTIF($X$3:X156, X156)</f>
        <v>36</v>
      </c>
      <c r="AA156" s="337" t="s">
        <v>1668</v>
      </c>
      <c r="AB156" s="337" t="s">
        <v>1668</v>
      </c>
      <c r="AC156" s="337" t="s">
        <v>1669</v>
      </c>
      <c r="AD156" s="341" t="s">
        <v>1670</v>
      </c>
      <c r="AE156" s="345" t="s">
        <v>1671</v>
      </c>
      <c r="AF156" s="346" t="s">
        <v>1672</v>
      </c>
      <c r="AG156" s="357" t="s">
        <v>1673</v>
      </c>
      <c r="AH156" s="337" t="s">
        <v>1649</v>
      </c>
      <c r="AI156" s="337" t="s">
        <v>813</v>
      </c>
      <c r="AJ156" s="98" t="s">
        <v>359</v>
      </c>
      <c r="AK156" s="98" t="s">
        <v>452</v>
      </c>
      <c r="AL156" s="98" t="s">
        <v>87</v>
      </c>
      <c r="AM156" s="101" t="s">
        <v>440</v>
      </c>
      <c r="AN156" s="348" t="s">
        <v>108</v>
      </c>
      <c r="AO156" s="349">
        <v>45051</v>
      </c>
      <c r="AP156" s="98">
        <f>Tabla156[[#This Row],[Renov. Flota]]-Tabla156[[#This Row],[Año]]</f>
        <v>0</v>
      </c>
      <c r="AQ156" s="100" t="s">
        <v>102</v>
      </c>
      <c r="AR156" s="100">
        <v>4500352577</v>
      </c>
      <c r="AS156" s="101" t="s">
        <v>103</v>
      </c>
      <c r="AT156" s="101"/>
      <c r="AU156" s="101" t="s">
        <v>72</v>
      </c>
      <c r="AV156" s="101" t="s">
        <v>109</v>
      </c>
      <c r="AW156" s="101" t="s">
        <v>814</v>
      </c>
      <c r="AX156" s="209">
        <v>5.6</v>
      </c>
      <c r="AY156" s="208">
        <f t="shared" si="7"/>
        <v>10</v>
      </c>
      <c r="AZ156" s="313">
        <v>28.1</v>
      </c>
      <c r="BA156" s="314">
        <f>IF(Tabla156[[#This Row],[Columna2]]="M1",13073,IF(Tabla156[[#This Row],[Columna2]]="N1",15815,IF(Tabla156[[#This Row],[Columna2]]="L3e",2831,53508)))</f>
        <v>15815</v>
      </c>
      <c r="BB156" s="350">
        <f>(Tabla156[[#This Row],[CVA]]*Tabla156[[#This Row],[F]]-Tabla156[[#This Row],[CVN]])/100*Tabla156[[#This Row],[L]]</f>
        <v>4412.3849999999993</v>
      </c>
      <c r="BC156" s="294" t="s">
        <v>128</v>
      </c>
      <c r="BD156" s="209">
        <f>VLOOKUP(B156,Tabla467824[[ID CAE2]:[AE '[kWh']]],6,FALSE)</f>
        <v>5607.9989999999989</v>
      </c>
      <c r="BE15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7" spans="1:57" ht="51.75" x14ac:dyDescent="0.25">
      <c r="A157" s="53" t="s">
        <v>815</v>
      </c>
      <c r="B157" s="53" t="s">
        <v>815</v>
      </c>
      <c r="C157" s="332" t="s">
        <v>816</v>
      </c>
      <c r="D157" s="104" t="s">
        <v>72</v>
      </c>
      <c r="E157" s="104"/>
      <c r="F157" s="104" t="s">
        <v>72</v>
      </c>
      <c r="G157" s="104"/>
      <c r="H157" s="104" t="s">
        <v>72</v>
      </c>
      <c r="I157" s="104" t="s">
        <v>72</v>
      </c>
      <c r="J157" s="104"/>
      <c r="K157" s="96" t="s">
        <v>73</v>
      </c>
      <c r="L157" s="96" t="s">
        <v>200</v>
      </c>
      <c r="M157" s="96" t="s">
        <v>201</v>
      </c>
      <c r="N157" s="96" t="s">
        <v>76</v>
      </c>
      <c r="O157" s="101">
        <f>VLOOKUP(Tabla156[[#This Row],[Matricula Antigua]],BAJA2022202320242025!$B$3:$CR$245,93,FALSE)</f>
        <v>44140</v>
      </c>
      <c r="P157" s="316">
        <v>45601</v>
      </c>
      <c r="Q157" s="317">
        <f>Tabla156[[#This Row],[F.Vig.Final]]-Tabla156[[#This Row],[f Vig Inicio]]</f>
        <v>1461</v>
      </c>
      <c r="R157" s="318">
        <f>YEAR(Tabla156[[#This Row],[F.Vig.Final]])</f>
        <v>2024</v>
      </c>
      <c r="S157" s="96" t="s">
        <v>77</v>
      </c>
      <c r="T157" s="96" t="s">
        <v>78</v>
      </c>
      <c r="U157" s="96" t="s">
        <v>213</v>
      </c>
      <c r="V157" s="96" t="s">
        <v>817</v>
      </c>
      <c r="W157" s="96" t="s">
        <v>119</v>
      </c>
      <c r="X157" s="332" t="s">
        <v>1674</v>
      </c>
      <c r="Y157" s="96" t="s">
        <v>386</v>
      </c>
      <c r="Z157" s="98">
        <f>COUNTIF($X$3:X157, X157)</f>
        <v>19</v>
      </c>
      <c r="AA157" s="337" t="s">
        <v>1661</v>
      </c>
      <c r="AB157" s="337" t="s">
        <v>1661</v>
      </c>
      <c r="AC157" s="337" t="s">
        <v>1662</v>
      </c>
      <c r="AD157" s="337" t="s">
        <v>1663</v>
      </c>
      <c r="AE157" s="345" t="s">
        <v>1664</v>
      </c>
      <c r="AF157" s="346" t="s">
        <v>1665</v>
      </c>
      <c r="AG157" s="337" t="s">
        <v>1666</v>
      </c>
      <c r="AH157" s="337" t="s">
        <v>1649</v>
      </c>
      <c r="AI157" s="337" t="s">
        <v>818</v>
      </c>
      <c r="AJ157" s="98" t="s">
        <v>140</v>
      </c>
      <c r="AK157" s="98" t="s">
        <v>151</v>
      </c>
      <c r="AL157" s="98" t="s">
        <v>87</v>
      </c>
      <c r="AM157" s="101" t="s">
        <v>223</v>
      </c>
      <c r="AN157" s="348" t="s">
        <v>89</v>
      </c>
      <c r="AO157" s="349">
        <v>45625</v>
      </c>
      <c r="AP157" s="98">
        <f>Tabla156[[#This Row],[Renov. Flota]]-Tabla156[[#This Row],[Año]]</f>
        <v>0</v>
      </c>
      <c r="AQ157" s="100" t="s">
        <v>119</v>
      </c>
      <c r="AR157" s="100" t="str">
        <f>VLOOKUP(Tabla156[[#This Row],[Matricula nueva]],'ALTA 20242025'!$B$2:$P$242,15,FALSE)</f>
        <v>4500424803</v>
      </c>
      <c r="AS157" s="101" t="s">
        <v>120</v>
      </c>
      <c r="AT157" s="101"/>
      <c r="AU157" s="101" t="s">
        <v>72</v>
      </c>
      <c r="AV157" s="101" t="s">
        <v>91</v>
      </c>
      <c r="AW157" s="101" t="str">
        <f>VLOOKUP(Tabla156[[#This Row],[Matricula nueva]],Hoja2!$A$1:$B$224,2,FALSE)</f>
        <v>VR7CBZYAXRT152188</v>
      </c>
      <c r="AX157" s="209">
        <f>IF(Tabla156[[#This Row],[Columna2]]="M1",5.1,"")</f>
        <v>5.0999999999999996</v>
      </c>
      <c r="AY157" s="208">
        <f t="shared" si="7"/>
        <v>10</v>
      </c>
      <c r="AZ157" s="313">
        <v>16.399999999999999</v>
      </c>
      <c r="BA157" s="314">
        <f>IF(Tabla156[[#This Row],[Columna2]]="M1",13073,IF(Tabla156[[#This Row],[Columna2]]="N1",15815,IF(Tabla156[[#This Row],[Columna2]]="L3e",2831,53508)))</f>
        <v>13073</v>
      </c>
      <c r="BB157" s="350">
        <f>(Tabla156[[#This Row],[CVA]]*Tabla156[[#This Row],[F]]-Tabla156[[#This Row],[CVN]])/100*Tabla156[[#This Row],[L]]</f>
        <v>4523.2580000000007</v>
      </c>
      <c r="BC157" s="294" t="s">
        <v>70</v>
      </c>
      <c r="BD157" s="209">
        <f>VLOOKUP(B157,Tabla467824[[ID CAE2]:[AE '[kWh']]],6,FALSE)</f>
        <v>6795.3454000000002</v>
      </c>
      <c r="BE15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8" spans="1:57" ht="51.75" x14ac:dyDescent="0.25">
      <c r="A158" s="53" t="s">
        <v>821</v>
      </c>
      <c r="B158" s="53" t="s">
        <v>821</v>
      </c>
      <c r="C158" s="332" t="s">
        <v>822</v>
      </c>
      <c r="D158" s="104" t="s">
        <v>72</v>
      </c>
      <c r="E158" s="104" t="s">
        <v>72</v>
      </c>
      <c r="F158" s="104" t="s">
        <v>72</v>
      </c>
      <c r="G158" s="104"/>
      <c r="H158" s="104" t="s">
        <v>72</v>
      </c>
      <c r="I158" s="104" t="s">
        <v>72</v>
      </c>
      <c r="J158" s="104"/>
      <c r="K158" s="96" t="s">
        <v>73</v>
      </c>
      <c r="L158" s="96" t="s">
        <v>200</v>
      </c>
      <c r="M158" s="96" t="s">
        <v>201</v>
      </c>
      <c r="N158" s="96" t="s">
        <v>76</v>
      </c>
      <c r="O158" s="101">
        <f>VLOOKUP(Tabla156[[#This Row],[Matricula Antigua]],BAJA2022202320242025!$B$3:$CR$245,93,FALSE)</f>
        <v>44151</v>
      </c>
      <c r="P158" s="316">
        <v>45612</v>
      </c>
      <c r="Q158" s="317">
        <f>Tabla156[[#This Row],[F.Vig.Final]]-Tabla156[[#This Row],[f Vig Inicio]]</f>
        <v>1461</v>
      </c>
      <c r="R158" s="318">
        <f>YEAR(Tabla156[[#This Row],[F.Vig.Final]])</f>
        <v>2024</v>
      </c>
      <c r="S158" s="96" t="s">
        <v>77</v>
      </c>
      <c r="T158" s="96" t="s">
        <v>78</v>
      </c>
      <c r="U158" s="96" t="s">
        <v>213</v>
      </c>
      <c r="V158" s="96" t="s">
        <v>817</v>
      </c>
      <c r="W158" s="96" t="s">
        <v>119</v>
      </c>
      <c r="X158" s="332" t="s">
        <v>1674</v>
      </c>
      <c r="Y158" s="96" t="s">
        <v>368</v>
      </c>
      <c r="Z158" s="98">
        <f>COUNTIF($X$3:X158, X158)</f>
        <v>20</v>
      </c>
      <c r="AA158" s="337" t="s">
        <v>1661</v>
      </c>
      <c r="AB158" s="337" t="s">
        <v>1661</v>
      </c>
      <c r="AC158" s="337" t="s">
        <v>1662</v>
      </c>
      <c r="AD158" s="337" t="s">
        <v>1663</v>
      </c>
      <c r="AE158" s="342" t="s">
        <v>1664</v>
      </c>
      <c r="AF158" s="337" t="s">
        <v>1665</v>
      </c>
      <c r="AG158" s="337" t="s">
        <v>1666</v>
      </c>
      <c r="AH158" s="337" t="s">
        <v>1649</v>
      </c>
      <c r="AI158" s="337" t="s">
        <v>823</v>
      </c>
      <c r="AJ158" s="98" t="s">
        <v>140</v>
      </c>
      <c r="AK158" s="98" t="s">
        <v>151</v>
      </c>
      <c r="AL158" s="98" t="s">
        <v>87</v>
      </c>
      <c r="AM158" s="101" t="s">
        <v>265</v>
      </c>
      <c r="AN158" s="348" t="s">
        <v>89</v>
      </c>
      <c r="AO158" s="349">
        <v>45625</v>
      </c>
      <c r="AP158" s="98">
        <f>Tabla156[[#This Row],[Renov. Flota]]-Tabla156[[#This Row],[Año]]</f>
        <v>0</v>
      </c>
      <c r="AQ158" s="100" t="s">
        <v>119</v>
      </c>
      <c r="AR158" s="100" t="str">
        <f>VLOOKUP(Tabla156[[#This Row],[Matricula nueva]],'ALTA 20242025'!$B$2:$P$242,15,FALSE)</f>
        <v>4500424818</v>
      </c>
      <c r="AS158" s="101" t="s">
        <v>120</v>
      </c>
      <c r="AT158" s="101"/>
      <c r="AU158" s="101" t="s">
        <v>72</v>
      </c>
      <c r="AV158" s="101" t="s">
        <v>91</v>
      </c>
      <c r="AW158" s="101" t="str">
        <f>VLOOKUP(Tabla156[[#This Row],[Matricula nueva]],Hoja2!$A$1:$B$224,2,FALSE)</f>
        <v>VR7CBZYA5RT152194</v>
      </c>
      <c r="AX158" s="209">
        <f>IF(Tabla156[[#This Row],[Columna2]]="M1",5.1,"")</f>
        <v>5.0999999999999996</v>
      </c>
      <c r="AY158" s="208">
        <f t="shared" si="7"/>
        <v>10</v>
      </c>
      <c r="AZ158" s="313">
        <v>16.399999999999999</v>
      </c>
      <c r="BA158" s="314">
        <f>IF(Tabla156[[#This Row],[Columna2]]="M1",13073,IF(Tabla156[[#This Row],[Columna2]]="N1",15815,IF(Tabla156[[#This Row],[Columna2]]="L3e",2831,53508)))</f>
        <v>13073</v>
      </c>
      <c r="BB158" s="350">
        <f>(Tabla156[[#This Row],[CVA]]*Tabla156[[#This Row],[F]]-Tabla156[[#This Row],[CVN]])/100*Tabla156[[#This Row],[L]]</f>
        <v>4523.2580000000007</v>
      </c>
      <c r="BC158" s="294" t="s">
        <v>70</v>
      </c>
      <c r="BD158" s="209">
        <f>VLOOKUP(B158,Tabla467824[[ID CAE2]:[AE '[kWh']]],6,FALSE)</f>
        <v>6795.3454000000002</v>
      </c>
      <c r="BE15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59" spans="1:57" ht="51.75" x14ac:dyDescent="0.25">
      <c r="A159" s="53" t="s">
        <v>826</v>
      </c>
      <c r="B159" s="53" t="s">
        <v>826</v>
      </c>
      <c r="C159" s="332" t="s">
        <v>827</v>
      </c>
      <c r="D159" s="104" t="s">
        <v>72</v>
      </c>
      <c r="E159" s="104"/>
      <c r="F159" s="104" t="s">
        <v>72</v>
      </c>
      <c r="G159" s="104"/>
      <c r="H159" s="104" t="s">
        <v>72</v>
      </c>
      <c r="I159" s="104" t="s">
        <v>72</v>
      </c>
      <c r="J159" s="104"/>
      <c r="K159" s="96" t="s">
        <v>73</v>
      </c>
      <c r="L159" s="96" t="s">
        <v>200</v>
      </c>
      <c r="M159" s="96" t="s">
        <v>201</v>
      </c>
      <c r="N159" s="96" t="s">
        <v>76</v>
      </c>
      <c r="O159" s="101">
        <f>VLOOKUP(Tabla156[[#This Row],[Matricula Antigua]],BAJA2022202320242025!$B$3:$CR$245,93,FALSE)</f>
        <v>44140</v>
      </c>
      <c r="P159" s="316">
        <v>45601</v>
      </c>
      <c r="Q159" s="317">
        <f>Tabla156[[#This Row],[F.Vig.Final]]-Tabla156[[#This Row],[f Vig Inicio]]</f>
        <v>1461</v>
      </c>
      <c r="R159" s="318">
        <f>YEAR(Tabla156[[#This Row],[F.Vig.Final]])</f>
        <v>2024</v>
      </c>
      <c r="S159" s="96" t="s">
        <v>77</v>
      </c>
      <c r="T159" s="96" t="s">
        <v>78</v>
      </c>
      <c r="U159" s="96" t="s">
        <v>213</v>
      </c>
      <c r="V159" s="96" t="s">
        <v>817</v>
      </c>
      <c r="W159" s="96" t="s">
        <v>131</v>
      </c>
      <c r="X159" s="332" t="s">
        <v>132</v>
      </c>
      <c r="Y159" s="96" t="s">
        <v>135</v>
      </c>
      <c r="Z159" s="98">
        <f>COUNTIF($X$3:X159, X159)</f>
        <v>11</v>
      </c>
      <c r="AA159" s="337" t="s">
        <v>1661</v>
      </c>
      <c r="AB159" s="337" t="s">
        <v>1661</v>
      </c>
      <c r="AC159" s="337" t="s">
        <v>1662</v>
      </c>
      <c r="AD159" s="333" t="s">
        <v>1675</v>
      </c>
      <c r="AE159" s="347" t="s">
        <v>1664</v>
      </c>
      <c r="AF159" s="337" t="s">
        <v>1676</v>
      </c>
      <c r="AG159" s="337" t="s">
        <v>1677</v>
      </c>
      <c r="AH159" s="337" t="s">
        <v>1649</v>
      </c>
      <c r="AI159" s="337" t="s">
        <v>828</v>
      </c>
      <c r="AJ159" s="98" t="s">
        <v>85</v>
      </c>
      <c r="AK159" s="98" t="s">
        <v>86</v>
      </c>
      <c r="AL159" s="98" t="s">
        <v>87</v>
      </c>
      <c r="AM159" s="101" t="s">
        <v>829</v>
      </c>
      <c r="AN159" s="348" t="s">
        <v>89</v>
      </c>
      <c r="AO159" s="349">
        <v>45625</v>
      </c>
      <c r="AP159" s="98">
        <f>Tabla156[[#This Row],[Renov. Flota]]-Tabla156[[#This Row],[Año]]</f>
        <v>0</v>
      </c>
      <c r="AQ159" s="100" t="s">
        <v>131</v>
      </c>
      <c r="AR159" s="100" t="str">
        <f>VLOOKUP(Tabla156[[#This Row],[Matricula nueva]],'ALTA 20242025'!$B$2:$P$242,15,FALSE)</f>
        <v>4500426761</v>
      </c>
      <c r="AS159" s="101" t="s">
        <v>132</v>
      </c>
      <c r="AT159" s="101"/>
      <c r="AU159" s="101" t="s">
        <v>72</v>
      </c>
      <c r="AV159" s="101" t="s">
        <v>91</v>
      </c>
      <c r="AW159" s="101" t="str">
        <f>VLOOKUP(Tabla156[[#This Row],[Matricula nueva]],Hoja2!$A$1:$B$224,2,FALSE)</f>
        <v>VF1RFK00173824808</v>
      </c>
      <c r="AX159" s="209">
        <f>IF(Tabla156[[#This Row],[Columna2]]="M1",5.1,"")</f>
        <v>5.0999999999999996</v>
      </c>
      <c r="AY159" s="208">
        <f t="shared" si="7"/>
        <v>10</v>
      </c>
      <c r="AZ159" s="313">
        <v>17.3</v>
      </c>
      <c r="BA159" s="314">
        <f>IF(Tabla156[[#This Row],[Columna2]]="M1",13073,IF(Tabla156[[#This Row],[Columna2]]="N1",15815,IF(Tabla156[[#This Row],[Columna2]]="L3e",2831,53508)))</f>
        <v>13073</v>
      </c>
      <c r="BB159" s="350">
        <f>(Tabla156[[#This Row],[CVA]]*Tabla156[[#This Row],[F]]-Tabla156[[#This Row],[CVN]])/100*Tabla156[[#This Row],[L]]</f>
        <v>4405.6010000000006</v>
      </c>
      <c r="BC159" s="294" t="s">
        <v>70</v>
      </c>
      <c r="BD159" s="209">
        <f>VLOOKUP(B159,Tabla467824[[ID CAE2]:[AE '[kWh']]],6,FALSE)</f>
        <v>6795.3454000000002</v>
      </c>
      <c r="BE15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60" spans="1:57" ht="51.75" x14ac:dyDescent="0.25">
      <c r="A160" s="53" t="s">
        <v>832</v>
      </c>
      <c r="B160" s="53" t="s">
        <v>832</v>
      </c>
      <c r="C160" s="332" t="s">
        <v>833</v>
      </c>
      <c r="D160" s="104" t="s">
        <v>72</v>
      </c>
      <c r="E160" s="104" t="s">
        <v>72</v>
      </c>
      <c r="F160" s="104" t="s">
        <v>72</v>
      </c>
      <c r="G160" s="104"/>
      <c r="H160" s="104" t="s">
        <v>72</v>
      </c>
      <c r="I160" s="104" t="s">
        <v>72</v>
      </c>
      <c r="J160" s="104"/>
      <c r="K160" s="96" t="s">
        <v>73</v>
      </c>
      <c r="L160" s="96" t="s">
        <v>200</v>
      </c>
      <c r="M160" s="96" t="s">
        <v>201</v>
      </c>
      <c r="N160" s="96" t="s">
        <v>76</v>
      </c>
      <c r="O160" s="101">
        <f>VLOOKUP(Tabla156[[#This Row],[Matricula Antigua]],BAJA2022202320242025!$B$3:$CR$245,93,FALSE)</f>
        <v>44223</v>
      </c>
      <c r="P160" s="316">
        <v>45684</v>
      </c>
      <c r="Q160" s="317">
        <f>Tabla156[[#This Row],[F.Vig.Final]]-Tabla156[[#This Row],[f Vig Inicio]]</f>
        <v>1461</v>
      </c>
      <c r="R160" s="318">
        <f>YEAR(Tabla156[[#This Row],[F.Vig.Final]])</f>
        <v>2025</v>
      </c>
      <c r="S160" s="96" t="s">
        <v>77</v>
      </c>
      <c r="T160" s="96" t="s">
        <v>78</v>
      </c>
      <c r="U160" s="96" t="s">
        <v>213</v>
      </c>
      <c r="V160" s="96" t="s">
        <v>817</v>
      </c>
      <c r="W160" s="96" t="s">
        <v>102</v>
      </c>
      <c r="X160" s="332" t="s">
        <v>1667</v>
      </c>
      <c r="Y160" s="96" t="s">
        <v>782</v>
      </c>
      <c r="Z160" s="98">
        <f>COUNTIF($X$3:X160, X160)</f>
        <v>37</v>
      </c>
      <c r="AA160" s="337" t="s">
        <v>1668</v>
      </c>
      <c r="AB160" s="337" t="s">
        <v>1668</v>
      </c>
      <c r="AC160" s="337" t="s">
        <v>1669</v>
      </c>
      <c r="AD160" s="341" t="s">
        <v>1670</v>
      </c>
      <c r="AE160" s="342" t="s">
        <v>1671</v>
      </c>
      <c r="AF160" s="337" t="s">
        <v>1672</v>
      </c>
      <c r="AG160" s="344" t="s">
        <v>1673</v>
      </c>
      <c r="AH160" s="337" t="s">
        <v>1649</v>
      </c>
      <c r="AI160" s="337" t="s">
        <v>834</v>
      </c>
      <c r="AJ160" s="98" t="s">
        <v>85</v>
      </c>
      <c r="AK160" s="98" t="s">
        <v>86</v>
      </c>
      <c r="AL160" s="98" t="s">
        <v>87</v>
      </c>
      <c r="AM160" s="101" t="s">
        <v>835</v>
      </c>
      <c r="AN160" s="348" t="s">
        <v>89</v>
      </c>
      <c r="AO160" s="349">
        <v>45625</v>
      </c>
      <c r="AP160" s="98">
        <f>Tabla156[[#This Row],[Renov. Flota]]-Tabla156[[#This Row],[Año]]</f>
        <v>-1</v>
      </c>
      <c r="AQ160" s="100" t="s">
        <v>102</v>
      </c>
      <c r="AR160" s="100" t="str">
        <f>VLOOKUP(Tabla156[[#This Row],[Matricula nueva]],'ALTA 20242025'!$B$2:$P$242,15,FALSE)</f>
        <v>4500426770</v>
      </c>
      <c r="AS160" s="101" t="s">
        <v>103</v>
      </c>
      <c r="AT160" s="101"/>
      <c r="AU160" s="101" t="s">
        <v>72</v>
      </c>
      <c r="AV160" s="101" t="s">
        <v>109</v>
      </c>
      <c r="AW160" s="101" t="str">
        <f>VLOOKUP(Tabla156[[#This Row],[Matricula nueva]],Hoja2!$A$1:$B$224,2,FALSE)</f>
        <v>VF1RFK00873824790</v>
      </c>
      <c r="AX160" s="209">
        <f>IF(Tabla156[[#This Row],[Columna2]]="M1",5.1,"")</f>
        <v>5.0999999999999996</v>
      </c>
      <c r="AY160" s="208">
        <f t="shared" si="7"/>
        <v>10</v>
      </c>
      <c r="AZ160" s="313">
        <v>17.3</v>
      </c>
      <c r="BA160" s="314">
        <f>IF(Tabla156[[#This Row],[Columna2]]="M1",13073,IF(Tabla156[[#This Row],[Columna2]]="N1",15815,IF(Tabla156[[#This Row],[Columna2]]="L3e",2831,53508)))</f>
        <v>13073</v>
      </c>
      <c r="BB160" s="350">
        <f>(Tabla156[[#This Row],[CVA]]*Tabla156[[#This Row],[F]]-Tabla156[[#This Row],[CVN]])/100*Tabla156[[#This Row],[L]]</f>
        <v>4405.6010000000006</v>
      </c>
      <c r="BC160" s="294" t="s">
        <v>70</v>
      </c>
      <c r="BD160" s="209">
        <f>VLOOKUP(B160,Tabla467824[[ID CAE2]:[AE '[kWh']]],6,FALSE)</f>
        <v>6795.3454000000002</v>
      </c>
      <c r="BE16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61" spans="1:57" ht="51.75" x14ac:dyDescent="0.25">
      <c r="A161" s="53" t="s">
        <v>838</v>
      </c>
      <c r="B161" s="53" t="s">
        <v>838</v>
      </c>
      <c r="C161" s="332" t="s">
        <v>839</v>
      </c>
      <c r="D161" s="104" t="s">
        <v>72</v>
      </c>
      <c r="E161" s="104" t="s">
        <v>72</v>
      </c>
      <c r="F161" s="104" t="s">
        <v>72</v>
      </c>
      <c r="G161" s="104"/>
      <c r="H161" s="104" t="s">
        <v>249</v>
      </c>
      <c r="I161" s="104" t="s">
        <v>249</v>
      </c>
      <c r="J161" s="104"/>
      <c r="K161" s="96" t="s">
        <v>725</v>
      </c>
      <c r="L161" s="96" t="s">
        <v>74</v>
      </c>
      <c r="M161" s="96" t="s">
        <v>75</v>
      </c>
      <c r="N161" s="96" t="s">
        <v>76</v>
      </c>
      <c r="O161" s="99">
        <f>VLOOKUP(Tabla156[[#This Row],[Matricula Antigua]],BAJA2022202320242025!$B$3:$CR$245,93,FALSE)</f>
        <v>44958</v>
      </c>
      <c r="P161" s="316">
        <v>45188</v>
      </c>
      <c r="Q161" s="317">
        <f>Tabla156[[#This Row],[F.Vig.Final]]-Tabla156[[#This Row],[f Vig Inicio]]</f>
        <v>230</v>
      </c>
      <c r="R161" s="318">
        <f>YEAR(Tabla156[[#This Row],[F.Vig.Final]])</f>
        <v>2023</v>
      </c>
      <c r="S161" s="96" t="s">
        <v>77</v>
      </c>
      <c r="T161" s="96" t="s">
        <v>78</v>
      </c>
      <c r="U161" s="96" t="s">
        <v>79</v>
      </c>
      <c r="V161" s="96" t="s">
        <v>812</v>
      </c>
      <c r="W161" s="96" t="s">
        <v>102</v>
      </c>
      <c r="X161" s="332" t="s">
        <v>1667</v>
      </c>
      <c r="Y161" s="96" t="s">
        <v>440</v>
      </c>
      <c r="Z161" s="98">
        <f>COUNTIF($X$3:X161, X161)</f>
        <v>38</v>
      </c>
      <c r="AA161" s="337" t="s">
        <v>1668</v>
      </c>
      <c r="AB161" s="337" t="s">
        <v>1668</v>
      </c>
      <c r="AC161" s="337" t="s">
        <v>1669</v>
      </c>
      <c r="AD161" s="341" t="s">
        <v>1670</v>
      </c>
      <c r="AE161" s="342" t="s">
        <v>1671</v>
      </c>
      <c r="AF161" s="337" t="s">
        <v>1672</v>
      </c>
      <c r="AG161" s="344" t="s">
        <v>1673</v>
      </c>
      <c r="AH161" s="337" t="s">
        <v>1649</v>
      </c>
      <c r="AI161" s="337" t="s">
        <v>840</v>
      </c>
      <c r="AJ161" s="98" t="s">
        <v>85</v>
      </c>
      <c r="AK161" s="98" t="s">
        <v>114</v>
      </c>
      <c r="AL161" s="98" t="s">
        <v>87</v>
      </c>
      <c r="AM161" s="101" t="s">
        <v>567</v>
      </c>
      <c r="AN161" s="348" t="s">
        <v>108</v>
      </c>
      <c r="AO161" s="349">
        <v>44922</v>
      </c>
      <c r="AP161" s="98">
        <f>Tabla156[[#This Row],[Renov. Flota]]-Tabla156[[#This Row],[Año]]</f>
        <v>0</v>
      </c>
      <c r="AQ161" s="100" t="s">
        <v>102</v>
      </c>
      <c r="AR161" s="100">
        <v>4500348763</v>
      </c>
      <c r="AS161" s="101" t="s">
        <v>103</v>
      </c>
      <c r="AT161" s="101"/>
      <c r="AU161" s="101" t="s">
        <v>72</v>
      </c>
      <c r="AV161" s="101" t="s">
        <v>109</v>
      </c>
      <c r="AW161" s="101" t="s">
        <v>841</v>
      </c>
      <c r="AX161" s="209">
        <v>5.6</v>
      </c>
      <c r="AY161" s="208">
        <f t="shared" si="7"/>
        <v>10</v>
      </c>
      <c r="AZ161" s="313">
        <v>17.3</v>
      </c>
      <c r="BA161" s="314">
        <f>IF(Tabla156[[#This Row],[Columna2]]="M1",13073,IF(Tabla156[[#This Row],[Columna2]]="N1",15815,IF(Tabla156[[#This Row],[Columna2]]="L3e",2831,53508)))</f>
        <v>15815</v>
      </c>
      <c r="BB161" s="350">
        <f>(Tabla156[[#This Row],[CVA]]*Tabla156[[#This Row],[F]]-Tabla156[[#This Row],[CVN]])/100*Tabla156[[#This Row],[L]]</f>
        <v>6120.4049999999997</v>
      </c>
      <c r="BC161" s="294" t="s">
        <v>128</v>
      </c>
      <c r="BD161" s="209">
        <f>VLOOKUP(B161,Tabla467824[[ID CAE2]:[AE '[kWh']]],6,FALSE)</f>
        <v>5607.9989999999989</v>
      </c>
      <c r="BE16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62" spans="1:57" ht="51.75" x14ac:dyDescent="0.25">
      <c r="A162" s="53" t="s">
        <v>842</v>
      </c>
      <c r="B162" s="53" t="s">
        <v>842</v>
      </c>
      <c r="C162" s="332" t="s">
        <v>843</v>
      </c>
      <c r="D162" s="104" t="s">
        <v>72</v>
      </c>
      <c r="E162" s="104"/>
      <c r="F162" s="104"/>
      <c r="G162" s="104" t="s">
        <v>72</v>
      </c>
      <c r="H162" s="104"/>
      <c r="I162" s="104" t="s">
        <v>72</v>
      </c>
      <c r="J162" s="104" t="s">
        <v>72</v>
      </c>
      <c r="K162" s="96" t="s">
        <v>158</v>
      </c>
      <c r="L162" s="96" t="s">
        <v>159</v>
      </c>
      <c r="M162" s="96" t="s">
        <v>158</v>
      </c>
      <c r="N162" s="96" t="s">
        <v>171</v>
      </c>
      <c r="O162" s="99">
        <f>VLOOKUP(Tabla156[[#This Row],[Matricula Antigua]],BAJA2022202320242025!$B$3:$CR$245,93,FALSE)</f>
        <v>41544</v>
      </c>
      <c r="P162" s="316">
        <v>45561</v>
      </c>
      <c r="Q162" s="317">
        <f>Tabla156[[#This Row],[F.Vig.Final]]-Tabla156[[#This Row],[f Vig Inicio]]</f>
        <v>4017</v>
      </c>
      <c r="R162" s="318">
        <f>YEAR(Tabla156[[#This Row],[F.Vig.Final]])</f>
        <v>2024</v>
      </c>
      <c r="S162" s="96" t="s">
        <v>172</v>
      </c>
      <c r="T162" s="96" t="s">
        <v>71</v>
      </c>
      <c r="U162" s="96" t="s">
        <v>844</v>
      </c>
      <c r="V162" s="96" t="s">
        <v>845</v>
      </c>
      <c r="W162" s="96" t="s">
        <v>81</v>
      </c>
      <c r="X162" s="332" t="s">
        <v>82</v>
      </c>
      <c r="Y162" s="96" t="s">
        <v>164</v>
      </c>
      <c r="Z162" s="98">
        <f>COUNTIF($X$3:X162, X162)</f>
        <v>11</v>
      </c>
      <c r="AA162" s="337" t="s">
        <v>1661</v>
      </c>
      <c r="AB162" s="337" t="s">
        <v>1661</v>
      </c>
      <c r="AC162" s="337" t="s">
        <v>1662</v>
      </c>
      <c r="AD162" s="337" t="s">
        <v>1663</v>
      </c>
      <c r="AE162" s="345" t="s">
        <v>1664</v>
      </c>
      <c r="AF162" s="346" t="s">
        <v>1665</v>
      </c>
      <c r="AG162" s="337" t="s">
        <v>1666</v>
      </c>
      <c r="AH162" s="337" t="s">
        <v>1649</v>
      </c>
      <c r="AI162" s="337" t="s">
        <v>846</v>
      </c>
      <c r="AJ162" s="98" t="s">
        <v>380</v>
      </c>
      <c r="AK162" s="98" t="s">
        <v>381</v>
      </c>
      <c r="AL162" s="98" t="s">
        <v>87</v>
      </c>
      <c r="AM162" s="101" t="s">
        <v>164</v>
      </c>
      <c r="AN162" s="348" t="s">
        <v>89</v>
      </c>
      <c r="AO162" s="349">
        <v>45616</v>
      </c>
      <c r="AP162" s="98">
        <f>Tabla156[[#This Row],[Renov. Flota]]-Tabla156[[#This Row],[Año]]</f>
        <v>0</v>
      </c>
      <c r="AQ162" s="100" t="s">
        <v>81</v>
      </c>
      <c r="AR162" s="100" t="str">
        <f>VLOOKUP(Tabla156[[#This Row],[Matricula nueva]],'ALTA 20242025'!$B$2:$P$242,15,FALSE)</f>
        <v>4500423383</v>
      </c>
      <c r="AS162" s="101" t="s">
        <v>82</v>
      </c>
      <c r="AT162" s="101"/>
      <c r="AU162" s="101" t="s">
        <v>72</v>
      </c>
      <c r="AV162" s="101" t="s">
        <v>91</v>
      </c>
      <c r="AW162" s="101" t="s">
        <v>848</v>
      </c>
      <c r="AX162" s="209">
        <v>2.9</v>
      </c>
      <c r="AY162" s="208">
        <f t="shared" si="7"/>
        <v>9.19</v>
      </c>
      <c r="AZ162" s="313">
        <v>20</v>
      </c>
      <c r="BA162" s="314">
        <f>IF(Tabla156[[#This Row],[Columna2]]="M1",13073,IF(Tabla156[[#This Row],[Columna2]]="N1",15815,IF(Tabla156[[#This Row],[Columna2]]="L3e",2831,53508)))</f>
        <v>2831</v>
      </c>
      <c r="BB162" s="350">
        <f>(Tabla156[[#This Row],[CVA]]*Tabla156[[#This Row],[F]]-Tabla156[[#This Row],[CVN]])/100*Tabla156[[#This Row],[L]]</f>
        <v>188.28980999999987</v>
      </c>
      <c r="BC162" s="294" t="s">
        <v>157</v>
      </c>
      <c r="BD162" s="209">
        <f>VLOOKUP(B162,Tabla467824[[ID CAE2]:[AE '[kWh']]],6,FALSE)</f>
        <v>617.46940999999993</v>
      </c>
      <c r="BE16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163" spans="1:57" ht="52.5" thickBot="1" x14ac:dyDescent="0.3">
      <c r="A163" s="53" t="s">
        <v>849</v>
      </c>
      <c r="B163" s="53" t="s">
        <v>849</v>
      </c>
      <c r="C163" s="332" t="s">
        <v>850</v>
      </c>
      <c r="D163" s="104" t="s">
        <v>72</v>
      </c>
      <c r="E163" s="104"/>
      <c r="F163" s="104"/>
      <c r="G163" s="104" t="s">
        <v>72</v>
      </c>
      <c r="H163" s="104" t="s">
        <v>72</v>
      </c>
      <c r="I163" s="104" t="s">
        <v>72</v>
      </c>
      <c r="J163" s="104"/>
      <c r="K163" s="96" t="s">
        <v>158</v>
      </c>
      <c r="L163" s="96" t="s">
        <v>159</v>
      </c>
      <c r="M163" s="96" t="s">
        <v>158</v>
      </c>
      <c r="N163" s="96" t="s">
        <v>171</v>
      </c>
      <c r="O163" s="99">
        <f>VLOOKUP(Tabla156[[#This Row],[Matricula Antigua]],BAJA2022202320242025!$B$3:$CR$245,93,FALSE)</f>
        <v>41960</v>
      </c>
      <c r="P163" s="316">
        <v>45579</v>
      </c>
      <c r="Q163" s="317">
        <f>Tabla156[[#This Row],[F.Vig.Final]]-Tabla156[[#This Row],[f Vig Inicio]]</f>
        <v>3619</v>
      </c>
      <c r="R163" s="318">
        <f>YEAR(Tabla156[[#This Row],[F.Vig.Final]])</f>
        <v>2024</v>
      </c>
      <c r="S163" s="96" t="s">
        <v>172</v>
      </c>
      <c r="T163" s="96" t="s">
        <v>71</v>
      </c>
      <c r="U163" s="96" t="s">
        <v>844</v>
      </c>
      <c r="V163" s="96" t="s">
        <v>845</v>
      </c>
      <c r="W163" s="96" t="s">
        <v>81</v>
      </c>
      <c r="X163" s="332" t="s">
        <v>82</v>
      </c>
      <c r="Y163" s="96" t="s">
        <v>143</v>
      </c>
      <c r="Z163" s="98">
        <f>COUNTIF($X$3:X163, X163)</f>
        <v>12</v>
      </c>
      <c r="AA163" s="337" t="s">
        <v>1661</v>
      </c>
      <c r="AB163" s="337" t="s">
        <v>1661</v>
      </c>
      <c r="AC163" s="337" t="s">
        <v>1662</v>
      </c>
      <c r="AD163" s="337" t="s">
        <v>1663</v>
      </c>
      <c r="AE163" s="342" t="s">
        <v>1664</v>
      </c>
      <c r="AF163" s="337" t="s">
        <v>1665</v>
      </c>
      <c r="AG163" s="337" t="s">
        <v>1666</v>
      </c>
      <c r="AH163" s="337" t="s">
        <v>1649</v>
      </c>
      <c r="AI163" s="337" t="s">
        <v>851</v>
      </c>
      <c r="AJ163" s="98" t="s">
        <v>380</v>
      </c>
      <c r="AK163" s="98" t="s">
        <v>381</v>
      </c>
      <c r="AL163" s="98" t="s">
        <v>87</v>
      </c>
      <c r="AM163" s="101" t="s">
        <v>174</v>
      </c>
      <c r="AN163" s="348" t="s">
        <v>89</v>
      </c>
      <c r="AO163" s="349">
        <v>45616</v>
      </c>
      <c r="AP163" s="98">
        <f>Tabla156[[#This Row],[Renov. Flota]]-Tabla156[[#This Row],[Año]]</f>
        <v>0</v>
      </c>
      <c r="AQ163" s="100" t="s">
        <v>81</v>
      </c>
      <c r="AR163" s="100" t="str">
        <f>VLOOKUP(Tabla156[[#This Row],[Matricula nueva]],'ALTA 20242025'!$B$2:$P$242,15,FALSE)</f>
        <v>4500423228</v>
      </c>
      <c r="AS163" s="101" t="s">
        <v>82</v>
      </c>
      <c r="AT163" s="101"/>
      <c r="AU163" s="101" t="s">
        <v>72</v>
      </c>
      <c r="AV163" s="101" t="s">
        <v>91</v>
      </c>
      <c r="AW163" s="101" t="s">
        <v>853</v>
      </c>
      <c r="AX163" s="209">
        <v>2.9</v>
      </c>
      <c r="AY163" s="208">
        <f t="shared" si="7"/>
        <v>9.19</v>
      </c>
      <c r="AZ163" s="313">
        <v>20</v>
      </c>
      <c r="BA163" s="314">
        <f>IF(Tabla156[[#This Row],[Columna2]]="M1",13073,IF(Tabla156[[#This Row],[Columna2]]="N1",15815,IF(Tabla156[[#This Row],[Columna2]]="L3e",2831,53508)))</f>
        <v>2831</v>
      </c>
      <c r="BB163" s="350">
        <f>(Tabla156[[#This Row],[CVA]]*Tabla156[[#This Row],[F]]-Tabla156[[#This Row],[CVN]])/100*Tabla156[[#This Row],[L]]</f>
        <v>188.28980999999987</v>
      </c>
      <c r="BC163" s="91" t="s">
        <v>157</v>
      </c>
      <c r="BD163" s="209">
        <f>VLOOKUP(B163,Tabla467824[[ID CAE2]:[AE '[kWh']]],6,FALSE)</f>
        <v>617.46940999999993</v>
      </c>
      <c r="BE16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64" spans="1:57" ht="15.75" hidden="1" thickBot="1" x14ac:dyDescent="0.3">
      <c r="A164" s="53" t="s">
        <v>1293</v>
      </c>
      <c r="B164" s="53" t="e">
        <v>#N/A</v>
      </c>
      <c r="C164" s="96" t="s">
        <v>1294</v>
      </c>
      <c r="D164" s="96"/>
      <c r="E164" s="96"/>
      <c r="F164" s="96"/>
      <c r="G164" s="96"/>
      <c r="H164" s="96"/>
      <c r="I164" s="96"/>
      <c r="J164" s="96"/>
      <c r="K164" s="96" t="s">
        <v>73</v>
      </c>
      <c r="L164" s="96" t="s">
        <v>200</v>
      </c>
      <c r="M164" s="96" t="s">
        <v>201</v>
      </c>
      <c r="N164" s="96" t="s">
        <v>160</v>
      </c>
      <c r="O164" s="101">
        <f>VLOOKUP(Tabla156[[#This Row],[Matricula Antigua]],BAJA2022202320242025!$B$3:$CR$245,93,FALSE)</f>
        <v>44196</v>
      </c>
      <c r="P164" s="99">
        <v>45657</v>
      </c>
      <c r="Q164" s="98">
        <f>Tabla156[[#This Row],[F.Vig.Final]]-Tabla156[[#This Row],[f Vig Inicio]]</f>
        <v>1461</v>
      </c>
      <c r="R164" s="318">
        <f>YEAR(Tabla156[[#This Row],[F.Vig.Final]])</f>
        <v>2024</v>
      </c>
      <c r="S164" s="96" t="s">
        <v>161</v>
      </c>
      <c r="T164" s="96" t="s">
        <v>78</v>
      </c>
      <c r="U164" s="96" t="s">
        <v>467</v>
      </c>
      <c r="V164" s="96" t="s">
        <v>500</v>
      </c>
      <c r="W164" s="96" t="s">
        <v>584</v>
      </c>
      <c r="X164" s="96" t="s">
        <v>585</v>
      </c>
      <c r="Y164" s="96" t="s">
        <v>897</v>
      </c>
      <c r="Z164" s="98">
        <f>COUNTIF($X$3:X164, X164)</f>
        <v>8</v>
      </c>
      <c r="AA164" s="98"/>
      <c r="AB164" s="98"/>
      <c r="AC164" s="98"/>
      <c r="AD164" s="98"/>
      <c r="AE164" s="321"/>
      <c r="AF164" s="98"/>
      <c r="AG164" s="98"/>
      <c r="AH164" s="98"/>
      <c r="AI164" s="98" t="e">
        <v>#N/A</v>
      </c>
      <c r="AJ164" s="98" t="e">
        <v>#N/A</v>
      </c>
      <c r="AK164" s="98" t="e">
        <v>#N/A</v>
      </c>
      <c r="AL164" s="98" t="e">
        <v>#N/A</v>
      </c>
      <c r="AM164" s="98" t="e">
        <v>#N/A</v>
      </c>
      <c r="AN164" s="99" t="e">
        <v>#N/A</v>
      </c>
      <c r="AO164" s="99" t="e">
        <v>#N/A</v>
      </c>
      <c r="AP164" s="98" t="e">
        <f>Tabla156[[#This Row],[Renov. Flota]]-Tabla156[[#This Row],[Año]]</f>
        <v>#N/A</v>
      </c>
      <c r="AQ164" s="100" t="e">
        <v>#N/A</v>
      </c>
      <c r="AR164" s="100" t="e">
        <f>VLOOKUP(Tabla156[[#This Row],[Matricula nueva]],'ALTA 20242025'!$B$2:$P$242,15,FALSE)</f>
        <v>#N/A</v>
      </c>
      <c r="AS164" s="101" t="e">
        <v>#N/A</v>
      </c>
      <c r="AT164" s="101"/>
      <c r="AU164" s="101"/>
      <c r="AV164" s="101"/>
      <c r="AW164" s="101" t="e">
        <f>VLOOKUP(Tabla156[[#This Row],[Matricula nueva]],Hoja2!$A$1:$B$224,2,FALSE)</f>
        <v>#N/A</v>
      </c>
      <c r="AX164" s="101" t="str">
        <f>IF(Tabla156[[#This Row],[Columna2]]="M1",5.1,"")</f>
        <v/>
      </c>
      <c r="AY164" s="101"/>
      <c r="AZ164" s="101"/>
      <c r="BA164" s="311">
        <f>IF(Tabla156[[#This Row],[Columna2]]="M1",13073,IF(Tabla156[[#This Row],[Columna2]]="N1",15815,IF(Tabla156[[#This Row],[Columna2]]="L3e",2831,53508)))</f>
        <v>53508</v>
      </c>
      <c r="BB164" s="311" t="e">
        <f>(Tabla156[[#This Row],[CVA]]*Tabla156[[#This Row],[F]]-Tabla156[[#This Row],[CVN]])/100*Tabla156[[#This Row],[L]]</f>
        <v>#VALUE!</v>
      </c>
      <c r="BC164" s="1"/>
      <c r="BD164" s="1" t="e">
        <f>VLOOKUP(B164,Tabla467824[[ID CAE2]:[AE '[kWh']]],6,FALSE)</f>
        <v>#N/A</v>
      </c>
      <c r="BE16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65" spans="1:57" ht="51.75" x14ac:dyDescent="0.25">
      <c r="A165" s="53" t="s">
        <v>854</v>
      </c>
      <c r="B165" s="53" t="s">
        <v>854</v>
      </c>
      <c r="C165" s="332" t="s">
        <v>855</v>
      </c>
      <c r="D165" s="104"/>
      <c r="E165" s="104"/>
      <c r="F165" s="104"/>
      <c r="G165" s="104" t="s">
        <v>72</v>
      </c>
      <c r="H165" s="104" t="s">
        <v>72</v>
      </c>
      <c r="I165" s="104" t="s">
        <v>72</v>
      </c>
      <c r="J165" s="104"/>
      <c r="K165" s="96" t="s">
        <v>158</v>
      </c>
      <c r="L165" s="96" t="s">
        <v>159</v>
      </c>
      <c r="M165" s="96" t="s">
        <v>158</v>
      </c>
      <c r="N165" s="96" t="s">
        <v>171</v>
      </c>
      <c r="O165" s="99">
        <f>VLOOKUP(Tabla156[[#This Row],[Matricula Antigua]],BAJA2022202320242025!$B$3:$CR$245,93,FALSE)</f>
        <v>42122</v>
      </c>
      <c r="P165" s="316">
        <v>45558</v>
      </c>
      <c r="Q165" s="317">
        <f>Tabla156[[#This Row],[F.Vig.Final]]-Tabla156[[#This Row],[f Vig Inicio]]</f>
        <v>3436</v>
      </c>
      <c r="R165" s="318">
        <f>YEAR(Tabla156[[#This Row],[F.Vig.Final]])</f>
        <v>2024</v>
      </c>
      <c r="S165" s="96" t="s">
        <v>172</v>
      </c>
      <c r="T165" s="96" t="s">
        <v>71</v>
      </c>
      <c r="U165" s="96" t="s">
        <v>844</v>
      </c>
      <c r="V165" s="96" t="s">
        <v>845</v>
      </c>
      <c r="W165" s="96" t="s">
        <v>81</v>
      </c>
      <c r="X165" s="332" t="s">
        <v>82</v>
      </c>
      <c r="Y165" s="96" t="s">
        <v>143</v>
      </c>
      <c r="Z165" s="98">
        <f>COUNTIF($X$3:X165, X165)</f>
        <v>13</v>
      </c>
      <c r="AA165" s="337" t="s">
        <v>1661</v>
      </c>
      <c r="AB165" s="337" t="s">
        <v>1661</v>
      </c>
      <c r="AC165" s="337" t="s">
        <v>1662</v>
      </c>
      <c r="AD165" s="337" t="s">
        <v>1663</v>
      </c>
      <c r="AE165" s="342" t="s">
        <v>1664</v>
      </c>
      <c r="AF165" s="337" t="s">
        <v>1665</v>
      </c>
      <c r="AG165" s="337" t="s">
        <v>1666</v>
      </c>
      <c r="AH165" s="337" t="s">
        <v>1649</v>
      </c>
      <c r="AI165" s="337" t="s">
        <v>856</v>
      </c>
      <c r="AJ165" s="98" t="s">
        <v>85</v>
      </c>
      <c r="AK165" s="98" t="s">
        <v>86</v>
      </c>
      <c r="AL165" s="98" t="s">
        <v>87</v>
      </c>
      <c r="AM165" s="101" t="s">
        <v>174</v>
      </c>
      <c r="AN165" s="348" t="s">
        <v>89</v>
      </c>
      <c r="AO165" s="349">
        <v>45625</v>
      </c>
      <c r="AP165" s="98">
        <f>Tabla156[[#This Row],[Renov. Flota]]-Tabla156[[#This Row],[Año]]</f>
        <v>0</v>
      </c>
      <c r="AQ165" s="100" t="s">
        <v>81</v>
      </c>
      <c r="AR165" s="100" t="str">
        <f>VLOOKUP(Tabla156[[#This Row],[Matricula nueva]],'ALTA 20242025'!$B$2:$P$242,15,FALSE)</f>
        <v>4500426792</v>
      </c>
      <c r="AS165" s="101" t="s">
        <v>82</v>
      </c>
      <c r="AT165" s="101"/>
      <c r="AU165" s="101" t="s">
        <v>72</v>
      </c>
      <c r="AV165" s="101" t="s">
        <v>91</v>
      </c>
      <c r="AW165" s="101" t="str">
        <f>VLOOKUP(Tabla156[[#This Row],[Matricula nueva]],Hoja2!$A$1:$B$224,2,FALSE)</f>
        <v>VF1RFK00X73824841</v>
      </c>
      <c r="AX165" s="209">
        <v>2.9</v>
      </c>
      <c r="AY165" s="208">
        <f t="shared" ref="AY165:AY171" si="8">IF(T165="DIESEL",10,IF(T165="GLP",7.16,9.19))</f>
        <v>9.19</v>
      </c>
      <c r="AZ165" s="313">
        <v>17.3</v>
      </c>
      <c r="BA165" s="314">
        <f>IF(Tabla156[[#This Row],[Columna2]]="M1",13073,IF(Tabla156[[#This Row],[Columna2]]="N1",15815,IF(Tabla156[[#This Row],[Columna2]]="L3e",2831,53508)))</f>
        <v>2831</v>
      </c>
      <c r="BB165" s="350">
        <f>(Tabla156[[#This Row],[CVA]]*Tabla156[[#This Row],[F]]-Tabla156[[#This Row],[CVN]])/100*Tabla156[[#This Row],[L]]</f>
        <v>264.72680999999989</v>
      </c>
      <c r="BC165" s="90" t="s">
        <v>157</v>
      </c>
      <c r="BD165" s="209">
        <f>VLOOKUP(B165,Tabla467824[[ID CAE2]:[AE '[kWh']]],6,FALSE)</f>
        <v>617.46940999999993</v>
      </c>
      <c r="BE16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66" spans="1:57" ht="51.75" x14ac:dyDescent="0.25">
      <c r="A166" s="53" t="s">
        <v>859</v>
      </c>
      <c r="B166" s="53" t="s">
        <v>859</v>
      </c>
      <c r="C166" s="332" t="s">
        <v>860</v>
      </c>
      <c r="D166" s="104" t="s">
        <v>72</v>
      </c>
      <c r="E166" s="104"/>
      <c r="F166" s="104"/>
      <c r="G166" s="104" t="s">
        <v>72</v>
      </c>
      <c r="H166" s="104" t="s">
        <v>72</v>
      </c>
      <c r="I166" s="104" t="s">
        <v>72</v>
      </c>
      <c r="J166" s="104" t="s">
        <v>72</v>
      </c>
      <c r="K166" s="96" t="s">
        <v>158</v>
      </c>
      <c r="L166" s="96" t="s">
        <v>159</v>
      </c>
      <c r="M166" s="96" t="s">
        <v>158</v>
      </c>
      <c r="N166" s="96" t="s">
        <v>171</v>
      </c>
      <c r="O166" s="99">
        <f>VLOOKUP(Tabla156[[#This Row],[Matricula Antigua]],BAJA2022202320242025!$B$3:$CR$245,93,FALSE)</f>
        <v>41960</v>
      </c>
      <c r="P166" s="316">
        <v>45561</v>
      </c>
      <c r="Q166" s="317">
        <f>Tabla156[[#This Row],[F.Vig.Final]]-Tabla156[[#This Row],[f Vig Inicio]]</f>
        <v>3601</v>
      </c>
      <c r="R166" s="318">
        <f>YEAR(Tabla156[[#This Row],[F.Vig.Final]])</f>
        <v>2024</v>
      </c>
      <c r="S166" s="96" t="s">
        <v>172</v>
      </c>
      <c r="T166" s="96" t="s">
        <v>71</v>
      </c>
      <c r="U166" s="96" t="s">
        <v>844</v>
      </c>
      <c r="V166" s="96" t="s">
        <v>845</v>
      </c>
      <c r="W166" s="96" t="s">
        <v>81</v>
      </c>
      <c r="X166" s="332" t="s">
        <v>82</v>
      </c>
      <c r="Y166" s="96" t="s">
        <v>143</v>
      </c>
      <c r="Z166" s="98">
        <f>COUNTIF($X$3:X166, X166)</f>
        <v>14</v>
      </c>
      <c r="AA166" s="337" t="s">
        <v>1661</v>
      </c>
      <c r="AB166" s="337" t="s">
        <v>1661</v>
      </c>
      <c r="AC166" s="337" t="s">
        <v>1662</v>
      </c>
      <c r="AD166" s="337" t="s">
        <v>1663</v>
      </c>
      <c r="AE166" s="339" t="s">
        <v>1664</v>
      </c>
      <c r="AF166" s="340" t="s">
        <v>1665</v>
      </c>
      <c r="AG166" s="340" t="s">
        <v>1666</v>
      </c>
      <c r="AH166" s="337" t="s">
        <v>1649</v>
      </c>
      <c r="AI166" s="337" t="s">
        <v>861</v>
      </c>
      <c r="AJ166" s="98" t="s">
        <v>85</v>
      </c>
      <c r="AK166" s="98" t="s">
        <v>86</v>
      </c>
      <c r="AL166" s="98" t="s">
        <v>87</v>
      </c>
      <c r="AM166" s="101" t="s">
        <v>143</v>
      </c>
      <c r="AN166" s="348" t="s">
        <v>89</v>
      </c>
      <c r="AO166" s="349">
        <v>45625</v>
      </c>
      <c r="AP166" s="98">
        <f>Tabla156[[#This Row],[Renov. Flota]]-Tabla156[[#This Row],[Año]]</f>
        <v>0</v>
      </c>
      <c r="AQ166" s="100" t="s">
        <v>81</v>
      </c>
      <c r="AR166" s="100" t="str">
        <f>VLOOKUP(Tabla156[[#This Row],[Matricula nueva]],'ALTA 20242025'!$B$2:$P$242,15,FALSE)</f>
        <v>4500426840</v>
      </c>
      <c r="AS166" s="101" t="s">
        <v>82</v>
      </c>
      <c r="AT166" s="101"/>
      <c r="AU166" s="101" t="s">
        <v>72</v>
      </c>
      <c r="AV166" s="101" t="s">
        <v>91</v>
      </c>
      <c r="AW166" s="101" t="str">
        <f>VLOOKUP(Tabla156[[#This Row],[Matricula nueva]],Hoja2!$A$1:$B$224,2,FALSE)</f>
        <v>VF1RFK00573824844</v>
      </c>
      <c r="AX166" s="209">
        <v>2.9</v>
      </c>
      <c r="AY166" s="208">
        <f t="shared" si="8"/>
        <v>9.19</v>
      </c>
      <c r="AZ166" s="313">
        <v>17.3</v>
      </c>
      <c r="BA166" s="314">
        <f>IF(Tabla156[[#This Row],[Columna2]]="M1",13073,IF(Tabla156[[#This Row],[Columna2]]="N1",15815,IF(Tabla156[[#This Row],[Columna2]]="L3e",2831,53508)))</f>
        <v>2831</v>
      </c>
      <c r="BB166" s="350">
        <f>(Tabla156[[#This Row],[CVA]]*Tabla156[[#This Row],[F]]-Tabla156[[#This Row],[CVN]])/100*Tabla156[[#This Row],[L]]</f>
        <v>264.72680999999989</v>
      </c>
      <c r="BC166" s="294" t="s">
        <v>157</v>
      </c>
      <c r="BD166" s="209">
        <f>VLOOKUP(B166,Tabla467824[[ID CAE2]:[AE '[kWh']]],6,FALSE)</f>
        <v>617.46940999999993</v>
      </c>
      <c r="BE16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167" spans="1:57" ht="60" x14ac:dyDescent="0.25">
      <c r="A167" s="53" t="s">
        <v>864</v>
      </c>
      <c r="B167" s="53" t="s">
        <v>864</v>
      </c>
      <c r="C167" s="332" t="s">
        <v>865</v>
      </c>
      <c r="D167" s="104" t="s">
        <v>72</v>
      </c>
      <c r="E167" s="104"/>
      <c r="F167" s="104"/>
      <c r="G167" s="104"/>
      <c r="H167" s="104" t="s">
        <v>72</v>
      </c>
      <c r="I167" s="104" t="s">
        <v>72</v>
      </c>
      <c r="J167" s="104"/>
      <c r="K167" s="96" t="s">
        <v>866</v>
      </c>
      <c r="L167" s="96" t="s">
        <v>74</v>
      </c>
      <c r="M167" s="96" t="s">
        <v>75</v>
      </c>
      <c r="N167" s="96" t="s">
        <v>76</v>
      </c>
      <c r="O167" s="99">
        <f>VLOOKUP(Tabla156[[#This Row],[Matricula Antigua]],BAJA2022202320242025!$B$3:$CR$245,93,FALSE)</f>
        <v>45541</v>
      </c>
      <c r="P167" s="316">
        <v>45631</v>
      </c>
      <c r="Q167" s="317">
        <f>Tabla156[[#This Row],[F.Vig.Final]]-Tabla156[[#This Row],[f Vig Inicio]]</f>
        <v>90</v>
      </c>
      <c r="R167" s="318">
        <f>YEAR(Tabla156[[#This Row],[F.Vig.Final]])</f>
        <v>2024</v>
      </c>
      <c r="S167" s="96" t="s">
        <v>77</v>
      </c>
      <c r="T167" s="96" t="s">
        <v>78</v>
      </c>
      <c r="U167" s="96" t="s">
        <v>79</v>
      </c>
      <c r="V167" s="96" t="s">
        <v>867</v>
      </c>
      <c r="W167" s="96" t="s">
        <v>336</v>
      </c>
      <c r="X167" s="332" t="s">
        <v>337</v>
      </c>
      <c r="Y167" s="96" t="s">
        <v>351</v>
      </c>
      <c r="Z167" s="98">
        <f>COUNTIF($X$3:X167, X167)</f>
        <v>9</v>
      </c>
      <c r="AA167" s="337" t="s">
        <v>1661</v>
      </c>
      <c r="AB167" s="337" t="s">
        <v>1661</v>
      </c>
      <c r="AC167" s="337" t="s">
        <v>1662</v>
      </c>
      <c r="AD167" s="341" t="s">
        <v>1682</v>
      </c>
      <c r="AE167" s="347" t="s">
        <v>1664</v>
      </c>
      <c r="AF167" s="337" t="s">
        <v>1683</v>
      </c>
      <c r="AG167" s="337" t="s">
        <v>1684</v>
      </c>
      <c r="AH167" s="337" t="s">
        <v>1649</v>
      </c>
      <c r="AI167" s="337" t="s">
        <v>868</v>
      </c>
      <c r="AJ167" s="98" t="s">
        <v>140</v>
      </c>
      <c r="AK167" s="98" t="s">
        <v>151</v>
      </c>
      <c r="AL167" s="98" t="s">
        <v>87</v>
      </c>
      <c r="AM167" s="101" t="s">
        <v>338</v>
      </c>
      <c r="AN167" s="348" t="s">
        <v>89</v>
      </c>
      <c r="AO167" s="349">
        <v>45625</v>
      </c>
      <c r="AP167" s="98">
        <f>Tabla156[[#This Row],[Renov. Flota]]-Tabla156[[#This Row],[Año]]</f>
        <v>0</v>
      </c>
      <c r="AQ167" s="100" t="s">
        <v>336</v>
      </c>
      <c r="AR167" s="100" t="str">
        <f>VLOOKUP(Tabla156[[#This Row],[Matricula nueva]],'ALTA 20242025'!$B$2:$P$242,15,FALSE)</f>
        <v>4500424800</v>
      </c>
      <c r="AS167" s="101" t="s">
        <v>337</v>
      </c>
      <c r="AT167" s="101"/>
      <c r="AU167" s="101" t="s">
        <v>72</v>
      </c>
      <c r="AV167" s="101" t="s">
        <v>91</v>
      </c>
      <c r="AW167" s="101" t="str">
        <f>VLOOKUP(Tabla156[[#This Row],[Matricula nueva]],Hoja2!$A$1:$B$224,2,FALSE)</f>
        <v>VR7CBZYA4RT154440</v>
      </c>
      <c r="AX167" s="209">
        <v>5.6</v>
      </c>
      <c r="AY167" s="208">
        <f t="shared" si="8"/>
        <v>10</v>
      </c>
      <c r="AZ167" s="313">
        <v>16.399999999999999</v>
      </c>
      <c r="BA167" s="314">
        <f>IF(Tabla156[[#This Row],[Columna2]]="M1",13073,IF(Tabla156[[#This Row],[Columna2]]="N1",15815,IF(Tabla156[[#This Row],[Columna2]]="L3e",2831,53508)))</f>
        <v>15815</v>
      </c>
      <c r="BB167" s="350">
        <f>(Tabla156[[#This Row],[CVA]]*Tabla156[[#This Row],[F]]-Tabla156[[#This Row],[CVN]])/100*Tabla156[[#This Row],[L]]</f>
        <v>6262.7400000000007</v>
      </c>
      <c r="BC167" s="294" t="s">
        <v>128</v>
      </c>
      <c r="BD167" s="209">
        <f>VLOOKUP(B167,Tabla467824[[ID CAE2]:[AE '[kWh']]],6,FALSE)</f>
        <v>5607.9989999999989</v>
      </c>
      <c r="BE16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68" spans="1:57" ht="60" x14ac:dyDescent="0.25">
      <c r="A168" s="53" t="s">
        <v>871</v>
      </c>
      <c r="B168" s="53" t="s">
        <v>871</v>
      </c>
      <c r="C168" s="332" t="s">
        <v>872</v>
      </c>
      <c r="D168" s="104" t="s">
        <v>72</v>
      </c>
      <c r="E168" s="104"/>
      <c r="F168" s="104"/>
      <c r="G168" s="104"/>
      <c r="H168" s="104" t="s">
        <v>72</v>
      </c>
      <c r="I168" s="104" t="s">
        <v>72</v>
      </c>
      <c r="J168" s="104"/>
      <c r="K168" s="96" t="s">
        <v>866</v>
      </c>
      <c r="L168" s="96" t="s">
        <v>74</v>
      </c>
      <c r="M168" s="96" t="s">
        <v>75</v>
      </c>
      <c r="N168" s="96" t="s">
        <v>76</v>
      </c>
      <c r="O168" s="99">
        <f>VLOOKUP(Tabla156[[#This Row],[Matricula Antigua]],BAJA2022202320242025!$B$3:$CR$245,93,FALSE)</f>
        <v>45541</v>
      </c>
      <c r="P168" s="316">
        <v>45631</v>
      </c>
      <c r="Q168" s="317">
        <f>Tabla156[[#This Row],[F.Vig.Final]]-Tabla156[[#This Row],[f Vig Inicio]]</f>
        <v>90</v>
      </c>
      <c r="R168" s="318">
        <f>YEAR(Tabla156[[#This Row],[F.Vig.Final]])</f>
        <v>2024</v>
      </c>
      <c r="S168" s="96" t="s">
        <v>77</v>
      </c>
      <c r="T168" s="96" t="s">
        <v>78</v>
      </c>
      <c r="U168" s="96" t="s">
        <v>79</v>
      </c>
      <c r="V168" s="96" t="s">
        <v>867</v>
      </c>
      <c r="W168" s="96" t="s">
        <v>336</v>
      </c>
      <c r="X168" s="332" t="s">
        <v>337</v>
      </c>
      <c r="Y168" s="96" t="s">
        <v>351</v>
      </c>
      <c r="Z168" s="98">
        <f>COUNTIF($X$3:X168, X168)</f>
        <v>10</v>
      </c>
      <c r="AA168" s="337" t="s">
        <v>1661</v>
      </c>
      <c r="AB168" s="337" t="s">
        <v>1661</v>
      </c>
      <c r="AC168" s="337" t="s">
        <v>1662</v>
      </c>
      <c r="AD168" s="341" t="s">
        <v>1682</v>
      </c>
      <c r="AE168" s="347" t="s">
        <v>1664</v>
      </c>
      <c r="AF168" s="337" t="s">
        <v>1683</v>
      </c>
      <c r="AG168" s="337" t="s">
        <v>1684</v>
      </c>
      <c r="AH168" s="337" t="s">
        <v>1649</v>
      </c>
      <c r="AI168" s="337" t="s">
        <v>873</v>
      </c>
      <c r="AJ168" s="98" t="s">
        <v>140</v>
      </c>
      <c r="AK168" s="98" t="s">
        <v>151</v>
      </c>
      <c r="AL168" s="98" t="s">
        <v>87</v>
      </c>
      <c r="AM168" s="101" t="s">
        <v>874</v>
      </c>
      <c r="AN168" s="348" t="s">
        <v>89</v>
      </c>
      <c r="AO168" s="349">
        <v>45625</v>
      </c>
      <c r="AP168" s="98">
        <f>Tabla156[[#This Row],[Renov. Flota]]-Tabla156[[#This Row],[Año]]</f>
        <v>0</v>
      </c>
      <c r="AQ168" s="100" t="s">
        <v>336</v>
      </c>
      <c r="AR168" s="100" t="str">
        <f>VLOOKUP(Tabla156[[#This Row],[Matricula nueva]],'ALTA 20242025'!$B$2:$P$242,15,FALSE)</f>
        <v>4500424799</v>
      </c>
      <c r="AS168" s="101" t="s">
        <v>337</v>
      </c>
      <c r="AT168" s="101"/>
      <c r="AU168" s="101" t="s">
        <v>72</v>
      </c>
      <c r="AV168" s="101" t="s">
        <v>91</v>
      </c>
      <c r="AW168" s="101" t="str">
        <f>VLOOKUP(Tabla156[[#This Row],[Matricula nueva]],Hoja2!$A$1:$B$224,2,FALSE)</f>
        <v>VR7CBZYA0RT153043</v>
      </c>
      <c r="AX168" s="209">
        <v>5.6</v>
      </c>
      <c r="AY168" s="208">
        <f t="shared" si="8"/>
        <v>10</v>
      </c>
      <c r="AZ168" s="313">
        <v>16.399999999999999</v>
      </c>
      <c r="BA168" s="314">
        <f>IF(Tabla156[[#This Row],[Columna2]]="M1",13073,IF(Tabla156[[#This Row],[Columna2]]="N1",15815,IF(Tabla156[[#This Row],[Columna2]]="L3e",2831,53508)))</f>
        <v>15815</v>
      </c>
      <c r="BB168" s="350">
        <f>(Tabla156[[#This Row],[CVA]]*Tabla156[[#This Row],[F]]-Tabla156[[#This Row],[CVN]])/100*Tabla156[[#This Row],[L]]</f>
        <v>6262.7400000000007</v>
      </c>
      <c r="BC168" s="294" t="s">
        <v>128</v>
      </c>
      <c r="BD168" s="209">
        <f>VLOOKUP(B168,Tabla467824[[ID CAE2]:[AE '[kWh']]],6,FALSE)</f>
        <v>5607.9989999999989</v>
      </c>
      <c r="BE16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69" spans="1:57" ht="60" x14ac:dyDescent="0.25">
      <c r="A169" s="53" t="s">
        <v>877</v>
      </c>
      <c r="B169" s="53" t="s">
        <v>877</v>
      </c>
      <c r="C169" s="332" t="s">
        <v>878</v>
      </c>
      <c r="D169" s="104" t="s">
        <v>72</v>
      </c>
      <c r="E169" s="104"/>
      <c r="F169" s="104" t="s">
        <v>72</v>
      </c>
      <c r="G169" s="104"/>
      <c r="H169" s="104"/>
      <c r="I169" s="104"/>
      <c r="J169" s="104"/>
      <c r="K169" s="96" t="s">
        <v>73</v>
      </c>
      <c r="L169" s="96" t="s">
        <v>74</v>
      </c>
      <c r="M169" s="96" t="s">
        <v>75</v>
      </c>
      <c r="N169" s="96" t="s">
        <v>76</v>
      </c>
      <c r="O169" s="99">
        <f>VLOOKUP(Tabla156[[#This Row],[Matricula Antigua]],BAJA2022202320242025!$B$3:$CR$245,93,FALSE)</f>
        <v>44452</v>
      </c>
      <c r="P169" s="316">
        <v>45261</v>
      </c>
      <c r="Q169" s="317">
        <f>Tabla156[[#This Row],[F.Vig.Final]]-Tabla156[[#This Row],[f Vig Inicio]]</f>
        <v>809</v>
      </c>
      <c r="R169" s="318">
        <f>YEAR(Tabla156[[#This Row],[F.Vig.Final]])</f>
        <v>2023</v>
      </c>
      <c r="S169" s="96" t="s">
        <v>77</v>
      </c>
      <c r="T169" s="96" t="s">
        <v>71</v>
      </c>
      <c r="U169" s="96" t="s">
        <v>79</v>
      </c>
      <c r="V169" s="96" t="s">
        <v>879</v>
      </c>
      <c r="W169" s="96" t="s">
        <v>336</v>
      </c>
      <c r="X169" s="332" t="s">
        <v>337</v>
      </c>
      <c r="Y169" s="96" t="s">
        <v>880</v>
      </c>
      <c r="Z169" s="98">
        <f>COUNTIF($X$3:X169, X169)</f>
        <v>11</v>
      </c>
      <c r="AA169" s="337" t="s">
        <v>1661</v>
      </c>
      <c r="AB169" s="337" t="s">
        <v>1661</v>
      </c>
      <c r="AC169" s="337" t="s">
        <v>1662</v>
      </c>
      <c r="AD169" s="341" t="s">
        <v>1682</v>
      </c>
      <c r="AE169" s="347" t="s">
        <v>1664</v>
      </c>
      <c r="AF169" s="337" t="s">
        <v>1683</v>
      </c>
      <c r="AG169" s="337" t="s">
        <v>1684</v>
      </c>
      <c r="AH169" s="337" t="s">
        <v>1649</v>
      </c>
      <c r="AI169" s="337" t="s">
        <v>881</v>
      </c>
      <c r="AJ169" s="98" t="s">
        <v>380</v>
      </c>
      <c r="AK169" s="98" t="s">
        <v>381</v>
      </c>
      <c r="AL169" s="98" t="s">
        <v>87</v>
      </c>
      <c r="AM169" s="101" t="s">
        <v>382</v>
      </c>
      <c r="AN169" s="348" t="s">
        <v>89</v>
      </c>
      <c r="AO169" s="349">
        <v>45483</v>
      </c>
      <c r="AP169" s="98">
        <f>Tabla156[[#This Row],[Renov. Flota]]-Tabla156[[#This Row],[Año]]</f>
        <v>1</v>
      </c>
      <c r="AQ169" s="100" t="s">
        <v>336</v>
      </c>
      <c r="AR169" s="100">
        <v>4500407445</v>
      </c>
      <c r="AS169" s="101" t="s">
        <v>337</v>
      </c>
      <c r="AT169" s="101"/>
      <c r="AU169" s="101" t="s">
        <v>72</v>
      </c>
      <c r="AV169" s="101" t="s">
        <v>91</v>
      </c>
      <c r="AW169" s="101" t="s">
        <v>882</v>
      </c>
      <c r="AX169" s="209">
        <f>IF(Tabla156[[#This Row],[Columna2]]="M1",5.1,"")</f>
        <v>5.0999999999999996</v>
      </c>
      <c r="AY169" s="208">
        <f t="shared" si="8"/>
        <v>9.19</v>
      </c>
      <c r="AZ169" s="313">
        <v>20</v>
      </c>
      <c r="BA169" s="314">
        <f>IF(Tabla156[[#This Row],[Columna2]]="M1",13073,IF(Tabla156[[#This Row],[Columna2]]="N1",15815,IF(Tabla156[[#This Row],[Columna2]]="L3e",2831,53508)))</f>
        <v>13073</v>
      </c>
      <c r="BB169" s="350">
        <f>(Tabla156[[#This Row],[CVA]]*Tabla156[[#This Row],[F]]-Tabla156[[#This Row],[CVN]])/100*Tabla156[[#This Row],[L]]</f>
        <v>3512.5843699999991</v>
      </c>
      <c r="BC169" s="294" t="s">
        <v>70</v>
      </c>
      <c r="BD169" s="209">
        <f>VLOOKUP(B169,Tabla467824[[ID CAE2]:[AE '[kWh']]],6,FALSE)</f>
        <v>7136.4330429999991</v>
      </c>
      <c r="BE16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0" spans="1:57" ht="51.75" x14ac:dyDescent="0.25">
      <c r="A170" s="53" t="s">
        <v>883</v>
      </c>
      <c r="B170" s="53" t="s">
        <v>883</v>
      </c>
      <c r="C170" s="332" t="s">
        <v>884</v>
      </c>
      <c r="D170" s="104"/>
      <c r="E170" s="104"/>
      <c r="F170" s="104"/>
      <c r="G170" s="104"/>
      <c r="H170" s="104"/>
      <c r="I170" s="104"/>
      <c r="J170" s="104"/>
      <c r="K170" s="96" t="s">
        <v>885</v>
      </c>
      <c r="L170" s="96" t="s">
        <v>161</v>
      </c>
      <c r="M170" s="96" t="s">
        <v>886</v>
      </c>
      <c r="N170" s="96" t="s">
        <v>171</v>
      </c>
      <c r="O170" s="101">
        <f>VLOOKUP(Tabla156[[#This Row],[Matricula Antigua]],BAJA2022202320242025!$B$3:$CR$245,93,FALSE)</f>
        <v>45444</v>
      </c>
      <c r="P170" s="316">
        <v>45444</v>
      </c>
      <c r="Q170" s="317">
        <f>Tabla156[[#This Row],[F.Vig.Final]]-Tabla156[[#This Row],[f Vig Inicio]]</f>
        <v>0</v>
      </c>
      <c r="R170" s="318">
        <f>YEAR(Tabla156[[#This Row],[F.Vig.Final]])</f>
        <v>2024</v>
      </c>
      <c r="S170" s="96" t="s">
        <v>172</v>
      </c>
      <c r="T170" s="96" t="s">
        <v>78</v>
      </c>
      <c r="U170" s="96" t="s">
        <v>887</v>
      </c>
      <c r="V170" s="96" t="s">
        <v>888</v>
      </c>
      <c r="W170" s="96" t="s">
        <v>102</v>
      </c>
      <c r="X170" s="332" t="s">
        <v>1667</v>
      </c>
      <c r="Y170" s="96" t="s">
        <v>696</v>
      </c>
      <c r="Z170" s="98">
        <f>COUNTIF($X$3:X170, X170)</f>
        <v>39</v>
      </c>
      <c r="AA170" s="337" t="s">
        <v>1668</v>
      </c>
      <c r="AB170" s="337" t="s">
        <v>1668</v>
      </c>
      <c r="AC170" s="337" t="s">
        <v>1669</v>
      </c>
      <c r="AD170" s="341" t="s">
        <v>1670</v>
      </c>
      <c r="AE170" s="345" t="s">
        <v>1671</v>
      </c>
      <c r="AF170" s="346" t="s">
        <v>1672</v>
      </c>
      <c r="AG170" s="357" t="s">
        <v>1673</v>
      </c>
      <c r="AH170" s="337" t="s">
        <v>1649</v>
      </c>
      <c r="AI170" s="337" t="s">
        <v>889</v>
      </c>
      <c r="AJ170" s="98" t="s">
        <v>140</v>
      </c>
      <c r="AK170" s="98" t="s">
        <v>151</v>
      </c>
      <c r="AL170" s="98" t="s">
        <v>87</v>
      </c>
      <c r="AM170" s="101" t="s">
        <v>303</v>
      </c>
      <c r="AN170" s="348" t="s">
        <v>89</v>
      </c>
      <c r="AO170" s="349">
        <v>45625</v>
      </c>
      <c r="AP170" s="98">
        <f>Tabla156[[#This Row],[Renov. Flota]]-Tabla156[[#This Row],[Año]]</f>
        <v>0</v>
      </c>
      <c r="AQ170" s="100" t="s">
        <v>102</v>
      </c>
      <c r="AR170" s="100" t="str">
        <f>VLOOKUP(Tabla156[[#This Row],[Matricula nueva]],'ALTA 20242025'!$B$2:$P$242,15,FALSE)</f>
        <v>4500424827</v>
      </c>
      <c r="AS170" s="101" t="s">
        <v>103</v>
      </c>
      <c r="AT170" s="101"/>
      <c r="AU170" s="101" t="s">
        <v>72</v>
      </c>
      <c r="AV170" s="101" t="s">
        <v>109</v>
      </c>
      <c r="AW170" s="101" t="str">
        <f>VLOOKUP(Tabla156[[#This Row],[Matricula nueva]],Hoja2!$A$1:$B$224,2,FALSE)</f>
        <v>VR7CBZYA9RT152196</v>
      </c>
      <c r="AX170" s="209">
        <v>5.6</v>
      </c>
      <c r="AY170" s="208">
        <f t="shared" si="8"/>
        <v>10</v>
      </c>
      <c r="AZ170" s="313">
        <v>16.399999999999999</v>
      </c>
      <c r="BA170" s="314">
        <f>IF(Tabla156[[#This Row],[Columna2]]="M1",13073,IF(Tabla156[[#This Row],[Columna2]]="N1",15815,IF(Tabla156[[#This Row],[Columna2]]="L3e",2831,53508)))</f>
        <v>15815</v>
      </c>
      <c r="BB170" s="350">
        <f>(Tabla156[[#This Row],[CVA]]*Tabla156[[#This Row],[F]]-Tabla156[[#This Row],[CVN]])/100*Tabla156[[#This Row],[L]]</f>
        <v>6262.7400000000007</v>
      </c>
      <c r="BC170" s="294" t="s">
        <v>128</v>
      </c>
      <c r="BD170" s="209">
        <f>VLOOKUP(B170,Tabla467824[[ID CAE2]:[AE '[kWh']]],6,FALSE)</f>
        <v>123854.9676</v>
      </c>
      <c r="BE17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1" spans="1:57" ht="60.75" thickBot="1" x14ac:dyDescent="0.3">
      <c r="A171" s="53" t="s">
        <v>892</v>
      </c>
      <c r="B171" s="53" t="s">
        <v>892</v>
      </c>
      <c r="C171" s="332" t="s">
        <v>893</v>
      </c>
      <c r="D171" s="104" t="s">
        <v>72</v>
      </c>
      <c r="E171" s="104" t="s">
        <v>72</v>
      </c>
      <c r="F171" s="104" t="s">
        <v>72</v>
      </c>
      <c r="G171" s="104"/>
      <c r="H171" s="104" t="s">
        <v>249</v>
      </c>
      <c r="I171" s="104" t="s">
        <v>72</v>
      </c>
      <c r="J171" s="104"/>
      <c r="K171" s="96" t="s">
        <v>73</v>
      </c>
      <c r="L171" s="96" t="s">
        <v>200</v>
      </c>
      <c r="M171" s="96" t="s">
        <v>201</v>
      </c>
      <c r="N171" s="96" t="s">
        <v>76</v>
      </c>
      <c r="O171" s="101">
        <f>VLOOKUP(Tabla156[[#This Row],[Matricula Antigua]],BAJA2022202320242025!$B$3:$CR$245,93,FALSE)</f>
        <v>42747</v>
      </c>
      <c r="P171" s="316">
        <v>45169</v>
      </c>
      <c r="Q171" s="317">
        <f>Tabla156[[#This Row],[F.Vig.Final]]-Tabla156[[#This Row],[f Vig Inicio]]</f>
        <v>2422</v>
      </c>
      <c r="R171" s="318">
        <f>YEAR(Tabla156[[#This Row],[F.Vig.Final]])</f>
        <v>2023</v>
      </c>
      <c r="S171" s="96" t="s">
        <v>77</v>
      </c>
      <c r="T171" s="96" t="s">
        <v>78</v>
      </c>
      <c r="U171" s="96" t="s">
        <v>359</v>
      </c>
      <c r="V171" s="96" t="s">
        <v>894</v>
      </c>
      <c r="W171" s="96" t="s">
        <v>584</v>
      </c>
      <c r="X171" s="332" t="s">
        <v>585</v>
      </c>
      <c r="Y171" s="96" t="s">
        <v>895</v>
      </c>
      <c r="Z171" s="98">
        <f>COUNTIF($X$3:X171, X171)</f>
        <v>9</v>
      </c>
      <c r="AA171" s="337" t="s">
        <v>1661</v>
      </c>
      <c r="AB171" s="337" t="s">
        <v>1661</v>
      </c>
      <c r="AC171" s="337" t="s">
        <v>1662</v>
      </c>
      <c r="AD171" s="341" t="s">
        <v>1694</v>
      </c>
      <c r="AE171" s="347" t="s">
        <v>1664</v>
      </c>
      <c r="AF171" s="337" t="s">
        <v>1683</v>
      </c>
      <c r="AG171" s="337" t="s">
        <v>1695</v>
      </c>
      <c r="AH171" s="337" t="s">
        <v>1649</v>
      </c>
      <c r="AI171" s="337" t="s">
        <v>896</v>
      </c>
      <c r="AJ171" s="98" t="s">
        <v>85</v>
      </c>
      <c r="AK171" s="98" t="s">
        <v>86</v>
      </c>
      <c r="AL171" s="98" t="s">
        <v>87</v>
      </c>
      <c r="AM171" s="101" t="s">
        <v>897</v>
      </c>
      <c r="AN171" s="348" t="s">
        <v>89</v>
      </c>
      <c r="AO171" s="349">
        <v>45649</v>
      </c>
      <c r="AP171" s="98">
        <f>Tabla156[[#This Row],[Renov. Flota]]-Tabla156[[#This Row],[Año]]</f>
        <v>1</v>
      </c>
      <c r="AQ171" s="100" t="s">
        <v>584</v>
      </c>
      <c r="AR171" s="100" t="str">
        <f>VLOOKUP(Tabla156[[#This Row],[Matricula nueva]],'ALTA 20242025'!$B$2:$P$242,15,FALSE)</f>
        <v>4500427622</v>
      </c>
      <c r="AS171" s="101" t="s">
        <v>585</v>
      </c>
      <c r="AT171" s="101"/>
      <c r="AU171" s="101" t="s">
        <v>72</v>
      </c>
      <c r="AV171" s="101" t="s">
        <v>91</v>
      </c>
      <c r="AW171" s="101" t="str">
        <f>VLOOKUP(Tabla156[[#This Row],[Matricula nueva]],Hoja2!$A$1:$B$224,2,FALSE)</f>
        <v>VF1RFK00373824857</v>
      </c>
      <c r="AX171" s="209">
        <v>5.6</v>
      </c>
      <c r="AY171" s="208">
        <f t="shared" si="8"/>
        <v>10</v>
      </c>
      <c r="AZ171" s="313">
        <v>17.3</v>
      </c>
      <c r="BA171" s="314">
        <f>IF(Tabla156[[#This Row],[Columna2]]="M1",13073,IF(Tabla156[[#This Row],[Columna2]]="N1",15815,IF(Tabla156[[#This Row],[Columna2]]="L3e",2831,53508)))</f>
        <v>15815</v>
      </c>
      <c r="BB171" s="350">
        <f>(Tabla156[[#This Row],[CVA]]*Tabla156[[#This Row],[F]]-Tabla156[[#This Row],[CVN]])/100*Tabla156[[#This Row],[L]]</f>
        <v>6120.4049999999997</v>
      </c>
      <c r="BC171" s="91" t="s">
        <v>128</v>
      </c>
      <c r="BD171" s="209">
        <f>VLOOKUP(B171,Tabla467824[[ID CAE2]:[AE '[kWh']]],6,FALSE)</f>
        <v>5607.9989999999989</v>
      </c>
      <c r="BE17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72" spans="1:57" ht="15.75" hidden="1" thickBot="1" x14ac:dyDescent="0.3">
      <c r="A172" s="53" t="s">
        <v>1295</v>
      </c>
      <c r="B172" s="53" t="e">
        <v>#N/A</v>
      </c>
      <c r="C172" s="96" t="s">
        <v>1296</v>
      </c>
      <c r="D172" s="96"/>
      <c r="E172" s="96"/>
      <c r="F172" s="96"/>
      <c r="G172" s="96"/>
      <c r="H172" s="96"/>
      <c r="I172" s="96"/>
      <c r="J172" s="96"/>
      <c r="K172" s="96" t="s">
        <v>73</v>
      </c>
      <c r="L172" s="96" t="s">
        <v>200</v>
      </c>
      <c r="M172" s="96" t="s">
        <v>201</v>
      </c>
      <c r="N172" s="96" t="s">
        <v>160</v>
      </c>
      <c r="O172" s="101">
        <f>VLOOKUP(Tabla156[[#This Row],[Matricula Antigua]],BAJA2022202320242025!$B$3:$CR$245,93,FALSE)</f>
        <v>44224</v>
      </c>
      <c r="P172" s="99">
        <v>45685</v>
      </c>
      <c r="Q172" s="98">
        <f>Tabla156[[#This Row],[F.Vig.Final]]-Tabla156[[#This Row],[f Vig Inicio]]</f>
        <v>1461</v>
      </c>
      <c r="R172" s="99">
        <f>YEAR(Tabla156[[#This Row],[F.Vig.Final]])</f>
        <v>2025</v>
      </c>
      <c r="S172" s="96" t="s">
        <v>161</v>
      </c>
      <c r="T172" s="96" t="s">
        <v>78</v>
      </c>
      <c r="U172" s="96" t="s">
        <v>79</v>
      </c>
      <c r="V172" s="96" t="s">
        <v>924</v>
      </c>
      <c r="W172" s="96" t="s">
        <v>584</v>
      </c>
      <c r="X172" s="96" t="s">
        <v>585</v>
      </c>
      <c r="Y172" s="96" t="s">
        <v>1297</v>
      </c>
      <c r="Z172" s="98">
        <f>COUNTIF($X$3:X172, X172)</f>
        <v>10</v>
      </c>
      <c r="AA172" s="98"/>
      <c r="AB172" s="98"/>
      <c r="AC172" s="98"/>
      <c r="AD172" s="98"/>
      <c r="AE172" s="320"/>
      <c r="AF172" s="98"/>
      <c r="AG172" s="98"/>
      <c r="AH172" s="98"/>
      <c r="AI172" s="98" t="e">
        <v>#N/A</v>
      </c>
      <c r="AJ172" s="98" t="e">
        <v>#N/A</v>
      </c>
      <c r="AK172" s="98" t="e">
        <v>#N/A</v>
      </c>
      <c r="AL172" s="98" t="e">
        <v>#N/A</v>
      </c>
      <c r="AM172" s="98" t="e">
        <v>#N/A</v>
      </c>
      <c r="AN172" s="99" t="e">
        <v>#N/A</v>
      </c>
      <c r="AO172" s="99" t="e">
        <v>#N/A</v>
      </c>
      <c r="AP172" s="99" t="e">
        <f>Tabla156[[#This Row],[Renov. Flota]]-Tabla156[[#This Row],[Año]]</f>
        <v>#N/A</v>
      </c>
      <c r="AQ172" s="100" t="e">
        <v>#N/A</v>
      </c>
      <c r="AR172" s="100" t="e">
        <f>VLOOKUP(Tabla156[[#This Row],[Matricula nueva]],'ALTA 20242025'!$B$2:$P$242,15,FALSE)</f>
        <v>#N/A</v>
      </c>
      <c r="AS172" s="101" t="e">
        <v>#N/A</v>
      </c>
      <c r="AT172" s="101"/>
      <c r="AU172" s="101"/>
      <c r="AV172" s="101"/>
      <c r="AW172" s="101" t="e">
        <f>VLOOKUP(Tabla156[[#This Row],[Matricula nueva]],Hoja2!$A$1:$B$224,2,FALSE)</f>
        <v>#N/A</v>
      </c>
      <c r="AX172" s="101" t="str">
        <f>IF(Tabla156[[#This Row],[Columna2]]="M1",5.1,"")</f>
        <v/>
      </c>
      <c r="AY172" s="101"/>
      <c r="AZ172" s="101"/>
      <c r="BA172" s="311">
        <f>IF(Tabla156[[#This Row],[Columna2]]="M1",13073,IF(Tabla156[[#This Row],[Columna2]]="N1",15815,IF(Tabla156[[#This Row],[Columna2]]="L3e",2831,53508)))</f>
        <v>53508</v>
      </c>
      <c r="BB172" s="311" t="e">
        <f>(Tabla156[[#This Row],[CVA]]*Tabla156[[#This Row],[F]]-Tabla156[[#This Row],[CVN]])/100*Tabla156[[#This Row],[L]]</f>
        <v>#VALUE!</v>
      </c>
      <c r="BC172" s="1"/>
      <c r="BD172" s="1" t="e">
        <f>VLOOKUP(B172,Tabla467824[[ID CAE2]:[AE '[kWh']]],6,FALSE)</f>
        <v>#N/A</v>
      </c>
      <c r="BE17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3" spans="1:57" ht="51.75" x14ac:dyDescent="0.25">
      <c r="A173" s="53" t="s">
        <v>900</v>
      </c>
      <c r="B173" s="53" t="s">
        <v>900</v>
      </c>
      <c r="C173" s="332" t="s">
        <v>901</v>
      </c>
      <c r="D173" s="104"/>
      <c r="E173" s="104" t="s">
        <v>72</v>
      </c>
      <c r="F173" s="104" t="s">
        <v>72</v>
      </c>
      <c r="G173" s="104"/>
      <c r="H173" s="104"/>
      <c r="I173" s="104"/>
      <c r="J173" s="104"/>
      <c r="K173" s="96" t="s">
        <v>466</v>
      </c>
      <c r="L173" s="96" t="s">
        <v>200</v>
      </c>
      <c r="M173" s="96" t="s">
        <v>201</v>
      </c>
      <c r="N173" s="96" t="s">
        <v>76</v>
      </c>
      <c r="O173" s="101">
        <f>VLOOKUP(Tabla156[[#This Row],[Matricula Antigua]],BAJA2022202320242025!$B$3:$CR$245,93,FALSE)</f>
        <v>44203</v>
      </c>
      <c r="P173" s="316">
        <v>45664</v>
      </c>
      <c r="Q173" s="317">
        <f>Tabla156[[#This Row],[F.Vig.Final]]-Tabla156[[#This Row],[f Vig Inicio]]</f>
        <v>1461</v>
      </c>
      <c r="R173" s="318">
        <f>YEAR(Tabla156[[#This Row],[F.Vig.Final]])</f>
        <v>2025</v>
      </c>
      <c r="S173" s="96" t="s">
        <v>77</v>
      </c>
      <c r="T173" s="96" t="s">
        <v>78</v>
      </c>
      <c r="U173" s="96" t="s">
        <v>467</v>
      </c>
      <c r="V173" s="96" t="s">
        <v>902</v>
      </c>
      <c r="W173" s="96" t="s">
        <v>119</v>
      </c>
      <c r="X173" s="332" t="s">
        <v>1674</v>
      </c>
      <c r="Y173" s="96" t="s">
        <v>776</v>
      </c>
      <c r="Z173" s="98">
        <f>COUNTIF($X$3:X173, X173)</f>
        <v>21</v>
      </c>
      <c r="AA173" s="337" t="s">
        <v>1661</v>
      </c>
      <c r="AB173" s="337" t="s">
        <v>1661</v>
      </c>
      <c r="AC173" s="337" t="s">
        <v>1662</v>
      </c>
      <c r="AD173" s="337" t="s">
        <v>1663</v>
      </c>
      <c r="AE173" s="339" t="s">
        <v>1664</v>
      </c>
      <c r="AF173" s="340" t="s">
        <v>1665</v>
      </c>
      <c r="AG173" s="340" t="s">
        <v>1666</v>
      </c>
      <c r="AH173" s="337" t="s">
        <v>1649</v>
      </c>
      <c r="AI173" s="337" t="s">
        <v>903</v>
      </c>
      <c r="AJ173" s="98" t="s">
        <v>85</v>
      </c>
      <c r="AK173" s="98" t="s">
        <v>86</v>
      </c>
      <c r="AL173" s="98" t="s">
        <v>87</v>
      </c>
      <c r="AM173" s="101" t="s">
        <v>617</v>
      </c>
      <c r="AN173" s="348" t="s">
        <v>89</v>
      </c>
      <c r="AO173" s="349">
        <v>45645</v>
      </c>
      <c r="AP173" s="98">
        <f>Tabla156[[#This Row],[Renov. Flota]]-Tabla156[[#This Row],[Año]]</f>
        <v>-1</v>
      </c>
      <c r="AQ173" s="100" t="s">
        <v>119</v>
      </c>
      <c r="AR173" s="100" t="str">
        <f>VLOOKUP(Tabla156[[#This Row],[Matricula nueva]],'ALTA 20242025'!$B$2:$P$242,15,FALSE)</f>
        <v>4500426868</v>
      </c>
      <c r="AS173" s="101" t="s">
        <v>120</v>
      </c>
      <c r="AT173" s="101"/>
      <c r="AU173" s="101" t="s">
        <v>72</v>
      </c>
      <c r="AV173" s="101" t="s">
        <v>91</v>
      </c>
      <c r="AW173" s="101" t="str">
        <f>VLOOKUP(Tabla156[[#This Row],[Matricula nueva]],Hoja2!$A$1:$B$224,2,FALSE)</f>
        <v>VF1RFK00173934256</v>
      </c>
      <c r="AX173" s="209">
        <v>5.6</v>
      </c>
      <c r="AY173" s="208">
        <f t="shared" ref="AY173:AY182" si="9">IF(T173="DIESEL",10,IF(T173="GLP",7.16,9.19))</f>
        <v>10</v>
      </c>
      <c r="AZ173" s="313">
        <v>17.3</v>
      </c>
      <c r="BA173" s="314">
        <f>IF(Tabla156[[#This Row],[Columna2]]="M1",13073,IF(Tabla156[[#This Row],[Columna2]]="N1",15815,IF(Tabla156[[#This Row],[Columna2]]="L3e",2831,53508)))</f>
        <v>15815</v>
      </c>
      <c r="BB173" s="350">
        <f>(Tabla156[[#This Row],[CVA]]*Tabla156[[#This Row],[F]]-Tabla156[[#This Row],[CVN]])/100*Tabla156[[#This Row],[L]]</f>
        <v>6120.4049999999997</v>
      </c>
      <c r="BC173" s="90" t="s">
        <v>128</v>
      </c>
      <c r="BD173" s="209">
        <f>VLOOKUP(B173,Tabla467824[[ID CAE2]:[AE '[kWh']]],6,FALSE)</f>
        <v>6795.3454000000002</v>
      </c>
      <c r="BE17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4" spans="1:57" ht="60" x14ac:dyDescent="0.25">
      <c r="A174" s="53" t="s">
        <v>906</v>
      </c>
      <c r="B174" s="53" t="s">
        <v>906</v>
      </c>
      <c r="C174" s="332" t="s">
        <v>907</v>
      </c>
      <c r="D174" s="104" t="s">
        <v>72</v>
      </c>
      <c r="E174" s="104"/>
      <c r="F174" s="104" t="s">
        <v>72</v>
      </c>
      <c r="G174" s="104"/>
      <c r="H174" s="104"/>
      <c r="I174" s="104"/>
      <c r="J174" s="104"/>
      <c r="K174" s="96" t="s">
        <v>73</v>
      </c>
      <c r="L174" s="96" t="s">
        <v>74</v>
      </c>
      <c r="M174" s="96" t="s">
        <v>75</v>
      </c>
      <c r="N174" s="96" t="s">
        <v>76</v>
      </c>
      <c r="O174" s="99">
        <f>VLOOKUP(Tabla156[[#This Row],[Matricula Antigua]],BAJA2022202320242025!$B$3:$CR$245,93,FALSE)</f>
        <v>44392</v>
      </c>
      <c r="P174" s="316">
        <v>45230</v>
      </c>
      <c r="Q174" s="317">
        <f>Tabla156[[#This Row],[F.Vig.Final]]-Tabla156[[#This Row],[f Vig Inicio]]</f>
        <v>838</v>
      </c>
      <c r="R174" s="318">
        <f>YEAR(Tabla156[[#This Row],[F.Vig.Final]])</f>
        <v>2023</v>
      </c>
      <c r="S174" s="96" t="s">
        <v>77</v>
      </c>
      <c r="T174" s="96" t="s">
        <v>71</v>
      </c>
      <c r="U174" s="96" t="s">
        <v>79</v>
      </c>
      <c r="V174" s="96" t="s">
        <v>879</v>
      </c>
      <c r="W174" s="96" t="s">
        <v>336</v>
      </c>
      <c r="X174" s="332" t="s">
        <v>337</v>
      </c>
      <c r="Y174" s="96" t="s">
        <v>880</v>
      </c>
      <c r="Z174" s="98">
        <f>COUNTIF($X$3:X174, X174)</f>
        <v>12</v>
      </c>
      <c r="AA174" s="337" t="s">
        <v>1661</v>
      </c>
      <c r="AB174" s="337" t="s">
        <v>1661</v>
      </c>
      <c r="AC174" s="337" t="s">
        <v>1662</v>
      </c>
      <c r="AD174" s="341" t="s">
        <v>1682</v>
      </c>
      <c r="AE174" s="347" t="s">
        <v>1664</v>
      </c>
      <c r="AF174" s="337" t="s">
        <v>1683</v>
      </c>
      <c r="AG174" s="337" t="s">
        <v>1684</v>
      </c>
      <c r="AH174" s="337" t="s">
        <v>1649</v>
      </c>
      <c r="AI174" s="337" t="s">
        <v>908</v>
      </c>
      <c r="AJ174" s="98" t="s">
        <v>85</v>
      </c>
      <c r="AK174" s="98" t="s">
        <v>114</v>
      </c>
      <c r="AL174" s="98" t="s">
        <v>87</v>
      </c>
      <c r="AM174" s="101" t="s">
        <v>909</v>
      </c>
      <c r="AN174" s="348" t="s">
        <v>108</v>
      </c>
      <c r="AO174" s="349">
        <v>45282</v>
      </c>
      <c r="AP174" s="98">
        <f>Tabla156[[#This Row],[Renov. Flota]]-Tabla156[[#This Row],[Año]]</f>
        <v>0</v>
      </c>
      <c r="AQ174" s="100" t="s">
        <v>336</v>
      </c>
      <c r="AR174" s="100">
        <v>4500389150</v>
      </c>
      <c r="AS174" s="101" t="s">
        <v>337</v>
      </c>
      <c r="AT174" s="101"/>
      <c r="AU174" s="101" t="s">
        <v>72</v>
      </c>
      <c r="AV174" s="101" t="s">
        <v>91</v>
      </c>
      <c r="AW174" s="101" t="s">
        <v>910</v>
      </c>
      <c r="AX174" s="209">
        <f>IF(Tabla156[[#This Row],[Columna2]]="M1",5.1,"")</f>
        <v>5.0999999999999996</v>
      </c>
      <c r="AY174" s="208">
        <f t="shared" si="9"/>
        <v>9.19</v>
      </c>
      <c r="AZ174" s="313">
        <v>17.3</v>
      </c>
      <c r="BA174" s="314">
        <f>IF(Tabla156[[#This Row],[Columna2]]="M1",13073,IF(Tabla156[[#This Row],[Columna2]]="N1",15815,IF(Tabla156[[#This Row],[Columna2]]="L3e",2831,53508)))</f>
        <v>13073</v>
      </c>
      <c r="BB174" s="350">
        <f>(Tabla156[[#This Row],[CVA]]*Tabla156[[#This Row],[F]]-Tabla156[[#This Row],[CVN]])/100*Tabla156[[#This Row],[L]]</f>
        <v>3865.5553699999987</v>
      </c>
      <c r="BC174" s="294" t="s">
        <v>70</v>
      </c>
      <c r="BD174" s="209">
        <f>VLOOKUP(B174,Tabla467824[[ID CAE2]:[AE '[kWh']]],6,FALSE)</f>
        <v>7136.4330429999991</v>
      </c>
      <c r="BE17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5" spans="1:57" ht="60" x14ac:dyDescent="0.25">
      <c r="A175" s="53" t="s">
        <v>911</v>
      </c>
      <c r="B175" s="53" t="s">
        <v>911</v>
      </c>
      <c r="C175" s="332" t="s">
        <v>912</v>
      </c>
      <c r="D175" s="104" t="s">
        <v>72</v>
      </c>
      <c r="E175" s="104"/>
      <c r="F175" s="104" t="s">
        <v>72</v>
      </c>
      <c r="G175" s="104"/>
      <c r="H175" s="104"/>
      <c r="I175" s="104"/>
      <c r="J175" s="104"/>
      <c r="K175" s="96" t="s">
        <v>73</v>
      </c>
      <c r="L175" s="96" t="s">
        <v>74</v>
      </c>
      <c r="M175" s="96" t="s">
        <v>75</v>
      </c>
      <c r="N175" s="96" t="s">
        <v>76</v>
      </c>
      <c r="O175" s="99">
        <f>VLOOKUP(Tabla156[[#This Row],[Matricula Antigua]],BAJA2022202320242025!$B$3:$CR$245,93,FALSE)</f>
        <v>44411</v>
      </c>
      <c r="P175" s="316">
        <v>45233</v>
      </c>
      <c r="Q175" s="317">
        <f>Tabla156[[#This Row],[F.Vig.Final]]-Tabla156[[#This Row],[f Vig Inicio]]</f>
        <v>822</v>
      </c>
      <c r="R175" s="318">
        <f>YEAR(Tabla156[[#This Row],[F.Vig.Final]])</f>
        <v>2023</v>
      </c>
      <c r="S175" s="96" t="s">
        <v>77</v>
      </c>
      <c r="T175" s="96" t="s">
        <v>71</v>
      </c>
      <c r="U175" s="96" t="s">
        <v>79</v>
      </c>
      <c r="V175" s="96" t="s">
        <v>879</v>
      </c>
      <c r="W175" s="96" t="s">
        <v>336</v>
      </c>
      <c r="X175" s="332" t="s">
        <v>337</v>
      </c>
      <c r="Y175" s="96" t="s">
        <v>880</v>
      </c>
      <c r="Z175" s="98">
        <f>COUNTIF($X$3:X175, X175)</f>
        <v>13</v>
      </c>
      <c r="AA175" s="337" t="s">
        <v>1661</v>
      </c>
      <c r="AB175" s="337" t="s">
        <v>1661</v>
      </c>
      <c r="AC175" s="337" t="s">
        <v>1662</v>
      </c>
      <c r="AD175" s="341" t="s">
        <v>1682</v>
      </c>
      <c r="AE175" s="347" t="s">
        <v>1664</v>
      </c>
      <c r="AF175" s="337" t="s">
        <v>1683</v>
      </c>
      <c r="AG175" s="337" t="s">
        <v>1684</v>
      </c>
      <c r="AH175" s="337" t="s">
        <v>1649</v>
      </c>
      <c r="AI175" s="337" t="s">
        <v>913</v>
      </c>
      <c r="AJ175" s="98" t="s">
        <v>85</v>
      </c>
      <c r="AK175" s="98" t="s">
        <v>340</v>
      </c>
      <c r="AL175" s="98" t="s">
        <v>87</v>
      </c>
      <c r="AM175" s="101" t="s">
        <v>382</v>
      </c>
      <c r="AN175" s="348" t="s">
        <v>89</v>
      </c>
      <c r="AO175" s="349">
        <v>45481</v>
      </c>
      <c r="AP175" s="98">
        <f>Tabla156[[#This Row],[Renov. Flota]]-Tabla156[[#This Row],[Año]]</f>
        <v>1</v>
      </c>
      <c r="AQ175" s="100" t="s">
        <v>336</v>
      </c>
      <c r="AR175" s="100" t="str">
        <f>VLOOKUP(Tabla156[[#This Row],[Matricula nueva]],'ALTA 20242025'!$B$2:$P$242,15,FALSE)</f>
        <v>4500408050</v>
      </c>
      <c r="AS175" s="101" t="s">
        <v>337</v>
      </c>
      <c r="AT175" s="101"/>
      <c r="AU175" s="101" t="s">
        <v>72</v>
      </c>
      <c r="AV175" s="101" t="s">
        <v>91</v>
      </c>
      <c r="AW175" s="101" t="s">
        <v>915</v>
      </c>
      <c r="AX175" s="209">
        <f>IF(Tabla156[[#This Row],[Columna2]]="M1",5.1,"")</f>
        <v>5.0999999999999996</v>
      </c>
      <c r="AY175" s="208">
        <f t="shared" si="9"/>
        <v>9.19</v>
      </c>
      <c r="AZ175" s="313">
        <v>13.3</v>
      </c>
      <c r="BA175" s="314">
        <f>IF(Tabla156[[#This Row],[Columna2]]="M1",13073,IF(Tabla156[[#This Row],[Columna2]]="N1",15815,IF(Tabla156[[#This Row],[Columna2]]="L3e",2831,53508)))</f>
        <v>13073</v>
      </c>
      <c r="BB175" s="350">
        <f>(Tabla156[[#This Row],[CVA]]*Tabla156[[#This Row],[F]]-Tabla156[[#This Row],[CVN]])/100*Tabla156[[#This Row],[L]]</f>
        <v>4388.4753699999983</v>
      </c>
      <c r="BC175" s="294" t="s">
        <v>70</v>
      </c>
      <c r="BD175" s="209">
        <f>VLOOKUP(B175,Tabla467824[[ID CAE2]:[AE '[kWh']]],6,FALSE)</f>
        <v>7136.4330429999991</v>
      </c>
      <c r="BE17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6" spans="1:57" ht="51.75" x14ac:dyDescent="0.25">
      <c r="A176" s="53" t="s">
        <v>916</v>
      </c>
      <c r="B176" s="53" t="s">
        <v>916</v>
      </c>
      <c r="C176" s="332" t="s">
        <v>917</v>
      </c>
      <c r="D176" s="104" t="s">
        <v>72</v>
      </c>
      <c r="E176" s="104"/>
      <c r="F176" s="104" t="s">
        <v>72</v>
      </c>
      <c r="G176" s="104"/>
      <c r="H176" s="104"/>
      <c r="I176" s="104"/>
      <c r="J176" s="104"/>
      <c r="K176" s="96" t="s">
        <v>129</v>
      </c>
      <c r="L176" s="96" t="s">
        <v>74</v>
      </c>
      <c r="M176" s="96" t="s">
        <v>75</v>
      </c>
      <c r="N176" s="96" t="s">
        <v>76</v>
      </c>
      <c r="O176" s="99">
        <f>VLOOKUP(Tabla156[[#This Row],[Matricula Antigua]],BAJA2022202320242025!$B$3:$CR$245,93,FALSE)</f>
        <v>44260</v>
      </c>
      <c r="P176" s="316">
        <v>44966</v>
      </c>
      <c r="Q176" s="317">
        <f>Tabla156[[#This Row],[F.Vig.Final]]-Tabla156[[#This Row],[f Vig Inicio]]</f>
        <v>706</v>
      </c>
      <c r="R176" s="318">
        <f>YEAR(Tabla156[[#This Row],[F.Vig.Final]])</f>
        <v>2023</v>
      </c>
      <c r="S176" s="96" t="s">
        <v>77</v>
      </c>
      <c r="T176" s="96" t="s">
        <v>78</v>
      </c>
      <c r="U176" s="96" t="s">
        <v>79</v>
      </c>
      <c r="V176" s="96" t="s">
        <v>918</v>
      </c>
      <c r="W176" s="96" t="s">
        <v>131</v>
      </c>
      <c r="X176" s="332" t="s">
        <v>132</v>
      </c>
      <c r="Y176" s="96" t="s">
        <v>133</v>
      </c>
      <c r="Z176" s="98">
        <f>COUNTIF($X$3:X176, X176)</f>
        <v>12</v>
      </c>
      <c r="AA176" s="337" t="s">
        <v>1661</v>
      </c>
      <c r="AB176" s="337" t="s">
        <v>1661</v>
      </c>
      <c r="AC176" s="337" t="s">
        <v>1662</v>
      </c>
      <c r="AD176" s="333" t="s">
        <v>1675</v>
      </c>
      <c r="AE176" s="347" t="s">
        <v>1664</v>
      </c>
      <c r="AF176" s="337" t="s">
        <v>1676</v>
      </c>
      <c r="AG176" s="337" t="s">
        <v>1677</v>
      </c>
      <c r="AH176" s="337" t="s">
        <v>1649</v>
      </c>
      <c r="AI176" s="337" t="s">
        <v>919</v>
      </c>
      <c r="AJ176" s="98" t="s">
        <v>140</v>
      </c>
      <c r="AK176" s="98" t="s">
        <v>151</v>
      </c>
      <c r="AL176" s="98" t="s">
        <v>87</v>
      </c>
      <c r="AM176" s="101" t="s">
        <v>316</v>
      </c>
      <c r="AN176" s="348" t="s">
        <v>89</v>
      </c>
      <c r="AO176" s="349">
        <v>45622</v>
      </c>
      <c r="AP176" s="98">
        <f>Tabla156[[#This Row],[Renov. Flota]]-Tabla156[[#This Row],[Año]]</f>
        <v>1</v>
      </c>
      <c r="AQ176" s="100" t="s">
        <v>131</v>
      </c>
      <c r="AR176" s="100" t="str">
        <f>VLOOKUP(Tabla156[[#This Row],[Matricula nueva]],'ALTA 20242025'!$B$2:$P$242,15,FALSE)</f>
        <v>4500424795</v>
      </c>
      <c r="AS176" s="101" t="s">
        <v>132</v>
      </c>
      <c r="AT176" s="101"/>
      <c r="AU176" s="101" t="s">
        <v>72</v>
      </c>
      <c r="AV176" s="101" t="s">
        <v>91</v>
      </c>
      <c r="AW176" s="101" t="str">
        <f>VLOOKUP(Tabla156[[#This Row],[Matricula nueva]],Hoja2!$A$1:$B$224,2,FALSE)</f>
        <v>VR7CBZYA3RT152209</v>
      </c>
      <c r="AX176" s="209">
        <v>5.6</v>
      </c>
      <c r="AY176" s="208">
        <f t="shared" si="9"/>
        <v>10</v>
      </c>
      <c r="AZ176" s="313">
        <v>16.399999999999999</v>
      </c>
      <c r="BA176" s="314">
        <f>IF(Tabla156[[#This Row],[Columna2]]="M1",13073,IF(Tabla156[[#This Row],[Columna2]]="N1",15815,IF(Tabla156[[#This Row],[Columna2]]="L3e",2831,53508)))</f>
        <v>15815</v>
      </c>
      <c r="BB176" s="350">
        <f>(Tabla156[[#This Row],[CVA]]*Tabla156[[#This Row],[F]]-Tabla156[[#This Row],[CVN]])/100*Tabla156[[#This Row],[L]]</f>
        <v>6262.7400000000007</v>
      </c>
      <c r="BC176" s="294" t="s">
        <v>128</v>
      </c>
      <c r="BD176" s="209">
        <f>VLOOKUP(B176,Tabla467824[[ID CAE2]:[AE '[kWh']]],6,FALSE)</f>
        <v>5607.9989999999989</v>
      </c>
      <c r="BE17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77" spans="1:57" ht="60" x14ac:dyDescent="0.25">
      <c r="A177" s="53" t="s">
        <v>922</v>
      </c>
      <c r="B177" s="53" t="s">
        <v>922</v>
      </c>
      <c r="C177" s="332" t="s">
        <v>923</v>
      </c>
      <c r="D177" s="104" t="s">
        <v>72</v>
      </c>
      <c r="E177" s="104"/>
      <c r="F177" s="104" t="s">
        <v>72</v>
      </c>
      <c r="G177" s="104"/>
      <c r="H177" s="104" t="s">
        <v>249</v>
      </c>
      <c r="I177" s="104" t="s">
        <v>249</v>
      </c>
      <c r="J177" s="104"/>
      <c r="K177" s="96" t="s">
        <v>73</v>
      </c>
      <c r="L177" s="96" t="s">
        <v>200</v>
      </c>
      <c r="M177" s="96" t="s">
        <v>201</v>
      </c>
      <c r="N177" s="96" t="s">
        <v>160</v>
      </c>
      <c r="O177" s="101">
        <f>VLOOKUP(Tabla156[[#This Row],[Matricula Antigua]],BAJA2022202320242025!$B$3:$CR$245,93,FALSE)</f>
        <v>44263</v>
      </c>
      <c r="P177" s="316">
        <v>45419</v>
      </c>
      <c r="Q177" s="317">
        <f>Tabla156[[#This Row],[F.Vig.Final]]-Tabla156[[#This Row],[f Vig Inicio]]</f>
        <v>1156</v>
      </c>
      <c r="R177" s="318">
        <f>YEAR(Tabla156[[#This Row],[F.Vig.Final]])</f>
        <v>2024</v>
      </c>
      <c r="S177" s="96" t="s">
        <v>161</v>
      </c>
      <c r="T177" s="96" t="s">
        <v>78</v>
      </c>
      <c r="U177" s="96" t="s">
        <v>79</v>
      </c>
      <c r="V177" s="96" t="s">
        <v>924</v>
      </c>
      <c r="W177" s="96" t="s">
        <v>190</v>
      </c>
      <c r="X177" s="333" t="s">
        <v>1678</v>
      </c>
      <c r="Y177" s="96" t="s">
        <v>477</v>
      </c>
      <c r="Z177" s="98">
        <f>COUNTIF($X$3:X177, X177)</f>
        <v>9</v>
      </c>
      <c r="AA177" s="337" t="s">
        <v>1661</v>
      </c>
      <c r="AB177" s="337" t="s">
        <v>1661</v>
      </c>
      <c r="AC177" s="337" t="s">
        <v>1662</v>
      </c>
      <c r="AD177" s="337" t="s">
        <v>1663</v>
      </c>
      <c r="AE177" s="342" t="s">
        <v>1664</v>
      </c>
      <c r="AF177" s="337" t="s">
        <v>1665</v>
      </c>
      <c r="AG177" s="337" t="s">
        <v>1666</v>
      </c>
      <c r="AH177" s="337" t="s">
        <v>1649</v>
      </c>
      <c r="AI177" s="337" t="s">
        <v>925</v>
      </c>
      <c r="AJ177" s="98" t="s">
        <v>140</v>
      </c>
      <c r="AK177" s="98" t="s">
        <v>151</v>
      </c>
      <c r="AL177" s="98" t="s">
        <v>87</v>
      </c>
      <c r="AM177" s="101" t="s">
        <v>194</v>
      </c>
      <c r="AN177" s="348" t="s">
        <v>89</v>
      </c>
      <c r="AO177" s="349">
        <v>45625</v>
      </c>
      <c r="AP177" s="98">
        <f>Tabla156[[#This Row],[Renov. Flota]]-Tabla156[[#This Row],[Año]]</f>
        <v>0</v>
      </c>
      <c r="AQ177" s="100" t="s">
        <v>190</v>
      </c>
      <c r="AR177" s="100" t="str">
        <f>VLOOKUP(Tabla156[[#This Row],[Matricula nueva]],'ALTA 20242025'!$B$2:$P$242,15,FALSE)</f>
        <v>4500424816</v>
      </c>
      <c r="AS177" s="101" t="s">
        <v>191</v>
      </c>
      <c r="AT177" s="101"/>
      <c r="AU177" s="101" t="s">
        <v>72</v>
      </c>
      <c r="AV177" s="101" t="s">
        <v>91</v>
      </c>
      <c r="AW177" s="101" t="str">
        <f>VLOOKUP(Tabla156[[#This Row],[Matricula nueva]],Hoja2!$A$1:$B$224,2,FALSE)</f>
        <v>VR7CBZYAXRT154443</v>
      </c>
      <c r="AX177" s="209">
        <v>5.6</v>
      </c>
      <c r="AY177" s="208">
        <f t="shared" si="9"/>
        <v>10</v>
      </c>
      <c r="AZ177" s="313">
        <v>16.399999999999999</v>
      </c>
      <c r="BA177" s="314">
        <f>IF(Tabla156[[#This Row],[Columna2]]="M1",13073,IF(Tabla156[[#This Row],[Columna2]]="N1",15815,IF(Tabla156[[#This Row],[Columna2]]="L3e",2831,53508)))</f>
        <v>15815</v>
      </c>
      <c r="BB177" s="350">
        <f>(Tabla156[[#This Row],[CVA]]*Tabla156[[#This Row],[F]]-Tabla156[[#This Row],[CVN]])/100*Tabla156[[#This Row],[L]]</f>
        <v>6262.7400000000007</v>
      </c>
      <c r="BC177" s="294" t="s">
        <v>128</v>
      </c>
      <c r="BD177" s="209">
        <f>VLOOKUP(B177,Tabla467824[[ID CAE2]:[AE '[kWh']]],6,FALSE)</f>
        <v>5607.9989999999989</v>
      </c>
      <c r="BE17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78" spans="1:57" ht="51.75" x14ac:dyDescent="0.25">
      <c r="A178" s="53" t="s">
        <v>928</v>
      </c>
      <c r="B178" s="53" t="s">
        <v>928</v>
      </c>
      <c r="C178" s="332" t="s">
        <v>929</v>
      </c>
      <c r="D178" s="104" t="s">
        <v>72</v>
      </c>
      <c r="E178" s="104"/>
      <c r="F178" s="104" t="s">
        <v>72</v>
      </c>
      <c r="G178" s="104"/>
      <c r="H178" s="104" t="s">
        <v>249</v>
      </c>
      <c r="I178" s="104" t="s">
        <v>249</v>
      </c>
      <c r="J178" s="104"/>
      <c r="K178" s="96" t="s">
        <v>73</v>
      </c>
      <c r="L178" s="96" t="s">
        <v>200</v>
      </c>
      <c r="M178" s="96" t="s">
        <v>201</v>
      </c>
      <c r="N178" s="96" t="s">
        <v>160</v>
      </c>
      <c r="O178" s="101">
        <f>VLOOKUP(Tabla156[[#This Row],[Matricula Antigua]],BAJA2022202320242025!$B$3:$CR$245,93,FALSE)</f>
        <v>44270</v>
      </c>
      <c r="P178" s="316">
        <v>45731</v>
      </c>
      <c r="Q178" s="317">
        <f>Tabla156[[#This Row],[F.Vig.Final]]-Tabla156[[#This Row],[f Vig Inicio]]</f>
        <v>1461</v>
      </c>
      <c r="R178" s="318">
        <f>YEAR(Tabla156[[#This Row],[F.Vig.Final]])</f>
        <v>2025</v>
      </c>
      <c r="S178" s="96" t="s">
        <v>161</v>
      </c>
      <c r="T178" s="96" t="s">
        <v>78</v>
      </c>
      <c r="U178" s="96" t="s">
        <v>79</v>
      </c>
      <c r="V178" s="96" t="s">
        <v>924</v>
      </c>
      <c r="W178" s="96" t="s">
        <v>119</v>
      </c>
      <c r="X178" s="332" t="s">
        <v>1674</v>
      </c>
      <c r="Y178" s="96" t="s">
        <v>419</v>
      </c>
      <c r="Z178" s="98">
        <f>COUNTIF($X$3:X178, X178)</f>
        <v>22</v>
      </c>
      <c r="AA178" s="337" t="s">
        <v>1661</v>
      </c>
      <c r="AB178" s="337" t="s">
        <v>1661</v>
      </c>
      <c r="AC178" s="337" t="s">
        <v>1662</v>
      </c>
      <c r="AD178" s="337" t="s">
        <v>1663</v>
      </c>
      <c r="AE178" s="342" t="s">
        <v>1664</v>
      </c>
      <c r="AF178" s="337" t="s">
        <v>1665</v>
      </c>
      <c r="AG178" s="337" t="s">
        <v>1666</v>
      </c>
      <c r="AH178" s="337" t="s">
        <v>1649</v>
      </c>
      <c r="AI178" s="337" t="s">
        <v>930</v>
      </c>
      <c r="AJ178" s="98" t="s">
        <v>140</v>
      </c>
      <c r="AK178" s="98" t="s">
        <v>151</v>
      </c>
      <c r="AL178" s="98" t="s">
        <v>87</v>
      </c>
      <c r="AM178" s="101" t="s">
        <v>617</v>
      </c>
      <c r="AN178" s="348" t="s">
        <v>89</v>
      </c>
      <c r="AO178" s="349">
        <v>45625</v>
      </c>
      <c r="AP178" s="98">
        <f>Tabla156[[#This Row],[Renov. Flota]]-Tabla156[[#This Row],[Año]]</f>
        <v>-1</v>
      </c>
      <c r="AQ178" s="100" t="s">
        <v>119</v>
      </c>
      <c r="AR178" s="100" t="str">
        <f>VLOOKUP(Tabla156[[#This Row],[Matricula nueva]],'ALTA 20242025'!$B$2:$P$242,15,FALSE)</f>
        <v>4500424815</v>
      </c>
      <c r="AS178" s="101" t="s">
        <v>120</v>
      </c>
      <c r="AT178" s="101"/>
      <c r="AU178" s="101" t="s">
        <v>72</v>
      </c>
      <c r="AV178" s="101" t="s">
        <v>91</v>
      </c>
      <c r="AW178" s="101" t="str">
        <f>VLOOKUP(Tabla156[[#This Row],[Matricula nueva]],Hoja2!$A$1:$B$224,2,FALSE)</f>
        <v>VR7CBZYA3RT152193</v>
      </c>
      <c r="AX178" s="209">
        <v>5.6</v>
      </c>
      <c r="AY178" s="208">
        <f t="shared" si="9"/>
        <v>10</v>
      </c>
      <c r="AZ178" s="313">
        <v>16.399999999999999</v>
      </c>
      <c r="BA178" s="314">
        <f>IF(Tabla156[[#This Row],[Columna2]]="M1",13073,IF(Tabla156[[#This Row],[Columna2]]="N1",15815,IF(Tabla156[[#This Row],[Columna2]]="L3e",2831,53508)))</f>
        <v>15815</v>
      </c>
      <c r="BB178" s="350">
        <f>(Tabla156[[#This Row],[CVA]]*Tabla156[[#This Row],[F]]-Tabla156[[#This Row],[CVN]])/100*Tabla156[[#This Row],[L]]</f>
        <v>6262.7400000000007</v>
      </c>
      <c r="BC178" s="294" t="s">
        <v>128</v>
      </c>
      <c r="BD178" s="209">
        <f>VLOOKUP(B178,Tabla467824[[ID CAE2]:[AE '[kWh']]],6,FALSE)</f>
        <v>5607.9989999999989</v>
      </c>
      <c r="BE17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79" spans="1:57" ht="51.75" x14ac:dyDescent="0.25">
      <c r="A179" s="53" t="s">
        <v>933</v>
      </c>
      <c r="B179" s="53" t="s">
        <v>933</v>
      </c>
      <c r="C179" s="332" t="s">
        <v>934</v>
      </c>
      <c r="D179" s="104" t="s">
        <v>72</v>
      </c>
      <c r="E179" s="104"/>
      <c r="F179" s="104" t="s">
        <v>72</v>
      </c>
      <c r="G179" s="104"/>
      <c r="H179" s="104" t="s">
        <v>249</v>
      </c>
      <c r="I179" s="104" t="s">
        <v>249</v>
      </c>
      <c r="J179" s="104"/>
      <c r="K179" s="96" t="s">
        <v>73</v>
      </c>
      <c r="L179" s="96" t="s">
        <v>200</v>
      </c>
      <c r="M179" s="96" t="s">
        <v>201</v>
      </c>
      <c r="N179" s="96" t="s">
        <v>76</v>
      </c>
      <c r="O179" s="101">
        <f>VLOOKUP(Tabla156[[#This Row],[Matricula Antigua]],BAJA2022202320242025!$B$3:$CR$245,93,FALSE)</f>
        <v>44224</v>
      </c>
      <c r="P179" s="316">
        <v>45685</v>
      </c>
      <c r="Q179" s="317">
        <f>Tabla156[[#This Row],[F.Vig.Final]]-Tabla156[[#This Row],[f Vig Inicio]]</f>
        <v>1461</v>
      </c>
      <c r="R179" s="318">
        <f>YEAR(Tabla156[[#This Row],[F.Vig.Final]])</f>
        <v>2025</v>
      </c>
      <c r="S179" s="96" t="s">
        <v>77</v>
      </c>
      <c r="T179" s="96" t="s">
        <v>78</v>
      </c>
      <c r="U179" s="96" t="s">
        <v>79</v>
      </c>
      <c r="V179" s="96" t="s">
        <v>924</v>
      </c>
      <c r="W179" s="96" t="s">
        <v>81</v>
      </c>
      <c r="X179" s="332" t="s">
        <v>82</v>
      </c>
      <c r="Y179" s="96" t="s">
        <v>174</v>
      </c>
      <c r="Z179" s="98">
        <f>COUNTIF($X$3:X179, X179)</f>
        <v>15</v>
      </c>
      <c r="AA179" s="337" t="s">
        <v>1661</v>
      </c>
      <c r="AB179" s="337" t="s">
        <v>1661</v>
      </c>
      <c r="AC179" s="337" t="s">
        <v>1662</v>
      </c>
      <c r="AD179" s="337" t="s">
        <v>1663</v>
      </c>
      <c r="AE179" s="339" t="s">
        <v>1664</v>
      </c>
      <c r="AF179" s="340" t="s">
        <v>1665</v>
      </c>
      <c r="AG179" s="340" t="s">
        <v>1666</v>
      </c>
      <c r="AH179" s="337" t="s">
        <v>1649</v>
      </c>
      <c r="AI179" s="337" t="s">
        <v>935</v>
      </c>
      <c r="AJ179" s="98" t="s">
        <v>140</v>
      </c>
      <c r="AK179" s="98" t="s">
        <v>151</v>
      </c>
      <c r="AL179" s="98" t="s">
        <v>87</v>
      </c>
      <c r="AM179" s="101" t="s">
        <v>164</v>
      </c>
      <c r="AN179" s="348" t="s">
        <v>89</v>
      </c>
      <c r="AO179" s="349">
        <v>45630</v>
      </c>
      <c r="AP179" s="98">
        <f>Tabla156[[#This Row],[Renov. Flota]]-Tabla156[[#This Row],[Año]]</f>
        <v>-1</v>
      </c>
      <c r="AQ179" s="100" t="s">
        <v>81</v>
      </c>
      <c r="AR179" s="100" t="str">
        <f>VLOOKUP(Tabla156[[#This Row],[Matricula nueva]],'ALTA 20242025'!$B$2:$P$242,15,FALSE)</f>
        <v>4500424817</v>
      </c>
      <c r="AS179" s="101" t="s">
        <v>82</v>
      </c>
      <c r="AT179" s="101"/>
      <c r="AU179" s="101" t="s">
        <v>72</v>
      </c>
      <c r="AV179" s="101" t="s">
        <v>91</v>
      </c>
      <c r="AW179" s="101" t="str">
        <f>VLOOKUP(Tabla156[[#This Row],[Matricula nueva]],Hoja2!$A$1:$B$224,2,FALSE)</f>
        <v>VR7CBZYA4RT152199</v>
      </c>
      <c r="AX179" s="209">
        <v>5.6</v>
      </c>
      <c r="AY179" s="208">
        <f t="shared" si="9"/>
        <v>10</v>
      </c>
      <c r="AZ179" s="313">
        <v>16.399999999999999</v>
      </c>
      <c r="BA179" s="314">
        <f>IF(Tabla156[[#This Row],[Columna2]]="M1",13073,IF(Tabla156[[#This Row],[Columna2]]="N1",15815,IF(Tabla156[[#This Row],[Columna2]]="L3e",2831,53508)))</f>
        <v>15815</v>
      </c>
      <c r="BB179" s="350">
        <f>(Tabla156[[#This Row],[CVA]]*Tabla156[[#This Row],[F]]-Tabla156[[#This Row],[CVN]])/100*Tabla156[[#This Row],[L]]</f>
        <v>6262.7400000000007</v>
      </c>
      <c r="BC179" s="294" t="s">
        <v>128</v>
      </c>
      <c r="BD179" s="209">
        <f>VLOOKUP(B179,Tabla467824[[ID CAE2]:[AE '[kWh']]],6,FALSE)</f>
        <v>5607.9989999999989</v>
      </c>
      <c r="BE17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80" spans="1:57" ht="51.75" x14ac:dyDescent="0.25">
      <c r="A180" s="53" t="s">
        <v>938</v>
      </c>
      <c r="B180" s="53" t="s">
        <v>938</v>
      </c>
      <c r="C180" s="332" t="s">
        <v>939</v>
      </c>
      <c r="D180" s="104" t="s">
        <v>72</v>
      </c>
      <c r="E180" s="104"/>
      <c r="F180" s="104" t="s">
        <v>72</v>
      </c>
      <c r="G180" s="104"/>
      <c r="H180" s="104" t="s">
        <v>249</v>
      </c>
      <c r="I180" s="104" t="s">
        <v>249</v>
      </c>
      <c r="J180" s="104"/>
      <c r="K180" s="96" t="s">
        <v>73</v>
      </c>
      <c r="L180" s="96" t="s">
        <v>200</v>
      </c>
      <c r="M180" s="96" t="s">
        <v>201</v>
      </c>
      <c r="N180" s="96" t="s">
        <v>76</v>
      </c>
      <c r="O180" s="101">
        <f>VLOOKUP(Tabla156[[#This Row],[Matricula Antigua]],BAJA2022202320242025!$B$3:$CR$245,93,FALSE)</f>
        <v>44263</v>
      </c>
      <c r="P180" s="316">
        <v>45747</v>
      </c>
      <c r="Q180" s="317">
        <f>Tabla156[[#This Row],[F.Vig.Final]]-Tabla156[[#This Row],[f Vig Inicio]]</f>
        <v>1484</v>
      </c>
      <c r="R180" s="318">
        <f>YEAR(Tabla156[[#This Row],[F.Vig.Final]])</f>
        <v>2025</v>
      </c>
      <c r="S180" s="96" t="s">
        <v>77</v>
      </c>
      <c r="T180" s="96" t="s">
        <v>78</v>
      </c>
      <c r="U180" s="96" t="s">
        <v>79</v>
      </c>
      <c r="V180" s="96" t="s">
        <v>924</v>
      </c>
      <c r="W180" s="96" t="s">
        <v>102</v>
      </c>
      <c r="X180" s="332" t="s">
        <v>1667</v>
      </c>
      <c r="Y180" s="96" t="s">
        <v>495</v>
      </c>
      <c r="Z180" s="98">
        <f>COUNTIF($X$3:X180, X180)</f>
        <v>40</v>
      </c>
      <c r="AA180" s="337" t="s">
        <v>1668</v>
      </c>
      <c r="AB180" s="337" t="s">
        <v>1668</v>
      </c>
      <c r="AC180" s="337" t="s">
        <v>1669</v>
      </c>
      <c r="AD180" s="341" t="s">
        <v>1670</v>
      </c>
      <c r="AE180" s="342" t="s">
        <v>1671</v>
      </c>
      <c r="AF180" s="337" t="s">
        <v>1672</v>
      </c>
      <c r="AG180" s="344" t="s">
        <v>1673</v>
      </c>
      <c r="AH180" s="337" t="s">
        <v>1649</v>
      </c>
      <c r="AI180" s="337" t="s">
        <v>940</v>
      </c>
      <c r="AJ180" s="98" t="s">
        <v>380</v>
      </c>
      <c r="AK180" s="98" t="s">
        <v>381</v>
      </c>
      <c r="AL180" s="98" t="s">
        <v>87</v>
      </c>
      <c r="AM180" s="101" t="s">
        <v>696</v>
      </c>
      <c r="AN180" s="348" t="s">
        <v>89</v>
      </c>
      <c r="AO180" s="349">
        <v>45463</v>
      </c>
      <c r="AP180" s="98">
        <f>Tabla156[[#This Row],[Renov. Flota]]-Tabla156[[#This Row],[Año]]</f>
        <v>-1</v>
      </c>
      <c r="AQ180" s="100" t="s">
        <v>102</v>
      </c>
      <c r="AR180" s="100">
        <v>4500406593</v>
      </c>
      <c r="AS180" s="101" t="s">
        <v>103</v>
      </c>
      <c r="AT180" s="101"/>
      <c r="AU180" s="101" t="s">
        <v>72</v>
      </c>
      <c r="AV180" s="101" t="s">
        <v>109</v>
      </c>
      <c r="AW180" s="101" t="s">
        <v>941</v>
      </c>
      <c r="AX180" s="209">
        <v>5.6</v>
      </c>
      <c r="AY180" s="208">
        <f t="shared" si="9"/>
        <v>10</v>
      </c>
      <c r="AZ180" s="313">
        <v>20</v>
      </c>
      <c r="BA180" s="314">
        <f>IF(Tabla156[[#This Row],[Columna2]]="M1",13073,IF(Tabla156[[#This Row],[Columna2]]="N1",15815,IF(Tabla156[[#This Row],[Columna2]]="L3e",2831,53508)))</f>
        <v>15815</v>
      </c>
      <c r="BB180" s="350">
        <f>(Tabla156[[#This Row],[CVA]]*Tabla156[[#This Row],[F]]-Tabla156[[#This Row],[CVN]])/100*Tabla156[[#This Row],[L]]</f>
        <v>5693.4</v>
      </c>
      <c r="BC180" s="294" t="s">
        <v>128</v>
      </c>
      <c r="BD180" s="209">
        <f>VLOOKUP(B180,Tabla467824[[ID CAE2]:[AE '[kWh']]],6,FALSE)</f>
        <v>5607.9989999999989</v>
      </c>
      <c r="BE18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81" spans="1:57" ht="51.75" x14ac:dyDescent="0.25">
      <c r="A181" s="53" t="s">
        <v>942</v>
      </c>
      <c r="B181" s="53" t="s">
        <v>942</v>
      </c>
      <c r="C181" s="332" t="s">
        <v>943</v>
      </c>
      <c r="D181" s="104" t="s">
        <v>72</v>
      </c>
      <c r="E181" s="104"/>
      <c r="F181" s="104" t="s">
        <v>72</v>
      </c>
      <c r="G181" s="104"/>
      <c r="H181" s="104" t="s">
        <v>249</v>
      </c>
      <c r="I181" s="104" t="s">
        <v>249</v>
      </c>
      <c r="J181" s="104"/>
      <c r="K181" s="96" t="s">
        <v>73</v>
      </c>
      <c r="L181" s="96" t="s">
        <v>200</v>
      </c>
      <c r="M181" s="96" t="s">
        <v>201</v>
      </c>
      <c r="N181" s="96" t="s">
        <v>160</v>
      </c>
      <c r="O181" s="101">
        <f>VLOOKUP(Tabla156[[#This Row],[Matricula Antigua]],BAJA2022202320242025!$B$3:$CR$245,93,FALSE)</f>
        <v>44291</v>
      </c>
      <c r="P181" s="316">
        <v>45752</v>
      </c>
      <c r="Q181" s="317">
        <f>Tabla156[[#This Row],[F.Vig.Final]]-Tabla156[[#This Row],[f Vig Inicio]]</f>
        <v>1461</v>
      </c>
      <c r="R181" s="318">
        <f>YEAR(Tabla156[[#This Row],[F.Vig.Final]])</f>
        <v>2025</v>
      </c>
      <c r="S181" s="96" t="s">
        <v>161</v>
      </c>
      <c r="T181" s="96" t="s">
        <v>78</v>
      </c>
      <c r="U181" s="96" t="s">
        <v>79</v>
      </c>
      <c r="V181" s="96" t="s">
        <v>924</v>
      </c>
      <c r="W181" s="96" t="s">
        <v>119</v>
      </c>
      <c r="X181" s="332" t="s">
        <v>1674</v>
      </c>
      <c r="Y181" s="96" t="s">
        <v>152</v>
      </c>
      <c r="Z181" s="98">
        <f>COUNTIF($X$3:X181, X181)</f>
        <v>23</v>
      </c>
      <c r="AA181" s="337" t="s">
        <v>1661</v>
      </c>
      <c r="AB181" s="337" t="s">
        <v>1661</v>
      </c>
      <c r="AC181" s="337" t="s">
        <v>1662</v>
      </c>
      <c r="AD181" s="337" t="s">
        <v>1663</v>
      </c>
      <c r="AE181" s="345" t="s">
        <v>1664</v>
      </c>
      <c r="AF181" s="346" t="s">
        <v>1665</v>
      </c>
      <c r="AG181" s="337" t="s">
        <v>1666</v>
      </c>
      <c r="AH181" s="337" t="s">
        <v>1649</v>
      </c>
      <c r="AI181" s="337" t="s">
        <v>944</v>
      </c>
      <c r="AJ181" s="98" t="s">
        <v>85</v>
      </c>
      <c r="AK181" s="98" t="s">
        <v>86</v>
      </c>
      <c r="AL181" s="98" t="s">
        <v>87</v>
      </c>
      <c r="AM181" s="101" t="s">
        <v>617</v>
      </c>
      <c r="AN181" s="348" t="s">
        <v>89</v>
      </c>
      <c r="AO181" s="349">
        <v>45645</v>
      </c>
      <c r="AP181" s="98">
        <f>Tabla156[[#This Row],[Renov. Flota]]-Tabla156[[#This Row],[Año]]</f>
        <v>-1</v>
      </c>
      <c r="AQ181" s="100" t="s">
        <v>119</v>
      </c>
      <c r="AR181" s="100" t="str">
        <f>VLOOKUP(Tabla156[[#This Row],[Matricula nueva]],'ALTA 20242025'!$B$2:$P$242,15,FALSE)</f>
        <v>4500426867</v>
      </c>
      <c r="AS181" s="101" t="s">
        <v>120</v>
      </c>
      <c r="AT181" s="101"/>
      <c r="AU181" s="101" t="s">
        <v>72</v>
      </c>
      <c r="AV181" s="101" t="s">
        <v>91</v>
      </c>
      <c r="AW181" s="101" t="str">
        <f>VLOOKUP(Tabla156[[#This Row],[Matricula nueva]],Hoja2!$A$1:$B$224,2,FALSE)</f>
        <v>VF1RFK00073934281</v>
      </c>
      <c r="AX181" s="209">
        <v>5.6</v>
      </c>
      <c r="AY181" s="208">
        <f t="shared" si="9"/>
        <v>10</v>
      </c>
      <c r="AZ181" s="313">
        <v>17.3</v>
      </c>
      <c r="BA181" s="314">
        <f>IF(Tabla156[[#This Row],[Columna2]]="M1",13073,IF(Tabla156[[#This Row],[Columna2]]="N1",15815,IF(Tabla156[[#This Row],[Columna2]]="L3e",2831,53508)))</f>
        <v>15815</v>
      </c>
      <c r="BB181" s="350">
        <f>(Tabla156[[#This Row],[CVA]]*Tabla156[[#This Row],[F]]-Tabla156[[#This Row],[CVN]])/100*Tabla156[[#This Row],[L]]</f>
        <v>6120.4049999999997</v>
      </c>
      <c r="BC181" s="294" t="s">
        <v>128</v>
      </c>
      <c r="BD181" s="209">
        <f>VLOOKUP(B181,Tabla467824[[ID CAE2]:[AE '[kWh']]],6,FALSE)</f>
        <v>5607.9989999999989</v>
      </c>
      <c r="BE18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82" spans="1:57" ht="60.75" thickBot="1" x14ac:dyDescent="0.3">
      <c r="A182" s="53" t="s">
        <v>947</v>
      </c>
      <c r="B182" s="53" t="s">
        <v>947</v>
      </c>
      <c r="C182" s="332" t="s">
        <v>948</v>
      </c>
      <c r="D182" s="104" t="s">
        <v>72</v>
      </c>
      <c r="E182" s="104"/>
      <c r="F182" s="104" t="s">
        <v>72</v>
      </c>
      <c r="G182" s="104"/>
      <c r="H182" s="104" t="s">
        <v>249</v>
      </c>
      <c r="I182" s="104" t="s">
        <v>249</v>
      </c>
      <c r="J182" s="104"/>
      <c r="K182" s="96" t="s">
        <v>73</v>
      </c>
      <c r="L182" s="96" t="s">
        <v>200</v>
      </c>
      <c r="M182" s="96" t="s">
        <v>201</v>
      </c>
      <c r="N182" s="96" t="s">
        <v>160</v>
      </c>
      <c r="O182" s="101">
        <f>VLOOKUP(Tabla156[[#This Row],[Matricula Antigua]],BAJA2022202320242025!$B$3:$CR$245,93,FALSE)</f>
        <v>44224</v>
      </c>
      <c r="P182" s="316">
        <v>45685</v>
      </c>
      <c r="Q182" s="317">
        <f>Tabla156[[#This Row],[F.Vig.Final]]-Tabla156[[#This Row],[f Vig Inicio]]</f>
        <v>1461</v>
      </c>
      <c r="R182" s="318">
        <f>YEAR(Tabla156[[#This Row],[F.Vig.Final]])</f>
        <v>2025</v>
      </c>
      <c r="S182" s="96" t="s">
        <v>161</v>
      </c>
      <c r="T182" s="96" t="s">
        <v>78</v>
      </c>
      <c r="U182" s="96" t="s">
        <v>79</v>
      </c>
      <c r="V182" s="96" t="s">
        <v>924</v>
      </c>
      <c r="W182" s="96" t="s">
        <v>190</v>
      </c>
      <c r="X182" s="333" t="s">
        <v>1678</v>
      </c>
      <c r="Y182" s="96" t="s">
        <v>194</v>
      </c>
      <c r="Z182" s="98">
        <f>COUNTIF($X$3:X182, X182)</f>
        <v>10</v>
      </c>
      <c r="AA182" s="337" t="s">
        <v>1661</v>
      </c>
      <c r="AB182" s="337" t="s">
        <v>1661</v>
      </c>
      <c r="AC182" s="337" t="s">
        <v>1662</v>
      </c>
      <c r="AD182" s="337" t="s">
        <v>1663</v>
      </c>
      <c r="AE182" s="342" t="s">
        <v>1664</v>
      </c>
      <c r="AF182" s="337" t="s">
        <v>1665</v>
      </c>
      <c r="AG182" s="337" t="s">
        <v>1666</v>
      </c>
      <c r="AH182" s="337" t="s">
        <v>1649</v>
      </c>
      <c r="AI182" s="337" t="s">
        <v>949</v>
      </c>
      <c r="AJ182" s="98" t="s">
        <v>85</v>
      </c>
      <c r="AK182" s="98" t="s">
        <v>86</v>
      </c>
      <c r="AL182" s="98" t="s">
        <v>87</v>
      </c>
      <c r="AM182" s="101" t="s">
        <v>477</v>
      </c>
      <c r="AN182" s="348" t="s">
        <v>89</v>
      </c>
      <c r="AO182" s="349">
        <v>45646</v>
      </c>
      <c r="AP182" s="98">
        <f>Tabla156[[#This Row],[Renov. Flota]]-Tabla156[[#This Row],[Año]]</f>
        <v>-1</v>
      </c>
      <c r="AQ182" s="100" t="s">
        <v>190</v>
      </c>
      <c r="AR182" s="100" t="str">
        <f>VLOOKUP(Tabla156[[#This Row],[Matricula nueva]],'ALTA 20242025'!$B$2:$P$242,15,FALSE)</f>
        <v>4500426765</v>
      </c>
      <c r="AS182" s="101" t="s">
        <v>191</v>
      </c>
      <c r="AT182" s="101"/>
      <c r="AU182" s="101" t="s">
        <v>72</v>
      </c>
      <c r="AV182" s="101" t="s">
        <v>91</v>
      </c>
      <c r="AW182" s="101" t="str">
        <f>VLOOKUP(Tabla156[[#This Row],[Matricula nueva]],Hoja2!$A$1:$B$224,2,FALSE)</f>
        <v>VF1RFK00173934306</v>
      </c>
      <c r="AX182" s="209">
        <v>5.6</v>
      </c>
      <c r="AY182" s="208">
        <f t="shared" si="9"/>
        <v>10</v>
      </c>
      <c r="AZ182" s="313">
        <v>17.3</v>
      </c>
      <c r="BA182" s="314">
        <f>IF(Tabla156[[#This Row],[Columna2]]="M1",13073,IF(Tabla156[[#This Row],[Columna2]]="N1",15815,IF(Tabla156[[#This Row],[Columna2]]="L3e",2831,53508)))</f>
        <v>15815</v>
      </c>
      <c r="BB182" s="350">
        <f>(Tabla156[[#This Row],[CVA]]*Tabla156[[#This Row],[F]]-Tabla156[[#This Row],[CVN]])/100*Tabla156[[#This Row],[L]]</f>
        <v>6120.4049999999997</v>
      </c>
      <c r="BC182" s="91" t="s">
        <v>128</v>
      </c>
      <c r="BD182" s="209">
        <f>VLOOKUP(B182,Tabla467824[[ID CAE2]:[AE '[kWh']]],6,FALSE)</f>
        <v>5607.9989999999989</v>
      </c>
      <c r="BE18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83" spans="1:57" ht="15.75" hidden="1" thickBot="1" x14ac:dyDescent="0.3">
      <c r="A183" s="53" t="s">
        <v>1298</v>
      </c>
      <c r="B183" s="53" t="e">
        <v>#N/A</v>
      </c>
      <c r="C183" s="96" t="s">
        <v>1299</v>
      </c>
      <c r="D183" s="96"/>
      <c r="E183" s="96"/>
      <c r="F183" s="96"/>
      <c r="G183" s="96"/>
      <c r="H183" s="96"/>
      <c r="I183" s="96"/>
      <c r="J183" s="96"/>
      <c r="K183" s="96" t="s">
        <v>73</v>
      </c>
      <c r="L183" s="96" t="s">
        <v>200</v>
      </c>
      <c r="M183" s="96" t="s">
        <v>201</v>
      </c>
      <c r="N183" s="96" t="s">
        <v>160</v>
      </c>
      <c r="O183" s="101">
        <f>VLOOKUP(Tabla156[[#This Row],[Matricula Antigua]],BAJA2022202320242025!$B$3:$CR$245,93,FALSE)</f>
        <v>44232</v>
      </c>
      <c r="P183" s="99">
        <v>45693</v>
      </c>
      <c r="Q183" s="98">
        <f>Tabla156[[#This Row],[F.Vig.Final]]-Tabla156[[#This Row],[f Vig Inicio]]</f>
        <v>1461</v>
      </c>
      <c r="R183" s="99">
        <f>YEAR(Tabla156[[#This Row],[F.Vig.Final]])</f>
        <v>2025</v>
      </c>
      <c r="S183" s="96" t="s">
        <v>161</v>
      </c>
      <c r="T183" s="96" t="s">
        <v>78</v>
      </c>
      <c r="U183" s="96" t="s">
        <v>79</v>
      </c>
      <c r="V183" s="96" t="s">
        <v>924</v>
      </c>
      <c r="W183" s="96" t="s">
        <v>584</v>
      </c>
      <c r="X183" s="96" t="s">
        <v>585</v>
      </c>
      <c r="Y183" s="96" t="s">
        <v>1300</v>
      </c>
      <c r="Z183" s="98">
        <f>COUNTIF($X$3:X183, X183)</f>
        <v>11</v>
      </c>
      <c r="AA183" s="98"/>
      <c r="AB183" s="98"/>
      <c r="AC183" s="98"/>
      <c r="AD183" s="98"/>
      <c r="AE183" s="322"/>
      <c r="AF183" s="98"/>
      <c r="AG183" s="98"/>
      <c r="AH183" s="98"/>
      <c r="AI183" s="98" t="e">
        <v>#N/A</v>
      </c>
      <c r="AJ183" s="98" t="e">
        <v>#N/A</v>
      </c>
      <c r="AK183" s="98" t="e">
        <v>#N/A</v>
      </c>
      <c r="AL183" s="98" t="e">
        <v>#N/A</v>
      </c>
      <c r="AM183" s="98" t="e">
        <v>#N/A</v>
      </c>
      <c r="AN183" s="99" t="e">
        <v>#N/A</v>
      </c>
      <c r="AO183" s="99" t="e">
        <v>#N/A</v>
      </c>
      <c r="AP183" s="99" t="e">
        <f>Tabla156[[#This Row],[Renov. Flota]]-Tabla156[[#This Row],[Año]]</f>
        <v>#N/A</v>
      </c>
      <c r="AQ183" s="100" t="e">
        <v>#N/A</v>
      </c>
      <c r="AR183" s="100" t="e">
        <f>VLOOKUP(Tabla156[[#This Row],[Matricula nueva]],'ALTA 20242025'!$B$2:$P$242,15,FALSE)</f>
        <v>#N/A</v>
      </c>
      <c r="AS183" s="101" t="e">
        <v>#N/A</v>
      </c>
      <c r="AT183" s="101"/>
      <c r="AU183" s="101"/>
      <c r="AV183" s="101"/>
      <c r="AW183" s="101" t="e">
        <f>VLOOKUP(Tabla156[[#This Row],[Matricula nueva]],Hoja2!$A$1:$B$224,2,FALSE)</f>
        <v>#N/A</v>
      </c>
      <c r="AX183" s="101" t="str">
        <f>IF(Tabla156[[#This Row],[Columna2]]="M1",5.1,"")</f>
        <v/>
      </c>
      <c r="AY183" s="101"/>
      <c r="AZ183" s="101"/>
      <c r="BA183" s="311">
        <f>IF(Tabla156[[#This Row],[Columna2]]="M1",13073,IF(Tabla156[[#This Row],[Columna2]]="N1",15815,IF(Tabla156[[#This Row],[Columna2]]="L3e",2831,53508)))</f>
        <v>53508</v>
      </c>
      <c r="BB183" s="311" t="e">
        <f>(Tabla156[[#This Row],[CVA]]*Tabla156[[#This Row],[F]]-Tabla156[[#This Row],[CVN]])/100*Tabla156[[#This Row],[L]]</f>
        <v>#VALUE!</v>
      </c>
      <c r="BC183" s="1"/>
      <c r="BD183" s="1" t="e">
        <f>VLOOKUP(B183,Tabla467824[[ID CAE2]:[AE '[kWh']]],6,FALSE)</f>
        <v>#N/A</v>
      </c>
      <c r="BE18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84" spans="1:57" ht="15.75" hidden="1" thickBot="1" x14ac:dyDescent="0.3">
      <c r="A184" s="53" t="s">
        <v>1301</v>
      </c>
      <c r="B184" s="53" t="e">
        <v>#N/A</v>
      </c>
      <c r="C184" s="96" t="s">
        <v>1302</v>
      </c>
      <c r="D184" s="96"/>
      <c r="E184" s="96"/>
      <c r="F184" s="96"/>
      <c r="G184" s="96"/>
      <c r="H184" s="96"/>
      <c r="I184" s="96"/>
      <c r="J184" s="96"/>
      <c r="K184" s="96" t="s">
        <v>73</v>
      </c>
      <c r="L184" s="96" t="s">
        <v>200</v>
      </c>
      <c r="M184" s="96" t="s">
        <v>201</v>
      </c>
      <c r="N184" s="96" t="s">
        <v>160</v>
      </c>
      <c r="O184" s="101">
        <f>VLOOKUP(Tabla156[[#This Row],[Matricula Antigua]],BAJA2022202320242025!$B$3:$CR$245,93,FALSE)</f>
        <v>44232</v>
      </c>
      <c r="P184" s="99">
        <v>45693</v>
      </c>
      <c r="Q184" s="98">
        <f>Tabla156[[#This Row],[F.Vig.Final]]-Tabla156[[#This Row],[f Vig Inicio]]</f>
        <v>1461</v>
      </c>
      <c r="R184" s="99">
        <f>YEAR(Tabla156[[#This Row],[F.Vig.Final]])</f>
        <v>2025</v>
      </c>
      <c r="S184" s="96" t="s">
        <v>161</v>
      </c>
      <c r="T184" s="96" t="s">
        <v>78</v>
      </c>
      <c r="U184" s="96" t="s">
        <v>79</v>
      </c>
      <c r="V184" s="96" t="s">
        <v>924</v>
      </c>
      <c r="W184" s="96" t="s">
        <v>584</v>
      </c>
      <c r="X184" s="96" t="s">
        <v>585</v>
      </c>
      <c r="Y184" s="96" t="s">
        <v>1303</v>
      </c>
      <c r="Z184" s="98">
        <f>COUNTIF($X$3:X184, X184)</f>
        <v>12</v>
      </c>
      <c r="AA184" s="98"/>
      <c r="AB184" s="98"/>
      <c r="AC184" s="98"/>
      <c r="AD184" s="98"/>
      <c r="AE184" s="320"/>
      <c r="AF184" s="98"/>
      <c r="AG184" s="98"/>
      <c r="AH184" s="98"/>
      <c r="AI184" s="98" t="e">
        <v>#N/A</v>
      </c>
      <c r="AJ184" s="98" t="e">
        <v>#N/A</v>
      </c>
      <c r="AK184" s="98" t="e">
        <v>#N/A</v>
      </c>
      <c r="AL184" s="98" t="e">
        <v>#N/A</v>
      </c>
      <c r="AM184" s="98" t="e">
        <v>#N/A</v>
      </c>
      <c r="AN184" s="99" t="e">
        <v>#N/A</v>
      </c>
      <c r="AO184" s="99" t="e">
        <v>#N/A</v>
      </c>
      <c r="AP184" s="99" t="e">
        <f>Tabla156[[#This Row],[Renov. Flota]]-Tabla156[[#This Row],[Año]]</f>
        <v>#N/A</v>
      </c>
      <c r="AQ184" s="100" t="e">
        <v>#N/A</v>
      </c>
      <c r="AR184" s="100" t="e">
        <f>VLOOKUP(Tabla156[[#This Row],[Matricula nueva]],'ALTA 20242025'!$B$2:$P$242,15,FALSE)</f>
        <v>#N/A</v>
      </c>
      <c r="AS184" s="101" t="e">
        <v>#N/A</v>
      </c>
      <c r="AT184" s="101"/>
      <c r="AU184" s="101"/>
      <c r="AV184" s="101"/>
      <c r="AW184" s="101" t="e">
        <f>VLOOKUP(Tabla156[[#This Row],[Matricula nueva]],Hoja2!$A$1:$B$224,2,FALSE)</f>
        <v>#N/A</v>
      </c>
      <c r="AX184" s="101" t="str">
        <f>IF(Tabla156[[#This Row],[Columna2]]="M1",5.1,"")</f>
        <v/>
      </c>
      <c r="AY184" s="101"/>
      <c r="AZ184" s="101"/>
      <c r="BA184" s="311">
        <f>IF(Tabla156[[#This Row],[Columna2]]="M1",13073,IF(Tabla156[[#This Row],[Columna2]]="N1",15815,IF(Tabla156[[#This Row],[Columna2]]="L3e",2831,53508)))</f>
        <v>53508</v>
      </c>
      <c r="BB184" s="311" t="e">
        <f>(Tabla156[[#This Row],[CVA]]*Tabla156[[#This Row],[F]]-Tabla156[[#This Row],[CVN]])/100*Tabla156[[#This Row],[L]]</f>
        <v>#VALUE!</v>
      </c>
      <c r="BC184" s="1"/>
      <c r="BD184" s="1" t="e">
        <f>VLOOKUP(B184,Tabla467824[[ID CAE2]:[AE '[kWh']]],6,FALSE)</f>
        <v>#N/A</v>
      </c>
      <c r="BE18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85" spans="1:57" ht="60" x14ac:dyDescent="0.25">
      <c r="A185" s="53" t="s">
        <v>952</v>
      </c>
      <c r="B185" s="53" t="s">
        <v>952</v>
      </c>
      <c r="C185" s="332" t="s">
        <v>953</v>
      </c>
      <c r="D185" s="104" t="s">
        <v>72</v>
      </c>
      <c r="E185" s="104"/>
      <c r="F185" s="104" t="s">
        <v>72</v>
      </c>
      <c r="G185" s="104"/>
      <c r="H185" s="104" t="s">
        <v>249</v>
      </c>
      <c r="I185" s="104" t="s">
        <v>249</v>
      </c>
      <c r="J185" s="104"/>
      <c r="K185" s="96" t="s">
        <v>73</v>
      </c>
      <c r="L185" s="96" t="s">
        <v>200</v>
      </c>
      <c r="M185" s="96" t="s">
        <v>201</v>
      </c>
      <c r="N185" s="96" t="s">
        <v>160</v>
      </c>
      <c r="O185" s="101">
        <f>VLOOKUP(Tabla156[[#This Row],[Matricula Antigua]],BAJA2022202320242025!$B$3:$CR$245,93,FALSE)</f>
        <v>44228</v>
      </c>
      <c r="P185" s="316">
        <v>45689</v>
      </c>
      <c r="Q185" s="317">
        <f>Tabla156[[#This Row],[F.Vig.Final]]-Tabla156[[#This Row],[f Vig Inicio]]</f>
        <v>1461</v>
      </c>
      <c r="R185" s="318">
        <f>YEAR(Tabla156[[#This Row],[F.Vig.Final]])</f>
        <v>2025</v>
      </c>
      <c r="S185" s="96" t="s">
        <v>161</v>
      </c>
      <c r="T185" s="96" t="s">
        <v>78</v>
      </c>
      <c r="U185" s="96" t="s">
        <v>79</v>
      </c>
      <c r="V185" s="96" t="s">
        <v>924</v>
      </c>
      <c r="W185" s="96" t="s">
        <v>190</v>
      </c>
      <c r="X185" s="333" t="s">
        <v>1678</v>
      </c>
      <c r="Y185" s="96" t="s">
        <v>194</v>
      </c>
      <c r="Z185" s="98">
        <f>COUNTIF($X$3:X185, X185)</f>
        <v>11</v>
      </c>
      <c r="AA185" s="337" t="s">
        <v>1661</v>
      </c>
      <c r="AB185" s="337" t="s">
        <v>1661</v>
      </c>
      <c r="AC185" s="337" t="s">
        <v>1662</v>
      </c>
      <c r="AD185" s="337" t="s">
        <v>1663</v>
      </c>
      <c r="AE185" s="342" t="s">
        <v>1664</v>
      </c>
      <c r="AF185" s="337" t="s">
        <v>1665</v>
      </c>
      <c r="AG185" s="337" t="s">
        <v>1666</v>
      </c>
      <c r="AH185" s="337" t="s">
        <v>1649</v>
      </c>
      <c r="AI185" s="337" t="s">
        <v>954</v>
      </c>
      <c r="AJ185" s="98" t="s">
        <v>85</v>
      </c>
      <c r="AK185" s="98" t="s">
        <v>86</v>
      </c>
      <c r="AL185" s="98" t="s">
        <v>87</v>
      </c>
      <c r="AM185" s="101" t="s">
        <v>955</v>
      </c>
      <c r="AN185" s="348" t="s">
        <v>89</v>
      </c>
      <c r="AO185" s="349">
        <v>45646</v>
      </c>
      <c r="AP185" s="98">
        <f>Tabla156[[#This Row],[Renov. Flota]]-Tabla156[[#This Row],[Año]]</f>
        <v>-1</v>
      </c>
      <c r="AQ185" s="100" t="s">
        <v>190</v>
      </c>
      <c r="AR185" s="100" t="str">
        <f>VLOOKUP(Tabla156[[#This Row],[Matricula nueva]],'ALTA 20242025'!$B$2:$P$242,15,FALSE)</f>
        <v>4500428761</v>
      </c>
      <c r="AS185" s="101" t="s">
        <v>191</v>
      </c>
      <c r="AT185" s="101"/>
      <c r="AU185" s="101" t="s">
        <v>72</v>
      </c>
      <c r="AV185" s="101" t="s">
        <v>91</v>
      </c>
      <c r="AW185" s="101" t="str">
        <f>VLOOKUP(Tabla156[[#This Row],[Matricula nueva]],Hoja2!$A$1:$B$224,2,FALSE)</f>
        <v>VF1RFK00973934263</v>
      </c>
      <c r="AX185" s="209">
        <v>5.6</v>
      </c>
      <c r="AY185" s="208">
        <f>IF(T185="DIESEL",10,IF(T185="GLP",7.16,9.19))</f>
        <v>10</v>
      </c>
      <c r="AZ185" s="313">
        <v>17.3</v>
      </c>
      <c r="BA185" s="314">
        <f>IF(Tabla156[[#This Row],[Columna2]]="M1",13073,IF(Tabla156[[#This Row],[Columna2]]="N1",15815,IF(Tabla156[[#This Row],[Columna2]]="L3e",2831,53508)))</f>
        <v>15815</v>
      </c>
      <c r="BB185" s="350">
        <f>(Tabla156[[#This Row],[CVA]]*Tabla156[[#This Row],[F]]-Tabla156[[#This Row],[CVN]])/100*Tabla156[[#This Row],[L]]</f>
        <v>6120.4049999999997</v>
      </c>
      <c r="BC185" s="90" t="s">
        <v>128</v>
      </c>
      <c r="BD185" s="209">
        <f>VLOOKUP(B185,Tabla467824[[ID CAE2]:[AE '[kWh']]],6,FALSE)</f>
        <v>5607.9989999999989</v>
      </c>
      <c r="BE18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86" spans="1:57" ht="52.5" thickBot="1" x14ac:dyDescent="0.3">
      <c r="A186" s="53" t="s">
        <v>958</v>
      </c>
      <c r="B186" s="53" t="s">
        <v>958</v>
      </c>
      <c r="C186" s="332" t="s">
        <v>959</v>
      </c>
      <c r="D186" s="104" t="s">
        <v>72</v>
      </c>
      <c r="E186" s="104"/>
      <c r="F186" s="104" t="s">
        <v>72</v>
      </c>
      <c r="G186" s="104"/>
      <c r="H186" s="104" t="s">
        <v>249</v>
      </c>
      <c r="I186" s="104" t="s">
        <v>249</v>
      </c>
      <c r="J186" s="104"/>
      <c r="K186" s="96" t="s">
        <v>73</v>
      </c>
      <c r="L186" s="96" t="s">
        <v>200</v>
      </c>
      <c r="M186" s="96" t="s">
        <v>201</v>
      </c>
      <c r="N186" s="96" t="s">
        <v>160</v>
      </c>
      <c r="O186" s="101">
        <f>VLOOKUP(Tabla156[[#This Row],[Matricula Antigua]],BAJA2022202320242025!$B$3:$CR$245,93,FALSE)</f>
        <v>44228</v>
      </c>
      <c r="P186" s="316">
        <v>45689</v>
      </c>
      <c r="Q186" s="317">
        <f>Tabla156[[#This Row],[F.Vig.Final]]-Tabla156[[#This Row],[f Vig Inicio]]</f>
        <v>1461</v>
      </c>
      <c r="R186" s="318">
        <f>YEAR(Tabla156[[#This Row],[F.Vig.Final]])</f>
        <v>2025</v>
      </c>
      <c r="S186" s="96" t="s">
        <v>161</v>
      </c>
      <c r="T186" s="96" t="s">
        <v>78</v>
      </c>
      <c r="U186" s="96" t="s">
        <v>79</v>
      </c>
      <c r="V186" s="96" t="s">
        <v>924</v>
      </c>
      <c r="W186" s="96" t="s">
        <v>960</v>
      </c>
      <c r="X186" s="332" t="s">
        <v>961</v>
      </c>
      <c r="Y186" s="96" t="s">
        <v>962</v>
      </c>
      <c r="Z186" s="98">
        <f>COUNTIF($X$3:X186, X186)</f>
        <v>1</v>
      </c>
      <c r="AA186" s="337" t="s">
        <v>1661</v>
      </c>
      <c r="AB186" s="337" t="s">
        <v>1661</v>
      </c>
      <c r="AC186" s="337" t="s">
        <v>1662</v>
      </c>
      <c r="AD186" s="341" t="s">
        <v>1701</v>
      </c>
      <c r="AE186" s="337" t="s">
        <v>1664</v>
      </c>
      <c r="AF186" s="337" t="s">
        <v>1702</v>
      </c>
      <c r="AG186" s="337" t="s">
        <v>1703</v>
      </c>
      <c r="AH186" s="337" t="s">
        <v>1649</v>
      </c>
      <c r="AI186" s="337" t="s">
        <v>963</v>
      </c>
      <c r="AJ186" s="98" t="s">
        <v>85</v>
      </c>
      <c r="AK186" s="98" t="s">
        <v>86</v>
      </c>
      <c r="AL186" s="98" t="s">
        <v>87</v>
      </c>
      <c r="AM186" s="101" t="s">
        <v>962</v>
      </c>
      <c r="AN186" s="348" t="s">
        <v>89</v>
      </c>
      <c r="AO186" s="349">
        <v>45645</v>
      </c>
      <c r="AP186" s="98">
        <f>Tabla156[[#This Row],[Renov. Flota]]-Tabla156[[#This Row],[Año]]</f>
        <v>-1</v>
      </c>
      <c r="AQ186" s="100" t="s">
        <v>960</v>
      </c>
      <c r="AR186" s="100" t="str">
        <f>VLOOKUP(Tabla156[[#This Row],[Matricula nueva]],'ALTA 20242025'!$B$2:$P$242,15,FALSE)</f>
        <v>4500426871</v>
      </c>
      <c r="AS186" s="101" t="s">
        <v>961</v>
      </c>
      <c r="AT186" s="101"/>
      <c r="AU186" s="101" t="s">
        <v>72</v>
      </c>
      <c r="AV186" s="101" t="s">
        <v>91</v>
      </c>
      <c r="AW186" s="101" t="str">
        <f>VLOOKUP(Tabla156[[#This Row],[Matricula nueva]],Hoja2!$A$1:$B$224,2,FALSE)</f>
        <v>VF1RFK00073934295</v>
      </c>
      <c r="AX186" s="209">
        <v>5.6</v>
      </c>
      <c r="AY186" s="208">
        <f>IF(T186="DIESEL",10,IF(T186="GLP",7.16,9.19))</f>
        <v>10</v>
      </c>
      <c r="AZ186" s="313">
        <v>17.3</v>
      </c>
      <c r="BA186" s="314">
        <f>IF(Tabla156[[#This Row],[Columna2]]="M1",13073,IF(Tabla156[[#This Row],[Columna2]]="N1",15815,IF(Tabla156[[#This Row],[Columna2]]="L3e",2831,53508)))</f>
        <v>15815</v>
      </c>
      <c r="BB186" s="350">
        <f>(Tabla156[[#This Row],[CVA]]*Tabla156[[#This Row],[F]]-Tabla156[[#This Row],[CVN]])/100*Tabla156[[#This Row],[L]]</f>
        <v>6120.4049999999997</v>
      </c>
      <c r="BC186" s="91" t="s">
        <v>128</v>
      </c>
      <c r="BD186" s="209">
        <f>VLOOKUP(B186,Tabla467824[[ID CAE2]:[AE '[kWh']]],6,FALSE)</f>
        <v>5607.9989999999989</v>
      </c>
      <c r="BE18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87" spans="1:57" ht="15.75" hidden="1" thickBot="1" x14ac:dyDescent="0.3">
      <c r="A187" s="53" t="s">
        <v>1304</v>
      </c>
      <c r="B187" s="53" t="e">
        <v>#N/A</v>
      </c>
      <c r="C187" s="96" t="s">
        <v>1305</v>
      </c>
      <c r="D187" s="96"/>
      <c r="E187" s="96"/>
      <c r="F187" s="96"/>
      <c r="G187" s="96"/>
      <c r="H187" s="96"/>
      <c r="I187" s="96"/>
      <c r="J187" s="96"/>
      <c r="K187" s="96" t="s">
        <v>73</v>
      </c>
      <c r="L187" s="96" t="s">
        <v>200</v>
      </c>
      <c r="M187" s="96" t="s">
        <v>201</v>
      </c>
      <c r="N187" s="96" t="s">
        <v>160</v>
      </c>
      <c r="O187" s="101">
        <f>VLOOKUP(Tabla156[[#This Row],[Matricula Antigua]],BAJA2022202320242025!$B$3:$CR$245,93,FALSE)</f>
        <v>44235</v>
      </c>
      <c r="P187" s="99">
        <v>45696</v>
      </c>
      <c r="Q187" s="98">
        <f>Tabla156[[#This Row],[F.Vig.Final]]-Tabla156[[#This Row],[f Vig Inicio]]</f>
        <v>1461</v>
      </c>
      <c r="R187" s="99">
        <f>YEAR(Tabla156[[#This Row],[F.Vig.Final]])</f>
        <v>2025</v>
      </c>
      <c r="S187" s="96" t="s">
        <v>161</v>
      </c>
      <c r="T187" s="96" t="s">
        <v>78</v>
      </c>
      <c r="U187" s="96" t="s">
        <v>79</v>
      </c>
      <c r="V187" s="96" t="s">
        <v>924</v>
      </c>
      <c r="W187" s="96" t="s">
        <v>584</v>
      </c>
      <c r="X187" s="96" t="s">
        <v>585</v>
      </c>
      <c r="Y187" s="96" t="s">
        <v>1303</v>
      </c>
      <c r="Z187" s="98">
        <f>COUNTIF($X$3:X187, X187)</f>
        <v>13</v>
      </c>
      <c r="AA187" s="98"/>
      <c r="AB187" s="98"/>
      <c r="AC187" s="98"/>
      <c r="AD187" s="98"/>
      <c r="AE187" s="98"/>
      <c r="AF187" s="98"/>
      <c r="AG187" s="98"/>
      <c r="AH187" s="98"/>
      <c r="AI187" s="98" t="e">
        <v>#N/A</v>
      </c>
      <c r="AJ187" s="98" t="e">
        <v>#N/A</v>
      </c>
      <c r="AK187" s="98" t="e">
        <v>#N/A</v>
      </c>
      <c r="AL187" s="98" t="e">
        <v>#N/A</v>
      </c>
      <c r="AM187" s="98" t="e">
        <v>#N/A</v>
      </c>
      <c r="AN187" s="99" t="e">
        <v>#N/A</v>
      </c>
      <c r="AO187" s="99" t="e">
        <v>#N/A</v>
      </c>
      <c r="AP187" s="99" t="e">
        <f>Tabla156[[#This Row],[Renov. Flota]]-Tabla156[[#This Row],[Año]]</f>
        <v>#N/A</v>
      </c>
      <c r="AQ187" s="100" t="e">
        <v>#N/A</v>
      </c>
      <c r="AR187" s="100" t="e">
        <f>VLOOKUP(Tabla156[[#This Row],[Matricula nueva]],'ALTA 20242025'!$B$2:$P$242,15,FALSE)</f>
        <v>#N/A</v>
      </c>
      <c r="AS187" s="101" t="e">
        <v>#N/A</v>
      </c>
      <c r="AT187" s="101"/>
      <c r="AU187" s="101"/>
      <c r="AV187" s="101"/>
      <c r="AW187" s="101" t="e">
        <f>VLOOKUP(Tabla156[[#This Row],[Matricula nueva]],Hoja2!$A$1:$B$224,2,FALSE)</f>
        <v>#N/A</v>
      </c>
      <c r="AX187" s="101" t="str">
        <f>IF(Tabla156[[#This Row],[Columna2]]="M1",5.1,"")</f>
        <v/>
      </c>
      <c r="AY187" s="101"/>
      <c r="AZ187" s="101"/>
      <c r="BA187" s="311">
        <f>IF(Tabla156[[#This Row],[Columna2]]="M1",13073,IF(Tabla156[[#This Row],[Columna2]]="N1",15815,IF(Tabla156[[#This Row],[Columna2]]="L3e",2831,53508)))</f>
        <v>53508</v>
      </c>
      <c r="BB187" s="311" t="e">
        <f>(Tabla156[[#This Row],[CVA]]*Tabla156[[#This Row],[F]]-Tabla156[[#This Row],[CVN]])/100*Tabla156[[#This Row],[L]]</f>
        <v>#VALUE!</v>
      </c>
      <c r="BC187" s="1"/>
      <c r="BD187" s="1" t="e">
        <f>VLOOKUP(B187,Tabla467824[[ID CAE2]:[AE '[kWh']]],6,FALSE)</f>
        <v>#N/A</v>
      </c>
      <c r="BE18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88" spans="1:57" ht="15.75" hidden="1" thickBot="1" x14ac:dyDescent="0.3">
      <c r="A188" s="53" t="s">
        <v>1306</v>
      </c>
      <c r="B188" s="53" t="e">
        <v>#N/A</v>
      </c>
      <c r="C188" s="96" t="s">
        <v>1307</v>
      </c>
      <c r="D188" s="96"/>
      <c r="E188" s="96"/>
      <c r="F188" s="96"/>
      <c r="G188" s="96"/>
      <c r="H188" s="96"/>
      <c r="I188" s="96"/>
      <c r="J188" s="96"/>
      <c r="K188" s="96" t="s">
        <v>73</v>
      </c>
      <c r="L188" s="96" t="s">
        <v>200</v>
      </c>
      <c r="M188" s="96" t="s">
        <v>201</v>
      </c>
      <c r="N188" s="96" t="s">
        <v>160</v>
      </c>
      <c r="O188" s="101">
        <f>VLOOKUP(Tabla156[[#This Row],[Matricula Antigua]],BAJA2022202320242025!$B$3:$CR$245,93,FALSE)</f>
        <v>44235</v>
      </c>
      <c r="P188" s="99">
        <v>45696</v>
      </c>
      <c r="Q188" s="98">
        <f>Tabla156[[#This Row],[F.Vig.Final]]-Tabla156[[#This Row],[f Vig Inicio]]</f>
        <v>1461</v>
      </c>
      <c r="R188" s="99">
        <f>YEAR(Tabla156[[#This Row],[F.Vig.Final]])</f>
        <v>2025</v>
      </c>
      <c r="S188" s="96" t="s">
        <v>161</v>
      </c>
      <c r="T188" s="96" t="s">
        <v>78</v>
      </c>
      <c r="U188" s="96" t="s">
        <v>79</v>
      </c>
      <c r="V188" s="96" t="s">
        <v>924</v>
      </c>
      <c r="W188" s="96" t="s">
        <v>1128</v>
      </c>
      <c r="X188" s="96" t="s">
        <v>1129</v>
      </c>
      <c r="Y188" s="96" t="s">
        <v>1308</v>
      </c>
      <c r="Z188" s="98">
        <f>COUNTIF($X$3:X188, X188)</f>
        <v>2</v>
      </c>
      <c r="AA188" s="98"/>
      <c r="AB188" s="98"/>
      <c r="AC188" s="98"/>
      <c r="AD188" s="98"/>
      <c r="AE188" s="98"/>
      <c r="AF188" s="98"/>
      <c r="AG188" s="98"/>
      <c r="AH188" s="98"/>
      <c r="AI188" s="98" t="e">
        <v>#N/A</v>
      </c>
      <c r="AJ188" s="98" t="e">
        <v>#N/A</v>
      </c>
      <c r="AK188" s="98" t="e">
        <v>#N/A</v>
      </c>
      <c r="AL188" s="98" t="e">
        <v>#N/A</v>
      </c>
      <c r="AM188" s="98" t="e">
        <v>#N/A</v>
      </c>
      <c r="AN188" s="99" t="e">
        <v>#N/A</v>
      </c>
      <c r="AO188" s="99" t="e">
        <v>#N/A</v>
      </c>
      <c r="AP188" s="99" t="e">
        <f>Tabla156[[#This Row],[Renov. Flota]]-Tabla156[[#This Row],[Año]]</f>
        <v>#N/A</v>
      </c>
      <c r="AQ188" s="100" t="e">
        <v>#N/A</v>
      </c>
      <c r="AR188" s="100" t="e">
        <f>VLOOKUP(Tabla156[[#This Row],[Matricula nueva]],'ALTA 20242025'!$B$2:$P$242,15,FALSE)</f>
        <v>#N/A</v>
      </c>
      <c r="AS188" s="101" t="e">
        <v>#N/A</v>
      </c>
      <c r="AT188" s="101"/>
      <c r="AU188" s="101"/>
      <c r="AV188" s="101"/>
      <c r="AW188" s="101" t="e">
        <f>VLOOKUP(Tabla156[[#This Row],[Matricula nueva]],Hoja2!$A$1:$B$224,2,FALSE)</f>
        <v>#N/A</v>
      </c>
      <c r="AX188" s="101" t="str">
        <f>IF(Tabla156[[#This Row],[Columna2]]="M1",5.1,"")</f>
        <v/>
      </c>
      <c r="AY188" s="101"/>
      <c r="AZ188" s="101"/>
      <c r="BA188" s="311">
        <f>IF(Tabla156[[#This Row],[Columna2]]="M1",13073,IF(Tabla156[[#This Row],[Columna2]]="N1",15815,IF(Tabla156[[#This Row],[Columna2]]="L3e",2831,53508)))</f>
        <v>53508</v>
      </c>
      <c r="BB188" s="311" t="e">
        <f>(Tabla156[[#This Row],[CVA]]*Tabla156[[#This Row],[F]]-Tabla156[[#This Row],[CVN]])/100*Tabla156[[#This Row],[L]]</f>
        <v>#VALUE!</v>
      </c>
      <c r="BC188" s="1"/>
      <c r="BD188" s="1" t="e">
        <f>VLOOKUP(B188,Tabla467824[[ID CAE2]:[AE '[kWh']]],6,FALSE)</f>
        <v>#N/A</v>
      </c>
      <c r="BE18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89" spans="1:57" ht="15.75" hidden="1" thickBot="1" x14ac:dyDescent="0.3">
      <c r="A189" s="53" t="s">
        <v>1309</v>
      </c>
      <c r="B189" s="53" t="e">
        <v>#N/A</v>
      </c>
      <c r="C189" s="96" t="s">
        <v>1310</v>
      </c>
      <c r="D189" s="96"/>
      <c r="E189" s="96"/>
      <c r="F189" s="96"/>
      <c r="G189" s="96"/>
      <c r="H189" s="96"/>
      <c r="I189" s="96"/>
      <c r="J189" s="96"/>
      <c r="K189" s="96" t="s">
        <v>73</v>
      </c>
      <c r="L189" s="96" t="s">
        <v>200</v>
      </c>
      <c r="M189" s="96" t="s">
        <v>201</v>
      </c>
      <c r="N189" s="96" t="s">
        <v>76</v>
      </c>
      <c r="O189" s="101">
        <f>VLOOKUP(Tabla156[[#This Row],[Matricula Antigua]],BAJA2022202320242025!$B$3:$CR$245,93,FALSE)</f>
        <v>44235</v>
      </c>
      <c r="P189" s="99">
        <v>45696</v>
      </c>
      <c r="Q189" s="98">
        <f>Tabla156[[#This Row],[F.Vig.Final]]-Tabla156[[#This Row],[f Vig Inicio]]</f>
        <v>1461</v>
      </c>
      <c r="R189" s="99">
        <f>YEAR(Tabla156[[#This Row],[F.Vig.Final]])</f>
        <v>2025</v>
      </c>
      <c r="S189" s="96" t="s">
        <v>77</v>
      </c>
      <c r="T189" s="96" t="s">
        <v>78</v>
      </c>
      <c r="U189" s="96" t="s">
        <v>79</v>
      </c>
      <c r="V189" s="96" t="s">
        <v>924</v>
      </c>
      <c r="W189" s="96" t="s">
        <v>584</v>
      </c>
      <c r="X189" s="96" t="s">
        <v>585</v>
      </c>
      <c r="Y189" s="96" t="s">
        <v>1311</v>
      </c>
      <c r="Z189" s="98">
        <f>COUNTIF($X$3:X189, X189)</f>
        <v>14</v>
      </c>
      <c r="AA189" s="98"/>
      <c r="AB189" s="98"/>
      <c r="AC189" s="98"/>
      <c r="AD189" s="98"/>
      <c r="AE189" s="98"/>
      <c r="AF189" s="98"/>
      <c r="AG189" s="98"/>
      <c r="AH189" s="98"/>
      <c r="AI189" s="98" t="e">
        <v>#N/A</v>
      </c>
      <c r="AJ189" s="98" t="e">
        <v>#N/A</v>
      </c>
      <c r="AK189" s="98" t="e">
        <v>#N/A</v>
      </c>
      <c r="AL189" s="98" t="e">
        <v>#N/A</v>
      </c>
      <c r="AM189" s="98" t="e">
        <v>#N/A</v>
      </c>
      <c r="AN189" s="99" t="e">
        <v>#N/A</v>
      </c>
      <c r="AO189" s="99" t="e">
        <v>#N/A</v>
      </c>
      <c r="AP189" s="99" t="e">
        <f>Tabla156[[#This Row],[Renov. Flota]]-Tabla156[[#This Row],[Año]]</f>
        <v>#N/A</v>
      </c>
      <c r="AQ189" s="100" t="e">
        <v>#N/A</v>
      </c>
      <c r="AR189" s="100" t="e">
        <f>VLOOKUP(Tabla156[[#This Row],[Matricula nueva]],'ALTA 20242025'!$B$2:$P$242,15,FALSE)</f>
        <v>#N/A</v>
      </c>
      <c r="AS189" s="101" t="e">
        <v>#N/A</v>
      </c>
      <c r="AT189" s="101"/>
      <c r="AU189" s="101"/>
      <c r="AV189" s="101"/>
      <c r="AW189" s="101" t="e">
        <f>VLOOKUP(Tabla156[[#This Row],[Matricula nueva]],Hoja2!$A$1:$B$224,2,FALSE)</f>
        <v>#N/A</v>
      </c>
      <c r="AX189" s="101" t="str">
        <f>IF(Tabla156[[#This Row],[Columna2]]="M1",5.1,"")</f>
        <v/>
      </c>
      <c r="AY189" s="101"/>
      <c r="AZ189" s="101"/>
      <c r="BA189" s="311">
        <f>IF(Tabla156[[#This Row],[Columna2]]="M1",13073,IF(Tabla156[[#This Row],[Columna2]]="N1",15815,IF(Tabla156[[#This Row],[Columna2]]="L3e",2831,53508)))</f>
        <v>53508</v>
      </c>
      <c r="BB189" s="311" t="e">
        <f>(Tabla156[[#This Row],[CVA]]*Tabla156[[#This Row],[F]]-Tabla156[[#This Row],[CVN]])/100*Tabla156[[#This Row],[L]]</f>
        <v>#VALUE!</v>
      </c>
      <c r="BC189" s="1"/>
      <c r="BD189" s="1" t="e">
        <f>VLOOKUP(B189,Tabla467824[[ID CAE2]:[AE '[kWh']]],6,FALSE)</f>
        <v>#N/A</v>
      </c>
      <c r="BE18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90" spans="1:57" ht="15.75" hidden="1" thickBot="1" x14ac:dyDescent="0.3">
      <c r="A190" s="53" t="s">
        <v>1312</v>
      </c>
      <c r="B190" s="53" t="e">
        <v>#N/A</v>
      </c>
      <c r="C190" s="96" t="s">
        <v>1313</v>
      </c>
      <c r="D190" s="96"/>
      <c r="E190" s="96"/>
      <c r="F190" s="96"/>
      <c r="G190" s="96"/>
      <c r="H190" s="96"/>
      <c r="I190" s="96"/>
      <c r="J190" s="96"/>
      <c r="K190" s="96" t="s">
        <v>73</v>
      </c>
      <c r="L190" s="96" t="s">
        <v>200</v>
      </c>
      <c r="M190" s="96" t="s">
        <v>201</v>
      </c>
      <c r="N190" s="96" t="s">
        <v>76</v>
      </c>
      <c r="O190" s="101">
        <f>VLOOKUP(Tabla156[[#This Row],[Matricula Antigua]],BAJA2022202320242025!$B$3:$CR$245,93,FALSE)</f>
        <v>44176</v>
      </c>
      <c r="P190" s="99">
        <v>45637</v>
      </c>
      <c r="Q190" s="98">
        <f>Tabla156[[#This Row],[F.Vig.Final]]-Tabla156[[#This Row],[f Vig Inicio]]</f>
        <v>1461</v>
      </c>
      <c r="R190" s="99">
        <f>YEAR(Tabla156[[#This Row],[F.Vig.Final]])</f>
        <v>2024</v>
      </c>
      <c r="S190" s="96" t="s">
        <v>77</v>
      </c>
      <c r="T190" s="96" t="s">
        <v>78</v>
      </c>
      <c r="U190" s="96" t="s">
        <v>467</v>
      </c>
      <c r="V190" s="96" t="s">
        <v>500</v>
      </c>
      <c r="W190" s="96" t="s">
        <v>215</v>
      </c>
      <c r="X190" s="96" t="s">
        <v>216</v>
      </c>
      <c r="Y190" s="96" t="s">
        <v>507</v>
      </c>
      <c r="Z190" s="98">
        <f>COUNTIF($X$3:X190, X190)</f>
        <v>3</v>
      </c>
      <c r="AA190" s="98"/>
      <c r="AB190" s="98"/>
      <c r="AC190" s="98"/>
      <c r="AD190" s="98"/>
      <c r="AE190" s="98"/>
      <c r="AF190" s="98"/>
      <c r="AG190" s="98"/>
      <c r="AH190" s="98"/>
      <c r="AI190" s="98" t="e">
        <v>#N/A</v>
      </c>
      <c r="AJ190" s="98" t="e">
        <v>#N/A</v>
      </c>
      <c r="AK190" s="98" t="e">
        <v>#N/A</v>
      </c>
      <c r="AL190" s="98" t="e">
        <v>#N/A</v>
      </c>
      <c r="AM190" s="98" t="e">
        <v>#N/A</v>
      </c>
      <c r="AN190" s="99" t="e">
        <v>#N/A</v>
      </c>
      <c r="AO190" s="99" t="e">
        <v>#N/A</v>
      </c>
      <c r="AP190" s="99" t="e">
        <f>Tabla156[[#This Row],[Renov. Flota]]-Tabla156[[#This Row],[Año]]</f>
        <v>#N/A</v>
      </c>
      <c r="AQ190" s="100" t="e">
        <v>#N/A</v>
      </c>
      <c r="AR190" s="100" t="e">
        <f>VLOOKUP(Tabla156[[#This Row],[Matricula nueva]],'ALTA 20242025'!$B$2:$P$242,15,FALSE)</f>
        <v>#N/A</v>
      </c>
      <c r="AS190" s="101" t="e">
        <v>#N/A</v>
      </c>
      <c r="AT190" s="101"/>
      <c r="AU190" s="101"/>
      <c r="AV190" s="101"/>
      <c r="AW190" s="101" t="e">
        <f>VLOOKUP(Tabla156[[#This Row],[Matricula nueva]],Hoja2!$A$1:$B$224,2,FALSE)</f>
        <v>#N/A</v>
      </c>
      <c r="AX190" s="101" t="str">
        <f>IF(Tabla156[[#This Row],[Columna2]]="M1",5.1,"")</f>
        <v/>
      </c>
      <c r="AY190" s="101"/>
      <c r="AZ190" s="101"/>
      <c r="BA190" s="311">
        <f>IF(Tabla156[[#This Row],[Columna2]]="M1",13073,IF(Tabla156[[#This Row],[Columna2]]="N1",15815,IF(Tabla156[[#This Row],[Columna2]]="L3e",2831,53508)))</f>
        <v>53508</v>
      </c>
      <c r="BB190" s="311" t="e">
        <f>(Tabla156[[#This Row],[CVA]]*Tabla156[[#This Row],[F]]-Tabla156[[#This Row],[CVN]])/100*Tabla156[[#This Row],[L]]</f>
        <v>#VALUE!</v>
      </c>
      <c r="BC190" s="1"/>
      <c r="BD190" s="1" t="e">
        <f>VLOOKUP(B190,Tabla467824[[ID CAE2]:[AE '[kWh']]],6,FALSE)</f>
        <v>#N/A</v>
      </c>
      <c r="BE19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91" spans="1:57" ht="15.75" hidden="1" thickBot="1" x14ac:dyDescent="0.3">
      <c r="A191" s="53" t="s">
        <v>1314</v>
      </c>
      <c r="B191" s="53" t="e">
        <v>#N/A</v>
      </c>
      <c r="C191" s="96" t="s">
        <v>1315</v>
      </c>
      <c r="D191" s="96"/>
      <c r="E191" s="96"/>
      <c r="F191" s="96"/>
      <c r="G191" s="96"/>
      <c r="H191" s="96"/>
      <c r="I191" s="96"/>
      <c r="J191" s="96"/>
      <c r="K191" s="96" t="s">
        <v>73</v>
      </c>
      <c r="L191" s="96" t="s">
        <v>200</v>
      </c>
      <c r="M191" s="96" t="s">
        <v>201</v>
      </c>
      <c r="N191" s="96" t="s">
        <v>171</v>
      </c>
      <c r="O191" s="101">
        <f>VLOOKUP(Tabla156[[#This Row],[Matricula Antigua]],BAJA2022202320242025!$B$3:$CR$245,93,FALSE)</f>
        <v>44235</v>
      </c>
      <c r="P191" s="99">
        <v>45696</v>
      </c>
      <c r="Q191" s="98">
        <f>Tabla156[[#This Row],[F.Vig.Final]]-Tabla156[[#This Row],[f Vig Inicio]]</f>
        <v>1461</v>
      </c>
      <c r="R191" s="99">
        <f>YEAR(Tabla156[[#This Row],[F.Vig.Final]])</f>
        <v>2025</v>
      </c>
      <c r="S191" s="96" t="s">
        <v>172</v>
      </c>
      <c r="T191" s="96" t="s">
        <v>78</v>
      </c>
      <c r="U191" s="96" t="s">
        <v>79</v>
      </c>
      <c r="V191" s="96" t="s">
        <v>924</v>
      </c>
      <c r="W191" s="96" t="s">
        <v>584</v>
      </c>
      <c r="X191" s="96" t="s">
        <v>585</v>
      </c>
      <c r="Y191" s="96" t="s">
        <v>1316</v>
      </c>
      <c r="Z191" s="98">
        <f>COUNTIF($X$3:X191, X191)</f>
        <v>15</v>
      </c>
      <c r="AA191" s="98"/>
      <c r="AB191" s="98"/>
      <c r="AC191" s="98"/>
      <c r="AD191" s="98"/>
      <c r="AE191" s="98"/>
      <c r="AF191" s="98"/>
      <c r="AG191" s="98"/>
      <c r="AH191" s="98"/>
      <c r="AI191" s="98" t="e">
        <v>#N/A</v>
      </c>
      <c r="AJ191" s="98" t="e">
        <v>#N/A</v>
      </c>
      <c r="AK191" s="98" t="e">
        <v>#N/A</v>
      </c>
      <c r="AL191" s="98" t="e">
        <v>#N/A</v>
      </c>
      <c r="AM191" s="98" t="e">
        <v>#N/A</v>
      </c>
      <c r="AN191" s="99" t="e">
        <v>#N/A</v>
      </c>
      <c r="AO191" s="99" t="e">
        <v>#N/A</v>
      </c>
      <c r="AP191" s="99" t="e">
        <f>Tabla156[[#This Row],[Renov. Flota]]-Tabla156[[#This Row],[Año]]</f>
        <v>#N/A</v>
      </c>
      <c r="AQ191" s="100" t="e">
        <v>#N/A</v>
      </c>
      <c r="AR191" s="100" t="e">
        <f>VLOOKUP(Tabla156[[#This Row],[Matricula nueva]],'ALTA 20242025'!$B$2:$P$242,15,FALSE)</f>
        <v>#N/A</v>
      </c>
      <c r="AS191" s="101" t="e">
        <v>#N/A</v>
      </c>
      <c r="AT191" s="101"/>
      <c r="AU191" s="101"/>
      <c r="AV191" s="101"/>
      <c r="AW191" s="101" t="e">
        <f>VLOOKUP(Tabla156[[#This Row],[Matricula nueva]],Hoja2!$A$1:$B$224,2,FALSE)</f>
        <v>#N/A</v>
      </c>
      <c r="AX191" s="101" t="str">
        <f>IF(Tabla156[[#This Row],[Columna2]]="M1",5.1,"")</f>
        <v/>
      </c>
      <c r="AY191" s="101"/>
      <c r="AZ191" s="101"/>
      <c r="BA191" s="311">
        <f>IF(Tabla156[[#This Row],[Columna2]]="M1",13073,IF(Tabla156[[#This Row],[Columna2]]="N1",15815,IF(Tabla156[[#This Row],[Columna2]]="L3e",2831,53508)))</f>
        <v>53508</v>
      </c>
      <c r="BB191" s="311" t="e">
        <f>(Tabla156[[#This Row],[CVA]]*Tabla156[[#This Row],[F]]-Tabla156[[#This Row],[CVN]])/100*Tabla156[[#This Row],[L]]</f>
        <v>#VALUE!</v>
      </c>
      <c r="BC191" s="1"/>
      <c r="BD191" s="1" t="e">
        <f>VLOOKUP(B191,Tabla467824[[ID CAE2]:[AE '[kWh']]],6,FALSE)</f>
        <v>#N/A</v>
      </c>
      <c r="BE19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92" spans="1:57" ht="15.75" hidden="1" thickBot="1" x14ac:dyDescent="0.3">
      <c r="A192" s="53" t="s">
        <v>1317</v>
      </c>
      <c r="B192" s="53" t="e">
        <v>#N/A</v>
      </c>
      <c r="C192" s="96" t="s">
        <v>1318</v>
      </c>
      <c r="D192" s="96"/>
      <c r="E192" s="96"/>
      <c r="F192" s="96"/>
      <c r="G192" s="96"/>
      <c r="H192" s="96"/>
      <c r="I192" s="96"/>
      <c r="J192" s="96"/>
      <c r="K192" s="96" t="s">
        <v>73</v>
      </c>
      <c r="L192" s="96" t="s">
        <v>200</v>
      </c>
      <c r="M192" s="96" t="s">
        <v>201</v>
      </c>
      <c r="N192" s="96" t="s">
        <v>160</v>
      </c>
      <c r="O192" s="101">
        <f>VLOOKUP(Tabla156[[#This Row],[Matricula Antigua]],BAJA2022202320242025!$B$3:$CR$245,93,FALSE)</f>
        <v>44235</v>
      </c>
      <c r="P192" s="99">
        <v>45696</v>
      </c>
      <c r="Q192" s="98">
        <f>Tabla156[[#This Row],[F.Vig.Final]]-Tabla156[[#This Row],[f Vig Inicio]]</f>
        <v>1461</v>
      </c>
      <c r="R192" s="99">
        <f>YEAR(Tabla156[[#This Row],[F.Vig.Final]])</f>
        <v>2025</v>
      </c>
      <c r="S192" s="96" t="s">
        <v>161</v>
      </c>
      <c r="T192" s="96" t="s">
        <v>78</v>
      </c>
      <c r="U192" s="96" t="s">
        <v>79</v>
      </c>
      <c r="V192" s="96" t="s">
        <v>924</v>
      </c>
      <c r="W192" s="96" t="s">
        <v>584</v>
      </c>
      <c r="X192" s="96" t="s">
        <v>585</v>
      </c>
      <c r="Y192" s="96" t="s">
        <v>588</v>
      </c>
      <c r="Z192" s="98">
        <f>COUNTIF($X$3:X192, X192)</f>
        <v>16</v>
      </c>
      <c r="AA192" s="98"/>
      <c r="AB192" s="98"/>
      <c r="AC192" s="98"/>
      <c r="AD192" s="98"/>
      <c r="AE192" s="320"/>
      <c r="AF192" s="98"/>
      <c r="AG192" s="98"/>
      <c r="AH192" s="98"/>
      <c r="AI192" s="98" t="e">
        <v>#N/A</v>
      </c>
      <c r="AJ192" s="98" t="e">
        <v>#N/A</v>
      </c>
      <c r="AK192" s="98" t="e">
        <v>#N/A</v>
      </c>
      <c r="AL192" s="98" t="e">
        <v>#N/A</v>
      </c>
      <c r="AM192" s="98" t="e">
        <v>#N/A</v>
      </c>
      <c r="AN192" s="99" t="e">
        <v>#N/A</v>
      </c>
      <c r="AO192" s="99" t="e">
        <v>#N/A</v>
      </c>
      <c r="AP192" s="99" t="e">
        <f>Tabla156[[#This Row],[Renov. Flota]]-Tabla156[[#This Row],[Año]]</f>
        <v>#N/A</v>
      </c>
      <c r="AQ192" s="100" t="e">
        <v>#N/A</v>
      </c>
      <c r="AR192" s="100" t="e">
        <f>VLOOKUP(Tabla156[[#This Row],[Matricula nueva]],'ALTA 20242025'!$B$2:$P$242,15,FALSE)</f>
        <v>#N/A</v>
      </c>
      <c r="AS192" s="101" t="e">
        <v>#N/A</v>
      </c>
      <c r="AT192" s="101"/>
      <c r="AU192" s="101"/>
      <c r="AV192" s="101"/>
      <c r="AW192" s="101" t="e">
        <f>VLOOKUP(Tabla156[[#This Row],[Matricula nueva]],Hoja2!$A$1:$B$224,2,FALSE)</f>
        <v>#N/A</v>
      </c>
      <c r="AX192" s="101" t="str">
        <f>IF(Tabla156[[#This Row],[Columna2]]="M1",5.1,"")</f>
        <v/>
      </c>
      <c r="AY192" s="101"/>
      <c r="AZ192" s="101"/>
      <c r="BA192" s="311">
        <f>IF(Tabla156[[#This Row],[Columna2]]="M1",13073,IF(Tabla156[[#This Row],[Columna2]]="N1",15815,IF(Tabla156[[#This Row],[Columna2]]="L3e",2831,53508)))</f>
        <v>53508</v>
      </c>
      <c r="BB192" s="311" t="e">
        <f>(Tabla156[[#This Row],[CVA]]*Tabla156[[#This Row],[F]]-Tabla156[[#This Row],[CVN]])/100*Tabla156[[#This Row],[L]]</f>
        <v>#VALUE!</v>
      </c>
      <c r="BC192" s="1"/>
      <c r="BD192" s="1" t="e">
        <f>VLOOKUP(B192,Tabla467824[[ID CAE2]:[AE '[kWh']]],6,FALSE)</f>
        <v>#N/A</v>
      </c>
      <c r="BE19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193" spans="1:57" ht="51.75" x14ac:dyDescent="0.25">
      <c r="A193" s="53" t="s">
        <v>966</v>
      </c>
      <c r="B193" s="53" t="s">
        <v>966</v>
      </c>
      <c r="C193" s="332" t="s">
        <v>967</v>
      </c>
      <c r="D193" s="104" t="s">
        <v>72</v>
      </c>
      <c r="E193" s="104" t="s">
        <v>72</v>
      </c>
      <c r="F193" s="104" t="s">
        <v>72</v>
      </c>
      <c r="G193" s="104"/>
      <c r="H193" s="104" t="s">
        <v>249</v>
      </c>
      <c r="I193" s="104" t="s">
        <v>249</v>
      </c>
      <c r="J193" s="104"/>
      <c r="K193" s="96" t="s">
        <v>73</v>
      </c>
      <c r="L193" s="96" t="s">
        <v>200</v>
      </c>
      <c r="M193" s="96" t="s">
        <v>201</v>
      </c>
      <c r="N193" s="96" t="s">
        <v>76</v>
      </c>
      <c r="O193" s="101">
        <f>VLOOKUP(Tabla156[[#This Row],[Matricula Antigua]],BAJA2022202320242025!$B$3:$CR$245,93,FALSE)</f>
        <v>44228</v>
      </c>
      <c r="P193" s="316">
        <v>45689</v>
      </c>
      <c r="Q193" s="317">
        <f>Tabla156[[#This Row],[F.Vig.Final]]-Tabla156[[#This Row],[f Vig Inicio]]</f>
        <v>1461</v>
      </c>
      <c r="R193" s="318">
        <f>YEAR(Tabla156[[#This Row],[F.Vig.Final]])</f>
        <v>2025</v>
      </c>
      <c r="S193" s="96" t="s">
        <v>77</v>
      </c>
      <c r="T193" s="96" t="s">
        <v>78</v>
      </c>
      <c r="U193" s="96" t="s">
        <v>79</v>
      </c>
      <c r="V193" s="96" t="s">
        <v>924</v>
      </c>
      <c r="W193" s="96" t="s">
        <v>308</v>
      </c>
      <c r="X193" s="332" t="s">
        <v>309</v>
      </c>
      <c r="Y193" s="96" t="s">
        <v>310</v>
      </c>
      <c r="Z193" s="98">
        <f>COUNTIF($X$3:X193, X193)</f>
        <v>3</v>
      </c>
      <c r="AA193" s="337" t="s">
        <v>1661</v>
      </c>
      <c r="AB193" s="337" t="s">
        <v>1661</v>
      </c>
      <c r="AC193" s="337" t="s">
        <v>1662</v>
      </c>
      <c r="AD193" s="337" t="s">
        <v>1663</v>
      </c>
      <c r="AE193" s="342" t="s">
        <v>1664</v>
      </c>
      <c r="AF193" s="337" t="s">
        <v>1665</v>
      </c>
      <c r="AG193" s="337" t="s">
        <v>1666</v>
      </c>
      <c r="AH193" s="337" t="s">
        <v>1649</v>
      </c>
      <c r="AI193" s="337" t="s">
        <v>968</v>
      </c>
      <c r="AJ193" s="98" t="s">
        <v>85</v>
      </c>
      <c r="AK193" s="98" t="s">
        <v>86</v>
      </c>
      <c r="AL193" s="98" t="s">
        <v>87</v>
      </c>
      <c r="AM193" s="101" t="s">
        <v>310</v>
      </c>
      <c r="AN193" s="348" t="s">
        <v>89</v>
      </c>
      <c r="AO193" s="349">
        <v>45649</v>
      </c>
      <c r="AP193" s="98">
        <f>Tabla156[[#This Row],[Renov. Flota]]-Tabla156[[#This Row],[Año]]</f>
        <v>-1</v>
      </c>
      <c r="AQ193" s="100" t="s">
        <v>308</v>
      </c>
      <c r="AR193" s="100" t="str">
        <f>VLOOKUP(Tabla156[[#This Row],[Matricula nueva]],'ALTA 20242025'!$B$2:$P$242,15,FALSE)</f>
        <v>X</v>
      </c>
      <c r="AS193" s="101" t="s">
        <v>309</v>
      </c>
      <c r="AT193" s="101"/>
      <c r="AU193" s="101" t="s">
        <v>72</v>
      </c>
      <c r="AV193" s="101" t="s">
        <v>91</v>
      </c>
      <c r="AW193" s="101" t="str">
        <f>VLOOKUP(Tabla156[[#This Row],[Matricula nueva]],Hoja2!$A$1:$B$224,2,FALSE)</f>
        <v>VF1RFK00673934303</v>
      </c>
      <c r="AX193" s="209">
        <v>5.6</v>
      </c>
      <c r="AY193" s="208">
        <f t="shared" ref="AY193:AY198" si="10">IF(T193="DIESEL",10,IF(T193="GLP",7.16,9.19))</f>
        <v>10</v>
      </c>
      <c r="AZ193" s="313">
        <v>17.3</v>
      </c>
      <c r="BA193" s="314">
        <f>IF(Tabla156[[#This Row],[Columna2]]="M1",13073,IF(Tabla156[[#This Row],[Columna2]]="N1",15815,IF(Tabla156[[#This Row],[Columna2]]="L3e",2831,53508)))</f>
        <v>15815</v>
      </c>
      <c r="BB193" s="350">
        <f>(Tabla156[[#This Row],[CVA]]*Tabla156[[#This Row],[F]]-Tabla156[[#This Row],[CVN]])/100*Tabla156[[#This Row],[L]]</f>
        <v>6120.4049999999997</v>
      </c>
      <c r="BC193" s="90" t="s">
        <v>128</v>
      </c>
      <c r="BD193" s="209">
        <f>VLOOKUP(B193,Tabla467824[[ID CAE2]:[AE '[kWh']]],6,FALSE)</f>
        <v>5607.9989999999989</v>
      </c>
      <c r="BE19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94" spans="1:57" ht="51.75" x14ac:dyDescent="0.25">
      <c r="A194" s="53" t="s">
        <v>970</v>
      </c>
      <c r="B194" s="53" t="s">
        <v>970</v>
      </c>
      <c r="C194" s="332" t="s">
        <v>971</v>
      </c>
      <c r="D194" s="104" t="s">
        <v>72</v>
      </c>
      <c r="E194" s="104"/>
      <c r="F194" s="104" t="s">
        <v>72</v>
      </c>
      <c r="G194" s="104"/>
      <c r="H194" s="104" t="s">
        <v>249</v>
      </c>
      <c r="I194" s="104" t="s">
        <v>249</v>
      </c>
      <c r="J194" s="104"/>
      <c r="K194" s="96" t="s">
        <v>73</v>
      </c>
      <c r="L194" s="96" t="s">
        <v>200</v>
      </c>
      <c r="M194" s="96" t="s">
        <v>201</v>
      </c>
      <c r="N194" s="96" t="s">
        <v>160</v>
      </c>
      <c r="O194" s="101">
        <f>VLOOKUP(Tabla156[[#This Row],[Matricula Antigua]],BAJA2022202320242025!$B$3:$CR$245,93,FALSE)</f>
        <v>44228</v>
      </c>
      <c r="P194" s="316">
        <v>45689</v>
      </c>
      <c r="Q194" s="317">
        <f>Tabla156[[#This Row],[F.Vig.Final]]-Tabla156[[#This Row],[f Vig Inicio]]</f>
        <v>1461</v>
      </c>
      <c r="R194" s="318">
        <f>YEAR(Tabla156[[#This Row],[F.Vig.Final]])</f>
        <v>2025</v>
      </c>
      <c r="S194" s="96" t="s">
        <v>161</v>
      </c>
      <c r="T194" s="96" t="s">
        <v>78</v>
      </c>
      <c r="U194" s="96" t="s">
        <v>79</v>
      </c>
      <c r="V194" s="96" t="s">
        <v>924</v>
      </c>
      <c r="W194" s="96" t="s">
        <v>308</v>
      </c>
      <c r="X194" s="332" t="s">
        <v>309</v>
      </c>
      <c r="Y194" s="96" t="s">
        <v>310</v>
      </c>
      <c r="Z194" s="98">
        <f>COUNTIF($X$3:X194, X194)</f>
        <v>4</v>
      </c>
      <c r="AA194" s="337" t="s">
        <v>1661</v>
      </c>
      <c r="AB194" s="337" t="s">
        <v>1661</v>
      </c>
      <c r="AC194" s="337" t="s">
        <v>1662</v>
      </c>
      <c r="AD194" s="337" t="s">
        <v>1663</v>
      </c>
      <c r="AE194" s="342" t="s">
        <v>1664</v>
      </c>
      <c r="AF194" s="337" t="s">
        <v>1665</v>
      </c>
      <c r="AG194" s="337" t="s">
        <v>1666</v>
      </c>
      <c r="AH194" s="337" t="s">
        <v>1649</v>
      </c>
      <c r="AI194" s="337" t="s">
        <v>972</v>
      </c>
      <c r="AJ194" s="98" t="s">
        <v>85</v>
      </c>
      <c r="AK194" s="98" t="s">
        <v>86</v>
      </c>
      <c r="AL194" s="98" t="s">
        <v>87</v>
      </c>
      <c r="AM194" s="101" t="s">
        <v>312</v>
      </c>
      <c r="AN194" s="348" t="s">
        <v>89</v>
      </c>
      <c r="AO194" s="349">
        <v>45649</v>
      </c>
      <c r="AP194" s="98">
        <f>Tabla156[[#This Row],[Renov. Flota]]-Tabla156[[#This Row],[Año]]</f>
        <v>-1</v>
      </c>
      <c r="AQ194" s="100" t="s">
        <v>308</v>
      </c>
      <c r="AR194" s="100" t="str">
        <f>VLOOKUP(Tabla156[[#This Row],[Matricula nueva]],'ALTA 20242025'!$B$2:$P$242,15,FALSE)</f>
        <v>X</v>
      </c>
      <c r="AS194" s="101" t="s">
        <v>309</v>
      </c>
      <c r="AT194" s="101"/>
      <c r="AU194" s="101" t="s">
        <v>72</v>
      </c>
      <c r="AV194" s="101" t="s">
        <v>91</v>
      </c>
      <c r="AW194" s="101" t="str">
        <f>VLOOKUP(Tabla156[[#This Row],[Matricula nueva]],Hoja2!$A$1:$B$224,2,FALSE)</f>
        <v>VF1RFK00573934261</v>
      </c>
      <c r="AX194" s="209">
        <v>5.6</v>
      </c>
      <c r="AY194" s="208">
        <f t="shared" si="10"/>
        <v>10</v>
      </c>
      <c r="AZ194" s="313">
        <v>17.3</v>
      </c>
      <c r="BA194" s="314">
        <f>IF(Tabla156[[#This Row],[Columna2]]="M1",13073,IF(Tabla156[[#This Row],[Columna2]]="N1",15815,IF(Tabla156[[#This Row],[Columna2]]="L3e",2831,53508)))</f>
        <v>15815</v>
      </c>
      <c r="BB194" s="350">
        <f>(Tabla156[[#This Row],[CVA]]*Tabla156[[#This Row],[F]]-Tabla156[[#This Row],[CVN]])/100*Tabla156[[#This Row],[L]]</f>
        <v>6120.4049999999997</v>
      </c>
      <c r="BC194" s="294" t="s">
        <v>128</v>
      </c>
      <c r="BD194" s="209">
        <f>VLOOKUP(B194,Tabla467824[[ID CAE2]:[AE '[kWh']]],6,FALSE)</f>
        <v>5607.9989999999989</v>
      </c>
      <c r="BE19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95" spans="1:57" ht="51.75" x14ac:dyDescent="0.25">
      <c r="A195" s="53" t="s">
        <v>974</v>
      </c>
      <c r="B195" s="53" t="s">
        <v>974</v>
      </c>
      <c r="C195" s="332" t="s">
        <v>975</v>
      </c>
      <c r="D195" s="104" t="s">
        <v>72</v>
      </c>
      <c r="E195" s="104"/>
      <c r="F195" s="104" t="s">
        <v>72</v>
      </c>
      <c r="G195" s="104"/>
      <c r="H195" s="104" t="s">
        <v>72</v>
      </c>
      <c r="I195" s="104" t="s">
        <v>72</v>
      </c>
      <c r="J195" s="104"/>
      <c r="K195" s="96" t="s">
        <v>73</v>
      </c>
      <c r="L195" s="96" t="s">
        <v>200</v>
      </c>
      <c r="M195" s="96" t="s">
        <v>201</v>
      </c>
      <c r="N195" s="96" t="s">
        <v>160</v>
      </c>
      <c r="O195" s="101">
        <f>VLOOKUP(Tabla156[[#This Row],[Matricula Antigua]],BAJA2022202320242025!$B$3:$CR$245,93,FALSE)</f>
        <v>44232</v>
      </c>
      <c r="P195" s="316">
        <v>45693</v>
      </c>
      <c r="Q195" s="317">
        <f>Tabla156[[#This Row],[F.Vig.Final]]-Tabla156[[#This Row],[f Vig Inicio]]</f>
        <v>1461</v>
      </c>
      <c r="R195" s="318">
        <f>YEAR(Tabla156[[#This Row],[F.Vig.Final]])</f>
        <v>2025</v>
      </c>
      <c r="S195" s="96" t="s">
        <v>161</v>
      </c>
      <c r="T195" s="96" t="s">
        <v>78</v>
      </c>
      <c r="U195" s="96" t="s">
        <v>79</v>
      </c>
      <c r="V195" s="96" t="s">
        <v>924</v>
      </c>
      <c r="W195" s="96" t="s">
        <v>308</v>
      </c>
      <c r="X195" s="332" t="s">
        <v>309</v>
      </c>
      <c r="Y195" s="96" t="s">
        <v>310</v>
      </c>
      <c r="Z195" s="98">
        <f>COUNTIF($X$3:X195, X195)</f>
        <v>5</v>
      </c>
      <c r="AA195" s="337" t="s">
        <v>1661</v>
      </c>
      <c r="AB195" s="337" t="s">
        <v>1661</v>
      </c>
      <c r="AC195" s="337" t="s">
        <v>1662</v>
      </c>
      <c r="AD195" s="337" t="s">
        <v>1663</v>
      </c>
      <c r="AE195" s="342" t="s">
        <v>1664</v>
      </c>
      <c r="AF195" s="337" t="s">
        <v>1665</v>
      </c>
      <c r="AG195" s="337" t="s">
        <v>1666</v>
      </c>
      <c r="AH195" s="337" t="s">
        <v>1649</v>
      </c>
      <c r="AI195" s="337" t="s">
        <v>976</v>
      </c>
      <c r="AJ195" s="98" t="s">
        <v>85</v>
      </c>
      <c r="AK195" s="98" t="s">
        <v>86</v>
      </c>
      <c r="AL195" s="98" t="s">
        <v>87</v>
      </c>
      <c r="AM195" s="101" t="s">
        <v>310</v>
      </c>
      <c r="AN195" s="348" t="s">
        <v>89</v>
      </c>
      <c r="AO195" s="349">
        <v>45649</v>
      </c>
      <c r="AP195" s="98">
        <f>Tabla156[[#This Row],[Renov. Flota]]-Tabla156[[#This Row],[Año]]</f>
        <v>-1</v>
      </c>
      <c r="AQ195" s="100" t="s">
        <v>308</v>
      </c>
      <c r="AR195" s="100" t="str">
        <f>VLOOKUP(Tabla156[[#This Row],[Matricula nueva]],'ALTA 20242025'!$B$2:$P$242,15,FALSE)</f>
        <v>X</v>
      </c>
      <c r="AS195" s="101" t="s">
        <v>309</v>
      </c>
      <c r="AT195" s="101"/>
      <c r="AU195" s="101" t="s">
        <v>72</v>
      </c>
      <c r="AV195" s="101" t="s">
        <v>91</v>
      </c>
      <c r="AW195" s="101" t="str">
        <f>VLOOKUP(Tabla156[[#This Row],[Matricula nueva]],Hoja2!$A$1:$B$224,2,FALSE)</f>
        <v>VF1RFK00473934266</v>
      </c>
      <c r="AX195" s="209">
        <v>5.6</v>
      </c>
      <c r="AY195" s="208">
        <f t="shared" si="10"/>
        <v>10</v>
      </c>
      <c r="AZ195" s="313">
        <v>17.3</v>
      </c>
      <c r="BA195" s="314">
        <f>IF(Tabla156[[#This Row],[Columna2]]="M1",13073,IF(Tabla156[[#This Row],[Columna2]]="N1",15815,IF(Tabla156[[#This Row],[Columna2]]="L3e",2831,53508)))</f>
        <v>15815</v>
      </c>
      <c r="BB195" s="350">
        <f>(Tabla156[[#This Row],[CVA]]*Tabla156[[#This Row],[F]]-Tabla156[[#This Row],[CVN]])/100*Tabla156[[#This Row],[L]]</f>
        <v>6120.4049999999997</v>
      </c>
      <c r="BC195" s="294" t="s">
        <v>128</v>
      </c>
      <c r="BD195" s="209">
        <f>VLOOKUP(B195,Tabla467824[[ID CAE2]:[AE '[kWh']]],6,FALSE)</f>
        <v>5607.9989999999989</v>
      </c>
      <c r="BE19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96" spans="1:57" ht="51.75" x14ac:dyDescent="0.25">
      <c r="A196" s="53" t="s">
        <v>978</v>
      </c>
      <c r="B196" s="53" t="s">
        <v>978</v>
      </c>
      <c r="C196" s="332" t="s">
        <v>979</v>
      </c>
      <c r="D196" s="104" t="s">
        <v>72</v>
      </c>
      <c r="E196" s="104"/>
      <c r="F196" s="104" t="s">
        <v>72</v>
      </c>
      <c r="G196" s="104"/>
      <c r="H196" s="104" t="s">
        <v>249</v>
      </c>
      <c r="I196" s="104" t="s">
        <v>249</v>
      </c>
      <c r="J196" s="104"/>
      <c r="K196" s="96" t="s">
        <v>73</v>
      </c>
      <c r="L196" s="96" t="s">
        <v>200</v>
      </c>
      <c r="M196" s="96" t="s">
        <v>201</v>
      </c>
      <c r="N196" s="96" t="s">
        <v>76</v>
      </c>
      <c r="O196" s="101">
        <f>VLOOKUP(Tabla156[[#This Row],[Matricula Antigua]],BAJA2022202320242025!$B$3:$CR$245,93,FALSE)</f>
        <v>44235</v>
      </c>
      <c r="P196" s="316">
        <v>45696</v>
      </c>
      <c r="Q196" s="317">
        <f>Tabla156[[#This Row],[F.Vig.Final]]-Tabla156[[#This Row],[f Vig Inicio]]</f>
        <v>1461</v>
      </c>
      <c r="R196" s="318">
        <f>YEAR(Tabla156[[#This Row],[F.Vig.Final]])</f>
        <v>2025</v>
      </c>
      <c r="S196" s="96" t="s">
        <v>77</v>
      </c>
      <c r="T196" s="96" t="s">
        <v>78</v>
      </c>
      <c r="U196" s="96" t="s">
        <v>79</v>
      </c>
      <c r="V196" s="96" t="s">
        <v>924</v>
      </c>
      <c r="W196" s="96" t="s">
        <v>308</v>
      </c>
      <c r="X196" s="332" t="s">
        <v>309</v>
      </c>
      <c r="Y196" s="96" t="s">
        <v>980</v>
      </c>
      <c r="Z196" s="98">
        <f>COUNTIF($X$3:X196, X196)</f>
        <v>6</v>
      </c>
      <c r="AA196" s="337" t="s">
        <v>1661</v>
      </c>
      <c r="AB196" s="337" t="s">
        <v>1661</v>
      </c>
      <c r="AC196" s="337" t="s">
        <v>1662</v>
      </c>
      <c r="AD196" s="337" t="s">
        <v>1663</v>
      </c>
      <c r="AE196" s="342" t="s">
        <v>1664</v>
      </c>
      <c r="AF196" s="337" t="s">
        <v>1665</v>
      </c>
      <c r="AG196" s="337" t="s">
        <v>1666</v>
      </c>
      <c r="AH196" s="337" t="s">
        <v>1649</v>
      </c>
      <c r="AI196" s="337" t="s">
        <v>981</v>
      </c>
      <c r="AJ196" s="98" t="s">
        <v>85</v>
      </c>
      <c r="AK196" s="98" t="s">
        <v>86</v>
      </c>
      <c r="AL196" s="98" t="s">
        <v>87</v>
      </c>
      <c r="AM196" s="101" t="s">
        <v>310</v>
      </c>
      <c r="AN196" s="348" t="s">
        <v>89</v>
      </c>
      <c r="AO196" s="349">
        <v>45649</v>
      </c>
      <c r="AP196" s="98">
        <f>Tabla156[[#This Row],[Renov. Flota]]-Tabla156[[#This Row],[Año]]</f>
        <v>-1</v>
      </c>
      <c r="AQ196" s="100" t="s">
        <v>308</v>
      </c>
      <c r="AR196" s="100" t="str">
        <f>VLOOKUP(Tabla156[[#This Row],[Matricula nueva]],'ALTA 20242025'!$B$2:$P$242,15,FALSE)</f>
        <v>X</v>
      </c>
      <c r="AS196" s="101" t="s">
        <v>309</v>
      </c>
      <c r="AT196" s="101"/>
      <c r="AU196" s="101" t="s">
        <v>72</v>
      </c>
      <c r="AV196" s="101" t="s">
        <v>91</v>
      </c>
      <c r="AW196" s="101" t="str">
        <f>VLOOKUP(Tabla156[[#This Row],[Matricula nueva]],Hoja2!$A$1:$B$224,2,FALSE)</f>
        <v>VF1RFK00873934299</v>
      </c>
      <c r="AX196" s="209">
        <v>5.6</v>
      </c>
      <c r="AY196" s="208">
        <f t="shared" si="10"/>
        <v>10</v>
      </c>
      <c r="AZ196" s="313">
        <v>17.3</v>
      </c>
      <c r="BA196" s="314">
        <f>IF(Tabla156[[#This Row],[Columna2]]="M1",13073,IF(Tabla156[[#This Row],[Columna2]]="N1",15815,IF(Tabla156[[#This Row],[Columna2]]="L3e",2831,53508)))</f>
        <v>15815</v>
      </c>
      <c r="BB196" s="350">
        <f>(Tabla156[[#This Row],[CVA]]*Tabla156[[#This Row],[F]]-Tabla156[[#This Row],[CVN]])/100*Tabla156[[#This Row],[L]]</f>
        <v>6120.4049999999997</v>
      </c>
      <c r="BC196" s="294" t="s">
        <v>128</v>
      </c>
      <c r="BD196" s="209">
        <f>VLOOKUP(B196,Tabla467824[[ID CAE2]:[AE '[kWh']]],6,FALSE)</f>
        <v>5607.9989999999989</v>
      </c>
      <c r="BE19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97" spans="1:57" ht="51.75" x14ac:dyDescent="0.25">
      <c r="A197" s="53" t="s">
        <v>983</v>
      </c>
      <c r="B197" s="53" t="s">
        <v>983</v>
      </c>
      <c r="C197" s="332" t="s">
        <v>984</v>
      </c>
      <c r="D197" s="104" t="s">
        <v>72</v>
      </c>
      <c r="E197" s="104"/>
      <c r="F197" s="104" t="s">
        <v>72</v>
      </c>
      <c r="G197" s="104"/>
      <c r="H197" s="104" t="s">
        <v>72</v>
      </c>
      <c r="I197" s="104" t="s">
        <v>72</v>
      </c>
      <c r="J197" s="104"/>
      <c r="K197" s="96" t="s">
        <v>73</v>
      </c>
      <c r="L197" s="96" t="s">
        <v>200</v>
      </c>
      <c r="M197" s="96" t="s">
        <v>201</v>
      </c>
      <c r="N197" s="96" t="s">
        <v>160</v>
      </c>
      <c r="O197" s="101">
        <f>VLOOKUP(Tabla156[[#This Row],[Matricula Antigua]],BAJA2022202320242025!$B$3:$CR$245,93,FALSE)</f>
        <v>44250</v>
      </c>
      <c r="P197" s="316">
        <v>45711</v>
      </c>
      <c r="Q197" s="317">
        <f>Tabla156[[#This Row],[F.Vig.Final]]-Tabla156[[#This Row],[f Vig Inicio]]</f>
        <v>1461</v>
      </c>
      <c r="R197" s="318">
        <f>YEAR(Tabla156[[#This Row],[F.Vig.Final]])</f>
        <v>2025</v>
      </c>
      <c r="S197" s="96" t="s">
        <v>161</v>
      </c>
      <c r="T197" s="96" t="s">
        <v>78</v>
      </c>
      <c r="U197" s="96" t="s">
        <v>79</v>
      </c>
      <c r="V197" s="96" t="s">
        <v>924</v>
      </c>
      <c r="W197" s="96" t="s">
        <v>985</v>
      </c>
      <c r="X197" s="332" t="s">
        <v>986</v>
      </c>
      <c r="Y197" s="96" t="s">
        <v>987</v>
      </c>
      <c r="Z197" s="98">
        <f>COUNTIF($X$3:X197, X197)</f>
        <v>1</v>
      </c>
      <c r="AA197" s="337" t="s">
        <v>1661</v>
      </c>
      <c r="AB197" s="337" t="s">
        <v>1661</v>
      </c>
      <c r="AC197" s="337" t="s">
        <v>1662</v>
      </c>
      <c r="AD197" s="337" t="s">
        <v>1663</v>
      </c>
      <c r="AE197" s="339" t="s">
        <v>1664</v>
      </c>
      <c r="AF197" s="340" t="s">
        <v>1665</v>
      </c>
      <c r="AG197" s="340" t="s">
        <v>1666</v>
      </c>
      <c r="AH197" s="337" t="s">
        <v>1649</v>
      </c>
      <c r="AI197" s="337" t="s">
        <v>988</v>
      </c>
      <c r="AJ197" s="98" t="s">
        <v>85</v>
      </c>
      <c r="AK197" s="98" t="s">
        <v>86</v>
      </c>
      <c r="AL197" s="98" t="s">
        <v>87</v>
      </c>
      <c r="AM197" s="101" t="s">
        <v>987</v>
      </c>
      <c r="AN197" s="348" t="s">
        <v>89</v>
      </c>
      <c r="AO197" s="349">
        <v>45653</v>
      </c>
      <c r="AP197" s="98">
        <f>Tabla156[[#This Row],[Renov. Flota]]-Tabla156[[#This Row],[Año]]</f>
        <v>-1</v>
      </c>
      <c r="AQ197" s="100" t="s">
        <v>985</v>
      </c>
      <c r="AR197" s="100" t="str">
        <f>VLOOKUP(Tabla156[[#This Row],[Matricula nueva]],'ALTA 20242025'!$B$2:$P$242,15,FALSE)</f>
        <v>4500426843</v>
      </c>
      <c r="AS197" s="101" t="s">
        <v>986</v>
      </c>
      <c r="AT197" s="101"/>
      <c r="AU197" s="101" t="s">
        <v>72</v>
      </c>
      <c r="AV197" s="101" t="s">
        <v>91</v>
      </c>
      <c r="AW197" s="101" t="str">
        <f>VLOOKUP(Tabla156[[#This Row],[Matricula nueva]],Hoja2!$A$1:$B$224,2,FALSE)</f>
        <v>VF1RFK00773824876</v>
      </c>
      <c r="AX197" s="209">
        <v>5.6</v>
      </c>
      <c r="AY197" s="208">
        <f t="shared" si="10"/>
        <v>10</v>
      </c>
      <c r="AZ197" s="313">
        <v>17.3</v>
      </c>
      <c r="BA197" s="314">
        <f>IF(Tabla156[[#This Row],[Columna2]]="M1",13073,IF(Tabla156[[#This Row],[Columna2]]="N1",15815,IF(Tabla156[[#This Row],[Columna2]]="L3e",2831,53508)))</f>
        <v>15815</v>
      </c>
      <c r="BB197" s="350">
        <f>(Tabla156[[#This Row],[CVA]]*Tabla156[[#This Row],[F]]-Tabla156[[#This Row],[CVN]])/100*Tabla156[[#This Row],[L]]</f>
        <v>6120.4049999999997</v>
      </c>
      <c r="BC197" s="294" t="s">
        <v>128</v>
      </c>
      <c r="BD197" s="209">
        <f>VLOOKUP(B197,Tabla467824[[ID CAE2]:[AE '[kWh']]],6,FALSE)</f>
        <v>5607.9989999999989</v>
      </c>
      <c r="BE19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98" spans="1:57" ht="52.5" thickBot="1" x14ac:dyDescent="0.3">
      <c r="A198" s="53" t="s">
        <v>991</v>
      </c>
      <c r="B198" s="53" t="s">
        <v>991</v>
      </c>
      <c r="C198" s="332" t="s">
        <v>992</v>
      </c>
      <c r="D198" s="104" t="s">
        <v>72</v>
      </c>
      <c r="E198" s="104"/>
      <c r="F198" s="104" t="s">
        <v>72</v>
      </c>
      <c r="G198" s="104"/>
      <c r="H198" s="104" t="s">
        <v>249</v>
      </c>
      <c r="I198" s="104" t="s">
        <v>249</v>
      </c>
      <c r="J198" s="104"/>
      <c r="K198" s="96" t="s">
        <v>73</v>
      </c>
      <c r="L198" s="96" t="s">
        <v>200</v>
      </c>
      <c r="M198" s="96" t="s">
        <v>201</v>
      </c>
      <c r="N198" s="96" t="s">
        <v>76</v>
      </c>
      <c r="O198" s="101">
        <f>VLOOKUP(Tabla156[[#This Row],[Matricula Antigua]],BAJA2022202320242025!$B$3:$CR$245,93,FALSE)</f>
        <v>44228</v>
      </c>
      <c r="P198" s="316">
        <v>45716</v>
      </c>
      <c r="Q198" s="317">
        <f>Tabla156[[#This Row],[F.Vig.Final]]-Tabla156[[#This Row],[f Vig Inicio]]</f>
        <v>1488</v>
      </c>
      <c r="R198" s="318">
        <f>YEAR(Tabla156[[#This Row],[F.Vig.Final]])</f>
        <v>2025</v>
      </c>
      <c r="S198" s="96" t="s">
        <v>77</v>
      </c>
      <c r="T198" s="96" t="s">
        <v>78</v>
      </c>
      <c r="U198" s="96" t="s">
        <v>79</v>
      </c>
      <c r="V198" s="96" t="s">
        <v>924</v>
      </c>
      <c r="W198" s="96" t="s">
        <v>102</v>
      </c>
      <c r="X198" s="332" t="s">
        <v>1667</v>
      </c>
      <c r="Y198" s="96" t="s">
        <v>993</v>
      </c>
      <c r="Z198" s="98">
        <f>COUNTIF($X$3:X198, X198)</f>
        <v>41</v>
      </c>
      <c r="AA198" s="337" t="s">
        <v>1668</v>
      </c>
      <c r="AB198" s="337" t="s">
        <v>1668</v>
      </c>
      <c r="AC198" s="337" t="s">
        <v>1669</v>
      </c>
      <c r="AD198" s="341" t="s">
        <v>1670</v>
      </c>
      <c r="AE198" s="342" t="s">
        <v>1671</v>
      </c>
      <c r="AF198" s="337" t="s">
        <v>1672</v>
      </c>
      <c r="AG198" s="344" t="s">
        <v>1673</v>
      </c>
      <c r="AH198" s="337" t="s">
        <v>1649</v>
      </c>
      <c r="AI198" s="337" t="s">
        <v>994</v>
      </c>
      <c r="AJ198" s="98" t="s">
        <v>85</v>
      </c>
      <c r="AK198" s="98" t="s">
        <v>86</v>
      </c>
      <c r="AL198" s="98" t="s">
        <v>87</v>
      </c>
      <c r="AM198" s="101" t="s">
        <v>301</v>
      </c>
      <c r="AN198" s="348" t="s">
        <v>89</v>
      </c>
      <c r="AO198" s="349">
        <v>45625</v>
      </c>
      <c r="AP198" s="98">
        <f>Tabla156[[#This Row],[Renov. Flota]]-Tabla156[[#This Row],[Año]]</f>
        <v>-1</v>
      </c>
      <c r="AQ198" s="100" t="s">
        <v>102</v>
      </c>
      <c r="AR198" s="100" t="str">
        <f>VLOOKUP(Tabla156[[#This Row],[Matricula nueva]],'ALTA 20242025'!$B$2:$P$242,15,FALSE)</f>
        <v>4500426782</v>
      </c>
      <c r="AS198" s="101" t="s">
        <v>103</v>
      </c>
      <c r="AT198" s="101"/>
      <c r="AU198" s="101" t="s">
        <v>72</v>
      </c>
      <c r="AV198" s="101" t="s">
        <v>109</v>
      </c>
      <c r="AW198" s="101" t="str">
        <f>VLOOKUP(Tabla156[[#This Row],[Matricula nueva]],Hoja2!$A$1:$B$224,2,FALSE)</f>
        <v>VF1RFK00273824798</v>
      </c>
      <c r="AX198" s="209">
        <v>5.6</v>
      </c>
      <c r="AY198" s="208">
        <f t="shared" si="10"/>
        <v>10</v>
      </c>
      <c r="AZ198" s="313">
        <v>17.3</v>
      </c>
      <c r="BA198" s="314">
        <f>IF(Tabla156[[#This Row],[Columna2]]="M1",13073,IF(Tabla156[[#This Row],[Columna2]]="N1",15815,IF(Tabla156[[#This Row],[Columna2]]="L3e",2831,53508)))</f>
        <v>15815</v>
      </c>
      <c r="BB198" s="350">
        <f>(Tabla156[[#This Row],[CVA]]*Tabla156[[#This Row],[F]]-Tabla156[[#This Row],[CVN]])/100*Tabla156[[#This Row],[L]]</f>
        <v>6120.4049999999997</v>
      </c>
      <c r="BC198" s="91" t="s">
        <v>128</v>
      </c>
      <c r="BD198" s="209">
        <f>VLOOKUP(B198,Tabla467824[[ID CAE2]:[AE '[kWh']]],6,FALSE)</f>
        <v>5607.9989999999989</v>
      </c>
      <c r="BE19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199" spans="1:57" ht="15.75" hidden="1" thickBot="1" x14ac:dyDescent="0.3">
      <c r="A199" s="53" t="s">
        <v>1319</v>
      </c>
      <c r="B199" s="53" t="e">
        <v>#N/A</v>
      </c>
      <c r="C199" s="96" t="s">
        <v>1320</v>
      </c>
      <c r="D199" s="96"/>
      <c r="E199" s="96"/>
      <c r="F199" s="96"/>
      <c r="G199" s="96"/>
      <c r="H199" s="96"/>
      <c r="I199" s="96"/>
      <c r="J199" s="96"/>
      <c r="K199" s="96" t="s">
        <v>73</v>
      </c>
      <c r="L199" s="96" t="s">
        <v>200</v>
      </c>
      <c r="M199" s="96" t="s">
        <v>201</v>
      </c>
      <c r="N199" s="96" t="s">
        <v>160</v>
      </c>
      <c r="O199" s="101">
        <f>VLOOKUP(Tabla156[[#This Row],[Matricula Antigua]],BAJA2022202320242025!$B$3:$CR$245,93,FALSE)</f>
        <v>44260</v>
      </c>
      <c r="P199" s="99">
        <v>45721</v>
      </c>
      <c r="Q199" s="98">
        <f>Tabla156[[#This Row],[F.Vig.Final]]-Tabla156[[#This Row],[f Vig Inicio]]</f>
        <v>1461</v>
      </c>
      <c r="R199" s="99">
        <f>YEAR(Tabla156[[#This Row],[F.Vig.Final]])</f>
        <v>2025</v>
      </c>
      <c r="S199" s="96" t="s">
        <v>161</v>
      </c>
      <c r="T199" s="96" t="s">
        <v>78</v>
      </c>
      <c r="U199" s="96" t="s">
        <v>79</v>
      </c>
      <c r="V199" s="96" t="s">
        <v>924</v>
      </c>
      <c r="W199" s="96" t="s">
        <v>584</v>
      </c>
      <c r="X199" s="96" t="s">
        <v>585</v>
      </c>
      <c r="Y199" s="96" t="s">
        <v>1321</v>
      </c>
      <c r="Z199" s="98">
        <f>COUNTIF($X$3:X199, X199)</f>
        <v>17</v>
      </c>
      <c r="AA199" s="98"/>
      <c r="AB199" s="98"/>
      <c r="AC199" s="98"/>
      <c r="AD199" s="98"/>
      <c r="AE199" s="321"/>
      <c r="AF199" s="321"/>
      <c r="AG199" s="320"/>
      <c r="AH199" s="98"/>
      <c r="AI199" s="98" t="e">
        <v>#N/A</v>
      </c>
      <c r="AJ199" s="98" t="e">
        <v>#N/A</v>
      </c>
      <c r="AK199" s="98" t="e">
        <v>#N/A</v>
      </c>
      <c r="AL199" s="98" t="e">
        <v>#N/A</v>
      </c>
      <c r="AM199" s="98" t="e">
        <v>#N/A</v>
      </c>
      <c r="AN199" s="99" t="e">
        <v>#N/A</v>
      </c>
      <c r="AO199" s="99" t="e">
        <v>#N/A</v>
      </c>
      <c r="AP199" s="99" t="e">
        <f>Tabla156[[#This Row],[Renov. Flota]]-Tabla156[[#This Row],[Año]]</f>
        <v>#N/A</v>
      </c>
      <c r="AQ199" s="100" t="e">
        <v>#N/A</v>
      </c>
      <c r="AR199" s="100" t="e">
        <f>VLOOKUP(Tabla156[[#This Row],[Matricula nueva]],'ALTA 20242025'!$B$2:$P$242,15,FALSE)</f>
        <v>#N/A</v>
      </c>
      <c r="AS199" s="101" t="e">
        <v>#N/A</v>
      </c>
      <c r="AT199" s="101"/>
      <c r="AU199" s="101"/>
      <c r="AV199" s="101"/>
      <c r="AW199" s="101" t="e">
        <f>VLOOKUP(Tabla156[[#This Row],[Matricula nueva]],Hoja2!$A$1:$B$224,2,FALSE)</f>
        <v>#N/A</v>
      </c>
      <c r="AX199" s="101" t="str">
        <f>IF(Tabla156[[#This Row],[Columna2]]="M1",5.1,"")</f>
        <v/>
      </c>
      <c r="AY199" s="101"/>
      <c r="AZ199" s="101"/>
      <c r="BA199" s="311">
        <f>IF(Tabla156[[#This Row],[Columna2]]="M1",13073,IF(Tabla156[[#This Row],[Columna2]]="N1",15815,IF(Tabla156[[#This Row],[Columna2]]="L3e",2831,53508)))</f>
        <v>53508</v>
      </c>
      <c r="BB199" s="311" t="e">
        <f>(Tabla156[[#This Row],[CVA]]*Tabla156[[#This Row],[F]]-Tabla156[[#This Row],[CVN]])/100*Tabla156[[#This Row],[L]]</f>
        <v>#VALUE!</v>
      </c>
      <c r="BC199" s="1"/>
      <c r="BD199" s="1" t="e">
        <f>VLOOKUP(B199,Tabla467824[[ID CAE2]:[AE '[kWh']]],6,FALSE)</f>
        <v>#N/A</v>
      </c>
      <c r="BE19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00" spans="1:57" ht="52.5" thickBot="1" x14ac:dyDescent="0.3">
      <c r="A200" s="53" t="s">
        <v>997</v>
      </c>
      <c r="B200" s="53" t="s">
        <v>997</v>
      </c>
      <c r="C200" s="332" t="s">
        <v>998</v>
      </c>
      <c r="D200" s="104" t="s">
        <v>72</v>
      </c>
      <c r="E200" s="104"/>
      <c r="F200" s="104" t="s">
        <v>72</v>
      </c>
      <c r="G200" s="104"/>
      <c r="H200" s="104" t="s">
        <v>249</v>
      </c>
      <c r="I200" s="104" t="s">
        <v>249</v>
      </c>
      <c r="J200" s="104"/>
      <c r="K200" s="96" t="s">
        <v>73</v>
      </c>
      <c r="L200" s="96" t="s">
        <v>200</v>
      </c>
      <c r="M200" s="96" t="s">
        <v>201</v>
      </c>
      <c r="N200" s="96" t="s">
        <v>160</v>
      </c>
      <c r="O200" s="101">
        <f>VLOOKUP(Tabla156[[#This Row],[Matricula Antigua]],BAJA2022202320242025!$B$3:$CR$245,93,FALSE)</f>
        <v>44270</v>
      </c>
      <c r="P200" s="316">
        <v>45731</v>
      </c>
      <c r="Q200" s="317">
        <f>Tabla156[[#This Row],[F.Vig.Final]]-Tabla156[[#This Row],[f Vig Inicio]]</f>
        <v>1461</v>
      </c>
      <c r="R200" s="318">
        <f>YEAR(Tabla156[[#This Row],[F.Vig.Final]])</f>
        <v>2025</v>
      </c>
      <c r="S200" s="96" t="s">
        <v>161</v>
      </c>
      <c r="T200" s="96" t="s">
        <v>78</v>
      </c>
      <c r="U200" s="96" t="s">
        <v>79</v>
      </c>
      <c r="V200" s="96" t="s">
        <v>924</v>
      </c>
      <c r="W200" s="96" t="s">
        <v>102</v>
      </c>
      <c r="X200" s="332" t="s">
        <v>1667</v>
      </c>
      <c r="Y200" s="96" t="s">
        <v>669</v>
      </c>
      <c r="Z200" s="98">
        <f>COUNTIF($X$3:X200, X200)</f>
        <v>42</v>
      </c>
      <c r="AA200" s="337" t="s">
        <v>1668</v>
      </c>
      <c r="AB200" s="337" t="s">
        <v>1668</v>
      </c>
      <c r="AC200" s="337" t="s">
        <v>1669</v>
      </c>
      <c r="AD200" s="341" t="s">
        <v>1670</v>
      </c>
      <c r="AE200" s="342" t="s">
        <v>1671</v>
      </c>
      <c r="AF200" s="337" t="s">
        <v>1672</v>
      </c>
      <c r="AG200" s="344" t="s">
        <v>1673</v>
      </c>
      <c r="AH200" s="337" t="s">
        <v>1649</v>
      </c>
      <c r="AI200" s="337" t="s">
        <v>999</v>
      </c>
      <c r="AJ200" s="98" t="s">
        <v>85</v>
      </c>
      <c r="AK200" s="98" t="s">
        <v>86</v>
      </c>
      <c r="AL200" s="98" t="s">
        <v>87</v>
      </c>
      <c r="AM200" s="101" t="s">
        <v>301</v>
      </c>
      <c r="AN200" s="348" t="s">
        <v>89</v>
      </c>
      <c r="AO200" s="349">
        <v>45625</v>
      </c>
      <c r="AP200" s="98">
        <f>Tabla156[[#This Row],[Renov. Flota]]-Tabla156[[#This Row],[Año]]</f>
        <v>-1</v>
      </c>
      <c r="AQ200" s="100" t="s">
        <v>102</v>
      </c>
      <c r="AR200" s="100" t="str">
        <f>VLOOKUP(Tabla156[[#This Row],[Matricula nueva]],'ALTA 20242025'!$B$2:$P$242,15,FALSE)</f>
        <v>4500426759</v>
      </c>
      <c r="AS200" s="101" t="s">
        <v>103</v>
      </c>
      <c r="AT200" s="101"/>
      <c r="AU200" s="101" t="s">
        <v>72</v>
      </c>
      <c r="AV200" s="101" t="s">
        <v>109</v>
      </c>
      <c r="AW200" s="101" t="str">
        <f>VLOOKUP(Tabla156[[#This Row],[Matricula nueva]],Hoja2!$A$1:$B$224,2,FALSE)</f>
        <v>VF1RFK00X73824788</v>
      </c>
      <c r="AX200" s="209">
        <v>5.6</v>
      </c>
      <c r="AY200" s="208">
        <f>IF(T200="DIESEL",10,IF(T200="GLP",7.16,9.19))</f>
        <v>10</v>
      </c>
      <c r="AZ200" s="313">
        <v>17.3</v>
      </c>
      <c r="BA200" s="314">
        <f>IF(Tabla156[[#This Row],[Columna2]]="M1",13073,IF(Tabla156[[#This Row],[Columna2]]="N1",15815,IF(Tabla156[[#This Row],[Columna2]]="L3e",2831,53508)))</f>
        <v>15815</v>
      </c>
      <c r="BB200" s="350">
        <f>(Tabla156[[#This Row],[CVA]]*Tabla156[[#This Row],[F]]-Tabla156[[#This Row],[CVN]])/100*Tabla156[[#This Row],[L]]</f>
        <v>6120.4049999999997</v>
      </c>
      <c r="BC200" s="92" t="s">
        <v>128</v>
      </c>
      <c r="BD200" s="209">
        <f>VLOOKUP(B200,Tabla467824[[ID CAE2]:[AE '[kWh']]],6,FALSE)</f>
        <v>5607.9989999999989</v>
      </c>
      <c r="BE20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01" spans="1:57" ht="15.75" hidden="1" thickBot="1" x14ac:dyDescent="0.3">
      <c r="A201" s="53" t="s">
        <v>1322</v>
      </c>
      <c r="B201" s="53" t="e">
        <v>#N/A</v>
      </c>
      <c r="C201" s="96" t="s">
        <v>1323</v>
      </c>
      <c r="D201" s="96"/>
      <c r="E201" s="96"/>
      <c r="F201" s="96"/>
      <c r="G201" s="96"/>
      <c r="H201" s="96"/>
      <c r="I201" s="96"/>
      <c r="J201" s="96"/>
      <c r="K201" s="96" t="s">
        <v>129</v>
      </c>
      <c r="L201" s="96" t="s">
        <v>74</v>
      </c>
      <c r="M201" s="96" t="s">
        <v>75</v>
      </c>
      <c r="N201" s="96" t="s">
        <v>160</v>
      </c>
      <c r="O201" s="101">
        <f>VLOOKUP(Tabla156[[#This Row],[Matricula Antigua]],BAJA2022202320242025!$B$3:$CR$245,93,FALSE)</f>
        <v>45491</v>
      </c>
      <c r="P201" s="99">
        <v>45657</v>
      </c>
      <c r="Q201" s="98">
        <f>Tabla156[[#This Row],[F.Vig.Final]]-Tabla156[[#This Row],[f Vig Inicio]]</f>
        <v>166</v>
      </c>
      <c r="R201" s="99">
        <f>YEAR(Tabla156[[#This Row],[F.Vig.Final]])</f>
        <v>2024</v>
      </c>
      <c r="S201" s="96" t="s">
        <v>161</v>
      </c>
      <c r="T201" s="96" t="s">
        <v>78</v>
      </c>
      <c r="U201" s="96" t="s">
        <v>79</v>
      </c>
      <c r="V201" s="96" t="s">
        <v>918</v>
      </c>
      <c r="W201" s="96" t="s">
        <v>131</v>
      </c>
      <c r="X201" s="96" t="s">
        <v>132</v>
      </c>
      <c r="Y201" s="96" t="s">
        <v>135</v>
      </c>
      <c r="Z201" s="98">
        <f>COUNTIF($X$3:X201, X201)</f>
        <v>13</v>
      </c>
      <c r="AA201" s="98"/>
      <c r="AB201" s="98"/>
      <c r="AC201" s="98"/>
      <c r="AD201" s="98"/>
      <c r="AE201" s="321"/>
      <c r="AF201" s="322"/>
      <c r="AG201" s="98"/>
      <c r="AH201" s="98"/>
      <c r="AI201" s="98" t="e">
        <v>#N/A</v>
      </c>
      <c r="AJ201" s="98" t="e">
        <v>#N/A</v>
      </c>
      <c r="AK201" s="98" t="e">
        <v>#N/A</v>
      </c>
      <c r="AL201" s="98" t="e">
        <v>#N/A</v>
      </c>
      <c r="AM201" s="98" t="e">
        <v>#N/A</v>
      </c>
      <c r="AN201" s="99" t="e">
        <v>#N/A</v>
      </c>
      <c r="AO201" s="99" t="e">
        <v>#N/A</v>
      </c>
      <c r="AP201" s="99" t="e">
        <f>Tabla156[[#This Row],[Renov. Flota]]-Tabla156[[#This Row],[Año]]</f>
        <v>#N/A</v>
      </c>
      <c r="AQ201" s="100" t="e">
        <v>#N/A</v>
      </c>
      <c r="AR201" s="100" t="e">
        <f>VLOOKUP(Tabla156[[#This Row],[Matricula nueva]],'ALTA 20242025'!$B$2:$P$242,15,FALSE)</f>
        <v>#N/A</v>
      </c>
      <c r="AS201" s="101" t="e">
        <v>#N/A</v>
      </c>
      <c r="AT201" s="101"/>
      <c r="AU201" s="101"/>
      <c r="AV201" s="101"/>
      <c r="AW201" s="101" t="e">
        <f>VLOOKUP(Tabla156[[#This Row],[Matricula nueva]],Hoja2!$A$1:$B$224,2,FALSE)</f>
        <v>#N/A</v>
      </c>
      <c r="AX201" s="101" t="str">
        <f>IF(Tabla156[[#This Row],[Columna2]]="M1",5.1,"")</f>
        <v/>
      </c>
      <c r="AY201" s="101"/>
      <c r="AZ201" s="101"/>
      <c r="BA201" s="311">
        <f>IF(Tabla156[[#This Row],[Columna2]]="M1",13073,IF(Tabla156[[#This Row],[Columna2]]="N1",15815,IF(Tabla156[[#This Row],[Columna2]]="L3e",2831,53508)))</f>
        <v>53508</v>
      </c>
      <c r="BB201" s="311" t="e">
        <f>(Tabla156[[#This Row],[CVA]]*Tabla156[[#This Row],[F]]-Tabla156[[#This Row],[CVN]])/100*Tabla156[[#This Row],[L]]</f>
        <v>#VALUE!</v>
      </c>
      <c r="BC201" s="1"/>
      <c r="BD201" s="1" t="e">
        <f>VLOOKUP(B201,Tabla467824[[ID CAE2]:[AE '[kWh']]],6,FALSE)</f>
        <v>#N/A</v>
      </c>
      <c r="BE20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02" spans="1:57" ht="51.75" x14ac:dyDescent="0.25">
      <c r="A202" s="53" t="s">
        <v>1002</v>
      </c>
      <c r="B202" s="53" t="s">
        <v>1002</v>
      </c>
      <c r="C202" s="332" t="s">
        <v>1003</v>
      </c>
      <c r="D202" s="104" t="s">
        <v>72</v>
      </c>
      <c r="E202" s="104"/>
      <c r="F202" s="104" t="s">
        <v>72</v>
      </c>
      <c r="G202" s="104"/>
      <c r="H202" s="104" t="s">
        <v>249</v>
      </c>
      <c r="I202" s="104" t="s">
        <v>249</v>
      </c>
      <c r="J202" s="104"/>
      <c r="K202" s="96" t="s">
        <v>73</v>
      </c>
      <c r="L202" s="96" t="s">
        <v>200</v>
      </c>
      <c r="M202" s="96" t="s">
        <v>201</v>
      </c>
      <c r="N202" s="96" t="s">
        <v>76</v>
      </c>
      <c r="O202" s="101">
        <f>VLOOKUP(Tabla156[[#This Row],[Matricula Antigua]],BAJA2022202320242025!$B$3:$CR$245,93,FALSE)</f>
        <v>44266</v>
      </c>
      <c r="P202" s="316">
        <v>45747</v>
      </c>
      <c r="Q202" s="317">
        <f>Tabla156[[#This Row],[F.Vig.Final]]-Tabla156[[#This Row],[f Vig Inicio]]</f>
        <v>1481</v>
      </c>
      <c r="R202" s="318">
        <f>YEAR(Tabla156[[#This Row],[F.Vig.Final]])</f>
        <v>2025</v>
      </c>
      <c r="S202" s="96" t="s">
        <v>77</v>
      </c>
      <c r="T202" s="96" t="s">
        <v>78</v>
      </c>
      <c r="U202" s="96" t="s">
        <v>79</v>
      </c>
      <c r="V202" s="96" t="s">
        <v>924</v>
      </c>
      <c r="W202" s="96" t="s">
        <v>308</v>
      </c>
      <c r="X202" s="332" t="s">
        <v>309</v>
      </c>
      <c r="Y202" s="96" t="s">
        <v>1004</v>
      </c>
      <c r="Z202" s="98">
        <f>COUNTIF($X$3:X202, X202)</f>
        <v>7</v>
      </c>
      <c r="AA202" s="337" t="s">
        <v>1661</v>
      </c>
      <c r="AB202" s="337" t="s">
        <v>1661</v>
      </c>
      <c r="AC202" s="337" t="s">
        <v>1662</v>
      </c>
      <c r="AD202" s="337" t="s">
        <v>1663</v>
      </c>
      <c r="AE202" s="342" t="s">
        <v>1664</v>
      </c>
      <c r="AF202" s="337" t="s">
        <v>1665</v>
      </c>
      <c r="AG202" s="337" t="s">
        <v>1666</v>
      </c>
      <c r="AH202" s="337" t="s">
        <v>1649</v>
      </c>
      <c r="AI202" s="337" t="s">
        <v>1005</v>
      </c>
      <c r="AJ202" s="98" t="s">
        <v>85</v>
      </c>
      <c r="AK202" s="98" t="s">
        <v>86</v>
      </c>
      <c r="AL202" s="98" t="s">
        <v>87</v>
      </c>
      <c r="AM202" s="101" t="s">
        <v>310</v>
      </c>
      <c r="AN202" s="348" t="s">
        <v>89</v>
      </c>
      <c r="AO202" s="349">
        <v>45652</v>
      </c>
      <c r="AP202" s="98">
        <f>Tabla156[[#This Row],[Renov. Flota]]-Tabla156[[#This Row],[Año]]</f>
        <v>-1</v>
      </c>
      <c r="AQ202" s="100" t="s">
        <v>308</v>
      </c>
      <c r="AR202" s="100" t="str">
        <f>VLOOKUP(Tabla156[[#This Row],[Matricula nueva]],'ALTA 20242025'!$B$2:$P$242,15,FALSE)</f>
        <v>X</v>
      </c>
      <c r="AS202" s="101" t="s">
        <v>309</v>
      </c>
      <c r="AT202" s="101"/>
      <c r="AU202" s="101" t="s">
        <v>72</v>
      </c>
      <c r="AV202" s="101" t="s">
        <v>91</v>
      </c>
      <c r="AW202" s="101" t="str">
        <f>VLOOKUP(Tabla156[[#This Row],[Matricula nueva]],Hoja2!$A$1:$B$224,2,FALSE)</f>
        <v>VF1RFK00673934270</v>
      </c>
      <c r="AX202" s="209">
        <v>5.6</v>
      </c>
      <c r="AY202" s="208">
        <f>IF(T202="DIESEL",10,IF(T202="GLP",7.16,9.19))</f>
        <v>10</v>
      </c>
      <c r="AZ202" s="313">
        <v>17.3</v>
      </c>
      <c r="BA202" s="314">
        <f>IF(Tabla156[[#This Row],[Columna2]]="M1",13073,IF(Tabla156[[#This Row],[Columna2]]="N1",15815,IF(Tabla156[[#This Row],[Columna2]]="L3e",2831,53508)))</f>
        <v>15815</v>
      </c>
      <c r="BB202" s="350">
        <f>(Tabla156[[#This Row],[CVA]]*Tabla156[[#This Row],[F]]-Tabla156[[#This Row],[CVN]])/100*Tabla156[[#This Row],[L]]</f>
        <v>6120.4049999999997</v>
      </c>
      <c r="BC202" s="90" t="s">
        <v>128</v>
      </c>
      <c r="BD202" s="209">
        <f>VLOOKUP(B202,Tabla467824[[ID CAE2]:[AE '[kWh']]],6,FALSE)</f>
        <v>5607.9989999999989</v>
      </c>
      <c r="BE20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03" spans="1:57" ht="51.75" x14ac:dyDescent="0.25">
      <c r="A203" s="53" t="s">
        <v>1007</v>
      </c>
      <c r="B203" s="53" t="s">
        <v>1007</v>
      </c>
      <c r="C203" s="332" t="s">
        <v>1008</v>
      </c>
      <c r="D203" s="104" t="s">
        <v>72</v>
      </c>
      <c r="E203" s="104" t="s">
        <v>72</v>
      </c>
      <c r="F203" s="104" t="s">
        <v>72</v>
      </c>
      <c r="G203" s="104"/>
      <c r="H203" s="104" t="s">
        <v>72</v>
      </c>
      <c r="I203" s="104" t="s">
        <v>72</v>
      </c>
      <c r="J203" s="104"/>
      <c r="K203" s="96" t="s">
        <v>129</v>
      </c>
      <c r="L203" s="96" t="s">
        <v>74</v>
      </c>
      <c r="M203" s="96" t="s">
        <v>75</v>
      </c>
      <c r="N203" s="96" t="s">
        <v>76</v>
      </c>
      <c r="O203" s="99">
        <f>VLOOKUP(Tabla156[[#This Row],[Matricula Antigua]],BAJA2022202320242025!$B$3:$CR$245,93,FALSE)</f>
        <v>44069</v>
      </c>
      <c r="P203" s="316">
        <v>45245</v>
      </c>
      <c r="Q203" s="317">
        <f>Tabla156[[#This Row],[F.Vig.Final]]-Tabla156[[#This Row],[f Vig Inicio]]</f>
        <v>1176</v>
      </c>
      <c r="R203" s="318">
        <f>YEAR(Tabla156[[#This Row],[F.Vig.Final]])</f>
        <v>2023</v>
      </c>
      <c r="S203" s="96" t="s">
        <v>77</v>
      </c>
      <c r="T203" s="96" t="s">
        <v>78</v>
      </c>
      <c r="U203" s="96" t="s">
        <v>380</v>
      </c>
      <c r="V203" s="96" t="s">
        <v>1010</v>
      </c>
      <c r="W203" s="96" t="s">
        <v>131</v>
      </c>
      <c r="X203" s="332" t="s">
        <v>132</v>
      </c>
      <c r="Y203" s="96" t="s">
        <v>622</v>
      </c>
      <c r="Z203" s="98">
        <f>COUNTIF($X$3:X203, X203)</f>
        <v>14</v>
      </c>
      <c r="AA203" s="337" t="s">
        <v>1661</v>
      </c>
      <c r="AB203" s="337" t="s">
        <v>1661</v>
      </c>
      <c r="AC203" s="337" t="s">
        <v>1662</v>
      </c>
      <c r="AD203" s="333" t="s">
        <v>1675</v>
      </c>
      <c r="AE203" s="347" t="s">
        <v>1664</v>
      </c>
      <c r="AF203" s="337" t="s">
        <v>1676</v>
      </c>
      <c r="AG203" s="337" t="s">
        <v>1677</v>
      </c>
      <c r="AH203" s="337" t="s">
        <v>1649</v>
      </c>
      <c r="AI203" s="337" t="s">
        <v>1011</v>
      </c>
      <c r="AJ203" s="98" t="s">
        <v>85</v>
      </c>
      <c r="AK203" s="98" t="s">
        <v>86</v>
      </c>
      <c r="AL203" s="98" t="s">
        <v>87</v>
      </c>
      <c r="AM203" s="101" t="s">
        <v>610</v>
      </c>
      <c r="AN203" s="348" t="s">
        <v>89</v>
      </c>
      <c r="AO203" s="349">
        <v>45625</v>
      </c>
      <c r="AP203" s="98">
        <f>Tabla156[[#This Row],[Renov. Flota]]-Tabla156[[#This Row],[Año]]</f>
        <v>1</v>
      </c>
      <c r="AQ203" s="100" t="s">
        <v>131</v>
      </c>
      <c r="AR203" s="100" t="str">
        <f>VLOOKUP(Tabla156[[#This Row],[Matricula nueva]],'ALTA 20242025'!$B$2:$P$242,15,FALSE)</f>
        <v>4500426785</v>
      </c>
      <c r="AS203" s="101" t="s">
        <v>132</v>
      </c>
      <c r="AT203" s="101"/>
      <c r="AU203" s="101" t="s">
        <v>72</v>
      </c>
      <c r="AV203" s="101" t="s">
        <v>91</v>
      </c>
      <c r="AW203" s="101" t="str">
        <f>VLOOKUP(Tabla156[[#This Row],[Matricula nueva]],Hoja2!$A$1:$B$224,2,FALSE)</f>
        <v>VF1RFK00273824817</v>
      </c>
      <c r="AX203" s="209">
        <v>5.6</v>
      </c>
      <c r="AY203" s="208">
        <f>IF(T203="DIESEL",10,IF(T203="GLP",7.16,9.19))</f>
        <v>10</v>
      </c>
      <c r="AZ203" s="313">
        <v>17.3</v>
      </c>
      <c r="BA203" s="314">
        <f>IF(Tabla156[[#This Row],[Columna2]]="M1",13073,IF(Tabla156[[#This Row],[Columna2]]="N1",15815,IF(Tabla156[[#This Row],[Columna2]]="L3e",2831,53508)))</f>
        <v>15815</v>
      </c>
      <c r="BB203" s="350">
        <f>(Tabla156[[#This Row],[CVA]]*Tabla156[[#This Row],[F]]-Tabla156[[#This Row],[CVN]])/100*Tabla156[[#This Row],[L]]</f>
        <v>6120.4049999999997</v>
      </c>
      <c r="BC203" s="294" t="s">
        <v>128</v>
      </c>
      <c r="BD203" s="209">
        <v>0</v>
      </c>
      <c r="BE20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04" spans="1:57" ht="52.5" thickBot="1" x14ac:dyDescent="0.3">
      <c r="A204" s="53" t="s">
        <v>1014</v>
      </c>
      <c r="B204" s="53" t="s">
        <v>1014</v>
      </c>
      <c r="C204" s="332" t="s">
        <v>1015</v>
      </c>
      <c r="D204" s="104" t="s">
        <v>72</v>
      </c>
      <c r="E204" s="104" t="s">
        <v>72</v>
      </c>
      <c r="F204" s="104" t="s">
        <v>72</v>
      </c>
      <c r="G204" s="104"/>
      <c r="H204" s="104" t="s">
        <v>72</v>
      </c>
      <c r="I204" s="104" t="s">
        <v>72</v>
      </c>
      <c r="J204" s="104"/>
      <c r="K204" s="96" t="s">
        <v>129</v>
      </c>
      <c r="L204" s="96" t="s">
        <v>74</v>
      </c>
      <c r="M204" s="96" t="s">
        <v>75</v>
      </c>
      <c r="N204" s="96" t="s">
        <v>76</v>
      </c>
      <c r="O204" s="99">
        <f>VLOOKUP(Tabla156[[#This Row],[Matricula Antigua]],BAJA2022202320242025!$B$3:$CR$245,93,FALSE)</f>
        <v>44340</v>
      </c>
      <c r="P204" s="316">
        <v>45292</v>
      </c>
      <c r="Q204" s="317">
        <f>Tabla156[[#This Row],[F.Vig.Final]]-Tabla156[[#This Row],[f Vig Inicio]]</f>
        <v>952</v>
      </c>
      <c r="R204" s="318">
        <f>YEAR(Tabla156[[#This Row],[F.Vig.Final]])</f>
        <v>2024</v>
      </c>
      <c r="S204" s="96" t="s">
        <v>77</v>
      </c>
      <c r="T204" s="96" t="s">
        <v>78</v>
      </c>
      <c r="U204" s="96" t="s">
        <v>380</v>
      </c>
      <c r="V204" s="96" t="s">
        <v>1016</v>
      </c>
      <c r="W204" s="96" t="s">
        <v>131</v>
      </c>
      <c r="X204" s="332" t="s">
        <v>132</v>
      </c>
      <c r="Y204" s="96" t="s">
        <v>135</v>
      </c>
      <c r="Z204" s="98">
        <f>COUNTIF($X$3:X204, X204)</f>
        <v>15</v>
      </c>
      <c r="AA204" s="337" t="s">
        <v>1661</v>
      </c>
      <c r="AB204" s="337" t="s">
        <v>1661</v>
      </c>
      <c r="AC204" s="337" t="s">
        <v>1662</v>
      </c>
      <c r="AD204" s="333" t="s">
        <v>1675</v>
      </c>
      <c r="AE204" s="347" t="s">
        <v>1664</v>
      </c>
      <c r="AF204" s="337" t="s">
        <v>1676</v>
      </c>
      <c r="AG204" s="337" t="s">
        <v>1677</v>
      </c>
      <c r="AH204" s="337" t="s">
        <v>1649</v>
      </c>
      <c r="AI204" s="337" t="s">
        <v>1017</v>
      </c>
      <c r="AJ204" s="98" t="s">
        <v>85</v>
      </c>
      <c r="AK204" s="98" t="s">
        <v>86</v>
      </c>
      <c r="AL204" s="98" t="s">
        <v>87</v>
      </c>
      <c r="AM204" s="101" t="s">
        <v>427</v>
      </c>
      <c r="AN204" s="348" t="s">
        <v>89</v>
      </c>
      <c r="AO204" s="349">
        <v>45625</v>
      </c>
      <c r="AP204" s="98">
        <f>Tabla156[[#This Row],[Renov. Flota]]-Tabla156[[#This Row],[Año]]</f>
        <v>0</v>
      </c>
      <c r="AQ204" s="100" t="s">
        <v>131</v>
      </c>
      <c r="AR204" s="100" t="str">
        <f>VLOOKUP(Tabla156[[#This Row],[Matricula nueva]],'ALTA 20242025'!$B$2:$P$242,15,FALSE)</f>
        <v>4500426851</v>
      </c>
      <c r="AS204" s="101" t="s">
        <v>132</v>
      </c>
      <c r="AT204" s="101"/>
      <c r="AU204" s="101" t="s">
        <v>72</v>
      </c>
      <c r="AV204" s="101" t="s">
        <v>91</v>
      </c>
      <c r="AW204" s="101" t="str">
        <f>VLOOKUP(Tabla156[[#This Row],[Matricula nueva]],Hoja2!$A$1:$B$224,2,FALSE)</f>
        <v>VF1RFK00873824823</v>
      </c>
      <c r="AX204" s="209">
        <v>5.6</v>
      </c>
      <c r="AY204" s="208">
        <f>IF(T204="DIESEL",10,IF(T204="GLP",7.16,9.19))</f>
        <v>10</v>
      </c>
      <c r="AZ204" s="313">
        <v>17.3</v>
      </c>
      <c r="BA204" s="314">
        <f>IF(Tabla156[[#This Row],[Columna2]]="M1",13073,IF(Tabla156[[#This Row],[Columna2]]="N1",15815,IF(Tabla156[[#This Row],[Columna2]]="L3e",2831,53508)))</f>
        <v>15815</v>
      </c>
      <c r="BB204" s="350">
        <f>(Tabla156[[#This Row],[CVA]]*Tabla156[[#This Row],[F]]-Tabla156[[#This Row],[CVN]])/100*Tabla156[[#This Row],[L]]</f>
        <v>6120.4049999999997</v>
      </c>
      <c r="BC204" s="91" t="s">
        <v>128</v>
      </c>
      <c r="BD204" s="209">
        <f>VLOOKUP(B204,Tabla467824[[ID CAE2]:[AE '[kWh']]],6,FALSE)</f>
        <v>5607.9989999999989</v>
      </c>
      <c r="BE20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05" spans="1:57" ht="15.75" hidden="1" thickBot="1" x14ac:dyDescent="0.3">
      <c r="A205" s="53" t="s">
        <v>1324</v>
      </c>
      <c r="B205" s="53" t="e">
        <v>#N/A</v>
      </c>
      <c r="C205" s="96" t="s">
        <v>1325</v>
      </c>
      <c r="D205" s="96"/>
      <c r="E205" s="96"/>
      <c r="F205" s="96"/>
      <c r="G205" s="96"/>
      <c r="H205" s="96"/>
      <c r="I205" s="96"/>
      <c r="J205" s="96"/>
      <c r="K205" s="96" t="s">
        <v>73</v>
      </c>
      <c r="L205" s="96" t="s">
        <v>200</v>
      </c>
      <c r="M205" s="96" t="s">
        <v>201</v>
      </c>
      <c r="N205" s="96" t="s">
        <v>76</v>
      </c>
      <c r="O205" s="101">
        <f>VLOOKUP(Tabla156[[#This Row],[Matricula Antigua]],BAJA2022202320242025!$B$3:$CR$245,93,FALSE)</f>
        <v>44260</v>
      </c>
      <c r="P205" s="99">
        <v>45747</v>
      </c>
      <c r="Q205" s="98">
        <f>Tabla156[[#This Row],[F.Vig.Final]]-Tabla156[[#This Row],[f Vig Inicio]]</f>
        <v>1487</v>
      </c>
      <c r="R205" s="99">
        <f>YEAR(Tabla156[[#This Row],[F.Vig.Final]])</f>
        <v>2025</v>
      </c>
      <c r="S205" s="96" t="s">
        <v>77</v>
      </c>
      <c r="T205" s="96" t="s">
        <v>78</v>
      </c>
      <c r="U205" s="96" t="s">
        <v>79</v>
      </c>
      <c r="V205" s="96" t="s">
        <v>924</v>
      </c>
      <c r="W205" s="96" t="s">
        <v>131</v>
      </c>
      <c r="X205" s="96" t="s">
        <v>132</v>
      </c>
      <c r="Y205" s="96" t="s">
        <v>427</v>
      </c>
      <c r="Z205" s="98">
        <f>COUNTIF($X$3:X205, X205)</f>
        <v>16</v>
      </c>
      <c r="AA205" s="98"/>
      <c r="AB205" s="98"/>
      <c r="AC205" s="98"/>
      <c r="AD205" s="98"/>
      <c r="AE205" s="320"/>
      <c r="AF205" s="320"/>
      <c r="AG205" s="320"/>
      <c r="AH205" s="98"/>
      <c r="AI205" s="98" t="e">
        <v>#N/A</v>
      </c>
      <c r="AJ205" s="98" t="e">
        <v>#N/A</v>
      </c>
      <c r="AK205" s="98" t="e">
        <v>#N/A</v>
      </c>
      <c r="AL205" s="98" t="e">
        <v>#N/A</v>
      </c>
      <c r="AM205" s="98" t="e">
        <v>#N/A</v>
      </c>
      <c r="AN205" s="99" t="e">
        <v>#N/A</v>
      </c>
      <c r="AO205" s="99" t="e">
        <v>#N/A</v>
      </c>
      <c r="AP205" s="99" t="e">
        <f>Tabla156[[#This Row],[Renov. Flota]]-Tabla156[[#This Row],[Año]]</f>
        <v>#N/A</v>
      </c>
      <c r="AQ205" s="100" t="e">
        <v>#N/A</v>
      </c>
      <c r="AR205" s="100" t="e">
        <f>VLOOKUP(Tabla156[[#This Row],[Matricula nueva]],'ALTA 20242025'!$B$2:$P$242,15,FALSE)</f>
        <v>#N/A</v>
      </c>
      <c r="AS205" s="101" t="e">
        <v>#N/A</v>
      </c>
      <c r="AT205" s="101"/>
      <c r="AU205" s="101"/>
      <c r="AV205" s="101"/>
      <c r="AW205" s="101" t="e">
        <f>VLOOKUP(Tabla156[[#This Row],[Matricula nueva]],Hoja2!$A$1:$B$224,2,FALSE)</f>
        <v>#N/A</v>
      </c>
      <c r="AX205" s="101" t="str">
        <f>IF(Tabla156[[#This Row],[Columna2]]="M1",5.1,"")</f>
        <v/>
      </c>
      <c r="AY205" s="101"/>
      <c r="AZ205" s="101"/>
      <c r="BA205" s="311">
        <f>IF(Tabla156[[#This Row],[Columna2]]="M1",13073,IF(Tabla156[[#This Row],[Columna2]]="N1",15815,IF(Tabla156[[#This Row],[Columna2]]="L3e",2831,53508)))</f>
        <v>53508</v>
      </c>
      <c r="BB205" s="311" t="e">
        <f>(Tabla156[[#This Row],[CVA]]*Tabla156[[#This Row],[F]]-Tabla156[[#This Row],[CVN]])/100*Tabla156[[#This Row],[L]]</f>
        <v>#VALUE!</v>
      </c>
      <c r="BC205" s="1"/>
      <c r="BD205" s="1" t="e">
        <f>VLOOKUP(B205,Tabla467824[[ID CAE2]:[AE '[kWh']]],6,FALSE)</f>
        <v>#N/A</v>
      </c>
      <c r="BE20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06" spans="1:57" ht="60" x14ac:dyDescent="0.25">
      <c r="A206" s="53" t="s">
        <v>1020</v>
      </c>
      <c r="B206" s="53" t="s">
        <v>1020</v>
      </c>
      <c r="C206" s="332" t="s">
        <v>1021</v>
      </c>
      <c r="D206" s="104" t="s">
        <v>72</v>
      </c>
      <c r="E206" s="104" t="s">
        <v>72</v>
      </c>
      <c r="F206" s="104" t="s">
        <v>72</v>
      </c>
      <c r="G206" s="104"/>
      <c r="H206" s="104"/>
      <c r="I206" s="104"/>
      <c r="J206" s="104"/>
      <c r="K206" s="96" t="s">
        <v>73</v>
      </c>
      <c r="L206" s="96" t="s">
        <v>74</v>
      </c>
      <c r="M206" s="96" t="s">
        <v>75</v>
      </c>
      <c r="N206" s="96" t="s">
        <v>76</v>
      </c>
      <c r="O206" s="99">
        <f>VLOOKUP(Tabla156[[#This Row],[Matricula Antigua]],BAJA2022202320242025!$B$3:$CR$245,93,FALSE)</f>
        <v>44978</v>
      </c>
      <c r="P206" s="316">
        <v>45345</v>
      </c>
      <c r="Q206" s="317">
        <f>Tabla156[[#This Row],[F.Vig.Final]]-Tabla156[[#This Row],[f Vig Inicio]]</f>
        <v>367</v>
      </c>
      <c r="R206" s="318">
        <f>YEAR(Tabla156[[#This Row],[F.Vig.Final]])</f>
        <v>2024</v>
      </c>
      <c r="S206" s="96" t="s">
        <v>77</v>
      </c>
      <c r="T206" s="96" t="s">
        <v>78</v>
      </c>
      <c r="U206" s="96" t="s">
        <v>359</v>
      </c>
      <c r="V206" s="96" t="s">
        <v>1022</v>
      </c>
      <c r="W206" s="96" t="s">
        <v>336</v>
      </c>
      <c r="X206" s="332" t="s">
        <v>337</v>
      </c>
      <c r="Y206" s="96" t="s">
        <v>880</v>
      </c>
      <c r="Z206" s="98">
        <f>COUNTIF($X$3:X206, X206)</f>
        <v>14</v>
      </c>
      <c r="AA206" s="337" t="s">
        <v>1661</v>
      </c>
      <c r="AB206" s="337" t="s">
        <v>1661</v>
      </c>
      <c r="AC206" s="337" t="s">
        <v>1662</v>
      </c>
      <c r="AD206" s="341" t="s">
        <v>1682</v>
      </c>
      <c r="AE206" s="347" t="s">
        <v>1664</v>
      </c>
      <c r="AF206" s="337" t="s">
        <v>1683</v>
      </c>
      <c r="AG206" s="337" t="s">
        <v>1684</v>
      </c>
      <c r="AH206" s="337" t="s">
        <v>1649</v>
      </c>
      <c r="AI206" s="337" t="s">
        <v>1023</v>
      </c>
      <c r="AJ206" s="98" t="s">
        <v>380</v>
      </c>
      <c r="AK206" s="98" t="s">
        <v>381</v>
      </c>
      <c r="AL206" s="98" t="s">
        <v>87</v>
      </c>
      <c r="AM206" s="101" t="s">
        <v>382</v>
      </c>
      <c r="AN206" s="348" t="s">
        <v>89</v>
      </c>
      <c r="AO206" s="349">
        <v>45483</v>
      </c>
      <c r="AP206" s="98">
        <f>Tabla156[[#This Row],[Renov. Flota]]-Tabla156[[#This Row],[Año]]</f>
        <v>0</v>
      </c>
      <c r="AQ206" s="100" t="s">
        <v>336</v>
      </c>
      <c r="AR206" s="100">
        <v>4500407448</v>
      </c>
      <c r="AS206" s="101" t="s">
        <v>337</v>
      </c>
      <c r="AT206" s="101"/>
      <c r="AU206" s="101" t="s">
        <v>72</v>
      </c>
      <c r="AV206" s="101" t="s">
        <v>91</v>
      </c>
      <c r="AW206" s="101" t="s">
        <v>1024</v>
      </c>
      <c r="AX206" s="209">
        <f>IF(Tabla156[[#This Row],[Columna2]]="M1",5.1,"")</f>
        <v>5.0999999999999996</v>
      </c>
      <c r="AY206" s="208">
        <f>IF(T206="DIESEL",10,IF(T206="GLP",7.16,9.19))</f>
        <v>10</v>
      </c>
      <c r="AZ206" s="313">
        <v>20</v>
      </c>
      <c r="BA206" s="314">
        <f>IF(Tabla156[[#This Row],[Columna2]]="M1",13073,IF(Tabla156[[#This Row],[Columna2]]="N1",15815,IF(Tabla156[[#This Row],[Columna2]]="L3e",2831,53508)))</f>
        <v>13073</v>
      </c>
      <c r="BB206" s="350">
        <f>(Tabla156[[#This Row],[CVA]]*Tabla156[[#This Row],[F]]-Tabla156[[#This Row],[CVN]])/100*Tabla156[[#This Row],[L]]</f>
        <v>4052.63</v>
      </c>
      <c r="BC206" s="90" t="s">
        <v>70</v>
      </c>
      <c r="BD206" s="209">
        <f>VLOOKUP(B206,Tabla467824[[ID CAE2]:[AE '[kWh']]],6,FALSE)</f>
        <v>7136.4330429999991</v>
      </c>
      <c r="BE20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07" spans="1:57" ht="52.5" thickBot="1" x14ac:dyDescent="0.3">
      <c r="A207" s="53" t="s">
        <v>1025</v>
      </c>
      <c r="B207" s="53" t="s">
        <v>1025</v>
      </c>
      <c r="C207" s="332" t="s">
        <v>1026</v>
      </c>
      <c r="D207" s="104" t="s">
        <v>72</v>
      </c>
      <c r="E207" s="104" t="s">
        <v>72</v>
      </c>
      <c r="F207" s="104" t="s">
        <v>72</v>
      </c>
      <c r="G207" s="104"/>
      <c r="H207" s="104"/>
      <c r="I207" s="104"/>
      <c r="J207" s="104"/>
      <c r="K207" s="96" t="s">
        <v>73</v>
      </c>
      <c r="L207" s="96" t="s">
        <v>74</v>
      </c>
      <c r="M207" s="96" t="s">
        <v>75</v>
      </c>
      <c r="N207" s="96" t="s">
        <v>76</v>
      </c>
      <c r="O207" s="99">
        <f>VLOOKUP(Tabla156[[#This Row],[Matricula Antigua]],BAJA2022202320242025!$B$3:$CR$245,93,FALSE)</f>
        <v>42984</v>
      </c>
      <c r="P207" s="316">
        <v>45419</v>
      </c>
      <c r="Q207" s="317">
        <f>Tabla156[[#This Row],[F.Vig.Final]]-Tabla156[[#This Row],[f Vig Inicio]]</f>
        <v>2435</v>
      </c>
      <c r="R207" s="318">
        <f>YEAR(Tabla156[[#This Row],[F.Vig.Final]])</f>
        <v>2024</v>
      </c>
      <c r="S207" s="96" t="s">
        <v>77</v>
      </c>
      <c r="T207" s="96" t="s">
        <v>78</v>
      </c>
      <c r="U207" s="96" t="s">
        <v>416</v>
      </c>
      <c r="V207" s="96" t="s">
        <v>1028</v>
      </c>
      <c r="W207" s="96" t="s">
        <v>102</v>
      </c>
      <c r="X207" s="332" t="s">
        <v>1667</v>
      </c>
      <c r="Y207" s="96" t="s">
        <v>654</v>
      </c>
      <c r="Z207" s="98">
        <f>COUNTIF($X$3:X207, X207)</f>
        <v>43</v>
      </c>
      <c r="AA207" s="337" t="s">
        <v>1668</v>
      </c>
      <c r="AB207" s="337" t="s">
        <v>1668</v>
      </c>
      <c r="AC207" s="337" t="s">
        <v>1669</v>
      </c>
      <c r="AD207" s="341" t="s">
        <v>1670</v>
      </c>
      <c r="AE207" s="345" t="s">
        <v>1671</v>
      </c>
      <c r="AF207" s="346" t="s">
        <v>1672</v>
      </c>
      <c r="AG207" s="357" t="s">
        <v>1673</v>
      </c>
      <c r="AH207" s="337" t="s">
        <v>1649</v>
      </c>
      <c r="AI207" s="337" t="s">
        <v>1029</v>
      </c>
      <c r="AJ207" s="98" t="s">
        <v>140</v>
      </c>
      <c r="AK207" s="98" t="s">
        <v>1030</v>
      </c>
      <c r="AL207" s="98" t="s">
        <v>87</v>
      </c>
      <c r="AM207" s="101" t="s">
        <v>696</v>
      </c>
      <c r="AN207" s="348" t="s">
        <v>89</v>
      </c>
      <c r="AO207" s="349">
        <v>45615</v>
      </c>
      <c r="AP207" s="98">
        <f>Tabla156[[#This Row],[Renov. Flota]]-Tabla156[[#This Row],[Año]]</f>
        <v>0</v>
      </c>
      <c r="AQ207" s="100" t="s">
        <v>102</v>
      </c>
      <c r="AR207" s="100">
        <v>4500406594</v>
      </c>
      <c r="AS207" s="101" t="s">
        <v>103</v>
      </c>
      <c r="AT207" s="101"/>
      <c r="AU207" s="101" t="s">
        <v>72</v>
      </c>
      <c r="AV207" s="101" t="s">
        <v>109</v>
      </c>
      <c r="AW207" s="101" t="s">
        <v>1031</v>
      </c>
      <c r="AX207" s="209">
        <f>IF(Tabla156[[#This Row],[Columna2]]="M1",5.1,"")</f>
        <v>5.0999999999999996</v>
      </c>
      <c r="AY207" s="208">
        <f>IF(T207="DIESEL",10,IF(T207="GLP",7.16,9.19))</f>
        <v>10</v>
      </c>
      <c r="AZ207" s="313">
        <v>22.7</v>
      </c>
      <c r="BA207" s="314">
        <f>IF(Tabla156[[#This Row],[Columna2]]="M1",13073,IF(Tabla156[[#This Row],[Columna2]]="N1",15815,IF(Tabla156[[#This Row],[Columna2]]="L3e",2831,53508)))</f>
        <v>13073</v>
      </c>
      <c r="BB207" s="350">
        <f>(Tabla156[[#This Row],[CVA]]*Tabla156[[#This Row],[F]]-Tabla156[[#This Row],[CVN]])/100*Tabla156[[#This Row],[L]]</f>
        <v>3699.6590000000006</v>
      </c>
      <c r="BC207" s="91" t="s">
        <v>70</v>
      </c>
      <c r="BD207" s="209">
        <f>VLOOKUP(B207,Tabla467824[[ID CAE2]:[AE '[kWh']]],6,FALSE)</f>
        <v>5607.9989999999989</v>
      </c>
      <c r="BE20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08" spans="1:57" ht="15.75" hidden="1" thickBot="1" x14ac:dyDescent="0.3">
      <c r="A208" s="53" t="s">
        <v>1326</v>
      </c>
      <c r="B208" s="53" t="e">
        <v>#N/A</v>
      </c>
      <c r="C208" s="96" t="s">
        <v>1327</v>
      </c>
      <c r="D208" s="96"/>
      <c r="E208" s="96"/>
      <c r="F208" s="96"/>
      <c r="G208" s="96"/>
      <c r="H208" s="96"/>
      <c r="I208" s="96"/>
      <c r="J208" s="96"/>
      <c r="K208" s="96" t="s">
        <v>73</v>
      </c>
      <c r="L208" s="96" t="s">
        <v>200</v>
      </c>
      <c r="M208" s="96" t="s">
        <v>201</v>
      </c>
      <c r="N208" s="96" t="s">
        <v>160</v>
      </c>
      <c r="O208" s="101">
        <f>VLOOKUP(Tabla156[[#This Row],[Matricula Antigua]],BAJA2022202320242025!$B$3:$CR$245,93,FALSE)</f>
        <v>44309</v>
      </c>
      <c r="P208" s="99">
        <v>45770</v>
      </c>
      <c r="Q208" s="99">
        <f>Tabla156[[#This Row],[F.Vig.Final]]-Tabla156[[#This Row],[f Vig Inicio]]</f>
        <v>1461</v>
      </c>
      <c r="R208" s="99">
        <f>YEAR(Tabla156[[#This Row],[F.Vig.Final]])</f>
        <v>2025</v>
      </c>
      <c r="S208" s="96" t="s">
        <v>161</v>
      </c>
      <c r="T208" s="96" t="s">
        <v>78</v>
      </c>
      <c r="U208" s="96" t="s">
        <v>85</v>
      </c>
      <c r="V208" s="96" t="s">
        <v>752</v>
      </c>
      <c r="W208" s="96" t="s">
        <v>131</v>
      </c>
      <c r="X208" s="96" t="s">
        <v>132</v>
      </c>
      <c r="Y208" s="96" t="s">
        <v>622</v>
      </c>
      <c r="Z208" s="98">
        <f>COUNTIF($X$3:X208, X208)</f>
        <v>17</v>
      </c>
      <c r="AA208" s="98"/>
      <c r="AB208" s="98"/>
      <c r="AC208" s="98"/>
      <c r="AD208" s="98"/>
      <c r="AE208" s="322"/>
      <c r="AF208" s="322"/>
      <c r="AG208" s="98"/>
      <c r="AH208" s="98"/>
      <c r="AI208" s="98" t="e">
        <v>#N/A</v>
      </c>
      <c r="AJ208" s="98" t="e">
        <v>#N/A</v>
      </c>
      <c r="AK208" s="98" t="e">
        <v>#N/A</v>
      </c>
      <c r="AL208" s="98" t="e">
        <v>#N/A</v>
      </c>
      <c r="AM208" s="98" t="e">
        <v>#N/A</v>
      </c>
      <c r="AN208" s="99" t="e">
        <v>#N/A</v>
      </c>
      <c r="AO208" s="99" t="e">
        <v>#N/A</v>
      </c>
      <c r="AP208" s="99" t="e">
        <f>Tabla156[[#This Row],[Renov. Flota]]-Tabla156[[#This Row],[Año]]</f>
        <v>#N/A</v>
      </c>
      <c r="AQ208" s="100" t="e">
        <v>#N/A</v>
      </c>
      <c r="AR208" s="100" t="e">
        <f>VLOOKUP(Tabla156[[#This Row],[Matricula nueva]],'ALTA 20242025'!$B$2:$P$242,15,FALSE)</f>
        <v>#N/A</v>
      </c>
      <c r="AS208" s="101" t="e">
        <v>#N/A</v>
      </c>
      <c r="AT208" s="101"/>
      <c r="AU208" s="101"/>
      <c r="AV208" s="101"/>
      <c r="AW208" s="101" t="e">
        <f>VLOOKUP(Tabla156[[#This Row],[Matricula nueva]],Hoja2!$A$1:$B$224,2,FALSE)</f>
        <v>#N/A</v>
      </c>
      <c r="AX208" s="101" t="str">
        <f>IF(Tabla156[[#This Row],[Columna2]]="M1",5.1,"")</f>
        <v/>
      </c>
      <c r="AY208" s="101"/>
      <c r="AZ208" s="101"/>
      <c r="BA208" s="311">
        <f>IF(Tabla156[[#This Row],[Columna2]]="M1",13073,IF(Tabla156[[#This Row],[Columna2]]="N1",15815,IF(Tabla156[[#This Row],[Columna2]]="L3e",2831,53508)))</f>
        <v>53508</v>
      </c>
      <c r="BB208" s="311" t="e">
        <f>(Tabla156[[#This Row],[CVA]]*Tabla156[[#This Row],[F]]-Tabla156[[#This Row],[CVN]])/100*Tabla156[[#This Row],[L]]</f>
        <v>#VALUE!</v>
      </c>
      <c r="BC208" s="1"/>
      <c r="BD208" s="1" t="e">
        <f>VLOOKUP(B208,Tabla467824[[ID CAE2]:[AE '[kWh']]],6,FALSE)</f>
        <v>#N/A</v>
      </c>
      <c r="BE20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09" spans="1:57" ht="15.75" hidden="1" thickBot="1" x14ac:dyDescent="0.3">
      <c r="A209" s="53" t="s">
        <v>1328</v>
      </c>
      <c r="B209" s="53" t="e">
        <v>#N/A</v>
      </c>
      <c r="C209" s="96" t="s">
        <v>1329</v>
      </c>
      <c r="D209" s="96"/>
      <c r="E209" s="96"/>
      <c r="F209" s="96"/>
      <c r="G209" s="96"/>
      <c r="H209" s="96"/>
      <c r="I209" s="96"/>
      <c r="J209" s="96"/>
      <c r="K209" s="96" t="s">
        <v>158</v>
      </c>
      <c r="L209" s="96" t="s">
        <v>159</v>
      </c>
      <c r="M209" s="96" t="s">
        <v>158</v>
      </c>
      <c r="N209" s="96" t="s">
        <v>171</v>
      </c>
      <c r="O209" s="101">
        <f>VLOOKUP(Tabla156[[#This Row],[Matricula Antigua]],BAJA2022202320242025!$B$3:$CR$245,93,FALSE)</f>
        <v>44520</v>
      </c>
      <c r="P209" s="316">
        <v>45630</v>
      </c>
      <c r="Q209" s="316">
        <f>Tabla156[[#This Row],[F.Vig.Final]]-Tabla156[[#This Row],[f Vig Inicio]]</f>
        <v>1110</v>
      </c>
      <c r="R209" s="316">
        <f>YEAR(Tabla156[[#This Row],[F.Vig.Final]])</f>
        <v>2024</v>
      </c>
      <c r="S209" s="96" t="s">
        <v>172</v>
      </c>
      <c r="T209" s="96" t="s">
        <v>78</v>
      </c>
      <c r="U209" s="96" t="s">
        <v>1330</v>
      </c>
      <c r="V209" s="96" t="s">
        <v>1331</v>
      </c>
      <c r="W209" s="96" t="s">
        <v>81</v>
      </c>
      <c r="X209" s="96" t="s">
        <v>82</v>
      </c>
      <c r="Y209" s="96" t="s">
        <v>164</v>
      </c>
      <c r="Z209" s="98">
        <f>COUNTIF($X$3:X209, X209)</f>
        <v>16</v>
      </c>
      <c r="AA209" s="98"/>
      <c r="AB209" s="98"/>
      <c r="AC209" s="98"/>
      <c r="AD209" s="98"/>
      <c r="AE209" s="320"/>
      <c r="AF209" s="98"/>
      <c r="AG209" s="98"/>
      <c r="AH209" s="98"/>
      <c r="AI209" s="98" t="s">
        <v>1332</v>
      </c>
      <c r="AJ209" s="98" t="s">
        <v>85</v>
      </c>
      <c r="AK209" s="98" t="s">
        <v>86</v>
      </c>
      <c r="AL209" s="98" t="s">
        <v>87</v>
      </c>
      <c r="AM209" s="98" t="s">
        <v>174</v>
      </c>
      <c r="AN209" s="316" t="s">
        <v>89</v>
      </c>
      <c r="AO209" s="99">
        <v>45652</v>
      </c>
      <c r="AP209" s="99">
        <f>Tabla156[[#This Row],[Renov. Flota]]-Tabla156[[#This Row],[Año]]</f>
        <v>0</v>
      </c>
      <c r="AQ209" s="100" t="s">
        <v>81</v>
      </c>
      <c r="AR209" s="100" t="str">
        <f>VLOOKUP(Tabla156[[#This Row],[Matricula nueva]],'ALTA 20242025'!$B$2:$P$242,15,FALSE)</f>
        <v>4500426842</v>
      </c>
      <c r="AS209" s="101" t="s">
        <v>82</v>
      </c>
      <c r="AT209" s="101"/>
      <c r="AU209" s="101"/>
      <c r="AV209" s="101"/>
      <c r="AW209" s="101" t="str">
        <f>VLOOKUP(Tabla156[[#This Row],[Matricula nueva]],Hoja2!$A$1:$B$224,2,FALSE)</f>
        <v>VF1RFK00973824846</v>
      </c>
      <c r="AX209" s="209" t="str">
        <f>IF(Tabla156[[#This Row],[Columna2]]="M1",5.1,"")</f>
        <v/>
      </c>
      <c r="AY209" s="208">
        <f>IF(T209="DIESEL",10,IF(T209="GLP",7.16,9.19))</f>
        <v>10</v>
      </c>
      <c r="AZ209" s="313">
        <v>17.3</v>
      </c>
      <c r="BA209" s="314">
        <f>IF(Tabla156[[#This Row],[Columna2]]="M1",13073,IF(Tabla156[[#This Row],[Columna2]]="N1",15815,IF(Tabla156[[#This Row],[Columna2]]="L3e",2831,53508)))</f>
        <v>53508</v>
      </c>
      <c r="BB209" s="314"/>
      <c r="BD209" s="43" t="e">
        <f>VLOOKUP(B209,Tabla467824[[ID CAE2]:[AE '[kWh']]],6,FALSE)</f>
        <v>#N/A</v>
      </c>
      <c r="BE20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10" spans="1:57" ht="52.5" thickBot="1" x14ac:dyDescent="0.3">
      <c r="A210" s="53" t="s">
        <v>1032</v>
      </c>
      <c r="B210" s="53" t="s">
        <v>1032</v>
      </c>
      <c r="C210" s="332" t="s">
        <v>1033</v>
      </c>
      <c r="D210" s="104" t="s">
        <v>72</v>
      </c>
      <c r="E210" s="104" t="s">
        <v>72</v>
      </c>
      <c r="F210" s="104" t="s">
        <v>72</v>
      </c>
      <c r="G210" s="104"/>
      <c r="H210" s="104" t="s">
        <v>72</v>
      </c>
      <c r="I210" s="104" t="s">
        <v>72</v>
      </c>
      <c r="J210" s="104"/>
      <c r="K210" s="96" t="s">
        <v>1034</v>
      </c>
      <c r="L210" s="96" t="s">
        <v>200</v>
      </c>
      <c r="M210" s="96" t="s">
        <v>201</v>
      </c>
      <c r="N210" s="96" t="s">
        <v>76</v>
      </c>
      <c r="O210" s="101">
        <f>VLOOKUP(Tabla156[[#This Row],[Matricula Antigua]],BAJA2022202320242025!$B$3:$CR$245,93,FALSE)</f>
        <v>43679</v>
      </c>
      <c r="P210" s="316">
        <v>45140</v>
      </c>
      <c r="Q210" s="317">
        <f>Tabla156[[#This Row],[F.Vig.Final]]-Tabla156[[#This Row],[f Vig Inicio]]</f>
        <v>1461</v>
      </c>
      <c r="R210" s="318">
        <f>YEAR(Tabla156[[#This Row],[F.Vig.Final]])</f>
        <v>2023</v>
      </c>
      <c r="S210" s="96" t="s">
        <v>77</v>
      </c>
      <c r="T210" s="96" t="s">
        <v>202</v>
      </c>
      <c r="U210" s="96" t="s">
        <v>416</v>
      </c>
      <c r="V210" s="96" t="s">
        <v>1035</v>
      </c>
      <c r="W210" s="96" t="s">
        <v>119</v>
      </c>
      <c r="X210" s="332" t="s">
        <v>1674</v>
      </c>
      <c r="Y210" s="96" t="s">
        <v>776</v>
      </c>
      <c r="Z210" s="98">
        <f>COUNTIF($X$3:X210, X210)</f>
        <v>24</v>
      </c>
      <c r="AA210" s="337" t="s">
        <v>1661</v>
      </c>
      <c r="AB210" s="337" t="s">
        <v>1661</v>
      </c>
      <c r="AC210" s="337" t="s">
        <v>1662</v>
      </c>
      <c r="AD210" s="337" t="s">
        <v>1663</v>
      </c>
      <c r="AE210" s="342" t="s">
        <v>1664</v>
      </c>
      <c r="AF210" s="337" t="s">
        <v>1665</v>
      </c>
      <c r="AG210" s="337" t="s">
        <v>1666</v>
      </c>
      <c r="AH210" s="337" t="s">
        <v>1649</v>
      </c>
      <c r="AI210" s="337" t="s">
        <v>1036</v>
      </c>
      <c r="AJ210" s="98" t="s">
        <v>140</v>
      </c>
      <c r="AK210" s="98" t="s">
        <v>151</v>
      </c>
      <c r="AL210" s="98" t="s">
        <v>87</v>
      </c>
      <c r="AM210" s="101" t="s">
        <v>294</v>
      </c>
      <c r="AN210" s="348" t="s">
        <v>89</v>
      </c>
      <c r="AO210" s="349">
        <v>45622</v>
      </c>
      <c r="AP210" s="98">
        <f>Tabla156[[#This Row],[Renov. Flota]]-Tabla156[[#This Row],[Año]]</f>
        <v>1</v>
      </c>
      <c r="AQ210" s="100" t="s">
        <v>119</v>
      </c>
      <c r="AR210" s="100" t="str">
        <f>VLOOKUP(Tabla156[[#This Row],[Matricula nueva]],'ALTA 20242025'!$B$2:$P$242,15,FALSE)</f>
        <v>4500424788</v>
      </c>
      <c r="AS210" s="101" t="s">
        <v>120</v>
      </c>
      <c r="AT210" s="101"/>
      <c r="AU210" s="101" t="s">
        <v>72</v>
      </c>
      <c r="AV210" s="101" t="s">
        <v>91</v>
      </c>
      <c r="AW210" s="101" t="str">
        <f>VLOOKUP(Tabla156[[#This Row],[Matricula nueva]],Hoja2!$A$1:$B$224,2,FALSE)</f>
        <v>VR7CBZYA5RT152213</v>
      </c>
      <c r="AX210" s="209">
        <f>IF(Tabla156[[#This Row],[Columna2]]="M1",5.1,"")</f>
        <v>5.0999999999999996</v>
      </c>
      <c r="AY210" s="208">
        <f>IF(T210="DIESEL",10,IF(T210="GLP",7.16,9.19))</f>
        <v>9.19</v>
      </c>
      <c r="AZ210" s="313">
        <v>16.399999999999999</v>
      </c>
      <c r="BA210" s="314">
        <f>IF(Tabla156[[#This Row],[Columna2]]="M1",13073,IF(Tabla156[[#This Row],[Columna2]]="N1",15815,IF(Tabla156[[#This Row],[Columna2]]="L3e",2831,53508)))</f>
        <v>13073</v>
      </c>
      <c r="BB210" s="350">
        <f>(Tabla156[[#This Row],[CVA]]*Tabla156[[#This Row],[F]]-Tabla156[[#This Row],[CVN]])/100*Tabla156[[#This Row],[L]]</f>
        <v>3983.2123699999993</v>
      </c>
      <c r="BC210" s="92" t="s">
        <v>70</v>
      </c>
      <c r="BD210" s="209">
        <f>VLOOKUP(B210,Tabla467824[[ID CAE2]:[AE '[kWh']]],6,FALSE)</f>
        <v>3826.5520744999999</v>
      </c>
      <c r="BE21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11" spans="1:57" ht="15.75" hidden="1" thickBot="1" x14ac:dyDescent="0.3">
      <c r="A211" s="53" t="s">
        <v>1333</v>
      </c>
      <c r="B211" s="53" t="e">
        <v>#N/A</v>
      </c>
      <c r="C211" s="96" t="s">
        <v>1334</v>
      </c>
      <c r="D211" s="96"/>
      <c r="E211" s="96"/>
      <c r="F211" s="96"/>
      <c r="G211" s="96"/>
      <c r="H211" s="96"/>
      <c r="I211" s="96"/>
      <c r="J211" s="96"/>
      <c r="K211" s="96" t="s">
        <v>73</v>
      </c>
      <c r="L211" s="96" t="s">
        <v>200</v>
      </c>
      <c r="M211" s="96" t="s">
        <v>201</v>
      </c>
      <c r="N211" s="96" t="s">
        <v>160</v>
      </c>
      <c r="O211" s="101">
        <f>VLOOKUP(Tabla156[[#This Row],[Matricula Antigua]],BAJA2022202320242025!$B$3:$CR$245,93,FALSE)</f>
        <v>44358</v>
      </c>
      <c r="P211" s="99">
        <v>45819</v>
      </c>
      <c r="Q211" s="99">
        <f>Tabla156[[#This Row],[F.Vig.Final]]-Tabla156[[#This Row],[f Vig Inicio]]</f>
        <v>1461</v>
      </c>
      <c r="R211" s="99">
        <f>YEAR(Tabla156[[#This Row],[F.Vig.Final]])</f>
        <v>2025</v>
      </c>
      <c r="S211" s="96" t="s">
        <v>161</v>
      </c>
      <c r="T211" s="96" t="s">
        <v>78</v>
      </c>
      <c r="U211" s="96" t="s">
        <v>85</v>
      </c>
      <c r="V211" s="96" t="s">
        <v>1335</v>
      </c>
      <c r="W211" s="96" t="s">
        <v>131</v>
      </c>
      <c r="X211" s="96" t="s">
        <v>132</v>
      </c>
      <c r="Y211" s="96" t="s">
        <v>135</v>
      </c>
      <c r="Z211" s="98">
        <f>COUNTIF($X$3:X211, X211)</f>
        <v>18</v>
      </c>
      <c r="AA211" s="98"/>
      <c r="AB211" s="98"/>
      <c r="AC211" s="98"/>
      <c r="AD211" s="98"/>
      <c r="AE211" s="322"/>
      <c r="AF211" s="98"/>
      <c r="AG211" s="98"/>
      <c r="AH211" s="98"/>
      <c r="AI211" s="98" t="e">
        <v>#N/A</v>
      </c>
      <c r="AJ211" s="98" t="e">
        <v>#N/A</v>
      </c>
      <c r="AK211" s="98" t="e">
        <v>#N/A</v>
      </c>
      <c r="AL211" s="98" t="e">
        <v>#N/A</v>
      </c>
      <c r="AM211" s="98" t="e">
        <v>#N/A</v>
      </c>
      <c r="AN211" s="99" t="e">
        <v>#N/A</v>
      </c>
      <c r="AO211" s="99" t="e">
        <v>#N/A</v>
      </c>
      <c r="AP211" s="99" t="e">
        <f>Tabla156[[#This Row],[Renov. Flota]]-Tabla156[[#This Row],[Año]]</f>
        <v>#N/A</v>
      </c>
      <c r="AQ211" s="100" t="e">
        <v>#N/A</v>
      </c>
      <c r="AR211" s="100" t="e">
        <f>VLOOKUP(Tabla156[[#This Row],[Matricula nueva]],'ALTA 20242025'!$B$2:$P$242,15,FALSE)</f>
        <v>#N/A</v>
      </c>
      <c r="AS211" s="101" t="e">
        <v>#N/A</v>
      </c>
      <c r="AT211" s="101"/>
      <c r="AU211" s="101"/>
      <c r="AV211" s="101"/>
      <c r="AW211" s="101" t="e">
        <f>VLOOKUP(Tabla156[[#This Row],[Matricula nueva]],Hoja2!$A$1:$B$224,2,FALSE)</f>
        <v>#N/A</v>
      </c>
      <c r="AX211" s="101" t="str">
        <f>IF(Tabla156[[#This Row],[Columna2]]="M1",5.1,"")</f>
        <v/>
      </c>
      <c r="AY211" s="101"/>
      <c r="AZ211" s="101"/>
      <c r="BA211" s="311">
        <f>IF(Tabla156[[#This Row],[Columna2]]="M1",13073,IF(Tabla156[[#This Row],[Columna2]]="N1",15815,IF(Tabla156[[#This Row],[Columna2]]="L3e",2831,53508)))</f>
        <v>53508</v>
      </c>
      <c r="BB211" s="311" t="e">
        <f>(Tabla156[[#This Row],[CVA]]*Tabla156[[#This Row],[F]]-Tabla156[[#This Row],[CVN]])/100*Tabla156[[#This Row],[L]]</f>
        <v>#VALUE!</v>
      </c>
      <c r="BC211" s="1"/>
      <c r="BD211" s="1" t="e">
        <f>VLOOKUP(B211,Tabla467824[[ID CAE2]:[AE '[kWh']]],6,FALSE)</f>
        <v>#N/A</v>
      </c>
      <c r="BE21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12" spans="1:57" ht="15.75" hidden="1" thickBot="1" x14ac:dyDescent="0.3">
      <c r="A212" s="53" t="s">
        <v>1336</v>
      </c>
      <c r="B212" s="53" t="e">
        <v>#N/A</v>
      </c>
      <c r="C212" s="96" t="s">
        <v>1337</v>
      </c>
      <c r="D212" s="96"/>
      <c r="E212" s="96"/>
      <c r="F212" s="96"/>
      <c r="G212" s="96"/>
      <c r="H212" s="96"/>
      <c r="I212" s="96"/>
      <c r="J212" s="96"/>
      <c r="K212" s="96" t="s">
        <v>158</v>
      </c>
      <c r="L212" s="96" t="s">
        <v>159</v>
      </c>
      <c r="M212" s="96" t="s">
        <v>158</v>
      </c>
      <c r="N212" s="96" t="s">
        <v>171</v>
      </c>
      <c r="O212" s="101">
        <f>VLOOKUP(Tabla156[[#This Row],[Matricula Antigua]],BAJA2022202320242025!$B$3:$CR$245,93,FALSE)</f>
        <v>45712</v>
      </c>
      <c r="P212" s="99">
        <v>45841</v>
      </c>
      <c r="Q212" s="99">
        <f>Tabla156[[#This Row],[F.Vig.Final]]-Tabla156[[#This Row],[f Vig Inicio]]</f>
        <v>129</v>
      </c>
      <c r="R212" s="99">
        <f>YEAR(Tabla156[[#This Row],[F.Vig.Final]])</f>
        <v>2025</v>
      </c>
      <c r="S212" s="96" t="s">
        <v>172</v>
      </c>
      <c r="T212" s="96" t="s">
        <v>71</v>
      </c>
      <c r="U212" s="96" t="s">
        <v>1338</v>
      </c>
      <c r="V212" s="96" t="s">
        <v>1338</v>
      </c>
      <c r="W212" s="96" t="s">
        <v>1339</v>
      </c>
      <c r="X212" s="96" t="s">
        <v>1340</v>
      </c>
      <c r="Y212" s="96" t="s">
        <v>1341</v>
      </c>
      <c r="Z212" s="98">
        <f>COUNTIF($X$3:X212, X212)</f>
        <v>1</v>
      </c>
      <c r="AA212" s="98"/>
      <c r="AB212" s="98"/>
      <c r="AC212" s="98"/>
      <c r="AD212" s="98"/>
      <c r="AE212" s="98"/>
      <c r="AF212" s="98"/>
      <c r="AG212" s="98"/>
      <c r="AH212" s="98"/>
      <c r="AI212" s="98" t="e">
        <v>#N/A</v>
      </c>
      <c r="AJ212" s="98" t="e">
        <v>#N/A</v>
      </c>
      <c r="AK212" s="98" t="e">
        <v>#N/A</v>
      </c>
      <c r="AL212" s="98" t="e">
        <v>#N/A</v>
      </c>
      <c r="AM212" s="98" t="e">
        <v>#N/A</v>
      </c>
      <c r="AN212" s="99" t="e">
        <v>#N/A</v>
      </c>
      <c r="AO212" s="99" t="e">
        <v>#N/A</v>
      </c>
      <c r="AP212" s="99" t="e">
        <f>Tabla156[[#This Row],[Renov. Flota]]-Tabla156[[#This Row],[Año]]</f>
        <v>#N/A</v>
      </c>
      <c r="AQ212" s="100" t="e">
        <v>#N/A</v>
      </c>
      <c r="AR212" s="100" t="e">
        <f>VLOOKUP(Tabla156[[#This Row],[Matricula nueva]],'ALTA 20242025'!$B$2:$P$242,15,FALSE)</f>
        <v>#N/A</v>
      </c>
      <c r="AS212" s="101" t="e">
        <v>#N/A</v>
      </c>
      <c r="AT212" s="101"/>
      <c r="AU212" s="101"/>
      <c r="AV212" s="101"/>
      <c r="AW212" s="101" t="e">
        <f>VLOOKUP(Tabla156[[#This Row],[Matricula nueva]],Hoja2!$A$1:$B$224,2,FALSE)</f>
        <v>#N/A</v>
      </c>
      <c r="AX212" s="101" t="str">
        <f>IF(Tabla156[[#This Row],[Columna2]]="M1",5.1,"")</f>
        <v/>
      </c>
      <c r="AY212" s="101"/>
      <c r="AZ212" s="101"/>
      <c r="BA212" s="311">
        <f>IF(Tabla156[[#This Row],[Columna2]]="M1",13073,IF(Tabla156[[#This Row],[Columna2]]="N1",15815,IF(Tabla156[[#This Row],[Columna2]]="L3e",2831,53508)))</f>
        <v>53508</v>
      </c>
      <c r="BB212" s="311" t="e">
        <f>(Tabla156[[#This Row],[CVA]]*Tabla156[[#This Row],[F]]-Tabla156[[#This Row],[CVN]])/100*Tabla156[[#This Row],[L]]</f>
        <v>#VALUE!</v>
      </c>
      <c r="BC212" s="1"/>
      <c r="BD212" s="1" t="e">
        <f>VLOOKUP(B212,Tabla467824[[ID CAE2]:[AE '[kWh']]],6,FALSE)</f>
        <v>#N/A</v>
      </c>
      <c r="BE21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13" spans="1:57" ht="15.75" hidden="1" thickBot="1" x14ac:dyDescent="0.3">
      <c r="A213" s="53" t="s">
        <v>1342</v>
      </c>
      <c r="B213" s="53" t="e">
        <v>#N/A</v>
      </c>
      <c r="C213" s="96" t="s">
        <v>1343</v>
      </c>
      <c r="D213" s="96"/>
      <c r="E213" s="96"/>
      <c r="F213" s="96"/>
      <c r="G213" s="96"/>
      <c r="H213" s="96"/>
      <c r="I213" s="96"/>
      <c r="J213" s="96"/>
      <c r="K213" s="96" t="s">
        <v>158</v>
      </c>
      <c r="L213" s="96" t="s">
        <v>159</v>
      </c>
      <c r="M213" s="96" t="s">
        <v>158</v>
      </c>
      <c r="N213" s="96" t="s">
        <v>171</v>
      </c>
      <c r="O213" s="101">
        <f>VLOOKUP(Tabla156[[#This Row],[Matricula Antigua]],BAJA2022202320242025!$B$3:$CR$245,93,FALSE)</f>
        <v>45712</v>
      </c>
      <c r="P213" s="99">
        <v>45841</v>
      </c>
      <c r="Q213" s="99">
        <f>Tabla156[[#This Row],[F.Vig.Final]]-Tabla156[[#This Row],[f Vig Inicio]]</f>
        <v>129</v>
      </c>
      <c r="R213" s="99">
        <f>YEAR(Tabla156[[#This Row],[F.Vig.Final]])</f>
        <v>2025</v>
      </c>
      <c r="S213" s="96" t="s">
        <v>172</v>
      </c>
      <c r="T213" s="96" t="s">
        <v>71</v>
      </c>
      <c r="U213" s="96" t="s">
        <v>1338</v>
      </c>
      <c r="V213" s="96" t="s">
        <v>1338</v>
      </c>
      <c r="W213" s="96" t="s">
        <v>1339</v>
      </c>
      <c r="X213" s="96" t="s">
        <v>1340</v>
      </c>
      <c r="Y213" s="96" t="s">
        <v>1341</v>
      </c>
      <c r="Z213" s="98">
        <f>COUNTIF($X$3:X213, X213)</f>
        <v>2</v>
      </c>
      <c r="AA213" s="98"/>
      <c r="AB213" s="98"/>
      <c r="AC213" s="98"/>
      <c r="AD213" s="98"/>
      <c r="AE213" s="320"/>
      <c r="AF213" s="98"/>
      <c r="AG213" s="98"/>
      <c r="AH213" s="98"/>
      <c r="AI213" s="98" t="e">
        <v>#N/A</v>
      </c>
      <c r="AJ213" s="98" t="e">
        <v>#N/A</v>
      </c>
      <c r="AK213" s="98" t="e">
        <v>#N/A</v>
      </c>
      <c r="AL213" s="98" t="e">
        <v>#N/A</v>
      </c>
      <c r="AM213" s="98" t="e">
        <v>#N/A</v>
      </c>
      <c r="AN213" s="99" t="e">
        <v>#N/A</v>
      </c>
      <c r="AO213" s="99" t="e">
        <v>#N/A</v>
      </c>
      <c r="AP213" s="99" t="e">
        <f>Tabla156[[#This Row],[Renov. Flota]]-Tabla156[[#This Row],[Año]]</f>
        <v>#N/A</v>
      </c>
      <c r="AQ213" s="100" t="e">
        <v>#N/A</v>
      </c>
      <c r="AR213" s="100" t="e">
        <f>VLOOKUP(Tabla156[[#This Row],[Matricula nueva]],'ALTA 20242025'!$B$2:$P$242,15,FALSE)</f>
        <v>#N/A</v>
      </c>
      <c r="AS213" s="101" t="e">
        <v>#N/A</v>
      </c>
      <c r="AT213" s="101"/>
      <c r="AU213" s="101"/>
      <c r="AV213" s="101"/>
      <c r="AW213" s="101" t="e">
        <f>VLOOKUP(Tabla156[[#This Row],[Matricula nueva]],Hoja2!$A$1:$B$224,2,FALSE)</f>
        <v>#N/A</v>
      </c>
      <c r="AX213" s="101" t="str">
        <f>IF(Tabla156[[#This Row],[Columna2]]="M1",5.1,"")</f>
        <v/>
      </c>
      <c r="AY213" s="101"/>
      <c r="AZ213" s="101"/>
      <c r="BA213" s="311">
        <f>IF(Tabla156[[#This Row],[Columna2]]="M1",13073,IF(Tabla156[[#This Row],[Columna2]]="N1",15815,IF(Tabla156[[#This Row],[Columna2]]="L3e",2831,53508)))</f>
        <v>53508</v>
      </c>
      <c r="BB213" s="311" t="e">
        <f>(Tabla156[[#This Row],[CVA]]*Tabla156[[#This Row],[F]]-Tabla156[[#This Row],[CVN]])/100*Tabla156[[#This Row],[L]]</f>
        <v>#VALUE!</v>
      </c>
      <c r="BC213" s="1"/>
      <c r="BD213" s="1" t="e">
        <f>VLOOKUP(B213,Tabla467824[[ID CAE2]:[AE '[kWh']]],6,FALSE)</f>
        <v>#N/A</v>
      </c>
      <c r="BE21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14" spans="1:57" ht="52.5" thickBot="1" x14ac:dyDescent="0.3">
      <c r="A214" s="53" t="s">
        <v>1039</v>
      </c>
      <c r="B214" s="53" t="s">
        <v>1039</v>
      </c>
      <c r="C214" s="332" t="s">
        <v>1040</v>
      </c>
      <c r="D214" s="104" t="s">
        <v>72</v>
      </c>
      <c r="E214" s="104" t="s">
        <v>72</v>
      </c>
      <c r="F214" s="104" t="s">
        <v>72</v>
      </c>
      <c r="G214" s="104"/>
      <c r="H214" s="104" t="s">
        <v>72</v>
      </c>
      <c r="I214" s="104" t="s">
        <v>72</v>
      </c>
      <c r="J214" s="104"/>
      <c r="K214" s="96" t="s">
        <v>1034</v>
      </c>
      <c r="L214" s="96" t="s">
        <v>200</v>
      </c>
      <c r="M214" s="96" t="s">
        <v>201</v>
      </c>
      <c r="N214" s="96" t="s">
        <v>76</v>
      </c>
      <c r="O214" s="101">
        <f>VLOOKUP(Tabla156[[#This Row],[Matricula Antigua]],BAJA2022202320242025!$B$3:$CR$245,93,FALSE)</f>
        <v>43695</v>
      </c>
      <c r="P214" s="316">
        <v>45217</v>
      </c>
      <c r="Q214" s="317">
        <f>Tabla156[[#This Row],[F.Vig.Final]]-Tabla156[[#This Row],[f Vig Inicio]]</f>
        <v>1522</v>
      </c>
      <c r="R214" s="318">
        <f>YEAR(Tabla156[[#This Row],[F.Vig.Final]])</f>
        <v>2023</v>
      </c>
      <c r="S214" s="96" t="s">
        <v>77</v>
      </c>
      <c r="T214" s="96" t="s">
        <v>202</v>
      </c>
      <c r="U214" s="96" t="s">
        <v>416</v>
      </c>
      <c r="V214" s="96" t="s">
        <v>1035</v>
      </c>
      <c r="W214" s="96" t="s">
        <v>119</v>
      </c>
      <c r="X214" s="332" t="s">
        <v>1674</v>
      </c>
      <c r="Y214" s="96" t="s">
        <v>1041</v>
      </c>
      <c r="Z214" s="98">
        <f>COUNTIF($X$3:X214, X214)</f>
        <v>25</v>
      </c>
      <c r="AA214" s="337" t="s">
        <v>1661</v>
      </c>
      <c r="AB214" s="337" t="s">
        <v>1661</v>
      </c>
      <c r="AC214" s="337" t="s">
        <v>1662</v>
      </c>
      <c r="AD214" s="337" t="s">
        <v>1663</v>
      </c>
      <c r="AE214" s="342" t="s">
        <v>1664</v>
      </c>
      <c r="AF214" s="337" t="s">
        <v>1665</v>
      </c>
      <c r="AG214" s="337" t="s">
        <v>1666</v>
      </c>
      <c r="AH214" s="337" t="s">
        <v>1649</v>
      </c>
      <c r="AI214" s="337" t="s">
        <v>1042</v>
      </c>
      <c r="AJ214" s="98" t="s">
        <v>85</v>
      </c>
      <c r="AK214" s="98" t="s">
        <v>86</v>
      </c>
      <c r="AL214" s="98" t="s">
        <v>87</v>
      </c>
      <c r="AM214" s="101" t="s">
        <v>368</v>
      </c>
      <c r="AN214" s="348" t="s">
        <v>89</v>
      </c>
      <c r="AO214" s="349">
        <v>45645</v>
      </c>
      <c r="AP214" s="98">
        <f>Tabla156[[#This Row],[Renov. Flota]]-Tabla156[[#This Row],[Año]]</f>
        <v>1</v>
      </c>
      <c r="AQ214" s="100" t="s">
        <v>119</v>
      </c>
      <c r="AR214" s="100" t="str">
        <f>VLOOKUP(Tabla156[[#This Row],[Matricula nueva]],'ALTA 20242025'!$B$2:$P$242,15,FALSE)</f>
        <v>4500426793</v>
      </c>
      <c r="AS214" s="101" t="s">
        <v>120</v>
      </c>
      <c r="AT214" s="101"/>
      <c r="AU214" s="101" t="s">
        <v>72</v>
      </c>
      <c r="AV214" s="101" t="s">
        <v>91</v>
      </c>
      <c r="AW214" s="101" t="str">
        <f>VLOOKUP(Tabla156[[#This Row],[Matricula nueva]],Hoja2!$A$1:$B$224,2,FALSE)</f>
        <v>VF1RFK00573824892</v>
      </c>
      <c r="AX214" s="209">
        <f>IF(Tabla156[[#This Row],[Columna2]]="M1",5.1,"")</f>
        <v>5.0999999999999996</v>
      </c>
      <c r="AY214" s="208">
        <f>IF(T214="DIESEL",10,IF(T214="GLP",7.16,9.19))</f>
        <v>9.19</v>
      </c>
      <c r="AZ214" s="313">
        <v>17.3</v>
      </c>
      <c r="BA214" s="314">
        <f>IF(Tabla156[[#This Row],[Columna2]]="M1",13073,IF(Tabla156[[#This Row],[Columna2]]="N1",15815,IF(Tabla156[[#This Row],[Columna2]]="L3e",2831,53508)))</f>
        <v>13073</v>
      </c>
      <c r="BB214" s="350">
        <f>(Tabla156[[#This Row],[CVA]]*Tabla156[[#This Row],[F]]-Tabla156[[#This Row],[CVN]])/100*Tabla156[[#This Row],[L]]</f>
        <v>3865.5553699999987</v>
      </c>
      <c r="BC214" s="92" t="s">
        <v>70</v>
      </c>
      <c r="BD214" s="209">
        <f>VLOOKUP(B214,Tabla467824[[ID CAE2]:[AE '[kWh']]],6,FALSE)</f>
        <v>6795.3454000000002</v>
      </c>
      <c r="BE21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15" spans="1:57" ht="15.75" hidden="1" thickBot="1" x14ac:dyDescent="0.3">
      <c r="A215" s="53" t="s">
        <v>1344</v>
      </c>
      <c r="B215" s="53" t="e">
        <v>#N/A</v>
      </c>
      <c r="C215" s="96" t="s">
        <v>1345</v>
      </c>
      <c r="D215" s="96"/>
      <c r="E215" s="96"/>
      <c r="F215" s="96"/>
      <c r="G215" s="96"/>
      <c r="H215" s="96"/>
      <c r="I215" s="96"/>
      <c r="J215" s="96"/>
      <c r="K215" s="96" t="s">
        <v>158</v>
      </c>
      <c r="L215" s="96" t="s">
        <v>159</v>
      </c>
      <c r="M215" s="96" t="s">
        <v>158</v>
      </c>
      <c r="N215" s="96" t="s">
        <v>171</v>
      </c>
      <c r="O215" s="101">
        <f>VLOOKUP(Tabla156[[#This Row],[Matricula Antigua]],BAJA2022202320242025!$B$3:$CR$245,93,FALSE)</f>
        <v>45712</v>
      </c>
      <c r="P215" s="99">
        <v>45841</v>
      </c>
      <c r="Q215" s="99">
        <f>Tabla156[[#This Row],[F.Vig.Final]]-Tabla156[[#This Row],[f Vig Inicio]]</f>
        <v>129</v>
      </c>
      <c r="R215" s="99">
        <f>YEAR(Tabla156[[#This Row],[F.Vig.Final]])</f>
        <v>2025</v>
      </c>
      <c r="S215" s="96" t="s">
        <v>172</v>
      </c>
      <c r="T215" s="96" t="s">
        <v>71</v>
      </c>
      <c r="U215" s="96" t="s">
        <v>1338</v>
      </c>
      <c r="V215" s="96" t="s">
        <v>1338</v>
      </c>
      <c r="W215" s="96" t="s">
        <v>336</v>
      </c>
      <c r="X215" s="96" t="s">
        <v>337</v>
      </c>
      <c r="Y215" s="96" t="s">
        <v>1346</v>
      </c>
      <c r="Z215" s="98">
        <f>COUNTIF($X$3:X215, X215)</f>
        <v>15</v>
      </c>
      <c r="AA215" s="98"/>
      <c r="AB215" s="98"/>
      <c r="AC215" s="98"/>
      <c r="AD215" s="98"/>
      <c r="AE215" s="322"/>
      <c r="AF215" s="98"/>
      <c r="AG215" s="98"/>
      <c r="AH215" s="98"/>
      <c r="AI215" s="98" t="e">
        <v>#N/A</v>
      </c>
      <c r="AJ215" s="98" t="e">
        <v>#N/A</v>
      </c>
      <c r="AK215" s="98" t="e">
        <v>#N/A</v>
      </c>
      <c r="AL215" s="98" t="e">
        <v>#N/A</v>
      </c>
      <c r="AM215" s="98" t="e">
        <v>#N/A</v>
      </c>
      <c r="AN215" s="99" t="e">
        <v>#N/A</v>
      </c>
      <c r="AO215" s="99" t="e">
        <v>#N/A</v>
      </c>
      <c r="AP215" s="99" t="e">
        <f>Tabla156[[#This Row],[Renov. Flota]]-Tabla156[[#This Row],[Año]]</f>
        <v>#N/A</v>
      </c>
      <c r="AQ215" s="100" t="e">
        <v>#N/A</v>
      </c>
      <c r="AR215" s="100" t="e">
        <f>VLOOKUP(Tabla156[[#This Row],[Matricula nueva]],'ALTA 20242025'!$B$2:$P$242,15,FALSE)</f>
        <v>#N/A</v>
      </c>
      <c r="AS215" s="101" t="e">
        <v>#N/A</v>
      </c>
      <c r="AT215" s="101"/>
      <c r="AU215" s="101"/>
      <c r="AV215" s="101"/>
      <c r="AW215" s="101" t="e">
        <f>VLOOKUP(Tabla156[[#This Row],[Matricula nueva]],Hoja2!$A$1:$B$224,2,FALSE)</f>
        <v>#N/A</v>
      </c>
      <c r="AX215" s="101" t="str">
        <f>IF(Tabla156[[#This Row],[Columna2]]="M1",5.1,"")</f>
        <v/>
      </c>
      <c r="AY215" s="101"/>
      <c r="AZ215" s="101"/>
      <c r="BA215" s="311">
        <f>IF(Tabla156[[#This Row],[Columna2]]="M1",13073,IF(Tabla156[[#This Row],[Columna2]]="N1",15815,IF(Tabla156[[#This Row],[Columna2]]="L3e",2831,53508)))</f>
        <v>53508</v>
      </c>
      <c r="BB215" s="311" t="e">
        <f>(Tabla156[[#This Row],[CVA]]*Tabla156[[#This Row],[F]]-Tabla156[[#This Row],[CVN]])/100*Tabla156[[#This Row],[L]]</f>
        <v>#VALUE!</v>
      </c>
      <c r="BC215" s="1"/>
      <c r="BD215" s="1" t="e">
        <f>VLOOKUP(B215,Tabla467824[[ID CAE2]:[AE '[kWh']]],6,FALSE)</f>
        <v>#N/A</v>
      </c>
      <c r="BE21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16" spans="1:57" ht="60.75" thickBot="1" x14ac:dyDescent="0.3">
      <c r="A216" s="53" t="s">
        <v>1046</v>
      </c>
      <c r="B216" s="53" t="s">
        <v>1046</v>
      </c>
      <c r="C216" s="332" t="s">
        <v>1047</v>
      </c>
      <c r="D216" s="104" t="s">
        <v>72</v>
      </c>
      <c r="E216" s="104"/>
      <c r="F216" s="104"/>
      <c r="G216" s="104" t="s">
        <v>72</v>
      </c>
      <c r="H216" s="104" t="s">
        <v>72</v>
      </c>
      <c r="I216" s="104" t="s">
        <v>72</v>
      </c>
      <c r="J216" s="104"/>
      <c r="K216" s="96" t="s">
        <v>158</v>
      </c>
      <c r="L216" s="96" t="s">
        <v>159</v>
      </c>
      <c r="M216" s="96" t="s">
        <v>158</v>
      </c>
      <c r="N216" s="96" t="s">
        <v>171</v>
      </c>
      <c r="O216" s="99">
        <f>VLOOKUP(Tabla156[[#This Row],[Matricula Antigua]],BAJA2022202320242025!$B$3:$CR$245,93,FALSE)</f>
        <v>43475</v>
      </c>
      <c r="P216" s="316">
        <v>45124</v>
      </c>
      <c r="Q216" s="317">
        <f>Tabla156[[#This Row],[F.Vig.Final]]-Tabla156[[#This Row],[f Vig Inicio]]</f>
        <v>1649</v>
      </c>
      <c r="R216" s="318">
        <f>YEAR(Tabla156[[#This Row],[F.Vig.Final]])</f>
        <v>2023</v>
      </c>
      <c r="S216" s="96" t="s">
        <v>172</v>
      </c>
      <c r="T216" s="96" t="s">
        <v>78</v>
      </c>
      <c r="U216" s="96" t="s">
        <v>1048</v>
      </c>
      <c r="V216" s="96" t="s">
        <v>1049</v>
      </c>
      <c r="W216" s="96" t="s">
        <v>1050</v>
      </c>
      <c r="X216" s="332" t="s">
        <v>1051</v>
      </c>
      <c r="Y216" s="96" t="s">
        <v>1052</v>
      </c>
      <c r="Z216" s="98">
        <f>COUNTIF($X$3:X216, X216)</f>
        <v>7</v>
      </c>
      <c r="AA216" s="337" t="s">
        <v>1704</v>
      </c>
      <c r="AB216" s="337" t="s">
        <v>1704</v>
      </c>
      <c r="AC216" s="337" t="s">
        <v>1705</v>
      </c>
      <c r="AD216" s="341" t="s">
        <v>1706</v>
      </c>
      <c r="AE216" s="347" t="s">
        <v>1707</v>
      </c>
      <c r="AF216" s="337" t="s">
        <v>1708</v>
      </c>
      <c r="AG216" s="337" t="s">
        <v>1709</v>
      </c>
      <c r="AH216" s="337" t="s">
        <v>1649</v>
      </c>
      <c r="AI216" s="337" t="s">
        <v>1053</v>
      </c>
      <c r="AJ216" s="98" t="s">
        <v>85</v>
      </c>
      <c r="AK216" s="98" t="s">
        <v>86</v>
      </c>
      <c r="AL216" s="98" t="s">
        <v>87</v>
      </c>
      <c r="AM216" s="101" t="s">
        <v>1054</v>
      </c>
      <c r="AN216" s="348" t="s">
        <v>547</v>
      </c>
      <c r="AO216" s="349">
        <v>45671</v>
      </c>
      <c r="AP216" s="98">
        <f>Tabla156[[#This Row],[Renov. Flota]]-Tabla156[[#This Row],[Año]]</f>
        <v>2</v>
      </c>
      <c r="AQ216" s="100" t="s">
        <v>1050</v>
      </c>
      <c r="AR216" s="100" t="str">
        <f>VLOOKUP(Tabla156[[#This Row],[Matricula nueva]],'ALTA 20242025'!$B$2:$P$242,15,FALSE)</f>
        <v>4500426789</v>
      </c>
      <c r="AS216" s="101" t="s">
        <v>1051</v>
      </c>
      <c r="AT216" s="101"/>
      <c r="AU216" s="101" t="s">
        <v>72</v>
      </c>
      <c r="AV216" s="101" t="s">
        <v>1056</v>
      </c>
      <c r="AW216" s="101" t="str">
        <f>VLOOKUP(Tabla156[[#This Row],[Matricula nueva]],Hoja2!$A$1:$B$224,2,FALSE)</f>
        <v>VF1RFK00673824884</v>
      </c>
      <c r="AX216" s="209">
        <v>35</v>
      </c>
      <c r="AY216" s="208">
        <f>IF(T216="DIESEL",10,IF(T216="GLP",7.16,9.19))</f>
        <v>10</v>
      </c>
      <c r="AZ216" s="313">
        <v>17.3</v>
      </c>
      <c r="BA216" s="314">
        <f>IF(Tabla156[[#This Row],[Columna2]]="M1",13073,IF(Tabla156[[#This Row],[Columna2]]="N1",15815,IF(Tabla156[[#This Row],[Columna2]]="L3e",2831,53508)))</f>
        <v>53508</v>
      </c>
      <c r="BB216" s="350">
        <f>(Tabla156[[#This Row],[CVA]]*Tabla156[[#This Row],[F]]-Tabla156[[#This Row],[CVN]])/100*Tabla156[[#This Row],[L]]</f>
        <v>178021.11600000001</v>
      </c>
      <c r="BC216" s="92" t="s">
        <v>516</v>
      </c>
      <c r="BD216" s="209">
        <f>VLOOKUP(B216,Tabla467824[[ID CAE2]:[AE '[kWh']]],6,FALSE)</f>
        <v>123854.9676</v>
      </c>
      <c r="BE21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217" spans="1:57" ht="15.75" hidden="1" thickBot="1" x14ac:dyDescent="0.3">
      <c r="A217" s="53" t="s">
        <v>1058</v>
      </c>
      <c r="B217" s="53" t="s">
        <v>1058</v>
      </c>
      <c r="C217" s="96" t="s">
        <v>1347</v>
      </c>
      <c r="D217" s="96"/>
      <c r="E217" s="96"/>
      <c r="F217" s="96"/>
      <c r="G217" s="96"/>
      <c r="H217" s="96"/>
      <c r="I217" s="96"/>
      <c r="J217" s="96"/>
      <c r="K217" s="96" t="s">
        <v>73</v>
      </c>
      <c r="L217" s="96" t="s">
        <v>200</v>
      </c>
      <c r="M217" s="96" t="s">
        <v>201</v>
      </c>
      <c r="N217" s="96" t="s">
        <v>76</v>
      </c>
      <c r="O217" s="101">
        <f>VLOOKUP(Tabla156[[#This Row],[Matricula Antigua]],BAJA2022202320242025!$B$3:$CR$245,93,FALSE)</f>
        <v>44475</v>
      </c>
      <c r="P217" s="99">
        <v>45936</v>
      </c>
      <c r="Q217" s="99">
        <f>Tabla156[[#This Row],[F.Vig.Final]]-Tabla156[[#This Row],[f Vig Inicio]]</f>
        <v>1461</v>
      </c>
      <c r="R217" s="99">
        <f>YEAR(Tabla156[[#This Row],[F.Vig.Final]])</f>
        <v>2025</v>
      </c>
      <c r="S217" s="96" t="s">
        <v>77</v>
      </c>
      <c r="T217" s="96" t="s">
        <v>674</v>
      </c>
      <c r="U217" s="96" t="s">
        <v>1348</v>
      </c>
      <c r="V217" s="96" t="s">
        <v>1349</v>
      </c>
      <c r="W217" s="96" t="s">
        <v>131</v>
      </c>
      <c r="X217" s="96" t="s">
        <v>132</v>
      </c>
      <c r="Y217" s="96" t="s">
        <v>316</v>
      </c>
      <c r="Z217" s="98">
        <f>COUNTIF($X$3:X217, X217)</f>
        <v>19</v>
      </c>
      <c r="AA217" s="98"/>
      <c r="AB217" s="98"/>
      <c r="AC217" s="98"/>
      <c r="AD217" s="98"/>
      <c r="AE217" s="98"/>
      <c r="AF217" s="98"/>
      <c r="AG217" s="98"/>
      <c r="AH217" s="98"/>
      <c r="AI217" s="98" t="e">
        <v>#N/A</v>
      </c>
      <c r="AJ217" s="98" t="e">
        <v>#N/A</v>
      </c>
      <c r="AK217" s="98" t="e">
        <v>#N/A</v>
      </c>
      <c r="AL217" s="98" t="e">
        <v>#N/A</v>
      </c>
      <c r="AM217" s="98" t="e">
        <v>#N/A</v>
      </c>
      <c r="AN217" s="99" t="e">
        <v>#N/A</v>
      </c>
      <c r="AO217" s="99" t="e">
        <v>#N/A</v>
      </c>
      <c r="AP217" s="99" t="e">
        <f>Tabla156[[#This Row],[Renov. Flota]]-Tabla156[[#This Row],[Año]]</f>
        <v>#N/A</v>
      </c>
      <c r="AQ217" s="100" t="e">
        <v>#N/A</v>
      </c>
      <c r="AR217" s="100" t="e">
        <f>VLOOKUP(Tabla156[[#This Row],[Matricula nueva]],'ALTA 20242025'!$B$2:$P$242,15,FALSE)</f>
        <v>#N/A</v>
      </c>
      <c r="AS217" s="101" t="e">
        <v>#N/A</v>
      </c>
      <c r="AT217" s="101"/>
      <c r="AU217" s="101"/>
      <c r="AV217" s="101"/>
      <c r="AW217" s="101" t="e">
        <f>VLOOKUP(Tabla156[[#This Row],[Matricula nueva]],Hoja2!$A$1:$B$224,2,FALSE)</f>
        <v>#N/A</v>
      </c>
      <c r="AX217" s="101" t="str">
        <f>IF(Tabla156[[#This Row],[Columna2]]="M1",5.1,"")</f>
        <v/>
      </c>
      <c r="AY217" s="101"/>
      <c r="AZ217" s="101"/>
      <c r="BA217" s="311">
        <f>IF(Tabla156[[#This Row],[Columna2]]="M1",13073,IF(Tabla156[[#This Row],[Columna2]]="N1",15815,IF(Tabla156[[#This Row],[Columna2]]="L3e",2831,53508)))</f>
        <v>53508</v>
      </c>
      <c r="BB217" s="311" t="e">
        <f>(Tabla156[[#This Row],[CVA]]*Tabla156[[#This Row],[F]]-Tabla156[[#This Row],[CVN]])/100*Tabla156[[#This Row],[L]]</f>
        <v>#VALUE!</v>
      </c>
      <c r="BC217" s="1"/>
      <c r="BD217" s="1">
        <f>VLOOKUP(B217,Tabla467824[[ID CAE2]:[AE '[kWh']]],6,FALSE)</f>
        <v>123854.9676</v>
      </c>
      <c r="BE21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18" spans="1:57" ht="13.5" hidden="1" thickBot="1" x14ac:dyDescent="0.25">
      <c r="A218" s="101"/>
      <c r="B218" s="101"/>
      <c r="C218" s="96" t="s">
        <v>1350</v>
      </c>
      <c r="D218" s="96"/>
      <c r="E218" s="96"/>
      <c r="F218" s="96"/>
      <c r="G218" s="96"/>
      <c r="H218" s="96"/>
      <c r="I218" s="96"/>
      <c r="J218" s="96"/>
      <c r="K218" s="96" t="s">
        <v>73</v>
      </c>
      <c r="L218" s="96" t="s">
        <v>200</v>
      </c>
      <c r="M218" s="96" t="s">
        <v>201</v>
      </c>
      <c r="N218" s="96" t="s">
        <v>160</v>
      </c>
      <c r="O218" s="101">
        <f>VLOOKUP(Tabla156[[#This Row],[Matricula Antigua]],BAJA2022202320242025!$B$3:$CR$245,93,FALSE)</f>
        <v>44153</v>
      </c>
      <c r="P218" s="99">
        <v>45979</v>
      </c>
      <c r="Q218" s="99">
        <f>Tabla156[[#This Row],[F.Vig.Final]]-Tabla156[[#This Row],[f Vig Inicio]]</f>
        <v>1826</v>
      </c>
      <c r="R218" s="99">
        <f>YEAR(Tabla156[[#This Row],[F.Vig.Final]])</f>
        <v>2025</v>
      </c>
      <c r="S218" s="96" t="s">
        <v>161</v>
      </c>
      <c r="T218" s="96" t="s">
        <v>78</v>
      </c>
      <c r="U218" s="96" t="s">
        <v>85</v>
      </c>
      <c r="V218" s="96" t="s">
        <v>1351</v>
      </c>
      <c r="W218" s="96" t="s">
        <v>119</v>
      </c>
      <c r="X218" s="96" t="s">
        <v>120</v>
      </c>
      <c r="Y218" s="96" t="s">
        <v>617</v>
      </c>
      <c r="Z218" s="98">
        <f>COUNTIF($X$3:X218, X218)</f>
        <v>1</v>
      </c>
      <c r="AA218" s="98"/>
      <c r="AB218" s="98"/>
      <c r="AC218" s="98"/>
      <c r="AD218" s="98"/>
      <c r="AE218" s="98"/>
      <c r="AF218" s="98"/>
      <c r="AG218" s="98"/>
      <c r="AH218" s="98"/>
      <c r="AI218" s="98" t="e">
        <v>#N/A</v>
      </c>
      <c r="AJ218" s="98" t="e">
        <v>#N/A</v>
      </c>
      <c r="AK218" s="98" t="e">
        <v>#N/A</v>
      </c>
      <c r="AL218" s="98" t="e">
        <v>#N/A</v>
      </c>
      <c r="AM218" s="98" t="e">
        <v>#N/A</v>
      </c>
      <c r="AN218" s="99" t="e">
        <v>#N/A</v>
      </c>
      <c r="AO218" s="99" t="e">
        <v>#N/A</v>
      </c>
      <c r="AP218" s="99" t="e">
        <f>Tabla156[[#This Row],[Renov. Flota]]-Tabla156[[#This Row],[Año]]</f>
        <v>#N/A</v>
      </c>
      <c r="AQ218" s="100" t="e">
        <v>#N/A</v>
      </c>
      <c r="AR218" s="100" t="e">
        <f>VLOOKUP(Tabla156[[#This Row],[Matricula nueva]],'ALTA 20242025'!$B$2:$P$242,15,FALSE)</f>
        <v>#N/A</v>
      </c>
      <c r="AS218" s="101" t="e">
        <v>#N/A</v>
      </c>
      <c r="AT218" s="101"/>
      <c r="AU218" s="101"/>
      <c r="AV218" s="101"/>
      <c r="AW218" s="101" t="e">
        <f>VLOOKUP(Tabla156[[#This Row],[Matricula nueva]],Hoja2!$A$1:$B$224,2,FALSE)</f>
        <v>#N/A</v>
      </c>
      <c r="AX218" s="101" t="str">
        <f>IF(Tabla156[[#This Row],[Columna2]]="M1",5.1,"")</f>
        <v/>
      </c>
      <c r="AY218" s="101"/>
      <c r="AZ218" s="101"/>
      <c r="BA218" s="311">
        <f>IF(Tabla156[[#This Row],[Columna2]]="M1",13073,IF(Tabla156[[#This Row],[Columna2]]="N1",15815,IF(Tabla156[[#This Row],[Columna2]]="L3e",2831,53508)))</f>
        <v>53508</v>
      </c>
      <c r="BB218" s="311" t="e">
        <f>(Tabla156[[#This Row],[CVA]]*Tabla156[[#This Row],[F]]-Tabla156[[#This Row],[CVN]])/100*Tabla156[[#This Row],[L]]</f>
        <v>#VALUE!</v>
      </c>
      <c r="BC218" s="1"/>
      <c r="BD218" s="1" t="e">
        <f>VLOOKUP(B218,Tabla467824[[ID CAE2]:[AE '[kWh']]],6,FALSE)</f>
        <v>#N/A</v>
      </c>
      <c r="BE21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19" spans="1:57" ht="60.75" thickBot="1" x14ac:dyDescent="0.3">
      <c r="A219" s="53" t="s">
        <v>1058</v>
      </c>
      <c r="B219" s="53" t="s">
        <v>1058</v>
      </c>
      <c r="C219" s="332" t="s">
        <v>1059</v>
      </c>
      <c r="D219" s="104" t="s">
        <v>72</v>
      </c>
      <c r="E219" s="104"/>
      <c r="F219" s="104"/>
      <c r="G219" s="104" t="s">
        <v>72</v>
      </c>
      <c r="H219" s="104" t="s">
        <v>72</v>
      </c>
      <c r="I219" s="104" t="s">
        <v>72</v>
      </c>
      <c r="J219" s="104"/>
      <c r="K219" s="96" t="s">
        <v>158</v>
      </c>
      <c r="L219" s="96" t="s">
        <v>159</v>
      </c>
      <c r="M219" s="96" t="s">
        <v>158</v>
      </c>
      <c r="N219" s="96" t="s">
        <v>171</v>
      </c>
      <c r="O219" s="99">
        <f>VLOOKUP(Tabla156[[#This Row],[Matricula Antigua]],BAJA2022202320242025!$B$3:$CR$245,93,FALSE)</f>
        <v>43601</v>
      </c>
      <c r="P219" s="316">
        <v>45124</v>
      </c>
      <c r="Q219" s="317">
        <f>Tabla156[[#This Row],[F.Vig.Final]]-Tabla156[[#This Row],[f Vig Inicio]]</f>
        <v>1523</v>
      </c>
      <c r="R219" s="318">
        <f>YEAR(Tabla156[[#This Row],[F.Vig.Final]])</f>
        <v>2023</v>
      </c>
      <c r="S219" s="96" t="s">
        <v>172</v>
      </c>
      <c r="T219" s="96" t="s">
        <v>78</v>
      </c>
      <c r="U219" s="96" t="s">
        <v>887</v>
      </c>
      <c r="V219" s="96" t="s">
        <v>1060</v>
      </c>
      <c r="W219" s="96" t="s">
        <v>1050</v>
      </c>
      <c r="X219" s="332" t="s">
        <v>1051</v>
      </c>
      <c r="Y219" s="96" t="s">
        <v>1052</v>
      </c>
      <c r="Z219" s="98">
        <f>COUNTIF($X$3:X219, X219)</f>
        <v>8</v>
      </c>
      <c r="AA219" s="337" t="s">
        <v>1704</v>
      </c>
      <c r="AB219" s="337" t="s">
        <v>1704</v>
      </c>
      <c r="AC219" s="337" t="s">
        <v>1705</v>
      </c>
      <c r="AD219" s="341" t="s">
        <v>1706</v>
      </c>
      <c r="AE219" s="347" t="s">
        <v>1707</v>
      </c>
      <c r="AF219" s="337" t="s">
        <v>1708</v>
      </c>
      <c r="AG219" s="337" t="s">
        <v>1709</v>
      </c>
      <c r="AH219" s="337" t="s">
        <v>1649</v>
      </c>
      <c r="AI219" s="337" t="s">
        <v>1061</v>
      </c>
      <c r="AJ219" s="98" t="s">
        <v>85</v>
      </c>
      <c r="AK219" s="98" t="s">
        <v>86</v>
      </c>
      <c r="AL219" s="98" t="s">
        <v>87</v>
      </c>
      <c r="AM219" s="101" t="s">
        <v>1054</v>
      </c>
      <c r="AN219" s="348" t="s">
        <v>547</v>
      </c>
      <c r="AO219" s="349">
        <v>45671</v>
      </c>
      <c r="AP219" s="98">
        <f>Tabla156[[#This Row],[Renov. Flota]]-Tabla156[[#This Row],[Año]]</f>
        <v>2</v>
      </c>
      <c r="AQ219" s="100" t="s">
        <v>1050</v>
      </c>
      <c r="AR219" s="100" t="str">
        <f>VLOOKUP(Tabla156[[#This Row],[Matricula nueva]],'ALTA 20242025'!$B$2:$P$242,15,FALSE)</f>
        <v>4500426778</v>
      </c>
      <c r="AS219" s="101" t="s">
        <v>1051</v>
      </c>
      <c r="AT219" s="101"/>
      <c r="AU219" s="101" t="s">
        <v>72</v>
      </c>
      <c r="AV219" s="101" t="s">
        <v>1056</v>
      </c>
      <c r="AW219" s="101" t="str">
        <f>VLOOKUP(Tabla156[[#This Row],[Matricula nueva]],Hoja2!$A$1:$B$224,2,FALSE)</f>
        <v>VF1RFK00473824883</v>
      </c>
      <c r="AX219" s="209">
        <v>35</v>
      </c>
      <c r="AY219" s="208">
        <f>IF(T219="DIESEL",10,IF(T219="GLP",7.16,9.19))</f>
        <v>10</v>
      </c>
      <c r="AZ219" s="313">
        <v>17.3</v>
      </c>
      <c r="BA219" s="314">
        <f>IF(Tabla156[[#This Row],[Columna2]]="M1",13073,IF(Tabla156[[#This Row],[Columna2]]="N1",15815,IF(Tabla156[[#This Row],[Columna2]]="L3e",2831,53508)))</f>
        <v>53508</v>
      </c>
      <c r="BB219" s="350">
        <f>(Tabla156[[#This Row],[CVA]]*Tabla156[[#This Row],[F]]-Tabla156[[#This Row],[CVN]])/100*Tabla156[[#This Row],[L]]</f>
        <v>178021.11600000001</v>
      </c>
      <c r="BC219" s="92" t="s">
        <v>516</v>
      </c>
      <c r="BD219" s="209">
        <f>VLOOKUP(B219,Tabla467824[[ID CAE2]:[AE '[kWh']]],6,FALSE)</f>
        <v>123854.9676</v>
      </c>
      <c r="BE21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220" spans="1:57" ht="15.75" hidden="1" thickBot="1" x14ac:dyDescent="0.3">
      <c r="A220" s="53" t="s">
        <v>1352</v>
      </c>
      <c r="B220" s="53" t="e">
        <v>#N/A</v>
      </c>
      <c r="C220" s="96" t="s">
        <v>1353</v>
      </c>
      <c r="D220" s="96"/>
      <c r="E220" s="96"/>
      <c r="F220" s="96"/>
      <c r="G220" s="96"/>
      <c r="H220" s="96"/>
      <c r="I220" s="96"/>
      <c r="J220" s="96"/>
      <c r="K220" s="96" t="s">
        <v>73</v>
      </c>
      <c r="L220" s="96" t="s">
        <v>200</v>
      </c>
      <c r="M220" s="96" t="s">
        <v>201</v>
      </c>
      <c r="N220" s="96" t="s">
        <v>76</v>
      </c>
      <c r="O220" s="101">
        <f>VLOOKUP(Tabla156[[#This Row],[Matricula Antigua]],BAJA2022202320242025!$B$3:$CR$245,93,FALSE)</f>
        <v>44167</v>
      </c>
      <c r="P220" s="99">
        <v>45993</v>
      </c>
      <c r="Q220" s="99">
        <f>Tabla156[[#This Row],[F.Vig.Final]]-Tabla156[[#This Row],[f Vig Inicio]]</f>
        <v>1826</v>
      </c>
      <c r="R220" s="99">
        <f>YEAR(Tabla156[[#This Row],[F.Vig.Final]])</f>
        <v>2025</v>
      </c>
      <c r="S220" s="96" t="s">
        <v>77</v>
      </c>
      <c r="T220" s="96" t="s">
        <v>78</v>
      </c>
      <c r="U220" s="96" t="s">
        <v>85</v>
      </c>
      <c r="V220" s="96" t="s">
        <v>1354</v>
      </c>
      <c r="W220" s="96" t="s">
        <v>119</v>
      </c>
      <c r="X220" s="96" t="s">
        <v>120</v>
      </c>
      <c r="Y220" s="96" t="s">
        <v>1355</v>
      </c>
      <c r="Z220" s="98">
        <f>COUNTIF($X$3:X220, X220)</f>
        <v>2</v>
      </c>
      <c r="AA220" s="98"/>
      <c r="AB220" s="98"/>
      <c r="AC220" s="98"/>
      <c r="AD220" s="98"/>
      <c r="AE220" s="98"/>
      <c r="AF220" s="98"/>
      <c r="AG220" s="98"/>
      <c r="AH220" s="98"/>
      <c r="AI220" s="98" t="e">
        <v>#N/A</v>
      </c>
      <c r="AJ220" s="98" t="e">
        <v>#N/A</v>
      </c>
      <c r="AK220" s="98" t="e">
        <v>#N/A</v>
      </c>
      <c r="AL220" s="98" t="e">
        <v>#N/A</v>
      </c>
      <c r="AM220" s="98" t="e">
        <v>#N/A</v>
      </c>
      <c r="AN220" s="99" t="e">
        <v>#N/A</v>
      </c>
      <c r="AO220" s="99" t="e">
        <v>#N/A</v>
      </c>
      <c r="AP220" s="99" t="e">
        <f>Tabla156[[#This Row],[Renov. Flota]]-Tabla156[[#This Row],[Año]]</f>
        <v>#N/A</v>
      </c>
      <c r="AQ220" s="100" t="e">
        <v>#N/A</v>
      </c>
      <c r="AR220" s="100" t="e">
        <f>VLOOKUP(Tabla156[[#This Row],[Matricula nueva]],'ALTA 20242025'!$B$2:$P$242,15,FALSE)</f>
        <v>#N/A</v>
      </c>
      <c r="AS220" s="101" t="e">
        <v>#N/A</v>
      </c>
      <c r="AT220" s="101"/>
      <c r="AU220" s="101"/>
      <c r="AV220" s="101"/>
      <c r="AW220" s="101" t="e">
        <f>VLOOKUP(Tabla156[[#This Row],[Matricula nueva]],Hoja2!$A$1:$B$224,2,FALSE)</f>
        <v>#N/A</v>
      </c>
      <c r="AX220" s="101" t="str">
        <f>IF(Tabla156[[#This Row],[Columna2]]="M1",5.1,"")</f>
        <v/>
      </c>
      <c r="AY220" s="101"/>
      <c r="AZ220" s="101"/>
      <c r="BA220" s="311">
        <f>IF(Tabla156[[#This Row],[Columna2]]="M1",13073,IF(Tabla156[[#This Row],[Columna2]]="N1",15815,IF(Tabla156[[#This Row],[Columna2]]="L3e",2831,53508)))</f>
        <v>53508</v>
      </c>
      <c r="BB220" s="311" t="e">
        <f>(Tabla156[[#This Row],[CVA]]*Tabla156[[#This Row],[F]]-Tabla156[[#This Row],[CVN]])/100*Tabla156[[#This Row],[L]]</f>
        <v>#VALUE!</v>
      </c>
      <c r="BC220" s="1"/>
      <c r="BD220" s="1" t="e">
        <f>VLOOKUP(B220,Tabla467824[[ID CAE2]:[AE '[kWh']]],6,FALSE)</f>
        <v>#N/A</v>
      </c>
      <c r="BE22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1" spans="1:57" ht="15.75" hidden="1" thickBot="1" x14ac:dyDescent="0.3">
      <c r="A221" s="53" t="s">
        <v>1356</v>
      </c>
      <c r="B221" s="53" t="e">
        <v>#N/A</v>
      </c>
      <c r="C221" s="100" t="s">
        <v>1357</v>
      </c>
      <c r="D221" s="100"/>
      <c r="E221" s="100"/>
      <c r="F221" s="100"/>
      <c r="G221" s="100"/>
      <c r="H221" s="100"/>
      <c r="I221" s="100"/>
      <c r="J221" s="100"/>
      <c r="K221" s="100" t="s">
        <v>73</v>
      </c>
      <c r="L221" s="100" t="s">
        <v>200</v>
      </c>
      <c r="M221" s="100" t="s">
        <v>201</v>
      </c>
      <c r="N221" s="100" t="s">
        <v>76</v>
      </c>
      <c r="O221" s="100" t="e">
        <f>VLOOKUP(Tabla156[[#This Row],[Matricula Antigua]],BAJA2022202320242025!$B$3:$CR$245,93,FALSE)</f>
        <v>#N/A</v>
      </c>
      <c r="P221" s="315">
        <v>44837</v>
      </c>
      <c r="Q221" s="315" t="e">
        <f>Tabla156[[#This Row],[F.Vig.Final]]-Tabla156[[#This Row],[f Vig Inicio]]</f>
        <v>#N/A</v>
      </c>
      <c r="R221" s="315">
        <f>YEAR(Tabla156[[#This Row],[F.Vig.Final]])</f>
        <v>2022</v>
      </c>
      <c r="S221" s="100" t="s">
        <v>77</v>
      </c>
      <c r="T221" s="100" t="s">
        <v>674</v>
      </c>
      <c r="U221" s="100" t="s">
        <v>359</v>
      </c>
      <c r="V221" s="100" t="s">
        <v>1245</v>
      </c>
      <c r="W221" s="100" t="s">
        <v>131</v>
      </c>
      <c r="X221" s="100" t="s">
        <v>132</v>
      </c>
      <c r="Y221" s="100" t="s">
        <v>318</v>
      </c>
      <c r="Z221" s="98">
        <f>COUNTIF($X$3:X221, X221)</f>
        <v>20</v>
      </c>
      <c r="AA221" s="98"/>
      <c r="AB221" s="98"/>
      <c r="AC221" s="98"/>
      <c r="AD221" s="98"/>
      <c r="AE221" s="98"/>
      <c r="AF221" s="98"/>
      <c r="AG221" s="98"/>
      <c r="AH221" s="98"/>
      <c r="AI221" s="98" t="e">
        <v>#N/A</v>
      </c>
      <c r="AJ221" s="98" t="e">
        <v>#N/A</v>
      </c>
      <c r="AK221" s="98" t="e">
        <v>#N/A</v>
      </c>
      <c r="AL221" s="98" t="e">
        <v>#N/A</v>
      </c>
      <c r="AM221" s="98" t="e">
        <v>#N/A</v>
      </c>
      <c r="AN221" s="99" t="e">
        <v>#N/A</v>
      </c>
      <c r="AO221" s="99" t="e">
        <v>#N/A</v>
      </c>
      <c r="AP221" s="99" t="e">
        <f>Tabla156[[#This Row],[Renov. Flota]]-Tabla156[[#This Row],[Año]]</f>
        <v>#N/A</v>
      </c>
      <c r="AQ221" s="100" t="e">
        <v>#N/A</v>
      </c>
      <c r="AR221" s="100" t="e">
        <f>VLOOKUP(Tabla156[[#This Row],[Matricula nueva]],'ALTA 20242025'!$B$2:$P$242,15,FALSE)</f>
        <v>#N/A</v>
      </c>
      <c r="AS221" s="101" t="e">
        <v>#N/A</v>
      </c>
      <c r="AT221" s="101"/>
      <c r="AU221" s="101"/>
      <c r="AV221" s="101"/>
      <c r="AW221" s="101" t="e">
        <f>VLOOKUP(Tabla156[[#This Row],[Matricula nueva]],Hoja2!$A$1:$B$224,2,FALSE)</f>
        <v>#N/A</v>
      </c>
      <c r="AX221" s="101" t="str">
        <f>IF(Tabla156[[#This Row],[Columna2]]="M1",5.1,"")</f>
        <v/>
      </c>
      <c r="AY221" s="101"/>
      <c r="AZ221" s="101"/>
      <c r="BA221" s="311">
        <f>IF(Tabla156[[#This Row],[Columna2]]="M1",13073,IF(Tabla156[[#This Row],[Columna2]]="N1",15815,IF(Tabla156[[#This Row],[Columna2]]="L3e",2831,53508)))</f>
        <v>53508</v>
      </c>
      <c r="BB221" s="311" t="e">
        <f>(Tabla156[[#This Row],[CVA]]*Tabla156[[#This Row],[F]]-Tabla156[[#This Row],[CVN]])/100*Tabla156[[#This Row],[L]]</f>
        <v>#VALUE!</v>
      </c>
      <c r="BC221" s="1"/>
      <c r="BD221" s="1" t="e">
        <f>VLOOKUP(B221,Tabla467824[[ID CAE2]:[AE '[kWh']]],6,FALSE)</f>
        <v>#N/A</v>
      </c>
      <c r="BE22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2" spans="1:57" ht="15.75" hidden="1" thickBot="1" x14ac:dyDescent="0.3">
      <c r="A222" s="53" t="s">
        <v>1358</v>
      </c>
      <c r="B222" s="53" t="e">
        <v>#N/A</v>
      </c>
      <c r="C222" s="96" t="s">
        <v>1359</v>
      </c>
      <c r="D222" s="96"/>
      <c r="E222" s="96"/>
      <c r="F222" s="96"/>
      <c r="G222" s="96"/>
      <c r="H222" s="96"/>
      <c r="I222" s="96"/>
      <c r="J222" s="96"/>
      <c r="K222" s="96" t="s">
        <v>73</v>
      </c>
      <c r="L222" s="96" t="s">
        <v>200</v>
      </c>
      <c r="M222" s="96" t="s">
        <v>201</v>
      </c>
      <c r="N222" s="96" t="s">
        <v>76</v>
      </c>
      <c r="O222" s="101">
        <f>VLOOKUP(Tabla156[[#This Row],[Matricula Antigua]],BAJA2022202320242025!$B$3:$CR$245,93,FALSE)</f>
        <v>44224</v>
      </c>
      <c r="P222" s="99">
        <v>45685</v>
      </c>
      <c r="Q222" s="99">
        <f>Tabla156[[#This Row],[F.Vig.Final]]-Tabla156[[#This Row],[f Vig Inicio]]</f>
        <v>1461</v>
      </c>
      <c r="R222" s="99">
        <f>YEAR(Tabla156[[#This Row],[F.Vig.Final]])</f>
        <v>2025</v>
      </c>
      <c r="S222" s="96" t="s">
        <v>77</v>
      </c>
      <c r="T222" s="96" t="s">
        <v>71</v>
      </c>
      <c r="U222" s="96" t="s">
        <v>213</v>
      </c>
      <c r="V222" s="96" t="s">
        <v>214</v>
      </c>
      <c r="W222" s="96" t="s">
        <v>336</v>
      </c>
      <c r="X222" s="96" t="s">
        <v>337</v>
      </c>
      <c r="Y222" s="96" t="s">
        <v>338</v>
      </c>
      <c r="Z222" s="98">
        <f>COUNTIF($X$3:X222, X222)</f>
        <v>16</v>
      </c>
      <c r="AA222" s="98"/>
      <c r="AB222" s="98"/>
      <c r="AC222" s="98"/>
      <c r="AD222" s="98"/>
      <c r="AE222" s="98"/>
      <c r="AF222" s="98"/>
      <c r="AG222" s="98"/>
      <c r="AH222" s="98"/>
      <c r="AI222" s="98" t="e">
        <v>#N/A</v>
      </c>
      <c r="AJ222" s="98" t="e">
        <v>#N/A</v>
      </c>
      <c r="AK222" s="98" t="e">
        <v>#N/A</v>
      </c>
      <c r="AL222" s="98" t="e">
        <v>#N/A</v>
      </c>
      <c r="AM222" s="98" t="e">
        <v>#N/A</v>
      </c>
      <c r="AN222" s="99" t="e">
        <v>#N/A</v>
      </c>
      <c r="AO222" s="99" t="e">
        <v>#N/A</v>
      </c>
      <c r="AP222" s="99" t="e">
        <f>Tabla156[[#This Row],[Renov. Flota]]-Tabla156[[#This Row],[Año]]</f>
        <v>#N/A</v>
      </c>
      <c r="AQ222" s="100" t="e">
        <v>#N/A</v>
      </c>
      <c r="AR222" s="100" t="e">
        <f>VLOOKUP(Tabla156[[#This Row],[Matricula nueva]],'ALTA 20242025'!$B$2:$P$242,15,FALSE)</f>
        <v>#N/A</v>
      </c>
      <c r="AS222" s="101" t="e">
        <v>#N/A</v>
      </c>
      <c r="AT222" s="101"/>
      <c r="AU222" s="101"/>
      <c r="AV222" s="101"/>
      <c r="AW222" s="101" t="e">
        <f>VLOOKUP(Tabla156[[#This Row],[Matricula nueva]],Hoja2!$A$1:$B$224,2,FALSE)</f>
        <v>#N/A</v>
      </c>
      <c r="AX222" s="101" t="str">
        <f>IF(Tabla156[[#This Row],[Columna2]]="M1",5.1,"")</f>
        <v/>
      </c>
      <c r="AY222" s="101"/>
      <c r="AZ222" s="101"/>
      <c r="BA222" s="311">
        <f>IF(Tabla156[[#This Row],[Columna2]]="M1",13073,IF(Tabla156[[#This Row],[Columna2]]="N1",15815,IF(Tabla156[[#This Row],[Columna2]]="L3e",2831,53508)))</f>
        <v>53508</v>
      </c>
      <c r="BB222" s="311" t="e">
        <f>(Tabla156[[#This Row],[CVA]]*Tabla156[[#This Row],[F]]-Tabla156[[#This Row],[CVN]])/100*Tabla156[[#This Row],[L]]</f>
        <v>#VALUE!</v>
      </c>
      <c r="BC222" s="1"/>
      <c r="BD222" s="1" t="e">
        <f>VLOOKUP(B222,Tabla467824[[ID CAE2]:[AE '[kWh']]],6,FALSE)</f>
        <v>#N/A</v>
      </c>
      <c r="BE22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3" spans="1:57" ht="15.75" hidden="1" thickBot="1" x14ac:dyDescent="0.3">
      <c r="A223" s="53" t="s">
        <v>1360</v>
      </c>
      <c r="B223" s="53" t="e">
        <v>#N/A</v>
      </c>
      <c r="C223" s="100" t="s">
        <v>1361</v>
      </c>
      <c r="D223" s="100"/>
      <c r="E223" s="100"/>
      <c r="F223" s="100"/>
      <c r="G223" s="100"/>
      <c r="H223" s="100"/>
      <c r="I223" s="100"/>
      <c r="J223" s="100"/>
      <c r="K223" s="100" t="s">
        <v>73</v>
      </c>
      <c r="L223" s="100" t="s">
        <v>74</v>
      </c>
      <c r="M223" s="100" t="s">
        <v>75</v>
      </c>
      <c r="N223" s="100" t="s">
        <v>76</v>
      </c>
      <c r="O223" s="100" t="e">
        <f>VLOOKUP(Tabla156[[#This Row],[Matricula Antigua]],BAJA2022202320242025!$B$3:$CR$245,93,FALSE)</f>
        <v>#N/A</v>
      </c>
      <c r="P223" s="315">
        <v>44701</v>
      </c>
      <c r="Q223" s="315" t="e">
        <f>Tabla156[[#This Row],[F.Vig.Final]]-Tabla156[[#This Row],[f Vig Inicio]]</f>
        <v>#N/A</v>
      </c>
      <c r="R223" s="315">
        <f>YEAR(Tabla156[[#This Row],[F.Vig.Final]])</f>
        <v>2022</v>
      </c>
      <c r="S223" s="100" t="s">
        <v>77</v>
      </c>
      <c r="T223" s="100" t="s">
        <v>78</v>
      </c>
      <c r="U223" s="100" t="s">
        <v>1362</v>
      </c>
      <c r="V223" s="100" t="s">
        <v>1363</v>
      </c>
      <c r="W223" s="100" t="s">
        <v>336</v>
      </c>
      <c r="X223" s="100" t="s">
        <v>337</v>
      </c>
      <c r="Y223" s="100" t="s">
        <v>1364</v>
      </c>
      <c r="Z223" s="98">
        <f>COUNTIF($X$3:X223, X223)</f>
        <v>17</v>
      </c>
      <c r="AA223" s="98"/>
      <c r="AB223" s="98"/>
      <c r="AC223" s="98"/>
      <c r="AD223" s="98"/>
      <c r="AE223" s="98"/>
      <c r="AF223" s="98"/>
      <c r="AG223" s="98"/>
      <c r="AH223" s="98"/>
      <c r="AI223" s="98" t="e">
        <v>#N/A</v>
      </c>
      <c r="AJ223" s="98" t="e">
        <v>#N/A</v>
      </c>
      <c r="AK223" s="98" t="e">
        <v>#N/A</v>
      </c>
      <c r="AL223" s="98" t="e">
        <v>#N/A</v>
      </c>
      <c r="AM223" s="98" t="e">
        <v>#N/A</v>
      </c>
      <c r="AN223" s="99" t="e">
        <v>#N/A</v>
      </c>
      <c r="AO223" s="99" t="e">
        <v>#N/A</v>
      </c>
      <c r="AP223" s="99" t="e">
        <f>Tabla156[[#This Row],[Renov. Flota]]-Tabla156[[#This Row],[Año]]</f>
        <v>#N/A</v>
      </c>
      <c r="AQ223" s="100" t="e">
        <v>#N/A</v>
      </c>
      <c r="AR223" s="100" t="e">
        <f>VLOOKUP(Tabla156[[#This Row],[Matricula nueva]],'ALTA 20242025'!$B$2:$P$242,15,FALSE)</f>
        <v>#N/A</v>
      </c>
      <c r="AS223" s="101" t="e">
        <v>#N/A</v>
      </c>
      <c r="AT223" s="101"/>
      <c r="AU223" s="101"/>
      <c r="AV223" s="101"/>
      <c r="AW223" s="101" t="e">
        <f>VLOOKUP(Tabla156[[#This Row],[Matricula nueva]],Hoja2!$A$1:$B$224,2,FALSE)</f>
        <v>#N/A</v>
      </c>
      <c r="AX223" s="101" t="str">
        <f>IF(Tabla156[[#This Row],[Columna2]]="M1",5.1,"")</f>
        <v/>
      </c>
      <c r="AY223" s="101"/>
      <c r="AZ223" s="101"/>
      <c r="BA223" s="311">
        <f>IF(Tabla156[[#This Row],[Columna2]]="M1",13073,IF(Tabla156[[#This Row],[Columna2]]="N1",15815,IF(Tabla156[[#This Row],[Columna2]]="L3e",2831,53508)))</f>
        <v>53508</v>
      </c>
      <c r="BB223" s="311" t="e">
        <f>(Tabla156[[#This Row],[CVA]]*Tabla156[[#This Row],[F]]-Tabla156[[#This Row],[CVN]])/100*Tabla156[[#This Row],[L]]</f>
        <v>#VALUE!</v>
      </c>
      <c r="BC223" s="1"/>
      <c r="BD223" s="1" t="e">
        <f>VLOOKUP(B223,Tabla467824[[ID CAE2]:[AE '[kWh']]],6,FALSE)</f>
        <v>#N/A</v>
      </c>
      <c r="BE22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4" spans="1:57" ht="15.75" hidden="1" thickBot="1" x14ac:dyDescent="0.3">
      <c r="A224" s="53" t="s">
        <v>1365</v>
      </c>
      <c r="B224" s="53" t="e">
        <v>#N/A</v>
      </c>
      <c r="C224" s="100" t="s">
        <v>1366</v>
      </c>
      <c r="D224" s="100"/>
      <c r="E224" s="100"/>
      <c r="F224" s="100"/>
      <c r="G224" s="100"/>
      <c r="H224" s="100"/>
      <c r="I224" s="100"/>
      <c r="J224" s="100"/>
      <c r="K224" s="100" t="s">
        <v>73</v>
      </c>
      <c r="L224" s="100" t="s">
        <v>172</v>
      </c>
      <c r="M224" s="100" t="s">
        <v>1127</v>
      </c>
      <c r="N224" s="100" t="s">
        <v>76</v>
      </c>
      <c r="O224" s="100" t="e">
        <f>VLOOKUP(Tabla156[[#This Row],[Matricula Antigua]],BAJA2022202320242025!$B$3:$CR$245,93,FALSE)</f>
        <v>#N/A</v>
      </c>
      <c r="P224" s="315">
        <v>44765</v>
      </c>
      <c r="Q224" s="315" t="e">
        <f>Tabla156[[#This Row],[F.Vig.Final]]-Tabla156[[#This Row],[f Vig Inicio]]</f>
        <v>#N/A</v>
      </c>
      <c r="R224" s="315">
        <f>YEAR(Tabla156[[#This Row],[F.Vig.Final]])</f>
        <v>2022</v>
      </c>
      <c r="S224" s="100" t="s">
        <v>77</v>
      </c>
      <c r="T224" s="100" t="s">
        <v>78</v>
      </c>
      <c r="U224" s="100" t="s">
        <v>1362</v>
      </c>
      <c r="V224" s="100" t="s">
        <v>1367</v>
      </c>
      <c r="W224" s="100" t="s">
        <v>215</v>
      </c>
      <c r="X224" s="100" t="s">
        <v>216</v>
      </c>
      <c r="Y224" s="100" t="s">
        <v>217</v>
      </c>
      <c r="Z224" s="98">
        <f>COUNTIF($X$3:X224, X224)</f>
        <v>4</v>
      </c>
      <c r="AA224" s="98"/>
      <c r="AB224" s="98"/>
      <c r="AC224" s="98"/>
      <c r="AD224" s="98"/>
      <c r="AE224" s="98"/>
      <c r="AF224" s="98"/>
      <c r="AG224" s="98"/>
      <c r="AH224" s="98"/>
      <c r="AI224" s="98" t="e">
        <v>#N/A</v>
      </c>
      <c r="AJ224" s="98" t="e">
        <v>#N/A</v>
      </c>
      <c r="AK224" s="98" t="e">
        <v>#N/A</v>
      </c>
      <c r="AL224" s="98" t="e">
        <v>#N/A</v>
      </c>
      <c r="AM224" s="98" t="e">
        <v>#N/A</v>
      </c>
      <c r="AN224" s="99" t="e">
        <v>#N/A</v>
      </c>
      <c r="AO224" s="99" t="e">
        <v>#N/A</v>
      </c>
      <c r="AP224" s="99" t="e">
        <f>Tabla156[[#This Row],[Renov. Flota]]-Tabla156[[#This Row],[Año]]</f>
        <v>#N/A</v>
      </c>
      <c r="AQ224" s="100" t="e">
        <v>#N/A</v>
      </c>
      <c r="AR224" s="100" t="e">
        <f>VLOOKUP(Tabla156[[#This Row],[Matricula nueva]],'ALTA 20242025'!$B$2:$P$242,15,FALSE)</f>
        <v>#N/A</v>
      </c>
      <c r="AS224" s="101" t="e">
        <v>#N/A</v>
      </c>
      <c r="AT224" s="101"/>
      <c r="AU224" s="101"/>
      <c r="AV224" s="101"/>
      <c r="AW224" s="101" t="e">
        <f>VLOOKUP(Tabla156[[#This Row],[Matricula nueva]],Hoja2!$A$1:$B$224,2,FALSE)</f>
        <v>#N/A</v>
      </c>
      <c r="AX224" s="101" t="str">
        <f>IF(Tabla156[[#This Row],[Columna2]]="M1",5.1,"")</f>
        <v/>
      </c>
      <c r="AY224" s="101"/>
      <c r="AZ224" s="101"/>
      <c r="BA224" s="311">
        <f>IF(Tabla156[[#This Row],[Columna2]]="M1",13073,IF(Tabla156[[#This Row],[Columna2]]="N1",15815,IF(Tabla156[[#This Row],[Columna2]]="L3e",2831,53508)))</f>
        <v>53508</v>
      </c>
      <c r="BB224" s="311" t="e">
        <f>(Tabla156[[#This Row],[CVA]]*Tabla156[[#This Row],[F]]-Tabla156[[#This Row],[CVN]])/100*Tabla156[[#This Row],[L]]</f>
        <v>#VALUE!</v>
      </c>
      <c r="BC224" s="1"/>
      <c r="BD224" s="1" t="e">
        <f>VLOOKUP(B224,Tabla467824[[ID CAE2]:[AE '[kWh']]],6,FALSE)</f>
        <v>#N/A</v>
      </c>
      <c r="BE22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5" spans="1:57" ht="15.75" hidden="1" thickBot="1" x14ac:dyDescent="0.3">
      <c r="A225" s="53" t="s">
        <v>1368</v>
      </c>
      <c r="B225" s="53" t="e">
        <v>#N/A</v>
      </c>
      <c r="C225" s="100" t="s">
        <v>1369</v>
      </c>
      <c r="D225" s="100"/>
      <c r="E225" s="100"/>
      <c r="F225" s="100"/>
      <c r="G225" s="100"/>
      <c r="H225" s="100"/>
      <c r="I225" s="100"/>
      <c r="J225" s="100"/>
      <c r="K225" s="100" t="s">
        <v>129</v>
      </c>
      <c r="L225" s="100" t="s">
        <v>200</v>
      </c>
      <c r="M225" s="100" t="s">
        <v>201</v>
      </c>
      <c r="N225" s="100" t="s">
        <v>76</v>
      </c>
      <c r="O225" s="100" t="e">
        <f>VLOOKUP(Tabla156[[#This Row],[Matricula Antigua]],BAJA2022202320242025!$B$3:$CR$245,93,FALSE)</f>
        <v>#N/A</v>
      </c>
      <c r="P225" s="315">
        <v>44922</v>
      </c>
      <c r="Q225" s="315" t="e">
        <f>Tabla156[[#This Row],[F.Vig.Final]]-Tabla156[[#This Row],[f Vig Inicio]]</f>
        <v>#N/A</v>
      </c>
      <c r="R225" s="315">
        <f>YEAR(Tabla156[[#This Row],[F.Vig.Final]])</f>
        <v>2022</v>
      </c>
      <c r="S225" s="100" t="s">
        <v>77</v>
      </c>
      <c r="T225" s="100" t="s">
        <v>78</v>
      </c>
      <c r="U225" s="100" t="s">
        <v>380</v>
      </c>
      <c r="V225" s="100" t="s">
        <v>1370</v>
      </c>
      <c r="W225" s="100" t="s">
        <v>131</v>
      </c>
      <c r="X225" s="100" t="s">
        <v>132</v>
      </c>
      <c r="Y225" s="100" t="s">
        <v>133</v>
      </c>
      <c r="Z225" s="98">
        <f>COUNTIF($X$3:X225, X225)</f>
        <v>21</v>
      </c>
      <c r="AA225" s="98"/>
      <c r="AB225" s="98"/>
      <c r="AC225" s="98"/>
      <c r="AD225" s="98"/>
      <c r="AE225" s="98"/>
      <c r="AF225" s="98"/>
      <c r="AG225" s="98"/>
      <c r="AH225" s="98"/>
      <c r="AI225" s="98" t="e">
        <v>#N/A</v>
      </c>
      <c r="AJ225" s="98" t="e">
        <v>#N/A</v>
      </c>
      <c r="AK225" s="98" t="e">
        <v>#N/A</v>
      </c>
      <c r="AL225" s="98" t="e">
        <v>#N/A</v>
      </c>
      <c r="AM225" s="98" t="e">
        <v>#N/A</v>
      </c>
      <c r="AN225" s="99" t="e">
        <v>#N/A</v>
      </c>
      <c r="AO225" s="99" t="e">
        <v>#N/A</v>
      </c>
      <c r="AP225" s="99" t="e">
        <f>Tabla156[[#This Row],[Renov. Flota]]-Tabla156[[#This Row],[Año]]</f>
        <v>#N/A</v>
      </c>
      <c r="AQ225" s="100" t="e">
        <v>#N/A</v>
      </c>
      <c r="AR225" s="100" t="e">
        <f>VLOOKUP(Tabla156[[#This Row],[Matricula nueva]],'ALTA 20242025'!$B$2:$P$242,15,FALSE)</f>
        <v>#N/A</v>
      </c>
      <c r="AS225" s="101" t="e">
        <v>#N/A</v>
      </c>
      <c r="AT225" s="101"/>
      <c r="AU225" s="101"/>
      <c r="AV225" s="101"/>
      <c r="AW225" s="101" t="e">
        <f>VLOOKUP(Tabla156[[#This Row],[Matricula nueva]],Hoja2!$A$1:$B$224,2,FALSE)</f>
        <v>#N/A</v>
      </c>
      <c r="AX225" s="101" t="str">
        <f>IF(Tabla156[[#This Row],[Columna2]]="M1",5.1,"")</f>
        <v/>
      </c>
      <c r="AY225" s="101"/>
      <c r="AZ225" s="101"/>
      <c r="BA225" s="311">
        <f>IF(Tabla156[[#This Row],[Columna2]]="M1",13073,IF(Tabla156[[#This Row],[Columna2]]="N1",15815,IF(Tabla156[[#This Row],[Columna2]]="L3e",2831,53508)))</f>
        <v>53508</v>
      </c>
      <c r="BB225" s="311" t="e">
        <f>(Tabla156[[#This Row],[CVA]]*Tabla156[[#This Row],[F]]-Tabla156[[#This Row],[CVN]])/100*Tabla156[[#This Row],[L]]</f>
        <v>#VALUE!</v>
      </c>
      <c r="BC225" s="1"/>
      <c r="BD225" s="1" t="e">
        <f>VLOOKUP(B225,Tabla467824[[ID CAE2]:[AE '[kWh']]],6,FALSE)</f>
        <v>#N/A</v>
      </c>
      <c r="BE22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6" spans="1:57" ht="15.75" hidden="1" thickBot="1" x14ac:dyDescent="0.3">
      <c r="A226" s="53" t="s">
        <v>1371</v>
      </c>
      <c r="B226" s="53" t="e">
        <v>#N/A</v>
      </c>
      <c r="C226" s="100" t="s">
        <v>1372</v>
      </c>
      <c r="D226" s="100"/>
      <c r="E226" s="100"/>
      <c r="F226" s="100"/>
      <c r="G226" s="100"/>
      <c r="H226" s="100"/>
      <c r="I226" s="100"/>
      <c r="J226" s="100"/>
      <c r="K226" s="100" t="s">
        <v>73</v>
      </c>
      <c r="L226" s="100" t="s">
        <v>200</v>
      </c>
      <c r="M226" s="100" t="s">
        <v>201</v>
      </c>
      <c r="N226" s="100" t="s">
        <v>76</v>
      </c>
      <c r="O226" s="100" t="e">
        <f>VLOOKUP(Tabla156[[#This Row],[Matricula Antigua]],BAJA2022202320242025!$B$3:$CR$245,93,FALSE)</f>
        <v>#N/A</v>
      </c>
      <c r="P226" s="315">
        <v>44641</v>
      </c>
      <c r="Q226" s="315" t="e">
        <f>Tabla156[[#This Row],[F.Vig.Final]]-Tabla156[[#This Row],[f Vig Inicio]]</f>
        <v>#N/A</v>
      </c>
      <c r="R226" s="315">
        <f>YEAR(Tabla156[[#This Row],[F.Vig.Final]])</f>
        <v>2022</v>
      </c>
      <c r="S226" s="100" t="s">
        <v>77</v>
      </c>
      <c r="T226" s="100" t="s">
        <v>78</v>
      </c>
      <c r="U226" s="100" t="s">
        <v>359</v>
      </c>
      <c r="V226" s="100" t="s">
        <v>604</v>
      </c>
      <c r="W226" s="100" t="s">
        <v>1373</v>
      </c>
      <c r="X226" s="100" t="s">
        <v>1374</v>
      </c>
      <c r="Y226" s="100" t="s">
        <v>1375</v>
      </c>
      <c r="Z226" s="98">
        <f>COUNTIF($X$3:X226, X226)</f>
        <v>1</v>
      </c>
      <c r="AA226" s="98"/>
      <c r="AB226" s="98"/>
      <c r="AC226" s="98"/>
      <c r="AD226" s="98"/>
      <c r="AE226" s="98"/>
      <c r="AF226" s="98"/>
      <c r="AG226" s="98"/>
      <c r="AH226" s="98"/>
      <c r="AI226" s="98" t="e">
        <v>#N/A</v>
      </c>
      <c r="AJ226" s="98" t="e">
        <v>#N/A</v>
      </c>
      <c r="AK226" s="98" t="e">
        <v>#N/A</v>
      </c>
      <c r="AL226" s="98" t="e">
        <v>#N/A</v>
      </c>
      <c r="AM226" s="98" t="e">
        <v>#N/A</v>
      </c>
      <c r="AN226" s="99" t="e">
        <v>#N/A</v>
      </c>
      <c r="AO226" s="99" t="e">
        <v>#N/A</v>
      </c>
      <c r="AP226" s="99" t="e">
        <f>Tabla156[[#This Row],[Renov. Flota]]-Tabla156[[#This Row],[Año]]</f>
        <v>#N/A</v>
      </c>
      <c r="AQ226" s="100" t="e">
        <v>#N/A</v>
      </c>
      <c r="AR226" s="100" t="e">
        <f>VLOOKUP(Tabla156[[#This Row],[Matricula nueva]],'ALTA 20242025'!$B$2:$P$242,15,FALSE)</f>
        <v>#N/A</v>
      </c>
      <c r="AS226" s="101" t="e">
        <v>#N/A</v>
      </c>
      <c r="AT226" s="101"/>
      <c r="AU226" s="101"/>
      <c r="AV226" s="101"/>
      <c r="AW226" s="101" t="e">
        <f>VLOOKUP(Tabla156[[#This Row],[Matricula nueva]],Hoja2!$A$1:$B$224,2,FALSE)</f>
        <v>#N/A</v>
      </c>
      <c r="AX226" s="101" t="str">
        <f>IF(Tabla156[[#This Row],[Columna2]]="M1",5.1,"")</f>
        <v/>
      </c>
      <c r="AY226" s="101"/>
      <c r="AZ226" s="101"/>
      <c r="BA226" s="311">
        <f>IF(Tabla156[[#This Row],[Columna2]]="M1",13073,IF(Tabla156[[#This Row],[Columna2]]="N1",15815,IF(Tabla156[[#This Row],[Columna2]]="L3e",2831,53508)))</f>
        <v>53508</v>
      </c>
      <c r="BB226" s="311" t="e">
        <f>(Tabla156[[#This Row],[CVA]]*Tabla156[[#This Row],[F]]-Tabla156[[#This Row],[CVN]])/100*Tabla156[[#This Row],[L]]</f>
        <v>#VALUE!</v>
      </c>
      <c r="BC226" s="1"/>
      <c r="BD226" s="1" t="e">
        <f>VLOOKUP(B226,Tabla467824[[ID CAE2]:[AE '[kWh']]],6,FALSE)</f>
        <v>#N/A</v>
      </c>
      <c r="BE22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7" spans="1:57" ht="60" x14ac:dyDescent="0.25">
      <c r="A227" s="53" t="s">
        <v>1376</v>
      </c>
      <c r="B227" s="53" t="e">
        <v>#N/A</v>
      </c>
      <c r="C227" s="332" t="s">
        <v>1377</v>
      </c>
      <c r="D227" s="104"/>
      <c r="E227" s="104"/>
      <c r="F227" s="104"/>
      <c r="G227" s="104" t="s">
        <v>72</v>
      </c>
      <c r="H227" s="104"/>
      <c r="I227" s="104" t="s">
        <v>72</v>
      </c>
      <c r="J227" s="104"/>
      <c r="K227" s="96" t="s">
        <v>158</v>
      </c>
      <c r="L227" s="96" t="s">
        <v>159</v>
      </c>
      <c r="M227" s="96" t="s">
        <v>158</v>
      </c>
      <c r="N227" s="96" t="s">
        <v>171</v>
      </c>
      <c r="O227" s="99">
        <f>VLOOKUP(Tabla156[[#This Row],[Matricula Antigua]],BAJA2022202320242025!$B$3:$CR$245,93,FALSE)</f>
        <v>41393</v>
      </c>
      <c r="P227" s="316">
        <v>45124</v>
      </c>
      <c r="Q227" s="317">
        <f>Tabla156[[#This Row],[F.Vig.Final]]-Tabla156[[#This Row],[f Vig Inicio]]</f>
        <v>3731</v>
      </c>
      <c r="R227" s="318">
        <f>YEAR(Tabla156[[#This Row],[F.Vig.Final]])</f>
        <v>2023</v>
      </c>
      <c r="S227" s="96" t="s">
        <v>172</v>
      </c>
      <c r="T227" s="96" t="s">
        <v>78</v>
      </c>
      <c r="U227" s="96" t="s">
        <v>1185</v>
      </c>
      <c r="V227" s="96" t="s">
        <v>1378</v>
      </c>
      <c r="W227" s="96" t="s">
        <v>1050</v>
      </c>
      <c r="X227" s="332" t="s">
        <v>1051</v>
      </c>
      <c r="Y227" s="96" t="s">
        <v>1052</v>
      </c>
      <c r="Z227" s="98">
        <f>COUNTIF($X$3:X227, X227)</f>
        <v>9</v>
      </c>
      <c r="AA227" s="337" t="s">
        <v>1704</v>
      </c>
      <c r="AB227" s="337" t="s">
        <v>1704</v>
      </c>
      <c r="AC227" s="337" t="s">
        <v>1705</v>
      </c>
      <c r="AD227" s="341" t="s">
        <v>1706</v>
      </c>
      <c r="AE227" s="347" t="s">
        <v>1707</v>
      </c>
      <c r="AF227" s="337" t="s">
        <v>1708</v>
      </c>
      <c r="AG227" s="337" t="s">
        <v>1709</v>
      </c>
      <c r="AH227" s="337" t="s">
        <v>1649</v>
      </c>
      <c r="AI227" s="337" t="s">
        <v>1379</v>
      </c>
      <c r="AJ227" s="98" t="s">
        <v>85</v>
      </c>
      <c r="AK227" s="98" t="s">
        <v>86</v>
      </c>
      <c r="AL227" s="98" t="s">
        <v>87</v>
      </c>
      <c r="AM227" s="101" t="s">
        <v>1054</v>
      </c>
      <c r="AN227" s="348" t="s">
        <v>547</v>
      </c>
      <c r="AO227" s="349">
        <v>45671</v>
      </c>
      <c r="AP227" s="98">
        <f>Tabla156[[#This Row],[Renov. Flota]]-Tabla156[[#This Row],[Año]]</f>
        <v>2</v>
      </c>
      <c r="AQ227" s="100" t="s">
        <v>1050</v>
      </c>
      <c r="AR227" s="100" t="str">
        <f>VLOOKUP(Tabla156[[#This Row],[Matricula nueva]],'ALTA 20242025'!$B$2:$P$242,15,FALSE)</f>
        <v>4500426764</v>
      </c>
      <c r="AS227" s="101" t="s">
        <v>1051</v>
      </c>
      <c r="AT227" s="101"/>
      <c r="AU227" s="101" t="s">
        <v>72</v>
      </c>
      <c r="AV227" s="101" t="s">
        <v>1056</v>
      </c>
      <c r="AW227" s="101" t="str">
        <f>VLOOKUP(Tabla156[[#This Row],[Matricula nueva]],Hoja2!$A$1:$B$224,2,FALSE)</f>
        <v>VF1RFK00973824880</v>
      </c>
      <c r="AX227" s="209">
        <v>35</v>
      </c>
      <c r="AY227" s="208">
        <f>IF(T227="DIESEL",10,IF(T227="GLP",7.16,9.19))</f>
        <v>10</v>
      </c>
      <c r="AZ227" s="313">
        <v>17.3</v>
      </c>
      <c r="BA227" s="314">
        <f>IF(Tabla156[[#This Row],[Columna2]]="M1",13073,IF(Tabla156[[#This Row],[Columna2]]="N1",15815,IF(Tabla156[[#This Row],[Columna2]]="L3e",2831,53508)))</f>
        <v>53508</v>
      </c>
      <c r="BB227" s="350">
        <f>(Tabla156[[#This Row],[CVA]]*Tabla156[[#This Row],[F]]-Tabla156[[#This Row],[CVN]])/100*Tabla156[[#This Row],[L]]</f>
        <v>178021.11600000001</v>
      </c>
      <c r="BC227" s="90" t="s">
        <v>516</v>
      </c>
      <c r="BD227" s="209">
        <v>0</v>
      </c>
      <c r="BE22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28" spans="1:57" ht="52.5" thickBot="1" x14ac:dyDescent="0.3">
      <c r="A228" s="53" t="s">
        <v>1380</v>
      </c>
      <c r="B228" s="53" t="e">
        <v>#N/A</v>
      </c>
      <c r="C228" s="332" t="s">
        <v>1381</v>
      </c>
      <c r="D228" s="104"/>
      <c r="E228" s="104"/>
      <c r="F228" s="104"/>
      <c r="G228" s="104"/>
      <c r="H228" s="104"/>
      <c r="I228" s="104"/>
      <c r="J228" s="104"/>
      <c r="K228" s="96" t="s">
        <v>413</v>
      </c>
      <c r="L228" s="96" t="s">
        <v>414</v>
      </c>
      <c r="M228" s="96" t="s">
        <v>415</v>
      </c>
      <c r="N228" s="96" t="s">
        <v>171</v>
      </c>
      <c r="O228" s="101">
        <f>VLOOKUP(Tabla156[[#This Row],[Matricula Antigua]],BAJA2022202320242025!$B$3:$CR$245,93,FALSE)</f>
        <v>44562</v>
      </c>
      <c r="P228" s="316">
        <v>45199</v>
      </c>
      <c r="Q228" s="317">
        <f>Tabla156[[#This Row],[F.Vig.Final]]-Tabla156[[#This Row],[f Vig Inicio]]</f>
        <v>637</v>
      </c>
      <c r="R228" s="318">
        <f>YEAR(Tabla156[[#This Row],[F.Vig.Final]])</f>
        <v>2023</v>
      </c>
      <c r="S228" s="96" t="s">
        <v>172</v>
      </c>
      <c r="T228" s="96" t="s">
        <v>71</v>
      </c>
      <c r="U228" s="96" t="s">
        <v>1382</v>
      </c>
      <c r="V228" s="96" t="s">
        <v>1383</v>
      </c>
      <c r="W228" s="96" t="s">
        <v>204</v>
      </c>
      <c r="X228" s="332" t="s">
        <v>205</v>
      </c>
      <c r="Y228" s="96" t="s">
        <v>1081</v>
      </c>
      <c r="Z228" s="98">
        <f>COUNTIF($X$3:X228, X228)</f>
        <v>9</v>
      </c>
      <c r="AA228" s="337" t="s">
        <v>1661</v>
      </c>
      <c r="AB228" s="337" t="s">
        <v>1661</v>
      </c>
      <c r="AC228" s="337" t="s">
        <v>1662</v>
      </c>
      <c r="AD228" s="337" t="s">
        <v>1679</v>
      </c>
      <c r="AE228" s="351" t="s">
        <v>1664</v>
      </c>
      <c r="AF228" s="337" t="s">
        <v>1680</v>
      </c>
      <c r="AG228" s="337" t="s">
        <v>1681</v>
      </c>
      <c r="AH228" s="337" t="s">
        <v>1649</v>
      </c>
      <c r="AI228" s="337" t="s">
        <v>1384</v>
      </c>
      <c r="AJ228" s="98" t="s">
        <v>140</v>
      </c>
      <c r="AK228" s="98" t="s">
        <v>151</v>
      </c>
      <c r="AL228" s="98" t="s">
        <v>87</v>
      </c>
      <c r="AM228" s="101" t="s">
        <v>1385</v>
      </c>
      <c r="AN228" s="348" t="s">
        <v>89</v>
      </c>
      <c r="AO228" s="349">
        <v>45637</v>
      </c>
      <c r="AP228" s="98">
        <f>Tabla156[[#This Row],[Renov. Flota]]-Tabla156[[#This Row],[Año]]</f>
        <v>1</v>
      </c>
      <c r="AQ228" s="100" t="s">
        <v>204</v>
      </c>
      <c r="AR228" s="100" t="str">
        <f>VLOOKUP(Tabla156[[#This Row],[Matricula nueva]],'ALTA 20242025'!$B$2:$P$242,15,FALSE)</f>
        <v>4500424895</v>
      </c>
      <c r="AS228" s="101" t="s">
        <v>205</v>
      </c>
      <c r="AT228" s="101"/>
      <c r="AU228" s="101" t="s">
        <v>72</v>
      </c>
      <c r="AV228" s="101" t="s">
        <v>91</v>
      </c>
      <c r="AW228" s="101" t="str">
        <f>VLOOKUP(Tabla156[[#This Row],[Matricula nueva]],Hoja2!$A$1:$B$224,2,FALSE)</f>
        <v>VR7CBZYAXRT153034</v>
      </c>
      <c r="AX228" s="209">
        <v>2.9</v>
      </c>
      <c r="AY228" s="208">
        <f>IF(T228="DIESEL",10,IF(T228="GLP",7.16,9.19))</f>
        <v>9.19</v>
      </c>
      <c r="AZ228" s="313">
        <v>16.399999999999999</v>
      </c>
      <c r="BA228" s="314">
        <f>IF(Tabla156[[#This Row],[Columna2]]="M1",13073,IF(Tabla156[[#This Row],[Columna2]]="N1",15815,IF(Tabla156[[#This Row],[Columna2]]="L3e",2831,53508)))</f>
        <v>2831</v>
      </c>
      <c r="BB228" s="350">
        <f>(Tabla156[[#This Row],[CVA]]*Tabla156[[#This Row],[F]]-Tabla156[[#This Row],[CVN]])/100*Tabla156[[#This Row],[L]]</f>
        <v>290.20580999999993</v>
      </c>
      <c r="BC228" s="91" t="s">
        <v>157</v>
      </c>
      <c r="BD228" s="209">
        <v>0</v>
      </c>
      <c r="BE22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29" spans="1:57" ht="15.75" hidden="1" thickBot="1" x14ac:dyDescent="0.3">
      <c r="A229" s="101"/>
      <c r="B229" s="53" t="e">
        <v>#N/A</v>
      </c>
      <c r="C229" s="96" t="s">
        <v>1386</v>
      </c>
      <c r="D229" s="96"/>
      <c r="E229" s="96"/>
      <c r="F229" s="96"/>
      <c r="G229" s="96"/>
      <c r="H229" s="96"/>
      <c r="I229" s="96"/>
      <c r="J229" s="96"/>
      <c r="K229" s="96" t="s">
        <v>73</v>
      </c>
      <c r="L229" s="96" t="s">
        <v>200</v>
      </c>
      <c r="M229" s="96" t="s">
        <v>201</v>
      </c>
      <c r="N229" s="96" t="s">
        <v>76</v>
      </c>
      <c r="O229" s="101">
        <f>VLOOKUP(Tabla156[[#This Row],[Matricula Antigua]],BAJA2022202320242025!$B$3:$CR$245,93,FALSE)</f>
        <v>43860</v>
      </c>
      <c r="P229" s="99">
        <v>45687</v>
      </c>
      <c r="Q229" s="99">
        <f>Tabla156[[#This Row],[F.Vig.Final]]-Tabla156[[#This Row],[f Vig Inicio]]</f>
        <v>1827</v>
      </c>
      <c r="R229" s="99">
        <f>YEAR(Tabla156[[#This Row],[F.Vig.Final]])</f>
        <v>2025</v>
      </c>
      <c r="S229" s="96" t="s">
        <v>77</v>
      </c>
      <c r="T229" s="96" t="s">
        <v>78</v>
      </c>
      <c r="U229" s="96" t="s">
        <v>359</v>
      </c>
      <c r="V229" s="96" t="s">
        <v>1387</v>
      </c>
      <c r="W229" s="96" t="s">
        <v>119</v>
      </c>
      <c r="X229" s="96" t="s">
        <v>120</v>
      </c>
      <c r="Y229" s="96" t="s">
        <v>770</v>
      </c>
      <c r="Z229" s="98">
        <f>COUNTIF($X$3:X229, X229)</f>
        <v>3</v>
      </c>
      <c r="AA229" s="98"/>
      <c r="AB229" s="98"/>
      <c r="AC229" s="98"/>
      <c r="AD229" s="98"/>
      <c r="AE229" s="98"/>
      <c r="AF229" s="98"/>
      <c r="AG229" s="98"/>
      <c r="AH229" s="98"/>
      <c r="AI229" s="98" t="e">
        <v>#N/A</v>
      </c>
      <c r="AJ229" s="98" t="e">
        <v>#N/A</v>
      </c>
      <c r="AK229" s="98" t="e">
        <v>#N/A</v>
      </c>
      <c r="AL229" s="98" t="e">
        <v>#N/A</v>
      </c>
      <c r="AM229" s="98" t="e">
        <v>#N/A</v>
      </c>
      <c r="AN229" s="99" t="e">
        <v>#N/A</v>
      </c>
      <c r="AO229" s="99" t="e">
        <v>#N/A</v>
      </c>
      <c r="AP229" s="99" t="e">
        <f>Tabla156[[#This Row],[Renov. Flota]]-Tabla156[[#This Row],[Año]]</f>
        <v>#N/A</v>
      </c>
      <c r="AQ229" s="100" t="e">
        <v>#N/A</v>
      </c>
      <c r="AR229" s="100" t="e">
        <f>VLOOKUP(Tabla156[[#This Row],[Matricula nueva]],'ALTA 20242025'!$B$2:$P$242,15,FALSE)</f>
        <v>#N/A</v>
      </c>
      <c r="AS229" s="101" t="e">
        <v>#N/A</v>
      </c>
      <c r="AT229" s="101"/>
      <c r="AU229" s="101"/>
      <c r="AV229" s="101"/>
      <c r="AW229" s="101" t="e">
        <f>VLOOKUP(Tabla156[[#This Row],[Matricula nueva]],Hoja2!$A$1:$B$224,2,FALSE)</f>
        <v>#N/A</v>
      </c>
      <c r="AX229" s="101" t="str">
        <f>IF(Tabla156[[#This Row],[Columna2]]="M1",5.1,"")</f>
        <v/>
      </c>
      <c r="AY229" s="101"/>
      <c r="AZ229" s="101"/>
      <c r="BA229" s="311">
        <f>IF(Tabla156[[#This Row],[Columna2]]="M1",13073,IF(Tabla156[[#This Row],[Columna2]]="N1",15815,IF(Tabla156[[#This Row],[Columna2]]="L3e",2831,53508)))</f>
        <v>53508</v>
      </c>
      <c r="BB229" s="311" t="e">
        <f>(Tabla156[[#This Row],[CVA]]*Tabla156[[#This Row],[F]]-Tabla156[[#This Row],[CVN]])/100*Tabla156[[#This Row],[L]]</f>
        <v>#VALUE!</v>
      </c>
      <c r="BC229" s="1"/>
      <c r="BD229" s="1" t="e">
        <f>VLOOKUP(B229,Tabla467824[[ID CAE2]:[AE '[kWh']]],6,FALSE)</f>
        <v>#N/A</v>
      </c>
      <c r="BE22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30" spans="1:57" ht="15.75" hidden="1" thickBot="1" x14ac:dyDescent="0.3">
      <c r="A230" s="101"/>
      <c r="B230" s="53" t="e">
        <v>#N/A</v>
      </c>
      <c r="C230" s="100" t="s">
        <v>1388</v>
      </c>
      <c r="D230" s="100"/>
      <c r="E230" s="100"/>
      <c r="F230" s="100"/>
      <c r="G230" s="100"/>
      <c r="H230" s="100"/>
      <c r="I230" s="100"/>
      <c r="J230" s="100"/>
      <c r="K230" s="100" t="s">
        <v>129</v>
      </c>
      <c r="L230" s="100" t="s">
        <v>74</v>
      </c>
      <c r="M230" s="100" t="s">
        <v>75</v>
      </c>
      <c r="N230" s="100" t="s">
        <v>76</v>
      </c>
      <c r="O230" s="100" t="e">
        <f>VLOOKUP(Tabla156[[#This Row],[Matricula Antigua]],BAJA2022202320242025!$B$3:$CR$245,93,FALSE)</f>
        <v>#N/A</v>
      </c>
      <c r="P230" s="315">
        <v>44634</v>
      </c>
      <c r="Q230" s="315" t="e">
        <f>Tabla156[[#This Row],[F.Vig.Final]]-Tabla156[[#This Row],[f Vig Inicio]]</f>
        <v>#N/A</v>
      </c>
      <c r="R230" s="315">
        <f>YEAR(Tabla156[[#This Row],[F.Vig.Final]])</f>
        <v>2022</v>
      </c>
      <c r="S230" s="100" t="s">
        <v>77</v>
      </c>
      <c r="T230" s="100" t="s">
        <v>78</v>
      </c>
      <c r="U230" s="100" t="s">
        <v>380</v>
      </c>
      <c r="V230" s="100" t="s">
        <v>1389</v>
      </c>
      <c r="W230" s="100" t="s">
        <v>131</v>
      </c>
      <c r="X230" s="100" t="s">
        <v>132</v>
      </c>
      <c r="Y230" s="100" t="s">
        <v>1390</v>
      </c>
      <c r="Z230" s="98">
        <f>COUNTIF($X$3:X230, X230)</f>
        <v>22</v>
      </c>
      <c r="AA230" s="98"/>
      <c r="AB230" s="98"/>
      <c r="AC230" s="98"/>
      <c r="AD230" s="98"/>
      <c r="AE230" s="98"/>
      <c r="AF230" s="98"/>
      <c r="AG230" s="98"/>
      <c r="AH230" s="98"/>
      <c r="AI230" s="98" t="e">
        <v>#N/A</v>
      </c>
      <c r="AJ230" s="98" t="e">
        <v>#N/A</v>
      </c>
      <c r="AK230" s="98" t="e">
        <v>#N/A</v>
      </c>
      <c r="AL230" s="98" t="e">
        <v>#N/A</v>
      </c>
      <c r="AM230" s="98" t="e">
        <v>#N/A</v>
      </c>
      <c r="AN230" s="99" t="e">
        <v>#N/A</v>
      </c>
      <c r="AO230" s="99" t="e">
        <v>#N/A</v>
      </c>
      <c r="AP230" s="99" t="e">
        <f>Tabla156[[#This Row],[Renov. Flota]]-Tabla156[[#This Row],[Año]]</f>
        <v>#N/A</v>
      </c>
      <c r="AQ230" s="100" t="e">
        <v>#N/A</v>
      </c>
      <c r="AR230" s="100" t="e">
        <f>VLOOKUP(Tabla156[[#This Row],[Matricula nueva]],'ALTA 20242025'!$B$2:$P$242,15,FALSE)</f>
        <v>#N/A</v>
      </c>
      <c r="AS230" s="101" t="e">
        <v>#N/A</v>
      </c>
      <c r="AT230" s="101"/>
      <c r="AU230" s="101"/>
      <c r="AV230" s="101"/>
      <c r="AW230" s="101" t="e">
        <f>VLOOKUP(Tabla156[[#This Row],[Matricula nueva]],Hoja2!$A$1:$B$224,2,FALSE)</f>
        <v>#N/A</v>
      </c>
      <c r="AX230" s="101" t="str">
        <f>IF(Tabla156[[#This Row],[Columna2]]="M1",5.1,"")</f>
        <v/>
      </c>
      <c r="AY230" s="101"/>
      <c r="AZ230" s="101"/>
      <c r="BA230" s="311">
        <f>IF(Tabla156[[#This Row],[Columna2]]="M1",13073,IF(Tabla156[[#This Row],[Columna2]]="N1",15815,IF(Tabla156[[#This Row],[Columna2]]="L3e",2831,53508)))</f>
        <v>53508</v>
      </c>
      <c r="BB230" s="311" t="e">
        <f>(Tabla156[[#This Row],[CVA]]*Tabla156[[#This Row],[F]]-Tabla156[[#This Row],[CVN]])/100*Tabla156[[#This Row],[L]]</f>
        <v>#VALUE!</v>
      </c>
      <c r="BC230" s="1"/>
      <c r="BD230" s="1" t="e">
        <f>VLOOKUP(B230,Tabla467824[[ID CAE2]:[AE '[kWh']]],6,FALSE)</f>
        <v>#N/A</v>
      </c>
      <c r="BE23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31" spans="1:57" ht="15.75" hidden="1" thickBot="1" x14ac:dyDescent="0.3">
      <c r="A231" s="101"/>
      <c r="B231" s="53" t="e">
        <v>#N/A</v>
      </c>
      <c r="C231" s="96" t="s">
        <v>1391</v>
      </c>
      <c r="D231" s="96"/>
      <c r="E231" s="96"/>
      <c r="F231" s="96"/>
      <c r="G231" s="96"/>
      <c r="H231" s="96"/>
      <c r="I231" s="96"/>
      <c r="J231" s="96"/>
      <c r="K231" s="96" t="s">
        <v>158</v>
      </c>
      <c r="L231" s="96" t="s">
        <v>159</v>
      </c>
      <c r="M231" s="96" t="s">
        <v>158</v>
      </c>
      <c r="N231" s="96" t="s">
        <v>171</v>
      </c>
      <c r="O231" s="101">
        <f>VLOOKUP(Tabla156[[#This Row],[Matricula Antigua]],BAJA2022202320242025!$B$3:$CR$245,93,FALSE)</f>
        <v>44136</v>
      </c>
      <c r="P231" s="316">
        <v>45016</v>
      </c>
      <c r="Q231" s="316">
        <f>Tabla156[[#This Row],[F.Vig.Final]]-Tabla156[[#This Row],[f Vig Inicio]]</f>
        <v>880</v>
      </c>
      <c r="R231" s="316">
        <f>YEAR(Tabla156[[#This Row],[F.Vig.Final]])</f>
        <v>2023</v>
      </c>
      <c r="S231" s="96" t="s">
        <v>172</v>
      </c>
      <c r="T231" s="96" t="s">
        <v>78</v>
      </c>
      <c r="U231" s="96" t="s">
        <v>1338</v>
      </c>
      <c r="V231" s="96" t="s">
        <v>1338</v>
      </c>
      <c r="W231" s="96" t="s">
        <v>131</v>
      </c>
      <c r="X231" s="96" t="s">
        <v>132</v>
      </c>
      <c r="Y231" s="96" t="s">
        <v>610</v>
      </c>
      <c r="Z231" s="98">
        <f>COUNTIF($X$3:X231, X231)</f>
        <v>23</v>
      </c>
      <c r="AA231" s="98"/>
      <c r="AB231" s="98"/>
      <c r="AC231" s="98"/>
      <c r="AD231" s="98"/>
      <c r="AE231" s="98"/>
      <c r="AF231" s="98"/>
      <c r="AG231" s="98"/>
      <c r="AH231" s="98"/>
      <c r="AI231" s="98" t="s">
        <v>1392</v>
      </c>
      <c r="AJ231" s="98" t="s">
        <v>140</v>
      </c>
      <c r="AK231" s="98" t="s">
        <v>151</v>
      </c>
      <c r="AL231" s="98" t="s">
        <v>87</v>
      </c>
      <c r="AM231" s="98" t="s">
        <v>135</v>
      </c>
      <c r="AN231" s="316" t="s">
        <v>89</v>
      </c>
      <c r="AO231" s="99">
        <v>45625</v>
      </c>
      <c r="AP231" s="99">
        <f>Tabla156[[#This Row],[Renov. Flota]]-Tabla156[[#This Row],[Año]]</f>
        <v>1</v>
      </c>
      <c r="AQ231" s="100" t="s">
        <v>131</v>
      </c>
      <c r="AR231" s="100" t="str">
        <f>VLOOKUP(Tabla156[[#This Row],[Matricula nueva]],'ALTA 20242025'!$B$2:$P$242,15,FALSE)</f>
        <v>4500426702</v>
      </c>
      <c r="AS231" s="101" t="s">
        <v>132</v>
      </c>
      <c r="AT231" s="101"/>
      <c r="AU231" s="101"/>
      <c r="AV231" s="101"/>
      <c r="AW231" s="101" t="str">
        <f>VLOOKUP(Tabla156[[#This Row],[Matricula nueva]],Hoja2!$A$1:$B$224,2,FALSE)</f>
        <v>VR7CBZYA7ST000178</v>
      </c>
      <c r="AX231" s="209" t="str">
        <f>IF(Tabla156[[#This Row],[Columna2]]="M1",5.1,"")</f>
        <v/>
      </c>
      <c r="AY231" s="208">
        <f>IF(T231="DIESEL",10,IF(T231="GLP",7.16,9.19))</f>
        <v>10</v>
      </c>
      <c r="AZ231" s="313">
        <v>16.399999999999999</v>
      </c>
      <c r="BA231" s="314"/>
      <c r="BB231" s="314"/>
      <c r="BD231" s="43" t="e">
        <f>VLOOKUP(B231,Tabla467824[[ID CAE2]:[AE '[kWh']]],6,FALSE)</f>
        <v>#N/A</v>
      </c>
      <c r="BE23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32" spans="1:57" ht="15.75" hidden="1" thickBot="1" x14ac:dyDescent="0.3">
      <c r="A232" s="101"/>
      <c r="B232" s="53" t="e">
        <v>#N/A</v>
      </c>
      <c r="C232" s="100" t="s">
        <v>1393</v>
      </c>
      <c r="D232" s="100"/>
      <c r="E232" s="100"/>
      <c r="F232" s="100"/>
      <c r="G232" s="100"/>
      <c r="H232" s="100"/>
      <c r="I232" s="100"/>
      <c r="J232" s="100"/>
      <c r="K232" s="100" t="s">
        <v>73</v>
      </c>
      <c r="L232" s="100" t="s">
        <v>200</v>
      </c>
      <c r="M232" s="100" t="s">
        <v>201</v>
      </c>
      <c r="N232" s="100" t="s">
        <v>76</v>
      </c>
      <c r="O232" s="100" t="e">
        <f>VLOOKUP(Tabla156[[#This Row],[Matricula Antigua]],BAJA2022202320242025!$B$3:$CR$245,93,FALSE)</f>
        <v>#N/A</v>
      </c>
      <c r="P232" s="315">
        <v>44749</v>
      </c>
      <c r="Q232" s="315" t="e">
        <f>Tabla156[[#This Row],[F.Vig.Final]]-Tabla156[[#This Row],[f Vig Inicio]]</f>
        <v>#N/A</v>
      </c>
      <c r="R232" s="315">
        <f>YEAR(Tabla156[[#This Row],[F.Vig.Final]])</f>
        <v>2022</v>
      </c>
      <c r="S232" s="100" t="s">
        <v>77</v>
      </c>
      <c r="T232" s="100" t="s">
        <v>78</v>
      </c>
      <c r="U232" s="100" t="s">
        <v>359</v>
      </c>
      <c r="V232" s="100" t="s">
        <v>604</v>
      </c>
      <c r="W232" s="100" t="s">
        <v>215</v>
      </c>
      <c r="X232" s="100" t="s">
        <v>216</v>
      </c>
      <c r="Y232" s="100" t="s">
        <v>507</v>
      </c>
      <c r="Z232" s="98">
        <f>COUNTIF($X$3:X232, X232)</f>
        <v>5</v>
      </c>
      <c r="AA232" s="98"/>
      <c r="AB232" s="98"/>
      <c r="AC232" s="98"/>
      <c r="AD232" s="98"/>
      <c r="AE232" s="98"/>
      <c r="AF232" s="98"/>
      <c r="AG232" s="98"/>
      <c r="AH232" s="98"/>
      <c r="AI232" s="98" t="e">
        <v>#N/A</v>
      </c>
      <c r="AJ232" s="98" t="e">
        <v>#N/A</v>
      </c>
      <c r="AK232" s="98" t="e">
        <v>#N/A</v>
      </c>
      <c r="AL232" s="98" t="e">
        <v>#N/A</v>
      </c>
      <c r="AM232" s="98" t="e">
        <v>#N/A</v>
      </c>
      <c r="AN232" s="99" t="e">
        <v>#N/A</v>
      </c>
      <c r="AO232" s="99" t="e">
        <v>#N/A</v>
      </c>
      <c r="AP232" s="99" t="e">
        <f>Tabla156[[#This Row],[Renov. Flota]]-Tabla156[[#This Row],[Año]]</f>
        <v>#N/A</v>
      </c>
      <c r="AQ232" s="100" t="e">
        <v>#N/A</v>
      </c>
      <c r="AR232" s="100" t="e">
        <f>VLOOKUP(Tabla156[[#This Row],[Matricula nueva]],'ALTA 20242025'!$B$2:$P$242,15,FALSE)</f>
        <v>#N/A</v>
      </c>
      <c r="AS232" s="101" t="e">
        <v>#N/A</v>
      </c>
      <c r="AT232" s="101"/>
      <c r="AU232" s="101"/>
      <c r="AV232" s="101"/>
      <c r="AW232" s="101" t="e">
        <f>VLOOKUP(Tabla156[[#This Row],[Matricula nueva]],Hoja2!$A$1:$B$224,2,FALSE)</f>
        <v>#N/A</v>
      </c>
      <c r="AX232" s="101" t="str">
        <f>IF(Tabla156[[#This Row],[Columna2]]="M1",5.1,"")</f>
        <v/>
      </c>
      <c r="AY232" s="101"/>
      <c r="AZ232" s="101"/>
      <c r="BA232" s="311">
        <f>IF(Tabla156[[#This Row],[Columna2]]="M1",13073,IF(Tabla156[[#This Row],[Columna2]]="N1",15815,IF(Tabla156[[#This Row],[Columna2]]="L3e",2831,53508)))</f>
        <v>53508</v>
      </c>
      <c r="BB232" s="311" t="e">
        <f>(Tabla156[[#This Row],[CVA]]*Tabla156[[#This Row],[F]]-Tabla156[[#This Row],[CVN]])/100*Tabla156[[#This Row],[L]]</f>
        <v>#VALUE!</v>
      </c>
      <c r="BC232" s="1"/>
      <c r="BD232" s="1" t="e">
        <f>VLOOKUP(B232,Tabla467824[[ID CAE2]:[AE '[kWh']]],6,FALSE)</f>
        <v>#N/A</v>
      </c>
      <c r="BE23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33" spans="1:57" ht="15.75" hidden="1" thickBot="1" x14ac:dyDescent="0.3">
      <c r="A233" s="101"/>
      <c r="B233" s="53" t="e">
        <v>#N/A</v>
      </c>
      <c r="C233" s="100" t="s">
        <v>1394</v>
      </c>
      <c r="D233" s="100"/>
      <c r="E233" s="100"/>
      <c r="F233" s="100"/>
      <c r="G233" s="100"/>
      <c r="H233" s="100"/>
      <c r="I233" s="100"/>
      <c r="J233" s="100"/>
      <c r="K233" s="100" t="s">
        <v>73</v>
      </c>
      <c r="L233" s="100" t="s">
        <v>74</v>
      </c>
      <c r="M233" s="100" t="s">
        <v>75</v>
      </c>
      <c r="N233" s="100" t="s">
        <v>76</v>
      </c>
      <c r="O233" s="100" t="e">
        <f>VLOOKUP(Tabla156[[#This Row],[Matricula Antigua]],BAJA2022202320242025!$B$3:$CR$245,93,FALSE)</f>
        <v>#N/A</v>
      </c>
      <c r="P233" s="315">
        <v>44756</v>
      </c>
      <c r="Q233" s="315" t="e">
        <f>Tabla156[[#This Row],[F.Vig.Final]]-Tabla156[[#This Row],[f Vig Inicio]]</f>
        <v>#N/A</v>
      </c>
      <c r="R233" s="315">
        <f>YEAR(Tabla156[[#This Row],[F.Vig.Final]])</f>
        <v>2022</v>
      </c>
      <c r="S233" s="100" t="s">
        <v>77</v>
      </c>
      <c r="T233" s="100" t="s">
        <v>78</v>
      </c>
      <c r="U233" s="100" t="s">
        <v>140</v>
      </c>
      <c r="V233" s="100" t="s">
        <v>1395</v>
      </c>
      <c r="W233" s="100" t="s">
        <v>1396</v>
      </c>
      <c r="X233" s="100" t="s">
        <v>1397</v>
      </c>
      <c r="Y233" s="100" t="s">
        <v>1398</v>
      </c>
      <c r="Z233" s="98">
        <f>COUNTIF($X$3:X233, X233)</f>
        <v>1</v>
      </c>
      <c r="AA233" s="98"/>
      <c r="AB233" s="98"/>
      <c r="AC233" s="98"/>
      <c r="AD233" s="98"/>
      <c r="AE233" s="98"/>
      <c r="AF233" s="98"/>
      <c r="AG233" s="98"/>
      <c r="AH233" s="98"/>
      <c r="AI233" s="98" t="e">
        <v>#N/A</v>
      </c>
      <c r="AJ233" s="98" t="e">
        <v>#N/A</v>
      </c>
      <c r="AK233" s="98" t="e">
        <v>#N/A</v>
      </c>
      <c r="AL233" s="98" t="e">
        <v>#N/A</v>
      </c>
      <c r="AM233" s="98" t="e">
        <v>#N/A</v>
      </c>
      <c r="AN233" s="99" t="e">
        <v>#N/A</v>
      </c>
      <c r="AO233" s="99" t="e">
        <v>#N/A</v>
      </c>
      <c r="AP233" s="99" t="e">
        <f>Tabla156[[#This Row],[Renov. Flota]]-Tabla156[[#This Row],[Año]]</f>
        <v>#N/A</v>
      </c>
      <c r="AQ233" s="100" t="e">
        <v>#N/A</v>
      </c>
      <c r="AR233" s="100" t="e">
        <f>VLOOKUP(Tabla156[[#This Row],[Matricula nueva]],'ALTA 20242025'!$B$2:$P$242,15,FALSE)</f>
        <v>#N/A</v>
      </c>
      <c r="AS233" s="101" t="e">
        <v>#N/A</v>
      </c>
      <c r="AT233" s="101"/>
      <c r="AU233" s="101"/>
      <c r="AV233" s="101"/>
      <c r="AW233" s="101" t="e">
        <f>VLOOKUP(Tabla156[[#This Row],[Matricula nueva]],Hoja2!$A$1:$B$224,2,FALSE)</f>
        <v>#N/A</v>
      </c>
      <c r="AX233" s="101" t="str">
        <f>IF(Tabla156[[#This Row],[Columna2]]="M1",5.1,"")</f>
        <v/>
      </c>
      <c r="AY233" s="101"/>
      <c r="AZ233" s="101"/>
      <c r="BA233" s="311">
        <f>IF(Tabla156[[#This Row],[Columna2]]="M1",13073,IF(Tabla156[[#This Row],[Columna2]]="N1",15815,IF(Tabla156[[#This Row],[Columna2]]="L3e",2831,53508)))</f>
        <v>53508</v>
      </c>
      <c r="BB233" s="311" t="e">
        <f>(Tabla156[[#This Row],[CVA]]*Tabla156[[#This Row],[F]]-Tabla156[[#This Row],[CVN]])/100*Tabla156[[#This Row],[L]]</f>
        <v>#VALUE!</v>
      </c>
      <c r="BC233" s="1"/>
      <c r="BD233" s="1" t="e">
        <f>VLOOKUP(B233,Tabla467824[[ID CAE2]:[AE '[kWh']]],6,FALSE)</f>
        <v>#N/A</v>
      </c>
      <c r="BE23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34" spans="1:57" ht="15.75" hidden="1" thickBot="1" x14ac:dyDescent="0.3">
      <c r="A234" s="101"/>
      <c r="B234" s="53" t="e">
        <v>#N/A</v>
      </c>
      <c r="C234" s="96" t="s">
        <v>1399</v>
      </c>
      <c r="D234" s="96"/>
      <c r="E234" s="96"/>
      <c r="F234" s="96"/>
      <c r="G234" s="96"/>
      <c r="H234" s="96"/>
      <c r="I234" s="96"/>
      <c r="J234" s="96"/>
      <c r="K234" s="96" t="s">
        <v>158</v>
      </c>
      <c r="L234" s="96" t="s">
        <v>159</v>
      </c>
      <c r="M234" s="96" t="s">
        <v>158</v>
      </c>
      <c r="N234" s="96" t="s">
        <v>171</v>
      </c>
      <c r="O234" s="101">
        <f>VLOOKUP(Tabla156[[#This Row],[Matricula Antigua]],BAJA2022202320242025!$B$3:$CR$245,93,FALSE)</f>
        <v>42736</v>
      </c>
      <c r="P234" s="316">
        <v>45771</v>
      </c>
      <c r="Q234" s="316">
        <f>Tabla156[[#This Row],[F.Vig.Final]]-Tabla156[[#This Row],[f Vig Inicio]]</f>
        <v>3035</v>
      </c>
      <c r="R234" s="316">
        <f>YEAR(Tabla156[[#This Row],[F.Vig.Final]])</f>
        <v>2025</v>
      </c>
      <c r="S234" s="96" t="s">
        <v>172</v>
      </c>
      <c r="T234" s="96" t="s">
        <v>71</v>
      </c>
      <c r="U234" s="96" t="s">
        <v>1338</v>
      </c>
      <c r="V234" s="96" t="s">
        <v>1338</v>
      </c>
      <c r="W234" s="96" t="s">
        <v>119</v>
      </c>
      <c r="X234" s="96" t="s">
        <v>120</v>
      </c>
      <c r="Y234" s="96" t="s">
        <v>1400</v>
      </c>
      <c r="Z234" s="98">
        <f>COUNTIF($X$3:X234, X234)</f>
        <v>4</v>
      </c>
      <c r="AA234" s="98"/>
      <c r="AB234" s="98"/>
      <c r="AC234" s="98"/>
      <c r="AD234" s="98"/>
      <c r="AE234" s="98"/>
      <c r="AF234" s="98"/>
      <c r="AG234" s="98"/>
      <c r="AH234" s="98"/>
      <c r="AI234" s="98" t="s">
        <v>1401</v>
      </c>
      <c r="AJ234" s="98" t="s">
        <v>140</v>
      </c>
      <c r="AK234" s="98" t="s">
        <v>151</v>
      </c>
      <c r="AL234" s="98" t="s">
        <v>87</v>
      </c>
      <c r="AM234" s="98" t="s">
        <v>501</v>
      </c>
      <c r="AN234" s="316" t="s">
        <v>89</v>
      </c>
      <c r="AO234" s="99">
        <v>45622</v>
      </c>
      <c r="AP234" s="99">
        <f>Tabla156[[#This Row],[Renov. Flota]]-Tabla156[[#This Row],[Año]]</f>
        <v>-1</v>
      </c>
      <c r="AQ234" s="100" t="s">
        <v>119</v>
      </c>
      <c r="AR234" s="100" t="str">
        <f>VLOOKUP(Tabla156[[#This Row],[Matricula nueva]],'ALTA 20242025'!$B$2:$P$242,15,FALSE)</f>
        <v>4500424811</v>
      </c>
      <c r="AS234" s="101" t="s">
        <v>120</v>
      </c>
      <c r="AT234" s="101"/>
      <c r="AU234" s="101"/>
      <c r="AV234" s="101"/>
      <c r="AW234" s="101" t="str">
        <f>VLOOKUP(Tabla156[[#This Row],[Matricula nueva]],Hoja2!$A$1:$B$224,2,FALSE)</f>
        <v>VR7CBZYA8RT152190</v>
      </c>
      <c r="AX234" s="209" t="str">
        <f>IF(Tabla156[[#This Row],[Columna2]]="M1",5.1,"")</f>
        <v/>
      </c>
      <c r="AY234" s="208">
        <f>IF(T234="DIESEL",10,IF(T234="GLP",7.16,9.19))</f>
        <v>9.19</v>
      </c>
      <c r="AZ234" s="313">
        <v>16.399999999999999</v>
      </c>
      <c r="BA234" s="314"/>
      <c r="BB234" s="314"/>
      <c r="BD234" s="43" t="e">
        <f>VLOOKUP(B234,Tabla467824[[ID CAE2]:[AE '[kWh']]],6,FALSE)</f>
        <v>#N/A</v>
      </c>
      <c r="BE23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35" spans="1:57" ht="15.75" hidden="1" thickBot="1" x14ac:dyDescent="0.3">
      <c r="A235" s="101"/>
      <c r="B235" s="53" t="e">
        <v>#N/A</v>
      </c>
      <c r="C235" s="96" t="s">
        <v>1402</v>
      </c>
      <c r="D235" s="96"/>
      <c r="E235" s="96"/>
      <c r="F235" s="96"/>
      <c r="G235" s="96"/>
      <c r="H235" s="96"/>
      <c r="I235" s="96"/>
      <c r="J235" s="96"/>
      <c r="K235" s="96" t="s">
        <v>158</v>
      </c>
      <c r="L235" s="96" t="s">
        <v>159</v>
      </c>
      <c r="M235" s="96" t="s">
        <v>158</v>
      </c>
      <c r="N235" s="96" t="s">
        <v>171</v>
      </c>
      <c r="O235" s="101">
        <f>VLOOKUP(Tabla156[[#This Row],[Matricula Antigua]],BAJA2022202320242025!$B$3:$CR$245,93,FALSE)</f>
        <v>44136</v>
      </c>
      <c r="P235" s="316">
        <v>45279</v>
      </c>
      <c r="Q235" s="316">
        <f>Tabla156[[#This Row],[F.Vig.Final]]-Tabla156[[#This Row],[f Vig Inicio]]</f>
        <v>1143</v>
      </c>
      <c r="R235" s="316">
        <f>YEAR(Tabla156[[#This Row],[F.Vig.Final]])</f>
        <v>2023</v>
      </c>
      <c r="S235" s="96" t="s">
        <v>172</v>
      </c>
      <c r="T235" s="96" t="s">
        <v>78</v>
      </c>
      <c r="U235" s="96" t="s">
        <v>1338</v>
      </c>
      <c r="V235" s="96" t="s">
        <v>1338</v>
      </c>
      <c r="W235" s="96" t="s">
        <v>131</v>
      </c>
      <c r="X235" s="96" t="s">
        <v>132</v>
      </c>
      <c r="Y235" s="96" t="s">
        <v>1403</v>
      </c>
      <c r="Z235" s="98">
        <f>COUNTIF($X$3:X235, X235)</f>
        <v>24</v>
      </c>
      <c r="AA235" s="98"/>
      <c r="AB235" s="98"/>
      <c r="AC235" s="98"/>
      <c r="AD235" s="98"/>
      <c r="AE235" s="98"/>
      <c r="AF235" s="98"/>
      <c r="AG235" s="98"/>
      <c r="AH235" s="98"/>
      <c r="AI235" s="98" t="s">
        <v>1404</v>
      </c>
      <c r="AJ235" s="98" t="s">
        <v>85</v>
      </c>
      <c r="AK235" s="98" t="s">
        <v>86</v>
      </c>
      <c r="AL235" s="98" t="s">
        <v>87</v>
      </c>
      <c r="AM235" s="98" t="s">
        <v>318</v>
      </c>
      <c r="AN235" s="316" t="s">
        <v>89</v>
      </c>
      <c r="AO235" s="99">
        <v>45625</v>
      </c>
      <c r="AP235" s="99">
        <f>Tabla156[[#This Row],[Renov. Flota]]-Tabla156[[#This Row],[Año]]</f>
        <v>1</v>
      </c>
      <c r="AQ235" s="100" t="s">
        <v>131</v>
      </c>
      <c r="AR235" s="100" t="str">
        <f>VLOOKUP(Tabla156[[#This Row],[Matricula nueva]],'ALTA 20242025'!$B$2:$P$242,15,FALSE)</f>
        <v>4500426799</v>
      </c>
      <c r="AS235" s="101" t="s">
        <v>132</v>
      </c>
      <c r="AT235" s="101"/>
      <c r="AU235" s="101"/>
      <c r="AV235" s="101"/>
      <c r="AW235" s="101" t="str">
        <f>VLOOKUP(Tabla156[[#This Row],[Matricula nueva]],Hoja2!$A$1:$B$224,2,FALSE)</f>
        <v>VF1RFK00473824821</v>
      </c>
      <c r="AX235" s="209" t="str">
        <f>IF(Tabla156[[#This Row],[Columna2]]="M1",5.1,"")</f>
        <v/>
      </c>
      <c r="AY235" s="208">
        <f>IF(T235="DIESEL",10,IF(T235="GLP",7.16,9.19))</f>
        <v>10</v>
      </c>
      <c r="AZ235" s="313">
        <v>17.3</v>
      </c>
      <c r="BA235" s="314"/>
      <c r="BB235" s="314"/>
      <c r="BD235" s="43" t="e">
        <f>VLOOKUP(B235,Tabla467824[[ID CAE2]:[AE '[kWh']]],6,FALSE)</f>
        <v>#N/A</v>
      </c>
      <c r="BE23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36" spans="1:57" ht="15.75" hidden="1" thickBot="1" x14ac:dyDescent="0.3">
      <c r="A236" s="101"/>
      <c r="B236" s="53" t="e">
        <v>#N/A</v>
      </c>
      <c r="C236" s="100" t="s">
        <v>1405</v>
      </c>
      <c r="D236" s="100"/>
      <c r="E236" s="100"/>
      <c r="F236" s="100"/>
      <c r="G236" s="100"/>
      <c r="H236" s="100"/>
      <c r="I236" s="100"/>
      <c r="J236" s="100"/>
      <c r="K236" s="100" t="s">
        <v>73</v>
      </c>
      <c r="L236" s="100" t="s">
        <v>200</v>
      </c>
      <c r="M236" s="100" t="s">
        <v>201</v>
      </c>
      <c r="N236" s="100" t="s">
        <v>76</v>
      </c>
      <c r="O236" s="100" t="e">
        <f>VLOOKUP(Tabla156[[#This Row],[Matricula Antigua]],BAJA2022202320242025!$B$3:$CR$245,93,FALSE)</f>
        <v>#N/A</v>
      </c>
      <c r="P236" s="315">
        <v>44824</v>
      </c>
      <c r="Q236" s="315" t="e">
        <f>Tabla156[[#This Row],[F.Vig.Final]]-Tabla156[[#This Row],[f Vig Inicio]]</f>
        <v>#N/A</v>
      </c>
      <c r="R236" s="315">
        <f>YEAR(Tabla156[[#This Row],[F.Vig.Final]])</f>
        <v>2022</v>
      </c>
      <c r="S236" s="100" t="s">
        <v>77</v>
      </c>
      <c r="T236" s="100" t="s">
        <v>78</v>
      </c>
      <c r="U236" s="100" t="s">
        <v>359</v>
      </c>
      <c r="V236" s="100" t="s">
        <v>604</v>
      </c>
      <c r="W236" s="100" t="s">
        <v>584</v>
      </c>
      <c r="X236" s="100" t="s">
        <v>585</v>
      </c>
      <c r="Y236" s="100" t="s">
        <v>1406</v>
      </c>
      <c r="Z236" s="98">
        <f>COUNTIF($X$3:X236, X236)</f>
        <v>18</v>
      </c>
      <c r="AA236" s="98"/>
      <c r="AB236" s="98"/>
      <c r="AC236" s="98"/>
      <c r="AD236" s="98"/>
      <c r="AE236" s="98"/>
      <c r="AF236" s="98"/>
      <c r="AG236" s="98"/>
      <c r="AH236" s="98"/>
      <c r="AI236" s="98" t="e">
        <v>#N/A</v>
      </c>
      <c r="AJ236" s="98" t="e">
        <v>#N/A</v>
      </c>
      <c r="AK236" s="98" t="e">
        <v>#N/A</v>
      </c>
      <c r="AL236" s="98" t="e">
        <v>#N/A</v>
      </c>
      <c r="AM236" s="98" t="e">
        <v>#N/A</v>
      </c>
      <c r="AN236" s="99" t="e">
        <v>#N/A</v>
      </c>
      <c r="AO236" s="99" t="e">
        <v>#N/A</v>
      </c>
      <c r="AP236" s="99" t="e">
        <f>Tabla156[[#This Row],[Renov. Flota]]-Tabla156[[#This Row],[Año]]</f>
        <v>#N/A</v>
      </c>
      <c r="AQ236" s="100" t="e">
        <v>#N/A</v>
      </c>
      <c r="AR236" s="100" t="e">
        <f>VLOOKUP(Tabla156[[#This Row],[Matricula nueva]],'ALTA 20242025'!$B$2:$P$242,15,FALSE)</f>
        <v>#N/A</v>
      </c>
      <c r="AS236" s="101" t="e">
        <v>#N/A</v>
      </c>
      <c r="AT236" s="101"/>
      <c r="AU236" s="101"/>
      <c r="AV236" s="101"/>
      <c r="AW236" s="101" t="e">
        <f>VLOOKUP(Tabla156[[#This Row],[Matricula nueva]],Hoja2!$A$1:$B$224,2,FALSE)</f>
        <v>#N/A</v>
      </c>
      <c r="AX236" s="101" t="str">
        <f>IF(Tabla156[[#This Row],[Columna2]]="M1",5.1,"")</f>
        <v/>
      </c>
      <c r="AY236" s="101"/>
      <c r="AZ236" s="101"/>
      <c r="BA236" s="311">
        <f>IF(Tabla156[[#This Row],[Columna2]]="M1",13073,IF(Tabla156[[#This Row],[Columna2]]="N1",15815,IF(Tabla156[[#This Row],[Columna2]]="L3e",2831,53508)))</f>
        <v>53508</v>
      </c>
      <c r="BB236" s="311" t="e">
        <f>(Tabla156[[#This Row],[CVA]]*Tabla156[[#This Row],[F]]-Tabla156[[#This Row],[CVN]])/100*Tabla156[[#This Row],[L]]</f>
        <v>#VALUE!</v>
      </c>
      <c r="BC236" s="1"/>
      <c r="BD236" s="1" t="e">
        <f>VLOOKUP(B236,Tabla467824[[ID CAE2]:[AE '[kWh']]],6,FALSE)</f>
        <v>#N/A</v>
      </c>
      <c r="BE23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37" spans="1:57" ht="15.75" hidden="1" thickBot="1" x14ac:dyDescent="0.3">
      <c r="A237" s="101"/>
      <c r="B237" s="53" t="e">
        <v>#N/A</v>
      </c>
      <c r="C237" s="96" t="s">
        <v>1407</v>
      </c>
      <c r="D237" s="96"/>
      <c r="E237" s="96"/>
      <c r="F237" s="96"/>
      <c r="G237" s="96"/>
      <c r="H237" s="96"/>
      <c r="I237" s="96"/>
      <c r="J237" s="96"/>
      <c r="K237" s="96" t="s">
        <v>158</v>
      </c>
      <c r="L237" s="96" t="s">
        <v>159</v>
      </c>
      <c r="M237" s="96" t="s">
        <v>158</v>
      </c>
      <c r="N237" s="96" t="s">
        <v>171</v>
      </c>
      <c r="O237" s="101">
        <f>VLOOKUP(Tabla156[[#This Row],[Matricula Antigua]],BAJA2022202320242025!$B$3:$CR$245,93,FALSE)</f>
        <v>44834</v>
      </c>
      <c r="P237" s="316">
        <v>45432</v>
      </c>
      <c r="Q237" s="316">
        <f>Tabla156[[#This Row],[F.Vig.Final]]-Tabla156[[#This Row],[f Vig Inicio]]</f>
        <v>598</v>
      </c>
      <c r="R237" s="316">
        <f>YEAR(Tabla156[[#This Row],[F.Vig.Final]])</f>
        <v>2024</v>
      </c>
      <c r="S237" s="96" t="s">
        <v>172</v>
      </c>
      <c r="T237" s="96" t="s">
        <v>78</v>
      </c>
      <c r="U237" s="96" t="s">
        <v>1338</v>
      </c>
      <c r="V237" s="96" t="s">
        <v>1338</v>
      </c>
      <c r="W237" s="96" t="s">
        <v>131</v>
      </c>
      <c r="X237" s="96" t="s">
        <v>132</v>
      </c>
      <c r="Y237" s="96" t="s">
        <v>135</v>
      </c>
      <c r="Z237" s="98">
        <f>COUNTIF($X$3:X237, X237)</f>
        <v>25</v>
      </c>
      <c r="AA237" s="98"/>
      <c r="AB237" s="98"/>
      <c r="AC237" s="98"/>
      <c r="AD237" s="98"/>
      <c r="AE237" s="98"/>
      <c r="AF237" s="98"/>
      <c r="AG237" s="98"/>
      <c r="AH237" s="98"/>
      <c r="AI237" s="98" t="s">
        <v>1408</v>
      </c>
      <c r="AJ237" s="98" t="s">
        <v>85</v>
      </c>
      <c r="AK237" s="98" t="s">
        <v>86</v>
      </c>
      <c r="AL237" s="98" t="s">
        <v>87</v>
      </c>
      <c r="AM237" s="98" t="s">
        <v>622</v>
      </c>
      <c r="AN237" s="316" t="s">
        <v>89</v>
      </c>
      <c r="AO237" s="99">
        <v>45625</v>
      </c>
      <c r="AP237" s="99">
        <f>Tabla156[[#This Row],[Renov. Flota]]-Tabla156[[#This Row],[Año]]</f>
        <v>0</v>
      </c>
      <c r="AQ237" s="100" t="s">
        <v>131</v>
      </c>
      <c r="AR237" s="100" t="str">
        <f>VLOOKUP(Tabla156[[#This Row],[Matricula nueva]],'ALTA 20242025'!$B$2:$P$242,15,FALSE)</f>
        <v>4500426797</v>
      </c>
      <c r="AS237" s="101" t="s">
        <v>132</v>
      </c>
      <c r="AT237" s="101"/>
      <c r="AU237" s="101"/>
      <c r="AV237" s="101"/>
      <c r="AW237" s="101" t="str">
        <f>VLOOKUP(Tabla156[[#This Row],[Matricula nueva]],Hoja2!$A$1:$B$224,2,FALSE)</f>
        <v>VF1RFK00473824818</v>
      </c>
      <c r="AX237" s="209" t="str">
        <f>IF(Tabla156[[#This Row],[Columna2]]="M1",5.1,"")</f>
        <v/>
      </c>
      <c r="AY237" s="208">
        <f>IF(T237="DIESEL",10,IF(T237="GLP",7.16,9.19))</f>
        <v>10</v>
      </c>
      <c r="AZ237" s="313">
        <v>17.3</v>
      </c>
      <c r="BA237" s="314"/>
      <c r="BB237" s="314"/>
      <c r="BD237" s="43" t="e">
        <f>VLOOKUP(B237,Tabla467824[[ID CAE2]:[AE '[kWh']]],6,FALSE)</f>
        <v>#N/A</v>
      </c>
      <c r="BE23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38" spans="1:57" ht="15.75" hidden="1" thickBot="1" x14ac:dyDescent="0.3">
      <c r="A238" s="101"/>
      <c r="B238" s="53" t="e">
        <v>#N/A</v>
      </c>
      <c r="C238" s="100" t="s">
        <v>1409</v>
      </c>
      <c r="D238" s="100"/>
      <c r="E238" s="100"/>
      <c r="F238" s="100"/>
      <c r="G238" s="100"/>
      <c r="H238" s="100"/>
      <c r="I238" s="100"/>
      <c r="J238" s="100"/>
      <c r="K238" s="100" t="s">
        <v>73</v>
      </c>
      <c r="L238" s="100" t="s">
        <v>200</v>
      </c>
      <c r="M238" s="100" t="s">
        <v>201</v>
      </c>
      <c r="N238" s="100" t="s">
        <v>76</v>
      </c>
      <c r="O238" s="100" t="e">
        <f>VLOOKUP(Tabla156[[#This Row],[Matricula Antigua]],BAJA2022202320242025!$B$3:$CR$245,93,FALSE)</f>
        <v>#N/A</v>
      </c>
      <c r="P238" s="315">
        <v>44823</v>
      </c>
      <c r="Q238" s="315" t="e">
        <f>Tabla156[[#This Row],[F.Vig.Final]]-Tabla156[[#This Row],[f Vig Inicio]]</f>
        <v>#N/A</v>
      </c>
      <c r="R238" s="315">
        <f>YEAR(Tabla156[[#This Row],[F.Vig.Final]])</f>
        <v>2022</v>
      </c>
      <c r="S238" s="100" t="s">
        <v>77</v>
      </c>
      <c r="T238" s="100" t="s">
        <v>78</v>
      </c>
      <c r="U238" s="100" t="s">
        <v>359</v>
      </c>
      <c r="V238" s="100" t="s">
        <v>604</v>
      </c>
      <c r="W238" s="100" t="s">
        <v>119</v>
      </c>
      <c r="X238" s="100" t="s">
        <v>120</v>
      </c>
      <c r="Y238" s="100" t="s">
        <v>501</v>
      </c>
      <c r="Z238" s="98">
        <f>COUNTIF($X$3:X238, X238)</f>
        <v>5</v>
      </c>
      <c r="AA238" s="98"/>
      <c r="AB238" s="98"/>
      <c r="AC238" s="98"/>
      <c r="AD238" s="98"/>
      <c r="AE238" s="98"/>
      <c r="AF238" s="98"/>
      <c r="AG238" s="98"/>
      <c r="AH238" s="98"/>
      <c r="AI238" s="98" t="e">
        <v>#N/A</v>
      </c>
      <c r="AJ238" s="98" t="e">
        <v>#N/A</v>
      </c>
      <c r="AK238" s="98" t="e">
        <v>#N/A</v>
      </c>
      <c r="AL238" s="98" t="e">
        <v>#N/A</v>
      </c>
      <c r="AM238" s="98" t="e">
        <v>#N/A</v>
      </c>
      <c r="AN238" s="99" t="e">
        <v>#N/A</v>
      </c>
      <c r="AO238" s="99" t="e">
        <v>#N/A</v>
      </c>
      <c r="AP238" s="99" t="e">
        <f>Tabla156[[#This Row],[Renov. Flota]]-Tabla156[[#This Row],[Año]]</f>
        <v>#N/A</v>
      </c>
      <c r="AQ238" s="100" t="e">
        <v>#N/A</v>
      </c>
      <c r="AR238" s="100" t="e">
        <f>VLOOKUP(Tabla156[[#This Row],[Matricula nueva]],'ALTA 20242025'!$B$2:$P$242,15,FALSE)</f>
        <v>#N/A</v>
      </c>
      <c r="AS238" s="101" t="e">
        <v>#N/A</v>
      </c>
      <c r="AT238" s="101"/>
      <c r="AU238" s="101"/>
      <c r="AV238" s="101"/>
      <c r="AW238" s="101" t="e">
        <f>VLOOKUP(Tabla156[[#This Row],[Matricula nueva]],Hoja2!$A$1:$B$224,2,FALSE)</f>
        <v>#N/A</v>
      </c>
      <c r="AX238" s="101" t="str">
        <f>IF(Tabla156[[#This Row],[Columna2]]="M1",5.1,"")</f>
        <v/>
      </c>
      <c r="AY238" s="101"/>
      <c r="AZ238" s="101"/>
      <c r="BA238" s="311">
        <f>IF(Tabla156[[#This Row],[Columna2]]="M1",13073,IF(Tabla156[[#This Row],[Columna2]]="N1",15815,IF(Tabla156[[#This Row],[Columna2]]="L3e",2831,53508)))</f>
        <v>53508</v>
      </c>
      <c r="BB238" s="311" t="e">
        <f>(Tabla156[[#This Row],[CVA]]*Tabla156[[#This Row],[F]]-Tabla156[[#This Row],[CVN]])/100*Tabla156[[#This Row],[L]]</f>
        <v>#VALUE!</v>
      </c>
      <c r="BC238" s="1"/>
      <c r="BD238" s="1" t="e">
        <f>VLOOKUP(B238,Tabla467824[[ID CAE2]:[AE '[kWh']]],6,FALSE)</f>
        <v>#N/A</v>
      </c>
      <c r="BE23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39" spans="1:57" ht="15.75" hidden="1" thickBot="1" x14ac:dyDescent="0.3">
      <c r="A239" s="101"/>
      <c r="B239" s="53" t="e">
        <v>#N/A</v>
      </c>
      <c r="C239" s="100" t="s">
        <v>1410</v>
      </c>
      <c r="D239" s="100"/>
      <c r="E239" s="100"/>
      <c r="F239" s="100"/>
      <c r="G239" s="100"/>
      <c r="H239" s="100"/>
      <c r="I239" s="100"/>
      <c r="J239" s="100"/>
      <c r="K239" s="100" t="s">
        <v>1411</v>
      </c>
      <c r="L239" s="100" t="s">
        <v>200</v>
      </c>
      <c r="M239" s="100" t="s">
        <v>201</v>
      </c>
      <c r="N239" s="100" t="s">
        <v>76</v>
      </c>
      <c r="O239" s="100" t="e">
        <f>VLOOKUP(Tabla156[[#This Row],[Matricula Antigua]],BAJA2022202320242025!$B$3:$CR$245,93,FALSE)</f>
        <v>#N/A</v>
      </c>
      <c r="P239" s="315">
        <v>44579</v>
      </c>
      <c r="Q239" s="315" t="e">
        <f>Tabla156[[#This Row],[F.Vig.Final]]-Tabla156[[#This Row],[f Vig Inicio]]</f>
        <v>#N/A</v>
      </c>
      <c r="R239" s="315">
        <f>YEAR(Tabla156[[#This Row],[F.Vig.Final]])</f>
        <v>2022</v>
      </c>
      <c r="S239" s="100" t="s">
        <v>77</v>
      </c>
      <c r="T239" s="100" t="s">
        <v>78</v>
      </c>
      <c r="U239" s="100" t="s">
        <v>380</v>
      </c>
      <c r="V239" s="100" t="s">
        <v>1412</v>
      </c>
      <c r="W239" s="100" t="s">
        <v>131</v>
      </c>
      <c r="X239" s="100" t="s">
        <v>132</v>
      </c>
      <c r="Y239" s="100" t="s">
        <v>133</v>
      </c>
      <c r="Z239" s="98">
        <f>COUNTIF($X$3:X239, X239)</f>
        <v>26</v>
      </c>
      <c r="AA239" s="98"/>
      <c r="AB239" s="98"/>
      <c r="AC239" s="98"/>
      <c r="AD239" s="98"/>
      <c r="AE239" s="98"/>
      <c r="AF239" s="98"/>
      <c r="AG239" s="98"/>
      <c r="AH239" s="98"/>
      <c r="AI239" s="98" t="e">
        <v>#N/A</v>
      </c>
      <c r="AJ239" s="98" t="e">
        <v>#N/A</v>
      </c>
      <c r="AK239" s="98" t="e">
        <v>#N/A</v>
      </c>
      <c r="AL239" s="98" t="e">
        <v>#N/A</v>
      </c>
      <c r="AM239" s="98" t="e">
        <v>#N/A</v>
      </c>
      <c r="AN239" s="99" t="e">
        <v>#N/A</v>
      </c>
      <c r="AO239" s="99" t="e">
        <v>#N/A</v>
      </c>
      <c r="AP239" s="99" t="e">
        <f>Tabla156[[#This Row],[Renov. Flota]]-Tabla156[[#This Row],[Año]]</f>
        <v>#N/A</v>
      </c>
      <c r="AQ239" s="100" t="e">
        <v>#N/A</v>
      </c>
      <c r="AR239" s="100" t="e">
        <f>VLOOKUP(Tabla156[[#This Row],[Matricula nueva]],'ALTA 20242025'!$B$2:$P$242,15,FALSE)</f>
        <v>#N/A</v>
      </c>
      <c r="AS239" s="101" t="e">
        <v>#N/A</v>
      </c>
      <c r="AT239" s="101"/>
      <c r="AU239" s="101"/>
      <c r="AV239" s="101"/>
      <c r="AW239" s="101" t="e">
        <f>VLOOKUP(Tabla156[[#This Row],[Matricula nueva]],Hoja2!$A$1:$B$224,2,FALSE)</f>
        <v>#N/A</v>
      </c>
      <c r="AX239" s="101" t="str">
        <f>IF(Tabla156[[#This Row],[Columna2]]="M1",5.1,"")</f>
        <v/>
      </c>
      <c r="AY239" s="101"/>
      <c r="AZ239" s="101"/>
      <c r="BA239" s="311">
        <f>IF(Tabla156[[#This Row],[Columna2]]="M1",13073,IF(Tabla156[[#This Row],[Columna2]]="N1",15815,IF(Tabla156[[#This Row],[Columna2]]="L3e",2831,53508)))</f>
        <v>53508</v>
      </c>
      <c r="BB239" s="311" t="e">
        <f>(Tabla156[[#This Row],[CVA]]*Tabla156[[#This Row],[F]]-Tabla156[[#This Row],[CVN]])/100*Tabla156[[#This Row],[L]]</f>
        <v>#VALUE!</v>
      </c>
      <c r="BC239" s="1"/>
      <c r="BD239" s="1" t="e">
        <f>VLOOKUP(B239,Tabla467824[[ID CAE2]:[AE '[kWh']]],6,FALSE)</f>
        <v>#N/A</v>
      </c>
      <c r="BE23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40" spans="1:57" ht="15.75" hidden="1" thickBot="1" x14ac:dyDescent="0.3">
      <c r="A240" s="101"/>
      <c r="B240" s="53" t="e">
        <v>#N/A</v>
      </c>
      <c r="C240" s="96" t="s">
        <v>1413</v>
      </c>
      <c r="D240" s="96"/>
      <c r="E240" s="96"/>
      <c r="F240" s="96"/>
      <c r="G240" s="96"/>
      <c r="H240" s="96"/>
      <c r="I240" s="96"/>
      <c r="J240" s="96"/>
      <c r="K240" s="96" t="s">
        <v>158</v>
      </c>
      <c r="L240" s="96" t="s">
        <v>159</v>
      </c>
      <c r="M240" s="96" t="s">
        <v>158</v>
      </c>
      <c r="N240" s="96" t="s">
        <v>171</v>
      </c>
      <c r="O240" s="101">
        <f>VLOOKUP(Tabla156[[#This Row],[Matricula Antigua]],BAJA2022202320242025!$B$3:$CR$245,93,FALSE)</f>
        <v>44872</v>
      </c>
      <c r="P240" s="316">
        <v>45473</v>
      </c>
      <c r="Q240" s="316">
        <f>Tabla156[[#This Row],[F.Vig.Final]]-Tabla156[[#This Row],[f Vig Inicio]]</f>
        <v>601</v>
      </c>
      <c r="R240" s="316">
        <f>YEAR(Tabla156[[#This Row],[F.Vig.Final]])</f>
        <v>2024</v>
      </c>
      <c r="S240" s="96" t="s">
        <v>172</v>
      </c>
      <c r="T240" s="96" t="s">
        <v>78</v>
      </c>
      <c r="U240" s="96" t="s">
        <v>1338</v>
      </c>
      <c r="V240" s="96" t="s">
        <v>1338</v>
      </c>
      <c r="W240" s="96" t="s">
        <v>131</v>
      </c>
      <c r="X240" s="96" t="s">
        <v>132</v>
      </c>
      <c r="Y240" s="96" t="s">
        <v>1390</v>
      </c>
      <c r="Z240" s="98">
        <f>COUNTIF($X$3:X240, X240)</f>
        <v>27</v>
      </c>
      <c r="AA240" s="98"/>
      <c r="AB240" s="98"/>
      <c r="AC240" s="98"/>
      <c r="AD240" s="98"/>
      <c r="AE240" s="98"/>
      <c r="AF240" s="98"/>
      <c r="AG240" s="98"/>
      <c r="AH240" s="98"/>
      <c r="AI240" s="98" t="s">
        <v>1414</v>
      </c>
      <c r="AJ240" s="98" t="s">
        <v>85</v>
      </c>
      <c r="AK240" s="98" t="s">
        <v>86</v>
      </c>
      <c r="AL240" s="98" t="s">
        <v>87</v>
      </c>
      <c r="AM240" s="98" t="s">
        <v>753</v>
      </c>
      <c r="AN240" s="316" t="s">
        <v>89</v>
      </c>
      <c r="AO240" s="99">
        <v>45625</v>
      </c>
      <c r="AP240" s="99">
        <f>Tabla156[[#This Row],[Renov. Flota]]-Tabla156[[#This Row],[Año]]</f>
        <v>0</v>
      </c>
      <c r="AQ240" s="100" t="s">
        <v>131</v>
      </c>
      <c r="AR240" s="100" t="str">
        <f>VLOOKUP(Tabla156[[#This Row],[Matricula nueva]],'ALTA 20242025'!$B$2:$P$242,15,FALSE)</f>
        <v>4500426768</v>
      </c>
      <c r="AS240" s="101" t="s">
        <v>132</v>
      </c>
      <c r="AT240" s="101"/>
      <c r="AU240" s="101"/>
      <c r="AV240" s="101"/>
      <c r="AW240" s="101" t="str">
        <f>VLOOKUP(Tabla156[[#This Row],[Matricula nueva]],Hoja2!$A$1:$B$224,2,FALSE)</f>
        <v>VF1RFK00173824811</v>
      </c>
      <c r="AX240" s="209" t="str">
        <f>IF(Tabla156[[#This Row],[Columna2]]="M1",5.1,"")</f>
        <v/>
      </c>
      <c r="AY240" s="208">
        <f>IF(T240="DIESEL",10,IF(T240="GLP",7.16,9.19))</f>
        <v>10</v>
      </c>
      <c r="AZ240" s="313">
        <v>17.3</v>
      </c>
      <c r="BA240" s="314"/>
      <c r="BB240" s="314"/>
      <c r="BD240" s="43" t="e">
        <f>VLOOKUP(B240,Tabla467824[[ID CAE2]:[AE '[kWh']]],6,FALSE)</f>
        <v>#N/A</v>
      </c>
      <c r="BE24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41" spans="1:57" ht="15.75" hidden="1" thickBot="1" x14ac:dyDescent="0.3">
      <c r="A241" s="101"/>
      <c r="B241" s="53" t="e">
        <v>#N/A</v>
      </c>
      <c r="C241" s="96" t="s">
        <v>1415</v>
      </c>
      <c r="D241" s="96"/>
      <c r="E241" s="96"/>
      <c r="F241" s="96"/>
      <c r="G241" s="96"/>
      <c r="H241" s="96"/>
      <c r="I241" s="96"/>
      <c r="J241" s="96"/>
      <c r="K241" s="96" t="s">
        <v>158</v>
      </c>
      <c r="L241" s="96" t="s">
        <v>159</v>
      </c>
      <c r="M241" s="96" t="s">
        <v>158</v>
      </c>
      <c r="N241" s="96" t="s">
        <v>171</v>
      </c>
      <c r="O241" s="101">
        <f>VLOOKUP(Tabla156[[#This Row],[Matricula Antigua]],BAJA2022202320242025!$B$3:$CR$245,93,FALSE)</f>
        <v>44136</v>
      </c>
      <c r="P241" s="316">
        <v>45551</v>
      </c>
      <c r="Q241" s="316">
        <f>Tabla156[[#This Row],[F.Vig.Final]]-Tabla156[[#This Row],[f Vig Inicio]]</f>
        <v>1415</v>
      </c>
      <c r="R241" s="316">
        <f>YEAR(Tabla156[[#This Row],[F.Vig.Final]])</f>
        <v>2024</v>
      </c>
      <c r="S241" s="96" t="s">
        <v>172</v>
      </c>
      <c r="T241" s="96" t="s">
        <v>78</v>
      </c>
      <c r="U241" s="96" t="s">
        <v>1338</v>
      </c>
      <c r="V241" s="96" t="s">
        <v>1338</v>
      </c>
      <c r="W241" s="96" t="s">
        <v>131</v>
      </c>
      <c r="X241" s="96" t="s">
        <v>132</v>
      </c>
      <c r="Y241" s="96" t="s">
        <v>135</v>
      </c>
      <c r="Z241" s="98">
        <f>COUNTIF($X$3:X241, X241)</f>
        <v>28</v>
      </c>
      <c r="AA241" s="98"/>
      <c r="AB241" s="98"/>
      <c r="AC241" s="98"/>
      <c r="AD241" s="98"/>
      <c r="AE241" s="98"/>
      <c r="AF241" s="98"/>
      <c r="AG241" s="98"/>
      <c r="AH241" s="98"/>
      <c r="AI241" s="98" t="s">
        <v>1416</v>
      </c>
      <c r="AJ241" s="98" t="s">
        <v>85</v>
      </c>
      <c r="AK241" s="98" t="s">
        <v>86</v>
      </c>
      <c r="AL241" s="98" t="s">
        <v>87</v>
      </c>
      <c r="AM241" s="98" t="s">
        <v>318</v>
      </c>
      <c r="AN241" s="316" t="s">
        <v>89</v>
      </c>
      <c r="AO241" s="99">
        <v>45625</v>
      </c>
      <c r="AP241" s="99">
        <f>Tabla156[[#This Row],[Renov. Flota]]-Tabla156[[#This Row],[Año]]</f>
        <v>0</v>
      </c>
      <c r="AQ241" s="100" t="s">
        <v>131</v>
      </c>
      <c r="AR241" s="100" t="str">
        <f>VLOOKUP(Tabla156[[#This Row],[Matricula nueva]],'ALTA 20242025'!$B$2:$P$242,15,FALSE)</f>
        <v>4500426772</v>
      </c>
      <c r="AS241" s="101" t="s">
        <v>132</v>
      </c>
      <c r="AT241" s="101"/>
      <c r="AU241" s="101"/>
      <c r="AV241" s="101"/>
      <c r="AW241" s="101" t="str">
        <f>VLOOKUP(Tabla156[[#This Row],[Matricula nueva]],Hoja2!$A$1:$B$224,2,FALSE)</f>
        <v>VF1RFK00373824812</v>
      </c>
      <c r="AX241" s="209" t="str">
        <f>IF(Tabla156[[#This Row],[Columna2]]="M1",5.1,"")</f>
        <v/>
      </c>
      <c r="AY241" s="208">
        <f>IF(T241="DIESEL",10,IF(T241="GLP",7.16,9.19))</f>
        <v>10</v>
      </c>
      <c r="AZ241" s="313">
        <v>17.3</v>
      </c>
      <c r="BA241" s="314"/>
      <c r="BB241" s="314"/>
      <c r="BD241" s="43" t="e">
        <f>VLOOKUP(B241,Tabla467824[[ID CAE2]:[AE '[kWh']]],6,FALSE)</f>
        <v>#N/A</v>
      </c>
      <c r="BE24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42" spans="1:57" ht="15.75" hidden="1" thickBot="1" x14ac:dyDescent="0.3">
      <c r="A242" s="101"/>
      <c r="B242" s="53" t="e">
        <v>#N/A</v>
      </c>
      <c r="C242" s="100" t="s">
        <v>1417</v>
      </c>
      <c r="D242" s="100"/>
      <c r="E242" s="100"/>
      <c r="F242" s="100"/>
      <c r="G242" s="100"/>
      <c r="H242" s="100"/>
      <c r="I242" s="100"/>
      <c r="J242" s="100"/>
      <c r="K242" s="100" t="s">
        <v>73</v>
      </c>
      <c r="L242" s="100" t="s">
        <v>200</v>
      </c>
      <c r="M242" s="100" t="s">
        <v>201</v>
      </c>
      <c r="N242" s="100" t="s">
        <v>76</v>
      </c>
      <c r="O242" s="100" t="e">
        <f>VLOOKUP(Tabla156[[#This Row],[Matricula Antigua]],BAJA2022202320242025!$B$3:$CR$245,93,FALSE)</f>
        <v>#N/A</v>
      </c>
      <c r="P242" s="315">
        <v>44578</v>
      </c>
      <c r="Q242" s="315" t="e">
        <f>Tabla156[[#This Row],[F.Vig.Final]]-Tabla156[[#This Row],[f Vig Inicio]]</f>
        <v>#N/A</v>
      </c>
      <c r="R242" s="315">
        <f>YEAR(Tabla156[[#This Row],[F.Vig.Final]])</f>
        <v>2022</v>
      </c>
      <c r="S242" s="100" t="s">
        <v>77</v>
      </c>
      <c r="T242" s="100" t="s">
        <v>78</v>
      </c>
      <c r="U242" s="100" t="s">
        <v>1362</v>
      </c>
      <c r="V242" s="100" t="s">
        <v>1367</v>
      </c>
      <c r="W242" s="100" t="s">
        <v>215</v>
      </c>
      <c r="X242" s="100" t="s">
        <v>216</v>
      </c>
      <c r="Y242" s="100" t="s">
        <v>507</v>
      </c>
      <c r="Z242" s="98">
        <f>COUNTIF($X$3:X242, X242)</f>
        <v>6</v>
      </c>
      <c r="AA242" s="98"/>
      <c r="AB242" s="98"/>
      <c r="AC242" s="98"/>
      <c r="AD242" s="98"/>
      <c r="AE242" s="98"/>
      <c r="AF242" s="98"/>
      <c r="AG242" s="98"/>
      <c r="AH242" s="98"/>
      <c r="AI242" s="98" t="e">
        <v>#N/A</v>
      </c>
      <c r="AJ242" s="98" t="e">
        <v>#N/A</v>
      </c>
      <c r="AK242" s="98" t="e">
        <v>#N/A</v>
      </c>
      <c r="AL242" s="98" t="e">
        <v>#N/A</v>
      </c>
      <c r="AM242" s="98" t="e">
        <v>#N/A</v>
      </c>
      <c r="AN242" s="99" t="e">
        <v>#N/A</v>
      </c>
      <c r="AO242" s="99" t="e">
        <v>#N/A</v>
      </c>
      <c r="AP242" s="99" t="e">
        <f>Tabla156[[#This Row],[Renov. Flota]]-Tabla156[[#This Row],[Año]]</f>
        <v>#N/A</v>
      </c>
      <c r="AQ242" s="100" t="e">
        <v>#N/A</v>
      </c>
      <c r="AR242" s="100" t="e">
        <f>VLOOKUP(Tabla156[[#This Row],[Matricula nueva]],'ALTA 20242025'!$B$2:$P$242,15,FALSE)</f>
        <v>#N/A</v>
      </c>
      <c r="AS242" s="101" t="e">
        <v>#N/A</v>
      </c>
      <c r="AT242" s="101"/>
      <c r="AU242" s="101"/>
      <c r="AV242" s="101"/>
      <c r="AW242" s="101" t="e">
        <f>VLOOKUP(Tabla156[[#This Row],[Matricula nueva]],Hoja2!$A$1:$B$224,2,FALSE)</f>
        <v>#N/A</v>
      </c>
      <c r="AX242" s="101" t="str">
        <f>IF(Tabla156[[#This Row],[Columna2]]="M1",5.1,"")</f>
        <v/>
      </c>
      <c r="AY242" s="101"/>
      <c r="AZ242" s="101"/>
      <c r="BA242" s="311">
        <f>IF(Tabla156[[#This Row],[Columna2]]="M1",13073,IF(Tabla156[[#This Row],[Columna2]]="N1",15815,IF(Tabla156[[#This Row],[Columna2]]="L3e",2831,53508)))</f>
        <v>53508</v>
      </c>
      <c r="BB242" s="311" t="e">
        <f>(Tabla156[[#This Row],[CVA]]*Tabla156[[#This Row],[F]]-Tabla156[[#This Row],[CVN]])/100*Tabla156[[#This Row],[L]]</f>
        <v>#VALUE!</v>
      </c>
      <c r="BC242" s="1"/>
      <c r="BD242" s="1" t="e">
        <f>VLOOKUP(B242,Tabla467824[[ID CAE2]:[AE '[kWh']]],6,FALSE)</f>
        <v>#N/A</v>
      </c>
      <c r="BE24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43" spans="1:57" ht="15.75" hidden="1" thickBot="1" x14ac:dyDescent="0.3">
      <c r="A243" s="101"/>
      <c r="B243" s="53" t="e">
        <v>#N/A</v>
      </c>
      <c r="C243" s="100" t="s">
        <v>1418</v>
      </c>
      <c r="D243" s="100"/>
      <c r="E243" s="100"/>
      <c r="F243" s="100"/>
      <c r="G243" s="100"/>
      <c r="H243" s="100"/>
      <c r="I243" s="100"/>
      <c r="J243" s="100"/>
      <c r="K243" s="100" t="s">
        <v>129</v>
      </c>
      <c r="L243" s="100" t="s">
        <v>74</v>
      </c>
      <c r="M243" s="100" t="s">
        <v>75</v>
      </c>
      <c r="N243" s="100" t="s">
        <v>76</v>
      </c>
      <c r="O243" s="100" t="e">
        <f>VLOOKUP(Tabla156[[#This Row],[Matricula Antigua]],BAJA2022202320242025!$B$3:$CR$245,93,FALSE)</f>
        <v>#N/A</v>
      </c>
      <c r="P243" s="315">
        <v>44681</v>
      </c>
      <c r="Q243" s="315" t="e">
        <f>Tabla156[[#This Row],[F.Vig.Final]]-Tabla156[[#This Row],[f Vig Inicio]]</f>
        <v>#N/A</v>
      </c>
      <c r="R243" s="315">
        <f>YEAR(Tabla156[[#This Row],[F.Vig.Final]])</f>
        <v>2022</v>
      </c>
      <c r="S243" s="100" t="s">
        <v>77</v>
      </c>
      <c r="T243" s="100" t="s">
        <v>78</v>
      </c>
      <c r="U243" s="100" t="s">
        <v>79</v>
      </c>
      <c r="V243" s="100" t="s">
        <v>1419</v>
      </c>
      <c r="W243" s="100" t="s">
        <v>131</v>
      </c>
      <c r="X243" s="100" t="s">
        <v>132</v>
      </c>
      <c r="Y243" s="100" t="s">
        <v>318</v>
      </c>
      <c r="Z243" s="98">
        <f>COUNTIF($X$3:X243, X243)</f>
        <v>29</v>
      </c>
      <c r="AA243" s="98"/>
      <c r="AB243" s="98"/>
      <c r="AC243" s="98"/>
      <c r="AD243" s="98"/>
      <c r="AE243" s="98"/>
      <c r="AF243" s="98"/>
      <c r="AG243" s="98"/>
      <c r="AH243" s="98"/>
      <c r="AI243" s="98" t="e">
        <v>#N/A</v>
      </c>
      <c r="AJ243" s="98" t="e">
        <v>#N/A</v>
      </c>
      <c r="AK243" s="98" t="e">
        <v>#N/A</v>
      </c>
      <c r="AL243" s="98" t="e">
        <v>#N/A</v>
      </c>
      <c r="AM243" s="98" t="e">
        <v>#N/A</v>
      </c>
      <c r="AN243" s="99" t="e">
        <v>#N/A</v>
      </c>
      <c r="AO243" s="99" t="e">
        <v>#N/A</v>
      </c>
      <c r="AP243" s="99" t="e">
        <f>Tabla156[[#This Row],[Renov. Flota]]-Tabla156[[#This Row],[Año]]</f>
        <v>#N/A</v>
      </c>
      <c r="AQ243" s="100" t="e">
        <v>#N/A</v>
      </c>
      <c r="AR243" s="100" t="e">
        <f>VLOOKUP(Tabla156[[#This Row],[Matricula nueva]],'ALTA 20242025'!$B$2:$P$242,15,FALSE)</f>
        <v>#N/A</v>
      </c>
      <c r="AS243" s="101" t="e">
        <v>#N/A</v>
      </c>
      <c r="AT243" s="101"/>
      <c r="AU243" s="101"/>
      <c r="AV243" s="101"/>
      <c r="AW243" s="101" t="e">
        <f>VLOOKUP(Tabla156[[#This Row],[Matricula nueva]],Hoja2!$A$1:$B$224,2,FALSE)</f>
        <v>#N/A</v>
      </c>
      <c r="AX243" s="101" t="str">
        <f>IF(Tabla156[[#This Row],[Columna2]]="M1",5.1,"")</f>
        <v/>
      </c>
      <c r="AY243" s="101"/>
      <c r="AZ243" s="101"/>
      <c r="BA243" s="311">
        <f>IF(Tabla156[[#This Row],[Columna2]]="M1",13073,IF(Tabla156[[#This Row],[Columna2]]="N1",15815,IF(Tabla156[[#This Row],[Columna2]]="L3e",2831,53508)))</f>
        <v>53508</v>
      </c>
      <c r="BB243" s="311" t="e">
        <f>(Tabla156[[#This Row],[CVA]]*Tabla156[[#This Row],[F]]-Tabla156[[#This Row],[CVN]])/100*Tabla156[[#This Row],[L]]</f>
        <v>#VALUE!</v>
      </c>
      <c r="BC243" s="1"/>
      <c r="BD243" s="1" t="e">
        <f>VLOOKUP(B243,Tabla467824[[ID CAE2]:[AE '[kWh']]],6,FALSE)</f>
        <v>#N/A</v>
      </c>
      <c r="BE24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44" spans="1:57" ht="15.75" hidden="1" thickBot="1" x14ac:dyDescent="0.3">
      <c r="A244" s="101"/>
      <c r="B244" s="53" t="e">
        <v>#N/A</v>
      </c>
      <c r="C244" s="96" t="s">
        <v>1420</v>
      </c>
      <c r="D244" s="96"/>
      <c r="E244" s="96"/>
      <c r="F244" s="96"/>
      <c r="G244" s="96"/>
      <c r="H244" s="96"/>
      <c r="I244" s="96"/>
      <c r="J244" s="96"/>
      <c r="K244" s="96" t="s">
        <v>158</v>
      </c>
      <c r="L244" s="96" t="s">
        <v>159</v>
      </c>
      <c r="M244" s="96" t="s">
        <v>158</v>
      </c>
      <c r="N244" s="96" t="s">
        <v>171</v>
      </c>
      <c r="O244" s="101">
        <f>VLOOKUP(Tabla156[[#This Row],[Matricula Antigua]],BAJA2022202320242025!$B$3:$CR$245,93,FALSE)</f>
        <v>45712</v>
      </c>
      <c r="P244" s="316">
        <v>45841</v>
      </c>
      <c r="Q244" s="316">
        <f>Tabla156[[#This Row],[F.Vig.Final]]-Tabla156[[#This Row],[f Vig Inicio]]</f>
        <v>129</v>
      </c>
      <c r="R244" s="316">
        <f>YEAR(Tabla156[[#This Row],[F.Vig.Final]])</f>
        <v>2025</v>
      </c>
      <c r="S244" s="96" t="s">
        <v>172</v>
      </c>
      <c r="T244" s="96" t="s">
        <v>71</v>
      </c>
      <c r="U244" s="96" t="s">
        <v>1338</v>
      </c>
      <c r="V244" s="96" t="s">
        <v>1338</v>
      </c>
      <c r="W244" s="96" t="s">
        <v>336</v>
      </c>
      <c r="X244" s="96" t="s">
        <v>337</v>
      </c>
      <c r="Y244" s="96" t="s">
        <v>1346</v>
      </c>
      <c r="Z244" s="98">
        <f>COUNTIF($X$3:X244, X244)</f>
        <v>18</v>
      </c>
      <c r="AA244" s="98"/>
      <c r="AB244" s="98"/>
      <c r="AC244" s="98"/>
      <c r="AD244" s="98"/>
      <c r="AE244" s="98"/>
      <c r="AF244" s="98"/>
      <c r="AG244" s="98"/>
      <c r="AH244" s="98"/>
      <c r="AI244" s="98" t="s">
        <v>1421</v>
      </c>
      <c r="AJ244" s="98" t="s">
        <v>85</v>
      </c>
      <c r="AK244" s="98" t="s">
        <v>340</v>
      </c>
      <c r="AL244" s="98" t="s">
        <v>87</v>
      </c>
      <c r="AM244" s="98" t="s">
        <v>341</v>
      </c>
      <c r="AN244" s="316" t="s">
        <v>89</v>
      </c>
      <c r="AO244" s="99">
        <v>43435</v>
      </c>
      <c r="AP244" s="99">
        <f>Tabla156[[#This Row],[Renov. Flota]]-Tabla156[[#This Row],[Año]]</f>
        <v>-1</v>
      </c>
      <c r="AQ244" s="100" t="s">
        <v>336</v>
      </c>
      <c r="AR244" s="100" t="str">
        <f>VLOOKUP(Tabla156[[#This Row],[Matricula nueva]],'ALTA 20242025'!$B$2:$P$242,15,FALSE)</f>
        <v>X</v>
      </c>
      <c r="AS244" s="101" t="s">
        <v>337</v>
      </c>
      <c r="AT244" s="101"/>
      <c r="AU244" s="101"/>
      <c r="AV244" s="101"/>
      <c r="AW244" s="101" t="e">
        <f>VLOOKUP(Tabla156[[#This Row],[Matricula nueva]],Hoja2!$A$1:$B$224,2,FALSE)</f>
        <v>#N/A</v>
      </c>
      <c r="AX244" s="209" t="str">
        <f>IF(Tabla156[[#This Row],[Columna2]]="M1",5.1,"")</f>
        <v/>
      </c>
      <c r="AY244" s="208">
        <f>IF(T244="DIESEL",10,IF(T244="GLP",7.16,9.19))</f>
        <v>9.19</v>
      </c>
      <c r="AZ244" s="313">
        <v>13.3</v>
      </c>
      <c r="BA244" s="314"/>
      <c r="BB244" s="314"/>
      <c r="BD244" s="43" t="e">
        <f>VLOOKUP(B244,Tabla467824[[ID CAE2]:[AE '[kWh']]],6,FALSE)</f>
        <v>#N/A</v>
      </c>
      <c r="BE24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45" spans="1:57" ht="15.75" hidden="1" thickBot="1" x14ac:dyDescent="0.3">
      <c r="A245" s="101"/>
      <c r="B245" s="53" t="e">
        <v>#N/A</v>
      </c>
      <c r="C245" s="96" t="s">
        <v>1422</v>
      </c>
      <c r="D245" s="96"/>
      <c r="E245" s="96"/>
      <c r="F245" s="96"/>
      <c r="G245" s="96"/>
      <c r="H245" s="96"/>
      <c r="I245" s="96"/>
      <c r="J245" s="96"/>
      <c r="K245" s="96" t="s">
        <v>73</v>
      </c>
      <c r="L245" s="96" t="s">
        <v>200</v>
      </c>
      <c r="M245" s="96" t="s">
        <v>201</v>
      </c>
      <c r="N245" s="96" t="s">
        <v>76</v>
      </c>
      <c r="O245" s="101">
        <f>VLOOKUP(Tabla156[[#This Row],[Matricula Antigua]],BAJA2022202320242025!$B$3:$CR$245,93,FALSE)</f>
        <v>44235</v>
      </c>
      <c r="P245" s="99">
        <v>45696</v>
      </c>
      <c r="Q245" s="99">
        <f>Tabla156[[#This Row],[F.Vig.Final]]-Tabla156[[#This Row],[f Vig Inicio]]</f>
        <v>1461</v>
      </c>
      <c r="R245" s="99">
        <f>YEAR(Tabla156[[#This Row],[F.Vig.Final]])</f>
        <v>2025</v>
      </c>
      <c r="S245" s="96" t="s">
        <v>77</v>
      </c>
      <c r="T245" s="96" t="s">
        <v>78</v>
      </c>
      <c r="U245" s="96" t="s">
        <v>79</v>
      </c>
      <c r="V245" s="96" t="s">
        <v>924</v>
      </c>
      <c r="W245" s="96" t="s">
        <v>119</v>
      </c>
      <c r="X245" s="96" t="s">
        <v>120</v>
      </c>
      <c r="Y245" s="96" t="s">
        <v>617</v>
      </c>
      <c r="Z245" s="98">
        <f>COUNTIF($X$3:X245, X245)</f>
        <v>6</v>
      </c>
      <c r="AA245" s="98"/>
      <c r="AB245" s="98"/>
      <c r="AC245" s="98"/>
      <c r="AD245" s="98"/>
      <c r="AE245" s="98"/>
      <c r="AF245" s="98"/>
      <c r="AG245" s="98"/>
      <c r="AH245" s="98"/>
      <c r="AI245" s="98" t="e">
        <v>#N/A</v>
      </c>
      <c r="AJ245" s="98" t="e">
        <v>#N/A</v>
      </c>
      <c r="AK245" s="98" t="e">
        <v>#N/A</v>
      </c>
      <c r="AL245" s="98" t="e">
        <v>#N/A</v>
      </c>
      <c r="AM245" s="98" t="e">
        <v>#N/A</v>
      </c>
      <c r="AN245" s="99" t="e">
        <v>#N/A</v>
      </c>
      <c r="AO245" s="99" t="e">
        <v>#N/A</v>
      </c>
      <c r="AP245" s="99" t="e">
        <f>Tabla156[[#This Row],[Renov. Flota]]-Tabla156[[#This Row],[Año]]</f>
        <v>#N/A</v>
      </c>
      <c r="AQ245" s="100" t="e">
        <v>#N/A</v>
      </c>
      <c r="AR245" s="100" t="e">
        <f>VLOOKUP(Tabla156[[#This Row],[Matricula nueva]],'ALTA 20242025'!$B$2:$P$242,15,FALSE)</f>
        <v>#N/A</v>
      </c>
      <c r="AS245" s="101" t="e">
        <v>#N/A</v>
      </c>
      <c r="AT245" s="101"/>
      <c r="AU245" s="101"/>
      <c r="AV245" s="101"/>
      <c r="AW245" s="101" t="e">
        <f>VLOOKUP(Tabla156[[#This Row],[Matricula nueva]],Hoja2!$A$1:$B$224,2,FALSE)</f>
        <v>#N/A</v>
      </c>
      <c r="AX245" s="101" t="str">
        <f>IF(Tabla156[[#This Row],[Columna2]]="M1",5.1,"")</f>
        <v/>
      </c>
      <c r="AY245" s="101"/>
      <c r="AZ245" s="101"/>
      <c r="BA245" s="311">
        <f>IF(Tabla156[[#This Row],[Columna2]]="M1",13073,IF(Tabla156[[#This Row],[Columna2]]="N1",15815,IF(Tabla156[[#This Row],[Columna2]]="L3e",2831,53508)))</f>
        <v>53508</v>
      </c>
      <c r="BB245" s="311" t="e">
        <f>(Tabla156[[#This Row],[CVA]]*Tabla156[[#This Row],[F]]-Tabla156[[#This Row],[CVN]])/100*Tabla156[[#This Row],[L]]</f>
        <v>#VALUE!</v>
      </c>
      <c r="BC245" s="1"/>
      <c r="BD245" s="1" t="e">
        <f>VLOOKUP(B245,Tabla467824[[ID CAE2]:[AE '[kWh']]],6,FALSE)</f>
        <v>#N/A</v>
      </c>
      <c r="BE24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46" spans="1:57" ht="15.75" hidden="1" thickBot="1" x14ac:dyDescent="0.3">
      <c r="A246" s="101"/>
      <c r="B246" s="53" t="e">
        <v>#N/A</v>
      </c>
      <c r="C246" s="100" t="s">
        <v>1423</v>
      </c>
      <c r="D246" s="100"/>
      <c r="E246" s="100"/>
      <c r="F246" s="100"/>
      <c r="G246" s="100"/>
      <c r="H246" s="100"/>
      <c r="I246" s="100"/>
      <c r="J246" s="100"/>
      <c r="K246" s="100" t="s">
        <v>73</v>
      </c>
      <c r="L246" s="100" t="s">
        <v>200</v>
      </c>
      <c r="M246" s="100" t="s">
        <v>201</v>
      </c>
      <c r="N246" s="100" t="s">
        <v>76</v>
      </c>
      <c r="O246" s="100" t="e">
        <f>VLOOKUP(Tabla156[[#This Row],[Matricula Antigua]],BAJA2022202320242025!$B$3:$CR$245,93,FALSE)</f>
        <v>#N/A</v>
      </c>
      <c r="P246" s="315">
        <v>44787</v>
      </c>
      <c r="Q246" s="315" t="e">
        <f>Tabla156[[#This Row],[F.Vig.Final]]-Tabla156[[#This Row],[f Vig Inicio]]</f>
        <v>#N/A</v>
      </c>
      <c r="R246" s="315">
        <f>YEAR(Tabla156[[#This Row],[F.Vig.Final]])</f>
        <v>2022</v>
      </c>
      <c r="S246" s="100" t="s">
        <v>77</v>
      </c>
      <c r="T246" s="100" t="s">
        <v>78</v>
      </c>
      <c r="U246" s="100" t="s">
        <v>359</v>
      </c>
      <c r="V246" s="100" t="s">
        <v>1424</v>
      </c>
      <c r="W246" s="100" t="s">
        <v>119</v>
      </c>
      <c r="X246" s="100" t="s">
        <v>120</v>
      </c>
      <c r="Y246" s="100" t="s">
        <v>1425</v>
      </c>
      <c r="Z246" s="98">
        <f>COUNTIF($X$3:X246, X246)</f>
        <v>7</v>
      </c>
      <c r="AA246" s="98"/>
      <c r="AB246" s="98"/>
      <c r="AC246" s="98"/>
      <c r="AD246" s="98"/>
      <c r="AE246" s="98"/>
      <c r="AF246" s="98"/>
      <c r="AG246" s="98"/>
      <c r="AH246" s="98"/>
      <c r="AI246" s="98" t="e">
        <v>#N/A</v>
      </c>
      <c r="AJ246" s="98" t="e">
        <v>#N/A</v>
      </c>
      <c r="AK246" s="98" t="e">
        <v>#N/A</v>
      </c>
      <c r="AL246" s="98" t="e">
        <v>#N/A</v>
      </c>
      <c r="AM246" s="98" t="e">
        <v>#N/A</v>
      </c>
      <c r="AN246" s="99" t="e">
        <v>#N/A</v>
      </c>
      <c r="AO246" s="99" t="e">
        <v>#N/A</v>
      </c>
      <c r="AP246" s="99" t="e">
        <f>Tabla156[[#This Row],[Renov. Flota]]-Tabla156[[#This Row],[Año]]</f>
        <v>#N/A</v>
      </c>
      <c r="AQ246" s="100" t="e">
        <v>#N/A</v>
      </c>
      <c r="AR246" s="100" t="e">
        <f>VLOOKUP(Tabla156[[#This Row],[Matricula nueva]],'ALTA 20242025'!$B$2:$P$242,15,FALSE)</f>
        <v>#N/A</v>
      </c>
      <c r="AS246" s="101" t="e">
        <v>#N/A</v>
      </c>
      <c r="AT246" s="101"/>
      <c r="AU246" s="101"/>
      <c r="AV246" s="101"/>
      <c r="AW246" s="101" t="e">
        <f>VLOOKUP(Tabla156[[#This Row],[Matricula nueva]],Hoja2!$A$1:$B$224,2,FALSE)</f>
        <v>#N/A</v>
      </c>
      <c r="AX246" s="101" t="str">
        <f>IF(Tabla156[[#This Row],[Columna2]]="M1",5.1,"")</f>
        <v/>
      </c>
      <c r="AY246" s="101"/>
      <c r="AZ246" s="101"/>
      <c r="BA246" s="311">
        <f>IF(Tabla156[[#This Row],[Columna2]]="M1",13073,IF(Tabla156[[#This Row],[Columna2]]="N1",15815,IF(Tabla156[[#This Row],[Columna2]]="L3e",2831,53508)))</f>
        <v>53508</v>
      </c>
      <c r="BB246" s="311" t="e">
        <f>(Tabla156[[#This Row],[CVA]]*Tabla156[[#This Row],[F]]-Tabla156[[#This Row],[CVN]])/100*Tabla156[[#This Row],[L]]</f>
        <v>#VALUE!</v>
      </c>
      <c r="BC246" s="1"/>
      <c r="BD246" s="1" t="e">
        <f>VLOOKUP(B246,Tabla467824[[ID CAE2]:[AE '[kWh']]],6,FALSE)</f>
        <v>#N/A</v>
      </c>
      <c r="BE24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47" spans="1:57" ht="15.75" hidden="1" thickBot="1" x14ac:dyDescent="0.3">
      <c r="A247" s="101"/>
      <c r="B247" s="53" t="e">
        <v>#N/A</v>
      </c>
      <c r="C247" s="100" t="s">
        <v>1426</v>
      </c>
      <c r="D247" s="100"/>
      <c r="E247" s="100"/>
      <c r="F247" s="100"/>
      <c r="G247" s="100"/>
      <c r="H247" s="100"/>
      <c r="I247" s="100"/>
      <c r="J247" s="100"/>
      <c r="K247" s="100" t="s">
        <v>73</v>
      </c>
      <c r="L247" s="100" t="s">
        <v>200</v>
      </c>
      <c r="M247" s="100" t="s">
        <v>201</v>
      </c>
      <c r="N247" s="100" t="s">
        <v>76</v>
      </c>
      <c r="O247" s="100" t="e">
        <f>VLOOKUP(Tabla156[[#This Row],[Matricula Antigua]],BAJA2022202320242025!$B$3:$CR$245,93,FALSE)</f>
        <v>#N/A</v>
      </c>
      <c r="P247" s="315">
        <v>44808</v>
      </c>
      <c r="Q247" s="315" t="e">
        <f>Tabla156[[#This Row],[F.Vig.Final]]-Tabla156[[#This Row],[f Vig Inicio]]</f>
        <v>#N/A</v>
      </c>
      <c r="R247" s="315">
        <f>YEAR(Tabla156[[#This Row],[F.Vig.Final]])</f>
        <v>2022</v>
      </c>
      <c r="S247" s="100" t="s">
        <v>77</v>
      </c>
      <c r="T247" s="100" t="s">
        <v>78</v>
      </c>
      <c r="U247" s="100" t="s">
        <v>359</v>
      </c>
      <c r="V247" s="100" t="s">
        <v>604</v>
      </c>
      <c r="W247" s="100" t="s">
        <v>131</v>
      </c>
      <c r="X247" s="100" t="s">
        <v>132</v>
      </c>
      <c r="Y247" s="100" t="s">
        <v>135</v>
      </c>
      <c r="Z247" s="98">
        <f>COUNTIF($X$3:X247, X247)</f>
        <v>30</v>
      </c>
      <c r="AA247" s="98"/>
      <c r="AB247" s="98"/>
      <c r="AC247" s="98"/>
      <c r="AD247" s="98"/>
      <c r="AE247" s="320"/>
      <c r="AF247" s="320"/>
      <c r="AG247" s="320"/>
      <c r="AH247" s="98"/>
      <c r="AI247" s="98" t="e">
        <v>#N/A</v>
      </c>
      <c r="AJ247" s="98" t="e">
        <v>#N/A</v>
      </c>
      <c r="AK247" s="98" t="e">
        <v>#N/A</v>
      </c>
      <c r="AL247" s="98" t="e">
        <v>#N/A</v>
      </c>
      <c r="AM247" s="98" t="e">
        <v>#N/A</v>
      </c>
      <c r="AN247" s="99" t="e">
        <v>#N/A</v>
      </c>
      <c r="AO247" s="99" t="e">
        <v>#N/A</v>
      </c>
      <c r="AP247" s="99" t="e">
        <f>Tabla156[[#This Row],[Renov. Flota]]-Tabla156[[#This Row],[Año]]</f>
        <v>#N/A</v>
      </c>
      <c r="AQ247" s="100" t="e">
        <v>#N/A</v>
      </c>
      <c r="AR247" s="100" t="e">
        <f>VLOOKUP(Tabla156[[#This Row],[Matricula nueva]],'ALTA 20242025'!$B$2:$P$242,15,FALSE)</f>
        <v>#N/A</v>
      </c>
      <c r="AS247" s="101" t="e">
        <v>#N/A</v>
      </c>
      <c r="AT247" s="101"/>
      <c r="AU247" s="101"/>
      <c r="AV247" s="101"/>
      <c r="AW247" s="101" t="e">
        <f>VLOOKUP(Tabla156[[#This Row],[Matricula nueva]],Hoja2!$A$1:$B$224,2,FALSE)</f>
        <v>#N/A</v>
      </c>
      <c r="AX247" s="101" t="str">
        <f>IF(Tabla156[[#This Row],[Columna2]]="M1",5.1,"")</f>
        <v/>
      </c>
      <c r="AY247" s="101"/>
      <c r="AZ247" s="101"/>
      <c r="BA247" s="311">
        <f>IF(Tabla156[[#This Row],[Columna2]]="M1",13073,IF(Tabla156[[#This Row],[Columna2]]="N1",15815,IF(Tabla156[[#This Row],[Columna2]]="L3e",2831,53508)))</f>
        <v>53508</v>
      </c>
      <c r="BB247" s="311" t="e">
        <f>(Tabla156[[#This Row],[CVA]]*Tabla156[[#This Row],[F]]-Tabla156[[#This Row],[CVN]])/100*Tabla156[[#This Row],[L]]</f>
        <v>#VALUE!</v>
      </c>
      <c r="BC247" s="1"/>
      <c r="BD247" s="1" t="e">
        <f>VLOOKUP(B247,Tabla467824[[ID CAE2]:[AE '[kWh']]],6,FALSE)</f>
        <v>#N/A</v>
      </c>
      <c r="BE24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48" spans="1:57" ht="52.5" thickBot="1" x14ac:dyDescent="0.3">
      <c r="A248" s="53" t="s">
        <v>1064</v>
      </c>
      <c r="B248" s="53" t="s">
        <v>1064</v>
      </c>
      <c r="C248" s="332" t="s">
        <v>1065</v>
      </c>
      <c r="D248" s="104"/>
      <c r="E248" s="104"/>
      <c r="F248" s="104"/>
      <c r="G248" s="104" t="s">
        <v>72</v>
      </c>
      <c r="H248" s="104" t="s">
        <v>72</v>
      </c>
      <c r="I248" s="104" t="s">
        <v>72</v>
      </c>
      <c r="J248" s="104"/>
      <c r="K248" s="96" t="s">
        <v>158</v>
      </c>
      <c r="L248" s="96" t="s">
        <v>159</v>
      </c>
      <c r="M248" s="96" t="s">
        <v>158</v>
      </c>
      <c r="N248" s="96" t="s">
        <v>171</v>
      </c>
      <c r="O248" s="99">
        <f>VLOOKUP(Tabla156[[#This Row],[Matricula Antigua]],BAJA2022202320242025!$B$3:$CR$245,93,FALSE)</f>
        <v>36161</v>
      </c>
      <c r="P248" s="316">
        <v>44994</v>
      </c>
      <c r="Q248" s="317">
        <f>Tabla156[[#This Row],[F.Vig.Final]]-Tabla156[[#This Row],[f Vig Inicio]]</f>
        <v>8833</v>
      </c>
      <c r="R248" s="318">
        <f>YEAR(Tabla156[[#This Row],[F.Vig.Final]])</f>
        <v>2023</v>
      </c>
      <c r="S248" s="96" t="s">
        <v>172</v>
      </c>
      <c r="T248" s="96" t="s">
        <v>78</v>
      </c>
      <c r="U248" s="96" t="s">
        <v>1066</v>
      </c>
      <c r="V248" s="96" t="s">
        <v>1067</v>
      </c>
      <c r="W248" s="96" t="s">
        <v>102</v>
      </c>
      <c r="X248" s="332" t="s">
        <v>1667</v>
      </c>
      <c r="Y248" s="96" t="s">
        <v>579</v>
      </c>
      <c r="Z248" s="98">
        <f>COUNTIF($X$3:X248, X248)</f>
        <v>44</v>
      </c>
      <c r="AA248" s="337" t="s">
        <v>1668</v>
      </c>
      <c r="AB248" s="337" t="s">
        <v>1668</v>
      </c>
      <c r="AC248" s="337" t="s">
        <v>1669</v>
      </c>
      <c r="AD248" s="341" t="s">
        <v>1670</v>
      </c>
      <c r="AE248" s="342" t="s">
        <v>1671</v>
      </c>
      <c r="AF248" s="337" t="s">
        <v>1672</v>
      </c>
      <c r="AG248" s="344" t="s">
        <v>1673</v>
      </c>
      <c r="AH248" s="337" t="s">
        <v>1649</v>
      </c>
      <c r="AI248" s="337" t="s">
        <v>1068</v>
      </c>
      <c r="AJ248" s="98" t="s">
        <v>79</v>
      </c>
      <c r="AK248" s="98" t="s">
        <v>442</v>
      </c>
      <c r="AL248" s="98" t="s">
        <v>87</v>
      </c>
      <c r="AM248" s="101" t="s">
        <v>107</v>
      </c>
      <c r="AN248" s="348" t="s">
        <v>108</v>
      </c>
      <c r="AO248" s="349">
        <v>45133</v>
      </c>
      <c r="AP248" s="98">
        <f>Tabla156[[#This Row],[Renov. Flota]]-Tabla156[[#This Row],[Año]]</f>
        <v>0</v>
      </c>
      <c r="AQ248" s="100" t="s">
        <v>102</v>
      </c>
      <c r="AR248" s="100">
        <v>4500370229</v>
      </c>
      <c r="AS248" s="101" t="s">
        <v>103</v>
      </c>
      <c r="AT248" s="101"/>
      <c r="AU248" s="101" t="s">
        <v>72</v>
      </c>
      <c r="AV248" s="101" t="s">
        <v>109</v>
      </c>
      <c r="AW248" s="101" t="s">
        <v>1069</v>
      </c>
      <c r="AX248" s="209">
        <v>5.6</v>
      </c>
      <c r="AY248" s="208">
        <f>IF(T248="DIESEL",10,IF(T248="GLP",7.16,9.19))</f>
        <v>10</v>
      </c>
      <c r="AZ248" s="313">
        <v>22.7</v>
      </c>
      <c r="BA248" s="314">
        <f>IF(Tabla156[[#This Row],[Columna2]]="M1",13073,IF(Tabla156[[#This Row],[Columna2]]="N1",15815,IF(Tabla156[[#This Row],[Columna2]]="L3e",2831,53508)))</f>
        <v>15815</v>
      </c>
      <c r="BB248" s="350">
        <f>(Tabla156[[#This Row],[CVA]]*Tabla156[[#This Row],[F]]-Tabla156[[#This Row],[CVN]])/100*Tabla156[[#This Row],[L]]</f>
        <v>5266.3949999999995</v>
      </c>
      <c r="BC248" s="92" t="s">
        <v>128</v>
      </c>
      <c r="BD248" s="209">
        <f>VLOOKUP(B248,Tabla467824[[ID CAE2]:[AE '[kWh']]],6,FALSE)</f>
        <v>5607.9989999999989</v>
      </c>
      <c r="BE24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PROPIEDAD</v>
      </c>
    </row>
    <row r="249" spans="1:57" ht="15.75" hidden="1" thickBot="1" x14ac:dyDescent="0.3">
      <c r="A249" s="53" t="s">
        <v>1427</v>
      </c>
      <c r="B249" s="53" t="e">
        <v>#N/A</v>
      </c>
      <c r="C249" s="100" t="s">
        <v>1428</v>
      </c>
      <c r="D249" s="100"/>
      <c r="E249" s="100"/>
      <c r="F249" s="100"/>
      <c r="G249" s="100"/>
      <c r="H249" s="100"/>
      <c r="I249" s="100"/>
      <c r="J249" s="100"/>
      <c r="K249" s="100" t="s">
        <v>1034</v>
      </c>
      <c r="L249" s="100" t="s">
        <v>200</v>
      </c>
      <c r="M249" s="100" t="s">
        <v>201</v>
      </c>
      <c r="N249" s="100" t="s">
        <v>76</v>
      </c>
      <c r="O249" s="100" t="e">
        <f>VLOOKUP(Tabla156[[#This Row],[Matricula Antigua]],BAJA2022202320242025!$B$3:$CR$245,93,FALSE)</f>
        <v>#N/A</v>
      </c>
      <c r="P249" s="315">
        <v>44669</v>
      </c>
      <c r="Q249" s="315" t="e">
        <f>Tabla156[[#This Row],[F.Vig.Final]]-Tabla156[[#This Row],[f Vig Inicio]]</f>
        <v>#N/A</v>
      </c>
      <c r="R249" s="315">
        <f>YEAR(Tabla156[[#This Row],[F.Vig.Final]])</f>
        <v>2022</v>
      </c>
      <c r="S249" s="100" t="s">
        <v>77</v>
      </c>
      <c r="T249" s="100" t="s">
        <v>202</v>
      </c>
      <c r="U249" s="100" t="s">
        <v>416</v>
      </c>
      <c r="V249" s="100" t="s">
        <v>1429</v>
      </c>
      <c r="W249" s="100" t="s">
        <v>336</v>
      </c>
      <c r="X249" s="100" t="s">
        <v>337</v>
      </c>
      <c r="Y249" s="100" t="s">
        <v>1430</v>
      </c>
      <c r="Z249" s="98">
        <f>COUNTIF($X$3:X249, X249)</f>
        <v>19</v>
      </c>
      <c r="AA249" s="98"/>
      <c r="AB249" s="98"/>
      <c r="AC249" s="98"/>
      <c r="AD249" s="98"/>
      <c r="AE249" s="322"/>
      <c r="AF249" s="322"/>
      <c r="AG249" s="98"/>
      <c r="AH249" s="98"/>
      <c r="AI249" s="98" t="e">
        <v>#N/A</v>
      </c>
      <c r="AJ249" s="98" t="e">
        <v>#N/A</v>
      </c>
      <c r="AK249" s="98" t="e">
        <v>#N/A</v>
      </c>
      <c r="AL249" s="98" t="e">
        <v>#N/A</v>
      </c>
      <c r="AM249" s="98" t="e">
        <v>#N/A</v>
      </c>
      <c r="AN249" s="99" t="e">
        <v>#N/A</v>
      </c>
      <c r="AO249" s="99" t="e">
        <v>#N/A</v>
      </c>
      <c r="AP249" s="99" t="e">
        <f>Tabla156[[#This Row],[Renov. Flota]]-Tabla156[[#This Row],[Año]]</f>
        <v>#N/A</v>
      </c>
      <c r="AQ249" s="100" t="e">
        <v>#N/A</v>
      </c>
      <c r="AR249" s="100" t="e">
        <f>VLOOKUP(Tabla156[[#This Row],[Matricula nueva]],'ALTA 20242025'!$B$2:$P$242,15,FALSE)</f>
        <v>#N/A</v>
      </c>
      <c r="AS249" s="101" t="e">
        <v>#N/A</v>
      </c>
      <c r="AT249" s="101"/>
      <c r="AU249" s="101"/>
      <c r="AV249" s="101"/>
      <c r="AW249" s="101" t="e">
        <f>VLOOKUP(Tabla156[[#This Row],[Matricula nueva]],Hoja2!$A$1:$B$224,2,FALSE)</f>
        <v>#N/A</v>
      </c>
      <c r="AX249" s="101" t="str">
        <f>IF(Tabla156[[#This Row],[Columna2]]="M1",5.1,"")</f>
        <v/>
      </c>
      <c r="AY249" s="101"/>
      <c r="AZ249" s="101"/>
      <c r="BA249" s="311">
        <f>IF(Tabla156[[#This Row],[Columna2]]="M1",13073,IF(Tabla156[[#This Row],[Columna2]]="N1",15815,IF(Tabla156[[#This Row],[Columna2]]="L3e",2831,53508)))</f>
        <v>53508</v>
      </c>
      <c r="BB249" s="311" t="e">
        <f>(Tabla156[[#This Row],[CVA]]*Tabla156[[#This Row],[F]]-Tabla156[[#This Row],[CVN]])/100*Tabla156[[#This Row],[L]]</f>
        <v>#VALUE!</v>
      </c>
      <c r="BC249" s="1"/>
      <c r="BD249" s="1" t="e">
        <f>VLOOKUP(B249,Tabla467824[[ID CAE2]:[AE '[kWh']]],6,FALSE)</f>
        <v>#N/A</v>
      </c>
      <c r="BE24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0" spans="1:57" ht="15.75" hidden="1" thickBot="1" x14ac:dyDescent="0.3">
      <c r="A250" s="53" t="s">
        <v>1431</v>
      </c>
      <c r="B250" s="53" t="e">
        <v>#N/A</v>
      </c>
      <c r="C250" s="96" t="s">
        <v>1432</v>
      </c>
      <c r="D250" s="96"/>
      <c r="E250" s="96"/>
      <c r="F250" s="96"/>
      <c r="G250" s="96"/>
      <c r="H250" s="96"/>
      <c r="I250" s="96"/>
      <c r="J250" s="96"/>
      <c r="K250" s="96" t="s">
        <v>73</v>
      </c>
      <c r="L250" s="96" t="s">
        <v>200</v>
      </c>
      <c r="M250" s="96" t="s">
        <v>201</v>
      </c>
      <c r="N250" s="96" t="s">
        <v>76</v>
      </c>
      <c r="O250" s="101">
        <f>VLOOKUP(Tabla156[[#This Row],[Matricula Antigua]],BAJA2022202320242025!$B$3:$CR$245,93,FALSE)</f>
        <v>44238</v>
      </c>
      <c r="P250" s="99">
        <v>45699</v>
      </c>
      <c r="Q250" s="99">
        <f>Tabla156[[#This Row],[F.Vig.Final]]-Tabla156[[#This Row],[f Vig Inicio]]</f>
        <v>1461</v>
      </c>
      <c r="R250" s="99">
        <f>YEAR(Tabla156[[#This Row],[F.Vig.Final]])</f>
        <v>2025</v>
      </c>
      <c r="S250" s="96" t="s">
        <v>77</v>
      </c>
      <c r="T250" s="96" t="s">
        <v>78</v>
      </c>
      <c r="U250" s="96" t="s">
        <v>79</v>
      </c>
      <c r="V250" s="96" t="s">
        <v>924</v>
      </c>
      <c r="W250" s="96" t="s">
        <v>336</v>
      </c>
      <c r="X250" s="96" t="s">
        <v>337</v>
      </c>
      <c r="Y250" s="96" t="s">
        <v>760</v>
      </c>
      <c r="Z250" s="98">
        <f>COUNTIF($X$3:X250, X250)</f>
        <v>20</v>
      </c>
      <c r="AA250" s="98"/>
      <c r="AB250" s="98"/>
      <c r="AC250" s="98"/>
      <c r="AD250" s="98"/>
      <c r="AE250" s="98"/>
      <c r="AF250" s="98"/>
      <c r="AG250" s="98"/>
      <c r="AH250" s="98"/>
      <c r="AI250" s="98" t="e">
        <v>#N/A</v>
      </c>
      <c r="AJ250" s="98" t="e">
        <v>#N/A</v>
      </c>
      <c r="AK250" s="98" t="e">
        <v>#N/A</v>
      </c>
      <c r="AL250" s="98" t="e">
        <v>#N/A</v>
      </c>
      <c r="AM250" s="98" t="e">
        <v>#N/A</v>
      </c>
      <c r="AN250" s="99" t="e">
        <v>#N/A</v>
      </c>
      <c r="AO250" s="99" t="e">
        <v>#N/A</v>
      </c>
      <c r="AP250" s="99" t="e">
        <f>Tabla156[[#This Row],[Renov. Flota]]-Tabla156[[#This Row],[Año]]</f>
        <v>#N/A</v>
      </c>
      <c r="AQ250" s="100" t="e">
        <v>#N/A</v>
      </c>
      <c r="AR250" s="100" t="e">
        <f>VLOOKUP(Tabla156[[#This Row],[Matricula nueva]],'ALTA 20242025'!$B$2:$P$242,15,FALSE)</f>
        <v>#N/A</v>
      </c>
      <c r="AS250" s="101" t="e">
        <v>#N/A</v>
      </c>
      <c r="AT250" s="101"/>
      <c r="AU250" s="101"/>
      <c r="AV250" s="101"/>
      <c r="AW250" s="101" t="e">
        <f>VLOOKUP(Tabla156[[#This Row],[Matricula nueva]],Hoja2!$A$1:$B$224,2,FALSE)</f>
        <v>#N/A</v>
      </c>
      <c r="AX250" s="101" t="str">
        <f>IF(Tabla156[[#This Row],[Columna2]]="M1",5.1,"")</f>
        <v/>
      </c>
      <c r="AY250" s="101"/>
      <c r="AZ250" s="101"/>
      <c r="BA250" s="311">
        <f>IF(Tabla156[[#This Row],[Columna2]]="M1",13073,IF(Tabla156[[#This Row],[Columna2]]="N1",15815,IF(Tabla156[[#This Row],[Columna2]]="L3e",2831,53508)))</f>
        <v>53508</v>
      </c>
      <c r="BB250" s="311" t="e">
        <f>(Tabla156[[#This Row],[CVA]]*Tabla156[[#This Row],[F]]-Tabla156[[#This Row],[CVN]])/100*Tabla156[[#This Row],[L]]</f>
        <v>#VALUE!</v>
      </c>
      <c r="BC250" s="1"/>
      <c r="BD250" s="1" t="e">
        <f>VLOOKUP(B250,Tabla467824[[ID CAE2]:[AE '[kWh']]],6,FALSE)</f>
        <v>#N/A</v>
      </c>
      <c r="BE25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1" spans="1:57" ht="15.75" hidden="1" thickBot="1" x14ac:dyDescent="0.3">
      <c r="A251" s="53" t="s">
        <v>1433</v>
      </c>
      <c r="B251" s="53" t="e">
        <v>#N/A</v>
      </c>
      <c r="C251" s="100" t="s">
        <v>1434</v>
      </c>
      <c r="D251" s="100"/>
      <c r="E251" s="100"/>
      <c r="F251" s="100"/>
      <c r="G251" s="100"/>
      <c r="H251" s="100"/>
      <c r="I251" s="100"/>
      <c r="J251" s="100"/>
      <c r="K251" s="100" t="s">
        <v>73</v>
      </c>
      <c r="L251" s="100" t="s">
        <v>200</v>
      </c>
      <c r="M251" s="100" t="s">
        <v>201</v>
      </c>
      <c r="N251" s="100" t="s">
        <v>76</v>
      </c>
      <c r="O251" s="100" t="e">
        <f>VLOOKUP(Tabla156[[#This Row],[Matricula Antigua]],BAJA2022202320242025!$B$3:$CR$245,93,FALSE)</f>
        <v>#N/A</v>
      </c>
      <c r="P251" s="315">
        <v>44657</v>
      </c>
      <c r="Q251" s="315" t="e">
        <f>Tabla156[[#This Row],[F.Vig.Final]]-Tabla156[[#This Row],[f Vig Inicio]]</f>
        <v>#N/A</v>
      </c>
      <c r="R251" s="315">
        <f>YEAR(Tabla156[[#This Row],[F.Vig.Final]])</f>
        <v>2022</v>
      </c>
      <c r="S251" s="100" t="s">
        <v>77</v>
      </c>
      <c r="T251" s="100" t="s">
        <v>78</v>
      </c>
      <c r="U251" s="100" t="s">
        <v>359</v>
      </c>
      <c r="V251" s="100" t="s">
        <v>360</v>
      </c>
      <c r="W251" s="100" t="s">
        <v>584</v>
      </c>
      <c r="X251" s="100" t="s">
        <v>585</v>
      </c>
      <c r="Y251" s="100" t="s">
        <v>1435</v>
      </c>
      <c r="Z251" s="98">
        <f>COUNTIF($X$3:X251, X251)</f>
        <v>19</v>
      </c>
      <c r="AA251" s="98"/>
      <c r="AB251" s="98"/>
      <c r="AC251" s="98"/>
      <c r="AD251" s="98"/>
      <c r="AE251" s="98"/>
      <c r="AF251" s="98"/>
      <c r="AG251" s="98"/>
      <c r="AH251" s="98"/>
      <c r="AI251" s="98" t="e">
        <v>#N/A</v>
      </c>
      <c r="AJ251" s="98" t="e">
        <v>#N/A</v>
      </c>
      <c r="AK251" s="98" t="e">
        <v>#N/A</v>
      </c>
      <c r="AL251" s="98" t="e">
        <v>#N/A</v>
      </c>
      <c r="AM251" s="98" t="e">
        <v>#N/A</v>
      </c>
      <c r="AN251" s="99" t="e">
        <v>#N/A</v>
      </c>
      <c r="AO251" s="99" t="e">
        <v>#N/A</v>
      </c>
      <c r="AP251" s="99" t="e">
        <f>Tabla156[[#This Row],[Renov. Flota]]-Tabla156[[#This Row],[Año]]</f>
        <v>#N/A</v>
      </c>
      <c r="AQ251" s="100" t="e">
        <v>#N/A</v>
      </c>
      <c r="AR251" s="100" t="e">
        <f>VLOOKUP(Tabla156[[#This Row],[Matricula nueva]],'ALTA 20242025'!$B$2:$P$242,15,FALSE)</f>
        <v>#N/A</v>
      </c>
      <c r="AS251" s="101" t="e">
        <v>#N/A</v>
      </c>
      <c r="AT251" s="101"/>
      <c r="AU251" s="101"/>
      <c r="AV251" s="101"/>
      <c r="AW251" s="101" t="e">
        <f>VLOOKUP(Tabla156[[#This Row],[Matricula nueva]],Hoja2!$A$1:$B$224,2,FALSE)</f>
        <v>#N/A</v>
      </c>
      <c r="AX251" s="101" t="str">
        <f>IF(Tabla156[[#This Row],[Columna2]]="M1",5.1,"")</f>
        <v/>
      </c>
      <c r="AY251" s="101"/>
      <c r="AZ251" s="101"/>
      <c r="BA251" s="311">
        <f>IF(Tabla156[[#This Row],[Columna2]]="M1",13073,IF(Tabla156[[#This Row],[Columna2]]="N1",15815,IF(Tabla156[[#This Row],[Columna2]]="L3e",2831,53508)))</f>
        <v>53508</v>
      </c>
      <c r="BB251" s="311" t="e">
        <f>(Tabla156[[#This Row],[CVA]]*Tabla156[[#This Row],[F]]-Tabla156[[#This Row],[CVN]])/100*Tabla156[[#This Row],[L]]</f>
        <v>#VALUE!</v>
      </c>
      <c r="BC251" s="1"/>
      <c r="BD251" s="1" t="e">
        <f>VLOOKUP(B251,Tabla467824[[ID CAE2]:[AE '[kWh']]],6,FALSE)</f>
        <v>#N/A</v>
      </c>
      <c r="BE25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2" spans="1:57" ht="15.75" hidden="1" thickBot="1" x14ac:dyDescent="0.3">
      <c r="A252" s="53" t="s">
        <v>1436</v>
      </c>
      <c r="B252" s="53" t="e">
        <v>#N/A</v>
      </c>
      <c r="C252" s="100" t="s">
        <v>1437</v>
      </c>
      <c r="D252" s="100"/>
      <c r="E252" s="100"/>
      <c r="F252" s="100"/>
      <c r="G252" s="100"/>
      <c r="H252" s="100"/>
      <c r="I252" s="100"/>
      <c r="J252" s="100"/>
      <c r="K252" s="100" t="s">
        <v>73</v>
      </c>
      <c r="L252" s="100" t="s">
        <v>200</v>
      </c>
      <c r="M252" s="100" t="s">
        <v>201</v>
      </c>
      <c r="N252" s="100" t="s">
        <v>76</v>
      </c>
      <c r="O252" s="100" t="e">
        <f>VLOOKUP(Tabla156[[#This Row],[Matricula Antigua]],BAJA2022202320242025!$B$3:$CR$245,93,FALSE)</f>
        <v>#N/A</v>
      </c>
      <c r="P252" s="315">
        <v>44857</v>
      </c>
      <c r="Q252" s="315" t="e">
        <f>Tabla156[[#This Row],[F.Vig.Final]]-Tabla156[[#This Row],[f Vig Inicio]]</f>
        <v>#N/A</v>
      </c>
      <c r="R252" s="315">
        <f>YEAR(Tabla156[[#This Row],[F.Vig.Final]])</f>
        <v>2022</v>
      </c>
      <c r="S252" s="100" t="s">
        <v>77</v>
      </c>
      <c r="T252" s="100" t="s">
        <v>78</v>
      </c>
      <c r="U252" s="100" t="s">
        <v>359</v>
      </c>
      <c r="V252" s="100" t="s">
        <v>604</v>
      </c>
      <c r="W252" s="100" t="s">
        <v>131</v>
      </c>
      <c r="X252" s="100" t="s">
        <v>132</v>
      </c>
      <c r="Y252" s="100" t="s">
        <v>135</v>
      </c>
      <c r="Z252" s="98">
        <f>COUNTIF($X$3:X252, X252)</f>
        <v>31</v>
      </c>
      <c r="AA252" s="98"/>
      <c r="AB252" s="98"/>
      <c r="AC252" s="98"/>
      <c r="AD252" s="98"/>
      <c r="AE252" s="98"/>
      <c r="AF252" s="98"/>
      <c r="AG252" s="98"/>
      <c r="AH252" s="98"/>
      <c r="AI252" s="98" t="e">
        <v>#N/A</v>
      </c>
      <c r="AJ252" s="98" t="e">
        <v>#N/A</v>
      </c>
      <c r="AK252" s="98" t="e">
        <v>#N/A</v>
      </c>
      <c r="AL252" s="98" t="e">
        <v>#N/A</v>
      </c>
      <c r="AM252" s="98" t="e">
        <v>#N/A</v>
      </c>
      <c r="AN252" s="99" t="e">
        <v>#N/A</v>
      </c>
      <c r="AO252" s="99" t="e">
        <v>#N/A</v>
      </c>
      <c r="AP252" s="99" t="e">
        <f>Tabla156[[#This Row],[Renov. Flota]]-Tabla156[[#This Row],[Año]]</f>
        <v>#N/A</v>
      </c>
      <c r="AQ252" s="100" t="e">
        <v>#N/A</v>
      </c>
      <c r="AR252" s="100" t="e">
        <f>VLOOKUP(Tabla156[[#This Row],[Matricula nueva]],'ALTA 20242025'!$B$2:$P$242,15,FALSE)</f>
        <v>#N/A</v>
      </c>
      <c r="AS252" s="101" t="e">
        <v>#N/A</v>
      </c>
      <c r="AT252" s="101"/>
      <c r="AU252" s="101"/>
      <c r="AV252" s="101"/>
      <c r="AW252" s="101" t="e">
        <f>VLOOKUP(Tabla156[[#This Row],[Matricula nueva]],Hoja2!$A$1:$B$224,2,FALSE)</f>
        <v>#N/A</v>
      </c>
      <c r="AX252" s="101" t="str">
        <f>IF(Tabla156[[#This Row],[Columna2]]="M1",5.1,"")</f>
        <v/>
      </c>
      <c r="AY252" s="101"/>
      <c r="AZ252" s="101"/>
      <c r="BA252" s="311">
        <f>IF(Tabla156[[#This Row],[Columna2]]="M1",13073,IF(Tabla156[[#This Row],[Columna2]]="N1",15815,IF(Tabla156[[#This Row],[Columna2]]="L3e",2831,53508)))</f>
        <v>53508</v>
      </c>
      <c r="BB252" s="311" t="e">
        <f>(Tabla156[[#This Row],[CVA]]*Tabla156[[#This Row],[F]]-Tabla156[[#This Row],[CVN]])/100*Tabla156[[#This Row],[L]]</f>
        <v>#VALUE!</v>
      </c>
      <c r="BC252" s="1"/>
      <c r="BD252" s="1" t="e">
        <f>VLOOKUP(B252,Tabla467824[[ID CAE2]:[AE '[kWh']]],6,FALSE)</f>
        <v>#N/A</v>
      </c>
      <c r="BE25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3" spans="1:57" ht="52.5" thickBot="1" x14ac:dyDescent="0.3">
      <c r="A253" s="53" t="s">
        <v>1070</v>
      </c>
      <c r="B253" s="53" t="s">
        <v>1070</v>
      </c>
      <c r="C253" s="332" t="s">
        <v>1071</v>
      </c>
      <c r="D253" s="104"/>
      <c r="E253" s="104"/>
      <c r="F253" s="104"/>
      <c r="G253" s="104"/>
      <c r="H253" s="104"/>
      <c r="I253" s="104"/>
      <c r="J253" s="104"/>
      <c r="K253" s="96" t="s">
        <v>466</v>
      </c>
      <c r="L253" s="96" t="s">
        <v>200</v>
      </c>
      <c r="M253" s="96" t="s">
        <v>201</v>
      </c>
      <c r="N253" s="96" t="s">
        <v>76</v>
      </c>
      <c r="O253" s="101">
        <f>VLOOKUP(Tabla156[[#This Row],[Matricula Antigua]],BAJA2022202320242025!$B$3:$CR$245,93,FALSE)</f>
        <v>44026</v>
      </c>
      <c r="P253" s="316">
        <v>45169</v>
      </c>
      <c r="Q253" s="317">
        <f>Tabla156[[#This Row],[F.Vig.Final]]-Tabla156[[#This Row],[f Vig Inicio]]</f>
        <v>1143</v>
      </c>
      <c r="R253" s="318">
        <f>YEAR(Tabla156[[#This Row],[F.Vig.Final]])</f>
        <v>2023</v>
      </c>
      <c r="S253" s="96" t="s">
        <v>77</v>
      </c>
      <c r="T253" s="96" t="s">
        <v>78</v>
      </c>
      <c r="U253" s="96" t="s">
        <v>467</v>
      </c>
      <c r="V253" s="96" t="s">
        <v>1072</v>
      </c>
      <c r="W253" s="96" t="s">
        <v>960</v>
      </c>
      <c r="X253" s="332" t="s">
        <v>961</v>
      </c>
      <c r="Y253" s="96" t="s">
        <v>1073</v>
      </c>
      <c r="Z253" s="98">
        <f>COUNTIF($X$3:X253, X253)</f>
        <v>2</v>
      </c>
      <c r="AA253" s="337" t="s">
        <v>1661</v>
      </c>
      <c r="AB253" s="337" t="s">
        <v>1661</v>
      </c>
      <c r="AC253" s="337" t="s">
        <v>1662</v>
      </c>
      <c r="AD253" s="341" t="s">
        <v>1701</v>
      </c>
      <c r="AE253" s="337" t="s">
        <v>1664</v>
      </c>
      <c r="AF253" s="337" t="s">
        <v>1702</v>
      </c>
      <c r="AG253" s="337" t="s">
        <v>1703</v>
      </c>
      <c r="AH253" s="337" t="s">
        <v>1649</v>
      </c>
      <c r="AI253" s="337" t="s">
        <v>1074</v>
      </c>
      <c r="AJ253" s="98" t="s">
        <v>85</v>
      </c>
      <c r="AK253" s="98" t="s">
        <v>86</v>
      </c>
      <c r="AL253" s="98" t="s">
        <v>87</v>
      </c>
      <c r="AM253" s="101" t="s">
        <v>1075</v>
      </c>
      <c r="AN253" s="348" t="s">
        <v>89</v>
      </c>
      <c r="AO253" s="349">
        <v>45645</v>
      </c>
      <c r="AP253" s="98">
        <f>Tabla156[[#This Row],[Renov. Flota]]-Tabla156[[#This Row],[Año]]</f>
        <v>1</v>
      </c>
      <c r="AQ253" s="100" t="s">
        <v>960</v>
      </c>
      <c r="AR253" s="100" t="str">
        <f>VLOOKUP(Tabla156[[#This Row],[Matricula nueva]],'ALTA 20242025'!$B$2:$P$242,15,FALSE)</f>
        <v>4500426769</v>
      </c>
      <c r="AS253" s="101" t="s">
        <v>961</v>
      </c>
      <c r="AT253" s="101"/>
      <c r="AU253" s="101" t="s">
        <v>72</v>
      </c>
      <c r="AV253" s="101" t="s">
        <v>91</v>
      </c>
      <c r="AW253" s="101" t="str">
        <f>VLOOKUP(Tabla156[[#This Row],[Matricula nueva]],Hoja2!$A$1:$B$224,2,FALSE)</f>
        <v>VF1RFK00773934312</v>
      </c>
      <c r="AX253" s="209">
        <f>IF(Tabla156[[#This Row],[Columna2]]="M1",5.1,"")</f>
        <v>5.0999999999999996</v>
      </c>
      <c r="AY253" s="208">
        <f>IF(T253="DIESEL",10,IF(T253="GLP",7.16,9.19))</f>
        <v>10</v>
      </c>
      <c r="AZ253" s="313">
        <v>17.3</v>
      </c>
      <c r="BA253" s="314">
        <f>IF(Tabla156[[#This Row],[Columna2]]="M1",13073,IF(Tabla156[[#This Row],[Columna2]]="N1",15815,IF(Tabla156[[#This Row],[Columna2]]="L3e",2831,53508)))</f>
        <v>13073</v>
      </c>
      <c r="BB253" s="350">
        <f>(Tabla156[[#This Row],[CVA]]*Tabla156[[#This Row],[F]]-Tabla156[[#This Row],[CVN]])/100*Tabla156[[#This Row],[L]]</f>
        <v>4405.6010000000006</v>
      </c>
      <c r="BC253" s="92" t="s">
        <v>70</v>
      </c>
      <c r="BD253" s="209">
        <f>VLOOKUP(B253,Tabla467824[[ID CAE2]:[AE '[kWh']]],6,FALSE)</f>
        <v>6795.3454000000002</v>
      </c>
      <c r="BE25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4" spans="1:57" ht="15.75" hidden="1" thickBot="1" x14ac:dyDescent="0.3">
      <c r="A254" s="53" t="s">
        <v>1438</v>
      </c>
      <c r="B254" s="53" t="e">
        <v>#N/A</v>
      </c>
      <c r="C254" s="100" t="s">
        <v>1439</v>
      </c>
      <c r="D254" s="100"/>
      <c r="E254" s="100"/>
      <c r="F254" s="100"/>
      <c r="G254" s="100"/>
      <c r="H254" s="100"/>
      <c r="I254" s="100"/>
      <c r="J254" s="100"/>
      <c r="K254" s="100" t="s">
        <v>885</v>
      </c>
      <c r="L254" s="100" t="s">
        <v>161</v>
      </c>
      <c r="M254" s="100" t="s">
        <v>886</v>
      </c>
      <c r="N254" s="100" t="s">
        <v>76</v>
      </c>
      <c r="O254" s="100" t="e">
        <f>VLOOKUP(Tabla156[[#This Row],[Matricula Antigua]],BAJA2022202320242025!$B$3:$CR$245,93,FALSE)</f>
        <v>#N/A</v>
      </c>
      <c r="P254" s="315">
        <v>44865</v>
      </c>
      <c r="Q254" s="315" t="e">
        <f>Tabla156[[#This Row],[F.Vig.Final]]-Tabla156[[#This Row],[f Vig Inicio]]</f>
        <v>#N/A</v>
      </c>
      <c r="R254" s="315">
        <f>YEAR(Tabla156[[#This Row],[F.Vig.Final]])</f>
        <v>2022</v>
      </c>
      <c r="S254" s="100" t="s">
        <v>77</v>
      </c>
      <c r="T254" s="100" t="s">
        <v>78</v>
      </c>
      <c r="U254" s="100" t="s">
        <v>85</v>
      </c>
      <c r="V254" s="100" t="s">
        <v>1440</v>
      </c>
      <c r="W254" s="100" t="s">
        <v>1050</v>
      </c>
      <c r="X254" s="100" t="s">
        <v>1051</v>
      </c>
      <c r="Y254" s="100" t="s">
        <v>1052</v>
      </c>
      <c r="Z254" s="98">
        <f>COUNTIF($X$3:X254, X254)</f>
        <v>10</v>
      </c>
      <c r="AA254" s="98"/>
      <c r="AB254" s="98"/>
      <c r="AC254" s="98"/>
      <c r="AD254" s="98"/>
      <c r="AE254" s="98"/>
      <c r="AF254" s="98"/>
      <c r="AG254" s="98"/>
      <c r="AH254" s="98"/>
      <c r="AI254" s="98" t="e">
        <v>#N/A</v>
      </c>
      <c r="AJ254" s="98" t="e">
        <v>#N/A</v>
      </c>
      <c r="AK254" s="98" t="e">
        <v>#N/A</v>
      </c>
      <c r="AL254" s="98" t="e">
        <v>#N/A</v>
      </c>
      <c r="AM254" s="98" t="e">
        <v>#N/A</v>
      </c>
      <c r="AN254" s="99" t="e">
        <v>#N/A</v>
      </c>
      <c r="AO254" s="99" t="e">
        <v>#N/A</v>
      </c>
      <c r="AP254" s="99" t="e">
        <f>Tabla156[[#This Row],[Renov. Flota]]-Tabla156[[#This Row],[Año]]</f>
        <v>#N/A</v>
      </c>
      <c r="AQ254" s="100" t="e">
        <v>#N/A</v>
      </c>
      <c r="AR254" s="100" t="e">
        <f>VLOOKUP(Tabla156[[#This Row],[Matricula nueva]],'ALTA 20242025'!$B$2:$P$242,15,FALSE)</f>
        <v>#N/A</v>
      </c>
      <c r="AS254" s="101" t="e">
        <v>#N/A</v>
      </c>
      <c r="AT254" s="101"/>
      <c r="AU254" s="101"/>
      <c r="AV254" s="101"/>
      <c r="AW254" s="101" t="e">
        <f>VLOOKUP(Tabla156[[#This Row],[Matricula nueva]],Hoja2!$A$1:$B$224,2,FALSE)</f>
        <v>#N/A</v>
      </c>
      <c r="AX254" s="101" t="str">
        <f>IF(Tabla156[[#This Row],[Columna2]]="M1",5.1,"")</f>
        <v/>
      </c>
      <c r="AY254" s="101"/>
      <c r="AZ254" s="101"/>
      <c r="BA254" s="311">
        <f>IF(Tabla156[[#This Row],[Columna2]]="M1",13073,IF(Tabla156[[#This Row],[Columna2]]="N1",15815,IF(Tabla156[[#This Row],[Columna2]]="L3e",2831,53508)))</f>
        <v>53508</v>
      </c>
      <c r="BB254" s="311" t="e">
        <f>(Tabla156[[#This Row],[CVA]]*Tabla156[[#This Row],[F]]-Tabla156[[#This Row],[CVN]])/100*Tabla156[[#This Row],[L]]</f>
        <v>#VALUE!</v>
      </c>
      <c r="BC254" s="1"/>
      <c r="BD254" s="1" t="e">
        <f>VLOOKUP(B254,Tabla467824[[ID CAE2]:[AE '[kWh']]],6,FALSE)</f>
        <v>#N/A</v>
      </c>
      <c r="BE25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5" spans="1:57" ht="15.75" hidden="1" thickBot="1" x14ac:dyDescent="0.3">
      <c r="A255" s="53" t="s">
        <v>1441</v>
      </c>
      <c r="B255" s="53" t="e">
        <v>#N/A</v>
      </c>
      <c r="C255" s="100" t="s">
        <v>1442</v>
      </c>
      <c r="D255" s="100"/>
      <c r="E255" s="100"/>
      <c r="F255" s="100"/>
      <c r="G255" s="100"/>
      <c r="H255" s="100"/>
      <c r="I255" s="100"/>
      <c r="J255" s="100"/>
      <c r="K255" s="100" t="s">
        <v>1143</v>
      </c>
      <c r="L255" s="100" t="s">
        <v>74</v>
      </c>
      <c r="M255" s="100" t="s">
        <v>75</v>
      </c>
      <c r="N255" s="100" t="s">
        <v>76</v>
      </c>
      <c r="O255" s="100" t="e">
        <f>VLOOKUP(Tabla156[[#This Row],[Matricula Antigua]],BAJA2022202320242025!$B$3:$CR$245,93,FALSE)</f>
        <v>#N/A</v>
      </c>
      <c r="P255" s="315">
        <v>44804</v>
      </c>
      <c r="Q255" s="315" t="e">
        <f>Tabla156[[#This Row],[F.Vig.Final]]-Tabla156[[#This Row],[f Vig Inicio]]</f>
        <v>#N/A</v>
      </c>
      <c r="R255" s="315">
        <f>YEAR(Tabla156[[#This Row],[F.Vig.Final]])</f>
        <v>2022</v>
      </c>
      <c r="S255" s="100" t="s">
        <v>77</v>
      </c>
      <c r="T255" s="100" t="s">
        <v>78</v>
      </c>
      <c r="U255" s="100" t="s">
        <v>524</v>
      </c>
      <c r="V255" s="100" t="s">
        <v>1443</v>
      </c>
      <c r="W255" s="100" t="s">
        <v>1050</v>
      </c>
      <c r="X255" s="100" t="s">
        <v>1051</v>
      </c>
      <c r="Y255" s="100" t="s">
        <v>1052</v>
      </c>
      <c r="Z255" s="98">
        <f>COUNTIF($X$3:X255, X255)</f>
        <v>11</v>
      </c>
      <c r="AA255" s="98"/>
      <c r="AB255" s="98"/>
      <c r="AC255" s="98"/>
      <c r="AD255" s="98"/>
      <c r="AE255" s="98"/>
      <c r="AF255" s="98"/>
      <c r="AG255" s="98"/>
      <c r="AH255" s="98"/>
      <c r="AI255" s="98" t="e">
        <v>#N/A</v>
      </c>
      <c r="AJ255" s="98" t="e">
        <v>#N/A</v>
      </c>
      <c r="AK255" s="98" t="e">
        <v>#N/A</v>
      </c>
      <c r="AL255" s="98" t="e">
        <v>#N/A</v>
      </c>
      <c r="AM255" s="98" t="e">
        <v>#N/A</v>
      </c>
      <c r="AN255" s="99" t="e">
        <v>#N/A</v>
      </c>
      <c r="AO255" s="99" t="e">
        <v>#N/A</v>
      </c>
      <c r="AP255" s="99" t="e">
        <f>Tabla156[[#This Row],[Renov. Flota]]-Tabla156[[#This Row],[Año]]</f>
        <v>#N/A</v>
      </c>
      <c r="AQ255" s="100" t="e">
        <v>#N/A</v>
      </c>
      <c r="AR255" s="100" t="e">
        <f>VLOOKUP(Tabla156[[#This Row],[Matricula nueva]],'ALTA 20242025'!$B$2:$P$242,15,FALSE)</f>
        <v>#N/A</v>
      </c>
      <c r="AS255" s="101" t="e">
        <v>#N/A</v>
      </c>
      <c r="AT255" s="101"/>
      <c r="AU255" s="101"/>
      <c r="AV255" s="101"/>
      <c r="AW255" s="101" t="e">
        <f>VLOOKUP(Tabla156[[#This Row],[Matricula nueva]],Hoja2!$A$1:$B$224,2,FALSE)</f>
        <v>#N/A</v>
      </c>
      <c r="AX255" s="101" t="str">
        <f>IF(Tabla156[[#This Row],[Columna2]]="M1",5.1,"")</f>
        <v/>
      </c>
      <c r="AY255" s="101"/>
      <c r="AZ255" s="101"/>
      <c r="BA255" s="311">
        <f>IF(Tabla156[[#This Row],[Columna2]]="M1",13073,IF(Tabla156[[#This Row],[Columna2]]="N1",15815,IF(Tabla156[[#This Row],[Columna2]]="L3e",2831,53508)))</f>
        <v>53508</v>
      </c>
      <c r="BB255" s="311" t="e">
        <f>(Tabla156[[#This Row],[CVA]]*Tabla156[[#This Row],[F]]-Tabla156[[#This Row],[CVN]])/100*Tabla156[[#This Row],[L]]</f>
        <v>#VALUE!</v>
      </c>
      <c r="BC255" s="1"/>
      <c r="BD255" s="1" t="e">
        <f>VLOOKUP(B255,Tabla467824[[ID CAE2]:[AE '[kWh']]],6,FALSE)</f>
        <v>#N/A</v>
      </c>
      <c r="BE25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6" spans="1:57" ht="15.75" hidden="1" thickBot="1" x14ac:dyDescent="0.3">
      <c r="A256" s="53" t="s">
        <v>1444</v>
      </c>
      <c r="B256" s="53" t="e">
        <v>#N/A</v>
      </c>
      <c r="C256" s="100" t="s">
        <v>1445</v>
      </c>
      <c r="D256" s="100"/>
      <c r="E256" s="100"/>
      <c r="F256" s="100"/>
      <c r="G256" s="100"/>
      <c r="H256" s="100"/>
      <c r="I256" s="100"/>
      <c r="J256" s="100"/>
      <c r="K256" s="100" t="s">
        <v>73</v>
      </c>
      <c r="L256" s="100" t="s">
        <v>200</v>
      </c>
      <c r="M256" s="100" t="s">
        <v>201</v>
      </c>
      <c r="N256" s="100" t="s">
        <v>76</v>
      </c>
      <c r="O256" s="100" t="e">
        <f>VLOOKUP(Tabla156[[#This Row],[Matricula Antigua]],BAJA2022202320242025!$B$3:$CR$245,93,FALSE)</f>
        <v>#N/A</v>
      </c>
      <c r="P256" s="315">
        <v>44717</v>
      </c>
      <c r="Q256" s="315" t="e">
        <f>Tabla156[[#This Row],[F.Vig.Final]]-Tabla156[[#This Row],[f Vig Inicio]]</f>
        <v>#N/A</v>
      </c>
      <c r="R256" s="315">
        <f>YEAR(Tabla156[[#This Row],[F.Vig.Final]])</f>
        <v>2022</v>
      </c>
      <c r="S256" s="100" t="s">
        <v>77</v>
      </c>
      <c r="T256" s="100" t="s">
        <v>78</v>
      </c>
      <c r="U256" s="100" t="s">
        <v>359</v>
      </c>
      <c r="V256" s="100" t="s">
        <v>604</v>
      </c>
      <c r="W256" s="100" t="s">
        <v>215</v>
      </c>
      <c r="X256" s="100" t="s">
        <v>216</v>
      </c>
      <c r="Y256" s="100" t="s">
        <v>217</v>
      </c>
      <c r="Z256" s="98">
        <f>COUNTIF($X$3:X256, X256)</f>
        <v>7</v>
      </c>
      <c r="AA256" s="98"/>
      <c r="AB256" s="98"/>
      <c r="AC256" s="98"/>
      <c r="AD256" s="98"/>
      <c r="AE256" s="98"/>
      <c r="AF256" s="98"/>
      <c r="AG256" s="98"/>
      <c r="AH256" s="98"/>
      <c r="AI256" s="98" t="e">
        <v>#N/A</v>
      </c>
      <c r="AJ256" s="98" t="e">
        <v>#N/A</v>
      </c>
      <c r="AK256" s="98" t="e">
        <v>#N/A</v>
      </c>
      <c r="AL256" s="98" t="e">
        <v>#N/A</v>
      </c>
      <c r="AM256" s="98" t="e">
        <v>#N/A</v>
      </c>
      <c r="AN256" s="99" t="e">
        <v>#N/A</v>
      </c>
      <c r="AO256" s="99" t="e">
        <v>#N/A</v>
      </c>
      <c r="AP256" s="99" t="e">
        <f>Tabla156[[#This Row],[Renov. Flota]]-Tabla156[[#This Row],[Año]]</f>
        <v>#N/A</v>
      </c>
      <c r="AQ256" s="100" t="e">
        <v>#N/A</v>
      </c>
      <c r="AR256" s="100" t="e">
        <f>VLOOKUP(Tabla156[[#This Row],[Matricula nueva]],'ALTA 20242025'!$B$2:$P$242,15,FALSE)</f>
        <v>#N/A</v>
      </c>
      <c r="AS256" s="101" t="e">
        <v>#N/A</v>
      </c>
      <c r="AT256" s="101"/>
      <c r="AU256" s="101"/>
      <c r="AV256" s="101"/>
      <c r="AW256" s="101" t="e">
        <f>VLOOKUP(Tabla156[[#This Row],[Matricula nueva]],Hoja2!$A$1:$B$224,2,FALSE)</f>
        <v>#N/A</v>
      </c>
      <c r="AX256" s="101" t="str">
        <f>IF(Tabla156[[#This Row],[Columna2]]="M1",5.1,"")</f>
        <v/>
      </c>
      <c r="AY256" s="101"/>
      <c r="AZ256" s="101"/>
      <c r="BA256" s="311">
        <f>IF(Tabla156[[#This Row],[Columna2]]="M1",13073,IF(Tabla156[[#This Row],[Columna2]]="N1",15815,IF(Tabla156[[#This Row],[Columna2]]="L3e",2831,53508)))</f>
        <v>53508</v>
      </c>
      <c r="BB256" s="311" t="e">
        <f>(Tabla156[[#This Row],[CVA]]*Tabla156[[#This Row],[F]]-Tabla156[[#This Row],[CVN]])/100*Tabla156[[#This Row],[L]]</f>
        <v>#VALUE!</v>
      </c>
      <c r="BC256" s="1"/>
      <c r="BD256" s="1" t="e">
        <f>VLOOKUP(B256,Tabla467824[[ID CAE2]:[AE '[kWh']]],6,FALSE)</f>
        <v>#N/A</v>
      </c>
      <c r="BE25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7" spans="1:57" ht="52.5" thickBot="1" x14ac:dyDescent="0.3">
      <c r="A257" s="53" t="s">
        <v>1078</v>
      </c>
      <c r="B257" s="53" t="s">
        <v>1078</v>
      </c>
      <c r="C257" s="332" t="s">
        <v>1079</v>
      </c>
      <c r="D257" s="104" t="s">
        <v>72</v>
      </c>
      <c r="E257" s="104" t="s">
        <v>72</v>
      </c>
      <c r="F257" s="104" t="s">
        <v>72</v>
      </c>
      <c r="G257" s="104"/>
      <c r="H257" s="104" t="s">
        <v>72</v>
      </c>
      <c r="I257" s="104" t="s">
        <v>72</v>
      </c>
      <c r="J257" s="104"/>
      <c r="K257" s="96" t="s">
        <v>1034</v>
      </c>
      <c r="L257" s="96" t="s">
        <v>200</v>
      </c>
      <c r="M257" s="96" t="s">
        <v>201</v>
      </c>
      <c r="N257" s="96" t="s">
        <v>76</v>
      </c>
      <c r="O257" s="101">
        <f>VLOOKUP(Tabla156[[#This Row],[Matricula Antigua]],BAJA2022202320242025!$B$3:$CR$245,93,FALSE)</f>
        <v>44148</v>
      </c>
      <c r="P257" s="316">
        <v>45609</v>
      </c>
      <c r="Q257" s="317">
        <f>Tabla156[[#This Row],[F.Vig.Final]]-Tabla156[[#This Row],[f Vig Inicio]]</f>
        <v>1461</v>
      </c>
      <c r="R257" s="318">
        <f>YEAR(Tabla156[[#This Row],[F.Vig.Final]])</f>
        <v>2024</v>
      </c>
      <c r="S257" s="96" t="s">
        <v>77</v>
      </c>
      <c r="T257" s="96" t="s">
        <v>202</v>
      </c>
      <c r="U257" s="96" t="s">
        <v>524</v>
      </c>
      <c r="V257" s="96" t="s">
        <v>1080</v>
      </c>
      <c r="W257" s="96" t="s">
        <v>204</v>
      </c>
      <c r="X257" s="332" t="s">
        <v>205</v>
      </c>
      <c r="Y257" s="96" t="s">
        <v>1081</v>
      </c>
      <c r="Z257" s="98">
        <f>COUNTIF($X$3:X257, X257)</f>
        <v>10</v>
      </c>
      <c r="AA257" s="337" t="s">
        <v>1661</v>
      </c>
      <c r="AB257" s="337" t="s">
        <v>1661</v>
      </c>
      <c r="AC257" s="337" t="s">
        <v>1662</v>
      </c>
      <c r="AD257" s="337" t="s">
        <v>1679</v>
      </c>
      <c r="AE257" s="351" t="s">
        <v>1664</v>
      </c>
      <c r="AF257" s="337" t="s">
        <v>1680</v>
      </c>
      <c r="AG257" s="337" t="s">
        <v>1681</v>
      </c>
      <c r="AH257" s="337" t="s">
        <v>1649</v>
      </c>
      <c r="AI257" s="337" t="s">
        <v>1082</v>
      </c>
      <c r="AJ257" s="98" t="s">
        <v>140</v>
      </c>
      <c r="AK257" s="98" t="s">
        <v>151</v>
      </c>
      <c r="AL257" s="98" t="s">
        <v>87</v>
      </c>
      <c r="AM257" s="101" t="s">
        <v>208</v>
      </c>
      <c r="AN257" s="348" t="s">
        <v>89</v>
      </c>
      <c r="AO257" s="349">
        <v>45638</v>
      </c>
      <c r="AP257" s="98">
        <f>Tabla156[[#This Row],[Renov. Flota]]-Tabla156[[#This Row],[Año]]</f>
        <v>0</v>
      </c>
      <c r="AQ257" s="100" t="s">
        <v>204</v>
      </c>
      <c r="AR257" s="100" t="str">
        <f>VLOOKUP(Tabla156[[#This Row],[Matricula nueva]],'ALTA 20242025'!$B$2:$P$242,15,FALSE)</f>
        <v>4500424893</v>
      </c>
      <c r="AS257" s="101" t="s">
        <v>205</v>
      </c>
      <c r="AT257" s="101"/>
      <c r="AU257" s="101" t="s">
        <v>72</v>
      </c>
      <c r="AV257" s="101" t="s">
        <v>91</v>
      </c>
      <c r="AW257" s="101" t="str">
        <f>VLOOKUP(Tabla156[[#This Row],[Matricula nueva]],Hoja2!$A$1:$B$224,2,FALSE)</f>
        <v>VR7CBZYA9RT154434</v>
      </c>
      <c r="AX257" s="209">
        <f>IF(Tabla156[[#This Row],[Columna2]]="M1",5.1,"")</f>
        <v>5.0999999999999996</v>
      </c>
      <c r="AY257" s="208">
        <f>IF(T257="DIESEL",10,IF(T257="GLP",7.16,9.19))</f>
        <v>9.19</v>
      </c>
      <c r="AZ257" s="313">
        <v>16.399999999999999</v>
      </c>
      <c r="BA257" s="314">
        <f>IF(Tabla156[[#This Row],[Columna2]]="M1",13073,IF(Tabla156[[#This Row],[Columna2]]="N1",15815,IF(Tabla156[[#This Row],[Columna2]]="L3e",2831,53508)))</f>
        <v>13073</v>
      </c>
      <c r="BB257" s="350">
        <f>(Tabla156[[#This Row],[CVA]]*Tabla156[[#This Row],[F]]-Tabla156[[#This Row],[CVN]])/100*Tabla156[[#This Row],[L]]</f>
        <v>3983.2123699999993</v>
      </c>
      <c r="BC257" s="92" t="s">
        <v>70</v>
      </c>
      <c r="BD257" s="209">
        <f>VLOOKUP(B257,Tabla467824[[ID CAE2]:[AE '[kWh']]],6,FALSE)</f>
        <v>7136.4330429999991</v>
      </c>
      <c r="BE25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58" spans="1:57" ht="15.75" hidden="1" thickBot="1" x14ac:dyDescent="0.3">
      <c r="A258" s="53" t="s">
        <v>1086</v>
      </c>
      <c r="B258" s="53" t="s">
        <v>1086</v>
      </c>
      <c r="C258" s="100" t="s">
        <v>1446</v>
      </c>
      <c r="D258" s="100"/>
      <c r="E258" s="100"/>
      <c r="F258" s="100"/>
      <c r="G258" s="100"/>
      <c r="H258" s="100"/>
      <c r="I258" s="100"/>
      <c r="J258" s="100"/>
      <c r="K258" s="100" t="s">
        <v>1411</v>
      </c>
      <c r="L258" s="100" t="s">
        <v>200</v>
      </c>
      <c r="M258" s="100" t="s">
        <v>201</v>
      </c>
      <c r="N258" s="100" t="s">
        <v>76</v>
      </c>
      <c r="O258" s="100" t="e">
        <f>VLOOKUP(Tabla156[[#This Row],[Matricula Antigua]],BAJA2022202320242025!$B$3:$CR$245,93,FALSE)</f>
        <v>#N/A</v>
      </c>
      <c r="P258" s="315">
        <v>44594</v>
      </c>
      <c r="Q258" s="315" t="e">
        <f>Tabla156[[#This Row],[F.Vig.Final]]-Tabla156[[#This Row],[f Vig Inicio]]</f>
        <v>#N/A</v>
      </c>
      <c r="R258" s="315">
        <f>YEAR(Tabla156[[#This Row],[F.Vig.Final]])</f>
        <v>2022</v>
      </c>
      <c r="S258" s="100" t="s">
        <v>77</v>
      </c>
      <c r="T258" s="100" t="s">
        <v>78</v>
      </c>
      <c r="U258" s="100" t="s">
        <v>380</v>
      </c>
      <c r="V258" s="100" t="s">
        <v>1370</v>
      </c>
      <c r="W258" s="100" t="s">
        <v>131</v>
      </c>
      <c r="X258" s="100" t="s">
        <v>132</v>
      </c>
      <c r="Y258" s="100" t="s">
        <v>1447</v>
      </c>
      <c r="Z258" s="98">
        <f>COUNTIF($X$3:X258, X258)</f>
        <v>32</v>
      </c>
      <c r="AA258" s="98"/>
      <c r="AB258" s="98"/>
      <c r="AC258" s="98"/>
      <c r="AD258" s="98"/>
      <c r="AE258" s="98"/>
      <c r="AF258" s="98"/>
      <c r="AG258" s="98"/>
      <c r="AH258" s="98"/>
      <c r="AI258" s="98" t="e">
        <v>#N/A</v>
      </c>
      <c r="AJ258" s="98" t="e">
        <v>#N/A</v>
      </c>
      <c r="AK258" s="98" t="e">
        <v>#N/A</v>
      </c>
      <c r="AL258" s="98" t="e">
        <v>#N/A</v>
      </c>
      <c r="AM258" s="98" t="e">
        <v>#N/A</v>
      </c>
      <c r="AN258" s="99" t="e">
        <v>#N/A</v>
      </c>
      <c r="AO258" s="99" t="e">
        <v>#N/A</v>
      </c>
      <c r="AP258" s="99" t="e">
        <f>Tabla156[[#This Row],[Renov. Flota]]-Tabla156[[#This Row],[Año]]</f>
        <v>#N/A</v>
      </c>
      <c r="AQ258" s="100" t="e">
        <v>#N/A</v>
      </c>
      <c r="AR258" s="100" t="e">
        <f>VLOOKUP(Tabla156[[#This Row],[Matricula nueva]],'ALTA 20242025'!$B$2:$P$242,15,FALSE)</f>
        <v>#N/A</v>
      </c>
      <c r="AS258" s="101" t="e">
        <v>#N/A</v>
      </c>
      <c r="AT258" s="101"/>
      <c r="AU258" s="101"/>
      <c r="AV258" s="101"/>
      <c r="AW258" s="101" t="e">
        <f>VLOOKUP(Tabla156[[#This Row],[Matricula nueva]],Hoja2!$A$1:$B$224,2,FALSE)</f>
        <v>#N/A</v>
      </c>
      <c r="AX258" s="101" t="str">
        <f>IF(Tabla156[[#This Row],[Columna2]]="M1",5.1,"")</f>
        <v/>
      </c>
      <c r="AY258" s="101"/>
      <c r="AZ258" s="101"/>
      <c r="BA258" s="311">
        <f>IF(Tabla156[[#This Row],[Columna2]]="M1",13073,IF(Tabla156[[#This Row],[Columna2]]="N1",15815,IF(Tabla156[[#This Row],[Columna2]]="L3e",2831,53508)))</f>
        <v>53508</v>
      </c>
      <c r="BB258" s="311" t="e">
        <f>(Tabla156[[#This Row],[CVA]]*Tabla156[[#This Row],[F]]-Tabla156[[#This Row],[CVN]])/100*Tabla156[[#This Row],[L]]</f>
        <v>#VALUE!</v>
      </c>
      <c r="BC258" s="1"/>
      <c r="BD258" s="1">
        <f>VLOOKUP(B258,Tabla467824[[ID CAE2]:[AE '[kWh']]],6,FALSE)</f>
        <v>6795.3454000000002</v>
      </c>
      <c r="BE25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59" spans="1:57" ht="15.75" hidden="1" thickBot="1" x14ac:dyDescent="0.3">
      <c r="A259" s="53" t="s">
        <v>1448</v>
      </c>
      <c r="B259" s="53" t="e">
        <v>#N/A</v>
      </c>
      <c r="C259" s="100" t="s">
        <v>1449</v>
      </c>
      <c r="D259" s="100"/>
      <c r="E259" s="100"/>
      <c r="F259" s="100"/>
      <c r="G259" s="100"/>
      <c r="H259" s="100"/>
      <c r="I259" s="100"/>
      <c r="J259" s="100"/>
      <c r="K259" s="100" t="s">
        <v>73</v>
      </c>
      <c r="L259" s="100" t="s">
        <v>200</v>
      </c>
      <c r="M259" s="100" t="s">
        <v>201</v>
      </c>
      <c r="N259" s="100" t="s">
        <v>76</v>
      </c>
      <c r="O259" s="100" t="e">
        <f>VLOOKUP(Tabla156[[#This Row],[Matricula Antigua]],BAJA2022202320242025!$B$3:$CR$245,93,FALSE)</f>
        <v>#N/A</v>
      </c>
      <c r="P259" s="315">
        <v>44810</v>
      </c>
      <c r="Q259" s="315" t="e">
        <f>Tabla156[[#This Row],[F.Vig.Final]]-Tabla156[[#This Row],[f Vig Inicio]]</f>
        <v>#N/A</v>
      </c>
      <c r="R259" s="315">
        <f>YEAR(Tabla156[[#This Row],[F.Vig.Final]])</f>
        <v>2022</v>
      </c>
      <c r="S259" s="100" t="s">
        <v>77</v>
      </c>
      <c r="T259" s="100" t="s">
        <v>78</v>
      </c>
      <c r="U259" s="100" t="s">
        <v>359</v>
      </c>
      <c r="V259" s="100" t="s">
        <v>360</v>
      </c>
      <c r="W259" s="100" t="s">
        <v>131</v>
      </c>
      <c r="X259" s="100" t="s">
        <v>132</v>
      </c>
      <c r="Y259" s="100" t="s">
        <v>1450</v>
      </c>
      <c r="Z259" s="98">
        <f>COUNTIF($X$3:X259, X259)</f>
        <v>33</v>
      </c>
      <c r="AA259" s="98"/>
      <c r="AB259" s="98"/>
      <c r="AC259" s="98"/>
      <c r="AD259" s="98"/>
      <c r="AE259" s="98"/>
      <c r="AF259" s="98"/>
      <c r="AG259" s="98"/>
      <c r="AH259" s="98"/>
      <c r="AI259" s="98" t="e">
        <v>#N/A</v>
      </c>
      <c r="AJ259" s="98" t="e">
        <v>#N/A</v>
      </c>
      <c r="AK259" s="98" t="e">
        <v>#N/A</v>
      </c>
      <c r="AL259" s="98" t="e">
        <v>#N/A</v>
      </c>
      <c r="AM259" s="98" t="e">
        <v>#N/A</v>
      </c>
      <c r="AN259" s="99" t="e">
        <v>#N/A</v>
      </c>
      <c r="AO259" s="99" t="e">
        <v>#N/A</v>
      </c>
      <c r="AP259" s="99" t="e">
        <f>Tabla156[[#This Row],[Renov. Flota]]-Tabla156[[#This Row],[Año]]</f>
        <v>#N/A</v>
      </c>
      <c r="AQ259" s="100" t="e">
        <v>#N/A</v>
      </c>
      <c r="AR259" s="100" t="e">
        <f>VLOOKUP(Tabla156[[#This Row],[Matricula nueva]],'ALTA 20242025'!$B$2:$P$242,15,FALSE)</f>
        <v>#N/A</v>
      </c>
      <c r="AS259" s="101" t="e">
        <v>#N/A</v>
      </c>
      <c r="AT259" s="101"/>
      <c r="AU259" s="101"/>
      <c r="AV259" s="101"/>
      <c r="AW259" s="101" t="e">
        <f>VLOOKUP(Tabla156[[#This Row],[Matricula nueva]],Hoja2!$A$1:$B$224,2,FALSE)</f>
        <v>#N/A</v>
      </c>
      <c r="AX259" s="101" t="str">
        <f>IF(Tabla156[[#This Row],[Columna2]]="M1",5.1,"")</f>
        <v/>
      </c>
      <c r="AY259" s="101"/>
      <c r="AZ259" s="101"/>
      <c r="BA259" s="311">
        <f>IF(Tabla156[[#This Row],[Columna2]]="M1",13073,IF(Tabla156[[#This Row],[Columna2]]="N1",15815,IF(Tabla156[[#This Row],[Columna2]]="L3e",2831,53508)))</f>
        <v>53508</v>
      </c>
      <c r="BB259" s="311" t="e">
        <f>(Tabla156[[#This Row],[CVA]]*Tabla156[[#This Row],[F]]-Tabla156[[#This Row],[CVN]])/100*Tabla156[[#This Row],[L]]</f>
        <v>#VALUE!</v>
      </c>
      <c r="BC259" s="1"/>
      <c r="BD259" s="1" t="e">
        <f>VLOOKUP(B259,Tabla467824[[ID CAE2]:[AE '[kWh']]],6,FALSE)</f>
        <v>#N/A</v>
      </c>
      <c r="BE25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0" spans="1:57" ht="15.75" hidden="1" thickBot="1" x14ac:dyDescent="0.3">
      <c r="A260" s="53" t="s">
        <v>1451</v>
      </c>
      <c r="B260" s="53" t="e">
        <v>#N/A</v>
      </c>
      <c r="C260" s="96" t="s">
        <v>1452</v>
      </c>
      <c r="D260" s="96"/>
      <c r="E260" s="96"/>
      <c r="F260" s="96"/>
      <c r="G260" s="96"/>
      <c r="H260" s="96"/>
      <c r="I260" s="96"/>
      <c r="J260" s="96"/>
      <c r="K260" s="96" t="s">
        <v>73</v>
      </c>
      <c r="L260" s="96" t="s">
        <v>200</v>
      </c>
      <c r="M260" s="96" t="s">
        <v>201</v>
      </c>
      <c r="N260" s="96" t="s">
        <v>76</v>
      </c>
      <c r="O260" s="101">
        <f>VLOOKUP(Tabla156[[#This Row],[Matricula Antigua]],BAJA2022202320242025!$B$3:$CR$245,93,FALSE)</f>
        <v>44260</v>
      </c>
      <c r="P260" s="99">
        <v>45721</v>
      </c>
      <c r="Q260" s="99">
        <f>Tabla156[[#This Row],[F.Vig.Final]]-Tabla156[[#This Row],[f Vig Inicio]]</f>
        <v>1461</v>
      </c>
      <c r="R260" s="99">
        <f>YEAR(Tabla156[[#This Row],[F.Vig.Final]])</f>
        <v>2025</v>
      </c>
      <c r="S260" s="96" t="s">
        <v>77</v>
      </c>
      <c r="T260" s="96" t="s">
        <v>78</v>
      </c>
      <c r="U260" s="96" t="s">
        <v>79</v>
      </c>
      <c r="V260" s="96" t="s">
        <v>924</v>
      </c>
      <c r="W260" s="96" t="s">
        <v>119</v>
      </c>
      <c r="X260" s="96" t="s">
        <v>120</v>
      </c>
      <c r="Y260" s="96" t="s">
        <v>1453</v>
      </c>
      <c r="Z260" s="98">
        <f>COUNTIF($X$3:X260, X260)</f>
        <v>8</v>
      </c>
      <c r="AA260" s="98"/>
      <c r="AB260" s="98"/>
      <c r="AC260" s="98"/>
      <c r="AD260" s="98"/>
      <c r="AE260" s="98"/>
      <c r="AF260" s="98"/>
      <c r="AG260" s="98"/>
      <c r="AH260" s="98"/>
      <c r="AI260" s="98" t="e">
        <v>#N/A</v>
      </c>
      <c r="AJ260" s="98" t="e">
        <v>#N/A</v>
      </c>
      <c r="AK260" s="98" t="e">
        <v>#N/A</v>
      </c>
      <c r="AL260" s="98" t="e">
        <v>#N/A</v>
      </c>
      <c r="AM260" s="98" t="e">
        <v>#N/A</v>
      </c>
      <c r="AN260" s="99" t="e">
        <v>#N/A</v>
      </c>
      <c r="AO260" s="99" t="e">
        <v>#N/A</v>
      </c>
      <c r="AP260" s="99" t="e">
        <f>Tabla156[[#This Row],[Renov. Flota]]-Tabla156[[#This Row],[Año]]</f>
        <v>#N/A</v>
      </c>
      <c r="AQ260" s="100" t="e">
        <v>#N/A</v>
      </c>
      <c r="AR260" s="100" t="e">
        <f>VLOOKUP(Tabla156[[#This Row],[Matricula nueva]],'ALTA 20242025'!$B$2:$P$242,15,FALSE)</f>
        <v>#N/A</v>
      </c>
      <c r="AS260" s="101" t="e">
        <v>#N/A</v>
      </c>
      <c r="AT260" s="101"/>
      <c r="AU260" s="101"/>
      <c r="AV260" s="101"/>
      <c r="AW260" s="101" t="e">
        <f>VLOOKUP(Tabla156[[#This Row],[Matricula nueva]],Hoja2!$A$1:$B$224,2,FALSE)</f>
        <v>#N/A</v>
      </c>
      <c r="AX260" s="101" t="str">
        <f>IF(Tabla156[[#This Row],[Columna2]]="M1",5.1,"")</f>
        <v/>
      </c>
      <c r="AY260" s="101"/>
      <c r="AZ260" s="101"/>
      <c r="BA260" s="311">
        <f>IF(Tabla156[[#This Row],[Columna2]]="M1",13073,IF(Tabla156[[#This Row],[Columna2]]="N1",15815,IF(Tabla156[[#This Row],[Columna2]]="L3e",2831,53508)))</f>
        <v>53508</v>
      </c>
      <c r="BB260" s="311" t="e">
        <f>(Tabla156[[#This Row],[CVA]]*Tabla156[[#This Row],[F]]-Tabla156[[#This Row],[CVN]])/100*Tabla156[[#This Row],[L]]</f>
        <v>#VALUE!</v>
      </c>
      <c r="BC260" s="1"/>
      <c r="BD260" s="1" t="e">
        <f>VLOOKUP(B260,Tabla467824[[ID CAE2]:[AE '[kWh']]],6,FALSE)</f>
        <v>#N/A</v>
      </c>
      <c r="BE26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1" spans="1:57" ht="15.75" hidden="1" thickBot="1" x14ac:dyDescent="0.3">
      <c r="A261" s="53" t="s">
        <v>1454</v>
      </c>
      <c r="B261" s="53" t="e">
        <v>#N/A</v>
      </c>
      <c r="C261" s="100" t="s">
        <v>1455</v>
      </c>
      <c r="D261" s="100"/>
      <c r="E261" s="100"/>
      <c r="F261" s="100"/>
      <c r="G261" s="100"/>
      <c r="H261" s="100"/>
      <c r="I261" s="100"/>
      <c r="J261" s="100"/>
      <c r="K261" s="100" t="s">
        <v>73</v>
      </c>
      <c r="L261" s="100" t="s">
        <v>200</v>
      </c>
      <c r="M261" s="100" t="s">
        <v>201</v>
      </c>
      <c r="N261" s="100" t="s">
        <v>76</v>
      </c>
      <c r="O261" s="100" t="e">
        <f>VLOOKUP(Tabla156[[#This Row],[Matricula Antigua]],BAJA2022202320242025!$B$3:$CR$245,93,FALSE)</f>
        <v>#N/A</v>
      </c>
      <c r="P261" s="315">
        <v>44790</v>
      </c>
      <c r="Q261" s="315" t="e">
        <f>Tabla156[[#This Row],[F.Vig.Final]]-Tabla156[[#This Row],[f Vig Inicio]]</f>
        <v>#N/A</v>
      </c>
      <c r="R261" s="315">
        <f>YEAR(Tabla156[[#This Row],[F.Vig.Final]])</f>
        <v>2022</v>
      </c>
      <c r="S261" s="100" t="s">
        <v>77</v>
      </c>
      <c r="T261" s="100" t="s">
        <v>78</v>
      </c>
      <c r="U261" s="100" t="s">
        <v>359</v>
      </c>
      <c r="V261" s="100" t="s">
        <v>604</v>
      </c>
      <c r="W261" s="100" t="s">
        <v>131</v>
      </c>
      <c r="X261" s="100" t="s">
        <v>132</v>
      </c>
      <c r="Y261" s="100" t="s">
        <v>135</v>
      </c>
      <c r="Z261" s="98">
        <f>COUNTIF($X$3:X261, X261)</f>
        <v>34</v>
      </c>
      <c r="AA261" s="98"/>
      <c r="AB261" s="98"/>
      <c r="AC261" s="98"/>
      <c r="AD261" s="98"/>
      <c r="AE261" s="98"/>
      <c r="AF261" s="98"/>
      <c r="AG261" s="98"/>
      <c r="AH261" s="98"/>
      <c r="AI261" s="98" t="e">
        <v>#N/A</v>
      </c>
      <c r="AJ261" s="98" t="e">
        <v>#N/A</v>
      </c>
      <c r="AK261" s="98" t="e">
        <v>#N/A</v>
      </c>
      <c r="AL261" s="98" t="e">
        <v>#N/A</v>
      </c>
      <c r="AM261" s="98" t="e">
        <v>#N/A</v>
      </c>
      <c r="AN261" s="99" t="e">
        <v>#N/A</v>
      </c>
      <c r="AO261" s="99" t="e">
        <v>#N/A</v>
      </c>
      <c r="AP261" s="99" t="e">
        <f>Tabla156[[#This Row],[Renov. Flota]]-Tabla156[[#This Row],[Año]]</f>
        <v>#N/A</v>
      </c>
      <c r="AQ261" s="100" t="e">
        <v>#N/A</v>
      </c>
      <c r="AR261" s="100" t="e">
        <f>VLOOKUP(Tabla156[[#This Row],[Matricula nueva]],'ALTA 20242025'!$B$2:$P$242,15,FALSE)</f>
        <v>#N/A</v>
      </c>
      <c r="AS261" s="101" t="e">
        <v>#N/A</v>
      </c>
      <c r="AT261" s="101"/>
      <c r="AU261" s="101"/>
      <c r="AV261" s="101"/>
      <c r="AW261" s="101" t="e">
        <f>VLOOKUP(Tabla156[[#This Row],[Matricula nueva]],Hoja2!$A$1:$B$224,2,FALSE)</f>
        <v>#N/A</v>
      </c>
      <c r="AX261" s="101" t="str">
        <f>IF(Tabla156[[#This Row],[Columna2]]="M1",5.1,"")</f>
        <v/>
      </c>
      <c r="AY261" s="101"/>
      <c r="AZ261" s="101"/>
      <c r="BA261" s="311">
        <f>IF(Tabla156[[#This Row],[Columna2]]="M1",13073,IF(Tabla156[[#This Row],[Columna2]]="N1",15815,IF(Tabla156[[#This Row],[Columna2]]="L3e",2831,53508)))</f>
        <v>53508</v>
      </c>
      <c r="BB261" s="311" t="e">
        <f>(Tabla156[[#This Row],[CVA]]*Tabla156[[#This Row],[F]]-Tabla156[[#This Row],[CVN]])/100*Tabla156[[#This Row],[L]]</f>
        <v>#VALUE!</v>
      </c>
      <c r="BC261" s="1"/>
      <c r="BD261" s="1" t="e">
        <f>VLOOKUP(B261,Tabla467824[[ID CAE2]:[AE '[kWh']]],6,FALSE)</f>
        <v>#N/A</v>
      </c>
      <c r="BE26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2" spans="1:57" ht="15.75" hidden="1" thickBot="1" x14ac:dyDescent="0.3">
      <c r="A262" s="101"/>
      <c r="B262" s="53" t="e">
        <v>#N/A</v>
      </c>
      <c r="C262" s="100" t="s">
        <v>1456</v>
      </c>
      <c r="D262" s="100"/>
      <c r="E262" s="100"/>
      <c r="F262" s="100"/>
      <c r="G262" s="100"/>
      <c r="H262" s="100"/>
      <c r="I262" s="100"/>
      <c r="J262" s="100"/>
      <c r="K262" s="100" t="s">
        <v>129</v>
      </c>
      <c r="L262" s="100" t="s">
        <v>200</v>
      </c>
      <c r="M262" s="100" t="s">
        <v>201</v>
      </c>
      <c r="N262" s="100" t="s">
        <v>76</v>
      </c>
      <c r="O262" s="100" t="e">
        <f>VLOOKUP(Tabla156[[#This Row],[Matricula Antigua]],BAJA2022202320242025!$B$3:$CR$245,93,FALSE)</f>
        <v>#N/A</v>
      </c>
      <c r="P262" s="315">
        <v>44742</v>
      </c>
      <c r="Q262" s="315" t="e">
        <f>Tabla156[[#This Row],[F.Vig.Final]]-Tabla156[[#This Row],[f Vig Inicio]]</f>
        <v>#N/A</v>
      </c>
      <c r="R262" s="315">
        <f>YEAR(Tabla156[[#This Row],[F.Vig.Final]])</f>
        <v>2022</v>
      </c>
      <c r="S262" s="100" t="s">
        <v>77</v>
      </c>
      <c r="T262" s="100" t="s">
        <v>78</v>
      </c>
      <c r="U262" s="100" t="s">
        <v>380</v>
      </c>
      <c r="V262" s="100" t="s">
        <v>1370</v>
      </c>
      <c r="W262" s="100" t="s">
        <v>131</v>
      </c>
      <c r="X262" s="100" t="s">
        <v>132</v>
      </c>
      <c r="Y262" s="100" t="s">
        <v>1457</v>
      </c>
      <c r="Z262" s="98">
        <f>COUNTIF($X$3:X262, X262)</f>
        <v>35</v>
      </c>
      <c r="AA262" s="98"/>
      <c r="AB262" s="98"/>
      <c r="AC262" s="98"/>
      <c r="AD262" s="98"/>
      <c r="AE262" s="98"/>
      <c r="AF262" s="98"/>
      <c r="AG262" s="98"/>
      <c r="AH262" s="98"/>
      <c r="AI262" s="98" t="e">
        <v>#N/A</v>
      </c>
      <c r="AJ262" s="98" t="e">
        <v>#N/A</v>
      </c>
      <c r="AK262" s="98" t="e">
        <v>#N/A</v>
      </c>
      <c r="AL262" s="98" t="e">
        <v>#N/A</v>
      </c>
      <c r="AM262" s="98" t="e">
        <v>#N/A</v>
      </c>
      <c r="AN262" s="99" t="e">
        <v>#N/A</v>
      </c>
      <c r="AO262" s="99" t="e">
        <v>#N/A</v>
      </c>
      <c r="AP262" s="99" t="e">
        <f>Tabla156[[#This Row],[Renov. Flota]]-Tabla156[[#This Row],[Año]]</f>
        <v>#N/A</v>
      </c>
      <c r="AQ262" s="100" t="e">
        <v>#N/A</v>
      </c>
      <c r="AR262" s="100" t="e">
        <f>VLOOKUP(Tabla156[[#This Row],[Matricula nueva]],'ALTA 20242025'!$B$2:$P$242,15,FALSE)</f>
        <v>#N/A</v>
      </c>
      <c r="AS262" s="101" t="e">
        <v>#N/A</v>
      </c>
      <c r="AT262" s="101"/>
      <c r="AU262" s="101"/>
      <c r="AV262" s="101"/>
      <c r="AW262" s="101" t="e">
        <f>VLOOKUP(Tabla156[[#This Row],[Matricula nueva]],Hoja2!$A$1:$B$224,2,FALSE)</f>
        <v>#N/A</v>
      </c>
      <c r="AX262" s="101" t="str">
        <f>IF(Tabla156[[#This Row],[Columna2]]="M1",5.1,"")</f>
        <v/>
      </c>
      <c r="AY262" s="101"/>
      <c r="AZ262" s="101"/>
      <c r="BA262" s="311">
        <f>IF(Tabla156[[#This Row],[Columna2]]="M1",13073,IF(Tabla156[[#This Row],[Columna2]]="N1",15815,IF(Tabla156[[#This Row],[Columna2]]="L3e",2831,53508)))</f>
        <v>53508</v>
      </c>
      <c r="BB262" s="311" t="e">
        <f>(Tabla156[[#This Row],[CVA]]*Tabla156[[#This Row],[F]]-Tabla156[[#This Row],[CVN]])/100*Tabla156[[#This Row],[L]]</f>
        <v>#VALUE!</v>
      </c>
      <c r="BC262" s="1"/>
      <c r="BD262" s="1" t="e">
        <f>VLOOKUP(B262,Tabla467824[[ID CAE2]:[AE '[kWh']]],6,FALSE)</f>
        <v>#N/A</v>
      </c>
      <c r="BE26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3" spans="1:57" ht="15.75" hidden="1" thickBot="1" x14ac:dyDescent="0.3">
      <c r="A263" s="101"/>
      <c r="B263" s="53" t="e">
        <v>#N/A</v>
      </c>
      <c r="C263" s="100" t="s">
        <v>1458</v>
      </c>
      <c r="D263" s="100"/>
      <c r="E263" s="100"/>
      <c r="F263" s="100"/>
      <c r="G263" s="100"/>
      <c r="H263" s="100"/>
      <c r="I263" s="100"/>
      <c r="J263" s="100"/>
      <c r="K263" s="100" t="s">
        <v>73</v>
      </c>
      <c r="L263" s="100" t="s">
        <v>200</v>
      </c>
      <c r="M263" s="100" t="s">
        <v>201</v>
      </c>
      <c r="N263" s="100" t="s">
        <v>160</v>
      </c>
      <c r="O263" s="100" t="e">
        <f>VLOOKUP(Tabla156[[#This Row],[Matricula Antigua]],BAJA2022202320242025!$B$3:$CR$245,93,FALSE)</f>
        <v>#N/A</v>
      </c>
      <c r="P263" s="315">
        <v>44594</v>
      </c>
      <c r="Q263" s="315" t="e">
        <f>Tabla156[[#This Row],[F.Vig.Final]]-Tabla156[[#This Row],[f Vig Inicio]]</f>
        <v>#N/A</v>
      </c>
      <c r="R263" s="315">
        <f>YEAR(Tabla156[[#This Row],[F.Vig.Final]])</f>
        <v>2022</v>
      </c>
      <c r="S263" s="100" t="s">
        <v>161</v>
      </c>
      <c r="T263" s="100" t="s">
        <v>78</v>
      </c>
      <c r="U263" s="100" t="s">
        <v>359</v>
      </c>
      <c r="V263" s="100" t="s">
        <v>593</v>
      </c>
      <c r="W263" s="100" t="s">
        <v>1128</v>
      </c>
      <c r="X263" s="100" t="s">
        <v>1129</v>
      </c>
      <c r="Y263" s="100" t="s">
        <v>1130</v>
      </c>
      <c r="Z263" s="98">
        <f>COUNTIF($X$3:X263, X263)</f>
        <v>3</v>
      </c>
      <c r="AA263" s="98"/>
      <c r="AB263" s="98"/>
      <c r="AC263" s="98"/>
      <c r="AD263" s="98"/>
      <c r="AE263" s="98"/>
      <c r="AF263" s="98"/>
      <c r="AG263" s="98"/>
      <c r="AH263" s="98"/>
      <c r="AI263" s="98" t="e">
        <v>#N/A</v>
      </c>
      <c r="AJ263" s="98" t="e">
        <v>#N/A</v>
      </c>
      <c r="AK263" s="98" t="e">
        <v>#N/A</v>
      </c>
      <c r="AL263" s="98" t="e">
        <v>#N/A</v>
      </c>
      <c r="AM263" s="98" t="e">
        <v>#N/A</v>
      </c>
      <c r="AN263" s="99" t="e">
        <v>#N/A</v>
      </c>
      <c r="AO263" s="99" t="e">
        <v>#N/A</v>
      </c>
      <c r="AP263" s="99" t="e">
        <f>Tabla156[[#This Row],[Renov. Flota]]-Tabla156[[#This Row],[Año]]</f>
        <v>#N/A</v>
      </c>
      <c r="AQ263" s="100" t="e">
        <v>#N/A</v>
      </c>
      <c r="AR263" s="100" t="e">
        <f>VLOOKUP(Tabla156[[#This Row],[Matricula nueva]],'ALTA 20242025'!$B$2:$P$242,15,FALSE)</f>
        <v>#N/A</v>
      </c>
      <c r="AS263" s="101" t="e">
        <v>#N/A</v>
      </c>
      <c r="AT263" s="101"/>
      <c r="AU263" s="101"/>
      <c r="AV263" s="101"/>
      <c r="AW263" s="101" t="e">
        <f>VLOOKUP(Tabla156[[#This Row],[Matricula nueva]],Hoja2!$A$1:$B$224,2,FALSE)</f>
        <v>#N/A</v>
      </c>
      <c r="AX263" s="101" t="str">
        <f>IF(Tabla156[[#This Row],[Columna2]]="M1",5.1,"")</f>
        <v/>
      </c>
      <c r="AY263" s="101"/>
      <c r="AZ263" s="101"/>
      <c r="BA263" s="311">
        <f>IF(Tabla156[[#This Row],[Columna2]]="M1",13073,IF(Tabla156[[#This Row],[Columna2]]="N1",15815,IF(Tabla156[[#This Row],[Columna2]]="L3e",2831,53508)))</f>
        <v>53508</v>
      </c>
      <c r="BB263" s="311" t="e">
        <f>(Tabla156[[#This Row],[CVA]]*Tabla156[[#This Row],[F]]-Tabla156[[#This Row],[CVN]])/100*Tabla156[[#This Row],[L]]</f>
        <v>#VALUE!</v>
      </c>
      <c r="BC263" s="1"/>
      <c r="BD263" s="1" t="e">
        <f>VLOOKUP(B263,Tabla467824[[ID CAE2]:[AE '[kWh']]],6,FALSE)</f>
        <v>#N/A</v>
      </c>
      <c r="BE26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4" spans="1:57" ht="15.75" hidden="1" thickBot="1" x14ac:dyDescent="0.3">
      <c r="A264" s="101"/>
      <c r="B264" s="53" t="e">
        <v>#N/A</v>
      </c>
      <c r="C264" s="100" t="s">
        <v>1459</v>
      </c>
      <c r="D264" s="100"/>
      <c r="E264" s="100"/>
      <c r="F264" s="100"/>
      <c r="G264" s="100"/>
      <c r="H264" s="100"/>
      <c r="I264" s="100"/>
      <c r="J264" s="100"/>
      <c r="K264" s="100" t="s">
        <v>73</v>
      </c>
      <c r="L264" s="100" t="s">
        <v>200</v>
      </c>
      <c r="M264" s="100" t="s">
        <v>201</v>
      </c>
      <c r="N264" s="100" t="s">
        <v>76</v>
      </c>
      <c r="O264" s="100" t="e">
        <f>VLOOKUP(Tabla156[[#This Row],[Matricula Antigua]],BAJA2022202320242025!$B$3:$CR$245,93,FALSE)</f>
        <v>#N/A</v>
      </c>
      <c r="P264" s="315">
        <v>44594</v>
      </c>
      <c r="Q264" s="315" t="e">
        <f>Tabla156[[#This Row],[F.Vig.Final]]-Tabla156[[#This Row],[f Vig Inicio]]</f>
        <v>#N/A</v>
      </c>
      <c r="R264" s="315">
        <f>YEAR(Tabla156[[#This Row],[F.Vig.Final]])</f>
        <v>2022</v>
      </c>
      <c r="S264" s="100" t="s">
        <v>77</v>
      </c>
      <c r="T264" s="100" t="s">
        <v>78</v>
      </c>
      <c r="U264" s="100" t="s">
        <v>359</v>
      </c>
      <c r="V264" s="100" t="s">
        <v>593</v>
      </c>
      <c r="W264" s="100" t="s">
        <v>336</v>
      </c>
      <c r="X264" s="100" t="s">
        <v>337</v>
      </c>
      <c r="Y264" s="100" t="s">
        <v>1004</v>
      </c>
      <c r="Z264" s="98">
        <f>COUNTIF($X$3:X264, X264)</f>
        <v>21</v>
      </c>
      <c r="AA264" s="98"/>
      <c r="AB264" s="98"/>
      <c r="AC264" s="98"/>
      <c r="AD264" s="98"/>
      <c r="AE264" s="320"/>
      <c r="AF264" s="98"/>
      <c r="AG264" s="98"/>
      <c r="AH264" s="98"/>
      <c r="AI264" s="98" t="e">
        <v>#N/A</v>
      </c>
      <c r="AJ264" s="98" t="e">
        <v>#N/A</v>
      </c>
      <c r="AK264" s="98" t="e">
        <v>#N/A</v>
      </c>
      <c r="AL264" s="98" t="e">
        <v>#N/A</v>
      </c>
      <c r="AM264" s="98" t="e">
        <v>#N/A</v>
      </c>
      <c r="AN264" s="99" t="e">
        <v>#N/A</v>
      </c>
      <c r="AO264" s="99" t="e">
        <v>#N/A</v>
      </c>
      <c r="AP264" s="99" t="e">
        <f>Tabla156[[#This Row],[Renov. Flota]]-Tabla156[[#This Row],[Año]]</f>
        <v>#N/A</v>
      </c>
      <c r="AQ264" s="100" t="e">
        <v>#N/A</v>
      </c>
      <c r="AR264" s="100" t="e">
        <f>VLOOKUP(Tabla156[[#This Row],[Matricula nueva]],'ALTA 20242025'!$B$2:$P$242,15,FALSE)</f>
        <v>#N/A</v>
      </c>
      <c r="AS264" s="101" t="e">
        <v>#N/A</v>
      </c>
      <c r="AT264" s="101"/>
      <c r="AU264" s="101"/>
      <c r="AV264" s="101"/>
      <c r="AW264" s="101" t="e">
        <f>VLOOKUP(Tabla156[[#This Row],[Matricula nueva]],Hoja2!$A$1:$B$224,2,FALSE)</f>
        <v>#N/A</v>
      </c>
      <c r="AX264" s="101" t="str">
        <f>IF(Tabla156[[#This Row],[Columna2]]="M1",5.1,"")</f>
        <v/>
      </c>
      <c r="AY264" s="101"/>
      <c r="AZ264" s="101"/>
      <c r="BA264" s="311">
        <f>IF(Tabla156[[#This Row],[Columna2]]="M1",13073,IF(Tabla156[[#This Row],[Columna2]]="N1",15815,IF(Tabla156[[#This Row],[Columna2]]="L3e",2831,53508)))</f>
        <v>53508</v>
      </c>
      <c r="BB264" s="311" t="e">
        <f>(Tabla156[[#This Row],[CVA]]*Tabla156[[#This Row],[F]]-Tabla156[[#This Row],[CVN]])/100*Tabla156[[#This Row],[L]]</f>
        <v>#VALUE!</v>
      </c>
      <c r="BC264" s="1"/>
      <c r="BD264" s="1" t="e">
        <f>VLOOKUP(B264,Tabla467824[[ID CAE2]:[AE '[kWh']]],6,FALSE)</f>
        <v>#N/A</v>
      </c>
      <c r="BE26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5" spans="1:57" ht="52.5" thickBot="1" x14ac:dyDescent="0.3">
      <c r="A265" s="53" t="s">
        <v>1086</v>
      </c>
      <c r="B265" s="53" t="s">
        <v>1086</v>
      </c>
      <c r="C265" s="332" t="s">
        <v>1087</v>
      </c>
      <c r="D265" s="104" t="s">
        <v>72</v>
      </c>
      <c r="E265" s="104" t="s">
        <v>72</v>
      </c>
      <c r="F265" s="104"/>
      <c r="G265" s="104"/>
      <c r="H265" s="104" t="s">
        <v>72</v>
      </c>
      <c r="I265" s="104" t="s">
        <v>72</v>
      </c>
      <c r="J265" s="104"/>
      <c r="K265" s="96" t="s">
        <v>1034</v>
      </c>
      <c r="L265" s="96" t="s">
        <v>200</v>
      </c>
      <c r="M265" s="96" t="s">
        <v>201</v>
      </c>
      <c r="N265" s="96" t="s">
        <v>76</v>
      </c>
      <c r="O265" s="101">
        <f>VLOOKUP(Tabla156[[#This Row],[Matricula Antigua]],BAJA2022202320242025!$B$3:$CR$245,93,FALSE)</f>
        <v>42725</v>
      </c>
      <c r="P265" s="316">
        <v>45124</v>
      </c>
      <c r="Q265" s="317">
        <f>Tabla156[[#This Row],[F.Vig.Final]]-Tabla156[[#This Row],[f Vig Inicio]]</f>
        <v>2399</v>
      </c>
      <c r="R265" s="318">
        <f>YEAR(Tabla156[[#This Row],[F.Vig.Final]])</f>
        <v>2023</v>
      </c>
      <c r="S265" s="96" t="s">
        <v>77</v>
      </c>
      <c r="T265" s="96" t="s">
        <v>78</v>
      </c>
      <c r="U265" s="96" t="s">
        <v>524</v>
      </c>
      <c r="V265" s="96" t="s">
        <v>1089</v>
      </c>
      <c r="W265" s="96" t="s">
        <v>119</v>
      </c>
      <c r="X265" s="332" t="s">
        <v>1674</v>
      </c>
      <c r="Y265" s="96" t="s">
        <v>1041</v>
      </c>
      <c r="Z265" s="98">
        <f>COUNTIF($X$3:X265, X265)</f>
        <v>26</v>
      </c>
      <c r="AA265" s="337" t="s">
        <v>1661</v>
      </c>
      <c r="AB265" s="337" t="s">
        <v>1661</v>
      </c>
      <c r="AC265" s="337" t="s">
        <v>1662</v>
      </c>
      <c r="AD265" s="337" t="s">
        <v>1663</v>
      </c>
      <c r="AE265" s="342" t="s">
        <v>1664</v>
      </c>
      <c r="AF265" s="337" t="s">
        <v>1665</v>
      </c>
      <c r="AG265" s="337" t="s">
        <v>1666</v>
      </c>
      <c r="AH265" s="337" t="s">
        <v>1649</v>
      </c>
      <c r="AI265" s="337" t="s">
        <v>1090</v>
      </c>
      <c r="AJ265" s="98" t="s">
        <v>85</v>
      </c>
      <c r="AK265" s="98" t="s">
        <v>86</v>
      </c>
      <c r="AL265" s="98" t="s">
        <v>87</v>
      </c>
      <c r="AM265" s="101" t="s">
        <v>252</v>
      </c>
      <c r="AN265" s="348" t="s">
        <v>89</v>
      </c>
      <c r="AO265" s="349">
        <v>45645</v>
      </c>
      <c r="AP265" s="98">
        <f>Tabla156[[#This Row],[Renov. Flota]]-Tabla156[[#This Row],[Año]]</f>
        <v>1</v>
      </c>
      <c r="AQ265" s="100" t="s">
        <v>119</v>
      </c>
      <c r="AR265" s="100" t="str">
        <f>VLOOKUP(Tabla156[[#This Row],[Matricula nueva]],'ALTA 20242025'!$B$2:$P$242,15,FALSE)</f>
        <v>4500426795</v>
      </c>
      <c r="AS265" s="101" t="s">
        <v>120</v>
      </c>
      <c r="AT265" s="101"/>
      <c r="AU265" s="101" t="s">
        <v>72</v>
      </c>
      <c r="AV265" s="101" t="s">
        <v>91</v>
      </c>
      <c r="AW265" s="101" t="str">
        <f>VLOOKUP(Tabla156[[#This Row],[Matricula nueva]],Hoja2!$A$1:$B$224,2,FALSE)</f>
        <v>VF1RFK00473824897</v>
      </c>
      <c r="AX265" s="209">
        <f>IF(Tabla156[[#This Row],[Columna2]]="M1",5.1,"")</f>
        <v>5.0999999999999996</v>
      </c>
      <c r="AY265" s="208">
        <f>IF(T265="DIESEL",10,IF(T265="GLP",7.16,9.19))</f>
        <v>10</v>
      </c>
      <c r="AZ265" s="313">
        <v>17.3</v>
      </c>
      <c r="BA265" s="314">
        <f>IF(Tabla156[[#This Row],[Columna2]]="M1",13073,IF(Tabla156[[#This Row],[Columna2]]="N1",15815,IF(Tabla156[[#This Row],[Columna2]]="L3e",2831,53508)))</f>
        <v>13073</v>
      </c>
      <c r="BB265" s="350">
        <f>(Tabla156[[#This Row],[CVA]]*Tabla156[[#This Row],[F]]-Tabla156[[#This Row],[CVN]])/100*Tabla156[[#This Row],[L]]</f>
        <v>4405.6010000000006</v>
      </c>
      <c r="BC265" s="92" t="s">
        <v>70</v>
      </c>
      <c r="BD265" s="209">
        <f>VLOOKUP(B265,Tabla467824[[ID CAE2]:[AE '[kWh']]],6,FALSE)</f>
        <v>6795.3454000000002</v>
      </c>
      <c r="BE26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6" spans="1:57" ht="15.75" hidden="1" thickBot="1" x14ac:dyDescent="0.3">
      <c r="A266" s="53" t="s">
        <v>1448</v>
      </c>
      <c r="B266" s="53" t="e">
        <v>#N/A</v>
      </c>
      <c r="C266" s="100" t="s">
        <v>1460</v>
      </c>
      <c r="D266" s="100"/>
      <c r="E266" s="100"/>
      <c r="F266" s="100"/>
      <c r="G266" s="100"/>
      <c r="H266" s="100"/>
      <c r="I266" s="100"/>
      <c r="J266" s="100"/>
      <c r="K266" s="100" t="s">
        <v>73</v>
      </c>
      <c r="L266" s="100" t="s">
        <v>200</v>
      </c>
      <c r="M266" s="100" t="s">
        <v>201</v>
      </c>
      <c r="N266" s="100" t="s">
        <v>76</v>
      </c>
      <c r="O266" s="100" t="e">
        <f>VLOOKUP(Tabla156[[#This Row],[Matricula Antigua]],BAJA2022202320242025!$B$3:$CR$245,93,FALSE)</f>
        <v>#N/A</v>
      </c>
      <c r="P266" s="315">
        <v>44754</v>
      </c>
      <c r="Q266" s="315" t="e">
        <f>Tabla156[[#This Row],[F.Vig.Final]]-Tabla156[[#This Row],[f Vig Inicio]]</f>
        <v>#N/A</v>
      </c>
      <c r="R266" s="315">
        <f>YEAR(Tabla156[[#This Row],[F.Vig.Final]])</f>
        <v>2022</v>
      </c>
      <c r="S266" s="100" t="s">
        <v>77</v>
      </c>
      <c r="T266" s="100" t="s">
        <v>78</v>
      </c>
      <c r="U266" s="100" t="s">
        <v>359</v>
      </c>
      <c r="V266" s="100" t="s">
        <v>1424</v>
      </c>
      <c r="W266" s="100" t="s">
        <v>336</v>
      </c>
      <c r="X266" s="100" t="s">
        <v>337</v>
      </c>
      <c r="Y266" s="100" t="s">
        <v>373</v>
      </c>
      <c r="Z266" s="98">
        <f>COUNTIF($X$3:X266, X266)</f>
        <v>22</v>
      </c>
      <c r="AA266" s="98"/>
      <c r="AB266" s="98"/>
      <c r="AC266" s="98"/>
      <c r="AD266" s="98"/>
      <c r="AE266" s="322"/>
      <c r="AF266" s="98"/>
      <c r="AG266" s="98"/>
      <c r="AH266" s="98"/>
      <c r="AI266" s="98" t="e">
        <v>#N/A</v>
      </c>
      <c r="AJ266" s="98" t="e">
        <v>#N/A</v>
      </c>
      <c r="AK266" s="98" t="e">
        <v>#N/A</v>
      </c>
      <c r="AL266" s="98" t="e">
        <v>#N/A</v>
      </c>
      <c r="AM266" s="98" t="e">
        <v>#N/A</v>
      </c>
      <c r="AN266" s="99" t="e">
        <v>#N/A</v>
      </c>
      <c r="AO266" s="99" t="e">
        <v>#N/A</v>
      </c>
      <c r="AP266" s="99" t="e">
        <f>Tabla156[[#This Row],[Renov. Flota]]-Tabla156[[#This Row],[Año]]</f>
        <v>#N/A</v>
      </c>
      <c r="AQ266" s="100" t="e">
        <v>#N/A</v>
      </c>
      <c r="AR266" s="100" t="e">
        <f>VLOOKUP(Tabla156[[#This Row],[Matricula nueva]],'ALTA 20242025'!$B$2:$P$242,15,FALSE)</f>
        <v>#N/A</v>
      </c>
      <c r="AS266" s="101" t="e">
        <v>#N/A</v>
      </c>
      <c r="AT266" s="101"/>
      <c r="AU266" s="101"/>
      <c r="AV266" s="101"/>
      <c r="AW266" s="101" t="e">
        <f>VLOOKUP(Tabla156[[#This Row],[Matricula nueva]],Hoja2!$A$1:$B$224,2,FALSE)</f>
        <v>#N/A</v>
      </c>
      <c r="AX266" s="101" t="str">
        <f>IF(Tabla156[[#This Row],[Columna2]]="M1",5.1,"")</f>
        <v/>
      </c>
      <c r="AY266" s="101"/>
      <c r="AZ266" s="101"/>
      <c r="BA266" s="311">
        <f>IF(Tabla156[[#This Row],[Columna2]]="M1",13073,IF(Tabla156[[#This Row],[Columna2]]="N1",15815,IF(Tabla156[[#This Row],[Columna2]]="L3e",2831,53508)))</f>
        <v>53508</v>
      </c>
      <c r="BB266" s="311" t="e">
        <f>(Tabla156[[#This Row],[CVA]]*Tabla156[[#This Row],[F]]-Tabla156[[#This Row],[CVN]])/100*Tabla156[[#This Row],[L]]</f>
        <v>#VALUE!</v>
      </c>
      <c r="BC266" s="1"/>
      <c r="BD266" s="1" t="e">
        <f>VLOOKUP(B266,Tabla467824[[ID CAE2]:[AE '[kWh']]],6,FALSE)</f>
        <v>#N/A</v>
      </c>
      <c r="BE26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7" spans="1:57" ht="15.75" hidden="1" thickBot="1" x14ac:dyDescent="0.3">
      <c r="A267" s="53" t="s">
        <v>1451</v>
      </c>
      <c r="B267" s="53" t="e">
        <v>#N/A</v>
      </c>
      <c r="C267" s="100" t="s">
        <v>1461</v>
      </c>
      <c r="D267" s="100"/>
      <c r="E267" s="100"/>
      <c r="F267" s="100"/>
      <c r="G267" s="100"/>
      <c r="H267" s="100"/>
      <c r="I267" s="100"/>
      <c r="J267" s="100"/>
      <c r="K267" s="100" t="s">
        <v>73</v>
      </c>
      <c r="L267" s="100" t="s">
        <v>200</v>
      </c>
      <c r="M267" s="100" t="s">
        <v>201</v>
      </c>
      <c r="N267" s="100" t="s">
        <v>76</v>
      </c>
      <c r="O267" s="100" t="e">
        <f>VLOOKUP(Tabla156[[#This Row],[Matricula Antigua]],BAJA2022202320242025!$B$3:$CR$245,93,FALSE)</f>
        <v>#N/A</v>
      </c>
      <c r="P267" s="315">
        <v>44725</v>
      </c>
      <c r="Q267" s="315" t="e">
        <f>Tabla156[[#This Row],[F.Vig.Final]]-Tabla156[[#This Row],[f Vig Inicio]]</f>
        <v>#N/A</v>
      </c>
      <c r="R267" s="315">
        <f>YEAR(Tabla156[[#This Row],[F.Vig.Final]])</f>
        <v>2022</v>
      </c>
      <c r="S267" s="100" t="s">
        <v>77</v>
      </c>
      <c r="T267" s="100" t="s">
        <v>78</v>
      </c>
      <c r="U267" s="100" t="s">
        <v>359</v>
      </c>
      <c r="V267" s="100" t="s">
        <v>593</v>
      </c>
      <c r="W267" s="100" t="s">
        <v>131</v>
      </c>
      <c r="X267" s="100" t="s">
        <v>132</v>
      </c>
      <c r="Y267" s="100" t="s">
        <v>318</v>
      </c>
      <c r="Z267" s="98">
        <f>COUNTIF($X$3:X267, X267)</f>
        <v>36</v>
      </c>
      <c r="AA267" s="98"/>
      <c r="AB267" s="98"/>
      <c r="AC267" s="98"/>
      <c r="AD267" s="98"/>
      <c r="AE267" s="98"/>
      <c r="AF267" s="98"/>
      <c r="AG267" s="98"/>
      <c r="AH267" s="98"/>
      <c r="AI267" s="98" t="e">
        <v>#N/A</v>
      </c>
      <c r="AJ267" s="98" t="e">
        <v>#N/A</v>
      </c>
      <c r="AK267" s="98" t="e">
        <v>#N/A</v>
      </c>
      <c r="AL267" s="98" t="e">
        <v>#N/A</v>
      </c>
      <c r="AM267" s="98" t="e">
        <v>#N/A</v>
      </c>
      <c r="AN267" s="99" t="e">
        <v>#N/A</v>
      </c>
      <c r="AO267" s="99" t="e">
        <v>#N/A</v>
      </c>
      <c r="AP267" s="99" t="e">
        <f>Tabla156[[#This Row],[Renov. Flota]]-Tabla156[[#This Row],[Año]]</f>
        <v>#N/A</v>
      </c>
      <c r="AQ267" s="100" t="e">
        <v>#N/A</v>
      </c>
      <c r="AR267" s="100" t="e">
        <f>VLOOKUP(Tabla156[[#This Row],[Matricula nueva]],'ALTA 20242025'!$B$2:$P$242,15,FALSE)</f>
        <v>#N/A</v>
      </c>
      <c r="AS267" s="101" t="e">
        <v>#N/A</v>
      </c>
      <c r="AT267" s="101"/>
      <c r="AU267" s="101"/>
      <c r="AV267" s="101"/>
      <c r="AW267" s="101" t="e">
        <f>VLOOKUP(Tabla156[[#This Row],[Matricula nueva]],Hoja2!$A$1:$B$224,2,FALSE)</f>
        <v>#N/A</v>
      </c>
      <c r="AX267" s="101" t="str">
        <f>IF(Tabla156[[#This Row],[Columna2]]="M1",5.1,"")</f>
        <v/>
      </c>
      <c r="AY267" s="101"/>
      <c r="AZ267" s="101"/>
      <c r="BA267" s="311">
        <f>IF(Tabla156[[#This Row],[Columna2]]="M1",13073,IF(Tabla156[[#This Row],[Columna2]]="N1",15815,IF(Tabla156[[#This Row],[Columna2]]="L3e",2831,53508)))</f>
        <v>53508</v>
      </c>
      <c r="BB267" s="311" t="e">
        <f>(Tabla156[[#This Row],[CVA]]*Tabla156[[#This Row],[F]]-Tabla156[[#This Row],[CVN]])/100*Tabla156[[#This Row],[L]]</f>
        <v>#VALUE!</v>
      </c>
      <c r="BC267" s="1"/>
      <c r="BD267" s="1" t="e">
        <f>VLOOKUP(B267,Tabla467824[[ID CAE2]:[AE '[kWh']]],6,FALSE)</f>
        <v>#N/A</v>
      </c>
      <c r="BE26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8" spans="1:57" ht="15.75" hidden="1" thickBot="1" x14ac:dyDescent="0.3">
      <c r="A268" s="53" t="s">
        <v>1454</v>
      </c>
      <c r="B268" s="53" t="e">
        <v>#N/A</v>
      </c>
      <c r="C268" s="100" t="s">
        <v>1462</v>
      </c>
      <c r="D268" s="100"/>
      <c r="E268" s="100"/>
      <c r="F268" s="100"/>
      <c r="G268" s="100"/>
      <c r="H268" s="100"/>
      <c r="I268" s="100"/>
      <c r="J268" s="100"/>
      <c r="K268" s="100" t="s">
        <v>73</v>
      </c>
      <c r="L268" s="100" t="s">
        <v>200</v>
      </c>
      <c r="M268" s="100" t="s">
        <v>201</v>
      </c>
      <c r="N268" s="100" t="s">
        <v>76</v>
      </c>
      <c r="O268" s="100" t="e">
        <f>VLOOKUP(Tabla156[[#This Row],[Matricula Antigua]],BAJA2022202320242025!$B$3:$CR$245,93,FALSE)</f>
        <v>#N/A</v>
      </c>
      <c r="P268" s="315">
        <v>44693</v>
      </c>
      <c r="Q268" s="315" t="e">
        <f>Tabla156[[#This Row],[F.Vig.Final]]-Tabla156[[#This Row],[f Vig Inicio]]</f>
        <v>#N/A</v>
      </c>
      <c r="R268" s="315">
        <f>YEAR(Tabla156[[#This Row],[F.Vig.Final]])</f>
        <v>2022</v>
      </c>
      <c r="S268" s="100" t="s">
        <v>77</v>
      </c>
      <c r="T268" s="100" t="s">
        <v>78</v>
      </c>
      <c r="U268" s="100" t="s">
        <v>359</v>
      </c>
      <c r="V268" s="100" t="s">
        <v>360</v>
      </c>
      <c r="W268" s="100" t="s">
        <v>336</v>
      </c>
      <c r="X268" s="100" t="s">
        <v>337</v>
      </c>
      <c r="Y268" s="100" t="s">
        <v>1463</v>
      </c>
      <c r="Z268" s="98">
        <f>COUNTIF($X$3:X268, X268)</f>
        <v>23</v>
      </c>
      <c r="AA268" s="98"/>
      <c r="AB268" s="98"/>
      <c r="AC268" s="98"/>
      <c r="AD268" s="98"/>
      <c r="AE268" s="98"/>
      <c r="AF268" s="98"/>
      <c r="AG268" s="98"/>
      <c r="AH268" s="98"/>
      <c r="AI268" s="98" t="e">
        <v>#N/A</v>
      </c>
      <c r="AJ268" s="98" t="e">
        <v>#N/A</v>
      </c>
      <c r="AK268" s="98" t="e">
        <v>#N/A</v>
      </c>
      <c r="AL268" s="98" t="e">
        <v>#N/A</v>
      </c>
      <c r="AM268" s="98" t="e">
        <v>#N/A</v>
      </c>
      <c r="AN268" s="99" t="e">
        <v>#N/A</v>
      </c>
      <c r="AO268" s="99" t="e">
        <v>#N/A</v>
      </c>
      <c r="AP268" s="99" t="e">
        <f>Tabla156[[#This Row],[Renov. Flota]]-Tabla156[[#This Row],[Año]]</f>
        <v>#N/A</v>
      </c>
      <c r="AQ268" s="100" t="e">
        <v>#N/A</v>
      </c>
      <c r="AR268" s="100" t="e">
        <f>VLOOKUP(Tabla156[[#This Row],[Matricula nueva]],'ALTA 20242025'!$B$2:$P$242,15,FALSE)</f>
        <v>#N/A</v>
      </c>
      <c r="AS268" s="101" t="e">
        <v>#N/A</v>
      </c>
      <c r="AT268" s="101"/>
      <c r="AU268" s="101"/>
      <c r="AV268" s="101"/>
      <c r="AW268" s="101" t="e">
        <f>VLOOKUP(Tabla156[[#This Row],[Matricula nueva]],Hoja2!$A$1:$B$224,2,FALSE)</f>
        <v>#N/A</v>
      </c>
      <c r="AX268" s="101" t="str">
        <f>IF(Tabla156[[#This Row],[Columna2]]="M1",5.1,"")</f>
        <v/>
      </c>
      <c r="AY268" s="101"/>
      <c r="AZ268" s="101"/>
      <c r="BA268" s="311">
        <f>IF(Tabla156[[#This Row],[Columna2]]="M1",13073,IF(Tabla156[[#This Row],[Columna2]]="N1",15815,IF(Tabla156[[#This Row],[Columna2]]="L3e",2831,53508)))</f>
        <v>53508</v>
      </c>
      <c r="BB268" s="311" t="e">
        <f>(Tabla156[[#This Row],[CVA]]*Tabla156[[#This Row],[F]]-Tabla156[[#This Row],[CVN]])/100*Tabla156[[#This Row],[L]]</f>
        <v>#VALUE!</v>
      </c>
      <c r="BC268" s="1"/>
      <c r="BD268" s="1" t="e">
        <f>VLOOKUP(B268,Tabla467824[[ID CAE2]:[AE '[kWh']]],6,FALSE)</f>
        <v>#N/A</v>
      </c>
      <c r="BE26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69" spans="1:57" ht="52.5" thickBot="1" x14ac:dyDescent="0.3">
      <c r="A269" s="53" t="s">
        <v>1093</v>
      </c>
      <c r="B269" s="53" t="s">
        <v>1093</v>
      </c>
      <c r="C269" s="332" t="s">
        <v>1094</v>
      </c>
      <c r="D269" s="104" t="s">
        <v>72</v>
      </c>
      <c r="E269" s="104" t="s">
        <v>72</v>
      </c>
      <c r="F269" s="104" t="s">
        <v>72</v>
      </c>
      <c r="G269" s="104"/>
      <c r="H269" s="104" t="s">
        <v>72</v>
      </c>
      <c r="I269" s="104" t="s">
        <v>72</v>
      </c>
      <c r="J269" s="104"/>
      <c r="K269" s="96" t="s">
        <v>1034</v>
      </c>
      <c r="L269" s="96" t="s">
        <v>200</v>
      </c>
      <c r="M269" s="96" t="s">
        <v>201</v>
      </c>
      <c r="N269" s="96" t="s">
        <v>76</v>
      </c>
      <c r="O269" s="101">
        <f>VLOOKUP(Tabla156[[#This Row],[Matricula Antigua]],BAJA2022202320242025!$B$3:$CR$245,93,FALSE)</f>
        <v>44127</v>
      </c>
      <c r="P269" s="316">
        <v>45588</v>
      </c>
      <c r="Q269" s="317">
        <f>Tabla156[[#This Row],[F.Vig.Final]]-Tabla156[[#This Row],[f Vig Inicio]]</f>
        <v>1461</v>
      </c>
      <c r="R269" s="318">
        <f>YEAR(Tabla156[[#This Row],[F.Vig.Final]])</f>
        <v>2024</v>
      </c>
      <c r="S269" s="96" t="s">
        <v>77</v>
      </c>
      <c r="T269" s="96" t="s">
        <v>202</v>
      </c>
      <c r="U269" s="96" t="s">
        <v>524</v>
      </c>
      <c r="V269" s="96" t="s">
        <v>1095</v>
      </c>
      <c r="W269" s="96" t="s">
        <v>204</v>
      </c>
      <c r="X269" s="332" t="s">
        <v>205</v>
      </c>
      <c r="Y269" s="96" t="s">
        <v>206</v>
      </c>
      <c r="Z269" s="98">
        <f>COUNTIF($X$3:X269, X269)</f>
        <v>11</v>
      </c>
      <c r="AA269" s="337" t="s">
        <v>1661</v>
      </c>
      <c r="AB269" s="337" t="s">
        <v>1661</v>
      </c>
      <c r="AC269" s="337" t="s">
        <v>1662</v>
      </c>
      <c r="AD269" s="337" t="s">
        <v>1679</v>
      </c>
      <c r="AE269" s="351" t="s">
        <v>1664</v>
      </c>
      <c r="AF269" s="337" t="s">
        <v>1680</v>
      </c>
      <c r="AG269" s="337" t="s">
        <v>1681</v>
      </c>
      <c r="AH269" s="337" t="s">
        <v>1649</v>
      </c>
      <c r="AI269" s="337" t="s">
        <v>1096</v>
      </c>
      <c r="AJ269" s="98" t="s">
        <v>140</v>
      </c>
      <c r="AK269" s="98" t="s">
        <v>151</v>
      </c>
      <c r="AL269" s="98" t="s">
        <v>87</v>
      </c>
      <c r="AM269" s="101" t="s">
        <v>232</v>
      </c>
      <c r="AN269" s="348" t="s">
        <v>89</v>
      </c>
      <c r="AO269" s="349">
        <v>45638</v>
      </c>
      <c r="AP269" s="98">
        <f>Tabla156[[#This Row],[Renov. Flota]]-Tabla156[[#This Row],[Año]]</f>
        <v>0</v>
      </c>
      <c r="AQ269" s="100" t="s">
        <v>204</v>
      </c>
      <c r="AR269" s="100" t="str">
        <f>VLOOKUP(Tabla156[[#This Row],[Matricula nueva]],'ALTA 20242025'!$B$2:$P$242,15,FALSE)</f>
        <v>4500424883</v>
      </c>
      <c r="AS269" s="101" t="s">
        <v>205</v>
      </c>
      <c r="AT269" s="101"/>
      <c r="AU269" s="101" t="s">
        <v>72</v>
      </c>
      <c r="AV269" s="101" t="s">
        <v>91</v>
      </c>
      <c r="AW269" s="101" t="str">
        <f>VLOOKUP(Tabla156[[#This Row],[Matricula nueva]],Hoja2!$A$1:$B$224,2,FALSE)</f>
        <v>VR7CBZYA9RT153025</v>
      </c>
      <c r="AX269" s="209">
        <f>IF(Tabla156[[#This Row],[Columna2]]="M1",5.1,"")</f>
        <v>5.0999999999999996</v>
      </c>
      <c r="AY269" s="208">
        <f>IF(T269="DIESEL",10,IF(T269="GLP",7.16,9.19))</f>
        <v>9.19</v>
      </c>
      <c r="AZ269" s="313">
        <v>16.399999999999999</v>
      </c>
      <c r="BA269" s="314">
        <f>IF(Tabla156[[#This Row],[Columna2]]="M1",13073,IF(Tabla156[[#This Row],[Columna2]]="N1",15815,IF(Tabla156[[#This Row],[Columna2]]="L3e",2831,53508)))</f>
        <v>13073</v>
      </c>
      <c r="BB269" s="350">
        <f>(Tabla156[[#This Row],[CVA]]*Tabla156[[#This Row],[F]]-Tabla156[[#This Row],[CVN]])/100*Tabla156[[#This Row],[L]]</f>
        <v>3983.2123699999993</v>
      </c>
      <c r="BC269" s="92" t="s">
        <v>70</v>
      </c>
      <c r="BD269" s="209">
        <f>VLOOKUP(B269,Tabla467824[[ID CAE2]:[AE '[kWh']]],6,FALSE)</f>
        <v>7136.4330429999991</v>
      </c>
      <c r="BE26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70" spans="1:57" ht="15.75" hidden="1" thickBot="1" x14ac:dyDescent="0.3">
      <c r="A270" s="53" t="s">
        <v>1099</v>
      </c>
      <c r="B270" s="53" t="s">
        <v>1099</v>
      </c>
      <c r="C270" s="100" t="s">
        <v>1464</v>
      </c>
      <c r="D270" s="100"/>
      <c r="E270" s="100"/>
      <c r="F270" s="100"/>
      <c r="G270" s="100"/>
      <c r="H270" s="100"/>
      <c r="I270" s="100"/>
      <c r="J270" s="100"/>
      <c r="K270" s="100" t="s">
        <v>73</v>
      </c>
      <c r="L270" s="100" t="s">
        <v>172</v>
      </c>
      <c r="M270" s="100" t="s">
        <v>1127</v>
      </c>
      <c r="N270" s="100" t="s">
        <v>76</v>
      </c>
      <c r="O270" s="100" t="e">
        <f>VLOOKUP(Tabla156[[#This Row],[Matricula Antigua]],BAJA2022202320242025!$B$3:$CR$245,93,FALSE)</f>
        <v>#N/A</v>
      </c>
      <c r="P270" s="315">
        <v>44694</v>
      </c>
      <c r="Q270" s="315" t="e">
        <f>Tabla156[[#This Row],[F.Vig.Final]]-Tabla156[[#This Row],[f Vig Inicio]]</f>
        <v>#N/A</v>
      </c>
      <c r="R270" s="315">
        <f>YEAR(Tabla156[[#This Row],[F.Vig.Final]])</f>
        <v>2022</v>
      </c>
      <c r="S270" s="100" t="s">
        <v>77</v>
      </c>
      <c r="T270" s="100" t="s">
        <v>78</v>
      </c>
      <c r="U270" s="100" t="s">
        <v>85</v>
      </c>
      <c r="V270" s="100" t="s">
        <v>732</v>
      </c>
      <c r="W270" s="100" t="s">
        <v>1128</v>
      </c>
      <c r="X270" s="100" t="s">
        <v>1129</v>
      </c>
      <c r="Y270" s="100" t="s">
        <v>1130</v>
      </c>
      <c r="Z270" s="98">
        <f>COUNTIF($X$3:X270, X270)</f>
        <v>4</v>
      </c>
      <c r="AA270" s="98"/>
      <c r="AB270" s="98"/>
      <c r="AC270" s="98"/>
      <c r="AD270" s="98"/>
      <c r="AE270" s="98"/>
      <c r="AF270" s="98"/>
      <c r="AG270" s="98"/>
      <c r="AH270" s="98"/>
      <c r="AI270" s="98" t="e">
        <v>#N/A</v>
      </c>
      <c r="AJ270" s="98" t="e">
        <v>#N/A</v>
      </c>
      <c r="AK270" s="98" t="e">
        <v>#N/A</v>
      </c>
      <c r="AL270" s="98" t="e">
        <v>#N/A</v>
      </c>
      <c r="AM270" s="98" t="e">
        <v>#N/A</v>
      </c>
      <c r="AN270" s="99" t="e">
        <v>#N/A</v>
      </c>
      <c r="AO270" s="99" t="e">
        <v>#N/A</v>
      </c>
      <c r="AP270" s="99" t="e">
        <f>Tabla156[[#This Row],[Renov. Flota]]-Tabla156[[#This Row],[Año]]</f>
        <v>#N/A</v>
      </c>
      <c r="AQ270" s="100" t="e">
        <v>#N/A</v>
      </c>
      <c r="AR270" s="100" t="e">
        <f>VLOOKUP(Tabla156[[#This Row],[Matricula nueva]],'ALTA 20242025'!$B$2:$P$242,15,FALSE)</f>
        <v>#N/A</v>
      </c>
      <c r="AS270" s="101" t="e">
        <v>#N/A</v>
      </c>
      <c r="AT270" s="101"/>
      <c r="AU270" s="101"/>
      <c r="AV270" s="101"/>
      <c r="AW270" s="101" t="e">
        <f>VLOOKUP(Tabla156[[#This Row],[Matricula nueva]],Hoja2!$A$1:$B$224,2,FALSE)</f>
        <v>#N/A</v>
      </c>
      <c r="AX270" s="101" t="str">
        <f>IF(Tabla156[[#This Row],[Columna2]]="M1",5.1,"")</f>
        <v/>
      </c>
      <c r="AY270" s="101"/>
      <c r="AZ270" s="101"/>
      <c r="BA270" s="311">
        <f>IF(Tabla156[[#This Row],[Columna2]]="M1",13073,IF(Tabla156[[#This Row],[Columna2]]="N1",15815,IF(Tabla156[[#This Row],[Columna2]]="L3e",2831,53508)))</f>
        <v>53508</v>
      </c>
      <c r="BB270" s="311" t="e">
        <f>(Tabla156[[#This Row],[CVA]]*Tabla156[[#This Row],[F]]-Tabla156[[#This Row],[CVN]])/100*Tabla156[[#This Row],[L]]</f>
        <v>#VALUE!</v>
      </c>
      <c r="BC270" s="1"/>
      <c r="BD270" s="1">
        <f>VLOOKUP(B270,Tabla467824[[ID CAE2]:[AE '[kWh']]],6,FALSE)</f>
        <v>6795.3454000000002</v>
      </c>
      <c r="BE27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1" spans="1:57" ht="15.75" hidden="1" thickBot="1" x14ac:dyDescent="0.3">
      <c r="A271" s="53" t="s">
        <v>1465</v>
      </c>
      <c r="B271" s="53" t="e">
        <v>#N/A</v>
      </c>
      <c r="C271" s="100" t="s">
        <v>1466</v>
      </c>
      <c r="D271" s="100"/>
      <c r="E271" s="100"/>
      <c r="F271" s="100"/>
      <c r="G271" s="100"/>
      <c r="H271" s="100"/>
      <c r="I271" s="100"/>
      <c r="J271" s="100"/>
      <c r="K271" s="100" t="s">
        <v>73</v>
      </c>
      <c r="L271" s="100" t="s">
        <v>172</v>
      </c>
      <c r="M271" s="100" t="s">
        <v>1127</v>
      </c>
      <c r="N271" s="100" t="s">
        <v>76</v>
      </c>
      <c r="O271" s="100" t="e">
        <f>VLOOKUP(Tabla156[[#This Row],[Matricula Antigua]],BAJA2022202320242025!$B$3:$CR$245,93,FALSE)</f>
        <v>#N/A</v>
      </c>
      <c r="P271" s="315">
        <v>44694</v>
      </c>
      <c r="Q271" s="315" t="e">
        <f>Tabla156[[#This Row],[F.Vig.Final]]-Tabla156[[#This Row],[f Vig Inicio]]</f>
        <v>#N/A</v>
      </c>
      <c r="R271" s="315">
        <f>YEAR(Tabla156[[#This Row],[F.Vig.Final]])</f>
        <v>2022</v>
      </c>
      <c r="S271" s="100" t="s">
        <v>77</v>
      </c>
      <c r="T271" s="100" t="s">
        <v>78</v>
      </c>
      <c r="U271" s="100" t="s">
        <v>1362</v>
      </c>
      <c r="V271" s="100" t="s">
        <v>1363</v>
      </c>
      <c r="W271" s="100" t="s">
        <v>119</v>
      </c>
      <c r="X271" s="100" t="s">
        <v>120</v>
      </c>
      <c r="Y271" s="100" t="s">
        <v>1467</v>
      </c>
      <c r="Z271" s="98">
        <f>COUNTIF($X$3:X271, X271)</f>
        <v>9</v>
      </c>
      <c r="AA271" s="98"/>
      <c r="AB271" s="98"/>
      <c r="AC271" s="98"/>
      <c r="AD271" s="98"/>
      <c r="AE271" s="98"/>
      <c r="AF271" s="98"/>
      <c r="AG271" s="98"/>
      <c r="AH271" s="98"/>
      <c r="AI271" s="98" t="e">
        <v>#N/A</v>
      </c>
      <c r="AJ271" s="98" t="e">
        <v>#N/A</v>
      </c>
      <c r="AK271" s="98" t="e">
        <v>#N/A</v>
      </c>
      <c r="AL271" s="98" t="e">
        <v>#N/A</v>
      </c>
      <c r="AM271" s="98" t="e">
        <v>#N/A</v>
      </c>
      <c r="AN271" s="99" t="e">
        <v>#N/A</v>
      </c>
      <c r="AO271" s="99" t="e">
        <v>#N/A</v>
      </c>
      <c r="AP271" s="99" t="e">
        <f>Tabla156[[#This Row],[Renov. Flota]]-Tabla156[[#This Row],[Año]]</f>
        <v>#N/A</v>
      </c>
      <c r="AQ271" s="100" t="e">
        <v>#N/A</v>
      </c>
      <c r="AR271" s="100" t="e">
        <f>VLOOKUP(Tabla156[[#This Row],[Matricula nueva]],'ALTA 20242025'!$B$2:$P$242,15,FALSE)</f>
        <v>#N/A</v>
      </c>
      <c r="AS271" s="101" t="e">
        <v>#N/A</v>
      </c>
      <c r="AT271" s="101"/>
      <c r="AU271" s="101"/>
      <c r="AV271" s="101"/>
      <c r="AW271" s="101" t="e">
        <f>VLOOKUP(Tabla156[[#This Row],[Matricula nueva]],Hoja2!$A$1:$B$224,2,FALSE)</f>
        <v>#N/A</v>
      </c>
      <c r="AX271" s="101" t="str">
        <f>IF(Tabla156[[#This Row],[Columna2]]="M1",5.1,"")</f>
        <v/>
      </c>
      <c r="AY271" s="101"/>
      <c r="AZ271" s="101"/>
      <c r="BA271" s="311">
        <f>IF(Tabla156[[#This Row],[Columna2]]="M1",13073,IF(Tabla156[[#This Row],[Columna2]]="N1",15815,IF(Tabla156[[#This Row],[Columna2]]="L3e",2831,53508)))</f>
        <v>53508</v>
      </c>
      <c r="BB271" s="311" t="e">
        <f>(Tabla156[[#This Row],[CVA]]*Tabla156[[#This Row],[F]]-Tabla156[[#This Row],[CVN]])/100*Tabla156[[#This Row],[L]]</f>
        <v>#VALUE!</v>
      </c>
      <c r="BC271" s="1"/>
      <c r="BD271" s="1" t="e">
        <f>VLOOKUP(B271,Tabla467824[[ID CAE2]:[AE '[kWh']]],6,FALSE)</f>
        <v>#N/A</v>
      </c>
      <c r="BE27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2" spans="1:57" ht="15.75" hidden="1" thickBot="1" x14ac:dyDescent="0.3">
      <c r="A272" s="53" t="s">
        <v>1468</v>
      </c>
      <c r="B272" s="53" t="e">
        <v>#N/A</v>
      </c>
      <c r="C272" s="100" t="s">
        <v>1469</v>
      </c>
      <c r="D272" s="100"/>
      <c r="E272" s="100"/>
      <c r="F272" s="100"/>
      <c r="G272" s="100"/>
      <c r="H272" s="100"/>
      <c r="I272" s="100"/>
      <c r="J272" s="100"/>
      <c r="K272" s="100" t="s">
        <v>158</v>
      </c>
      <c r="L272" s="100" t="s">
        <v>159</v>
      </c>
      <c r="M272" s="100" t="s">
        <v>158</v>
      </c>
      <c r="N272" s="100" t="s">
        <v>160</v>
      </c>
      <c r="O272" s="100" t="e">
        <f>VLOOKUP(Tabla156[[#This Row],[Matricula Antigua]],BAJA2022202320242025!$B$3:$CR$245,93,FALSE)</f>
        <v>#N/A</v>
      </c>
      <c r="P272" s="315">
        <v>44609</v>
      </c>
      <c r="Q272" s="315" t="e">
        <f>Tabla156[[#This Row],[F.Vig.Final]]-Tabla156[[#This Row],[f Vig Inicio]]</f>
        <v>#N/A</v>
      </c>
      <c r="R272" s="315">
        <f>YEAR(Tabla156[[#This Row],[F.Vig.Final]])</f>
        <v>2022</v>
      </c>
      <c r="S272" s="100" t="s">
        <v>161</v>
      </c>
      <c r="T272" s="100" t="s">
        <v>87</v>
      </c>
      <c r="U272" s="100" t="s">
        <v>85</v>
      </c>
      <c r="V272" s="100" t="s">
        <v>340</v>
      </c>
      <c r="W272" s="100" t="s">
        <v>336</v>
      </c>
      <c r="X272" s="100" t="s">
        <v>337</v>
      </c>
      <c r="Y272" s="100" t="s">
        <v>630</v>
      </c>
      <c r="Z272" s="98">
        <f>COUNTIF($X$3:X272, X272)</f>
        <v>24</v>
      </c>
      <c r="AA272" s="98"/>
      <c r="AB272" s="98"/>
      <c r="AC272" s="98"/>
      <c r="AD272" s="98"/>
      <c r="AE272" s="98"/>
      <c r="AF272" s="98"/>
      <c r="AG272" s="98"/>
      <c r="AH272" s="98"/>
      <c r="AI272" s="98" t="e">
        <v>#N/A</v>
      </c>
      <c r="AJ272" s="98" t="e">
        <v>#N/A</v>
      </c>
      <c r="AK272" s="98" t="e">
        <v>#N/A</v>
      </c>
      <c r="AL272" s="98" t="e">
        <v>#N/A</v>
      </c>
      <c r="AM272" s="98" t="e">
        <v>#N/A</v>
      </c>
      <c r="AN272" s="99" t="e">
        <v>#N/A</v>
      </c>
      <c r="AO272" s="99" t="e">
        <v>#N/A</v>
      </c>
      <c r="AP272" s="99" t="e">
        <f>Tabla156[[#This Row],[Renov. Flota]]-Tabla156[[#This Row],[Año]]</f>
        <v>#N/A</v>
      </c>
      <c r="AQ272" s="100" t="e">
        <v>#N/A</v>
      </c>
      <c r="AR272" s="100" t="e">
        <f>VLOOKUP(Tabla156[[#This Row],[Matricula nueva]],'ALTA 20242025'!$B$2:$P$242,15,FALSE)</f>
        <v>#N/A</v>
      </c>
      <c r="AS272" s="101" t="e">
        <v>#N/A</v>
      </c>
      <c r="AT272" s="101"/>
      <c r="AU272" s="101"/>
      <c r="AV272" s="101"/>
      <c r="AW272" s="101" t="e">
        <f>VLOOKUP(Tabla156[[#This Row],[Matricula nueva]],Hoja2!$A$1:$B$224,2,FALSE)</f>
        <v>#N/A</v>
      </c>
      <c r="AX272" s="101" t="str">
        <f>IF(Tabla156[[#This Row],[Columna2]]="M1",5.1,"")</f>
        <v/>
      </c>
      <c r="AY272" s="101"/>
      <c r="AZ272" s="101"/>
      <c r="BA272" s="311">
        <f>IF(Tabla156[[#This Row],[Columna2]]="M1",13073,IF(Tabla156[[#This Row],[Columna2]]="N1",15815,IF(Tabla156[[#This Row],[Columna2]]="L3e",2831,53508)))</f>
        <v>53508</v>
      </c>
      <c r="BB272" s="311" t="e">
        <f>(Tabla156[[#This Row],[CVA]]*Tabla156[[#This Row],[F]]-Tabla156[[#This Row],[CVN]])/100*Tabla156[[#This Row],[L]]</f>
        <v>#VALUE!</v>
      </c>
      <c r="BC272" s="1"/>
      <c r="BD272" s="1" t="e">
        <f>VLOOKUP(B272,Tabla467824[[ID CAE2]:[AE '[kWh']]],6,FALSE)</f>
        <v>#N/A</v>
      </c>
      <c r="BE27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273" spans="1:57" ht="15.75" hidden="1" thickBot="1" x14ac:dyDescent="0.3">
      <c r="A273" s="53" t="s">
        <v>1470</v>
      </c>
      <c r="B273" s="53" t="e">
        <v>#N/A</v>
      </c>
      <c r="C273" s="100" t="s">
        <v>1471</v>
      </c>
      <c r="D273" s="100"/>
      <c r="E273" s="100"/>
      <c r="F273" s="100"/>
      <c r="G273" s="100"/>
      <c r="H273" s="100"/>
      <c r="I273" s="100"/>
      <c r="J273" s="100"/>
      <c r="K273" s="100" t="s">
        <v>1034</v>
      </c>
      <c r="L273" s="100" t="s">
        <v>200</v>
      </c>
      <c r="M273" s="100" t="s">
        <v>201</v>
      </c>
      <c r="N273" s="100" t="s">
        <v>76</v>
      </c>
      <c r="O273" s="100" t="e">
        <f>VLOOKUP(Tabla156[[#This Row],[Matricula Antigua]],BAJA2022202320242025!$B$3:$CR$245,93,FALSE)</f>
        <v>#N/A</v>
      </c>
      <c r="P273" s="315">
        <v>44805</v>
      </c>
      <c r="Q273" s="315" t="e">
        <f>Tabla156[[#This Row],[F.Vig.Final]]-Tabla156[[#This Row],[f Vig Inicio]]</f>
        <v>#N/A</v>
      </c>
      <c r="R273" s="315">
        <f>YEAR(Tabla156[[#This Row],[F.Vig.Final]])</f>
        <v>2022</v>
      </c>
      <c r="S273" s="100" t="s">
        <v>77</v>
      </c>
      <c r="T273" s="100" t="s">
        <v>674</v>
      </c>
      <c r="U273" s="100" t="s">
        <v>1348</v>
      </c>
      <c r="V273" s="100" t="s">
        <v>1472</v>
      </c>
      <c r="W273" s="100" t="s">
        <v>336</v>
      </c>
      <c r="X273" s="100" t="s">
        <v>337</v>
      </c>
      <c r="Y273" s="100" t="s">
        <v>1430</v>
      </c>
      <c r="Z273" s="98">
        <f>COUNTIF($X$3:X273, X273)</f>
        <v>25</v>
      </c>
      <c r="AA273" s="98"/>
      <c r="AB273" s="98"/>
      <c r="AC273" s="98"/>
      <c r="AD273" s="98"/>
      <c r="AE273" s="98"/>
      <c r="AF273" s="98"/>
      <c r="AG273" s="98"/>
      <c r="AH273" s="98"/>
      <c r="AI273" s="98" t="e">
        <v>#N/A</v>
      </c>
      <c r="AJ273" s="98" t="e">
        <v>#N/A</v>
      </c>
      <c r="AK273" s="98" t="e">
        <v>#N/A</v>
      </c>
      <c r="AL273" s="98" t="e">
        <v>#N/A</v>
      </c>
      <c r="AM273" s="98" t="e">
        <v>#N/A</v>
      </c>
      <c r="AN273" s="99" t="e">
        <v>#N/A</v>
      </c>
      <c r="AO273" s="99" t="e">
        <v>#N/A</v>
      </c>
      <c r="AP273" s="99" t="e">
        <f>Tabla156[[#This Row],[Renov. Flota]]-Tabla156[[#This Row],[Año]]</f>
        <v>#N/A</v>
      </c>
      <c r="AQ273" s="100" t="e">
        <v>#N/A</v>
      </c>
      <c r="AR273" s="100" t="e">
        <f>VLOOKUP(Tabla156[[#This Row],[Matricula nueva]],'ALTA 20242025'!$B$2:$P$242,15,FALSE)</f>
        <v>#N/A</v>
      </c>
      <c r="AS273" s="101" t="e">
        <v>#N/A</v>
      </c>
      <c r="AT273" s="101"/>
      <c r="AU273" s="101"/>
      <c r="AV273" s="101"/>
      <c r="AW273" s="101" t="e">
        <f>VLOOKUP(Tabla156[[#This Row],[Matricula nueva]],Hoja2!$A$1:$B$224,2,FALSE)</f>
        <v>#N/A</v>
      </c>
      <c r="AX273" s="101" t="str">
        <f>IF(Tabla156[[#This Row],[Columna2]]="M1",5.1,"")</f>
        <v/>
      </c>
      <c r="AY273" s="101"/>
      <c r="AZ273" s="101"/>
      <c r="BA273" s="311">
        <f>IF(Tabla156[[#This Row],[Columna2]]="M1",13073,IF(Tabla156[[#This Row],[Columna2]]="N1",15815,IF(Tabla156[[#This Row],[Columna2]]="L3e",2831,53508)))</f>
        <v>53508</v>
      </c>
      <c r="BB273" s="311" t="e">
        <f>(Tabla156[[#This Row],[CVA]]*Tabla156[[#This Row],[F]]-Tabla156[[#This Row],[CVN]])/100*Tabla156[[#This Row],[L]]</f>
        <v>#VALUE!</v>
      </c>
      <c r="BC273" s="1"/>
      <c r="BD273" s="1" t="e">
        <f>VLOOKUP(B273,Tabla467824[[ID CAE2]:[AE '[kWh']]],6,FALSE)</f>
        <v>#N/A</v>
      </c>
      <c r="BE27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4" spans="1:57" ht="15.75" hidden="1" thickBot="1" x14ac:dyDescent="0.3">
      <c r="A274" s="53" t="s">
        <v>1473</v>
      </c>
      <c r="B274" s="53" t="e">
        <v>#N/A</v>
      </c>
      <c r="C274" s="100" t="s">
        <v>1474</v>
      </c>
      <c r="D274" s="100"/>
      <c r="E274" s="100"/>
      <c r="F274" s="100"/>
      <c r="G274" s="100"/>
      <c r="H274" s="100"/>
      <c r="I274" s="100"/>
      <c r="J274" s="100"/>
      <c r="K274" s="100" t="s">
        <v>1034</v>
      </c>
      <c r="L274" s="100" t="s">
        <v>200</v>
      </c>
      <c r="M274" s="100" t="s">
        <v>201</v>
      </c>
      <c r="N274" s="100" t="s">
        <v>160</v>
      </c>
      <c r="O274" s="100" t="e">
        <f>VLOOKUP(Tabla156[[#This Row],[Matricula Antigua]],BAJA2022202320242025!$B$3:$CR$245,93,FALSE)</f>
        <v>#N/A</v>
      </c>
      <c r="P274" s="315">
        <v>44805</v>
      </c>
      <c r="Q274" s="315" t="e">
        <f>Tabla156[[#This Row],[F.Vig.Final]]-Tabla156[[#This Row],[f Vig Inicio]]</f>
        <v>#N/A</v>
      </c>
      <c r="R274" s="315">
        <f>YEAR(Tabla156[[#This Row],[F.Vig.Final]])</f>
        <v>2022</v>
      </c>
      <c r="S274" s="100" t="s">
        <v>161</v>
      </c>
      <c r="T274" s="100" t="s">
        <v>674</v>
      </c>
      <c r="U274" s="100" t="s">
        <v>1348</v>
      </c>
      <c r="V274" s="100" t="s">
        <v>1472</v>
      </c>
      <c r="W274" s="100" t="s">
        <v>336</v>
      </c>
      <c r="X274" s="100" t="s">
        <v>337</v>
      </c>
      <c r="Y274" s="100" t="s">
        <v>1430</v>
      </c>
      <c r="Z274" s="98">
        <f>COUNTIF($X$3:X274, X274)</f>
        <v>26</v>
      </c>
      <c r="AA274" s="98"/>
      <c r="AB274" s="98"/>
      <c r="AC274" s="98"/>
      <c r="AD274" s="98"/>
      <c r="AE274" s="98"/>
      <c r="AF274" s="98"/>
      <c r="AG274" s="98"/>
      <c r="AH274" s="98"/>
      <c r="AI274" s="98" t="e">
        <v>#N/A</v>
      </c>
      <c r="AJ274" s="98" t="e">
        <v>#N/A</v>
      </c>
      <c r="AK274" s="98" t="e">
        <v>#N/A</v>
      </c>
      <c r="AL274" s="98" t="e">
        <v>#N/A</v>
      </c>
      <c r="AM274" s="98" t="e">
        <v>#N/A</v>
      </c>
      <c r="AN274" s="99" t="e">
        <v>#N/A</v>
      </c>
      <c r="AO274" s="99" t="e">
        <v>#N/A</v>
      </c>
      <c r="AP274" s="99" t="e">
        <f>Tabla156[[#This Row],[Renov. Flota]]-Tabla156[[#This Row],[Año]]</f>
        <v>#N/A</v>
      </c>
      <c r="AQ274" s="100" t="e">
        <v>#N/A</v>
      </c>
      <c r="AR274" s="100" t="e">
        <f>VLOOKUP(Tabla156[[#This Row],[Matricula nueva]],'ALTA 20242025'!$B$2:$P$242,15,FALSE)</f>
        <v>#N/A</v>
      </c>
      <c r="AS274" s="101" t="e">
        <v>#N/A</v>
      </c>
      <c r="AT274" s="101"/>
      <c r="AU274" s="101"/>
      <c r="AV274" s="101"/>
      <c r="AW274" s="101" t="e">
        <f>VLOOKUP(Tabla156[[#This Row],[Matricula nueva]],Hoja2!$A$1:$B$224,2,FALSE)</f>
        <v>#N/A</v>
      </c>
      <c r="AX274" s="101" t="str">
        <f>IF(Tabla156[[#This Row],[Columna2]]="M1",5.1,"")</f>
        <v/>
      </c>
      <c r="AY274" s="101"/>
      <c r="AZ274" s="101"/>
      <c r="BA274" s="311">
        <f>IF(Tabla156[[#This Row],[Columna2]]="M1",13073,IF(Tabla156[[#This Row],[Columna2]]="N1",15815,IF(Tabla156[[#This Row],[Columna2]]="L3e",2831,53508)))</f>
        <v>53508</v>
      </c>
      <c r="BB274" s="311" t="e">
        <f>(Tabla156[[#This Row],[CVA]]*Tabla156[[#This Row],[F]]-Tabla156[[#This Row],[CVN]])/100*Tabla156[[#This Row],[L]]</f>
        <v>#VALUE!</v>
      </c>
      <c r="BC274" s="1"/>
      <c r="BD274" s="1" t="e">
        <f>VLOOKUP(B274,Tabla467824[[ID CAE2]:[AE '[kWh']]],6,FALSE)</f>
        <v>#N/A</v>
      </c>
      <c r="BE27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5" spans="1:57" ht="15.75" hidden="1" thickBot="1" x14ac:dyDescent="0.3">
      <c r="A275" s="53" t="s">
        <v>1475</v>
      </c>
      <c r="B275" s="53" t="e">
        <v>#N/A</v>
      </c>
      <c r="C275" s="100" t="s">
        <v>1476</v>
      </c>
      <c r="D275" s="100"/>
      <c r="E275" s="100"/>
      <c r="F275" s="100"/>
      <c r="G275" s="100"/>
      <c r="H275" s="100"/>
      <c r="I275" s="100"/>
      <c r="J275" s="100"/>
      <c r="K275" s="100" t="s">
        <v>73</v>
      </c>
      <c r="L275" s="100" t="s">
        <v>200</v>
      </c>
      <c r="M275" s="100" t="s">
        <v>201</v>
      </c>
      <c r="N275" s="100" t="s">
        <v>76</v>
      </c>
      <c r="O275" s="100" t="e">
        <f>VLOOKUP(Tabla156[[#This Row],[Matricula Antigua]],BAJA2022202320242025!$B$3:$CR$245,93,FALSE)</f>
        <v>#N/A</v>
      </c>
      <c r="P275" s="315">
        <v>44818</v>
      </c>
      <c r="Q275" s="315" t="e">
        <f>Tabla156[[#This Row],[F.Vig.Final]]-Tabla156[[#This Row],[f Vig Inicio]]</f>
        <v>#N/A</v>
      </c>
      <c r="R275" s="315">
        <f>YEAR(Tabla156[[#This Row],[F.Vig.Final]])</f>
        <v>2022</v>
      </c>
      <c r="S275" s="100" t="s">
        <v>77</v>
      </c>
      <c r="T275" s="100" t="s">
        <v>78</v>
      </c>
      <c r="U275" s="100" t="s">
        <v>359</v>
      </c>
      <c r="V275" s="100" t="s">
        <v>593</v>
      </c>
      <c r="W275" s="100" t="s">
        <v>102</v>
      </c>
      <c r="X275" s="100" t="s">
        <v>103</v>
      </c>
      <c r="Y275" s="100" t="s">
        <v>1477</v>
      </c>
      <c r="Z275" s="98">
        <f>COUNTIF($X$3:X275, X275)</f>
        <v>1</v>
      </c>
      <c r="AA275" s="98"/>
      <c r="AB275" s="98"/>
      <c r="AC275" s="98"/>
      <c r="AD275" s="98"/>
      <c r="AE275" s="98"/>
      <c r="AF275" s="98"/>
      <c r="AG275" s="98"/>
      <c r="AH275" s="98"/>
      <c r="AI275" s="98" t="e">
        <v>#N/A</v>
      </c>
      <c r="AJ275" s="98" t="e">
        <v>#N/A</v>
      </c>
      <c r="AK275" s="98" t="e">
        <v>#N/A</v>
      </c>
      <c r="AL275" s="98" t="e">
        <v>#N/A</v>
      </c>
      <c r="AM275" s="98" t="e">
        <v>#N/A</v>
      </c>
      <c r="AN275" s="99" t="e">
        <v>#N/A</v>
      </c>
      <c r="AO275" s="99" t="e">
        <v>#N/A</v>
      </c>
      <c r="AP275" s="99" t="e">
        <f>Tabla156[[#This Row],[Renov. Flota]]-Tabla156[[#This Row],[Año]]</f>
        <v>#N/A</v>
      </c>
      <c r="AQ275" s="100" t="e">
        <v>#N/A</v>
      </c>
      <c r="AR275" s="100" t="e">
        <f>VLOOKUP(Tabla156[[#This Row],[Matricula nueva]],'ALTA 20242025'!$B$2:$P$242,15,FALSE)</f>
        <v>#N/A</v>
      </c>
      <c r="AS275" s="101" t="e">
        <v>#N/A</v>
      </c>
      <c r="AT275" s="101"/>
      <c r="AU275" s="101"/>
      <c r="AV275" s="101"/>
      <c r="AW275" s="101" t="e">
        <f>VLOOKUP(Tabla156[[#This Row],[Matricula nueva]],Hoja2!$A$1:$B$224,2,FALSE)</f>
        <v>#N/A</v>
      </c>
      <c r="AX275" s="101" t="str">
        <f>IF(Tabla156[[#This Row],[Columna2]]="M1",5.1,"")</f>
        <v/>
      </c>
      <c r="AY275" s="101"/>
      <c r="AZ275" s="101"/>
      <c r="BA275" s="311">
        <f>IF(Tabla156[[#This Row],[Columna2]]="M1",13073,IF(Tabla156[[#This Row],[Columna2]]="N1",15815,IF(Tabla156[[#This Row],[Columna2]]="L3e",2831,53508)))</f>
        <v>53508</v>
      </c>
      <c r="BB275" s="311" t="e">
        <f>(Tabla156[[#This Row],[CVA]]*Tabla156[[#This Row],[F]]-Tabla156[[#This Row],[CVN]])/100*Tabla156[[#This Row],[L]]</f>
        <v>#VALUE!</v>
      </c>
      <c r="BC275" s="1"/>
      <c r="BD275" s="1" t="e">
        <f>VLOOKUP(B275,Tabla467824[[ID CAE2]:[AE '[kWh']]],6,FALSE)</f>
        <v>#N/A</v>
      </c>
      <c r="BE27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6" spans="1:57" ht="15.75" hidden="1" thickBot="1" x14ac:dyDescent="0.3">
      <c r="A276" s="53" t="s">
        <v>1478</v>
      </c>
      <c r="B276" s="53" t="e">
        <v>#N/A</v>
      </c>
      <c r="C276" s="100" t="s">
        <v>1479</v>
      </c>
      <c r="D276" s="100"/>
      <c r="E276" s="100"/>
      <c r="F276" s="100"/>
      <c r="G276" s="100"/>
      <c r="H276" s="100"/>
      <c r="I276" s="100"/>
      <c r="J276" s="100"/>
      <c r="K276" s="100" t="s">
        <v>73</v>
      </c>
      <c r="L276" s="100" t="s">
        <v>200</v>
      </c>
      <c r="M276" s="100" t="s">
        <v>201</v>
      </c>
      <c r="N276" s="100" t="s">
        <v>76</v>
      </c>
      <c r="O276" s="100" t="e">
        <f>VLOOKUP(Tabla156[[#This Row],[Matricula Antigua]],BAJA2022202320242025!$B$3:$CR$245,93,FALSE)</f>
        <v>#N/A</v>
      </c>
      <c r="P276" s="315">
        <v>44816</v>
      </c>
      <c r="Q276" s="315" t="e">
        <f>Tabla156[[#This Row],[F.Vig.Final]]-Tabla156[[#This Row],[f Vig Inicio]]</f>
        <v>#N/A</v>
      </c>
      <c r="R276" s="315">
        <f>YEAR(Tabla156[[#This Row],[F.Vig.Final]])</f>
        <v>2022</v>
      </c>
      <c r="S276" s="100" t="s">
        <v>77</v>
      </c>
      <c r="T276" s="100" t="s">
        <v>78</v>
      </c>
      <c r="U276" s="100" t="s">
        <v>359</v>
      </c>
      <c r="V276" s="100" t="s">
        <v>593</v>
      </c>
      <c r="W276" s="100" t="s">
        <v>102</v>
      </c>
      <c r="X276" s="100" t="s">
        <v>103</v>
      </c>
      <c r="Y276" s="100" t="s">
        <v>1480</v>
      </c>
      <c r="Z276" s="98">
        <f>COUNTIF($X$3:X276, X276)</f>
        <v>2</v>
      </c>
      <c r="AA276" s="98"/>
      <c r="AB276" s="98"/>
      <c r="AC276" s="98"/>
      <c r="AD276" s="98"/>
      <c r="AE276" s="98"/>
      <c r="AF276" s="98"/>
      <c r="AG276" s="98"/>
      <c r="AH276" s="98"/>
      <c r="AI276" s="98" t="e">
        <v>#N/A</v>
      </c>
      <c r="AJ276" s="98" t="e">
        <v>#N/A</v>
      </c>
      <c r="AK276" s="98" t="e">
        <v>#N/A</v>
      </c>
      <c r="AL276" s="98" t="e">
        <v>#N/A</v>
      </c>
      <c r="AM276" s="98" t="e">
        <v>#N/A</v>
      </c>
      <c r="AN276" s="99" t="e">
        <v>#N/A</v>
      </c>
      <c r="AO276" s="99" t="e">
        <v>#N/A</v>
      </c>
      <c r="AP276" s="99" t="e">
        <f>Tabla156[[#This Row],[Renov. Flota]]-Tabla156[[#This Row],[Año]]</f>
        <v>#N/A</v>
      </c>
      <c r="AQ276" s="100" t="e">
        <v>#N/A</v>
      </c>
      <c r="AR276" s="100" t="e">
        <f>VLOOKUP(Tabla156[[#This Row],[Matricula nueva]],'ALTA 20242025'!$B$2:$P$242,15,FALSE)</f>
        <v>#N/A</v>
      </c>
      <c r="AS276" s="101" t="e">
        <v>#N/A</v>
      </c>
      <c r="AT276" s="101"/>
      <c r="AU276" s="101"/>
      <c r="AV276" s="101"/>
      <c r="AW276" s="101" t="e">
        <f>VLOOKUP(Tabla156[[#This Row],[Matricula nueva]],Hoja2!$A$1:$B$224,2,FALSE)</f>
        <v>#N/A</v>
      </c>
      <c r="AX276" s="101" t="str">
        <f>IF(Tabla156[[#This Row],[Columna2]]="M1",5.1,"")</f>
        <v/>
      </c>
      <c r="AY276" s="101"/>
      <c r="AZ276" s="101"/>
      <c r="BA276" s="311">
        <f>IF(Tabla156[[#This Row],[Columna2]]="M1",13073,IF(Tabla156[[#This Row],[Columna2]]="N1",15815,IF(Tabla156[[#This Row],[Columna2]]="L3e",2831,53508)))</f>
        <v>53508</v>
      </c>
      <c r="BB276" s="311" t="e">
        <f>(Tabla156[[#This Row],[CVA]]*Tabla156[[#This Row],[F]]-Tabla156[[#This Row],[CVN]])/100*Tabla156[[#This Row],[L]]</f>
        <v>#VALUE!</v>
      </c>
      <c r="BC276" s="1"/>
      <c r="BD276" s="1" t="e">
        <f>VLOOKUP(B276,Tabla467824[[ID CAE2]:[AE '[kWh']]],6,FALSE)</f>
        <v>#N/A</v>
      </c>
      <c r="BE27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7" spans="1:57" ht="15.75" hidden="1" thickBot="1" x14ac:dyDescent="0.3">
      <c r="A277" s="53" t="s">
        <v>1481</v>
      </c>
      <c r="B277" s="53" t="e">
        <v>#N/A</v>
      </c>
      <c r="C277" s="100" t="s">
        <v>1482</v>
      </c>
      <c r="D277" s="100"/>
      <c r="E277" s="100"/>
      <c r="F277" s="100"/>
      <c r="G277" s="100"/>
      <c r="H277" s="100"/>
      <c r="I277" s="100"/>
      <c r="J277" s="100"/>
      <c r="K277" s="100" t="s">
        <v>73</v>
      </c>
      <c r="L277" s="100" t="s">
        <v>200</v>
      </c>
      <c r="M277" s="100" t="s">
        <v>201</v>
      </c>
      <c r="N277" s="100" t="s">
        <v>76</v>
      </c>
      <c r="O277" s="100" t="e">
        <f>VLOOKUP(Tabla156[[#This Row],[Matricula Antigua]],BAJA2022202320242025!$B$3:$CR$245,93,FALSE)</f>
        <v>#N/A</v>
      </c>
      <c r="P277" s="315">
        <v>44787</v>
      </c>
      <c r="Q277" s="315" t="e">
        <f>Tabla156[[#This Row],[F.Vig.Final]]-Tabla156[[#This Row],[f Vig Inicio]]</f>
        <v>#N/A</v>
      </c>
      <c r="R277" s="315">
        <f>YEAR(Tabla156[[#This Row],[F.Vig.Final]])</f>
        <v>2022</v>
      </c>
      <c r="S277" s="100" t="s">
        <v>77</v>
      </c>
      <c r="T277" s="100" t="s">
        <v>674</v>
      </c>
      <c r="U277" s="100" t="s">
        <v>359</v>
      </c>
      <c r="V277" s="100" t="s">
        <v>675</v>
      </c>
      <c r="W277" s="100" t="s">
        <v>584</v>
      </c>
      <c r="X277" s="100" t="s">
        <v>585</v>
      </c>
      <c r="Y277" s="100" t="s">
        <v>980</v>
      </c>
      <c r="Z277" s="98">
        <f>COUNTIF($X$3:X277, X277)</f>
        <v>20</v>
      </c>
      <c r="AA277" s="98"/>
      <c r="AB277" s="98"/>
      <c r="AC277" s="98"/>
      <c r="AD277" s="98"/>
      <c r="AE277" s="98"/>
      <c r="AF277" s="98"/>
      <c r="AG277" s="98"/>
      <c r="AH277" s="98"/>
      <c r="AI277" s="98" t="e">
        <v>#N/A</v>
      </c>
      <c r="AJ277" s="98" t="e">
        <v>#N/A</v>
      </c>
      <c r="AK277" s="98" t="e">
        <v>#N/A</v>
      </c>
      <c r="AL277" s="98" t="e">
        <v>#N/A</v>
      </c>
      <c r="AM277" s="98" t="e">
        <v>#N/A</v>
      </c>
      <c r="AN277" s="99" t="e">
        <v>#N/A</v>
      </c>
      <c r="AO277" s="99" t="e">
        <v>#N/A</v>
      </c>
      <c r="AP277" s="99" t="e">
        <f>Tabla156[[#This Row],[Renov. Flota]]-Tabla156[[#This Row],[Año]]</f>
        <v>#N/A</v>
      </c>
      <c r="AQ277" s="100" t="e">
        <v>#N/A</v>
      </c>
      <c r="AR277" s="100" t="e">
        <f>VLOOKUP(Tabla156[[#This Row],[Matricula nueva]],'ALTA 20242025'!$B$2:$P$242,15,FALSE)</f>
        <v>#N/A</v>
      </c>
      <c r="AS277" s="101" t="e">
        <v>#N/A</v>
      </c>
      <c r="AT277" s="101"/>
      <c r="AU277" s="101"/>
      <c r="AV277" s="101"/>
      <c r="AW277" s="101" t="e">
        <f>VLOOKUP(Tabla156[[#This Row],[Matricula nueva]],Hoja2!$A$1:$B$224,2,FALSE)</f>
        <v>#N/A</v>
      </c>
      <c r="AX277" s="101" t="str">
        <f>IF(Tabla156[[#This Row],[Columna2]]="M1",5.1,"")</f>
        <v/>
      </c>
      <c r="AY277" s="101"/>
      <c r="AZ277" s="101"/>
      <c r="BA277" s="311">
        <f>IF(Tabla156[[#This Row],[Columna2]]="M1",13073,IF(Tabla156[[#This Row],[Columna2]]="N1",15815,IF(Tabla156[[#This Row],[Columna2]]="L3e",2831,53508)))</f>
        <v>53508</v>
      </c>
      <c r="BB277" s="311" t="e">
        <f>(Tabla156[[#This Row],[CVA]]*Tabla156[[#This Row],[F]]-Tabla156[[#This Row],[CVN]])/100*Tabla156[[#This Row],[L]]</f>
        <v>#VALUE!</v>
      </c>
      <c r="BC277" s="1"/>
      <c r="BD277" s="1" t="e">
        <f>VLOOKUP(B277,Tabla467824[[ID CAE2]:[AE '[kWh']]],6,FALSE)</f>
        <v>#N/A</v>
      </c>
      <c r="BE27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8" spans="1:57" ht="15.75" hidden="1" thickBot="1" x14ac:dyDescent="0.3">
      <c r="A278" s="53" t="s">
        <v>1483</v>
      </c>
      <c r="B278" s="53" t="e">
        <v>#N/A</v>
      </c>
      <c r="C278" s="100" t="s">
        <v>1484</v>
      </c>
      <c r="D278" s="100"/>
      <c r="E278" s="100"/>
      <c r="F278" s="100"/>
      <c r="G278" s="100"/>
      <c r="H278" s="100"/>
      <c r="I278" s="100"/>
      <c r="J278" s="100"/>
      <c r="K278" s="100" t="s">
        <v>1034</v>
      </c>
      <c r="L278" s="100" t="s">
        <v>200</v>
      </c>
      <c r="M278" s="100" t="s">
        <v>201</v>
      </c>
      <c r="N278" s="100" t="s">
        <v>76</v>
      </c>
      <c r="O278" s="100" t="e">
        <f>VLOOKUP(Tabla156[[#This Row],[Matricula Antigua]],BAJA2022202320242025!$B$3:$CR$245,93,FALSE)</f>
        <v>#N/A</v>
      </c>
      <c r="P278" s="315">
        <v>44818</v>
      </c>
      <c r="Q278" s="315" t="e">
        <f>Tabla156[[#This Row],[F.Vig.Final]]-Tabla156[[#This Row],[f Vig Inicio]]</f>
        <v>#N/A</v>
      </c>
      <c r="R278" s="315">
        <f>YEAR(Tabla156[[#This Row],[F.Vig.Final]])</f>
        <v>2022</v>
      </c>
      <c r="S278" s="100" t="s">
        <v>77</v>
      </c>
      <c r="T278" s="100" t="s">
        <v>674</v>
      </c>
      <c r="U278" s="100" t="s">
        <v>1348</v>
      </c>
      <c r="V278" s="100" t="s">
        <v>1472</v>
      </c>
      <c r="W278" s="100" t="s">
        <v>336</v>
      </c>
      <c r="X278" s="100" t="s">
        <v>337</v>
      </c>
      <c r="Y278" s="100" t="s">
        <v>1430</v>
      </c>
      <c r="Z278" s="98">
        <f>COUNTIF($X$3:X278, X278)</f>
        <v>27</v>
      </c>
      <c r="AA278" s="98"/>
      <c r="AB278" s="98"/>
      <c r="AC278" s="98"/>
      <c r="AD278" s="98"/>
      <c r="AE278" s="98"/>
      <c r="AF278" s="98"/>
      <c r="AG278" s="98"/>
      <c r="AH278" s="98"/>
      <c r="AI278" s="98" t="e">
        <v>#N/A</v>
      </c>
      <c r="AJ278" s="98" t="e">
        <v>#N/A</v>
      </c>
      <c r="AK278" s="98" t="e">
        <v>#N/A</v>
      </c>
      <c r="AL278" s="98" t="e">
        <v>#N/A</v>
      </c>
      <c r="AM278" s="98" t="e">
        <v>#N/A</v>
      </c>
      <c r="AN278" s="99" t="e">
        <v>#N/A</v>
      </c>
      <c r="AO278" s="99" t="e">
        <v>#N/A</v>
      </c>
      <c r="AP278" s="99" t="e">
        <f>Tabla156[[#This Row],[Renov. Flota]]-Tabla156[[#This Row],[Año]]</f>
        <v>#N/A</v>
      </c>
      <c r="AQ278" s="100" t="e">
        <v>#N/A</v>
      </c>
      <c r="AR278" s="100" t="e">
        <f>VLOOKUP(Tabla156[[#This Row],[Matricula nueva]],'ALTA 20242025'!$B$2:$P$242,15,FALSE)</f>
        <v>#N/A</v>
      </c>
      <c r="AS278" s="101" t="e">
        <v>#N/A</v>
      </c>
      <c r="AT278" s="101"/>
      <c r="AU278" s="101"/>
      <c r="AV278" s="101"/>
      <c r="AW278" s="101" t="e">
        <f>VLOOKUP(Tabla156[[#This Row],[Matricula nueva]],Hoja2!$A$1:$B$224,2,FALSE)</f>
        <v>#N/A</v>
      </c>
      <c r="AX278" s="101" t="str">
        <f>IF(Tabla156[[#This Row],[Columna2]]="M1",5.1,"")</f>
        <v/>
      </c>
      <c r="AY278" s="101"/>
      <c r="AZ278" s="101"/>
      <c r="BA278" s="311">
        <f>IF(Tabla156[[#This Row],[Columna2]]="M1",13073,IF(Tabla156[[#This Row],[Columna2]]="N1",15815,IF(Tabla156[[#This Row],[Columna2]]="L3e",2831,53508)))</f>
        <v>53508</v>
      </c>
      <c r="BB278" s="311" t="e">
        <f>(Tabla156[[#This Row],[CVA]]*Tabla156[[#This Row],[F]]-Tabla156[[#This Row],[CVN]])/100*Tabla156[[#This Row],[L]]</f>
        <v>#VALUE!</v>
      </c>
      <c r="BC278" s="1"/>
      <c r="BD278" s="1" t="e">
        <f>VLOOKUP(B278,Tabla467824[[ID CAE2]:[AE '[kWh']]],6,FALSE)</f>
        <v>#N/A</v>
      </c>
      <c r="BE27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79" spans="1:57" ht="15.75" hidden="1" thickBot="1" x14ac:dyDescent="0.3">
      <c r="A279" s="53" t="s">
        <v>1485</v>
      </c>
      <c r="B279" s="53" t="e">
        <v>#N/A</v>
      </c>
      <c r="C279" s="100" t="s">
        <v>1486</v>
      </c>
      <c r="D279" s="100"/>
      <c r="E279" s="100"/>
      <c r="F279" s="100"/>
      <c r="G279" s="100"/>
      <c r="H279" s="100"/>
      <c r="I279" s="100"/>
      <c r="J279" s="100"/>
      <c r="K279" s="100" t="s">
        <v>73</v>
      </c>
      <c r="L279" s="100" t="s">
        <v>200</v>
      </c>
      <c r="M279" s="100" t="s">
        <v>201</v>
      </c>
      <c r="N279" s="100" t="s">
        <v>76</v>
      </c>
      <c r="O279" s="100" t="e">
        <f>VLOOKUP(Tabla156[[#This Row],[Matricula Antigua]],BAJA2022202320242025!$B$3:$CR$245,93,FALSE)</f>
        <v>#N/A</v>
      </c>
      <c r="P279" s="315">
        <v>44703</v>
      </c>
      <c r="Q279" s="315" t="e">
        <f>Tabla156[[#This Row],[F.Vig.Final]]-Tabla156[[#This Row],[f Vig Inicio]]</f>
        <v>#N/A</v>
      </c>
      <c r="R279" s="315">
        <f>YEAR(Tabla156[[#This Row],[F.Vig.Final]])</f>
        <v>2022</v>
      </c>
      <c r="S279" s="100" t="s">
        <v>77</v>
      </c>
      <c r="T279" s="100" t="s">
        <v>78</v>
      </c>
      <c r="U279" s="100" t="s">
        <v>359</v>
      </c>
      <c r="V279" s="100" t="s">
        <v>593</v>
      </c>
      <c r="W279" s="100" t="s">
        <v>102</v>
      </c>
      <c r="X279" s="100" t="s">
        <v>103</v>
      </c>
      <c r="Y279" s="100" t="s">
        <v>1487</v>
      </c>
      <c r="Z279" s="98">
        <f>COUNTIF($X$3:X279, X279)</f>
        <v>3</v>
      </c>
      <c r="AA279" s="98"/>
      <c r="AB279" s="98"/>
      <c r="AC279" s="98"/>
      <c r="AD279" s="98"/>
      <c r="AE279" s="98"/>
      <c r="AF279" s="98"/>
      <c r="AG279" s="98"/>
      <c r="AH279" s="98"/>
      <c r="AI279" s="98" t="e">
        <v>#N/A</v>
      </c>
      <c r="AJ279" s="98" t="e">
        <v>#N/A</v>
      </c>
      <c r="AK279" s="98" t="e">
        <v>#N/A</v>
      </c>
      <c r="AL279" s="98" t="e">
        <v>#N/A</v>
      </c>
      <c r="AM279" s="98" t="e">
        <v>#N/A</v>
      </c>
      <c r="AN279" s="99" t="e">
        <v>#N/A</v>
      </c>
      <c r="AO279" s="99" t="e">
        <v>#N/A</v>
      </c>
      <c r="AP279" s="99" t="e">
        <f>Tabla156[[#This Row],[Renov. Flota]]-Tabla156[[#This Row],[Año]]</f>
        <v>#N/A</v>
      </c>
      <c r="AQ279" s="100" t="e">
        <v>#N/A</v>
      </c>
      <c r="AR279" s="100" t="e">
        <f>VLOOKUP(Tabla156[[#This Row],[Matricula nueva]],'ALTA 20242025'!$B$2:$P$242,15,FALSE)</f>
        <v>#N/A</v>
      </c>
      <c r="AS279" s="101" t="e">
        <v>#N/A</v>
      </c>
      <c r="AT279" s="101"/>
      <c r="AU279" s="101"/>
      <c r="AV279" s="101"/>
      <c r="AW279" s="101" t="e">
        <f>VLOOKUP(Tabla156[[#This Row],[Matricula nueva]],Hoja2!$A$1:$B$224,2,FALSE)</f>
        <v>#N/A</v>
      </c>
      <c r="AX279" s="101" t="str">
        <f>IF(Tabla156[[#This Row],[Columna2]]="M1",5.1,"")</f>
        <v/>
      </c>
      <c r="AY279" s="101"/>
      <c r="AZ279" s="101"/>
      <c r="BA279" s="311">
        <f>IF(Tabla156[[#This Row],[Columna2]]="M1",13073,IF(Tabla156[[#This Row],[Columna2]]="N1",15815,IF(Tabla156[[#This Row],[Columna2]]="L3e",2831,53508)))</f>
        <v>53508</v>
      </c>
      <c r="BB279" s="311" t="e">
        <f>(Tabla156[[#This Row],[CVA]]*Tabla156[[#This Row],[F]]-Tabla156[[#This Row],[CVN]])/100*Tabla156[[#This Row],[L]]</f>
        <v>#VALUE!</v>
      </c>
      <c r="BC279" s="1"/>
      <c r="BD279" s="1" t="e">
        <f>VLOOKUP(B279,Tabla467824[[ID CAE2]:[AE '[kWh']]],6,FALSE)</f>
        <v>#N/A</v>
      </c>
      <c r="BE27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0" spans="1:57" ht="15.75" hidden="1" thickBot="1" x14ac:dyDescent="0.3">
      <c r="A280" s="53" t="s">
        <v>1488</v>
      </c>
      <c r="B280" s="53" t="e">
        <v>#N/A</v>
      </c>
      <c r="C280" s="100" t="s">
        <v>1489</v>
      </c>
      <c r="D280" s="100"/>
      <c r="E280" s="100"/>
      <c r="F280" s="100"/>
      <c r="G280" s="100"/>
      <c r="H280" s="100"/>
      <c r="I280" s="100"/>
      <c r="J280" s="100"/>
      <c r="K280" s="100" t="s">
        <v>73</v>
      </c>
      <c r="L280" s="100" t="s">
        <v>200</v>
      </c>
      <c r="M280" s="100" t="s">
        <v>201</v>
      </c>
      <c r="N280" s="100" t="s">
        <v>76</v>
      </c>
      <c r="O280" s="100" t="e">
        <f>VLOOKUP(Tabla156[[#This Row],[Matricula Antigua]],BAJA2022202320242025!$B$3:$CR$245,93,FALSE)</f>
        <v>#N/A</v>
      </c>
      <c r="P280" s="315">
        <v>44716</v>
      </c>
      <c r="Q280" s="315" t="e">
        <f>Tabla156[[#This Row],[F.Vig.Final]]-Tabla156[[#This Row],[f Vig Inicio]]</f>
        <v>#N/A</v>
      </c>
      <c r="R280" s="315">
        <f>YEAR(Tabla156[[#This Row],[F.Vig.Final]])</f>
        <v>2022</v>
      </c>
      <c r="S280" s="100" t="s">
        <v>77</v>
      </c>
      <c r="T280" s="100" t="s">
        <v>78</v>
      </c>
      <c r="U280" s="100" t="s">
        <v>359</v>
      </c>
      <c r="V280" s="100" t="s">
        <v>593</v>
      </c>
      <c r="W280" s="100" t="s">
        <v>102</v>
      </c>
      <c r="X280" s="100" t="s">
        <v>103</v>
      </c>
      <c r="Y280" s="100" t="s">
        <v>115</v>
      </c>
      <c r="Z280" s="98">
        <f>COUNTIF($X$3:X280, X280)</f>
        <v>4</v>
      </c>
      <c r="AA280" s="98"/>
      <c r="AB280" s="98"/>
      <c r="AC280" s="98"/>
      <c r="AD280" s="98"/>
      <c r="AE280" s="98"/>
      <c r="AF280" s="98"/>
      <c r="AG280" s="98"/>
      <c r="AH280" s="98"/>
      <c r="AI280" s="98" t="e">
        <v>#N/A</v>
      </c>
      <c r="AJ280" s="98" t="e">
        <v>#N/A</v>
      </c>
      <c r="AK280" s="98" t="e">
        <v>#N/A</v>
      </c>
      <c r="AL280" s="98" t="e">
        <v>#N/A</v>
      </c>
      <c r="AM280" s="98" t="e">
        <v>#N/A</v>
      </c>
      <c r="AN280" s="99" t="e">
        <v>#N/A</v>
      </c>
      <c r="AO280" s="99" t="e">
        <v>#N/A</v>
      </c>
      <c r="AP280" s="99" t="e">
        <f>Tabla156[[#This Row],[Renov. Flota]]-Tabla156[[#This Row],[Año]]</f>
        <v>#N/A</v>
      </c>
      <c r="AQ280" s="100" t="e">
        <v>#N/A</v>
      </c>
      <c r="AR280" s="100" t="e">
        <f>VLOOKUP(Tabla156[[#This Row],[Matricula nueva]],'ALTA 20242025'!$B$2:$P$242,15,FALSE)</f>
        <v>#N/A</v>
      </c>
      <c r="AS280" s="101" t="e">
        <v>#N/A</v>
      </c>
      <c r="AT280" s="101"/>
      <c r="AU280" s="101"/>
      <c r="AV280" s="101"/>
      <c r="AW280" s="101" t="e">
        <f>VLOOKUP(Tabla156[[#This Row],[Matricula nueva]],Hoja2!$A$1:$B$224,2,FALSE)</f>
        <v>#N/A</v>
      </c>
      <c r="AX280" s="101" t="str">
        <f>IF(Tabla156[[#This Row],[Columna2]]="M1",5.1,"")</f>
        <v/>
      </c>
      <c r="AY280" s="101"/>
      <c r="AZ280" s="101"/>
      <c r="BA280" s="311">
        <f>IF(Tabla156[[#This Row],[Columna2]]="M1",13073,IF(Tabla156[[#This Row],[Columna2]]="N1",15815,IF(Tabla156[[#This Row],[Columna2]]="L3e",2831,53508)))</f>
        <v>53508</v>
      </c>
      <c r="BB280" s="311" t="e">
        <f>(Tabla156[[#This Row],[CVA]]*Tabla156[[#This Row],[F]]-Tabla156[[#This Row],[CVN]])/100*Tabla156[[#This Row],[L]]</f>
        <v>#VALUE!</v>
      </c>
      <c r="BC280" s="1"/>
      <c r="BD280" s="1" t="e">
        <f>VLOOKUP(B280,Tabla467824[[ID CAE2]:[AE '[kWh']]],6,FALSE)</f>
        <v>#N/A</v>
      </c>
      <c r="BE28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1" spans="1:57" ht="15.75" hidden="1" thickBot="1" x14ac:dyDescent="0.3">
      <c r="A281" s="53" t="s">
        <v>1490</v>
      </c>
      <c r="B281" s="53" t="e">
        <v>#N/A</v>
      </c>
      <c r="C281" s="100" t="s">
        <v>1491</v>
      </c>
      <c r="D281" s="100"/>
      <c r="E281" s="100"/>
      <c r="F281" s="100"/>
      <c r="G281" s="100"/>
      <c r="H281" s="100"/>
      <c r="I281" s="100"/>
      <c r="J281" s="100"/>
      <c r="K281" s="100" t="s">
        <v>73</v>
      </c>
      <c r="L281" s="100" t="s">
        <v>200</v>
      </c>
      <c r="M281" s="100" t="s">
        <v>201</v>
      </c>
      <c r="N281" s="100" t="s">
        <v>76</v>
      </c>
      <c r="O281" s="100" t="e">
        <f>VLOOKUP(Tabla156[[#This Row],[Matricula Antigua]],BAJA2022202320242025!$B$3:$CR$245,93,FALSE)</f>
        <v>#N/A</v>
      </c>
      <c r="P281" s="315">
        <v>44703</v>
      </c>
      <c r="Q281" s="315" t="e">
        <f>Tabla156[[#This Row],[F.Vig.Final]]-Tabla156[[#This Row],[f Vig Inicio]]</f>
        <v>#N/A</v>
      </c>
      <c r="R281" s="315">
        <f>YEAR(Tabla156[[#This Row],[F.Vig.Final]])</f>
        <v>2022</v>
      </c>
      <c r="S281" s="100" t="s">
        <v>77</v>
      </c>
      <c r="T281" s="100" t="s">
        <v>78</v>
      </c>
      <c r="U281" s="100" t="s">
        <v>359</v>
      </c>
      <c r="V281" s="100" t="s">
        <v>593</v>
      </c>
      <c r="W281" s="100" t="s">
        <v>102</v>
      </c>
      <c r="X281" s="100" t="s">
        <v>103</v>
      </c>
      <c r="Y281" s="100" t="s">
        <v>115</v>
      </c>
      <c r="Z281" s="98">
        <f>COUNTIF($X$3:X281, X281)</f>
        <v>5</v>
      </c>
      <c r="AA281" s="98"/>
      <c r="AB281" s="98"/>
      <c r="AC281" s="98"/>
      <c r="AD281" s="98"/>
      <c r="AE281" s="98"/>
      <c r="AF281" s="98"/>
      <c r="AG281" s="98"/>
      <c r="AH281" s="98"/>
      <c r="AI281" s="98" t="e">
        <v>#N/A</v>
      </c>
      <c r="AJ281" s="98" t="e">
        <v>#N/A</v>
      </c>
      <c r="AK281" s="98" t="e">
        <v>#N/A</v>
      </c>
      <c r="AL281" s="98" t="e">
        <v>#N/A</v>
      </c>
      <c r="AM281" s="98" t="e">
        <v>#N/A</v>
      </c>
      <c r="AN281" s="99" t="e">
        <v>#N/A</v>
      </c>
      <c r="AO281" s="99" t="e">
        <v>#N/A</v>
      </c>
      <c r="AP281" s="99" t="e">
        <f>Tabla156[[#This Row],[Renov. Flota]]-Tabla156[[#This Row],[Año]]</f>
        <v>#N/A</v>
      </c>
      <c r="AQ281" s="100" t="e">
        <v>#N/A</v>
      </c>
      <c r="AR281" s="100" t="e">
        <f>VLOOKUP(Tabla156[[#This Row],[Matricula nueva]],'ALTA 20242025'!$B$2:$P$242,15,FALSE)</f>
        <v>#N/A</v>
      </c>
      <c r="AS281" s="101" t="e">
        <v>#N/A</v>
      </c>
      <c r="AT281" s="101"/>
      <c r="AU281" s="101"/>
      <c r="AV281" s="101"/>
      <c r="AW281" s="101" t="e">
        <f>VLOOKUP(Tabla156[[#This Row],[Matricula nueva]],Hoja2!$A$1:$B$224,2,FALSE)</f>
        <v>#N/A</v>
      </c>
      <c r="AX281" s="101" t="str">
        <f>IF(Tabla156[[#This Row],[Columna2]]="M1",5.1,"")</f>
        <v/>
      </c>
      <c r="AY281" s="101"/>
      <c r="AZ281" s="101"/>
      <c r="BA281" s="311">
        <f>IF(Tabla156[[#This Row],[Columna2]]="M1",13073,IF(Tabla156[[#This Row],[Columna2]]="N1",15815,IF(Tabla156[[#This Row],[Columna2]]="L3e",2831,53508)))</f>
        <v>53508</v>
      </c>
      <c r="BB281" s="311" t="e">
        <f>(Tabla156[[#This Row],[CVA]]*Tabla156[[#This Row],[F]]-Tabla156[[#This Row],[CVN]])/100*Tabla156[[#This Row],[L]]</f>
        <v>#VALUE!</v>
      </c>
      <c r="BC281" s="1"/>
      <c r="BD281" s="1" t="e">
        <f>VLOOKUP(B281,Tabla467824[[ID CAE2]:[AE '[kWh']]],6,FALSE)</f>
        <v>#N/A</v>
      </c>
      <c r="BE28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2" spans="1:57" ht="15.75" hidden="1" thickBot="1" x14ac:dyDescent="0.3">
      <c r="A282" s="101"/>
      <c r="B282" s="53" t="e">
        <v>#N/A</v>
      </c>
      <c r="C282" s="100" t="s">
        <v>1492</v>
      </c>
      <c r="D282" s="100"/>
      <c r="E282" s="100"/>
      <c r="F282" s="100"/>
      <c r="G282" s="100"/>
      <c r="H282" s="100"/>
      <c r="I282" s="100"/>
      <c r="J282" s="100"/>
      <c r="K282" s="100" t="s">
        <v>73</v>
      </c>
      <c r="L282" s="100" t="s">
        <v>200</v>
      </c>
      <c r="M282" s="100" t="s">
        <v>201</v>
      </c>
      <c r="N282" s="100" t="s">
        <v>76</v>
      </c>
      <c r="O282" s="100" t="e">
        <f>VLOOKUP(Tabla156[[#This Row],[Matricula Antigua]],BAJA2022202320242025!$B$3:$CR$245,93,FALSE)</f>
        <v>#N/A</v>
      </c>
      <c r="P282" s="315">
        <v>44703</v>
      </c>
      <c r="Q282" s="315" t="e">
        <f>Tabla156[[#This Row],[F.Vig.Final]]-Tabla156[[#This Row],[f Vig Inicio]]</f>
        <v>#N/A</v>
      </c>
      <c r="R282" s="315">
        <f>YEAR(Tabla156[[#This Row],[F.Vig.Final]])</f>
        <v>2022</v>
      </c>
      <c r="S282" s="100" t="s">
        <v>77</v>
      </c>
      <c r="T282" s="100" t="s">
        <v>78</v>
      </c>
      <c r="U282" s="100" t="s">
        <v>359</v>
      </c>
      <c r="V282" s="100" t="s">
        <v>593</v>
      </c>
      <c r="W282" s="100" t="s">
        <v>102</v>
      </c>
      <c r="X282" s="100" t="s">
        <v>103</v>
      </c>
      <c r="Y282" s="100" t="s">
        <v>115</v>
      </c>
      <c r="Z282" s="98">
        <f>COUNTIF($X$3:X282, X282)</f>
        <v>6</v>
      </c>
      <c r="AA282" s="98"/>
      <c r="AB282" s="98"/>
      <c r="AC282" s="98"/>
      <c r="AD282" s="98"/>
      <c r="AE282" s="98"/>
      <c r="AF282" s="98"/>
      <c r="AG282" s="98"/>
      <c r="AH282" s="98"/>
      <c r="AI282" s="98" t="e">
        <v>#N/A</v>
      </c>
      <c r="AJ282" s="98" t="e">
        <v>#N/A</v>
      </c>
      <c r="AK282" s="98" t="e">
        <v>#N/A</v>
      </c>
      <c r="AL282" s="98" t="e">
        <v>#N/A</v>
      </c>
      <c r="AM282" s="98" t="e">
        <v>#N/A</v>
      </c>
      <c r="AN282" s="99" t="e">
        <v>#N/A</v>
      </c>
      <c r="AO282" s="99" t="e">
        <v>#N/A</v>
      </c>
      <c r="AP282" s="99" t="e">
        <f>Tabla156[[#This Row],[Renov. Flota]]-Tabla156[[#This Row],[Año]]</f>
        <v>#N/A</v>
      </c>
      <c r="AQ282" s="100" t="e">
        <v>#N/A</v>
      </c>
      <c r="AR282" s="100" t="e">
        <f>VLOOKUP(Tabla156[[#This Row],[Matricula nueva]],'ALTA 20242025'!$B$2:$P$242,15,FALSE)</f>
        <v>#N/A</v>
      </c>
      <c r="AS282" s="101" t="e">
        <v>#N/A</v>
      </c>
      <c r="AT282" s="101"/>
      <c r="AU282" s="101"/>
      <c r="AV282" s="101"/>
      <c r="AW282" s="101" t="e">
        <f>VLOOKUP(Tabla156[[#This Row],[Matricula nueva]],Hoja2!$A$1:$B$224,2,FALSE)</f>
        <v>#N/A</v>
      </c>
      <c r="AX282" s="101" t="str">
        <f>IF(Tabla156[[#This Row],[Columna2]]="M1",5.1,"")</f>
        <v/>
      </c>
      <c r="AY282" s="101"/>
      <c r="AZ282" s="101"/>
      <c r="BA282" s="311">
        <f>IF(Tabla156[[#This Row],[Columna2]]="M1",13073,IF(Tabla156[[#This Row],[Columna2]]="N1",15815,IF(Tabla156[[#This Row],[Columna2]]="L3e",2831,53508)))</f>
        <v>53508</v>
      </c>
      <c r="BB282" s="311" t="e">
        <f>(Tabla156[[#This Row],[CVA]]*Tabla156[[#This Row],[F]]-Tabla156[[#This Row],[CVN]])/100*Tabla156[[#This Row],[L]]</f>
        <v>#VALUE!</v>
      </c>
      <c r="BC282" s="1"/>
      <c r="BD282" s="1" t="e">
        <f>VLOOKUP(B282,Tabla467824[[ID CAE2]:[AE '[kWh']]],6,FALSE)</f>
        <v>#N/A</v>
      </c>
      <c r="BE28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3" spans="1:57" ht="15.75" hidden="1" thickBot="1" x14ac:dyDescent="0.3">
      <c r="A283" s="101"/>
      <c r="B283" s="53" t="e">
        <v>#N/A</v>
      </c>
      <c r="C283" s="100" t="s">
        <v>1493</v>
      </c>
      <c r="D283" s="100"/>
      <c r="E283" s="100"/>
      <c r="F283" s="100"/>
      <c r="G283" s="100"/>
      <c r="H283" s="100"/>
      <c r="I283" s="100"/>
      <c r="J283" s="100"/>
      <c r="K283" s="100" t="s">
        <v>73</v>
      </c>
      <c r="L283" s="100" t="s">
        <v>200</v>
      </c>
      <c r="M283" s="100" t="s">
        <v>201</v>
      </c>
      <c r="N283" s="100" t="s">
        <v>76</v>
      </c>
      <c r="O283" s="100" t="e">
        <f>VLOOKUP(Tabla156[[#This Row],[Matricula Antigua]],BAJA2022202320242025!$B$3:$CR$245,93,FALSE)</f>
        <v>#N/A</v>
      </c>
      <c r="P283" s="315">
        <v>44711</v>
      </c>
      <c r="Q283" s="315" t="e">
        <f>Tabla156[[#This Row],[F.Vig.Final]]-Tabla156[[#This Row],[f Vig Inicio]]</f>
        <v>#N/A</v>
      </c>
      <c r="R283" s="315">
        <f>YEAR(Tabla156[[#This Row],[F.Vig.Final]])</f>
        <v>2022</v>
      </c>
      <c r="S283" s="100" t="s">
        <v>77</v>
      </c>
      <c r="T283" s="100" t="s">
        <v>78</v>
      </c>
      <c r="U283" s="100" t="s">
        <v>359</v>
      </c>
      <c r="V283" s="100" t="s">
        <v>593</v>
      </c>
      <c r="W283" s="100" t="s">
        <v>102</v>
      </c>
      <c r="X283" s="100" t="s">
        <v>103</v>
      </c>
      <c r="Y283" s="100" t="s">
        <v>115</v>
      </c>
      <c r="Z283" s="98">
        <f>COUNTIF($X$3:X283, X283)</f>
        <v>7</v>
      </c>
      <c r="AA283" s="98"/>
      <c r="AB283" s="98"/>
      <c r="AC283" s="98"/>
      <c r="AD283" s="98"/>
      <c r="AE283" s="98"/>
      <c r="AF283" s="98"/>
      <c r="AG283" s="98"/>
      <c r="AH283" s="98"/>
      <c r="AI283" s="98" t="e">
        <v>#N/A</v>
      </c>
      <c r="AJ283" s="98" t="e">
        <v>#N/A</v>
      </c>
      <c r="AK283" s="98" t="e">
        <v>#N/A</v>
      </c>
      <c r="AL283" s="98" t="e">
        <v>#N/A</v>
      </c>
      <c r="AM283" s="98" t="e">
        <v>#N/A</v>
      </c>
      <c r="AN283" s="99" t="e">
        <v>#N/A</v>
      </c>
      <c r="AO283" s="99" t="e">
        <v>#N/A</v>
      </c>
      <c r="AP283" s="99" t="e">
        <f>Tabla156[[#This Row],[Renov. Flota]]-Tabla156[[#This Row],[Año]]</f>
        <v>#N/A</v>
      </c>
      <c r="AQ283" s="100" t="e">
        <v>#N/A</v>
      </c>
      <c r="AR283" s="100" t="e">
        <f>VLOOKUP(Tabla156[[#This Row],[Matricula nueva]],'ALTA 20242025'!$B$2:$P$242,15,FALSE)</f>
        <v>#N/A</v>
      </c>
      <c r="AS283" s="101" t="e">
        <v>#N/A</v>
      </c>
      <c r="AT283" s="101"/>
      <c r="AU283" s="101"/>
      <c r="AV283" s="101"/>
      <c r="AW283" s="101" t="e">
        <f>VLOOKUP(Tabla156[[#This Row],[Matricula nueva]],Hoja2!$A$1:$B$224,2,FALSE)</f>
        <v>#N/A</v>
      </c>
      <c r="AX283" s="101" t="str">
        <f>IF(Tabla156[[#This Row],[Columna2]]="M1",5.1,"")</f>
        <v/>
      </c>
      <c r="AY283" s="101"/>
      <c r="AZ283" s="101"/>
      <c r="BA283" s="311">
        <f>IF(Tabla156[[#This Row],[Columna2]]="M1",13073,IF(Tabla156[[#This Row],[Columna2]]="N1",15815,IF(Tabla156[[#This Row],[Columna2]]="L3e",2831,53508)))</f>
        <v>53508</v>
      </c>
      <c r="BB283" s="311" t="e">
        <f>(Tabla156[[#This Row],[CVA]]*Tabla156[[#This Row],[F]]-Tabla156[[#This Row],[CVN]])/100*Tabla156[[#This Row],[L]]</f>
        <v>#VALUE!</v>
      </c>
      <c r="BC283" s="1"/>
      <c r="BD283" s="1" t="e">
        <f>VLOOKUP(B283,Tabla467824[[ID CAE2]:[AE '[kWh']]],6,FALSE)</f>
        <v>#N/A</v>
      </c>
      <c r="BE28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4" spans="1:57" ht="15.75" hidden="1" thickBot="1" x14ac:dyDescent="0.3">
      <c r="A284" s="101"/>
      <c r="B284" s="53" t="e">
        <v>#N/A</v>
      </c>
      <c r="C284" s="100" t="s">
        <v>1494</v>
      </c>
      <c r="D284" s="100"/>
      <c r="E284" s="100"/>
      <c r="F284" s="100"/>
      <c r="G284" s="100"/>
      <c r="H284" s="100"/>
      <c r="I284" s="100"/>
      <c r="J284" s="100"/>
      <c r="K284" s="100" t="s">
        <v>73</v>
      </c>
      <c r="L284" s="100" t="s">
        <v>200</v>
      </c>
      <c r="M284" s="100" t="s">
        <v>201</v>
      </c>
      <c r="N284" s="100" t="s">
        <v>76</v>
      </c>
      <c r="O284" s="100" t="e">
        <f>VLOOKUP(Tabla156[[#This Row],[Matricula Antigua]],BAJA2022202320242025!$B$3:$CR$245,93,FALSE)</f>
        <v>#N/A</v>
      </c>
      <c r="P284" s="315">
        <v>44716</v>
      </c>
      <c r="Q284" s="315" t="e">
        <f>Tabla156[[#This Row],[F.Vig.Final]]-Tabla156[[#This Row],[f Vig Inicio]]</f>
        <v>#N/A</v>
      </c>
      <c r="R284" s="315">
        <f>YEAR(Tabla156[[#This Row],[F.Vig.Final]])</f>
        <v>2022</v>
      </c>
      <c r="S284" s="100" t="s">
        <v>77</v>
      </c>
      <c r="T284" s="100" t="s">
        <v>78</v>
      </c>
      <c r="U284" s="100" t="s">
        <v>359</v>
      </c>
      <c r="V284" s="100" t="s">
        <v>593</v>
      </c>
      <c r="W284" s="100" t="s">
        <v>102</v>
      </c>
      <c r="X284" s="100" t="s">
        <v>103</v>
      </c>
      <c r="Y284" s="100" t="s">
        <v>115</v>
      </c>
      <c r="Z284" s="98">
        <f>COUNTIF($X$3:X284, X284)</f>
        <v>8</v>
      </c>
      <c r="AA284" s="98"/>
      <c r="AB284" s="98"/>
      <c r="AC284" s="98"/>
      <c r="AD284" s="98"/>
      <c r="AE284" s="98"/>
      <c r="AF284" s="98"/>
      <c r="AG284" s="98"/>
      <c r="AH284" s="98"/>
      <c r="AI284" s="98" t="e">
        <v>#N/A</v>
      </c>
      <c r="AJ284" s="98" t="e">
        <v>#N/A</v>
      </c>
      <c r="AK284" s="98" t="e">
        <v>#N/A</v>
      </c>
      <c r="AL284" s="98" t="e">
        <v>#N/A</v>
      </c>
      <c r="AM284" s="98" t="e">
        <v>#N/A</v>
      </c>
      <c r="AN284" s="99" t="e">
        <v>#N/A</v>
      </c>
      <c r="AO284" s="99" t="e">
        <v>#N/A</v>
      </c>
      <c r="AP284" s="99" t="e">
        <f>Tabla156[[#This Row],[Renov. Flota]]-Tabla156[[#This Row],[Año]]</f>
        <v>#N/A</v>
      </c>
      <c r="AQ284" s="100" t="e">
        <v>#N/A</v>
      </c>
      <c r="AR284" s="100" t="e">
        <f>VLOOKUP(Tabla156[[#This Row],[Matricula nueva]],'ALTA 20242025'!$B$2:$P$242,15,FALSE)</f>
        <v>#N/A</v>
      </c>
      <c r="AS284" s="101" t="e">
        <v>#N/A</v>
      </c>
      <c r="AT284" s="101"/>
      <c r="AU284" s="101"/>
      <c r="AV284" s="101"/>
      <c r="AW284" s="101" t="e">
        <f>VLOOKUP(Tabla156[[#This Row],[Matricula nueva]],Hoja2!$A$1:$B$224,2,FALSE)</f>
        <v>#N/A</v>
      </c>
      <c r="AX284" s="101" t="str">
        <f>IF(Tabla156[[#This Row],[Columna2]]="M1",5.1,"")</f>
        <v/>
      </c>
      <c r="AY284" s="101"/>
      <c r="AZ284" s="101"/>
      <c r="BA284" s="311">
        <f>IF(Tabla156[[#This Row],[Columna2]]="M1",13073,IF(Tabla156[[#This Row],[Columna2]]="N1",15815,IF(Tabla156[[#This Row],[Columna2]]="L3e",2831,53508)))</f>
        <v>53508</v>
      </c>
      <c r="BB284" s="311" t="e">
        <f>(Tabla156[[#This Row],[CVA]]*Tabla156[[#This Row],[F]]-Tabla156[[#This Row],[CVN]])/100*Tabla156[[#This Row],[L]]</f>
        <v>#VALUE!</v>
      </c>
      <c r="BC284" s="1"/>
      <c r="BD284" s="1" t="e">
        <f>VLOOKUP(B284,Tabla467824[[ID CAE2]:[AE '[kWh']]],6,FALSE)</f>
        <v>#N/A</v>
      </c>
      <c r="BE28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5" spans="1:57" ht="15.75" hidden="1" thickBot="1" x14ac:dyDescent="0.3">
      <c r="A285" s="101"/>
      <c r="B285" s="53" t="e">
        <v>#N/A</v>
      </c>
      <c r="C285" s="100" t="s">
        <v>1495</v>
      </c>
      <c r="D285" s="100"/>
      <c r="E285" s="100"/>
      <c r="F285" s="100"/>
      <c r="G285" s="100"/>
      <c r="H285" s="100"/>
      <c r="I285" s="100"/>
      <c r="J285" s="100"/>
      <c r="K285" s="100" t="s">
        <v>73</v>
      </c>
      <c r="L285" s="100" t="s">
        <v>200</v>
      </c>
      <c r="M285" s="100" t="s">
        <v>201</v>
      </c>
      <c r="N285" s="100" t="s">
        <v>76</v>
      </c>
      <c r="O285" s="100" t="e">
        <f>VLOOKUP(Tabla156[[#This Row],[Matricula Antigua]],BAJA2022202320242025!$B$3:$CR$245,93,FALSE)</f>
        <v>#N/A</v>
      </c>
      <c r="P285" s="315">
        <v>44716</v>
      </c>
      <c r="Q285" s="315" t="e">
        <f>Tabla156[[#This Row],[F.Vig.Final]]-Tabla156[[#This Row],[f Vig Inicio]]</f>
        <v>#N/A</v>
      </c>
      <c r="R285" s="315">
        <f>YEAR(Tabla156[[#This Row],[F.Vig.Final]])</f>
        <v>2022</v>
      </c>
      <c r="S285" s="100" t="s">
        <v>77</v>
      </c>
      <c r="T285" s="100" t="s">
        <v>78</v>
      </c>
      <c r="U285" s="100" t="s">
        <v>359</v>
      </c>
      <c r="V285" s="100" t="s">
        <v>1496</v>
      </c>
      <c r="W285" s="100" t="s">
        <v>102</v>
      </c>
      <c r="X285" s="100" t="s">
        <v>103</v>
      </c>
      <c r="Y285" s="100" t="s">
        <v>457</v>
      </c>
      <c r="Z285" s="98">
        <f>COUNTIF($X$3:X285, X285)</f>
        <v>9</v>
      </c>
      <c r="AA285" s="98"/>
      <c r="AB285" s="98"/>
      <c r="AC285" s="98"/>
      <c r="AD285" s="98"/>
      <c r="AE285" s="98"/>
      <c r="AF285" s="98"/>
      <c r="AG285" s="98"/>
      <c r="AH285" s="98"/>
      <c r="AI285" s="98" t="e">
        <v>#N/A</v>
      </c>
      <c r="AJ285" s="98" t="e">
        <v>#N/A</v>
      </c>
      <c r="AK285" s="98" t="e">
        <v>#N/A</v>
      </c>
      <c r="AL285" s="98" t="e">
        <v>#N/A</v>
      </c>
      <c r="AM285" s="98" t="e">
        <v>#N/A</v>
      </c>
      <c r="AN285" s="99" t="e">
        <v>#N/A</v>
      </c>
      <c r="AO285" s="99" t="e">
        <v>#N/A</v>
      </c>
      <c r="AP285" s="99" t="e">
        <f>Tabla156[[#This Row],[Renov. Flota]]-Tabla156[[#This Row],[Año]]</f>
        <v>#N/A</v>
      </c>
      <c r="AQ285" s="100" t="e">
        <v>#N/A</v>
      </c>
      <c r="AR285" s="100" t="e">
        <f>VLOOKUP(Tabla156[[#This Row],[Matricula nueva]],'ALTA 20242025'!$B$2:$P$242,15,FALSE)</f>
        <v>#N/A</v>
      </c>
      <c r="AS285" s="101" t="e">
        <v>#N/A</v>
      </c>
      <c r="AT285" s="101"/>
      <c r="AU285" s="101"/>
      <c r="AV285" s="101"/>
      <c r="AW285" s="101" t="e">
        <f>VLOOKUP(Tabla156[[#This Row],[Matricula nueva]],Hoja2!$A$1:$B$224,2,FALSE)</f>
        <v>#N/A</v>
      </c>
      <c r="AX285" s="101" t="str">
        <f>IF(Tabla156[[#This Row],[Columna2]]="M1",5.1,"")</f>
        <v/>
      </c>
      <c r="AY285" s="101"/>
      <c r="AZ285" s="101"/>
      <c r="BA285" s="311">
        <f>IF(Tabla156[[#This Row],[Columna2]]="M1",13073,IF(Tabla156[[#This Row],[Columna2]]="N1",15815,IF(Tabla156[[#This Row],[Columna2]]="L3e",2831,53508)))</f>
        <v>53508</v>
      </c>
      <c r="BB285" s="311" t="e">
        <f>(Tabla156[[#This Row],[CVA]]*Tabla156[[#This Row],[F]]-Tabla156[[#This Row],[CVN]])/100*Tabla156[[#This Row],[L]]</f>
        <v>#VALUE!</v>
      </c>
      <c r="BC285" s="1"/>
      <c r="BD285" s="1" t="e">
        <f>VLOOKUP(B285,Tabla467824[[ID CAE2]:[AE '[kWh']]],6,FALSE)</f>
        <v>#N/A</v>
      </c>
      <c r="BE28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6" spans="1:57" ht="15.75" hidden="1" thickBot="1" x14ac:dyDescent="0.3">
      <c r="A286" s="101"/>
      <c r="B286" s="53" t="e">
        <v>#N/A</v>
      </c>
      <c r="C286" s="100" t="s">
        <v>1497</v>
      </c>
      <c r="D286" s="100"/>
      <c r="E286" s="100"/>
      <c r="F286" s="100"/>
      <c r="G286" s="100"/>
      <c r="H286" s="100"/>
      <c r="I286" s="100"/>
      <c r="J286" s="100"/>
      <c r="K286" s="100" t="s">
        <v>1034</v>
      </c>
      <c r="L286" s="100" t="s">
        <v>200</v>
      </c>
      <c r="M286" s="100" t="s">
        <v>201</v>
      </c>
      <c r="N286" s="100" t="s">
        <v>76</v>
      </c>
      <c r="O286" s="100" t="e">
        <f>VLOOKUP(Tabla156[[#This Row],[Matricula Antigua]],BAJA2022202320242025!$B$3:$CR$245,93,FALSE)</f>
        <v>#N/A</v>
      </c>
      <c r="P286" s="315">
        <v>44823</v>
      </c>
      <c r="Q286" s="315" t="e">
        <f>Tabla156[[#This Row],[F.Vig.Final]]-Tabla156[[#This Row],[f Vig Inicio]]</f>
        <v>#N/A</v>
      </c>
      <c r="R286" s="315">
        <f>YEAR(Tabla156[[#This Row],[F.Vig.Final]])</f>
        <v>2022</v>
      </c>
      <c r="S286" s="100" t="s">
        <v>77</v>
      </c>
      <c r="T286" s="100" t="s">
        <v>78</v>
      </c>
      <c r="U286" s="100" t="s">
        <v>416</v>
      </c>
      <c r="V286" s="100" t="s">
        <v>1498</v>
      </c>
      <c r="W286" s="100" t="s">
        <v>336</v>
      </c>
      <c r="X286" s="100" t="s">
        <v>337</v>
      </c>
      <c r="Y286" s="100" t="s">
        <v>1499</v>
      </c>
      <c r="Z286" s="98">
        <f>COUNTIF($X$3:X286, X286)</f>
        <v>28</v>
      </c>
      <c r="AA286" s="98"/>
      <c r="AB286" s="98"/>
      <c r="AC286" s="98"/>
      <c r="AD286" s="98"/>
      <c r="AE286" s="98"/>
      <c r="AF286" s="98"/>
      <c r="AG286" s="98"/>
      <c r="AH286" s="98"/>
      <c r="AI286" s="98" t="e">
        <v>#N/A</v>
      </c>
      <c r="AJ286" s="98" t="e">
        <v>#N/A</v>
      </c>
      <c r="AK286" s="98" t="e">
        <v>#N/A</v>
      </c>
      <c r="AL286" s="98" t="e">
        <v>#N/A</v>
      </c>
      <c r="AM286" s="98" t="e">
        <v>#N/A</v>
      </c>
      <c r="AN286" s="99" t="e">
        <v>#N/A</v>
      </c>
      <c r="AO286" s="99" t="e">
        <v>#N/A</v>
      </c>
      <c r="AP286" s="99" t="e">
        <f>Tabla156[[#This Row],[Renov. Flota]]-Tabla156[[#This Row],[Año]]</f>
        <v>#N/A</v>
      </c>
      <c r="AQ286" s="100" t="e">
        <v>#N/A</v>
      </c>
      <c r="AR286" s="100" t="e">
        <f>VLOOKUP(Tabla156[[#This Row],[Matricula nueva]],'ALTA 20242025'!$B$2:$P$242,15,FALSE)</f>
        <v>#N/A</v>
      </c>
      <c r="AS286" s="101" t="e">
        <v>#N/A</v>
      </c>
      <c r="AT286" s="101"/>
      <c r="AU286" s="101"/>
      <c r="AV286" s="101"/>
      <c r="AW286" s="101" t="e">
        <f>VLOOKUP(Tabla156[[#This Row],[Matricula nueva]],Hoja2!$A$1:$B$224,2,FALSE)</f>
        <v>#N/A</v>
      </c>
      <c r="AX286" s="101" t="str">
        <f>IF(Tabla156[[#This Row],[Columna2]]="M1",5.1,"")</f>
        <v/>
      </c>
      <c r="AY286" s="101"/>
      <c r="AZ286" s="101"/>
      <c r="BA286" s="311">
        <f>IF(Tabla156[[#This Row],[Columna2]]="M1",13073,IF(Tabla156[[#This Row],[Columna2]]="N1",15815,IF(Tabla156[[#This Row],[Columna2]]="L3e",2831,53508)))</f>
        <v>53508</v>
      </c>
      <c r="BB286" s="311" t="e">
        <f>(Tabla156[[#This Row],[CVA]]*Tabla156[[#This Row],[F]]-Tabla156[[#This Row],[CVN]])/100*Tabla156[[#This Row],[L]]</f>
        <v>#VALUE!</v>
      </c>
      <c r="BC286" s="1"/>
      <c r="BD286" s="1" t="e">
        <f>VLOOKUP(B286,Tabla467824[[ID CAE2]:[AE '[kWh']]],6,FALSE)</f>
        <v>#N/A</v>
      </c>
      <c r="BE28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7" spans="1:57" ht="15.75" hidden="1" thickBot="1" x14ac:dyDescent="0.3">
      <c r="A287" s="101"/>
      <c r="B287" s="53" t="e">
        <v>#N/A</v>
      </c>
      <c r="C287" s="100" t="s">
        <v>1500</v>
      </c>
      <c r="D287" s="100"/>
      <c r="E287" s="100"/>
      <c r="F287" s="100"/>
      <c r="G287" s="100"/>
      <c r="H287" s="100"/>
      <c r="I287" s="100"/>
      <c r="J287" s="100"/>
      <c r="K287" s="100" t="s">
        <v>73</v>
      </c>
      <c r="L287" s="100" t="s">
        <v>200</v>
      </c>
      <c r="M287" s="100" t="s">
        <v>201</v>
      </c>
      <c r="N287" s="100" t="s">
        <v>76</v>
      </c>
      <c r="O287" s="100" t="e">
        <f>VLOOKUP(Tabla156[[#This Row],[Matricula Antigua]],BAJA2022202320242025!$B$3:$CR$245,93,FALSE)</f>
        <v>#N/A</v>
      </c>
      <c r="P287" s="315">
        <v>44809</v>
      </c>
      <c r="Q287" s="315" t="e">
        <f>Tabla156[[#This Row],[F.Vig.Final]]-Tabla156[[#This Row],[f Vig Inicio]]</f>
        <v>#N/A</v>
      </c>
      <c r="R287" s="315">
        <f>YEAR(Tabla156[[#This Row],[F.Vig.Final]])</f>
        <v>2022</v>
      </c>
      <c r="S287" s="100" t="s">
        <v>77</v>
      </c>
      <c r="T287" s="100" t="s">
        <v>78</v>
      </c>
      <c r="U287" s="100" t="s">
        <v>467</v>
      </c>
      <c r="V287" s="100" t="s">
        <v>476</v>
      </c>
      <c r="W287" s="100" t="s">
        <v>584</v>
      </c>
      <c r="X287" s="100" t="s">
        <v>585</v>
      </c>
      <c r="Y287" s="100" t="s">
        <v>1501</v>
      </c>
      <c r="Z287" s="98">
        <f>COUNTIF($X$3:X287, X287)</f>
        <v>21</v>
      </c>
      <c r="AA287" s="98"/>
      <c r="AB287" s="98"/>
      <c r="AC287" s="98"/>
      <c r="AD287" s="98"/>
      <c r="AE287" s="320"/>
      <c r="AF287" s="320"/>
      <c r="AG287" s="320"/>
      <c r="AH287" s="98"/>
      <c r="AI287" s="98" t="e">
        <v>#N/A</v>
      </c>
      <c r="AJ287" s="98" t="e">
        <v>#N/A</v>
      </c>
      <c r="AK287" s="98" t="e">
        <v>#N/A</v>
      </c>
      <c r="AL287" s="98" t="e">
        <v>#N/A</v>
      </c>
      <c r="AM287" s="98" t="e">
        <v>#N/A</v>
      </c>
      <c r="AN287" s="99" t="e">
        <v>#N/A</v>
      </c>
      <c r="AO287" s="99" t="e">
        <v>#N/A</v>
      </c>
      <c r="AP287" s="99" t="e">
        <f>Tabla156[[#This Row],[Renov. Flota]]-Tabla156[[#This Row],[Año]]</f>
        <v>#N/A</v>
      </c>
      <c r="AQ287" s="100" t="e">
        <v>#N/A</v>
      </c>
      <c r="AR287" s="100" t="e">
        <f>VLOOKUP(Tabla156[[#This Row],[Matricula nueva]],'ALTA 20242025'!$B$2:$P$242,15,FALSE)</f>
        <v>#N/A</v>
      </c>
      <c r="AS287" s="101" t="e">
        <v>#N/A</v>
      </c>
      <c r="AT287" s="101"/>
      <c r="AU287" s="101"/>
      <c r="AV287" s="101"/>
      <c r="AW287" s="101" t="e">
        <f>VLOOKUP(Tabla156[[#This Row],[Matricula nueva]],Hoja2!$A$1:$B$224,2,FALSE)</f>
        <v>#N/A</v>
      </c>
      <c r="AX287" s="101" t="str">
        <f>IF(Tabla156[[#This Row],[Columna2]]="M1",5.1,"")</f>
        <v/>
      </c>
      <c r="AY287" s="101"/>
      <c r="AZ287" s="101"/>
      <c r="BA287" s="311">
        <f>IF(Tabla156[[#This Row],[Columna2]]="M1",13073,IF(Tabla156[[#This Row],[Columna2]]="N1",15815,IF(Tabla156[[#This Row],[Columna2]]="L3e",2831,53508)))</f>
        <v>53508</v>
      </c>
      <c r="BB287" s="311" t="e">
        <f>(Tabla156[[#This Row],[CVA]]*Tabla156[[#This Row],[F]]-Tabla156[[#This Row],[CVN]])/100*Tabla156[[#This Row],[L]]</f>
        <v>#VALUE!</v>
      </c>
      <c r="BC287" s="1"/>
      <c r="BD287" s="1" t="e">
        <f>VLOOKUP(B287,Tabla467824[[ID CAE2]:[AE '[kWh']]],6,FALSE)</f>
        <v>#N/A</v>
      </c>
      <c r="BE28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88" spans="1:57" ht="52.5" thickBot="1" x14ac:dyDescent="0.3">
      <c r="A288" s="53" t="s">
        <v>1099</v>
      </c>
      <c r="B288" s="53" t="s">
        <v>1099</v>
      </c>
      <c r="C288" s="332" t="s">
        <v>1100</v>
      </c>
      <c r="D288" s="104" t="s">
        <v>72</v>
      </c>
      <c r="E288" s="104" t="s">
        <v>72</v>
      </c>
      <c r="F288" s="104" t="s">
        <v>72</v>
      </c>
      <c r="G288" s="104"/>
      <c r="H288" s="104" t="s">
        <v>72</v>
      </c>
      <c r="I288" s="104" t="s">
        <v>72</v>
      </c>
      <c r="J288" s="104"/>
      <c r="K288" s="96" t="s">
        <v>1034</v>
      </c>
      <c r="L288" s="96" t="s">
        <v>200</v>
      </c>
      <c r="M288" s="96" t="s">
        <v>201</v>
      </c>
      <c r="N288" s="96" t="s">
        <v>76</v>
      </c>
      <c r="O288" s="101">
        <f>VLOOKUP(Tabla156[[#This Row],[Matricula Antigua]],BAJA2022202320242025!$B$3:$CR$245,93,FALSE)</f>
        <v>43663</v>
      </c>
      <c r="P288" s="316">
        <v>45124</v>
      </c>
      <c r="Q288" s="317">
        <f>Tabla156[[#This Row],[F.Vig.Final]]-Tabla156[[#This Row],[f Vig Inicio]]</f>
        <v>1461</v>
      </c>
      <c r="R288" s="318">
        <f>YEAR(Tabla156[[#This Row],[F.Vig.Final]])</f>
        <v>2023</v>
      </c>
      <c r="S288" s="96" t="s">
        <v>77</v>
      </c>
      <c r="T288" s="96" t="s">
        <v>78</v>
      </c>
      <c r="U288" s="96" t="s">
        <v>524</v>
      </c>
      <c r="V288" s="96" t="s">
        <v>1101</v>
      </c>
      <c r="W288" s="96" t="s">
        <v>102</v>
      </c>
      <c r="X288" s="332" t="s">
        <v>1667</v>
      </c>
      <c r="Y288" s="96" t="s">
        <v>1102</v>
      </c>
      <c r="Z288" s="98">
        <f>COUNTIF($X$3:X288, X288)</f>
        <v>45</v>
      </c>
      <c r="AA288" s="337" t="s">
        <v>1668</v>
      </c>
      <c r="AB288" s="337" t="s">
        <v>1668</v>
      </c>
      <c r="AC288" s="337" t="s">
        <v>1669</v>
      </c>
      <c r="AD288" s="358" t="s">
        <v>1670</v>
      </c>
      <c r="AE288" s="342" t="s">
        <v>1671</v>
      </c>
      <c r="AF288" s="337" t="s">
        <v>1672</v>
      </c>
      <c r="AG288" s="344" t="s">
        <v>1673</v>
      </c>
      <c r="AH288" s="337" t="s">
        <v>1649</v>
      </c>
      <c r="AI288" s="337" t="s">
        <v>1103</v>
      </c>
      <c r="AJ288" s="98" t="s">
        <v>85</v>
      </c>
      <c r="AK288" s="98" t="s">
        <v>340</v>
      </c>
      <c r="AL288" s="98" t="s">
        <v>87</v>
      </c>
      <c r="AM288" s="101" t="s">
        <v>567</v>
      </c>
      <c r="AN288" s="348" t="s">
        <v>108</v>
      </c>
      <c r="AO288" s="349">
        <v>44927</v>
      </c>
      <c r="AP288" s="98">
        <f>Tabla156[[#This Row],[Renov. Flota]]-Tabla156[[#This Row],[Año]]</f>
        <v>0</v>
      </c>
      <c r="AQ288" s="100" t="s">
        <v>102</v>
      </c>
      <c r="AR288" s="100">
        <v>4500349878</v>
      </c>
      <c r="AS288" s="101" t="s">
        <v>103</v>
      </c>
      <c r="AT288" s="101"/>
      <c r="AU288" s="101" t="s">
        <v>72</v>
      </c>
      <c r="AV288" s="101" t="s">
        <v>109</v>
      </c>
      <c r="AW288" s="101" t="s">
        <v>1104</v>
      </c>
      <c r="AX288" s="209">
        <f>IF(Tabla156[[#This Row],[Columna2]]="M1",5.1,"")</f>
        <v>5.0999999999999996</v>
      </c>
      <c r="AY288" s="208">
        <f>IF(T288="DIESEL",10,IF(T288="GLP",7.16,9.19))</f>
        <v>10</v>
      </c>
      <c r="AZ288" s="313">
        <v>13.3</v>
      </c>
      <c r="BA288" s="314">
        <f>IF(Tabla156[[#This Row],[Columna2]]="M1",13073,IF(Tabla156[[#This Row],[Columna2]]="N1",15815,IF(Tabla156[[#This Row],[Columna2]]="L3e",2831,53508)))</f>
        <v>13073</v>
      </c>
      <c r="BB288" s="350">
        <f>(Tabla156[[#This Row],[CVA]]*Tabla156[[#This Row],[F]]-Tabla156[[#This Row],[CVN]])/100*Tabla156[[#This Row],[L]]</f>
        <v>4928.5209999999997</v>
      </c>
      <c r="BC288" s="92" t="s">
        <v>70</v>
      </c>
      <c r="BD288" s="209">
        <f>VLOOKUP(B288,Tabla467824[[ID CAE2]:[AE '[kWh']]],6,FALSE)</f>
        <v>6795.3454000000002</v>
      </c>
      <c r="BE28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289" spans="1:57" ht="15.75" hidden="1" thickBot="1" x14ac:dyDescent="0.3">
      <c r="A289" s="53" t="s">
        <v>1465</v>
      </c>
      <c r="B289" s="53" t="e">
        <v>#N/A</v>
      </c>
      <c r="C289" s="100" t="s">
        <v>1502</v>
      </c>
      <c r="D289" s="100"/>
      <c r="E289" s="100"/>
      <c r="F289" s="100"/>
      <c r="G289" s="100"/>
      <c r="H289" s="100"/>
      <c r="I289" s="100"/>
      <c r="J289" s="100"/>
      <c r="K289" s="100" t="s">
        <v>73</v>
      </c>
      <c r="L289" s="100" t="s">
        <v>200</v>
      </c>
      <c r="M289" s="100" t="s">
        <v>201</v>
      </c>
      <c r="N289" s="100" t="s">
        <v>76</v>
      </c>
      <c r="O289" s="100" t="e">
        <f>VLOOKUP(Tabla156[[#This Row],[Matricula Antigua]],BAJA2022202320242025!$B$3:$CR$245,93,FALSE)</f>
        <v>#N/A</v>
      </c>
      <c r="P289" s="315">
        <v>44821</v>
      </c>
      <c r="Q289" s="315" t="e">
        <f>Tabla156[[#This Row],[F.Vig.Final]]-Tabla156[[#This Row],[f Vig Inicio]]</f>
        <v>#N/A</v>
      </c>
      <c r="R289" s="315">
        <f>YEAR(Tabla156[[#This Row],[F.Vig.Final]])</f>
        <v>2022</v>
      </c>
      <c r="S289" s="100" t="s">
        <v>77</v>
      </c>
      <c r="T289" s="100" t="s">
        <v>78</v>
      </c>
      <c r="U289" s="100" t="s">
        <v>359</v>
      </c>
      <c r="V289" s="100" t="s">
        <v>604</v>
      </c>
      <c r="W289" s="100" t="s">
        <v>131</v>
      </c>
      <c r="X289" s="100" t="s">
        <v>132</v>
      </c>
      <c r="Y289" s="100" t="s">
        <v>622</v>
      </c>
      <c r="Z289" s="98">
        <f>COUNTIF($X$3:X289, X289)</f>
        <v>37</v>
      </c>
      <c r="AA289" s="98"/>
      <c r="AB289" s="98"/>
      <c r="AC289" s="98"/>
      <c r="AD289" s="98"/>
      <c r="AE289" s="322"/>
      <c r="AF289" s="322"/>
      <c r="AG289" s="98"/>
      <c r="AH289" s="98"/>
      <c r="AI289" s="98" t="e">
        <v>#N/A</v>
      </c>
      <c r="AJ289" s="98" t="e">
        <v>#N/A</v>
      </c>
      <c r="AK289" s="98" t="e">
        <v>#N/A</v>
      </c>
      <c r="AL289" s="98" t="e">
        <v>#N/A</v>
      </c>
      <c r="AM289" s="98" t="e">
        <v>#N/A</v>
      </c>
      <c r="AN289" s="99" t="e">
        <v>#N/A</v>
      </c>
      <c r="AO289" s="99" t="e">
        <v>#N/A</v>
      </c>
      <c r="AP289" s="99" t="e">
        <f>Tabla156[[#This Row],[Renov. Flota]]-Tabla156[[#This Row],[Año]]</f>
        <v>#N/A</v>
      </c>
      <c r="AQ289" s="100" t="e">
        <v>#N/A</v>
      </c>
      <c r="AR289" s="100" t="e">
        <f>VLOOKUP(Tabla156[[#This Row],[Matricula nueva]],'ALTA 20242025'!$B$2:$P$242,15,FALSE)</f>
        <v>#N/A</v>
      </c>
      <c r="AS289" s="101" t="e">
        <v>#N/A</v>
      </c>
      <c r="AT289" s="101"/>
      <c r="AU289" s="101"/>
      <c r="AV289" s="101"/>
      <c r="AW289" s="101" t="e">
        <f>VLOOKUP(Tabla156[[#This Row],[Matricula nueva]],Hoja2!$A$1:$B$224,2,FALSE)</f>
        <v>#N/A</v>
      </c>
      <c r="AX289" s="101" t="str">
        <f>IF(Tabla156[[#This Row],[Columna2]]="M1",5.1,"")</f>
        <v/>
      </c>
      <c r="AY289" s="101"/>
      <c r="AZ289" s="101"/>
      <c r="BA289" s="311">
        <f>IF(Tabla156[[#This Row],[Columna2]]="M1",13073,IF(Tabla156[[#This Row],[Columna2]]="N1",15815,IF(Tabla156[[#This Row],[Columna2]]="L3e",2831,53508)))</f>
        <v>53508</v>
      </c>
      <c r="BB289" s="311" t="e">
        <f>(Tabla156[[#This Row],[CVA]]*Tabla156[[#This Row],[F]]-Tabla156[[#This Row],[CVN]])/100*Tabla156[[#This Row],[L]]</f>
        <v>#VALUE!</v>
      </c>
      <c r="BC289" s="1"/>
      <c r="BD289" s="1" t="e">
        <f>VLOOKUP(B289,Tabla467824[[ID CAE2]:[AE '[kWh']]],6,FALSE)</f>
        <v>#N/A</v>
      </c>
      <c r="BE28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0" spans="1:57" ht="15.75" hidden="1" thickBot="1" x14ac:dyDescent="0.3">
      <c r="A290" s="53" t="s">
        <v>1468</v>
      </c>
      <c r="B290" s="53" t="e">
        <v>#N/A</v>
      </c>
      <c r="C290" s="96" t="s">
        <v>1503</v>
      </c>
      <c r="D290" s="96"/>
      <c r="E290" s="96"/>
      <c r="F290" s="96"/>
      <c r="G290" s="96"/>
      <c r="H290" s="96"/>
      <c r="I290" s="96"/>
      <c r="J290" s="96"/>
      <c r="K290" s="96" t="s">
        <v>73</v>
      </c>
      <c r="L290" s="96" t="s">
        <v>200</v>
      </c>
      <c r="M290" s="96" t="s">
        <v>201</v>
      </c>
      <c r="N290" s="96" t="s">
        <v>76</v>
      </c>
      <c r="O290" s="101">
        <f>VLOOKUP(Tabla156[[#This Row],[Matricula Antigua]],BAJA2022202320242025!$B$3:$CR$245,93,FALSE)</f>
        <v>44266</v>
      </c>
      <c r="P290" s="99">
        <v>45747</v>
      </c>
      <c r="Q290" s="99">
        <f>Tabla156[[#This Row],[F.Vig.Final]]-Tabla156[[#This Row],[f Vig Inicio]]</f>
        <v>1481</v>
      </c>
      <c r="R290" s="99">
        <f>YEAR(Tabla156[[#This Row],[F.Vig.Final]])</f>
        <v>2025</v>
      </c>
      <c r="S290" s="96" t="s">
        <v>77</v>
      </c>
      <c r="T290" s="96" t="s">
        <v>78</v>
      </c>
      <c r="U290" s="96" t="s">
        <v>79</v>
      </c>
      <c r="V290" s="96" t="s">
        <v>924</v>
      </c>
      <c r="W290" s="96" t="s">
        <v>308</v>
      </c>
      <c r="X290" s="96" t="s">
        <v>309</v>
      </c>
      <c r="Y290" s="96" t="s">
        <v>1504</v>
      </c>
      <c r="Z290" s="98">
        <f>COUNTIF($X$3:X290, X290)</f>
        <v>8</v>
      </c>
      <c r="AA290" s="98"/>
      <c r="AB290" s="98"/>
      <c r="AC290" s="98"/>
      <c r="AD290" s="98"/>
      <c r="AE290" s="98"/>
      <c r="AF290" s="98"/>
      <c r="AG290" s="98"/>
      <c r="AH290" s="98"/>
      <c r="AI290" s="98" t="e">
        <v>#N/A</v>
      </c>
      <c r="AJ290" s="98" t="e">
        <v>#N/A</v>
      </c>
      <c r="AK290" s="98" t="e">
        <v>#N/A</v>
      </c>
      <c r="AL290" s="98" t="e">
        <v>#N/A</v>
      </c>
      <c r="AM290" s="98" t="e">
        <v>#N/A</v>
      </c>
      <c r="AN290" s="99" t="e">
        <v>#N/A</v>
      </c>
      <c r="AO290" s="99" t="e">
        <v>#N/A</v>
      </c>
      <c r="AP290" s="99" t="e">
        <f>Tabla156[[#This Row],[Renov. Flota]]-Tabla156[[#This Row],[Año]]</f>
        <v>#N/A</v>
      </c>
      <c r="AQ290" s="100" t="e">
        <v>#N/A</v>
      </c>
      <c r="AR290" s="100" t="e">
        <f>VLOOKUP(Tabla156[[#This Row],[Matricula nueva]],'ALTA 20242025'!$B$2:$P$242,15,FALSE)</f>
        <v>#N/A</v>
      </c>
      <c r="AS290" s="101" t="e">
        <v>#N/A</v>
      </c>
      <c r="AT290" s="101"/>
      <c r="AU290" s="101"/>
      <c r="AV290" s="101"/>
      <c r="AW290" s="101" t="e">
        <f>VLOOKUP(Tabla156[[#This Row],[Matricula nueva]],Hoja2!$A$1:$B$224,2,FALSE)</f>
        <v>#N/A</v>
      </c>
      <c r="AX290" s="101" t="str">
        <f>IF(Tabla156[[#This Row],[Columna2]]="M1",5.1,"")</f>
        <v/>
      </c>
      <c r="AY290" s="101"/>
      <c r="AZ290" s="101"/>
      <c r="BA290" s="311">
        <f>IF(Tabla156[[#This Row],[Columna2]]="M1",13073,IF(Tabla156[[#This Row],[Columna2]]="N1",15815,IF(Tabla156[[#This Row],[Columna2]]="L3e",2831,53508)))</f>
        <v>53508</v>
      </c>
      <c r="BB290" s="311" t="e">
        <f>(Tabla156[[#This Row],[CVA]]*Tabla156[[#This Row],[F]]-Tabla156[[#This Row],[CVN]])/100*Tabla156[[#This Row],[L]]</f>
        <v>#VALUE!</v>
      </c>
      <c r="BC290" s="1"/>
      <c r="BD290" s="1" t="e">
        <f>VLOOKUP(B290,Tabla467824[[ID CAE2]:[AE '[kWh']]],6,FALSE)</f>
        <v>#N/A</v>
      </c>
      <c r="BE29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1" spans="1:57" ht="15.75" hidden="1" thickBot="1" x14ac:dyDescent="0.3">
      <c r="A291" s="53" t="s">
        <v>1470</v>
      </c>
      <c r="B291" s="53" t="e">
        <v>#N/A</v>
      </c>
      <c r="C291" s="100" t="s">
        <v>1505</v>
      </c>
      <c r="D291" s="100"/>
      <c r="E291" s="100"/>
      <c r="F291" s="100"/>
      <c r="G291" s="100"/>
      <c r="H291" s="100"/>
      <c r="I291" s="100"/>
      <c r="J291" s="100"/>
      <c r="K291" s="100" t="s">
        <v>73</v>
      </c>
      <c r="L291" s="100" t="s">
        <v>200</v>
      </c>
      <c r="M291" s="100" t="s">
        <v>201</v>
      </c>
      <c r="N291" s="100" t="s">
        <v>76</v>
      </c>
      <c r="O291" s="100" t="e">
        <f>VLOOKUP(Tabla156[[#This Row],[Matricula Antigua]],BAJA2022202320242025!$B$3:$CR$245,93,FALSE)</f>
        <v>#N/A</v>
      </c>
      <c r="P291" s="315">
        <v>44716</v>
      </c>
      <c r="Q291" s="315" t="e">
        <f>Tabla156[[#This Row],[F.Vig.Final]]-Tabla156[[#This Row],[f Vig Inicio]]</f>
        <v>#N/A</v>
      </c>
      <c r="R291" s="315">
        <f>YEAR(Tabla156[[#This Row],[F.Vig.Final]])</f>
        <v>2022</v>
      </c>
      <c r="S291" s="100" t="s">
        <v>77</v>
      </c>
      <c r="T291" s="100" t="s">
        <v>78</v>
      </c>
      <c r="U291" s="100" t="s">
        <v>359</v>
      </c>
      <c r="V291" s="100" t="s">
        <v>593</v>
      </c>
      <c r="W291" s="100" t="s">
        <v>131</v>
      </c>
      <c r="X291" s="100" t="s">
        <v>132</v>
      </c>
      <c r="Y291" s="100" t="s">
        <v>318</v>
      </c>
      <c r="Z291" s="98">
        <f>COUNTIF($X$3:X291, X291)</f>
        <v>38</v>
      </c>
      <c r="AA291" s="98"/>
      <c r="AB291" s="98"/>
      <c r="AC291" s="98"/>
      <c r="AD291" s="98"/>
      <c r="AE291" s="98"/>
      <c r="AF291" s="98"/>
      <c r="AG291" s="98"/>
      <c r="AH291" s="98"/>
      <c r="AI291" s="98" t="e">
        <v>#N/A</v>
      </c>
      <c r="AJ291" s="98" t="e">
        <v>#N/A</v>
      </c>
      <c r="AK291" s="98" t="e">
        <v>#N/A</v>
      </c>
      <c r="AL291" s="98" t="e">
        <v>#N/A</v>
      </c>
      <c r="AM291" s="98" t="e">
        <v>#N/A</v>
      </c>
      <c r="AN291" s="99" t="e">
        <v>#N/A</v>
      </c>
      <c r="AO291" s="99" t="e">
        <v>#N/A</v>
      </c>
      <c r="AP291" s="99" t="e">
        <f>Tabla156[[#This Row],[Renov. Flota]]-Tabla156[[#This Row],[Año]]</f>
        <v>#N/A</v>
      </c>
      <c r="AQ291" s="100" t="e">
        <v>#N/A</v>
      </c>
      <c r="AR291" s="100" t="e">
        <f>VLOOKUP(Tabla156[[#This Row],[Matricula nueva]],'ALTA 20242025'!$B$2:$P$242,15,FALSE)</f>
        <v>#N/A</v>
      </c>
      <c r="AS291" s="101" t="e">
        <v>#N/A</v>
      </c>
      <c r="AT291" s="101"/>
      <c r="AU291" s="101"/>
      <c r="AV291" s="101"/>
      <c r="AW291" s="101" t="e">
        <f>VLOOKUP(Tabla156[[#This Row],[Matricula nueva]],Hoja2!$A$1:$B$224,2,FALSE)</f>
        <v>#N/A</v>
      </c>
      <c r="AX291" s="101" t="str">
        <f>IF(Tabla156[[#This Row],[Columna2]]="M1",5.1,"")</f>
        <v/>
      </c>
      <c r="AY291" s="101"/>
      <c r="AZ291" s="101"/>
      <c r="BA291" s="311">
        <f>IF(Tabla156[[#This Row],[Columna2]]="M1",13073,IF(Tabla156[[#This Row],[Columna2]]="N1",15815,IF(Tabla156[[#This Row],[Columna2]]="L3e",2831,53508)))</f>
        <v>53508</v>
      </c>
      <c r="BB291" s="311" t="e">
        <f>(Tabla156[[#This Row],[CVA]]*Tabla156[[#This Row],[F]]-Tabla156[[#This Row],[CVN]])/100*Tabla156[[#This Row],[L]]</f>
        <v>#VALUE!</v>
      </c>
      <c r="BC291" s="1"/>
      <c r="BD291" s="1" t="e">
        <f>VLOOKUP(B291,Tabla467824[[ID CAE2]:[AE '[kWh']]],6,FALSE)</f>
        <v>#N/A</v>
      </c>
      <c r="BE29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2" spans="1:57" ht="15.75" hidden="1" thickBot="1" x14ac:dyDescent="0.3">
      <c r="A292" s="53" t="s">
        <v>1473</v>
      </c>
      <c r="B292" s="53" t="e">
        <v>#N/A</v>
      </c>
      <c r="C292" s="100" t="s">
        <v>1506</v>
      </c>
      <c r="D292" s="100"/>
      <c r="E292" s="100"/>
      <c r="F292" s="100"/>
      <c r="G292" s="100"/>
      <c r="H292" s="100"/>
      <c r="I292" s="100"/>
      <c r="J292" s="100"/>
      <c r="K292" s="100" t="s">
        <v>1034</v>
      </c>
      <c r="L292" s="100" t="s">
        <v>200</v>
      </c>
      <c r="M292" s="100" t="s">
        <v>201</v>
      </c>
      <c r="N292" s="100" t="s">
        <v>76</v>
      </c>
      <c r="O292" s="100" t="e">
        <f>VLOOKUP(Tabla156[[#This Row],[Matricula Antigua]],BAJA2022202320242025!$B$3:$CR$245,93,FALSE)</f>
        <v>#N/A</v>
      </c>
      <c r="P292" s="315">
        <v>44621</v>
      </c>
      <c r="Q292" s="315" t="e">
        <f>Tabla156[[#This Row],[F.Vig.Final]]-Tabla156[[#This Row],[f Vig Inicio]]</f>
        <v>#N/A</v>
      </c>
      <c r="R292" s="315">
        <f>YEAR(Tabla156[[#This Row],[F.Vig.Final]])</f>
        <v>2022</v>
      </c>
      <c r="S292" s="100" t="s">
        <v>77</v>
      </c>
      <c r="T292" s="100" t="s">
        <v>78</v>
      </c>
      <c r="U292" s="100" t="s">
        <v>524</v>
      </c>
      <c r="V292" s="100" t="s">
        <v>1507</v>
      </c>
      <c r="W292" s="100" t="s">
        <v>1508</v>
      </c>
      <c r="X292" s="100" t="s">
        <v>1509</v>
      </c>
      <c r="Y292" s="100" t="s">
        <v>312</v>
      </c>
      <c r="Z292" s="98">
        <f>COUNTIF($X$3:X292, X292)</f>
        <v>1</v>
      </c>
      <c r="AA292" s="98"/>
      <c r="AB292" s="98"/>
      <c r="AC292" s="98"/>
      <c r="AD292" s="98"/>
      <c r="AE292" s="98"/>
      <c r="AF292" s="98"/>
      <c r="AG292" s="98"/>
      <c r="AH292" s="98"/>
      <c r="AI292" s="98" t="e">
        <v>#N/A</v>
      </c>
      <c r="AJ292" s="98" t="e">
        <v>#N/A</v>
      </c>
      <c r="AK292" s="98" t="e">
        <v>#N/A</v>
      </c>
      <c r="AL292" s="98" t="e">
        <v>#N/A</v>
      </c>
      <c r="AM292" s="98" t="e">
        <v>#N/A</v>
      </c>
      <c r="AN292" s="99" t="e">
        <v>#N/A</v>
      </c>
      <c r="AO292" s="99" t="e">
        <v>#N/A</v>
      </c>
      <c r="AP292" s="99" t="e">
        <f>Tabla156[[#This Row],[Renov. Flota]]-Tabla156[[#This Row],[Año]]</f>
        <v>#N/A</v>
      </c>
      <c r="AQ292" s="100" t="e">
        <v>#N/A</v>
      </c>
      <c r="AR292" s="100" t="e">
        <f>VLOOKUP(Tabla156[[#This Row],[Matricula nueva]],'ALTA 20242025'!$B$2:$P$242,15,FALSE)</f>
        <v>#N/A</v>
      </c>
      <c r="AS292" s="101" t="e">
        <v>#N/A</v>
      </c>
      <c r="AT292" s="101"/>
      <c r="AU292" s="101"/>
      <c r="AV292" s="101"/>
      <c r="AW292" s="101" t="e">
        <f>VLOOKUP(Tabla156[[#This Row],[Matricula nueva]],Hoja2!$A$1:$B$224,2,FALSE)</f>
        <v>#N/A</v>
      </c>
      <c r="AX292" s="101" t="str">
        <f>IF(Tabla156[[#This Row],[Columna2]]="M1",5.1,"")</f>
        <v/>
      </c>
      <c r="AY292" s="101"/>
      <c r="AZ292" s="101"/>
      <c r="BA292" s="311">
        <f>IF(Tabla156[[#This Row],[Columna2]]="M1",13073,IF(Tabla156[[#This Row],[Columna2]]="N1",15815,IF(Tabla156[[#This Row],[Columna2]]="L3e",2831,53508)))</f>
        <v>53508</v>
      </c>
      <c r="BB292" s="311" t="e">
        <f>(Tabla156[[#This Row],[CVA]]*Tabla156[[#This Row],[F]]-Tabla156[[#This Row],[CVN]])/100*Tabla156[[#This Row],[L]]</f>
        <v>#VALUE!</v>
      </c>
      <c r="BC292" s="1"/>
      <c r="BD292" s="1" t="e">
        <f>VLOOKUP(B292,Tabla467824[[ID CAE2]:[AE '[kWh']]],6,FALSE)</f>
        <v>#N/A</v>
      </c>
      <c r="BE29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3" spans="1:57" ht="15.75" hidden="1" thickBot="1" x14ac:dyDescent="0.3">
      <c r="A293" s="53" t="s">
        <v>1475</v>
      </c>
      <c r="B293" s="53" t="e">
        <v>#N/A</v>
      </c>
      <c r="C293" s="100" t="s">
        <v>1510</v>
      </c>
      <c r="D293" s="100"/>
      <c r="E293" s="100"/>
      <c r="F293" s="100"/>
      <c r="G293" s="100"/>
      <c r="H293" s="100"/>
      <c r="I293" s="100"/>
      <c r="J293" s="100"/>
      <c r="K293" s="100" t="s">
        <v>1034</v>
      </c>
      <c r="L293" s="100" t="s">
        <v>200</v>
      </c>
      <c r="M293" s="100" t="s">
        <v>201</v>
      </c>
      <c r="N293" s="100" t="s">
        <v>76</v>
      </c>
      <c r="O293" s="100" t="e">
        <f>VLOOKUP(Tabla156[[#This Row],[Matricula Antigua]],BAJA2022202320242025!$B$3:$CR$245,93,FALSE)</f>
        <v>#N/A</v>
      </c>
      <c r="P293" s="315">
        <v>44621</v>
      </c>
      <c r="Q293" s="315" t="e">
        <f>Tabla156[[#This Row],[F.Vig.Final]]-Tabla156[[#This Row],[f Vig Inicio]]</f>
        <v>#N/A</v>
      </c>
      <c r="R293" s="315">
        <f>YEAR(Tabla156[[#This Row],[F.Vig.Final]])</f>
        <v>2022</v>
      </c>
      <c r="S293" s="100" t="s">
        <v>77</v>
      </c>
      <c r="T293" s="100" t="s">
        <v>78</v>
      </c>
      <c r="U293" s="100" t="s">
        <v>524</v>
      </c>
      <c r="V293" s="100" t="s">
        <v>1507</v>
      </c>
      <c r="W293" s="100" t="s">
        <v>1508</v>
      </c>
      <c r="X293" s="100" t="s">
        <v>1509</v>
      </c>
      <c r="Y293" s="100" t="s">
        <v>312</v>
      </c>
      <c r="Z293" s="98">
        <f>COUNTIF($X$3:X293, X293)</f>
        <v>2</v>
      </c>
      <c r="AA293" s="98"/>
      <c r="AB293" s="98"/>
      <c r="AC293" s="98"/>
      <c r="AD293" s="98"/>
      <c r="AE293" s="98"/>
      <c r="AF293" s="98"/>
      <c r="AG293" s="98"/>
      <c r="AH293" s="98"/>
      <c r="AI293" s="98" t="e">
        <v>#N/A</v>
      </c>
      <c r="AJ293" s="98" t="e">
        <v>#N/A</v>
      </c>
      <c r="AK293" s="98" t="e">
        <v>#N/A</v>
      </c>
      <c r="AL293" s="98" t="e">
        <v>#N/A</v>
      </c>
      <c r="AM293" s="98" t="e">
        <v>#N/A</v>
      </c>
      <c r="AN293" s="99" t="e">
        <v>#N/A</v>
      </c>
      <c r="AO293" s="99" t="e">
        <v>#N/A</v>
      </c>
      <c r="AP293" s="99" t="e">
        <f>Tabla156[[#This Row],[Renov. Flota]]-Tabla156[[#This Row],[Año]]</f>
        <v>#N/A</v>
      </c>
      <c r="AQ293" s="100" t="e">
        <v>#N/A</v>
      </c>
      <c r="AR293" s="100" t="e">
        <f>VLOOKUP(Tabla156[[#This Row],[Matricula nueva]],'ALTA 20242025'!$B$2:$P$242,15,FALSE)</f>
        <v>#N/A</v>
      </c>
      <c r="AS293" s="101" t="e">
        <v>#N/A</v>
      </c>
      <c r="AT293" s="101"/>
      <c r="AU293" s="101"/>
      <c r="AV293" s="101"/>
      <c r="AW293" s="101" t="e">
        <f>VLOOKUP(Tabla156[[#This Row],[Matricula nueva]],Hoja2!$A$1:$B$224,2,FALSE)</f>
        <v>#N/A</v>
      </c>
      <c r="AX293" s="101" t="str">
        <f>IF(Tabla156[[#This Row],[Columna2]]="M1",5.1,"")</f>
        <v/>
      </c>
      <c r="AY293" s="101"/>
      <c r="AZ293" s="101"/>
      <c r="BA293" s="311">
        <f>IF(Tabla156[[#This Row],[Columna2]]="M1",13073,IF(Tabla156[[#This Row],[Columna2]]="N1",15815,IF(Tabla156[[#This Row],[Columna2]]="L3e",2831,53508)))</f>
        <v>53508</v>
      </c>
      <c r="BB293" s="311" t="e">
        <f>(Tabla156[[#This Row],[CVA]]*Tabla156[[#This Row],[F]]-Tabla156[[#This Row],[CVN]])/100*Tabla156[[#This Row],[L]]</f>
        <v>#VALUE!</v>
      </c>
      <c r="BC293" s="1"/>
      <c r="BD293" s="1" t="e">
        <f>VLOOKUP(B293,Tabla467824[[ID CAE2]:[AE '[kWh']]],6,FALSE)</f>
        <v>#N/A</v>
      </c>
      <c r="BE29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4" spans="1:57" ht="15.75" hidden="1" thickBot="1" x14ac:dyDescent="0.3">
      <c r="A294" s="53" t="s">
        <v>1478</v>
      </c>
      <c r="B294" s="53" t="e">
        <v>#N/A</v>
      </c>
      <c r="C294" s="100" t="s">
        <v>1511</v>
      </c>
      <c r="D294" s="100"/>
      <c r="E294" s="100"/>
      <c r="F294" s="100"/>
      <c r="G294" s="100"/>
      <c r="H294" s="100"/>
      <c r="I294" s="100"/>
      <c r="J294" s="100"/>
      <c r="K294" s="100" t="s">
        <v>73</v>
      </c>
      <c r="L294" s="100" t="s">
        <v>200</v>
      </c>
      <c r="M294" s="100" t="s">
        <v>201</v>
      </c>
      <c r="N294" s="100" t="s">
        <v>76</v>
      </c>
      <c r="O294" s="100" t="e">
        <f>VLOOKUP(Tabla156[[#This Row],[Matricula Antigua]],BAJA2022202320242025!$B$3:$CR$245,93,FALSE)</f>
        <v>#N/A</v>
      </c>
      <c r="P294" s="315">
        <v>44632</v>
      </c>
      <c r="Q294" s="315" t="e">
        <f>Tabla156[[#This Row],[F.Vig.Final]]-Tabla156[[#This Row],[f Vig Inicio]]</f>
        <v>#N/A</v>
      </c>
      <c r="R294" s="315">
        <f>YEAR(Tabla156[[#This Row],[F.Vig.Final]])</f>
        <v>2022</v>
      </c>
      <c r="S294" s="100" t="s">
        <v>77</v>
      </c>
      <c r="T294" s="100" t="s">
        <v>78</v>
      </c>
      <c r="U294" s="100" t="s">
        <v>1362</v>
      </c>
      <c r="V294" s="100" t="s">
        <v>1367</v>
      </c>
      <c r="W294" s="100" t="s">
        <v>1512</v>
      </c>
      <c r="X294" s="100" t="s">
        <v>1513</v>
      </c>
      <c r="Y294" s="100" t="s">
        <v>1514</v>
      </c>
      <c r="Z294" s="98">
        <f>COUNTIF($X$3:X294, X294)</f>
        <v>1</v>
      </c>
      <c r="AA294" s="98"/>
      <c r="AB294" s="98"/>
      <c r="AC294" s="98"/>
      <c r="AD294" s="98"/>
      <c r="AE294" s="98"/>
      <c r="AF294" s="98"/>
      <c r="AG294" s="98"/>
      <c r="AH294" s="98"/>
      <c r="AI294" s="98" t="e">
        <v>#N/A</v>
      </c>
      <c r="AJ294" s="98" t="e">
        <v>#N/A</v>
      </c>
      <c r="AK294" s="98" t="e">
        <v>#N/A</v>
      </c>
      <c r="AL294" s="98" t="e">
        <v>#N/A</v>
      </c>
      <c r="AM294" s="98" t="e">
        <v>#N/A</v>
      </c>
      <c r="AN294" s="99" t="e">
        <v>#N/A</v>
      </c>
      <c r="AO294" s="99" t="e">
        <v>#N/A</v>
      </c>
      <c r="AP294" s="99" t="e">
        <f>Tabla156[[#This Row],[Renov. Flota]]-Tabla156[[#This Row],[Año]]</f>
        <v>#N/A</v>
      </c>
      <c r="AQ294" s="100" t="e">
        <v>#N/A</v>
      </c>
      <c r="AR294" s="100" t="e">
        <f>VLOOKUP(Tabla156[[#This Row],[Matricula nueva]],'ALTA 20242025'!$B$2:$P$242,15,FALSE)</f>
        <v>#N/A</v>
      </c>
      <c r="AS294" s="101" t="e">
        <v>#N/A</v>
      </c>
      <c r="AT294" s="101"/>
      <c r="AU294" s="101"/>
      <c r="AV294" s="101"/>
      <c r="AW294" s="101" t="e">
        <f>VLOOKUP(Tabla156[[#This Row],[Matricula nueva]],Hoja2!$A$1:$B$224,2,FALSE)</f>
        <v>#N/A</v>
      </c>
      <c r="AX294" s="101" t="str">
        <f>IF(Tabla156[[#This Row],[Columna2]]="M1",5.1,"")</f>
        <v/>
      </c>
      <c r="AY294" s="101"/>
      <c r="AZ294" s="101"/>
      <c r="BA294" s="311">
        <f>IF(Tabla156[[#This Row],[Columna2]]="M1",13073,IF(Tabla156[[#This Row],[Columna2]]="N1",15815,IF(Tabla156[[#This Row],[Columna2]]="L3e",2831,53508)))</f>
        <v>53508</v>
      </c>
      <c r="BB294" s="311" t="e">
        <f>(Tabla156[[#This Row],[CVA]]*Tabla156[[#This Row],[F]]-Tabla156[[#This Row],[CVN]])/100*Tabla156[[#This Row],[L]]</f>
        <v>#VALUE!</v>
      </c>
      <c r="BC294" s="1"/>
      <c r="BD294" s="1" t="e">
        <f>VLOOKUP(B294,Tabla467824[[ID CAE2]:[AE '[kWh']]],6,FALSE)</f>
        <v>#N/A</v>
      </c>
      <c r="BE29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5" spans="1:57" ht="15.75" hidden="1" thickBot="1" x14ac:dyDescent="0.3">
      <c r="A295" s="53" t="s">
        <v>1481</v>
      </c>
      <c r="B295" s="53" t="e">
        <v>#N/A</v>
      </c>
      <c r="C295" s="100" t="s">
        <v>1515</v>
      </c>
      <c r="D295" s="100"/>
      <c r="E295" s="100"/>
      <c r="F295" s="100"/>
      <c r="G295" s="100"/>
      <c r="H295" s="100"/>
      <c r="I295" s="100"/>
      <c r="J295" s="100"/>
      <c r="K295" s="100" t="s">
        <v>73</v>
      </c>
      <c r="L295" s="100" t="s">
        <v>200</v>
      </c>
      <c r="M295" s="100" t="s">
        <v>201</v>
      </c>
      <c r="N295" s="100" t="s">
        <v>76</v>
      </c>
      <c r="O295" s="100" t="e">
        <f>VLOOKUP(Tabla156[[#This Row],[Matricula Antigua]],BAJA2022202320242025!$B$3:$CR$245,93,FALSE)</f>
        <v>#N/A</v>
      </c>
      <c r="P295" s="315">
        <v>44608</v>
      </c>
      <c r="Q295" s="315" t="e">
        <f>Tabla156[[#This Row],[F.Vig.Final]]-Tabla156[[#This Row],[f Vig Inicio]]</f>
        <v>#N/A</v>
      </c>
      <c r="R295" s="315">
        <f>YEAR(Tabla156[[#This Row],[F.Vig.Final]])</f>
        <v>2022</v>
      </c>
      <c r="S295" s="100" t="s">
        <v>77</v>
      </c>
      <c r="T295" s="100" t="s">
        <v>78</v>
      </c>
      <c r="U295" s="100" t="s">
        <v>359</v>
      </c>
      <c r="V295" s="100" t="s">
        <v>593</v>
      </c>
      <c r="W295" s="100" t="s">
        <v>119</v>
      </c>
      <c r="X295" s="100" t="s">
        <v>120</v>
      </c>
      <c r="Y295" s="100" t="s">
        <v>1516</v>
      </c>
      <c r="Z295" s="98">
        <f>COUNTIF($X$3:X295, X295)</f>
        <v>10</v>
      </c>
      <c r="AA295" s="98"/>
      <c r="AB295" s="98"/>
      <c r="AC295" s="98"/>
      <c r="AD295" s="98"/>
      <c r="AE295" s="98"/>
      <c r="AF295" s="98"/>
      <c r="AG295" s="98"/>
      <c r="AH295" s="98"/>
      <c r="AI295" s="98" t="e">
        <v>#N/A</v>
      </c>
      <c r="AJ295" s="98" t="e">
        <v>#N/A</v>
      </c>
      <c r="AK295" s="98" t="e">
        <v>#N/A</v>
      </c>
      <c r="AL295" s="98" t="e">
        <v>#N/A</v>
      </c>
      <c r="AM295" s="98" t="e">
        <v>#N/A</v>
      </c>
      <c r="AN295" s="99" t="e">
        <v>#N/A</v>
      </c>
      <c r="AO295" s="99" t="e">
        <v>#N/A</v>
      </c>
      <c r="AP295" s="99" t="e">
        <f>Tabla156[[#This Row],[Renov. Flota]]-Tabla156[[#This Row],[Año]]</f>
        <v>#N/A</v>
      </c>
      <c r="AQ295" s="100" t="e">
        <v>#N/A</v>
      </c>
      <c r="AR295" s="100" t="e">
        <f>VLOOKUP(Tabla156[[#This Row],[Matricula nueva]],'ALTA 20242025'!$B$2:$P$242,15,FALSE)</f>
        <v>#N/A</v>
      </c>
      <c r="AS295" s="101" t="e">
        <v>#N/A</v>
      </c>
      <c r="AT295" s="101"/>
      <c r="AU295" s="101"/>
      <c r="AV295" s="101"/>
      <c r="AW295" s="101" t="e">
        <f>VLOOKUP(Tabla156[[#This Row],[Matricula nueva]],Hoja2!$A$1:$B$224,2,FALSE)</f>
        <v>#N/A</v>
      </c>
      <c r="AX295" s="101" t="str">
        <f>IF(Tabla156[[#This Row],[Columna2]]="M1",5.1,"")</f>
        <v/>
      </c>
      <c r="AY295" s="101"/>
      <c r="AZ295" s="101"/>
      <c r="BA295" s="311">
        <f>IF(Tabla156[[#This Row],[Columna2]]="M1",13073,IF(Tabla156[[#This Row],[Columna2]]="N1",15815,IF(Tabla156[[#This Row],[Columna2]]="L3e",2831,53508)))</f>
        <v>53508</v>
      </c>
      <c r="BB295" s="311" t="e">
        <f>(Tabla156[[#This Row],[CVA]]*Tabla156[[#This Row],[F]]-Tabla156[[#This Row],[CVN]])/100*Tabla156[[#This Row],[L]]</f>
        <v>#VALUE!</v>
      </c>
      <c r="BC295" s="1"/>
      <c r="BD295" s="1" t="e">
        <f>VLOOKUP(B295,Tabla467824[[ID CAE2]:[AE '[kWh']]],6,FALSE)</f>
        <v>#N/A</v>
      </c>
      <c r="BE29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6" spans="1:57" ht="15.75" hidden="1" thickBot="1" x14ac:dyDescent="0.3">
      <c r="A296" s="53" t="s">
        <v>1483</v>
      </c>
      <c r="B296" s="53" t="e">
        <v>#N/A</v>
      </c>
      <c r="C296" s="96" t="s">
        <v>1517</v>
      </c>
      <c r="D296" s="96"/>
      <c r="E296" s="96"/>
      <c r="F296" s="96"/>
      <c r="G296" s="96"/>
      <c r="H296" s="96"/>
      <c r="I296" s="96"/>
      <c r="J296" s="96"/>
      <c r="K296" s="96" t="s">
        <v>73</v>
      </c>
      <c r="L296" s="96" t="s">
        <v>200</v>
      </c>
      <c r="M296" s="96" t="s">
        <v>201</v>
      </c>
      <c r="N296" s="96" t="s">
        <v>160</v>
      </c>
      <c r="O296" s="101">
        <f>VLOOKUP(Tabla156[[#This Row],[Matricula Antigua]],BAJA2022202320242025!$B$3:$CR$245,93,FALSE)</f>
        <v>44294</v>
      </c>
      <c r="P296" s="99">
        <v>45755</v>
      </c>
      <c r="Q296" s="99">
        <f>Tabla156[[#This Row],[F.Vig.Final]]-Tabla156[[#This Row],[f Vig Inicio]]</f>
        <v>1461</v>
      </c>
      <c r="R296" s="99">
        <f>YEAR(Tabla156[[#This Row],[F.Vig.Final]])</f>
        <v>2025</v>
      </c>
      <c r="S296" s="96" t="s">
        <v>161</v>
      </c>
      <c r="T296" s="96" t="s">
        <v>78</v>
      </c>
      <c r="U296" s="96" t="s">
        <v>79</v>
      </c>
      <c r="V296" s="96" t="s">
        <v>924</v>
      </c>
      <c r="W296" s="96" t="s">
        <v>102</v>
      </c>
      <c r="X296" s="96" t="s">
        <v>103</v>
      </c>
      <c r="Y296" s="96" t="s">
        <v>1518</v>
      </c>
      <c r="Z296" s="98">
        <f>COUNTIF($X$3:X296, X296)</f>
        <v>10</v>
      </c>
      <c r="AA296" s="98"/>
      <c r="AB296" s="98"/>
      <c r="AC296" s="98"/>
      <c r="AD296" s="98"/>
      <c r="AE296" s="98"/>
      <c r="AF296" s="98"/>
      <c r="AG296" s="98"/>
      <c r="AH296" s="98"/>
      <c r="AI296" s="98" t="e">
        <v>#N/A</v>
      </c>
      <c r="AJ296" s="98" t="e">
        <v>#N/A</v>
      </c>
      <c r="AK296" s="98" t="e">
        <v>#N/A</v>
      </c>
      <c r="AL296" s="98" t="e">
        <v>#N/A</v>
      </c>
      <c r="AM296" s="98" t="e">
        <v>#N/A</v>
      </c>
      <c r="AN296" s="99" t="e">
        <v>#N/A</v>
      </c>
      <c r="AO296" s="99" t="e">
        <v>#N/A</v>
      </c>
      <c r="AP296" s="99" t="e">
        <f>Tabla156[[#This Row],[Renov. Flota]]-Tabla156[[#This Row],[Año]]</f>
        <v>#N/A</v>
      </c>
      <c r="AQ296" s="100" t="e">
        <v>#N/A</v>
      </c>
      <c r="AR296" s="100" t="e">
        <f>VLOOKUP(Tabla156[[#This Row],[Matricula nueva]],'ALTA 20242025'!$B$2:$P$242,15,FALSE)</f>
        <v>#N/A</v>
      </c>
      <c r="AS296" s="101" t="e">
        <v>#N/A</v>
      </c>
      <c r="AT296" s="101"/>
      <c r="AU296" s="101"/>
      <c r="AV296" s="101"/>
      <c r="AW296" s="101" t="e">
        <f>VLOOKUP(Tabla156[[#This Row],[Matricula nueva]],Hoja2!$A$1:$B$224,2,FALSE)</f>
        <v>#N/A</v>
      </c>
      <c r="AX296" s="101" t="str">
        <f>IF(Tabla156[[#This Row],[Columna2]]="M1",5.1,"")</f>
        <v/>
      </c>
      <c r="AY296" s="101"/>
      <c r="AZ296" s="101"/>
      <c r="BA296" s="311">
        <f>IF(Tabla156[[#This Row],[Columna2]]="M1",13073,IF(Tabla156[[#This Row],[Columna2]]="N1",15815,IF(Tabla156[[#This Row],[Columna2]]="L3e",2831,53508)))</f>
        <v>53508</v>
      </c>
      <c r="BB296" s="311" t="e">
        <f>(Tabla156[[#This Row],[CVA]]*Tabla156[[#This Row],[F]]-Tabla156[[#This Row],[CVN]])/100*Tabla156[[#This Row],[L]]</f>
        <v>#VALUE!</v>
      </c>
      <c r="BC296" s="1"/>
      <c r="BD296" s="1" t="e">
        <f>VLOOKUP(B296,Tabla467824[[ID CAE2]:[AE '[kWh']]],6,FALSE)</f>
        <v>#N/A</v>
      </c>
      <c r="BE29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7" spans="1:57" ht="15.75" hidden="1" thickBot="1" x14ac:dyDescent="0.3">
      <c r="A297" s="53" t="s">
        <v>1485</v>
      </c>
      <c r="B297" s="53" t="e">
        <v>#N/A</v>
      </c>
      <c r="C297" s="100" t="s">
        <v>1519</v>
      </c>
      <c r="D297" s="100"/>
      <c r="E297" s="100"/>
      <c r="F297" s="100"/>
      <c r="G297" s="100"/>
      <c r="H297" s="100"/>
      <c r="I297" s="100"/>
      <c r="J297" s="100"/>
      <c r="K297" s="100" t="s">
        <v>73</v>
      </c>
      <c r="L297" s="100" t="s">
        <v>200</v>
      </c>
      <c r="M297" s="100" t="s">
        <v>201</v>
      </c>
      <c r="N297" s="100" t="s">
        <v>76</v>
      </c>
      <c r="O297" s="100" t="e">
        <f>VLOOKUP(Tabla156[[#This Row],[Matricula Antigua]],BAJA2022202320242025!$B$3:$CR$245,93,FALSE)</f>
        <v>#N/A</v>
      </c>
      <c r="P297" s="315">
        <v>44734</v>
      </c>
      <c r="Q297" s="315" t="e">
        <f>Tabla156[[#This Row],[F.Vig.Final]]-Tabla156[[#This Row],[f Vig Inicio]]</f>
        <v>#N/A</v>
      </c>
      <c r="R297" s="315">
        <f>YEAR(Tabla156[[#This Row],[F.Vig.Final]])</f>
        <v>2022</v>
      </c>
      <c r="S297" s="100" t="s">
        <v>77</v>
      </c>
      <c r="T297" s="100" t="s">
        <v>78</v>
      </c>
      <c r="U297" s="100" t="s">
        <v>359</v>
      </c>
      <c r="V297" s="100" t="s">
        <v>1520</v>
      </c>
      <c r="W297" s="100" t="s">
        <v>1521</v>
      </c>
      <c r="X297" s="100" t="s">
        <v>1522</v>
      </c>
      <c r="Y297" s="100" t="s">
        <v>1523</v>
      </c>
      <c r="Z297" s="98">
        <f>COUNTIF($X$3:X297, X297)</f>
        <v>1</v>
      </c>
      <c r="AA297" s="98"/>
      <c r="AB297" s="98"/>
      <c r="AC297" s="98"/>
      <c r="AD297" s="98"/>
      <c r="AE297" s="98"/>
      <c r="AF297" s="98"/>
      <c r="AG297" s="98"/>
      <c r="AH297" s="98"/>
      <c r="AI297" s="98" t="e">
        <v>#N/A</v>
      </c>
      <c r="AJ297" s="98" t="e">
        <v>#N/A</v>
      </c>
      <c r="AK297" s="98" t="e">
        <v>#N/A</v>
      </c>
      <c r="AL297" s="98" t="e">
        <v>#N/A</v>
      </c>
      <c r="AM297" s="98" t="e">
        <v>#N/A</v>
      </c>
      <c r="AN297" s="99" t="e">
        <v>#N/A</v>
      </c>
      <c r="AO297" s="99" t="e">
        <v>#N/A</v>
      </c>
      <c r="AP297" s="99" t="e">
        <f>Tabla156[[#This Row],[Renov. Flota]]-Tabla156[[#This Row],[Año]]</f>
        <v>#N/A</v>
      </c>
      <c r="AQ297" s="100" t="e">
        <v>#N/A</v>
      </c>
      <c r="AR297" s="100" t="e">
        <f>VLOOKUP(Tabla156[[#This Row],[Matricula nueva]],'ALTA 20242025'!$B$2:$P$242,15,FALSE)</f>
        <v>#N/A</v>
      </c>
      <c r="AS297" s="101" t="e">
        <v>#N/A</v>
      </c>
      <c r="AT297" s="101"/>
      <c r="AU297" s="101"/>
      <c r="AV297" s="101"/>
      <c r="AW297" s="101" t="e">
        <f>VLOOKUP(Tabla156[[#This Row],[Matricula nueva]],Hoja2!$A$1:$B$224,2,FALSE)</f>
        <v>#N/A</v>
      </c>
      <c r="AX297" s="101" t="str">
        <f>IF(Tabla156[[#This Row],[Columna2]]="M1",5.1,"")</f>
        <v/>
      </c>
      <c r="AY297" s="101"/>
      <c r="AZ297" s="101"/>
      <c r="BA297" s="311">
        <f>IF(Tabla156[[#This Row],[Columna2]]="M1",13073,IF(Tabla156[[#This Row],[Columna2]]="N1",15815,IF(Tabla156[[#This Row],[Columna2]]="L3e",2831,53508)))</f>
        <v>53508</v>
      </c>
      <c r="BB297" s="311" t="e">
        <f>(Tabla156[[#This Row],[CVA]]*Tabla156[[#This Row],[F]]-Tabla156[[#This Row],[CVN]])/100*Tabla156[[#This Row],[L]]</f>
        <v>#VALUE!</v>
      </c>
      <c r="BC297" s="1"/>
      <c r="BD297" s="1" t="e">
        <f>VLOOKUP(B297,Tabla467824[[ID CAE2]:[AE '[kWh']]],6,FALSE)</f>
        <v>#N/A</v>
      </c>
      <c r="BE29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8" spans="1:57" ht="15.75" hidden="1" thickBot="1" x14ac:dyDescent="0.3">
      <c r="A298" s="53" t="s">
        <v>1488</v>
      </c>
      <c r="B298" s="53" t="e">
        <v>#N/A</v>
      </c>
      <c r="C298" s="100" t="s">
        <v>1524</v>
      </c>
      <c r="D298" s="100"/>
      <c r="E298" s="100"/>
      <c r="F298" s="100"/>
      <c r="G298" s="100"/>
      <c r="H298" s="100"/>
      <c r="I298" s="100"/>
      <c r="J298" s="100"/>
      <c r="K298" s="100" t="s">
        <v>73</v>
      </c>
      <c r="L298" s="100" t="s">
        <v>200</v>
      </c>
      <c r="M298" s="100" t="s">
        <v>201</v>
      </c>
      <c r="N298" s="100" t="s">
        <v>76</v>
      </c>
      <c r="O298" s="100" t="e">
        <f>VLOOKUP(Tabla156[[#This Row],[Matricula Antigua]],BAJA2022202320242025!$B$3:$CR$245,93,FALSE)</f>
        <v>#N/A</v>
      </c>
      <c r="P298" s="315">
        <v>44641</v>
      </c>
      <c r="Q298" s="315" t="e">
        <f>Tabla156[[#This Row],[F.Vig.Final]]-Tabla156[[#This Row],[f Vig Inicio]]</f>
        <v>#N/A</v>
      </c>
      <c r="R298" s="315">
        <f>YEAR(Tabla156[[#This Row],[F.Vig.Final]])</f>
        <v>2022</v>
      </c>
      <c r="S298" s="100" t="s">
        <v>77</v>
      </c>
      <c r="T298" s="100" t="s">
        <v>78</v>
      </c>
      <c r="U298" s="100" t="s">
        <v>359</v>
      </c>
      <c r="V298" s="100" t="s">
        <v>604</v>
      </c>
      <c r="W298" s="100" t="s">
        <v>119</v>
      </c>
      <c r="X298" s="100" t="s">
        <v>120</v>
      </c>
      <c r="Y298" s="100" t="s">
        <v>260</v>
      </c>
      <c r="Z298" s="98">
        <f>COUNTIF($X$3:X298, X298)</f>
        <v>11</v>
      </c>
      <c r="AA298" s="98"/>
      <c r="AB298" s="98"/>
      <c r="AC298" s="98"/>
      <c r="AD298" s="98"/>
      <c r="AE298" s="98"/>
      <c r="AF298" s="98"/>
      <c r="AG298" s="98"/>
      <c r="AH298" s="98"/>
      <c r="AI298" s="98" t="e">
        <v>#N/A</v>
      </c>
      <c r="AJ298" s="98" t="e">
        <v>#N/A</v>
      </c>
      <c r="AK298" s="98" t="e">
        <v>#N/A</v>
      </c>
      <c r="AL298" s="98" t="e">
        <v>#N/A</v>
      </c>
      <c r="AM298" s="98" t="e">
        <v>#N/A</v>
      </c>
      <c r="AN298" s="99" t="e">
        <v>#N/A</v>
      </c>
      <c r="AO298" s="99" t="e">
        <v>#N/A</v>
      </c>
      <c r="AP298" s="99" t="e">
        <f>Tabla156[[#This Row],[Renov. Flota]]-Tabla156[[#This Row],[Año]]</f>
        <v>#N/A</v>
      </c>
      <c r="AQ298" s="100" t="e">
        <v>#N/A</v>
      </c>
      <c r="AR298" s="100" t="e">
        <f>VLOOKUP(Tabla156[[#This Row],[Matricula nueva]],'ALTA 20242025'!$B$2:$P$242,15,FALSE)</f>
        <v>#N/A</v>
      </c>
      <c r="AS298" s="101" t="e">
        <v>#N/A</v>
      </c>
      <c r="AT298" s="101"/>
      <c r="AU298" s="101"/>
      <c r="AV298" s="101"/>
      <c r="AW298" s="101" t="e">
        <f>VLOOKUP(Tabla156[[#This Row],[Matricula nueva]],Hoja2!$A$1:$B$224,2,FALSE)</f>
        <v>#N/A</v>
      </c>
      <c r="AX298" s="101" t="str">
        <f>IF(Tabla156[[#This Row],[Columna2]]="M1",5.1,"")</f>
        <v/>
      </c>
      <c r="AY298" s="101"/>
      <c r="AZ298" s="101"/>
      <c r="BA298" s="311">
        <f>IF(Tabla156[[#This Row],[Columna2]]="M1",13073,IF(Tabla156[[#This Row],[Columna2]]="N1",15815,IF(Tabla156[[#This Row],[Columna2]]="L3e",2831,53508)))</f>
        <v>53508</v>
      </c>
      <c r="BB298" s="311" t="e">
        <f>(Tabla156[[#This Row],[CVA]]*Tabla156[[#This Row],[F]]-Tabla156[[#This Row],[CVN]])/100*Tabla156[[#This Row],[L]]</f>
        <v>#VALUE!</v>
      </c>
      <c r="BC298" s="1"/>
      <c r="BD298" s="1" t="e">
        <f>VLOOKUP(B298,Tabla467824[[ID CAE2]:[AE '[kWh']]],6,FALSE)</f>
        <v>#N/A</v>
      </c>
      <c r="BE29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299" spans="1:57" ht="15.75" hidden="1" thickBot="1" x14ac:dyDescent="0.3">
      <c r="A299" s="53" t="s">
        <v>1490</v>
      </c>
      <c r="B299" s="53" t="e">
        <v>#N/A</v>
      </c>
      <c r="C299" s="100" t="s">
        <v>1525</v>
      </c>
      <c r="D299" s="100"/>
      <c r="E299" s="100"/>
      <c r="F299" s="100"/>
      <c r="G299" s="100"/>
      <c r="H299" s="100"/>
      <c r="I299" s="100"/>
      <c r="J299" s="100"/>
      <c r="K299" s="100" t="s">
        <v>73</v>
      </c>
      <c r="L299" s="100" t="s">
        <v>200</v>
      </c>
      <c r="M299" s="100" t="s">
        <v>201</v>
      </c>
      <c r="N299" s="100" t="s">
        <v>76</v>
      </c>
      <c r="O299" s="100" t="e">
        <f>VLOOKUP(Tabla156[[#This Row],[Matricula Antigua]],BAJA2022202320242025!$B$3:$CR$245,93,FALSE)</f>
        <v>#N/A</v>
      </c>
      <c r="P299" s="315">
        <v>44640</v>
      </c>
      <c r="Q299" s="315" t="e">
        <f>Tabla156[[#This Row],[F.Vig.Final]]-Tabla156[[#This Row],[f Vig Inicio]]</f>
        <v>#N/A</v>
      </c>
      <c r="R299" s="315">
        <f>YEAR(Tabla156[[#This Row],[F.Vig.Final]])</f>
        <v>2022</v>
      </c>
      <c r="S299" s="100" t="s">
        <v>77</v>
      </c>
      <c r="T299" s="100" t="s">
        <v>78</v>
      </c>
      <c r="U299" s="100" t="s">
        <v>359</v>
      </c>
      <c r="V299" s="100" t="s">
        <v>604</v>
      </c>
      <c r="W299" s="100" t="s">
        <v>131</v>
      </c>
      <c r="X299" s="100" t="s">
        <v>132</v>
      </c>
      <c r="Y299" s="100" t="s">
        <v>753</v>
      </c>
      <c r="Z299" s="98">
        <f>COUNTIF($X$3:X299, X299)</f>
        <v>39</v>
      </c>
      <c r="AA299" s="98"/>
      <c r="AB299" s="98"/>
      <c r="AC299" s="98"/>
      <c r="AD299" s="98"/>
      <c r="AE299" s="98"/>
      <c r="AF299" s="98"/>
      <c r="AG299" s="98"/>
      <c r="AH299" s="98"/>
      <c r="AI299" s="98" t="e">
        <v>#N/A</v>
      </c>
      <c r="AJ299" s="98" t="e">
        <v>#N/A</v>
      </c>
      <c r="AK299" s="98" t="e">
        <v>#N/A</v>
      </c>
      <c r="AL299" s="98" t="e">
        <v>#N/A</v>
      </c>
      <c r="AM299" s="98" t="e">
        <v>#N/A</v>
      </c>
      <c r="AN299" s="99" t="e">
        <v>#N/A</v>
      </c>
      <c r="AO299" s="99" t="e">
        <v>#N/A</v>
      </c>
      <c r="AP299" s="99" t="e">
        <f>Tabla156[[#This Row],[Renov. Flota]]-Tabla156[[#This Row],[Año]]</f>
        <v>#N/A</v>
      </c>
      <c r="AQ299" s="100" t="e">
        <v>#N/A</v>
      </c>
      <c r="AR299" s="100" t="e">
        <f>VLOOKUP(Tabla156[[#This Row],[Matricula nueva]],'ALTA 20242025'!$B$2:$P$242,15,FALSE)</f>
        <v>#N/A</v>
      </c>
      <c r="AS299" s="101" t="e">
        <v>#N/A</v>
      </c>
      <c r="AT299" s="101"/>
      <c r="AU299" s="101"/>
      <c r="AV299" s="101"/>
      <c r="AW299" s="101" t="e">
        <f>VLOOKUP(Tabla156[[#This Row],[Matricula nueva]],Hoja2!$A$1:$B$224,2,FALSE)</f>
        <v>#N/A</v>
      </c>
      <c r="AX299" s="101" t="str">
        <f>IF(Tabla156[[#This Row],[Columna2]]="M1",5.1,"")</f>
        <v/>
      </c>
      <c r="AY299" s="101"/>
      <c r="AZ299" s="101"/>
      <c r="BA299" s="311">
        <f>IF(Tabla156[[#This Row],[Columna2]]="M1",13073,IF(Tabla156[[#This Row],[Columna2]]="N1",15815,IF(Tabla156[[#This Row],[Columna2]]="L3e",2831,53508)))</f>
        <v>53508</v>
      </c>
      <c r="BB299" s="311" t="e">
        <f>(Tabla156[[#This Row],[CVA]]*Tabla156[[#This Row],[F]]-Tabla156[[#This Row],[CVN]])/100*Tabla156[[#This Row],[L]]</f>
        <v>#VALUE!</v>
      </c>
      <c r="BC299" s="1"/>
      <c r="BD299" s="1" t="e">
        <f>VLOOKUP(B299,Tabla467824[[ID CAE2]:[AE '[kWh']]],6,FALSE)</f>
        <v>#N/A</v>
      </c>
      <c r="BE29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0" spans="1:57" ht="15.75" hidden="1" thickBot="1" x14ac:dyDescent="0.3">
      <c r="A300" s="53" t="s">
        <v>1526</v>
      </c>
      <c r="B300" s="53" t="e">
        <v>#N/A</v>
      </c>
      <c r="C300" s="100" t="s">
        <v>1527</v>
      </c>
      <c r="D300" s="100"/>
      <c r="E300" s="100"/>
      <c r="F300" s="100"/>
      <c r="G300" s="100"/>
      <c r="H300" s="100"/>
      <c r="I300" s="100"/>
      <c r="J300" s="100"/>
      <c r="K300" s="100" t="s">
        <v>73</v>
      </c>
      <c r="L300" s="100" t="s">
        <v>200</v>
      </c>
      <c r="M300" s="100" t="s">
        <v>201</v>
      </c>
      <c r="N300" s="100" t="s">
        <v>76</v>
      </c>
      <c r="O300" s="100" t="e">
        <f>VLOOKUP(Tabla156[[#This Row],[Matricula Antigua]],BAJA2022202320242025!$B$3:$CR$245,93,FALSE)</f>
        <v>#N/A</v>
      </c>
      <c r="P300" s="315">
        <v>44711</v>
      </c>
      <c r="Q300" s="315" t="e">
        <f>Tabla156[[#This Row],[F.Vig.Final]]-Tabla156[[#This Row],[f Vig Inicio]]</f>
        <v>#N/A</v>
      </c>
      <c r="R300" s="315">
        <f>YEAR(Tabla156[[#This Row],[F.Vig.Final]])</f>
        <v>2022</v>
      </c>
      <c r="S300" s="100" t="s">
        <v>77</v>
      </c>
      <c r="T300" s="100" t="s">
        <v>78</v>
      </c>
      <c r="U300" s="100" t="s">
        <v>359</v>
      </c>
      <c r="V300" s="100" t="s">
        <v>593</v>
      </c>
      <c r="W300" s="100" t="s">
        <v>336</v>
      </c>
      <c r="X300" s="100" t="s">
        <v>337</v>
      </c>
      <c r="Y300" s="100" t="s">
        <v>1528</v>
      </c>
      <c r="Z300" s="98">
        <f>COUNTIF($X$3:X300, X300)</f>
        <v>29</v>
      </c>
      <c r="AA300" s="98"/>
      <c r="AB300" s="98"/>
      <c r="AC300" s="98"/>
      <c r="AD300" s="98"/>
      <c r="AE300" s="98"/>
      <c r="AF300" s="98"/>
      <c r="AG300" s="98"/>
      <c r="AH300" s="98"/>
      <c r="AI300" s="98" t="e">
        <v>#N/A</v>
      </c>
      <c r="AJ300" s="98" t="e">
        <v>#N/A</v>
      </c>
      <c r="AK300" s="98" t="e">
        <v>#N/A</v>
      </c>
      <c r="AL300" s="98" t="e">
        <v>#N/A</v>
      </c>
      <c r="AM300" s="98" t="e">
        <v>#N/A</v>
      </c>
      <c r="AN300" s="99" t="e">
        <v>#N/A</v>
      </c>
      <c r="AO300" s="99" t="e">
        <v>#N/A</v>
      </c>
      <c r="AP300" s="99" t="e">
        <f>Tabla156[[#This Row],[Renov. Flota]]-Tabla156[[#This Row],[Año]]</f>
        <v>#N/A</v>
      </c>
      <c r="AQ300" s="100" t="e">
        <v>#N/A</v>
      </c>
      <c r="AR300" s="100" t="e">
        <f>VLOOKUP(Tabla156[[#This Row],[Matricula nueva]],'ALTA 20242025'!$B$2:$P$242,15,FALSE)</f>
        <v>#N/A</v>
      </c>
      <c r="AS300" s="101" t="e">
        <v>#N/A</v>
      </c>
      <c r="AT300" s="101"/>
      <c r="AU300" s="101"/>
      <c r="AV300" s="101"/>
      <c r="AW300" s="101" t="e">
        <f>VLOOKUP(Tabla156[[#This Row],[Matricula nueva]],Hoja2!$A$1:$B$224,2,FALSE)</f>
        <v>#N/A</v>
      </c>
      <c r="AX300" s="101" t="str">
        <f>IF(Tabla156[[#This Row],[Columna2]]="M1",5.1,"")</f>
        <v/>
      </c>
      <c r="AY300" s="101"/>
      <c r="AZ300" s="101"/>
      <c r="BA300" s="311">
        <f>IF(Tabla156[[#This Row],[Columna2]]="M1",13073,IF(Tabla156[[#This Row],[Columna2]]="N1",15815,IF(Tabla156[[#This Row],[Columna2]]="L3e",2831,53508)))</f>
        <v>53508</v>
      </c>
      <c r="BB300" s="311" t="e">
        <f>(Tabla156[[#This Row],[CVA]]*Tabla156[[#This Row],[F]]-Tabla156[[#This Row],[CVN]])/100*Tabla156[[#This Row],[L]]</f>
        <v>#VALUE!</v>
      </c>
      <c r="BC300" s="1"/>
      <c r="BD300" s="1" t="e">
        <f>VLOOKUP(B300,Tabla467824[[ID CAE2]:[AE '[kWh']]],6,FALSE)</f>
        <v>#N/A</v>
      </c>
      <c r="BE30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1" spans="1:57" ht="15.75" hidden="1" thickBot="1" x14ac:dyDescent="0.3">
      <c r="A301" s="53" t="s">
        <v>1529</v>
      </c>
      <c r="B301" s="53" t="e">
        <v>#N/A</v>
      </c>
      <c r="C301" s="100" t="s">
        <v>1530</v>
      </c>
      <c r="D301" s="100"/>
      <c r="E301" s="100"/>
      <c r="F301" s="100"/>
      <c r="G301" s="100"/>
      <c r="H301" s="100"/>
      <c r="I301" s="100"/>
      <c r="J301" s="100"/>
      <c r="K301" s="100" t="s">
        <v>73</v>
      </c>
      <c r="L301" s="100" t="s">
        <v>200</v>
      </c>
      <c r="M301" s="100" t="s">
        <v>201</v>
      </c>
      <c r="N301" s="100" t="s">
        <v>76</v>
      </c>
      <c r="O301" s="100" t="e">
        <f>VLOOKUP(Tabla156[[#This Row],[Matricula Antigua]],BAJA2022202320242025!$B$3:$CR$245,93,FALSE)</f>
        <v>#N/A</v>
      </c>
      <c r="P301" s="315">
        <v>44843</v>
      </c>
      <c r="Q301" s="315" t="e">
        <f>Tabla156[[#This Row],[F.Vig.Final]]-Tabla156[[#This Row],[f Vig Inicio]]</f>
        <v>#N/A</v>
      </c>
      <c r="R301" s="315">
        <f>YEAR(Tabla156[[#This Row],[F.Vig.Final]])</f>
        <v>2022</v>
      </c>
      <c r="S301" s="100" t="s">
        <v>77</v>
      </c>
      <c r="T301" s="100" t="s">
        <v>78</v>
      </c>
      <c r="U301" s="100" t="s">
        <v>359</v>
      </c>
      <c r="V301" s="100" t="s">
        <v>604</v>
      </c>
      <c r="W301" s="100" t="s">
        <v>1531</v>
      </c>
      <c r="X301" s="100" t="s">
        <v>1532</v>
      </c>
      <c r="Y301" s="100" t="s">
        <v>1533</v>
      </c>
      <c r="Z301" s="98">
        <f>COUNTIF($X$3:X301, X301)</f>
        <v>1</v>
      </c>
      <c r="AA301" s="98"/>
      <c r="AB301" s="98"/>
      <c r="AC301" s="98"/>
      <c r="AD301" s="98"/>
      <c r="AE301" s="98"/>
      <c r="AF301" s="98"/>
      <c r="AG301" s="98"/>
      <c r="AH301" s="98"/>
      <c r="AI301" s="98" t="e">
        <v>#N/A</v>
      </c>
      <c r="AJ301" s="98" t="e">
        <v>#N/A</v>
      </c>
      <c r="AK301" s="98" t="e">
        <v>#N/A</v>
      </c>
      <c r="AL301" s="98" t="e">
        <v>#N/A</v>
      </c>
      <c r="AM301" s="98" t="e">
        <v>#N/A</v>
      </c>
      <c r="AN301" s="99" t="e">
        <v>#N/A</v>
      </c>
      <c r="AO301" s="99" t="e">
        <v>#N/A</v>
      </c>
      <c r="AP301" s="99" t="e">
        <f>Tabla156[[#This Row],[Renov. Flota]]-Tabla156[[#This Row],[Año]]</f>
        <v>#N/A</v>
      </c>
      <c r="AQ301" s="100" t="e">
        <v>#N/A</v>
      </c>
      <c r="AR301" s="100" t="e">
        <f>VLOOKUP(Tabla156[[#This Row],[Matricula nueva]],'ALTA 20242025'!$B$2:$P$242,15,FALSE)</f>
        <v>#N/A</v>
      </c>
      <c r="AS301" s="101" t="e">
        <v>#N/A</v>
      </c>
      <c r="AT301" s="101"/>
      <c r="AU301" s="101"/>
      <c r="AV301" s="101"/>
      <c r="AW301" s="101" t="e">
        <f>VLOOKUP(Tabla156[[#This Row],[Matricula nueva]],Hoja2!$A$1:$B$224,2,FALSE)</f>
        <v>#N/A</v>
      </c>
      <c r="AX301" s="101" t="str">
        <f>IF(Tabla156[[#This Row],[Columna2]]="M1",5.1,"")</f>
        <v/>
      </c>
      <c r="AY301" s="101"/>
      <c r="AZ301" s="101"/>
      <c r="BA301" s="311">
        <f>IF(Tabla156[[#This Row],[Columna2]]="M1",13073,IF(Tabla156[[#This Row],[Columna2]]="N1",15815,IF(Tabla156[[#This Row],[Columna2]]="L3e",2831,53508)))</f>
        <v>53508</v>
      </c>
      <c r="BB301" s="311" t="e">
        <f>(Tabla156[[#This Row],[CVA]]*Tabla156[[#This Row],[F]]-Tabla156[[#This Row],[CVN]])/100*Tabla156[[#This Row],[L]]</f>
        <v>#VALUE!</v>
      </c>
      <c r="BC301" s="1"/>
      <c r="BD301" s="1" t="e">
        <f>VLOOKUP(B301,Tabla467824[[ID CAE2]:[AE '[kWh']]],6,FALSE)</f>
        <v>#N/A</v>
      </c>
      <c r="BE30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2" spans="1:57" ht="15.75" hidden="1" thickBot="1" x14ac:dyDescent="0.3">
      <c r="A302" s="53" t="s">
        <v>1534</v>
      </c>
      <c r="B302" s="53" t="e">
        <v>#N/A</v>
      </c>
      <c r="C302" s="96" t="s">
        <v>1535</v>
      </c>
      <c r="D302" s="96"/>
      <c r="E302" s="96"/>
      <c r="F302" s="96"/>
      <c r="G302" s="96"/>
      <c r="H302" s="96"/>
      <c r="I302" s="96"/>
      <c r="J302" s="96"/>
      <c r="K302" s="96" t="s">
        <v>73</v>
      </c>
      <c r="L302" s="96" t="s">
        <v>200</v>
      </c>
      <c r="M302" s="96" t="s">
        <v>201</v>
      </c>
      <c r="N302" s="96" t="s">
        <v>160</v>
      </c>
      <c r="O302" s="101">
        <f>VLOOKUP(Tabla156[[#This Row],[Matricula Antigua]],BAJA2022202320242025!$B$3:$CR$245,93,FALSE)</f>
        <v>44358</v>
      </c>
      <c r="P302" s="99">
        <v>45819</v>
      </c>
      <c r="Q302" s="99">
        <f>Tabla156[[#This Row],[F.Vig.Final]]-Tabla156[[#This Row],[f Vig Inicio]]</f>
        <v>1461</v>
      </c>
      <c r="R302" s="99">
        <f>YEAR(Tabla156[[#This Row],[F.Vig.Final]])</f>
        <v>2025</v>
      </c>
      <c r="S302" s="96" t="s">
        <v>161</v>
      </c>
      <c r="T302" s="96" t="s">
        <v>78</v>
      </c>
      <c r="U302" s="96" t="s">
        <v>213</v>
      </c>
      <c r="V302" s="96" t="s">
        <v>237</v>
      </c>
      <c r="W302" s="96" t="s">
        <v>102</v>
      </c>
      <c r="X302" s="96" t="s">
        <v>103</v>
      </c>
      <c r="Y302" s="96" t="s">
        <v>1536</v>
      </c>
      <c r="Z302" s="98">
        <f>COUNTIF($X$3:X302, X302)</f>
        <v>11</v>
      </c>
      <c r="AA302" s="98"/>
      <c r="AB302" s="98"/>
      <c r="AC302" s="98"/>
      <c r="AD302" s="98"/>
      <c r="AE302" s="98"/>
      <c r="AF302" s="98"/>
      <c r="AG302" s="98"/>
      <c r="AH302" s="98"/>
      <c r="AI302" s="98" t="e">
        <v>#N/A</v>
      </c>
      <c r="AJ302" s="98" t="e">
        <v>#N/A</v>
      </c>
      <c r="AK302" s="98" t="e">
        <v>#N/A</v>
      </c>
      <c r="AL302" s="98" t="e">
        <v>#N/A</v>
      </c>
      <c r="AM302" s="98" t="e">
        <v>#N/A</v>
      </c>
      <c r="AN302" s="99" t="e">
        <v>#N/A</v>
      </c>
      <c r="AO302" s="99" t="e">
        <v>#N/A</v>
      </c>
      <c r="AP302" s="99" t="e">
        <f>Tabla156[[#This Row],[Renov. Flota]]-Tabla156[[#This Row],[Año]]</f>
        <v>#N/A</v>
      </c>
      <c r="AQ302" s="100" t="e">
        <v>#N/A</v>
      </c>
      <c r="AR302" s="100" t="e">
        <f>VLOOKUP(Tabla156[[#This Row],[Matricula nueva]],'ALTA 20242025'!$B$2:$P$242,15,FALSE)</f>
        <v>#N/A</v>
      </c>
      <c r="AS302" s="101" t="e">
        <v>#N/A</v>
      </c>
      <c r="AT302" s="101"/>
      <c r="AU302" s="101"/>
      <c r="AV302" s="101"/>
      <c r="AW302" s="101" t="e">
        <f>VLOOKUP(Tabla156[[#This Row],[Matricula nueva]],Hoja2!$A$1:$B$224,2,FALSE)</f>
        <v>#N/A</v>
      </c>
      <c r="AX302" s="101" t="str">
        <f>IF(Tabla156[[#This Row],[Columna2]]="M1",5.1,"")</f>
        <v/>
      </c>
      <c r="AY302" s="101"/>
      <c r="AZ302" s="101"/>
      <c r="BA302" s="311">
        <f>IF(Tabla156[[#This Row],[Columna2]]="M1",13073,IF(Tabla156[[#This Row],[Columna2]]="N1",15815,IF(Tabla156[[#This Row],[Columna2]]="L3e",2831,53508)))</f>
        <v>53508</v>
      </c>
      <c r="BB302" s="311" t="e">
        <f>(Tabla156[[#This Row],[CVA]]*Tabla156[[#This Row],[F]]-Tabla156[[#This Row],[CVN]])/100*Tabla156[[#This Row],[L]]</f>
        <v>#VALUE!</v>
      </c>
      <c r="BC302" s="1"/>
      <c r="BD302" s="1" t="e">
        <f>VLOOKUP(B302,Tabla467824[[ID CAE2]:[AE '[kWh']]],6,FALSE)</f>
        <v>#N/A</v>
      </c>
      <c r="BE30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3" spans="1:57" ht="15.75" hidden="1" thickBot="1" x14ac:dyDescent="0.3">
      <c r="A303" s="53" t="s">
        <v>1537</v>
      </c>
      <c r="B303" s="53" t="e">
        <v>#N/A</v>
      </c>
      <c r="C303" s="100" t="s">
        <v>1538</v>
      </c>
      <c r="D303" s="100"/>
      <c r="E303" s="100"/>
      <c r="F303" s="100"/>
      <c r="G303" s="100"/>
      <c r="H303" s="100"/>
      <c r="I303" s="100"/>
      <c r="J303" s="100"/>
      <c r="K303" s="100" t="s">
        <v>885</v>
      </c>
      <c r="L303" s="100" t="s">
        <v>161</v>
      </c>
      <c r="M303" s="100" t="s">
        <v>886</v>
      </c>
      <c r="N303" s="100" t="s">
        <v>76</v>
      </c>
      <c r="O303" s="100" t="e">
        <f>VLOOKUP(Tabla156[[#This Row],[Matricula Antigua]],BAJA2022202320242025!$B$3:$CR$245,93,FALSE)</f>
        <v>#N/A</v>
      </c>
      <c r="P303" s="315">
        <v>44865</v>
      </c>
      <c r="Q303" s="315" t="e">
        <f>Tabla156[[#This Row],[F.Vig.Final]]-Tabla156[[#This Row],[f Vig Inicio]]</f>
        <v>#N/A</v>
      </c>
      <c r="R303" s="315">
        <f>YEAR(Tabla156[[#This Row],[F.Vig.Final]])</f>
        <v>2022</v>
      </c>
      <c r="S303" s="100" t="s">
        <v>77</v>
      </c>
      <c r="T303" s="100" t="s">
        <v>78</v>
      </c>
      <c r="U303" s="100" t="s">
        <v>213</v>
      </c>
      <c r="V303" s="100" t="s">
        <v>1539</v>
      </c>
      <c r="W303" s="100" t="s">
        <v>336</v>
      </c>
      <c r="X303" s="100" t="s">
        <v>337</v>
      </c>
      <c r="Y303" s="100" t="s">
        <v>1430</v>
      </c>
      <c r="Z303" s="98">
        <f>COUNTIF($X$3:X303, X303)</f>
        <v>30</v>
      </c>
      <c r="AA303" s="98"/>
      <c r="AB303" s="98"/>
      <c r="AC303" s="98"/>
      <c r="AD303" s="98"/>
      <c r="AE303" s="98"/>
      <c r="AF303" s="98"/>
      <c r="AG303" s="98"/>
      <c r="AH303" s="98"/>
      <c r="AI303" s="98" t="e">
        <v>#N/A</v>
      </c>
      <c r="AJ303" s="98" t="e">
        <v>#N/A</v>
      </c>
      <c r="AK303" s="98" t="e">
        <v>#N/A</v>
      </c>
      <c r="AL303" s="98" t="e">
        <v>#N/A</v>
      </c>
      <c r="AM303" s="98" t="e">
        <v>#N/A</v>
      </c>
      <c r="AN303" s="99" t="e">
        <v>#N/A</v>
      </c>
      <c r="AO303" s="99" t="e">
        <v>#N/A</v>
      </c>
      <c r="AP303" s="99" t="e">
        <f>Tabla156[[#This Row],[Renov. Flota]]-Tabla156[[#This Row],[Año]]</f>
        <v>#N/A</v>
      </c>
      <c r="AQ303" s="100" t="e">
        <v>#N/A</v>
      </c>
      <c r="AR303" s="100" t="e">
        <f>VLOOKUP(Tabla156[[#This Row],[Matricula nueva]],'ALTA 20242025'!$B$2:$P$242,15,FALSE)</f>
        <v>#N/A</v>
      </c>
      <c r="AS303" s="101" t="e">
        <v>#N/A</v>
      </c>
      <c r="AT303" s="101"/>
      <c r="AU303" s="101"/>
      <c r="AV303" s="101"/>
      <c r="AW303" s="101" t="e">
        <f>VLOOKUP(Tabla156[[#This Row],[Matricula nueva]],Hoja2!$A$1:$B$224,2,FALSE)</f>
        <v>#N/A</v>
      </c>
      <c r="AX303" s="101" t="str">
        <f>IF(Tabla156[[#This Row],[Columna2]]="M1",5.1,"")</f>
        <v/>
      </c>
      <c r="AY303" s="101"/>
      <c r="AZ303" s="101"/>
      <c r="BA303" s="311">
        <f>IF(Tabla156[[#This Row],[Columna2]]="M1",13073,IF(Tabla156[[#This Row],[Columna2]]="N1",15815,IF(Tabla156[[#This Row],[Columna2]]="L3e",2831,53508)))</f>
        <v>53508</v>
      </c>
      <c r="BB303" s="311" t="e">
        <f>(Tabla156[[#This Row],[CVA]]*Tabla156[[#This Row],[F]]-Tabla156[[#This Row],[CVN]])/100*Tabla156[[#This Row],[L]]</f>
        <v>#VALUE!</v>
      </c>
      <c r="BC303" s="1"/>
      <c r="BD303" s="1" t="e">
        <f>VLOOKUP(B303,Tabla467824[[ID CAE2]:[AE '[kWh']]],6,FALSE)</f>
        <v>#N/A</v>
      </c>
      <c r="BE30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4" spans="1:57" ht="15.75" hidden="1" thickBot="1" x14ac:dyDescent="0.3">
      <c r="A304" s="53" t="s">
        <v>1540</v>
      </c>
      <c r="B304" s="53" t="e">
        <v>#N/A</v>
      </c>
      <c r="C304" s="100" t="s">
        <v>1541</v>
      </c>
      <c r="D304" s="100"/>
      <c r="E304" s="100"/>
      <c r="F304" s="100"/>
      <c r="G304" s="100"/>
      <c r="H304" s="100"/>
      <c r="I304" s="100"/>
      <c r="J304" s="100"/>
      <c r="K304" s="100" t="s">
        <v>73</v>
      </c>
      <c r="L304" s="100" t="s">
        <v>200</v>
      </c>
      <c r="M304" s="100" t="s">
        <v>201</v>
      </c>
      <c r="N304" s="100" t="s">
        <v>76</v>
      </c>
      <c r="O304" s="100" t="e">
        <f>VLOOKUP(Tabla156[[#This Row],[Matricula Antigua]],BAJA2022202320242025!$B$3:$CR$245,93,FALSE)</f>
        <v>#N/A</v>
      </c>
      <c r="P304" s="315">
        <v>44697</v>
      </c>
      <c r="Q304" s="315" t="e">
        <f>Tabla156[[#This Row],[F.Vig.Final]]-Tabla156[[#This Row],[f Vig Inicio]]</f>
        <v>#N/A</v>
      </c>
      <c r="R304" s="315">
        <f>YEAR(Tabla156[[#This Row],[F.Vig.Final]])</f>
        <v>2022</v>
      </c>
      <c r="S304" s="100" t="s">
        <v>77</v>
      </c>
      <c r="T304" s="100" t="s">
        <v>78</v>
      </c>
      <c r="U304" s="100" t="s">
        <v>359</v>
      </c>
      <c r="V304" s="100" t="s">
        <v>1542</v>
      </c>
      <c r="W304" s="100" t="s">
        <v>102</v>
      </c>
      <c r="X304" s="100" t="s">
        <v>103</v>
      </c>
      <c r="Y304" s="100" t="s">
        <v>115</v>
      </c>
      <c r="Z304" s="98">
        <f>COUNTIF($X$3:X304, X304)</f>
        <v>12</v>
      </c>
      <c r="AA304" s="98"/>
      <c r="AB304" s="98"/>
      <c r="AC304" s="98"/>
      <c r="AD304" s="98"/>
      <c r="AE304" s="320"/>
      <c r="AF304" s="98"/>
      <c r="AG304" s="98"/>
      <c r="AH304" s="98"/>
      <c r="AI304" s="98" t="e">
        <v>#N/A</v>
      </c>
      <c r="AJ304" s="98" t="e">
        <v>#N/A</v>
      </c>
      <c r="AK304" s="98" t="e">
        <v>#N/A</v>
      </c>
      <c r="AL304" s="98" t="e">
        <v>#N/A</v>
      </c>
      <c r="AM304" s="98" t="e">
        <v>#N/A</v>
      </c>
      <c r="AN304" s="99" t="e">
        <v>#N/A</v>
      </c>
      <c r="AO304" s="99" t="e">
        <v>#N/A</v>
      </c>
      <c r="AP304" s="99" t="e">
        <f>Tabla156[[#This Row],[Renov. Flota]]-Tabla156[[#This Row],[Año]]</f>
        <v>#N/A</v>
      </c>
      <c r="AQ304" s="100" t="e">
        <v>#N/A</v>
      </c>
      <c r="AR304" s="100" t="e">
        <f>VLOOKUP(Tabla156[[#This Row],[Matricula nueva]],'ALTA 20242025'!$B$2:$P$242,15,FALSE)</f>
        <v>#N/A</v>
      </c>
      <c r="AS304" s="101" t="e">
        <v>#N/A</v>
      </c>
      <c r="AT304" s="101"/>
      <c r="AU304" s="101"/>
      <c r="AV304" s="101"/>
      <c r="AW304" s="101" t="e">
        <f>VLOOKUP(Tabla156[[#This Row],[Matricula nueva]],Hoja2!$A$1:$B$224,2,FALSE)</f>
        <v>#N/A</v>
      </c>
      <c r="AX304" s="101" t="str">
        <f>IF(Tabla156[[#This Row],[Columna2]]="M1",5.1,"")</f>
        <v/>
      </c>
      <c r="AY304" s="101"/>
      <c r="AZ304" s="101"/>
      <c r="BA304" s="311">
        <f>IF(Tabla156[[#This Row],[Columna2]]="M1",13073,IF(Tabla156[[#This Row],[Columna2]]="N1",15815,IF(Tabla156[[#This Row],[Columna2]]="L3e",2831,53508)))</f>
        <v>53508</v>
      </c>
      <c r="BB304" s="311" t="e">
        <f>(Tabla156[[#This Row],[CVA]]*Tabla156[[#This Row],[F]]-Tabla156[[#This Row],[CVN]])/100*Tabla156[[#This Row],[L]]</f>
        <v>#VALUE!</v>
      </c>
      <c r="BC304" s="1"/>
      <c r="BD304" s="1" t="e">
        <f>VLOOKUP(B304,Tabla467824[[ID CAE2]:[AE '[kWh']]],6,FALSE)</f>
        <v>#N/A</v>
      </c>
      <c r="BE30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5" spans="1:57" ht="52.5" thickBot="1" x14ac:dyDescent="0.3">
      <c r="A305" s="53" t="s">
        <v>1105</v>
      </c>
      <c r="B305" s="53" t="s">
        <v>1105</v>
      </c>
      <c r="C305" s="332" t="s">
        <v>1106</v>
      </c>
      <c r="D305" s="104" t="s">
        <v>72</v>
      </c>
      <c r="E305" s="104" t="s">
        <v>72</v>
      </c>
      <c r="F305" s="104" t="s">
        <v>72</v>
      </c>
      <c r="G305" s="104"/>
      <c r="H305" s="104" t="s">
        <v>249</v>
      </c>
      <c r="I305" s="104" t="s">
        <v>249</v>
      </c>
      <c r="J305" s="104"/>
      <c r="K305" s="96" t="s">
        <v>1034</v>
      </c>
      <c r="L305" s="96" t="s">
        <v>200</v>
      </c>
      <c r="M305" s="96" t="s">
        <v>201</v>
      </c>
      <c r="N305" s="96" t="s">
        <v>76</v>
      </c>
      <c r="O305" s="101">
        <f>VLOOKUP(Tabla156[[#This Row],[Matricula Antigua]],BAJA2022202320242025!$B$3:$CR$245,93,FALSE)</f>
        <v>44148</v>
      </c>
      <c r="P305" s="316">
        <v>45609</v>
      </c>
      <c r="Q305" s="317">
        <f>Tabla156[[#This Row],[F.Vig.Final]]-Tabla156[[#This Row],[f Vig Inicio]]</f>
        <v>1461</v>
      </c>
      <c r="R305" s="318">
        <f>YEAR(Tabla156[[#This Row],[F.Vig.Final]])</f>
        <v>2024</v>
      </c>
      <c r="S305" s="96" t="s">
        <v>77</v>
      </c>
      <c r="T305" s="96" t="s">
        <v>202</v>
      </c>
      <c r="U305" s="96" t="s">
        <v>524</v>
      </c>
      <c r="V305" s="96" t="s">
        <v>1107</v>
      </c>
      <c r="W305" s="96" t="s">
        <v>119</v>
      </c>
      <c r="X305" s="332" t="s">
        <v>1674</v>
      </c>
      <c r="Y305" s="96" t="s">
        <v>1108</v>
      </c>
      <c r="Z305" s="98">
        <f>COUNTIF($X$3:X305, X305)</f>
        <v>27</v>
      </c>
      <c r="AA305" s="337" t="s">
        <v>1661</v>
      </c>
      <c r="AB305" s="337" t="s">
        <v>1661</v>
      </c>
      <c r="AC305" s="337" t="s">
        <v>1662</v>
      </c>
      <c r="AD305" s="337" t="s">
        <v>1663</v>
      </c>
      <c r="AE305" s="342" t="s">
        <v>1664</v>
      </c>
      <c r="AF305" s="337" t="s">
        <v>1665</v>
      </c>
      <c r="AG305" s="337" t="s">
        <v>1666</v>
      </c>
      <c r="AH305" s="337" t="s">
        <v>1649</v>
      </c>
      <c r="AI305" s="337" t="s">
        <v>1109</v>
      </c>
      <c r="AJ305" s="98" t="s">
        <v>140</v>
      </c>
      <c r="AK305" s="98" t="s">
        <v>151</v>
      </c>
      <c r="AL305" s="98" t="s">
        <v>87</v>
      </c>
      <c r="AM305" s="101" t="s">
        <v>501</v>
      </c>
      <c r="AN305" s="348" t="s">
        <v>89</v>
      </c>
      <c r="AO305" s="349">
        <v>45625</v>
      </c>
      <c r="AP305" s="98">
        <f>Tabla156[[#This Row],[Renov. Flota]]-Tabla156[[#This Row],[Año]]</f>
        <v>0</v>
      </c>
      <c r="AQ305" s="100" t="s">
        <v>119</v>
      </c>
      <c r="AR305" s="100" t="str">
        <f>VLOOKUP(Tabla156[[#This Row],[Matricula nueva]],'ALTA 20242025'!$B$2:$P$242,15,FALSE)</f>
        <v>4500424797</v>
      </c>
      <c r="AS305" s="101" t="s">
        <v>120</v>
      </c>
      <c r="AT305" s="101"/>
      <c r="AU305" s="101" t="s">
        <v>72</v>
      </c>
      <c r="AV305" s="101" t="s">
        <v>91</v>
      </c>
      <c r="AW305" s="101" t="str">
        <f>VLOOKUP(Tabla156[[#This Row],[Matricula nueva]],Hoja2!$A$1:$B$224,2,FALSE)</f>
        <v>VR7CBZYA4RT152185</v>
      </c>
      <c r="AX305" s="209">
        <f>IF(Tabla156[[#This Row],[Columna2]]="M1",5.1,"")</f>
        <v>5.0999999999999996</v>
      </c>
      <c r="AY305" s="208">
        <f>IF(T305="DIESEL",10,IF(T305="GLP",7.16,9.19))</f>
        <v>9.19</v>
      </c>
      <c r="AZ305" s="313">
        <v>16.399999999999999</v>
      </c>
      <c r="BA305" s="314">
        <f>IF(Tabla156[[#This Row],[Columna2]]="M1",13073,IF(Tabla156[[#This Row],[Columna2]]="N1",15815,IF(Tabla156[[#This Row],[Columna2]]="L3e",2831,53508)))</f>
        <v>13073</v>
      </c>
      <c r="BB305" s="350">
        <f>(Tabla156[[#This Row],[CVA]]*Tabla156[[#This Row],[F]]-Tabla156[[#This Row],[CVN]])/100*Tabla156[[#This Row],[L]]</f>
        <v>3983.2123699999993</v>
      </c>
      <c r="BC305" s="92" t="s">
        <v>70</v>
      </c>
      <c r="BD305" s="209">
        <f>VLOOKUP(B305,Tabla467824[[ID CAE2]:[AE '[kWh']]],6,FALSE)</f>
        <v>7136.4330429999991</v>
      </c>
      <c r="BE30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CORRECTO ALQUILER</v>
      </c>
    </row>
    <row r="306" spans="1:57" ht="15" hidden="1" x14ac:dyDescent="0.25">
      <c r="A306" t="s">
        <v>1543</v>
      </c>
      <c r="B306"/>
      <c r="C306" s="31" t="s">
        <v>1544</v>
      </c>
      <c r="D306" s="31"/>
      <c r="E306" s="31"/>
      <c r="F306" s="31"/>
      <c r="G306" s="31"/>
      <c r="H306" s="31"/>
      <c r="I306" s="31"/>
      <c r="J306" s="31"/>
      <c r="K306" s="31" t="s">
        <v>73</v>
      </c>
      <c r="L306" s="31" t="s">
        <v>200</v>
      </c>
      <c r="M306" s="31" t="s">
        <v>201</v>
      </c>
      <c r="N306" s="31" t="s">
        <v>76</v>
      </c>
      <c r="O306" s="31" t="e">
        <f>VLOOKUP(Tabla156[[#This Row],[Matricula Antigua]],BAJA2022202320242025!$B$3:$CR$245,93,FALSE)</f>
        <v>#N/A</v>
      </c>
      <c r="P306" s="32">
        <v>44636</v>
      </c>
      <c r="Q306" s="32" t="e">
        <f>Tabla156[[#This Row],[F.Vig.Final]]-Tabla156[[#This Row],[f Vig Inicio]]</f>
        <v>#N/A</v>
      </c>
      <c r="R306" s="32">
        <f>YEAR(Tabla156[[#This Row],[F.Vig.Final]])</f>
        <v>2022</v>
      </c>
      <c r="S306" s="31" t="s">
        <v>77</v>
      </c>
      <c r="T306" s="31" t="s">
        <v>78</v>
      </c>
      <c r="U306" s="31" t="s">
        <v>359</v>
      </c>
      <c r="V306" s="31" t="s">
        <v>593</v>
      </c>
      <c r="W306" s="31" t="s">
        <v>102</v>
      </c>
      <c r="X306" s="31" t="s">
        <v>103</v>
      </c>
      <c r="Y306" s="31" t="s">
        <v>457</v>
      </c>
      <c r="Z306" s="93">
        <f>COUNTIF($X$3:X306, X306)</f>
        <v>13</v>
      </c>
      <c r="AA306" s="93"/>
      <c r="AB306" s="93"/>
      <c r="AC306" s="93"/>
      <c r="AD306" s="93"/>
      <c r="AE306" s="93"/>
      <c r="AF306" s="93"/>
      <c r="AG306" s="93"/>
      <c r="AH306" s="93"/>
      <c r="AI306" s="93" t="e">
        <v>#N/A</v>
      </c>
      <c r="AJ306" s="93" t="e">
        <v>#N/A</v>
      </c>
      <c r="AK306" s="93" t="e">
        <v>#N/A</v>
      </c>
      <c r="AL306" s="93" t="e">
        <v>#N/A</v>
      </c>
      <c r="AM306" s="93" t="e">
        <v>#N/A</v>
      </c>
      <c r="AN306" s="21" t="e">
        <v>#N/A</v>
      </c>
      <c r="AO306" s="21" t="e">
        <v>#N/A</v>
      </c>
      <c r="AP306" s="21" t="e">
        <f>Tabla156[[#This Row],[Renov. Flota]]-Tabla156[[#This Row],[Año]]</f>
        <v>#N/A</v>
      </c>
      <c r="AQ306" s="94" t="e">
        <v>#N/A</v>
      </c>
      <c r="AR306" s="94" t="e">
        <f>VLOOKUP(Tabla156[[#This Row],[Matricula nueva]],'ALTA 20242025'!$B$2:$P$242,15,FALSE)</f>
        <v>#N/A</v>
      </c>
      <c r="AS306" s="95" t="e">
        <v>#N/A</v>
      </c>
      <c r="AV306" s="1"/>
      <c r="AW306" s="1" t="e">
        <f>VLOOKUP(Tabla156[[#This Row],[Matricula nueva]],Hoja2!$A$1:$B$224,2,FALSE)</f>
        <v>#N/A</v>
      </c>
      <c r="AX306" s="1" t="str">
        <f>IF(Tabla156[[#This Row],[Columna2]]="M1",5.1,"")</f>
        <v/>
      </c>
      <c r="AY306" s="1"/>
      <c r="AZ306" s="1"/>
      <c r="BA306" s="47">
        <f>IF(Tabla156[[#This Row],[Columna2]]="M1",13073,IF(Tabla156[[#This Row],[Columna2]]="N1",15815,IF(Tabla156[[#This Row],[Columna2]]="L3e",2831,53508)))</f>
        <v>53508</v>
      </c>
      <c r="BB306" s="47" t="e">
        <f>(Tabla156[[#This Row],[CVA]]*Tabla156[[#This Row],[F]]-Tabla156[[#This Row],[CVN]])/100*Tabla156[[#This Row],[L]]</f>
        <v>#VALUE!</v>
      </c>
      <c r="BC306" s="1"/>
      <c r="BD306" s="1" t="e">
        <f>VLOOKUP(B306,Tabla467824[[ID CAE2]:[AE '[kWh']]],6,FALSE)</f>
        <v>#N/A</v>
      </c>
      <c r="BE30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7" spans="1:57" ht="15" hidden="1" x14ac:dyDescent="0.25">
      <c r="A307" t="s">
        <v>1545</v>
      </c>
      <c r="B307"/>
      <c r="C307" s="31" t="s">
        <v>1546</v>
      </c>
      <c r="D307" s="31"/>
      <c r="E307" s="31"/>
      <c r="F307" s="31"/>
      <c r="G307" s="31"/>
      <c r="H307" s="31"/>
      <c r="I307" s="31"/>
      <c r="J307" s="31"/>
      <c r="K307" s="31" t="s">
        <v>1034</v>
      </c>
      <c r="L307" s="31" t="s">
        <v>200</v>
      </c>
      <c r="M307" s="31" t="s">
        <v>201</v>
      </c>
      <c r="N307" s="31" t="s">
        <v>76</v>
      </c>
      <c r="O307" s="31" t="e">
        <f>VLOOKUP(Tabla156[[#This Row],[Matricula Antigua]],BAJA2022202320242025!$B$3:$CR$245,93,FALSE)</f>
        <v>#N/A</v>
      </c>
      <c r="P307" s="32">
        <v>44886</v>
      </c>
      <c r="Q307" s="32" t="e">
        <f>Tabla156[[#This Row],[F.Vig.Final]]-Tabla156[[#This Row],[f Vig Inicio]]</f>
        <v>#N/A</v>
      </c>
      <c r="R307" s="32">
        <f>YEAR(Tabla156[[#This Row],[F.Vig.Final]])</f>
        <v>2022</v>
      </c>
      <c r="S307" s="31" t="s">
        <v>77</v>
      </c>
      <c r="T307" s="31" t="s">
        <v>78</v>
      </c>
      <c r="U307" s="31" t="s">
        <v>524</v>
      </c>
      <c r="V307" s="31" t="s">
        <v>1547</v>
      </c>
      <c r="W307" s="31" t="s">
        <v>119</v>
      </c>
      <c r="X307" s="31" t="s">
        <v>120</v>
      </c>
      <c r="Y307" s="31" t="s">
        <v>776</v>
      </c>
      <c r="Z307" s="16">
        <f>COUNTIF($X$3:X307, X307)</f>
        <v>12</v>
      </c>
      <c r="AA307" s="16"/>
      <c r="AB307" s="16"/>
      <c r="AC307" s="16"/>
      <c r="AD307" s="16"/>
      <c r="AE307" s="16"/>
      <c r="AF307" s="16"/>
      <c r="AG307" s="16"/>
      <c r="AH307" s="16"/>
      <c r="AI307" s="16" t="e">
        <v>#N/A</v>
      </c>
      <c r="AJ307" s="16" t="e">
        <v>#N/A</v>
      </c>
      <c r="AK307" s="16" t="e">
        <v>#N/A</v>
      </c>
      <c r="AL307" s="16" t="e">
        <v>#N/A</v>
      </c>
      <c r="AM307" s="16" t="e">
        <v>#N/A</v>
      </c>
      <c r="AN307" s="17" t="e">
        <v>#N/A</v>
      </c>
      <c r="AO307" s="17" t="e">
        <v>#N/A</v>
      </c>
      <c r="AP307" s="17" t="e">
        <f>Tabla156[[#This Row],[Renov. Flota]]-Tabla156[[#This Row],[Año]]</f>
        <v>#N/A</v>
      </c>
      <c r="AQ307" s="18" t="e">
        <v>#N/A</v>
      </c>
      <c r="AR307" s="18" t="e">
        <f>VLOOKUP(Tabla156[[#This Row],[Matricula nueva]],'ALTA 20242025'!$B$2:$P$242,15,FALSE)</f>
        <v>#N/A</v>
      </c>
      <c r="AS307" s="19" t="e">
        <v>#N/A</v>
      </c>
      <c r="AV307" s="1"/>
      <c r="AW307" s="1" t="e">
        <f>VLOOKUP(Tabla156[[#This Row],[Matricula nueva]],Hoja2!$A$1:$B$224,2,FALSE)</f>
        <v>#N/A</v>
      </c>
      <c r="AX307" s="1" t="str">
        <f>IF(Tabla156[[#This Row],[Columna2]]="M1",5.1,"")</f>
        <v/>
      </c>
      <c r="AY307" s="1"/>
      <c r="AZ307" s="1"/>
      <c r="BA307" s="47">
        <f>IF(Tabla156[[#This Row],[Columna2]]="M1",13073,IF(Tabla156[[#This Row],[Columna2]]="N1",15815,IF(Tabla156[[#This Row],[Columna2]]="L3e",2831,53508)))</f>
        <v>53508</v>
      </c>
      <c r="BB307" s="47" t="e">
        <f>(Tabla156[[#This Row],[CVA]]*Tabla156[[#This Row],[F]]-Tabla156[[#This Row],[CVN]])/100*Tabla156[[#This Row],[L]]</f>
        <v>#VALUE!</v>
      </c>
      <c r="BC307" s="1"/>
      <c r="BD307" s="1" t="e">
        <f>VLOOKUP(B307,Tabla467824[[ID CAE2]:[AE '[kWh']]],6,FALSE)</f>
        <v>#N/A</v>
      </c>
      <c r="BE30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8" spans="1:57" ht="15" hidden="1" x14ac:dyDescent="0.25">
      <c r="A308" t="s">
        <v>1548</v>
      </c>
      <c r="B308"/>
      <c r="C308" s="31" t="s">
        <v>1549</v>
      </c>
      <c r="D308" s="31"/>
      <c r="E308" s="31"/>
      <c r="F308" s="31"/>
      <c r="G308" s="31"/>
      <c r="H308" s="31"/>
      <c r="I308" s="31"/>
      <c r="J308" s="31"/>
      <c r="K308" s="31" t="s">
        <v>73</v>
      </c>
      <c r="L308" s="31" t="s">
        <v>200</v>
      </c>
      <c r="M308" s="31" t="s">
        <v>201</v>
      </c>
      <c r="N308" s="31" t="s">
        <v>76</v>
      </c>
      <c r="O308" s="31" t="e">
        <f>VLOOKUP(Tabla156[[#This Row],[Matricula Antigua]],BAJA2022202320242025!$B$3:$CR$245,93,FALSE)</f>
        <v>#N/A</v>
      </c>
      <c r="P308" s="32">
        <v>44648</v>
      </c>
      <c r="Q308" s="32" t="e">
        <f>Tabla156[[#This Row],[F.Vig.Final]]-Tabla156[[#This Row],[f Vig Inicio]]</f>
        <v>#N/A</v>
      </c>
      <c r="R308" s="32">
        <f>YEAR(Tabla156[[#This Row],[F.Vig.Final]])</f>
        <v>2022</v>
      </c>
      <c r="S308" s="31" t="s">
        <v>77</v>
      </c>
      <c r="T308" s="31" t="s">
        <v>78</v>
      </c>
      <c r="U308" s="31" t="s">
        <v>359</v>
      </c>
      <c r="V308" s="31" t="s">
        <v>593</v>
      </c>
      <c r="W308" s="31" t="s">
        <v>102</v>
      </c>
      <c r="X308" s="31" t="s">
        <v>103</v>
      </c>
      <c r="Y308" s="31" t="s">
        <v>835</v>
      </c>
      <c r="Z308" s="16">
        <f>COUNTIF($X$3:X308, X308)</f>
        <v>14</v>
      </c>
      <c r="AA308" s="16"/>
      <c r="AB308" s="16"/>
      <c r="AC308" s="16"/>
      <c r="AD308" s="16"/>
      <c r="AE308" s="16"/>
      <c r="AF308" s="16"/>
      <c r="AG308" s="16"/>
      <c r="AH308" s="16"/>
      <c r="AI308" s="16" t="e">
        <v>#N/A</v>
      </c>
      <c r="AJ308" s="16" t="e">
        <v>#N/A</v>
      </c>
      <c r="AK308" s="16" t="e">
        <v>#N/A</v>
      </c>
      <c r="AL308" s="16" t="e">
        <v>#N/A</v>
      </c>
      <c r="AM308" s="16" t="e">
        <v>#N/A</v>
      </c>
      <c r="AN308" s="17" t="e">
        <v>#N/A</v>
      </c>
      <c r="AO308" s="17" t="e">
        <v>#N/A</v>
      </c>
      <c r="AP308" s="17" t="e">
        <f>Tabla156[[#This Row],[Renov. Flota]]-Tabla156[[#This Row],[Año]]</f>
        <v>#N/A</v>
      </c>
      <c r="AQ308" s="18" t="e">
        <v>#N/A</v>
      </c>
      <c r="AR308" s="18" t="e">
        <f>VLOOKUP(Tabla156[[#This Row],[Matricula nueva]],'ALTA 20242025'!$B$2:$P$242,15,FALSE)</f>
        <v>#N/A</v>
      </c>
      <c r="AS308" s="19" t="e">
        <v>#N/A</v>
      </c>
      <c r="AV308" s="1"/>
      <c r="AW308" s="1" t="e">
        <f>VLOOKUP(Tabla156[[#This Row],[Matricula nueva]],Hoja2!$A$1:$B$224,2,FALSE)</f>
        <v>#N/A</v>
      </c>
      <c r="AX308" s="1" t="str">
        <f>IF(Tabla156[[#This Row],[Columna2]]="M1",5.1,"")</f>
        <v/>
      </c>
      <c r="AY308" s="1"/>
      <c r="AZ308" s="1"/>
      <c r="BA308" s="47">
        <f>IF(Tabla156[[#This Row],[Columna2]]="M1",13073,IF(Tabla156[[#This Row],[Columna2]]="N1",15815,IF(Tabla156[[#This Row],[Columna2]]="L3e",2831,53508)))</f>
        <v>53508</v>
      </c>
      <c r="BB308" s="47" t="e">
        <f>(Tabla156[[#This Row],[CVA]]*Tabla156[[#This Row],[F]]-Tabla156[[#This Row],[CVN]])/100*Tabla156[[#This Row],[L]]</f>
        <v>#VALUE!</v>
      </c>
      <c r="BC308" s="1"/>
      <c r="BD308" s="1" t="e">
        <f>VLOOKUP(B308,Tabla467824[[ID CAE2]:[AE '[kWh']]],6,FALSE)</f>
        <v>#N/A</v>
      </c>
      <c r="BE30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09" spans="1:57" ht="15" hidden="1" x14ac:dyDescent="0.25">
      <c r="A309" t="s">
        <v>1550</v>
      </c>
      <c r="B309"/>
      <c r="C309" s="31" t="s">
        <v>1551</v>
      </c>
      <c r="D309" s="31"/>
      <c r="E309" s="31"/>
      <c r="F309" s="31"/>
      <c r="G309" s="31"/>
      <c r="H309" s="31"/>
      <c r="I309" s="31"/>
      <c r="J309" s="31"/>
      <c r="K309" s="31" t="s">
        <v>73</v>
      </c>
      <c r="L309" s="31" t="s">
        <v>200</v>
      </c>
      <c r="M309" s="31" t="s">
        <v>201</v>
      </c>
      <c r="N309" s="31" t="s">
        <v>76</v>
      </c>
      <c r="O309" s="31" t="e">
        <f>VLOOKUP(Tabla156[[#This Row],[Matricula Antigua]],BAJA2022202320242025!$B$3:$CR$245,93,FALSE)</f>
        <v>#N/A</v>
      </c>
      <c r="P309" s="32">
        <v>44648</v>
      </c>
      <c r="Q309" s="32" t="e">
        <f>Tabla156[[#This Row],[F.Vig.Final]]-Tabla156[[#This Row],[f Vig Inicio]]</f>
        <v>#N/A</v>
      </c>
      <c r="R309" s="32">
        <f>YEAR(Tabla156[[#This Row],[F.Vig.Final]])</f>
        <v>2022</v>
      </c>
      <c r="S309" s="31" t="s">
        <v>77</v>
      </c>
      <c r="T309" s="31" t="s">
        <v>78</v>
      </c>
      <c r="U309" s="31" t="s">
        <v>359</v>
      </c>
      <c r="V309" s="31" t="s">
        <v>593</v>
      </c>
      <c r="W309" s="31" t="s">
        <v>102</v>
      </c>
      <c r="X309" s="31" t="s">
        <v>103</v>
      </c>
      <c r="Y309" s="31" t="s">
        <v>457</v>
      </c>
      <c r="Z309" s="16">
        <f>COUNTIF($X$3:X309, X309)</f>
        <v>15</v>
      </c>
      <c r="AA309" s="16"/>
      <c r="AB309" s="16"/>
      <c r="AC309" s="16"/>
      <c r="AD309" s="16"/>
      <c r="AE309" s="16"/>
      <c r="AF309" s="16"/>
      <c r="AG309" s="16"/>
      <c r="AH309" s="16"/>
      <c r="AI309" s="16" t="e">
        <v>#N/A</v>
      </c>
      <c r="AJ309" s="16" t="e">
        <v>#N/A</v>
      </c>
      <c r="AK309" s="16" t="e">
        <v>#N/A</v>
      </c>
      <c r="AL309" s="16" t="e">
        <v>#N/A</v>
      </c>
      <c r="AM309" s="16" t="e">
        <v>#N/A</v>
      </c>
      <c r="AN309" s="17" t="e">
        <v>#N/A</v>
      </c>
      <c r="AO309" s="17" t="e">
        <v>#N/A</v>
      </c>
      <c r="AP309" s="17" t="e">
        <f>Tabla156[[#This Row],[Renov. Flota]]-Tabla156[[#This Row],[Año]]</f>
        <v>#N/A</v>
      </c>
      <c r="AQ309" s="18" t="e">
        <v>#N/A</v>
      </c>
      <c r="AR309" s="18" t="e">
        <f>VLOOKUP(Tabla156[[#This Row],[Matricula nueva]],'ALTA 20242025'!$B$2:$P$242,15,FALSE)</f>
        <v>#N/A</v>
      </c>
      <c r="AS309" s="19" t="e">
        <v>#N/A</v>
      </c>
      <c r="AV309" s="1"/>
      <c r="AW309" s="1" t="e">
        <f>VLOOKUP(Tabla156[[#This Row],[Matricula nueva]],Hoja2!$A$1:$B$224,2,FALSE)</f>
        <v>#N/A</v>
      </c>
      <c r="AX309" s="1" t="str">
        <f>IF(Tabla156[[#This Row],[Columna2]]="M1",5.1,"")</f>
        <v/>
      </c>
      <c r="AY309" s="1"/>
      <c r="AZ309" s="1"/>
      <c r="BA309" s="47">
        <f>IF(Tabla156[[#This Row],[Columna2]]="M1",13073,IF(Tabla156[[#This Row],[Columna2]]="N1",15815,IF(Tabla156[[#This Row],[Columna2]]="L3e",2831,53508)))</f>
        <v>53508</v>
      </c>
      <c r="BB309" s="47" t="e">
        <f>(Tabla156[[#This Row],[CVA]]*Tabla156[[#This Row],[F]]-Tabla156[[#This Row],[CVN]])/100*Tabla156[[#This Row],[L]]</f>
        <v>#VALUE!</v>
      </c>
      <c r="BC309" s="1"/>
      <c r="BD309" s="1" t="e">
        <f>VLOOKUP(B309,Tabla467824[[ID CAE2]:[AE '[kWh']]],6,FALSE)</f>
        <v>#N/A</v>
      </c>
      <c r="BE30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0" spans="1:57" ht="15" hidden="1" x14ac:dyDescent="0.25">
      <c r="A310" t="s">
        <v>1552</v>
      </c>
      <c r="B310"/>
      <c r="C310" s="33" t="s">
        <v>1553</v>
      </c>
      <c r="D310" s="33"/>
      <c r="E310" s="33"/>
      <c r="F310" s="33"/>
      <c r="G310" s="33"/>
      <c r="H310" s="33"/>
      <c r="I310" s="33"/>
      <c r="J310" s="33"/>
      <c r="K310" s="33" t="s">
        <v>73</v>
      </c>
      <c r="L310" s="33" t="s">
        <v>200</v>
      </c>
      <c r="M310" s="33" t="s">
        <v>201</v>
      </c>
      <c r="N310" s="33" t="s">
        <v>76</v>
      </c>
      <c r="O310" s="1">
        <f>VLOOKUP(Tabla156[[#This Row],[Matricula Antigua]],BAJA2022202320242025!$B$3:$CR$245,93,FALSE)</f>
        <v>44166</v>
      </c>
      <c r="P310" s="34">
        <v>45992</v>
      </c>
      <c r="Q310" s="34">
        <f>Tabla156[[#This Row],[F.Vig.Final]]-Tabla156[[#This Row],[f Vig Inicio]]</f>
        <v>1826</v>
      </c>
      <c r="R310" s="34">
        <f>YEAR(Tabla156[[#This Row],[F.Vig.Final]])</f>
        <v>2025</v>
      </c>
      <c r="S310" s="33" t="s">
        <v>77</v>
      </c>
      <c r="T310" s="33" t="s">
        <v>78</v>
      </c>
      <c r="U310" s="33" t="s">
        <v>85</v>
      </c>
      <c r="V310" s="33" t="s">
        <v>1354</v>
      </c>
      <c r="W310" s="33" t="s">
        <v>102</v>
      </c>
      <c r="X310" s="33" t="s">
        <v>103</v>
      </c>
      <c r="Y310" s="33" t="s">
        <v>782</v>
      </c>
      <c r="Z310" s="16">
        <f>COUNTIF($X$3:X310, X310)</f>
        <v>16</v>
      </c>
      <c r="AA310" s="16"/>
      <c r="AB310" s="16"/>
      <c r="AC310" s="16"/>
      <c r="AD310" s="16"/>
      <c r="AE310" s="16"/>
      <c r="AF310" s="16"/>
      <c r="AG310" s="16"/>
      <c r="AH310" s="16"/>
      <c r="AI310" s="16" t="e">
        <v>#N/A</v>
      </c>
      <c r="AJ310" s="16" t="e">
        <v>#N/A</v>
      </c>
      <c r="AK310" s="16" t="e">
        <v>#N/A</v>
      </c>
      <c r="AL310" s="16" t="e">
        <v>#N/A</v>
      </c>
      <c r="AM310" s="16" t="e">
        <v>#N/A</v>
      </c>
      <c r="AN310" s="17" t="e">
        <v>#N/A</v>
      </c>
      <c r="AO310" s="17" t="e">
        <v>#N/A</v>
      </c>
      <c r="AP310" s="17" t="e">
        <f>Tabla156[[#This Row],[Renov. Flota]]-Tabla156[[#This Row],[Año]]</f>
        <v>#N/A</v>
      </c>
      <c r="AQ310" s="18" t="e">
        <v>#N/A</v>
      </c>
      <c r="AR310" s="18" t="e">
        <f>VLOOKUP(Tabla156[[#This Row],[Matricula nueva]],'ALTA 20242025'!$B$2:$P$242,15,FALSE)</f>
        <v>#N/A</v>
      </c>
      <c r="AS310" s="19" t="e">
        <v>#N/A</v>
      </c>
      <c r="AV310" s="1"/>
      <c r="AW310" s="1" t="e">
        <f>VLOOKUP(Tabla156[[#This Row],[Matricula nueva]],Hoja2!$A$1:$B$224,2,FALSE)</f>
        <v>#N/A</v>
      </c>
      <c r="AX310" s="1" t="str">
        <f>IF(Tabla156[[#This Row],[Columna2]]="M1",5.1,"")</f>
        <v/>
      </c>
      <c r="AY310" s="1"/>
      <c r="AZ310" s="1"/>
      <c r="BA310" s="47">
        <f>IF(Tabla156[[#This Row],[Columna2]]="M1",13073,IF(Tabla156[[#This Row],[Columna2]]="N1",15815,IF(Tabla156[[#This Row],[Columna2]]="L3e",2831,53508)))</f>
        <v>53508</v>
      </c>
      <c r="BB310" s="47" t="e">
        <f>(Tabla156[[#This Row],[CVA]]*Tabla156[[#This Row],[F]]-Tabla156[[#This Row],[CVN]])/100*Tabla156[[#This Row],[L]]</f>
        <v>#VALUE!</v>
      </c>
      <c r="BC310" s="1"/>
      <c r="BD310" s="1" t="e">
        <f>VLOOKUP(B310,Tabla467824[[ID CAE2]:[AE '[kWh']]],6,FALSE)</f>
        <v>#N/A</v>
      </c>
      <c r="BE31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1" spans="1:57" ht="15" hidden="1" x14ac:dyDescent="0.25">
      <c r="A311" t="s">
        <v>1554</v>
      </c>
      <c r="B311"/>
      <c r="C311" s="31" t="s">
        <v>1555</v>
      </c>
      <c r="D311" s="31"/>
      <c r="E311" s="31"/>
      <c r="F311" s="31"/>
      <c r="G311" s="31"/>
      <c r="H311" s="31"/>
      <c r="I311" s="31"/>
      <c r="J311" s="31"/>
      <c r="K311" s="31" t="s">
        <v>73</v>
      </c>
      <c r="L311" s="31" t="s">
        <v>172</v>
      </c>
      <c r="M311" s="31" t="s">
        <v>1127</v>
      </c>
      <c r="N311" s="31" t="s">
        <v>76</v>
      </c>
      <c r="O311" s="31" t="e">
        <f>VLOOKUP(Tabla156[[#This Row],[Matricula Antigua]],BAJA2022202320242025!$B$3:$CR$245,93,FALSE)</f>
        <v>#N/A</v>
      </c>
      <c r="P311" s="32">
        <v>44685</v>
      </c>
      <c r="Q311" s="32" t="e">
        <f>Tabla156[[#This Row],[F.Vig.Final]]-Tabla156[[#This Row],[f Vig Inicio]]</f>
        <v>#N/A</v>
      </c>
      <c r="R311" s="32">
        <f>YEAR(Tabla156[[#This Row],[F.Vig.Final]])</f>
        <v>2022</v>
      </c>
      <c r="S311" s="31" t="s">
        <v>77</v>
      </c>
      <c r="T311" s="31" t="s">
        <v>78</v>
      </c>
      <c r="U311" s="31" t="s">
        <v>85</v>
      </c>
      <c r="V311" s="31" t="s">
        <v>732</v>
      </c>
      <c r="W311" s="31" t="s">
        <v>584</v>
      </c>
      <c r="X311" s="31" t="s">
        <v>585</v>
      </c>
      <c r="Y311" s="31" t="s">
        <v>1556</v>
      </c>
      <c r="Z311" s="16">
        <f>COUNTIF($X$3:X311, X311)</f>
        <v>22</v>
      </c>
      <c r="AA311" s="16"/>
      <c r="AB311" s="16"/>
      <c r="AC311" s="16"/>
      <c r="AD311" s="16"/>
      <c r="AE311" s="16"/>
      <c r="AF311" s="16"/>
      <c r="AG311" s="16"/>
      <c r="AH311" s="16"/>
      <c r="AI311" s="16" t="e">
        <v>#N/A</v>
      </c>
      <c r="AJ311" s="16" t="e">
        <v>#N/A</v>
      </c>
      <c r="AK311" s="16" t="e">
        <v>#N/A</v>
      </c>
      <c r="AL311" s="16" t="e">
        <v>#N/A</v>
      </c>
      <c r="AM311" s="16" t="e">
        <v>#N/A</v>
      </c>
      <c r="AN311" s="17" t="e">
        <v>#N/A</v>
      </c>
      <c r="AO311" s="17" t="e">
        <v>#N/A</v>
      </c>
      <c r="AP311" s="17" t="e">
        <f>Tabla156[[#This Row],[Renov. Flota]]-Tabla156[[#This Row],[Año]]</f>
        <v>#N/A</v>
      </c>
      <c r="AQ311" s="18" t="e">
        <v>#N/A</v>
      </c>
      <c r="AR311" s="18" t="e">
        <f>VLOOKUP(Tabla156[[#This Row],[Matricula nueva]],'ALTA 20242025'!$B$2:$P$242,15,FALSE)</f>
        <v>#N/A</v>
      </c>
      <c r="AS311" s="19" t="e">
        <v>#N/A</v>
      </c>
      <c r="AV311" s="1"/>
      <c r="AW311" s="1" t="e">
        <f>VLOOKUP(Tabla156[[#This Row],[Matricula nueva]],Hoja2!$A$1:$B$224,2,FALSE)</f>
        <v>#N/A</v>
      </c>
      <c r="AX311" s="1" t="str">
        <f>IF(Tabla156[[#This Row],[Columna2]]="M1",5.1,"")</f>
        <v/>
      </c>
      <c r="AY311" s="1"/>
      <c r="AZ311" s="1"/>
      <c r="BA311" s="47">
        <f>IF(Tabla156[[#This Row],[Columna2]]="M1",13073,IF(Tabla156[[#This Row],[Columna2]]="N1",15815,IF(Tabla156[[#This Row],[Columna2]]="L3e",2831,53508)))</f>
        <v>53508</v>
      </c>
      <c r="BB311" s="47" t="e">
        <f>(Tabla156[[#This Row],[CVA]]*Tabla156[[#This Row],[F]]-Tabla156[[#This Row],[CVN]])/100*Tabla156[[#This Row],[L]]</f>
        <v>#VALUE!</v>
      </c>
      <c r="BC311" s="1"/>
      <c r="BD311" s="1" t="e">
        <f>VLOOKUP(B311,Tabla467824[[ID CAE2]:[AE '[kWh']]],6,FALSE)</f>
        <v>#N/A</v>
      </c>
      <c r="BE31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2" spans="1:57" ht="15" hidden="1" x14ac:dyDescent="0.25">
      <c r="A312" t="s">
        <v>1557</v>
      </c>
      <c r="B312"/>
      <c r="C312" s="31" t="s">
        <v>1558</v>
      </c>
      <c r="D312" s="31"/>
      <c r="E312" s="31"/>
      <c r="F312" s="31"/>
      <c r="G312" s="31"/>
      <c r="H312" s="31"/>
      <c r="I312" s="31"/>
      <c r="J312" s="31"/>
      <c r="K312" s="31" t="s">
        <v>73</v>
      </c>
      <c r="L312" s="31" t="s">
        <v>200</v>
      </c>
      <c r="M312" s="31" t="s">
        <v>201</v>
      </c>
      <c r="N312" s="31" t="s">
        <v>76</v>
      </c>
      <c r="O312" s="31" t="e">
        <f>VLOOKUP(Tabla156[[#This Row],[Matricula Antigua]],BAJA2022202320242025!$B$3:$CR$245,93,FALSE)</f>
        <v>#N/A</v>
      </c>
      <c r="P312" s="32">
        <v>44648</v>
      </c>
      <c r="Q312" s="32" t="e">
        <f>Tabla156[[#This Row],[F.Vig.Final]]-Tabla156[[#This Row],[f Vig Inicio]]</f>
        <v>#N/A</v>
      </c>
      <c r="R312" s="32">
        <f>YEAR(Tabla156[[#This Row],[F.Vig.Final]])</f>
        <v>2022</v>
      </c>
      <c r="S312" s="31" t="s">
        <v>77</v>
      </c>
      <c r="T312" s="31" t="s">
        <v>78</v>
      </c>
      <c r="U312" s="31" t="s">
        <v>359</v>
      </c>
      <c r="V312" s="31" t="s">
        <v>1559</v>
      </c>
      <c r="W312" s="31" t="s">
        <v>131</v>
      </c>
      <c r="X312" s="31" t="s">
        <v>132</v>
      </c>
      <c r="Y312" s="31" t="s">
        <v>135</v>
      </c>
      <c r="Z312" s="16">
        <f>COUNTIF($X$3:X312, X312)</f>
        <v>40</v>
      </c>
      <c r="AA312" s="16"/>
      <c r="AB312" s="16"/>
      <c r="AC312" s="16"/>
      <c r="AD312" s="16"/>
      <c r="AE312" s="16"/>
      <c r="AF312" s="16"/>
      <c r="AG312" s="16"/>
      <c r="AH312" s="16"/>
      <c r="AI312" s="16" t="e">
        <v>#N/A</v>
      </c>
      <c r="AJ312" s="16" t="e">
        <v>#N/A</v>
      </c>
      <c r="AK312" s="16" t="e">
        <v>#N/A</v>
      </c>
      <c r="AL312" s="16" t="e">
        <v>#N/A</v>
      </c>
      <c r="AM312" s="16" t="e">
        <v>#N/A</v>
      </c>
      <c r="AN312" s="17" t="e">
        <v>#N/A</v>
      </c>
      <c r="AO312" s="17" t="e">
        <v>#N/A</v>
      </c>
      <c r="AP312" s="17" t="e">
        <f>Tabla156[[#This Row],[Renov. Flota]]-Tabla156[[#This Row],[Año]]</f>
        <v>#N/A</v>
      </c>
      <c r="AQ312" s="18" t="e">
        <v>#N/A</v>
      </c>
      <c r="AR312" s="18" t="e">
        <f>VLOOKUP(Tabla156[[#This Row],[Matricula nueva]],'ALTA 20242025'!$B$2:$P$242,15,FALSE)</f>
        <v>#N/A</v>
      </c>
      <c r="AS312" s="19" t="e">
        <v>#N/A</v>
      </c>
      <c r="AV312" s="1"/>
      <c r="AW312" s="1" t="e">
        <f>VLOOKUP(Tabla156[[#This Row],[Matricula nueva]],Hoja2!$A$1:$B$224,2,FALSE)</f>
        <v>#N/A</v>
      </c>
      <c r="AX312" s="1" t="str">
        <f>IF(Tabla156[[#This Row],[Columna2]]="M1",5.1,"")</f>
        <v/>
      </c>
      <c r="AY312" s="1"/>
      <c r="AZ312" s="1"/>
      <c r="BA312" s="47">
        <f>IF(Tabla156[[#This Row],[Columna2]]="M1",13073,IF(Tabla156[[#This Row],[Columna2]]="N1",15815,IF(Tabla156[[#This Row],[Columna2]]="L3e",2831,53508)))</f>
        <v>53508</v>
      </c>
      <c r="BB312" s="47" t="e">
        <f>(Tabla156[[#This Row],[CVA]]*Tabla156[[#This Row],[F]]-Tabla156[[#This Row],[CVN]])/100*Tabla156[[#This Row],[L]]</f>
        <v>#VALUE!</v>
      </c>
      <c r="BC312" s="1"/>
      <c r="BD312" s="1" t="e">
        <f>VLOOKUP(B312,Tabla467824[[ID CAE2]:[AE '[kWh']]],6,FALSE)</f>
        <v>#N/A</v>
      </c>
      <c r="BE31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3" spans="1:57" ht="15" hidden="1" x14ac:dyDescent="0.25">
      <c r="A313" t="s">
        <v>1560</v>
      </c>
      <c r="B313"/>
      <c r="C313" s="31" t="s">
        <v>1561</v>
      </c>
      <c r="D313" s="31"/>
      <c r="E313" s="31"/>
      <c r="F313" s="31"/>
      <c r="G313" s="31"/>
      <c r="H313" s="31"/>
      <c r="I313" s="31"/>
      <c r="J313" s="31"/>
      <c r="K313" s="31" t="s">
        <v>73</v>
      </c>
      <c r="L313" s="31" t="s">
        <v>200</v>
      </c>
      <c r="M313" s="31" t="s">
        <v>201</v>
      </c>
      <c r="N313" s="31" t="s">
        <v>76</v>
      </c>
      <c r="O313" s="31" t="e">
        <f>VLOOKUP(Tabla156[[#This Row],[Matricula Antigua]],BAJA2022202320242025!$B$3:$CR$245,93,FALSE)</f>
        <v>#N/A</v>
      </c>
      <c r="P313" s="32">
        <v>44657</v>
      </c>
      <c r="Q313" s="32" t="e">
        <f>Tabla156[[#This Row],[F.Vig.Final]]-Tabla156[[#This Row],[f Vig Inicio]]</f>
        <v>#N/A</v>
      </c>
      <c r="R313" s="32">
        <f>YEAR(Tabla156[[#This Row],[F.Vig.Final]])</f>
        <v>2022</v>
      </c>
      <c r="S313" s="31" t="s">
        <v>77</v>
      </c>
      <c r="T313" s="31" t="s">
        <v>78</v>
      </c>
      <c r="U313" s="31" t="s">
        <v>359</v>
      </c>
      <c r="V313" s="31" t="s">
        <v>1559</v>
      </c>
      <c r="W313" s="31" t="s">
        <v>131</v>
      </c>
      <c r="X313" s="31" t="s">
        <v>132</v>
      </c>
      <c r="Y313" s="31" t="s">
        <v>1390</v>
      </c>
      <c r="Z313" s="16">
        <f>COUNTIF($X$3:X313, X313)</f>
        <v>41</v>
      </c>
      <c r="AA313" s="16"/>
      <c r="AB313" s="16"/>
      <c r="AC313" s="16"/>
      <c r="AD313" s="16"/>
      <c r="AE313" s="16"/>
      <c r="AF313" s="16"/>
      <c r="AG313" s="16"/>
      <c r="AH313" s="16"/>
      <c r="AI313" s="16" t="e">
        <v>#N/A</v>
      </c>
      <c r="AJ313" s="16" t="e">
        <v>#N/A</v>
      </c>
      <c r="AK313" s="16" t="e">
        <v>#N/A</v>
      </c>
      <c r="AL313" s="16" t="e">
        <v>#N/A</v>
      </c>
      <c r="AM313" s="16" t="e">
        <v>#N/A</v>
      </c>
      <c r="AN313" s="17" t="e">
        <v>#N/A</v>
      </c>
      <c r="AO313" s="17" t="e">
        <v>#N/A</v>
      </c>
      <c r="AP313" s="17" t="e">
        <f>Tabla156[[#This Row],[Renov. Flota]]-Tabla156[[#This Row],[Año]]</f>
        <v>#N/A</v>
      </c>
      <c r="AQ313" s="18" t="e">
        <v>#N/A</v>
      </c>
      <c r="AR313" s="18" t="e">
        <f>VLOOKUP(Tabla156[[#This Row],[Matricula nueva]],'ALTA 20242025'!$B$2:$P$242,15,FALSE)</f>
        <v>#N/A</v>
      </c>
      <c r="AS313" s="19" t="e">
        <v>#N/A</v>
      </c>
      <c r="AV313" s="1"/>
      <c r="AW313" s="1" t="e">
        <f>VLOOKUP(Tabla156[[#This Row],[Matricula nueva]],Hoja2!$A$1:$B$224,2,FALSE)</f>
        <v>#N/A</v>
      </c>
      <c r="AX313" s="1" t="str">
        <f>IF(Tabla156[[#This Row],[Columna2]]="M1",5.1,"")</f>
        <v/>
      </c>
      <c r="AY313" s="1"/>
      <c r="AZ313" s="1"/>
      <c r="BA313" s="47">
        <f>IF(Tabla156[[#This Row],[Columna2]]="M1",13073,IF(Tabla156[[#This Row],[Columna2]]="N1",15815,IF(Tabla156[[#This Row],[Columna2]]="L3e",2831,53508)))</f>
        <v>53508</v>
      </c>
      <c r="BB313" s="47" t="e">
        <f>(Tabla156[[#This Row],[CVA]]*Tabla156[[#This Row],[F]]-Tabla156[[#This Row],[CVN]])/100*Tabla156[[#This Row],[L]]</f>
        <v>#VALUE!</v>
      </c>
      <c r="BC313" s="1"/>
      <c r="BD313" s="1" t="e">
        <f>VLOOKUP(B313,Tabla467824[[ID CAE2]:[AE '[kWh']]],6,FALSE)</f>
        <v>#N/A</v>
      </c>
      <c r="BE31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4" spans="1:57" ht="15" hidden="1" x14ac:dyDescent="0.25">
      <c r="A314" t="s">
        <v>1562</v>
      </c>
      <c r="B314"/>
      <c r="C314" s="31" t="s">
        <v>1563</v>
      </c>
      <c r="D314" s="31"/>
      <c r="E314" s="31"/>
      <c r="F314" s="31"/>
      <c r="G314" s="31"/>
      <c r="H314" s="31"/>
      <c r="I314" s="31"/>
      <c r="J314" s="31"/>
      <c r="K314" s="31" t="s">
        <v>73</v>
      </c>
      <c r="L314" s="31" t="s">
        <v>200</v>
      </c>
      <c r="M314" s="31" t="s">
        <v>201</v>
      </c>
      <c r="N314" s="31" t="s">
        <v>76</v>
      </c>
      <c r="O314" s="31" t="e">
        <f>VLOOKUP(Tabla156[[#This Row],[Matricula Antigua]],BAJA2022202320242025!$B$3:$CR$245,93,FALSE)</f>
        <v>#N/A</v>
      </c>
      <c r="P314" s="32">
        <v>44654</v>
      </c>
      <c r="Q314" s="32" t="e">
        <f>Tabla156[[#This Row],[F.Vig.Final]]-Tabla156[[#This Row],[f Vig Inicio]]</f>
        <v>#N/A</v>
      </c>
      <c r="R314" s="32">
        <f>YEAR(Tabla156[[#This Row],[F.Vig.Final]])</f>
        <v>2022</v>
      </c>
      <c r="S314" s="31" t="s">
        <v>77</v>
      </c>
      <c r="T314" s="31" t="s">
        <v>78</v>
      </c>
      <c r="U314" s="31" t="s">
        <v>359</v>
      </c>
      <c r="V314" s="31" t="s">
        <v>1559</v>
      </c>
      <c r="W314" s="31" t="s">
        <v>131</v>
      </c>
      <c r="X314" s="31" t="s">
        <v>132</v>
      </c>
      <c r="Y314" s="31" t="s">
        <v>135</v>
      </c>
      <c r="Z314" s="16">
        <f>COUNTIF($X$3:X314, X314)</f>
        <v>42</v>
      </c>
      <c r="AA314" s="16"/>
      <c r="AB314" s="16"/>
      <c r="AC314" s="16"/>
      <c r="AD314" s="16"/>
      <c r="AE314" s="16"/>
      <c r="AF314" s="16"/>
      <c r="AG314" s="16"/>
      <c r="AH314" s="16"/>
      <c r="AI314" s="16" t="e">
        <v>#N/A</v>
      </c>
      <c r="AJ314" s="16" t="e">
        <v>#N/A</v>
      </c>
      <c r="AK314" s="16" t="e">
        <v>#N/A</v>
      </c>
      <c r="AL314" s="16" t="e">
        <v>#N/A</v>
      </c>
      <c r="AM314" s="16" t="e">
        <v>#N/A</v>
      </c>
      <c r="AN314" s="17" t="e">
        <v>#N/A</v>
      </c>
      <c r="AO314" s="17" t="e">
        <v>#N/A</v>
      </c>
      <c r="AP314" s="17" t="e">
        <f>Tabla156[[#This Row],[Renov. Flota]]-Tabla156[[#This Row],[Año]]</f>
        <v>#N/A</v>
      </c>
      <c r="AQ314" s="18" t="e">
        <v>#N/A</v>
      </c>
      <c r="AR314" s="18" t="e">
        <f>VLOOKUP(Tabla156[[#This Row],[Matricula nueva]],'ALTA 20242025'!$B$2:$P$242,15,FALSE)</f>
        <v>#N/A</v>
      </c>
      <c r="AS314" s="19" t="e">
        <v>#N/A</v>
      </c>
      <c r="AV314" s="1"/>
      <c r="AW314" s="1" t="e">
        <f>VLOOKUP(Tabla156[[#This Row],[Matricula nueva]],Hoja2!$A$1:$B$224,2,FALSE)</f>
        <v>#N/A</v>
      </c>
      <c r="AX314" s="1" t="str">
        <f>IF(Tabla156[[#This Row],[Columna2]]="M1",5.1,"")</f>
        <v/>
      </c>
      <c r="AY314" s="1"/>
      <c r="AZ314" s="1"/>
      <c r="BA314" s="47">
        <f>IF(Tabla156[[#This Row],[Columna2]]="M1",13073,IF(Tabla156[[#This Row],[Columna2]]="N1",15815,IF(Tabla156[[#This Row],[Columna2]]="L3e",2831,53508)))</f>
        <v>53508</v>
      </c>
      <c r="BB314" s="47" t="e">
        <f>(Tabla156[[#This Row],[CVA]]*Tabla156[[#This Row],[F]]-Tabla156[[#This Row],[CVN]])/100*Tabla156[[#This Row],[L]]</f>
        <v>#VALUE!</v>
      </c>
      <c r="BC314" s="1"/>
      <c r="BD314" s="1" t="e">
        <f>VLOOKUP(B314,Tabla467824[[ID CAE2]:[AE '[kWh']]],6,FALSE)</f>
        <v>#N/A</v>
      </c>
      <c r="BE31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5" spans="1:57" ht="15" hidden="1" x14ac:dyDescent="0.25">
      <c r="A315" t="s">
        <v>1564</v>
      </c>
      <c r="B315"/>
      <c r="C315" s="31" t="s">
        <v>1565</v>
      </c>
      <c r="D315" s="31"/>
      <c r="E315" s="31"/>
      <c r="F315" s="31"/>
      <c r="G315" s="31"/>
      <c r="H315" s="31"/>
      <c r="I315" s="31"/>
      <c r="J315" s="31"/>
      <c r="K315" s="31" t="s">
        <v>129</v>
      </c>
      <c r="L315" s="31" t="s">
        <v>74</v>
      </c>
      <c r="M315" s="31" t="s">
        <v>75</v>
      </c>
      <c r="N315" s="31" t="s">
        <v>76</v>
      </c>
      <c r="O315" s="31" t="e">
        <f>VLOOKUP(Tabla156[[#This Row],[Matricula Antigua]],BAJA2022202320242025!$B$3:$CR$245,93,FALSE)</f>
        <v>#N/A</v>
      </c>
      <c r="P315" s="32">
        <v>44834</v>
      </c>
      <c r="Q315" s="32" t="e">
        <f>Tabla156[[#This Row],[F.Vig.Final]]-Tabla156[[#This Row],[f Vig Inicio]]</f>
        <v>#N/A</v>
      </c>
      <c r="R315" s="32">
        <f>YEAR(Tabla156[[#This Row],[F.Vig.Final]])</f>
        <v>2022</v>
      </c>
      <c r="S315" s="31" t="s">
        <v>77</v>
      </c>
      <c r="T315" s="31" t="s">
        <v>78</v>
      </c>
      <c r="U315" s="31" t="s">
        <v>79</v>
      </c>
      <c r="V315" s="31" t="s">
        <v>1566</v>
      </c>
      <c r="W315" s="31" t="s">
        <v>131</v>
      </c>
      <c r="X315" s="31" t="s">
        <v>132</v>
      </c>
      <c r="Y315" s="31" t="s">
        <v>133</v>
      </c>
      <c r="Z315" s="16">
        <f>COUNTIF($X$3:X315, X315)</f>
        <v>43</v>
      </c>
      <c r="AA315" s="16"/>
      <c r="AB315" s="16"/>
      <c r="AC315" s="16"/>
      <c r="AD315" s="16"/>
      <c r="AE315" s="16"/>
      <c r="AF315" s="16"/>
      <c r="AG315" s="16"/>
      <c r="AH315" s="16"/>
      <c r="AI315" s="16" t="e">
        <v>#N/A</v>
      </c>
      <c r="AJ315" s="16" t="e">
        <v>#N/A</v>
      </c>
      <c r="AK315" s="16" t="e">
        <v>#N/A</v>
      </c>
      <c r="AL315" s="16" t="e">
        <v>#N/A</v>
      </c>
      <c r="AM315" s="16" t="e">
        <v>#N/A</v>
      </c>
      <c r="AN315" s="17" t="e">
        <v>#N/A</v>
      </c>
      <c r="AO315" s="17" t="e">
        <v>#N/A</v>
      </c>
      <c r="AP315" s="17" t="e">
        <f>Tabla156[[#This Row],[Renov. Flota]]-Tabla156[[#This Row],[Año]]</f>
        <v>#N/A</v>
      </c>
      <c r="AQ315" s="18" t="e">
        <v>#N/A</v>
      </c>
      <c r="AR315" s="18" t="e">
        <f>VLOOKUP(Tabla156[[#This Row],[Matricula nueva]],'ALTA 20242025'!$B$2:$P$242,15,FALSE)</f>
        <v>#N/A</v>
      </c>
      <c r="AS315" s="19" t="e">
        <v>#N/A</v>
      </c>
      <c r="AV315" s="1"/>
      <c r="AW315" s="1" t="e">
        <f>VLOOKUP(Tabla156[[#This Row],[Matricula nueva]],Hoja2!$A$1:$B$224,2,FALSE)</f>
        <v>#N/A</v>
      </c>
      <c r="AX315" s="1" t="str">
        <f>IF(Tabla156[[#This Row],[Columna2]]="M1",5.1,"")</f>
        <v/>
      </c>
      <c r="AY315" s="1"/>
      <c r="AZ315" s="1"/>
      <c r="BA315" s="47">
        <f>IF(Tabla156[[#This Row],[Columna2]]="M1",13073,IF(Tabla156[[#This Row],[Columna2]]="N1",15815,IF(Tabla156[[#This Row],[Columna2]]="L3e",2831,53508)))</f>
        <v>53508</v>
      </c>
      <c r="BB315" s="47" t="e">
        <f>(Tabla156[[#This Row],[CVA]]*Tabla156[[#This Row],[F]]-Tabla156[[#This Row],[CVN]])/100*Tabla156[[#This Row],[L]]</f>
        <v>#VALUE!</v>
      </c>
      <c r="BC315" s="1"/>
      <c r="BD315" s="1" t="e">
        <f>VLOOKUP(B315,Tabla467824[[ID CAE2]:[AE '[kWh']]],6,FALSE)</f>
        <v>#N/A</v>
      </c>
      <c r="BE31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6" spans="1:57" ht="15" hidden="1" x14ac:dyDescent="0.25">
      <c r="A316" t="s">
        <v>1567</v>
      </c>
      <c r="B316"/>
      <c r="C316" s="31" t="s">
        <v>1568</v>
      </c>
      <c r="D316" s="31"/>
      <c r="E316" s="31"/>
      <c r="F316" s="31"/>
      <c r="G316" s="31"/>
      <c r="H316" s="31"/>
      <c r="I316" s="31"/>
      <c r="J316" s="31"/>
      <c r="K316" s="31" t="s">
        <v>73</v>
      </c>
      <c r="L316" s="31" t="s">
        <v>200</v>
      </c>
      <c r="M316" s="31" t="s">
        <v>201</v>
      </c>
      <c r="N316" s="31" t="s">
        <v>76</v>
      </c>
      <c r="O316" s="31" t="e">
        <f>VLOOKUP(Tabla156[[#This Row],[Matricula Antigua]],BAJA2022202320242025!$B$3:$CR$245,93,FALSE)</f>
        <v>#N/A</v>
      </c>
      <c r="P316" s="32">
        <v>44818</v>
      </c>
      <c r="Q316" s="32" t="e">
        <f>Tabla156[[#This Row],[F.Vig.Final]]-Tabla156[[#This Row],[f Vig Inicio]]</f>
        <v>#N/A</v>
      </c>
      <c r="R316" s="32">
        <f>YEAR(Tabla156[[#This Row],[F.Vig.Final]])</f>
        <v>2022</v>
      </c>
      <c r="S316" s="31" t="s">
        <v>77</v>
      </c>
      <c r="T316" s="31" t="s">
        <v>78</v>
      </c>
      <c r="U316" s="31" t="s">
        <v>359</v>
      </c>
      <c r="V316" s="31" t="s">
        <v>1559</v>
      </c>
      <c r="W316" s="31" t="s">
        <v>102</v>
      </c>
      <c r="X316" s="31" t="s">
        <v>103</v>
      </c>
      <c r="Y316" s="31" t="s">
        <v>1569</v>
      </c>
      <c r="Z316" s="16">
        <f>COUNTIF($X$3:X316, X316)</f>
        <v>17</v>
      </c>
      <c r="AA316" s="16"/>
      <c r="AB316" s="16"/>
      <c r="AC316" s="16"/>
      <c r="AD316" s="16"/>
      <c r="AE316" s="16"/>
      <c r="AF316" s="16"/>
      <c r="AG316" s="16"/>
      <c r="AH316" s="16"/>
      <c r="AI316" s="16" t="e">
        <v>#N/A</v>
      </c>
      <c r="AJ316" s="16" t="e">
        <v>#N/A</v>
      </c>
      <c r="AK316" s="16" t="e">
        <v>#N/A</v>
      </c>
      <c r="AL316" s="16" t="e">
        <v>#N/A</v>
      </c>
      <c r="AM316" s="16" t="e">
        <v>#N/A</v>
      </c>
      <c r="AN316" s="17" t="e">
        <v>#N/A</v>
      </c>
      <c r="AO316" s="17" t="e">
        <v>#N/A</v>
      </c>
      <c r="AP316" s="17" t="e">
        <f>Tabla156[[#This Row],[Renov. Flota]]-Tabla156[[#This Row],[Año]]</f>
        <v>#N/A</v>
      </c>
      <c r="AQ316" s="18" t="e">
        <v>#N/A</v>
      </c>
      <c r="AR316" s="18" t="e">
        <f>VLOOKUP(Tabla156[[#This Row],[Matricula nueva]],'ALTA 20242025'!$B$2:$P$242,15,FALSE)</f>
        <v>#N/A</v>
      </c>
      <c r="AS316" s="19" t="e">
        <v>#N/A</v>
      </c>
      <c r="AV316" s="1"/>
      <c r="AW316" s="1" t="e">
        <f>VLOOKUP(Tabla156[[#This Row],[Matricula nueva]],Hoja2!$A$1:$B$224,2,FALSE)</f>
        <v>#N/A</v>
      </c>
      <c r="AX316" s="1" t="str">
        <f>IF(Tabla156[[#This Row],[Columna2]]="M1",5.1,"")</f>
        <v/>
      </c>
      <c r="AY316" s="1"/>
      <c r="AZ316" s="1"/>
      <c r="BA316" s="47">
        <f>IF(Tabla156[[#This Row],[Columna2]]="M1",13073,IF(Tabla156[[#This Row],[Columna2]]="N1",15815,IF(Tabla156[[#This Row],[Columna2]]="L3e",2831,53508)))</f>
        <v>53508</v>
      </c>
      <c r="BB316" s="47" t="e">
        <f>(Tabla156[[#This Row],[CVA]]*Tabla156[[#This Row],[F]]-Tabla156[[#This Row],[CVN]])/100*Tabla156[[#This Row],[L]]</f>
        <v>#VALUE!</v>
      </c>
      <c r="BC316" s="1"/>
      <c r="BD316" s="1" t="e">
        <f>VLOOKUP(B316,Tabla467824[[ID CAE2]:[AE '[kWh']]],6,FALSE)</f>
        <v>#N/A</v>
      </c>
      <c r="BE31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7" spans="1:57" ht="15" hidden="1" x14ac:dyDescent="0.25">
      <c r="A317" t="s">
        <v>1570</v>
      </c>
      <c r="B317"/>
      <c r="C317" s="31" t="s">
        <v>1571</v>
      </c>
      <c r="D317" s="31"/>
      <c r="E317" s="31"/>
      <c r="F317" s="31"/>
      <c r="G317" s="31"/>
      <c r="H317" s="31"/>
      <c r="I317" s="31"/>
      <c r="J317" s="31"/>
      <c r="K317" s="31" t="s">
        <v>73</v>
      </c>
      <c r="L317" s="31" t="s">
        <v>200</v>
      </c>
      <c r="M317" s="31" t="s">
        <v>201</v>
      </c>
      <c r="N317" s="31" t="s">
        <v>76</v>
      </c>
      <c r="O317" s="31" t="e">
        <f>VLOOKUP(Tabla156[[#This Row],[Matricula Antigua]],BAJA2022202320242025!$B$3:$CR$245,93,FALSE)</f>
        <v>#N/A</v>
      </c>
      <c r="P317" s="32">
        <v>44824</v>
      </c>
      <c r="Q317" s="32" t="e">
        <f>Tabla156[[#This Row],[F.Vig.Final]]-Tabla156[[#This Row],[f Vig Inicio]]</f>
        <v>#N/A</v>
      </c>
      <c r="R317" s="32">
        <f>YEAR(Tabla156[[#This Row],[F.Vig.Final]])</f>
        <v>2022</v>
      </c>
      <c r="S317" s="31" t="s">
        <v>77</v>
      </c>
      <c r="T317" s="31" t="s">
        <v>78</v>
      </c>
      <c r="U317" s="31" t="s">
        <v>359</v>
      </c>
      <c r="V317" s="31" t="s">
        <v>604</v>
      </c>
      <c r="W317" s="31" t="s">
        <v>131</v>
      </c>
      <c r="X317" s="31" t="s">
        <v>132</v>
      </c>
      <c r="Y317" s="31" t="s">
        <v>622</v>
      </c>
      <c r="Z317" s="16">
        <f>COUNTIF($X$3:X317, X317)</f>
        <v>44</v>
      </c>
      <c r="AA317" s="16"/>
      <c r="AB317" s="16"/>
      <c r="AC317" s="16"/>
      <c r="AD317" s="16"/>
      <c r="AE317" s="16"/>
      <c r="AF317" s="16"/>
      <c r="AG317" s="16"/>
      <c r="AH317" s="16"/>
      <c r="AI317" s="16" t="e">
        <v>#N/A</v>
      </c>
      <c r="AJ317" s="16" t="e">
        <v>#N/A</v>
      </c>
      <c r="AK317" s="16" t="e">
        <v>#N/A</v>
      </c>
      <c r="AL317" s="16" t="e">
        <v>#N/A</v>
      </c>
      <c r="AM317" s="16" t="e">
        <v>#N/A</v>
      </c>
      <c r="AN317" s="17" t="e">
        <v>#N/A</v>
      </c>
      <c r="AO317" s="17" t="e">
        <v>#N/A</v>
      </c>
      <c r="AP317" s="17" t="e">
        <f>Tabla156[[#This Row],[Renov. Flota]]-Tabla156[[#This Row],[Año]]</f>
        <v>#N/A</v>
      </c>
      <c r="AQ317" s="18" t="e">
        <v>#N/A</v>
      </c>
      <c r="AR317" s="18" t="e">
        <f>VLOOKUP(Tabla156[[#This Row],[Matricula nueva]],'ALTA 20242025'!$B$2:$P$242,15,FALSE)</f>
        <v>#N/A</v>
      </c>
      <c r="AS317" s="19" t="e">
        <v>#N/A</v>
      </c>
      <c r="AV317" s="1"/>
      <c r="AW317" s="1" t="e">
        <f>VLOOKUP(Tabla156[[#This Row],[Matricula nueva]],Hoja2!$A$1:$B$224,2,FALSE)</f>
        <v>#N/A</v>
      </c>
      <c r="AX317" s="1" t="str">
        <f>IF(Tabla156[[#This Row],[Columna2]]="M1",5.1,"")</f>
        <v/>
      </c>
      <c r="AY317" s="1"/>
      <c r="AZ317" s="1"/>
      <c r="BA317" s="47">
        <f>IF(Tabla156[[#This Row],[Columna2]]="M1",13073,IF(Tabla156[[#This Row],[Columna2]]="N1",15815,IF(Tabla156[[#This Row],[Columna2]]="L3e",2831,53508)))</f>
        <v>53508</v>
      </c>
      <c r="BB317" s="47" t="e">
        <f>(Tabla156[[#This Row],[CVA]]*Tabla156[[#This Row],[F]]-Tabla156[[#This Row],[CVN]])/100*Tabla156[[#This Row],[L]]</f>
        <v>#VALUE!</v>
      </c>
      <c r="BC317" s="1"/>
      <c r="BD317" s="1" t="e">
        <f>VLOOKUP(B317,Tabla467824[[ID CAE2]:[AE '[kWh']]],6,FALSE)</f>
        <v>#N/A</v>
      </c>
      <c r="BE31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8" spans="1:57" ht="15" hidden="1" x14ac:dyDescent="0.25">
      <c r="A318" t="s">
        <v>1572</v>
      </c>
      <c r="B318"/>
      <c r="C318" s="31" t="s">
        <v>1573</v>
      </c>
      <c r="D318" s="31"/>
      <c r="E318" s="31"/>
      <c r="F318" s="31"/>
      <c r="G318" s="31"/>
      <c r="H318" s="31"/>
      <c r="I318" s="31"/>
      <c r="J318" s="31"/>
      <c r="K318" s="31" t="s">
        <v>73</v>
      </c>
      <c r="L318" s="31" t="s">
        <v>200</v>
      </c>
      <c r="M318" s="31" t="s">
        <v>201</v>
      </c>
      <c r="N318" s="31" t="s">
        <v>160</v>
      </c>
      <c r="O318" s="31" t="e">
        <f>VLOOKUP(Tabla156[[#This Row],[Matricula Antigua]],BAJA2022202320242025!$B$3:$CR$245,93,FALSE)</f>
        <v>#N/A</v>
      </c>
      <c r="P318" s="32">
        <v>44824</v>
      </c>
      <c r="Q318" s="32" t="e">
        <f>Tabla156[[#This Row],[F.Vig.Final]]-Tabla156[[#This Row],[f Vig Inicio]]</f>
        <v>#N/A</v>
      </c>
      <c r="R318" s="32">
        <f>YEAR(Tabla156[[#This Row],[F.Vig.Final]])</f>
        <v>2022</v>
      </c>
      <c r="S318" s="31" t="s">
        <v>161</v>
      </c>
      <c r="T318" s="31" t="s">
        <v>78</v>
      </c>
      <c r="U318" s="31" t="s">
        <v>359</v>
      </c>
      <c r="V318" s="31" t="s">
        <v>604</v>
      </c>
      <c r="W318" s="31" t="s">
        <v>131</v>
      </c>
      <c r="X318" s="31" t="s">
        <v>132</v>
      </c>
      <c r="Y318" s="31" t="s">
        <v>829</v>
      </c>
      <c r="Z318" s="16">
        <f>COUNTIF($X$3:X318, X318)</f>
        <v>45</v>
      </c>
      <c r="AA318" s="16"/>
      <c r="AB318" s="16"/>
      <c r="AC318" s="16"/>
      <c r="AD318" s="16"/>
      <c r="AE318" s="16"/>
      <c r="AF318" s="16"/>
      <c r="AG318" s="16"/>
      <c r="AH318" s="16"/>
      <c r="AI318" s="16" t="e">
        <v>#N/A</v>
      </c>
      <c r="AJ318" s="16" t="e">
        <v>#N/A</v>
      </c>
      <c r="AK318" s="16" t="e">
        <v>#N/A</v>
      </c>
      <c r="AL318" s="16" t="e">
        <v>#N/A</v>
      </c>
      <c r="AM318" s="16" t="e">
        <v>#N/A</v>
      </c>
      <c r="AN318" s="17" t="e">
        <v>#N/A</v>
      </c>
      <c r="AO318" s="17" t="e">
        <v>#N/A</v>
      </c>
      <c r="AP318" s="17" t="e">
        <f>Tabla156[[#This Row],[Renov. Flota]]-Tabla156[[#This Row],[Año]]</f>
        <v>#N/A</v>
      </c>
      <c r="AQ318" s="18" t="e">
        <v>#N/A</v>
      </c>
      <c r="AR318" s="18" t="e">
        <f>VLOOKUP(Tabla156[[#This Row],[Matricula nueva]],'ALTA 20242025'!$B$2:$P$242,15,FALSE)</f>
        <v>#N/A</v>
      </c>
      <c r="AS318" s="19" t="e">
        <v>#N/A</v>
      </c>
      <c r="AV318" s="1"/>
      <c r="AW318" s="1" t="e">
        <f>VLOOKUP(Tabla156[[#This Row],[Matricula nueva]],Hoja2!$A$1:$B$224,2,FALSE)</f>
        <v>#N/A</v>
      </c>
      <c r="AX318" s="1" t="str">
        <f>IF(Tabla156[[#This Row],[Columna2]]="M1",5.1,"")</f>
        <v/>
      </c>
      <c r="AY318" s="1"/>
      <c r="AZ318" s="1"/>
      <c r="BA318" s="47">
        <f>IF(Tabla156[[#This Row],[Columna2]]="M1",13073,IF(Tabla156[[#This Row],[Columna2]]="N1",15815,IF(Tabla156[[#This Row],[Columna2]]="L3e",2831,53508)))</f>
        <v>53508</v>
      </c>
      <c r="BB318" s="47" t="e">
        <f>(Tabla156[[#This Row],[CVA]]*Tabla156[[#This Row],[F]]-Tabla156[[#This Row],[CVN]])/100*Tabla156[[#This Row],[L]]</f>
        <v>#VALUE!</v>
      </c>
      <c r="BC318" s="1"/>
      <c r="BD318" s="1" t="e">
        <f>VLOOKUP(B318,Tabla467824[[ID CAE2]:[AE '[kWh']]],6,FALSE)</f>
        <v>#N/A</v>
      </c>
      <c r="BE31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19" spans="1:57" ht="15" hidden="1" x14ac:dyDescent="0.25">
      <c r="A319" t="s">
        <v>1574</v>
      </c>
      <c r="B319"/>
      <c r="C319" s="31" t="s">
        <v>1575</v>
      </c>
      <c r="D319" s="31"/>
      <c r="E319" s="31"/>
      <c r="F319" s="31"/>
      <c r="G319" s="31"/>
      <c r="H319" s="31"/>
      <c r="I319" s="31"/>
      <c r="J319" s="31"/>
      <c r="K319" s="31" t="s">
        <v>73</v>
      </c>
      <c r="L319" s="31" t="s">
        <v>200</v>
      </c>
      <c r="M319" s="31" t="s">
        <v>201</v>
      </c>
      <c r="N319" s="31" t="s">
        <v>76</v>
      </c>
      <c r="O319" s="31" t="e">
        <f>VLOOKUP(Tabla156[[#This Row],[Matricula Antigua]],BAJA2022202320242025!$B$3:$CR$245,93,FALSE)</f>
        <v>#N/A</v>
      </c>
      <c r="P319" s="32">
        <v>44860</v>
      </c>
      <c r="Q319" s="32" t="e">
        <f>Tabla156[[#This Row],[F.Vig.Final]]-Tabla156[[#This Row],[f Vig Inicio]]</f>
        <v>#N/A</v>
      </c>
      <c r="R319" s="32">
        <f>YEAR(Tabla156[[#This Row],[F.Vig.Final]])</f>
        <v>2022</v>
      </c>
      <c r="S319" s="31" t="s">
        <v>77</v>
      </c>
      <c r="T319" s="31" t="s">
        <v>78</v>
      </c>
      <c r="U319" s="31" t="s">
        <v>359</v>
      </c>
      <c r="V319" s="31" t="s">
        <v>1559</v>
      </c>
      <c r="W319" s="31" t="s">
        <v>131</v>
      </c>
      <c r="X319" s="31" t="s">
        <v>132</v>
      </c>
      <c r="Y319" s="31" t="s">
        <v>135</v>
      </c>
      <c r="Z319" s="16">
        <f>COUNTIF($X$3:X319, X319)</f>
        <v>46</v>
      </c>
      <c r="AA319" s="16"/>
      <c r="AB319" s="16"/>
      <c r="AC319" s="16"/>
      <c r="AD319" s="16"/>
      <c r="AE319" s="16"/>
      <c r="AF319" s="16"/>
      <c r="AG319" s="16"/>
      <c r="AH319" s="16"/>
      <c r="AI319" s="16" t="e">
        <v>#N/A</v>
      </c>
      <c r="AJ319" s="16" t="e">
        <v>#N/A</v>
      </c>
      <c r="AK319" s="16" t="e">
        <v>#N/A</v>
      </c>
      <c r="AL319" s="16" t="e">
        <v>#N/A</v>
      </c>
      <c r="AM319" s="16" t="e">
        <v>#N/A</v>
      </c>
      <c r="AN319" s="17" t="e">
        <v>#N/A</v>
      </c>
      <c r="AO319" s="17" t="e">
        <v>#N/A</v>
      </c>
      <c r="AP319" s="17" t="e">
        <f>Tabla156[[#This Row],[Renov. Flota]]-Tabla156[[#This Row],[Año]]</f>
        <v>#N/A</v>
      </c>
      <c r="AQ319" s="18" t="e">
        <v>#N/A</v>
      </c>
      <c r="AR319" s="18" t="e">
        <f>VLOOKUP(Tabla156[[#This Row],[Matricula nueva]],'ALTA 20242025'!$B$2:$P$242,15,FALSE)</f>
        <v>#N/A</v>
      </c>
      <c r="AS319" s="19" t="e">
        <v>#N/A</v>
      </c>
      <c r="AV319" s="1"/>
      <c r="AW319" s="1" t="e">
        <f>VLOOKUP(Tabla156[[#This Row],[Matricula nueva]],Hoja2!$A$1:$B$224,2,FALSE)</f>
        <v>#N/A</v>
      </c>
      <c r="AX319" s="1" t="str">
        <f>IF(Tabla156[[#This Row],[Columna2]]="M1",5.1,"")</f>
        <v/>
      </c>
      <c r="AY319" s="1"/>
      <c r="AZ319" s="1"/>
      <c r="BA319" s="47">
        <f>IF(Tabla156[[#This Row],[Columna2]]="M1",13073,IF(Tabla156[[#This Row],[Columna2]]="N1",15815,IF(Tabla156[[#This Row],[Columna2]]="L3e",2831,53508)))</f>
        <v>53508</v>
      </c>
      <c r="BB319" s="47" t="e">
        <f>(Tabla156[[#This Row],[CVA]]*Tabla156[[#This Row],[F]]-Tabla156[[#This Row],[CVN]])/100*Tabla156[[#This Row],[L]]</f>
        <v>#VALUE!</v>
      </c>
      <c r="BC319" s="1"/>
      <c r="BD319" s="1" t="e">
        <f>VLOOKUP(B319,Tabla467824[[ID CAE2]:[AE '[kWh']]],6,FALSE)</f>
        <v>#N/A</v>
      </c>
      <c r="BE31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0" spans="1:57" ht="15" hidden="1" x14ac:dyDescent="0.25">
      <c r="A320" t="s">
        <v>1576</v>
      </c>
      <c r="B320"/>
      <c r="C320" s="31" t="s">
        <v>1577</v>
      </c>
      <c r="D320" s="31"/>
      <c r="E320" s="31"/>
      <c r="F320" s="31"/>
      <c r="G320" s="31"/>
      <c r="H320" s="31"/>
      <c r="I320" s="31"/>
      <c r="J320" s="31"/>
      <c r="K320" s="31" t="s">
        <v>73</v>
      </c>
      <c r="L320" s="31" t="s">
        <v>200</v>
      </c>
      <c r="M320" s="31" t="s">
        <v>201</v>
      </c>
      <c r="N320" s="31" t="s">
        <v>76</v>
      </c>
      <c r="O320" s="31" t="e">
        <f>VLOOKUP(Tabla156[[#This Row],[Matricula Antigua]],BAJA2022202320242025!$B$3:$CR$245,93,FALSE)</f>
        <v>#N/A</v>
      </c>
      <c r="P320" s="32">
        <v>44860</v>
      </c>
      <c r="Q320" s="32" t="e">
        <f>Tabla156[[#This Row],[F.Vig.Final]]-Tabla156[[#This Row],[f Vig Inicio]]</f>
        <v>#N/A</v>
      </c>
      <c r="R320" s="32">
        <f>YEAR(Tabla156[[#This Row],[F.Vig.Final]])</f>
        <v>2022</v>
      </c>
      <c r="S320" s="31" t="s">
        <v>77</v>
      </c>
      <c r="T320" s="31" t="s">
        <v>78</v>
      </c>
      <c r="U320" s="31" t="s">
        <v>359</v>
      </c>
      <c r="V320" s="31" t="s">
        <v>1559</v>
      </c>
      <c r="W320" s="31" t="s">
        <v>131</v>
      </c>
      <c r="X320" s="31" t="s">
        <v>132</v>
      </c>
      <c r="Y320" s="31" t="s">
        <v>1390</v>
      </c>
      <c r="Z320" s="16">
        <f>COUNTIF($X$3:X320, X320)</f>
        <v>47</v>
      </c>
      <c r="AA320" s="16"/>
      <c r="AB320" s="16"/>
      <c r="AC320" s="16"/>
      <c r="AD320" s="16"/>
      <c r="AE320" s="16"/>
      <c r="AF320" s="16"/>
      <c r="AG320" s="16"/>
      <c r="AH320" s="16"/>
      <c r="AI320" s="16" t="e">
        <v>#N/A</v>
      </c>
      <c r="AJ320" s="16" t="e">
        <v>#N/A</v>
      </c>
      <c r="AK320" s="16" t="e">
        <v>#N/A</v>
      </c>
      <c r="AL320" s="16" t="e">
        <v>#N/A</v>
      </c>
      <c r="AM320" s="16" t="e">
        <v>#N/A</v>
      </c>
      <c r="AN320" s="17" t="e">
        <v>#N/A</v>
      </c>
      <c r="AO320" s="17" t="e">
        <v>#N/A</v>
      </c>
      <c r="AP320" s="17" t="e">
        <f>Tabla156[[#This Row],[Renov. Flota]]-Tabla156[[#This Row],[Año]]</f>
        <v>#N/A</v>
      </c>
      <c r="AQ320" s="18" t="e">
        <v>#N/A</v>
      </c>
      <c r="AR320" s="18" t="e">
        <f>VLOOKUP(Tabla156[[#This Row],[Matricula nueva]],'ALTA 20242025'!$B$2:$P$242,15,FALSE)</f>
        <v>#N/A</v>
      </c>
      <c r="AS320" s="19" t="e">
        <v>#N/A</v>
      </c>
      <c r="AV320" s="1"/>
      <c r="AW320" s="1" t="e">
        <f>VLOOKUP(Tabla156[[#This Row],[Matricula nueva]],Hoja2!$A$1:$B$224,2,FALSE)</f>
        <v>#N/A</v>
      </c>
      <c r="AX320" s="1" t="str">
        <f>IF(Tabla156[[#This Row],[Columna2]]="M1",5.1,"")</f>
        <v/>
      </c>
      <c r="AY320" s="1"/>
      <c r="AZ320" s="1"/>
      <c r="BA320" s="47">
        <f>IF(Tabla156[[#This Row],[Columna2]]="M1",13073,IF(Tabla156[[#This Row],[Columna2]]="N1",15815,IF(Tabla156[[#This Row],[Columna2]]="L3e",2831,53508)))</f>
        <v>53508</v>
      </c>
      <c r="BB320" s="47" t="e">
        <f>(Tabla156[[#This Row],[CVA]]*Tabla156[[#This Row],[F]]-Tabla156[[#This Row],[CVN]])/100*Tabla156[[#This Row],[L]]</f>
        <v>#VALUE!</v>
      </c>
      <c r="BC320" s="1"/>
      <c r="BD320" s="1" t="e">
        <f>VLOOKUP(B320,Tabla467824[[ID CAE2]:[AE '[kWh']]],6,FALSE)</f>
        <v>#N/A</v>
      </c>
      <c r="BE32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1" spans="1:57" ht="15" hidden="1" x14ac:dyDescent="0.25">
      <c r="A321" t="s">
        <v>1578</v>
      </c>
      <c r="B321"/>
      <c r="C321" s="31" t="s">
        <v>1579</v>
      </c>
      <c r="D321" s="31"/>
      <c r="E321" s="31"/>
      <c r="F321" s="31"/>
      <c r="G321" s="31"/>
      <c r="H321" s="31"/>
      <c r="I321" s="31"/>
      <c r="J321" s="31"/>
      <c r="K321" s="31" t="s">
        <v>73</v>
      </c>
      <c r="L321" s="31" t="s">
        <v>200</v>
      </c>
      <c r="M321" s="31" t="s">
        <v>201</v>
      </c>
      <c r="N321" s="31" t="s">
        <v>76</v>
      </c>
      <c r="O321" s="31" t="e">
        <f>VLOOKUP(Tabla156[[#This Row],[Matricula Antigua]],BAJA2022202320242025!$B$3:$CR$245,93,FALSE)</f>
        <v>#N/A</v>
      </c>
      <c r="P321" s="32">
        <v>44733</v>
      </c>
      <c r="Q321" s="32" t="e">
        <f>Tabla156[[#This Row],[F.Vig.Final]]-Tabla156[[#This Row],[f Vig Inicio]]</f>
        <v>#N/A</v>
      </c>
      <c r="R321" s="32">
        <f>YEAR(Tabla156[[#This Row],[F.Vig.Final]])</f>
        <v>2022</v>
      </c>
      <c r="S321" s="31" t="s">
        <v>77</v>
      </c>
      <c r="T321" s="31" t="s">
        <v>78</v>
      </c>
      <c r="U321" s="31" t="s">
        <v>359</v>
      </c>
      <c r="V321" s="31" t="s">
        <v>604</v>
      </c>
      <c r="W321" s="31" t="s">
        <v>81</v>
      </c>
      <c r="X321" s="31" t="s">
        <v>82</v>
      </c>
      <c r="Y321" s="31" t="s">
        <v>143</v>
      </c>
      <c r="Z321" s="16">
        <f>COUNTIF($X$3:X321, X321)</f>
        <v>17</v>
      </c>
      <c r="AA321" s="16"/>
      <c r="AB321" s="16"/>
      <c r="AC321" s="16"/>
      <c r="AD321" s="16"/>
      <c r="AE321" s="16"/>
      <c r="AF321" s="16"/>
      <c r="AG321" s="16"/>
      <c r="AH321" s="16"/>
      <c r="AI321" s="16" t="e">
        <v>#N/A</v>
      </c>
      <c r="AJ321" s="16" t="e">
        <v>#N/A</v>
      </c>
      <c r="AK321" s="16" t="e">
        <v>#N/A</v>
      </c>
      <c r="AL321" s="16" t="e">
        <v>#N/A</v>
      </c>
      <c r="AM321" s="16" t="e">
        <v>#N/A</v>
      </c>
      <c r="AN321" s="17" t="e">
        <v>#N/A</v>
      </c>
      <c r="AO321" s="17" t="e">
        <v>#N/A</v>
      </c>
      <c r="AP321" s="17" t="e">
        <f>Tabla156[[#This Row],[Renov. Flota]]-Tabla156[[#This Row],[Año]]</f>
        <v>#N/A</v>
      </c>
      <c r="AQ321" s="18" t="e">
        <v>#N/A</v>
      </c>
      <c r="AR321" s="18" t="e">
        <f>VLOOKUP(Tabla156[[#This Row],[Matricula nueva]],'ALTA 20242025'!$B$2:$P$242,15,FALSE)</f>
        <v>#N/A</v>
      </c>
      <c r="AS321" s="19" t="e">
        <v>#N/A</v>
      </c>
      <c r="AV321" s="1"/>
      <c r="AW321" s="1" t="e">
        <f>VLOOKUP(Tabla156[[#This Row],[Matricula nueva]],Hoja2!$A$1:$B$224,2,FALSE)</f>
        <v>#N/A</v>
      </c>
      <c r="AX321" s="1" t="str">
        <f>IF(Tabla156[[#This Row],[Columna2]]="M1",5.1,"")</f>
        <v/>
      </c>
      <c r="AY321" s="1"/>
      <c r="AZ321" s="1"/>
      <c r="BA321" s="47">
        <f>IF(Tabla156[[#This Row],[Columna2]]="M1",13073,IF(Tabla156[[#This Row],[Columna2]]="N1",15815,IF(Tabla156[[#This Row],[Columna2]]="L3e",2831,53508)))</f>
        <v>53508</v>
      </c>
      <c r="BB321" s="47" t="e">
        <f>(Tabla156[[#This Row],[CVA]]*Tabla156[[#This Row],[F]]-Tabla156[[#This Row],[CVN]])/100*Tabla156[[#This Row],[L]]</f>
        <v>#VALUE!</v>
      </c>
      <c r="BC321" s="1"/>
      <c r="BD321" s="1" t="e">
        <f>VLOOKUP(B321,Tabla467824[[ID CAE2]:[AE '[kWh']]],6,FALSE)</f>
        <v>#N/A</v>
      </c>
      <c r="BE32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2" spans="1:57" ht="15" hidden="1" x14ac:dyDescent="0.25">
      <c r="A322" t="s">
        <v>1580</v>
      </c>
      <c r="B322"/>
      <c r="C322" s="31" t="s">
        <v>1581</v>
      </c>
      <c r="D322" s="31"/>
      <c r="E322" s="31"/>
      <c r="F322" s="31"/>
      <c r="G322" s="31"/>
      <c r="H322" s="31"/>
      <c r="I322" s="31"/>
      <c r="J322" s="31"/>
      <c r="K322" s="31" t="s">
        <v>158</v>
      </c>
      <c r="L322" s="31" t="s">
        <v>159</v>
      </c>
      <c r="M322" s="31" t="s">
        <v>158</v>
      </c>
      <c r="N322" s="31" t="s">
        <v>171</v>
      </c>
      <c r="O322" s="31" t="e">
        <f>VLOOKUP(Tabla156[[#This Row],[Matricula Antigua]],BAJA2022202320242025!$B$3:$CR$245,93,FALSE)</f>
        <v>#N/A</v>
      </c>
      <c r="P322" s="32">
        <v>44727</v>
      </c>
      <c r="Q322" s="32" t="e">
        <f>Tabla156[[#This Row],[F.Vig.Final]]-Tabla156[[#This Row],[f Vig Inicio]]</f>
        <v>#N/A</v>
      </c>
      <c r="R322" s="32">
        <f>YEAR(Tabla156[[#This Row],[F.Vig.Final]])</f>
        <v>2022</v>
      </c>
      <c r="S322" s="31" t="s">
        <v>172</v>
      </c>
      <c r="T322" s="31" t="s">
        <v>87</v>
      </c>
      <c r="U322" s="31" t="s">
        <v>726</v>
      </c>
      <c r="V322" s="31" t="s">
        <v>1582</v>
      </c>
      <c r="W322" s="31" t="s">
        <v>336</v>
      </c>
      <c r="X322" s="31" t="s">
        <v>337</v>
      </c>
      <c r="Y322" s="31" t="s">
        <v>1583</v>
      </c>
      <c r="Z322" s="16">
        <f>COUNTIF($X$3:X322, X322)</f>
        <v>31</v>
      </c>
      <c r="AA322" s="16"/>
      <c r="AB322" s="16"/>
      <c r="AC322" s="16"/>
      <c r="AD322" s="16"/>
      <c r="AE322" s="16"/>
      <c r="AF322" s="16"/>
      <c r="AG322" s="16"/>
      <c r="AH322" s="16"/>
      <c r="AI322" s="16" t="e">
        <v>#N/A</v>
      </c>
      <c r="AJ322" s="16" t="e">
        <v>#N/A</v>
      </c>
      <c r="AK322" s="16" t="e">
        <v>#N/A</v>
      </c>
      <c r="AL322" s="16" t="e">
        <v>#N/A</v>
      </c>
      <c r="AM322" s="16" t="e">
        <v>#N/A</v>
      </c>
      <c r="AN322" s="17" t="e">
        <v>#N/A</v>
      </c>
      <c r="AO322" s="17" t="e">
        <v>#N/A</v>
      </c>
      <c r="AP322" s="17" t="e">
        <f>Tabla156[[#This Row],[Renov. Flota]]-Tabla156[[#This Row],[Año]]</f>
        <v>#N/A</v>
      </c>
      <c r="AQ322" s="18" t="e">
        <v>#N/A</v>
      </c>
      <c r="AR322" s="18" t="e">
        <f>VLOOKUP(Tabla156[[#This Row],[Matricula nueva]],'ALTA 20242025'!$B$2:$P$242,15,FALSE)</f>
        <v>#N/A</v>
      </c>
      <c r="AS322" s="19" t="e">
        <v>#N/A</v>
      </c>
      <c r="AV322" s="1"/>
      <c r="AW322" s="1" t="e">
        <f>VLOOKUP(Tabla156[[#This Row],[Matricula nueva]],Hoja2!$A$1:$B$224,2,FALSE)</f>
        <v>#N/A</v>
      </c>
      <c r="AX322" s="1" t="str">
        <f>IF(Tabla156[[#This Row],[Columna2]]="M1",5.1,"")</f>
        <v/>
      </c>
      <c r="AY322" s="1"/>
      <c r="AZ322" s="1"/>
      <c r="BA322" s="47">
        <f>IF(Tabla156[[#This Row],[Columna2]]="M1",13073,IF(Tabla156[[#This Row],[Columna2]]="N1",15815,IF(Tabla156[[#This Row],[Columna2]]="L3e",2831,53508)))</f>
        <v>53508</v>
      </c>
      <c r="BB322" s="47" t="e">
        <f>(Tabla156[[#This Row],[CVA]]*Tabla156[[#This Row],[F]]-Tabla156[[#This Row],[CVN]])/100*Tabla156[[#This Row],[L]]</f>
        <v>#VALUE!</v>
      </c>
      <c r="BC322" s="1"/>
      <c r="BD322" s="1" t="e">
        <f>VLOOKUP(B322,Tabla467824[[ID CAE2]:[AE '[kWh']]],6,FALSE)</f>
        <v>#N/A</v>
      </c>
      <c r="BE32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323" spans="1:57" ht="15" hidden="1" x14ac:dyDescent="0.25">
      <c r="A323" t="s">
        <v>1584</v>
      </c>
      <c r="B323"/>
      <c r="C323" s="31" t="s">
        <v>1585</v>
      </c>
      <c r="D323" s="31"/>
      <c r="E323" s="31"/>
      <c r="F323" s="31"/>
      <c r="G323" s="31"/>
      <c r="H323" s="31"/>
      <c r="I323" s="31"/>
      <c r="J323" s="31"/>
      <c r="K323" s="31" t="s">
        <v>73</v>
      </c>
      <c r="L323" s="31" t="s">
        <v>200</v>
      </c>
      <c r="M323" s="31" t="s">
        <v>201</v>
      </c>
      <c r="N323" s="31" t="s">
        <v>76</v>
      </c>
      <c r="O323" s="31" t="e">
        <f>VLOOKUP(Tabla156[[#This Row],[Matricula Antigua]],BAJA2022202320242025!$B$3:$CR$245,93,FALSE)</f>
        <v>#N/A</v>
      </c>
      <c r="P323" s="32">
        <v>44707</v>
      </c>
      <c r="Q323" s="32" t="e">
        <f>Tabla156[[#This Row],[F.Vig.Final]]-Tabla156[[#This Row],[f Vig Inicio]]</f>
        <v>#N/A</v>
      </c>
      <c r="R323" s="32">
        <f>YEAR(Tabla156[[#This Row],[F.Vig.Final]])</f>
        <v>2022</v>
      </c>
      <c r="S323" s="31" t="s">
        <v>77</v>
      </c>
      <c r="T323" s="31" t="s">
        <v>78</v>
      </c>
      <c r="U323" s="31" t="s">
        <v>359</v>
      </c>
      <c r="V323" s="31" t="s">
        <v>593</v>
      </c>
      <c r="W323" s="31" t="s">
        <v>584</v>
      </c>
      <c r="X323" s="31" t="s">
        <v>585</v>
      </c>
      <c r="Y323" s="31" t="s">
        <v>1586</v>
      </c>
      <c r="Z323" s="16">
        <f>COUNTIF($X$3:X323, X323)</f>
        <v>23</v>
      </c>
      <c r="AA323" s="16"/>
      <c r="AB323" s="16"/>
      <c r="AC323" s="16"/>
      <c r="AD323" s="16"/>
      <c r="AE323" s="16"/>
      <c r="AF323" s="16"/>
      <c r="AG323" s="16"/>
      <c r="AH323" s="16"/>
      <c r="AI323" s="16" t="e">
        <v>#N/A</v>
      </c>
      <c r="AJ323" s="16" t="e">
        <v>#N/A</v>
      </c>
      <c r="AK323" s="16" t="e">
        <v>#N/A</v>
      </c>
      <c r="AL323" s="16" t="e">
        <v>#N/A</v>
      </c>
      <c r="AM323" s="16" t="e">
        <v>#N/A</v>
      </c>
      <c r="AN323" s="17" t="e">
        <v>#N/A</v>
      </c>
      <c r="AO323" s="17" t="e">
        <v>#N/A</v>
      </c>
      <c r="AP323" s="17" t="e">
        <f>Tabla156[[#This Row],[Renov. Flota]]-Tabla156[[#This Row],[Año]]</f>
        <v>#N/A</v>
      </c>
      <c r="AQ323" s="18" t="e">
        <v>#N/A</v>
      </c>
      <c r="AR323" s="18" t="e">
        <f>VLOOKUP(Tabla156[[#This Row],[Matricula nueva]],'ALTA 20242025'!$B$2:$P$242,15,FALSE)</f>
        <v>#N/A</v>
      </c>
      <c r="AS323" s="19" t="e">
        <v>#N/A</v>
      </c>
      <c r="AV323" s="1"/>
      <c r="AW323" s="1" t="e">
        <f>VLOOKUP(Tabla156[[#This Row],[Matricula nueva]],Hoja2!$A$1:$B$224,2,FALSE)</f>
        <v>#N/A</v>
      </c>
      <c r="AX323" s="1" t="str">
        <f>IF(Tabla156[[#This Row],[Columna2]]="M1",5.1,"")</f>
        <v/>
      </c>
      <c r="AY323" s="1"/>
      <c r="AZ323" s="1"/>
      <c r="BA323" s="47">
        <f>IF(Tabla156[[#This Row],[Columna2]]="M1",13073,IF(Tabla156[[#This Row],[Columna2]]="N1",15815,IF(Tabla156[[#This Row],[Columna2]]="L3e",2831,53508)))</f>
        <v>53508</v>
      </c>
      <c r="BB323" s="47" t="e">
        <f>(Tabla156[[#This Row],[CVA]]*Tabla156[[#This Row],[F]]-Tabla156[[#This Row],[CVN]])/100*Tabla156[[#This Row],[L]]</f>
        <v>#VALUE!</v>
      </c>
      <c r="BC323" s="1"/>
      <c r="BD323" s="1" t="e">
        <f>VLOOKUP(B323,Tabla467824[[ID CAE2]:[AE '[kWh']]],6,FALSE)</f>
        <v>#N/A</v>
      </c>
      <c r="BE32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4" spans="1:57" ht="15" hidden="1" x14ac:dyDescent="0.25">
      <c r="A324" t="s">
        <v>1587</v>
      </c>
      <c r="B324"/>
      <c r="C324" s="31" t="s">
        <v>1588</v>
      </c>
      <c r="D324" s="31"/>
      <c r="E324" s="31"/>
      <c r="F324" s="31"/>
      <c r="G324" s="31"/>
      <c r="H324" s="31"/>
      <c r="I324" s="31"/>
      <c r="J324" s="31"/>
      <c r="K324" s="31" t="s">
        <v>73</v>
      </c>
      <c r="L324" s="31" t="s">
        <v>200</v>
      </c>
      <c r="M324" s="31" t="s">
        <v>201</v>
      </c>
      <c r="N324" s="31" t="s">
        <v>76</v>
      </c>
      <c r="O324" s="31" t="e">
        <f>VLOOKUP(Tabla156[[#This Row],[Matricula Antigua]],BAJA2022202320242025!$B$3:$CR$245,93,FALSE)</f>
        <v>#N/A</v>
      </c>
      <c r="P324" s="32">
        <v>44705</v>
      </c>
      <c r="Q324" s="32" t="e">
        <f>Tabla156[[#This Row],[F.Vig.Final]]-Tabla156[[#This Row],[f Vig Inicio]]</f>
        <v>#N/A</v>
      </c>
      <c r="R324" s="32">
        <f>YEAR(Tabla156[[#This Row],[F.Vig.Final]])</f>
        <v>2022</v>
      </c>
      <c r="S324" s="31" t="s">
        <v>77</v>
      </c>
      <c r="T324" s="31" t="s">
        <v>78</v>
      </c>
      <c r="U324" s="31" t="s">
        <v>359</v>
      </c>
      <c r="V324" s="31" t="s">
        <v>593</v>
      </c>
      <c r="W324" s="31" t="s">
        <v>584</v>
      </c>
      <c r="X324" s="31" t="s">
        <v>585</v>
      </c>
      <c r="Y324" s="31" t="s">
        <v>1589</v>
      </c>
      <c r="Z324" s="16">
        <f>COUNTIF($X$3:X324, X324)</f>
        <v>24</v>
      </c>
      <c r="AA324" s="16"/>
      <c r="AB324" s="16"/>
      <c r="AC324" s="16"/>
      <c r="AD324" s="16"/>
      <c r="AE324" s="16"/>
      <c r="AF324" s="16"/>
      <c r="AG324" s="16"/>
      <c r="AH324" s="16"/>
      <c r="AI324" s="16" t="e">
        <v>#N/A</v>
      </c>
      <c r="AJ324" s="16" t="e">
        <v>#N/A</v>
      </c>
      <c r="AK324" s="16" t="e">
        <v>#N/A</v>
      </c>
      <c r="AL324" s="16" t="e">
        <v>#N/A</v>
      </c>
      <c r="AM324" s="16" t="e">
        <v>#N/A</v>
      </c>
      <c r="AN324" s="17" t="e">
        <v>#N/A</v>
      </c>
      <c r="AO324" s="17" t="e">
        <v>#N/A</v>
      </c>
      <c r="AP324" s="17" t="e">
        <f>Tabla156[[#This Row],[Renov. Flota]]-Tabla156[[#This Row],[Año]]</f>
        <v>#N/A</v>
      </c>
      <c r="AQ324" s="18" t="e">
        <v>#N/A</v>
      </c>
      <c r="AR324" s="18" t="e">
        <f>VLOOKUP(Tabla156[[#This Row],[Matricula nueva]],'ALTA 20242025'!$B$2:$P$242,15,FALSE)</f>
        <v>#N/A</v>
      </c>
      <c r="AS324" s="19" t="e">
        <v>#N/A</v>
      </c>
      <c r="AV324" s="1"/>
      <c r="AW324" s="1" t="e">
        <f>VLOOKUP(Tabla156[[#This Row],[Matricula nueva]],Hoja2!$A$1:$B$224,2,FALSE)</f>
        <v>#N/A</v>
      </c>
      <c r="AX324" s="1" t="str">
        <f>IF(Tabla156[[#This Row],[Columna2]]="M1",5.1,"")</f>
        <v/>
      </c>
      <c r="AY324" s="1"/>
      <c r="AZ324" s="1"/>
      <c r="BA324" s="47">
        <f>IF(Tabla156[[#This Row],[Columna2]]="M1",13073,IF(Tabla156[[#This Row],[Columna2]]="N1",15815,IF(Tabla156[[#This Row],[Columna2]]="L3e",2831,53508)))</f>
        <v>53508</v>
      </c>
      <c r="BB324" s="47" t="e">
        <f>(Tabla156[[#This Row],[CVA]]*Tabla156[[#This Row],[F]]-Tabla156[[#This Row],[CVN]])/100*Tabla156[[#This Row],[L]]</f>
        <v>#VALUE!</v>
      </c>
      <c r="BC324" s="1"/>
      <c r="BD324" s="1" t="e">
        <f>VLOOKUP(B324,Tabla467824[[ID CAE2]:[AE '[kWh']]],6,FALSE)</f>
        <v>#N/A</v>
      </c>
      <c r="BE32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5" spans="1:57" ht="15" hidden="1" x14ac:dyDescent="0.25">
      <c r="A325" t="s">
        <v>1590</v>
      </c>
      <c r="B325"/>
      <c r="C325" s="31" t="s">
        <v>1591</v>
      </c>
      <c r="D325" s="31"/>
      <c r="E325" s="31"/>
      <c r="F325" s="31"/>
      <c r="G325" s="31"/>
      <c r="H325" s="31"/>
      <c r="I325" s="31"/>
      <c r="J325" s="31"/>
      <c r="K325" s="31" t="s">
        <v>129</v>
      </c>
      <c r="L325" s="31" t="s">
        <v>74</v>
      </c>
      <c r="M325" s="31" t="s">
        <v>75</v>
      </c>
      <c r="N325" s="31" t="s">
        <v>76</v>
      </c>
      <c r="O325" s="31" t="e">
        <f>VLOOKUP(Tabla156[[#This Row],[Matricula Antigua]],BAJA2022202320242025!$B$3:$CR$245,93,FALSE)</f>
        <v>#N/A</v>
      </c>
      <c r="P325" s="32">
        <v>44845</v>
      </c>
      <c r="Q325" s="32" t="e">
        <f>Tabla156[[#This Row],[F.Vig.Final]]-Tabla156[[#This Row],[f Vig Inicio]]</f>
        <v>#N/A</v>
      </c>
      <c r="R325" s="32">
        <f>YEAR(Tabla156[[#This Row],[F.Vig.Final]])</f>
        <v>2022</v>
      </c>
      <c r="S325" s="31" t="s">
        <v>77</v>
      </c>
      <c r="T325" s="31" t="s">
        <v>78</v>
      </c>
      <c r="U325" s="31" t="s">
        <v>79</v>
      </c>
      <c r="V325" s="31" t="s">
        <v>1592</v>
      </c>
      <c r="W325" s="31" t="s">
        <v>131</v>
      </c>
      <c r="X325" s="31" t="s">
        <v>132</v>
      </c>
      <c r="Y325" s="31" t="s">
        <v>793</v>
      </c>
      <c r="Z325" s="16">
        <f>COUNTIF($X$3:X325, X325)</f>
        <v>48</v>
      </c>
      <c r="AA325" s="16"/>
      <c r="AB325" s="16"/>
      <c r="AC325" s="16"/>
      <c r="AD325" s="16"/>
      <c r="AE325" s="16"/>
      <c r="AF325" s="16"/>
      <c r="AG325" s="16"/>
      <c r="AH325" s="16"/>
      <c r="AI325" s="16" t="e">
        <v>#N/A</v>
      </c>
      <c r="AJ325" s="16" t="e">
        <v>#N/A</v>
      </c>
      <c r="AK325" s="16" t="e">
        <v>#N/A</v>
      </c>
      <c r="AL325" s="16" t="e">
        <v>#N/A</v>
      </c>
      <c r="AM325" s="16" t="e">
        <v>#N/A</v>
      </c>
      <c r="AN325" s="17" t="e">
        <v>#N/A</v>
      </c>
      <c r="AO325" s="17" t="e">
        <v>#N/A</v>
      </c>
      <c r="AP325" s="17" t="e">
        <f>Tabla156[[#This Row],[Renov. Flota]]-Tabla156[[#This Row],[Año]]</f>
        <v>#N/A</v>
      </c>
      <c r="AQ325" s="18" t="e">
        <v>#N/A</v>
      </c>
      <c r="AR325" s="18" t="e">
        <f>VLOOKUP(Tabla156[[#This Row],[Matricula nueva]],'ALTA 20242025'!$B$2:$P$242,15,FALSE)</f>
        <v>#N/A</v>
      </c>
      <c r="AS325" s="19" t="e">
        <v>#N/A</v>
      </c>
      <c r="AV325" s="1"/>
      <c r="AW325" s="1" t="e">
        <f>VLOOKUP(Tabla156[[#This Row],[Matricula nueva]],Hoja2!$A$1:$B$224,2,FALSE)</f>
        <v>#N/A</v>
      </c>
      <c r="AX325" s="1" t="str">
        <f>IF(Tabla156[[#This Row],[Columna2]]="M1",5.1,"")</f>
        <v/>
      </c>
      <c r="AY325" s="1"/>
      <c r="AZ325" s="1"/>
      <c r="BA325" s="47">
        <f>IF(Tabla156[[#This Row],[Columna2]]="M1",13073,IF(Tabla156[[#This Row],[Columna2]]="N1",15815,IF(Tabla156[[#This Row],[Columna2]]="L3e",2831,53508)))</f>
        <v>53508</v>
      </c>
      <c r="BB325" s="47" t="e">
        <f>(Tabla156[[#This Row],[CVA]]*Tabla156[[#This Row],[F]]-Tabla156[[#This Row],[CVN]])/100*Tabla156[[#This Row],[L]]</f>
        <v>#VALUE!</v>
      </c>
      <c r="BC325" s="1"/>
      <c r="BD325" s="1" t="e">
        <f>VLOOKUP(B325,Tabla467824[[ID CAE2]:[AE '[kWh']]],6,FALSE)</f>
        <v>#N/A</v>
      </c>
      <c r="BE32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6" spans="1:57" ht="15" hidden="1" x14ac:dyDescent="0.25">
      <c r="A326" t="s">
        <v>1593</v>
      </c>
      <c r="B326"/>
      <c r="C326" s="31" t="s">
        <v>1594</v>
      </c>
      <c r="D326" s="31"/>
      <c r="E326" s="31"/>
      <c r="F326" s="31"/>
      <c r="G326" s="31"/>
      <c r="H326" s="31"/>
      <c r="I326" s="31"/>
      <c r="J326" s="31"/>
      <c r="K326" s="31" t="s">
        <v>73</v>
      </c>
      <c r="L326" s="31" t="s">
        <v>172</v>
      </c>
      <c r="M326" s="31" t="s">
        <v>1127</v>
      </c>
      <c r="N326" s="31" t="s">
        <v>76</v>
      </c>
      <c r="O326" s="31" t="e">
        <f>VLOOKUP(Tabla156[[#This Row],[Matricula Antigua]],BAJA2022202320242025!$B$3:$CR$245,93,FALSE)</f>
        <v>#N/A</v>
      </c>
      <c r="P326" s="32">
        <v>44772</v>
      </c>
      <c r="Q326" s="32" t="e">
        <f>Tabla156[[#This Row],[F.Vig.Final]]-Tabla156[[#This Row],[f Vig Inicio]]</f>
        <v>#N/A</v>
      </c>
      <c r="R326" s="32">
        <f>YEAR(Tabla156[[#This Row],[F.Vig.Final]])</f>
        <v>2022</v>
      </c>
      <c r="S326" s="31" t="s">
        <v>77</v>
      </c>
      <c r="T326" s="31" t="s">
        <v>78</v>
      </c>
      <c r="U326" s="31" t="s">
        <v>1362</v>
      </c>
      <c r="V326" s="31" t="s">
        <v>1367</v>
      </c>
      <c r="W326" s="31" t="s">
        <v>215</v>
      </c>
      <c r="X326" s="31" t="s">
        <v>216</v>
      </c>
      <c r="Y326" s="31" t="s">
        <v>217</v>
      </c>
      <c r="Z326" s="16">
        <f>COUNTIF($X$3:X326, X326)</f>
        <v>8</v>
      </c>
      <c r="AA326" s="16"/>
      <c r="AB326" s="16"/>
      <c r="AC326" s="16"/>
      <c r="AD326" s="16"/>
      <c r="AE326" s="16"/>
      <c r="AF326" s="16"/>
      <c r="AG326" s="16"/>
      <c r="AH326" s="16"/>
      <c r="AI326" s="16" t="e">
        <v>#N/A</v>
      </c>
      <c r="AJ326" s="16" t="e">
        <v>#N/A</v>
      </c>
      <c r="AK326" s="16" t="e">
        <v>#N/A</v>
      </c>
      <c r="AL326" s="16" t="e">
        <v>#N/A</v>
      </c>
      <c r="AM326" s="16" t="e">
        <v>#N/A</v>
      </c>
      <c r="AN326" s="17" t="e">
        <v>#N/A</v>
      </c>
      <c r="AO326" s="17" t="e">
        <v>#N/A</v>
      </c>
      <c r="AP326" s="17" t="e">
        <f>Tabla156[[#This Row],[Renov. Flota]]-Tabla156[[#This Row],[Año]]</f>
        <v>#N/A</v>
      </c>
      <c r="AQ326" s="18" t="e">
        <v>#N/A</v>
      </c>
      <c r="AR326" s="18" t="e">
        <f>VLOOKUP(Tabla156[[#This Row],[Matricula nueva]],'ALTA 20242025'!$B$2:$P$242,15,FALSE)</f>
        <v>#N/A</v>
      </c>
      <c r="AS326" s="19" t="e">
        <v>#N/A</v>
      </c>
      <c r="AV326" s="1"/>
      <c r="AW326" s="1" t="e">
        <f>VLOOKUP(Tabla156[[#This Row],[Matricula nueva]],Hoja2!$A$1:$B$224,2,FALSE)</f>
        <v>#N/A</v>
      </c>
      <c r="AX326" s="1" t="str">
        <f>IF(Tabla156[[#This Row],[Columna2]]="M1",5.1,"")</f>
        <v/>
      </c>
      <c r="AY326" s="1"/>
      <c r="AZ326" s="1"/>
      <c r="BA326" s="47">
        <f>IF(Tabla156[[#This Row],[Columna2]]="M1",13073,IF(Tabla156[[#This Row],[Columna2]]="N1",15815,IF(Tabla156[[#This Row],[Columna2]]="L3e",2831,53508)))</f>
        <v>53508</v>
      </c>
      <c r="BB326" s="47" t="e">
        <f>(Tabla156[[#This Row],[CVA]]*Tabla156[[#This Row],[F]]-Tabla156[[#This Row],[CVN]])/100*Tabla156[[#This Row],[L]]</f>
        <v>#VALUE!</v>
      </c>
      <c r="BC326" s="1"/>
      <c r="BD326" s="1" t="e">
        <f>VLOOKUP(B326,Tabla467824[[ID CAE2]:[AE '[kWh']]],6,FALSE)</f>
        <v>#N/A</v>
      </c>
      <c r="BE32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7" spans="1:57" ht="15" hidden="1" x14ac:dyDescent="0.25">
      <c r="A327" t="s">
        <v>1595</v>
      </c>
      <c r="B327"/>
      <c r="C327" s="31" t="s">
        <v>1596</v>
      </c>
      <c r="D327" s="31"/>
      <c r="E327" s="31"/>
      <c r="F327" s="31"/>
      <c r="G327" s="31"/>
      <c r="H327" s="31"/>
      <c r="I327" s="31"/>
      <c r="J327" s="31"/>
      <c r="K327" s="31" t="s">
        <v>73</v>
      </c>
      <c r="L327" s="31" t="s">
        <v>200</v>
      </c>
      <c r="M327" s="31" t="s">
        <v>201</v>
      </c>
      <c r="N327" s="31" t="s">
        <v>76</v>
      </c>
      <c r="O327" s="31" t="e">
        <f>VLOOKUP(Tabla156[[#This Row],[Matricula Antigua]],BAJA2022202320242025!$B$3:$CR$245,93,FALSE)</f>
        <v>#N/A</v>
      </c>
      <c r="P327" s="32">
        <v>44712</v>
      </c>
      <c r="Q327" s="32" t="e">
        <f>Tabla156[[#This Row],[F.Vig.Final]]-Tabla156[[#This Row],[f Vig Inicio]]</f>
        <v>#N/A</v>
      </c>
      <c r="R327" s="32">
        <f>YEAR(Tabla156[[#This Row],[F.Vig.Final]])</f>
        <v>2022</v>
      </c>
      <c r="S327" s="31" t="s">
        <v>77</v>
      </c>
      <c r="T327" s="31" t="s">
        <v>78</v>
      </c>
      <c r="U327" s="31" t="s">
        <v>359</v>
      </c>
      <c r="V327" s="31" t="s">
        <v>593</v>
      </c>
      <c r="W327" s="31" t="s">
        <v>81</v>
      </c>
      <c r="X327" s="31" t="s">
        <v>82</v>
      </c>
      <c r="Y327" s="31" t="s">
        <v>174</v>
      </c>
      <c r="Z327" s="16">
        <f>COUNTIF($X$3:X327, X327)</f>
        <v>18</v>
      </c>
      <c r="AA327" s="16"/>
      <c r="AB327" s="16"/>
      <c r="AC327" s="16"/>
      <c r="AD327" s="16"/>
      <c r="AE327" s="16"/>
      <c r="AF327" s="16"/>
      <c r="AG327" s="16"/>
      <c r="AH327" s="16"/>
      <c r="AI327" s="16" t="e">
        <v>#N/A</v>
      </c>
      <c r="AJ327" s="16" t="e">
        <v>#N/A</v>
      </c>
      <c r="AK327" s="16" t="e">
        <v>#N/A</v>
      </c>
      <c r="AL327" s="16" t="e">
        <v>#N/A</v>
      </c>
      <c r="AM327" s="16" t="e">
        <v>#N/A</v>
      </c>
      <c r="AN327" s="17" t="e">
        <v>#N/A</v>
      </c>
      <c r="AO327" s="17" t="e">
        <v>#N/A</v>
      </c>
      <c r="AP327" s="17" t="e">
        <f>Tabla156[[#This Row],[Renov. Flota]]-Tabla156[[#This Row],[Año]]</f>
        <v>#N/A</v>
      </c>
      <c r="AQ327" s="18" t="e">
        <v>#N/A</v>
      </c>
      <c r="AR327" s="18" t="e">
        <f>VLOOKUP(Tabla156[[#This Row],[Matricula nueva]],'ALTA 20242025'!$B$2:$P$242,15,FALSE)</f>
        <v>#N/A</v>
      </c>
      <c r="AS327" s="19" t="e">
        <v>#N/A</v>
      </c>
      <c r="AV327" s="1"/>
      <c r="AW327" s="1" t="e">
        <f>VLOOKUP(Tabla156[[#This Row],[Matricula nueva]],Hoja2!$A$1:$B$224,2,FALSE)</f>
        <v>#N/A</v>
      </c>
      <c r="AX327" s="1" t="str">
        <f>IF(Tabla156[[#This Row],[Columna2]]="M1",5.1,"")</f>
        <v/>
      </c>
      <c r="AY327" s="1"/>
      <c r="AZ327" s="1"/>
      <c r="BA327" s="47">
        <f>IF(Tabla156[[#This Row],[Columna2]]="M1",13073,IF(Tabla156[[#This Row],[Columna2]]="N1",15815,IF(Tabla156[[#This Row],[Columna2]]="L3e",2831,53508)))</f>
        <v>53508</v>
      </c>
      <c r="BB327" s="47" t="e">
        <f>(Tabla156[[#This Row],[CVA]]*Tabla156[[#This Row],[F]]-Tabla156[[#This Row],[CVN]])/100*Tabla156[[#This Row],[L]]</f>
        <v>#VALUE!</v>
      </c>
      <c r="BC327" s="1"/>
      <c r="BD327" s="1" t="e">
        <f>VLOOKUP(B327,Tabla467824[[ID CAE2]:[AE '[kWh']]],6,FALSE)</f>
        <v>#N/A</v>
      </c>
      <c r="BE32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8" spans="1:57" ht="15" hidden="1" x14ac:dyDescent="0.25">
      <c r="A328" t="s">
        <v>1597</v>
      </c>
      <c r="B328"/>
      <c r="C328" s="31" t="s">
        <v>1598</v>
      </c>
      <c r="D328" s="31"/>
      <c r="E328" s="31"/>
      <c r="F328" s="31"/>
      <c r="G328" s="31"/>
      <c r="H328" s="31"/>
      <c r="I328" s="31"/>
      <c r="J328" s="31"/>
      <c r="K328" s="31" t="s">
        <v>73</v>
      </c>
      <c r="L328" s="31" t="s">
        <v>200</v>
      </c>
      <c r="M328" s="31" t="s">
        <v>201</v>
      </c>
      <c r="N328" s="31" t="s">
        <v>76</v>
      </c>
      <c r="O328" s="31" t="e">
        <f>VLOOKUP(Tabla156[[#This Row],[Matricula Antigua]],BAJA2022202320242025!$B$3:$CR$245,93,FALSE)</f>
        <v>#N/A</v>
      </c>
      <c r="P328" s="32">
        <v>44721</v>
      </c>
      <c r="Q328" s="32" t="e">
        <f>Tabla156[[#This Row],[F.Vig.Final]]-Tabla156[[#This Row],[f Vig Inicio]]</f>
        <v>#N/A</v>
      </c>
      <c r="R328" s="32">
        <f>YEAR(Tabla156[[#This Row],[F.Vig.Final]])</f>
        <v>2022</v>
      </c>
      <c r="S328" s="31" t="s">
        <v>77</v>
      </c>
      <c r="T328" s="31" t="s">
        <v>78</v>
      </c>
      <c r="U328" s="31" t="s">
        <v>359</v>
      </c>
      <c r="V328" s="31" t="s">
        <v>1559</v>
      </c>
      <c r="W328" s="31" t="s">
        <v>584</v>
      </c>
      <c r="X328" s="31" t="s">
        <v>585</v>
      </c>
      <c r="Y328" s="31" t="s">
        <v>1599</v>
      </c>
      <c r="Z328" s="16">
        <f>COUNTIF($X$3:X328, X328)</f>
        <v>25</v>
      </c>
      <c r="AA328" s="16"/>
      <c r="AB328" s="16"/>
      <c r="AC328" s="16"/>
      <c r="AD328" s="16"/>
      <c r="AE328" s="16"/>
      <c r="AF328" s="16"/>
      <c r="AG328" s="16"/>
      <c r="AH328" s="16"/>
      <c r="AI328" s="16" t="e">
        <v>#N/A</v>
      </c>
      <c r="AJ328" s="16" t="e">
        <v>#N/A</v>
      </c>
      <c r="AK328" s="16" t="e">
        <v>#N/A</v>
      </c>
      <c r="AL328" s="16" t="e">
        <v>#N/A</v>
      </c>
      <c r="AM328" s="16" t="e">
        <v>#N/A</v>
      </c>
      <c r="AN328" s="17" t="e">
        <v>#N/A</v>
      </c>
      <c r="AO328" s="17" t="e">
        <v>#N/A</v>
      </c>
      <c r="AP328" s="17" t="e">
        <f>Tabla156[[#This Row],[Renov. Flota]]-Tabla156[[#This Row],[Año]]</f>
        <v>#N/A</v>
      </c>
      <c r="AQ328" s="18" t="e">
        <v>#N/A</v>
      </c>
      <c r="AR328" s="18" t="e">
        <f>VLOOKUP(Tabla156[[#This Row],[Matricula nueva]],'ALTA 20242025'!$B$2:$P$242,15,FALSE)</f>
        <v>#N/A</v>
      </c>
      <c r="AS328" s="19" t="e">
        <v>#N/A</v>
      </c>
      <c r="AV328" s="1"/>
      <c r="AW328" s="1" t="e">
        <f>VLOOKUP(Tabla156[[#This Row],[Matricula nueva]],Hoja2!$A$1:$B$224,2,FALSE)</f>
        <v>#N/A</v>
      </c>
      <c r="AX328" s="1" t="str">
        <f>IF(Tabla156[[#This Row],[Columna2]]="M1",5.1,"")</f>
        <v/>
      </c>
      <c r="AY328" s="1"/>
      <c r="AZ328" s="1"/>
      <c r="BA328" s="47">
        <f>IF(Tabla156[[#This Row],[Columna2]]="M1",13073,IF(Tabla156[[#This Row],[Columna2]]="N1",15815,IF(Tabla156[[#This Row],[Columna2]]="L3e",2831,53508)))</f>
        <v>53508</v>
      </c>
      <c r="BB328" s="47" t="e">
        <f>(Tabla156[[#This Row],[CVA]]*Tabla156[[#This Row],[F]]-Tabla156[[#This Row],[CVN]])/100*Tabla156[[#This Row],[L]]</f>
        <v>#VALUE!</v>
      </c>
      <c r="BC328" s="1"/>
      <c r="BD328" s="1" t="e">
        <f>VLOOKUP(B328,Tabla467824[[ID CAE2]:[AE '[kWh']]],6,FALSE)</f>
        <v>#N/A</v>
      </c>
      <c r="BE32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29" spans="1:57" ht="15" hidden="1" x14ac:dyDescent="0.25">
      <c r="A329" t="s">
        <v>1600</v>
      </c>
      <c r="B329"/>
      <c r="C329" s="31" t="s">
        <v>1601</v>
      </c>
      <c r="D329" s="31"/>
      <c r="E329" s="31"/>
      <c r="F329" s="31"/>
      <c r="G329" s="31"/>
      <c r="H329" s="31"/>
      <c r="I329" s="31"/>
      <c r="J329" s="31"/>
      <c r="K329" s="31" t="s">
        <v>466</v>
      </c>
      <c r="L329" s="31" t="s">
        <v>200</v>
      </c>
      <c r="M329" s="31" t="s">
        <v>201</v>
      </c>
      <c r="N329" s="31" t="s">
        <v>76</v>
      </c>
      <c r="O329" s="31" t="e">
        <f>VLOOKUP(Tabla156[[#This Row],[Matricula Antigua]],BAJA2022202320242025!$B$3:$CR$245,93,FALSE)</f>
        <v>#N/A</v>
      </c>
      <c r="P329" s="32">
        <v>44699</v>
      </c>
      <c r="Q329" s="32" t="e">
        <f>Tabla156[[#This Row],[F.Vig.Final]]-Tabla156[[#This Row],[f Vig Inicio]]</f>
        <v>#N/A</v>
      </c>
      <c r="R329" s="32">
        <f>YEAR(Tabla156[[#This Row],[F.Vig.Final]])</f>
        <v>2022</v>
      </c>
      <c r="S329" s="31" t="s">
        <v>77</v>
      </c>
      <c r="T329" s="31" t="s">
        <v>78</v>
      </c>
      <c r="U329" s="31" t="s">
        <v>467</v>
      </c>
      <c r="V329" s="31" t="s">
        <v>1602</v>
      </c>
      <c r="W329" s="31" t="s">
        <v>1124</v>
      </c>
      <c r="X329" s="31" t="s">
        <v>1125</v>
      </c>
      <c r="Y329" s="31" t="s">
        <v>312</v>
      </c>
      <c r="Z329" s="16">
        <f>COUNTIF($X$3:X329, X329)</f>
        <v>3</v>
      </c>
      <c r="AA329" s="16"/>
      <c r="AB329" s="16"/>
      <c r="AC329" s="16"/>
      <c r="AD329" s="16"/>
      <c r="AE329" s="16"/>
      <c r="AF329" s="16"/>
      <c r="AG329" s="16"/>
      <c r="AH329" s="16"/>
      <c r="AI329" s="16" t="e">
        <v>#N/A</v>
      </c>
      <c r="AJ329" s="16" t="e">
        <v>#N/A</v>
      </c>
      <c r="AK329" s="16" t="e">
        <v>#N/A</v>
      </c>
      <c r="AL329" s="16" t="e">
        <v>#N/A</v>
      </c>
      <c r="AM329" s="16" t="e">
        <v>#N/A</v>
      </c>
      <c r="AN329" s="17" t="e">
        <v>#N/A</v>
      </c>
      <c r="AO329" s="17" t="e">
        <v>#N/A</v>
      </c>
      <c r="AP329" s="17" t="e">
        <f>Tabla156[[#This Row],[Renov. Flota]]-Tabla156[[#This Row],[Año]]</f>
        <v>#N/A</v>
      </c>
      <c r="AQ329" s="18" t="e">
        <v>#N/A</v>
      </c>
      <c r="AR329" s="18" t="e">
        <f>VLOOKUP(Tabla156[[#This Row],[Matricula nueva]],'ALTA 20242025'!$B$2:$P$242,15,FALSE)</f>
        <v>#N/A</v>
      </c>
      <c r="AS329" s="19" t="e">
        <v>#N/A</v>
      </c>
      <c r="AV329" s="1"/>
      <c r="AW329" s="1" t="e">
        <f>VLOOKUP(Tabla156[[#This Row],[Matricula nueva]],Hoja2!$A$1:$B$224,2,FALSE)</f>
        <v>#N/A</v>
      </c>
      <c r="AX329" s="1" t="str">
        <f>IF(Tabla156[[#This Row],[Columna2]]="M1",5.1,"")</f>
        <v/>
      </c>
      <c r="AY329" s="1"/>
      <c r="AZ329" s="1"/>
      <c r="BA329" s="47">
        <f>IF(Tabla156[[#This Row],[Columna2]]="M1",13073,IF(Tabla156[[#This Row],[Columna2]]="N1",15815,IF(Tabla156[[#This Row],[Columna2]]="L3e",2831,53508)))</f>
        <v>53508</v>
      </c>
      <c r="BB329" s="47" t="e">
        <f>(Tabla156[[#This Row],[CVA]]*Tabla156[[#This Row],[F]]-Tabla156[[#This Row],[CVN]])/100*Tabla156[[#This Row],[L]]</f>
        <v>#VALUE!</v>
      </c>
      <c r="BC329" s="1"/>
      <c r="BD329" s="1" t="e">
        <f>VLOOKUP(B329,Tabla467824[[ID CAE2]:[AE '[kWh']]],6,FALSE)</f>
        <v>#N/A</v>
      </c>
      <c r="BE32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0" spans="1:57" ht="15" hidden="1" x14ac:dyDescent="0.25">
      <c r="A330" t="s">
        <v>1603</v>
      </c>
      <c r="B330"/>
      <c r="C330" s="31" t="s">
        <v>1604</v>
      </c>
      <c r="D330" s="31"/>
      <c r="E330" s="31"/>
      <c r="F330" s="31"/>
      <c r="G330" s="31"/>
      <c r="H330" s="31"/>
      <c r="I330" s="31"/>
      <c r="J330" s="31"/>
      <c r="K330" s="31" t="s">
        <v>73</v>
      </c>
      <c r="L330" s="31" t="s">
        <v>200</v>
      </c>
      <c r="M330" s="31" t="s">
        <v>201</v>
      </c>
      <c r="N330" s="31" t="s">
        <v>76</v>
      </c>
      <c r="O330" s="31" t="e">
        <f>VLOOKUP(Tabla156[[#This Row],[Matricula Antigua]],BAJA2022202320242025!$B$3:$CR$245,93,FALSE)</f>
        <v>#N/A</v>
      </c>
      <c r="P330" s="32">
        <v>44721</v>
      </c>
      <c r="Q330" s="32" t="e">
        <f>Tabla156[[#This Row],[F.Vig.Final]]-Tabla156[[#This Row],[f Vig Inicio]]</f>
        <v>#N/A</v>
      </c>
      <c r="R330" s="32">
        <f>YEAR(Tabla156[[#This Row],[F.Vig.Final]])</f>
        <v>2022</v>
      </c>
      <c r="S330" s="31" t="s">
        <v>77</v>
      </c>
      <c r="T330" s="31" t="s">
        <v>78</v>
      </c>
      <c r="U330" s="31" t="s">
        <v>359</v>
      </c>
      <c r="V330" s="31" t="s">
        <v>593</v>
      </c>
      <c r="W330" s="31" t="s">
        <v>1605</v>
      </c>
      <c r="X330" s="31" t="s">
        <v>1606</v>
      </c>
      <c r="Y330" s="31" t="s">
        <v>1607</v>
      </c>
      <c r="Z330" s="16">
        <f>COUNTIF($X$3:X330, X330)</f>
        <v>1</v>
      </c>
      <c r="AA330" s="16"/>
      <c r="AB330" s="16"/>
      <c r="AC330" s="16"/>
      <c r="AD330" s="16"/>
      <c r="AE330" s="16"/>
      <c r="AF330" s="16"/>
      <c r="AG330" s="16"/>
      <c r="AH330" s="16"/>
      <c r="AI330" s="16" t="e">
        <v>#N/A</v>
      </c>
      <c r="AJ330" s="16" t="e">
        <v>#N/A</v>
      </c>
      <c r="AK330" s="16" t="e">
        <v>#N/A</v>
      </c>
      <c r="AL330" s="16" t="e">
        <v>#N/A</v>
      </c>
      <c r="AM330" s="16" t="e">
        <v>#N/A</v>
      </c>
      <c r="AN330" s="17" t="e">
        <v>#N/A</v>
      </c>
      <c r="AO330" s="17" t="e">
        <v>#N/A</v>
      </c>
      <c r="AP330" s="17" t="e">
        <f>Tabla156[[#This Row],[Renov. Flota]]-Tabla156[[#This Row],[Año]]</f>
        <v>#N/A</v>
      </c>
      <c r="AQ330" s="18" t="e">
        <v>#N/A</v>
      </c>
      <c r="AR330" s="18" t="e">
        <f>VLOOKUP(Tabla156[[#This Row],[Matricula nueva]],'ALTA 20242025'!$B$2:$P$242,15,FALSE)</f>
        <v>#N/A</v>
      </c>
      <c r="AS330" s="19" t="e">
        <v>#N/A</v>
      </c>
      <c r="AV330" s="1"/>
      <c r="AW330" s="1" t="e">
        <f>VLOOKUP(Tabla156[[#This Row],[Matricula nueva]],Hoja2!$A$1:$B$224,2,FALSE)</f>
        <v>#N/A</v>
      </c>
      <c r="AX330" s="1" t="str">
        <f>IF(Tabla156[[#This Row],[Columna2]]="M1",5.1,"")</f>
        <v/>
      </c>
      <c r="AY330" s="1"/>
      <c r="AZ330" s="1"/>
      <c r="BA330" s="47">
        <f>IF(Tabla156[[#This Row],[Columna2]]="M1",13073,IF(Tabla156[[#This Row],[Columna2]]="N1",15815,IF(Tabla156[[#This Row],[Columna2]]="L3e",2831,53508)))</f>
        <v>53508</v>
      </c>
      <c r="BB330" s="47" t="e">
        <f>(Tabla156[[#This Row],[CVA]]*Tabla156[[#This Row],[F]]-Tabla156[[#This Row],[CVN]])/100*Tabla156[[#This Row],[L]]</f>
        <v>#VALUE!</v>
      </c>
      <c r="BC330" s="1"/>
      <c r="BD330" s="1" t="e">
        <f>VLOOKUP(B330,Tabla467824[[ID CAE2]:[AE '[kWh']]],6,FALSE)</f>
        <v>#N/A</v>
      </c>
      <c r="BE33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1" spans="1:57" ht="15" hidden="1" x14ac:dyDescent="0.25">
      <c r="A331" t="s">
        <v>1608</v>
      </c>
      <c r="B331"/>
      <c r="C331" s="31" t="s">
        <v>1609</v>
      </c>
      <c r="D331" s="31"/>
      <c r="E331" s="31"/>
      <c r="F331" s="31"/>
      <c r="G331" s="31"/>
      <c r="H331" s="31"/>
      <c r="I331" s="31"/>
      <c r="J331" s="31"/>
      <c r="K331" s="31" t="s">
        <v>73</v>
      </c>
      <c r="L331" s="31" t="s">
        <v>172</v>
      </c>
      <c r="M331" s="31" t="s">
        <v>1127</v>
      </c>
      <c r="N331" s="31" t="s">
        <v>76</v>
      </c>
      <c r="O331" s="31" t="e">
        <f>VLOOKUP(Tabla156[[#This Row],[Matricula Antigua]],BAJA2022202320242025!$B$3:$CR$245,93,FALSE)</f>
        <v>#N/A</v>
      </c>
      <c r="P331" s="32">
        <v>44679</v>
      </c>
      <c r="Q331" s="32" t="e">
        <f>Tabla156[[#This Row],[F.Vig.Final]]-Tabla156[[#This Row],[f Vig Inicio]]</f>
        <v>#N/A</v>
      </c>
      <c r="R331" s="32">
        <f>YEAR(Tabla156[[#This Row],[F.Vig.Final]])</f>
        <v>2022</v>
      </c>
      <c r="S331" s="31" t="s">
        <v>77</v>
      </c>
      <c r="T331" s="31" t="s">
        <v>78</v>
      </c>
      <c r="U331" s="31" t="s">
        <v>85</v>
      </c>
      <c r="V331" s="31" t="s">
        <v>732</v>
      </c>
      <c r="W331" s="31" t="s">
        <v>1124</v>
      </c>
      <c r="X331" s="31" t="s">
        <v>1125</v>
      </c>
      <c r="Y331" s="31" t="s">
        <v>312</v>
      </c>
      <c r="Z331" s="16">
        <f>COUNTIF($X$3:X331, X331)</f>
        <v>4</v>
      </c>
      <c r="AA331" s="16"/>
      <c r="AB331" s="16"/>
      <c r="AC331" s="16"/>
      <c r="AD331" s="16"/>
      <c r="AE331" s="16"/>
      <c r="AF331" s="16"/>
      <c r="AG331" s="16"/>
      <c r="AH331" s="16"/>
      <c r="AI331" s="16" t="e">
        <v>#N/A</v>
      </c>
      <c r="AJ331" s="16" t="e">
        <v>#N/A</v>
      </c>
      <c r="AK331" s="16" t="e">
        <v>#N/A</v>
      </c>
      <c r="AL331" s="16" t="e">
        <v>#N/A</v>
      </c>
      <c r="AM331" s="16" t="e">
        <v>#N/A</v>
      </c>
      <c r="AN331" s="17" t="e">
        <v>#N/A</v>
      </c>
      <c r="AO331" s="17" t="e">
        <v>#N/A</v>
      </c>
      <c r="AP331" s="17" t="e">
        <f>Tabla156[[#This Row],[Renov. Flota]]-Tabla156[[#This Row],[Año]]</f>
        <v>#N/A</v>
      </c>
      <c r="AQ331" s="18" t="e">
        <v>#N/A</v>
      </c>
      <c r="AR331" s="18" t="e">
        <f>VLOOKUP(Tabla156[[#This Row],[Matricula nueva]],'ALTA 20242025'!$B$2:$P$242,15,FALSE)</f>
        <v>#N/A</v>
      </c>
      <c r="AS331" s="19" t="e">
        <v>#N/A</v>
      </c>
      <c r="AV331" s="1"/>
      <c r="AW331" s="1" t="e">
        <f>VLOOKUP(Tabla156[[#This Row],[Matricula nueva]],Hoja2!$A$1:$B$224,2,FALSE)</f>
        <v>#N/A</v>
      </c>
      <c r="AX331" s="1" t="str">
        <f>IF(Tabla156[[#This Row],[Columna2]]="M1",5.1,"")</f>
        <v/>
      </c>
      <c r="AY331" s="1"/>
      <c r="AZ331" s="1"/>
      <c r="BA331" s="47">
        <f>IF(Tabla156[[#This Row],[Columna2]]="M1",13073,IF(Tabla156[[#This Row],[Columna2]]="N1",15815,IF(Tabla156[[#This Row],[Columna2]]="L3e",2831,53508)))</f>
        <v>53508</v>
      </c>
      <c r="BB331" s="47" t="e">
        <f>(Tabla156[[#This Row],[CVA]]*Tabla156[[#This Row],[F]]-Tabla156[[#This Row],[CVN]])/100*Tabla156[[#This Row],[L]]</f>
        <v>#VALUE!</v>
      </c>
      <c r="BC331" s="1"/>
      <c r="BD331" s="1" t="e">
        <f>VLOOKUP(B331,Tabla467824[[ID CAE2]:[AE '[kWh']]],6,FALSE)</f>
        <v>#N/A</v>
      </c>
      <c r="BE33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2" spans="1:57" ht="15" hidden="1" x14ac:dyDescent="0.25">
      <c r="A332" t="s">
        <v>1610</v>
      </c>
      <c r="B332"/>
      <c r="C332" s="31" t="s">
        <v>1611</v>
      </c>
      <c r="D332" s="31"/>
      <c r="E332" s="31"/>
      <c r="F332" s="31"/>
      <c r="G332" s="31"/>
      <c r="H332" s="31"/>
      <c r="I332" s="31"/>
      <c r="J332" s="31"/>
      <c r="K332" s="31" t="s">
        <v>466</v>
      </c>
      <c r="L332" s="31" t="s">
        <v>200</v>
      </c>
      <c r="M332" s="31" t="s">
        <v>201</v>
      </c>
      <c r="N332" s="31" t="s">
        <v>76</v>
      </c>
      <c r="O332" s="31" t="e">
        <f>VLOOKUP(Tabla156[[#This Row],[Matricula Antigua]],BAJA2022202320242025!$B$3:$CR$245,93,FALSE)</f>
        <v>#N/A</v>
      </c>
      <c r="P332" s="32">
        <v>44565</v>
      </c>
      <c r="Q332" s="32" t="e">
        <f>Tabla156[[#This Row],[F.Vig.Final]]-Tabla156[[#This Row],[f Vig Inicio]]</f>
        <v>#N/A</v>
      </c>
      <c r="R332" s="32">
        <f>YEAR(Tabla156[[#This Row],[F.Vig.Final]])</f>
        <v>2022</v>
      </c>
      <c r="S332" s="31" t="s">
        <v>77</v>
      </c>
      <c r="T332" s="31" t="s">
        <v>78</v>
      </c>
      <c r="U332" s="31" t="s">
        <v>1269</v>
      </c>
      <c r="V332" s="31" t="s">
        <v>1612</v>
      </c>
      <c r="W332" s="31" t="s">
        <v>1124</v>
      </c>
      <c r="X332" s="31" t="s">
        <v>1125</v>
      </c>
      <c r="Y332" s="31" t="s">
        <v>312</v>
      </c>
      <c r="Z332" s="16">
        <f>COUNTIF($X$3:X332, X332)</f>
        <v>5</v>
      </c>
      <c r="AA332" s="16"/>
      <c r="AB332" s="16"/>
      <c r="AC332" s="16"/>
      <c r="AD332" s="16"/>
      <c r="AE332" s="16"/>
      <c r="AF332" s="16"/>
      <c r="AG332" s="16"/>
      <c r="AH332" s="16"/>
      <c r="AI332" s="16" t="e">
        <v>#N/A</v>
      </c>
      <c r="AJ332" s="16" t="e">
        <v>#N/A</v>
      </c>
      <c r="AK332" s="16" t="e">
        <v>#N/A</v>
      </c>
      <c r="AL332" s="16" t="e">
        <v>#N/A</v>
      </c>
      <c r="AM332" s="16" t="e">
        <v>#N/A</v>
      </c>
      <c r="AN332" s="17" t="e">
        <v>#N/A</v>
      </c>
      <c r="AO332" s="17" t="e">
        <v>#N/A</v>
      </c>
      <c r="AP332" s="17" t="e">
        <f>Tabla156[[#This Row],[Renov. Flota]]-Tabla156[[#This Row],[Año]]</f>
        <v>#N/A</v>
      </c>
      <c r="AQ332" s="18" t="e">
        <v>#N/A</v>
      </c>
      <c r="AR332" s="18" t="e">
        <f>VLOOKUP(Tabla156[[#This Row],[Matricula nueva]],'ALTA 20242025'!$B$2:$P$242,15,FALSE)</f>
        <v>#N/A</v>
      </c>
      <c r="AS332" s="19" t="e">
        <v>#N/A</v>
      </c>
      <c r="AV332" s="1"/>
      <c r="AW332" s="1" t="e">
        <f>VLOOKUP(Tabla156[[#This Row],[Matricula nueva]],Hoja2!$A$1:$B$224,2,FALSE)</f>
        <v>#N/A</v>
      </c>
      <c r="AX332" s="1" t="str">
        <f>IF(Tabla156[[#This Row],[Columna2]]="M1",5.1,"")</f>
        <v/>
      </c>
      <c r="AY332" s="1"/>
      <c r="AZ332" s="1"/>
      <c r="BA332" s="47">
        <f>IF(Tabla156[[#This Row],[Columna2]]="M1",13073,IF(Tabla156[[#This Row],[Columna2]]="N1",15815,IF(Tabla156[[#This Row],[Columna2]]="L3e",2831,53508)))</f>
        <v>53508</v>
      </c>
      <c r="BB332" s="47" t="e">
        <f>(Tabla156[[#This Row],[CVA]]*Tabla156[[#This Row],[F]]-Tabla156[[#This Row],[CVN]])/100*Tabla156[[#This Row],[L]]</f>
        <v>#VALUE!</v>
      </c>
      <c r="BC332" s="1"/>
      <c r="BD332" s="1" t="e">
        <f>VLOOKUP(B332,Tabla467824[[ID CAE2]:[AE '[kWh']]],6,FALSE)</f>
        <v>#N/A</v>
      </c>
      <c r="BE33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3" spans="1:57" ht="15" hidden="1" x14ac:dyDescent="0.25">
      <c r="A333" t="s">
        <v>1613</v>
      </c>
      <c r="B333"/>
      <c r="C333" s="31" t="s">
        <v>1614</v>
      </c>
      <c r="D333" s="31"/>
      <c r="E333" s="31"/>
      <c r="F333" s="31"/>
      <c r="G333" s="31"/>
      <c r="H333" s="31"/>
      <c r="I333" s="31"/>
      <c r="J333" s="31"/>
      <c r="K333" s="31" t="s">
        <v>73</v>
      </c>
      <c r="L333" s="31" t="s">
        <v>200</v>
      </c>
      <c r="M333" s="31" t="s">
        <v>201</v>
      </c>
      <c r="N333" s="31" t="s">
        <v>76</v>
      </c>
      <c r="O333" s="31" t="e">
        <f>VLOOKUP(Tabla156[[#This Row],[Matricula Antigua]],BAJA2022202320242025!$B$3:$CR$245,93,FALSE)</f>
        <v>#N/A</v>
      </c>
      <c r="P333" s="32">
        <v>44754</v>
      </c>
      <c r="Q333" s="32" t="e">
        <f>Tabla156[[#This Row],[F.Vig.Final]]-Tabla156[[#This Row],[f Vig Inicio]]</f>
        <v>#N/A</v>
      </c>
      <c r="R333" s="32">
        <f>YEAR(Tabla156[[#This Row],[F.Vig.Final]])</f>
        <v>2022</v>
      </c>
      <c r="S333" s="31" t="s">
        <v>77</v>
      </c>
      <c r="T333" s="31" t="s">
        <v>78</v>
      </c>
      <c r="U333" s="31" t="s">
        <v>359</v>
      </c>
      <c r="V333" s="31" t="s">
        <v>593</v>
      </c>
      <c r="W333" s="31" t="s">
        <v>81</v>
      </c>
      <c r="X333" s="31" t="s">
        <v>82</v>
      </c>
      <c r="Y333" s="31" t="s">
        <v>88</v>
      </c>
      <c r="Z333" s="16">
        <f>COUNTIF($X$3:X333, X333)</f>
        <v>19</v>
      </c>
      <c r="AA333" s="16"/>
      <c r="AB333" s="16"/>
      <c r="AC333" s="16"/>
      <c r="AD333" s="16"/>
      <c r="AE333" s="16"/>
      <c r="AF333" s="16"/>
      <c r="AG333" s="16"/>
      <c r="AH333" s="16"/>
      <c r="AI333" s="16" t="e">
        <v>#N/A</v>
      </c>
      <c r="AJ333" s="16" t="e">
        <v>#N/A</v>
      </c>
      <c r="AK333" s="16" t="e">
        <v>#N/A</v>
      </c>
      <c r="AL333" s="16" t="e">
        <v>#N/A</v>
      </c>
      <c r="AM333" s="16" t="e">
        <v>#N/A</v>
      </c>
      <c r="AN333" s="17" t="e">
        <v>#N/A</v>
      </c>
      <c r="AO333" s="17" t="e">
        <v>#N/A</v>
      </c>
      <c r="AP333" s="17" t="e">
        <f>Tabla156[[#This Row],[Renov. Flota]]-Tabla156[[#This Row],[Año]]</f>
        <v>#N/A</v>
      </c>
      <c r="AQ333" s="18" t="e">
        <v>#N/A</v>
      </c>
      <c r="AR333" s="18" t="e">
        <f>VLOOKUP(Tabla156[[#This Row],[Matricula nueva]],'ALTA 20242025'!$B$2:$P$242,15,FALSE)</f>
        <v>#N/A</v>
      </c>
      <c r="AS333" s="19" t="e">
        <v>#N/A</v>
      </c>
      <c r="AV333" s="1"/>
      <c r="AW333" s="1" t="e">
        <f>VLOOKUP(Tabla156[[#This Row],[Matricula nueva]],Hoja2!$A$1:$B$224,2,FALSE)</f>
        <v>#N/A</v>
      </c>
      <c r="AX333" s="1" t="str">
        <f>IF(Tabla156[[#This Row],[Columna2]]="M1",5.1,"")</f>
        <v/>
      </c>
      <c r="AY333" s="1"/>
      <c r="AZ333" s="1"/>
      <c r="BA333" s="47">
        <f>IF(Tabla156[[#This Row],[Columna2]]="M1",13073,IF(Tabla156[[#This Row],[Columna2]]="N1",15815,IF(Tabla156[[#This Row],[Columna2]]="L3e",2831,53508)))</f>
        <v>53508</v>
      </c>
      <c r="BB333" s="47" t="e">
        <f>(Tabla156[[#This Row],[CVA]]*Tabla156[[#This Row],[F]]-Tabla156[[#This Row],[CVN]])/100*Tabla156[[#This Row],[L]]</f>
        <v>#VALUE!</v>
      </c>
      <c r="BC333" s="1"/>
      <c r="BD333" s="1" t="e">
        <f>VLOOKUP(B333,Tabla467824[[ID CAE2]:[AE '[kWh']]],6,FALSE)</f>
        <v>#N/A</v>
      </c>
      <c r="BE33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4" spans="1:57" ht="15" hidden="1" x14ac:dyDescent="0.25">
      <c r="A334" t="s">
        <v>1615</v>
      </c>
      <c r="B334"/>
      <c r="C334" s="31" t="s">
        <v>1616</v>
      </c>
      <c r="D334" s="31"/>
      <c r="E334" s="31"/>
      <c r="F334" s="31"/>
      <c r="G334" s="31"/>
      <c r="H334" s="31"/>
      <c r="I334" s="31"/>
      <c r="J334" s="31"/>
      <c r="K334" s="31" t="s">
        <v>73</v>
      </c>
      <c r="L334" s="31" t="s">
        <v>200</v>
      </c>
      <c r="M334" s="31" t="s">
        <v>201</v>
      </c>
      <c r="N334" s="31" t="s">
        <v>76</v>
      </c>
      <c r="O334" s="31" t="e">
        <f>VLOOKUP(Tabla156[[#This Row],[Matricula Antigua]],BAJA2022202320242025!$B$3:$CR$245,93,FALSE)</f>
        <v>#N/A</v>
      </c>
      <c r="P334" s="32">
        <v>44754</v>
      </c>
      <c r="Q334" s="32" t="e">
        <f>Tabla156[[#This Row],[F.Vig.Final]]-Tabla156[[#This Row],[f Vig Inicio]]</f>
        <v>#N/A</v>
      </c>
      <c r="R334" s="32">
        <f>YEAR(Tabla156[[#This Row],[F.Vig.Final]])</f>
        <v>2022</v>
      </c>
      <c r="S334" s="31" t="s">
        <v>77</v>
      </c>
      <c r="T334" s="31" t="s">
        <v>78</v>
      </c>
      <c r="U334" s="31" t="s">
        <v>359</v>
      </c>
      <c r="V334" s="31" t="s">
        <v>593</v>
      </c>
      <c r="W334" s="31" t="s">
        <v>81</v>
      </c>
      <c r="X334" s="31" t="s">
        <v>82</v>
      </c>
      <c r="Y334" s="31" t="s">
        <v>143</v>
      </c>
      <c r="Z334" s="16">
        <f>COUNTIF($X$3:X334, X334)</f>
        <v>20</v>
      </c>
      <c r="AA334" s="16"/>
      <c r="AB334" s="16"/>
      <c r="AC334" s="16"/>
      <c r="AD334" s="16"/>
      <c r="AE334" s="16"/>
      <c r="AF334" s="16"/>
      <c r="AG334" s="16"/>
      <c r="AH334" s="16"/>
      <c r="AI334" s="16" t="e">
        <v>#N/A</v>
      </c>
      <c r="AJ334" s="16" t="e">
        <v>#N/A</v>
      </c>
      <c r="AK334" s="16" t="e">
        <v>#N/A</v>
      </c>
      <c r="AL334" s="16" t="e">
        <v>#N/A</v>
      </c>
      <c r="AM334" s="16" t="e">
        <v>#N/A</v>
      </c>
      <c r="AN334" s="17" t="e">
        <v>#N/A</v>
      </c>
      <c r="AO334" s="17" t="e">
        <v>#N/A</v>
      </c>
      <c r="AP334" s="17" t="e">
        <f>Tabla156[[#This Row],[Renov. Flota]]-Tabla156[[#This Row],[Año]]</f>
        <v>#N/A</v>
      </c>
      <c r="AQ334" s="18" t="e">
        <v>#N/A</v>
      </c>
      <c r="AR334" s="18" t="e">
        <f>VLOOKUP(Tabla156[[#This Row],[Matricula nueva]],'ALTA 20242025'!$B$2:$P$242,15,FALSE)</f>
        <v>#N/A</v>
      </c>
      <c r="AS334" s="19" t="e">
        <v>#N/A</v>
      </c>
      <c r="AV334" s="1"/>
      <c r="AW334" s="1" t="e">
        <f>VLOOKUP(Tabla156[[#This Row],[Matricula nueva]],Hoja2!$A$1:$B$224,2,FALSE)</f>
        <v>#N/A</v>
      </c>
      <c r="AX334" s="1" t="str">
        <f>IF(Tabla156[[#This Row],[Columna2]]="M1",5.1,"")</f>
        <v/>
      </c>
      <c r="AY334" s="1"/>
      <c r="AZ334" s="1"/>
      <c r="BA334" s="47">
        <f>IF(Tabla156[[#This Row],[Columna2]]="M1",13073,IF(Tabla156[[#This Row],[Columna2]]="N1",15815,IF(Tabla156[[#This Row],[Columna2]]="L3e",2831,53508)))</f>
        <v>53508</v>
      </c>
      <c r="BB334" s="47" t="e">
        <f>(Tabla156[[#This Row],[CVA]]*Tabla156[[#This Row],[F]]-Tabla156[[#This Row],[CVN]])/100*Tabla156[[#This Row],[L]]</f>
        <v>#VALUE!</v>
      </c>
      <c r="BC334" s="1"/>
      <c r="BD334" s="1" t="e">
        <f>VLOOKUP(B334,Tabla467824[[ID CAE2]:[AE '[kWh']]],6,FALSE)</f>
        <v>#N/A</v>
      </c>
      <c r="BE33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5" spans="1:57" ht="15" hidden="1" x14ac:dyDescent="0.25">
      <c r="A335" t="s">
        <v>1617</v>
      </c>
      <c r="B335"/>
      <c r="C335" s="31" t="s">
        <v>1618</v>
      </c>
      <c r="D335" s="31"/>
      <c r="E335" s="31"/>
      <c r="F335" s="31"/>
      <c r="G335" s="31"/>
      <c r="H335" s="31"/>
      <c r="I335" s="31"/>
      <c r="J335" s="31"/>
      <c r="K335" s="31" t="s">
        <v>73</v>
      </c>
      <c r="L335" s="31" t="s">
        <v>200</v>
      </c>
      <c r="M335" s="31" t="s">
        <v>201</v>
      </c>
      <c r="N335" s="31" t="s">
        <v>76</v>
      </c>
      <c r="O335" s="31" t="e">
        <f>VLOOKUP(Tabla156[[#This Row],[Matricula Antigua]],BAJA2022202320242025!$B$3:$CR$245,93,FALSE)</f>
        <v>#N/A</v>
      </c>
      <c r="P335" s="32">
        <v>44754</v>
      </c>
      <c r="Q335" s="32" t="e">
        <f>Tabla156[[#This Row],[F.Vig.Final]]-Tabla156[[#This Row],[f Vig Inicio]]</f>
        <v>#N/A</v>
      </c>
      <c r="R335" s="32">
        <f>YEAR(Tabla156[[#This Row],[F.Vig.Final]])</f>
        <v>2022</v>
      </c>
      <c r="S335" s="31" t="s">
        <v>77</v>
      </c>
      <c r="T335" s="31" t="s">
        <v>78</v>
      </c>
      <c r="U335" s="31" t="s">
        <v>359</v>
      </c>
      <c r="V335" s="31" t="s">
        <v>593</v>
      </c>
      <c r="W335" s="31" t="s">
        <v>81</v>
      </c>
      <c r="X335" s="31" t="s">
        <v>82</v>
      </c>
      <c r="Y335" s="31" t="s">
        <v>88</v>
      </c>
      <c r="Z335" s="16">
        <f>COUNTIF($X$3:X335, X335)</f>
        <v>21</v>
      </c>
      <c r="AA335" s="16"/>
      <c r="AB335" s="16"/>
      <c r="AC335" s="16"/>
      <c r="AD335" s="16"/>
      <c r="AE335" s="16"/>
      <c r="AF335" s="16"/>
      <c r="AG335" s="16"/>
      <c r="AH335" s="16"/>
      <c r="AI335" s="16" t="e">
        <v>#N/A</v>
      </c>
      <c r="AJ335" s="16" t="e">
        <v>#N/A</v>
      </c>
      <c r="AK335" s="16" t="e">
        <v>#N/A</v>
      </c>
      <c r="AL335" s="16" t="e">
        <v>#N/A</v>
      </c>
      <c r="AM335" s="16" t="e">
        <v>#N/A</v>
      </c>
      <c r="AN335" s="17" t="e">
        <v>#N/A</v>
      </c>
      <c r="AO335" s="17" t="e">
        <v>#N/A</v>
      </c>
      <c r="AP335" s="17" t="e">
        <f>Tabla156[[#This Row],[Renov. Flota]]-Tabla156[[#This Row],[Año]]</f>
        <v>#N/A</v>
      </c>
      <c r="AQ335" s="18" t="e">
        <v>#N/A</v>
      </c>
      <c r="AR335" s="18" t="e">
        <f>VLOOKUP(Tabla156[[#This Row],[Matricula nueva]],'ALTA 20242025'!$B$2:$P$242,15,FALSE)</f>
        <v>#N/A</v>
      </c>
      <c r="AS335" s="19" t="e">
        <v>#N/A</v>
      </c>
      <c r="AV335" s="1"/>
      <c r="AW335" s="1" t="e">
        <f>VLOOKUP(Tabla156[[#This Row],[Matricula nueva]],Hoja2!$A$1:$B$224,2,FALSE)</f>
        <v>#N/A</v>
      </c>
      <c r="AX335" s="1" t="str">
        <f>IF(Tabla156[[#This Row],[Columna2]]="M1",5.1,"")</f>
        <v/>
      </c>
      <c r="AY335" s="1"/>
      <c r="AZ335" s="1"/>
      <c r="BA335" s="47">
        <f>IF(Tabla156[[#This Row],[Columna2]]="M1",13073,IF(Tabla156[[#This Row],[Columna2]]="N1",15815,IF(Tabla156[[#This Row],[Columna2]]="L3e",2831,53508)))</f>
        <v>53508</v>
      </c>
      <c r="BB335" s="47" t="e">
        <f>(Tabla156[[#This Row],[CVA]]*Tabla156[[#This Row],[F]]-Tabla156[[#This Row],[CVN]])/100*Tabla156[[#This Row],[L]]</f>
        <v>#VALUE!</v>
      </c>
      <c r="BC335" s="1"/>
      <c r="BD335" s="1" t="e">
        <f>VLOOKUP(B335,Tabla467824[[ID CAE2]:[AE '[kWh']]],6,FALSE)</f>
        <v>#N/A</v>
      </c>
      <c r="BE33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6" spans="1:57" ht="15" hidden="1" x14ac:dyDescent="0.25">
      <c r="A336" t="s">
        <v>1619</v>
      </c>
      <c r="B336"/>
      <c r="C336" s="31" t="s">
        <v>1620</v>
      </c>
      <c r="D336" s="31"/>
      <c r="E336" s="31"/>
      <c r="F336" s="31"/>
      <c r="G336" s="31"/>
      <c r="H336" s="31"/>
      <c r="I336" s="31"/>
      <c r="J336" s="31"/>
      <c r="K336" s="31" t="s">
        <v>1143</v>
      </c>
      <c r="L336" s="31" t="s">
        <v>74</v>
      </c>
      <c r="M336" s="31" t="s">
        <v>75</v>
      </c>
      <c r="N336" s="31" t="s">
        <v>76</v>
      </c>
      <c r="O336" s="31" t="e">
        <f>VLOOKUP(Tabla156[[#This Row],[Matricula Antigua]],BAJA2022202320242025!$B$3:$CR$245,93,FALSE)</f>
        <v>#N/A</v>
      </c>
      <c r="P336" s="32">
        <v>44803</v>
      </c>
      <c r="Q336" s="32" t="e">
        <f>Tabla156[[#This Row],[F.Vig.Final]]-Tabla156[[#This Row],[f Vig Inicio]]</f>
        <v>#N/A</v>
      </c>
      <c r="R336" s="32">
        <f>YEAR(Tabla156[[#This Row],[F.Vig.Final]])</f>
        <v>2022</v>
      </c>
      <c r="S336" s="31" t="s">
        <v>77</v>
      </c>
      <c r="T336" s="31" t="s">
        <v>78</v>
      </c>
      <c r="U336" s="31" t="s">
        <v>1203</v>
      </c>
      <c r="V336" s="31" t="s">
        <v>1049</v>
      </c>
      <c r="W336" s="31" t="s">
        <v>1050</v>
      </c>
      <c r="X336" s="31" t="s">
        <v>1051</v>
      </c>
      <c r="Y336" s="31" t="s">
        <v>1621</v>
      </c>
      <c r="Z336" s="16">
        <f>COUNTIF($X$3:X336, X336)</f>
        <v>12</v>
      </c>
      <c r="AA336" s="16"/>
      <c r="AB336" s="16"/>
      <c r="AC336" s="16"/>
      <c r="AD336" s="16"/>
      <c r="AE336" s="16"/>
      <c r="AF336" s="16"/>
      <c r="AG336" s="16"/>
      <c r="AH336" s="16"/>
      <c r="AI336" s="16" t="e">
        <v>#N/A</v>
      </c>
      <c r="AJ336" s="16" t="e">
        <v>#N/A</v>
      </c>
      <c r="AK336" s="16" t="e">
        <v>#N/A</v>
      </c>
      <c r="AL336" s="16" t="e">
        <v>#N/A</v>
      </c>
      <c r="AM336" s="16" t="e">
        <v>#N/A</v>
      </c>
      <c r="AN336" s="17" t="e">
        <v>#N/A</v>
      </c>
      <c r="AO336" s="17" t="e">
        <v>#N/A</v>
      </c>
      <c r="AP336" s="17" t="e">
        <f>Tabla156[[#This Row],[Renov. Flota]]-Tabla156[[#This Row],[Año]]</f>
        <v>#N/A</v>
      </c>
      <c r="AQ336" s="18" t="e">
        <v>#N/A</v>
      </c>
      <c r="AR336" s="18" t="e">
        <f>VLOOKUP(Tabla156[[#This Row],[Matricula nueva]],'ALTA 20242025'!$B$2:$P$242,15,FALSE)</f>
        <v>#N/A</v>
      </c>
      <c r="AS336" s="19" t="e">
        <v>#N/A</v>
      </c>
      <c r="AV336" s="1"/>
      <c r="AW336" s="1" t="e">
        <f>VLOOKUP(Tabla156[[#This Row],[Matricula nueva]],Hoja2!$A$1:$B$224,2,FALSE)</f>
        <v>#N/A</v>
      </c>
      <c r="AX336" s="1" t="str">
        <f>IF(Tabla156[[#This Row],[Columna2]]="M1",5.1,"")</f>
        <v/>
      </c>
      <c r="AY336" s="1"/>
      <c r="AZ336" s="1"/>
      <c r="BA336" s="47">
        <f>IF(Tabla156[[#This Row],[Columna2]]="M1",13073,IF(Tabla156[[#This Row],[Columna2]]="N1",15815,IF(Tabla156[[#This Row],[Columna2]]="L3e",2831,53508)))</f>
        <v>53508</v>
      </c>
      <c r="BB336" s="47" t="e">
        <f>(Tabla156[[#This Row],[CVA]]*Tabla156[[#This Row],[F]]-Tabla156[[#This Row],[CVN]])/100*Tabla156[[#This Row],[L]]</f>
        <v>#VALUE!</v>
      </c>
      <c r="BC336" s="1"/>
      <c r="BD336" s="1" t="e">
        <f>VLOOKUP(B336,Tabla467824[[ID CAE2]:[AE '[kWh']]],6,FALSE)</f>
        <v>#N/A</v>
      </c>
      <c r="BE33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7" spans="1:57" ht="15" hidden="1" x14ac:dyDescent="0.25">
      <c r="A337" t="s">
        <v>1622</v>
      </c>
      <c r="B337"/>
      <c r="C337" s="31" t="s">
        <v>1623</v>
      </c>
      <c r="D337" s="31"/>
      <c r="E337" s="31"/>
      <c r="F337" s="31"/>
      <c r="G337" s="31"/>
      <c r="H337" s="31"/>
      <c r="I337" s="31"/>
      <c r="J337" s="31"/>
      <c r="K337" s="31" t="s">
        <v>885</v>
      </c>
      <c r="L337" s="31" t="s">
        <v>161</v>
      </c>
      <c r="M337" s="31" t="s">
        <v>886</v>
      </c>
      <c r="N337" s="31" t="s">
        <v>76</v>
      </c>
      <c r="O337" s="31" t="e">
        <f>VLOOKUP(Tabla156[[#This Row],[Matricula Antigua]],BAJA2022202320242025!$B$3:$CR$245,93,FALSE)</f>
        <v>#N/A</v>
      </c>
      <c r="P337" s="32">
        <v>44865</v>
      </c>
      <c r="Q337" s="32" t="e">
        <f>Tabla156[[#This Row],[F.Vig.Final]]-Tabla156[[#This Row],[f Vig Inicio]]</f>
        <v>#N/A</v>
      </c>
      <c r="R337" s="32">
        <f>YEAR(Tabla156[[#This Row],[F.Vig.Final]])</f>
        <v>2022</v>
      </c>
      <c r="S337" s="31" t="s">
        <v>77</v>
      </c>
      <c r="T337" s="31" t="s">
        <v>202</v>
      </c>
      <c r="U337" s="31" t="s">
        <v>416</v>
      </c>
      <c r="V337" s="31" t="s">
        <v>417</v>
      </c>
      <c r="W337" s="31" t="s">
        <v>336</v>
      </c>
      <c r="X337" s="31" t="s">
        <v>337</v>
      </c>
      <c r="Y337" s="31" t="s">
        <v>1624</v>
      </c>
      <c r="Z337" s="16">
        <f>COUNTIF($X$3:X337, X337)</f>
        <v>32</v>
      </c>
      <c r="AA337" s="16"/>
      <c r="AB337" s="16"/>
      <c r="AC337" s="16"/>
      <c r="AD337" s="16"/>
      <c r="AE337" s="16"/>
      <c r="AF337" s="16"/>
      <c r="AG337" s="16"/>
      <c r="AH337" s="16"/>
      <c r="AI337" s="16" t="e">
        <v>#N/A</v>
      </c>
      <c r="AJ337" s="16" t="e">
        <v>#N/A</v>
      </c>
      <c r="AK337" s="16" t="e">
        <v>#N/A</v>
      </c>
      <c r="AL337" s="16" t="e">
        <v>#N/A</v>
      </c>
      <c r="AM337" s="16" t="e">
        <v>#N/A</v>
      </c>
      <c r="AN337" s="17" t="e">
        <v>#N/A</v>
      </c>
      <c r="AO337" s="17" t="e">
        <v>#N/A</v>
      </c>
      <c r="AP337" s="17" t="e">
        <f>Tabla156[[#This Row],[Renov. Flota]]-Tabla156[[#This Row],[Año]]</f>
        <v>#N/A</v>
      </c>
      <c r="AQ337" s="18" t="e">
        <v>#N/A</v>
      </c>
      <c r="AR337" s="18" t="e">
        <f>VLOOKUP(Tabla156[[#This Row],[Matricula nueva]],'ALTA 20242025'!$B$2:$P$242,15,FALSE)</f>
        <v>#N/A</v>
      </c>
      <c r="AS337" s="19" t="e">
        <v>#N/A</v>
      </c>
      <c r="AV337" s="1"/>
      <c r="AW337" s="1" t="e">
        <f>VLOOKUP(Tabla156[[#This Row],[Matricula nueva]],Hoja2!$A$1:$B$224,2,FALSE)</f>
        <v>#N/A</v>
      </c>
      <c r="AX337" s="1" t="str">
        <f>IF(Tabla156[[#This Row],[Columna2]]="M1",5.1,"")</f>
        <v/>
      </c>
      <c r="AY337" s="1"/>
      <c r="AZ337" s="1"/>
      <c r="BA337" s="47">
        <f>IF(Tabla156[[#This Row],[Columna2]]="M1",13073,IF(Tabla156[[#This Row],[Columna2]]="N1",15815,IF(Tabla156[[#This Row],[Columna2]]="L3e",2831,53508)))</f>
        <v>53508</v>
      </c>
      <c r="BB337" s="47" t="e">
        <f>(Tabla156[[#This Row],[CVA]]*Tabla156[[#This Row],[F]]-Tabla156[[#This Row],[CVN]])/100*Tabla156[[#This Row],[L]]</f>
        <v>#VALUE!</v>
      </c>
      <c r="BC337" s="1"/>
      <c r="BD337" s="1" t="e">
        <f>VLOOKUP(B337,Tabla467824[[ID CAE2]:[AE '[kWh']]],6,FALSE)</f>
        <v>#N/A</v>
      </c>
      <c r="BE33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8" spans="1:57" hidden="1" x14ac:dyDescent="0.2">
      <c r="C338" s="31" t="s">
        <v>1625</v>
      </c>
      <c r="D338" s="31"/>
      <c r="E338" s="31"/>
      <c r="F338" s="31"/>
      <c r="G338" s="31"/>
      <c r="H338" s="31"/>
      <c r="I338" s="31"/>
      <c r="J338" s="31"/>
      <c r="K338" s="31" t="s">
        <v>73</v>
      </c>
      <c r="L338" s="31" t="s">
        <v>200</v>
      </c>
      <c r="M338" s="31" t="s">
        <v>201</v>
      </c>
      <c r="N338" s="31" t="s">
        <v>76</v>
      </c>
      <c r="O338" s="31" t="e">
        <f>VLOOKUP(Tabla156[[#This Row],[Matricula Antigua]],BAJA2022202320242025!$B$3:$CR$245,93,FALSE)</f>
        <v>#N/A</v>
      </c>
      <c r="P338" s="32">
        <v>44563</v>
      </c>
      <c r="Q338" s="32" t="e">
        <f>Tabla156[[#This Row],[F.Vig.Final]]-Tabla156[[#This Row],[f Vig Inicio]]</f>
        <v>#N/A</v>
      </c>
      <c r="R338" s="32">
        <f>YEAR(Tabla156[[#This Row],[F.Vig.Final]])</f>
        <v>2022</v>
      </c>
      <c r="S338" s="31" t="s">
        <v>77</v>
      </c>
      <c r="T338" s="31" t="s">
        <v>674</v>
      </c>
      <c r="U338" s="31" t="s">
        <v>359</v>
      </c>
      <c r="V338" s="31" t="s">
        <v>1245</v>
      </c>
      <c r="W338" s="31" t="s">
        <v>1626</v>
      </c>
      <c r="X338" s="31" t="s">
        <v>1627</v>
      </c>
      <c r="Y338" s="31" t="s">
        <v>1628</v>
      </c>
      <c r="Z338" s="16">
        <f>COUNTIF($X$3:X338, X338)</f>
        <v>1</v>
      </c>
      <c r="AA338" s="16"/>
      <c r="AB338" s="16"/>
      <c r="AC338" s="16"/>
      <c r="AD338" s="16"/>
      <c r="AE338" s="16"/>
      <c r="AF338" s="16"/>
      <c r="AG338" s="16"/>
      <c r="AH338" s="16"/>
      <c r="AI338" s="16" t="e">
        <v>#N/A</v>
      </c>
      <c r="AJ338" s="16" t="e">
        <v>#N/A</v>
      </c>
      <c r="AK338" s="16" t="e">
        <v>#N/A</v>
      </c>
      <c r="AL338" s="16" t="e">
        <v>#N/A</v>
      </c>
      <c r="AM338" s="16" t="e">
        <v>#N/A</v>
      </c>
      <c r="AN338" s="17" t="e">
        <v>#N/A</v>
      </c>
      <c r="AO338" s="17" t="e">
        <v>#N/A</v>
      </c>
      <c r="AP338" s="17" t="e">
        <f>Tabla156[[#This Row],[Renov. Flota]]-Tabla156[[#This Row],[Año]]</f>
        <v>#N/A</v>
      </c>
      <c r="AQ338" s="18" t="e">
        <v>#N/A</v>
      </c>
      <c r="AR338" s="18" t="e">
        <f>VLOOKUP(Tabla156[[#This Row],[Matricula nueva]],'ALTA 20242025'!$B$2:$P$242,15,FALSE)</f>
        <v>#N/A</v>
      </c>
      <c r="AS338" s="19" t="e">
        <v>#N/A</v>
      </c>
      <c r="AV338" s="1"/>
      <c r="AW338" s="1" t="e">
        <f>VLOOKUP(Tabla156[[#This Row],[Matricula nueva]],Hoja2!$A$1:$B$224,2,FALSE)</f>
        <v>#N/A</v>
      </c>
      <c r="AX338" s="1" t="str">
        <f>IF(Tabla156[[#This Row],[Columna2]]="M1",5.1,"")</f>
        <v/>
      </c>
      <c r="AY338" s="1"/>
      <c r="AZ338" s="1"/>
      <c r="BA338" s="47">
        <f>IF(Tabla156[[#This Row],[Columna2]]="M1",13073,IF(Tabla156[[#This Row],[Columna2]]="N1",15815,IF(Tabla156[[#This Row],[Columna2]]="L3e",2831,53508)))</f>
        <v>53508</v>
      </c>
      <c r="BB338" s="47" t="e">
        <f>(Tabla156[[#This Row],[CVA]]*Tabla156[[#This Row],[F]]-Tabla156[[#This Row],[CVN]])/100*Tabla156[[#This Row],[L]]</f>
        <v>#VALUE!</v>
      </c>
      <c r="BC338" s="1"/>
      <c r="BD338" s="1" t="e">
        <f>VLOOKUP(B338,Tabla467824[[ID CAE2]:[AE '[kWh']]],6,FALSE)</f>
        <v>#N/A</v>
      </c>
      <c r="BE33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39" spans="1:57" hidden="1" x14ac:dyDescent="0.2">
      <c r="C339" s="31" t="s">
        <v>1629</v>
      </c>
      <c r="D339" s="31"/>
      <c r="E339" s="31"/>
      <c r="F339" s="31"/>
      <c r="G339" s="31"/>
      <c r="H339" s="31"/>
      <c r="I339" s="31"/>
      <c r="J339" s="31"/>
      <c r="K339" s="31" t="s">
        <v>73</v>
      </c>
      <c r="L339" s="31" t="s">
        <v>200</v>
      </c>
      <c r="M339" s="31" t="s">
        <v>201</v>
      </c>
      <c r="N339" s="31" t="s">
        <v>76</v>
      </c>
      <c r="O339" s="31" t="e">
        <f>VLOOKUP(Tabla156[[#This Row],[Matricula Antigua]],BAJA2022202320242025!$B$3:$CR$245,93,FALSE)</f>
        <v>#N/A</v>
      </c>
      <c r="P339" s="32">
        <v>44802</v>
      </c>
      <c r="Q339" s="32" t="e">
        <f>Tabla156[[#This Row],[F.Vig.Final]]-Tabla156[[#This Row],[f Vig Inicio]]</f>
        <v>#N/A</v>
      </c>
      <c r="R339" s="32">
        <f>YEAR(Tabla156[[#This Row],[F.Vig.Final]])</f>
        <v>2022</v>
      </c>
      <c r="S339" s="31" t="s">
        <v>77</v>
      </c>
      <c r="T339" s="31" t="s">
        <v>78</v>
      </c>
      <c r="U339" s="31" t="s">
        <v>1362</v>
      </c>
      <c r="V339" s="31" t="s">
        <v>1367</v>
      </c>
      <c r="W339" s="31" t="s">
        <v>215</v>
      </c>
      <c r="X339" s="31" t="s">
        <v>216</v>
      </c>
      <c r="Y339" s="31" t="s">
        <v>1630</v>
      </c>
      <c r="Z339" s="16">
        <f>COUNTIF($X$3:X339, X339)</f>
        <v>9</v>
      </c>
      <c r="AA339" s="16"/>
      <c r="AB339" s="16"/>
      <c r="AC339" s="16"/>
      <c r="AD339" s="16"/>
      <c r="AE339" s="16"/>
      <c r="AF339" s="16"/>
      <c r="AG339" s="16"/>
      <c r="AH339" s="16"/>
      <c r="AI339" s="16" t="e">
        <v>#N/A</v>
      </c>
      <c r="AJ339" s="16" t="e">
        <v>#N/A</v>
      </c>
      <c r="AK339" s="16" t="e">
        <v>#N/A</v>
      </c>
      <c r="AL339" s="16" t="e">
        <v>#N/A</v>
      </c>
      <c r="AM339" s="16" t="e">
        <v>#N/A</v>
      </c>
      <c r="AN339" s="17" t="e">
        <v>#N/A</v>
      </c>
      <c r="AO339" s="17" t="e">
        <v>#N/A</v>
      </c>
      <c r="AP339" s="17" t="e">
        <f>Tabla156[[#This Row],[Renov. Flota]]-Tabla156[[#This Row],[Año]]</f>
        <v>#N/A</v>
      </c>
      <c r="AQ339" s="18" t="e">
        <v>#N/A</v>
      </c>
      <c r="AR339" s="18" t="e">
        <f>VLOOKUP(Tabla156[[#This Row],[Matricula nueva]],'ALTA 20242025'!$B$2:$P$242,15,FALSE)</f>
        <v>#N/A</v>
      </c>
      <c r="AS339" s="19" t="e">
        <v>#N/A</v>
      </c>
      <c r="AV339" s="1"/>
      <c r="AW339" s="1" t="e">
        <f>VLOOKUP(Tabla156[[#This Row],[Matricula nueva]],Hoja2!$A$1:$B$224,2,FALSE)</f>
        <v>#N/A</v>
      </c>
      <c r="AX339" s="1" t="str">
        <f>IF(Tabla156[[#This Row],[Columna2]]="M1",5.1,"")</f>
        <v/>
      </c>
      <c r="AY339" s="1"/>
      <c r="AZ339" s="1"/>
      <c r="BA339" s="47">
        <f>IF(Tabla156[[#This Row],[Columna2]]="M1",13073,IF(Tabla156[[#This Row],[Columna2]]="N1",15815,IF(Tabla156[[#This Row],[Columna2]]="L3e",2831,53508)))</f>
        <v>53508</v>
      </c>
      <c r="BB339" s="47" t="e">
        <f>(Tabla156[[#This Row],[CVA]]*Tabla156[[#This Row],[F]]-Tabla156[[#This Row],[CVN]])/100*Tabla156[[#This Row],[L]]</f>
        <v>#VALUE!</v>
      </c>
      <c r="BC339" s="1"/>
      <c r="BD339" s="1" t="e">
        <f>VLOOKUP(B339,Tabla467824[[ID CAE2]:[AE '[kWh']]],6,FALSE)</f>
        <v>#N/A</v>
      </c>
      <c r="BE33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0" spans="1:57" hidden="1" x14ac:dyDescent="0.2">
      <c r="C340" s="31" t="s">
        <v>1631</v>
      </c>
      <c r="D340" s="31"/>
      <c r="E340" s="31"/>
      <c r="F340" s="31"/>
      <c r="G340" s="31"/>
      <c r="H340" s="31"/>
      <c r="I340" s="31"/>
      <c r="J340" s="31"/>
      <c r="K340" s="31" t="s">
        <v>1034</v>
      </c>
      <c r="L340" s="31" t="s">
        <v>200</v>
      </c>
      <c r="M340" s="31" t="s">
        <v>201</v>
      </c>
      <c r="N340" s="31" t="s">
        <v>76</v>
      </c>
      <c r="O340" s="31" t="e">
        <f>VLOOKUP(Tabla156[[#This Row],[Matricula Antigua]],BAJA2022202320242025!$B$3:$CR$245,93,FALSE)</f>
        <v>#N/A</v>
      </c>
      <c r="P340" s="32">
        <v>44673</v>
      </c>
      <c r="Q340" s="32" t="e">
        <f>Tabla156[[#This Row],[F.Vig.Final]]-Tabla156[[#This Row],[f Vig Inicio]]</f>
        <v>#N/A</v>
      </c>
      <c r="R340" s="32">
        <f>YEAR(Tabla156[[#This Row],[F.Vig.Final]])</f>
        <v>2022</v>
      </c>
      <c r="S340" s="31" t="s">
        <v>77</v>
      </c>
      <c r="T340" s="31" t="s">
        <v>202</v>
      </c>
      <c r="U340" s="31" t="s">
        <v>416</v>
      </c>
      <c r="V340" s="31" t="s">
        <v>1632</v>
      </c>
      <c r="W340" s="31" t="s">
        <v>336</v>
      </c>
      <c r="X340" s="31" t="s">
        <v>337</v>
      </c>
      <c r="Y340" s="31" t="s">
        <v>1499</v>
      </c>
      <c r="Z340" s="16">
        <f>COUNTIF($X$3:X340, X340)</f>
        <v>33</v>
      </c>
      <c r="AA340" s="16"/>
      <c r="AB340" s="16"/>
      <c r="AC340" s="16"/>
      <c r="AD340" s="16"/>
      <c r="AE340" s="16"/>
      <c r="AF340" s="16"/>
      <c r="AG340" s="16"/>
      <c r="AH340" s="16"/>
      <c r="AI340" s="16" t="e">
        <v>#N/A</v>
      </c>
      <c r="AJ340" s="16" t="e">
        <v>#N/A</v>
      </c>
      <c r="AK340" s="16" t="e">
        <v>#N/A</v>
      </c>
      <c r="AL340" s="16" t="e">
        <v>#N/A</v>
      </c>
      <c r="AM340" s="16" t="e">
        <v>#N/A</v>
      </c>
      <c r="AN340" s="17" t="e">
        <v>#N/A</v>
      </c>
      <c r="AO340" s="17" t="e">
        <v>#N/A</v>
      </c>
      <c r="AP340" s="17" t="e">
        <f>Tabla156[[#This Row],[Renov. Flota]]-Tabla156[[#This Row],[Año]]</f>
        <v>#N/A</v>
      </c>
      <c r="AQ340" s="18" t="e">
        <v>#N/A</v>
      </c>
      <c r="AR340" s="18" t="e">
        <f>VLOOKUP(Tabla156[[#This Row],[Matricula nueva]],'ALTA 20242025'!$B$2:$P$242,15,FALSE)</f>
        <v>#N/A</v>
      </c>
      <c r="AS340" s="19" t="e">
        <v>#N/A</v>
      </c>
      <c r="AV340" s="1"/>
      <c r="AW340" s="1" t="e">
        <f>VLOOKUP(Tabla156[[#This Row],[Matricula nueva]],Hoja2!$A$1:$B$224,2,FALSE)</f>
        <v>#N/A</v>
      </c>
      <c r="AX340" s="1" t="str">
        <f>IF(Tabla156[[#This Row],[Columna2]]="M1",5.1,"")</f>
        <v/>
      </c>
      <c r="AY340" s="1"/>
      <c r="AZ340" s="1"/>
      <c r="BA340" s="47">
        <f>IF(Tabla156[[#This Row],[Columna2]]="M1",13073,IF(Tabla156[[#This Row],[Columna2]]="N1",15815,IF(Tabla156[[#This Row],[Columna2]]="L3e",2831,53508)))</f>
        <v>53508</v>
      </c>
      <c r="BB340" s="47" t="e">
        <f>(Tabla156[[#This Row],[CVA]]*Tabla156[[#This Row],[F]]-Tabla156[[#This Row],[CVN]])/100*Tabla156[[#This Row],[L]]</f>
        <v>#VALUE!</v>
      </c>
      <c r="BC340" s="1"/>
      <c r="BD340" s="1" t="e">
        <f>VLOOKUP(B340,Tabla467824[[ID CAE2]:[AE '[kWh']]],6,FALSE)</f>
        <v>#N/A</v>
      </c>
      <c r="BE340"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1" spans="1:57" hidden="1" x14ac:dyDescent="0.2">
      <c r="C341" s="31" t="s">
        <v>1633</v>
      </c>
      <c r="D341" s="31"/>
      <c r="E341" s="31"/>
      <c r="F341" s="31"/>
      <c r="G341" s="31"/>
      <c r="H341" s="31"/>
      <c r="I341" s="31"/>
      <c r="J341" s="31"/>
      <c r="K341" s="31" t="s">
        <v>73</v>
      </c>
      <c r="L341" s="31" t="s">
        <v>200</v>
      </c>
      <c r="M341" s="31" t="s">
        <v>201</v>
      </c>
      <c r="N341" s="31" t="s">
        <v>76</v>
      </c>
      <c r="O341" s="31" t="e">
        <f>VLOOKUP(Tabla156[[#This Row],[Matricula Antigua]],BAJA2022202320242025!$B$3:$CR$245,93,FALSE)</f>
        <v>#N/A</v>
      </c>
      <c r="P341" s="32">
        <v>44754</v>
      </c>
      <c r="Q341" s="32" t="e">
        <f>Tabla156[[#This Row],[F.Vig.Final]]-Tabla156[[#This Row],[f Vig Inicio]]</f>
        <v>#N/A</v>
      </c>
      <c r="R341" s="32">
        <f>YEAR(Tabla156[[#This Row],[F.Vig.Final]])</f>
        <v>2022</v>
      </c>
      <c r="S341" s="31" t="s">
        <v>77</v>
      </c>
      <c r="T341" s="31" t="s">
        <v>78</v>
      </c>
      <c r="U341" s="31" t="s">
        <v>359</v>
      </c>
      <c r="V341" s="31" t="s">
        <v>1424</v>
      </c>
      <c r="W341" s="31" t="s">
        <v>119</v>
      </c>
      <c r="X341" s="31" t="s">
        <v>120</v>
      </c>
      <c r="Y341" s="31" t="s">
        <v>1634</v>
      </c>
      <c r="Z341" s="16">
        <f>COUNTIF($X$3:X341, X341)</f>
        <v>13</v>
      </c>
      <c r="AA341" s="16"/>
      <c r="AB341" s="16"/>
      <c r="AC341" s="16"/>
      <c r="AD341" s="16"/>
      <c r="AE341" s="16"/>
      <c r="AF341" s="16"/>
      <c r="AG341" s="16"/>
      <c r="AH341" s="16"/>
      <c r="AI341" s="16" t="e">
        <v>#N/A</v>
      </c>
      <c r="AJ341" s="16" t="e">
        <v>#N/A</v>
      </c>
      <c r="AK341" s="16" t="e">
        <v>#N/A</v>
      </c>
      <c r="AL341" s="16" t="e">
        <v>#N/A</v>
      </c>
      <c r="AM341" s="16" t="e">
        <v>#N/A</v>
      </c>
      <c r="AN341" s="17" t="e">
        <v>#N/A</v>
      </c>
      <c r="AO341" s="17" t="e">
        <v>#N/A</v>
      </c>
      <c r="AP341" s="17" t="e">
        <f>Tabla156[[#This Row],[Renov. Flota]]-Tabla156[[#This Row],[Año]]</f>
        <v>#N/A</v>
      </c>
      <c r="AQ341" s="18" t="e">
        <v>#N/A</v>
      </c>
      <c r="AR341" s="18" t="e">
        <f>VLOOKUP(Tabla156[[#This Row],[Matricula nueva]],'ALTA 20242025'!$B$2:$P$242,15,FALSE)</f>
        <v>#N/A</v>
      </c>
      <c r="AS341" s="19" t="e">
        <v>#N/A</v>
      </c>
      <c r="AV341" s="1"/>
      <c r="AW341" s="1" t="e">
        <f>VLOOKUP(Tabla156[[#This Row],[Matricula nueva]],Hoja2!$A$1:$B$224,2,FALSE)</f>
        <v>#N/A</v>
      </c>
      <c r="AX341" s="1" t="str">
        <f>IF(Tabla156[[#This Row],[Columna2]]="M1",5.1,"")</f>
        <v/>
      </c>
      <c r="AY341" s="1"/>
      <c r="AZ341" s="1"/>
      <c r="BA341" s="47">
        <f>IF(Tabla156[[#This Row],[Columna2]]="M1",13073,IF(Tabla156[[#This Row],[Columna2]]="N1",15815,IF(Tabla156[[#This Row],[Columna2]]="L3e",2831,53508)))</f>
        <v>53508</v>
      </c>
      <c r="BB341" s="47" t="e">
        <f>(Tabla156[[#This Row],[CVA]]*Tabla156[[#This Row],[F]]-Tabla156[[#This Row],[CVN]])/100*Tabla156[[#This Row],[L]]</f>
        <v>#VALUE!</v>
      </c>
      <c r="BC341" s="1"/>
      <c r="BD341" s="1" t="e">
        <f>VLOOKUP(B341,Tabla467824[[ID CAE2]:[AE '[kWh']]],6,FALSE)</f>
        <v>#N/A</v>
      </c>
      <c r="BE341"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2" spans="1:57" hidden="1" x14ac:dyDescent="0.2">
      <c r="C342" s="31" t="s">
        <v>1635</v>
      </c>
      <c r="D342" s="31"/>
      <c r="E342" s="31"/>
      <c r="F342" s="31"/>
      <c r="G342" s="31"/>
      <c r="H342" s="31"/>
      <c r="I342" s="31"/>
      <c r="J342" s="31"/>
      <c r="K342" s="31" t="s">
        <v>1034</v>
      </c>
      <c r="L342" s="31" t="s">
        <v>200</v>
      </c>
      <c r="M342" s="31" t="s">
        <v>201</v>
      </c>
      <c r="N342" s="31" t="s">
        <v>160</v>
      </c>
      <c r="O342" s="31" t="e">
        <f>VLOOKUP(Tabla156[[#This Row],[Matricula Antigua]],BAJA2022202320242025!$B$3:$CR$245,93,FALSE)</f>
        <v>#N/A</v>
      </c>
      <c r="P342" s="32">
        <v>44673</v>
      </c>
      <c r="Q342" s="32" t="e">
        <f>Tabla156[[#This Row],[F.Vig.Final]]-Tabla156[[#This Row],[f Vig Inicio]]</f>
        <v>#N/A</v>
      </c>
      <c r="R342" s="32">
        <f>YEAR(Tabla156[[#This Row],[F.Vig.Final]])</f>
        <v>2022</v>
      </c>
      <c r="S342" s="31" t="s">
        <v>161</v>
      </c>
      <c r="T342" s="31" t="s">
        <v>202</v>
      </c>
      <c r="U342" s="31" t="s">
        <v>416</v>
      </c>
      <c r="V342" s="31" t="s">
        <v>1632</v>
      </c>
      <c r="W342" s="31" t="s">
        <v>336</v>
      </c>
      <c r="X342" s="31" t="s">
        <v>337</v>
      </c>
      <c r="Y342" s="31" t="s">
        <v>1499</v>
      </c>
      <c r="Z342" s="16">
        <f>COUNTIF($X$3:X342, X342)</f>
        <v>34</v>
      </c>
      <c r="AA342" s="16"/>
      <c r="AB342" s="16"/>
      <c r="AC342" s="16"/>
      <c r="AD342" s="16"/>
      <c r="AE342" s="16"/>
      <c r="AF342" s="16"/>
      <c r="AG342" s="16"/>
      <c r="AH342" s="16"/>
      <c r="AI342" s="16" t="e">
        <v>#N/A</v>
      </c>
      <c r="AJ342" s="16" t="e">
        <v>#N/A</v>
      </c>
      <c r="AK342" s="16" t="e">
        <v>#N/A</v>
      </c>
      <c r="AL342" s="16" t="e">
        <v>#N/A</v>
      </c>
      <c r="AM342" s="16" t="e">
        <v>#N/A</v>
      </c>
      <c r="AN342" s="17" t="e">
        <v>#N/A</v>
      </c>
      <c r="AO342" s="17" t="e">
        <v>#N/A</v>
      </c>
      <c r="AP342" s="17" t="e">
        <f>Tabla156[[#This Row],[Renov. Flota]]-Tabla156[[#This Row],[Año]]</f>
        <v>#N/A</v>
      </c>
      <c r="AQ342" s="18" t="e">
        <v>#N/A</v>
      </c>
      <c r="AR342" s="18" t="e">
        <f>VLOOKUP(Tabla156[[#This Row],[Matricula nueva]],'ALTA 20242025'!$B$2:$P$242,15,FALSE)</f>
        <v>#N/A</v>
      </c>
      <c r="AS342" s="19" t="e">
        <v>#N/A</v>
      </c>
      <c r="AV342" s="1"/>
      <c r="AW342" s="1" t="e">
        <f>VLOOKUP(Tabla156[[#This Row],[Matricula nueva]],Hoja2!$A$1:$B$224,2,FALSE)</f>
        <v>#N/A</v>
      </c>
      <c r="AX342" s="1" t="str">
        <f>IF(Tabla156[[#This Row],[Columna2]]="M1",5.1,"")</f>
        <v/>
      </c>
      <c r="AY342" s="1"/>
      <c r="AZ342" s="1"/>
      <c r="BA342" s="47">
        <f>IF(Tabla156[[#This Row],[Columna2]]="M1",13073,IF(Tabla156[[#This Row],[Columna2]]="N1",15815,IF(Tabla156[[#This Row],[Columna2]]="L3e",2831,53508)))</f>
        <v>53508</v>
      </c>
      <c r="BB342" s="47" t="e">
        <f>(Tabla156[[#This Row],[CVA]]*Tabla156[[#This Row],[F]]-Tabla156[[#This Row],[CVN]])/100*Tabla156[[#This Row],[L]]</f>
        <v>#VALUE!</v>
      </c>
      <c r="BC342" s="1"/>
      <c r="BD342" s="1" t="e">
        <f>VLOOKUP(B342,Tabla467824[[ID CAE2]:[AE '[kWh']]],6,FALSE)</f>
        <v>#N/A</v>
      </c>
      <c r="BE342"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3" spans="1:57" hidden="1" x14ac:dyDescent="0.2">
      <c r="C343" s="31" t="s">
        <v>1636</v>
      </c>
      <c r="D343" s="31"/>
      <c r="E343" s="31"/>
      <c r="F343" s="31"/>
      <c r="G343" s="31"/>
      <c r="H343" s="31"/>
      <c r="I343" s="31"/>
      <c r="J343" s="31"/>
      <c r="K343" s="31" t="s">
        <v>73</v>
      </c>
      <c r="L343" s="31" t="s">
        <v>200</v>
      </c>
      <c r="M343" s="31" t="s">
        <v>201</v>
      </c>
      <c r="N343" s="31" t="s">
        <v>76</v>
      </c>
      <c r="O343" s="31" t="e">
        <f>VLOOKUP(Tabla156[[#This Row],[Matricula Antigua]],BAJA2022202320242025!$B$3:$CR$245,93,FALSE)</f>
        <v>#N/A</v>
      </c>
      <c r="P343" s="32">
        <v>44791</v>
      </c>
      <c r="Q343" s="32" t="e">
        <f>Tabla156[[#This Row],[F.Vig.Final]]-Tabla156[[#This Row],[f Vig Inicio]]</f>
        <v>#N/A</v>
      </c>
      <c r="R343" s="32">
        <f>YEAR(Tabla156[[#This Row],[F.Vig.Final]])</f>
        <v>2022</v>
      </c>
      <c r="S343" s="31" t="s">
        <v>77</v>
      </c>
      <c r="T343" s="31" t="s">
        <v>78</v>
      </c>
      <c r="U343" s="31" t="s">
        <v>359</v>
      </c>
      <c r="V343" s="31" t="s">
        <v>1559</v>
      </c>
      <c r="W343" s="31" t="s">
        <v>584</v>
      </c>
      <c r="X343" s="31" t="s">
        <v>585</v>
      </c>
      <c r="Y343" s="31" t="s">
        <v>1637</v>
      </c>
      <c r="Z343" s="16">
        <f>COUNTIF($X$3:X343, X343)</f>
        <v>26</v>
      </c>
      <c r="AA343" s="16"/>
      <c r="AB343" s="16"/>
      <c r="AC343" s="16"/>
      <c r="AD343" s="16"/>
      <c r="AE343" s="16"/>
      <c r="AF343" s="16"/>
      <c r="AG343" s="16"/>
      <c r="AH343" s="16"/>
      <c r="AI343" s="16" t="e">
        <v>#N/A</v>
      </c>
      <c r="AJ343" s="16" t="e">
        <v>#N/A</v>
      </c>
      <c r="AK343" s="16" t="e">
        <v>#N/A</v>
      </c>
      <c r="AL343" s="16" t="e">
        <v>#N/A</v>
      </c>
      <c r="AM343" s="16" t="e">
        <v>#N/A</v>
      </c>
      <c r="AN343" s="17" t="e">
        <v>#N/A</v>
      </c>
      <c r="AO343" s="17" t="e">
        <v>#N/A</v>
      </c>
      <c r="AP343" s="17" t="e">
        <f>Tabla156[[#This Row],[Renov. Flota]]-Tabla156[[#This Row],[Año]]</f>
        <v>#N/A</v>
      </c>
      <c r="AQ343" s="18" t="e">
        <v>#N/A</v>
      </c>
      <c r="AR343" s="18" t="e">
        <f>VLOOKUP(Tabla156[[#This Row],[Matricula nueva]],'ALTA 20242025'!$B$2:$P$242,15,FALSE)</f>
        <v>#N/A</v>
      </c>
      <c r="AS343" s="19" t="e">
        <v>#N/A</v>
      </c>
      <c r="AV343" s="1"/>
      <c r="AW343" s="1" t="e">
        <f>VLOOKUP(Tabla156[[#This Row],[Matricula nueva]],Hoja2!$A$1:$B$224,2,FALSE)</f>
        <v>#N/A</v>
      </c>
      <c r="AX343" s="1" t="str">
        <f>IF(Tabla156[[#This Row],[Columna2]]="M1",5.1,"")</f>
        <v/>
      </c>
      <c r="AY343" s="1"/>
      <c r="AZ343" s="1"/>
      <c r="BA343" s="47">
        <f>IF(Tabla156[[#This Row],[Columna2]]="M1",13073,IF(Tabla156[[#This Row],[Columna2]]="N1",15815,IF(Tabla156[[#This Row],[Columna2]]="L3e",2831,53508)))</f>
        <v>53508</v>
      </c>
      <c r="BB343" s="47" t="e">
        <f>(Tabla156[[#This Row],[CVA]]*Tabla156[[#This Row],[F]]-Tabla156[[#This Row],[CVN]])/100*Tabla156[[#This Row],[L]]</f>
        <v>#VALUE!</v>
      </c>
      <c r="BC343" s="1"/>
      <c r="BD343" s="1" t="e">
        <f>VLOOKUP(B343,Tabla467824[[ID CAE2]:[AE '[kWh']]],6,FALSE)</f>
        <v>#N/A</v>
      </c>
      <c r="BE343"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4" spans="1:57" hidden="1" x14ac:dyDescent="0.2">
      <c r="C344" s="31" t="s">
        <v>1638</v>
      </c>
      <c r="D344" s="31"/>
      <c r="E344" s="31"/>
      <c r="F344" s="31"/>
      <c r="G344" s="31"/>
      <c r="H344" s="31"/>
      <c r="I344" s="31"/>
      <c r="J344" s="31"/>
      <c r="K344" s="31" t="s">
        <v>885</v>
      </c>
      <c r="L344" s="31" t="s">
        <v>161</v>
      </c>
      <c r="M344" s="31" t="s">
        <v>886</v>
      </c>
      <c r="N344" s="31" t="s">
        <v>76</v>
      </c>
      <c r="O344" s="31" t="e">
        <f>VLOOKUP(Tabla156[[#This Row],[Matricula Antigua]],BAJA2022202320242025!$B$3:$CR$245,93,FALSE)</f>
        <v>#N/A</v>
      </c>
      <c r="P344" s="32">
        <v>44865</v>
      </c>
      <c r="Q344" s="32" t="e">
        <f>Tabla156[[#This Row],[F.Vig.Final]]-Tabla156[[#This Row],[f Vig Inicio]]</f>
        <v>#N/A</v>
      </c>
      <c r="R344" s="32">
        <f>YEAR(Tabla156[[#This Row],[F.Vig.Final]])</f>
        <v>2022</v>
      </c>
      <c r="S344" s="31" t="s">
        <v>77</v>
      </c>
      <c r="T344" s="31" t="s">
        <v>78</v>
      </c>
      <c r="U344" s="31" t="s">
        <v>887</v>
      </c>
      <c r="V344" s="31" t="s">
        <v>1639</v>
      </c>
      <c r="W344" s="31" t="s">
        <v>336</v>
      </c>
      <c r="X344" s="31" t="s">
        <v>337</v>
      </c>
      <c r="Y344" s="31" t="s">
        <v>1624</v>
      </c>
      <c r="Z344" s="16">
        <f>COUNTIF($X$3:X344, X344)</f>
        <v>35</v>
      </c>
      <c r="AA344" s="16"/>
      <c r="AB344" s="16"/>
      <c r="AC344" s="16"/>
      <c r="AD344" s="16"/>
      <c r="AE344" s="16"/>
      <c r="AF344" s="16"/>
      <c r="AG344" s="16"/>
      <c r="AH344" s="16"/>
      <c r="AI344" s="16" t="e">
        <v>#N/A</v>
      </c>
      <c r="AJ344" s="16" t="e">
        <v>#N/A</v>
      </c>
      <c r="AK344" s="16" t="e">
        <v>#N/A</v>
      </c>
      <c r="AL344" s="16" t="e">
        <v>#N/A</v>
      </c>
      <c r="AM344" s="16" t="e">
        <v>#N/A</v>
      </c>
      <c r="AN344" s="17" t="e">
        <v>#N/A</v>
      </c>
      <c r="AO344" s="17" t="e">
        <v>#N/A</v>
      </c>
      <c r="AP344" s="17" t="e">
        <f>Tabla156[[#This Row],[Renov. Flota]]-Tabla156[[#This Row],[Año]]</f>
        <v>#N/A</v>
      </c>
      <c r="AQ344" s="18" t="e">
        <v>#N/A</v>
      </c>
      <c r="AR344" s="18" t="e">
        <f>VLOOKUP(Tabla156[[#This Row],[Matricula nueva]],'ALTA 20242025'!$B$2:$P$242,15,FALSE)</f>
        <v>#N/A</v>
      </c>
      <c r="AS344" s="19" t="e">
        <v>#N/A</v>
      </c>
      <c r="AV344" s="1"/>
      <c r="AW344" s="1" t="e">
        <f>VLOOKUP(Tabla156[[#This Row],[Matricula nueva]],Hoja2!$A$1:$B$224,2,FALSE)</f>
        <v>#N/A</v>
      </c>
      <c r="AX344" s="1" t="str">
        <f>IF(Tabla156[[#This Row],[Columna2]]="M1",5.1,"")</f>
        <v/>
      </c>
      <c r="AY344" s="1"/>
      <c r="AZ344" s="1"/>
      <c r="BA344" s="47">
        <f>IF(Tabla156[[#This Row],[Columna2]]="M1",13073,IF(Tabla156[[#This Row],[Columna2]]="N1",15815,IF(Tabla156[[#This Row],[Columna2]]="L3e",2831,53508)))</f>
        <v>53508</v>
      </c>
      <c r="BB344" s="47" t="e">
        <f>(Tabla156[[#This Row],[CVA]]*Tabla156[[#This Row],[F]]-Tabla156[[#This Row],[CVN]])/100*Tabla156[[#This Row],[L]]</f>
        <v>#VALUE!</v>
      </c>
      <c r="BC344" s="1"/>
      <c r="BD344" s="1" t="e">
        <f>VLOOKUP(B344,Tabla467824[[ID CAE2]:[AE '[kWh']]],6,FALSE)</f>
        <v>#N/A</v>
      </c>
      <c r="BE344"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5" spans="1:57" hidden="1" x14ac:dyDescent="0.2">
      <c r="C345" s="31" t="s">
        <v>1640</v>
      </c>
      <c r="D345" s="31"/>
      <c r="E345" s="31"/>
      <c r="F345" s="31"/>
      <c r="G345" s="31"/>
      <c r="H345" s="31"/>
      <c r="I345" s="31"/>
      <c r="J345" s="31"/>
      <c r="K345" s="31" t="s">
        <v>73</v>
      </c>
      <c r="L345" s="31" t="s">
        <v>200</v>
      </c>
      <c r="M345" s="31" t="s">
        <v>201</v>
      </c>
      <c r="N345" s="31" t="s">
        <v>76</v>
      </c>
      <c r="O345" s="31" t="e">
        <f>VLOOKUP(Tabla156[[#This Row],[Matricula Antigua]],BAJA2022202320242025!$B$3:$CR$245,93,FALSE)</f>
        <v>#N/A</v>
      </c>
      <c r="P345" s="32">
        <v>44828</v>
      </c>
      <c r="Q345" s="32" t="e">
        <f>Tabla156[[#This Row],[F.Vig.Final]]-Tabla156[[#This Row],[f Vig Inicio]]</f>
        <v>#N/A</v>
      </c>
      <c r="R345" s="32">
        <f>YEAR(Tabla156[[#This Row],[F.Vig.Final]])</f>
        <v>2022</v>
      </c>
      <c r="S345" s="31" t="s">
        <v>77</v>
      </c>
      <c r="T345" s="31" t="s">
        <v>78</v>
      </c>
      <c r="U345" s="31" t="s">
        <v>359</v>
      </c>
      <c r="V345" s="31" t="s">
        <v>604</v>
      </c>
      <c r="W345" s="31" t="s">
        <v>131</v>
      </c>
      <c r="X345" s="31" t="s">
        <v>132</v>
      </c>
      <c r="Y345" s="31" t="s">
        <v>1457</v>
      </c>
      <c r="Z345" s="16">
        <f>COUNTIF($X$3:X345, X345)</f>
        <v>49</v>
      </c>
      <c r="AA345" s="16"/>
      <c r="AB345" s="16"/>
      <c r="AC345" s="16"/>
      <c r="AD345" s="16"/>
      <c r="AE345" s="16"/>
      <c r="AF345" s="16"/>
      <c r="AG345" s="16"/>
      <c r="AH345" s="16"/>
      <c r="AI345" s="16" t="e">
        <v>#N/A</v>
      </c>
      <c r="AJ345" s="16" t="e">
        <v>#N/A</v>
      </c>
      <c r="AK345" s="16" t="e">
        <v>#N/A</v>
      </c>
      <c r="AL345" s="16" t="e">
        <v>#N/A</v>
      </c>
      <c r="AM345" s="16" t="e">
        <v>#N/A</v>
      </c>
      <c r="AN345" s="17" t="e">
        <v>#N/A</v>
      </c>
      <c r="AO345" s="17" t="e">
        <v>#N/A</v>
      </c>
      <c r="AP345" s="17" t="e">
        <f>Tabla156[[#This Row],[Renov. Flota]]-Tabla156[[#This Row],[Año]]</f>
        <v>#N/A</v>
      </c>
      <c r="AQ345" s="18" t="e">
        <v>#N/A</v>
      </c>
      <c r="AR345" s="18" t="e">
        <f>VLOOKUP(Tabla156[[#This Row],[Matricula nueva]],'ALTA 20242025'!$B$2:$P$242,15,FALSE)</f>
        <v>#N/A</v>
      </c>
      <c r="AS345" s="19" t="e">
        <v>#N/A</v>
      </c>
      <c r="AV345" s="1"/>
      <c r="AW345" s="1" t="e">
        <f>VLOOKUP(Tabla156[[#This Row],[Matricula nueva]],Hoja2!$A$1:$B$224,2,FALSE)</f>
        <v>#N/A</v>
      </c>
      <c r="AX345" s="1" t="str">
        <f>IF(Tabla156[[#This Row],[Columna2]]="M1",5.1,"")</f>
        <v/>
      </c>
      <c r="AY345" s="1"/>
      <c r="AZ345" s="1"/>
      <c r="BA345" s="47">
        <f>IF(Tabla156[[#This Row],[Columna2]]="M1",13073,IF(Tabla156[[#This Row],[Columna2]]="N1",15815,IF(Tabla156[[#This Row],[Columna2]]="L3e",2831,53508)))</f>
        <v>53508</v>
      </c>
      <c r="BB345" s="47" t="e">
        <f>(Tabla156[[#This Row],[CVA]]*Tabla156[[#This Row],[F]]-Tabla156[[#This Row],[CVN]])/100*Tabla156[[#This Row],[L]]</f>
        <v>#VALUE!</v>
      </c>
      <c r="BC345" s="1"/>
      <c r="BD345" s="1" t="e">
        <f>VLOOKUP(B345,Tabla467824[[ID CAE2]:[AE '[kWh']]],6,FALSE)</f>
        <v>#N/A</v>
      </c>
      <c r="BE345"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6" spans="1:57" hidden="1" x14ac:dyDescent="0.2">
      <c r="C346" s="31" t="s">
        <v>1641</v>
      </c>
      <c r="D346" s="31"/>
      <c r="E346" s="31"/>
      <c r="F346" s="31"/>
      <c r="G346" s="31"/>
      <c r="H346" s="31"/>
      <c r="I346" s="31"/>
      <c r="J346" s="31"/>
      <c r="K346" s="31" t="s">
        <v>1642</v>
      </c>
      <c r="L346" s="31" t="s">
        <v>74</v>
      </c>
      <c r="M346" s="31" t="s">
        <v>75</v>
      </c>
      <c r="N346" s="31" t="s">
        <v>160</v>
      </c>
      <c r="O346" s="31" t="e">
        <f>VLOOKUP(Tabla156[[#This Row],[Matricula Antigua]],BAJA2022202320242025!$B$3:$CR$245,93,FALSE)</f>
        <v>#N/A</v>
      </c>
      <c r="P346" s="32">
        <v>44609</v>
      </c>
      <c r="Q346" s="32" t="e">
        <f>Tabla156[[#This Row],[F.Vig.Final]]-Tabla156[[#This Row],[f Vig Inicio]]</f>
        <v>#N/A</v>
      </c>
      <c r="R346" s="32">
        <f>YEAR(Tabla156[[#This Row],[F.Vig.Final]])</f>
        <v>2022</v>
      </c>
      <c r="S346" s="31" t="s">
        <v>161</v>
      </c>
      <c r="T346" s="31" t="s">
        <v>87</v>
      </c>
      <c r="U346" s="31" t="s">
        <v>85</v>
      </c>
      <c r="V346" s="31" t="s">
        <v>1643</v>
      </c>
      <c r="W346" s="31" t="s">
        <v>336</v>
      </c>
      <c r="X346" s="31" t="s">
        <v>337</v>
      </c>
      <c r="Y346" s="31" t="s">
        <v>630</v>
      </c>
      <c r="Z346" s="16">
        <f>COUNTIF($X$3:X346, X346)</f>
        <v>36</v>
      </c>
      <c r="AA346" s="16"/>
      <c r="AB346" s="16"/>
      <c r="AC346" s="16"/>
      <c r="AD346" s="16"/>
      <c r="AE346" s="16"/>
      <c r="AF346" s="16"/>
      <c r="AG346" s="16"/>
      <c r="AH346" s="16"/>
      <c r="AI346" s="16" t="e">
        <v>#N/A</v>
      </c>
      <c r="AJ346" s="16" t="e">
        <v>#N/A</v>
      </c>
      <c r="AK346" s="16" t="e">
        <v>#N/A</v>
      </c>
      <c r="AL346" s="16" t="e">
        <v>#N/A</v>
      </c>
      <c r="AM346" s="16" t="e">
        <v>#N/A</v>
      </c>
      <c r="AN346" s="17" t="e">
        <v>#N/A</v>
      </c>
      <c r="AO346" s="17" t="e">
        <v>#N/A</v>
      </c>
      <c r="AP346" s="17" t="e">
        <f>Tabla156[[#This Row],[Renov. Flota]]-Tabla156[[#This Row],[Año]]</f>
        <v>#N/A</v>
      </c>
      <c r="AQ346" s="18" t="e">
        <v>#N/A</v>
      </c>
      <c r="AR346" s="18" t="e">
        <f>VLOOKUP(Tabla156[[#This Row],[Matricula nueva]],'ALTA 20242025'!$B$2:$P$242,15,FALSE)</f>
        <v>#N/A</v>
      </c>
      <c r="AS346" s="19" t="e">
        <v>#N/A</v>
      </c>
      <c r="AV346" s="1"/>
      <c r="AW346" s="1" t="e">
        <f>VLOOKUP(Tabla156[[#This Row],[Matricula nueva]],Hoja2!$A$1:$B$224,2,FALSE)</f>
        <v>#N/A</v>
      </c>
      <c r="AX346" s="1" t="str">
        <f>IF(Tabla156[[#This Row],[Columna2]]="M1",5.1,"")</f>
        <v/>
      </c>
      <c r="AY346" s="1"/>
      <c r="AZ346" s="1"/>
      <c r="BA346" s="47">
        <f>IF(Tabla156[[#This Row],[Columna2]]="M1",13073,IF(Tabla156[[#This Row],[Columna2]]="N1",15815,IF(Tabla156[[#This Row],[Columna2]]="L3e",2831,53508)))</f>
        <v>53508</v>
      </c>
      <c r="BB346" s="47" t="e">
        <f>(Tabla156[[#This Row],[CVA]]*Tabla156[[#This Row],[F]]-Tabla156[[#This Row],[CVN]])/100*Tabla156[[#This Row],[L]]</f>
        <v>#VALUE!</v>
      </c>
      <c r="BC346" s="1"/>
      <c r="BD346" s="1" t="e">
        <f>VLOOKUP(B346,Tabla467824[[ID CAE2]:[AE '[kWh']]],6,FALSE)</f>
        <v>#N/A</v>
      </c>
      <c r="BE346"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7" spans="1:57" hidden="1" x14ac:dyDescent="0.2">
      <c r="C347" s="31" t="s">
        <v>1644</v>
      </c>
      <c r="D347" s="31"/>
      <c r="E347" s="31"/>
      <c r="F347" s="31"/>
      <c r="G347" s="31"/>
      <c r="H347" s="31"/>
      <c r="I347" s="31"/>
      <c r="J347" s="31"/>
      <c r="K347" s="31" t="s">
        <v>158</v>
      </c>
      <c r="L347" s="31" t="s">
        <v>159</v>
      </c>
      <c r="M347" s="31" t="s">
        <v>158</v>
      </c>
      <c r="N347" s="31" t="s">
        <v>171</v>
      </c>
      <c r="O347" s="31" t="e">
        <f>VLOOKUP(Tabla156[[#This Row],[Matricula Antigua]],BAJA2022202320242025!$B$3:$CR$245,93,FALSE)</f>
        <v>#N/A</v>
      </c>
      <c r="P347" s="32">
        <v>44599</v>
      </c>
      <c r="Q347" s="32" t="e">
        <f>Tabla156[[#This Row],[F.Vig.Final]]-Tabla156[[#This Row],[f Vig Inicio]]</f>
        <v>#N/A</v>
      </c>
      <c r="R347" s="32">
        <f>YEAR(Tabla156[[#This Row],[F.Vig.Final]])</f>
        <v>2022</v>
      </c>
      <c r="S347" s="31" t="s">
        <v>172</v>
      </c>
      <c r="T347" s="31" t="s">
        <v>78</v>
      </c>
      <c r="U347" s="31" t="s">
        <v>1338</v>
      </c>
      <c r="V347" s="31" t="s">
        <v>1338</v>
      </c>
      <c r="W347" s="31" t="s">
        <v>131</v>
      </c>
      <c r="X347" s="31" t="s">
        <v>132</v>
      </c>
      <c r="Y347" s="31" t="s">
        <v>427</v>
      </c>
      <c r="Z347" s="16">
        <f>COUNTIF($X$3:X347, X347)</f>
        <v>50</v>
      </c>
      <c r="AA347" s="16"/>
      <c r="AB347" s="16"/>
      <c r="AC347" s="16"/>
      <c r="AD347" s="16"/>
      <c r="AE347" s="16"/>
      <c r="AF347" s="16"/>
      <c r="AG347" s="16"/>
      <c r="AH347" s="16"/>
      <c r="AI347" s="16" t="e">
        <v>#N/A</v>
      </c>
      <c r="AJ347" s="16" t="e">
        <v>#N/A</v>
      </c>
      <c r="AK347" s="16" t="e">
        <v>#N/A</v>
      </c>
      <c r="AL347" s="16" t="e">
        <v>#N/A</v>
      </c>
      <c r="AM347" s="16" t="e">
        <v>#N/A</v>
      </c>
      <c r="AN347" s="17" t="e">
        <v>#N/A</v>
      </c>
      <c r="AO347" s="17" t="e">
        <v>#N/A</v>
      </c>
      <c r="AP347" s="17" t="e">
        <f>Tabla156[[#This Row],[Renov. Flota]]-Tabla156[[#This Row],[Año]]</f>
        <v>#N/A</v>
      </c>
      <c r="AQ347" s="18" t="e">
        <v>#N/A</v>
      </c>
      <c r="AR347" s="18" t="e">
        <f>VLOOKUP(Tabla156[[#This Row],[Matricula nueva]],'ALTA 20242025'!$B$2:$P$242,15,FALSE)</f>
        <v>#N/A</v>
      </c>
      <c r="AS347" s="19" t="e">
        <v>#N/A</v>
      </c>
      <c r="AV347" s="1"/>
      <c r="AW347" s="1" t="e">
        <f>VLOOKUP(Tabla156[[#This Row],[Matricula nueva]],Hoja2!$A$1:$B$224,2,FALSE)</f>
        <v>#N/A</v>
      </c>
      <c r="AX347" s="1" t="str">
        <f>IF(Tabla156[[#This Row],[Columna2]]="M1",5.1,"")</f>
        <v/>
      </c>
      <c r="AY347" s="1"/>
      <c r="AZ347" s="1"/>
      <c r="BA347" s="47">
        <f>IF(Tabla156[[#This Row],[Columna2]]="M1",13073,IF(Tabla156[[#This Row],[Columna2]]="N1",15815,IF(Tabla156[[#This Row],[Columna2]]="L3e",2831,53508)))</f>
        <v>53508</v>
      </c>
      <c r="BB347" s="47" t="e">
        <f>(Tabla156[[#This Row],[CVA]]*Tabla156[[#This Row],[F]]-Tabla156[[#This Row],[CVN]])/100*Tabla156[[#This Row],[L]]</f>
        <v>#VALUE!</v>
      </c>
      <c r="BC347" s="1"/>
      <c r="BD347" s="1" t="e">
        <f>VLOOKUP(B347,Tabla467824[[ID CAE2]:[AE '[kWh']]],6,FALSE)</f>
        <v>#N/A</v>
      </c>
      <c r="BE347"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348" spans="1:57" hidden="1" x14ac:dyDescent="0.2">
      <c r="C348" s="31" t="s">
        <v>1645</v>
      </c>
      <c r="D348" s="31"/>
      <c r="E348" s="31"/>
      <c r="F348" s="31"/>
      <c r="G348" s="31"/>
      <c r="H348" s="31"/>
      <c r="I348" s="31"/>
      <c r="J348" s="31"/>
      <c r="K348" s="31" t="s">
        <v>1646</v>
      </c>
      <c r="L348" s="31" t="s">
        <v>74</v>
      </c>
      <c r="M348" s="31" t="s">
        <v>75</v>
      </c>
      <c r="N348" s="31" t="s">
        <v>76</v>
      </c>
      <c r="O348" s="31" t="e">
        <f>VLOOKUP(Tabla156[[#This Row],[Matricula Antigua]],BAJA2022202320242025!$B$3:$CR$245,93,FALSE)</f>
        <v>#N/A</v>
      </c>
      <c r="P348" s="32">
        <v>44834</v>
      </c>
      <c r="Q348" s="32" t="e">
        <f>Tabla156[[#This Row],[F.Vig.Final]]-Tabla156[[#This Row],[f Vig Inicio]]</f>
        <v>#N/A</v>
      </c>
      <c r="R348" s="32">
        <f>YEAR(Tabla156[[#This Row],[F.Vig.Final]])</f>
        <v>2022</v>
      </c>
      <c r="S348" s="31" t="s">
        <v>77</v>
      </c>
      <c r="T348" s="31" t="s">
        <v>78</v>
      </c>
      <c r="U348" s="31" t="s">
        <v>1646</v>
      </c>
      <c r="V348" s="31" t="s">
        <v>1647</v>
      </c>
      <c r="W348" s="31" t="s">
        <v>1050</v>
      </c>
      <c r="X348" s="31" t="s">
        <v>1051</v>
      </c>
      <c r="Y348" s="31" t="s">
        <v>1052</v>
      </c>
      <c r="Z348" s="16">
        <f>COUNTIF($X$3:X348, X348)</f>
        <v>13</v>
      </c>
      <c r="AA348" s="16"/>
      <c r="AB348" s="16"/>
      <c r="AC348" s="16"/>
      <c r="AD348" s="16"/>
      <c r="AE348" s="16"/>
      <c r="AF348" s="16"/>
      <c r="AG348" s="16"/>
      <c r="AH348" s="16"/>
      <c r="AI348" s="16" t="e">
        <v>#N/A</v>
      </c>
      <c r="AJ348" s="16" t="e">
        <v>#N/A</v>
      </c>
      <c r="AK348" s="16" t="e">
        <v>#N/A</v>
      </c>
      <c r="AL348" s="16" t="e">
        <v>#N/A</v>
      </c>
      <c r="AM348" s="16" t="e">
        <v>#N/A</v>
      </c>
      <c r="AN348" s="17" t="e">
        <v>#N/A</v>
      </c>
      <c r="AO348" s="17" t="e">
        <v>#N/A</v>
      </c>
      <c r="AP348" s="17" t="e">
        <f>Tabla156[[#This Row],[Renov. Flota]]-Tabla156[[#This Row],[Año]]</f>
        <v>#N/A</v>
      </c>
      <c r="AQ348" s="18" t="e">
        <v>#N/A</v>
      </c>
      <c r="AR348" s="18" t="e">
        <f>VLOOKUP(Tabla156[[#This Row],[Matricula nueva]],'ALTA 20242025'!$B$2:$P$242,15,FALSE)</f>
        <v>#N/A</v>
      </c>
      <c r="AS348" s="19" t="e">
        <v>#N/A</v>
      </c>
      <c r="AV348" s="1"/>
      <c r="AW348" s="1" t="e">
        <f>VLOOKUP(Tabla156[[#This Row],[Matricula nueva]],Hoja2!$A$1:$B$224,2,FALSE)</f>
        <v>#N/A</v>
      </c>
      <c r="AX348" s="1" t="str">
        <f>IF(Tabla156[[#This Row],[Columna2]]="M1",5.1,"")</f>
        <v/>
      </c>
      <c r="AY348" s="1"/>
      <c r="AZ348" s="1"/>
      <c r="BA348" s="47">
        <f>IF(Tabla156[[#This Row],[Columna2]]="M1",13073,IF(Tabla156[[#This Row],[Columna2]]="N1",15815,IF(Tabla156[[#This Row],[Columna2]]="L3e",2831,53508)))</f>
        <v>53508</v>
      </c>
      <c r="BB348" s="47" t="e">
        <f>(Tabla156[[#This Row],[CVA]]*Tabla156[[#This Row],[F]]-Tabla156[[#This Row],[CVN]])/100*Tabla156[[#This Row],[L]]</f>
        <v>#VALUE!</v>
      </c>
      <c r="BC348" s="1"/>
      <c r="BD348" s="1" t="e">
        <f>VLOOKUP(B348,Tabla467824[[ID CAE2]:[AE '[kWh']]],6,FALSE)</f>
        <v>#N/A</v>
      </c>
      <c r="BE348"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ALQUILER</v>
      </c>
    </row>
    <row r="349" spans="1:57" hidden="1" x14ac:dyDescent="0.2">
      <c r="C349" s="31" t="s">
        <v>1648</v>
      </c>
      <c r="D349" s="31"/>
      <c r="E349" s="31"/>
      <c r="F349" s="31"/>
      <c r="G349" s="31"/>
      <c r="H349" s="31"/>
      <c r="I349" s="31"/>
      <c r="J349" s="31"/>
      <c r="K349" s="31" t="s">
        <v>158</v>
      </c>
      <c r="L349" s="31" t="s">
        <v>159</v>
      </c>
      <c r="M349" s="31" t="s">
        <v>158</v>
      </c>
      <c r="N349" s="31" t="s">
        <v>171</v>
      </c>
      <c r="O349" s="31" t="e">
        <f>VLOOKUP(Tabla156[[#This Row],[Matricula Antigua]],BAJA2022202320242025!$B$3:$CR$245,93,FALSE)</f>
        <v>#N/A</v>
      </c>
      <c r="P349" s="32">
        <v>44607</v>
      </c>
      <c r="Q349" s="32" t="e">
        <f>Tabla156[[#This Row],[F.Vig.Final]]-Tabla156[[#This Row],[f Vig Inicio]]</f>
        <v>#N/A</v>
      </c>
      <c r="R349" s="32">
        <f>YEAR(Tabla156[[#This Row],[F.Vig.Final]])</f>
        <v>2022</v>
      </c>
      <c r="S349" s="31" t="s">
        <v>172</v>
      </c>
      <c r="T349" s="31" t="s">
        <v>78</v>
      </c>
      <c r="U349" s="31" t="s">
        <v>1338</v>
      </c>
      <c r="V349" s="31" t="s">
        <v>1338</v>
      </c>
      <c r="W349" s="31" t="s">
        <v>131</v>
      </c>
      <c r="X349" s="31" t="s">
        <v>132</v>
      </c>
      <c r="Y349" s="31" t="s">
        <v>635</v>
      </c>
      <c r="Z349" s="16">
        <f>COUNTIF($X$3:X349, X349)</f>
        <v>51</v>
      </c>
      <c r="AA349" s="48"/>
      <c r="AB349" s="48"/>
      <c r="AC349" s="48"/>
      <c r="AD349" s="48"/>
      <c r="AE349" s="48"/>
      <c r="AF349" s="48"/>
      <c r="AG349" s="48"/>
      <c r="AH349" s="48"/>
      <c r="AI349" s="48" t="e">
        <v>#N/A</v>
      </c>
      <c r="AJ349" s="16" t="e">
        <v>#N/A</v>
      </c>
      <c r="AK349" s="16" t="e">
        <v>#N/A</v>
      </c>
      <c r="AL349" s="16" t="e">
        <v>#N/A</v>
      </c>
      <c r="AM349" s="16" t="e">
        <v>#N/A</v>
      </c>
      <c r="AN349" s="22" t="e">
        <v>#N/A</v>
      </c>
      <c r="AO349" s="22" t="e">
        <v>#N/A</v>
      </c>
      <c r="AP349" s="17" t="e">
        <f>Tabla156[[#This Row],[Renov. Flota]]-Tabla156[[#This Row],[Año]]</f>
        <v>#N/A</v>
      </c>
      <c r="AQ349" s="18" t="e">
        <v>#N/A</v>
      </c>
      <c r="AR349" s="18" t="e">
        <f>VLOOKUP(Tabla156[[#This Row],[Matricula nueva]],'ALTA 20242025'!$B$2:$P$242,15,FALSE)</f>
        <v>#N/A</v>
      </c>
      <c r="AS349" s="19" t="e">
        <v>#N/A</v>
      </c>
      <c r="AV349" s="1"/>
      <c r="AW349" s="1" t="e">
        <f>VLOOKUP(Tabla156[[#This Row],[Matricula nueva]],Hoja2!$A$1:$B$224,2,FALSE)</f>
        <v>#N/A</v>
      </c>
      <c r="AX349" s="1" t="str">
        <f>IF(Tabla156[[#This Row],[Columna2]]="M1",5.1,"")</f>
        <v/>
      </c>
      <c r="AY349" s="1"/>
      <c r="AZ349" s="1"/>
      <c r="BA349" s="47">
        <f>IF(Tabla156[[#This Row],[Columna2]]="M1",13073,IF(Tabla156[[#This Row],[Columna2]]="N1",15815,IF(Tabla156[[#This Row],[Columna2]]="L3e",2831,53508)))</f>
        <v>53508</v>
      </c>
      <c r="BB349" s="47" t="e">
        <f>(Tabla156[[#This Row],[CVA]]*Tabla156[[#This Row],[F]]-Tabla156[[#This Row],[CVN]])/100*Tabla156[[#This Row],[L]]</f>
        <v>#VALUE!</v>
      </c>
      <c r="BC349" s="1"/>
      <c r="BD349" s="1" t="e">
        <f>VLOOKUP(B349,Tabla467824[[ID CAE2]:[AE '[kWh']]],6,FALSE)</f>
        <v>#N/A</v>
      </c>
      <c r="BE349" s="1" t="str">
        <f>IF(Tabla156[[#This Row],[Tipo Contrato]]&lt;&gt;"Propiedad",IF(AND(Tabla156[[#This Row],[Contrato]]="x",Tabla156[[#This Row],[Acta Devolución]]="x",Tabla156[[#This Row],[Ficha Técnica]]="x"),"CORRECTO ALQUILER","FALSO ALQUILER"),IF(Tabla156[[#This Row],[Tipo Contrato]]="Propiedad",IF(AND(Tabla156[[#This Row],[Permiso de Circulación]]="x",Tabla156[[#This Row],[Ficha Técnica]]="x",Tabla156[[#This Row],[BAJA]]="x"),"CORRECTO PROPIEDAD","FALSO PROPIEDAD")))</f>
        <v>FALSO PROPIEDAD</v>
      </c>
    </row>
    <row r="350" spans="1:57" x14ac:dyDescent="0.2">
      <c r="C350" s="119"/>
      <c r="D350" s="105"/>
      <c r="E350" s="105"/>
      <c r="F350" s="105"/>
      <c r="G350" s="105"/>
      <c r="H350" s="105"/>
      <c r="I350" s="105"/>
      <c r="J350" s="105"/>
      <c r="K350" s="119"/>
      <c r="L350" s="119"/>
      <c r="M350" s="119"/>
      <c r="N350" s="119"/>
      <c r="O350" s="119"/>
      <c r="P350" s="120"/>
      <c r="Q350" s="120"/>
      <c r="R350" s="120"/>
      <c r="S350" s="119"/>
      <c r="T350" s="119"/>
      <c r="U350" s="119"/>
      <c r="V350" s="119"/>
      <c r="W350" s="119"/>
      <c r="X350" s="334"/>
      <c r="Y350" s="119"/>
      <c r="Z350" s="323"/>
      <c r="AA350" s="325"/>
      <c r="AB350" s="325"/>
      <c r="AC350" s="325"/>
      <c r="AD350" s="325"/>
      <c r="AE350" s="325"/>
      <c r="AF350" s="325"/>
      <c r="AG350" s="325"/>
      <c r="AH350" s="325"/>
      <c r="AI350" s="325"/>
      <c r="AJ350" s="324"/>
      <c r="AK350" s="121"/>
      <c r="AL350" s="121"/>
      <c r="AM350" s="323"/>
      <c r="AN350" s="326"/>
      <c r="AO350" s="327"/>
      <c r="AP350" s="324"/>
      <c r="AQ350" s="108"/>
      <c r="AR350" s="108"/>
      <c r="AS350" s="116"/>
      <c r="AT350" s="116"/>
      <c r="AU350" s="116"/>
      <c r="AV350" s="118"/>
      <c r="AW350" s="118"/>
      <c r="AX350" s="115"/>
      <c r="AY350" s="115"/>
      <c r="AZ350" s="115"/>
      <c r="BA350" s="123"/>
      <c r="BB350" s="319">
        <f>SUBTOTAL(109,Tabla156[Ahorro estimado])</f>
        <v>1776157.1000800009</v>
      </c>
      <c r="BC350" s="115"/>
      <c r="BD350" s="359">
        <f>SUBTOTAL(109,Tabla156[CALCULO GF])</f>
        <v>1489516.2144420003</v>
      </c>
      <c r="BE350" s="115"/>
    </row>
    <row r="354" spans="55:56" ht="12.75" customHeight="1" x14ac:dyDescent="0.2">
      <c r="BC354" s="46"/>
      <c r="BD354" s="46"/>
    </row>
  </sheetData>
  <autoFilter ref="A7:B217" xr:uid="{2CB01079-D86C-4324-993F-E540F6583F07}">
    <filterColumn colId="1">
      <filters>
        <filter val="CAE500002"/>
        <filter val="CAE500003"/>
        <filter val="CAE500004"/>
        <filter val="CAE500005"/>
        <filter val="CAE500006"/>
        <filter val="CAE500007"/>
        <filter val="CAE500008"/>
        <filter val="CAE500010"/>
        <filter val="CAE500011"/>
        <filter val="CAE500012"/>
        <filter val="CAE500013"/>
        <filter val="CAE500014"/>
        <filter val="CAE500015"/>
        <filter val="CAE500016"/>
        <filter val="CAE500017"/>
        <filter val="CAE500018"/>
        <filter val="CAE500019"/>
        <filter val="CAE500020"/>
        <filter val="CAE500030"/>
        <filter val="CAE500044"/>
        <filter val="CAE500045"/>
        <filter val="CAE500046"/>
        <filter val="CAE500047"/>
        <filter val="CAE500050"/>
        <filter val="CAE500051"/>
        <filter val="CAE500054"/>
        <filter val="CAE500055"/>
        <filter val="CAE500056"/>
        <filter val="CAE500057"/>
        <filter val="CAE500058"/>
        <filter val="CAE500059"/>
        <filter val="CAE500060"/>
        <filter val="CAE500061"/>
        <filter val="CAE500064"/>
        <filter val="CAE500065"/>
        <filter val="CAE500066"/>
        <filter val="CAE500067"/>
        <filter val="CAE500068"/>
        <filter val="CAE500069"/>
        <filter val="CAE500070"/>
        <filter val="CAE500071"/>
        <filter val="CAE500072"/>
        <filter val="CAE500074"/>
        <filter val="CAE500075"/>
        <filter val="CAE500077"/>
        <filter val="CAE500080"/>
        <filter val="CAE500081"/>
        <filter val="CAE500082"/>
        <filter val="CAE500083"/>
        <filter val="CAE500084"/>
        <filter val="CAE500086"/>
        <filter val="CAE500087"/>
        <filter val="CAE500088"/>
        <filter val="CAE500089"/>
        <filter val="CAE500091"/>
        <filter val="CAE500092"/>
        <filter val="CAE500093"/>
        <filter val="CAE500095"/>
        <filter val="CAE500097"/>
        <filter val="CAE500098"/>
        <filter val="CAE500099"/>
        <filter val="CAE500100"/>
        <filter val="CAE500101"/>
        <filter val="CAE500103"/>
        <filter val="CAE500104"/>
        <filter val="CAE500105"/>
        <filter val="CAE500106"/>
        <filter val="CAE500107"/>
        <filter val="CAE500108"/>
        <filter val="CAE500109"/>
        <filter val="CAE500110"/>
        <filter val="CAE500111"/>
        <filter val="CAE500112"/>
        <filter val="CAE500113"/>
        <filter val="CAE500114"/>
        <filter val="CAE500115"/>
        <filter val="CAE500116"/>
        <filter val="CAE500117"/>
        <filter val="CAE500119"/>
        <filter val="CAE500120"/>
        <filter val="CAE500121"/>
        <filter val="CAE500122"/>
        <filter val="CAE500123"/>
        <filter val="CAE500125"/>
        <filter val="CAE500126"/>
        <filter val="CAE500127"/>
        <filter val="CAE500128"/>
        <filter val="CAE500129"/>
        <filter val="CAE500130"/>
        <filter val="CAE500131"/>
        <filter val="CAE500132"/>
        <filter val="CAE500133"/>
        <filter val="CAE500134"/>
        <filter val="CAE500136"/>
        <filter val="CAE500137"/>
        <filter val="CAE500138"/>
        <filter val="CAE500139"/>
        <filter val="CAE500141"/>
        <filter val="CAE500143"/>
        <filter val="CAE500144"/>
        <filter val="CAE500145"/>
        <filter val="CAE500147"/>
        <filter val="CAE500148"/>
        <filter val="CAE500149"/>
        <filter val="CAE500150"/>
        <filter val="CAE500151"/>
        <filter val="CAE500152"/>
        <filter val="CAE500153"/>
        <filter val="CAE500154"/>
        <filter val="CAE500155"/>
        <filter val="CAE500156"/>
        <filter val="CAE500157"/>
        <filter val="CAE500159"/>
        <filter val="CAE500160"/>
        <filter val="CAE500161"/>
        <filter val="CAE500162"/>
        <filter val="CAE500163"/>
        <filter val="CAE500164"/>
        <filter val="CAE500165"/>
        <filter val="CAE500167"/>
        <filter val="CAE500168"/>
        <filter val="CAE500169"/>
        <filter val="CAE500170"/>
        <filter val="CAE500171"/>
        <filter val="CAE500172"/>
        <filter val="CAE500173"/>
        <filter val="CAE500174"/>
        <filter val="CAE500175"/>
        <filter val="CAE500176"/>
        <filter val="CAE500179"/>
        <filter val="CAE500180"/>
        <filter val="CAE500187"/>
        <filter val="CAE500188"/>
        <filter val="CAE500189"/>
        <filter val="CAE500190"/>
        <filter val="CAE500191"/>
        <filter val="CAE500192"/>
        <filter val="CAE500194"/>
        <filter val="CAE500196"/>
        <filter val="CAE500197"/>
        <filter val="CAE500198"/>
        <filter val="CAE500200"/>
        <filter val="CAE500201"/>
        <filter val="CAE500204"/>
        <filter val="CAE500208"/>
        <filter val="CAE500210"/>
      </filters>
    </filterColumn>
  </autoFilter>
  <mergeCells count="1">
    <mergeCell ref="C1:BB1"/>
  </mergeCells>
  <conditionalFormatting sqref="Q7:Q305">
    <cfRule type="cellIs" dxfId="1" priority="1" operator="lessThan">
      <formula>365</formula>
    </cfRule>
  </conditionalFormatting>
  <pageMargins left="0.70866141732283472" right="0.70866141732283472" top="0.74803149606299213" bottom="0.74803149606299213" header="0.31496062992125984" footer="0.31496062992125984"/>
  <pageSetup paperSize="9" orientation="landscape"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BF31-0145-4C7A-98AF-D718237F107F}">
  <dimension ref="B3:N29"/>
  <sheetViews>
    <sheetView zoomScale="85" zoomScaleNormal="85" workbookViewId="0">
      <selection activeCell="B10" sqref="B10"/>
    </sheetView>
  </sheetViews>
  <sheetFormatPr baseColWidth="10" defaultColWidth="11.42578125" defaultRowHeight="15" x14ac:dyDescent="0.25"/>
  <cols>
    <col min="2" max="2" width="27" bestFit="1" customWidth="1"/>
    <col min="3" max="4" width="27" customWidth="1"/>
    <col min="5" max="5" width="23.140625" bestFit="1" customWidth="1"/>
    <col min="6" max="9" width="23.140625" customWidth="1"/>
    <col min="10" max="10" width="16.140625" bestFit="1" customWidth="1"/>
    <col min="13" max="13" width="22.5703125" bestFit="1" customWidth="1"/>
    <col min="14" max="14" width="23.7109375" bestFit="1" customWidth="1"/>
    <col min="15" max="15" width="10.140625" bestFit="1" customWidth="1"/>
    <col min="16" max="16" width="23.28515625" bestFit="1" customWidth="1"/>
    <col min="17" max="17" width="12" bestFit="1" customWidth="1"/>
  </cols>
  <sheetData>
    <row r="3" spans="2:14" x14ac:dyDescent="0.25">
      <c r="B3" s="55" t="s">
        <v>30</v>
      </c>
      <c r="C3" s="55" t="s">
        <v>1651</v>
      </c>
      <c r="D3" s="55" t="s">
        <v>1652</v>
      </c>
      <c r="E3" s="55" t="s">
        <v>46</v>
      </c>
      <c r="F3" s="55" t="s">
        <v>1654</v>
      </c>
      <c r="G3" s="55" t="s">
        <v>1710</v>
      </c>
      <c r="H3" s="55" t="s">
        <v>1657</v>
      </c>
      <c r="I3" s="55" t="s">
        <v>1711</v>
      </c>
      <c r="J3" s="55" t="s">
        <v>1712</v>
      </c>
    </row>
    <row r="4" spans="2:14" x14ac:dyDescent="0.25">
      <c r="B4" s="53" t="s">
        <v>543</v>
      </c>
      <c r="C4" s="53"/>
      <c r="D4" s="53"/>
      <c r="E4" s="53" t="s">
        <v>91</v>
      </c>
      <c r="F4" s="53"/>
      <c r="G4" s="53"/>
      <c r="H4" s="53"/>
      <c r="I4" s="53"/>
      <c r="J4" s="54">
        <v>264.72680999999989</v>
      </c>
      <c r="M4" s="55" t="s">
        <v>46</v>
      </c>
      <c r="N4" s="55" t="s">
        <v>1713</v>
      </c>
    </row>
    <row r="5" spans="2:14" x14ac:dyDescent="0.25">
      <c r="B5" s="53" t="s">
        <v>404</v>
      </c>
      <c r="C5" s="53"/>
      <c r="D5" s="53"/>
      <c r="E5" s="53" t="s">
        <v>91</v>
      </c>
      <c r="F5" s="53"/>
      <c r="G5" s="53"/>
      <c r="H5" s="53"/>
      <c r="I5" s="53"/>
      <c r="J5" s="54">
        <v>4405.6010000000006</v>
      </c>
      <c r="M5" s="52" t="s">
        <v>1056</v>
      </c>
      <c r="N5" s="57">
        <v>534063.348</v>
      </c>
    </row>
    <row r="6" spans="2:14" x14ac:dyDescent="0.25">
      <c r="B6" s="53" t="s">
        <v>690</v>
      </c>
      <c r="C6" s="53"/>
      <c r="D6" s="53"/>
      <c r="E6" s="53" t="s">
        <v>109</v>
      </c>
      <c r="F6" s="53"/>
      <c r="G6" s="53"/>
      <c r="H6" s="53"/>
      <c r="I6" s="53"/>
      <c r="J6" s="54">
        <v>4928.5209999999997</v>
      </c>
      <c r="M6" s="52" t="s">
        <v>109</v>
      </c>
      <c r="N6" s="57">
        <v>236925.21100000001</v>
      </c>
    </row>
    <row r="7" spans="2:14" x14ac:dyDescent="0.25">
      <c r="B7" s="53" t="s">
        <v>470</v>
      </c>
      <c r="C7" s="53"/>
      <c r="D7" s="53"/>
      <c r="E7" s="53" t="s">
        <v>109</v>
      </c>
      <c r="F7" s="53"/>
      <c r="G7" s="53"/>
      <c r="H7" s="53"/>
      <c r="I7" s="53"/>
      <c r="J7" s="54">
        <v>5693.4</v>
      </c>
      <c r="M7" s="52" t="s">
        <v>91</v>
      </c>
      <c r="N7" s="57">
        <v>1005168.54108</v>
      </c>
    </row>
    <row r="8" spans="2:14" x14ac:dyDescent="0.25">
      <c r="B8" s="53" t="s">
        <v>986</v>
      </c>
      <c r="C8" s="53"/>
      <c r="D8" s="53"/>
      <c r="E8" s="53" t="s">
        <v>91</v>
      </c>
      <c r="F8" s="53"/>
      <c r="G8" s="53"/>
      <c r="H8" s="53"/>
      <c r="I8" s="53"/>
      <c r="J8" s="54">
        <v>6120.4049999999997</v>
      </c>
      <c r="N8" s="58">
        <f>SUM(N5:N7)</f>
        <v>1776157.10008</v>
      </c>
    </row>
    <row r="9" spans="2:14" x14ac:dyDescent="0.25">
      <c r="B9" s="53" t="s">
        <v>216</v>
      </c>
      <c r="C9" s="53"/>
      <c r="D9" s="53"/>
      <c r="E9" s="53" t="s">
        <v>91</v>
      </c>
      <c r="F9" s="53"/>
      <c r="G9" s="53"/>
      <c r="H9" s="53"/>
      <c r="I9" s="53"/>
      <c r="J9" s="54">
        <v>10245.952369999999</v>
      </c>
    </row>
    <row r="10" spans="2:14" x14ac:dyDescent="0.25">
      <c r="B10" s="53" t="s">
        <v>961</v>
      </c>
      <c r="C10" s="53"/>
      <c r="D10" s="53"/>
      <c r="E10" s="53" t="s">
        <v>91</v>
      </c>
      <c r="F10" s="53"/>
      <c r="G10" s="53"/>
      <c r="H10" s="53"/>
      <c r="I10" s="53"/>
      <c r="J10" s="54">
        <v>10526.006000000001</v>
      </c>
      <c r="M10" t="s">
        <v>1714</v>
      </c>
    </row>
    <row r="11" spans="2:14" x14ac:dyDescent="0.25">
      <c r="B11" s="53" t="s">
        <v>585</v>
      </c>
      <c r="C11" s="53"/>
      <c r="D11" s="53"/>
      <c r="E11" s="53" t="s">
        <v>91</v>
      </c>
      <c r="F11" s="53"/>
      <c r="G11" s="53"/>
      <c r="H11" s="53"/>
      <c r="I11" s="53"/>
      <c r="J11" s="54">
        <v>12240.81</v>
      </c>
      <c r="M11" t="s">
        <v>1715</v>
      </c>
    </row>
    <row r="12" spans="2:14" x14ac:dyDescent="0.25">
      <c r="B12" s="53" t="s">
        <v>82</v>
      </c>
      <c r="C12" s="53"/>
      <c r="D12" s="53"/>
      <c r="E12" s="53" t="s">
        <v>91</v>
      </c>
      <c r="F12" s="53"/>
      <c r="G12" s="53"/>
      <c r="H12" s="53"/>
      <c r="I12" s="53"/>
      <c r="J12" s="54">
        <v>36611.404479999997</v>
      </c>
    </row>
    <row r="13" spans="2:14" x14ac:dyDescent="0.25">
      <c r="B13" s="53" t="s">
        <v>309</v>
      </c>
      <c r="C13" s="53"/>
      <c r="D13" s="53"/>
      <c r="E13" s="53" t="s">
        <v>91</v>
      </c>
      <c r="F13" s="53"/>
      <c r="G13" s="53"/>
      <c r="H13" s="53"/>
      <c r="I13" s="53"/>
      <c r="J13" s="54">
        <v>39413.226999999999</v>
      </c>
    </row>
    <row r="14" spans="2:14" x14ac:dyDescent="0.25">
      <c r="B14" s="53" t="s">
        <v>205</v>
      </c>
      <c r="C14" s="53"/>
      <c r="D14" s="53"/>
      <c r="E14" s="53" t="s">
        <v>91</v>
      </c>
      <c r="F14" s="53"/>
      <c r="G14" s="53"/>
      <c r="H14" s="53"/>
      <c r="I14" s="53"/>
      <c r="J14" s="54">
        <v>39575.616650000004</v>
      </c>
    </row>
    <row r="15" spans="2:14" x14ac:dyDescent="0.25">
      <c r="B15" s="53" t="s">
        <v>337</v>
      </c>
      <c r="C15" s="53"/>
      <c r="D15" s="53"/>
      <c r="E15" s="53" t="s">
        <v>91</v>
      </c>
      <c r="F15" s="53"/>
      <c r="G15" s="53"/>
      <c r="H15" s="53"/>
      <c r="I15" s="53"/>
      <c r="J15" s="54">
        <v>67721.37410999999</v>
      </c>
    </row>
    <row r="16" spans="2:14" x14ac:dyDescent="0.25">
      <c r="B16" s="53" t="s">
        <v>132</v>
      </c>
      <c r="C16" s="53"/>
      <c r="D16" s="53"/>
      <c r="E16" s="53" t="s">
        <v>91</v>
      </c>
      <c r="F16" s="53"/>
      <c r="G16" s="53"/>
      <c r="H16" s="53"/>
      <c r="I16" s="53"/>
      <c r="J16" s="54">
        <v>75632.159999999989</v>
      </c>
    </row>
    <row r="17" spans="2:14" x14ac:dyDescent="0.25">
      <c r="B17" s="53" t="s">
        <v>120</v>
      </c>
      <c r="C17" s="53"/>
      <c r="D17" s="53"/>
      <c r="E17" s="53" t="s">
        <v>91</v>
      </c>
      <c r="F17" s="53"/>
      <c r="G17" s="53"/>
      <c r="H17" s="53"/>
      <c r="I17" s="53"/>
      <c r="J17" s="54">
        <v>126899.22185</v>
      </c>
    </row>
    <row r="18" spans="2:14" x14ac:dyDescent="0.25">
      <c r="B18" s="53" t="s">
        <v>103</v>
      </c>
      <c r="C18" s="53"/>
      <c r="D18" s="53"/>
      <c r="E18" s="53" t="s">
        <v>109</v>
      </c>
      <c r="F18" s="53"/>
      <c r="G18" s="53"/>
      <c r="H18" s="53"/>
      <c r="I18" s="53"/>
      <c r="J18" s="54">
        <v>226303.29</v>
      </c>
    </row>
    <row r="19" spans="2:14" x14ac:dyDescent="0.25">
      <c r="B19" s="53" t="s">
        <v>1051</v>
      </c>
      <c r="C19" s="53"/>
      <c r="D19" s="53"/>
      <c r="E19" s="53" t="s">
        <v>1056</v>
      </c>
      <c r="F19" s="53"/>
      <c r="G19" s="53"/>
      <c r="H19" s="53"/>
      <c r="I19" s="53"/>
      <c r="J19" s="54">
        <v>534063.348</v>
      </c>
    </row>
    <row r="20" spans="2:14" x14ac:dyDescent="0.25">
      <c r="B20" s="53" t="s">
        <v>191</v>
      </c>
      <c r="C20" s="53"/>
      <c r="D20" s="53"/>
      <c r="E20" s="53" t="s">
        <v>91</v>
      </c>
      <c r="F20" s="53"/>
      <c r="G20" s="53"/>
      <c r="H20" s="53"/>
      <c r="I20" s="53"/>
      <c r="J20" s="54">
        <v>575512.03581000003</v>
      </c>
    </row>
    <row r="21" spans="2:14" x14ac:dyDescent="0.25">
      <c r="B21" s="53" t="s">
        <v>1716</v>
      </c>
      <c r="C21" s="53"/>
      <c r="D21" s="53"/>
      <c r="E21" s="53"/>
      <c r="F21" s="53"/>
      <c r="G21" s="53"/>
      <c r="H21" s="53"/>
      <c r="I21" s="53"/>
      <c r="J21" s="59">
        <f>SUM(J4:J20)</f>
        <v>1776157.10008</v>
      </c>
    </row>
    <row r="26" spans="2:14" x14ac:dyDescent="0.25">
      <c r="M26" s="51" t="s">
        <v>1056</v>
      </c>
      <c r="N26" s="56">
        <v>534063.348</v>
      </c>
    </row>
    <row r="27" spans="2:14" x14ac:dyDescent="0.25">
      <c r="M27" s="51" t="s">
        <v>109</v>
      </c>
      <c r="N27" s="56">
        <v>236925.21100000001</v>
      </c>
    </row>
    <row r="28" spans="2:14" x14ac:dyDescent="0.25">
      <c r="M28" s="51" t="s">
        <v>91</v>
      </c>
      <c r="N28" s="56">
        <v>1005168.54108</v>
      </c>
    </row>
    <row r="29" spans="2:14" x14ac:dyDescent="0.25">
      <c r="M29" s="85" t="s">
        <v>1716</v>
      </c>
      <c r="N29" s="86">
        <v>1776157.10008</v>
      </c>
    </row>
  </sheetData>
  <conditionalFormatting sqref="J4:J20">
    <cfRule type="cellIs" dxfId="0" priority="1" operator="lessThan">
      <formula>30000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A25E-8A33-4D0E-9F8A-15704BA798E2}">
  <dimension ref="A1:B224"/>
  <sheetViews>
    <sheetView topLeftCell="A218" workbookViewId="0"/>
  </sheetViews>
  <sheetFormatPr baseColWidth="10" defaultColWidth="11.42578125" defaultRowHeight="15" x14ac:dyDescent="0.25"/>
  <cols>
    <col min="1" max="1" width="11" customWidth="1"/>
    <col min="2" max="2" width="17.140625" bestFit="1" customWidth="1"/>
  </cols>
  <sheetData>
    <row r="1" spans="1:2" ht="36" x14ac:dyDescent="0.25">
      <c r="A1" s="125" t="s">
        <v>1717</v>
      </c>
      <c r="B1" s="125" t="s">
        <v>1718</v>
      </c>
    </row>
    <row r="2" spans="1:2" x14ac:dyDescent="0.25">
      <c r="A2" s="126" t="s">
        <v>302</v>
      </c>
      <c r="B2" s="127" t="s">
        <v>305</v>
      </c>
    </row>
    <row r="3" spans="1:2" x14ac:dyDescent="0.25">
      <c r="A3" s="126" t="s">
        <v>134</v>
      </c>
      <c r="B3" s="127" t="s">
        <v>137</v>
      </c>
    </row>
    <row r="4" spans="1:2" x14ac:dyDescent="0.25">
      <c r="A4" s="126" t="s">
        <v>185</v>
      </c>
      <c r="B4" s="127" t="s">
        <v>187</v>
      </c>
    </row>
    <row r="5" spans="1:2" x14ac:dyDescent="0.25">
      <c r="A5" s="126" t="s">
        <v>545</v>
      </c>
      <c r="B5" s="127" t="s">
        <v>549</v>
      </c>
    </row>
    <row r="6" spans="1:2" x14ac:dyDescent="0.25">
      <c r="A6" s="126" t="s">
        <v>668</v>
      </c>
      <c r="B6" s="127" t="s">
        <v>671</v>
      </c>
    </row>
    <row r="7" spans="1:2" x14ac:dyDescent="0.25">
      <c r="A7" s="126" t="s">
        <v>387</v>
      </c>
      <c r="B7" s="127" t="s">
        <v>389</v>
      </c>
    </row>
    <row r="8" spans="1:2" x14ac:dyDescent="0.25">
      <c r="A8" s="126" t="s">
        <v>616</v>
      </c>
      <c r="B8" s="127" t="s">
        <v>619</v>
      </c>
    </row>
    <row r="9" spans="1:2" x14ac:dyDescent="0.25">
      <c r="A9" s="126" t="s">
        <v>944</v>
      </c>
      <c r="B9" s="127" t="s">
        <v>946</v>
      </c>
    </row>
    <row r="10" spans="1:2" x14ac:dyDescent="0.25">
      <c r="A10" s="126" t="s">
        <v>963</v>
      </c>
      <c r="B10" s="127" t="s">
        <v>965</v>
      </c>
    </row>
    <row r="11" spans="1:2" x14ac:dyDescent="0.25">
      <c r="A11" s="126" t="s">
        <v>311</v>
      </c>
      <c r="B11" s="127" t="s">
        <v>313</v>
      </c>
    </row>
    <row r="12" spans="1:2" x14ac:dyDescent="0.25">
      <c r="A12" s="126" t="s">
        <v>828</v>
      </c>
      <c r="B12" s="127" t="s">
        <v>831</v>
      </c>
    </row>
    <row r="13" spans="1:2" x14ac:dyDescent="0.25">
      <c r="A13" s="126" t="s">
        <v>1414</v>
      </c>
      <c r="B13" s="127" t="s">
        <v>1719</v>
      </c>
    </row>
    <row r="14" spans="1:2" x14ac:dyDescent="0.25">
      <c r="A14" s="126" t="s">
        <v>903</v>
      </c>
      <c r="B14" s="127" t="s">
        <v>905</v>
      </c>
    </row>
    <row r="15" spans="1:2" x14ac:dyDescent="0.25">
      <c r="A15" s="126" t="s">
        <v>1720</v>
      </c>
      <c r="B15" s="127" t="s">
        <v>1721</v>
      </c>
    </row>
    <row r="16" spans="1:2" x14ac:dyDescent="0.25">
      <c r="A16" s="126" t="s">
        <v>494</v>
      </c>
      <c r="B16" s="127" t="s">
        <v>497</v>
      </c>
    </row>
    <row r="17" spans="1:2" x14ac:dyDescent="0.25">
      <c r="A17" s="126" t="s">
        <v>317</v>
      </c>
      <c r="B17" s="127" t="s">
        <v>320</v>
      </c>
    </row>
    <row r="18" spans="1:2" x14ac:dyDescent="0.25">
      <c r="A18" s="126" t="s">
        <v>84</v>
      </c>
      <c r="B18" s="127" t="s">
        <v>92</v>
      </c>
    </row>
    <row r="19" spans="1:2" x14ac:dyDescent="0.25">
      <c r="A19" s="126" t="s">
        <v>1722</v>
      </c>
      <c r="B19" s="127" t="s">
        <v>1723</v>
      </c>
    </row>
    <row r="20" spans="1:2" x14ac:dyDescent="0.25">
      <c r="A20" s="126" t="s">
        <v>330</v>
      </c>
      <c r="B20" s="127" t="s">
        <v>333</v>
      </c>
    </row>
    <row r="21" spans="1:2" x14ac:dyDescent="0.25">
      <c r="A21" s="126" t="s">
        <v>122</v>
      </c>
      <c r="B21" s="127" t="s">
        <v>125</v>
      </c>
    </row>
    <row r="22" spans="1:2" x14ac:dyDescent="0.25">
      <c r="A22" s="126" t="s">
        <v>1724</v>
      </c>
      <c r="B22" s="127" t="s">
        <v>1725</v>
      </c>
    </row>
    <row r="23" spans="1:2" x14ac:dyDescent="0.25">
      <c r="A23" s="126" t="s">
        <v>1416</v>
      </c>
      <c r="B23" s="127" t="s">
        <v>1726</v>
      </c>
    </row>
    <row r="24" spans="1:2" x14ac:dyDescent="0.25">
      <c r="A24" s="126" t="s">
        <v>896</v>
      </c>
      <c r="B24" s="127" t="s">
        <v>899</v>
      </c>
    </row>
    <row r="25" spans="1:2" x14ac:dyDescent="0.25">
      <c r="A25" s="126" t="s">
        <v>1727</v>
      </c>
      <c r="B25" s="127" t="s">
        <v>1728</v>
      </c>
    </row>
    <row r="26" spans="1:2" x14ac:dyDescent="0.25">
      <c r="A26" s="126" t="s">
        <v>765</v>
      </c>
      <c r="B26" s="127" t="s">
        <v>766</v>
      </c>
    </row>
    <row r="27" spans="1:2" x14ac:dyDescent="0.25">
      <c r="A27" s="126" t="s">
        <v>193</v>
      </c>
      <c r="B27" s="127" t="s">
        <v>196</v>
      </c>
    </row>
    <row r="28" spans="1:2" x14ac:dyDescent="0.25">
      <c r="A28" s="126" t="s">
        <v>1729</v>
      </c>
      <c r="B28" s="127" t="s">
        <v>1730</v>
      </c>
    </row>
    <row r="29" spans="1:2" x14ac:dyDescent="0.25">
      <c r="A29" s="126" t="s">
        <v>1731</v>
      </c>
      <c r="B29" s="127" t="s">
        <v>1732</v>
      </c>
    </row>
    <row r="30" spans="1:2" x14ac:dyDescent="0.25">
      <c r="A30" s="126" t="s">
        <v>1408</v>
      </c>
      <c r="B30" s="127" t="s">
        <v>1733</v>
      </c>
    </row>
    <row r="31" spans="1:2" x14ac:dyDescent="0.25">
      <c r="A31" s="126" t="s">
        <v>96</v>
      </c>
      <c r="B31" s="127" t="s">
        <v>98</v>
      </c>
    </row>
    <row r="32" spans="1:2" x14ac:dyDescent="0.25">
      <c r="A32" s="126" t="s">
        <v>173</v>
      </c>
      <c r="B32" s="127" t="s">
        <v>176</v>
      </c>
    </row>
    <row r="33" spans="1:2" x14ac:dyDescent="0.25">
      <c r="A33" s="126" t="s">
        <v>1061</v>
      </c>
      <c r="B33" s="127" t="s">
        <v>1063</v>
      </c>
    </row>
    <row r="34" spans="1:2" x14ac:dyDescent="0.25">
      <c r="A34" s="126" t="s">
        <v>976</v>
      </c>
      <c r="B34" s="127" t="s">
        <v>977</v>
      </c>
    </row>
    <row r="35" spans="1:2" x14ac:dyDescent="0.25">
      <c r="A35" s="126" t="s">
        <v>1734</v>
      </c>
      <c r="B35" s="127" t="s">
        <v>1735</v>
      </c>
    </row>
    <row r="36" spans="1:2" x14ac:dyDescent="0.25">
      <c r="A36" s="126" t="s">
        <v>1736</v>
      </c>
      <c r="B36" s="127" t="s">
        <v>1737</v>
      </c>
    </row>
    <row r="37" spans="1:2" x14ac:dyDescent="0.25">
      <c r="A37" s="126" t="s">
        <v>1738</v>
      </c>
      <c r="B37" s="127" t="s">
        <v>1739</v>
      </c>
    </row>
    <row r="38" spans="1:2" x14ac:dyDescent="0.25">
      <c r="A38" s="126" t="s">
        <v>861</v>
      </c>
      <c r="B38" s="127" t="s">
        <v>863</v>
      </c>
    </row>
    <row r="39" spans="1:2" x14ac:dyDescent="0.25">
      <c r="A39" s="126" t="s">
        <v>418</v>
      </c>
      <c r="B39" s="127" t="s">
        <v>421</v>
      </c>
    </row>
    <row r="40" spans="1:2" x14ac:dyDescent="0.25">
      <c r="A40" s="126" t="s">
        <v>1042</v>
      </c>
      <c r="B40" s="127" t="s">
        <v>1044</v>
      </c>
    </row>
    <row r="41" spans="1:2" x14ac:dyDescent="0.25">
      <c r="A41" s="126" t="s">
        <v>972</v>
      </c>
      <c r="B41" s="127" t="s">
        <v>973</v>
      </c>
    </row>
    <row r="42" spans="1:2" x14ac:dyDescent="0.25">
      <c r="A42" s="126" t="s">
        <v>1740</v>
      </c>
      <c r="B42" s="127" t="s">
        <v>1741</v>
      </c>
    </row>
    <row r="43" spans="1:2" x14ac:dyDescent="0.25">
      <c r="A43" s="126" t="s">
        <v>1742</v>
      </c>
      <c r="B43" s="127" t="s">
        <v>1743</v>
      </c>
    </row>
    <row r="44" spans="1:2" x14ac:dyDescent="0.25">
      <c r="A44" s="126" t="s">
        <v>1744</v>
      </c>
      <c r="B44" s="127" t="s">
        <v>1745</v>
      </c>
    </row>
    <row r="45" spans="1:2" x14ac:dyDescent="0.25">
      <c r="A45" s="126" t="s">
        <v>708</v>
      </c>
      <c r="B45" s="127" t="s">
        <v>710</v>
      </c>
    </row>
    <row r="46" spans="1:2" x14ac:dyDescent="0.25">
      <c r="A46" s="126" t="s">
        <v>1053</v>
      </c>
      <c r="B46" s="127" t="s">
        <v>1057</v>
      </c>
    </row>
    <row r="47" spans="1:2" x14ac:dyDescent="0.25">
      <c r="A47" s="126" t="s">
        <v>1005</v>
      </c>
      <c r="B47" s="127" t="s">
        <v>1006</v>
      </c>
    </row>
    <row r="48" spans="1:2" x14ac:dyDescent="0.25">
      <c r="A48" s="126" t="s">
        <v>759</v>
      </c>
      <c r="B48" s="127" t="s">
        <v>762</v>
      </c>
    </row>
    <row r="49" spans="1:2" x14ac:dyDescent="0.25">
      <c r="A49" s="126" t="s">
        <v>968</v>
      </c>
      <c r="B49" s="127" t="s">
        <v>969</v>
      </c>
    </row>
    <row r="50" spans="1:2" x14ac:dyDescent="0.25">
      <c r="A50" s="126" t="s">
        <v>988</v>
      </c>
      <c r="B50" s="127" t="s">
        <v>990</v>
      </c>
    </row>
    <row r="51" spans="1:2" x14ac:dyDescent="0.25">
      <c r="A51" s="126" t="s">
        <v>1746</v>
      </c>
      <c r="B51" s="127" t="s">
        <v>1747</v>
      </c>
    </row>
    <row r="52" spans="1:2" x14ac:dyDescent="0.25">
      <c r="A52" s="126" t="s">
        <v>1748</v>
      </c>
      <c r="B52" s="127" t="s">
        <v>1749</v>
      </c>
    </row>
    <row r="53" spans="1:2" x14ac:dyDescent="0.25">
      <c r="A53" s="126" t="s">
        <v>1750</v>
      </c>
      <c r="B53" s="127" t="s">
        <v>1751</v>
      </c>
    </row>
    <row r="54" spans="1:2" x14ac:dyDescent="0.25">
      <c r="A54" s="126" t="s">
        <v>834</v>
      </c>
      <c r="B54" s="127" t="s">
        <v>837</v>
      </c>
    </row>
    <row r="55" spans="1:2" x14ac:dyDescent="0.25">
      <c r="A55" s="126" t="s">
        <v>1017</v>
      </c>
      <c r="B55" s="127" t="s">
        <v>1019</v>
      </c>
    </row>
    <row r="56" spans="1:2" x14ac:dyDescent="0.25">
      <c r="A56" s="126" t="s">
        <v>733</v>
      </c>
      <c r="B56" s="127" t="s">
        <v>735</v>
      </c>
    </row>
    <row r="57" spans="1:2" x14ac:dyDescent="0.25">
      <c r="A57" s="126" t="s">
        <v>179</v>
      </c>
      <c r="B57" s="127" t="s">
        <v>182</v>
      </c>
    </row>
    <row r="58" spans="1:2" x14ac:dyDescent="0.25">
      <c r="A58" s="126" t="s">
        <v>398</v>
      </c>
      <c r="B58" s="127" t="s">
        <v>400</v>
      </c>
    </row>
    <row r="59" spans="1:2" x14ac:dyDescent="0.25">
      <c r="A59" s="126" t="s">
        <v>981</v>
      </c>
      <c r="B59" s="127" t="s">
        <v>982</v>
      </c>
    </row>
    <row r="60" spans="1:2" x14ac:dyDescent="0.25">
      <c r="A60" s="126" t="s">
        <v>697</v>
      </c>
      <c r="B60" s="127" t="s">
        <v>700</v>
      </c>
    </row>
    <row r="61" spans="1:2" x14ac:dyDescent="0.25">
      <c r="A61" s="126" t="s">
        <v>623</v>
      </c>
      <c r="B61" s="127" t="s">
        <v>625</v>
      </c>
    </row>
    <row r="62" spans="1:2" x14ac:dyDescent="0.25">
      <c r="A62" s="126" t="s">
        <v>1332</v>
      </c>
      <c r="B62" s="127" t="s">
        <v>1752</v>
      </c>
    </row>
    <row r="63" spans="1:2" x14ac:dyDescent="0.25">
      <c r="A63" s="126" t="s">
        <v>587</v>
      </c>
      <c r="B63" s="128" t="s">
        <v>590</v>
      </c>
    </row>
    <row r="64" spans="1:2" x14ac:dyDescent="0.25">
      <c r="A64" s="126" t="s">
        <v>1379</v>
      </c>
      <c r="B64" s="127" t="s">
        <v>1753</v>
      </c>
    </row>
    <row r="65" spans="1:2" x14ac:dyDescent="0.25">
      <c r="A65" s="126" t="s">
        <v>954</v>
      </c>
      <c r="B65" s="127" t="s">
        <v>957</v>
      </c>
    </row>
    <row r="66" spans="1:2" x14ac:dyDescent="0.25">
      <c r="A66" s="126" t="s">
        <v>1754</v>
      </c>
      <c r="B66" s="127" t="s">
        <v>1755</v>
      </c>
    </row>
    <row r="67" spans="1:2" x14ac:dyDescent="0.25">
      <c r="A67" s="126" t="s">
        <v>488</v>
      </c>
      <c r="B67" s="127" t="s">
        <v>490</v>
      </c>
    </row>
    <row r="68" spans="1:2" x14ac:dyDescent="0.25">
      <c r="A68" s="126" t="s">
        <v>720</v>
      </c>
      <c r="B68" s="127" t="s">
        <v>722</v>
      </c>
    </row>
    <row r="69" spans="1:2" x14ac:dyDescent="0.25">
      <c r="A69" s="126" t="s">
        <v>393</v>
      </c>
      <c r="B69" s="127" t="s">
        <v>395</v>
      </c>
    </row>
    <row r="70" spans="1:2" x14ac:dyDescent="0.25">
      <c r="A70" s="126" t="s">
        <v>1756</v>
      </c>
      <c r="B70" s="127" t="s">
        <v>1757</v>
      </c>
    </row>
    <row r="71" spans="1:2" x14ac:dyDescent="0.25">
      <c r="A71" s="126" t="s">
        <v>856</v>
      </c>
      <c r="B71" s="127" t="s">
        <v>858</v>
      </c>
    </row>
    <row r="72" spans="1:2" x14ac:dyDescent="0.25">
      <c r="A72" s="126" t="s">
        <v>1758</v>
      </c>
      <c r="B72" s="127" t="s">
        <v>1759</v>
      </c>
    </row>
    <row r="73" spans="1:2" x14ac:dyDescent="0.25">
      <c r="A73" s="126" t="s">
        <v>1760</v>
      </c>
      <c r="B73" s="127" t="s">
        <v>1761</v>
      </c>
    </row>
    <row r="74" spans="1:2" x14ac:dyDescent="0.25">
      <c r="A74" s="126" t="s">
        <v>1762</v>
      </c>
      <c r="B74" s="127" t="s">
        <v>1763</v>
      </c>
    </row>
    <row r="75" spans="1:2" x14ac:dyDescent="0.25">
      <c r="A75" s="126" t="s">
        <v>636</v>
      </c>
      <c r="B75" s="127" t="s">
        <v>639</v>
      </c>
    </row>
    <row r="76" spans="1:2" x14ac:dyDescent="0.25">
      <c r="A76" s="126" t="s">
        <v>1764</v>
      </c>
      <c r="B76" s="127" t="s">
        <v>1765</v>
      </c>
    </row>
    <row r="77" spans="1:2" x14ac:dyDescent="0.25">
      <c r="A77" s="126" t="s">
        <v>165</v>
      </c>
      <c r="B77" s="127" t="s">
        <v>167</v>
      </c>
    </row>
    <row r="78" spans="1:2" x14ac:dyDescent="0.25">
      <c r="A78" s="126" t="s">
        <v>949</v>
      </c>
      <c r="B78" s="127" t="s">
        <v>951</v>
      </c>
    </row>
    <row r="79" spans="1:2" x14ac:dyDescent="0.25">
      <c r="A79" s="126" t="s">
        <v>1011</v>
      </c>
      <c r="B79" s="127" t="s">
        <v>1013</v>
      </c>
    </row>
    <row r="80" spans="1:2" x14ac:dyDescent="0.25">
      <c r="A80" s="126" t="s">
        <v>519</v>
      </c>
      <c r="B80" s="127" t="s">
        <v>521</v>
      </c>
    </row>
    <row r="81" spans="1:2" x14ac:dyDescent="0.25">
      <c r="A81" s="126" t="s">
        <v>324</v>
      </c>
      <c r="B81" s="127" t="s">
        <v>327</v>
      </c>
    </row>
    <row r="82" spans="1:2" x14ac:dyDescent="0.25">
      <c r="A82" s="126" t="s">
        <v>1404</v>
      </c>
      <c r="B82" s="127" t="s">
        <v>1766</v>
      </c>
    </row>
    <row r="83" spans="1:2" x14ac:dyDescent="0.25">
      <c r="A83" s="126" t="s">
        <v>1090</v>
      </c>
      <c r="B83" s="127" t="s">
        <v>1092</v>
      </c>
    </row>
    <row r="84" spans="1:2" x14ac:dyDescent="0.25">
      <c r="A84" s="126" t="s">
        <v>1767</v>
      </c>
      <c r="B84" s="127" t="s">
        <v>1768</v>
      </c>
    </row>
    <row r="85" spans="1:2" x14ac:dyDescent="0.25">
      <c r="A85" s="126" t="s">
        <v>142</v>
      </c>
      <c r="B85" s="127" t="s">
        <v>145</v>
      </c>
    </row>
    <row r="86" spans="1:2" x14ac:dyDescent="0.25">
      <c r="A86" s="126" t="s">
        <v>1074</v>
      </c>
      <c r="B86" s="127" t="s">
        <v>1077</v>
      </c>
    </row>
    <row r="87" spans="1:2" x14ac:dyDescent="0.25">
      <c r="A87" s="126" t="s">
        <v>406</v>
      </c>
      <c r="B87" s="127" t="s">
        <v>409</v>
      </c>
    </row>
    <row r="88" spans="1:2" x14ac:dyDescent="0.25">
      <c r="A88" s="126" t="s">
        <v>1769</v>
      </c>
      <c r="B88" s="127" t="s">
        <v>1770</v>
      </c>
    </row>
    <row r="89" spans="1:2" x14ac:dyDescent="0.25">
      <c r="A89" s="126" t="s">
        <v>703</v>
      </c>
      <c r="B89" s="127" t="s">
        <v>705</v>
      </c>
    </row>
    <row r="90" spans="1:2" x14ac:dyDescent="0.25">
      <c r="A90" s="126" t="s">
        <v>994</v>
      </c>
      <c r="B90" s="130" t="s">
        <v>996</v>
      </c>
    </row>
    <row r="91" spans="1:2" x14ac:dyDescent="0.25">
      <c r="A91" s="126" t="s">
        <v>713</v>
      </c>
      <c r="B91" s="127" t="s">
        <v>716</v>
      </c>
    </row>
    <row r="92" spans="1:2" x14ac:dyDescent="0.25">
      <c r="A92" s="126" t="s">
        <v>999</v>
      </c>
      <c r="B92" s="127" t="s">
        <v>1001</v>
      </c>
    </row>
    <row r="93" spans="1:2" x14ac:dyDescent="0.25">
      <c r="A93" s="126" t="s">
        <v>747</v>
      </c>
      <c r="B93" s="131" t="s">
        <v>749</v>
      </c>
    </row>
    <row r="94" spans="1:2" x14ac:dyDescent="0.25">
      <c r="A94" s="126" t="s">
        <v>478</v>
      </c>
      <c r="B94" s="131" t="s">
        <v>480</v>
      </c>
    </row>
    <row r="95" spans="1:2" x14ac:dyDescent="0.25">
      <c r="A95" s="126" t="s">
        <v>1036</v>
      </c>
      <c r="B95" s="131" t="s">
        <v>1038</v>
      </c>
    </row>
    <row r="96" spans="1:2" x14ac:dyDescent="0.25">
      <c r="A96" s="126" t="s">
        <v>1771</v>
      </c>
      <c r="B96" s="131" t="s">
        <v>1772</v>
      </c>
    </row>
    <row r="97" spans="1:2" x14ac:dyDescent="0.25">
      <c r="A97" s="126" t="s">
        <v>367</v>
      </c>
      <c r="B97" s="131" t="s">
        <v>370</v>
      </c>
    </row>
    <row r="98" spans="1:2" x14ac:dyDescent="0.25">
      <c r="A98" s="126" t="s">
        <v>1773</v>
      </c>
      <c r="B98" s="131" t="s">
        <v>1774</v>
      </c>
    </row>
    <row r="99" spans="1:2" x14ac:dyDescent="0.25">
      <c r="A99" s="126" t="s">
        <v>1775</v>
      </c>
      <c r="B99" s="131" t="s">
        <v>1776</v>
      </c>
    </row>
    <row r="100" spans="1:2" x14ac:dyDescent="0.25">
      <c r="A100" s="126" t="s">
        <v>1777</v>
      </c>
      <c r="B100" s="131" t="s">
        <v>1778</v>
      </c>
    </row>
    <row r="101" spans="1:2" x14ac:dyDescent="0.25">
      <c r="A101" s="126" t="s">
        <v>1779</v>
      </c>
      <c r="B101" s="131" t="s">
        <v>1780</v>
      </c>
    </row>
    <row r="102" spans="1:2" x14ac:dyDescent="0.25">
      <c r="A102" s="126" t="s">
        <v>1781</v>
      </c>
      <c r="B102" s="131" t="s">
        <v>1782</v>
      </c>
    </row>
    <row r="103" spans="1:2" x14ac:dyDescent="0.25">
      <c r="A103" s="126" t="s">
        <v>1783</v>
      </c>
      <c r="B103" s="131" t="s">
        <v>1784</v>
      </c>
    </row>
    <row r="104" spans="1:2" x14ac:dyDescent="0.25">
      <c r="A104" s="126" t="s">
        <v>238</v>
      </c>
      <c r="B104" s="131" t="s">
        <v>240</v>
      </c>
    </row>
    <row r="105" spans="1:2" x14ac:dyDescent="0.25">
      <c r="A105" s="126" t="s">
        <v>1785</v>
      </c>
      <c r="B105" s="131" t="s">
        <v>1786</v>
      </c>
    </row>
    <row r="106" spans="1:2" x14ac:dyDescent="0.25">
      <c r="A106" s="126" t="s">
        <v>1787</v>
      </c>
      <c r="B106" s="131" t="s">
        <v>1788</v>
      </c>
    </row>
    <row r="107" spans="1:2" x14ac:dyDescent="0.25">
      <c r="A107" s="126" t="s">
        <v>1789</v>
      </c>
      <c r="B107" s="131" t="s">
        <v>1790</v>
      </c>
    </row>
    <row r="108" spans="1:2" x14ac:dyDescent="0.25">
      <c r="A108" s="126" t="s">
        <v>1791</v>
      </c>
      <c r="B108" s="131" t="s">
        <v>1792</v>
      </c>
    </row>
    <row r="109" spans="1:2" x14ac:dyDescent="0.25">
      <c r="A109" s="126" t="s">
        <v>1793</v>
      </c>
      <c r="B109" s="131" t="s">
        <v>1794</v>
      </c>
    </row>
    <row r="110" spans="1:2" x14ac:dyDescent="0.25">
      <c r="A110" s="126" t="s">
        <v>1096</v>
      </c>
      <c r="B110" s="131" t="s">
        <v>1098</v>
      </c>
    </row>
    <row r="111" spans="1:2" x14ac:dyDescent="0.25">
      <c r="A111" s="126" t="s">
        <v>1795</v>
      </c>
      <c r="B111" s="131" t="s">
        <v>1796</v>
      </c>
    </row>
    <row r="112" spans="1:2" x14ac:dyDescent="0.25">
      <c r="A112" s="126" t="s">
        <v>207</v>
      </c>
      <c r="B112" s="131" t="s">
        <v>210</v>
      </c>
    </row>
    <row r="113" spans="1:2" x14ac:dyDescent="0.25">
      <c r="A113" s="126" t="s">
        <v>272</v>
      </c>
      <c r="B113" s="131" t="s">
        <v>274</v>
      </c>
    </row>
    <row r="114" spans="1:2" x14ac:dyDescent="0.25">
      <c r="A114" s="126" t="s">
        <v>251</v>
      </c>
      <c r="B114" s="131" t="s">
        <v>254</v>
      </c>
    </row>
    <row r="115" spans="1:2" x14ac:dyDescent="0.25">
      <c r="A115" s="126" t="s">
        <v>266</v>
      </c>
      <c r="B115" s="131" t="s">
        <v>269</v>
      </c>
    </row>
    <row r="116" spans="1:2" x14ac:dyDescent="0.25">
      <c r="A116" s="126" t="s">
        <v>259</v>
      </c>
      <c r="B116" s="131" t="s">
        <v>262</v>
      </c>
    </row>
    <row r="117" spans="1:2" x14ac:dyDescent="0.25">
      <c r="A117" s="126" t="s">
        <v>1797</v>
      </c>
      <c r="B117" s="131" t="s">
        <v>1798</v>
      </c>
    </row>
    <row r="118" spans="1:2" x14ac:dyDescent="0.25">
      <c r="A118" s="126" t="s">
        <v>919</v>
      </c>
      <c r="B118" s="131" t="s">
        <v>921</v>
      </c>
    </row>
    <row r="119" spans="1:2" ht="24" x14ac:dyDescent="0.25">
      <c r="A119" s="126" t="s">
        <v>1799</v>
      </c>
      <c r="B119" s="132" t="s">
        <v>1800</v>
      </c>
    </row>
    <row r="120" spans="1:2" x14ac:dyDescent="0.25">
      <c r="A120" s="126" t="s">
        <v>244</v>
      </c>
      <c r="B120" s="131" t="s">
        <v>246</v>
      </c>
    </row>
    <row r="121" spans="1:2" x14ac:dyDescent="0.25">
      <c r="A121" s="126" t="s">
        <v>1109</v>
      </c>
      <c r="B121" s="131" t="s">
        <v>1111</v>
      </c>
    </row>
    <row r="122" spans="1:2" x14ac:dyDescent="0.25">
      <c r="A122" s="126" t="s">
        <v>683</v>
      </c>
      <c r="B122" s="131" t="s">
        <v>685</v>
      </c>
    </row>
    <row r="123" spans="1:2" x14ac:dyDescent="0.25">
      <c r="A123" s="126" t="s">
        <v>1801</v>
      </c>
      <c r="B123" s="131" t="s">
        <v>1802</v>
      </c>
    </row>
    <row r="124" spans="1:2" x14ac:dyDescent="0.25">
      <c r="A124" s="126" t="s">
        <v>1803</v>
      </c>
      <c r="B124" s="131" t="s">
        <v>1804</v>
      </c>
    </row>
    <row r="125" spans="1:2" x14ac:dyDescent="0.25">
      <c r="A125" s="126" t="s">
        <v>288</v>
      </c>
      <c r="B125" s="131" t="s">
        <v>291</v>
      </c>
    </row>
    <row r="126" spans="1:2" x14ac:dyDescent="0.25">
      <c r="A126" s="126" t="s">
        <v>1805</v>
      </c>
      <c r="B126" s="131" t="s">
        <v>1806</v>
      </c>
    </row>
    <row r="127" spans="1:2" x14ac:dyDescent="0.25">
      <c r="A127" s="126" t="s">
        <v>1807</v>
      </c>
      <c r="B127" s="131" t="s">
        <v>1808</v>
      </c>
    </row>
    <row r="128" spans="1:2" x14ac:dyDescent="0.25">
      <c r="A128" s="126" t="s">
        <v>1809</v>
      </c>
      <c r="B128" s="131" t="s">
        <v>1810</v>
      </c>
    </row>
    <row r="129" spans="1:2" x14ac:dyDescent="0.25">
      <c r="A129" s="126" t="s">
        <v>1082</v>
      </c>
      <c r="B129" s="131" t="s">
        <v>1084</v>
      </c>
    </row>
    <row r="130" spans="1:2" x14ac:dyDescent="0.25">
      <c r="A130" s="126" t="s">
        <v>889</v>
      </c>
      <c r="B130" s="131" t="s">
        <v>891</v>
      </c>
    </row>
    <row r="131" spans="1:2" x14ac:dyDescent="0.25">
      <c r="A131" s="126" t="s">
        <v>1811</v>
      </c>
      <c r="B131" s="131" t="s">
        <v>1812</v>
      </c>
    </row>
    <row r="132" spans="1:2" x14ac:dyDescent="0.25">
      <c r="A132" s="126" t="s">
        <v>218</v>
      </c>
      <c r="B132" s="131" t="s">
        <v>220</v>
      </c>
    </row>
    <row r="133" spans="1:2" x14ac:dyDescent="0.25">
      <c r="A133" s="126" t="s">
        <v>374</v>
      </c>
      <c r="B133" s="131" t="s">
        <v>376</v>
      </c>
    </row>
    <row r="134" spans="1:2" x14ac:dyDescent="0.25">
      <c r="A134" s="126" t="s">
        <v>1813</v>
      </c>
      <c r="B134" s="131" t="s">
        <v>1814</v>
      </c>
    </row>
    <row r="135" spans="1:2" x14ac:dyDescent="0.25">
      <c r="A135" s="126" t="s">
        <v>676</v>
      </c>
      <c r="B135" s="131" t="s">
        <v>678</v>
      </c>
    </row>
    <row r="136" spans="1:2" x14ac:dyDescent="0.25">
      <c r="A136" s="126" t="s">
        <v>1815</v>
      </c>
      <c r="B136" s="131" t="s">
        <v>1816</v>
      </c>
    </row>
    <row r="137" spans="1:2" x14ac:dyDescent="0.25">
      <c r="A137" s="126" t="s">
        <v>1384</v>
      </c>
      <c r="B137" s="131" t="s">
        <v>1817</v>
      </c>
    </row>
    <row r="138" spans="1:2" x14ac:dyDescent="0.25">
      <c r="A138" s="126" t="s">
        <v>231</v>
      </c>
      <c r="B138" s="131" t="s">
        <v>234</v>
      </c>
    </row>
    <row r="139" spans="1:2" x14ac:dyDescent="0.25">
      <c r="A139" s="126" t="s">
        <v>1818</v>
      </c>
      <c r="B139" s="131" t="s">
        <v>1819</v>
      </c>
    </row>
    <row r="140" spans="1:2" x14ac:dyDescent="0.25">
      <c r="A140" s="126" t="s">
        <v>277</v>
      </c>
      <c r="B140" s="131" t="s">
        <v>280</v>
      </c>
    </row>
    <row r="141" spans="1:2" x14ac:dyDescent="0.25">
      <c r="A141" s="126" t="s">
        <v>771</v>
      </c>
      <c r="B141" s="131" t="s">
        <v>773</v>
      </c>
    </row>
    <row r="142" spans="1:2" x14ac:dyDescent="0.25">
      <c r="A142" s="126" t="s">
        <v>873</v>
      </c>
      <c r="B142" s="131" t="s">
        <v>876</v>
      </c>
    </row>
    <row r="143" spans="1:2" x14ac:dyDescent="0.25">
      <c r="A143" s="126" t="s">
        <v>868</v>
      </c>
      <c r="B143" s="131" t="s">
        <v>870</v>
      </c>
    </row>
    <row r="144" spans="1:2" x14ac:dyDescent="0.25">
      <c r="A144" s="126" t="s">
        <v>611</v>
      </c>
      <c r="B144" s="131" t="s">
        <v>613</v>
      </c>
    </row>
    <row r="145" spans="1:2" x14ac:dyDescent="0.25">
      <c r="A145" s="126" t="s">
        <v>483</v>
      </c>
      <c r="B145" s="131" t="s">
        <v>485</v>
      </c>
    </row>
    <row r="146" spans="1:2" x14ac:dyDescent="0.25">
      <c r="A146" s="126" t="s">
        <v>428</v>
      </c>
      <c r="B146" s="133" t="s">
        <v>431</v>
      </c>
    </row>
    <row r="147" spans="1:2" x14ac:dyDescent="0.25">
      <c r="A147" s="126" t="s">
        <v>818</v>
      </c>
      <c r="B147" s="131" t="s">
        <v>820</v>
      </c>
    </row>
    <row r="148" spans="1:2" x14ac:dyDescent="0.25">
      <c r="A148" s="126" t="s">
        <v>806</v>
      </c>
      <c r="B148" s="131" t="s">
        <v>809</v>
      </c>
    </row>
    <row r="149" spans="1:2" x14ac:dyDescent="0.25">
      <c r="A149" s="126" t="s">
        <v>794</v>
      </c>
      <c r="B149" s="131" t="s">
        <v>796</v>
      </c>
    </row>
    <row r="150" spans="1:2" x14ac:dyDescent="0.25">
      <c r="A150" s="126" t="s">
        <v>1820</v>
      </c>
      <c r="B150" s="131" t="s">
        <v>1821</v>
      </c>
    </row>
    <row r="151" spans="1:2" x14ac:dyDescent="0.25">
      <c r="A151" s="126" t="s">
        <v>508</v>
      </c>
      <c r="B151" s="131" t="s">
        <v>511</v>
      </c>
    </row>
    <row r="152" spans="1:2" x14ac:dyDescent="0.25">
      <c r="A152" s="126" t="s">
        <v>1822</v>
      </c>
      <c r="B152" s="131" t="s">
        <v>1823</v>
      </c>
    </row>
    <row r="153" spans="1:2" x14ac:dyDescent="0.25">
      <c r="A153" s="126" t="s">
        <v>224</v>
      </c>
      <c r="B153" s="131" t="s">
        <v>227</v>
      </c>
    </row>
    <row r="154" spans="1:2" x14ac:dyDescent="0.25">
      <c r="A154" s="126" t="s">
        <v>1824</v>
      </c>
      <c r="B154" s="131" t="s">
        <v>1825</v>
      </c>
    </row>
    <row r="155" spans="1:2" x14ac:dyDescent="0.25">
      <c r="A155" s="126" t="s">
        <v>1826</v>
      </c>
      <c r="B155" s="131" t="s">
        <v>1827</v>
      </c>
    </row>
    <row r="156" spans="1:2" x14ac:dyDescent="0.25">
      <c r="A156" s="126" t="s">
        <v>1828</v>
      </c>
      <c r="B156" s="131" t="s">
        <v>1829</v>
      </c>
    </row>
    <row r="157" spans="1:2" x14ac:dyDescent="0.25">
      <c r="A157" s="126" t="s">
        <v>361</v>
      </c>
      <c r="B157" s="133" t="s">
        <v>363</v>
      </c>
    </row>
    <row r="158" spans="1:2" x14ac:dyDescent="0.25">
      <c r="A158" s="126" t="s">
        <v>295</v>
      </c>
      <c r="B158" s="133" t="s">
        <v>298</v>
      </c>
    </row>
    <row r="159" spans="1:2" x14ac:dyDescent="0.25">
      <c r="A159" s="126" t="s">
        <v>283</v>
      </c>
      <c r="B159" s="131" t="s">
        <v>285</v>
      </c>
    </row>
    <row r="160" spans="1:2" x14ac:dyDescent="0.25">
      <c r="A160" s="126" t="s">
        <v>1830</v>
      </c>
      <c r="B160" s="131" t="s">
        <v>1831</v>
      </c>
    </row>
    <row r="161" spans="1:2" x14ac:dyDescent="0.25">
      <c r="A161" s="126" t="s">
        <v>1392</v>
      </c>
      <c r="B161" s="133" t="s">
        <v>1832</v>
      </c>
    </row>
    <row r="162" spans="1:2" x14ac:dyDescent="0.25">
      <c r="A162" s="126" t="s">
        <v>605</v>
      </c>
      <c r="B162" s="131" t="s">
        <v>607</v>
      </c>
    </row>
    <row r="163" spans="1:2" x14ac:dyDescent="0.25">
      <c r="A163" s="126" t="s">
        <v>1833</v>
      </c>
      <c r="B163" s="131" t="s">
        <v>1834</v>
      </c>
    </row>
    <row r="164" spans="1:2" x14ac:dyDescent="0.25">
      <c r="A164" s="126" t="s">
        <v>1835</v>
      </c>
      <c r="B164" s="131" t="s">
        <v>1836</v>
      </c>
    </row>
    <row r="165" spans="1:2" x14ac:dyDescent="0.25">
      <c r="A165" s="126" t="s">
        <v>1401</v>
      </c>
      <c r="B165" s="131" t="s">
        <v>1837</v>
      </c>
    </row>
    <row r="166" spans="1:2" x14ac:dyDescent="0.25">
      <c r="A166" s="126" t="s">
        <v>643</v>
      </c>
      <c r="B166" s="131" t="s">
        <v>645</v>
      </c>
    </row>
    <row r="167" spans="1:2" x14ac:dyDescent="0.25">
      <c r="A167" s="126" t="s">
        <v>1838</v>
      </c>
      <c r="B167" s="131" t="s">
        <v>1839</v>
      </c>
    </row>
    <row r="168" spans="1:2" x14ac:dyDescent="0.25">
      <c r="A168" s="126" t="s">
        <v>502</v>
      </c>
      <c r="B168" s="131" t="s">
        <v>504</v>
      </c>
    </row>
    <row r="169" spans="1:2" x14ac:dyDescent="0.25">
      <c r="A169" s="126" t="s">
        <v>150</v>
      </c>
      <c r="B169" s="131" t="s">
        <v>154</v>
      </c>
    </row>
    <row r="170" spans="1:2" x14ac:dyDescent="0.25">
      <c r="A170" s="126" t="s">
        <v>777</v>
      </c>
      <c r="B170" s="131" t="s">
        <v>779</v>
      </c>
    </row>
    <row r="171" spans="1:2" x14ac:dyDescent="0.25">
      <c r="A171" s="126" t="s">
        <v>526</v>
      </c>
      <c r="B171" s="131" t="s">
        <v>528</v>
      </c>
    </row>
    <row r="172" spans="1:2" x14ac:dyDescent="0.25">
      <c r="A172" s="126" t="s">
        <v>930</v>
      </c>
      <c r="B172" s="131" t="s">
        <v>932</v>
      </c>
    </row>
    <row r="173" spans="1:2" x14ac:dyDescent="0.25">
      <c r="A173" s="126" t="s">
        <v>925</v>
      </c>
      <c r="B173" s="131" t="s">
        <v>927</v>
      </c>
    </row>
    <row r="174" spans="1:2" x14ac:dyDescent="0.25">
      <c r="A174" s="126" t="s">
        <v>935</v>
      </c>
      <c r="B174" s="131" t="s">
        <v>937</v>
      </c>
    </row>
    <row r="175" spans="1:2" x14ac:dyDescent="0.25">
      <c r="A175" s="126" t="s">
        <v>823</v>
      </c>
      <c r="B175" s="131" t="s">
        <v>825</v>
      </c>
    </row>
    <row r="176" spans="1:2" x14ac:dyDescent="0.25">
      <c r="A176" s="126" t="s">
        <v>534</v>
      </c>
      <c r="B176" s="131" t="s">
        <v>537</v>
      </c>
    </row>
    <row r="177" spans="1:2" x14ac:dyDescent="0.25">
      <c r="A177" s="126" t="s">
        <v>1840</v>
      </c>
      <c r="B177" s="129" t="s">
        <v>1841</v>
      </c>
    </row>
    <row r="178" spans="1:2" x14ac:dyDescent="0.25">
      <c r="A178" s="126" t="s">
        <v>1842</v>
      </c>
      <c r="B178" s="129" t="s">
        <v>1843</v>
      </c>
    </row>
    <row r="179" spans="1:2" x14ac:dyDescent="0.25">
      <c r="A179" s="126" t="s">
        <v>1844</v>
      </c>
      <c r="B179" s="129" t="s">
        <v>1845</v>
      </c>
    </row>
    <row r="180" spans="1:2" x14ac:dyDescent="0.25">
      <c r="A180" s="126" t="s">
        <v>1846</v>
      </c>
      <c r="B180" s="129" t="s">
        <v>1847</v>
      </c>
    </row>
    <row r="181" spans="1:2" x14ac:dyDescent="0.25">
      <c r="A181" s="126" t="s">
        <v>1848</v>
      </c>
      <c r="B181" s="129" t="s">
        <v>1849</v>
      </c>
    </row>
    <row r="182" spans="1:2" x14ac:dyDescent="0.25">
      <c r="A182" s="126" t="s">
        <v>1850</v>
      </c>
      <c r="B182" s="129" t="s">
        <v>1851</v>
      </c>
    </row>
    <row r="183" spans="1:2" x14ac:dyDescent="0.25">
      <c r="A183" s="126" t="s">
        <v>1852</v>
      </c>
      <c r="B183" s="129" t="s">
        <v>1853</v>
      </c>
    </row>
    <row r="184" spans="1:2" x14ac:dyDescent="0.25">
      <c r="A184" s="126" t="s">
        <v>1854</v>
      </c>
      <c r="B184" s="129" t="s">
        <v>1855</v>
      </c>
    </row>
    <row r="185" spans="1:2" x14ac:dyDescent="0.25">
      <c r="A185" s="126" t="s">
        <v>1856</v>
      </c>
      <c r="B185" s="129" t="s">
        <v>1857</v>
      </c>
    </row>
    <row r="186" spans="1:2" x14ac:dyDescent="0.25">
      <c r="A186" s="126" t="s">
        <v>1858</v>
      </c>
      <c r="B186" s="129" t="s">
        <v>1859</v>
      </c>
    </row>
    <row r="187" spans="1:2" x14ac:dyDescent="0.25">
      <c r="A187" s="126" t="s">
        <v>1860</v>
      </c>
      <c r="B187" s="129" t="s">
        <v>1861</v>
      </c>
    </row>
    <row r="188" spans="1:2" x14ac:dyDescent="0.25">
      <c r="A188" s="126" t="s">
        <v>1862</v>
      </c>
      <c r="B188" s="129" t="s">
        <v>1863</v>
      </c>
    </row>
    <row r="189" spans="1:2" x14ac:dyDescent="0.25">
      <c r="A189" s="126" t="s">
        <v>1864</v>
      </c>
      <c r="B189" s="129" t="s">
        <v>1865</v>
      </c>
    </row>
    <row r="190" spans="1:2" x14ac:dyDescent="0.25">
      <c r="A190" s="126" t="s">
        <v>1866</v>
      </c>
      <c r="B190" s="129" t="s">
        <v>1867</v>
      </c>
    </row>
    <row r="191" spans="1:2" x14ac:dyDescent="0.25">
      <c r="A191" s="126" t="s">
        <v>1868</v>
      </c>
      <c r="B191" s="129" t="s">
        <v>1869</v>
      </c>
    </row>
    <row r="192" spans="1:2" x14ac:dyDescent="0.25">
      <c r="A192" s="126" t="s">
        <v>1870</v>
      </c>
      <c r="B192" s="129" t="s">
        <v>1871</v>
      </c>
    </row>
    <row r="193" spans="1:2" x14ac:dyDescent="0.25">
      <c r="A193" s="126" t="s">
        <v>1872</v>
      </c>
      <c r="B193" s="129" t="s">
        <v>1873</v>
      </c>
    </row>
    <row r="194" spans="1:2" x14ac:dyDescent="0.25">
      <c r="A194" s="126" t="s">
        <v>1874</v>
      </c>
      <c r="B194" s="129" t="s">
        <v>1875</v>
      </c>
    </row>
    <row r="195" spans="1:2" x14ac:dyDescent="0.25">
      <c r="A195" s="126" t="s">
        <v>1876</v>
      </c>
      <c r="B195" s="129" t="s">
        <v>1877</v>
      </c>
    </row>
    <row r="196" spans="1:2" x14ac:dyDescent="0.25">
      <c r="A196" s="126" t="s">
        <v>1878</v>
      </c>
      <c r="B196" s="134" t="s">
        <v>1879</v>
      </c>
    </row>
    <row r="197" spans="1:2" x14ac:dyDescent="0.25">
      <c r="A197" s="126" t="s">
        <v>1880</v>
      </c>
      <c r="B197" s="129" t="s">
        <v>1881</v>
      </c>
    </row>
    <row r="198" spans="1:2" x14ac:dyDescent="0.25">
      <c r="A198" s="126" t="s">
        <v>1882</v>
      </c>
      <c r="B198" s="129" t="s">
        <v>1883</v>
      </c>
    </row>
    <row r="199" spans="1:2" x14ac:dyDescent="0.25">
      <c r="A199" s="126" t="s">
        <v>1884</v>
      </c>
      <c r="B199" s="129" t="s">
        <v>1885</v>
      </c>
    </row>
    <row r="200" spans="1:2" x14ac:dyDescent="0.25">
      <c r="A200" s="126" t="s">
        <v>1886</v>
      </c>
      <c r="B200" s="129" t="s">
        <v>1887</v>
      </c>
    </row>
    <row r="201" spans="1:2" x14ac:dyDescent="0.25">
      <c r="A201" s="126" t="s">
        <v>1888</v>
      </c>
      <c r="B201" s="129" t="s">
        <v>1889</v>
      </c>
    </row>
    <row r="202" spans="1:2" x14ac:dyDescent="0.25">
      <c r="A202" s="126" t="s">
        <v>1890</v>
      </c>
      <c r="B202" s="129" t="s">
        <v>1891</v>
      </c>
    </row>
    <row r="203" spans="1:2" x14ac:dyDescent="0.25">
      <c r="A203" s="126" t="s">
        <v>1892</v>
      </c>
      <c r="B203" s="129" t="s">
        <v>1893</v>
      </c>
    </row>
    <row r="204" spans="1:2" x14ac:dyDescent="0.25">
      <c r="A204" s="126" t="s">
        <v>1894</v>
      </c>
      <c r="B204" s="134" t="s">
        <v>1895</v>
      </c>
    </row>
    <row r="205" spans="1:2" x14ac:dyDescent="0.25">
      <c r="A205" s="126" t="s">
        <v>1896</v>
      </c>
      <c r="B205" s="135" t="s">
        <v>1897</v>
      </c>
    </row>
    <row r="206" spans="1:2" x14ac:dyDescent="0.25">
      <c r="A206" s="126" t="s">
        <v>1898</v>
      </c>
      <c r="B206" s="134" t="s">
        <v>1899</v>
      </c>
    </row>
    <row r="207" spans="1:2" x14ac:dyDescent="0.25">
      <c r="A207" s="126" t="s">
        <v>1900</v>
      </c>
      <c r="B207" s="134" t="s">
        <v>1901</v>
      </c>
    </row>
    <row r="208" spans="1:2" x14ac:dyDescent="0.25">
      <c r="A208" s="126" t="s">
        <v>1902</v>
      </c>
      <c r="B208" s="129" t="s">
        <v>1903</v>
      </c>
    </row>
    <row r="209" spans="1:2" x14ac:dyDescent="0.25">
      <c r="A209" s="126" t="s">
        <v>1904</v>
      </c>
      <c r="B209" s="129" t="s">
        <v>1905</v>
      </c>
    </row>
    <row r="210" spans="1:2" x14ac:dyDescent="0.25">
      <c r="A210" s="126" t="s">
        <v>1906</v>
      </c>
      <c r="B210" s="129" t="s">
        <v>1907</v>
      </c>
    </row>
    <row r="211" spans="1:2" x14ac:dyDescent="0.25">
      <c r="A211" s="126" t="s">
        <v>1908</v>
      </c>
      <c r="B211" s="129" t="s">
        <v>1909</v>
      </c>
    </row>
    <row r="212" spans="1:2" x14ac:dyDescent="0.25">
      <c r="A212" s="126" t="s">
        <v>1910</v>
      </c>
      <c r="B212" s="129" t="s">
        <v>1911</v>
      </c>
    </row>
    <row r="213" spans="1:2" x14ac:dyDescent="0.25">
      <c r="A213" s="126" t="s">
        <v>1912</v>
      </c>
      <c r="B213" s="129" t="s">
        <v>1913</v>
      </c>
    </row>
    <row r="214" spans="1:2" x14ac:dyDescent="0.25">
      <c r="A214" s="126" t="s">
        <v>1914</v>
      </c>
      <c r="B214" s="129" t="s">
        <v>1915</v>
      </c>
    </row>
    <row r="215" spans="1:2" x14ac:dyDescent="0.25">
      <c r="A215" s="126" t="s">
        <v>1916</v>
      </c>
      <c r="B215" s="134" t="s">
        <v>1917</v>
      </c>
    </row>
    <row r="216" spans="1:2" x14ac:dyDescent="0.25">
      <c r="A216" s="126" t="s">
        <v>1918</v>
      </c>
      <c r="B216" s="129" t="s">
        <v>1919</v>
      </c>
    </row>
    <row r="217" spans="1:2" x14ac:dyDescent="0.25">
      <c r="A217" s="126" t="s">
        <v>1920</v>
      </c>
      <c r="B217" s="129" t="s">
        <v>1921</v>
      </c>
    </row>
    <row r="218" spans="1:2" x14ac:dyDescent="0.25">
      <c r="A218" s="126" t="s">
        <v>1922</v>
      </c>
      <c r="B218" s="134" t="s">
        <v>1923</v>
      </c>
    </row>
    <row r="219" spans="1:2" x14ac:dyDescent="0.25">
      <c r="A219" s="126" t="s">
        <v>1924</v>
      </c>
      <c r="B219" s="129" t="s">
        <v>1925</v>
      </c>
    </row>
    <row r="220" spans="1:2" x14ac:dyDescent="0.25">
      <c r="A220" s="126" t="s">
        <v>1926</v>
      </c>
      <c r="B220" s="129" t="s">
        <v>1927</v>
      </c>
    </row>
    <row r="221" spans="1:2" x14ac:dyDescent="0.25">
      <c r="A221" s="126" t="s">
        <v>1928</v>
      </c>
      <c r="B221" s="134" t="s">
        <v>1929</v>
      </c>
    </row>
    <row r="222" spans="1:2" x14ac:dyDescent="0.25">
      <c r="A222" s="126" t="s">
        <v>1930</v>
      </c>
      <c r="B222" s="129" t="s">
        <v>1931</v>
      </c>
    </row>
    <row r="223" spans="1:2" x14ac:dyDescent="0.25">
      <c r="A223" s="126" t="s">
        <v>1932</v>
      </c>
      <c r="B223" s="129" t="s">
        <v>1933</v>
      </c>
    </row>
    <row r="224" spans="1:2" x14ac:dyDescent="0.25">
      <c r="A224" s="126" t="s">
        <v>1934</v>
      </c>
      <c r="B224" s="129" t="s">
        <v>1935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000B-1E11-4514-AB2A-9CD52DA18792}">
  <dimension ref="A1:DE19"/>
  <sheetViews>
    <sheetView topLeftCell="A6" workbookViewId="0"/>
  </sheetViews>
  <sheetFormatPr baseColWidth="10" defaultColWidth="11.42578125" defaultRowHeight="15" x14ac:dyDescent="0.25"/>
  <cols>
    <col min="6" max="6" width="9.85546875" bestFit="1" customWidth="1"/>
    <col min="10" max="10" width="33.7109375" bestFit="1" customWidth="1"/>
    <col min="12" max="12" width="23.85546875" bestFit="1" customWidth="1"/>
    <col min="13" max="13" width="10.42578125" bestFit="1" customWidth="1"/>
  </cols>
  <sheetData>
    <row r="1" spans="1:16" x14ac:dyDescent="0.25">
      <c r="A1" s="112" t="s">
        <v>411</v>
      </c>
      <c r="B1" s="103"/>
      <c r="C1" s="103"/>
      <c r="D1" s="103"/>
      <c r="E1" s="103"/>
      <c r="F1" s="103" t="s">
        <v>72</v>
      </c>
      <c r="G1" s="103"/>
      <c r="H1" s="103"/>
      <c r="I1" s="14" t="s">
        <v>413</v>
      </c>
      <c r="J1" s="14" t="s">
        <v>414</v>
      </c>
      <c r="K1" s="14" t="s">
        <v>415</v>
      </c>
      <c r="L1" s="23" t="s">
        <v>171</v>
      </c>
      <c r="M1" s="29">
        <v>45382</v>
      </c>
      <c r="N1" s="141" t="e">
        <f>YEAR(Tabla1[[#This Row],[F.Vig.Final]])</f>
        <v>#VALUE!</v>
      </c>
      <c r="O1" s="25" t="s">
        <v>172</v>
      </c>
      <c r="P1" s="14" t="s">
        <v>202</v>
      </c>
    </row>
    <row r="2" spans="1:16" x14ac:dyDescent="0.25">
      <c r="A2" s="147"/>
      <c r="B2" s="147"/>
      <c r="C2" s="147"/>
      <c r="D2" s="147"/>
      <c r="E2" s="147"/>
      <c r="F2" s="147"/>
      <c r="G2" s="147"/>
      <c r="H2" s="147"/>
      <c r="I2" s="147"/>
      <c r="J2" s="147"/>
      <c r="K2" s="147"/>
      <c r="L2" s="147"/>
      <c r="M2" s="147"/>
    </row>
    <row r="3" spans="1:16" x14ac:dyDescent="0.25">
      <c r="A3" s="172" t="s">
        <v>1386</v>
      </c>
      <c r="B3" s="33" t="s">
        <v>73</v>
      </c>
      <c r="C3" s="33" t="s">
        <v>200</v>
      </c>
      <c r="D3" s="33" t="s">
        <v>201</v>
      </c>
      <c r="E3" s="33" t="s">
        <v>76</v>
      </c>
      <c r="F3" s="34">
        <v>45687</v>
      </c>
      <c r="G3" s="33" t="s">
        <v>77</v>
      </c>
      <c r="H3" s="33" t="s">
        <v>78</v>
      </c>
      <c r="I3" s="33" t="s">
        <v>359</v>
      </c>
      <c r="J3" s="33" t="s">
        <v>1387</v>
      </c>
      <c r="K3" s="33" t="s">
        <v>119</v>
      </c>
      <c r="L3" s="33" t="s">
        <v>120</v>
      </c>
      <c r="M3" s="16">
        <f ca="1">COUNTIF(L3:$M$5, L3)</f>
        <v>0</v>
      </c>
      <c r="O3" t="s">
        <v>1936</v>
      </c>
    </row>
    <row r="4" spans="1:16" x14ac:dyDescent="0.25">
      <c r="A4" s="33" t="s">
        <v>1422</v>
      </c>
      <c r="B4" s="33" t="s">
        <v>73</v>
      </c>
      <c r="C4" s="33" t="s">
        <v>200</v>
      </c>
      <c r="D4" s="33" t="s">
        <v>201</v>
      </c>
      <c r="E4" s="33" t="s">
        <v>76</v>
      </c>
      <c r="F4" s="34">
        <v>45696</v>
      </c>
      <c r="G4" s="33" t="s">
        <v>77</v>
      </c>
      <c r="H4" s="33" t="s">
        <v>78</v>
      </c>
      <c r="I4" s="33" t="s">
        <v>79</v>
      </c>
      <c r="J4" s="33" t="s">
        <v>924</v>
      </c>
      <c r="K4" s="33" t="s">
        <v>119</v>
      </c>
      <c r="L4" s="33" t="s">
        <v>120</v>
      </c>
      <c r="M4" s="16">
        <f ca="1">COUNTIF(L4:$M$5, L4)</f>
        <v>0</v>
      </c>
    </row>
    <row r="5" spans="1:16" x14ac:dyDescent="0.25">
      <c r="A5" s="33" t="s">
        <v>1452</v>
      </c>
      <c r="B5" s="33" t="s">
        <v>73</v>
      </c>
      <c r="C5" s="33" t="s">
        <v>200</v>
      </c>
      <c r="D5" s="33" t="s">
        <v>201</v>
      </c>
      <c r="E5" s="33" t="s">
        <v>76</v>
      </c>
      <c r="F5" s="34">
        <v>45721</v>
      </c>
      <c r="G5" s="33" t="s">
        <v>77</v>
      </c>
      <c r="H5" s="33" t="s">
        <v>78</v>
      </c>
      <c r="I5" s="33" t="s">
        <v>79</v>
      </c>
      <c r="J5" s="33" t="s">
        <v>924</v>
      </c>
      <c r="K5" s="33" t="s">
        <v>119</v>
      </c>
      <c r="L5" s="33" t="s">
        <v>120</v>
      </c>
      <c r="M5" s="16">
        <f ca="1">COUNTIF(L$5:$M5, L5)</f>
        <v>0</v>
      </c>
    </row>
    <row r="7" spans="1:16" x14ac:dyDescent="0.25">
      <c r="A7" s="389"/>
      <c r="B7" s="389"/>
      <c r="C7" s="389"/>
      <c r="D7" s="389"/>
      <c r="E7" s="389"/>
      <c r="F7" s="389"/>
      <c r="G7" s="389"/>
      <c r="H7" s="389"/>
      <c r="I7" s="389"/>
      <c r="J7" s="389"/>
      <c r="K7" s="389"/>
      <c r="L7" s="389"/>
      <c r="M7" s="389"/>
    </row>
    <row r="8" spans="1:16" x14ac:dyDescent="0.25">
      <c r="A8" s="148" t="s">
        <v>1020</v>
      </c>
      <c r="B8" s="173" t="s">
        <v>865</v>
      </c>
      <c r="C8" s="174" t="s">
        <v>72</v>
      </c>
      <c r="D8" s="174"/>
      <c r="E8" s="174"/>
      <c r="F8" s="174"/>
      <c r="G8" s="174" t="s">
        <v>72</v>
      </c>
      <c r="H8" s="174" t="s">
        <v>72</v>
      </c>
      <c r="I8" s="174"/>
      <c r="J8" s="165" t="s">
        <v>866</v>
      </c>
      <c r="K8" s="165" t="s">
        <v>74</v>
      </c>
      <c r="L8" s="165" t="s">
        <v>75</v>
      </c>
      <c r="M8" s="175" t="s">
        <v>76</v>
      </c>
    </row>
    <row r="9" spans="1:16" x14ac:dyDescent="0.25">
      <c r="A9" s="114" t="s">
        <v>1025</v>
      </c>
      <c r="B9" s="112" t="s">
        <v>872</v>
      </c>
      <c r="C9" s="103" t="s">
        <v>72</v>
      </c>
      <c r="D9" s="103"/>
      <c r="E9" s="103"/>
      <c r="F9" s="103"/>
      <c r="G9" s="103" t="s">
        <v>72</v>
      </c>
      <c r="H9" s="103" t="s">
        <v>72</v>
      </c>
      <c r="I9" s="103"/>
      <c r="J9" s="14" t="s">
        <v>866</v>
      </c>
      <c r="K9" s="14" t="s">
        <v>74</v>
      </c>
      <c r="L9" s="14" t="s">
        <v>75</v>
      </c>
      <c r="M9" s="23" t="s">
        <v>76</v>
      </c>
    </row>
    <row r="11" spans="1:16" x14ac:dyDescent="0.25">
      <c r="A11" s="33" t="s">
        <v>1359</v>
      </c>
      <c r="B11" s="33" t="s">
        <v>73</v>
      </c>
      <c r="C11" s="33" t="s">
        <v>200</v>
      </c>
      <c r="D11" s="33" t="s">
        <v>201</v>
      </c>
      <c r="E11" s="33" t="s">
        <v>76</v>
      </c>
      <c r="F11" s="34">
        <v>45685</v>
      </c>
      <c r="G11" s="33" t="s">
        <v>77</v>
      </c>
      <c r="H11" s="33" t="s">
        <v>71</v>
      </c>
      <c r="I11" s="33" t="s">
        <v>213</v>
      </c>
      <c r="J11" s="33" t="s">
        <v>214</v>
      </c>
      <c r="K11" s="33" t="s">
        <v>336</v>
      </c>
      <c r="L11" s="33" t="s">
        <v>337</v>
      </c>
      <c r="O11" t="s">
        <v>1937</v>
      </c>
    </row>
    <row r="12" spans="1:16" x14ac:dyDescent="0.25">
      <c r="A12" s="33" t="s">
        <v>1432</v>
      </c>
      <c r="B12" s="33" t="s">
        <v>73</v>
      </c>
      <c r="C12" s="33" t="s">
        <v>200</v>
      </c>
      <c r="D12" s="33" t="s">
        <v>201</v>
      </c>
      <c r="E12" s="33" t="s">
        <v>76</v>
      </c>
      <c r="F12" s="34">
        <v>45699</v>
      </c>
      <c r="G12" s="33" t="s">
        <v>77</v>
      </c>
      <c r="H12" s="33" t="s">
        <v>78</v>
      </c>
      <c r="I12" s="33" t="s">
        <v>79</v>
      </c>
      <c r="J12" s="33" t="s">
        <v>924</v>
      </c>
      <c r="K12" s="33" t="s">
        <v>336</v>
      </c>
      <c r="L12" s="33" t="s">
        <v>337</v>
      </c>
      <c r="O12" t="s">
        <v>1938</v>
      </c>
    </row>
    <row r="19" spans="1:109" x14ac:dyDescent="0.25">
      <c r="A19" s="114" t="s">
        <v>1939</v>
      </c>
      <c r="B19" s="114" t="s">
        <v>73</v>
      </c>
      <c r="C19" s="114">
        <v>1</v>
      </c>
      <c r="D19" s="114" t="s">
        <v>201</v>
      </c>
      <c r="E19" s="114" t="s">
        <v>76</v>
      </c>
      <c r="F19" s="114"/>
      <c r="G19" s="114">
        <v>7</v>
      </c>
      <c r="H19" s="114"/>
      <c r="I19" s="114" t="s">
        <v>359</v>
      </c>
      <c r="J19" s="114" t="s">
        <v>894</v>
      </c>
      <c r="K19" s="114">
        <v>1490</v>
      </c>
      <c r="L19" s="114" t="s">
        <v>543</v>
      </c>
      <c r="M19" s="114" t="s">
        <v>1940</v>
      </c>
      <c r="N19" s="114"/>
      <c r="O19" s="114"/>
      <c r="P19" s="114" t="s">
        <v>78</v>
      </c>
      <c r="CJ19" s="176"/>
      <c r="CK19" s="176"/>
      <c r="CL19" s="176"/>
      <c r="CM19" s="176"/>
      <c r="CW19" s="177"/>
      <c r="CX19" s="176"/>
      <c r="DE19" s="176"/>
    </row>
  </sheetData>
  <mergeCells count="1">
    <mergeCell ref="A7:M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22D56-2F33-4000-BB46-A8AA9DDDDA94}">
  <dimension ref="A1:DI242"/>
  <sheetViews>
    <sheetView topLeftCell="B1" zoomScale="85" zoomScaleNormal="85" workbookViewId="0">
      <selection activeCell="B3" sqref="B3"/>
    </sheetView>
  </sheetViews>
  <sheetFormatPr baseColWidth="10" defaultColWidth="11.42578125" defaultRowHeight="12.75" x14ac:dyDescent="0.2"/>
  <cols>
    <col min="1" max="8" width="11.42578125" style="1"/>
    <col min="9" max="10" width="23.85546875" style="1" customWidth="1"/>
    <col min="11" max="14" width="11.42578125" style="1"/>
    <col min="15" max="15" width="22.42578125" style="1" bestFit="1" customWidth="1"/>
    <col min="16" max="28" width="11.42578125" style="1"/>
    <col min="29" max="29" width="30.28515625" style="1" customWidth="1"/>
    <col min="30" max="39" width="11.42578125" style="1"/>
    <col min="40" max="40" width="40.5703125" style="1" customWidth="1"/>
    <col min="41" max="88" width="11.42578125" style="1"/>
    <col min="89" max="89" width="28.5703125" style="1" customWidth="1"/>
    <col min="90" max="90" width="15.28515625" style="1" bestFit="1" customWidth="1"/>
    <col min="91" max="16384" width="11.42578125" style="1"/>
  </cols>
  <sheetData>
    <row r="1" spans="1:113" x14ac:dyDescent="0.2">
      <c r="CK1" s="1" t="s">
        <v>1941</v>
      </c>
      <c r="CL1" s="1" t="s">
        <v>1942</v>
      </c>
    </row>
    <row r="2" spans="1:113" s="42" customFormat="1" ht="14.25" x14ac:dyDescent="0.2">
      <c r="A2" s="41" t="s">
        <v>1943</v>
      </c>
      <c r="B2" s="41" t="s">
        <v>1944</v>
      </c>
      <c r="C2" s="41" t="s">
        <v>17</v>
      </c>
      <c r="D2" s="41" t="s">
        <v>18</v>
      </c>
      <c r="E2" s="41" t="s">
        <v>19</v>
      </c>
      <c r="F2" s="41" t="s">
        <v>20</v>
      </c>
      <c r="G2" s="41" t="s">
        <v>25</v>
      </c>
      <c r="H2" s="41" t="s">
        <v>29</v>
      </c>
      <c r="I2" s="41" t="s">
        <v>30</v>
      </c>
      <c r="J2" s="41"/>
      <c r="K2" s="41" t="s">
        <v>1945</v>
      </c>
      <c r="L2" s="41" t="s">
        <v>1946</v>
      </c>
      <c r="M2" s="41" t="s">
        <v>1947</v>
      </c>
      <c r="N2" s="41" t="s">
        <v>1948</v>
      </c>
      <c r="O2" s="41" t="s">
        <v>1949</v>
      </c>
      <c r="P2" s="41" t="s">
        <v>1950</v>
      </c>
      <c r="Q2" s="41" t="s">
        <v>1951</v>
      </c>
      <c r="R2" s="41" t="s">
        <v>1952</v>
      </c>
      <c r="S2" s="41" t="s">
        <v>1953</v>
      </c>
      <c r="T2" s="41" t="s">
        <v>1954</v>
      </c>
      <c r="U2" s="41" t="s">
        <v>1955</v>
      </c>
      <c r="V2" s="41" t="s">
        <v>1956</v>
      </c>
      <c r="W2" s="41" t="s">
        <v>1957</v>
      </c>
      <c r="X2" s="41" t="s">
        <v>1958</v>
      </c>
      <c r="Y2" s="41" t="s">
        <v>1959</v>
      </c>
      <c r="Z2" s="41" t="s">
        <v>1960</v>
      </c>
      <c r="AA2" s="41" t="s">
        <v>1961</v>
      </c>
      <c r="AB2" s="41" t="s">
        <v>27</v>
      </c>
      <c r="AC2" s="41" t="s">
        <v>28</v>
      </c>
      <c r="AD2" s="41" t="s">
        <v>1962</v>
      </c>
      <c r="AE2" s="41" t="s">
        <v>1963</v>
      </c>
      <c r="AF2" s="41" t="s">
        <v>1964</v>
      </c>
      <c r="AG2" s="41" t="s">
        <v>1965</v>
      </c>
      <c r="AH2" s="41" t="s">
        <v>1966</v>
      </c>
      <c r="AI2" s="41" t="s">
        <v>1967</v>
      </c>
      <c r="AJ2" s="41" t="s">
        <v>1120</v>
      </c>
      <c r="AK2" s="41" t="s">
        <v>1968</v>
      </c>
      <c r="AL2" s="41" t="s">
        <v>1969</v>
      </c>
      <c r="AM2" s="41" t="s">
        <v>1970</v>
      </c>
      <c r="AN2" s="41" t="s">
        <v>1971</v>
      </c>
      <c r="AO2" s="41" t="s">
        <v>1972</v>
      </c>
      <c r="AP2" s="41" t="s">
        <v>1973</v>
      </c>
      <c r="AQ2" s="41" t="s">
        <v>1974</v>
      </c>
      <c r="AR2" s="41" t="s">
        <v>1975</v>
      </c>
      <c r="AS2" s="41" t="s">
        <v>1976</v>
      </c>
      <c r="AT2" s="41" t="s">
        <v>1977</v>
      </c>
      <c r="AU2" s="41" t="s">
        <v>1978</v>
      </c>
      <c r="AV2" s="41" t="s">
        <v>1979</v>
      </c>
      <c r="AW2" s="41" t="s">
        <v>1980</v>
      </c>
      <c r="AX2" s="41" t="s">
        <v>1981</v>
      </c>
      <c r="AY2" s="41" t="s">
        <v>1982</v>
      </c>
      <c r="AZ2" s="41" t="s">
        <v>31</v>
      </c>
      <c r="BA2" s="41" t="s">
        <v>1983</v>
      </c>
      <c r="BB2" s="41" t="s">
        <v>1984</v>
      </c>
      <c r="BC2" s="41" t="s">
        <v>1985</v>
      </c>
      <c r="BD2" s="41" t="s">
        <v>1986</v>
      </c>
      <c r="BE2" s="41" t="s">
        <v>1987</v>
      </c>
      <c r="BF2" s="41" t="s">
        <v>1988</v>
      </c>
      <c r="BG2" s="41" t="s">
        <v>1989</v>
      </c>
      <c r="BH2" s="41" t="s">
        <v>1990</v>
      </c>
      <c r="BI2" s="41" t="s">
        <v>1991</v>
      </c>
      <c r="BJ2" s="41" t="s">
        <v>1992</v>
      </c>
      <c r="BK2" s="41" t="s">
        <v>1993</v>
      </c>
      <c r="BL2" s="41" t="s">
        <v>1994</v>
      </c>
      <c r="BM2" s="41" t="s">
        <v>1995</v>
      </c>
      <c r="BN2" s="41" t="s">
        <v>1996</v>
      </c>
      <c r="BO2" s="41" t="s">
        <v>1997</v>
      </c>
      <c r="BP2" s="41" t="s">
        <v>1998</v>
      </c>
      <c r="BQ2" s="41" t="s">
        <v>1999</v>
      </c>
      <c r="BR2" s="41" t="s">
        <v>2000</v>
      </c>
      <c r="BS2" s="41" t="s">
        <v>2001</v>
      </c>
      <c r="BT2" s="41" t="s">
        <v>2002</v>
      </c>
      <c r="BU2" s="41" t="s">
        <v>2003</v>
      </c>
      <c r="BV2" s="41" t="s">
        <v>2004</v>
      </c>
      <c r="BW2" s="41" t="s">
        <v>2005</v>
      </c>
      <c r="BX2" s="41" t="s">
        <v>2006</v>
      </c>
      <c r="BY2" s="41" t="s">
        <v>2007</v>
      </c>
      <c r="BZ2" s="41" t="s">
        <v>2008</v>
      </c>
      <c r="CA2" s="41" t="s">
        <v>2009</v>
      </c>
      <c r="CB2" s="41" t="s">
        <v>2010</v>
      </c>
      <c r="CC2" s="41" t="s">
        <v>2011</v>
      </c>
      <c r="CD2" s="41" t="s">
        <v>2012</v>
      </c>
      <c r="CE2" s="41" t="s">
        <v>2013</v>
      </c>
      <c r="CF2" s="41" t="s">
        <v>2014</v>
      </c>
      <c r="CG2" s="41" t="s">
        <v>2015</v>
      </c>
      <c r="CH2" s="41" t="s">
        <v>2016</v>
      </c>
      <c r="CI2" s="41" t="s">
        <v>2017</v>
      </c>
      <c r="CJ2" s="41" t="s">
        <v>2018</v>
      </c>
      <c r="CK2" s="41" t="s">
        <v>2019</v>
      </c>
      <c r="CL2" s="41" t="s">
        <v>2020</v>
      </c>
      <c r="CM2" s="41" t="s">
        <v>22</v>
      </c>
      <c r="CN2" s="41" t="s">
        <v>2021</v>
      </c>
      <c r="CO2" s="41" t="s">
        <v>2022</v>
      </c>
      <c r="CP2" s="41" t="s">
        <v>2023</v>
      </c>
      <c r="CQ2" s="41" t="s">
        <v>2024</v>
      </c>
      <c r="CR2" s="41" t="s">
        <v>2025</v>
      </c>
      <c r="CS2" s="41" t="s">
        <v>2026</v>
      </c>
      <c r="CT2" s="41" t="s">
        <v>2027</v>
      </c>
      <c r="CU2" s="41" t="s">
        <v>2028</v>
      </c>
      <c r="CV2" s="41" t="s">
        <v>2029</v>
      </c>
      <c r="CW2" s="41" t="s">
        <v>2030</v>
      </c>
      <c r="CX2" s="41" t="s">
        <v>2031</v>
      </c>
      <c r="CY2" s="41" t="s">
        <v>2032</v>
      </c>
      <c r="CZ2" s="41" t="s">
        <v>2033</v>
      </c>
      <c r="DA2" s="41" t="s">
        <v>2034</v>
      </c>
      <c r="DB2" s="41" t="s">
        <v>2035</v>
      </c>
      <c r="DC2" s="41" t="s">
        <v>2036</v>
      </c>
      <c r="DD2" s="41" t="s">
        <v>2037</v>
      </c>
      <c r="DE2" s="41" t="s">
        <v>2038</v>
      </c>
      <c r="DF2" s="41" t="s">
        <v>2039</v>
      </c>
      <c r="DG2" s="41" t="s">
        <v>2040</v>
      </c>
      <c r="DH2" s="41" t="s">
        <v>2041</v>
      </c>
      <c r="DI2" s="41" t="s">
        <v>2042</v>
      </c>
    </row>
    <row r="3" spans="1:113" x14ac:dyDescent="0.2">
      <c r="A3" s="14"/>
      <c r="B3" s="16" t="s">
        <v>2043</v>
      </c>
      <c r="C3" s="14" t="s">
        <v>158</v>
      </c>
      <c r="D3" s="14" t="s">
        <v>159</v>
      </c>
      <c r="E3" s="14" t="s">
        <v>158</v>
      </c>
      <c r="F3" s="14" t="s">
        <v>2044</v>
      </c>
      <c r="G3" s="14" t="s">
        <v>2045</v>
      </c>
      <c r="H3" s="14" t="s">
        <v>2046</v>
      </c>
      <c r="I3" s="14" t="s">
        <v>2047</v>
      </c>
      <c r="J3" s="16">
        <f>COUNTIF($I$3:I3, I3)</f>
        <v>1</v>
      </c>
      <c r="K3" s="14" t="s">
        <v>2048</v>
      </c>
      <c r="L3" s="14" t="s">
        <v>2048</v>
      </c>
      <c r="M3" s="14" t="s">
        <v>2048</v>
      </c>
      <c r="N3" s="14"/>
      <c r="O3" s="14" t="s">
        <v>72</v>
      </c>
      <c r="P3" s="14" t="s">
        <v>72</v>
      </c>
      <c r="Q3" s="14" t="s">
        <v>72</v>
      </c>
      <c r="R3" s="14" t="s">
        <v>2048</v>
      </c>
      <c r="S3" s="14"/>
      <c r="T3" s="14" t="s">
        <v>200</v>
      </c>
      <c r="U3" s="14" t="s">
        <v>2049</v>
      </c>
      <c r="V3" s="14" t="s">
        <v>2050</v>
      </c>
      <c r="W3" s="14" t="s">
        <v>2051</v>
      </c>
      <c r="X3" s="14" t="s">
        <v>2048</v>
      </c>
      <c r="Y3" s="14" t="s">
        <v>2048</v>
      </c>
      <c r="Z3" s="14" t="s">
        <v>2048</v>
      </c>
      <c r="AA3" s="14" t="s">
        <v>2048</v>
      </c>
      <c r="AB3" s="14" t="s">
        <v>2052</v>
      </c>
      <c r="AC3" s="14" t="s">
        <v>2053</v>
      </c>
      <c r="AD3" s="14" t="s">
        <v>77</v>
      </c>
      <c r="AE3" s="14" t="s">
        <v>2054</v>
      </c>
      <c r="AF3" s="14" t="s">
        <v>2055</v>
      </c>
      <c r="AG3" s="14" t="s">
        <v>2056</v>
      </c>
      <c r="AH3" s="14" t="s">
        <v>2055</v>
      </c>
      <c r="AI3" s="14" t="s">
        <v>2057</v>
      </c>
      <c r="AJ3" s="14" t="s">
        <v>87</v>
      </c>
      <c r="AK3" s="14" t="s">
        <v>2048</v>
      </c>
      <c r="AL3" s="14" t="s">
        <v>2048</v>
      </c>
      <c r="AM3" s="14" t="s">
        <v>2048</v>
      </c>
      <c r="AN3" s="14" t="s">
        <v>2058</v>
      </c>
      <c r="AO3" s="17" t="s">
        <v>108</v>
      </c>
      <c r="AP3" s="14" t="s">
        <v>77</v>
      </c>
      <c r="AQ3" s="14" t="s">
        <v>2059</v>
      </c>
      <c r="AR3" s="14" t="s">
        <v>2060</v>
      </c>
      <c r="AS3" s="14" t="s">
        <v>2048</v>
      </c>
      <c r="AT3" s="14" t="s">
        <v>2061</v>
      </c>
      <c r="AU3" s="14" t="s">
        <v>2062</v>
      </c>
      <c r="AV3" s="14" t="s">
        <v>2063</v>
      </c>
      <c r="AW3" s="14" t="s">
        <v>2048</v>
      </c>
      <c r="AX3" s="14" t="s">
        <v>2048</v>
      </c>
      <c r="AY3" s="14" t="s">
        <v>2046</v>
      </c>
      <c r="AZ3" s="14" t="s">
        <v>312</v>
      </c>
      <c r="BA3" s="14" t="s">
        <v>2048</v>
      </c>
      <c r="BB3" s="14" t="s">
        <v>2048</v>
      </c>
      <c r="BC3" s="14" t="s">
        <v>2061</v>
      </c>
      <c r="BD3" s="14" t="s">
        <v>2048</v>
      </c>
      <c r="BE3" s="14" t="s">
        <v>2048</v>
      </c>
      <c r="BF3" s="14" t="s">
        <v>2048</v>
      </c>
      <c r="BG3" s="14" t="s">
        <v>2048</v>
      </c>
      <c r="BH3" s="14" t="s">
        <v>2048</v>
      </c>
      <c r="BI3" s="14" t="s">
        <v>2048</v>
      </c>
      <c r="BJ3" s="14" t="s">
        <v>2051</v>
      </c>
      <c r="BK3" s="14" t="s">
        <v>2048</v>
      </c>
      <c r="BL3" s="14" t="s">
        <v>2064</v>
      </c>
      <c r="BM3" s="14" t="s">
        <v>72</v>
      </c>
      <c r="BN3" s="14" t="s">
        <v>72</v>
      </c>
      <c r="BO3" s="14" t="s">
        <v>2065</v>
      </c>
      <c r="BP3" s="14" t="s">
        <v>2048</v>
      </c>
      <c r="BQ3" s="14" t="s">
        <v>2048</v>
      </c>
      <c r="BR3" s="14" t="s">
        <v>2066</v>
      </c>
      <c r="BS3" s="14" t="s">
        <v>2067</v>
      </c>
      <c r="BT3" s="14" t="s">
        <v>2048</v>
      </c>
      <c r="BU3" s="14" t="s">
        <v>2048</v>
      </c>
      <c r="BV3" s="14" t="s">
        <v>2048</v>
      </c>
      <c r="BW3" s="14" t="s">
        <v>2051</v>
      </c>
      <c r="BX3" s="14" t="s">
        <v>2048</v>
      </c>
      <c r="BY3" s="14" t="s">
        <v>2048</v>
      </c>
      <c r="BZ3" s="14" t="s">
        <v>2048</v>
      </c>
      <c r="CA3" s="14" t="s">
        <v>2048</v>
      </c>
      <c r="CB3" s="14" t="s">
        <v>2048</v>
      </c>
      <c r="CC3" s="14" t="s">
        <v>2048</v>
      </c>
      <c r="CD3" s="14" t="s">
        <v>2048</v>
      </c>
      <c r="CE3" s="14" t="s">
        <v>2048</v>
      </c>
      <c r="CF3" s="14" t="s">
        <v>2048</v>
      </c>
      <c r="CG3" s="14" t="s">
        <v>2068</v>
      </c>
      <c r="CH3" s="14" t="s">
        <v>2069</v>
      </c>
      <c r="CI3" s="14" t="s">
        <v>2048</v>
      </c>
      <c r="CJ3" s="17"/>
      <c r="CK3" s="17">
        <v>45138</v>
      </c>
      <c r="CL3" s="17">
        <v>45138</v>
      </c>
      <c r="CM3" s="17">
        <v>2958465</v>
      </c>
      <c r="CN3" s="17"/>
      <c r="CO3" s="19">
        <v>0</v>
      </c>
      <c r="CP3" s="19">
        <v>0</v>
      </c>
      <c r="CQ3" s="19">
        <v>0</v>
      </c>
      <c r="CR3" s="19">
        <v>0</v>
      </c>
      <c r="CS3" s="19">
        <v>0</v>
      </c>
      <c r="CT3" s="19">
        <v>0</v>
      </c>
      <c r="CU3" s="19">
        <v>0</v>
      </c>
      <c r="CV3" s="17"/>
      <c r="CW3" s="19">
        <v>0</v>
      </c>
      <c r="CX3" s="17"/>
      <c r="CY3" s="17"/>
      <c r="CZ3" s="19">
        <v>0</v>
      </c>
      <c r="DA3" s="17"/>
      <c r="DB3" s="17"/>
      <c r="DC3" s="19">
        <v>100</v>
      </c>
      <c r="DD3" s="17"/>
      <c r="DE3" s="17">
        <v>2958465</v>
      </c>
      <c r="DF3" s="17"/>
      <c r="DG3" s="17"/>
      <c r="DH3" s="19">
        <v>0</v>
      </c>
      <c r="DI3" s="19">
        <v>0</v>
      </c>
    </row>
    <row r="4" spans="1:113" x14ac:dyDescent="0.2">
      <c r="A4" s="14"/>
      <c r="B4" s="16" t="s">
        <v>2070</v>
      </c>
      <c r="C4" s="14" t="s">
        <v>158</v>
      </c>
      <c r="D4" s="14" t="s">
        <v>159</v>
      </c>
      <c r="E4" s="14" t="s">
        <v>158</v>
      </c>
      <c r="F4" s="14" t="s">
        <v>2044</v>
      </c>
      <c r="G4" s="14" t="s">
        <v>2045</v>
      </c>
      <c r="H4" s="14" t="s">
        <v>102</v>
      </c>
      <c r="I4" s="14" t="s">
        <v>103</v>
      </c>
      <c r="J4" s="16">
        <f>COUNTIF($I$3:I4, I4)</f>
        <v>1</v>
      </c>
      <c r="K4" s="14" t="s">
        <v>2048</v>
      </c>
      <c r="L4" s="14" t="s">
        <v>2048</v>
      </c>
      <c r="M4" s="14" t="s">
        <v>2048</v>
      </c>
      <c r="N4" s="14"/>
      <c r="O4" s="14" t="s">
        <v>2071</v>
      </c>
      <c r="P4" s="14" t="s">
        <v>72</v>
      </c>
      <c r="Q4" s="14" t="s">
        <v>72</v>
      </c>
      <c r="R4" s="14" t="s">
        <v>2048</v>
      </c>
      <c r="S4" s="14"/>
      <c r="T4" s="14" t="s">
        <v>200</v>
      </c>
      <c r="U4" s="14" t="s">
        <v>2049</v>
      </c>
      <c r="V4" s="14" t="s">
        <v>2050</v>
      </c>
      <c r="W4" s="14" t="s">
        <v>2051</v>
      </c>
      <c r="X4" s="14" t="s">
        <v>2048</v>
      </c>
      <c r="Y4" s="14" t="s">
        <v>2048</v>
      </c>
      <c r="Z4" s="14" t="s">
        <v>2048</v>
      </c>
      <c r="AA4" s="14" t="s">
        <v>2048</v>
      </c>
      <c r="AB4" s="14" t="s">
        <v>85</v>
      </c>
      <c r="AC4" s="14" t="s">
        <v>114</v>
      </c>
      <c r="AD4" s="14" t="s">
        <v>2072</v>
      </c>
      <c r="AE4" s="14" t="s">
        <v>2073</v>
      </c>
      <c r="AF4" s="14" t="s">
        <v>2055</v>
      </c>
      <c r="AG4" s="14" t="s">
        <v>2055</v>
      </c>
      <c r="AH4" s="14" t="s">
        <v>2055</v>
      </c>
      <c r="AI4" s="14" t="s">
        <v>2057</v>
      </c>
      <c r="AJ4" s="14" t="s">
        <v>87</v>
      </c>
      <c r="AK4" s="14" t="s">
        <v>2048</v>
      </c>
      <c r="AL4" s="14" t="s">
        <v>2048</v>
      </c>
      <c r="AM4" s="14" t="s">
        <v>2048</v>
      </c>
      <c r="AN4" s="14" t="s">
        <v>2074</v>
      </c>
      <c r="AO4" s="17" t="s">
        <v>108</v>
      </c>
      <c r="AP4" s="14" t="s">
        <v>161</v>
      </c>
      <c r="AQ4" s="14" t="s">
        <v>2059</v>
      </c>
      <c r="AR4" s="14" t="s">
        <v>2075</v>
      </c>
      <c r="AS4" s="14" t="s">
        <v>2076</v>
      </c>
      <c r="AT4" s="14" t="s">
        <v>2061</v>
      </c>
      <c r="AU4" s="14" t="s">
        <v>2077</v>
      </c>
      <c r="AV4" s="14" t="s">
        <v>2078</v>
      </c>
      <c r="AW4" s="14" t="s">
        <v>2048</v>
      </c>
      <c r="AX4" s="14" t="s">
        <v>2048</v>
      </c>
      <c r="AY4" s="14" t="s">
        <v>102</v>
      </c>
      <c r="AZ4" s="14" t="s">
        <v>440</v>
      </c>
      <c r="BA4" s="14" t="s">
        <v>2079</v>
      </c>
      <c r="BB4" s="14" t="s">
        <v>2048</v>
      </c>
      <c r="BC4" s="14" t="s">
        <v>2061</v>
      </c>
      <c r="BD4" s="14" t="s">
        <v>2080</v>
      </c>
      <c r="BE4" s="14" t="s">
        <v>2081</v>
      </c>
      <c r="BF4" s="14" t="s">
        <v>2082</v>
      </c>
      <c r="BG4" s="14" t="s">
        <v>2083</v>
      </c>
      <c r="BH4" s="14" t="s">
        <v>2084</v>
      </c>
      <c r="BI4" s="14" t="s">
        <v>2085</v>
      </c>
      <c r="BJ4" s="14" t="s">
        <v>2051</v>
      </c>
      <c r="BK4" s="14" t="s">
        <v>2048</v>
      </c>
      <c r="BL4" s="14" t="s">
        <v>2064</v>
      </c>
      <c r="BM4" s="14" t="s">
        <v>72</v>
      </c>
      <c r="BN4" s="14" t="s">
        <v>72</v>
      </c>
      <c r="BO4" s="14" t="s">
        <v>2086</v>
      </c>
      <c r="BP4" s="14" t="s">
        <v>2087</v>
      </c>
      <c r="BQ4" s="14" t="s">
        <v>2088</v>
      </c>
      <c r="BR4" s="14" t="s">
        <v>159</v>
      </c>
      <c r="BS4" s="14" t="s">
        <v>2089</v>
      </c>
      <c r="BT4" s="14" t="s">
        <v>2048</v>
      </c>
      <c r="BU4" s="14" t="s">
        <v>2048</v>
      </c>
      <c r="BV4" s="14" t="s">
        <v>2048</v>
      </c>
      <c r="BW4" s="14" t="s">
        <v>2051</v>
      </c>
      <c r="BX4" s="14" t="s">
        <v>2048</v>
      </c>
      <c r="BY4" s="14" t="s">
        <v>2048</v>
      </c>
      <c r="BZ4" s="14" t="s">
        <v>2048</v>
      </c>
      <c r="CA4" s="14" t="s">
        <v>2048</v>
      </c>
      <c r="CB4" s="14" t="s">
        <v>2048</v>
      </c>
      <c r="CC4" s="14" t="s">
        <v>2048</v>
      </c>
      <c r="CD4" s="14" t="s">
        <v>2048</v>
      </c>
      <c r="CE4" s="14" t="s">
        <v>2048</v>
      </c>
      <c r="CF4" s="14" t="s">
        <v>2048</v>
      </c>
      <c r="CG4" s="14" t="s">
        <v>2057</v>
      </c>
      <c r="CH4" s="14" t="s">
        <v>2090</v>
      </c>
      <c r="CI4" s="14" t="s">
        <v>2048</v>
      </c>
      <c r="CJ4" s="17"/>
      <c r="CK4" s="17">
        <v>45105</v>
      </c>
      <c r="CL4" s="17">
        <v>45105</v>
      </c>
      <c r="CM4" s="17">
        <v>2958465</v>
      </c>
      <c r="CN4" s="17"/>
      <c r="CO4" s="19">
        <v>0</v>
      </c>
      <c r="CP4" s="19">
        <v>0</v>
      </c>
      <c r="CQ4" s="19">
        <v>0</v>
      </c>
      <c r="CR4" s="19">
        <v>0</v>
      </c>
      <c r="CS4" s="19">
        <v>0</v>
      </c>
      <c r="CT4" s="19">
        <v>0</v>
      </c>
      <c r="CU4" s="19">
        <v>0</v>
      </c>
      <c r="CV4" s="17"/>
      <c r="CW4" s="19">
        <v>21271</v>
      </c>
      <c r="CX4" s="17">
        <v>45730</v>
      </c>
      <c r="CY4" s="17"/>
      <c r="CZ4" s="19">
        <v>0</v>
      </c>
      <c r="DA4" s="17"/>
      <c r="DB4" s="17"/>
      <c r="DC4" s="19">
        <v>100</v>
      </c>
      <c r="DD4" s="17"/>
      <c r="DE4" s="17">
        <v>2958465</v>
      </c>
      <c r="DF4" s="17"/>
      <c r="DG4" s="17"/>
      <c r="DH4" s="19">
        <v>0</v>
      </c>
      <c r="DI4" s="19">
        <v>0</v>
      </c>
    </row>
    <row r="5" spans="1:113" x14ac:dyDescent="0.2">
      <c r="A5" s="14"/>
      <c r="B5" s="16" t="s">
        <v>2091</v>
      </c>
      <c r="C5" s="14" t="s">
        <v>158</v>
      </c>
      <c r="D5" s="14" t="s">
        <v>159</v>
      </c>
      <c r="E5" s="14" t="s">
        <v>158</v>
      </c>
      <c r="F5" s="14" t="s">
        <v>2044</v>
      </c>
      <c r="G5" s="14" t="s">
        <v>2045</v>
      </c>
      <c r="H5" s="14" t="s">
        <v>102</v>
      </c>
      <c r="I5" s="14" t="s">
        <v>103</v>
      </c>
      <c r="J5" s="16">
        <f>COUNTIF($I$3:I5, I5)</f>
        <v>2</v>
      </c>
      <c r="K5" s="14" t="s">
        <v>2048</v>
      </c>
      <c r="L5" s="14" t="s">
        <v>2048</v>
      </c>
      <c r="M5" s="14" t="s">
        <v>2048</v>
      </c>
      <c r="N5" s="14"/>
      <c r="O5" s="14" t="s">
        <v>2092</v>
      </c>
      <c r="P5" s="14" t="s">
        <v>72</v>
      </c>
      <c r="Q5" s="14" t="s">
        <v>72</v>
      </c>
      <c r="R5" s="14" t="s">
        <v>2048</v>
      </c>
      <c r="S5" s="14"/>
      <c r="T5" s="14" t="s">
        <v>200</v>
      </c>
      <c r="U5" s="14" t="s">
        <v>2049</v>
      </c>
      <c r="V5" s="14" t="s">
        <v>2050</v>
      </c>
      <c r="W5" s="14" t="s">
        <v>2051</v>
      </c>
      <c r="X5" s="14" t="s">
        <v>2048</v>
      </c>
      <c r="Y5" s="14" t="s">
        <v>2048</v>
      </c>
      <c r="Z5" s="14" t="s">
        <v>2048</v>
      </c>
      <c r="AA5" s="14" t="s">
        <v>2048</v>
      </c>
      <c r="AB5" s="14" t="s">
        <v>85</v>
      </c>
      <c r="AC5" s="14" t="s">
        <v>114</v>
      </c>
      <c r="AD5" s="14" t="s">
        <v>2072</v>
      </c>
      <c r="AE5" s="14" t="s">
        <v>2073</v>
      </c>
      <c r="AF5" s="14" t="s">
        <v>2055</v>
      </c>
      <c r="AG5" s="14" t="s">
        <v>2055</v>
      </c>
      <c r="AH5" s="14" t="s">
        <v>2055</v>
      </c>
      <c r="AI5" s="14" t="s">
        <v>2057</v>
      </c>
      <c r="AJ5" s="14" t="s">
        <v>87</v>
      </c>
      <c r="AK5" s="14" t="s">
        <v>2048</v>
      </c>
      <c r="AL5" s="14" t="s">
        <v>2048</v>
      </c>
      <c r="AM5" s="14" t="s">
        <v>2048</v>
      </c>
      <c r="AN5" s="14" t="s">
        <v>2074</v>
      </c>
      <c r="AO5" s="17" t="s">
        <v>108</v>
      </c>
      <c r="AP5" s="14" t="s">
        <v>161</v>
      </c>
      <c r="AQ5" s="14" t="s">
        <v>2059</v>
      </c>
      <c r="AR5" s="14" t="s">
        <v>2060</v>
      </c>
      <c r="AS5" s="14" t="s">
        <v>2048</v>
      </c>
      <c r="AT5" s="14" t="s">
        <v>2061</v>
      </c>
      <c r="AU5" s="14" t="s">
        <v>2077</v>
      </c>
      <c r="AV5" s="14" t="s">
        <v>2078</v>
      </c>
      <c r="AW5" s="14" t="s">
        <v>2048</v>
      </c>
      <c r="AX5" s="14" t="s">
        <v>2048</v>
      </c>
      <c r="AY5" s="14" t="s">
        <v>102</v>
      </c>
      <c r="AZ5" s="14" t="s">
        <v>440</v>
      </c>
      <c r="BA5" s="14" t="s">
        <v>2079</v>
      </c>
      <c r="BB5" s="14" t="s">
        <v>2048</v>
      </c>
      <c r="BC5" s="14" t="s">
        <v>2061</v>
      </c>
      <c r="BD5" s="14" t="s">
        <v>2080</v>
      </c>
      <c r="BE5" s="14" t="s">
        <v>2081</v>
      </c>
      <c r="BF5" s="14" t="s">
        <v>2082</v>
      </c>
      <c r="BG5" s="14" t="s">
        <v>2083</v>
      </c>
      <c r="BH5" s="14" t="s">
        <v>2084</v>
      </c>
      <c r="BI5" s="14" t="s">
        <v>2085</v>
      </c>
      <c r="BJ5" s="14" t="s">
        <v>2051</v>
      </c>
      <c r="BK5" s="14" t="s">
        <v>2048</v>
      </c>
      <c r="BL5" s="14" t="s">
        <v>2064</v>
      </c>
      <c r="BM5" s="14" t="s">
        <v>72</v>
      </c>
      <c r="BN5" s="14" t="s">
        <v>72</v>
      </c>
      <c r="BO5" s="14" t="s">
        <v>2093</v>
      </c>
      <c r="BP5" s="14" t="s">
        <v>2048</v>
      </c>
      <c r="BQ5" s="14" t="s">
        <v>2048</v>
      </c>
      <c r="BR5" s="14" t="s">
        <v>159</v>
      </c>
      <c r="BS5" s="14" t="s">
        <v>2089</v>
      </c>
      <c r="BT5" s="14" t="s">
        <v>2048</v>
      </c>
      <c r="BU5" s="14" t="s">
        <v>2048</v>
      </c>
      <c r="BV5" s="14" t="s">
        <v>2048</v>
      </c>
      <c r="BW5" s="14" t="s">
        <v>2051</v>
      </c>
      <c r="BX5" s="14" t="s">
        <v>2048</v>
      </c>
      <c r="BY5" s="14" t="s">
        <v>2048</v>
      </c>
      <c r="BZ5" s="14" t="s">
        <v>2048</v>
      </c>
      <c r="CA5" s="14" t="s">
        <v>2048</v>
      </c>
      <c r="CB5" s="14" t="s">
        <v>2048</v>
      </c>
      <c r="CC5" s="14" t="s">
        <v>2048</v>
      </c>
      <c r="CD5" s="14" t="s">
        <v>2048</v>
      </c>
      <c r="CE5" s="14" t="s">
        <v>2048</v>
      </c>
      <c r="CF5" s="14" t="s">
        <v>2048</v>
      </c>
      <c r="CG5" s="14" t="s">
        <v>2057</v>
      </c>
      <c r="CH5" s="14" t="s">
        <v>2090</v>
      </c>
      <c r="CI5" s="14" t="s">
        <v>2048</v>
      </c>
      <c r="CJ5" s="17"/>
      <c r="CK5" s="17">
        <v>45105</v>
      </c>
      <c r="CL5" s="17">
        <v>45105</v>
      </c>
      <c r="CM5" s="17">
        <v>2958465</v>
      </c>
      <c r="CN5" s="17"/>
      <c r="CO5" s="19">
        <v>0</v>
      </c>
      <c r="CP5" s="19">
        <v>0</v>
      </c>
      <c r="CQ5" s="19">
        <v>0</v>
      </c>
      <c r="CR5" s="19">
        <v>0</v>
      </c>
      <c r="CS5" s="19">
        <v>0</v>
      </c>
      <c r="CT5" s="19">
        <v>0</v>
      </c>
      <c r="CU5" s="19">
        <v>0</v>
      </c>
      <c r="CV5" s="17"/>
      <c r="CW5" s="19">
        <v>12322</v>
      </c>
      <c r="CX5" s="17">
        <v>45730</v>
      </c>
      <c r="CY5" s="17"/>
      <c r="CZ5" s="19">
        <v>0</v>
      </c>
      <c r="DA5" s="17"/>
      <c r="DB5" s="17"/>
      <c r="DC5" s="19">
        <v>100</v>
      </c>
      <c r="DD5" s="17"/>
      <c r="DE5" s="17">
        <v>2958465</v>
      </c>
      <c r="DF5" s="17"/>
      <c r="DG5" s="17"/>
      <c r="DH5" s="19">
        <v>0</v>
      </c>
      <c r="DI5" s="19">
        <v>0</v>
      </c>
    </row>
    <row r="6" spans="1:113" x14ac:dyDescent="0.2">
      <c r="A6" s="14"/>
      <c r="B6" s="16" t="s">
        <v>2094</v>
      </c>
      <c r="C6" s="14" t="s">
        <v>158</v>
      </c>
      <c r="D6" s="14" t="s">
        <v>159</v>
      </c>
      <c r="E6" s="14" t="s">
        <v>158</v>
      </c>
      <c r="F6" s="14" t="s">
        <v>2044</v>
      </c>
      <c r="G6" s="14" t="s">
        <v>2045</v>
      </c>
      <c r="H6" s="14" t="s">
        <v>102</v>
      </c>
      <c r="I6" s="14" t="s">
        <v>103</v>
      </c>
      <c r="J6" s="16">
        <f>COUNTIF($I$3:I6, I6)</f>
        <v>3</v>
      </c>
      <c r="K6" s="14" t="s">
        <v>2048</v>
      </c>
      <c r="L6" s="14" t="s">
        <v>2048</v>
      </c>
      <c r="M6" s="14" t="s">
        <v>2048</v>
      </c>
      <c r="N6" s="14"/>
      <c r="O6" s="14" t="s">
        <v>2095</v>
      </c>
      <c r="P6" s="14" t="s">
        <v>72</v>
      </c>
      <c r="Q6" s="14" t="s">
        <v>72</v>
      </c>
      <c r="R6" s="14" t="s">
        <v>2048</v>
      </c>
      <c r="S6" s="14"/>
      <c r="T6" s="14" t="s">
        <v>200</v>
      </c>
      <c r="U6" s="14" t="s">
        <v>2049</v>
      </c>
      <c r="V6" s="14" t="s">
        <v>2050</v>
      </c>
      <c r="W6" s="14" t="s">
        <v>2051</v>
      </c>
      <c r="X6" s="14" t="s">
        <v>2048</v>
      </c>
      <c r="Y6" s="14" t="s">
        <v>2048</v>
      </c>
      <c r="Z6" s="14" t="s">
        <v>2048</v>
      </c>
      <c r="AA6" s="14" t="s">
        <v>2048</v>
      </c>
      <c r="AB6" s="14" t="s">
        <v>85</v>
      </c>
      <c r="AC6" s="14" t="s">
        <v>114</v>
      </c>
      <c r="AD6" s="14" t="s">
        <v>2072</v>
      </c>
      <c r="AE6" s="14" t="s">
        <v>2073</v>
      </c>
      <c r="AF6" s="14" t="s">
        <v>2055</v>
      </c>
      <c r="AG6" s="14" t="s">
        <v>2055</v>
      </c>
      <c r="AH6" s="14" t="s">
        <v>2055</v>
      </c>
      <c r="AI6" s="14" t="s">
        <v>2057</v>
      </c>
      <c r="AJ6" s="14" t="s">
        <v>87</v>
      </c>
      <c r="AK6" s="14" t="s">
        <v>2048</v>
      </c>
      <c r="AL6" s="14" t="s">
        <v>2048</v>
      </c>
      <c r="AM6" s="14" t="s">
        <v>2048</v>
      </c>
      <c r="AN6" s="14" t="s">
        <v>2074</v>
      </c>
      <c r="AO6" s="17" t="s">
        <v>108</v>
      </c>
      <c r="AP6" s="14" t="s">
        <v>161</v>
      </c>
      <c r="AQ6" s="14" t="s">
        <v>2059</v>
      </c>
      <c r="AR6" s="14" t="s">
        <v>2060</v>
      </c>
      <c r="AS6" s="14" t="s">
        <v>2048</v>
      </c>
      <c r="AT6" s="14" t="s">
        <v>2061</v>
      </c>
      <c r="AU6" s="14" t="s">
        <v>2077</v>
      </c>
      <c r="AV6" s="14" t="s">
        <v>2078</v>
      </c>
      <c r="AW6" s="14" t="s">
        <v>2048</v>
      </c>
      <c r="AX6" s="14" t="s">
        <v>2048</v>
      </c>
      <c r="AY6" s="14" t="s">
        <v>102</v>
      </c>
      <c r="AZ6" s="14" t="s">
        <v>440</v>
      </c>
      <c r="BA6" s="14" t="s">
        <v>2079</v>
      </c>
      <c r="BB6" s="14" t="s">
        <v>2048</v>
      </c>
      <c r="BC6" s="14" t="s">
        <v>2061</v>
      </c>
      <c r="BD6" s="14" t="s">
        <v>2080</v>
      </c>
      <c r="BE6" s="14" t="s">
        <v>2081</v>
      </c>
      <c r="BF6" s="14" t="s">
        <v>2082</v>
      </c>
      <c r="BG6" s="14" t="s">
        <v>2083</v>
      </c>
      <c r="BH6" s="14" t="s">
        <v>2084</v>
      </c>
      <c r="BI6" s="14" t="s">
        <v>2085</v>
      </c>
      <c r="BJ6" s="14" t="s">
        <v>2051</v>
      </c>
      <c r="BK6" s="14" t="s">
        <v>2048</v>
      </c>
      <c r="BL6" s="14" t="s">
        <v>2064</v>
      </c>
      <c r="BM6" s="14" t="s">
        <v>72</v>
      </c>
      <c r="BN6" s="14" t="s">
        <v>72</v>
      </c>
      <c r="BO6" s="14" t="s">
        <v>2096</v>
      </c>
      <c r="BP6" s="14" t="s">
        <v>2048</v>
      </c>
      <c r="BQ6" s="14" t="s">
        <v>2048</v>
      </c>
      <c r="BR6" s="14" t="s">
        <v>159</v>
      </c>
      <c r="BS6" s="14" t="s">
        <v>2089</v>
      </c>
      <c r="BT6" s="14" t="s">
        <v>2048</v>
      </c>
      <c r="BU6" s="14" t="s">
        <v>2048</v>
      </c>
      <c r="BV6" s="14" t="s">
        <v>2048</v>
      </c>
      <c r="BW6" s="14" t="s">
        <v>2051</v>
      </c>
      <c r="BX6" s="14" t="s">
        <v>2048</v>
      </c>
      <c r="BY6" s="14" t="s">
        <v>2048</v>
      </c>
      <c r="BZ6" s="14" t="s">
        <v>2048</v>
      </c>
      <c r="CA6" s="14" t="s">
        <v>2048</v>
      </c>
      <c r="CB6" s="14" t="s">
        <v>2048</v>
      </c>
      <c r="CC6" s="14" t="s">
        <v>2048</v>
      </c>
      <c r="CD6" s="14" t="s">
        <v>2048</v>
      </c>
      <c r="CE6" s="14" t="s">
        <v>2048</v>
      </c>
      <c r="CF6" s="14" t="s">
        <v>2048</v>
      </c>
      <c r="CG6" s="14" t="s">
        <v>2057</v>
      </c>
      <c r="CH6" s="14" t="s">
        <v>2090</v>
      </c>
      <c r="CI6" s="14" t="s">
        <v>2048</v>
      </c>
      <c r="CJ6" s="17"/>
      <c r="CK6" s="17">
        <v>45105</v>
      </c>
      <c r="CL6" s="17">
        <v>45105</v>
      </c>
      <c r="CM6" s="17">
        <v>2958465</v>
      </c>
      <c r="CN6" s="17"/>
      <c r="CO6" s="19">
        <v>0</v>
      </c>
      <c r="CP6" s="19">
        <v>0</v>
      </c>
      <c r="CQ6" s="19">
        <v>0</v>
      </c>
      <c r="CR6" s="19">
        <v>0</v>
      </c>
      <c r="CS6" s="19">
        <v>0</v>
      </c>
      <c r="CT6" s="19">
        <v>0</v>
      </c>
      <c r="CU6" s="19">
        <v>0</v>
      </c>
      <c r="CV6" s="17"/>
      <c r="CW6" s="19">
        <v>19745</v>
      </c>
      <c r="CX6" s="17">
        <v>45730</v>
      </c>
      <c r="CY6" s="17"/>
      <c r="CZ6" s="19">
        <v>0</v>
      </c>
      <c r="DA6" s="17"/>
      <c r="DB6" s="17"/>
      <c r="DC6" s="19">
        <v>100</v>
      </c>
      <c r="DD6" s="17"/>
      <c r="DE6" s="17">
        <v>2958465</v>
      </c>
      <c r="DF6" s="17"/>
      <c r="DG6" s="17"/>
      <c r="DH6" s="19">
        <v>0</v>
      </c>
      <c r="DI6" s="19">
        <v>0</v>
      </c>
    </row>
    <row r="7" spans="1:113" x14ac:dyDescent="0.2">
      <c r="A7" s="14"/>
      <c r="B7" s="16" t="s">
        <v>2097</v>
      </c>
      <c r="C7" s="14" t="s">
        <v>158</v>
      </c>
      <c r="D7" s="14" t="s">
        <v>159</v>
      </c>
      <c r="E7" s="14" t="s">
        <v>158</v>
      </c>
      <c r="F7" s="14" t="s">
        <v>2044</v>
      </c>
      <c r="G7" s="14" t="s">
        <v>2045</v>
      </c>
      <c r="H7" s="14" t="s">
        <v>102</v>
      </c>
      <c r="I7" s="14" t="s">
        <v>103</v>
      </c>
      <c r="J7" s="16">
        <f>COUNTIF($I$3:I7, I7)</f>
        <v>4</v>
      </c>
      <c r="K7" s="14" t="s">
        <v>2048</v>
      </c>
      <c r="L7" s="14" t="s">
        <v>2048</v>
      </c>
      <c r="M7" s="14" t="s">
        <v>2048</v>
      </c>
      <c r="N7" s="14"/>
      <c r="O7" s="14" t="s">
        <v>2098</v>
      </c>
      <c r="P7" s="14" t="s">
        <v>72</v>
      </c>
      <c r="Q7" s="14" t="s">
        <v>72</v>
      </c>
      <c r="R7" s="14" t="s">
        <v>2048</v>
      </c>
      <c r="S7" s="14"/>
      <c r="T7" s="14" t="s">
        <v>200</v>
      </c>
      <c r="U7" s="14" t="s">
        <v>2049</v>
      </c>
      <c r="V7" s="14" t="s">
        <v>2050</v>
      </c>
      <c r="W7" s="14" t="s">
        <v>2051</v>
      </c>
      <c r="X7" s="14" t="s">
        <v>2048</v>
      </c>
      <c r="Y7" s="14" t="s">
        <v>2048</v>
      </c>
      <c r="Z7" s="14" t="s">
        <v>2048</v>
      </c>
      <c r="AA7" s="14" t="s">
        <v>2048</v>
      </c>
      <c r="AB7" s="14" t="s">
        <v>85</v>
      </c>
      <c r="AC7" s="14" t="s">
        <v>114</v>
      </c>
      <c r="AD7" s="14" t="s">
        <v>2072</v>
      </c>
      <c r="AE7" s="14" t="s">
        <v>2073</v>
      </c>
      <c r="AF7" s="14" t="s">
        <v>2055</v>
      </c>
      <c r="AG7" s="14" t="s">
        <v>2055</v>
      </c>
      <c r="AH7" s="14" t="s">
        <v>2055</v>
      </c>
      <c r="AI7" s="14" t="s">
        <v>2057</v>
      </c>
      <c r="AJ7" s="14" t="s">
        <v>87</v>
      </c>
      <c r="AK7" s="14" t="s">
        <v>2048</v>
      </c>
      <c r="AL7" s="14" t="s">
        <v>2048</v>
      </c>
      <c r="AM7" s="14" t="s">
        <v>2048</v>
      </c>
      <c r="AN7" s="14" t="s">
        <v>2074</v>
      </c>
      <c r="AO7" s="17" t="s">
        <v>108</v>
      </c>
      <c r="AP7" s="14" t="s">
        <v>161</v>
      </c>
      <c r="AQ7" s="14" t="s">
        <v>2059</v>
      </c>
      <c r="AR7" s="14" t="s">
        <v>2060</v>
      </c>
      <c r="AS7" s="14" t="s">
        <v>2048</v>
      </c>
      <c r="AT7" s="14" t="s">
        <v>2061</v>
      </c>
      <c r="AU7" s="14" t="s">
        <v>2077</v>
      </c>
      <c r="AV7" s="14" t="s">
        <v>2078</v>
      </c>
      <c r="AW7" s="14" t="s">
        <v>2048</v>
      </c>
      <c r="AX7" s="14" t="s">
        <v>2048</v>
      </c>
      <c r="AY7" s="14" t="s">
        <v>102</v>
      </c>
      <c r="AZ7" s="14" t="s">
        <v>440</v>
      </c>
      <c r="BA7" s="14" t="s">
        <v>2079</v>
      </c>
      <c r="BB7" s="14" t="s">
        <v>2048</v>
      </c>
      <c r="BC7" s="14" t="s">
        <v>2061</v>
      </c>
      <c r="BD7" s="14" t="s">
        <v>2080</v>
      </c>
      <c r="BE7" s="14" t="s">
        <v>2081</v>
      </c>
      <c r="BF7" s="14" t="s">
        <v>2082</v>
      </c>
      <c r="BG7" s="14" t="s">
        <v>2083</v>
      </c>
      <c r="BH7" s="14" t="s">
        <v>2084</v>
      </c>
      <c r="BI7" s="14" t="s">
        <v>2085</v>
      </c>
      <c r="BJ7" s="14" t="s">
        <v>2051</v>
      </c>
      <c r="BK7" s="14" t="s">
        <v>2048</v>
      </c>
      <c r="BL7" s="14" t="s">
        <v>2064</v>
      </c>
      <c r="BM7" s="14" t="s">
        <v>72</v>
      </c>
      <c r="BN7" s="14" t="s">
        <v>72</v>
      </c>
      <c r="BO7" s="14" t="s">
        <v>2099</v>
      </c>
      <c r="BP7" s="14" t="s">
        <v>2048</v>
      </c>
      <c r="BQ7" s="14" t="s">
        <v>2048</v>
      </c>
      <c r="BR7" s="14" t="s">
        <v>159</v>
      </c>
      <c r="BS7" s="14" t="s">
        <v>2089</v>
      </c>
      <c r="BT7" s="14" t="s">
        <v>2048</v>
      </c>
      <c r="BU7" s="14" t="s">
        <v>2048</v>
      </c>
      <c r="BV7" s="14" t="s">
        <v>2048</v>
      </c>
      <c r="BW7" s="14" t="s">
        <v>2051</v>
      </c>
      <c r="BX7" s="14" t="s">
        <v>2048</v>
      </c>
      <c r="BY7" s="14" t="s">
        <v>2048</v>
      </c>
      <c r="BZ7" s="14" t="s">
        <v>2048</v>
      </c>
      <c r="CA7" s="14" t="s">
        <v>2048</v>
      </c>
      <c r="CB7" s="14" t="s">
        <v>2048</v>
      </c>
      <c r="CC7" s="14" t="s">
        <v>2048</v>
      </c>
      <c r="CD7" s="14" t="s">
        <v>2048</v>
      </c>
      <c r="CE7" s="14" t="s">
        <v>2048</v>
      </c>
      <c r="CF7" s="14" t="s">
        <v>2048</v>
      </c>
      <c r="CG7" s="14" t="s">
        <v>2057</v>
      </c>
      <c r="CH7" s="14" t="s">
        <v>2090</v>
      </c>
      <c r="CI7" s="14" t="s">
        <v>2048</v>
      </c>
      <c r="CJ7" s="17"/>
      <c r="CK7" s="17">
        <v>45105</v>
      </c>
      <c r="CL7" s="17">
        <v>45105</v>
      </c>
      <c r="CM7" s="17">
        <v>2958465</v>
      </c>
      <c r="CN7" s="17"/>
      <c r="CO7" s="19">
        <v>0</v>
      </c>
      <c r="CP7" s="19">
        <v>0</v>
      </c>
      <c r="CQ7" s="19">
        <v>0</v>
      </c>
      <c r="CR7" s="19">
        <v>0</v>
      </c>
      <c r="CS7" s="19">
        <v>0</v>
      </c>
      <c r="CT7" s="19">
        <v>0</v>
      </c>
      <c r="CU7" s="19">
        <v>0</v>
      </c>
      <c r="CV7" s="17"/>
      <c r="CW7" s="19">
        <v>19611</v>
      </c>
      <c r="CX7" s="17">
        <v>45730</v>
      </c>
      <c r="CY7" s="17"/>
      <c r="CZ7" s="19">
        <v>0</v>
      </c>
      <c r="DA7" s="17"/>
      <c r="DB7" s="17"/>
      <c r="DC7" s="19">
        <v>100</v>
      </c>
      <c r="DD7" s="17"/>
      <c r="DE7" s="17">
        <v>2958465</v>
      </c>
      <c r="DF7" s="17"/>
      <c r="DG7" s="17"/>
      <c r="DH7" s="19">
        <v>0</v>
      </c>
      <c r="DI7" s="19">
        <v>0</v>
      </c>
    </row>
    <row r="8" spans="1:113" x14ac:dyDescent="0.2">
      <c r="A8" s="14"/>
      <c r="B8" s="16" t="s">
        <v>2100</v>
      </c>
      <c r="C8" s="14" t="s">
        <v>158</v>
      </c>
      <c r="D8" s="14" t="s">
        <v>159</v>
      </c>
      <c r="E8" s="14" t="s">
        <v>158</v>
      </c>
      <c r="F8" s="14" t="s">
        <v>2044</v>
      </c>
      <c r="G8" s="14" t="s">
        <v>2045</v>
      </c>
      <c r="H8" s="14" t="s">
        <v>102</v>
      </c>
      <c r="I8" s="14" t="s">
        <v>103</v>
      </c>
      <c r="J8" s="16">
        <f>COUNTIF($I$3:I8, I8)</f>
        <v>5</v>
      </c>
      <c r="K8" s="14" t="s">
        <v>2048</v>
      </c>
      <c r="L8" s="14" t="s">
        <v>2048</v>
      </c>
      <c r="M8" s="14" t="s">
        <v>2048</v>
      </c>
      <c r="N8" s="14"/>
      <c r="O8" s="14" t="s">
        <v>2101</v>
      </c>
      <c r="P8" s="14" t="s">
        <v>72</v>
      </c>
      <c r="Q8" s="14" t="s">
        <v>72</v>
      </c>
      <c r="R8" s="14" t="s">
        <v>2048</v>
      </c>
      <c r="S8" s="14"/>
      <c r="T8" s="14" t="s">
        <v>200</v>
      </c>
      <c r="U8" s="14" t="s">
        <v>2049</v>
      </c>
      <c r="V8" s="14" t="s">
        <v>2050</v>
      </c>
      <c r="W8" s="14" t="s">
        <v>2051</v>
      </c>
      <c r="X8" s="14" t="s">
        <v>2048</v>
      </c>
      <c r="Y8" s="14" t="s">
        <v>2048</v>
      </c>
      <c r="Z8" s="14" t="s">
        <v>2048</v>
      </c>
      <c r="AA8" s="14" t="s">
        <v>2048</v>
      </c>
      <c r="AB8" s="14" t="s">
        <v>85</v>
      </c>
      <c r="AC8" s="14" t="s">
        <v>114</v>
      </c>
      <c r="AD8" s="14" t="s">
        <v>2072</v>
      </c>
      <c r="AE8" s="14" t="s">
        <v>2073</v>
      </c>
      <c r="AF8" s="14" t="s">
        <v>2055</v>
      </c>
      <c r="AG8" s="14" t="s">
        <v>2055</v>
      </c>
      <c r="AH8" s="14" t="s">
        <v>2055</v>
      </c>
      <c r="AI8" s="14" t="s">
        <v>2057</v>
      </c>
      <c r="AJ8" s="14" t="s">
        <v>87</v>
      </c>
      <c r="AK8" s="14" t="s">
        <v>2048</v>
      </c>
      <c r="AL8" s="14" t="s">
        <v>2048</v>
      </c>
      <c r="AM8" s="14" t="s">
        <v>2048</v>
      </c>
      <c r="AN8" s="14" t="s">
        <v>2102</v>
      </c>
      <c r="AO8" s="17" t="s">
        <v>108</v>
      </c>
      <c r="AP8" s="14" t="s">
        <v>159</v>
      </c>
      <c r="AQ8" s="14" t="s">
        <v>2059</v>
      </c>
      <c r="AR8" s="14" t="s">
        <v>2103</v>
      </c>
      <c r="AS8" s="14" t="s">
        <v>2104</v>
      </c>
      <c r="AT8" s="14" t="s">
        <v>2105</v>
      </c>
      <c r="AU8" s="14" t="s">
        <v>2106</v>
      </c>
      <c r="AV8" s="14" t="s">
        <v>2107</v>
      </c>
      <c r="AW8" s="14" t="s">
        <v>2048</v>
      </c>
      <c r="AX8" s="14" t="s">
        <v>2048</v>
      </c>
      <c r="AY8" s="14" t="s">
        <v>102</v>
      </c>
      <c r="AZ8" s="14" t="s">
        <v>2108</v>
      </c>
      <c r="BA8" s="14" t="s">
        <v>2109</v>
      </c>
      <c r="BB8" s="14" t="s">
        <v>2048</v>
      </c>
      <c r="BC8" s="14" t="s">
        <v>2061</v>
      </c>
      <c r="BD8" s="14" t="s">
        <v>2080</v>
      </c>
      <c r="BE8" s="14" t="s">
        <v>2081</v>
      </c>
      <c r="BF8" s="14" t="s">
        <v>2110</v>
      </c>
      <c r="BG8" s="14" t="s">
        <v>2111</v>
      </c>
      <c r="BH8" s="14" t="s">
        <v>2112</v>
      </c>
      <c r="BI8" s="14" t="s">
        <v>2085</v>
      </c>
      <c r="BJ8" s="14" t="s">
        <v>2051</v>
      </c>
      <c r="BK8" s="14" t="s">
        <v>2048</v>
      </c>
      <c r="BL8" s="14" t="s">
        <v>2064</v>
      </c>
      <c r="BM8" s="14" t="s">
        <v>72</v>
      </c>
      <c r="BN8" s="14" t="s">
        <v>72</v>
      </c>
      <c r="BO8" s="14" t="s">
        <v>2113</v>
      </c>
      <c r="BP8" s="14" t="s">
        <v>2114</v>
      </c>
      <c r="BQ8" s="14" t="s">
        <v>2115</v>
      </c>
      <c r="BR8" s="14" t="s">
        <v>159</v>
      </c>
      <c r="BS8" s="14" t="s">
        <v>2089</v>
      </c>
      <c r="BT8" s="14" t="s">
        <v>2048</v>
      </c>
      <c r="BU8" s="14" t="s">
        <v>2048</v>
      </c>
      <c r="BV8" s="14" t="s">
        <v>2048</v>
      </c>
      <c r="BW8" s="14" t="s">
        <v>2051</v>
      </c>
      <c r="BX8" s="14" t="s">
        <v>2048</v>
      </c>
      <c r="BY8" s="14" t="s">
        <v>2048</v>
      </c>
      <c r="BZ8" s="14" t="s">
        <v>2048</v>
      </c>
      <c r="CA8" s="14" t="s">
        <v>2048</v>
      </c>
      <c r="CB8" s="14" t="s">
        <v>2048</v>
      </c>
      <c r="CC8" s="14" t="s">
        <v>2048</v>
      </c>
      <c r="CD8" s="14" t="s">
        <v>2048</v>
      </c>
      <c r="CE8" s="14" t="s">
        <v>2048</v>
      </c>
      <c r="CF8" s="14" t="s">
        <v>2048</v>
      </c>
      <c r="CG8" s="14" t="s">
        <v>2057</v>
      </c>
      <c r="CH8" s="14" t="s">
        <v>2090</v>
      </c>
      <c r="CI8" s="14" t="s">
        <v>2048</v>
      </c>
      <c r="CJ8" s="17"/>
      <c r="CK8" s="17">
        <v>45077</v>
      </c>
      <c r="CL8" s="17">
        <v>45077</v>
      </c>
      <c r="CM8" s="17">
        <v>2958465</v>
      </c>
      <c r="CN8" s="17"/>
      <c r="CO8" s="19">
        <v>0</v>
      </c>
      <c r="CP8" s="19">
        <v>0</v>
      </c>
      <c r="CQ8" s="19">
        <v>0</v>
      </c>
      <c r="CR8" s="19">
        <v>0</v>
      </c>
      <c r="CS8" s="19">
        <v>0</v>
      </c>
      <c r="CT8" s="19">
        <v>0</v>
      </c>
      <c r="CU8" s="19">
        <v>0</v>
      </c>
      <c r="CV8" s="17"/>
      <c r="CW8" s="19">
        <v>0</v>
      </c>
      <c r="CX8" s="17"/>
      <c r="CY8" s="17"/>
      <c r="CZ8" s="19">
        <v>0</v>
      </c>
      <c r="DA8" s="17"/>
      <c r="DB8" s="17"/>
      <c r="DC8" s="19">
        <v>100</v>
      </c>
      <c r="DD8" s="17"/>
      <c r="DE8" s="17">
        <v>2958465</v>
      </c>
      <c r="DF8" s="17"/>
      <c r="DG8" s="17"/>
      <c r="DH8" s="19">
        <v>0</v>
      </c>
      <c r="DI8" s="19">
        <v>0</v>
      </c>
    </row>
    <row r="9" spans="1:113" x14ac:dyDescent="0.2">
      <c r="A9" s="14"/>
      <c r="B9" s="16" t="s">
        <v>2116</v>
      </c>
      <c r="C9" s="14" t="s">
        <v>158</v>
      </c>
      <c r="D9" s="14" t="s">
        <v>159</v>
      </c>
      <c r="E9" s="14" t="s">
        <v>158</v>
      </c>
      <c r="F9" s="14" t="s">
        <v>2044</v>
      </c>
      <c r="G9" s="14" t="s">
        <v>2045</v>
      </c>
      <c r="H9" s="14" t="s">
        <v>102</v>
      </c>
      <c r="I9" s="14" t="s">
        <v>103</v>
      </c>
      <c r="J9" s="16">
        <f>COUNTIF($I$3:I9, I9)</f>
        <v>6</v>
      </c>
      <c r="K9" s="14" t="s">
        <v>2048</v>
      </c>
      <c r="L9" s="14" t="s">
        <v>2048</v>
      </c>
      <c r="M9" s="14" t="s">
        <v>2048</v>
      </c>
      <c r="N9" s="14"/>
      <c r="O9" s="14" t="s">
        <v>2117</v>
      </c>
      <c r="P9" s="14" t="s">
        <v>72</v>
      </c>
      <c r="Q9" s="14" t="s">
        <v>72</v>
      </c>
      <c r="R9" s="14" t="s">
        <v>2048</v>
      </c>
      <c r="S9" s="14"/>
      <c r="T9" s="14" t="s">
        <v>200</v>
      </c>
      <c r="U9" s="14" t="s">
        <v>2049</v>
      </c>
      <c r="V9" s="14" t="s">
        <v>2050</v>
      </c>
      <c r="W9" s="14" t="s">
        <v>2051</v>
      </c>
      <c r="X9" s="14" t="s">
        <v>2048</v>
      </c>
      <c r="Y9" s="14" t="s">
        <v>2048</v>
      </c>
      <c r="Z9" s="14" t="s">
        <v>2048</v>
      </c>
      <c r="AA9" s="14" t="s">
        <v>2048</v>
      </c>
      <c r="AB9" s="14" t="s">
        <v>359</v>
      </c>
      <c r="AC9" s="14" t="s">
        <v>452</v>
      </c>
      <c r="AD9" s="14" t="s">
        <v>2072</v>
      </c>
      <c r="AE9" s="14" t="s">
        <v>2073</v>
      </c>
      <c r="AF9" s="14" t="s">
        <v>2056</v>
      </c>
      <c r="AG9" s="14" t="s">
        <v>2056</v>
      </c>
      <c r="AH9" s="14" t="s">
        <v>2055</v>
      </c>
      <c r="AI9" s="14" t="s">
        <v>2057</v>
      </c>
      <c r="AJ9" s="14" t="s">
        <v>87</v>
      </c>
      <c r="AK9" s="14" t="s">
        <v>2048</v>
      </c>
      <c r="AL9" s="14" t="s">
        <v>2048</v>
      </c>
      <c r="AM9" s="14" t="s">
        <v>2048</v>
      </c>
      <c r="AN9" s="14" t="s">
        <v>2074</v>
      </c>
      <c r="AO9" s="17" t="s">
        <v>108</v>
      </c>
      <c r="AP9" s="14" t="s">
        <v>159</v>
      </c>
      <c r="AQ9" s="14" t="s">
        <v>2059</v>
      </c>
      <c r="AR9" s="14" t="s">
        <v>2060</v>
      </c>
      <c r="AS9" s="14" t="s">
        <v>2048</v>
      </c>
      <c r="AT9" s="14" t="s">
        <v>2105</v>
      </c>
      <c r="AU9" s="14" t="s">
        <v>2118</v>
      </c>
      <c r="AV9" s="14" t="s">
        <v>2119</v>
      </c>
      <c r="AW9" s="14" t="s">
        <v>2048</v>
      </c>
      <c r="AX9" s="14" t="s">
        <v>2048</v>
      </c>
      <c r="AY9" s="14" t="s">
        <v>102</v>
      </c>
      <c r="AZ9" s="14" t="s">
        <v>440</v>
      </c>
      <c r="BA9" s="14" t="s">
        <v>2079</v>
      </c>
      <c r="BB9" s="14" t="s">
        <v>2048</v>
      </c>
      <c r="BC9" s="14" t="s">
        <v>2061</v>
      </c>
      <c r="BD9" s="14" t="s">
        <v>2080</v>
      </c>
      <c r="BE9" s="14" t="s">
        <v>2081</v>
      </c>
      <c r="BF9" s="14" t="s">
        <v>2082</v>
      </c>
      <c r="BG9" s="14" t="s">
        <v>2083</v>
      </c>
      <c r="BH9" s="14" t="s">
        <v>2084</v>
      </c>
      <c r="BI9" s="14" t="s">
        <v>2085</v>
      </c>
      <c r="BJ9" s="14" t="s">
        <v>2051</v>
      </c>
      <c r="BK9" s="14" t="s">
        <v>2048</v>
      </c>
      <c r="BL9" s="14" t="s">
        <v>2064</v>
      </c>
      <c r="BM9" s="14" t="s">
        <v>72</v>
      </c>
      <c r="BN9" s="14" t="s">
        <v>72</v>
      </c>
      <c r="BO9" s="14" t="s">
        <v>2120</v>
      </c>
      <c r="BP9" s="14" t="s">
        <v>2048</v>
      </c>
      <c r="BQ9" s="14" t="s">
        <v>2048</v>
      </c>
      <c r="BR9" s="14" t="s">
        <v>159</v>
      </c>
      <c r="BS9" s="14" t="s">
        <v>2089</v>
      </c>
      <c r="BT9" s="14" t="s">
        <v>2048</v>
      </c>
      <c r="BU9" s="14" t="s">
        <v>2048</v>
      </c>
      <c r="BV9" s="14" t="s">
        <v>2048</v>
      </c>
      <c r="BW9" s="14" t="s">
        <v>2051</v>
      </c>
      <c r="BX9" s="14" t="s">
        <v>2048</v>
      </c>
      <c r="BY9" s="14" t="s">
        <v>2048</v>
      </c>
      <c r="BZ9" s="14" t="s">
        <v>2048</v>
      </c>
      <c r="CA9" s="14" t="s">
        <v>2048</v>
      </c>
      <c r="CB9" s="14" t="s">
        <v>2048</v>
      </c>
      <c r="CC9" s="14" t="s">
        <v>2048</v>
      </c>
      <c r="CD9" s="14" t="s">
        <v>2048</v>
      </c>
      <c r="CE9" s="14" t="s">
        <v>2048</v>
      </c>
      <c r="CF9" s="14" t="s">
        <v>2048</v>
      </c>
      <c r="CG9" s="14" t="s">
        <v>2121</v>
      </c>
      <c r="CH9" s="14" t="s">
        <v>2122</v>
      </c>
      <c r="CI9" s="14" t="s">
        <v>2048</v>
      </c>
      <c r="CJ9" s="17"/>
      <c r="CK9" s="17">
        <v>45063</v>
      </c>
      <c r="CL9" s="17">
        <v>45063</v>
      </c>
      <c r="CM9" s="17">
        <v>2958465</v>
      </c>
      <c r="CN9" s="17"/>
      <c r="CO9" s="19">
        <v>0</v>
      </c>
      <c r="CP9" s="19">
        <v>0</v>
      </c>
      <c r="CQ9" s="19">
        <v>0</v>
      </c>
      <c r="CR9" s="19">
        <v>0</v>
      </c>
      <c r="CS9" s="19">
        <v>0</v>
      </c>
      <c r="CT9" s="19">
        <v>0</v>
      </c>
      <c r="CU9" s="19">
        <v>0</v>
      </c>
      <c r="CV9" s="17"/>
      <c r="CW9" s="19">
        <v>19665</v>
      </c>
      <c r="CX9" s="17">
        <v>45730</v>
      </c>
      <c r="CY9" s="17"/>
      <c r="CZ9" s="19">
        <v>0</v>
      </c>
      <c r="DA9" s="17"/>
      <c r="DB9" s="17"/>
      <c r="DC9" s="19">
        <v>100</v>
      </c>
      <c r="DD9" s="17"/>
      <c r="DE9" s="17">
        <v>2958465</v>
      </c>
      <c r="DF9" s="17"/>
      <c r="DG9" s="17"/>
      <c r="DH9" s="19">
        <v>0</v>
      </c>
      <c r="DI9" s="19">
        <v>0</v>
      </c>
    </row>
    <row r="10" spans="1:113" x14ac:dyDescent="0.2">
      <c r="A10" s="14"/>
      <c r="B10" s="16" t="s">
        <v>2123</v>
      </c>
      <c r="C10" s="14" t="s">
        <v>158</v>
      </c>
      <c r="D10" s="14" t="s">
        <v>159</v>
      </c>
      <c r="E10" s="14" t="s">
        <v>158</v>
      </c>
      <c r="F10" s="14" t="s">
        <v>2044</v>
      </c>
      <c r="G10" s="14" t="s">
        <v>2045</v>
      </c>
      <c r="H10" s="14" t="s">
        <v>102</v>
      </c>
      <c r="I10" s="14" t="s">
        <v>103</v>
      </c>
      <c r="J10" s="16">
        <f>COUNTIF($I$3:I10, I10)</f>
        <v>7</v>
      </c>
      <c r="K10" s="14" t="s">
        <v>2048</v>
      </c>
      <c r="L10" s="14" t="s">
        <v>2048</v>
      </c>
      <c r="M10" s="14" t="s">
        <v>2048</v>
      </c>
      <c r="N10" s="14"/>
      <c r="O10" s="14" t="s">
        <v>2124</v>
      </c>
      <c r="P10" s="14" t="s">
        <v>72</v>
      </c>
      <c r="Q10" s="14" t="s">
        <v>72</v>
      </c>
      <c r="R10" s="14" t="s">
        <v>2048</v>
      </c>
      <c r="S10" s="14"/>
      <c r="T10" s="14" t="s">
        <v>200</v>
      </c>
      <c r="U10" s="14" t="s">
        <v>2049</v>
      </c>
      <c r="V10" s="14" t="s">
        <v>2050</v>
      </c>
      <c r="W10" s="14" t="s">
        <v>2051</v>
      </c>
      <c r="X10" s="14" t="s">
        <v>2048</v>
      </c>
      <c r="Y10" s="14" t="s">
        <v>2048</v>
      </c>
      <c r="Z10" s="14" t="s">
        <v>2048</v>
      </c>
      <c r="AA10" s="14" t="s">
        <v>2048</v>
      </c>
      <c r="AB10" s="14" t="s">
        <v>359</v>
      </c>
      <c r="AC10" s="14" t="s">
        <v>452</v>
      </c>
      <c r="AD10" s="14" t="s">
        <v>2072</v>
      </c>
      <c r="AE10" s="14" t="s">
        <v>2073</v>
      </c>
      <c r="AF10" s="14" t="s">
        <v>2056</v>
      </c>
      <c r="AG10" s="14" t="s">
        <v>2056</v>
      </c>
      <c r="AH10" s="14" t="s">
        <v>2055</v>
      </c>
      <c r="AI10" s="14" t="s">
        <v>2057</v>
      </c>
      <c r="AJ10" s="14" t="s">
        <v>87</v>
      </c>
      <c r="AK10" s="14" t="s">
        <v>2048</v>
      </c>
      <c r="AL10" s="14" t="s">
        <v>2048</v>
      </c>
      <c r="AM10" s="14" t="s">
        <v>2048</v>
      </c>
      <c r="AN10" s="14" t="s">
        <v>2074</v>
      </c>
      <c r="AO10" s="17" t="s">
        <v>108</v>
      </c>
      <c r="AP10" s="14" t="s">
        <v>159</v>
      </c>
      <c r="AQ10" s="14" t="s">
        <v>2059</v>
      </c>
      <c r="AR10" s="14" t="s">
        <v>2060</v>
      </c>
      <c r="AS10" s="14" t="s">
        <v>2048</v>
      </c>
      <c r="AT10" s="14" t="s">
        <v>2105</v>
      </c>
      <c r="AU10" s="14" t="s">
        <v>2118</v>
      </c>
      <c r="AV10" s="14" t="s">
        <v>2119</v>
      </c>
      <c r="AW10" s="14" t="s">
        <v>2048</v>
      </c>
      <c r="AX10" s="14" t="s">
        <v>2048</v>
      </c>
      <c r="AY10" s="14" t="s">
        <v>102</v>
      </c>
      <c r="AZ10" s="14" t="s">
        <v>440</v>
      </c>
      <c r="BA10" s="14" t="s">
        <v>2079</v>
      </c>
      <c r="BB10" s="14" t="s">
        <v>2048</v>
      </c>
      <c r="BC10" s="14" t="s">
        <v>2061</v>
      </c>
      <c r="BD10" s="14" t="s">
        <v>2080</v>
      </c>
      <c r="BE10" s="14" t="s">
        <v>2081</v>
      </c>
      <c r="BF10" s="14" t="s">
        <v>2082</v>
      </c>
      <c r="BG10" s="14" t="s">
        <v>2083</v>
      </c>
      <c r="BH10" s="14" t="s">
        <v>2084</v>
      </c>
      <c r="BI10" s="14" t="s">
        <v>2085</v>
      </c>
      <c r="BJ10" s="14" t="s">
        <v>2051</v>
      </c>
      <c r="BK10" s="14" t="s">
        <v>2048</v>
      </c>
      <c r="BL10" s="14" t="s">
        <v>2064</v>
      </c>
      <c r="BM10" s="14" t="s">
        <v>72</v>
      </c>
      <c r="BN10" s="14" t="s">
        <v>72</v>
      </c>
      <c r="BO10" s="14" t="s">
        <v>2125</v>
      </c>
      <c r="BP10" s="14" t="s">
        <v>2048</v>
      </c>
      <c r="BQ10" s="14" t="s">
        <v>2048</v>
      </c>
      <c r="BR10" s="14" t="s">
        <v>159</v>
      </c>
      <c r="BS10" s="14" t="s">
        <v>2089</v>
      </c>
      <c r="BT10" s="14" t="s">
        <v>2048</v>
      </c>
      <c r="BU10" s="14" t="s">
        <v>2048</v>
      </c>
      <c r="BV10" s="14" t="s">
        <v>2048</v>
      </c>
      <c r="BW10" s="14" t="s">
        <v>2051</v>
      </c>
      <c r="BX10" s="14" t="s">
        <v>2048</v>
      </c>
      <c r="BY10" s="14" t="s">
        <v>2048</v>
      </c>
      <c r="BZ10" s="14" t="s">
        <v>2048</v>
      </c>
      <c r="CA10" s="14" t="s">
        <v>2048</v>
      </c>
      <c r="CB10" s="14" t="s">
        <v>2048</v>
      </c>
      <c r="CC10" s="14" t="s">
        <v>2048</v>
      </c>
      <c r="CD10" s="14" t="s">
        <v>2048</v>
      </c>
      <c r="CE10" s="14" t="s">
        <v>2048</v>
      </c>
      <c r="CF10" s="14" t="s">
        <v>2048</v>
      </c>
      <c r="CG10" s="14" t="s">
        <v>2121</v>
      </c>
      <c r="CH10" s="14" t="s">
        <v>2122</v>
      </c>
      <c r="CI10" s="14" t="s">
        <v>2048</v>
      </c>
      <c r="CJ10" s="17"/>
      <c r="CK10" s="17">
        <v>45063</v>
      </c>
      <c r="CL10" s="17">
        <v>45063</v>
      </c>
      <c r="CM10" s="17">
        <v>2958465</v>
      </c>
      <c r="CN10" s="17"/>
      <c r="CO10" s="19">
        <v>0</v>
      </c>
      <c r="CP10" s="19">
        <v>0</v>
      </c>
      <c r="CQ10" s="19">
        <v>0</v>
      </c>
      <c r="CR10" s="19">
        <v>0</v>
      </c>
      <c r="CS10" s="19">
        <v>0</v>
      </c>
      <c r="CT10" s="19">
        <v>0</v>
      </c>
      <c r="CU10" s="19">
        <v>0</v>
      </c>
      <c r="CV10" s="17"/>
      <c r="CW10" s="19">
        <v>24208</v>
      </c>
      <c r="CX10" s="17">
        <v>45730</v>
      </c>
      <c r="CY10" s="17"/>
      <c r="CZ10" s="19">
        <v>0</v>
      </c>
      <c r="DA10" s="17"/>
      <c r="DB10" s="17"/>
      <c r="DC10" s="19">
        <v>100</v>
      </c>
      <c r="DD10" s="17"/>
      <c r="DE10" s="17">
        <v>2958465</v>
      </c>
      <c r="DF10" s="17"/>
      <c r="DG10" s="17"/>
      <c r="DH10" s="19">
        <v>0</v>
      </c>
      <c r="DI10" s="19">
        <v>0</v>
      </c>
    </row>
    <row r="11" spans="1:113" x14ac:dyDescent="0.2">
      <c r="A11" s="14"/>
      <c r="B11" s="16" t="s">
        <v>2126</v>
      </c>
      <c r="C11" s="14" t="s">
        <v>158</v>
      </c>
      <c r="D11" s="14" t="s">
        <v>159</v>
      </c>
      <c r="E11" s="14" t="s">
        <v>158</v>
      </c>
      <c r="F11" s="14" t="s">
        <v>2044</v>
      </c>
      <c r="G11" s="14" t="s">
        <v>2045</v>
      </c>
      <c r="H11" s="14" t="s">
        <v>2046</v>
      </c>
      <c r="I11" s="14" t="s">
        <v>2047</v>
      </c>
      <c r="J11" s="16">
        <f>COUNTIF($I$3:I11, I11)</f>
        <v>2</v>
      </c>
      <c r="K11" s="14" t="s">
        <v>2048</v>
      </c>
      <c r="L11" s="14" t="s">
        <v>2048</v>
      </c>
      <c r="M11" s="14" t="s">
        <v>2048</v>
      </c>
      <c r="N11" s="14"/>
      <c r="O11" s="14" t="s">
        <v>72</v>
      </c>
      <c r="P11" s="14" t="s">
        <v>72</v>
      </c>
      <c r="Q11" s="14" t="s">
        <v>72</v>
      </c>
      <c r="R11" s="14" t="s">
        <v>2048</v>
      </c>
      <c r="S11" s="14"/>
      <c r="T11" s="14" t="s">
        <v>200</v>
      </c>
      <c r="U11" s="14" t="s">
        <v>2049</v>
      </c>
      <c r="V11" s="14" t="s">
        <v>2050</v>
      </c>
      <c r="W11" s="14" t="s">
        <v>2051</v>
      </c>
      <c r="X11" s="14" t="s">
        <v>2048</v>
      </c>
      <c r="Y11" s="14" t="s">
        <v>2048</v>
      </c>
      <c r="Z11" s="14" t="s">
        <v>2048</v>
      </c>
      <c r="AA11" s="14" t="s">
        <v>2048</v>
      </c>
      <c r="AB11" s="14" t="s">
        <v>2127</v>
      </c>
      <c r="AC11" s="14" t="s">
        <v>2128</v>
      </c>
      <c r="AD11" s="14" t="s">
        <v>2129</v>
      </c>
      <c r="AE11" s="14" t="s">
        <v>2130</v>
      </c>
      <c r="AF11" s="14" t="s">
        <v>2055</v>
      </c>
      <c r="AG11" s="14" t="s">
        <v>2055</v>
      </c>
      <c r="AH11" s="14" t="s">
        <v>2055</v>
      </c>
      <c r="AI11" s="14" t="s">
        <v>2057</v>
      </c>
      <c r="AJ11" s="14" t="s">
        <v>87</v>
      </c>
      <c r="AK11" s="14" t="s">
        <v>2048</v>
      </c>
      <c r="AL11" s="14" t="s">
        <v>2048</v>
      </c>
      <c r="AM11" s="14" t="s">
        <v>2048</v>
      </c>
      <c r="AN11" s="14" t="s">
        <v>2058</v>
      </c>
      <c r="AO11" s="17" t="s">
        <v>108</v>
      </c>
      <c r="AP11" s="14" t="s">
        <v>2045</v>
      </c>
      <c r="AQ11" s="14" t="s">
        <v>2059</v>
      </c>
      <c r="AR11" s="14" t="s">
        <v>2060</v>
      </c>
      <c r="AS11" s="14" t="s">
        <v>2048</v>
      </c>
      <c r="AT11" s="14" t="s">
        <v>2061</v>
      </c>
      <c r="AU11" s="14" t="s">
        <v>2062</v>
      </c>
      <c r="AV11" s="14" t="s">
        <v>2063</v>
      </c>
      <c r="AW11" s="14" t="s">
        <v>2048</v>
      </c>
      <c r="AX11" s="14" t="s">
        <v>2048</v>
      </c>
      <c r="AY11" s="14" t="s">
        <v>1231</v>
      </c>
      <c r="AZ11" s="14" t="s">
        <v>312</v>
      </c>
      <c r="BA11" s="14" t="s">
        <v>2048</v>
      </c>
      <c r="BB11" s="14" t="s">
        <v>2048</v>
      </c>
      <c r="BC11" s="14" t="s">
        <v>2061</v>
      </c>
      <c r="BD11" s="14" t="s">
        <v>2048</v>
      </c>
      <c r="BE11" s="14" t="s">
        <v>2048</v>
      </c>
      <c r="BF11" s="14" t="s">
        <v>2048</v>
      </c>
      <c r="BG11" s="14" t="s">
        <v>2048</v>
      </c>
      <c r="BH11" s="14" t="s">
        <v>2048</v>
      </c>
      <c r="BI11" s="14" t="s">
        <v>2048</v>
      </c>
      <c r="BJ11" s="14" t="s">
        <v>2051</v>
      </c>
      <c r="BK11" s="14" t="s">
        <v>2048</v>
      </c>
      <c r="BL11" s="14" t="s">
        <v>2064</v>
      </c>
      <c r="BM11" s="14" t="s">
        <v>72</v>
      </c>
      <c r="BN11" s="14" t="s">
        <v>72</v>
      </c>
      <c r="BO11" s="14" t="s">
        <v>2048</v>
      </c>
      <c r="BP11" s="14" t="s">
        <v>2048</v>
      </c>
      <c r="BQ11" s="14" t="s">
        <v>2048</v>
      </c>
      <c r="BR11" s="14" t="s">
        <v>172</v>
      </c>
      <c r="BS11" s="14" t="s">
        <v>2131</v>
      </c>
      <c r="BT11" s="14" t="s">
        <v>2048</v>
      </c>
      <c r="BU11" s="14" t="s">
        <v>2048</v>
      </c>
      <c r="BV11" s="14" t="s">
        <v>2048</v>
      </c>
      <c r="BW11" s="14" t="s">
        <v>2051</v>
      </c>
      <c r="BX11" s="14" t="s">
        <v>2048</v>
      </c>
      <c r="BY11" s="14" t="s">
        <v>2048</v>
      </c>
      <c r="BZ11" s="14" t="s">
        <v>2048</v>
      </c>
      <c r="CA11" s="14" t="s">
        <v>2048</v>
      </c>
      <c r="CB11" s="14" t="s">
        <v>2048</v>
      </c>
      <c r="CC11" s="14" t="s">
        <v>2048</v>
      </c>
      <c r="CD11" s="14" t="s">
        <v>2048</v>
      </c>
      <c r="CE11" s="14" t="s">
        <v>2048</v>
      </c>
      <c r="CF11" s="14" t="s">
        <v>2048</v>
      </c>
      <c r="CG11" s="14" t="s">
        <v>2068</v>
      </c>
      <c r="CH11" s="14" t="s">
        <v>2069</v>
      </c>
      <c r="CI11" s="14" t="s">
        <v>2048</v>
      </c>
      <c r="CJ11" s="17"/>
      <c r="CK11" s="17">
        <v>44972</v>
      </c>
      <c r="CL11" s="17">
        <v>44972</v>
      </c>
      <c r="CM11" s="17">
        <v>2958465</v>
      </c>
      <c r="CN11" s="17"/>
      <c r="CO11" s="19">
        <v>0</v>
      </c>
      <c r="CP11" s="19">
        <v>0</v>
      </c>
      <c r="CQ11" s="19">
        <v>0</v>
      </c>
      <c r="CR11" s="19">
        <v>0</v>
      </c>
      <c r="CS11" s="19">
        <v>0</v>
      </c>
      <c r="CT11" s="19">
        <v>0</v>
      </c>
      <c r="CU11" s="19">
        <v>0</v>
      </c>
      <c r="CV11" s="17"/>
      <c r="CW11" s="19">
        <v>0</v>
      </c>
      <c r="CX11" s="17"/>
      <c r="CY11" s="17"/>
      <c r="CZ11" s="19">
        <v>0</v>
      </c>
      <c r="DA11" s="17"/>
      <c r="DB11" s="17"/>
      <c r="DC11" s="19">
        <v>100</v>
      </c>
      <c r="DD11" s="17"/>
      <c r="DE11" s="17">
        <v>2958465</v>
      </c>
      <c r="DF11" s="17"/>
      <c r="DG11" s="17"/>
      <c r="DH11" s="19">
        <v>0</v>
      </c>
      <c r="DI11" s="19">
        <v>0</v>
      </c>
    </row>
    <row r="12" spans="1:113" x14ac:dyDescent="0.2">
      <c r="A12" s="14"/>
      <c r="B12" s="16" t="s">
        <v>629</v>
      </c>
      <c r="C12" s="14" t="s">
        <v>158</v>
      </c>
      <c r="D12" s="14" t="s">
        <v>159</v>
      </c>
      <c r="E12" s="14" t="s">
        <v>158</v>
      </c>
      <c r="F12" s="14" t="s">
        <v>2044</v>
      </c>
      <c r="G12" s="14" t="s">
        <v>2045</v>
      </c>
      <c r="H12" s="14" t="s">
        <v>336</v>
      </c>
      <c r="I12" s="14" t="s">
        <v>337</v>
      </c>
      <c r="J12" s="16">
        <f>COUNTIF($I$3:I12, I12)</f>
        <v>1</v>
      </c>
      <c r="K12" s="14" t="s">
        <v>2048</v>
      </c>
      <c r="L12" s="14" t="s">
        <v>2048</v>
      </c>
      <c r="M12" s="14" t="s">
        <v>2048</v>
      </c>
      <c r="N12" s="14"/>
      <c r="O12" s="14" t="s">
        <v>72</v>
      </c>
      <c r="P12" s="14" t="s">
        <v>72</v>
      </c>
      <c r="Q12" s="14" t="s">
        <v>72</v>
      </c>
      <c r="R12" s="14" t="s">
        <v>2048</v>
      </c>
      <c r="S12" s="14"/>
      <c r="T12" s="14" t="s">
        <v>200</v>
      </c>
      <c r="U12" s="14" t="s">
        <v>2049</v>
      </c>
      <c r="V12" s="14" t="s">
        <v>2050</v>
      </c>
      <c r="W12" s="14" t="s">
        <v>2051</v>
      </c>
      <c r="X12" s="14" t="s">
        <v>2048</v>
      </c>
      <c r="Y12" s="14" t="s">
        <v>2048</v>
      </c>
      <c r="Z12" s="14" t="s">
        <v>2048</v>
      </c>
      <c r="AA12" s="14" t="s">
        <v>2048</v>
      </c>
      <c r="AB12" s="14" t="s">
        <v>85</v>
      </c>
      <c r="AC12" s="14" t="s">
        <v>340</v>
      </c>
      <c r="AD12" s="14" t="s">
        <v>2132</v>
      </c>
      <c r="AE12" s="14" t="s">
        <v>2133</v>
      </c>
      <c r="AF12" s="14" t="s">
        <v>2055</v>
      </c>
      <c r="AG12" s="14" t="s">
        <v>2055</v>
      </c>
      <c r="AH12" s="14" t="s">
        <v>2055</v>
      </c>
      <c r="AI12" s="14" t="s">
        <v>2057</v>
      </c>
      <c r="AJ12" s="14" t="s">
        <v>87</v>
      </c>
      <c r="AK12" s="14" t="s">
        <v>2048</v>
      </c>
      <c r="AL12" s="14" t="s">
        <v>2048</v>
      </c>
      <c r="AM12" s="14" t="s">
        <v>2048</v>
      </c>
      <c r="AN12" s="14" t="s">
        <v>2134</v>
      </c>
      <c r="AO12" s="17" t="s">
        <v>108</v>
      </c>
      <c r="AP12" s="14" t="s">
        <v>2135</v>
      </c>
      <c r="AQ12" s="14" t="s">
        <v>2059</v>
      </c>
      <c r="AR12" s="14" t="s">
        <v>2136</v>
      </c>
      <c r="AS12" s="14" t="s">
        <v>2137</v>
      </c>
      <c r="AT12" s="14" t="s">
        <v>2061</v>
      </c>
      <c r="AU12" s="14" t="s">
        <v>2136</v>
      </c>
      <c r="AV12" s="14" t="s">
        <v>2137</v>
      </c>
      <c r="AW12" s="14" t="s">
        <v>2048</v>
      </c>
      <c r="AX12" s="14" t="s">
        <v>2048</v>
      </c>
      <c r="AY12" s="14" t="s">
        <v>336</v>
      </c>
      <c r="AZ12" s="14" t="s">
        <v>630</v>
      </c>
      <c r="BA12" s="14" t="s">
        <v>2138</v>
      </c>
      <c r="BB12" s="14" t="s">
        <v>2048</v>
      </c>
      <c r="BC12" s="14" t="s">
        <v>2061</v>
      </c>
      <c r="BD12" s="14" t="s">
        <v>2080</v>
      </c>
      <c r="BE12" s="14" t="s">
        <v>2081</v>
      </c>
      <c r="BF12" s="14" t="s">
        <v>2139</v>
      </c>
      <c r="BG12" s="14" t="s">
        <v>2140</v>
      </c>
      <c r="BH12" s="14" t="s">
        <v>2141</v>
      </c>
      <c r="BI12" s="14" t="s">
        <v>2085</v>
      </c>
      <c r="BJ12" s="14" t="s">
        <v>2051</v>
      </c>
      <c r="BK12" s="14" t="s">
        <v>2048</v>
      </c>
      <c r="BL12" s="14" t="s">
        <v>2064</v>
      </c>
      <c r="BM12" s="14" t="s">
        <v>72</v>
      </c>
      <c r="BN12" s="14" t="s">
        <v>72</v>
      </c>
      <c r="BO12" s="14" t="s">
        <v>2142</v>
      </c>
      <c r="BP12" s="14" t="s">
        <v>2143</v>
      </c>
      <c r="BQ12" s="14" t="s">
        <v>2144</v>
      </c>
      <c r="BR12" s="14" t="s">
        <v>172</v>
      </c>
      <c r="BS12" s="14" t="s">
        <v>2131</v>
      </c>
      <c r="BT12" s="14" t="s">
        <v>2048</v>
      </c>
      <c r="BU12" s="14" t="s">
        <v>2048</v>
      </c>
      <c r="BV12" s="14" t="s">
        <v>2048</v>
      </c>
      <c r="BW12" s="14" t="s">
        <v>2051</v>
      </c>
      <c r="BX12" s="14" t="s">
        <v>2048</v>
      </c>
      <c r="BY12" s="14" t="s">
        <v>2048</v>
      </c>
      <c r="BZ12" s="14" t="s">
        <v>72</v>
      </c>
      <c r="CA12" s="14" t="s">
        <v>2048</v>
      </c>
      <c r="CB12" s="14" t="s">
        <v>2048</v>
      </c>
      <c r="CC12" s="14" t="s">
        <v>2048</v>
      </c>
      <c r="CD12" s="14" t="s">
        <v>2048</v>
      </c>
      <c r="CE12" s="14" t="s">
        <v>2048</v>
      </c>
      <c r="CF12" s="14" t="s">
        <v>2048</v>
      </c>
      <c r="CG12" s="14" t="s">
        <v>2068</v>
      </c>
      <c r="CH12" s="14" t="s">
        <v>2069</v>
      </c>
      <c r="CI12" s="14" t="s">
        <v>2048</v>
      </c>
      <c r="CJ12" s="17"/>
      <c r="CK12" s="17">
        <v>43439</v>
      </c>
      <c r="CL12" s="17">
        <v>43439</v>
      </c>
      <c r="CM12" s="17">
        <v>2958465</v>
      </c>
      <c r="CN12" s="17"/>
      <c r="CO12" s="19">
        <v>0</v>
      </c>
      <c r="CP12" s="19">
        <v>0</v>
      </c>
      <c r="CQ12" s="19">
        <v>0</v>
      </c>
      <c r="CR12" s="19">
        <v>0</v>
      </c>
      <c r="CS12" s="19">
        <v>0</v>
      </c>
      <c r="CT12" s="19">
        <v>0</v>
      </c>
      <c r="CU12" s="19">
        <v>0</v>
      </c>
      <c r="CV12" s="17"/>
      <c r="CW12" s="19">
        <v>0</v>
      </c>
      <c r="CX12" s="17"/>
      <c r="CY12" s="17"/>
      <c r="CZ12" s="19">
        <v>0</v>
      </c>
      <c r="DA12" s="17"/>
      <c r="DB12" s="17"/>
      <c r="DC12" s="19">
        <v>100</v>
      </c>
      <c r="DD12" s="17"/>
      <c r="DE12" s="17">
        <v>2958465</v>
      </c>
      <c r="DF12" s="17"/>
      <c r="DG12" s="17"/>
      <c r="DH12" s="19">
        <v>0</v>
      </c>
      <c r="DI12" s="19">
        <v>0</v>
      </c>
    </row>
    <row r="13" spans="1:113" x14ac:dyDescent="0.2">
      <c r="A13" s="14"/>
      <c r="B13" s="16" t="s">
        <v>1283</v>
      </c>
      <c r="C13" s="14" t="s">
        <v>158</v>
      </c>
      <c r="D13" s="14" t="s">
        <v>159</v>
      </c>
      <c r="E13" s="14" t="s">
        <v>158</v>
      </c>
      <c r="F13" s="14" t="s">
        <v>2044</v>
      </c>
      <c r="G13" s="14" t="s">
        <v>2045</v>
      </c>
      <c r="H13" s="14" t="s">
        <v>102</v>
      </c>
      <c r="I13" s="14" t="s">
        <v>103</v>
      </c>
      <c r="J13" s="16">
        <f>COUNTIF($I$3:I13, I13)</f>
        <v>8</v>
      </c>
      <c r="K13" s="14" t="s">
        <v>2048</v>
      </c>
      <c r="L13" s="14" t="s">
        <v>2048</v>
      </c>
      <c r="M13" s="14" t="s">
        <v>2048</v>
      </c>
      <c r="N13" s="14"/>
      <c r="O13" s="14" t="s">
        <v>2145</v>
      </c>
      <c r="P13" s="14" t="s">
        <v>72</v>
      </c>
      <c r="Q13" s="14" t="s">
        <v>72</v>
      </c>
      <c r="R13" s="14" t="s">
        <v>2048</v>
      </c>
      <c r="S13" s="14"/>
      <c r="T13" s="14" t="s">
        <v>200</v>
      </c>
      <c r="U13" s="14" t="s">
        <v>2049</v>
      </c>
      <c r="V13" s="14" t="s">
        <v>2050</v>
      </c>
      <c r="W13" s="14" t="s">
        <v>2051</v>
      </c>
      <c r="X13" s="14" t="s">
        <v>2048</v>
      </c>
      <c r="Y13" s="14" t="s">
        <v>2048</v>
      </c>
      <c r="Z13" s="14" t="s">
        <v>2048</v>
      </c>
      <c r="AA13" s="14" t="s">
        <v>2048</v>
      </c>
      <c r="AB13" s="14" t="s">
        <v>359</v>
      </c>
      <c r="AC13" s="14" t="s">
        <v>452</v>
      </c>
      <c r="AD13" s="14" t="s">
        <v>2072</v>
      </c>
      <c r="AE13" s="14" t="s">
        <v>2073</v>
      </c>
      <c r="AF13" s="14" t="s">
        <v>2056</v>
      </c>
      <c r="AG13" s="14" t="s">
        <v>2056</v>
      </c>
      <c r="AH13" s="14" t="s">
        <v>2055</v>
      </c>
      <c r="AI13" s="14" t="s">
        <v>2057</v>
      </c>
      <c r="AJ13" s="14" t="s">
        <v>87</v>
      </c>
      <c r="AK13" s="14" t="s">
        <v>2048</v>
      </c>
      <c r="AL13" s="14" t="s">
        <v>2048</v>
      </c>
      <c r="AM13" s="14" t="s">
        <v>2048</v>
      </c>
      <c r="AN13" s="14" t="s">
        <v>2074</v>
      </c>
      <c r="AO13" s="17" t="s">
        <v>108</v>
      </c>
      <c r="AP13" s="14" t="s">
        <v>159</v>
      </c>
      <c r="AQ13" s="14" t="s">
        <v>2059</v>
      </c>
      <c r="AR13" s="14" t="s">
        <v>2060</v>
      </c>
      <c r="AS13" s="14" t="s">
        <v>2048</v>
      </c>
      <c r="AT13" s="14" t="s">
        <v>2105</v>
      </c>
      <c r="AU13" s="14" t="s">
        <v>2118</v>
      </c>
      <c r="AV13" s="14" t="s">
        <v>2119</v>
      </c>
      <c r="AW13" s="14" t="s">
        <v>2048</v>
      </c>
      <c r="AX13" s="14" t="s">
        <v>2048</v>
      </c>
      <c r="AY13" s="14" t="s">
        <v>102</v>
      </c>
      <c r="AZ13" s="14" t="s">
        <v>440</v>
      </c>
      <c r="BA13" s="14" t="s">
        <v>2079</v>
      </c>
      <c r="BB13" s="14" t="s">
        <v>2048</v>
      </c>
      <c r="BC13" s="14" t="s">
        <v>2061</v>
      </c>
      <c r="BD13" s="14" t="s">
        <v>2080</v>
      </c>
      <c r="BE13" s="14" t="s">
        <v>2081</v>
      </c>
      <c r="BF13" s="14" t="s">
        <v>2082</v>
      </c>
      <c r="BG13" s="14" t="s">
        <v>2083</v>
      </c>
      <c r="BH13" s="14" t="s">
        <v>2084</v>
      </c>
      <c r="BI13" s="14" t="s">
        <v>2085</v>
      </c>
      <c r="BJ13" s="14" t="s">
        <v>2051</v>
      </c>
      <c r="BK13" s="14" t="s">
        <v>2048</v>
      </c>
      <c r="BL13" s="14" t="s">
        <v>2064</v>
      </c>
      <c r="BM13" s="14" t="s">
        <v>72</v>
      </c>
      <c r="BN13" s="14" t="s">
        <v>72</v>
      </c>
      <c r="BO13" s="14" t="s">
        <v>2146</v>
      </c>
      <c r="BP13" s="14" t="s">
        <v>2048</v>
      </c>
      <c r="BQ13" s="14" t="s">
        <v>2048</v>
      </c>
      <c r="BR13" s="14" t="s">
        <v>159</v>
      </c>
      <c r="BS13" s="14" t="s">
        <v>2089</v>
      </c>
      <c r="BT13" s="14" t="s">
        <v>2048</v>
      </c>
      <c r="BU13" s="14" t="s">
        <v>2048</v>
      </c>
      <c r="BV13" s="14" t="s">
        <v>2048</v>
      </c>
      <c r="BW13" s="14" t="s">
        <v>2051</v>
      </c>
      <c r="BX13" s="14" t="s">
        <v>2048</v>
      </c>
      <c r="BY13" s="14" t="s">
        <v>2048</v>
      </c>
      <c r="BZ13" s="14" t="s">
        <v>2048</v>
      </c>
      <c r="CA13" s="14" t="s">
        <v>2048</v>
      </c>
      <c r="CB13" s="14" t="s">
        <v>2048</v>
      </c>
      <c r="CC13" s="14" t="s">
        <v>2048</v>
      </c>
      <c r="CD13" s="14" t="s">
        <v>2048</v>
      </c>
      <c r="CE13" s="14" t="s">
        <v>2048</v>
      </c>
      <c r="CF13" s="14" t="s">
        <v>2048</v>
      </c>
      <c r="CG13" s="14" t="s">
        <v>2121</v>
      </c>
      <c r="CH13" s="14" t="s">
        <v>2122</v>
      </c>
      <c r="CI13" s="14" t="s">
        <v>2048</v>
      </c>
      <c r="CJ13" s="17"/>
      <c r="CK13" s="17">
        <v>45063</v>
      </c>
      <c r="CL13" s="17">
        <v>45063</v>
      </c>
      <c r="CM13" s="17">
        <v>2958465</v>
      </c>
      <c r="CN13" s="17"/>
      <c r="CO13" s="19">
        <v>0</v>
      </c>
      <c r="CP13" s="19">
        <v>0</v>
      </c>
      <c r="CQ13" s="19">
        <v>0</v>
      </c>
      <c r="CR13" s="19">
        <v>0</v>
      </c>
      <c r="CS13" s="19">
        <v>0</v>
      </c>
      <c r="CT13" s="19">
        <v>0</v>
      </c>
      <c r="CU13" s="19">
        <v>0</v>
      </c>
      <c r="CV13" s="17"/>
      <c r="CW13" s="19">
        <v>11543</v>
      </c>
      <c r="CX13" s="17">
        <v>45730</v>
      </c>
      <c r="CY13" s="17"/>
      <c r="CZ13" s="19">
        <v>0</v>
      </c>
      <c r="DA13" s="17"/>
      <c r="DB13" s="17"/>
      <c r="DC13" s="19">
        <v>100</v>
      </c>
      <c r="DD13" s="17"/>
      <c r="DE13" s="17">
        <v>2958465</v>
      </c>
      <c r="DF13" s="17"/>
      <c r="DG13" s="17"/>
      <c r="DH13" s="19">
        <v>0</v>
      </c>
      <c r="DI13" s="19">
        <v>0</v>
      </c>
    </row>
    <row r="14" spans="1:113" x14ac:dyDescent="0.2">
      <c r="A14" s="14"/>
      <c r="B14" s="16" t="s">
        <v>441</v>
      </c>
      <c r="C14" s="14" t="s">
        <v>158</v>
      </c>
      <c r="D14" s="14" t="s">
        <v>159</v>
      </c>
      <c r="E14" s="14" t="s">
        <v>158</v>
      </c>
      <c r="F14" s="14" t="s">
        <v>2044</v>
      </c>
      <c r="G14" s="14" t="s">
        <v>2045</v>
      </c>
      <c r="H14" s="14" t="s">
        <v>102</v>
      </c>
      <c r="I14" s="14" t="s">
        <v>103</v>
      </c>
      <c r="J14" s="16">
        <f>COUNTIF($I$3:I14, I14)</f>
        <v>9</v>
      </c>
      <c r="K14" s="14" t="s">
        <v>2048</v>
      </c>
      <c r="L14" s="14" t="s">
        <v>2048</v>
      </c>
      <c r="M14" s="14" t="s">
        <v>2048</v>
      </c>
      <c r="N14" s="14"/>
      <c r="O14" s="14" t="s">
        <v>2147</v>
      </c>
      <c r="P14" s="14" t="s">
        <v>72</v>
      </c>
      <c r="Q14" s="14" t="s">
        <v>72</v>
      </c>
      <c r="R14" s="14" t="s">
        <v>2048</v>
      </c>
      <c r="S14" s="14"/>
      <c r="T14" s="14" t="s">
        <v>200</v>
      </c>
      <c r="U14" s="14" t="s">
        <v>2049</v>
      </c>
      <c r="V14" s="14" t="s">
        <v>2050</v>
      </c>
      <c r="W14" s="14" t="s">
        <v>2051</v>
      </c>
      <c r="X14" s="14" t="s">
        <v>2048</v>
      </c>
      <c r="Y14" s="14" t="s">
        <v>2048</v>
      </c>
      <c r="Z14" s="14" t="s">
        <v>2048</v>
      </c>
      <c r="AA14" s="14" t="s">
        <v>2048</v>
      </c>
      <c r="AB14" s="14" t="s">
        <v>79</v>
      </c>
      <c r="AC14" s="14" t="s">
        <v>442</v>
      </c>
      <c r="AD14" s="14" t="s">
        <v>2072</v>
      </c>
      <c r="AE14" s="14" t="s">
        <v>2073</v>
      </c>
      <c r="AF14" s="14" t="s">
        <v>2055</v>
      </c>
      <c r="AG14" s="14" t="s">
        <v>2055</v>
      </c>
      <c r="AH14" s="14" t="s">
        <v>2055</v>
      </c>
      <c r="AI14" s="14" t="s">
        <v>2057</v>
      </c>
      <c r="AJ14" s="14" t="s">
        <v>87</v>
      </c>
      <c r="AK14" s="14" t="s">
        <v>2048</v>
      </c>
      <c r="AL14" s="14" t="s">
        <v>2048</v>
      </c>
      <c r="AM14" s="14" t="s">
        <v>2148</v>
      </c>
      <c r="AN14" s="14" t="s">
        <v>2149</v>
      </c>
      <c r="AO14" s="17" t="s">
        <v>108</v>
      </c>
      <c r="AP14" s="14" t="s">
        <v>77</v>
      </c>
      <c r="AQ14" s="14" t="s">
        <v>2059</v>
      </c>
      <c r="AR14" s="14" t="s">
        <v>2060</v>
      </c>
      <c r="AS14" s="14" t="s">
        <v>2048</v>
      </c>
      <c r="AT14" s="14" t="s">
        <v>2105</v>
      </c>
      <c r="AU14" s="14" t="s">
        <v>2150</v>
      </c>
      <c r="AV14" s="14" t="s">
        <v>2151</v>
      </c>
      <c r="AW14" s="14" t="s">
        <v>2048</v>
      </c>
      <c r="AX14" s="14" t="s">
        <v>2048</v>
      </c>
      <c r="AY14" s="14" t="s">
        <v>102</v>
      </c>
      <c r="AZ14" s="14" t="s">
        <v>107</v>
      </c>
      <c r="BA14" s="14" t="s">
        <v>2152</v>
      </c>
      <c r="BB14" s="14" t="s">
        <v>2048</v>
      </c>
      <c r="BC14" s="14" t="s">
        <v>2061</v>
      </c>
      <c r="BD14" s="14" t="s">
        <v>2080</v>
      </c>
      <c r="BE14" s="14" t="s">
        <v>2081</v>
      </c>
      <c r="BF14" s="14" t="s">
        <v>2153</v>
      </c>
      <c r="BG14" s="14" t="s">
        <v>2154</v>
      </c>
      <c r="BH14" s="14" t="s">
        <v>2155</v>
      </c>
      <c r="BI14" s="14" t="s">
        <v>2085</v>
      </c>
      <c r="BJ14" s="14" t="s">
        <v>2051</v>
      </c>
      <c r="BK14" s="14" t="s">
        <v>2048</v>
      </c>
      <c r="BL14" s="14" t="s">
        <v>2064</v>
      </c>
      <c r="BM14" s="14" t="s">
        <v>72</v>
      </c>
      <c r="BN14" s="14" t="s">
        <v>72</v>
      </c>
      <c r="BO14" s="14" t="s">
        <v>2156</v>
      </c>
      <c r="BP14" s="14" t="s">
        <v>2048</v>
      </c>
      <c r="BQ14" s="14" t="s">
        <v>2048</v>
      </c>
      <c r="BR14" s="14" t="s">
        <v>159</v>
      </c>
      <c r="BS14" s="14" t="s">
        <v>2089</v>
      </c>
      <c r="BT14" s="14" t="s">
        <v>2048</v>
      </c>
      <c r="BU14" s="14" t="s">
        <v>2048</v>
      </c>
      <c r="BV14" s="14" t="s">
        <v>2048</v>
      </c>
      <c r="BW14" s="14" t="s">
        <v>2051</v>
      </c>
      <c r="BX14" s="14" t="s">
        <v>2048</v>
      </c>
      <c r="BY14" s="14" t="s">
        <v>2048</v>
      </c>
      <c r="BZ14" s="14" t="s">
        <v>2048</v>
      </c>
      <c r="CA14" s="14" t="s">
        <v>2048</v>
      </c>
      <c r="CB14" s="14" t="s">
        <v>2048</v>
      </c>
      <c r="CC14" s="14" t="s">
        <v>2048</v>
      </c>
      <c r="CD14" s="14" t="s">
        <v>2048</v>
      </c>
      <c r="CE14" s="14" t="s">
        <v>2048</v>
      </c>
      <c r="CF14" s="14" t="s">
        <v>2048</v>
      </c>
      <c r="CG14" s="14" t="s">
        <v>2057</v>
      </c>
      <c r="CH14" s="14" t="s">
        <v>2090</v>
      </c>
      <c r="CI14" s="14" t="s">
        <v>2048</v>
      </c>
      <c r="CJ14" s="17"/>
      <c r="CK14" s="17">
        <v>45133</v>
      </c>
      <c r="CL14" s="17">
        <v>45133</v>
      </c>
      <c r="CM14" s="17">
        <v>2958465</v>
      </c>
      <c r="CN14" s="17"/>
      <c r="CO14" s="19">
        <v>0</v>
      </c>
      <c r="CP14" s="19">
        <v>0</v>
      </c>
      <c r="CQ14" s="19">
        <v>0</v>
      </c>
      <c r="CR14" s="19">
        <v>0</v>
      </c>
      <c r="CS14" s="19">
        <v>0</v>
      </c>
      <c r="CT14" s="19">
        <v>0</v>
      </c>
      <c r="CU14" s="19">
        <v>0</v>
      </c>
      <c r="CV14" s="17"/>
      <c r="CW14" s="19">
        <v>38821</v>
      </c>
      <c r="CX14" s="17">
        <v>45729</v>
      </c>
      <c r="CY14" s="17"/>
      <c r="CZ14" s="19">
        <v>0</v>
      </c>
      <c r="DA14" s="17"/>
      <c r="DB14" s="17"/>
      <c r="DC14" s="19">
        <v>100</v>
      </c>
      <c r="DD14" s="17"/>
      <c r="DE14" s="17">
        <v>2958465</v>
      </c>
      <c r="DF14" s="17"/>
      <c r="DG14" s="17"/>
      <c r="DH14" s="19">
        <v>0</v>
      </c>
      <c r="DI14" s="19">
        <v>0</v>
      </c>
    </row>
    <row r="15" spans="1:113" x14ac:dyDescent="0.2">
      <c r="A15" s="14"/>
      <c r="B15" s="16" t="s">
        <v>446</v>
      </c>
      <c r="C15" s="14" t="s">
        <v>158</v>
      </c>
      <c r="D15" s="14" t="s">
        <v>159</v>
      </c>
      <c r="E15" s="14" t="s">
        <v>158</v>
      </c>
      <c r="F15" s="14" t="s">
        <v>2044</v>
      </c>
      <c r="G15" s="14" t="s">
        <v>2045</v>
      </c>
      <c r="H15" s="14" t="s">
        <v>102</v>
      </c>
      <c r="I15" s="14" t="s">
        <v>103</v>
      </c>
      <c r="J15" s="16">
        <f>COUNTIF($I$3:I15, I15)</f>
        <v>10</v>
      </c>
      <c r="K15" s="14" t="s">
        <v>2048</v>
      </c>
      <c r="L15" s="14" t="s">
        <v>2048</v>
      </c>
      <c r="M15" s="14" t="s">
        <v>2048</v>
      </c>
      <c r="N15" s="14"/>
      <c r="O15" s="14" t="s">
        <v>2157</v>
      </c>
      <c r="P15" s="14" t="s">
        <v>72</v>
      </c>
      <c r="Q15" s="14" t="s">
        <v>72</v>
      </c>
      <c r="R15" s="14" t="s">
        <v>2048</v>
      </c>
      <c r="S15" s="14"/>
      <c r="T15" s="14" t="s">
        <v>200</v>
      </c>
      <c r="U15" s="14" t="s">
        <v>2049</v>
      </c>
      <c r="V15" s="14" t="s">
        <v>2050</v>
      </c>
      <c r="W15" s="14" t="s">
        <v>2051</v>
      </c>
      <c r="X15" s="14" t="s">
        <v>2048</v>
      </c>
      <c r="Y15" s="14" t="s">
        <v>2048</v>
      </c>
      <c r="Z15" s="14" t="s">
        <v>2048</v>
      </c>
      <c r="AA15" s="14" t="s">
        <v>2048</v>
      </c>
      <c r="AB15" s="14" t="s">
        <v>79</v>
      </c>
      <c r="AC15" s="14" t="s">
        <v>442</v>
      </c>
      <c r="AD15" s="14" t="s">
        <v>2072</v>
      </c>
      <c r="AE15" s="14" t="s">
        <v>2073</v>
      </c>
      <c r="AF15" s="14" t="s">
        <v>2055</v>
      </c>
      <c r="AG15" s="14" t="s">
        <v>2055</v>
      </c>
      <c r="AH15" s="14" t="s">
        <v>2055</v>
      </c>
      <c r="AI15" s="14" t="s">
        <v>2057</v>
      </c>
      <c r="AJ15" s="14" t="s">
        <v>87</v>
      </c>
      <c r="AK15" s="14" t="s">
        <v>2048</v>
      </c>
      <c r="AL15" s="14" t="s">
        <v>2048</v>
      </c>
      <c r="AM15" s="14" t="s">
        <v>2148</v>
      </c>
      <c r="AN15" s="14" t="s">
        <v>2149</v>
      </c>
      <c r="AO15" s="17" t="s">
        <v>108</v>
      </c>
      <c r="AP15" s="14" t="s">
        <v>77</v>
      </c>
      <c r="AQ15" s="14" t="s">
        <v>2059</v>
      </c>
      <c r="AR15" s="14" t="s">
        <v>2060</v>
      </c>
      <c r="AS15" s="14" t="s">
        <v>2048</v>
      </c>
      <c r="AT15" s="14" t="s">
        <v>2105</v>
      </c>
      <c r="AU15" s="14" t="s">
        <v>2150</v>
      </c>
      <c r="AV15" s="14" t="s">
        <v>2151</v>
      </c>
      <c r="AW15" s="14" t="s">
        <v>2048</v>
      </c>
      <c r="AX15" s="14" t="s">
        <v>2048</v>
      </c>
      <c r="AY15" s="14" t="s">
        <v>102</v>
      </c>
      <c r="AZ15" s="14" t="s">
        <v>107</v>
      </c>
      <c r="BA15" s="14" t="s">
        <v>2152</v>
      </c>
      <c r="BB15" s="14" t="s">
        <v>2048</v>
      </c>
      <c r="BC15" s="14" t="s">
        <v>2061</v>
      </c>
      <c r="BD15" s="14" t="s">
        <v>2080</v>
      </c>
      <c r="BE15" s="14" t="s">
        <v>2081</v>
      </c>
      <c r="BF15" s="14" t="s">
        <v>2153</v>
      </c>
      <c r="BG15" s="14" t="s">
        <v>2154</v>
      </c>
      <c r="BH15" s="14" t="s">
        <v>2155</v>
      </c>
      <c r="BI15" s="14" t="s">
        <v>2085</v>
      </c>
      <c r="BJ15" s="14" t="s">
        <v>2051</v>
      </c>
      <c r="BK15" s="14" t="s">
        <v>2048</v>
      </c>
      <c r="BL15" s="14" t="s">
        <v>2064</v>
      </c>
      <c r="BM15" s="14" t="s">
        <v>72</v>
      </c>
      <c r="BN15" s="14" t="s">
        <v>72</v>
      </c>
      <c r="BO15" s="14" t="s">
        <v>2158</v>
      </c>
      <c r="BP15" s="14" t="s">
        <v>2048</v>
      </c>
      <c r="BQ15" s="14" t="s">
        <v>2048</v>
      </c>
      <c r="BR15" s="14" t="s">
        <v>159</v>
      </c>
      <c r="BS15" s="14" t="s">
        <v>2089</v>
      </c>
      <c r="BT15" s="14" t="s">
        <v>2048</v>
      </c>
      <c r="BU15" s="14" t="s">
        <v>2048</v>
      </c>
      <c r="BV15" s="14" t="s">
        <v>2048</v>
      </c>
      <c r="BW15" s="14" t="s">
        <v>2051</v>
      </c>
      <c r="BX15" s="14" t="s">
        <v>2048</v>
      </c>
      <c r="BY15" s="14" t="s">
        <v>2048</v>
      </c>
      <c r="BZ15" s="14" t="s">
        <v>2048</v>
      </c>
      <c r="CA15" s="14" t="s">
        <v>2048</v>
      </c>
      <c r="CB15" s="14" t="s">
        <v>2048</v>
      </c>
      <c r="CC15" s="14" t="s">
        <v>2048</v>
      </c>
      <c r="CD15" s="14" t="s">
        <v>2048</v>
      </c>
      <c r="CE15" s="14" t="s">
        <v>2048</v>
      </c>
      <c r="CF15" s="14" t="s">
        <v>2048</v>
      </c>
      <c r="CG15" s="14" t="s">
        <v>2057</v>
      </c>
      <c r="CH15" s="14" t="s">
        <v>2090</v>
      </c>
      <c r="CI15" s="14" t="s">
        <v>2048</v>
      </c>
      <c r="CJ15" s="17"/>
      <c r="CK15" s="17">
        <v>45133</v>
      </c>
      <c r="CL15" s="17">
        <v>45133</v>
      </c>
      <c r="CM15" s="17">
        <v>2958465</v>
      </c>
      <c r="CN15" s="17"/>
      <c r="CO15" s="19">
        <v>0</v>
      </c>
      <c r="CP15" s="19">
        <v>0</v>
      </c>
      <c r="CQ15" s="19">
        <v>0</v>
      </c>
      <c r="CR15" s="19">
        <v>0</v>
      </c>
      <c r="CS15" s="19">
        <v>0</v>
      </c>
      <c r="CT15" s="19">
        <v>0</v>
      </c>
      <c r="CU15" s="19">
        <v>0</v>
      </c>
      <c r="CV15" s="17"/>
      <c r="CW15" s="19">
        <v>20759</v>
      </c>
      <c r="CX15" s="17">
        <v>45729</v>
      </c>
      <c r="CY15" s="17"/>
      <c r="CZ15" s="19">
        <v>0</v>
      </c>
      <c r="DA15" s="17"/>
      <c r="DB15" s="17"/>
      <c r="DC15" s="19">
        <v>100</v>
      </c>
      <c r="DD15" s="17"/>
      <c r="DE15" s="17">
        <v>2958465</v>
      </c>
      <c r="DF15" s="17"/>
      <c r="DG15" s="17"/>
      <c r="DH15" s="19">
        <v>0</v>
      </c>
      <c r="DI15" s="19">
        <v>0</v>
      </c>
    </row>
    <row r="16" spans="1:113" x14ac:dyDescent="0.2">
      <c r="A16" s="14"/>
      <c r="B16" s="16" t="s">
        <v>1068</v>
      </c>
      <c r="C16" s="14" t="s">
        <v>158</v>
      </c>
      <c r="D16" s="14" t="s">
        <v>159</v>
      </c>
      <c r="E16" s="14" t="s">
        <v>158</v>
      </c>
      <c r="F16" s="14" t="s">
        <v>2044</v>
      </c>
      <c r="G16" s="14" t="s">
        <v>2045</v>
      </c>
      <c r="H16" s="14" t="s">
        <v>102</v>
      </c>
      <c r="I16" s="14" t="s">
        <v>103</v>
      </c>
      <c r="J16" s="16">
        <f>COUNTIF($I$3:I16, I16)</f>
        <v>11</v>
      </c>
      <c r="K16" s="14" t="s">
        <v>2048</v>
      </c>
      <c r="L16" s="14" t="s">
        <v>2048</v>
      </c>
      <c r="M16" s="14" t="s">
        <v>2048</v>
      </c>
      <c r="N16" s="14"/>
      <c r="O16" s="14" t="s">
        <v>2159</v>
      </c>
      <c r="P16" s="14" t="s">
        <v>72</v>
      </c>
      <c r="Q16" s="14" t="s">
        <v>72</v>
      </c>
      <c r="R16" s="14" t="s">
        <v>2048</v>
      </c>
      <c r="S16" s="14"/>
      <c r="T16" s="14" t="s">
        <v>200</v>
      </c>
      <c r="U16" s="14" t="s">
        <v>2049</v>
      </c>
      <c r="V16" s="14" t="s">
        <v>2050</v>
      </c>
      <c r="W16" s="14" t="s">
        <v>2051</v>
      </c>
      <c r="X16" s="14" t="s">
        <v>2048</v>
      </c>
      <c r="Y16" s="14" t="s">
        <v>2048</v>
      </c>
      <c r="Z16" s="14" t="s">
        <v>2048</v>
      </c>
      <c r="AA16" s="14" t="s">
        <v>2048</v>
      </c>
      <c r="AB16" s="14" t="s">
        <v>79</v>
      </c>
      <c r="AC16" s="14" t="s">
        <v>442</v>
      </c>
      <c r="AD16" s="14" t="s">
        <v>2072</v>
      </c>
      <c r="AE16" s="14" t="s">
        <v>2073</v>
      </c>
      <c r="AF16" s="14" t="s">
        <v>2055</v>
      </c>
      <c r="AG16" s="14" t="s">
        <v>2055</v>
      </c>
      <c r="AH16" s="14" t="s">
        <v>2055</v>
      </c>
      <c r="AI16" s="14" t="s">
        <v>2057</v>
      </c>
      <c r="AJ16" s="14" t="s">
        <v>87</v>
      </c>
      <c r="AK16" s="14" t="s">
        <v>2048</v>
      </c>
      <c r="AL16" s="14" t="s">
        <v>2048</v>
      </c>
      <c r="AM16" s="14" t="s">
        <v>2148</v>
      </c>
      <c r="AN16" s="14" t="s">
        <v>2149</v>
      </c>
      <c r="AO16" s="17" t="s">
        <v>108</v>
      </c>
      <c r="AP16" s="14" t="s">
        <v>77</v>
      </c>
      <c r="AQ16" s="14" t="s">
        <v>2059</v>
      </c>
      <c r="AR16" s="14" t="s">
        <v>2060</v>
      </c>
      <c r="AS16" s="14" t="s">
        <v>2048</v>
      </c>
      <c r="AT16" s="14" t="s">
        <v>2105</v>
      </c>
      <c r="AU16" s="14" t="s">
        <v>2150</v>
      </c>
      <c r="AV16" s="14" t="s">
        <v>2151</v>
      </c>
      <c r="AW16" s="14" t="s">
        <v>2048</v>
      </c>
      <c r="AX16" s="14" t="s">
        <v>2048</v>
      </c>
      <c r="AY16" s="14" t="s">
        <v>102</v>
      </c>
      <c r="AZ16" s="14" t="s">
        <v>107</v>
      </c>
      <c r="BA16" s="14" t="s">
        <v>2152</v>
      </c>
      <c r="BB16" s="14" t="s">
        <v>2048</v>
      </c>
      <c r="BC16" s="14" t="s">
        <v>2061</v>
      </c>
      <c r="BD16" s="14" t="s">
        <v>2080</v>
      </c>
      <c r="BE16" s="14" t="s">
        <v>2081</v>
      </c>
      <c r="BF16" s="14" t="s">
        <v>2153</v>
      </c>
      <c r="BG16" s="14" t="s">
        <v>2154</v>
      </c>
      <c r="BH16" s="14" t="s">
        <v>2155</v>
      </c>
      <c r="BI16" s="14" t="s">
        <v>2085</v>
      </c>
      <c r="BJ16" s="14" t="s">
        <v>2051</v>
      </c>
      <c r="BK16" s="14" t="s">
        <v>2048</v>
      </c>
      <c r="BL16" s="14" t="s">
        <v>2064</v>
      </c>
      <c r="BM16" s="14" t="s">
        <v>72</v>
      </c>
      <c r="BN16" s="14" t="s">
        <v>72</v>
      </c>
      <c r="BO16" s="14" t="s">
        <v>2160</v>
      </c>
      <c r="BP16" s="14" t="s">
        <v>2048</v>
      </c>
      <c r="BQ16" s="14" t="s">
        <v>2048</v>
      </c>
      <c r="BR16" s="14" t="s">
        <v>159</v>
      </c>
      <c r="BS16" s="14" t="s">
        <v>2089</v>
      </c>
      <c r="BT16" s="14" t="s">
        <v>2048</v>
      </c>
      <c r="BU16" s="14" t="s">
        <v>2048</v>
      </c>
      <c r="BV16" s="14" t="s">
        <v>2048</v>
      </c>
      <c r="BW16" s="14" t="s">
        <v>2051</v>
      </c>
      <c r="BX16" s="14" t="s">
        <v>2048</v>
      </c>
      <c r="BY16" s="14" t="s">
        <v>2048</v>
      </c>
      <c r="BZ16" s="14" t="s">
        <v>2048</v>
      </c>
      <c r="CA16" s="14" t="s">
        <v>2048</v>
      </c>
      <c r="CB16" s="14" t="s">
        <v>2048</v>
      </c>
      <c r="CC16" s="14" t="s">
        <v>2048</v>
      </c>
      <c r="CD16" s="14" t="s">
        <v>2048</v>
      </c>
      <c r="CE16" s="14" t="s">
        <v>2048</v>
      </c>
      <c r="CF16" s="14" t="s">
        <v>2048</v>
      </c>
      <c r="CG16" s="14" t="s">
        <v>2057</v>
      </c>
      <c r="CH16" s="14" t="s">
        <v>2090</v>
      </c>
      <c r="CI16" s="14" t="s">
        <v>2048</v>
      </c>
      <c r="CJ16" s="17"/>
      <c r="CK16" s="17">
        <v>45133</v>
      </c>
      <c r="CL16" s="17">
        <v>45133</v>
      </c>
      <c r="CM16" s="17">
        <v>2958465</v>
      </c>
      <c r="CN16" s="17"/>
      <c r="CO16" s="19">
        <v>0</v>
      </c>
      <c r="CP16" s="19">
        <v>0</v>
      </c>
      <c r="CQ16" s="19">
        <v>0</v>
      </c>
      <c r="CR16" s="19">
        <v>0</v>
      </c>
      <c r="CS16" s="19">
        <v>0</v>
      </c>
      <c r="CT16" s="19">
        <v>0</v>
      </c>
      <c r="CU16" s="19">
        <v>0</v>
      </c>
      <c r="CV16" s="17"/>
      <c r="CW16" s="19">
        <v>27519</v>
      </c>
      <c r="CX16" s="17">
        <v>45729</v>
      </c>
      <c r="CY16" s="17"/>
      <c r="CZ16" s="19">
        <v>0</v>
      </c>
      <c r="DA16" s="17"/>
      <c r="DB16" s="17"/>
      <c r="DC16" s="19">
        <v>100</v>
      </c>
      <c r="DD16" s="17"/>
      <c r="DE16" s="17">
        <v>2958465</v>
      </c>
      <c r="DF16" s="17"/>
      <c r="DG16" s="17"/>
      <c r="DH16" s="19">
        <v>0</v>
      </c>
      <c r="DI16" s="19">
        <v>0</v>
      </c>
    </row>
    <row r="17" spans="1:113" x14ac:dyDescent="0.2">
      <c r="A17" s="14"/>
      <c r="B17" s="16" t="s">
        <v>741</v>
      </c>
      <c r="C17" s="14" t="s">
        <v>158</v>
      </c>
      <c r="D17" s="14" t="s">
        <v>159</v>
      </c>
      <c r="E17" s="14" t="s">
        <v>158</v>
      </c>
      <c r="F17" s="14" t="s">
        <v>2044</v>
      </c>
      <c r="G17" s="14" t="s">
        <v>2045</v>
      </c>
      <c r="H17" s="14" t="s">
        <v>102</v>
      </c>
      <c r="I17" s="14" t="s">
        <v>103</v>
      </c>
      <c r="J17" s="16">
        <f>COUNTIF($I$3:I17, I17)</f>
        <v>12</v>
      </c>
      <c r="K17" s="14" t="s">
        <v>2048</v>
      </c>
      <c r="L17" s="14" t="s">
        <v>2048</v>
      </c>
      <c r="M17" s="14" t="s">
        <v>2048</v>
      </c>
      <c r="N17" s="14"/>
      <c r="O17" s="14" t="s">
        <v>2161</v>
      </c>
      <c r="P17" s="14" t="s">
        <v>72</v>
      </c>
      <c r="Q17" s="14" t="s">
        <v>72</v>
      </c>
      <c r="R17" s="14" t="s">
        <v>2048</v>
      </c>
      <c r="S17" s="14"/>
      <c r="T17" s="14" t="s">
        <v>200</v>
      </c>
      <c r="U17" s="14" t="s">
        <v>2049</v>
      </c>
      <c r="V17" s="14" t="s">
        <v>2050</v>
      </c>
      <c r="W17" s="14" t="s">
        <v>2051</v>
      </c>
      <c r="X17" s="14" t="s">
        <v>2048</v>
      </c>
      <c r="Y17" s="14" t="s">
        <v>2048</v>
      </c>
      <c r="Z17" s="14" t="s">
        <v>2048</v>
      </c>
      <c r="AA17" s="14" t="s">
        <v>2048</v>
      </c>
      <c r="AB17" s="14" t="s">
        <v>79</v>
      </c>
      <c r="AC17" s="14" t="s">
        <v>442</v>
      </c>
      <c r="AD17" s="14" t="s">
        <v>2072</v>
      </c>
      <c r="AE17" s="14" t="s">
        <v>2073</v>
      </c>
      <c r="AF17" s="14" t="s">
        <v>2056</v>
      </c>
      <c r="AG17" s="14" t="s">
        <v>2056</v>
      </c>
      <c r="AH17" s="14" t="s">
        <v>2055</v>
      </c>
      <c r="AI17" s="14" t="s">
        <v>2057</v>
      </c>
      <c r="AJ17" s="14" t="s">
        <v>87</v>
      </c>
      <c r="AK17" s="14" t="s">
        <v>2048</v>
      </c>
      <c r="AL17" s="14" t="s">
        <v>2048</v>
      </c>
      <c r="AM17" s="14" t="s">
        <v>2148</v>
      </c>
      <c r="AN17" s="14" t="s">
        <v>2149</v>
      </c>
      <c r="AO17" s="17" t="s">
        <v>108</v>
      </c>
      <c r="AP17" s="14" t="s">
        <v>77</v>
      </c>
      <c r="AQ17" s="14" t="s">
        <v>2059</v>
      </c>
      <c r="AR17" s="14" t="s">
        <v>2060</v>
      </c>
      <c r="AS17" s="14" t="s">
        <v>2048</v>
      </c>
      <c r="AT17" s="14" t="s">
        <v>2105</v>
      </c>
      <c r="AU17" s="14" t="s">
        <v>2150</v>
      </c>
      <c r="AV17" s="14" t="s">
        <v>2151</v>
      </c>
      <c r="AW17" s="14" t="s">
        <v>2048</v>
      </c>
      <c r="AX17" s="14" t="s">
        <v>2048</v>
      </c>
      <c r="AY17" s="14" t="s">
        <v>102</v>
      </c>
      <c r="AZ17" s="14" t="s">
        <v>107</v>
      </c>
      <c r="BA17" s="14" t="s">
        <v>2152</v>
      </c>
      <c r="BB17" s="14" t="s">
        <v>2048</v>
      </c>
      <c r="BC17" s="14" t="s">
        <v>2061</v>
      </c>
      <c r="BD17" s="14" t="s">
        <v>2080</v>
      </c>
      <c r="BE17" s="14" t="s">
        <v>2081</v>
      </c>
      <c r="BF17" s="14" t="s">
        <v>2153</v>
      </c>
      <c r="BG17" s="14" t="s">
        <v>2154</v>
      </c>
      <c r="BH17" s="14" t="s">
        <v>2155</v>
      </c>
      <c r="BI17" s="14" t="s">
        <v>2085</v>
      </c>
      <c r="BJ17" s="14" t="s">
        <v>2051</v>
      </c>
      <c r="BK17" s="14" t="s">
        <v>2048</v>
      </c>
      <c r="BL17" s="14" t="s">
        <v>2064</v>
      </c>
      <c r="BM17" s="14" t="s">
        <v>72</v>
      </c>
      <c r="BN17" s="14" t="s">
        <v>72</v>
      </c>
      <c r="BO17" s="14" t="s">
        <v>2162</v>
      </c>
      <c r="BP17" s="14" t="s">
        <v>2048</v>
      </c>
      <c r="BQ17" s="14" t="s">
        <v>2048</v>
      </c>
      <c r="BR17" s="14" t="s">
        <v>159</v>
      </c>
      <c r="BS17" s="14" t="s">
        <v>2089</v>
      </c>
      <c r="BT17" s="14" t="s">
        <v>2048</v>
      </c>
      <c r="BU17" s="14" t="s">
        <v>2048</v>
      </c>
      <c r="BV17" s="14" t="s">
        <v>2048</v>
      </c>
      <c r="BW17" s="14" t="s">
        <v>2051</v>
      </c>
      <c r="BX17" s="14" t="s">
        <v>2048</v>
      </c>
      <c r="BY17" s="14" t="s">
        <v>2048</v>
      </c>
      <c r="BZ17" s="14" t="s">
        <v>2048</v>
      </c>
      <c r="CA17" s="14" t="s">
        <v>2048</v>
      </c>
      <c r="CB17" s="14" t="s">
        <v>2048</v>
      </c>
      <c r="CC17" s="14" t="s">
        <v>2048</v>
      </c>
      <c r="CD17" s="14" t="s">
        <v>2048</v>
      </c>
      <c r="CE17" s="14" t="s">
        <v>2048</v>
      </c>
      <c r="CF17" s="14" t="s">
        <v>2048</v>
      </c>
      <c r="CG17" s="14" t="s">
        <v>2057</v>
      </c>
      <c r="CH17" s="14" t="s">
        <v>2090</v>
      </c>
      <c r="CI17" s="14" t="s">
        <v>2048</v>
      </c>
      <c r="CJ17" s="17"/>
      <c r="CK17" s="17">
        <v>45133</v>
      </c>
      <c r="CL17" s="17">
        <v>45133</v>
      </c>
      <c r="CM17" s="17">
        <v>2958465</v>
      </c>
      <c r="CN17" s="17"/>
      <c r="CO17" s="19">
        <v>0</v>
      </c>
      <c r="CP17" s="19">
        <v>0</v>
      </c>
      <c r="CQ17" s="19">
        <v>0</v>
      </c>
      <c r="CR17" s="19">
        <v>0</v>
      </c>
      <c r="CS17" s="19">
        <v>0</v>
      </c>
      <c r="CT17" s="19">
        <v>0</v>
      </c>
      <c r="CU17" s="19">
        <v>0</v>
      </c>
      <c r="CV17" s="17"/>
      <c r="CW17" s="19">
        <v>40494</v>
      </c>
      <c r="CX17" s="17">
        <v>45729</v>
      </c>
      <c r="CY17" s="17"/>
      <c r="CZ17" s="19">
        <v>0</v>
      </c>
      <c r="DA17" s="17"/>
      <c r="DB17" s="17"/>
      <c r="DC17" s="19">
        <v>100</v>
      </c>
      <c r="DD17" s="17"/>
      <c r="DE17" s="17">
        <v>2958465</v>
      </c>
      <c r="DF17" s="17"/>
      <c r="DG17" s="17"/>
      <c r="DH17" s="19">
        <v>0</v>
      </c>
      <c r="DI17" s="19">
        <v>0</v>
      </c>
    </row>
    <row r="18" spans="1:113" x14ac:dyDescent="0.2">
      <c r="A18" s="14"/>
      <c r="B18" s="16" t="s">
        <v>813</v>
      </c>
      <c r="C18" s="14" t="s">
        <v>158</v>
      </c>
      <c r="D18" s="14" t="s">
        <v>159</v>
      </c>
      <c r="E18" s="14" t="s">
        <v>158</v>
      </c>
      <c r="F18" s="14" t="s">
        <v>2044</v>
      </c>
      <c r="G18" s="14" t="s">
        <v>2045</v>
      </c>
      <c r="H18" s="14" t="s">
        <v>102</v>
      </c>
      <c r="I18" s="14" t="s">
        <v>103</v>
      </c>
      <c r="J18" s="16">
        <f>COUNTIF($I$3:I18, I18)</f>
        <v>13</v>
      </c>
      <c r="K18" s="14" t="s">
        <v>2048</v>
      </c>
      <c r="L18" s="14" t="s">
        <v>2048</v>
      </c>
      <c r="M18" s="14" t="s">
        <v>2048</v>
      </c>
      <c r="N18" s="14"/>
      <c r="O18" s="14" t="s">
        <v>2163</v>
      </c>
      <c r="P18" s="14" t="s">
        <v>72</v>
      </c>
      <c r="Q18" s="14" t="s">
        <v>72</v>
      </c>
      <c r="R18" s="14" t="s">
        <v>2048</v>
      </c>
      <c r="S18" s="14"/>
      <c r="T18" s="14" t="s">
        <v>200</v>
      </c>
      <c r="U18" s="14" t="s">
        <v>2049</v>
      </c>
      <c r="V18" s="14" t="s">
        <v>2050</v>
      </c>
      <c r="W18" s="14" t="s">
        <v>2051</v>
      </c>
      <c r="X18" s="14" t="s">
        <v>2048</v>
      </c>
      <c r="Y18" s="14" t="s">
        <v>2048</v>
      </c>
      <c r="Z18" s="14" t="s">
        <v>2048</v>
      </c>
      <c r="AA18" s="14" t="s">
        <v>2048</v>
      </c>
      <c r="AB18" s="14" t="s">
        <v>359</v>
      </c>
      <c r="AC18" s="14" t="s">
        <v>452</v>
      </c>
      <c r="AD18" s="14" t="s">
        <v>2072</v>
      </c>
      <c r="AE18" s="14" t="s">
        <v>2073</v>
      </c>
      <c r="AF18" s="14" t="s">
        <v>2056</v>
      </c>
      <c r="AG18" s="14" t="s">
        <v>2056</v>
      </c>
      <c r="AH18" s="14" t="s">
        <v>2055</v>
      </c>
      <c r="AI18" s="14" t="s">
        <v>2057</v>
      </c>
      <c r="AJ18" s="14" t="s">
        <v>87</v>
      </c>
      <c r="AK18" s="14" t="s">
        <v>2048</v>
      </c>
      <c r="AL18" s="14" t="s">
        <v>2048</v>
      </c>
      <c r="AM18" s="14" t="s">
        <v>2048</v>
      </c>
      <c r="AN18" s="14" t="s">
        <v>2074</v>
      </c>
      <c r="AO18" s="17" t="s">
        <v>108</v>
      </c>
      <c r="AP18" s="14" t="s">
        <v>159</v>
      </c>
      <c r="AQ18" s="14" t="s">
        <v>2059</v>
      </c>
      <c r="AR18" s="14" t="s">
        <v>2060</v>
      </c>
      <c r="AS18" s="14" t="s">
        <v>2048</v>
      </c>
      <c r="AT18" s="14" t="s">
        <v>2105</v>
      </c>
      <c r="AU18" s="14" t="s">
        <v>2118</v>
      </c>
      <c r="AV18" s="14" t="s">
        <v>2119</v>
      </c>
      <c r="AW18" s="14" t="s">
        <v>2048</v>
      </c>
      <c r="AX18" s="14" t="s">
        <v>2048</v>
      </c>
      <c r="AY18" s="14" t="s">
        <v>102</v>
      </c>
      <c r="AZ18" s="14" t="s">
        <v>440</v>
      </c>
      <c r="BA18" s="14" t="s">
        <v>2079</v>
      </c>
      <c r="BB18" s="14" t="s">
        <v>2048</v>
      </c>
      <c r="BC18" s="14" t="s">
        <v>2061</v>
      </c>
      <c r="BD18" s="14" t="s">
        <v>2080</v>
      </c>
      <c r="BE18" s="14" t="s">
        <v>2081</v>
      </c>
      <c r="BF18" s="14" t="s">
        <v>2082</v>
      </c>
      <c r="BG18" s="14" t="s">
        <v>2083</v>
      </c>
      <c r="BH18" s="14" t="s">
        <v>2084</v>
      </c>
      <c r="BI18" s="14" t="s">
        <v>2085</v>
      </c>
      <c r="BJ18" s="14" t="s">
        <v>2051</v>
      </c>
      <c r="BK18" s="14" t="s">
        <v>2048</v>
      </c>
      <c r="BL18" s="14" t="s">
        <v>2064</v>
      </c>
      <c r="BM18" s="14" t="s">
        <v>72</v>
      </c>
      <c r="BN18" s="14" t="s">
        <v>72</v>
      </c>
      <c r="BO18" s="14" t="s">
        <v>2164</v>
      </c>
      <c r="BP18" s="14" t="s">
        <v>2048</v>
      </c>
      <c r="BQ18" s="14" t="s">
        <v>2048</v>
      </c>
      <c r="BR18" s="14" t="s">
        <v>159</v>
      </c>
      <c r="BS18" s="14" t="s">
        <v>2089</v>
      </c>
      <c r="BT18" s="14" t="s">
        <v>2048</v>
      </c>
      <c r="BU18" s="14" t="s">
        <v>2048</v>
      </c>
      <c r="BV18" s="14" t="s">
        <v>2048</v>
      </c>
      <c r="BW18" s="14" t="s">
        <v>2051</v>
      </c>
      <c r="BX18" s="14" t="s">
        <v>2048</v>
      </c>
      <c r="BY18" s="14" t="s">
        <v>2048</v>
      </c>
      <c r="BZ18" s="14" t="s">
        <v>2048</v>
      </c>
      <c r="CA18" s="14" t="s">
        <v>2048</v>
      </c>
      <c r="CB18" s="14" t="s">
        <v>2048</v>
      </c>
      <c r="CC18" s="14" t="s">
        <v>2048</v>
      </c>
      <c r="CD18" s="14" t="s">
        <v>2048</v>
      </c>
      <c r="CE18" s="14" t="s">
        <v>2048</v>
      </c>
      <c r="CF18" s="14" t="s">
        <v>2048</v>
      </c>
      <c r="CG18" s="14" t="s">
        <v>2121</v>
      </c>
      <c r="CH18" s="14" t="s">
        <v>2122</v>
      </c>
      <c r="CI18" s="14" t="s">
        <v>2048</v>
      </c>
      <c r="CJ18" s="17"/>
      <c r="CK18" s="17">
        <v>45051</v>
      </c>
      <c r="CL18" s="17">
        <v>45051</v>
      </c>
      <c r="CM18" s="17">
        <v>2958465</v>
      </c>
      <c r="CN18" s="17"/>
      <c r="CO18" s="19">
        <v>0</v>
      </c>
      <c r="CP18" s="19">
        <v>0</v>
      </c>
      <c r="CQ18" s="19">
        <v>0</v>
      </c>
      <c r="CR18" s="19">
        <v>0</v>
      </c>
      <c r="CS18" s="19">
        <v>0</v>
      </c>
      <c r="CT18" s="19">
        <v>0</v>
      </c>
      <c r="CU18" s="19">
        <v>0</v>
      </c>
      <c r="CV18" s="17"/>
      <c r="CW18" s="19">
        <v>15942</v>
      </c>
      <c r="CX18" s="17">
        <v>45730</v>
      </c>
      <c r="CY18" s="17"/>
      <c r="CZ18" s="19">
        <v>0</v>
      </c>
      <c r="DA18" s="17"/>
      <c r="DB18" s="17"/>
      <c r="DC18" s="19">
        <v>100</v>
      </c>
      <c r="DD18" s="17"/>
      <c r="DE18" s="17">
        <v>2958465</v>
      </c>
      <c r="DF18" s="17"/>
      <c r="DG18" s="17"/>
      <c r="DH18" s="19">
        <v>0</v>
      </c>
      <c r="DI18" s="19">
        <v>0</v>
      </c>
    </row>
    <row r="19" spans="1:113" x14ac:dyDescent="0.2">
      <c r="A19" s="14"/>
      <c r="B19" s="16" t="s">
        <v>728</v>
      </c>
      <c r="C19" s="14" t="s">
        <v>158</v>
      </c>
      <c r="D19" s="14" t="s">
        <v>159</v>
      </c>
      <c r="E19" s="14" t="s">
        <v>158</v>
      </c>
      <c r="F19" s="14" t="s">
        <v>2044</v>
      </c>
      <c r="G19" s="14" t="s">
        <v>2045</v>
      </c>
      <c r="H19" s="14" t="s">
        <v>102</v>
      </c>
      <c r="I19" s="14" t="s">
        <v>103</v>
      </c>
      <c r="J19" s="16">
        <f>COUNTIF($I$3:I19, I19)</f>
        <v>14</v>
      </c>
      <c r="K19" s="14" t="s">
        <v>2048</v>
      </c>
      <c r="L19" s="14" t="s">
        <v>2048</v>
      </c>
      <c r="M19" s="14" t="s">
        <v>2048</v>
      </c>
      <c r="N19" s="14"/>
      <c r="O19" s="14" t="s">
        <v>2165</v>
      </c>
      <c r="P19" s="14" t="s">
        <v>72</v>
      </c>
      <c r="Q19" s="14" t="s">
        <v>72</v>
      </c>
      <c r="R19" s="14" t="s">
        <v>2048</v>
      </c>
      <c r="S19" s="14"/>
      <c r="T19" s="14" t="s">
        <v>200</v>
      </c>
      <c r="U19" s="14" t="s">
        <v>2049</v>
      </c>
      <c r="V19" s="14" t="s">
        <v>2050</v>
      </c>
      <c r="W19" s="14" t="s">
        <v>2051</v>
      </c>
      <c r="X19" s="14" t="s">
        <v>2048</v>
      </c>
      <c r="Y19" s="14" t="s">
        <v>2048</v>
      </c>
      <c r="Z19" s="14" t="s">
        <v>2048</v>
      </c>
      <c r="AA19" s="14" t="s">
        <v>2048</v>
      </c>
      <c r="AB19" s="14" t="s">
        <v>359</v>
      </c>
      <c r="AC19" s="14" t="s">
        <v>452</v>
      </c>
      <c r="AD19" s="14" t="s">
        <v>2072</v>
      </c>
      <c r="AE19" s="14" t="s">
        <v>2073</v>
      </c>
      <c r="AF19" s="14" t="s">
        <v>2056</v>
      </c>
      <c r="AG19" s="14" t="s">
        <v>2056</v>
      </c>
      <c r="AH19" s="14" t="s">
        <v>2055</v>
      </c>
      <c r="AI19" s="14" t="s">
        <v>2057</v>
      </c>
      <c r="AJ19" s="14" t="s">
        <v>87</v>
      </c>
      <c r="AK19" s="14" t="s">
        <v>2048</v>
      </c>
      <c r="AL19" s="14" t="s">
        <v>2048</v>
      </c>
      <c r="AM19" s="14" t="s">
        <v>2048</v>
      </c>
      <c r="AN19" s="14" t="s">
        <v>2166</v>
      </c>
      <c r="AO19" s="17" t="s">
        <v>108</v>
      </c>
      <c r="AP19" s="14" t="s">
        <v>159</v>
      </c>
      <c r="AQ19" s="14" t="s">
        <v>2167</v>
      </c>
      <c r="AR19" s="14" t="s">
        <v>2168</v>
      </c>
      <c r="AS19" s="14" t="s">
        <v>2169</v>
      </c>
      <c r="AT19" s="14" t="s">
        <v>2061</v>
      </c>
      <c r="AU19" s="14" t="s">
        <v>2170</v>
      </c>
      <c r="AV19" s="14" t="s">
        <v>2171</v>
      </c>
      <c r="AW19" s="14" t="s">
        <v>2048</v>
      </c>
      <c r="AX19" s="14" t="s">
        <v>2048</v>
      </c>
      <c r="AY19" s="14" t="s">
        <v>102</v>
      </c>
      <c r="AZ19" s="14" t="s">
        <v>115</v>
      </c>
      <c r="BA19" s="14" t="s">
        <v>2172</v>
      </c>
      <c r="BB19" s="14" t="s">
        <v>2048</v>
      </c>
      <c r="BC19" s="14" t="s">
        <v>2061</v>
      </c>
      <c r="BD19" s="14" t="s">
        <v>2080</v>
      </c>
      <c r="BE19" s="14" t="s">
        <v>2081</v>
      </c>
      <c r="BF19" s="14" t="s">
        <v>2173</v>
      </c>
      <c r="BG19" s="14" t="s">
        <v>2174</v>
      </c>
      <c r="BH19" s="14" t="s">
        <v>2175</v>
      </c>
      <c r="BI19" s="14" t="s">
        <v>2085</v>
      </c>
      <c r="BJ19" s="14" t="s">
        <v>2051</v>
      </c>
      <c r="BK19" s="14" t="s">
        <v>2048</v>
      </c>
      <c r="BL19" s="14" t="s">
        <v>2064</v>
      </c>
      <c r="BM19" s="14" t="s">
        <v>72</v>
      </c>
      <c r="BN19" s="14" t="s">
        <v>72</v>
      </c>
      <c r="BO19" s="14" t="s">
        <v>2176</v>
      </c>
      <c r="BP19" s="14" t="s">
        <v>2177</v>
      </c>
      <c r="BQ19" s="14" t="s">
        <v>2178</v>
      </c>
      <c r="BR19" s="14" t="s">
        <v>159</v>
      </c>
      <c r="BS19" s="14" t="s">
        <v>2089</v>
      </c>
      <c r="BT19" s="14" t="s">
        <v>2048</v>
      </c>
      <c r="BU19" s="14" t="s">
        <v>2048</v>
      </c>
      <c r="BV19" s="14" t="s">
        <v>2048</v>
      </c>
      <c r="BW19" s="14" t="s">
        <v>2051</v>
      </c>
      <c r="BX19" s="14" t="s">
        <v>2048</v>
      </c>
      <c r="BY19" s="14" t="s">
        <v>2048</v>
      </c>
      <c r="BZ19" s="14" t="s">
        <v>2048</v>
      </c>
      <c r="CA19" s="14" t="s">
        <v>2048</v>
      </c>
      <c r="CB19" s="14" t="s">
        <v>2048</v>
      </c>
      <c r="CC19" s="14" t="s">
        <v>2048</v>
      </c>
      <c r="CD19" s="14" t="s">
        <v>2048</v>
      </c>
      <c r="CE19" s="14" t="s">
        <v>2048</v>
      </c>
      <c r="CF19" s="14" t="s">
        <v>2048</v>
      </c>
      <c r="CG19" s="14" t="s">
        <v>2121</v>
      </c>
      <c r="CH19" s="14" t="s">
        <v>2122</v>
      </c>
      <c r="CI19" s="14" t="s">
        <v>2048</v>
      </c>
      <c r="CJ19" s="17"/>
      <c r="CK19" s="17">
        <v>45051</v>
      </c>
      <c r="CL19" s="17">
        <v>45051</v>
      </c>
      <c r="CM19" s="17">
        <v>2958465</v>
      </c>
      <c r="CN19" s="17"/>
      <c r="CO19" s="19">
        <v>0</v>
      </c>
      <c r="CP19" s="19">
        <v>0</v>
      </c>
      <c r="CQ19" s="19">
        <v>0</v>
      </c>
      <c r="CR19" s="19">
        <v>0</v>
      </c>
      <c r="CS19" s="19">
        <v>0</v>
      </c>
      <c r="CT19" s="19">
        <v>0</v>
      </c>
      <c r="CU19" s="19">
        <v>0</v>
      </c>
      <c r="CV19" s="17"/>
      <c r="CW19" s="19">
        <v>29811</v>
      </c>
      <c r="CX19" s="17">
        <v>45728</v>
      </c>
      <c r="CY19" s="17"/>
      <c r="CZ19" s="19">
        <v>0</v>
      </c>
      <c r="DA19" s="17"/>
      <c r="DB19" s="17"/>
      <c r="DC19" s="19">
        <v>100</v>
      </c>
      <c r="DD19" s="17"/>
      <c r="DE19" s="17">
        <v>2958465</v>
      </c>
      <c r="DF19" s="17"/>
      <c r="DG19" s="17"/>
      <c r="DH19" s="19">
        <v>0</v>
      </c>
      <c r="DI19" s="19">
        <v>0</v>
      </c>
    </row>
    <row r="20" spans="1:113" x14ac:dyDescent="0.2">
      <c r="A20" s="14"/>
      <c r="B20" s="16" t="s">
        <v>908</v>
      </c>
      <c r="C20" s="14" t="s">
        <v>158</v>
      </c>
      <c r="D20" s="14" t="s">
        <v>159</v>
      </c>
      <c r="E20" s="14" t="s">
        <v>158</v>
      </c>
      <c r="F20" s="14" t="s">
        <v>2044</v>
      </c>
      <c r="G20" s="14" t="s">
        <v>2045</v>
      </c>
      <c r="H20" s="14" t="s">
        <v>336</v>
      </c>
      <c r="I20" s="14" t="s">
        <v>337</v>
      </c>
      <c r="J20" s="16">
        <f>COUNTIF($I$3:I20, I20)</f>
        <v>2</v>
      </c>
      <c r="K20" s="14" t="s">
        <v>2048</v>
      </c>
      <c r="L20" s="14" t="s">
        <v>2048</v>
      </c>
      <c r="M20" s="14" t="s">
        <v>2048</v>
      </c>
      <c r="N20" s="14"/>
      <c r="O20" s="14" t="s">
        <v>2179</v>
      </c>
      <c r="P20" s="14" t="s">
        <v>72</v>
      </c>
      <c r="Q20" s="14" t="s">
        <v>72</v>
      </c>
      <c r="R20" s="14" t="s">
        <v>2048</v>
      </c>
      <c r="S20" s="14"/>
      <c r="T20" s="14" t="s">
        <v>200</v>
      </c>
      <c r="U20" s="14" t="s">
        <v>2049</v>
      </c>
      <c r="V20" s="14" t="s">
        <v>2050</v>
      </c>
      <c r="W20" s="14" t="s">
        <v>2051</v>
      </c>
      <c r="X20" s="14" t="s">
        <v>2048</v>
      </c>
      <c r="Y20" s="14" t="s">
        <v>2048</v>
      </c>
      <c r="Z20" s="14" t="s">
        <v>2048</v>
      </c>
      <c r="AA20" s="14" t="s">
        <v>2048</v>
      </c>
      <c r="AB20" s="14" t="s">
        <v>85</v>
      </c>
      <c r="AC20" s="14" t="s">
        <v>114</v>
      </c>
      <c r="AD20" s="14" t="s">
        <v>2132</v>
      </c>
      <c r="AE20" s="14" t="s">
        <v>2133</v>
      </c>
      <c r="AF20" s="14" t="s">
        <v>2055</v>
      </c>
      <c r="AG20" s="14" t="s">
        <v>2055</v>
      </c>
      <c r="AH20" s="14" t="s">
        <v>2055</v>
      </c>
      <c r="AI20" s="14" t="s">
        <v>2057</v>
      </c>
      <c r="AJ20" s="14" t="s">
        <v>87</v>
      </c>
      <c r="AK20" s="14" t="s">
        <v>2048</v>
      </c>
      <c r="AL20" s="14" t="s">
        <v>2048</v>
      </c>
      <c r="AM20" s="14" t="s">
        <v>2048</v>
      </c>
      <c r="AN20" s="14" t="s">
        <v>2180</v>
      </c>
      <c r="AO20" s="17" t="s">
        <v>108</v>
      </c>
      <c r="AP20" s="14" t="s">
        <v>2135</v>
      </c>
      <c r="AQ20" s="14" t="s">
        <v>2059</v>
      </c>
      <c r="AR20" s="14" t="s">
        <v>2181</v>
      </c>
      <c r="AS20" s="14" t="s">
        <v>2182</v>
      </c>
      <c r="AT20" s="14" t="s">
        <v>2105</v>
      </c>
      <c r="AU20" s="14" t="s">
        <v>2181</v>
      </c>
      <c r="AV20" s="14" t="s">
        <v>2182</v>
      </c>
      <c r="AW20" s="14" t="s">
        <v>2048</v>
      </c>
      <c r="AX20" s="14" t="s">
        <v>2048</v>
      </c>
      <c r="AY20" s="14" t="s">
        <v>336</v>
      </c>
      <c r="AZ20" s="14" t="s">
        <v>909</v>
      </c>
      <c r="BA20" s="14" t="s">
        <v>2183</v>
      </c>
      <c r="BB20" s="14" t="s">
        <v>2048</v>
      </c>
      <c r="BC20" s="14" t="s">
        <v>2061</v>
      </c>
      <c r="BD20" s="14" t="s">
        <v>2080</v>
      </c>
      <c r="BE20" s="14" t="s">
        <v>2081</v>
      </c>
      <c r="BF20" s="14" t="s">
        <v>2184</v>
      </c>
      <c r="BG20" s="14" t="s">
        <v>2185</v>
      </c>
      <c r="BH20" s="14" t="s">
        <v>2186</v>
      </c>
      <c r="BI20" s="14" t="s">
        <v>2085</v>
      </c>
      <c r="BJ20" s="14" t="s">
        <v>2051</v>
      </c>
      <c r="BK20" s="14" t="s">
        <v>2048</v>
      </c>
      <c r="BL20" s="14" t="s">
        <v>2064</v>
      </c>
      <c r="BM20" s="14" t="s">
        <v>72</v>
      </c>
      <c r="BN20" s="14" t="s">
        <v>72</v>
      </c>
      <c r="BO20" s="14" t="s">
        <v>2048</v>
      </c>
      <c r="BP20" s="14" t="s">
        <v>2187</v>
      </c>
      <c r="BQ20" s="14" t="s">
        <v>2188</v>
      </c>
      <c r="BR20" s="14" t="s">
        <v>159</v>
      </c>
      <c r="BS20" s="14" t="s">
        <v>2089</v>
      </c>
      <c r="BT20" s="14" t="s">
        <v>2048</v>
      </c>
      <c r="BU20" s="14" t="s">
        <v>2048</v>
      </c>
      <c r="BV20" s="14" t="s">
        <v>2048</v>
      </c>
      <c r="BW20" s="14" t="s">
        <v>2051</v>
      </c>
      <c r="BX20" s="14" t="s">
        <v>2048</v>
      </c>
      <c r="BY20" s="14" t="s">
        <v>2048</v>
      </c>
      <c r="BZ20" s="14" t="s">
        <v>72</v>
      </c>
      <c r="CA20" s="14" t="s">
        <v>2048</v>
      </c>
      <c r="CB20" s="14" t="s">
        <v>2048</v>
      </c>
      <c r="CC20" s="14" t="s">
        <v>2048</v>
      </c>
      <c r="CD20" s="14" t="s">
        <v>2048</v>
      </c>
      <c r="CE20" s="14" t="s">
        <v>2048</v>
      </c>
      <c r="CF20" s="14" t="s">
        <v>2048</v>
      </c>
      <c r="CG20" s="14" t="s">
        <v>2057</v>
      </c>
      <c r="CH20" s="14" t="s">
        <v>2090</v>
      </c>
      <c r="CI20" s="14" t="s">
        <v>2048</v>
      </c>
      <c r="CJ20" s="17"/>
      <c r="CK20" s="17">
        <v>45282</v>
      </c>
      <c r="CL20" s="17">
        <v>45282</v>
      </c>
      <c r="CM20" s="17">
        <v>2958465</v>
      </c>
      <c r="CN20" s="17"/>
      <c r="CO20" s="19">
        <v>0</v>
      </c>
      <c r="CP20" s="19">
        <v>0</v>
      </c>
      <c r="CQ20" s="19">
        <v>0</v>
      </c>
      <c r="CR20" s="19">
        <v>0</v>
      </c>
      <c r="CS20" s="19">
        <v>0</v>
      </c>
      <c r="CT20" s="19">
        <v>0</v>
      </c>
      <c r="CU20" s="19">
        <v>0</v>
      </c>
      <c r="CV20" s="17"/>
      <c r="CW20" s="19">
        <v>23151</v>
      </c>
      <c r="CX20" s="17">
        <v>45730</v>
      </c>
      <c r="CY20" s="17"/>
      <c r="CZ20" s="19">
        <v>0</v>
      </c>
      <c r="DA20" s="17"/>
      <c r="DB20" s="17"/>
      <c r="DC20" s="19">
        <v>100</v>
      </c>
      <c r="DD20" s="17"/>
      <c r="DE20" s="17">
        <v>2958465</v>
      </c>
      <c r="DF20" s="17"/>
      <c r="DG20" s="17"/>
      <c r="DH20" s="19">
        <v>0</v>
      </c>
      <c r="DI20" s="19">
        <v>0</v>
      </c>
    </row>
    <row r="21" spans="1:113" x14ac:dyDescent="0.2">
      <c r="A21" s="14"/>
      <c r="B21" s="16" t="s">
        <v>1103</v>
      </c>
      <c r="C21" s="14" t="s">
        <v>158</v>
      </c>
      <c r="D21" s="14" t="s">
        <v>159</v>
      </c>
      <c r="E21" s="14" t="s">
        <v>158</v>
      </c>
      <c r="F21" s="14" t="s">
        <v>2044</v>
      </c>
      <c r="G21" s="14" t="s">
        <v>2045</v>
      </c>
      <c r="H21" s="14" t="s">
        <v>102</v>
      </c>
      <c r="I21" s="14" t="s">
        <v>103</v>
      </c>
      <c r="J21" s="16">
        <f>COUNTIF($I$3:I21, I21)</f>
        <v>15</v>
      </c>
      <c r="K21" s="14" t="s">
        <v>2048</v>
      </c>
      <c r="L21" s="14" t="s">
        <v>2048</v>
      </c>
      <c r="M21" s="14" t="s">
        <v>2048</v>
      </c>
      <c r="N21" s="14"/>
      <c r="O21" s="14" t="s">
        <v>2189</v>
      </c>
      <c r="P21" s="14" t="s">
        <v>72</v>
      </c>
      <c r="Q21" s="14" t="s">
        <v>72</v>
      </c>
      <c r="R21" s="14" t="s">
        <v>2048</v>
      </c>
      <c r="S21" s="14"/>
      <c r="T21" s="14" t="s">
        <v>200</v>
      </c>
      <c r="U21" s="14" t="s">
        <v>2049</v>
      </c>
      <c r="V21" s="14" t="s">
        <v>2050</v>
      </c>
      <c r="W21" s="14" t="s">
        <v>2051</v>
      </c>
      <c r="X21" s="14" t="s">
        <v>2048</v>
      </c>
      <c r="Y21" s="14" t="s">
        <v>2048</v>
      </c>
      <c r="Z21" s="14" t="s">
        <v>2048</v>
      </c>
      <c r="AA21" s="14" t="s">
        <v>2048</v>
      </c>
      <c r="AB21" s="14" t="s">
        <v>85</v>
      </c>
      <c r="AC21" s="14" t="s">
        <v>340</v>
      </c>
      <c r="AD21" s="14" t="s">
        <v>2072</v>
      </c>
      <c r="AE21" s="14" t="s">
        <v>2073</v>
      </c>
      <c r="AF21" s="14" t="s">
        <v>2055</v>
      </c>
      <c r="AG21" s="14" t="s">
        <v>2055</v>
      </c>
      <c r="AH21" s="14" t="s">
        <v>2055</v>
      </c>
      <c r="AI21" s="14" t="s">
        <v>2057</v>
      </c>
      <c r="AJ21" s="14" t="s">
        <v>87</v>
      </c>
      <c r="AK21" s="14" t="s">
        <v>2048</v>
      </c>
      <c r="AL21" s="14" t="s">
        <v>2048</v>
      </c>
      <c r="AM21" s="14" t="s">
        <v>2190</v>
      </c>
      <c r="AN21" s="14" t="s">
        <v>2191</v>
      </c>
      <c r="AO21" s="17" t="s">
        <v>108</v>
      </c>
      <c r="AP21" s="14" t="s">
        <v>200</v>
      </c>
      <c r="AQ21" s="14" t="s">
        <v>2059</v>
      </c>
      <c r="AR21" s="14" t="s">
        <v>2192</v>
      </c>
      <c r="AS21" s="14" t="s">
        <v>2193</v>
      </c>
      <c r="AT21" s="14" t="s">
        <v>2061</v>
      </c>
      <c r="AU21" s="14" t="s">
        <v>2194</v>
      </c>
      <c r="AV21" s="14" t="s">
        <v>2195</v>
      </c>
      <c r="AW21" s="14" t="s">
        <v>2048</v>
      </c>
      <c r="AX21" s="14" t="s">
        <v>2048</v>
      </c>
      <c r="AY21" s="14" t="s">
        <v>102</v>
      </c>
      <c r="AZ21" s="14" t="s">
        <v>567</v>
      </c>
      <c r="BA21" s="14" t="s">
        <v>2196</v>
      </c>
      <c r="BB21" s="14" t="s">
        <v>2048</v>
      </c>
      <c r="BC21" s="14" t="s">
        <v>2061</v>
      </c>
      <c r="BD21" s="14" t="s">
        <v>2080</v>
      </c>
      <c r="BE21" s="14" t="s">
        <v>2081</v>
      </c>
      <c r="BF21" s="14" t="s">
        <v>2197</v>
      </c>
      <c r="BG21" s="14" t="s">
        <v>2198</v>
      </c>
      <c r="BH21" s="14" t="s">
        <v>2199</v>
      </c>
      <c r="BI21" s="14" t="s">
        <v>2085</v>
      </c>
      <c r="BJ21" s="14" t="s">
        <v>2051</v>
      </c>
      <c r="BK21" s="14" t="s">
        <v>2048</v>
      </c>
      <c r="BL21" s="14" t="s">
        <v>2064</v>
      </c>
      <c r="BM21" s="14" t="s">
        <v>72</v>
      </c>
      <c r="BN21" s="14" t="s">
        <v>72</v>
      </c>
      <c r="BO21" s="14" t="s">
        <v>2200</v>
      </c>
      <c r="BP21" s="14" t="s">
        <v>2201</v>
      </c>
      <c r="BQ21" s="14" t="s">
        <v>2202</v>
      </c>
      <c r="BR21" s="14" t="s">
        <v>172</v>
      </c>
      <c r="BS21" s="14" t="s">
        <v>2131</v>
      </c>
      <c r="BT21" s="14" t="s">
        <v>2048</v>
      </c>
      <c r="BU21" s="14" t="s">
        <v>2048</v>
      </c>
      <c r="BV21" s="14" t="s">
        <v>2048</v>
      </c>
      <c r="BW21" s="14" t="s">
        <v>2051</v>
      </c>
      <c r="BX21" s="14" t="s">
        <v>2048</v>
      </c>
      <c r="BY21" s="14" t="s">
        <v>2048</v>
      </c>
      <c r="BZ21" s="14" t="s">
        <v>72</v>
      </c>
      <c r="CA21" s="14" t="s">
        <v>2048</v>
      </c>
      <c r="CB21" s="14" t="s">
        <v>2048</v>
      </c>
      <c r="CC21" s="14" t="s">
        <v>2048</v>
      </c>
      <c r="CD21" s="14" t="s">
        <v>2048</v>
      </c>
      <c r="CE21" s="14" t="s">
        <v>2048</v>
      </c>
      <c r="CF21" s="14" t="s">
        <v>2048</v>
      </c>
      <c r="CG21" s="14" t="s">
        <v>2068</v>
      </c>
      <c r="CH21" s="14" t="s">
        <v>2069</v>
      </c>
      <c r="CI21" s="14" t="s">
        <v>2048</v>
      </c>
      <c r="CJ21" s="17"/>
      <c r="CK21" s="17">
        <v>43019</v>
      </c>
      <c r="CL21" s="17">
        <v>44927</v>
      </c>
      <c r="CM21" s="17">
        <v>2958465</v>
      </c>
      <c r="CN21" s="17"/>
      <c r="CO21" s="19">
        <v>0</v>
      </c>
      <c r="CP21" s="19">
        <v>0</v>
      </c>
      <c r="CQ21" s="19">
        <v>0</v>
      </c>
      <c r="CR21" s="19">
        <v>0</v>
      </c>
      <c r="CS21" s="19">
        <v>0</v>
      </c>
      <c r="CT21" s="19">
        <v>0</v>
      </c>
      <c r="CU21" s="19">
        <v>0</v>
      </c>
      <c r="CV21" s="17"/>
      <c r="CW21" s="19">
        <v>0</v>
      </c>
      <c r="CX21" s="17"/>
      <c r="CY21" s="17"/>
      <c r="CZ21" s="19">
        <v>0</v>
      </c>
      <c r="DA21" s="17"/>
      <c r="DB21" s="17"/>
      <c r="DC21" s="19">
        <v>100</v>
      </c>
      <c r="DD21" s="17"/>
      <c r="DE21" s="17">
        <v>2958465</v>
      </c>
      <c r="DF21" s="17"/>
      <c r="DG21" s="17"/>
      <c r="DH21" s="19">
        <v>0</v>
      </c>
      <c r="DI21" s="19">
        <v>0</v>
      </c>
    </row>
    <row r="22" spans="1:113" x14ac:dyDescent="0.2">
      <c r="A22" s="14"/>
      <c r="B22" s="16" t="s">
        <v>2203</v>
      </c>
      <c r="C22" s="14" t="s">
        <v>158</v>
      </c>
      <c r="D22" s="14" t="s">
        <v>159</v>
      </c>
      <c r="E22" s="14" t="s">
        <v>158</v>
      </c>
      <c r="F22" s="14" t="s">
        <v>2044</v>
      </c>
      <c r="G22" s="14" t="s">
        <v>2045</v>
      </c>
      <c r="H22" s="14" t="s">
        <v>960</v>
      </c>
      <c r="I22" s="14" t="s">
        <v>961</v>
      </c>
      <c r="J22" s="16">
        <f>COUNTIF($I$3:I22, I22)</f>
        <v>1</v>
      </c>
      <c r="K22" s="14" t="s">
        <v>2048</v>
      </c>
      <c r="L22" s="14" t="s">
        <v>2048</v>
      </c>
      <c r="M22" s="14" t="s">
        <v>2048</v>
      </c>
      <c r="N22" s="14"/>
      <c r="O22" s="14" t="s">
        <v>2204</v>
      </c>
      <c r="P22" s="14" t="s">
        <v>72</v>
      </c>
      <c r="Q22" s="14" t="s">
        <v>72</v>
      </c>
      <c r="R22" s="14" t="s">
        <v>2048</v>
      </c>
      <c r="S22" s="14"/>
      <c r="T22" s="14" t="s">
        <v>200</v>
      </c>
      <c r="U22" s="14" t="s">
        <v>2049</v>
      </c>
      <c r="V22" s="14" t="s">
        <v>2050</v>
      </c>
      <c r="W22" s="14" t="s">
        <v>2051</v>
      </c>
      <c r="X22" s="14" t="s">
        <v>2048</v>
      </c>
      <c r="Y22" s="14" t="s">
        <v>2048</v>
      </c>
      <c r="Z22" s="14" t="s">
        <v>2048</v>
      </c>
      <c r="AA22" s="14" t="s">
        <v>2048</v>
      </c>
      <c r="AB22" s="14" t="s">
        <v>85</v>
      </c>
      <c r="AC22" s="14" t="s">
        <v>340</v>
      </c>
      <c r="AD22" s="14" t="s">
        <v>2205</v>
      </c>
      <c r="AE22" s="14" t="s">
        <v>2206</v>
      </c>
      <c r="AF22" s="14" t="s">
        <v>2055</v>
      </c>
      <c r="AG22" s="14" t="s">
        <v>2055</v>
      </c>
      <c r="AH22" s="14" t="s">
        <v>2055</v>
      </c>
      <c r="AI22" s="14" t="s">
        <v>2057</v>
      </c>
      <c r="AJ22" s="14" t="s">
        <v>87</v>
      </c>
      <c r="AK22" s="14" t="s">
        <v>2048</v>
      </c>
      <c r="AL22" s="14" t="s">
        <v>2048</v>
      </c>
      <c r="AM22" s="14" t="s">
        <v>2048</v>
      </c>
      <c r="AN22" s="14" t="s">
        <v>2207</v>
      </c>
      <c r="AO22" s="17" t="s">
        <v>108</v>
      </c>
      <c r="AP22" s="14" t="s">
        <v>2208</v>
      </c>
      <c r="AQ22" s="14" t="s">
        <v>2059</v>
      </c>
      <c r="AR22" s="14" t="s">
        <v>2209</v>
      </c>
      <c r="AS22" s="14" t="s">
        <v>2210</v>
      </c>
      <c r="AT22" s="14" t="s">
        <v>2061</v>
      </c>
      <c r="AU22" s="14" t="s">
        <v>2211</v>
      </c>
      <c r="AV22" s="14" t="s">
        <v>2212</v>
      </c>
      <c r="AW22" s="14" t="s">
        <v>2048</v>
      </c>
      <c r="AX22" s="14" t="s">
        <v>2048</v>
      </c>
      <c r="AY22" s="14" t="s">
        <v>960</v>
      </c>
      <c r="AZ22" s="14" t="s">
        <v>2213</v>
      </c>
      <c r="BA22" s="14" t="s">
        <v>2214</v>
      </c>
      <c r="BB22" s="14" t="s">
        <v>2048</v>
      </c>
      <c r="BC22" s="14" t="s">
        <v>2061</v>
      </c>
      <c r="BD22" s="14" t="s">
        <v>2215</v>
      </c>
      <c r="BE22" s="14" t="s">
        <v>2216</v>
      </c>
      <c r="BF22" s="14" t="s">
        <v>2048</v>
      </c>
      <c r="BG22" s="14" t="s">
        <v>2048</v>
      </c>
      <c r="BH22" s="14" t="s">
        <v>2217</v>
      </c>
      <c r="BI22" s="14" t="s">
        <v>2218</v>
      </c>
      <c r="BJ22" s="14" t="s">
        <v>2051</v>
      </c>
      <c r="BK22" s="14" t="s">
        <v>2048</v>
      </c>
      <c r="BL22" s="14" t="s">
        <v>2064</v>
      </c>
      <c r="BM22" s="14" t="s">
        <v>72</v>
      </c>
      <c r="BN22" s="14" t="s">
        <v>72</v>
      </c>
      <c r="BO22" s="14" t="s">
        <v>2048</v>
      </c>
      <c r="BP22" s="14" t="s">
        <v>2219</v>
      </c>
      <c r="BQ22" s="14" t="s">
        <v>2220</v>
      </c>
      <c r="BR22" s="14" t="s">
        <v>172</v>
      </c>
      <c r="BS22" s="14" t="s">
        <v>2131</v>
      </c>
      <c r="BT22" s="14" t="s">
        <v>2048</v>
      </c>
      <c r="BU22" s="14" t="s">
        <v>2048</v>
      </c>
      <c r="BV22" s="14" t="s">
        <v>2048</v>
      </c>
      <c r="BW22" s="14" t="s">
        <v>2051</v>
      </c>
      <c r="BX22" s="14" t="s">
        <v>2048</v>
      </c>
      <c r="BY22" s="14" t="s">
        <v>2048</v>
      </c>
      <c r="BZ22" s="14" t="s">
        <v>2048</v>
      </c>
      <c r="CA22" s="14" t="s">
        <v>2048</v>
      </c>
      <c r="CB22" s="14" t="s">
        <v>2048</v>
      </c>
      <c r="CC22" s="14" t="s">
        <v>2048</v>
      </c>
      <c r="CD22" s="14" t="s">
        <v>2048</v>
      </c>
      <c r="CE22" s="14" t="s">
        <v>2048</v>
      </c>
      <c r="CF22" s="14" t="s">
        <v>2048</v>
      </c>
      <c r="CG22" s="14" t="s">
        <v>2068</v>
      </c>
      <c r="CH22" s="14" t="s">
        <v>2069</v>
      </c>
      <c r="CI22" s="14" t="s">
        <v>2048</v>
      </c>
      <c r="CJ22" s="17"/>
      <c r="CK22" s="17">
        <v>43018</v>
      </c>
      <c r="CL22" s="17">
        <v>45231</v>
      </c>
      <c r="CM22" s="17">
        <v>2958465</v>
      </c>
      <c r="CN22" s="17"/>
      <c r="CO22" s="19">
        <v>0</v>
      </c>
      <c r="CP22" s="19">
        <v>0</v>
      </c>
      <c r="CQ22" s="19">
        <v>0</v>
      </c>
      <c r="CR22" s="19">
        <v>0</v>
      </c>
      <c r="CS22" s="19">
        <v>0</v>
      </c>
      <c r="CT22" s="19">
        <v>0</v>
      </c>
      <c r="CU22" s="19">
        <v>0</v>
      </c>
      <c r="CV22" s="17"/>
      <c r="CW22" s="19">
        <v>0</v>
      </c>
      <c r="CX22" s="17"/>
      <c r="CY22" s="17"/>
      <c r="CZ22" s="19">
        <v>0</v>
      </c>
      <c r="DA22" s="17"/>
      <c r="DB22" s="17"/>
      <c r="DC22" s="19">
        <v>100</v>
      </c>
      <c r="DD22" s="17"/>
      <c r="DE22" s="17">
        <v>2958465</v>
      </c>
      <c r="DF22" s="17"/>
      <c r="DG22" s="17"/>
      <c r="DH22" s="19">
        <v>0</v>
      </c>
      <c r="DI22" s="19">
        <v>0</v>
      </c>
    </row>
    <row r="23" spans="1:113" x14ac:dyDescent="0.2">
      <c r="A23" s="14"/>
      <c r="B23" s="16" t="s">
        <v>600</v>
      </c>
      <c r="C23" s="14" t="s">
        <v>158</v>
      </c>
      <c r="D23" s="14" t="s">
        <v>159</v>
      </c>
      <c r="E23" s="14" t="s">
        <v>158</v>
      </c>
      <c r="F23" s="14" t="s">
        <v>2044</v>
      </c>
      <c r="G23" s="14" t="s">
        <v>2045</v>
      </c>
      <c r="H23" s="14" t="s">
        <v>102</v>
      </c>
      <c r="I23" s="14" t="s">
        <v>103</v>
      </c>
      <c r="J23" s="16">
        <f>COUNTIF($I$3:I23, I23)</f>
        <v>16</v>
      </c>
      <c r="K23" s="14" t="s">
        <v>2048</v>
      </c>
      <c r="L23" s="14" t="s">
        <v>2048</v>
      </c>
      <c r="M23" s="14" t="s">
        <v>2048</v>
      </c>
      <c r="N23" s="14"/>
      <c r="O23" s="14" t="s">
        <v>2221</v>
      </c>
      <c r="P23" s="14" t="s">
        <v>72</v>
      </c>
      <c r="Q23" s="14" t="s">
        <v>72</v>
      </c>
      <c r="R23" s="14" t="s">
        <v>2048</v>
      </c>
      <c r="S23" s="14"/>
      <c r="T23" s="14" t="s">
        <v>200</v>
      </c>
      <c r="U23" s="14" t="s">
        <v>2049</v>
      </c>
      <c r="V23" s="14" t="s">
        <v>2050</v>
      </c>
      <c r="W23" s="14" t="s">
        <v>2051</v>
      </c>
      <c r="X23" s="14" t="s">
        <v>2048</v>
      </c>
      <c r="Y23" s="14" t="s">
        <v>2048</v>
      </c>
      <c r="Z23" s="14" t="s">
        <v>2048</v>
      </c>
      <c r="AA23" s="14" t="s">
        <v>2048</v>
      </c>
      <c r="AB23" s="14" t="s">
        <v>85</v>
      </c>
      <c r="AC23" s="14" t="s">
        <v>340</v>
      </c>
      <c r="AD23" s="14" t="s">
        <v>2072</v>
      </c>
      <c r="AE23" s="14" t="s">
        <v>2073</v>
      </c>
      <c r="AF23" s="14" t="s">
        <v>2055</v>
      </c>
      <c r="AG23" s="14" t="s">
        <v>2055</v>
      </c>
      <c r="AH23" s="14" t="s">
        <v>2055</v>
      </c>
      <c r="AI23" s="14" t="s">
        <v>2057</v>
      </c>
      <c r="AJ23" s="14" t="s">
        <v>87</v>
      </c>
      <c r="AK23" s="14" t="s">
        <v>2048</v>
      </c>
      <c r="AL23" s="14" t="s">
        <v>2048</v>
      </c>
      <c r="AM23" s="14" t="s">
        <v>2222</v>
      </c>
      <c r="AN23" s="14" t="s">
        <v>2223</v>
      </c>
      <c r="AO23" s="17" t="s">
        <v>108</v>
      </c>
      <c r="AP23" s="14" t="s">
        <v>200</v>
      </c>
      <c r="AQ23" s="14" t="s">
        <v>2059</v>
      </c>
      <c r="AR23" s="14" t="s">
        <v>2060</v>
      </c>
      <c r="AS23" s="14" t="s">
        <v>2048</v>
      </c>
      <c r="AT23" s="14" t="s">
        <v>2105</v>
      </c>
      <c r="AU23" s="14" t="s">
        <v>2194</v>
      </c>
      <c r="AV23" s="14" t="s">
        <v>2195</v>
      </c>
      <c r="AW23" s="14" t="s">
        <v>2048</v>
      </c>
      <c r="AX23" s="14" t="s">
        <v>2048</v>
      </c>
      <c r="AY23" s="14" t="s">
        <v>102</v>
      </c>
      <c r="AZ23" s="14" t="s">
        <v>567</v>
      </c>
      <c r="BA23" s="14" t="s">
        <v>2196</v>
      </c>
      <c r="BB23" s="14" t="s">
        <v>2048</v>
      </c>
      <c r="BC23" s="14" t="s">
        <v>2061</v>
      </c>
      <c r="BD23" s="14" t="s">
        <v>2080</v>
      </c>
      <c r="BE23" s="14" t="s">
        <v>2081</v>
      </c>
      <c r="BF23" s="14" t="s">
        <v>2197</v>
      </c>
      <c r="BG23" s="14" t="s">
        <v>2198</v>
      </c>
      <c r="BH23" s="14" t="s">
        <v>2199</v>
      </c>
      <c r="BI23" s="14" t="s">
        <v>2085</v>
      </c>
      <c r="BJ23" s="14" t="s">
        <v>2051</v>
      </c>
      <c r="BK23" s="14" t="s">
        <v>2048</v>
      </c>
      <c r="BL23" s="14" t="s">
        <v>2064</v>
      </c>
      <c r="BM23" s="14" t="s">
        <v>72</v>
      </c>
      <c r="BN23" s="14" t="s">
        <v>72</v>
      </c>
      <c r="BO23" s="14" t="s">
        <v>2224</v>
      </c>
      <c r="BP23" s="14" t="s">
        <v>2048</v>
      </c>
      <c r="BQ23" s="14" t="s">
        <v>2048</v>
      </c>
      <c r="BR23" s="14" t="s">
        <v>172</v>
      </c>
      <c r="BS23" s="14" t="s">
        <v>2131</v>
      </c>
      <c r="BT23" s="14" t="s">
        <v>2048</v>
      </c>
      <c r="BU23" s="14" t="s">
        <v>2048</v>
      </c>
      <c r="BV23" s="14" t="s">
        <v>2048</v>
      </c>
      <c r="BW23" s="14" t="s">
        <v>2051</v>
      </c>
      <c r="BX23" s="14" t="s">
        <v>2048</v>
      </c>
      <c r="BY23" s="14" t="s">
        <v>2048</v>
      </c>
      <c r="BZ23" s="14" t="s">
        <v>2048</v>
      </c>
      <c r="CA23" s="14" t="s">
        <v>2048</v>
      </c>
      <c r="CB23" s="14" t="s">
        <v>2048</v>
      </c>
      <c r="CC23" s="14" t="s">
        <v>2048</v>
      </c>
      <c r="CD23" s="14" t="s">
        <v>2048</v>
      </c>
      <c r="CE23" s="14" t="s">
        <v>2048</v>
      </c>
      <c r="CF23" s="14" t="s">
        <v>2048</v>
      </c>
      <c r="CG23" s="14" t="s">
        <v>2068</v>
      </c>
      <c r="CH23" s="14" t="s">
        <v>2069</v>
      </c>
      <c r="CI23" s="14" t="s">
        <v>2048</v>
      </c>
      <c r="CJ23" s="17"/>
      <c r="CK23" s="17">
        <v>43019</v>
      </c>
      <c r="CL23" s="17">
        <v>44958</v>
      </c>
      <c r="CM23" s="17">
        <v>2958465</v>
      </c>
      <c r="CN23" s="17"/>
      <c r="CO23" s="19">
        <v>0</v>
      </c>
      <c r="CP23" s="19">
        <v>0</v>
      </c>
      <c r="CQ23" s="19">
        <v>0</v>
      </c>
      <c r="CR23" s="19">
        <v>0</v>
      </c>
      <c r="CS23" s="19">
        <v>0</v>
      </c>
      <c r="CT23" s="19">
        <v>0</v>
      </c>
      <c r="CU23" s="19">
        <v>0</v>
      </c>
      <c r="CV23" s="17"/>
      <c r="CW23" s="19">
        <v>0</v>
      </c>
      <c r="CX23" s="17"/>
      <c r="CY23" s="17"/>
      <c r="CZ23" s="19">
        <v>0</v>
      </c>
      <c r="DA23" s="17"/>
      <c r="DB23" s="17"/>
      <c r="DC23" s="19">
        <v>100</v>
      </c>
      <c r="DD23" s="17"/>
      <c r="DE23" s="17">
        <v>2958465</v>
      </c>
      <c r="DF23" s="17"/>
      <c r="DG23" s="17"/>
      <c r="DH23" s="19">
        <v>0</v>
      </c>
      <c r="DI23" s="19">
        <v>0</v>
      </c>
    </row>
    <row r="24" spans="1:113" x14ac:dyDescent="0.2">
      <c r="A24" s="14"/>
      <c r="B24" s="16" t="s">
        <v>800</v>
      </c>
      <c r="C24" s="14" t="s">
        <v>158</v>
      </c>
      <c r="D24" s="14" t="s">
        <v>159</v>
      </c>
      <c r="E24" s="14" t="s">
        <v>158</v>
      </c>
      <c r="F24" s="14" t="s">
        <v>2044</v>
      </c>
      <c r="G24" s="14" t="s">
        <v>2045</v>
      </c>
      <c r="H24" s="14" t="s">
        <v>102</v>
      </c>
      <c r="I24" s="14" t="s">
        <v>103</v>
      </c>
      <c r="J24" s="16">
        <f>COUNTIF($I$3:I24, I24)</f>
        <v>17</v>
      </c>
      <c r="K24" s="14" t="s">
        <v>2048</v>
      </c>
      <c r="L24" s="14" t="s">
        <v>2048</v>
      </c>
      <c r="M24" s="14" t="s">
        <v>2048</v>
      </c>
      <c r="N24" s="14"/>
      <c r="O24" s="14" t="s">
        <v>2225</v>
      </c>
      <c r="P24" s="14" t="s">
        <v>72</v>
      </c>
      <c r="Q24" s="14" t="s">
        <v>72</v>
      </c>
      <c r="R24" s="14" t="s">
        <v>2048</v>
      </c>
      <c r="S24" s="14"/>
      <c r="T24" s="14" t="s">
        <v>200</v>
      </c>
      <c r="U24" s="14" t="s">
        <v>2049</v>
      </c>
      <c r="V24" s="14" t="s">
        <v>2050</v>
      </c>
      <c r="W24" s="14" t="s">
        <v>2051</v>
      </c>
      <c r="X24" s="14" t="s">
        <v>2048</v>
      </c>
      <c r="Y24" s="14" t="s">
        <v>2048</v>
      </c>
      <c r="Z24" s="14" t="s">
        <v>2048</v>
      </c>
      <c r="AA24" s="14" t="s">
        <v>2048</v>
      </c>
      <c r="AB24" s="14" t="s">
        <v>85</v>
      </c>
      <c r="AC24" s="14" t="s">
        <v>340</v>
      </c>
      <c r="AD24" s="14" t="s">
        <v>2072</v>
      </c>
      <c r="AE24" s="14" t="s">
        <v>2073</v>
      </c>
      <c r="AF24" s="14" t="s">
        <v>2055</v>
      </c>
      <c r="AG24" s="14" t="s">
        <v>2055</v>
      </c>
      <c r="AH24" s="14" t="s">
        <v>2055</v>
      </c>
      <c r="AI24" s="14" t="s">
        <v>2057</v>
      </c>
      <c r="AJ24" s="14" t="s">
        <v>87</v>
      </c>
      <c r="AK24" s="14" t="s">
        <v>2048</v>
      </c>
      <c r="AL24" s="14" t="s">
        <v>2048</v>
      </c>
      <c r="AM24" s="14" t="s">
        <v>2048</v>
      </c>
      <c r="AN24" s="14" t="s">
        <v>2226</v>
      </c>
      <c r="AO24" s="17" t="s">
        <v>108</v>
      </c>
      <c r="AP24" s="14" t="s">
        <v>200</v>
      </c>
      <c r="AQ24" s="14" t="s">
        <v>2059</v>
      </c>
      <c r="AR24" s="14" t="s">
        <v>2227</v>
      </c>
      <c r="AS24" s="14" t="s">
        <v>2228</v>
      </c>
      <c r="AT24" s="14" t="s">
        <v>2061</v>
      </c>
      <c r="AU24" s="14" t="s">
        <v>2229</v>
      </c>
      <c r="AV24" s="14" t="s">
        <v>2230</v>
      </c>
      <c r="AW24" s="14" t="s">
        <v>2048</v>
      </c>
      <c r="AX24" s="14" t="s">
        <v>2048</v>
      </c>
      <c r="AY24" s="14" t="s">
        <v>102</v>
      </c>
      <c r="AZ24" s="14" t="s">
        <v>562</v>
      </c>
      <c r="BA24" s="14" t="s">
        <v>2231</v>
      </c>
      <c r="BB24" s="14" t="s">
        <v>2048</v>
      </c>
      <c r="BC24" s="14" t="s">
        <v>2061</v>
      </c>
      <c r="BD24" s="14" t="s">
        <v>2080</v>
      </c>
      <c r="BE24" s="14" t="s">
        <v>2081</v>
      </c>
      <c r="BF24" s="14" t="s">
        <v>2232</v>
      </c>
      <c r="BG24" s="14" t="s">
        <v>2233</v>
      </c>
      <c r="BH24" s="14" t="s">
        <v>2234</v>
      </c>
      <c r="BI24" s="14" t="s">
        <v>2085</v>
      </c>
      <c r="BJ24" s="14" t="s">
        <v>2051</v>
      </c>
      <c r="BK24" s="14" t="s">
        <v>2048</v>
      </c>
      <c r="BL24" s="14" t="s">
        <v>2064</v>
      </c>
      <c r="BM24" s="14" t="s">
        <v>72</v>
      </c>
      <c r="BN24" s="14" t="s">
        <v>72</v>
      </c>
      <c r="BO24" s="14" t="s">
        <v>2235</v>
      </c>
      <c r="BP24" s="14" t="s">
        <v>2236</v>
      </c>
      <c r="BQ24" s="14" t="s">
        <v>2237</v>
      </c>
      <c r="BR24" s="14" t="s">
        <v>172</v>
      </c>
      <c r="BS24" s="14" t="s">
        <v>2131</v>
      </c>
      <c r="BT24" s="14" t="s">
        <v>2048</v>
      </c>
      <c r="BU24" s="14" t="s">
        <v>2048</v>
      </c>
      <c r="BV24" s="14" t="s">
        <v>2048</v>
      </c>
      <c r="BW24" s="14" t="s">
        <v>2051</v>
      </c>
      <c r="BX24" s="14" t="s">
        <v>2048</v>
      </c>
      <c r="BY24" s="14" t="s">
        <v>2048</v>
      </c>
      <c r="BZ24" s="14" t="s">
        <v>72</v>
      </c>
      <c r="CA24" s="14" t="s">
        <v>2048</v>
      </c>
      <c r="CB24" s="14" t="s">
        <v>2048</v>
      </c>
      <c r="CC24" s="14" t="s">
        <v>2048</v>
      </c>
      <c r="CD24" s="14" t="s">
        <v>2048</v>
      </c>
      <c r="CE24" s="14" t="s">
        <v>2048</v>
      </c>
      <c r="CF24" s="14" t="s">
        <v>2048</v>
      </c>
      <c r="CG24" s="14" t="s">
        <v>2068</v>
      </c>
      <c r="CH24" s="14" t="s">
        <v>2069</v>
      </c>
      <c r="CI24" s="14" t="s">
        <v>2048</v>
      </c>
      <c r="CJ24" s="17"/>
      <c r="CK24" s="17">
        <v>43018</v>
      </c>
      <c r="CL24" s="17">
        <v>44929</v>
      </c>
      <c r="CM24" s="17">
        <v>2958465</v>
      </c>
      <c r="CN24" s="17"/>
      <c r="CO24" s="19">
        <v>0</v>
      </c>
      <c r="CP24" s="19">
        <v>0</v>
      </c>
      <c r="CQ24" s="19">
        <v>0</v>
      </c>
      <c r="CR24" s="19">
        <v>0</v>
      </c>
      <c r="CS24" s="19">
        <v>0</v>
      </c>
      <c r="CT24" s="19">
        <v>0</v>
      </c>
      <c r="CU24" s="19">
        <v>0</v>
      </c>
      <c r="CV24" s="17"/>
      <c r="CW24" s="19">
        <v>0</v>
      </c>
      <c r="CX24" s="17"/>
      <c r="CY24" s="17"/>
      <c r="CZ24" s="19">
        <v>0</v>
      </c>
      <c r="DA24" s="17"/>
      <c r="DB24" s="17"/>
      <c r="DC24" s="19">
        <v>100</v>
      </c>
      <c r="DD24" s="17"/>
      <c r="DE24" s="17">
        <v>2958465</v>
      </c>
      <c r="DF24" s="17"/>
      <c r="DG24" s="17"/>
      <c r="DH24" s="19">
        <v>0</v>
      </c>
      <c r="DI24" s="19">
        <v>0</v>
      </c>
    </row>
    <row r="25" spans="1:113" x14ac:dyDescent="0.2">
      <c r="A25" s="14"/>
      <c r="B25" s="16" t="s">
        <v>105</v>
      </c>
      <c r="C25" s="14" t="s">
        <v>158</v>
      </c>
      <c r="D25" s="14" t="s">
        <v>159</v>
      </c>
      <c r="E25" s="14" t="s">
        <v>158</v>
      </c>
      <c r="F25" s="14" t="s">
        <v>2044</v>
      </c>
      <c r="G25" s="14" t="s">
        <v>2045</v>
      </c>
      <c r="H25" s="14" t="s">
        <v>102</v>
      </c>
      <c r="I25" s="14" t="s">
        <v>103</v>
      </c>
      <c r="J25" s="16">
        <f>COUNTIF($I$3:I25, I25)</f>
        <v>18</v>
      </c>
      <c r="K25" s="14" t="s">
        <v>2048</v>
      </c>
      <c r="L25" s="14" t="s">
        <v>2048</v>
      </c>
      <c r="M25" s="14" t="s">
        <v>2048</v>
      </c>
      <c r="N25" s="14"/>
      <c r="O25" s="14" t="s">
        <v>2238</v>
      </c>
      <c r="P25" s="14" t="s">
        <v>72</v>
      </c>
      <c r="Q25" s="14" t="s">
        <v>72</v>
      </c>
      <c r="R25" s="14" t="s">
        <v>2048</v>
      </c>
      <c r="S25" s="14"/>
      <c r="T25" s="14" t="s">
        <v>200</v>
      </c>
      <c r="U25" s="14" t="s">
        <v>2049</v>
      </c>
      <c r="V25" s="14" t="s">
        <v>2050</v>
      </c>
      <c r="W25" s="14" t="s">
        <v>2051</v>
      </c>
      <c r="X25" s="14" t="s">
        <v>2048</v>
      </c>
      <c r="Y25" s="14" t="s">
        <v>2048</v>
      </c>
      <c r="Z25" s="14" t="s">
        <v>2048</v>
      </c>
      <c r="AA25" s="14" t="s">
        <v>2048</v>
      </c>
      <c r="AB25" s="14" t="s">
        <v>79</v>
      </c>
      <c r="AC25" s="14" t="s">
        <v>106</v>
      </c>
      <c r="AD25" s="14" t="s">
        <v>2072</v>
      </c>
      <c r="AE25" s="14" t="s">
        <v>2073</v>
      </c>
      <c r="AF25" s="14" t="s">
        <v>2056</v>
      </c>
      <c r="AG25" s="14" t="s">
        <v>2056</v>
      </c>
      <c r="AH25" s="14" t="s">
        <v>2055</v>
      </c>
      <c r="AI25" s="14" t="s">
        <v>2057</v>
      </c>
      <c r="AJ25" s="14" t="s">
        <v>87</v>
      </c>
      <c r="AK25" s="14" t="s">
        <v>2048</v>
      </c>
      <c r="AL25" s="14" t="s">
        <v>2048</v>
      </c>
      <c r="AM25" s="14" t="s">
        <v>2148</v>
      </c>
      <c r="AN25" s="14" t="s">
        <v>2149</v>
      </c>
      <c r="AO25" s="17" t="s">
        <v>108</v>
      </c>
      <c r="AP25" s="14" t="s">
        <v>77</v>
      </c>
      <c r="AQ25" s="14" t="s">
        <v>2059</v>
      </c>
      <c r="AR25" s="14" t="s">
        <v>2060</v>
      </c>
      <c r="AS25" s="14" t="s">
        <v>2048</v>
      </c>
      <c r="AT25" s="14" t="s">
        <v>2105</v>
      </c>
      <c r="AU25" s="14" t="s">
        <v>2150</v>
      </c>
      <c r="AV25" s="14" t="s">
        <v>2151</v>
      </c>
      <c r="AW25" s="14" t="s">
        <v>2048</v>
      </c>
      <c r="AX25" s="14" t="s">
        <v>2048</v>
      </c>
      <c r="AY25" s="14" t="s">
        <v>102</v>
      </c>
      <c r="AZ25" s="14" t="s">
        <v>107</v>
      </c>
      <c r="BA25" s="14" t="s">
        <v>2152</v>
      </c>
      <c r="BB25" s="14" t="s">
        <v>2048</v>
      </c>
      <c r="BC25" s="14" t="s">
        <v>2061</v>
      </c>
      <c r="BD25" s="14" t="s">
        <v>2080</v>
      </c>
      <c r="BE25" s="14" t="s">
        <v>2081</v>
      </c>
      <c r="BF25" s="14" t="s">
        <v>2153</v>
      </c>
      <c r="BG25" s="14" t="s">
        <v>2154</v>
      </c>
      <c r="BH25" s="14" t="s">
        <v>2155</v>
      </c>
      <c r="BI25" s="14" t="s">
        <v>2085</v>
      </c>
      <c r="BJ25" s="14" t="s">
        <v>2051</v>
      </c>
      <c r="BK25" s="14" t="s">
        <v>2048</v>
      </c>
      <c r="BL25" s="14" t="s">
        <v>2064</v>
      </c>
      <c r="BM25" s="14" t="s">
        <v>72</v>
      </c>
      <c r="BN25" s="14" t="s">
        <v>72</v>
      </c>
      <c r="BO25" s="14" t="s">
        <v>2239</v>
      </c>
      <c r="BP25" s="14" t="s">
        <v>2048</v>
      </c>
      <c r="BQ25" s="14" t="s">
        <v>2048</v>
      </c>
      <c r="BR25" s="14" t="s">
        <v>159</v>
      </c>
      <c r="BS25" s="14" t="s">
        <v>2089</v>
      </c>
      <c r="BT25" s="14" t="s">
        <v>2048</v>
      </c>
      <c r="BU25" s="14" t="s">
        <v>2048</v>
      </c>
      <c r="BV25" s="14" t="s">
        <v>2048</v>
      </c>
      <c r="BW25" s="14" t="s">
        <v>2051</v>
      </c>
      <c r="BX25" s="14" t="s">
        <v>2048</v>
      </c>
      <c r="BY25" s="14" t="s">
        <v>2048</v>
      </c>
      <c r="BZ25" s="14" t="s">
        <v>2048</v>
      </c>
      <c r="CA25" s="14" t="s">
        <v>2048</v>
      </c>
      <c r="CB25" s="14" t="s">
        <v>2048</v>
      </c>
      <c r="CC25" s="14" t="s">
        <v>2048</v>
      </c>
      <c r="CD25" s="14" t="s">
        <v>2048</v>
      </c>
      <c r="CE25" s="14" t="s">
        <v>2048</v>
      </c>
      <c r="CF25" s="14" t="s">
        <v>2048</v>
      </c>
      <c r="CG25" s="14" t="s">
        <v>2121</v>
      </c>
      <c r="CH25" s="14" t="s">
        <v>2122</v>
      </c>
      <c r="CI25" s="14" t="s">
        <v>2048</v>
      </c>
      <c r="CJ25" s="17"/>
      <c r="CK25" s="17">
        <v>45133</v>
      </c>
      <c r="CL25" s="17">
        <v>45133</v>
      </c>
      <c r="CM25" s="17">
        <v>2958465</v>
      </c>
      <c r="CN25" s="17"/>
      <c r="CO25" s="19">
        <v>0</v>
      </c>
      <c r="CP25" s="19">
        <v>0</v>
      </c>
      <c r="CQ25" s="19">
        <v>0</v>
      </c>
      <c r="CR25" s="19">
        <v>0</v>
      </c>
      <c r="CS25" s="19">
        <v>0</v>
      </c>
      <c r="CT25" s="19">
        <v>0</v>
      </c>
      <c r="CU25" s="19">
        <v>0</v>
      </c>
      <c r="CV25" s="17"/>
      <c r="CW25" s="19">
        <v>23376</v>
      </c>
      <c r="CX25" s="17">
        <v>45729</v>
      </c>
      <c r="CY25" s="17"/>
      <c r="CZ25" s="19">
        <v>0</v>
      </c>
      <c r="DA25" s="17"/>
      <c r="DB25" s="17"/>
      <c r="DC25" s="19">
        <v>100</v>
      </c>
      <c r="DD25" s="17"/>
      <c r="DE25" s="17">
        <v>2958465</v>
      </c>
      <c r="DF25" s="17"/>
      <c r="DG25" s="17"/>
      <c r="DH25" s="19">
        <v>0</v>
      </c>
      <c r="DI25" s="19">
        <v>0</v>
      </c>
    </row>
    <row r="26" spans="1:113" x14ac:dyDescent="0.2">
      <c r="A26" s="14"/>
      <c r="B26" s="16" t="s">
        <v>553</v>
      </c>
      <c r="C26" s="14" t="s">
        <v>158</v>
      </c>
      <c r="D26" s="14" t="s">
        <v>159</v>
      </c>
      <c r="E26" s="14" t="s">
        <v>158</v>
      </c>
      <c r="F26" s="14" t="s">
        <v>2044</v>
      </c>
      <c r="G26" s="14" t="s">
        <v>2045</v>
      </c>
      <c r="H26" s="14" t="s">
        <v>102</v>
      </c>
      <c r="I26" s="14" t="s">
        <v>103</v>
      </c>
      <c r="J26" s="16">
        <f>COUNTIF($I$3:I26, I26)</f>
        <v>19</v>
      </c>
      <c r="K26" s="14" t="s">
        <v>2048</v>
      </c>
      <c r="L26" s="14" t="s">
        <v>2048</v>
      </c>
      <c r="M26" s="14" t="s">
        <v>2048</v>
      </c>
      <c r="N26" s="14"/>
      <c r="O26" s="14" t="s">
        <v>2240</v>
      </c>
      <c r="P26" s="14" t="s">
        <v>72</v>
      </c>
      <c r="Q26" s="14" t="s">
        <v>72</v>
      </c>
      <c r="R26" s="14" t="s">
        <v>2048</v>
      </c>
      <c r="S26" s="14"/>
      <c r="T26" s="14" t="s">
        <v>200</v>
      </c>
      <c r="U26" s="14" t="s">
        <v>2049</v>
      </c>
      <c r="V26" s="14" t="s">
        <v>2050</v>
      </c>
      <c r="W26" s="14" t="s">
        <v>2051</v>
      </c>
      <c r="X26" s="14" t="s">
        <v>2048</v>
      </c>
      <c r="Y26" s="14" t="s">
        <v>2048</v>
      </c>
      <c r="Z26" s="14" t="s">
        <v>2048</v>
      </c>
      <c r="AA26" s="14" t="s">
        <v>2048</v>
      </c>
      <c r="AB26" s="14" t="s">
        <v>79</v>
      </c>
      <c r="AC26" s="14" t="s">
        <v>106</v>
      </c>
      <c r="AD26" s="14" t="s">
        <v>2072</v>
      </c>
      <c r="AE26" s="14" t="s">
        <v>2073</v>
      </c>
      <c r="AF26" s="14" t="s">
        <v>2056</v>
      </c>
      <c r="AG26" s="14" t="s">
        <v>2055</v>
      </c>
      <c r="AH26" s="14" t="s">
        <v>2055</v>
      </c>
      <c r="AI26" s="14" t="s">
        <v>2057</v>
      </c>
      <c r="AJ26" s="14" t="s">
        <v>87</v>
      </c>
      <c r="AK26" s="14" t="s">
        <v>2048</v>
      </c>
      <c r="AL26" s="14" t="s">
        <v>2048</v>
      </c>
      <c r="AM26" s="14" t="s">
        <v>2148</v>
      </c>
      <c r="AN26" s="14" t="s">
        <v>2241</v>
      </c>
      <c r="AO26" s="17" t="s">
        <v>108</v>
      </c>
      <c r="AP26" s="14" t="s">
        <v>77</v>
      </c>
      <c r="AQ26" s="14" t="s">
        <v>2059</v>
      </c>
      <c r="AR26" s="14" t="s">
        <v>2060</v>
      </c>
      <c r="AS26" s="14" t="s">
        <v>2048</v>
      </c>
      <c r="AT26" s="14" t="s">
        <v>2105</v>
      </c>
      <c r="AU26" s="14" t="s">
        <v>2242</v>
      </c>
      <c r="AV26" s="14" t="s">
        <v>2243</v>
      </c>
      <c r="AW26" s="14" t="s">
        <v>2048</v>
      </c>
      <c r="AX26" s="14" t="s">
        <v>2048</v>
      </c>
      <c r="AY26" s="14" t="s">
        <v>102</v>
      </c>
      <c r="AZ26" s="14" t="s">
        <v>457</v>
      </c>
      <c r="BA26" s="14" t="s">
        <v>2244</v>
      </c>
      <c r="BB26" s="14" t="s">
        <v>2048</v>
      </c>
      <c r="BC26" s="14" t="s">
        <v>2061</v>
      </c>
      <c r="BD26" s="14" t="s">
        <v>2080</v>
      </c>
      <c r="BE26" s="14" t="s">
        <v>2081</v>
      </c>
      <c r="BF26" s="14" t="s">
        <v>2245</v>
      </c>
      <c r="BG26" s="14" t="s">
        <v>2246</v>
      </c>
      <c r="BH26" s="14" t="s">
        <v>2247</v>
      </c>
      <c r="BI26" s="14" t="s">
        <v>2085</v>
      </c>
      <c r="BJ26" s="14" t="s">
        <v>2051</v>
      </c>
      <c r="BK26" s="14" t="s">
        <v>2048</v>
      </c>
      <c r="BL26" s="14" t="s">
        <v>2064</v>
      </c>
      <c r="BM26" s="14" t="s">
        <v>72</v>
      </c>
      <c r="BN26" s="14" t="s">
        <v>72</v>
      </c>
      <c r="BO26" s="14" t="s">
        <v>2248</v>
      </c>
      <c r="BP26" s="14" t="s">
        <v>2048</v>
      </c>
      <c r="BQ26" s="14" t="s">
        <v>2048</v>
      </c>
      <c r="BR26" s="14" t="s">
        <v>159</v>
      </c>
      <c r="BS26" s="14" t="s">
        <v>2089</v>
      </c>
      <c r="BT26" s="14" t="s">
        <v>2048</v>
      </c>
      <c r="BU26" s="14" t="s">
        <v>2048</v>
      </c>
      <c r="BV26" s="14" t="s">
        <v>2048</v>
      </c>
      <c r="BW26" s="14" t="s">
        <v>2051</v>
      </c>
      <c r="BX26" s="14" t="s">
        <v>2048</v>
      </c>
      <c r="BY26" s="14" t="s">
        <v>2048</v>
      </c>
      <c r="BZ26" s="14" t="s">
        <v>2048</v>
      </c>
      <c r="CA26" s="14" t="s">
        <v>2048</v>
      </c>
      <c r="CB26" s="14" t="s">
        <v>2048</v>
      </c>
      <c r="CC26" s="14" t="s">
        <v>2048</v>
      </c>
      <c r="CD26" s="14" t="s">
        <v>2048</v>
      </c>
      <c r="CE26" s="14" t="s">
        <v>2048</v>
      </c>
      <c r="CF26" s="14" t="s">
        <v>2048</v>
      </c>
      <c r="CG26" s="14" t="s">
        <v>2121</v>
      </c>
      <c r="CH26" s="14" t="s">
        <v>2122</v>
      </c>
      <c r="CI26" s="14" t="s">
        <v>2048</v>
      </c>
      <c r="CJ26" s="17"/>
      <c r="CK26" s="17">
        <v>45133</v>
      </c>
      <c r="CL26" s="17">
        <v>45133</v>
      </c>
      <c r="CM26" s="17">
        <v>2958465</v>
      </c>
      <c r="CN26" s="17"/>
      <c r="CO26" s="19">
        <v>0</v>
      </c>
      <c r="CP26" s="19">
        <v>0</v>
      </c>
      <c r="CQ26" s="19">
        <v>0</v>
      </c>
      <c r="CR26" s="19">
        <v>0</v>
      </c>
      <c r="CS26" s="19">
        <v>0</v>
      </c>
      <c r="CT26" s="19">
        <v>0</v>
      </c>
      <c r="CU26" s="19">
        <v>0</v>
      </c>
      <c r="CV26" s="17"/>
      <c r="CW26" s="19">
        <v>0</v>
      </c>
      <c r="CX26" s="17"/>
      <c r="CY26" s="17"/>
      <c r="CZ26" s="19">
        <v>0</v>
      </c>
      <c r="DA26" s="17"/>
      <c r="DB26" s="17"/>
      <c r="DC26" s="19">
        <v>100</v>
      </c>
      <c r="DD26" s="17"/>
      <c r="DE26" s="17">
        <v>2958465</v>
      </c>
      <c r="DF26" s="17"/>
      <c r="DG26" s="17"/>
      <c r="DH26" s="19">
        <v>0</v>
      </c>
      <c r="DI26" s="19">
        <v>0</v>
      </c>
    </row>
    <row r="27" spans="1:113" x14ac:dyDescent="0.2">
      <c r="A27" s="14"/>
      <c r="B27" s="16" t="s">
        <v>456</v>
      </c>
      <c r="C27" s="14" t="s">
        <v>158</v>
      </c>
      <c r="D27" s="14" t="s">
        <v>159</v>
      </c>
      <c r="E27" s="14" t="s">
        <v>158</v>
      </c>
      <c r="F27" s="14" t="s">
        <v>2044</v>
      </c>
      <c r="G27" s="14" t="s">
        <v>2045</v>
      </c>
      <c r="H27" s="14" t="s">
        <v>102</v>
      </c>
      <c r="I27" s="14" t="s">
        <v>103</v>
      </c>
      <c r="J27" s="16">
        <f>COUNTIF($I$3:I27, I27)</f>
        <v>20</v>
      </c>
      <c r="K27" s="14" t="s">
        <v>2048</v>
      </c>
      <c r="L27" s="14" t="s">
        <v>2048</v>
      </c>
      <c r="M27" s="14" t="s">
        <v>2048</v>
      </c>
      <c r="N27" s="14"/>
      <c r="O27" s="14" t="s">
        <v>2249</v>
      </c>
      <c r="P27" s="14" t="s">
        <v>72</v>
      </c>
      <c r="Q27" s="14" t="s">
        <v>72</v>
      </c>
      <c r="R27" s="14" t="s">
        <v>2048</v>
      </c>
      <c r="S27" s="14"/>
      <c r="T27" s="14" t="s">
        <v>200</v>
      </c>
      <c r="U27" s="14" t="s">
        <v>2049</v>
      </c>
      <c r="V27" s="14" t="s">
        <v>2050</v>
      </c>
      <c r="W27" s="14" t="s">
        <v>2051</v>
      </c>
      <c r="X27" s="14" t="s">
        <v>2048</v>
      </c>
      <c r="Y27" s="14" t="s">
        <v>2048</v>
      </c>
      <c r="Z27" s="14" t="s">
        <v>2048</v>
      </c>
      <c r="AA27" s="14" t="s">
        <v>2048</v>
      </c>
      <c r="AB27" s="14" t="s">
        <v>79</v>
      </c>
      <c r="AC27" s="14" t="s">
        <v>106</v>
      </c>
      <c r="AD27" s="14" t="s">
        <v>2072</v>
      </c>
      <c r="AE27" s="14" t="s">
        <v>2073</v>
      </c>
      <c r="AF27" s="14" t="s">
        <v>2056</v>
      </c>
      <c r="AG27" s="14" t="s">
        <v>2056</v>
      </c>
      <c r="AH27" s="14" t="s">
        <v>2055</v>
      </c>
      <c r="AI27" s="14" t="s">
        <v>2057</v>
      </c>
      <c r="AJ27" s="14" t="s">
        <v>87</v>
      </c>
      <c r="AK27" s="14" t="s">
        <v>2048</v>
      </c>
      <c r="AL27" s="14" t="s">
        <v>2048</v>
      </c>
      <c r="AM27" s="14" t="s">
        <v>2148</v>
      </c>
      <c r="AN27" s="14" t="s">
        <v>2241</v>
      </c>
      <c r="AO27" s="17" t="s">
        <v>108</v>
      </c>
      <c r="AP27" s="14" t="s">
        <v>77</v>
      </c>
      <c r="AQ27" s="14" t="s">
        <v>2059</v>
      </c>
      <c r="AR27" s="14" t="s">
        <v>2060</v>
      </c>
      <c r="AS27" s="14" t="s">
        <v>2048</v>
      </c>
      <c r="AT27" s="14" t="s">
        <v>2105</v>
      </c>
      <c r="AU27" s="14" t="s">
        <v>2242</v>
      </c>
      <c r="AV27" s="14" t="s">
        <v>2243</v>
      </c>
      <c r="AW27" s="14" t="s">
        <v>2048</v>
      </c>
      <c r="AX27" s="14" t="s">
        <v>2048</v>
      </c>
      <c r="AY27" s="14" t="s">
        <v>102</v>
      </c>
      <c r="AZ27" s="14" t="s">
        <v>457</v>
      </c>
      <c r="BA27" s="14" t="s">
        <v>2244</v>
      </c>
      <c r="BB27" s="14" t="s">
        <v>2048</v>
      </c>
      <c r="BC27" s="14" t="s">
        <v>2061</v>
      </c>
      <c r="BD27" s="14" t="s">
        <v>2080</v>
      </c>
      <c r="BE27" s="14" t="s">
        <v>2081</v>
      </c>
      <c r="BF27" s="14" t="s">
        <v>2245</v>
      </c>
      <c r="BG27" s="14" t="s">
        <v>2246</v>
      </c>
      <c r="BH27" s="14" t="s">
        <v>2247</v>
      </c>
      <c r="BI27" s="14" t="s">
        <v>2085</v>
      </c>
      <c r="BJ27" s="14" t="s">
        <v>2051</v>
      </c>
      <c r="BK27" s="14" t="s">
        <v>2048</v>
      </c>
      <c r="BL27" s="14" t="s">
        <v>2064</v>
      </c>
      <c r="BM27" s="14" t="s">
        <v>72</v>
      </c>
      <c r="BN27" s="14" t="s">
        <v>72</v>
      </c>
      <c r="BO27" s="14" t="s">
        <v>2250</v>
      </c>
      <c r="BP27" s="14" t="s">
        <v>2048</v>
      </c>
      <c r="BQ27" s="14" t="s">
        <v>2048</v>
      </c>
      <c r="BR27" s="14" t="s">
        <v>159</v>
      </c>
      <c r="BS27" s="14" t="s">
        <v>2089</v>
      </c>
      <c r="BT27" s="14" t="s">
        <v>2048</v>
      </c>
      <c r="BU27" s="14" t="s">
        <v>2048</v>
      </c>
      <c r="BV27" s="14" t="s">
        <v>2048</v>
      </c>
      <c r="BW27" s="14" t="s">
        <v>2051</v>
      </c>
      <c r="BX27" s="14" t="s">
        <v>2048</v>
      </c>
      <c r="BY27" s="14" t="s">
        <v>2048</v>
      </c>
      <c r="BZ27" s="14" t="s">
        <v>2048</v>
      </c>
      <c r="CA27" s="14" t="s">
        <v>2048</v>
      </c>
      <c r="CB27" s="14" t="s">
        <v>2048</v>
      </c>
      <c r="CC27" s="14" t="s">
        <v>2048</v>
      </c>
      <c r="CD27" s="14" t="s">
        <v>2048</v>
      </c>
      <c r="CE27" s="14" t="s">
        <v>2048</v>
      </c>
      <c r="CF27" s="14" t="s">
        <v>2048</v>
      </c>
      <c r="CG27" s="14" t="s">
        <v>2121</v>
      </c>
      <c r="CH27" s="14" t="s">
        <v>2122</v>
      </c>
      <c r="CI27" s="14" t="s">
        <v>2048</v>
      </c>
      <c r="CJ27" s="17"/>
      <c r="CK27" s="17">
        <v>45133</v>
      </c>
      <c r="CL27" s="17">
        <v>45133</v>
      </c>
      <c r="CM27" s="17">
        <v>2958465</v>
      </c>
      <c r="CN27" s="17"/>
      <c r="CO27" s="19">
        <v>0</v>
      </c>
      <c r="CP27" s="19">
        <v>0</v>
      </c>
      <c r="CQ27" s="19">
        <v>0</v>
      </c>
      <c r="CR27" s="19">
        <v>0</v>
      </c>
      <c r="CS27" s="19">
        <v>0</v>
      </c>
      <c r="CT27" s="19">
        <v>0</v>
      </c>
      <c r="CU27" s="19">
        <v>0</v>
      </c>
      <c r="CV27" s="17"/>
      <c r="CW27" s="19">
        <v>0</v>
      </c>
      <c r="CX27" s="17"/>
      <c r="CY27" s="17"/>
      <c r="CZ27" s="19">
        <v>0</v>
      </c>
      <c r="DA27" s="17"/>
      <c r="DB27" s="17"/>
      <c r="DC27" s="19">
        <v>100</v>
      </c>
      <c r="DD27" s="17"/>
      <c r="DE27" s="17">
        <v>2958465</v>
      </c>
      <c r="DF27" s="17"/>
      <c r="DG27" s="17"/>
      <c r="DH27" s="19">
        <v>0</v>
      </c>
      <c r="DI27" s="19">
        <v>0</v>
      </c>
    </row>
    <row r="28" spans="1:113" x14ac:dyDescent="0.2">
      <c r="A28" s="14"/>
      <c r="B28" s="16" t="s">
        <v>557</v>
      </c>
      <c r="C28" s="14" t="s">
        <v>158</v>
      </c>
      <c r="D28" s="14" t="s">
        <v>159</v>
      </c>
      <c r="E28" s="14" t="s">
        <v>158</v>
      </c>
      <c r="F28" s="14" t="s">
        <v>2044</v>
      </c>
      <c r="G28" s="14" t="s">
        <v>2045</v>
      </c>
      <c r="H28" s="14" t="s">
        <v>102</v>
      </c>
      <c r="I28" s="14" t="s">
        <v>103</v>
      </c>
      <c r="J28" s="16">
        <f>COUNTIF($I$3:I28, I28)</f>
        <v>21</v>
      </c>
      <c r="K28" s="14" t="s">
        <v>2048</v>
      </c>
      <c r="L28" s="14" t="s">
        <v>2048</v>
      </c>
      <c r="M28" s="14" t="s">
        <v>2048</v>
      </c>
      <c r="N28" s="14"/>
      <c r="O28" s="14" t="s">
        <v>2251</v>
      </c>
      <c r="P28" s="14" t="s">
        <v>72</v>
      </c>
      <c r="Q28" s="14" t="s">
        <v>72</v>
      </c>
      <c r="R28" s="14" t="s">
        <v>2048</v>
      </c>
      <c r="S28" s="14"/>
      <c r="T28" s="14" t="s">
        <v>200</v>
      </c>
      <c r="U28" s="14" t="s">
        <v>2049</v>
      </c>
      <c r="V28" s="14" t="s">
        <v>2050</v>
      </c>
      <c r="W28" s="14" t="s">
        <v>2051</v>
      </c>
      <c r="X28" s="14" t="s">
        <v>2048</v>
      </c>
      <c r="Y28" s="14" t="s">
        <v>2048</v>
      </c>
      <c r="Z28" s="14" t="s">
        <v>2048</v>
      </c>
      <c r="AA28" s="14" t="s">
        <v>2048</v>
      </c>
      <c r="AB28" s="14" t="s">
        <v>79</v>
      </c>
      <c r="AC28" s="14" t="s">
        <v>106</v>
      </c>
      <c r="AD28" s="14" t="s">
        <v>2072</v>
      </c>
      <c r="AE28" s="14" t="s">
        <v>2073</v>
      </c>
      <c r="AF28" s="14" t="s">
        <v>2056</v>
      </c>
      <c r="AG28" s="14" t="s">
        <v>2056</v>
      </c>
      <c r="AH28" s="14" t="s">
        <v>2055</v>
      </c>
      <c r="AI28" s="14" t="s">
        <v>2057</v>
      </c>
      <c r="AJ28" s="14" t="s">
        <v>87</v>
      </c>
      <c r="AK28" s="14" t="s">
        <v>2048</v>
      </c>
      <c r="AL28" s="14" t="s">
        <v>2048</v>
      </c>
      <c r="AM28" s="14" t="s">
        <v>2148</v>
      </c>
      <c r="AN28" s="14" t="s">
        <v>2149</v>
      </c>
      <c r="AO28" s="17" t="s">
        <v>108</v>
      </c>
      <c r="AP28" s="14" t="s">
        <v>77</v>
      </c>
      <c r="AQ28" s="14" t="s">
        <v>2059</v>
      </c>
      <c r="AR28" s="14" t="s">
        <v>2060</v>
      </c>
      <c r="AS28" s="14" t="s">
        <v>2048</v>
      </c>
      <c r="AT28" s="14" t="s">
        <v>2105</v>
      </c>
      <c r="AU28" s="14" t="s">
        <v>2150</v>
      </c>
      <c r="AV28" s="14" t="s">
        <v>2151</v>
      </c>
      <c r="AW28" s="14" t="s">
        <v>2048</v>
      </c>
      <c r="AX28" s="14" t="s">
        <v>2048</v>
      </c>
      <c r="AY28" s="14" t="s">
        <v>102</v>
      </c>
      <c r="AZ28" s="14" t="s">
        <v>107</v>
      </c>
      <c r="BA28" s="14" t="s">
        <v>2152</v>
      </c>
      <c r="BB28" s="14" t="s">
        <v>2048</v>
      </c>
      <c r="BC28" s="14" t="s">
        <v>2061</v>
      </c>
      <c r="BD28" s="14" t="s">
        <v>2080</v>
      </c>
      <c r="BE28" s="14" t="s">
        <v>2081</v>
      </c>
      <c r="BF28" s="14" t="s">
        <v>2153</v>
      </c>
      <c r="BG28" s="14" t="s">
        <v>2154</v>
      </c>
      <c r="BH28" s="14" t="s">
        <v>2155</v>
      </c>
      <c r="BI28" s="14" t="s">
        <v>2085</v>
      </c>
      <c r="BJ28" s="14" t="s">
        <v>2051</v>
      </c>
      <c r="BK28" s="14" t="s">
        <v>2048</v>
      </c>
      <c r="BL28" s="14" t="s">
        <v>2064</v>
      </c>
      <c r="BM28" s="14" t="s">
        <v>72</v>
      </c>
      <c r="BN28" s="14" t="s">
        <v>72</v>
      </c>
      <c r="BO28" s="14" t="s">
        <v>2252</v>
      </c>
      <c r="BP28" s="14" t="s">
        <v>2048</v>
      </c>
      <c r="BQ28" s="14" t="s">
        <v>2048</v>
      </c>
      <c r="BR28" s="14" t="s">
        <v>159</v>
      </c>
      <c r="BS28" s="14" t="s">
        <v>2089</v>
      </c>
      <c r="BT28" s="14" t="s">
        <v>2048</v>
      </c>
      <c r="BU28" s="14" t="s">
        <v>2048</v>
      </c>
      <c r="BV28" s="14" t="s">
        <v>2048</v>
      </c>
      <c r="BW28" s="14" t="s">
        <v>2051</v>
      </c>
      <c r="BX28" s="14" t="s">
        <v>2048</v>
      </c>
      <c r="BY28" s="14" t="s">
        <v>2048</v>
      </c>
      <c r="BZ28" s="14" t="s">
        <v>2048</v>
      </c>
      <c r="CA28" s="14" t="s">
        <v>2048</v>
      </c>
      <c r="CB28" s="14" t="s">
        <v>2048</v>
      </c>
      <c r="CC28" s="14" t="s">
        <v>2048</v>
      </c>
      <c r="CD28" s="14" t="s">
        <v>2048</v>
      </c>
      <c r="CE28" s="14" t="s">
        <v>2048</v>
      </c>
      <c r="CF28" s="14" t="s">
        <v>2048</v>
      </c>
      <c r="CG28" s="14" t="s">
        <v>2121</v>
      </c>
      <c r="CH28" s="14" t="s">
        <v>2122</v>
      </c>
      <c r="CI28" s="14" t="s">
        <v>2048</v>
      </c>
      <c r="CJ28" s="17"/>
      <c r="CK28" s="17">
        <v>45133</v>
      </c>
      <c r="CL28" s="17">
        <v>45133</v>
      </c>
      <c r="CM28" s="17">
        <v>2958465</v>
      </c>
      <c r="CN28" s="17"/>
      <c r="CO28" s="19">
        <v>0</v>
      </c>
      <c r="CP28" s="19">
        <v>0</v>
      </c>
      <c r="CQ28" s="19">
        <v>0</v>
      </c>
      <c r="CR28" s="19">
        <v>0</v>
      </c>
      <c r="CS28" s="19">
        <v>0</v>
      </c>
      <c r="CT28" s="19">
        <v>0</v>
      </c>
      <c r="CU28" s="19">
        <v>0</v>
      </c>
      <c r="CV28" s="17"/>
      <c r="CW28" s="19">
        <v>33217</v>
      </c>
      <c r="CX28" s="17">
        <v>45729</v>
      </c>
      <c r="CY28" s="17"/>
      <c r="CZ28" s="19">
        <v>0</v>
      </c>
      <c r="DA28" s="17"/>
      <c r="DB28" s="17"/>
      <c r="DC28" s="19">
        <v>100</v>
      </c>
      <c r="DD28" s="17"/>
      <c r="DE28" s="17">
        <v>2958465</v>
      </c>
      <c r="DF28" s="17"/>
      <c r="DG28" s="17"/>
      <c r="DH28" s="19">
        <v>0</v>
      </c>
      <c r="DI28" s="19">
        <v>0</v>
      </c>
    </row>
    <row r="29" spans="1:113" x14ac:dyDescent="0.2">
      <c r="A29" s="14"/>
      <c r="B29" s="16" t="s">
        <v>113</v>
      </c>
      <c r="C29" s="14" t="s">
        <v>158</v>
      </c>
      <c r="D29" s="14" t="s">
        <v>159</v>
      </c>
      <c r="E29" s="14" t="s">
        <v>158</v>
      </c>
      <c r="F29" s="14" t="s">
        <v>2044</v>
      </c>
      <c r="G29" s="14" t="s">
        <v>2045</v>
      </c>
      <c r="H29" s="14" t="s">
        <v>102</v>
      </c>
      <c r="I29" s="14" t="s">
        <v>103</v>
      </c>
      <c r="J29" s="16">
        <f>COUNTIF($I$3:I29, I29)</f>
        <v>22</v>
      </c>
      <c r="K29" s="14" t="s">
        <v>2048</v>
      </c>
      <c r="L29" s="14" t="s">
        <v>2048</v>
      </c>
      <c r="M29" s="14" t="s">
        <v>2048</v>
      </c>
      <c r="N29" s="14"/>
      <c r="O29" s="14" t="s">
        <v>2253</v>
      </c>
      <c r="P29" s="14" t="s">
        <v>72</v>
      </c>
      <c r="Q29" s="14" t="s">
        <v>72</v>
      </c>
      <c r="R29" s="14" t="s">
        <v>2048</v>
      </c>
      <c r="S29" s="14"/>
      <c r="T29" s="14" t="s">
        <v>200</v>
      </c>
      <c r="U29" s="14" t="s">
        <v>2049</v>
      </c>
      <c r="V29" s="14" t="s">
        <v>2050</v>
      </c>
      <c r="W29" s="14" t="s">
        <v>2051</v>
      </c>
      <c r="X29" s="14" t="s">
        <v>2048</v>
      </c>
      <c r="Y29" s="14" t="s">
        <v>2048</v>
      </c>
      <c r="Z29" s="14" t="s">
        <v>2048</v>
      </c>
      <c r="AA29" s="14" t="s">
        <v>2048</v>
      </c>
      <c r="AB29" s="14" t="s">
        <v>85</v>
      </c>
      <c r="AC29" s="14" t="s">
        <v>114</v>
      </c>
      <c r="AD29" s="14" t="s">
        <v>2072</v>
      </c>
      <c r="AE29" s="14" t="s">
        <v>2073</v>
      </c>
      <c r="AF29" s="14" t="s">
        <v>2056</v>
      </c>
      <c r="AG29" s="14" t="s">
        <v>2056</v>
      </c>
      <c r="AH29" s="14" t="s">
        <v>2055</v>
      </c>
      <c r="AI29" s="14" t="s">
        <v>2057</v>
      </c>
      <c r="AJ29" s="14" t="s">
        <v>87</v>
      </c>
      <c r="AK29" s="14" t="s">
        <v>2048</v>
      </c>
      <c r="AL29" s="14" t="s">
        <v>2048</v>
      </c>
      <c r="AM29" s="14" t="s">
        <v>2048</v>
      </c>
      <c r="AN29" s="14" t="s">
        <v>2166</v>
      </c>
      <c r="AO29" s="17" t="s">
        <v>108</v>
      </c>
      <c r="AP29" s="14" t="s">
        <v>74</v>
      </c>
      <c r="AQ29" s="14" t="s">
        <v>2059</v>
      </c>
      <c r="AR29" s="14" t="s">
        <v>2254</v>
      </c>
      <c r="AS29" s="14" t="s">
        <v>2255</v>
      </c>
      <c r="AT29" s="14" t="s">
        <v>2061</v>
      </c>
      <c r="AU29" s="14" t="s">
        <v>2170</v>
      </c>
      <c r="AV29" s="14" t="s">
        <v>2171</v>
      </c>
      <c r="AW29" s="14" t="s">
        <v>2048</v>
      </c>
      <c r="AX29" s="14" t="s">
        <v>2048</v>
      </c>
      <c r="AY29" s="14" t="s">
        <v>102</v>
      </c>
      <c r="AZ29" s="14" t="s">
        <v>115</v>
      </c>
      <c r="BA29" s="14" t="s">
        <v>2172</v>
      </c>
      <c r="BB29" s="14" t="s">
        <v>2048</v>
      </c>
      <c r="BC29" s="14" t="s">
        <v>2061</v>
      </c>
      <c r="BD29" s="14" t="s">
        <v>2080</v>
      </c>
      <c r="BE29" s="14" t="s">
        <v>2081</v>
      </c>
      <c r="BF29" s="14" t="s">
        <v>2173</v>
      </c>
      <c r="BG29" s="14" t="s">
        <v>2174</v>
      </c>
      <c r="BH29" s="14" t="s">
        <v>2175</v>
      </c>
      <c r="BI29" s="14" t="s">
        <v>2085</v>
      </c>
      <c r="BJ29" s="14" t="s">
        <v>2051</v>
      </c>
      <c r="BK29" s="14" t="s">
        <v>2048</v>
      </c>
      <c r="BL29" s="14" t="s">
        <v>2064</v>
      </c>
      <c r="BM29" s="14" t="s">
        <v>72</v>
      </c>
      <c r="BN29" s="14" t="s">
        <v>72</v>
      </c>
      <c r="BO29" s="14" t="s">
        <v>2256</v>
      </c>
      <c r="BP29" s="14" t="s">
        <v>2257</v>
      </c>
      <c r="BQ29" s="14" t="s">
        <v>2258</v>
      </c>
      <c r="BR29" s="14" t="s">
        <v>159</v>
      </c>
      <c r="BS29" s="14" t="s">
        <v>2089</v>
      </c>
      <c r="BT29" s="14" t="s">
        <v>2048</v>
      </c>
      <c r="BU29" s="14" t="s">
        <v>2048</v>
      </c>
      <c r="BV29" s="14" t="s">
        <v>2048</v>
      </c>
      <c r="BW29" s="14" t="s">
        <v>2051</v>
      </c>
      <c r="BX29" s="14" t="s">
        <v>2048</v>
      </c>
      <c r="BY29" s="14" t="s">
        <v>2048</v>
      </c>
      <c r="BZ29" s="14" t="s">
        <v>2048</v>
      </c>
      <c r="CA29" s="14" t="s">
        <v>2048</v>
      </c>
      <c r="CB29" s="14" t="s">
        <v>2048</v>
      </c>
      <c r="CC29" s="14" t="s">
        <v>2048</v>
      </c>
      <c r="CD29" s="14" t="s">
        <v>2048</v>
      </c>
      <c r="CE29" s="14" t="s">
        <v>2048</v>
      </c>
      <c r="CF29" s="14" t="s">
        <v>2048</v>
      </c>
      <c r="CG29" s="14" t="s">
        <v>2057</v>
      </c>
      <c r="CH29" s="14" t="s">
        <v>2090</v>
      </c>
      <c r="CI29" s="14" t="s">
        <v>2048</v>
      </c>
      <c r="CJ29" s="17"/>
      <c r="CK29" s="17">
        <v>44994</v>
      </c>
      <c r="CL29" s="17">
        <v>44994</v>
      </c>
      <c r="CM29" s="17">
        <v>2958465</v>
      </c>
      <c r="CN29" s="17"/>
      <c r="CO29" s="19">
        <v>0</v>
      </c>
      <c r="CP29" s="19">
        <v>0</v>
      </c>
      <c r="CQ29" s="19">
        <v>0</v>
      </c>
      <c r="CR29" s="19">
        <v>0</v>
      </c>
      <c r="CS29" s="19">
        <v>0</v>
      </c>
      <c r="CT29" s="19">
        <v>0</v>
      </c>
      <c r="CU29" s="19">
        <v>0</v>
      </c>
      <c r="CV29" s="17"/>
      <c r="CW29" s="19">
        <v>28471</v>
      </c>
      <c r="CX29" s="17">
        <v>45728</v>
      </c>
      <c r="CY29" s="17"/>
      <c r="CZ29" s="19">
        <v>0</v>
      </c>
      <c r="DA29" s="17"/>
      <c r="DB29" s="17"/>
      <c r="DC29" s="19">
        <v>100</v>
      </c>
      <c r="DD29" s="17"/>
      <c r="DE29" s="17">
        <v>2958465</v>
      </c>
      <c r="DF29" s="17"/>
      <c r="DG29" s="17"/>
      <c r="DH29" s="19">
        <v>0</v>
      </c>
      <c r="DI29" s="19">
        <v>0</v>
      </c>
    </row>
    <row r="30" spans="1:113" x14ac:dyDescent="0.2">
      <c r="A30" s="14"/>
      <c r="B30" s="16" t="s">
        <v>435</v>
      </c>
      <c r="C30" s="14" t="s">
        <v>158</v>
      </c>
      <c r="D30" s="14" t="s">
        <v>159</v>
      </c>
      <c r="E30" s="14" t="s">
        <v>158</v>
      </c>
      <c r="F30" s="14" t="s">
        <v>2044</v>
      </c>
      <c r="G30" s="14" t="s">
        <v>2045</v>
      </c>
      <c r="H30" s="14" t="s">
        <v>102</v>
      </c>
      <c r="I30" s="14" t="s">
        <v>103</v>
      </c>
      <c r="J30" s="16">
        <f>COUNTIF($I$3:I30, I30)</f>
        <v>23</v>
      </c>
      <c r="K30" s="14" t="s">
        <v>2048</v>
      </c>
      <c r="L30" s="14" t="s">
        <v>2048</v>
      </c>
      <c r="M30" s="14" t="s">
        <v>2048</v>
      </c>
      <c r="N30" s="14"/>
      <c r="O30" s="14" t="s">
        <v>2259</v>
      </c>
      <c r="P30" s="14" t="s">
        <v>72</v>
      </c>
      <c r="Q30" s="14" t="s">
        <v>72</v>
      </c>
      <c r="R30" s="14" t="s">
        <v>2048</v>
      </c>
      <c r="S30" s="14"/>
      <c r="T30" s="14" t="s">
        <v>200</v>
      </c>
      <c r="U30" s="14" t="s">
        <v>2049</v>
      </c>
      <c r="V30" s="14" t="s">
        <v>2050</v>
      </c>
      <c r="W30" s="14" t="s">
        <v>2051</v>
      </c>
      <c r="X30" s="14" t="s">
        <v>2048</v>
      </c>
      <c r="Y30" s="14" t="s">
        <v>2048</v>
      </c>
      <c r="Z30" s="14" t="s">
        <v>2048</v>
      </c>
      <c r="AA30" s="14" t="s">
        <v>2048</v>
      </c>
      <c r="AB30" s="14" t="s">
        <v>85</v>
      </c>
      <c r="AC30" s="14" t="s">
        <v>114</v>
      </c>
      <c r="AD30" s="14" t="s">
        <v>2072</v>
      </c>
      <c r="AE30" s="14" t="s">
        <v>2073</v>
      </c>
      <c r="AF30" s="14" t="s">
        <v>2056</v>
      </c>
      <c r="AG30" s="14" t="s">
        <v>2056</v>
      </c>
      <c r="AH30" s="14" t="s">
        <v>2055</v>
      </c>
      <c r="AI30" s="14" t="s">
        <v>2057</v>
      </c>
      <c r="AJ30" s="14" t="s">
        <v>87</v>
      </c>
      <c r="AK30" s="14" t="s">
        <v>2048</v>
      </c>
      <c r="AL30" s="14" t="s">
        <v>2048</v>
      </c>
      <c r="AM30" s="14" t="s">
        <v>2048</v>
      </c>
      <c r="AN30" s="14" t="s">
        <v>2166</v>
      </c>
      <c r="AO30" s="17" t="s">
        <v>108</v>
      </c>
      <c r="AP30" s="14" t="s">
        <v>414</v>
      </c>
      <c r="AQ30" s="14" t="s">
        <v>1494</v>
      </c>
      <c r="AR30" s="14" t="s">
        <v>2260</v>
      </c>
      <c r="AS30" s="14" t="s">
        <v>2261</v>
      </c>
      <c r="AT30" s="14" t="s">
        <v>2061</v>
      </c>
      <c r="AU30" s="14" t="s">
        <v>2170</v>
      </c>
      <c r="AV30" s="14" t="s">
        <v>2171</v>
      </c>
      <c r="AW30" s="14" t="s">
        <v>2048</v>
      </c>
      <c r="AX30" s="14" t="s">
        <v>2048</v>
      </c>
      <c r="AY30" s="14" t="s">
        <v>102</v>
      </c>
      <c r="AZ30" s="14" t="s">
        <v>115</v>
      </c>
      <c r="BA30" s="14" t="s">
        <v>2172</v>
      </c>
      <c r="BB30" s="14" t="s">
        <v>2048</v>
      </c>
      <c r="BC30" s="14" t="s">
        <v>2061</v>
      </c>
      <c r="BD30" s="14" t="s">
        <v>2080</v>
      </c>
      <c r="BE30" s="14" t="s">
        <v>2081</v>
      </c>
      <c r="BF30" s="14" t="s">
        <v>2173</v>
      </c>
      <c r="BG30" s="14" t="s">
        <v>2174</v>
      </c>
      <c r="BH30" s="14" t="s">
        <v>2175</v>
      </c>
      <c r="BI30" s="14" t="s">
        <v>2085</v>
      </c>
      <c r="BJ30" s="14" t="s">
        <v>2051</v>
      </c>
      <c r="BK30" s="14" t="s">
        <v>2048</v>
      </c>
      <c r="BL30" s="14" t="s">
        <v>2064</v>
      </c>
      <c r="BM30" s="14" t="s">
        <v>72</v>
      </c>
      <c r="BN30" s="14" t="s">
        <v>72</v>
      </c>
      <c r="BO30" s="14" t="s">
        <v>2262</v>
      </c>
      <c r="BP30" s="14" t="s">
        <v>2177</v>
      </c>
      <c r="BQ30" s="14" t="s">
        <v>2178</v>
      </c>
      <c r="BR30" s="14" t="s">
        <v>159</v>
      </c>
      <c r="BS30" s="14" t="s">
        <v>2089</v>
      </c>
      <c r="BT30" s="14" t="s">
        <v>2048</v>
      </c>
      <c r="BU30" s="14" t="s">
        <v>2048</v>
      </c>
      <c r="BV30" s="14" t="s">
        <v>2048</v>
      </c>
      <c r="BW30" s="14" t="s">
        <v>2051</v>
      </c>
      <c r="BX30" s="14" t="s">
        <v>2048</v>
      </c>
      <c r="BY30" s="14" t="s">
        <v>2048</v>
      </c>
      <c r="BZ30" s="14" t="s">
        <v>2048</v>
      </c>
      <c r="CA30" s="14" t="s">
        <v>2048</v>
      </c>
      <c r="CB30" s="14" t="s">
        <v>2048</v>
      </c>
      <c r="CC30" s="14" t="s">
        <v>2048</v>
      </c>
      <c r="CD30" s="14" t="s">
        <v>2048</v>
      </c>
      <c r="CE30" s="14" t="s">
        <v>2048</v>
      </c>
      <c r="CF30" s="14" t="s">
        <v>2048</v>
      </c>
      <c r="CG30" s="14" t="s">
        <v>2057</v>
      </c>
      <c r="CH30" s="14" t="s">
        <v>2090</v>
      </c>
      <c r="CI30" s="14" t="s">
        <v>2048</v>
      </c>
      <c r="CJ30" s="17"/>
      <c r="CK30" s="17">
        <v>45135</v>
      </c>
      <c r="CL30" s="17">
        <v>45135</v>
      </c>
      <c r="CM30" s="17">
        <v>2958465</v>
      </c>
      <c r="CN30" s="17"/>
      <c r="CO30" s="19">
        <v>0</v>
      </c>
      <c r="CP30" s="19">
        <v>0</v>
      </c>
      <c r="CQ30" s="19">
        <v>0</v>
      </c>
      <c r="CR30" s="19">
        <v>0</v>
      </c>
      <c r="CS30" s="19">
        <v>0</v>
      </c>
      <c r="CT30" s="19">
        <v>0</v>
      </c>
      <c r="CU30" s="19">
        <v>0</v>
      </c>
      <c r="CV30" s="17"/>
      <c r="CW30" s="19">
        <v>46715</v>
      </c>
      <c r="CX30" s="17">
        <v>45728</v>
      </c>
      <c r="CY30" s="17"/>
      <c r="CZ30" s="19">
        <v>0</v>
      </c>
      <c r="DA30" s="17"/>
      <c r="DB30" s="17"/>
      <c r="DC30" s="19">
        <v>100</v>
      </c>
      <c r="DD30" s="17"/>
      <c r="DE30" s="17">
        <v>2958465</v>
      </c>
      <c r="DF30" s="17"/>
      <c r="DG30" s="17"/>
      <c r="DH30" s="19">
        <v>0</v>
      </c>
      <c r="DI30" s="19">
        <v>0</v>
      </c>
    </row>
    <row r="31" spans="1:113" x14ac:dyDescent="0.2">
      <c r="A31" s="14"/>
      <c r="B31" s="16" t="s">
        <v>783</v>
      </c>
      <c r="C31" s="14" t="s">
        <v>158</v>
      </c>
      <c r="D31" s="14" t="s">
        <v>159</v>
      </c>
      <c r="E31" s="14" t="s">
        <v>158</v>
      </c>
      <c r="F31" s="14" t="s">
        <v>2044</v>
      </c>
      <c r="G31" s="14" t="s">
        <v>2045</v>
      </c>
      <c r="H31" s="14" t="s">
        <v>102</v>
      </c>
      <c r="I31" s="14" t="s">
        <v>103</v>
      </c>
      <c r="J31" s="16">
        <f>COUNTIF($I$3:I31, I31)</f>
        <v>24</v>
      </c>
      <c r="K31" s="14" t="s">
        <v>2048</v>
      </c>
      <c r="L31" s="14" t="s">
        <v>2048</v>
      </c>
      <c r="M31" s="14" t="s">
        <v>2048</v>
      </c>
      <c r="N31" s="14"/>
      <c r="O31" s="14" t="s">
        <v>2263</v>
      </c>
      <c r="P31" s="14" t="s">
        <v>72</v>
      </c>
      <c r="Q31" s="14" t="s">
        <v>72</v>
      </c>
      <c r="R31" s="14" t="s">
        <v>2048</v>
      </c>
      <c r="S31" s="14"/>
      <c r="T31" s="14" t="s">
        <v>200</v>
      </c>
      <c r="U31" s="14" t="s">
        <v>2049</v>
      </c>
      <c r="V31" s="14" t="s">
        <v>2050</v>
      </c>
      <c r="W31" s="14" t="s">
        <v>2051</v>
      </c>
      <c r="X31" s="14" t="s">
        <v>2048</v>
      </c>
      <c r="Y31" s="14" t="s">
        <v>2048</v>
      </c>
      <c r="Z31" s="14" t="s">
        <v>2048</v>
      </c>
      <c r="AA31" s="14" t="s">
        <v>2048</v>
      </c>
      <c r="AB31" s="14" t="s">
        <v>85</v>
      </c>
      <c r="AC31" s="14" t="s">
        <v>114</v>
      </c>
      <c r="AD31" s="14" t="s">
        <v>2072</v>
      </c>
      <c r="AE31" s="14" t="s">
        <v>2073</v>
      </c>
      <c r="AF31" s="14" t="s">
        <v>2055</v>
      </c>
      <c r="AG31" s="14" t="s">
        <v>2055</v>
      </c>
      <c r="AH31" s="14" t="s">
        <v>2055</v>
      </c>
      <c r="AI31" s="14" t="s">
        <v>2057</v>
      </c>
      <c r="AJ31" s="14" t="s">
        <v>87</v>
      </c>
      <c r="AK31" s="14" t="s">
        <v>2048</v>
      </c>
      <c r="AL31" s="14" t="s">
        <v>2048</v>
      </c>
      <c r="AM31" s="14" t="s">
        <v>2048</v>
      </c>
      <c r="AN31" s="14" t="s">
        <v>2241</v>
      </c>
      <c r="AO31" s="17" t="s">
        <v>108</v>
      </c>
      <c r="AP31" s="14" t="s">
        <v>414</v>
      </c>
      <c r="AQ31" s="14" t="s">
        <v>2059</v>
      </c>
      <c r="AR31" s="14" t="s">
        <v>2060</v>
      </c>
      <c r="AS31" s="14" t="s">
        <v>2048</v>
      </c>
      <c r="AT31" s="14" t="s">
        <v>2105</v>
      </c>
      <c r="AU31" s="14" t="s">
        <v>2242</v>
      </c>
      <c r="AV31" s="14" t="s">
        <v>2243</v>
      </c>
      <c r="AW31" s="14" t="s">
        <v>2048</v>
      </c>
      <c r="AX31" s="14" t="s">
        <v>2048</v>
      </c>
      <c r="AY31" s="14" t="s">
        <v>102</v>
      </c>
      <c r="AZ31" s="14" t="s">
        <v>457</v>
      </c>
      <c r="BA31" s="14" t="s">
        <v>2244</v>
      </c>
      <c r="BB31" s="14" t="s">
        <v>2048</v>
      </c>
      <c r="BC31" s="14" t="s">
        <v>2061</v>
      </c>
      <c r="BD31" s="14" t="s">
        <v>2080</v>
      </c>
      <c r="BE31" s="14" t="s">
        <v>2081</v>
      </c>
      <c r="BF31" s="14" t="s">
        <v>2245</v>
      </c>
      <c r="BG31" s="14" t="s">
        <v>2246</v>
      </c>
      <c r="BH31" s="14" t="s">
        <v>2247</v>
      </c>
      <c r="BI31" s="14" t="s">
        <v>2085</v>
      </c>
      <c r="BJ31" s="14" t="s">
        <v>2051</v>
      </c>
      <c r="BK31" s="14" t="s">
        <v>2048</v>
      </c>
      <c r="BL31" s="14" t="s">
        <v>2064</v>
      </c>
      <c r="BM31" s="14" t="s">
        <v>72</v>
      </c>
      <c r="BN31" s="14" t="s">
        <v>72</v>
      </c>
      <c r="BO31" s="14" t="s">
        <v>2264</v>
      </c>
      <c r="BP31" s="14" t="s">
        <v>2048</v>
      </c>
      <c r="BQ31" s="14" t="s">
        <v>2048</v>
      </c>
      <c r="BR31" s="14" t="s">
        <v>159</v>
      </c>
      <c r="BS31" s="14" t="s">
        <v>2089</v>
      </c>
      <c r="BT31" s="14" t="s">
        <v>2048</v>
      </c>
      <c r="BU31" s="14" t="s">
        <v>2048</v>
      </c>
      <c r="BV31" s="14" t="s">
        <v>2048</v>
      </c>
      <c r="BW31" s="14" t="s">
        <v>2051</v>
      </c>
      <c r="BX31" s="14" t="s">
        <v>2048</v>
      </c>
      <c r="BY31" s="14" t="s">
        <v>2048</v>
      </c>
      <c r="BZ31" s="14" t="s">
        <v>2048</v>
      </c>
      <c r="CA31" s="14" t="s">
        <v>2048</v>
      </c>
      <c r="CB31" s="14" t="s">
        <v>2048</v>
      </c>
      <c r="CC31" s="14" t="s">
        <v>2048</v>
      </c>
      <c r="CD31" s="14" t="s">
        <v>2048</v>
      </c>
      <c r="CE31" s="14" t="s">
        <v>2048</v>
      </c>
      <c r="CF31" s="14" t="s">
        <v>2048</v>
      </c>
      <c r="CG31" s="14" t="s">
        <v>2057</v>
      </c>
      <c r="CH31" s="14" t="s">
        <v>2090</v>
      </c>
      <c r="CI31" s="14" t="s">
        <v>2048</v>
      </c>
      <c r="CJ31" s="17"/>
      <c r="CK31" s="17">
        <v>45135</v>
      </c>
      <c r="CL31" s="17">
        <v>45135</v>
      </c>
      <c r="CM31" s="17">
        <v>2958465</v>
      </c>
      <c r="CN31" s="17"/>
      <c r="CO31" s="19">
        <v>0</v>
      </c>
      <c r="CP31" s="19">
        <v>0</v>
      </c>
      <c r="CQ31" s="19">
        <v>0</v>
      </c>
      <c r="CR31" s="19">
        <v>0</v>
      </c>
      <c r="CS31" s="19">
        <v>0</v>
      </c>
      <c r="CT31" s="19">
        <v>0</v>
      </c>
      <c r="CU31" s="19">
        <v>0</v>
      </c>
      <c r="CV31" s="17"/>
      <c r="CW31" s="19">
        <v>0</v>
      </c>
      <c r="CX31" s="17"/>
      <c r="CY31" s="17"/>
      <c r="CZ31" s="19">
        <v>0</v>
      </c>
      <c r="DA31" s="17"/>
      <c r="DB31" s="17"/>
      <c r="DC31" s="19">
        <v>100</v>
      </c>
      <c r="DD31" s="17"/>
      <c r="DE31" s="17">
        <v>2958465</v>
      </c>
      <c r="DF31" s="17"/>
      <c r="DG31" s="17"/>
      <c r="DH31" s="19">
        <v>0</v>
      </c>
      <c r="DI31" s="19">
        <v>0</v>
      </c>
    </row>
    <row r="32" spans="1:113" x14ac:dyDescent="0.2">
      <c r="A32" s="14"/>
      <c r="B32" s="16" t="s">
        <v>2265</v>
      </c>
      <c r="C32" s="14" t="s">
        <v>158</v>
      </c>
      <c r="D32" s="14" t="s">
        <v>159</v>
      </c>
      <c r="E32" s="14" t="s">
        <v>158</v>
      </c>
      <c r="F32" s="14" t="s">
        <v>2044</v>
      </c>
      <c r="G32" s="14" t="s">
        <v>2045</v>
      </c>
      <c r="H32" s="14" t="s">
        <v>81</v>
      </c>
      <c r="I32" s="14" t="s">
        <v>82</v>
      </c>
      <c r="J32" s="16">
        <f>COUNTIF($I$3:I32, I32)</f>
        <v>1</v>
      </c>
      <c r="K32" s="14" t="s">
        <v>2048</v>
      </c>
      <c r="L32" s="14" t="s">
        <v>2048</v>
      </c>
      <c r="M32" s="14" t="s">
        <v>2048</v>
      </c>
      <c r="N32" s="14"/>
      <c r="O32" s="14" t="s">
        <v>2266</v>
      </c>
      <c r="P32" s="14" t="s">
        <v>72</v>
      </c>
      <c r="Q32" s="14" t="s">
        <v>72</v>
      </c>
      <c r="R32" s="14" t="s">
        <v>2048</v>
      </c>
      <c r="S32" s="14"/>
      <c r="T32" s="14" t="s">
        <v>200</v>
      </c>
      <c r="U32" s="14" t="s">
        <v>2049</v>
      </c>
      <c r="V32" s="14" t="s">
        <v>2050</v>
      </c>
      <c r="W32" s="14" t="s">
        <v>2051</v>
      </c>
      <c r="X32" s="14" t="s">
        <v>2048</v>
      </c>
      <c r="Y32" s="14" t="s">
        <v>2048</v>
      </c>
      <c r="Z32" s="14" t="s">
        <v>2048</v>
      </c>
      <c r="AA32" s="14" t="s">
        <v>2048</v>
      </c>
      <c r="AB32" s="14" t="s">
        <v>85</v>
      </c>
      <c r="AC32" s="14" t="s">
        <v>340</v>
      </c>
      <c r="AD32" s="14" t="s">
        <v>2072</v>
      </c>
      <c r="AE32" s="14" t="s">
        <v>2073</v>
      </c>
      <c r="AF32" s="14" t="s">
        <v>2055</v>
      </c>
      <c r="AG32" s="14" t="s">
        <v>2055</v>
      </c>
      <c r="AH32" s="14" t="s">
        <v>2055</v>
      </c>
      <c r="AI32" s="14" t="s">
        <v>2057</v>
      </c>
      <c r="AJ32" s="14" t="s">
        <v>87</v>
      </c>
      <c r="AK32" s="14" t="s">
        <v>2048</v>
      </c>
      <c r="AL32" s="14" t="s">
        <v>2048</v>
      </c>
      <c r="AM32" s="14" t="s">
        <v>2048</v>
      </c>
      <c r="AN32" s="14" t="s">
        <v>2207</v>
      </c>
      <c r="AO32" s="17" t="s">
        <v>108</v>
      </c>
      <c r="AP32" s="14" t="s">
        <v>2045</v>
      </c>
      <c r="AQ32" s="14" t="s">
        <v>2267</v>
      </c>
      <c r="AR32" s="14" t="s">
        <v>2060</v>
      </c>
      <c r="AS32" s="14" t="s">
        <v>2048</v>
      </c>
      <c r="AT32" s="14" t="s">
        <v>2105</v>
      </c>
      <c r="AU32" s="14" t="s">
        <v>2268</v>
      </c>
      <c r="AV32" s="14" t="s">
        <v>2269</v>
      </c>
      <c r="AW32" s="14" t="s">
        <v>2048</v>
      </c>
      <c r="AX32" s="14" t="s">
        <v>2048</v>
      </c>
      <c r="AY32" s="14" t="s">
        <v>81</v>
      </c>
      <c r="AZ32" s="14" t="s">
        <v>143</v>
      </c>
      <c r="BA32" s="14" t="s">
        <v>2270</v>
      </c>
      <c r="BB32" s="14" t="s">
        <v>2048</v>
      </c>
      <c r="BC32" s="14" t="s">
        <v>2061</v>
      </c>
      <c r="BD32" s="14" t="s">
        <v>2271</v>
      </c>
      <c r="BE32" s="14" t="s">
        <v>2272</v>
      </c>
      <c r="BF32" s="14" t="s">
        <v>2271</v>
      </c>
      <c r="BG32" s="14" t="s">
        <v>2272</v>
      </c>
      <c r="BH32" s="14" t="s">
        <v>2273</v>
      </c>
      <c r="BI32" s="14" t="s">
        <v>2218</v>
      </c>
      <c r="BJ32" s="14" t="s">
        <v>2051</v>
      </c>
      <c r="BK32" s="14" t="s">
        <v>2048</v>
      </c>
      <c r="BL32" s="14" t="s">
        <v>2064</v>
      </c>
      <c r="BM32" s="14" t="s">
        <v>72</v>
      </c>
      <c r="BN32" s="14" t="s">
        <v>72</v>
      </c>
      <c r="BO32" s="14" t="s">
        <v>2048</v>
      </c>
      <c r="BP32" s="14" t="s">
        <v>2048</v>
      </c>
      <c r="BQ32" s="14" t="s">
        <v>2048</v>
      </c>
      <c r="BR32" s="14" t="s">
        <v>172</v>
      </c>
      <c r="BS32" s="14" t="s">
        <v>2131</v>
      </c>
      <c r="BT32" s="14" t="s">
        <v>2048</v>
      </c>
      <c r="BU32" s="14" t="s">
        <v>2048</v>
      </c>
      <c r="BV32" s="14" t="s">
        <v>2048</v>
      </c>
      <c r="BW32" s="14" t="s">
        <v>2051</v>
      </c>
      <c r="BX32" s="14" t="s">
        <v>2048</v>
      </c>
      <c r="BY32" s="14" t="s">
        <v>2048</v>
      </c>
      <c r="BZ32" s="14" t="s">
        <v>2048</v>
      </c>
      <c r="CA32" s="14" t="s">
        <v>2048</v>
      </c>
      <c r="CB32" s="14" t="s">
        <v>2048</v>
      </c>
      <c r="CC32" s="14" t="s">
        <v>2048</v>
      </c>
      <c r="CD32" s="14" t="s">
        <v>2048</v>
      </c>
      <c r="CE32" s="14" t="s">
        <v>2048</v>
      </c>
      <c r="CF32" s="14" t="s">
        <v>2048</v>
      </c>
      <c r="CG32" s="14" t="s">
        <v>2068</v>
      </c>
      <c r="CH32" s="14" t="s">
        <v>2069</v>
      </c>
      <c r="CI32" s="14" t="s">
        <v>2048</v>
      </c>
      <c r="CJ32" s="17"/>
      <c r="CK32" s="17">
        <v>43019</v>
      </c>
      <c r="CL32" s="17">
        <v>44973</v>
      </c>
      <c r="CM32" s="17">
        <v>2958465</v>
      </c>
      <c r="CN32" s="17"/>
      <c r="CO32" s="19">
        <v>0</v>
      </c>
      <c r="CP32" s="19">
        <v>0</v>
      </c>
      <c r="CQ32" s="19">
        <v>0</v>
      </c>
      <c r="CR32" s="19">
        <v>0</v>
      </c>
      <c r="CS32" s="19">
        <v>0</v>
      </c>
      <c r="CT32" s="19">
        <v>0</v>
      </c>
      <c r="CU32" s="19">
        <v>0</v>
      </c>
      <c r="CV32" s="17"/>
      <c r="CW32" s="19">
        <v>0</v>
      </c>
      <c r="CX32" s="17"/>
      <c r="CY32" s="17"/>
      <c r="CZ32" s="19">
        <v>0</v>
      </c>
      <c r="DA32" s="17"/>
      <c r="DB32" s="17"/>
      <c r="DC32" s="19">
        <v>100</v>
      </c>
      <c r="DD32" s="17"/>
      <c r="DE32" s="17">
        <v>2958465</v>
      </c>
      <c r="DF32" s="17"/>
      <c r="DG32" s="17"/>
      <c r="DH32" s="19">
        <v>0</v>
      </c>
      <c r="DI32" s="19">
        <v>0</v>
      </c>
    </row>
    <row r="33" spans="1:113" x14ac:dyDescent="0.2">
      <c r="A33" s="14"/>
      <c r="B33" s="16" t="s">
        <v>580</v>
      </c>
      <c r="C33" s="14" t="s">
        <v>158</v>
      </c>
      <c r="D33" s="14" t="s">
        <v>159</v>
      </c>
      <c r="E33" s="14" t="s">
        <v>158</v>
      </c>
      <c r="F33" s="14" t="s">
        <v>2044</v>
      </c>
      <c r="G33" s="14" t="s">
        <v>2045</v>
      </c>
      <c r="H33" s="14" t="s">
        <v>102</v>
      </c>
      <c r="I33" s="14" t="s">
        <v>103</v>
      </c>
      <c r="J33" s="16">
        <f>COUNTIF($I$3:I33, I33)</f>
        <v>25</v>
      </c>
      <c r="K33" s="14" t="s">
        <v>2048</v>
      </c>
      <c r="L33" s="14" t="s">
        <v>2048</v>
      </c>
      <c r="M33" s="14" t="s">
        <v>2048</v>
      </c>
      <c r="N33" s="14"/>
      <c r="O33" s="14" t="s">
        <v>2274</v>
      </c>
      <c r="P33" s="14" t="s">
        <v>72</v>
      </c>
      <c r="Q33" s="14" t="s">
        <v>72</v>
      </c>
      <c r="R33" s="14" t="s">
        <v>2048</v>
      </c>
      <c r="S33" s="14"/>
      <c r="T33" s="14" t="s">
        <v>200</v>
      </c>
      <c r="U33" s="14" t="s">
        <v>2049</v>
      </c>
      <c r="V33" s="14" t="s">
        <v>2050</v>
      </c>
      <c r="W33" s="14" t="s">
        <v>2051</v>
      </c>
      <c r="X33" s="14" t="s">
        <v>2048</v>
      </c>
      <c r="Y33" s="14" t="s">
        <v>2048</v>
      </c>
      <c r="Z33" s="14" t="s">
        <v>2048</v>
      </c>
      <c r="AA33" s="14" t="s">
        <v>2048</v>
      </c>
      <c r="AB33" s="14" t="s">
        <v>85</v>
      </c>
      <c r="AC33" s="14" t="s">
        <v>114</v>
      </c>
      <c r="AD33" s="14" t="s">
        <v>2072</v>
      </c>
      <c r="AE33" s="14" t="s">
        <v>2073</v>
      </c>
      <c r="AF33" s="14" t="s">
        <v>2055</v>
      </c>
      <c r="AG33" s="14" t="s">
        <v>2055</v>
      </c>
      <c r="AH33" s="14" t="s">
        <v>2055</v>
      </c>
      <c r="AI33" s="14" t="s">
        <v>2057</v>
      </c>
      <c r="AJ33" s="14" t="s">
        <v>87</v>
      </c>
      <c r="AK33" s="14" t="s">
        <v>2048</v>
      </c>
      <c r="AL33" s="14" t="s">
        <v>2048</v>
      </c>
      <c r="AM33" s="14" t="s">
        <v>2048</v>
      </c>
      <c r="AN33" s="14" t="s">
        <v>2241</v>
      </c>
      <c r="AO33" s="17" t="s">
        <v>108</v>
      </c>
      <c r="AP33" s="14" t="s">
        <v>414</v>
      </c>
      <c r="AQ33" s="14" t="s">
        <v>2059</v>
      </c>
      <c r="AR33" s="14" t="s">
        <v>2060</v>
      </c>
      <c r="AS33" s="14" t="s">
        <v>2048</v>
      </c>
      <c r="AT33" s="14" t="s">
        <v>2105</v>
      </c>
      <c r="AU33" s="14" t="s">
        <v>2242</v>
      </c>
      <c r="AV33" s="14" t="s">
        <v>2243</v>
      </c>
      <c r="AW33" s="14" t="s">
        <v>2048</v>
      </c>
      <c r="AX33" s="14" t="s">
        <v>2048</v>
      </c>
      <c r="AY33" s="14" t="s">
        <v>102</v>
      </c>
      <c r="AZ33" s="14" t="s">
        <v>457</v>
      </c>
      <c r="BA33" s="14" t="s">
        <v>2244</v>
      </c>
      <c r="BB33" s="14" t="s">
        <v>2048</v>
      </c>
      <c r="BC33" s="14" t="s">
        <v>2061</v>
      </c>
      <c r="BD33" s="14" t="s">
        <v>2080</v>
      </c>
      <c r="BE33" s="14" t="s">
        <v>2081</v>
      </c>
      <c r="BF33" s="14" t="s">
        <v>2245</v>
      </c>
      <c r="BG33" s="14" t="s">
        <v>2246</v>
      </c>
      <c r="BH33" s="14" t="s">
        <v>2247</v>
      </c>
      <c r="BI33" s="14" t="s">
        <v>2085</v>
      </c>
      <c r="BJ33" s="14" t="s">
        <v>2051</v>
      </c>
      <c r="BK33" s="14" t="s">
        <v>2048</v>
      </c>
      <c r="BL33" s="14" t="s">
        <v>2064</v>
      </c>
      <c r="BM33" s="14" t="s">
        <v>72</v>
      </c>
      <c r="BN33" s="14" t="s">
        <v>72</v>
      </c>
      <c r="BO33" s="14" t="s">
        <v>2275</v>
      </c>
      <c r="BP33" s="14" t="s">
        <v>2048</v>
      </c>
      <c r="BQ33" s="14" t="s">
        <v>2048</v>
      </c>
      <c r="BR33" s="14" t="s">
        <v>159</v>
      </c>
      <c r="BS33" s="14" t="s">
        <v>2089</v>
      </c>
      <c r="BT33" s="14" t="s">
        <v>2048</v>
      </c>
      <c r="BU33" s="14" t="s">
        <v>2048</v>
      </c>
      <c r="BV33" s="14" t="s">
        <v>2048</v>
      </c>
      <c r="BW33" s="14" t="s">
        <v>2051</v>
      </c>
      <c r="BX33" s="14" t="s">
        <v>2048</v>
      </c>
      <c r="BY33" s="14" t="s">
        <v>2048</v>
      </c>
      <c r="BZ33" s="14" t="s">
        <v>2048</v>
      </c>
      <c r="CA33" s="14" t="s">
        <v>2048</v>
      </c>
      <c r="CB33" s="14" t="s">
        <v>2048</v>
      </c>
      <c r="CC33" s="14" t="s">
        <v>2048</v>
      </c>
      <c r="CD33" s="14" t="s">
        <v>2048</v>
      </c>
      <c r="CE33" s="14" t="s">
        <v>2048</v>
      </c>
      <c r="CF33" s="14" t="s">
        <v>2048</v>
      </c>
      <c r="CG33" s="14" t="s">
        <v>2057</v>
      </c>
      <c r="CH33" s="14" t="s">
        <v>2090</v>
      </c>
      <c r="CI33" s="14" t="s">
        <v>2048</v>
      </c>
      <c r="CJ33" s="17"/>
      <c r="CK33" s="17">
        <v>45135</v>
      </c>
      <c r="CL33" s="17">
        <v>45135</v>
      </c>
      <c r="CM33" s="17">
        <v>2958465</v>
      </c>
      <c r="CN33" s="17"/>
      <c r="CO33" s="19">
        <v>0</v>
      </c>
      <c r="CP33" s="19">
        <v>0</v>
      </c>
      <c r="CQ33" s="19">
        <v>0</v>
      </c>
      <c r="CR33" s="19">
        <v>0</v>
      </c>
      <c r="CS33" s="19">
        <v>0</v>
      </c>
      <c r="CT33" s="19">
        <v>0</v>
      </c>
      <c r="CU33" s="19">
        <v>0</v>
      </c>
      <c r="CV33" s="17"/>
      <c r="CW33" s="19">
        <v>0</v>
      </c>
      <c r="CX33" s="17"/>
      <c r="CY33" s="17"/>
      <c r="CZ33" s="19">
        <v>0</v>
      </c>
      <c r="DA33" s="17"/>
      <c r="DB33" s="17"/>
      <c r="DC33" s="19">
        <v>100</v>
      </c>
      <c r="DD33" s="17"/>
      <c r="DE33" s="17">
        <v>2958465</v>
      </c>
      <c r="DF33" s="17"/>
      <c r="DG33" s="17"/>
      <c r="DH33" s="19">
        <v>0</v>
      </c>
      <c r="DI33" s="19">
        <v>0</v>
      </c>
    </row>
    <row r="34" spans="1:113" x14ac:dyDescent="0.2">
      <c r="A34" s="14"/>
      <c r="B34" s="16" t="s">
        <v>692</v>
      </c>
      <c r="C34" s="14" t="s">
        <v>158</v>
      </c>
      <c r="D34" s="14" t="s">
        <v>159</v>
      </c>
      <c r="E34" s="14" t="s">
        <v>158</v>
      </c>
      <c r="F34" s="14" t="s">
        <v>2044</v>
      </c>
      <c r="G34" s="14" t="s">
        <v>2045</v>
      </c>
      <c r="H34" s="14" t="s">
        <v>689</v>
      </c>
      <c r="I34" s="14" t="s">
        <v>690</v>
      </c>
      <c r="J34" s="16">
        <f>COUNTIF($I$3:I34, I34)</f>
        <v>1</v>
      </c>
      <c r="K34" s="14" t="s">
        <v>2048</v>
      </c>
      <c r="L34" s="14" t="s">
        <v>2048</v>
      </c>
      <c r="M34" s="14" t="s">
        <v>2048</v>
      </c>
      <c r="N34" s="14"/>
      <c r="O34" s="14" t="s">
        <v>2276</v>
      </c>
      <c r="P34" s="14" t="s">
        <v>72</v>
      </c>
      <c r="Q34" s="14" t="s">
        <v>72</v>
      </c>
      <c r="R34" s="14" t="s">
        <v>2048</v>
      </c>
      <c r="S34" s="14"/>
      <c r="T34" s="14" t="s">
        <v>200</v>
      </c>
      <c r="U34" s="14" t="s">
        <v>2049</v>
      </c>
      <c r="V34" s="14" t="s">
        <v>2050</v>
      </c>
      <c r="W34" s="14" t="s">
        <v>2051</v>
      </c>
      <c r="X34" s="14" t="s">
        <v>2048</v>
      </c>
      <c r="Y34" s="14" t="s">
        <v>2048</v>
      </c>
      <c r="Z34" s="14" t="s">
        <v>2048</v>
      </c>
      <c r="AA34" s="14" t="s">
        <v>2048</v>
      </c>
      <c r="AB34" s="14" t="s">
        <v>85</v>
      </c>
      <c r="AC34" s="14" t="s">
        <v>340</v>
      </c>
      <c r="AD34" s="14" t="s">
        <v>2277</v>
      </c>
      <c r="AE34" s="14" t="s">
        <v>2278</v>
      </c>
      <c r="AF34" s="14" t="s">
        <v>2055</v>
      </c>
      <c r="AG34" s="14" t="s">
        <v>2055</v>
      </c>
      <c r="AH34" s="14" t="s">
        <v>2055</v>
      </c>
      <c r="AI34" s="14" t="s">
        <v>2057</v>
      </c>
      <c r="AJ34" s="14" t="s">
        <v>87</v>
      </c>
      <c r="AK34" s="14" t="s">
        <v>2048</v>
      </c>
      <c r="AL34" s="14" t="s">
        <v>2048</v>
      </c>
      <c r="AM34" s="14" t="s">
        <v>2048</v>
      </c>
      <c r="AN34" s="14" t="s">
        <v>2278</v>
      </c>
      <c r="AO34" s="17" t="s">
        <v>108</v>
      </c>
      <c r="AP34" s="14" t="s">
        <v>200</v>
      </c>
      <c r="AQ34" s="14" t="s">
        <v>2059</v>
      </c>
      <c r="AR34" s="14" t="s">
        <v>2060</v>
      </c>
      <c r="AS34" s="14" t="s">
        <v>2048</v>
      </c>
      <c r="AT34" s="14" t="s">
        <v>2105</v>
      </c>
      <c r="AU34" s="14" t="s">
        <v>2279</v>
      </c>
      <c r="AV34" s="14" t="s">
        <v>2280</v>
      </c>
      <c r="AW34" s="14" t="s">
        <v>2048</v>
      </c>
      <c r="AX34" s="14" t="s">
        <v>2048</v>
      </c>
      <c r="AY34" s="14" t="s">
        <v>689</v>
      </c>
      <c r="AZ34" s="14" t="s">
        <v>691</v>
      </c>
      <c r="BA34" s="14" t="s">
        <v>2281</v>
      </c>
      <c r="BB34" s="14" t="s">
        <v>2048</v>
      </c>
      <c r="BC34" s="14" t="s">
        <v>2061</v>
      </c>
      <c r="BD34" s="14" t="s">
        <v>2282</v>
      </c>
      <c r="BE34" s="14" t="s">
        <v>2283</v>
      </c>
      <c r="BF34" s="14" t="s">
        <v>2284</v>
      </c>
      <c r="BG34" s="14" t="s">
        <v>2285</v>
      </c>
      <c r="BH34" s="14" t="s">
        <v>2286</v>
      </c>
      <c r="BI34" s="14" t="s">
        <v>2287</v>
      </c>
      <c r="BJ34" s="14" t="s">
        <v>2051</v>
      </c>
      <c r="BK34" s="14" t="s">
        <v>2048</v>
      </c>
      <c r="BL34" s="14" t="s">
        <v>2064</v>
      </c>
      <c r="BM34" s="14" t="s">
        <v>72</v>
      </c>
      <c r="BN34" s="14" t="s">
        <v>72</v>
      </c>
      <c r="BO34" s="14" t="s">
        <v>2288</v>
      </c>
      <c r="BP34" s="14" t="s">
        <v>2048</v>
      </c>
      <c r="BQ34" s="14" t="s">
        <v>2048</v>
      </c>
      <c r="BR34" s="14" t="s">
        <v>172</v>
      </c>
      <c r="BS34" s="14" t="s">
        <v>2131</v>
      </c>
      <c r="BT34" s="14" t="s">
        <v>2048</v>
      </c>
      <c r="BU34" s="14" t="s">
        <v>2048</v>
      </c>
      <c r="BV34" s="14" t="s">
        <v>2048</v>
      </c>
      <c r="BW34" s="14" t="s">
        <v>2051</v>
      </c>
      <c r="BX34" s="14" t="s">
        <v>72</v>
      </c>
      <c r="BY34" s="14" t="s">
        <v>2048</v>
      </c>
      <c r="BZ34" s="14" t="s">
        <v>2048</v>
      </c>
      <c r="CA34" s="14" t="s">
        <v>2048</v>
      </c>
      <c r="CB34" s="14" t="s">
        <v>2048</v>
      </c>
      <c r="CC34" s="14" t="s">
        <v>2048</v>
      </c>
      <c r="CD34" s="14" t="s">
        <v>2048</v>
      </c>
      <c r="CE34" s="14" t="s">
        <v>2048</v>
      </c>
      <c r="CF34" s="14" t="s">
        <v>2048</v>
      </c>
      <c r="CG34" s="14" t="s">
        <v>2068</v>
      </c>
      <c r="CH34" s="14" t="s">
        <v>2069</v>
      </c>
      <c r="CI34" s="14" t="s">
        <v>2048</v>
      </c>
      <c r="CJ34" s="17"/>
      <c r="CK34" s="17">
        <v>43019</v>
      </c>
      <c r="CL34" s="17">
        <v>44927</v>
      </c>
      <c r="CM34" s="17">
        <v>2958465</v>
      </c>
      <c r="CN34" s="17"/>
      <c r="CO34" s="19">
        <v>0</v>
      </c>
      <c r="CP34" s="19">
        <v>0</v>
      </c>
      <c r="CQ34" s="19">
        <v>0</v>
      </c>
      <c r="CR34" s="19">
        <v>0</v>
      </c>
      <c r="CS34" s="19">
        <v>0</v>
      </c>
      <c r="CT34" s="19">
        <v>0</v>
      </c>
      <c r="CU34" s="19">
        <v>0</v>
      </c>
      <c r="CV34" s="17"/>
      <c r="CW34" s="19">
        <v>0</v>
      </c>
      <c r="CX34" s="17"/>
      <c r="CY34" s="17"/>
      <c r="CZ34" s="19">
        <v>0</v>
      </c>
      <c r="DA34" s="17"/>
      <c r="DB34" s="17"/>
      <c r="DC34" s="19">
        <v>100</v>
      </c>
      <c r="DD34" s="17"/>
      <c r="DE34" s="17">
        <v>2958465</v>
      </c>
      <c r="DF34" s="17"/>
      <c r="DG34" s="17"/>
      <c r="DH34" s="19">
        <v>0</v>
      </c>
      <c r="DI34" s="19">
        <v>0</v>
      </c>
    </row>
    <row r="35" spans="1:113" x14ac:dyDescent="0.2">
      <c r="A35" s="14"/>
      <c r="B35" s="16" t="s">
        <v>573</v>
      </c>
      <c r="C35" s="14" t="s">
        <v>158</v>
      </c>
      <c r="D35" s="14" t="s">
        <v>159</v>
      </c>
      <c r="E35" s="14" t="s">
        <v>158</v>
      </c>
      <c r="F35" s="14" t="s">
        <v>2044</v>
      </c>
      <c r="G35" s="14" t="s">
        <v>2045</v>
      </c>
      <c r="H35" s="14" t="s">
        <v>102</v>
      </c>
      <c r="I35" s="14" t="s">
        <v>103</v>
      </c>
      <c r="J35" s="16">
        <f>COUNTIF($I$3:I35, I35)</f>
        <v>26</v>
      </c>
      <c r="K35" s="14" t="s">
        <v>2048</v>
      </c>
      <c r="L35" s="14" t="s">
        <v>2048</v>
      </c>
      <c r="M35" s="14" t="s">
        <v>2048</v>
      </c>
      <c r="N35" s="14"/>
      <c r="O35" s="14" t="s">
        <v>2289</v>
      </c>
      <c r="P35" s="14" t="s">
        <v>72</v>
      </c>
      <c r="Q35" s="14" t="s">
        <v>72</v>
      </c>
      <c r="R35" s="14" t="s">
        <v>2048</v>
      </c>
      <c r="S35" s="14"/>
      <c r="T35" s="14" t="s">
        <v>200</v>
      </c>
      <c r="U35" s="14" t="s">
        <v>2049</v>
      </c>
      <c r="V35" s="14" t="s">
        <v>2050</v>
      </c>
      <c r="W35" s="14" t="s">
        <v>2051</v>
      </c>
      <c r="X35" s="14" t="s">
        <v>2048</v>
      </c>
      <c r="Y35" s="14" t="s">
        <v>2048</v>
      </c>
      <c r="Z35" s="14" t="s">
        <v>2048</v>
      </c>
      <c r="AA35" s="14" t="s">
        <v>2048</v>
      </c>
      <c r="AB35" s="14" t="s">
        <v>85</v>
      </c>
      <c r="AC35" s="14" t="s">
        <v>114</v>
      </c>
      <c r="AD35" s="14" t="s">
        <v>2072</v>
      </c>
      <c r="AE35" s="14" t="s">
        <v>2073</v>
      </c>
      <c r="AF35" s="14" t="s">
        <v>2055</v>
      </c>
      <c r="AG35" s="14" t="s">
        <v>2055</v>
      </c>
      <c r="AH35" s="14" t="s">
        <v>2055</v>
      </c>
      <c r="AI35" s="14" t="s">
        <v>2057</v>
      </c>
      <c r="AJ35" s="14" t="s">
        <v>87</v>
      </c>
      <c r="AK35" s="14" t="s">
        <v>2048</v>
      </c>
      <c r="AL35" s="14" t="s">
        <v>2048</v>
      </c>
      <c r="AM35" s="14" t="s">
        <v>2048</v>
      </c>
      <c r="AN35" s="14" t="s">
        <v>2102</v>
      </c>
      <c r="AO35" s="17" t="s">
        <v>108</v>
      </c>
      <c r="AP35" s="14" t="s">
        <v>414</v>
      </c>
      <c r="AQ35" s="14" t="s">
        <v>2290</v>
      </c>
      <c r="AR35" s="14" t="s">
        <v>2291</v>
      </c>
      <c r="AS35" s="14" t="s">
        <v>2292</v>
      </c>
      <c r="AT35" s="14" t="s">
        <v>2061</v>
      </c>
      <c r="AU35" s="14" t="s">
        <v>2106</v>
      </c>
      <c r="AV35" s="14" t="s">
        <v>2107</v>
      </c>
      <c r="AW35" s="14" t="s">
        <v>2048</v>
      </c>
      <c r="AX35" s="14" t="s">
        <v>2048</v>
      </c>
      <c r="AY35" s="14" t="s">
        <v>102</v>
      </c>
      <c r="AZ35" s="14" t="s">
        <v>574</v>
      </c>
      <c r="BA35" s="14" t="s">
        <v>2293</v>
      </c>
      <c r="BB35" s="14" t="s">
        <v>2048</v>
      </c>
      <c r="BC35" s="14" t="s">
        <v>2061</v>
      </c>
      <c r="BD35" s="14" t="s">
        <v>2080</v>
      </c>
      <c r="BE35" s="14" t="s">
        <v>2081</v>
      </c>
      <c r="BF35" s="14" t="s">
        <v>2294</v>
      </c>
      <c r="BG35" s="14" t="s">
        <v>2295</v>
      </c>
      <c r="BH35" s="14" t="s">
        <v>2296</v>
      </c>
      <c r="BI35" s="14" t="s">
        <v>2085</v>
      </c>
      <c r="BJ35" s="14" t="s">
        <v>2051</v>
      </c>
      <c r="BK35" s="14" t="s">
        <v>2048</v>
      </c>
      <c r="BL35" s="14" t="s">
        <v>2064</v>
      </c>
      <c r="BM35" s="14" t="s">
        <v>72</v>
      </c>
      <c r="BN35" s="14" t="s">
        <v>72</v>
      </c>
      <c r="BO35" s="14" t="s">
        <v>2297</v>
      </c>
      <c r="BP35" s="14" t="s">
        <v>2298</v>
      </c>
      <c r="BQ35" s="14" t="s">
        <v>2299</v>
      </c>
      <c r="BR35" s="14" t="s">
        <v>159</v>
      </c>
      <c r="BS35" s="14" t="s">
        <v>2089</v>
      </c>
      <c r="BT35" s="14" t="s">
        <v>2048</v>
      </c>
      <c r="BU35" s="14" t="s">
        <v>2048</v>
      </c>
      <c r="BV35" s="14" t="s">
        <v>2048</v>
      </c>
      <c r="BW35" s="14" t="s">
        <v>2051</v>
      </c>
      <c r="BX35" s="14" t="s">
        <v>72</v>
      </c>
      <c r="BY35" s="14" t="s">
        <v>2048</v>
      </c>
      <c r="BZ35" s="14" t="s">
        <v>2048</v>
      </c>
      <c r="CA35" s="14" t="s">
        <v>2048</v>
      </c>
      <c r="CB35" s="14" t="s">
        <v>2048</v>
      </c>
      <c r="CC35" s="14" t="s">
        <v>2048</v>
      </c>
      <c r="CD35" s="14" t="s">
        <v>2048</v>
      </c>
      <c r="CE35" s="14" t="s">
        <v>2048</v>
      </c>
      <c r="CF35" s="14" t="s">
        <v>2048</v>
      </c>
      <c r="CG35" s="14" t="s">
        <v>2057</v>
      </c>
      <c r="CH35" s="14" t="s">
        <v>2090</v>
      </c>
      <c r="CI35" s="14" t="s">
        <v>2048</v>
      </c>
      <c r="CJ35" s="17"/>
      <c r="CK35" s="17">
        <v>45135</v>
      </c>
      <c r="CL35" s="17">
        <v>45135</v>
      </c>
      <c r="CM35" s="17">
        <v>2958465</v>
      </c>
      <c r="CN35" s="17"/>
      <c r="CO35" s="19">
        <v>0</v>
      </c>
      <c r="CP35" s="19">
        <v>0</v>
      </c>
      <c r="CQ35" s="19">
        <v>0</v>
      </c>
      <c r="CR35" s="19">
        <v>0</v>
      </c>
      <c r="CS35" s="19">
        <v>0</v>
      </c>
      <c r="CT35" s="19">
        <v>0</v>
      </c>
      <c r="CU35" s="19">
        <v>0</v>
      </c>
      <c r="CV35" s="17"/>
      <c r="CW35" s="19">
        <v>0</v>
      </c>
      <c r="CX35" s="17"/>
      <c r="CY35" s="17"/>
      <c r="CZ35" s="19">
        <v>0</v>
      </c>
      <c r="DA35" s="17"/>
      <c r="DB35" s="17"/>
      <c r="DC35" s="19">
        <v>100</v>
      </c>
      <c r="DD35" s="17"/>
      <c r="DE35" s="17">
        <v>2958465</v>
      </c>
      <c r="DF35" s="17"/>
      <c r="DG35" s="17"/>
      <c r="DH35" s="19">
        <v>0</v>
      </c>
      <c r="DI35" s="19">
        <v>0</v>
      </c>
    </row>
    <row r="36" spans="1:113" x14ac:dyDescent="0.2">
      <c r="A36" s="14"/>
      <c r="B36" s="16" t="s">
        <v>660</v>
      </c>
      <c r="C36" s="14" t="s">
        <v>158</v>
      </c>
      <c r="D36" s="14" t="s">
        <v>159</v>
      </c>
      <c r="E36" s="14" t="s">
        <v>158</v>
      </c>
      <c r="F36" s="14" t="s">
        <v>2044</v>
      </c>
      <c r="G36" s="14" t="s">
        <v>2045</v>
      </c>
      <c r="H36" s="14" t="s">
        <v>102</v>
      </c>
      <c r="I36" s="14" t="s">
        <v>103</v>
      </c>
      <c r="J36" s="16">
        <f>COUNTIF($I$3:I36, I36)</f>
        <v>27</v>
      </c>
      <c r="K36" s="14" t="s">
        <v>2048</v>
      </c>
      <c r="L36" s="14" t="s">
        <v>2048</v>
      </c>
      <c r="M36" s="14" t="s">
        <v>2048</v>
      </c>
      <c r="N36" s="14"/>
      <c r="O36" s="14" t="s">
        <v>2300</v>
      </c>
      <c r="P36" s="14" t="s">
        <v>72</v>
      </c>
      <c r="Q36" s="14" t="s">
        <v>72</v>
      </c>
      <c r="R36" s="14" t="s">
        <v>2048</v>
      </c>
      <c r="S36" s="14"/>
      <c r="T36" s="14" t="s">
        <v>200</v>
      </c>
      <c r="U36" s="14" t="s">
        <v>2049</v>
      </c>
      <c r="V36" s="14" t="s">
        <v>2050</v>
      </c>
      <c r="W36" s="14" t="s">
        <v>2051</v>
      </c>
      <c r="X36" s="14" t="s">
        <v>2048</v>
      </c>
      <c r="Y36" s="14" t="s">
        <v>2048</v>
      </c>
      <c r="Z36" s="14" t="s">
        <v>2048</v>
      </c>
      <c r="AA36" s="14" t="s">
        <v>2048</v>
      </c>
      <c r="AB36" s="14" t="s">
        <v>85</v>
      </c>
      <c r="AC36" s="14" t="s">
        <v>114</v>
      </c>
      <c r="AD36" s="14" t="s">
        <v>2072</v>
      </c>
      <c r="AE36" s="14" t="s">
        <v>2073</v>
      </c>
      <c r="AF36" s="14" t="s">
        <v>2055</v>
      </c>
      <c r="AG36" s="14" t="s">
        <v>2055</v>
      </c>
      <c r="AH36" s="14" t="s">
        <v>2055</v>
      </c>
      <c r="AI36" s="14" t="s">
        <v>2057</v>
      </c>
      <c r="AJ36" s="14" t="s">
        <v>87</v>
      </c>
      <c r="AK36" s="14" t="s">
        <v>2048</v>
      </c>
      <c r="AL36" s="14" t="s">
        <v>2048</v>
      </c>
      <c r="AM36" s="14" t="s">
        <v>2048</v>
      </c>
      <c r="AN36" s="14" t="s">
        <v>2166</v>
      </c>
      <c r="AO36" s="17" t="s">
        <v>108</v>
      </c>
      <c r="AP36" s="14" t="s">
        <v>200</v>
      </c>
      <c r="AQ36" s="14" t="s">
        <v>2059</v>
      </c>
      <c r="AR36" s="14" t="s">
        <v>2301</v>
      </c>
      <c r="AS36" s="14" t="s">
        <v>2302</v>
      </c>
      <c r="AT36" s="14" t="s">
        <v>2061</v>
      </c>
      <c r="AU36" s="14" t="s">
        <v>2170</v>
      </c>
      <c r="AV36" s="14" t="s">
        <v>2171</v>
      </c>
      <c r="AW36" s="14" t="s">
        <v>2048</v>
      </c>
      <c r="AX36" s="14" t="s">
        <v>2048</v>
      </c>
      <c r="AY36" s="14" t="s">
        <v>102</v>
      </c>
      <c r="AZ36" s="14" t="s">
        <v>115</v>
      </c>
      <c r="BA36" s="14" t="s">
        <v>2172</v>
      </c>
      <c r="BB36" s="14" t="s">
        <v>2048</v>
      </c>
      <c r="BC36" s="14" t="s">
        <v>2061</v>
      </c>
      <c r="BD36" s="14" t="s">
        <v>2080</v>
      </c>
      <c r="BE36" s="14" t="s">
        <v>2081</v>
      </c>
      <c r="BF36" s="14" t="s">
        <v>2173</v>
      </c>
      <c r="BG36" s="14" t="s">
        <v>2174</v>
      </c>
      <c r="BH36" s="14" t="s">
        <v>2175</v>
      </c>
      <c r="BI36" s="14" t="s">
        <v>2085</v>
      </c>
      <c r="BJ36" s="14" t="s">
        <v>2051</v>
      </c>
      <c r="BK36" s="14" t="s">
        <v>2048</v>
      </c>
      <c r="BL36" s="14" t="s">
        <v>2064</v>
      </c>
      <c r="BM36" s="14" t="s">
        <v>72</v>
      </c>
      <c r="BN36" s="14" t="s">
        <v>72</v>
      </c>
      <c r="BO36" s="14" t="s">
        <v>2303</v>
      </c>
      <c r="BP36" s="14" t="s">
        <v>2257</v>
      </c>
      <c r="BQ36" s="14" t="s">
        <v>2258</v>
      </c>
      <c r="BR36" s="14" t="s">
        <v>159</v>
      </c>
      <c r="BS36" s="14" t="s">
        <v>2089</v>
      </c>
      <c r="BT36" s="14" t="s">
        <v>2048</v>
      </c>
      <c r="BU36" s="14" t="s">
        <v>2048</v>
      </c>
      <c r="BV36" s="14" t="s">
        <v>2048</v>
      </c>
      <c r="BW36" s="14" t="s">
        <v>2051</v>
      </c>
      <c r="BX36" s="14" t="s">
        <v>2048</v>
      </c>
      <c r="BY36" s="14" t="s">
        <v>2048</v>
      </c>
      <c r="BZ36" s="14" t="s">
        <v>2048</v>
      </c>
      <c r="CA36" s="14" t="s">
        <v>2048</v>
      </c>
      <c r="CB36" s="14" t="s">
        <v>2048</v>
      </c>
      <c r="CC36" s="14" t="s">
        <v>2048</v>
      </c>
      <c r="CD36" s="14" t="s">
        <v>2048</v>
      </c>
      <c r="CE36" s="14" t="s">
        <v>2048</v>
      </c>
      <c r="CF36" s="14" t="s">
        <v>2048</v>
      </c>
      <c r="CG36" s="14" t="s">
        <v>2057</v>
      </c>
      <c r="CH36" s="14" t="s">
        <v>2090</v>
      </c>
      <c r="CI36" s="14" t="s">
        <v>2048</v>
      </c>
      <c r="CJ36" s="17"/>
      <c r="CK36" s="17">
        <v>44945</v>
      </c>
      <c r="CL36" s="17">
        <v>44945</v>
      </c>
      <c r="CM36" s="17">
        <v>2958465</v>
      </c>
      <c r="CN36" s="17"/>
      <c r="CO36" s="19">
        <v>0</v>
      </c>
      <c r="CP36" s="19">
        <v>0</v>
      </c>
      <c r="CQ36" s="19">
        <v>0</v>
      </c>
      <c r="CR36" s="19">
        <v>0</v>
      </c>
      <c r="CS36" s="19">
        <v>0</v>
      </c>
      <c r="CT36" s="19">
        <v>0</v>
      </c>
      <c r="CU36" s="19">
        <v>0</v>
      </c>
      <c r="CV36" s="17"/>
      <c r="CW36" s="19">
        <v>54895</v>
      </c>
      <c r="CX36" s="17">
        <v>45728</v>
      </c>
      <c r="CY36" s="17"/>
      <c r="CZ36" s="19">
        <v>0</v>
      </c>
      <c r="DA36" s="17"/>
      <c r="DB36" s="17"/>
      <c r="DC36" s="19">
        <v>100</v>
      </c>
      <c r="DD36" s="17"/>
      <c r="DE36" s="17">
        <v>2958465</v>
      </c>
      <c r="DF36" s="17"/>
      <c r="DG36" s="17"/>
      <c r="DH36" s="19">
        <v>0</v>
      </c>
      <c r="DI36" s="19">
        <v>0</v>
      </c>
    </row>
    <row r="37" spans="1:113" x14ac:dyDescent="0.2">
      <c r="A37" s="14"/>
      <c r="B37" s="16" t="s">
        <v>664</v>
      </c>
      <c r="C37" s="14" t="s">
        <v>158</v>
      </c>
      <c r="D37" s="14" t="s">
        <v>159</v>
      </c>
      <c r="E37" s="14" t="s">
        <v>158</v>
      </c>
      <c r="F37" s="14" t="s">
        <v>2044</v>
      </c>
      <c r="G37" s="14" t="s">
        <v>2045</v>
      </c>
      <c r="H37" s="14" t="s">
        <v>102</v>
      </c>
      <c r="I37" s="14" t="s">
        <v>103</v>
      </c>
      <c r="J37" s="16">
        <f>COUNTIF($I$3:I37, I37)</f>
        <v>28</v>
      </c>
      <c r="K37" s="14" t="s">
        <v>2048</v>
      </c>
      <c r="L37" s="14" t="s">
        <v>2048</v>
      </c>
      <c r="M37" s="14" t="s">
        <v>2048</v>
      </c>
      <c r="N37" s="14"/>
      <c r="O37" s="14" t="s">
        <v>2304</v>
      </c>
      <c r="P37" s="14" t="s">
        <v>72</v>
      </c>
      <c r="Q37" s="14" t="s">
        <v>72</v>
      </c>
      <c r="R37" s="14" t="s">
        <v>2048</v>
      </c>
      <c r="S37" s="14"/>
      <c r="T37" s="14" t="s">
        <v>200</v>
      </c>
      <c r="U37" s="14" t="s">
        <v>2049</v>
      </c>
      <c r="V37" s="14" t="s">
        <v>2050</v>
      </c>
      <c r="W37" s="14" t="s">
        <v>2051</v>
      </c>
      <c r="X37" s="14" t="s">
        <v>2048</v>
      </c>
      <c r="Y37" s="14" t="s">
        <v>2048</v>
      </c>
      <c r="Z37" s="14" t="s">
        <v>2048</v>
      </c>
      <c r="AA37" s="14" t="s">
        <v>2048</v>
      </c>
      <c r="AB37" s="14" t="s">
        <v>85</v>
      </c>
      <c r="AC37" s="14" t="s">
        <v>114</v>
      </c>
      <c r="AD37" s="14" t="s">
        <v>2072</v>
      </c>
      <c r="AE37" s="14" t="s">
        <v>2073</v>
      </c>
      <c r="AF37" s="14" t="s">
        <v>2055</v>
      </c>
      <c r="AG37" s="14" t="s">
        <v>2055</v>
      </c>
      <c r="AH37" s="14" t="s">
        <v>2055</v>
      </c>
      <c r="AI37" s="14" t="s">
        <v>2057</v>
      </c>
      <c r="AJ37" s="14" t="s">
        <v>87</v>
      </c>
      <c r="AK37" s="14" t="s">
        <v>2048</v>
      </c>
      <c r="AL37" s="14" t="s">
        <v>2048</v>
      </c>
      <c r="AM37" s="14" t="s">
        <v>2048</v>
      </c>
      <c r="AN37" s="14" t="s">
        <v>2166</v>
      </c>
      <c r="AO37" s="17" t="s">
        <v>108</v>
      </c>
      <c r="AP37" s="14" t="s">
        <v>200</v>
      </c>
      <c r="AQ37" s="14" t="s">
        <v>1492</v>
      </c>
      <c r="AR37" s="14" t="s">
        <v>2170</v>
      </c>
      <c r="AS37" s="14" t="s">
        <v>2171</v>
      </c>
      <c r="AT37" s="14" t="s">
        <v>2061</v>
      </c>
      <c r="AU37" s="14" t="s">
        <v>2170</v>
      </c>
      <c r="AV37" s="14" t="s">
        <v>2171</v>
      </c>
      <c r="AW37" s="14" t="s">
        <v>2048</v>
      </c>
      <c r="AX37" s="14" t="s">
        <v>2048</v>
      </c>
      <c r="AY37" s="14" t="s">
        <v>102</v>
      </c>
      <c r="AZ37" s="14" t="s">
        <v>115</v>
      </c>
      <c r="BA37" s="14" t="s">
        <v>2172</v>
      </c>
      <c r="BB37" s="14" t="s">
        <v>2048</v>
      </c>
      <c r="BC37" s="14" t="s">
        <v>2061</v>
      </c>
      <c r="BD37" s="14" t="s">
        <v>2080</v>
      </c>
      <c r="BE37" s="14" t="s">
        <v>2081</v>
      </c>
      <c r="BF37" s="14" t="s">
        <v>2173</v>
      </c>
      <c r="BG37" s="14" t="s">
        <v>2174</v>
      </c>
      <c r="BH37" s="14" t="s">
        <v>2175</v>
      </c>
      <c r="BI37" s="14" t="s">
        <v>2085</v>
      </c>
      <c r="BJ37" s="14" t="s">
        <v>2051</v>
      </c>
      <c r="BK37" s="14" t="s">
        <v>2048</v>
      </c>
      <c r="BL37" s="14" t="s">
        <v>2064</v>
      </c>
      <c r="BM37" s="14" t="s">
        <v>72</v>
      </c>
      <c r="BN37" s="14" t="s">
        <v>72</v>
      </c>
      <c r="BO37" s="14" t="s">
        <v>2305</v>
      </c>
      <c r="BP37" s="14" t="s">
        <v>2177</v>
      </c>
      <c r="BQ37" s="14" t="s">
        <v>2178</v>
      </c>
      <c r="BR37" s="14" t="s">
        <v>159</v>
      </c>
      <c r="BS37" s="14" t="s">
        <v>2089</v>
      </c>
      <c r="BT37" s="14" t="s">
        <v>2048</v>
      </c>
      <c r="BU37" s="14" t="s">
        <v>2048</v>
      </c>
      <c r="BV37" s="14" t="s">
        <v>2048</v>
      </c>
      <c r="BW37" s="14" t="s">
        <v>2051</v>
      </c>
      <c r="BX37" s="14" t="s">
        <v>2048</v>
      </c>
      <c r="BY37" s="14" t="s">
        <v>2048</v>
      </c>
      <c r="BZ37" s="14" t="s">
        <v>2048</v>
      </c>
      <c r="CA37" s="14" t="s">
        <v>2048</v>
      </c>
      <c r="CB37" s="14" t="s">
        <v>2048</v>
      </c>
      <c r="CC37" s="14" t="s">
        <v>2048</v>
      </c>
      <c r="CD37" s="14" t="s">
        <v>2048</v>
      </c>
      <c r="CE37" s="14" t="s">
        <v>2048</v>
      </c>
      <c r="CF37" s="14" t="s">
        <v>2048</v>
      </c>
      <c r="CG37" s="14" t="s">
        <v>2057</v>
      </c>
      <c r="CH37" s="14" t="s">
        <v>2090</v>
      </c>
      <c r="CI37" s="14" t="s">
        <v>2048</v>
      </c>
      <c r="CJ37" s="17"/>
      <c r="CK37" s="17">
        <v>44945</v>
      </c>
      <c r="CL37" s="17">
        <v>44945</v>
      </c>
      <c r="CM37" s="17">
        <v>2958465</v>
      </c>
      <c r="CN37" s="17"/>
      <c r="CO37" s="19">
        <v>0</v>
      </c>
      <c r="CP37" s="19">
        <v>0</v>
      </c>
      <c r="CQ37" s="19">
        <v>0</v>
      </c>
      <c r="CR37" s="19">
        <v>0</v>
      </c>
      <c r="CS37" s="19">
        <v>0</v>
      </c>
      <c r="CT37" s="19">
        <v>0</v>
      </c>
      <c r="CU37" s="19">
        <v>0</v>
      </c>
      <c r="CV37" s="17"/>
      <c r="CW37" s="19">
        <v>43974</v>
      </c>
      <c r="CX37" s="17">
        <v>45728</v>
      </c>
      <c r="CY37" s="17"/>
      <c r="CZ37" s="19">
        <v>0</v>
      </c>
      <c r="DA37" s="17"/>
      <c r="DB37" s="17"/>
      <c r="DC37" s="19">
        <v>100</v>
      </c>
      <c r="DD37" s="17"/>
      <c r="DE37" s="17">
        <v>2958465</v>
      </c>
      <c r="DF37" s="17"/>
      <c r="DG37" s="17"/>
      <c r="DH37" s="19">
        <v>0</v>
      </c>
      <c r="DI37" s="19">
        <v>0</v>
      </c>
    </row>
    <row r="38" spans="1:113" x14ac:dyDescent="0.2">
      <c r="A38" s="14"/>
      <c r="B38" s="16" t="s">
        <v>451</v>
      </c>
      <c r="C38" s="14" t="s">
        <v>158</v>
      </c>
      <c r="D38" s="14" t="s">
        <v>159</v>
      </c>
      <c r="E38" s="14" t="s">
        <v>158</v>
      </c>
      <c r="F38" s="14" t="s">
        <v>2044</v>
      </c>
      <c r="G38" s="14" t="s">
        <v>2045</v>
      </c>
      <c r="H38" s="14" t="s">
        <v>102</v>
      </c>
      <c r="I38" s="14" t="s">
        <v>103</v>
      </c>
      <c r="J38" s="16">
        <f>COUNTIF($I$3:I38, I38)</f>
        <v>29</v>
      </c>
      <c r="K38" s="14" t="s">
        <v>2048</v>
      </c>
      <c r="L38" s="14" t="s">
        <v>2048</v>
      </c>
      <c r="M38" s="14" t="s">
        <v>2048</v>
      </c>
      <c r="N38" s="14"/>
      <c r="O38" s="14" t="s">
        <v>2306</v>
      </c>
      <c r="P38" s="14" t="s">
        <v>72</v>
      </c>
      <c r="Q38" s="14" t="s">
        <v>72</v>
      </c>
      <c r="R38" s="14" t="s">
        <v>2048</v>
      </c>
      <c r="S38" s="14"/>
      <c r="T38" s="14" t="s">
        <v>200</v>
      </c>
      <c r="U38" s="14" t="s">
        <v>2049</v>
      </c>
      <c r="V38" s="14" t="s">
        <v>2050</v>
      </c>
      <c r="W38" s="14" t="s">
        <v>2051</v>
      </c>
      <c r="X38" s="14" t="s">
        <v>2048</v>
      </c>
      <c r="Y38" s="14" t="s">
        <v>2048</v>
      </c>
      <c r="Z38" s="14" t="s">
        <v>2048</v>
      </c>
      <c r="AA38" s="14" t="s">
        <v>2048</v>
      </c>
      <c r="AB38" s="14" t="s">
        <v>359</v>
      </c>
      <c r="AC38" s="14" t="s">
        <v>452</v>
      </c>
      <c r="AD38" s="14" t="s">
        <v>2072</v>
      </c>
      <c r="AE38" s="14" t="s">
        <v>2073</v>
      </c>
      <c r="AF38" s="14" t="s">
        <v>2056</v>
      </c>
      <c r="AG38" s="14" t="s">
        <v>2056</v>
      </c>
      <c r="AH38" s="14" t="s">
        <v>2055</v>
      </c>
      <c r="AI38" s="14" t="s">
        <v>2057</v>
      </c>
      <c r="AJ38" s="14" t="s">
        <v>87</v>
      </c>
      <c r="AK38" s="14" t="s">
        <v>2048</v>
      </c>
      <c r="AL38" s="14" t="s">
        <v>2048</v>
      </c>
      <c r="AM38" s="14" t="s">
        <v>2048</v>
      </c>
      <c r="AN38" s="14" t="s">
        <v>2074</v>
      </c>
      <c r="AO38" s="17" t="s">
        <v>108</v>
      </c>
      <c r="AP38" s="14" t="s">
        <v>159</v>
      </c>
      <c r="AQ38" s="14" t="s">
        <v>2059</v>
      </c>
      <c r="AR38" s="14" t="s">
        <v>2060</v>
      </c>
      <c r="AS38" s="14" t="s">
        <v>2048</v>
      </c>
      <c r="AT38" s="14" t="s">
        <v>2105</v>
      </c>
      <c r="AU38" s="14" t="s">
        <v>2118</v>
      </c>
      <c r="AV38" s="14" t="s">
        <v>2119</v>
      </c>
      <c r="AW38" s="14" t="s">
        <v>2048</v>
      </c>
      <c r="AX38" s="14" t="s">
        <v>2048</v>
      </c>
      <c r="AY38" s="14" t="s">
        <v>102</v>
      </c>
      <c r="AZ38" s="14" t="s">
        <v>440</v>
      </c>
      <c r="BA38" s="14" t="s">
        <v>2079</v>
      </c>
      <c r="BB38" s="14" t="s">
        <v>2048</v>
      </c>
      <c r="BC38" s="14" t="s">
        <v>2061</v>
      </c>
      <c r="BD38" s="14" t="s">
        <v>2080</v>
      </c>
      <c r="BE38" s="14" t="s">
        <v>2081</v>
      </c>
      <c r="BF38" s="14" t="s">
        <v>2082</v>
      </c>
      <c r="BG38" s="14" t="s">
        <v>2083</v>
      </c>
      <c r="BH38" s="14" t="s">
        <v>2084</v>
      </c>
      <c r="BI38" s="14" t="s">
        <v>2085</v>
      </c>
      <c r="BJ38" s="14" t="s">
        <v>2051</v>
      </c>
      <c r="BK38" s="14" t="s">
        <v>2048</v>
      </c>
      <c r="BL38" s="14" t="s">
        <v>2064</v>
      </c>
      <c r="BM38" s="14" t="s">
        <v>72</v>
      </c>
      <c r="BN38" s="14" t="s">
        <v>72</v>
      </c>
      <c r="BO38" s="14" t="s">
        <v>2307</v>
      </c>
      <c r="BP38" s="14" t="s">
        <v>2048</v>
      </c>
      <c r="BQ38" s="14" t="s">
        <v>2048</v>
      </c>
      <c r="BR38" s="14" t="s">
        <v>159</v>
      </c>
      <c r="BS38" s="14" t="s">
        <v>2089</v>
      </c>
      <c r="BT38" s="14" t="s">
        <v>2048</v>
      </c>
      <c r="BU38" s="14" t="s">
        <v>2048</v>
      </c>
      <c r="BV38" s="14" t="s">
        <v>2048</v>
      </c>
      <c r="BW38" s="14" t="s">
        <v>2051</v>
      </c>
      <c r="BX38" s="14" t="s">
        <v>2048</v>
      </c>
      <c r="BY38" s="14" t="s">
        <v>2048</v>
      </c>
      <c r="BZ38" s="14" t="s">
        <v>2048</v>
      </c>
      <c r="CA38" s="14" t="s">
        <v>2048</v>
      </c>
      <c r="CB38" s="14" t="s">
        <v>2048</v>
      </c>
      <c r="CC38" s="14" t="s">
        <v>2048</v>
      </c>
      <c r="CD38" s="14" t="s">
        <v>2048</v>
      </c>
      <c r="CE38" s="14" t="s">
        <v>2048</v>
      </c>
      <c r="CF38" s="14" t="s">
        <v>2048</v>
      </c>
      <c r="CG38" s="14" t="s">
        <v>2121</v>
      </c>
      <c r="CH38" s="14" t="s">
        <v>2122</v>
      </c>
      <c r="CI38" s="14" t="s">
        <v>2048</v>
      </c>
      <c r="CJ38" s="17"/>
      <c r="CK38" s="17">
        <v>45051</v>
      </c>
      <c r="CL38" s="17">
        <v>45051</v>
      </c>
      <c r="CM38" s="17">
        <v>2958465</v>
      </c>
      <c r="CN38" s="17"/>
      <c r="CO38" s="19">
        <v>0</v>
      </c>
      <c r="CP38" s="19">
        <v>0</v>
      </c>
      <c r="CQ38" s="19">
        <v>0</v>
      </c>
      <c r="CR38" s="19">
        <v>0</v>
      </c>
      <c r="CS38" s="19">
        <v>0</v>
      </c>
      <c r="CT38" s="19">
        <v>0</v>
      </c>
      <c r="CU38" s="19">
        <v>0</v>
      </c>
      <c r="CV38" s="17"/>
      <c r="CW38" s="19">
        <v>16451</v>
      </c>
      <c r="CX38" s="17">
        <v>45730</v>
      </c>
      <c r="CY38" s="17"/>
      <c r="CZ38" s="19">
        <v>0</v>
      </c>
      <c r="DA38" s="17"/>
      <c r="DB38" s="17"/>
      <c r="DC38" s="19">
        <v>100</v>
      </c>
      <c r="DD38" s="17"/>
      <c r="DE38" s="17">
        <v>2958465</v>
      </c>
      <c r="DF38" s="17"/>
      <c r="DG38" s="17"/>
      <c r="DH38" s="19">
        <v>0</v>
      </c>
      <c r="DI38" s="19">
        <v>0</v>
      </c>
    </row>
    <row r="39" spans="1:113" x14ac:dyDescent="0.2">
      <c r="A39" s="14"/>
      <c r="B39" s="16" t="s">
        <v>462</v>
      </c>
      <c r="C39" s="14" t="s">
        <v>158</v>
      </c>
      <c r="D39" s="14" t="s">
        <v>159</v>
      </c>
      <c r="E39" s="14" t="s">
        <v>158</v>
      </c>
      <c r="F39" s="14" t="s">
        <v>2044</v>
      </c>
      <c r="G39" s="14" t="s">
        <v>2045</v>
      </c>
      <c r="H39" s="14" t="s">
        <v>102</v>
      </c>
      <c r="I39" s="14" t="s">
        <v>103</v>
      </c>
      <c r="J39" s="16">
        <f>COUNTIF($I$3:I39, I39)</f>
        <v>30</v>
      </c>
      <c r="K39" s="14" t="s">
        <v>2048</v>
      </c>
      <c r="L39" s="14" t="s">
        <v>2048</v>
      </c>
      <c r="M39" s="14" t="s">
        <v>2048</v>
      </c>
      <c r="N39" s="14"/>
      <c r="O39" s="14" t="s">
        <v>2308</v>
      </c>
      <c r="P39" s="14" t="s">
        <v>72</v>
      </c>
      <c r="Q39" s="14" t="s">
        <v>72</v>
      </c>
      <c r="R39" s="14" t="s">
        <v>2048</v>
      </c>
      <c r="S39" s="14"/>
      <c r="T39" s="14" t="s">
        <v>200</v>
      </c>
      <c r="U39" s="14" t="s">
        <v>2049</v>
      </c>
      <c r="V39" s="14" t="s">
        <v>2050</v>
      </c>
      <c r="W39" s="14" t="s">
        <v>2051</v>
      </c>
      <c r="X39" s="14" t="s">
        <v>2048</v>
      </c>
      <c r="Y39" s="14" t="s">
        <v>2048</v>
      </c>
      <c r="Z39" s="14" t="s">
        <v>2048</v>
      </c>
      <c r="AA39" s="14" t="s">
        <v>2048</v>
      </c>
      <c r="AB39" s="14" t="s">
        <v>359</v>
      </c>
      <c r="AC39" s="14" t="s">
        <v>452</v>
      </c>
      <c r="AD39" s="14" t="s">
        <v>2072</v>
      </c>
      <c r="AE39" s="14" t="s">
        <v>2073</v>
      </c>
      <c r="AF39" s="14" t="s">
        <v>2056</v>
      </c>
      <c r="AG39" s="14" t="s">
        <v>2056</v>
      </c>
      <c r="AH39" s="14" t="s">
        <v>2055</v>
      </c>
      <c r="AI39" s="14" t="s">
        <v>2057</v>
      </c>
      <c r="AJ39" s="14" t="s">
        <v>87</v>
      </c>
      <c r="AK39" s="14" t="s">
        <v>2048</v>
      </c>
      <c r="AL39" s="14" t="s">
        <v>2048</v>
      </c>
      <c r="AM39" s="14" t="s">
        <v>2048</v>
      </c>
      <c r="AN39" s="14" t="s">
        <v>2166</v>
      </c>
      <c r="AO39" s="17" t="s">
        <v>108</v>
      </c>
      <c r="AP39" s="14" t="s">
        <v>159</v>
      </c>
      <c r="AQ39" s="14" t="s">
        <v>2309</v>
      </c>
      <c r="AR39" s="14" t="s">
        <v>2310</v>
      </c>
      <c r="AS39" s="14" t="s">
        <v>2311</v>
      </c>
      <c r="AT39" s="14" t="s">
        <v>2061</v>
      </c>
      <c r="AU39" s="14" t="s">
        <v>2170</v>
      </c>
      <c r="AV39" s="14" t="s">
        <v>2171</v>
      </c>
      <c r="AW39" s="14" t="s">
        <v>2048</v>
      </c>
      <c r="AX39" s="14" t="s">
        <v>2048</v>
      </c>
      <c r="AY39" s="14" t="s">
        <v>102</v>
      </c>
      <c r="AZ39" s="14" t="s">
        <v>115</v>
      </c>
      <c r="BA39" s="14" t="s">
        <v>2172</v>
      </c>
      <c r="BB39" s="14" t="s">
        <v>2048</v>
      </c>
      <c r="BC39" s="14" t="s">
        <v>2061</v>
      </c>
      <c r="BD39" s="14" t="s">
        <v>2080</v>
      </c>
      <c r="BE39" s="14" t="s">
        <v>2081</v>
      </c>
      <c r="BF39" s="14" t="s">
        <v>2173</v>
      </c>
      <c r="BG39" s="14" t="s">
        <v>2174</v>
      </c>
      <c r="BH39" s="14" t="s">
        <v>2175</v>
      </c>
      <c r="BI39" s="14" t="s">
        <v>2085</v>
      </c>
      <c r="BJ39" s="14" t="s">
        <v>2051</v>
      </c>
      <c r="BK39" s="14" t="s">
        <v>2048</v>
      </c>
      <c r="BL39" s="14" t="s">
        <v>2064</v>
      </c>
      <c r="BM39" s="14" t="s">
        <v>72</v>
      </c>
      <c r="BN39" s="14" t="s">
        <v>72</v>
      </c>
      <c r="BO39" s="14" t="s">
        <v>2312</v>
      </c>
      <c r="BP39" s="14" t="s">
        <v>2313</v>
      </c>
      <c r="BQ39" s="14" t="s">
        <v>2314</v>
      </c>
      <c r="BR39" s="14" t="s">
        <v>159</v>
      </c>
      <c r="BS39" s="14" t="s">
        <v>2089</v>
      </c>
      <c r="BT39" s="14" t="s">
        <v>2048</v>
      </c>
      <c r="BU39" s="14" t="s">
        <v>2048</v>
      </c>
      <c r="BV39" s="14" t="s">
        <v>2048</v>
      </c>
      <c r="BW39" s="14" t="s">
        <v>2051</v>
      </c>
      <c r="BX39" s="14" t="s">
        <v>2048</v>
      </c>
      <c r="BY39" s="14" t="s">
        <v>2048</v>
      </c>
      <c r="BZ39" s="14" t="s">
        <v>2048</v>
      </c>
      <c r="CA39" s="14" t="s">
        <v>2048</v>
      </c>
      <c r="CB39" s="14" t="s">
        <v>2048</v>
      </c>
      <c r="CC39" s="14" t="s">
        <v>2048</v>
      </c>
      <c r="CD39" s="14" t="s">
        <v>2048</v>
      </c>
      <c r="CE39" s="14" t="s">
        <v>2048</v>
      </c>
      <c r="CF39" s="14" t="s">
        <v>2048</v>
      </c>
      <c r="CG39" s="14" t="s">
        <v>2121</v>
      </c>
      <c r="CH39" s="14" t="s">
        <v>2122</v>
      </c>
      <c r="CI39" s="14" t="s">
        <v>2048</v>
      </c>
      <c r="CJ39" s="17"/>
      <c r="CK39" s="17">
        <v>45051</v>
      </c>
      <c r="CL39" s="17">
        <v>45051</v>
      </c>
      <c r="CM39" s="17">
        <v>2958465</v>
      </c>
      <c r="CN39" s="17"/>
      <c r="CO39" s="19">
        <v>0</v>
      </c>
      <c r="CP39" s="19">
        <v>0</v>
      </c>
      <c r="CQ39" s="19">
        <v>0</v>
      </c>
      <c r="CR39" s="19">
        <v>0</v>
      </c>
      <c r="CS39" s="19">
        <v>0</v>
      </c>
      <c r="CT39" s="19">
        <v>0</v>
      </c>
      <c r="CU39" s="19">
        <v>0</v>
      </c>
      <c r="CV39" s="17"/>
      <c r="CW39" s="19">
        <v>49626</v>
      </c>
      <c r="CX39" s="17">
        <v>45728</v>
      </c>
      <c r="CY39" s="17"/>
      <c r="CZ39" s="19">
        <v>0</v>
      </c>
      <c r="DA39" s="17"/>
      <c r="DB39" s="17"/>
      <c r="DC39" s="19">
        <v>100</v>
      </c>
      <c r="DD39" s="17"/>
      <c r="DE39" s="17">
        <v>2958465</v>
      </c>
      <c r="DF39" s="17"/>
      <c r="DG39" s="17"/>
      <c r="DH39" s="19">
        <v>0</v>
      </c>
      <c r="DI39" s="19">
        <v>0</v>
      </c>
    </row>
    <row r="40" spans="1:113" x14ac:dyDescent="0.2">
      <c r="A40" s="14" t="s">
        <v>2315</v>
      </c>
      <c r="B40" s="16" t="s">
        <v>1781</v>
      </c>
      <c r="C40" s="14" t="s">
        <v>158</v>
      </c>
      <c r="D40" s="14" t="s">
        <v>159</v>
      </c>
      <c r="E40" s="14" t="s">
        <v>158</v>
      </c>
      <c r="F40" s="14" t="s">
        <v>2044</v>
      </c>
      <c r="G40" s="14" t="s">
        <v>2045</v>
      </c>
      <c r="H40" s="14" t="s">
        <v>204</v>
      </c>
      <c r="I40" s="14" t="s">
        <v>205</v>
      </c>
      <c r="J40" s="16">
        <f>COUNTIF($I$3:I40, I40)</f>
        <v>1</v>
      </c>
      <c r="K40" s="14" t="s">
        <v>2048</v>
      </c>
      <c r="L40" s="14" t="s">
        <v>2048</v>
      </c>
      <c r="M40" s="14" t="s">
        <v>2048</v>
      </c>
      <c r="N40" s="14" t="s">
        <v>2048</v>
      </c>
      <c r="O40" s="14" t="s">
        <v>2316</v>
      </c>
      <c r="P40" s="14" t="s">
        <v>2317</v>
      </c>
      <c r="Q40" s="14" t="s">
        <v>72</v>
      </c>
      <c r="R40" s="14" t="s">
        <v>2048</v>
      </c>
      <c r="S40" s="14" t="s">
        <v>2048</v>
      </c>
      <c r="T40" s="14" t="s">
        <v>2048</v>
      </c>
      <c r="U40" s="14" t="s">
        <v>2048</v>
      </c>
      <c r="V40" s="14" t="s">
        <v>2050</v>
      </c>
      <c r="W40" s="14" t="s">
        <v>2048</v>
      </c>
      <c r="X40" s="14" t="s">
        <v>2048</v>
      </c>
      <c r="Y40" s="14" t="s">
        <v>2048</v>
      </c>
      <c r="Z40" s="14" t="s">
        <v>2048</v>
      </c>
      <c r="AA40" s="14" t="s">
        <v>2048</v>
      </c>
      <c r="AB40" s="14" t="s">
        <v>140</v>
      </c>
      <c r="AC40" s="14" t="s">
        <v>151</v>
      </c>
      <c r="AD40" s="14" t="s">
        <v>2048</v>
      </c>
      <c r="AE40" s="14" t="s">
        <v>2048</v>
      </c>
      <c r="AF40" s="14" t="s">
        <v>2055</v>
      </c>
      <c r="AG40" s="14" t="s">
        <v>2055</v>
      </c>
      <c r="AH40" s="14" t="s">
        <v>2055</v>
      </c>
      <c r="AI40" s="14" t="s">
        <v>2057</v>
      </c>
      <c r="AJ40" s="14" t="s">
        <v>87</v>
      </c>
      <c r="AK40" s="14" t="s">
        <v>2048</v>
      </c>
      <c r="AL40" s="14" t="s">
        <v>2048</v>
      </c>
      <c r="AM40" s="14" t="s">
        <v>2048</v>
      </c>
      <c r="AN40" s="14" t="s">
        <v>2318</v>
      </c>
      <c r="AO40" s="17" t="s">
        <v>89</v>
      </c>
      <c r="AP40" s="14" t="s">
        <v>2135</v>
      </c>
      <c r="AQ40" s="14" t="s">
        <v>2059</v>
      </c>
      <c r="AR40" s="14" t="s">
        <v>2319</v>
      </c>
      <c r="AS40" s="14" t="s">
        <v>2320</v>
      </c>
      <c r="AT40" s="14" t="s">
        <v>72</v>
      </c>
      <c r="AU40" s="14" t="s">
        <v>2321</v>
      </c>
      <c r="AV40" s="14" t="s">
        <v>2322</v>
      </c>
      <c r="AW40" s="14" t="s">
        <v>2048</v>
      </c>
      <c r="AX40" s="14" t="s">
        <v>2048</v>
      </c>
      <c r="AY40" s="14" t="s">
        <v>204</v>
      </c>
      <c r="AZ40" s="14" t="s">
        <v>2323</v>
      </c>
      <c r="BA40" s="14" t="s">
        <v>2324</v>
      </c>
      <c r="BB40" s="14" t="s">
        <v>2048</v>
      </c>
      <c r="BC40" s="14" t="s">
        <v>2048</v>
      </c>
      <c r="BD40" s="14" t="s">
        <v>2325</v>
      </c>
      <c r="BE40" s="14" t="s">
        <v>2326</v>
      </c>
      <c r="BF40" s="14" t="s">
        <v>2325</v>
      </c>
      <c r="BG40" s="14" t="s">
        <v>2326</v>
      </c>
      <c r="BH40" s="14" t="s">
        <v>2327</v>
      </c>
      <c r="BI40" s="14" t="s">
        <v>2287</v>
      </c>
      <c r="BJ40" s="14" t="s">
        <v>2048</v>
      </c>
      <c r="BK40" s="14" t="s">
        <v>2048</v>
      </c>
      <c r="BL40" s="14" t="s">
        <v>2064</v>
      </c>
      <c r="BM40" s="14" t="s">
        <v>72</v>
      </c>
      <c r="BN40" s="14" t="s">
        <v>72</v>
      </c>
      <c r="BO40" s="14" t="s">
        <v>2328</v>
      </c>
      <c r="BP40" s="14" t="s">
        <v>2329</v>
      </c>
      <c r="BQ40" s="14" t="s">
        <v>2330</v>
      </c>
      <c r="BR40" s="14" t="s">
        <v>2331</v>
      </c>
      <c r="BS40" s="14" t="s">
        <v>2131</v>
      </c>
      <c r="BT40" s="14" t="s">
        <v>2048</v>
      </c>
      <c r="BU40" s="14" t="s">
        <v>2048</v>
      </c>
      <c r="BV40" s="14" t="s">
        <v>2048</v>
      </c>
      <c r="BW40" s="14" t="s">
        <v>2048</v>
      </c>
      <c r="BX40" s="14" t="s">
        <v>72</v>
      </c>
      <c r="BY40" s="14" t="s">
        <v>2048</v>
      </c>
      <c r="BZ40" s="14" t="s">
        <v>2048</v>
      </c>
      <c r="CA40" s="14" t="s">
        <v>2048</v>
      </c>
      <c r="CB40" s="14" t="s">
        <v>2048</v>
      </c>
      <c r="CC40" s="14" t="s">
        <v>2048</v>
      </c>
      <c r="CD40" s="14" t="s">
        <v>2048</v>
      </c>
      <c r="CE40" s="14" t="s">
        <v>2048</v>
      </c>
      <c r="CF40" s="14" t="s">
        <v>2048</v>
      </c>
      <c r="CG40" s="14" t="s">
        <v>2068</v>
      </c>
      <c r="CH40" s="14" t="s">
        <v>2069</v>
      </c>
      <c r="CI40" s="14" t="s">
        <v>2048</v>
      </c>
      <c r="CJ40" s="17"/>
      <c r="CK40" s="17">
        <v>45637</v>
      </c>
      <c r="CL40" s="17">
        <v>45637</v>
      </c>
      <c r="CM40" s="17">
        <v>2958465</v>
      </c>
      <c r="CN40" s="17"/>
      <c r="CO40" s="19">
        <v>0</v>
      </c>
      <c r="CP40" s="19">
        <v>0</v>
      </c>
      <c r="CQ40" s="19">
        <v>0</v>
      </c>
      <c r="CR40" s="19">
        <v>0</v>
      </c>
      <c r="CS40" s="19">
        <v>0</v>
      </c>
      <c r="CT40" s="19">
        <v>0</v>
      </c>
      <c r="CU40" s="19">
        <v>0</v>
      </c>
      <c r="CV40" s="17"/>
      <c r="CW40" s="19">
        <v>0</v>
      </c>
      <c r="CX40" s="17"/>
      <c r="CY40" s="17"/>
      <c r="CZ40" s="19">
        <v>0</v>
      </c>
      <c r="DA40" s="17"/>
      <c r="DB40" s="17"/>
      <c r="DC40" s="19">
        <v>100</v>
      </c>
      <c r="DD40" s="17"/>
      <c r="DE40" s="17">
        <v>2958465</v>
      </c>
      <c r="DF40" s="17"/>
      <c r="DG40" s="17"/>
      <c r="DH40" s="19">
        <v>0</v>
      </c>
      <c r="DI40" s="19">
        <v>0</v>
      </c>
    </row>
    <row r="41" spans="1:113" x14ac:dyDescent="0.2">
      <c r="A41" s="14" t="s">
        <v>2315</v>
      </c>
      <c r="B41" s="16" t="s">
        <v>1824</v>
      </c>
      <c r="C41" s="14" t="s">
        <v>158</v>
      </c>
      <c r="D41" s="14" t="s">
        <v>159</v>
      </c>
      <c r="E41" s="14" t="s">
        <v>158</v>
      </c>
      <c r="F41" s="14" t="s">
        <v>2044</v>
      </c>
      <c r="G41" s="14" t="s">
        <v>2045</v>
      </c>
      <c r="H41" s="14" t="s">
        <v>204</v>
      </c>
      <c r="I41" s="14" t="s">
        <v>205</v>
      </c>
      <c r="J41" s="16">
        <f>COUNTIF($I$3:I41, I41)</f>
        <v>2</v>
      </c>
      <c r="K41" s="14" t="s">
        <v>2048</v>
      </c>
      <c r="L41" s="14" t="s">
        <v>2048</v>
      </c>
      <c r="M41" s="14" t="s">
        <v>2048</v>
      </c>
      <c r="N41" s="14" t="s">
        <v>2048</v>
      </c>
      <c r="O41" s="14" t="s">
        <v>2332</v>
      </c>
      <c r="P41" s="14" t="s">
        <v>2333</v>
      </c>
      <c r="Q41" s="14" t="s">
        <v>72</v>
      </c>
      <c r="R41" s="14" t="s">
        <v>2048</v>
      </c>
      <c r="S41" s="14" t="s">
        <v>2048</v>
      </c>
      <c r="T41" s="14" t="s">
        <v>2048</v>
      </c>
      <c r="U41" s="14" t="s">
        <v>2048</v>
      </c>
      <c r="V41" s="14" t="s">
        <v>2050</v>
      </c>
      <c r="W41" s="14" t="s">
        <v>2048</v>
      </c>
      <c r="X41" s="14" t="s">
        <v>2048</v>
      </c>
      <c r="Y41" s="14" t="s">
        <v>2048</v>
      </c>
      <c r="Z41" s="14" t="s">
        <v>2048</v>
      </c>
      <c r="AA41" s="14" t="s">
        <v>2048</v>
      </c>
      <c r="AB41" s="14" t="s">
        <v>140</v>
      </c>
      <c r="AC41" s="14" t="s">
        <v>151</v>
      </c>
      <c r="AD41" s="14" t="s">
        <v>77</v>
      </c>
      <c r="AE41" s="14" t="s">
        <v>2054</v>
      </c>
      <c r="AF41" s="14" t="s">
        <v>2055</v>
      </c>
      <c r="AG41" s="14" t="s">
        <v>2055</v>
      </c>
      <c r="AH41" s="14" t="s">
        <v>2055</v>
      </c>
      <c r="AI41" s="14" t="s">
        <v>2057</v>
      </c>
      <c r="AJ41" s="14" t="s">
        <v>87</v>
      </c>
      <c r="AK41" s="14" t="s">
        <v>2048</v>
      </c>
      <c r="AL41" s="14" t="s">
        <v>2048</v>
      </c>
      <c r="AM41" s="14" t="s">
        <v>2048</v>
      </c>
      <c r="AN41" s="14" t="s">
        <v>2334</v>
      </c>
      <c r="AO41" s="17" t="s">
        <v>89</v>
      </c>
      <c r="AP41" s="14" t="s">
        <v>2135</v>
      </c>
      <c r="AQ41" s="14" t="s">
        <v>2059</v>
      </c>
      <c r="AR41" s="14" t="s">
        <v>2335</v>
      </c>
      <c r="AS41" s="14" t="s">
        <v>2336</v>
      </c>
      <c r="AT41" s="14" t="s">
        <v>72</v>
      </c>
      <c r="AU41" s="14" t="s">
        <v>2337</v>
      </c>
      <c r="AV41" s="14" t="s">
        <v>2338</v>
      </c>
      <c r="AW41" s="14" t="s">
        <v>2048</v>
      </c>
      <c r="AX41" s="14" t="s">
        <v>2048</v>
      </c>
      <c r="AY41" s="14" t="s">
        <v>204</v>
      </c>
      <c r="AZ41" s="14" t="s">
        <v>208</v>
      </c>
      <c r="BA41" s="14" t="s">
        <v>2339</v>
      </c>
      <c r="BB41" s="14" t="s">
        <v>2048</v>
      </c>
      <c r="BC41" s="14" t="s">
        <v>2048</v>
      </c>
      <c r="BD41" s="14" t="s">
        <v>2325</v>
      </c>
      <c r="BE41" s="14" t="s">
        <v>2326</v>
      </c>
      <c r="BF41" s="14" t="s">
        <v>2340</v>
      </c>
      <c r="BG41" s="14" t="s">
        <v>2341</v>
      </c>
      <c r="BH41" s="14" t="s">
        <v>2342</v>
      </c>
      <c r="BI41" s="14" t="s">
        <v>2287</v>
      </c>
      <c r="BJ41" s="14" t="s">
        <v>2048</v>
      </c>
      <c r="BK41" s="14" t="s">
        <v>2048</v>
      </c>
      <c r="BL41" s="14" t="s">
        <v>2064</v>
      </c>
      <c r="BM41" s="14" t="s">
        <v>72</v>
      </c>
      <c r="BN41" s="14" t="s">
        <v>72</v>
      </c>
      <c r="BO41" s="14" t="s">
        <v>2343</v>
      </c>
      <c r="BP41" s="14" t="s">
        <v>2344</v>
      </c>
      <c r="BQ41" s="14" t="s">
        <v>2345</v>
      </c>
      <c r="BR41" s="14" t="s">
        <v>2331</v>
      </c>
      <c r="BS41" s="14" t="s">
        <v>2131</v>
      </c>
      <c r="BT41" s="14" t="s">
        <v>2048</v>
      </c>
      <c r="BU41" s="14" t="s">
        <v>2048</v>
      </c>
      <c r="BV41" s="14" t="s">
        <v>2048</v>
      </c>
      <c r="BW41" s="14" t="s">
        <v>2048</v>
      </c>
      <c r="BX41" s="14" t="s">
        <v>72</v>
      </c>
      <c r="BY41" s="14" t="s">
        <v>2048</v>
      </c>
      <c r="BZ41" s="14" t="s">
        <v>2048</v>
      </c>
      <c r="CA41" s="14" t="s">
        <v>2048</v>
      </c>
      <c r="CB41" s="14" t="s">
        <v>2048</v>
      </c>
      <c r="CC41" s="14" t="s">
        <v>2048</v>
      </c>
      <c r="CD41" s="14" t="s">
        <v>2048</v>
      </c>
      <c r="CE41" s="14" t="s">
        <v>2048</v>
      </c>
      <c r="CF41" s="14" t="s">
        <v>2048</v>
      </c>
      <c r="CG41" s="14" t="s">
        <v>2068</v>
      </c>
      <c r="CH41" s="14" t="s">
        <v>2069</v>
      </c>
      <c r="CI41" s="14" t="s">
        <v>2048</v>
      </c>
      <c r="CJ41" s="17"/>
      <c r="CK41" s="17">
        <v>45637</v>
      </c>
      <c r="CL41" s="17">
        <v>45637</v>
      </c>
      <c r="CM41" s="17">
        <v>2958465</v>
      </c>
      <c r="CN41" s="17"/>
      <c r="CO41" s="19">
        <v>0</v>
      </c>
      <c r="CP41" s="19">
        <v>0</v>
      </c>
      <c r="CQ41" s="19">
        <v>0</v>
      </c>
      <c r="CR41" s="19">
        <v>0</v>
      </c>
      <c r="CS41" s="19">
        <v>0</v>
      </c>
      <c r="CT41" s="19">
        <v>0</v>
      </c>
      <c r="CU41" s="19">
        <v>0</v>
      </c>
      <c r="CV41" s="17"/>
      <c r="CW41" s="19">
        <v>0</v>
      </c>
      <c r="CX41" s="17"/>
      <c r="CY41" s="17"/>
      <c r="CZ41" s="19">
        <v>0</v>
      </c>
      <c r="DA41" s="17"/>
      <c r="DB41" s="17"/>
      <c r="DC41" s="19">
        <v>100</v>
      </c>
      <c r="DD41" s="17"/>
      <c r="DE41" s="17">
        <v>2958465</v>
      </c>
      <c r="DF41" s="17"/>
      <c r="DG41" s="17"/>
      <c r="DH41" s="19">
        <v>0</v>
      </c>
      <c r="DI41" s="19">
        <v>0</v>
      </c>
    </row>
    <row r="42" spans="1:113" x14ac:dyDescent="0.2">
      <c r="A42" s="14" t="s">
        <v>2315</v>
      </c>
      <c r="B42" s="16" t="s">
        <v>1791</v>
      </c>
      <c r="C42" s="14" t="s">
        <v>158</v>
      </c>
      <c r="D42" s="14" t="s">
        <v>159</v>
      </c>
      <c r="E42" s="14" t="s">
        <v>158</v>
      </c>
      <c r="F42" s="14" t="s">
        <v>2044</v>
      </c>
      <c r="G42" s="14" t="s">
        <v>2045</v>
      </c>
      <c r="H42" s="14" t="s">
        <v>204</v>
      </c>
      <c r="I42" s="14" t="s">
        <v>205</v>
      </c>
      <c r="J42" s="16">
        <f>COUNTIF($I$3:I42, I42)</f>
        <v>3</v>
      </c>
      <c r="K42" s="14" t="s">
        <v>2048</v>
      </c>
      <c r="L42" s="14" t="s">
        <v>2048</v>
      </c>
      <c r="M42" s="14" t="s">
        <v>2048</v>
      </c>
      <c r="N42" s="14" t="s">
        <v>2048</v>
      </c>
      <c r="O42" s="14" t="s">
        <v>2346</v>
      </c>
      <c r="P42" s="14" t="s">
        <v>2347</v>
      </c>
      <c r="Q42" s="14" t="s">
        <v>72</v>
      </c>
      <c r="R42" s="14" t="s">
        <v>2048</v>
      </c>
      <c r="S42" s="14" t="s">
        <v>2048</v>
      </c>
      <c r="T42" s="14" t="s">
        <v>2048</v>
      </c>
      <c r="U42" s="14" t="s">
        <v>2048</v>
      </c>
      <c r="V42" s="14" t="s">
        <v>2050</v>
      </c>
      <c r="W42" s="14" t="s">
        <v>2048</v>
      </c>
      <c r="X42" s="14" t="s">
        <v>2048</v>
      </c>
      <c r="Y42" s="14" t="s">
        <v>2048</v>
      </c>
      <c r="Z42" s="14" t="s">
        <v>2048</v>
      </c>
      <c r="AA42" s="14" t="s">
        <v>2048</v>
      </c>
      <c r="AB42" s="14" t="s">
        <v>140</v>
      </c>
      <c r="AC42" s="14" t="s">
        <v>151</v>
      </c>
      <c r="AD42" s="14" t="s">
        <v>77</v>
      </c>
      <c r="AE42" s="14" t="s">
        <v>2054</v>
      </c>
      <c r="AF42" s="14" t="s">
        <v>2055</v>
      </c>
      <c r="AG42" s="14" t="s">
        <v>2055</v>
      </c>
      <c r="AH42" s="14" t="s">
        <v>2055</v>
      </c>
      <c r="AI42" s="14" t="s">
        <v>2057</v>
      </c>
      <c r="AJ42" s="14" t="s">
        <v>87</v>
      </c>
      <c r="AK42" s="14" t="s">
        <v>2048</v>
      </c>
      <c r="AL42" s="14" t="s">
        <v>2048</v>
      </c>
      <c r="AM42" s="14" t="s">
        <v>2048</v>
      </c>
      <c r="AN42" s="14" t="s">
        <v>2318</v>
      </c>
      <c r="AO42" s="17" t="s">
        <v>89</v>
      </c>
      <c r="AP42" s="14" t="s">
        <v>2135</v>
      </c>
      <c r="AQ42" s="14" t="s">
        <v>2059</v>
      </c>
      <c r="AR42" s="14" t="s">
        <v>2348</v>
      </c>
      <c r="AS42" s="14" t="s">
        <v>2349</v>
      </c>
      <c r="AT42" s="14" t="s">
        <v>72</v>
      </c>
      <c r="AU42" s="14" t="s">
        <v>2350</v>
      </c>
      <c r="AV42" s="14" t="s">
        <v>2351</v>
      </c>
      <c r="AW42" s="14" t="s">
        <v>2048</v>
      </c>
      <c r="AX42" s="14" t="s">
        <v>2048</v>
      </c>
      <c r="AY42" s="14" t="s">
        <v>204</v>
      </c>
      <c r="AZ42" s="14" t="s">
        <v>232</v>
      </c>
      <c r="BA42" s="14" t="s">
        <v>2324</v>
      </c>
      <c r="BB42" s="14" t="s">
        <v>2048</v>
      </c>
      <c r="BC42" s="14" t="s">
        <v>2048</v>
      </c>
      <c r="BD42" s="14" t="s">
        <v>2325</v>
      </c>
      <c r="BE42" s="14" t="s">
        <v>2326</v>
      </c>
      <c r="BF42" s="14" t="s">
        <v>2325</v>
      </c>
      <c r="BG42" s="14" t="s">
        <v>2326</v>
      </c>
      <c r="BH42" s="14" t="s">
        <v>2327</v>
      </c>
      <c r="BI42" s="14" t="s">
        <v>2287</v>
      </c>
      <c r="BJ42" s="14" t="s">
        <v>2048</v>
      </c>
      <c r="BK42" s="14" t="s">
        <v>2048</v>
      </c>
      <c r="BL42" s="14" t="s">
        <v>2064</v>
      </c>
      <c r="BM42" s="14" t="s">
        <v>72</v>
      </c>
      <c r="BN42" s="14" t="s">
        <v>72</v>
      </c>
      <c r="BO42" s="14" t="s">
        <v>2352</v>
      </c>
      <c r="BP42" s="14" t="s">
        <v>2329</v>
      </c>
      <c r="BQ42" s="14" t="s">
        <v>2330</v>
      </c>
      <c r="BR42" s="14" t="s">
        <v>2331</v>
      </c>
      <c r="BS42" s="14" t="s">
        <v>2131</v>
      </c>
      <c r="BT42" s="14" t="s">
        <v>2048</v>
      </c>
      <c r="BU42" s="14" t="s">
        <v>2048</v>
      </c>
      <c r="BV42" s="14" t="s">
        <v>2048</v>
      </c>
      <c r="BW42" s="14" t="s">
        <v>2048</v>
      </c>
      <c r="BX42" s="14" t="s">
        <v>72</v>
      </c>
      <c r="BY42" s="14" t="s">
        <v>2048</v>
      </c>
      <c r="BZ42" s="14" t="s">
        <v>72</v>
      </c>
      <c r="CA42" s="14" t="s">
        <v>2048</v>
      </c>
      <c r="CB42" s="14" t="s">
        <v>2048</v>
      </c>
      <c r="CC42" s="14" t="s">
        <v>2048</v>
      </c>
      <c r="CD42" s="14" t="s">
        <v>2048</v>
      </c>
      <c r="CE42" s="14" t="s">
        <v>2048</v>
      </c>
      <c r="CF42" s="14" t="s">
        <v>2048</v>
      </c>
      <c r="CG42" s="14" t="s">
        <v>2068</v>
      </c>
      <c r="CH42" s="14" t="s">
        <v>2069</v>
      </c>
      <c r="CI42" s="14" t="s">
        <v>2048</v>
      </c>
      <c r="CJ42" s="17"/>
      <c r="CK42" s="17">
        <v>45637</v>
      </c>
      <c r="CL42" s="17">
        <v>45637</v>
      </c>
      <c r="CM42" s="17">
        <v>2958465</v>
      </c>
      <c r="CN42" s="17"/>
      <c r="CO42" s="19">
        <v>0</v>
      </c>
      <c r="CP42" s="19">
        <v>0</v>
      </c>
      <c r="CQ42" s="19">
        <v>0</v>
      </c>
      <c r="CR42" s="19">
        <v>0</v>
      </c>
      <c r="CS42" s="19">
        <v>0</v>
      </c>
      <c r="CT42" s="19">
        <v>0</v>
      </c>
      <c r="CU42" s="19">
        <v>0</v>
      </c>
      <c r="CV42" s="17"/>
      <c r="CW42" s="19">
        <v>0</v>
      </c>
      <c r="CX42" s="17"/>
      <c r="CY42" s="17"/>
      <c r="CZ42" s="19">
        <v>0</v>
      </c>
      <c r="DA42" s="17"/>
      <c r="DB42" s="17"/>
      <c r="DC42" s="19">
        <v>100</v>
      </c>
      <c r="DD42" s="17"/>
      <c r="DE42" s="17">
        <v>2958465</v>
      </c>
      <c r="DF42" s="17"/>
      <c r="DG42" s="17"/>
      <c r="DH42" s="19">
        <v>0</v>
      </c>
      <c r="DI42" s="19">
        <v>0</v>
      </c>
    </row>
    <row r="43" spans="1:113" x14ac:dyDescent="0.2">
      <c r="A43" s="14" t="s">
        <v>2315</v>
      </c>
      <c r="B43" s="16" t="s">
        <v>1785</v>
      </c>
      <c r="C43" s="14" t="s">
        <v>158</v>
      </c>
      <c r="D43" s="14" t="s">
        <v>159</v>
      </c>
      <c r="E43" s="14" t="s">
        <v>158</v>
      </c>
      <c r="F43" s="14" t="s">
        <v>2044</v>
      </c>
      <c r="G43" s="14" t="s">
        <v>2045</v>
      </c>
      <c r="H43" s="14" t="s">
        <v>204</v>
      </c>
      <c r="I43" s="14" t="s">
        <v>205</v>
      </c>
      <c r="J43" s="16">
        <f>COUNTIF($I$3:I43, I43)</f>
        <v>4</v>
      </c>
      <c r="K43" s="14" t="s">
        <v>2048</v>
      </c>
      <c r="L43" s="14" t="s">
        <v>2048</v>
      </c>
      <c r="M43" s="14" t="s">
        <v>2048</v>
      </c>
      <c r="N43" s="14" t="s">
        <v>2048</v>
      </c>
      <c r="O43" s="14" t="s">
        <v>2353</v>
      </c>
      <c r="P43" s="14" t="s">
        <v>2354</v>
      </c>
      <c r="Q43" s="14" t="s">
        <v>72</v>
      </c>
      <c r="R43" s="14" t="s">
        <v>2048</v>
      </c>
      <c r="S43" s="14" t="s">
        <v>2048</v>
      </c>
      <c r="T43" s="14" t="s">
        <v>2048</v>
      </c>
      <c r="U43" s="14" t="s">
        <v>2048</v>
      </c>
      <c r="V43" s="14" t="s">
        <v>2050</v>
      </c>
      <c r="W43" s="14" t="s">
        <v>2048</v>
      </c>
      <c r="X43" s="14" t="s">
        <v>2048</v>
      </c>
      <c r="Y43" s="14" t="s">
        <v>2048</v>
      </c>
      <c r="Z43" s="14" t="s">
        <v>2048</v>
      </c>
      <c r="AA43" s="14" t="s">
        <v>2048</v>
      </c>
      <c r="AB43" s="14" t="s">
        <v>140</v>
      </c>
      <c r="AC43" s="14" t="s">
        <v>151</v>
      </c>
      <c r="AD43" s="14" t="s">
        <v>77</v>
      </c>
      <c r="AE43" s="14" t="s">
        <v>2054</v>
      </c>
      <c r="AF43" s="14" t="s">
        <v>2055</v>
      </c>
      <c r="AG43" s="14" t="s">
        <v>2055</v>
      </c>
      <c r="AH43" s="14" t="s">
        <v>2055</v>
      </c>
      <c r="AI43" s="14" t="s">
        <v>2057</v>
      </c>
      <c r="AJ43" s="14" t="s">
        <v>87</v>
      </c>
      <c r="AK43" s="14" t="s">
        <v>2048</v>
      </c>
      <c r="AL43" s="14" t="s">
        <v>2048</v>
      </c>
      <c r="AM43" s="14" t="s">
        <v>2048</v>
      </c>
      <c r="AN43" s="14" t="s">
        <v>2318</v>
      </c>
      <c r="AO43" s="17" t="s">
        <v>89</v>
      </c>
      <c r="AP43" s="14" t="s">
        <v>2135</v>
      </c>
      <c r="AQ43" s="14" t="s">
        <v>2059</v>
      </c>
      <c r="AR43" s="14" t="s">
        <v>2060</v>
      </c>
      <c r="AS43" s="14" t="s">
        <v>2048</v>
      </c>
      <c r="AT43" s="14" t="s">
        <v>2048</v>
      </c>
      <c r="AU43" s="14" t="s">
        <v>2350</v>
      </c>
      <c r="AV43" s="14" t="s">
        <v>2351</v>
      </c>
      <c r="AW43" s="14" t="s">
        <v>2048</v>
      </c>
      <c r="AX43" s="14" t="s">
        <v>2048</v>
      </c>
      <c r="AY43" s="14" t="s">
        <v>204</v>
      </c>
      <c r="AZ43" s="14" t="s">
        <v>232</v>
      </c>
      <c r="BA43" s="14" t="s">
        <v>2324</v>
      </c>
      <c r="BB43" s="14" t="s">
        <v>2048</v>
      </c>
      <c r="BC43" s="14" t="s">
        <v>2048</v>
      </c>
      <c r="BD43" s="14" t="s">
        <v>2325</v>
      </c>
      <c r="BE43" s="14" t="s">
        <v>2326</v>
      </c>
      <c r="BF43" s="14" t="s">
        <v>2325</v>
      </c>
      <c r="BG43" s="14" t="s">
        <v>2326</v>
      </c>
      <c r="BH43" s="14" t="s">
        <v>2327</v>
      </c>
      <c r="BI43" s="14" t="s">
        <v>2287</v>
      </c>
      <c r="BJ43" s="14" t="s">
        <v>2048</v>
      </c>
      <c r="BK43" s="14" t="s">
        <v>2048</v>
      </c>
      <c r="BL43" s="14" t="s">
        <v>2064</v>
      </c>
      <c r="BM43" s="14" t="s">
        <v>72</v>
      </c>
      <c r="BN43" s="14" t="s">
        <v>72</v>
      </c>
      <c r="BO43" s="14" t="s">
        <v>2355</v>
      </c>
      <c r="BP43" s="14" t="s">
        <v>2048</v>
      </c>
      <c r="BQ43" s="14" t="s">
        <v>2048</v>
      </c>
      <c r="BR43" s="14" t="s">
        <v>2331</v>
      </c>
      <c r="BS43" s="14" t="s">
        <v>2131</v>
      </c>
      <c r="BT43" s="14" t="s">
        <v>2048</v>
      </c>
      <c r="BU43" s="14" t="s">
        <v>2048</v>
      </c>
      <c r="BV43" s="14" t="s">
        <v>2048</v>
      </c>
      <c r="BW43" s="14" t="s">
        <v>2048</v>
      </c>
      <c r="BX43" s="14" t="s">
        <v>72</v>
      </c>
      <c r="BY43" s="14" t="s">
        <v>2048</v>
      </c>
      <c r="BZ43" s="14" t="s">
        <v>2048</v>
      </c>
      <c r="CA43" s="14" t="s">
        <v>2048</v>
      </c>
      <c r="CB43" s="14" t="s">
        <v>2048</v>
      </c>
      <c r="CC43" s="14" t="s">
        <v>2048</v>
      </c>
      <c r="CD43" s="14" t="s">
        <v>2048</v>
      </c>
      <c r="CE43" s="14" t="s">
        <v>2048</v>
      </c>
      <c r="CF43" s="14" t="s">
        <v>2048</v>
      </c>
      <c r="CG43" s="14" t="s">
        <v>2068</v>
      </c>
      <c r="CH43" s="14" t="s">
        <v>2069</v>
      </c>
      <c r="CI43" s="14" t="s">
        <v>2048</v>
      </c>
      <c r="CJ43" s="17"/>
      <c r="CK43" s="17">
        <v>45637</v>
      </c>
      <c r="CL43" s="17">
        <v>45637</v>
      </c>
      <c r="CM43" s="17">
        <v>2958465</v>
      </c>
      <c r="CN43" s="17"/>
      <c r="CO43" s="19">
        <v>0</v>
      </c>
      <c r="CP43" s="19">
        <v>0</v>
      </c>
      <c r="CQ43" s="19">
        <v>0</v>
      </c>
      <c r="CR43" s="19">
        <v>0</v>
      </c>
      <c r="CS43" s="19">
        <v>0</v>
      </c>
      <c r="CT43" s="19">
        <v>0</v>
      </c>
      <c r="CU43" s="19">
        <v>0</v>
      </c>
      <c r="CV43" s="17"/>
      <c r="CW43" s="19">
        <v>0</v>
      </c>
      <c r="CX43" s="17"/>
      <c r="CY43" s="17"/>
      <c r="CZ43" s="19">
        <v>0</v>
      </c>
      <c r="DA43" s="17"/>
      <c r="DB43" s="17"/>
      <c r="DC43" s="19">
        <v>100</v>
      </c>
      <c r="DD43" s="17"/>
      <c r="DE43" s="17">
        <v>2958465</v>
      </c>
      <c r="DF43" s="17"/>
      <c r="DG43" s="17"/>
      <c r="DH43" s="19">
        <v>0</v>
      </c>
      <c r="DI43" s="19">
        <v>0</v>
      </c>
    </row>
    <row r="44" spans="1:113" x14ac:dyDescent="0.2">
      <c r="A44" s="14" t="s">
        <v>2315</v>
      </c>
      <c r="B44" s="16" t="s">
        <v>1809</v>
      </c>
      <c r="C44" s="14" t="s">
        <v>158</v>
      </c>
      <c r="D44" s="14" t="s">
        <v>159</v>
      </c>
      <c r="E44" s="14" t="s">
        <v>158</v>
      </c>
      <c r="F44" s="14" t="s">
        <v>2044</v>
      </c>
      <c r="G44" s="14" t="s">
        <v>2045</v>
      </c>
      <c r="H44" s="14" t="s">
        <v>204</v>
      </c>
      <c r="I44" s="14" t="s">
        <v>205</v>
      </c>
      <c r="J44" s="16">
        <f>COUNTIF($I$3:I44, I44)</f>
        <v>5</v>
      </c>
      <c r="K44" s="14" t="s">
        <v>2048</v>
      </c>
      <c r="L44" s="14" t="s">
        <v>2048</v>
      </c>
      <c r="M44" s="14" t="s">
        <v>2048</v>
      </c>
      <c r="N44" s="14" t="s">
        <v>2048</v>
      </c>
      <c r="O44" s="14" t="s">
        <v>2356</v>
      </c>
      <c r="P44" s="14" t="s">
        <v>2357</v>
      </c>
      <c r="Q44" s="14" t="s">
        <v>72</v>
      </c>
      <c r="R44" s="14" t="s">
        <v>2048</v>
      </c>
      <c r="S44" s="14" t="s">
        <v>2048</v>
      </c>
      <c r="T44" s="14" t="s">
        <v>2048</v>
      </c>
      <c r="U44" s="14" t="s">
        <v>2048</v>
      </c>
      <c r="V44" s="14" t="s">
        <v>2050</v>
      </c>
      <c r="W44" s="14" t="s">
        <v>2048</v>
      </c>
      <c r="X44" s="14" t="s">
        <v>2048</v>
      </c>
      <c r="Y44" s="14" t="s">
        <v>2048</v>
      </c>
      <c r="Z44" s="14" t="s">
        <v>2048</v>
      </c>
      <c r="AA44" s="14" t="s">
        <v>2048</v>
      </c>
      <c r="AB44" s="14" t="s">
        <v>140</v>
      </c>
      <c r="AC44" s="14" t="s">
        <v>151</v>
      </c>
      <c r="AD44" s="14" t="s">
        <v>77</v>
      </c>
      <c r="AE44" s="14" t="s">
        <v>2054</v>
      </c>
      <c r="AF44" s="14" t="s">
        <v>2055</v>
      </c>
      <c r="AG44" s="14" t="s">
        <v>2055</v>
      </c>
      <c r="AH44" s="14" t="s">
        <v>2055</v>
      </c>
      <c r="AI44" s="14" t="s">
        <v>2057</v>
      </c>
      <c r="AJ44" s="14" t="s">
        <v>87</v>
      </c>
      <c r="AK44" s="14" t="s">
        <v>2048</v>
      </c>
      <c r="AL44" s="14" t="s">
        <v>2048</v>
      </c>
      <c r="AM44" s="14" t="s">
        <v>2048</v>
      </c>
      <c r="AN44" s="14" t="s">
        <v>2358</v>
      </c>
      <c r="AO44" s="17" t="s">
        <v>89</v>
      </c>
      <c r="AP44" s="14" t="s">
        <v>2135</v>
      </c>
      <c r="AQ44" s="14" t="s">
        <v>2059</v>
      </c>
      <c r="AR44" s="14" t="s">
        <v>2359</v>
      </c>
      <c r="AS44" s="14" t="s">
        <v>2360</v>
      </c>
      <c r="AT44" s="14" t="s">
        <v>72</v>
      </c>
      <c r="AU44" s="14" t="s">
        <v>2337</v>
      </c>
      <c r="AV44" s="14" t="s">
        <v>2338</v>
      </c>
      <c r="AW44" s="14" t="s">
        <v>2048</v>
      </c>
      <c r="AX44" s="14" t="s">
        <v>2048</v>
      </c>
      <c r="AY44" s="14" t="s">
        <v>204</v>
      </c>
      <c r="AZ44" s="14" t="s">
        <v>1628</v>
      </c>
      <c r="BA44" s="14" t="s">
        <v>2361</v>
      </c>
      <c r="BB44" s="14" t="s">
        <v>2048</v>
      </c>
      <c r="BC44" s="14" t="s">
        <v>2048</v>
      </c>
      <c r="BD44" s="14" t="s">
        <v>2325</v>
      </c>
      <c r="BE44" s="14" t="s">
        <v>2326</v>
      </c>
      <c r="BF44" s="14" t="s">
        <v>2340</v>
      </c>
      <c r="BG44" s="14" t="s">
        <v>2341</v>
      </c>
      <c r="BH44" s="14" t="s">
        <v>2362</v>
      </c>
      <c r="BI44" s="14" t="s">
        <v>2287</v>
      </c>
      <c r="BJ44" s="14" t="s">
        <v>2048</v>
      </c>
      <c r="BK44" s="14" t="s">
        <v>2048</v>
      </c>
      <c r="BL44" s="14" t="s">
        <v>2064</v>
      </c>
      <c r="BM44" s="14" t="s">
        <v>72</v>
      </c>
      <c r="BN44" s="14" t="s">
        <v>72</v>
      </c>
      <c r="BO44" s="14" t="s">
        <v>2363</v>
      </c>
      <c r="BP44" s="14" t="s">
        <v>2364</v>
      </c>
      <c r="BQ44" s="14" t="s">
        <v>2365</v>
      </c>
      <c r="BR44" s="14" t="s">
        <v>2331</v>
      </c>
      <c r="BS44" s="14" t="s">
        <v>2131</v>
      </c>
      <c r="BT44" s="14" t="s">
        <v>2048</v>
      </c>
      <c r="BU44" s="14" t="s">
        <v>2048</v>
      </c>
      <c r="BV44" s="14" t="s">
        <v>2048</v>
      </c>
      <c r="BW44" s="14" t="s">
        <v>2048</v>
      </c>
      <c r="BX44" s="14" t="s">
        <v>72</v>
      </c>
      <c r="BY44" s="14" t="s">
        <v>2048</v>
      </c>
      <c r="BZ44" s="14" t="s">
        <v>2048</v>
      </c>
      <c r="CA44" s="14" t="s">
        <v>2048</v>
      </c>
      <c r="CB44" s="14" t="s">
        <v>2048</v>
      </c>
      <c r="CC44" s="14" t="s">
        <v>2048</v>
      </c>
      <c r="CD44" s="14" t="s">
        <v>2048</v>
      </c>
      <c r="CE44" s="14" t="s">
        <v>2048</v>
      </c>
      <c r="CF44" s="14" t="s">
        <v>2048</v>
      </c>
      <c r="CG44" s="14" t="s">
        <v>2068</v>
      </c>
      <c r="CH44" s="14" t="s">
        <v>2069</v>
      </c>
      <c r="CI44" s="14" t="s">
        <v>2048</v>
      </c>
      <c r="CJ44" s="17"/>
      <c r="CK44" s="17">
        <v>45637</v>
      </c>
      <c r="CL44" s="17">
        <v>45637</v>
      </c>
      <c r="CM44" s="17">
        <v>2958465</v>
      </c>
      <c r="CN44" s="17"/>
      <c r="CO44" s="19">
        <v>0</v>
      </c>
      <c r="CP44" s="19">
        <v>0</v>
      </c>
      <c r="CQ44" s="19">
        <v>0</v>
      </c>
      <c r="CR44" s="19">
        <v>0</v>
      </c>
      <c r="CS44" s="19">
        <v>0</v>
      </c>
      <c r="CT44" s="19">
        <v>0</v>
      </c>
      <c r="CU44" s="19">
        <v>0</v>
      </c>
      <c r="CV44" s="17"/>
      <c r="CW44" s="19">
        <v>0</v>
      </c>
      <c r="CX44" s="17"/>
      <c r="CY44" s="17"/>
      <c r="CZ44" s="19">
        <v>0</v>
      </c>
      <c r="DA44" s="17"/>
      <c r="DB44" s="17"/>
      <c r="DC44" s="19">
        <v>100</v>
      </c>
      <c r="DD44" s="17"/>
      <c r="DE44" s="17">
        <v>2958465</v>
      </c>
      <c r="DF44" s="17"/>
      <c r="DG44" s="17"/>
      <c r="DH44" s="19">
        <v>0</v>
      </c>
      <c r="DI44" s="19">
        <v>0</v>
      </c>
    </row>
    <row r="45" spans="1:113" x14ac:dyDescent="0.2">
      <c r="A45" s="14" t="s">
        <v>2315</v>
      </c>
      <c r="B45" s="16" t="s">
        <v>1801</v>
      </c>
      <c r="C45" s="14" t="s">
        <v>158</v>
      </c>
      <c r="D45" s="14" t="s">
        <v>159</v>
      </c>
      <c r="E45" s="14" t="s">
        <v>158</v>
      </c>
      <c r="F45" s="14" t="s">
        <v>2044</v>
      </c>
      <c r="G45" s="14" t="s">
        <v>2045</v>
      </c>
      <c r="H45" s="14" t="s">
        <v>204</v>
      </c>
      <c r="I45" s="14" t="s">
        <v>205</v>
      </c>
      <c r="J45" s="16">
        <f>COUNTIF($I$3:I45, I45)</f>
        <v>6</v>
      </c>
      <c r="K45" s="14" t="s">
        <v>2048</v>
      </c>
      <c r="L45" s="14" t="s">
        <v>2048</v>
      </c>
      <c r="M45" s="14" t="s">
        <v>2048</v>
      </c>
      <c r="N45" s="14" t="s">
        <v>2048</v>
      </c>
      <c r="O45" s="14" t="s">
        <v>2366</v>
      </c>
      <c r="P45" s="14" t="s">
        <v>2367</v>
      </c>
      <c r="Q45" s="14" t="s">
        <v>72</v>
      </c>
      <c r="R45" s="14" t="s">
        <v>2048</v>
      </c>
      <c r="S45" s="14" t="s">
        <v>2048</v>
      </c>
      <c r="T45" s="14" t="s">
        <v>2048</v>
      </c>
      <c r="U45" s="14" t="s">
        <v>2048</v>
      </c>
      <c r="V45" s="14" t="s">
        <v>2050</v>
      </c>
      <c r="W45" s="14" t="s">
        <v>2048</v>
      </c>
      <c r="X45" s="14" t="s">
        <v>2048</v>
      </c>
      <c r="Y45" s="14" t="s">
        <v>2048</v>
      </c>
      <c r="Z45" s="14" t="s">
        <v>2048</v>
      </c>
      <c r="AA45" s="14" t="s">
        <v>2048</v>
      </c>
      <c r="AB45" s="14" t="s">
        <v>140</v>
      </c>
      <c r="AC45" s="14" t="s">
        <v>151</v>
      </c>
      <c r="AD45" s="14" t="s">
        <v>77</v>
      </c>
      <c r="AE45" s="14" t="s">
        <v>2054</v>
      </c>
      <c r="AF45" s="14" t="s">
        <v>2055</v>
      </c>
      <c r="AG45" s="14" t="s">
        <v>2055</v>
      </c>
      <c r="AH45" s="14" t="s">
        <v>2055</v>
      </c>
      <c r="AI45" s="14" t="s">
        <v>2057</v>
      </c>
      <c r="AJ45" s="14" t="s">
        <v>87</v>
      </c>
      <c r="AK45" s="14" t="s">
        <v>2048</v>
      </c>
      <c r="AL45" s="14" t="s">
        <v>2048</v>
      </c>
      <c r="AM45" s="14" t="s">
        <v>2048</v>
      </c>
      <c r="AN45" s="14" t="s">
        <v>2318</v>
      </c>
      <c r="AO45" s="17" t="s">
        <v>89</v>
      </c>
      <c r="AP45" s="14" t="s">
        <v>2135</v>
      </c>
      <c r="AQ45" s="14" t="s">
        <v>2059</v>
      </c>
      <c r="AR45" s="14" t="s">
        <v>2368</v>
      </c>
      <c r="AS45" s="14" t="s">
        <v>2369</v>
      </c>
      <c r="AT45" s="14" t="s">
        <v>72</v>
      </c>
      <c r="AU45" s="14" t="s">
        <v>2350</v>
      </c>
      <c r="AV45" s="14" t="s">
        <v>2351</v>
      </c>
      <c r="AW45" s="14" t="s">
        <v>2048</v>
      </c>
      <c r="AX45" s="14" t="s">
        <v>2048</v>
      </c>
      <c r="AY45" s="14" t="s">
        <v>204</v>
      </c>
      <c r="AZ45" s="14" t="s">
        <v>2323</v>
      </c>
      <c r="BA45" s="14" t="s">
        <v>2324</v>
      </c>
      <c r="BB45" s="14" t="s">
        <v>2048</v>
      </c>
      <c r="BC45" s="14" t="s">
        <v>2048</v>
      </c>
      <c r="BD45" s="14" t="s">
        <v>2325</v>
      </c>
      <c r="BE45" s="14" t="s">
        <v>2326</v>
      </c>
      <c r="BF45" s="14" t="s">
        <v>2325</v>
      </c>
      <c r="BG45" s="14" t="s">
        <v>2326</v>
      </c>
      <c r="BH45" s="14" t="s">
        <v>2327</v>
      </c>
      <c r="BI45" s="14" t="s">
        <v>2287</v>
      </c>
      <c r="BJ45" s="14" t="s">
        <v>2048</v>
      </c>
      <c r="BK45" s="14" t="s">
        <v>2048</v>
      </c>
      <c r="BL45" s="14" t="s">
        <v>2064</v>
      </c>
      <c r="BM45" s="14" t="s">
        <v>72</v>
      </c>
      <c r="BN45" s="14" t="s">
        <v>72</v>
      </c>
      <c r="BO45" s="14" t="s">
        <v>2370</v>
      </c>
      <c r="BP45" s="14" t="s">
        <v>2329</v>
      </c>
      <c r="BQ45" s="14" t="s">
        <v>2330</v>
      </c>
      <c r="BR45" s="14" t="s">
        <v>2331</v>
      </c>
      <c r="BS45" s="14" t="s">
        <v>2131</v>
      </c>
      <c r="BT45" s="14" t="s">
        <v>2048</v>
      </c>
      <c r="BU45" s="14" t="s">
        <v>2048</v>
      </c>
      <c r="BV45" s="14" t="s">
        <v>2048</v>
      </c>
      <c r="BW45" s="14" t="s">
        <v>2048</v>
      </c>
      <c r="BX45" s="14" t="s">
        <v>72</v>
      </c>
      <c r="BY45" s="14" t="s">
        <v>2048</v>
      </c>
      <c r="BZ45" s="14" t="s">
        <v>2048</v>
      </c>
      <c r="CA45" s="14" t="s">
        <v>2048</v>
      </c>
      <c r="CB45" s="14" t="s">
        <v>2048</v>
      </c>
      <c r="CC45" s="14" t="s">
        <v>2048</v>
      </c>
      <c r="CD45" s="14" t="s">
        <v>2048</v>
      </c>
      <c r="CE45" s="14" t="s">
        <v>2048</v>
      </c>
      <c r="CF45" s="14" t="s">
        <v>2048</v>
      </c>
      <c r="CG45" s="14" t="s">
        <v>2068</v>
      </c>
      <c r="CH45" s="14" t="s">
        <v>2069</v>
      </c>
      <c r="CI45" s="14" t="s">
        <v>2048</v>
      </c>
      <c r="CJ45" s="17"/>
      <c r="CK45" s="17">
        <v>45637</v>
      </c>
      <c r="CL45" s="17">
        <v>45637</v>
      </c>
      <c r="CM45" s="17">
        <v>2958465</v>
      </c>
      <c r="CN45" s="17"/>
      <c r="CO45" s="19">
        <v>0</v>
      </c>
      <c r="CP45" s="19">
        <v>0</v>
      </c>
      <c r="CQ45" s="19">
        <v>0</v>
      </c>
      <c r="CR45" s="19">
        <v>0</v>
      </c>
      <c r="CS45" s="19">
        <v>0</v>
      </c>
      <c r="CT45" s="19">
        <v>0</v>
      </c>
      <c r="CU45" s="19">
        <v>0</v>
      </c>
      <c r="CV45" s="17"/>
      <c r="CW45" s="19">
        <v>0</v>
      </c>
      <c r="CX45" s="17"/>
      <c r="CY45" s="17"/>
      <c r="CZ45" s="19">
        <v>0</v>
      </c>
      <c r="DA45" s="17"/>
      <c r="DB45" s="17"/>
      <c r="DC45" s="19">
        <v>100</v>
      </c>
      <c r="DD45" s="17"/>
      <c r="DE45" s="17">
        <v>2958465</v>
      </c>
      <c r="DF45" s="17"/>
      <c r="DG45" s="17"/>
      <c r="DH45" s="19">
        <v>0</v>
      </c>
      <c r="DI45" s="19">
        <v>0</v>
      </c>
    </row>
    <row r="46" spans="1:113" x14ac:dyDescent="0.2">
      <c r="A46" s="14" t="s">
        <v>2315</v>
      </c>
      <c r="B46" s="16" t="s">
        <v>1771</v>
      </c>
      <c r="C46" s="14" t="s">
        <v>158</v>
      </c>
      <c r="D46" s="14" t="s">
        <v>159</v>
      </c>
      <c r="E46" s="14" t="s">
        <v>158</v>
      </c>
      <c r="F46" s="14" t="s">
        <v>2044</v>
      </c>
      <c r="G46" s="14" t="s">
        <v>2045</v>
      </c>
      <c r="H46" s="14" t="s">
        <v>204</v>
      </c>
      <c r="I46" s="14" t="s">
        <v>205</v>
      </c>
      <c r="J46" s="16">
        <f>COUNTIF($I$3:I46, I46)</f>
        <v>7</v>
      </c>
      <c r="K46" s="14" t="s">
        <v>2048</v>
      </c>
      <c r="L46" s="14" t="s">
        <v>2048</v>
      </c>
      <c r="M46" s="14" t="s">
        <v>2048</v>
      </c>
      <c r="N46" s="14" t="s">
        <v>2048</v>
      </c>
      <c r="O46" s="14" t="s">
        <v>2371</v>
      </c>
      <c r="P46" s="14" t="s">
        <v>2372</v>
      </c>
      <c r="Q46" s="14" t="s">
        <v>72</v>
      </c>
      <c r="R46" s="14" t="s">
        <v>2048</v>
      </c>
      <c r="S46" s="14" t="s">
        <v>2048</v>
      </c>
      <c r="T46" s="14" t="s">
        <v>2048</v>
      </c>
      <c r="U46" s="14" t="s">
        <v>2048</v>
      </c>
      <c r="V46" s="14" t="s">
        <v>2050</v>
      </c>
      <c r="W46" s="14" t="s">
        <v>2048</v>
      </c>
      <c r="X46" s="14" t="s">
        <v>2048</v>
      </c>
      <c r="Y46" s="14" t="s">
        <v>2048</v>
      </c>
      <c r="Z46" s="14" t="s">
        <v>2048</v>
      </c>
      <c r="AA46" s="14" t="s">
        <v>2048</v>
      </c>
      <c r="AB46" s="14" t="s">
        <v>140</v>
      </c>
      <c r="AC46" s="14" t="s">
        <v>151</v>
      </c>
      <c r="AD46" s="14" t="s">
        <v>77</v>
      </c>
      <c r="AE46" s="14" t="s">
        <v>2054</v>
      </c>
      <c r="AF46" s="14" t="s">
        <v>2373</v>
      </c>
      <c r="AG46" s="14" t="s">
        <v>2055</v>
      </c>
      <c r="AH46" s="14" t="s">
        <v>2055</v>
      </c>
      <c r="AI46" s="14" t="s">
        <v>2057</v>
      </c>
      <c r="AJ46" s="14" t="s">
        <v>87</v>
      </c>
      <c r="AK46" s="14" t="s">
        <v>2048</v>
      </c>
      <c r="AL46" s="14" t="s">
        <v>2048</v>
      </c>
      <c r="AM46" s="14" t="s">
        <v>2048</v>
      </c>
      <c r="AN46" s="14" t="s">
        <v>2374</v>
      </c>
      <c r="AO46" s="17" t="s">
        <v>89</v>
      </c>
      <c r="AP46" s="14" t="s">
        <v>2135</v>
      </c>
      <c r="AQ46" s="14" t="s">
        <v>2375</v>
      </c>
      <c r="AR46" s="14" t="s">
        <v>2060</v>
      </c>
      <c r="AS46" s="14" t="s">
        <v>2048</v>
      </c>
      <c r="AT46" s="14" t="s">
        <v>72</v>
      </c>
      <c r="AU46" s="14" t="s">
        <v>2376</v>
      </c>
      <c r="AV46" s="14" t="s">
        <v>2377</v>
      </c>
      <c r="AW46" s="14" t="s">
        <v>2048</v>
      </c>
      <c r="AX46" s="14" t="s">
        <v>2048</v>
      </c>
      <c r="AY46" s="14" t="s">
        <v>204</v>
      </c>
      <c r="AZ46" s="14" t="s">
        <v>230</v>
      </c>
      <c r="BA46" s="14" t="s">
        <v>2378</v>
      </c>
      <c r="BB46" s="14" t="s">
        <v>2048</v>
      </c>
      <c r="BC46" s="14" t="s">
        <v>2048</v>
      </c>
      <c r="BD46" s="14" t="s">
        <v>2379</v>
      </c>
      <c r="BE46" s="14" t="s">
        <v>2380</v>
      </c>
      <c r="BF46" s="14" t="s">
        <v>2048</v>
      </c>
      <c r="BG46" s="14" t="s">
        <v>2048</v>
      </c>
      <c r="BH46" s="14" t="s">
        <v>2381</v>
      </c>
      <c r="BI46" s="14" t="s">
        <v>2382</v>
      </c>
      <c r="BJ46" s="14" t="s">
        <v>2048</v>
      </c>
      <c r="BK46" s="14" t="s">
        <v>2048</v>
      </c>
      <c r="BL46" s="14" t="s">
        <v>2064</v>
      </c>
      <c r="BM46" s="14" t="s">
        <v>72</v>
      </c>
      <c r="BN46" s="14" t="s">
        <v>72</v>
      </c>
      <c r="BO46" s="14" t="s">
        <v>2383</v>
      </c>
      <c r="BP46" s="14" t="s">
        <v>2048</v>
      </c>
      <c r="BQ46" s="14" t="s">
        <v>2048</v>
      </c>
      <c r="BR46" s="14" t="s">
        <v>2331</v>
      </c>
      <c r="BS46" s="14" t="s">
        <v>2131</v>
      </c>
      <c r="BT46" s="14" t="s">
        <v>2048</v>
      </c>
      <c r="BU46" s="14" t="s">
        <v>2048</v>
      </c>
      <c r="BV46" s="14" t="s">
        <v>2048</v>
      </c>
      <c r="BW46" s="14" t="s">
        <v>2048</v>
      </c>
      <c r="BX46" s="14" t="s">
        <v>72</v>
      </c>
      <c r="BY46" s="14" t="s">
        <v>2048</v>
      </c>
      <c r="BZ46" s="14" t="s">
        <v>2048</v>
      </c>
      <c r="CA46" s="14" t="s">
        <v>2048</v>
      </c>
      <c r="CB46" s="14" t="s">
        <v>2048</v>
      </c>
      <c r="CC46" s="14" t="s">
        <v>2048</v>
      </c>
      <c r="CD46" s="14" t="s">
        <v>2048</v>
      </c>
      <c r="CE46" s="14" t="s">
        <v>2048</v>
      </c>
      <c r="CF46" s="14" t="s">
        <v>2048</v>
      </c>
      <c r="CG46" s="14" t="s">
        <v>2068</v>
      </c>
      <c r="CH46" s="14" t="s">
        <v>2069</v>
      </c>
      <c r="CI46" s="14" t="s">
        <v>2048</v>
      </c>
      <c r="CJ46" s="17"/>
      <c r="CK46" s="17">
        <v>45637</v>
      </c>
      <c r="CL46" s="17">
        <v>45637</v>
      </c>
      <c r="CM46" s="17">
        <v>2958465</v>
      </c>
      <c r="CN46" s="17"/>
      <c r="CO46" s="19">
        <v>0</v>
      </c>
      <c r="CP46" s="19">
        <v>0</v>
      </c>
      <c r="CQ46" s="19">
        <v>0</v>
      </c>
      <c r="CR46" s="19">
        <v>0</v>
      </c>
      <c r="CS46" s="19">
        <v>0</v>
      </c>
      <c r="CT46" s="19">
        <v>0</v>
      </c>
      <c r="CU46" s="19">
        <v>0</v>
      </c>
      <c r="CV46" s="17"/>
      <c r="CW46" s="19">
        <v>0</v>
      </c>
      <c r="CX46" s="17"/>
      <c r="CY46" s="17"/>
      <c r="CZ46" s="19">
        <v>0</v>
      </c>
      <c r="DA46" s="17"/>
      <c r="DB46" s="17"/>
      <c r="DC46" s="19">
        <v>100</v>
      </c>
      <c r="DD46" s="17"/>
      <c r="DE46" s="17">
        <v>2958465</v>
      </c>
      <c r="DF46" s="17"/>
      <c r="DG46" s="17"/>
      <c r="DH46" s="19">
        <v>0</v>
      </c>
      <c r="DI46" s="19">
        <v>0</v>
      </c>
    </row>
    <row r="47" spans="1:113" x14ac:dyDescent="0.2">
      <c r="A47" s="14" t="s">
        <v>2315</v>
      </c>
      <c r="B47" s="16" t="s">
        <v>1833</v>
      </c>
      <c r="C47" s="14" t="s">
        <v>158</v>
      </c>
      <c r="D47" s="14" t="s">
        <v>159</v>
      </c>
      <c r="E47" s="14" t="s">
        <v>158</v>
      </c>
      <c r="F47" s="14" t="s">
        <v>2044</v>
      </c>
      <c r="G47" s="14" t="s">
        <v>2045</v>
      </c>
      <c r="H47" s="14" t="s">
        <v>204</v>
      </c>
      <c r="I47" s="14" t="s">
        <v>205</v>
      </c>
      <c r="J47" s="16">
        <f>COUNTIF($I$3:I47, I47)</f>
        <v>8</v>
      </c>
      <c r="K47" s="14" t="s">
        <v>2048</v>
      </c>
      <c r="L47" s="14" t="s">
        <v>2048</v>
      </c>
      <c r="M47" s="14" t="s">
        <v>2048</v>
      </c>
      <c r="N47" s="14" t="s">
        <v>2048</v>
      </c>
      <c r="O47" s="14" t="s">
        <v>2384</v>
      </c>
      <c r="P47" s="14" t="s">
        <v>2385</v>
      </c>
      <c r="Q47" s="14" t="s">
        <v>72</v>
      </c>
      <c r="R47" s="14" t="s">
        <v>2048</v>
      </c>
      <c r="S47" s="14" t="s">
        <v>2048</v>
      </c>
      <c r="T47" s="14" t="s">
        <v>2048</v>
      </c>
      <c r="U47" s="14" t="s">
        <v>2048</v>
      </c>
      <c r="V47" s="14" t="s">
        <v>2050</v>
      </c>
      <c r="W47" s="14" t="s">
        <v>2048</v>
      </c>
      <c r="X47" s="14" t="s">
        <v>2048</v>
      </c>
      <c r="Y47" s="14" t="s">
        <v>2048</v>
      </c>
      <c r="Z47" s="14" t="s">
        <v>2048</v>
      </c>
      <c r="AA47" s="14" t="s">
        <v>2048</v>
      </c>
      <c r="AB47" s="14" t="s">
        <v>140</v>
      </c>
      <c r="AC47" s="14" t="s">
        <v>151</v>
      </c>
      <c r="AD47" s="14" t="s">
        <v>77</v>
      </c>
      <c r="AE47" s="14" t="s">
        <v>2054</v>
      </c>
      <c r="AF47" s="14" t="s">
        <v>2055</v>
      </c>
      <c r="AG47" s="14" t="s">
        <v>2055</v>
      </c>
      <c r="AH47" s="14" t="s">
        <v>2055</v>
      </c>
      <c r="AI47" s="14" t="s">
        <v>2057</v>
      </c>
      <c r="AJ47" s="14" t="s">
        <v>87</v>
      </c>
      <c r="AK47" s="14" t="s">
        <v>2048</v>
      </c>
      <c r="AL47" s="14" t="s">
        <v>2048</v>
      </c>
      <c r="AM47" s="14" t="s">
        <v>2048</v>
      </c>
      <c r="AN47" s="14" t="s">
        <v>2318</v>
      </c>
      <c r="AO47" s="17" t="s">
        <v>89</v>
      </c>
      <c r="AP47" s="14" t="s">
        <v>2135</v>
      </c>
      <c r="AQ47" s="14" t="s">
        <v>2059</v>
      </c>
      <c r="AR47" s="14" t="s">
        <v>2386</v>
      </c>
      <c r="AS47" s="14" t="s">
        <v>2387</v>
      </c>
      <c r="AT47" s="14" t="s">
        <v>72</v>
      </c>
      <c r="AU47" s="14" t="s">
        <v>2350</v>
      </c>
      <c r="AV47" s="14" t="s">
        <v>2351</v>
      </c>
      <c r="AW47" s="14" t="s">
        <v>2048</v>
      </c>
      <c r="AX47" s="14" t="s">
        <v>2048</v>
      </c>
      <c r="AY47" s="14" t="s">
        <v>204</v>
      </c>
      <c r="AZ47" s="14" t="s">
        <v>232</v>
      </c>
      <c r="BA47" s="14" t="s">
        <v>2324</v>
      </c>
      <c r="BB47" s="14" t="s">
        <v>2048</v>
      </c>
      <c r="BC47" s="14" t="s">
        <v>2048</v>
      </c>
      <c r="BD47" s="14" t="s">
        <v>2325</v>
      </c>
      <c r="BE47" s="14" t="s">
        <v>2326</v>
      </c>
      <c r="BF47" s="14" t="s">
        <v>2325</v>
      </c>
      <c r="BG47" s="14" t="s">
        <v>2326</v>
      </c>
      <c r="BH47" s="14" t="s">
        <v>2327</v>
      </c>
      <c r="BI47" s="14" t="s">
        <v>2287</v>
      </c>
      <c r="BJ47" s="14" t="s">
        <v>2048</v>
      </c>
      <c r="BK47" s="14" t="s">
        <v>2048</v>
      </c>
      <c r="BL47" s="14" t="s">
        <v>2064</v>
      </c>
      <c r="BM47" s="14" t="s">
        <v>72</v>
      </c>
      <c r="BN47" s="14" t="s">
        <v>72</v>
      </c>
      <c r="BO47" s="14" t="s">
        <v>2388</v>
      </c>
      <c r="BP47" s="14" t="s">
        <v>2329</v>
      </c>
      <c r="BQ47" s="14" t="s">
        <v>2330</v>
      </c>
      <c r="BR47" s="14" t="s">
        <v>2331</v>
      </c>
      <c r="BS47" s="14" t="s">
        <v>2131</v>
      </c>
      <c r="BT47" s="14" t="s">
        <v>2048</v>
      </c>
      <c r="BU47" s="14" t="s">
        <v>2048</v>
      </c>
      <c r="BV47" s="14" t="s">
        <v>2048</v>
      </c>
      <c r="BW47" s="14" t="s">
        <v>2048</v>
      </c>
      <c r="BX47" s="14" t="s">
        <v>72</v>
      </c>
      <c r="BY47" s="14" t="s">
        <v>2048</v>
      </c>
      <c r="BZ47" s="14" t="s">
        <v>2048</v>
      </c>
      <c r="CA47" s="14" t="s">
        <v>2048</v>
      </c>
      <c r="CB47" s="14" t="s">
        <v>2048</v>
      </c>
      <c r="CC47" s="14" t="s">
        <v>2048</v>
      </c>
      <c r="CD47" s="14" t="s">
        <v>2048</v>
      </c>
      <c r="CE47" s="14" t="s">
        <v>2048</v>
      </c>
      <c r="CF47" s="14" t="s">
        <v>2048</v>
      </c>
      <c r="CG47" s="14" t="s">
        <v>2068</v>
      </c>
      <c r="CH47" s="14" t="s">
        <v>2069</v>
      </c>
      <c r="CI47" s="14" t="s">
        <v>2048</v>
      </c>
      <c r="CJ47" s="17"/>
      <c r="CK47" s="17">
        <v>45637</v>
      </c>
      <c r="CL47" s="17">
        <v>45637</v>
      </c>
      <c r="CM47" s="17">
        <v>2958465</v>
      </c>
      <c r="CN47" s="17"/>
      <c r="CO47" s="19">
        <v>0</v>
      </c>
      <c r="CP47" s="19">
        <v>0</v>
      </c>
      <c r="CQ47" s="19">
        <v>0</v>
      </c>
      <c r="CR47" s="19">
        <v>0</v>
      </c>
      <c r="CS47" s="19">
        <v>0</v>
      </c>
      <c r="CT47" s="19">
        <v>0</v>
      </c>
      <c r="CU47" s="19">
        <v>0</v>
      </c>
      <c r="CV47" s="17"/>
      <c r="CW47" s="19">
        <v>0</v>
      </c>
      <c r="CX47" s="17"/>
      <c r="CY47" s="17"/>
      <c r="CZ47" s="19">
        <v>0</v>
      </c>
      <c r="DA47" s="17"/>
      <c r="DB47" s="17"/>
      <c r="DC47" s="19">
        <v>100</v>
      </c>
      <c r="DD47" s="17"/>
      <c r="DE47" s="17">
        <v>2958465</v>
      </c>
      <c r="DF47" s="17"/>
      <c r="DG47" s="17"/>
      <c r="DH47" s="19">
        <v>0</v>
      </c>
      <c r="DI47" s="19">
        <v>0</v>
      </c>
    </row>
    <row r="48" spans="1:113" x14ac:dyDescent="0.2">
      <c r="A48" s="14" t="s">
        <v>2315</v>
      </c>
      <c r="B48" s="16" t="s">
        <v>605</v>
      </c>
      <c r="C48" s="14" t="s">
        <v>158</v>
      </c>
      <c r="D48" s="14" t="s">
        <v>159</v>
      </c>
      <c r="E48" s="14" t="s">
        <v>158</v>
      </c>
      <c r="F48" s="14" t="s">
        <v>2044</v>
      </c>
      <c r="G48" s="14" t="s">
        <v>2045</v>
      </c>
      <c r="H48" s="14" t="s">
        <v>204</v>
      </c>
      <c r="I48" s="14" t="s">
        <v>205</v>
      </c>
      <c r="J48" s="16">
        <f>COUNTIF($I$3:I48, I48)</f>
        <v>9</v>
      </c>
      <c r="K48" s="14" t="s">
        <v>2048</v>
      </c>
      <c r="L48" s="14" t="s">
        <v>2048</v>
      </c>
      <c r="M48" s="14" t="s">
        <v>2048</v>
      </c>
      <c r="N48" s="14" t="s">
        <v>2048</v>
      </c>
      <c r="O48" s="14" t="s">
        <v>2389</v>
      </c>
      <c r="P48" s="14" t="s">
        <v>606</v>
      </c>
      <c r="Q48" s="14" t="s">
        <v>72</v>
      </c>
      <c r="R48" s="14" t="s">
        <v>2048</v>
      </c>
      <c r="S48" s="14" t="s">
        <v>2048</v>
      </c>
      <c r="T48" s="14" t="s">
        <v>2048</v>
      </c>
      <c r="U48" s="14" t="s">
        <v>2048</v>
      </c>
      <c r="V48" s="14" t="s">
        <v>2050</v>
      </c>
      <c r="W48" s="14" t="s">
        <v>2048</v>
      </c>
      <c r="X48" s="14" t="s">
        <v>2048</v>
      </c>
      <c r="Y48" s="14" t="s">
        <v>2048</v>
      </c>
      <c r="Z48" s="14" t="s">
        <v>2048</v>
      </c>
      <c r="AA48" s="14" t="s">
        <v>2048</v>
      </c>
      <c r="AB48" s="14" t="s">
        <v>140</v>
      </c>
      <c r="AC48" s="14" t="s">
        <v>151</v>
      </c>
      <c r="AD48" s="14" t="s">
        <v>77</v>
      </c>
      <c r="AE48" s="14" t="s">
        <v>2054</v>
      </c>
      <c r="AF48" s="14" t="s">
        <v>2055</v>
      </c>
      <c r="AG48" s="14" t="s">
        <v>2055</v>
      </c>
      <c r="AH48" s="14" t="s">
        <v>2055</v>
      </c>
      <c r="AI48" s="14" t="s">
        <v>2057</v>
      </c>
      <c r="AJ48" s="14" t="s">
        <v>87</v>
      </c>
      <c r="AK48" s="14" t="s">
        <v>2048</v>
      </c>
      <c r="AL48" s="14" t="s">
        <v>2048</v>
      </c>
      <c r="AM48" s="14" t="s">
        <v>2048</v>
      </c>
      <c r="AN48" s="14" t="s">
        <v>2334</v>
      </c>
      <c r="AO48" s="17" t="s">
        <v>89</v>
      </c>
      <c r="AP48" s="14" t="s">
        <v>2135</v>
      </c>
      <c r="AQ48" s="14" t="s">
        <v>2059</v>
      </c>
      <c r="AR48" s="14" t="s">
        <v>2390</v>
      </c>
      <c r="AS48" s="14" t="s">
        <v>2391</v>
      </c>
      <c r="AT48" s="14" t="s">
        <v>72</v>
      </c>
      <c r="AU48" s="14" t="s">
        <v>2392</v>
      </c>
      <c r="AV48" s="14" t="s">
        <v>2393</v>
      </c>
      <c r="AW48" s="14" t="s">
        <v>2048</v>
      </c>
      <c r="AX48" s="14" t="s">
        <v>2048</v>
      </c>
      <c r="AY48" s="14" t="s">
        <v>204</v>
      </c>
      <c r="AZ48" s="14" t="s">
        <v>208</v>
      </c>
      <c r="BA48" s="14" t="s">
        <v>2339</v>
      </c>
      <c r="BB48" s="14" t="s">
        <v>2048</v>
      </c>
      <c r="BC48" s="14" t="s">
        <v>2048</v>
      </c>
      <c r="BD48" s="14" t="s">
        <v>2325</v>
      </c>
      <c r="BE48" s="14" t="s">
        <v>2326</v>
      </c>
      <c r="BF48" s="14" t="s">
        <v>2340</v>
      </c>
      <c r="BG48" s="14" t="s">
        <v>2341</v>
      </c>
      <c r="BH48" s="14" t="s">
        <v>2342</v>
      </c>
      <c r="BI48" s="14" t="s">
        <v>2287</v>
      </c>
      <c r="BJ48" s="14" t="s">
        <v>2048</v>
      </c>
      <c r="BK48" s="14" t="s">
        <v>2048</v>
      </c>
      <c r="BL48" s="14" t="s">
        <v>2064</v>
      </c>
      <c r="BM48" s="14" t="s">
        <v>72</v>
      </c>
      <c r="BN48" s="14" t="s">
        <v>72</v>
      </c>
      <c r="BO48" s="14" t="s">
        <v>2394</v>
      </c>
      <c r="BP48" s="14" t="s">
        <v>2344</v>
      </c>
      <c r="BQ48" s="14" t="s">
        <v>2345</v>
      </c>
      <c r="BR48" s="14" t="s">
        <v>2331</v>
      </c>
      <c r="BS48" s="14" t="s">
        <v>2131</v>
      </c>
      <c r="BT48" s="14" t="s">
        <v>2048</v>
      </c>
      <c r="BU48" s="14" t="s">
        <v>2048</v>
      </c>
      <c r="BV48" s="14" t="s">
        <v>2048</v>
      </c>
      <c r="BW48" s="14" t="s">
        <v>2048</v>
      </c>
      <c r="BX48" s="14" t="s">
        <v>72</v>
      </c>
      <c r="BY48" s="14" t="s">
        <v>2048</v>
      </c>
      <c r="BZ48" s="14" t="s">
        <v>2048</v>
      </c>
      <c r="CA48" s="14" t="s">
        <v>2048</v>
      </c>
      <c r="CB48" s="14" t="s">
        <v>2048</v>
      </c>
      <c r="CC48" s="14" t="s">
        <v>2048</v>
      </c>
      <c r="CD48" s="14" t="s">
        <v>2048</v>
      </c>
      <c r="CE48" s="14" t="s">
        <v>2048</v>
      </c>
      <c r="CF48" s="14" t="s">
        <v>2048</v>
      </c>
      <c r="CG48" s="14" t="s">
        <v>2068</v>
      </c>
      <c r="CH48" s="14" t="s">
        <v>2069</v>
      </c>
      <c r="CI48" s="14" t="s">
        <v>2048</v>
      </c>
      <c r="CJ48" s="17"/>
      <c r="CK48" s="17">
        <v>45637</v>
      </c>
      <c r="CL48" s="17">
        <v>45637</v>
      </c>
      <c r="CM48" s="17">
        <v>2958465</v>
      </c>
      <c r="CN48" s="17"/>
      <c r="CO48" s="19">
        <v>0</v>
      </c>
      <c r="CP48" s="19">
        <v>0</v>
      </c>
      <c r="CQ48" s="19">
        <v>0</v>
      </c>
      <c r="CR48" s="19">
        <v>0</v>
      </c>
      <c r="CS48" s="19">
        <v>0</v>
      </c>
      <c r="CT48" s="19">
        <v>0</v>
      </c>
      <c r="CU48" s="19">
        <v>0</v>
      </c>
      <c r="CV48" s="17"/>
      <c r="CW48" s="19">
        <v>0</v>
      </c>
      <c r="CX48" s="17"/>
      <c r="CY48" s="17"/>
      <c r="CZ48" s="19">
        <v>0</v>
      </c>
      <c r="DA48" s="17"/>
      <c r="DB48" s="17"/>
      <c r="DC48" s="19">
        <v>100</v>
      </c>
      <c r="DD48" s="17"/>
      <c r="DE48" s="17">
        <v>2958465</v>
      </c>
      <c r="DF48" s="17"/>
      <c r="DG48" s="17"/>
      <c r="DH48" s="19">
        <v>0</v>
      </c>
      <c r="DI48" s="19">
        <v>0</v>
      </c>
    </row>
    <row r="49" spans="1:113" x14ac:dyDescent="0.2">
      <c r="A49" s="14" t="s">
        <v>2315</v>
      </c>
      <c r="B49" s="16" t="s">
        <v>676</v>
      </c>
      <c r="C49" s="14" t="s">
        <v>158</v>
      </c>
      <c r="D49" s="14" t="s">
        <v>159</v>
      </c>
      <c r="E49" s="14" t="s">
        <v>158</v>
      </c>
      <c r="F49" s="14" t="s">
        <v>2044</v>
      </c>
      <c r="G49" s="14" t="s">
        <v>2045</v>
      </c>
      <c r="H49" s="14" t="s">
        <v>204</v>
      </c>
      <c r="I49" s="14" t="s">
        <v>205</v>
      </c>
      <c r="J49" s="16">
        <f>COUNTIF($I$3:I49, I49)</f>
        <v>10</v>
      </c>
      <c r="K49" s="14" t="s">
        <v>2048</v>
      </c>
      <c r="L49" s="14" t="s">
        <v>2048</v>
      </c>
      <c r="M49" s="14" t="s">
        <v>2048</v>
      </c>
      <c r="N49" s="14" t="s">
        <v>2048</v>
      </c>
      <c r="O49" s="14" t="s">
        <v>2395</v>
      </c>
      <c r="P49" s="14" t="s">
        <v>677</v>
      </c>
      <c r="Q49" s="14" t="s">
        <v>72</v>
      </c>
      <c r="R49" s="14" t="s">
        <v>2048</v>
      </c>
      <c r="S49" s="14" t="s">
        <v>2048</v>
      </c>
      <c r="T49" s="14" t="s">
        <v>2048</v>
      </c>
      <c r="U49" s="14" t="s">
        <v>2048</v>
      </c>
      <c r="V49" s="14" t="s">
        <v>2050</v>
      </c>
      <c r="W49" s="14" t="s">
        <v>2048</v>
      </c>
      <c r="X49" s="14" t="s">
        <v>2048</v>
      </c>
      <c r="Y49" s="14" t="s">
        <v>2048</v>
      </c>
      <c r="Z49" s="14" t="s">
        <v>2048</v>
      </c>
      <c r="AA49" s="14" t="s">
        <v>2048</v>
      </c>
      <c r="AB49" s="14" t="s">
        <v>140</v>
      </c>
      <c r="AC49" s="14" t="s">
        <v>151</v>
      </c>
      <c r="AD49" s="14" t="s">
        <v>2132</v>
      </c>
      <c r="AE49" s="14" t="s">
        <v>2133</v>
      </c>
      <c r="AF49" s="14" t="s">
        <v>2055</v>
      </c>
      <c r="AG49" s="14" t="s">
        <v>2055</v>
      </c>
      <c r="AH49" s="14" t="s">
        <v>2055</v>
      </c>
      <c r="AI49" s="14" t="s">
        <v>2057</v>
      </c>
      <c r="AJ49" s="14" t="s">
        <v>87</v>
      </c>
      <c r="AK49" s="14" t="s">
        <v>2048</v>
      </c>
      <c r="AL49" s="14" t="s">
        <v>2048</v>
      </c>
      <c r="AM49" s="14" t="s">
        <v>2048</v>
      </c>
      <c r="AN49" s="14" t="s">
        <v>2374</v>
      </c>
      <c r="AO49" s="17" t="s">
        <v>89</v>
      </c>
      <c r="AP49" s="14" t="s">
        <v>2135</v>
      </c>
      <c r="AQ49" s="14" t="s">
        <v>276</v>
      </c>
      <c r="AR49" s="14" t="s">
        <v>2060</v>
      </c>
      <c r="AS49" s="14" t="s">
        <v>2048</v>
      </c>
      <c r="AT49" s="14" t="s">
        <v>72</v>
      </c>
      <c r="AU49" s="14" t="s">
        <v>2376</v>
      </c>
      <c r="AV49" s="14" t="s">
        <v>2377</v>
      </c>
      <c r="AW49" s="14" t="s">
        <v>2048</v>
      </c>
      <c r="AX49" s="14" t="s">
        <v>2048</v>
      </c>
      <c r="AY49" s="14" t="s">
        <v>204</v>
      </c>
      <c r="AZ49" s="14" t="s">
        <v>230</v>
      </c>
      <c r="BA49" s="14" t="s">
        <v>2378</v>
      </c>
      <c r="BB49" s="14" t="s">
        <v>2048</v>
      </c>
      <c r="BC49" s="14" t="s">
        <v>2048</v>
      </c>
      <c r="BD49" s="14" t="s">
        <v>2379</v>
      </c>
      <c r="BE49" s="14" t="s">
        <v>2380</v>
      </c>
      <c r="BF49" s="14" t="s">
        <v>2048</v>
      </c>
      <c r="BG49" s="14" t="s">
        <v>2048</v>
      </c>
      <c r="BH49" s="14" t="s">
        <v>2381</v>
      </c>
      <c r="BI49" s="14" t="s">
        <v>2382</v>
      </c>
      <c r="BJ49" s="14" t="s">
        <v>2048</v>
      </c>
      <c r="BK49" s="14" t="s">
        <v>2048</v>
      </c>
      <c r="BL49" s="14" t="s">
        <v>2064</v>
      </c>
      <c r="BM49" s="14" t="s">
        <v>72</v>
      </c>
      <c r="BN49" s="14" t="s">
        <v>72</v>
      </c>
      <c r="BO49" s="14" t="s">
        <v>2396</v>
      </c>
      <c r="BP49" s="14" t="s">
        <v>2048</v>
      </c>
      <c r="BQ49" s="14" t="s">
        <v>2048</v>
      </c>
      <c r="BR49" s="14" t="s">
        <v>2331</v>
      </c>
      <c r="BS49" s="14" t="s">
        <v>2131</v>
      </c>
      <c r="BT49" s="14" t="s">
        <v>2048</v>
      </c>
      <c r="BU49" s="14" t="s">
        <v>2048</v>
      </c>
      <c r="BV49" s="14" t="s">
        <v>2048</v>
      </c>
      <c r="BW49" s="14" t="s">
        <v>2048</v>
      </c>
      <c r="BX49" s="14" t="s">
        <v>72</v>
      </c>
      <c r="BY49" s="14" t="s">
        <v>2048</v>
      </c>
      <c r="BZ49" s="14" t="s">
        <v>2048</v>
      </c>
      <c r="CA49" s="14" t="s">
        <v>2048</v>
      </c>
      <c r="CB49" s="14" t="s">
        <v>2048</v>
      </c>
      <c r="CC49" s="14" t="s">
        <v>2048</v>
      </c>
      <c r="CD49" s="14" t="s">
        <v>2048</v>
      </c>
      <c r="CE49" s="14" t="s">
        <v>2048</v>
      </c>
      <c r="CF49" s="14" t="s">
        <v>2048</v>
      </c>
      <c r="CG49" s="14" t="s">
        <v>2068</v>
      </c>
      <c r="CH49" s="14" t="s">
        <v>2069</v>
      </c>
      <c r="CI49" s="14" t="s">
        <v>2048</v>
      </c>
      <c r="CJ49" s="17"/>
      <c r="CK49" s="17">
        <v>45637</v>
      </c>
      <c r="CL49" s="17">
        <v>45637</v>
      </c>
      <c r="CM49" s="17">
        <v>2958465</v>
      </c>
      <c r="CN49" s="17"/>
      <c r="CO49" s="19">
        <v>0</v>
      </c>
      <c r="CP49" s="19">
        <v>0</v>
      </c>
      <c r="CQ49" s="19">
        <v>0</v>
      </c>
      <c r="CR49" s="19">
        <v>0</v>
      </c>
      <c r="CS49" s="19">
        <v>0</v>
      </c>
      <c r="CT49" s="19">
        <v>0</v>
      </c>
      <c r="CU49" s="19">
        <v>0</v>
      </c>
      <c r="CV49" s="17"/>
      <c r="CW49" s="19">
        <v>0</v>
      </c>
      <c r="CX49" s="17"/>
      <c r="CY49" s="17"/>
      <c r="CZ49" s="19">
        <v>0</v>
      </c>
      <c r="DA49" s="17"/>
      <c r="DB49" s="17"/>
      <c r="DC49" s="19">
        <v>100</v>
      </c>
      <c r="DD49" s="17"/>
      <c r="DE49" s="17">
        <v>2958465</v>
      </c>
      <c r="DF49" s="17"/>
      <c r="DG49" s="17"/>
      <c r="DH49" s="19">
        <v>0</v>
      </c>
      <c r="DI49" s="19">
        <v>0</v>
      </c>
    </row>
    <row r="50" spans="1:113" x14ac:dyDescent="0.2">
      <c r="A50" s="14" t="s">
        <v>2315</v>
      </c>
      <c r="B50" s="16" t="s">
        <v>683</v>
      </c>
      <c r="C50" s="14" t="s">
        <v>158</v>
      </c>
      <c r="D50" s="14" t="s">
        <v>159</v>
      </c>
      <c r="E50" s="14" t="s">
        <v>158</v>
      </c>
      <c r="F50" s="14" t="s">
        <v>2044</v>
      </c>
      <c r="G50" s="14" t="s">
        <v>2045</v>
      </c>
      <c r="H50" s="14" t="s">
        <v>204</v>
      </c>
      <c r="I50" s="14" t="s">
        <v>205</v>
      </c>
      <c r="J50" s="16">
        <f>COUNTIF($I$3:I50, I50)</f>
        <v>11</v>
      </c>
      <c r="K50" s="14" t="s">
        <v>2048</v>
      </c>
      <c r="L50" s="14" t="s">
        <v>2048</v>
      </c>
      <c r="M50" s="14" t="s">
        <v>2048</v>
      </c>
      <c r="N50" s="14" t="s">
        <v>2048</v>
      </c>
      <c r="O50" s="14" t="s">
        <v>2397</v>
      </c>
      <c r="P50" s="14" t="s">
        <v>684</v>
      </c>
      <c r="Q50" s="14" t="s">
        <v>72</v>
      </c>
      <c r="R50" s="14" t="s">
        <v>2048</v>
      </c>
      <c r="S50" s="14" t="s">
        <v>2048</v>
      </c>
      <c r="T50" s="14" t="s">
        <v>2048</v>
      </c>
      <c r="U50" s="14" t="s">
        <v>2048</v>
      </c>
      <c r="V50" s="14" t="s">
        <v>2050</v>
      </c>
      <c r="W50" s="14" t="s">
        <v>2048</v>
      </c>
      <c r="X50" s="14" t="s">
        <v>2048</v>
      </c>
      <c r="Y50" s="14" t="s">
        <v>2048</v>
      </c>
      <c r="Z50" s="14" t="s">
        <v>2048</v>
      </c>
      <c r="AA50" s="14" t="s">
        <v>2048</v>
      </c>
      <c r="AB50" s="14" t="s">
        <v>140</v>
      </c>
      <c r="AC50" s="14" t="s">
        <v>151</v>
      </c>
      <c r="AD50" s="14" t="s">
        <v>77</v>
      </c>
      <c r="AE50" s="14" t="s">
        <v>2054</v>
      </c>
      <c r="AF50" s="14" t="s">
        <v>2055</v>
      </c>
      <c r="AG50" s="14" t="s">
        <v>2055</v>
      </c>
      <c r="AH50" s="14" t="s">
        <v>2055</v>
      </c>
      <c r="AI50" s="14" t="s">
        <v>2057</v>
      </c>
      <c r="AJ50" s="14" t="s">
        <v>87</v>
      </c>
      <c r="AK50" s="14" t="s">
        <v>2048</v>
      </c>
      <c r="AL50" s="14" t="s">
        <v>2048</v>
      </c>
      <c r="AM50" s="14" t="s">
        <v>2048</v>
      </c>
      <c r="AN50" s="14" t="s">
        <v>2318</v>
      </c>
      <c r="AO50" s="17" t="s">
        <v>89</v>
      </c>
      <c r="AP50" s="14" t="s">
        <v>2135</v>
      </c>
      <c r="AQ50" s="14" t="s">
        <v>2059</v>
      </c>
      <c r="AR50" s="14" t="s">
        <v>2398</v>
      </c>
      <c r="AS50" s="14" t="s">
        <v>2399</v>
      </c>
      <c r="AT50" s="14" t="s">
        <v>72</v>
      </c>
      <c r="AU50" s="14" t="s">
        <v>2321</v>
      </c>
      <c r="AV50" s="14" t="s">
        <v>2322</v>
      </c>
      <c r="AW50" s="14" t="s">
        <v>2048</v>
      </c>
      <c r="AX50" s="14" t="s">
        <v>2048</v>
      </c>
      <c r="AY50" s="14" t="s">
        <v>204</v>
      </c>
      <c r="AZ50" s="14" t="s">
        <v>232</v>
      </c>
      <c r="BA50" s="14" t="s">
        <v>2324</v>
      </c>
      <c r="BB50" s="14" t="s">
        <v>2048</v>
      </c>
      <c r="BC50" s="14" t="s">
        <v>2048</v>
      </c>
      <c r="BD50" s="14" t="s">
        <v>2325</v>
      </c>
      <c r="BE50" s="14" t="s">
        <v>2326</v>
      </c>
      <c r="BF50" s="14" t="s">
        <v>2325</v>
      </c>
      <c r="BG50" s="14" t="s">
        <v>2326</v>
      </c>
      <c r="BH50" s="14" t="s">
        <v>2327</v>
      </c>
      <c r="BI50" s="14" t="s">
        <v>2287</v>
      </c>
      <c r="BJ50" s="14" t="s">
        <v>2048</v>
      </c>
      <c r="BK50" s="14" t="s">
        <v>2048</v>
      </c>
      <c r="BL50" s="14" t="s">
        <v>2064</v>
      </c>
      <c r="BM50" s="14" t="s">
        <v>72</v>
      </c>
      <c r="BN50" s="14" t="s">
        <v>72</v>
      </c>
      <c r="BO50" s="14" t="s">
        <v>2400</v>
      </c>
      <c r="BP50" s="14" t="s">
        <v>2401</v>
      </c>
      <c r="BQ50" s="14" t="s">
        <v>2402</v>
      </c>
      <c r="BR50" s="14" t="s">
        <v>2331</v>
      </c>
      <c r="BS50" s="14" t="s">
        <v>2131</v>
      </c>
      <c r="BT50" s="14" t="s">
        <v>2048</v>
      </c>
      <c r="BU50" s="14" t="s">
        <v>2048</v>
      </c>
      <c r="BV50" s="14" t="s">
        <v>2048</v>
      </c>
      <c r="BW50" s="14" t="s">
        <v>2048</v>
      </c>
      <c r="BX50" s="14" t="s">
        <v>72</v>
      </c>
      <c r="BY50" s="14" t="s">
        <v>2048</v>
      </c>
      <c r="BZ50" s="14" t="s">
        <v>2048</v>
      </c>
      <c r="CA50" s="14" t="s">
        <v>2048</v>
      </c>
      <c r="CB50" s="14" t="s">
        <v>2048</v>
      </c>
      <c r="CC50" s="14" t="s">
        <v>2048</v>
      </c>
      <c r="CD50" s="14" t="s">
        <v>2048</v>
      </c>
      <c r="CE50" s="14" t="s">
        <v>2048</v>
      </c>
      <c r="CF50" s="14" t="s">
        <v>2048</v>
      </c>
      <c r="CG50" s="14" t="s">
        <v>2068</v>
      </c>
      <c r="CH50" s="14" t="s">
        <v>2069</v>
      </c>
      <c r="CI50" s="14" t="s">
        <v>2048</v>
      </c>
      <c r="CJ50" s="17"/>
      <c r="CK50" s="17">
        <v>45637</v>
      </c>
      <c r="CL50" s="17">
        <v>45637</v>
      </c>
      <c r="CM50" s="17">
        <v>2958465</v>
      </c>
      <c r="CN50" s="17"/>
      <c r="CO50" s="19">
        <v>0</v>
      </c>
      <c r="CP50" s="19">
        <v>0</v>
      </c>
      <c r="CQ50" s="19">
        <v>0</v>
      </c>
      <c r="CR50" s="19">
        <v>0</v>
      </c>
      <c r="CS50" s="19">
        <v>0</v>
      </c>
      <c r="CT50" s="19">
        <v>0</v>
      </c>
      <c r="CU50" s="19">
        <v>0</v>
      </c>
      <c r="CV50" s="17"/>
      <c r="CW50" s="19">
        <v>0</v>
      </c>
      <c r="CX50" s="17"/>
      <c r="CY50" s="17"/>
      <c r="CZ50" s="19">
        <v>0</v>
      </c>
      <c r="DA50" s="17"/>
      <c r="DB50" s="17"/>
      <c r="DC50" s="19">
        <v>100</v>
      </c>
      <c r="DD50" s="17"/>
      <c r="DE50" s="17">
        <v>2958465</v>
      </c>
      <c r="DF50" s="17"/>
      <c r="DG50" s="17"/>
      <c r="DH50" s="19">
        <v>0</v>
      </c>
      <c r="DI50" s="19">
        <v>0</v>
      </c>
    </row>
    <row r="51" spans="1:113" x14ac:dyDescent="0.2">
      <c r="A51" s="14" t="s">
        <v>2315</v>
      </c>
      <c r="B51" s="16" t="s">
        <v>1384</v>
      </c>
      <c r="C51" s="14" t="s">
        <v>158</v>
      </c>
      <c r="D51" s="14" t="s">
        <v>159</v>
      </c>
      <c r="E51" s="14" t="s">
        <v>158</v>
      </c>
      <c r="F51" s="14" t="s">
        <v>2044</v>
      </c>
      <c r="G51" s="14" t="s">
        <v>2045</v>
      </c>
      <c r="H51" s="14" t="s">
        <v>204</v>
      </c>
      <c r="I51" s="14" t="s">
        <v>205</v>
      </c>
      <c r="J51" s="16">
        <f>COUNTIF($I$3:I51, I51)</f>
        <v>12</v>
      </c>
      <c r="K51" s="14" t="s">
        <v>2048</v>
      </c>
      <c r="L51" s="14" t="s">
        <v>2048</v>
      </c>
      <c r="M51" s="14" t="s">
        <v>2048</v>
      </c>
      <c r="N51" s="14" t="s">
        <v>2048</v>
      </c>
      <c r="O51" s="14" t="s">
        <v>2403</v>
      </c>
      <c r="P51" s="14" t="s">
        <v>2404</v>
      </c>
      <c r="Q51" s="14" t="s">
        <v>72</v>
      </c>
      <c r="R51" s="14" t="s">
        <v>2048</v>
      </c>
      <c r="S51" s="14" t="s">
        <v>2048</v>
      </c>
      <c r="T51" s="14" t="s">
        <v>2048</v>
      </c>
      <c r="U51" s="14" t="s">
        <v>2048</v>
      </c>
      <c r="V51" s="14" t="s">
        <v>2050</v>
      </c>
      <c r="W51" s="14" t="s">
        <v>2048</v>
      </c>
      <c r="X51" s="14" t="s">
        <v>2048</v>
      </c>
      <c r="Y51" s="14" t="s">
        <v>2048</v>
      </c>
      <c r="Z51" s="14" t="s">
        <v>2048</v>
      </c>
      <c r="AA51" s="14" t="s">
        <v>2048</v>
      </c>
      <c r="AB51" s="14" t="s">
        <v>140</v>
      </c>
      <c r="AC51" s="14" t="s">
        <v>151</v>
      </c>
      <c r="AD51" s="14" t="s">
        <v>77</v>
      </c>
      <c r="AE51" s="14" t="s">
        <v>2054</v>
      </c>
      <c r="AF51" s="14" t="s">
        <v>2055</v>
      </c>
      <c r="AG51" s="14" t="s">
        <v>2055</v>
      </c>
      <c r="AH51" s="14" t="s">
        <v>2055</v>
      </c>
      <c r="AI51" s="14" t="s">
        <v>2057</v>
      </c>
      <c r="AJ51" s="14" t="s">
        <v>87</v>
      </c>
      <c r="AK51" s="14" t="s">
        <v>2048</v>
      </c>
      <c r="AL51" s="14" t="s">
        <v>2048</v>
      </c>
      <c r="AM51" s="14" t="s">
        <v>2048</v>
      </c>
      <c r="AN51" s="14" t="s">
        <v>2318</v>
      </c>
      <c r="AO51" s="17" t="s">
        <v>89</v>
      </c>
      <c r="AP51" s="14" t="s">
        <v>2135</v>
      </c>
      <c r="AQ51" s="14" t="s">
        <v>2059</v>
      </c>
      <c r="AR51" s="14" t="s">
        <v>2405</v>
      </c>
      <c r="AS51" s="14" t="s">
        <v>2406</v>
      </c>
      <c r="AT51" s="14" t="s">
        <v>72</v>
      </c>
      <c r="AU51" s="14" t="s">
        <v>2350</v>
      </c>
      <c r="AV51" s="14" t="s">
        <v>2351</v>
      </c>
      <c r="AW51" s="14" t="s">
        <v>2048</v>
      </c>
      <c r="AX51" s="14" t="s">
        <v>2048</v>
      </c>
      <c r="AY51" s="14" t="s">
        <v>204</v>
      </c>
      <c r="AZ51" s="14" t="s">
        <v>1385</v>
      </c>
      <c r="BA51" s="14" t="s">
        <v>2407</v>
      </c>
      <c r="BB51" s="14" t="s">
        <v>2048</v>
      </c>
      <c r="BC51" s="14" t="s">
        <v>2048</v>
      </c>
      <c r="BD51" s="14" t="s">
        <v>2325</v>
      </c>
      <c r="BE51" s="14" t="s">
        <v>2326</v>
      </c>
      <c r="BF51" s="14" t="s">
        <v>2325</v>
      </c>
      <c r="BG51" s="14" t="s">
        <v>2326</v>
      </c>
      <c r="BH51" s="14" t="s">
        <v>2327</v>
      </c>
      <c r="BI51" s="14" t="s">
        <v>2287</v>
      </c>
      <c r="BJ51" s="14" t="s">
        <v>2048</v>
      </c>
      <c r="BK51" s="14" t="s">
        <v>2048</v>
      </c>
      <c r="BL51" s="14" t="s">
        <v>2064</v>
      </c>
      <c r="BM51" s="14" t="s">
        <v>72</v>
      </c>
      <c r="BN51" s="14" t="s">
        <v>72</v>
      </c>
      <c r="BO51" s="14" t="s">
        <v>2408</v>
      </c>
      <c r="BP51" s="14" t="s">
        <v>2329</v>
      </c>
      <c r="BQ51" s="14" t="s">
        <v>2330</v>
      </c>
      <c r="BR51" s="14" t="s">
        <v>2331</v>
      </c>
      <c r="BS51" s="14" t="s">
        <v>2131</v>
      </c>
      <c r="BT51" s="14" t="s">
        <v>2048</v>
      </c>
      <c r="BU51" s="14" t="s">
        <v>2048</v>
      </c>
      <c r="BV51" s="14" t="s">
        <v>2048</v>
      </c>
      <c r="BW51" s="14" t="s">
        <v>2048</v>
      </c>
      <c r="BX51" s="14" t="s">
        <v>72</v>
      </c>
      <c r="BY51" s="14" t="s">
        <v>2048</v>
      </c>
      <c r="BZ51" s="14" t="s">
        <v>2048</v>
      </c>
      <c r="CA51" s="14" t="s">
        <v>2048</v>
      </c>
      <c r="CB51" s="14" t="s">
        <v>2048</v>
      </c>
      <c r="CC51" s="14" t="s">
        <v>2048</v>
      </c>
      <c r="CD51" s="14" t="s">
        <v>2048</v>
      </c>
      <c r="CE51" s="14" t="s">
        <v>2048</v>
      </c>
      <c r="CF51" s="14" t="s">
        <v>2048</v>
      </c>
      <c r="CG51" s="14" t="s">
        <v>2068</v>
      </c>
      <c r="CH51" s="14" t="s">
        <v>2069</v>
      </c>
      <c r="CI51" s="14" t="s">
        <v>2048</v>
      </c>
      <c r="CJ51" s="17"/>
      <c r="CK51" s="17">
        <v>45637</v>
      </c>
      <c r="CL51" s="17">
        <v>45637</v>
      </c>
      <c r="CM51" s="17">
        <v>2958465</v>
      </c>
      <c r="CN51" s="17"/>
      <c r="CO51" s="19">
        <v>0</v>
      </c>
      <c r="CP51" s="19">
        <v>0</v>
      </c>
      <c r="CQ51" s="19">
        <v>0</v>
      </c>
      <c r="CR51" s="19">
        <v>0</v>
      </c>
      <c r="CS51" s="19">
        <v>0</v>
      </c>
      <c r="CT51" s="19">
        <v>0</v>
      </c>
      <c r="CU51" s="19">
        <v>0</v>
      </c>
      <c r="CV51" s="17"/>
      <c r="CW51" s="19">
        <v>0</v>
      </c>
      <c r="CX51" s="17"/>
      <c r="CY51" s="17"/>
      <c r="CZ51" s="19">
        <v>0</v>
      </c>
      <c r="DA51" s="17"/>
      <c r="DB51" s="17"/>
      <c r="DC51" s="19">
        <v>100</v>
      </c>
      <c r="DD51" s="17"/>
      <c r="DE51" s="17">
        <v>2958465</v>
      </c>
      <c r="DF51" s="17"/>
      <c r="DG51" s="17"/>
      <c r="DH51" s="19">
        <v>0</v>
      </c>
      <c r="DI51" s="19">
        <v>0</v>
      </c>
    </row>
    <row r="52" spans="1:113" x14ac:dyDescent="0.2">
      <c r="A52" s="14" t="s">
        <v>2315</v>
      </c>
      <c r="B52" s="16" t="s">
        <v>1764</v>
      </c>
      <c r="C52" s="14" t="s">
        <v>158</v>
      </c>
      <c r="D52" s="14" t="s">
        <v>159</v>
      </c>
      <c r="E52" s="14" t="s">
        <v>158</v>
      </c>
      <c r="F52" s="14" t="s">
        <v>2044</v>
      </c>
      <c r="G52" s="14" t="s">
        <v>2045</v>
      </c>
      <c r="H52" s="14" t="s">
        <v>81</v>
      </c>
      <c r="I52" s="14" t="s">
        <v>82</v>
      </c>
      <c r="J52" s="16">
        <f>COUNTIF($I$3:I52, I52)</f>
        <v>2</v>
      </c>
      <c r="K52" s="14" t="s">
        <v>2048</v>
      </c>
      <c r="L52" s="14" t="s">
        <v>2048</v>
      </c>
      <c r="M52" s="14" t="s">
        <v>2048</v>
      </c>
      <c r="N52" s="14" t="s">
        <v>2048</v>
      </c>
      <c r="O52" s="14" t="s">
        <v>2409</v>
      </c>
      <c r="P52" s="14" t="s">
        <v>2410</v>
      </c>
      <c r="Q52" s="14" t="s">
        <v>72</v>
      </c>
      <c r="R52" s="14" t="s">
        <v>2048</v>
      </c>
      <c r="S52" s="14" t="s">
        <v>2048</v>
      </c>
      <c r="T52" s="14" t="s">
        <v>2048</v>
      </c>
      <c r="U52" s="14" t="s">
        <v>2048</v>
      </c>
      <c r="V52" s="14" t="s">
        <v>2050</v>
      </c>
      <c r="W52" s="14" t="s">
        <v>2048</v>
      </c>
      <c r="X52" s="14" t="s">
        <v>2048</v>
      </c>
      <c r="Y52" s="14" t="s">
        <v>2048</v>
      </c>
      <c r="Z52" s="14" t="s">
        <v>2048</v>
      </c>
      <c r="AA52" s="14" t="s">
        <v>2048</v>
      </c>
      <c r="AB52" s="14" t="s">
        <v>85</v>
      </c>
      <c r="AC52" s="14" t="s">
        <v>86</v>
      </c>
      <c r="AD52" s="14" t="s">
        <v>2411</v>
      </c>
      <c r="AE52" s="14" t="s">
        <v>2412</v>
      </c>
      <c r="AF52" s="14" t="s">
        <v>2056</v>
      </c>
      <c r="AG52" s="14" t="s">
        <v>2055</v>
      </c>
      <c r="AH52" s="14" t="s">
        <v>2055</v>
      </c>
      <c r="AI52" s="14" t="s">
        <v>2057</v>
      </c>
      <c r="AJ52" s="14" t="s">
        <v>87</v>
      </c>
      <c r="AK52" s="14" t="s">
        <v>2048</v>
      </c>
      <c r="AL52" s="14" t="s">
        <v>2048</v>
      </c>
      <c r="AM52" s="14" t="s">
        <v>2413</v>
      </c>
      <c r="AN52" s="14" t="s">
        <v>2207</v>
      </c>
      <c r="AO52" s="17" t="s">
        <v>89</v>
      </c>
      <c r="AP52" s="14" t="s">
        <v>2135</v>
      </c>
      <c r="AQ52" s="14" t="s">
        <v>2414</v>
      </c>
      <c r="AR52" s="14" t="s">
        <v>2415</v>
      </c>
      <c r="AS52" s="14" t="s">
        <v>2416</v>
      </c>
      <c r="AT52" s="14" t="s">
        <v>72</v>
      </c>
      <c r="AU52" s="14" t="s">
        <v>2268</v>
      </c>
      <c r="AV52" s="14" t="s">
        <v>2269</v>
      </c>
      <c r="AW52" s="14" t="s">
        <v>2048</v>
      </c>
      <c r="AX52" s="14" t="s">
        <v>2048</v>
      </c>
      <c r="AY52" s="14" t="s">
        <v>81</v>
      </c>
      <c r="AZ52" s="14" t="s">
        <v>143</v>
      </c>
      <c r="BA52" s="14" t="s">
        <v>2270</v>
      </c>
      <c r="BB52" s="14" t="s">
        <v>2048</v>
      </c>
      <c r="BC52" s="14" t="s">
        <v>2048</v>
      </c>
      <c r="BD52" s="14" t="s">
        <v>2271</v>
      </c>
      <c r="BE52" s="14" t="s">
        <v>2272</v>
      </c>
      <c r="BF52" s="14" t="s">
        <v>2271</v>
      </c>
      <c r="BG52" s="14" t="s">
        <v>2272</v>
      </c>
      <c r="BH52" s="14" t="s">
        <v>2273</v>
      </c>
      <c r="BI52" s="14" t="s">
        <v>2218</v>
      </c>
      <c r="BJ52" s="14" t="s">
        <v>2048</v>
      </c>
      <c r="BK52" s="14" t="s">
        <v>2048</v>
      </c>
      <c r="BL52" s="14" t="s">
        <v>2064</v>
      </c>
      <c r="BM52" s="14" t="s">
        <v>72</v>
      </c>
      <c r="BN52" s="14" t="s">
        <v>72</v>
      </c>
      <c r="BO52" s="14" t="s">
        <v>2417</v>
      </c>
      <c r="BP52" s="14" t="s">
        <v>2219</v>
      </c>
      <c r="BQ52" s="14" t="s">
        <v>2220</v>
      </c>
      <c r="BR52" s="14" t="s">
        <v>2418</v>
      </c>
      <c r="BS52" s="14" t="s">
        <v>2089</v>
      </c>
      <c r="BT52" s="14" t="s">
        <v>2048</v>
      </c>
      <c r="BU52" s="14" t="s">
        <v>2048</v>
      </c>
      <c r="BV52" s="14" t="s">
        <v>2048</v>
      </c>
      <c r="BW52" s="14" t="s">
        <v>2048</v>
      </c>
      <c r="BX52" s="14" t="s">
        <v>72</v>
      </c>
      <c r="BY52" s="14" t="s">
        <v>2048</v>
      </c>
      <c r="BZ52" s="14" t="s">
        <v>2048</v>
      </c>
      <c r="CA52" s="14" t="s">
        <v>2048</v>
      </c>
      <c r="CB52" s="14" t="s">
        <v>2048</v>
      </c>
      <c r="CC52" s="14" t="s">
        <v>2048</v>
      </c>
      <c r="CD52" s="14" t="s">
        <v>2048</v>
      </c>
      <c r="CE52" s="14" t="s">
        <v>2048</v>
      </c>
      <c r="CF52" s="14" t="s">
        <v>2048</v>
      </c>
      <c r="CG52" s="14" t="s">
        <v>2057</v>
      </c>
      <c r="CH52" s="14" t="s">
        <v>2090</v>
      </c>
      <c r="CI52" s="14" t="s">
        <v>2048</v>
      </c>
      <c r="CJ52" s="17"/>
      <c r="CK52" s="17">
        <v>45646</v>
      </c>
      <c r="CL52" s="17">
        <v>45646</v>
      </c>
      <c r="CM52" s="17">
        <v>2958465</v>
      </c>
      <c r="CN52" s="17"/>
      <c r="CO52" s="19">
        <v>0</v>
      </c>
      <c r="CP52" s="19">
        <v>0</v>
      </c>
      <c r="CQ52" s="19">
        <v>0</v>
      </c>
      <c r="CR52" s="19">
        <v>0</v>
      </c>
      <c r="CS52" s="19">
        <v>0</v>
      </c>
      <c r="CT52" s="19">
        <v>0</v>
      </c>
      <c r="CU52" s="19">
        <v>0</v>
      </c>
      <c r="CV52" s="17"/>
      <c r="CW52" s="19">
        <v>0</v>
      </c>
      <c r="CX52" s="17"/>
      <c r="CY52" s="17"/>
      <c r="CZ52" s="19">
        <v>0</v>
      </c>
      <c r="DA52" s="17"/>
      <c r="DB52" s="17"/>
      <c r="DC52" s="19">
        <v>100</v>
      </c>
      <c r="DD52" s="17"/>
      <c r="DE52" s="17">
        <v>2958465</v>
      </c>
      <c r="DF52" s="17"/>
      <c r="DG52" s="17"/>
      <c r="DH52" s="19">
        <v>0</v>
      </c>
      <c r="DI52" s="19">
        <v>0</v>
      </c>
    </row>
    <row r="53" spans="1:113" x14ac:dyDescent="0.2">
      <c r="A53" s="14" t="s">
        <v>2315</v>
      </c>
      <c r="B53" s="16" t="s">
        <v>2419</v>
      </c>
      <c r="C53" s="14" t="s">
        <v>158</v>
      </c>
      <c r="D53" s="14" t="s">
        <v>159</v>
      </c>
      <c r="E53" s="14" t="s">
        <v>158</v>
      </c>
      <c r="F53" s="14" t="s">
        <v>2044</v>
      </c>
      <c r="G53" s="14" t="s">
        <v>2045</v>
      </c>
      <c r="H53" s="14" t="s">
        <v>960</v>
      </c>
      <c r="I53" s="14" t="s">
        <v>961</v>
      </c>
      <c r="J53" s="16">
        <f>COUNTIF($I$3:I53, I53)</f>
        <v>2</v>
      </c>
      <c r="K53" s="14" t="s">
        <v>2048</v>
      </c>
      <c r="L53" s="14" t="s">
        <v>2048</v>
      </c>
      <c r="M53" s="14" t="s">
        <v>2048</v>
      </c>
      <c r="N53" s="14" t="s">
        <v>2048</v>
      </c>
      <c r="O53" s="14" t="s">
        <v>2420</v>
      </c>
      <c r="P53" s="14" t="s">
        <v>2048</v>
      </c>
      <c r="Q53" s="14" t="s">
        <v>2048</v>
      </c>
      <c r="R53" s="14" t="s">
        <v>2421</v>
      </c>
      <c r="S53" s="14" t="s">
        <v>2048</v>
      </c>
      <c r="T53" s="14" t="s">
        <v>2422</v>
      </c>
      <c r="U53" s="14" t="s">
        <v>2049</v>
      </c>
      <c r="V53" s="14" t="s">
        <v>2050</v>
      </c>
      <c r="W53" s="14" t="s">
        <v>2048</v>
      </c>
      <c r="X53" s="14" t="s">
        <v>2048</v>
      </c>
      <c r="Y53" s="14" t="s">
        <v>2048</v>
      </c>
      <c r="Z53" s="14" t="s">
        <v>2048</v>
      </c>
      <c r="AA53" s="14" t="s">
        <v>2048</v>
      </c>
      <c r="AB53" s="14" t="s">
        <v>380</v>
      </c>
      <c r="AC53" s="14" t="s">
        <v>381</v>
      </c>
      <c r="AD53" s="14" t="s">
        <v>2205</v>
      </c>
      <c r="AE53" s="14" t="s">
        <v>2206</v>
      </c>
      <c r="AF53" s="14" t="s">
        <v>2055</v>
      </c>
      <c r="AG53" s="14" t="s">
        <v>2055</v>
      </c>
      <c r="AH53" s="14" t="s">
        <v>2055</v>
      </c>
      <c r="AI53" s="14" t="s">
        <v>2057</v>
      </c>
      <c r="AJ53" s="14" t="s">
        <v>87</v>
      </c>
      <c r="AK53" s="14" t="s">
        <v>2048</v>
      </c>
      <c r="AL53" s="14" t="s">
        <v>2048</v>
      </c>
      <c r="AM53" s="14" t="s">
        <v>2048</v>
      </c>
      <c r="AN53" s="14" t="s">
        <v>2048</v>
      </c>
      <c r="AO53" s="17" t="s">
        <v>89</v>
      </c>
      <c r="AP53" s="14" t="s">
        <v>2208</v>
      </c>
      <c r="AQ53" s="14" t="s">
        <v>2059</v>
      </c>
      <c r="AR53" s="14" t="s">
        <v>2060</v>
      </c>
      <c r="AS53" s="14" t="s">
        <v>2048</v>
      </c>
      <c r="AT53" s="14" t="s">
        <v>72</v>
      </c>
      <c r="AU53" s="14" t="s">
        <v>2211</v>
      </c>
      <c r="AV53" s="14" t="s">
        <v>2212</v>
      </c>
      <c r="AW53" s="14" t="s">
        <v>2048</v>
      </c>
      <c r="AX53" s="14" t="s">
        <v>2048</v>
      </c>
      <c r="AY53" s="14" t="s">
        <v>960</v>
      </c>
      <c r="AZ53" s="14" t="s">
        <v>2213</v>
      </c>
      <c r="BA53" s="14" t="s">
        <v>2214</v>
      </c>
      <c r="BB53" s="14" t="s">
        <v>2048</v>
      </c>
      <c r="BC53" s="14" t="s">
        <v>2048</v>
      </c>
      <c r="BD53" s="14" t="s">
        <v>2215</v>
      </c>
      <c r="BE53" s="14" t="s">
        <v>2216</v>
      </c>
      <c r="BF53" s="14" t="s">
        <v>2048</v>
      </c>
      <c r="BG53" s="14" t="s">
        <v>2048</v>
      </c>
      <c r="BH53" s="14" t="s">
        <v>2217</v>
      </c>
      <c r="BI53" s="14" t="s">
        <v>2218</v>
      </c>
      <c r="BJ53" s="14" t="s">
        <v>2048</v>
      </c>
      <c r="BK53" s="14" t="s">
        <v>2048</v>
      </c>
      <c r="BL53" s="14" t="s">
        <v>2064</v>
      </c>
      <c r="BM53" s="14" t="s">
        <v>72</v>
      </c>
      <c r="BN53" s="14" t="s">
        <v>72</v>
      </c>
      <c r="BO53" s="14" t="s">
        <v>2423</v>
      </c>
      <c r="BP53" s="14" t="s">
        <v>2048</v>
      </c>
      <c r="BQ53" s="14" t="s">
        <v>2048</v>
      </c>
      <c r="BR53" s="14" t="s">
        <v>2418</v>
      </c>
      <c r="BS53" s="14" t="s">
        <v>2089</v>
      </c>
      <c r="BT53" s="14" t="s">
        <v>2048</v>
      </c>
      <c r="BU53" s="14" t="s">
        <v>2048</v>
      </c>
      <c r="BV53" s="14" t="s">
        <v>2048</v>
      </c>
      <c r="BW53" s="14" t="s">
        <v>2048</v>
      </c>
      <c r="BX53" s="14" t="s">
        <v>72</v>
      </c>
      <c r="BY53" s="14" t="s">
        <v>2048</v>
      </c>
      <c r="BZ53" s="14" t="s">
        <v>2048</v>
      </c>
      <c r="CA53" s="14" t="s">
        <v>2048</v>
      </c>
      <c r="CB53" s="14" t="s">
        <v>2048</v>
      </c>
      <c r="CC53" s="14" t="s">
        <v>2048</v>
      </c>
      <c r="CD53" s="14" t="s">
        <v>2048</v>
      </c>
      <c r="CE53" s="14" t="s">
        <v>2048</v>
      </c>
      <c r="CF53" s="14" t="s">
        <v>2048</v>
      </c>
      <c r="CG53" s="14" t="s">
        <v>2057</v>
      </c>
      <c r="CH53" s="14" t="s">
        <v>2090</v>
      </c>
      <c r="CI53" s="14" t="s">
        <v>2048</v>
      </c>
      <c r="CJ53" s="17"/>
      <c r="CK53" s="17">
        <v>45608</v>
      </c>
      <c r="CL53" s="17">
        <v>45608</v>
      </c>
      <c r="CM53" s="17">
        <v>2958465</v>
      </c>
      <c r="CN53" s="17"/>
      <c r="CO53" s="19">
        <v>0</v>
      </c>
      <c r="CP53" s="19">
        <v>0</v>
      </c>
      <c r="CQ53" s="19">
        <v>0</v>
      </c>
      <c r="CR53" s="19">
        <v>0</v>
      </c>
      <c r="CS53" s="19">
        <v>0</v>
      </c>
      <c r="CT53" s="19">
        <v>0</v>
      </c>
      <c r="CU53" s="19">
        <v>0</v>
      </c>
      <c r="CV53" s="17"/>
      <c r="CW53" s="20">
        <v>6486</v>
      </c>
      <c r="CX53" s="17">
        <v>45730</v>
      </c>
      <c r="CY53" s="17"/>
      <c r="CZ53" s="19">
        <v>0</v>
      </c>
      <c r="DA53" s="17"/>
      <c r="DB53" s="17"/>
      <c r="DC53" s="19">
        <v>100</v>
      </c>
      <c r="DD53" s="17"/>
      <c r="DE53" s="17">
        <v>2958465</v>
      </c>
      <c r="DF53" s="17"/>
      <c r="DG53" s="17"/>
      <c r="DH53" s="19">
        <v>0</v>
      </c>
      <c r="DI53" s="19">
        <v>0</v>
      </c>
    </row>
    <row r="54" spans="1:113" x14ac:dyDescent="0.2">
      <c r="A54" s="14" t="s">
        <v>2315</v>
      </c>
      <c r="B54" s="16" t="s">
        <v>2424</v>
      </c>
      <c r="C54" s="14" t="s">
        <v>158</v>
      </c>
      <c r="D54" s="14" t="s">
        <v>159</v>
      </c>
      <c r="E54" s="14" t="s">
        <v>158</v>
      </c>
      <c r="F54" s="14" t="s">
        <v>2044</v>
      </c>
      <c r="G54" s="14" t="s">
        <v>2045</v>
      </c>
      <c r="H54" s="14" t="s">
        <v>190</v>
      </c>
      <c r="I54" s="14" t="s">
        <v>191</v>
      </c>
      <c r="J54" s="16">
        <f>COUNTIF($I$3:I54, I54)</f>
        <v>1</v>
      </c>
      <c r="K54" s="14" t="s">
        <v>2048</v>
      </c>
      <c r="L54" s="14" t="s">
        <v>2048</v>
      </c>
      <c r="M54" s="14" t="s">
        <v>2048</v>
      </c>
      <c r="N54" s="14" t="s">
        <v>2048</v>
      </c>
      <c r="O54" s="14" t="s">
        <v>2425</v>
      </c>
      <c r="P54" s="14" t="s">
        <v>2048</v>
      </c>
      <c r="Q54" s="14" t="s">
        <v>2048</v>
      </c>
      <c r="R54" s="14" t="s">
        <v>2426</v>
      </c>
      <c r="S54" s="14" t="s">
        <v>2048</v>
      </c>
      <c r="T54" s="14" t="s">
        <v>2422</v>
      </c>
      <c r="U54" s="14" t="s">
        <v>2049</v>
      </c>
      <c r="V54" s="14" t="s">
        <v>2050</v>
      </c>
      <c r="W54" s="14" t="s">
        <v>2048</v>
      </c>
      <c r="X54" s="14" t="s">
        <v>2048</v>
      </c>
      <c r="Y54" s="14" t="s">
        <v>2048</v>
      </c>
      <c r="Z54" s="14" t="s">
        <v>2048</v>
      </c>
      <c r="AA54" s="14" t="s">
        <v>2048</v>
      </c>
      <c r="AB54" s="14" t="s">
        <v>380</v>
      </c>
      <c r="AC54" s="14" t="s">
        <v>381</v>
      </c>
      <c r="AD54" s="14" t="s">
        <v>2132</v>
      </c>
      <c r="AE54" s="14" t="s">
        <v>2133</v>
      </c>
      <c r="AF54" s="14" t="s">
        <v>2055</v>
      </c>
      <c r="AG54" s="14" t="s">
        <v>2055</v>
      </c>
      <c r="AH54" s="14" t="s">
        <v>2055</v>
      </c>
      <c r="AI54" s="14" t="s">
        <v>2057</v>
      </c>
      <c r="AJ54" s="14" t="s">
        <v>87</v>
      </c>
      <c r="AK54" s="14" t="s">
        <v>2048</v>
      </c>
      <c r="AL54" s="14" t="s">
        <v>2048</v>
      </c>
      <c r="AM54" s="14" t="s">
        <v>2048</v>
      </c>
      <c r="AN54" s="14" t="s">
        <v>2427</v>
      </c>
      <c r="AO54" s="17" t="s">
        <v>89</v>
      </c>
      <c r="AP54" s="14" t="s">
        <v>2208</v>
      </c>
      <c r="AQ54" s="14" t="s">
        <v>2059</v>
      </c>
      <c r="AR54" s="14" t="s">
        <v>2428</v>
      </c>
      <c r="AS54" s="14" t="s">
        <v>2429</v>
      </c>
      <c r="AT54" s="14" t="s">
        <v>2048</v>
      </c>
      <c r="AU54" s="14" t="s">
        <v>2430</v>
      </c>
      <c r="AV54" s="14" t="s">
        <v>2431</v>
      </c>
      <c r="AW54" s="14" t="s">
        <v>2048</v>
      </c>
      <c r="AX54" s="14" t="s">
        <v>2048</v>
      </c>
      <c r="AY54" s="14" t="s">
        <v>190</v>
      </c>
      <c r="AZ54" s="14" t="s">
        <v>518</v>
      </c>
      <c r="BA54" s="14" t="s">
        <v>2432</v>
      </c>
      <c r="BB54" s="14" t="s">
        <v>2048</v>
      </c>
      <c r="BC54" s="14" t="s">
        <v>2048</v>
      </c>
      <c r="BD54" s="14" t="s">
        <v>2433</v>
      </c>
      <c r="BE54" s="14" t="s">
        <v>2434</v>
      </c>
      <c r="BF54" s="14" t="s">
        <v>2435</v>
      </c>
      <c r="BG54" s="14" t="s">
        <v>2436</v>
      </c>
      <c r="BH54" s="14" t="s">
        <v>2437</v>
      </c>
      <c r="BI54" s="14" t="s">
        <v>2287</v>
      </c>
      <c r="BJ54" s="14" t="s">
        <v>2048</v>
      </c>
      <c r="BK54" s="14" t="s">
        <v>2048</v>
      </c>
      <c r="BL54" s="14" t="s">
        <v>2064</v>
      </c>
      <c r="BM54" s="14" t="s">
        <v>72</v>
      </c>
      <c r="BN54" s="14" t="s">
        <v>72</v>
      </c>
      <c r="BO54" s="14" t="s">
        <v>2438</v>
      </c>
      <c r="BP54" s="14" t="s">
        <v>2439</v>
      </c>
      <c r="BQ54" s="14" t="s">
        <v>2427</v>
      </c>
      <c r="BR54" s="14" t="s">
        <v>2418</v>
      </c>
      <c r="BS54" s="14" t="s">
        <v>2089</v>
      </c>
      <c r="BT54" s="14" t="s">
        <v>2048</v>
      </c>
      <c r="BU54" s="14" t="s">
        <v>2048</v>
      </c>
      <c r="BV54" s="14" t="s">
        <v>2048</v>
      </c>
      <c r="BW54" s="14" t="s">
        <v>2048</v>
      </c>
      <c r="BX54" s="14" t="s">
        <v>72</v>
      </c>
      <c r="BY54" s="14" t="s">
        <v>2048</v>
      </c>
      <c r="BZ54" s="14" t="s">
        <v>2048</v>
      </c>
      <c r="CA54" s="14" t="s">
        <v>2048</v>
      </c>
      <c r="CB54" s="14" t="s">
        <v>2048</v>
      </c>
      <c r="CC54" s="14" t="s">
        <v>2048</v>
      </c>
      <c r="CD54" s="14" t="s">
        <v>2048</v>
      </c>
      <c r="CE54" s="14" t="s">
        <v>2048</v>
      </c>
      <c r="CF54" s="14" t="s">
        <v>2048</v>
      </c>
      <c r="CG54" s="14" t="s">
        <v>2057</v>
      </c>
      <c r="CH54" s="14" t="s">
        <v>2090</v>
      </c>
      <c r="CI54" s="14" t="s">
        <v>2048</v>
      </c>
      <c r="CJ54" s="17"/>
      <c r="CK54" s="17">
        <v>45608</v>
      </c>
      <c r="CL54" s="17">
        <v>45608</v>
      </c>
      <c r="CM54" s="17">
        <v>2958465</v>
      </c>
      <c r="CN54" s="17"/>
      <c r="CO54" s="19">
        <v>0</v>
      </c>
      <c r="CP54" s="19">
        <v>0</v>
      </c>
      <c r="CQ54" s="19">
        <v>0</v>
      </c>
      <c r="CR54" s="19">
        <v>0</v>
      </c>
      <c r="CS54" s="19">
        <v>0</v>
      </c>
      <c r="CT54" s="19">
        <v>0</v>
      </c>
      <c r="CU54" s="19">
        <v>0</v>
      </c>
      <c r="CV54" s="17"/>
      <c r="CW54" s="19">
        <v>543</v>
      </c>
      <c r="CX54" s="17">
        <v>45730</v>
      </c>
      <c r="CY54" s="17"/>
      <c r="CZ54" s="19">
        <v>0</v>
      </c>
      <c r="DA54" s="17"/>
      <c r="DB54" s="17"/>
      <c r="DC54" s="19">
        <v>100</v>
      </c>
      <c r="DD54" s="17"/>
      <c r="DE54" s="17">
        <v>2958465</v>
      </c>
      <c r="DF54" s="17"/>
      <c r="DG54" s="17"/>
      <c r="DH54" s="19">
        <v>0</v>
      </c>
      <c r="DI54" s="19">
        <v>0</v>
      </c>
    </row>
    <row r="55" spans="1:113" x14ac:dyDescent="0.2">
      <c r="A55" s="14" t="s">
        <v>2315</v>
      </c>
      <c r="B55" s="16" t="s">
        <v>754</v>
      </c>
      <c r="C55" s="14" t="s">
        <v>158</v>
      </c>
      <c r="D55" s="14" t="s">
        <v>159</v>
      </c>
      <c r="E55" s="14" t="s">
        <v>158</v>
      </c>
      <c r="F55" s="14" t="s">
        <v>2044</v>
      </c>
      <c r="G55" s="14" t="s">
        <v>2045</v>
      </c>
      <c r="H55" s="14" t="s">
        <v>131</v>
      </c>
      <c r="I55" s="14" t="s">
        <v>132</v>
      </c>
      <c r="J55" s="16">
        <f>COUNTIF($I$3:I55, I55)</f>
        <v>1</v>
      </c>
      <c r="K55" s="14" t="s">
        <v>2048</v>
      </c>
      <c r="L55" s="14" t="s">
        <v>2048</v>
      </c>
      <c r="M55" s="14" t="s">
        <v>2048</v>
      </c>
      <c r="N55" s="14" t="s">
        <v>2048</v>
      </c>
      <c r="O55" s="14" t="s">
        <v>2440</v>
      </c>
      <c r="P55" s="14" t="s">
        <v>2048</v>
      </c>
      <c r="Q55" s="14" t="s">
        <v>2048</v>
      </c>
      <c r="R55" s="14" t="s">
        <v>2441</v>
      </c>
      <c r="S55" s="14" t="s">
        <v>2048</v>
      </c>
      <c r="T55" s="14" t="s">
        <v>2422</v>
      </c>
      <c r="U55" s="14" t="s">
        <v>2049</v>
      </c>
      <c r="V55" s="14" t="s">
        <v>2050</v>
      </c>
      <c r="W55" s="14" t="s">
        <v>2048</v>
      </c>
      <c r="X55" s="14" t="s">
        <v>2048</v>
      </c>
      <c r="Y55" s="14" t="s">
        <v>2048</v>
      </c>
      <c r="Z55" s="14" t="s">
        <v>2048</v>
      </c>
      <c r="AA55" s="14" t="s">
        <v>2048</v>
      </c>
      <c r="AB55" s="14" t="s">
        <v>380</v>
      </c>
      <c r="AC55" s="14" t="s">
        <v>381</v>
      </c>
      <c r="AD55" s="14" t="s">
        <v>2442</v>
      </c>
      <c r="AE55" s="14" t="s">
        <v>2443</v>
      </c>
      <c r="AF55" s="14" t="s">
        <v>2055</v>
      </c>
      <c r="AG55" s="14" t="s">
        <v>2056</v>
      </c>
      <c r="AH55" s="14" t="s">
        <v>2055</v>
      </c>
      <c r="AI55" s="14" t="s">
        <v>2057</v>
      </c>
      <c r="AJ55" s="14" t="s">
        <v>87</v>
      </c>
      <c r="AK55" s="14" t="s">
        <v>2048</v>
      </c>
      <c r="AL55" s="14" t="s">
        <v>2048</v>
      </c>
      <c r="AM55" s="14" t="s">
        <v>2444</v>
      </c>
      <c r="AN55" s="14" t="s">
        <v>2443</v>
      </c>
      <c r="AO55" s="17" t="s">
        <v>89</v>
      </c>
      <c r="AP55" s="14" t="s">
        <v>2208</v>
      </c>
      <c r="AQ55" s="14" t="s">
        <v>2445</v>
      </c>
      <c r="AR55" s="14" t="s">
        <v>2446</v>
      </c>
      <c r="AS55" s="14" t="s">
        <v>2447</v>
      </c>
      <c r="AT55" s="14" t="s">
        <v>72</v>
      </c>
      <c r="AU55" s="14" t="s">
        <v>2448</v>
      </c>
      <c r="AV55" s="14" t="s">
        <v>2449</v>
      </c>
      <c r="AW55" s="14" t="s">
        <v>2048</v>
      </c>
      <c r="AX55" s="14" t="s">
        <v>2048</v>
      </c>
      <c r="AY55" s="14" t="s">
        <v>131</v>
      </c>
      <c r="AZ55" s="14" t="s">
        <v>622</v>
      </c>
      <c r="BA55" s="14" t="s">
        <v>2450</v>
      </c>
      <c r="BB55" s="14" t="s">
        <v>2451</v>
      </c>
      <c r="BC55" s="14" t="s">
        <v>2048</v>
      </c>
      <c r="BD55" s="14" t="s">
        <v>2048</v>
      </c>
      <c r="BE55" s="14" t="s">
        <v>2048</v>
      </c>
      <c r="BF55" s="14" t="s">
        <v>2452</v>
      </c>
      <c r="BG55" s="14" t="s">
        <v>2453</v>
      </c>
      <c r="BH55" s="14" t="s">
        <v>2454</v>
      </c>
      <c r="BI55" s="14" t="s">
        <v>2455</v>
      </c>
      <c r="BJ55" s="14" t="s">
        <v>2048</v>
      </c>
      <c r="BK55" s="14" t="s">
        <v>2048</v>
      </c>
      <c r="BL55" s="14" t="s">
        <v>2064</v>
      </c>
      <c r="BM55" s="14" t="s">
        <v>72</v>
      </c>
      <c r="BN55" s="14" t="s">
        <v>72</v>
      </c>
      <c r="BO55" s="14" t="s">
        <v>2456</v>
      </c>
      <c r="BP55" s="14" t="s">
        <v>2457</v>
      </c>
      <c r="BQ55" s="14" t="s">
        <v>2458</v>
      </c>
      <c r="BR55" s="14" t="s">
        <v>2418</v>
      </c>
      <c r="BS55" s="14" t="s">
        <v>2089</v>
      </c>
      <c r="BT55" s="14" t="s">
        <v>2048</v>
      </c>
      <c r="BU55" s="14" t="s">
        <v>2048</v>
      </c>
      <c r="BV55" s="14" t="s">
        <v>2048</v>
      </c>
      <c r="BW55" s="14" t="s">
        <v>2048</v>
      </c>
      <c r="BX55" s="14" t="s">
        <v>72</v>
      </c>
      <c r="BY55" s="14" t="s">
        <v>2048</v>
      </c>
      <c r="BZ55" s="14" t="s">
        <v>2048</v>
      </c>
      <c r="CA55" s="14" t="s">
        <v>2048</v>
      </c>
      <c r="CB55" s="14" t="s">
        <v>2048</v>
      </c>
      <c r="CC55" s="14" t="s">
        <v>2048</v>
      </c>
      <c r="CD55" s="14" t="s">
        <v>2048</v>
      </c>
      <c r="CE55" s="14" t="s">
        <v>2048</v>
      </c>
      <c r="CF55" s="14" t="s">
        <v>2048</v>
      </c>
      <c r="CG55" s="14" t="s">
        <v>2057</v>
      </c>
      <c r="CH55" s="14" t="s">
        <v>2090</v>
      </c>
      <c r="CI55" s="14" t="s">
        <v>2048</v>
      </c>
      <c r="CJ55" s="17"/>
      <c r="CK55" s="17">
        <v>45608</v>
      </c>
      <c r="CL55" s="17">
        <v>45608</v>
      </c>
      <c r="CM55" s="17">
        <v>2958465</v>
      </c>
      <c r="CN55" s="17"/>
      <c r="CO55" s="19">
        <v>0</v>
      </c>
      <c r="CP55" s="19">
        <v>0</v>
      </c>
      <c r="CQ55" s="19">
        <v>0</v>
      </c>
      <c r="CR55" s="19">
        <v>0</v>
      </c>
      <c r="CS55" s="19">
        <v>0</v>
      </c>
      <c r="CT55" s="19">
        <v>0</v>
      </c>
      <c r="CU55" s="19">
        <v>0</v>
      </c>
      <c r="CV55" s="17"/>
      <c r="CW55" s="19">
        <v>0</v>
      </c>
      <c r="CX55" s="17"/>
      <c r="CY55" s="17"/>
      <c r="CZ55" s="19">
        <v>0</v>
      </c>
      <c r="DA55" s="17"/>
      <c r="DB55" s="17"/>
      <c r="DC55" s="19">
        <v>100</v>
      </c>
      <c r="DD55" s="17"/>
      <c r="DE55" s="17">
        <v>2958465</v>
      </c>
      <c r="DF55" s="17"/>
      <c r="DG55" s="17"/>
      <c r="DH55" s="19">
        <v>0</v>
      </c>
      <c r="DI55" s="19">
        <v>0</v>
      </c>
    </row>
    <row r="56" spans="1:113" x14ac:dyDescent="0.2">
      <c r="A56" s="14" t="s">
        <v>2315</v>
      </c>
      <c r="B56" s="16" t="s">
        <v>1756</v>
      </c>
      <c r="C56" s="14" t="s">
        <v>158</v>
      </c>
      <c r="D56" s="14" t="s">
        <v>159</v>
      </c>
      <c r="E56" s="14" t="s">
        <v>158</v>
      </c>
      <c r="F56" s="14" t="s">
        <v>2044</v>
      </c>
      <c r="G56" s="14" t="s">
        <v>2045</v>
      </c>
      <c r="H56" s="14" t="s">
        <v>81</v>
      </c>
      <c r="I56" s="14" t="s">
        <v>82</v>
      </c>
      <c r="J56" s="16">
        <f>COUNTIF($I$3:I56, I56)</f>
        <v>3</v>
      </c>
      <c r="K56" s="14" t="s">
        <v>2048</v>
      </c>
      <c r="L56" s="14" t="s">
        <v>2048</v>
      </c>
      <c r="M56" s="14" t="s">
        <v>2048</v>
      </c>
      <c r="N56" s="14" t="s">
        <v>2048</v>
      </c>
      <c r="O56" s="14" t="s">
        <v>2459</v>
      </c>
      <c r="P56" s="14" t="s">
        <v>2460</v>
      </c>
      <c r="Q56" s="14" t="s">
        <v>72</v>
      </c>
      <c r="R56" s="14" t="s">
        <v>2048</v>
      </c>
      <c r="S56" s="14" t="s">
        <v>2048</v>
      </c>
      <c r="T56" s="14" t="s">
        <v>2048</v>
      </c>
      <c r="U56" s="14" t="s">
        <v>2048</v>
      </c>
      <c r="V56" s="14" t="s">
        <v>2050</v>
      </c>
      <c r="W56" s="14" t="s">
        <v>2048</v>
      </c>
      <c r="X56" s="14" t="s">
        <v>2048</v>
      </c>
      <c r="Y56" s="14" t="s">
        <v>2048</v>
      </c>
      <c r="Z56" s="14" t="s">
        <v>2048</v>
      </c>
      <c r="AA56" s="14" t="s">
        <v>2048</v>
      </c>
      <c r="AB56" s="14" t="s">
        <v>85</v>
      </c>
      <c r="AC56" s="14" t="s">
        <v>86</v>
      </c>
      <c r="AD56" s="14" t="s">
        <v>2411</v>
      </c>
      <c r="AE56" s="14" t="s">
        <v>2412</v>
      </c>
      <c r="AF56" s="14" t="s">
        <v>2055</v>
      </c>
      <c r="AG56" s="14" t="s">
        <v>2055</v>
      </c>
      <c r="AH56" s="14" t="s">
        <v>2055</v>
      </c>
      <c r="AI56" s="14" t="s">
        <v>2057</v>
      </c>
      <c r="AJ56" s="14" t="s">
        <v>87</v>
      </c>
      <c r="AK56" s="14" t="s">
        <v>2048</v>
      </c>
      <c r="AL56" s="14" t="s">
        <v>2048</v>
      </c>
      <c r="AM56" s="14" t="s">
        <v>2413</v>
      </c>
      <c r="AN56" s="14" t="s">
        <v>2207</v>
      </c>
      <c r="AO56" s="17" t="s">
        <v>89</v>
      </c>
      <c r="AP56" s="14" t="s">
        <v>2135</v>
      </c>
      <c r="AQ56" s="14" t="s">
        <v>2461</v>
      </c>
      <c r="AR56" s="14" t="s">
        <v>2462</v>
      </c>
      <c r="AS56" s="14" t="s">
        <v>2463</v>
      </c>
      <c r="AT56" s="14" t="s">
        <v>72</v>
      </c>
      <c r="AU56" s="14" t="s">
        <v>2268</v>
      </c>
      <c r="AV56" s="14" t="s">
        <v>2269</v>
      </c>
      <c r="AW56" s="14" t="s">
        <v>2048</v>
      </c>
      <c r="AX56" s="14" t="s">
        <v>2048</v>
      </c>
      <c r="AY56" s="14" t="s">
        <v>81</v>
      </c>
      <c r="AZ56" s="14" t="s">
        <v>143</v>
      </c>
      <c r="BA56" s="14" t="s">
        <v>2270</v>
      </c>
      <c r="BB56" s="14" t="s">
        <v>2048</v>
      </c>
      <c r="BC56" s="14" t="s">
        <v>2048</v>
      </c>
      <c r="BD56" s="14" t="s">
        <v>2271</v>
      </c>
      <c r="BE56" s="14" t="s">
        <v>2272</v>
      </c>
      <c r="BF56" s="14" t="s">
        <v>2271</v>
      </c>
      <c r="BG56" s="14" t="s">
        <v>2272</v>
      </c>
      <c r="BH56" s="14" t="s">
        <v>2273</v>
      </c>
      <c r="BI56" s="14" t="s">
        <v>2218</v>
      </c>
      <c r="BJ56" s="14" t="s">
        <v>2048</v>
      </c>
      <c r="BK56" s="14" t="s">
        <v>2048</v>
      </c>
      <c r="BL56" s="14" t="s">
        <v>2064</v>
      </c>
      <c r="BM56" s="14" t="s">
        <v>72</v>
      </c>
      <c r="BN56" s="14" t="s">
        <v>72</v>
      </c>
      <c r="BO56" s="14" t="s">
        <v>2464</v>
      </c>
      <c r="BP56" s="14" t="s">
        <v>2219</v>
      </c>
      <c r="BQ56" s="14" t="s">
        <v>2220</v>
      </c>
      <c r="BR56" s="14" t="s">
        <v>2418</v>
      </c>
      <c r="BS56" s="14" t="s">
        <v>2089</v>
      </c>
      <c r="BT56" s="14" t="s">
        <v>2048</v>
      </c>
      <c r="BU56" s="14" t="s">
        <v>2048</v>
      </c>
      <c r="BV56" s="14" t="s">
        <v>2048</v>
      </c>
      <c r="BW56" s="14" t="s">
        <v>2048</v>
      </c>
      <c r="BX56" s="14" t="s">
        <v>72</v>
      </c>
      <c r="BY56" s="14" t="s">
        <v>2048</v>
      </c>
      <c r="BZ56" s="14" t="s">
        <v>2048</v>
      </c>
      <c r="CA56" s="14" t="s">
        <v>2048</v>
      </c>
      <c r="CB56" s="14" t="s">
        <v>2048</v>
      </c>
      <c r="CC56" s="14" t="s">
        <v>2048</v>
      </c>
      <c r="CD56" s="14" t="s">
        <v>2048</v>
      </c>
      <c r="CE56" s="14" t="s">
        <v>2048</v>
      </c>
      <c r="CF56" s="14" t="s">
        <v>2048</v>
      </c>
      <c r="CG56" s="14" t="s">
        <v>2057</v>
      </c>
      <c r="CH56" s="14" t="s">
        <v>2090</v>
      </c>
      <c r="CI56" s="14" t="s">
        <v>2048</v>
      </c>
      <c r="CJ56" s="17"/>
      <c r="CK56" s="17">
        <v>45625</v>
      </c>
      <c r="CL56" s="17">
        <v>45625</v>
      </c>
      <c r="CM56" s="17">
        <v>2958465</v>
      </c>
      <c r="CN56" s="17"/>
      <c r="CO56" s="19">
        <v>0</v>
      </c>
      <c r="CP56" s="19">
        <v>0</v>
      </c>
      <c r="CQ56" s="19">
        <v>0</v>
      </c>
      <c r="CR56" s="19">
        <v>0</v>
      </c>
      <c r="CS56" s="19">
        <v>0</v>
      </c>
      <c r="CT56" s="19">
        <v>0</v>
      </c>
      <c r="CU56" s="19">
        <v>0</v>
      </c>
      <c r="CV56" s="17"/>
      <c r="CW56" s="19">
        <v>0</v>
      </c>
      <c r="CX56" s="17"/>
      <c r="CY56" s="17"/>
      <c r="CZ56" s="19">
        <v>0</v>
      </c>
      <c r="DA56" s="17"/>
      <c r="DB56" s="17"/>
      <c r="DC56" s="19">
        <v>100</v>
      </c>
      <c r="DD56" s="17"/>
      <c r="DE56" s="17">
        <v>2958465</v>
      </c>
      <c r="DF56" s="17"/>
      <c r="DG56" s="17"/>
      <c r="DH56" s="19">
        <v>0</v>
      </c>
      <c r="DI56" s="19">
        <v>0</v>
      </c>
    </row>
    <row r="57" spans="1:113" x14ac:dyDescent="0.2">
      <c r="A57" s="14" t="s">
        <v>2315</v>
      </c>
      <c r="B57" s="16" t="s">
        <v>165</v>
      </c>
      <c r="C57" s="14" t="s">
        <v>158</v>
      </c>
      <c r="D57" s="14" t="s">
        <v>159</v>
      </c>
      <c r="E57" s="14" t="s">
        <v>158</v>
      </c>
      <c r="F57" s="14" t="s">
        <v>2044</v>
      </c>
      <c r="G57" s="14" t="s">
        <v>2045</v>
      </c>
      <c r="H57" s="14" t="s">
        <v>81</v>
      </c>
      <c r="I57" s="14" t="s">
        <v>82</v>
      </c>
      <c r="J57" s="16">
        <f>COUNTIF($I$3:I57, I57)</f>
        <v>4</v>
      </c>
      <c r="K57" s="14" t="s">
        <v>2048</v>
      </c>
      <c r="L57" s="14" t="s">
        <v>2048</v>
      </c>
      <c r="M57" s="14" t="s">
        <v>2048</v>
      </c>
      <c r="N57" s="14" t="s">
        <v>2048</v>
      </c>
      <c r="O57" s="14" t="s">
        <v>2465</v>
      </c>
      <c r="P57" s="14" t="s">
        <v>166</v>
      </c>
      <c r="Q57" s="14" t="s">
        <v>72</v>
      </c>
      <c r="R57" s="14" t="s">
        <v>2048</v>
      </c>
      <c r="S57" s="14" t="s">
        <v>2048</v>
      </c>
      <c r="T57" s="14" t="s">
        <v>2048</v>
      </c>
      <c r="U57" s="14" t="s">
        <v>2048</v>
      </c>
      <c r="V57" s="14" t="s">
        <v>2050</v>
      </c>
      <c r="W57" s="14" t="s">
        <v>2048</v>
      </c>
      <c r="X57" s="14" t="s">
        <v>2048</v>
      </c>
      <c r="Y57" s="14" t="s">
        <v>2048</v>
      </c>
      <c r="Z57" s="14" t="s">
        <v>2048</v>
      </c>
      <c r="AA57" s="14" t="s">
        <v>2048</v>
      </c>
      <c r="AB57" s="14" t="s">
        <v>85</v>
      </c>
      <c r="AC57" s="14" t="s">
        <v>86</v>
      </c>
      <c r="AD57" s="14" t="s">
        <v>2411</v>
      </c>
      <c r="AE57" s="14" t="s">
        <v>2412</v>
      </c>
      <c r="AF57" s="14" t="s">
        <v>2055</v>
      </c>
      <c r="AG57" s="14" t="s">
        <v>2055</v>
      </c>
      <c r="AH57" s="14" t="s">
        <v>2055</v>
      </c>
      <c r="AI57" s="14" t="s">
        <v>2057</v>
      </c>
      <c r="AJ57" s="14" t="s">
        <v>87</v>
      </c>
      <c r="AK57" s="14" t="s">
        <v>2048</v>
      </c>
      <c r="AL57" s="14" t="s">
        <v>2048</v>
      </c>
      <c r="AM57" s="14" t="s">
        <v>2413</v>
      </c>
      <c r="AN57" s="14" t="s">
        <v>2207</v>
      </c>
      <c r="AO57" s="17" t="s">
        <v>89</v>
      </c>
      <c r="AP57" s="14" t="s">
        <v>2135</v>
      </c>
      <c r="AQ57" s="14" t="s">
        <v>2466</v>
      </c>
      <c r="AR57" s="14" t="s">
        <v>2467</v>
      </c>
      <c r="AS57" s="14" t="s">
        <v>2468</v>
      </c>
      <c r="AT57" s="14" t="s">
        <v>72</v>
      </c>
      <c r="AU57" s="14" t="s">
        <v>2268</v>
      </c>
      <c r="AV57" s="14" t="s">
        <v>2269</v>
      </c>
      <c r="AW57" s="14" t="s">
        <v>2048</v>
      </c>
      <c r="AX57" s="14" t="s">
        <v>2048</v>
      </c>
      <c r="AY57" s="14" t="s">
        <v>81</v>
      </c>
      <c r="AZ57" s="14" t="s">
        <v>143</v>
      </c>
      <c r="BA57" s="14" t="s">
        <v>2270</v>
      </c>
      <c r="BB57" s="14" t="s">
        <v>2048</v>
      </c>
      <c r="BC57" s="14" t="s">
        <v>2048</v>
      </c>
      <c r="BD57" s="14" t="s">
        <v>2271</v>
      </c>
      <c r="BE57" s="14" t="s">
        <v>2272</v>
      </c>
      <c r="BF57" s="14" t="s">
        <v>2271</v>
      </c>
      <c r="BG57" s="14" t="s">
        <v>2272</v>
      </c>
      <c r="BH57" s="14" t="s">
        <v>2273</v>
      </c>
      <c r="BI57" s="14" t="s">
        <v>2218</v>
      </c>
      <c r="BJ57" s="14" t="s">
        <v>2048</v>
      </c>
      <c r="BK57" s="14" t="s">
        <v>2048</v>
      </c>
      <c r="BL57" s="14" t="s">
        <v>2064</v>
      </c>
      <c r="BM57" s="14" t="s">
        <v>72</v>
      </c>
      <c r="BN57" s="14" t="s">
        <v>72</v>
      </c>
      <c r="BO57" s="14" t="s">
        <v>2469</v>
      </c>
      <c r="BP57" s="14" t="s">
        <v>2219</v>
      </c>
      <c r="BQ57" s="14" t="s">
        <v>2220</v>
      </c>
      <c r="BR57" s="14" t="s">
        <v>2418</v>
      </c>
      <c r="BS57" s="14" t="s">
        <v>2089</v>
      </c>
      <c r="BT57" s="14" t="s">
        <v>2048</v>
      </c>
      <c r="BU57" s="14" t="s">
        <v>2048</v>
      </c>
      <c r="BV57" s="14" t="s">
        <v>2048</v>
      </c>
      <c r="BW57" s="14" t="s">
        <v>2048</v>
      </c>
      <c r="BX57" s="14" t="s">
        <v>72</v>
      </c>
      <c r="BY57" s="14" t="s">
        <v>2048</v>
      </c>
      <c r="BZ57" s="14" t="s">
        <v>2048</v>
      </c>
      <c r="CA57" s="14" t="s">
        <v>2048</v>
      </c>
      <c r="CB57" s="14" t="s">
        <v>2048</v>
      </c>
      <c r="CC57" s="14" t="s">
        <v>2048</v>
      </c>
      <c r="CD57" s="14" t="s">
        <v>2048</v>
      </c>
      <c r="CE57" s="14" t="s">
        <v>2048</v>
      </c>
      <c r="CF57" s="14" t="s">
        <v>2048</v>
      </c>
      <c r="CG57" s="14" t="s">
        <v>2057</v>
      </c>
      <c r="CH57" s="14" t="s">
        <v>2090</v>
      </c>
      <c r="CI57" s="14" t="s">
        <v>2048</v>
      </c>
      <c r="CJ57" s="17"/>
      <c r="CK57" s="17">
        <v>45625</v>
      </c>
      <c r="CL57" s="17">
        <v>45625</v>
      </c>
      <c r="CM57" s="17">
        <v>2958465</v>
      </c>
      <c r="CN57" s="17"/>
      <c r="CO57" s="19">
        <v>0</v>
      </c>
      <c r="CP57" s="19">
        <v>0</v>
      </c>
      <c r="CQ57" s="19">
        <v>0</v>
      </c>
      <c r="CR57" s="19">
        <v>0</v>
      </c>
      <c r="CS57" s="19">
        <v>0</v>
      </c>
      <c r="CT57" s="19">
        <v>0</v>
      </c>
      <c r="CU57" s="19">
        <v>0</v>
      </c>
      <c r="CV57" s="17"/>
      <c r="CW57" s="19">
        <v>0</v>
      </c>
      <c r="CX57" s="17"/>
      <c r="CY57" s="17"/>
      <c r="CZ57" s="19">
        <v>0</v>
      </c>
      <c r="DA57" s="17"/>
      <c r="DB57" s="17"/>
      <c r="DC57" s="19">
        <v>100</v>
      </c>
      <c r="DD57" s="17"/>
      <c r="DE57" s="17">
        <v>2958465</v>
      </c>
      <c r="DF57" s="17"/>
      <c r="DG57" s="17"/>
      <c r="DH57" s="19">
        <v>0</v>
      </c>
      <c r="DI57" s="19">
        <v>0</v>
      </c>
    </row>
    <row r="58" spans="1:113" x14ac:dyDescent="0.2">
      <c r="A58" s="14" t="s">
        <v>2315</v>
      </c>
      <c r="B58" s="16" t="s">
        <v>733</v>
      </c>
      <c r="C58" s="14" t="s">
        <v>158</v>
      </c>
      <c r="D58" s="14" t="s">
        <v>159</v>
      </c>
      <c r="E58" s="14" t="s">
        <v>158</v>
      </c>
      <c r="F58" s="14" t="s">
        <v>2044</v>
      </c>
      <c r="G58" s="14" t="s">
        <v>2045</v>
      </c>
      <c r="H58" s="14" t="s">
        <v>81</v>
      </c>
      <c r="I58" s="14" t="s">
        <v>82</v>
      </c>
      <c r="J58" s="16">
        <f>COUNTIF($I$3:I58, I58)</f>
        <v>5</v>
      </c>
      <c r="K58" s="14" t="s">
        <v>2048</v>
      </c>
      <c r="L58" s="14" t="s">
        <v>2048</v>
      </c>
      <c r="M58" s="14" t="s">
        <v>2048</v>
      </c>
      <c r="N58" s="14" t="s">
        <v>2048</v>
      </c>
      <c r="O58" s="14" t="s">
        <v>2470</v>
      </c>
      <c r="P58" s="14" t="s">
        <v>734</v>
      </c>
      <c r="Q58" s="14" t="s">
        <v>72</v>
      </c>
      <c r="R58" s="14" t="s">
        <v>2048</v>
      </c>
      <c r="S58" s="14" t="s">
        <v>2048</v>
      </c>
      <c r="T58" s="14" t="s">
        <v>2048</v>
      </c>
      <c r="U58" s="14" t="s">
        <v>2048</v>
      </c>
      <c r="V58" s="14" t="s">
        <v>2050</v>
      </c>
      <c r="W58" s="14" t="s">
        <v>2048</v>
      </c>
      <c r="X58" s="14" t="s">
        <v>2048</v>
      </c>
      <c r="Y58" s="14" t="s">
        <v>2048</v>
      </c>
      <c r="Z58" s="14" t="s">
        <v>2048</v>
      </c>
      <c r="AA58" s="14" t="s">
        <v>2048</v>
      </c>
      <c r="AB58" s="14" t="s">
        <v>85</v>
      </c>
      <c r="AC58" s="14" t="s">
        <v>86</v>
      </c>
      <c r="AD58" s="14" t="s">
        <v>2411</v>
      </c>
      <c r="AE58" s="14" t="s">
        <v>2412</v>
      </c>
      <c r="AF58" s="14" t="s">
        <v>2055</v>
      </c>
      <c r="AG58" s="14" t="s">
        <v>2055</v>
      </c>
      <c r="AH58" s="14" t="s">
        <v>2055</v>
      </c>
      <c r="AI58" s="14" t="s">
        <v>2057</v>
      </c>
      <c r="AJ58" s="14" t="s">
        <v>87</v>
      </c>
      <c r="AK58" s="14" t="s">
        <v>2048</v>
      </c>
      <c r="AL58" s="14" t="s">
        <v>2048</v>
      </c>
      <c r="AM58" s="14" t="s">
        <v>2413</v>
      </c>
      <c r="AN58" s="14" t="s">
        <v>2207</v>
      </c>
      <c r="AO58" s="17" t="s">
        <v>89</v>
      </c>
      <c r="AP58" s="14" t="s">
        <v>2135</v>
      </c>
      <c r="AQ58" s="14" t="s">
        <v>2471</v>
      </c>
      <c r="AR58" s="14" t="s">
        <v>2060</v>
      </c>
      <c r="AS58" s="14" t="s">
        <v>2048</v>
      </c>
      <c r="AT58" s="14" t="s">
        <v>72</v>
      </c>
      <c r="AU58" s="14" t="s">
        <v>2268</v>
      </c>
      <c r="AV58" s="14" t="s">
        <v>2269</v>
      </c>
      <c r="AW58" s="14" t="s">
        <v>2048</v>
      </c>
      <c r="AX58" s="14" t="s">
        <v>2048</v>
      </c>
      <c r="AY58" s="14" t="s">
        <v>81</v>
      </c>
      <c r="AZ58" s="14" t="s">
        <v>143</v>
      </c>
      <c r="BA58" s="14" t="s">
        <v>2270</v>
      </c>
      <c r="BB58" s="14" t="s">
        <v>2048</v>
      </c>
      <c r="BC58" s="14" t="s">
        <v>2048</v>
      </c>
      <c r="BD58" s="14" t="s">
        <v>2271</v>
      </c>
      <c r="BE58" s="14" t="s">
        <v>2272</v>
      </c>
      <c r="BF58" s="14" t="s">
        <v>2271</v>
      </c>
      <c r="BG58" s="14" t="s">
        <v>2272</v>
      </c>
      <c r="BH58" s="14" t="s">
        <v>2273</v>
      </c>
      <c r="BI58" s="14" t="s">
        <v>2218</v>
      </c>
      <c r="BJ58" s="14" t="s">
        <v>2048</v>
      </c>
      <c r="BK58" s="14" t="s">
        <v>2048</v>
      </c>
      <c r="BL58" s="14" t="s">
        <v>2064</v>
      </c>
      <c r="BM58" s="14" t="s">
        <v>72</v>
      </c>
      <c r="BN58" s="14" t="s">
        <v>72</v>
      </c>
      <c r="BO58" s="14" t="s">
        <v>2472</v>
      </c>
      <c r="BP58" s="14" t="s">
        <v>2048</v>
      </c>
      <c r="BQ58" s="14" t="s">
        <v>2048</v>
      </c>
      <c r="BR58" s="14" t="s">
        <v>2418</v>
      </c>
      <c r="BS58" s="14" t="s">
        <v>2089</v>
      </c>
      <c r="BT58" s="14" t="s">
        <v>2048</v>
      </c>
      <c r="BU58" s="14" t="s">
        <v>2048</v>
      </c>
      <c r="BV58" s="14" t="s">
        <v>2048</v>
      </c>
      <c r="BW58" s="14" t="s">
        <v>2048</v>
      </c>
      <c r="BX58" s="14" t="s">
        <v>72</v>
      </c>
      <c r="BY58" s="14" t="s">
        <v>2048</v>
      </c>
      <c r="BZ58" s="14" t="s">
        <v>2048</v>
      </c>
      <c r="CA58" s="14" t="s">
        <v>2048</v>
      </c>
      <c r="CB58" s="14" t="s">
        <v>2048</v>
      </c>
      <c r="CC58" s="14" t="s">
        <v>2048</v>
      </c>
      <c r="CD58" s="14" t="s">
        <v>2048</v>
      </c>
      <c r="CE58" s="14" t="s">
        <v>2048</v>
      </c>
      <c r="CF58" s="14" t="s">
        <v>2048</v>
      </c>
      <c r="CG58" s="14" t="s">
        <v>2057</v>
      </c>
      <c r="CH58" s="14" t="s">
        <v>2090</v>
      </c>
      <c r="CI58" s="14" t="s">
        <v>2048</v>
      </c>
      <c r="CJ58" s="17"/>
      <c r="CK58" s="17">
        <v>45625</v>
      </c>
      <c r="CL58" s="17">
        <v>45625</v>
      </c>
      <c r="CM58" s="17">
        <v>2958465</v>
      </c>
      <c r="CN58" s="17"/>
      <c r="CO58" s="19">
        <v>0</v>
      </c>
      <c r="CP58" s="19">
        <v>0</v>
      </c>
      <c r="CQ58" s="19">
        <v>0</v>
      </c>
      <c r="CR58" s="19">
        <v>0</v>
      </c>
      <c r="CS58" s="19">
        <v>0</v>
      </c>
      <c r="CT58" s="19">
        <v>0</v>
      </c>
      <c r="CU58" s="19">
        <v>0</v>
      </c>
      <c r="CV58" s="17"/>
      <c r="CW58" s="19">
        <v>0</v>
      </c>
      <c r="CX58" s="17"/>
      <c r="CY58" s="17"/>
      <c r="CZ58" s="19">
        <v>0</v>
      </c>
      <c r="DA58" s="17"/>
      <c r="DB58" s="17"/>
      <c r="DC58" s="19">
        <v>100</v>
      </c>
      <c r="DD58" s="17"/>
      <c r="DE58" s="17">
        <v>2958465</v>
      </c>
      <c r="DF58" s="17"/>
      <c r="DG58" s="17"/>
      <c r="DH58" s="19">
        <v>0</v>
      </c>
      <c r="DI58" s="19">
        <v>0</v>
      </c>
    </row>
    <row r="59" spans="1:113" x14ac:dyDescent="0.2">
      <c r="A59" s="14" t="s">
        <v>2315</v>
      </c>
      <c r="B59" s="16" t="s">
        <v>142</v>
      </c>
      <c r="C59" s="14" t="s">
        <v>158</v>
      </c>
      <c r="D59" s="14" t="s">
        <v>159</v>
      </c>
      <c r="E59" s="14" t="s">
        <v>158</v>
      </c>
      <c r="F59" s="14" t="s">
        <v>2044</v>
      </c>
      <c r="G59" s="14" t="s">
        <v>2045</v>
      </c>
      <c r="H59" s="14" t="s">
        <v>81</v>
      </c>
      <c r="I59" s="14" t="s">
        <v>82</v>
      </c>
      <c r="J59" s="16">
        <f>COUNTIF($I$3:I59, I59)</f>
        <v>6</v>
      </c>
      <c r="K59" s="14" t="s">
        <v>2048</v>
      </c>
      <c r="L59" s="14" t="s">
        <v>2048</v>
      </c>
      <c r="M59" s="14" t="s">
        <v>2048</v>
      </c>
      <c r="N59" s="14" t="s">
        <v>2048</v>
      </c>
      <c r="O59" s="14" t="s">
        <v>2473</v>
      </c>
      <c r="P59" s="14" t="s">
        <v>144</v>
      </c>
      <c r="Q59" s="14" t="s">
        <v>72</v>
      </c>
      <c r="R59" s="14" t="s">
        <v>2048</v>
      </c>
      <c r="S59" s="14" t="s">
        <v>2048</v>
      </c>
      <c r="T59" s="14" t="s">
        <v>2048</v>
      </c>
      <c r="U59" s="14" t="s">
        <v>2048</v>
      </c>
      <c r="V59" s="14" t="s">
        <v>2050</v>
      </c>
      <c r="W59" s="14" t="s">
        <v>2048</v>
      </c>
      <c r="X59" s="14" t="s">
        <v>2048</v>
      </c>
      <c r="Y59" s="14" t="s">
        <v>2048</v>
      </c>
      <c r="Z59" s="14" t="s">
        <v>2048</v>
      </c>
      <c r="AA59" s="14" t="s">
        <v>2048</v>
      </c>
      <c r="AB59" s="14" t="s">
        <v>85</v>
      </c>
      <c r="AC59" s="14" t="s">
        <v>86</v>
      </c>
      <c r="AD59" s="14" t="s">
        <v>2411</v>
      </c>
      <c r="AE59" s="14" t="s">
        <v>2412</v>
      </c>
      <c r="AF59" s="14" t="s">
        <v>2056</v>
      </c>
      <c r="AG59" s="14" t="s">
        <v>2055</v>
      </c>
      <c r="AH59" s="14" t="s">
        <v>2055</v>
      </c>
      <c r="AI59" s="14" t="s">
        <v>2057</v>
      </c>
      <c r="AJ59" s="14" t="s">
        <v>87</v>
      </c>
      <c r="AK59" s="14" t="s">
        <v>2048</v>
      </c>
      <c r="AL59" s="14" t="s">
        <v>2048</v>
      </c>
      <c r="AM59" s="14" t="s">
        <v>2413</v>
      </c>
      <c r="AN59" s="14" t="s">
        <v>2207</v>
      </c>
      <c r="AO59" s="17" t="s">
        <v>89</v>
      </c>
      <c r="AP59" s="14" t="s">
        <v>2135</v>
      </c>
      <c r="AQ59" s="14" t="s">
        <v>2474</v>
      </c>
      <c r="AR59" s="14" t="s">
        <v>2475</v>
      </c>
      <c r="AS59" s="14" t="s">
        <v>2476</v>
      </c>
      <c r="AT59" s="14" t="s">
        <v>72</v>
      </c>
      <c r="AU59" s="14" t="s">
        <v>2268</v>
      </c>
      <c r="AV59" s="14" t="s">
        <v>2269</v>
      </c>
      <c r="AW59" s="14" t="s">
        <v>2048</v>
      </c>
      <c r="AX59" s="14" t="s">
        <v>2048</v>
      </c>
      <c r="AY59" s="14" t="s">
        <v>81</v>
      </c>
      <c r="AZ59" s="14" t="s">
        <v>143</v>
      </c>
      <c r="BA59" s="14" t="s">
        <v>2270</v>
      </c>
      <c r="BB59" s="14" t="s">
        <v>2048</v>
      </c>
      <c r="BC59" s="14" t="s">
        <v>2048</v>
      </c>
      <c r="BD59" s="14" t="s">
        <v>2271</v>
      </c>
      <c r="BE59" s="14" t="s">
        <v>2272</v>
      </c>
      <c r="BF59" s="14" t="s">
        <v>2271</v>
      </c>
      <c r="BG59" s="14" t="s">
        <v>2272</v>
      </c>
      <c r="BH59" s="14" t="s">
        <v>2273</v>
      </c>
      <c r="BI59" s="14" t="s">
        <v>2218</v>
      </c>
      <c r="BJ59" s="14" t="s">
        <v>2048</v>
      </c>
      <c r="BK59" s="14" t="s">
        <v>2048</v>
      </c>
      <c r="BL59" s="14" t="s">
        <v>2064</v>
      </c>
      <c r="BM59" s="14" t="s">
        <v>72</v>
      </c>
      <c r="BN59" s="14" t="s">
        <v>72</v>
      </c>
      <c r="BO59" s="14" t="s">
        <v>2477</v>
      </c>
      <c r="BP59" s="14" t="s">
        <v>2219</v>
      </c>
      <c r="BQ59" s="14" t="s">
        <v>2220</v>
      </c>
      <c r="BR59" s="14" t="s">
        <v>2418</v>
      </c>
      <c r="BS59" s="14" t="s">
        <v>2089</v>
      </c>
      <c r="BT59" s="14" t="s">
        <v>2048</v>
      </c>
      <c r="BU59" s="14" t="s">
        <v>2048</v>
      </c>
      <c r="BV59" s="14" t="s">
        <v>2048</v>
      </c>
      <c r="BW59" s="14" t="s">
        <v>2048</v>
      </c>
      <c r="BX59" s="14" t="s">
        <v>72</v>
      </c>
      <c r="BY59" s="14" t="s">
        <v>2048</v>
      </c>
      <c r="BZ59" s="14" t="s">
        <v>2048</v>
      </c>
      <c r="CA59" s="14" t="s">
        <v>2048</v>
      </c>
      <c r="CB59" s="14" t="s">
        <v>2048</v>
      </c>
      <c r="CC59" s="14" t="s">
        <v>2048</v>
      </c>
      <c r="CD59" s="14" t="s">
        <v>2048</v>
      </c>
      <c r="CE59" s="14" t="s">
        <v>2048</v>
      </c>
      <c r="CF59" s="14" t="s">
        <v>2048</v>
      </c>
      <c r="CG59" s="14" t="s">
        <v>2057</v>
      </c>
      <c r="CH59" s="14" t="s">
        <v>2090</v>
      </c>
      <c r="CI59" s="14" t="s">
        <v>2048</v>
      </c>
      <c r="CJ59" s="17"/>
      <c r="CK59" s="17">
        <v>45625</v>
      </c>
      <c r="CL59" s="17">
        <v>45625</v>
      </c>
      <c r="CM59" s="17">
        <v>2958465</v>
      </c>
      <c r="CN59" s="17"/>
      <c r="CO59" s="19">
        <v>0</v>
      </c>
      <c r="CP59" s="19">
        <v>0</v>
      </c>
      <c r="CQ59" s="19">
        <v>0</v>
      </c>
      <c r="CR59" s="19">
        <v>0</v>
      </c>
      <c r="CS59" s="19">
        <v>0</v>
      </c>
      <c r="CT59" s="19">
        <v>0</v>
      </c>
      <c r="CU59" s="19">
        <v>0</v>
      </c>
      <c r="CV59" s="17"/>
      <c r="CW59" s="19">
        <v>0</v>
      </c>
      <c r="CX59" s="17"/>
      <c r="CY59" s="17"/>
      <c r="CZ59" s="19">
        <v>0</v>
      </c>
      <c r="DA59" s="17"/>
      <c r="DB59" s="17"/>
      <c r="DC59" s="19">
        <v>100</v>
      </c>
      <c r="DD59" s="17"/>
      <c r="DE59" s="17">
        <v>2958465</v>
      </c>
      <c r="DF59" s="17"/>
      <c r="DG59" s="17"/>
      <c r="DH59" s="19">
        <v>0</v>
      </c>
      <c r="DI59" s="19">
        <v>0</v>
      </c>
    </row>
    <row r="60" spans="1:113" x14ac:dyDescent="0.2">
      <c r="A60" s="14" t="s">
        <v>2315</v>
      </c>
      <c r="B60" s="16" t="s">
        <v>84</v>
      </c>
      <c r="C60" s="14" t="s">
        <v>158</v>
      </c>
      <c r="D60" s="14" t="s">
        <v>159</v>
      </c>
      <c r="E60" s="14" t="s">
        <v>158</v>
      </c>
      <c r="F60" s="14" t="s">
        <v>2044</v>
      </c>
      <c r="G60" s="14" t="s">
        <v>2045</v>
      </c>
      <c r="H60" s="14" t="s">
        <v>81</v>
      </c>
      <c r="I60" s="14" t="s">
        <v>82</v>
      </c>
      <c r="J60" s="16">
        <f>COUNTIF($I$3:I60, I60)</f>
        <v>7</v>
      </c>
      <c r="K60" s="14" t="s">
        <v>2048</v>
      </c>
      <c r="L60" s="14" t="s">
        <v>2048</v>
      </c>
      <c r="M60" s="14" t="s">
        <v>2048</v>
      </c>
      <c r="N60" s="14" t="s">
        <v>2048</v>
      </c>
      <c r="O60" s="14" t="s">
        <v>2478</v>
      </c>
      <c r="P60" s="14" t="s">
        <v>90</v>
      </c>
      <c r="Q60" s="14" t="s">
        <v>72</v>
      </c>
      <c r="R60" s="14" t="s">
        <v>2048</v>
      </c>
      <c r="S60" s="14" t="s">
        <v>2048</v>
      </c>
      <c r="T60" s="14" t="s">
        <v>2048</v>
      </c>
      <c r="U60" s="14" t="s">
        <v>2048</v>
      </c>
      <c r="V60" s="14" t="s">
        <v>2050</v>
      </c>
      <c r="W60" s="14" t="s">
        <v>2048</v>
      </c>
      <c r="X60" s="14" t="s">
        <v>2048</v>
      </c>
      <c r="Y60" s="14" t="s">
        <v>2048</v>
      </c>
      <c r="Z60" s="14" t="s">
        <v>2048</v>
      </c>
      <c r="AA60" s="14" t="s">
        <v>2048</v>
      </c>
      <c r="AB60" s="14" t="s">
        <v>85</v>
      </c>
      <c r="AC60" s="14" t="s">
        <v>86</v>
      </c>
      <c r="AD60" s="14" t="s">
        <v>2411</v>
      </c>
      <c r="AE60" s="14" t="s">
        <v>2412</v>
      </c>
      <c r="AF60" s="14" t="s">
        <v>2055</v>
      </c>
      <c r="AG60" s="14" t="s">
        <v>2055</v>
      </c>
      <c r="AH60" s="14" t="s">
        <v>2055</v>
      </c>
      <c r="AI60" s="14" t="s">
        <v>2057</v>
      </c>
      <c r="AJ60" s="14" t="s">
        <v>87</v>
      </c>
      <c r="AK60" s="14" t="s">
        <v>2048</v>
      </c>
      <c r="AL60" s="14" t="s">
        <v>2048</v>
      </c>
      <c r="AM60" s="14" t="s">
        <v>2413</v>
      </c>
      <c r="AN60" s="14" t="s">
        <v>2207</v>
      </c>
      <c r="AO60" s="17" t="s">
        <v>89</v>
      </c>
      <c r="AP60" s="14" t="s">
        <v>2135</v>
      </c>
      <c r="AQ60" s="14" t="s">
        <v>2479</v>
      </c>
      <c r="AR60" s="14" t="s">
        <v>2060</v>
      </c>
      <c r="AS60" s="14" t="s">
        <v>2048</v>
      </c>
      <c r="AT60" s="14" t="s">
        <v>72</v>
      </c>
      <c r="AU60" s="14" t="s">
        <v>2268</v>
      </c>
      <c r="AV60" s="14" t="s">
        <v>2269</v>
      </c>
      <c r="AW60" s="14" t="s">
        <v>2048</v>
      </c>
      <c r="AX60" s="14" t="s">
        <v>2048</v>
      </c>
      <c r="AY60" s="14" t="s">
        <v>81</v>
      </c>
      <c r="AZ60" s="14" t="s">
        <v>88</v>
      </c>
      <c r="BA60" s="14" t="s">
        <v>2480</v>
      </c>
      <c r="BB60" s="14" t="s">
        <v>2048</v>
      </c>
      <c r="BC60" s="14" t="s">
        <v>2048</v>
      </c>
      <c r="BD60" s="14" t="s">
        <v>2271</v>
      </c>
      <c r="BE60" s="14" t="s">
        <v>2272</v>
      </c>
      <c r="BF60" s="14" t="s">
        <v>2271</v>
      </c>
      <c r="BG60" s="14" t="s">
        <v>2272</v>
      </c>
      <c r="BH60" s="14" t="s">
        <v>2273</v>
      </c>
      <c r="BI60" s="14" t="s">
        <v>2218</v>
      </c>
      <c r="BJ60" s="14" t="s">
        <v>2048</v>
      </c>
      <c r="BK60" s="14" t="s">
        <v>2048</v>
      </c>
      <c r="BL60" s="14" t="s">
        <v>2064</v>
      </c>
      <c r="BM60" s="14" t="s">
        <v>72</v>
      </c>
      <c r="BN60" s="14" t="s">
        <v>72</v>
      </c>
      <c r="BO60" s="14" t="s">
        <v>2481</v>
      </c>
      <c r="BP60" s="14" t="s">
        <v>2048</v>
      </c>
      <c r="BQ60" s="14" t="s">
        <v>2048</v>
      </c>
      <c r="BR60" s="14" t="s">
        <v>2418</v>
      </c>
      <c r="BS60" s="14" t="s">
        <v>2089</v>
      </c>
      <c r="BT60" s="14" t="s">
        <v>2048</v>
      </c>
      <c r="BU60" s="14" t="s">
        <v>2048</v>
      </c>
      <c r="BV60" s="14" t="s">
        <v>2048</v>
      </c>
      <c r="BW60" s="14" t="s">
        <v>2048</v>
      </c>
      <c r="BX60" s="14" t="s">
        <v>72</v>
      </c>
      <c r="BY60" s="14" t="s">
        <v>2048</v>
      </c>
      <c r="BZ60" s="14" t="s">
        <v>2048</v>
      </c>
      <c r="CA60" s="14" t="s">
        <v>2048</v>
      </c>
      <c r="CB60" s="14" t="s">
        <v>2048</v>
      </c>
      <c r="CC60" s="14" t="s">
        <v>2048</v>
      </c>
      <c r="CD60" s="14" t="s">
        <v>2048</v>
      </c>
      <c r="CE60" s="14" t="s">
        <v>2048</v>
      </c>
      <c r="CF60" s="14" t="s">
        <v>2048</v>
      </c>
      <c r="CG60" s="14" t="s">
        <v>2057</v>
      </c>
      <c r="CH60" s="14" t="s">
        <v>2090</v>
      </c>
      <c r="CI60" s="14" t="s">
        <v>2048</v>
      </c>
      <c r="CJ60" s="17"/>
      <c r="CK60" s="17">
        <v>45625</v>
      </c>
      <c r="CL60" s="17">
        <v>45625</v>
      </c>
      <c r="CM60" s="17">
        <v>2958465</v>
      </c>
      <c r="CN60" s="17"/>
      <c r="CO60" s="19">
        <v>0</v>
      </c>
      <c r="CP60" s="19">
        <v>0</v>
      </c>
      <c r="CQ60" s="19">
        <v>0</v>
      </c>
      <c r="CR60" s="19">
        <v>0</v>
      </c>
      <c r="CS60" s="19">
        <v>0</v>
      </c>
      <c r="CT60" s="19">
        <v>0</v>
      </c>
      <c r="CU60" s="19">
        <v>0</v>
      </c>
      <c r="CV60" s="17"/>
      <c r="CW60" s="19">
        <v>0</v>
      </c>
      <c r="CX60" s="17"/>
      <c r="CY60" s="17"/>
      <c r="CZ60" s="19">
        <v>0</v>
      </c>
      <c r="DA60" s="17"/>
      <c r="DB60" s="17"/>
      <c r="DC60" s="19">
        <v>100</v>
      </c>
      <c r="DD60" s="17"/>
      <c r="DE60" s="17">
        <v>2958465</v>
      </c>
      <c r="DF60" s="17"/>
      <c r="DG60" s="17"/>
      <c r="DH60" s="19">
        <v>0</v>
      </c>
      <c r="DI60" s="19">
        <v>0</v>
      </c>
    </row>
    <row r="61" spans="1:113" x14ac:dyDescent="0.2">
      <c r="A61" s="14" t="s">
        <v>2315</v>
      </c>
      <c r="B61" s="16" t="s">
        <v>96</v>
      </c>
      <c r="C61" s="14" t="s">
        <v>158</v>
      </c>
      <c r="D61" s="14" t="s">
        <v>159</v>
      </c>
      <c r="E61" s="14" t="s">
        <v>158</v>
      </c>
      <c r="F61" s="14" t="s">
        <v>2044</v>
      </c>
      <c r="G61" s="14" t="s">
        <v>2045</v>
      </c>
      <c r="H61" s="14" t="s">
        <v>81</v>
      </c>
      <c r="I61" s="14" t="s">
        <v>82</v>
      </c>
      <c r="J61" s="16">
        <f>COUNTIF($I$3:I61, I61)</f>
        <v>8</v>
      </c>
      <c r="K61" s="14" t="s">
        <v>2048</v>
      </c>
      <c r="L61" s="14" t="s">
        <v>2048</v>
      </c>
      <c r="M61" s="14" t="s">
        <v>2048</v>
      </c>
      <c r="N61" s="14" t="s">
        <v>2048</v>
      </c>
      <c r="O61" s="14" t="s">
        <v>2482</v>
      </c>
      <c r="P61" s="14" t="s">
        <v>97</v>
      </c>
      <c r="Q61" s="14" t="s">
        <v>72</v>
      </c>
      <c r="R61" s="14" t="s">
        <v>2048</v>
      </c>
      <c r="S61" s="14" t="s">
        <v>2048</v>
      </c>
      <c r="T61" s="14" t="s">
        <v>2048</v>
      </c>
      <c r="U61" s="14" t="s">
        <v>2048</v>
      </c>
      <c r="V61" s="14" t="s">
        <v>2050</v>
      </c>
      <c r="W61" s="14" t="s">
        <v>2048</v>
      </c>
      <c r="X61" s="14" t="s">
        <v>2048</v>
      </c>
      <c r="Y61" s="14" t="s">
        <v>2048</v>
      </c>
      <c r="Z61" s="14" t="s">
        <v>2048</v>
      </c>
      <c r="AA61" s="14" t="s">
        <v>2048</v>
      </c>
      <c r="AB61" s="14" t="s">
        <v>85</v>
      </c>
      <c r="AC61" s="14" t="s">
        <v>86</v>
      </c>
      <c r="AD61" s="14" t="s">
        <v>2411</v>
      </c>
      <c r="AE61" s="14" t="s">
        <v>2412</v>
      </c>
      <c r="AF61" s="14" t="s">
        <v>2055</v>
      </c>
      <c r="AG61" s="14" t="s">
        <v>2055</v>
      </c>
      <c r="AH61" s="14" t="s">
        <v>2055</v>
      </c>
      <c r="AI61" s="14" t="s">
        <v>2057</v>
      </c>
      <c r="AJ61" s="14" t="s">
        <v>87</v>
      </c>
      <c r="AK61" s="14" t="s">
        <v>2048</v>
      </c>
      <c r="AL61" s="14" t="s">
        <v>2048</v>
      </c>
      <c r="AM61" s="14" t="s">
        <v>2413</v>
      </c>
      <c r="AN61" s="14" t="s">
        <v>2207</v>
      </c>
      <c r="AO61" s="17" t="s">
        <v>89</v>
      </c>
      <c r="AP61" s="14" t="s">
        <v>2135</v>
      </c>
      <c r="AQ61" s="14" t="s">
        <v>2483</v>
      </c>
      <c r="AR61" s="14" t="s">
        <v>2484</v>
      </c>
      <c r="AS61" s="14" t="s">
        <v>2485</v>
      </c>
      <c r="AT61" s="14" t="s">
        <v>72</v>
      </c>
      <c r="AU61" s="14" t="s">
        <v>2486</v>
      </c>
      <c r="AV61" s="14" t="s">
        <v>2487</v>
      </c>
      <c r="AW61" s="14" t="s">
        <v>2048</v>
      </c>
      <c r="AX61" s="14" t="s">
        <v>2048</v>
      </c>
      <c r="AY61" s="14" t="s">
        <v>81</v>
      </c>
      <c r="AZ61" s="14" t="s">
        <v>88</v>
      </c>
      <c r="BA61" s="14" t="s">
        <v>2480</v>
      </c>
      <c r="BB61" s="14" t="s">
        <v>2048</v>
      </c>
      <c r="BC61" s="14" t="s">
        <v>2048</v>
      </c>
      <c r="BD61" s="14" t="s">
        <v>2271</v>
      </c>
      <c r="BE61" s="14" t="s">
        <v>2272</v>
      </c>
      <c r="BF61" s="14" t="s">
        <v>2271</v>
      </c>
      <c r="BG61" s="14" t="s">
        <v>2272</v>
      </c>
      <c r="BH61" s="14" t="s">
        <v>2273</v>
      </c>
      <c r="BI61" s="14" t="s">
        <v>2218</v>
      </c>
      <c r="BJ61" s="14" t="s">
        <v>2048</v>
      </c>
      <c r="BK61" s="14" t="s">
        <v>2048</v>
      </c>
      <c r="BL61" s="14" t="s">
        <v>2064</v>
      </c>
      <c r="BM61" s="14" t="s">
        <v>72</v>
      </c>
      <c r="BN61" s="14" t="s">
        <v>72</v>
      </c>
      <c r="BO61" s="14" t="s">
        <v>2488</v>
      </c>
      <c r="BP61" s="14" t="s">
        <v>2219</v>
      </c>
      <c r="BQ61" s="14" t="s">
        <v>2220</v>
      </c>
      <c r="BR61" s="14" t="s">
        <v>2418</v>
      </c>
      <c r="BS61" s="14" t="s">
        <v>2089</v>
      </c>
      <c r="BT61" s="14" t="s">
        <v>2048</v>
      </c>
      <c r="BU61" s="14" t="s">
        <v>2048</v>
      </c>
      <c r="BV61" s="14" t="s">
        <v>2048</v>
      </c>
      <c r="BW61" s="14" t="s">
        <v>2048</v>
      </c>
      <c r="BX61" s="14" t="s">
        <v>72</v>
      </c>
      <c r="BY61" s="14" t="s">
        <v>2048</v>
      </c>
      <c r="BZ61" s="14" t="s">
        <v>2048</v>
      </c>
      <c r="CA61" s="14" t="s">
        <v>2048</v>
      </c>
      <c r="CB61" s="14" t="s">
        <v>2048</v>
      </c>
      <c r="CC61" s="14" t="s">
        <v>2048</v>
      </c>
      <c r="CD61" s="14" t="s">
        <v>2048</v>
      </c>
      <c r="CE61" s="14" t="s">
        <v>2048</v>
      </c>
      <c r="CF61" s="14" t="s">
        <v>2048</v>
      </c>
      <c r="CG61" s="14" t="s">
        <v>2057</v>
      </c>
      <c r="CH61" s="14" t="s">
        <v>2090</v>
      </c>
      <c r="CI61" s="14" t="s">
        <v>2048</v>
      </c>
      <c r="CJ61" s="17"/>
      <c r="CK61" s="17">
        <v>45625</v>
      </c>
      <c r="CL61" s="17">
        <v>45625</v>
      </c>
      <c r="CM61" s="17">
        <v>2958465</v>
      </c>
      <c r="CN61" s="17"/>
      <c r="CO61" s="19">
        <v>0</v>
      </c>
      <c r="CP61" s="19">
        <v>0</v>
      </c>
      <c r="CQ61" s="19">
        <v>0</v>
      </c>
      <c r="CR61" s="19">
        <v>0</v>
      </c>
      <c r="CS61" s="19">
        <v>0</v>
      </c>
      <c r="CT61" s="19">
        <v>0</v>
      </c>
      <c r="CU61" s="19">
        <v>0</v>
      </c>
      <c r="CV61" s="17"/>
      <c r="CW61" s="19">
        <v>0</v>
      </c>
      <c r="CX61" s="17"/>
      <c r="CY61" s="17"/>
      <c r="CZ61" s="19">
        <v>0</v>
      </c>
      <c r="DA61" s="17"/>
      <c r="DB61" s="17"/>
      <c r="DC61" s="19">
        <v>100</v>
      </c>
      <c r="DD61" s="17"/>
      <c r="DE61" s="17">
        <v>2958465</v>
      </c>
      <c r="DF61" s="17"/>
      <c r="DG61" s="17"/>
      <c r="DH61" s="19">
        <v>0</v>
      </c>
      <c r="DI61" s="19">
        <v>0</v>
      </c>
    </row>
    <row r="62" spans="1:113" x14ac:dyDescent="0.2">
      <c r="A62" s="14" t="s">
        <v>2315</v>
      </c>
      <c r="B62" s="16" t="s">
        <v>856</v>
      </c>
      <c r="C62" s="14" t="s">
        <v>158</v>
      </c>
      <c r="D62" s="14" t="s">
        <v>159</v>
      </c>
      <c r="E62" s="14" t="s">
        <v>158</v>
      </c>
      <c r="F62" s="14" t="s">
        <v>2044</v>
      </c>
      <c r="G62" s="14" t="s">
        <v>2045</v>
      </c>
      <c r="H62" s="14" t="s">
        <v>81</v>
      </c>
      <c r="I62" s="14" t="s">
        <v>82</v>
      </c>
      <c r="J62" s="16">
        <f>COUNTIF($I$3:I62, I62)</f>
        <v>9</v>
      </c>
      <c r="K62" s="14" t="s">
        <v>2048</v>
      </c>
      <c r="L62" s="14" t="s">
        <v>2048</v>
      </c>
      <c r="M62" s="14" t="s">
        <v>2048</v>
      </c>
      <c r="N62" s="14" t="s">
        <v>2048</v>
      </c>
      <c r="O62" s="14" t="s">
        <v>2489</v>
      </c>
      <c r="P62" s="14" t="s">
        <v>857</v>
      </c>
      <c r="Q62" s="14" t="s">
        <v>72</v>
      </c>
      <c r="R62" s="14" t="s">
        <v>2048</v>
      </c>
      <c r="S62" s="14" t="s">
        <v>2048</v>
      </c>
      <c r="T62" s="14" t="s">
        <v>2048</v>
      </c>
      <c r="U62" s="14" t="s">
        <v>2048</v>
      </c>
      <c r="V62" s="14" t="s">
        <v>2050</v>
      </c>
      <c r="W62" s="14" t="s">
        <v>2048</v>
      </c>
      <c r="X62" s="14" t="s">
        <v>2048</v>
      </c>
      <c r="Y62" s="14" t="s">
        <v>2048</v>
      </c>
      <c r="Z62" s="14" t="s">
        <v>2048</v>
      </c>
      <c r="AA62" s="14" t="s">
        <v>2048</v>
      </c>
      <c r="AB62" s="14" t="s">
        <v>85</v>
      </c>
      <c r="AC62" s="14" t="s">
        <v>86</v>
      </c>
      <c r="AD62" s="14" t="s">
        <v>2411</v>
      </c>
      <c r="AE62" s="14" t="s">
        <v>2412</v>
      </c>
      <c r="AF62" s="14" t="s">
        <v>2055</v>
      </c>
      <c r="AG62" s="14" t="s">
        <v>2055</v>
      </c>
      <c r="AH62" s="14" t="s">
        <v>2055</v>
      </c>
      <c r="AI62" s="14" t="s">
        <v>2057</v>
      </c>
      <c r="AJ62" s="14" t="s">
        <v>87</v>
      </c>
      <c r="AK62" s="14" t="s">
        <v>2048</v>
      </c>
      <c r="AL62" s="14" t="s">
        <v>2048</v>
      </c>
      <c r="AM62" s="14" t="s">
        <v>2413</v>
      </c>
      <c r="AN62" s="14" t="s">
        <v>2207</v>
      </c>
      <c r="AO62" s="17" t="s">
        <v>89</v>
      </c>
      <c r="AP62" s="14" t="s">
        <v>2135</v>
      </c>
      <c r="AQ62" s="14" t="s">
        <v>2490</v>
      </c>
      <c r="AR62" s="14" t="s">
        <v>2491</v>
      </c>
      <c r="AS62" s="14" t="s">
        <v>2492</v>
      </c>
      <c r="AT62" s="14" t="s">
        <v>72</v>
      </c>
      <c r="AU62" s="14" t="s">
        <v>2268</v>
      </c>
      <c r="AV62" s="14" t="s">
        <v>2269</v>
      </c>
      <c r="AW62" s="14" t="s">
        <v>2048</v>
      </c>
      <c r="AX62" s="14" t="s">
        <v>2048</v>
      </c>
      <c r="AY62" s="14" t="s">
        <v>81</v>
      </c>
      <c r="AZ62" s="14" t="s">
        <v>174</v>
      </c>
      <c r="BA62" s="14" t="s">
        <v>2493</v>
      </c>
      <c r="BB62" s="14" t="s">
        <v>2048</v>
      </c>
      <c r="BC62" s="14" t="s">
        <v>2048</v>
      </c>
      <c r="BD62" s="14" t="s">
        <v>2271</v>
      </c>
      <c r="BE62" s="14" t="s">
        <v>2272</v>
      </c>
      <c r="BF62" s="14" t="s">
        <v>2271</v>
      </c>
      <c r="BG62" s="14" t="s">
        <v>2272</v>
      </c>
      <c r="BH62" s="14" t="s">
        <v>2273</v>
      </c>
      <c r="BI62" s="14" t="s">
        <v>2218</v>
      </c>
      <c r="BJ62" s="14" t="s">
        <v>2048</v>
      </c>
      <c r="BK62" s="14" t="s">
        <v>2048</v>
      </c>
      <c r="BL62" s="14" t="s">
        <v>2064</v>
      </c>
      <c r="BM62" s="14" t="s">
        <v>72</v>
      </c>
      <c r="BN62" s="14" t="s">
        <v>72</v>
      </c>
      <c r="BO62" s="14" t="s">
        <v>2494</v>
      </c>
      <c r="BP62" s="14" t="s">
        <v>2219</v>
      </c>
      <c r="BQ62" s="14" t="s">
        <v>2220</v>
      </c>
      <c r="BR62" s="14" t="s">
        <v>2418</v>
      </c>
      <c r="BS62" s="14" t="s">
        <v>2089</v>
      </c>
      <c r="BT62" s="14" t="s">
        <v>2048</v>
      </c>
      <c r="BU62" s="14" t="s">
        <v>2048</v>
      </c>
      <c r="BV62" s="14" t="s">
        <v>2048</v>
      </c>
      <c r="BW62" s="14" t="s">
        <v>2048</v>
      </c>
      <c r="BX62" s="14" t="s">
        <v>72</v>
      </c>
      <c r="BY62" s="14" t="s">
        <v>2048</v>
      </c>
      <c r="BZ62" s="14" t="s">
        <v>2048</v>
      </c>
      <c r="CA62" s="14" t="s">
        <v>2048</v>
      </c>
      <c r="CB62" s="14" t="s">
        <v>2048</v>
      </c>
      <c r="CC62" s="14" t="s">
        <v>2048</v>
      </c>
      <c r="CD62" s="14" t="s">
        <v>2048</v>
      </c>
      <c r="CE62" s="14" t="s">
        <v>2048</v>
      </c>
      <c r="CF62" s="14" t="s">
        <v>2048</v>
      </c>
      <c r="CG62" s="14" t="s">
        <v>2057</v>
      </c>
      <c r="CH62" s="14" t="s">
        <v>2090</v>
      </c>
      <c r="CI62" s="14" t="s">
        <v>2048</v>
      </c>
      <c r="CJ62" s="17"/>
      <c r="CK62" s="17">
        <v>45625</v>
      </c>
      <c r="CL62" s="17">
        <v>45625</v>
      </c>
      <c r="CM62" s="17">
        <v>2958465</v>
      </c>
      <c r="CN62" s="17"/>
      <c r="CO62" s="19">
        <v>0</v>
      </c>
      <c r="CP62" s="19">
        <v>0</v>
      </c>
      <c r="CQ62" s="19">
        <v>0</v>
      </c>
      <c r="CR62" s="19">
        <v>0</v>
      </c>
      <c r="CS62" s="19">
        <v>0</v>
      </c>
      <c r="CT62" s="19">
        <v>0</v>
      </c>
      <c r="CU62" s="19">
        <v>0</v>
      </c>
      <c r="CV62" s="17"/>
      <c r="CW62" s="19">
        <v>0</v>
      </c>
      <c r="CX62" s="17"/>
      <c r="CY62" s="17"/>
      <c r="CZ62" s="19">
        <v>0</v>
      </c>
      <c r="DA62" s="17"/>
      <c r="DB62" s="17"/>
      <c r="DC62" s="19">
        <v>100</v>
      </c>
      <c r="DD62" s="17"/>
      <c r="DE62" s="17">
        <v>2958465</v>
      </c>
      <c r="DF62" s="17"/>
      <c r="DG62" s="17"/>
      <c r="DH62" s="19">
        <v>0</v>
      </c>
      <c r="DI62" s="19">
        <v>0</v>
      </c>
    </row>
    <row r="63" spans="1:113" x14ac:dyDescent="0.2">
      <c r="A63" s="14" t="s">
        <v>2315</v>
      </c>
      <c r="B63" s="16" t="s">
        <v>861</v>
      </c>
      <c r="C63" s="14" t="s">
        <v>158</v>
      </c>
      <c r="D63" s="14" t="s">
        <v>159</v>
      </c>
      <c r="E63" s="14" t="s">
        <v>158</v>
      </c>
      <c r="F63" s="14" t="s">
        <v>2044</v>
      </c>
      <c r="G63" s="14" t="s">
        <v>2045</v>
      </c>
      <c r="H63" s="14" t="s">
        <v>81</v>
      </c>
      <c r="I63" s="14" t="s">
        <v>82</v>
      </c>
      <c r="J63" s="16">
        <f>COUNTIF($I$3:I63, I63)</f>
        <v>10</v>
      </c>
      <c r="K63" s="14" t="s">
        <v>2048</v>
      </c>
      <c r="L63" s="14" t="s">
        <v>2048</v>
      </c>
      <c r="M63" s="14" t="s">
        <v>2048</v>
      </c>
      <c r="N63" s="14" t="s">
        <v>2048</v>
      </c>
      <c r="O63" s="14" t="s">
        <v>2495</v>
      </c>
      <c r="P63" s="14" t="s">
        <v>862</v>
      </c>
      <c r="Q63" s="14" t="s">
        <v>72</v>
      </c>
      <c r="R63" s="14" t="s">
        <v>2048</v>
      </c>
      <c r="S63" s="14" t="s">
        <v>2048</v>
      </c>
      <c r="T63" s="14" t="s">
        <v>2048</v>
      </c>
      <c r="U63" s="14" t="s">
        <v>2048</v>
      </c>
      <c r="V63" s="14" t="s">
        <v>2050</v>
      </c>
      <c r="W63" s="14" t="s">
        <v>2048</v>
      </c>
      <c r="X63" s="14" t="s">
        <v>2048</v>
      </c>
      <c r="Y63" s="14" t="s">
        <v>2048</v>
      </c>
      <c r="Z63" s="14" t="s">
        <v>2048</v>
      </c>
      <c r="AA63" s="14" t="s">
        <v>2048</v>
      </c>
      <c r="AB63" s="14" t="s">
        <v>85</v>
      </c>
      <c r="AC63" s="14" t="s">
        <v>86</v>
      </c>
      <c r="AD63" s="14" t="s">
        <v>2411</v>
      </c>
      <c r="AE63" s="14" t="s">
        <v>2412</v>
      </c>
      <c r="AF63" s="14" t="s">
        <v>2055</v>
      </c>
      <c r="AG63" s="14" t="s">
        <v>2055</v>
      </c>
      <c r="AH63" s="14" t="s">
        <v>2055</v>
      </c>
      <c r="AI63" s="14" t="s">
        <v>2057</v>
      </c>
      <c r="AJ63" s="14" t="s">
        <v>87</v>
      </c>
      <c r="AK63" s="14" t="s">
        <v>2048</v>
      </c>
      <c r="AL63" s="14" t="s">
        <v>2048</v>
      </c>
      <c r="AM63" s="14" t="s">
        <v>2413</v>
      </c>
      <c r="AN63" s="14" t="s">
        <v>2207</v>
      </c>
      <c r="AO63" s="17" t="s">
        <v>89</v>
      </c>
      <c r="AP63" s="14" t="s">
        <v>2135</v>
      </c>
      <c r="AQ63" s="14" t="s">
        <v>2496</v>
      </c>
      <c r="AR63" s="14" t="s">
        <v>2497</v>
      </c>
      <c r="AS63" s="14" t="s">
        <v>2498</v>
      </c>
      <c r="AT63" s="14" t="s">
        <v>72</v>
      </c>
      <c r="AU63" s="14" t="s">
        <v>2268</v>
      </c>
      <c r="AV63" s="14" t="s">
        <v>2269</v>
      </c>
      <c r="AW63" s="14" t="s">
        <v>2048</v>
      </c>
      <c r="AX63" s="14" t="s">
        <v>2048</v>
      </c>
      <c r="AY63" s="14" t="s">
        <v>81</v>
      </c>
      <c r="AZ63" s="14" t="s">
        <v>143</v>
      </c>
      <c r="BA63" s="14" t="s">
        <v>2270</v>
      </c>
      <c r="BB63" s="14" t="s">
        <v>2048</v>
      </c>
      <c r="BC63" s="14" t="s">
        <v>2048</v>
      </c>
      <c r="BD63" s="14" t="s">
        <v>2271</v>
      </c>
      <c r="BE63" s="14" t="s">
        <v>2272</v>
      </c>
      <c r="BF63" s="14" t="s">
        <v>2271</v>
      </c>
      <c r="BG63" s="14" t="s">
        <v>2272</v>
      </c>
      <c r="BH63" s="14" t="s">
        <v>2273</v>
      </c>
      <c r="BI63" s="14" t="s">
        <v>2218</v>
      </c>
      <c r="BJ63" s="14" t="s">
        <v>2048</v>
      </c>
      <c r="BK63" s="14" t="s">
        <v>2048</v>
      </c>
      <c r="BL63" s="14" t="s">
        <v>2064</v>
      </c>
      <c r="BM63" s="14" t="s">
        <v>72</v>
      </c>
      <c r="BN63" s="14" t="s">
        <v>72</v>
      </c>
      <c r="BO63" s="14" t="s">
        <v>2499</v>
      </c>
      <c r="BP63" s="14" t="s">
        <v>2219</v>
      </c>
      <c r="BQ63" s="14" t="s">
        <v>2220</v>
      </c>
      <c r="BR63" s="14" t="s">
        <v>2418</v>
      </c>
      <c r="BS63" s="14" t="s">
        <v>2089</v>
      </c>
      <c r="BT63" s="14" t="s">
        <v>2048</v>
      </c>
      <c r="BU63" s="14" t="s">
        <v>2048</v>
      </c>
      <c r="BV63" s="14" t="s">
        <v>2048</v>
      </c>
      <c r="BW63" s="14" t="s">
        <v>2048</v>
      </c>
      <c r="BX63" s="14" t="s">
        <v>72</v>
      </c>
      <c r="BY63" s="14" t="s">
        <v>2048</v>
      </c>
      <c r="BZ63" s="14" t="s">
        <v>2048</v>
      </c>
      <c r="CA63" s="14" t="s">
        <v>2048</v>
      </c>
      <c r="CB63" s="14" t="s">
        <v>2048</v>
      </c>
      <c r="CC63" s="14" t="s">
        <v>2048</v>
      </c>
      <c r="CD63" s="14" t="s">
        <v>2048</v>
      </c>
      <c r="CE63" s="14" t="s">
        <v>2048</v>
      </c>
      <c r="CF63" s="14" t="s">
        <v>2048</v>
      </c>
      <c r="CG63" s="14" t="s">
        <v>2057</v>
      </c>
      <c r="CH63" s="14" t="s">
        <v>2090</v>
      </c>
      <c r="CI63" s="14" t="s">
        <v>2048</v>
      </c>
      <c r="CJ63" s="17"/>
      <c r="CK63" s="17">
        <v>45625</v>
      </c>
      <c r="CL63" s="17">
        <v>45625</v>
      </c>
      <c r="CM63" s="17">
        <v>2958465</v>
      </c>
      <c r="CN63" s="17"/>
      <c r="CO63" s="19">
        <v>0</v>
      </c>
      <c r="CP63" s="19">
        <v>0</v>
      </c>
      <c r="CQ63" s="19">
        <v>0</v>
      </c>
      <c r="CR63" s="19">
        <v>0</v>
      </c>
      <c r="CS63" s="19">
        <v>0</v>
      </c>
      <c r="CT63" s="19">
        <v>0</v>
      </c>
      <c r="CU63" s="19">
        <v>0</v>
      </c>
      <c r="CV63" s="17"/>
      <c r="CW63" s="19">
        <v>0</v>
      </c>
      <c r="CX63" s="17"/>
      <c r="CY63" s="17"/>
      <c r="CZ63" s="19">
        <v>0</v>
      </c>
      <c r="DA63" s="17"/>
      <c r="DB63" s="17"/>
      <c r="DC63" s="19">
        <v>100</v>
      </c>
      <c r="DD63" s="17"/>
      <c r="DE63" s="17">
        <v>2958465</v>
      </c>
      <c r="DF63" s="17"/>
      <c r="DG63" s="17"/>
      <c r="DH63" s="19">
        <v>0</v>
      </c>
      <c r="DI63" s="19">
        <v>0</v>
      </c>
    </row>
    <row r="64" spans="1:113" x14ac:dyDescent="0.2">
      <c r="A64" s="14" t="s">
        <v>2315</v>
      </c>
      <c r="B64" s="16" t="s">
        <v>173</v>
      </c>
      <c r="C64" s="14" t="s">
        <v>158</v>
      </c>
      <c r="D64" s="14" t="s">
        <v>159</v>
      </c>
      <c r="E64" s="14" t="s">
        <v>158</v>
      </c>
      <c r="F64" s="14" t="s">
        <v>2044</v>
      </c>
      <c r="G64" s="14" t="s">
        <v>2045</v>
      </c>
      <c r="H64" s="14" t="s">
        <v>81</v>
      </c>
      <c r="I64" s="14" t="s">
        <v>82</v>
      </c>
      <c r="J64" s="16">
        <f>COUNTIF($I$3:I64, I64)</f>
        <v>11</v>
      </c>
      <c r="K64" s="14" t="s">
        <v>2048</v>
      </c>
      <c r="L64" s="14" t="s">
        <v>2048</v>
      </c>
      <c r="M64" s="14" t="s">
        <v>2048</v>
      </c>
      <c r="N64" s="14" t="s">
        <v>2048</v>
      </c>
      <c r="O64" s="14" t="s">
        <v>2500</v>
      </c>
      <c r="P64" s="14" t="s">
        <v>175</v>
      </c>
      <c r="Q64" s="14" t="s">
        <v>72</v>
      </c>
      <c r="R64" s="14" t="s">
        <v>2048</v>
      </c>
      <c r="S64" s="14" t="s">
        <v>2048</v>
      </c>
      <c r="T64" s="14" t="s">
        <v>2048</v>
      </c>
      <c r="U64" s="14" t="s">
        <v>2048</v>
      </c>
      <c r="V64" s="14" t="s">
        <v>2050</v>
      </c>
      <c r="W64" s="14" t="s">
        <v>2048</v>
      </c>
      <c r="X64" s="14" t="s">
        <v>2048</v>
      </c>
      <c r="Y64" s="14" t="s">
        <v>2048</v>
      </c>
      <c r="Z64" s="14" t="s">
        <v>2048</v>
      </c>
      <c r="AA64" s="14" t="s">
        <v>2048</v>
      </c>
      <c r="AB64" s="14" t="s">
        <v>85</v>
      </c>
      <c r="AC64" s="14" t="s">
        <v>86</v>
      </c>
      <c r="AD64" s="14" t="s">
        <v>2411</v>
      </c>
      <c r="AE64" s="14" t="s">
        <v>2412</v>
      </c>
      <c r="AF64" s="14" t="s">
        <v>2055</v>
      </c>
      <c r="AG64" s="14" t="s">
        <v>2055</v>
      </c>
      <c r="AH64" s="14" t="s">
        <v>2055</v>
      </c>
      <c r="AI64" s="14" t="s">
        <v>2057</v>
      </c>
      <c r="AJ64" s="14" t="s">
        <v>87</v>
      </c>
      <c r="AK64" s="14" t="s">
        <v>2048</v>
      </c>
      <c r="AL64" s="14" t="s">
        <v>2048</v>
      </c>
      <c r="AM64" s="14" t="s">
        <v>2413</v>
      </c>
      <c r="AN64" s="14" t="s">
        <v>2207</v>
      </c>
      <c r="AO64" s="17" t="s">
        <v>89</v>
      </c>
      <c r="AP64" s="14" t="s">
        <v>2135</v>
      </c>
      <c r="AQ64" s="14" t="s">
        <v>2501</v>
      </c>
      <c r="AR64" s="14" t="s">
        <v>2502</v>
      </c>
      <c r="AS64" s="14" t="s">
        <v>2503</v>
      </c>
      <c r="AT64" s="14" t="s">
        <v>72</v>
      </c>
      <c r="AU64" s="14" t="s">
        <v>2268</v>
      </c>
      <c r="AV64" s="14" t="s">
        <v>2269</v>
      </c>
      <c r="AW64" s="14" t="s">
        <v>2048</v>
      </c>
      <c r="AX64" s="14" t="s">
        <v>2048</v>
      </c>
      <c r="AY64" s="14" t="s">
        <v>81</v>
      </c>
      <c r="AZ64" s="14" t="s">
        <v>174</v>
      </c>
      <c r="BA64" s="14" t="s">
        <v>2493</v>
      </c>
      <c r="BB64" s="14" t="s">
        <v>2048</v>
      </c>
      <c r="BC64" s="14" t="s">
        <v>2048</v>
      </c>
      <c r="BD64" s="14" t="s">
        <v>2271</v>
      </c>
      <c r="BE64" s="14" t="s">
        <v>2272</v>
      </c>
      <c r="BF64" s="14" t="s">
        <v>2271</v>
      </c>
      <c r="BG64" s="14" t="s">
        <v>2272</v>
      </c>
      <c r="BH64" s="14" t="s">
        <v>2273</v>
      </c>
      <c r="BI64" s="14" t="s">
        <v>2218</v>
      </c>
      <c r="BJ64" s="14" t="s">
        <v>2048</v>
      </c>
      <c r="BK64" s="14" t="s">
        <v>2048</v>
      </c>
      <c r="BL64" s="14" t="s">
        <v>2064</v>
      </c>
      <c r="BM64" s="14" t="s">
        <v>72</v>
      </c>
      <c r="BN64" s="14" t="s">
        <v>72</v>
      </c>
      <c r="BO64" s="14" t="s">
        <v>2504</v>
      </c>
      <c r="BP64" s="14" t="s">
        <v>2219</v>
      </c>
      <c r="BQ64" s="14" t="s">
        <v>2220</v>
      </c>
      <c r="BR64" s="14" t="s">
        <v>2418</v>
      </c>
      <c r="BS64" s="14" t="s">
        <v>2089</v>
      </c>
      <c r="BT64" s="14" t="s">
        <v>2048</v>
      </c>
      <c r="BU64" s="14" t="s">
        <v>2048</v>
      </c>
      <c r="BV64" s="14" t="s">
        <v>2048</v>
      </c>
      <c r="BW64" s="14" t="s">
        <v>2048</v>
      </c>
      <c r="BX64" s="14" t="s">
        <v>72</v>
      </c>
      <c r="BY64" s="14" t="s">
        <v>2048</v>
      </c>
      <c r="BZ64" s="14" t="s">
        <v>2048</v>
      </c>
      <c r="CA64" s="14" t="s">
        <v>2048</v>
      </c>
      <c r="CB64" s="14" t="s">
        <v>2048</v>
      </c>
      <c r="CC64" s="14" t="s">
        <v>2048</v>
      </c>
      <c r="CD64" s="14" t="s">
        <v>2048</v>
      </c>
      <c r="CE64" s="14" t="s">
        <v>2048</v>
      </c>
      <c r="CF64" s="14" t="s">
        <v>2048</v>
      </c>
      <c r="CG64" s="14" t="s">
        <v>2057</v>
      </c>
      <c r="CH64" s="14" t="s">
        <v>2090</v>
      </c>
      <c r="CI64" s="14" t="s">
        <v>2048</v>
      </c>
      <c r="CJ64" s="17"/>
      <c r="CK64" s="17">
        <v>45646</v>
      </c>
      <c r="CL64" s="17">
        <v>45646</v>
      </c>
      <c r="CM64" s="17">
        <v>2958465</v>
      </c>
      <c r="CN64" s="17"/>
      <c r="CO64" s="19">
        <v>0</v>
      </c>
      <c r="CP64" s="19">
        <v>0</v>
      </c>
      <c r="CQ64" s="19">
        <v>0</v>
      </c>
      <c r="CR64" s="19">
        <v>0</v>
      </c>
      <c r="CS64" s="19">
        <v>0</v>
      </c>
      <c r="CT64" s="19">
        <v>0</v>
      </c>
      <c r="CU64" s="19">
        <v>0</v>
      </c>
      <c r="CV64" s="17"/>
      <c r="CW64" s="19">
        <v>0</v>
      </c>
      <c r="CX64" s="17"/>
      <c r="CY64" s="17"/>
      <c r="CZ64" s="19">
        <v>0</v>
      </c>
      <c r="DA64" s="17"/>
      <c r="DB64" s="17"/>
      <c r="DC64" s="19">
        <v>100</v>
      </c>
      <c r="DD64" s="17"/>
      <c r="DE64" s="17">
        <v>2958465</v>
      </c>
      <c r="DF64" s="17"/>
      <c r="DG64" s="17"/>
      <c r="DH64" s="19">
        <v>0</v>
      </c>
      <c r="DI64" s="19">
        <v>0</v>
      </c>
    </row>
    <row r="65" spans="1:113" x14ac:dyDescent="0.2">
      <c r="A65" s="14" t="s">
        <v>2315</v>
      </c>
      <c r="B65" s="16" t="s">
        <v>179</v>
      </c>
      <c r="C65" s="14" t="s">
        <v>158</v>
      </c>
      <c r="D65" s="14" t="s">
        <v>159</v>
      </c>
      <c r="E65" s="14" t="s">
        <v>158</v>
      </c>
      <c r="F65" s="14" t="s">
        <v>2044</v>
      </c>
      <c r="G65" s="14" t="s">
        <v>2045</v>
      </c>
      <c r="H65" s="14" t="s">
        <v>81</v>
      </c>
      <c r="I65" s="14" t="s">
        <v>82</v>
      </c>
      <c r="J65" s="16">
        <f>COUNTIF($I$3:I65, I65)</f>
        <v>12</v>
      </c>
      <c r="K65" s="14" t="s">
        <v>2048</v>
      </c>
      <c r="L65" s="14" t="s">
        <v>2048</v>
      </c>
      <c r="M65" s="14" t="s">
        <v>2048</v>
      </c>
      <c r="N65" s="14" t="s">
        <v>2048</v>
      </c>
      <c r="O65" s="14" t="s">
        <v>2505</v>
      </c>
      <c r="P65" s="14" t="s">
        <v>181</v>
      </c>
      <c r="Q65" s="14" t="s">
        <v>72</v>
      </c>
      <c r="R65" s="14" t="s">
        <v>2048</v>
      </c>
      <c r="S65" s="14" t="s">
        <v>2048</v>
      </c>
      <c r="T65" s="14" t="s">
        <v>2048</v>
      </c>
      <c r="U65" s="14" t="s">
        <v>2048</v>
      </c>
      <c r="V65" s="14" t="s">
        <v>2050</v>
      </c>
      <c r="W65" s="14" t="s">
        <v>2048</v>
      </c>
      <c r="X65" s="14" t="s">
        <v>2048</v>
      </c>
      <c r="Y65" s="14" t="s">
        <v>2048</v>
      </c>
      <c r="Z65" s="14" t="s">
        <v>2048</v>
      </c>
      <c r="AA65" s="14" t="s">
        <v>2048</v>
      </c>
      <c r="AB65" s="14" t="s">
        <v>85</v>
      </c>
      <c r="AC65" s="14" t="s">
        <v>86</v>
      </c>
      <c r="AD65" s="14" t="s">
        <v>2506</v>
      </c>
      <c r="AE65" s="14" t="s">
        <v>2507</v>
      </c>
      <c r="AF65" s="14" t="s">
        <v>2055</v>
      </c>
      <c r="AG65" s="14" t="s">
        <v>2055</v>
      </c>
      <c r="AH65" s="14" t="s">
        <v>2055</v>
      </c>
      <c r="AI65" s="14" t="s">
        <v>2057</v>
      </c>
      <c r="AJ65" s="14" t="s">
        <v>87</v>
      </c>
      <c r="AK65" s="14" t="s">
        <v>2048</v>
      </c>
      <c r="AL65" s="14" t="s">
        <v>2048</v>
      </c>
      <c r="AM65" s="14" t="s">
        <v>2413</v>
      </c>
      <c r="AN65" s="14" t="s">
        <v>2508</v>
      </c>
      <c r="AO65" s="17" t="s">
        <v>89</v>
      </c>
      <c r="AP65" s="14" t="s">
        <v>2135</v>
      </c>
      <c r="AQ65" s="14" t="s">
        <v>2509</v>
      </c>
      <c r="AR65" s="14" t="s">
        <v>2510</v>
      </c>
      <c r="AS65" s="14" t="s">
        <v>2511</v>
      </c>
      <c r="AT65" s="14" t="s">
        <v>72</v>
      </c>
      <c r="AU65" s="14" t="s">
        <v>2512</v>
      </c>
      <c r="AV65" s="14" t="s">
        <v>2513</v>
      </c>
      <c r="AW65" s="14" t="s">
        <v>2048</v>
      </c>
      <c r="AX65" s="14" t="s">
        <v>2048</v>
      </c>
      <c r="AY65" s="14" t="s">
        <v>81</v>
      </c>
      <c r="AZ65" s="14" t="s">
        <v>180</v>
      </c>
      <c r="BA65" s="14" t="s">
        <v>2514</v>
      </c>
      <c r="BB65" s="14" t="s">
        <v>2048</v>
      </c>
      <c r="BC65" s="14" t="s">
        <v>2048</v>
      </c>
      <c r="BD65" s="14" t="s">
        <v>2515</v>
      </c>
      <c r="BE65" s="14" t="s">
        <v>2516</v>
      </c>
      <c r="BF65" s="14" t="s">
        <v>2048</v>
      </c>
      <c r="BG65" s="14" t="s">
        <v>2048</v>
      </c>
      <c r="BH65" s="14" t="s">
        <v>2517</v>
      </c>
      <c r="BI65" s="14" t="s">
        <v>2218</v>
      </c>
      <c r="BJ65" s="14" t="s">
        <v>2048</v>
      </c>
      <c r="BK65" s="14" t="s">
        <v>2518</v>
      </c>
      <c r="BL65" s="14" t="s">
        <v>2064</v>
      </c>
      <c r="BM65" s="14" t="s">
        <v>72</v>
      </c>
      <c r="BN65" s="14" t="s">
        <v>72</v>
      </c>
      <c r="BO65" s="14" t="s">
        <v>2519</v>
      </c>
      <c r="BP65" s="14" t="s">
        <v>2219</v>
      </c>
      <c r="BQ65" s="14" t="s">
        <v>2220</v>
      </c>
      <c r="BR65" s="14" t="s">
        <v>2418</v>
      </c>
      <c r="BS65" s="14" t="s">
        <v>2089</v>
      </c>
      <c r="BT65" s="14" t="s">
        <v>2048</v>
      </c>
      <c r="BU65" s="14" t="s">
        <v>2048</v>
      </c>
      <c r="BV65" s="14" t="s">
        <v>2048</v>
      </c>
      <c r="BW65" s="14" t="s">
        <v>2048</v>
      </c>
      <c r="BX65" s="14" t="s">
        <v>72</v>
      </c>
      <c r="BY65" s="14" t="s">
        <v>2048</v>
      </c>
      <c r="BZ65" s="14" t="s">
        <v>2048</v>
      </c>
      <c r="CA65" s="14" t="s">
        <v>2048</v>
      </c>
      <c r="CB65" s="14" t="s">
        <v>2048</v>
      </c>
      <c r="CC65" s="14" t="s">
        <v>2048</v>
      </c>
      <c r="CD65" s="14" t="s">
        <v>2048</v>
      </c>
      <c r="CE65" s="14" t="s">
        <v>2048</v>
      </c>
      <c r="CF65" s="14" t="s">
        <v>2048</v>
      </c>
      <c r="CG65" s="14" t="s">
        <v>2057</v>
      </c>
      <c r="CH65" s="14" t="s">
        <v>2090</v>
      </c>
      <c r="CI65" s="14" t="s">
        <v>2048</v>
      </c>
      <c r="CJ65" s="17"/>
      <c r="CK65" s="17">
        <v>45646</v>
      </c>
      <c r="CL65" s="17">
        <v>45646</v>
      </c>
      <c r="CM65" s="17">
        <v>2958465</v>
      </c>
      <c r="CN65" s="17"/>
      <c r="CO65" s="19">
        <v>0</v>
      </c>
      <c r="CP65" s="19">
        <v>0</v>
      </c>
      <c r="CQ65" s="19">
        <v>0</v>
      </c>
      <c r="CR65" s="19">
        <v>0</v>
      </c>
      <c r="CS65" s="19">
        <v>0</v>
      </c>
      <c r="CT65" s="19">
        <v>0</v>
      </c>
      <c r="CU65" s="19">
        <v>0</v>
      </c>
      <c r="CV65" s="17"/>
      <c r="CW65" s="19">
        <v>0</v>
      </c>
      <c r="CX65" s="17"/>
      <c r="CY65" s="17"/>
      <c r="CZ65" s="19">
        <v>0</v>
      </c>
      <c r="DA65" s="17"/>
      <c r="DB65" s="17"/>
      <c r="DC65" s="19">
        <v>100</v>
      </c>
      <c r="DD65" s="17"/>
      <c r="DE65" s="17">
        <v>2958465</v>
      </c>
      <c r="DF65" s="17"/>
      <c r="DG65" s="17"/>
      <c r="DH65" s="19">
        <v>0</v>
      </c>
      <c r="DI65" s="19">
        <v>0</v>
      </c>
    </row>
    <row r="66" spans="1:113" x14ac:dyDescent="0.2">
      <c r="A66" s="14" t="s">
        <v>2315</v>
      </c>
      <c r="B66" s="16" t="s">
        <v>185</v>
      </c>
      <c r="C66" s="14" t="s">
        <v>158</v>
      </c>
      <c r="D66" s="14" t="s">
        <v>159</v>
      </c>
      <c r="E66" s="14" t="s">
        <v>158</v>
      </c>
      <c r="F66" s="14" t="s">
        <v>2044</v>
      </c>
      <c r="G66" s="14" t="s">
        <v>2045</v>
      </c>
      <c r="H66" s="14" t="s">
        <v>81</v>
      </c>
      <c r="I66" s="14" t="s">
        <v>82</v>
      </c>
      <c r="J66" s="16">
        <f>COUNTIF($I$3:I66, I66)</f>
        <v>13</v>
      </c>
      <c r="K66" s="14" t="s">
        <v>2048</v>
      </c>
      <c r="L66" s="14" t="s">
        <v>2048</v>
      </c>
      <c r="M66" s="14" t="s">
        <v>2048</v>
      </c>
      <c r="N66" s="14" t="s">
        <v>2048</v>
      </c>
      <c r="O66" s="14" t="s">
        <v>2520</v>
      </c>
      <c r="P66" s="14" t="s">
        <v>186</v>
      </c>
      <c r="Q66" s="14" t="s">
        <v>72</v>
      </c>
      <c r="R66" s="14" t="s">
        <v>2048</v>
      </c>
      <c r="S66" s="14" t="s">
        <v>2048</v>
      </c>
      <c r="T66" s="14" t="s">
        <v>2048</v>
      </c>
      <c r="U66" s="14" t="s">
        <v>2048</v>
      </c>
      <c r="V66" s="14" t="s">
        <v>2050</v>
      </c>
      <c r="W66" s="14" t="s">
        <v>2048</v>
      </c>
      <c r="X66" s="14" t="s">
        <v>2048</v>
      </c>
      <c r="Y66" s="14" t="s">
        <v>2048</v>
      </c>
      <c r="Z66" s="14" t="s">
        <v>2048</v>
      </c>
      <c r="AA66" s="14" t="s">
        <v>2048</v>
      </c>
      <c r="AB66" s="14" t="s">
        <v>85</v>
      </c>
      <c r="AC66" s="14" t="s">
        <v>86</v>
      </c>
      <c r="AD66" s="14" t="s">
        <v>2411</v>
      </c>
      <c r="AE66" s="14" t="s">
        <v>2412</v>
      </c>
      <c r="AF66" s="14" t="s">
        <v>2055</v>
      </c>
      <c r="AG66" s="14" t="s">
        <v>2055</v>
      </c>
      <c r="AH66" s="14" t="s">
        <v>2055</v>
      </c>
      <c r="AI66" s="14" t="s">
        <v>2057</v>
      </c>
      <c r="AJ66" s="14" t="s">
        <v>87</v>
      </c>
      <c r="AK66" s="14" t="s">
        <v>2048</v>
      </c>
      <c r="AL66" s="14" t="s">
        <v>2048</v>
      </c>
      <c r="AM66" s="14" t="s">
        <v>2413</v>
      </c>
      <c r="AN66" s="14" t="s">
        <v>2207</v>
      </c>
      <c r="AO66" s="17" t="s">
        <v>89</v>
      </c>
      <c r="AP66" s="14" t="s">
        <v>2135</v>
      </c>
      <c r="AQ66" s="14" t="s">
        <v>934</v>
      </c>
      <c r="AR66" s="14" t="s">
        <v>2521</v>
      </c>
      <c r="AS66" s="14" t="s">
        <v>2522</v>
      </c>
      <c r="AT66" s="14" t="s">
        <v>72</v>
      </c>
      <c r="AU66" s="14" t="s">
        <v>2268</v>
      </c>
      <c r="AV66" s="14" t="s">
        <v>2269</v>
      </c>
      <c r="AW66" s="14" t="s">
        <v>2048</v>
      </c>
      <c r="AX66" s="14" t="s">
        <v>2048</v>
      </c>
      <c r="AY66" s="14" t="s">
        <v>81</v>
      </c>
      <c r="AZ66" s="14" t="s">
        <v>174</v>
      </c>
      <c r="BA66" s="14" t="s">
        <v>2493</v>
      </c>
      <c r="BB66" s="14" t="s">
        <v>2048</v>
      </c>
      <c r="BC66" s="14" t="s">
        <v>2048</v>
      </c>
      <c r="BD66" s="14" t="s">
        <v>2271</v>
      </c>
      <c r="BE66" s="14" t="s">
        <v>2272</v>
      </c>
      <c r="BF66" s="14" t="s">
        <v>2271</v>
      </c>
      <c r="BG66" s="14" t="s">
        <v>2272</v>
      </c>
      <c r="BH66" s="14" t="s">
        <v>2273</v>
      </c>
      <c r="BI66" s="14" t="s">
        <v>2218</v>
      </c>
      <c r="BJ66" s="14" t="s">
        <v>2048</v>
      </c>
      <c r="BK66" s="14" t="s">
        <v>2518</v>
      </c>
      <c r="BL66" s="14" t="s">
        <v>2064</v>
      </c>
      <c r="BM66" s="14" t="s">
        <v>72</v>
      </c>
      <c r="BN66" s="14" t="s">
        <v>72</v>
      </c>
      <c r="BO66" s="14" t="s">
        <v>2523</v>
      </c>
      <c r="BP66" s="14" t="s">
        <v>2219</v>
      </c>
      <c r="BQ66" s="14" t="s">
        <v>2220</v>
      </c>
      <c r="BR66" s="14" t="s">
        <v>2418</v>
      </c>
      <c r="BS66" s="14" t="s">
        <v>2089</v>
      </c>
      <c r="BT66" s="14" t="s">
        <v>2048</v>
      </c>
      <c r="BU66" s="14" t="s">
        <v>2048</v>
      </c>
      <c r="BV66" s="14" t="s">
        <v>2048</v>
      </c>
      <c r="BW66" s="14" t="s">
        <v>2048</v>
      </c>
      <c r="BX66" s="14" t="s">
        <v>72</v>
      </c>
      <c r="BY66" s="14" t="s">
        <v>2048</v>
      </c>
      <c r="BZ66" s="14" t="s">
        <v>2048</v>
      </c>
      <c r="CA66" s="14" t="s">
        <v>2048</v>
      </c>
      <c r="CB66" s="14" t="s">
        <v>2048</v>
      </c>
      <c r="CC66" s="14" t="s">
        <v>2048</v>
      </c>
      <c r="CD66" s="14" t="s">
        <v>2048</v>
      </c>
      <c r="CE66" s="14" t="s">
        <v>2048</v>
      </c>
      <c r="CF66" s="14" t="s">
        <v>2048</v>
      </c>
      <c r="CG66" s="14" t="s">
        <v>2057</v>
      </c>
      <c r="CH66" s="14" t="s">
        <v>2090</v>
      </c>
      <c r="CI66" s="14" t="s">
        <v>2048</v>
      </c>
      <c r="CJ66" s="17"/>
      <c r="CK66" s="17">
        <v>45646</v>
      </c>
      <c r="CL66" s="17">
        <v>45646</v>
      </c>
      <c r="CM66" s="17">
        <v>2958465</v>
      </c>
      <c r="CN66" s="17"/>
      <c r="CO66" s="19">
        <v>0</v>
      </c>
      <c r="CP66" s="19">
        <v>0</v>
      </c>
      <c r="CQ66" s="19">
        <v>0</v>
      </c>
      <c r="CR66" s="19">
        <v>0</v>
      </c>
      <c r="CS66" s="19">
        <v>0</v>
      </c>
      <c r="CT66" s="19">
        <v>0</v>
      </c>
      <c r="CU66" s="19">
        <v>0</v>
      </c>
      <c r="CV66" s="17"/>
      <c r="CW66" s="19">
        <v>0</v>
      </c>
      <c r="CX66" s="17"/>
      <c r="CY66" s="17"/>
      <c r="CZ66" s="19">
        <v>0</v>
      </c>
      <c r="DA66" s="17"/>
      <c r="DB66" s="17"/>
      <c r="DC66" s="19">
        <v>100</v>
      </c>
      <c r="DD66" s="17"/>
      <c r="DE66" s="17">
        <v>2958465</v>
      </c>
      <c r="DF66" s="17"/>
      <c r="DG66" s="17"/>
      <c r="DH66" s="19">
        <v>0</v>
      </c>
      <c r="DI66" s="19">
        <v>0</v>
      </c>
    </row>
    <row r="67" spans="1:113" x14ac:dyDescent="0.2">
      <c r="A67" s="14" t="s">
        <v>2315</v>
      </c>
      <c r="B67" s="16" t="s">
        <v>1029</v>
      </c>
      <c r="C67" s="14" t="s">
        <v>158</v>
      </c>
      <c r="D67" s="14" t="s">
        <v>159</v>
      </c>
      <c r="E67" s="14" t="s">
        <v>158</v>
      </c>
      <c r="F67" s="14" t="s">
        <v>2044</v>
      </c>
      <c r="G67" s="14" t="s">
        <v>2045</v>
      </c>
      <c r="H67" s="14" t="s">
        <v>102</v>
      </c>
      <c r="I67" s="14" t="s">
        <v>103</v>
      </c>
      <c r="J67" s="16">
        <f>COUNTIF($I$3:I67, I67)</f>
        <v>31</v>
      </c>
      <c r="K67" s="14" t="s">
        <v>2048</v>
      </c>
      <c r="L67" s="14" t="s">
        <v>2048</v>
      </c>
      <c r="M67" s="14" t="s">
        <v>2048</v>
      </c>
      <c r="N67" s="14" t="s">
        <v>2048</v>
      </c>
      <c r="O67" s="14" t="s">
        <v>2524</v>
      </c>
      <c r="P67" s="14" t="s">
        <v>72</v>
      </c>
      <c r="Q67" s="14" t="s">
        <v>72</v>
      </c>
      <c r="R67" s="14" t="s">
        <v>2048</v>
      </c>
      <c r="S67" s="14" t="s">
        <v>2048</v>
      </c>
      <c r="T67" s="14" t="s">
        <v>2422</v>
      </c>
      <c r="U67" s="14" t="s">
        <v>2049</v>
      </c>
      <c r="V67" s="14" t="s">
        <v>2050</v>
      </c>
      <c r="W67" s="14" t="s">
        <v>2048</v>
      </c>
      <c r="X67" s="14" t="s">
        <v>2048</v>
      </c>
      <c r="Y67" s="14" t="s">
        <v>2048</v>
      </c>
      <c r="Z67" s="14" t="s">
        <v>2048</v>
      </c>
      <c r="AA67" s="14" t="s">
        <v>2048</v>
      </c>
      <c r="AB67" s="14" t="s">
        <v>140</v>
      </c>
      <c r="AC67" s="14" t="s">
        <v>1030</v>
      </c>
      <c r="AD67" s="14" t="s">
        <v>2072</v>
      </c>
      <c r="AE67" s="14" t="s">
        <v>2073</v>
      </c>
      <c r="AF67" s="14" t="s">
        <v>2056</v>
      </c>
      <c r="AG67" s="14" t="s">
        <v>2056</v>
      </c>
      <c r="AH67" s="14" t="s">
        <v>2055</v>
      </c>
      <c r="AI67" s="14" t="s">
        <v>2057</v>
      </c>
      <c r="AJ67" s="14" t="s">
        <v>87</v>
      </c>
      <c r="AK67" s="14" t="s">
        <v>2048</v>
      </c>
      <c r="AL67" s="14" t="s">
        <v>2048</v>
      </c>
      <c r="AM67" s="14" t="s">
        <v>2048</v>
      </c>
      <c r="AN67" s="14" t="s">
        <v>2525</v>
      </c>
      <c r="AO67" s="17" t="s">
        <v>89</v>
      </c>
      <c r="AP67" s="14" t="s">
        <v>2208</v>
      </c>
      <c r="AQ67" s="14" t="s">
        <v>2059</v>
      </c>
      <c r="AR67" s="14" t="s">
        <v>2060</v>
      </c>
      <c r="AS67" s="14" t="s">
        <v>2048</v>
      </c>
      <c r="AT67" s="14" t="s">
        <v>2048</v>
      </c>
      <c r="AU67" s="14" t="s">
        <v>2526</v>
      </c>
      <c r="AV67" s="14" t="s">
        <v>2527</v>
      </c>
      <c r="AW67" s="14" t="s">
        <v>2048</v>
      </c>
      <c r="AX67" s="14" t="s">
        <v>2048</v>
      </c>
      <c r="AY67" s="14" t="s">
        <v>102</v>
      </c>
      <c r="AZ67" s="14" t="s">
        <v>696</v>
      </c>
      <c r="BA67" s="14" t="s">
        <v>2528</v>
      </c>
      <c r="BB67" s="14" t="s">
        <v>2048</v>
      </c>
      <c r="BC67" s="14" t="s">
        <v>2048</v>
      </c>
      <c r="BD67" s="14" t="s">
        <v>2080</v>
      </c>
      <c r="BE67" s="14" t="s">
        <v>2081</v>
      </c>
      <c r="BF67" s="14" t="s">
        <v>2529</v>
      </c>
      <c r="BG67" s="14" t="s">
        <v>2530</v>
      </c>
      <c r="BH67" s="14" t="s">
        <v>2531</v>
      </c>
      <c r="BI67" s="14" t="s">
        <v>2085</v>
      </c>
      <c r="BJ67" s="14" t="s">
        <v>2048</v>
      </c>
      <c r="BK67" s="14" t="s">
        <v>2048</v>
      </c>
      <c r="BL67" s="14" t="s">
        <v>2064</v>
      </c>
      <c r="BM67" s="14" t="s">
        <v>72</v>
      </c>
      <c r="BN67" s="14" t="s">
        <v>72</v>
      </c>
      <c r="BO67" s="14" t="s">
        <v>2532</v>
      </c>
      <c r="BP67" s="14" t="s">
        <v>2048</v>
      </c>
      <c r="BQ67" s="14" t="s">
        <v>2048</v>
      </c>
      <c r="BR67" s="14" t="s">
        <v>2331</v>
      </c>
      <c r="BS67" s="14" t="s">
        <v>2131</v>
      </c>
      <c r="BT67" s="14" t="s">
        <v>2048</v>
      </c>
      <c r="BU67" s="14" t="s">
        <v>2048</v>
      </c>
      <c r="BV67" s="14" t="s">
        <v>2048</v>
      </c>
      <c r="BW67" s="14" t="s">
        <v>2048</v>
      </c>
      <c r="BX67" s="14" t="s">
        <v>72</v>
      </c>
      <c r="BY67" s="14" t="s">
        <v>2048</v>
      </c>
      <c r="BZ67" s="14" t="s">
        <v>2048</v>
      </c>
      <c r="CA67" s="14" t="s">
        <v>2048</v>
      </c>
      <c r="CB67" s="14" t="s">
        <v>2048</v>
      </c>
      <c r="CC67" s="14" t="s">
        <v>2048</v>
      </c>
      <c r="CD67" s="14" t="s">
        <v>2048</v>
      </c>
      <c r="CE67" s="14" t="s">
        <v>2048</v>
      </c>
      <c r="CF67" s="14" t="s">
        <v>2048</v>
      </c>
      <c r="CG67" s="14" t="s">
        <v>2057</v>
      </c>
      <c r="CH67" s="14" t="s">
        <v>2090</v>
      </c>
      <c r="CI67" s="14" t="s">
        <v>2048</v>
      </c>
      <c r="CJ67" s="17"/>
      <c r="CK67" s="17">
        <v>45615</v>
      </c>
      <c r="CL67" s="17">
        <v>45615</v>
      </c>
      <c r="CM67" s="17">
        <v>2958465</v>
      </c>
      <c r="CN67" s="17"/>
      <c r="CO67" s="19">
        <v>0</v>
      </c>
      <c r="CP67" s="19">
        <v>0</v>
      </c>
      <c r="CQ67" s="19">
        <v>0</v>
      </c>
      <c r="CR67" s="19">
        <v>0</v>
      </c>
      <c r="CS67" s="19">
        <v>0</v>
      </c>
      <c r="CT67" s="19">
        <v>0</v>
      </c>
      <c r="CU67" s="19">
        <v>0</v>
      </c>
      <c r="CV67" s="17"/>
      <c r="CW67" s="20">
        <v>1828</v>
      </c>
      <c r="CX67" s="17">
        <v>45730</v>
      </c>
      <c r="CY67" s="17"/>
      <c r="CZ67" s="19">
        <v>0</v>
      </c>
      <c r="DA67" s="17"/>
      <c r="DB67" s="17"/>
      <c r="DC67" s="19">
        <v>100</v>
      </c>
      <c r="DD67" s="17"/>
      <c r="DE67" s="17">
        <v>2958465</v>
      </c>
      <c r="DF67" s="17"/>
      <c r="DG67" s="17"/>
      <c r="DH67" s="19">
        <v>0</v>
      </c>
      <c r="DI67" s="19">
        <v>0</v>
      </c>
    </row>
    <row r="68" spans="1:113" x14ac:dyDescent="0.2">
      <c r="A68" s="14" t="s">
        <v>2315</v>
      </c>
      <c r="B68" s="16" t="s">
        <v>913</v>
      </c>
      <c r="C68" s="14" t="s">
        <v>158</v>
      </c>
      <c r="D68" s="14" t="s">
        <v>159</v>
      </c>
      <c r="E68" s="14" t="s">
        <v>158</v>
      </c>
      <c r="F68" s="14" t="s">
        <v>2044</v>
      </c>
      <c r="G68" s="14" t="s">
        <v>2045</v>
      </c>
      <c r="H68" s="14" t="s">
        <v>336</v>
      </c>
      <c r="I68" s="14" t="s">
        <v>337</v>
      </c>
      <c r="J68" s="16">
        <f>COUNTIF($I$3:I68, I68)</f>
        <v>3</v>
      </c>
      <c r="K68" s="14" t="s">
        <v>2048</v>
      </c>
      <c r="L68" s="14" t="s">
        <v>2048</v>
      </c>
      <c r="M68" s="14" t="s">
        <v>2048</v>
      </c>
      <c r="N68" s="14" t="s">
        <v>2048</v>
      </c>
      <c r="O68" s="14" t="s">
        <v>2533</v>
      </c>
      <c r="P68" s="14" t="s">
        <v>914</v>
      </c>
      <c r="Q68" s="14" t="s">
        <v>72</v>
      </c>
      <c r="R68" s="14" t="s">
        <v>2048</v>
      </c>
      <c r="S68" s="14" t="s">
        <v>2048</v>
      </c>
      <c r="T68" s="14" t="s">
        <v>2422</v>
      </c>
      <c r="U68" s="14" t="s">
        <v>2049</v>
      </c>
      <c r="V68" s="14" t="s">
        <v>2050</v>
      </c>
      <c r="W68" s="14" t="s">
        <v>2048</v>
      </c>
      <c r="X68" s="14" t="s">
        <v>2048</v>
      </c>
      <c r="Y68" s="14" t="s">
        <v>2048</v>
      </c>
      <c r="Z68" s="14" t="s">
        <v>2048</v>
      </c>
      <c r="AA68" s="14" t="s">
        <v>2048</v>
      </c>
      <c r="AB68" s="14" t="s">
        <v>85</v>
      </c>
      <c r="AC68" s="14" t="s">
        <v>340</v>
      </c>
      <c r="AD68" s="14" t="s">
        <v>2132</v>
      </c>
      <c r="AE68" s="14" t="s">
        <v>2133</v>
      </c>
      <c r="AF68" s="14" t="s">
        <v>2055</v>
      </c>
      <c r="AG68" s="14" t="s">
        <v>2055</v>
      </c>
      <c r="AH68" s="14" t="s">
        <v>2055</v>
      </c>
      <c r="AI68" s="14" t="s">
        <v>2057</v>
      </c>
      <c r="AJ68" s="14" t="s">
        <v>87</v>
      </c>
      <c r="AK68" s="14" t="s">
        <v>2048</v>
      </c>
      <c r="AL68" s="14" t="s">
        <v>2048</v>
      </c>
      <c r="AM68" s="14" t="s">
        <v>2048</v>
      </c>
      <c r="AN68" s="14" t="s">
        <v>2534</v>
      </c>
      <c r="AO68" s="17" t="s">
        <v>89</v>
      </c>
      <c r="AP68" s="14" t="s">
        <v>2535</v>
      </c>
      <c r="AQ68" s="14" t="s">
        <v>2059</v>
      </c>
      <c r="AR68" s="14" t="s">
        <v>2536</v>
      </c>
      <c r="AS68" s="14" t="s">
        <v>2537</v>
      </c>
      <c r="AT68" s="14" t="s">
        <v>2048</v>
      </c>
      <c r="AU68" s="14" t="s">
        <v>2536</v>
      </c>
      <c r="AV68" s="14" t="s">
        <v>2537</v>
      </c>
      <c r="AW68" s="14" t="s">
        <v>2048</v>
      </c>
      <c r="AX68" s="14" t="s">
        <v>2048</v>
      </c>
      <c r="AY68" s="14" t="s">
        <v>336</v>
      </c>
      <c r="AZ68" s="14" t="s">
        <v>382</v>
      </c>
      <c r="BA68" s="14" t="s">
        <v>2538</v>
      </c>
      <c r="BB68" s="14" t="s">
        <v>2048</v>
      </c>
      <c r="BC68" s="14" t="s">
        <v>2048</v>
      </c>
      <c r="BD68" s="14" t="s">
        <v>2080</v>
      </c>
      <c r="BE68" s="14" t="s">
        <v>2081</v>
      </c>
      <c r="BF68" s="14" t="s">
        <v>2539</v>
      </c>
      <c r="BG68" s="14" t="s">
        <v>2540</v>
      </c>
      <c r="BH68" s="14" t="s">
        <v>2186</v>
      </c>
      <c r="BI68" s="14" t="s">
        <v>2085</v>
      </c>
      <c r="BJ68" s="14" t="s">
        <v>2048</v>
      </c>
      <c r="BK68" s="14" t="s">
        <v>2048</v>
      </c>
      <c r="BL68" s="14" t="s">
        <v>2064</v>
      </c>
      <c r="BM68" s="14" t="s">
        <v>72</v>
      </c>
      <c r="BN68" s="14" t="s">
        <v>72</v>
      </c>
      <c r="BO68" s="14" t="s">
        <v>2541</v>
      </c>
      <c r="BP68" s="14" t="s">
        <v>2542</v>
      </c>
      <c r="BQ68" s="14" t="s">
        <v>2543</v>
      </c>
      <c r="BR68" s="14" t="s">
        <v>2331</v>
      </c>
      <c r="BS68" s="14" t="s">
        <v>2131</v>
      </c>
      <c r="BT68" s="14" t="s">
        <v>2048</v>
      </c>
      <c r="BU68" s="14" t="s">
        <v>2048</v>
      </c>
      <c r="BV68" s="14" t="s">
        <v>2048</v>
      </c>
      <c r="BW68" s="14" t="s">
        <v>2048</v>
      </c>
      <c r="BX68" s="14" t="s">
        <v>72</v>
      </c>
      <c r="BY68" s="14" t="s">
        <v>2048</v>
      </c>
      <c r="BZ68" s="14" t="s">
        <v>2048</v>
      </c>
      <c r="CA68" s="14" t="s">
        <v>2048</v>
      </c>
      <c r="CB68" s="14" t="s">
        <v>2048</v>
      </c>
      <c r="CC68" s="14" t="s">
        <v>2048</v>
      </c>
      <c r="CD68" s="14" t="s">
        <v>2048</v>
      </c>
      <c r="CE68" s="14" t="s">
        <v>2048</v>
      </c>
      <c r="CF68" s="14" t="s">
        <v>2048</v>
      </c>
      <c r="CG68" s="14" t="s">
        <v>2068</v>
      </c>
      <c r="CH68" s="14" t="s">
        <v>2069</v>
      </c>
      <c r="CI68" s="14" t="s">
        <v>2048</v>
      </c>
      <c r="CJ68" s="17"/>
      <c r="CK68" s="17">
        <v>45481</v>
      </c>
      <c r="CL68" s="17">
        <v>45481</v>
      </c>
      <c r="CM68" s="17">
        <v>2958465</v>
      </c>
      <c r="CN68" s="17"/>
      <c r="CO68" s="19">
        <v>0</v>
      </c>
      <c r="CP68" s="19">
        <v>0</v>
      </c>
      <c r="CQ68" s="19">
        <v>0</v>
      </c>
      <c r="CR68" s="19">
        <v>0</v>
      </c>
      <c r="CS68" s="19">
        <v>0</v>
      </c>
      <c r="CT68" s="19">
        <v>0</v>
      </c>
      <c r="CU68" s="19">
        <v>0</v>
      </c>
      <c r="CV68" s="17"/>
      <c r="CW68" s="20">
        <v>95443</v>
      </c>
      <c r="CX68" s="17">
        <v>45730</v>
      </c>
      <c r="CY68" s="17"/>
      <c r="CZ68" s="19">
        <v>0</v>
      </c>
      <c r="DA68" s="17"/>
      <c r="DB68" s="17"/>
      <c r="DC68" s="19">
        <v>100</v>
      </c>
      <c r="DD68" s="17"/>
      <c r="DE68" s="17">
        <v>2958465</v>
      </c>
      <c r="DF68" s="17"/>
      <c r="DG68" s="17"/>
      <c r="DH68" s="19">
        <v>0</v>
      </c>
      <c r="DI68" s="19">
        <v>0</v>
      </c>
    </row>
    <row r="69" spans="1:113" x14ac:dyDescent="0.2">
      <c r="A69" s="14" t="s">
        <v>2315</v>
      </c>
      <c r="B69" s="16" t="s">
        <v>881</v>
      </c>
      <c r="C69" s="14" t="s">
        <v>158</v>
      </c>
      <c r="D69" s="14" t="s">
        <v>159</v>
      </c>
      <c r="E69" s="14" t="s">
        <v>158</v>
      </c>
      <c r="F69" s="14" t="s">
        <v>2044</v>
      </c>
      <c r="G69" s="14" t="s">
        <v>2045</v>
      </c>
      <c r="H69" s="14" t="s">
        <v>336</v>
      </c>
      <c r="I69" s="14" t="s">
        <v>337</v>
      </c>
      <c r="J69" s="16">
        <f>COUNTIF($I$3:I69, I69)</f>
        <v>4</v>
      </c>
      <c r="K69" s="14" t="s">
        <v>2048</v>
      </c>
      <c r="L69" s="14" t="s">
        <v>2048</v>
      </c>
      <c r="M69" s="14" t="s">
        <v>2048</v>
      </c>
      <c r="N69" s="14" t="s">
        <v>2048</v>
      </c>
      <c r="O69" s="14" t="s">
        <v>2544</v>
      </c>
      <c r="P69" s="14" t="s">
        <v>72</v>
      </c>
      <c r="Q69" s="14" t="s">
        <v>72</v>
      </c>
      <c r="R69" s="14" t="s">
        <v>2048</v>
      </c>
      <c r="S69" s="14" t="s">
        <v>2048</v>
      </c>
      <c r="T69" s="14" t="s">
        <v>2422</v>
      </c>
      <c r="U69" s="14" t="s">
        <v>2049</v>
      </c>
      <c r="V69" s="14" t="s">
        <v>2050</v>
      </c>
      <c r="W69" s="14" t="s">
        <v>2048</v>
      </c>
      <c r="X69" s="14" t="s">
        <v>2048</v>
      </c>
      <c r="Y69" s="14" t="s">
        <v>2048</v>
      </c>
      <c r="Z69" s="14" t="s">
        <v>2048</v>
      </c>
      <c r="AA69" s="14" t="s">
        <v>2048</v>
      </c>
      <c r="AB69" s="14" t="s">
        <v>380</v>
      </c>
      <c r="AC69" s="14" t="s">
        <v>381</v>
      </c>
      <c r="AD69" s="14" t="s">
        <v>2132</v>
      </c>
      <c r="AE69" s="14" t="s">
        <v>2133</v>
      </c>
      <c r="AF69" s="14" t="s">
        <v>2056</v>
      </c>
      <c r="AG69" s="14" t="s">
        <v>2056</v>
      </c>
      <c r="AH69" s="14" t="s">
        <v>2055</v>
      </c>
      <c r="AI69" s="14" t="s">
        <v>2057</v>
      </c>
      <c r="AJ69" s="14" t="s">
        <v>87</v>
      </c>
      <c r="AK69" s="14" t="s">
        <v>2048</v>
      </c>
      <c r="AL69" s="14" t="s">
        <v>2048</v>
      </c>
      <c r="AM69" s="14" t="s">
        <v>2048</v>
      </c>
      <c r="AN69" s="14" t="s">
        <v>2545</v>
      </c>
      <c r="AO69" s="17" t="s">
        <v>89</v>
      </c>
      <c r="AP69" s="14" t="s">
        <v>2535</v>
      </c>
      <c r="AQ69" s="14" t="s">
        <v>2059</v>
      </c>
      <c r="AR69" s="14" t="s">
        <v>2546</v>
      </c>
      <c r="AS69" s="14" t="s">
        <v>2547</v>
      </c>
      <c r="AT69" s="14" t="s">
        <v>72</v>
      </c>
      <c r="AU69" s="14" t="s">
        <v>2536</v>
      </c>
      <c r="AV69" s="14" t="s">
        <v>2537</v>
      </c>
      <c r="AW69" s="14" t="s">
        <v>2048</v>
      </c>
      <c r="AX69" s="14" t="s">
        <v>2048</v>
      </c>
      <c r="AY69" s="14" t="s">
        <v>336</v>
      </c>
      <c r="AZ69" s="14" t="s">
        <v>382</v>
      </c>
      <c r="BA69" s="14" t="s">
        <v>2538</v>
      </c>
      <c r="BB69" s="14" t="s">
        <v>2048</v>
      </c>
      <c r="BC69" s="14" t="s">
        <v>2048</v>
      </c>
      <c r="BD69" s="14" t="s">
        <v>2080</v>
      </c>
      <c r="BE69" s="14" t="s">
        <v>2081</v>
      </c>
      <c r="BF69" s="14" t="s">
        <v>2539</v>
      </c>
      <c r="BG69" s="14" t="s">
        <v>2540</v>
      </c>
      <c r="BH69" s="14" t="s">
        <v>2186</v>
      </c>
      <c r="BI69" s="14" t="s">
        <v>2085</v>
      </c>
      <c r="BJ69" s="14" t="s">
        <v>2048</v>
      </c>
      <c r="BK69" s="14" t="s">
        <v>2048</v>
      </c>
      <c r="BL69" s="14" t="s">
        <v>2064</v>
      </c>
      <c r="BM69" s="14" t="s">
        <v>72</v>
      </c>
      <c r="BN69" s="14" t="s">
        <v>72</v>
      </c>
      <c r="BO69" s="14" t="s">
        <v>2548</v>
      </c>
      <c r="BP69" s="14" t="s">
        <v>2542</v>
      </c>
      <c r="BQ69" s="14" t="s">
        <v>2543</v>
      </c>
      <c r="BR69" s="14" t="s">
        <v>2418</v>
      </c>
      <c r="BS69" s="14" t="s">
        <v>2089</v>
      </c>
      <c r="BT69" s="14" t="s">
        <v>2048</v>
      </c>
      <c r="BU69" s="14" t="s">
        <v>2048</v>
      </c>
      <c r="BV69" s="14" t="s">
        <v>2048</v>
      </c>
      <c r="BW69" s="14" t="s">
        <v>2048</v>
      </c>
      <c r="BX69" s="14" t="s">
        <v>2048</v>
      </c>
      <c r="BY69" s="14" t="s">
        <v>2048</v>
      </c>
      <c r="BZ69" s="14" t="s">
        <v>2048</v>
      </c>
      <c r="CA69" s="14" t="s">
        <v>2048</v>
      </c>
      <c r="CB69" s="14" t="s">
        <v>2048</v>
      </c>
      <c r="CC69" s="14" t="s">
        <v>2048</v>
      </c>
      <c r="CD69" s="14" t="s">
        <v>2048</v>
      </c>
      <c r="CE69" s="14" t="s">
        <v>2048</v>
      </c>
      <c r="CF69" s="14" t="s">
        <v>2048</v>
      </c>
      <c r="CG69" s="14" t="s">
        <v>2057</v>
      </c>
      <c r="CH69" s="14" t="s">
        <v>2090</v>
      </c>
      <c r="CI69" s="14" t="s">
        <v>2048</v>
      </c>
      <c r="CJ69" s="17"/>
      <c r="CK69" s="17">
        <v>45483</v>
      </c>
      <c r="CL69" s="17">
        <v>45483</v>
      </c>
      <c r="CM69" s="17">
        <v>2958465</v>
      </c>
      <c r="CN69" s="17"/>
      <c r="CO69" s="19">
        <v>0</v>
      </c>
      <c r="CP69" s="19">
        <v>0</v>
      </c>
      <c r="CQ69" s="19">
        <v>0</v>
      </c>
      <c r="CR69" s="19">
        <v>0</v>
      </c>
      <c r="CS69" s="19">
        <v>0</v>
      </c>
      <c r="CT69" s="19">
        <v>0</v>
      </c>
      <c r="CU69" s="19">
        <v>0</v>
      </c>
      <c r="CV69" s="17"/>
      <c r="CW69" s="20">
        <v>9725</v>
      </c>
      <c r="CX69" s="17">
        <v>45730</v>
      </c>
      <c r="CY69" s="17"/>
      <c r="CZ69" s="19">
        <v>0</v>
      </c>
      <c r="DA69" s="17"/>
      <c r="DB69" s="17"/>
      <c r="DC69" s="19">
        <v>100</v>
      </c>
      <c r="DD69" s="17"/>
      <c r="DE69" s="17">
        <v>2958447</v>
      </c>
      <c r="DF69" s="17"/>
      <c r="DG69" s="17"/>
      <c r="DH69" s="19">
        <v>0</v>
      </c>
      <c r="DI69" s="19">
        <v>0</v>
      </c>
    </row>
    <row r="70" spans="1:113" x14ac:dyDescent="0.2">
      <c r="A70" s="14" t="s">
        <v>2315</v>
      </c>
      <c r="B70" s="16" t="s">
        <v>1023</v>
      </c>
      <c r="C70" s="14" t="s">
        <v>158</v>
      </c>
      <c r="D70" s="14" t="s">
        <v>159</v>
      </c>
      <c r="E70" s="14" t="s">
        <v>158</v>
      </c>
      <c r="F70" s="14" t="s">
        <v>2044</v>
      </c>
      <c r="G70" s="14" t="s">
        <v>2045</v>
      </c>
      <c r="H70" s="14" t="s">
        <v>336</v>
      </c>
      <c r="I70" s="14" t="s">
        <v>337</v>
      </c>
      <c r="J70" s="16">
        <f>COUNTIF($I$3:I70, I70)</f>
        <v>5</v>
      </c>
      <c r="K70" s="14" t="s">
        <v>2048</v>
      </c>
      <c r="L70" s="14" t="s">
        <v>2048</v>
      </c>
      <c r="M70" s="14" t="s">
        <v>2048</v>
      </c>
      <c r="N70" s="14" t="s">
        <v>2048</v>
      </c>
      <c r="O70" s="14" t="s">
        <v>2549</v>
      </c>
      <c r="P70" s="14" t="s">
        <v>72</v>
      </c>
      <c r="Q70" s="14" t="s">
        <v>72</v>
      </c>
      <c r="R70" s="14" t="s">
        <v>2048</v>
      </c>
      <c r="S70" s="14" t="s">
        <v>2048</v>
      </c>
      <c r="T70" s="14" t="s">
        <v>2422</v>
      </c>
      <c r="U70" s="14" t="s">
        <v>2049</v>
      </c>
      <c r="V70" s="14" t="s">
        <v>2050</v>
      </c>
      <c r="W70" s="14" t="s">
        <v>2048</v>
      </c>
      <c r="X70" s="14" t="s">
        <v>2048</v>
      </c>
      <c r="Y70" s="14" t="s">
        <v>2048</v>
      </c>
      <c r="Z70" s="14" t="s">
        <v>2048</v>
      </c>
      <c r="AA70" s="14" t="s">
        <v>2048</v>
      </c>
      <c r="AB70" s="14" t="s">
        <v>380</v>
      </c>
      <c r="AC70" s="14" t="s">
        <v>381</v>
      </c>
      <c r="AD70" s="14" t="s">
        <v>2132</v>
      </c>
      <c r="AE70" s="14" t="s">
        <v>2133</v>
      </c>
      <c r="AF70" s="14" t="s">
        <v>2056</v>
      </c>
      <c r="AG70" s="14" t="s">
        <v>2055</v>
      </c>
      <c r="AH70" s="14" t="s">
        <v>2055</v>
      </c>
      <c r="AI70" s="14" t="s">
        <v>2057</v>
      </c>
      <c r="AJ70" s="14" t="s">
        <v>87</v>
      </c>
      <c r="AK70" s="14" t="s">
        <v>2048</v>
      </c>
      <c r="AL70" s="14" t="s">
        <v>2048</v>
      </c>
      <c r="AM70" s="14" t="s">
        <v>2048</v>
      </c>
      <c r="AN70" s="14" t="s">
        <v>2545</v>
      </c>
      <c r="AO70" s="17" t="s">
        <v>89</v>
      </c>
      <c r="AP70" s="14" t="s">
        <v>2535</v>
      </c>
      <c r="AQ70" s="14" t="s">
        <v>2059</v>
      </c>
      <c r="AR70" s="14" t="s">
        <v>2550</v>
      </c>
      <c r="AS70" s="14" t="s">
        <v>2551</v>
      </c>
      <c r="AT70" s="14" t="s">
        <v>72</v>
      </c>
      <c r="AU70" s="14" t="s">
        <v>2536</v>
      </c>
      <c r="AV70" s="14" t="s">
        <v>2537</v>
      </c>
      <c r="AW70" s="14" t="s">
        <v>2048</v>
      </c>
      <c r="AX70" s="14" t="s">
        <v>2048</v>
      </c>
      <c r="AY70" s="14" t="s">
        <v>336</v>
      </c>
      <c r="AZ70" s="14" t="s">
        <v>382</v>
      </c>
      <c r="BA70" s="14" t="s">
        <v>2538</v>
      </c>
      <c r="BB70" s="14" t="s">
        <v>2048</v>
      </c>
      <c r="BC70" s="14" t="s">
        <v>2048</v>
      </c>
      <c r="BD70" s="14" t="s">
        <v>2080</v>
      </c>
      <c r="BE70" s="14" t="s">
        <v>2081</v>
      </c>
      <c r="BF70" s="14" t="s">
        <v>2539</v>
      </c>
      <c r="BG70" s="14" t="s">
        <v>2540</v>
      </c>
      <c r="BH70" s="14" t="s">
        <v>2186</v>
      </c>
      <c r="BI70" s="14" t="s">
        <v>2085</v>
      </c>
      <c r="BJ70" s="14" t="s">
        <v>2048</v>
      </c>
      <c r="BK70" s="14" t="s">
        <v>2048</v>
      </c>
      <c r="BL70" s="14" t="s">
        <v>2064</v>
      </c>
      <c r="BM70" s="14" t="s">
        <v>72</v>
      </c>
      <c r="BN70" s="14" t="s">
        <v>72</v>
      </c>
      <c r="BO70" s="14" t="s">
        <v>2552</v>
      </c>
      <c r="BP70" s="14" t="s">
        <v>2542</v>
      </c>
      <c r="BQ70" s="14" t="s">
        <v>2543</v>
      </c>
      <c r="BR70" s="14" t="s">
        <v>2418</v>
      </c>
      <c r="BS70" s="14" t="s">
        <v>2089</v>
      </c>
      <c r="BT70" s="14" t="s">
        <v>2048</v>
      </c>
      <c r="BU70" s="14" t="s">
        <v>2048</v>
      </c>
      <c r="BV70" s="14" t="s">
        <v>2048</v>
      </c>
      <c r="BW70" s="14" t="s">
        <v>2048</v>
      </c>
      <c r="BX70" s="14" t="s">
        <v>72</v>
      </c>
      <c r="BY70" s="14" t="s">
        <v>2048</v>
      </c>
      <c r="BZ70" s="14" t="s">
        <v>2048</v>
      </c>
      <c r="CA70" s="14" t="s">
        <v>2048</v>
      </c>
      <c r="CB70" s="14" t="s">
        <v>2048</v>
      </c>
      <c r="CC70" s="14" t="s">
        <v>2048</v>
      </c>
      <c r="CD70" s="14" t="s">
        <v>2048</v>
      </c>
      <c r="CE70" s="14" t="s">
        <v>2048</v>
      </c>
      <c r="CF70" s="14" t="s">
        <v>2048</v>
      </c>
      <c r="CG70" s="14" t="s">
        <v>2057</v>
      </c>
      <c r="CH70" s="14" t="s">
        <v>2090</v>
      </c>
      <c r="CI70" s="14" t="s">
        <v>2048</v>
      </c>
      <c r="CJ70" s="17"/>
      <c r="CK70" s="17">
        <v>45483</v>
      </c>
      <c r="CL70" s="17">
        <v>45483</v>
      </c>
      <c r="CM70" s="17">
        <v>2958465</v>
      </c>
      <c r="CN70" s="17"/>
      <c r="CO70" s="19">
        <v>0</v>
      </c>
      <c r="CP70" s="19">
        <v>0</v>
      </c>
      <c r="CQ70" s="19">
        <v>0</v>
      </c>
      <c r="CR70" s="19">
        <v>0</v>
      </c>
      <c r="CS70" s="19">
        <v>0</v>
      </c>
      <c r="CT70" s="19">
        <v>0</v>
      </c>
      <c r="CU70" s="19">
        <v>0</v>
      </c>
      <c r="CV70" s="17"/>
      <c r="CW70" s="19">
        <v>0</v>
      </c>
      <c r="CX70" s="17"/>
      <c r="CY70" s="17"/>
      <c r="CZ70" s="19">
        <v>0</v>
      </c>
      <c r="DA70" s="17"/>
      <c r="DB70" s="17"/>
      <c r="DC70" s="19">
        <v>100</v>
      </c>
      <c r="DD70" s="17"/>
      <c r="DE70" s="17">
        <v>2958465</v>
      </c>
      <c r="DF70" s="17"/>
      <c r="DG70" s="17"/>
      <c r="DH70" s="19">
        <v>0</v>
      </c>
      <c r="DI70" s="19">
        <v>0</v>
      </c>
    </row>
    <row r="71" spans="1:113" x14ac:dyDescent="0.2">
      <c r="A71" s="14" t="s">
        <v>2315</v>
      </c>
      <c r="B71" s="16" t="s">
        <v>379</v>
      </c>
      <c r="C71" s="14" t="s">
        <v>158</v>
      </c>
      <c r="D71" s="14" t="s">
        <v>159</v>
      </c>
      <c r="E71" s="14" t="s">
        <v>158</v>
      </c>
      <c r="F71" s="14" t="s">
        <v>2044</v>
      </c>
      <c r="G71" s="14" t="s">
        <v>2045</v>
      </c>
      <c r="H71" s="14" t="s">
        <v>336</v>
      </c>
      <c r="I71" s="14" t="s">
        <v>337</v>
      </c>
      <c r="J71" s="16">
        <f>COUNTIF($I$3:I71, I71)</f>
        <v>6</v>
      </c>
      <c r="K71" s="14" t="s">
        <v>2048</v>
      </c>
      <c r="L71" s="14" t="s">
        <v>2048</v>
      </c>
      <c r="M71" s="14" t="s">
        <v>2048</v>
      </c>
      <c r="N71" s="14" t="s">
        <v>2048</v>
      </c>
      <c r="O71" s="14" t="s">
        <v>2553</v>
      </c>
      <c r="P71" s="14" t="s">
        <v>72</v>
      </c>
      <c r="Q71" s="14" t="s">
        <v>72</v>
      </c>
      <c r="R71" s="14" t="s">
        <v>2048</v>
      </c>
      <c r="S71" s="14" t="s">
        <v>2048</v>
      </c>
      <c r="T71" s="14" t="s">
        <v>2422</v>
      </c>
      <c r="U71" s="14" t="s">
        <v>2049</v>
      </c>
      <c r="V71" s="14" t="s">
        <v>2050</v>
      </c>
      <c r="W71" s="14" t="s">
        <v>2048</v>
      </c>
      <c r="X71" s="14" t="s">
        <v>2048</v>
      </c>
      <c r="Y71" s="14" t="s">
        <v>2048</v>
      </c>
      <c r="Z71" s="14" t="s">
        <v>2048</v>
      </c>
      <c r="AA71" s="14" t="s">
        <v>2048</v>
      </c>
      <c r="AB71" s="14" t="s">
        <v>380</v>
      </c>
      <c r="AC71" s="14" t="s">
        <v>381</v>
      </c>
      <c r="AD71" s="14" t="s">
        <v>2132</v>
      </c>
      <c r="AE71" s="14" t="s">
        <v>2133</v>
      </c>
      <c r="AF71" s="14" t="s">
        <v>2055</v>
      </c>
      <c r="AG71" s="14" t="s">
        <v>2055</v>
      </c>
      <c r="AH71" s="14" t="s">
        <v>2055</v>
      </c>
      <c r="AI71" s="14" t="s">
        <v>2057</v>
      </c>
      <c r="AJ71" s="14" t="s">
        <v>87</v>
      </c>
      <c r="AK71" s="14" t="s">
        <v>2048</v>
      </c>
      <c r="AL71" s="14" t="s">
        <v>2048</v>
      </c>
      <c r="AM71" s="14" t="s">
        <v>2048</v>
      </c>
      <c r="AN71" s="14" t="s">
        <v>2545</v>
      </c>
      <c r="AO71" s="17" t="s">
        <v>89</v>
      </c>
      <c r="AP71" s="14" t="s">
        <v>2535</v>
      </c>
      <c r="AQ71" s="14" t="s">
        <v>2059</v>
      </c>
      <c r="AR71" s="14" t="s">
        <v>2554</v>
      </c>
      <c r="AS71" s="14" t="s">
        <v>2555</v>
      </c>
      <c r="AT71" s="14" t="s">
        <v>72</v>
      </c>
      <c r="AU71" s="14" t="s">
        <v>2536</v>
      </c>
      <c r="AV71" s="14" t="s">
        <v>2537</v>
      </c>
      <c r="AW71" s="14" t="s">
        <v>2048</v>
      </c>
      <c r="AX71" s="14" t="s">
        <v>2048</v>
      </c>
      <c r="AY71" s="14" t="s">
        <v>336</v>
      </c>
      <c r="AZ71" s="14" t="s">
        <v>382</v>
      </c>
      <c r="BA71" s="14" t="s">
        <v>2538</v>
      </c>
      <c r="BB71" s="14" t="s">
        <v>2048</v>
      </c>
      <c r="BC71" s="14" t="s">
        <v>2048</v>
      </c>
      <c r="BD71" s="14" t="s">
        <v>2080</v>
      </c>
      <c r="BE71" s="14" t="s">
        <v>2081</v>
      </c>
      <c r="BF71" s="14" t="s">
        <v>2539</v>
      </c>
      <c r="BG71" s="14" t="s">
        <v>2540</v>
      </c>
      <c r="BH71" s="14" t="s">
        <v>2186</v>
      </c>
      <c r="BI71" s="14" t="s">
        <v>2085</v>
      </c>
      <c r="BJ71" s="14" t="s">
        <v>2048</v>
      </c>
      <c r="BK71" s="14" t="s">
        <v>2048</v>
      </c>
      <c r="BL71" s="14" t="s">
        <v>2064</v>
      </c>
      <c r="BM71" s="14" t="s">
        <v>72</v>
      </c>
      <c r="BN71" s="14" t="s">
        <v>72</v>
      </c>
      <c r="BO71" s="14" t="s">
        <v>2556</v>
      </c>
      <c r="BP71" s="14" t="s">
        <v>2542</v>
      </c>
      <c r="BQ71" s="14" t="s">
        <v>2543</v>
      </c>
      <c r="BR71" s="14" t="s">
        <v>2418</v>
      </c>
      <c r="BS71" s="14" t="s">
        <v>2089</v>
      </c>
      <c r="BT71" s="14" t="s">
        <v>2048</v>
      </c>
      <c r="BU71" s="14" t="s">
        <v>2048</v>
      </c>
      <c r="BV71" s="14" t="s">
        <v>2048</v>
      </c>
      <c r="BW71" s="14" t="s">
        <v>2048</v>
      </c>
      <c r="BX71" s="14" t="s">
        <v>72</v>
      </c>
      <c r="BY71" s="14" t="s">
        <v>2048</v>
      </c>
      <c r="BZ71" s="14" t="s">
        <v>2048</v>
      </c>
      <c r="CA71" s="14" t="s">
        <v>2048</v>
      </c>
      <c r="CB71" s="14" t="s">
        <v>2048</v>
      </c>
      <c r="CC71" s="14" t="s">
        <v>2048</v>
      </c>
      <c r="CD71" s="14" t="s">
        <v>2048</v>
      </c>
      <c r="CE71" s="14" t="s">
        <v>2048</v>
      </c>
      <c r="CF71" s="14" t="s">
        <v>2048</v>
      </c>
      <c r="CG71" s="14" t="s">
        <v>2057</v>
      </c>
      <c r="CH71" s="14" t="s">
        <v>2090</v>
      </c>
      <c r="CI71" s="14" t="s">
        <v>2048</v>
      </c>
      <c r="CJ71" s="17"/>
      <c r="CK71" s="17">
        <v>45483</v>
      </c>
      <c r="CL71" s="17">
        <v>45483</v>
      </c>
      <c r="CM71" s="17">
        <v>2958465</v>
      </c>
      <c r="CN71" s="17"/>
      <c r="CO71" s="19">
        <v>0</v>
      </c>
      <c r="CP71" s="19">
        <v>0</v>
      </c>
      <c r="CQ71" s="19">
        <v>0</v>
      </c>
      <c r="CR71" s="19">
        <v>0</v>
      </c>
      <c r="CS71" s="19">
        <v>0</v>
      </c>
      <c r="CT71" s="19">
        <v>0</v>
      </c>
      <c r="CU71" s="19">
        <v>0</v>
      </c>
      <c r="CV71" s="17"/>
      <c r="CW71" s="20">
        <v>6954</v>
      </c>
      <c r="CX71" s="17">
        <v>45730</v>
      </c>
      <c r="CY71" s="17"/>
      <c r="CZ71" s="19">
        <v>0</v>
      </c>
      <c r="DA71" s="17"/>
      <c r="DB71" s="17"/>
      <c r="DC71" s="19">
        <v>100</v>
      </c>
      <c r="DD71" s="17"/>
      <c r="DE71" s="17">
        <v>2958465</v>
      </c>
      <c r="DF71" s="17"/>
      <c r="DG71" s="17"/>
      <c r="DH71" s="19">
        <v>0</v>
      </c>
      <c r="DI71" s="19">
        <v>0</v>
      </c>
    </row>
    <row r="72" spans="1:113" x14ac:dyDescent="0.2">
      <c r="A72" s="14" t="s">
        <v>2315</v>
      </c>
      <c r="B72" s="16" t="s">
        <v>616</v>
      </c>
      <c r="C72" s="14" t="s">
        <v>158</v>
      </c>
      <c r="D72" s="14" t="s">
        <v>159</v>
      </c>
      <c r="E72" s="14" t="s">
        <v>158</v>
      </c>
      <c r="F72" s="14" t="s">
        <v>2044</v>
      </c>
      <c r="G72" s="14" t="s">
        <v>2045</v>
      </c>
      <c r="H72" s="14" t="s">
        <v>119</v>
      </c>
      <c r="I72" s="14" t="s">
        <v>120</v>
      </c>
      <c r="J72" s="16">
        <f>COUNTIF($I$3:I72, I72)</f>
        <v>1</v>
      </c>
      <c r="K72" s="14" t="s">
        <v>2048</v>
      </c>
      <c r="L72" s="14" t="s">
        <v>2048</v>
      </c>
      <c r="M72" s="14" t="s">
        <v>2048</v>
      </c>
      <c r="N72" s="14" t="s">
        <v>2048</v>
      </c>
      <c r="O72" s="14" t="s">
        <v>2557</v>
      </c>
      <c r="P72" s="14" t="s">
        <v>618</v>
      </c>
      <c r="Q72" s="14" t="s">
        <v>72</v>
      </c>
      <c r="R72" s="14" t="s">
        <v>2048</v>
      </c>
      <c r="S72" s="14" t="s">
        <v>2048</v>
      </c>
      <c r="T72" s="14" t="s">
        <v>2048</v>
      </c>
      <c r="U72" s="14" t="s">
        <v>2048</v>
      </c>
      <c r="V72" s="14" t="s">
        <v>2050</v>
      </c>
      <c r="W72" s="14" t="s">
        <v>2048</v>
      </c>
      <c r="X72" s="14" t="s">
        <v>2048</v>
      </c>
      <c r="Y72" s="14" t="s">
        <v>2048</v>
      </c>
      <c r="Z72" s="14" t="s">
        <v>2048</v>
      </c>
      <c r="AA72" s="14" t="s">
        <v>2048</v>
      </c>
      <c r="AB72" s="14" t="s">
        <v>85</v>
      </c>
      <c r="AC72" s="14" t="s">
        <v>86</v>
      </c>
      <c r="AD72" s="14" t="s">
        <v>2132</v>
      </c>
      <c r="AE72" s="14" t="s">
        <v>2133</v>
      </c>
      <c r="AF72" s="14" t="s">
        <v>2055</v>
      </c>
      <c r="AG72" s="14" t="s">
        <v>2056</v>
      </c>
      <c r="AH72" s="14" t="s">
        <v>2055</v>
      </c>
      <c r="AI72" s="14" t="s">
        <v>2057</v>
      </c>
      <c r="AJ72" s="14" t="s">
        <v>87</v>
      </c>
      <c r="AK72" s="14" t="s">
        <v>2048</v>
      </c>
      <c r="AL72" s="14" t="s">
        <v>2048</v>
      </c>
      <c r="AM72" s="14" t="s">
        <v>2048</v>
      </c>
      <c r="AN72" s="14" t="s">
        <v>2558</v>
      </c>
      <c r="AO72" s="17" t="s">
        <v>89</v>
      </c>
      <c r="AP72" s="14" t="s">
        <v>2135</v>
      </c>
      <c r="AQ72" s="14" t="s">
        <v>1422</v>
      </c>
      <c r="AR72" s="14" t="s">
        <v>2559</v>
      </c>
      <c r="AS72" s="14" t="s">
        <v>2560</v>
      </c>
      <c r="AT72" s="14" t="s">
        <v>72</v>
      </c>
      <c r="AU72" s="14" t="s">
        <v>2561</v>
      </c>
      <c r="AV72" s="14" t="s">
        <v>2562</v>
      </c>
      <c r="AW72" s="14" t="s">
        <v>2048</v>
      </c>
      <c r="AX72" s="14" t="s">
        <v>2048</v>
      </c>
      <c r="AY72" s="14" t="s">
        <v>119</v>
      </c>
      <c r="AZ72" s="14" t="s">
        <v>617</v>
      </c>
      <c r="BA72" s="14" t="s">
        <v>2563</v>
      </c>
      <c r="BB72" s="14" t="s">
        <v>2048</v>
      </c>
      <c r="BC72" s="14" t="s">
        <v>2048</v>
      </c>
      <c r="BD72" s="14" t="s">
        <v>2282</v>
      </c>
      <c r="BE72" s="14" t="s">
        <v>2283</v>
      </c>
      <c r="BF72" s="14" t="s">
        <v>2564</v>
      </c>
      <c r="BG72" s="14" t="s">
        <v>2565</v>
      </c>
      <c r="BH72" s="14" t="s">
        <v>2566</v>
      </c>
      <c r="BI72" s="14" t="s">
        <v>2287</v>
      </c>
      <c r="BJ72" s="14" t="s">
        <v>2048</v>
      </c>
      <c r="BK72" s="14" t="s">
        <v>2048</v>
      </c>
      <c r="BL72" s="14" t="s">
        <v>2064</v>
      </c>
      <c r="BM72" s="14" t="s">
        <v>72</v>
      </c>
      <c r="BN72" s="14" t="s">
        <v>72</v>
      </c>
      <c r="BO72" s="14" t="s">
        <v>2567</v>
      </c>
      <c r="BP72" s="14" t="s">
        <v>2568</v>
      </c>
      <c r="BQ72" s="14" t="s">
        <v>2558</v>
      </c>
      <c r="BR72" s="14" t="s">
        <v>2418</v>
      </c>
      <c r="BS72" s="14" t="s">
        <v>2089</v>
      </c>
      <c r="BT72" s="14" t="s">
        <v>2048</v>
      </c>
      <c r="BU72" s="14" t="s">
        <v>2048</v>
      </c>
      <c r="BV72" s="14" t="s">
        <v>2048</v>
      </c>
      <c r="BW72" s="14" t="s">
        <v>2048</v>
      </c>
      <c r="BX72" s="14" t="s">
        <v>72</v>
      </c>
      <c r="BY72" s="14" t="s">
        <v>2048</v>
      </c>
      <c r="BZ72" s="14" t="s">
        <v>2048</v>
      </c>
      <c r="CA72" s="14" t="s">
        <v>2048</v>
      </c>
      <c r="CB72" s="14" t="s">
        <v>2048</v>
      </c>
      <c r="CC72" s="14" t="s">
        <v>2048</v>
      </c>
      <c r="CD72" s="14" t="s">
        <v>2048</v>
      </c>
      <c r="CE72" s="14" t="s">
        <v>2048</v>
      </c>
      <c r="CF72" s="14" t="s">
        <v>2048</v>
      </c>
      <c r="CG72" s="14" t="s">
        <v>2057</v>
      </c>
      <c r="CH72" s="14" t="s">
        <v>2090</v>
      </c>
      <c r="CI72" s="14" t="s">
        <v>2048</v>
      </c>
      <c r="CJ72" s="17"/>
      <c r="CK72" s="17">
        <v>45645</v>
      </c>
      <c r="CL72" s="17">
        <v>45645</v>
      </c>
      <c r="CM72" s="17">
        <v>2958465</v>
      </c>
      <c r="CN72" s="17"/>
      <c r="CO72" s="19">
        <v>0</v>
      </c>
      <c r="CP72" s="19">
        <v>0</v>
      </c>
      <c r="CQ72" s="19">
        <v>0</v>
      </c>
      <c r="CR72" s="19">
        <v>0</v>
      </c>
      <c r="CS72" s="19">
        <v>0</v>
      </c>
      <c r="CT72" s="19">
        <v>0</v>
      </c>
      <c r="CU72" s="19">
        <v>0</v>
      </c>
      <c r="CV72" s="17"/>
      <c r="CW72" s="19">
        <v>0</v>
      </c>
      <c r="CX72" s="17"/>
      <c r="CY72" s="17"/>
      <c r="CZ72" s="19">
        <v>0</v>
      </c>
      <c r="DA72" s="17"/>
      <c r="DB72" s="17"/>
      <c r="DC72" s="19">
        <v>100</v>
      </c>
      <c r="DD72" s="17"/>
      <c r="DE72" s="17">
        <v>2958465</v>
      </c>
      <c r="DF72" s="17"/>
      <c r="DG72" s="17"/>
      <c r="DH72" s="19">
        <v>0</v>
      </c>
      <c r="DI72" s="19">
        <v>0</v>
      </c>
    </row>
    <row r="73" spans="1:113" x14ac:dyDescent="0.2">
      <c r="A73" s="14" t="s">
        <v>2315</v>
      </c>
      <c r="B73" s="16" t="s">
        <v>387</v>
      </c>
      <c r="C73" s="14" t="s">
        <v>158</v>
      </c>
      <c r="D73" s="14" t="s">
        <v>159</v>
      </c>
      <c r="E73" s="14" t="s">
        <v>158</v>
      </c>
      <c r="F73" s="14" t="s">
        <v>2044</v>
      </c>
      <c r="G73" s="14" t="s">
        <v>2045</v>
      </c>
      <c r="H73" s="14" t="s">
        <v>119</v>
      </c>
      <c r="I73" s="14" t="s">
        <v>120</v>
      </c>
      <c r="J73" s="16">
        <f>COUNTIF($I$3:I73, I73)</f>
        <v>2</v>
      </c>
      <c r="K73" s="14" t="s">
        <v>2048</v>
      </c>
      <c r="L73" s="14" t="s">
        <v>2048</v>
      </c>
      <c r="M73" s="14" t="s">
        <v>2048</v>
      </c>
      <c r="N73" s="14" t="s">
        <v>2048</v>
      </c>
      <c r="O73" s="14" t="s">
        <v>2569</v>
      </c>
      <c r="P73" s="14" t="s">
        <v>388</v>
      </c>
      <c r="Q73" s="14" t="s">
        <v>72</v>
      </c>
      <c r="R73" s="14" t="s">
        <v>2048</v>
      </c>
      <c r="S73" s="14" t="s">
        <v>2048</v>
      </c>
      <c r="T73" s="14" t="s">
        <v>2048</v>
      </c>
      <c r="U73" s="14" t="s">
        <v>2048</v>
      </c>
      <c r="V73" s="14" t="s">
        <v>2050</v>
      </c>
      <c r="W73" s="14" t="s">
        <v>2048</v>
      </c>
      <c r="X73" s="14" t="s">
        <v>2048</v>
      </c>
      <c r="Y73" s="14" t="s">
        <v>2048</v>
      </c>
      <c r="Z73" s="14" t="s">
        <v>2048</v>
      </c>
      <c r="AA73" s="14" t="s">
        <v>2048</v>
      </c>
      <c r="AB73" s="14" t="s">
        <v>85</v>
      </c>
      <c r="AC73" s="14" t="s">
        <v>86</v>
      </c>
      <c r="AD73" s="14" t="s">
        <v>2132</v>
      </c>
      <c r="AE73" s="14" t="s">
        <v>2133</v>
      </c>
      <c r="AF73" s="14" t="s">
        <v>2055</v>
      </c>
      <c r="AG73" s="14" t="s">
        <v>2055</v>
      </c>
      <c r="AH73" s="14" t="s">
        <v>2055</v>
      </c>
      <c r="AI73" s="14" t="s">
        <v>2057</v>
      </c>
      <c r="AJ73" s="14" t="s">
        <v>87</v>
      </c>
      <c r="AK73" s="14" t="s">
        <v>2048</v>
      </c>
      <c r="AL73" s="14" t="s">
        <v>2048</v>
      </c>
      <c r="AM73" s="14" t="s">
        <v>2048</v>
      </c>
      <c r="AN73" s="14" t="s">
        <v>2570</v>
      </c>
      <c r="AO73" s="17" t="s">
        <v>89</v>
      </c>
      <c r="AP73" s="14" t="s">
        <v>2135</v>
      </c>
      <c r="AQ73" s="14" t="s">
        <v>943</v>
      </c>
      <c r="AR73" s="14" t="s">
        <v>2571</v>
      </c>
      <c r="AS73" s="14" t="s">
        <v>2572</v>
      </c>
      <c r="AT73" s="14" t="s">
        <v>72</v>
      </c>
      <c r="AU73" s="14" t="s">
        <v>2573</v>
      </c>
      <c r="AV73" s="14" t="s">
        <v>2574</v>
      </c>
      <c r="AW73" s="14" t="s">
        <v>2048</v>
      </c>
      <c r="AX73" s="14" t="s">
        <v>2048</v>
      </c>
      <c r="AY73" s="14" t="s">
        <v>119</v>
      </c>
      <c r="AZ73" s="14" t="s">
        <v>152</v>
      </c>
      <c r="BA73" s="14" t="s">
        <v>2575</v>
      </c>
      <c r="BB73" s="14" t="s">
        <v>2048</v>
      </c>
      <c r="BC73" s="14" t="s">
        <v>2048</v>
      </c>
      <c r="BD73" s="14" t="s">
        <v>2576</v>
      </c>
      <c r="BE73" s="14" t="s">
        <v>2577</v>
      </c>
      <c r="BF73" s="14" t="s">
        <v>2578</v>
      </c>
      <c r="BG73" s="14" t="s">
        <v>2579</v>
      </c>
      <c r="BH73" s="14" t="s">
        <v>2580</v>
      </c>
      <c r="BI73" s="14" t="s">
        <v>2287</v>
      </c>
      <c r="BJ73" s="14" t="s">
        <v>2048</v>
      </c>
      <c r="BK73" s="14" t="s">
        <v>2518</v>
      </c>
      <c r="BL73" s="14" t="s">
        <v>2064</v>
      </c>
      <c r="BM73" s="14" t="s">
        <v>72</v>
      </c>
      <c r="BN73" s="14" t="s">
        <v>72</v>
      </c>
      <c r="BO73" s="14" t="s">
        <v>2581</v>
      </c>
      <c r="BP73" s="14" t="s">
        <v>2582</v>
      </c>
      <c r="BQ73" s="14" t="s">
        <v>2570</v>
      </c>
      <c r="BR73" s="14" t="s">
        <v>2418</v>
      </c>
      <c r="BS73" s="14" t="s">
        <v>2089</v>
      </c>
      <c r="BT73" s="14" t="s">
        <v>2048</v>
      </c>
      <c r="BU73" s="14" t="s">
        <v>2048</v>
      </c>
      <c r="BV73" s="14" t="s">
        <v>2048</v>
      </c>
      <c r="BW73" s="14" t="s">
        <v>2048</v>
      </c>
      <c r="BX73" s="14" t="s">
        <v>72</v>
      </c>
      <c r="BY73" s="14" t="s">
        <v>2048</v>
      </c>
      <c r="BZ73" s="14" t="s">
        <v>2048</v>
      </c>
      <c r="CA73" s="14" t="s">
        <v>2048</v>
      </c>
      <c r="CB73" s="14" t="s">
        <v>2048</v>
      </c>
      <c r="CC73" s="14" t="s">
        <v>2048</v>
      </c>
      <c r="CD73" s="14" t="s">
        <v>2048</v>
      </c>
      <c r="CE73" s="14" t="s">
        <v>2048</v>
      </c>
      <c r="CF73" s="14" t="s">
        <v>2048</v>
      </c>
      <c r="CG73" s="14" t="s">
        <v>2057</v>
      </c>
      <c r="CH73" s="14" t="s">
        <v>2090</v>
      </c>
      <c r="CI73" s="14" t="s">
        <v>2048</v>
      </c>
      <c r="CJ73" s="17"/>
      <c r="CK73" s="17">
        <v>45645</v>
      </c>
      <c r="CL73" s="17">
        <v>45645</v>
      </c>
      <c r="CM73" s="17">
        <v>2958465</v>
      </c>
      <c r="CN73" s="17"/>
      <c r="CO73" s="19">
        <v>0</v>
      </c>
      <c r="CP73" s="19">
        <v>0</v>
      </c>
      <c r="CQ73" s="19">
        <v>0</v>
      </c>
      <c r="CR73" s="19">
        <v>0</v>
      </c>
      <c r="CS73" s="19">
        <v>0</v>
      </c>
      <c r="CT73" s="19">
        <v>0</v>
      </c>
      <c r="CU73" s="19">
        <v>0</v>
      </c>
      <c r="CV73" s="17"/>
      <c r="CW73" s="19">
        <v>0</v>
      </c>
      <c r="CX73" s="17"/>
      <c r="CY73" s="17"/>
      <c r="CZ73" s="19">
        <v>0</v>
      </c>
      <c r="DA73" s="17"/>
      <c r="DB73" s="17"/>
      <c r="DC73" s="19">
        <v>100</v>
      </c>
      <c r="DD73" s="17"/>
      <c r="DE73" s="17">
        <v>2958465</v>
      </c>
      <c r="DF73" s="17"/>
      <c r="DG73" s="17"/>
      <c r="DH73" s="19">
        <v>0</v>
      </c>
      <c r="DI73" s="19">
        <v>0</v>
      </c>
    </row>
    <row r="74" spans="1:113" x14ac:dyDescent="0.2">
      <c r="A74" s="14" t="s">
        <v>2315</v>
      </c>
      <c r="B74" s="16" t="s">
        <v>1090</v>
      </c>
      <c r="C74" s="14" t="s">
        <v>158</v>
      </c>
      <c r="D74" s="14" t="s">
        <v>159</v>
      </c>
      <c r="E74" s="14" t="s">
        <v>158</v>
      </c>
      <c r="F74" s="14" t="s">
        <v>2044</v>
      </c>
      <c r="G74" s="14" t="s">
        <v>2045</v>
      </c>
      <c r="H74" s="14" t="s">
        <v>119</v>
      </c>
      <c r="I74" s="14" t="s">
        <v>120</v>
      </c>
      <c r="J74" s="16">
        <f>COUNTIF($I$3:I74, I74)</f>
        <v>3</v>
      </c>
      <c r="K74" s="14" t="s">
        <v>2048</v>
      </c>
      <c r="L74" s="14" t="s">
        <v>2048</v>
      </c>
      <c r="M74" s="14" t="s">
        <v>2048</v>
      </c>
      <c r="N74" s="14" t="s">
        <v>2048</v>
      </c>
      <c r="O74" s="14" t="s">
        <v>2583</v>
      </c>
      <c r="P74" s="14" t="s">
        <v>1091</v>
      </c>
      <c r="Q74" s="14" t="s">
        <v>72</v>
      </c>
      <c r="R74" s="14" t="s">
        <v>2048</v>
      </c>
      <c r="S74" s="14" t="s">
        <v>2048</v>
      </c>
      <c r="T74" s="14" t="s">
        <v>2048</v>
      </c>
      <c r="U74" s="14" t="s">
        <v>2048</v>
      </c>
      <c r="V74" s="14" t="s">
        <v>2050</v>
      </c>
      <c r="W74" s="14" t="s">
        <v>2048</v>
      </c>
      <c r="X74" s="14" t="s">
        <v>2048</v>
      </c>
      <c r="Y74" s="14" t="s">
        <v>2048</v>
      </c>
      <c r="Z74" s="14" t="s">
        <v>2048</v>
      </c>
      <c r="AA74" s="14" t="s">
        <v>2048</v>
      </c>
      <c r="AB74" s="14" t="s">
        <v>85</v>
      </c>
      <c r="AC74" s="14" t="s">
        <v>86</v>
      </c>
      <c r="AD74" s="14" t="s">
        <v>2132</v>
      </c>
      <c r="AE74" s="14" t="s">
        <v>2133</v>
      </c>
      <c r="AF74" s="14" t="s">
        <v>2056</v>
      </c>
      <c r="AG74" s="14" t="s">
        <v>2055</v>
      </c>
      <c r="AH74" s="14" t="s">
        <v>2055</v>
      </c>
      <c r="AI74" s="14" t="s">
        <v>2057</v>
      </c>
      <c r="AJ74" s="14" t="s">
        <v>87</v>
      </c>
      <c r="AK74" s="14" t="s">
        <v>2048</v>
      </c>
      <c r="AL74" s="14" t="s">
        <v>2048</v>
      </c>
      <c r="AM74" s="14" t="s">
        <v>2584</v>
      </c>
      <c r="AN74" s="14" t="s">
        <v>2585</v>
      </c>
      <c r="AO74" s="17" t="s">
        <v>89</v>
      </c>
      <c r="AP74" s="14" t="s">
        <v>2135</v>
      </c>
      <c r="AQ74" s="14" t="s">
        <v>2586</v>
      </c>
      <c r="AR74" s="14" t="s">
        <v>2587</v>
      </c>
      <c r="AS74" s="14" t="s">
        <v>2588</v>
      </c>
      <c r="AT74" s="14" t="s">
        <v>72</v>
      </c>
      <c r="AU74" s="14" t="s">
        <v>2589</v>
      </c>
      <c r="AV74" s="14" t="s">
        <v>2590</v>
      </c>
      <c r="AW74" s="14" t="s">
        <v>2048</v>
      </c>
      <c r="AX74" s="14" t="s">
        <v>2048</v>
      </c>
      <c r="AY74" s="14" t="s">
        <v>119</v>
      </c>
      <c r="AZ74" s="14" t="s">
        <v>252</v>
      </c>
      <c r="BA74" s="14" t="s">
        <v>2591</v>
      </c>
      <c r="BB74" s="14" t="s">
        <v>2048</v>
      </c>
      <c r="BC74" s="14" t="s">
        <v>2048</v>
      </c>
      <c r="BD74" s="14" t="s">
        <v>2592</v>
      </c>
      <c r="BE74" s="14" t="s">
        <v>2593</v>
      </c>
      <c r="BF74" s="14" t="s">
        <v>2594</v>
      </c>
      <c r="BG74" s="14" t="s">
        <v>2595</v>
      </c>
      <c r="BH74" s="14" t="s">
        <v>2596</v>
      </c>
      <c r="BI74" s="14" t="s">
        <v>2287</v>
      </c>
      <c r="BJ74" s="14" t="s">
        <v>2048</v>
      </c>
      <c r="BK74" s="14" t="s">
        <v>2048</v>
      </c>
      <c r="BL74" s="14" t="s">
        <v>2064</v>
      </c>
      <c r="BM74" s="14" t="s">
        <v>72</v>
      </c>
      <c r="BN74" s="14" t="s">
        <v>72</v>
      </c>
      <c r="BO74" s="14" t="s">
        <v>2597</v>
      </c>
      <c r="BP74" s="14" t="s">
        <v>2598</v>
      </c>
      <c r="BQ74" s="14" t="s">
        <v>2599</v>
      </c>
      <c r="BR74" s="14" t="s">
        <v>2418</v>
      </c>
      <c r="BS74" s="14" t="s">
        <v>2089</v>
      </c>
      <c r="BT74" s="14" t="s">
        <v>2048</v>
      </c>
      <c r="BU74" s="14" t="s">
        <v>2048</v>
      </c>
      <c r="BV74" s="14" t="s">
        <v>2048</v>
      </c>
      <c r="BW74" s="14" t="s">
        <v>2048</v>
      </c>
      <c r="BX74" s="14" t="s">
        <v>72</v>
      </c>
      <c r="BY74" s="14" t="s">
        <v>2048</v>
      </c>
      <c r="BZ74" s="14" t="s">
        <v>2048</v>
      </c>
      <c r="CA74" s="14" t="s">
        <v>2048</v>
      </c>
      <c r="CB74" s="14" t="s">
        <v>2048</v>
      </c>
      <c r="CC74" s="14" t="s">
        <v>2048</v>
      </c>
      <c r="CD74" s="14" t="s">
        <v>2048</v>
      </c>
      <c r="CE74" s="14" t="s">
        <v>2048</v>
      </c>
      <c r="CF74" s="14" t="s">
        <v>2048</v>
      </c>
      <c r="CG74" s="14" t="s">
        <v>2057</v>
      </c>
      <c r="CH74" s="14" t="s">
        <v>2090</v>
      </c>
      <c r="CI74" s="14" t="s">
        <v>2048</v>
      </c>
      <c r="CJ74" s="17"/>
      <c r="CK74" s="17">
        <v>45645</v>
      </c>
      <c r="CL74" s="17">
        <v>45645</v>
      </c>
      <c r="CM74" s="17">
        <v>2958465</v>
      </c>
      <c r="CN74" s="17"/>
      <c r="CO74" s="19">
        <v>0</v>
      </c>
      <c r="CP74" s="19">
        <v>0</v>
      </c>
      <c r="CQ74" s="19">
        <v>0</v>
      </c>
      <c r="CR74" s="19">
        <v>0</v>
      </c>
      <c r="CS74" s="19">
        <v>0</v>
      </c>
      <c r="CT74" s="19">
        <v>0</v>
      </c>
      <c r="CU74" s="19">
        <v>0</v>
      </c>
      <c r="CV74" s="17"/>
      <c r="CW74" s="19">
        <v>0</v>
      </c>
      <c r="CX74" s="17"/>
      <c r="CY74" s="17"/>
      <c r="CZ74" s="19">
        <v>0</v>
      </c>
      <c r="DA74" s="17"/>
      <c r="DB74" s="17"/>
      <c r="DC74" s="19">
        <v>100</v>
      </c>
      <c r="DD74" s="17"/>
      <c r="DE74" s="17">
        <v>2958465</v>
      </c>
      <c r="DF74" s="17"/>
      <c r="DG74" s="17"/>
      <c r="DH74" s="19">
        <v>0</v>
      </c>
      <c r="DI74" s="19">
        <v>0</v>
      </c>
    </row>
    <row r="75" spans="1:113" x14ac:dyDescent="0.2">
      <c r="A75" s="14" t="s">
        <v>2315</v>
      </c>
      <c r="B75" s="16" t="s">
        <v>1036</v>
      </c>
      <c r="C75" s="14" t="s">
        <v>158</v>
      </c>
      <c r="D75" s="14" t="s">
        <v>159</v>
      </c>
      <c r="E75" s="14" t="s">
        <v>158</v>
      </c>
      <c r="F75" s="14" t="s">
        <v>2044</v>
      </c>
      <c r="G75" s="14" t="s">
        <v>2045</v>
      </c>
      <c r="H75" s="14" t="s">
        <v>119</v>
      </c>
      <c r="I75" s="14" t="s">
        <v>120</v>
      </c>
      <c r="J75" s="16">
        <f>COUNTIF($I$3:I75, I75)</f>
        <v>4</v>
      </c>
      <c r="K75" s="14" t="s">
        <v>2048</v>
      </c>
      <c r="L75" s="14" t="s">
        <v>2048</v>
      </c>
      <c r="M75" s="14" t="s">
        <v>2048</v>
      </c>
      <c r="N75" s="14" t="s">
        <v>2048</v>
      </c>
      <c r="O75" s="14" t="s">
        <v>2600</v>
      </c>
      <c r="P75" s="14" t="s">
        <v>1037</v>
      </c>
      <c r="Q75" s="14" t="s">
        <v>72</v>
      </c>
      <c r="R75" s="14" t="s">
        <v>2048</v>
      </c>
      <c r="S75" s="14" t="s">
        <v>2048</v>
      </c>
      <c r="T75" s="14" t="s">
        <v>2422</v>
      </c>
      <c r="U75" s="14" t="s">
        <v>2049</v>
      </c>
      <c r="V75" s="14" t="s">
        <v>2050</v>
      </c>
      <c r="W75" s="14" t="s">
        <v>2048</v>
      </c>
      <c r="X75" s="14" t="s">
        <v>2048</v>
      </c>
      <c r="Y75" s="14" t="s">
        <v>2048</v>
      </c>
      <c r="Z75" s="14" t="s">
        <v>2048</v>
      </c>
      <c r="AA75" s="14" t="s">
        <v>2048</v>
      </c>
      <c r="AB75" s="14" t="s">
        <v>140</v>
      </c>
      <c r="AC75" s="14" t="s">
        <v>151</v>
      </c>
      <c r="AD75" s="14" t="s">
        <v>2132</v>
      </c>
      <c r="AE75" s="14" t="s">
        <v>2133</v>
      </c>
      <c r="AF75" s="14" t="s">
        <v>2055</v>
      </c>
      <c r="AG75" s="14" t="s">
        <v>2055</v>
      </c>
      <c r="AH75" s="14" t="s">
        <v>2055</v>
      </c>
      <c r="AI75" s="14" t="s">
        <v>2057</v>
      </c>
      <c r="AJ75" s="14" t="s">
        <v>87</v>
      </c>
      <c r="AK75" s="14" t="s">
        <v>2048</v>
      </c>
      <c r="AL75" s="14" t="s">
        <v>2048</v>
      </c>
      <c r="AM75" s="14" t="s">
        <v>2048</v>
      </c>
      <c r="AN75" s="14" t="s">
        <v>2585</v>
      </c>
      <c r="AO75" s="17" t="s">
        <v>89</v>
      </c>
      <c r="AP75" s="14" t="s">
        <v>2135</v>
      </c>
      <c r="AQ75" s="14" t="s">
        <v>293</v>
      </c>
      <c r="AR75" s="14" t="s">
        <v>2060</v>
      </c>
      <c r="AS75" s="14" t="s">
        <v>2048</v>
      </c>
      <c r="AT75" s="14" t="s">
        <v>2048</v>
      </c>
      <c r="AU75" s="14" t="s">
        <v>2589</v>
      </c>
      <c r="AV75" s="14" t="s">
        <v>2590</v>
      </c>
      <c r="AW75" s="14" t="s">
        <v>2048</v>
      </c>
      <c r="AX75" s="14" t="s">
        <v>2048</v>
      </c>
      <c r="AY75" s="14" t="s">
        <v>119</v>
      </c>
      <c r="AZ75" s="14" t="s">
        <v>294</v>
      </c>
      <c r="BA75" s="14" t="s">
        <v>2601</v>
      </c>
      <c r="BB75" s="14" t="s">
        <v>2048</v>
      </c>
      <c r="BC75" s="14" t="s">
        <v>2048</v>
      </c>
      <c r="BD75" s="14" t="s">
        <v>2592</v>
      </c>
      <c r="BE75" s="14" t="s">
        <v>2593</v>
      </c>
      <c r="BF75" s="14" t="s">
        <v>2602</v>
      </c>
      <c r="BG75" s="14" t="s">
        <v>2603</v>
      </c>
      <c r="BH75" s="14" t="s">
        <v>2596</v>
      </c>
      <c r="BI75" s="14" t="s">
        <v>2287</v>
      </c>
      <c r="BJ75" s="14" t="s">
        <v>2048</v>
      </c>
      <c r="BK75" s="14" t="s">
        <v>2048</v>
      </c>
      <c r="BL75" s="14" t="s">
        <v>2064</v>
      </c>
      <c r="BM75" s="14" t="s">
        <v>72</v>
      </c>
      <c r="BN75" s="14" t="s">
        <v>72</v>
      </c>
      <c r="BO75" s="14" t="s">
        <v>2604</v>
      </c>
      <c r="BP75" s="14" t="s">
        <v>2048</v>
      </c>
      <c r="BQ75" s="14" t="s">
        <v>2048</v>
      </c>
      <c r="BR75" s="14" t="s">
        <v>2331</v>
      </c>
      <c r="BS75" s="14" t="s">
        <v>2131</v>
      </c>
      <c r="BT75" s="14" t="s">
        <v>2048</v>
      </c>
      <c r="BU75" s="14" t="s">
        <v>2048</v>
      </c>
      <c r="BV75" s="14" t="s">
        <v>2048</v>
      </c>
      <c r="BW75" s="14" t="s">
        <v>2048</v>
      </c>
      <c r="BX75" s="14" t="s">
        <v>72</v>
      </c>
      <c r="BY75" s="14" t="s">
        <v>2048</v>
      </c>
      <c r="BZ75" s="14" t="s">
        <v>2048</v>
      </c>
      <c r="CA75" s="14" t="s">
        <v>2048</v>
      </c>
      <c r="CB75" s="14" t="s">
        <v>2048</v>
      </c>
      <c r="CC75" s="14" t="s">
        <v>2048</v>
      </c>
      <c r="CD75" s="14" t="s">
        <v>2048</v>
      </c>
      <c r="CE75" s="14" t="s">
        <v>2048</v>
      </c>
      <c r="CF75" s="14" t="s">
        <v>2048</v>
      </c>
      <c r="CG75" s="14" t="s">
        <v>2068</v>
      </c>
      <c r="CH75" s="14" t="s">
        <v>2069</v>
      </c>
      <c r="CI75" s="14" t="s">
        <v>2048</v>
      </c>
      <c r="CJ75" s="17"/>
      <c r="CK75" s="17">
        <v>45622</v>
      </c>
      <c r="CL75" s="17">
        <v>45622</v>
      </c>
      <c r="CM75" s="17">
        <v>2958465</v>
      </c>
      <c r="CN75" s="17"/>
      <c r="CO75" s="19">
        <v>0</v>
      </c>
      <c r="CP75" s="19">
        <v>0</v>
      </c>
      <c r="CQ75" s="19">
        <v>0</v>
      </c>
      <c r="CR75" s="19">
        <v>0</v>
      </c>
      <c r="CS75" s="19">
        <v>0</v>
      </c>
      <c r="CT75" s="19">
        <v>0</v>
      </c>
      <c r="CU75" s="19">
        <v>0</v>
      </c>
      <c r="CV75" s="17"/>
      <c r="CW75" s="19">
        <v>0</v>
      </c>
      <c r="CX75" s="17"/>
      <c r="CY75" s="17">
        <v>47083</v>
      </c>
      <c r="CZ75" s="19">
        <v>0</v>
      </c>
      <c r="DA75" s="17"/>
      <c r="DB75" s="17"/>
      <c r="DC75" s="19">
        <v>100</v>
      </c>
      <c r="DD75" s="17"/>
      <c r="DE75" s="17">
        <v>2958465</v>
      </c>
      <c r="DF75" s="17"/>
      <c r="DG75" s="17"/>
      <c r="DH75" s="19">
        <v>0</v>
      </c>
      <c r="DI75" s="19">
        <v>0</v>
      </c>
    </row>
    <row r="76" spans="1:113" x14ac:dyDescent="0.2">
      <c r="A76" s="14" t="s">
        <v>2315</v>
      </c>
      <c r="B76" s="16" t="s">
        <v>1042</v>
      </c>
      <c r="C76" s="14" t="s">
        <v>158</v>
      </c>
      <c r="D76" s="14" t="s">
        <v>159</v>
      </c>
      <c r="E76" s="14" t="s">
        <v>158</v>
      </c>
      <c r="F76" s="14" t="s">
        <v>2044</v>
      </c>
      <c r="G76" s="14" t="s">
        <v>2045</v>
      </c>
      <c r="H76" s="14" t="s">
        <v>119</v>
      </c>
      <c r="I76" s="14" t="s">
        <v>120</v>
      </c>
      <c r="J76" s="16">
        <f>COUNTIF($I$3:I76, I76)</f>
        <v>5</v>
      </c>
      <c r="K76" s="14" t="s">
        <v>2048</v>
      </c>
      <c r="L76" s="14" t="s">
        <v>2048</v>
      </c>
      <c r="M76" s="14" t="s">
        <v>2048</v>
      </c>
      <c r="N76" s="14" t="s">
        <v>2048</v>
      </c>
      <c r="O76" s="14" t="s">
        <v>2605</v>
      </c>
      <c r="P76" s="14" t="s">
        <v>1043</v>
      </c>
      <c r="Q76" s="14" t="s">
        <v>72</v>
      </c>
      <c r="R76" s="14" t="s">
        <v>2048</v>
      </c>
      <c r="S76" s="14" t="s">
        <v>2048</v>
      </c>
      <c r="T76" s="14" t="s">
        <v>2048</v>
      </c>
      <c r="U76" s="14" t="s">
        <v>2048</v>
      </c>
      <c r="V76" s="14" t="s">
        <v>2050</v>
      </c>
      <c r="W76" s="14" t="s">
        <v>2048</v>
      </c>
      <c r="X76" s="14" t="s">
        <v>2048</v>
      </c>
      <c r="Y76" s="14" t="s">
        <v>2048</v>
      </c>
      <c r="Z76" s="14" t="s">
        <v>2048</v>
      </c>
      <c r="AA76" s="14" t="s">
        <v>2048</v>
      </c>
      <c r="AB76" s="14" t="s">
        <v>85</v>
      </c>
      <c r="AC76" s="14" t="s">
        <v>86</v>
      </c>
      <c r="AD76" s="14" t="s">
        <v>2132</v>
      </c>
      <c r="AE76" s="14" t="s">
        <v>2133</v>
      </c>
      <c r="AF76" s="14" t="s">
        <v>2056</v>
      </c>
      <c r="AG76" s="14" t="s">
        <v>2055</v>
      </c>
      <c r="AH76" s="14" t="s">
        <v>2055</v>
      </c>
      <c r="AI76" s="14" t="s">
        <v>2057</v>
      </c>
      <c r="AJ76" s="14" t="s">
        <v>87</v>
      </c>
      <c r="AK76" s="14" t="s">
        <v>2048</v>
      </c>
      <c r="AL76" s="14" t="s">
        <v>2048</v>
      </c>
      <c r="AM76" s="14" t="s">
        <v>2048</v>
      </c>
      <c r="AN76" s="14" t="s">
        <v>2606</v>
      </c>
      <c r="AO76" s="17" t="s">
        <v>89</v>
      </c>
      <c r="AP76" s="14" t="s">
        <v>2135</v>
      </c>
      <c r="AQ76" s="14" t="s">
        <v>2607</v>
      </c>
      <c r="AR76" s="14" t="s">
        <v>2608</v>
      </c>
      <c r="AS76" s="14" t="s">
        <v>2609</v>
      </c>
      <c r="AT76" s="14" t="s">
        <v>72</v>
      </c>
      <c r="AU76" s="14" t="s">
        <v>2610</v>
      </c>
      <c r="AV76" s="14" t="s">
        <v>2611</v>
      </c>
      <c r="AW76" s="14" t="s">
        <v>2048</v>
      </c>
      <c r="AX76" s="14" t="s">
        <v>2048</v>
      </c>
      <c r="AY76" s="14" t="s">
        <v>119</v>
      </c>
      <c r="AZ76" s="14" t="s">
        <v>368</v>
      </c>
      <c r="BA76" s="14" t="s">
        <v>2612</v>
      </c>
      <c r="BB76" s="14" t="s">
        <v>2048</v>
      </c>
      <c r="BC76" s="14" t="s">
        <v>2048</v>
      </c>
      <c r="BD76" s="14" t="s">
        <v>2433</v>
      </c>
      <c r="BE76" s="14" t="s">
        <v>2434</v>
      </c>
      <c r="BF76" s="14" t="s">
        <v>2613</v>
      </c>
      <c r="BG76" s="14" t="s">
        <v>2614</v>
      </c>
      <c r="BH76" s="14" t="s">
        <v>2615</v>
      </c>
      <c r="BI76" s="14" t="s">
        <v>2287</v>
      </c>
      <c r="BJ76" s="14" t="s">
        <v>2048</v>
      </c>
      <c r="BK76" s="14" t="s">
        <v>2048</v>
      </c>
      <c r="BL76" s="14" t="s">
        <v>2064</v>
      </c>
      <c r="BM76" s="14" t="s">
        <v>72</v>
      </c>
      <c r="BN76" s="14" t="s">
        <v>72</v>
      </c>
      <c r="BO76" s="14" t="s">
        <v>2616</v>
      </c>
      <c r="BP76" s="14" t="s">
        <v>2617</v>
      </c>
      <c r="BQ76" s="14" t="s">
        <v>2618</v>
      </c>
      <c r="BR76" s="14" t="s">
        <v>2418</v>
      </c>
      <c r="BS76" s="14" t="s">
        <v>2089</v>
      </c>
      <c r="BT76" s="14" t="s">
        <v>2048</v>
      </c>
      <c r="BU76" s="14" t="s">
        <v>2048</v>
      </c>
      <c r="BV76" s="14" t="s">
        <v>2048</v>
      </c>
      <c r="BW76" s="14" t="s">
        <v>2048</v>
      </c>
      <c r="BX76" s="14" t="s">
        <v>72</v>
      </c>
      <c r="BY76" s="14" t="s">
        <v>2048</v>
      </c>
      <c r="BZ76" s="14" t="s">
        <v>2048</v>
      </c>
      <c r="CA76" s="14" t="s">
        <v>2048</v>
      </c>
      <c r="CB76" s="14" t="s">
        <v>2048</v>
      </c>
      <c r="CC76" s="14" t="s">
        <v>2048</v>
      </c>
      <c r="CD76" s="14" t="s">
        <v>2048</v>
      </c>
      <c r="CE76" s="14" t="s">
        <v>2048</v>
      </c>
      <c r="CF76" s="14" t="s">
        <v>2048</v>
      </c>
      <c r="CG76" s="14" t="s">
        <v>2057</v>
      </c>
      <c r="CH76" s="14" t="s">
        <v>2090</v>
      </c>
      <c r="CI76" s="14" t="s">
        <v>2048</v>
      </c>
      <c r="CJ76" s="17"/>
      <c r="CK76" s="17">
        <v>45645</v>
      </c>
      <c r="CL76" s="17">
        <v>45645</v>
      </c>
      <c r="CM76" s="17">
        <v>2958465</v>
      </c>
      <c r="CN76" s="17"/>
      <c r="CO76" s="19">
        <v>0</v>
      </c>
      <c r="CP76" s="19">
        <v>0</v>
      </c>
      <c r="CQ76" s="19">
        <v>0</v>
      </c>
      <c r="CR76" s="19">
        <v>0</v>
      </c>
      <c r="CS76" s="19">
        <v>0</v>
      </c>
      <c r="CT76" s="19">
        <v>0</v>
      </c>
      <c r="CU76" s="19">
        <v>0</v>
      </c>
      <c r="CV76" s="17"/>
      <c r="CW76" s="19">
        <v>0</v>
      </c>
      <c r="CX76" s="17"/>
      <c r="CY76" s="17"/>
      <c r="CZ76" s="19">
        <v>0</v>
      </c>
      <c r="DA76" s="17"/>
      <c r="DB76" s="17"/>
      <c r="DC76" s="19">
        <v>100</v>
      </c>
      <c r="DD76" s="17"/>
      <c r="DE76" s="17">
        <v>2958465</v>
      </c>
      <c r="DF76" s="17"/>
      <c r="DG76" s="17"/>
      <c r="DH76" s="19">
        <v>0</v>
      </c>
      <c r="DI76" s="19">
        <v>0</v>
      </c>
    </row>
    <row r="77" spans="1:113" x14ac:dyDescent="0.2">
      <c r="A77" s="14" t="s">
        <v>2315</v>
      </c>
      <c r="B77" s="16" t="s">
        <v>771</v>
      </c>
      <c r="C77" s="14" t="s">
        <v>158</v>
      </c>
      <c r="D77" s="14" t="s">
        <v>159</v>
      </c>
      <c r="E77" s="14" t="s">
        <v>158</v>
      </c>
      <c r="F77" s="14" t="s">
        <v>2044</v>
      </c>
      <c r="G77" s="14" t="s">
        <v>2045</v>
      </c>
      <c r="H77" s="14" t="s">
        <v>119</v>
      </c>
      <c r="I77" s="14" t="s">
        <v>120</v>
      </c>
      <c r="J77" s="16">
        <f>COUNTIF($I$3:I77, I77)</f>
        <v>6</v>
      </c>
      <c r="K77" s="14" t="s">
        <v>2048</v>
      </c>
      <c r="L77" s="14" t="s">
        <v>2048</v>
      </c>
      <c r="M77" s="14" t="s">
        <v>2048</v>
      </c>
      <c r="N77" s="14" t="s">
        <v>2048</v>
      </c>
      <c r="O77" s="14" t="s">
        <v>2619</v>
      </c>
      <c r="P77" s="14" t="s">
        <v>772</v>
      </c>
      <c r="Q77" s="14" t="s">
        <v>72</v>
      </c>
      <c r="R77" s="14" t="s">
        <v>2048</v>
      </c>
      <c r="S77" s="14" t="s">
        <v>2048</v>
      </c>
      <c r="T77" s="14" t="s">
        <v>2422</v>
      </c>
      <c r="U77" s="14" t="s">
        <v>2049</v>
      </c>
      <c r="V77" s="14" t="s">
        <v>2050</v>
      </c>
      <c r="W77" s="14" t="s">
        <v>2048</v>
      </c>
      <c r="X77" s="14" t="s">
        <v>2048</v>
      </c>
      <c r="Y77" s="14" t="s">
        <v>2048</v>
      </c>
      <c r="Z77" s="14" t="s">
        <v>2048</v>
      </c>
      <c r="AA77" s="14" t="s">
        <v>2048</v>
      </c>
      <c r="AB77" s="14" t="s">
        <v>140</v>
      </c>
      <c r="AC77" s="14" t="s">
        <v>151</v>
      </c>
      <c r="AD77" s="14" t="s">
        <v>2132</v>
      </c>
      <c r="AE77" s="14" t="s">
        <v>2133</v>
      </c>
      <c r="AF77" s="14" t="s">
        <v>2055</v>
      </c>
      <c r="AG77" s="14" t="s">
        <v>2055</v>
      </c>
      <c r="AH77" s="14" t="s">
        <v>2055</v>
      </c>
      <c r="AI77" s="14" t="s">
        <v>2057</v>
      </c>
      <c r="AJ77" s="14" t="s">
        <v>87</v>
      </c>
      <c r="AK77" s="14" t="s">
        <v>2048</v>
      </c>
      <c r="AL77" s="14" t="s">
        <v>2048</v>
      </c>
      <c r="AM77" s="14" t="s">
        <v>2048</v>
      </c>
      <c r="AN77" s="14" t="s">
        <v>2374</v>
      </c>
      <c r="AO77" s="17" t="s">
        <v>89</v>
      </c>
      <c r="AP77" s="14" t="s">
        <v>2135</v>
      </c>
      <c r="AQ77" s="14" t="s">
        <v>2620</v>
      </c>
      <c r="AR77" s="14" t="s">
        <v>2060</v>
      </c>
      <c r="AS77" s="14" t="s">
        <v>2048</v>
      </c>
      <c r="AT77" s="14" t="s">
        <v>72</v>
      </c>
      <c r="AU77" s="14" t="s">
        <v>2376</v>
      </c>
      <c r="AV77" s="14" t="s">
        <v>2377</v>
      </c>
      <c r="AW77" s="14" t="s">
        <v>2048</v>
      </c>
      <c r="AX77" s="14" t="s">
        <v>2048</v>
      </c>
      <c r="AY77" s="14" t="s">
        <v>119</v>
      </c>
      <c r="AZ77" s="14" t="s">
        <v>501</v>
      </c>
      <c r="BA77" s="14" t="s">
        <v>2621</v>
      </c>
      <c r="BB77" s="14" t="s">
        <v>2048</v>
      </c>
      <c r="BC77" s="14" t="s">
        <v>2048</v>
      </c>
      <c r="BD77" s="14" t="s">
        <v>2379</v>
      </c>
      <c r="BE77" s="14" t="s">
        <v>2622</v>
      </c>
      <c r="BF77" s="14" t="s">
        <v>2048</v>
      </c>
      <c r="BG77" s="14" t="s">
        <v>2048</v>
      </c>
      <c r="BH77" s="14" t="s">
        <v>2381</v>
      </c>
      <c r="BI77" s="14" t="s">
        <v>2382</v>
      </c>
      <c r="BJ77" s="14" t="s">
        <v>2048</v>
      </c>
      <c r="BK77" s="14" t="s">
        <v>2048</v>
      </c>
      <c r="BL77" s="14" t="s">
        <v>2064</v>
      </c>
      <c r="BM77" s="14" t="s">
        <v>72</v>
      </c>
      <c r="BN77" s="14" t="s">
        <v>72</v>
      </c>
      <c r="BO77" s="14" t="s">
        <v>2623</v>
      </c>
      <c r="BP77" s="14" t="s">
        <v>2048</v>
      </c>
      <c r="BQ77" s="14" t="s">
        <v>2048</v>
      </c>
      <c r="BR77" s="14" t="s">
        <v>2331</v>
      </c>
      <c r="BS77" s="14" t="s">
        <v>2131</v>
      </c>
      <c r="BT77" s="14" t="s">
        <v>2048</v>
      </c>
      <c r="BU77" s="14" t="s">
        <v>2048</v>
      </c>
      <c r="BV77" s="14" t="s">
        <v>2048</v>
      </c>
      <c r="BW77" s="14" t="s">
        <v>2048</v>
      </c>
      <c r="BX77" s="14" t="s">
        <v>72</v>
      </c>
      <c r="BY77" s="14" t="s">
        <v>2048</v>
      </c>
      <c r="BZ77" s="14" t="s">
        <v>2048</v>
      </c>
      <c r="CA77" s="14" t="s">
        <v>2048</v>
      </c>
      <c r="CB77" s="14" t="s">
        <v>2048</v>
      </c>
      <c r="CC77" s="14" t="s">
        <v>2048</v>
      </c>
      <c r="CD77" s="14" t="s">
        <v>2048</v>
      </c>
      <c r="CE77" s="14" t="s">
        <v>2048</v>
      </c>
      <c r="CF77" s="14" t="s">
        <v>2048</v>
      </c>
      <c r="CG77" s="14" t="s">
        <v>2068</v>
      </c>
      <c r="CH77" s="14" t="s">
        <v>2069</v>
      </c>
      <c r="CI77" s="14" t="s">
        <v>2048</v>
      </c>
      <c r="CJ77" s="17"/>
      <c r="CK77" s="17">
        <v>45622</v>
      </c>
      <c r="CL77" s="17">
        <v>45622</v>
      </c>
      <c r="CM77" s="17">
        <v>2958465</v>
      </c>
      <c r="CN77" s="17"/>
      <c r="CO77" s="19">
        <v>0</v>
      </c>
      <c r="CP77" s="19">
        <v>0</v>
      </c>
      <c r="CQ77" s="19">
        <v>0</v>
      </c>
      <c r="CR77" s="19">
        <v>0</v>
      </c>
      <c r="CS77" s="19">
        <v>0</v>
      </c>
      <c r="CT77" s="19">
        <v>0</v>
      </c>
      <c r="CU77" s="19">
        <v>0</v>
      </c>
      <c r="CV77" s="17"/>
      <c r="CW77" s="19">
        <v>0</v>
      </c>
      <c r="CX77" s="17"/>
      <c r="CY77" s="17">
        <v>47083</v>
      </c>
      <c r="CZ77" s="19">
        <v>0</v>
      </c>
      <c r="DA77" s="17"/>
      <c r="DB77" s="17"/>
      <c r="DC77" s="19">
        <v>100</v>
      </c>
      <c r="DD77" s="17"/>
      <c r="DE77" s="17">
        <v>46387</v>
      </c>
      <c r="DF77" s="17"/>
      <c r="DG77" s="17"/>
      <c r="DH77" s="19">
        <v>0</v>
      </c>
      <c r="DI77" s="19">
        <v>0</v>
      </c>
    </row>
    <row r="78" spans="1:113" x14ac:dyDescent="0.2">
      <c r="A78" s="14" t="s">
        <v>2315</v>
      </c>
      <c r="B78" s="16" t="s">
        <v>418</v>
      </c>
      <c r="C78" s="14" t="s">
        <v>158</v>
      </c>
      <c r="D78" s="14" t="s">
        <v>159</v>
      </c>
      <c r="E78" s="14" t="s">
        <v>158</v>
      </c>
      <c r="F78" s="14" t="s">
        <v>2044</v>
      </c>
      <c r="G78" s="14" t="s">
        <v>2045</v>
      </c>
      <c r="H78" s="14" t="s">
        <v>119</v>
      </c>
      <c r="I78" s="14" t="s">
        <v>120</v>
      </c>
      <c r="J78" s="16">
        <f>COUNTIF($I$3:I78, I78)</f>
        <v>7</v>
      </c>
      <c r="K78" s="14" t="s">
        <v>2048</v>
      </c>
      <c r="L78" s="14" t="s">
        <v>2048</v>
      </c>
      <c r="M78" s="14" t="s">
        <v>2048</v>
      </c>
      <c r="N78" s="14" t="s">
        <v>2048</v>
      </c>
      <c r="O78" s="14" t="s">
        <v>2624</v>
      </c>
      <c r="P78" s="14" t="s">
        <v>420</v>
      </c>
      <c r="Q78" s="14" t="s">
        <v>72</v>
      </c>
      <c r="R78" s="14" t="s">
        <v>2048</v>
      </c>
      <c r="S78" s="14" t="s">
        <v>2048</v>
      </c>
      <c r="T78" s="14" t="s">
        <v>2048</v>
      </c>
      <c r="U78" s="14" t="s">
        <v>2048</v>
      </c>
      <c r="V78" s="14" t="s">
        <v>2050</v>
      </c>
      <c r="W78" s="14" t="s">
        <v>2048</v>
      </c>
      <c r="X78" s="14" t="s">
        <v>2048</v>
      </c>
      <c r="Y78" s="14" t="s">
        <v>2048</v>
      </c>
      <c r="Z78" s="14" t="s">
        <v>2048</v>
      </c>
      <c r="AA78" s="14" t="s">
        <v>2048</v>
      </c>
      <c r="AB78" s="14" t="s">
        <v>85</v>
      </c>
      <c r="AC78" s="14" t="s">
        <v>86</v>
      </c>
      <c r="AD78" s="14" t="s">
        <v>2132</v>
      </c>
      <c r="AE78" s="14" t="s">
        <v>2133</v>
      </c>
      <c r="AF78" s="14" t="s">
        <v>2055</v>
      </c>
      <c r="AG78" s="14" t="s">
        <v>2056</v>
      </c>
      <c r="AH78" s="14" t="s">
        <v>2055</v>
      </c>
      <c r="AI78" s="14" t="s">
        <v>2057</v>
      </c>
      <c r="AJ78" s="14" t="s">
        <v>87</v>
      </c>
      <c r="AK78" s="14" t="s">
        <v>2048</v>
      </c>
      <c r="AL78" s="14" t="s">
        <v>2048</v>
      </c>
      <c r="AM78" s="14" t="s">
        <v>2048</v>
      </c>
      <c r="AN78" s="14" t="s">
        <v>2558</v>
      </c>
      <c r="AO78" s="17" t="s">
        <v>89</v>
      </c>
      <c r="AP78" s="14" t="s">
        <v>2135</v>
      </c>
      <c r="AQ78" s="14" t="s">
        <v>929</v>
      </c>
      <c r="AR78" s="14" t="s">
        <v>2625</v>
      </c>
      <c r="AS78" s="14" t="s">
        <v>2626</v>
      </c>
      <c r="AT78" s="14" t="s">
        <v>72</v>
      </c>
      <c r="AU78" s="14" t="s">
        <v>2561</v>
      </c>
      <c r="AV78" s="14" t="s">
        <v>2562</v>
      </c>
      <c r="AW78" s="14" t="s">
        <v>2048</v>
      </c>
      <c r="AX78" s="14" t="s">
        <v>2048</v>
      </c>
      <c r="AY78" s="14" t="s">
        <v>119</v>
      </c>
      <c r="AZ78" s="14" t="s">
        <v>419</v>
      </c>
      <c r="BA78" s="14" t="s">
        <v>2563</v>
      </c>
      <c r="BB78" s="14" t="s">
        <v>2048</v>
      </c>
      <c r="BC78" s="14" t="s">
        <v>2048</v>
      </c>
      <c r="BD78" s="14" t="s">
        <v>2282</v>
      </c>
      <c r="BE78" s="14" t="s">
        <v>2283</v>
      </c>
      <c r="BF78" s="14" t="s">
        <v>2564</v>
      </c>
      <c r="BG78" s="14" t="s">
        <v>2565</v>
      </c>
      <c r="BH78" s="14" t="s">
        <v>2566</v>
      </c>
      <c r="BI78" s="14" t="s">
        <v>2287</v>
      </c>
      <c r="BJ78" s="14" t="s">
        <v>2048</v>
      </c>
      <c r="BK78" s="14" t="s">
        <v>2048</v>
      </c>
      <c r="BL78" s="14" t="s">
        <v>2064</v>
      </c>
      <c r="BM78" s="14" t="s">
        <v>72</v>
      </c>
      <c r="BN78" s="14" t="s">
        <v>72</v>
      </c>
      <c r="BO78" s="14" t="s">
        <v>2627</v>
      </c>
      <c r="BP78" s="14" t="s">
        <v>2628</v>
      </c>
      <c r="BQ78" s="14" t="s">
        <v>2629</v>
      </c>
      <c r="BR78" s="14" t="s">
        <v>2418</v>
      </c>
      <c r="BS78" s="14" t="s">
        <v>2089</v>
      </c>
      <c r="BT78" s="14" t="s">
        <v>2048</v>
      </c>
      <c r="BU78" s="14" t="s">
        <v>2048</v>
      </c>
      <c r="BV78" s="14" t="s">
        <v>2048</v>
      </c>
      <c r="BW78" s="14" t="s">
        <v>2048</v>
      </c>
      <c r="BX78" s="14" t="s">
        <v>72</v>
      </c>
      <c r="BY78" s="14" t="s">
        <v>2048</v>
      </c>
      <c r="BZ78" s="14" t="s">
        <v>2048</v>
      </c>
      <c r="CA78" s="14" t="s">
        <v>2048</v>
      </c>
      <c r="CB78" s="14" t="s">
        <v>2048</v>
      </c>
      <c r="CC78" s="14" t="s">
        <v>2048</v>
      </c>
      <c r="CD78" s="14" t="s">
        <v>2048</v>
      </c>
      <c r="CE78" s="14" t="s">
        <v>2048</v>
      </c>
      <c r="CF78" s="14" t="s">
        <v>2048</v>
      </c>
      <c r="CG78" s="14" t="s">
        <v>2057</v>
      </c>
      <c r="CH78" s="14" t="s">
        <v>2090</v>
      </c>
      <c r="CI78" s="14" t="s">
        <v>2048</v>
      </c>
      <c r="CJ78" s="17"/>
      <c r="CK78" s="17">
        <v>45645</v>
      </c>
      <c r="CL78" s="17">
        <v>45645</v>
      </c>
      <c r="CM78" s="17">
        <v>2958465</v>
      </c>
      <c r="CN78" s="17"/>
      <c r="CO78" s="19">
        <v>0</v>
      </c>
      <c r="CP78" s="19">
        <v>0</v>
      </c>
      <c r="CQ78" s="19">
        <v>0</v>
      </c>
      <c r="CR78" s="19">
        <v>0</v>
      </c>
      <c r="CS78" s="19">
        <v>0</v>
      </c>
      <c r="CT78" s="19">
        <v>0</v>
      </c>
      <c r="CU78" s="19">
        <v>0</v>
      </c>
      <c r="CV78" s="17"/>
      <c r="CW78" s="19">
        <v>0</v>
      </c>
      <c r="CX78" s="17"/>
      <c r="CY78" s="17"/>
      <c r="CZ78" s="19">
        <v>0</v>
      </c>
      <c r="DA78" s="17"/>
      <c r="DB78" s="17"/>
      <c r="DC78" s="19">
        <v>100</v>
      </c>
      <c r="DD78" s="17"/>
      <c r="DE78" s="17">
        <v>2958465</v>
      </c>
      <c r="DF78" s="17"/>
      <c r="DG78" s="17"/>
      <c r="DH78" s="19">
        <v>0</v>
      </c>
      <c r="DI78" s="19">
        <v>0</v>
      </c>
    </row>
    <row r="79" spans="1:113" x14ac:dyDescent="0.2">
      <c r="A79" s="14" t="s">
        <v>2315</v>
      </c>
      <c r="B79" s="16" t="s">
        <v>122</v>
      </c>
      <c r="C79" s="14" t="s">
        <v>158</v>
      </c>
      <c r="D79" s="14" t="s">
        <v>159</v>
      </c>
      <c r="E79" s="14" t="s">
        <v>158</v>
      </c>
      <c r="F79" s="14" t="s">
        <v>2044</v>
      </c>
      <c r="G79" s="14" t="s">
        <v>2045</v>
      </c>
      <c r="H79" s="14" t="s">
        <v>119</v>
      </c>
      <c r="I79" s="14" t="s">
        <v>120</v>
      </c>
      <c r="J79" s="16">
        <f>COUNTIF($I$3:I79, I79)</f>
        <v>8</v>
      </c>
      <c r="K79" s="14" t="s">
        <v>2048</v>
      </c>
      <c r="L79" s="14" t="s">
        <v>2048</v>
      </c>
      <c r="M79" s="14" t="s">
        <v>2048</v>
      </c>
      <c r="N79" s="14" t="s">
        <v>2048</v>
      </c>
      <c r="O79" s="14" t="s">
        <v>2630</v>
      </c>
      <c r="P79" s="14" t="s">
        <v>124</v>
      </c>
      <c r="Q79" s="14" t="s">
        <v>72</v>
      </c>
      <c r="R79" s="14" t="s">
        <v>2048</v>
      </c>
      <c r="S79" s="14" t="s">
        <v>2048</v>
      </c>
      <c r="T79" s="14" t="s">
        <v>2048</v>
      </c>
      <c r="U79" s="14" t="s">
        <v>2048</v>
      </c>
      <c r="V79" s="14" t="s">
        <v>2050</v>
      </c>
      <c r="W79" s="14" t="s">
        <v>2048</v>
      </c>
      <c r="X79" s="14" t="s">
        <v>2048</v>
      </c>
      <c r="Y79" s="14" t="s">
        <v>2048</v>
      </c>
      <c r="Z79" s="14" t="s">
        <v>2048</v>
      </c>
      <c r="AA79" s="14" t="s">
        <v>2048</v>
      </c>
      <c r="AB79" s="14" t="s">
        <v>85</v>
      </c>
      <c r="AC79" s="14" t="s">
        <v>86</v>
      </c>
      <c r="AD79" s="14" t="s">
        <v>2132</v>
      </c>
      <c r="AE79" s="14" t="s">
        <v>2133</v>
      </c>
      <c r="AF79" s="14" t="s">
        <v>2055</v>
      </c>
      <c r="AG79" s="14" t="s">
        <v>2055</v>
      </c>
      <c r="AH79" s="14" t="s">
        <v>2055</v>
      </c>
      <c r="AI79" s="14" t="s">
        <v>2057</v>
      </c>
      <c r="AJ79" s="14" t="s">
        <v>87</v>
      </c>
      <c r="AK79" s="14" t="s">
        <v>2048</v>
      </c>
      <c r="AL79" s="14" t="s">
        <v>2048</v>
      </c>
      <c r="AM79" s="14" t="s">
        <v>2584</v>
      </c>
      <c r="AN79" s="14" t="s">
        <v>2631</v>
      </c>
      <c r="AO79" s="17" t="s">
        <v>89</v>
      </c>
      <c r="AP79" s="14" t="s">
        <v>2135</v>
      </c>
      <c r="AQ79" s="14" t="s">
        <v>2632</v>
      </c>
      <c r="AR79" s="14" t="s">
        <v>2633</v>
      </c>
      <c r="AS79" s="14" t="s">
        <v>2634</v>
      </c>
      <c r="AT79" s="14" t="s">
        <v>72</v>
      </c>
      <c r="AU79" s="14" t="s">
        <v>2635</v>
      </c>
      <c r="AV79" s="14" t="s">
        <v>2636</v>
      </c>
      <c r="AW79" s="14" t="s">
        <v>2048</v>
      </c>
      <c r="AX79" s="14" t="s">
        <v>2048</v>
      </c>
      <c r="AY79" s="14" t="s">
        <v>119</v>
      </c>
      <c r="AZ79" s="14" t="s">
        <v>123</v>
      </c>
      <c r="BA79" s="14" t="s">
        <v>2637</v>
      </c>
      <c r="BB79" s="14" t="s">
        <v>2048</v>
      </c>
      <c r="BC79" s="14" t="s">
        <v>2048</v>
      </c>
      <c r="BD79" s="14" t="s">
        <v>2576</v>
      </c>
      <c r="BE79" s="14" t="s">
        <v>2577</v>
      </c>
      <c r="BF79" s="14" t="s">
        <v>2638</v>
      </c>
      <c r="BG79" s="14" t="s">
        <v>2639</v>
      </c>
      <c r="BH79" s="14" t="s">
        <v>2640</v>
      </c>
      <c r="BI79" s="14" t="s">
        <v>2287</v>
      </c>
      <c r="BJ79" s="14" t="s">
        <v>2048</v>
      </c>
      <c r="BK79" s="14" t="s">
        <v>2048</v>
      </c>
      <c r="BL79" s="14" t="s">
        <v>2064</v>
      </c>
      <c r="BM79" s="14" t="s">
        <v>72</v>
      </c>
      <c r="BN79" s="14" t="s">
        <v>72</v>
      </c>
      <c r="BO79" s="14" t="s">
        <v>2641</v>
      </c>
      <c r="BP79" s="14" t="s">
        <v>2642</v>
      </c>
      <c r="BQ79" s="14" t="s">
        <v>2643</v>
      </c>
      <c r="BR79" s="14" t="s">
        <v>2418</v>
      </c>
      <c r="BS79" s="14" t="s">
        <v>2089</v>
      </c>
      <c r="BT79" s="14" t="s">
        <v>2048</v>
      </c>
      <c r="BU79" s="14" t="s">
        <v>2048</v>
      </c>
      <c r="BV79" s="14" t="s">
        <v>2048</v>
      </c>
      <c r="BW79" s="14" t="s">
        <v>2048</v>
      </c>
      <c r="BX79" s="14" t="s">
        <v>72</v>
      </c>
      <c r="BY79" s="14" t="s">
        <v>2048</v>
      </c>
      <c r="BZ79" s="14" t="s">
        <v>2048</v>
      </c>
      <c r="CA79" s="14" t="s">
        <v>2048</v>
      </c>
      <c r="CB79" s="14" t="s">
        <v>2048</v>
      </c>
      <c r="CC79" s="14" t="s">
        <v>2048</v>
      </c>
      <c r="CD79" s="14" t="s">
        <v>2048</v>
      </c>
      <c r="CE79" s="14" t="s">
        <v>2048</v>
      </c>
      <c r="CF79" s="14" t="s">
        <v>2048</v>
      </c>
      <c r="CG79" s="14" t="s">
        <v>2057</v>
      </c>
      <c r="CH79" s="14" t="s">
        <v>2090</v>
      </c>
      <c r="CI79" s="14" t="s">
        <v>2048</v>
      </c>
      <c r="CJ79" s="17"/>
      <c r="CK79" s="17">
        <v>45645</v>
      </c>
      <c r="CL79" s="17">
        <v>45645</v>
      </c>
      <c r="CM79" s="17">
        <v>2958465</v>
      </c>
      <c r="CN79" s="17"/>
      <c r="CO79" s="19">
        <v>0</v>
      </c>
      <c r="CP79" s="19">
        <v>0</v>
      </c>
      <c r="CQ79" s="19">
        <v>0</v>
      </c>
      <c r="CR79" s="19">
        <v>0</v>
      </c>
      <c r="CS79" s="19">
        <v>0</v>
      </c>
      <c r="CT79" s="19">
        <v>0</v>
      </c>
      <c r="CU79" s="19">
        <v>0</v>
      </c>
      <c r="CV79" s="17"/>
      <c r="CW79" s="19">
        <v>0</v>
      </c>
      <c r="CX79" s="17"/>
      <c r="CY79" s="17"/>
      <c r="CZ79" s="19">
        <v>0</v>
      </c>
      <c r="DA79" s="17"/>
      <c r="DB79" s="17"/>
      <c r="DC79" s="19">
        <v>100</v>
      </c>
      <c r="DD79" s="17"/>
      <c r="DE79" s="17">
        <v>2958465</v>
      </c>
      <c r="DF79" s="17"/>
      <c r="DG79" s="17"/>
      <c r="DH79" s="19">
        <v>0</v>
      </c>
      <c r="DI79" s="19">
        <v>0</v>
      </c>
    </row>
    <row r="80" spans="1:113" x14ac:dyDescent="0.2">
      <c r="A80" s="14" t="s">
        <v>2315</v>
      </c>
      <c r="B80" s="16" t="s">
        <v>2644</v>
      </c>
      <c r="C80" s="14" t="s">
        <v>158</v>
      </c>
      <c r="D80" s="14" t="s">
        <v>159</v>
      </c>
      <c r="E80" s="14" t="s">
        <v>158</v>
      </c>
      <c r="F80" s="14" t="s">
        <v>2044</v>
      </c>
      <c r="G80" s="14" t="s">
        <v>2045</v>
      </c>
      <c r="H80" s="14" t="s">
        <v>2645</v>
      </c>
      <c r="I80" s="14" t="s">
        <v>2646</v>
      </c>
      <c r="J80" s="16">
        <f>COUNTIF($I$3:I80, I80)</f>
        <v>1</v>
      </c>
      <c r="K80" s="14" t="s">
        <v>2048</v>
      </c>
      <c r="L80" s="14" t="s">
        <v>2048</v>
      </c>
      <c r="M80" s="14" t="s">
        <v>2048</v>
      </c>
      <c r="N80" s="14" t="s">
        <v>2048</v>
      </c>
      <c r="O80" s="14" t="s">
        <v>72</v>
      </c>
      <c r="P80" s="14" t="s">
        <v>72</v>
      </c>
      <c r="Q80" s="14" t="s">
        <v>72</v>
      </c>
      <c r="R80" s="14" t="s">
        <v>2048</v>
      </c>
      <c r="S80" s="14" t="s">
        <v>2048</v>
      </c>
      <c r="T80" s="14" t="s">
        <v>2422</v>
      </c>
      <c r="U80" s="14" t="s">
        <v>2049</v>
      </c>
      <c r="V80" s="14" t="s">
        <v>2050</v>
      </c>
      <c r="W80" s="14" t="s">
        <v>2048</v>
      </c>
      <c r="X80" s="14" t="s">
        <v>2048</v>
      </c>
      <c r="Y80" s="14" t="s">
        <v>2048</v>
      </c>
      <c r="Z80" s="14" t="s">
        <v>2048</v>
      </c>
      <c r="AA80" s="14" t="s">
        <v>2048</v>
      </c>
      <c r="AB80" s="14" t="s">
        <v>380</v>
      </c>
      <c r="AC80" s="14" t="s">
        <v>381</v>
      </c>
      <c r="AD80" s="14" t="s">
        <v>2129</v>
      </c>
      <c r="AE80" s="14" t="s">
        <v>2130</v>
      </c>
      <c r="AF80" s="14" t="s">
        <v>2055</v>
      </c>
      <c r="AG80" s="14" t="s">
        <v>2055</v>
      </c>
      <c r="AH80" s="14" t="s">
        <v>2055</v>
      </c>
      <c r="AI80" s="14" t="s">
        <v>2057</v>
      </c>
      <c r="AJ80" s="14" t="s">
        <v>87</v>
      </c>
      <c r="AK80" s="14" t="s">
        <v>2048</v>
      </c>
      <c r="AL80" s="14" t="s">
        <v>2048</v>
      </c>
      <c r="AM80" s="14" t="s">
        <v>2048</v>
      </c>
      <c r="AN80" s="14" t="s">
        <v>2647</v>
      </c>
      <c r="AO80" s="17" t="s">
        <v>89</v>
      </c>
      <c r="AP80" s="14" t="s">
        <v>2418</v>
      </c>
      <c r="AQ80" s="14" t="s">
        <v>2059</v>
      </c>
      <c r="AR80" s="14" t="s">
        <v>2060</v>
      </c>
      <c r="AS80" s="14" t="s">
        <v>2048</v>
      </c>
      <c r="AT80" s="14" t="s">
        <v>2048</v>
      </c>
      <c r="AU80" s="14" t="s">
        <v>2048</v>
      </c>
      <c r="AV80" s="14" t="s">
        <v>2048</v>
      </c>
      <c r="AW80" s="14" t="s">
        <v>2048</v>
      </c>
      <c r="AX80" s="14" t="s">
        <v>2048</v>
      </c>
      <c r="AY80" s="14" t="s">
        <v>2645</v>
      </c>
      <c r="AZ80" s="14" t="s">
        <v>312</v>
      </c>
      <c r="BA80" s="14" t="s">
        <v>2048</v>
      </c>
      <c r="BB80" s="14" t="s">
        <v>2048</v>
      </c>
      <c r="BC80" s="14" t="s">
        <v>2048</v>
      </c>
      <c r="BD80" s="14" t="s">
        <v>2048</v>
      </c>
      <c r="BE80" s="14" t="s">
        <v>2048</v>
      </c>
      <c r="BF80" s="14" t="s">
        <v>2048</v>
      </c>
      <c r="BG80" s="14" t="s">
        <v>2048</v>
      </c>
      <c r="BH80" s="14" t="s">
        <v>2048</v>
      </c>
      <c r="BI80" s="14" t="s">
        <v>2048</v>
      </c>
      <c r="BJ80" s="14" t="s">
        <v>2048</v>
      </c>
      <c r="BK80" s="14" t="s">
        <v>2048</v>
      </c>
      <c r="BL80" s="14" t="s">
        <v>2064</v>
      </c>
      <c r="BM80" s="14" t="s">
        <v>72</v>
      </c>
      <c r="BN80" s="14" t="s">
        <v>72</v>
      </c>
      <c r="BO80" s="14" t="s">
        <v>2048</v>
      </c>
      <c r="BP80" s="14" t="s">
        <v>2048</v>
      </c>
      <c r="BQ80" s="14" t="s">
        <v>2048</v>
      </c>
      <c r="BR80" s="14" t="s">
        <v>2418</v>
      </c>
      <c r="BS80" s="14" t="s">
        <v>2089</v>
      </c>
      <c r="BT80" s="14" t="s">
        <v>2048</v>
      </c>
      <c r="BU80" s="14" t="s">
        <v>2048</v>
      </c>
      <c r="BV80" s="14" t="s">
        <v>2048</v>
      </c>
      <c r="BW80" s="14" t="s">
        <v>2048</v>
      </c>
      <c r="BX80" s="14" t="s">
        <v>72</v>
      </c>
      <c r="BY80" s="14" t="s">
        <v>2048</v>
      </c>
      <c r="BZ80" s="14" t="s">
        <v>2048</v>
      </c>
      <c r="CA80" s="14" t="s">
        <v>2048</v>
      </c>
      <c r="CB80" s="14" t="s">
        <v>2048</v>
      </c>
      <c r="CC80" s="14" t="s">
        <v>2048</v>
      </c>
      <c r="CD80" s="14" t="s">
        <v>2048</v>
      </c>
      <c r="CE80" s="14" t="s">
        <v>2048</v>
      </c>
      <c r="CF80" s="14" t="s">
        <v>2048</v>
      </c>
      <c r="CG80" s="14" t="s">
        <v>2057</v>
      </c>
      <c r="CH80" s="14" t="s">
        <v>2090</v>
      </c>
      <c r="CI80" s="14" t="s">
        <v>2048</v>
      </c>
      <c r="CJ80" s="17"/>
      <c r="CK80" s="17">
        <v>45442</v>
      </c>
      <c r="CL80" s="17">
        <v>45442</v>
      </c>
      <c r="CM80" s="17">
        <v>2958465</v>
      </c>
      <c r="CN80" s="17"/>
      <c r="CO80" s="19">
        <v>0</v>
      </c>
      <c r="CP80" s="19">
        <v>0</v>
      </c>
      <c r="CQ80" s="19">
        <v>0</v>
      </c>
      <c r="CR80" s="19">
        <v>0</v>
      </c>
      <c r="CS80" s="19">
        <v>0</v>
      </c>
      <c r="CT80" s="19">
        <v>0</v>
      </c>
      <c r="CU80" s="19">
        <v>0</v>
      </c>
      <c r="CV80" s="17"/>
      <c r="CW80" s="19">
        <v>0</v>
      </c>
      <c r="CX80" s="17"/>
      <c r="CY80" s="17"/>
      <c r="CZ80" s="19">
        <v>0</v>
      </c>
      <c r="DA80" s="17"/>
      <c r="DB80" s="17"/>
      <c r="DC80" s="19">
        <v>100</v>
      </c>
      <c r="DD80" s="17"/>
      <c r="DE80" s="17">
        <v>2958465</v>
      </c>
      <c r="DF80" s="17"/>
      <c r="DG80" s="17"/>
      <c r="DH80" s="19">
        <v>0</v>
      </c>
      <c r="DI80" s="19">
        <v>0</v>
      </c>
    </row>
    <row r="81" spans="1:113" x14ac:dyDescent="0.2">
      <c r="A81" s="14" t="s">
        <v>2315</v>
      </c>
      <c r="B81" s="16" t="s">
        <v>1096</v>
      </c>
      <c r="C81" s="14" t="s">
        <v>158</v>
      </c>
      <c r="D81" s="14" t="s">
        <v>159</v>
      </c>
      <c r="E81" s="14" t="s">
        <v>158</v>
      </c>
      <c r="F81" s="14" t="s">
        <v>2044</v>
      </c>
      <c r="G81" s="14" t="s">
        <v>2045</v>
      </c>
      <c r="H81" s="14" t="s">
        <v>204</v>
      </c>
      <c r="I81" s="14" t="s">
        <v>205</v>
      </c>
      <c r="J81" s="16">
        <f>COUNTIF($I$3:I81, I81)</f>
        <v>13</v>
      </c>
      <c r="K81" s="14" t="s">
        <v>2048</v>
      </c>
      <c r="L81" s="14" t="s">
        <v>2048</v>
      </c>
      <c r="M81" s="14" t="s">
        <v>2048</v>
      </c>
      <c r="N81" s="14" t="s">
        <v>2048</v>
      </c>
      <c r="O81" s="14" t="s">
        <v>2648</v>
      </c>
      <c r="P81" s="14" t="s">
        <v>1097</v>
      </c>
      <c r="Q81" s="14" t="s">
        <v>72</v>
      </c>
      <c r="R81" s="14" t="s">
        <v>2048</v>
      </c>
      <c r="S81" s="14" t="s">
        <v>2048</v>
      </c>
      <c r="T81" s="14" t="s">
        <v>2048</v>
      </c>
      <c r="U81" s="14" t="s">
        <v>2048</v>
      </c>
      <c r="V81" s="14" t="s">
        <v>2050</v>
      </c>
      <c r="W81" s="14" t="s">
        <v>2048</v>
      </c>
      <c r="X81" s="14" t="s">
        <v>2048</v>
      </c>
      <c r="Y81" s="14" t="s">
        <v>2048</v>
      </c>
      <c r="Z81" s="14" t="s">
        <v>2048</v>
      </c>
      <c r="AA81" s="14" t="s">
        <v>2048</v>
      </c>
      <c r="AB81" s="14" t="s">
        <v>140</v>
      </c>
      <c r="AC81" s="14" t="s">
        <v>151</v>
      </c>
      <c r="AD81" s="14" t="s">
        <v>2048</v>
      </c>
      <c r="AE81" s="14" t="s">
        <v>2048</v>
      </c>
      <c r="AF81" s="14" t="s">
        <v>2055</v>
      </c>
      <c r="AG81" s="14" t="s">
        <v>2055</v>
      </c>
      <c r="AH81" s="14" t="s">
        <v>2055</v>
      </c>
      <c r="AI81" s="14" t="s">
        <v>2057</v>
      </c>
      <c r="AJ81" s="14" t="s">
        <v>87</v>
      </c>
      <c r="AK81" s="14" t="s">
        <v>2048</v>
      </c>
      <c r="AL81" s="14" t="s">
        <v>2048</v>
      </c>
      <c r="AM81" s="14" t="s">
        <v>2048</v>
      </c>
      <c r="AN81" s="14" t="s">
        <v>2318</v>
      </c>
      <c r="AO81" s="17" t="s">
        <v>89</v>
      </c>
      <c r="AP81" s="14" t="s">
        <v>2135</v>
      </c>
      <c r="AQ81" s="14" t="s">
        <v>2059</v>
      </c>
      <c r="AR81" s="14" t="s">
        <v>2649</v>
      </c>
      <c r="AS81" s="14" t="s">
        <v>2650</v>
      </c>
      <c r="AT81" s="14" t="s">
        <v>72</v>
      </c>
      <c r="AU81" s="14" t="s">
        <v>2350</v>
      </c>
      <c r="AV81" s="14" t="s">
        <v>2351</v>
      </c>
      <c r="AW81" s="14" t="s">
        <v>2048</v>
      </c>
      <c r="AX81" s="14" t="s">
        <v>2048</v>
      </c>
      <c r="AY81" s="14" t="s">
        <v>204</v>
      </c>
      <c r="AZ81" s="14" t="s">
        <v>232</v>
      </c>
      <c r="BA81" s="14" t="s">
        <v>2324</v>
      </c>
      <c r="BB81" s="14" t="s">
        <v>2048</v>
      </c>
      <c r="BC81" s="14" t="s">
        <v>2048</v>
      </c>
      <c r="BD81" s="14" t="s">
        <v>2325</v>
      </c>
      <c r="BE81" s="14" t="s">
        <v>2326</v>
      </c>
      <c r="BF81" s="14" t="s">
        <v>2325</v>
      </c>
      <c r="BG81" s="14" t="s">
        <v>2326</v>
      </c>
      <c r="BH81" s="14" t="s">
        <v>2327</v>
      </c>
      <c r="BI81" s="14" t="s">
        <v>2287</v>
      </c>
      <c r="BJ81" s="14" t="s">
        <v>2048</v>
      </c>
      <c r="BK81" s="14" t="s">
        <v>2048</v>
      </c>
      <c r="BL81" s="14" t="s">
        <v>2064</v>
      </c>
      <c r="BM81" s="14" t="s">
        <v>72</v>
      </c>
      <c r="BN81" s="14" t="s">
        <v>72</v>
      </c>
      <c r="BO81" s="14" t="s">
        <v>2651</v>
      </c>
      <c r="BP81" s="14" t="s">
        <v>2329</v>
      </c>
      <c r="BQ81" s="14" t="s">
        <v>2330</v>
      </c>
      <c r="BR81" s="14" t="s">
        <v>2331</v>
      </c>
      <c r="BS81" s="14" t="s">
        <v>2131</v>
      </c>
      <c r="BT81" s="14" t="s">
        <v>2048</v>
      </c>
      <c r="BU81" s="14" t="s">
        <v>2048</v>
      </c>
      <c r="BV81" s="14" t="s">
        <v>2048</v>
      </c>
      <c r="BW81" s="14" t="s">
        <v>2048</v>
      </c>
      <c r="BX81" s="14" t="s">
        <v>2048</v>
      </c>
      <c r="BY81" s="14" t="s">
        <v>2048</v>
      </c>
      <c r="BZ81" s="14" t="s">
        <v>2048</v>
      </c>
      <c r="CA81" s="14" t="s">
        <v>2048</v>
      </c>
      <c r="CB81" s="14" t="s">
        <v>2048</v>
      </c>
      <c r="CC81" s="14" t="s">
        <v>2048</v>
      </c>
      <c r="CD81" s="14" t="s">
        <v>2048</v>
      </c>
      <c r="CE81" s="14" t="s">
        <v>2048</v>
      </c>
      <c r="CF81" s="14" t="s">
        <v>2048</v>
      </c>
      <c r="CG81" s="14" t="s">
        <v>2068</v>
      </c>
      <c r="CH81" s="14" t="s">
        <v>2069</v>
      </c>
      <c r="CI81" s="14" t="s">
        <v>2048</v>
      </c>
      <c r="CJ81" s="17"/>
      <c r="CK81" s="17">
        <v>45638</v>
      </c>
      <c r="CL81" s="17">
        <v>45638</v>
      </c>
      <c r="CM81" s="17">
        <v>2958465</v>
      </c>
      <c r="CN81" s="17"/>
      <c r="CO81" s="19">
        <v>0</v>
      </c>
      <c r="CP81" s="19">
        <v>0</v>
      </c>
      <c r="CQ81" s="19">
        <v>0</v>
      </c>
      <c r="CR81" s="19">
        <v>0</v>
      </c>
      <c r="CS81" s="19">
        <v>0</v>
      </c>
      <c r="CT81" s="19">
        <v>0</v>
      </c>
      <c r="CU81" s="19">
        <v>0</v>
      </c>
      <c r="CV81" s="17"/>
      <c r="CW81" s="19">
        <v>0</v>
      </c>
      <c r="CX81" s="17"/>
      <c r="CY81" s="17"/>
      <c r="CZ81" s="19">
        <v>0</v>
      </c>
      <c r="DA81" s="17"/>
      <c r="DB81" s="17"/>
      <c r="DC81" s="19">
        <v>100</v>
      </c>
      <c r="DD81" s="17"/>
      <c r="DE81" s="17">
        <v>2958465</v>
      </c>
      <c r="DF81" s="17"/>
      <c r="DG81" s="17"/>
      <c r="DH81" s="19">
        <v>0</v>
      </c>
      <c r="DI81" s="19">
        <v>0</v>
      </c>
    </row>
    <row r="82" spans="1:113" x14ac:dyDescent="0.2">
      <c r="A82" s="14" t="s">
        <v>2315</v>
      </c>
      <c r="B82" s="16" t="s">
        <v>765</v>
      </c>
      <c r="C82" s="14" t="s">
        <v>158</v>
      </c>
      <c r="D82" s="14" t="s">
        <v>159</v>
      </c>
      <c r="E82" s="14" t="s">
        <v>158</v>
      </c>
      <c r="F82" s="14" t="s">
        <v>2044</v>
      </c>
      <c r="G82" s="14" t="s">
        <v>2045</v>
      </c>
      <c r="H82" s="14" t="s">
        <v>308</v>
      </c>
      <c r="I82" s="14" t="s">
        <v>309</v>
      </c>
      <c r="J82" s="16">
        <f>COUNTIF($I$3:I82, I82)</f>
        <v>1</v>
      </c>
      <c r="K82" s="14" t="s">
        <v>2048</v>
      </c>
      <c r="L82" s="14" t="s">
        <v>2048</v>
      </c>
      <c r="M82" s="14" t="s">
        <v>2048</v>
      </c>
      <c r="N82" s="14" t="s">
        <v>2048</v>
      </c>
      <c r="O82" s="14" t="s">
        <v>72</v>
      </c>
      <c r="P82" s="14" t="s">
        <v>72</v>
      </c>
      <c r="Q82" s="14" t="s">
        <v>72</v>
      </c>
      <c r="R82" s="14" t="s">
        <v>2048</v>
      </c>
      <c r="S82" s="14" t="s">
        <v>2048</v>
      </c>
      <c r="T82" s="14" t="s">
        <v>2048</v>
      </c>
      <c r="U82" s="14" t="s">
        <v>2048</v>
      </c>
      <c r="V82" s="14" t="s">
        <v>2050</v>
      </c>
      <c r="W82" s="14" t="s">
        <v>2048</v>
      </c>
      <c r="X82" s="14" t="s">
        <v>2048</v>
      </c>
      <c r="Y82" s="14" t="s">
        <v>2048</v>
      </c>
      <c r="Z82" s="14" t="s">
        <v>2048</v>
      </c>
      <c r="AA82" s="14" t="s">
        <v>2048</v>
      </c>
      <c r="AB82" s="14" t="s">
        <v>85</v>
      </c>
      <c r="AC82" s="14" t="s">
        <v>86</v>
      </c>
      <c r="AD82" s="14" t="s">
        <v>2132</v>
      </c>
      <c r="AE82" s="14" t="s">
        <v>2133</v>
      </c>
      <c r="AF82" s="14" t="s">
        <v>2055</v>
      </c>
      <c r="AG82" s="14" t="s">
        <v>2055</v>
      </c>
      <c r="AH82" s="14" t="s">
        <v>2055</v>
      </c>
      <c r="AI82" s="14" t="s">
        <v>2057</v>
      </c>
      <c r="AJ82" s="14" t="s">
        <v>87</v>
      </c>
      <c r="AK82" s="14" t="s">
        <v>2048</v>
      </c>
      <c r="AL82" s="14" t="s">
        <v>2048</v>
      </c>
      <c r="AM82" s="14" t="s">
        <v>2048</v>
      </c>
      <c r="AN82" s="14" t="s">
        <v>2048</v>
      </c>
      <c r="AO82" s="17" t="s">
        <v>89</v>
      </c>
      <c r="AP82" s="14" t="s">
        <v>2135</v>
      </c>
      <c r="AQ82" s="14" t="s">
        <v>967</v>
      </c>
      <c r="AR82" s="14" t="s">
        <v>2060</v>
      </c>
      <c r="AS82" s="14" t="s">
        <v>2048</v>
      </c>
      <c r="AT82" s="14" t="s">
        <v>72</v>
      </c>
      <c r="AU82" s="14" t="s">
        <v>2652</v>
      </c>
      <c r="AV82" s="14" t="s">
        <v>2653</v>
      </c>
      <c r="AW82" s="14" t="s">
        <v>2048</v>
      </c>
      <c r="AX82" s="14" t="s">
        <v>2048</v>
      </c>
      <c r="AY82" s="14" t="s">
        <v>308</v>
      </c>
      <c r="AZ82" s="14" t="s">
        <v>310</v>
      </c>
      <c r="BA82" s="14" t="s">
        <v>2654</v>
      </c>
      <c r="BB82" s="14" t="s">
        <v>2048</v>
      </c>
      <c r="BC82" s="14" t="s">
        <v>2048</v>
      </c>
      <c r="BD82" s="14" t="s">
        <v>2048</v>
      </c>
      <c r="BE82" s="14" t="s">
        <v>2048</v>
      </c>
      <c r="BF82" s="14" t="s">
        <v>2048</v>
      </c>
      <c r="BG82" s="14" t="s">
        <v>2048</v>
      </c>
      <c r="BH82" s="14" t="s">
        <v>2655</v>
      </c>
      <c r="BI82" s="14" t="s">
        <v>2656</v>
      </c>
      <c r="BJ82" s="14" t="s">
        <v>2048</v>
      </c>
      <c r="BK82" s="14" t="s">
        <v>2048</v>
      </c>
      <c r="BL82" s="14" t="s">
        <v>2064</v>
      </c>
      <c r="BM82" s="14" t="s">
        <v>72</v>
      </c>
      <c r="BN82" s="14" t="s">
        <v>72</v>
      </c>
      <c r="BO82" s="14" t="s">
        <v>2048</v>
      </c>
      <c r="BP82" s="14" t="s">
        <v>2048</v>
      </c>
      <c r="BQ82" s="14" t="s">
        <v>2048</v>
      </c>
      <c r="BR82" s="14" t="s">
        <v>2418</v>
      </c>
      <c r="BS82" s="14" t="s">
        <v>2089</v>
      </c>
      <c r="BT82" s="14" t="s">
        <v>2048</v>
      </c>
      <c r="BU82" s="14" t="s">
        <v>2048</v>
      </c>
      <c r="BV82" s="14" t="s">
        <v>2048</v>
      </c>
      <c r="BW82" s="14" t="s">
        <v>2048</v>
      </c>
      <c r="BX82" s="14" t="s">
        <v>72</v>
      </c>
      <c r="BY82" s="14" t="s">
        <v>2048</v>
      </c>
      <c r="BZ82" s="14" t="s">
        <v>2048</v>
      </c>
      <c r="CA82" s="14" t="s">
        <v>2048</v>
      </c>
      <c r="CB82" s="14" t="s">
        <v>2048</v>
      </c>
      <c r="CC82" s="14" t="s">
        <v>2048</v>
      </c>
      <c r="CD82" s="14" t="s">
        <v>2048</v>
      </c>
      <c r="CE82" s="14" t="s">
        <v>2048</v>
      </c>
      <c r="CF82" s="14" t="s">
        <v>2048</v>
      </c>
      <c r="CG82" s="14" t="s">
        <v>2057</v>
      </c>
      <c r="CH82" s="14" t="s">
        <v>2090</v>
      </c>
      <c r="CI82" s="14" t="s">
        <v>2048</v>
      </c>
      <c r="CJ82" s="17"/>
      <c r="CK82" s="17">
        <v>45649</v>
      </c>
      <c r="CL82" s="17">
        <v>45649</v>
      </c>
      <c r="CM82" s="17">
        <v>2958465</v>
      </c>
      <c r="CN82" s="17"/>
      <c r="CO82" s="19">
        <v>0</v>
      </c>
      <c r="CP82" s="19">
        <v>0</v>
      </c>
      <c r="CQ82" s="19">
        <v>0</v>
      </c>
      <c r="CR82" s="19">
        <v>0</v>
      </c>
      <c r="CS82" s="19">
        <v>0</v>
      </c>
      <c r="CT82" s="19">
        <v>0</v>
      </c>
      <c r="CU82" s="19">
        <v>0</v>
      </c>
      <c r="CV82" s="17"/>
      <c r="CW82" s="19">
        <v>0</v>
      </c>
      <c r="CX82" s="17"/>
      <c r="CY82" s="17"/>
      <c r="CZ82" s="19">
        <v>0</v>
      </c>
      <c r="DA82" s="17"/>
      <c r="DB82" s="17"/>
      <c r="DC82" s="19">
        <v>100</v>
      </c>
      <c r="DD82" s="17"/>
      <c r="DE82" s="17">
        <v>2958465</v>
      </c>
      <c r="DF82" s="17"/>
      <c r="DG82" s="17"/>
      <c r="DH82" s="19">
        <v>0</v>
      </c>
      <c r="DI82" s="19">
        <v>0</v>
      </c>
    </row>
    <row r="83" spans="1:113" x14ac:dyDescent="0.2">
      <c r="A83" s="14" t="s">
        <v>2315</v>
      </c>
      <c r="B83" s="16" t="s">
        <v>238</v>
      </c>
      <c r="C83" s="14" t="s">
        <v>158</v>
      </c>
      <c r="D83" s="14" t="s">
        <v>159</v>
      </c>
      <c r="E83" s="14" t="s">
        <v>158</v>
      </c>
      <c r="F83" s="14" t="s">
        <v>2044</v>
      </c>
      <c r="G83" s="14" t="s">
        <v>2045</v>
      </c>
      <c r="H83" s="14" t="s">
        <v>204</v>
      </c>
      <c r="I83" s="14" t="s">
        <v>205</v>
      </c>
      <c r="J83" s="16">
        <f>COUNTIF($I$3:I83, I83)</f>
        <v>14</v>
      </c>
      <c r="K83" s="14" t="s">
        <v>2048</v>
      </c>
      <c r="L83" s="14" t="s">
        <v>2048</v>
      </c>
      <c r="M83" s="14" t="s">
        <v>2048</v>
      </c>
      <c r="N83" s="14" t="s">
        <v>2048</v>
      </c>
      <c r="O83" s="14" t="s">
        <v>2657</v>
      </c>
      <c r="P83" s="14" t="s">
        <v>239</v>
      </c>
      <c r="Q83" s="14" t="s">
        <v>2048</v>
      </c>
      <c r="R83" s="14" t="s">
        <v>2048</v>
      </c>
      <c r="S83" s="14" t="s">
        <v>2048</v>
      </c>
      <c r="T83" s="14" t="s">
        <v>2048</v>
      </c>
      <c r="U83" s="14" t="s">
        <v>2048</v>
      </c>
      <c r="V83" s="14" t="s">
        <v>2050</v>
      </c>
      <c r="W83" s="14" t="s">
        <v>2048</v>
      </c>
      <c r="X83" s="14" t="s">
        <v>2048</v>
      </c>
      <c r="Y83" s="14" t="s">
        <v>2048</v>
      </c>
      <c r="Z83" s="14" t="s">
        <v>2048</v>
      </c>
      <c r="AA83" s="14" t="s">
        <v>2048</v>
      </c>
      <c r="AB83" s="14" t="s">
        <v>140</v>
      </c>
      <c r="AC83" s="14" t="s">
        <v>151</v>
      </c>
      <c r="AD83" s="14" t="s">
        <v>77</v>
      </c>
      <c r="AE83" s="14" t="s">
        <v>2054</v>
      </c>
      <c r="AF83" s="14" t="s">
        <v>2055</v>
      </c>
      <c r="AG83" s="14" t="s">
        <v>2055</v>
      </c>
      <c r="AH83" s="14" t="s">
        <v>2055</v>
      </c>
      <c r="AI83" s="14" t="s">
        <v>2057</v>
      </c>
      <c r="AJ83" s="14" t="s">
        <v>87</v>
      </c>
      <c r="AK83" s="14" t="s">
        <v>2048</v>
      </c>
      <c r="AL83" s="14" t="s">
        <v>2048</v>
      </c>
      <c r="AM83" s="14" t="s">
        <v>2048</v>
      </c>
      <c r="AN83" s="14" t="s">
        <v>2318</v>
      </c>
      <c r="AO83" s="17" t="s">
        <v>89</v>
      </c>
      <c r="AP83" s="14" t="s">
        <v>2135</v>
      </c>
      <c r="AQ83" s="14" t="s">
        <v>2059</v>
      </c>
      <c r="AR83" s="14" t="s">
        <v>2658</v>
      </c>
      <c r="AS83" s="14" t="s">
        <v>2659</v>
      </c>
      <c r="AT83" s="14" t="s">
        <v>72</v>
      </c>
      <c r="AU83" s="14" t="s">
        <v>2350</v>
      </c>
      <c r="AV83" s="14" t="s">
        <v>2351</v>
      </c>
      <c r="AW83" s="14" t="s">
        <v>2048</v>
      </c>
      <c r="AX83" s="14" t="s">
        <v>2048</v>
      </c>
      <c r="AY83" s="14" t="s">
        <v>204</v>
      </c>
      <c r="AZ83" s="14" t="s">
        <v>232</v>
      </c>
      <c r="BA83" s="14" t="s">
        <v>2324</v>
      </c>
      <c r="BB83" s="14" t="s">
        <v>2048</v>
      </c>
      <c r="BC83" s="14" t="s">
        <v>2048</v>
      </c>
      <c r="BD83" s="14" t="s">
        <v>2325</v>
      </c>
      <c r="BE83" s="14" t="s">
        <v>2326</v>
      </c>
      <c r="BF83" s="14" t="s">
        <v>2325</v>
      </c>
      <c r="BG83" s="14" t="s">
        <v>2326</v>
      </c>
      <c r="BH83" s="14" t="s">
        <v>2327</v>
      </c>
      <c r="BI83" s="14" t="s">
        <v>2287</v>
      </c>
      <c r="BJ83" s="14" t="s">
        <v>2048</v>
      </c>
      <c r="BK83" s="14" t="s">
        <v>2048</v>
      </c>
      <c r="BL83" s="14" t="s">
        <v>2064</v>
      </c>
      <c r="BM83" s="14" t="s">
        <v>72</v>
      </c>
      <c r="BN83" s="14" t="s">
        <v>72</v>
      </c>
      <c r="BO83" s="14" t="s">
        <v>2660</v>
      </c>
      <c r="BP83" s="14" t="s">
        <v>2329</v>
      </c>
      <c r="BQ83" s="14" t="s">
        <v>2330</v>
      </c>
      <c r="BR83" s="14" t="s">
        <v>2331</v>
      </c>
      <c r="BS83" s="14" t="s">
        <v>2131</v>
      </c>
      <c r="BT83" s="14" t="s">
        <v>2048</v>
      </c>
      <c r="BU83" s="14" t="s">
        <v>2048</v>
      </c>
      <c r="BV83" s="14" t="s">
        <v>2048</v>
      </c>
      <c r="BW83" s="14" t="s">
        <v>2048</v>
      </c>
      <c r="BX83" s="14" t="s">
        <v>2048</v>
      </c>
      <c r="BY83" s="14" t="s">
        <v>2048</v>
      </c>
      <c r="BZ83" s="14" t="s">
        <v>2048</v>
      </c>
      <c r="CA83" s="14" t="s">
        <v>2048</v>
      </c>
      <c r="CB83" s="14" t="s">
        <v>2048</v>
      </c>
      <c r="CC83" s="14" t="s">
        <v>2048</v>
      </c>
      <c r="CD83" s="14" t="s">
        <v>2048</v>
      </c>
      <c r="CE83" s="14" t="s">
        <v>2048</v>
      </c>
      <c r="CF83" s="14" t="s">
        <v>2048</v>
      </c>
      <c r="CG83" s="14" t="s">
        <v>2068</v>
      </c>
      <c r="CH83" s="14" t="s">
        <v>2069</v>
      </c>
      <c r="CI83" s="14" t="s">
        <v>2048</v>
      </c>
      <c r="CJ83" s="17"/>
      <c r="CK83" s="17">
        <v>45638</v>
      </c>
      <c r="CL83" s="17">
        <v>45638</v>
      </c>
      <c r="CM83" s="17">
        <v>2958465</v>
      </c>
      <c r="CN83" s="17"/>
      <c r="CO83" s="19">
        <v>0</v>
      </c>
      <c r="CP83" s="19">
        <v>0</v>
      </c>
      <c r="CQ83" s="19">
        <v>0</v>
      </c>
      <c r="CR83" s="19">
        <v>0</v>
      </c>
      <c r="CS83" s="19">
        <v>0</v>
      </c>
      <c r="CT83" s="19">
        <v>0</v>
      </c>
      <c r="CU83" s="19">
        <v>0</v>
      </c>
      <c r="CV83" s="17"/>
      <c r="CW83" s="19">
        <v>0</v>
      </c>
      <c r="CX83" s="17"/>
      <c r="CY83" s="17"/>
      <c r="CZ83" s="19">
        <v>0</v>
      </c>
      <c r="DA83" s="17"/>
      <c r="DB83" s="17"/>
      <c r="DC83" s="19">
        <v>100</v>
      </c>
      <c r="DD83" s="17"/>
      <c r="DE83" s="17">
        <v>2958465</v>
      </c>
      <c r="DF83" s="17"/>
      <c r="DG83" s="17"/>
      <c r="DH83" s="19">
        <v>0</v>
      </c>
      <c r="DI83" s="19">
        <v>0</v>
      </c>
    </row>
    <row r="84" spans="1:113" x14ac:dyDescent="0.2">
      <c r="A84" s="14" t="s">
        <v>2315</v>
      </c>
      <c r="B84" s="16" t="s">
        <v>1082</v>
      </c>
      <c r="C84" s="14" t="s">
        <v>158</v>
      </c>
      <c r="D84" s="14" t="s">
        <v>159</v>
      </c>
      <c r="E84" s="14" t="s">
        <v>158</v>
      </c>
      <c r="F84" s="14" t="s">
        <v>2044</v>
      </c>
      <c r="G84" s="14" t="s">
        <v>2045</v>
      </c>
      <c r="H84" s="14" t="s">
        <v>204</v>
      </c>
      <c r="I84" s="14" t="s">
        <v>205</v>
      </c>
      <c r="J84" s="16">
        <f>COUNTIF($I$3:I84, I84)</f>
        <v>15</v>
      </c>
      <c r="K84" s="14" t="s">
        <v>2048</v>
      </c>
      <c r="L84" s="14" t="s">
        <v>2048</v>
      </c>
      <c r="M84" s="14" t="s">
        <v>2048</v>
      </c>
      <c r="N84" s="14" t="s">
        <v>2048</v>
      </c>
      <c r="O84" s="14" t="s">
        <v>2661</v>
      </c>
      <c r="P84" s="14" t="s">
        <v>1083</v>
      </c>
      <c r="Q84" s="14" t="s">
        <v>2048</v>
      </c>
      <c r="R84" s="14" t="s">
        <v>2048</v>
      </c>
      <c r="S84" s="14" t="s">
        <v>2048</v>
      </c>
      <c r="T84" s="14" t="s">
        <v>2048</v>
      </c>
      <c r="U84" s="14" t="s">
        <v>2048</v>
      </c>
      <c r="V84" s="14" t="s">
        <v>2050</v>
      </c>
      <c r="W84" s="14" t="s">
        <v>2048</v>
      </c>
      <c r="X84" s="14" t="s">
        <v>2048</v>
      </c>
      <c r="Y84" s="14" t="s">
        <v>2048</v>
      </c>
      <c r="Z84" s="14" t="s">
        <v>2048</v>
      </c>
      <c r="AA84" s="14" t="s">
        <v>2048</v>
      </c>
      <c r="AB84" s="14" t="s">
        <v>140</v>
      </c>
      <c r="AC84" s="14" t="s">
        <v>151</v>
      </c>
      <c r="AD84" s="14" t="s">
        <v>77</v>
      </c>
      <c r="AE84" s="14" t="s">
        <v>2054</v>
      </c>
      <c r="AF84" s="14" t="s">
        <v>2055</v>
      </c>
      <c r="AG84" s="14" t="s">
        <v>2055</v>
      </c>
      <c r="AH84" s="14" t="s">
        <v>2055</v>
      </c>
      <c r="AI84" s="14" t="s">
        <v>2057</v>
      </c>
      <c r="AJ84" s="14" t="s">
        <v>87</v>
      </c>
      <c r="AK84" s="14" t="s">
        <v>2048</v>
      </c>
      <c r="AL84" s="14" t="s">
        <v>2048</v>
      </c>
      <c r="AM84" s="14" t="s">
        <v>2048</v>
      </c>
      <c r="AN84" s="14" t="s">
        <v>2334</v>
      </c>
      <c r="AO84" s="17" t="s">
        <v>89</v>
      </c>
      <c r="AP84" s="14" t="s">
        <v>2135</v>
      </c>
      <c r="AQ84" s="14" t="s">
        <v>2059</v>
      </c>
      <c r="AR84" s="14" t="s">
        <v>2662</v>
      </c>
      <c r="AS84" s="14" t="s">
        <v>2663</v>
      </c>
      <c r="AT84" s="14" t="s">
        <v>72</v>
      </c>
      <c r="AU84" s="14" t="s">
        <v>2392</v>
      </c>
      <c r="AV84" s="14" t="s">
        <v>2393</v>
      </c>
      <c r="AW84" s="14" t="s">
        <v>2048</v>
      </c>
      <c r="AX84" s="14" t="s">
        <v>2048</v>
      </c>
      <c r="AY84" s="14" t="s">
        <v>204</v>
      </c>
      <c r="AZ84" s="14" t="s">
        <v>208</v>
      </c>
      <c r="BA84" s="14" t="s">
        <v>2339</v>
      </c>
      <c r="BB84" s="14" t="s">
        <v>2048</v>
      </c>
      <c r="BC84" s="14" t="s">
        <v>2048</v>
      </c>
      <c r="BD84" s="14" t="s">
        <v>2325</v>
      </c>
      <c r="BE84" s="14" t="s">
        <v>2326</v>
      </c>
      <c r="BF84" s="14" t="s">
        <v>2340</v>
      </c>
      <c r="BG84" s="14" t="s">
        <v>2341</v>
      </c>
      <c r="BH84" s="14" t="s">
        <v>2342</v>
      </c>
      <c r="BI84" s="14" t="s">
        <v>2287</v>
      </c>
      <c r="BJ84" s="14" t="s">
        <v>2048</v>
      </c>
      <c r="BK84" s="14" t="s">
        <v>2048</v>
      </c>
      <c r="BL84" s="14" t="s">
        <v>2064</v>
      </c>
      <c r="BM84" s="14" t="s">
        <v>72</v>
      </c>
      <c r="BN84" s="14" t="s">
        <v>72</v>
      </c>
      <c r="BO84" s="14" t="s">
        <v>2664</v>
      </c>
      <c r="BP84" s="14" t="s">
        <v>2364</v>
      </c>
      <c r="BQ84" s="14" t="s">
        <v>2365</v>
      </c>
      <c r="BR84" s="14" t="s">
        <v>2331</v>
      </c>
      <c r="BS84" s="14" t="s">
        <v>2131</v>
      </c>
      <c r="BT84" s="14" t="s">
        <v>2048</v>
      </c>
      <c r="BU84" s="14" t="s">
        <v>2048</v>
      </c>
      <c r="BV84" s="14" t="s">
        <v>2048</v>
      </c>
      <c r="BW84" s="14" t="s">
        <v>2048</v>
      </c>
      <c r="BX84" s="14" t="s">
        <v>2048</v>
      </c>
      <c r="BY84" s="14" t="s">
        <v>2048</v>
      </c>
      <c r="BZ84" s="14" t="s">
        <v>2048</v>
      </c>
      <c r="CA84" s="14" t="s">
        <v>2048</v>
      </c>
      <c r="CB84" s="14" t="s">
        <v>2048</v>
      </c>
      <c r="CC84" s="14" t="s">
        <v>2048</v>
      </c>
      <c r="CD84" s="14" t="s">
        <v>2048</v>
      </c>
      <c r="CE84" s="14" t="s">
        <v>2048</v>
      </c>
      <c r="CF84" s="14" t="s">
        <v>2048</v>
      </c>
      <c r="CG84" s="14" t="s">
        <v>2068</v>
      </c>
      <c r="CH84" s="14" t="s">
        <v>2069</v>
      </c>
      <c r="CI84" s="14" t="s">
        <v>2048</v>
      </c>
      <c r="CJ84" s="17"/>
      <c r="CK84" s="17">
        <v>45638</v>
      </c>
      <c r="CL84" s="17">
        <v>45638</v>
      </c>
      <c r="CM84" s="17">
        <v>2958465</v>
      </c>
      <c r="CN84" s="17"/>
      <c r="CO84" s="19">
        <v>0</v>
      </c>
      <c r="CP84" s="19">
        <v>0</v>
      </c>
      <c r="CQ84" s="19">
        <v>0</v>
      </c>
      <c r="CR84" s="19">
        <v>0</v>
      </c>
      <c r="CS84" s="19">
        <v>0</v>
      </c>
      <c r="CT84" s="19">
        <v>0</v>
      </c>
      <c r="CU84" s="19">
        <v>0</v>
      </c>
      <c r="CV84" s="17"/>
      <c r="CW84" s="19">
        <v>0</v>
      </c>
      <c r="CX84" s="17"/>
      <c r="CY84" s="17"/>
      <c r="CZ84" s="19">
        <v>0</v>
      </c>
      <c r="DA84" s="17"/>
      <c r="DB84" s="17"/>
      <c r="DC84" s="19">
        <v>100</v>
      </c>
      <c r="DD84" s="17"/>
      <c r="DE84" s="17">
        <v>2958465</v>
      </c>
      <c r="DF84" s="17"/>
      <c r="DG84" s="17"/>
      <c r="DH84" s="19">
        <v>0</v>
      </c>
      <c r="DI84" s="19">
        <v>0</v>
      </c>
    </row>
    <row r="85" spans="1:113" x14ac:dyDescent="0.2">
      <c r="A85" s="14" t="s">
        <v>2315</v>
      </c>
      <c r="B85" s="16" t="s">
        <v>759</v>
      </c>
      <c r="C85" s="14" t="s">
        <v>158</v>
      </c>
      <c r="D85" s="14" t="s">
        <v>159</v>
      </c>
      <c r="E85" s="14" t="s">
        <v>158</v>
      </c>
      <c r="F85" s="14" t="s">
        <v>2044</v>
      </c>
      <c r="G85" s="14" t="s">
        <v>2045</v>
      </c>
      <c r="H85" s="14" t="s">
        <v>336</v>
      </c>
      <c r="I85" s="14" t="s">
        <v>337</v>
      </c>
      <c r="J85" s="16">
        <f>COUNTIF($I$3:I85, I85)</f>
        <v>7</v>
      </c>
      <c r="K85" s="14" t="s">
        <v>2048</v>
      </c>
      <c r="L85" s="14" t="s">
        <v>2048</v>
      </c>
      <c r="M85" s="14" t="s">
        <v>2048</v>
      </c>
      <c r="N85" s="14" t="s">
        <v>2048</v>
      </c>
      <c r="O85" s="14" t="s">
        <v>2665</v>
      </c>
      <c r="P85" s="14" t="s">
        <v>761</v>
      </c>
      <c r="Q85" s="14" t="s">
        <v>72</v>
      </c>
      <c r="R85" s="14" t="s">
        <v>2048</v>
      </c>
      <c r="S85" s="14" t="s">
        <v>2048</v>
      </c>
      <c r="T85" s="14" t="s">
        <v>2048</v>
      </c>
      <c r="U85" s="14" t="s">
        <v>2048</v>
      </c>
      <c r="V85" s="14" t="s">
        <v>2050</v>
      </c>
      <c r="W85" s="14" t="s">
        <v>2048</v>
      </c>
      <c r="X85" s="14" t="s">
        <v>2048</v>
      </c>
      <c r="Y85" s="14" t="s">
        <v>2048</v>
      </c>
      <c r="Z85" s="14" t="s">
        <v>2048</v>
      </c>
      <c r="AA85" s="14" t="s">
        <v>2048</v>
      </c>
      <c r="AB85" s="14" t="s">
        <v>85</v>
      </c>
      <c r="AC85" s="14" t="s">
        <v>86</v>
      </c>
      <c r="AD85" s="14" t="s">
        <v>2132</v>
      </c>
      <c r="AE85" s="14" t="s">
        <v>2133</v>
      </c>
      <c r="AF85" s="14" t="s">
        <v>2055</v>
      </c>
      <c r="AG85" s="14" t="s">
        <v>2055</v>
      </c>
      <c r="AH85" s="14" t="s">
        <v>2055</v>
      </c>
      <c r="AI85" s="14" t="s">
        <v>2057</v>
      </c>
      <c r="AJ85" s="14" t="s">
        <v>87</v>
      </c>
      <c r="AK85" s="14" t="s">
        <v>2048</v>
      </c>
      <c r="AL85" s="14" t="s">
        <v>2048</v>
      </c>
      <c r="AM85" s="14" t="s">
        <v>2048</v>
      </c>
      <c r="AN85" s="14" t="s">
        <v>2666</v>
      </c>
      <c r="AO85" s="17" t="s">
        <v>89</v>
      </c>
      <c r="AP85" s="14" t="s">
        <v>2135</v>
      </c>
      <c r="AQ85" s="14" t="s">
        <v>1432</v>
      </c>
      <c r="AR85" s="14" t="s">
        <v>2667</v>
      </c>
      <c r="AS85" s="14" t="s">
        <v>2668</v>
      </c>
      <c r="AT85" s="14" t="s">
        <v>72</v>
      </c>
      <c r="AU85" s="14" t="s">
        <v>2669</v>
      </c>
      <c r="AV85" s="14" t="s">
        <v>2670</v>
      </c>
      <c r="AW85" s="14" t="s">
        <v>2048</v>
      </c>
      <c r="AX85" s="14" t="s">
        <v>2048</v>
      </c>
      <c r="AY85" s="14" t="s">
        <v>336</v>
      </c>
      <c r="AZ85" s="14" t="s">
        <v>760</v>
      </c>
      <c r="BA85" s="14" t="s">
        <v>2671</v>
      </c>
      <c r="BB85" s="14" t="s">
        <v>2048</v>
      </c>
      <c r="BC85" s="14" t="s">
        <v>2048</v>
      </c>
      <c r="BD85" s="14" t="s">
        <v>2080</v>
      </c>
      <c r="BE85" s="14" t="s">
        <v>2081</v>
      </c>
      <c r="BF85" s="14" t="s">
        <v>2672</v>
      </c>
      <c r="BG85" s="14" t="s">
        <v>2673</v>
      </c>
      <c r="BH85" s="14" t="s">
        <v>2674</v>
      </c>
      <c r="BI85" s="14" t="s">
        <v>2085</v>
      </c>
      <c r="BJ85" s="14" t="s">
        <v>2048</v>
      </c>
      <c r="BK85" s="14" t="s">
        <v>2048</v>
      </c>
      <c r="BL85" s="14" t="s">
        <v>2064</v>
      </c>
      <c r="BM85" s="14" t="s">
        <v>72</v>
      </c>
      <c r="BN85" s="14" t="s">
        <v>72</v>
      </c>
      <c r="BO85" s="14" t="s">
        <v>2675</v>
      </c>
      <c r="BP85" s="14" t="s">
        <v>2048</v>
      </c>
      <c r="BQ85" s="14" t="s">
        <v>2048</v>
      </c>
      <c r="BR85" s="14" t="s">
        <v>2418</v>
      </c>
      <c r="BS85" s="14" t="s">
        <v>2089</v>
      </c>
      <c r="BT85" s="14" t="s">
        <v>2048</v>
      </c>
      <c r="BU85" s="14" t="s">
        <v>2048</v>
      </c>
      <c r="BV85" s="14" t="s">
        <v>2048</v>
      </c>
      <c r="BW85" s="14" t="s">
        <v>2048</v>
      </c>
      <c r="BX85" s="14" t="s">
        <v>72</v>
      </c>
      <c r="BY85" s="14" t="s">
        <v>2048</v>
      </c>
      <c r="BZ85" s="14" t="s">
        <v>2048</v>
      </c>
      <c r="CA85" s="14" t="s">
        <v>2048</v>
      </c>
      <c r="CB85" s="14" t="s">
        <v>2048</v>
      </c>
      <c r="CC85" s="14" t="s">
        <v>2048</v>
      </c>
      <c r="CD85" s="14" t="s">
        <v>2048</v>
      </c>
      <c r="CE85" s="14" t="s">
        <v>2048</v>
      </c>
      <c r="CF85" s="14" t="s">
        <v>2048</v>
      </c>
      <c r="CG85" s="14" t="s">
        <v>2057</v>
      </c>
      <c r="CH85" s="14" t="s">
        <v>2090</v>
      </c>
      <c r="CI85" s="14" t="s">
        <v>2048</v>
      </c>
      <c r="CJ85" s="17"/>
      <c r="CK85" s="17">
        <v>45649</v>
      </c>
      <c r="CL85" s="17">
        <v>45649</v>
      </c>
      <c r="CM85" s="17">
        <v>2958465</v>
      </c>
      <c r="CN85" s="17"/>
      <c r="CO85" s="19">
        <v>0</v>
      </c>
      <c r="CP85" s="19">
        <v>0</v>
      </c>
      <c r="CQ85" s="19">
        <v>0</v>
      </c>
      <c r="CR85" s="19">
        <v>0</v>
      </c>
      <c r="CS85" s="19">
        <v>0</v>
      </c>
      <c r="CT85" s="19">
        <v>0</v>
      </c>
      <c r="CU85" s="19">
        <v>0</v>
      </c>
      <c r="CV85" s="17"/>
      <c r="CW85" s="19">
        <v>0</v>
      </c>
      <c r="CX85" s="17"/>
      <c r="CY85" s="17"/>
      <c r="CZ85" s="19">
        <v>0</v>
      </c>
      <c r="DA85" s="17"/>
      <c r="DB85" s="17"/>
      <c r="DC85" s="19">
        <v>100</v>
      </c>
      <c r="DD85" s="17"/>
      <c r="DE85" s="17">
        <v>2958465</v>
      </c>
      <c r="DF85" s="17"/>
      <c r="DG85" s="17"/>
      <c r="DH85" s="19">
        <v>0</v>
      </c>
      <c r="DI85" s="19">
        <v>0</v>
      </c>
    </row>
    <row r="86" spans="1:113" x14ac:dyDescent="0.2">
      <c r="A86" s="14" t="s">
        <v>2315</v>
      </c>
      <c r="B86" s="16" t="s">
        <v>277</v>
      </c>
      <c r="C86" s="14" t="s">
        <v>158</v>
      </c>
      <c r="D86" s="14" t="s">
        <v>159</v>
      </c>
      <c r="E86" s="14" t="s">
        <v>158</v>
      </c>
      <c r="F86" s="14" t="s">
        <v>2044</v>
      </c>
      <c r="G86" s="14" t="s">
        <v>2045</v>
      </c>
      <c r="H86" s="14" t="s">
        <v>204</v>
      </c>
      <c r="I86" s="14" t="s">
        <v>205</v>
      </c>
      <c r="J86" s="16">
        <f>COUNTIF($I$3:I86, I86)</f>
        <v>16</v>
      </c>
      <c r="K86" s="14" t="s">
        <v>2048</v>
      </c>
      <c r="L86" s="14" t="s">
        <v>2048</v>
      </c>
      <c r="M86" s="14" t="s">
        <v>2048</v>
      </c>
      <c r="N86" s="14" t="s">
        <v>2048</v>
      </c>
      <c r="O86" s="14" t="s">
        <v>2676</v>
      </c>
      <c r="P86" s="14" t="s">
        <v>279</v>
      </c>
      <c r="Q86" s="14" t="s">
        <v>2048</v>
      </c>
      <c r="R86" s="14" t="s">
        <v>2048</v>
      </c>
      <c r="S86" s="14" t="s">
        <v>2048</v>
      </c>
      <c r="T86" s="14" t="s">
        <v>2048</v>
      </c>
      <c r="U86" s="14" t="s">
        <v>2048</v>
      </c>
      <c r="V86" s="14" t="s">
        <v>2050</v>
      </c>
      <c r="W86" s="14" t="s">
        <v>2048</v>
      </c>
      <c r="X86" s="14" t="s">
        <v>2048</v>
      </c>
      <c r="Y86" s="14" t="s">
        <v>2048</v>
      </c>
      <c r="Z86" s="14" t="s">
        <v>2048</v>
      </c>
      <c r="AA86" s="14" t="s">
        <v>2048</v>
      </c>
      <c r="AB86" s="14" t="s">
        <v>140</v>
      </c>
      <c r="AC86" s="14" t="s">
        <v>151</v>
      </c>
      <c r="AD86" s="14" t="s">
        <v>77</v>
      </c>
      <c r="AE86" s="14" t="s">
        <v>2054</v>
      </c>
      <c r="AF86" s="14" t="s">
        <v>2055</v>
      </c>
      <c r="AG86" s="14" t="s">
        <v>2055</v>
      </c>
      <c r="AH86" s="14" t="s">
        <v>2055</v>
      </c>
      <c r="AI86" s="14" t="s">
        <v>2057</v>
      </c>
      <c r="AJ86" s="14" t="s">
        <v>87</v>
      </c>
      <c r="AK86" s="14" t="s">
        <v>2048</v>
      </c>
      <c r="AL86" s="14" t="s">
        <v>2048</v>
      </c>
      <c r="AM86" s="14" t="s">
        <v>2048</v>
      </c>
      <c r="AN86" s="14" t="s">
        <v>2318</v>
      </c>
      <c r="AO86" s="17" t="s">
        <v>89</v>
      </c>
      <c r="AP86" s="14" t="s">
        <v>2135</v>
      </c>
      <c r="AQ86" s="14" t="s">
        <v>2059</v>
      </c>
      <c r="AR86" s="14" t="s">
        <v>2677</v>
      </c>
      <c r="AS86" s="14" t="s">
        <v>2678</v>
      </c>
      <c r="AT86" s="14" t="s">
        <v>72</v>
      </c>
      <c r="AU86" s="14" t="s">
        <v>2679</v>
      </c>
      <c r="AV86" s="14" t="s">
        <v>2680</v>
      </c>
      <c r="AW86" s="14" t="s">
        <v>2048</v>
      </c>
      <c r="AX86" s="14" t="s">
        <v>2048</v>
      </c>
      <c r="AY86" s="14" t="s">
        <v>204</v>
      </c>
      <c r="AZ86" s="14" t="s">
        <v>278</v>
      </c>
      <c r="BA86" s="14" t="s">
        <v>2681</v>
      </c>
      <c r="BB86" s="14" t="s">
        <v>2048</v>
      </c>
      <c r="BC86" s="14" t="s">
        <v>2048</v>
      </c>
      <c r="BD86" s="14" t="s">
        <v>2682</v>
      </c>
      <c r="BE86" s="14" t="s">
        <v>2683</v>
      </c>
      <c r="BF86" s="14" t="s">
        <v>2682</v>
      </c>
      <c r="BG86" s="14" t="s">
        <v>2683</v>
      </c>
      <c r="BH86" s="14" t="s">
        <v>2684</v>
      </c>
      <c r="BI86" s="14" t="s">
        <v>2287</v>
      </c>
      <c r="BJ86" s="14" t="s">
        <v>2048</v>
      </c>
      <c r="BK86" s="14" t="s">
        <v>2048</v>
      </c>
      <c r="BL86" s="14" t="s">
        <v>2064</v>
      </c>
      <c r="BM86" s="14" t="s">
        <v>72</v>
      </c>
      <c r="BN86" s="14" t="s">
        <v>72</v>
      </c>
      <c r="BO86" s="14" t="s">
        <v>2685</v>
      </c>
      <c r="BP86" s="14" t="s">
        <v>2329</v>
      </c>
      <c r="BQ86" s="14" t="s">
        <v>2330</v>
      </c>
      <c r="BR86" s="14" t="s">
        <v>2331</v>
      </c>
      <c r="BS86" s="14" t="s">
        <v>2131</v>
      </c>
      <c r="BT86" s="14" t="s">
        <v>2048</v>
      </c>
      <c r="BU86" s="14" t="s">
        <v>2048</v>
      </c>
      <c r="BV86" s="14" t="s">
        <v>2048</v>
      </c>
      <c r="BW86" s="14" t="s">
        <v>2048</v>
      </c>
      <c r="BX86" s="14" t="s">
        <v>72</v>
      </c>
      <c r="BY86" s="14" t="s">
        <v>2048</v>
      </c>
      <c r="BZ86" s="14" t="s">
        <v>2048</v>
      </c>
      <c r="CA86" s="14" t="s">
        <v>2048</v>
      </c>
      <c r="CB86" s="14" t="s">
        <v>2048</v>
      </c>
      <c r="CC86" s="14" t="s">
        <v>2048</v>
      </c>
      <c r="CD86" s="14" t="s">
        <v>2048</v>
      </c>
      <c r="CE86" s="14" t="s">
        <v>2048</v>
      </c>
      <c r="CF86" s="14" t="s">
        <v>2048</v>
      </c>
      <c r="CG86" s="14" t="s">
        <v>2068</v>
      </c>
      <c r="CH86" s="14" t="s">
        <v>2069</v>
      </c>
      <c r="CI86" s="14" t="s">
        <v>2048</v>
      </c>
      <c r="CJ86" s="17"/>
      <c r="CK86" s="17">
        <v>45638</v>
      </c>
      <c r="CL86" s="17">
        <v>45638</v>
      </c>
      <c r="CM86" s="17">
        <v>2958465</v>
      </c>
      <c r="CN86" s="17"/>
      <c r="CO86" s="19">
        <v>0</v>
      </c>
      <c r="CP86" s="19">
        <v>0</v>
      </c>
      <c r="CQ86" s="19">
        <v>0</v>
      </c>
      <c r="CR86" s="19">
        <v>0</v>
      </c>
      <c r="CS86" s="19">
        <v>0</v>
      </c>
      <c r="CT86" s="19">
        <v>0</v>
      </c>
      <c r="CU86" s="19">
        <v>0</v>
      </c>
      <c r="CV86" s="17"/>
      <c r="CW86" s="19">
        <v>0</v>
      </c>
      <c r="CX86" s="17"/>
      <c r="CY86" s="17"/>
      <c r="CZ86" s="19">
        <v>0</v>
      </c>
      <c r="DA86" s="17"/>
      <c r="DB86" s="17"/>
      <c r="DC86" s="19">
        <v>100</v>
      </c>
      <c r="DD86" s="17"/>
      <c r="DE86" s="17">
        <v>2958465</v>
      </c>
      <c r="DF86" s="17"/>
      <c r="DG86" s="17"/>
      <c r="DH86" s="19">
        <v>0</v>
      </c>
      <c r="DI86" s="19">
        <v>0</v>
      </c>
    </row>
    <row r="87" spans="1:113" x14ac:dyDescent="0.2">
      <c r="A87" s="14" t="s">
        <v>2315</v>
      </c>
      <c r="B87" s="16" t="s">
        <v>288</v>
      </c>
      <c r="C87" s="14" t="s">
        <v>158</v>
      </c>
      <c r="D87" s="14" t="s">
        <v>159</v>
      </c>
      <c r="E87" s="14" t="s">
        <v>158</v>
      </c>
      <c r="F87" s="14" t="s">
        <v>2044</v>
      </c>
      <c r="G87" s="14" t="s">
        <v>2045</v>
      </c>
      <c r="H87" s="14" t="s">
        <v>204</v>
      </c>
      <c r="I87" s="14" t="s">
        <v>205</v>
      </c>
      <c r="J87" s="16">
        <f>COUNTIF($I$3:I87, I87)</f>
        <v>17</v>
      </c>
      <c r="K87" s="14" t="s">
        <v>2048</v>
      </c>
      <c r="L87" s="14" t="s">
        <v>2048</v>
      </c>
      <c r="M87" s="14" t="s">
        <v>2048</v>
      </c>
      <c r="N87" s="14" t="s">
        <v>2048</v>
      </c>
      <c r="O87" s="14" t="s">
        <v>2686</v>
      </c>
      <c r="P87" s="14" t="s">
        <v>290</v>
      </c>
      <c r="Q87" s="14" t="s">
        <v>2048</v>
      </c>
      <c r="R87" s="14" t="s">
        <v>2048</v>
      </c>
      <c r="S87" s="14" t="s">
        <v>2048</v>
      </c>
      <c r="T87" s="14" t="s">
        <v>2048</v>
      </c>
      <c r="U87" s="14" t="s">
        <v>2048</v>
      </c>
      <c r="V87" s="14" t="s">
        <v>2050</v>
      </c>
      <c r="W87" s="14" t="s">
        <v>2048</v>
      </c>
      <c r="X87" s="14" t="s">
        <v>2048</v>
      </c>
      <c r="Y87" s="14" t="s">
        <v>2048</v>
      </c>
      <c r="Z87" s="14" t="s">
        <v>2048</v>
      </c>
      <c r="AA87" s="14" t="s">
        <v>2048</v>
      </c>
      <c r="AB87" s="14" t="s">
        <v>140</v>
      </c>
      <c r="AC87" s="14" t="s">
        <v>151</v>
      </c>
      <c r="AD87" s="14" t="s">
        <v>77</v>
      </c>
      <c r="AE87" s="14" t="s">
        <v>2054</v>
      </c>
      <c r="AF87" s="14" t="s">
        <v>2055</v>
      </c>
      <c r="AG87" s="14" t="s">
        <v>2055</v>
      </c>
      <c r="AH87" s="14" t="s">
        <v>2055</v>
      </c>
      <c r="AI87" s="14" t="s">
        <v>2057</v>
      </c>
      <c r="AJ87" s="14" t="s">
        <v>87</v>
      </c>
      <c r="AK87" s="14" t="s">
        <v>2048</v>
      </c>
      <c r="AL87" s="14" t="s">
        <v>2048</v>
      </c>
      <c r="AM87" s="14" t="s">
        <v>2048</v>
      </c>
      <c r="AN87" s="14" t="s">
        <v>2318</v>
      </c>
      <c r="AO87" s="17" t="s">
        <v>89</v>
      </c>
      <c r="AP87" s="14" t="s">
        <v>2135</v>
      </c>
      <c r="AQ87" s="14" t="s">
        <v>2059</v>
      </c>
      <c r="AR87" s="14" t="s">
        <v>2321</v>
      </c>
      <c r="AS87" s="14" t="s">
        <v>2322</v>
      </c>
      <c r="AT87" s="14" t="s">
        <v>72</v>
      </c>
      <c r="AU87" s="14" t="s">
        <v>2350</v>
      </c>
      <c r="AV87" s="14" t="s">
        <v>2351</v>
      </c>
      <c r="AW87" s="14" t="s">
        <v>2048</v>
      </c>
      <c r="AX87" s="14" t="s">
        <v>2048</v>
      </c>
      <c r="AY87" s="14" t="s">
        <v>204</v>
      </c>
      <c r="AZ87" s="14" t="s">
        <v>289</v>
      </c>
      <c r="BA87" s="14" t="s">
        <v>2687</v>
      </c>
      <c r="BB87" s="14" t="s">
        <v>2048</v>
      </c>
      <c r="BC87" s="14" t="s">
        <v>2048</v>
      </c>
      <c r="BD87" s="14" t="s">
        <v>2325</v>
      </c>
      <c r="BE87" s="14" t="s">
        <v>2326</v>
      </c>
      <c r="BF87" s="14" t="s">
        <v>2325</v>
      </c>
      <c r="BG87" s="14" t="s">
        <v>2326</v>
      </c>
      <c r="BH87" s="14" t="s">
        <v>2688</v>
      </c>
      <c r="BI87" s="14" t="s">
        <v>2287</v>
      </c>
      <c r="BJ87" s="14" t="s">
        <v>2048</v>
      </c>
      <c r="BK87" s="14" t="s">
        <v>2048</v>
      </c>
      <c r="BL87" s="14" t="s">
        <v>2064</v>
      </c>
      <c r="BM87" s="14" t="s">
        <v>72</v>
      </c>
      <c r="BN87" s="14" t="s">
        <v>72</v>
      </c>
      <c r="BO87" s="14" t="s">
        <v>2689</v>
      </c>
      <c r="BP87" s="14" t="s">
        <v>2329</v>
      </c>
      <c r="BQ87" s="14" t="s">
        <v>2330</v>
      </c>
      <c r="BR87" s="14" t="s">
        <v>2331</v>
      </c>
      <c r="BS87" s="14" t="s">
        <v>2131</v>
      </c>
      <c r="BT87" s="14" t="s">
        <v>2048</v>
      </c>
      <c r="BU87" s="14" t="s">
        <v>2048</v>
      </c>
      <c r="BV87" s="14" t="s">
        <v>2048</v>
      </c>
      <c r="BW87" s="14" t="s">
        <v>2048</v>
      </c>
      <c r="BX87" s="14" t="s">
        <v>72</v>
      </c>
      <c r="BY87" s="14" t="s">
        <v>2048</v>
      </c>
      <c r="BZ87" s="14" t="s">
        <v>2048</v>
      </c>
      <c r="CA87" s="14" t="s">
        <v>2048</v>
      </c>
      <c r="CB87" s="14" t="s">
        <v>2048</v>
      </c>
      <c r="CC87" s="14" t="s">
        <v>2048</v>
      </c>
      <c r="CD87" s="14" t="s">
        <v>2048</v>
      </c>
      <c r="CE87" s="14" t="s">
        <v>2048</v>
      </c>
      <c r="CF87" s="14" t="s">
        <v>2048</v>
      </c>
      <c r="CG87" s="14" t="s">
        <v>2068</v>
      </c>
      <c r="CH87" s="14" t="s">
        <v>2069</v>
      </c>
      <c r="CI87" s="14" t="s">
        <v>2048</v>
      </c>
      <c r="CJ87" s="17"/>
      <c r="CK87" s="17">
        <v>45638</v>
      </c>
      <c r="CL87" s="17">
        <v>45638</v>
      </c>
      <c r="CM87" s="17">
        <v>2958465</v>
      </c>
      <c r="CN87" s="17"/>
      <c r="CO87" s="19">
        <v>0</v>
      </c>
      <c r="CP87" s="19">
        <v>0</v>
      </c>
      <c r="CQ87" s="19">
        <v>0</v>
      </c>
      <c r="CR87" s="19">
        <v>0</v>
      </c>
      <c r="CS87" s="19">
        <v>0</v>
      </c>
      <c r="CT87" s="19">
        <v>0</v>
      </c>
      <c r="CU87" s="19">
        <v>0</v>
      </c>
      <c r="CV87" s="17"/>
      <c r="CW87" s="19">
        <v>0</v>
      </c>
      <c r="CX87" s="17"/>
      <c r="CY87" s="17"/>
      <c r="CZ87" s="19">
        <v>0</v>
      </c>
      <c r="DA87" s="17"/>
      <c r="DB87" s="17"/>
      <c r="DC87" s="19">
        <v>100</v>
      </c>
      <c r="DD87" s="17"/>
      <c r="DE87" s="17">
        <v>2958465</v>
      </c>
      <c r="DF87" s="17"/>
      <c r="DG87" s="17"/>
      <c r="DH87" s="19">
        <v>0</v>
      </c>
      <c r="DI87" s="19">
        <v>0</v>
      </c>
    </row>
    <row r="88" spans="1:113" x14ac:dyDescent="0.2">
      <c r="A88" s="14" t="s">
        <v>2315</v>
      </c>
      <c r="B88" s="16" t="s">
        <v>231</v>
      </c>
      <c r="C88" s="14" t="s">
        <v>158</v>
      </c>
      <c r="D88" s="14" t="s">
        <v>159</v>
      </c>
      <c r="E88" s="14" t="s">
        <v>158</v>
      </c>
      <c r="F88" s="14" t="s">
        <v>2044</v>
      </c>
      <c r="G88" s="14" t="s">
        <v>2045</v>
      </c>
      <c r="H88" s="14" t="s">
        <v>204</v>
      </c>
      <c r="I88" s="14" t="s">
        <v>205</v>
      </c>
      <c r="J88" s="16">
        <f>COUNTIF($I$3:I88, I88)</f>
        <v>18</v>
      </c>
      <c r="K88" s="14" t="s">
        <v>2048</v>
      </c>
      <c r="L88" s="14" t="s">
        <v>2048</v>
      </c>
      <c r="M88" s="14" t="s">
        <v>2048</v>
      </c>
      <c r="N88" s="14" t="s">
        <v>2048</v>
      </c>
      <c r="O88" s="14" t="s">
        <v>2690</v>
      </c>
      <c r="P88" s="14" t="s">
        <v>233</v>
      </c>
      <c r="Q88" s="14" t="s">
        <v>2048</v>
      </c>
      <c r="R88" s="14" t="s">
        <v>2048</v>
      </c>
      <c r="S88" s="14" t="s">
        <v>2048</v>
      </c>
      <c r="T88" s="14" t="s">
        <v>2048</v>
      </c>
      <c r="U88" s="14" t="s">
        <v>2048</v>
      </c>
      <c r="V88" s="14" t="s">
        <v>2050</v>
      </c>
      <c r="W88" s="14" t="s">
        <v>2048</v>
      </c>
      <c r="X88" s="14" t="s">
        <v>2048</v>
      </c>
      <c r="Y88" s="14" t="s">
        <v>2048</v>
      </c>
      <c r="Z88" s="14" t="s">
        <v>2048</v>
      </c>
      <c r="AA88" s="14" t="s">
        <v>2048</v>
      </c>
      <c r="AB88" s="14" t="s">
        <v>140</v>
      </c>
      <c r="AC88" s="14" t="s">
        <v>151</v>
      </c>
      <c r="AD88" s="14" t="s">
        <v>77</v>
      </c>
      <c r="AE88" s="14" t="s">
        <v>2054</v>
      </c>
      <c r="AF88" s="14" t="s">
        <v>2055</v>
      </c>
      <c r="AG88" s="14" t="s">
        <v>2055</v>
      </c>
      <c r="AH88" s="14" t="s">
        <v>2055</v>
      </c>
      <c r="AI88" s="14" t="s">
        <v>2057</v>
      </c>
      <c r="AJ88" s="14" t="s">
        <v>87</v>
      </c>
      <c r="AK88" s="14" t="s">
        <v>2048</v>
      </c>
      <c r="AL88" s="14" t="s">
        <v>2048</v>
      </c>
      <c r="AM88" s="14" t="s">
        <v>2048</v>
      </c>
      <c r="AN88" s="14" t="s">
        <v>2318</v>
      </c>
      <c r="AO88" s="17" t="s">
        <v>89</v>
      </c>
      <c r="AP88" s="14" t="s">
        <v>2135</v>
      </c>
      <c r="AQ88" s="14" t="s">
        <v>2059</v>
      </c>
      <c r="AR88" s="14" t="s">
        <v>2691</v>
      </c>
      <c r="AS88" s="14" t="s">
        <v>2692</v>
      </c>
      <c r="AT88" s="14" t="s">
        <v>72</v>
      </c>
      <c r="AU88" s="14" t="s">
        <v>2350</v>
      </c>
      <c r="AV88" s="14" t="s">
        <v>2351</v>
      </c>
      <c r="AW88" s="14" t="s">
        <v>2048</v>
      </c>
      <c r="AX88" s="14" t="s">
        <v>2048</v>
      </c>
      <c r="AY88" s="14" t="s">
        <v>204</v>
      </c>
      <c r="AZ88" s="14" t="s">
        <v>232</v>
      </c>
      <c r="BA88" s="14" t="s">
        <v>2324</v>
      </c>
      <c r="BB88" s="14" t="s">
        <v>2048</v>
      </c>
      <c r="BC88" s="14" t="s">
        <v>2048</v>
      </c>
      <c r="BD88" s="14" t="s">
        <v>2325</v>
      </c>
      <c r="BE88" s="14" t="s">
        <v>2326</v>
      </c>
      <c r="BF88" s="14" t="s">
        <v>2325</v>
      </c>
      <c r="BG88" s="14" t="s">
        <v>2326</v>
      </c>
      <c r="BH88" s="14" t="s">
        <v>2327</v>
      </c>
      <c r="BI88" s="14" t="s">
        <v>2287</v>
      </c>
      <c r="BJ88" s="14" t="s">
        <v>2048</v>
      </c>
      <c r="BK88" s="14" t="s">
        <v>2048</v>
      </c>
      <c r="BL88" s="14" t="s">
        <v>2064</v>
      </c>
      <c r="BM88" s="14" t="s">
        <v>72</v>
      </c>
      <c r="BN88" s="14" t="s">
        <v>72</v>
      </c>
      <c r="BO88" s="14" t="s">
        <v>2693</v>
      </c>
      <c r="BP88" s="14" t="s">
        <v>2329</v>
      </c>
      <c r="BQ88" s="14" t="s">
        <v>2330</v>
      </c>
      <c r="BR88" s="14" t="s">
        <v>2331</v>
      </c>
      <c r="BS88" s="14" t="s">
        <v>2131</v>
      </c>
      <c r="BT88" s="14" t="s">
        <v>2048</v>
      </c>
      <c r="BU88" s="14" t="s">
        <v>2048</v>
      </c>
      <c r="BV88" s="14" t="s">
        <v>2048</v>
      </c>
      <c r="BW88" s="14" t="s">
        <v>2048</v>
      </c>
      <c r="BX88" s="14" t="s">
        <v>72</v>
      </c>
      <c r="BY88" s="14" t="s">
        <v>2048</v>
      </c>
      <c r="BZ88" s="14" t="s">
        <v>2048</v>
      </c>
      <c r="CA88" s="14" t="s">
        <v>2048</v>
      </c>
      <c r="CB88" s="14" t="s">
        <v>2048</v>
      </c>
      <c r="CC88" s="14" t="s">
        <v>2048</v>
      </c>
      <c r="CD88" s="14" t="s">
        <v>2048</v>
      </c>
      <c r="CE88" s="14" t="s">
        <v>2048</v>
      </c>
      <c r="CF88" s="14" t="s">
        <v>2048</v>
      </c>
      <c r="CG88" s="14" t="s">
        <v>2068</v>
      </c>
      <c r="CH88" s="14" t="s">
        <v>2069</v>
      </c>
      <c r="CI88" s="14" t="s">
        <v>2048</v>
      </c>
      <c r="CJ88" s="17"/>
      <c r="CK88" s="17">
        <v>45638</v>
      </c>
      <c r="CL88" s="17">
        <v>45638</v>
      </c>
      <c r="CM88" s="17">
        <v>2958465</v>
      </c>
      <c r="CN88" s="17"/>
      <c r="CO88" s="19">
        <v>0</v>
      </c>
      <c r="CP88" s="19">
        <v>0</v>
      </c>
      <c r="CQ88" s="19">
        <v>0</v>
      </c>
      <c r="CR88" s="19">
        <v>0</v>
      </c>
      <c r="CS88" s="19">
        <v>0</v>
      </c>
      <c r="CT88" s="19">
        <v>0</v>
      </c>
      <c r="CU88" s="19">
        <v>0</v>
      </c>
      <c r="CV88" s="17"/>
      <c r="CW88" s="19">
        <v>0</v>
      </c>
      <c r="CX88" s="17"/>
      <c r="CY88" s="17"/>
      <c r="CZ88" s="19">
        <v>0</v>
      </c>
      <c r="DA88" s="17"/>
      <c r="DB88" s="17"/>
      <c r="DC88" s="19">
        <v>100</v>
      </c>
      <c r="DD88" s="17"/>
      <c r="DE88" s="17">
        <v>2958465</v>
      </c>
      <c r="DF88" s="17"/>
      <c r="DG88" s="17"/>
      <c r="DH88" s="19">
        <v>0</v>
      </c>
      <c r="DI88" s="19">
        <v>0</v>
      </c>
    </row>
    <row r="89" spans="1:113" x14ac:dyDescent="0.2">
      <c r="A89" s="14" t="s">
        <v>2315</v>
      </c>
      <c r="B89" s="16" t="s">
        <v>207</v>
      </c>
      <c r="C89" s="14" t="s">
        <v>158</v>
      </c>
      <c r="D89" s="14" t="s">
        <v>159</v>
      </c>
      <c r="E89" s="14" t="s">
        <v>158</v>
      </c>
      <c r="F89" s="14" t="s">
        <v>2044</v>
      </c>
      <c r="G89" s="14" t="s">
        <v>2045</v>
      </c>
      <c r="H89" s="14" t="s">
        <v>204</v>
      </c>
      <c r="I89" s="14" t="s">
        <v>205</v>
      </c>
      <c r="J89" s="16">
        <f>COUNTIF($I$3:I89, I89)</f>
        <v>19</v>
      </c>
      <c r="K89" s="14" t="s">
        <v>2048</v>
      </c>
      <c r="L89" s="14" t="s">
        <v>2048</v>
      </c>
      <c r="M89" s="14" t="s">
        <v>2048</v>
      </c>
      <c r="N89" s="14" t="s">
        <v>2048</v>
      </c>
      <c r="O89" s="14" t="s">
        <v>2694</v>
      </c>
      <c r="P89" s="14" t="s">
        <v>209</v>
      </c>
      <c r="Q89" s="14" t="s">
        <v>2048</v>
      </c>
      <c r="R89" s="14" t="s">
        <v>2048</v>
      </c>
      <c r="S89" s="14" t="s">
        <v>2048</v>
      </c>
      <c r="T89" s="14" t="s">
        <v>2048</v>
      </c>
      <c r="U89" s="14" t="s">
        <v>2048</v>
      </c>
      <c r="V89" s="14" t="s">
        <v>2050</v>
      </c>
      <c r="W89" s="14" t="s">
        <v>2048</v>
      </c>
      <c r="X89" s="14" t="s">
        <v>2048</v>
      </c>
      <c r="Y89" s="14" t="s">
        <v>2048</v>
      </c>
      <c r="Z89" s="14" t="s">
        <v>2048</v>
      </c>
      <c r="AA89" s="14" t="s">
        <v>2048</v>
      </c>
      <c r="AB89" s="14" t="s">
        <v>140</v>
      </c>
      <c r="AC89" s="14" t="s">
        <v>151</v>
      </c>
      <c r="AD89" s="14" t="s">
        <v>77</v>
      </c>
      <c r="AE89" s="14" t="s">
        <v>2054</v>
      </c>
      <c r="AF89" s="14" t="s">
        <v>2055</v>
      </c>
      <c r="AG89" s="14" t="s">
        <v>2055</v>
      </c>
      <c r="AH89" s="14" t="s">
        <v>2055</v>
      </c>
      <c r="AI89" s="14" t="s">
        <v>2057</v>
      </c>
      <c r="AJ89" s="14" t="s">
        <v>87</v>
      </c>
      <c r="AK89" s="14" t="s">
        <v>2048</v>
      </c>
      <c r="AL89" s="14" t="s">
        <v>2048</v>
      </c>
      <c r="AM89" s="14" t="s">
        <v>2048</v>
      </c>
      <c r="AN89" s="14" t="s">
        <v>2334</v>
      </c>
      <c r="AO89" s="17" t="s">
        <v>89</v>
      </c>
      <c r="AP89" s="14" t="s">
        <v>2135</v>
      </c>
      <c r="AQ89" s="14" t="s">
        <v>2059</v>
      </c>
      <c r="AR89" s="14" t="s">
        <v>2060</v>
      </c>
      <c r="AS89" s="14" t="s">
        <v>2048</v>
      </c>
      <c r="AT89" s="14" t="s">
        <v>72</v>
      </c>
      <c r="AU89" s="14" t="s">
        <v>2337</v>
      </c>
      <c r="AV89" s="14" t="s">
        <v>2338</v>
      </c>
      <c r="AW89" s="14" t="s">
        <v>2048</v>
      </c>
      <c r="AX89" s="14" t="s">
        <v>2048</v>
      </c>
      <c r="AY89" s="14" t="s">
        <v>204</v>
      </c>
      <c r="AZ89" s="14" t="s">
        <v>208</v>
      </c>
      <c r="BA89" s="14" t="s">
        <v>2339</v>
      </c>
      <c r="BB89" s="14" t="s">
        <v>2048</v>
      </c>
      <c r="BC89" s="14" t="s">
        <v>2048</v>
      </c>
      <c r="BD89" s="14" t="s">
        <v>2325</v>
      </c>
      <c r="BE89" s="14" t="s">
        <v>2326</v>
      </c>
      <c r="BF89" s="14" t="s">
        <v>2340</v>
      </c>
      <c r="BG89" s="14" t="s">
        <v>2341</v>
      </c>
      <c r="BH89" s="14" t="s">
        <v>2342</v>
      </c>
      <c r="BI89" s="14" t="s">
        <v>2287</v>
      </c>
      <c r="BJ89" s="14" t="s">
        <v>2048</v>
      </c>
      <c r="BK89" s="14" t="s">
        <v>2048</v>
      </c>
      <c r="BL89" s="14" t="s">
        <v>2064</v>
      </c>
      <c r="BM89" s="14" t="s">
        <v>72</v>
      </c>
      <c r="BN89" s="14" t="s">
        <v>72</v>
      </c>
      <c r="BO89" s="14" t="s">
        <v>2695</v>
      </c>
      <c r="BP89" s="14" t="s">
        <v>2048</v>
      </c>
      <c r="BQ89" s="14" t="s">
        <v>2048</v>
      </c>
      <c r="BR89" s="14" t="s">
        <v>2331</v>
      </c>
      <c r="BS89" s="14" t="s">
        <v>2131</v>
      </c>
      <c r="BT89" s="14" t="s">
        <v>2048</v>
      </c>
      <c r="BU89" s="14" t="s">
        <v>2048</v>
      </c>
      <c r="BV89" s="14" t="s">
        <v>2048</v>
      </c>
      <c r="BW89" s="14" t="s">
        <v>2048</v>
      </c>
      <c r="BX89" s="14" t="s">
        <v>72</v>
      </c>
      <c r="BY89" s="14" t="s">
        <v>2048</v>
      </c>
      <c r="BZ89" s="14" t="s">
        <v>2048</v>
      </c>
      <c r="CA89" s="14" t="s">
        <v>2048</v>
      </c>
      <c r="CB89" s="14" t="s">
        <v>2048</v>
      </c>
      <c r="CC89" s="14" t="s">
        <v>2048</v>
      </c>
      <c r="CD89" s="14" t="s">
        <v>2048</v>
      </c>
      <c r="CE89" s="14" t="s">
        <v>2048</v>
      </c>
      <c r="CF89" s="14" t="s">
        <v>2048</v>
      </c>
      <c r="CG89" s="14" t="s">
        <v>2068</v>
      </c>
      <c r="CH89" s="14" t="s">
        <v>2069</v>
      </c>
      <c r="CI89" s="14" t="s">
        <v>2048</v>
      </c>
      <c r="CJ89" s="17"/>
      <c r="CK89" s="17">
        <v>45638</v>
      </c>
      <c r="CL89" s="17">
        <v>45638</v>
      </c>
      <c r="CM89" s="17">
        <v>2958465</v>
      </c>
      <c r="CN89" s="17"/>
      <c r="CO89" s="19">
        <v>0</v>
      </c>
      <c r="CP89" s="19">
        <v>0</v>
      </c>
      <c r="CQ89" s="19">
        <v>0</v>
      </c>
      <c r="CR89" s="19">
        <v>0</v>
      </c>
      <c r="CS89" s="19">
        <v>0</v>
      </c>
      <c r="CT89" s="19">
        <v>0</v>
      </c>
      <c r="CU89" s="19">
        <v>0</v>
      </c>
      <c r="CV89" s="17"/>
      <c r="CW89" s="19">
        <v>0</v>
      </c>
      <c r="CX89" s="17"/>
      <c r="CY89" s="17"/>
      <c r="CZ89" s="19">
        <v>0</v>
      </c>
      <c r="DA89" s="17"/>
      <c r="DB89" s="17"/>
      <c r="DC89" s="19">
        <v>100</v>
      </c>
      <c r="DD89" s="17"/>
      <c r="DE89" s="17">
        <v>2958465</v>
      </c>
      <c r="DF89" s="17"/>
      <c r="DG89" s="17"/>
      <c r="DH89" s="19">
        <v>0</v>
      </c>
      <c r="DI89" s="19">
        <v>0</v>
      </c>
    </row>
    <row r="90" spans="1:113" x14ac:dyDescent="0.2">
      <c r="A90" s="14" t="s">
        <v>2315</v>
      </c>
      <c r="B90" s="16" t="s">
        <v>311</v>
      </c>
      <c r="C90" s="14" t="s">
        <v>158</v>
      </c>
      <c r="D90" s="14" t="s">
        <v>159</v>
      </c>
      <c r="E90" s="14" t="s">
        <v>158</v>
      </c>
      <c r="F90" s="14" t="s">
        <v>2044</v>
      </c>
      <c r="G90" s="14" t="s">
        <v>2045</v>
      </c>
      <c r="H90" s="14" t="s">
        <v>308</v>
      </c>
      <c r="I90" s="14" t="s">
        <v>309</v>
      </c>
      <c r="J90" s="16">
        <f>COUNTIF($I$3:I90, I90)</f>
        <v>2</v>
      </c>
      <c r="K90" s="14" t="s">
        <v>2048</v>
      </c>
      <c r="L90" s="14" t="s">
        <v>2048</v>
      </c>
      <c r="M90" s="14" t="s">
        <v>2048</v>
      </c>
      <c r="N90" s="14" t="s">
        <v>2048</v>
      </c>
      <c r="O90" s="14" t="s">
        <v>72</v>
      </c>
      <c r="P90" s="14" t="s">
        <v>72</v>
      </c>
      <c r="Q90" s="14" t="s">
        <v>72</v>
      </c>
      <c r="R90" s="14" t="s">
        <v>2048</v>
      </c>
      <c r="S90" s="14" t="s">
        <v>2048</v>
      </c>
      <c r="T90" s="14" t="s">
        <v>2048</v>
      </c>
      <c r="U90" s="14" t="s">
        <v>2048</v>
      </c>
      <c r="V90" s="14" t="s">
        <v>2050</v>
      </c>
      <c r="W90" s="14" t="s">
        <v>2048</v>
      </c>
      <c r="X90" s="14" t="s">
        <v>2048</v>
      </c>
      <c r="Y90" s="14" t="s">
        <v>2048</v>
      </c>
      <c r="Z90" s="14" t="s">
        <v>2048</v>
      </c>
      <c r="AA90" s="14" t="s">
        <v>2048</v>
      </c>
      <c r="AB90" s="14" t="s">
        <v>85</v>
      </c>
      <c r="AC90" s="14" t="s">
        <v>86</v>
      </c>
      <c r="AD90" s="14" t="s">
        <v>2132</v>
      </c>
      <c r="AE90" s="14" t="s">
        <v>2133</v>
      </c>
      <c r="AF90" s="14" t="s">
        <v>2055</v>
      </c>
      <c r="AG90" s="14" t="s">
        <v>2055</v>
      </c>
      <c r="AH90" s="14" t="s">
        <v>2055</v>
      </c>
      <c r="AI90" s="14" t="s">
        <v>2057</v>
      </c>
      <c r="AJ90" s="14" t="s">
        <v>87</v>
      </c>
      <c r="AK90" s="14" t="s">
        <v>2048</v>
      </c>
      <c r="AL90" s="14" t="s">
        <v>2048</v>
      </c>
      <c r="AM90" s="14" t="s">
        <v>2048</v>
      </c>
      <c r="AN90" s="14" t="s">
        <v>2696</v>
      </c>
      <c r="AO90" s="17" t="s">
        <v>89</v>
      </c>
      <c r="AP90" s="14" t="s">
        <v>2135</v>
      </c>
      <c r="AQ90" s="14" t="s">
        <v>979</v>
      </c>
      <c r="AR90" s="14" t="s">
        <v>2060</v>
      </c>
      <c r="AS90" s="14" t="s">
        <v>2048</v>
      </c>
      <c r="AT90" s="14" t="s">
        <v>72</v>
      </c>
      <c r="AU90" s="14" t="s">
        <v>2652</v>
      </c>
      <c r="AV90" s="14" t="s">
        <v>2653</v>
      </c>
      <c r="AW90" s="14" t="s">
        <v>2048</v>
      </c>
      <c r="AX90" s="14" t="s">
        <v>2048</v>
      </c>
      <c r="AY90" s="14" t="s">
        <v>2046</v>
      </c>
      <c r="AZ90" s="14" t="s">
        <v>312</v>
      </c>
      <c r="BA90" s="14" t="s">
        <v>2048</v>
      </c>
      <c r="BB90" s="14" t="s">
        <v>2048</v>
      </c>
      <c r="BC90" s="14" t="s">
        <v>2048</v>
      </c>
      <c r="BD90" s="14" t="s">
        <v>2048</v>
      </c>
      <c r="BE90" s="14" t="s">
        <v>2048</v>
      </c>
      <c r="BF90" s="14" t="s">
        <v>2048</v>
      </c>
      <c r="BG90" s="14" t="s">
        <v>2048</v>
      </c>
      <c r="BH90" s="14" t="s">
        <v>2048</v>
      </c>
      <c r="BI90" s="14" t="s">
        <v>2048</v>
      </c>
      <c r="BJ90" s="14" t="s">
        <v>2048</v>
      </c>
      <c r="BK90" s="14" t="s">
        <v>2048</v>
      </c>
      <c r="BL90" s="14" t="s">
        <v>2064</v>
      </c>
      <c r="BM90" s="14" t="s">
        <v>72</v>
      </c>
      <c r="BN90" s="14" t="s">
        <v>72</v>
      </c>
      <c r="BO90" s="14" t="s">
        <v>2048</v>
      </c>
      <c r="BP90" s="14" t="s">
        <v>2048</v>
      </c>
      <c r="BQ90" s="14" t="s">
        <v>2048</v>
      </c>
      <c r="BR90" s="14" t="s">
        <v>2418</v>
      </c>
      <c r="BS90" s="14" t="s">
        <v>2089</v>
      </c>
      <c r="BT90" s="14" t="s">
        <v>2048</v>
      </c>
      <c r="BU90" s="14" t="s">
        <v>2048</v>
      </c>
      <c r="BV90" s="14" t="s">
        <v>2048</v>
      </c>
      <c r="BW90" s="14" t="s">
        <v>2048</v>
      </c>
      <c r="BX90" s="14" t="s">
        <v>72</v>
      </c>
      <c r="BY90" s="14" t="s">
        <v>2048</v>
      </c>
      <c r="BZ90" s="14" t="s">
        <v>2048</v>
      </c>
      <c r="CA90" s="14" t="s">
        <v>2048</v>
      </c>
      <c r="CB90" s="14" t="s">
        <v>2048</v>
      </c>
      <c r="CC90" s="14" t="s">
        <v>2048</v>
      </c>
      <c r="CD90" s="14" t="s">
        <v>2048</v>
      </c>
      <c r="CE90" s="14" t="s">
        <v>2048</v>
      </c>
      <c r="CF90" s="14" t="s">
        <v>2048</v>
      </c>
      <c r="CG90" s="14" t="s">
        <v>2057</v>
      </c>
      <c r="CH90" s="14" t="s">
        <v>2090</v>
      </c>
      <c r="CI90" s="14" t="s">
        <v>2048</v>
      </c>
      <c r="CJ90" s="17"/>
      <c r="CK90" s="17">
        <v>45649</v>
      </c>
      <c r="CL90" s="17">
        <v>45649</v>
      </c>
      <c r="CM90" s="17">
        <v>2958465</v>
      </c>
      <c r="CN90" s="17"/>
      <c r="CO90" s="19">
        <v>0</v>
      </c>
      <c r="CP90" s="19">
        <v>0</v>
      </c>
      <c r="CQ90" s="19">
        <v>0</v>
      </c>
      <c r="CR90" s="19">
        <v>0</v>
      </c>
      <c r="CS90" s="19">
        <v>0</v>
      </c>
      <c r="CT90" s="19">
        <v>0</v>
      </c>
      <c r="CU90" s="19">
        <v>0</v>
      </c>
      <c r="CV90" s="17"/>
      <c r="CW90" s="19">
        <v>0</v>
      </c>
      <c r="CX90" s="17"/>
      <c r="CY90" s="17"/>
      <c r="CZ90" s="19">
        <v>0</v>
      </c>
      <c r="DA90" s="17"/>
      <c r="DB90" s="17"/>
      <c r="DC90" s="19">
        <v>100</v>
      </c>
      <c r="DD90" s="17"/>
      <c r="DE90" s="17">
        <v>2958465</v>
      </c>
      <c r="DF90" s="17"/>
      <c r="DG90" s="17"/>
      <c r="DH90" s="19">
        <v>0</v>
      </c>
      <c r="DI90" s="19">
        <v>0</v>
      </c>
    </row>
    <row r="91" spans="1:113" x14ac:dyDescent="0.2">
      <c r="A91" s="14" t="s">
        <v>2315</v>
      </c>
      <c r="B91" s="16" t="s">
        <v>1783</v>
      </c>
      <c r="C91" s="14" t="s">
        <v>158</v>
      </c>
      <c r="D91" s="14" t="s">
        <v>159</v>
      </c>
      <c r="E91" s="14" t="s">
        <v>158</v>
      </c>
      <c r="F91" s="14" t="s">
        <v>2044</v>
      </c>
      <c r="G91" s="14" t="s">
        <v>2045</v>
      </c>
      <c r="H91" s="14" t="s">
        <v>204</v>
      </c>
      <c r="I91" s="14" t="s">
        <v>205</v>
      </c>
      <c r="J91" s="16">
        <f>COUNTIF($I$3:I91, I91)</f>
        <v>20</v>
      </c>
      <c r="K91" s="14" t="s">
        <v>2048</v>
      </c>
      <c r="L91" s="14" t="s">
        <v>2048</v>
      </c>
      <c r="M91" s="14" t="s">
        <v>2048</v>
      </c>
      <c r="N91" s="14" t="s">
        <v>2048</v>
      </c>
      <c r="O91" s="14" t="s">
        <v>2697</v>
      </c>
      <c r="P91" s="14" t="s">
        <v>2698</v>
      </c>
      <c r="Q91" s="14" t="s">
        <v>2048</v>
      </c>
      <c r="R91" s="14" t="s">
        <v>2048</v>
      </c>
      <c r="S91" s="14" t="s">
        <v>2048</v>
      </c>
      <c r="T91" s="14" t="s">
        <v>2048</v>
      </c>
      <c r="U91" s="14" t="s">
        <v>2048</v>
      </c>
      <c r="V91" s="14" t="s">
        <v>2050</v>
      </c>
      <c r="W91" s="14" t="s">
        <v>2048</v>
      </c>
      <c r="X91" s="14" t="s">
        <v>2048</v>
      </c>
      <c r="Y91" s="14" t="s">
        <v>2048</v>
      </c>
      <c r="Z91" s="14" t="s">
        <v>2048</v>
      </c>
      <c r="AA91" s="14" t="s">
        <v>2048</v>
      </c>
      <c r="AB91" s="14" t="s">
        <v>140</v>
      </c>
      <c r="AC91" s="14" t="s">
        <v>151</v>
      </c>
      <c r="AD91" s="14" t="s">
        <v>77</v>
      </c>
      <c r="AE91" s="14" t="s">
        <v>2054</v>
      </c>
      <c r="AF91" s="14" t="s">
        <v>2055</v>
      </c>
      <c r="AG91" s="14" t="s">
        <v>2055</v>
      </c>
      <c r="AH91" s="14" t="s">
        <v>2055</v>
      </c>
      <c r="AI91" s="14" t="s">
        <v>2057</v>
      </c>
      <c r="AJ91" s="14" t="s">
        <v>87</v>
      </c>
      <c r="AK91" s="14" t="s">
        <v>2048</v>
      </c>
      <c r="AL91" s="14" t="s">
        <v>2048</v>
      </c>
      <c r="AM91" s="14" t="s">
        <v>2048</v>
      </c>
      <c r="AN91" s="14" t="s">
        <v>2318</v>
      </c>
      <c r="AO91" s="17" t="s">
        <v>89</v>
      </c>
      <c r="AP91" s="14" t="s">
        <v>2135</v>
      </c>
      <c r="AQ91" s="14" t="s">
        <v>2059</v>
      </c>
      <c r="AR91" s="14" t="s">
        <v>2699</v>
      </c>
      <c r="AS91" s="14" t="s">
        <v>2700</v>
      </c>
      <c r="AT91" s="14" t="s">
        <v>72</v>
      </c>
      <c r="AU91" s="14" t="s">
        <v>2321</v>
      </c>
      <c r="AV91" s="14" t="s">
        <v>2322</v>
      </c>
      <c r="AW91" s="14" t="s">
        <v>2048</v>
      </c>
      <c r="AX91" s="14" t="s">
        <v>2048</v>
      </c>
      <c r="AY91" s="14" t="s">
        <v>204</v>
      </c>
      <c r="AZ91" s="14" t="s">
        <v>289</v>
      </c>
      <c r="BA91" s="14" t="s">
        <v>2687</v>
      </c>
      <c r="BB91" s="14" t="s">
        <v>2048</v>
      </c>
      <c r="BC91" s="14" t="s">
        <v>2048</v>
      </c>
      <c r="BD91" s="14" t="s">
        <v>2325</v>
      </c>
      <c r="BE91" s="14" t="s">
        <v>2326</v>
      </c>
      <c r="BF91" s="14" t="s">
        <v>2325</v>
      </c>
      <c r="BG91" s="14" t="s">
        <v>2326</v>
      </c>
      <c r="BH91" s="14" t="s">
        <v>2688</v>
      </c>
      <c r="BI91" s="14" t="s">
        <v>2287</v>
      </c>
      <c r="BJ91" s="14" t="s">
        <v>2048</v>
      </c>
      <c r="BK91" s="14" t="s">
        <v>2048</v>
      </c>
      <c r="BL91" s="14" t="s">
        <v>2064</v>
      </c>
      <c r="BM91" s="14" t="s">
        <v>72</v>
      </c>
      <c r="BN91" s="14" t="s">
        <v>72</v>
      </c>
      <c r="BO91" s="14" t="s">
        <v>2701</v>
      </c>
      <c r="BP91" s="14" t="s">
        <v>2329</v>
      </c>
      <c r="BQ91" s="14" t="s">
        <v>2330</v>
      </c>
      <c r="BR91" s="14" t="s">
        <v>2331</v>
      </c>
      <c r="BS91" s="14" t="s">
        <v>2131</v>
      </c>
      <c r="BT91" s="14" t="s">
        <v>2048</v>
      </c>
      <c r="BU91" s="14" t="s">
        <v>2048</v>
      </c>
      <c r="BV91" s="14" t="s">
        <v>2048</v>
      </c>
      <c r="BW91" s="14" t="s">
        <v>2048</v>
      </c>
      <c r="BX91" s="14" t="s">
        <v>2048</v>
      </c>
      <c r="BY91" s="14" t="s">
        <v>2048</v>
      </c>
      <c r="BZ91" s="14" t="s">
        <v>2048</v>
      </c>
      <c r="CA91" s="14" t="s">
        <v>2048</v>
      </c>
      <c r="CB91" s="14" t="s">
        <v>2048</v>
      </c>
      <c r="CC91" s="14" t="s">
        <v>2048</v>
      </c>
      <c r="CD91" s="14" t="s">
        <v>2048</v>
      </c>
      <c r="CE91" s="14" t="s">
        <v>2048</v>
      </c>
      <c r="CF91" s="14" t="s">
        <v>2048</v>
      </c>
      <c r="CG91" s="14" t="s">
        <v>2068</v>
      </c>
      <c r="CH91" s="14" t="s">
        <v>2069</v>
      </c>
      <c r="CI91" s="14" t="s">
        <v>2048</v>
      </c>
      <c r="CJ91" s="17"/>
      <c r="CK91" s="17">
        <v>45638</v>
      </c>
      <c r="CL91" s="17">
        <v>45638</v>
      </c>
      <c r="CM91" s="17">
        <v>2958465</v>
      </c>
      <c r="CN91" s="17"/>
      <c r="CO91" s="19">
        <v>0</v>
      </c>
      <c r="CP91" s="19">
        <v>0</v>
      </c>
      <c r="CQ91" s="19">
        <v>0</v>
      </c>
      <c r="CR91" s="19">
        <v>0</v>
      </c>
      <c r="CS91" s="19">
        <v>0</v>
      </c>
      <c r="CT91" s="19">
        <v>0</v>
      </c>
      <c r="CU91" s="19">
        <v>0</v>
      </c>
      <c r="CV91" s="17"/>
      <c r="CW91" s="19">
        <v>0</v>
      </c>
      <c r="CX91" s="17"/>
      <c r="CY91" s="17"/>
      <c r="CZ91" s="19">
        <v>0</v>
      </c>
      <c r="DA91" s="17"/>
      <c r="DB91" s="17"/>
      <c r="DC91" s="19">
        <v>100</v>
      </c>
      <c r="DD91" s="17"/>
      <c r="DE91" s="17">
        <v>2958465</v>
      </c>
      <c r="DF91" s="17"/>
      <c r="DG91" s="17"/>
      <c r="DH91" s="19">
        <v>0</v>
      </c>
      <c r="DI91" s="19">
        <v>0</v>
      </c>
    </row>
    <row r="92" spans="1:113" x14ac:dyDescent="0.2">
      <c r="A92" s="14" t="s">
        <v>2315</v>
      </c>
      <c r="B92" s="16" t="s">
        <v>968</v>
      </c>
      <c r="C92" s="14" t="s">
        <v>158</v>
      </c>
      <c r="D92" s="14" t="s">
        <v>159</v>
      </c>
      <c r="E92" s="14" t="s">
        <v>158</v>
      </c>
      <c r="F92" s="14" t="s">
        <v>2044</v>
      </c>
      <c r="G92" s="14" t="s">
        <v>2045</v>
      </c>
      <c r="H92" s="14" t="s">
        <v>308</v>
      </c>
      <c r="I92" s="14" t="s">
        <v>309</v>
      </c>
      <c r="J92" s="16">
        <f>COUNTIF($I$3:I92, I92)</f>
        <v>3</v>
      </c>
      <c r="K92" s="14" t="s">
        <v>2048</v>
      </c>
      <c r="L92" s="14" t="s">
        <v>2048</v>
      </c>
      <c r="M92" s="14" t="s">
        <v>2048</v>
      </c>
      <c r="N92" s="14" t="s">
        <v>2048</v>
      </c>
      <c r="O92" s="14" t="s">
        <v>72</v>
      </c>
      <c r="P92" s="14" t="s">
        <v>72</v>
      </c>
      <c r="Q92" s="14" t="s">
        <v>72</v>
      </c>
      <c r="R92" s="14" t="s">
        <v>2048</v>
      </c>
      <c r="S92" s="14" t="s">
        <v>2048</v>
      </c>
      <c r="T92" s="14" t="s">
        <v>2048</v>
      </c>
      <c r="U92" s="14" t="s">
        <v>2048</v>
      </c>
      <c r="V92" s="14" t="s">
        <v>2050</v>
      </c>
      <c r="W92" s="14" t="s">
        <v>2048</v>
      </c>
      <c r="X92" s="14" t="s">
        <v>2048</v>
      </c>
      <c r="Y92" s="14" t="s">
        <v>2048</v>
      </c>
      <c r="Z92" s="14" t="s">
        <v>2048</v>
      </c>
      <c r="AA92" s="14" t="s">
        <v>2048</v>
      </c>
      <c r="AB92" s="14" t="s">
        <v>85</v>
      </c>
      <c r="AC92" s="14" t="s">
        <v>86</v>
      </c>
      <c r="AD92" s="14" t="s">
        <v>2132</v>
      </c>
      <c r="AE92" s="14" t="s">
        <v>2133</v>
      </c>
      <c r="AF92" s="14" t="s">
        <v>2055</v>
      </c>
      <c r="AG92" s="14" t="s">
        <v>2055</v>
      </c>
      <c r="AH92" s="14" t="s">
        <v>2055</v>
      </c>
      <c r="AI92" s="14" t="s">
        <v>2057</v>
      </c>
      <c r="AJ92" s="14" t="s">
        <v>87</v>
      </c>
      <c r="AK92" s="14" t="s">
        <v>2048</v>
      </c>
      <c r="AL92" s="14" t="s">
        <v>2048</v>
      </c>
      <c r="AM92" s="14" t="s">
        <v>2048</v>
      </c>
      <c r="AN92" s="14" t="s">
        <v>2696</v>
      </c>
      <c r="AO92" s="17" t="s">
        <v>89</v>
      </c>
      <c r="AP92" s="14" t="s">
        <v>2135</v>
      </c>
      <c r="AQ92" s="14" t="s">
        <v>2702</v>
      </c>
      <c r="AR92" s="14" t="s">
        <v>2060</v>
      </c>
      <c r="AS92" s="14" t="s">
        <v>2048</v>
      </c>
      <c r="AT92" s="14" t="s">
        <v>72</v>
      </c>
      <c r="AU92" s="14" t="s">
        <v>2652</v>
      </c>
      <c r="AV92" s="14" t="s">
        <v>2653</v>
      </c>
      <c r="AW92" s="14" t="s">
        <v>2048</v>
      </c>
      <c r="AX92" s="14" t="s">
        <v>2048</v>
      </c>
      <c r="AY92" s="14" t="s">
        <v>308</v>
      </c>
      <c r="AZ92" s="14" t="s">
        <v>310</v>
      </c>
      <c r="BA92" s="14" t="s">
        <v>2654</v>
      </c>
      <c r="BB92" s="14" t="s">
        <v>2048</v>
      </c>
      <c r="BC92" s="14" t="s">
        <v>2048</v>
      </c>
      <c r="BD92" s="14" t="s">
        <v>2048</v>
      </c>
      <c r="BE92" s="14" t="s">
        <v>2048</v>
      </c>
      <c r="BF92" s="14" t="s">
        <v>2048</v>
      </c>
      <c r="BG92" s="14" t="s">
        <v>2048</v>
      </c>
      <c r="BH92" s="14" t="s">
        <v>2655</v>
      </c>
      <c r="BI92" s="14" t="s">
        <v>2656</v>
      </c>
      <c r="BJ92" s="14" t="s">
        <v>2048</v>
      </c>
      <c r="BK92" s="14" t="s">
        <v>2048</v>
      </c>
      <c r="BL92" s="14" t="s">
        <v>2064</v>
      </c>
      <c r="BM92" s="14" t="s">
        <v>72</v>
      </c>
      <c r="BN92" s="14" t="s">
        <v>72</v>
      </c>
      <c r="BO92" s="14" t="s">
        <v>2048</v>
      </c>
      <c r="BP92" s="14" t="s">
        <v>2048</v>
      </c>
      <c r="BQ92" s="14" t="s">
        <v>2048</v>
      </c>
      <c r="BR92" s="14" t="s">
        <v>2418</v>
      </c>
      <c r="BS92" s="14" t="s">
        <v>2089</v>
      </c>
      <c r="BT92" s="14" t="s">
        <v>2048</v>
      </c>
      <c r="BU92" s="14" t="s">
        <v>2048</v>
      </c>
      <c r="BV92" s="14" t="s">
        <v>2048</v>
      </c>
      <c r="BW92" s="14" t="s">
        <v>2048</v>
      </c>
      <c r="BX92" s="14" t="s">
        <v>72</v>
      </c>
      <c r="BY92" s="14" t="s">
        <v>2048</v>
      </c>
      <c r="BZ92" s="14" t="s">
        <v>2048</v>
      </c>
      <c r="CA92" s="14" t="s">
        <v>2048</v>
      </c>
      <c r="CB92" s="14" t="s">
        <v>2048</v>
      </c>
      <c r="CC92" s="14" t="s">
        <v>2048</v>
      </c>
      <c r="CD92" s="14" t="s">
        <v>2048</v>
      </c>
      <c r="CE92" s="14" t="s">
        <v>2048</v>
      </c>
      <c r="CF92" s="14" t="s">
        <v>2048</v>
      </c>
      <c r="CG92" s="14" t="s">
        <v>2057</v>
      </c>
      <c r="CH92" s="14" t="s">
        <v>2090</v>
      </c>
      <c r="CI92" s="14" t="s">
        <v>2048</v>
      </c>
      <c r="CJ92" s="17"/>
      <c r="CK92" s="17">
        <v>45649</v>
      </c>
      <c r="CL92" s="17">
        <v>45649</v>
      </c>
      <c r="CM92" s="17">
        <v>2958465</v>
      </c>
      <c r="CN92" s="17"/>
      <c r="CO92" s="19">
        <v>0</v>
      </c>
      <c r="CP92" s="19">
        <v>0</v>
      </c>
      <c r="CQ92" s="19">
        <v>0</v>
      </c>
      <c r="CR92" s="19">
        <v>0</v>
      </c>
      <c r="CS92" s="19">
        <v>0</v>
      </c>
      <c r="CT92" s="19">
        <v>0</v>
      </c>
      <c r="CU92" s="19">
        <v>0</v>
      </c>
      <c r="CV92" s="17"/>
      <c r="CW92" s="19">
        <v>0</v>
      </c>
      <c r="CX92" s="17"/>
      <c r="CY92" s="17"/>
      <c r="CZ92" s="19">
        <v>0</v>
      </c>
      <c r="DA92" s="17"/>
      <c r="DB92" s="17"/>
      <c r="DC92" s="19">
        <v>100</v>
      </c>
      <c r="DD92" s="17"/>
      <c r="DE92" s="17">
        <v>2958465</v>
      </c>
      <c r="DF92" s="17"/>
      <c r="DG92" s="17"/>
      <c r="DH92" s="19">
        <v>0</v>
      </c>
      <c r="DI92" s="19">
        <v>0</v>
      </c>
    </row>
    <row r="93" spans="1:113" x14ac:dyDescent="0.2">
      <c r="A93" s="14" t="s">
        <v>2315</v>
      </c>
      <c r="B93" s="16" t="s">
        <v>1779</v>
      </c>
      <c r="C93" s="14" t="s">
        <v>158</v>
      </c>
      <c r="D93" s="14" t="s">
        <v>159</v>
      </c>
      <c r="E93" s="14" t="s">
        <v>158</v>
      </c>
      <c r="F93" s="14" t="s">
        <v>2044</v>
      </c>
      <c r="G93" s="14" t="s">
        <v>2045</v>
      </c>
      <c r="H93" s="14" t="s">
        <v>204</v>
      </c>
      <c r="I93" s="14" t="s">
        <v>205</v>
      </c>
      <c r="J93" s="16">
        <f>COUNTIF($I$3:I93, I93)</f>
        <v>21</v>
      </c>
      <c r="K93" s="14" t="s">
        <v>2048</v>
      </c>
      <c r="L93" s="14" t="s">
        <v>2048</v>
      </c>
      <c r="M93" s="14" t="s">
        <v>2048</v>
      </c>
      <c r="N93" s="14" t="s">
        <v>2048</v>
      </c>
      <c r="O93" s="14" t="s">
        <v>2703</v>
      </c>
      <c r="P93" s="14" t="s">
        <v>2704</v>
      </c>
      <c r="Q93" s="14" t="s">
        <v>2048</v>
      </c>
      <c r="R93" s="14" t="s">
        <v>2048</v>
      </c>
      <c r="S93" s="14" t="s">
        <v>2048</v>
      </c>
      <c r="T93" s="14" t="s">
        <v>2048</v>
      </c>
      <c r="U93" s="14" t="s">
        <v>2048</v>
      </c>
      <c r="V93" s="14" t="s">
        <v>2050</v>
      </c>
      <c r="W93" s="14" t="s">
        <v>2048</v>
      </c>
      <c r="X93" s="14" t="s">
        <v>2048</v>
      </c>
      <c r="Y93" s="14" t="s">
        <v>2048</v>
      </c>
      <c r="Z93" s="14" t="s">
        <v>2048</v>
      </c>
      <c r="AA93" s="14" t="s">
        <v>2048</v>
      </c>
      <c r="AB93" s="14" t="s">
        <v>140</v>
      </c>
      <c r="AC93" s="14" t="s">
        <v>151</v>
      </c>
      <c r="AD93" s="14" t="s">
        <v>77</v>
      </c>
      <c r="AE93" s="14" t="s">
        <v>2054</v>
      </c>
      <c r="AF93" s="14" t="s">
        <v>2055</v>
      </c>
      <c r="AG93" s="14" t="s">
        <v>2055</v>
      </c>
      <c r="AH93" s="14" t="s">
        <v>2055</v>
      </c>
      <c r="AI93" s="14" t="s">
        <v>2057</v>
      </c>
      <c r="AJ93" s="14" t="s">
        <v>87</v>
      </c>
      <c r="AK93" s="14" t="s">
        <v>2048</v>
      </c>
      <c r="AL93" s="14" t="s">
        <v>2048</v>
      </c>
      <c r="AM93" s="14" t="s">
        <v>2048</v>
      </c>
      <c r="AN93" s="14" t="s">
        <v>2318</v>
      </c>
      <c r="AO93" s="17" t="s">
        <v>89</v>
      </c>
      <c r="AP93" s="14" t="s">
        <v>2135</v>
      </c>
      <c r="AQ93" s="14" t="s">
        <v>2059</v>
      </c>
      <c r="AR93" s="14" t="s">
        <v>2705</v>
      </c>
      <c r="AS93" s="14" t="s">
        <v>2706</v>
      </c>
      <c r="AT93" s="14" t="s">
        <v>72</v>
      </c>
      <c r="AU93" s="14" t="s">
        <v>2321</v>
      </c>
      <c r="AV93" s="14" t="s">
        <v>2322</v>
      </c>
      <c r="AW93" s="14" t="s">
        <v>2048</v>
      </c>
      <c r="AX93" s="14" t="s">
        <v>2048</v>
      </c>
      <c r="AY93" s="14" t="s">
        <v>204</v>
      </c>
      <c r="AZ93" s="14" t="s">
        <v>2323</v>
      </c>
      <c r="BA93" s="14" t="s">
        <v>2324</v>
      </c>
      <c r="BB93" s="14" t="s">
        <v>2048</v>
      </c>
      <c r="BC93" s="14" t="s">
        <v>2048</v>
      </c>
      <c r="BD93" s="14" t="s">
        <v>2325</v>
      </c>
      <c r="BE93" s="14" t="s">
        <v>2326</v>
      </c>
      <c r="BF93" s="14" t="s">
        <v>2325</v>
      </c>
      <c r="BG93" s="14" t="s">
        <v>2326</v>
      </c>
      <c r="BH93" s="14" t="s">
        <v>2327</v>
      </c>
      <c r="BI93" s="14" t="s">
        <v>2287</v>
      </c>
      <c r="BJ93" s="14" t="s">
        <v>2048</v>
      </c>
      <c r="BK93" s="14" t="s">
        <v>2048</v>
      </c>
      <c r="BL93" s="14" t="s">
        <v>2064</v>
      </c>
      <c r="BM93" s="14" t="s">
        <v>72</v>
      </c>
      <c r="BN93" s="14" t="s">
        <v>72</v>
      </c>
      <c r="BO93" s="14" t="s">
        <v>2707</v>
      </c>
      <c r="BP93" s="14" t="s">
        <v>2329</v>
      </c>
      <c r="BQ93" s="14" t="s">
        <v>2330</v>
      </c>
      <c r="BR93" s="14" t="s">
        <v>2331</v>
      </c>
      <c r="BS93" s="14" t="s">
        <v>2131</v>
      </c>
      <c r="BT93" s="14" t="s">
        <v>2048</v>
      </c>
      <c r="BU93" s="14" t="s">
        <v>2048</v>
      </c>
      <c r="BV93" s="14" t="s">
        <v>2048</v>
      </c>
      <c r="BW93" s="14" t="s">
        <v>2048</v>
      </c>
      <c r="BX93" s="14" t="s">
        <v>72</v>
      </c>
      <c r="BY93" s="14" t="s">
        <v>2048</v>
      </c>
      <c r="BZ93" s="14" t="s">
        <v>2048</v>
      </c>
      <c r="CA93" s="14" t="s">
        <v>2048</v>
      </c>
      <c r="CB93" s="14" t="s">
        <v>2048</v>
      </c>
      <c r="CC93" s="14" t="s">
        <v>2048</v>
      </c>
      <c r="CD93" s="14" t="s">
        <v>2048</v>
      </c>
      <c r="CE93" s="14" t="s">
        <v>2048</v>
      </c>
      <c r="CF93" s="14" t="s">
        <v>2048</v>
      </c>
      <c r="CG93" s="14" t="s">
        <v>2068</v>
      </c>
      <c r="CH93" s="14" t="s">
        <v>2069</v>
      </c>
      <c r="CI93" s="14" t="s">
        <v>2048</v>
      </c>
      <c r="CJ93" s="17"/>
      <c r="CK93" s="17">
        <v>45638</v>
      </c>
      <c r="CL93" s="17">
        <v>45638</v>
      </c>
      <c r="CM93" s="17">
        <v>2958465</v>
      </c>
      <c r="CN93" s="17"/>
      <c r="CO93" s="19">
        <v>0</v>
      </c>
      <c r="CP93" s="19">
        <v>0</v>
      </c>
      <c r="CQ93" s="19">
        <v>0</v>
      </c>
      <c r="CR93" s="19">
        <v>0</v>
      </c>
      <c r="CS93" s="19">
        <v>0</v>
      </c>
      <c r="CT93" s="19">
        <v>0</v>
      </c>
      <c r="CU93" s="19">
        <v>0</v>
      </c>
      <c r="CV93" s="17"/>
      <c r="CW93" s="19">
        <v>0</v>
      </c>
      <c r="CX93" s="17"/>
      <c r="CY93" s="17"/>
      <c r="CZ93" s="19">
        <v>0</v>
      </c>
      <c r="DA93" s="17"/>
      <c r="DB93" s="17"/>
      <c r="DC93" s="19">
        <v>100</v>
      </c>
      <c r="DD93" s="17"/>
      <c r="DE93" s="17">
        <v>2958465</v>
      </c>
      <c r="DF93" s="17"/>
      <c r="DG93" s="17"/>
      <c r="DH93" s="19">
        <v>0</v>
      </c>
      <c r="DI93" s="19">
        <v>0</v>
      </c>
    </row>
    <row r="94" spans="1:113" x14ac:dyDescent="0.2">
      <c r="A94" s="14" t="s">
        <v>2315</v>
      </c>
      <c r="B94" s="16" t="s">
        <v>896</v>
      </c>
      <c r="C94" s="14" t="s">
        <v>158</v>
      </c>
      <c r="D94" s="14" t="s">
        <v>159</v>
      </c>
      <c r="E94" s="14" t="s">
        <v>158</v>
      </c>
      <c r="F94" s="14" t="s">
        <v>2044</v>
      </c>
      <c r="G94" s="14" t="s">
        <v>2045</v>
      </c>
      <c r="H94" s="14" t="s">
        <v>584</v>
      </c>
      <c r="I94" s="14" t="s">
        <v>585</v>
      </c>
      <c r="J94" s="16">
        <f>COUNTIF($I$3:I94, I94)</f>
        <v>1</v>
      </c>
      <c r="K94" s="14" t="s">
        <v>2048</v>
      </c>
      <c r="L94" s="14" t="s">
        <v>2048</v>
      </c>
      <c r="M94" s="14" t="s">
        <v>2048</v>
      </c>
      <c r="N94" s="14" t="s">
        <v>2048</v>
      </c>
      <c r="O94" s="14" t="s">
        <v>2708</v>
      </c>
      <c r="P94" s="14" t="s">
        <v>898</v>
      </c>
      <c r="Q94" s="14" t="s">
        <v>72</v>
      </c>
      <c r="R94" s="14" t="s">
        <v>2048</v>
      </c>
      <c r="S94" s="14" t="s">
        <v>2048</v>
      </c>
      <c r="T94" s="14" t="s">
        <v>2048</v>
      </c>
      <c r="U94" s="14" t="s">
        <v>2048</v>
      </c>
      <c r="V94" s="14" t="s">
        <v>2050</v>
      </c>
      <c r="W94" s="14" t="s">
        <v>2048</v>
      </c>
      <c r="X94" s="14" t="s">
        <v>2048</v>
      </c>
      <c r="Y94" s="14" t="s">
        <v>2048</v>
      </c>
      <c r="Z94" s="14" t="s">
        <v>2048</v>
      </c>
      <c r="AA94" s="14" t="s">
        <v>2048</v>
      </c>
      <c r="AB94" s="14" t="s">
        <v>85</v>
      </c>
      <c r="AC94" s="14" t="s">
        <v>86</v>
      </c>
      <c r="AD94" s="14" t="s">
        <v>159</v>
      </c>
      <c r="AE94" s="14" t="s">
        <v>585</v>
      </c>
      <c r="AF94" s="14" t="s">
        <v>2055</v>
      </c>
      <c r="AG94" s="14" t="s">
        <v>2055</v>
      </c>
      <c r="AH94" s="14" t="s">
        <v>2055</v>
      </c>
      <c r="AI94" s="14" t="s">
        <v>2057</v>
      </c>
      <c r="AJ94" s="14" t="s">
        <v>87</v>
      </c>
      <c r="AK94" s="14" t="s">
        <v>2048</v>
      </c>
      <c r="AL94" s="14" t="s">
        <v>2048</v>
      </c>
      <c r="AM94" s="14" t="s">
        <v>2048</v>
      </c>
      <c r="AN94" s="14" t="s">
        <v>2207</v>
      </c>
      <c r="AO94" s="17" t="s">
        <v>89</v>
      </c>
      <c r="AP94" s="14" t="s">
        <v>2135</v>
      </c>
      <c r="AQ94" s="14" t="s">
        <v>1294</v>
      </c>
      <c r="AR94" s="14" t="s">
        <v>2211</v>
      </c>
      <c r="AS94" s="14" t="s">
        <v>2212</v>
      </c>
      <c r="AT94" s="14" t="s">
        <v>72</v>
      </c>
      <c r="AU94" s="14" t="s">
        <v>2211</v>
      </c>
      <c r="AV94" s="14" t="s">
        <v>2212</v>
      </c>
      <c r="AW94" s="14" t="s">
        <v>2048</v>
      </c>
      <c r="AX94" s="14" t="s">
        <v>2048</v>
      </c>
      <c r="AY94" s="14" t="s">
        <v>584</v>
      </c>
      <c r="AZ94" s="14" t="s">
        <v>897</v>
      </c>
      <c r="BA94" s="14" t="s">
        <v>2709</v>
      </c>
      <c r="BB94" s="14" t="s">
        <v>2048</v>
      </c>
      <c r="BC94" s="14" t="s">
        <v>2048</v>
      </c>
      <c r="BD94" s="14" t="s">
        <v>2710</v>
      </c>
      <c r="BE94" s="14" t="s">
        <v>2711</v>
      </c>
      <c r="BF94" s="14" t="s">
        <v>2048</v>
      </c>
      <c r="BG94" s="14" t="s">
        <v>2048</v>
      </c>
      <c r="BH94" s="14" t="s">
        <v>2217</v>
      </c>
      <c r="BI94" s="14" t="s">
        <v>2218</v>
      </c>
      <c r="BJ94" s="14" t="s">
        <v>2048</v>
      </c>
      <c r="BK94" s="14" t="s">
        <v>2048</v>
      </c>
      <c r="BL94" s="14" t="s">
        <v>2064</v>
      </c>
      <c r="BM94" s="14" t="s">
        <v>72</v>
      </c>
      <c r="BN94" s="14" t="s">
        <v>72</v>
      </c>
      <c r="BO94" s="14" t="s">
        <v>2712</v>
      </c>
      <c r="BP94" s="14" t="s">
        <v>2219</v>
      </c>
      <c r="BQ94" s="14" t="s">
        <v>2220</v>
      </c>
      <c r="BR94" s="14" t="s">
        <v>2418</v>
      </c>
      <c r="BS94" s="14" t="s">
        <v>2089</v>
      </c>
      <c r="BT94" s="14" t="s">
        <v>2048</v>
      </c>
      <c r="BU94" s="14" t="s">
        <v>2048</v>
      </c>
      <c r="BV94" s="14" t="s">
        <v>2048</v>
      </c>
      <c r="BW94" s="14" t="s">
        <v>2048</v>
      </c>
      <c r="BX94" s="14" t="s">
        <v>72</v>
      </c>
      <c r="BY94" s="14" t="s">
        <v>2048</v>
      </c>
      <c r="BZ94" s="14" t="s">
        <v>2048</v>
      </c>
      <c r="CA94" s="14" t="s">
        <v>2048</v>
      </c>
      <c r="CB94" s="14" t="s">
        <v>2048</v>
      </c>
      <c r="CC94" s="14" t="s">
        <v>2048</v>
      </c>
      <c r="CD94" s="14" t="s">
        <v>2048</v>
      </c>
      <c r="CE94" s="14" t="s">
        <v>2048</v>
      </c>
      <c r="CF94" s="14" t="s">
        <v>2048</v>
      </c>
      <c r="CG94" s="14" t="s">
        <v>2057</v>
      </c>
      <c r="CH94" s="14" t="s">
        <v>2090</v>
      </c>
      <c r="CI94" s="14" t="s">
        <v>2048</v>
      </c>
      <c r="CJ94" s="17"/>
      <c r="CK94" s="17">
        <v>45649</v>
      </c>
      <c r="CL94" s="17">
        <v>45649</v>
      </c>
      <c r="CM94" s="17">
        <v>2958465</v>
      </c>
      <c r="CN94" s="17"/>
      <c r="CO94" s="19">
        <v>0</v>
      </c>
      <c r="CP94" s="19">
        <v>0</v>
      </c>
      <c r="CQ94" s="19">
        <v>0</v>
      </c>
      <c r="CR94" s="19">
        <v>0</v>
      </c>
      <c r="CS94" s="19">
        <v>0</v>
      </c>
      <c r="CT94" s="19">
        <v>0</v>
      </c>
      <c r="CU94" s="19">
        <v>0</v>
      </c>
      <c r="CV94" s="17"/>
      <c r="CW94" s="19">
        <v>0</v>
      </c>
      <c r="CX94" s="17"/>
      <c r="CY94" s="17"/>
      <c r="CZ94" s="19">
        <v>0</v>
      </c>
      <c r="DA94" s="17"/>
      <c r="DB94" s="17"/>
      <c r="DC94" s="19">
        <v>100</v>
      </c>
      <c r="DD94" s="17"/>
      <c r="DE94" s="17">
        <v>2958465</v>
      </c>
      <c r="DF94" s="17"/>
      <c r="DG94" s="17"/>
      <c r="DH94" s="19">
        <v>0</v>
      </c>
      <c r="DI94" s="19">
        <v>0</v>
      </c>
    </row>
    <row r="95" spans="1:113" x14ac:dyDescent="0.2">
      <c r="A95" s="14" t="s">
        <v>2315</v>
      </c>
      <c r="B95" s="16" t="s">
        <v>1813</v>
      </c>
      <c r="C95" s="14" t="s">
        <v>158</v>
      </c>
      <c r="D95" s="14" t="s">
        <v>159</v>
      </c>
      <c r="E95" s="14" t="s">
        <v>158</v>
      </c>
      <c r="F95" s="14" t="s">
        <v>2044</v>
      </c>
      <c r="G95" s="14" t="s">
        <v>2045</v>
      </c>
      <c r="H95" s="14" t="s">
        <v>204</v>
      </c>
      <c r="I95" s="14" t="s">
        <v>205</v>
      </c>
      <c r="J95" s="16">
        <f>COUNTIF($I$3:I95, I95)</f>
        <v>22</v>
      </c>
      <c r="K95" s="14" t="s">
        <v>2048</v>
      </c>
      <c r="L95" s="14" t="s">
        <v>2048</v>
      </c>
      <c r="M95" s="14" t="s">
        <v>2048</v>
      </c>
      <c r="N95" s="14" t="s">
        <v>2048</v>
      </c>
      <c r="O95" s="14" t="s">
        <v>2713</v>
      </c>
      <c r="P95" s="14" t="s">
        <v>2714</v>
      </c>
      <c r="Q95" s="14" t="s">
        <v>2048</v>
      </c>
      <c r="R95" s="14" t="s">
        <v>2048</v>
      </c>
      <c r="S95" s="14" t="s">
        <v>2048</v>
      </c>
      <c r="T95" s="14" t="s">
        <v>2048</v>
      </c>
      <c r="U95" s="14" t="s">
        <v>2048</v>
      </c>
      <c r="V95" s="14" t="s">
        <v>2050</v>
      </c>
      <c r="W95" s="14" t="s">
        <v>2048</v>
      </c>
      <c r="X95" s="14" t="s">
        <v>2048</v>
      </c>
      <c r="Y95" s="14" t="s">
        <v>2048</v>
      </c>
      <c r="Z95" s="14" t="s">
        <v>2048</v>
      </c>
      <c r="AA95" s="14" t="s">
        <v>2048</v>
      </c>
      <c r="AB95" s="14" t="s">
        <v>140</v>
      </c>
      <c r="AC95" s="14" t="s">
        <v>151</v>
      </c>
      <c r="AD95" s="14" t="s">
        <v>77</v>
      </c>
      <c r="AE95" s="14" t="s">
        <v>2054</v>
      </c>
      <c r="AF95" s="14" t="s">
        <v>2055</v>
      </c>
      <c r="AG95" s="14" t="s">
        <v>2055</v>
      </c>
      <c r="AH95" s="14" t="s">
        <v>2055</v>
      </c>
      <c r="AI95" s="14" t="s">
        <v>2057</v>
      </c>
      <c r="AJ95" s="14" t="s">
        <v>87</v>
      </c>
      <c r="AK95" s="14" t="s">
        <v>2048</v>
      </c>
      <c r="AL95" s="14" t="s">
        <v>2048</v>
      </c>
      <c r="AM95" s="14" t="s">
        <v>2048</v>
      </c>
      <c r="AN95" s="14" t="s">
        <v>2374</v>
      </c>
      <c r="AO95" s="17" t="s">
        <v>89</v>
      </c>
      <c r="AP95" s="14" t="s">
        <v>2135</v>
      </c>
      <c r="AQ95" s="14" t="s">
        <v>2715</v>
      </c>
      <c r="AR95" s="14" t="s">
        <v>2716</v>
      </c>
      <c r="AS95" s="14" t="s">
        <v>2717</v>
      </c>
      <c r="AT95" s="14" t="s">
        <v>72</v>
      </c>
      <c r="AU95" s="14" t="s">
        <v>2376</v>
      </c>
      <c r="AV95" s="14" t="s">
        <v>2377</v>
      </c>
      <c r="AW95" s="14" t="s">
        <v>2048</v>
      </c>
      <c r="AX95" s="14" t="s">
        <v>2048</v>
      </c>
      <c r="AY95" s="14" t="s">
        <v>204</v>
      </c>
      <c r="AZ95" s="14" t="s">
        <v>230</v>
      </c>
      <c r="BA95" s="14" t="s">
        <v>2378</v>
      </c>
      <c r="BB95" s="14" t="s">
        <v>2048</v>
      </c>
      <c r="BC95" s="14" t="s">
        <v>2048</v>
      </c>
      <c r="BD95" s="14" t="s">
        <v>2379</v>
      </c>
      <c r="BE95" s="14" t="s">
        <v>2380</v>
      </c>
      <c r="BF95" s="14" t="s">
        <v>2048</v>
      </c>
      <c r="BG95" s="14" t="s">
        <v>2048</v>
      </c>
      <c r="BH95" s="14" t="s">
        <v>2381</v>
      </c>
      <c r="BI95" s="14" t="s">
        <v>2382</v>
      </c>
      <c r="BJ95" s="14" t="s">
        <v>2048</v>
      </c>
      <c r="BK95" s="14" t="s">
        <v>2048</v>
      </c>
      <c r="BL95" s="14" t="s">
        <v>2064</v>
      </c>
      <c r="BM95" s="14" t="s">
        <v>72</v>
      </c>
      <c r="BN95" s="14" t="s">
        <v>72</v>
      </c>
      <c r="BO95" s="14" t="s">
        <v>2718</v>
      </c>
      <c r="BP95" s="14" t="s">
        <v>2719</v>
      </c>
      <c r="BQ95" s="14" t="s">
        <v>2720</v>
      </c>
      <c r="BR95" s="14" t="s">
        <v>2331</v>
      </c>
      <c r="BS95" s="14" t="s">
        <v>2131</v>
      </c>
      <c r="BT95" s="14" t="s">
        <v>2048</v>
      </c>
      <c r="BU95" s="14" t="s">
        <v>2048</v>
      </c>
      <c r="BV95" s="14" t="s">
        <v>2048</v>
      </c>
      <c r="BW95" s="14" t="s">
        <v>2048</v>
      </c>
      <c r="BX95" s="14" t="s">
        <v>72</v>
      </c>
      <c r="BY95" s="14" t="s">
        <v>2048</v>
      </c>
      <c r="BZ95" s="14" t="s">
        <v>2048</v>
      </c>
      <c r="CA95" s="14" t="s">
        <v>2048</v>
      </c>
      <c r="CB95" s="14" t="s">
        <v>2048</v>
      </c>
      <c r="CC95" s="14" t="s">
        <v>2048</v>
      </c>
      <c r="CD95" s="14" t="s">
        <v>2048</v>
      </c>
      <c r="CE95" s="14" t="s">
        <v>2048</v>
      </c>
      <c r="CF95" s="14" t="s">
        <v>2048</v>
      </c>
      <c r="CG95" s="14" t="s">
        <v>2068</v>
      </c>
      <c r="CH95" s="14" t="s">
        <v>2069</v>
      </c>
      <c r="CI95" s="14" t="s">
        <v>2048</v>
      </c>
      <c r="CJ95" s="17"/>
      <c r="CK95" s="17">
        <v>45638</v>
      </c>
      <c r="CL95" s="17">
        <v>45638</v>
      </c>
      <c r="CM95" s="17">
        <v>2958465</v>
      </c>
      <c r="CN95" s="17"/>
      <c r="CO95" s="19">
        <v>0</v>
      </c>
      <c r="CP95" s="19">
        <v>0</v>
      </c>
      <c r="CQ95" s="19">
        <v>0</v>
      </c>
      <c r="CR95" s="19">
        <v>0</v>
      </c>
      <c r="CS95" s="19">
        <v>0</v>
      </c>
      <c r="CT95" s="19">
        <v>0</v>
      </c>
      <c r="CU95" s="19">
        <v>0</v>
      </c>
      <c r="CV95" s="17"/>
      <c r="CW95" s="19">
        <v>0</v>
      </c>
      <c r="CX95" s="17"/>
      <c r="CY95" s="17"/>
      <c r="CZ95" s="19">
        <v>0</v>
      </c>
      <c r="DA95" s="17"/>
      <c r="DB95" s="17"/>
      <c r="DC95" s="19">
        <v>100</v>
      </c>
      <c r="DD95" s="17"/>
      <c r="DE95" s="17">
        <v>2958465</v>
      </c>
      <c r="DF95" s="17"/>
      <c r="DG95" s="17"/>
      <c r="DH95" s="19">
        <v>0</v>
      </c>
      <c r="DI95" s="19">
        <v>0</v>
      </c>
    </row>
    <row r="96" spans="1:113" x14ac:dyDescent="0.2">
      <c r="A96" s="14" t="s">
        <v>2315</v>
      </c>
      <c r="B96" s="16" t="s">
        <v>1830</v>
      </c>
      <c r="C96" s="14" t="s">
        <v>158</v>
      </c>
      <c r="D96" s="14" t="s">
        <v>159</v>
      </c>
      <c r="E96" s="14" t="s">
        <v>158</v>
      </c>
      <c r="F96" s="14" t="s">
        <v>2044</v>
      </c>
      <c r="G96" s="14" t="s">
        <v>2045</v>
      </c>
      <c r="H96" s="14" t="s">
        <v>204</v>
      </c>
      <c r="I96" s="14" t="s">
        <v>205</v>
      </c>
      <c r="J96" s="16">
        <f>COUNTIF($I$3:I96, I96)</f>
        <v>23</v>
      </c>
      <c r="K96" s="14" t="s">
        <v>2048</v>
      </c>
      <c r="L96" s="14" t="s">
        <v>2048</v>
      </c>
      <c r="M96" s="14" t="s">
        <v>2048</v>
      </c>
      <c r="N96" s="14" t="s">
        <v>2048</v>
      </c>
      <c r="O96" s="14" t="s">
        <v>2721</v>
      </c>
      <c r="P96" s="14" t="s">
        <v>2722</v>
      </c>
      <c r="Q96" s="14" t="s">
        <v>2048</v>
      </c>
      <c r="R96" s="14" t="s">
        <v>2048</v>
      </c>
      <c r="S96" s="14" t="s">
        <v>2048</v>
      </c>
      <c r="T96" s="14" t="s">
        <v>2048</v>
      </c>
      <c r="U96" s="14" t="s">
        <v>2048</v>
      </c>
      <c r="V96" s="14" t="s">
        <v>2050</v>
      </c>
      <c r="W96" s="14" t="s">
        <v>2048</v>
      </c>
      <c r="X96" s="14" t="s">
        <v>2048</v>
      </c>
      <c r="Y96" s="14" t="s">
        <v>2048</v>
      </c>
      <c r="Z96" s="14" t="s">
        <v>2048</v>
      </c>
      <c r="AA96" s="14" t="s">
        <v>2048</v>
      </c>
      <c r="AB96" s="14" t="s">
        <v>140</v>
      </c>
      <c r="AC96" s="14" t="s">
        <v>151</v>
      </c>
      <c r="AD96" s="14" t="s">
        <v>2132</v>
      </c>
      <c r="AE96" s="14" t="s">
        <v>2133</v>
      </c>
      <c r="AF96" s="14" t="s">
        <v>2055</v>
      </c>
      <c r="AG96" s="14" t="s">
        <v>2055</v>
      </c>
      <c r="AH96" s="14" t="s">
        <v>2055</v>
      </c>
      <c r="AI96" s="14" t="s">
        <v>2057</v>
      </c>
      <c r="AJ96" s="14" t="s">
        <v>87</v>
      </c>
      <c r="AK96" s="14" t="s">
        <v>2048</v>
      </c>
      <c r="AL96" s="14" t="s">
        <v>2048</v>
      </c>
      <c r="AM96" s="14" t="s">
        <v>2048</v>
      </c>
      <c r="AN96" s="14" t="s">
        <v>2374</v>
      </c>
      <c r="AO96" s="17" t="s">
        <v>89</v>
      </c>
      <c r="AP96" s="14" t="s">
        <v>2135</v>
      </c>
      <c r="AQ96" s="14" t="s">
        <v>287</v>
      </c>
      <c r="AR96" s="14" t="s">
        <v>2723</v>
      </c>
      <c r="AS96" s="14" t="s">
        <v>2724</v>
      </c>
      <c r="AT96" s="14" t="s">
        <v>72</v>
      </c>
      <c r="AU96" s="14" t="s">
        <v>2376</v>
      </c>
      <c r="AV96" s="14" t="s">
        <v>2377</v>
      </c>
      <c r="AW96" s="14" t="s">
        <v>2048</v>
      </c>
      <c r="AX96" s="14" t="s">
        <v>2048</v>
      </c>
      <c r="AY96" s="14" t="s">
        <v>204</v>
      </c>
      <c r="AZ96" s="14" t="s">
        <v>230</v>
      </c>
      <c r="BA96" s="14" t="s">
        <v>2378</v>
      </c>
      <c r="BB96" s="14" t="s">
        <v>2048</v>
      </c>
      <c r="BC96" s="14" t="s">
        <v>2048</v>
      </c>
      <c r="BD96" s="14" t="s">
        <v>2379</v>
      </c>
      <c r="BE96" s="14" t="s">
        <v>2380</v>
      </c>
      <c r="BF96" s="14" t="s">
        <v>2048</v>
      </c>
      <c r="BG96" s="14" t="s">
        <v>2048</v>
      </c>
      <c r="BH96" s="14" t="s">
        <v>2381</v>
      </c>
      <c r="BI96" s="14" t="s">
        <v>2382</v>
      </c>
      <c r="BJ96" s="14" t="s">
        <v>2048</v>
      </c>
      <c r="BK96" s="14" t="s">
        <v>2048</v>
      </c>
      <c r="BL96" s="14" t="s">
        <v>2064</v>
      </c>
      <c r="BM96" s="14" t="s">
        <v>72</v>
      </c>
      <c r="BN96" s="14" t="s">
        <v>72</v>
      </c>
      <c r="BO96" s="14" t="s">
        <v>2725</v>
      </c>
      <c r="BP96" s="14" t="s">
        <v>2726</v>
      </c>
      <c r="BQ96" s="14" t="s">
        <v>2720</v>
      </c>
      <c r="BR96" s="14" t="s">
        <v>2331</v>
      </c>
      <c r="BS96" s="14" t="s">
        <v>2131</v>
      </c>
      <c r="BT96" s="14" t="s">
        <v>2048</v>
      </c>
      <c r="BU96" s="14" t="s">
        <v>2048</v>
      </c>
      <c r="BV96" s="14" t="s">
        <v>2048</v>
      </c>
      <c r="BW96" s="14" t="s">
        <v>2048</v>
      </c>
      <c r="BX96" s="14" t="s">
        <v>72</v>
      </c>
      <c r="BY96" s="14" t="s">
        <v>2048</v>
      </c>
      <c r="BZ96" s="14" t="s">
        <v>2048</v>
      </c>
      <c r="CA96" s="14" t="s">
        <v>2048</v>
      </c>
      <c r="CB96" s="14" t="s">
        <v>2048</v>
      </c>
      <c r="CC96" s="14" t="s">
        <v>2048</v>
      </c>
      <c r="CD96" s="14" t="s">
        <v>2048</v>
      </c>
      <c r="CE96" s="14" t="s">
        <v>2048</v>
      </c>
      <c r="CF96" s="14" t="s">
        <v>2048</v>
      </c>
      <c r="CG96" s="14" t="s">
        <v>2068</v>
      </c>
      <c r="CH96" s="14" t="s">
        <v>2069</v>
      </c>
      <c r="CI96" s="14" t="s">
        <v>2048</v>
      </c>
      <c r="CJ96" s="17"/>
      <c r="CK96" s="17">
        <v>45638</v>
      </c>
      <c r="CL96" s="17">
        <v>45638</v>
      </c>
      <c r="CM96" s="17">
        <v>2958465</v>
      </c>
      <c r="CN96" s="17"/>
      <c r="CO96" s="19">
        <v>0</v>
      </c>
      <c r="CP96" s="19">
        <v>0</v>
      </c>
      <c r="CQ96" s="19">
        <v>0</v>
      </c>
      <c r="CR96" s="19">
        <v>0</v>
      </c>
      <c r="CS96" s="19">
        <v>0</v>
      </c>
      <c r="CT96" s="19">
        <v>0</v>
      </c>
      <c r="CU96" s="19">
        <v>0</v>
      </c>
      <c r="CV96" s="17"/>
      <c r="CW96" s="19">
        <v>0</v>
      </c>
      <c r="CX96" s="17"/>
      <c r="CY96" s="17"/>
      <c r="CZ96" s="19">
        <v>0</v>
      </c>
      <c r="DA96" s="17"/>
      <c r="DB96" s="17"/>
      <c r="DC96" s="19">
        <v>100</v>
      </c>
      <c r="DD96" s="17"/>
      <c r="DE96" s="17">
        <v>2958465</v>
      </c>
      <c r="DF96" s="17"/>
      <c r="DG96" s="17"/>
      <c r="DH96" s="19">
        <v>0</v>
      </c>
      <c r="DI96" s="19">
        <v>0</v>
      </c>
    </row>
    <row r="97" spans="1:113" x14ac:dyDescent="0.2">
      <c r="A97" s="14" t="s">
        <v>2315</v>
      </c>
      <c r="B97" s="16" t="s">
        <v>1811</v>
      </c>
      <c r="C97" s="14" t="s">
        <v>158</v>
      </c>
      <c r="D97" s="14" t="s">
        <v>159</v>
      </c>
      <c r="E97" s="14" t="s">
        <v>158</v>
      </c>
      <c r="F97" s="14" t="s">
        <v>2044</v>
      </c>
      <c r="G97" s="14" t="s">
        <v>2045</v>
      </c>
      <c r="H97" s="14" t="s">
        <v>204</v>
      </c>
      <c r="I97" s="14" t="s">
        <v>205</v>
      </c>
      <c r="J97" s="16">
        <f>COUNTIF($I$3:I97, I97)</f>
        <v>24</v>
      </c>
      <c r="K97" s="14" t="s">
        <v>2048</v>
      </c>
      <c r="L97" s="14" t="s">
        <v>2048</v>
      </c>
      <c r="M97" s="14" t="s">
        <v>2048</v>
      </c>
      <c r="N97" s="14" t="s">
        <v>2048</v>
      </c>
      <c r="O97" s="14" t="s">
        <v>2727</v>
      </c>
      <c r="P97" s="14" t="s">
        <v>2728</v>
      </c>
      <c r="Q97" s="14" t="s">
        <v>2048</v>
      </c>
      <c r="R97" s="14" t="s">
        <v>2048</v>
      </c>
      <c r="S97" s="14" t="s">
        <v>2048</v>
      </c>
      <c r="T97" s="14" t="s">
        <v>2048</v>
      </c>
      <c r="U97" s="14" t="s">
        <v>2048</v>
      </c>
      <c r="V97" s="14" t="s">
        <v>2050</v>
      </c>
      <c r="W97" s="14" t="s">
        <v>2048</v>
      </c>
      <c r="X97" s="14" t="s">
        <v>2048</v>
      </c>
      <c r="Y97" s="14" t="s">
        <v>2048</v>
      </c>
      <c r="Z97" s="14" t="s">
        <v>2048</v>
      </c>
      <c r="AA97" s="14" t="s">
        <v>2048</v>
      </c>
      <c r="AB97" s="14" t="s">
        <v>140</v>
      </c>
      <c r="AC97" s="14" t="s">
        <v>151</v>
      </c>
      <c r="AD97" s="14" t="s">
        <v>2132</v>
      </c>
      <c r="AE97" s="14" t="s">
        <v>2133</v>
      </c>
      <c r="AF97" s="14" t="s">
        <v>2055</v>
      </c>
      <c r="AG97" s="14" t="s">
        <v>2055</v>
      </c>
      <c r="AH97" s="14" t="s">
        <v>2055</v>
      </c>
      <c r="AI97" s="14" t="s">
        <v>2057</v>
      </c>
      <c r="AJ97" s="14" t="s">
        <v>87</v>
      </c>
      <c r="AK97" s="14" t="s">
        <v>2048</v>
      </c>
      <c r="AL97" s="14" t="s">
        <v>2048</v>
      </c>
      <c r="AM97" s="14" t="s">
        <v>2048</v>
      </c>
      <c r="AN97" s="14" t="s">
        <v>2318</v>
      </c>
      <c r="AO97" s="17" t="s">
        <v>89</v>
      </c>
      <c r="AP97" s="14" t="s">
        <v>2135</v>
      </c>
      <c r="AQ97" s="14" t="s">
        <v>229</v>
      </c>
      <c r="AR97" s="14" t="s">
        <v>2060</v>
      </c>
      <c r="AS97" s="14" t="s">
        <v>2048</v>
      </c>
      <c r="AT97" s="14" t="s">
        <v>72</v>
      </c>
      <c r="AU97" s="14" t="s">
        <v>2376</v>
      </c>
      <c r="AV97" s="14" t="s">
        <v>2377</v>
      </c>
      <c r="AW97" s="14" t="s">
        <v>2048</v>
      </c>
      <c r="AX97" s="14" t="s">
        <v>2048</v>
      </c>
      <c r="AY97" s="14" t="s">
        <v>204</v>
      </c>
      <c r="AZ97" s="14" t="s">
        <v>230</v>
      </c>
      <c r="BA97" s="14" t="s">
        <v>2378</v>
      </c>
      <c r="BB97" s="14" t="s">
        <v>2048</v>
      </c>
      <c r="BC97" s="14" t="s">
        <v>2048</v>
      </c>
      <c r="BD97" s="14" t="s">
        <v>2379</v>
      </c>
      <c r="BE97" s="14" t="s">
        <v>2380</v>
      </c>
      <c r="BF97" s="14" t="s">
        <v>2048</v>
      </c>
      <c r="BG97" s="14" t="s">
        <v>2048</v>
      </c>
      <c r="BH97" s="14" t="s">
        <v>2381</v>
      </c>
      <c r="BI97" s="14" t="s">
        <v>2382</v>
      </c>
      <c r="BJ97" s="14" t="s">
        <v>2048</v>
      </c>
      <c r="BK97" s="14" t="s">
        <v>2048</v>
      </c>
      <c r="BL97" s="14" t="s">
        <v>2064</v>
      </c>
      <c r="BM97" s="14" t="s">
        <v>72</v>
      </c>
      <c r="BN97" s="14" t="s">
        <v>72</v>
      </c>
      <c r="BO97" s="14" t="s">
        <v>2729</v>
      </c>
      <c r="BP97" s="14" t="s">
        <v>2048</v>
      </c>
      <c r="BQ97" s="14" t="s">
        <v>2048</v>
      </c>
      <c r="BR97" s="14" t="s">
        <v>2331</v>
      </c>
      <c r="BS97" s="14" t="s">
        <v>2131</v>
      </c>
      <c r="BT97" s="14" t="s">
        <v>2048</v>
      </c>
      <c r="BU97" s="14" t="s">
        <v>2048</v>
      </c>
      <c r="BV97" s="14" t="s">
        <v>2048</v>
      </c>
      <c r="BW97" s="14" t="s">
        <v>2048</v>
      </c>
      <c r="BX97" s="14" t="s">
        <v>72</v>
      </c>
      <c r="BY97" s="14" t="s">
        <v>2048</v>
      </c>
      <c r="BZ97" s="14" t="s">
        <v>2048</v>
      </c>
      <c r="CA97" s="14" t="s">
        <v>2048</v>
      </c>
      <c r="CB97" s="14" t="s">
        <v>2048</v>
      </c>
      <c r="CC97" s="14" t="s">
        <v>2048</v>
      </c>
      <c r="CD97" s="14" t="s">
        <v>2048</v>
      </c>
      <c r="CE97" s="14" t="s">
        <v>2048</v>
      </c>
      <c r="CF97" s="14" t="s">
        <v>2048</v>
      </c>
      <c r="CG97" s="14" t="s">
        <v>2068</v>
      </c>
      <c r="CH97" s="14" t="s">
        <v>2069</v>
      </c>
      <c r="CI97" s="14" t="s">
        <v>2048</v>
      </c>
      <c r="CJ97" s="17"/>
      <c r="CK97" s="17">
        <v>45638</v>
      </c>
      <c r="CL97" s="17">
        <v>45638</v>
      </c>
      <c r="CM97" s="17">
        <v>2958465</v>
      </c>
      <c r="CN97" s="17"/>
      <c r="CO97" s="19">
        <v>0</v>
      </c>
      <c r="CP97" s="19">
        <v>0</v>
      </c>
      <c r="CQ97" s="19">
        <v>0</v>
      </c>
      <c r="CR97" s="19">
        <v>0</v>
      </c>
      <c r="CS97" s="19">
        <v>0</v>
      </c>
      <c r="CT97" s="19">
        <v>0</v>
      </c>
      <c r="CU97" s="19">
        <v>0</v>
      </c>
      <c r="CV97" s="17"/>
      <c r="CW97" s="19">
        <v>0</v>
      </c>
      <c r="CX97" s="17"/>
      <c r="CY97" s="17"/>
      <c r="CZ97" s="19">
        <v>0</v>
      </c>
      <c r="DA97" s="17"/>
      <c r="DB97" s="17"/>
      <c r="DC97" s="19">
        <v>100</v>
      </c>
      <c r="DD97" s="17"/>
      <c r="DE97" s="17">
        <v>2958465</v>
      </c>
      <c r="DF97" s="17"/>
      <c r="DG97" s="17"/>
      <c r="DH97" s="19">
        <v>0</v>
      </c>
      <c r="DI97" s="19">
        <v>0</v>
      </c>
    </row>
    <row r="98" spans="1:113" x14ac:dyDescent="0.2">
      <c r="A98" s="14" t="s">
        <v>2315</v>
      </c>
      <c r="B98" s="16" t="s">
        <v>1795</v>
      </c>
      <c r="C98" s="14" t="s">
        <v>158</v>
      </c>
      <c r="D98" s="14" t="s">
        <v>159</v>
      </c>
      <c r="E98" s="14" t="s">
        <v>158</v>
      </c>
      <c r="F98" s="14" t="s">
        <v>2044</v>
      </c>
      <c r="G98" s="14" t="s">
        <v>2045</v>
      </c>
      <c r="H98" s="14" t="s">
        <v>204</v>
      </c>
      <c r="I98" s="14" t="s">
        <v>205</v>
      </c>
      <c r="J98" s="16">
        <f>COUNTIF($I$3:I98, I98)</f>
        <v>25</v>
      </c>
      <c r="K98" s="14" t="s">
        <v>2048</v>
      </c>
      <c r="L98" s="14" t="s">
        <v>2048</v>
      </c>
      <c r="M98" s="14" t="s">
        <v>2048</v>
      </c>
      <c r="N98" s="14" t="s">
        <v>2048</v>
      </c>
      <c r="O98" s="14" t="s">
        <v>2730</v>
      </c>
      <c r="P98" s="14" t="s">
        <v>2731</v>
      </c>
      <c r="Q98" s="14" t="s">
        <v>2048</v>
      </c>
      <c r="R98" s="14" t="s">
        <v>2048</v>
      </c>
      <c r="S98" s="14" t="s">
        <v>2048</v>
      </c>
      <c r="T98" s="14" t="s">
        <v>2048</v>
      </c>
      <c r="U98" s="14" t="s">
        <v>2048</v>
      </c>
      <c r="V98" s="14" t="s">
        <v>2050</v>
      </c>
      <c r="W98" s="14" t="s">
        <v>2048</v>
      </c>
      <c r="X98" s="14" t="s">
        <v>2048</v>
      </c>
      <c r="Y98" s="14" t="s">
        <v>2048</v>
      </c>
      <c r="Z98" s="14" t="s">
        <v>2048</v>
      </c>
      <c r="AA98" s="14" t="s">
        <v>2048</v>
      </c>
      <c r="AB98" s="14" t="s">
        <v>140</v>
      </c>
      <c r="AC98" s="14" t="s">
        <v>151</v>
      </c>
      <c r="AD98" s="14" t="s">
        <v>77</v>
      </c>
      <c r="AE98" s="14" t="s">
        <v>2054</v>
      </c>
      <c r="AF98" s="14" t="s">
        <v>2055</v>
      </c>
      <c r="AG98" s="14" t="s">
        <v>2055</v>
      </c>
      <c r="AH98" s="14" t="s">
        <v>2055</v>
      </c>
      <c r="AI98" s="14" t="s">
        <v>2057</v>
      </c>
      <c r="AJ98" s="14" t="s">
        <v>87</v>
      </c>
      <c r="AK98" s="14" t="s">
        <v>2048</v>
      </c>
      <c r="AL98" s="14" t="s">
        <v>2048</v>
      </c>
      <c r="AM98" s="14" t="s">
        <v>2048</v>
      </c>
      <c r="AN98" s="14" t="s">
        <v>2318</v>
      </c>
      <c r="AO98" s="17" t="s">
        <v>89</v>
      </c>
      <c r="AP98" s="14" t="s">
        <v>2135</v>
      </c>
      <c r="AQ98" s="14" t="s">
        <v>2059</v>
      </c>
      <c r="AR98" s="14" t="s">
        <v>2732</v>
      </c>
      <c r="AS98" s="14" t="s">
        <v>2733</v>
      </c>
      <c r="AT98" s="14" t="s">
        <v>72</v>
      </c>
      <c r="AU98" s="14" t="s">
        <v>2350</v>
      </c>
      <c r="AV98" s="14" t="s">
        <v>2351</v>
      </c>
      <c r="AW98" s="14" t="s">
        <v>2048</v>
      </c>
      <c r="AX98" s="14" t="s">
        <v>2048</v>
      </c>
      <c r="AY98" s="14" t="s">
        <v>204</v>
      </c>
      <c r="AZ98" s="14" t="s">
        <v>232</v>
      </c>
      <c r="BA98" s="14" t="s">
        <v>2324</v>
      </c>
      <c r="BB98" s="14" t="s">
        <v>2048</v>
      </c>
      <c r="BC98" s="14" t="s">
        <v>2048</v>
      </c>
      <c r="BD98" s="14" t="s">
        <v>2325</v>
      </c>
      <c r="BE98" s="14" t="s">
        <v>2326</v>
      </c>
      <c r="BF98" s="14" t="s">
        <v>2325</v>
      </c>
      <c r="BG98" s="14" t="s">
        <v>2326</v>
      </c>
      <c r="BH98" s="14" t="s">
        <v>2327</v>
      </c>
      <c r="BI98" s="14" t="s">
        <v>2287</v>
      </c>
      <c r="BJ98" s="14" t="s">
        <v>2048</v>
      </c>
      <c r="BK98" s="14" t="s">
        <v>2048</v>
      </c>
      <c r="BL98" s="14" t="s">
        <v>2064</v>
      </c>
      <c r="BM98" s="14" t="s">
        <v>72</v>
      </c>
      <c r="BN98" s="14" t="s">
        <v>72</v>
      </c>
      <c r="BO98" s="14" t="s">
        <v>2734</v>
      </c>
      <c r="BP98" s="14" t="s">
        <v>2329</v>
      </c>
      <c r="BQ98" s="14" t="s">
        <v>2330</v>
      </c>
      <c r="BR98" s="14" t="s">
        <v>2331</v>
      </c>
      <c r="BS98" s="14" t="s">
        <v>2131</v>
      </c>
      <c r="BT98" s="14" t="s">
        <v>2048</v>
      </c>
      <c r="BU98" s="14" t="s">
        <v>2048</v>
      </c>
      <c r="BV98" s="14" t="s">
        <v>2048</v>
      </c>
      <c r="BW98" s="14" t="s">
        <v>2048</v>
      </c>
      <c r="BX98" s="14" t="s">
        <v>72</v>
      </c>
      <c r="BY98" s="14" t="s">
        <v>2048</v>
      </c>
      <c r="BZ98" s="14" t="s">
        <v>2048</v>
      </c>
      <c r="CA98" s="14" t="s">
        <v>2048</v>
      </c>
      <c r="CB98" s="14" t="s">
        <v>2048</v>
      </c>
      <c r="CC98" s="14" t="s">
        <v>2048</v>
      </c>
      <c r="CD98" s="14" t="s">
        <v>2048</v>
      </c>
      <c r="CE98" s="14" t="s">
        <v>2048</v>
      </c>
      <c r="CF98" s="14" t="s">
        <v>2048</v>
      </c>
      <c r="CG98" s="14" t="s">
        <v>2068</v>
      </c>
      <c r="CH98" s="14" t="s">
        <v>2069</v>
      </c>
      <c r="CI98" s="14" t="s">
        <v>2048</v>
      </c>
      <c r="CJ98" s="17"/>
      <c r="CK98" s="17">
        <v>45638</v>
      </c>
      <c r="CL98" s="17">
        <v>45638</v>
      </c>
      <c r="CM98" s="17">
        <v>2958465</v>
      </c>
      <c r="CN98" s="17"/>
      <c r="CO98" s="19">
        <v>0</v>
      </c>
      <c r="CP98" s="19">
        <v>0</v>
      </c>
      <c r="CQ98" s="19">
        <v>0</v>
      </c>
      <c r="CR98" s="19">
        <v>0</v>
      </c>
      <c r="CS98" s="19">
        <v>0</v>
      </c>
      <c r="CT98" s="19">
        <v>0</v>
      </c>
      <c r="CU98" s="19">
        <v>0</v>
      </c>
      <c r="CV98" s="17"/>
      <c r="CW98" s="19">
        <v>0</v>
      </c>
      <c r="CX98" s="17"/>
      <c r="CY98" s="17"/>
      <c r="CZ98" s="19">
        <v>0</v>
      </c>
      <c r="DA98" s="17"/>
      <c r="DB98" s="17"/>
      <c r="DC98" s="19">
        <v>100</v>
      </c>
      <c r="DD98" s="17"/>
      <c r="DE98" s="17">
        <v>2958465</v>
      </c>
      <c r="DF98" s="17"/>
      <c r="DG98" s="17"/>
      <c r="DH98" s="19">
        <v>0</v>
      </c>
      <c r="DI98" s="19">
        <v>0</v>
      </c>
    </row>
    <row r="99" spans="1:113" x14ac:dyDescent="0.2">
      <c r="A99" s="14" t="s">
        <v>2315</v>
      </c>
      <c r="B99" s="16" t="s">
        <v>972</v>
      </c>
      <c r="C99" s="14" t="s">
        <v>158</v>
      </c>
      <c r="D99" s="14" t="s">
        <v>159</v>
      </c>
      <c r="E99" s="14" t="s">
        <v>158</v>
      </c>
      <c r="F99" s="14" t="s">
        <v>2044</v>
      </c>
      <c r="G99" s="14" t="s">
        <v>2045</v>
      </c>
      <c r="H99" s="14" t="s">
        <v>308</v>
      </c>
      <c r="I99" s="14" t="s">
        <v>309</v>
      </c>
      <c r="J99" s="16">
        <f>COUNTIF($I$3:I99, I99)</f>
        <v>4</v>
      </c>
      <c r="K99" s="14" t="s">
        <v>2048</v>
      </c>
      <c r="L99" s="14" t="s">
        <v>2048</v>
      </c>
      <c r="M99" s="14" t="s">
        <v>2048</v>
      </c>
      <c r="N99" s="14" t="s">
        <v>2048</v>
      </c>
      <c r="O99" s="14" t="s">
        <v>72</v>
      </c>
      <c r="P99" s="14" t="s">
        <v>72</v>
      </c>
      <c r="Q99" s="14" t="s">
        <v>72</v>
      </c>
      <c r="R99" s="14" t="s">
        <v>2048</v>
      </c>
      <c r="S99" s="14" t="s">
        <v>2048</v>
      </c>
      <c r="T99" s="14" t="s">
        <v>2048</v>
      </c>
      <c r="U99" s="14" t="s">
        <v>2048</v>
      </c>
      <c r="V99" s="14" t="s">
        <v>2050</v>
      </c>
      <c r="W99" s="14" t="s">
        <v>2048</v>
      </c>
      <c r="X99" s="14" t="s">
        <v>2048</v>
      </c>
      <c r="Y99" s="14" t="s">
        <v>2048</v>
      </c>
      <c r="Z99" s="14" t="s">
        <v>2048</v>
      </c>
      <c r="AA99" s="14" t="s">
        <v>2048</v>
      </c>
      <c r="AB99" s="14" t="s">
        <v>85</v>
      </c>
      <c r="AC99" s="14" t="s">
        <v>86</v>
      </c>
      <c r="AD99" s="14" t="s">
        <v>2132</v>
      </c>
      <c r="AE99" s="14" t="s">
        <v>2133</v>
      </c>
      <c r="AF99" s="14" t="s">
        <v>2055</v>
      </c>
      <c r="AG99" s="14" t="s">
        <v>2055</v>
      </c>
      <c r="AH99" s="14" t="s">
        <v>2055</v>
      </c>
      <c r="AI99" s="14" t="s">
        <v>2057</v>
      </c>
      <c r="AJ99" s="14" t="s">
        <v>87</v>
      </c>
      <c r="AK99" s="14" t="s">
        <v>2048</v>
      </c>
      <c r="AL99" s="14" t="s">
        <v>2048</v>
      </c>
      <c r="AM99" s="14" t="s">
        <v>2048</v>
      </c>
      <c r="AN99" s="14" t="s">
        <v>2696</v>
      </c>
      <c r="AO99" s="17" t="s">
        <v>89</v>
      </c>
      <c r="AP99" s="14" t="s">
        <v>2135</v>
      </c>
      <c r="AQ99" s="14" t="s">
        <v>1503</v>
      </c>
      <c r="AR99" s="14" t="s">
        <v>2060</v>
      </c>
      <c r="AS99" s="14" t="s">
        <v>2048</v>
      </c>
      <c r="AT99" s="14" t="s">
        <v>72</v>
      </c>
      <c r="AU99" s="14" t="s">
        <v>2652</v>
      </c>
      <c r="AV99" s="14" t="s">
        <v>2653</v>
      </c>
      <c r="AW99" s="14" t="s">
        <v>2048</v>
      </c>
      <c r="AX99" s="14" t="s">
        <v>2048</v>
      </c>
      <c r="AY99" s="14" t="s">
        <v>308</v>
      </c>
      <c r="AZ99" s="14" t="s">
        <v>312</v>
      </c>
      <c r="BA99" s="14" t="s">
        <v>2048</v>
      </c>
      <c r="BB99" s="14" t="s">
        <v>2048</v>
      </c>
      <c r="BC99" s="14" t="s">
        <v>2048</v>
      </c>
      <c r="BD99" s="14" t="s">
        <v>2048</v>
      </c>
      <c r="BE99" s="14" t="s">
        <v>2048</v>
      </c>
      <c r="BF99" s="14" t="s">
        <v>2048</v>
      </c>
      <c r="BG99" s="14" t="s">
        <v>2048</v>
      </c>
      <c r="BH99" s="14" t="s">
        <v>2048</v>
      </c>
      <c r="BI99" s="14" t="s">
        <v>2048</v>
      </c>
      <c r="BJ99" s="14" t="s">
        <v>2048</v>
      </c>
      <c r="BK99" s="14" t="s">
        <v>2048</v>
      </c>
      <c r="BL99" s="14" t="s">
        <v>2064</v>
      </c>
      <c r="BM99" s="14" t="s">
        <v>72</v>
      </c>
      <c r="BN99" s="14" t="s">
        <v>72</v>
      </c>
      <c r="BO99" s="14" t="s">
        <v>2048</v>
      </c>
      <c r="BP99" s="14" t="s">
        <v>2048</v>
      </c>
      <c r="BQ99" s="14" t="s">
        <v>2048</v>
      </c>
      <c r="BR99" s="14" t="s">
        <v>2418</v>
      </c>
      <c r="BS99" s="14" t="s">
        <v>2089</v>
      </c>
      <c r="BT99" s="14" t="s">
        <v>2048</v>
      </c>
      <c r="BU99" s="14" t="s">
        <v>2048</v>
      </c>
      <c r="BV99" s="14" t="s">
        <v>2048</v>
      </c>
      <c r="BW99" s="14" t="s">
        <v>2048</v>
      </c>
      <c r="BX99" s="14" t="s">
        <v>72</v>
      </c>
      <c r="BY99" s="14" t="s">
        <v>2048</v>
      </c>
      <c r="BZ99" s="14" t="s">
        <v>2048</v>
      </c>
      <c r="CA99" s="14" t="s">
        <v>2048</v>
      </c>
      <c r="CB99" s="14" t="s">
        <v>2048</v>
      </c>
      <c r="CC99" s="14" t="s">
        <v>2048</v>
      </c>
      <c r="CD99" s="14" t="s">
        <v>2048</v>
      </c>
      <c r="CE99" s="14" t="s">
        <v>2048</v>
      </c>
      <c r="CF99" s="14" t="s">
        <v>2048</v>
      </c>
      <c r="CG99" s="14" t="s">
        <v>2057</v>
      </c>
      <c r="CH99" s="14" t="s">
        <v>2090</v>
      </c>
      <c r="CI99" s="14" t="s">
        <v>2048</v>
      </c>
      <c r="CJ99" s="17"/>
      <c r="CK99" s="17">
        <v>45649</v>
      </c>
      <c r="CL99" s="17">
        <v>45649</v>
      </c>
      <c r="CM99" s="17">
        <v>2958465</v>
      </c>
      <c r="CN99" s="17"/>
      <c r="CO99" s="19">
        <v>0</v>
      </c>
      <c r="CP99" s="19">
        <v>0</v>
      </c>
      <c r="CQ99" s="19">
        <v>0</v>
      </c>
      <c r="CR99" s="19">
        <v>0</v>
      </c>
      <c r="CS99" s="19">
        <v>0</v>
      </c>
      <c r="CT99" s="19">
        <v>0</v>
      </c>
      <c r="CU99" s="19">
        <v>0</v>
      </c>
      <c r="CV99" s="17"/>
      <c r="CW99" s="19">
        <v>0</v>
      </c>
      <c r="CX99" s="17"/>
      <c r="CY99" s="17"/>
      <c r="CZ99" s="19">
        <v>0</v>
      </c>
      <c r="DA99" s="17"/>
      <c r="DB99" s="17"/>
      <c r="DC99" s="19">
        <v>100</v>
      </c>
      <c r="DD99" s="17"/>
      <c r="DE99" s="17">
        <v>2958465</v>
      </c>
      <c r="DF99" s="17"/>
      <c r="DG99" s="17"/>
      <c r="DH99" s="19">
        <v>0</v>
      </c>
      <c r="DI99" s="19">
        <v>0</v>
      </c>
    </row>
    <row r="100" spans="1:113" x14ac:dyDescent="0.2">
      <c r="A100" s="14" t="s">
        <v>2315</v>
      </c>
      <c r="B100" s="16" t="s">
        <v>976</v>
      </c>
      <c r="C100" s="14" t="s">
        <v>158</v>
      </c>
      <c r="D100" s="14" t="s">
        <v>159</v>
      </c>
      <c r="E100" s="14" t="s">
        <v>158</v>
      </c>
      <c r="F100" s="14" t="s">
        <v>2044</v>
      </c>
      <c r="G100" s="14" t="s">
        <v>2045</v>
      </c>
      <c r="H100" s="14" t="s">
        <v>308</v>
      </c>
      <c r="I100" s="14" t="s">
        <v>309</v>
      </c>
      <c r="J100" s="16">
        <f>COUNTIF($I$3:I100, I100)</f>
        <v>5</v>
      </c>
      <c r="K100" s="14" t="s">
        <v>2048</v>
      </c>
      <c r="L100" s="14" t="s">
        <v>2048</v>
      </c>
      <c r="M100" s="14" t="s">
        <v>2048</v>
      </c>
      <c r="N100" s="14" t="s">
        <v>2048</v>
      </c>
      <c r="O100" s="14" t="s">
        <v>72</v>
      </c>
      <c r="P100" s="14" t="s">
        <v>72</v>
      </c>
      <c r="Q100" s="14" t="s">
        <v>72</v>
      </c>
      <c r="R100" s="14" t="s">
        <v>2048</v>
      </c>
      <c r="S100" s="14" t="s">
        <v>2048</v>
      </c>
      <c r="T100" s="14" t="s">
        <v>2048</v>
      </c>
      <c r="U100" s="14" t="s">
        <v>2048</v>
      </c>
      <c r="V100" s="14" t="s">
        <v>2050</v>
      </c>
      <c r="W100" s="14" t="s">
        <v>2048</v>
      </c>
      <c r="X100" s="14" t="s">
        <v>2048</v>
      </c>
      <c r="Y100" s="14" t="s">
        <v>2048</v>
      </c>
      <c r="Z100" s="14" t="s">
        <v>2048</v>
      </c>
      <c r="AA100" s="14" t="s">
        <v>2048</v>
      </c>
      <c r="AB100" s="14" t="s">
        <v>85</v>
      </c>
      <c r="AC100" s="14" t="s">
        <v>86</v>
      </c>
      <c r="AD100" s="14" t="s">
        <v>2132</v>
      </c>
      <c r="AE100" s="14" t="s">
        <v>2133</v>
      </c>
      <c r="AF100" s="14" t="s">
        <v>2055</v>
      </c>
      <c r="AG100" s="14" t="s">
        <v>2055</v>
      </c>
      <c r="AH100" s="14" t="s">
        <v>2055</v>
      </c>
      <c r="AI100" s="14" t="s">
        <v>2057</v>
      </c>
      <c r="AJ100" s="14" t="s">
        <v>87</v>
      </c>
      <c r="AK100" s="14" t="s">
        <v>2048</v>
      </c>
      <c r="AL100" s="14" t="s">
        <v>2048</v>
      </c>
      <c r="AM100" s="14" t="s">
        <v>2048</v>
      </c>
      <c r="AN100" s="14" t="s">
        <v>2696</v>
      </c>
      <c r="AO100" s="17" t="s">
        <v>89</v>
      </c>
      <c r="AP100" s="14" t="s">
        <v>2135</v>
      </c>
      <c r="AQ100" s="14" t="s">
        <v>1003</v>
      </c>
      <c r="AR100" s="14" t="s">
        <v>2060</v>
      </c>
      <c r="AS100" s="14" t="s">
        <v>2048</v>
      </c>
      <c r="AT100" s="14" t="s">
        <v>72</v>
      </c>
      <c r="AU100" s="14" t="s">
        <v>2652</v>
      </c>
      <c r="AV100" s="14" t="s">
        <v>2653</v>
      </c>
      <c r="AW100" s="14" t="s">
        <v>2048</v>
      </c>
      <c r="AX100" s="14" t="s">
        <v>2048</v>
      </c>
      <c r="AY100" s="14" t="s">
        <v>308</v>
      </c>
      <c r="AZ100" s="14" t="s">
        <v>310</v>
      </c>
      <c r="BA100" s="14" t="s">
        <v>2654</v>
      </c>
      <c r="BB100" s="14" t="s">
        <v>2048</v>
      </c>
      <c r="BC100" s="14" t="s">
        <v>2048</v>
      </c>
      <c r="BD100" s="14" t="s">
        <v>2048</v>
      </c>
      <c r="BE100" s="14" t="s">
        <v>2048</v>
      </c>
      <c r="BF100" s="14" t="s">
        <v>2048</v>
      </c>
      <c r="BG100" s="14" t="s">
        <v>2048</v>
      </c>
      <c r="BH100" s="14" t="s">
        <v>2655</v>
      </c>
      <c r="BI100" s="14" t="s">
        <v>2656</v>
      </c>
      <c r="BJ100" s="14" t="s">
        <v>2048</v>
      </c>
      <c r="BK100" s="14" t="s">
        <v>2048</v>
      </c>
      <c r="BL100" s="14" t="s">
        <v>2064</v>
      </c>
      <c r="BM100" s="14" t="s">
        <v>72</v>
      </c>
      <c r="BN100" s="14" t="s">
        <v>72</v>
      </c>
      <c r="BO100" s="14" t="s">
        <v>2048</v>
      </c>
      <c r="BP100" s="14" t="s">
        <v>2048</v>
      </c>
      <c r="BQ100" s="14" t="s">
        <v>2048</v>
      </c>
      <c r="BR100" s="14" t="s">
        <v>2418</v>
      </c>
      <c r="BS100" s="14" t="s">
        <v>2089</v>
      </c>
      <c r="BT100" s="14" t="s">
        <v>2048</v>
      </c>
      <c r="BU100" s="14" t="s">
        <v>2048</v>
      </c>
      <c r="BV100" s="14" t="s">
        <v>2048</v>
      </c>
      <c r="BW100" s="14" t="s">
        <v>2048</v>
      </c>
      <c r="BX100" s="14" t="s">
        <v>72</v>
      </c>
      <c r="BY100" s="14" t="s">
        <v>2048</v>
      </c>
      <c r="BZ100" s="14" t="s">
        <v>2048</v>
      </c>
      <c r="CA100" s="14" t="s">
        <v>2048</v>
      </c>
      <c r="CB100" s="14" t="s">
        <v>2048</v>
      </c>
      <c r="CC100" s="14" t="s">
        <v>2048</v>
      </c>
      <c r="CD100" s="14" t="s">
        <v>2048</v>
      </c>
      <c r="CE100" s="14" t="s">
        <v>2048</v>
      </c>
      <c r="CF100" s="14" t="s">
        <v>2048</v>
      </c>
      <c r="CG100" s="14" t="s">
        <v>2057</v>
      </c>
      <c r="CH100" s="14" t="s">
        <v>2090</v>
      </c>
      <c r="CI100" s="14" t="s">
        <v>2048</v>
      </c>
      <c r="CJ100" s="17"/>
      <c r="CK100" s="17">
        <v>45649</v>
      </c>
      <c r="CL100" s="17">
        <v>45649</v>
      </c>
      <c r="CM100" s="17">
        <v>2958465</v>
      </c>
      <c r="CN100" s="17"/>
      <c r="CO100" s="19">
        <v>0</v>
      </c>
      <c r="CP100" s="19">
        <v>0</v>
      </c>
      <c r="CQ100" s="19">
        <v>0</v>
      </c>
      <c r="CR100" s="19">
        <v>0</v>
      </c>
      <c r="CS100" s="19">
        <v>0</v>
      </c>
      <c r="CT100" s="19">
        <v>0</v>
      </c>
      <c r="CU100" s="19">
        <v>0</v>
      </c>
      <c r="CV100" s="17"/>
      <c r="CW100" s="19">
        <v>0</v>
      </c>
      <c r="CX100" s="17"/>
      <c r="CY100" s="17"/>
      <c r="CZ100" s="19">
        <v>0</v>
      </c>
      <c r="DA100" s="17"/>
      <c r="DB100" s="17"/>
      <c r="DC100" s="19">
        <v>100</v>
      </c>
      <c r="DD100" s="17"/>
      <c r="DE100" s="17">
        <v>2958465</v>
      </c>
      <c r="DF100" s="17"/>
      <c r="DG100" s="17"/>
      <c r="DH100" s="19">
        <v>0</v>
      </c>
      <c r="DI100" s="19">
        <v>0</v>
      </c>
    </row>
    <row r="101" spans="1:113" x14ac:dyDescent="0.2">
      <c r="A101" s="14" t="s">
        <v>2315</v>
      </c>
      <c r="B101" s="16" t="s">
        <v>587</v>
      </c>
      <c r="C101" s="14" t="s">
        <v>158</v>
      </c>
      <c r="D101" s="14" t="s">
        <v>159</v>
      </c>
      <c r="E101" s="14" t="s">
        <v>158</v>
      </c>
      <c r="F101" s="14" t="s">
        <v>2044</v>
      </c>
      <c r="G101" s="14" t="s">
        <v>2045</v>
      </c>
      <c r="H101" s="14" t="s">
        <v>584</v>
      </c>
      <c r="I101" s="14" t="s">
        <v>585</v>
      </c>
      <c r="J101" s="16">
        <f>COUNTIF($I$3:I101, I101)</f>
        <v>2</v>
      </c>
      <c r="K101" s="14" t="s">
        <v>2048</v>
      </c>
      <c r="L101" s="14" t="s">
        <v>2048</v>
      </c>
      <c r="M101" s="14" t="s">
        <v>2048</v>
      </c>
      <c r="N101" s="14" t="s">
        <v>2048</v>
      </c>
      <c r="O101" s="14" t="s">
        <v>2735</v>
      </c>
      <c r="P101" s="14" t="s">
        <v>589</v>
      </c>
      <c r="Q101" s="14" t="s">
        <v>72</v>
      </c>
      <c r="R101" s="14" t="s">
        <v>2048</v>
      </c>
      <c r="S101" s="14" t="s">
        <v>2048</v>
      </c>
      <c r="T101" s="14" t="s">
        <v>2048</v>
      </c>
      <c r="U101" s="14" t="s">
        <v>2048</v>
      </c>
      <c r="V101" s="14" t="s">
        <v>2050</v>
      </c>
      <c r="W101" s="14" t="s">
        <v>2048</v>
      </c>
      <c r="X101" s="14" t="s">
        <v>2048</v>
      </c>
      <c r="Y101" s="14" t="s">
        <v>2048</v>
      </c>
      <c r="Z101" s="14" t="s">
        <v>2048</v>
      </c>
      <c r="AA101" s="14" t="s">
        <v>2048</v>
      </c>
      <c r="AB101" s="14" t="s">
        <v>85</v>
      </c>
      <c r="AC101" s="14" t="s">
        <v>86</v>
      </c>
      <c r="AD101" s="14" t="s">
        <v>159</v>
      </c>
      <c r="AE101" s="14" t="s">
        <v>585</v>
      </c>
      <c r="AF101" s="14" t="s">
        <v>2056</v>
      </c>
      <c r="AG101" s="14" t="s">
        <v>2056</v>
      </c>
      <c r="AH101" s="14" t="s">
        <v>2055</v>
      </c>
      <c r="AI101" s="14" t="s">
        <v>2057</v>
      </c>
      <c r="AJ101" s="14" t="s">
        <v>87</v>
      </c>
      <c r="AK101" s="14" t="s">
        <v>2048</v>
      </c>
      <c r="AL101" s="14" t="s">
        <v>2048</v>
      </c>
      <c r="AM101" s="14" t="s">
        <v>2584</v>
      </c>
      <c r="AN101" s="14" t="s">
        <v>2736</v>
      </c>
      <c r="AO101" s="17" t="s">
        <v>89</v>
      </c>
      <c r="AP101" s="14" t="s">
        <v>2135</v>
      </c>
      <c r="AQ101" s="14" t="s">
        <v>2737</v>
      </c>
      <c r="AR101" s="14" t="s">
        <v>2738</v>
      </c>
      <c r="AS101" s="14" t="s">
        <v>2739</v>
      </c>
      <c r="AT101" s="14" t="s">
        <v>72</v>
      </c>
      <c r="AU101" s="14" t="s">
        <v>2740</v>
      </c>
      <c r="AV101" s="14" t="s">
        <v>2741</v>
      </c>
      <c r="AW101" s="14" t="s">
        <v>2048</v>
      </c>
      <c r="AX101" s="14" t="s">
        <v>2048</v>
      </c>
      <c r="AY101" s="14" t="s">
        <v>584</v>
      </c>
      <c r="AZ101" s="14" t="s">
        <v>588</v>
      </c>
      <c r="BA101" s="14" t="s">
        <v>2742</v>
      </c>
      <c r="BB101" s="14" t="s">
        <v>2048</v>
      </c>
      <c r="BC101" s="14" t="s">
        <v>2048</v>
      </c>
      <c r="BD101" s="14" t="s">
        <v>2743</v>
      </c>
      <c r="BE101" s="14" t="s">
        <v>2744</v>
      </c>
      <c r="BF101" s="14" t="s">
        <v>2745</v>
      </c>
      <c r="BG101" s="14" t="s">
        <v>2746</v>
      </c>
      <c r="BH101" s="14" t="s">
        <v>2747</v>
      </c>
      <c r="BI101" s="14" t="s">
        <v>2287</v>
      </c>
      <c r="BJ101" s="14" t="s">
        <v>2048</v>
      </c>
      <c r="BK101" s="14" t="s">
        <v>2048</v>
      </c>
      <c r="BL101" s="14" t="s">
        <v>2064</v>
      </c>
      <c r="BM101" s="14" t="s">
        <v>72</v>
      </c>
      <c r="BN101" s="14" t="s">
        <v>72</v>
      </c>
      <c r="BO101" s="14" t="s">
        <v>2748</v>
      </c>
      <c r="BP101" s="14" t="s">
        <v>2749</v>
      </c>
      <c r="BQ101" s="14" t="s">
        <v>2750</v>
      </c>
      <c r="BR101" s="14" t="s">
        <v>2418</v>
      </c>
      <c r="BS101" s="14" t="s">
        <v>2089</v>
      </c>
      <c r="BT101" s="14" t="s">
        <v>2048</v>
      </c>
      <c r="BU101" s="14" t="s">
        <v>2048</v>
      </c>
      <c r="BV101" s="14" t="s">
        <v>2048</v>
      </c>
      <c r="BW101" s="14" t="s">
        <v>2048</v>
      </c>
      <c r="BX101" s="14" t="s">
        <v>72</v>
      </c>
      <c r="BY101" s="14" t="s">
        <v>2048</v>
      </c>
      <c r="BZ101" s="14" t="s">
        <v>2048</v>
      </c>
      <c r="CA101" s="14" t="s">
        <v>2048</v>
      </c>
      <c r="CB101" s="14" t="s">
        <v>2048</v>
      </c>
      <c r="CC101" s="14" t="s">
        <v>2048</v>
      </c>
      <c r="CD101" s="14" t="s">
        <v>2048</v>
      </c>
      <c r="CE101" s="14" t="s">
        <v>2048</v>
      </c>
      <c r="CF101" s="14" t="s">
        <v>2048</v>
      </c>
      <c r="CG101" s="14" t="s">
        <v>2057</v>
      </c>
      <c r="CH101" s="14" t="s">
        <v>2090</v>
      </c>
      <c r="CI101" s="14" t="s">
        <v>2048</v>
      </c>
      <c r="CJ101" s="17"/>
      <c r="CK101" s="17">
        <v>45649</v>
      </c>
      <c r="CL101" s="17">
        <v>45649</v>
      </c>
      <c r="CM101" s="17">
        <v>2958465</v>
      </c>
      <c r="CN101" s="17"/>
      <c r="CO101" s="19">
        <v>0</v>
      </c>
      <c r="CP101" s="19">
        <v>0</v>
      </c>
      <c r="CQ101" s="19">
        <v>0</v>
      </c>
      <c r="CR101" s="19">
        <v>0</v>
      </c>
      <c r="CS101" s="19">
        <v>0</v>
      </c>
      <c r="CT101" s="19">
        <v>0</v>
      </c>
      <c r="CU101" s="19">
        <v>0</v>
      </c>
      <c r="CV101" s="17"/>
      <c r="CW101" s="19">
        <v>0</v>
      </c>
      <c r="CX101" s="17"/>
      <c r="CY101" s="17"/>
      <c r="CZ101" s="19">
        <v>0</v>
      </c>
      <c r="DA101" s="17"/>
      <c r="DB101" s="17"/>
      <c r="DC101" s="19">
        <v>50</v>
      </c>
      <c r="DD101" s="17"/>
      <c r="DE101" s="17">
        <v>2958465</v>
      </c>
      <c r="DF101" s="17"/>
      <c r="DG101" s="17"/>
      <c r="DH101" s="19">
        <v>0</v>
      </c>
      <c r="DI101" s="19">
        <v>0</v>
      </c>
    </row>
    <row r="102" spans="1:113" x14ac:dyDescent="0.2">
      <c r="A102" s="14" t="s">
        <v>2315</v>
      </c>
      <c r="B102" s="16" t="s">
        <v>981</v>
      </c>
      <c r="C102" s="14" t="s">
        <v>158</v>
      </c>
      <c r="D102" s="14" t="s">
        <v>159</v>
      </c>
      <c r="E102" s="14" t="s">
        <v>158</v>
      </c>
      <c r="F102" s="14" t="s">
        <v>2044</v>
      </c>
      <c r="G102" s="14" t="s">
        <v>2045</v>
      </c>
      <c r="H102" s="14" t="s">
        <v>308</v>
      </c>
      <c r="I102" s="14" t="s">
        <v>309</v>
      </c>
      <c r="J102" s="16">
        <f>COUNTIF($I$3:I102, I102)</f>
        <v>6</v>
      </c>
      <c r="K102" s="14" t="s">
        <v>2048</v>
      </c>
      <c r="L102" s="14" t="s">
        <v>2048</v>
      </c>
      <c r="M102" s="14" t="s">
        <v>2048</v>
      </c>
      <c r="N102" s="14" t="s">
        <v>2048</v>
      </c>
      <c r="O102" s="14" t="s">
        <v>72</v>
      </c>
      <c r="P102" s="14" t="s">
        <v>72</v>
      </c>
      <c r="Q102" s="14" t="s">
        <v>72</v>
      </c>
      <c r="R102" s="14" t="s">
        <v>2048</v>
      </c>
      <c r="S102" s="14" t="s">
        <v>2048</v>
      </c>
      <c r="T102" s="14" t="s">
        <v>2048</v>
      </c>
      <c r="U102" s="14" t="s">
        <v>2048</v>
      </c>
      <c r="V102" s="14" t="s">
        <v>2050</v>
      </c>
      <c r="W102" s="14" t="s">
        <v>2048</v>
      </c>
      <c r="X102" s="14" t="s">
        <v>2048</v>
      </c>
      <c r="Y102" s="14" t="s">
        <v>2048</v>
      </c>
      <c r="Z102" s="14" t="s">
        <v>2048</v>
      </c>
      <c r="AA102" s="14" t="s">
        <v>2048</v>
      </c>
      <c r="AB102" s="14" t="s">
        <v>85</v>
      </c>
      <c r="AC102" s="14" t="s">
        <v>86</v>
      </c>
      <c r="AD102" s="14" t="s">
        <v>2132</v>
      </c>
      <c r="AE102" s="14" t="s">
        <v>2133</v>
      </c>
      <c r="AF102" s="14" t="s">
        <v>2055</v>
      </c>
      <c r="AG102" s="14" t="s">
        <v>2055</v>
      </c>
      <c r="AH102" s="14" t="s">
        <v>2055</v>
      </c>
      <c r="AI102" s="14" t="s">
        <v>2057</v>
      </c>
      <c r="AJ102" s="14" t="s">
        <v>87</v>
      </c>
      <c r="AK102" s="14" t="s">
        <v>2048</v>
      </c>
      <c r="AL102" s="14" t="s">
        <v>2048</v>
      </c>
      <c r="AM102" s="14" t="s">
        <v>2048</v>
      </c>
      <c r="AN102" s="14" t="s">
        <v>2751</v>
      </c>
      <c r="AO102" s="17" t="s">
        <v>89</v>
      </c>
      <c r="AP102" s="14" t="s">
        <v>2135</v>
      </c>
      <c r="AQ102" s="14" t="s">
        <v>2752</v>
      </c>
      <c r="AR102" s="14" t="s">
        <v>2060</v>
      </c>
      <c r="AS102" s="14" t="s">
        <v>2048</v>
      </c>
      <c r="AT102" s="14" t="s">
        <v>72</v>
      </c>
      <c r="AU102" s="14" t="s">
        <v>2652</v>
      </c>
      <c r="AV102" s="14" t="s">
        <v>2653</v>
      </c>
      <c r="AW102" s="14" t="s">
        <v>2048</v>
      </c>
      <c r="AX102" s="14" t="s">
        <v>2048</v>
      </c>
      <c r="AY102" s="14" t="s">
        <v>308</v>
      </c>
      <c r="AZ102" s="14" t="s">
        <v>310</v>
      </c>
      <c r="BA102" s="14" t="s">
        <v>2654</v>
      </c>
      <c r="BB102" s="14" t="s">
        <v>2048</v>
      </c>
      <c r="BC102" s="14" t="s">
        <v>2048</v>
      </c>
      <c r="BD102" s="14" t="s">
        <v>2048</v>
      </c>
      <c r="BE102" s="14" t="s">
        <v>2048</v>
      </c>
      <c r="BF102" s="14" t="s">
        <v>2048</v>
      </c>
      <c r="BG102" s="14" t="s">
        <v>2048</v>
      </c>
      <c r="BH102" s="14" t="s">
        <v>2655</v>
      </c>
      <c r="BI102" s="14" t="s">
        <v>2656</v>
      </c>
      <c r="BJ102" s="14" t="s">
        <v>2048</v>
      </c>
      <c r="BK102" s="14" t="s">
        <v>2048</v>
      </c>
      <c r="BL102" s="14" t="s">
        <v>2064</v>
      </c>
      <c r="BM102" s="14" t="s">
        <v>72</v>
      </c>
      <c r="BN102" s="14" t="s">
        <v>72</v>
      </c>
      <c r="BO102" s="14" t="s">
        <v>2048</v>
      </c>
      <c r="BP102" s="14" t="s">
        <v>2048</v>
      </c>
      <c r="BQ102" s="14" t="s">
        <v>2048</v>
      </c>
      <c r="BR102" s="14" t="s">
        <v>2418</v>
      </c>
      <c r="BS102" s="14" t="s">
        <v>2089</v>
      </c>
      <c r="BT102" s="14" t="s">
        <v>2048</v>
      </c>
      <c r="BU102" s="14" t="s">
        <v>2048</v>
      </c>
      <c r="BV102" s="14" t="s">
        <v>2048</v>
      </c>
      <c r="BW102" s="14" t="s">
        <v>2048</v>
      </c>
      <c r="BX102" s="14" t="s">
        <v>72</v>
      </c>
      <c r="BY102" s="14" t="s">
        <v>2048</v>
      </c>
      <c r="BZ102" s="14" t="s">
        <v>2048</v>
      </c>
      <c r="CA102" s="14" t="s">
        <v>2048</v>
      </c>
      <c r="CB102" s="14" t="s">
        <v>2048</v>
      </c>
      <c r="CC102" s="14" t="s">
        <v>2048</v>
      </c>
      <c r="CD102" s="14" t="s">
        <v>2048</v>
      </c>
      <c r="CE102" s="14" t="s">
        <v>2048</v>
      </c>
      <c r="CF102" s="14" t="s">
        <v>2048</v>
      </c>
      <c r="CG102" s="14" t="s">
        <v>2057</v>
      </c>
      <c r="CH102" s="14" t="s">
        <v>2090</v>
      </c>
      <c r="CI102" s="14" t="s">
        <v>2048</v>
      </c>
      <c r="CJ102" s="17"/>
      <c r="CK102" s="17">
        <v>45649</v>
      </c>
      <c r="CL102" s="17">
        <v>45649</v>
      </c>
      <c r="CM102" s="17">
        <v>2958465</v>
      </c>
      <c r="CN102" s="17"/>
      <c r="CO102" s="19">
        <v>0</v>
      </c>
      <c r="CP102" s="19">
        <v>0</v>
      </c>
      <c r="CQ102" s="19">
        <v>0</v>
      </c>
      <c r="CR102" s="19">
        <v>0</v>
      </c>
      <c r="CS102" s="19">
        <v>0</v>
      </c>
      <c r="CT102" s="19">
        <v>0</v>
      </c>
      <c r="CU102" s="19">
        <v>0</v>
      </c>
      <c r="CV102" s="17"/>
      <c r="CW102" s="19">
        <v>0</v>
      </c>
      <c r="CX102" s="17"/>
      <c r="CY102" s="17"/>
      <c r="CZ102" s="19">
        <v>0</v>
      </c>
      <c r="DA102" s="17"/>
      <c r="DB102" s="17"/>
      <c r="DC102" s="19">
        <v>100</v>
      </c>
      <c r="DD102" s="17"/>
      <c r="DE102" s="17">
        <v>2958465</v>
      </c>
      <c r="DF102" s="17"/>
      <c r="DG102" s="17"/>
      <c r="DH102" s="19">
        <v>0</v>
      </c>
      <c r="DI102" s="19">
        <v>0</v>
      </c>
    </row>
    <row r="103" spans="1:113" x14ac:dyDescent="0.2">
      <c r="A103" s="14" t="s">
        <v>2315</v>
      </c>
      <c r="B103" s="16" t="s">
        <v>1762</v>
      </c>
      <c r="C103" s="14" t="s">
        <v>158</v>
      </c>
      <c r="D103" s="14" t="s">
        <v>159</v>
      </c>
      <c r="E103" s="14" t="s">
        <v>158</v>
      </c>
      <c r="F103" s="14" t="s">
        <v>2044</v>
      </c>
      <c r="G103" s="14" t="s">
        <v>2045</v>
      </c>
      <c r="H103" s="14" t="s">
        <v>308</v>
      </c>
      <c r="I103" s="14" t="s">
        <v>309</v>
      </c>
      <c r="J103" s="16">
        <f>COUNTIF($I$3:I103, I103)</f>
        <v>7</v>
      </c>
      <c r="K103" s="14" t="s">
        <v>2048</v>
      </c>
      <c r="L103" s="14" t="s">
        <v>2048</v>
      </c>
      <c r="M103" s="14" t="s">
        <v>2048</v>
      </c>
      <c r="N103" s="14" t="s">
        <v>2048</v>
      </c>
      <c r="O103" s="14" t="s">
        <v>72</v>
      </c>
      <c r="P103" s="14" t="s">
        <v>72</v>
      </c>
      <c r="Q103" s="14" t="s">
        <v>72</v>
      </c>
      <c r="R103" s="14" t="s">
        <v>2048</v>
      </c>
      <c r="S103" s="14" t="s">
        <v>2048</v>
      </c>
      <c r="T103" s="14" t="s">
        <v>2048</v>
      </c>
      <c r="U103" s="14" t="s">
        <v>2048</v>
      </c>
      <c r="V103" s="14" t="s">
        <v>2050</v>
      </c>
      <c r="W103" s="14" t="s">
        <v>2048</v>
      </c>
      <c r="X103" s="14" t="s">
        <v>2048</v>
      </c>
      <c r="Y103" s="14" t="s">
        <v>2048</v>
      </c>
      <c r="Z103" s="14" t="s">
        <v>2048</v>
      </c>
      <c r="AA103" s="14" t="s">
        <v>2048</v>
      </c>
      <c r="AB103" s="14" t="s">
        <v>85</v>
      </c>
      <c r="AC103" s="14" t="s">
        <v>86</v>
      </c>
      <c r="AD103" s="14" t="s">
        <v>2132</v>
      </c>
      <c r="AE103" s="14" t="s">
        <v>2133</v>
      </c>
      <c r="AF103" s="14" t="s">
        <v>2055</v>
      </c>
      <c r="AG103" s="14" t="s">
        <v>2055</v>
      </c>
      <c r="AH103" s="14" t="s">
        <v>2055</v>
      </c>
      <c r="AI103" s="14" t="s">
        <v>2057</v>
      </c>
      <c r="AJ103" s="14" t="s">
        <v>87</v>
      </c>
      <c r="AK103" s="14" t="s">
        <v>2048</v>
      </c>
      <c r="AL103" s="14" t="s">
        <v>2048</v>
      </c>
      <c r="AM103" s="14" t="s">
        <v>2048</v>
      </c>
      <c r="AN103" s="14" t="s">
        <v>2696</v>
      </c>
      <c r="AO103" s="17" t="s">
        <v>89</v>
      </c>
      <c r="AP103" s="14" t="s">
        <v>2135</v>
      </c>
      <c r="AQ103" s="14" t="s">
        <v>975</v>
      </c>
      <c r="AR103" s="14" t="s">
        <v>2060</v>
      </c>
      <c r="AS103" s="14" t="s">
        <v>2048</v>
      </c>
      <c r="AT103" s="14" t="s">
        <v>72</v>
      </c>
      <c r="AU103" s="14" t="s">
        <v>2652</v>
      </c>
      <c r="AV103" s="14" t="s">
        <v>2653</v>
      </c>
      <c r="AW103" s="14" t="s">
        <v>2048</v>
      </c>
      <c r="AX103" s="14" t="s">
        <v>2048</v>
      </c>
      <c r="AY103" s="14" t="s">
        <v>308</v>
      </c>
      <c r="AZ103" s="14" t="s">
        <v>310</v>
      </c>
      <c r="BA103" s="14" t="s">
        <v>2654</v>
      </c>
      <c r="BB103" s="14" t="s">
        <v>2048</v>
      </c>
      <c r="BC103" s="14" t="s">
        <v>2048</v>
      </c>
      <c r="BD103" s="14" t="s">
        <v>2048</v>
      </c>
      <c r="BE103" s="14" t="s">
        <v>2048</v>
      </c>
      <c r="BF103" s="14" t="s">
        <v>2048</v>
      </c>
      <c r="BG103" s="14" t="s">
        <v>2048</v>
      </c>
      <c r="BH103" s="14" t="s">
        <v>2655</v>
      </c>
      <c r="BI103" s="14" t="s">
        <v>2656</v>
      </c>
      <c r="BJ103" s="14" t="s">
        <v>2048</v>
      </c>
      <c r="BK103" s="14" t="s">
        <v>2048</v>
      </c>
      <c r="BL103" s="14" t="s">
        <v>2064</v>
      </c>
      <c r="BM103" s="14" t="s">
        <v>72</v>
      </c>
      <c r="BN103" s="14" t="s">
        <v>72</v>
      </c>
      <c r="BO103" s="14" t="s">
        <v>2048</v>
      </c>
      <c r="BP103" s="14" t="s">
        <v>2048</v>
      </c>
      <c r="BQ103" s="14" t="s">
        <v>2048</v>
      </c>
      <c r="BR103" s="14" t="s">
        <v>2418</v>
      </c>
      <c r="BS103" s="14" t="s">
        <v>2089</v>
      </c>
      <c r="BT103" s="14" t="s">
        <v>2048</v>
      </c>
      <c r="BU103" s="14" t="s">
        <v>2048</v>
      </c>
      <c r="BV103" s="14" t="s">
        <v>2048</v>
      </c>
      <c r="BW103" s="14" t="s">
        <v>2048</v>
      </c>
      <c r="BX103" s="14" t="s">
        <v>72</v>
      </c>
      <c r="BY103" s="14" t="s">
        <v>2048</v>
      </c>
      <c r="BZ103" s="14" t="s">
        <v>2048</v>
      </c>
      <c r="CA103" s="14" t="s">
        <v>2048</v>
      </c>
      <c r="CB103" s="14" t="s">
        <v>2048</v>
      </c>
      <c r="CC103" s="14" t="s">
        <v>2048</v>
      </c>
      <c r="CD103" s="14" t="s">
        <v>2048</v>
      </c>
      <c r="CE103" s="14" t="s">
        <v>2048</v>
      </c>
      <c r="CF103" s="14" t="s">
        <v>2048</v>
      </c>
      <c r="CG103" s="14" t="s">
        <v>2057</v>
      </c>
      <c r="CH103" s="14" t="s">
        <v>2090</v>
      </c>
      <c r="CI103" s="14" t="s">
        <v>2048</v>
      </c>
      <c r="CJ103" s="17"/>
      <c r="CK103" s="17">
        <v>45649</v>
      </c>
      <c r="CL103" s="17">
        <v>45649</v>
      </c>
      <c r="CM103" s="17">
        <v>2958465</v>
      </c>
      <c r="CN103" s="17"/>
      <c r="CO103" s="19">
        <v>0</v>
      </c>
      <c r="CP103" s="19">
        <v>0</v>
      </c>
      <c r="CQ103" s="19">
        <v>0</v>
      </c>
      <c r="CR103" s="19">
        <v>0</v>
      </c>
      <c r="CS103" s="19">
        <v>0</v>
      </c>
      <c r="CT103" s="19">
        <v>0</v>
      </c>
      <c r="CU103" s="19">
        <v>0</v>
      </c>
      <c r="CV103" s="17"/>
      <c r="CW103" s="19">
        <v>0</v>
      </c>
      <c r="CX103" s="17"/>
      <c r="CY103" s="17"/>
      <c r="CZ103" s="19">
        <v>0</v>
      </c>
      <c r="DA103" s="17"/>
      <c r="DB103" s="17"/>
      <c r="DC103" s="19">
        <v>100</v>
      </c>
      <c r="DD103" s="17"/>
      <c r="DE103" s="17">
        <v>2958465</v>
      </c>
      <c r="DF103" s="17"/>
      <c r="DG103" s="17"/>
      <c r="DH103" s="19">
        <v>0</v>
      </c>
      <c r="DI103" s="19">
        <v>0</v>
      </c>
    </row>
    <row r="104" spans="1:113" x14ac:dyDescent="0.2">
      <c r="A104" s="14" t="s">
        <v>2315</v>
      </c>
      <c r="B104" s="16" t="s">
        <v>1744</v>
      </c>
      <c r="C104" s="14" t="s">
        <v>158</v>
      </c>
      <c r="D104" s="14" t="s">
        <v>159</v>
      </c>
      <c r="E104" s="14" t="s">
        <v>158</v>
      </c>
      <c r="F104" s="14" t="s">
        <v>2044</v>
      </c>
      <c r="G104" s="14" t="s">
        <v>2045</v>
      </c>
      <c r="H104" s="14" t="s">
        <v>190</v>
      </c>
      <c r="I104" s="14" t="s">
        <v>191</v>
      </c>
      <c r="J104" s="16">
        <f>COUNTIF($I$3:I104, I104)</f>
        <v>2</v>
      </c>
      <c r="K104" s="14" t="s">
        <v>2048</v>
      </c>
      <c r="L104" s="14" t="s">
        <v>2048</v>
      </c>
      <c r="M104" s="14" t="s">
        <v>2048</v>
      </c>
      <c r="N104" s="14" t="s">
        <v>2048</v>
      </c>
      <c r="O104" s="14" t="s">
        <v>2753</v>
      </c>
      <c r="P104" s="14" t="s">
        <v>2754</v>
      </c>
      <c r="Q104" s="14" t="s">
        <v>72</v>
      </c>
      <c r="R104" s="14" t="s">
        <v>2048</v>
      </c>
      <c r="S104" s="14" t="s">
        <v>2048</v>
      </c>
      <c r="T104" s="14" t="s">
        <v>2048</v>
      </c>
      <c r="U104" s="14" t="s">
        <v>2048</v>
      </c>
      <c r="V104" s="14" t="s">
        <v>2050</v>
      </c>
      <c r="W104" s="14" t="s">
        <v>2048</v>
      </c>
      <c r="X104" s="14" t="s">
        <v>2048</v>
      </c>
      <c r="Y104" s="14" t="s">
        <v>2048</v>
      </c>
      <c r="Z104" s="14" t="s">
        <v>2048</v>
      </c>
      <c r="AA104" s="14" t="s">
        <v>2048</v>
      </c>
      <c r="AB104" s="14" t="s">
        <v>85</v>
      </c>
      <c r="AC104" s="14" t="s">
        <v>86</v>
      </c>
      <c r="AD104" s="14" t="s">
        <v>2132</v>
      </c>
      <c r="AE104" s="14" t="s">
        <v>2133</v>
      </c>
      <c r="AF104" s="14" t="s">
        <v>2055</v>
      </c>
      <c r="AG104" s="14" t="s">
        <v>2055</v>
      </c>
      <c r="AH104" s="14" t="s">
        <v>2055</v>
      </c>
      <c r="AI104" s="14" t="s">
        <v>2057</v>
      </c>
      <c r="AJ104" s="14" t="s">
        <v>87</v>
      </c>
      <c r="AK104" s="14" t="s">
        <v>2048</v>
      </c>
      <c r="AL104" s="14" t="s">
        <v>2048</v>
      </c>
      <c r="AM104" s="14" t="s">
        <v>2755</v>
      </c>
      <c r="AN104" s="14" t="s">
        <v>2756</v>
      </c>
      <c r="AO104" s="17" t="s">
        <v>89</v>
      </c>
      <c r="AP104" s="14" t="s">
        <v>2135</v>
      </c>
      <c r="AQ104" s="14" t="s">
        <v>2059</v>
      </c>
      <c r="AR104" s="14" t="s">
        <v>2757</v>
      </c>
      <c r="AS104" s="14" t="s">
        <v>2758</v>
      </c>
      <c r="AT104" s="14" t="s">
        <v>72</v>
      </c>
      <c r="AU104" s="14" t="s">
        <v>2430</v>
      </c>
      <c r="AV104" s="14" t="s">
        <v>2431</v>
      </c>
      <c r="AW104" s="14" t="s">
        <v>2048</v>
      </c>
      <c r="AX104" s="14" t="s">
        <v>2048</v>
      </c>
      <c r="AY104" s="14" t="s">
        <v>190</v>
      </c>
      <c r="AZ104" s="14" t="s">
        <v>194</v>
      </c>
      <c r="BA104" s="14" t="s">
        <v>2759</v>
      </c>
      <c r="BB104" s="14" t="s">
        <v>2048</v>
      </c>
      <c r="BC104" s="14" t="s">
        <v>2048</v>
      </c>
      <c r="BD104" s="14" t="s">
        <v>2433</v>
      </c>
      <c r="BE104" s="14" t="s">
        <v>2434</v>
      </c>
      <c r="BF104" s="14" t="s">
        <v>2048</v>
      </c>
      <c r="BG104" s="14" t="s">
        <v>2048</v>
      </c>
      <c r="BH104" s="14" t="s">
        <v>2437</v>
      </c>
      <c r="BI104" s="14" t="s">
        <v>2287</v>
      </c>
      <c r="BJ104" s="14" t="s">
        <v>2048</v>
      </c>
      <c r="BK104" s="14" t="s">
        <v>2048</v>
      </c>
      <c r="BL104" s="14" t="s">
        <v>2064</v>
      </c>
      <c r="BM104" s="14" t="s">
        <v>72</v>
      </c>
      <c r="BN104" s="14" t="s">
        <v>72</v>
      </c>
      <c r="BO104" s="14" t="s">
        <v>2760</v>
      </c>
      <c r="BP104" s="14" t="s">
        <v>2761</v>
      </c>
      <c r="BQ104" s="14" t="s">
        <v>2762</v>
      </c>
      <c r="BR104" s="14" t="s">
        <v>2418</v>
      </c>
      <c r="BS104" s="14" t="s">
        <v>2089</v>
      </c>
      <c r="BT104" s="14" t="s">
        <v>2048</v>
      </c>
      <c r="BU104" s="14" t="s">
        <v>2048</v>
      </c>
      <c r="BV104" s="14" t="s">
        <v>2048</v>
      </c>
      <c r="BW104" s="14" t="s">
        <v>2048</v>
      </c>
      <c r="BX104" s="14" t="s">
        <v>72</v>
      </c>
      <c r="BY104" s="14" t="s">
        <v>2048</v>
      </c>
      <c r="BZ104" s="14" t="s">
        <v>2048</v>
      </c>
      <c r="CA104" s="14" t="s">
        <v>2048</v>
      </c>
      <c r="CB104" s="14" t="s">
        <v>2048</v>
      </c>
      <c r="CC104" s="14" t="s">
        <v>2048</v>
      </c>
      <c r="CD104" s="14" t="s">
        <v>2048</v>
      </c>
      <c r="CE104" s="14" t="s">
        <v>2048</v>
      </c>
      <c r="CF104" s="14" t="s">
        <v>2048</v>
      </c>
      <c r="CG104" s="14" t="s">
        <v>2057</v>
      </c>
      <c r="CH104" s="14" t="s">
        <v>2090</v>
      </c>
      <c r="CI104" s="14" t="s">
        <v>2048</v>
      </c>
      <c r="CJ104" s="17"/>
      <c r="CK104" s="17">
        <v>45646</v>
      </c>
      <c r="CL104" s="17">
        <v>45646</v>
      </c>
      <c r="CM104" s="17">
        <v>2958465</v>
      </c>
      <c r="CN104" s="17"/>
      <c r="CO104" s="19">
        <v>0</v>
      </c>
      <c r="CP104" s="19">
        <v>0</v>
      </c>
      <c r="CQ104" s="19">
        <v>0</v>
      </c>
      <c r="CR104" s="19">
        <v>0</v>
      </c>
      <c r="CS104" s="19">
        <v>0</v>
      </c>
      <c r="CT104" s="19">
        <v>0</v>
      </c>
      <c r="CU104" s="19">
        <v>0</v>
      </c>
      <c r="CV104" s="17"/>
      <c r="CW104" s="19">
        <v>0</v>
      </c>
      <c r="CX104" s="17"/>
      <c r="CY104" s="17"/>
      <c r="CZ104" s="19">
        <v>0</v>
      </c>
      <c r="DA104" s="17"/>
      <c r="DB104" s="17"/>
      <c r="DC104" s="19">
        <v>100</v>
      </c>
      <c r="DD104" s="17"/>
      <c r="DE104" s="17">
        <v>2958465</v>
      </c>
      <c r="DF104" s="17"/>
      <c r="DG104" s="17"/>
      <c r="DH104" s="19">
        <v>0</v>
      </c>
      <c r="DI104" s="19">
        <v>0</v>
      </c>
    </row>
    <row r="105" spans="1:113" x14ac:dyDescent="0.2">
      <c r="A105" s="14" t="s">
        <v>2315</v>
      </c>
      <c r="B105" s="16" t="s">
        <v>1799</v>
      </c>
      <c r="C105" s="14" t="s">
        <v>158</v>
      </c>
      <c r="D105" s="14" t="s">
        <v>159</v>
      </c>
      <c r="E105" s="14" t="s">
        <v>158</v>
      </c>
      <c r="F105" s="14" t="s">
        <v>2044</v>
      </c>
      <c r="G105" s="14" t="s">
        <v>2045</v>
      </c>
      <c r="H105" s="14" t="s">
        <v>2763</v>
      </c>
      <c r="I105" s="14" t="s">
        <v>2764</v>
      </c>
      <c r="J105" s="16">
        <f>COUNTIF($I$3:I105, I105)</f>
        <v>1</v>
      </c>
      <c r="K105" s="14" t="s">
        <v>2048</v>
      </c>
      <c r="L105" s="14" t="s">
        <v>2048</v>
      </c>
      <c r="M105" s="14" t="s">
        <v>2048</v>
      </c>
      <c r="N105" s="14" t="s">
        <v>2048</v>
      </c>
      <c r="O105" s="14" t="s">
        <v>72</v>
      </c>
      <c r="P105" s="14" t="s">
        <v>72</v>
      </c>
      <c r="Q105" s="14" t="s">
        <v>2048</v>
      </c>
      <c r="R105" s="14" t="s">
        <v>2048</v>
      </c>
      <c r="S105" s="14" t="s">
        <v>2048</v>
      </c>
      <c r="T105" s="14" t="s">
        <v>2048</v>
      </c>
      <c r="U105" s="14" t="s">
        <v>2048</v>
      </c>
      <c r="V105" s="14" t="s">
        <v>2050</v>
      </c>
      <c r="W105" s="14" t="s">
        <v>2048</v>
      </c>
      <c r="X105" s="14" t="s">
        <v>2048</v>
      </c>
      <c r="Y105" s="14" t="s">
        <v>2048</v>
      </c>
      <c r="Z105" s="14" t="s">
        <v>2048</v>
      </c>
      <c r="AA105" s="14" t="s">
        <v>2048</v>
      </c>
      <c r="AB105" s="14" t="s">
        <v>140</v>
      </c>
      <c r="AC105" s="14" t="s">
        <v>151</v>
      </c>
      <c r="AD105" s="14" t="s">
        <v>2765</v>
      </c>
      <c r="AE105" s="14" t="s">
        <v>2766</v>
      </c>
      <c r="AF105" s="14" t="s">
        <v>2055</v>
      </c>
      <c r="AG105" s="14" t="s">
        <v>2055</v>
      </c>
      <c r="AH105" s="14" t="s">
        <v>2055</v>
      </c>
      <c r="AI105" s="14" t="s">
        <v>2057</v>
      </c>
      <c r="AJ105" s="14" t="s">
        <v>87</v>
      </c>
      <c r="AK105" s="14" t="s">
        <v>2048</v>
      </c>
      <c r="AL105" s="14" t="s">
        <v>2048</v>
      </c>
      <c r="AM105" s="14" t="s">
        <v>2048</v>
      </c>
      <c r="AN105" s="14" t="s">
        <v>2766</v>
      </c>
      <c r="AO105" s="17" t="s">
        <v>89</v>
      </c>
      <c r="AP105" s="14" t="s">
        <v>2135</v>
      </c>
      <c r="AQ105" s="14" t="s">
        <v>2767</v>
      </c>
      <c r="AR105" s="14" t="s">
        <v>2060</v>
      </c>
      <c r="AS105" s="14" t="s">
        <v>2048</v>
      </c>
      <c r="AT105" s="14" t="s">
        <v>72</v>
      </c>
      <c r="AU105" s="14" t="s">
        <v>2062</v>
      </c>
      <c r="AV105" s="14" t="s">
        <v>2063</v>
      </c>
      <c r="AW105" s="14" t="s">
        <v>2048</v>
      </c>
      <c r="AX105" s="14" t="s">
        <v>2048</v>
      </c>
      <c r="AY105" s="14" t="s">
        <v>2763</v>
      </c>
      <c r="AZ105" s="14" t="s">
        <v>312</v>
      </c>
      <c r="BA105" s="14" t="s">
        <v>2048</v>
      </c>
      <c r="BB105" s="14" t="s">
        <v>2048</v>
      </c>
      <c r="BC105" s="14" t="s">
        <v>2048</v>
      </c>
      <c r="BD105" s="14" t="s">
        <v>2048</v>
      </c>
      <c r="BE105" s="14" t="s">
        <v>2048</v>
      </c>
      <c r="BF105" s="14" t="s">
        <v>2048</v>
      </c>
      <c r="BG105" s="14" t="s">
        <v>2048</v>
      </c>
      <c r="BH105" s="14" t="s">
        <v>2048</v>
      </c>
      <c r="BI105" s="14" t="s">
        <v>2048</v>
      </c>
      <c r="BJ105" s="14" t="s">
        <v>2048</v>
      </c>
      <c r="BK105" s="14" t="s">
        <v>2048</v>
      </c>
      <c r="BL105" s="14" t="s">
        <v>2064</v>
      </c>
      <c r="BM105" s="14" t="s">
        <v>72</v>
      </c>
      <c r="BN105" s="14" t="s">
        <v>72</v>
      </c>
      <c r="BO105" s="14" t="s">
        <v>2048</v>
      </c>
      <c r="BP105" s="14" t="s">
        <v>2048</v>
      </c>
      <c r="BQ105" s="14" t="s">
        <v>2048</v>
      </c>
      <c r="BR105" s="14" t="s">
        <v>2331</v>
      </c>
      <c r="BS105" s="14" t="s">
        <v>2131</v>
      </c>
      <c r="BT105" s="14" t="s">
        <v>2048</v>
      </c>
      <c r="BU105" s="14" t="s">
        <v>2048</v>
      </c>
      <c r="BV105" s="14" t="s">
        <v>2048</v>
      </c>
      <c r="BW105" s="14" t="s">
        <v>2048</v>
      </c>
      <c r="BX105" s="14" t="s">
        <v>72</v>
      </c>
      <c r="BY105" s="14" t="s">
        <v>2048</v>
      </c>
      <c r="BZ105" s="14" t="s">
        <v>2048</v>
      </c>
      <c r="CA105" s="14" t="s">
        <v>2048</v>
      </c>
      <c r="CB105" s="14" t="s">
        <v>2048</v>
      </c>
      <c r="CC105" s="14" t="s">
        <v>2048</v>
      </c>
      <c r="CD105" s="14" t="s">
        <v>2048</v>
      </c>
      <c r="CE105" s="14" t="s">
        <v>2048</v>
      </c>
      <c r="CF105" s="14" t="s">
        <v>2048</v>
      </c>
      <c r="CG105" s="14" t="s">
        <v>2068</v>
      </c>
      <c r="CH105" s="14" t="s">
        <v>2069</v>
      </c>
      <c r="CI105" s="14" t="s">
        <v>2048</v>
      </c>
      <c r="CJ105" s="17"/>
      <c r="CK105" s="17">
        <v>45623</v>
      </c>
      <c r="CL105" s="17">
        <v>45623</v>
      </c>
      <c r="CM105" s="17">
        <v>2958465</v>
      </c>
      <c r="CN105" s="17"/>
      <c r="CO105" s="19">
        <v>0</v>
      </c>
      <c r="CP105" s="19">
        <v>0</v>
      </c>
      <c r="CQ105" s="19">
        <v>0</v>
      </c>
      <c r="CR105" s="19">
        <v>0</v>
      </c>
      <c r="CS105" s="19">
        <v>0</v>
      </c>
      <c r="CT105" s="19">
        <v>0</v>
      </c>
      <c r="CU105" s="19">
        <v>0</v>
      </c>
      <c r="CV105" s="17"/>
      <c r="CW105" s="19">
        <v>0</v>
      </c>
      <c r="CX105" s="17"/>
      <c r="CY105" s="17">
        <v>47084</v>
      </c>
      <c r="CZ105" s="19">
        <v>0</v>
      </c>
      <c r="DA105" s="17"/>
      <c r="DB105" s="17"/>
      <c r="DC105" s="19">
        <v>100</v>
      </c>
      <c r="DD105" s="17"/>
      <c r="DE105" s="17">
        <v>2958465</v>
      </c>
      <c r="DF105" s="17"/>
      <c r="DG105" s="17"/>
      <c r="DH105" s="19">
        <v>0</v>
      </c>
      <c r="DI105" s="19">
        <v>0</v>
      </c>
    </row>
    <row r="106" spans="1:113" x14ac:dyDescent="0.2">
      <c r="A106" s="14" t="s">
        <v>2315</v>
      </c>
      <c r="B106" s="16" t="s">
        <v>846</v>
      </c>
      <c r="C106" s="14" t="s">
        <v>158</v>
      </c>
      <c r="D106" s="14" t="s">
        <v>159</v>
      </c>
      <c r="E106" s="14" t="s">
        <v>158</v>
      </c>
      <c r="F106" s="14" t="s">
        <v>2044</v>
      </c>
      <c r="G106" s="14" t="s">
        <v>2045</v>
      </c>
      <c r="H106" s="14" t="s">
        <v>81</v>
      </c>
      <c r="I106" s="14" t="s">
        <v>82</v>
      </c>
      <c r="J106" s="16">
        <f>COUNTIF($I$3:I106, I106)</f>
        <v>14</v>
      </c>
      <c r="K106" s="14" t="s">
        <v>2048</v>
      </c>
      <c r="L106" s="14" t="s">
        <v>2048</v>
      </c>
      <c r="M106" s="14" t="s">
        <v>2048</v>
      </c>
      <c r="N106" s="14" t="s">
        <v>2048</v>
      </c>
      <c r="O106" s="14" t="s">
        <v>2768</v>
      </c>
      <c r="P106" s="14" t="s">
        <v>847</v>
      </c>
      <c r="Q106" s="14" t="s">
        <v>72</v>
      </c>
      <c r="R106" s="14" t="s">
        <v>2048</v>
      </c>
      <c r="S106" s="14" t="s">
        <v>2048</v>
      </c>
      <c r="T106" s="14" t="s">
        <v>2048</v>
      </c>
      <c r="U106" s="14" t="s">
        <v>2048</v>
      </c>
      <c r="V106" s="14" t="s">
        <v>2050</v>
      </c>
      <c r="W106" s="14" t="s">
        <v>2048</v>
      </c>
      <c r="X106" s="14" t="s">
        <v>2048</v>
      </c>
      <c r="Y106" s="14" t="s">
        <v>2048</v>
      </c>
      <c r="Z106" s="14" t="s">
        <v>2048</v>
      </c>
      <c r="AA106" s="14" t="s">
        <v>2048</v>
      </c>
      <c r="AB106" s="14" t="s">
        <v>380</v>
      </c>
      <c r="AC106" s="14" t="s">
        <v>381</v>
      </c>
      <c r="AD106" s="14" t="s">
        <v>2411</v>
      </c>
      <c r="AE106" s="14" t="s">
        <v>2412</v>
      </c>
      <c r="AF106" s="14" t="s">
        <v>2055</v>
      </c>
      <c r="AG106" s="14" t="s">
        <v>2055</v>
      </c>
      <c r="AH106" s="14" t="s">
        <v>2055</v>
      </c>
      <c r="AI106" s="14" t="s">
        <v>2057</v>
      </c>
      <c r="AJ106" s="14" t="s">
        <v>87</v>
      </c>
      <c r="AK106" s="14" t="s">
        <v>2048</v>
      </c>
      <c r="AL106" s="14" t="s">
        <v>2048</v>
      </c>
      <c r="AM106" s="14" t="s">
        <v>2048</v>
      </c>
      <c r="AN106" s="14" t="s">
        <v>2207</v>
      </c>
      <c r="AO106" s="17" t="s">
        <v>89</v>
      </c>
      <c r="AP106" s="14" t="s">
        <v>2135</v>
      </c>
      <c r="AQ106" s="14" t="s">
        <v>2059</v>
      </c>
      <c r="AR106" s="14" t="s">
        <v>2060</v>
      </c>
      <c r="AS106" s="14" t="s">
        <v>2048</v>
      </c>
      <c r="AT106" s="14" t="s">
        <v>72</v>
      </c>
      <c r="AU106" s="14" t="s">
        <v>2268</v>
      </c>
      <c r="AV106" s="14" t="s">
        <v>2269</v>
      </c>
      <c r="AW106" s="14" t="s">
        <v>2048</v>
      </c>
      <c r="AX106" s="14" t="s">
        <v>2048</v>
      </c>
      <c r="AY106" s="14" t="s">
        <v>81</v>
      </c>
      <c r="AZ106" s="14" t="s">
        <v>164</v>
      </c>
      <c r="BA106" s="14" t="s">
        <v>2769</v>
      </c>
      <c r="BB106" s="14" t="s">
        <v>2048</v>
      </c>
      <c r="BC106" s="14" t="s">
        <v>2048</v>
      </c>
      <c r="BD106" s="14" t="s">
        <v>2271</v>
      </c>
      <c r="BE106" s="14" t="s">
        <v>2272</v>
      </c>
      <c r="BF106" s="14" t="s">
        <v>2271</v>
      </c>
      <c r="BG106" s="14" t="s">
        <v>2272</v>
      </c>
      <c r="BH106" s="14" t="s">
        <v>2273</v>
      </c>
      <c r="BI106" s="14" t="s">
        <v>2218</v>
      </c>
      <c r="BJ106" s="14" t="s">
        <v>2048</v>
      </c>
      <c r="BK106" s="14" t="s">
        <v>2048</v>
      </c>
      <c r="BL106" s="14" t="s">
        <v>2064</v>
      </c>
      <c r="BM106" s="14" t="s">
        <v>72</v>
      </c>
      <c r="BN106" s="14" t="s">
        <v>72</v>
      </c>
      <c r="BO106" s="14" t="s">
        <v>2770</v>
      </c>
      <c r="BP106" s="14" t="s">
        <v>2048</v>
      </c>
      <c r="BQ106" s="14" t="s">
        <v>2048</v>
      </c>
      <c r="BR106" s="14" t="s">
        <v>2418</v>
      </c>
      <c r="BS106" s="14" t="s">
        <v>2089</v>
      </c>
      <c r="BT106" s="14" t="s">
        <v>2048</v>
      </c>
      <c r="BU106" s="14" t="s">
        <v>2048</v>
      </c>
      <c r="BV106" s="14" t="s">
        <v>2048</v>
      </c>
      <c r="BW106" s="14" t="s">
        <v>2048</v>
      </c>
      <c r="BX106" s="14" t="s">
        <v>72</v>
      </c>
      <c r="BY106" s="14" t="s">
        <v>2048</v>
      </c>
      <c r="BZ106" s="14" t="s">
        <v>2048</v>
      </c>
      <c r="CA106" s="14" t="s">
        <v>2048</v>
      </c>
      <c r="CB106" s="14" t="s">
        <v>2048</v>
      </c>
      <c r="CC106" s="14" t="s">
        <v>2048</v>
      </c>
      <c r="CD106" s="14" t="s">
        <v>2048</v>
      </c>
      <c r="CE106" s="14" t="s">
        <v>2048</v>
      </c>
      <c r="CF106" s="14" t="s">
        <v>2048</v>
      </c>
      <c r="CG106" s="14" t="s">
        <v>2057</v>
      </c>
      <c r="CH106" s="14" t="s">
        <v>2090</v>
      </c>
      <c r="CI106" s="14" t="s">
        <v>2048</v>
      </c>
      <c r="CJ106" s="17"/>
      <c r="CK106" s="17">
        <v>45616</v>
      </c>
      <c r="CL106" s="17">
        <v>45616</v>
      </c>
      <c r="CM106" s="17">
        <v>2958465</v>
      </c>
      <c r="CN106" s="17"/>
      <c r="CO106" s="19">
        <v>0</v>
      </c>
      <c r="CP106" s="19">
        <v>0</v>
      </c>
      <c r="CQ106" s="19">
        <v>0</v>
      </c>
      <c r="CR106" s="19">
        <v>0</v>
      </c>
      <c r="CS106" s="19">
        <v>0</v>
      </c>
      <c r="CT106" s="19">
        <v>0</v>
      </c>
      <c r="CU106" s="19">
        <v>0</v>
      </c>
      <c r="CV106" s="17"/>
      <c r="CW106" s="20">
        <v>1413</v>
      </c>
      <c r="CX106" s="17">
        <v>45730</v>
      </c>
      <c r="CY106" s="17"/>
      <c r="CZ106" s="19">
        <v>0</v>
      </c>
      <c r="DA106" s="17"/>
      <c r="DB106" s="17"/>
      <c r="DC106" s="19">
        <v>100</v>
      </c>
      <c r="DD106" s="17"/>
      <c r="DE106" s="17">
        <v>2958465</v>
      </c>
      <c r="DF106" s="17"/>
      <c r="DG106" s="17"/>
      <c r="DH106" s="19">
        <v>0</v>
      </c>
      <c r="DI106" s="19">
        <v>0</v>
      </c>
    </row>
    <row r="107" spans="1:113" x14ac:dyDescent="0.2">
      <c r="A107" s="14" t="s">
        <v>2315</v>
      </c>
      <c r="B107" s="16" t="s">
        <v>851</v>
      </c>
      <c r="C107" s="14" t="s">
        <v>158</v>
      </c>
      <c r="D107" s="14" t="s">
        <v>159</v>
      </c>
      <c r="E107" s="14" t="s">
        <v>158</v>
      </c>
      <c r="F107" s="14" t="s">
        <v>2044</v>
      </c>
      <c r="G107" s="14" t="s">
        <v>2045</v>
      </c>
      <c r="H107" s="14" t="s">
        <v>81</v>
      </c>
      <c r="I107" s="14" t="s">
        <v>82</v>
      </c>
      <c r="J107" s="16">
        <f>COUNTIF($I$3:I107, I107)</f>
        <v>15</v>
      </c>
      <c r="K107" s="14" t="s">
        <v>2048</v>
      </c>
      <c r="L107" s="14" t="s">
        <v>2048</v>
      </c>
      <c r="M107" s="14" t="s">
        <v>2048</v>
      </c>
      <c r="N107" s="14" t="s">
        <v>2048</v>
      </c>
      <c r="O107" s="14" t="s">
        <v>2771</v>
      </c>
      <c r="P107" s="14" t="s">
        <v>852</v>
      </c>
      <c r="Q107" s="14" t="s">
        <v>72</v>
      </c>
      <c r="R107" s="14" t="s">
        <v>2048</v>
      </c>
      <c r="S107" s="14" t="s">
        <v>2048</v>
      </c>
      <c r="T107" s="14" t="s">
        <v>2048</v>
      </c>
      <c r="U107" s="14" t="s">
        <v>2048</v>
      </c>
      <c r="V107" s="14" t="s">
        <v>2050</v>
      </c>
      <c r="W107" s="14" t="s">
        <v>2048</v>
      </c>
      <c r="X107" s="14" t="s">
        <v>2048</v>
      </c>
      <c r="Y107" s="14" t="s">
        <v>2048</v>
      </c>
      <c r="Z107" s="14" t="s">
        <v>2048</v>
      </c>
      <c r="AA107" s="14" t="s">
        <v>2048</v>
      </c>
      <c r="AB107" s="14" t="s">
        <v>380</v>
      </c>
      <c r="AC107" s="14" t="s">
        <v>381</v>
      </c>
      <c r="AD107" s="14" t="s">
        <v>2411</v>
      </c>
      <c r="AE107" s="14" t="s">
        <v>2412</v>
      </c>
      <c r="AF107" s="14" t="s">
        <v>2055</v>
      </c>
      <c r="AG107" s="14" t="s">
        <v>2055</v>
      </c>
      <c r="AH107" s="14" t="s">
        <v>2055</v>
      </c>
      <c r="AI107" s="14" t="s">
        <v>2057</v>
      </c>
      <c r="AJ107" s="14" t="s">
        <v>87</v>
      </c>
      <c r="AK107" s="14" t="s">
        <v>2048</v>
      </c>
      <c r="AL107" s="14" t="s">
        <v>2048</v>
      </c>
      <c r="AM107" s="14" t="s">
        <v>2048</v>
      </c>
      <c r="AN107" s="14" t="s">
        <v>2207</v>
      </c>
      <c r="AO107" s="17" t="s">
        <v>89</v>
      </c>
      <c r="AP107" s="14" t="s">
        <v>2135</v>
      </c>
      <c r="AQ107" s="14" t="s">
        <v>2772</v>
      </c>
      <c r="AR107" s="14" t="s">
        <v>2060</v>
      </c>
      <c r="AS107" s="14" t="s">
        <v>2048</v>
      </c>
      <c r="AT107" s="14" t="s">
        <v>72</v>
      </c>
      <c r="AU107" s="14" t="s">
        <v>2268</v>
      </c>
      <c r="AV107" s="14" t="s">
        <v>2269</v>
      </c>
      <c r="AW107" s="14" t="s">
        <v>2048</v>
      </c>
      <c r="AX107" s="14" t="s">
        <v>2048</v>
      </c>
      <c r="AY107" s="14" t="s">
        <v>81</v>
      </c>
      <c r="AZ107" s="14" t="s">
        <v>174</v>
      </c>
      <c r="BA107" s="14" t="s">
        <v>2493</v>
      </c>
      <c r="BB107" s="14" t="s">
        <v>2048</v>
      </c>
      <c r="BC107" s="14" t="s">
        <v>2048</v>
      </c>
      <c r="BD107" s="14" t="s">
        <v>2271</v>
      </c>
      <c r="BE107" s="14" t="s">
        <v>2272</v>
      </c>
      <c r="BF107" s="14" t="s">
        <v>2271</v>
      </c>
      <c r="BG107" s="14" t="s">
        <v>2272</v>
      </c>
      <c r="BH107" s="14" t="s">
        <v>2273</v>
      </c>
      <c r="BI107" s="14" t="s">
        <v>2218</v>
      </c>
      <c r="BJ107" s="14" t="s">
        <v>2048</v>
      </c>
      <c r="BK107" s="14" t="s">
        <v>2048</v>
      </c>
      <c r="BL107" s="14" t="s">
        <v>2064</v>
      </c>
      <c r="BM107" s="14" t="s">
        <v>72</v>
      </c>
      <c r="BN107" s="14" t="s">
        <v>72</v>
      </c>
      <c r="BO107" s="14" t="s">
        <v>2773</v>
      </c>
      <c r="BP107" s="14" t="s">
        <v>2048</v>
      </c>
      <c r="BQ107" s="14" t="s">
        <v>2048</v>
      </c>
      <c r="BR107" s="14" t="s">
        <v>2418</v>
      </c>
      <c r="BS107" s="14" t="s">
        <v>2089</v>
      </c>
      <c r="BT107" s="14" t="s">
        <v>2048</v>
      </c>
      <c r="BU107" s="14" t="s">
        <v>2048</v>
      </c>
      <c r="BV107" s="14" t="s">
        <v>2048</v>
      </c>
      <c r="BW107" s="14" t="s">
        <v>2048</v>
      </c>
      <c r="BX107" s="14" t="s">
        <v>72</v>
      </c>
      <c r="BY107" s="14" t="s">
        <v>2048</v>
      </c>
      <c r="BZ107" s="14" t="s">
        <v>2048</v>
      </c>
      <c r="CA107" s="14" t="s">
        <v>2048</v>
      </c>
      <c r="CB107" s="14" t="s">
        <v>2048</v>
      </c>
      <c r="CC107" s="14" t="s">
        <v>2048</v>
      </c>
      <c r="CD107" s="14" t="s">
        <v>2048</v>
      </c>
      <c r="CE107" s="14" t="s">
        <v>2048</v>
      </c>
      <c r="CF107" s="14" t="s">
        <v>2048</v>
      </c>
      <c r="CG107" s="14" t="s">
        <v>2057</v>
      </c>
      <c r="CH107" s="14" t="s">
        <v>2090</v>
      </c>
      <c r="CI107" s="14" t="s">
        <v>2048</v>
      </c>
      <c r="CJ107" s="17"/>
      <c r="CK107" s="17">
        <v>45616</v>
      </c>
      <c r="CL107" s="17">
        <v>45616</v>
      </c>
      <c r="CM107" s="17">
        <v>2958465</v>
      </c>
      <c r="CN107" s="17"/>
      <c r="CO107" s="19">
        <v>0</v>
      </c>
      <c r="CP107" s="19">
        <v>0</v>
      </c>
      <c r="CQ107" s="19">
        <v>0</v>
      </c>
      <c r="CR107" s="19">
        <v>0</v>
      </c>
      <c r="CS107" s="19">
        <v>0</v>
      </c>
      <c r="CT107" s="19">
        <v>0</v>
      </c>
      <c r="CU107" s="19">
        <v>0</v>
      </c>
      <c r="CV107" s="17"/>
      <c r="CW107" s="20">
        <v>1128</v>
      </c>
      <c r="CX107" s="17">
        <v>45730</v>
      </c>
      <c r="CY107" s="17"/>
      <c r="CZ107" s="19">
        <v>0</v>
      </c>
      <c r="DA107" s="17"/>
      <c r="DB107" s="17"/>
      <c r="DC107" s="19">
        <v>100</v>
      </c>
      <c r="DD107" s="17"/>
      <c r="DE107" s="17">
        <v>2958465</v>
      </c>
      <c r="DF107" s="17"/>
      <c r="DG107" s="17"/>
      <c r="DH107" s="19">
        <v>0</v>
      </c>
      <c r="DI107" s="19">
        <v>0</v>
      </c>
    </row>
    <row r="108" spans="1:113" x14ac:dyDescent="0.2">
      <c r="A108" s="14" t="s">
        <v>2315</v>
      </c>
      <c r="B108" s="16" t="s">
        <v>668</v>
      </c>
      <c r="C108" s="14" t="s">
        <v>158</v>
      </c>
      <c r="D108" s="14" t="s">
        <v>159</v>
      </c>
      <c r="E108" s="14" t="s">
        <v>158</v>
      </c>
      <c r="F108" s="14" t="s">
        <v>2044</v>
      </c>
      <c r="G108" s="14" t="s">
        <v>2045</v>
      </c>
      <c r="H108" s="14" t="s">
        <v>102</v>
      </c>
      <c r="I108" s="14" t="s">
        <v>103</v>
      </c>
      <c r="J108" s="16">
        <f>COUNTIF($I$3:I108, I108)</f>
        <v>32</v>
      </c>
      <c r="K108" s="14" t="s">
        <v>2048</v>
      </c>
      <c r="L108" s="14" t="s">
        <v>2048</v>
      </c>
      <c r="M108" s="14" t="s">
        <v>2048</v>
      </c>
      <c r="N108" s="14" t="s">
        <v>2048</v>
      </c>
      <c r="O108" s="14" t="s">
        <v>2774</v>
      </c>
      <c r="P108" s="14" t="s">
        <v>670</v>
      </c>
      <c r="Q108" s="14" t="s">
        <v>72</v>
      </c>
      <c r="R108" s="14" t="s">
        <v>2048</v>
      </c>
      <c r="S108" s="14" t="s">
        <v>2048</v>
      </c>
      <c r="T108" s="14" t="s">
        <v>2048</v>
      </c>
      <c r="U108" s="14" t="s">
        <v>2048</v>
      </c>
      <c r="V108" s="14" t="s">
        <v>2050</v>
      </c>
      <c r="W108" s="14" t="s">
        <v>2048</v>
      </c>
      <c r="X108" s="14" t="s">
        <v>2048</v>
      </c>
      <c r="Y108" s="14" t="s">
        <v>2048</v>
      </c>
      <c r="Z108" s="14" t="s">
        <v>2048</v>
      </c>
      <c r="AA108" s="14" t="s">
        <v>2048</v>
      </c>
      <c r="AB108" s="14" t="s">
        <v>85</v>
      </c>
      <c r="AC108" s="14" t="s">
        <v>86</v>
      </c>
      <c r="AD108" s="14" t="s">
        <v>2072</v>
      </c>
      <c r="AE108" s="14" t="s">
        <v>2073</v>
      </c>
      <c r="AF108" s="14" t="s">
        <v>2056</v>
      </c>
      <c r="AG108" s="14" t="s">
        <v>2056</v>
      </c>
      <c r="AH108" s="14" t="s">
        <v>2055</v>
      </c>
      <c r="AI108" s="14" t="s">
        <v>2057</v>
      </c>
      <c r="AJ108" s="14" t="s">
        <v>87</v>
      </c>
      <c r="AK108" s="14" t="s">
        <v>2048</v>
      </c>
      <c r="AL108" s="14" t="s">
        <v>2048</v>
      </c>
      <c r="AM108" s="14" t="s">
        <v>2584</v>
      </c>
      <c r="AN108" s="14" t="s">
        <v>2775</v>
      </c>
      <c r="AO108" s="17" t="s">
        <v>89</v>
      </c>
      <c r="AP108" s="14" t="s">
        <v>2135</v>
      </c>
      <c r="AQ108" s="14" t="s">
        <v>2776</v>
      </c>
      <c r="AR108" s="14" t="s">
        <v>2777</v>
      </c>
      <c r="AS108" s="14" t="s">
        <v>2778</v>
      </c>
      <c r="AT108" s="14" t="s">
        <v>72</v>
      </c>
      <c r="AU108" s="14" t="s">
        <v>2779</v>
      </c>
      <c r="AV108" s="14" t="s">
        <v>2780</v>
      </c>
      <c r="AW108" s="14" t="s">
        <v>2048</v>
      </c>
      <c r="AX108" s="14" t="s">
        <v>2048</v>
      </c>
      <c r="AY108" s="14" t="s">
        <v>102</v>
      </c>
      <c r="AZ108" s="14" t="s">
        <v>669</v>
      </c>
      <c r="BA108" s="14" t="s">
        <v>2781</v>
      </c>
      <c r="BB108" s="14" t="s">
        <v>2048</v>
      </c>
      <c r="BC108" s="14" t="s">
        <v>2048</v>
      </c>
      <c r="BD108" s="14" t="s">
        <v>2282</v>
      </c>
      <c r="BE108" s="14" t="s">
        <v>2782</v>
      </c>
      <c r="BF108" s="14" t="s">
        <v>2783</v>
      </c>
      <c r="BG108" s="14" t="s">
        <v>2784</v>
      </c>
      <c r="BH108" s="14" t="s">
        <v>2785</v>
      </c>
      <c r="BI108" s="14" t="s">
        <v>2287</v>
      </c>
      <c r="BJ108" s="14" t="s">
        <v>2048</v>
      </c>
      <c r="BK108" s="14" t="s">
        <v>2048</v>
      </c>
      <c r="BL108" s="14" t="s">
        <v>2064</v>
      </c>
      <c r="BM108" s="14" t="s">
        <v>72</v>
      </c>
      <c r="BN108" s="14" t="s">
        <v>72</v>
      </c>
      <c r="BO108" s="14" t="s">
        <v>2786</v>
      </c>
      <c r="BP108" s="14" t="s">
        <v>2787</v>
      </c>
      <c r="BQ108" s="14" t="s">
        <v>2775</v>
      </c>
      <c r="BR108" s="14" t="s">
        <v>2418</v>
      </c>
      <c r="BS108" s="14" t="s">
        <v>2089</v>
      </c>
      <c r="BT108" s="14" t="s">
        <v>2048</v>
      </c>
      <c r="BU108" s="14" t="s">
        <v>2048</v>
      </c>
      <c r="BV108" s="14" t="s">
        <v>2048</v>
      </c>
      <c r="BW108" s="14" t="s">
        <v>2048</v>
      </c>
      <c r="BX108" s="14" t="s">
        <v>72</v>
      </c>
      <c r="BY108" s="14" t="s">
        <v>2048</v>
      </c>
      <c r="BZ108" s="14" t="s">
        <v>2048</v>
      </c>
      <c r="CA108" s="14" t="s">
        <v>2048</v>
      </c>
      <c r="CB108" s="14" t="s">
        <v>2048</v>
      </c>
      <c r="CC108" s="14" t="s">
        <v>2048</v>
      </c>
      <c r="CD108" s="14" t="s">
        <v>2048</v>
      </c>
      <c r="CE108" s="14" t="s">
        <v>2048</v>
      </c>
      <c r="CF108" s="14" t="s">
        <v>2048</v>
      </c>
      <c r="CG108" s="14" t="s">
        <v>2057</v>
      </c>
      <c r="CH108" s="14" t="s">
        <v>2090</v>
      </c>
      <c r="CI108" s="14" t="s">
        <v>2048</v>
      </c>
      <c r="CJ108" s="17"/>
      <c r="CK108" s="17">
        <v>45652</v>
      </c>
      <c r="CL108" s="17">
        <v>45652</v>
      </c>
      <c r="CM108" s="17">
        <v>2958465</v>
      </c>
      <c r="CN108" s="17"/>
      <c r="CO108" s="19">
        <v>0</v>
      </c>
      <c r="CP108" s="19">
        <v>0</v>
      </c>
      <c r="CQ108" s="19">
        <v>0</v>
      </c>
      <c r="CR108" s="19">
        <v>0</v>
      </c>
      <c r="CS108" s="19">
        <v>0</v>
      </c>
      <c r="CT108" s="19">
        <v>0</v>
      </c>
      <c r="CU108" s="19">
        <v>0</v>
      </c>
      <c r="CV108" s="17"/>
      <c r="CW108" s="19">
        <v>0</v>
      </c>
      <c r="CX108" s="17"/>
      <c r="CY108" s="17"/>
      <c r="CZ108" s="19">
        <v>0</v>
      </c>
      <c r="DA108" s="17"/>
      <c r="DB108" s="17"/>
      <c r="DC108" s="19">
        <v>100</v>
      </c>
      <c r="DD108" s="17"/>
      <c r="DE108" s="17">
        <v>2958465</v>
      </c>
      <c r="DF108" s="17"/>
      <c r="DG108" s="17"/>
      <c r="DH108" s="19">
        <v>0</v>
      </c>
      <c r="DI108" s="19">
        <v>0</v>
      </c>
    </row>
    <row r="109" spans="1:113" x14ac:dyDescent="0.2">
      <c r="A109" s="14" t="s">
        <v>2315</v>
      </c>
      <c r="B109" s="16" t="s">
        <v>1767</v>
      </c>
      <c r="C109" s="14" t="s">
        <v>158</v>
      </c>
      <c r="D109" s="14" t="s">
        <v>159</v>
      </c>
      <c r="E109" s="14" t="s">
        <v>158</v>
      </c>
      <c r="F109" s="14" t="s">
        <v>2044</v>
      </c>
      <c r="G109" s="14" t="s">
        <v>2045</v>
      </c>
      <c r="H109" s="14" t="s">
        <v>2046</v>
      </c>
      <c r="I109" s="14" t="s">
        <v>2047</v>
      </c>
      <c r="J109" s="16">
        <f>COUNTIF($I$3:I109, I109)</f>
        <v>3</v>
      </c>
      <c r="K109" s="14" t="s">
        <v>2048</v>
      </c>
      <c r="L109" s="14" t="s">
        <v>2048</v>
      </c>
      <c r="M109" s="14" t="s">
        <v>2048</v>
      </c>
      <c r="N109" s="14" t="s">
        <v>2048</v>
      </c>
      <c r="O109" s="14" t="s">
        <v>72</v>
      </c>
      <c r="P109" s="14" t="s">
        <v>72</v>
      </c>
      <c r="Q109" s="14" t="s">
        <v>72</v>
      </c>
      <c r="R109" s="14" t="s">
        <v>2048</v>
      </c>
      <c r="S109" s="14" t="s">
        <v>2048</v>
      </c>
      <c r="T109" s="14" t="s">
        <v>2048</v>
      </c>
      <c r="U109" s="14" t="s">
        <v>2048</v>
      </c>
      <c r="V109" s="14" t="s">
        <v>2050</v>
      </c>
      <c r="W109" s="14" t="s">
        <v>2048</v>
      </c>
      <c r="X109" s="14" t="s">
        <v>2048</v>
      </c>
      <c r="Y109" s="14" t="s">
        <v>2048</v>
      </c>
      <c r="Z109" s="14" t="s">
        <v>2048</v>
      </c>
      <c r="AA109" s="14" t="s">
        <v>2048</v>
      </c>
      <c r="AB109" s="14" t="s">
        <v>85</v>
      </c>
      <c r="AC109" s="14" t="s">
        <v>86</v>
      </c>
      <c r="AD109" s="14" t="s">
        <v>77</v>
      </c>
      <c r="AE109" s="14" t="s">
        <v>2054</v>
      </c>
      <c r="AF109" s="14" t="s">
        <v>2055</v>
      </c>
      <c r="AG109" s="14" t="s">
        <v>2056</v>
      </c>
      <c r="AH109" s="14" t="s">
        <v>2055</v>
      </c>
      <c r="AI109" s="14" t="s">
        <v>2057</v>
      </c>
      <c r="AJ109" s="14" t="s">
        <v>87</v>
      </c>
      <c r="AK109" s="14" t="s">
        <v>2048</v>
      </c>
      <c r="AL109" s="14" t="s">
        <v>2048</v>
      </c>
      <c r="AM109" s="14" t="s">
        <v>2048</v>
      </c>
      <c r="AN109" s="14" t="s">
        <v>2058</v>
      </c>
      <c r="AO109" s="17" t="s">
        <v>89</v>
      </c>
      <c r="AP109" s="14" t="s">
        <v>2135</v>
      </c>
      <c r="AQ109" s="14" t="s">
        <v>2788</v>
      </c>
      <c r="AR109" s="14" t="s">
        <v>2060</v>
      </c>
      <c r="AS109" s="14" t="s">
        <v>2048</v>
      </c>
      <c r="AT109" s="14" t="s">
        <v>72</v>
      </c>
      <c r="AU109" s="14" t="s">
        <v>2062</v>
      </c>
      <c r="AV109" s="14" t="s">
        <v>2063</v>
      </c>
      <c r="AW109" s="14" t="s">
        <v>2048</v>
      </c>
      <c r="AX109" s="14" t="s">
        <v>2048</v>
      </c>
      <c r="AY109" s="14" t="s">
        <v>2046</v>
      </c>
      <c r="AZ109" s="14" t="s">
        <v>312</v>
      </c>
      <c r="BA109" s="14" t="s">
        <v>2048</v>
      </c>
      <c r="BB109" s="14" t="s">
        <v>2048</v>
      </c>
      <c r="BC109" s="14" t="s">
        <v>2048</v>
      </c>
      <c r="BD109" s="14" t="s">
        <v>2048</v>
      </c>
      <c r="BE109" s="14" t="s">
        <v>2048</v>
      </c>
      <c r="BF109" s="14" t="s">
        <v>2048</v>
      </c>
      <c r="BG109" s="14" t="s">
        <v>2048</v>
      </c>
      <c r="BH109" s="14" t="s">
        <v>2048</v>
      </c>
      <c r="BI109" s="14" t="s">
        <v>2048</v>
      </c>
      <c r="BJ109" s="14" t="s">
        <v>2048</v>
      </c>
      <c r="BK109" s="14" t="s">
        <v>2048</v>
      </c>
      <c r="BL109" s="14" t="s">
        <v>2064</v>
      </c>
      <c r="BM109" s="14" t="s">
        <v>72</v>
      </c>
      <c r="BN109" s="14" t="s">
        <v>72</v>
      </c>
      <c r="BO109" s="14" t="s">
        <v>2048</v>
      </c>
      <c r="BP109" s="14" t="s">
        <v>2048</v>
      </c>
      <c r="BQ109" s="14" t="s">
        <v>2048</v>
      </c>
      <c r="BR109" s="14" t="s">
        <v>2418</v>
      </c>
      <c r="BS109" s="14" t="s">
        <v>2089</v>
      </c>
      <c r="BT109" s="14" t="s">
        <v>2048</v>
      </c>
      <c r="BU109" s="14" t="s">
        <v>2048</v>
      </c>
      <c r="BV109" s="14" t="s">
        <v>2048</v>
      </c>
      <c r="BW109" s="14" t="s">
        <v>2048</v>
      </c>
      <c r="BX109" s="14" t="s">
        <v>72</v>
      </c>
      <c r="BY109" s="14" t="s">
        <v>2048</v>
      </c>
      <c r="BZ109" s="14" t="s">
        <v>2048</v>
      </c>
      <c r="CA109" s="14" t="s">
        <v>2048</v>
      </c>
      <c r="CB109" s="14" t="s">
        <v>2048</v>
      </c>
      <c r="CC109" s="14" t="s">
        <v>2048</v>
      </c>
      <c r="CD109" s="14" t="s">
        <v>2048</v>
      </c>
      <c r="CE109" s="14" t="s">
        <v>2048</v>
      </c>
      <c r="CF109" s="14" t="s">
        <v>2048</v>
      </c>
      <c r="CG109" s="14" t="s">
        <v>2057</v>
      </c>
      <c r="CH109" s="14" t="s">
        <v>2090</v>
      </c>
      <c r="CI109" s="14" t="s">
        <v>2048</v>
      </c>
      <c r="CJ109" s="17"/>
      <c r="CK109" s="17">
        <v>45649</v>
      </c>
      <c r="CL109" s="17">
        <v>45649</v>
      </c>
      <c r="CM109" s="17">
        <v>2958465</v>
      </c>
      <c r="CN109" s="17"/>
      <c r="CO109" s="19">
        <v>0</v>
      </c>
      <c r="CP109" s="19">
        <v>0</v>
      </c>
      <c r="CQ109" s="19">
        <v>0</v>
      </c>
      <c r="CR109" s="19">
        <v>0</v>
      </c>
      <c r="CS109" s="19">
        <v>0</v>
      </c>
      <c r="CT109" s="19">
        <v>0</v>
      </c>
      <c r="CU109" s="19">
        <v>0</v>
      </c>
      <c r="CV109" s="17"/>
      <c r="CW109" s="19">
        <v>0</v>
      </c>
      <c r="CX109" s="17"/>
      <c r="CY109" s="17"/>
      <c r="CZ109" s="19">
        <v>0</v>
      </c>
      <c r="DA109" s="17"/>
      <c r="DB109" s="17"/>
      <c r="DC109" s="19">
        <v>100</v>
      </c>
      <c r="DD109" s="17"/>
      <c r="DE109" s="17">
        <v>2958465</v>
      </c>
      <c r="DF109" s="17"/>
      <c r="DG109" s="17"/>
      <c r="DH109" s="19">
        <v>0</v>
      </c>
      <c r="DI109" s="19">
        <v>0</v>
      </c>
    </row>
    <row r="110" spans="1:113" x14ac:dyDescent="0.2">
      <c r="A110" s="14" t="s">
        <v>2315</v>
      </c>
      <c r="B110" s="16" t="s">
        <v>1724</v>
      </c>
      <c r="C110" s="14" t="s">
        <v>158</v>
      </c>
      <c r="D110" s="14" t="s">
        <v>159</v>
      </c>
      <c r="E110" s="14" t="s">
        <v>158</v>
      </c>
      <c r="F110" s="14" t="s">
        <v>2044</v>
      </c>
      <c r="G110" s="14" t="s">
        <v>2045</v>
      </c>
      <c r="H110" s="14" t="s">
        <v>204</v>
      </c>
      <c r="I110" s="14" t="s">
        <v>205</v>
      </c>
      <c r="J110" s="16">
        <f>COUNTIF($I$3:I110, I110)</f>
        <v>26</v>
      </c>
      <c r="K110" s="14" t="s">
        <v>2048</v>
      </c>
      <c r="L110" s="14" t="s">
        <v>2048</v>
      </c>
      <c r="M110" s="14" t="s">
        <v>2048</v>
      </c>
      <c r="N110" s="14" t="s">
        <v>2048</v>
      </c>
      <c r="O110" s="14" t="s">
        <v>2789</v>
      </c>
      <c r="P110" s="14" t="s">
        <v>2790</v>
      </c>
      <c r="Q110" s="14" t="s">
        <v>72</v>
      </c>
      <c r="R110" s="14" t="s">
        <v>2048</v>
      </c>
      <c r="S110" s="14" t="s">
        <v>2048</v>
      </c>
      <c r="T110" s="14" t="s">
        <v>2048</v>
      </c>
      <c r="U110" s="14" t="s">
        <v>2048</v>
      </c>
      <c r="V110" s="14" t="s">
        <v>2050</v>
      </c>
      <c r="W110" s="14" t="s">
        <v>2048</v>
      </c>
      <c r="X110" s="14" t="s">
        <v>2048</v>
      </c>
      <c r="Y110" s="14" t="s">
        <v>2048</v>
      </c>
      <c r="Z110" s="14" t="s">
        <v>2048</v>
      </c>
      <c r="AA110" s="14" t="s">
        <v>2048</v>
      </c>
      <c r="AB110" s="14" t="s">
        <v>85</v>
      </c>
      <c r="AC110" s="14" t="s">
        <v>86</v>
      </c>
      <c r="AD110" s="14" t="s">
        <v>77</v>
      </c>
      <c r="AE110" s="14" t="s">
        <v>2054</v>
      </c>
      <c r="AF110" s="14" t="s">
        <v>2055</v>
      </c>
      <c r="AG110" s="14" t="s">
        <v>2055</v>
      </c>
      <c r="AH110" s="14" t="s">
        <v>2055</v>
      </c>
      <c r="AI110" s="14" t="s">
        <v>2057</v>
      </c>
      <c r="AJ110" s="14" t="s">
        <v>87</v>
      </c>
      <c r="AK110" s="14" t="s">
        <v>2048</v>
      </c>
      <c r="AL110" s="14" t="s">
        <v>2048</v>
      </c>
      <c r="AM110" s="14" t="s">
        <v>2048</v>
      </c>
      <c r="AN110" s="14" t="s">
        <v>2358</v>
      </c>
      <c r="AO110" s="17" t="s">
        <v>89</v>
      </c>
      <c r="AP110" s="14" t="s">
        <v>2135</v>
      </c>
      <c r="AQ110" s="14" t="s">
        <v>2059</v>
      </c>
      <c r="AR110" s="14" t="s">
        <v>2337</v>
      </c>
      <c r="AS110" s="14" t="s">
        <v>2338</v>
      </c>
      <c r="AT110" s="14" t="s">
        <v>72</v>
      </c>
      <c r="AU110" s="14" t="s">
        <v>2350</v>
      </c>
      <c r="AV110" s="14" t="s">
        <v>2351</v>
      </c>
      <c r="AW110" s="14" t="s">
        <v>2048</v>
      </c>
      <c r="AX110" s="14" t="s">
        <v>2048</v>
      </c>
      <c r="AY110" s="14" t="s">
        <v>204</v>
      </c>
      <c r="AZ110" s="14" t="s">
        <v>1628</v>
      </c>
      <c r="BA110" s="14" t="s">
        <v>2361</v>
      </c>
      <c r="BB110" s="14" t="s">
        <v>2048</v>
      </c>
      <c r="BC110" s="14" t="s">
        <v>2048</v>
      </c>
      <c r="BD110" s="14" t="s">
        <v>2325</v>
      </c>
      <c r="BE110" s="14" t="s">
        <v>2326</v>
      </c>
      <c r="BF110" s="14" t="s">
        <v>2340</v>
      </c>
      <c r="BG110" s="14" t="s">
        <v>2341</v>
      </c>
      <c r="BH110" s="14" t="s">
        <v>2362</v>
      </c>
      <c r="BI110" s="14" t="s">
        <v>2287</v>
      </c>
      <c r="BJ110" s="14" t="s">
        <v>2048</v>
      </c>
      <c r="BK110" s="14" t="s">
        <v>2048</v>
      </c>
      <c r="BL110" s="14" t="s">
        <v>2064</v>
      </c>
      <c r="BM110" s="14" t="s">
        <v>72</v>
      </c>
      <c r="BN110" s="14" t="s">
        <v>72</v>
      </c>
      <c r="BO110" s="14" t="s">
        <v>2791</v>
      </c>
      <c r="BP110" s="14" t="s">
        <v>2364</v>
      </c>
      <c r="BQ110" s="14" t="s">
        <v>2365</v>
      </c>
      <c r="BR110" s="14" t="s">
        <v>2418</v>
      </c>
      <c r="BS110" s="14" t="s">
        <v>2089</v>
      </c>
      <c r="BT110" s="14" t="s">
        <v>2048</v>
      </c>
      <c r="BU110" s="14" t="s">
        <v>2048</v>
      </c>
      <c r="BV110" s="14" t="s">
        <v>2048</v>
      </c>
      <c r="BW110" s="14" t="s">
        <v>2048</v>
      </c>
      <c r="BX110" s="14" t="s">
        <v>72</v>
      </c>
      <c r="BY110" s="14" t="s">
        <v>2048</v>
      </c>
      <c r="BZ110" s="14" t="s">
        <v>2048</v>
      </c>
      <c r="CA110" s="14" t="s">
        <v>2048</v>
      </c>
      <c r="CB110" s="14" t="s">
        <v>2048</v>
      </c>
      <c r="CC110" s="14" t="s">
        <v>2048</v>
      </c>
      <c r="CD110" s="14" t="s">
        <v>2048</v>
      </c>
      <c r="CE110" s="14" t="s">
        <v>2048</v>
      </c>
      <c r="CF110" s="14" t="s">
        <v>2048</v>
      </c>
      <c r="CG110" s="14" t="s">
        <v>2057</v>
      </c>
      <c r="CH110" s="14" t="s">
        <v>2090</v>
      </c>
      <c r="CI110" s="14" t="s">
        <v>2048</v>
      </c>
      <c r="CJ110" s="17"/>
      <c r="CK110" s="17">
        <v>45653</v>
      </c>
      <c r="CL110" s="17">
        <v>45653</v>
      </c>
      <c r="CM110" s="17">
        <v>2958465</v>
      </c>
      <c r="CN110" s="17"/>
      <c r="CO110" s="19">
        <v>0</v>
      </c>
      <c r="CP110" s="19">
        <v>0</v>
      </c>
      <c r="CQ110" s="19">
        <v>0</v>
      </c>
      <c r="CR110" s="19">
        <v>0</v>
      </c>
      <c r="CS110" s="19">
        <v>0</v>
      </c>
      <c r="CT110" s="19">
        <v>0</v>
      </c>
      <c r="CU110" s="19">
        <v>0</v>
      </c>
      <c r="CV110" s="17"/>
      <c r="CW110" s="19">
        <v>0</v>
      </c>
      <c r="CX110" s="17"/>
      <c r="CY110" s="17"/>
      <c r="CZ110" s="19">
        <v>0</v>
      </c>
      <c r="DA110" s="17"/>
      <c r="DB110" s="17"/>
      <c r="DC110" s="19">
        <v>100</v>
      </c>
      <c r="DD110" s="17"/>
      <c r="DE110" s="17">
        <v>2958465</v>
      </c>
      <c r="DF110" s="17"/>
      <c r="DG110" s="17"/>
      <c r="DH110" s="19">
        <v>0</v>
      </c>
      <c r="DI110" s="19">
        <v>0</v>
      </c>
    </row>
    <row r="111" spans="1:113" x14ac:dyDescent="0.2">
      <c r="A111" s="14" t="s">
        <v>2315</v>
      </c>
      <c r="B111" s="16" t="s">
        <v>1729</v>
      </c>
      <c r="C111" s="14" t="s">
        <v>158</v>
      </c>
      <c r="D111" s="14" t="s">
        <v>159</v>
      </c>
      <c r="E111" s="14" t="s">
        <v>158</v>
      </c>
      <c r="F111" s="14" t="s">
        <v>2044</v>
      </c>
      <c r="G111" s="14" t="s">
        <v>2045</v>
      </c>
      <c r="H111" s="14" t="s">
        <v>204</v>
      </c>
      <c r="I111" s="14" t="s">
        <v>205</v>
      </c>
      <c r="J111" s="16">
        <f>COUNTIF($I$3:I111, I111)</f>
        <v>27</v>
      </c>
      <c r="K111" s="14" t="s">
        <v>2048</v>
      </c>
      <c r="L111" s="14" t="s">
        <v>2048</v>
      </c>
      <c r="M111" s="14" t="s">
        <v>2048</v>
      </c>
      <c r="N111" s="14" t="s">
        <v>2048</v>
      </c>
      <c r="O111" s="14" t="s">
        <v>2792</v>
      </c>
      <c r="P111" s="14" t="s">
        <v>2793</v>
      </c>
      <c r="Q111" s="14" t="s">
        <v>72</v>
      </c>
      <c r="R111" s="14" t="s">
        <v>2048</v>
      </c>
      <c r="S111" s="14" t="s">
        <v>2048</v>
      </c>
      <c r="T111" s="14" t="s">
        <v>2048</v>
      </c>
      <c r="U111" s="14" t="s">
        <v>2048</v>
      </c>
      <c r="V111" s="14" t="s">
        <v>2050</v>
      </c>
      <c r="W111" s="14" t="s">
        <v>2048</v>
      </c>
      <c r="X111" s="14" t="s">
        <v>2048</v>
      </c>
      <c r="Y111" s="14" t="s">
        <v>2048</v>
      </c>
      <c r="Z111" s="14" t="s">
        <v>2048</v>
      </c>
      <c r="AA111" s="14" t="s">
        <v>2048</v>
      </c>
      <c r="AB111" s="14" t="s">
        <v>85</v>
      </c>
      <c r="AC111" s="14" t="s">
        <v>86</v>
      </c>
      <c r="AD111" s="14" t="s">
        <v>77</v>
      </c>
      <c r="AE111" s="14" t="s">
        <v>2054</v>
      </c>
      <c r="AF111" s="14" t="s">
        <v>2055</v>
      </c>
      <c r="AG111" s="14" t="s">
        <v>2055</v>
      </c>
      <c r="AH111" s="14" t="s">
        <v>2055</v>
      </c>
      <c r="AI111" s="14" t="s">
        <v>2057</v>
      </c>
      <c r="AJ111" s="14" t="s">
        <v>87</v>
      </c>
      <c r="AK111" s="14" t="s">
        <v>2048</v>
      </c>
      <c r="AL111" s="14" t="s">
        <v>2048</v>
      </c>
      <c r="AM111" s="14" t="s">
        <v>2584</v>
      </c>
      <c r="AN111" s="14" t="s">
        <v>2318</v>
      </c>
      <c r="AO111" s="17" t="s">
        <v>89</v>
      </c>
      <c r="AP111" s="14" t="s">
        <v>2135</v>
      </c>
      <c r="AQ111" s="14" t="s">
        <v>2059</v>
      </c>
      <c r="AR111" s="14" t="s">
        <v>2794</v>
      </c>
      <c r="AS111" s="14" t="s">
        <v>2795</v>
      </c>
      <c r="AT111" s="14" t="s">
        <v>72</v>
      </c>
      <c r="AU111" s="14" t="s">
        <v>2796</v>
      </c>
      <c r="AV111" s="14" t="s">
        <v>2797</v>
      </c>
      <c r="AW111" s="14" t="s">
        <v>2048</v>
      </c>
      <c r="AX111" s="14" t="s">
        <v>2048</v>
      </c>
      <c r="AY111" s="14" t="s">
        <v>204</v>
      </c>
      <c r="AZ111" s="14" t="s">
        <v>232</v>
      </c>
      <c r="BA111" s="14" t="s">
        <v>2324</v>
      </c>
      <c r="BB111" s="14" t="s">
        <v>2048</v>
      </c>
      <c r="BC111" s="14" t="s">
        <v>2048</v>
      </c>
      <c r="BD111" s="14" t="s">
        <v>2325</v>
      </c>
      <c r="BE111" s="14" t="s">
        <v>2326</v>
      </c>
      <c r="BF111" s="14" t="s">
        <v>2325</v>
      </c>
      <c r="BG111" s="14" t="s">
        <v>2326</v>
      </c>
      <c r="BH111" s="14" t="s">
        <v>2327</v>
      </c>
      <c r="BI111" s="14" t="s">
        <v>2287</v>
      </c>
      <c r="BJ111" s="14" t="s">
        <v>2048</v>
      </c>
      <c r="BK111" s="14" t="s">
        <v>2048</v>
      </c>
      <c r="BL111" s="14" t="s">
        <v>2064</v>
      </c>
      <c r="BM111" s="14" t="s">
        <v>72</v>
      </c>
      <c r="BN111" s="14" t="s">
        <v>72</v>
      </c>
      <c r="BO111" s="14" t="s">
        <v>2798</v>
      </c>
      <c r="BP111" s="14" t="s">
        <v>2329</v>
      </c>
      <c r="BQ111" s="14" t="s">
        <v>2330</v>
      </c>
      <c r="BR111" s="14" t="s">
        <v>2418</v>
      </c>
      <c r="BS111" s="14" t="s">
        <v>2089</v>
      </c>
      <c r="BT111" s="14" t="s">
        <v>2048</v>
      </c>
      <c r="BU111" s="14" t="s">
        <v>2048</v>
      </c>
      <c r="BV111" s="14" t="s">
        <v>2048</v>
      </c>
      <c r="BW111" s="14" t="s">
        <v>2048</v>
      </c>
      <c r="BX111" s="14" t="s">
        <v>72</v>
      </c>
      <c r="BY111" s="14" t="s">
        <v>2048</v>
      </c>
      <c r="BZ111" s="14" t="s">
        <v>2048</v>
      </c>
      <c r="CA111" s="14" t="s">
        <v>2048</v>
      </c>
      <c r="CB111" s="14" t="s">
        <v>2048</v>
      </c>
      <c r="CC111" s="14" t="s">
        <v>2048</v>
      </c>
      <c r="CD111" s="14" t="s">
        <v>2048</v>
      </c>
      <c r="CE111" s="14" t="s">
        <v>2048</v>
      </c>
      <c r="CF111" s="14" t="s">
        <v>2048</v>
      </c>
      <c r="CG111" s="14" t="s">
        <v>2057</v>
      </c>
      <c r="CH111" s="14" t="s">
        <v>2090</v>
      </c>
      <c r="CI111" s="14" t="s">
        <v>2048</v>
      </c>
      <c r="CJ111" s="17"/>
      <c r="CK111" s="17">
        <v>45653</v>
      </c>
      <c r="CL111" s="17">
        <v>45653</v>
      </c>
      <c r="CM111" s="17">
        <v>2958465</v>
      </c>
      <c r="CN111" s="17"/>
      <c r="CO111" s="19">
        <v>0</v>
      </c>
      <c r="CP111" s="19">
        <v>0</v>
      </c>
      <c r="CQ111" s="19">
        <v>0</v>
      </c>
      <c r="CR111" s="19">
        <v>0</v>
      </c>
      <c r="CS111" s="19">
        <v>0</v>
      </c>
      <c r="CT111" s="19">
        <v>0</v>
      </c>
      <c r="CU111" s="19">
        <v>0</v>
      </c>
      <c r="CV111" s="17"/>
      <c r="CW111" s="19">
        <v>0</v>
      </c>
      <c r="CX111" s="17"/>
      <c r="CY111" s="17"/>
      <c r="CZ111" s="19">
        <v>0</v>
      </c>
      <c r="DA111" s="17"/>
      <c r="DB111" s="17"/>
      <c r="DC111" s="19">
        <v>100</v>
      </c>
      <c r="DD111" s="17"/>
      <c r="DE111" s="17">
        <v>2958465</v>
      </c>
      <c r="DF111" s="17"/>
      <c r="DG111" s="17"/>
      <c r="DH111" s="19">
        <v>0</v>
      </c>
      <c r="DI111" s="19">
        <v>0</v>
      </c>
    </row>
    <row r="112" spans="1:113" x14ac:dyDescent="0.2">
      <c r="A112" s="14" t="s">
        <v>2315</v>
      </c>
      <c r="B112" s="16" t="s">
        <v>1722</v>
      </c>
      <c r="C112" s="14" t="s">
        <v>158</v>
      </c>
      <c r="D112" s="14" t="s">
        <v>159</v>
      </c>
      <c r="E112" s="14" t="s">
        <v>158</v>
      </c>
      <c r="F112" s="14" t="s">
        <v>2044</v>
      </c>
      <c r="G112" s="14" t="s">
        <v>2045</v>
      </c>
      <c r="H112" s="14" t="s">
        <v>204</v>
      </c>
      <c r="I112" s="14" t="s">
        <v>205</v>
      </c>
      <c r="J112" s="16">
        <f>COUNTIF($I$3:I112, I112)</f>
        <v>28</v>
      </c>
      <c r="K112" s="14" t="s">
        <v>2048</v>
      </c>
      <c r="L112" s="14" t="s">
        <v>2048</v>
      </c>
      <c r="M112" s="14" t="s">
        <v>2048</v>
      </c>
      <c r="N112" s="14" t="s">
        <v>2048</v>
      </c>
      <c r="O112" s="14" t="s">
        <v>2799</v>
      </c>
      <c r="P112" s="14" t="s">
        <v>2800</v>
      </c>
      <c r="Q112" s="14" t="s">
        <v>72</v>
      </c>
      <c r="R112" s="14" t="s">
        <v>2048</v>
      </c>
      <c r="S112" s="14" t="s">
        <v>2048</v>
      </c>
      <c r="T112" s="14" t="s">
        <v>2048</v>
      </c>
      <c r="U112" s="14" t="s">
        <v>2048</v>
      </c>
      <c r="V112" s="14" t="s">
        <v>2050</v>
      </c>
      <c r="W112" s="14" t="s">
        <v>2048</v>
      </c>
      <c r="X112" s="14" t="s">
        <v>2048</v>
      </c>
      <c r="Y112" s="14" t="s">
        <v>2048</v>
      </c>
      <c r="Z112" s="14" t="s">
        <v>2048</v>
      </c>
      <c r="AA112" s="14" t="s">
        <v>2048</v>
      </c>
      <c r="AB112" s="14" t="s">
        <v>85</v>
      </c>
      <c r="AC112" s="14" t="s">
        <v>86</v>
      </c>
      <c r="AD112" s="14" t="s">
        <v>77</v>
      </c>
      <c r="AE112" s="14" t="s">
        <v>2054</v>
      </c>
      <c r="AF112" s="14" t="s">
        <v>2055</v>
      </c>
      <c r="AG112" s="14" t="s">
        <v>2055</v>
      </c>
      <c r="AH112" s="14" t="s">
        <v>2055</v>
      </c>
      <c r="AI112" s="14" t="s">
        <v>2057</v>
      </c>
      <c r="AJ112" s="14" t="s">
        <v>87</v>
      </c>
      <c r="AK112" s="14" t="s">
        <v>2048</v>
      </c>
      <c r="AL112" s="14" t="s">
        <v>2048</v>
      </c>
      <c r="AM112" s="14" t="s">
        <v>2048</v>
      </c>
      <c r="AN112" s="14" t="s">
        <v>2318</v>
      </c>
      <c r="AO112" s="17" t="s">
        <v>89</v>
      </c>
      <c r="AP112" s="14" t="s">
        <v>2135</v>
      </c>
      <c r="AQ112" s="14" t="s">
        <v>2059</v>
      </c>
      <c r="AR112" s="14" t="s">
        <v>2348</v>
      </c>
      <c r="AS112" s="14" t="s">
        <v>2349</v>
      </c>
      <c r="AT112" s="14" t="s">
        <v>72</v>
      </c>
      <c r="AU112" s="14" t="s">
        <v>2350</v>
      </c>
      <c r="AV112" s="14" t="s">
        <v>2351</v>
      </c>
      <c r="AW112" s="14" t="s">
        <v>2048</v>
      </c>
      <c r="AX112" s="14" t="s">
        <v>2048</v>
      </c>
      <c r="AY112" s="14" t="s">
        <v>204</v>
      </c>
      <c r="AZ112" s="14" t="s">
        <v>232</v>
      </c>
      <c r="BA112" s="14" t="s">
        <v>2324</v>
      </c>
      <c r="BB112" s="14" t="s">
        <v>2048</v>
      </c>
      <c r="BC112" s="14" t="s">
        <v>2048</v>
      </c>
      <c r="BD112" s="14" t="s">
        <v>2325</v>
      </c>
      <c r="BE112" s="14" t="s">
        <v>2326</v>
      </c>
      <c r="BF112" s="14" t="s">
        <v>2325</v>
      </c>
      <c r="BG112" s="14" t="s">
        <v>2326</v>
      </c>
      <c r="BH112" s="14" t="s">
        <v>2327</v>
      </c>
      <c r="BI112" s="14" t="s">
        <v>2287</v>
      </c>
      <c r="BJ112" s="14" t="s">
        <v>2048</v>
      </c>
      <c r="BK112" s="14" t="s">
        <v>2048</v>
      </c>
      <c r="BL112" s="14" t="s">
        <v>2064</v>
      </c>
      <c r="BM112" s="14" t="s">
        <v>72</v>
      </c>
      <c r="BN112" s="14" t="s">
        <v>72</v>
      </c>
      <c r="BO112" s="14" t="s">
        <v>2801</v>
      </c>
      <c r="BP112" s="14" t="s">
        <v>2329</v>
      </c>
      <c r="BQ112" s="14" t="s">
        <v>2330</v>
      </c>
      <c r="BR112" s="14" t="s">
        <v>2418</v>
      </c>
      <c r="BS112" s="14" t="s">
        <v>2089</v>
      </c>
      <c r="BT112" s="14" t="s">
        <v>2048</v>
      </c>
      <c r="BU112" s="14" t="s">
        <v>2048</v>
      </c>
      <c r="BV112" s="14" t="s">
        <v>2048</v>
      </c>
      <c r="BW112" s="14" t="s">
        <v>2048</v>
      </c>
      <c r="BX112" s="14" t="s">
        <v>72</v>
      </c>
      <c r="BY112" s="14" t="s">
        <v>2048</v>
      </c>
      <c r="BZ112" s="14" t="s">
        <v>2048</v>
      </c>
      <c r="CA112" s="14" t="s">
        <v>2048</v>
      </c>
      <c r="CB112" s="14" t="s">
        <v>2048</v>
      </c>
      <c r="CC112" s="14" t="s">
        <v>2048</v>
      </c>
      <c r="CD112" s="14" t="s">
        <v>2048</v>
      </c>
      <c r="CE112" s="14" t="s">
        <v>2048</v>
      </c>
      <c r="CF112" s="14" t="s">
        <v>2048</v>
      </c>
      <c r="CG112" s="14" t="s">
        <v>2057</v>
      </c>
      <c r="CH112" s="14" t="s">
        <v>2090</v>
      </c>
      <c r="CI112" s="14" t="s">
        <v>2048</v>
      </c>
      <c r="CJ112" s="17"/>
      <c r="CK112" s="17">
        <v>45653</v>
      </c>
      <c r="CL112" s="17">
        <v>45653</v>
      </c>
      <c r="CM112" s="17">
        <v>2958465</v>
      </c>
      <c r="CN112" s="17"/>
      <c r="CO112" s="19">
        <v>0</v>
      </c>
      <c r="CP112" s="19">
        <v>0</v>
      </c>
      <c r="CQ112" s="19">
        <v>0</v>
      </c>
      <c r="CR112" s="19">
        <v>0</v>
      </c>
      <c r="CS112" s="19">
        <v>0</v>
      </c>
      <c r="CT112" s="19">
        <v>0</v>
      </c>
      <c r="CU112" s="19">
        <v>0</v>
      </c>
      <c r="CV112" s="17"/>
      <c r="CW112" s="19">
        <v>0</v>
      </c>
      <c r="CX112" s="17"/>
      <c r="CY112" s="17"/>
      <c r="CZ112" s="19">
        <v>0</v>
      </c>
      <c r="DA112" s="17"/>
      <c r="DB112" s="17"/>
      <c r="DC112" s="19">
        <v>100</v>
      </c>
      <c r="DD112" s="17"/>
      <c r="DE112" s="17">
        <v>2958465</v>
      </c>
      <c r="DF112" s="17"/>
      <c r="DG112" s="17"/>
      <c r="DH112" s="19">
        <v>0</v>
      </c>
      <c r="DI112" s="19">
        <v>0</v>
      </c>
    </row>
    <row r="113" spans="1:113" x14ac:dyDescent="0.2">
      <c r="A113" s="14" t="s">
        <v>2315</v>
      </c>
      <c r="B113" s="16" t="s">
        <v>1731</v>
      </c>
      <c r="C113" s="14" t="s">
        <v>158</v>
      </c>
      <c r="D113" s="14" t="s">
        <v>159</v>
      </c>
      <c r="E113" s="14" t="s">
        <v>158</v>
      </c>
      <c r="F113" s="14" t="s">
        <v>2044</v>
      </c>
      <c r="G113" s="14" t="s">
        <v>2045</v>
      </c>
      <c r="H113" s="14" t="s">
        <v>204</v>
      </c>
      <c r="I113" s="14" t="s">
        <v>205</v>
      </c>
      <c r="J113" s="16">
        <f>COUNTIF($I$3:I113, I113)</f>
        <v>29</v>
      </c>
      <c r="K113" s="14" t="s">
        <v>2048</v>
      </c>
      <c r="L113" s="14" t="s">
        <v>2048</v>
      </c>
      <c r="M113" s="14" t="s">
        <v>2048</v>
      </c>
      <c r="N113" s="14" t="s">
        <v>2048</v>
      </c>
      <c r="O113" s="14" t="s">
        <v>2802</v>
      </c>
      <c r="P113" s="14" t="s">
        <v>2803</v>
      </c>
      <c r="Q113" s="14" t="s">
        <v>72</v>
      </c>
      <c r="R113" s="14" t="s">
        <v>2048</v>
      </c>
      <c r="S113" s="14" t="s">
        <v>2048</v>
      </c>
      <c r="T113" s="14" t="s">
        <v>2048</v>
      </c>
      <c r="U113" s="14" t="s">
        <v>2048</v>
      </c>
      <c r="V113" s="14" t="s">
        <v>2050</v>
      </c>
      <c r="W113" s="14" t="s">
        <v>2048</v>
      </c>
      <c r="X113" s="14" t="s">
        <v>2048</v>
      </c>
      <c r="Y113" s="14" t="s">
        <v>2048</v>
      </c>
      <c r="Z113" s="14" t="s">
        <v>2048</v>
      </c>
      <c r="AA113" s="14" t="s">
        <v>2048</v>
      </c>
      <c r="AB113" s="14" t="s">
        <v>85</v>
      </c>
      <c r="AC113" s="14" t="s">
        <v>86</v>
      </c>
      <c r="AD113" s="14" t="s">
        <v>77</v>
      </c>
      <c r="AE113" s="14" t="s">
        <v>2054</v>
      </c>
      <c r="AF113" s="14" t="s">
        <v>2055</v>
      </c>
      <c r="AG113" s="14" t="s">
        <v>2055</v>
      </c>
      <c r="AH113" s="14" t="s">
        <v>2055</v>
      </c>
      <c r="AI113" s="14" t="s">
        <v>2057</v>
      </c>
      <c r="AJ113" s="14" t="s">
        <v>87</v>
      </c>
      <c r="AK113" s="14" t="s">
        <v>2048</v>
      </c>
      <c r="AL113" s="14" t="s">
        <v>2048</v>
      </c>
      <c r="AM113" s="14" t="s">
        <v>2584</v>
      </c>
      <c r="AN113" s="14" t="s">
        <v>2318</v>
      </c>
      <c r="AO113" s="17" t="s">
        <v>89</v>
      </c>
      <c r="AP113" s="14" t="s">
        <v>2135</v>
      </c>
      <c r="AQ113" s="14" t="s">
        <v>2059</v>
      </c>
      <c r="AR113" s="14" t="s">
        <v>2804</v>
      </c>
      <c r="AS113" s="14" t="s">
        <v>2805</v>
      </c>
      <c r="AT113" s="14" t="s">
        <v>72</v>
      </c>
      <c r="AU113" s="14" t="s">
        <v>2350</v>
      </c>
      <c r="AV113" s="14" t="s">
        <v>2351</v>
      </c>
      <c r="AW113" s="14" t="s">
        <v>2048</v>
      </c>
      <c r="AX113" s="14" t="s">
        <v>2048</v>
      </c>
      <c r="AY113" s="14" t="s">
        <v>204</v>
      </c>
      <c r="AZ113" s="14" t="s">
        <v>1385</v>
      </c>
      <c r="BA113" s="14" t="s">
        <v>2407</v>
      </c>
      <c r="BB113" s="14" t="s">
        <v>2048</v>
      </c>
      <c r="BC113" s="14" t="s">
        <v>2048</v>
      </c>
      <c r="BD113" s="14" t="s">
        <v>2325</v>
      </c>
      <c r="BE113" s="14" t="s">
        <v>2326</v>
      </c>
      <c r="BF113" s="14" t="s">
        <v>2325</v>
      </c>
      <c r="BG113" s="14" t="s">
        <v>2326</v>
      </c>
      <c r="BH113" s="14" t="s">
        <v>2327</v>
      </c>
      <c r="BI113" s="14" t="s">
        <v>2287</v>
      </c>
      <c r="BJ113" s="14" t="s">
        <v>2048</v>
      </c>
      <c r="BK113" s="14" t="s">
        <v>2048</v>
      </c>
      <c r="BL113" s="14" t="s">
        <v>2064</v>
      </c>
      <c r="BM113" s="14" t="s">
        <v>72</v>
      </c>
      <c r="BN113" s="14" t="s">
        <v>72</v>
      </c>
      <c r="BO113" s="14" t="s">
        <v>2806</v>
      </c>
      <c r="BP113" s="14" t="s">
        <v>2329</v>
      </c>
      <c r="BQ113" s="14" t="s">
        <v>2330</v>
      </c>
      <c r="BR113" s="14" t="s">
        <v>2418</v>
      </c>
      <c r="BS113" s="14" t="s">
        <v>2089</v>
      </c>
      <c r="BT113" s="14" t="s">
        <v>2048</v>
      </c>
      <c r="BU113" s="14" t="s">
        <v>2048</v>
      </c>
      <c r="BV113" s="14" t="s">
        <v>2048</v>
      </c>
      <c r="BW113" s="14" t="s">
        <v>2048</v>
      </c>
      <c r="BX113" s="14" t="s">
        <v>72</v>
      </c>
      <c r="BY113" s="14" t="s">
        <v>2048</v>
      </c>
      <c r="BZ113" s="14" t="s">
        <v>2048</v>
      </c>
      <c r="CA113" s="14" t="s">
        <v>2048</v>
      </c>
      <c r="CB113" s="14" t="s">
        <v>2048</v>
      </c>
      <c r="CC113" s="14" t="s">
        <v>2048</v>
      </c>
      <c r="CD113" s="14" t="s">
        <v>2048</v>
      </c>
      <c r="CE113" s="14" t="s">
        <v>2048</v>
      </c>
      <c r="CF113" s="14" t="s">
        <v>2048</v>
      </c>
      <c r="CG113" s="14" t="s">
        <v>2057</v>
      </c>
      <c r="CH113" s="14" t="s">
        <v>2090</v>
      </c>
      <c r="CI113" s="14" t="s">
        <v>2048</v>
      </c>
      <c r="CJ113" s="17"/>
      <c r="CK113" s="17">
        <v>45653</v>
      </c>
      <c r="CL113" s="17">
        <v>45653</v>
      </c>
      <c r="CM113" s="17">
        <v>2958465</v>
      </c>
      <c r="CN113" s="17"/>
      <c r="CO113" s="19">
        <v>0</v>
      </c>
      <c r="CP113" s="19">
        <v>0</v>
      </c>
      <c r="CQ113" s="19">
        <v>0</v>
      </c>
      <c r="CR113" s="19">
        <v>0</v>
      </c>
      <c r="CS113" s="19">
        <v>0</v>
      </c>
      <c r="CT113" s="19">
        <v>0</v>
      </c>
      <c r="CU113" s="19">
        <v>0</v>
      </c>
      <c r="CV113" s="17"/>
      <c r="CW113" s="19">
        <v>0</v>
      </c>
      <c r="CX113" s="17"/>
      <c r="CY113" s="17"/>
      <c r="CZ113" s="19">
        <v>0</v>
      </c>
      <c r="DA113" s="17"/>
      <c r="DB113" s="17"/>
      <c r="DC113" s="19">
        <v>100</v>
      </c>
      <c r="DD113" s="17"/>
      <c r="DE113" s="17">
        <v>2958465</v>
      </c>
      <c r="DF113" s="17"/>
      <c r="DG113" s="17"/>
      <c r="DH113" s="19">
        <v>0</v>
      </c>
      <c r="DI113" s="19">
        <v>0</v>
      </c>
    </row>
    <row r="114" spans="1:113" x14ac:dyDescent="0.2">
      <c r="A114" s="14" t="s">
        <v>2315</v>
      </c>
      <c r="B114" s="16" t="s">
        <v>1736</v>
      </c>
      <c r="C114" s="14" t="s">
        <v>158</v>
      </c>
      <c r="D114" s="14" t="s">
        <v>159</v>
      </c>
      <c r="E114" s="14" t="s">
        <v>158</v>
      </c>
      <c r="F114" s="14" t="s">
        <v>2044</v>
      </c>
      <c r="G114" s="14" t="s">
        <v>2045</v>
      </c>
      <c r="H114" s="14" t="s">
        <v>204</v>
      </c>
      <c r="I114" s="14" t="s">
        <v>205</v>
      </c>
      <c r="J114" s="16">
        <f>COUNTIF($I$3:I114, I114)</f>
        <v>30</v>
      </c>
      <c r="K114" s="14" t="s">
        <v>2048</v>
      </c>
      <c r="L114" s="14" t="s">
        <v>2048</v>
      </c>
      <c r="M114" s="14" t="s">
        <v>2048</v>
      </c>
      <c r="N114" s="14" t="s">
        <v>2048</v>
      </c>
      <c r="O114" s="14" t="s">
        <v>2807</v>
      </c>
      <c r="P114" s="14" t="s">
        <v>2808</v>
      </c>
      <c r="Q114" s="14" t="s">
        <v>72</v>
      </c>
      <c r="R114" s="14" t="s">
        <v>2048</v>
      </c>
      <c r="S114" s="14" t="s">
        <v>2048</v>
      </c>
      <c r="T114" s="14" t="s">
        <v>2048</v>
      </c>
      <c r="U114" s="14" t="s">
        <v>2048</v>
      </c>
      <c r="V114" s="14" t="s">
        <v>2050</v>
      </c>
      <c r="W114" s="14" t="s">
        <v>2048</v>
      </c>
      <c r="X114" s="14" t="s">
        <v>2048</v>
      </c>
      <c r="Y114" s="14" t="s">
        <v>2048</v>
      </c>
      <c r="Z114" s="14" t="s">
        <v>2048</v>
      </c>
      <c r="AA114" s="14" t="s">
        <v>2048</v>
      </c>
      <c r="AB114" s="14" t="s">
        <v>85</v>
      </c>
      <c r="AC114" s="14" t="s">
        <v>86</v>
      </c>
      <c r="AD114" s="14" t="s">
        <v>77</v>
      </c>
      <c r="AE114" s="14" t="s">
        <v>2054</v>
      </c>
      <c r="AF114" s="14" t="s">
        <v>2055</v>
      </c>
      <c r="AG114" s="14" t="s">
        <v>2055</v>
      </c>
      <c r="AH114" s="14" t="s">
        <v>2055</v>
      </c>
      <c r="AI114" s="14" t="s">
        <v>2057</v>
      </c>
      <c r="AJ114" s="14" t="s">
        <v>87</v>
      </c>
      <c r="AK114" s="14" t="s">
        <v>2048</v>
      </c>
      <c r="AL114" s="14" t="s">
        <v>2048</v>
      </c>
      <c r="AM114" s="14" t="s">
        <v>2584</v>
      </c>
      <c r="AN114" s="14" t="s">
        <v>2318</v>
      </c>
      <c r="AO114" s="17" t="s">
        <v>89</v>
      </c>
      <c r="AP114" s="14" t="s">
        <v>2135</v>
      </c>
      <c r="AQ114" s="14" t="s">
        <v>2059</v>
      </c>
      <c r="AR114" s="14" t="s">
        <v>2809</v>
      </c>
      <c r="AS114" s="14" t="s">
        <v>2810</v>
      </c>
      <c r="AT114" s="14" t="s">
        <v>72</v>
      </c>
      <c r="AU114" s="14" t="s">
        <v>2796</v>
      </c>
      <c r="AV114" s="14" t="s">
        <v>2797</v>
      </c>
      <c r="AW114" s="14" t="s">
        <v>2048</v>
      </c>
      <c r="AX114" s="14" t="s">
        <v>2048</v>
      </c>
      <c r="AY114" s="14" t="s">
        <v>204</v>
      </c>
      <c r="AZ114" s="14" t="s">
        <v>232</v>
      </c>
      <c r="BA114" s="14" t="s">
        <v>2324</v>
      </c>
      <c r="BB114" s="14" t="s">
        <v>2048</v>
      </c>
      <c r="BC114" s="14" t="s">
        <v>2048</v>
      </c>
      <c r="BD114" s="14" t="s">
        <v>2325</v>
      </c>
      <c r="BE114" s="14" t="s">
        <v>2326</v>
      </c>
      <c r="BF114" s="14" t="s">
        <v>2325</v>
      </c>
      <c r="BG114" s="14" t="s">
        <v>2326</v>
      </c>
      <c r="BH114" s="14" t="s">
        <v>2327</v>
      </c>
      <c r="BI114" s="14" t="s">
        <v>2287</v>
      </c>
      <c r="BJ114" s="14" t="s">
        <v>2048</v>
      </c>
      <c r="BK114" s="14" t="s">
        <v>2048</v>
      </c>
      <c r="BL114" s="14" t="s">
        <v>2064</v>
      </c>
      <c r="BM114" s="14" t="s">
        <v>72</v>
      </c>
      <c r="BN114" s="14" t="s">
        <v>72</v>
      </c>
      <c r="BO114" s="14" t="s">
        <v>2811</v>
      </c>
      <c r="BP114" s="14" t="s">
        <v>2329</v>
      </c>
      <c r="BQ114" s="14" t="s">
        <v>2330</v>
      </c>
      <c r="BR114" s="14" t="s">
        <v>2418</v>
      </c>
      <c r="BS114" s="14" t="s">
        <v>2089</v>
      </c>
      <c r="BT114" s="14" t="s">
        <v>2048</v>
      </c>
      <c r="BU114" s="14" t="s">
        <v>2048</v>
      </c>
      <c r="BV114" s="14" t="s">
        <v>2048</v>
      </c>
      <c r="BW114" s="14" t="s">
        <v>2048</v>
      </c>
      <c r="BX114" s="14" t="s">
        <v>72</v>
      </c>
      <c r="BY114" s="14" t="s">
        <v>2048</v>
      </c>
      <c r="BZ114" s="14" t="s">
        <v>2048</v>
      </c>
      <c r="CA114" s="14" t="s">
        <v>2048</v>
      </c>
      <c r="CB114" s="14" t="s">
        <v>2048</v>
      </c>
      <c r="CC114" s="14" t="s">
        <v>2048</v>
      </c>
      <c r="CD114" s="14" t="s">
        <v>2048</v>
      </c>
      <c r="CE114" s="14" t="s">
        <v>2048</v>
      </c>
      <c r="CF114" s="14" t="s">
        <v>2048</v>
      </c>
      <c r="CG114" s="14" t="s">
        <v>2057</v>
      </c>
      <c r="CH114" s="14" t="s">
        <v>2090</v>
      </c>
      <c r="CI114" s="14" t="s">
        <v>2048</v>
      </c>
      <c r="CJ114" s="17"/>
      <c r="CK114" s="17">
        <v>45653</v>
      </c>
      <c r="CL114" s="17">
        <v>45653</v>
      </c>
      <c r="CM114" s="17">
        <v>2958465</v>
      </c>
      <c r="CN114" s="17"/>
      <c r="CO114" s="19">
        <v>0</v>
      </c>
      <c r="CP114" s="19">
        <v>0</v>
      </c>
      <c r="CQ114" s="19">
        <v>0</v>
      </c>
      <c r="CR114" s="19">
        <v>0</v>
      </c>
      <c r="CS114" s="19">
        <v>0</v>
      </c>
      <c r="CT114" s="19">
        <v>0</v>
      </c>
      <c r="CU114" s="19">
        <v>0</v>
      </c>
      <c r="CV114" s="17"/>
      <c r="CW114" s="19">
        <v>0</v>
      </c>
      <c r="CX114" s="17"/>
      <c r="CY114" s="17"/>
      <c r="CZ114" s="19">
        <v>0</v>
      </c>
      <c r="DA114" s="17"/>
      <c r="DB114" s="17"/>
      <c r="DC114" s="19">
        <v>100</v>
      </c>
      <c r="DD114" s="17"/>
      <c r="DE114" s="17">
        <v>2958465</v>
      </c>
      <c r="DF114" s="17"/>
      <c r="DG114" s="17"/>
      <c r="DH114" s="19">
        <v>0</v>
      </c>
      <c r="DI114" s="19">
        <v>0</v>
      </c>
    </row>
    <row r="115" spans="1:113" x14ac:dyDescent="0.2">
      <c r="A115" s="14" t="s">
        <v>2315</v>
      </c>
      <c r="B115" s="16" t="s">
        <v>1742</v>
      </c>
      <c r="C115" s="14" t="s">
        <v>158</v>
      </c>
      <c r="D115" s="14" t="s">
        <v>159</v>
      </c>
      <c r="E115" s="14" t="s">
        <v>158</v>
      </c>
      <c r="F115" s="14" t="s">
        <v>2044</v>
      </c>
      <c r="G115" s="14" t="s">
        <v>2045</v>
      </c>
      <c r="H115" s="14" t="s">
        <v>204</v>
      </c>
      <c r="I115" s="14" t="s">
        <v>205</v>
      </c>
      <c r="J115" s="16">
        <f>COUNTIF($I$3:I115, I115)</f>
        <v>31</v>
      </c>
      <c r="K115" s="14" t="s">
        <v>2048</v>
      </c>
      <c r="L115" s="14" t="s">
        <v>2048</v>
      </c>
      <c r="M115" s="14" t="s">
        <v>2048</v>
      </c>
      <c r="N115" s="14" t="s">
        <v>2048</v>
      </c>
      <c r="O115" s="14" t="s">
        <v>2812</v>
      </c>
      <c r="P115" s="14" t="s">
        <v>2813</v>
      </c>
      <c r="Q115" s="14" t="s">
        <v>72</v>
      </c>
      <c r="R115" s="14" t="s">
        <v>2048</v>
      </c>
      <c r="S115" s="14" t="s">
        <v>2048</v>
      </c>
      <c r="T115" s="14" t="s">
        <v>2048</v>
      </c>
      <c r="U115" s="14" t="s">
        <v>2048</v>
      </c>
      <c r="V115" s="14" t="s">
        <v>2050</v>
      </c>
      <c r="W115" s="14" t="s">
        <v>2048</v>
      </c>
      <c r="X115" s="14" t="s">
        <v>2048</v>
      </c>
      <c r="Y115" s="14" t="s">
        <v>2048</v>
      </c>
      <c r="Z115" s="14" t="s">
        <v>2048</v>
      </c>
      <c r="AA115" s="14" t="s">
        <v>2048</v>
      </c>
      <c r="AB115" s="14" t="s">
        <v>85</v>
      </c>
      <c r="AC115" s="14" t="s">
        <v>86</v>
      </c>
      <c r="AD115" s="14" t="s">
        <v>77</v>
      </c>
      <c r="AE115" s="14" t="s">
        <v>2054</v>
      </c>
      <c r="AF115" s="14" t="s">
        <v>2055</v>
      </c>
      <c r="AG115" s="14" t="s">
        <v>2055</v>
      </c>
      <c r="AH115" s="14" t="s">
        <v>2055</v>
      </c>
      <c r="AI115" s="14" t="s">
        <v>2057</v>
      </c>
      <c r="AJ115" s="14" t="s">
        <v>87</v>
      </c>
      <c r="AK115" s="14" t="s">
        <v>2048</v>
      </c>
      <c r="AL115" s="14" t="s">
        <v>2048</v>
      </c>
      <c r="AM115" s="14" t="s">
        <v>2584</v>
      </c>
      <c r="AN115" s="14" t="s">
        <v>2318</v>
      </c>
      <c r="AO115" s="17" t="s">
        <v>89</v>
      </c>
      <c r="AP115" s="14" t="s">
        <v>2135</v>
      </c>
      <c r="AQ115" s="14" t="s">
        <v>2059</v>
      </c>
      <c r="AR115" s="14" t="s">
        <v>2814</v>
      </c>
      <c r="AS115" s="14" t="s">
        <v>2815</v>
      </c>
      <c r="AT115" s="14" t="s">
        <v>72</v>
      </c>
      <c r="AU115" s="14" t="s">
        <v>2350</v>
      </c>
      <c r="AV115" s="14" t="s">
        <v>2351</v>
      </c>
      <c r="AW115" s="14" t="s">
        <v>2048</v>
      </c>
      <c r="AX115" s="14" t="s">
        <v>2048</v>
      </c>
      <c r="AY115" s="14" t="s">
        <v>204</v>
      </c>
      <c r="AZ115" s="14" t="s">
        <v>232</v>
      </c>
      <c r="BA115" s="14" t="s">
        <v>2324</v>
      </c>
      <c r="BB115" s="14" t="s">
        <v>2048</v>
      </c>
      <c r="BC115" s="14" t="s">
        <v>2048</v>
      </c>
      <c r="BD115" s="14" t="s">
        <v>2325</v>
      </c>
      <c r="BE115" s="14" t="s">
        <v>2326</v>
      </c>
      <c r="BF115" s="14" t="s">
        <v>2325</v>
      </c>
      <c r="BG115" s="14" t="s">
        <v>2326</v>
      </c>
      <c r="BH115" s="14" t="s">
        <v>2327</v>
      </c>
      <c r="BI115" s="14" t="s">
        <v>2287</v>
      </c>
      <c r="BJ115" s="14" t="s">
        <v>2048</v>
      </c>
      <c r="BK115" s="14" t="s">
        <v>2048</v>
      </c>
      <c r="BL115" s="14" t="s">
        <v>2064</v>
      </c>
      <c r="BM115" s="14" t="s">
        <v>72</v>
      </c>
      <c r="BN115" s="14" t="s">
        <v>72</v>
      </c>
      <c r="BO115" s="14" t="s">
        <v>2816</v>
      </c>
      <c r="BP115" s="14" t="s">
        <v>2817</v>
      </c>
      <c r="BQ115" s="14" t="s">
        <v>2818</v>
      </c>
      <c r="BR115" s="14" t="s">
        <v>2418</v>
      </c>
      <c r="BS115" s="14" t="s">
        <v>2089</v>
      </c>
      <c r="BT115" s="14" t="s">
        <v>2048</v>
      </c>
      <c r="BU115" s="14" t="s">
        <v>2048</v>
      </c>
      <c r="BV115" s="14" t="s">
        <v>2048</v>
      </c>
      <c r="BW115" s="14" t="s">
        <v>2048</v>
      </c>
      <c r="BX115" s="14" t="s">
        <v>72</v>
      </c>
      <c r="BY115" s="14" t="s">
        <v>2048</v>
      </c>
      <c r="BZ115" s="14" t="s">
        <v>2048</v>
      </c>
      <c r="CA115" s="14" t="s">
        <v>2048</v>
      </c>
      <c r="CB115" s="14" t="s">
        <v>2048</v>
      </c>
      <c r="CC115" s="14" t="s">
        <v>2048</v>
      </c>
      <c r="CD115" s="14" t="s">
        <v>2048</v>
      </c>
      <c r="CE115" s="14" t="s">
        <v>2048</v>
      </c>
      <c r="CF115" s="14" t="s">
        <v>2048</v>
      </c>
      <c r="CG115" s="14" t="s">
        <v>2057</v>
      </c>
      <c r="CH115" s="14" t="s">
        <v>2090</v>
      </c>
      <c r="CI115" s="14" t="s">
        <v>2048</v>
      </c>
      <c r="CJ115" s="17"/>
      <c r="CK115" s="17">
        <v>45653</v>
      </c>
      <c r="CL115" s="17">
        <v>45653</v>
      </c>
      <c r="CM115" s="17">
        <v>2958465</v>
      </c>
      <c r="CN115" s="17"/>
      <c r="CO115" s="19">
        <v>0</v>
      </c>
      <c r="CP115" s="19">
        <v>0</v>
      </c>
      <c r="CQ115" s="19">
        <v>0</v>
      </c>
      <c r="CR115" s="19">
        <v>0</v>
      </c>
      <c r="CS115" s="19">
        <v>0</v>
      </c>
      <c r="CT115" s="19">
        <v>0</v>
      </c>
      <c r="CU115" s="19">
        <v>0</v>
      </c>
      <c r="CV115" s="17"/>
      <c r="CW115" s="19">
        <v>0</v>
      </c>
      <c r="CX115" s="17"/>
      <c r="CY115" s="17"/>
      <c r="CZ115" s="19">
        <v>0</v>
      </c>
      <c r="DA115" s="17"/>
      <c r="DB115" s="17"/>
      <c r="DC115" s="19">
        <v>100</v>
      </c>
      <c r="DD115" s="17"/>
      <c r="DE115" s="17">
        <v>2958465</v>
      </c>
      <c r="DF115" s="17"/>
      <c r="DG115" s="17"/>
      <c r="DH115" s="19">
        <v>0</v>
      </c>
      <c r="DI115" s="19">
        <v>0</v>
      </c>
    </row>
    <row r="116" spans="1:113" x14ac:dyDescent="0.2">
      <c r="A116" s="14" t="s">
        <v>2315</v>
      </c>
      <c r="B116" s="16" t="s">
        <v>1740</v>
      </c>
      <c r="C116" s="14" t="s">
        <v>158</v>
      </c>
      <c r="D116" s="14" t="s">
        <v>159</v>
      </c>
      <c r="E116" s="14" t="s">
        <v>158</v>
      </c>
      <c r="F116" s="14" t="s">
        <v>2044</v>
      </c>
      <c r="G116" s="14" t="s">
        <v>2045</v>
      </c>
      <c r="H116" s="14" t="s">
        <v>204</v>
      </c>
      <c r="I116" s="14" t="s">
        <v>205</v>
      </c>
      <c r="J116" s="16">
        <f>COUNTIF($I$3:I116, I116)</f>
        <v>32</v>
      </c>
      <c r="K116" s="14" t="s">
        <v>2048</v>
      </c>
      <c r="L116" s="14" t="s">
        <v>2048</v>
      </c>
      <c r="M116" s="14" t="s">
        <v>2048</v>
      </c>
      <c r="N116" s="14" t="s">
        <v>2048</v>
      </c>
      <c r="O116" s="14" t="s">
        <v>2819</v>
      </c>
      <c r="P116" s="14" t="s">
        <v>2820</v>
      </c>
      <c r="Q116" s="14" t="s">
        <v>72</v>
      </c>
      <c r="R116" s="14" t="s">
        <v>2048</v>
      </c>
      <c r="S116" s="14" t="s">
        <v>2048</v>
      </c>
      <c r="T116" s="14" t="s">
        <v>2048</v>
      </c>
      <c r="U116" s="14" t="s">
        <v>2048</v>
      </c>
      <c r="V116" s="14" t="s">
        <v>2050</v>
      </c>
      <c r="W116" s="14" t="s">
        <v>2048</v>
      </c>
      <c r="X116" s="14" t="s">
        <v>2048</v>
      </c>
      <c r="Y116" s="14" t="s">
        <v>2048</v>
      </c>
      <c r="Z116" s="14" t="s">
        <v>2048</v>
      </c>
      <c r="AA116" s="14" t="s">
        <v>2048</v>
      </c>
      <c r="AB116" s="14" t="s">
        <v>85</v>
      </c>
      <c r="AC116" s="14" t="s">
        <v>86</v>
      </c>
      <c r="AD116" s="14" t="s">
        <v>77</v>
      </c>
      <c r="AE116" s="14" t="s">
        <v>2054</v>
      </c>
      <c r="AF116" s="14" t="s">
        <v>2055</v>
      </c>
      <c r="AG116" s="14" t="s">
        <v>2055</v>
      </c>
      <c r="AH116" s="14" t="s">
        <v>2055</v>
      </c>
      <c r="AI116" s="14" t="s">
        <v>2057</v>
      </c>
      <c r="AJ116" s="14" t="s">
        <v>87</v>
      </c>
      <c r="AK116" s="14" t="s">
        <v>2048</v>
      </c>
      <c r="AL116" s="14" t="s">
        <v>2048</v>
      </c>
      <c r="AM116" s="14" t="s">
        <v>2584</v>
      </c>
      <c r="AN116" s="14" t="s">
        <v>2318</v>
      </c>
      <c r="AO116" s="17" t="s">
        <v>89</v>
      </c>
      <c r="AP116" s="14" t="s">
        <v>2135</v>
      </c>
      <c r="AQ116" s="14" t="s">
        <v>2059</v>
      </c>
      <c r="AR116" s="14" t="s">
        <v>2821</v>
      </c>
      <c r="AS116" s="14" t="s">
        <v>2822</v>
      </c>
      <c r="AT116" s="14" t="s">
        <v>72</v>
      </c>
      <c r="AU116" s="14" t="s">
        <v>2350</v>
      </c>
      <c r="AV116" s="14" t="s">
        <v>2351</v>
      </c>
      <c r="AW116" s="14" t="s">
        <v>2048</v>
      </c>
      <c r="AX116" s="14" t="s">
        <v>2048</v>
      </c>
      <c r="AY116" s="14" t="s">
        <v>204</v>
      </c>
      <c r="AZ116" s="14" t="s">
        <v>232</v>
      </c>
      <c r="BA116" s="14" t="s">
        <v>2324</v>
      </c>
      <c r="BB116" s="14" t="s">
        <v>2048</v>
      </c>
      <c r="BC116" s="14" t="s">
        <v>2048</v>
      </c>
      <c r="BD116" s="14" t="s">
        <v>2325</v>
      </c>
      <c r="BE116" s="14" t="s">
        <v>2326</v>
      </c>
      <c r="BF116" s="14" t="s">
        <v>2325</v>
      </c>
      <c r="BG116" s="14" t="s">
        <v>2326</v>
      </c>
      <c r="BH116" s="14" t="s">
        <v>2327</v>
      </c>
      <c r="BI116" s="14" t="s">
        <v>2287</v>
      </c>
      <c r="BJ116" s="14" t="s">
        <v>2048</v>
      </c>
      <c r="BK116" s="14" t="s">
        <v>2048</v>
      </c>
      <c r="BL116" s="14" t="s">
        <v>2064</v>
      </c>
      <c r="BM116" s="14" t="s">
        <v>72</v>
      </c>
      <c r="BN116" s="14" t="s">
        <v>72</v>
      </c>
      <c r="BO116" s="14" t="s">
        <v>2823</v>
      </c>
      <c r="BP116" s="14" t="s">
        <v>2329</v>
      </c>
      <c r="BQ116" s="14" t="s">
        <v>2330</v>
      </c>
      <c r="BR116" s="14" t="s">
        <v>2418</v>
      </c>
      <c r="BS116" s="14" t="s">
        <v>2089</v>
      </c>
      <c r="BT116" s="14" t="s">
        <v>2048</v>
      </c>
      <c r="BU116" s="14" t="s">
        <v>2048</v>
      </c>
      <c r="BV116" s="14" t="s">
        <v>2048</v>
      </c>
      <c r="BW116" s="14" t="s">
        <v>2048</v>
      </c>
      <c r="BX116" s="14" t="s">
        <v>72</v>
      </c>
      <c r="BY116" s="14" t="s">
        <v>2048</v>
      </c>
      <c r="BZ116" s="14" t="s">
        <v>2048</v>
      </c>
      <c r="CA116" s="14" t="s">
        <v>2048</v>
      </c>
      <c r="CB116" s="14" t="s">
        <v>2048</v>
      </c>
      <c r="CC116" s="14" t="s">
        <v>2048</v>
      </c>
      <c r="CD116" s="14" t="s">
        <v>2048</v>
      </c>
      <c r="CE116" s="14" t="s">
        <v>2048</v>
      </c>
      <c r="CF116" s="14" t="s">
        <v>2048</v>
      </c>
      <c r="CG116" s="14" t="s">
        <v>2057</v>
      </c>
      <c r="CH116" s="14" t="s">
        <v>2090</v>
      </c>
      <c r="CI116" s="14" t="s">
        <v>2048</v>
      </c>
      <c r="CJ116" s="17"/>
      <c r="CK116" s="17">
        <v>45653</v>
      </c>
      <c r="CL116" s="17">
        <v>45653</v>
      </c>
      <c r="CM116" s="17">
        <v>2958465</v>
      </c>
      <c r="CN116" s="17"/>
      <c r="CO116" s="19">
        <v>0</v>
      </c>
      <c r="CP116" s="19">
        <v>0</v>
      </c>
      <c r="CQ116" s="19">
        <v>0</v>
      </c>
      <c r="CR116" s="19">
        <v>0</v>
      </c>
      <c r="CS116" s="19">
        <v>0</v>
      </c>
      <c r="CT116" s="19">
        <v>0</v>
      </c>
      <c r="CU116" s="19">
        <v>0</v>
      </c>
      <c r="CV116" s="17"/>
      <c r="CW116" s="19">
        <v>0</v>
      </c>
      <c r="CX116" s="17"/>
      <c r="CY116" s="17"/>
      <c r="CZ116" s="19">
        <v>0</v>
      </c>
      <c r="DA116" s="17"/>
      <c r="DB116" s="17"/>
      <c r="DC116" s="19">
        <v>100</v>
      </c>
      <c r="DD116" s="17"/>
      <c r="DE116" s="17">
        <v>2958465</v>
      </c>
      <c r="DF116" s="17"/>
      <c r="DG116" s="17"/>
      <c r="DH116" s="19">
        <v>0</v>
      </c>
      <c r="DI116" s="19">
        <v>0</v>
      </c>
    </row>
    <row r="117" spans="1:113" x14ac:dyDescent="0.2">
      <c r="A117" s="14" t="s">
        <v>2315</v>
      </c>
      <c r="B117" s="16" t="s">
        <v>1734</v>
      </c>
      <c r="C117" s="14" t="s">
        <v>158</v>
      </c>
      <c r="D117" s="14" t="s">
        <v>159</v>
      </c>
      <c r="E117" s="14" t="s">
        <v>158</v>
      </c>
      <c r="F117" s="14" t="s">
        <v>2044</v>
      </c>
      <c r="G117" s="14" t="s">
        <v>2045</v>
      </c>
      <c r="H117" s="14" t="s">
        <v>204</v>
      </c>
      <c r="I117" s="14" t="s">
        <v>205</v>
      </c>
      <c r="J117" s="16">
        <f>COUNTIF($I$3:I117, I117)</f>
        <v>33</v>
      </c>
      <c r="K117" s="14" t="s">
        <v>2048</v>
      </c>
      <c r="L117" s="14" t="s">
        <v>2048</v>
      </c>
      <c r="M117" s="14" t="s">
        <v>2048</v>
      </c>
      <c r="N117" s="14" t="s">
        <v>2048</v>
      </c>
      <c r="O117" s="14" t="s">
        <v>2824</v>
      </c>
      <c r="P117" s="14" t="s">
        <v>2825</v>
      </c>
      <c r="Q117" s="14" t="s">
        <v>72</v>
      </c>
      <c r="R117" s="14" t="s">
        <v>2048</v>
      </c>
      <c r="S117" s="14" t="s">
        <v>2048</v>
      </c>
      <c r="T117" s="14" t="s">
        <v>2048</v>
      </c>
      <c r="U117" s="14" t="s">
        <v>2048</v>
      </c>
      <c r="V117" s="14" t="s">
        <v>2050</v>
      </c>
      <c r="W117" s="14" t="s">
        <v>2048</v>
      </c>
      <c r="X117" s="14" t="s">
        <v>2048</v>
      </c>
      <c r="Y117" s="14" t="s">
        <v>2048</v>
      </c>
      <c r="Z117" s="14" t="s">
        <v>2048</v>
      </c>
      <c r="AA117" s="14" t="s">
        <v>2048</v>
      </c>
      <c r="AB117" s="14" t="s">
        <v>85</v>
      </c>
      <c r="AC117" s="14" t="s">
        <v>86</v>
      </c>
      <c r="AD117" s="14" t="s">
        <v>77</v>
      </c>
      <c r="AE117" s="14" t="s">
        <v>2054</v>
      </c>
      <c r="AF117" s="14" t="s">
        <v>2055</v>
      </c>
      <c r="AG117" s="14" t="s">
        <v>2055</v>
      </c>
      <c r="AH117" s="14" t="s">
        <v>2055</v>
      </c>
      <c r="AI117" s="14" t="s">
        <v>2057</v>
      </c>
      <c r="AJ117" s="14" t="s">
        <v>87</v>
      </c>
      <c r="AK117" s="14" t="s">
        <v>2048</v>
      </c>
      <c r="AL117" s="14" t="s">
        <v>2048</v>
      </c>
      <c r="AM117" s="14" t="s">
        <v>2584</v>
      </c>
      <c r="AN117" s="14" t="s">
        <v>2318</v>
      </c>
      <c r="AO117" s="17" t="s">
        <v>89</v>
      </c>
      <c r="AP117" s="14" t="s">
        <v>2135</v>
      </c>
      <c r="AQ117" s="14" t="s">
        <v>2059</v>
      </c>
      <c r="AR117" s="14" t="s">
        <v>2826</v>
      </c>
      <c r="AS117" s="14" t="s">
        <v>2827</v>
      </c>
      <c r="AT117" s="14" t="s">
        <v>72</v>
      </c>
      <c r="AU117" s="14" t="s">
        <v>2350</v>
      </c>
      <c r="AV117" s="14" t="s">
        <v>2351</v>
      </c>
      <c r="AW117" s="14" t="s">
        <v>2048</v>
      </c>
      <c r="AX117" s="14" t="s">
        <v>2048</v>
      </c>
      <c r="AY117" s="14" t="s">
        <v>204</v>
      </c>
      <c r="AZ117" s="14" t="s">
        <v>232</v>
      </c>
      <c r="BA117" s="14" t="s">
        <v>2324</v>
      </c>
      <c r="BB117" s="14" t="s">
        <v>2048</v>
      </c>
      <c r="BC117" s="14" t="s">
        <v>2048</v>
      </c>
      <c r="BD117" s="14" t="s">
        <v>2325</v>
      </c>
      <c r="BE117" s="14" t="s">
        <v>2326</v>
      </c>
      <c r="BF117" s="14" t="s">
        <v>2325</v>
      </c>
      <c r="BG117" s="14" t="s">
        <v>2326</v>
      </c>
      <c r="BH117" s="14" t="s">
        <v>2327</v>
      </c>
      <c r="BI117" s="14" t="s">
        <v>2287</v>
      </c>
      <c r="BJ117" s="14" t="s">
        <v>2048</v>
      </c>
      <c r="BK117" s="14" t="s">
        <v>2048</v>
      </c>
      <c r="BL117" s="14" t="s">
        <v>2064</v>
      </c>
      <c r="BM117" s="14" t="s">
        <v>72</v>
      </c>
      <c r="BN117" s="14" t="s">
        <v>72</v>
      </c>
      <c r="BO117" s="14" t="s">
        <v>2828</v>
      </c>
      <c r="BP117" s="14" t="s">
        <v>2048</v>
      </c>
      <c r="BQ117" s="14" t="s">
        <v>2048</v>
      </c>
      <c r="BR117" s="14" t="s">
        <v>2418</v>
      </c>
      <c r="BS117" s="14" t="s">
        <v>2089</v>
      </c>
      <c r="BT117" s="14" t="s">
        <v>2048</v>
      </c>
      <c r="BU117" s="14" t="s">
        <v>2048</v>
      </c>
      <c r="BV117" s="14" t="s">
        <v>2048</v>
      </c>
      <c r="BW117" s="14" t="s">
        <v>2048</v>
      </c>
      <c r="BX117" s="14" t="s">
        <v>72</v>
      </c>
      <c r="BY117" s="14" t="s">
        <v>2048</v>
      </c>
      <c r="BZ117" s="14" t="s">
        <v>2048</v>
      </c>
      <c r="CA117" s="14" t="s">
        <v>2048</v>
      </c>
      <c r="CB117" s="14" t="s">
        <v>2048</v>
      </c>
      <c r="CC117" s="14" t="s">
        <v>2048</v>
      </c>
      <c r="CD117" s="14" t="s">
        <v>2048</v>
      </c>
      <c r="CE117" s="14" t="s">
        <v>2048</v>
      </c>
      <c r="CF117" s="14" t="s">
        <v>2048</v>
      </c>
      <c r="CG117" s="14" t="s">
        <v>2057</v>
      </c>
      <c r="CH117" s="14" t="s">
        <v>2090</v>
      </c>
      <c r="CI117" s="14" t="s">
        <v>2048</v>
      </c>
      <c r="CJ117" s="17"/>
      <c r="CK117" s="17">
        <v>45653</v>
      </c>
      <c r="CL117" s="17">
        <v>45653</v>
      </c>
      <c r="CM117" s="17">
        <v>2958465</v>
      </c>
      <c r="CN117" s="17"/>
      <c r="CO117" s="19">
        <v>0</v>
      </c>
      <c r="CP117" s="19">
        <v>0</v>
      </c>
      <c r="CQ117" s="19">
        <v>0</v>
      </c>
      <c r="CR117" s="19">
        <v>0</v>
      </c>
      <c r="CS117" s="19">
        <v>0</v>
      </c>
      <c r="CT117" s="19">
        <v>0</v>
      </c>
      <c r="CU117" s="19">
        <v>0</v>
      </c>
      <c r="CV117" s="17"/>
      <c r="CW117" s="19">
        <v>0</v>
      </c>
      <c r="CX117" s="17"/>
      <c r="CY117" s="17"/>
      <c r="CZ117" s="19">
        <v>0</v>
      </c>
      <c r="DA117" s="17"/>
      <c r="DB117" s="17"/>
      <c r="DC117" s="19">
        <v>100</v>
      </c>
      <c r="DD117" s="17"/>
      <c r="DE117" s="17">
        <v>2958465</v>
      </c>
      <c r="DF117" s="17"/>
      <c r="DG117" s="17"/>
      <c r="DH117" s="19">
        <v>0</v>
      </c>
      <c r="DI117" s="19">
        <v>0</v>
      </c>
    </row>
    <row r="118" spans="1:113" x14ac:dyDescent="0.2">
      <c r="A118" s="14" t="s">
        <v>2315</v>
      </c>
      <c r="B118" s="16" t="s">
        <v>1754</v>
      </c>
      <c r="C118" s="14" t="s">
        <v>158</v>
      </c>
      <c r="D118" s="14" t="s">
        <v>159</v>
      </c>
      <c r="E118" s="14" t="s">
        <v>158</v>
      </c>
      <c r="F118" s="14" t="s">
        <v>2044</v>
      </c>
      <c r="G118" s="14" t="s">
        <v>2045</v>
      </c>
      <c r="H118" s="14" t="s">
        <v>204</v>
      </c>
      <c r="I118" s="14" t="s">
        <v>205</v>
      </c>
      <c r="J118" s="16">
        <f>COUNTIF($I$3:I118, I118)</f>
        <v>34</v>
      </c>
      <c r="K118" s="14" t="s">
        <v>2048</v>
      </c>
      <c r="L118" s="14" t="s">
        <v>2048</v>
      </c>
      <c r="M118" s="14" t="s">
        <v>2048</v>
      </c>
      <c r="N118" s="14" t="s">
        <v>2048</v>
      </c>
      <c r="O118" s="14" t="s">
        <v>2829</v>
      </c>
      <c r="P118" s="14" t="s">
        <v>2830</v>
      </c>
      <c r="Q118" s="14" t="s">
        <v>72</v>
      </c>
      <c r="R118" s="14" t="s">
        <v>2048</v>
      </c>
      <c r="S118" s="14" t="s">
        <v>2048</v>
      </c>
      <c r="T118" s="14" t="s">
        <v>2048</v>
      </c>
      <c r="U118" s="14" t="s">
        <v>2048</v>
      </c>
      <c r="V118" s="14" t="s">
        <v>2050</v>
      </c>
      <c r="W118" s="14" t="s">
        <v>2048</v>
      </c>
      <c r="X118" s="14" t="s">
        <v>2048</v>
      </c>
      <c r="Y118" s="14" t="s">
        <v>2048</v>
      </c>
      <c r="Z118" s="14" t="s">
        <v>2048</v>
      </c>
      <c r="AA118" s="14" t="s">
        <v>2048</v>
      </c>
      <c r="AB118" s="14" t="s">
        <v>85</v>
      </c>
      <c r="AC118" s="14" t="s">
        <v>86</v>
      </c>
      <c r="AD118" s="14" t="s">
        <v>77</v>
      </c>
      <c r="AE118" s="14" t="s">
        <v>2054</v>
      </c>
      <c r="AF118" s="14" t="s">
        <v>2055</v>
      </c>
      <c r="AG118" s="14" t="s">
        <v>2055</v>
      </c>
      <c r="AH118" s="14" t="s">
        <v>2055</v>
      </c>
      <c r="AI118" s="14" t="s">
        <v>2057</v>
      </c>
      <c r="AJ118" s="14" t="s">
        <v>87</v>
      </c>
      <c r="AK118" s="14" t="s">
        <v>2048</v>
      </c>
      <c r="AL118" s="14" t="s">
        <v>2048</v>
      </c>
      <c r="AM118" s="14" t="s">
        <v>2584</v>
      </c>
      <c r="AN118" s="14" t="s">
        <v>2318</v>
      </c>
      <c r="AO118" s="17" t="s">
        <v>89</v>
      </c>
      <c r="AP118" s="14" t="s">
        <v>2135</v>
      </c>
      <c r="AQ118" s="14" t="s">
        <v>2059</v>
      </c>
      <c r="AR118" s="14" t="s">
        <v>2831</v>
      </c>
      <c r="AS118" s="14" t="s">
        <v>2832</v>
      </c>
      <c r="AT118" s="14" t="s">
        <v>72</v>
      </c>
      <c r="AU118" s="14" t="s">
        <v>2796</v>
      </c>
      <c r="AV118" s="14" t="s">
        <v>2797</v>
      </c>
      <c r="AW118" s="14" t="s">
        <v>2048</v>
      </c>
      <c r="AX118" s="14" t="s">
        <v>2048</v>
      </c>
      <c r="AY118" s="14" t="s">
        <v>204</v>
      </c>
      <c r="AZ118" s="14" t="s">
        <v>232</v>
      </c>
      <c r="BA118" s="14" t="s">
        <v>2324</v>
      </c>
      <c r="BB118" s="14" t="s">
        <v>2048</v>
      </c>
      <c r="BC118" s="14" t="s">
        <v>2048</v>
      </c>
      <c r="BD118" s="14" t="s">
        <v>2325</v>
      </c>
      <c r="BE118" s="14" t="s">
        <v>2326</v>
      </c>
      <c r="BF118" s="14" t="s">
        <v>2325</v>
      </c>
      <c r="BG118" s="14" t="s">
        <v>2326</v>
      </c>
      <c r="BH118" s="14" t="s">
        <v>2327</v>
      </c>
      <c r="BI118" s="14" t="s">
        <v>2287</v>
      </c>
      <c r="BJ118" s="14" t="s">
        <v>2048</v>
      </c>
      <c r="BK118" s="14" t="s">
        <v>2048</v>
      </c>
      <c r="BL118" s="14" t="s">
        <v>2064</v>
      </c>
      <c r="BM118" s="14" t="s">
        <v>72</v>
      </c>
      <c r="BN118" s="14" t="s">
        <v>72</v>
      </c>
      <c r="BO118" s="14" t="s">
        <v>2833</v>
      </c>
      <c r="BP118" s="14" t="s">
        <v>2329</v>
      </c>
      <c r="BQ118" s="14" t="s">
        <v>2330</v>
      </c>
      <c r="BR118" s="14" t="s">
        <v>2418</v>
      </c>
      <c r="BS118" s="14" t="s">
        <v>2089</v>
      </c>
      <c r="BT118" s="14" t="s">
        <v>2048</v>
      </c>
      <c r="BU118" s="14" t="s">
        <v>2048</v>
      </c>
      <c r="BV118" s="14" t="s">
        <v>2048</v>
      </c>
      <c r="BW118" s="14" t="s">
        <v>2048</v>
      </c>
      <c r="BX118" s="14" t="s">
        <v>72</v>
      </c>
      <c r="BY118" s="14" t="s">
        <v>2048</v>
      </c>
      <c r="BZ118" s="14" t="s">
        <v>2048</v>
      </c>
      <c r="CA118" s="14" t="s">
        <v>2048</v>
      </c>
      <c r="CB118" s="14" t="s">
        <v>2048</v>
      </c>
      <c r="CC118" s="14" t="s">
        <v>2048</v>
      </c>
      <c r="CD118" s="14" t="s">
        <v>2048</v>
      </c>
      <c r="CE118" s="14" t="s">
        <v>2048</v>
      </c>
      <c r="CF118" s="14" t="s">
        <v>2048</v>
      </c>
      <c r="CG118" s="14" t="s">
        <v>2057</v>
      </c>
      <c r="CH118" s="14" t="s">
        <v>2090</v>
      </c>
      <c r="CI118" s="14" t="s">
        <v>2048</v>
      </c>
      <c r="CJ118" s="17"/>
      <c r="CK118" s="17">
        <v>45653</v>
      </c>
      <c r="CL118" s="17">
        <v>45653</v>
      </c>
      <c r="CM118" s="17">
        <v>2958465</v>
      </c>
      <c r="CN118" s="17"/>
      <c r="CO118" s="19">
        <v>0</v>
      </c>
      <c r="CP118" s="19">
        <v>0</v>
      </c>
      <c r="CQ118" s="19">
        <v>0</v>
      </c>
      <c r="CR118" s="19">
        <v>0</v>
      </c>
      <c r="CS118" s="19">
        <v>0</v>
      </c>
      <c r="CT118" s="19">
        <v>0</v>
      </c>
      <c r="CU118" s="19">
        <v>0</v>
      </c>
      <c r="CV118" s="17"/>
      <c r="CW118" s="19">
        <v>0</v>
      </c>
      <c r="CX118" s="17"/>
      <c r="CY118" s="17"/>
      <c r="CZ118" s="19">
        <v>0</v>
      </c>
      <c r="DA118" s="17"/>
      <c r="DB118" s="17"/>
      <c r="DC118" s="19">
        <v>100</v>
      </c>
      <c r="DD118" s="17"/>
      <c r="DE118" s="17">
        <v>2958465</v>
      </c>
      <c r="DF118" s="17"/>
      <c r="DG118" s="17"/>
      <c r="DH118" s="19">
        <v>0</v>
      </c>
      <c r="DI118" s="19">
        <v>0</v>
      </c>
    </row>
    <row r="119" spans="1:113" x14ac:dyDescent="0.2">
      <c r="A119" s="14" t="s">
        <v>2315</v>
      </c>
      <c r="B119" s="16" t="s">
        <v>1748</v>
      </c>
      <c r="C119" s="14" t="s">
        <v>158</v>
      </c>
      <c r="D119" s="14" t="s">
        <v>159</v>
      </c>
      <c r="E119" s="14" t="s">
        <v>158</v>
      </c>
      <c r="F119" s="14" t="s">
        <v>2044</v>
      </c>
      <c r="G119" s="14" t="s">
        <v>2045</v>
      </c>
      <c r="H119" s="14" t="s">
        <v>204</v>
      </c>
      <c r="I119" s="14" t="s">
        <v>205</v>
      </c>
      <c r="J119" s="16">
        <f>COUNTIF($I$3:I119, I119)</f>
        <v>35</v>
      </c>
      <c r="K119" s="14" t="s">
        <v>2048</v>
      </c>
      <c r="L119" s="14" t="s">
        <v>2048</v>
      </c>
      <c r="M119" s="14" t="s">
        <v>2048</v>
      </c>
      <c r="N119" s="14" t="s">
        <v>2048</v>
      </c>
      <c r="O119" s="14" t="s">
        <v>2834</v>
      </c>
      <c r="P119" s="14" t="s">
        <v>2835</v>
      </c>
      <c r="Q119" s="14" t="s">
        <v>72</v>
      </c>
      <c r="R119" s="14" t="s">
        <v>2048</v>
      </c>
      <c r="S119" s="14" t="s">
        <v>2048</v>
      </c>
      <c r="T119" s="14" t="s">
        <v>2048</v>
      </c>
      <c r="U119" s="14" t="s">
        <v>2048</v>
      </c>
      <c r="V119" s="14" t="s">
        <v>2050</v>
      </c>
      <c r="W119" s="14" t="s">
        <v>2048</v>
      </c>
      <c r="X119" s="14" t="s">
        <v>2048</v>
      </c>
      <c r="Y119" s="14" t="s">
        <v>2048</v>
      </c>
      <c r="Z119" s="14" t="s">
        <v>2048</v>
      </c>
      <c r="AA119" s="14" t="s">
        <v>2048</v>
      </c>
      <c r="AB119" s="14" t="s">
        <v>85</v>
      </c>
      <c r="AC119" s="14" t="s">
        <v>86</v>
      </c>
      <c r="AD119" s="14" t="s">
        <v>77</v>
      </c>
      <c r="AE119" s="14" t="s">
        <v>2054</v>
      </c>
      <c r="AF119" s="14" t="s">
        <v>2055</v>
      </c>
      <c r="AG119" s="14" t="s">
        <v>2055</v>
      </c>
      <c r="AH119" s="14" t="s">
        <v>2055</v>
      </c>
      <c r="AI119" s="14" t="s">
        <v>2057</v>
      </c>
      <c r="AJ119" s="14" t="s">
        <v>87</v>
      </c>
      <c r="AK119" s="14" t="s">
        <v>2048</v>
      </c>
      <c r="AL119" s="14" t="s">
        <v>2048</v>
      </c>
      <c r="AM119" s="14" t="s">
        <v>2048</v>
      </c>
      <c r="AN119" s="14" t="s">
        <v>2334</v>
      </c>
      <c r="AO119" s="17" t="s">
        <v>89</v>
      </c>
      <c r="AP119" s="14" t="s">
        <v>2135</v>
      </c>
      <c r="AQ119" s="14" t="s">
        <v>2059</v>
      </c>
      <c r="AR119" s="14" t="s">
        <v>2060</v>
      </c>
      <c r="AS119" s="14" t="s">
        <v>2048</v>
      </c>
      <c r="AT119" s="14" t="s">
        <v>72</v>
      </c>
      <c r="AU119" s="14" t="s">
        <v>2392</v>
      </c>
      <c r="AV119" s="14" t="s">
        <v>2393</v>
      </c>
      <c r="AW119" s="14" t="s">
        <v>2048</v>
      </c>
      <c r="AX119" s="14" t="s">
        <v>2048</v>
      </c>
      <c r="AY119" s="14" t="s">
        <v>204</v>
      </c>
      <c r="AZ119" s="14" t="s">
        <v>208</v>
      </c>
      <c r="BA119" s="14" t="s">
        <v>2339</v>
      </c>
      <c r="BB119" s="14" t="s">
        <v>2048</v>
      </c>
      <c r="BC119" s="14" t="s">
        <v>2048</v>
      </c>
      <c r="BD119" s="14" t="s">
        <v>2325</v>
      </c>
      <c r="BE119" s="14" t="s">
        <v>2326</v>
      </c>
      <c r="BF119" s="14" t="s">
        <v>2340</v>
      </c>
      <c r="BG119" s="14" t="s">
        <v>2341</v>
      </c>
      <c r="BH119" s="14" t="s">
        <v>2342</v>
      </c>
      <c r="BI119" s="14" t="s">
        <v>2287</v>
      </c>
      <c r="BJ119" s="14" t="s">
        <v>2048</v>
      </c>
      <c r="BK119" s="14" t="s">
        <v>2048</v>
      </c>
      <c r="BL119" s="14" t="s">
        <v>2064</v>
      </c>
      <c r="BM119" s="14" t="s">
        <v>72</v>
      </c>
      <c r="BN119" s="14" t="s">
        <v>72</v>
      </c>
      <c r="BO119" s="14" t="s">
        <v>2836</v>
      </c>
      <c r="BP119" s="14" t="s">
        <v>2048</v>
      </c>
      <c r="BQ119" s="14" t="s">
        <v>2048</v>
      </c>
      <c r="BR119" s="14" t="s">
        <v>2418</v>
      </c>
      <c r="BS119" s="14" t="s">
        <v>2089</v>
      </c>
      <c r="BT119" s="14" t="s">
        <v>2048</v>
      </c>
      <c r="BU119" s="14" t="s">
        <v>2048</v>
      </c>
      <c r="BV119" s="14" t="s">
        <v>2048</v>
      </c>
      <c r="BW119" s="14" t="s">
        <v>2048</v>
      </c>
      <c r="BX119" s="14" t="s">
        <v>72</v>
      </c>
      <c r="BY119" s="14" t="s">
        <v>2048</v>
      </c>
      <c r="BZ119" s="14" t="s">
        <v>2048</v>
      </c>
      <c r="CA119" s="14" t="s">
        <v>2048</v>
      </c>
      <c r="CB119" s="14" t="s">
        <v>2048</v>
      </c>
      <c r="CC119" s="14" t="s">
        <v>2048</v>
      </c>
      <c r="CD119" s="14" t="s">
        <v>2048</v>
      </c>
      <c r="CE119" s="14" t="s">
        <v>2048</v>
      </c>
      <c r="CF119" s="14" t="s">
        <v>2048</v>
      </c>
      <c r="CG119" s="14" t="s">
        <v>2057</v>
      </c>
      <c r="CH119" s="14" t="s">
        <v>2090</v>
      </c>
      <c r="CI119" s="14" t="s">
        <v>2048</v>
      </c>
      <c r="CJ119" s="17"/>
      <c r="CK119" s="17">
        <v>45653</v>
      </c>
      <c r="CL119" s="17">
        <v>45653</v>
      </c>
      <c r="CM119" s="17">
        <v>2958465</v>
      </c>
      <c r="CN119" s="17"/>
      <c r="CO119" s="19">
        <v>0</v>
      </c>
      <c r="CP119" s="19">
        <v>0</v>
      </c>
      <c r="CQ119" s="19">
        <v>0</v>
      </c>
      <c r="CR119" s="19">
        <v>0</v>
      </c>
      <c r="CS119" s="19">
        <v>0</v>
      </c>
      <c r="CT119" s="19">
        <v>0</v>
      </c>
      <c r="CU119" s="19">
        <v>0</v>
      </c>
      <c r="CV119" s="17"/>
      <c r="CW119" s="19">
        <v>0</v>
      </c>
      <c r="CX119" s="17"/>
      <c r="CY119" s="17"/>
      <c r="CZ119" s="19">
        <v>0</v>
      </c>
      <c r="DA119" s="17"/>
      <c r="DB119" s="17"/>
      <c r="DC119" s="19">
        <v>100</v>
      </c>
      <c r="DD119" s="17"/>
      <c r="DE119" s="17">
        <v>2958465</v>
      </c>
      <c r="DF119" s="17"/>
      <c r="DG119" s="17"/>
      <c r="DH119" s="19">
        <v>0</v>
      </c>
      <c r="DI119" s="19">
        <v>0</v>
      </c>
    </row>
    <row r="120" spans="1:113" x14ac:dyDescent="0.2">
      <c r="A120" s="14" t="s">
        <v>2315</v>
      </c>
      <c r="B120" s="16" t="s">
        <v>1720</v>
      </c>
      <c r="C120" s="14" t="s">
        <v>158</v>
      </c>
      <c r="D120" s="14" t="s">
        <v>159</v>
      </c>
      <c r="E120" s="14" t="s">
        <v>158</v>
      </c>
      <c r="F120" s="14" t="s">
        <v>2044</v>
      </c>
      <c r="G120" s="14" t="s">
        <v>2045</v>
      </c>
      <c r="H120" s="14" t="s">
        <v>204</v>
      </c>
      <c r="I120" s="14" t="s">
        <v>205</v>
      </c>
      <c r="J120" s="16">
        <f>COUNTIF($I$3:I120, I120)</f>
        <v>36</v>
      </c>
      <c r="K120" s="14" t="s">
        <v>2048</v>
      </c>
      <c r="L120" s="14" t="s">
        <v>2048</v>
      </c>
      <c r="M120" s="14" t="s">
        <v>2048</v>
      </c>
      <c r="N120" s="14" t="s">
        <v>2048</v>
      </c>
      <c r="O120" s="14" t="s">
        <v>2837</v>
      </c>
      <c r="P120" s="14" t="s">
        <v>995</v>
      </c>
      <c r="Q120" s="14" t="s">
        <v>72</v>
      </c>
      <c r="R120" s="14" t="s">
        <v>2048</v>
      </c>
      <c r="S120" s="14" t="s">
        <v>2048</v>
      </c>
      <c r="T120" s="14" t="s">
        <v>2048</v>
      </c>
      <c r="U120" s="14" t="s">
        <v>2048</v>
      </c>
      <c r="V120" s="14" t="s">
        <v>2050</v>
      </c>
      <c r="W120" s="14" t="s">
        <v>2048</v>
      </c>
      <c r="X120" s="14" t="s">
        <v>2048</v>
      </c>
      <c r="Y120" s="14" t="s">
        <v>2048</v>
      </c>
      <c r="Z120" s="14" t="s">
        <v>2048</v>
      </c>
      <c r="AA120" s="14" t="s">
        <v>2048</v>
      </c>
      <c r="AB120" s="14" t="s">
        <v>85</v>
      </c>
      <c r="AC120" s="14" t="s">
        <v>86</v>
      </c>
      <c r="AD120" s="14" t="s">
        <v>77</v>
      </c>
      <c r="AE120" s="14" t="s">
        <v>2054</v>
      </c>
      <c r="AF120" s="14" t="s">
        <v>2055</v>
      </c>
      <c r="AG120" s="14" t="s">
        <v>2055</v>
      </c>
      <c r="AH120" s="14" t="s">
        <v>2055</v>
      </c>
      <c r="AI120" s="14" t="s">
        <v>2057</v>
      </c>
      <c r="AJ120" s="14" t="s">
        <v>87</v>
      </c>
      <c r="AK120" s="14" t="s">
        <v>2048</v>
      </c>
      <c r="AL120" s="14" t="s">
        <v>2048</v>
      </c>
      <c r="AM120" s="14" t="s">
        <v>2584</v>
      </c>
      <c r="AN120" s="14" t="s">
        <v>2318</v>
      </c>
      <c r="AO120" s="17" t="s">
        <v>89</v>
      </c>
      <c r="AP120" s="14" t="s">
        <v>2135</v>
      </c>
      <c r="AQ120" s="14" t="s">
        <v>2059</v>
      </c>
      <c r="AR120" s="14" t="s">
        <v>2838</v>
      </c>
      <c r="AS120" s="14" t="s">
        <v>2839</v>
      </c>
      <c r="AT120" s="14" t="s">
        <v>72</v>
      </c>
      <c r="AU120" s="14" t="s">
        <v>2796</v>
      </c>
      <c r="AV120" s="14" t="s">
        <v>2797</v>
      </c>
      <c r="AW120" s="14" t="s">
        <v>2048</v>
      </c>
      <c r="AX120" s="14" t="s">
        <v>2048</v>
      </c>
      <c r="AY120" s="14" t="s">
        <v>204</v>
      </c>
      <c r="AZ120" s="14" t="s">
        <v>232</v>
      </c>
      <c r="BA120" s="14" t="s">
        <v>2324</v>
      </c>
      <c r="BB120" s="14" t="s">
        <v>2048</v>
      </c>
      <c r="BC120" s="14" t="s">
        <v>2048</v>
      </c>
      <c r="BD120" s="14" t="s">
        <v>2325</v>
      </c>
      <c r="BE120" s="14" t="s">
        <v>2326</v>
      </c>
      <c r="BF120" s="14" t="s">
        <v>2325</v>
      </c>
      <c r="BG120" s="14" t="s">
        <v>2326</v>
      </c>
      <c r="BH120" s="14" t="s">
        <v>2327</v>
      </c>
      <c r="BI120" s="14" t="s">
        <v>2287</v>
      </c>
      <c r="BJ120" s="14" t="s">
        <v>2048</v>
      </c>
      <c r="BK120" s="14" t="s">
        <v>2048</v>
      </c>
      <c r="BL120" s="14" t="s">
        <v>2064</v>
      </c>
      <c r="BM120" s="14" t="s">
        <v>72</v>
      </c>
      <c r="BN120" s="14" t="s">
        <v>72</v>
      </c>
      <c r="BO120" s="14" t="s">
        <v>2840</v>
      </c>
      <c r="BP120" s="14" t="s">
        <v>2329</v>
      </c>
      <c r="BQ120" s="14" t="s">
        <v>2330</v>
      </c>
      <c r="BR120" s="14" t="s">
        <v>2418</v>
      </c>
      <c r="BS120" s="14" t="s">
        <v>2089</v>
      </c>
      <c r="BT120" s="14" t="s">
        <v>2048</v>
      </c>
      <c r="BU120" s="14" t="s">
        <v>2048</v>
      </c>
      <c r="BV120" s="14" t="s">
        <v>2048</v>
      </c>
      <c r="BW120" s="14" t="s">
        <v>2048</v>
      </c>
      <c r="BX120" s="14" t="s">
        <v>72</v>
      </c>
      <c r="BY120" s="14" t="s">
        <v>2048</v>
      </c>
      <c r="BZ120" s="14" t="s">
        <v>2048</v>
      </c>
      <c r="CA120" s="14" t="s">
        <v>2048</v>
      </c>
      <c r="CB120" s="14" t="s">
        <v>2048</v>
      </c>
      <c r="CC120" s="14" t="s">
        <v>2048</v>
      </c>
      <c r="CD120" s="14" t="s">
        <v>2048</v>
      </c>
      <c r="CE120" s="14" t="s">
        <v>2048</v>
      </c>
      <c r="CF120" s="14" t="s">
        <v>2048</v>
      </c>
      <c r="CG120" s="14" t="s">
        <v>2057</v>
      </c>
      <c r="CH120" s="14" t="s">
        <v>2090</v>
      </c>
      <c r="CI120" s="14" t="s">
        <v>2048</v>
      </c>
      <c r="CJ120" s="17"/>
      <c r="CK120" s="17">
        <v>45653</v>
      </c>
      <c r="CL120" s="17">
        <v>45653</v>
      </c>
      <c r="CM120" s="17">
        <v>2958465</v>
      </c>
      <c r="CN120" s="17"/>
      <c r="CO120" s="19">
        <v>0</v>
      </c>
      <c r="CP120" s="19">
        <v>0</v>
      </c>
      <c r="CQ120" s="19">
        <v>0</v>
      </c>
      <c r="CR120" s="19">
        <v>0</v>
      </c>
      <c r="CS120" s="19">
        <v>0</v>
      </c>
      <c r="CT120" s="19">
        <v>0</v>
      </c>
      <c r="CU120" s="19">
        <v>0</v>
      </c>
      <c r="CV120" s="17"/>
      <c r="CW120" s="19">
        <v>0</v>
      </c>
      <c r="CX120" s="17"/>
      <c r="CY120" s="17"/>
      <c r="CZ120" s="19">
        <v>0</v>
      </c>
      <c r="DA120" s="17"/>
      <c r="DB120" s="17"/>
      <c r="DC120" s="19">
        <v>100</v>
      </c>
      <c r="DD120" s="17"/>
      <c r="DE120" s="17">
        <v>2958465</v>
      </c>
      <c r="DF120" s="17"/>
      <c r="DG120" s="17"/>
      <c r="DH120" s="19">
        <v>0</v>
      </c>
      <c r="DI120" s="19">
        <v>0</v>
      </c>
    </row>
    <row r="121" spans="1:113" x14ac:dyDescent="0.2">
      <c r="A121" s="14" t="s">
        <v>2315</v>
      </c>
      <c r="B121" s="16" t="s">
        <v>1738</v>
      </c>
      <c r="C121" s="14" t="s">
        <v>158</v>
      </c>
      <c r="D121" s="14" t="s">
        <v>159</v>
      </c>
      <c r="E121" s="14" t="s">
        <v>158</v>
      </c>
      <c r="F121" s="14" t="s">
        <v>2044</v>
      </c>
      <c r="G121" s="14" t="s">
        <v>2045</v>
      </c>
      <c r="H121" s="14" t="s">
        <v>204</v>
      </c>
      <c r="I121" s="14" t="s">
        <v>205</v>
      </c>
      <c r="J121" s="16">
        <f>COUNTIF($I$3:I121, I121)</f>
        <v>37</v>
      </c>
      <c r="K121" s="14" t="s">
        <v>2048</v>
      </c>
      <c r="L121" s="14" t="s">
        <v>2048</v>
      </c>
      <c r="M121" s="14" t="s">
        <v>2048</v>
      </c>
      <c r="N121" s="14" t="s">
        <v>2048</v>
      </c>
      <c r="O121" s="14" t="s">
        <v>2841</v>
      </c>
      <c r="P121" s="14" t="s">
        <v>2842</v>
      </c>
      <c r="Q121" s="14" t="s">
        <v>72</v>
      </c>
      <c r="R121" s="14" t="s">
        <v>2048</v>
      </c>
      <c r="S121" s="14" t="s">
        <v>2048</v>
      </c>
      <c r="T121" s="14" t="s">
        <v>2048</v>
      </c>
      <c r="U121" s="14" t="s">
        <v>2048</v>
      </c>
      <c r="V121" s="14" t="s">
        <v>2050</v>
      </c>
      <c r="W121" s="14" t="s">
        <v>2048</v>
      </c>
      <c r="X121" s="14" t="s">
        <v>2048</v>
      </c>
      <c r="Y121" s="14" t="s">
        <v>2048</v>
      </c>
      <c r="Z121" s="14" t="s">
        <v>2048</v>
      </c>
      <c r="AA121" s="14" t="s">
        <v>2048</v>
      </c>
      <c r="AB121" s="14" t="s">
        <v>85</v>
      </c>
      <c r="AC121" s="14" t="s">
        <v>86</v>
      </c>
      <c r="AD121" s="14" t="s">
        <v>77</v>
      </c>
      <c r="AE121" s="14" t="s">
        <v>2054</v>
      </c>
      <c r="AF121" s="14" t="s">
        <v>2055</v>
      </c>
      <c r="AG121" s="14" t="s">
        <v>2055</v>
      </c>
      <c r="AH121" s="14" t="s">
        <v>2055</v>
      </c>
      <c r="AI121" s="14" t="s">
        <v>2057</v>
      </c>
      <c r="AJ121" s="14" t="s">
        <v>87</v>
      </c>
      <c r="AK121" s="14" t="s">
        <v>2048</v>
      </c>
      <c r="AL121" s="14" t="s">
        <v>2048</v>
      </c>
      <c r="AM121" s="14" t="s">
        <v>2584</v>
      </c>
      <c r="AN121" s="14" t="s">
        <v>2318</v>
      </c>
      <c r="AO121" s="17" t="s">
        <v>89</v>
      </c>
      <c r="AP121" s="14" t="s">
        <v>2135</v>
      </c>
      <c r="AQ121" s="14" t="s">
        <v>2059</v>
      </c>
      <c r="AR121" s="14" t="s">
        <v>2843</v>
      </c>
      <c r="AS121" s="14" t="s">
        <v>2844</v>
      </c>
      <c r="AT121" s="14" t="s">
        <v>72</v>
      </c>
      <c r="AU121" s="14" t="s">
        <v>2796</v>
      </c>
      <c r="AV121" s="14" t="s">
        <v>2797</v>
      </c>
      <c r="AW121" s="14" t="s">
        <v>2048</v>
      </c>
      <c r="AX121" s="14" t="s">
        <v>2048</v>
      </c>
      <c r="AY121" s="14" t="s">
        <v>204</v>
      </c>
      <c r="AZ121" s="14" t="s">
        <v>232</v>
      </c>
      <c r="BA121" s="14" t="s">
        <v>2324</v>
      </c>
      <c r="BB121" s="14" t="s">
        <v>2048</v>
      </c>
      <c r="BC121" s="14" t="s">
        <v>2048</v>
      </c>
      <c r="BD121" s="14" t="s">
        <v>2325</v>
      </c>
      <c r="BE121" s="14" t="s">
        <v>2326</v>
      </c>
      <c r="BF121" s="14" t="s">
        <v>2325</v>
      </c>
      <c r="BG121" s="14" t="s">
        <v>2326</v>
      </c>
      <c r="BH121" s="14" t="s">
        <v>2327</v>
      </c>
      <c r="BI121" s="14" t="s">
        <v>2287</v>
      </c>
      <c r="BJ121" s="14" t="s">
        <v>2048</v>
      </c>
      <c r="BK121" s="14" t="s">
        <v>2048</v>
      </c>
      <c r="BL121" s="14" t="s">
        <v>2064</v>
      </c>
      <c r="BM121" s="14" t="s">
        <v>72</v>
      </c>
      <c r="BN121" s="14" t="s">
        <v>72</v>
      </c>
      <c r="BO121" s="14" t="s">
        <v>2845</v>
      </c>
      <c r="BP121" s="14" t="s">
        <v>2329</v>
      </c>
      <c r="BQ121" s="14" t="s">
        <v>2330</v>
      </c>
      <c r="BR121" s="14" t="s">
        <v>2418</v>
      </c>
      <c r="BS121" s="14" t="s">
        <v>2089</v>
      </c>
      <c r="BT121" s="14" t="s">
        <v>2048</v>
      </c>
      <c r="BU121" s="14" t="s">
        <v>2048</v>
      </c>
      <c r="BV121" s="14" t="s">
        <v>2048</v>
      </c>
      <c r="BW121" s="14" t="s">
        <v>2048</v>
      </c>
      <c r="BX121" s="14" t="s">
        <v>72</v>
      </c>
      <c r="BY121" s="14" t="s">
        <v>2048</v>
      </c>
      <c r="BZ121" s="14" t="s">
        <v>2048</v>
      </c>
      <c r="CA121" s="14" t="s">
        <v>2048</v>
      </c>
      <c r="CB121" s="14" t="s">
        <v>2048</v>
      </c>
      <c r="CC121" s="14" t="s">
        <v>2048</v>
      </c>
      <c r="CD121" s="14" t="s">
        <v>2048</v>
      </c>
      <c r="CE121" s="14" t="s">
        <v>2048</v>
      </c>
      <c r="CF121" s="14" t="s">
        <v>2048</v>
      </c>
      <c r="CG121" s="14" t="s">
        <v>2057</v>
      </c>
      <c r="CH121" s="14" t="s">
        <v>2090</v>
      </c>
      <c r="CI121" s="14" t="s">
        <v>2048</v>
      </c>
      <c r="CJ121" s="17"/>
      <c r="CK121" s="17">
        <v>45653</v>
      </c>
      <c r="CL121" s="17">
        <v>45653</v>
      </c>
      <c r="CM121" s="17">
        <v>2958465</v>
      </c>
      <c r="CN121" s="17"/>
      <c r="CO121" s="19">
        <v>0</v>
      </c>
      <c r="CP121" s="19">
        <v>0</v>
      </c>
      <c r="CQ121" s="19">
        <v>0</v>
      </c>
      <c r="CR121" s="19">
        <v>0</v>
      </c>
      <c r="CS121" s="19">
        <v>0</v>
      </c>
      <c r="CT121" s="19">
        <v>0</v>
      </c>
      <c r="CU121" s="19">
        <v>0</v>
      </c>
      <c r="CV121" s="17"/>
      <c r="CW121" s="19">
        <v>0</v>
      </c>
      <c r="CX121" s="17"/>
      <c r="CY121" s="17"/>
      <c r="CZ121" s="19">
        <v>0</v>
      </c>
      <c r="DA121" s="17"/>
      <c r="DB121" s="17"/>
      <c r="DC121" s="19">
        <v>100</v>
      </c>
      <c r="DD121" s="17"/>
      <c r="DE121" s="17">
        <v>2958465</v>
      </c>
      <c r="DF121" s="17"/>
      <c r="DG121" s="17"/>
      <c r="DH121" s="19">
        <v>0</v>
      </c>
      <c r="DI121" s="19">
        <v>0</v>
      </c>
    </row>
    <row r="122" spans="1:113" x14ac:dyDescent="0.2">
      <c r="A122" s="14" t="s">
        <v>2315</v>
      </c>
      <c r="B122" s="16" t="s">
        <v>1760</v>
      </c>
      <c r="C122" s="14" t="s">
        <v>158</v>
      </c>
      <c r="D122" s="14" t="s">
        <v>159</v>
      </c>
      <c r="E122" s="14" t="s">
        <v>158</v>
      </c>
      <c r="F122" s="14" t="s">
        <v>2044</v>
      </c>
      <c r="G122" s="14" t="s">
        <v>2045</v>
      </c>
      <c r="H122" s="14" t="s">
        <v>204</v>
      </c>
      <c r="I122" s="14" t="s">
        <v>205</v>
      </c>
      <c r="J122" s="16">
        <f>COUNTIF($I$3:I122, I122)</f>
        <v>38</v>
      </c>
      <c r="K122" s="14" t="s">
        <v>2048</v>
      </c>
      <c r="L122" s="14" t="s">
        <v>2048</v>
      </c>
      <c r="M122" s="14" t="s">
        <v>2048</v>
      </c>
      <c r="N122" s="14" t="s">
        <v>2048</v>
      </c>
      <c r="O122" s="14" t="s">
        <v>2846</v>
      </c>
      <c r="P122" s="14" t="s">
        <v>2847</v>
      </c>
      <c r="Q122" s="14" t="s">
        <v>72</v>
      </c>
      <c r="R122" s="14" t="s">
        <v>2048</v>
      </c>
      <c r="S122" s="14" t="s">
        <v>2048</v>
      </c>
      <c r="T122" s="14" t="s">
        <v>2048</v>
      </c>
      <c r="U122" s="14" t="s">
        <v>2048</v>
      </c>
      <c r="V122" s="14" t="s">
        <v>2050</v>
      </c>
      <c r="W122" s="14" t="s">
        <v>2048</v>
      </c>
      <c r="X122" s="14" t="s">
        <v>2048</v>
      </c>
      <c r="Y122" s="14" t="s">
        <v>2048</v>
      </c>
      <c r="Z122" s="14" t="s">
        <v>2048</v>
      </c>
      <c r="AA122" s="14" t="s">
        <v>2048</v>
      </c>
      <c r="AB122" s="14" t="s">
        <v>85</v>
      </c>
      <c r="AC122" s="14" t="s">
        <v>86</v>
      </c>
      <c r="AD122" s="14" t="s">
        <v>77</v>
      </c>
      <c r="AE122" s="14" t="s">
        <v>2054</v>
      </c>
      <c r="AF122" s="14" t="s">
        <v>2055</v>
      </c>
      <c r="AG122" s="14" t="s">
        <v>2055</v>
      </c>
      <c r="AH122" s="14" t="s">
        <v>2055</v>
      </c>
      <c r="AI122" s="14" t="s">
        <v>2057</v>
      </c>
      <c r="AJ122" s="14" t="s">
        <v>87</v>
      </c>
      <c r="AK122" s="14" t="s">
        <v>2048</v>
      </c>
      <c r="AL122" s="14" t="s">
        <v>2048</v>
      </c>
      <c r="AM122" s="14" t="s">
        <v>2755</v>
      </c>
      <c r="AN122" s="14" t="s">
        <v>2374</v>
      </c>
      <c r="AO122" s="17" t="s">
        <v>89</v>
      </c>
      <c r="AP122" s="14" t="s">
        <v>2135</v>
      </c>
      <c r="AQ122" s="14" t="s">
        <v>2848</v>
      </c>
      <c r="AR122" s="14" t="s">
        <v>2060</v>
      </c>
      <c r="AS122" s="14" t="s">
        <v>2048</v>
      </c>
      <c r="AT122" s="14" t="s">
        <v>72</v>
      </c>
      <c r="AU122" s="14" t="s">
        <v>2376</v>
      </c>
      <c r="AV122" s="14" t="s">
        <v>2377</v>
      </c>
      <c r="AW122" s="14" t="s">
        <v>2048</v>
      </c>
      <c r="AX122" s="14" t="s">
        <v>2048</v>
      </c>
      <c r="AY122" s="14" t="s">
        <v>204</v>
      </c>
      <c r="AZ122" s="14" t="s">
        <v>2849</v>
      </c>
      <c r="BA122" s="14" t="s">
        <v>2850</v>
      </c>
      <c r="BB122" s="14" t="s">
        <v>2851</v>
      </c>
      <c r="BC122" s="14" t="s">
        <v>2048</v>
      </c>
      <c r="BD122" s="14" t="s">
        <v>2379</v>
      </c>
      <c r="BE122" s="14" t="s">
        <v>2380</v>
      </c>
      <c r="BF122" s="14" t="s">
        <v>2852</v>
      </c>
      <c r="BG122" s="14" t="s">
        <v>2853</v>
      </c>
      <c r="BH122" s="14" t="s">
        <v>2381</v>
      </c>
      <c r="BI122" s="14" t="s">
        <v>2382</v>
      </c>
      <c r="BJ122" s="14" t="s">
        <v>2048</v>
      </c>
      <c r="BK122" s="14" t="s">
        <v>2048</v>
      </c>
      <c r="BL122" s="14" t="s">
        <v>2064</v>
      </c>
      <c r="BM122" s="14" t="s">
        <v>72</v>
      </c>
      <c r="BN122" s="14" t="s">
        <v>72</v>
      </c>
      <c r="BO122" s="14" t="s">
        <v>2854</v>
      </c>
      <c r="BP122" s="14" t="s">
        <v>2048</v>
      </c>
      <c r="BQ122" s="14" t="s">
        <v>2048</v>
      </c>
      <c r="BR122" s="14" t="s">
        <v>2418</v>
      </c>
      <c r="BS122" s="14" t="s">
        <v>2089</v>
      </c>
      <c r="BT122" s="14" t="s">
        <v>2048</v>
      </c>
      <c r="BU122" s="14" t="s">
        <v>2048</v>
      </c>
      <c r="BV122" s="14" t="s">
        <v>2048</v>
      </c>
      <c r="BW122" s="14" t="s">
        <v>2048</v>
      </c>
      <c r="BX122" s="14" t="s">
        <v>72</v>
      </c>
      <c r="BY122" s="14" t="s">
        <v>2048</v>
      </c>
      <c r="BZ122" s="14" t="s">
        <v>2048</v>
      </c>
      <c r="CA122" s="14" t="s">
        <v>2048</v>
      </c>
      <c r="CB122" s="14" t="s">
        <v>2048</v>
      </c>
      <c r="CC122" s="14" t="s">
        <v>2048</v>
      </c>
      <c r="CD122" s="14" t="s">
        <v>2048</v>
      </c>
      <c r="CE122" s="14" t="s">
        <v>2048</v>
      </c>
      <c r="CF122" s="14" t="s">
        <v>2048</v>
      </c>
      <c r="CG122" s="14" t="s">
        <v>2057</v>
      </c>
      <c r="CH122" s="14" t="s">
        <v>2090</v>
      </c>
      <c r="CI122" s="14" t="s">
        <v>2048</v>
      </c>
      <c r="CJ122" s="17"/>
      <c r="CK122" s="17">
        <v>45653</v>
      </c>
      <c r="CL122" s="17">
        <v>45653</v>
      </c>
      <c r="CM122" s="17">
        <v>2958465</v>
      </c>
      <c r="CN122" s="17"/>
      <c r="CO122" s="19">
        <v>0</v>
      </c>
      <c r="CP122" s="19">
        <v>0</v>
      </c>
      <c r="CQ122" s="19">
        <v>0</v>
      </c>
      <c r="CR122" s="19">
        <v>0</v>
      </c>
      <c r="CS122" s="19">
        <v>0</v>
      </c>
      <c r="CT122" s="19">
        <v>0</v>
      </c>
      <c r="CU122" s="19">
        <v>0</v>
      </c>
      <c r="CV122" s="17"/>
      <c r="CW122" s="19">
        <v>0</v>
      </c>
      <c r="CX122" s="17"/>
      <c r="CY122" s="17"/>
      <c r="CZ122" s="19">
        <v>0</v>
      </c>
      <c r="DA122" s="17"/>
      <c r="DB122" s="17"/>
      <c r="DC122" s="19">
        <v>100</v>
      </c>
      <c r="DD122" s="17"/>
      <c r="DE122" s="17">
        <v>2958465</v>
      </c>
      <c r="DF122" s="17"/>
      <c r="DG122" s="17"/>
      <c r="DH122" s="19">
        <v>0</v>
      </c>
      <c r="DI122" s="19">
        <v>0</v>
      </c>
    </row>
    <row r="123" spans="1:113" x14ac:dyDescent="0.2">
      <c r="A123" s="14" t="s">
        <v>2315</v>
      </c>
      <c r="B123" s="16" t="s">
        <v>1746</v>
      </c>
      <c r="C123" s="14" t="s">
        <v>158</v>
      </c>
      <c r="D123" s="14" t="s">
        <v>159</v>
      </c>
      <c r="E123" s="14" t="s">
        <v>158</v>
      </c>
      <c r="F123" s="14" t="s">
        <v>2044</v>
      </c>
      <c r="G123" s="14" t="s">
        <v>2045</v>
      </c>
      <c r="H123" s="14" t="s">
        <v>204</v>
      </c>
      <c r="I123" s="14" t="s">
        <v>205</v>
      </c>
      <c r="J123" s="16">
        <f>COUNTIF($I$3:I123, I123)</f>
        <v>39</v>
      </c>
      <c r="K123" s="14" t="s">
        <v>2048</v>
      </c>
      <c r="L123" s="14" t="s">
        <v>2048</v>
      </c>
      <c r="M123" s="14" t="s">
        <v>2048</v>
      </c>
      <c r="N123" s="14" t="s">
        <v>2048</v>
      </c>
      <c r="O123" s="14" t="s">
        <v>2855</v>
      </c>
      <c r="P123" s="14" t="s">
        <v>2856</v>
      </c>
      <c r="Q123" s="14" t="s">
        <v>72</v>
      </c>
      <c r="R123" s="14" t="s">
        <v>2048</v>
      </c>
      <c r="S123" s="14" t="s">
        <v>2048</v>
      </c>
      <c r="T123" s="14" t="s">
        <v>2048</v>
      </c>
      <c r="U123" s="14" t="s">
        <v>2048</v>
      </c>
      <c r="V123" s="14" t="s">
        <v>2050</v>
      </c>
      <c r="W123" s="14" t="s">
        <v>2048</v>
      </c>
      <c r="X123" s="14" t="s">
        <v>2048</v>
      </c>
      <c r="Y123" s="14" t="s">
        <v>2048</v>
      </c>
      <c r="Z123" s="14" t="s">
        <v>2048</v>
      </c>
      <c r="AA123" s="14" t="s">
        <v>2048</v>
      </c>
      <c r="AB123" s="14" t="s">
        <v>85</v>
      </c>
      <c r="AC123" s="14" t="s">
        <v>86</v>
      </c>
      <c r="AD123" s="14" t="s">
        <v>77</v>
      </c>
      <c r="AE123" s="14" t="s">
        <v>2054</v>
      </c>
      <c r="AF123" s="14" t="s">
        <v>2055</v>
      </c>
      <c r="AG123" s="14" t="s">
        <v>2055</v>
      </c>
      <c r="AH123" s="14" t="s">
        <v>2055</v>
      </c>
      <c r="AI123" s="14" t="s">
        <v>2057</v>
      </c>
      <c r="AJ123" s="14" t="s">
        <v>87</v>
      </c>
      <c r="AK123" s="14" t="s">
        <v>2048</v>
      </c>
      <c r="AL123" s="14" t="s">
        <v>2048</v>
      </c>
      <c r="AM123" s="14" t="s">
        <v>2584</v>
      </c>
      <c r="AN123" s="14" t="s">
        <v>2318</v>
      </c>
      <c r="AO123" s="17" t="s">
        <v>89</v>
      </c>
      <c r="AP123" s="14" t="s">
        <v>2135</v>
      </c>
      <c r="AQ123" s="14" t="s">
        <v>2059</v>
      </c>
      <c r="AR123" s="14" t="s">
        <v>2857</v>
      </c>
      <c r="AS123" s="14" t="s">
        <v>2858</v>
      </c>
      <c r="AT123" s="14" t="s">
        <v>72</v>
      </c>
      <c r="AU123" s="14" t="s">
        <v>2796</v>
      </c>
      <c r="AV123" s="14" t="s">
        <v>2797</v>
      </c>
      <c r="AW123" s="14" t="s">
        <v>2048</v>
      </c>
      <c r="AX123" s="14" t="s">
        <v>2048</v>
      </c>
      <c r="AY123" s="14" t="s">
        <v>204</v>
      </c>
      <c r="AZ123" s="14" t="s">
        <v>232</v>
      </c>
      <c r="BA123" s="14" t="s">
        <v>2324</v>
      </c>
      <c r="BB123" s="14" t="s">
        <v>2048</v>
      </c>
      <c r="BC123" s="14" t="s">
        <v>2048</v>
      </c>
      <c r="BD123" s="14" t="s">
        <v>2325</v>
      </c>
      <c r="BE123" s="14" t="s">
        <v>2326</v>
      </c>
      <c r="BF123" s="14" t="s">
        <v>2325</v>
      </c>
      <c r="BG123" s="14" t="s">
        <v>2326</v>
      </c>
      <c r="BH123" s="14" t="s">
        <v>2327</v>
      </c>
      <c r="BI123" s="14" t="s">
        <v>2287</v>
      </c>
      <c r="BJ123" s="14" t="s">
        <v>2048</v>
      </c>
      <c r="BK123" s="14" t="s">
        <v>2048</v>
      </c>
      <c r="BL123" s="14" t="s">
        <v>2064</v>
      </c>
      <c r="BM123" s="14" t="s">
        <v>72</v>
      </c>
      <c r="BN123" s="14" t="s">
        <v>72</v>
      </c>
      <c r="BO123" s="14" t="s">
        <v>2859</v>
      </c>
      <c r="BP123" s="14" t="s">
        <v>2329</v>
      </c>
      <c r="BQ123" s="14" t="s">
        <v>2330</v>
      </c>
      <c r="BR123" s="14" t="s">
        <v>2418</v>
      </c>
      <c r="BS123" s="14" t="s">
        <v>2089</v>
      </c>
      <c r="BT123" s="14" t="s">
        <v>2048</v>
      </c>
      <c r="BU123" s="14" t="s">
        <v>2048</v>
      </c>
      <c r="BV123" s="14" t="s">
        <v>2048</v>
      </c>
      <c r="BW123" s="14" t="s">
        <v>2048</v>
      </c>
      <c r="BX123" s="14" t="s">
        <v>72</v>
      </c>
      <c r="BY123" s="14" t="s">
        <v>2048</v>
      </c>
      <c r="BZ123" s="14" t="s">
        <v>2048</v>
      </c>
      <c r="CA123" s="14" t="s">
        <v>2048</v>
      </c>
      <c r="CB123" s="14" t="s">
        <v>2048</v>
      </c>
      <c r="CC123" s="14" t="s">
        <v>2048</v>
      </c>
      <c r="CD123" s="14" t="s">
        <v>2048</v>
      </c>
      <c r="CE123" s="14" t="s">
        <v>2048</v>
      </c>
      <c r="CF123" s="14" t="s">
        <v>2048</v>
      </c>
      <c r="CG123" s="14" t="s">
        <v>2057</v>
      </c>
      <c r="CH123" s="14" t="s">
        <v>2090</v>
      </c>
      <c r="CI123" s="14" t="s">
        <v>2048</v>
      </c>
      <c r="CJ123" s="17"/>
      <c r="CK123" s="17">
        <v>45653</v>
      </c>
      <c r="CL123" s="17">
        <v>45653</v>
      </c>
      <c r="CM123" s="17">
        <v>2958465</v>
      </c>
      <c r="CN123" s="17"/>
      <c r="CO123" s="19">
        <v>0</v>
      </c>
      <c r="CP123" s="19">
        <v>0</v>
      </c>
      <c r="CQ123" s="19">
        <v>0</v>
      </c>
      <c r="CR123" s="19">
        <v>0</v>
      </c>
      <c r="CS123" s="19">
        <v>0</v>
      </c>
      <c r="CT123" s="19">
        <v>0</v>
      </c>
      <c r="CU123" s="19">
        <v>0</v>
      </c>
      <c r="CV123" s="17"/>
      <c r="CW123" s="19">
        <v>0</v>
      </c>
      <c r="CX123" s="17"/>
      <c r="CY123" s="17"/>
      <c r="CZ123" s="19">
        <v>0</v>
      </c>
      <c r="DA123" s="17"/>
      <c r="DB123" s="17"/>
      <c r="DC123" s="19">
        <v>100</v>
      </c>
      <c r="DD123" s="17"/>
      <c r="DE123" s="17">
        <v>2958465</v>
      </c>
      <c r="DF123" s="17"/>
      <c r="DG123" s="17"/>
      <c r="DH123" s="19">
        <v>0</v>
      </c>
      <c r="DI123" s="19">
        <v>0</v>
      </c>
    </row>
    <row r="124" spans="1:113" x14ac:dyDescent="0.2">
      <c r="A124" s="14" t="s">
        <v>2315</v>
      </c>
      <c r="B124" s="16" t="s">
        <v>472</v>
      </c>
      <c r="C124" s="14" t="s">
        <v>158</v>
      </c>
      <c r="D124" s="14" t="s">
        <v>159</v>
      </c>
      <c r="E124" s="14" t="s">
        <v>158</v>
      </c>
      <c r="F124" s="14" t="s">
        <v>2044</v>
      </c>
      <c r="G124" s="14" t="s">
        <v>2045</v>
      </c>
      <c r="H124" s="14" t="s">
        <v>469</v>
      </c>
      <c r="I124" s="14" t="s">
        <v>470</v>
      </c>
      <c r="J124" s="16">
        <f>COUNTIF($I$3:I124, I124)</f>
        <v>1</v>
      </c>
      <c r="K124" s="14" t="s">
        <v>2048</v>
      </c>
      <c r="L124" s="14" t="s">
        <v>2048</v>
      </c>
      <c r="M124" s="14" t="s">
        <v>2048</v>
      </c>
      <c r="N124" s="14" t="s">
        <v>2048</v>
      </c>
      <c r="O124" s="14" t="s">
        <v>2860</v>
      </c>
      <c r="P124" s="14" t="s">
        <v>72</v>
      </c>
      <c r="Q124" s="14" t="s">
        <v>72</v>
      </c>
      <c r="R124" s="14" t="s">
        <v>2048</v>
      </c>
      <c r="S124" s="14" t="s">
        <v>2048</v>
      </c>
      <c r="T124" s="14" t="s">
        <v>2422</v>
      </c>
      <c r="U124" s="14" t="s">
        <v>2049</v>
      </c>
      <c r="V124" s="14" t="s">
        <v>2050</v>
      </c>
      <c r="W124" s="14" t="s">
        <v>2048</v>
      </c>
      <c r="X124" s="14" t="s">
        <v>2048</v>
      </c>
      <c r="Y124" s="14" t="s">
        <v>2048</v>
      </c>
      <c r="Z124" s="14" t="s">
        <v>2048</v>
      </c>
      <c r="AA124" s="14" t="s">
        <v>2048</v>
      </c>
      <c r="AB124" s="14" t="s">
        <v>380</v>
      </c>
      <c r="AC124" s="14" t="s">
        <v>381</v>
      </c>
      <c r="AD124" s="14" t="s">
        <v>2132</v>
      </c>
      <c r="AE124" s="14" t="s">
        <v>2133</v>
      </c>
      <c r="AF124" s="14" t="s">
        <v>2056</v>
      </c>
      <c r="AG124" s="14" t="s">
        <v>2056</v>
      </c>
      <c r="AH124" s="14" t="s">
        <v>2055</v>
      </c>
      <c r="AI124" s="14" t="s">
        <v>2057</v>
      </c>
      <c r="AJ124" s="14" t="s">
        <v>87</v>
      </c>
      <c r="AK124" s="14" t="s">
        <v>2048</v>
      </c>
      <c r="AL124" s="14" t="s">
        <v>2048</v>
      </c>
      <c r="AM124" s="14" t="s">
        <v>2048</v>
      </c>
      <c r="AN124" s="14" t="s">
        <v>2861</v>
      </c>
      <c r="AO124" s="17" t="s">
        <v>89</v>
      </c>
      <c r="AP124" s="14" t="s">
        <v>2862</v>
      </c>
      <c r="AQ124" s="14" t="s">
        <v>2059</v>
      </c>
      <c r="AR124" s="14" t="s">
        <v>2060</v>
      </c>
      <c r="AS124" s="14" t="s">
        <v>2048</v>
      </c>
      <c r="AT124" s="14" t="s">
        <v>2048</v>
      </c>
      <c r="AU124" s="14" t="s">
        <v>2863</v>
      </c>
      <c r="AV124" s="14" t="s">
        <v>2864</v>
      </c>
      <c r="AW124" s="14" t="s">
        <v>2048</v>
      </c>
      <c r="AX124" s="14" t="s">
        <v>2048</v>
      </c>
      <c r="AY124" s="14" t="s">
        <v>469</v>
      </c>
      <c r="AZ124" s="14" t="s">
        <v>471</v>
      </c>
      <c r="BA124" s="14" t="s">
        <v>2865</v>
      </c>
      <c r="BB124" s="14" t="s">
        <v>2048</v>
      </c>
      <c r="BC124" s="14" t="s">
        <v>2048</v>
      </c>
      <c r="BD124" s="14" t="s">
        <v>2866</v>
      </c>
      <c r="BE124" s="14" t="s">
        <v>2867</v>
      </c>
      <c r="BF124" s="14" t="s">
        <v>2048</v>
      </c>
      <c r="BG124" s="14" t="s">
        <v>2048</v>
      </c>
      <c r="BH124" s="14" t="s">
        <v>2868</v>
      </c>
      <c r="BI124" s="14" t="s">
        <v>2287</v>
      </c>
      <c r="BJ124" s="14" t="s">
        <v>2048</v>
      </c>
      <c r="BK124" s="14" t="s">
        <v>2048</v>
      </c>
      <c r="BL124" s="14" t="s">
        <v>2064</v>
      </c>
      <c r="BM124" s="14" t="s">
        <v>72</v>
      </c>
      <c r="BN124" s="14" t="s">
        <v>72</v>
      </c>
      <c r="BO124" s="14" t="s">
        <v>2869</v>
      </c>
      <c r="BP124" s="14" t="s">
        <v>2048</v>
      </c>
      <c r="BQ124" s="14" t="s">
        <v>2048</v>
      </c>
      <c r="BR124" s="14" t="s">
        <v>2418</v>
      </c>
      <c r="BS124" s="14" t="s">
        <v>2089</v>
      </c>
      <c r="BT124" s="14" t="s">
        <v>2048</v>
      </c>
      <c r="BU124" s="14" t="s">
        <v>2048</v>
      </c>
      <c r="BV124" s="14" t="s">
        <v>2048</v>
      </c>
      <c r="BW124" s="14" t="s">
        <v>2048</v>
      </c>
      <c r="BX124" s="14" t="s">
        <v>2048</v>
      </c>
      <c r="BY124" s="14" t="s">
        <v>2048</v>
      </c>
      <c r="BZ124" s="14" t="s">
        <v>2048</v>
      </c>
      <c r="CA124" s="14" t="s">
        <v>2048</v>
      </c>
      <c r="CB124" s="14" t="s">
        <v>2048</v>
      </c>
      <c r="CC124" s="14" t="s">
        <v>2048</v>
      </c>
      <c r="CD124" s="14" t="s">
        <v>2048</v>
      </c>
      <c r="CE124" s="14" t="s">
        <v>2048</v>
      </c>
      <c r="CF124" s="14" t="s">
        <v>2048</v>
      </c>
      <c r="CG124" s="14" t="s">
        <v>2057</v>
      </c>
      <c r="CH124" s="14" t="s">
        <v>2090</v>
      </c>
      <c r="CI124" s="14" t="s">
        <v>2048</v>
      </c>
      <c r="CJ124" s="17"/>
      <c r="CK124" s="17">
        <v>45551</v>
      </c>
      <c r="CL124" s="17">
        <v>45551</v>
      </c>
      <c r="CM124" s="17">
        <v>2958465</v>
      </c>
      <c r="CN124" s="17"/>
      <c r="CO124" s="19">
        <v>0</v>
      </c>
      <c r="CP124" s="19">
        <v>0</v>
      </c>
      <c r="CQ124" s="19">
        <v>0</v>
      </c>
      <c r="CR124" s="19">
        <v>0</v>
      </c>
      <c r="CS124" s="19">
        <v>0</v>
      </c>
      <c r="CT124" s="19">
        <v>0</v>
      </c>
      <c r="CU124" s="19">
        <v>0</v>
      </c>
      <c r="CV124" s="17"/>
      <c r="CW124" s="20">
        <v>3074</v>
      </c>
      <c r="CX124" s="17">
        <v>45730</v>
      </c>
      <c r="CY124" s="17"/>
      <c r="CZ124" s="19">
        <v>0</v>
      </c>
      <c r="DA124" s="17"/>
      <c r="DB124" s="17"/>
      <c r="DC124" s="19">
        <v>100</v>
      </c>
      <c r="DD124" s="17"/>
      <c r="DE124" s="17">
        <v>2958465</v>
      </c>
      <c r="DF124" s="17"/>
      <c r="DG124" s="17"/>
      <c r="DH124" s="19">
        <v>0</v>
      </c>
      <c r="DI124" s="19">
        <v>0</v>
      </c>
    </row>
    <row r="125" spans="1:113" x14ac:dyDescent="0.2">
      <c r="A125" s="14" t="s">
        <v>2315</v>
      </c>
      <c r="B125" s="16" t="s">
        <v>2870</v>
      </c>
      <c r="C125" s="14" t="s">
        <v>158</v>
      </c>
      <c r="D125" s="14" t="s">
        <v>159</v>
      </c>
      <c r="E125" s="14" t="s">
        <v>158</v>
      </c>
      <c r="F125" s="14" t="s">
        <v>2044</v>
      </c>
      <c r="G125" s="14" t="s">
        <v>2045</v>
      </c>
      <c r="H125" s="14" t="s">
        <v>469</v>
      </c>
      <c r="I125" s="14" t="s">
        <v>470</v>
      </c>
      <c r="J125" s="16">
        <f>COUNTIF($I$3:I125, I125)</f>
        <v>2</v>
      </c>
      <c r="K125" s="14" t="s">
        <v>2048</v>
      </c>
      <c r="L125" s="14" t="s">
        <v>2048</v>
      </c>
      <c r="M125" s="14" t="s">
        <v>2048</v>
      </c>
      <c r="N125" s="14" t="s">
        <v>2048</v>
      </c>
      <c r="O125" s="14" t="s">
        <v>2871</v>
      </c>
      <c r="P125" s="14" t="s">
        <v>2048</v>
      </c>
      <c r="Q125" s="14" t="s">
        <v>2048</v>
      </c>
      <c r="R125" s="14" t="s">
        <v>2048</v>
      </c>
      <c r="S125" s="14" t="s">
        <v>2048</v>
      </c>
      <c r="T125" s="14" t="s">
        <v>2422</v>
      </c>
      <c r="U125" s="14" t="s">
        <v>2049</v>
      </c>
      <c r="V125" s="14" t="s">
        <v>2050</v>
      </c>
      <c r="W125" s="14" t="s">
        <v>2048</v>
      </c>
      <c r="X125" s="14" t="s">
        <v>2048</v>
      </c>
      <c r="Y125" s="14" t="s">
        <v>2048</v>
      </c>
      <c r="Z125" s="14" t="s">
        <v>2048</v>
      </c>
      <c r="AA125" s="14" t="s">
        <v>2048</v>
      </c>
      <c r="AB125" s="14" t="s">
        <v>380</v>
      </c>
      <c r="AC125" s="14" t="s">
        <v>381</v>
      </c>
      <c r="AD125" s="14" t="s">
        <v>2132</v>
      </c>
      <c r="AE125" s="14" t="s">
        <v>2133</v>
      </c>
      <c r="AF125" s="14" t="s">
        <v>2056</v>
      </c>
      <c r="AG125" s="14" t="s">
        <v>2056</v>
      </c>
      <c r="AH125" s="14" t="s">
        <v>2055</v>
      </c>
      <c r="AI125" s="14" t="s">
        <v>2057</v>
      </c>
      <c r="AJ125" s="14" t="s">
        <v>87</v>
      </c>
      <c r="AK125" s="14" t="s">
        <v>2048</v>
      </c>
      <c r="AL125" s="14" t="s">
        <v>2048</v>
      </c>
      <c r="AM125" s="14" t="s">
        <v>2048</v>
      </c>
      <c r="AN125" s="14" t="s">
        <v>2861</v>
      </c>
      <c r="AO125" s="17" t="s">
        <v>89</v>
      </c>
      <c r="AP125" s="14" t="s">
        <v>2862</v>
      </c>
      <c r="AQ125" s="14" t="s">
        <v>2059</v>
      </c>
      <c r="AR125" s="14" t="s">
        <v>2060</v>
      </c>
      <c r="AS125" s="14" t="s">
        <v>2048</v>
      </c>
      <c r="AT125" s="14" t="s">
        <v>2048</v>
      </c>
      <c r="AU125" s="14" t="s">
        <v>2863</v>
      </c>
      <c r="AV125" s="14" t="s">
        <v>2864</v>
      </c>
      <c r="AW125" s="14" t="s">
        <v>2048</v>
      </c>
      <c r="AX125" s="14" t="s">
        <v>2048</v>
      </c>
      <c r="AY125" s="14" t="s">
        <v>469</v>
      </c>
      <c r="AZ125" s="14" t="s">
        <v>471</v>
      </c>
      <c r="BA125" s="14" t="s">
        <v>2865</v>
      </c>
      <c r="BB125" s="14" t="s">
        <v>2048</v>
      </c>
      <c r="BC125" s="14" t="s">
        <v>2048</v>
      </c>
      <c r="BD125" s="14" t="s">
        <v>2866</v>
      </c>
      <c r="BE125" s="14" t="s">
        <v>2867</v>
      </c>
      <c r="BF125" s="14" t="s">
        <v>2048</v>
      </c>
      <c r="BG125" s="14" t="s">
        <v>2048</v>
      </c>
      <c r="BH125" s="14" t="s">
        <v>2868</v>
      </c>
      <c r="BI125" s="14" t="s">
        <v>2287</v>
      </c>
      <c r="BJ125" s="14" t="s">
        <v>2048</v>
      </c>
      <c r="BK125" s="14" t="s">
        <v>2048</v>
      </c>
      <c r="BL125" s="14" t="s">
        <v>2064</v>
      </c>
      <c r="BM125" s="14" t="s">
        <v>72</v>
      </c>
      <c r="BN125" s="14" t="s">
        <v>72</v>
      </c>
      <c r="BO125" s="14" t="s">
        <v>2872</v>
      </c>
      <c r="BP125" s="14" t="s">
        <v>2048</v>
      </c>
      <c r="BQ125" s="14" t="s">
        <v>2048</v>
      </c>
      <c r="BR125" s="14" t="s">
        <v>2418</v>
      </c>
      <c r="BS125" s="14" t="s">
        <v>2089</v>
      </c>
      <c r="BT125" s="14" t="s">
        <v>2048</v>
      </c>
      <c r="BU125" s="14" t="s">
        <v>2048</v>
      </c>
      <c r="BV125" s="14" t="s">
        <v>2048</v>
      </c>
      <c r="BW125" s="14" t="s">
        <v>2048</v>
      </c>
      <c r="BX125" s="14" t="s">
        <v>2048</v>
      </c>
      <c r="BY125" s="14" t="s">
        <v>2048</v>
      </c>
      <c r="BZ125" s="14" t="s">
        <v>2048</v>
      </c>
      <c r="CA125" s="14" t="s">
        <v>2048</v>
      </c>
      <c r="CB125" s="14" t="s">
        <v>2048</v>
      </c>
      <c r="CC125" s="14" t="s">
        <v>2048</v>
      </c>
      <c r="CD125" s="14" t="s">
        <v>2048</v>
      </c>
      <c r="CE125" s="14" t="s">
        <v>2048</v>
      </c>
      <c r="CF125" s="14" t="s">
        <v>2048</v>
      </c>
      <c r="CG125" s="14" t="s">
        <v>2057</v>
      </c>
      <c r="CH125" s="14" t="s">
        <v>2090</v>
      </c>
      <c r="CI125" s="14" t="s">
        <v>2048</v>
      </c>
      <c r="CJ125" s="17"/>
      <c r="CK125" s="17">
        <v>45551</v>
      </c>
      <c r="CL125" s="17">
        <v>45551</v>
      </c>
      <c r="CM125" s="17">
        <v>2958465</v>
      </c>
      <c r="CN125" s="17"/>
      <c r="CO125" s="19">
        <v>0</v>
      </c>
      <c r="CP125" s="19">
        <v>0</v>
      </c>
      <c r="CQ125" s="19">
        <v>0</v>
      </c>
      <c r="CR125" s="19">
        <v>0</v>
      </c>
      <c r="CS125" s="19">
        <v>0</v>
      </c>
      <c r="CT125" s="19">
        <v>0</v>
      </c>
      <c r="CU125" s="19">
        <v>0</v>
      </c>
      <c r="CV125" s="17"/>
      <c r="CW125" s="20">
        <v>1980</v>
      </c>
      <c r="CX125" s="17">
        <v>45730</v>
      </c>
      <c r="CY125" s="17"/>
      <c r="CZ125" s="19">
        <v>0</v>
      </c>
      <c r="DA125" s="17"/>
      <c r="DB125" s="17"/>
      <c r="DC125" s="19">
        <v>100</v>
      </c>
      <c r="DD125" s="17"/>
      <c r="DE125" s="17">
        <v>2958465</v>
      </c>
      <c r="DF125" s="17"/>
      <c r="DG125" s="17"/>
      <c r="DH125" s="19">
        <v>0</v>
      </c>
      <c r="DI125" s="19">
        <v>0</v>
      </c>
    </row>
    <row r="126" spans="1:113" x14ac:dyDescent="0.2">
      <c r="A126" s="14" t="s">
        <v>2315</v>
      </c>
      <c r="B126" s="16" t="s">
        <v>2873</v>
      </c>
      <c r="C126" s="14" t="s">
        <v>158</v>
      </c>
      <c r="D126" s="14" t="s">
        <v>159</v>
      </c>
      <c r="E126" s="14" t="s">
        <v>158</v>
      </c>
      <c r="F126" s="14" t="s">
        <v>2044</v>
      </c>
      <c r="G126" s="14" t="s">
        <v>2045</v>
      </c>
      <c r="H126" s="14" t="s">
        <v>469</v>
      </c>
      <c r="I126" s="14" t="s">
        <v>470</v>
      </c>
      <c r="J126" s="16">
        <f>COUNTIF($I$3:I126, I126)</f>
        <v>3</v>
      </c>
      <c r="K126" s="14" t="s">
        <v>2048</v>
      </c>
      <c r="L126" s="14" t="s">
        <v>2048</v>
      </c>
      <c r="M126" s="14" t="s">
        <v>2048</v>
      </c>
      <c r="N126" s="14" t="s">
        <v>2048</v>
      </c>
      <c r="O126" s="14" t="s">
        <v>2874</v>
      </c>
      <c r="P126" s="14" t="s">
        <v>72</v>
      </c>
      <c r="Q126" s="14" t="s">
        <v>72</v>
      </c>
      <c r="R126" s="14" t="s">
        <v>2048</v>
      </c>
      <c r="S126" s="14" t="s">
        <v>2048</v>
      </c>
      <c r="T126" s="14" t="s">
        <v>2422</v>
      </c>
      <c r="U126" s="14" t="s">
        <v>2049</v>
      </c>
      <c r="V126" s="14" t="s">
        <v>2050</v>
      </c>
      <c r="W126" s="14" t="s">
        <v>2048</v>
      </c>
      <c r="X126" s="14" t="s">
        <v>2048</v>
      </c>
      <c r="Y126" s="14" t="s">
        <v>2048</v>
      </c>
      <c r="Z126" s="14" t="s">
        <v>2048</v>
      </c>
      <c r="AA126" s="14" t="s">
        <v>2048</v>
      </c>
      <c r="AB126" s="14" t="s">
        <v>380</v>
      </c>
      <c r="AC126" s="14" t="s">
        <v>381</v>
      </c>
      <c r="AD126" s="14" t="s">
        <v>2132</v>
      </c>
      <c r="AE126" s="14" t="s">
        <v>2133</v>
      </c>
      <c r="AF126" s="14" t="s">
        <v>2056</v>
      </c>
      <c r="AG126" s="14" t="s">
        <v>2056</v>
      </c>
      <c r="AH126" s="14" t="s">
        <v>2055</v>
      </c>
      <c r="AI126" s="14" t="s">
        <v>2057</v>
      </c>
      <c r="AJ126" s="14" t="s">
        <v>87</v>
      </c>
      <c r="AK126" s="14" t="s">
        <v>2048</v>
      </c>
      <c r="AL126" s="14" t="s">
        <v>2048</v>
      </c>
      <c r="AM126" s="14" t="s">
        <v>2048</v>
      </c>
      <c r="AN126" s="14" t="s">
        <v>2861</v>
      </c>
      <c r="AO126" s="17" t="s">
        <v>89</v>
      </c>
      <c r="AP126" s="14" t="s">
        <v>2862</v>
      </c>
      <c r="AQ126" s="14" t="s">
        <v>2059</v>
      </c>
      <c r="AR126" s="14" t="s">
        <v>2060</v>
      </c>
      <c r="AS126" s="14" t="s">
        <v>2048</v>
      </c>
      <c r="AT126" s="14" t="s">
        <v>2048</v>
      </c>
      <c r="AU126" s="14" t="s">
        <v>2863</v>
      </c>
      <c r="AV126" s="14" t="s">
        <v>2864</v>
      </c>
      <c r="AW126" s="14" t="s">
        <v>2048</v>
      </c>
      <c r="AX126" s="14" t="s">
        <v>2048</v>
      </c>
      <c r="AY126" s="14" t="s">
        <v>469</v>
      </c>
      <c r="AZ126" s="14" t="s">
        <v>471</v>
      </c>
      <c r="BA126" s="14" t="s">
        <v>2865</v>
      </c>
      <c r="BB126" s="14" t="s">
        <v>2048</v>
      </c>
      <c r="BC126" s="14" t="s">
        <v>2048</v>
      </c>
      <c r="BD126" s="14" t="s">
        <v>2866</v>
      </c>
      <c r="BE126" s="14" t="s">
        <v>2867</v>
      </c>
      <c r="BF126" s="14" t="s">
        <v>2048</v>
      </c>
      <c r="BG126" s="14" t="s">
        <v>2048</v>
      </c>
      <c r="BH126" s="14" t="s">
        <v>2868</v>
      </c>
      <c r="BI126" s="14" t="s">
        <v>2287</v>
      </c>
      <c r="BJ126" s="14" t="s">
        <v>2048</v>
      </c>
      <c r="BK126" s="14" t="s">
        <v>2048</v>
      </c>
      <c r="BL126" s="14" t="s">
        <v>2064</v>
      </c>
      <c r="BM126" s="14" t="s">
        <v>72</v>
      </c>
      <c r="BN126" s="14" t="s">
        <v>72</v>
      </c>
      <c r="BO126" s="14" t="s">
        <v>2875</v>
      </c>
      <c r="BP126" s="14" t="s">
        <v>2048</v>
      </c>
      <c r="BQ126" s="14" t="s">
        <v>2048</v>
      </c>
      <c r="BR126" s="14" t="s">
        <v>2418</v>
      </c>
      <c r="BS126" s="14" t="s">
        <v>2089</v>
      </c>
      <c r="BT126" s="14" t="s">
        <v>2048</v>
      </c>
      <c r="BU126" s="14" t="s">
        <v>2048</v>
      </c>
      <c r="BV126" s="14" t="s">
        <v>2048</v>
      </c>
      <c r="BW126" s="14" t="s">
        <v>2048</v>
      </c>
      <c r="BX126" s="14" t="s">
        <v>2048</v>
      </c>
      <c r="BY126" s="14" t="s">
        <v>2048</v>
      </c>
      <c r="BZ126" s="14" t="s">
        <v>2048</v>
      </c>
      <c r="CA126" s="14" t="s">
        <v>2048</v>
      </c>
      <c r="CB126" s="14" t="s">
        <v>2048</v>
      </c>
      <c r="CC126" s="14" t="s">
        <v>2048</v>
      </c>
      <c r="CD126" s="14" t="s">
        <v>2048</v>
      </c>
      <c r="CE126" s="14" t="s">
        <v>2048</v>
      </c>
      <c r="CF126" s="14" t="s">
        <v>2048</v>
      </c>
      <c r="CG126" s="14" t="s">
        <v>2057</v>
      </c>
      <c r="CH126" s="14" t="s">
        <v>2090</v>
      </c>
      <c r="CI126" s="14" t="s">
        <v>2048</v>
      </c>
      <c r="CJ126" s="17"/>
      <c r="CK126" s="17">
        <v>45551</v>
      </c>
      <c r="CL126" s="17">
        <v>45551</v>
      </c>
      <c r="CM126" s="17">
        <v>2958465</v>
      </c>
      <c r="CN126" s="17"/>
      <c r="CO126" s="19">
        <v>0</v>
      </c>
      <c r="CP126" s="19">
        <v>0</v>
      </c>
      <c r="CQ126" s="19">
        <v>0</v>
      </c>
      <c r="CR126" s="19">
        <v>0</v>
      </c>
      <c r="CS126" s="19">
        <v>0</v>
      </c>
      <c r="CT126" s="19">
        <v>0</v>
      </c>
      <c r="CU126" s="19">
        <v>0</v>
      </c>
      <c r="CV126" s="17"/>
      <c r="CW126" s="20">
        <v>3006</v>
      </c>
      <c r="CX126" s="17">
        <v>45730</v>
      </c>
      <c r="CY126" s="17"/>
      <c r="CZ126" s="19">
        <v>0</v>
      </c>
      <c r="DA126" s="17"/>
      <c r="DB126" s="17"/>
      <c r="DC126" s="19">
        <v>100</v>
      </c>
      <c r="DD126" s="17"/>
      <c r="DE126" s="17">
        <v>2958465</v>
      </c>
      <c r="DF126" s="17"/>
      <c r="DG126" s="17"/>
      <c r="DH126" s="19">
        <v>0</v>
      </c>
      <c r="DI126" s="19">
        <v>0</v>
      </c>
    </row>
    <row r="127" spans="1:113" x14ac:dyDescent="0.2">
      <c r="A127" s="14" t="s">
        <v>2315</v>
      </c>
      <c r="B127" s="16" t="s">
        <v>648</v>
      </c>
      <c r="C127" s="14" t="s">
        <v>158</v>
      </c>
      <c r="D127" s="14" t="s">
        <v>159</v>
      </c>
      <c r="E127" s="14" t="s">
        <v>158</v>
      </c>
      <c r="F127" s="14" t="s">
        <v>2044</v>
      </c>
      <c r="G127" s="14" t="s">
        <v>2045</v>
      </c>
      <c r="H127" s="14" t="s">
        <v>102</v>
      </c>
      <c r="I127" s="14" t="s">
        <v>103</v>
      </c>
      <c r="J127" s="16">
        <f>COUNTIF($I$3:I127, I127)</f>
        <v>33</v>
      </c>
      <c r="K127" s="14" t="s">
        <v>2048</v>
      </c>
      <c r="L127" s="14" t="s">
        <v>2048</v>
      </c>
      <c r="M127" s="14" t="s">
        <v>2048</v>
      </c>
      <c r="N127" s="14" t="s">
        <v>2048</v>
      </c>
      <c r="O127" s="14" t="s">
        <v>2876</v>
      </c>
      <c r="P127" s="14" t="s">
        <v>650</v>
      </c>
      <c r="Q127" s="14" t="s">
        <v>72</v>
      </c>
      <c r="R127" s="14" t="s">
        <v>2048</v>
      </c>
      <c r="S127" s="14" t="s">
        <v>2048</v>
      </c>
      <c r="T127" s="14" t="s">
        <v>2048</v>
      </c>
      <c r="U127" s="14" t="s">
        <v>2048</v>
      </c>
      <c r="V127" s="14" t="s">
        <v>2050</v>
      </c>
      <c r="W127" s="14" t="s">
        <v>2048</v>
      </c>
      <c r="X127" s="14" t="s">
        <v>2048</v>
      </c>
      <c r="Y127" s="14" t="s">
        <v>2048</v>
      </c>
      <c r="Z127" s="14" t="s">
        <v>2048</v>
      </c>
      <c r="AA127" s="14" t="s">
        <v>2048</v>
      </c>
      <c r="AB127" s="14" t="s">
        <v>380</v>
      </c>
      <c r="AC127" s="14" t="s">
        <v>381</v>
      </c>
      <c r="AD127" s="14" t="s">
        <v>2072</v>
      </c>
      <c r="AE127" s="14" t="s">
        <v>2073</v>
      </c>
      <c r="AF127" s="14" t="s">
        <v>2055</v>
      </c>
      <c r="AG127" s="14" t="s">
        <v>2055</v>
      </c>
      <c r="AH127" s="14" t="s">
        <v>2055</v>
      </c>
      <c r="AI127" s="14" t="s">
        <v>2057</v>
      </c>
      <c r="AJ127" s="14" t="s">
        <v>87</v>
      </c>
      <c r="AK127" s="14" t="s">
        <v>2048</v>
      </c>
      <c r="AL127" s="14" t="s">
        <v>2048</v>
      </c>
      <c r="AM127" s="14" t="s">
        <v>2048</v>
      </c>
      <c r="AN127" s="14" t="s">
        <v>2877</v>
      </c>
      <c r="AO127" s="17" t="s">
        <v>89</v>
      </c>
      <c r="AP127" s="14" t="s">
        <v>2135</v>
      </c>
      <c r="AQ127" s="14" t="s">
        <v>2878</v>
      </c>
      <c r="AR127" s="14" t="s">
        <v>2879</v>
      </c>
      <c r="AS127" s="14" t="s">
        <v>2880</v>
      </c>
      <c r="AT127" s="14" t="s">
        <v>72</v>
      </c>
      <c r="AU127" s="14" t="s">
        <v>2881</v>
      </c>
      <c r="AV127" s="14" t="s">
        <v>2882</v>
      </c>
      <c r="AW127" s="14" t="s">
        <v>2048</v>
      </c>
      <c r="AX127" s="14" t="s">
        <v>2048</v>
      </c>
      <c r="AY127" s="14" t="s">
        <v>102</v>
      </c>
      <c r="AZ127" s="14" t="s">
        <v>649</v>
      </c>
      <c r="BA127" s="14" t="s">
        <v>2883</v>
      </c>
      <c r="BB127" s="14" t="s">
        <v>2048</v>
      </c>
      <c r="BC127" s="14" t="s">
        <v>2048</v>
      </c>
      <c r="BD127" s="14" t="s">
        <v>2282</v>
      </c>
      <c r="BE127" s="14" t="s">
        <v>2782</v>
      </c>
      <c r="BF127" s="14" t="s">
        <v>2783</v>
      </c>
      <c r="BG127" s="14" t="s">
        <v>2784</v>
      </c>
      <c r="BH127" s="14" t="s">
        <v>2884</v>
      </c>
      <c r="BI127" s="14" t="s">
        <v>2287</v>
      </c>
      <c r="BJ127" s="14" t="s">
        <v>2048</v>
      </c>
      <c r="BK127" s="14" t="s">
        <v>2048</v>
      </c>
      <c r="BL127" s="14" t="s">
        <v>2064</v>
      </c>
      <c r="BM127" s="14" t="s">
        <v>72</v>
      </c>
      <c r="BN127" s="14" t="s">
        <v>72</v>
      </c>
      <c r="BO127" s="14" t="s">
        <v>2885</v>
      </c>
      <c r="BP127" s="14" t="s">
        <v>2886</v>
      </c>
      <c r="BQ127" s="14" t="s">
        <v>2877</v>
      </c>
      <c r="BR127" s="14" t="s">
        <v>2418</v>
      </c>
      <c r="BS127" s="14" t="s">
        <v>2089</v>
      </c>
      <c r="BT127" s="14" t="s">
        <v>2048</v>
      </c>
      <c r="BU127" s="14" t="s">
        <v>2048</v>
      </c>
      <c r="BV127" s="14" t="s">
        <v>2048</v>
      </c>
      <c r="BW127" s="14" t="s">
        <v>2048</v>
      </c>
      <c r="BX127" s="14" t="s">
        <v>72</v>
      </c>
      <c r="BY127" s="14" t="s">
        <v>2048</v>
      </c>
      <c r="BZ127" s="14" t="s">
        <v>2048</v>
      </c>
      <c r="CA127" s="14" t="s">
        <v>2048</v>
      </c>
      <c r="CB127" s="14" t="s">
        <v>2048</v>
      </c>
      <c r="CC127" s="14" t="s">
        <v>2048</v>
      </c>
      <c r="CD127" s="14" t="s">
        <v>2048</v>
      </c>
      <c r="CE127" s="14" t="s">
        <v>2048</v>
      </c>
      <c r="CF127" s="14" t="s">
        <v>2048</v>
      </c>
      <c r="CG127" s="14" t="s">
        <v>2057</v>
      </c>
      <c r="CH127" s="14" t="s">
        <v>2090</v>
      </c>
      <c r="CI127" s="14" t="s">
        <v>2048</v>
      </c>
      <c r="CJ127" s="17"/>
      <c r="CK127" s="17">
        <v>45616</v>
      </c>
      <c r="CL127" s="17">
        <v>45616</v>
      </c>
      <c r="CM127" s="17">
        <v>2958465</v>
      </c>
      <c r="CN127" s="17"/>
      <c r="CO127" s="19">
        <v>0</v>
      </c>
      <c r="CP127" s="19">
        <v>0</v>
      </c>
      <c r="CQ127" s="19">
        <v>0</v>
      </c>
      <c r="CR127" s="19">
        <v>0</v>
      </c>
      <c r="CS127" s="19">
        <v>0</v>
      </c>
      <c r="CT127" s="19">
        <v>0</v>
      </c>
      <c r="CU127" s="19">
        <v>0</v>
      </c>
      <c r="CV127" s="17"/>
      <c r="CW127" s="19">
        <v>0</v>
      </c>
      <c r="CX127" s="17"/>
      <c r="CY127" s="17"/>
      <c r="CZ127" s="19">
        <v>0</v>
      </c>
      <c r="DA127" s="17"/>
      <c r="DB127" s="17"/>
      <c r="DC127" s="19">
        <v>100</v>
      </c>
      <c r="DD127" s="17"/>
      <c r="DE127" s="17">
        <v>2958465</v>
      </c>
      <c r="DF127" s="17"/>
      <c r="DG127" s="17"/>
      <c r="DH127" s="19">
        <v>0</v>
      </c>
      <c r="DI127" s="19">
        <v>0</v>
      </c>
    </row>
    <row r="128" spans="1:113" x14ac:dyDescent="0.2">
      <c r="A128" s="14" t="s">
        <v>2315</v>
      </c>
      <c r="B128" s="16" t="s">
        <v>988</v>
      </c>
      <c r="C128" s="14" t="s">
        <v>158</v>
      </c>
      <c r="D128" s="14" t="s">
        <v>159</v>
      </c>
      <c r="E128" s="14" t="s">
        <v>158</v>
      </c>
      <c r="F128" s="14" t="s">
        <v>2044</v>
      </c>
      <c r="G128" s="14" t="s">
        <v>2045</v>
      </c>
      <c r="H128" s="14" t="s">
        <v>985</v>
      </c>
      <c r="I128" s="14" t="s">
        <v>986</v>
      </c>
      <c r="J128" s="16">
        <f>COUNTIF($I$3:I128, I128)</f>
        <v>1</v>
      </c>
      <c r="K128" s="14" t="s">
        <v>2048</v>
      </c>
      <c r="L128" s="14" t="s">
        <v>2048</v>
      </c>
      <c r="M128" s="14" t="s">
        <v>2048</v>
      </c>
      <c r="N128" s="14" t="s">
        <v>2048</v>
      </c>
      <c r="O128" s="14" t="s">
        <v>2887</v>
      </c>
      <c r="P128" s="14" t="s">
        <v>989</v>
      </c>
      <c r="Q128" s="14" t="s">
        <v>72</v>
      </c>
      <c r="R128" s="14" t="s">
        <v>2048</v>
      </c>
      <c r="S128" s="14" t="s">
        <v>2048</v>
      </c>
      <c r="T128" s="14" t="s">
        <v>2048</v>
      </c>
      <c r="U128" s="14" t="s">
        <v>2048</v>
      </c>
      <c r="V128" s="14" t="s">
        <v>2050</v>
      </c>
      <c r="W128" s="14" t="s">
        <v>2048</v>
      </c>
      <c r="X128" s="14" t="s">
        <v>2048</v>
      </c>
      <c r="Y128" s="14" t="s">
        <v>2048</v>
      </c>
      <c r="Z128" s="14" t="s">
        <v>2048</v>
      </c>
      <c r="AA128" s="14" t="s">
        <v>2048</v>
      </c>
      <c r="AB128" s="14" t="s">
        <v>85</v>
      </c>
      <c r="AC128" s="14" t="s">
        <v>86</v>
      </c>
      <c r="AD128" s="14" t="s">
        <v>77</v>
      </c>
      <c r="AE128" s="14" t="s">
        <v>2054</v>
      </c>
      <c r="AF128" s="14" t="s">
        <v>2056</v>
      </c>
      <c r="AG128" s="14" t="s">
        <v>2056</v>
      </c>
      <c r="AH128" s="14" t="s">
        <v>2055</v>
      </c>
      <c r="AI128" s="14" t="s">
        <v>2057</v>
      </c>
      <c r="AJ128" s="14" t="s">
        <v>87</v>
      </c>
      <c r="AK128" s="14" t="s">
        <v>2048</v>
      </c>
      <c r="AL128" s="14" t="s">
        <v>2048</v>
      </c>
      <c r="AM128" s="14" t="s">
        <v>2755</v>
      </c>
      <c r="AN128" s="14" t="s">
        <v>2888</v>
      </c>
      <c r="AO128" s="17" t="s">
        <v>89</v>
      </c>
      <c r="AP128" s="14" t="s">
        <v>2135</v>
      </c>
      <c r="AQ128" s="14" t="s">
        <v>984</v>
      </c>
      <c r="AR128" s="14" t="s">
        <v>2889</v>
      </c>
      <c r="AS128" s="14" t="s">
        <v>2890</v>
      </c>
      <c r="AT128" s="14" t="s">
        <v>72</v>
      </c>
      <c r="AU128" s="14" t="s">
        <v>2610</v>
      </c>
      <c r="AV128" s="14" t="s">
        <v>2611</v>
      </c>
      <c r="AW128" s="14" t="s">
        <v>2048</v>
      </c>
      <c r="AX128" s="14" t="s">
        <v>2048</v>
      </c>
      <c r="AY128" s="14" t="s">
        <v>985</v>
      </c>
      <c r="AZ128" s="14" t="s">
        <v>987</v>
      </c>
      <c r="BA128" s="14" t="s">
        <v>2891</v>
      </c>
      <c r="BB128" s="14" t="s">
        <v>2048</v>
      </c>
      <c r="BC128" s="14" t="s">
        <v>2048</v>
      </c>
      <c r="BD128" s="14" t="s">
        <v>2602</v>
      </c>
      <c r="BE128" s="14" t="s">
        <v>2892</v>
      </c>
      <c r="BF128" s="14" t="s">
        <v>2613</v>
      </c>
      <c r="BG128" s="14" t="s">
        <v>2893</v>
      </c>
      <c r="BH128" s="14" t="s">
        <v>2615</v>
      </c>
      <c r="BI128" s="14" t="s">
        <v>2287</v>
      </c>
      <c r="BJ128" s="14" t="s">
        <v>2048</v>
      </c>
      <c r="BK128" s="14" t="s">
        <v>2048</v>
      </c>
      <c r="BL128" s="14" t="s">
        <v>2064</v>
      </c>
      <c r="BM128" s="14" t="s">
        <v>72</v>
      </c>
      <c r="BN128" s="14" t="s">
        <v>72</v>
      </c>
      <c r="BO128" s="14" t="s">
        <v>2894</v>
      </c>
      <c r="BP128" s="14" t="s">
        <v>2617</v>
      </c>
      <c r="BQ128" s="14" t="s">
        <v>2618</v>
      </c>
      <c r="BR128" s="14" t="s">
        <v>2418</v>
      </c>
      <c r="BS128" s="14" t="s">
        <v>2089</v>
      </c>
      <c r="BT128" s="14" t="s">
        <v>2048</v>
      </c>
      <c r="BU128" s="14" t="s">
        <v>2048</v>
      </c>
      <c r="BV128" s="14" t="s">
        <v>2048</v>
      </c>
      <c r="BW128" s="14" t="s">
        <v>2048</v>
      </c>
      <c r="BX128" s="14" t="s">
        <v>72</v>
      </c>
      <c r="BY128" s="14" t="s">
        <v>2048</v>
      </c>
      <c r="BZ128" s="14" t="s">
        <v>2048</v>
      </c>
      <c r="CA128" s="14" t="s">
        <v>2048</v>
      </c>
      <c r="CB128" s="14" t="s">
        <v>2048</v>
      </c>
      <c r="CC128" s="14" t="s">
        <v>2048</v>
      </c>
      <c r="CD128" s="14" t="s">
        <v>2048</v>
      </c>
      <c r="CE128" s="14" t="s">
        <v>2048</v>
      </c>
      <c r="CF128" s="14" t="s">
        <v>2048</v>
      </c>
      <c r="CG128" s="14" t="s">
        <v>2057</v>
      </c>
      <c r="CH128" s="14" t="s">
        <v>2090</v>
      </c>
      <c r="CI128" s="14" t="s">
        <v>2048</v>
      </c>
      <c r="CJ128" s="17"/>
      <c r="CK128" s="17">
        <v>45653</v>
      </c>
      <c r="CL128" s="17">
        <v>45653</v>
      </c>
      <c r="CM128" s="17">
        <v>2958465</v>
      </c>
      <c r="CN128" s="17"/>
      <c r="CO128" s="19">
        <v>0</v>
      </c>
      <c r="CP128" s="19">
        <v>0</v>
      </c>
      <c r="CQ128" s="19">
        <v>0</v>
      </c>
      <c r="CR128" s="19">
        <v>0</v>
      </c>
      <c r="CS128" s="19">
        <v>0</v>
      </c>
      <c r="CT128" s="19">
        <v>0</v>
      </c>
      <c r="CU128" s="19">
        <v>0</v>
      </c>
      <c r="CV128" s="17"/>
      <c r="CW128" s="19">
        <v>0</v>
      </c>
      <c r="CX128" s="17"/>
      <c r="CY128" s="17"/>
      <c r="CZ128" s="19">
        <v>0</v>
      </c>
      <c r="DA128" s="17"/>
      <c r="DB128" s="17"/>
      <c r="DC128" s="19">
        <v>100</v>
      </c>
      <c r="DD128" s="17"/>
      <c r="DE128" s="17">
        <v>2958465</v>
      </c>
      <c r="DF128" s="17"/>
      <c r="DG128" s="17"/>
      <c r="DH128" s="19">
        <v>0</v>
      </c>
      <c r="DI128" s="19">
        <v>0</v>
      </c>
    </row>
    <row r="129" spans="1:113" x14ac:dyDescent="0.2">
      <c r="A129" s="14" t="s">
        <v>2315</v>
      </c>
      <c r="B129" s="16" t="s">
        <v>1727</v>
      </c>
      <c r="C129" s="14" t="s">
        <v>158</v>
      </c>
      <c r="D129" s="14" t="s">
        <v>159</v>
      </c>
      <c r="E129" s="14" t="s">
        <v>158</v>
      </c>
      <c r="F129" s="14" t="s">
        <v>2044</v>
      </c>
      <c r="G129" s="14" t="s">
        <v>2045</v>
      </c>
      <c r="H129" s="14" t="s">
        <v>985</v>
      </c>
      <c r="I129" s="14" t="s">
        <v>986</v>
      </c>
      <c r="J129" s="16">
        <f>COUNTIF($I$3:I129, I129)</f>
        <v>2</v>
      </c>
      <c r="K129" s="14" t="s">
        <v>2048</v>
      </c>
      <c r="L129" s="14" t="s">
        <v>2048</v>
      </c>
      <c r="M129" s="14" t="s">
        <v>2048</v>
      </c>
      <c r="N129" s="14" t="s">
        <v>2048</v>
      </c>
      <c r="O129" s="14" t="s">
        <v>2895</v>
      </c>
      <c r="P129" s="14" t="s">
        <v>2896</v>
      </c>
      <c r="Q129" s="14" t="s">
        <v>72</v>
      </c>
      <c r="R129" s="14" t="s">
        <v>2048</v>
      </c>
      <c r="S129" s="14" t="s">
        <v>2048</v>
      </c>
      <c r="T129" s="14" t="s">
        <v>2048</v>
      </c>
      <c r="U129" s="14" t="s">
        <v>2048</v>
      </c>
      <c r="V129" s="14" t="s">
        <v>2050</v>
      </c>
      <c r="W129" s="14" t="s">
        <v>2048</v>
      </c>
      <c r="X129" s="14" t="s">
        <v>2048</v>
      </c>
      <c r="Y129" s="14" t="s">
        <v>2048</v>
      </c>
      <c r="Z129" s="14" t="s">
        <v>2048</v>
      </c>
      <c r="AA129" s="14" t="s">
        <v>2048</v>
      </c>
      <c r="AB129" s="14" t="s">
        <v>85</v>
      </c>
      <c r="AC129" s="14" t="s">
        <v>86</v>
      </c>
      <c r="AD129" s="14" t="s">
        <v>77</v>
      </c>
      <c r="AE129" s="14" t="s">
        <v>2054</v>
      </c>
      <c r="AF129" s="14" t="s">
        <v>2056</v>
      </c>
      <c r="AG129" s="14" t="s">
        <v>2055</v>
      </c>
      <c r="AH129" s="14" t="s">
        <v>2055</v>
      </c>
      <c r="AI129" s="14" t="s">
        <v>2057</v>
      </c>
      <c r="AJ129" s="14" t="s">
        <v>87</v>
      </c>
      <c r="AK129" s="14" t="s">
        <v>2048</v>
      </c>
      <c r="AL129" s="14" t="s">
        <v>2048</v>
      </c>
      <c r="AM129" s="14" t="s">
        <v>2048</v>
      </c>
      <c r="AN129" s="14" t="s">
        <v>2888</v>
      </c>
      <c r="AO129" s="17" t="s">
        <v>89</v>
      </c>
      <c r="AP129" s="14" t="s">
        <v>2135</v>
      </c>
      <c r="AQ129" s="14" t="s">
        <v>2897</v>
      </c>
      <c r="AR129" s="14" t="s">
        <v>2898</v>
      </c>
      <c r="AS129" s="14" t="s">
        <v>2899</v>
      </c>
      <c r="AT129" s="14" t="s">
        <v>72</v>
      </c>
      <c r="AU129" s="14" t="s">
        <v>2610</v>
      </c>
      <c r="AV129" s="14" t="s">
        <v>2611</v>
      </c>
      <c r="AW129" s="14" t="s">
        <v>2048</v>
      </c>
      <c r="AX129" s="14" t="s">
        <v>2048</v>
      </c>
      <c r="AY129" s="14" t="s">
        <v>985</v>
      </c>
      <c r="AZ129" s="14" t="s">
        <v>2900</v>
      </c>
      <c r="BA129" s="14" t="s">
        <v>2901</v>
      </c>
      <c r="BB129" s="14" t="s">
        <v>2048</v>
      </c>
      <c r="BC129" s="14" t="s">
        <v>2048</v>
      </c>
      <c r="BD129" s="14" t="s">
        <v>2602</v>
      </c>
      <c r="BE129" s="14" t="s">
        <v>2892</v>
      </c>
      <c r="BF129" s="14" t="s">
        <v>2613</v>
      </c>
      <c r="BG129" s="14" t="s">
        <v>2893</v>
      </c>
      <c r="BH129" s="14" t="s">
        <v>2615</v>
      </c>
      <c r="BI129" s="14" t="s">
        <v>2287</v>
      </c>
      <c r="BJ129" s="14" t="s">
        <v>2048</v>
      </c>
      <c r="BK129" s="14" t="s">
        <v>2048</v>
      </c>
      <c r="BL129" s="14" t="s">
        <v>2064</v>
      </c>
      <c r="BM129" s="14" t="s">
        <v>72</v>
      </c>
      <c r="BN129" s="14" t="s">
        <v>72</v>
      </c>
      <c r="BO129" s="14" t="s">
        <v>2902</v>
      </c>
      <c r="BP129" s="14" t="s">
        <v>2617</v>
      </c>
      <c r="BQ129" s="14" t="s">
        <v>2618</v>
      </c>
      <c r="BR129" s="14" t="s">
        <v>2418</v>
      </c>
      <c r="BS129" s="14" t="s">
        <v>2089</v>
      </c>
      <c r="BT129" s="14" t="s">
        <v>2048</v>
      </c>
      <c r="BU129" s="14" t="s">
        <v>2048</v>
      </c>
      <c r="BV129" s="14" t="s">
        <v>2048</v>
      </c>
      <c r="BW129" s="14" t="s">
        <v>2048</v>
      </c>
      <c r="BX129" s="14" t="s">
        <v>72</v>
      </c>
      <c r="BY129" s="14" t="s">
        <v>2048</v>
      </c>
      <c r="BZ129" s="14" t="s">
        <v>2048</v>
      </c>
      <c r="CA129" s="14" t="s">
        <v>2048</v>
      </c>
      <c r="CB129" s="14" t="s">
        <v>2048</v>
      </c>
      <c r="CC129" s="14" t="s">
        <v>2048</v>
      </c>
      <c r="CD129" s="14" t="s">
        <v>2048</v>
      </c>
      <c r="CE129" s="14" t="s">
        <v>2048</v>
      </c>
      <c r="CF129" s="14" t="s">
        <v>2048</v>
      </c>
      <c r="CG129" s="14" t="s">
        <v>2057</v>
      </c>
      <c r="CH129" s="14" t="s">
        <v>2090</v>
      </c>
      <c r="CI129" s="14" t="s">
        <v>2048</v>
      </c>
      <c r="CJ129" s="17"/>
      <c r="CK129" s="17">
        <v>45653</v>
      </c>
      <c r="CL129" s="17">
        <v>45653</v>
      </c>
      <c r="CM129" s="17">
        <v>2958465</v>
      </c>
      <c r="CN129" s="17"/>
      <c r="CO129" s="19">
        <v>0</v>
      </c>
      <c r="CP129" s="19">
        <v>0</v>
      </c>
      <c r="CQ129" s="19">
        <v>0</v>
      </c>
      <c r="CR129" s="19">
        <v>0</v>
      </c>
      <c r="CS129" s="19">
        <v>0</v>
      </c>
      <c r="CT129" s="19">
        <v>0</v>
      </c>
      <c r="CU129" s="19">
        <v>0</v>
      </c>
      <c r="CV129" s="17"/>
      <c r="CW129" s="19">
        <v>0</v>
      </c>
      <c r="CX129" s="17"/>
      <c r="CY129" s="17"/>
      <c r="CZ129" s="19">
        <v>0</v>
      </c>
      <c r="DA129" s="17"/>
      <c r="DB129" s="17"/>
      <c r="DC129" s="19">
        <v>100</v>
      </c>
      <c r="DD129" s="17"/>
      <c r="DE129" s="17">
        <v>2958465</v>
      </c>
      <c r="DF129" s="17"/>
      <c r="DG129" s="17"/>
      <c r="DH129" s="19">
        <v>0</v>
      </c>
      <c r="DI129" s="19">
        <v>0</v>
      </c>
    </row>
    <row r="130" spans="1:113" x14ac:dyDescent="0.2">
      <c r="A130" s="14" t="s">
        <v>2315</v>
      </c>
      <c r="B130" s="16" t="s">
        <v>398</v>
      </c>
      <c r="C130" s="14" t="s">
        <v>158</v>
      </c>
      <c r="D130" s="14" t="s">
        <v>159</v>
      </c>
      <c r="E130" s="14" t="s">
        <v>158</v>
      </c>
      <c r="F130" s="14" t="s">
        <v>2044</v>
      </c>
      <c r="G130" s="14" t="s">
        <v>2045</v>
      </c>
      <c r="H130" s="14" t="s">
        <v>119</v>
      </c>
      <c r="I130" s="14" t="s">
        <v>120</v>
      </c>
      <c r="J130" s="16">
        <f>COUNTIF($I$3:I130, I130)</f>
        <v>9</v>
      </c>
      <c r="K130" s="14" t="s">
        <v>2048</v>
      </c>
      <c r="L130" s="14" t="s">
        <v>2048</v>
      </c>
      <c r="M130" s="14" t="s">
        <v>2048</v>
      </c>
      <c r="N130" s="14" t="s">
        <v>2048</v>
      </c>
      <c r="O130" s="14" t="s">
        <v>2903</v>
      </c>
      <c r="P130" s="14" t="s">
        <v>399</v>
      </c>
      <c r="Q130" s="14" t="s">
        <v>72</v>
      </c>
      <c r="R130" s="14" t="s">
        <v>2048</v>
      </c>
      <c r="S130" s="14" t="s">
        <v>2048</v>
      </c>
      <c r="T130" s="14" t="s">
        <v>2048</v>
      </c>
      <c r="U130" s="14" t="s">
        <v>2048</v>
      </c>
      <c r="V130" s="14" t="s">
        <v>2050</v>
      </c>
      <c r="W130" s="14" t="s">
        <v>2048</v>
      </c>
      <c r="X130" s="14" t="s">
        <v>2048</v>
      </c>
      <c r="Y130" s="14" t="s">
        <v>2048</v>
      </c>
      <c r="Z130" s="14" t="s">
        <v>2048</v>
      </c>
      <c r="AA130" s="14" t="s">
        <v>2048</v>
      </c>
      <c r="AB130" s="14" t="s">
        <v>85</v>
      </c>
      <c r="AC130" s="14" t="s">
        <v>86</v>
      </c>
      <c r="AD130" s="14" t="s">
        <v>2132</v>
      </c>
      <c r="AE130" s="14" t="s">
        <v>2133</v>
      </c>
      <c r="AF130" s="14" t="s">
        <v>2055</v>
      </c>
      <c r="AG130" s="14" t="s">
        <v>2055</v>
      </c>
      <c r="AH130" s="14" t="s">
        <v>2055</v>
      </c>
      <c r="AI130" s="14" t="s">
        <v>2057</v>
      </c>
      <c r="AJ130" s="14" t="s">
        <v>87</v>
      </c>
      <c r="AK130" s="14" t="s">
        <v>2048</v>
      </c>
      <c r="AL130" s="14" t="s">
        <v>2048</v>
      </c>
      <c r="AM130" s="14" t="s">
        <v>2048</v>
      </c>
      <c r="AN130" s="14" t="s">
        <v>2904</v>
      </c>
      <c r="AO130" s="17" t="s">
        <v>89</v>
      </c>
      <c r="AP130" s="14" t="s">
        <v>2135</v>
      </c>
      <c r="AQ130" s="14" t="s">
        <v>2905</v>
      </c>
      <c r="AR130" s="14" t="s">
        <v>2906</v>
      </c>
      <c r="AS130" s="14" t="s">
        <v>2907</v>
      </c>
      <c r="AT130" s="14" t="s">
        <v>72</v>
      </c>
      <c r="AU130" s="14" t="s">
        <v>2908</v>
      </c>
      <c r="AV130" s="14" t="s">
        <v>2909</v>
      </c>
      <c r="AW130" s="14" t="s">
        <v>2048</v>
      </c>
      <c r="AX130" s="14" t="s">
        <v>2048</v>
      </c>
      <c r="AY130" s="14" t="s">
        <v>119</v>
      </c>
      <c r="AZ130" s="14" t="s">
        <v>325</v>
      </c>
      <c r="BA130" s="14" t="s">
        <v>2910</v>
      </c>
      <c r="BB130" s="14" t="s">
        <v>2048</v>
      </c>
      <c r="BC130" s="14" t="s">
        <v>2048</v>
      </c>
      <c r="BD130" s="14" t="s">
        <v>2911</v>
      </c>
      <c r="BE130" s="14" t="s">
        <v>2341</v>
      </c>
      <c r="BF130" s="14" t="s">
        <v>2912</v>
      </c>
      <c r="BG130" s="14" t="s">
        <v>2913</v>
      </c>
      <c r="BH130" s="14" t="s">
        <v>2914</v>
      </c>
      <c r="BI130" s="14" t="s">
        <v>2287</v>
      </c>
      <c r="BJ130" s="14" t="s">
        <v>2048</v>
      </c>
      <c r="BK130" s="14" t="s">
        <v>2048</v>
      </c>
      <c r="BL130" s="14" t="s">
        <v>2064</v>
      </c>
      <c r="BM130" s="14" t="s">
        <v>72</v>
      </c>
      <c r="BN130" s="14" t="s">
        <v>72</v>
      </c>
      <c r="BO130" s="14" t="s">
        <v>2915</v>
      </c>
      <c r="BP130" s="14" t="s">
        <v>2916</v>
      </c>
      <c r="BQ130" s="14" t="s">
        <v>2917</v>
      </c>
      <c r="BR130" s="14" t="s">
        <v>2418</v>
      </c>
      <c r="BS130" s="14" t="s">
        <v>2089</v>
      </c>
      <c r="BT130" s="14" t="s">
        <v>2048</v>
      </c>
      <c r="BU130" s="14" t="s">
        <v>2048</v>
      </c>
      <c r="BV130" s="14" t="s">
        <v>2048</v>
      </c>
      <c r="BW130" s="14" t="s">
        <v>2048</v>
      </c>
      <c r="BX130" s="14" t="s">
        <v>72</v>
      </c>
      <c r="BY130" s="14" t="s">
        <v>2048</v>
      </c>
      <c r="BZ130" s="14" t="s">
        <v>2048</v>
      </c>
      <c r="CA130" s="14" t="s">
        <v>2048</v>
      </c>
      <c r="CB130" s="14" t="s">
        <v>2048</v>
      </c>
      <c r="CC130" s="14" t="s">
        <v>2048</v>
      </c>
      <c r="CD130" s="14" t="s">
        <v>2048</v>
      </c>
      <c r="CE130" s="14" t="s">
        <v>2048</v>
      </c>
      <c r="CF130" s="14" t="s">
        <v>2048</v>
      </c>
      <c r="CG130" s="14" t="s">
        <v>2057</v>
      </c>
      <c r="CH130" s="14" t="s">
        <v>2090</v>
      </c>
      <c r="CI130" s="14" t="s">
        <v>2048</v>
      </c>
      <c r="CJ130" s="17"/>
      <c r="CK130" s="17">
        <v>45645</v>
      </c>
      <c r="CL130" s="17">
        <v>45645</v>
      </c>
      <c r="CM130" s="17">
        <v>2958465</v>
      </c>
      <c r="CN130" s="17"/>
      <c r="CO130" s="19">
        <v>0</v>
      </c>
      <c r="CP130" s="19">
        <v>0</v>
      </c>
      <c r="CQ130" s="19">
        <v>0</v>
      </c>
      <c r="CR130" s="19">
        <v>0</v>
      </c>
      <c r="CS130" s="19">
        <v>0</v>
      </c>
      <c r="CT130" s="19">
        <v>0</v>
      </c>
      <c r="CU130" s="19">
        <v>0</v>
      </c>
      <c r="CV130" s="17"/>
      <c r="CW130" s="19">
        <v>0</v>
      </c>
      <c r="CX130" s="17"/>
      <c r="CY130" s="17"/>
      <c r="CZ130" s="19">
        <v>0</v>
      </c>
      <c r="DA130" s="17"/>
      <c r="DB130" s="17"/>
      <c r="DC130" s="19">
        <v>100</v>
      </c>
      <c r="DD130" s="17"/>
      <c r="DE130" s="17">
        <v>2958465</v>
      </c>
      <c r="DF130" s="17"/>
      <c r="DG130" s="17"/>
      <c r="DH130" s="19">
        <v>0</v>
      </c>
      <c r="DI130" s="19">
        <v>0</v>
      </c>
    </row>
    <row r="131" spans="1:113" x14ac:dyDescent="0.2">
      <c r="A131" s="14" t="s">
        <v>2315</v>
      </c>
      <c r="B131" s="16" t="s">
        <v>919</v>
      </c>
      <c r="C131" s="14" t="s">
        <v>158</v>
      </c>
      <c r="D131" s="14" t="s">
        <v>159</v>
      </c>
      <c r="E131" s="14" t="s">
        <v>158</v>
      </c>
      <c r="F131" s="14" t="s">
        <v>2044</v>
      </c>
      <c r="G131" s="14" t="s">
        <v>2045</v>
      </c>
      <c r="H131" s="14" t="s">
        <v>131</v>
      </c>
      <c r="I131" s="14" t="s">
        <v>132</v>
      </c>
      <c r="J131" s="16">
        <f>COUNTIF($I$3:I131, I131)</f>
        <v>2</v>
      </c>
      <c r="K131" s="14" t="s">
        <v>2048</v>
      </c>
      <c r="L131" s="14" t="s">
        <v>2048</v>
      </c>
      <c r="M131" s="14" t="s">
        <v>2048</v>
      </c>
      <c r="N131" s="14" t="s">
        <v>2048</v>
      </c>
      <c r="O131" s="14" t="s">
        <v>2918</v>
      </c>
      <c r="P131" s="14" t="s">
        <v>920</v>
      </c>
      <c r="Q131" s="14" t="s">
        <v>72</v>
      </c>
      <c r="R131" s="14" t="s">
        <v>2048</v>
      </c>
      <c r="S131" s="14" t="s">
        <v>2048</v>
      </c>
      <c r="T131" s="14" t="s">
        <v>2048</v>
      </c>
      <c r="U131" s="14" t="s">
        <v>2048</v>
      </c>
      <c r="V131" s="14" t="s">
        <v>2050</v>
      </c>
      <c r="W131" s="14" t="s">
        <v>2048</v>
      </c>
      <c r="X131" s="14" t="s">
        <v>2048</v>
      </c>
      <c r="Y131" s="14" t="s">
        <v>2048</v>
      </c>
      <c r="Z131" s="14" t="s">
        <v>2048</v>
      </c>
      <c r="AA131" s="14" t="s">
        <v>2048</v>
      </c>
      <c r="AB131" s="14" t="s">
        <v>140</v>
      </c>
      <c r="AC131" s="14" t="s">
        <v>151</v>
      </c>
      <c r="AD131" s="14" t="s">
        <v>2442</v>
      </c>
      <c r="AE131" s="14" t="s">
        <v>2443</v>
      </c>
      <c r="AF131" s="14" t="s">
        <v>2055</v>
      </c>
      <c r="AG131" s="14" t="s">
        <v>2056</v>
      </c>
      <c r="AH131" s="14" t="s">
        <v>2055</v>
      </c>
      <c r="AI131" s="14" t="s">
        <v>2057</v>
      </c>
      <c r="AJ131" s="14" t="s">
        <v>87</v>
      </c>
      <c r="AK131" s="14" t="s">
        <v>2048</v>
      </c>
      <c r="AL131" s="14" t="s">
        <v>2048</v>
      </c>
      <c r="AM131" s="14" t="s">
        <v>2048</v>
      </c>
      <c r="AN131" s="14" t="s">
        <v>2443</v>
      </c>
      <c r="AO131" s="17" t="s">
        <v>89</v>
      </c>
      <c r="AP131" s="14" t="s">
        <v>2135</v>
      </c>
      <c r="AQ131" s="14" t="s">
        <v>1347</v>
      </c>
      <c r="AR131" s="14" t="s">
        <v>2919</v>
      </c>
      <c r="AS131" s="14" t="s">
        <v>2920</v>
      </c>
      <c r="AT131" s="14" t="s">
        <v>72</v>
      </c>
      <c r="AU131" s="14" t="s">
        <v>2448</v>
      </c>
      <c r="AV131" s="14" t="s">
        <v>2449</v>
      </c>
      <c r="AW131" s="14" t="s">
        <v>2048</v>
      </c>
      <c r="AX131" s="14" t="s">
        <v>2048</v>
      </c>
      <c r="AY131" s="14" t="s">
        <v>131</v>
      </c>
      <c r="AZ131" s="14" t="s">
        <v>316</v>
      </c>
      <c r="BA131" s="14" t="s">
        <v>2921</v>
      </c>
      <c r="BB131" s="14" t="s">
        <v>2048</v>
      </c>
      <c r="BC131" s="14" t="s">
        <v>2048</v>
      </c>
      <c r="BD131" s="14" t="s">
        <v>2048</v>
      </c>
      <c r="BE131" s="14" t="s">
        <v>2048</v>
      </c>
      <c r="BF131" s="14" t="s">
        <v>2048</v>
      </c>
      <c r="BG131" s="14" t="s">
        <v>2048</v>
      </c>
      <c r="BH131" s="14" t="s">
        <v>2922</v>
      </c>
      <c r="BI131" s="14" t="s">
        <v>2455</v>
      </c>
      <c r="BJ131" s="14" t="s">
        <v>2048</v>
      </c>
      <c r="BK131" s="14" t="s">
        <v>2048</v>
      </c>
      <c r="BL131" s="14" t="s">
        <v>2064</v>
      </c>
      <c r="BM131" s="14" t="s">
        <v>72</v>
      </c>
      <c r="BN131" s="14" t="s">
        <v>72</v>
      </c>
      <c r="BO131" s="14" t="s">
        <v>2923</v>
      </c>
      <c r="BP131" s="14" t="s">
        <v>2457</v>
      </c>
      <c r="BQ131" s="14" t="s">
        <v>2458</v>
      </c>
      <c r="BR131" s="14" t="s">
        <v>2331</v>
      </c>
      <c r="BS131" s="14" t="s">
        <v>2131</v>
      </c>
      <c r="BT131" s="14" t="s">
        <v>2048</v>
      </c>
      <c r="BU131" s="14" t="s">
        <v>2048</v>
      </c>
      <c r="BV131" s="14" t="s">
        <v>2048</v>
      </c>
      <c r="BW131" s="14" t="s">
        <v>2048</v>
      </c>
      <c r="BX131" s="14" t="s">
        <v>72</v>
      </c>
      <c r="BY131" s="14" t="s">
        <v>2048</v>
      </c>
      <c r="BZ131" s="14" t="s">
        <v>2048</v>
      </c>
      <c r="CA131" s="14" t="s">
        <v>2048</v>
      </c>
      <c r="CB131" s="14" t="s">
        <v>2048</v>
      </c>
      <c r="CC131" s="14" t="s">
        <v>2048</v>
      </c>
      <c r="CD131" s="14" t="s">
        <v>2048</v>
      </c>
      <c r="CE131" s="14" t="s">
        <v>2048</v>
      </c>
      <c r="CF131" s="14" t="s">
        <v>2048</v>
      </c>
      <c r="CG131" s="14" t="s">
        <v>2068</v>
      </c>
      <c r="CH131" s="14" t="s">
        <v>2069</v>
      </c>
      <c r="CI131" s="14" t="s">
        <v>2048</v>
      </c>
      <c r="CJ131" s="17"/>
      <c r="CK131" s="17">
        <v>45622</v>
      </c>
      <c r="CL131" s="17">
        <v>45622</v>
      </c>
      <c r="CM131" s="17">
        <v>2958465</v>
      </c>
      <c r="CN131" s="17"/>
      <c r="CO131" s="19">
        <v>0</v>
      </c>
      <c r="CP131" s="19">
        <v>0</v>
      </c>
      <c r="CQ131" s="19">
        <v>0</v>
      </c>
      <c r="CR131" s="19">
        <v>0</v>
      </c>
      <c r="CS131" s="19">
        <v>0</v>
      </c>
      <c r="CT131" s="19">
        <v>0</v>
      </c>
      <c r="CU131" s="19">
        <v>0</v>
      </c>
      <c r="CV131" s="17"/>
      <c r="CW131" s="19">
        <v>0</v>
      </c>
      <c r="CX131" s="17"/>
      <c r="CY131" s="17">
        <v>47083</v>
      </c>
      <c r="CZ131" s="19">
        <v>0</v>
      </c>
      <c r="DA131" s="17"/>
      <c r="DB131" s="17"/>
      <c r="DC131" s="19">
        <v>100</v>
      </c>
      <c r="DD131" s="17"/>
      <c r="DE131" s="17">
        <v>2958465</v>
      </c>
      <c r="DF131" s="17"/>
      <c r="DG131" s="17"/>
      <c r="DH131" s="19">
        <v>0</v>
      </c>
      <c r="DI131" s="19">
        <v>0</v>
      </c>
    </row>
    <row r="132" spans="1:113" x14ac:dyDescent="0.2">
      <c r="A132" s="14" t="s">
        <v>2315</v>
      </c>
      <c r="B132" s="16" t="s">
        <v>794</v>
      </c>
      <c r="C132" s="14" t="s">
        <v>158</v>
      </c>
      <c r="D132" s="14" t="s">
        <v>159</v>
      </c>
      <c r="E132" s="14" t="s">
        <v>158</v>
      </c>
      <c r="F132" s="14" t="s">
        <v>2044</v>
      </c>
      <c r="G132" s="14" t="s">
        <v>2045</v>
      </c>
      <c r="H132" s="14" t="s">
        <v>131</v>
      </c>
      <c r="I132" s="14" t="s">
        <v>132</v>
      </c>
      <c r="J132" s="16">
        <f>COUNTIF($I$3:I132, I132)</f>
        <v>3</v>
      </c>
      <c r="K132" s="14" t="s">
        <v>2048</v>
      </c>
      <c r="L132" s="14" t="s">
        <v>2048</v>
      </c>
      <c r="M132" s="14" t="s">
        <v>2048</v>
      </c>
      <c r="N132" s="14" t="s">
        <v>2048</v>
      </c>
      <c r="O132" s="14" t="s">
        <v>2924</v>
      </c>
      <c r="P132" s="14" t="s">
        <v>795</v>
      </c>
      <c r="Q132" s="14" t="s">
        <v>72</v>
      </c>
      <c r="R132" s="14" t="s">
        <v>2048</v>
      </c>
      <c r="S132" s="14" t="s">
        <v>2048</v>
      </c>
      <c r="T132" s="14" t="s">
        <v>2048</v>
      </c>
      <c r="U132" s="14" t="s">
        <v>2048</v>
      </c>
      <c r="V132" s="14" t="s">
        <v>2050</v>
      </c>
      <c r="W132" s="14" t="s">
        <v>2048</v>
      </c>
      <c r="X132" s="14" t="s">
        <v>2048</v>
      </c>
      <c r="Y132" s="14" t="s">
        <v>2048</v>
      </c>
      <c r="Z132" s="14" t="s">
        <v>2048</v>
      </c>
      <c r="AA132" s="14" t="s">
        <v>2048</v>
      </c>
      <c r="AB132" s="14" t="s">
        <v>140</v>
      </c>
      <c r="AC132" s="14" t="s">
        <v>151</v>
      </c>
      <c r="AD132" s="14" t="s">
        <v>2442</v>
      </c>
      <c r="AE132" s="14" t="s">
        <v>2443</v>
      </c>
      <c r="AF132" s="14" t="s">
        <v>2055</v>
      </c>
      <c r="AG132" s="14" t="s">
        <v>2055</v>
      </c>
      <c r="AH132" s="14" t="s">
        <v>2055</v>
      </c>
      <c r="AI132" s="14" t="s">
        <v>2057</v>
      </c>
      <c r="AJ132" s="14" t="s">
        <v>87</v>
      </c>
      <c r="AK132" s="14" t="s">
        <v>2048</v>
      </c>
      <c r="AL132" s="14" t="s">
        <v>2048</v>
      </c>
      <c r="AM132" s="14" t="s">
        <v>2048</v>
      </c>
      <c r="AN132" s="14" t="s">
        <v>2443</v>
      </c>
      <c r="AO132" s="17" t="s">
        <v>89</v>
      </c>
      <c r="AP132" s="14" t="s">
        <v>2135</v>
      </c>
      <c r="AQ132" s="14" t="s">
        <v>2925</v>
      </c>
      <c r="AR132" s="14" t="s">
        <v>2926</v>
      </c>
      <c r="AS132" s="14" t="s">
        <v>2927</v>
      </c>
      <c r="AT132" s="14" t="s">
        <v>72</v>
      </c>
      <c r="AU132" s="14" t="s">
        <v>2448</v>
      </c>
      <c r="AV132" s="14" t="s">
        <v>2449</v>
      </c>
      <c r="AW132" s="14" t="s">
        <v>2048</v>
      </c>
      <c r="AX132" s="14" t="s">
        <v>2048</v>
      </c>
      <c r="AY132" s="14" t="s">
        <v>131</v>
      </c>
      <c r="AZ132" s="14" t="s">
        <v>622</v>
      </c>
      <c r="BA132" s="14" t="s">
        <v>2450</v>
      </c>
      <c r="BB132" s="14" t="s">
        <v>2048</v>
      </c>
      <c r="BC132" s="14" t="s">
        <v>2048</v>
      </c>
      <c r="BD132" s="14" t="s">
        <v>2048</v>
      </c>
      <c r="BE132" s="14" t="s">
        <v>2048</v>
      </c>
      <c r="BF132" s="14" t="s">
        <v>2452</v>
      </c>
      <c r="BG132" s="14" t="s">
        <v>2453</v>
      </c>
      <c r="BH132" s="14" t="s">
        <v>2454</v>
      </c>
      <c r="BI132" s="14" t="s">
        <v>2455</v>
      </c>
      <c r="BJ132" s="14" t="s">
        <v>2048</v>
      </c>
      <c r="BK132" s="14" t="s">
        <v>2048</v>
      </c>
      <c r="BL132" s="14" t="s">
        <v>2064</v>
      </c>
      <c r="BM132" s="14" t="s">
        <v>72</v>
      </c>
      <c r="BN132" s="14" t="s">
        <v>72</v>
      </c>
      <c r="BO132" s="14" t="s">
        <v>2928</v>
      </c>
      <c r="BP132" s="14" t="s">
        <v>2929</v>
      </c>
      <c r="BQ132" s="14" t="s">
        <v>2930</v>
      </c>
      <c r="BR132" s="14" t="s">
        <v>2331</v>
      </c>
      <c r="BS132" s="14" t="s">
        <v>2131</v>
      </c>
      <c r="BT132" s="14" t="s">
        <v>2048</v>
      </c>
      <c r="BU132" s="14" t="s">
        <v>2048</v>
      </c>
      <c r="BV132" s="14" t="s">
        <v>2048</v>
      </c>
      <c r="BW132" s="14" t="s">
        <v>2048</v>
      </c>
      <c r="BX132" s="14" t="s">
        <v>72</v>
      </c>
      <c r="BY132" s="14" t="s">
        <v>2048</v>
      </c>
      <c r="BZ132" s="14" t="s">
        <v>2048</v>
      </c>
      <c r="CA132" s="14" t="s">
        <v>2048</v>
      </c>
      <c r="CB132" s="14" t="s">
        <v>2048</v>
      </c>
      <c r="CC132" s="14" t="s">
        <v>2048</v>
      </c>
      <c r="CD132" s="14" t="s">
        <v>2048</v>
      </c>
      <c r="CE132" s="14" t="s">
        <v>2048</v>
      </c>
      <c r="CF132" s="14" t="s">
        <v>2048</v>
      </c>
      <c r="CG132" s="14" t="s">
        <v>2068</v>
      </c>
      <c r="CH132" s="14" t="s">
        <v>2069</v>
      </c>
      <c r="CI132" s="14" t="s">
        <v>2048</v>
      </c>
      <c r="CJ132" s="17"/>
      <c r="CK132" s="17">
        <v>45625</v>
      </c>
      <c r="CL132" s="17">
        <v>45625</v>
      </c>
      <c r="CM132" s="17">
        <v>2958465</v>
      </c>
      <c r="CN132" s="17"/>
      <c r="CO132" s="19">
        <v>0</v>
      </c>
      <c r="CP132" s="19">
        <v>0</v>
      </c>
      <c r="CQ132" s="19">
        <v>0</v>
      </c>
      <c r="CR132" s="19">
        <v>0</v>
      </c>
      <c r="CS132" s="19">
        <v>0</v>
      </c>
      <c r="CT132" s="19">
        <v>0</v>
      </c>
      <c r="CU132" s="19">
        <v>0</v>
      </c>
      <c r="CV132" s="17"/>
      <c r="CW132" s="19">
        <v>0</v>
      </c>
      <c r="CX132" s="17"/>
      <c r="CY132" s="17">
        <v>47086</v>
      </c>
      <c r="CZ132" s="19">
        <v>0</v>
      </c>
      <c r="DA132" s="17"/>
      <c r="DB132" s="17"/>
      <c r="DC132" s="19">
        <v>100</v>
      </c>
      <c r="DD132" s="17"/>
      <c r="DE132" s="17">
        <v>2958465</v>
      </c>
      <c r="DF132" s="17"/>
      <c r="DG132" s="17"/>
      <c r="DH132" s="19">
        <v>0</v>
      </c>
      <c r="DI132" s="19">
        <v>0</v>
      </c>
    </row>
    <row r="133" spans="1:113" x14ac:dyDescent="0.2">
      <c r="A133" s="14" t="s">
        <v>2315</v>
      </c>
      <c r="B133" s="16" t="s">
        <v>367</v>
      </c>
      <c r="C133" s="14" t="s">
        <v>158</v>
      </c>
      <c r="D133" s="14" t="s">
        <v>159</v>
      </c>
      <c r="E133" s="14" t="s">
        <v>158</v>
      </c>
      <c r="F133" s="14" t="s">
        <v>2044</v>
      </c>
      <c r="G133" s="14" t="s">
        <v>2045</v>
      </c>
      <c r="H133" s="14" t="s">
        <v>119</v>
      </c>
      <c r="I133" s="14" t="s">
        <v>120</v>
      </c>
      <c r="J133" s="16">
        <f>COUNTIF($I$3:I133, I133)</f>
        <v>10</v>
      </c>
      <c r="K133" s="14" t="s">
        <v>2048</v>
      </c>
      <c r="L133" s="14" t="s">
        <v>2048</v>
      </c>
      <c r="M133" s="14" t="s">
        <v>2048</v>
      </c>
      <c r="N133" s="14" t="s">
        <v>2048</v>
      </c>
      <c r="O133" s="14" t="s">
        <v>2931</v>
      </c>
      <c r="P133" s="14" t="s">
        <v>369</v>
      </c>
      <c r="Q133" s="14" t="s">
        <v>72</v>
      </c>
      <c r="R133" s="14" t="s">
        <v>2048</v>
      </c>
      <c r="S133" s="14" t="s">
        <v>2048</v>
      </c>
      <c r="T133" s="14" t="s">
        <v>2422</v>
      </c>
      <c r="U133" s="14" t="s">
        <v>2049</v>
      </c>
      <c r="V133" s="14" t="s">
        <v>2050</v>
      </c>
      <c r="W133" s="14" t="s">
        <v>2048</v>
      </c>
      <c r="X133" s="14" t="s">
        <v>2048</v>
      </c>
      <c r="Y133" s="14" t="s">
        <v>2048</v>
      </c>
      <c r="Z133" s="14" t="s">
        <v>2048</v>
      </c>
      <c r="AA133" s="14" t="s">
        <v>2048</v>
      </c>
      <c r="AB133" s="14" t="s">
        <v>140</v>
      </c>
      <c r="AC133" s="14" t="s">
        <v>151</v>
      </c>
      <c r="AD133" s="14" t="s">
        <v>2132</v>
      </c>
      <c r="AE133" s="14" t="s">
        <v>2133</v>
      </c>
      <c r="AF133" s="14" t="s">
        <v>2055</v>
      </c>
      <c r="AG133" s="14" t="s">
        <v>2055</v>
      </c>
      <c r="AH133" s="14" t="s">
        <v>2055</v>
      </c>
      <c r="AI133" s="14" t="s">
        <v>2057</v>
      </c>
      <c r="AJ133" s="14" t="s">
        <v>87</v>
      </c>
      <c r="AK133" s="14" t="s">
        <v>2048</v>
      </c>
      <c r="AL133" s="14" t="s">
        <v>2048</v>
      </c>
      <c r="AM133" s="14" t="s">
        <v>2048</v>
      </c>
      <c r="AN133" s="14" t="s">
        <v>2606</v>
      </c>
      <c r="AO133" s="17" t="s">
        <v>89</v>
      </c>
      <c r="AP133" s="14" t="s">
        <v>2135</v>
      </c>
      <c r="AQ133" s="14" t="s">
        <v>2932</v>
      </c>
      <c r="AR133" s="14" t="s">
        <v>2060</v>
      </c>
      <c r="AS133" s="14" t="s">
        <v>2048</v>
      </c>
      <c r="AT133" s="14" t="s">
        <v>2048</v>
      </c>
      <c r="AU133" s="14" t="s">
        <v>2933</v>
      </c>
      <c r="AV133" s="14" t="s">
        <v>2934</v>
      </c>
      <c r="AW133" s="14" t="s">
        <v>2048</v>
      </c>
      <c r="AX133" s="14" t="s">
        <v>2048</v>
      </c>
      <c r="AY133" s="14" t="s">
        <v>119</v>
      </c>
      <c r="AZ133" s="14" t="s">
        <v>368</v>
      </c>
      <c r="BA133" s="14" t="s">
        <v>2612</v>
      </c>
      <c r="BB133" s="14" t="s">
        <v>2048</v>
      </c>
      <c r="BC133" s="14" t="s">
        <v>2048</v>
      </c>
      <c r="BD133" s="14" t="s">
        <v>2433</v>
      </c>
      <c r="BE133" s="14" t="s">
        <v>2434</v>
      </c>
      <c r="BF133" s="14" t="s">
        <v>2613</v>
      </c>
      <c r="BG133" s="14" t="s">
        <v>2614</v>
      </c>
      <c r="BH133" s="14" t="s">
        <v>2615</v>
      </c>
      <c r="BI133" s="14" t="s">
        <v>2287</v>
      </c>
      <c r="BJ133" s="14" t="s">
        <v>2048</v>
      </c>
      <c r="BK133" s="14" t="s">
        <v>2048</v>
      </c>
      <c r="BL133" s="14" t="s">
        <v>2064</v>
      </c>
      <c r="BM133" s="14" t="s">
        <v>72</v>
      </c>
      <c r="BN133" s="14" t="s">
        <v>72</v>
      </c>
      <c r="BO133" s="14" t="s">
        <v>2935</v>
      </c>
      <c r="BP133" s="14" t="s">
        <v>2048</v>
      </c>
      <c r="BQ133" s="14" t="s">
        <v>2048</v>
      </c>
      <c r="BR133" s="14" t="s">
        <v>2331</v>
      </c>
      <c r="BS133" s="14" t="s">
        <v>2131</v>
      </c>
      <c r="BT133" s="14" t="s">
        <v>2048</v>
      </c>
      <c r="BU133" s="14" t="s">
        <v>2048</v>
      </c>
      <c r="BV133" s="14" t="s">
        <v>2048</v>
      </c>
      <c r="BW133" s="14" t="s">
        <v>2048</v>
      </c>
      <c r="BX133" s="14" t="s">
        <v>72</v>
      </c>
      <c r="BY133" s="14" t="s">
        <v>2048</v>
      </c>
      <c r="BZ133" s="14" t="s">
        <v>2048</v>
      </c>
      <c r="CA133" s="14" t="s">
        <v>2048</v>
      </c>
      <c r="CB133" s="14" t="s">
        <v>2048</v>
      </c>
      <c r="CC133" s="14" t="s">
        <v>2048</v>
      </c>
      <c r="CD133" s="14" t="s">
        <v>2048</v>
      </c>
      <c r="CE133" s="14" t="s">
        <v>2048</v>
      </c>
      <c r="CF133" s="14" t="s">
        <v>2048</v>
      </c>
      <c r="CG133" s="14" t="s">
        <v>2068</v>
      </c>
      <c r="CH133" s="14" t="s">
        <v>2069</v>
      </c>
      <c r="CI133" s="14" t="s">
        <v>2048</v>
      </c>
      <c r="CJ133" s="17"/>
      <c r="CK133" s="17">
        <v>45622</v>
      </c>
      <c r="CL133" s="17">
        <v>45622</v>
      </c>
      <c r="CM133" s="17">
        <v>2958465</v>
      </c>
      <c r="CN133" s="17"/>
      <c r="CO133" s="19">
        <v>0</v>
      </c>
      <c r="CP133" s="19">
        <v>0</v>
      </c>
      <c r="CQ133" s="19">
        <v>0</v>
      </c>
      <c r="CR133" s="19">
        <v>0</v>
      </c>
      <c r="CS133" s="19">
        <v>0</v>
      </c>
      <c r="CT133" s="19">
        <v>0</v>
      </c>
      <c r="CU133" s="19">
        <v>0</v>
      </c>
      <c r="CV133" s="17"/>
      <c r="CW133" s="19">
        <v>0</v>
      </c>
      <c r="CX133" s="17"/>
      <c r="CY133" s="17">
        <v>47083</v>
      </c>
      <c r="CZ133" s="19">
        <v>0</v>
      </c>
      <c r="DA133" s="17"/>
      <c r="DB133" s="17"/>
      <c r="DC133" s="19">
        <v>100</v>
      </c>
      <c r="DD133" s="17"/>
      <c r="DE133" s="17">
        <v>2958465</v>
      </c>
      <c r="DF133" s="17"/>
      <c r="DG133" s="17"/>
      <c r="DH133" s="19">
        <v>0</v>
      </c>
      <c r="DI133" s="19">
        <v>0</v>
      </c>
    </row>
    <row r="134" spans="1:113" x14ac:dyDescent="0.2">
      <c r="A134" s="14" t="s">
        <v>2315</v>
      </c>
      <c r="B134" s="16" t="s">
        <v>150</v>
      </c>
      <c r="C134" s="14" t="s">
        <v>158</v>
      </c>
      <c r="D134" s="14" t="s">
        <v>159</v>
      </c>
      <c r="E134" s="14" t="s">
        <v>158</v>
      </c>
      <c r="F134" s="14" t="s">
        <v>2044</v>
      </c>
      <c r="G134" s="14" t="s">
        <v>2045</v>
      </c>
      <c r="H134" s="14" t="s">
        <v>119</v>
      </c>
      <c r="I134" s="14" t="s">
        <v>120</v>
      </c>
      <c r="J134" s="16">
        <f>COUNTIF($I$3:I134, I134)</f>
        <v>11</v>
      </c>
      <c r="K134" s="14" t="s">
        <v>2048</v>
      </c>
      <c r="L134" s="14" t="s">
        <v>2048</v>
      </c>
      <c r="M134" s="14" t="s">
        <v>2048</v>
      </c>
      <c r="N134" s="14" t="s">
        <v>2048</v>
      </c>
      <c r="O134" s="14" t="s">
        <v>2936</v>
      </c>
      <c r="P134" s="14" t="s">
        <v>153</v>
      </c>
      <c r="Q134" s="14" t="s">
        <v>72</v>
      </c>
      <c r="R134" s="14" t="s">
        <v>2048</v>
      </c>
      <c r="S134" s="14" t="s">
        <v>2048</v>
      </c>
      <c r="T134" s="14" t="s">
        <v>2422</v>
      </c>
      <c r="U134" s="14" t="s">
        <v>2049</v>
      </c>
      <c r="V134" s="14" t="s">
        <v>2050</v>
      </c>
      <c r="W134" s="14" t="s">
        <v>2048</v>
      </c>
      <c r="X134" s="14" t="s">
        <v>2048</v>
      </c>
      <c r="Y134" s="14" t="s">
        <v>2048</v>
      </c>
      <c r="Z134" s="14" t="s">
        <v>2048</v>
      </c>
      <c r="AA134" s="14" t="s">
        <v>2048</v>
      </c>
      <c r="AB134" s="14" t="s">
        <v>140</v>
      </c>
      <c r="AC134" s="14" t="s">
        <v>151</v>
      </c>
      <c r="AD134" s="14" t="s">
        <v>2132</v>
      </c>
      <c r="AE134" s="14" t="s">
        <v>2133</v>
      </c>
      <c r="AF134" s="14" t="s">
        <v>2055</v>
      </c>
      <c r="AG134" s="14" t="s">
        <v>2055</v>
      </c>
      <c r="AH134" s="14" t="s">
        <v>2055</v>
      </c>
      <c r="AI134" s="14" t="s">
        <v>2057</v>
      </c>
      <c r="AJ134" s="14" t="s">
        <v>87</v>
      </c>
      <c r="AK134" s="14" t="s">
        <v>2048</v>
      </c>
      <c r="AL134" s="14" t="s">
        <v>2048</v>
      </c>
      <c r="AM134" s="14" t="s">
        <v>2048</v>
      </c>
      <c r="AN134" s="14" t="s">
        <v>2427</v>
      </c>
      <c r="AO134" s="17" t="s">
        <v>89</v>
      </c>
      <c r="AP134" s="14" t="s">
        <v>2135</v>
      </c>
      <c r="AQ134" s="14" t="s">
        <v>248</v>
      </c>
      <c r="AR134" s="14" t="s">
        <v>2937</v>
      </c>
      <c r="AS134" s="14" t="s">
        <v>2938</v>
      </c>
      <c r="AT134" s="14" t="s">
        <v>72</v>
      </c>
      <c r="AU134" s="14" t="s">
        <v>2573</v>
      </c>
      <c r="AV134" s="14" t="s">
        <v>2574</v>
      </c>
      <c r="AW134" s="14" t="s">
        <v>2048</v>
      </c>
      <c r="AX134" s="14" t="s">
        <v>2048</v>
      </c>
      <c r="AY134" s="14" t="s">
        <v>119</v>
      </c>
      <c r="AZ134" s="14" t="s">
        <v>152</v>
      </c>
      <c r="BA134" s="14" t="s">
        <v>2575</v>
      </c>
      <c r="BB134" s="14" t="s">
        <v>2048</v>
      </c>
      <c r="BC134" s="14" t="s">
        <v>2048</v>
      </c>
      <c r="BD134" s="14" t="s">
        <v>2576</v>
      </c>
      <c r="BE134" s="14" t="s">
        <v>2577</v>
      </c>
      <c r="BF134" s="14" t="s">
        <v>2578</v>
      </c>
      <c r="BG134" s="14" t="s">
        <v>2579</v>
      </c>
      <c r="BH134" s="14" t="s">
        <v>2580</v>
      </c>
      <c r="BI134" s="14" t="s">
        <v>2287</v>
      </c>
      <c r="BJ134" s="14" t="s">
        <v>2048</v>
      </c>
      <c r="BK134" s="14" t="s">
        <v>2048</v>
      </c>
      <c r="BL134" s="14" t="s">
        <v>2064</v>
      </c>
      <c r="BM134" s="14" t="s">
        <v>72</v>
      </c>
      <c r="BN134" s="14" t="s">
        <v>72</v>
      </c>
      <c r="BO134" s="14" t="s">
        <v>2939</v>
      </c>
      <c r="BP134" s="14" t="s">
        <v>2439</v>
      </c>
      <c r="BQ134" s="14" t="s">
        <v>2427</v>
      </c>
      <c r="BR134" s="14" t="s">
        <v>2331</v>
      </c>
      <c r="BS134" s="14" t="s">
        <v>2131</v>
      </c>
      <c r="BT134" s="14" t="s">
        <v>2048</v>
      </c>
      <c r="BU134" s="14" t="s">
        <v>2048</v>
      </c>
      <c r="BV134" s="14" t="s">
        <v>2048</v>
      </c>
      <c r="BW134" s="14" t="s">
        <v>2048</v>
      </c>
      <c r="BX134" s="14" t="s">
        <v>72</v>
      </c>
      <c r="BY134" s="14" t="s">
        <v>2048</v>
      </c>
      <c r="BZ134" s="14" t="s">
        <v>2048</v>
      </c>
      <c r="CA134" s="14" t="s">
        <v>2048</v>
      </c>
      <c r="CB134" s="14" t="s">
        <v>2048</v>
      </c>
      <c r="CC134" s="14" t="s">
        <v>2048</v>
      </c>
      <c r="CD134" s="14" t="s">
        <v>2048</v>
      </c>
      <c r="CE134" s="14" t="s">
        <v>2048</v>
      </c>
      <c r="CF134" s="14" t="s">
        <v>2048</v>
      </c>
      <c r="CG134" s="14" t="s">
        <v>2068</v>
      </c>
      <c r="CH134" s="14" t="s">
        <v>2069</v>
      </c>
      <c r="CI134" s="14" t="s">
        <v>2048</v>
      </c>
      <c r="CJ134" s="17"/>
      <c r="CK134" s="17">
        <v>45622</v>
      </c>
      <c r="CL134" s="17">
        <v>45622</v>
      </c>
      <c r="CM134" s="17">
        <v>2958465</v>
      </c>
      <c r="CN134" s="17"/>
      <c r="CO134" s="19">
        <v>0</v>
      </c>
      <c r="CP134" s="19">
        <v>0</v>
      </c>
      <c r="CQ134" s="19">
        <v>0</v>
      </c>
      <c r="CR134" s="19">
        <v>0</v>
      </c>
      <c r="CS134" s="19">
        <v>0</v>
      </c>
      <c r="CT134" s="19">
        <v>0</v>
      </c>
      <c r="CU134" s="19">
        <v>0</v>
      </c>
      <c r="CV134" s="17"/>
      <c r="CW134" s="19">
        <v>0</v>
      </c>
      <c r="CX134" s="17"/>
      <c r="CY134" s="17">
        <v>47083</v>
      </c>
      <c r="CZ134" s="19">
        <v>0</v>
      </c>
      <c r="DA134" s="17"/>
      <c r="DB134" s="17"/>
      <c r="DC134" s="19">
        <v>60</v>
      </c>
      <c r="DD134" s="17"/>
      <c r="DE134" s="17">
        <v>2958465</v>
      </c>
      <c r="DF134" s="17"/>
      <c r="DG134" s="17"/>
      <c r="DH134" s="19">
        <v>0</v>
      </c>
      <c r="DI134" s="19">
        <v>0</v>
      </c>
    </row>
    <row r="135" spans="1:113" x14ac:dyDescent="0.2">
      <c r="A135" s="14" t="s">
        <v>2315</v>
      </c>
      <c r="B135" s="16" t="s">
        <v>1392</v>
      </c>
      <c r="C135" s="14" t="s">
        <v>158</v>
      </c>
      <c r="D135" s="14" t="s">
        <v>159</v>
      </c>
      <c r="E135" s="14" t="s">
        <v>158</v>
      </c>
      <c r="F135" s="14" t="s">
        <v>2044</v>
      </c>
      <c r="G135" s="14" t="s">
        <v>2045</v>
      </c>
      <c r="H135" s="14" t="s">
        <v>131</v>
      </c>
      <c r="I135" s="14" t="s">
        <v>132</v>
      </c>
      <c r="J135" s="16">
        <f>COUNTIF($I$3:I135, I135)</f>
        <v>4</v>
      </c>
      <c r="K135" s="14" t="s">
        <v>2048</v>
      </c>
      <c r="L135" s="14" t="s">
        <v>2048</v>
      </c>
      <c r="M135" s="14" t="s">
        <v>2048</v>
      </c>
      <c r="N135" s="14" t="s">
        <v>2048</v>
      </c>
      <c r="O135" s="14" t="s">
        <v>2940</v>
      </c>
      <c r="P135" s="14" t="s">
        <v>2941</v>
      </c>
      <c r="Q135" s="14" t="s">
        <v>72</v>
      </c>
      <c r="R135" s="14" t="s">
        <v>2048</v>
      </c>
      <c r="S135" s="14" t="s">
        <v>2048</v>
      </c>
      <c r="T135" s="14" t="s">
        <v>2048</v>
      </c>
      <c r="U135" s="14" t="s">
        <v>2048</v>
      </c>
      <c r="V135" s="14" t="s">
        <v>2050</v>
      </c>
      <c r="W135" s="14" t="s">
        <v>2048</v>
      </c>
      <c r="X135" s="14" t="s">
        <v>2048</v>
      </c>
      <c r="Y135" s="14" t="s">
        <v>2048</v>
      </c>
      <c r="Z135" s="14" t="s">
        <v>2048</v>
      </c>
      <c r="AA135" s="14" t="s">
        <v>2048</v>
      </c>
      <c r="AB135" s="14" t="s">
        <v>140</v>
      </c>
      <c r="AC135" s="14" t="s">
        <v>151</v>
      </c>
      <c r="AD135" s="14" t="s">
        <v>2442</v>
      </c>
      <c r="AE135" s="14" t="s">
        <v>2443</v>
      </c>
      <c r="AF135" s="14" t="s">
        <v>2055</v>
      </c>
      <c r="AG135" s="14" t="s">
        <v>2055</v>
      </c>
      <c r="AH135" s="14" t="s">
        <v>2055</v>
      </c>
      <c r="AI135" s="14" t="s">
        <v>2057</v>
      </c>
      <c r="AJ135" s="14" t="s">
        <v>87</v>
      </c>
      <c r="AK135" s="14" t="s">
        <v>2048</v>
      </c>
      <c r="AL135" s="14" t="s">
        <v>2048</v>
      </c>
      <c r="AM135" s="14" t="s">
        <v>2048</v>
      </c>
      <c r="AN135" s="14" t="s">
        <v>2443</v>
      </c>
      <c r="AO135" s="17" t="s">
        <v>89</v>
      </c>
      <c r="AP135" s="14" t="s">
        <v>2135</v>
      </c>
      <c r="AQ135" s="14" t="s">
        <v>2942</v>
      </c>
      <c r="AR135" s="14" t="s">
        <v>2943</v>
      </c>
      <c r="AS135" s="14" t="s">
        <v>2944</v>
      </c>
      <c r="AT135" s="14" t="s">
        <v>72</v>
      </c>
      <c r="AU135" s="14" t="s">
        <v>2448</v>
      </c>
      <c r="AV135" s="14" t="s">
        <v>2449</v>
      </c>
      <c r="AW135" s="14" t="s">
        <v>2048</v>
      </c>
      <c r="AX135" s="14" t="s">
        <v>2048</v>
      </c>
      <c r="AY135" s="14" t="s">
        <v>131</v>
      </c>
      <c r="AZ135" s="14" t="s">
        <v>135</v>
      </c>
      <c r="BA135" s="14" t="s">
        <v>2945</v>
      </c>
      <c r="BB135" s="14" t="s">
        <v>2048</v>
      </c>
      <c r="BC135" s="14" t="s">
        <v>2048</v>
      </c>
      <c r="BD135" s="14" t="s">
        <v>2048</v>
      </c>
      <c r="BE135" s="14" t="s">
        <v>2048</v>
      </c>
      <c r="BF135" s="14" t="s">
        <v>2946</v>
      </c>
      <c r="BG135" s="14" t="s">
        <v>2947</v>
      </c>
      <c r="BH135" s="14" t="s">
        <v>2948</v>
      </c>
      <c r="BI135" s="14" t="s">
        <v>2455</v>
      </c>
      <c r="BJ135" s="14" t="s">
        <v>2048</v>
      </c>
      <c r="BK135" s="14" t="s">
        <v>2048</v>
      </c>
      <c r="BL135" s="14" t="s">
        <v>2064</v>
      </c>
      <c r="BM135" s="14" t="s">
        <v>72</v>
      </c>
      <c r="BN135" s="14" t="s">
        <v>72</v>
      </c>
      <c r="BO135" s="14" t="s">
        <v>2949</v>
      </c>
      <c r="BP135" s="14" t="s">
        <v>2457</v>
      </c>
      <c r="BQ135" s="14" t="s">
        <v>2458</v>
      </c>
      <c r="BR135" s="14" t="s">
        <v>2331</v>
      </c>
      <c r="BS135" s="14" t="s">
        <v>2131</v>
      </c>
      <c r="BT135" s="14" t="s">
        <v>2048</v>
      </c>
      <c r="BU135" s="14" t="s">
        <v>2048</v>
      </c>
      <c r="BV135" s="14" t="s">
        <v>2048</v>
      </c>
      <c r="BW135" s="14" t="s">
        <v>2048</v>
      </c>
      <c r="BX135" s="14" t="s">
        <v>72</v>
      </c>
      <c r="BY135" s="14" t="s">
        <v>2048</v>
      </c>
      <c r="BZ135" s="14" t="s">
        <v>2048</v>
      </c>
      <c r="CA135" s="14" t="s">
        <v>2048</v>
      </c>
      <c r="CB135" s="14" t="s">
        <v>2048</v>
      </c>
      <c r="CC135" s="14" t="s">
        <v>2048</v>
      </c>
      <c r="CD135" s="14" t="s">
        <v>2048</v>
      </c>
      <c r="CE135" s="14" t="s">
        <v>2048</v>
      </c>
      <c r="CF135" s="14" t="s">
        <v>2048</v>
      </c>
      <c r="CG135" s="14" t="s">
        <v>2068</v>
      </c>
      <c r="CH135" s="14" t="s">
        <v>2069</v>
      </c>
      <c r="CI135" s="14" t="s">
        <v>2048</v>
      </c>
      <c r="CJ135" s="17"/>
      <c r="CK135" s="17">
        <v>45625</v>
      </c>
      <c r="CL135" s="17">
        <v>45625</v>
      </c>
      <c r="CM135" s="17">
        <v>2958465</v>
      </c>
      <c r="CN135" s="17"/>
      <c r="CO135" s="19">
        <v>0</v>
      </c>
      <c r="CP135" s="19">
        <v>0</v>
      </c>
      <c r="CQ135" s="19">
        <v>0</v>
      </c>
      <c r="CR135" s="19">
        <v>0</v>
      </c>
      <c r="CS135" s="19">
        <v>0</v>
      </c>
      <c r="CT135" s="19">
        <v>0</v>
      </c>
      <c r="CU135" s="19">
        <v>0</v>
      </c>
      <c r="CV135" s="17"/>
      <c r="CW135" s="19">
        <v>0</v>
      </c>
      <c r="CX135" s="17"/>
      <c r="CY135" s="17">
        <v>47086</v>
      </c>
      <c r="CZ135" s="19">
        <v>0</v>
      </c>
      <c r="DA135" s="17"/>
      <c r="DB135" s="17"/>
      <c r="DC135" s="19">
        <v>100</v>
      </c>
      <c r="DD135" s="17"/>
      <c r="DE135" s="17">
        <v>2958465</v>
      </c>
      <c r="DF135" s="17"/>
      <c r="DG135" s="17"/>
      <c r="DH135" s="19">
        <v>0</v>
      </c>
      <c r="DI135" s="19">
        <v>0</v>
      </c>
    </row>
    <row r="136" spans="1:113" x14ac:dyDescent="0.2">
      <c r="A136" s="14" t="s">
        <v>2315</v>
      </c>
      <c r="B136" s="16" t="s">
        <v>361</v>
      </c>
      <c r="C136" s="14" t="s">
        <v>158</v>
      </c>
      <c r="D136" s="14" t="s">
        <v>159</v>
      </c>
      <c r="E136" s="14" t="s">
        <v>158</v>
      </c>
      <c r="F136" s="14" t="s">
        <v>2044</v>
      </c>
      <c r="G136" s="14" t="s">
        <v>2045</v>
      </c>
      <c r="H136" s="14" t="s">
        <v>131</v>
      </c>
      <c r="I136" s="14" t="s">
        <v>132</v>
      </c>
      <c r="J136" s="16">
        <f>COUNTIF($I$3:I136, I136)</f>
        <v>5</v>
      </c>
      <c r="K136" s="14" t="s">
        <v>2048</v>
      </c>
      <c r="L136" s="14" t="s">
        <v>2048</v>
      </c>
      <c r="M136" s="14" t="s">
        <v>2048</v>
      </c>
      <c r="N136" s="14" t="s">
        <v>2048</v>
      </c>
      <c r="O136" s="14" t="s">
        <v>2950</v>
      </c>
      <c r="P136" s="14" t="s">
        <v>362</v>
      </c>
      <c r="Q136" s="14" t="s">
        <v>72</v>
      </c>
      <c r="R136" s="14" t="s">
        <v>2048</v>
      </c>
      <c r="S136" s="14" t="s">
        <v>2048</v>
      </c>
      <c r="T136" s="14" t="s">
        <v>2048</v>
      </c>
      <c r="U136" s="14" t="s">
        <v>2048</v>
      </c>
      <c r="V136" s="14" t="s">
        <v>2050</v>
      </c>
      <c r="W136" s="14" t="s">
        <v>2048</v>
      </c>
      <c r="X136" s="14" t="s">
        <v>2048</v>
      </c>
      <c r="Y136" s="14" t="s">
        <v>2048</v>
      </c>
      <c r="Z136" s="14" t="s">
        <v>2048</v>
      </c>
      <c r="AA136" s="14" t="s">
        <v>2048</v>
      </c>
      <c r="AB136" s="14" t="s">
        <v>140</v>
      </c>
      <c r="AC136" s="14" t="s">
        <v>151</v>
      </c>
      <c r="AD136" s="14" t="s">
        <v>2442</v>
      </c>
      <c r="AE136" s="14" t="s">
        <v>2443</v>
      </c>
      <c r="AF136" s="14" t="s">
        <v>2055</v>
      </c>
      <c r="AG136" s="14" t="s">
        <v>2055</v>
      </c>
      <c r="AH136" s="14" t="s">
        <v>2055</v>
      </c>
      <c r="AI136" s="14" t="s">
        <v>2057</v>
      </c>
      <c r="AJ136" s="14" t="s">
        <v>87</v>
      </c>
      <c r="AK136" s="14" t="s">
        <v>2048</v>
      </c>
      <c r="AL136" s="14" t="s">
        <v>2048</v>
      </c>
      <c r="AM136" s="14" t="s">
        <v>2048</v>
      </c>
      <c r="AN136" s="14" t="s">
        <v>2443</v>
      </c>
      <c r="AO136" s="17" t="s">
        <v>89</v>
      </c>
      <c r="AP136" s="14" t="s">
        <v>2135</v>
      </c>
      <c r="AQ136" s="14" t="s">
        <v>2951</v>
      </c>
      <c r="AR136" s="14" t="s">
        <v>2952</v>
      </c>
      <c r="AS136" s="14" t="s">
        <v>2953</v>
      </c>
      <c r="AT136" s="14" t="s">
        <v>72</v>
      </c>
      <c r="AU136" s="14" t="s">
        <v>2448</v>
      </c>
      <c r="AV136" s="14" t="s">
        <v>2449</v>
      </c>
      <c r="AW136" s="14" t="s">
        <v>2048</v>
      </c>
      <c r="AX136" s="14" t="s">
        <v>2048</v>
      </c>
      <c r="AY136" s="14" t="s">
        <v>131</v>
      </c>
      <c r="AZ136" s="14" t="s">
        <v>135</v>
      </c>
      <c r="BA136" s="14" t="s">
        <v>2945</v>
      </c>
      <c r="BB136" s="14" t="s">
        <v>2048</v>
      </c>
      <c r="BC136" s="14" t="s">
        <v>2048</v>
      </c>
      <c r="BD136" s="14" t="s">
        <v>2048</v>
      </c>
      <c r="BE136" s="14" t="s">
        <v>2048</v>
      </c>
      <c r="BF136" s="14" t="s">
        <v>2946</v>
      </c>
      <c r="BG136" s="14" t="s">
        <v>2947</v>
      </c>
      <c r="BH136" s="14" t="s">
        <v>2948</v>
      </c>
      <c r="BI136" s="14" t="s">
        <v>2455</v>
      </c>
      <c r="BJ136" s="14" t="s">
        <v>2048</v>
      </c>
      <c r="BK136" s="14" t="s">
        <v>2048</v>
      </c>
      <c r="BL136" s="14" t="s">
        <v>2064</v>
      </c>
      <c r="BM136" s="14" t="s">
        <v>72</v>
      </c>
      <c r="BN136" s="14" t="s">
        <v>72</v>
      </c>
      <c r="BO136" s="14" t="s">
        <v>2954</v>
      </c>
      <c r="BP136" s="14" t="s">
        <v>2457</v>
      </c>
      <c r="BQ136" s="14" t="s">
        <v>2458</v>
      </c>
      <c r="BR136" s="14" t="s">
        <v>2331</v>
      </c>
      <c r="BS136" s="14" t="s">
        <v>2131</v>
      </c>
      <c r="BT136" s="14" t="s">
        <v>2048</v>
      </c>
      <c r="BU136" s="14" t="s">
        <v>2048</v>
      </c>
      <c r="BV136" s="14" t="s">
        <v>2048</v>
      </c>
      <c r="BW136" s="14" t="s">
        <v>2048</v>
      </c>
      <c r="BX136" s="14" t="s">
        <v>72</v>
      </c>
      <c r="BY136" s="14" t="s">
        <v>2048</v>
      </c>
      <c r="BZ136" s="14" t="s">
        <v>2048</v>
      </c>
      <c r="CA136" s="14" t="s">
        <v>2048</v>
      </c>
      <c r="CB136" s="14" t="s">
        <v>2048</v>
      </c>
      <c r="CC136" s="14" t="s">
        <v>2048</v>
      </c>
      <c r="CD136" s="14" t="s">
        <v>2048</v>
      </c>
      <c r="CE136" s="14" t="s">
        <v>2048</v>
      </c>
      <c r="CF136" s="14" t="s">
        <v>2048</v>
      </c>
      <c r="CG136" s="14" t="s">
        <v>2068</v>
      </c>
      <c r="CH136" s="14" t="s">
        <v>2069</v>
      </c>
      <c r="CI136" s="14" t="s">
        <v>2048</v>
      </c>
      <c r="CJ136" s="17"/>
      <c r="CK136" s="17">
        <v>45625</v>
      </c>
      <c r="CL136" s="17">
        <v>45625</v>
      </c>
      <c r="CM136" s="17">
        <v>2958465</v>
      </c>
      <c r="CN136" s="17"/>
      <c r="CO136" s="19">
        <v>0</v>
      </c>
      <c r="CP136" s="19">
        <v>0</v>
      </c>
      <c r="CQ136" s="19">
        <v>0</v>
      </c>
      <c r="CR136" s="19">
        <v>0</v>
      </c>
      <c r="CS136" s="19">
        <v>0</v>
      </c>
      <c r="CT136" s="19">
        <v>0</v>
      </c>
      <c r="CU136" s="19">
        <v>0</v>
      </c>
      <c r="CV136" s="17"/>
      <c r="CW136" s="19">
        <v>0</v>
      </c>
      <c r="CX136" s="17"/>
      <c r="CY136" s="17">
        <v>47086</v>
      </c>
      <c r="CZ136" s="19">
        <v>0</v>
      </c>
      <c r="DA136" s="17"/>
      <c r="DB136" s="17"/>
      <c r="DC136" s="19">
        <v>100</v>
      </c>
      <c r="DD136" s="17"/>
      <c r="DE136" s="17">
        <v>2958465</v>
      </c>
      <c r="DF136" s="17"/>
      <c r="DG136" s="17"/>
      <c r="DH136" s="19">
        <v>0</v>
      </c>
      <c r="DI136" s="19">
        <v>0</v>
      </c>
    </row>
    <row r="137" spans="1:113" x14ac:dyDescent="0.2">
      <c r="A137" s="14" t="s">
        <v>2315</v>
      </c>
      <c r="B137" s="16" t="s">
        <v>244</v>
      </c>
      <c r="C137" s="14" t="s">
        <v>158</v>
      </c>
      <c r="D137" s="14" t="s">
        <v>159</v>
      </c>
      <c r="E137" s="14" t="s">
        <v>158</v>
      </c>
      <c r="F137" s="14" t="s">
        <v>2044</v>
      </c>
      <c r="G137" s="14" t="s">
        <v>2045</v>
      </c>
      <c r="H137" s="14" t="s">
        <v>119</v>
      </c>
      <c r="I137" s="14" t="s">
        <v>120</v>
      </c>
      <c r="J137" s="16">
        <f>COUNTIF($I$3:I137, I137)</f>
        <v>12</v>
      </c>
      <c r="K137" s="14" t="s">
        <v>2048</v>
      </c>
      <c r="L137" s="14" t="s">
        <v>2048</v>
      </c>
      <c r="M137" s="14" t="s">
        <v>2048</v>
      </c>
      <c r="N137" s="14" t="s">
        <v>2048</v>
      </c>
      <c r="O137" s="14" t="s">
        <v>2955</v>
      </c>
      <c r="P137" s="14" t="s">
        <v>245</v>
      </c>
      <c r="Q137" s="14" t="s">
        <v>72</v>
      </c>
      <c r="R137" s="14" t="s">
        <v>2048</v>
      </c>
      <c r="S137" s="14" t="s">
        <v>2048</v>
      </c>
      <c r="T137" s="14" t="s">
        <v>2422</v>
      </c>
      <c r="U137" s="14" t="s">
        <v>2049</v>
      </c>
      <c r="V137" s="14" t="s">
        <v>2050</v>
      </c>
      <c r="W137" s="14" t="s">
        <v>2048</v>
      </c>
      <c r="X137" s="14" t="s">
        <v>2048</v>
      </c>
      <c r="Y137" s="14" t="s">
        <v>2048</v>
      </c>
      <c r="Z137" s="14" t="s">
        <v>2048</v>
      </c>
      <c r="AA137" s="14" t="s">
        <v>2048</v>
      </c>
      <c r="AB137" s="14" t="s">
        <v>140</v>
      </c>
      <c r="AC137" s="14" t="s">
        <v>151</v>
      </c>
      <c r="AD137" s="14" t="s">
        <v>2132</v>
      </c>
      <c r="AE137" s="14" t="s">
        <v>2133</v>
      </c>
      <c r="AF137" s="14" t="s">
        <v>2055</v>
      </c>
      <c r="AG137" s="14" t="s">
        <v>2055</v>
      </c>
      <c r="AH137" s="14" t="s">
        <v>2055</v>
      </c>
      <c r="AI137" s="14" t="s">
        <v>2057</v>
      </c>
      <c r="AJ137" s="14" t="s">
        <v>87</v>
      </c>
      <c r="AK137" s="14" t="s">
        <v>2048</v>
      </c>
      <c r="AL137" s="14" t="s">
        <v>2048</v>
      </c>
      <c r="AM137" s="14" t="s">
        <v>2048</v>
      </c>
      <c r="AN137" s="14" t="s">
        <v>2956</v>
      </c>
      <c r="AO137" s="17" t="s">
        <v>89</v>
      </c>
      <c r="AP137" s="14" t="s">
        <v>2135</v>
      </c>
      <c r="AQ137" s="14" t="s">
        <v>2957</v>
      </c>
      <c r="AR137" s="14" t="s">
        <v>2958</v>
      </c>
      <c r="AS137" s="14" t="s">
        <v>2959</v>
      </c>
      <c r="AT137" s="14" t="s">
        <v>72</v>
      </c>
      <c r="AU137" s="14" t="s">
        <v>2573</v>
      </c>
      <c r="AV137" s="14" t="s">
        <v>2574</v>
      </c>
      <c r="AW137" s="14" t="s">
        <v>2048</v>
      </c>
      <c r="AX137" s="14" t="s">
        <v>2048</v>
      </c>
      <c r="AY137" s="14" t="s">
        <v>119</v>
      </c>
      <c r="AZ137" s="14" t="s">
        <v>223</v>
      </c>
      <c r="BA137" s="14" t="s">
        <v>2960</v>
      </c>
      <c r="BB137" s="14" t="s">
        <v>2048</v>
      </c>
      <c r="BC137" s="14" t="s">
        <v>2048</v>
      </c>
      <c r="BD137" s="14" t="s">
        <v>2576</v>
      </c>
      <c r="BE137" s="14" t="s">
        <v>2577</v>
      </c>
      <c r="BF137" s="14" t="s">
        <v>2961</v>
      </c>
      <c r="BG137" s="14" t="s">
        <v>2962</v>
      </c>
      <c r="BH137" s="14" t="s">
        <v>2963</v>
      </c>
      <c r="BI137" s="14" t="s">
        <v>2287</v>
      </c>
      <c r="BJ137" s="14" t="s">
        <v>2048</v>
      </c>
      <c r="BK137" s="14" t="s">
        <v>2048</v>
      </c>
      <c r="BL137" s="14" t="s">
        <v>2064</v>
      </c>
      <c r="BM137" s="14" t="s">
        <v>72</v>
      </c>
      <c r="BN137" s="14" t="s">
        <v>72</v>
      </c>
      <c r="BO137" s="14" t="s">
        <v>2964</v>
      </c>
      <c r="BP137" s="14" t="s">
        <v>2965</v>
      </c>
      <c r="BQ137" s="14" t="s">
        <v>2966</v>
      </c>
      <c r="BR137" s="14" t="s">
        <v>2331</v>
      </c>
      <c r="BS137" s="14" t="s">
        <v>2131</v>
      </c>
      <c r="BT137" s="14" t="s">
        <v>2048</v>
      </c>
      <c r="BU137" s="14" t="s">
        <v>2048</v>
      </c>
      <c r="BV137" s="14" t="s">
        <v>2048</v>
      </c>
      <c r="BW137" s="14" t="s">
        <v>2048</v>
      </c>
      <c r="BX137" s="14" t="s">
        <v>72</v>
      </c>
      <c r="BY137" s="14" t="s">
        <v>72</v>
      </c>
      <c r="BZ137" s="14" t="s">
        <v>2048</v>
      </c>
      <c r="CA137" s="14" t="s">
        <v>2048</v>
      </c>
      <c r="CB137" s="14" t="s">
        <v>2048</v>
      </c>
      <c r="CC137" s="14" t="s">
        <v>2048</v>
      </c>
      <c r="CD137" s="14" t="s">
        <v>2048</v>
      </c>
      <c r="CE137" s="14" t="s">
        <v>2048</v>
      </c>
      <c r="CF137" s="14" t="s">
        <v>2048</v>
      </c>
      <c r="CG137" s="14" t="s">
        <v>2068</v>
      </c>
      <c r="CH137" s="14" t="s">
        <v>2069</v>
      </c>
      <c r="CI137" s="14" t="s">
        <v>2048</v>
      </c>
      <c r="CJ137" s="17"/>
      <c r="CK137" s="17">
        <v>45622</v>
      </c>
      <c r="CL137" s="17">
        <v>45622</v>
      </c>
      <c r="CM137" s="17">
        <v>2958465</v>
      </c>
      <c r="CN137" s="17"/>
      <c r="CO137" s="19">
        <v>0</v>
      </c>
      <c r="CP137" s="19">
        <v>0</v>
      </c>
      <c r="CQ137" s="19">
        <v>0</v>
      </c>
      <c r="CR137" s="19">
        <v>0</v>
      </c>
      <c r="CS137" s="19">
        <v>0</v>
      </c>
      <c r="CT137" s="19">
        <v>0</v>
      </c>
      <c r="CU137" s="19">
        <v>0</v>
      </c>
      <c r="CV137" s="17"/>
      <c r="CW137" s="19">
        <v>0</v>
      </c>
      <c r="CX137" s="17"/>
      <c r="CY137" s="17">
        <v>47083</v>
      </c>
      <c r="CZ137" s="19">
        <v>0</v>
      </c>
      <c r="DA137" s="17"/>
      <c r="DB137" s="17"/>
      <c r="DC137" s="19">
        <v>100</v>
      </c>
      <c r="DD137" s="17"/>
      <c r="DE137" s="17">
        <v>2958465</v>
      </c>
      <c r="DF137" s="17"/>
      <c r="DG137" s="17"/>
      <c r="DH137" s="19">
        <v>0</v>
      </c>
      <c r="DI137" s="19">
        <v>0</v>
      </c>
    </row>
    <row r="138" spans="1:113" x14ac:dyDescent="0.2">
      <c r="A138" s="14" t="s">
        <v>2315</v>
      </c>
      <c r="B138" s="16" t="s">
        <v>251</v>
      </c>
      <c r="C138" s="14" t="s">
        <v>158</v>
      </c>
      <c r="D138" s="14" t="s">
        <v>159</v>
      </c>
      <c r="E138" s="14" t="s">
        <v>158</v>
      </c>
      <c r="F138" s="14" t="s">
        <v>2044</v>
      </c>
      <c r="G138" s="14" t="s">
        <v>2045</v>
      </c>
      <c r="H138" s="14" t="s">
        <v>119</v>
      </c>
      <c r="I138" s="14" t="s">
        <v>120</v>
      </c>
      <c r="J138" s="16">
        <f>COUNTIF($I$3:I138, I138)</f>
        <v>13</v>
      </c>
      <c r="K138" s="14" t="s">
        <v>2048</v>
      </c>
      <c r="L138" s="14" t="s">
        <v>2048</v>
      </c>
      <c r="M138" s="14" t="s">
        <v>2048</v>
      </c>
      <c r="N138" s="14" t="s">
        <v>2048</v>
      </c>
      <c r="O138" s="14" t="s">
        <v>2967</v>
      </c>
      <c r="P138" s="14" t="s">
        <v>253</v>
      </c>
      <c r="Q138" s="14" t="s">
        <v>72</v>
      </c>
      <c r="R138" s="14" t="s">
        <v>2048</v>
      </c>
      <c r="S138" s="14" t="s">
        <v>2048</v>
      </c>
      <c r="T138" s="14" t="s">
        <v>2422</v>
      </c>
      <c r="U138" s="14" t="s">
        <v>2049</v>
      </c>
      <c r="V138" s="14" t="s">
        <v>2050</v>
      </c>
      <c r="W138" s="14" t="s">
        <v>2048</v>
      </c>
      <c r="X138" s="14" t="s">
        <v>2048</v>
      </c>
      <c r="Y138" s="14" t="s">
        <v>2048</v>
      </c>
      <c r="Z138" s="14" t="s">
        <v>2048</v>
      </c>
      <c r="AA138" s="14" t="s">
        <v>2048</v>
      </c>
      <c r="AB138" s="14" t="s">
        <v>140</v>
      </c>
      <c r="AC138" s="14" t="s">
        <v>151</v>
      </c>
      <c r="AD138" s="14" t="s">
        <v>2132</v>
      </c>
      <c r="AE138" s="14" t="s">
        <v>2133</v>
      </c>
      <c r="AF138" s="14" t="s">
        <v>2055</v>
      </c>
      <c r="AG138" s="14" t="s">
        <v>2055</v>
      </c>
      <c r="AH138" s="14" t="s">
        <v>2055</v>
      </c>
      <c r="AI138" s="14" t="s">
        <v>2057</v>
      </c>
      <c r="AJ138" s="14" t="s">
        <v>87</v>
      </c>
      <c r="AK138" s="14" t="s">
        <v>2048</v>
      </c>
      <c r="AL138" s="14" t="s">
        <v>2048</v>
      </c>
      <c r="AM138" s="14" t="s">
        <v>2048</v>
      </c>
      <c r="AN138" s="14" t="s">
        <v>2585</v>
      </c>
      <c r="AO138" s="17" t="s">
        <v>89</v>
      </c>
      <c r="AP138" s="14" t="s">
        <v>2135</v>
      </c>
      <c r="AQ138" s="14" t="s">
        <v>2968</v>
      </c>
      <c r="AR138" s="14" t="s">
        <v>2060</v>
      </c>
      <c r="AS138" s="14" t="s">
        <v>2048</v>
      </c>
      <c r="AT138" s="14" t="s">
        <v>2048</v>
      </c>
      <c r="AU138" s="14" t="s">
        <v>2589</v>
      </c>
      <c r="AV138" s="14" t="s">
        <v>2590</v>
      </c>
      <c r="AW138" s="14" t="s">
        <v>2048</v>
      </c>
      <c r="AX138" s="14" t="s">
        <v>2048</v>
      </c>
      <c r="AY138" s="14" t="s">
        <v>119</v>
      </c>
      <c r="AZ138" s="14" t="s">
        <v>252</v>
      </c>
      <c r="BA138" s="14" t="s">
        <v>2591</v>
      </c>
      <c r="BB138" s="14" t="s">
        <v>2048</v>
      </c>
      <c r="BC138" s="14" t="s">
        <v>2048</v>
      </c>
      <c r="BD138" s="14" t="s">
        <v>2592</v>
      </c>
      <c r="BE138" s="14" t="s">
        <v>2593</v>
      </c>
      <c r="BF138" s="14" t="s">
        <v>2594</v>
      </c>
      <c r="BG138" s="14" t="s">
        <v>2595</v>
      </c>
      <c r="BH138" s="14" t="s">
        <v>2596</v>
      </c>
      <c r="BI138" s="14" t="s">
        <v>2287</v>
      </c>
      <c r="BJ138" s="14" t="s">
        <v>2048</v>
      </c>
      <c r="BK138" s="14" t="s">
        <v>2048</v>
      </c>
      <c r="BL138" s="14" t="s">
        <v>2064</v>
      </c>
      <c r="BM138" s="14" t="s">
        <v>72</v>
      </c>
      <c r="BN138" s="14" t="s">
        <v>72</v>
      </c>
      <c r="BO138" s="14" t="s">
        <v>2969</v>
      </c>
      <c r="BP138" s="14" t="s">
        <v>2048</v>
      </c>
      <c r="BQ138" s="14" t="s">
        <v>2048</v>
      </c>
      <c r="BR138" s="14" t="s">
        <v>2331</v>
      </c>
      <c r="BS138" s="14" t="s">
        <v>2131</v>
      </c>
      <c r="BT138" s="14" t="s">
        <v>2048</v>
      </c>
      <c r="BU138" s="14" t="s">
        <v>2048</v>
      </c>
      <c r="BV138" s="14" t="s">
        <v>2048</v>
      </c>
      <c r="BW138" s="14" t="s">
        <v>2048</v>
      </c>
      <c r="BX138" s="14" t="s">
        <v>72</v>
      </c>
      <c r="BY138" s="14" t="s">
        <v>2048</v>
      </c>
      <c r="BZ138" s="14" t="s">
        <v>2048</v>
      </c>
      <c r="CA138" s="14" t="s">
        <v>2048</v>
      </c>
      <c r="CB138" s="14" t="s">
        <v>2048</v>
      </c>
      <c r="CC138" s="14" t="s">
        <v>2048</v>
      </c>
      <c r="CD138" s="14" t="s">
        <v>2048</v>
      </c>
      <c r="CE138" s="14" t="s">
        <v>2048</v>
      </c>
      <c r="CF138" s="14" t="s">
        <v>2048</v>
      </c>
      <c r="CG138" s="14" t="s">
        <v>2068</v>
      </c>
      <c r="CH138" s="14" t="s">
        <v>2069</v>
      </c>
      <c r="CI138" s="14" t="s">
        <v>2048</v>
      </c>
      <c r="CJ138" s="17"/>
      <c r="CK138" s="17">
        <v>45625</v>
      </c>
      <c r="CL138" s="17">
        <v>45625</v>
      </c>
      <c r="CM138" s="17">
        <v>2958465</v>
      </c>
      <c r="CN138" s="17"/>
      <c r="CO138" s="19">
        <v>0</v>
      </c>
      <c r="CP138" s="19">
        <v>0</v>
      </c>
      <c r="CQ138" s="19">
        <v>0</v>
      </c>
      <c r="CR138" s="19">
        <v>0</v>
      </c>
      <c r="CS138" s="19">
        <v>0</v>
      </c>
      <c r="CT138" s="19">
        <v>0</v>
      </c>
      <c r="CU138" s="19">
        <v>0</v>
      </c>
      <c r="CV138" s="17"/>
      <c r="CW138" s="19">
        <v>0</v>
      </c>
      <c r="CX138" s="17"/>
      <c r="CY138" s="17">
        <v>47086</v>
      </c>
      <c r="CZ138" s="19">
        <v>0</v>
      </c>
      <c r="DA138" s="17"/>
      <c r="DB138" s="17"/>
      <c r="DC138" s="19">
        <v>100</v>
      </c>
      <c r="DD138" s="17"/>
      <c r="DE138" s="17">
        <v>2958465</v>
      </c>
      <c r="DF138" s="17"/>
      <c r="DG138" s="17"/>
      <c r="DH138" s="19">
        <v>0</v>
      </c>
      <c r="DI138" s="19">
        <v>0</v>
      </c>
    </row>
    <row r="139" spans="1:113" x14ac:dyDescent="0.2">
      <c r="A139" s="14" t="s">
        <v>2315</v>
      </c>
      <c r="B139" s="16" t="s">
        <v>611</v>
      </c>
      <c r="C139" s="14" t="s">
        <v>158</v>
      </c>
      <c r="D139" s="14" t="s">
        <v>159</v>
      </c>
      <c r="E139" s="14" t="s">
        <v>158</v>
      </c>
      <c r="F139" s="14" t="s">
        <v>2044</v>
      </c>
      <c r="G139" s="14" t="s">
        <v>2045</v>
      </c>
      <c r="H139" s="14" t="s">
        <v>131</v>
      </c>
      <c r="I139" s="14" t="s">
        <v>132</v>
      </c>
      <c r="J139" s="16">
        <f>COUNTIF($I$3:I139, I139)</f>
        <v>6</v>
      </c>
      <c r="K139" s="14" t="s">
        <v>2048</v>
      </c>
      <c r="L139" s="14" t="s">
        <v>2048</v>
      </c>
      <c r="M139" s="14" t="s">
        <v>2048</v>
      </c>
      <c r="N139" s="14" t="s">
        <v>2048</v>
      </c>
      <c r="O139" s="14" t="s">
        <v>2970</v>
      </c>
      <c r="P139" s="14" t="s">
        <v>612</v>
      </c>
      <c r="Q139" s="14" t="s">
        <v>72</v>
      </c>
      <c r="R139" s="14" t="s">
        <v>2048</v>
      </c>
      <c r="S139" s="14" t="s">
        <v>2048</v>
      </c>
      <c r="T139" s="14" t="s">
        <v>2048</v>
      </c>
      <c r="U139" s="14" t="s">
        <v>2048</v>
      </c>
      <c r="V139" s="14" t="s">
        <v>2050</v>
      </c>
      <c r="W139" s="14" t="s">
        <v>2048</v>
      </c>
      <c r="X139" s="14" t="s">
        <v>2048</v>
      </c>
      <c r="Y139" s="14" t="s">
        <v>2048</v>
      </c>
      <c r="Z139" s="14" t="s">
        <v>2048</v>
      </c>
      <c r="AA139" s="14" t="s">
        <v>2048</v>
      </c>
      <c r="AB139" s="14" t="s">
        <v>140</v>
      </c>
      <c r="AC139" s="14" t="s">
        <v>151</v>
      </c>
      <c r="AD139" s="14" t="s">
        <v>2442</v>
      </c>
      <c r="AE139" s="14" t="s">
        <v>2443</v>
      </c>
      <c r="AF139" s="14" t="s">
        <v>2055</v>
      </c>
      <c r="AG139" s="14" t="s">
        <v>2055</v>
      </c>
      <c r="AH139" s="14" t="s">
        <v>2055</v>
      </c>
      <c r="AI139" s="14" t="s">
        <v>2057</v>
      </c>
      <c r="AJ139" s="14" t="s">
        <v>87</v>
      </c>
      <c r="AK139" s="14" t="s">
        <v>2048</v>
      </c>
      <c r="AL139" s="14" t="s">
        <v>2048</v>
      </c>
      <c r="AM139" s="14" t="s">
        <v>2048</v>
      </c>
      <c r="AN139" s="14" t="s">
        <v>2971</v>
      </c>
      <c r="AO139" s="17" t="s">
        <v>89</v>
      </c>
      <c r="AP139" s="14" t="s">
        <v>2135</v>
      </c>
      <c r="AQ139" s="14" t="s">
        <v>315</v>
      </c>
      <c r="AR139" s="14" t="s">
        <v>2972</v>
      </c>
      <c r="AS139" s="14" t="s">
        <v>2973</v>
      </c>
      <c r="AT139" s="14" t="s">
        <v>72</v>
      </c>
      <c r="AU139" s="14" t="s">
        <v>2448</v>
      </c>
      <c r="AV139" s="14" t="s">
        <v>2449</v>
      </c>
      <c r="AW139" s="14" t="s">
        <v>2048</v>
      </c>
      <c r="AX139" s="14" t="s">
        <v>2048</v>
      </c>
      <c r="AY139" s="14" t="s">
        <v>131</v>
      </c>
      <c r="AZ139" s="14" t="s">
        <v>316</v>
      </c>
      <c r="BA139" s="14" t="s">
        <v>2921</v>
      </c>
      <c r="BB139" s="14" t="s">
        <v>2048</v>
      </c>
      <c r="BC139" s="14" t="s">
        <v>2048</v>
      </c>
      <c r="BD139" s="14" t="s">
        <v>2048</v>
      </c>
      <c r="BE139" s="14" t="s">
        <v>2048</v>
      </c>
      <c r="BF139" s="14" t="s">
        <v>2048</v>
      </c>
      <c r="BG139" s="14" t="s">
        <v>2048</v>
      </c>
      <c r="BH139" s="14" t="s">
        <v>2922</v>
      </c>
      <c r="BI139" s="14" t="s">
        <v>2455</v>
      </c>
      <c r="BJ139" s="14" t="s">
        <v>2048</v>
      </c>
      <c r="BK139" s="14" t="s">
        <v>2048</v>
      </c>
      <c r="BL139" s="14" t="s">
        <v>2064</v>
      </c>
      <c r="BM139" s="14" t="s">
        <v>72</v>
      </c>
      <c r="BN139" s="14" t="s">
        <v>72</v>
      </c>
      <c r="BO139" s="14" t="s">
        <v>2974</v>
      </c>
      <c r="BP139" s="14" t="s">
        <v>2457</v>
      </c>
      <c r="BQ139" s="14" t="s">
        <v>2458</v>
      </c>
      <c r="BR139" s="14" t="s">
        <v>2331</v>
      </c>
      <c r="BS139" s="14" t="s">
        <v>2131</v>
      </c>
      <c r="BT139" s="14" t="s">
        <v>2048</v>
      </c>
      <c r="BU139" s="14" t="s">
        <v>2048</v>
      </c>
      <c r="BV139" s="14" t="s">
        <v>2048</v>
      </c>
      <c r="BW139" s="14" t="s">
        <v>2048</v>
      </c>
      <c r="BX139" s="14" t="s">
        <v>72</v>
      </c>
      <c r="BY139" s="14" t="s">
        <v>2048</v>
      </c>
      <c r="BZ139" s="14" t="s">
        <v>2048</v>
      </c>
      <c r="CA139" s="14" t="s">
        <v>2048</v>
      </c>
      <c r="CB139" s="14" t="s">
        <v>2048</v>
      </c>
      <c r="CC139" s="14" t="s">
        <v>2048</v>
      </c>
      <c r="CD139" s="14" t="s">
        <v>2048</v>
      </c>
      <c r="CE139" s="14" t="s">
        <v>2048</v>
      </c>
      <c r="CF139" s="14" t="s">
        <v>2048</v>
      </c>
      <c r="CG139" s="14" t="s">
        <v>2068</v>
      </c>
      <c r="CH139" s="14" t="s">
        <v>2069</v>
      </c>
      <c r="CI139" s="14" t="s">
        <v>2048</v>
      </c>
      <c r="CJ139" s="17"/>
      <c r="CK139" s="17">
        <v>45625</v>
      </c>
      <c r="CL139" s="17">
        <v>45625</v>
      </c>
      <c r="CM139" s="17">
        <v>2958465</v>
      </c>
      <c r="CN139" s="17"/>
      <c r="CO139" s="19">
        <v>0</v>
      </c>
      <c r="CP139" s="19">
        <v>0</v>
      </c>
      <c r="CQ139" s="19">
        <v>0</v>
      </c>
      <c r="CR139" s="19">
        <v>0</v>
      </c>
      <c r="CS139" s="19">
        <v>0</v>
      </c>
      <c r="CT139" s="19">
        <v>0</v>
      </c>
      <c r="CU139" s="19">
        <v>0</v>
      </c>
      <c r="CV139" s="17"/>
      <c r="CW139" s="19">
        <v>0</v>
      </c>
      <c r="CX139" s="17"/>
      <c r="CY139" s="17">
        <v>47086</v>
      </c>
      <c r="CZ139" s="19">
        <v>0</v>
      </c>
      <c r="DA139" s="17"/>
      <c r="DB139" s="17"/>
      <c r="DC139" s="19">
        <v>100</v>
      </c>
      <c r="DD139" s="17"/>
      <c r="DE139" s="17">
        <v>2958465</v>
      </c>
      <c r="DF139" s="17"/>
      <c r="DG139" s="17"/>
      <c r="DH139" s="19">
        <v>0</v>
      </c>
      <c r="DI139" s="19">
        <v>0</v>
      </c>
    </row>
    <row r="140" spans="1:113" x14ac:dyDescent="0.2">
      <c r="A140" s="14" t="s">
        <v>2315</v>
      </c>
      <c r="B140" s="16" t="s">
        <v>428</v>
      </c>
      <c r="C140" s="14" t="s">
        <v>158</v>
      </c>
      <c r="D140" s="14" t="s">
        <v>159</v>
      </c>
      <c r="E140" s="14" t="s">
        <v>158</v>
      </c>
      <c r="F140" s="14" t="s">
        <v>2044</v>
      </c>
      <c r="G140" s="14" t="s">
        <v>2045</v>
      </c>
      <c r="H140" s="14" t="s">
        <v>131</v>
      </c>
      <c r="I140" s="14" t="s">
        <v>132</v>
      </c>
      <c r="J140" s="16">
        <f>COUNTIF($I$3:I140, I140)</f>
        <v>7</v>
      </c>
      <c r="K140" s="14" t="s">
        <v>2048</v>
      </c>
      <c r="L140" s="14" t="s">
        <v>2048</v>
      </c>
      <c r="M140" s="14" t="s">
        <v>2048</v>
      </c>
      <c r="N140" s="14" t="s">
        <v>2048</v>
      </c>
      <c r="O140" s="14" t="s">
        <v>2975</v>
      </c>
      <c r="P140" s="14" t="s">
        <v>430</v>
      </c>
      <c r="Q140" s="14" t="s">
        <v>72</v>
      </c>
      <c r="R140" s="14" t="s">
        <v>2048</v>
      </c>
      <c r="S140" s="14" t="s">
        <v>2048</v>
      </c>
      <c r="T140" s="14" t="s">
        <v>2048</v>
      </c>
      <c r="U140" s="14" t="s">
        <v>2048</v>
      </c>
      <c r="V140" s="14" t="s">
        <v>2050</v>
      </c>
      <c r="W140" s="14" t="s">
        <v>2048</v>
      </c>
      <c r="X140" s="14" t="s">
        <v>2048</v>
      </c>
      <c r="Y140" s="14" t="s">
        <v>2048</v>
      </c>
      <c r="Z140" s="14" t="s">
        <v>2048</v>
      </c>
      <c r="AA140" s="14" t="s">
        <v>2048</v>
      </c>
      <c r="AB140" s="14" t="s">
        <v>140</v>
      </c>
      <c r="AC140" s="14" t="s">
        <v>151</v>
      </c>
      <c r="AD140" s="14" t="s">
        <v>2442</v>
      </c>
      <c r="AE140" s="14" t="s">
        <v>2443</v>
      </c>
      <c r="AF140" s="14" t="s">
        <v>2055</v>
      </c>
      <c r="AG140" s="14" t="s">
        <v>2056</v>
      </c>
      <c r="AH140" s="14" t="s">
        <v>2055</v>
      </c>
      <c r="AI140" s="14" t="s">
        <v>2057</v>
      </c>
      <c r="AJ140" s="14" t="s">
        <v>87</v>
      </c>
      <c r="AK140" s="14" t="s">
        <v>2048</v>
      </c>
      <c r="AL140" s="14" t="s">
        <v>2048</v>
      </c>
      <c r="AM140" s="14" t="s">
        <v>2048</v>
      </c>
      <c r="AN140" s="14" t="s">
        <v>2443</v>
      </c>
      <c r="AO140" s="17" t="s">
        <v>89</v>
      </c>
      <c r="AP140" s="14" t="s">
        <v>2135</v>
      </c>
      <c r="AQ140" s="14" t="s">
        <v>2976</v>
      </c>
      <c r="AR140" s="14" t="s">
        <v>2060</v>
      </c>
      <c r="AS140" s="14" t="s">
        <v>2048</v>
      </c>
      <c r="AT140" s="14" t="s">
        <v>72</v>
      </c>
      <c r="AU140" s="14" t="s">
        <v>2448</v>
      </c>
      <c r="AV140" s="14" t="s">
        <v>2449</v>
      </c>
      <c r="AW140" s="14" t="s">
        <v>2048</v>
      </c>
      <c r="AX140" s="14" t="s">
        <v>2048</v>
      </c>
      <c r="AY140" s="14" t="s">
        <v>131</v>
      </c>
      <c r="AZ140" s="14" t="s">
        <v>429</v>
      </c>
      <c r="BA140" s="14" t="s">
        <v>2977</v>
      </c>
      <c r="BB140" s="14" t="s">
        <v>2978</v>
      </c>
      <c r="BC140" s="14" t="s">
        <v>2048</v>
      </c>
      <c r="BD140" s="14" t="s">
        <v>2048</v>
      </c>
      <c r="BE140" s="14" t="s">
        <v>2048</v>
      </c>
      <c r="BF140" s="14" t="s">
        <v>2452</v>
      </c>
      <c r="BG140" s="14" t="s">
        <v>2453</v>
      </c>
      <c r="BH140" s="14" t="s">
        <v>2454</v>
      </c>
      <c r="BI140" s="14" t="s">
        <v>2455</v>
      </c>
      <c r="BJ140" s="14" t="s">
        <v>2048</v>
      </c>
      <c r="BK140" s="14" t="s">
        <v>2048</v>
      </c>
      <c r="BL140" s="14" t="s">
        <v>2064</v>
      </c>
      <c r="BM140" s="14" t="s">
        <v>72</v>
      </c>
      <c r="BN140" s="14" t="s">
        <v>72</v>
      </c>
      <c r="BO140" s="14" t="s">
        <v>2979</v>
      </c>
      <c r="BP140" s="14" t="s">
        <v>2048</v>
      </c>
      <c r="BQ140" s="14" t="s">
        <v>2048</v>
      </c>
      <c r="BR140" s="14" t="s">
        <v>2331</v>
      </c>
      <c r="BS140" s="14" t="s">
        <v>2131</v>
      </c>
      <c r="BT140" s="14" t="s">
        <v>2048</v>
      </c>
      <c r="BU140" s="14" t="s">
        <v>2048</v>
      </c>
      <c r="BV140" s="14" t="s">
        <v>2048</v>
      </c>
      <c r="BW140" s="14" t="s">
        <v>2048</v>
      </c>
      <c r="BX140" s="14" t="s">
        <v>72</v>
      </c>
      <c r="BY140" s="14" t="s">
        <v>2048</v>
      </c>
      <c r="BZ140" s="14" t="s">
        <v>2048</v>
      </c>
      <c r="CA140" s="14" t="s">
        <v>2048</v>
      </c>
      <c r="CB140" s="14" t="s">
        <v>2048</v>
      </c>
      <c r="CC140" s="14" t="s">
        <v>2048</v>
      </c>
      <c r="CD140" s="14" t="s">
        <v>2048</v>
      </c>
      <c r="CE140" s="14" t="s">
        <v>2048</v>
      </c>
      <c r="CF140" s="14" t="s">
        <v>2048</v>
      </c>
      <c r="CG140" s="14" t="s">
        <v>2068</v>
      </c>
      <c r="CH140" s="14" t="s">
        <v>2069</v>
      </c>
      <c r="CI140" s="14" t="s">
        <v>2048</v>
      </c>
      <c r="CJ140" s="17"/>
      <c r="CK140" s="17">
        <v>45625</v>
      </c>
      <c r="CL140" s="17">
        <v>45625</v>
      </c>
      <c r="CM140" s="17">
        <v>2958465</v>
      </c>
      <c r="CN140" s="17"/>
      <c r="CO140" s="19">
        <v>0</v>
      </c>
      <c r="CP140" s="19">
        <v>0</v>
      </c>
      <c r="CQ140" s="19">
        <v>0</v>
      </c>
      <c r="CR140" s="19">
        <v>0</v>
      </c>
      <c r="CS140" s="19">
        <v>0</v>
      </c>
      <c r="CT140" s="19">
        <v>0</v>
      </c>
      <c r="CU140" s="19">
        <v>0</v>
      </c>
      <c r="CV140" s="17"/>
      <c r="CW140" s="19">
        <v>0</v>
      </c>
      <c r="CX140" s="17"/>
      <c r="CY140" s="17">
        <v>47086</v>
      </c>
      <c r="CZ140" s="19">
        <v>0</v>
      </c>
      <c r="DA140" s="17"/>
      <c r="DB140" s="17"/>
      <c r="DC140" s="19">
        <v>100</v>
      </c>
      <c r="DD140" s="17"/>
      <c r="DE140" s="17">
        <v>2958465</v>
      </c>
      <c r="DF140" s="17"/>
      <c r="DG140" s="17"/>
      <c r="DH140" s="19">
        <v>0</v>
      </c>
      <c r="DI140" s="19">
        <v>0</v>
      </c>
    </row>
    <row r="141" spans="1:113" x14ac:dyDescent="0.2">
      <c r="A141" s="14" t="s">
        <v>2315</v>
      </c>
      <c r="B141" s="16" t="s">
        <v>259</v>
      </c>
      <c r="C141" s="14" t="s">
        <v>158</v>
      </c>
      <c r="D141" s="14" t="s">
        <v>159</v>
      </c>
      <c r="E141" s="14" t="s">
        <v>158</v>
      </c>
      <c r="F141" s="14" t="s">
        <v>2044</v>
      </c>
      <c r="G141" s="14" t="s">
        <v>2045</v>
      </c>
      <c r="H141" s="14" t="s">
        <v>119</v>
      </c>
      <c r="I141" s="14" t="s">
        <v>120</v>
      </c>
      <c r="J141" s="16">
        <f>COUNTIF($I$3:I141, I141)</f>
        <v>14</v>
      </c>
      <c r="K141" s="14" t="s">
        <v>2048</v>
      </c>
      <c r="L141" s="14" t="s">
        <v>2048</v>
      </c>
      <c r="M141" s="14" t="s">
        <v>2048</v>
      </c>
      <c r="N141" s="14" t="s">
        <v>2048</v>
      </c>
      <c r="O141" s="14" t="s">
        <v>2980</v>
      </c>
      <c r="P141" s="14" t="s">
        <v>261</v>
      </c>
      <c r="Q141" s="14" t="s">
        <v>72</v>
      </c>
      <c r="R141" s="14" t="s">
        <v>2048</v>
      </c>
      <c r="S141" s="14" t="s">
        <v>2048</v>
      </c>
      <c r="T141" s="14" t="s">
        <v>2422</v>
      </c>
      <c r="U141" s="14" t="s">
        <v>2049</v>
      </c>
      <c r="V141" s="14" t="s">
        <v>2050</v>
      </c>
      <c r="W141" s="14" t="s">
        <v>2048</v>
      </c>
      <c r="X141" s="14" t="s">
        <v>2048</v>
      </c>
      <c r="Y141" s="14" t="s">
        <v>2048</v>
      </c>
      <c r="Z141" s="14" t="s">
        <v>2048</v>
      </c>
      <c r="AA141" s="14" t="s">
        <v>2048</v>
      </c>
      <c r="AB141" s="14" t="s">
        <v>140</v>
      </c>
      <c r="AC141" s="14" t="s">
        <v>151</v>
      </c>
      <c r="AD141" s="14" t="s">
        <v>2132</v>
      </c>
      <c r="AE141" s="14" t="s">
        <v>2133</v>
      </c>
      <c r="AF141" s="14" t="s">
        <v>2055</v>
      </c>
      <c r="AG141" s="14" t="s">
        <v>2055</v>
      </c>
      <c r="AH141" s="14" t="s">
        <v>2055</v>
      </c>
      <c r="AI141" s="14" t="s">
        <v>2057</v>
      </c>
      <c r="AJ141" s="14" t="s">
        <v>87</v>
      </c>
      <c r="AK141" s="14" t="s">
        <v>2048</v>
      </c>
      <c r="AL141" s="14" t="s">
        <v>2048</v>
      </c>
      <c r="AM141" s="14" t="s">
        <v>2048</v>
      </c>
      <c r="AN141" s="14" t="s">
        <v>2751</v>
      </c>
      <c r="AO141" s="17" t="s">
        <v>89</v>
      </c>
      <c r="AP141" s="14" t="s">
        <v>2135</v>
      </c>
      <c r="AQ141" s="14" t="s">
        <v>2981</v>
      </c>
      <c r="AR141" s="14" t="s">
        <v>2982</v>
      </c>
      <c r="AS141" s="14" t="s">
        <v>2983</v>
      </c>
      <c r="AT141" s="14" t="s">
        <v>72</v>
      </c>
      <c r="AU141" s="14" t="s">
        <v>2430</v>
      </c>
      <c r="AV141" s="14" t="s">
        <v>2431</v>
      </c>
      <c r="AW141" s="14" t="s">
        <v>2048</v>
      </c>
      <c r="AX141" s="14" t="s">
        <v>2048</v>
      </c>
      <c r="AY141" s="14" t="s">
        <v>119</v>
      </c>
      <c r="AZ141" s="14" t="s">
        <v>260</v>
      </c>
      <c r="BA141" s="14" t="s">
        <v>2984</v>
      </c>
      <c r="BB141" s="14" t="s">
        <v>2048</v>
      </c>
      <c r="BC141" s="14" t="s">
        <v>2048</v>
      </c>
      <c r="BD141" s="14" t="s">
        <v>2576</v>
      </c>
      <c r="BE141" s="14" t="s">
        <v>2577</v>
      </c>
      <c r="BF141" s="14" t="s">
        <v>2578</v>
      </c>
      <c r="BG141" s="14" t="s">
        <v>2579</v>
      </c>
      <c r="BH141" s="14" t="s">
        <v>2580</v>
      </c>
      <c r="BI141" s="14" t="s">
        <v>2287</v>
      </c>
      <c r="BJ141" s="14" t="s">
        <v>2048</v>
      </c>
      <c r="BK141" s="14" t="s">
        <v>2048</v>
      </c>
      <c r="BL141" s="14" t="s">
        <v>2064</v>
      </c>
      <c r="BM141" s="14" t="s">
        <v>72</v>
      </c>
      <c r="BN141" s="14" t="s">
        <v>72</v>
      </c>
      <c r="BO141" s="14" t="s">
        <v>2985</v>
      </c>
      <c r="BP141" s="14" t="s">
        <v>2986</v>
      </c>
      <c r="BQ141" s="14" t="s">
        <v>2987</v>
      </c>
      <c r="BR141" s="14" t="s">
        <v>2331</v>
      </c>
      <c r="BS141" s="14" t="s">
        <v>2131</v>
      </c>
      <c r="BT141" s="14" t="s">
        <v>2048</v>
      </c>
      <c r="BU141" s="14" t="s">
        <v>2048</v>
      </c>
      <c r="BV141" s="14" t="s">
        <v>2048</v>
      </c>
      <c r="BW141" s="14" t="s">
        <v>2048</v>
      </c>
      <c r="BX141" s="14" t="s">
        <v>72</v>
      </c>
      <c r="BY141" s="14" t="s">
        <v>2048</v>
      </c>
      <c r="BZ141" s="14" t="s">
        <v>2048</v>
      </c>
      <c r="CA141" s="14" t="s">
        <v>2048</v>
      </c>
      <c r="CB141" s="14" t="s">
        <v>2048</v>
      </c>
      <c r="CC141" s="14" t="s">
        <v>2048</v>
      </c>
      <c r="CD141" s="14" t="s">
        <v>2048</v>
      </c>
      <c r="CE141" s="14" t="s">
        <v>2048</v>
      </c>
      <c r="CF141" s="14" t="s">
        <v>2048</v>
      </c>
      <c r="CG141" s="14" t="s">
        <v>2068</v>
      </c>
      <c r="CH141" s="14" t="s">
        <v>2069</v>
      </c>
      <c r="CI141" s="14" t="s">
        <v>2048</v>
      </c>
      <c r="CJ141" s="17"/>
      <c r="CK141" s="17">
        <v>45625</v>
      </c>
      <c r="CL141" s="17">
        <v>45625</v>
      </c>
      <c r="CM141" s="17">
        <v>2958465</v>
      </c>
      <c r="CN141" s="17"/>
      <c r="CO141" s="19">
        <v>0</v>
      </c>
      <c r="CP141" s="19">
        <v>0</v>
      </c>
      <c r="CQ141" s="19">
        <v>0</v>
      </c>
      <c r="CR141" s="19">
        <v>0</v>
      </c>
      <c r="CS141" s="19">
        <v>0</v>
      </c>
      <c r="CT141" s="19">
        <v>0</v>
      </c>
      <c r="CU141" s="19">
        <v>0</v>
      </c>
      <c r="CV141" s="17"/>
      <c r="CW141" s="19">
        <v>0</v>
      </c>
      <c r="CX141" s="17"/>
      <c r="CY141" s="17">
        <v>47086</v>
      </c>
      <c r="CZ141" s="19">
        <v>0</v>
      </c>
      <c r="DA141" s="17"/>
      <c r="DB141" s="17"/>
      <c r="DC141" s="19">
        <v>100</v>
      </c>
      <c r="DD141" s="17"/>
      <c r="DE141" s="17">
        <v>2958465</v>
      </c>
      <c r="DF141" s="17"/>
      <c r="DG141" s="17"/>
      <c r="DH141" s="19">
        <v>0</v>
      </c>
      <c r="DI141" s="19">
        <v>0</v>
      </c>
    </row>
    <row r="142" spans="1:113" x14ac:dyDescent="0.2">
      <c r="A142" s="14" t="s">
        <v>2315</v>
      </c>
      <c r="B142" s="16" t="s">
        <v>266</v>
      </c>
      <c r="C142" s="14" t="s">
        <v>158</v>
      </c>
      <c r="D142" s="14" t="s">
        <v>159</v>
      </c>
      <c r="E142" s="14" t="s">
        <v>158</v>
      </c>
      <c r="F142" s="14" t="s">
        <v>2044</v>
      </c>
      <c r="G142" s="14" t="s">
        <v>2045</v>
      </c>
      <c r="H142" s="14" t="s">
        <v>119</v>
      </c>
      <c r="I142" s="14" t="s">
        <v>120</v>
      </c>
      <c r="J142" s="16">
        <f>COUNTIF($I$3:I142, I142)</f>
        <v>15</v>
      </c>
      <c r="K142" s="14" t="s">
        <v>2048</v>
      </c>
      <c r="L142" s="14" t="s">
        <v>2048</v>
      </c>
      <c r="M142" s="14" t="s">
        <v>2048</v>
      </c>
      <c r="N142" s="14" t="s">
        <v>2048</v>
      </c>
      <c r="O142" s="14" t="s">
        <v>2988</v>
      </c>
      <c r="P142" s="14" t="s">
        <v>268</v>
      </c>
      <c r="Q142" s="14" t="s">
        <v>72</v>
      </c>
      <c r="R142" s="14" t="s">
        <v>2048</v>
      </c>
      <c r="S142" s="14" t="s">
        <v>2048</v>
      </c>
      <c r="T142" s="14" t="s">
        <v>2422</v>
      </c>
      <c r="U142" s="14" t="s">
        <v>2049</v>
      </c>
      <c r="V142" s="14" t="s">
        <v>2050</v>
      </c>
      <c r="W142" s="14" t="s">
        <v>2048</v>
      </c>
      <c r="X142" s="14" t="s">
        <v>2048</v>
      </c>
      <c r="Y142" s="14" t="s">
        <v>2048</v>
      </c>
      <c r="Z142" s="14" t="s">
        <v>2048</v>
      </c>
      <c r="AA142" s="14" t="s">
        <v>2048</v>
      </c>
      <c r="AB142" s="14" t="s">
        <v>140</v>
      </c>
      <c r="AC142" s="14" t="s">
        <v>151</v>
      </c>
      <c r="AD142" s="14" t="s">
        <v>2132</v>
      </c>
      <c r="AE142" s="14" t="s">
        <v>2133</v>
      </c>
      <c r="AF142" s="14" t="s">
        <v>2055</v>
      </c>
      <c r="AG142" s="14" t="s">
        <v>2055</v>
      </c>
      <c r="AH142" s="14" t="s">
        <v>2055</v>
      </c>
      <c r="AI142" s="14" t="s">
        <v>2057</v>
      </c>
      <c r="AJ142" s="14" t="s">
        <v>87</v>
      </c>
      <c r="AK142" s="14" t="s">
        <v>2048</v>
      </c>
      <c r="AL142" s="14" t="s">
        <v>2048</v>
      </c>
      <c r="AM142" s="14" t="s">
        <v>2048</v>
      </c>
      <c r="AN142" s="14" t="s">
        <v>2989</v>
      </c>
      <c r="AO142" s="17" t="s">
        <v>89</v>
      </c>
      <c r="AP142" s="14" t="s">
        <v>2135</v>
      </c>
      <c r="AQ142" s="14" t="s">
        <v>2990</v>
      </c>
      <c r="AR142" s="14" t="s">
        <v>2991</v>
      </c>
      <c r="AS142" s="14" t="s">
        <v>2992</v>
      </c>
      <c r="AT142" s="14" t="s">
        <v>72</v>
      </c>
      <c r="AU142" s="14" t="s">
        <v>2993</v>
      </c>
      <c r="AV142" s="14" t="s">
        <v>2994</v>
      </c>
      <c r="AW142" s="14" t="s">
        <v>2048</v>
      </c>
      <c r="AX142" s="14" t="s">
        <v>2048</v>
      </c>
      <c r="AY142" s="14" t="s">
        <v>119</v>
      </c>
      <c r="AZ142" s="14" t="s">
        <v>267</v>
      </c>
      <c r="BA142" s="14" t="s">
        <v>2995</v>
      </c>
      <c r="BB142" s="14" t="s">
        <v>2048</v>
      </c>
      <c r="BC142" s="14" t="s">
        <v>2048</v>
      </c>
      <c r="BD142" s="14" t="s">
        <v>2576</v>
      </c>
      <c r="BE142" s="14" t="s">
        <v>2577</v>
      </c>
      <c r="BF142" s="14" t="s">
        <v>2961</v>
      </c>
      <c r="BG142" s="14" t="s">
        <v>2962</v>
      </c>
      <c r="BH142" s="14" t="s">
        <v>2963</v>
      </c>
      <c r="BI142" s="14" t="s">
        <v>2287</v>
      </c>
      <c r="BJ142" s="14" t="s">
        <v>2048</v>
      </c>
      <c r="BK142" s="14" t="s">
        <v>2048</v>
      </c>
      <c r="BL142" s="14" t="s">
        <v>2064</v>
      </c>
      <c r="BM142" s="14" t="s">
        <v>72</v>
      </c>
      <c r="BN142" s="14" t="s">
        <v>72</v>
      </c>
      <c r="BO142" s="14" t="s">
        <v>2996</v>
      </c>
      <c r="BP142" s="14" t="s">
        <v>2986</v>
      </c>
      <c r="BQ142" s="14" t="s">
        <v>2987</v>
      </c>
      <c r="BR142" s="14" t="s">
        <v>2331</v>
      </c>
      <c r="BS142" s="14" t="s">
        <v>2131</v>
      </c>
      <c r="BT142" s="14" t="s">
        <v>2048</v>
      </c>
      <c r="BU142" s="14" t="s">
        <v>2048</v>
      </c>
      <c r="BV142" s="14" t="s">
        <v>2048</v>
      </c>
      <c r="BW142" s="14" t="s">
        <v>2048</v>
      </c>
      <c r="BX142" s="14" t="s">
        <v>72</v>
      </c>
      <c r="BY142" s="14" t="s">
        <v>2048</v>
      </c>
      <c r="BZ142" s="14" t="s">
        <v>2048</v>
      </c>
      <c r="CA142" s="14" t="s">
        <v>2048</v>
      </c>
      <c r="CB142" s="14" t="s">
        <v>2048</v>
      </c>
      <c r="CC142" s="14" t="s">
        <v>2048</v>
      </c>
      <c r="CD142" s="14" t="s">
        <v>2048</v>
      </c>
      <c r="CE142" s="14" t="s">
        <v>2048</v>
      </c>
      <c r="CF142" s="14" t="s">
        <v>2048</v>
      </c>
      <c r="CG142" s="14" t="s">
        <v>2068</v>
      </c>
      <c r="CH142" s="14" t="s">
        <v>2069</v>
      </c>
      <c r="CI142" s="14" t="s">
        <v>2048</v>
      </c>
      <c r="CJ142" s="17"/>
      <c r="CK142" s="17">
        <v>45625</v>
      </c>
      <c r="CL142" s="17">
        <v>45625</v>
      </c>
      <c r="CM142" s="17">
        <v>2958465</v>
      </c>
      <c r="CN142" s="17"/>
      <c r="CO142" s="19">
        <v>0</v>
      </c>
      <c r="CP142" s="19">
        <v>0</v>
      </c>
      <c r="CQ142" s="19">
        <v>0</v>
      </c>
      <c r="CR142" s="19">
        <v>0</v>
      </c>
      <c r="CS142" s="19">
        <v>0</v>
      </c>
      <c r="CT142" s="19">
        <v>0</v>
      </c>
      <c r="CU142" s="19">
        <v>0</v>
      </c>
      <c r="CV142" s="17"/>
      <c r="CW142" s="19">
        <v>0</v>
      </c>
      <c r="CX142" s="17"/>
      <c r="CY142" s="17">
        <v>47086</v>
      </c>
      <c r="CZ142" s="19">
        <v>0</v>
      </c>
      <c r="DA142" s="17"/>
      <c r="DB142" s="17"/>
      <c r="DC142" s="19">
        <v>100</v>
      </c>
      <c r="DD142" s="17"/>
      <c r="DE142" s="17">
        <v>2958465</v>
      </c>
      <c r="DF142" s="17"/>
      <c r="DG142" s="17"/>
      <c r="DH142" s="19">
        <v>0</v>
      </c>
      <c r="DI142" s="19">
        <v>0</v>
      </c>
    </row>
    <row r="143" spans="1:113" x14ac:dyDescent="0.2">
      <c r="A143" s="14" t="s">
        <v>2315</v>
      </c>
      <c r="B143" s="16" t="s">
        <v>818</v>
      </c>
      <c r="C143" s="14" t="s">
        <v>158</v>
      </c>
      <c r="D143" s="14" t="s">
        <v>159</v>
      </c>
      <c r="E143" s="14" t="s">
        <v>158</v>
      </c>
      <c r="F143" s="14" t="s">
        <v>2044</v>
      </c>
      <c r="G143" s="14" t="s">
        <v>2045</v>
      </c>
      <c r="H143" s="14" t="s">
        <v>119</v>
      </c>
      <c r="I143" s="14" t="s">
        <v>120</v>
      </c>
      <c r="J143" s="16">
        <f>COUNTIF($I$3:I143, I143)</f>
        <v>16</v>
      </c>
      <c r="K143" s="14" t="s">
        <v>2048</v>
      </c>
      <c r="L143" s="14" t="s">
        <v>2048</v>
      </c>
      <c r="M143" s="14" t="s">
        <v>2048</v>
      </c>
      <c r="N143" s="14" t="s">
        <v>2048</v>
      </c>
      <c r="O143" s="14" t="s">
        <v>2997</v>
      </c>
      <c r="P143" s="14" t="s">
        <v>819</v>
      </c>
      <c r="Q143" s="14" t="s">
        <v>72</v>
      </c>
      <c r="R143" s="14" t="s">
        <v>2048</v>
      </c>
      <c r="S143" s="14" t="s">
        <v>2048</v>
      </c>
      <c r="T143" s="14" t="s">
        <v>2422</v>
      </c>
      <c r="U143" s="14" t="s">
        <v>2049</v>
      </c>
      <c r="V143" s="14" t="s">
        <v>2050</v>
      </c>
      <c r="W143" s="14" t="s">
        <v>2048</v>
      </c>
      <c r="X143" s="14" t="s">
        <v>2048</v>
      </c>
      <c r="Y143" s="14" t="s">
        <v>2048</v>
      </c>
      <c r="Z143" s="14" t="s">
        <v>2048</v>
      </c>
      <c r="AA143" s="14" t="s">
        <v>2048</v>
      </c>
      <c r="AB143" s="14" t="s">
        <v>140</v>
      </c>
      <c r="AC143" s="14" t="s">
        <v>151</v>
      </c>
      <c r="AD143" s="14" t="s">
        <v>2132</v>
      </c>
      <c r="AE143" s="14" t="s">
        <v>2133</v>
      </c>
      <c r="AF143" s="14" t="s">
        <v>2055</v>
      </c>
      <c r="AG143" s="14" t="s">
        <v>2055</v>
      </c>
      <c r="AH143" s="14" t="s">
        <v>2055</v>
      </c>
      <c r="AI143" s="14" t="s">
        <v>2057</v>
      </c>
      <c r="AJ143" s="14" t="s">
        <v>87</v>
      </c>
      <c r="AK143" s="14" t="s">
        <v>2048</v>
      </c>
      <c r="AL143" s="14" t="s">
        <v>2048</v>
      </c>
      <c r="AM143" s="14" t="s">
        <v>2048</v>
      </c>
      <c r="AN143" s="14" t="s">
        <v>2956</v>
      </c>
      <c r="AO143" s="17" t="s">
        <v>89</v>
      </c>
      <c r="AP143" s="14" t="s">
        <v>2135</v>
      </c>
      <c r="AQ143" s="14" t="s">
        <v>222</v>
      </c>
      <c r="AR143" s="14" t="s">
        <v>2060</v>
      </c>
      <c r="AS143" s="14" t="s">
        <v>2048</v>
      </c>
      <c r="AT143" s="14" t="s">
        <v>72</v>
      </c>
      <c r="AU143" s="14" t="s">
        <v>2993</v>
      </c>
      <c r="AV143" s="14" t="s">
        <v>2994</v>
      </c>
      <c r="AW143" s="14" t="s">
        <v>2048</v>
      </c>
      <c r="AX143" s="14" t="s">
        <v>2048</v>
      </c>
      <c r="AY143" s="14" t="s">
        <v>119</v>
      </c>
      <c r="AZ143" s="14" t="s">
        <v>223</v>
      </c>
      <c r="BA143" s="14" t="s">
        <v>2960</v>
      </c>
      <c r="BB143" s="14" t="s">
        <v>2048</v>
      </c>
      <c r="BC143" s="14" t="s">
        <v>2048</v>
      </c>
      <c r="BD143" s="14" t="s">
        <v>2576</v>
      </c>
      <c r="BE143" s="14" t="s">
        <v>2577</v>
      </c>
      <c r="BF143" s="14" t="s">
        <v>2961</v>
      </c>
      <c r="BG143" s="14" t="s">
        <v>2962</v>
      </c>
      <c r="BH143" s="14" t="s">
        <v>2963</v>
      </c>
      <c r="BI143" s="14" t="s">
        <v>2287</v>
      </c>
      <c r="BJ143" s="14" t="s">
        <v>2048</v>
      </c>
      <c r="BK143" s="14" t="s">
        <v>2048</v>
      </c>
      <c r="BL143" s="14" t="s">
        <v>2064</v>
      </c>
      <c r="BM143" s="14" t="s">
        <v>72</v>
      </c>
      <c r="BN143" s="14" t="s">
        <v>72</v>
      </c>
      <c r="BO143" s="14" t="s">
        <v>2998</v>
      </c>
      <c r="BP143" s="14" t="s">
        <v>2048</v>
      </c>
      <c r="BQ143" s="14" t="s">
        <v>2048</v>
      </c>
      <c r="BR143" s="14" t="s">
        <v>2331</v>
      </c>
      <c r="BS143" s="14" t="s">
        <v>2131</v>
      </c>
      <c r="BT143" s="14" t="s">
        <v>2048</v>
      </c>
      <c r="BU143" s="14" t="s">
        <v>2048</v>
      </c>
      <c r="BV143" s="14" t="s">
        <v>2048</v>
      </c>
      <c r="BW143" s="14" t="s">
        <v>2048</v>
      </c>
      <c r="BX143" s="14" t="s">
        <v>72</v>
      </c>
      <c r="BY143" s="14" t="s">
        <v>2048</v>
      </c>
      <c r="BZ143" s="14" t="s">
        <v>2048</v>
      </c>
      <c r="CA143" s="14" t="s">
        <v>2048</v>
      </c>
      <c r="CB143" s="14" t="s">
        <v>2048</v>
      </c>
      <c r="CC143" s="14" t="s">
        <v>2048</v>
      </c>
      <c r="CD143" s="14" t="s">
        <v>2048</v>
      </c>
      <c r="CE143" s="14" t="s">
        <v>2048</v>
      </c>
      <c r="CF143" s="14" t="s">
        <v>2048</v>
      </c>
      <c r="CG143" s="14" t="s">
        <v>2068</v>
      </c>
      <c r="CH143" s="14" t="s">
        <v>2069</v>
      </c>
      <c r="CI143" s="14" t="s">
        <v>2048</v>
      </c>
      <c r="CJ143" s="17"/>
      <c r="CK143" s="17">
        <v>45625</v>
      </c>
      <c r="CL143" s="17">
        <v>45625</v>
      </c>
      <c r="CM143" s="17">
        <v>2958465</v>
      </c>
      <c r="CN143" s="17"/>
      <c r="CO143" s="19">
        <v>0</v>
      </c>
      <c r="CP143" s="19">
        <v>0</v>
      </c>
      <c r="CQ143" s="19">
        <v>0</v>
      </c>
      <c r="CR143" s="19">
        <v>0</v>
      </c>
      <c r="CS143" s="19">
        <v>0</v>
      </c>
      <c r="CT143" s="19">
        <v>0</v>
      </c>
      <c r="CU143" s="19">
        <v>0</v>
      </c>
      <c r="CV143" s="17"/>
      <c r="CW143" s="19">
        <v>0</v>
      </c>
      <c r="CX143" s="17"/>
      <c r="CY143" s="17">
        <v>47086</v>
      </c>
      <c r="CZ143" s="19">
        <v>0</v>
      </c>
      <c r="DA143" s="17"/>
      <c r="DB143" s="17"/>
      <c r="DC143" s="19">
        <v>100</v>
      </c>
      <c r="DD143" s="17"/>
      <c r="DE143" s="17">
        <v>2958465</v>
      </c>
      <c r="DF143" s="17"/>
      <c r="DG143" s="17"/>
      <c r="DH143" s="19">
        <v>0</v>
      </c>
      <c r="DI143" s="19">
        <v>0</v>
      </c>
    </row>
    <row r="144" spans="1:113" x14ac:dyDescent="0.2">
      <c r="A144" s="14" t="s">
        <v>2315</v>
      </c>
      <c r="B144" s="16" t="s">
        <v>218</v>
      </c>
      <c r="C144" s="14" t="s">
        <v>158</v>
      </c>
      <c r="D144" s="14" t="s">
        <v>159</v>
      </c>
      <c r="E144" s="14" t="s">
        <v>158</v>
      </c>
      <c r="F144" s="14" t="s">
        <v>2044</v>
      </c>
      <c r="G144" s="14" t="s">
        <v>2045</v>
      </c>
      <c r="H144" s="14" t="s">
        <v>215</v>
      </c>
      <c r="I144" s="14" t="s">
        <v>216</v>
      </c>
      <c r="J144" s="16">
        <f>COUNTIF($I$3:I144, I144)</f>
        <v>1</v>
      </c>
      <c r="K144" s="14" t="s">
        <v>2048</v>
      </c>
      <c r="L144" s="14" t="s">
        <v>2048</v>
      </c>
      <c r="M144" s="14" t="s">
        <v>2048</v>
      </c>
      <c r="N144" s="14" t="s">
        <v>2048</v>
      </c>
      <c r="O144" s="14" t="s">
        <v>2999</v>
      </c>
      <c r="P144" s="14" t="s">
        <v>219</v>
      </c>
      <c r="Q144" s="14" t="s">
        <v>2048</v>
      </c>
      <c r="R144" s="14" t="s">
        <v>2048</v>
      </c>
      <c r="S144" s="14" t="s">
        <v>2048</v>
      </c>
      <c r="T144" s="14" t="s">
        <v>2048</v>
      </c>
      <c r="U144" s="14" t="s">
        <v>2048</v>
      </c>
      <c r="V144" s="14" t="s">
        <v>2050</v>
      </c>
      <c r="W144" s="14" t="s">
        <v>2048</v>
      </c>
      <c r="X144" s="14" t="s">
        <v>2048</v>
      </c>
      <c r="Y144" s="14" t="s">
        <v>2048</v>
      </c>
      <c r="Z144" s="14" t="s">
        <v>2048</v>
      </c>
      <c r="AA144" s="14" t="s">
        <v>2048</v>
      </c>
      <c r="AB144" s="14" t="s">
        <v>140</v>
      </c>
      <c r="AC144" s="14" t="s">
        <v>151</v>
      </c>
      <c r="AD144" s="14" t="s">
        <v>2132</v>
      </c>
      <c r="AE144" s="14" t="s">
        <v>2133</v>
      </c>
      <c r="AF144" s="14" t="s">
        <v>2055</v>
      </c>
      <c r="AG144" s="14" t="s">
        <v>2055</v>
      </c>
      <c r="AH144" s="14" t="s">
        <v>2055</v>
      </c>
      <c r="AI144" s="14" t="s">
        <v>2057</v>
      </c>
      <c r="AJ144" s="14" t="s">
        <v>87</v>
      </c>
      <c r="AK144" s="14" t="s">
        <v>2048</v>
      </c>
      <c r="AL144" s="14" t="s">
        <v>2048</v>
      </c>
      <c r="AM144" s="14" t="s">
        <v>2048</v>
      </c>
      <c r="AN144" s="14" t="s">
        <v>2374</v>
      </c>
      <c r="AO144" s="17" t="s">
        <v>89</v>
      </c>
      <c r="AP144" s="14" t="s">
        <v>2135</v>
      </c>
      <c r="AQ144" s="14" t="s">
        <v>212</v>
      </c>
      <c r="AR144" s="14" t="s">
        <v>2060</v>
      </c>
      <c r="AS144" s="14" t="s">
        <v>2048</v>
      </c>
      <c r="AT144" s="14" t="s">
        <v>72</v>
      </c>
      <c r="AU144" s="14" t="s">
        <v>2376</v>
      </c>
      <c r="AV144" s="14" t="s">
        <v>2377</v>
      </c>
      <c r="AW144" s="14" t="s">
        <v>2048</v>
      </c>
      <c r="AX144" s="14" t="s">
        <v>2048</v>
      </c>
      <c r="AY144" s="14" t="s">
        <v>215</v>
      </c>
      <c r="AZ144" s="14" t="s">
        <v>217</v>
      </c>
      <c r="BA144" s="14" t="s">
        <v>3000</v>
      </c>
      <c r="BB144" s="14" t="s">
        <v>2048</v>
      </c>
      <c r="BC144" s="14" t="s">
        <v>2048</v>
      </c>
      <c r="BD144" s="14" t="s">
        <v>2379</v>
      </c>
      <c r="BE144" s="14" t="s">
        <v>2622</v>
      </c>
      <c r="BF144" s="14" t="s">
        <v>2048</v>
      </c>
      <c r="BG144" s="14" t="s">
        <v>2048</v>
      </c>
      <c r="BH144" s="14" t="s">
        <v>2381</v>
      </c>
      <c r="BI144" s="14" t="s">
        <v>2382</v>
      </c>
      <c r="BJ144" s="14" t="s">
        <v>2048</v>
      </c>
      <c r="BK144" s="14" t="s">
        <v>2048</v>
      </c>
      <c r="BL144" s="14" t="s">
        <v>2064</v>
      </c>
      <c r="BM144" s="14" t="s">
        <v>72</v>
      </c>
      <c r="BN144" s="14" t="s">
        <v>72</v>
      </c>
      <c r="BO144" s="14" t="s">
        <v>3001</v>
      </c>
      <c r="BP144" s="14" t="s">
        <v>2048</v>
      </c>
      <c r="BQ144" s="14" t="s">
        <v>2048</v>
      </c>
      <c r="BR144" s="14" t="s">
        <v>2331</v>
      </c>
      <c r="BS144" s="14" t="s">
        <v>2131</v>
      </c>
      <c r="BT144" s="14" t="s">
        <v>2048</v>
      </c>
      <c r="BU144" s="14" t="s">
        <v>2048</v>
      </c>
      <c r="BV144" s="14" t="s">
        <v>2048</v>
      </c>
      <c r="BW144" s="14" t="s">
        <v>2048</v>
      </c>
      <c r="BX144" s="14" t="s">
        <v>72</v>
      </c>
      <c r="BY144" s="14" t="s">
        <v>2048</v>
      </c>
      <c r="BZ144" s="14" t="s">
        <v>2048</v>
      </c>
      <c r="CA144" s="14" t="s">
        <v>2048</v>
      </c>
      <c r="CB144" s="14" t="s">
        <v>2048</v>
      </c>
      <c r="CC144" s="14" t="s">
        <v>2048</v>
      </c>
      <c r="CD144" s="14" t="s">
        <v>2048</v>
      </c>
      <c r="CE144" s="14" t="s">
        <v>2048</v>
      </c>
      <c r="CF144" s="14" t="s">
        <v>2048</v>
      </c>
      <c r="CG144" s="14" t="s">
        <v>2068</v>
      </c>
      <c r="CH144" s="14" t="s">
        <v>2069</v>
      </c>
      <c r="CI144" s="14" t="s">
        <v>2048</v>
      </c>
      <c r="CJ144" s="17"/>
      <c r="CK144" s="17">
        <v>45625</v>
      </c>
      <c r="CL144" s="17">
        <v>45625</v>
      </c>
      <c r="CM144" s="17">
        <v>2958465</v>
      </c>
      <c r="CN144" s="17"/>
      <c r="CO144" s="19">
        <v>0</v>
      </c>
      <c r="CP144" s="19">
        <v>0</v>
      </c>
      <c r="CQ144" s="19">
        <v>0</v>
      </c>
      <c r="CR144" s="19">
        <v>0</v>
      </c>
      <c r="CS144" s="19">
        <v>0</v>
      </c>
      <c r="CT144" s="19">
        <v>0</v>
      </c>
      <c r="CU144" s="19">
        <v>0</v>
      </c>
      <c r="CV144" s="17"/>
      <c r="CW144" s="19">
        <v>0</v>
      </c>
      <c r="CX144" s="17"/>
      <c r="CY144" s="17">
        <v>47086</v>
      </c>
      <c r="CZ144" s="19">
        <v>0</v>
      </c>
      <c r="DA144" s="17"/>
      <c r="DB144" s="17"/>
      <c r="DC144" s="19">
        <v>100</v>
      </c>
      <c r="DD144" s="17"/>
      <c r="DE144" s="17">
        <v>2958465</v>
      </c>
      <c r="DF144" s="17"/>
      <c r="DG144" s="17"/>
      <c r="DH144" s="19">
        <v>0</v>
      </c>
      <c r="DI144" s="19">
        <v>0</v>
      </c>
    </row>
    <row r="145" spans="1:113" x14ac:dyDescent="0.2">
      <c r="A145" s="14" t="s">
        <v>2315</v>
      </c>
      <c r="B145" s="16" t="s">
        <v>1109</v>
      </c>
      <c r="C145" s="14" t="s">
        <v>158</v>
      </c>
      <c r="D145" s="14" t="s">
        <v>159</v>
      </c>
      <c r="E145" s="14" t="s">
        <v>158</v>
      </c>
      <c r="F145" s="14" t="s">
        <v>2044</v>
      </c>
      <c r="G145" s="14" t="s">
        <v>2045</v>
      </c>
      <c r="H145" s="14" t="s">
        <v>119</v>
      </c>
      <c r="I145" s="14" t="s">
        <v>120</v>
      </c>
      <c r="J145" s="16">
        <f>COUNTIF($I$3:I145, I145)</f>
        <v>17</v>
      </c>
      <c r="K145" s="14" t="s">
        <v>2048</v>
      </c>
      <c r="L145" s="14" t="s">
        <v>2048</v>
      </c>
      <c r="M145" s="14" t="s">
        <v>2048</v>
      </c>
      <c r="N145" s="14" t="s">
        <v>2048</v>
      </c>
      <c r="O145" s="14" t="s">
        <v>3002</v>
      </c>
      <c r="P145" s="14" t="s">
        <v>1110</v>
      </c>
      <c r="Q145" s="14" t="s">
        <v>72</v>
      </c>
      <c r="R145" s="14" t="s">
        <v>2048</v>
      </c>
      <c r="S145" s="14" t="s">
        <v>2048</v>
      </c>
      <c r="T145" s="14" t="s">
        <v>2422</v>
      </c>
      <c r="U145" s="14" t="s">
        <v>2049</v>
      </c>
      <c r="V145" s="14" t="s">
        <v>2050</v>
      </c>
      <c r="W145" s="14" t="s">
        <v>2048</v>
      </c>
      <c r="X145" s="14" t="s">
        <v>2048</v>
      </c>
      <c r="Y145" s="14" t="s">
        <v>2048</v>
      </c>
      <c r="Z145" s="14" t="s">
        <v>2048</v>
      </c>
      <c r="AA145" s="14" t="s">
        <v>2048</v>
      </c>
      <c r="AB145" s="14" t="s">
        <v>140</v>
      </c>
      <c r="AC145" s="14" t="s">
        <v>151</v>
      </c>
      <c r="AD145" s="14" t="s">
        <v>2132</v>
      </c>
      <c r="AE145" s="14" t="s">
        <v>2133</v>
      </c>
      <c r="AF145" s="14" t="s">
        <v>2055</v>
      </c>
      <c r="AG145" s="14" t="s">
        <v>2055</v>
      </c>
      <c r="AH145" s="14" t="s">
        <v>2055</v>
      </c>
      <c r="AI145" s="14" t="s">
        <v>2057</v>
      </c>
      <c r="AJ145" s="14" t="s">
        <v>87</v>
      </c>
      <c r="AK145" s="14" t="s">
        <v>2048</v>
      </c>
      <c r="AL145" s="14" t="s">
        <v>2048</v>
      </c>
      <c r="AM145" s="14" t="s">
        <v>2048</v>
      </c>
      <c r="AN145" s="14" t="s">
        <v>2374</v>
      </c>
      <c r="AO145" s="17" t="s">
        <v>89</v>
      </c>
      <c r="AP145" s="14" t="s">
        <v>2208</v>
      </c>
      <c r="AQ145" s="14" t="s">
        <v>3003</v>
      </c>
      <c r="AR145" s="14" t="s">
        <v>2060</v>
      </c>
      <c r="AS145" s="14" t="s">
        <v>2048</v>
      </c>
      <c r="AT145" s="14" t="s">
        <v>72</v>
      </c>
      <c r="AU145" s="14" t="s">
        <v>2376</v>
      </c>
      <c r="AV145" s="14" t="s">
        <v>2377</v>
      </c>
      <c r="AW145" s="14" t="s">
        <v>2048</v>
      </c>
      <c r="AX145" s="14" t="s">
        <v>2048</v>
      </c>
      <c r="AY145" s="14" t="s">
        <v>119</v>
      </c>
      <c r="AZ145" s="14" t="s">
        <v>501</v>
      </c>
      <c r="BA145" s="14" t="s">
        <v>2621</v>
      </c>
      <c r="BB145" s="14" t="s">
        <v>2048</v>
      </c>
      <c r="BC145" s="14" t="s">
        <v>2048</v>
      </c>
      <c r="BD145" s="14" t="s">
        <v>2379</v>
      </c>
      <c r="BE145" s="14" t="s">
        <v>2622</v>
      </c>
      <c r="BF145" s="14" t="s">
        <v>2048</v>
      </c>
      <c r="BG145" s="14" t="s">
        <v>2048</v>
      </c>
      <c r="BH145" s="14" t="s">
        <v>2381</v>
      </c>
      <c r="BI145" s="14" t="s">
        <v>2382</v>
      </c>
      <c r="BJ145" s="14" t="s">
        <v>2048</v>
      </c>
      <c r="BK145" s="14" t="s">
        <v>2048</v>
      </c>
      <c r="BL145" s="14" t="s">
        <v>2064</v>
      </c>
      <c r="BM145" s="14" t="s">
        <v>72</v>
      </c>
      <c r="BN145" s="14" t="s">
        <v>72</v>
      </c>
      <c r="BO145" s="14" t="s">
        <v>3004</v>
      </c>
      <c r="BP145" s="14" t="s">
        <v>2048</v>
      </c>
      <c r="BQ145" s="14" t="s">
        <v>2048</v>
      </c>
      <c r="BR145" s="14" t="s">
        <v>2331</v>
      </c>
      <c r="BS145" s="14" t="s">
        <v>2131</v>
      </c>
      <c r="BT145" s="14" t="s">
        <v>2048</v>
      </c>
      <c r="BU145" s="14" t="s">
        <v>2048</v>
      </c>
      <c r="BV145" s="14" t="s">
        <v>2048</v>
      </c>
      <c r="BW145" s="14" t="s">
        <v>2048</v>
      </c>
      <c r="BX145" s="14" t="s">
        <v>72</v>
      </c>
      <c r="BY145" s="14" t="s">
        <v>2048</v>
      </c>
      <c r="BZ145" s="14" t="s">
        <v>2048</v>
      </c>
      <c r="CA145" s="14" t="s">
        <v>2048</v>
      </c>
      <c r="CB145" s="14" t="s">
        <v>2048</v>
      </c>
      <c r="CC145" s="14" t="s">
        <v>2048</v>
      </c>
      <c r="CD145" s="14" t="s">
        <v>2048</v>
      </c>
      <c r="CE145" s="14" t="s">
        <v>2048</v>
      </c>
      <c r="CF145" s="14" t="s">
        <v>2048</v>
      </c>
      <c r="CG145" s="14" t="s">
        <v>2068</v>
      </c>
      <c r="CH145" s="14" t="s">
        <v>2069</v>
      </c>
      <c r="CI145" s="14" t="s">
        <v>2048</v>
      </c>
      <c r="CJ145" s="17"/>
      <c r="CK145" s="17">
        <v>45625</v>
      </c>
      <c r="CL145" s="17">
        <v>45625</v>
      </c>
      <c r="CM145" s="17">
        <v>2958465</v>
      </c>
      <c r="CN145" s="17"/>
      <c r="CO145" s="19">
        <v>0</v>
      </c>
      <c r="CP145" s="19">
        <v>0</v>
      </c>
      <c r="CQ145" s="19">
        <v>0</v>
      </c>
      <c r="CR145" s="19">
        <v>0</v>
      </c>
      <c r="CS145" s="19">
        <v>0</v>
      </c>
      <c r="CT145" s="19">
        <v>0</v>
      </c>
      <c r="CU145" s="19">
        <v>0</v>
      </c>
      <c r="CV145" s="17"/>
      <c r="CW145" s="19">
        <v>0</v>
      </c>
      <c r="CX145" s="17"/>
      <c r="CY145" s="17">
        <v>47086</v>
      </c>
      <c r="CZ145" s="19">
        <v>0</v>
      </c>
      <c r="DA145" s="17"/>
      <c r="DB145" s="17"/>
      <c r="DC145" s="19">
        <v>100</v>
      </c>
      <c r="DD145" s="17"/>
      <c r="DE145" s="17">
        <v>2958465</v>
      </c>
      <c r="DF145" s="17"/>
      <c r="DG145" s="17"/>
      <c r="DH145" s="19">
        <v>0</v>
      </c>
      <c r="DI145" s="19">
        <v>0</v>
      </c>
    </row>
    <row r="146" spans="1:113" x14ac:dyDescent="0.2">
      <c r="A146" s="14" t="s">
        <v>2315</v>
      </c>
      <c r="B146" s="16" t="s">
        <v>823</v>
      </c>
      <c r="C146" s="14" t="s">
        <v>158</v>
      </c>
      <c r="D146" s="14" t="s">
        <v>159</v>
      </c>
      <c r="E146" s="14" t="s">
        <v>158</v>
      </c>
      <c r="F146" s="14" t="s">
        <v>2044</v>
      </c>
      <c r="G146" s="14" t="s">
        <v>2045</v>
      </c>
      <c r="H146" s="14" t="s">
        <v>119</v>
      </c>
      <c r="I146" s="14" t="s">
        <v>120</v>
      </c>
      <c r="J146" s="16">
        <f>COUNTIF($I$3:I146, I146)</f>
        <v>18</v>
      </c>
      <c r="K146" s="14" t="s">
        <v>2048</v>
      </c>
      <c r="L146" s="14" t="s">
        <v>2048</v>
      </c>
      <c r="M146" s="14" t="s">
        <v>2048</v>
      </c>
      <c r="N146" s="14" t="s">
        <v>2048</v>
      </c>
      <c r="O146" s="14" t="s">
        <v>3005</v>
      </c>
      <c r="P146" s="14" t="s">
        <v>824</v>
      </c>
      <c r="Q146" s="14" t="s">
        <v>72</v>
      </c>
      <c r="R146" s="14" t="s">
        <v>2048</v>
      </c>
      <c r="S146" s="14" t="s">
        <v>2048</v>
      </c>
      <c r="T146" s="14" t="s">
        <v>2048</v>
      </c>
      <c r="U146" s="14" t="s">
        <v>2048</v>
      </c>
      <c r="V146" s="14" t="s">
        <v>2050</v>
      </c>
      <c r="W146" s="14" t="s">
        <v>2048</v>
      </c>
      <c r="X146" s="14" t="s">
        <v>2048</v>
      </c>
      <c r="Y146" s="14" t="s">
        <v>2048</v>
      </c>
      <c r="Z146" s="14" t="s">
        <v>2048</v>
      </c>
      <c r="AA146" s="14" t="s">
        <v>2048</v>
      </c>
      <c r="AB146" s="14" t="s">
        <v>140</v>
      </c>
      <c r="AC146" s="14" t="s">
        <v>151</v>
      </c>
      <c r="AD146" s="14" t="s">
        <v>2132</v>
      </c>
      <c r="AE146" s="14" t="s">
        <v>2133</v>
      </c>
      <c r="AF146" s="14" t="s">
        <v>2055</v>
      </c>
      <c r="AG146" s="14" t="s">
        <v>2055</v>
      </c>
      <c r="AH146" s="14" t="s">
        <v>2055</v>
      </c>
      <c r="AI146" s="14" t="s">
        <v>2057</v>
      </c>
      <c r="AJ146" s="14" t="s">
        <v>87</v>
      </c>
      <c r="AK146" s="14" t="s">
        <v>2048</v>
      </c>
      <c r="AL146" s="14" t="s">
        <v>2048</v>
      </c>
      <c r="AM146" s="14" t="s">
        <v>2048</v>
      </c>
      <c r="AN146" s="14" t="s">
        <v>3006</v>
      </c>
      <c r="AO146" s="17" t="s">
        <v>89</v>
      </c>
      <c r="AP146" s="14" t="s">
        <v>2135</v>
      </c>
      <c r="AQ146" s="14" t="s">
        <v>264</v>
      </c>
      <c r="AR146" s="14" t="s">
        <v>2060</v>
      </c>
      <c r="AS146" s="14" t="s">
        <v>2048</v>
      </c>
      <c r="AT146" s="14" t="s">
        <v>72</v>
      </c>
      <c r="AU146" s="14" t="s">
        <v>2993</v>
      </c>
      <c r="AV146" s="14" t="s">
        <v>2994</v>
      </c>
      <c r="AW146" s="14" t="s">
        <v>2048</v>
      </c>
      <c r="AX146" s="14" t="s">
        <v>2048</v>
      </c>
      <c r="AY146" s="14" t="s">
        <v>119</v>
      </c>
      <c r="AZ146" s="14" t="s">
        <v>265</v>
      </c>
      <c r="BA146" s="14" t="s">
        <v>3007</v>
      </c>
      <c r="BB146" s="14" t="s">
        <v>2048</v>
      </c>
      <c r="BC146" s="14" t="s">
        <v>2048</v>
      </c>
      <c r="BD146" s="14" t="s">
        <v>2576</v>
      </c>
      <c r="BE146" s="14" t="s">
        <v>2577</v>
      </c>
      <c r="BF146" s="14" t="s">
        <v>2961</v>
      </c>
      <c r="BG146" s="14" t="s">
        <v>2962</v>
      </c>
      <c r="BH146" s="14" t="s">
        <v>3008</v>
      </c>
      <c r="BI146" s="14" t="s">
        <v>2287</v>
      </c>
      <c r="BJ146" s="14" t="s">
        <v>2048</v>
      </c>
      <c r="BK146" s="14" t="s">
        <v>2048</v>
      </c>
      <c r="BL146" s="14" t="s">
        <v>2064</v>
      </c>
      <c r="BM146" s="14" t="s">
        <v>72</v>
      </c>
      <c r="BN146" s="14" t="s">
        <v>72</v>
      </c>
      <c r="BO146" s="14" t="s">
        <v>3009</v>
      </c>
      <c r="BP146" s="14" t="s">
        <v>2048</v>
      </c>
      <c r="BQ146" s="14" t="s">
        <v>2048</v>
      </c>
      <c r="BR146" s="14" t="s">
        <v>2331</v>
      </c>
      <c r="BS146" s="14" t="s">
        <v>2131</v>
      </c>
      <c r="BT146" s="14" t="s">
        <v>2048</v>
      </c>
      <c r="BU146" s="14" t="s">
        <v>2048</v>
      </c>
      <c r="BV146" s="14" t="s">
        <v>2048</v>
      </c>
      <c r="BW146" s="14" t="s">
        <v>2048</v>
      </c>
      <c r="BX146" s="14" t="s">
        <v>72</v>
      </c>
      <c r="BY146" s="14" t="s">
        <v>2048</v>
      </c>
      <c r="BZ146" s="14" t="s">
        <v>2048</v>
      </c>
      <c r="CA146" s="14" t="s">
        <v>2048</v>
      </c>
      <c r="CB146" s="14" t="s">
        <v>2048</v>
      </c>
      <c r="CC146" s="14" t="s">
        <v>2048</v>
      </c>
      <c r="CD146" s="14" t="s">
        <v>2048</v>
      </c>
      <c r="CE146" s="14" t="s">
        <v>2048</v>
      </c>
      <c r="CF146" s="14" t="s">
        <v>2048</v>
      </c>
      <c r="CG146" s="14" t="s">
        <v>2068</v>
      </c>
      <c r="CH146" s="14" t="s">
        <v>2069</v>
      </c>
      <c r="CI146" s="14" t="s">
        <v>2048</v>
      </c>
      <c r="CJ146" s="17"/>
      <c r="CK146" s="17">
        <v>45625</v>
      </c>
      <c r="CL146" s="17">
        <v>45625</v>
      </c>
      <c r="CM146" s="17">
        <v>2958465</v>
      </c>
      <c r="CN146" s="17"/>
      <c r="CO146" s="19">
        <v>0</v>
      </c>
      <c r="CP146" s="19">
        <v>0</v>
      </c>
      <c r="CQ146" s="19">
        <v>0</v>
      </c>
      <c r="CR146" s="19">
        <v>0</v>
      </c>
      <c r="CS146" s="19">
        <v>0</v>
      </c>
      <c r="CT146" s="19">
        <v>0</v>
      </c>
      <c r="CU146" s="19">
        <v>0</v>
      </c>
      <c r="CV146" s="17"/>
      <c r="CW146" s="19">
        <v>0</v>
      </c>
      <c r="CX146" s="17"/>
      <c r="CY146" s="17">
        <v>47086</v>
      </c>
      <c r="CZ146" s="19">
        <v>0</v>
      </c>
      <c r="DA146" s="17"/>
      <c r="DB146" s="17"/>
      <c r="DC146" s="19">
        <v>100</v>
      </c>
      <c r="DD146" s="17"/>
      <c r="DE146" s="17">
        <v>2958465</v>
      </c>
      <c r="DF146" s="17"/>
      <c r="DG146" s="17"/>
      <c r="DH146" s="19">
        <v>0</v>
      </c>
      <c r="DI146" s="19">
        <v>0</v>
      </c>
    </row>
    <row r="147" spans="1:113" x14ac:dyDescent="0.2">
      <c r="A147" s="14" t="s">
        <v>2315</v>
      </c>
      <c r="B147" s="16" t="s">
        <v>483</v>
      </c>
      <c r="C147" s="14" t="s">
        <v>158</v>
      </c>
      <c r="D147" s="14" t="s">
        <v>159</v>
      </c>
      <c r="E147" s="14" t="s">
        <v>158</v>
      </c>
      <c r="F147" s="14" t="s">
        <v>2044</v>
      </c>
      <c r="G147" s="14" t="s">
        <v>2045</v>
      </c>
      <c r="H147" s="14" t="s">
        <v>119</v>
      </c>
      <c r="I147" s="14" t="s">
        <v>120</v>
      </c>
      <c r="J147" s="16">
        <f>COUNTIF($I$3:I147, I147)</f>
        <v>19</v>
      </c>
      <c r="K147" s="14" t="s">
        <v>2048</v>
      </c>
      <c r="L147" s="14" t="s">
        <v>2048</v>
      </c>
      <c r="M147" s="14" t="s">
        <v>2048</v>
      </c>
      <c r="N147" s="14" t="s">
        <v>2048</v>
      </c>
      <c r="O147" s="14" t="s">
        <v>3010</v>
      </c>
      <c r="P147" s="14" t="s">
        <v>484</v>
      </c>
      <c r="Q147" s="14" t="s">
        <v>72</v>
      </c>
      <c r="R147" s="14" t="s">
        <v>2048</v>
      </c>
      <c r="S147" s="14" t="s">
        <v>2048</v>
      </c>
      <c r="T147" s="14" t="s">
        <v>2422</v>
      </c>
      <c r="U147" s="14" t="s">
        <v>2049</v>
      </c>
      <c r="V147" s="14" t="s">
        <v>2050</v>
      </c>
      <c r="W147" s="14" t="s">
        <v>2048</v>
      </c>
      <c r="X147" s="14" t="s">
        <v>2048</v>
      </c>
      <c r="Y147" s="14" t="s">
        <v>2048</v>
      </c>
      <c r="Z147" s="14" t="s">
        <v>2048</v>
      </c>
      <c r="AA147" s="14" t="s">
        <v>2048</v>
      </c>
      <c r="AB147" s="14" t="s">
        <v>140</v>
      </c>
      <c r="AC147" s="14" t="s">
        <v>151</v>
      </c>
      <c r="AD147" s="14" t="s">
        <v>2132</v>
      </c>
      <c r="AE147" s="14" t="s">
        <v>2133</v>
      </c>
      <c r="AF147" s="14" t="s">
        <v>2055</v>
      </c>
      <c r="AG147" s="14" t="s">
        <v>2055</v>
      </c>
      <c r="AH147" s="14" t="s">
        <v>2055</v>
      </c>
      <c r="AI147" s="14" t="s">
        <v>2057</v>
      </c>
      <c r="AJ147" s="14" t="s">
        <v>87</v>
      </c>
      <c r="AK147" s="14" t="s">
        <v>2048</v>
      </c>
      <c r="AL147" s="14" t="s">
        <v>2048</v>
      </c>
      <c r="AM147" s="14" t="s">
        <v>2048</v>
      </c>
      <c r="AN147" s="14" t="s">
        <v>2585</v>
      </c>
      <c r="AO147" s="17" t="s">
        <v>89</v>
      </c>
      <c r="AP147" s="14" t="s">
        <v>2135</v>
      </c>
      <c r="AQ147" s="14" t="s">
        <v>322</v>
      </c>
      <c r="AR147" s="14" t="s">
        <v>2060</v>
      </c>
      <c r="AS147" s="14" t="s">
        <v>2048</v>
      </c>
      <c r="AT147" s="14" t="s">
        <v>2048</v>
      </c>
      <c r="AU147" s="14" t="s">
        <v>2589</v>
      </c>
      <c r="AV147" s="14" t="s">
        <v>2590</v>
      </c>
      <c r="AW147" s="14" t="s">
        <v>2048</v>
      </c>
      <c r="AX147" s="14" t="s">
        <v>2048</v>
      </c>
      <c r="AY147" s="14" t="s">
        <v>119</v>
      </c>
      <c r="AZ147" s="14" t="s">
        <v>323</v>
      </c>
      <c r="BA147" s="14" t="s">
        <v>3011</v>
      </c>
      <c r="BB147" s="14" t="s">
        <v>2048</v>
      </c>
      <c r="BC147" s="14" t="s">
        <v>2048</v>
      </c>
      <c r="BD147" s="14" t="s">
        <v>2592</v>
      </c>
      <c r="BE147" s="14" t="s">
        <v>2593</v>
      </c>
      <c r="BF147" s="14" t="s">
        <v>2594</v>
      </c>
      <c r="BG147" s="14" t="s">
        <v>2595</v>
      </c>
      <c r="BH147" s="14" t="s">
        <v>2596</v>
      </c>
      <c r="BI147" s="14" t="s">
        <v>2287</v>
      </c>
      <c r="BJ147" s="14" t="s">
        <v>2048</v>
      </c>
      <c r="BK147" s="14" t="s">
        <v>2048</v>
      </c>
      <c r="BL147" s="14" t="s">
        <v>2064</v>
      </c>
      <c r="BM147" s="14" t="s">
        <v>72</v>
      </c>
      <c r="BN147" s="14" t="s">
        <v>72</v>
      </c>
      <c r="BO147" s="14" t="s">
        <v>3012</v>
      </c>
      <c r="BP147" s="14" t="s">
        <v>2048</v>
      </c>
      <c r="BQ147" s="14" t="s">
        <v>2048</v>
      </c>
      <c r="BR147" s="14" t="s">
        <v>2331</v>
      </c>
      <c r="BS147" s="14" t="s">
        <v>2131</v>
      </c>
      <c r="BT147" s="14" t="s">
        <v>2048</v>
      </c>
      <c r="BU147" s="14" t="s">
        <v>2048</v>
      </c>
      <c r="BV147" s="14" t="s">
        <v>2048</v>
      </c>
      <c r="BW147" s="14" t="s">
        <v>2048</v>
      </c>
      <c r="BX147" s="14" t="s">
        <v>72</v>
      </c>
      <c r="BY147" s="14" t="s">
        <v>2048</v>
      </c>
      <c r="BZ147" s="14" t="s">
        <v>2048</v>
      </c>
      <c r="CA147" s="14" t="s">
        <v>2048</v>
      </c>
      <c r="CB147" s="14" t="s">
        <v>2048</v>
      </c>
      <c r="CC147" s="14" t="s">
        <v>2048</v>
      </c>
      <c r="CD147" s="14" t="s">
        <v>2048</v>
      </c>
      <c r="CE147" s="14" t="s">
        <v>2048</v>
      </c>
      <c r="CF147" s="14" t="s">
        <v>2048</v>
      </c>
      <c r="CG147" s="14" t="s">
        <v>2068</v>
      </c>
      <c r="CH147" s="14" t="s">
        <v>2069</v>
      </c>
      <c r="CI147" s="14" t="s">
        <v>2048</v>
      </c>
      <c r="CJ147" s="17"/>
      <c r="CK147" s="17">
        <v>45625</v>
      </c>
      <c r="CL147" s="17">
        <v>45625</v>
      </c>
      <c r="CM147" s="17">
        <v>2958465</v>
      </c>
      <c r="CN147" s="17"/>
      <c r="CO147" s="19">
        <v>0</v>
      </c>
      <c r="CP147" s="19">
        <v>0</v>
      </c>
      <c r="CQ147" s="19">
        <v>0</v>
      </c>
      <c r="CR147" s="19">
        <v>0</v>
      </c>
      <c r="CS147" s="19">
        <v>0</v>
      </c>
      <c r="CT147" s="19">
        <v>0</v>
      </c>
      <c r="CU147" s="19">
        <v>0</v>
      </c>
      <c r="CV147" s="17"/>
      <c r="CW147" s="19">
        <v>0</v>
      </c>
      <c r="CX147" s="17"/>
      <c r="CY147" s="17">
        <v>47086</v>
      </c>
      <c r="CZ147" s="19">
        <v>0</v>
      </c>
      <c r="DA147" s="17"/>
      <c r="DB147" s="17"/>
      <c r="DC147" s="19">
        <v>100</v>
      </c>
      <c r="DD147" s="17"/>
      <c r="DE147" s="17">
        <v>2958465</v>
      </c>
      <c r="DF147" s="17"/>
      <c r="DG147" s="17"/>
      <c r="DH147" s="19">
        <v>0</v>
      </c>
      <c r="DI147" s="19">
        <v>0</v>
      </c>
    </row>
    <row r="148" spans="1:113" x14ac:dyDescent="0.2">
      <c r="A148" s="14" t="s">
        <v>2315</v>
      </c>
      <c r="B148" s="16" t="s">
        <v>502</v>
      </c>
      <c r="C148" s="14" t="s">
        <v>158</v>
      </c>
      <c r="D148" s="14" t="s">
        <v>159</v>
      </c>
      <c r="E148" s="14" t="s">
        <v>158</v>
      </c>
      <c r="F148" s="14" t="s">
        <v>2044</v>
      </c>
      <c r="G148" s="14" t="s">
        <v>2045</v>
      </c>
      <c r="H148" s="14" t="s">
        <v>119</v>
      </c>
      <c r="I148" s="14" t="s">
        <v>120</v>
      </c>
      <c r="J148" s="16">
        <f>COUNTIF($I$3:I148, I148)</f>
        <v>20</v>
      </c>
      <c r="K148" s="14" t="s">
        <v>2048</v>
      </c>
      <c r="L148" s="14" t="s">
        <v>2048</v>
      </c>
      <c r="M148" s="14" t="s">
        <v>2048</v>
      </c>
      <c r="N148" s="14" t="s">
        <v>2048</v>
      </c>
      <c r="O148" s="14" t="s">
        <v>3013</v>
      </c>
      <c r="P148" s="14" t="s">
        <v>503</v>
      </c>
      <c r="Q148" s="14" t="s">
        <v>72</v>
      </c>
      <c r="R148" s="14" t="s">
        <v>2048</v>
      </c>
      <c r="S148" s="14" t="s">
        <v>2048</v>
      </c>
      <c r="T148" s="14" t="s">
        <v>2422</v>
      </c>
      <c r="U148" s="14" t="s">
        <v>2049</v>
      </c>
      <c r="V148" s="14" t="s">
        <v>2050</v>
      </c>
      <c r="W148" s="14" t="s">
        <v>2048</v>
      </c>
      <c r="X148" s="14" t="s">
        <v>2048</v>
      </c>
      <c r="Y148" s="14" t="s">
        <v>2048</v>
      </c>
      <c r="Z148" s="14" t="s">
        <v>2048</v>
      </c>
      <c r="AA148" s="14" t="s">
        <v>2048</v>
      </c>
      <c r="AB148" s="14" t="s">
        <v>140</v>
      </c>
      <c r="AC148" s="14" t="s">
        <v>151</v>
      </c>
      <c r="AD148" s="14" t="s">
        <v>2132</v>
      </c>
      <c r="AE148" s="14" t="s">
        <v>2133</v>
      </c>
      <c r="AF148" s="14" t="s">
        <v>2055</v>
      </c>
      <c r="AG148" s="14" t="s">
        <v>2055</v>
      </c>
      <c r="AH148" s="14" t="s">
        <v>2055</v>
      </c>
      <c r="AI148" s="14" t="s">
        <v>2057</v>
      </c>
      <c r="AJ148" s="14" t="s">
        <v>87</v>
      </c>
      <c r="AK148" s="14" t="s">
        <v>2048</v>
      </c>
      <c r="AL148" s="14" t="s">
        <v>2048</v>
      </c>
      <c r="AM148" s="14" t="s">
        <v>2048</v>
      </c>
      <c r="AN148" s="14" t="s">
        <v>3014</v>
      </c>
      <c r="AO148" s="17" t="s">
        <v>89</v>
      </c>
      <c r="AP148" s="14" t="s">
        <v>2135</v>
      </c>
      <c r="AQ148" s="14" t="s">
        <v>242</v>
      </c>
      <c r="AR148" s="14" t="s">
        <v>2060</v>
      </c>
      <c r="AS148" s="14" t="s">
        <v>2048</v>
      </c>
      <c r="AT148" s="14" t="s">
        <v>72</v>
      </c>
      <c r="AU148" s="14" t="s">
        <v>3015</v>
      </c>
      <c r="AV148" s="14" t="s">
        <v>3016</v>
      </c>
      <c r="AW148" s="14" t="s">
        <v>2048</v>
      </c>
      <c r="AX148" s="14" t="s">
        <v>2048</v>
      </c>
      <c r="AY148" s="14" t="s">
        <v>119</v>
      </c>
      <c r="AZ148" s="14" t="s">
        <v>243</v>
      </c>
      <c r="BA148" s="14" t="s">
        <v>3017</v>
      </c>
      <c r="BB148" s="14" t="s">
        <v>2048</v>
      </c>
      <c r="BC148" s="14" t="s">
        <v>2048</v>
      </c>
      <c r="BD148" s="14" t="s">
        <v>2433</v>
      </c>
      <c r="BE148" s="14" t="s">
        <v>2434</v>
      </c>
      <c r="BF148" s="14" t="s">
        <v>3018</v>
      </c>
      <c r="BG148" s="14" t="s">
        <v>3019</v>
      </c>
      <c r="BH148" s="14" t="s">
        <v>3020</v>
      </c>
      <c r="BI148" s="14" t="s">
        <v>2287</v>
      </c>
      <c r="BJ148" s="14" t="s">
        <v>2048</v>
      </c>
      <c r="BK148" s="14" t="s">
        <v>2048</v>
      </c>
      <c r="BL148" s="14" t="s">
        <v>2064</v>
      </c>
      <c r="BM148" s="14" t="s">
        <v>72</v>
      </c>
      <c r="BN148" s="14" t="s">
        <v>72</v>
      </c>
      <c r="BO148" s="14" t="s">
        <v>3021</v>
      </c>
      <c r="BP148" s="14" t="s">
        <v>2048</v>
      </c>
      <c r="BQ148" s="14" t="s">
        <v>2048</v>
      </c>
      <c r="BR148" s="14" t="s">
        <v>2331</v>
      </c>
      <c r="BS148" s="14" t="s">
        <v>2131</v>
      </c>
      <c r="BT148" s="14" t="s">
        <v>2048</v>
      </c>
      <c r="BU148" s="14" t="s">
        <v>2048</v>
      </c>
      <c r="BV148" s="14" t="s">
        <v>2048</v>
      </c>
      <c r="BW148" s="14" t="s">
        <v>2048</v>
      </c>
      <c r="BX148" s="14" t="s">
        <v>72</v>
      </c>
      <c r="BY148" s="14" t="s">
        <v>2048</v>
      </c>
      <c r="BZ148" s="14" t="s">
        <v>2048</v>
      </c>
      <c r="CA148" s="14" t="s">
        <v>2048</v>
      </c>
      <c r="CB148" s="14" t="s">
        <v>2048</v>
      </c>
      <c r="CC148" s="14" t="s">
        <v>2048</v>
      </c>
      <c r="CD148" s="14" t="s">
        <v>2048</v>
      </c>
      <c r="CE148" s="14" t="s">
        <v>2048</v>
      </c>
      <c r="CF148" s="14" t="s">
        <v>2048</v>
      </c>
      <c r="CG148" s="14" t="s">
        <v>2068</v>
      </c>
      <c r="CH148" s="14" t="s">
        <v>2069</v>
      </c>
      <c r="CI148" s="14" t="s">
        <v>2048</v>
      </c>
      <c r="CJ148" s="17"/>
      <c r="CK148" s="17">
        <v>45625</v>
      </c>
      <c r="CL148" s="17">
        <v>45625</v>
      </c>
      <c r="CM148" s="17">
        <v>2958465</v>
      </c>
      <c r="CN148" s="17"/>
      <c r="CO148" s="19">
        <v>0</v>
      </c>
      <c r="CP148" s="19">
        <v>0</v>
      </c>
      <c r="CQ148" s="19">
        <v>0</v>
      </c>
      <c r="CR148" s="19">
        <v>0</v>
      </c>
      <c r="CS148" s="19">
        <v>0</v>
      </c>
      <c r="CT148" s="19">
        <v>0</v>
      </c>
      <c r="CU148" s="19">
        <v>0</v>
      </c>
      <c r="CV148" s="17"/>
      <c r="CW148" s="19">
        <v>0</v>
      </c>
      <c r="CX148" s="17"/>
      <c r="CY148" s="17">
        <v>47086</v>
      </c>
      <c r="CZ148" s="19">
        <v>0</v>
      </c>
      <c r="DA148" s="17"/>
      <c r="DB148" s="17"/>
      <c r="DC148" s="19">
        <v>100</v>
      </c>
      <c r="DD148" s="17"/>
      <c r="DE148" s="17">
        <v>2958465</v>
      </c>
      <c r="DF148" s="17"/>
      <c r="DG148" s="17"/>
      <c r="DH148" s="19">
        <v>0</v>
      </c>
      <c r="DI148" s="19">
        <v>0</v>
      </c>
    </row>
    <row r="149" spans="1:113" x14ac:dyDescent="0.2">
      <c r="A149" s="14" t="s">
        <v>2315</v>
      </c>
      <c r="B149" s="16" t="s">
        <v>295</v>
      </c>
      <c r="C149" s="14" t="s">
        <v>158</v>
      </c>
      <c r="D149" s="14" t="s">
        <v>159</v>
      </c>
      <c r="E149" s="14" t="s">
        <v>158</v>
      </c>
      <c r="F149" s="14" t="s">
        <v>2044</v>
      </c>
      <c r="G149" s="14" t="s">
        <v>2045</v>
      </c>
      <c r="H149" s="14" t="s">
        <v>119</v>
      </c>
      <c r="I149" s="14" t="s">
        <v>120</v>
      </c>
      <c r="J149" s="16">
        <f>COUNTIF($I$3:I149, I149)</f>
        <v>21</v>
      </c>
      <c r="K149" s="14" t="s">
        <v>2048</v>
      </c>
      <c r="L149" s="14" t="s">
        <v>2048</v>
      </c>
      <c r="M149" s="14" t="s">
        <v>2048</v>
      </c>
      <c r="N149" s="14" t="s">
        <v>2048</v>
      </c>
      <c r="O149" s="14" t="s">
        <v>3022</v>
      </c>
      <c r="P149" s="14" t="s">
        <v>297</v>
      </c>
      <c r="Q149" s="14" t="s">
        <v>72</v>
      </c>
      <c r="R149" s="14" t="s">
        <v>2048</v>
      </c>
      <c r="S149" s="14" t="s">
        <v>2048</v>
      </c>
      <c r="T149" s="14" t="s">
        <v>2422</v>
      </c>
      <c r="U149" s="14" t="s">
        <v>2049</v>
      </c>
      <c r="V149" s="14" t="s">
        <v>2050</v>
      </c>
      <c r="W149" s="14" t="s">
        <v>2048</v>
      </c>
      <c r="X149" s="14" t="s">
        <v>2048</v>
      </c>
      <c r="Y149" s="14" t="s">
        <v>2048</v>
      </c>
      <c r="Z149" s="14" t="s">
        <v>2048</v>
      </c>
      <c r="AA149" s="14" t="s">
        <v>2048</v>
      </c>
      <c r="AB149" s="14" t="s">
        <v>140</v>
      </c>
      <c r="AC149" s="14" t="s">
        <v>151</v>
      </c>
      <c r="AD149" s="14" t="s">
        <v>2132</v>
      </c>
      <c r="AE149" s="14" t="s">
        <v>2133</v>
      </c>
      <c r="AF149" s="14" t="s">
        <v>2055</v>
      </c>
      <c r="AG149" s="14" t="s">
        <v>2055</v>
      </c>
      <c r="AH149" s="14" t="s">
        <v>2055</v>
      </c>
      <c r="AI149" s="14" t="s">
        <v>2057</v>
      </c>
      <c r="AJ149" s="14" t="s">
        <v>87</v>
      </c>
      <c r="AK149" s="14" t="s">
        <v>2048</v>
      </c>
      <c r="AL149" s="14" t="s">
        <v>2048</v>
      </c>
      <c r="AM149" s="14" t="s">
        <v>2048</v>
      </c>
      <c r="AN149" s="14" t="s">
        <v>3023</v>
      </c>
      <c r="AO149" s="17" t="s">
        <v>89</v>
      </c>
      <c r="AP149" s="14" t="s">
        <v>2135</v>
      </c>
      <c r="AQ149" s="14" t="s">
        <v>3024</v>
      </c>
      <c r="AR149" s="14" t="s">
        <v>2060</v>
      </c>
      <c r="AS149" s="14" t="s">
        <v>2048</v>
      </c>
      <c r="AT149" s="14" t="s">
        <v>72</v>
      </c>
      <c r="AU149" s="14" t="s">
        <v>2993</v>
      </c>
      <c r="AV149" s="14" t="s">
        <v>2994</v>
      </c>
      <c r="AW149" s="14" t="s">
        <v>2048</v>
      </c>
      <c r="AX149" s="14" t="s">
        <v>2048</v>
      </c>
      <c r="AY149" s="14" t="s">
        <v>119</v>
      </c>
      <c r="AZ149" s="14" t="s">
        <v>296</v>
      </c>
      <c r="BA149" s="14" t="s">
        <v>3025</v>
      </c>
      <c r="BB149" s="14" t="s">
        <v>2048</v>
      </c>
      <c r="BC149" s="14" t="s">
        <v>2048</v>
      </c>
      <c r="BD149" s="14" t="s">
        <v>2576</v>
      </c>
      <c r="BE149" s="14" t="s">
        <v>2577</v>
      </c>
      <c r="BF149" s="14" t="s">
        <v>2578</v>
      </c>
      <c r="BG149" s="14" t="s">
        <v>2579</v>
      </c>
      <c r="BH149" s="14" t="s">
        <v>2580</v>
      </c>
      <c r="BI149" s="14" t="s">
        <v>2287</v>
      </c>
      <c r="BJ149" s="14" t="s">
        <v>2048</v>
      </c>
      <c r="BK149" s="14" t="s">
        <v>2048</v>
      </c>
      <c r="BL149" s="14" t="s">
        <v>2064</v>
      </c>
      <c r="BM149" s="14" t="s">
        <v>72</v>
      </c>
      <c r="BN149" s="14" t="s">
        <v>72</v>
      </c>
      <c r="BO149" s="14" t="s">
        <v>3026</v>
      </c>
      <c r="BP149" s="14" t="s">
        <v>2048</v>
      </c>
      <c r="BQ149" s="14" t="s">
        <v>2048</v>
      </c>
      <c r="BR149" s="14" t="s">
        <v>2331</v>
      </c>
      <c r="BS149" s="14" t="s">
        <v>2131</v>
      </c>
      <c r="BT149" s="14" t="s">
        <v>2048</v>
      </c>
      <c r="BU149" s="14" t="s">
        <v>2048</v>
      </c>
      <c r="BV149" s="14" t="s">
        <v>2048</v>
      </c>
      <c r="BW149" s="14" t="s">
        <v>2048</v>
      </c>
      <c r="BX149" s="14" t="s">
        <v>72</v>
      </c>
      <c r="BY149" s="14" t="s">
        <v>2048</v>
      </c>
      <c r="BZ149" s="14" t="s">
        <v>2048</v>
      </c>
      <c r="CA149" s="14" t="s">
        <v>2048</v>
      </c>
      <c r="CB149" s="14" t="s">
        <v>2048</v>
      </c>
      <c r="CC149" s="14" t="s">
        <v>2048</v>
      </c>
      <c r="CD149" s="14" t="s">
        <v>2048</v>
      </c>
      <c r="CE149" s="14" t="s">
        <v>2048</v>
      </c>
      <c r="CF149" s="14" t="s">
        <v>2048</v>
      </c>
      <c r="CG149" s="14" t="s">
        <v>2068</v>
      </c>
      <c r="CH149" s="14" t="s">
        <v>2069</v>
      </c>
      <c r="CI149" s="14" t="s">
        <v>2048</v>
      </c>
      <c r="CJ149" s="17"/>
      <c r="CK149" s="17">
        <v>45625</v>
      </c>
      <c r="CL149" s="17">
        <v>45625</v>
      </c>
      <c r="CM149" s="17">
        <v>2958465</v>
      </c>
      <c r="CN149" s="17"/>
      <c r="CO149" s="19">
        <v>0</v>
      </c>
      <c r="CP149" s="19">
        <v>0</v>
      </c>
      <c r="CQ149" s="19">
        <v>0</v>
      </c>
      <c r="CR149" s="19">
        <v>0</v>
      </c>
      <c r="CS149" s="19">
        <v>0</v>
      </c>
      <c r="CT149" s="19">
        <v>0</v>
      </c>
      <c r="CU149" s="19">
        <v>0</v>
      </c>
      <c r="CV149" s="17"/>
      <c r="CW149" s="19">
        <v>0</v>
      </c>
      <c r="CX149" s="17"/>
      <c r="CY149" s="17">
        <v>47086</v>
      </c>
      <c r="CZ149" s="19">
        <v>0</v>
      </c>
      <c r="DA149" s="17"/>
      <c r="DB149" s="17"/>
      <c r="DC149" s="19">
        <v>100</v>
      </c>
      <c r="DD149" s="17"/>
      <c r="DE149" s="17">
        <v>2958465</v>
      </c>
      <c r="DF149" s="17"/>
      <c r="DG149" s="17"/>
      <c r="DH149" s="19">
        <v>0</v>
      </c>
      <c r="DI149" s="19">
        <v>0</v>
      </c>
    </row>
    <row r="150" spans="1:113" x14ac:dyDescent="0.2">
      <c r="A150" s="14" t="s">
        <v>2315</v>
      </c>
      <c r="B150" s="16" t="s">
        <v>777</v>
      </c>
      <c r="C150" s="14" t="s">
        <v>158</v>
      </c>
      <c r="D150" s="14" t="s">
        <v>159</v>
      </c>
      <c r="E150" s="14" t="s">
        <v>158</v>
      </c>
      <c r="F150" s="14" t="s">
        <v>2044</v>
      </c>
      <c r="G150" s="14" t="s">
        <v>2045</v>
      </c>
      <c r="H150" s="14" t="s">
        <v>119</v>
      </c>
      <c r="I150" s="14" t="s">
        <v>120</v>
      </c>
      <c r="J150" s="16">
        <f>COUNTIF($I$3:I150, I150)</f>
        <v>22</v>
      </c>
      <c r="K150" s="14" t="s">
        <v>2048</v>
      </c>
      <c r="L150" s="14" t="s">
        <v>2048</v>
      </c>
      <c r="M150" s="14" t="s">
        <v>2048</v>
      </c>
      <c r="N150" s="14" t="s">
        <v>2048</v>
      </c>
      <c r="O150" s="14" t="s">
        <v>3027</v>
      </c>
      <c r="P150" s="14" t="s">
        <v>778</v>
      </c>
      <c r="Q150" s="14" t="s">
        <v>72</v>
      </c>
      <c r="R150" s="14" t="s">
        <v>2048</v>
      </c>
      <c r="S150" s="14" t="s">
        <v>2048</v>
      </c>
      <c r="T150" s="14" t="s">
        <v>2422</v>
      </c>
      <c r="U150" s="14" t="s">
        <v>2049</v>
      </c>
      <c r="V150" s="14" t="s">
        <v>2050</v>
      </c>
      <c r="W150" s="14" t="s">
        <v>2048</v>
      </c>
      <c r="X150" s="14" t="s">
        <v>2048</v>
      </c>
      <c r="Y150" s="14" t="s">
        <v>2048</v>
      </c>
      <c r="Z150" s="14" t="s">
        <v>2048</v>
      </c>
      <c r="AA150" s="14" t="s">
        <v>2048</v>
      </c>
      <c r="AB150" s="14" t="s">
        <v>140</v>
      </c>
      <c r="AC150" s="14" t="s">
        <v>151</v>
      </c>
      <c r="AD150" s="14" t="s">
        <v>2132</v>
      </c>
      <c r="AE150" s="14" t="s">
        <v>2133</v>
      </c>
      <c r="AF150" s="14" t="s">
        <v>2055</v>
      </c>
      <c r="AG150" s="14" t="s">
        <v>2055</v>
      </c>
      <c r="AH150" s="14" t="s">
        <v>2055</v>
      </c>
      <c r="AI150" s="14" t="s">
        <v>2057</v>
      </c>
      <c r="AJ150" s="14" t="s">
        <v>87</v>
      </c>
      <c r="AK150" s="14" t="s">
        <v>2048</v>
      </c>
      <c r="AL150" s="14" t="s">
        <v>2048</v>
      </c>
      <c r="AM150" s="14" t="s">
        <v>2048</v>
      </c>
      <c r="AN150" s="14" t="s">
        <v>2048</v>
      </c>
      <c r="AO150" s="17" t="s">
        <v>89</v>
      </c>
      <c r="AP150" s="14" t="s">
        <v>2135</v>
      </c>
      <c r="AQ150" s="14" t="s">
        <v>257</v>
      </c>
      <c r="AR150" s="14" t="s">
        <v>2060</v>
      </c>
      <c r="AS150" s="14" t="s">
        <v>2048</v>
      </c>
      <c r="AT150" s="14" t="s">
        <v>72</v>
      </c>
      <c r="AU150" s="14" t="s">
        <v>2993</v>
      </c>
      <c r="AV150" s="14" t="s">
        <v>2994</v>
      </c>
      <c r="AW150" s="14" t="s">
        <v>2048</v>
      </c>
      <c r="AX150" s="14" t="s">
        <v>2048</v>
      </c>
      <c r="AY150" s="14" t="s">
        <v>119</v>
      </c>
      <c r="AZ150" s="14" t="s">
        <v>258</v>
      </c>
      <c r="BA150" s="14" t="s">
        <v>3028</v>
      </c>
      <c r="BB150" s="14" t="s">
        <v>2048</v>
      </c>
      <c r="BC150" s="14" t="s">
        <v>2048</v>
      </c>
      <c r="BD150" s="14" t="s">
        <v>2576</v>
      </c>
      <c r="BE150" s="14" t="s">
        <v>2577</v>
      </c>
      <c r="BF150" s="14" t="s">
        <v>2961</v>
      </c>
      <c r="BG150" s="14" t="s">
        <v>2962</v>
      </c>
      <c r="BH150" s="14" t="s">
        <v>2963</v>
      </c>
      <c r="BI150" s="14" t="s">
        <v>2287</v>
      </c>
      <c r="BJ150" s="14" t="s">
        <v>2048</v>
      </c>
      <c r="BK150" s="14" t="s">
        <v>2048</v>
      </c>
      <c r="BL150" s="14" t="s">
        <v>2064</v>
      </c>
      <c r="BM150" s="14" t="s">
        <v>72</v>
      </c>
      <c r="BN150" s="14" t="s">
        <v>72</v>
      </c>
      <c r="BO150" s="14" t="s">
        <v>3029</v>
      </c>
      <c r="BP150" s="14" t="s">
        <v>2048</v>
      </c>
      <c r="BQ150" s="14" t="s">
        <v>2048</v>
      </c>
      <c r="BR150" s="14" t="s">
        <v>2331</v>
      </c>
      <c r="BS150" s="14" t="s">
        <v>2131</v>
      </c>
      <c r="BT150" s="14" t="s">
        <v>2048</v>
      </c>
      <c r="BU150" s="14" t="s">
        <v>2048</v>
      </c>
      <c r="BV150" s="14" t="s">
        <v>2048</v>
      </c>
      <c r="BW150" s="14" t="s">
        <v>2048</v>
      </c>
      <c r="BX150" s="14" t="s">
        <v>72</v>
      </c>
      <c r="BY150" s="14" t="s">
        <v>2048</v>
      </c>
      <c r="BZ150" s="14" t="s">
        <v>2048</v>
      </c>
      <c r="CA150" s="14" t="s">
        <v>2048</v>
      </c>
      <c r="CB150" s="14" t="s">
        <v>2048</v>
      </c>
      <c r="CC150" s="14" t="s">
        <v>2048</v>
      </c>
      <c r="CD150" s="14" t="s">
        <v>2048</v>
      </c>
      <c r="CE150" s="14" t="s">
        <v>2048</v>
      </c>
      <c r="CF150" s="14" t="s">
        <v>2048</v>
      </c>
      <c r="CG150" s="14" t="s">
        <v>2068</v>
      </c>
      <c r="CH150" s="14" t="s">
        <v>2069</v>
      </c>
      <c r="CI150" s="14" t="s">
        <v>2048</v>
      </c>
      <c r="CJ150" s="17"/>
      <c r="CK150" s="17">
        <v>45625</v>
      </c>
      <c r="CL150" s="17">
        <v>45625</v>
      </c>
      <c r="CM150" s="17">
        <v>2958465</v>
      </c>
      <c r="CN150" s="17"/>
      <c r="CO150" s="19">
        <v>0</v>
      </c>
      <c r="CP150" s="19">
        <v>0</v>
      </c>
      <c r="CQ150" s="19">
        <v>0</v>
      </c>
      <c r="CR150" s="19">
        <v>0</v>
      </c>
      <c r="CS150" s="19">
        <v>0</v>
      </c>
      <c r="CT150" s="19">
        <v>0</v>
      </c>
      <c r="CU150" s="19">
        <v>0</v>
      </c>
      <c r="CV150" s="17"/>
      <c r="CW150" s="19">
        <v>0</v>
      </c>
      <c r="CX150" s="17"/>
      <c r="CY150" s="17">
        <v>47086</v>
      </c>
      <c r="CZ150" s="19">
        <v>0</v>
      </c>
      <c r="DA150" s="17"/>
      <c r="DB150" s="17"/>
      <c r="DC150" s="19">
        <v>100</v>
      </c>
      <c r="DD150" s="17"/>
      <c r="DE150" s="17">
        <v>2958465</v>
      </c>
      <c r="DF150" s="17"/>
      <c r="DG150" s="17"/>
      <c r="DH150" s="19">
        <v>0</v>
      </c>
      <c r="DI150" s="19">
        <v>0</v>
      </c>
    </row>
    <row r="151" spans="1:113" x14ac:dyDescent="0.2">
      <c r="A151" s="14" t="s">
        <v>2315</v>
      </c>
      <c r="B151" s="16" t="s">
        <v>930</v>
      </c>
      <c r="C151" s="14" t="s">
        <v>158</v>
      </c>
      <c r="D151" s="14" t="s">
        <v>159</v>
      </c>
      <c r="E151" s="14" t="s">
        <v>158</v>
      </c>
      <c r="F151" s="14" t="s">
        <v>2044</v>
      </c>
      <c r="G151" s="14" t="s">
        <v>2045</v>
      </c>
      <c r="H151" s="14" t="s">
        <v>119</v>
      </c>
      <c r="I151" s="14" t="s">
        <v>120</v>
      </c>
      <c r="J151" s="16">
        <f>COUNTIF($I$3:I151, I151)</f>
        <v>23</v>
      </c>
      <c r="K151" s="14" t="s">
        <v>2048</v>
      </c>
      <c r="L151" s="14" t="s">
        <v>2048</v>
      </c>
      <c r="M151" s="14" t="s">
        <v>2048</v>
      </c>
      <c r="N151" s="14" t="s">
        <v>2048</v>
      </c>
      <c r="O151" s="14" t="s">
        <v>3030</v>
      </c>
      <c r="P151" s="14" t="s">
        <v>931</v>
      </c>
      <c r="Q151" s="14" t="s">
        <v>72</v>
      </c>
      <c r="R151" s="14" t="s">
        <v>2048</v>
      </c>
      <c r="S151" s="14" t="s">
        <v>2048</v>
      </c>
      <c r="T151" s="14" t="s">
        <v>2422</v>
      </c>
      <c r="U151" s="14" t="s">
        <v>2049</v>
      </c>
      <c r="V151" s="14" t="s">
        <v>2050</v>
      </c>
      <c r="W151" s="14" t="s">
        <v>2048</v>
      </c>
      <c r="X151" s="14" t="s">
        <v>2048</v>
      </c>
      <c r="Y151" s="14" t="s">
        <v>2048</v>
      </c>
      <c r="Z151" s="14" t="s">
        <v>2048</v>
      </c>
      <c r="AA151" s="14" t="s">
        <v>2048</v>
      </c>
      <c r="AB151" s="14" t="s">
        <v>140</v>
      </c>
      <c r="AC151" s="14" t="s">
        <v>151</v>
      </c>
      <c r="AD151" s="14" t="s">
        <v>2132</v>
      </c>
      <c r="AE151" s="14" t="s">
        <v>2133</v>
      </c>
      <c r="AF151" s="14" t="s">
        <v>2055</v>
      </c>
      <c r="AG151" s="14" t="s">
        <v>2055</v>
      </c>
      <c r="AH151" s="14" t="s">
        <v>2055</v>
      </c>
      <c r="AI151" s="14" t="s">
        <v>2057</v>
      </c>
      <c r="AJ151" s="14" t="s">
        <v>87</v>
      </c>
      <c r="AK151" s="14" t="s">
        <v>2048</v>
      </c>
      <c r="AL151" s="14" t="s">
        <v>2048</v>
      </c>
      <c r="AM151" s="14" t="s">
        <v>2048</v>
      </c>
      <c r="AN151" s="14" t="s">
        <v>2558</v>
      </c>
      <c r="AO151" s="17" t="s">
        <v>89</v>
      </c>
      <c r="AP151" s="14" t="s">
        <v>2135</v>
      </c>
      <c r="AQ151" s="14" t="s">
        <v>3031</v>
      </c>
      <c r="AR151" s="14" t="s">
        <v>3032</v>
      </c>
      <c r="AS151" s="14" t="s">
        <v>3033</v>
      </c>
      <c r="AT151" s="14" t="s">
        <v>72</v>
      </c>
      <c r="AU151" s="14" t="s">
        <v>2561</v>
      </c>
      <c r="AV151" s="14" t="s">
        <v>2562</v>
      </c>
      <c r="AW151" s="14" t="s">
        <v>2048</v>
      </c>
      <c r="AX151" s="14" t="s">
        <v>2048</v>
      </c>
      <c r="AY151" s="14" t="s">
        <v>119</v>
      </c>
      <c r="AZ151" s="14" t="s">
        <v>617</v>
      </c>
      <c r="BA151" s="14" t="s">
        <v>2563</v>
      </c>
      <c r="BB151" s="14" t="s">
        <v>2048</v>
      </c>
      <c r="BC151" s="14" t="s">
        <v>2048</v>
      </c>
      <c r="BD151" s="14" t="s">
        <v>2282</v>
      </c>
      <c r="BE151" s="14" t="s">
        <v>2283</v>
      </c>
      <c r="BF151" s="14" t="s">
        <v>2564</v>
      </c>
      <c r="BG151" s="14" t="s">
        <v>2565</v>
      </c>
      <c r="BH151" s="14" t="s">
        <v>2566</v>
      </c>
      <c r="BI151" s="14" t="s">
        <v>2287</v>
      </c>
      <c r="BJ151" s="14" t="s">
        <v>2048</v>
      </c>
      <c r="BK151" s="14" t="s">
        <v>2048</v>
      </c>
      <c r="BL151" s="14" t="s">
        <v>2064</v>
      </c>
      <c r="BM151" s="14" t="s">
        <v>72</v>
      </c>
      <c r="BN151" s="14" t="s">
        <v>72</v>
      </c>
      <c r="BO151" s="14" t="s">
        <v>3034</v>
      </c>
      <c r="BP151" s="14" t="s">
        <v>2568</v>
      </c>
      <c r="BQ151" s="14" t="s">
        <v>2558</v>
      </c>
      <c r="BR151" s="14" t="s">
        <v>2331</v>
      </c>
      <c r="BS151" s="14" t="s">
        <v>2131</v>
      </c>
      <c r="BT151" s="14" t="s">
        <v>2048</v>
      </c>
      <c r="BU151" s="14" t="s">
        <v>2048</v>
      </c>
      <c r="BV151" s="14" t="s">
        <v>2048</v>
      </c>
      <c r="BW151" s="14" t="s">
        <v>2048</v>
      </c>
      <c r="BX151" s="14" t="s">
        <v>72</v>
      </c>
      <c r="BY151" s="14" t="s">
        <v>2048</v>
      </c>
      <c r="BZ151" s="14" t="s">
        <v>2048</v>
      </c>
      <c r="CA151" s="14" t="s">
        <v>2048</v>
      </c>
      <c r="CB151" s="14" t="s">
        <v>2048</v>
      </c>
      <c r="CC151" s="14" t="s">
        <v>2048</v>
      </c>
      <c r="CD151" s="14" t="s">
        <v>2048</v>
      </c>
      <c r="CE151" s="14" t="s">
        <v>2048</v>
      </c>
      <c r="CF151" s="14" t="s">
        <v>2048</v>
      </c>
      <c r="CG151" s="14" t="s">
        <v>2068</v>
      </c>
      <c r="CH151" s="14" t="s">
        <v>2069</v>
      </c>
      <c r="CI151" s="14" t="s">
        <v>2048</v>
      </c>
      <c r="CJ151" s="17"/>
      <c r="CK151" s="17">
        <v>45625</v>
      </c>
      <c r="CL151" s="17">
        <v>45625</v>
      </c>
      <c r="CM151" s="17">
        <v>2958465</v>
      </c>
      <c r="CN151" s="17"/>
      <c r="CO151" s="19">
        <v>0</v>
      </c>
      <c r="CP151" s="19">
        <v>0</v>
      </c>
      <c r="CQ151" s="19">
        <v>0</v>
      </c>
      <c r="CR151" s="19">
        <v>0</v>
      </c>
      <c r="CS151" s="19">
        <v>0</v>
      </c>
      <c r="CT151" s="19">
        <v>0</v>
      </c>
      <c r="CU151" s="19">
        <v>0</v>
      </c>
      <c r="CV151" s="17"/>
      <c r="CW151" s="19">
        <v>0</v>
      </c>
      <c r="CX151" s="17"/>
      <c r="CY151" s="17">
        <v>47086</v>
      </c>
      <c r="CZ151" s="19">
        <v>0</v>
      </c>
      <c r="DA151" s="17"/>
      <c r="DB151" s="17"/>
      <c r="DC151" s="19">
        <v>100</v>
      </c>
      <c r="DD151" s="17"/>
      <c r="DE151" s="17">
        <v>2958465</v>
      </c>
      <c r="DF151" s="17"/>
      <c r="DG151" s="17"/>
      <c r="DH151" s="19">
        <v>0</v>
      </c>
      <c r="DI151" s="19">
        <v>0</v>
      </c>
    </row>
    <row r="152" spans="1:113" x14ac:dyDescent="0.2">
      <c r="A152" s="14" t="s">
        <v>2315</v>
      </c>
      <c r="B152" s="16" t="s">
        <v>1835</v>
      </c>
      <c r="C152" s="14" t="s">
        <v>158</v>
      </c>
      <c r="D152" s="14" t="s">
        <v>159</v>
      </c>
      <c r="E152" s="14" t="s">
        <v>158</v>
      </c>
      <c r="F152" s="14" t="s">
        <v>2044</v>
      </c>
      <c r="G152" s="14" t="s">
        <v>2045</v>
      </c>
      <c r="H152" s="14" t="s">
        <v>190</v>
      </c>
      <c r="I152" s="14" t="s">
        <v>191</v>
      </c>
      <c r="J152" s="16">
        <f>COUNTIF($I$3:I152, I152)</f>
        <v>3</v>
      </c>
      <c r="K152" s="14" t="s">
        <v>2048</v>
      </c>
      <c r="L152" s="14" t="s">
        <v>2048</v>
      </c>
      <c r="M152" s="14" t="s">
        <v>2048</v>
      </c>
      <c r="N152" s="14" t="s">
        <v>2048</v>
      </c>
      <c r="O152" s="14" t="s">
        <v>3035</v>
      </c>
      <c r="P152" s="14" t="s">
        <v>3036</v>
      </c>
      <c r="Q152" s="14" t="s">
        <v>72</v>
      </c>
      <c r="R152" s="14" t="s">
        <v>2048</v>
      </c>
      <c r="S152" s="14" t="s">
        <v>2048</v>
      </c>
      <c r="T152" s="14" t="s">
        <v>2048</v>
      </c>
      <c r="U152" s="14" t="s">
        <v>2048</v>
      </c>
      <c r="V152" s="14" t="s">
        <v>2050</v>
      </c>
      <c r="W152" s="14" t="s">
        <v>2048</v>
      </c>
      <c r="X152" s="14" t="s">
        <v>2048</v>
      </c>
      <c r="Y152" s="14" t="s">
        <v>2048</v>
      </c>
      <c r="Z152" s="14" t="s">
        <v>2048</v>
      </c>
      <c r="AA152" s="14" t="s">
        <v>2048</v>
      </c>
      <c r="AB152" s="14" t="s">
        <v>140</v>
      </c>
      <c r="AC152" s="14" t="s">
        <v>151</v>
      </c>
      <c r="AD152" s="14" t="s">
        <v>2132</v>
      </c>
      <c r="AE152" s="14" t="s">
        <v>2133</v>
      </c>
      <c r="AF152" s="14" t="s">
        <v>2055</v>
      </c>
      <c r="AG152" s="14" t="s">
        <v>2055</v>
      </c>
      <c r="AH152" s="14" t="s">
        <v>2055</v>
      </c>
      <c r="AI152" s="14" t="s">
        <v>2057</v>
      </c>
      <c r="AJ152" s="14" t="s">
        <v>87</v>
      </c>
      <c r="AK152" s="14" t="s">
        <v>2048</v>
      </c>
      <c r="AL152" s="14" t="s">
        <v>2048</v>
      </c>
      <c r="AM152" s="14" t="s">
        <v>2048</v>
      </c>
      <c r="AN152" s="14" t="s">
        <v>2751</v>
      </c>
      <c r="AO152" s="17" t="s">
        <v>89</v>
      </c>
      <c r="AP152" s="14" t="s">
        <v>2135</v>
      </c>
      <c r="AQ152" s="14" t="s">
        <v>329</v>
      </c>
      <c r="AR152" s="14" t="s">
        <v>3037</v>
      </c>
      <c r="AS152" s="14" t="s">
        <v>3038</v>
      </c>
      <c r="AT152" s="14" t="s">
        <v>72</v>
      </c>
      <c r="AU152" s="14" t="s">
        <v>2430</v>
      </c>
      <c r="AV152" s="14" t="s">
        <v>2431</v>
      </c>
      <c r="AW152" s="14" t="s">
        <v>2048</v>
      </c>
      <c r="AX152" s="14" t="s">
        <v>2048</v>
      </c>
      <c r="AY152" s="14" t="s">
        <v>190</v>
      </c>
      <c r="AZ152" s="14" t="s">
        <v>194</v>
      </c>
      <c r="BA152" s="14" t="s">
        <v>2759</v>
      </c>
      <c r="BB152" s="14" t="s">
        <v>2048</v>
      </c>
      <c r="BC152" s="14" t="s">
        <v>2048</v>
      </c>
      <c r="BD152" s="14" t="s">
        <v>2433</v>
      </c>
      <c r="BE152" s="14" t="s">
        <v>2434</v>
      </c>
      <c r="BF152" s="14" t="s">
        <v>2048</v>
      </c>
      <c r="BG152" s="14" t="s">
        <v>2048</v>
      </c>
      <c r="BH152" s="14" t="s">
        <v>2437</v>
      </c>
      <c r="BI152" s="14" t="s">
        <v>2287</v>
      </c>
      <c r="BJ152" s="14" t="s">
        <v>2048</v>
      </c>
      <c r="BK152" s="14" t="s">
        <v>2048</v>
      </c>
      <c r="BL152" s="14" t="s">
        <v>2064</v>
      </c>
      <c r="BM152" s="14" t="s">
        <v>72</v>
      </c>
      <c r="BN152" s="14" t="s">
        <v>72</v>
      </c>
      <c r="BO152" s="14" t="s">
        <v>3039</v>
      </c>
      <c r="BP152" s="14" t="s">
        <v>2986</v>
      </c>
      <c r="BQ152" s="14" t="s">
        <v>2987</v>
      </c>
      <c r="BR152" s="14" t="s">
        <v>2331</v>
      </c>
      <c r="BS152" s="14" t="s">
        <v>2131</v>
      </c>
      <c r="BT152" s="14" t="s">
        <v>2048</v>
      </c>
      <c r="BU152" s="14" t="s">
        <v>2048</v>
      </c>
      <c r="BV152" s="14" t="s">
        <v>2048</v>
      </c>
      <c r="BW152" s="14" t="s">
        <v>2048</v>
      </c>
      <c r="BX152" s="14" t="s">
        <v>72</v>
      </c>
      <c r="BY152" s="14" t="s">
        <v>2048</v>
      </c>
      <c r="BZ152" s="14" t="s">
        <v>2048</v>
      </c>
      <c r="CA152" s="14" t="s">
        <v>2048</v>
      </c>
      <c r="CB152" s="14" t="s">
        <v>2048</v>
      </c>
      <c r="CC152" s="14" t="s">
        <v>2048</v>
      </c>
      <c r="CD152" s="14" t="s">
        <v>2048</v>
      </c>
      <c r="CE152" s="14" t="s">
        <v>2048</v>
      </c>
      <c r="CF152" s="14" t="s">
        <v>2048</v>
      </c>
      <c r="CG152" s="14" t="s">
        <v>2068</v>
      </c>
      <c r="CH152" s="14" t="s">
        <v>2069</v>
      </c>
      <c r="CI152" s="14" t="s">
        <v>2048</v>
      </c>
      <c r="CJ152" s="17"/>
      <c r="CK152" s="17">
        <v>45625</v>
      </c>
      <c r="CL152" s="17">
        <v>45625</v>
      </c>
      <c r="CM152" s="17">
        <v>2958465</v>
      </c>
      <c r="CN152" s="17"/>
      <c r="CO152" s="19">
        <v>0</v>
      </c>
      <c r="CP152" s="19">
        <v>0</v>
      </c>
      <c r="CQ152" s="19">
        <v>0</v>
      </c>
      <c r="CR152" s="19">
        <v>0</v>
      </c>
      <c r="CS152" s="19">
        <v>0</v>
      </c>
      <c r="CT152" s="19">
        <v>0</v>
      </c>
      <c r="CU152" s="19">
        <v>0</v>
      </c>
      <c r="CV152" s="17"/>
      <c r="CW152" s="19">
        <v>0</v>
      </c>
      <c r="CX152" s="17"/>
      <c r="CY152" s="17">
        <v>47086</v>
      </c>
      <c r="CZ152" s="19">
        <v>0</v>
      </c>
      <c r="DA152" s="17"/>
      <c r="DB152" s="17"/>
      <c r="DC152" s="19">
        <v>100</v>
      </c>
      <c r="DD152" s="17"/>
      <c r="DE152" s="17">
        <v>2958465</v>
      </c>
      <c r="DF152" s="17"/>
      <c r="DG152" s="17"/>
      <c r="DH152" s="19">
        <v>0</v>
      </c>
      <c r="DI152" s="19">
        <v>0</v>
      </c>
    </row>
    <row r="153" spans="1:113" x14ac:dyDescent="0.2">
      <c r="A153" s="14" t="s">
        <v>2315</v>
      </c>
      <c r="B153" s="16" t="s">
        <v>534</v>
      </c>
      <c r="C153" s="14" t="s">
        <v>158</v>
      </c>
      <c r="D153" s="14" t="s">
        <v>159</v>
      </c>
      <c r="E153" s="14" t="s">
        <v>158</v>
      </c>
      <c r="F153" s="14" t="s">
        <v>2044</v>
      </c>
      <c r="G153" s="14" t="s">
        <v>2045</v>
      </c>
      <c r="H153" s="14" t="s">
        <v>190</v>
      </c>
      <c r="I153" s="14" t="s">
        <v>191</v>
      </c>
      <c r="J153" s="16">
        <f>COUNTIF($I$3:I153, I153)</f>
        <v>4</v>
      </c>
      <c r="K153" s="14" t="s">
        <v>2048</v>
      </c>
      <c r="L153" s="14" t="s">
        <v>2048</v>
      </c>
      <c r="M153" s="14" t="s">
        <v>2048</v>
      </c>
      <c r="N153" s="14" t="s">
        <v>2048</v>
      </c>
      <c r="O153" s="14" t="s">
        <v>3040</v>
      </c>
      <c r="P153" s="14" t="s">
        <v>536</v>
      </c>
      <c r="Q153" s="14" t="s">
        <v>72</v>
      </c>
      <c r="R153" s="14" t="s">
        <v>2048</v>
      </c>
      <c r="S153" s="14" t="s">
        <v>2048</v>
      </c>
      <c r="T153" s="14" t="s">
        <v>2048</v>
      </c>
      <c r="U153" s="14" t="s">
        <v>2048</v>
      </c>
      <c r="V153" s="14" t="s">
        <v>2050</v>
      </c>
      <c r="W153" s="14" t="s">
        <v>2048</v>
      </c>
      <c r="X153" s="14" t="s">
        <v>2048</v>
      </c>
      <c r="Y153" s="14" t="s">
        <v>2048</v>
      </c>
      <c r="Z153" s="14" t="s">
        <v>2048</v>
      </c>
      <c r="AA153" s="14" t="s">
        <v>2048</v>
      </c>
      <c r="AB153" s="14" t="s">
        <v>140</v>
      </c>
      <c r="AC153" s="14" t="s">
        <v>151</v>
      </c>
      <c r="AD153" s="14" t="s">
        <v>2132</v>
      </c>
      <c r="AE153" s="14" t="s">
        <v>2133</v>
      </c>
      <c r="AF153" s="14" t="s">
        <v>2055</v>
      </c>
      <c r="AG153" s="14" t="s">
        <v>2055</v>
      </c>
      <c r="AH153" s="14" t="s">
        <v>2055</v>
      </c>
      <c r="AI153" s="14" t="s">
        <v>2057</v>
      </c>
      <c r="AJ153" s="14" t="s">
        <v>87</v>
      </c>
      <c r="AK153" s="14" t="s">
        <v>2048</v>
      </c>
      <c r="AL153" s="14" t="s">
        <v>2048</v>
      </c>
      <c r="AM153" s="14" t="s">
        <v>2048</v>
      </c>
      <c r="AN153" s="14" t="s">
        <v>2048</v>
      </c>
      <c r="AO153" s="17" t="s">
        <v>89</v>
      </c>
      <c r="AP153" s="14" t="s">
        <v>2135</v>
      </c>
      <c r="AQ153" s="14" t="s">
        <v>3041</v>
      </c>
      <c r="AR153" s="14" t="s">
        <v>3042</v>
      </c>
      <c r="AS153" s="14" t="s">
        <v>3043</v>
      </c>
      <c r="AT153" s="14" t="s">
        <v>72</v>
      </c>
      <c r="AU153" s="14" t="s">
        <v>3044</v>
      </c>
      <c r="AV153" s="14" t="s">
        <v>3045</v>
      </c>
      <c r="AW153" s="14" t="s">
        <v>2048</v>
      </c>
      <c r="AX153" s="14" t="s">
        <v>2048</v>
      </c>
      <c r="AY153" s="14" t="s">
        <v>190</v>
      </c>
      <c r="AZ153" s="14" t="s">
        <v>535</v>
      </c>
      <c r="BA153" s="14" t="s">
        <v>3046</v>
      </c>
      <c r="BB153" s="14" t="s">
        <v>2048</v>
      </c>
      <c r="BC153" s="14" t="s">
        <v>2048</v>
      </c>
      <c r="BD153" s="14" t="s">
        <v>2433</v>
      </c>
      <c r="BE153" s="14" t="s">
        <v>2434</v>
      </c>
      <c r="BF153" s="14" t="s">
        <v>2048</v>
      </c>
      <c r="BG153" s="14" t="s">
        <v>2048</v>
      </c>
      <c r="BH153" s="14" t="s">
        <v>3047</v>
      </c>
      <c r="BI153" s="14" t="s">
        <v>2287</v>
      </c>
      <c r="BJ153" s="14" t="s">
        <v>2048</v>
      </c>
      <c r="BK153" s="14" t="s">
        <v>2048</v>
      </c>
      <c r="BL153" s="14" t="s">
        <v>2064</v>
      </c>
      <c r="BM153" s="14" t="s">
        <v>72</v>
      </c>
      <c r="BN153" s="14" t="s">
        <v>72</v>
      </c>
      <c r="BO153" s="14" t="s">
        <v>3048</v>
      </c>
      <c r="BP153" s="14" t="s">
        <v>2986</v>
      </c>
      <c r="BQ153" s="14" t="s">
        <v>2987</v>
      </c>
      <c r="BR153" s="14" t="s">
        <v>2331</v>
      </c>
      <c r="BS153" s="14" t="s">
        <v>2131</v>
      </c>
      <c r="BT153" s="14" t="s">
        <v>2048</v>
      </c>
      <c r="BU153" s="14" t="s">
        <v>2048</v>
      </c>
      <c r="BV153" s="14" t="s">
        <v>2048</v>
      </c>
      <c r="BW153" s="14" t="s">
        <v>2048</v>
      </c>
      <c r="BX153" s="14" t="s">
        <v>72</v>
      </c>
      <c r="BY153" s="14" t="s">
        <v>2048</v>
      </c>
      <c r="BZ153" s="14" t="s">
        <v>2048</v>
      </c>
      <c r="CA153" s="14" t="s">
        <v>2048</v>
      </c>
      <c r="CB153" s="14" t="s">
        <v>2048</v>
      </c>
      <c r="CC153" s="14" t="s">
        <v>2048</v>
      </c>
      <c r="CD153" s="14" t="s">
        <v>2048</v>
      </c>
      <c r="CE153" s="14" t="s">
        <v>2048</v>
      </c>
      <c r="CF153" s="14" t="s">
        <v>2048</v>
      </c>
      <c r="CG153" s="14" t="s">
        <v>2068</v>
      </c>
      <c r="CH153" s="14" t="s">
        <v>2069</v>
      </c>
      <c r="CI153" s="14" t="s">
        <v>2048</v>
      </c>
      <c r="CJ153" s="17"/>
      <c r="CK153" s="17">
        <v>45625</v>
      </c>
      <c r="CL153" s="17">
        <v>45625</v>
      </c>
      <c r="CM153" s="17">
        <v>2958465</v>
      </c>
      <c r="CN153" s="17"/>
      <c r="CO153" s="19">
        <v>0</v>
      </c>
      <c r="CP153" s="19">
        <v>0</v>
      </c>
      <c r="CQ153" s="19">
        <v>0</v>
      </c>
      <c r="CR153" s="19">
        <v>0</v>
      </c>
      <c r="CS153" s="19">
        <v>0</v>
      </c>
      <c r="CT153" s="19">
        <v>0</v>
      </c>
      <c r="CU153" s="19">
        <v>0</v>
      </c>
      <c r="CV153" s="17"/>
      <c r="CW153" s="19">
        <v>0</v>
      </c>
      <c r="CX153" s="17"/>
      <c r="CY153" s="17">
        <v>47086</v>
      </c>
      <c r="CZ153" s="19">
        <v>0</v>
      </c>
      <c r="DA153" s="17"/>
      <c r="DB153" s="17"/>
      <c r="DC153" s="19">
        <v>100</v>
      </c>
      <c r="DD153" s="17"/>
      <c r="DE153" s="17">
        <v>2958465</v>
      </c>
      <c r="DF153" s="17"/>
      <c r="DG153" s="17"/>
      <c r="DH153" s="19">
        <v>0</v>
      </c>
      <c r="DI153" s="19">
        <v>0</v>
      </c>
    </row>
    <row r="154" spans="1:113" x14ac:dyDescent="0.2">
      <c r="A154" s="14" t="s">
        <v>2315</v>
      </c>
      <c r="B154" s="16" t="s">
        <v>526</v>
      </c>
      <c r="C154" s="14" t="s">
        <v>158</v>
      </c>
      <c r="D154" s="14" t="s">
        <v>159</v>
      </c>
      <c r="E154" s="14" t="s">
        <v>158</v>
      </c>
      <c r="F154" s="14" t="s">
        <v>2044</v>
      </c>
      <c r="G154" s="14" t="s">
        <v>2045</v>
      </c>
      <c r="H154" s="14" t="s">
        <v>190</v>
      </c>
      <c r="I154" s="14" t="s">
        <v>191</v>
      </c>
      <c r="J154" s="16">
        <f>COUNTIF($I$3:I154, I154)</f>
        <v>5</v>
      </c>
      <c r="K154" s="14" t="s">
        <v>2048</v>
      </c>
      <c r="L154" s="14" t="s">
        <v>2048</v>
      </c>
      <c r="M154" s="14" t="s">
        <v>2048</v>
      </c>
      <c r="N154" s="14" t="s">
        <v>2048</v>
      </c>
      <c r="O154" s="14" t="s">
        <v>3049</v>
      </c>
      <c r="P154" s="14" t="s">
        <v>527</v>
      </c>
      <c r="Q154" s="14" t="s">
        <v>72</v>
      </c>
      <c r="R154" s="14" t="s">
        <v>2048</v>
      </c>
      <c r="S154" s="14" t="s">
        <v>2048</v>
      </c>
      <c r="T154" s="14" t="s">
        <v>2048</v>
      </c>
      <c r="U154" s="14" t="s">
        <v>2048</v>
      </c>
      <c r="V154" s="14" t="s">
        <v>2050</v>
      </c>
      <c r="W154" s="14" t="s">
        <v>2048</v>
      </c>
      <c r="X154" s="14" t="s">
        <v>2048</v>
      </c>
      <c r="Y154" s="14" t="s">
        <v>2048</v>
      </c>
      <c r="Z154" s="14" t="s">
        <v>2048</v>
      </c>
      <c r="AA154" s="14" t="s">
        <v>2048</v>
      </c>
      <c r="AB154" s="14" t="s">
        <v>140</v>
      </c>
      <c r="AC154" s="14" t="s">
        <v>151</v>
      </c>
      <c r="AD154" s="14" t="s">
        <v>2132</v>
      </c>
      <c r="AE154" s="14" t="s">
        <v>2133</v>
      </c>
      <c r="AF154" s="14" t="s">
        <v>2055</v>
      </c>
      <c r="AG154" s="14" t="s">
        <v>2055</v>
      </c>
      <c r="AH154" s="14" t="s">
        <v>2055</v>
      </c>
      <c r="AI154" s="14" t="s">
        <v>2057</v>
      </c>
      <c r="AJ154" s="14" t="s">
        <v>87</v>
      </c>
      <c r="AK154" s="14" t="s">
        <v>2048</v>
      </c>
      <c r="AL154" s="14" t="s">
        <v>2048</v>
      </c>
      <c r="AM154" s="14" t="s">
        <v>2048</v>
      </c>
      <c r="AN154" s="14" t="s">
        <v>2048</v>
      </c>
      <c r="AO154" s="17" t="s">
        <v>89</v>
      </c>
      <c r="AP154" s="14" t="s">
        <v>2135</v>
      </c>
      <c r="AQ154" s="14" t="s">
        <v>3050</v>
      </c>
      <c r="AR154" s="14" t="s">
        <v>3051</v>
      </c>
      <c r="AS154" s="14" t="s">
        <v>3052</v>
      </c>
      <c r="AT154" s="14" t="s">
        <v>72</v>
      </c>
      <c r="AU154" s="14" t="s">
        <v>2430</v>
      </c>
      <c r="AV154" s="14" t="s">
        <v>2431</v>
      </c>
      <c r="AW154" s="14" t="s">
        <v>2048</v>
      </c>
      <c r="AX154" s="14" t="s">
        <v>2048</v>
      </c>
      <c r="AY154" s="14" t="s">
        <v>190</v>
      </c>
      <c r="AZ154" s="14" t="s">
        <v>518</v>
      </c>
      <c r="BA154" s="14" t="s">
        <v>2432</v>
      </c>
      <c r="BB154" s="14" t="s">
        <v>2048</v>
      </c>
      <c r="BC154" s="14" t="s">
        <v>2048</v>
      </c>
      <c r="BD154" s="14" t="s">
        <v>2433</v>
      </c>
      <c r="BE154" s="14" t="s">
        <v>2434</v>
      </c>
      <c r="BF154" s="14" t="s">
        <v>2435</v>
      </c>
      <c r="BG154" s="14" t="s">
        <v>2436</v>
      </c>
      <c r="BH154" s="14" t="s">
        <v>2437</v>
      </c>
      <c r="BI154" s="14" t="s">
        <v>2287</v>
      </c>
      <c r="BJ154" s="14" t="s">
        <v>2048</v>
      </c>
      <c r="BK154" s="14" t="s">
        <v>2048</v>
      </c>
      <c r="BL154" s="14" t="s">
        <v>2064</v>
      </c>
      <c r="BM154" s="14" t="s">
        <v>72</v>
      </c>
      <c r="BN154" s="14" t="s">
        <v>72</v>
      </c>
      <c r="BO154" s="14" t="s">
        <v>3053</v>
      </c>
      <c r="BP154" s="14" t="s">
        <v>2986</v>
      </c>
      <c r="BQ154" s="14" t="s">
        <v>2987</v>
      </c>
      <c r="BR154" s="14" t="s">
        <v>2331</v>
      </c>
      <c r="BS154" s="14" t="s">
        <v>2131</v>
      </c>
      <c r="BT154" s="14" t="s">
        <v>2048</v>
      </c>
      <c r="BU154" s="14" t="s">
        <v>2048</v>
      </c>
      <c r="BV154" s="14" t="s">
        <v>2048</v>
      </c>
      <c r="BW154" s="14" t="s">
        <v>2048</v>
      </c>
      <c r="BX154" s="14" t="s">
        <v>72</v>
      </c>
      <c r="BY154" s="14" t="s">
        <v>2048</v>
      </c>
      <c r="BZ154" s="14" t="s">
        <v>2048</v>
      </c>
      <c r="CA154" s="14" t="s">
        <v>2048</v>
      </c>
      <c r="CB154" s="14" t="s">
        <v>2048</v>
      </c>
      <c r="CC154" s="14" t="s">
        <v>2048</v>
      </c>
      <c r="CD154" s="14" t="s">
        <v>2048</v>
      </c>
      <c r="CE154" s="14" t="s">
        <v>2048</v>
      </c>
      <c r="CF154" s="14" t="s">
        <v>2048</v>
      </c>
      <c r="CG154" s="14" t="s">
        <v>2068</v>
      </c>
      <c r="CH154" s="14" t="s">
        <v>2069</v>
      </c>
      <c r="CI154" s="14" t="s">
        <v>2048</v>
      </c>
      <c r="CJ154" s="17"/>
      <c r="CK154" s="17">
        <v>45625</v>
      </c>
      <c r="CL154" s="17">
        <v>45625</v>
      </c>
      <c r="CM154" s="17">
        <v>2958465</v>
      </c>
      <c r="CN154" s="17"/>
      <c r="CO154" s="19">
        <v>0</v>
      </c>
      <c r="CP154" s="19">
        <v>0</v>
      </c>
      <c r="CQ154" s="19">
        <v>0</v>
      </c>
      <c r="CR154" s="19">
        <v>0</v>
      </c>
      <c r="CS154" s="19">
        <v>0</v>
      </c>
      <c r="CT154" s="19">
        <v>0</v>
      </c>
      <c r="CU154" s="19">
        <v>0</v>
      </c>
      <c r="CV154" s="17"/>
      <c r="CW154" s="19">
        <v>0</v>
      </c>
      <c r="CX154" s="17"/>
      <c r="CY154" s="17">
        <v>47086</v>
      </c>
      <c r="CZ154" s="19">
        <v>0</v>
      </c>
      <c r="DA154" s="17"/>
      <c r="DB154" s="17"/>
      <c r="DC154" s="19">
        <v>100</v>
      </c>
      <c r="DD154" s="17"/>
      <c r="DE154" s="17">
        <v>2958465</v>
      </c>
      <c r="DF154" s="17"/>
      <c r="DG154" s="17"/>
      <c r="DH154" s="19">
        <v>0</v>
      </c>
      <c r="DI154" s="19">
        <v>0</v>
      </c>
    </row>
    <row r="155" spans="1:113" x14ac:dyDescent="0.2">
      <c r="A155" s="14" t="s">
        <v>2315</v>
      </c>
      <c r="B155" s="16" t="s">
        <v>925</v>
      </c>
      <c r="C155" s="14" t="s">
        <v>158</v>
      </c>
      <c r="D155" s="14" t="s">
        <v>159</v>
      </c>
      <c r="E155" s="14" t="s">
        <v>158</v>
      </c>
      <c r="F155" s="14" t="s">
        <v>2044</v>
      </c>
      <c r="G155" s="14" t="s">
        <v>2045</v>
      </c>
      <c r="H155" s="14" t="s">
        <v>190</v>
      </c>
      <c r="I155" s="14" t="s">
        <v>191</v>
      </c>
      <c r="J155" s="16">
        <f>COUNTIF($I$3:I155, I155)</f>
        <v>6</v>
      </c>
      <c r="K155" s="14" t="s">
        <v>2048</v>
      </c>
      <c r="L155" s="14" t="s">
        <v>2048</v>
      </c>
      <c r="M155" s="14" t="s">
        <v>2048</v>
      </c>
      <c r="N155" s="14" t="s">
        <v>2048</v>
      </c>
      <c r="O155" s="14" t="s">
        <v>3054</v>
      </c>
      <c r="P155" s="14" t="s">
        <v>926</v>
      </c>
      <c r="Q155" s="14" t="s">
        <v>72</v>
      </c>
      <c r="R155" s="14" t="s">
        <v>2048</v>
      </c>
      <c r="S155" s="14" t="s">
        <v>2048</v>
      </c>
      <c r="T155" s="14" t="s">
        <v>2048</v>
      </c>
      <c r="U155" s="14" t="s">
        <v>2048</v>
      </c>
      <c r="V155" s="14" t="s">
        <v>2050</v>
      </c>
      <c r="W155" s="14" t="s">
        <v>2048</v>
      </c>
      <c r="X155" s="14" t="s">
        <v>2048</v>
      </c>
      <c r="Y155" s="14" t="s">
        <v>2048</v>
      </c>
      <c r="Z155" s="14" t="s">
        <v>2048</v>
      </c>
      <c r="AA155" s="14" t="s">
        <v>2048</v>
      </c>
      <c r="AB155" s="14" t="s">
        <v>140</v>
      </c>
      <c r="AC155" s="14" t="s">
        <v>151</v>
      </c>
      <c r="AD155" s="14" t="s">
        <v>2132</v>
      </c>
      <c r="AE155" s="14" t="s">
        <v>2133</v>
      </c>
      <c r="AF155" s="14" t="s">
        <v>2055</v>
      </c>
      <c r="AG155" s="14" t="s">
        <v>2055</v>
      </c>
      <c r="AH155" s="14" t="s">
        <v>2055</v>
      </c>
      <c r="AI155" s="14" t="s">
        <v>2057</v>
      </c>
      <c r="AJ155" s="14" t="s">
        <v>87</v>
      </c>
      <c r="AK155" s="14" t="s">
        <v>2048</v>
      </c>
      <c r="AL155" s="14" t="s">
        <v>2048</v>
      </c>
      <c r="AM155" s="14" t="s">
        <v>2048</v>
      </c>
      <c r="AN155" s="14" t="s">
        <v>2048</v>
      </c>
      <c r="AO155" s="17" t="s">
        <v>89</v>
      </c>
      <c r="AP155" s="14" t="s">
        <v>2135</v>
      </c>
      <c r="AQ155" s="14" t="s">
        <v>3055</v>
      </c>
      <c r="AR155" s="14" t="s">
        <v>3056</v>
      </c>
      <c r="AS155" s="14" t="s">
        <v>3057</v>
      </c>
      <c r="AT155" s="14" t="s">
        <v>72</v>
      </c>
      <c r="AU155" s="14" t="s">
        <v>2430</v>
      </c>
      <c r="AV155" s="14" t="s">
        <v>2431</v>
      </c>
      <c r="AW155" s="14" t="s">
        <v>2048</v>
      </c>
      <c r="AX155" s="14" t="s">
        <v>2048</v>
      </c>
      <c r="AY155" s="14" t="s">
        <v>190</v>
      </c>
      <c r="AZ155" s="14" t="s">
        <v>194</v>
      </c>
      <c r="BA155" s="14" t="s">
        <v>2759</v>
      </c>
      <c r="BB155" s="14" t="s">
        <v>2048</v>
      </c>
      <c r="BC155" s="14" t="s">
        <v>2048</v>
      </c>
      <c r="BD155" s="14" t="s">
        <v>2433</v>
      </c>
      <c r="BE155" s="14" t="s">
        <v>2434</v>
      </c>
      <c r="BF155" s="14" t="s">
        <v>2048</v>
      </c>
      <c r="BG155" s="14" t="s">
        <v>2048</v>
      </c>
      <c r="BH155" s="14" t="s">
        <v>2437</v>
      </c>
      <c r="BI155" s="14" t="s">
        <v>2287</v>
      </c>
      <c r="BJ155" s="14" t="s">
        <v>2048</v>
      </c>
      <c r="BK155" s="14" t="s">
        <v>2048</v>
      </c>
      <c r="BL155" s="14" t="s">
        <v>2064</v>
      </c>
      <c r="BM155" s="14" t="s">
        <v>72</v>
      </c>
      <c r="BN155" s="14" t="s">
        <v>72</v>
      </c>
      <c r="BO155" s="14" t="s">
        <v>3058</v>
      </c>
      <c r="BP155" s="14" t="s">
        <v>2617</v>
      </c>
      <c r="BQ155" s="14" t="s">
        <v>2618</v>
      </c>
      <c r="BR155" s="14" t="s">
        <v>2331</v>
      </c>
      <c r="BS155" s="14" t="s">
        <v>2131</v>
      </c>
      <c r="BT155" s="14" t="s">
        <v>2048</v>
      </c>
      <c r="BU155" s="14" t="s">
        <v>2048</v>
      </c>
      <c r="BV155" s="14" t="s">
        <v>2048</v>
      </c>
      <c r="BW155" s="14" t="s">
        <v>2048</v>
      </c>
      <c r="BX155" s="14" t="s">
        <v>72</v>
      </c>
      <c r="BY155" s="14" t="s">
        <v>2048</v>
      </c>
      <c r="BZ155" s="14" t="s">
        <v>2048</v>
      </c>
      <c r="CA155" s="14" t="s">
        <v>2048</v>
      </c>
      <c r="CB155" s="14" t="s">
        <v>2048</v>
      </c>
      <c r="CC155" s="14" t="s">
        <v>2048</v>
      </c>
      <c r="CD155" s="14" t="s">
        <v>2048</v>
      </c>
      <c r="CE155" s="14" t="s">
        <v>2048</v>
      </c>
      <c r="CF155" s="14" t="s">
        <v>2048</v>
      </c>
      <c r="CG155" s="14" t="s">
        <v>2068</v>
      </c>
      <c r="CH155" s="14" t="s">
        <v>2069</v>
      </c>
      <c r="CI155" s="14" t="s">
        <v>2048</v>
      </c>
      <c r="CJ155" s="17"/>
      <c r="CK155" s="17">
        <v>45625</v>
      </c>
      <c r="CL155" s="17">
        <v>45625</v>
      </c>
      <c r="CM155" s="17">
        <v>2958465</v>
      </c>
      <c r="CN155" s="17"/>
      <c r="CO155" s="19">
        <v>0</v>
      </c>
      <c r="CP155" s="19">
        <v>0</v>
      </c>
      <c r="CQ155" s="19">
        <v>0</v>
      </c>
      <c r="CR155" s="19">
        <v>0</v>
      </c>
      <c r="CS155" s="19">
        <v>0</v>
      </c>
      <c r="CT155" s="19">
        <v>0</v>
      </c>
      <c r="CU155" s="19">
        <v>0</v>
      </c>
      <c r="CV155" s="17"/>
      <c r="CW155" s="19">
        <v>0</v>
      </c>
      <c r="CX155" s="17"/>
      <c r="CY155" s="17">
        <v>47086</v>
      </c>
      <c r="CZ155" s="19">
        <v>0</v>
      </c>
      <c r="DA155" s="17"/>
      <c r="DB155" s="17"/>
      <c r="DC155" s="19">
        <v>100</v>
      </c>
      <c r="DD155" s="17"/>
      <c r="DE155" s="17">
        <v>2958465</v>
      </c>
      <c r="DF155" s="17"/>
      <c r="DG155" s="17"/>
      <c r="DH155" s="19">
        <v>0</v>
      </c>
      <c r="DI155" s="19">
        <v>0</v>
      </c>
    </row>
    <row r="156" spans="1:113" x14ac:dyDescent="0.2">
      <c r="A156" s="14" t="s">
        <v>2315</v>
      </c>
      <c r="B156" s="16" t="s">
        <v>478</v>
      </c>
      <c r="C156" s="14" t="s">
        <v>158</v>
      </c>
      <c r="D156" s="14" t="s">
        <v>159</v>
      </c>
      <c r="E156" s="14" t="s">
        <v>158</v>
      </c>
      <c r="F156" s="14" t="s">
        <v>2044</v>
      </c>
      <c r="G156" s="14" t="s">
        <v>2045</v>
      </c>
      <c r="H156" s="14" t="s">
        <v>190</v>
      </c>
      <c r="I156" s="14" t="s">
        <v>191</v>
      </c>
      <c r="J156" s="16">
        <f>COUNTIF($I$3:I156, I156)</f>
        <v>7</v>
      </c>
      <c r="K156" s="14" t="s">
        <v>2048</v>
      </c>
      <c r="L156" s="14" t="s">
        <v>2048</v>
      </c>
      <c r="M156" s="14" t="s">
        <v>2048</v>
      </c>
      <c r="N156" s="14" t="s">
        <v>2048</v>
      </c>
      <c r="O156" s="14" t="s">
        <v>3059</v>
      </c>
      <c r="P156" s="14" t="s">
        <v>479</v>
      </c>
      <c r="Q156" s="14" t="s">
        <v>72</v>
      </c>
      <c r="R156" s="14" t="s">
        <v>2048</v>
      </c>
      <c r="S156" s="14" t="s">
        <v>2048</v>
      </c>
      <c r="T156" s="14" t="s">
        <v>2048</v>
      </c>
      <c r="U156" s="14" t="s">
        <v>2048</v>
      </c>
      <c r="V156" s="14" t="s">
        <v>2050</v>
      </c>
      <c r="W156" s="14" t="s">
        <v>2048</v>
      </c>
      <c r="X156" s="14" t="s">
        <v>2048</v>
      </c>
      <c r="Y156" s="14" t="s">
        <v>2048</v>
      </c>
      <c r="Z156" s="14" t="s">
        <v>2048</v>
      </c>
      <c r="AA156" s="14" t="s">
        <v>2048</v>
      </c>
      <c r="AB156" s="14" t="s">
        <v>140</v>
      </c>
      <c r="AC156" s="14" t="s">
        <v>151</v>
      </c>
      <c r="AD156" s="14" t="s">
        <v>2132</v>
      </c>
      <c r="AE156" s="14" t="s">
        <v>2133</v>
      </c>
      <c r="AF156" s="14" t="s">
        <v>2055</v>
      </c>
      <c r="AG156" s="14" t="s">
        <v>2055</v>
      </c>
      <c r="AH156" s="14" t="s">
        <v>2055</v>
      </c>
      <c r="AI156" s="14" t="s">
        <v>2057</v>
      </c>
      <c r="AJ156" s="14" t="s">
        <v>87</v>
      </c>
      <c r="AK156" s="14" t="s">
        <v>2048</v>
      </c>
      <c r="AL156" s="14" t="s">
        <v>2048</v>
      </c>
      <c r="AM156" s="14" t="s">
        <v>2048</v>
      </c>
      <c r="AN156" s="14" t="s">
        <v>3060</v>
      </c>
      <c r="AO156" s="17" t="s">
        <v>89</v>
      </c>
      <c r="AP156" s="14" t="s">
        <v>2135</v>
      </c>
      <c r="AQ156" s="14" t="s">
        <v>344</v>
      </c>
      <c r="AR156" s="14" t="s">
        <v>3061</v>
      </c>
      <c r="AS156" s="14" t="s">
        <v>3062</v>
      </c>
      <c r="AT156" s="14" t="s">
        <v>72</v>
      </c>
      <c r="AU156" s="14" t="s">
        <v>2430</v>
      </c>
      <c r="AV156" s="14" t="s">
        <v>2431</v>
      </c>
      <c r="AW156" s="14" t="s">
        <v>2048</v>
      </c>
      <c r="AX156" s="14" t="s">
        <v>2048</v>
      </c>
      <c r="AY156" s="14" t="s">
        <v>190</v>
      </c>
      <c r="AZ156" s="14" t="s">
        <v>345</v>
      </c>
      <c r="BA156" s="14" t="s">
        <v>3063</v>
      </c>
      <c r="BB156" s="14" t="s">
        <v>2048</v>
      </c>
      <c r="BC156" s="14" t="s">
        <v>2048</v>
      </c>
      <c r="BD156" s="14" t="s">
        <v>2433</v>
      </c>
      <c r="BE156" s="14" t="s">
        <v>2434</v>
      </c>
      <c r="BF156" s="14" t="s">
        <v>2048</v>
      </c>
      <c r="BG156" s="14" t="s">
        <v>2048</v>
      </c>
      <c r="BH156" s="14" t="s">
        <v>3064</v>
      </c>
      <c r="BI156" s="14" t="s">
        <v>2287</v>
      </c>
      <c r="BJ156" s="14" t="s">
        <v>2048</v>
      </c>
      <c r="BK156" s="14" t="s">
        <v>2048</v>
      </c>
      <c r="BL156" s="14" t="s">
        <v>2064</v>
      </c>
      <c r="BM156" s="14" t="s">
        <v>72</v>
      </c>
      <c r="BN156" s="14" t="s">
        <v>72</v>
      </c>
      <c r="BO156" s="14" t="s">
        <v>3065</v>
      </c>
      <c r="BP156" s="14" t="s">
        <v>2986</v>
      </c>
      <c r="BQ156" s="14" t="s">
        <v>2987</v>
      </c>
      <c r="BR156" s="14" t="s">
        <v>2331</v>
      </c>
      <c r="BS156" s="14" t="s">
        <v>2131</v>
      </c>
      <c r="BT156" s="14" t="s">
        <v>2048</v>
      </c>
      <c r="BU156" s="14" t="s">
        <v>2048</v>
      </c>
      <c r="BV156" s="14" t="s">
        <v>2048</v>
      </c>
      <c r="BW156" s="14" t="s">
        <v>2048</v>
      </c>
      <c r="BX156" s="14" t="s">
        <v>72</v>
      </c>
      <c r="BY156" s="14" t="s">
        <v>2048</v>
      </c>
      <c r="BZ156" s="14" t="s">
        <v>2048</v>
      </c>
      <c r="CA156" s="14" t="s">
        <v>2048</v>
      </c>
      <c r="CB156" s="14" t="s">
        <v>2048</v>
      </c>
      <c r="CC156" s="14" t="s">
        <v>2048</v>
      </c>
      <c r="CD156" s="14" t="s">
        <v>2048</v>
      </c>
      <c r="CE156" s="14" t="s">
        <v>2048</v>
      </c>
      <c r="CF156" s="14" t="s">
        <v>2048</v>
      </c>
      <c r="CG156" s="14" t="s">
        <v>2068</v>
      </c>
      <c r="CH156" s="14" t="s">
        <v>2069</v>
      </c>
      <c r="CI156" s="14" t="s">
        <v>2048</v>
      </c>
      <c r="CJ156" s="17"/>
      <c r="CK156" s="17">
        <v>45625</v>
      </c>
      <c r="CL156" s="17">
        <v>45625</v>
      </c>
      <c r="CM156" s="17">
        <v>2958465</v>
      </c>
      <c r="CN156" s="17"/>
      <c r="CO156" s="19">
        <v>0</v>
      </c>
      <c r="CP156" s="19">
        <v>0</v>
      </c>
      <c r="CQ156" s="19">
        <v>0</v>
      </c>
      <c r="CR156" s="19">
        <v>0</v>
      </c>
      <c r="CS156" s="19">
        <v>0</v>
      </c>
      <c r="CT156" s="19">
        <v>0</v>
      </c>
      <c r="CU156" s="19">
        <v>0</v>
      </c>
      <c r="CV156" s="17"/>
      <c r="CW156" s="19">
        <v>0</v>
      </c>
      <c r="CX156" s="17"/>
      <c r="CY156" s="17">
        <v>47086</v>
      </c>
      <c r="CZ156" s="19">
        <v>0</v>
      </c>
      <c r="DA156" s="17"/>
      <c r="DB156" s="17"/>
      <c r="DC156" s="19">
        <v>100</v>
      </c>
      <c r="DD156" s="17"/>
      <c r="DE156" s="17">
        <v>2958465</v>
      </c>
      <c r="DF156" s="17"/>
      <c r="DG156" s="17"/>
      <c r="DH156" s="19">
        <v>0</v>
      </c>
      <c r="DI156" s="19">
        <v>0</v>
      </c>
    </row>
    <row r="157" spans="1:113" x14ac:dyDescent="0.2">
      <c r="A157" s="14" t="s">
        <v>2315</v>
      </c>
      <c r="B157" s="16" t="s">
        <v>1797</v>
      </c>
      <c r="C157" s="14" t="s">
        <v>158</v>
      </c>
      <c r="D157" s="14" t="s">
        <v>159</v>
      </c>
      <c r="E157" s="14" t="s">
        <v>158</v>
      </c>
      <c r="F157" s="14" t="s">
        <v>2044</v>
      </c>
      <c r="G157" s="14" t="s">
        <v>2045</v>
      </c>
      <c r="H157" s="14" t="s">
        <v>469</v>
      </c>
      <c r="I157" s="14" t="s">
        <v>470</v>
      </c>
      <c r="J157" s="16">
        <f>COUNTIF($I$3:I157, I157)</f>
        <v>4</v>
      </c>
      <c r="K157" s="14" t="s">
        <v>2048</v>
      </c>
      <c r="L157" s="14" t="s">
        <v>2048</v>
      </c>
      <c r="M157" s="14" t="s">
        <v>2048</v>
      </c>
      <c r="N157" s="14" t="s">
        <v>2048</v>
      </c>
      <c r="O157" s="14" t="s">
        <v>3066</v>
      </c>
      <c r="P157" s="14" t="s">
        <v>3067</v>
      </c>
      <c r="Q157" s="14" t="s">
        <v>2048</v>
      </c>
      <c r="R157" s="14" t="s">
        <v>2048</v>
      </c>
      <c r="S157" s="14" t="s">
        <v>2048</v>
      </c>
      <c r="T157" s="14" t="s">
        <v>2048</v>
      </c>
      <c r="U157" s="14" t="s">
        <v>2048</v>
      </c>
      <c r="V157" s="14" t="s">
        <v>2050</v>
      </c>
      <c r="W157" s="14" t="s">
        <v>2048</v>
      </c>
      <c r="X157" s="14" t="s">
        <v>2048</v>
      </c>
      <c r="Y157" s="14" t="s">
        <v>2048</v>
      </c>
      <c r="Z157" s="14" t="s">
        <v>2048</v>
      </c>
      <c r="AA157" s="14" t="s">
        <v>2048</v>
      </c>
      <c r="AB157" s="14" t="s">
        <v>140</v>
      </c>
      <c r="AC157" s="14" t="s">
        <v>151</v>
      </c>
      <c r="AD157" s="14" t="s">
        <v>2072</v>
      </c>
      <c r="AE157" s="14" t="s">
        <v>2073</v>
      </c>
      <c r="AF157" s="14" t="s">
        <v>2055</v>
      </c>
      <c r="AG157" s="14" t="s">
        <v>2055</v>
      </c>
      <c r="AH157" s="14" t="s">
        <v>2055</v>
      </c>
      <c r="AI157" s="14" t="s">
        <v>2057</v>
      </c>
      <c r="AJ157" s="14" t="s">
        <v>87</v>
      </c>
      <c r="AK157" s="14" t="s">
        <v>2048</v>
      </c>
      <c r="AL157" s="14" t="s">
        <v>2048</v>
      </c>
      <c r="AM157" s="14" t="s">
        <v>2048</v>
      </c>
      <c r="AN157" s="14" t="s">
        <v>3068</v>
      </c>
      <c r="AO157" s="17" t="s">
        <v>89</v>
      </c>
      <c r="AP157" s="14" t="s">
        <v>2135</v>
      </c>
      <c r="AQ157" s="14" t="s">
        <v>3069</v>
      </c>
      <c r="AR157" s="14" t="s">
        <v>3070</v>
      </c>
      <c r="AS157" s="14" t="s">
        <v>3071</v>
      </c>
      <c r="AT157" s="14" t="s">
        <v>72</v>
      </c>
      <c r="AU157" s="14" t="s">
        <v>2863</v>
      </c>
      <c r="AV157" s="14" t="s">
        <v>2864</v>
      </c>
      <c r="AW157" s="14" t="s">
        <v>2048</v>
      </c>
      <c r="AX157" s="14" t="s">
        <v>2048</v>
      </c>
      <c r="AY157" s="14" t="s">
        <v>469</v>
      </c>
      <c r="AZ157" s="14" t="s">
        <v>471</v>
      </c>
      <c r="BA157" s="14" t="s">
        <v>2865</v>
      </c>
      <c r="BB157" s="14" t="s">
        <v>2048</v>
      </c>
      <c r="BC157" s="14" t="s">
        <v>2048</v>
      </c>
      <c r="BD157" s="14" t="s">
        <v>2866</v>
      </c>
      <c r="BE157" s="14" t="s">
        <v>2867</v>
      </c>
      <c r="BF157" s="14" t="s">
        <v>2048</v>
      </c>
      <c r="BG157" s="14" t="s">
        <v>2048</v>
      </c>
      <c r="BH157" s="14" t="s">
        <v>2868</v>
      </c>
      <c r="BI157" s="14" t="s">
        <v>2287</v>
      </c>
      <c r="BJ157" s="14" t="s">
        <v>2048</v>
      </c>
      <c r="BK157" s="14" t="s">
        <v>2048</v>
      </c>
      <c r="BL157" s="14" t="s">
        <v>2064</v>
      </c>
      <c r="BM157" s="14" t="s">
        <v>72</v>
      </c>
      <c r="BN157" s="14" t="s">
        <v>72</v>
      </c>
      <c r="BO157" s="14" t="s">
        <v>3072</v>
      </c>
      <c r="BP157" s="14" t="s">
        <v>3073</v>
      </c>
      <c r="BQ157" s="14" t="s">
        <v>3074</v>
      </c>
      <c r="BR157" s="14" t="s">
        <v>2331</v>
      </c>
      <c r="BS157" s="14" t="s">
        <v>2131</v>
      </c>
      <c r="BT157" s="14" t="s">
        <v>2048</v>
      </c>
      <c r="BU157" s="14" t="s">
        <v>2048</v>
      </c>
      <c r="BV157" s="14" t="s">
        <v>2048</v>
      </c>
      <c r="BW157" s="14" t="s">
        <v>2048</v>
      </c>
      <c r="BX157" s="14" t="s">
        <v>72</v>
      </c>
      <c r="BY157" s="14" t="s">
        <v>2048</v>
      </c>
      <c r="BZ157" s="14" t="s">
        <v>2048</v>
      </c>
      <c r="CA157" s="14" t="s">
        <v>2048</v>
      </c>
      <c r="CB157" s="14" t="s">
        <v>2048</v>
      </c>
      <c r="CC157" s="14" t="s">
        <v>2048</v>
      </c>
      <c r="CD157" s="14" t="s">
        <v>2048</v>
      </c>
      <c r="CE157" s="14" t="s">
        <v>2048</v>
      </c>
      <c r="CF157" s="14" t="s">
        <v>2048</v>
      </c>
      <c r="CG157" s="14" t="s">
        <v>2068</v>
      </c>
      <c r="CH157" s="14" t="s">
        <v>2069</v>
      </c>
      <c r="CI157" s="14" t="s">
        <v>2048</v>
      </c>
      <c r="CJ157" s="17"/>
      <c r="CK157" s="17">
        <v>45625</v>
      </c>
      <c r="CL157" s="17">
        <v>45625</v>
      </c>
      <c r="CM157" s="17">
        <v>2958465</v>
      </c>
      <c r="CN157" s="17"/>
      <c r="CO157" s="19">
        <v>0</v>
      </c>
      <c r="CP157" s="19">
        <v>0</v>
      </c>
      <c r="CQ157" s="19">
        <v>0</v>
      </c>
      <c r="CR157" s="19">
        <v>0</v>
      </c>
      <c r="CS157" s="19">
        <v>0</v>
      </c>
      <c r="CT157" s="19">
        <v>0</v>
      </c>
      <c r="CU157" s="19">
        <v>0</v>
      </c>
      <c r="CV157" s="17"/>
      <c r="CW157" s="19">
        <v>0</v>
      </c>
      <c r="CX157" s="17"/>
      <c r="CY157" s="17">
        <v>47086</v>
      </c>
      <c r="CZ157" s="19">
        <v>0</v>
      </c>
      <c r="DA157" s="17"/>
      <c r="DB157" s="17"/>
      <c r="DC157" s="19">
        <v>100</v>
      </c>
      <c r="DD157" s="17"/>
      <c r="DE157" s="17">
        <v>2958465</v>
      </c>
      <c r="DF157" s="17"/>
      <c r="DG157" s="17"/>
      <c r="DH157" s="19">
        <v>0</v>
      </c>
      <c r="DI157" s="19">
        <v>0</v>
      </c>
    </row>
    <row r="158" spans="1:113" x14ac:dyDescent="0.2">
      <c r="A158" s="14" t="s">
        <v>2315</v>
      </c>
      <c r="B158" s="16" t="s">
        <v>508</v>
      </c>
      <c r="C158" s="14" t="s">
        <v>158</v>
      </c>
      <c r="D158" s="14" t="s">
        <v>159</v>
      </c>
      <c r="E158" s="14" t="s">
        <v>158</v>
      </c>
      <c r="F158" s="14" t="s">
        <v>2044</v>
      </c>
      <c r="G158" s="14" t="s">
        <v>2045</v>
      </c>
      <c r="H158" s="14" t="s">
        <v>215</v>
      </c>
      <c r="I158" s="14" t="s">
        <v>216</v>
      </c>
      <c r="J158" s="16">
        <f>COUNTIF($I$3:I158, I158)</f>
        <v>2</v>
      </c>
      <c r="K158" s="14" t="s">
        <v>2048</v>
      </c>
      <c r="L158" s="14" t="s">
        <v>2048</v>
      </c>
      <c r="M158" s="14" t="s">
        <v>2048</v>
      </c>
      <c r="N158" s="14" t="s">
        <v>2048</v>
      </c>
      <c r="O158" s="14" t="s">
        <v>3075</v>
      </c>
      <c r="P158" s="14" t="s">
        <v>510</v>
      </c>
      <c r="Q158" s="14" t="s">
        <v>2048</v>
      </c>
      <c r="R158" s="14" t="s">
        <v>2048</v>
      </c>
      <c r="S158" s="14" t="s">
        <v>2048</v>
      </c>
      <c r="T158" s="14" t="s">
        <v>2048</v>
      </c>
      <c r="U158" s="14" t="s">
        <v>2048</v>
      </c>
      <c r="V158" s="14" t="s">
        <v>2050</v>
      </c>
      <c r="W158" s="14" t="s">
        <v>2048</v>
      </c>
      <c r="X158" s="14" t="s">
        <v>2048</v>
      </c>
      <c r="Y158" s="14" t="s">
        <v>2048</v>
      </c>
      <c r="Z158" s="14" t="s">
        <v>2048</v>
      </c>
      <c r="AA158" s="14" t="s">
        <v>2048</v>
      </c>
      <c r="AB158" s="14" t="s">
        <v>140</v>
      </c>
      <c r="AC158" s="14" t="s">
        <v>151</v>
      </c>
      <c r="AD158" s="14" t="s">
        <v>2132</v>
      </c>
      <c r="AE158" s="14" t="s">
        <v>2133</v>
      </c>
      <c r="AF158" s="14" t="s">
        <v>2055</v>
      </c>
      <c r="AG158" s="14" t="s">
        <v>2055</v>
      </c>
      <c r="AH158" s="14" t="s">
        <v>2055</v>
      </c>
      <c r="AI158" s="14" t="s">
        <v>2057</v>
      </c>
      <c r="AJ158" s="14" t="s">
        <v>87</v>
      </c>
      <c r="AK158" s="14" t="s">
        <v>2048</v>
      </c>
      <c r="AL158" s="14" t="s">
        <v>2048</v>
      </c>
      <c r="AM158" s="14" t="s">
        <v>2048</v>
      </c>
      <c r="AN158" s="14" t="s">
        <v>2318</v>
      </c>
      <c r="AO158" s="17" t="s">
        <v>89</v>
      </c>
      <c r="AP158" s="14" t="s">
        <v>2135</v>
      </c>
      <c r="AQ158" s="14" t="s">
        <v>3076</v>
      </c>
      <c r="AR158" s="14" t="s">
        <v>3077</v>
      </c>
      <c r="AS158" s="14" t="s">
        <v>3078</v>
      </c>
      <c r="AT158" s="14" t="s">
        <v>72</v>
      </c>
      <c r="AU158" s="14" t="s">
        <v>2679</v>
      </c>
      <c r="AV158" s="14" t="s">
        <v>2680</v>
      </c>
      <c r="AW158" s="14" t="s">
        <v>2048</v>
      </c>
      <c r="AX158" s="14" t="s">
        <v>2048</v>
      </c>
      <c r="AY158" s="14" t="s">
        <v>215</v>
      </c>
      <c r="AZ158" s="14" t="s">
        <v>509</v>
      </c>
      <c r="BA158" s="14" t="s">
        <v>3079</v>
      </c>
      <c r="BB158" s="14" t="s">
        <v>2048</v>
      </c>
      <c r="BC158" s="14" t="s">
        <v>2048</v>
      </c>
      <c r="BD158" s="14" t="s">
        <v>2682</v>
      </c>
      <c r="BE158" s="14" t="s">
        <v>3080</v>
      </c>
      <c r="BF158" s="14" t="s">
        <v>2682</v>
      </c>
      <c r="BG158" s="14" t="s">
        <v>3080</v>
      </c>
      <c r="BH158" s="14" t="s">
        <v>2684</v>
      </c>
      <c r="BI158" s="14" t="s">
        <v>2287</v>
      </c>
      <c r="BJ158" s="14" t="s">
        <v>2048</v>
      </c>
      <c r="BK158" s="14" t="s">
        <v>2048</v>
      </c>
      <c r="BL158" s="14" t="s">
        <v>2064</v>
      </c>
      <c r="BM158" s="14" t="s">
        <v>72</v>
      </c>
      <c r="BN158" s="14" t="s">
        <v>72</v>
      </c>
      <c r="BO158" s="14" t="s">
        <v>3081</v>
      </c>
      <c r="BP158" s="14" t="s">
        <v>2329</v>
      </c>
      <c r="BQ158" s="14" t="s">
        <v>2330</v>
      </c>
      <c r="BR158" s="14" t="s">
        <v>2331</v>
      </c>
      <c r="BS158" s="14" t="s">
        <v>2131</v>
      </c>
      <c r="BT158" s="14" t="s">
        <v>2048</v>
      </c>
      <c r="BU158" s="14" t="s">
        <v>2048</v>
      </c>
      <c r="BV158" s="14" t="s">
        <v>2048</v>
      </c>
      <c r="BW158" s="14" t="s">
        <v>2048</v>
      </c>
      <c r="BX158" s="14" t="s">
        <v>72</v>
      </c>
      <c r="BY158" s="14" t="s">
        <v>2048</v>
      </c>
      <c r="BZ158" s="14" t="s">
        <v>2048</v>
      </c>
      <c r="CA158" s="14" t="s">
        <v>2048</v>
      </c>
      <c r="CB158" s="14" t="s">
        <v>2048</v>
      </c>
      <c r="CC158" s="14" t="s">
        <v>2048</v>
      </c>
      <c r="CD158" s="14" t="s">
        <v>2048</v>
      </c>
      <c r="CE158" s="14" t="s">
        <v>2048</v>
      </c>
      <c r="CF158" s="14" t="s">
        <v>2048</v>
      </c>
      <c r="CG158" s="14" t="s">
        <v>2068</v>
      </c>
      <c r="CH158" s="14" t="s">
        <v>2069</v>
      </c>
      <c r="CI158" s="14" t="s">
        <v>2048</v>
      </c>
      <c r="CJ158" s="17"/>
      <c r="CK158" s="17">
        <v>45625</v>
      </c>
      <c r="CL158" s="17">
        <v>45625</v>
      </c>
      <c r="CM158" s="17">
        <v>2958465</v>
      </c>
      <c r="CN158" s="17"/>
      <c r="CO158" s="19">
        <v>0</v>
      </c>
      <c r="CP158" s="19">
        <v>0</v>
      </c>
      <c r="CQ158" s="19">
        <v>0</v>
      </c>
      <c r="CR158" s="19">
        <v>0</v>
      </c>
      <c r="CS158" s="19">
        <v>0</v>
      </c>
      <c r="CT158" s="19">
        <v>0</v>
      </c>
      <c r="CU158" s="19">
        <v>0</v>
      </c>
      <c r="CV158" s="17"/>
      <c r="CW158" s="19">
        <v>0</v>
      </c>
      <c r="CX158" s="17"/>
      <c r="CY158" s="17">
        <v>47086</v>
      </c>
      <c r="CZ158" s="19">
        <v>0</v>
      </c>
      <c r="DA158" s="17"/>
      <c r="DB158" s="17"/>
      <c r="DC158" s="19">
        <v>100</v>
      </c>
      <c r="DD158" s="17"/>
      <c r="DE158" s="17">
        <v>2958465</v>
      </c>
      <c r="DF158" s="17"/>
      <c r="DG158" s="17"/>
      <c r="DH158" s="19">
        <v>0</v>
      </c>
      <c r="DI158" s="19">
        <v>0</v>
      </c>
    </row>
    <row r="159" spans="1:113" x14ac:dyDescent="0.2">
      <c r="A159" s="14" t="s">
        <v>2315</v>
      </c>
      <c r="B159" s="16" t="s">
        <v>1820</v>
      </c>
      <c r="C159" s="14" t="s">
        <v>158</v>
      </c>
      <c r="D159" s="14" t="s">
        <v>159</v>
      </c>
      <c r="E159" s="14" t="s">
        <v>158</v>
      </c>
      <c r="F159" s="14" t="s">
        <v>2044</v>
      </c>
      <c r="G159" s="14" t="s">
        <v>2045</v>
      </c>
      <c r="H159" s="14" t="s">
        <v>403</v>
      </c>
      <c r="I159" s="14" t="s">
        <v>404</v>
      </c>
      <c r="J159" s="16">
        <f>COUNTIF($I$3:I159, I159)</f>
        <v>1</v>
      </c>
      <c r="K159" s="14" t="s">
        <v>2048</v>
      </c>
      <c r="L159" s="14" t="s">
        <v>2048</v>
      </c>
      <c r="M159" s="14" t="s">
        <v>2048</v>
      </c>
      <c r="N159" s="14" t="s">
        <v>2048</v>
      </c>
      <c r="O159" s="14" t="s">
        <v>3082</v>
      </c>
      <c r="P159" s="14" t="s">
        <v>3083</v>
      </c>
      <c r="Q159" s="14" t="s">
        <v>2048</v>
      </c>
      <c r="R159" s="14" t="s">
        <v>2048</v>
      </c>
      <c r="S159" s="14" t="s">
        <v>2048</v>
      </c>
      <c r="T159" s="14" t="s">
        <v>2048</v>
      </c>
      <c r="U159" s="14" t="s">
        <v>2048</v>
      </c>
      <c r="V159" s="14" t="s">
        <v>2050</v>
      </c>
      <c r="W159" s="14" t="s">
        <v>2048</v>
      </c>
      <c r="X159" s="14" t="s">
        <v>2048</v>
      </c>
      <c r="Y159" s="14" t="s">
        <v>2048</v>
      </c>
      <c r="Z159" s="14" t="s">
        <v>2048</v>
      </c>
      <c r="AA159" s="14" t="s">
        <v>2048</v>
      </c>
      <c r="AB159" s="14" t="s">
        <v>140</v>
      </c>
      <c r="AC159" s="14" t="s">
        <v>151</v>
      </c>
      <c r="AD159" s="14" t="s">
        <v>2132</v>
      </c>
      <c r="AE159" s="14" t="s">
        <v>2133</v>
      </c>
      <c r="AF159" s="14" t="s">
        <v>2055</v>
      </c>
      <c r="AG159" s="14" t="s">
        <v>2055</v>
      </c>
      <c r="AH159" s="14" t="s">
        <v>2055</v>
      </c>
      <c r="AI159" s="14" t="s">
        <v>2057</v>
      </c>
      <c r="AJ159" s="14" t="s">
        <v>87</v>
      </c>
      <c r="AK159" s="14" t="s">
        <v>2048</v>
      </c>
      <c r="AL159" s="14" t="s">
        <v>2048</v>
      </c>
      <c r="AM159" s="14" t="s">
        <v>2048</v>
      </c>
      <c r="AN159" s="14" t="s">
        <v>3084</v>
      </c>
      <c r="AO159" s="17" t="s">
        <v>89</v>
      </c>
      <c r="AP159" s="14" t="s">
        <v>2135</v>
      </c>
      <c r="AQ159" s="14" t="s">
        <v>3085</v>
      </c>
      <c r="AR159" s="14" t="s">
        <v>3086</v>
      </c>
      <c r="AS159" s="14" t="s">
        <v>3087</v>
      </c>
      <c r="AT159" s="14" t="s">
        <v>72</v>
      </c>
      <c r="AU159" s="14" t="s">
        <v>2635</v>
      </c>
      <c r="AV159" s="14" t="s">
        <v>2636</v>
      </c>
      <c r="AW159" s="14" t="s">
        <v>2048</v>
      </c>
      <c r="AX159" s="14" t="s">
        <v>2048</v>
      </c>
      <c r="AY159" s="14" t="s">
        <v>403</v>
      </c>
      <c r="AZ159" s="14" t="s">
        <v>3088</v>
      </c>
      <c r="BA159" s="14" t="s">
        <v>3089</v>
      </c>
      <c r="BB159" s="14" t="s">
        <v>2048</v>
      </c>
      <c r="BC159" s="14" t="s">
        <v>2048</v>
      </c>
      <c r="BD159" s="14" t="s">
        <v>3090</v>
      </c>
      <c r="BE159" s="14" t="s">
        <v>3091</v>
      </c>
      <c r="BF159" s="14" t="s">
        <v>2048</v>
      </c>
      <c r="BG159" s="14" t="s">
        <v>2048</v>
      </c>
      <c r="BH159" s="14" t="s">
        <v>3092</v>
      </c>
      <c r="BI159" s="14" t="s">
        <v>2287</v>
      </c>
      <c r="BJ159" s="14" t="s">
        <v>2048</v>
      </c>
      <c r="BK159" s="14" t="s">
        <v>2048</v>
      </c>
      <c r="BL159" s="14" t="s">
        <v>2064</v>
      </c>
      <c r="BM159" s="14" t="s">
        <v>72</v>
      </c>
      <c r="BN159" s="14" t="s">
        <v>72</v>
      </c>
      <c r="BO159" s="14" t="s">
        <v>3093</v>
      </c>
      <c r="BP159" s="14" t="s">
        <v>3094</v>
      </c>
      <c r="BQ159" s="14" t="s">
        <v>3095</v>
      </c>
      <c r="BR159" s="14" t="s">
        <v>2331</v>
      </c>
      <c r="BS159" s="14" t="s">
        <v>2131</v>
      </c>
      <c r="BT159" s="14" t="s">
        <v>2048</v>
      </c>
      <c r="BU159" s="14" t="s">
        <v>2048</v>
      </c>
      <c r="BV159" s="14" t="s">
        <v>2048</v>
      </c>
      <c r="BW159" s="14" t="s">
        <v>2048</v>
      </c>
      <c r="BX159" s="14" t="s">
        <v>72</v>
      </c>
      <c r="BY159" s="14" t="s">
        <v>2048</v>
      </c>
      <c r="BZ159" s="14" t="s">
        <v>2048</v>
      </c>
      <c r="CA159" s="14" t="s">
        <v>2048</v>
      </c>
      <c r="CB159" s="14" t="s">
        <v>2048</v>
      </c>
      <c r="CC159" s="14" t="s">
        <v>2048</v>
      </c>
      <c r="CD159" s="14" t="s">
        <v>2048</v>
      </c>
      <c r="CE159" s="14" t="s">
        <v>2048</v>
      </c>
      <c r="CF159" s="14" t="s">
        <v>2048</v>
      </c>
      <c r="CG159" s="14" t="s">
        <v>2068</v>
      </c>
      <c r="CH159" s="14" t="s">
        <v>2069</v>
      </c>
      <c r="CI159" s="14" t="s">
        <v>2048</v>
      </c>
      <c r="CJ159" s="17"/>
      <c r="CK159" s="17">
        <v>45625</v>
      </c>
      <c r="CL159" s="17">
        <v>45625</v>
      </c>
      <c r="CM159" s="17">
        <v>2958465</v>
      </c>
      <c r="CN159" s="17"/>
      <c r="CO159" s="19">
        <v>0</v>
      </c>
      <c r="CP159" s="19">
        <v>0</v>
      </c>
      <c r="CQ159" s="19">
        <v>0</v>
      </c>
      <c r="CR159" s="19">
        <v>0</v>
      </c>
      <c r="CS159" s="19">
        <v>0</v>
      </c>
      <c r="CT159" s="19">
        <v>0</v>
      </c>
      <c r="CU159" s="19">
        <v>0</v>
      </c>
      <c r="CV159" s="17"/>
      <c r="CW159" s="19">
        <v>0</v>
      </c>
      <c r="CX159" s="17"/>
      <c r="CY159" s="17">
        <v>47086</v>
      </c>
      <c r="CZ159" s="19">
        <v>0</v>
      </c>
      <c r="DA159" s="17"/>
      <c r="DB159" s="17"/>
      <c r="DC159" s="19">
        <v>100</v>
      </c>
      <c r="DD159" s="17"/>
      <c r="DE159" s="17">
        <v>2958465</v>
      </c>
      <c r="DF159" s="17"/>
      <c r="DG159" s="17"/>
      <c r="DH159" s="19">
        <v>0</v>
      </c>
      <c r="DI159" s="19">
        <v>0</v>
      </c>
    </row>
    <row r="160" spans="1:113" x14ac:dyDescent="0.2">
      <c r="A160" s="14" t="s">
        <v>2315</v>
      </c>
      <c r="B160" s="16" t="s">
        <v>903</v>
      </c>
      <c r="C160" s="14" t="s">
        <v>158</v>
      </c>
      <c r="D160" s="14" t="s">
        <v>159</v>
      </c>
      <c r="E160" s="14" t="s">
        <v>158</v>
      </c>
      <c r="F160" s="14" t="s">
        <v>2044</v>
      </c>
      <c r="G160" s="14" t="s">
        <v>2045</v>
      </c>
      <c r="H160" s="14" t="s">
        <v>119</v>
      </c>
      <c r="I160" s="14" t="s">
        <v>120</v>
      </c>
      <c r="J160" s="16">
        <f>COUNTIF($I$3:I160, I160)</f>
        <v>24</v>
      </c>
      <c r="K160" s="14" t="s">
        <v>2048</v>
      </c>
      <c r="L160" s="14" t="s">
        <v>2048</v>
      </c>
      <c r="M160" s="14" t="s">
        <v>2048</v>
      </c>
      <c r="N160" s="14" t="s">
        <v>2048</v>
      </c>
      <c r="O160" s="14" t="s">
        <v>3096</v>
      </c>
      <c r="P160" s="14" t="s">
        <v>904</v>
      </c>
      <c r="Q160" s="14" t="s">
        <v>72</v>
      </c>
      <c r="R160" s="14" t="s">
        <v>2048</v>
      </c>
      <c r="S160" s="14" t="s">
        <v>2048</v>
      </c>
      <c r="T160" s="14" t="s">
        <v>2048</v>
      </c>
      <c r="U160" s="14" t="s">
        <v>2048</v>
      </c>
      <c r="V160" s="14" t="s">
        <v>2050</v>
      </c>
      <c r="W160" s="14" t="s">
        <v>2048</v>
      </c>
      <c r="X160" s="14" t="s">
        <v>2048</v>
      </c>
      <c r="Y160" s="14" t="s">
        <v>2048</v>
      </c>
      <c r="Z160" s="14" t="s">
        <v>2048</v>
      </c>
      <c r="AA160" s="14" t="s">
        <v>2048</v>
      </c>
      <c r="AB160" s="14" t="s">
        <v>85</v>
      </c>
      <c r="AC160" s="14" t="s">
        <v>86</v>
      </c>
      <c r="AD160" s="14" t="s">
        <v>2132</v>
      </c>
      <c r="AE160" s="14" t="s">
        <v>2133</v>
      </c>
      <c r="AF160" s="14" t="s">
        <v>2055</v>
      </c>
      <c r="AG160" s="14" t="s">
        <v>2055</v>
      </c>
      <c r="AH160" s="14" t="s">
        <v>2055</v>
      </c>
      <c r="AI160" s="14" t="s">
        <v>2057</v>
      </c>
      <c r="AJ160" s="14" t="s">
        <v>87</v>
      </c>
      <c r="AK160" s="14" t="s">
        <v>2048</v>
      </c>
      <c r="AL160" s="14" t="s">
        <v>2048</v>
      </c>
      <c r="AM160" s="14" t="s">
        <v>2048</v>
      </c>
      <c r="AN160" s="14" t="s">
        <v>2558</v>
      </c>
      <c r="AO160" s="17" t="s">
        <v>89</v>
      </c>
      <c r="AP160" s="14" t="s">
        <v>2135</v>
      </c>
      <c r="AQ160" s="14" t="s">
        <v>3097</v>
      </c>
      <c r="AR160" s="14" t="s">
        <v>3098</v>
      </c>
      <c r="AS160" s="14" t="s">
        <v>3099</v>
      </c>
      <c r="AT160" s="14" t="s">
        <v>72</v>
      </c>
      <c r="AU160" s="14" t="s">
        <v>2561</v>
      </c>
      <c r="AV160" s="14" t="s">
        <v>2562</v>
      </c>
      <c r="AW160" s="14" t="s">
        <v>2048</v>
      </c>
      <c r="AX160" s="14" t="s">
        <v>2048</v>
      </c>
      <c r="AY160" s="14" t="s">
        <v>119</v>
      </c>
      <c r="AZ160" s="14" t="s">
        <v>617</v>
      </c>
      <c r="BA160" s="14" t="s">
        <v>2563</v>
      </c>
      <c r="BB160" s="14" t="s">
        <v>2048</v>
      </c>
      <c r="BC160" s="14" t="s">
        <v>2048</v>
      </c>
      <c r="BD160" s="14" t="s">
        <v>2282</v>
      </c>
      <c r="BE160" s="14" t="s">
        <v>2283</v>
      </c>
      <c r="BF160" s="14" t="s">
        <v>2564</v>
      </c>
      <c r="BG160" s="14" t="s">
        <v>2565</v>
      </c>
      <c r="BH160" s="14" t="s">
        <v>2566</v>
      </c>
      <c r="BI160" s="14" t="s">
        <v>2287</v>
      </c>
      <c r="BJ160" s="14" t="s">
        <v>2048</v>
      </c>
      <c r="BK160" s="14" t="s">
        <v>2518</v>
      </c>
      <c r="BL160" s="14" t="s">
        <v>2064</v>
      </c>
      <c r="BM160" s="14" t="s">
        <v>72</v>
      </c>
      <c r="BN160" s="14" t="s">
        <v>72</v>
      </c>
      <c r="BO160" s="14" t="s">
        <v>3100</v>
      </c>
      <c r="BP160" s="14" t="s">
        <v>2568</v>
      </c>
      <c r="BQ160" s="14" t="s">
        <v>2558</v>
      </c>
      <c r="BR160" s="14" t="s">
        <v>2418</v>
      </c>
      <c r="BS160" s="14" t="s">
        <v>2089</v>
      </c>
      <c r="BT160" s="14" t="s">
        <v>2048</v>
      </c>
      <c r="BU160" s="14" t="s">
        <v>2048</v>
      </c>
      <c r="BV160" s="14" t="s">
        <v>2048</v>
      </c>
      <c r="BW160" s="14" t="s">
        <v>2048</v>
      </c>
      <c r="BX160" s="14" t="s">
        <v>72</v>
      </c>
      <c r="BY160" s="14" t="s">
        <v>2048</v>
      </c>
      <c r="BZ160" s="14" t="s">
        <v>2048</v>
      </c>
      <c r="CA160" s="14" t="s">
        <v>2048</v>
      </c>
      <c r="CB160" s="14" t="s">
        <v>2048</v>
      </c>
      <c r="CC160" s="14" t="s">
        <v>2048</v>
      </c>
      <c r="CD160" s="14" t="s">
        <v>2048</v>
      </c>
      <c r="CE160" s="14" t="s">
        <v>2048</v>
      </c>
      <c r="CF160" s="14" t="s">
        <v>2048</v>
      </c>
      <c r="CG160" s="14" t="s">
        <v>2057</v>
      </c>
      <c r="CH160" s="14" t="s">
        <v>2090</v>
      </c>
      <c r="CI160" s="14" t="s">
        <v>2048</v>
      </c>
      <c r="CJ160" s="17"/>
      <c r="CK160" s="17">
        <v>45645</v>
      </c>
      <c r="CL160" s="17">
        <v>45645</v>
      </c>
      <c r="CM160" s="17">
        <v>2958465</v>
      </c>
      <c r="CN160" s="17"/>
      <c r="CO160" s="19">
        <v>0</v>
      </c>
      <c r="CP160" s="19">
        <v>0</v>
      </c>
      <c r="CQ160" s="19">
        <v>0</v>
      </c>
      <c r="CR160" s="19">
        <v>0</v>
      </c>
      <c r="CS160" s="19">
        <v>0</v>
      </c>
      <c r="CT160" s="19">
        <v>0</v>
      </c>
      <c r="CU160" s="19">
        <v>0</v>
      </c>
      <c r="CV160" s="17"/>
      <c r="CW160" s="19">
        <v>0</v>
      </c>
      <c r="CX160" s="17"/>
      <c r="CY160" s="17"/>
      <c r="CZ160" s="19">
        <v>0</v>
      </c>
      <c r="DA160" s="17"/>
      <c r="DB160" s="17"/>
      <c r="DC160" s="19">
        <v>100</v>
      </c>
      <c r="DD160" s="17"/>
      <c r="DE160" s="17">
        <v>2958465</v>
      </c>
      <c r="DF160" s="17"/>
      <c r="DG160" s="17"/>
      <c r="DH160" s="19">
        <v>0</v>
      </c>
      <c r="DI160" s="19">
        <v>0</v>
      </c>
    </row>
    <row r="161" spans="1:113" x14ac:dyDescent="0.2">
      <c r="A161" s="14" t="s">
        <v>2315</v>
      </c>
      <c r="B161" s="16" t="s">
        <v>944</v>
      </c>
      <c r="C161" s="14" t="s">
        <v>158</v>
      </c>
      <c r="D161" s="14" t="s">
        <v>159</v>
      </c>
      <c r="E161" s="14" t="s">
        <v>158</v>
      </c>
      <c r="F161" s="14" t="s">
        <v>2044</v>
      </c>
      <c r="G161" s="14" t="s">
        <v>2045</v>
      </c>
      <c r="H161" s="14" t="s">
        <v>119</v>
      </c>
      <c r="I161" s="14" t="s">
        <v>120</v>
      </c>
      <c r="J161" s="16">
        <f>COUNTIF($I$3:I161, I161)</f>
        <v>25</v>
      </c>
      <c r="K161" s="14" t="s">
        <v>2048</v>
      </c>
      <c r="L161" s="14" t="s">
        <v>2048</v>
      </c>
      <c r="M161" s="14" t="s">
        <v>2048</v>
      </c>
      <c r="N161" s="14" t="s">
        <v>2048</v>
      </c>
      <c r="O161" s="14" t="s">
        <v>3101</v>
      </c>
      <c r="P161" s="14" t="s">
        <v>945</v>
      </c>
      <c r="Q161" s="14" t="s">
        <v>72</v>
      </c>
      <c r="R161" s="14" t="s">
        <v>2048</v>
      </c>
      <c r="S161" s="14" t="s">
        <v>2048</v>
      </c>
      <c r="T161" s="14" t="s">
        <v>2048</v>
      </c>
      <c r="U161" s="14" t="s">
        <v>2048</v>
      </c>
      <c r="V161" s="14" t="s">
        <v>2050</v>
      </c>
      <c r="W161" s="14" t="s">
        <v>2048</v>
      </c>
      <c r="X161" s="14" t="s">
        <v>2048</v>
      </c>
      <c r="Y161" s="14" t="s">
        <v>2048</v>
      </c>
      <c r="Z161" s="14" t="s">
        <v>2048</v>
      </c>
      <c r="AA161" s="14" t="s">
        <v>2048</v>
      </c>
      <c r="AB161" s="14" t="s">
        <v>85</v>
      </c>
      <c r="AC161" s="14" t="s">
        <v>86</v>
      </c>
      <c r="AD161" s="14" t="s">
        <v>2132</v>
      </c>
      <c r="AE161" s="14" t="s">
        <v>2133</v>
      </c>
      <c r="AF161" s="14" t="s">
        <v>2055</v>
      </c>
      <c r="AG161" s="14" t="s">
        <v>2056</v>
      </c>
      <c r="AH161" s="14" t="s">
        <v>2055</v>
      </c>
      <c r="AI161" s="14" t="s">
        <v>2057</v>
      </c>
      <c r="AJ161" s="14" t="s">
        <v>87</v>
      </c>
      <c r="AK161" s="14" t="s">
        <v>2048</v>
      </c>
      <c r="AL161" s="14" t="s">
        <v>2048</v>
      </c>
      <c r="AM161" s="14" t="s">
        <v>2048</v>
      </c>
      <c r="AN161" s="14" t="s">
        <v>2558</v>
      </c>
      <c r="AO161" s="17" t="s">
        <v>89</v>
      </c>
      <c r="AP161" s="14" t="s">
        <v>2135</v>
      </c>
      <c r="AQ161" s="14" t="s">
        <v>3102</v>
      </c>
      <c r="AR161" s="14" t="s">
        <v>2559</v>
      </c>
      <c r="AS161" s="14" t="s">
        <v>2560</v>
      </c>
      <c r="AT161" s="14" t="s">
        <v>72</v>
      </c>
      <c r="AU161" s="14" t="s">
        <v>2561</v>
      </c>
      <c r="AV161" s="14" t="s">
        <v>2562</v>
      </c>
      <c r="AW161" s="14" t="s">
        <v>2048</v>
      </c>
      <c r="AX161" s="14" t="s">
        <v>2048</v>
      </c>
      <c r="AY161" s="14" t="s">
        <v>119</v>
      </c>
      <c r="AZ161" s="14" t="s">
        <v>617</v>
      </c>
      <c r="BA161" s="14" t="s">
        <v>2563</v>
      </c>
      <c r="BB161" s="14" t="s">
        <v>2048</v>
      </c>
      <c r="BC161" s="14" t="s">
        <v>2048</v>
      </c>
      <c r="BD161" s="14" t="s">
        <v>2282</v>
      </c>
      <c r="BE161" s="14" t="s">
        <v>2283</v>
      </c>
      <c r="BF161" s="14" t="s">
        <v>2564</v>
      </c>
      <c r="BG161" s="14" t="s">
        <v>2565</v>
      </c>
      <c r="BH161" s="14" t="s">
        <v>2566</v>
      </c>
      <c r="BI161" s="14" t="s">
        <v>2287</v>
      </c>
      <c r="BJ161" s="14" t="s">
        <v>2048</v>
      </c>
      <c r="BK161" s="14" t="s">
        <v>2048</v>
      </c>
      <c r="BL161" s="14" t="s">
        <v>2064</v>
      </c>
      <c r="BM161" s="14" t="s">
        <v>72</v>
      </c>
      <c r="BN161" s="14" t="s">
        <v>72</v>
      </c>
      <c r="BO161" s="14" t="s">
        <v>3103</v>
      </c>
      <c r="BP161" s="14" t="s">
        <v>2568</v>
      </c>
      <c r="BQ161" s="14" t="s">
        <v>2558</v>
      </c>
      <c r="BR161" s="14" t="s">
        <v>2418</v>
      </c>
      <c r="BS161" s="14" t="s">
        <v>2089</v>
      </c>
      <c r="BT161" s="14" t="s">
        <v>2048</v>
      </c>
      <c r="BU161" s="14" t="s">
        <v>2048</v>
      </c>
      <c r="BV161" s="14" t="s">
        <v>2048</v>
      </c>
      <c r="BW161" s="14" t="s">
        <v>2048</v>
      </c>
      <c r="BX161" s="14" t="s">
        <v>72</v>
      </c>
      <c r="BY161" s="14" t="s">
        <v>2048</v>
      </c>
      <c r="BZ161" s="14" t="s">
        <v>2048</v>
      </c>
      <c r="CA161" s="14" t="s">
        <v>2048</v>
      </c>
      <c r="CB161" s="14" t="s">
        <v>2048</v>
      </c>
      <c r="CC161" s="14" t="s">
        <v>2048</v>
      </c>
      <c r="CD161" s="14" t="s">
        <v>2048</v>
      </c>
      <c r="CE161" s="14" t="s">
        <v>2048</v>
      </c>
      <c r="CF161" s="14" t="s">
        <v>2048</v>
      </c>
      <c r="CG161" s="14" t="s">
        <v>2057</v>
      </c>
      <c r="CH161" s="14" t="s">
        <v>2090</v>
      </c>
      <c r="CI161" s="14" t="s">
        <v>2048</v>
      </c>
      <c r="CJ161" s="17"/>
      <c r="CK161" s="17">
        <v>45645</v>
      </c>
      <c r="CL161" s="17">
        <v>45645</v>
      </c>
      <c r="CM161" s="17">
        <v>2958465</v>
      </c>
      <c r="CN161" s="17"/>
      <c r="CO161" s="19">
        <v>0</v>
      </c>
      <c r="CP161" s="19">
        <v>0</v>
      </c>
      <c r="CQ161" s="19">
        <v>0</v>
      </c>
      <c r="CR161" s="19">
        <v>0</v>
      </c>
      <c r="CS161" s="19">
        <v>0</v>
      </c>
      <c r="CT161" s="19">
        <v>0</v>
      </c>
      <c r="CU161" s="19">
        <v>0</v>
      </c>
      <c r="CV161" s="17"/>
      <c r="CW161" s="19">
        <v>0</v>
      </c>
      <c r="CX161" s="17"/>
      <c r="CY161" s="17"/>
      <c r="CZ161" s="19">
        <v>0</v>
      </c>
      <c r="DA161" s="17"/>
      <c r="DB161" s="17"/>
      <c r="DC161" s="19">
        <v>100</v>
      </c>
      <c r="DD161" s="17"/>
      <c r="DE161" s="17">
        <v>2958465</v>
      </c>
      <c r="DF161" s="17"/>
      <c r="DG161" s="17"/>
      <c r="DH161" s="19">
        <v>0</v>
      </c>
      <c r="DI161" s="19">
        <v>0</v>
      </c>
    </row>
    <row r="162" spans="1:113" x14ac:dyDescent="0.2">
      <c r="A162" s="14" t="s">
        <v>2315</v>
      </c>
      <c r="B162" s="16" t="s">
        <v>324</v>
      </c>
      <c r="C162" s="14" t="s">
        <v>158</v>
      </c>
      <c r="D162" s="14" t="s">
        <v>159</v>
      </c>
      <c r="E162" s="14" t="s">
        <v>158</v>
      </c>
      <c r="F162" s="14" t="s">
        <v>2044</v>
      </c>
      <c r="G162" s="14" t="s">
        <v>2045</v>
      </c>
      <c r="H162" s="14" t="s">
        <v>119</v>
      </c>
      <c r="I162" s="14" t="s">
        <v>120</v>
      </c>
      <c r="J162" s="16">
        <f>COUNTIF($I$3:I162, I162)</f>
        <v>26</v>
      </c>
      <c r="K162" s="14" t="s">
        <v>2048</v>
      </c>
      <c r="L162" s="14" t="s">
        <v>2048</v>
      </c>
      <c r="M162" s="14" t="s">
        <v>2048</v>
      </c>
      <c r="N162" s="14" t="s">
        <v>2048</v>
      </c>
      <c r="O162" s="14" t="s">
        <v>3104</v>
      </c>
      <c r="P162" s="14" t="s">
        <v>326</v>
      </c>
      <c r="Q162" s="14" t="s">
        <v>72</v>
      </c>
      <c r="R162" s="14" t="s">
        <v>2048</v>
      </c>
      <c r="S162" s="14" t="s">
        <v>2048</v>
      </c>
      <c r="T162" s="14" t="s">
        <v>2048</v>
      </c>
      <c r="U162" s="14" t="s">
        <v>2048</v>
      </c>
      <c r="V162" s="14" t="s">
        <v>2050</v>
      </c>
      <c r="W162" s="14" t="s">
        <v>2048</v>
      </c>
      <c r="X162" s="14" t="s">
        <v>2048</v>
      </c>
      <c r="Y162" s="14" t="s">
        <v>2048</v>
      </c>
      <c r="Z162" s="14" t="s">
        <v>2048</v>
      </c>
      <c r="AA162" s="14" t="s">
        <v>2048</v>
      </c>
      <c r="AB162" s="14" t="s">
        <v>85</v>
      </c>
      <c r="AC162" s="14" t="s">
        <v>86</v>
      </c>
      <c r="AD162" s="14" t="s">
        <v>2132</v>
      </c>
      <c r="AE162" s="14" t="s">
        <v>2133</v>
      </c>
      <c r="AF162" s="14" t="s">
        <v>2055</v>
      </c>
      <c r="AG162" s="14" t="s">
        <v>2055</v>
      </c>
      <c r="AH162" s="14" t="s">
        <v>2055</v>
      </c>
      <c r="AI162" s="14" t="s">
        <v>2057</v>
      </c>
      <c r="AJ162" s="14" t="s">
        <v>87</v>
      </c>
      <c r="AK162" s="14" t="s">
        <v>2048</v>
      </c>
      <c r="AL162" s="14" t="s">
        <v>2048</v>
      </c>
      <c r="AM162" s="14" t="s">
        <v>2584</v>
      </c>
      <c r="AN162" s="14" t="s">
        <v>2904</v>
      </c>
      <c r="AO162" s="17" t="s">
        <v>89</v>
      </c>
      <c r="AP162" s="14" t="s">
        <v>2135</v>
      </c>
      <c r="AQ162" s="14" t="s">
        <v>3105</v>
      </c>
      <c r="AR162" s="14" t="s">
        <v>3106</v>
      </c>
      <c r="AS162" s="14" t="s">
        <v>3107</v>
      </c>
      <c r="AT162" s="14" t="s">
        <v>72</v>
      </c>
      <c r="AU162" s="14" t="s">
        <v>2908</v>
      </c>
      <c r="AV162" s="14" t="s">
        <v>2909</v>
      </c>
      <c r="AW162" s="14" t="s">
        <v>2048</v>
      </c>
      <c r="AX162" s="14" t="s">
        <v>2048</v>
      </c>
      <c r="AY162" s="14" t="s">
        <v>119</v>
      </c>
      <c r="AZ162" s="14" t="s">
        <v>325</v>
      </c>
      <c r="BA162" s="14" t="s">
        <v>2910</v>
      </c>
      <c r="BB162" s="14" t="s">
        <v>2048</v>
      </c>
      <c r="BC162" s="14" t="s">
        <v>2048</v>
      </c>
      <c r="BD162" s="14" t="s">
        <v>2911</v>
      </c>
      <c r="BE162" s="14" t="s">
        <v>2341</v>
      </c>
      <c r="BF162" s="14" t="s">
        <v>2912</v>
      </c>
      <c r="BG162" s="14" t="s">
        <v>2913</v>
      </c>
      <c r="BH162" s="14" t="s">
        <v>2914</v>
      </c>
      <c r="BI162" s="14" t="s">
        <v>2287</v>
      </c>
      <c r="BJ162" s="14" t="s">
        <v>2048</v>
      </c>
      <c r="BK162" s="14" t="s">
        <v>2048</v>
      </c>
      <c r="BL162" s="14" t="s">
        <v>2064</v>
      </c>
      <c r="BM162" s="14" t="s">
        <v>72</v>
      </c>
      <c r="BN162" s="14" t="s">
        <v>72</v>
      </c>
      <c r="BO162" s="14" t="s">
        <v>3108</v>
      </c>
      <c r="BP162" s="14" t="s">
        <v>2916</v>
      </c>
      <c r="BQ162" s="14" t="s">
        <v>2917</v>
      </c>
      <c r="BR162" s="14" t="s">
        <v>2418</v>
      </c>
      <c r="BS162" s="14" t="s">
        <v>2089</v>
      </c>
      <c r="BT162" s="14" t="s">
        <v>2048</v>
      </c>
      <c r="BU162" s="14" t="s">
        <v>2048</v>
      </c>
      <c r="BV162" s="14" t="s">
        <v>2048</v>
      </c>
      <c r="BW162" s="14" t="s">
        <v>2048</v>
      </c>
      <c r="BX162" s="14" t="s">
        <v>72</v>
      </c>
      <c r="BY162" s="14" t="s">
        <v>2048</v>
      </c>
      <c r="BZ162" s="14" t="s">
        <v>2048</v>
      </c>
      <c r="CA162" s="14" t="s">
        <v>2048</v>
      </c>
      <c r="CB162" s="14" t="s">
        <v>2048</v>
      </c>
      <c r="CC162" s="14" t="s">
        <v>2048</v>
      </c>
      <c r="CD162" s="14" t="s">
        <v>2048</v>
      </c>
      <c r="CE162" s="14" t="s">
        <v>2048</v>
      </c>
      <c r="CF162" s="14" t="s">
        <v>2048</v>
      </c>
      <c r="CG162" s="14" t="s">
        <v>2057</v>
      </c>
      <c r="CH162" s="14" t="s">
        <v>2090</v>
      </c>
      <c r="CI162" s="14" t="s">
        <v>2048</v>
      </c>
      <c r="CJ162" s="17"/>
      <c r="CK162" s="17">
        <v>45645</v>
      </c>
      <c r="CL162" s="17">
        <v>45645</v>
      </c>
      <c r="CM162" s="17">
        <v>2958465</v>
      </c>
      <c r="CN162" s="17"/>
      <c r="CO162" s="19">
        <v>0</v>
      </c>
      <c r="CP162" s="19">
        <v>0</v>
      </c>
      <c r="CQ162" s="19">
        <v>0</v>
      </c>
      <c r="CR162" s="19">
        <v>0</v>
      </c>
      <c r="CS162" s="19">
        <v>0</v>
      </c>
      <c r="CT162" s="19">
        <v>0</v>
      </c>
      <c r="CU162" s="19">
        <v>0</v>
      </c>
      <c r="CV162" s="17"/>
      <c r="CW162" s="19">
        <v>0</v>
      </c>
      <c r="CX162" s="17"/>
      <c r="CY162" s="17"/>
      <c r="CZ162" s="19">
        <v>0</v>
      </c>
      <c r="DA162" s="17"/>
      <c r="DB162" s="17"/>
      <c r="DC162" s="19">
        <v>100</v>
      </c>
      <c r="DD162" s="17"/>
      <c r="DE162" s="17">
        <v>2958465</v>
      </c>
      <c r="DF162" s="17"/>
      <c r="DG162" s="17"/>
      <c r="DH162" s="19">
        <v>0</v>
      </c>
      <c r="DI162" s="19">
        <v>0</v>
      </c>
    </row>
    <row r="163" spans="1:113" x14ac:dyDescent="0.2">
      <c r="A163" s="14" t="s">
        <v>2315</v>
      </c>
      <c r="B163" s="16" t="s">
        <v>889</v>
      </c>
      <c r="C163" s="14" t="s">
        <v>158</v>
      </c>
      <c r="D163" s="14" t="s">
        <v>159</v>
      </c>
      <c r="E163" s="14" t="s">
        <v>158</v>
      </c>
      <c r="F163" s="14" t="s">
        <v>2044</v>
      </c>
      <c r="G163" s="14" t="s">
        <v>2045</v>
      </c>
      <c r="H163" s="14" t="s">
        <v>102</v>
      </c>
      <c r="I163" s="14" t="s">
        <v>103</v>
      </c>
      <c r="J163" s="16">
        <f>COUNTIF($I$3:I163, I163)</f>
        <v>34</v>
      </c>
      <c r="K163" s="14" t="s">
        <v>2048</v>
      </c>
      <c r="L163" s="14" t="s">
        <v>2048</v>
      </c>
      <c r="M163" s="14" t="s">
        <v>2048</v>
      </c>
      <c r="N163" s="14" t="s">
        <v>2048</v>
      </c>
      <c r="O163" s="14" t="s">
        <v>3109</v>
      </c>
      <c r="P163" s="14" t="s">
        <v>890</v>
      </c>
      <c r="Q163" s="14" t="s">
        <v>72</v>
      </c>
      <c r="R163" s="14" t="s">
        <v>2048</v>
      </c>
      <c r="S163" s="14" t="s">
        <v>2048</v>
      </c>
      <c r="T163" s="14" t="s">
        <v>2048</v>
      </c>
      <c r="U163" s="14" t="s">
        <v>2048</v>
      </c>
      <c r="V163" s="14" t="s">
        <v>2050</v>
      </c>
      <c r="W163" s="14" t="s">
        <v>2048</v>
      </c>
      <c r="X163" s="14" t="s">
        <v>2048</v>
      </c>
      <c r="Y163" s="14" t="s">
        <v>2048</v>
      </c>
      <c r="Z163" s="14" t="s">
        <v>2048</v>
      </c>
      <c r="AA163" s="14" t="s">
        <v>2048</v>
      </c>
      <c r="AB163" s="14" t="s">
        <v>140</v>
      </c>
      <c r="AC163" s="14" t="s">
        <v>151</v>
      </c>
      <c r="AD163" s="14" t="s">
        <v>2132</v>
      </c>
      <c r="AE163" s="14" t="s">
        <v>2133</v>
      </c>
      <c r="AF163" s="14" t="s">
        <v>2055</v>
      </c>
      <c r="AG163" s="14" t="s">
        <v>2055</v>
      </c>
      <c r="AH163" s="14" t="s">
        <v>2055</v>
      </c>
      <c r="AI163" s="14" t="s">
        <v>2057</v>
      </c>
      <c r="AJ163" s="14" t="s">
        <v>87</v>
      </c>
      <c r="AK163" s="14" t="s">
        <v>2048</v>
      </c>
      <c r="AL163" s="14" t="s">
        <v>2048</v>
      </c>
      <c r="AM163" s="14" t="s">
        <v>2048</v>
      </c>
      <c r="AN163" s="14" t="s">
        <v>3110</v>
      </c>
      <c r="AO163" s="17" t="s">
        <v>89</v>
      </c>
      <c r="AP163" s="14" t="s">
        <v>2135</v>
      </c>
      <c r="AQ163" s="14" t="s">
        <v>3111</v>
      </c>
      <c r="AR163" s="14" t="s">
        <v>3112</v>
      </c>
      <c r="AS163" s="14" t="s">
        <v>3113</v>
      </c>
      <c r="AT163" s="14" t="s">
        <v>72</v>
      </c>
      <c r="AU163" s="14" t="s">
        <v>2863</v>
      </c>
      <c r="AV163" s="14" t="s">
        <v>2864</v>
      </c>
      <c r="AW163" s="14" t="s">
        <v>2048</v>
      </c>
      <c r="AX163" s="14" t="s">
        <v>2048</v>
      </c>
      <c r="AY163" s="14" t="s">
        <v>102</v>
      </c>
      <c r="AZ163" s="14" t="s">
        <v>303</v>
      </c>
      <c r="BA163" s="14" t="s">
        <v>3114</v>
      </c>
      <c r="BB163" s="14" t="s">
        <v>2048</v>
      </c>
      <c r="BC163" s="14" t="s">
        <v>2048</v>
      </c>
      <c r="BD163" s="14" t="s">
        <v>2282</v>
      </c>
      <c r="BE163" s="14" t="s">
        <v>2782</v>
      </c>
      <c r="BF163" s="14" t="s">
        <v>2783</v>
      </c>
      <c r="BG163" s="14" t="s">
        <v>2784</v>
      </c>
      <c r="BH163" s="14" t="s">
        <v>2868</v>
      </c>
      <c r="BI163" s="14" t="s">
        <v>2287</v>
      </c>
      <c r="BJ163" s="14" t="s">
        <v>2048</v>
      </c>
      <c r="BK163" s="14" t="s">
        <v>2048</v>
      </c>
      <c r="BL163" s="14" t="s">
        <v>2064</v>
      </c>
      <c r="BM163" s="14" t="s">
        <v>72</v>
      </c>
      <c r="BN163" s="14" t="s">
        <v>72</v>
      </c>
      <c r="BO163" s="14" t="s">
        <v>3115</v>
      </c>
      <c r="BP163" s="14" t="s">
        <v>3116</v>
      </c>
      <c r="BQ163" s="14" t="s">
        <v>3117</v>
      </c>
      <c r="BR163" s="14" t="s">
        <v>2331</v>
      </c>
      <c r="BS163" s="14" t="s">
        <v>2131</v>
      </c>
      <c r="BT163" s="14" t="s">
        <v>2048</v>
      </c>
      <c r="BU163" s="14" t="s">
        <v>2048</v>
      </c>
      <c r="BV163" s="14" t="s">
        <v>2048</v>
      </c>
      <c r="BW163" s="14" t="s">
        <v>2048</v>
      </c>
      <c r="BX163" s="14" t="s">
        <v>72</v>
      </c>
      <c r="BY163" s="14" t="s">
        <v>2048</v>
      </c>
      <c r="BZ163" s="14" t="s">
        <v>2048</v>
      </c>
      <c r="CA163" s="14" t="s">
        <v>2048</v>
      </c>
      <c r="CB163" s="14" t="s">
        <v>2048</v>
      </c>
      <c r="CC163" s="14" t="s">
        <v>2048</v>
      </c>
      <c r="CD163" s="14" t="s">
        <v>2048</v>
      </c>
      <c r="CE163" s="14" t="s">
        <v>2048</v>
      </c>
      <c r="CF163" s="14" t="s">
        <v>2048</v>
      </c>
      <c r="CG163" s="14" t="s">
        <v>2068</v>
      </c>
      <c r="CH163" s="14" t="s">
        <v>2069</v>
      </c>
      <c r="CI163" s="14" t="s">
        <v>2048</v>
      </c>
      <c r="CJ163" s="17"/>
      <c r="CK163" s="17">
        <v>45625</v>
      </c>
      <c r="CL163" s="17">
        <v>45625</v>
      </c>
      <c r="CM163" s="17">
        <v>2958465</v>
      </c>
      <c r="CN163" s="17"/>
      <c r="CO163" s="19">
        <v>0</v>
      </c>
      <c r="CP163" s="19">
        <v>0</v>
      </c>
      <c r="CQ163" s="19">
        <v>0</v>
      </c>
      <c r="CR163" s="19">
        <v>0</v>
      </c>
      <c r="CS163" s="19">
        <v>0</v>
      </c>
      <c r="CT163" s="19">
        <v>0</v>
      </c>
      <c r="CU163" s="19">
        <v>0</v>
      </c>
      <c r="CV163" s="17"/>
      <c r="CW163" s="19">
        <v>0</v>
      </c>
      <c r="CX163" s="17"/>
      <c r="CY163" s="17">
        <v>47086</v>
      </c>
      <c r="CZ163" s="19">
        <v>0</v>
      </c>
      <c r="DA163" s="17"/>
      <c r="DB163" s="17"/>
      <c r="DC163" s="19">
        <v>100</v>
      </c>
      <c r="DD163" s="17"/>
      <c r="DE163" s="17">
        <v>2958465</v>
      </c>
      <c r="DF163" s="17"/>
      <c r="DG163" s="17"/>
      <c r="DH163" s="19">
        <v>0</v>
      </c>
      <c r="DI163" s="19">
        <v>0</v>
      </c>
    </row>
    <row r="164" spans="1:113" x14ac:dyDescent="0.2">
      <c r="A164" s="14" t="s">
        <v>2315</v>
      </c>
      <c r="B164" s="16" t="s">
        <v>747</v>
      </c>
      <c r="C164" s="14" t="s">
        <v>158</v>
      </c>
      <c r="D164" s="14" t="s">
        <v>159</v>
      </c>
      <c r="E164" s="14" t="s">
        <v>158</v>
      </c>
      <c r="F164" s="14" t="s">
        <v>2044</v>
      </c>
      <c r="G164" s="14" t="s">
        <v>2045</v>
      </c>
      <c r="H164" s="14" t="s">
        <v>336</v>
      </c>
      <c r="I164" s="14" t="s">
        <v>337</v>
      </c>
      <c r="J164" s="16">
        <f>COUNTIF($I$3:I164, I164)</f>
        <v>8</v>
      </c>
      <c r="K164" s="14" t="s">
        <v>2048</v>
      </c>
      <c r="L164" s="14" t="s">
        <v>2048</v>
      </c>
      <c r="M164" s="14" t="s">
        <v>2048</v>
      </c>
      <c r="N164" s="14" t="s">
        <v>2048</v>
      </c>
      <c r="O164" s="14" t="s">
        <v>3118</v>
      </c>
      <c r="P164" s="14" t="s">
        <v>748</v>
      </c>
      <c r="Q164" s="14" t="s">
        <v>72</v>
      </c>
      <c r="R164" s="14" t="s">
        <v>2048</v>
      </c>
      <c r="S164" s="14" t="s">
        <v>2048</v>
      </c>
      <c r="T164" s="14" t="s">
        <v>2048</v>
      </c>
      <c r="U164" s="14" t="s">
        <v>2048</v>
      </c>
      <c r="V164" s="14" t="s">
        <v>2050</v>
      </c>
      <c r="W164" s="14" t="s">
        <v>2048</v>
      </c>
      <c r="X164" s="14" t="s">
        <v>2048</v>
      </c>
      <c r="Y164" s="14" t="s">
        <v>2048</v>
      </c>
      <c r="Z164" s="14" t="s">
        <v>2048</v>
      </c>
      <c r="AA164" s="14" t="s">
        <v>2048</v>
      </c>
      <c r="AB164" s="14" t="s">
        <v>140</v>
      </c>
      <c r="AC164" s="14" t="s">
        <v>151</v>
      </c>
      <c r="AD164" s="14" t="s">
        <v>2132</v>
      </c>
      <c r="AE164" s="14" t="s">
        <v>2133</v>
      </c>
      <c r="AF164" s="14" t="s">
        <v>2055</v>
      </c>
      <c r="AG164" s="14" t="s">
        <v>2055</v>
      </c>
      <c r="AH164" s="14" t="s">
        <v>2055</v>
      </c>
      <c r="AI164" s="14" t="s">
        <v>2057</v>
      </c>
      <c r="AJ164" s="14" t="s">
        <v>87</v>
      </c>
      <c r="AK164" s="14" t="s">
        <v>2048</v>
      </c>
      <c r="AL164" s="14" t="s">
        <v>2048</v>
      </c>
      <c r="AM164" s="14" t="s">
        <v>2048</v>
      </c>
      <c r="AN164" s="14" t="s">
        <v>3119</v>
      </c>
      <c r="AO164" s="17" t="s">
        <v>89</v>
      </c>
      <c r="AP164" s="14" t="s">
        <v>2135</v>
      </c>
      <c r="AQ164" s="14" t="s">
        <v>350</v>
      </c>
      <c r="AR164" s="14" t="s">
        <v>3120</v>
      </c>
      <c r="AS164" s="14" t="s">
        <v>3121</v>
      </c>
      <c r="AT164" s="14" t="s">
        <v>72</v>
      </c>
      <c r="AU164" s="14" t="s">
        <v>3122</v>
      </c>
      <c r="AV164" s="14" t="s">
        <v>3123</v>
      </c>
      <c r="AW164" s="14" t="s">
        <v>2048</v>
      </c>
      <c r="AX164" s="14" t="s">
        <v>2048</v>
      </c>
      <c r="AY164" s="14" t="s">
        <v>336</v>
      </c>
      <c r="AZ164" s="14" t="s">
        <v>351</v>
      </c>
      <c r="BA164" s="14" t="s">
        <v>3124</v>
      </c>
      <c r="BB164" s="14" t="s">
        <v>2048</v>
      </c>
      <c r="BC164" s="14" t="s">
        <v>2048</v>
      </c>
      <c r="BD164" s="14" t="s">
        <v>2048</v>
      </c>
      <c r="BE164" s="14" t="s">
        <v>2048</v>
      </c>
      <c r="BF164" s="14" t="s">
        <v>3125</v>
      </c>
      <c r="BG164" s="14" t="s">
        <v>3126</v>
      </c>
      <c r="BH164" s="14" t="s">
        <v>3127</v>
      </c>
      <c r="BI164" s="14" t="s">
        <v>2287</v>
      </c>
      <c r="BJ164" s="14" t="s">
        <v>2048</v>
      </c>
      <c r="BK164" s="14" t="s">
        <v>2048</v>
      </c>
      <c r="BL164" s="14" t="s">
        <v>2064</v>
      </c>
      <c r="BM164" s="14" t="s">
        <v>72</v>
      </c>
      <c r="BN164" s="14" t="s">
        <v>72</v>
      </c>
      <c r="BO164" s="14" t="s">
        <v>3128</v>
      </c>
      <c r="BP164" s="14" t="s">
        <v>3129</v>
      </c>
      <c r="BQ164" s="14" t="s">
        <v>3119</v>
      </c>
      <c r="BR164" s="14" t="s">
        <v>2331</v>
      </c>
      <c r="BS164" s="14" t="s">
        <v>2131</v>
      </c>
      <c r="BT164" s="14" t="s">
        <v>2048</v>
      </c>
      <c r="BU164" s="14" t="s">
        <v>2048</v>
      </c>
      <c r="BV164" s="14" t="s">
        <v>2048</v>
      </c>
      <c r="BW164" s="14" t="s">
        <v>2048</v>
      </c>
      <c r="BX164" s="14" t="s">
        <v>72</v>
      </c>
      <c r="BY164" s="14" t="s">
        <v>2048</v>
      </c>
      <c r="BZ164" s="14" t="s">
        <v>2048</v>
      </c>
      <c r="CA164" s="14" t="s">
        <v>2048</v>
      </c>
      <c r="CB164" s="14" t="s">
        <v>2048</v>
      </c>
      <c r="CC164" s="14" t="s">
        <v>2048</v>
      </c>
      <c r="CD164" s="14" t="s">
        <v>2048</v>
      </c>
      <c r="CE164" s="14" t="s">
        <v>2048</v>
      </c>
      <c r="CF164" s="14" t="s">
        <v>2048</v>
      </c>
      <c r="CG164" s="14" t="s">
        <v>2068</v>
      </c>
      <c r="CH164" s="14" t="s">
        <v>2069</v>
      </c>
      <c r="CI164" s="14" t="s">
        <v>2048</v>
      </c>
      <c r="CJ164" s="17"/>
      <c r="CK164" s="17">
        <v>45625</v>
      </c>
      <c r="CL164" s="17">
        <v>45625</v>
      </c>
      <c r="CM164" s="17">
        <v>2958465</v>
      </c>
      <c r="CN164" s="17"/>
      <c r="CO164" s="19">
        <v>0</v>
      </c>
      <c r="CP164" s="19">
        <v>0</v>
      </c>
      <c r="CQ164" s="19">
        <v>0</v>
      </c>
      <c r="CR164" s="19">
        <v>0</v>
      </c>
      <c r="CS164" s="19">
        <v>0</v>
      </c>
      <c r="CT164" s="19">
        <v>0</v>
      </c>
      <c r="CU164" s="19">
        <v>0</v>
      </c>
      <c r="CV164" s="17"/>
      <c r="CW164" s="19">
        <v>0</v>
      </c>
      <c r="CX164" s="17"/>
      <c r="CY164" s="17">
        <v>47086</v>
      </c>
      <c r="CZ164" s="19">
        <v>0</v>
      </c>
      <c r="DA164" s="17"/>
      <c r="DB164" s="17"/>
      <c r="DC164" s="19">
        <v>100</v>
      </c>
      <c r="DD164" s="17"/>
      <c r="DE164" s="17">
        <v>2958465</v>
      </c>
      <c r="DF164" s="17"/>
      <c r="DG164" s="17"/>
      <c r="DH164" s="19">
        <v>0</v>
      </c>
      <c r="DI164" s="19">
        <v>0</v>
      </c>
    </row>
    <row r="165" spans="1:113" x14ac:dyDescent="0.2">
      <c r="A165" s="14" t="s">
        <v>2315</v>
      </c>
      <c r="B165" s="16" t="s">
        <v>374</v>
      </c>
      <c r="C165" s="14" t="s">
        <v>158</v>
      </c>
      <c r="D165" s="14" t="s">
        <v>159</v>
      </c>
      <c r="E165" s="14" t="s">
        <v>158</v>
      </c>
      <c r="F165" s="14" t="s">
        <v>2044</v>
      </c>
      <c r="G165" s="14" t="s">
        <v>2045</v>
      </c>
      <c r="H165" s="14" t="s">
        <v>336</v>
      </c>
      <c r="I165" s="14" t="s">
        <v>337</v>
      </c>
      <c r="J165" s="16">
        <f>COUNTIF($I$3:I165, I165)</f>
        <v>9</v>
      </c>
      <c r="K165" s="14" t="s">
        <v>2048</v>
      </c>
      <c r="L165" s="14" t="s">
        <v>2048</v>
      </c>
      <c r="M165" s="14" t="s">
        <v>2048</v>
      </c>
      <c r="N165" s="14" t="s">
        <v>2048</v>
      </c>
      <c r="O165" s="14" t="s">
        <v>3130</v>
      </c>
      <c r="P165" s="14" t="s">
        <v>375</v>
      </c>
      <c r="Q165" s="14" t="s">
        <v>72</v>
      </c>
      <c r="R165" s="14" t="s">
        <v>2048</v>
      </c>
      <c r="S165" s="14" t="s">
        <v>2048</v>
      </c>
      <c r="T165" s="14" t="s">
        <v>2048</v>
      </c>
      <c r="U165" s="14" t="s">
        <v>2048</v>
      </c>
      <c r="V165" s="14" t="s">
        <v>2050</v>
      </c>
      <c r="W165" s="14" t="s">
        <v>2048</v>
      </c>
      <c r="X165" s="14" t="s">
        <v>2048</v>
      </c>
      <c r="Y165" s="14" t="s">
        <v>2048</v>
      </c>
      <c r="Z165" s="14" t="s">
        <v>2048</v>
      </c>
      <c r="AA165" s="14" t="s">
        <v>2048</v>
      </c>
      <c r="AB165" s="14" t="s">
        <v>140</v>
      </c>
      <c r="AC165" s="14" t="s">
        <v>151</v>
      </c>
      <c r="AD165" s="14" t="s">
        <v>2132</v>
      </c>
      <c r="AE165" s="14" t="s">
        <v>2133</v>
      </c>
      <c r="AF165" s="14" t="s">
        <v>2055</v>
      </c>
      <c r="AG165" s="14" t="s">
        <v>2055</v>
      </c>
      <c r="AH165" s="14" t="s">
        <v>2055</v>
      </c>
      <c r="AI165" s="14" t="s">
        <v>2057</v>
      </c>
      <c r="AJ165" s="14" t="s">
        <v>87</v>
      </c>
      <c r="AK165" s="14" t="s">
        <v>2048</v>
      </c>
      <c r="AL165" s="14" t="s">
        <v>2048</v>
      </c>
      <c r="AM165" s="14" t="s">
        <v>2048</v>
      </c>
      <c r="AN165" s="14" t="s">
        <v>3131</v>
      </c>
      <c r="AO165" s="17" t="s">
        <v>89</v>
      </c>
      <c r="AP165" s="14" t="s">
        <v>2135</v>
      </c>
      <c r="AQ165" s="14" t="s">
        <v>1359</v>
      </c>
      <c r="AR165" s="14" t="s">
        <v>3132</v>
      </c>
      <c r="AS165" s="14" t="s">
        <v>3133</v>
      </c>
      <c r="AT165" s="14" t="s">
        <v>72</v>
      </c>
      <c r="AU165" s="14" t="s">
        <v>2740</v>
      </c>
      <c r="AV165" s="14" t="s">
        <v>2741</v>
      </c>
      <c r="AW165" s="14" t="s">
        <v>2048</v>
      </c>
      <c r="AX165" s="14" t="s">
        <v>2048</v>
      </c>
      <c r="AY165" s="14" t="s">
        <v>336</v>
      </c>
      <c r="AZ165" s="14" t="s">
        <v>338</v>
      </c>
      <c r="BA165" s="14" t="s">
        <v>3134</v>
      </c>
      <c r="BB165" s="14" t="s">
        <v>2048</v>
      </c>
      <c r="BC165" s="14" t="s">
        <v>2048</v>
      </c>
      <c r="BD165" s="14" t="s">
        <v>3135</v>
      </c>
      <c r="BE165" s="14" t="s">
        <v>3136</v>
      </c>
      <c r="BF165" s="14" t="s">
        <v>2048</v>
      </c>
      <c r="BG165" s="14" t="s">
        <v>2048</v>
      </c>
      <c r="BH165" s="14" t="s">
        <v>3137</v>
      </c>
      <c r="BI165" s="14" t="s">
        <v>2287</v>
      </c>
      <c r="BJ165" s="14" t="s">
        <v>2048</v>
      </c>
      <c r="BK165" s="14" t="s">
        <v>2048</v>
      </c>
      <c r="BL165" s="14" t="s">
        <v>2064</v>
      </c>
      <c r="BM165" s="14" t="s">
        <v>72</v>
      </c>
      <c r="BN165" s="14" t="s">
        <v>72</v>
      </c>
      <c r="BO165" s="14" t="s">
        <v>3138</v>
      </c>
      <c r="BP165" s="14" t="s">
        <v>2761</v>
      </c>
      <c r="BQ165" s="14" t="s">
        <v>2762</v>
      </c>
      <c r="BR165" s="14" t="s">
        <v>2331</v>
      </c>
      <c r="BS165" s="14" t="s">
        <v>2131</v>
      </c>
      <c r="BT165" s="14" t="s">
        <v>2048</v>
      </c>
      <c r="BU165" s="14" t="s">
        <v>2048</v>
      </c>
      <c r="BV165" s="14" t="s">
        <v>2048</v>
      </c>
      <c r="BW165" s="14" t="s">
        <v>2048</v>
      </c>
      <c r="BX165" s="14" t="s">
        <v>72</v>
      </c>
      <c r="BY165" s="14" t="s">
        <v>2048</v>
      </c>
      <c r="BZ165" s="14" t="s">
        <v>2048</v>
      </c>
      <c r="CA165" s="14" t="s">
        <v>2048</v>
      </c>
      <c r="CB165" s="14" t="s">
        <v>2048</v>
      </c>
      <c r="CC165" s="14" t="s">
        <v>2048</v>
      </c>
      <c r="CD165" s="14" t="s">
        <v>2048</v>
      </c>
      <c r="CE165" s="14" t="s">
        <v>2048</v>
      </c>
      <c r="CF165" s="14" t="s">
        <v>2048</v>
      </c>
      <c r="CG165" s="14" t="s">
        <v>2068</v>
      </c>
      <c r="CH165" s="14" t="s">
        <v>2069</v>
      </c>
      <c r="CI165" s="14" t="s">
        <v>2048</v>
      </c>
      <c r="CJ165" s="17"/>
      <c r="CK165" s="17">
        <v>45625</v>
      </c>
      <c r="CL165" s="17">
        <v>45625</v>
      </c>
      <c r="CM165" s="17">
        <v>2958465</v>
      </c>
      <c r="CN165" s="17"/>
      <c r="CO165" s="19">
        <v>0</v>
      </c>
      <c r="CP165" s="19">
        <v>0</v>
      </c>
      <c r="CQ165" s="19">
        <v>0</v>
      </c>
      <c r="CR165" s="19">
        <v>0</v>
      </c>
      <c r="CS165" s="19">
        <v>0</v>
      </c>
      <c r="CT165" s="19">
        <v>0</v>
      </c>
      <c r="CU165" s="19">
        <v>0</v>
      </c>
      <c r="CV165" s="17"/>
      <c r="CW165" s="19">
        <v>0</v>
      </c>
      <c r="CX165" s="17"/>
      <c r="CY165" s="17">
        <v>47086</v>
      </c>
      <c r="CZ165" s="19">
        <v>0</v>
      </c>
      <c r="DA165" s="17"/>
      <c r="DB165" s="17"/>
      <c r="DC165" s="19">
        <v>100</v>
      </c>
      <c r="DD165" s="17"/>
      <c r="DE165" s="17">
        <v>2958465</v>
      </c>
      <c r="DF165" s="17"/>
      <c r="DG165" s="17"/>
      <c r="DH165" s="19">
        <v>0</v>
      </c>
      <c r="DI165" s="19">
        <v>0</v>
      </c>
    </row>
    <row r="166" spans="1:113" x14ac:dyDescent="0.2">
      <c r="A166" s="14" t="s">
        <v>2315</v>
      </c>
      <c r="B166" s="16" t="s">
        <v>868</v>
      </c>
      <c r="C166" s="14" t="s">
        <v>158</v>
      </c>
      <c r="D166" s="14" t="s">
        <v>159</v>
      </c>
      <c r="E166" s="14" t="s">
        <v>158</v>
      </c>
      <c r="F166" s="14" t="s">
        <v>2044</v>
      </c>
      <c r="G166" s="14" t="s">
        <v>2045</v>
      </c>
      <c r="H166" s="14" t="s">
        <v>336</v>
      </c>
      <c r="I166" s="14" t="s">
        <v>337</v>
      </c>
      <c r="J166" s="16">
        <f>COUNTIF($I$3:I166, I166)</f>
        <v>10</v>
      </c>
      <c r="K166" s="14" t="s">
        <v>2048</v>
      </c>
      <c r="L166" s="14" t="s">
        <v>2048</v>
      </c>
      <c r="M166" s="14" t="s">
        <v>2048</v>
      </c>
      <c r="N166" s="14" t="s">
        <v>2048</v>
      </c>
      <c r="O166" s="14" t="s">
        <v>3139</v>
      </c>
      <c r="P166" s="14" t="s">
        <v>869</v>
      </c>
      <c r="Q166" s="14" t="s">
        <v>72</v>
      </c>
      <c r="R166" s="14" t="s">
        <v>2048</v>
      </c>
      <c r="S166" s="14" t="s">
        <v>2048</v>
      </c>
      <c r="T166" s="14" t="s">
        <v>2048</v>
      </c>
      <c r="U166" s="14" t="s">
        <v>2048</v>
      </c>
      <c r="V166" s="14" t="s">
        <v>2050</v>
      </c>
      <c r="W166" s="14" t="s">
        <v>2048</v>
      </c>
      <c r="X166" s="14" t="s">
        <v>2048</v>
      </c>
      <c r="Y166" s="14" t="s">
        <v>2048</v>
      </c>
      <c r="Z166" s="14" t="s">
        <v>2048</v>
      </c>
      <c r="AA166" s="14" t="s">
        <v>2048</v>
      </c>
      <c r="AB166" s="14" t="s">
        <v>140</v>
      </c>
      <c r="AC166" s="14" t="s">
        <v>151</v>
      </c>
      <c r="AD166" s="14" t="s">
        <v>2132</v>
      </c>
      <c r="AE166" s="14" t="s">
        <v>2133</v>
      </c>
      <c r="AF166" s="14" t="s">
        <v>2055</v>
      </c>
      <c r="AG166" s="14" t="s">
        <v>2055</v>
      </c>
      <c r="AH166" s="14" t="s">
        <v>2055</v>
      </c>
      <c r="AI166" s="14" t="s">
        <v>2057</v>
      </c>
      <c r="AJ166" s="14" t="s">
        <v>87</v>
      </c>
      <c r="AK166" s="14" t="s">
        <v>2048</v>
      </c>
      <c r="AL166" s="14" t="s">
        <v>2048</v>
      </c>
      <c r="AM166" s="14" t="s">
        <v>2048</v>
      </c>
      <c r="AN166" s="14" t="s">
        <v>3131</v>
      </c>
      <c r="AO166" s="17" t="s">
        <v>89</v>
      </c>
      <c r="AP166" s="14" t="s">
        <v>2135</v>
      </c>
      <c r="AQ166" s="14" t="s">
        <v>335</v>
      </c>
      <c r="AR166" s="14" t="s">
        <v>3140</v>
      </c>
      <c r="AS166" s="14" t="s">
        <v>3141</v>
      </c>
      <c r="AT166" s="14" t="s">
        <v>72</v>
      </c>
      <c r="AU166" s="14" t="s">
        <v>2740</v>
      </c>
      <c r="AV166" s="14" t="s">
        <v>2741</v>
      </c>
      <c r="AW166" s="14" t="s">
        <v>2048</v>
      </c>
      <c r="AX166" s="14" t="s">
        <v>2048</v>
      </c>
      <c r="AY166" s="14" t="s">
        <v>336</v>
      </c>
      <c r="AZ166" s="14" t="s">
        <v>338</v>
      </c>
      <c r="BA166" s="14" t="s">
        <v>3134</v>
      </c>
      <c r="BB166" s="14" t="s">
        <v>2048</v>
      </c>
      <c r="BC166" s="14" t="s">
        <v>2048</v>
      </c>
      <c r="BD166" s="14" t="s">
        <v>3135</v>
      </c>
      <c r="BE166" s="14" t="s">
        <v>3136</v>
      </c>
      <c r="BF166" s="14" t="s">
        <v>2048</v>
      </c>
      <c r="BG166" s="14" t="s">
        <v>2048</v>
      </c>
      <c r="BH166" s="14" t="s">
        <v>3137</v>
      </c>
      <c r="BI166" s="14" t="s">
        <v>2287</v>
      </c>
      <c r="BJ166" s="14" t="s">
        <v>2048</v>
      </c>
      <c r="BK166" s="14" t="s">
        <v>2048</v>
      </c>
      <c r="BL166" s="14" t="s">
        <v>2064</v>
      </c>
      <c r="BM166" s="14" t="s">
        <v>72</v>
      </c>
      <c r="BN166" s="14" t="s">
        <v>72</v>
      </c>
      <c r="BO166" s="14" t="s">
        <v>3142</v>
      </c>
      <c r="BP166" s="14" t="s">
        <v>2761</v>
      </c>
      <c r="BQ166" s="14" t="s">
        <v>2762</v>
      </c>
      <c r="BR166" s="14" t="s">
        <v>2331</v>
      </c>
      <c r="BS166" s="14" t="s">
        <v>2131</v>
      </c>
      <c r="BT166" s="14" t="s">
        <v>2048</v>
      </c>
      <c r="BU166" s="14" t="s">
        <v>2048</v>
      </c>
      <c r="BV166" s="14" t="s">
        <v>2048</v>
      </c>
      <c r="BW166" s="14" t="s">
        <v>2048</v>
      </c>
      <c r="BX166" s="14" t="s">
        <v>72</v>
      </c>
      <c r="BY166" s="14" t="s">
        <v>2048</v>
      </c>
      <c r="BZ166" s="14" t="s">
        <v>2048</v>
      </c>
      <c r="CA166" s="14" t="s">
        <v>2048</v>
      </c>
      <c r="CB166" s="14" t="s">
        <v>2048</v>
      </c>
      <c r="CC166" s="14" t="s">
        <v>2048</v>
      </c>
      <c r="CD166" s="14" t="s">
        <v>2048</v>
      </c>
      <c r="CE166" s="14" t="s">
        <v>2048</v>
      </c>
      <c r="CF166" s="14" t="s">
        <v>2048</v>
      </c>
      <c r="CG166" s="14" t="s">
        <v>2068</v>
      </c>
      <c r="CH166" s="14" t="s">
        <v>2069</v>
      </c>
      <c r="CI166" s="14" t="s">
        <v>2048</v>
      </c>
      <c r="CJ166" s="17"/>
      <c r="CK166" s="17">
        <v>45625</v>
      </c>
      <c r="CL166" s="17">
        <v>45625</v>
      </c>
      <c r="CM166" s="17">
        <v>2958465</v>
      </c>
      <c r="CN166" s="17"/>
      <c r="CO166" s="19">
        <v>0</v>
      </c>
      <c r="CP166" s="19">
        <v>0</v>
      </c>
      <c r="CQ166" s="19">
        <v>0</v>
      </c>
      <c r="CR166" s="19">
        <v>0</v>
      </c>
      <c r="CS166" s="19">
        <v>0</v>
      </c>
      <c r="CT166" s="19">
        <v>0</v>
      </c>
      <c r="CU166" s="19">
        <v>0</v>
      </c>
      <c r="CV166" s="17"/>
      <c r="CW166" s="19">
        <v>0</v>
      </c>
      <c r="CX166" s="17"/>
      <c r="CY166" s="17">
        <v>47086</v>
      </c>
      <c r="CZ166" s="19">
        <v>0</v>
      </c>
      <c r="DA166" s="17"/>
      <c r="DB166" s="17"/>
      <c r="DC166" s="19">
        <v>100</v>
      </c>
      <c r="DD166" s="17"/>
      <c r="DE166" s="17">
        <v>2958465</v>
      </c>
      <c r="DF166" s="17"/>
      <c r="DG166" s="17"/>
      <c r="DH166" s="19">
        <v>0</v>
      </c>
      <c r="DI166" s="19">
        <v>0</v>
      </c>
    </row>
    <row r="167" spans="1:113" x14ac:dyDescent="0.2">
      <c r="A167" s="14" t="s">
        <v>2315</v>
      </c>
      <c r="B167" s="16" t="s">
        <v>643</v>
      </c>
      <c r="C167" s="14" t="s">
        <v>158</v>
      </c>
      <c r="D167" s="14" t="s">
        <v>159</v>
      </c>
      <c r="E167" s="14" t="s">
        <v>158</v>
      </c>
      <c r="F167" s="14" t="s">
        <v>2044</v>
      </c>
      <c r="G167" s="14" t="s">
        <v>2045</v>
      </c>
      <c r="H167" s="14" t="s">
        <v>102</v>
      </c>
      <c r="I167" s="14" t="s">
        <v>103</v>
      </c>
      <c r="J167" s="16">
        <f>COUNTIF($I$3:I167, I167)</f>
        <v>35</v>
      </c>
      <c r="K167" s="14" t="s">
        <v>2048</v>
      </c>
      <c r="L167" s="14" t="s">
        <v>2048</v>
      </c>
      <c r="M167" s="14" t="s">
        <v>2048</v>
      </c>
      <c r="N167" s="14" t="s">
        <v>2048</v>
      </c>
      <c r="O167" s="14" t="s">
        <v>3143</v>
      </c>
      <c r="P167" s="14" t="s">
        <v>644</v>
      </c>
      <c r="Q167" s="14" t="s">
        <v>72</v>
      </c>
      <c r="R167" s="14" t="s">
        <v>2048</v>
      </c>
      <c r="S167" s="14" t="s">
        <v>2048</v>
      </c>
      <c r="T167" s="14" t="s">
        <v>2048</v>
      </c>
      <c r="U167" s="14" t="s">
        <v>2048</v>
      </c>
      <c r="V167" s="14" t="s">
        <v>2050</v>
      </c>
      <c r="W167" s="14" t="s">
        <v>2048</v>
      </c>
      <c r="X167" s="14" t="s">
        <v>2048</v>
      </c>
      <c r="Y167" s="14" t="s">
        <v>2048</v>
      </c>
      <c r="Z167" s="14" t="s">
        <v>2048</v>
      </c>
      <c r="AA167" s="14" t="s">
        <v>2048</v>
      </c>
      <c r="AB167" s="14" t="s">
        <v>140</v>
      </c>
      <c r="AC167" s="14" t="s">
        <v>151</v>
      </c>
      <c r="AD167" s="14" t="s">
        <v>2072</v>
      </c>
      <c r="AE167" s="14" t="s">
        <v>2073</v>
      </c>
      <c r="AF167" s="14" t="s">
        <v>2055</v>
      </c>
      <c r="AG167" s="14" t="s">
        <v>2055</v>
      </c>
      <c r="AH167" s="14" t="s">
        <v>2055</v>
      </c>
      <c r="AI167" s="14" t="s">
        <v>2057</v>
      </c>
      <c r="AJ167" s="14" t="s">
        <v>87</v>
      </c>
      <c r="AK167" s="14" t="s">
        <v>2048</v>
      </c>
      <c r="AL167" s="14" t="s">
        <v>2048</v>
      </c>
      <c r="AM167" s="14" t="s">
        <v>2048</v>
      </c>
      <c r="AN167" s="14" t="s">
        <v>3144</v>
      </c>
      <c r="AO167" s="17" t="s">
        <v>89</v>
      </c>
      <c r="AP167" s="14" t="s">
        <v>2135</v>
      </c>
      <c r="AQ167" s="14" t="s">
        <v>300</v>
      </c>
      <c r="AR167" s="14" t="s">
        <v>3145</v>
      </c>
      <c r="AS167" s="14" t="s">
        <v>3146</v>
      </c>
      <c r="AT167" s="14" t="s">
        <v>72</v>
      </c>
      <c r="AU167" s="14" t="s">
        <v>3145</v>
      </c>
      <c r="AV167" s="14" t="s">
        <v>3146</v>
      </c>
      <c r="AW167" s="14" t="s">
        <v>2048</v>
      </c>
      <c r="AX167" s="14" t="s">
        <v>2048</v>
      </c>
      <c r="AY167" s="14" t="s">
        <v>102</v>
      </c>
      <c r="AZ167" s="14" t="s">
        <v>301</v>
      </c>
      <c r="BA167" s="14" t="s">
        <v>3147</v>
      </c>
      <c r="BB167" s="14" t="s">
        <v>2048</v>
      </c>
      <c r="BC167" s="14" t="s">
        <v>2048</v>
      </c>
      <c r="BD167" s="14" t="s">
        <v>2282</v>
      </c>
      <c r="BE167" s="14" t="s">
        <v>2782</v>
      </c>
      <c r="BF167" s="14" t="s">
        <v>2783</v>
      </c>
      <c r="BG167" s="14" t="s">
        <v>2784</v>
      </c>
      <c r="BH167" s="14" t="s">
        <v>3148</v>
      </c>
      <c r="BI167" s="14" t="s">
        <v>2287</v>
      </c>
      <c r="BJ167" s="14" t="s">
        <v>2048</v>
      </c>
      <c r="BK167" s="14" t="s">
        <v>2048</v>
      </c>
      <c r="BL167" s="14" t="s">
        <v>2064</v>
      </c>
      <c r="BM167" s="14" t="s">
        <v>72</v>
      </c>
      <c r="BN167" s="14" t="s">
        <v>72</v>
      </c>
      <c r="BO167" s="14" t="s">
        <v>3149</v>
      </c>
      <c r="BP167" s="14" t="s">
        <v>3150</v>
      </c>
      <c r="BQ167" s="14" t="s">
        <v>3144</v>
      </c>
      <c r="BR167" s="14" t="s">
        <v>2331</v>
      </c>
      <c r="BS167" s="14" t="s">
        <v>2131</v>
      </c>
      <c r="BT167" s="14" t="s">
        <v>2048</v>
      </c>
      <c r="BU167" s="14" t="s">
        <v>2048</v>
      </c>
      <c r="BV167" s="14" t="s">
        <v>2048</v>
      </c>
      <c r="BW167" s="14" t="s">
        <v>2048</v>
      </c>
      <c r="BX167" s="14" t="s">
        <v>72</v>
      </c>
      <c r="BY167" s="14" t="s">
        <v>2048</v>
      </c>
      <c r="BZ167" s="14" t="s">
        <v>2048</v>
      </c>
      <c r="CA167" s="14" t="s">
        <v>2048</v>
      </c>
      <c r="CB167" s="14" t="s">
        <v>2048</v>
      </c>
      <c r="CC167" s="14" t="s">
        <v>2048</v>
      </c>
      <c r="CD167" s="14" t="s">
        <v>2048</v>
      </c>
      <c r="CE167" s="14" t="s">
        <v>2048</v>
      </c>
      <c r="CF167" s="14" t="s">
        <v>2048</v>
      </c>
      <c r="CG167" s="14" t="s">
        <v>2068</v>
      </c>
      <c r="CH167" s="14" t="s">
        <v>2069</v>
      </c>
      <c r="CI167" s="14" t="s">
        <v>2048</v>
      </c>
      <c r="CJ167" s="17"/>
      <c r="CK167" s="17">
        <v>45625</v>
      </c>
      <c r="CL167" s="17">
        <v>45625</v>
      </c>
      <c r="CM167" s="17">
        <v>2958465</v>
      </c>
      <c r="CN167" s="17"/>
      <c r="CO167" s="19">
        <v>0</v>
      </c>
      <c r="CP167" s="19">
        <v>0</v>
      </c>
      <c r="CQ167" s="19">
        <v>0</v>
      </c>
      <c r="CR167" s="19">
        <v>0</v>
      </c>
      <c r="CS167" s="19">
        <v>0</v>
      </c>
      <c r="CT167" s="19">
        <v>0</v>
      </c>
      <c r="CU167" s="19">
        <v>0</v>
      </c>
      <c r="CV167" s="17"/>
      <c r="CW167" s="19">
        <v>0</v>
      </c>
      <c r="CX167" s="17"/>
      <c r="CY167" s="17">
        <v>47086</v>
      </c>
      <c r="CZ167" s="19">
        <v>0</v>
      </c>
      <c r="DA167" s="17"/>
      <c r="DB167" s="17"/>
      <c r="DC167" s="19">
        <v>100</v>
      </c>
      <c r="DD167" s="17"/>
      <c r="DE167" s="17">
        <v>2958465</v>
      </c>
      <c r="DF167" s="17"/>
      <c r="DG167" s="17"/>
      <c r="DH167" s="19">
        <v>0</v>
      </c>
      <c r="DI167" s="19">
        <v>0</v>
      </c>
    </row>
    <row r="168" spans="1:113" x14ac:dyDescent="0.2">
      <c r="A168" s="14" t="s">
        <v>2315</v>
      </c>
      <c r="B168" s="16" t="s">
        <v>272</v>
      </c>
      <c r="C168" s="14" t="s">
        <v>158</v>
      </c>
      <c r="D168" s="14" t="s">
        <v>159</v>
      </c>
      <c r="E168" s="14" t="s">
        <v>158</v>
      </c>
      <c r="F168" s="14" t="s">
        <v>2044</v>
      </c>
      <c r="G168" s="14" t="s">
        <v>2045</v>
      </c>
      <c r="H168" s="14" t="s">
        <v>81</v>
      </c>
      <c r="I168" s="14" t="s">
        <v>82</v>
      </c>
      <c r="J168" s="16">
        <f>COUNTIF($I$3:I168, I168)</f>
        <v>16</v>
      </c>
      <c r="K168" s="14" t="s">
        <v>2048</v>
      </c>
      <c r="L168" s="14" t="s">
        <v>2048</v>
      </c>
      <c r="M168" s="14" t="s">
        <v>2048</v>
      </c>
      <c r="N168" s="14" t="s">
        <v>2048</v>
      </c>
      <c r="O168" s="14" t="s">
        <v>3151</v>
      </c>
      <c r="P168" s="14" t="s">
        <v>273</v>
      </c>
      <c r="Q168" s="14" t="s">
        <v>72</v>
      </c>
      <c r="R168" s="14" t="s">
        <v>2048</v>
      </c>
      <c r="S168" s="14" t="s">
        <v>2048</v>
      </c>
      <c r="T168" s="14" t="s">
        <v>2048</v>
      </c>
      <c r="U168" s="14" t="s">
        <v>2048</v>
      </c>
      <c r="V168" s="14" t="s">
        <v>2050</v>
      </c>
      <c r="W168" s="14" t="s">
        <v>2048</v>
      </c>
      <c r="X168" s="14" t="s">
        <v>2048</v>
      </c>
      <c r="Y168" s="14" t="s">
        <v>2048</v>
      </c>
      <c r="Z168" s="14" t="s">
        <v>2048</v>
      </c>
      <c r="AA168" s="14" t="s">
        <v>2048</v>
      </c>
      <c r="AB168" s="14" t="s">
        <v>140</v>
      </c>
      <c r="AC168" s="14" t="s">
        <v>151</v>
      </c>
      <c r="AD168" s="14" t="s">
        <v>2411</v>
      </c>
      <c r="AE168" s="14" t="s">
        <v>2412</v>
      </c>
      <c r="AF168" s="14" t="s">
        <v>2055</v>
      </c>
      <c r="AG168" s="14" t="s">
        <v>2055</v>
      </c>
      <c r="AH168" s="14" t="s">
        <v>2055</v>
      </c>
      <c r="AI168" s="14" t="s">
        <v>2057</v>
      </c>
      <c r="AJ168" s="14" t="s">
        <v>87</v>
      </c>
      <c r="AK168" s="14" t="s">
        <v>2048</v>
      </c>
      <c r="AL168" s="14" t="s">
        <v>2048</v>
      </c>
      <c r="AM168" s="14" t="s">
        <v>2048</v>
      </c>
      <c r="AN168" s="14" t="s">
        <v>2207</v>
      </c>
      <c r="AO168" s="17" t="s">
        <v>89</v>
      </c>
      <c r="AP168" s="14" t="s">
        <v>2135</v>
      </c>
      <c r="AQ168" s="14" t="s">
        <v>271</v>
      </c>
      <c r="AR168" s="14" t="s">
        <v>2060</v>
      </c>
      <c r="AS168" s="14" t="s">
        <v>2048</v>
      </c>
      <c r="AT168" s="14" t="s">
        <v>72</v>
      </c>
      <c r="AU168" s="14" t="s">
        <v>2268</v>
      </c>
      <c r="AV168" s="14" t="s">
        <v>2269</v>
      </c>
      <c r="AW168" s="14" t="s">
        <v>2048</v>
      </c>
      <c r="AX168" s="14" t="s">
        <v>2048</v>
      </c>
      <c r="AY168" s="14" t="s">
        <v>81</v>
      </c>
      <c r="AZ168" s="14" t="s">
        <v>164</v>
      </c>
      <c r="BA168" s="14" t="s">
        <v>2769</v>
      </c>
      <c r="BB168" s="14" t="s">
        <v>2048</v>
      </c>
      <c r="BC168" s="14" t="s">
        <v>2048</v>
      </c>
      <c r="BD168" s="14" t="s">
        <v>2271</v>
      </c>
      <c r="BE168" s="14" t="s">
        <v>2272</v>
      </c>
      <c r="BF168" s="14" t="s">
        <v>2271</v>
      </c>
      <c r="BG168" s="14" t="s">
        <v>2272</v>
      </c>
      <c r="BH168" s="14" t="s">
        <v>2273</v>
      </c>
      <c r="BI168" s="14" t="s">
        <v>2218</v>
      </c>
      <c r="BJ168" s="14" t="s">
        <v>2048</v>
      </c>
      <c r="BK168" s="14" t="s">
        <v>2048</v>
      </c>
      <c r="BL168" s="14" t="s">
        <v>2064</v>
      </c>
      <c r="BM168" s="14" t="s">
        <v>72</v>
      </c>
      <c r="BN168" s="14" t="s">
        <v>72</v>
      </c>
      <c r="BO168" s="14" t="s">
        <v>3152</v>
      </c>
      <c r="BP168" s="14" t="s">
        <v>2048</v>
      </c>
      <c r="BQ168" s="14" t="s">
        <v>2048</v>
      </c>
      <c r="BR168" s="14" t="s">
        <v>2331</v>
      </c>
      <c r="BS168" s="14" t="s">
        <v>2131</v>
      </c>
      <c r="BT168" s="14" t="s">
        <v>2048</v>
      </c>
      <c r="BU168" s="14" t="s">
        <v>2048</v>
      </c>
      <c r="BV168" s="14" t="s">
        <v>2048</v>
      </c>
      <c r="BW168" s="14" t="s">
        <v>2048</v>
      </c>
      <c r="BX168" s="14" t="s">
        <v>72</v>
      </c>
      <c r="BY168" s="14" t="s">
        <v>2048</v>
      </c>
      <c r="BZ168" s="14" t="s">
        <v>2048</v>
      </c>
      <c r="CA168" s="14" t="s">
        <v>2048</v>
      </c>
      <c r="CB168" s="14" t="s">
        <v>2048</v>
      </c>
      <c r="CC168" s="14" t="s">
        <v>2048</v>
      </c>
      <c r="CD168" s="14" t="s">
        <v>2048</v>
      </c>
      <c r="CE168" s="14" t="s">
        <v>2048</v>
      </c>
      <c r="CF168" s="14" t="s">
        <v>2048</v>
      </c>
      <c r="CG168" s="14" t="s">
        <v>2068</v>
      </c>
      <c r="CH168" s="14" t="s">
        <v>2069</v>
      </c>
      <c r="CI168" s="14" t="s">
        <v>2048</v>
      </c>
      <c r="CJ168" s="17"/>
      <c r="CK168" s="17">
        <v>45625</v>
      </c>
      <c r="CL168" s="17">
        <v>45625</v>
      </c>
      <c r="CM168" s="17">
        <v>2958465</v>
      </c>
      <c r="CN168" s="17"/>
      <c r="CO168" s="19">
        <v>0</v>
      </c>
      <c r="CP168" s="19">
        <v>0</v>
      </c>
      <c r="CQ168" s="19">
        <v>0</v>
      </c>
      <c r="CR168" s="19">
        <v>0</v>
      </c>
      <c r="CS168" s="19">
        <v>0</v>
      </c>
      <c r="CT168" s="19">
        <v>0</v>
      </c>
      <c r="CU168" s="19">
        <v>0</v>
      </c>
      <c r="CV168" s="17"/>
      <c r="CW168" s="19">
        <v>0</v>
      </c>
      <c r="CX168" s="17"/>
      <c r="CY168" s="17">
        <v>47086</v>
      </c>
      <c r="CZ168" s="19">
        <v>0</v>
      </c>
      <c r="DA168" s="17"/>
      <c r="DB168" s="17"/>
      <c r="DC168" s="19">
        <v>100</v>
      </c>
      <c r="DD168" s="17"/>
      <c r="DE168" s="17">
        <v>2958465</v>
      </c>
      <c r="DF168" s="17"/>
      <c r="DG168" s="17"/>
      <c r="DH168" s="19">
        <v>0</v>
      </c>
      <c r="DI168" s="19">
        <v>0</v>
      </c>
    </row>
    <row r="169" spans="1:113" x14ac:dyDescent="0.2">
      <c r="A169" s="14" t="s">
        <v>2315</v>
      </c>
      <c r="B169" s="16" t="s">
        <v>283</v>
      </c>
      <c r="C169" s="14" t="s">
        <v>158</v>
      </c>
      <c r="D169" s="14" t="s">
        <v>159</v>
      </c>
      <c r="E169" s="14" t="s">
        <v>158</v>
      </c>
      <c r="F169" s="14" t="s">
        <v>2044</v>
      </c>
      <c r="G169" s="14" t="s">
        <v>2045</v>
      </c>
      <c r="H169" s="14" t="s">
        <v>81</v>
      </c>
      <c r="I169" s="14" t="s">
        <v>82</v>
      </c>
      <c r="J169" s="16">
        <f>COUNTIF($I$3:I169, I169)</f>
        <v>17</v>
      </c>
      <c r="K169" s="14" t="s">
        <v>2048</v>
      </c>
      <c r="L169" s="14" t="s">
        <v>2048</v>
      </c>
      <c r="M169" s="14" t="s">
        <v>2048</v>
      </c>
      <c r="N169" s="14" t="s">
        <v>2048</v>
      </c>
      <c r="O169" s="14" t="s">
        <v>3153</v>
      </c>
      <c r="P169" s="14" t="s">
        <v>284</v>
      </c>
      <c r="Q169" s="14" t="s">
        <v>2048</v>
      </c>
      <c r="R169" s="14" t="s">
        <v>2048</v>
      </c>
      <c r="S169" s="14" t="s">
        <v>2048</v>
      </c>
      <c r="T169" s="14" t="s">
        <v>2048</v>
      </c>
      <c r="U169" s="14" t="s">
        <v>2048</v>
      </c>
      <c r="V169" s="14" t="s">
        <v>2050</v>
      </c>
      <c r="W169" s="14" t="s">
        <v>2048</v>
      </c>
      <c r="X169" s="14" t="s">
        <v>2048</v>
      </c>
      <c r="Y169" s="14" t="s">
        <v>2048</v>
      </c>
      <c r="Z169" s="14" t="s">
        <v>2048</v>
      </c>
      <c r="AA169" s="14" t="s">
        <v>2048</v>
      </c>
      <c r="AB169" s="14" t="s">
        <v>140</v>
      </c>
      <c r="AC169" s="14" t="s">
        <v>151</v>
      </c>
      <c r="AD169" s="14" t="s">
        <v>2411</v>
      </c>
      <c r="AE169" s="14" t="s">
        <v>2412</v>
      </c>
      <c r="AF169" s="14" t="s">
        <v>2055</v>
      </c>
      <c r="AG169" s="14" t="s">
        <v>2055</v>
      </c>
      <c r="AH169" s="14" t="s">
        <v>2055</v>
      </c>
      <c r="AI169" s="14" t="s">
        <v>2057</v>
      </c>
      <c r="AJ169" s="14" t="s">
        <v>87</v>
      </c>
      <c r="AK169" s="14" t="s">
        <v>2048</v>
      </c>
      <c r="AL169" s="14" t="s">
        <v>2048</v>
      </c>
      <c r="AM169" s="14" t="s">
        <v>2048</v>
      </c>
      <c r="AN169" s="14" t="s">
        <v>2207</v>
      </c>
      <c r="AO169" s="17" t="s">
        <v>89</v>
      </c>
      <c r="AP169" s="14" t="s">
        <v>2135</v>
      </c>
      <c r="AQ169" s="14" t="s">
        <v>282</v>
      </c>
      <c r="AR169" s="14" t="s">
        <v>2486</v>
      </c>
      <c r="AS169" s="14" t="s">
        <v>2487</v>
      </c>
      <c r="AT169" s="14" t="s">
        <v>72</v>
      </c>
      <c r="AU169" s="14" t="s">
        <v>3154</v>
      </c>
      <c r="AV169" s="14" t="s">
        <v>3155</v>
      </c>
      <c r="AW169" s="14" t="s">
        <v>2048</v>
      </c>
      <c r="AX169" s="14" t="s">
        <v>2048</v>
      </c>
      <c r="AY169" s="14" t="s">
        <v>81</v>
      </c>
      <c r="AZ169" s="14" t="s">
        <v>88</v>
      </c>
      <c r="BA169" s="14" t="s">
        <v>2480</v>
      </c>
      <c r="BB169" s="14" t="s">
        <v>2048</v>
      </c>
      <c r="BC169" s="14" t="s">
        <v>2048</v>
      </c>
      <c r="BD169" s="14" t="s">
        <v>2271</v>
      </c>
      <c r="BE169" s="14" t="s">
        <v>2272</v>
      </c>
      <c r="BF169" s="14" t="s">
        <v>2271</v>
      </c>
      <c r="BG169" s="14" t="s">
        <v>2272</v>
      </c>
      <c r="BH169" s="14" t="s">
        <v>2273</v>
      </c>
      <c r="BI169" s="14" t="s">
        <v>2218</v>
      </c>
      <c r="BJ169" s="14" t="s">
        <v>2048</v>
      </c>
      <c r="BK169" s="14" t="s">
        <v>2048</v>
      </c>
      <c r="BL169" s="14" t="s">
        <v>2064</v>
      </c>
      <c r="BM169" s="14" t="s">
        <v>72</v>
      </c>
      <c r="BN169" s="14" t="s">
        <v>72</v>
      </c>
      <c r="BO169" s="14" t="s">
        <v>3156</v>
      </c>
      <c r="BP169" s="14" t="s">
        <v>2219</v>
      </c>
      <c r="BQ169" s="14" t="s">
        <v>2220</v>
      </c>
      <c r="BR169" s="14" t="s">
        <v>2331</v>
      </c>
      <c r="BS169" s="14" t="s">
        <v>2131</v>
      </c>
      <c r="BT169" s="14" t="s">
        <v>2048</v>
      </c>
      <c r="BU169" s="14" t="s">
        <v>2048</v>
      </c>
      <c r="BV169" s="14" t="s">
        <v>2048</v>
      </c>
      <c r="BW169" s="14" t="s">
        <v>2048</v>
      </c>
      <c r="BX169" s="14" t="s">
        <v>72</v>
      </c>
      <c r="BY169" s="14" t="s">
        <v>2048</v>
      </c>
      <c r="BZ169" s="14" t="s">
        <v>2048</v>
      </c>
      <c r="CA169" s="14" t="s">
        <v>2048</v>
      </c>
      <c r="CB169" s="14" t="s">
        <v>2048</v>
      </c>
      <c r="CC169" s="14" t="s">
        <v>2048</v>
      </c>
      <c r="CD169" s="14" t="s">
        <v>2048</v>
      </c>
      <c r="CE169" s="14" t="s">
        <v>2048</v>
      </c>
      <c r="CF169" s="14" t="s">
        <v>2048</v>
      </c>
      <c r="CG169" s="14" t="s">
        <v>2068</v>
      </c>
      <c r="CH169" s="14" t="s">
        <v>2069</v>
      </c>
      <c r="CI169" s="14" t="s">
        <v>2048</v>
      </c>
      <c r="CJ169" s="17"/>
      <c r="CK169" s="17">
        <v>45625</v>
      </c>
      <c r="CL169" s="17">
        <v>45625</v>
      </c>
      <c r="CM169" s="17">
        <v>2958465</v>
      </c>
      <c r="CN169" s="17"/>
      <c r="CO169" s="19">
        <v>0</v>
      </c>
      <c r="CP169" s="19">
        <v>0</v>
      </c>
      <c r="CQ169" s="19">
        <v>0</v>
      </c>
      <c r="CR169" s="19">
        <v>0</v>
      </c>
      <c r="CS169" s="19">
        <v>0</v>
      </c>
      <c r="CT169" s="19">
        <v>0</v>
      </c>
      <c r="CU169" s="19">
        <v>0</v>
      </c>
      <c r="CV169" s="17"/>
      <c r="CW169" s="19">
        <v>0</v>
      </c>
      <c r="CX169" s="17"/>
      <c r="CY169" s="17">
        <v>47086</v>
      </c>
      <c r="CZ169" s="19">
        <v>0</v>
      </c>
      <c r="DA169" s="17"/>
      <c r="DB169" s="17"/>
      <c r="DC169" s="19">
        <v>100</v>
      </c>
      <c r="DD169" s="17"/>
      <c r="DE169" s="17">
        <v>2958465</v>
      </c>
      <c r="DF169" s="17"/>
      <c r="DG169" s="17"/>
      <c r="DH169" s="19">
        <v>0</v>
      </c>
      <c r="DI169" s="19">
        <v>0</v>
      </c>
    </row>
    <row r="170" spans="1:113" x14ac:dyDescent="0.2">
      <c r="A170" s="14" t="s">
        <v>2315</v>
      </c>
      <c r="B170" s="16" t="s">
        <v>873</v>
      </c>
      <c r="C170" s="14" t="s">
        <v>158</v>
      </c>
      <c r="D170" s="14" t="s">
        <v>159</v>
      </c>
      <c r="E170" s="14" t="s">
        <v>158</v>
      </c>
      <c r="F170" s="14" t="s">
        <v>2044</v>
      </c>
      <c r="G170" s="14" t="s">
        <v>2045</v>
      </c>
      <c r="H170" s="14" t="s">
        <v>336</v>
      </c>
      <c r="I170" s="14" t="s">
        <v>337</v>
      </c>
      <c r="J170" s="16">
        <f>COUNTIF($I$3:I170, I170)</f>
        <v>11</v>
      </c>
      <c r="K170" s="14" t="s">
        <v>2048</v>
      </c>
      <c r="L170" s="14" t="s">
        <v>2048</v>
      </c>
      <c r="M170" s="14" t="s">
        <v>2048</v>
      </c>
      <c r="N170" s="14" t="s">
        <v>2048</v>
      </c>
      <c r="O170" s="14" t="s">
        <v>3157</v>
      </c>
      <c r="P170" s="14" t="s">
        <v>875</v>
      </c>
      <c r="Q170" s="14" t="s">
        <v>72</v>
      </c>
      <c r="R170" s="14" t="s">
        <v>2048</v>
      </c>
      <c r="S170" s="14" t="s">
        <v>2048</v>
      </c>
      <c r="T170" s="14" t="s">
        <v>2048</v>
      </c>
      <c r="U170" s="14" t="s">
        <v>2048</v>
      </c>
      <c r="V170" s="14" t="s">
        <v>2050</v>
      </c>
      <c r="W170" s="14" t="s">
        <v>2048</v>
      </c>
      <c r="X170" s="14" t="s">
        <v>2048</v>
      </c>
      <c r="Y170" s="14" t="s">
        <v>2048</v>
      </c>
      <c r="Z170" s="14" t="s">
        <v>2048</v>
      </c>
      <c r="AA170" s="14" t="s">
        <v>2048</v>
      </c>
      <c r="AB170" s="14" t="s">
        <v>140</v>
      </c>
      <c r="AC170" s="14" t="s">
        <v>151</v>
      </c>
      <c r="AD170" s="14" t="s">
        <v>2132</v>
      </c>
      <c r="AE170" s="14" t="s">
        <v>2133</v>
      </c>
      <c r="AF170" s="14" t="s">
        <v>2055</v>
      </c>
      <c r="AG170" s="14" t="s">
        <v>2055</v>
      </c>
      <c r="AH170" s="14" t="s">
        <v>2055</v>
      </c>
      <c r="AI170" s="14" t="s">
        <v>2057</v>
      </c>
      <c r="AJ170" s="14" t="s">
        <v>87</v>
      </c>
      <c r="AK170" s="14" t="s">
        <v>2048</v>
      </c>
      <c r="AL170" s="14" t="s">
        <v>2048</v>
      </c>
      <c r="AM170" s="14" t="s">
        <v>2048</v>
      </c>
      <c r="AN170" s="14" t="s">
        <v>3158</v>
      </c>
      <c r="AO170" s="17" t="s">
        <v>89</v>
      </c>
      <c r="AP170" s="14" t="s">
        <v>2135</v>
      </c>
      <c r="AQ170" s="14" t="s">
        <v>3159</v>
      </c>
      <c r="AR170" s="14" t="s">
        <v>3160</v>
      </c>
      <c r="AS170" s="14" t="s">
        <v>3161</v>
      </c>
      <c r="AT170" s="14" t="s">
        <v>72</v>
      </c>
      <c r="AU170" s="14" t="s">
        <v>3160</v>
      </c>
      <c r="AV170" s="14" t="s">
        <v>3161</v>
      </c>
      <c r="AW170" s="14" t="s">
        <v>2048</v>
      </c>
      <c r="AX170" s="14" t="s">
        <v>2048</v>
      </c>
      <c r="AY170" s="14" t="s">
        <v>336</v>
      </c>
      <c r="AZ170" s="14" t="s">
        <v>874</v>
      </c>
      <c r="BA170" s="14" t="s">
        <v>3162</v>
      </c>
      <c r="BB170" s="14" t="s">
        <v>2048</v>
      </c>
      <c r="BC170" s="14" t="s">
        <v>2048</v>
      </c>
      <c r="BD170" s="14" t="s">
        <v>2080</v>
      </c>
      <c r="BE170" s="14" t="s">
        <v>2081</v>
      </c>
      <c r="BF170" s="14" t="s">
        <v>3163</v>
      </c>
      <c r="BG170" s="14" t="s">
        <v>3164</v>
      </c>
      <c r="BH170" s="14" t="s">
        <v>3165</v>
      </c>
      <c r="BI170" s="14" t="s">
        <v>2085</v>
      </c>
      <c r="BJ170" s="14" t="s">
        <v>2048</v>
      </c>
      <c r="BK170" s="14" t="s">
        <v>2048</v>
      </c>
      <c r="BL170" s="14" t="s">
        <v>2064</v>
      </c>
      <c r="BM170" s="14" t="s">
        <v>72</v>
      </c>
      <c r="BN170" s="14" t="s">
        <v>72</v>
      </c>
      <c r="BO170" s="14" t="s">
        <v>3166</v>
      </c>
      <c r="BP170" s="14" t="s">
        <v>3167</v>
      </c>
      <c r="BQ170" s="14" t="s">
        <v>3168</v>
      </c>
      <c r="BR170" s="14" t="s">
        <v>2331</v>
      </c>
      <c r="BS170" s="14" t="s">
        <v>2131</v>
      </c>
      <c r="BT170" s="14" t="s">
        <v>2048</v>
      </c>
      <c r="BU170" s="14" t="s">
        <v>2048</v>
      </c>
      <c r="BV170" s="14" t="s">
        <v>2048</v>
      </c>
      <c r="BW170" s="14" t="s">
        <v>2048</v>
      </c>
      <c r="BX170" s="14" t="s">
        <v>72</v>
      </c>
      <c r="BY170" s="14" t="s">
        <v>2048</v>
      </c>
      <c r="BZ170" s="14" t="s">
        <v>2048</v>
      </c>
      <c r="CA170" s="14" t="s">
        <v>2048</v>
      </c>
      <c r="CB170" s="14" t="s">
        <v>2048</v>
      </c>
      <c r="CC170" s="14" t="s">
        <v>2048</v>
      </c>
      <c r="CD170" s="14" t="s">
        <v>2048</v>
      </c>
      <c r="CE170" s="14" t="s">
        <v>2048</v>
      </c>
      <c r="CF170" s="14" t="s">
        <v>2048</v>
      </c>
      <c r="CG170" s="14" t="s">
        <v>2068</v>
      </c>
      <c r="CH170" s="14" t="s">
        <v>2069</v>
      </c>
      <c r="CI170" s="14" t="s">
        <v>2048</v>
      </c>
      <c r="CJ170" s="17"/>
      <c r="CK170" s="17">
        <v>45625</v>
      </c>
      <c r="CL170" s="17">
        <v>45625</v>
      </c>
      <c r="CM170" s="17">
        <v>2958465</v>
      </c>
      <c r="CN170" s="17"/>
      <c r="CO170" s="19">
        <v>0</v>
      </c>
      <c r="CP170" s="19">
        <v>0</v>
      </c>
      <c r="CQ170" s="19">
        <v>0</v>
      </c>
      <c r="CR170" s="19">
        <v>0</v>
      </c>
      <c r="CS170" s="19">
        <v>0</v>
      </c>
      <c r="CT170" s="19">
        <v>0</v>
      </c>
      <c r="CU170" s="19">
        <v>0</v>
      </c>
      <c r="CV170" s="17"/>
      <c r="CW170" s="19">
        <v>0</v>
      </c>
      <c r="CX170" s="17"/>
      <c r="CY170" s="17">
        <v>47086</v>
      </c>
      <c r="CZ170" s="19">
        <v>0</v>
      </c>
      <c r="DA170" s="17"/>
      <c r="DB170" s="17"/>
      <c r="DC170" s="19">
        <v>100</v>
      </c>
      <c r="DD170" s="17"/>
      <c r="DE170" s="17">
        <v>2958465</v>
      </c>
      <c r="DF170" s="17"/>
      <c r="DG170" s="17"/>
      <c r="DH170" s="19">
        <v>0</v>
      </c>
      <c r="DI170" s="19">
        <v>0</v>
      </c>
    </row>
    <row r="171" spans="1:113" x14ac:dyDescent="0.2">
      <c r="A171" s="14" t="s">
        <v>2315</v>
      </c>
      <c r="B171" s="16" t="s">
        <v>806</v>
      </c>
      <c r="C171" s="14" t="s">
        <v>158</v>
      </c>
      <c r="D171" s="14" t="s">
        <v>159</v>
      </c>
      <c r="E171" s="14" t="s">
        <v>158</v>
      </c>
      <c r="F171" s="14" t="s">
        <v>2044</v>
      </c>
      <c r="G171" s="14" t="s">
        <v>2045</v>
      </c>
      <c r="H171" s="14" t="s">
        <v>336</v>
      </c>
      <c r="I171" s="14" t="s">
        <v>337</v>
      </c>
      <c r="J171" s="16">
        <f>COUNTIF($I$3:I171, I171)</f>
        <v>12</v>
      </c>
      <c r="K171" s="14" t="s">
        <v>2048</v>
      </c>
      <c r="L171" s="14" t="s">
        <v>2048</v>
      </c>
      <c r="M171" s="14" t="s">
        <v>2048</v>
      </c>
      <c r="N171" s="14" t="s">
        <v>2048</v>
      </c>
      <c r="O171" s="14" t="s">
        <v>3169</v>
      </c>
      <c r="P171" s="14" t="s">
        <v>808</v>
      </c>
      <c r="Q171" s="14" t="s">
        <v>2048</v>
      </c>
      <c r="R171" s="14" t="s">
        <v>2048</v>
      </c>
      <c r="S171" s="14" t="s">
        <v>2048</v>
      </c>
      <c r="T171" s="14" t="s">
        <v>2048</v>
      </c>
      <c r="U171" s="14" t="s">
        <v>2048</v>
      </c>
      <c r="V171" s="14" t="s">
        <v>2050</v>
      </c>
      <c r="W171" s="14" t="s">
        <v>2048</v>
      </c>
      <c r="X171" s="14" t="s">
        <v>2048</v>
      </c>
      <c r="Y171" s="14" t="s">
        <v>2048</v>
      </c>
      <c r="Z171" s="14" t="s">
        <v>2048</v>
      </c>
      <c r="AA171" s="14" t="s">
        <v>2048</v>
      </c>
      <c r="AB171" s="14" t="s">
        <v>140</v>
      </c>
      <c r="AC171" s="14" t="s">
        <v>151</v>
      </c>
      <c r="AD171" s="14" t="s">
        <v>2132</v>
      </c>
      <c r="AE171" s="14" t="s">
        <v>2133</v>
      </c>
      <c r="AF171" s="14" t="s">
        <v>2055</v>
      </c>
      <c r="AG171" s="14" t="s">
        <v>2055</v>
      </c>
      <c r="AH171" s="14" t="s">
        <v>2055</v>
      </c>
      <c r="AI171" s="14" t="s">
        <v>2057</v>
      </c>
      <c r="AJ171" s="14" t="s">
        <v>87</v>
      </c>
      <c r="AK171" s="14" t="s">
        <v>2048</v>
      </c>
      <c r="AL171" s="14" t="s">
        <v>2048</v>
      </c>
      <c r="AM171" s="14" t="s">
        <v>2048</v>
      </c>
      <c r="AN171" s="14" t="s">
        <v>3170</v>
      </c>
      <c r="AO171" s="17" t="s">
        <v>89</v>
      </c>
      <c r="AP171" s="14" t="s">
        <v>2135</v>
      </c>
      <c r="AQ171" s="14" t="s">
        <v>2048</v>
      </c>
      <c r="AR171" s="14" t="s">
        <v>3171</v>
      </c>
      <c r="AS171" s="14" t="s">
        <v>3172</v>
      </c>
      <c r="AT171" s="14" t="s">
        <v>72</v>
      </c>
      <c r="AU171" s="14" t="s">
        <v>3171</v>
      </c>
      <c r="AV171" s="14" t="s">
        <v>3172</v>
      </c>
      <c r="AW171" s="14" t="s">
        <v>2048</v>
      </c>
      <c r="AX171" s="14" t="s">
        <v>2048</v>
      </c>
      <c r="AY171" s="14" t="s">
        <v>336</v>
      </c>
      <c r="AZ171" s="14" t="s">
        <v>807</v>
      </c>
      <c r="BA171" s="14" t="s">
        <v>3173</v>
      </c>
      <c r="BB171" s="14" t="s">
        <v>2048</v>
      </c>
      <c r="BC171" s="14" t="s">
        <v>2048</v>
      </c>
      <c r="BD171" s="14" t="s">
        <v>3174</v>
      </c>
      <c r="BE171" s="14" t="s">
        <v>3175</v>
      </c>
      <c r="BF171" s="14" t="s">
        <v>3176</v>
      </c>
      <c r="BG171" s="14" t="s">
        <v>3177</v>
      </c>
      <c r="BH171" s="14" t="s">
        <v>3178</v>
      </c>
      <c r="BI171" s="14" t="s">
        <v>2085</v>
      </c>
      <c r="BJ171" s="14" t="s">
        <v>2048</v>
      </c>
      <c r="BK171" s="14" t="s">
        <v>2048</v>
      </c>
      <c r="BL171" s="14" t="s">
        <v>2064</v>
      </c>
      <c r="BM171" s="14" t="s">
        <v>72</v>
      </c>
      <c r="BN171" s="14" t="s">
        <v>72</v>
      </c>
      <c r="BO171" s="14" t="s">
        <v>3179</v>
      </c>
      <c r="BP171" s="14" t="s">
        <v>3180</v>
      </c>
      <c r="BQ171" s="14" t="s">
        <v>3181</v>
      </c>
      <c r="BR171" s="14" t="s">
        <v>2331</v>
      </c>
      <c r="BS171" s="14" t="s">
        <v>2131</v>
      </c>
      <c r="BT171" s="14" t="s">
        <v>2048</v>
      </c>
      <c r="BU171" s="14" t="s">
        <v>2048</v>
      </c>
      <c r="BV171" s="14" t="s">
        <v>2048</v>
      </c>
      <c r="BW171" s="14" t="s">
        <v>2048</v>
      </c>
      <c r="BX171" s="14" t="s">
        <v>72</v>
      </c>
      <c r="BY171" s="14" t="s">
        <v>2048</v>
      </c>
      <c r="BZ171" s="14" t="s">
        <v>2048</v>
      </c>
      <c r="CA171" s="14" t="s">
        <v>2048</v>
      </c>
      <c r="CB171" s="14" t="s">
        <v>2048</v>
      </c>
      <c r="CC171" s="14" t="s">
        <v>2048</v>
      </c>
      <c r="CD171" s="14" t="s">
        <v>2048</v>
      </c>
      <c r="CE171" s="14" t="s">
        <v>2048</v>
      </c>
      <c r="CF171" s="14" t="s">
        <v>2048</v>
      </c>
      <c r="CG171" s="14" t="s">
        <v>2068</v>
      </c>
      <c r="CH171" s="14" t="s">
        <v>2069</v>
      </c>
      <c r="CI171" s="14" t="s">
        <v>2048</v>
      </c>
      <c r="CJ171" s="17"/>
      <c r="CK171" s="17">
        <v>45625</v>
      </c>
      <c r="CL171" s="17">
        <v>45625</v>
      </c>
      <c r="CM171" s="17">
        <v>2958465</v>
      </c>
      <c r="CN171" s="17"/>
      <c r="CO171" s="19">
        <v>0</v>
      </c>
      <c r="CP171" s="19">
        <v>0</v>
      </c>
      <c r="CQ171" s="19">
        <v>0</v>
      </c>
      <c r="CR171" s="19">
        <v>0</v>
      </c>
      <c r="CS171" s="19">
        <v>0</v>
      </c>
      <c r="CT171" s="19">
        <v>0</v>
      </c>
      <c r="CU171" s="19">
        <v>0</v>
      </c>
      <c r="CV171" s="17"/>
      <c r="CW171" s="19">
        <v>0</v>
      </c>
      <c r="CX171" s="17"/>
      <c r="CY171" s="17">
        <v>47086</v>
      </c>
      <c r="CZ171" s="19">
        <v>0</v>
      </c>
      <c r="DA171" s="17"/>
      <c r="DB171" s="17"/>
      <c r="DC171" s="19">
        <v>100</v>
      </c>
      <c r="DD171" s="17"/>
      <c r="DE171" s="17">
        <v>2958465</v>
      </c>
      <c r="DF171" s="17"/>
      <c r="DG171" s="17"/>
      <c r="DH171" s="19">
        <v>0</v>
      </c>
      <c r="DI171" s="19">
        <v>0</v>
      </c>
    </row>
    <row r="172" spans="1:113" x14ac:dyDescent="0.2">
      <c r="A172" s="14" t="s">
        <v>2315</v>
      </c>
      <c r="B172" s="16" t="s">
        <v>352</v>
      </c>
      <c r="C172" s="14" t="s">
        <v>158</v>
      </c>
      <c r="D172" s="14" t="s">
        <v>159</v>
      </c>
      <c r="E172" s="14" t="s">
        <v>158</v>
      </c>
      <c r="F172" s="14" t="s">
        <v>2044</v>
      </c>
      <c r="G172" s="14" t="s">
        <v>2045</v>
      </c>
      <c r="H172" s="14" t="s">
        <v>336</v>
      </c>
      <c r="I172" s="14" t="s">
        <v>337</v>
      </c>
      <c r="J172" s="16">
        <f>COUNTIF($I$3:I172, I172)</f>
        <v>13</v>
      </c>
      <c r="K172" s="14" t="s">
        <v>2048</v>
      </c>
      <c r="L172" s="14" t="s">
        <v>2048</v>
      </c>
      <c r="M172" s="14" t="s">
        <v>2048</v>
      </c>
      <c r="N172" s="14" t="s">
        <v>2048</v>
      </c>
      <c r="O172" s="14" t="s">
        <v>3182</v>
      </c>
      <c r="P172" s="14" t="s">
        <v>72</v>
      </c>
      <c r="Q172" s="14" t="s">
        <v>72</v>
      </c>
      <c r="R172" s="14" t="s">
        <v>2048</v>
      </c>
      <c r="S172" s="14" t="s">
        <v>2048</v>
      </c>
      <c r="T172" s="14" t="s">
        <v>2422</v>
      </c>
      <c r="U172" s="14" t="s">
        <v>2049</v>
      </c>
      <c r="V172" s="14" t="s">
        <v>2050</v>
      </c>
      <c r="W172" s="14" t="s">
        <v>2048</v>
      </c>
      <c r="X172" s="14" t="s">
        <v>2048</v>
      </c>
      <c r="Y172" s="14" t="s">
        <v>2048</v>
      </c>
      <c r="Z172" s="14" t="s">
        <v>2048</v>
      </c>
      <c r="AA172" s="14" t="s">
        <v>2048</v>
      </c>
      <c r="AB172" s="14" t="s">
        <v>353</v>
      </c>
      <c r="AC172" s="14" t="s">
        <v>354</v>
      </c>
      <c r="AD172" s="14" t="s">
        <v>2129</v>
      </c>
      <c r="AE172" s="14" t="s">
        <v>2130</v>
      </c>
      <c r="AF172" s="14" t="s">
        <v>2055</v>
      </c>
      <c r="AG172" s="14" t="s">
        <v>2055</v>
      </c>
      <c r="AH172" s="14" t="s">
        <v>2055</v>
      </c>
      <c r="AI172" s="14" t="s">
        <v>2057</v>
      </c>
      <c r="AJ172" s="14" t="s">
        <v>87</v>
      </c>
      <c r="AK172" s="14" t="s">
        <v>2048</v>
      </c>
      <c r="AL172" s="14" t="s">
        <v>2048</v>
      </c>
      <c r="AM172" s="14" t="s">
        <v>2048</v>
      </c>
      <c r="AN172" s="14" t="s">
        <v>3183</v>
      </c>
      <c r="AO172" s="17" t="s">
        <v>89</v>
      </c>
      <c r="AP172" s="14" t="s">
        <v>2331</v>
      </c>
      <c r="AQ172" s="14" t="s">
        <v>2059</v>
      </c>
      <c r="AR172" s="14" t="s">
        <v>2060</v>
      </c>
      <c r="AS172" s="14" t="s">
        <v>2048</v>
      </c>
      <c r="AT172" s="14" t="s">
        <v>2048</v>
      </c>
      <c r="AU172" s="14" t="s">
        <v>3184</v>
      </c>
      <c r="AV172" s="14" t="s">
        <v>3185</v>
      </c>
      <c r="AW172" s="14" t="s">
        <v>2048</v>
      </c>
      <c r="AX172" s="14" t="s">
        <v>2048</v>
      </c>
      <c r="AY172" s="14" t="s">
        <v>336</v>
      </c>
      <c r="AZ172" s="14" t="s">
        <v>355</v>
      </c>
      <c r="BA172" s="14" t="s">
        <v>3186</v>
      </c>
      <c r="BB172" s="14" t="s">
        <v>2048</v>
      </c>
      <c r="BC172" s="14" t="s">
        <v>2048</v>
      </c>
      <c r="BD172" s="14" t="s">
        <v>2080</v>
      </c>
      <c r="BE172" s="14" t="s">
        <v>2081</v>
      </c>
      <c r="BF172" s="14" t="s">
        <v>3187</v>
      </c>
      <c r="BG172" s="14" t="s">
        <v>3188</v>
      </c>
      <c r="BH172" s="14" t="s">
        <v>3189</v>
      </c>
      <c r="BI172" s="14" t="s">
        <v>2085</v>
      </c>
      <c r="BJ172" s="14" t="s">
        <v>2048</v>
      </c>
      <c r="BK172" s="14" t="s">
        <v>2048</v>
      </c>
      <c r="BL172" s="14" t="s">
        <v>2064</v>
      </c>
      <c r="BM172" s="14" t="s">
        <v>72</v>
      </c>
      <c r="BN172" s="14" t="s">
        <v>72</v>
      </c>
      <c r="BO172" s="14" t="s">
        <v>3190</v>
      </c>
      <c r="BP172" s="14" t="s">
        <v>2048</v>
      </c>
      <c r="BQ172" s="14" t="s">
        <v>2048</v>
      </c>
      <c r="BR172" s="14" t="s">
        <v>3191</v>
      </c>
      <c r="BS172" s="14" t="s">
        <v>3192</v>
      </c>
      <c r="BT172" s="14" t="s">
        <v>2048</v>
      </c>
      <c r="BU172" s="14" t="s">
        <v>2048</v>
      </c>
      <c r="BV172" s="14" t="s">
        <v>2048</v>
      </c>
      <c r="BW172" s="14" t="s">
        <v>2048</v>
      </c>
      <c r="BX172" s="14" t="s">
        <v>2048</v>
      </c>
      <c r="BY172" s="14" t="s">
        <v>2048</v>
      </c>
      <c r="BZ172" s="14" t="s">
        <v>2048</v>
      </c>
      <c r="CA172" s="14" t="s">
        <v>2048</v>
      </c>
      <c r="CB172" s="14" t="s">
        <v>2048</v>
      </c>
      <c r="CC172" s="14" t="s">
        <v>2048</v>
      </c>
      <c r="CD172" s="14" t="s">
        <v>2048</v>
      </c>
      <c r="CE172" s="14" t="s">
        <v>2048</v>
      </c>
      <c r="CF172" s="14" t="s">
        <v>2048</v>
      </c>
      <c r="CG172" s="14" t="s">
        <v>3193</v>
      </c>
      <c r="CH172" s="14" t="s">
        <v>3194</v>
      </c>
      <c r="CI172" s="14" t="s">
        <v>2048</v>
      </c>
      <c r="CJ172" s="17"/>
      <c r="CK172" s="17">
        <v>45391</v>
      </c>
      <c r="CL172" s="17">
        <v>45391</v>
      </c>
      <c r="CM172" s="17">
        <v>2958465</v>
      </c>
      <c r="CN172" s="17"/>
      <c r="CO172" s="19">
        <v>0</v>
      </c>
      <c r="CP172" s="19">
        <v>0</v>
      </c>
      <c r="CQ172" s="19">
        <v>0</v>
      </c>
      <c r="CR172" s="19">
        <v>0</v>
      </c>
      <c r="CS172" s="19">
        <v>0</v>
      </c>
      <c r="CT172" s="19">
        <v>0</v>
      </c>
      <c r="CU172" s="19">
        <v>0</v>
      </c>
      <c r="CV172" s="17"/>
      <c r="CW172" s="20">
        <v>13846</v>
      </c>
      <c r="CX172" s="17">
        <v>45730</v>
      </c>
      <c r="CY172" s="17"/>
      <c r="CZ172" s="19">
        <v>0</v>
      </c>
      <c r="DA172" s="17"/>
      <c r="DB172" s="17"/>
      <c r="DC172" s="19">
        <v>100</v>
      </c>
      <c r="DD172" s="17"/>
      <c r="DE172" s="17">
        <v>2958465</v>
      </c>
      <c r="DF172" s="17"/>
      <c r="DG172" s="17"/>
      <c r="DH172" s="19">
        <v>0</v>
      </c>
      <c r="DI172" s="19">
        <v>0</v>
      </c>
    </row>
    <row r="173" spans="1:113" x14ac:dyDescent="0.2">
      <c r="A173" s="14" t="s">
        <v>2315</v>
      </c>
      <c r="B173" s="16" t="s">
        <v>655</v>
      </c>
      <c r="C173" s="14" t="s">
        <v>158</v>
      </c>
      <c r="D173" s="14" t="s">
        <v>159</v>
      </c>
      <c r="E173" s="14" t="s">
        <v>158</v>
      </c>
      <c r="F173" s="14" t="s">
        <v>2044</v>
      </c>
      <c r="G173" s="14" t="s">
        <v>2045</v>
      </c>
      <c r="H173" s="14" t="s">
        <v>102</v>
      </c>
      <c r="I173" s="14" t="s">
        <v>103</v>
      </c>
      <c r="J173" s="16">
        <f>COUNTIF($I$3:I173, I173)</f>
        <v>36</v>
      </c>
      <c r="K173" s="14" t="s">
        <v>2048</v>
      </c>
      <c r="L173" s="14" t="s">
        <v>2048</v>
      </c>
      <c r="M173" s="14" t="s">
        <v>2048</v>
      </c>
      <c r="N173" s="14" t="s">
        <v>2048</v>
      </c>
      <c r="O173" s="14" t="s">
        <v>3195</v>
      </c>
      <c r="P173" s="14" t="s">
        <v>656</v>
      </c>
      <c r="Q173" s="14" t="s">
        <v>72</v>
      </c>
      <c r="R173" s="14" t="s">
        <v>2048</v>
      </c>
      <c r="S173" s="14" t="s">
        <v>2048</v>
      </c>
      <c r="T173" s="14" t="s">
        <v>2048</v>
      </c>
      <c r="U173" s="14" t="s">
        <v>2048</v>
      </c>
      <c r="V173" s="14" t="s">
        <v>2050</v>
      </c>
      <c r="W173" s="14" t="s">
        <v>2048</v>
      </c>
      <c r="X173" s="14" t="s">
        <v>2048</v>
      </c>
      <c r="Y173" s="14" t="s">
        <v>2048</v>
      </c>
      <c r="Z173" s="14" t="s">
        <v>2048</v>
      </c>
      <c r="AA173" s="14" t="s">
        <v>2048</v>
      </c>
      <c r="AB173" s="14" t="s">
        <v>380</v>
      </c>
      <c r="AC173" s="14" t="s">
        <v>381</v>
      </c>
      <c r="AD173" s="14" t="s">
        <v>2072</v>
      </c>
      <c r="AE173" s="14" t="s">
        <v>2073</v>
      </c>
      <c r="AF173" s="14" t="s">
        <v>2055</v>
      </c>
      <c r="AG173" s="14" t="s">
        <v>2055</v>
      </c>
      <c r="AH173" s="14" t="s">
        <v>2055</v>
      </c>
      <c r="AI173" s="14" t="s">
        <v>2057</v>
      </c>
      <c r="AJ173" s="14" t="s">
        <v>87</v>
      </c>
      <c r="AK173" s="14" t="s">
        <v>2048</v>
      </c>
      <c r="AL173" s="14" t="s">
        <v>2048</v>
      </c>
      <c r="AM173" s="14" t="s">
        <v>2048</v>
      </c>
      <c r="AN173" s="14" t="s">
        <v>2877</v>
      </c>
      <c r="AO173" s="17" t="s">
        <v>89</v>
      </c>
      <c r="AP173" s="14" t="s">
        <v>2135</v>
      </c>
      <c r="AQ173" s="14" t="s">
        <v>3196</v>
      </c>
      <c r="AR173" s="14" t="s">
        <v>3197</v>
      </c>
      <c r="AS173" s="14" t="s">
        <v>3198</v>
      </c>
      <c r="AT173" s="14" t="s">
        <v>72</v>
      </c>
      <c r="AU173" s="14" t="s">
        <v>2881</v>
      </c>
      <c r="AV173" s="14" t="s">
        <v>2882</v>
      </c>
      <c r="AW173" s="14" t="s">
        <v>2048</v>
      </c>
      <c r="AX173" s="14" t="s">
        <v>2048</v>
      </c>
      <c r="AY173" s="14" t="s">
        <v>102</v>
      </c>
      <c r="AZ173" s="14" t="s">
        <v>649</v>
      </c>
      <c r="BA173" s="14" t="s">
        <v>2883</v>
      </c>
      <c r="BB173" s="14" t="s">
        <v>2048</v>
      </c>
      <c r="BC173" s="14" t="s">
        <v>2048</v>
      </c>
      <c r="BD173" s="14" t="s">
        <v>2282</v>
      </c>
      <c r="BE173" s="14" t="s">
        <v>2782</v>
      </c>
      <c r="BF173" s="14" t="s">
        <v>2783</v>
      </c>
      <c r="BG173" s="14" t="s">
        <v>2784</v>
      </c>
      <c r="BH173" s="14" t="s">
        <v>2884</v>
      </c>
      <c r="BI173" s="14" t="s">
        <v>2287</v>
      </c>
      <c r="BJ173" s="14" t="s">
        <v>2048</v>
      </c>
      <c r="BK173" s="14" t="s">
        <v>2048</v>
      </c>
      <c r="BL173" s="14" t="s">
        <v>2064</v>
      </c>
      <c r="BM173" s="14" t="s">
        <v>72</v>
      </c>
      <c r="BN173" s="14" t="s">
        <v>72</v>
      </c>
      <c r="BO173" s="14" t="s">
        <v>3199</v>
      </c>
      <c r="BP173" s="14" t="s">
        <v>2886</v>
      </c>
      <c r="BQ173" s="14" t="s">
        <v>2877</v>
      </c>
      <c r="BR173" s="14" t="s">
        <v>2418</v>
      </c>
      <c r="BS173" s="14" t="s">
        <v>2089</v>
      </c>
      <c r="BT173" s="14" t="s">
        <v>2048</v>
      </c>
      <c r="BU173" s="14" t="s">
        <v>2048</v>
      </c>
      <c r="BV173" s="14" t="s">
        <v>2048</v>
      </c>
      <c r="BW173" s="14" t="s">
        <v>2048</v>
      </c>
      <c r="BX173" s="14" t="s">
        <v>72</v>
      </c>
      <c r="BY173" s="14" t="s">
        <v>2048</v>
      </c>
      <c r="BZ173" s="14" t="s">
        <v>2048</v>
      </c>
      <c r="CA173" s="14" t="s">
        <v>2048</v>
      </c>
      <c r="CB173" s="14" t="s">
        <v>2048</v>
      </c>
      <c r="CC173" s="14" t="s">
        <v>2048</v>
      </c>
      <c r="CD173" s="14" t="s">
        <v>2048</v>
      </c>
      <c r="CE173" s="14" t="s">
        <v>2048</v>
      </c>
      <c r="CF173" s="14" t="s">
        <v>2048</v>
      </c>
      <c r="CG173" s="14" t="s">
        <v>2057</v>
      </c>
      <c r="CH173" s="14" t="s">
        <v>2090</v>
      </c>
      <c r="CI173" s="14" t="s">
        <v>2048</v>
      </c>
      <c r="CJ173" s="17"/>
      <c r="CK173" s="17">
        <v>45616</v>
      </c>
      <c r="CL173" s="17">
        <v>45616</v>
      </c>
      <c r="CM173" s="17">
        <v>2958465</v>
      </c>
      <c r="CN173" s="17"/>
      <c r="CO173" s="19">
        <v>0</v>
      </c>
      <c r="CP173" s="19">
        <v>0</v>
      </c>
      <c r="CQ173" s="19">
        <v>0</v>
      </c>
      <c r="CR173" s="19">
        <v>0</v>
      </c>
      <c r="CS173" s="19">
        <v>0</v>
      </c>
      <c r="CT173" s="19">
        <v>0</v>
      </c>
      <c r="CU173" s="19">
        <v>0</v>
      </c>
      <c r="CV173" s="17"/>
      <c r="CW173" s="19">
        <v>0</v>
      </c>
      <c r="CX173" s="17"/>
      <c r="CY173" s="17"/>
      <c r="CZ173" s="19">
        <v>0</v>
      </c>
      <c r="DA173" s="17"/>
      <c r="DB173" s="17"/>
      <c r="DC173" s="19">
        <v>100</v>
      </c>
      <c r="DD173" s="17"/>
      <c r="DE173" s="17">
        <v>2958465</v>
      </c>
      <c r="DF173" s="17"/>
      <c r="DG173" s="17"/>
      <c r="DH173" s="19">
        <v>0</v>
      </c>
      <c r="DI173" s="19">
        <v>0</v>
      </c>
    </row>
    <row r="174" spans="1:113" x14ac:dyDescent="0.2">
      <c r="A174" s="14" t="s">
        <v>2315</v>
      </c>
      <c r="B174" s="16" t="s">
        <v>406</v>
      </c>
      <c r="C174" s="14" t="s">
        <v>158</v>
      </c>
      <c r="D174" s="14" t="s">
        <v>159</v>
      </c>
      <c r="E174" s="14" t="s">
        <v>158</v>
      </c>
      <c r="F174" s="14" t="s">
        <v>2044</v>
      </c>
      <c r="G174" s="14" t="s">
        <v>2045</v>
      </c>
      <c r="H174" s="14" t="s">
        <v>403</v>
      </c>
      <c r="I174" s="14" t="s">
        <v>404</v>
      </c>
      <c r="J174" s="16">
        <f>COUNTIF($I$3:I174, I174)</f>
        <v>2</v>
      </c>
      <c r="K174" s="14" t="s">
        <v>2048</v>
      </c>
      <c r="L174" s="14" t="s">
        <v>2048</v>
      </c>
      <c r="M174" s="14" t="s">
        <v>2048</v>
      </c>
      <c r="N174" s="14" t="s">
        <v>2048</v>
      </c>
      <c r="O174" s="14" t="s">
        <v>3200</v>
      </c>
      <c r="P174" s="14" t="s">
        <v>408</v>
      </c>
      <c r="Q174" s="14" t="s">
        <v>72</v>
      </c>
      <c r="R174" s="14" t="s">
        <v>2048</v>
      </c>
      <c r="S174" s="14" t="s">
        <v>2048</v>
      </c>
      <c r="T174" s="14" t="s">
        <v>2048</v>
      </c>
      <c r="U174" s="14" t="s">
        <v>2048</v>
      </c>
      <c r="V174" s="14" t="s">
        <v>2050</v>
      </c>
      <c r="W174" s="14" t="s">
        <v>2048</v>
      </c>
      <c r="X174" s="14" t="s">
        <v>2048</v>
      </c>
      <c r="Y174" s="14" t="s">
        <v>2048</v>
      </c>
      <c r="Z174" s="14" t="s">
        <v>2048</v>
      </c>
      <c r="AA174" s="14" t="s">
        <v>2048</v>
      </c>
      <c r="AB174" s="14" t="s">
        <v>85</v>
      </c>
      <c r="AC174" s="14" t="s">
        <v>86</v>
      </c>
      <c r="AD174" s="14" t="s">
        <v>2132</v>
      </c>
      <c r="AE174" s="14" t="s">
        <v>2133</v>
      </c>
      <c r="AF174" s="14" t="s">
        <v>2055</v>
      </c>
      <c r="AG174" s="14" t="s">
        <v>2055</v>
      </c>
      <c r="AH174" s="14" t="s">
        <v>2055</v>
      </c>
      <c r="AI174" s="14" t="s">
        <v>2057</v>
      </c>
      <c r="AJ174" s="14" t="s">
        <v>87</v>
      </c>
      <c r="AK174" s="14" t="s">
        <v>2048</v>
      </c>
      <c r="AL174" s="14" t="s">
        <v>2048</v>
      </c>
      <c r="AM174" s="14" t="s">
        <v>2755</v>
      </c>
      <c r="AN174" s="14" t="s">
        <v>3006</v>
      </c>
      <c r="AO174" s="17" t="s">
        <v>89</v>
      </c>
      <c r="AP174" s="14" t="s">
        <v>2135</v>
      </c>
      <c r="AQ174" s="14" t="s">
        <v>3201</v>
      </c>
      <c r="AR174" s="14" t="s">
        <v>3202</v>
      </c>
      <c r="AS174" s="14" t="s">
        <v>3203</v>
      </c>
      <c r="AT174" s="14" t="s">
        <v>72</v>
      </c>
      <c r="AU174" s="14" t="s">
        <v>2993</v>
      </c>
      <c r="AV174" s="14" t="s">
        <v>2994</v>
      </c>
      <c r="AW174" s="14" t="s">
        <v>2048</v>
      </c>
      <c r="AX174" s="14" t="s">
        <v>2048</v>
      </c>
      <c r="AY174" s="14" t="s">
        <v>403</v>
      </c>
      <c r="AZ174" s="14" t="s">
        <v>407</v>
      </c>
      <c r="BA174" s="14" t="s">
        <v>3204</v>
      </c>
      <c r="BB174" s="14" t="s">
        <v>2048</v>
      </c>
      <c r="BC174" s="14" t="s">
        <v>2048</v>
      </c>
      <c r="BD174" s="14" t="s">
        <v>2576</v>
      </c>
      <c r="BE174" s="14" t="s">
        <v>2577</v>
      </c>
      <c r="BF174" s="14" t="s">
        <v>2961</v>
      </c>
      <c r="BG174" s="14" t="s">
        <v>3205</v>
      </c>
      <c r="BH174" s="14" t="s">
        <v>3008</v>
      </c>
      <c r="BI174" s="14" t="s">
        <v>2287</v>
      </c>
      <c r="BJ174" s="14" t="s">
        <v>2048</v>
      </c>
      <c r="BK174" s="14" t="s">
        <v>2048</v>
      </c>
      <c r="BL174" s="14" t="s">
        <v>2064</v>
      </c>
      <c r="BM174" s="14" t="s">
        <v>72</v>
      </c>
      <c r="BN174" s="14" t="s">
        <v>72</v>
      </c>
      <c r="BO174" s="14" t="s">
        <v>3206</v>
      </c>
      <c r="BP174" s="14" t="s">
        <v>3207</v>
      </c>
      <c r="BQ174" s="14" t="s">
        <v>3006</v>
      </c>
      <c r="BR174" s="14" t="s">
        <v>2418</v>
      </c>
      <c r="BS174" s="14" t="s">
        <v>2089</v>
      </c>
      <c r="BT174" s="14" t="s">
        <v>2048</v>
      </c>
      <c r="BU174" s="14" t="s">
        <v>2048</v>
      </c>
      <c r="BV174" s="14" t="s">
        <v>2048</v>
      </c>
      <c r="BW174" s="14" t="s">
        <v>2048</v>
      </c>
      <c r="BX174" s="14" t="s">
        <v>72</v>
      </c>
      <c r="BY174" s="14" t="s">
        <v>2048</v>
      </c>
      <c r="BZ174" s="14" t="s">
        <v>2048</v>
      </c>
      <c r="CA174" s="14" t="s">
        <v>2048</v>
      </c>
      <c r="CB174" s="14" t="s">
        <v>2048</v>
      </c>
      <c r="CC174" s="14" t="s">
        <v>2048</v>
      </c>
      <c r="CD174" s="14" t="s">
        <v>2048</v>
      </c>
      <c r="CE174" s="14" t="s">
        <v>2048</v>
      </c>
      <c r="CF174" s="14" t="s">
        <v>2048</v>
      </c>
      <c r="CG174" s="14" t="s">
        <v>2057</v>
      </c>
      <c r="CH174" s="14" t="s">
        <v>2090</v>
      </c>
      <c r="CI174" s="14" t="s">
        <v>2048</v>
      </c>
      <c r="CJ174" s="17"/>
      <c r="CK174" s="17">
        <v>45645</v>
      </c>
      <c r="CL174" s="17">
        <v>45645</v>
      </c>
      <c r="CM174" s="17">
        <v>2958465</v>
      </c>
      <c r="CN174" s="17"/>
      <c r="CO174" s="19">
        <v>0</v>
      </c>
      <c r="CP174" s="19">
        <v>0</v>
      </c>
      <c r="CQ174" s="19">
        <v>0</v>
      </c>
      <c r="CR174" s="19">
        <v>0</v>
      </c>
      <c r="CS174" s="19">
        <v>0</v>
      </c>
      <c r="CT174" s="19">
        <v>0</v>
      </c>
      <c r="CU174" s="19">
        <v>0</v>
      </c>
      <c r="CV174" s="17"/>
      <c r="CW174" s="19">
        <v>0</v>
      </c>
      <c r="CX174" s="17"/>
      <c r="CY174" s="17"/>
      <c r="CZ174" s="19">
        <v>0</v>
      </c>
      <c r="DA174" s="17"/>
      <c r="DB174" s="17"/>
      <c r="DC174" s="19">
        <v>100</v>
      </c>
      <c r="DD174" s="17"/>
      <c r="DE174" s="17">
        <v>2958465</v>
      </c>
      <c r="DF174" s="17"/>
      <c r="DG174" s="17"/>
      <c r="DH174" s="19">
        <v>0</v>
      </c>
      <c r="DI174" s="19">
        <v>0</v>
      </c>
    </row>
    <row r="175" spans="1:113" x14ac:dyDescent="0.2">
      <c r="A175" s="14" t="s">
        <v>2315</v>
      </c>
      <c r="B175" s="16" t="s">
        <v>1758</v>
      </c>
      <c r="C175" s="14" t="s">
        <v>158</v>
      </c>
      <c r="D175" s="14" t="s">
        <v>159</v>
      </c>
      <c r="E175" s="14" t="s">
        <v>158</v>
      </c>
      <c r="F175" s="14" t="s">
        <v>2044</v>
      </c>
      <c r="G175" s="14" t="s">
        <v>2045</v>
      </c>
      <c r="H175" s="14" t="s">
        <v>960</v>
      </c>
      <c r="I175" s="14" t="s">
        <v>961</v>
      </c>
      <c r="J175" s="16">
        <f>COUNTIF($I$3:I175, I175)</f>
        <v>3</v>
      </c>
      <c r="K175" s="14" t="s">
        <v>2048</v>
      </c>
      <c r="L175" s="14" t="s">
        <v>2048</v>
      </c>
      <c r="M175" s="14" t="s">
        <v>2048</v>
      </c>
      <c r="N175" s="14" t="s">
        <v>2048</v>
      </c>
      <c r="O175" s="14" t="s">
        <v>3208</v>
      </c>
      <c r="P175" s="14" t="s">
        <v>3209</v>
      </c>
      <c r="Q175" s="14" t="s">
        <v>72</v>
      </c>
      <c r="R175" s="14" t="s">
        <v>2048</v>
      </c>
      <c r="S175" s="14" t="s">
        <v>2048</v>
      </c>
      <c r="T175" s="14" t="s">
        <v>2048</v>
      </c>
      <c r="U175" s="14" t="s">
        <v>2048</v>
      </c>
      <c r="V175" s="14" t="s">
        <v>2050</v>
      </c>
      <c r="W175" s="14" t="s">
        <v>2048</v>
      </c>
      <c r="X175" s="14" t="s">
        <v>2048</v>
      </c>
      <c r="Y175" s="14" t="s">
        <v>2048</v>
      </c>
      <c r="Z175" s="14" t="s">
        <v>2048</v>
      </c>
      <c r="AA175" s="14" t="s">
        <v>2048</v>
      </c>
      <c r="AB175" s="14" t="s">
        <v>85</v>
      </c>
      <c r="AC175" s="14" t="s">
        <v>86</v>
      </c>
      <c r="AD175" s="14" t="s">
        <v>2205</v>
      </c>
      <c r="AE175" s="14" t="s">
        <v>2206</v>
      </c>
      <c r="AF175" s="14" t="s">
        <v>2055</v>
      </c>
      <c r="AG175" s="14" t="s">
        <v>2055</v>
      </c>
      <c r="AH175" s="14" t="s">
        <v>2055</v>
      </c>
      <c r="AI175" s="14" t="s">
        <v>2057</v>
      </c>
      <c r="AJ175" s="14" t="s">
        <v>87</v>
      </c>
      <c r="AK175" s="14" t="s">
        <v>2048</v>
      </c>
      <c r="AL175" s="14" t="s">
        <v>2048</v>
      </c>
      <c r="AM175" s="14" t="s">
        <v>2048</v>
      </c>
      <c r="AN175" s="14" t="s">
        <v>2207</v>
      </c>
      <c r="AO175" s="17" t="s">
        <v>89</v>
      </c>
      <c r="AP175" s="14" t="s">
        <v>2135</v>
      </c>
      <c r="AQ175" s="14" t="s">
        <v>2059</v>
      </c>
      <c r="AR175" s="14" t="s">
        <v>2060</v>
      </c>
      <c r="AS175" s="14" t="s">
        <v>2048</v>
      </c>
      <c r="AT175" s="14" t="s">
        <v>72</v>
      </c>
      <c r="AU175" s="14" t="s">
        <v>2211</v>
      </c>
      <c r="AV175" s="14" t="s">
        <v>2212</v>
      </c>
      <c r="AW175" s="14" t="s">
        <v>2048</v>
      </c>
      <c r="AX175" s="14" t="s">
        <v>2048</v>
      </c>
      <c r="AY175" s="14" t="s">
        <v>960</v>
      </c>
      <c r="AZ175" s="14" t="s">
        <v>2213</v>
      </c>
      <c r="BA175" s="14" t="s">
        <v>2214</v>
      </c>
      <c r="BB175" s="14" t="s">
        <v>2048</v>
      </c>
      <c r="BC175" s="14" t="s">
        <v>2048</v>
      </c>
      <c r="BD175" s="14" t="s">
        <v>2215</v>
      </c>
      <c r="BE175" s="14" t="s">
        <v>2216</v>
      </c>
      <c r="BF175" s="14" t="s">
        <v>2048</v>
      </c>
      <c r="BG175" s="14" t="s">
        <v>2048</v>
      </c>
      <c r="BH175" s="14" t="s">
        <v>2217</v>
      </c>
      <c r="BI175" s="14" t="s">
        <v>2218</v>
      </c>
      <c r="BJ175" s="14" t="s">
        <v>2048</v>
      </c>
      <c r="BK175" s="14" t="s">
        <v>2048</v>
      </c>
      <c r="BL175" s="14" t="s">
        <v>2064</v>
      </c>
      <c r="BM175" s="14" t="s">
        <v>72</v>
      </c>
      <c r="BN175" s="14" t="s">
        <v>72</v>
      </c>
      <c r="BO175" s="14" t="s">
        <v>3210</v>
      </c>
      <c r="BP175" s="14" t="s">
        <v>2048</v>
      </c>
      <c r="BQ175" s="14" t="s">
        <v>2048</v>
      </c>
      <c r="BR175" s="14" t="s">
        <v>2418</v>
      </c>
      <c r="BS175" s="14" t="s">
        <v>2089</v>
      </c>
      <c r="BT175" s="14" t="s">
        <v>2048</v>
      </c>
      <c r="BU175" s="14" t="s">
        <v>2048</v>
      </c>
      <c r="BV175" s="14" t="s">
        <v>2048</v>
      </c>
      <c r="BW175" s="14" t="s">
        <v>2048</v>
      </c>
      <c r="BX175" s="14" t="s">
        <v>72</v>
      </c>
      <c r="BY175" s="14" t="s">
        <v>2048</v>
      </c>
      <c r="BZ175" s="14" t="s">
        <v>2048</v>
      </c>
      <c r="CA175" s="14" t="s">
        <v>2048</v>
      </c>
      <c r="CB175" s="14" t="s">
        <v>2048</v>
      </c>
      <c r="CC175" s="14" t="s">
        <v>2048</v>
      </c>
      <c r="CD175" s="14" t="s">
        <v>2048</v>
      </c>
      <c r="CE175" s="14" t="s">
        <v>2048</v>
      </c>
      <c r="CF175" s="14" t="s">
        <v>2048</v>
      </c>
      <c r="CG175" s="14" t="s">
        <v>2057</v>
      </c>
      <c r="CH175" s="14" t="s">
        <v>2090</v>
      </c>
      <c r="CI175" s="14" t="s">
        <v>2048</v>
      </c>
      <c r="CJ175" s="17"/>
      <c r="CK175" s="17">
        <v>45645</v>
      </c>
      <c r="CL175" s="17">
        <v>45645</v>
      </c>
      <c r="CM175" s="17">
        <v>2958465</v>
      </c>
      <c r="CN175" s="17"/>
      <c r="CO175" s="19">
        <v>0</v>
      </c>
      <c r="CP175" s="19">
        <v>0</v>
      </c>
      <c r="CQ175" s="19">
        <v>0</v>
      </c>
      <c r="CR175" s="19">
        <v>0</v>
      </c>
      <c r="CS175" s="19">
        <v>0</v>
      </c>
      <c r="CT175" s="19">
        <v>0</v>
      </c>
      <c r="CU175" s="19">
        <v>0</v>
      </c>
      <c r="CV175" s="17"/>
      <c r="CW175" s="19">
        <v>0</v>
      </c>
      <c r="CX175" s="17"/>
      <c r="CY175" s="17"/>
      <c r="CZ175" s="19">
        <v>0</v>
      </c>
      <c r="DA175" s="17"/>
      <c r="DB175" s="17"/>
      <c r="DC175" s="19">
        <v>100</v>
      </c>
      <c r="DD175" s="17"/>
      <c r="DE175" s="17">
        <v>2958465</v>
      </c>
      <c r="DF175" s="17"/>
      <c r="DG175" s="17"/>
      <c r="DH175" s="19">
        <v>0</v>
      </c>
      <c r="DI175" s="19">
        <v>0</v>
      </c>
    </row>
    <row r="176" spans="1:113" x14ac:dyDescent="0.2">
      <c r="A176" s="14" t="s">
        <v>2315</v>
      </c>
      <c r="B176" s="16" t="s">
        <v>1074</v>
      </c>
      <c r="C176" s="14" t="s">
        <v>158</v>
      </c>
      <c r="D176" s="14" t="s">
        <v>159</v>
      </c>
      <c r="E176" s="14" t="s">
        <v>158</v>
      </c>
      <c r="F176" s="14" t="s">
        <v>2044</v>
      </c>
      <c r="G176" s="14" t="s">
        <v>2045</v>
      </c>
      <c r="H176" s="14" t="s">
        <v>960</v>
      </c>
      <c r="I176" s="14" t="s">
        <v>961</v>
      </c>
      <c r="J176" s="16">
        <f>COUNTIF($I$3:I176, I176)</f>
        <v>4</v>
      </c>
      <c r="K176" s="14" t="s">
        <v>2048</v>
      </c>
      <c r="L176" s="14" t="s">
        <v>2048</v>
      </c>
      <c r="M176" s="14" t="s">
        <v>2048</v>
      </c>
      <c r="N176" s="14" t="s">
        <v>2048</v>
      </c>
      <c r="O176" s="14" t="s">
        <v>3211</v>
      </c>
      <c r="P176" s="14" t="s">
        <v>1076</v>
      </c>
      <c r="Q176" s="14" t="s">
        <v>72</v>
      </c>
      <c r="R176" s="14" t="s">
        <v>2048</v>
      </c>
      <c r="S176" s="14" t="s">
        <v>2048</v>
      </c>
      <c r="T176" s="14" t="s">
        <v>2048</v>
      </c>
      <c r="U176" s="14" t="s">
        <v>2048</v>
      </c>
      <c r="V176" s="14" t="s">
        <v>2050</v>
      </c>
      <c r="W176" s="14" t="s">
        <v>2048</v>
      </c>
      <c r="X176" s="14" t="s">
        <v>2048</v>
      </c>
      <c r="Y176" s="14" t="s">
        <v>2048</v>
      </c>
      <c r="Z176" s="14" t="s">
        <v>2048</v>
      </c>
      <c r="AA176" s="14" t="s">
        <v>2048</v>
      </c>
      <c r="AB176" s="14" t="s">
        <v>85</v>
      </c>
      <c r="AC176" s="14" t="s">
        <v>86</v>
      </c>
      <c r="AD176" s="14" t="s">
        <v>2205</v>
      </c>
      <c r="AE176" s="14" t="s">
        <v>2206</v>
      </c>
      <c r="AF176" s="14" t="s">
        <v>2055</v>
      </c>
      <c r="AG176" s="14" t="s">
        <v>2055</v>
      </c>
      <c r="AH176" s="14" t="s">
        <v>2055</v>
      </c>
      <c r="AI176" s="14" t="s">
        <v>2057</v>
      </c>
      <c r="AJ176" s="14" t="s">
        <v>87</v>
      </c>
      <c r="AK176" s="14" t="s">
        <v>2048</v>
      </c>
      <c r="AL176" s="14" t="s">
        <v>2048</v>
      </c>
      <c r="AM176" s="14" t="s">
        <v>2048</v>
      </c>
      <c r="AN176" s="14" t="s">
        <v>2207</v>
      </c>
      <c r="AO176" s="17" t="s">
        <v>89</v>
      </c>
      <c r="AP176" s="14" t="s">
        <v>2135</v>
      </c>
      <c r="AQ176" s="14" t="s">
        <v>2059</v>
      </c>
      <c r="AR176" s="14" t="s">
        <v>3212</v>
      </c>
      <c r="AS176" s="14" t="s">
        <v>3213</v>
      </c>
      <c r="AT176" s="14" t="s">
        <v>72</v>
      </c>
      <c r="AU176" s="14" t="s">
        <v>2211</v>
      </c>
      <c r="AV176" s="14" t="s">
        <v>2212</v>
      </c>
      <c r="AW176" s="14" t="s">
        <v>2048</v>
      </c>
      <c r="AX176" s="14" t="s">
        <v>2048</v>
      </c>
      <c r="AY176" s="14" t="s">
        <v>960</v>
      </c>
      <c r="AZ176" s="14" t="s">
        <v>1075</v>
      </c>
      <c r="BA176" s="14" t="s">
        <v>3214</v>
      </c>
      <c r="BB176" s="14" t="s">
        <v>2048</v>
      </c>
      <c r="BC176" s="14" t="s">
        <v>2048</v>
      </c>
      <c r="BD176" s="14" t="s">
        <v>3215</v>
      </c>
      <c r="BE176" s="14" t="s">
        <v>3216</v>
      </c>
      <c r="BF176" s="14" t="s">
        <v>3215</v>
      </c>
      <c r="BG176" s="14" t="s">
        <v>3216</v>
      </c>
      <c r="BH176" s="14" t="s">
        <v>3217</v>
      </c>
      <c r="BI176" s="14" t="s">
        <v>2218</v>
      </c>
      <c r="BJ176" s="14" t="s">
        <v>2048</v>
      </c>
      <c r="BK176" s="14" t="s">
        <v>2048</v>
      </c>
      <c r="BL176" s="14" t="s">
        <v>2064</v>
      </c>
      <c r="BM176" s="14" t="s">
        <v>72</v>
      </c>
      <c r="BN176" s="14" t="s">
        <v>72</v>
      </c>
      <c r="BO176" s="14" t="s">
        <v>3218</v>
      </c>
      <c r="BP176" s="14" t="s">
        <v>2219</v>
      </c>
      <c r="BQ176" s="14" t="s">
        <v>2220</v>
      </c>
      <c r="BR176" s="14" t="s">
        <v>2418</v>
      </c>
      <c r="BS176" s="14" t="s">
        <v>2089</v>
      </c>
      <c r="BT176" s="14" t="s">
        <v>2048</v>
      </c>
      <c r="BU176" s="14" t="s">
        <v>2048</v>
      </c>
      <c r="BV176" s="14" t="s">
        <v>2048</v>
      </c>
      <c r="BW176" s="14" t="s">
        <v>2048</v>
      </c>
      <c r="BX176" s="14" t="s">
        <v>72</v>
      </c>
      <c r="BY176" s="14" t="s">
        <v>2048</v>
      </c>
      <c r="BZ176" s="14" t="s">
        <v>2048</v>
      </c>
      <c r="CA176" s="14" t="s">
        <v>2048</v>
      </c>
      <c r="CB176" s="14" t="s">
        <v>2048</v>
      </c>
      <c r="CC176" s="14" t="s">
        <v>2048</v>
      </c>
      <c r="CD176" s="14" t="s">
        <v>2048</v>
      </c>
      <c r="CE176" s="14" t="s">
        <v>2048</v>
      </c>
      <c r="CF176" s="14" t="s">
        <v>2048</v>
      </c>
      <c r="CG176" s="14" t="s">
        <v>2057</v>
      </c>
      <c r="CH176" s="14" t="s">
        <v>2090</v>
      </c>
      <c r="CI176" s="14" t="s">
        <v>2048</v>
      </c>
      <c r="CJ176" s="17"/>
      <c r="CK176" s="17">
        <v>45645</v>
      </c>
      <c r="CL176" s="17">
        <v>45645</v>
      </c>
      <c r="CM176" s="17">
        <v>2958465</v>
      </c>
      <c r="CN176" s="17"/>
      <c r="CO176" s="19">
        <v>0</v>
      </c>
      <c r="CP176" s="19">
        <v>0</v>
      </c>
      <c r="CQ176" s="19">
        <v>0</v>
      </c>
      <c r="CR176" s="19">
        <v>0</v>
      </c>
      <c r="CS176" s="19">
        <v>0</v>
      </c>
      <c r="CT176" s="19">
        <v>0</v>
      </c>
      <c r="CU176" s="19">
        <v>0</v>
      </c>
      <c r="CV176" s="17"/>
      <c r="CW176" s="19">
        <v>0</v>
      </c>
      <c r="CX176" s="17"/>
      <c r="CY176" s="17"/>
      <c r="CZ176" s="19">
        <v>0</v>
      </c>
      <c r="DA176" s="17"/>
      <c r="DB176" s="17"/>
      <c r="DC176" s="19">
        <v>100</v>
      </c>
      <c r="DD176" s="17"/>
      <c r="DE176" s="17">
        <v>2958465</v>
      </c>
      <c r="DF176" s="17"/>
      <c r="DG176" s="17"/>
      <c r="DH176" s="19">
        <v>0</v>
      </c>
      <c r="DI176" s="19">
        <v>0</v>
      </c>
    </row>
    <row r="177" spans="1:113" x14ac:dyDescent="0.2">
      <c r="A177" s="14" t="s">
        <v>2315</v>
      </c>
      <c r="B177" s="16" t="s">
        <v>963</v>
      </c>
      <c r="C177" s="14" t="s">
        <v>158</v>
      </c>
      <c r="D177" s="14" t="s">
        <v>159</v>
      </c>
      <c r="E177" s="14" t="s">
        <v>158</v>
      </c>
      <c r="F177" s="14" t="s">
        <v>2044</v>
      </c>
      <c r="G177" s="14" t="s">
        <v>2045</v>
      </c>
      <c r="H177" s="14" t="s">
        <v>960</v>
      </c>
      <c r="I177" s="14" t="s">
        <v>961</v>
      </c>
      <c r="J177" s="16">
        <f>COUNTIF($I$3:I177, I177)</f>
        <v>5</v>
      </c>
      <c r="K177" s="14" t="s">
        <v>2048</v>
      </c>
      <c r="L177" s="14" t="s">
        <v>2048</v>
      </c>
      <c r="M177" s="14" t="s">
        <v>2048</v>
      </c>
      <c r="N177" s="14" t="s">
        <v>2048</v>
      </c>
      <c r="O177" s="14" t="s">
        <v>3219</v>
      </c>
      <c r="P177" s="14" t="s">
        <v>964</v>
      </c>
      <c r="Q177" s="14" t="s">
        <v>72</v>
      </c>
      <c r="R177" s="14" t="s">
        <v>2048</v>
      </c>
      <c r="S177" s="14" t="s">
        <v>2048</v>
      </c>
      <c r="T177" s="14" t="s">
        <v>2048</v>
      </c>
      <c r="U177" s="14" t="s">
        <v>2048</v>
      </c>
      <c r="V177" s="14" t="s">
        <v>2050</v>
      </c>
      <c r="W177" s="14" t="s">
        <v>2048</v>
      </c>
      <c r="X177" s="14" t="s">
        <v>2048</v>
      </c>
      <c r="Y177" s="14" t="s">
        <v>2048</v>
      </c>
      <c r="Z177" s="14" t="s">
        <v>2048</v>
      </c>
      <c r="AA177" s="14" t="s">
        <v>2048</v>
      </c>
      <c r="AB177" s="14" t="s">
        <v>85</v>
      </c>
      <c r="AC177" s="14" t="s">
        <v>86</v>
      </c>
      <c r="AD177" s="14" t="s">
        <v>2205</v>
      </c>
      <c r="AE177" s="14" t="s">
        <v>2206</v>
      </c>
      <c r="AF177" s="14" t="s">
        <v>2056</v>
      </c>
      <c r="AG177" s="14" t="s">
        <v>2055</v>
      </c>
      <c r="AH177" s="14" t="s">
        <v>2055</v>
      </c>
      <c r="AI177" s="14" t="s">
        <v>2057</v>
      </c>
      <c r="AJ177" s="14" t="s">
        <v>87</v>
      </c>
      <c r="AK177" s="14" t="s">
        <v>2048</v>
      </c>
      <c r="AL177" s="14" t="s">
        <v>2048</v>
      </c>
      <c r="AM177" s="14" t="s">
        <v>2755</v>
      </c>
      <c r="AN177" s="14" t="s">
        <v>2207</v>
      </c>
      <c r="AO177" s="17" t="s">
        <v>89</v>
      </c>
      <c r="AP177" s="14" t="s">
        <v>2135</v>
      </c>
      <c r="AQ177" s="14" t="s">
        <v>3220</v>
      </c>
      <c r="AR177" s="14" t="s">
        <v>2060</v>
      </c>
      <c r="AS177" s="14" t="s">
        <v>2048</v>
      </c>
      <c r="AT177" s="14" t="s">
        <v>72</v>
      </c>
      <c r="AU177" s="14" t="s">
        <v>3221</v>
      </c>
      <c r="AV177" s="14" t="s">
        <v>3222</v>
      </c>
      <c r="AW177" s="14" t="s">
        <v>2048</v>
      </c>
      <c r="AX177" s="14" t="s">
        <v>2048</v>
      </c>
      <c r="AY177" s="14" t="s">
        <v>960</v>
      </c>
      <c r="AZ177" s="14" t="s">
        <v>962</v>
      </c>
      <c r="BA177" s="14" t="s">
        <v>3223</v>
      </c>
      <c r="BB177" s="14" t="s">
        <v>2048</v>
      </c>
      <c r="BC177" s="14" t="s">
        <v>2048</v>
      </c>
      <c r="BD177" s="14" t="s">
        <v>3215</v>
      </c>
      <c r="BE177" s="14" t="s">
        <v>3216</v>
      </c>
      <c r="BF177" s="14" t="s">
        <v>3215</v>
      </c>
      <c r="BG177" s="14" t="s">
        <v>3216</v>
      </c>
      <c r="BH177" s="14" t="s">
        <v>2517</v>
      </c>
      <c r="BI177" s="14" t="s">
        <v>2218</v>
      </c>
      <c r="BJ177" s="14" t="s">
        <v>2048</v>
      </c>
      <c r="BK177" s="14" t="s">
        <v>2518</v>
      </c>
      <c r="BL177" s="14" t="s">
        <v>2064</v>
      </c>
      <c r="BM177" s="14" t="s">
        <v>72</v>
      </c>
      <c r="BN177" s="14" t="s">
        <v>72</v>
      </c>
      <c r="BO177" s="14" t="s">
        <v>3224</v>
      </c>
      <c r="BP177" s="14" t="s">
        <v>2048</v>
      </c>
      <c r="BQ177" s="14" t="s">
        <v>2048</v>
      </c>
      <c r="BR177" s="14" t="s">
        <v>2418</v>
      </c>
      <c r="BS177" s="14" t="s">
        <v>2089</v>
      </c>
      <c r="BT177" s="14" t="s">
        <v>2048</v>
      </c>
      <c r="BU177" s="14" t="s">
        <v>2048</v>
      </c>
      <c r="BV177" s="14" t="s">
        <v>2048</v>
      </c>
      <c r="BW177" s="14" t="s">
        <v>2048</v>
      </c>
      <c r="BX177" s="14" t="s">
        <v>72</v>
      </c>
      <c r="BY177" s="14" t="s">
        <v>2048</v>
      </c>
      <c r="BZ177" s="14" t="s">
        <v>2048</v>
      </c>
      <c r="CA177" s="14" t="s">
        <v>2048</v>
      </c>
      <c r="CB177" s="14" t="s">
        <v>2048</v>
      </c>
      <c r="CC177" s="14" t="s">
        <v>2048</v>
      </c>
      <c r="CD177" s="14" t="s">
        <v>2048</v>
      </c>
      <c r="CE177" s="14" t="s">
        <v>2048</v>
      </c>
      <c r="CF177" s="14" t="s">
        <v>2048</v>
      </c>
      <c r="CG177" s="14" t="s">
        <v>2057</v>
      </c>
      <c r="CH177" s="14" t="s">
        <v>2090</v>
      </c>
      <c r="CI177" s="14" t="s">
        <v>2048</v>
      </c>
      <c r="CJ177" s="17"/>
      <c r="CK177" s="17">
        <v>45645</v>
      </c>
      <c r="CL177" s="17">
        <v>45645</v>
      </c>
      <c r="CM177" s="17">
        <v>2958465</v>
      </c>
      <c r="CN177" s="17"/>
      <c r="CO177" s="19">
        <v>0</v>
      </c>
      <c r="CP177" s="19">
        <v>0</v>
      </c>
      <c r="CQ177" s="19">
        <v>0</v>
      </c>
      <c r="CR177" s="19">
        <v>0</v>
      </c>
      <c r="CS177" s="19">
        <v>0</v>
      </c>
      <c r="CT177" s="19">
        <v>0</v>
      </c>
      <c r="CU177" s="19">
        <v>0</v>
      </c>
      <c r="CV177" s="17"/>
      <c r="CW177" s="19">
        <v>0</v>
      </c>
      <c r="CX177" s="17"/>
      <c r="CY177" s="17"/>
      <c r="CZ177" s="19">
        <v>0</v>
      </c>
      <c r="DA177" s="17"/>
      <c r="DB177" s="17"/>
      <c r="DC177" s="19">
        <v>100</v>
      </c>
      <c r="DD177" s="17"/>
      <c r="DE177" s="17">
        <v>2958465</v>
      </c>
      <c r="DF177" s="17"/>
      <c r="DG177" s="17"/>
      <c r="DH177" s="19">
        <v>0</v>
      </c>
      <c r="DI177" s="19">
        <v>0</v>
      </c>
    </row>
    <row r="178" spans="1:113" x14ac:dyDescent="0.2">
      <c r="A178" s="14" t="s">
        <v>2315</v>
      </c>
      <c r="B178" s="16" t="s">
        <v>519</v>
      </c>
      <c r="C178" s="14" t="s">
        <v>158</v>
      </c>
      <c r="D178" s="14" t="s">
        <v>159</v>
      </c>
      <c r="E178" s="14" t="s">
        <v>158</v>
      </c>
      <c r="F178" s="14" t="s">
        <v>2044</v>
      </c>
      <c r="G178" s="14" t="s">
        <v>2045</v>
      </c>
      <c r="H178" s="14" t="s">
        <v>190</v>
      </c>
      <c r="I178" s="14" t="s">
        <v>191</v>
      </c>
      <c r="J178" s="16">
        <f>COUNTIF($I$3:I178, I178)</f>
        <v>8</v>
      </c>
      <c r="K178" s="14" t="s">
        <v>2048</v>
      </c>
      <c r="L178" s="14" t="s">
        <v>2048</v>
      </c>
      <c r="M178" s="14" t="s">
        <v>2048</v>
      </c>
      <c r="N178" s="14" t="s">
        <v>2048</v>
      </c>
      <c r="O178" s="14" t="s">
        <v>3225</v>
      </c>
      <c r="P178" s="14" t="s">
        <v>520</v>
      </c>
      <c r="Q178" s="14" t="s">
        <v>72</v>
      </c>
      <c r="R178" s="14" t="s">
        <v>2048</v>
      </c>
      <c r="S178" s="14" t="s">
        <v>2048</v>
      </c>
      <c r="T178" s="14" t="s">
        <v>2048</v>
      </c>
      <c r="U178" s="14" t="s">
        <v>2048</v>
      </c>
      <c r="V178" s="14" t="s">
        <v>2050</v>
      </c>
      <c r="W178" s="14" t="s">
        <v>2048</v>
      </c>
      <c r="X178" s="14" t="s">
        <v>2048</v>
      </c>
      <c r="Y178" s="14" t="s">
        <v>2048</v>
      </c>
      <c r="Z178" s="14" t="s">
        <v>2048</v>
      </c>
      <c r="AA178" s="14" t="s">
        <v>2048</v>
      </c>
      <c r="AB178" s="14" t="s">
        <v>85</v>
      </c>
      <c r="AC178" s="14" t="s">
        <v>86</v>
      </c>
      <c r="AD178" s="14" t="s">
        <v>2132</v>
      </c>
      <c r="AE178" s="14" t="s">
        <v>2133</v>
      </c>
      <c r="AF178" s="14" t="s">
        <v>2055</v>
      </c>
      <c r="AG178" s="14" t="s">
        <v>2055</v>
      </c>
      <c r="AH178" s="14" t="s">
        <v>2055</v>
      </c>
      <c r="AI178" s="14" t="s">
        <v>2057</v>
      </c>
      <c r="AJ178" s="14" t="s">
        <v>87</v>
      </c>
      <c r="AK178" s="14" t="s">
        <v>2048</v>
      </c>
      <c r="AL178" s="14" t="s">
        <v>2048</v>
      </c>
      <c r="AM178" s="14" t="s">
        <v>2584</v>
      </c>
      <c r="AN178" s="14" t="s">
        <v>2048</v>
      </c>
      <c r="AO178" s="17" t="s">
        <v>89</v>
      </c>
      <c r="AP178" s="14" t="s">
        <v>2135</v>
      </c>
      <c r="AQ178" s="14" t="s">
        <v>3226</v>
      </c>
      <c r="AR178" s="14" t="s">
        <v>3227</v>
      </c>
      <c r="AS178" s="14" t="s">
        <v>3228</v>
      </c>
      <c r="AT178" s="14" t="s">
        <v>72</v>
      </c>
      <c r="AU178" s="14" t="s">
        <v>2430</v>
      </c>
      <c r="AV178" s="14" t="s">
        <v>2431</v>
      </c>
      <c r="AW178" s="14" t="s">
        <v>2048</v>
      </c>
      <c r="AX178" s="14" t="s">
        <v>2048</v>
      </c>
      <c r="AY178" s="14" t="s">
        <v>190</v>
      </c>
      <c r="AZ178" s="14" t="s">
        <v>194</v>
      </c>
      <c r="BA178" s="14" t="s">
        <v>2759</v>
      </c>
      <c r="BB178" s="14" t="s">
        <v>2048</v>
      </c>
      <c r="BC178" s="14" t="s">
        <v>2048</v>
      </c>
      <c r="BD178" s="14" t="s">
        <v>2433</v>
      </c>
      <c r="BE178" s="14" t="s">
        <v>2434</v>
      </c>
      <c r="BF178" s="14" t="s">
        <v>2048</v>
      </c>
      <c r="BG178" s="14" t="s">
        <v>2048</v>
      </c>
      <c r="BH178" s="14" t="s">
        <v>2437</v>
      </c>
      <c r="BI178" s="14" t="s">
        <v>2287</v>
      </c>
      <c r="BJ178" s="14" t="s">
        <v>2048</v>
      </c>
      <c r="BK178" s="14" t="s">
        <v>2048</v>
      </c>
      <c r="BL178" s="14" t="s">
        <v>2064</v>
      </c>
      <c r="BM178" s="14" t="s">
        <v>72</v>
      </c>
      <c r="BN178" s="14" t="s">
        <v>72</v>
      </c>
      <c r="BO178" s="14" t="s">
        <v>3229</v>
      </c>
      <c r="BP178" s="14" t="s">
        <v>2617</v>
      </c>
      <c r="BQ178" s="14" t="s">
        <v>2618</v>
      </c>
      <c r="BR178" s="14" t="s">
        <v>2418</v>
      </c>
      <c r="BS178" s="14" t="s">
        <v>2089</v>
      </c>
      <c r="BT178" s="14" t="s">
        <v>2048</v>
      </c>
      <c r="BU178" s="14" t="s">
        <v>2048</v>
      </c>
      <c r="BV178" s="14" t="s">
        <v>2048</v>
      </c>
      <c r="BW178" s="14" t="s">
        <v>2048</v>
      </c>
      <c r="BX178" s="14" t="s">
        <v>72</v>
      </c>
      <c r="BY178" s="14" t="s">
        <v>2048</v>
      </c>
      <c r="BZ178" s="14" t="s">
        <v>2048</v>
      </c>
      <c r="CA178" s="14" t="s">
        <v>2048</v>
      </c>
      <c r="CB178" s="14" t="s">
        <v>2048</v>
      </c>
      <c r="CC178" s="14" t="s">
        <v>2048</v>
      </c>
      <c r="CD178" s="14" t="s">
        <v>2048</v>
      </c>
      <c r="CE178" s="14" t="s">
        <v>2048</v>
      </c>
      <c r="CF178" s="14" t="s">
        <v>2048</v>
      </c>
      <c r="CG178" s="14" t="s">
        <v>2057</v>
      </c>
      <c r="CH178" s="14" t="s">
        <v>2090</v>
      </c>
      <c r="CI178" s="14" t="s">
        <v>2048</v>
      </c>
      <c r="CJ178" s="17"/>
      <c r="CK178" s="17">
        <v>45646</v>
      </c>
      <c r="CL178" s="17">
        <v>45646</v>
      </c>
      <c r="CM178" s="17">
        <v>2958465</v>
      </c>
      <c r="CN178" s="17"/>
      <c r="CO178" s="19">
        <v>0</v>
      </c>
      <c r="CP178" s="19">
        <v>0</v>
      </c>
      <c r="CQ178" s="19">
        <v>0</v>
      </c>
      <c r="CR178" s="19">
        <v>0</v>
      </c>
      <c r="CS178" s="19">
        <v>0</v>
      </c>
      <c r="CT178" s="19">
        <v>0</v>
      </c>
      <c r="CU178" s="19">
        <v>0</v>
      </c>
      <c r="CV178" s="17"/>
      <c r="CW178" s="19">
        <v>0</v>
      </c>
      <c r="CX178" s="17"/>
      <c r="CY178" s="17"/>
      <c r="CZ178" s="19">
        <v>0</v>
      </c>
      <c r="DA178" s="17"/>
      <c r="DB178" s="17"/>
      <c r="DC178" s="19">
        <v>100</v>
      </c>
      <c r="DD178" s="17"/>
      <c r="DE178" s="17">
        <v>2958465</v>
      </c>
      <c r="DF178" s="17"/>
      <c r="DG178" s="17"/>
      <c r="DH178" s="19">
        <v>0</v>
      </c>
      <c r="DI178" s="19">
        <v>0</v>
      </c>
    </row>
    <row r="179" spans="1:113" x14ac:dyDescent="0.2">
      <c r="A179" s="14" t="s">
        <v>2315</v>
      </c>
      <c r="B179" s="16" t="s">
        <v>193</v>
      </c>
      <c r="C179" s="14" t="s">
        <v>158</v>
      </c>
      <c r="D179" s="14" t="s">
        <v>159</v>
      </c>
      <c r="E179" s="14" t="s">
        <v>158</v>
      </c>
      <c r="F179" s="14" t="s">
        <v>2044</v>
      </c>
      <c r="G179" s="14" t="s">
        <v>2045</v>
      </c>
      <c r="H179" s="14" t="s">
        <v>190</v>
      </c>
      <c r="I179" s="14" t="s">
        <v>191</v>
      </c>
      <c r="J179" s="16">
        <f>COUNTIF($I$3:I179, I179)</f>
        <v>9</v>
      </c>
      <c r="K179" s="14" t="s">
        <v>2048</v>
      </c>
      <c r="L179" s="14" t="s">
        <v>2048</v>
      </c>
      <c r="M179" s="14" t="s">
        <v>2048</v>
      </c>
      <c r="N179" s="14" t="s">
        <v>2048</v>
      </c>
      <c r="O179" s="14" t="s">
        <v>3230</v>
      </c>
      <c r="P179" s="14" t="s">
        <v>195</v>
      </c>
      <c r="Q179" s="14" t="s">
        <v>72</v>
      </c>
      <c r="R179" s="14" t="s">
        <v>2048</v>
      </c>
      <c r="S179" s="14" t="s">
        <v>2048</v>
      </c>
      <c r="T179" s="14" t="s">
        <v>2048</v>
      </c>
      <c r="U179" s="14" t="s">
        <v>2048</v>
      </c>
      <c r="V179" s="14" t="s">
        <v>2050</v>
      </c>
      <c r="W179" s="14" t="s">
        <v>2048</v>
      </c>
      <c r="X179" s="14" t="s">
        <v>2048</v>
      </c>
      <c r="Y179" s="14" t="s">
        <v>2048</v>
      </c>
      <c r="Z179" s="14" t="s">
        <v>2048</v>
      </c>
      <c r="AA179" s="14" t="s">
        <v>2048</v>
      </c>
      <c r="AB179" s="14" t="s">
        <v>85</v>
      </c>
      <c r="AC179" s="14" t="s">
        <v>86</v>
      </c>
      <c r="AD179" s="14" t="s">
        <v>2132</v>
      </c>
      <c r="AE179" s="14" t="s">
        <v>2133</v>
      </c>
      <c r="AF179" s="14" t="s">
        <v>2055</v>
      </c>
      <c r="AG179" s="14" t="s">
        <v>2055</v>
      </c>
      <c r="AH179" s="14" t="s">
        <v>2055</v>
      </c>
      <c r="AI179" s="14" t="s">
        <v>2057</v>
      </c>
      <c r="AJ179" s="14" t="s">
        <v>87</v>
      </c>
      <c r="AK179" s="14" t="s">
        <v>2048</v>
      </c>
      <c r="AL179" s="14" t="s">
        <v>2048</v>
      </c>
      <c r="AM179" s="14" t="s">
        <v>2048</v>
      </c>
      <c r="AN179" s="14" t="s">
        <v>2751</v>
      </c>
      <c r="AO179" s="17" t="s">
        <v>89</v>
      </c>
      <c r="AP179" s="14" t="s">
        <v>2135</v>
      </c>
      <c r="AQ179" s="14" t="s">
        <v>948</v>
      </c>
      <c r="AR179" s="14" t="s">
        <v>3231</v>
      </c>
      <c r="AS179" s="14" t="s">
        <v>3232</v>
      </c>
      <c r="AT179" s="14" t="s">
        <v>72</v>
      </c>
      <c r="AU179" s="14" t="s">
        <v>2430</v>
      </c>
      <c r="AV179" s="14" t="s">
        <v>2431</v>
      </c>
      <c r="AW179" s="14" t="s">
        <v>2048</v>
      </c>
      <c r="AX179" s="14" t="s">
        <v>2048</v>
      </c>
      <c r="AY179" s="14" t="s">
        <v>190</v>
      </c>
      <c r="AZ179" s="14" t="s">
        <v>194</v>
      </c>
      <c r="BA179" s="14" t="s">
        <v>2759</v>
      </c>
      <c r="BB179" s="14" t="s">
        <v>2048</v>
      </c>
      <c r="BC179" s="14" t="s">
        <v>2048</v>
      </c>
      <c r="BD179" s="14" t="s">
        <v>2433</v>
      </c>
      <c r="BE179" s="14" t="s">
        <v>2434</v>
      </c>
      <c r="BF179" s="14" t="s">
        <v>2048</v>
      </c>
      <c r="BG179" s="14" t="s">
        <v>2048</v>
      </c>
      <c r="BH179" s="14" t="s">
        <v>2437</v>
      </c>
      <c r="BI179" s="14" t="s">
        <v>2287</v>
      </c>
      <c r="BJ179" s="14" t="s">
        <v>2048</v>
      </c>
      <c r="BK179" s="14" t="s">
        <v>2518</v>
      </c>
      <c r="BL179" s="14" t="s">
        <v>2064</v>
      </c>
      <c r="BM179" s="14" t="s">
        <v>72</v>
      </c>
      <c r="BN179" s="14" t="s">
        <v>72</v>
      </c>
      <c r="BO179" s="14" t="s">
        <v>3233</v>
      </c>
      <c r="BP179" s="14" t="s">
        <v>2986</v>
      </c>
      <c r="BQ179" s="14" t="s">
        <v>2987</v>
      </c>
      <c r="BR179" s="14" t="s">
        <v>2418</v>
      </c>
      <c r="BS179" s="14" t="s">
        <v>2089</v>
      </c>
      <c r="BT179" s="14" t="s">
        <v>2048</v>
      </c>
      <c r="BU179" s="14" t="s">
        <v>2048</v>
      </c>
      <c r="BV179" s="14" t="s">
        <v>2048</v>
      </c>
      <c r="BW179" s="14" t="s">
        <v>2048</v>
      </c>
      <c r="BX179" s="14" t="s">
        <v>72</v>
      </c>
      <c r="BY179" s="14" t="s">
        <v>2048</v>
      </c>
      <c r="BZ179" s="14" t="s">
        <v>2048</v>
      </c>
      <c r="CA179" s="14" t="s">
        <v>2048</v>
      </c>
      <c r="CB179" s="14" t="s">
        <v>2048</v>
      </c>
      <c r="CC179" s="14" t="s">
        <v>2048</v>
      </c>
      <c r="CD179" s="14" t="s">
        <v>2048</v>
      </c>
      <c r="CE179" s="14" t="s">
        <v>2048</v>
      </c>
      <c r="CF179" s="14" t="s">
        <v>2048</v>
      </c>
      <c r="CG179" s="14" t="s">
        <v>2057</v>
      </c>
      <c r="CH179" s="14" t="s">
        <v>2090</v>
      </c>
      <c r="CI179" s="14" t="s">
        <v>2048</v>
      </c>
      <c r="CJ179" s="17"/>
      <c r="CK179" s="17">
        <v>45646</v>
      </c>
      <c r="CL179" s="17">
        <v>45646</v>
      </c>
      <c r="CM179" s="17">
        <v>2958465</v>
      </c>
      <c r="CN179" s="17"/>
      <c r="CO179" s="19">
        <v>0</v>
      </c>
      <c r="CP179" s="19">
        <v>0</v>
      </c>
      <c r="CQ179" s="19">
        <v>0</v>
      </c>
      <c r="CR179" s="19">
        <v>0</v>
      </c>
      <c r="CS179" s="19">
        <v>0</v>
      </c>
      <c r="CT179" s="19">
        <v>0</v>
      </c>
      <c r="CU179" s="19">
        <v>0</v>
      </c>
      <c r="CV179" s="17"/>
      <c r="CW179" s="19">
        <v>0</v>
      </c>
      <c r="CX179" s="17"/>
      <c r="CY179" s="17"/>
      <c r="CZ179" s="19">
        <v>0</v>
      </c>
      <c r="DA179" s="17"/>
      <c r="DB179" s="17"/>
      <c r="DC179" s="19">
        <v>100</v>
      </c>
      <c r="DD179" s="17"/>
      <c r="DE179" s="17">
        <v>2958465</v>
      </c>
      <c r="DF179" s="17"/>
      <c r="DG179" s="17"/>
      <c r="DH179" s="19">
        <v>0</v>
      </c>
      <c r="DI179" s="19">
        <v>0</v>
      </c>
    </row>
    <row r="180" spans="1:113" x14ac:dyDescent="0.2">
      <c r="A180" s="14" t="s">
        <v>2315</v>
      </c>
      <c r="B180" s="16" t="s">
        <v>488</v>
      </c>
      <c r="C180" s="14" t="s">
        <v>158</v>
      </c>
      <c r="D180" s="14" t="s">
        <v>159</v>
      </c>
      <c r="E180" s="14" t="s">
        <v>158</v>
      </c>
      <c r="F180" s="14" t="s">
        <v>2044</v>
      </c>
      <c r="G180" s="14" t="s">
        <v>2045</v>
      </c>
      <c r="H180" s="14" t="s">
        <v>190</v>
      </c>
      <c r="I180" s="14" t="s">
        <v>191</v>
      </c>
      <c r="J180" s="16">
        <f>COUNTIF($I$3:I180, I180)</f>
        <v>10</v>
      </c>
      <c r="K180" s="14" t="s">
        <v>2048</v>
      </c>
      <c r="L180" s="14" t="s">
        <v>2048</v>
      </c>
      <c r="M180" s="14" t="s">
        <v>2048</v>
      </c>
      <c r="N180" s="14" t="s">
        <v>2048</v>
      </c>
      <c r="O180" s="14" t="s">
        <v>3234</v>
      </c>
      <c r="P180" s="14" t="s">
        <v>489</v>
      </c>
      <c r="Q180" s="14" t="s">
        <v>72</v>
      </c>
      <c r="R180" s="14" t="s">
        <v>2048</v>
      </c>
      <c r="S180" s="14" t="s">
        <v>2048</v>
      </c>
      <c r="T180" s="14" t="s">
        <v>2048</v>
      </c>
      <c r="U180" s="14" t="s">
        <v>2048</v>
      </c>
      <c r="V180" s="14" t="s">
        <v>2050</v>
      </c>
      <c r="W180" s="14" t="s">
        <v>2048</v>
      </c>
      <c r="X180" s="14" t="s">
        <v>2048</v>
      </c>
      <c r="Y180" s="14" t="s">
        <v>2048</v>
      </c>
      <c r="Z180" s="14" t="s">
        <v>2048</v>
      </c>
      <c r="AA180" s="14" t="s">
        <v>2048</v>
      </c>
      <c r="AB180" s="14" t="s">
        <v>85</v>
      </c>
      <c r="AC180" s="14" t="s">
        <v>86</v>
      </c>
      <c r="AD180" s="14" t="s">
        <v>2132</v>
      </c>
      <c r="AE180" s="14" t="s">
        <v>2133</v>
      </c>
      <c r="AF180" s="14" t="s">
        <v>2055</v>
      </c>
      <c r="AG180" s="14" t="s">
        <v>2055</v>
      </c>
      <c r="AH180" s="14" t="s">
        <v>2055</v>
      </c>
      <c r="AI180" s="14" t="s">
        <v>2057</v>
      </c>
      <c r="AJ180" s="14" t="s">
        <v>87</v>
      </c>
      <c r="AK180" s="14" t="s">
        <v>2048</v>
      </c>
      <c r="AL180" s="14" t="s">
        <v>2048</v>
      </c>
      <c r="AM180" s="14" t="s">
        <v>2048</v>
      </c>
      <c r="AN180" s="14" t="s">
        <v>2751</v>
      </c>
      <c r="AO180" s="17" t="s">
        <v>89</v>
      </c>
      <c r="AP180" s="14" t="s">
        <v>2135</v>
      </c>
      <c r="AQ180" s="14" t="s">
        <v>3235</v>
      </c>
      <c r="AR180" s="14" t="s">
        <v>3236</v>
      </c>
      <c r="AS180" s="14" t="s">
        <v>3237</v>
      </c>
      <c r="AT180" s="14" t="s">
        <v>72</v>
      </c>
      <c r="AU180" s="14" t="s">
        <v>2993</v>
      </c>
      <c r="AV180" s="14" t="s">
        <v>2994</v>
      </c>
      <c r="AW180" s="14" t="s">
        <v>2048</v>
      </c>
      <c r="AX180" s="14" t="s">
        <v>2048</v>
      </c>
      <c r="AY180" s="14" t="s">
        <v>190</v>
      </c>
      <c r="AZ180" s="14" t="s">
        <v>477</v>
      </c>
      <c r="BA180" s="14" t="s">
        <v>3238</v>
      </c>
      <c r="BB180" s="14" t="s">
        <v>2048</v>
      </c>
      <c r="BC180" s="14" t="s">
        <v>2048</v>
      </c>
      <c r="BD180" s="14" t="s">
        <v>2433</v>
      </c>
      <c r="BE180" s="14" t="s">
        <v>2434</v>
      </c>
      <c r="BF180" s="14" t="s">
        <v>2048</v>
      </c>
      <c r="BG180" s="14" t="s">
        <v>2048</v>
      </c>
      <c r="BH180" s="14" t="s">
        <v>3047</v>
      </c>
      <c r="BI180" s="14" t="s">
        <v>2287</v>
      </c>
      <c r="BJ180" s="14" t="s">
        <v>2048</v>
      </c>
      <c r="BK180" s="14" t="s">
        <v>2518</v>
      </c>
      <c r="BL180" s="14" t="s">
        <v>2064</v>
      </c>
      <c r="BM180" s="14" t="s">
        <v>72</v>
      </c>
      <c r="BN180" s="14" t="s">
        <v>72</v>
      </c>
      <c r="BO180" s="14" t="s">
        <v>3239</v>
      </c>
      <c r="BP180" s="14" t="s">
        <v>2986</v>
      </c>
      <c r="BQ180" s="14" t="s">
        <v>2987</v>
      </c>
      <c r="BR180" s="14" t="s">
        <v>2418</v>
      </c>
      <c r="BS180" s="14" t="s">
        <v>2089</v>
      </c>
      <c r="BT180" s="14" t="s">
        <v>2048</v>
      </c>
      <c r="BU180" s="14" t="s">
        <v>2048</v>
      </c>
      <c r="BV180" s="14" t="s">
        <v>2048</v>
      </c>
      <c r="BW180" s="14" t="s">
        <v>2048</v>
      </c>
      <c r="BX180" s="14" t="s">
        <v>72</v>
      </c>
      <c r="BY180" s="14" t="s">
        <v>2048</v>
      </c>
      <c r="BZ180" s="14" t="s">
        <v>2048</v>
      </c>
      <c r="CA180" s="14" t="s">
        <v>2048</v>
      </c>
      <c r="CB180" s="14" t="s">
        <v>2048</v>
      </c>
      <c r="CC180" s="14" t="s">
        <v>2048</v>
      </c>
      <c r="CD180" s="14" t="s">
        <v>2048</v>
      </c>
      <c r="CE180" s="14" t="s">
        <v>2048</v>
      </c>
      <c r="CF180" s="14" t="s">
        <v>2048</v>
      </c>
      <c r="CG180" s="14" t="s">
        <v>2057</v>
      </c>
      <c r="CH180" s="14" t="s">
        <v>2090</v>
      </c>
      <c r="CI180" s="14" t="s">
        <v>2048</v>
      </c>
      <c r="CJ180" s="17"/>
      <c r="CK180" s="17">
        <v>45646</v>
      </c>
      <c r="CL180" s="17">
        <v>45646</v>
      </c>
      <c r="CM180" s="17">
        <v>2958465</v>
      </c>
      <c r="CN180" s="17"/>
      <c r="CO180" s="19">
        <v>0</v>
      </c>
      <c r="CP180" s="19">
        <v>0</v>
      </c>
      <c r="CQ180" s="19">
        <v>0</v>
      </c>
      <c r="CR180" s="19">
        <v>0</v>
      </c>
      <c r="CS180" s="19">
        <v>0</v>
      </c>
      <c r="CT180" s="19">
        <v>0</v>
      </c>
      <c r="CU180" s="19">
        <v>0</v>
      </c>
      <c r="CV180" s="17"/>
      <c r="CW180" s="19">
        <v>0</v>
      </c>
      <c r="CX180" s="17"/>
      <c r="CY180" s="17"/>
      <c r="CZ180" s="19">
        <v>0</v>
      </c>
      <c r="DA180" s="17"/>
      <c r="DB180" s="17"/>
      <c r="DC180" s="19">
        <v>100</v>
      </c>
      <c r="DD180" s="17"/>
      <c r="DE180" s="17">
        <v>2958465</v>
      </c>
      <c r="DF180" s="17"/>
      <c r="DG180" s="17"/>
      <c r="DH180" s="19">
        <v>0</v>
      </c>
      <c r="DI180" s="19">
        <v>0</v>
      </c>
    </row>
    <row r="181" spans="1:113" x14ac:dyDescent="0.2">
      <c r="A181" s="14" t="s">
        <v>2315</v>
      </c>
      <c r="B181" s="16" t="s">
        <v>330</v>
      </c>
      <c r="C181" s="14" t="s">
        <v>158</v>
      </c>
      <c r="D181" s="14" t="s">
        <v>159</v>
      </c>
      <c r="E181" s="14" t="s">
        <v>158</v>
      </c>
      <c r="F181" s="14" t="s">
        <v>2044</v>
      </c>
      <c r="G181" s="14" t="s">
        <v>2045</v>
      </c>
      <c r="H181" s="14" t="s">
        <v>190</v>
      </c>
      <c r="I181" s="14" t="s">
        <v>191</v>
      </c>
      <c r="J181" s="16">
        <f>COUNTIF($I$3:I181, I181)</f>
        <v>11</v>
      </c>
      <c r="K181" s="14" t="s">
        <v>2048</v>
      </c>
      <c r="L181" s="14" t="s">
        <v>2048</v>
      </c>
      <c r="M181" s="14" t="s">
        <v>2048</v>
      </c>
      <c r="N181" s="14" t="s">
        <v>2048</v>
      </c>
      <c r="O181" s="14" t="s">
        <v>3240</v>
      </c>
      <c r="P181" s="14" t="s">
        <v>332</v>
      </c>
      <c r="Q181" s="14" t="s">
        <v>72</v>
      </c>
      <c r="R181" s="14" t="s">
        <v>2048</v>
      </c>
      <c r="S181" s="14" t="s">
        <v>2048</v>
      </c>
      <c r="T181" s="14" t="s">
        <v>2048</v>
      </c>
      <c r="U181" s="14" t="s">
        <v>2048</v>
      </c>
      <c r="V181" s="14" t="s">
        <v>2050</v>
      </c>
      <c r="W181" s="14" t="s">
        <v>2048</v>
      </c>
      <c r="X181" s="14" t="s">
        <v>2048</v>
      </c>
      <c r="Y181" s="14" t="s">
        <v>2048</v>
      </c>
      <c r="Z181" s="14" t="s">
        <v>2048</v>
      </c>
      <c r="AA181" s="14" t="s">
        <v>2048</v>
      </c>
      <c r="AB181" s="14" t="s">
        <v>85</v>
      </c>
      <c r="AC181" s="14" t="s">
        <v>86</v>
      </c>
      <c r="AD181" s="14" t="s">
        <v>2132</v>
      </c>
      <c r="AE181" s="14" t="s">
        <v>2133</v>
      </c>
      <c r="AF181" s="14" t="s">
        <v>2055</v>
      </c>
      <c r="AG181" s="14" t="s">
        <v>2055</v>
      </c>
      <c r="AH181" s="14" t="s">
        <v>2055</v>
      </c>
      <c r="AI181" s="14" t="s">
        <v>2057</v>
      </c>
      <c r="AJ181" s="14" t="s">
        <v>87</v>
      </c>
      <c r="AK181" s="14" t="s">
        <v>2048</v>
      </c>
      <c r="AL181" s="14" t="s">
        <v>2048</v>
      </c>
      <c r="AM181" s="14" t="s">
        <v>2755</v>
      </c>
      <c r="AN181" s="14" t="s">
        <v>3241</v>
      </c>
      <c r="AO181" s="17" t="s">
        <v>89</v>
      </c>
      <c r="AP181" s="14" t="s">
        <v>2135</v>
      </c>
      <c r="AQ181" s="14" t="s">
        <v>3242</v>
      </c>
      <c r="AR181" s="14" t="s">
        <v>3243</v>
      </c>
      <c r="AS181" s="14" t="s">
        <v>3244</v>
      </c>
      <c r="AT181" s="14" t="s">
        <v>72</v>
      </c>
      <c r="AU181" s="14" t="s">
        <v>2573</v>
      </c>
      <c r="AV181" s="14" t="s">
        <v>2574</v>
      </c>
      <c r="AW181" s="14" t="s">
        <v>2048</v>
      </c>
      <c r="AX181" s="14" t="s">
        <v>2048</v>
      </c>
      <c r="AY181" s="14" t="s">
        <v>190</v>
      </c>
      <c r="AZ181" s="14" t="s">
        <v>331</v>
      </c>
      <c r="BA181" s="14" t="s">
        <v>3245</v>
      </c>
      <c r="BB181" s="14" t="s">
        <v>2048</v>
      </c>
      <c r="BC181" s="14" t="s">
        <v>2048</v>
      </c>
      <c r="BD181" s="14" t="s">
        <v>2433</v>
      </c>
      <c r="BE181" s="14" t="s">
        <v>2434</v>
      </c>
      <c r="BF181" s="14" t="s">
        <v>2048</v>
      </c>
      <c r="BG181" s="14" t="s">
        <v>2048</v>
      </c>
      <c r="BH181" s="14" t="s">
        <v>3047</v>
      </c>
      <c r="BI181" s="14" t="s">
        <v>2287</v>
      </c>
      <c r="BJ181" s="14" t="s">
        <v>2048</v>
      </c>
      <c r="BK181" s="14" t="s">
        <v>2048</v>
      </c>
      <c r="BL181" s="14" t="s">
        <v>2064</v>
      </c>
      <c r="BM181" s="14" t="s">
        <v>72</v>
      </c>
      <c r="BN181" s="14" t="s">
        <v>72</v>
      </c>
      <c r="BO181" s="14" t="s">
        <v>3246</v>
      </c>
      <c r="BP181" s="14" t="s">
        <v>3247</v>
      </c>
      <c r="BQ181" s="14" t="s">
        <v>3248</v>
      </c>
      <c r="BR181" s="14" t="s">
        <v>2418</v>
      </c>
      <c r="BS181" s="14" t="s">
        <v>2089</v>
      </c>
      <c r="BT181" s="14" t="s">
        <v>2048</v>
      </c>
      <c r="BU181" s="14" t="s">
        <v>2048</v>
      </c>
      <c r="BV181" s="14" t="s">
        <v>2048</v>
      </c>
      <c r="BW181" s="14" t="s">
        <v>2048</v>
      </c>
      <c r="BX181" s="14" t="s">
        <v>72</v>
      </c>
      <c r="BY181" s="14" t="s">
        <v>2048</v>
      </c>
      <c r="BZ181" s="14" t="s">
        <v>2048</v>
      </c>
      <c r="CA181" s="14" t="s">
        <v>2048</v>
      </c>
      <c r="CB181" s="14" t="s">
        <v>2048</v>
      </c>
      <c r="CC181" s="14" t="s">
        <v>2048</v>
      </c>
      <c r="CD181" s="14" t="s">
        <v>2048</v>
      </c>
      <c r="CE181" s="14" t="s">
        <v>2048</v>
      </c>
      <c r="CF181" s="14" t="s">
        <v>2048</v>
      </c>
      <c r="CG181" s="14" t="s">
        <v>2057</v>
      </c>
      <c r="CH181" s="14" t="s">
        <v>2090</v>
      </c>
      <c r="CI181" s="14" t="s">
        <v>2048</v>
      </c>
      <c r="CJ181" s="17"/>
      <c r="CK181" s="17">
        <v>45646</v>
      </c>
      <c r="CL181" s="17">
        <v>45646</v>
      </c>
      <c r="CM181" s="17">
        <v>2958465</v>
      </c>
      <c r="CN181" s="17"/>
      <c r="CO181" s="19">
        <v>0</v>
      </c>
      <c r="CP181" s="19">
        <v>0</v>
      </c>
      <c r="CQ181" s="19">
        <v>0</v>
      </c>
      <c r="CR181" s="19">
        <v>0</v>
      </c>
      <c r="CS181" s="19">
        <v>0</v>
      </c>
      <c r="CT181" s="19">
        <v>0</v>
      </c>
      <c r="CU181" s="19">
        <v>0</v>
      </c>
      <c r="CV181" s="17"/>
      <c r="CW181" s="19">
        <v>0</v>
      </c>
      <c r="CX181" s="17"/>
      <c r="CY181" s="17"/>
      <c r="CZ181" s="19">
        <v>0</v>
      </c>
      <c r="DA181" s="17"/>
      <c r="DB181" s="17"/>
      <c r="DC181" s="19">
        <v>100</v>
      </c>
      <c r="DD181" s="17"/>
      <c r="DE181" s="17">
        <v>46752</v>
      </c>
      <c r="DF181" s="17"/>
      <c r="DG181" s="17"/>
      <c r="DH181" s="19">
        <v>0</v>
      </c>
      <c r="DI181" s="19">
        <v>0</v>
      </c>
    </row>
    <row r="182" spans="1:113" x14ac:dyDescent="0.2">
      <c r="A182" s="14" t="s">
        <v>2315</v>
      </c>
      <c r="B182" s="16" t="s">
        <v>949</v>
      </c>
      <c r="C182" s="14" t="s">
        <v>158</v>
      </c>
      <c r="D182" s="14" t="s">
        <v>159</v>
      </c>
      <c r="E182" s="14" t="s">
        <v>158</v>
      </c>
      <c r="F182" s="14" t="s">
        <v>2044</v>
      </c>
      <c r="G182" s="14" t="s">
        <v>2045</v>
      </c>
      <c r="H182" s="14" t="s">
        <v>190</v>
      </c>
      <c r="I182" s="14" t="s">
        <v>191</v>
      </c>
      <c r="J182" s="16">
        <f>COUNTIF($I$3:I182, I182)</f>
        <v>12</v>
      </c>
      <c r="K182" s="14" t="s">
        <v>2048</v>
      </c>
      <c r="L182" s="14" t="s">
        <v>2048</v>
      </c>
      <c r="M182" s="14" t="s">
        <v>2048</v>
      </c>
      <c r="N182" s="14" t="s">
        <v>2048</v>
      </c>
      <c r="O182" s="14" t="s">
        <v>3249</v>
      </c>
      <c r="P182" s="14" t="s">
        <v>950</v>
      </c>
      <c r="Q182" s="14" t="s">
        <v>72</v>
      </c>
      <c r="R182" s="14" t="s">
        <v>2048</v>
      </c>
      <c r="S182" s="14" t="s">
        <v>2048</v>
      </c>
      <c r="T182" s="14" t="s">
        <v>2048</v>
      </c>
      <c r="U182" s="14" t="s">
        <v>2048</v>
      </c>
      <c r="V182" s="14" t="s">
        <v>2050</v>
      </c>
      <c r="W182" s="14" t="s">
        <v>2048</v>
      </c>
      <c r="X182" s="14" t="s">
        <v>2048</v>
      </c>
      <c r="Y182" s="14" t="s">
        <v>2048</v>
      </c>
      <c r="Z182" s="14" t="s">
        <v>2048</v>
      </c>
      <c r="AA182" s="14" t="s">
        <v>2048</v>
      </c>
      <c r="AB182" s="14" t="s">
        <v>85</v>
      </c>
      <c r="AC182" s="14" t="s">
        <v>86</v>
      </c>
      <c r="AD182" s="14" t="s">
        <v>2132</v>
      </c>
      <c r="AE182" s="14" t="s">
        <v>2133</v>
      </c>
      <c r="AF182" s="14" t="s">
        <v>2055</v>
      </c>
      <c r="AG182" s="14" t="s">
        <v>2055</v>
      </c>
      <c r="AH182" s="14" t="s">
        <v>2055</v>
      </c>
      <c r="AI182" s="14" t="s">
        <v>2057</v>
      </c>
      <c r="AJ182" s="14" t="s">
        <v>87</v>
      </c>
      <c r="AK182" s="14" t="s">
        <v>2048</v>
      </c>
      <c r="AL182" s="14" t="s">
        <v>2048</v>
      </c>
      <c r="AM182" s="14" t="s">
        <v>2584</v>
      </c>
      <c r="AN182" s="14" t="s">
        <v>2751</v>
      </c>
      <c r="AO182" s="17" t="s">
        <v>89</v>
      </c>
      <c r="AP182" s="14" t="s">
        <v>2135</v>
      </c>
      <c r="AQ182" s="14" t="s">
        <v>3250</v>
      </c>
      <c r="AR182" s="14" t="s">
        <v>3251</v>
      </c>
      <c r="AS182" s="14" t="s">
        <v>3252</v>
      </c>
      <c r="AT182" s="14" t="s">
        <v>72</v>
      </c>
      <c r="AU182" s="14" t="s">
        <v>2993</v>
      </c>
      <c r="AV182" s="14" t="s">
        <v>2994</v>
      </c>
      <c r="AW182" s="14" t="s">
        <v>2048</v>
      </c>
      <c r="AX182" s="14" t="s">
        <v>2048</v>
      </c>
      <c r="AY182" s="14" t="s">
        <v>190</v>
      </c>
      <c r="AZ182" s="14" t="s">
        <v>477</v>
      </c>
      <c r="BA182" s="14" t="s">
        <v>3238</v>
      </c>
      <c r="BB182" s="14" t="s">
        <v>2048</v>
      </c>
      <c r="BC182" s="14" t="s">
        <v>2048</v>
      </c>
      <c r="BD182" s="14" t="s">
        <v>2433</v>
      </c>
      <c r="BE182" s="14" t="s">
        <v>2434</v>
      </c>
      <c r="BF182" s="14" t="s">
        <v>2048</v>
      </c>
      <c r="BG182" s="14" t="s">
        <v>2048</v>
      </c>
      <c r="BH182" s="14" t="s">
        <v>3047</v>
      </c>
      <c r="BI182" s="14" t="s">
        <v>2287</v>
      </c>
      <c r="BJ182" s="14" t="s">
        <v>2048</v>
      </c>
      <c r="BK182" s="14" t="s">
        <v>2518</v>
      </c>
      <c r="BL182" s="14" t="s">
        <v>2064</v>
      </c>
      <c r="BM182" s="14" t="s">
        <v>72</v>
      </c>
      <c r="BN182" s="14" t="s">
        <v>72</v>
      </c>
      <c r="BO182" s="14" t="s">
        <v>3253</v>
      </c>
      <c r="BP182" s="14" t="s">
        <v>2986</v>
      </c>
      <c r="BQ182" s="14" t="s">
        <v>2987</v>
      </c>
      <c r="BR182" s="14" t="s">
        <v>2418</v>
      </c>
      <c r="BS182" s="14" t="s">
        <v>2089</v>
      </c>
      <c r="BT182" s="14" t="s">
        <v>2048</v>
      </c>
      <c r="BU182" s="14" t="s">
        <v>2048</v>
      </c>
      <c r="BV182" s="14" t="s">
        <v>2048</v>
      </c>
      <c r="BW182" s="14" t="s">
        <v>2048</v>
      </c>
      <c r="BX182" s="14" t="s">
        <v>72</v>
      </c>
      <c r="BY182" s="14" t="s">
        <v>2048</v>
      </c>
      <c r="BZ182" s="14" t="s">
        <v>2048</v>
      </c>
      <c r="CA182" s="14" t="s">
        <v>2048</v>
      </c>
      <c r="CB182" s="14" t="s">
        <v>2048</v>
      </c>
      <c r="CC182" s="14" t="s">
        <v>2048</v>
      </c>
      <c r="CD182" s="14" t="s">
        <v>2048</v>
      </c>
      <c r="CE182" s="14" t="s">
        <v>2048</v>
      </c>
      <c r="CF182" s="14" t="s">
        <v>2048</v>
      </c>
      <c r="CG182" s="14" t="s">
        <v>2057</v>
      </c>
      <c r="CH182" s="14" t="s">
        <v>2090</v>
      </c>
      <c r="CI182" s="14" t="s">
        <v>2048</v>
      </c>
      <c r="CJ182" s="17"/>
      <c r="CK182" s="17">
        <v>45646</v>
      </c>
      <c r="CL182" s="17">
        <v>45646</v>
      </c>
      <c r="CM182" s="17">
        <v>2958465</v>
      </c>
      <c r="CN182" s="17"/>
      <c r="CO182" s="19">
        <v>0</v>
      </c>
      <c r="CP182" s="19">
        <v>0</v>
      </c>
      <c r="CQ182" s="19">
        <v>0</v>
      </c>
      <c r="CR182" s="19">
        <v>0</v>
      </c>
      <c r="CS182" s="19">
        <v>0</v>
      </c>
      <c r="CT182" s="19">
        <v>0</v>
      </c>
      <c r="CU182" s="19">
        <v>0</v>
      </c>
      <c r="CV182" s="17"/>
      <c r="CW182" s="19">
        <v>0</v>
      </c>
      <c r="CX182" s="17"/>
      <c r="CY182" s="17"/>
      <c r="CZ182" s="19">
        <v>0</v>
      </c>
      <c r="DA182" s="17"/>
      <c r="DB182" s="17"/>
      <c r="DC182" s="19">
        <v>100</v>
      </c>
      <c r="DD182" s="17"/>
      <c r="DE182" s="17">
        <v>2958465</v>
      </c>
      <c r="DF182" s="17"/>
      <c r="DG182" s="17"/>
      <c r="DH182" s="19">
        <v>0</v>
      </c>
      <c r="DI182" s="19">
        <v>0</v>
      </c>
    </row>
    <row r="183" spans="1:113" x14ac:dyDescent="0.2">
      <c r="A183" s="14" t="s">
        <v>2315</v>
      </c>
      <c r="B183" s="16" t="s">
        <v>1787</v>
      </c>
      <c r="C183" s="14" t="s">
        <v>158</v>
      </c>
      <c r="D183" s="14" t="s">
        <v>159</v>
      </c>
      <c r="E183" s="14" t="s">
        <v>158</v>
      </c>
      <c r="F183" s="14" t="s">
        <v>2044</v>
      </c>
      <c r="G183" s="14" t="s">
        <v>2045</v>
      </c>
      <c r="H183" s="14" t="s">
        <v>204</v>
      </c>
      <c r="I183" s="14" t="s">
        <v>205</v>
      </c>
      <c r="J183" s="16">
        <f>COUNTIF($I$3:I183, I183)</f>
        <v>40</v>
      </c>
      <c r="K183" s="14" t="s">
        <v>2048</v>
      </c>
      <c r="L183" s="14" t="s">
        <v>2048</v>
      </c>
      <c r="M183" s="14" t="s">
        <v>2048</v>
      </c>
      <c r="N183" s="14" t="s">
        <v>2048</v>
      </c>
      <c r="O183" s="14" t="s">
        <v>3254</v>
      </c>
      <c r="P183" s="14" t="s">
        <v>3255</v>
      </c>
      <c r="Q183" s="14" t="s">
        <v>2048</v>
      </c>
      <c r="R183" s="14" t="s">
        <v>2048</v>
      </c>
      <c r="S183" s="14" t="s">
        <v>2048</v>
      </c>
      <c r="T183" s="14" t="s">
        <v>2048</v>
      </c>
      <c r="U183" s="14" t="s">
        <v>2048</v>
      </c>
      <c r="V183" s="14" t="s">
        <v>2050</v>
      </c>
      <c r="W183" s="14" t="s">
        <v>2048</v>
      </c>
      <c r="X183" s="14" t="s">
        <v>2048</v>
      </c>
      <c r="Y183" s="14" t="s">
        <v>2048</v>
      </c>
      <c r="Z183" s="14" t="s">
        <v>2048</v>
      </c>
      <c r="AA183" s="14" t="s">
        <v>2048</v>
      </c>
      <c r="AB183" s="14" t="s">
        <v>140</v>
      </c>
      <c r="AC183" s="14" t="s">
        <v>151</v>
      </c>
      <c r="AD183" s="14" t="s">
        <v>2132</v>
      </c>
      <c r="AE183" s="14" t="s">
        <v>2133</v>
      </c>
      <c r="AF183" s="14" t="s">
        <v>2055</v>
      </c>
      <c r="AG183" s="14" t="s">
        <v>2055</v>
      </c>
      <c r="AH183" s="14" t="s">
        <v>2055</v>
      </c>
      <c r="AI183" s="14" t="s">
        <v>2057</v>
      </c>
      <c r="AJ183" s="14" t="s">
        <v>87</v>
      </c>
      <c r="AK183" s="14" t="s">
        <v>2048</v>
      </c>
      <c r="AL183" s="14" t="s">
        <v>2048</v>
      </c>
      <c r="AM183" s="14" t="s">
        <v>2048</v>
      </c>
      <c r="AN183" s="14" t="s">
        <v>2318</v>
      </c>
      <c r="AO183" s="17" t="s">
        <v>89</v>
      </c>
      <c r="AP183" s="14" t="s">
        <v>2135</v>
      </c>
      <c r="AQ183" s="14" t="s">
        <v>2048</v>
      </c>
      <c r="AR183" s="14" t="s">
        <v>3256</v>
      </c>
      <c r="AS183" s="14" t="s">
        <v>3257</v>
      </c>
      <c r="AT183" s="14" t="s">
        <v>72</v>
      </c>
      <c r="AU183" s="14" t="s">
        <v>2350</v>
      </c>
      <c r="AV183" s="14" t="s">
        <v>2351</v>
      </c>
      <c r="AW183" s="14" t="s">
        <v>2048</v>
      </c>
      <c r="AX183" s="14" t="s">
        <v>2048</v>
      </c>
      <c r="AY183" s="14" t="s">
        <v>204</v>
      </c>
      <c r="AZ183" s="14" t="s">
        <v>1385</v>
      </c>
      <c r="BA183" s="14" t="s">
        <v>2407</v>
      </c>
      <c r="BB183" s="14" t="s">
        <v>2048</v>
      </c>
      <c r="BC183" s="14" t="s">
        <v>2048</v>
      </c>
      <c r="BD183" s="14" t="s">
        <v>2325</v>
      </c>
      <c r="BE183" s="14" t="s">
        <v>2326</v>
      </c>
      <c r="BF183" s="14" t="s">
        <v>2325</v>
      </c>
      <c r="BG183" s="14" t="s">
        <v>2326</v>
      </c>
      <c r="BH183" s="14" t="s">
        <v>2327</v>
      </c>
      <c r="BI183" s="14" t="s">
        <v>2287</v>
      </c>
      <c r="BJ183" s="14" t="s">
        <v>2048</v>
      </c>
      <c r="BK183" s="14" t="s">
        <v>2048</v>
      </c>
      <c r="BL183" s="14" t="s">
        <v>2064</v>
      </c>
      <c r="BM183" s="14" t="s">
        <v>72</v>
      </c>
      <c r="BN183" s="14" t="s">
        <v>72</v>
      </c>
      <c r="BO183" s="14" t="s">
        <v>3258</v>
      </c>
      <c r="BP183" s="14" t="s">
        <v>2329</v>
      </c>
      <c r="BQ183" s="14" t="s">
        <v>2330</v>
      </c>
      <c r="BR183" s="14" t="s">
        <v>2331</v>
      </c>
      <c r="BS183" s="14" t="s">
        <v>2131</v>
      </c>
      <c r="BT183" s="14" t="s">
        <v>2048</v>
      </c>
      <c r="BU183" s="14" t="s">
        <v>2048</v>
      </c>
      <c r="BV183" s="14" t="s">
        <v>2048</v>
      </c>
      <c r="BW183" s="14" t="s">
        <v>2048</v>
      </c>
      <c r="BX183" s="14" t="s">
        <v>72</v>
      </c>
      <c r="BY183" s="14" t="s">
        <v>2048</v>
      </c>
      <c r="BZ183" s="14" t="s">
        <v>2048</v>
      </c>
      <c r="CA183" s="14" t="s">
        <v>2048</v>
      </c>
      <c r="CB183" s="14" t="s">
        <v>2048</v>
      </c>
      <c r="CC183" s="14" t="s">
        <v>2048</v>
      </c>
      <c r="CD183" s="14" t="s">
        <v>2048</v>
      </c>
      <c r="CE183" s="14" t="s">
        <v>2048</v>
      </c>
      <c r="CF183" s="14" t="s">
        <v>2048</v>
      </c>
      <c r="CG183" s="14" t="s">
        <v>2068</v>
      </c>
      <c r="CH183" s="14" t="s">
        <v>2069</v>
      </c>
      <c r="CI183" s="14" t="s">
        <v>2048</v>
      </c>
      <c r="CJ183" s="17"/>
      <c r="CK183" s="17">
        <v>45623</v>
      </c>
      <c r="CL183" s="17">
        <v>45623</v>
      </c>
      <c r="CM183" s="17">
        <v>2958465</v>
      </c>
      <c r="CN183" s="17"/>
      <c r="CO183" s="19">
        <v>0</v>
      </c>
      <c r="CP183" s="19">
        <v>0</v>
      </c>
      <c r="CQ183" s="19">
        <v>0</v>
      </c>
      <c r="CR183" s="19">
        <v>0</v>
      </c>
      <c r="CS183" s="19">
        <v>0</v>
      </c>
      <c r="CT183" s="19">
        <v>0</v>
      </c>
      <c r="CU183" s="19">
        <v>0</v>
      </c>
      <c r="CV183" s="17"/>
      <c r="CW183" s="19">
        <v>0</v>
      </c>
      <c r="CX183" s="17"/>
      <c r="CY183" s="17">
        <v>47084</v>
      </c>
      <c r="CZ183" s="19">
        <v>0</v>
      </c>
      <c r="DA183" s="17"/>
      <c r="DB183" s="17"/>
      <c r="DC183" s="19">
        <v>100</v>
      </c>
      <c r="DD183" s="17"/>
      <c r="DE183" s="17">
        <v>2958465</v>
      </c>
      <c r="DF183" s="17"/>
      <c r="DG183" s="17"/>
      <c r="DH183" s="19">
        <v>0</v>
      </c>
      <c r="DI183" s="19">
        <v>0</v>
      </c>
    </row>
    <row r="184" spans="1:113" x14ac:dyDescent="0.2">
      <c r="A184" s="14" t="s">
        <v>2315</v>
      </c>
      <c r="B184" s="16" t="s">
        <v>1793</v>
      </c>
      <c r="C184" s="14" t="s">
        <v>158</v>
      </c>
      <c r="D184" s="14" t="s">
        <v>159</v>
      </c>
      <c r="E184" s="14" t="s">
        <v>158</v>
      </c>
      <c r="F184" s="14" t="s">
        <v>2044</v>
      </c>
      <c r="G184" s="14" t="s">
        <v>2045</v>
      </c>
      <c r="H184" s="14" t="s">
        <v>204</v>
      </c>
      <c r="I184" s="14" t="s">
        <v>205</v>
      </c>
      <c r="J184" s="16">
        <f>COUNTIF($I$3:I184, I184)</f>
        <v>41</v>
      </c>
      <c r="K184" s="14" t="s">
        <v>2048</v>
      </c>
      <c r="L184" s="14" t="s">
        <v>2048</v>
      </c>
      <c r="M184" s="14" t="s">
        <v>2048</v>
      </c>
      <c r="N184" s="14" t="s">
        <v>2048</v>
      </c>
      <c r="O184" s="14" t="s">
        <v>3259</v>
      </c>
      <c r="P184" s="14" t="s">
        <v>3260</v>
      </c>
      <c r="Q184" s="14" t="s">
        <v>2048</v>
      </c>
      <c r="R184" s="14" t="s">
        <v>2048</v>
      </c>
      <c r="S184" s="14" t="s">
        <v>2048</v>
      </c>
      <c r="T184" s="14" t="s">
        <v>2048</v>
      </c>
      <c r="U184" s="14" t="s">
        <v>2048</v>
      </c>
      <c r="V184" s="14" t="s">
        <v>2050</v>
      </c>
      <c r="W184" s="14" t="s">
        <v>2048</v>
      </c>
      <c r="X184" s="14" t="s">
        <v>2048</v>
      </c>
      <c r="Y184" s="14" t="s">
        <v>2048</v>
      </c>
      <c r="Z184" s="14" t="s">
        <v>2048</v>
      </c>
      <c r="AA184" s="14" t="s">
        <v>2048</v>
      </c>
      <c r="AB184" s="14" t="s">
        <v>140</v>
      </c>
      <c r="AC184" s="14" t="s">
        <v>151</v>
      </c>
      <c r="AD184" s="14" t="s">
        <v>2132</v>
      </c>
      <c r="AE184" s="14" t="s">
        <v>2133</v>
      </c>
      <c r="AF184" s="14" t="s">
        <v>2055</v>
      </c>
      <c r="AG184" s="14" t="s">
        <v>2055</v>
      </c>
      <c r="AH184" s="14" t="s">
        <v>2055</v>
      </c>
      <c r="AI184" s="14" t="s">
        <v>2057</v>
      </c>
      <c r="AJ184" s="14" t="s">
        <v>87</v>
      </c>
      <c r="AK184" s="14" t="s">
        <v>2048</v>
      </c>
      <c r="AL184" s="14" t="s">
        <v>2048</v>
      </c>
      <c r="AM184" s="14" t="s">
        <v>2048</v>
      </c>
      <c r="AN184" s="14" t="s">
        <v>2318</v>
      </c>
      <c r="AO184" s="17" t="s">
        <v>89</v>
      </c>
      <c r="AP184" s="14" t="s">
        <v>2135</v>
      </c>
      <c r="AQ184" s="14" t="s">
        <v>2048</v>
      </c>
      <c r="AR184" s="14" t="s">
        <v>3261</v>
      </c>
      <c r="AS184" s="14" t="s">
        <v>3262</v>
      </c>
      <c r="AT184" s="14" t="s">
        <v>72</v>
      </c>
      <c r="AU184" s="14" t="s">
        <v>2350</v>
      </c>
      <c r="AV184" s="14" t="s">
        <v>2351</v>
      </c>
      <c r="AW184" s="14" t="s">
        <v>2048</v>
      </c>
      <c r="AX184" s="14" t="s">
        <v>2048</v>
      </c>
      <c r="AY184" s="14" t="s">
        <v>204</v>
      </c>
      <c r="AZ184" s="14" t="s">
        <v>232</v>
      </c>
      <c r="BA184" s="14" t="s">
        <v>2324</v>
      </c>
      <c r="BB184" s="14" t="s">
        <v>2048</v>
      </c>
      <c r="BC184" s="14" t="s">
        <v>2048</v>
      </c>
      <c r="BD184" s="14" t="s">
        <v>2325</v>
      </c>
      <c r="BE184" s="14" t="s">
        <v>2326</v>
      </c>
      <c r="BF184" s="14" t="s">
        <v>2325</v>
      </c>
      <c r="BG184" s="14" t="s">
        <v>2326</v>
      </c>
      <c r="BH184" s="14" t="s">
        <v>2327</v>
      </c>
      <c r="BI184" s="14" t="s">
        <v>2287</v>
      </c>
      <c r="BJ184" s="14" t="s">
        <v>2048</v>
      </c>
      <c r="BK184" s="14" t="s">
        <v>2048</v>
      </c>
      <c r="BL184" s="14" t="s">
        <v>2064</v>
      </c>
      <c r="BM184" s="14" t="s">
        <v>72</v>
      </c>
      <c r="BN184" s="14" t="s">
        <v>72</v>
      </c>
      <c r="BO184" s="14" t="s">
        <v>3263</v>
      </c>
      <c r="BP184" s="14" t="s">
        <v>2329</v>
      </c>
      <c r="BQ184" s="14" t="s">
        <v>2330</v>
      </c>
      <c r="BR184" s="14" t="s">
        <v>2331</v>
      </c>
      <c r="BS184" s="14" t="s">
        <v>2131</v>
      </c>
      <c r="BT184" s="14" t="s">
        <v>2048</v>
      </c>
      <c r="BU184" s="14" t="s">
        <v>2048</v>
      </c>
      <c r="BV184" s="14" t="s">
        <v>2048</v>
      </c>
      <c r="BW184" s="14" t="s">
        <v>2048</v>
      </c>
      <c r="BX184" s="14" t="s">
        <v>72</v>
      </c>
      <c r="BY184" s="14" t="s">
        <v>2048</v>
      </c>
      <c r="BZ184" s="14" t="s">
        <v>2048</v>
      </c>
      <c r="CA184" s="14" t="s">
        <v>2048</v>
      </c>
      <c r="CB184" s="14" t="s">
        <v>2048</v>
      </c>
      <c r="CC184" s="14" t="s">
        <v>2048</v>
      </c>
      <c r="CD184" s="14" t="s">
        <v>2048</v>
      </c>
      <c r="CE184" s="14" t="s">
        <v>2048</v>
      </c>
      <c r="CF184" s="14" t="s">
        <v>2048</v>
      </c>
      <c r="CG184" s="14" t="s">
        <v>2068</v>
      </c>
      <c r="CH184" s="14" t="s">
        <v>2069</v>
      </c>
      <c r="CI184" s="14" t="s">
        <v>2048</v>
      </c>
      <c r="CJ184" s="17"/>
      <c r="CK184" s="17">
        <v>45623</v>
      </c>
      <c r="CL184" s="17">
        <v>45623</v>
      </c>
      <c r="CM184" s="17">
        <v>2958465</v>
      </c>
      <c r="CN184" s="17"/>
      <c r="CO184" s="19">
        <v>0</v>
      </c>
      <c r="CP184" s="19">
        <v>0</v>
      </c>
      <c r="CQ184" s="19">
        <v>0</v>
      </c>
      <c r="CR184" s="19">
        <v>0</v>
      </c>
      <c r="CS184" s="19">
        <v>0</v>
      </c>
      <c r="CT184" s="19">
        <v>0</v>
      </c>
      <c r="CU184" s="19">
        <v>0</v>
      </c>
      <c r="CV184" s="17"/>
      <c r="CW184" s="19">
        <v>0</v>
      </c>
      <c r="CX184" s="17"/>
      <c r="CY184" s="17">
        <v>47084</v>
      </c>
      <c r="CZ184" s="19">
        <v>0</v>
      </c>
      <c r="DA184" s="17"/>
      <c r="DB184" s="17"/>
      <c r="DC184" s="19">
        <v>100</v>
      </c>
      <c r="DD184" s="17"/>
      <c r="DE184" s="17">
        <v>2958465</v>
      </c>
      <c r="DF184" s="17"/>
      <c r="DG184" s="17"/>
      <c r="DH184" s="19">
        <v>0</v>
      </c>
      <c r="DI184" s="19">
        <v>0</v>
      </c>
    </row>
    <row r="185" spans="1:113" x14ac:dyDescent="0.2">
      <c r="A185" s="14" t="s">
        <v>2315</v>
      </c>
      <c r="B185" s="16" t="s">
        <v>1822</v>
      </c>
      <c r="C185" s="14" t="s">
        <v>158</v>
      </c>
      <c r="D185" s="14" t="s">
        <v>159</v>
      </c>
      <c r="E185" s="14" t="s">
        <v>158</v>
      </c>
      <c r="F185" s="14" t="s">
        <v>2044</v>
      </c>
      <c r="G185" s="14" t="s">
        <v>2045</v>
      </c>
      <c r="H185" s="14" t="s">
        <v>204</v>
      </c>
      <c r="I185" s="14" t="s">
        <v>205</v>
      </c>
      <c r="J185" s="16">
        <f>COUNTIF($I$3:I185, I185)</f>
        <v>42</v>
      </c>
      <c r="K185" s="14" t="s">
        <v>2048</v>
      </c>
      <c r="L185" s="14" t="s">
        <v>2048</v>
      </c>
      <c r="M185" s="14" t="s">
        <v>2048</v>
      </c>
      <c r="N185" s="14" t="s">
        <v>2048</v>
      </c>
      <c r="O185" s="14" t="s">
        <v>3264</v>
      </c>
      <c r="P185" s="14" t="s">
        <v>3265</v>
      </c>
      <c r="Q185" s="14" t="s">
        <v>2048</v>
      </c>
      <c r="R185" s="14" t="s">
        <v>2048</v>
      </c>
      <c r="S185" s="14" t="s">
        <v>2048</v>
      </c>
      <c r="T185" s="14" t="s">
        <v>2048</v>
      </c>
      <c r="U185" s="14" t="s">
        <v>2048</v>
      </c>
      <c r="V185" s="14" t="s">
        <v>2050</v>
      </c>
      <c r="W185" s="14" t="s">
        <v>2048</v>
      </c>
      <c r="X185" s="14" t="s">
        <v>2048</v>
      </c>
      <c r="Y185" s="14" t="s">
        <v>2048</v>
      </c>
      <c r="Z185" s="14" t="s">
        <v>2048</v>
      </c>
      <c r="AA185" s="14" t="s">
        <v>2048</v>
      </c>
      <c r="AB185" s="14" t="s">
        <v>140</v>
      </c>
      <c r="AC185" s="14" t="s">
        <v>151</v>
      </c>
      <c r="AD185" s="14" t="s">
        <v>2132</v>
      </c>
      <c r="AE185" s="14" t="s">
        <v>2133</v>
      </c>
      <c r="AF185" s="14" t="s">
        <v>2055</v>
      </c>
      <c r="AG185" s="14" t="s">
        <v>2055</v>
      </c>
      <c r="AH185" s="14" t="s">
        <v>2055</v>
      </c>
      <c r="AI185" s="14" t="s">
        <v>2057</v>
      </c>
      <c r="AJ185" s="14" t="s">
        <v>87</v>
      </c>
      <c r="AK185" s="14" t="s">
        <v>2048</v>
      </c>
      <c r="AL185" s="14" t="s">
        <v>2048</v>
      </c>
      <c r="AM185" s="14" t="s">
        <v>2048</v>
      </c>
      <c r="AN185" s="14" t="s">
        <v>2374</v>
      </c>
      <c r="AO185" s="17" t="s">
        <v>89</v>
      </c>
      <c r="AP185" s="14" t="s">
        <v>2135</v>
      </c>
      <c r="AQ185" s="14" t="s">
        <v>3266</v>
      </c>
      <c r="AR185" s="14" t="s">
        <v>2060</v>
      </c>
      <c r="AS185" s="14" t="s">
        <v>2048</v>
      </c>
      <c r="AT185" s="14" t="s">
        <v>72</v>
      </c>
      <c r="AU185" s="14" t="s">
        <v>2376</v>
      </c>
      <c r="AV185" s="14" t="s">
        <v>2377</v>
      </c>
      <c r="AW185" s="14" t="s">
        <v>2048</v>
      </c>
      <c r="AX185" s="14" t="s">
        <v>2048</v>
      </c>
      <c r="AY185" s="14" t="s">
        <v>204</v>
      </c>
      <c r="AZ185" s="14" t="s">
        <v>230</v>
      </c>
      <c r="BA185" s="14" t="s">
        <v>2378</v>
      </c>
      <c r="BB185" s="14" t="s">
        <v>2048</v>
      </c>
      <c r="BC185" s="14" t="s">
        <v>2048</v>
      </c>
      <c r="BD185" s="14" t="s">
        <v>2379</v>
      </c>
      <c r="BE185" s="14" t="s">
        <v>2380</v>
      </c>
      <c r="BF185" s="14" t="s">
        <v>2048</v>
      </c>
      <c r="BG185" s="14" t="s">
        <v>2048</v>
      </c>
      <c r="BH185" s="14" t="s">
        <v>2381</v>
      </c>
      <c r="BI185" s="14" t="s">
        <v>2382</v>
      </c>
      <c r="BJ185" s="14" t="s">
        <v>2048</v>
      </c>
      <c r="BK185" s="14" t="s">
        <v>2048</v>
      </c>
      <c r="BL185" s="14" t="s">
        <v>2064</v>
      </c>
      <c r="BM185" s="14" t="s">
        <v>72</v>
      </c>
      <c r="BN185" s="14" t="s">
        <v>72</v>
      </c>
      <c r="BO185" s="14" t="s">
        <v>3267</v>
      </c>
      <c r="BP185" s="14" t="s">
        <v>2048</v>
      </c>
      <c r="BQ185" s="14" t="s">
        <v>2048</v>
      </c>
      <c r="BR185" s="14" t="s">
        <v>2331</v>
      </c>
      <c r="BS185" s="14" t="s">
        <v>2131</v>
      </c>
      <c r="BT185" s="14" t="s">
        <v>2048</v>
      </c>
      <c r="BU185" s="14" t="s">
        <v>2048</v>
      </c>
      <c r="BV185" s="14" t="s">
        <v>2048</v>
      </c>
      <c r="BW185" s="14" t="s">
        <v>2048</v>
      </c>
      <c r="BX185" s="14" t="s">
        <v>72</v>
      </c>
      <c r="BY185" s="14" t="s">
        <v>2048</v>
      </c>
      <c r="BZ185" s="14" t="s">
        <v>2048</v>
      </c>
      <c r="CA185" s="14" t="s">
        <v>2048</v>
      </c>
      <c r="CB185" s="14" t="s">
        <v>2048</v>
      </c>
      <c r="CC185" s="14" t="s">
        <v>2048</v>
      </c>
      <c r="CD185" s="14" t="s">
        <v>2048</v>
      </c>
      <c r="CE185" s="14" t="s">
        <v>2048</v>
      </c>
      <c r="CF185" s="14" t="s">
        <v>2048</v>
      </c>
      <c r="CG185" s="14" t="s">
        <v>2068</v>
      </c>
      <c r="CH185" s="14" t="s">
        <v>2069</v>
      </c>
      <c r="CI185" s="14" t="s">
        <v>2048</v>
      </c>
      <c r="CJ185" s="17"/>
      <c r="CK185" s="17">
        <v>45623</v>
      </c>
      <c r="CL185" s="17">
        <v>45623</v>
      </c>
      <c r="CM185" s="17">
        <v>2958465</v>
      </c>
      <c r="CN185" s="17"/>
      <c r="CO185" s="19">
        <v>0</v>
      </c>
      <c r="CP185" s="19">
        <v>0</v>
      </c>
      <c r="CQ185" s="19">
        <v>0</v>
      </c>
      <c r="CR185" s="19">
        <v>0</v>
      </c>
      <c r="CS185" s="19">
        <v>0</v>
      </c>
      <c r="CT185" s="19">
        <v>0</v>
      </c>
      <c r="CU185" s="19">
        <v>0</v>
      </c>
      <c r="CV185" s="17"/>
      <c r="CW185" s="19">
        <v>0</v>
      </c>
      <c r="CX185" s="17"/>
      <c r="CY185" s="17">
        <v>47084</v>
      </c>
      <c r="CZ185" s="19">
        <v>0</v>
      </c>
      <c r="DA185" s="17"/>
      <c r="DB185" s="17"/>
      <c r="DC185" s="19">
        <v>100</v>
      </c>
      <c r="DD185" s="17"/>
      <c r="DE185" s="17">
        <v>2958465</v>
      </c>
      <c r="DF185" s="17"/>
      <c r="DG185" s="17"/>
      <c r="DH185" s="19">
        <v>0</v>
      </c>
      <c r="DI185" s="19">
        <v>0</v>
      </c>
    </row>
    <row r="186" spans="1:113" x14ac:dyDescent="0.2">
      <c r="A186" s="14" t="s">
        <v>2315</v>
      </c>
      <c r="B186" s="16" t="s">
        <v>1807</v>
      </c>
      <c r="C186" s="14" t="s">
        <v>158</v>
      </c>
      <c r="D186" s="14" t="s">
        <v>159</v>
      </c>
      <c r="E186" s="14" t="s">
        <v>158</v>
      </c>
      <c r="F186" s="14" t="s">
        <v>2044</v>
      </c>
      <c r="G186" s="14" t="s">
        <v>2045</v>
      </c>
      <c r="H186" s="14" t="s">
        <v>204</v>
      </c>
      <c r="I186" s="14" t="s">
        <v>205</v>
      </c>
      <c r="J186" s="16">
        <f>COUNTIF($I$3:I186, I186)</f>
        <v>43</v>
      </c>
      <c r="K186" s="14" t="s">
        <v>2048</v>
      </c>
      <c r="L186" s="14" t="s">
        <v>2048</v>
      </c>
      <c r="M186" s="14" t="s">
        <v>2048</v>
      </c>
      <c r="N186" s="14" t="s">
        <v>2048</v>
      </c>
      <c r="O186" s="14" t="s">
        <v>3268</v>
      </c>
      <c r="P186" s="14" t="s">
        <v>3269</v>
      </c>
      <c r="Q186" s="14" t="s">
        <v>2048</v>
      </c>
      <c r="R186" s="14" t="s">
        <v>2048</v>
      </c>
      <c r="S186" s="14" t="s">
        <v>2048</v>
      </c>
      <c r="T186" s="14" t="s">
        <v>2048</v>
      </c>
      <c r="U186" s="14" t="s">
        <v>2048</v>
      </c>
      <c r="V186" s="14" t="s">
        <v>2050</v>
      </c>
      <c r="W186" s="14" t="s">
        <v>2048</v>
      </c>
      <c r="X186" s="14" t="s">
        <v>2048</v>
      </c>
      <c r="Y186" s="14" t="s">
        <v>2048</v>
      </c>
      <c r="Z186" s="14" t="s">
        <v>2048</v>
      </c>
      <c r="AA186" s="14" t="s">
        <v>2048</v>
      </c>
      <c r="AB186" s="14" t="s">
        <v>140</v>
      </c>
      <c r="AC186" s="14" t="s">
        <v>151</v>
      </c>
      <c r="AD186" s="14" t="s">
        <v>2132</v>
      </c>
      <c r="AE186" s="14" t="s">
        <v>2133</v>
      </c>
      <c r="AF186" s="14" t="s">
        <v>2055</v>
      </c>
      <c r="AG186" s="14" t="s">
        <v>2055</v>
      </c>
      <c r="AH186" s="14" t="s">
        <v>2055</v>
      </c>
      <c r="AI186" s="14" t="s">
        <v>2057</v>
      </c>
      <c r="AJ186" s="14" t="s">
        <v>87</v>
      </c>
      <c r="AK186" s="14" t="s">
        <v>2048</v>
      </c>
      <c r="AL186" s="14" t="s">
        <v>2048</v>
      </c>
      <c r="AM186" s="14" t="s">
        <v>2048</v>
      </c>
      <c r="AN186" s="14" t="s">
        <v>2318</v>
      </c>
      <c r="AO186" s="17" t="s">
        <v>89</v>
      </c>
      <c r="AP186" s="14" t="s">
        <v>2135</v>
      </c>
      <c r="AQ186" s="14" t="s">
        <v>2048</v>
      </c>
      <c r="AR186" s="14" t="s">
        <v>3270</v>
      </c>
      <c r="AS186" s="14" t="s">
        <v>3271</v>
      </c>
      <c r="AT186" s="14" t="s">
        <v>72</v>
      </c>
      <c r="AU186" s="14" t="s">
        <v>2350</v>
      </c>
      <c r="AV186" s="14" t="s">
        <v>2351</v>
      </c>
      <c r="AW186" s="14" t="s">
        <v>2048</v>
      </c>
      <c r="AX186" s="14" t="s">
        <v>2048</v>
      </c>
      <c r="AY186" s="14" t="s">
        <v>204</v>
      </c>
      <c r="AZ186" s="14" t="s">
        <v>2323</v>
      </c>
      <c r="BA186" s="14" t="s">
        <v>2324</v>
      </c>
      <c r="BB186" s="14" t="s">
        <v>2048</v>
      </c>
      <c r="BC186" s="14" t="s">
        <v>2048</v>
      </c>
      <c r="BD186" s="14" t="s">
        <v>2325</v>
      </c>
      <c r="BE186" s="14" t="s">
        <v>2326</v>
      </c>
      <c r="BF186" s="14" t="s">
        <v>2325</v>
      </c>
      <c r="BG186" s="14" t="s">
        <v>2326</v>
      </c>
      <c r="BH186" s="14" t="s">
        <v>2327</v>
      </c>
      <c r="BI186" s="14" t="s">
        <v>2287</v>
      </c>
      <c r="BJ186" s="14" t="s">
        <v>2048</v>
      </c>
      <c r="BK186" s="14" t="s">
        <v>2048</v>
      </c>
      <c r="BL186" s="14" t="s">
        <v>2064</v>
      </c>
      <c r="BM186" s="14" t="s">
        <v>72</v>
      </c>
      <c r="BN186" s="14" t="s">
        <v>72</v>
      </c>
      <c r="BO186" s="14" t="s">
        <v>3272</v>
      </c>
      <c r="BP186" s="14" t="s">
        <v>2329</v>
      </c>
      <c r="BQ186" s="14" t="s">
        <v>2330</v>
      </c>
      <c r="BR186" s="14" t="s">
        <v>2331</v>
      </c>
      <c r="BS186" s="14" t="s">
        <v>2131</v>
      </c>
      <c r="BT186" s="14" t="s">
        <v>2048</v>
      </c>
      <c r="BU186" s="14" t="s">
        <v>2048</v>
      </c>
      <c r="BV186" s="14" t="s">
        <v>2048</v>
      </c>
      <c r="BW186" s="14" t="s">
        <v>2048</v>
      </c>
      <c r="BX186" s="14" t="s">
        <v>72</v>
      </c>
      <c r="BY186" s="14" t="s">
        <v>2048</v>
      </c>
      <c r="BZ186" s="14" t="s">
        <v>2048</v>
      </c>
      <c r="CA186" s="14" t="s">
        <v>2048</v>
      </c>
      <c r="CB186" s="14" t="s">
        <v>2048</v>
      </c>
      <c r="CC186" s="14" t="s">
        <v>2048</v>
      </c>
      <c r="CD186" s="14" t="s">
        <v>2048</v>
      </c>
      <c r="CE186" s="14" t="s">
        <v>2048</v>
      </c>
      <c r="CF186" s="14" t="s">
        <v>2048</v>
      </c>
      <c r="CG186" s="14" t="s">
        <v>2068</v>
      </c>
      <c r="CH186" s="14" t="s">
        <v>2069</v>
      </c>
      <c r="CI186" s="14" t="s">
        <v>2048</v>
      </c>
      <c r="CJ186" s="17"/>
      <c r="CK186" s="17">
        <v>45623</v>
      </c>
      <c r="CL186" s="17">
        <v>45623</v>
      </c>
      <c r="CM186" s="17">
        <v>2958465</v>
      </c>
      <c r="CN186" s="17"/>
      <c r="CO186" s="19">
        <v>0</v>
      </c>
      <c r="CP186" s="19">
        <v>0</v>
      </c>
      <c r="CQ186" s="19">
        <v>0</v>
      </c>
      <c r="CR186" s="19">
        <v>0</v>
      </c>
      <c r="CS186" s="19">
        <v>0</v>
      </c>
      <c r="CT186" s="19">
        <v>0</v>
      </c>
      <c r="CU186" s="19">
        <v>0</v>
      </c>
      <c r="CV186" s="17"/>
      <c r="CW186" s="19">
        <v>0</v>
      </c>
      <c r="CX186" s="17"/>
      <c r="CY186" s="17">
        <v>47084</v>
      </c>
      <c r="CZ186" s="19">
        <v>0</v>
      </c>
      <c r="DA186" s="17"/>
      <c r="DB186" s="17"/>
      <c r="DC186" s="19">
        <v>100</v>
      </c>
      <c r="DD186" s="17"/>
      <c r="DE186" s="17">
        <v>2958465</v>
      </c>
      <c r="DF186" s="17"/>
      <c r="DG186" s="17"/>
      <c r="DH186" s="19">
        <v>0</v>
      </c>
      <c r="DI186" s="19">
        <v>0</v>
      </c>
    </row>
    <row r="187" spans="1:113" x14ac:dyDescent="0.2">
      <c r="A187" s="14" t="s">
        <v>2315</v>
      </c>
      <c r="B187" s="16" t="s">
        <v>1803</v>
      </c>
      <c r="C187" s="14" t="s">
        <v>158</v>
      </c>
      <c r="D187" s="14" t="s">
        <v>159</v>
      </c>
      <c r="E187" s="14" t="s">
        <v>158</v>
      </c>
      <c r="F187" s="14" t="s">
        <v>2044</v>
      </c>
      <c r="G187" s="14" t="s">
        <v>2045</v>
      </c>
      <c r="H187" s="14" t="s">
        <v>204</v>
      </c>
      <c r="I187" s="14" t="s">
        <v>205</v>
      </c>
      <c r="J187" s="16">
        <f>COUNTIF($I$3:I187, I187)</f>
        <v>44</v>
      </c>
      <c r="K187" s="14" t="s">
        <v>2048</v>
      </c>
      <c r="L187" s="14" t="s">
        <v>2048</v>
      </c>
      <c r="M187" s="14" t="s">
        <v>2048</v>
      </c>
      <c r="N187" s="14" t="s">
        <v>2048</v>
      </c>
      <c r="O187" s="14" t="s">
        <v>3273</v>
      </c>
      <c r="P187" s="14" t="s">
        <v>3274</v>
      </c>
      <c r="Q187" s="14" t="s">
        <v>2048</v>
      </c>
      <c r="R187" s="14" t="s">
        <v>2048</v>
      </c>
      <c r="S187" s="14" t="s">
        <v>2048</v>
      </c>
      <c r="T187" s="14" t="s">
        <v>2048</v>
      </c>
      <c r="U187" s="14" t="s">
        <v>2048</v>
      </c>
      <c r="V187" s="14" t="s">
        <v>2050</v>
      </c>
      <c r="W187" s="14" t="s">
        <v>2048</v>
      </c>
      <c r="X187" s="14" t="s">
        <v>2048</v>
      </c>
      <c r="Y187" s="14" t="s">
        <v>2048</v>
      </c>
      <c r="Z187" s="14" t="s">
        <v>2048</v>
      </c>
      <c r="AA187" s="14" t="s">
        <v>2048</v>
      </c>
      <c r="AB187" s="14" t="s">
        <v>140</v>
      </c>
      <c r="AC187" s="14" t="s">
        <v>151</v>
      </c>
      <c r="AD187" s="14" t="s">
        <v>2132</v>
      </c>
      <c r="AE187" s="14" t="s">
        <v>2133</v>
      </c>
      <c r="AF187" s="14" t="s">
        <v>2055</v>
      </c>
      <c r="AG187" s="14" t="s">
        <v>2055</v>
      </c>
      <c r="AH187" s="14" t="s">
        <v>2055</v>
      </c>
      <c r="AI187" s="14" t="s">
        <v>2057</v>
      </c>
      <c r="AJ187" s="14" t="s">
        <v>87</v>
      </c>
      <c r="AK187" s="14" t="s">
        <v>2048</v>
      </c>
      <c r="AL187" s="14" t="s">
        <v>2048</v>
      </c>
      <c r="AM187" s="14" t="s">
        <v>2048</v>
      </c>
      <c r="AN187" s="14" t="s">
        <v>2318</v>
      </c>
      <c r="AO187" s="17" t="s">
        <v>89</v>
      </c>
      <c r="AP187" s="14" t="s">
        <v>2135</v>
      </c>
      <c r="AQ187" s="14" t="s">
        <v>2048</v>
      </c>
      <c r="AR187" s="14" t="s">
        <v>3275</v>
      </c>
      <c r="AS187" s="14" t="s">
        <v>3276</v>
      </c>
      <c r="AT187" s="14" t="s">
        <v>72</v>
      </c>
      <c r="AU187" s="14" t="s">
        <v>2350</v>
      </c>
      <c r="AV187" s="14" t="s">
        <v>2351</v>
      </c>
      <c r="AW187" s="14" t="s">
        <v>2048</v>
      </c>
      <c r="AX187" s="14" t="s">
        <v>2048</v>
      </c>
      <c r="AY187" s="14" t="s">
        <v>204</v>
      </c>
      <c r="AZ187" s="14" t="s">
        <v>232</v>
      </c>
      <c r="BA187" s="14" t="s">
        <v>2324</v>
      </c>
      <c r="BB187" s="14" t="s">
        <v>2048</v>
      </c>
      <c r="BC187" s="14" t="s">
        <v>2048</v>
      </c>
      <c r="BD187" s="14" t="s">
        <v>2325</v>
      </c>
      <c r="BE187" s="14" t="s">
        <v>2326</v>
      </c>
      <c r="BF187" s="14" t="s">
        <v>2325</v>
      </c>
      <c r="BG187" s="14" t="s">
        <v>2326</v>
      </c>
      <c r="BH187" s="14" t="s">
        <v>2327</v>
      </c>
      <c r="BI187" s="14" t="s">
        <v>2287</v>
      </c>
      <c r="BJ187" s="14" t="s">
        <v>2048</v>
      </c>
      <c r="BK187" s="14" t="s">
        <v>2048</v>
      </c>
      <c r="BL187" s="14" t="s">
        <v>2064</v>
      </c>
      <c r="BM187" s="14" t="s">
        <v>72</v>
      </c>
      <c r="BN187" s="14" t="s">
        <v>72</v>
      </c>
      <c r="BO187" s="14" t="s">
        <v>3277</v>
      </c>
      <c r="BP187" s="14" t="s">
        <v>2329</v>
      </c>
      <c r="BQ187" s="14" t="s">
        <v>2330</v>
      </c>
      <c r="BR187" s="14" t="s">
        <v>2331</v>
      </c>
      <c r="BS187" s="14" t="s">
        <v>2131</v>
      </c>
      <c r="BT187" s="14" t="s">
        <v>2048</v>
      </c>
      <c r="BU187" s="14" t="s">
        <v>2048</v>
      </c>
      <c r="BV187" s="14" t="s">
        <v>2048</v>
      </c>
      <c r="BW187" s="14" t="s">
        <v>2048</v>
      </c>
      <c r="BX187" s="14" t="s">
        <v>72</v>
      </c>
      <c r="BY187" s="14" t="s">
        <v>2048</v>
      </c>
      <c r="BZ187" s="14" t="s">
        <v>2048</v>
      </c>
      <c r="CA187" s="14" t="s">
        <v>2048</v>
      </c>
      <c r="CB187" s="14" t="s">
        <v>2048</v>
      </c>
      <c r="CC187" s="14" t="s">
        <v>2048</v>
      </c>
      <c r="CD187" s="14" t="s">
        <v>2048</v>
      </c>
      <c r="CE187" s="14" t="s">
        <v>2048</v>
      </c>
      <c r="CF187" s="14" t="s">
        <v>2048</v>
      </c>
      <c r="CG187" s="14" t="s">
        <v>2068</v>
      </c>
      <c r="CH187" s="14" t="s">
        <v>2069</v>
      </c>
      <c r="CI187" s="14" t="s">
        <v>2048</v>
      </c>
      <c r="CJ187" s="17"/>
      <c r="CK187" s="17">
        <v>45623</v>
      </c>
      <c r="CL187" s="17">
        <v>45623</v>
      </c>
      <c r="CM187" s="17">
        <v>2958465</v>
      </c>
      <c r="CN187" s="17"/>
      <c r="CO187" s="19">
        <v>0</v>
      </c>
      <c r="CP187" s="19">
        <v>0</v>
      </c>
      <c r="CQ187" s="19">
        <v>0</v>
      </c>
      <c r="CR187" s="19">
        <v>0</v>
      </c>
      <c r="CS187" s="19">
        <v>0</v>
      </c>
      <c r="CT187" s="19">
        <v>0</v>
      </c>
      <c r="CU187" s="19">
        <v>0</v>
      </c>
      <c r="CV187" s="17"/>
      <c r="CW187" s="19">
        <v>0</v>
      </c>
      <c r="CX187" s="17"/>
      <c r="CY187" s="17">
        <v>47084</v>
      </c>
      <c r="CZ187" s="19">
        <v>0</v>
      </c>
      <c r="DA187" s="17"/>
      <c r="DB187" s="17"/>
      <c r="DC187" s="19">
        <v>100</v>
      </c>
      <c r="DD187" s="17"/>
      <c r="DE187" s="17">
        <v>2958465</v>
      </c>
      <c r="DF187" s="17"/>
      <c r="DG187" s="17"/>
      <c r="DH187" s="19">
        <v>0</v>
      </c>
      <c r="DI187" s="19">
        <v>0</v>
      </c>
    </row>
    <row r="188" spans="1:113" x14ac:dyDescent="0.2">
      <c r="A188" s="14" t="s">
        <v>2315</v>
      </c>
      <c r="B188" s="16" t="s">
        <v>1805</v>
      </c>
      <c r="C188" s="14" t="s">
        <v>158</v>
      </c>
      <c r="D188" s="14" t="s">
        <v>159</v>
      </c>
      <c r="E188" s="14" t="s">
        <v>158</v>
      </c>
      <c r="F188" s="14" t="s">
        <v>2044</v>
      </c>
      <c r="G188" s="14" t="s">
        <v>2045</v>
      </c>
      <c r="H188" s="14" t="s">
        <v>204</v>
      </c>
      <c r="I188" s="14" t="s">
        <v>205</v>
      </c>
      <c r="J188" s="16">
        <f>COUNTIF($I$3:I188, I188)</f>
        <v>45</v>
      </c>
      <c r="K188" s="14" t="s">
        <v>2048</v>
      </c>
      <c r="L188" s="14" t="s">
        <v>2048</v>
      </c>
      <c r="M188" s="14" t="s">
        <v>2048</v>
      </c>
      <c r="N188" s="14" t="s">
        <v>2048</v>
      </c>
      <c r="O188" s="14" t="s">
        <v>3278</v>
      </c>
      <c r="P188" s="14" t="s">
        <v>3279</v>
      </c>
      <c r="Q188" s="14" t="s">
        <v>2048</v>
      </c>
      <c r="R188" s="14" t="s">
        <v>2048</v>
      </c>
      <c r="S188" s="14" t="s">
        <v>2048</v>
      </c>
      <c r="T188" s="14" t="s">
        <v>2048</v>
      </c>
      <c r="U188" s="14" t="s">
        <v>2048</v>
      </c>
      <c r="V188" s="14" t="s">
        <v>2050</v>
      </c>
      <c r="W188" s="14" t="s">
        <v>2048</v>
      </c>
      <c r="X188" s="14" t="s">
        <v>2048</v>
      </c>
      <c r="Y188" s="14" t="s">
        <v>2048</v>
      </c>
      <c r="Z188" s="14" t="s">
        <v>2048</v>
      </c>
      <c r="AA188" s="14" t="s">
        <v>2048</v>
      </c>
      <c r="AB188" s="14" t="s">
        <v>140</v>
      </c>
      <c r="AC188" s="14" t="s">
        <v>151</v>
      </c>
      <c r="AD188" s="14" t="s">
        <v>2132</v>
      </c>
      <c r="AE188" s="14" t="s">
        <v>2133</v>
      </c>
      <c r="AF188" s="14" t="s">
        <v>2055</v>
      </c>
      <c r="AG188" s="14" t="s">
        <v>2055</v>
      </c>
      <c r="AH188" s="14" t="s">
        <v>2055</v>
      </c>
      <c r="AI188" s="14" t="s">
        <v>2057</v>
      </c>
      <c r="AJ188" s="14" t="s">
        <v>87</v>
      </c>
      <c r="AK188" s="14" t="s">
        <v>2048</v>
      </c>
      <c r="AL188" s="14" t="s">
        <v>2048</v>
      </c>
      <c r="AM188" s="14" t="s">
        <v>2048</v>
      </c>
      <c r="AN188" s="14" t="s">
        <v>2318</v>
      </c>
      <c r="AO188" s="17" t="s">
        <v>89</v>
      </c>
      <c r="AP188" s="14" t="s">
        <v>2208</v>
      </c>
      <c r="AQ188" s="14" t="s">
        <v>2048</v>
      </c>
      <c r="AR188" s="14" t="s">
        <v>3280</v>
      </c>
      <c r="AS188" s="14" t="s">
        <v>3281</v>
      </c>
      <c r="AT188" s="14" t="s">
        <v>72</v>
      </c>
      <c r="AU188" s="14" t="s">
        <v>2350</v>
      </c>
      <c r="AV188" s="14" t="s">
        <v>2351</v>
      </c>
      <c r="AW188" s="14" t="s">
        <v>2048</v>
      </c>
      <c r="AX188" s="14" t="s">
        <v>2048</v>
      </c>
      <c r="AY188" s="14" t="s">
        <v>204</v>
      </c>
      <c r="AZ188" s="14" t="s">
        <v>232</v>
      </c>
      <c r="BA188" s="14" t="s">
        <v>2324</v>
      </c>
      <c r="BB188" s="14" t="s">
        <v>2048</v>
      </c>
      <c r="BC188" s="14" t="s">
        <v>2048</v>
      </c>
      <c r="BD188" s="14" t="s">
        <v>2325</v>
      </c>
      <c r="BE188" s="14" t="s">
        <v>2326</v>
      </c>
      <c r="BF188" s="14" t="s">
        <v>2325</v>
      </c>
      <c r="BG188" s="14" t="s">
        <v>2326</v>
      </c>
      <c r="BH188" s="14" t="s">
        <v>2327</v>
      </c>
      <c r="BI188" s="14" t="s">
        <v>2287</v>
      </c>
      <c r="BJ188" s="14" t="s">
        <v>2048</v>
      </c>
      <c r="BK188" s="14" t="s">
        <v>2518</v>
      </c>
      <c r="BL188" s="14" t="s">
        <v>2064</v>
      </c>
      <c r="BM188" s="14" t="s">
        <v>72</v>
      </c>
      <c r="BN188" s="14" t="s">
        <v>72</v>
      </c>
      <c r="BO188" s="14" t="s">
        <v>3282</v>
      </c>
      <c r="BP188" s="14" t="s">
        <v>2329</v>
      </c>
      <c r="BQ188" s="14" t="s">
        <v>2330</v>
      </c>
      <c r="BR188" s="14" t="s">
        <v>2331</v>
      </c>
      <c r="BS188" s="14" t="s">
        <v>2131</v>
      </c>
      <c r="BT188" s="14" t="s">
        <v>2048</v>
      </c>
      <c r="BU188" s="14" t="s">
        <v>2048</v>
      </c>
      <c r="BV188" s="14" t="s">
        <v>2048</v>
      </c>
      <c r="BW188" s="14" t="s">
        <v>2048</v>
      </c>
      <c r="BX188" s="14" t="s">
        <v>72</v>
      </c>
      <c r="BY188" s="14" t="s">
        <v>2048</v>
      </c>
      <c r="BZ188" s="14" t="s">
        <v>2048</v>
      </c>
      <c r="CA188" s="14" t="s">
        <v>2048</v>
      </c>
      <c r="CB188" s="14" t="s">
        <v>2048</v>
      </c>
      <c r="CC188" s="14" t="s">
        <v>2048</v>
      </c>
      <c r="CD188" s="14" t="s">
        <v>2048</v>
      </c>
      <c r="CE188" s="14" t="s">
        <v>2048</v>
      </c>
      <c r="CF188" s="14" t="s">
        <v>2048</v>
      </c>
      <c r="CG188" s="14" t="s">
        <v>2068</v>
      </c>
      <c r="CH188" s="14" t="s">
        <v>2069</v>
      </c>
      <c r="CI188" s="14" t="s">
        <v>2048</v>
      </c>
      <c r="CJ188" s="17"/>
      <c r="CK188" s="17">
        <v>45623</v>
      </c>
      <c r="CL188" s="17">
        <v>45623</v>
      </c>
      <c r="CM188" s="17">
        <v>2958465</v>
      </c>
      <c r="CN188" s="17"/>
      <c r="CO188" s="19">
        <v>0</v>
      </c>
      <c r="CP188" s="19">
        <v>0</v>
      </c>
      <c r="CQ188" s="19">
        <v>0</v>
      </c>
      <c r="CR188" s="19">
        <v>0</v>
      </c>
      <c r="CS188" s="19">
        <v>0</v>
      </c>
      <c r="CT188" s="19">
        <v>0</v>
      </c>
      <c r="CU188" s="19">
        <v>0</v>
      </c>
      <c r="CV188" s="17"/>
      <c r="CW188" s="19">
        <v>0</v>
      </c>
      <c r="CX188" s="17"/>
      <c r="CY188" s="17">
        <v>47084</v>
      </c>
      <c r="CZ188" s="19">
        <v>0</v>
      </c>
      <c r="DA188" s="17"/>
      <c r="DB188" s="17"/>
      <c r="DC188" s="19">
        <v>100</v>
      </c>
      <c r="DD188" s="17"/>
      <c r="DE188" s="17">
        <v>2958465</v>
      </c>
      <c r="DF188" s="17"/>
      <c r="DG188" s="17"/>
      <c r="DH188" s="19">
        <v>0</v>
      </c>
      <c r="DI188" s="19">
        <v>0</v>
      </c>
    </row>
    <row r="189" spans="1:113" x14ac:dyDescent="0.2">
      <c r="A189" s="14" t="s">
        <v>2315</v>
      </c>
      <c r="B189" s="16" t="s">
        <v>954</v>
      </c>
      <c r="C189" s="14" t="s">
        <v>158</v>
      </c>
      <c r="D189" s="14" t="s">
        <v>159</v>
      </c>
      <c r="E189" s="14" t="s">
        <v>158</v>
      </c>
      <c r="F189" s="14" t="s">
        <v>2044</v>
      </c>
      <c r="G189" s="14" t="s">
        <v>2045</v>
      </c>
      <c r="H189" s="14" t="s">
        <v>190</v>
      </c>
      <c r="I189" s="14" t="s">
        <v>191</v>
      </c>
      <c r="J189" s="16">
        <f>COUNTIF($I$3:I189, I189)</f>
        <v>13</v>
      </c>
      <c r="K189" s="14" t="s">
        <v>2048</v>
      </c>
      <c r="L189" s="14" t="s">
        <v>2048</v>
      </c>
      <c r="M189" s="14" t="s">
        <v>2048</v>
      </c>
      <c r="N189" s="14" t="s">
        <v>2048</v>
      </c>
      <c r="O189" s="14" t="s">
        <v>3283</v>
      </c>
      <c r="P189" s="14" t="s">
        <v>956</v>
      </c>
      <c r="Q189" s="14" t="s">
        <v>72</v>
      </c>
      <c r="R189" s="14" t="s">
        <v>2048</v>
      </c>
      <c r="S189" s="14" t="s">
        <v>2048</v>
      </c>
      <c r="T189" s="14" t="s">
        <v>2048</v>
      </c>
      <c r="U189" s="14" t="s">
        <v>2048</v>
      </c>
      <c r="V189" s="14" t="s">
        <v>2050</v>
      </c>
      <c r="W189" s="14" t="s">
        <v>2048</v>
      </c>
      <c r="X189" s="14" t="s">
        <v>2048</v>
      </c>
      <c r="Y189" s="14" t="s">
        <v>2048</v>
      </c>
      <c r="Z189" s="14" t="s">
        <v>2048</v>
      </c>
      <c r="AA189" s="14" t="s">
        <v>2048</v>
      </c>
      <c r="AB189" s="14" t="s">
        <v>85</v>
      </c>
      <c r="AC189" s="14" t="s">
        <v>86</v>
      </c>
      <c r="AD189" s="14" t="s">
        <v>2132</v>
      </c>
      <c r="AE189" s="14" t="s">
        <v>2133</v>
      </c>
      <c r="AF189" s="14" t="s">
        <v>2055</v>
      </c>
      <c r="AG189" s="14" t="s">
        <v>2055</v>
      </c>
      <c r="AH189" s="14" t="s">
        <v>2055</v>
      </c>
      <c r="AI189" s="14" t="s">
        <v>2057</v>
      </c>
      <c r="AJ189" s="14" t="s">
        <v>87</v>
      </c>
      <c r="AK189" s="14" t="s">
        <v>2048</v>
      </c>
      <c r="AL189" s="14" t="s">
        <v>2048</v>
      </c>
      <c r="AM189" s="14" t="s">
        <v>2584</v>
      </c>
      <c r="AN189" s="14" t="s">
        <v>2048</v>
      </c>
      <c r="AO189" s="17" t="s">
        <v>89</v>
      </c>
      <c r="AP189" s="14" t="s">
        <v>2135</v>
      </c>
      <c r="AQ189" s="14" t="s">
        <v>3284</v>
      </c>
      <c r="AR189" s="14" t="s">
        <v>3285</v>
      </c>
      <c r="AS189" s="14" t="s">
        <v>3286</v>
      </c>
      <c r="AT189" s="14" t="s">
        <v>72</v>
      </c>
      <c r="AU189" s="14" t="s">
        <v>3044</v>
      </c>
      <c r="AV189" s="14" t="s">
        <v>3045</v>
      </c>
      <c r="AW189" s="14" t="s">
        <v>2048</v>
      </c>
      <c r="AX189" s="14" t="s">
        <v>2048</v>
      </c>
      <c r="AY189" s="14" t="s">
        <v>190</v>
      </c>
      <c r="AZ189" s="14" t="s">
        <v>955</v>
      </c>
      <c r="BA189" s="14" t="s">
        <v>3287</v>
      </c>
      <c r="BB189" s="14" t="s">
        <v>2048</v>
      </c>
      <c r="BC189" s="14" t="s">
        <v>2048</v>
      </c>
      <c r="BD189" s="14" t="s">
        <v>2433</v>
      </c>
      <c r="BE189" s="14" t="s">
        <v>2434</v>
      </c>
      <c r="BF189" s="14" t="s">
        <v>2048</v>
      </c>
      <c r="BG189" s="14" t="s">
        <v>2048</v>
      </c>
      <c r="BH189" s="14" t="s">
        <v>3047</v>
      </c>
      <c r="BI189" s="14" t="s">
        <v>2287</v>
      </c>
      <c r="BJ189" s="14" t="s">
        <v>2048</v>
      </c>
      <c r="BK189" s="14" t="s">
        <v>2518</v>
      </c>
      <c r="BL189" s="14" t="s">
        <v>2064</v>
      </c>
      <c r="BM189" s="14" t="s">
        <v>72</v>
      </c>
      <c r="BN189" s="14" t="s">
        <v>72</v>
      </c>
      <c r="BO189" s="14" t="s">
        <v>3288</v>
      </c>
      <c r="BP189" s="14" t="s">
        <v>2986</v>
      </c>
      <c r="BQ189" s="14" t="s">
        <v>2987</v>
      </c>
      <c r="BR189" s="14" t="s">
        <v>2418</v>
      </c>
      <c r="BS189" s="14" t="s">
        <v>2089</v>
      </c>
      <c r="BT189" s="14" t="s">
        <v>2048</v>
      </c>
      <c r="BU189" s="14" t="s">
        <v>2048</v>
      </c>
      <c r="BV189" s="14" t="s">
        <v>2048</v>
      </c>
      <c r="BW189" s="14" t="s">
        <v>2048</v>
      </c>
      <c r="BX189" s="14" t="s">
        <v>2048</v>
      </c>
      <c r="BY189" s="14" t="s">
        <v>2048</v>
      </c>
      <c r="BZ189" s="14" t="s">
        <v>2048</v>
      </c>
      <c r="CA189" s="14" t="s">
        <v>2048</v>
      </c>
      <c r="CB189" s="14" t="s">
        <v>2048</v>
      </c>
      <c r="CC189" s="14" t="s">
        <v>2048</v>
      </c>
      <c r="CD189" s="14" t="s">
        <v>2048</v>
      </c>
      <c r="CE189" s="14" t="s">
        <v>2048</v>
      </c>
      <c r="CF189" s="14" t="s">
        <v>2048</v>
      </c>
      <c r="CG189" s="14" t="s">
        <v>2057</v>
      </c>
      <c r="CH189" s="14" t="s">
        <v>2090</v>
      </c>
      <c r="CI189" s="14" t="s">
        <v>2048</v>
      </c>
      <c r="CJ189" s="17"/>
      <c r="CK189" s="17">
        <v>45646</v>
      </c>
      <c r="CL189" s="17">
        <v>45646</v>
      </c>
      <c r="CM189" s="17">
        <v>2958465</v>
      </c>
      <c r="CN189" s="17"/>
      <c r="CO189" s="19">
        <v>0</v>
      </c>
      <c r="CP189" s="19">
        <v>0</v>
      </c>
      <c r="CQ189" s="19">
        <v>0</v>
      </c>
      <c r="CR189" s="19">
        <v>0</v>
      </c>
      <c r="CS189" s="19">
        <v>0</v>
      </c>
      <c r="CT189" s="19">
        <v>0</v>
      </c>
      <c r="CU189" s="19">
        <v>0</v>
      </c>
      <c r="CV189" s="17"/>
      <c r="CW189" s="19">
        <v>0</v>
      </c>
      <c r="CX189" s="17"/>
      <c r="CY189" s="17"/>
      <c r="CZ189" s="19">
        <v>0</v>
      </c>
      <c r="DA189" s="17"/>
      <c r="DB189" s="17"/>
      <c r="DC189" s="19">
        <v>100</v>
      </c>
      <c r="DD189" s="17"/>
      <c r="DE189" s="17">
        <v>2958465</v>
      </c>
      <c r="DF189" s="17"/>
      <c r="DG189" s="17"/>
      <c r="DH189" s="19">
        <v>0</v>
      </c>
      <c r="DI189" s="19">
        <v>0</v>
      </c>
    </row>
    <row r="190" spans="1:113" x14ac:dyDescent="0.2">
      <c r="A190" s="14" t="s">
        <v>2315</v>
      </c>
      <c r="B190" s="16" t="s">
        <v>697</v>
      </c>
      <c r="C190" s="14" t="s">
        <v>158</v>
      </c>
      <c r="D190" s="14" t="s">
        <v>159</v>
      </c>
      <c r="E190" s="14" t="s">
        <v>158</v>
      </c>
      <c r="F190" s="14" t="s">
        <v>2044</v>
      </c>
      <c r="G190" s="14" t="s">
        <v>2045</v>
      </c>
      <c r="H190" s="14" t="s">
        <v>102</v>
      </c>
      <c r="I190" s="14" t="s">
        <v>103</v>
      </c>
      <c r="J190" s="16">
        <f>COUNTIF($I$3:I190, I190)</f>
        <v>37</v>
      </c>
      <c r="K190" s="14" t="s">
        <v>2048</v>
      </c>
      <c r="L190" s="14" t="s">
        <v>2048</v>
      </c>
      <c r="M190" s="14" t="s">
        <v>2048</v>
      </c>
      <c r="N190" s="14" t="s">
        <v>2048</v>
      </c>
      <c r="O190" s="14" t="s">
        <v>3289</v>
      </c>
      <c r="P190" s="14" t="s">
        <v>699</v>
      </c>
      <c r="Q190" s="14" t="s">
        <v>72</v>
      </c>
      <c r="R190" s="14" t="s">
        <v>2048</v>
      </c>
      <c r="S190" s="14" t="s">
        <v>2048</v>
      </c>
      <c r="T190" s="14" t="s">
        <v>2048</v>
      </c>
      <c r="U190" s="14" t="s">
        <v>2048</v>
      </c>
      <c r="V190" s="14" t="s">
        <v>2050</v>
      </c>
      <c r="W190" s="14" t="s">
        <v>2048</v>
      </c>
      <c r="X190" s="14" t="s">
        <v>2048</v>
      </c>
      <c r="Y190" s="14" t="s">
        <v>2048</v>
      </c>
      <c r="Z190" s="14" t="s">
        <v>2048</v>
      </c>
      <c r="AA190" s="14" t="s">
        <v>2048</v>
      </c>
      <c r="AB190" s="14" t="s">
        <v>85</v>
      </c>
      <c r="AC190" s="14" t="s">
        <v>86</v>
      </c>
      <c r="AD190" s="14" t="s">
        <v>2072</v>
      </c>
      <c r="AE190" s="14" t="s">
        <v>2073</v>
      </c>
      <c r="AF190" s="14" t="s">
        <v>2055</v>
      </c>
      <c r="AG190" s="14" t="s">
        <v>2055</v>
      </c>
      <c r="AH190" s="14" t="s">
        <v>2055</v>
      </c>
      <c r="AI190" s="14" t="s">
        <v>2057</v>
      </c>
      <c r="AJ190" s="14" t="s">
        <v>87</v>
      </c>
      <c r="AK190" s="14" t="s">
        <v>2048</v>
      </c>
      <c r="AL190" s="14" t="s">
        <v>2048</v>
      </c>
      <c r="AM190" s="14" t="s">
        <v>3290</v>
      </c>
      <c r="AN190" s="14" t="s">
        <v>3110</v>
      </c>
      <c r="AO190" s="17" t="s">
        <v>89</v>
      </c>
      <c r="AP190" s="14" t="s">
        <v>2135</v>
      </c>
      <c r="AQ190" s="14" t="s">
        <v>992</v>
      </c>
      <c r="AR190" s="14" t="s">
        <v>3291</v>
      </c>
      <c r="AS190" s="14" t="s">
        <v>3292</v>
      </c>
      <c r="AT190" s="14" t="s">
        <v>72</v>
      </c>
      <c r="AU190" s="14" t="s">
        <v>3293</v>
      </c>
      <c r="AV190" s="14" t="s">
        <v>3294</v>
      </c>
      <c r="AW190" s="14" t="s">
        <v>2048</v>
      </c>
      <c r="AX190" s="14" t="s">
        <v>2048</v>
      </c>
      <c r="AY190" s="14" t="s">
        <v>102</v>
      </c>
      <c r="AZ190" s="14" t="s">
        <v>698</v>
      </c>
      <c r="BA190" s="14" t="s">
        <v>3295</v>
      </c>
      <c r="BB190" s="14" t="s">
        <v>2048</v>
      </c>
      <c r="BC190" s="14" t="s">
        <v>2048</v>
      </c>
      <c r="BD190" s="14" t="s">
        <v>2282</v>
      </c>
      <c r="BE190" s="14" t="s">
        <v>2782</v>
      </c>
      <c r="BF190" s="14" t="s">
        <v>2783</v>
      </c>
      <c r="BG190" s="14" t="s">
        <v>2784</v>
      </c>
      <c r="BH190" s="14" t="s">
        <v>3296</v>
      </c>
      <c r="BI190" s="14" t="s">
        <v>2287</v>
      </c>
      <c r="BJ190" s="14" t="s">
        <v>2048</v>
      </c>
      <c r="BK190" s="14" t="s">
        <v>2048</v>
      </c>
      <c r="BL190" s="14" t="s">
        <v>2064</v>
      </c>
      <c r="BM190" s="14" t="s">
        <v>72</v>
      </c>
      <c r="BN190" s="14" t="s">
        <v>72</v>
      </c>
      <c r="BO190" s="14" t="s">
        <v>3297</v>
      </c>
      <c r="BP190" s="14" t="s">
        <v>3298</v>
      </c>
      <c r="BQ190" s="14" t="s">
        <v>3299</v>
      </c>
      <c r="BR190" s="14" t="s">
        <v>2418</v>
      </c>
      <c r="BS190" s="14" t="s">
        <v>2089</v>
      </c>
      <c r="BT190" s="14" t="s">
        <v>2048</v>
      </c>
      <c r="BU190" s="14" t="s">
        <v>2048</v>
      </c>
      <c r="BV190" s="14" t="s">
        <v>2048</v>
      </c>
      <c r="BW190" s="14" t="s">
        <v>2048</v>
      </c>
      <c r="BX190" s="14" t="s">
        <v>72</v>
      </c>
      <c r="BY190" s="14" t="s">
        <v>2048</v>
      </c>
      <c r="BZ190" s="14" t="s">
        <v>2048</v>
      </c>
      <c r="CA190" s="14" t="s">
        <v>2048</v>
      </c>
      <c r="CB190" s="14" t="s">
        <v>2048</v>
      </c>
      <c r="CC190" s="14" t="s">
        <v>2048</v>
      </c>
      <c r="CD190" s="14" t="s">
        <v>2048</v>
      </c>
      <c r="CE190" s="14" t="s">
        <v>2048</v>
      </c>
      <c r="CF190" s="14" t="s">
        <v>2048</v>
      </c>
      <c r="CG190" s="14" t="s">
        <v>2057</v>
      </c>
      <c r="CH190" s="14" t="s">
        <v>2090</v>
      </c>
      <c r="CI190" s="14" t="s">
        <v>2048</v>
      </c>
      <c r="CJ190" s="17"/>
      <c r="CK190" s="17">
        <v>45625</v>
      </c>
      <c r="CL190" s="17">
        <v>45625</v>
      </c>
      <c r="CM190" s="17">
        <v>2958465</v>
      </c>
      <c r="CN190" s="17"/>
      <c r="CO190" s="19">
        <v>0</v>
      </c>
      <c r="CP190" s="19">
        <v>0</v>
      </c>
      <c r="CQ190" s="19">
        <v>0</v>
      </c>
      <c r="CR190" s="19">
        <v>0</v>
      </c>
      <c r="CS190" s="19">
        <v>0</v>
      </c>
      <c r="CT190" s="19">
        <v>0</v>
      </c>
      <c r="CU190" s="19">
        <v>0</v>
      </c>
      <c r="CV190" s="17"/>
      <c r="CW190" s="19">
        <v>0</v>
      </c>
      <c r="CX190" s="17"/>
      <c r="CY190" s="17"/>
      <c r="CZ190" s="19">
        <v>0</v>
      </c>
      <c r="DA190" s="17"/>
      <c r="DB190" s="17"/>
      <c r="DC190" s="19">
        <v>100</v>
      </c>
      <c r="DD190" s="17"/>
      <c r="DE190" s="17">
        <v>2958465</v>
      </c>
      <c r="DF190" s="17"/>
      <c r="DG190" s="17"/>
      <c r="DH190" s="19">
        <v>0</v>
      </c>
      <c r="DI190" s="19">
        <v>0</v>
      </c>
    </row>
    <row r="191" spans="1:113" x14ac:dyDescent="0.2">
      <c r="A191" s="14" t="s">
        <v>2315</v>
      </c>
      <c r="B191" s="16" t="s">
        <v>703</v>
      </c>
      <c r="C191" s="14" t="s">
        <v>158</v>
      </c>
      <c r="D191" s="14" t="s">
        <v>159</v>
      </c>
      <c r="E191" s="14" t="s">
        <v>158</v>
      </c>
      <c r="F191" s="14" t="s">
        <v>2044</v>
      </c>
      <c r="G191" s="14" t="s">
        <v>2045</v>
      </c>
      <c r="H191" s="14" t="s">
        <v>102</v>
      </c>
      <c r="I191" s="14" t="s">
        <v>103</v>
      </c>
      <c r="J191" s="16">
        <f>COUNTIF($I$3:I191, I191)</f>
        <v>38</v>
      </c>
      <c r="K191" s="14" t="s">
        <v>2048</v>
      </c>
      <c r="L191" s="14" t="s">
        <v>2048</v>
      </c>
      <c r="M191" s="14" t="s">
        <v>2048</v>
      </c>
      <c r="N191" s="14" t="s">
        <v>2048</v>
      </c>
      <c r="O191" s="14" t="s">
        <v>3300</v>
      </c>
      <c r="P191" s="14" t="s">
        <v>704</v>
      </c>
      <c r="Q191" s="14" t="s">
        <v>72</v>
      </c>
      <c r="R191" s="14" t="s">
        <v>2048</v>
      </c>
      <c r="S191" s="14" t="s">
        <v>2048</v>
      </c>
      <c r="T191" s="14" t="s">
        <v>2048</v>
      </c>
      <c r="U191" s="14" t="s">
        <v>2048</v>
      </c>
      <c r="V191" s="14" t="s">
        <v>2050</v>
      </c>
      <c r="W191" s="14" t="s">
        <v>2048</v>
      </c>
      <c r="X191" s="14" t="s">
        <v>2048</v>
      </c>
      <c r="Y191" s="14" t="s">
        <v>2048</v>
      </c>
      <c r="Z191" s="14" t="s">
        <v>2048</v>
      </c>
      <c r="AA191" s="14" t="s">
        <v>2048</v>
      </c>
      <c r="AB191" s="14" t="s">
        <v>85</v>
      </c>
      <c r="AC191" s="14" t="s">
        <v>86</v>
      </c>
      <c r="AD191" s="14" t="s">
        <v>2072</v>
      </c>
      <c r="AE191" s="14" t="s">
        <v>2073</v>
      </c>
      <c r="AF191" s="14" t="s">
        <v>2055</v>
      </c>
      <c r="AG191" s="14" t="s">
        <v>2055</v>
      </c>
      <c r="AH191" s="14" t="s">
        <v>2055</v>
      </c>
      <c r="AI191" s="14" t="s">
        <v>2057</v>
      </c>
      <c r="AJ191" s="14" t="s">
        <v>87</v>
      </c>
      <c r="AK191" s="14" t="s">
        <v>2048</v>
      </c>
      <c r="AL191" s="14" t="s">
        <v>2048</v>
      </c>
      <c r="AM191" s="14" t="s">
        <v>2444</v>
      </c>
      <c r="AN191" s="14" t="s">
        <v>2102</v>
      </c>
      <c r="AO191" s="17" t="s">
        <v>89</v>
      </c>
      <c r="AP191" s="14" t="s">
        <v>2135</v>
      </c>
      <c r="AQ191" s="14" t="s">
        <v>3301</v>
      </c>
      <c r="AR191" s="14" t="s">
        <v>2060</v>
      </c>
      <c r="AS191" s="14" t="s">
        <v>2048</v>
      </c>
      <c r="AT191" s="14" t="s">
        <v>2048</v>
      </c>
      <c r="AU191" s="14" t="s">
        <v>2881</v>
      </c>
      <c r="AV191" s="14" t="s">
        <v>2882</v>
      </c>
      <c r="AW191" s="14" t="s">
        <v>2048</v>
      </c>
      <c r="AX191" s="14" t="s">
        <v>2048</v>
      </c>
      <c r="AY191" s="14" t="s">
        <v>102</v>
      </c>
      <c r="AZ191" s="14" t="s">
        <v>579</v>
      </c>
      <c r="BA191" s="14" t="s">
        <v>3302</v>
      </c>
      <c r="BB191" s="14" t="s">
        <v>2048</v>
      </c>
      <c r="BC191" s="14" t="s">
        <v>2048</v>
      </c>
      <c r="BD191" s="14" t="s">
        <v>2282</v>
      </c>
      <c r="BE191" s="14" t="s">
        <v>2782</v>
      </c>
      <c r="BF191" s="14" t="s">
        <v>2783</v>
      </c>
      <c r="BG191" s="14" t="s">
        <v>2784</v>
      </c>
      <c r="BH191" s="14" t="s">
        <v>2884</v>
      </c>
      <c r="BI191" s="14" t="s">
        <v>2287</v>
      </c>
      <c r="BJ191" s="14" t="s">
        <v>2048</v>
      </c>
      <c r="BK191" s="14" t="s">
        <v>2048</v>
      </c>
      <c r="BL191" s="14" t="s">
        <v>2064</v>
      </c>
      <c r="BM191" s="14" t="s">
        <v>72</v>
      </c>
      <c r="BN191" s="14" t="s">
        <v>72</v>
      </c>
      <c r="BO191" s="14" t="s">
        <v>3303</v>
      </c>
      <c r="BP191" s="14" t="s">
        <v>2048</v>
      </c>
      <c r="BQ191" s="14" t="s">
        <v>2048</v>
      </c>
      <c r="BR191" s="14" t="s">
        <v>2418</v>
      </c>
      <c r="BS191" s="14" t="s">
        <v>2089</v>
      </c>
      <c r="BT191" s="14" t="s">
        <v>2048</v>
      </c>
      <c r="BU191" s="14" t="s">
        <v>2048</v>
      </c>
      <c r="BV191" s="14" t="s">
        <v>2048</v>
      </c>
      <c r="BW191" s="14" t="s">
        <v>2048</v>
      </c>
      <c r="BX191" s="14" t="s">
        <v>72</v>
      </c>
      <c r="BY191" s="14" t="s">
        <v>2048</v>
      </c>
      <c r="BZ191" s="14" t="s">
        <v>2048</v>
      </c>
      <c r="CA191" s="14" t="s">
        <v>2048</v>
      </c>
      <c r="CB191" s="14" t="s">
        <v>2048</v>
      </c>
      <c r="CC191" s="14" t="s">
        <v>2048</v>
      </c>
      <c r="CD191" s="14" t="s">
        <v>2048</v>
      </c>
      <c r="CE191" s="14" t="s">
        <v>2048</v>
      </c>
      <c r="CF191" s="14" t="s">
        <v>2048</v>
      </c>
      <c r="CG191" s="14" t="s">
        <v>2057</v>
      </c>
      <c r="CH191" s="14" t="s">
        <v>2090</v>
      </c>
      <c r="CI191" s="14" t="s">
        <v>2048</v>
      </c>
      <c r="CJ191" s="17"/>
      <c r="CK191" s="17">
        <v>45625</v>
      </c>
      <c r="CL191" s="17">
        <v>45625</v>
      </c>
      <c r="CM191" s="17">
        <v>2958465</v>
      </c>
      <c r="CN191" s="17"/>
      <c r="CO191" s="19">
        <v>0</v>
      </c>
      <c r="CP191" s="19">
        <v>0</v>
      </c>
      <c r="CQ191" s="19">
        <v>0</v>
      </c>
      <c r="CR191" s="19">
        <v>0</v>
      </c>
      <c r="CS191" s="19">
        <v>0</v>
      </c>
      <c r="CT191" s="19">
        <v>0</v>
      </c>
      <c r="CU191" s="19">
        <v>0</v>
      </c>
      <c r="CV191" s="17"/>
      <c r="CW191" s="19">
        <v>0</v>
      </c>
      <c r="CX191" s="17"/>
      <c r="CY191" s="17"/>
      <c r="CZ191" s="19">
        <v>0</v>
      </c>
      <c r="DA191" s="17"/>
      <c r="DB191" s="17"/>
      <c r="DC191" s="19">
        <v>100</v>
      </c>
      <c r="DD191" s="17"/>
      <c r="DE191" s="17">
        <v>2958465</v>
      </c>
      <c r="DF191" s="17"/>
      <c r="DG191" s="17"/>
      <c r="DH191" s="19">
        <v>0</v>
      </c>
      <c r="DI191" s="19">
        <v>0</v>
      </c>
    </row>
    <row r="192" spans="1:113" x14ac:dyDescent="0.2">
      <c r="A192" s="14" t="s">
        <v>2315</v>
      </c>
      <c r="B192" s="16" t="s">
        <v>708</v>
      </c>
      <c r="C192" s="14" t="s">
        <v>158</v>
      </c>
      <c r="D192" s="14" t="s">
        <v>159</v>
      </c>
      <c r="E192" s="14" t="s">
        <v>158</v>
      </c>
      <c r="F192" s="14" t="s">
        <v>2044</v>
      </c>
      <c r="G192" s="14" t="s">
        <v>2045</v>
      </c>
      <c r="H192" s="14" t="s">
        <v>102</v>
      </c>
      <c r="I192" s="14" t="s">
        <v>103</v>
      </c>
      <c r="J192" s="16">
        <f>COUNTIF($I$3:I192, I192)</f>
        <v>39</v>
      </c>
      <c r="K192" s="14" t="s">
        <v>2048</v>
      </c>
      <c r="L192" s="14" t="s">
        <v>2048</v>
      </c>
      <c r="M192" s="14" t="s">
        <v>2048</v>
      </c>
      <c r="N192" s="14" t="s">
        <v>2048</v>
      </c>
      <c r="O192" s="14" t="s">
        <v>3304</v>
      </c>
      <c r="P192" s="14" t="s">
        <v>709</v>
      </c>
      <c r="Q192" s="14" t="s">
        <v>72</v>
      </c>
      <c r="R192" s="14" t="s">
        <v>2048</v>
      </c>
      <c r="S192" s="14" t="s">
        <v>2048</v>
      </c>
      <c r="T192" s="14" t="s">
        <v>2048</v>
      </c>
      <c r="U192" s="14" t="s">
        <v>2048</v>
      </c>
      <c r="V192" s="14" t="s">
        <v>2050</v>
      </c>
      <c r="W192" s="14" t="s">
        <v>2048</v>
      </c>
      <c r="X192" s="14" t="s">
        <v>2048</v>
      </c>
      <c r="Y192" s="14" t="s">
        <v>2048</v>
      </c>
      <c r="Z192" s="14" t="s">
        <v>2048</v>
      </c>
      <c r="AA192" s="14" t="s">
        <v>2048</v>
      </c>
      <c r="AB192" s="14" t="s">
        <v>85</v>
      </c>
      <c r="AC192" s="14" t="s">
        <v>86</v>
      </c>
      <c r="AD192" s="14" t="s">
        <v>2072</v>
      </c>
      <c r="AE192" s="14" t="s">
        <v>2073</v>
      </c>
      <c r="AF192" s="14" t="s">
        <v>2055</v>
      </c>
      <c r="AG192" s="14" t="s">
        <v>2055</v>
      </c>
      <c r="AH192" s="14" t="s">
        <v>2055</v>
      </c>
      <c r="AI192" s="14" t="s">
        <v>2057</v>
      </c>
      <c r="AJ192" s="14" t="s">
        <v>87</v>
      </c>
      <c r="AK192" s="14" t="s">
        <v>2048</v>
      </c>
      <c r="AL192" s="14" t="s">
        <v>2048</v>
      </c>
      <c r="AM192" s="14" t="s">
        <v>2444</v>
      </c>
      <c r="AN192" s="14" t="s">
        <v>3305</v>
      </c>
      <c r="AO192" s="17" t="s">
        <v>89</v>
      </c>
      <c r="AP192" s="14" t="s">
        <v>2135</v>
      </c>
      <c r="AQ192" s="14" t="s">
        <v>3306</v>
      </c>
      <c r="AR192" s="14" t="s">
        <v>3307</v>
      </c>
      <c r="AS192" s="14" t="s">
        <v>3308</v>
      </c>
      <c r="AT192" s="14" t="s">
        <v>72</v>
      </c>
      <c r="AU192" s="14" t="s">
        <v>2881</v>
      </c>
      <c r="AV192" s="14" t="s">
        <v>2882</v>
      </c>
      <c r="AW192" s="14" t="s">
        <v>2048</v>
      </c>
      <c r="AX192" s="14" t="s">
        <v>2048</v>
      </c>
      <c r="AY192" s="14" t="s">
        <v>102</v>
      </c>
      <c r="AZ192" s="14" t="s">
        <v>579</v>
      </c>
      <c r="BA192" s="14" t="s">
        <v>3302</v>
      </c>
      <c r="BB192" s="14" t="s">
        <v>2048</v>
      </c>
      <c r="BC192" s="14" t="s">
        <v>2048</v>
      </c>
      <c r="BD192" s="14" t="s">
        <v>2282</v>
      </c>
      <c r="BE192" s="14" t="s">
        <v>2782</v>
      </c>
      <c r="BF192" s="14" t="s">
        <v>2783</v>
      </c>
      <c r="BG192" s="14" t="s">
        <v>2784</v>
      </c>
      <c r="BH192" s="14" t="s">
        <v>2884</v>
      </c>
      <c r="BI192" s="14" t="s">
        <v>2287</v>
      </c>
      <c r="BJ192" s="14" t="s">
        <v>2048</v>
      </c>
      <c r="BK192" s="14" t="s">
        <v>2048</v>
      </c>
      <c r="BL192" s="14" t="s">
        <v>2064</v>
      </c>
      <c r="BM192" s="14" t="s">
        <v>72</v>
      </c>
      <c r="BN192" s="14" t="s">
        <v>72</v>
      </c>
      <c r="BO192" s="14" t="s">
        <v>3309</v>
      </c>
      <c r="BP192" s="14" t="s">
        <v>3310</v>
      </c>
      <c r="BQ192" s="14" t="s">
        <v>3311</v>
      </c>
      <c r="BR192" s="14" t="s">
        <v>2418</v>
      </c>
      <c r="BS192" s="14" t="s">
        <v>2089</v>
      </c>
      <c r="BT192" s="14" t="s">
        <v>2048</v>
      </c>
      <c r="BU192" s="14" t="s">
        <v>2048</v>
      </c>
      <c r="BV192" s="14" t="s">
        <v>2048</v>
      </c>
      <c r="BW192" s="14" t="s">
        <v>2048</v>
      </c>
      <c r="BX192" s="14" t="s">
        <v>72</v>
      </c>
      <c r="BY192" s="14" t="s">
        <v>2048</v>
      </c>
      <c r="BZ192" s="14" t="s">
        <v>2048</v>
      </c>
      <c r="CA192" s="14" t="s">
        <v>2048</v>
      </c>
      <c r="CB192" s="14" t="s">
        <v>2048</v>
      </c>
      <c r="CC192" s="14" t="s">
        <v>2048</v>
      </c>
      <c r="CD192" s="14" t="s">
        <v>2048</v>
      </c>
      <c r="CE192" s="14" t="s">
        <v>2048</v>
      </c>
      <c r="CF192" s="14" t="s">
        <v>2048</v>
      </c>
      <c r="CG192" s="14" t="s">
        <v>2057</v>
      </c>
      <c r="CH192" s="14" t="s">
        <v>2090</v>
      </c>
      <c r="CI192" s="14" t="s">
        <v>2048</v>
      </c>
      <c r="CJ192" s="17"/>
      <c r="CK192" s="17">
        <v>45625</v>
      </c>
      <c r="CL192" s="17">
        <v>45625</v>
      </c>
      <c r="CM192" s="17">
        <v>2958465</v>
      </c>
      <c r="CN192" s="17"/>
      <c r="CO192" s="19">
        <v>0</v>
      </c>
      <c r="CP192" s="19">
        <v>0</v>
      </c>
      <c r="CQ192" s="19">
        <v>0</v>
      </c>
      <c r="CR192" s="19">
        <v>0</v>
      </c>
      <c r="CS192" s="19">
        <v>0</v>
      </c>
      <c r="CT192" s="19">
        <v>0</v>
      </c>
      <c r="CU192" s="19">
        <v>0</v>
      </c>
      <c r="CV192" s="17"/>
      <c r="CW192" s="19">
        <v>0</v>
      </c>
      <c r="CX192" s="17"/>
      <c r="CY192" s="17"/>
      <c r="CZ192" s="19">
        <v>0</v>
      </c>
      <c r="DA192" s="17"/>
      <c r="DB192" s="17"/>
      <c r="DC192" s="19">
        <v>100</v>
      </c>
      <c r="DD192" s="17"/>
      <c r="DE192" s="17">
        <v>2958465</v>
      </c>
      <c r="DF192" s="17"/>
      <c r="DG192" s="17"/>
      <c r="DH192" s="19">
        <v>0</v>
      </c>
      <c r="DI192" s="19">
        <v>0</v>
      </c>
    </row>
    <row r="193" spans="1:113" x14ac:dyDescent="0.2">
      <c r="A193" s="14" t="s">
        <v>2315</v>
      </c>
      <c r="B193" s="16" t="s">
        <v>302</v>
      </c>
      <c r="C193" s="14" t="s">
        <v>158</v>
      </c>
      <c r="D193" s="14" t="s">
        <v>159</v>
      </c>
      <c r="E193" s="14" t="s">
        <v>158</v>
      </c>
      <c r="F193" s="14" t="s">
        <v>2044</v>
      </c>
      <c r="G193" s="14" t="s">
        <v>2045</v>
      </c>
      <c r="H193" s="14" t="s">
        <v>102</v>
      </c>
      <c r="I193" s="14" t="s">
        <v>103</v>
      </c>
      <c r="J193" s="16">
        <f>COUNTIF($I$3:I193, I193)</f>
        <v>40</v>
      </c>
      <c r="K193" s="14" t="s">
        <v>2048</v>
      </c>
      <c r="L193" s="14" t="s">
        <v>2048</v>
      </c>
      <c r="M193" s="14" t="s">
        <v>2048</v>
      </c>
      <c r="N193" s="14" t="s">
        <v>2048</v>
      </c>
      <c r="O193" s="14" t="s">
        <v>3312</v>
      </c>
      <c r="P193" s="14" t="s">
        <v>304</v>
      </c>
      <c r="Q193" s="14" t="s">
        <v>72</v>
      </c>
      <c r="R193" s="14" t="s">
        <v>2048</v>
      </c>
      <c r="S193" s="14" t="s">
        <v>2048</v>
      </c>
      <c r="T193" s="14" t="s">
        <v>2048</v>
      </c>
      <c r="U193" s="14" t="s">
        <v>2048</v>
      </c>
      <c r="V193" s="14" t="s">
        <v>2050</v>
      </c>
      <c r="W193" s="14" t="s">
        <v>2048</v>
      </c>
      <c r="X193" s="14" t="s">
        <v>2048</v>
      </c>
      <c r="Y193" s="14" t="s">
        <v>2048</v>
      </c>
      <c r="Z193" s="14" t="s">
        <v>2048</v>
      </c>
      <c r="AA193" s="14" t="s">
        <v>2048</v>
      </c>
      <c r="AB193" s="14" t="s">
        <v>85</v>
      </c>
      <c r="AC193" s="14" t="s">
        <v>86</v>
      </c>
      <c r="AD193" s="14" t="s">
        <v>2072</v>
      </c>
      <c r="AE193" s="14" t="s">
        <v>2073</v>
      </c>
      <c r="AF193" s="14" t="s">
        <v>2056</v>
      </c>
      <c r="AG193" s="14" t="s">
        <v>2056</v>
      </c>
      <c r="AH193" s="14" t="s">
        <v>2055</v>
      </c>
      <c r="AI193" s="14" t="s">
        <v>2057</v>
      </c>
      <c r="AJ193" s="14" t="s">
        <v>87</v>
      </c>
      <c r="AK193" s="14" t="s">
        <v>2048</v>
      </c>
      <c r="AL193" s="14" t="s">
        <v>2048</v>
      </c>
      <c r="AM193" s="14" t="s">
        <v>2444</v>
      </c>
      <c r="AN193" s="14" t="s">
        <v>3110</v>
      </c>
      <c r="AO193" s="17" t="s">
        <v>89</v>
      </c>
      <c r="AP193" s="14" t="s">
        <v>2135</v>
      </c>
      <c r="AQ193" s="14" t="s">
        <v>3313</v>
      </c>
      <c r="AR193" s="14" t="s">
        <v>3314</v>
      </c>
      <c r="AS193" s="14" t="s">
        <v>3315</v>
      </c>
      <c r="AT193" s="14" t="s">
        <v>72</v>
      </c>
      <c r="AU193" s="14" t="s">
        <v>3293</v>
      </c>
      <c r="AV193" s="14" t="s">
        <v>3294</v>
      </c>
      <c r="AW193" s="14" t="s">
        <v>2048</v>
      </c>
      <c r="AX193" s="14" t="s">
        <v>2048</v>
      </c>
      <c r="AY193" s="14" t="s">
        <v>102</v>
      </c>
      <c r="AZ193" s="14" t="s">
        <v>303</v>
      </c>
      <c r="BA193" s="14" t="s">
        <v>3114</v>
      </c>
      <c r="BB193" s="14" t="s">
        <v>2048</v>
      </c>
      <c r="BC193" s="14" t="s">
        <v>2048</v>
      </c>
      <c r="BD193" s="14" t="s">
        <v>2282</v>
      </c>
      <c r="BE193" s="14" t="s">
        <v>2782</v>
      </c>
      <c r="BF193" s="14" t="s">
        <v>2783</v>
      </c>
      <c r="BG193" s="14" t="s">
        <v>2784</v>
      </c>
      <c r="BH193" s="14" t="s">
        <v>2868</v>
      </c>
      <c r="BI193" s="14" t="s">
        <v>2287</v>
      </c>
      <c r="BJ193" s="14" t="s">
        <v>2048</v>
      </c>
      <c r="BK193" s="14" t="s">
        <v>2048</v>
      </c>
      <c r="BL193" s="14" t="s">
        <v>2064</v>
      </c>
      <c r="BM193" s="14" t="s">
        <v>72</v>
      </c>
      <c r="BN193" s="14" t="s">
        <v>72</v>
      </c>
      <c r="BO193" s="14" t="s">
        <v>3316</v>
      </c>
      <c r="BP193" s="14" t="s">
        <v>3116</v>
      </c>
      <c r="BQ193" s="14" t="s">
        <v>3117</v>
      </c>
      <c r="BR193" s="14" t="s">
        <v>2418</v>
      </c>
      <c r="BS193" s="14" t="s">
        <v>2089</v>
      </c>
      <c r="BT193" s="14" t="s">
        <v>2048</v>
      </c>
      <c r="BU193" s="14" t="s">
        <v>2048</v>
      </c>
      <c r="BV193" s="14" t="s">
        <v>2048</v>
      </c>
      <c r="BW193" s="14" t="s">
        <v>2048</v>
      </c>
      <c r="BX193" s="14" t="s">
        <v>72</v>
      </c>
      <c r="BY193" s="14" t="s">
        <v>2048</v>
      </c>
      <c r="BZ193" s="14" t="s">
        <v>2048</v>
      </c>
      <c r="CA193" s="14" t="s">
        <v>2048</v>
      </c>
      <c r="CB193" s="14" t="s">
        <v>2048</v>
      </c>
      <c r="CC193" s="14" t="s">
        <v>2048</v>
      </c>
      <c r="CD193" s="14" t="s">
        <v>2048</v>
      </c>
      <c r="CE193" s="14" t="s">
        <v>2048</v>
      </c>
      <c r="CF193" s="14" t="s">
        <v>2048</v>
      </c>
      <c r="CG193" s="14" t="s">
        <v>2057</v>
      </c>
      <c r="CH193" s="14" t="s">
        <v>2090</v>
      </c>
      <c r="CI193" s="14" t="s">
        <v>2048</v>
      </c>
      <c r="CJ193" s="17"/>
      <c r="CK193" s="17">
        <v>45625</v>
      </c>
      <c r="CL193" s="17">
        <v>45625</v>
      </c>
      <c r="CM193" s="17">
        <v>2958465</v>
      </c>
      <c r="CN193" s="17"/>
      <c r="CO193" s="19">
        <v>0</v>
      </c>
      <c r="CP193" s="19">
        <v>0</v>
      </c>
      <c r="CQ193" s="19">
        <v>0</v>
      </c>
      <c r="CR193" s="19">
        <v>0</v>
      </c>
      <c r="CS193" s="19">
        <v>0</v>
      </c>
      <c r="CT193" s="19">
        <v>0</v>
      </c>
      <c r="CU193" s="19">
        <v>0</v>
      </c>
      <c r="CV193" s="17"/>
      <c r="CW193" s="19">
        <v>0</v>
      </c>
      <c r="CX193" s="17"/>
      <c r="CY193" s="17"/>
      <c r="CZ193" s="19">
        <v>0</v>
      </c>
      <c r="DA193" s="17"/>
      <c r="DB193" s="17"/>
      <c r="DC193" s="19">
        <v>100</v>
      </c>
      <c r="DD193" s="17"/>
      <c r="DE193" s="17">
        <v>2958465</v>
      </c>
      <c r="DF193" s="17"/>
      <c r="DG193" s="17"/>
      <c r="DH193" s="19">
        <v>0</v>
      </c>
      <c r="DI193" s="19">
        <v>0</v>
      </c>
    </row>
    <row r="194" spans="1:113" x14ac:dyDescent="0.2">
      <c r="A194" s="14" t="s">
        <v>2315</v>
      </c>
      <c r="B194" s="16" t="s">
        <v>494</v>
      </c>
      <c r="C194" s="14" t="s">
        <v>158</v>
      </c>
      <c r="D194" s="14" t="s">
        <v>159</v>
      </c>
      <c r="E194" s="14" t="s">
        <v>158</v>
      </c>
      <c r="F194" s="14" t="s">
        <v>2044</v>
      </c>
      <c r="G194" s="14" t="s">
        <v>2045</v>
      </c>
      <c r="H194" s="14" t="s">
        <v>102</v>
      </c>
      <c r="I194" s="14" t="s">
        <v>103</v>
      </c>
      <c r="J194" s="16">
        <f>COUNTIF($I$3:I194, I194)</f>
        <v>41</v>
      </c>
      <c r="K194" s="14" t="s">
        <v>2048</v>
      </c>
      <c r="L194" s="14" t="s">
        <v>2048</v>
      </c>
      <c r="M194" s="14" t="s">
        <v>2048</v>
      </c>
      <c r="N194" s="14" t="s">
        <v>2048</v>
      </c>
      <c r="O194" s="14" t="s">
        <v>3317</v>
      </c>
      <c r="P194" s="14" t="s">
        <v>496</v>
      </c>
      <c r="Q194" s="14" t="s">
        <v>72</v>
      </c>
      <c r="R194" s="14" t="s">
        <v>2048</v>
      </c>
      <c r="S194" s="14" t="s">
        <v>2048</v>
      </c>
      <c r="T194" s="14" t="s">
        <v>2048</v>
      </c>
      <c r="U194" s="14" t="s">
        <v>2048</v>
      </c>
      <c r="V194" s="14" t="s">
        <v>2050</v>
      </c>
      <c r="W194" s="14" t="s">
        <v>2048</v>
      </c>
      <c r="X194" s="14" t="s">
        <v>2048</v>
      </c>
      <c r="Y194" s="14" t="s">
        <v>2048</v>
      </c>
      <c r="Z194" s="14" t="s">
        <v>2048</v>
      </c>
      <c r="AA194" s="14" t="s">
        <v>2048</v>
      </c>
      <c r="AB194" s="14" t="s">
        <v>85</v>
      </c>
      <c r="AC194" s="14" t="s">
        <v>86</v>
      </c>
      <c r="AD194" s="14" t="s">
        <v>2072</v>
      </c>
      <c r="AE194" s="14" t="s">
        <v>2073</v>
      </c>
      <c r="AF194" s="14" t="s">
        <v>2055</v>
      </c>
      <c r="AG194" s="14" t="s">
        <v>2056</v>
      </c>
      <c r="AH194" s="14" t="s">
        <v>2055</v>
      </c>
      <c r="AI194" s="14" t="s">
        <v>2057</v>
      </c>
      <c r="AJ194" s="14" t="s">
        <v>87</v>
      </c>
      <c r="AK194" s="14" t="s">
        <v>2048</v>
      </c>
      <c r="AL194" s="14" t="s">
        <v>2048</v>
      </c>
      <c r="AM194" s="14" t="s">
        <v>2444</v>
      </c>
      <c r="AN194" s="14" t="s">
        <v>3318</v>
      </c>
      <c r="AO194" s="17" t="s">
        <v>89</v>
      </c>
      <c r="AP194" s="14" t="s">
        <v>2135</v>
      </c>
      <c r="AQ194" s="14" t="s">
        <v>939</v>
      </c>
      <c r="AR194" s="14" t="s">
        <v>3319</v>
      </c>
      <c r="AS194" s="14" t="s">
        <v>3320</v>
      </c>
      <c r="AT194" s="14" t="s">
        <v>72</v>
      </c>
      <c r="AU194" s="14" t="s">
        <v>2881</v>
      </c>
      <c r="AV194" s="14" t="s">
        <v>2882</v>
      </c>
      <c r="AW194" s="14" t="s">
        <v>2048</v>
      </c>
      <c r="AX194" s="14" t="s">
        <v>2048</v>
      </c>
      <c r="AY194" s="14" t="s">
        <v>102</v>
      </c>
      <c r="AZ194" s="14" t="s">
        <v>495</v>
      </c>
      <c r="BA194" s="14" t="s">
        <v>3321</v>
      </c>
      <c r="BB194" s="14" t="s">
        <v>2048</v>
      </c>
      <c r="BC194" s="14" t="s">
        <v>2048</v>
      </c>
      <c r="BD194" s="14" t="s">
        <v>2282</v>
      </c>
      <c r="BE194" s="14" t="s">
        <v>2782</v>
      </c>
      <c r="BF194" s="14" t="s">
        <v>2783</v>
      </c>
      <c r="BG194" s="14" t="s">
        <v>2784</v>
      </c>
      <c r="BH194" s="14" t="s">
        <v>2884</v>
      </c>
      <c r="BI194" s="14" t="s">
        <v>2287</v>
      </c>
      <c r="BJ194" s="14" t="s">
        <v>2048</v>
      </c>
      <c r="BK194" s="14" t="s">
        <v>2518</v>
      </c>
      <c r="BL194" s="14" t="s">
        <v>2064</v>
      </c>
      <c r="BM194" s="14" t="s">
        <v>72</v>
      </c>
      <c r="BN194" s="14" t="s">
        <v>72</v>
      </c>
      <c r="BO194" s="14" t="s">
        <v>3322</v>
      </c>
      <c r="BP194" s="14" t="s">
        <v>3323</v>
      </c>
      <c r="BQ194" s="14" t="s">
        <v>3324</v>
      </c>
      <c r="BR194" s="14" t="s">
        <v>2418</v>
      </c>
      <c r="BS194" s="14" t="s">
        <v>2089</v>
      </c>
      <c r="BT194" s="14" t="s">
        <v>2048</v>
      </c>
      <c r="BU194" s="14" t="s">
        <v>2048</v>
      </c>
      <c r="BV194" s="14" t="s">
        <v>2048</v>
      </c>
      <c r="BW194" s="14" t="s">
        <v>2048</v>
      </c>
      <c r="BX194" s="14" t="s">
        <v>72</v>
      </c>
      <c r="BY194" s="14" t="s">
        <v>2048</v>
      </c>
      <c r="BZ194" s="14" t="s">
        <v>2048</v>
      </c>
      <c r="CA194" s="14" t="s">
        <v>2048</v>
      </c>
      <c r="CB194" s="14" t="s">
        <v>2048</v>
      </c>
      <c r="CC194" s="14" t="s">
        <v>2048</v>
      </c>
      <c r="CD194" s="14" t="s">
        <v>2048</v>
      </c>
      <c r="CE194" s="14" t="s">
        <v>2048</v>
      </c>
      <c r="CF194" s="14" t="s">
        <v>2048</v>
      </c>
      <c r="CG194" s="14" t="s">
        <v>2057</v>
      </c>
      <c r="CH194" s="14" t="s">
        <v>2090</v>
      </c>
      <c r="CI194" s="14" t="s">
        <v>2048</v>
      </c>
      <c r="CJ194" s="17"/>
      <c r="CK194" s="17">
        <v>45625</v>
      </c>
      <c r="CL194" s="17">
        <v>45625</v>
      </c>
      <c r="CM194" s="17">
        <v>2958465</v>
      </c>
      <c r="CN194" s="17"/>
      <c r="CO194" s="19">
        <v>0</v>
      </c>
      <c r="CP194" s="19">
        <v>0</v>
      </c>
      <c r="CQ194" s="19">
        <v>0</v>
      </c>
      <c r="CR194" s="19">
        <v>0</v>
      </c>
      <c r="CS194" s="19">
        <v>0</v>
      </c>
      <c r="CT194" s="19">
        <v>0</v>
      </c>
      <c r="CU194" s="19">
        <v>0</v>
      </c>
      <c r="CV194" s="17"/>
      <c r="CW194" s="19">
        <v>0</v>
      </c>
      <c r="CX194" s="17"/>
      <c r="CY194" s="17"/>
      <c r="CZ194" s="19">
        <v>0</v>
      </c>
      <c r="DA194" s="17"/>
      <c r="DB194" s="17"/>
      <c r="DC194" s="19">
        <v>100</v>
      </c>
      <c r="DD194" s="17"/>
      <c r="DE194" s="17">
        <v>2958465</v>
      </c>
      <c r="DF194" s="17"/>
      <c r="DG194" s="17"/>
      <c r="DH194" s="19">
        <v>0</v>
      </c>
      <c r="DI194" s="19">
        <v>0</v>
      </c>
    </row>
    <row r="195" spans="1:113" x14ac:dyDescent="0.2">
      <c r="A195" s="14" t="s">
        <v>2315</v>
      </c>
      <c r="B195" s="16" t="s">
        <v>713</v>
      </c>
      <c r="C195" s="14" t="s">
        <v>158</v>
      </c>
      <c r="D195" s="14" t="s">
        <v>159</v>
      </c>
      <c r="E195" s="14" t="s">
        <v>158</v>
      </c>
      <c r="F195" s="14" t="s">
        <v>2044</v>
      </c>
      <c r="G195" s="14" t="s">
        <v>2045</v>
      </c>
      <c r="H195" s="14" t="s">
        <v>102</v>
      </c>
      <c r="I195" s="14" t="s">
        <v>103</v>
      </c>
      <c r="J195" s="16">
        <f>COUNTIF($I$3:I195, I195)</f>
        <v>42</v>
      </c>
      <c r="K195" s="14" t="s">
        <v>2048</v>
      </c>
      <c r="L195" s="14" t="s">
        <v>2048</v>
      </c>
      <c r="M195" s="14" t="s">
        <v>2048</v>
      </c>
      <c r="N195" s="14" t="s">
        <v>2048</v>
      </c>
      <c r="O195" s="14" t="s">
        <v>3325</v>
      </c>
      <c r="P195" s="14" t="s">
        <v>715</v>
      </c>
      <c r="Q195" s="14" t="s">
        <v>2048</v>
      </c>
      <c r="R195" s="14" t="s">
        <v>2048</v>
      </c>
      <c r="S195" s="14" t="s">
        <v>2048</v>
      </c>
      <c r="T195" s="14" t="s">
        <v>2048</v>
      </c>
      <c r="U195" s="14" t="s">
        <v>2048</v>
      </c>
      <c r="V195" s="14" t="s">
        <v>2050</v>
      </c>
      <c r="W195" s="14" t="s">
        <v>2048</v>
      </c>
      <c r="X195" s="14" t="s">
        <v>2048</v>
      </c>
      <c r="Y195" s="14" t="s">
        <v>2048</v>
      </c>
      <c r="Z195" s="14" t="s">
        <v>2048</v>
      </c>
      <c r="AA195" s="14" t="s">
        <v>2048</v>
      </c>
      <c r="AB195" s="14" t="s">
        <v>85</v>
      </c>
      <c r="AC195" s="14" t="s">
        <v>86</v>
      </c>
      <c r="AD195" s="14" t="s">
        <v>2072</v>
      </c>
      <c r="AE195" s="14" t="s">
        <v>2073</v>
      </c>
      <c r="AF195" s="14" t="s">
        <v>2056</v>
      </c>
      <c r="AG195" s="14" t="s">
        <v>2056</v>
      </c>
      <c r="AH195" s="14" t="s">
        <v>2055</v>
      </c>
      <c r="AI195" s="14" t="s">
        <v>2057</v>
      </c>
      <c r="AJ195" s="14" t="s">
        <v>87</v>
      </c>
      <c r="AK195" s="14" t="s">
        <v>2048</v>
      </c>
      <c r="AL195" s="14" t="s">
        <v>2048</v>
      </c>
      <c r="AM195" s="14" t="s">
        <v>3326</v>
      </c>
      <c r="AN195" s="14" t="s">
        <v>3327</v>
      </c>
      <c r="AO195" s="17" t="s">
        <v>89</v>
      </c>
      <c r="AP195" s="14" t="s">
        <v>2135</v>
      </c>
      <c r="AQ195" s="14" t="s">
        <v>3328</v>
      </c>
      <c r="AR195" s="14" t="s">
        <v>2060</v>
      </c>
      <c r="AS195" s="14" t="s">
        <v>2048</v>
      </c>
      <c r="AT195" s="14" t="s">
        <v>72</v>
      </c>
      <c r="AU195" s="14" t="s">
        <v>3145</v>
      </c>
      <c r="AV195" s="14" t="s">
        <v>3146</v>
      </c>
      <c r="AW195" s="14" t="s">
        <v>2048</v>
      </c>
      <c r="AX195" s="14" t="s">
        <v>2048</v>
      </c>
      <c r="AY195" s="14" t="s">
        <v>102</v>
      </c>
      <c r="AZ195" s="14" t="s">
        <v>714</v>
      </c>
      <c r="BA195" s="14" t="s">
        <v>3329</v>
      </c>
      <c r="BB195" s="14" t="s">
        <v>2048</v>
      </c>
      <c r="BC195" s="14" t="s">
        <v>2048</v>
      </c>
      <c r="BD195" s="14" t="s">
        <v>2282</v>
      </c>
      <c r="BE195" s="14" t="s">
        <v>2782</v>
      </c>
      <c r="BF195" s="14" t="s">
        <v>2783</v>
      </c>
      <c r="BG195" s="14" t="s">
        <v>2784</v>
      </c>
      <c r="BH195" s="14" t="s">
        <v>3148</v>
      </c>
      <c r="BI195" s="14" t="s">
        <v>2287</v>
      </c>
      <c r="BJ195" s="14" t="s">
        <v>2048</v>
      </c>
      <c r="BK195" s="14" t="s">
        <v>2048</v>
      </c>
      <c r="BL195" s="14" t="s">
        <v>2064</v>
      </c>
      <c r="BM195" s="14" t="s">
        <v>72</v>
      </c>
      <c r="BN195" s="14" t="s">
        <v>72</v>
      </c>
      <c r="BO195" s="14" t="s">
        <v>3330</v>
      </c>
      <c r="BP195" s="14" t="s">
        <v>2048</v>
      </c>
      <c r="BQ195" s="14" t="s">
        <v>2048</v>
      </c>
      <c r="BR195" s="14" t="s">
        <v>2418</v>
      </c>
      <c r="BS195" s="14" t="s">
        <v>2089</v>
      </c>
      <c r="BT195" s="14" t="s">
        <v>2048</v>
      </c>
      <c r="BU195" s="14" t="s">
        <v>2048</v>
      </c>
      <c r="BV195" s="14" t="s">
        <v>2048</v>
      </c>
      <c r="BW195" s="14" t="s">
        <v>2048</v>
      </c>
      <c r="BX195" s="14" t="s">
        <v>72</v>
      </c>
      <c r="BY195" s="14" t="s">
        <v>2048</v>
      </c>
      <c r="BZ195" s="14" t="s">
        <v>2048</v>
      </c>
      <c r="CA195" s="14" t="s">
        <v>2048</v>
      </c>
      <c r="CB195" s="14" t="s">
        <v>2048</v>
      </c>
      <c r="CC195" s="14" t="s">
        <v>2048</v>
      </c>
      <c r="CD195" s="14" t="s">
        <v>2048</v>
      </c>
      <c r="CE195" s="14" t="s">
        <v>2048</v>
      </c>
      <c r="CF195" s="14" t="s">
        <v>2048</v>
      </c>
      <c r="CG195" s="14" t="s">
        <v>2057</v>
      </c>
      <c r="CH195" s="14" t="s">
        <v>2090</v>
      </c>
      <c r="CI195" s="14" t="s">
        <v>2048</v>
      </c>
      <c r="CJ195" s="17"/>
      <c r="CK195" s="17">
        <v>45625</v>
      </c>
      <c r="CL195" s="17">
        <v>45625</v>
      </c>
      <c r="CM195" s="17">
        <v>2958465</v>
      </c>
      <c r="CN195" s="17"/>
      <c r="CO195" s="19">
        <v>0</v>
      </c>
      <c r="CP195" s="19">
        <v>0</v>
      </c>
      <c r="CQ195" s="19">
        <v>0</v>
      </c>
      <c r="CR195" s="19">
        <v>0</v>
      </c>
      <c r="CS195" s="19">
        <v>0</v>
      </c>
      <c r="CT195" s="19">
        <v>0</v>
      </c>
      <c r="CU195" s="19">
        <v>0</v>
      </c>
      <c r="CV195" s="17"/>
      <c r="CW195" s="19">
        <v>0</v>
      </c>
      <c r="CX195" s="17"/>
      <c r="CY195" s="17"/>
      <c r="CZ195" s="19">
        <v>0</v>
      </c>
      <c r="DA195" s="17"/>
      <c r="DB195" s="17"/>
      <c r="DC195" s="19">
        <v>100</v>
      </c>
      <c r="DD195" s="17"/>
      <c r="DE195" s="17">
        <v>2958465</v>
      </c>
      <c r="DF195" s="17"/>
      <c r="DG195" s="17"/>
      <c r="DH195" s="19">
        <v>0</v>
      </c>
      <c r="DI195" s="19">
        <v>0</v>
      </c>
    </row>
    <row r="196" spans="1:113" x14ac:dyDescent="0.2">
      <c r="A196" s="14" t="s">
        <v>2315</v>
      </c>
      <c r="B196" s="16" t="s">
        <v>720</v>
      </c>
      <c r="C196" s="14" t="s">
        <v>158</v>
      </c>
      <c r="D196" s="14" t="s">
        <v>159</v>
      </c>
      <c r="E196" s="14" t="s">
        <v>158</v>
      </c>
      <c r="F196" s="14" t="s">
        <v>2044</v>
      </c>
      <c r="G196" s="14" t="s">
        <v>2045</v>
      </c>
      <c r="H196" s="14" t="s">
        <v>102</v>
      </c>
      <c r="I196" s="14" t="s">
        <v>103</v>
      </c>
      <c r="J196" s="16">
        <f>COUNTIF($I$3:I196, I196)</f>
        <v>43</v>
      </c>
      <c r="K196" s="14" t="s">
        <v>2048</v>
      </c>
      <c r="L196" s="14" t="s">
        <v>2048</v>
      </c>
      <c r="M196" s="14" t="s">
        <v>2048</v>
      </c>
      <c r="N196" s="14" t="s">
        <v>2048</v>
      </c>
      <c r="O196" s="14" t="s">
        <v>3331</v>
      </c>
      <c r="P196" s="14" t="s">
        <v>721</v>
      </c>
      <c r="Q196" s="14" t="s">
        <v>72</v>
      </c>
      <c r="R196" s="14" t="s">
        <v>2048</v>
      </c>
      <c r="S196" s="14" t="s">
        <v>2048</v>
      </c>
      <c r="T196" s="14" t="s">
        <v>2048</v>
      </c>
      <c r="U196" s="14" t="s">
        <v>2048</v>
      </c>
      <c r="V196" s="14" t="s">
        <v>2050</v>
      </c>
      <c r="W196" s="14" t="s">
        <v>2048</v>
      </c>
      <c r="X196" s="14" t="s">
        <v>2048</v>
      </c>
      <c r="Y196" s="14" t="s">
        <v>2048</v>
      </c>
      <c r="Z196" s="14" t="s">
        <v>2048</v>
      </c>
      <c r="AA196" s="14" t="s">
        <v>2048</v>
      </c>
      <c r="AB196" s="14" t="s">
        <v>85</v>
      </c>
      <c r="AC196" s="14" t="s">
        <v>86</v>
      </c>
      <c r="AD196" s="14" t="s">
        <v>2072</v>
      </c>
      <c r="AE196" s="14" t="s">
        <v>2073</v>
      </c>
      <c r="AF196" s="14" t="s">
        <v>2056</v>
      </c>
      <c r="AG196" s="14" t="s">
        <v>2055</v>
      </c>
      <c r="AH196" s="14" t="s">
        <v>2055</v>
      </c>
      <c r="AI196" s="14" t="s">
        <v>2057</v>
      </c>
      <c r="AJ196" s="14" t="s">
        <v>87</v>
      </c>
      <c r="AK196" s="14" t="s">
        <v>2048</v>
      </c>
      <c r="AL196" s="14" t="s">
        <v>2048</v>
      </c>
      <c r="AM196" s="14" t="s">
        <v>3326</v>
      </c>
      <c r="AN196" s="14" t="s">
        <v>3144</v>
      </c>
      <c r="AO196" s="17" t="s">
        <v>89</v>
      </c>
      <c r="AP196" s="14" t="s">
        <v>2135</v>
      </c>
      <c r="AQ196" s="14" t="s">
        <v>3332</v>
      </c>
      <c r="AR196" s="14" t="s">
        <v>3333</v>
      </c>
      <c r="AS196" s="14" t="s">
        <v>3334</v>
      </c>
      <c r="AT196" s="14" t="s">
        <v>72</v>
      </c>
      <c r="AU196" s="14" t="s">
        <v>3145</v>
      </c>
      <c r="AV196" s="14" t="s">
        <v>3146</v>
      </c>
      <c r="AW196" s="14" t="s">
        <v>2048</v>
      </c>
      <c r="AX196" s="14" t="s">
        <v>2048</v>
      </c>
      <c r="AY196" s="14" t="s">
        <v>102</v>
      </c>
      <c r="AZ196" s="14" t="s">
        <v>301</v>
      </c>
      <c r="BA196" s="14" t="s">
        <v>3147</v>
      </c>
      <c r="BB196" s="14" t="s">
        <v>2048</v>
      </c>
      <c r="BC196" s="14" t="s">
        <v>2048</v>
      </c>
      <c r="BD196" s="14" t="s">
        <v>2282</v>
      </c>
      <c r="BE196" s="14" t="s">
        <v>2782</v>
      </c>
      <c r="BF196" s="14" t="s">
        <v>2783</v>
      </c>
      <c r="BG196" s="14" t="s">
        <v>2784</v>
      </c>
      <c r="BH196" s="14" t="s">
        <v>3148</v>
      </c>
      <c r="BI196" s="14" t="s">
        <v>2287</v>
      </c>
      <c r="BJ196" s="14" t="s">
        <v>2048</v>
      </c>
      <c r="BK196" s="14" t="s">
        <v>2048</v>
      </c>
      <c r="BL196" s="14" t="s">
        <v>2064</v>
      </c>
      <c r="BM196" s="14" t="s">
        <v>72</v>
      </c>
      <c r="BN196" s="14" t="s">
        <v>72</v>
      </c>
      <c r="BO196" s="14" t="s">
        <v>3335</v>
      </c>
      <c r="BP196" s="14" t="s">
        <v>3150</v>
      </c>
      <c r="BQ196" s="14" t="s">
        <v>3144</v>
      </c>
      <c r="BR196" s="14" t="s">
        <v>2418</v>
      </c>
      <c r="BS196" s="14" t="s">
        <v>2089</v>
      </c>
      <c r="BT196" s="14" t="s">
        <v>2048</v>
      </c>
      <c r="BU196" s="14" t="s">
        <v>2048</v>
      </c>
      <c r="BV196" s="14" t="s">
        <v>2048</v>
      </c>
      <c r="BW196" s="14" t="s">
        <v>2048</v>
      </c>
      <c r="BX196" s="14" t="s">
        <v>72</v>
      </c>
      <c r="BY196" s="14" t="s">
        <v>2048</v>
      </c>
      <c r="BZ196" s="14" t="s">
        <v>2048</v>
      </c>
      <c r="CA196" s="14" t="s">
        <v>2048</v>
      </c>
      <c r="CB196" s="14" t="s">
        <v>2048</v>
      </c>
      <c r="CC196" s="14" t="s">
        <v>2048</v>
      </c>
      <c r="CD196" s="14" t="s">
        <v>2048</v>
      </c>
      <c r="CE196" s="14" t="s">
        <v>2048</v>
      </c>
      <c r="CF196" s="14" t="s">
        <v>2048</v>
      </c>
      <c r="CG196" s="14" t="s">
        <v>2057</v>
      </c>
      <c r="CH196" s="14" t="s">
        <v>2090</v>
      </c>
      <c r="CI196" s="14" t="s">
        <v>2048</v>
      </c>
      <c r="CJ196" s="17"/>
      <c r="CK196" s="17">
        <v>45625</v>
      </c>
      <c r="CL196" s="17">
        <v>45625</v>
      </c>
      <c r="CM196" s="17">
        <v>2958465</v>
      </c>
      <c r="CN196" s="17"/>
      <c r="CO196" s="19">
        <v>0</v>
      </c>
      <c r="CP196" s="19">
        <v>0</v>
      </c>
      <c r="CQ196" s="19">
        <v>0</v>
      </c>
      <c r="CR196" s="19">
        <v>0</v>
      </c>
      <c r="CS196" s="19">
        <v>0</v>
      </c>
      <c r="CT196" s="19">
        <v>0</v>
      </c>
      <c r="CU196" s="19">
        <v>0</v>
      </c>
      <c r="CV196" s="17"/>
      <c r="CW196" s="19">
        <v>0</v>
      </c>
      <c r="CX196" s="17"/>
      <c r="CY196" s="17"/>
      <c r="CZ196" s="19">
        <v>0</v>
      </c>
      <c r="DA196" s="17"/>
      <c r="DB196" s="17"/>
      <c r="DC196" s="19">
        <v>100</v>
      </c>
      <c r="DD196" s="17"/>
      <c r="DE196" s="17">
        <v>2958465</v>
      </c>
      <c r="DF196" s="17"/>
      <c r="DG196" s="17"/>
      <c r="DH196" s="19">
        <v>0</v>
      </c>
      <c r="DI196" s="19">
        <v>0</v>
      </c>
    </row>
    <row r="197" spans="1:113" x14ac:dyDescent="0.2">
      <c r="A197" s="14" t="s">
        <v>2315</v>
      </c>
      <c r="B197" s="16" t="s">
        <v>834</v>
      </c>
      <c r="C197" s="14" t="s">
        <v>158</v>
      </c>
      <c r="D197" s="14" t="s">
        <v>159</v>
      </c>
      <c r="E197" s="14" t="s">
        <v>158</v>
      </c>
      <c r="F197" s="14" t="s">
        <v>2044</v>
      </c>
      <c r="G197" s="14" t="s">
        <v>2045</v>
      </c>
      <c r="H197" s="14" t="s">
        <v>102</v>
      </c>
      <c r="I197" s="14" t="s">
        <v>103</v>
      </c>
      <c r="J197" s="16">
        <f>COUNTIF($I$3:I197, I197)</f>
        <v>44</v>
      </c>
      <c r="K197" s="14" t="s">
        <v>2048</v>
      </c>
      <c r="L197" s="14" t="s">
        <v>2048</v>
      </c>
      <c r="M197" s="14" t="s">
        <v>2048</v>
      </c>
      <c r="N197" s="14" t="s">
        <v>2048</v>
      </c>
      <c r="O197" s="14" t="s">
        <v>3336</v>
      </c>
      <c r="P197" s="14" t="s">
        <v>836</v>
      </c>
      <c r="Q197" s="14" t="s">
        <v>72</v>
      </c>
      <c r="R197" s="14" t="s">
        <v>2048</v>
      </c>
      <c r="S197" s="14" t="s">
        <v>2048</v>
      </c>
      <c r="T197" s="14" t="s">
        <v>2048</v>
      </c>
      <c r="U197" s="14" t="s">
        <v>2048</v>
      </c>
      <c r="V197" s="14" t="s">
        <v>2050</v>
      </c>
      <c r="W197" s="14" t="s">
        <v>2048</v>
      </c>
      <c r="X197" s="14" t="s">
        <v>2048</v>
      </c>
      <c r="Y197" s="14" t="s">
        <v>2048</v>
      </c>
      <c r="Z197" s="14" t="s">
        <v>2048</v>
      </c>
      <c r="AA197" s="14" t="s">
        <v>2048</v>
      </c>
      <c r="AB197" s="14" t="s">
        <v>85</v>
      </c>
      <c r="AC197" s="14" t="s">
        <v>86</v>
      </c>
      <c r="AD197" s="14" t="s">
        <v>2072</v>
      </c>
      <c r="AE197" s="14" t="s">
        <v>2073</v>
      </c>
      <c r="AF197" s="14" t="s">
        <v>2056</v>
      </c>
      <c r="AG197" s="14" t="s">
        <v>2056</v>
      </c>
      <c r="AH197" s="14" t="s">
        <v>2055</v>
      </c>
      <c r="AI197" s="14" t="s">
        <v>2057</v>
      </c>
      <c r="AJ197" s="14" t="s">
        <v>87</v>
      </c>
      <c r="AK197" s="14" t="s">
        <v>2048</v>
      </c>
      <c r="AL197" s="14" t="s">
        <v>2048</v>
      </c>
      <c r="AM197" s="14" t="s">
        <v>2048</v>
      </c>
      <c r="AN197" s="14" t="s">
        <v>3337</v>
      </c>
      <c r="AO197" s="17" t="s">
        <v>89</v>
      </c>
      <c r="AP197" s="14" t="s">
        <v>2135</v>
      </c>
      <c r="AQ197" s="14" t="s">
        <v>3338</v>
      </c>
      <c r="AR197" s="14" t="s">
        <v>3339</v>
      </c>
      <c r="AS197" s="14" t="s">
        <v>3340</v>
      </c>
      <c r="AT197" s="14" t="s">
        <v>72</v>
      </c>
      <c r="AU197" s="14" t="s">
        <v>2279</v>
      </c>
      <c r="AV197" s="14" t="s">
        <v>2280</v>
      </c>
      <c r="AW197" s="14" t="s">
        <v>2048</v>
      </c>
      <c r="AX197" s="14" t="s">
        <v>2048</v>
      </c>
      <c r="AY197" s="14" t="s">
        <v>102</v>
      </c>
      <c r="AZ197" s="14" t="s">
        <v>835</v>
      </c>
      <c r="BA197" s="14" t="s">
        <v>3341</v>
      </c>
      <c r="BB197" s="14" t="s">
        <v>2048</v>
      </c>
      <c r="BC197" s="14" t="s">
        <v>2048</v>
      </c>
      <c r="BD197" s="14" t="s">
        <v>2282</v>
      </c>
      <c r="BE197" s="14" t="s">
        <v>2782</v>
      </c>
      <c r="BF197" s="14" t="s">
        <v>2783</v>
      </c>
      <c r="BG197" s="14" t="s">
        <v>2784</v>
      </c>
      <c r="BH197" s="14" t="s">
        <v>3342</v>
      </c>
      <c r="BI197" s="14" t="s">
        <v>2287</v>
      </c>
      <c r="BJ197" s="14" t="s">
        <v>2048</v>
      </c>
      <c r="BK197" s="14" t="s">
        <v>2048</v>
      </c>
      <c r="BL197" s="14" t="s">
        <v>2064</v>
      </c>
      <c r="BM197" s="14" t="s">
        <v>72</v>
      </c>
      <c r="BN197" s="14" t="s">
        <v>72</v>
      </c>
      <c r="BO197" s="14" t="s">
        <v>3343</v>
      </c>
      <c r="BP197" s="14" t="s">
        <v>3344</v>
      </c>
      <c r="BQ197" s="14" t="s">
        <v>3345</v>
      </c>
      <c r="BR197" s="14" t="s">
        <v>2418</v>
      </c>
      <c r="BS197" s="14" t="s">
        <v>2089</v>
      </c>
      <c r="BT197" s="14" t="s">
        <v>2048</v>
      </c>
      <c r="BU197" s="14" t="s">
        <v>2048</v>
      </c>
      <c r="BV197" s="14" t="s">
        <v>2048</v>
      </c>
      <c r="BW197" s="14" t="s">
        <v>2048</v>
      </c>
      <c r="BX197" s="14" t="s">
        <v>72</v>
      </c>
      <c r="BY197" s="14" t="s">
        <v>2048</v>
      </c>
      <c r="BZ197" s="14" t="s">
        <v>2048</v>
      </c>
      <c r="CA197" s="14" t="s">
        <v>2048</v>
      </c>
      <c r="CB197" s="14" t="s">
        <v>2048</v>
      </c>
      <c r="CC197" s="14" t="s">
        <v>2048</v>
      </c>
      <c r="CD197" s="14" t="s">
        <v>2048</v>
      </c>
      <c r="CE197" s="14" t="s">
        <v>2048</v>
      </c>
      <c r="CF197" s="14" t="s">
        <v>2048</v>
      </c>
      <c r="CG197" s="14" t="s">
        <v>2057</v>
      </c>
      <c r="CH197" s="14" t="s">
        <v>2090</v>
      </c>
      <c r="CI197" s="14" t="s">
        <v>2048</v>
      </c>
      <c r="CJ197" s="17"/>
      <c r="CK197" s="17">
        <v>45625</v>
      </c>
      <c r="CL197" s="17">
        <v>45625</v>
      </c>
      <c r="CM197" s="17">
        <v>2958465</v>
      </c>
      <c r="CN197" s="17"/>
      <c r="CO197" s="19">
        <v>0</v>
      </c>
      <c r="CP197" s="19">
        <v>0</v>
      </c>
      <c r="CQ197" s="19">
        <v>0</v>
      </c>
      <c r="CR197" s="19">
        <v>0</v>
      </c>
      <c r="CS197" s="19">
        <v>0</v>
      </c>
      <c r="CT197" s="19">
        <v>0</v>
      </c>
      <c r="CU197" s="19">
        <v>0</v>
      </c>
      <c r="CV197" s="17"/>
      <c r="CW197" s="19">
        <v>0</v>
      </c>
      <c r="CX197" s="17"/>
      <c r="CY197" s="17"/>
      <c r="CZ197" s="19">
        <v>0</v>
      </c>
      <c r="DA197" s="17"/>
      <c r="DB197" s="17"/>
      <c r="DC197" s="19">
        <v>100</v>
      </c>
      <c r="DD197" s="17"/>
      <c r="DE197" s="17">
        <v>2958465</v>
      </c>
      <c r="DF197" s="17"/>
      <c r="DG197" s="17"/>
      <c r="DH197" s="19">
        <v>0</v>
      </c>
      <c r="DI197" s="19">
        <v>0</v>
      </c>
    </row>
    <row r="198" spans="1:113" x14ac:dyDescent="0.2">
      <c r="A198" s="14" t="s">
        <v>2315</v>
      </c>
      <c r="B198" s="16" t="s">
        <v>994</v>
      </c>
      <c r="C198" s="14" t="s">
        <v>158</v>
      </c>
      <c r="D198" s="14" t="s">
        <v>159</v>
      </c>
      <c r="E198" s="14" t="s">
        <v>158</v>
      </c>
      <c r="F198" s="14" t="s">
        <v>2044</v>
      </c>
      <c r="G198" s="14" t="s">
        <v>2045</v>
      </c>
      <c r="H198" s="14" t="s">
        <v>102</v>
      </c>
      <c r="I198" s="14" t="s">
        <v>103</v>
      </c>
      <c r="J198" s="16">
        <f>COUNTIF($I$3:I198, I198)</f>
        <v>45</v>
      </c>
      <c r="K198" s="14" t="s">
        <v>2048</v>
      </c>
      <c r="L198" s="14" t="s">
        <v>2048</v>
      </c>
      <c r="M198" s="14" t="s">
        <v>2048</v>
      </c>
      <c r="N198" s="14" t="s">
        <v>2048</v>
      </c>
      <c r="O198" s="14" t="s">
        <v>2837</v>
      </c>
      <c r="P198" s="14" t="s">
        <v>995</v>
      </c>
      <c r="Q198" s="14" t="s">
        <v>72</v>
      </c>
      <c r="R198" s="14" t="s">
        <v>2048</v>
      </c>
      <c r="S198" s="14" t="s">
        <v>2048</v>
      </c>
      <c r="T198" s="14" t="s">
        <v>2048</v>
      </c>
      <c r="U198" s="14" t="s">
        <v>2048</v>
      </c>
      <c r="V198" s="14" t="s">
        <v>2050</v>
      </c>
      <c r="W198" s="14" t="s">
        <v>2048</v>
      </c>
      <c r="X198" s="14" t="s">
        <v>2048</v>
      </c>
      <c r="Y198" s="14" t="s">
        <v>2048</v>
      </c>
      <c r="Z198" s="14" t="s">
        <v>2048</v>
      </c>
      <c r="AA198" s="14" t="s">
        <v>2048</v>
      </c>
      <c r="AB198" s="14" t="s">
        <v>85</v>
      </c>
      <c r="AC198" s="14" t="s">
        <v>86</v>
      </c>
      <c r="AD198" s="14" t="s">
        <v>2072</v>
      </c>
      <c r="AE198" s="14" t="s">
        <v>2073</v>
      </c>
      <c r="AF198" s="14" t="s">
        <v>2056</v>
      </c>
      <c r="AG198" s="14" t="s">
        <v>2056</v>
      </c>
      <c r="AH198" s="14" t="s">
        <v>2055</v>
      </c>
      <c r="AI198" s="14" t="s">
        <v>2057</v>
      </c>
      <c r="AJ198" s="14" t="s">
        <v>87</v>
      </c>
      <c r="AK198" s="14" t="s">
        <v>2048</v>
      </c>
      <c r="AL198" s="14" t="s">
        <v>2048</v>
      </c>
      <c r="AM198" s="14" t="s">
        <v>3326</v>
      </c>
      <c r="AN198" s="14" t="s">
        <v>3144</v>
      </c>
      <c r="AO198" s="17" t="s">
        <v>89</v>
      </c>
      <c r="AP198" s="14" t="s">
        <v>2135</v>
      </c>
      <c r="AQ198" s="14" t="s">
        <v>3346</v>
      </c>
      <c r="AR198" s="14" t="s">
        <v>3347</v>
      </c>
      <c r="AS198" s="14" t="s">
        <v>3348</v>
      </c>
      <c r="AT198" s="14" t="s">
        <v>72</v>
      </c>
      <c r="AU198" s="14" t="s">
        <v>3145</v>
      </c>
      <c r="AV198" s="14" t="s">
        <v>3146</v>
      </c>
      <c r="AW198" s="14" t="s">
        <v>2048</v>
      </c>
      <c r="AX198" s="14" t="s">
        <v>2048</v>
      </c>
      <c r="AY198" s="14" t="s">
        <v>102</v>
      </c>
      <c r="AZ198" s="14" t="s">
        <v>301</v>
      </c>
      <c r="BA198" s="14" t="s">
        <v>3147</v>
      </c>
      <c r="BB198" s="14" t="s">
        <v>2048</v>
      </c>
      <c r="BC198" s="14" t="s">
        <v>2048</v>
      </c>
      <c r="BD198" s="14" t="s">
        <v>2282</v>
      </c>
      <c r="BE198" s="14" t="s">
        <v>2782</v>
      </c>
      <c r="BF198" s="14" t="s">
        <v>2783</v>
      </c>
      <c r="BG198" s="14" t="s">
        <v>2784</v>
      </c>
      <c r="BH198" s="14" t="s">
        <v>3148</v>
      </c>
      <c r="BI198" s="14" t="s">
        <v>2287</v>
      </c>
      <c r="BJ198" s="14" t="s">
        <v>2048</v>
      </c>
      <c r="BK198" s="14" t="s">
        <v>2048</v>
      </c>
      <c r="BL198" s="14" t="s">
        <v>2064</v>
      </c>
      <c r="BM198" s="14" t="s">
        <v>72</v>
      </c>
      <c r="BN198" s="14" t="s">
        <v>72</v>
      </c>
      <c r="BO198" s="14" t="s">
        <v>3349</v>
      </c>
      <c r="BP198" s="14" t="s">
        <v>3150</v>
      </c>
      <c r="BQ198" s="14" t="s">
        <v>3144</v>
      </c>
      <c r="BR198" s="14" t="s">
        <v>2418</v>
      </c>
      <c r="BS198" s="14" t="s">
        <v>2089</v>
      </c>
      <c r="BT198" s="14" t="s">
        <v>2048</v>
      </c>
      <c r="BU198" s="14" t="s">
        <v>2048</v>
      </c>
      <c r="BV198" s="14" t="s">
        <v>2048</v>
      </c>
      <c r="BW198" s="14" t="s">
        <v>2048</v>
      </c>
      <c r="BX198" s="14" t="s">
        <v>72</v>
      </c>
      <c r="BY198" s="14" t="s">
        <v>2048</v>
      </c>
      <c r="BZ198" s="14" t="s">
        <v>2048</v>
      </c>
      <c r="CA198" s="14" t="s">
        <v>2048</v>
      </c>
      <c r="CB198" s="14" t="s">
        <v>2048</v>
      </c>
      <c r="CC198" s="14" t="s">
        <v>2048</v>
      </c>
      <c r="CD198" s="14" t="s">
        <v>2048</v>
      </c>
      <c r="CE198" s="14" t="s">
        <v>2048</v>
      </c>
      <c r="CF198" s="14" t="s">
        <v>2048</v>
      </c>
      <c r="CG198" s="14" t="s">
        <v>2057</v>
      </c>
      <c r="CH198" s="14" t="s">
        <v>2090</v>
      </c>
      <c r="CI198" s="14" t="s">
        <v>2048</v>
      </c>
      <c r="CJ198" s="17"/>
      <c r="CK198" s="17">
        <v>45625</v>
      </c>
      <c r="CL198" s="17">
        <v>45625</v>
      </c>
      <c r="CM198" s="17">
        <v>2958465</v>
      </c>
      <c r="CN198" s="17"/>
      <c r="CO198" s="19">
        <v>0</v>
      </c>
      <c r="CP198" s="19">
        <v>0</v>
      </c>
      <c r="CQ198" s="19">
        <v>0</v>
      </c>
      <c r="CR198" s="19">
        <v>0</v>
      </c>
      <c r="CS198" s="19">
        <v>0</v>
      </c>
      <c r="CT198" s="19">
        <v>0</v>
      </c>
      <c r="CU198" s="19">
        <v>0</v>
      </c>
      <c r="CV198" s="17"/>
      <c r="CW198" s="19">
        <v>0</v>
      </c>
      <c r="CX198" s="17"/>
      <c r="CY198" s="17"/>
      <c r="CZ198" s="19">
        <v>0</v>
      </c>
      <c r="DA198" s="17"/>
      <c r="DB198" s="17"/>
      <c r="DC198" s="19">
        <v>100</v>
      </c>
      <c r="DD198" s="17"/>
      <c r="DE198" s="17">
        <v>2958465</v>
      </c>
      <c r="DF198" s="17"/>
      <c r="DG198" s="17"/>
      <c r="DH198" s="19">
        <v>0</v>
      </c>
      <c r="DI198" s="19">
        <v>0</v>
      </c>
    </row>
    <row r="199" spans="1:113" x14ac:dyDescent="0.2">
      <c r="A199" s="14" t="s">
        <v>2315</v>
      </c>
      <c r="B199" s="16" t="s">
        <v>999</v>
      </c>
      <c r="C199" s="14" t="s">
        <v>158</v>
      </c>
      <c r="D199" s="14" t="s">
        <v>159</v>
      </c>
      <c r="E199" s="14" t="s">
        <v>158</v>
      </c>
      <c r="F199" s="14" t="s">
        <v>2044</v>
      </c>
      <c r="G199" s="14" t="s">
        <v>2045</v>
      </c>
      <c r="H199" s="14" t="s">
        <v>102</v>
      </c>
      <c r="I199" s="14" t="s">
        <v>103</v>
      </c>
      <c r="J199" s="16">
        <f>COUNTIF($I$3:I199, I199)</f>
        <v>46</v>
      </c>
      <c r="K199" s="14" t="s">
        <v>2048</v>
      </c>
      <c r="L199" s="14" t="s">
        <v>2048</v>
      </c>
      <c r="M199" s="14" t="s">
        <v>2048</v>
      </c>
      <c r="N199" s="14" t="s">
        <v>2048</v>
      </c>
      <c r="O199" s="14" t="s">
        <v>3350</v>
      </c>
      <c r="P199" s="14" t="s">
        <v>1000</v>
      </c>
      <c r="Q199" s="14" t="s">
        <v>72</v>
      </c>
      <c r="R199" s="14" t="s">
        <v>2048</v>
      </c>
      <c r="S199" s="14" t="s">
        <v>2048</v>
      </c>
      <c r="T199" s="14" t="s">
        <v>2048</v>
      </c>
      <c r="U199" s="14" t="s">
        <v>2048</v>
      </c>
      <c r="V199" s="14" t="s">
        <v>2050</v>
      </c>
      <c r="W199" s="14" t="s">
        <v>2048</v>
      </c>
      <c r="X199" s="14" t="s">
        <v>2048</v>
      </c>
      <c r="Y199" s="14" t="s">
        <v>2048</v>
      </c>
      <c r="Z199" s="14" t="s">
        <v>2048</v>
      </c>
      <c r="AA199" s="14" t="s">
        <v>2048</v>
      </c>
      <c r="AB199" s="14" t="s">
        <v>85</v>
      </c>
      <c r="AC199" s="14" t="s">
        <v>86</v>
      </c>
      <c r="AD199" s="14" t="s">
        <v>2072</v>
      </c>
      <c r="AE199" s="14" t="s">
        <v>2073</v>
      </c>
      <c r="AF199" s="14" t="s">
        <v>2056</v>
      </c>
      <c r="AG199" s="14" t="s">
        <v>2055</v>
      </c>
      <c r="AH199" s="14" t="s">
        <v>2055</v>
      </c>
      <c r="AI199" s="14" t="s">
        <v>2057</v>
      </c>
      <c r="AJ199" s="14" t="s">
        <v>87</v>
      </c>
      <c r="AK199" s="14" t="s">
        <v>2048</v>
      </c>
      <c r="AL199" s="14" t="s">
        <v>2048</v>
      </c>
      <c r="AM199" s="14" t="s">
        <v>3326</v>
      </c>
      <c r="AN199" s="14" t="s">
        <v>3144</v>
      </c>
      <c r="AO199" s="17" t="s">
        <v>89</v>
      </c>
      <c r="AP199" s="14" t="s">
        <v>2135</v>
      </c>
      <c r="AQ199" s="14" t="s">
        <v>3351</v>
      </c>
      <c r="AR199" s="14" t="s">
        <v>2060</v>
      </c>
      <c r="AS199" s="14" t="s">
        <v>2048</v>
      </c>
      <c r="AT199" s="14" t="s">
        <v>72</v>
      </c>
      <c r="AU199" s="14" t="s">
        <v>3145</v>
      </c>
      <c r="AV199" s="14" t="s">
        <v>3146</v>
      </c>
      <c r="AW199" s="14" t="s">
        <v>2048</v>
      </c>
      <c r="AX199" s="14" t="s">
        <v>2048</v>
      </c>
      <c r="AY199" s="14" t="s">
        <v>102</v>
      </c>
      <c r="AZ199" s="14" t="s">
        <v>301</v>
      </c>
      <c r="BA199" s="14" t="s">
        <v>3147</v>
      </c>
      <c r="BB199" s="14" t="s">
        <v>2048</v>
      </c>
      <c r="BC199" s="14" t="s">
        <v>2048</v>
      </c>
      <c r="BD199" s="14" t="s">
        <v>2282</v>
      </c>
      <c r="BE199" s="14" t="s">
        <v>2782</v>
      </c>
      <c r="BF199" s="14" t="s">
        <v>2783</v>
      </c>
      <c r="BG199" s="14" t="s">
        <v>2784</v>
      </c>
      <c r="BH199" s="14" t="s">
        <v>3148</v>
      </c>
      <c r="BI199" s="14" t="s">
        <v>2287</v>
      </c>
      <c r="BJ199" s="14" t="s">
        <v>2048</v>
      </c>
      <c r="BK199" s="14" t="s">
        <v>2048</v>
      </c>
      <c r="BL199" s="14" t="s">
        <v>2064</v>
      </c>
      <c r="BM199" s="14" t="s">
        <v>72</v>
      </c>
      <c r="BN199" s="14" t="s">
        <v>72</v>
      </c>
      <c r="BO199" s="14" t="s">
        <v>3352</v>
      </c>
      <c r="BP199" s="14" t="s">
        <v>2048</v>
      </c>
      <c r="BQ199" s="14" t="s">
        <v>2048</v>
      </c>
      <c r="BR199" s="14" t="s">
        <v>2418</v>
      </c>
      <c r="BS199" s="14" t="s">
        <v>2089</v>
      </c>
      <c r="BT199" s="14" t="s">
        <v>2048</v>
      </c>
      <c r="BU199" s="14" t="s">
        <v>2048</v>
      </c>
      <c r="BV199" s="14" t="s">
        <v>2048</v>
      </c>
      <c r="BW199" s="14" t="s">
        <v>2048</v>
      </c>
      <c r="BX199" s="14" t="s">
        <v>72</v>
      </c>
      <c r="BY199" s="14" t="s">
        <v>2048</v>
      </c>
      <c r="BZ199" s="14" t="s">
        <v>2048</v>
      </c>
      <c r="CA199" s="14" t="s">
        <v>2048</v>
      </c>
      <c r="CB199" s="14" t="s">
        <v>2048</v>
      </c>
      <c r="CC199" s="14" t="s">
        <v>2048</v>
      </c>
      <c r="CD199" s="14" t="s">
        <v>2048</v>
      </c>
      <c r="CE199" s="14" t="s">
        <v>2048</v>
      </c>
      <c r="CF199" s="14" t="s">
        <v>2048</v>
      </c>
      <c r="CG199" s="14" t="s">
        <v>2057</v>
      </c>
      <c r="CH199" s="14" t="s">
        <v>2090</v>
      </c>
      <c r="CI199" s="14" t="s">
        <v>2048</v>
      </c>
      <c r="CJ199" s="17"/>
      <c r="CK199" s="17">
        <v>45625</v>
      </c>
      <c r="CL199" s="17">
        <v>45625</v>
      </c>
      <c r="CM199" s="17">
        <v>2958465</v>
      </c>
      <c r="CN199" s="17"/>
      <c r="CO199" s="19">
        <v>0</v>
      </c>
      <c r="CP199" s="19">
        <v>0</v>
      </c>
      <c r="CQ199" s="19">
        <v>0</v>
      </c>
      <c r="CR199" s="19">
        <v>0</v>
      </c>
      <c r="CS199" s="19">
        <v>0</v>
      </c>
      <c r="CT199" s="19">
        <v>0</v>
      </c>
      <c r="CU199" s="19">
        <v>0</v>
      </c>
      <c r="CV199" s="17"/>
      <c r="CW199" s="19">
        <v>0</v>
      </c>
      <c r="CX199" s="17"/>
      <c r="CY199" s="17"/>
      <c r="CZ199" s="19">
        <v>0</v>
      </c>
      <c r="DA199" s="17"/>
      <c r="DB199" s="17"/>
      <c r="DC199" s="19">
        <v>100</v>
      </c>
      <c r="DD199" s="17"/>
      <c r="DE199" s="17">
        <v>2958465</v>
      </c>
      <c r="DF199" s="17"/>
      <c r="DG199" s="17"/>
      <c r="DH199" s="19">
        <v>0</v>
      </c>
      <c r="DI199" s="19">
        <v>0</v>
      </c>
    </row>
    <row r="200" spans="1:113" x14ac:dyDescent="0.2">
      <c r="A200" s="14" t="s">
        <v>2315</v>
      </c>
      <c r="B200" s="16" t="s">
        <v>393</v>
      </c>
      <c r="C200" s="14" t="s">
        <v>158</v>
      </c>
      <c r="D200" s="14" t="s">
        <v>159</v>
      </c>
      <c r="E200" s="14" t="s">
        <v>158</v>
      </c>
      <c r="F200" s="14" t="s">
        <v>2044</v>
      </c>
      <c r="G200" s="14" t="s">
        <v>2045</v>
      </c>
      <c r="H200" s="14" t="s">
        <v>131</v>
      </c>
      <c r="I200" s="14" t="s">
        <v>132</v>
      </c>
      <c r="J200" s="16">
        <f>COUNTIF($I$3:I200, I200)</f>
        <v>8</v>
      </c>
      <c r="K200" s="14" t="s">
        <v>2048</v>
      </c>
      <c r="L200" s="14" t="s">
        <v>2048</v>
      </c>
      <c r="M200" s="14" t="s">
        <v>2048</v>
      </c>
      <c r="N200" s="14" t="s">
        <v>2048</v>
      </c>
      <c r="O200" s="14" t="s">
        <v>3353</v>
      </c>
      <c r="P200" s="14" t="s">
        <v>394</v>
      </c>
      <c r="Q200" s="14" t="s">
        <v>72</v>
      </c>
      <c r="R200" s="14" t="s">
        <v>2048</v>
      </c>
      <c r="S200" s="14" t="s">
        <v>2048</v>
      </c>
      <c r="T200" s="14" t="s">
        <v>2048</v>
      </c>
      <c r="U200" s="14" t="s">
        <v>2048</v>
      </c>
      <c r="V200" s="14" t="s">
        <v>2050</v>
      </c>
      <c r="W200" s="14" t="s">
        <v>2048</v>
      </c>
      <c r="X200" s="14" t="s">
        <v>2048</v>
      </c>
      <c r="Y200" s="14" t="s">
        <v>2048</v>
      </c>
      <c r="Z200" s="14" t="s">
        <v>2048</v>
      </c>
      <c r="AA200" s="14" t="s">
        <v>2048</v>
      </c>
      <c r="AB200" s="14" t="s">
        <v>85</v>
      </c>
      <c r="AC200" s="14" t="s">
        <v>86</v>
      </c>
      <c r="AD200" s="14" t="s">
        <v>2442</v>
      </c>
      <c r="AE200" s="14" t="s">
        <v>2443</v>
      </c>
      <c r="AF200" s="14" t="s">
        <v>2056</v>
      </c>
      <c r="AG200" s="14" t="s">
        <v>2056</v>
      </c>
      <c r="AH200" s="14" t="s">
        <v>2055</v>
      </c>
      <c r="AI200" s="14" t="s">
        <v>2057</v>
      </c>
      <c r="AJ200" s="14" t="s">
        <v>87</v>
      </c>
      <c r="AK200" s="14" t="s">
        <v>2048</v>
      </c>
      <c r="AL200" s="14" t="s">
        <v>2048</v>
      </c>
      <c r="AM200" s="14" t="s">
        <v>2584</v>
      </c>
      <c r="AN200" s="14" t="s">
        <v>2443</v>
      </c>
      <c r="AO200" s="17" t="s">
        <v>89</v>
      </c>
      <c r="AP200" s="14" t="s">
        <v>2135</v>
      </c>
      <c r="AQ200" s="14" t="s">
        <v>3354</v>
      </c>
      <c r="AR200" s="14" t="s">
        <v>3355</v>
      </c>
      <c r="AS200" s="14" t="s">
        <v>3356</v>
      </c>
      <c r="AT200" s="14" t="s">
        <v>72</v>
      </c>
      <c r="AU200" s="14" t="s">
        <v>2448</v>
      </c>
      <c r="AV200" s="14" t="s">
        <v>2449</v>
      </c>
      <c r="AW200" s="14" t="s">
        <v>2048</v>
      </c>
      <c r="AX200" s="14" t="s">
        <v>2048</v>
      </c>
      <c r="AY200" s="14" t="s">
        <v>131</v>
      </c>
      <c r="AZ200" s="14" t="s">
        <v>318</v>
      </c>
      <c r="BA200" s="14" t="s">
        <v>3357</v>
      </c>
      <c r="BB200" s="14" t="s">
        <v>2048</v>
      </c>
      <c r="BC200" s="14" t="s">
        <v>2048</v>
      </c>
      <c r="BD200" s="14" t="s">
        <v>2048</v>
      </c>
      <c r="BE200" s="14" t="s">
        <v>2048</v>
      </c>
      <c r="BF200" s="14" t="s">
        <v>2452</v>
      </c>
      <c r="BG200" s="14" t="s">
        <v>2453</v>
      </c>
      <c r="BH200" s="14" t="s">
        <v>2454</v>
      </c>
      <c r="BI200" s="14" t="s">
        <v>2455</v>
      </c>
      <c r="BJ200" s="14" t="s">
        <v>2048</v>
      </c>
      <c r="BK200" s="14" t="s">
        <v>2048</v>
      </c>
      <c r="BL200" s="14" t="s">
        <v>2064</v>
      </c>
      <c r="BM200" s="14" t="s">
        <v>72</v>
      </c>
      <c r="BN200" s="14" t="s">
        <v>72</v>
      </c>
      <c r="BO200" s="14" t="s">
        <v>3358</v>
      </c>
      <c r="BP200" s="14" t="s">
        <v>2457</v>
      </c>
      <c r="BQ200" s="14" t="s">
        <v>2458</v>
      </c>
      <c r="BR200" s="14" t="s">
        <v>2418</v>
      </c>
      <c r="BS200" s="14" t="s">
        <v>2089</v>
      </c>
      <c r="BT200" s="14" t="s">
        <v>2048</v>
      </c>
      <c r="BU200" s="14" t="s">
        <v>2048</v>
      </c>
      <c r="BV200" s="14" t="s">
        <v>2048</v>
      </c>
      <c r="BW200" s="14" t="s">
        <v>2048</v>
      </c>
      <c r="BX200" s="14" t="s">
        <v>72</v>
      </c>
      <c r="BY200" s="14" t="s">
        <v>2048</v>
      </c>
      <c r="BZ200" s="14" t="s">
        <v>2048</v>
      </c>
      <c r="CA200" s="14" t="s">
        <v>2048</v>
      </c>
      <c r="CB200" s="14" t="s">
        <v>2048</v>
      </c>
      <c r="CC200" s="14" t="s">
        <v>2048</v>
      </c>
      <c r="CD200" s="14" t="s">
        <v>2048</v>
      </c>
      <c r="CE200" s="14" t="s">
        <v>2048</v>
      </c>
      <c r="CF200" s="14" t="s">
        <v>2048</v>
      </c>
      <c r="CG200" s="14" t="s">
        <v>2057</v>
      </c>
      <c r="CH200" s="14" t="s">
        <v>2090</v>
      </c>
      <c r="CI200" s="14" t="s">
        <v>2048</v>
      </c>
      <c r="CJ200" s="17"/>
      <c r="CK200" s="17">
        <v>45625</v>
      </c>
      <c r="CL200" s="17">
        <v>45625</v>
      </c>
      <c r="CM200" s="17">
        <v>2958465</v>
      </c>
      <c r="CN200" s="17"/>
      <c r="CO200" s="19">
        <v>0</v>
      </c>
      <c r="CP200" s="19">
        <v>0</v>
      </c>
      <c r="CQ200" s="19">
        <v>0</v>
      </c>
      <c r="CR200" s="19">
        <v>0</v>
      </c>
      <c r="CS200" s="19">
        <v>0</v>
      </c>
      <c r="CT200" s="19">
        <v>0</v>
      </c>
      <c r="CU200" s="19">
        <v>0</v>
      </c>
      <c r="CV200" s="17"/>
      <c r="CW200" s="19">
        <v>0</v>
      </c>
      <c r="CX200" s="17"/>
      <c r="CY200" s="17"/>
      <c r="CZ200" s="19">
        <v>0</v>
      </c>
      <c r="DA200" s="17"/>
      <c r="DB200" s="17"/>
      <c r="DC200" s="19">
        <v>100</v>
      </c>
      <c r="DD200" s="17"/>
      <c r="DE200" s="17">
        <v>2958465</v>
      </c>
      <c r="DF200" s="17"/>
      <c r="DG200" s="17"/>
      <c r="DH200" s="19">
        <v>0</v>
      </c>
      <c r="DI200" s="19">
        <v>0</v>
      </c>
    </row>
    <row r="201" spans="1:113" x14ac:dyDescent="0.2">
      <c r="A201" s="14" t="s">
        <v>2315</v>
      </c>
      <c r="B201" s="16" t="s">
        <v>1011</v>
      </c>
      <c r="C201" s="14" t="s">
        <v>158</v>
      </c>
      <c r="D201" s="14" t="s">
        <v>159</v>
      </c>
      <c r="E201" s="14" t="s">
        <v>158</v>
      </c>
      <c r="F201" s="14" t="s">
        <v>2044</v>
      </c>
      <c r="G201" s="14" t="s">
        <v>2045</v>
      </c>
      <c r="H201" s="14" t="s">
        <v>131</v>
      </c>
      <c r="I201" s="14" t="s">
        <v>132</v>
      </c>
      <c r="J201" s="16">
        <f>COUNTIF($I$3:I201, I201)</f>
        <v>9</v>
      </c>
      <c r="K201" s="14" t="s">
        <v>2048</v>
      </c>
      <c r="L201" s="14" t="s">
        <v>2048</v>
      </c>
      <c r="M201" s="14" t="s">
        <v>2048</v>
      </c>
      <c r="N201" s="14" t="s">
        <v>2048</v>
      </c>
      <c r="O201" s="14" t="s">
        <v>3359</v>
      </c>
      <c r="P201" s="14" t="s">
        <v>1012</v>
      </c>
      <c r="Q201" s="14" t="s">
        <v>72</v>
      </c>
      <c r="R201" s="14" t="s">
        <v>2048</v>
      </c>
      <c r="S201" s="14" t="s">
        <v>2048</v>
      </c>
      <c r="T201" s="14" t="s">
        <v>2048</v>
      </c>
      <c r="U201" s="14" t="s">
        <v>2048</v>
      </c>
      <c r="V201" s="14" t="s">
        <v>2050</v>
      </c>
      <c r="W201" s="14" t="s">
        <v>2048</v>
      </c>
      <c r="X201" s="14" t="s">
        <v>2048</v>
      </c>
      <c r="Y201" s="14" t="s">
        <v>2048</v>
      </c>
      <c r="Z201" s="14" t="s">
        <v>2048</v>
      </c>
      <c r="AA201" s="14" t="s">
        <v>2048</v>
      </c>
      <c r="AB201" s="14" t="s">
        <v>85</v>
      </c>
      <c r="AC201" s="14" t="s">
        <v>86</v>
      </c>
      <c r="AD201" s="14" t="s">
        <v>2442</v>
      </c>
      <c r="AE201" s="14" t="s">
        <v>2443</v>
      </c>
      <c r="AF201" s="14" t="s">
        <v>2055</v>
      </c>
      <c r="AG201" s="14" t="s">
        <v>2056</v>
      </c>
      <c r="AH201" s="14" t="s">
        <v>2055</v>
      </c>
      <c r="AI201" s="14" t="s">
        <v>2057</v>
      </c>
      <c r="AJ201" s="14" t="s">
        <v>87</v>
      </c>
      <c r="AK201" s="14" t="s">
        <v>2048</v>
      </c>
      <c r="AL201" s="14" t="s">
        <v>2048</v>
      </c>
      <c r="AM201" s="14" t="s">
        <v>2048</v>
      </c>
      <c r="AN201" s="14" t="s">
        <v>3360</v>
      </c>
      <c r="AO201" s="17" t="s">
        <v>89</v>
      </c>
      <c r="AP201" s="14" t="s">
        <v>2135</v>
      </c>
      <c r="AQ201" s="14" t="s">
        <v>3361</v>
      </c>
      <c r="AR201" s="14" t="s">
        <v>3362</v>
      </c>
      <c r="AS201" s="14" t="s">
        <v>3363</v>
      </c>
      <c r="AT201" s="14" t="s">
        <v>72</v>
      </c>
      <c r="AU201" s="14" t="s">
        <v>2448</v>
      </c>
      <c r="AV201" s="14" t="s">
        <v>2449</v>
      </c>
      <c r="AW201" s="14" t="s">
        <v>2048</v>
      </c>
      <c r="AX201" s="14" t="s">
        <v>2048</v>
      </c>
      <c r="AY201" s="14" t="s">
        <v>131</v>
      </c>
      <c r="AZ201" s="14" t="s">
        <v>610</v>
      </c>
      <c r="BA201" s="14" t="s">
        <v>3364</v>
      </c>
      <c r="BB201" s="14" t="s">
        <v>2048</v>
      </c>
      <c r="BC201" s="14" t="s">
        <v>2048</v>
      </c>
      <c r="BD201" s="14" t="s">
        <v>2048</v>
      </c>
      <c r="BE201" s="14" t="s">
        <v>2048</v>
      </c>
      <c r="BF201" s="14" t="s">
        <v>2452</v>
      </c>
      <c r="BG201" s="14" t="s">
        <v>2453</v>
      </c>
      <c r="BH201" s="14" t="s">
        <v>2454</v>
      </c>
      <c r="BI201" s="14" t="s">
        <v>2455</v>
      </c>
      <c r="BJ201" s="14" t="s">
        <v>2048</v>
      </c>
      <c r="BK201" s="14" t="s">
        <v>2048</v>
      </c>
      <c r="BL201" s="14" t="s">
        <v>2064</v>
      </c>
      <c r="BM201" s="14" t="s">
        <v>72</v>
      </c>
      <c r="BN201" s="14" t="s">
        <v>72</v>
      </c>
      <c r="BO201" s="14" t="s">
        <v>3365</v>
      </c>
      <c r="BP201" s="14" t="s">
        <v>3366</v>
      </c>
      <c r="BQ201" s="14" t="s">
        <v>3367</v>
      </c>
      <c r="BR201" s="14" t="s">
        <v>2418</v>
      </c>
      <c r="BS201" s="14" t="s">
        <v>2089</v>
      </c>
      <c r="BT201" s="14" t="s">
        <v>2048</v>
      </c>
      <c r="BU201" s="14" t="s">
        <v>2048</v>
      </c>
      <c r="BV201" s="14" t="s">
        <v>2048</v>
      </c>
      <c r="BW201" s="14" t="s">
        <v>2048</v>
      </c>
      <c r="BX201" s="14" t="s">
        <v>72</v>
      </c>
      <c r="BY201" s="14" t="s">
        <v>2048</v>
      </c>
      <c r="BZ201" s="14" t="s">
        <v>2048</v>
      </c>
      <c r="CA201" s="14" t="s">
        <v>2048</v>
      </c>
      <c r="CB201" s="14" t="s">
        <v>2048</v>
      </c>
      <c r="CC201" s="14" t="s">
        <v>2048</v>
      </c>
      <c r="CD201" s="14" t="s">
        <v>2048</v>
      </c>
      <c r="CE201" s="14" t="s">
        <v>2048</v>
      </c>
      <c r="CF201" s="14" t="s">
        <v>2048</v>
      </c>
      <c r="CG201" s="14" t="s">
        <v>2057</v>
      </c>
      <c r="CH201" s="14" t="s">
        <v>2090</v>
      </c>
      <c r="CI201" s="14" t="s">
        <v>2048</v>
      </c>
      <c r="CJ201" s="17"/>
      <c r="CK201" s="17">
        <v>45625</v>
      </c>
      <c r="CL201" s="17">
        <v>45625</v>
      </c>
      <c r="CM201" s="17">
        <v>2958465</v>
      </c>
      <c r="CN201" s="17"/>
      <c r="CO201" s="19">
        <v>0</v>
      </c>
      <c r="CP201" s="19">
        <v>0</v>
      </c>
      <c r="CQ201" s="19">
        <v>0</v>
      </c>
      <c r="CR201" s="19">
        <v>0</v>
      </c>
      <c r="CS201" s="19">
        <v>0</v>
      </c>
      <c r="CT201" s="19">
        <v>0</v>
      </c>
      <c r="CU201" s="19">
        <v>0</v>
      </c>
      <c r="CV201" s="17"/>
      <c r="CW201" s="19">
        <v>0</v>
      </c>
      <c r="CX201" s="17"/>
      <c r="CY201" s="17"/>
      <c r="CZ201" s="19">
        <v>0</v>
      </c>
      <c r="DA201" s="17"/>
      <c r="DB201" s="17"/>
      <c r="DC201" s="19">
        <v>100</v>
      </c>
      <c r="DD201" s="17"/>
      <c r="DE201" s="17">
        <v>2958465</v>
      </c>
      <c r="DF201" s="17"/>
      <c r="DG201" s="17"/>
      <c r="DH201" s="19">
        <v>0</v>
      </c>
      <c r="DI201" s="19">
        <v>0</v>
      </c>
    </row>
    <row r="202" spans="1:113" x14ac:dyDescent="0.2">
      <c r="A202" s="14" t="s">
        <v>2315</v>
      </c>
      <c r="B202" s="16" t="s">
        <v>1404</v>
      </c>
      <c r="C202" s="14" t="s">
        <v>158</v>
      </c>
      <c r="D202" s="14" t="s">
        <v>159</v>
      </c>
      <c r="E202" s="14" t="s">
        <v>158</v>
      </c>
      <c r="F202" s="14" t="s">
        <v>2044</v>
      </c>
      <c r="G202" s="14" t="s">
        <v>2045</v>
      </c>
      <c r="H202" s="14" t="s">
        <v>131</v>
      </c>
      <c r="I202" s="14" t="s">
        <v>132</v>
      </c>
      <c r="J202" s="16">
        <f>COUNTIF($I$3:I202, I202)</f>
        <v>10</v>
      </c>
      <c r="K202" s="14" t="s">
        <v>2048</v>
      </c>
      <c r="L202" s="14" t="s">
        <v>2048</v>
      </c>
      <c r="M202" s="14" t="s">
        <v>2048</v>
      </c>
      <c r="N202" s="14" t="s">
        <v>2048</v>
      </c>
      <c r="O202" s="14" t="s">
        <v>3368</v>
      </c>
      <c r="P202" s="14" t="s">
        <v>3369</v>
      </c>
      <c r="Q202" s="14" t="s">
        <v>72</v>
      </c>
      <c r="R202" s="14" t="s">
        <v>2048</v>
      </c>
      <c r="S202" s="14" t="s">
        <v>2048</v>
      </c>
      <c r="T202" s="14" t="s">
        <v>2048</v>
      </c>
      <c r="U202" s="14" t="s">
        <v>2048</v>
      </c>
      <c r="V202" s="14" t="s">
        <v>2050</v>
      </c>
      <c r="W202" s="14" t="s">
        <v>2048</v>
      </c>
      <c r="X202" s="14" t="s">
        <v>2048</v>
      </c>
      <c r="Y202" s="14" t="s">
        <v>2048</v>
      </c>
      <c r="Z202" s="14" t="s">
        <v>2048</v>
      </c>
      <c r="AA202" s="14" t="s">
        <v>2048</v>
      </c>
      <c r="AB202" s="14" t="s">
        <v>85</v>
      </c>
      <c r="AC202" s="14" t="s">
        <v>86</v>
      </c>
      <c r="AD202" s="14" t="s">
        <v>2132</v>
      </c>
      <c r="AE202" s="14" t="s">
        <v>2133</v>
      </c>
      <c r="AF202" s="14" t="s">
        <v>2056</v>
      </c>
      <c r="AG202" s="14" t="s">
        <v>2056</v>
      </c>
      <c r="AH202" s="14" t="s">
        <v>2055</v>
      </c>
      <c r="AI202" s="14" t="s">
        <v>2057</v>
      </c>
      <c r="AJ202" s="14" t="s">
        <v>87</v>
      </c>
      <c r="AK202" s="14" t="s">
        <v>2048</v>
      </c>
      <c r="AL202" s="14" t="s">
        <v>2048</v>
      </c>
      <c r="AM202" s="14" t="s">
        <v>2584</v>
      </c>
      <c r="AN202" s="14" t="s">
        <v>3370</v>
      </c>
      <c r="AO202" s="17" t="s">
        <v>89</v>
      </c>
      <c r="AP202" s="14" t="s">
        <v>2135</v>
      </c>
      <c r="AQ202" s="14" t="s">
        <v>3371</v>
      </c>
      <c r="AR202" s="14" t="s">
        <v>3372</v>
      </c>
      <c r="AS202" s="14" t="s">
        <v>3373</v>
      </c>
      <c r="AT202" s="14" t="s">
        <v>72</v>
      </c>
      <c r="AU202" s="14" t="s">
        <v>2448</v>
      </c>
      <c r="AV202" s="14" t="s">
        <v>2449</v>
      </c>
      <c r="AW202" s="14" t="s">
        <v>2048</v>
      </c>
      <c r="AX202" s="14" t="s">
        <v>2048</v>
      </c>
      <c r="AY202" s="14" t="s">
        <v>131</v>
      </c>
      <c r="AZ202" s="14" t="s">
        <v>318</v>
      </c>
      <c r="BA202" s="14" t="s">
        <v>3357</v>
      </c>
      <c r="BB202" s="14" t="s">
        <v>2048</v>
      </c>
      <c r="BC202" s="14" t="s">
        <v>2048</v>
      </c>
      <c r="BD202" s="14" t="s">
        <v>2048</v>
      </c>
      <c r="BE202" s="14" t="s">
        <v>2048</v>
      </c>
      <c r="BF202" s="14" t="s">
        <v>2452</v>
      </c>
      <c r="BG202" s="14" t="s">
        <v>2453</v>
      </c>
      <c r="BH202" s="14" t="s">
        <v>2454</v>
      </c>
      <c r="BI202" s="14" t="s">
        <v>2455</v>
      </c>
      <c r="BJ202" s="14" t="s">
        <v>2048</v>
      </c>
      <c r="BK202" s="14" t="s">
        <v>2048</v>
      </c>
      <c r="BL202" s="14" t="s">
        <v>2064</v>
      </c>
      <c r="BM202" s="14" t="s">
        <v>72</v>
      </c>
      <c r="BN202" s="14" t="s">
        <v>72</v>
      </c>
      <c r="BO202" s="14" t="s">
        <v>3374</v>
      </c>
      <c r="BP202" s="14" t="s">
        <v>3375</v>
      </c>
      <c r="BQ202" s="14" t="s">
        <v>3376</v>
      </c>
      <c r="BR202" s="14" t="s">
        <v>2418</v>
      </c>
      <c r="BS202" s="14" t="s">
        <v>2089</v>
      </c>
      <c r="BT202" s="14" t="s">
        <v>2048</v>
      </c>
      <c r="BU202" s="14" t="s">
        <v>2048</v>
      </c>
      <c r="BV202" s="14" t="s">
        <v>2048</v>
      </c>
      <c r="BW202" s="14" t="s">
        <v>2048</v>
      </c>
      <c r="BX202" s="14" t="s">
        <v>72</v>
      </c>
      <c r="BY202" s="14" t="s">
        <v>2048</v>
      </c>
      <c r="BZ202" s="14" t="s">
        <v>2048</v>
      </c>
      <c r="CA202" s="14" t="s">
        <v>2048</v>
      </c>
      <c r="CB202" s="14" t="s">
        <v>2048</v>
      </c>
      <c r="CC202" s="14" t="s">
        <v>2048</v>
      </c>
      <c r="CD202" s="14" t="s">
        <v>2048</v>
      </c>
      <c r="CE202" s="14" t="s">
        <v>2048</v>
      </c>
      <c r="CF202" s="14" t="s">
        <v>2048</v>
      </c>
      <c r="CG202" s="14" t="s">
        <v>2057</v>
      </c>
      <c r="CH202" s="14" t="s">
        <v>2090</v>
      </c>
      <c r="CI202" s="14" t="s">
        <v>2048</v>
      </c>
      <c r="CJ202" s="17"/>
      <c r="CK202" s="17">
        <v>45625</v>
      </c>
      <c r="CL202" s="17">
        <v>45625</v>
      </c>
      <c r="CM202" s="17">
        <v>2958465</v>
      </c>
      <c r="CN202" s="17"/>
      <c r="CO202" s="19">
        <v>0</v>
      </c>
      <c r="CP202" s="19">
        <v>0</v>
      </c>
      <c r="CQ202" s="19">
        <v>0</v>
      </c>
      <c r="CR202" s="19">
        <v>0</v>
      </c>
      <c r="CS202" s="19">
        <v>0</v>
      </c>
      <c r="CT202" s="19">
        <v>0</v>
      </c>
      <c r="CU202" s="19">
        <v>0</v>
      </c>
      <c r="CV202" s="17"/>
      <c r="CW202" s="19">
        <v>0</v>
      </c>
      <c r="CX202" s="17"/>
      <c r="CY202" s="17"/>
      <c r="CZ202" s="19">
        <v>0</v>
      </c>
      <c r="DA202" s="17"/>
      <c r="DB202" s="17"/>
      <c r="DC202" s="19">
        <v>100</v>
      </c>
      <c r="DD202" s="17"/>
      <c r="DE202" s="17">
        <v>2958465</v>
      </c>
      <c r="DF202" s="17"/>
      <c r="DG202" s="17"/>
      <c r="DH202" s="19">
        <v>0</v>
      </c>
      <c r="DI202" s="19">
        <v>0</v>
      </c>
    </row>
    <row r="203" spans="1:113" x14ac:dyDescent="0.2">
      <c r="A203" s="14" t="s">
        <v>2315</v>
      </c>
      <c r="B203" s="16" t="s">
        <v>1017</v>
      </c>
      <c r="C203" s="14" t="s">
        <v>158</v>
      </c>
      <c r="D203" s="14" t="s">
        <v>159</v>
      </c>
      <c r="E203" s="14" t="s">
        <v>158</v>
      </c>
      <c r="F203" s="14" t="s">
        <v>2044</v>
      </c>
      <c r="G203" s="14" t="s">
        <v>2045</v>
      </c>
      <c r="H203" s="14" t="s">
        <v>131</v>
      </c>
      <c r="I203" s="14" t="s">
        <v>132</v>
      </c>
      <c r="J203" s="16">
        <f>COUNTIF($I$3:I203, I203)</f>
        <v>11</v>
      </c>
      <c r="K203" s="14" t="s">
        <v>2048</v>
      </c>
      <c r="L203" s="14" t="s">
        <v>2048</v>
      </c>
      <c r="M203" s="14" t="s">
        <v>2048</v>
      </c>
      <c r="N203" s="14" t="s">
        <v>2048</v>
      </c>
      <c r="O203" s="14" t="s">
        <v>3377</v>
      </c>
      <c r="P203" s="14" t="s">
        <v>1018</v>
      </c>
      <c r="Q203" s="14" t="s">
        <v>72</v>
      </c>
      <c r="R203" s="14" t="s">
        <v>2048</v>
      </c>
      <c r="S203" s="14" t="s">
        <v>2048</v>
      </c>
      <c r="T203" s="14" t="s">
        <v>2048</v>
      </c>
      <c r="U203" s="14" t="s">
        <v>2048</v>
      </c>
      <c r="V203" s="14" t="s">
        <v>2050</v>
      </c>
      <c r="W203" s="14" t="s">
        <v>2048</v>
      </c>
      <c r="X203" s="14" t="s">
        <v>2048</v>
      </c>
      <c r="Y203" s="14" t="s">
        <v>2048</v>
      </c>
      <c r="Z203" s="14" t="s">
        <v>2048</v>
      </c>
      <c r="AA203" s="14" t="s">
        <v>2048</v>
      </c>
      <c r="AB203" s="14" t="s">
        <v>85</v>
      </c>
      <c r="AC203" s="14" t="s">
        <v>86</v>
      </c>
      <c r="AD203" s="14" t="s">
        <v>2442</v>
      </c>
      <c r="AE203" s="14" t="s">
        <v>2443</v>
      </c>
      <c r="AF203" s="14" t="s">
        <v>2055</v>
      </c>
      <c r="AG203" s="14" t="s">
        <v>2056</v>
      </c>
      <c r="AH203" s="14" t="s">
        <v>2055</v>
      </c>
      <c r="AI203" s="14" t="s">
        <v>2057</v>
      </c>
      <c r="AJ203" s="14" t="s">
        <v>87</v>
      </c>
      <c r="AK203" s="14" t="s">
        <v>2048</v>
      </c>
      <c r="AL203" s="14" t="s">
        <v>2048</v>
      </c>
      <c r="AM203" s="14" t="s">
        <v>2048</v>
      </c>
      <c r="AN203" s="14" t="s">
        <v>2443</v>
      </c>
      <c r="AO203" s="17" t="s">
        <v>89</v>
      </c>
      <c r="AP203" s="14" t="s">
        <v>2135</v>
      </c>
      <c r="AQ203" s="14" t="s">
        <v>1325</v>
      </c>
      <c r="AR203" s="14" t="s">
        <v>3378</v>
      </c>
      <c r="AS203" s="14" t="s">
        <v>3379</v>
      </c>
      <c r="AT203" s="14" t="s">
        <v>72</v>
      </c>
      <c r="AU203" s="14" t="s">
        <v>2448</v>
      </c>
      <c r="AV203" s="14" t="s">
        <v>2449</v>
      </c>
      <c r="AW203" s="14" t="s">
        <v>2048</v>
      </c>
      <c r="AX203" s="14" t="s">
        <v>2048</v>
      </c>
      <c r="AY203" s="14" t="s">
        <v>131</v>
      </c>
      <c r="AZ203" s="14" t="s">
        <v>427</v>
      </c>
      <c r="BA203" s="14" t="s">
        <v>3380</v>
      </c>
      <c r="BB203" s="14" t="s">
        <v>2048</v>
      </c>
      <c r="BC203" s="14" t="s">
        <v>2048</v>
      </c>
      <c r="BD203" s="14" t="s">
        <v>2048</v>
      </c>
      <c r="BE203" s="14" t="s">
        <v>2048</v>
      </c>
      <c r="BF203" s="14" t="s">
        <v>2452</v>
      </c>
      <c r="BG203" s="14" t="s">
        <v>2453</v>
      </c>
      <c r="BH203" s="14" t="s">
        <v>2454</v>
      </c>
      <c r="BI203" s="14" t="s">
        <v>2455</v>
      </c>
      <c r="BJ203" s="14" t="s">
        <v>2048</v>
      </c>
      <c r="BK203" s="14" t="s">
        <v>2048</v>
      </c>
      <c r="BL203" s="14" t="s">
        <v>2064</v>
      </c>
      <c r="BM203" s="14" t="s">
        <v>72</v>
      </c>
      <c r="BN203" s="14" t="s">
        <v>72</v>
      </c>
      <c r="BO203" s="14" t="s">
        <v>3381</v>
      </c>
      <c r="BP203" s="14" t="s">
        <v>2457</v>
      </c>
      <c r="BQ203" s="14" t="s">
        <v>2458</v>
      </c>
      <c r="BR203" s="14" t="s">
        <v>2418</v>
      </c>
      <c r="BS203" s="14" t="s">
        <v>2089</v>
      </c>
      <c r="BT203" s="14" t="s">
        <v>2048</v>
      </c>
      <c r="BU203" s="14" t="s">
        <v>2048</v>
      </c>
      <c r="BV203" s="14" t="s">
        <v>2048</v>
      </c>
      <c r="BW203" s="14" t="s">
        <v>2048</v>
      </c>
      <c r="BX203" s="14" t="s">
        <v>72</v>
      </c>
      <c r="BY203" s="14" t="s">
        <v>2048</v>
      </c>
      <c r="BZ203" s="14" t="s">
        <v>2048</v>
      </c>
      <c r="CA203" s="14" t="s">
        <v>2048</v>
      </c>
      <c r="CB203" s="14" t="s">
        <v>2048</v>
      </c>
      <c r="CC203" s="14" t="s">
        <v>2048</v>
      </c>
      <c r="CD203" s="14" t="s">
        <v>2048</v>
      </c>
      <c r="CE203" s="14" t="s">
        <v>2048</v>
      </c>
      <c r="CF203" s="14" t="s">
        <v>2048</v>
      </c>
      <c r="CG203" s="14" t="s">
        <v>2057</v>
      </c>
      <c r="CH203" s="14" t="s">
        <v>2090</v>
      </c>
      <c r="CI203" s="14" t="s">
        <v>2048</v>
      </c>
      <c r="CJ203" s="17"/>
      <c r="CK203" s="17">
        <v>45625</v>
      </c>
      <c r="CL203" s="17">
        <v>45625</v>
      </c>
      <c r="CM203" s="17">
        <v>2958465</v>
      </c>
      <c r="CN203" s="17"/>
      <c r="CO203" s="19">
        <v>0</v>
      </c>
      <c r="CP203" s="19">
        <v>0</v>
      </c>
      <c r="CQ203" s="19">
        <v>0</v>
      </c>
      <c r="CR203" s="19">
        <v>0</v>
      </c>
      <c r="CS203" s="19">
        <v>0</v>
      </c>
      <c r="CT203" s="19">
        <v>0</v>
      </c>
      <c r="CU203" s="19">
        <v>0</v>
      </c>
      <c r="CV203" s="17"/>
      <c r="CW203" s="19">
        <v>0</v>
      </c>
      <c r="CX203" s="17"/>
      <c r="CY203" s="17"/>
      <c r="CZ203" s="19">
        <v>0</v>
      </c>
      <c r="DA203" s="17"/>
      <c r="DB203" s="17"/>
      <c r="DC203" s="19">
        <v>100</v>
      </c>
      <c r="DD203" s="17"/>
      <c r="DE203" s="17">
        <v>2958465</v>
      </c>
      <c r="DF203" s="17"/>
      <c r="DG203" s="17"/>
      <c r="DH203" s="19">
        <v>0</v>
      </c>
      <c r="DI203" s="19">
        <v>0</v>
      </c>
    </row>
    <row r="204" spans="1:113" x14ac:dyDescent="0.2">
      <c r="A204" s="14" t="s">
        <v>2315</v>
      </c>
      <c r="B204" s="16" t="s">
        <v>636</v>
      </c>
      <c r="C204" s="14" t="s">
        <v>158</v>
      </c>
      <c r="D204" s="14" t="s">
        <v>159</v>
      </c>
      <c r="E204" s="14" t="s">
        <v>158</v>
      </c>
      <c r="F204" s="14" t="s">
        <v>2044</v>
      </c>
      <c r="G204" s="14" t="s">
        <v>2045</v>
      </c>
      <c r="H204" s="14" t="s">
        <v>131</v>
      </c>
      <c r="I204" s="14" t="s">
        <v>132</v>
      </c>
      <c r="J204" s="16">
        <f>COUNTIF($I$3:I204, I204)</f>
        <v>12</v>
      </c>
      <c r="K204" s="14" t="s">
        <v>2048</v>
      </c>
      <c r="L204" s="14" t="s">
        <v>2048</v>
      </c>
      <c r="M204" s="14" t="s">
        <v>2048</v>
      </c>
      <c r="N204" s="14" t="s">
        <v>2048</v>
      </c>
      <c r="O204" s="14" t="s">
        <v>3382</v>
      </c>
      <c r="P204" s="14" t="s">
        <v>638</v>
      </c>
      <c r="Q204" s="14" t="s">
        <v>72</v>
      </c>
      <c r="R204" s="14" t="s">
        <v>2048</v>
      </c>
      <c r="S204" s="14" t="s">
        <v>2048</v>
      </c>
      <c r="T204" s="14" t="s">
        <v>2048</v>
      </c>
      <c r="U204" s="14" t="s">
        <v>2048</v>
      </c>
      <c r="V204" s="14" t="s">
        <v>2050</v>
      </c>
      <c r="W204" s="14" t="s">
        <v>2048</v>
      </c>
      <c r="X204" s="14" t="s">
        <v>2048</v>
      </c>
      <c r="Y204" s="14" t="s">
        <v>2048</v>
      </c>
      <c r="Z204" s="14" t="s">
        <v>2048</v>
      </c>
      <c r="AA204" s="14" t="s">
        <v>2048</v>
      </c>
      <c r="AB204" s="14" t="s">
        <v>85</v>
      </c>
      <c r="AC204" s="14" t="s">
        <v>86</v>
      </c>
      <c r="AD204" s="14" t="s">
        <v>2442</v>
      </c>
      <c r="AE204" s="14" t="s">
        <v>2443</v>
      </c>
      <c r="AF204" s="14" t="s">
        <v>2056</v>
      </c>
      <c r="AG204" s="14" t="s">
        <v>2056</v>
      </c>
      <c r="AH204" s="14" t="s">
        <v>2055</v>
      </c>
      <c r="AI204" s="14" t="s">
        <v>2057</v>
      </c>
      <c r="AJ204" s="14" t="s">
        <v>87</v>
      </c>
      <c r="AK204" s="14" t="s">
        <v>2048</v>
      </c>
      <c r="AL204" s="14" t="s">
        <v>2048</v>
      </c>
      <c r="AM204" s="14" t="s">
        <v>2048</v>
      </c>
      <c r="AN204" s="14" t="s">
        <v>3360</v>
      </c>
      <c r="AO204" s="17" t="s">
        <v>89</v>
      </c>
      <c r="AP204" s="14" t="s">
        <v>2135</v>
      </c>
      <c r="AQ204" s="14" t="s">
        <v>3383</v>
      </c>
      <c r="AR204" s="14" t="s">
        <v>3384</v>
      </c>
      <c r="AS204" s="14" t="s">
        <v>3385</v>
      </c>
      <c r="AT204" s="14" t="s">
        <v>72</v>
      </c>
      <c r="AU204" s="14" t="s">
        <v>2448</v>
      </c>
      <c r="AV204" s="14" t="s">
        <v>2449</v>
      </c>
      <c r="AW204" s="14" t="s">
        <v>2048</v>
      </c>
      <c r="AX204" s="14" t="s">
        <v>2048</v>
      </c>
      <c r="AY204" s="14" t="s">
        <v>131</v>
      </c>
      <c r="AZ204" s="14" t="s">
        <v>637</v>
      </c>
      <c r="BA204" s="14" t="s">
        <v>3386</v>
      </c>
      <c r="BB204" s="14" t="s">
        <v>2048</v>
      </c>
      <c r="BC204" s="14" t="s">
        <v>2048</v>
      </c>
      <c r="BD204" s="14" t="s">
        <v>2048</v>
      </c>
      <c r="BE204" s="14" t="s">
        <v>2048</v>
      </c>
      <c r="BF204" s="14" t="s">
        <v>2452</v>
      </c>
      <c r="BG204" s="14" t="s">
        <v>2453</v>
      </c>
      <c r="BH204" s="14" t="s">
        <v>2454</v>
      </c>
      <c r="BI204" s="14" t="s">
        <v>2455</v>
      </c>
      <c r="BJ204" s="14" t="s">
        <v>2048</v>
      </c>
      <c r="BK204" s="14" t="s">
        <v>2518</v>
      </c>
      <c r="BL204" s="14" t="s">
        <v>2064</v>
      </c>
      <c r="BM204" s="14" t="s">
        <v>72</v>
      </c>
      <c r="BN204" s="14" t="s">
        <v>72</v>
      </c>
      <c r="BO204" s="14" t="s">
        <v>3387</v>
      </c>
      <c r="BP204" s="14" t="s">
        <v>3388</v>
      </c>
      <c r="BQ204" s="14" t="s">
        <v>2585</v>
      </c>
      <c r="BR204" s="14" t="s">
        <v>2418</v>
      </c>
      <c r="BS204" s="14" t="s">
        <v>2089</v>
      </c>
      <c r="BT204" s="14" t="s">
        <v>2048</v>
      </c>
      <c r="BU204" s="14" t="s">
        <v>2048</v>
      </c>
      <c r="BV204" s="14" t="s">
        <v>2048</v>
      </c>
      <c r="BW204" s="14" t="s">
        <v>2048</v>
      </c>
      <c r="BX204" s="14" t="s">
        <v>72</v>
      </c>
      <c r="BY204" s="14" t="s">
        <v>2048</v>
      </c>
      <c r="BZ204" s="14" t="s">
        <v>2048</v>
      </c>
      <c r="CA204" s="14" t="s">
        <v>2048</v>
      </c>
      <c r="CB204" s="14" t="s">
        <v>2048</v>
      </c>
      <c r="CC204" s="14" t="s">
        <v>2048</v>
      </c>
      <c r="CD204" s="14" t="s">
        <v>2048</v>
      </c>
      <c r="CE204" s="14" t="s">
        <v>2048</v>
      </c>
      <c r="CF204" s="14" t="s">
        <v>2048</v>
      </c>
      <c r="CG204" s="14" t="s">
        <v>2057</v>
      </c>
      <c r="CH204" s="14" t="s">
        <v>2090</v>
      </c>
      <c r="CI204" s="14" t="s">
        <v>2048</v>
      </c>
      <c r="CJ204" s="17"/>
      <c r="CK204" s="17">
        <v>45625</v>
      </c>
      <c r="CL204" s="17">
        <v>45625</v>
      </c>
      <c r="CM204" s="17">
        <v>2958465</v>
      </c>
      <c r="CN204" s="17"/>
      <c r="CO204" s="19">
        <v>0</v>
      </c>
      <c r="CP204" s="19">
        <v>0</v>
      </c>
      <c r="CQ204" s="19">
        <v>0</v>
      </c>
      <c r="CR204" s="19">
        <v>0</v>
      </c>
      <c r="CS204" s="19">
        <v>0</v>
      </c>
      <c r="CT204" s="19">
        <v>0</v>
      </c>
      <c r="CU204" s="19">
        <v>0</v>
      </c>
      <c r="CV204" s="17"/>
      <c r="CW204" s="19">
        <v>0</v>
      </c>
      <c r="CX204" s="17"/>
      <c r="CY204" s="17"/>
      <c r="CZ204" s="19">
        <v>0</v>
      </c>
      <c r="DA204" s="17"/>
      <c r="DB204" s="17"/>
      <c r="DC204" s="19">
        <v>100</v>
      </c>
      <c r="DD204" s="17"/>
      <c r="DE204" s="17">
        <v>2958465</v>
      </c>
      <c r="DF204" s="17"/>
      <c r="DG204" s="17"/>
      <c r="DH204" s="19">
        <v>0</v>
      </c>
      <c r="DI204" s="19">
        <v>0</v>
      </c>
    </row>
    <row r="205" spans="1:113" x14ac:dyDescent="0.2">
      <c r="A205" s="14" t="s">
        <v>2315</v>
      </c>
      <c r="B205" s="16" t="s">
        <v>623</v>
      </c>
      <c r="C205" s="14" t="s">
        <v>158</v>
      </c>
      <c r="D205" s="14" t="s">
        <v>159</v>
      </c>
      <c r="E205" s="14" t="s">
        <v>158</v>
      </c>
      <c r="F205" s="14" t="s">
        <v>2044</v>
      </c>
      <c r="G205" s="14" t="s">
        <v>2045</v>
      </c>
      <c r="H205" s="14" t="s">
        <v>131</v>
      </c>
      <c r="I205" s="14" t="s">
        <v>132</v>
      </c>
      <c r="J205" s="16">
        <f>COUNTIF($I$3:I205, I205)</f>
        <v>13</v>
      </c>
      <c r="K205" s="14" t="s">
        <v>2048</v>
      </c>
      <c r="L205" s="14" t="s">
        <v>2048</v>
      </c>
      <c r="M205" s="14" t="s">
        <v>2048</v>
      </c>
      <c r="N205" s="14" t="s">
        <v>2048</v>
      </c>
      <c r="O205" s="14" t="s">
        <v>3389</v>
      </c>
      <c r="P205" s="14" t="s">
        <v>624</v>
      </c>
      <c r="Q205" s="14" t="s">
        <v>72</v>
      </c>
      <c r="R205" s="14" t="s">
        <v>2048</v>
      </c>
      <c r="S205" s="14" t="s">
        <v>2048</v>
      </c>
      <c r="T205" s="14" t="s">
        <v>2048</v>
      </c>
      <c r="U205" s="14" t="s">
        <v>2048</v>
      </c>
      <c r="V205" s="14" t="s">
        <v>2050</v>
      </c>
      <c r="W205" s="14" t="s">
        <v>2048</v>
      </c>
      <c r="X205" s="14" t="s">
        <v>2048</v>
      </c>
      <c r="Y205" s="14" t="s">
        <v>2048</v>
      </c>
      <c r="Z205" s="14" t="s">
        <v>2048</v>
      </c>
      <c r="AA205" s="14" t="s">
        <v>2048</v>
      </c>
      <c r="AB205" s="14" t="s">
        <v>85</v>
      </c>
      <c r="AC205" s="14" t="s">
        <v>86</v>
      </c>
      <c r="AD205" s="14" t="s">
        <v>2442</v>
      </c>
      <c r="AE205" s="14" t="s">
        <v>2443</v>
      </c>
      <c r="AF205" s="14" t="s">
        <v>2055</v>
      </c>
      <c r="AG205" s="14" t="s">
        <v>2056</v>
      </c>
      <c r="AH205" s="14" t="s">
        <v>2055</v>
      </c>
      <c r="AI205" s="14" t="s">
        <v>2057</v>
      </c>
      <c r="AJ205" s="14" t="s">
        <v>87</v>
      </c>
      <c r="AK205" s="14" t="s">
        <v>2048</v>
      </c>
      <c r="AL205" s="14" t="s">
        <v>2048</v>
      </c>
      <c r="AM205" s="14" t="s">
        <v>2584</v>
      </c>
      <c r="AN205" s="14" t="s">
        <v>2443</v>
      </c>
      <c r="AO205" s="17" t="s">
        <v>89</v>
      </c>
      <c r="AP205" s="14" t="s">
        <v>2135</v>
      </c>
      <c r="AQ205" s="14" t="s">
        <v>3390</v>
      </c>
      <c r="AR205" s="14" t="s">
        <v>3391</v>
      </c>
      <c r="AS205" s="14" t="s">
        <v>3392</v>
      </c>
      <c r="AT205" s="14" t="s">
        <v>2048</v>
      </c>
      <c r="AU205" s="14" t="s">
        <v>2448</v>
      </c>
      <c r="AV205" s="14" t="s">
        <v>2449</v>
      </c>
      <c r="AW205" s="14" t="s">
        <v>2048</v>
      </c>
      <c r="AX205" s="14" t="s">
        <v>2048</v>
      </c>
      <c r="AY205" s="14" t="s">
        <v>131</v>
      </c>
      <c r="AZ205" s="14" t="s">
        <v>318</v>
      </c>
      <c r="BA205" s="14" t="s">
        <v>3357</v>
      </c>
      <c r="BB205" s="14" t="s">
        <v>2048</v>
      </c>
      <c r="BC205" s="14" t="s">
        <v>2048</v>
      </c>
      <c r="BD205" s="14" t="s">
        <v>2048</v>
      </c>
      <c r="BE205" s="14" t="s">
        <v>2048</v>
      </c>
      <c r="BF205" s="14" t="s">
        <v>2452</v>
      </c>
      <c r="BG205" s="14" t="s">
        <v>2453</v>
      </c>
      <c r="BH205" s="14" t="s">
        <v>2454</v>
      </c>
      <c r="BI205" s="14" t="s">
        <v>2455</v>
      </c>
      <c r="BJ205" s="14" t="s">
        <v>2048</v>
      </c>
      <c r="BK205" s="14" t="s">
        <v>2048</v>
      </c>
      <c r="BL205" s="14" t="s">
        <v>2064</v>
      </c>
      <c r="BM205" s="14" t="s">
        <v>72</v>
      </c>
      <c r="BN205" s="14" t="s">
        <v>72</v>
      </c>
      <c r="BO205" s="14" t="s">
        <v>3393</v>
      </c>
      <c r="BP205" s="14" t="s">
        <v>2457</v>
      </c>
      <c r="BQ205" s="14" t="s">
        <v>2458</v>
      </c>
      <c r="BR205" s="14" t="s">
        <v>2418</v>
      </c>
      <c r="BS205" s="14" t="s">
        <v>2089</v>
      </c>
      <c r="BT205" s="14" t="s">
        <v>2048</v>
      </c>
      <c r="BU205" s="14" t="s">
        <v>2048</v>
      </c>
      <c r="BV205" s="14" t="s">
        <v>2048</v>
      </c>
      <c r="BW205" s="14" t="s">
        <v>2048</v>
      </c>
      <c r="BX205" s="14" t="s">
        <v>72</v>
      </c>
      <c r="BY205" s="14" t="s">
        <v>2048</v>
      </c>
      <c r="BZ205" s="14" t="s">
        <v>2048</v>
      </c>
      <c r="CA205" s="14" t="s">
        <v>2048</v>
      </c>
      <c r="CB205" s="14" t="s">
        <v>2048</v>
      </c>
      <c r="CC205" s="14" t="s">
        <v>2048</v>
      </c>
      <c r="CD205" s="14" t="s">
        <v>2048</v>
      </c>
      <c r="CE205" s="14" t="s">
        <v>2048</v>
      </c>
      <c r="CF205" s="14" t="s">
        <v>2048</v>
      </c>
      <c r="CG205" s="14" t="s">
        <v>2057</v>
      </c>
      <c r="CH205" s="14" t="s">
        <v>2090</v>
      </c>
      <c r="CI205" s="14" t="s">
        <v>2048</v>
      </c>
      <c r="CJ205" s="17"/>
      <c r="CK205" s="17">
        <v>45625</v>
      </c>
      <c r="CL205" s="17">
        <v>45625</v>
      </c>
      <c r="CM205" s="17">
        <v>2958465</v>
      </c>
      <c r="CN205" s="17"/>
      <c r="CO205" s="19">
        <v>0</v>
      </c>
      <c r="CP205" s="19">
        <v>0</v>
      </c>
      <c r="CQ205" s="19">
        <v>0</v>
      </c>
      <c r="CR205" s="19">
        <v>0</v>
      </c>
      <c r="CS205" s="19">
        <v>0</v>
      </c>
      <c r="CT205" s="19">
        <v>0</v>
      </c>
      <c r="CU205" s="19">
        <v>0</v>
      </c>
      <c r="CV205" s="17"/>
      <c r="CW205" s="19">
        <v>0</v>
      </c>
      <c r="CX205" s="17"/>
      <c r="CY205" s="17"/>
      <c r="CZ205" s="19">
        <v>0</v>
      </c>
      <c r="DA205" s="17"/>
      <c r="DB205" s="17"/>
      <c r="DC205" s="19">
        <v>100</v>
      </c>
      <c r="DD205" s="17"/>
      <c r="DE205" s="17">
        <v>2958465</v>
      </c>
      <c r="DF205" s="17"/>
      <c r="DG205" s="17"/>
      <c r="DH205" s="19">
        <v>0</v>
      </c>
      <c r="DI205" s="19">
        <v>0</v>
      </c>
    </row>
    <row r="206" spans="1:113" x14ac:dyDescent="0.2">
      <c r="A206" s="14" t="s">
        <v>2315</v>
      </c>
      <c r="B206" s="16" t="s">
        <v>1408</v>
      </c>
      <c r="C206" s="14" t="s">
        <v>158</v>
      </c>
      <c r="D206" s="14" t="s">
        <v>159</v>
      </c>
      <c r="E206" s="14" t="s">
        <v>158</v>
      </c>
      <c r="F206" s="14" t="s">
        <v>2044</v>
      </c>
      <c r="G206" s="14" t="s">
        <v>2045</v>
      </c>
      <c r="H206" s="14" t="s">
        <v>131</v>
      </c>
      <c r="I206" s="14" t="s">
        <v>132</v>
      </c>
      <c r="J206" s="16">
        <f>COUNTIF($I$3:I206, I206)</f>
        <v>14</v>
      </c>
      <c r="K206" s="14" t="s">
        <v>2048</v>
      </c>
      <c r="L206" s="14" t="s">
        <v>2048</v>
      </c>
      <c r="M206" s="14" t="s">
        <v>2048</v>
      </c>
      <c r="N206" s="14" t="s">
        <v>2048</v>
      </c>
      <c r="O206" s="14" t="s">
        <v>3394</v>
      </c>
      <c r="P206" s="14" t="s">
        <v>3395</v>
      </c>
      <c r="Q206" s="14" t="s">
        <v>72</v>
      </c>
      <c r="R206" s="14" t="s">
        <v>2048</v>
      </c>
      <c r="S206" s="14" t="s">
        <v>2048</v>
      </c>
      <c r="T206" s="14" t="s">
        <v>2048</v>
      </c>
      <c r="U206" s="14" t="s">
        <v>2048</v>
      </c>
      <c r="V206" s="14" t="s">
        <v>2050</v>
      </c>
      <c r="W206" s="14" t="s">
        <v>2048</v>
      </c>
      <c r="X206" s="14" t="s">
        <v>2048</v>
      </c>
      <c r="Y206" s="14" t="s">
        <v>2048</v>
      </c>
      <c r="Z206" s="14" t="s">
        <v>2048</v>
      </c>
      <c r="AA206" s="14" t="s">
        <v>2048</v>
      </c>
      <c r="AB206" s="14" t="s">
        <v>85</v>
      </c>
      <c r="AC206" s="14" t="s">
        <v>86</v>
      </c>
      <c r="AD206" s="14" t="s">
        <v>2442</v>
      </c>
      <c r="AE206" s="14" t="s">
        <v>2443</v>
      </c>
      <c r="AF206" s="14" t="s">
        <v>2055</v>
      </c>
      <c r="AG206" s="14" t="s">
        <v>2056</v>
      </c>
      <c r="AH206" s="14" t="s">
        <v>2055</v>
      </c>
      <c r="AI206" s="14" t="s">
        <v>2057</v>
      </c>
      <c r="AJ206" s="14" t="s">
        <v>87</v>
      </c>
      <c r="AK206" s="14" t="s">
        <v>2048</v>
      </c>
      <c r="AL206" s="14" t="s">
        <v>2048</v>
      </c>
      <c r="AM206" s="14" t="s">
        <v>2048</v>
      </c>
      <c r="AN206" s="14" t="s">
        <v>3084</v>
      </c>
      <c r="AO206" s="17" t="s">
        <v>89</v>
      </c>
      <c r="AP206" s="14" t="s">
        <v>2135</v>
      </c>
      <c r="AQ206" s="14" t="s">
        <v>3396</v>
      </c>
      <c r="AR206" s="14" t="s">
        <v>3397</v>
      </c>
      <c r="AS206" s="14" t="s">
        <v>3398</v>
      </c>
      <c r="AT206" s="14" t="s">
        <v>72</v>
      </c>
      <c r="AU206" s="14" t="s">
        <v>2448</v>
      </c>
      <c r="AV206" s="14" t="s">
        <v>2449</v>
      </c>
      <c r="AW206" s="14" t="s">
        <v>2048</v>
      </c>
      <c r="AX206" s="14" t="s">
        <v>2048</v>
      </c>
      <c r="AY206" s="14" t="s">
        <v>131</v>
      </c>
      <c r="AZ206" s="14" t="s">
        <v>622</v>
      </c>
      <c r="BA206" s="14" t="s">
        <v>2450</v>
      </c>
      <c r="BB206" s="14" t="s">
        <v>2048</v>
      </c>
      <c r="BC206" s="14" t="s">
        <v>2048</v>
      </c>
      <c r="BD206" s="14" t="s">
        <v>2048</v>
      </c>
      <c r="BE206" s="14" t="s">
        <v>2048</v>
      </c>
      <c r="BF206" s="14" t="s">
        <v>2452</v>
      </c>
      <c r="BG206" s="14" t="s">
        <v>2453</v>
      </c>
      <c r="BH206" s="14" t="s">
        <v>2454</v>
      </c>
      <c r="BI206" s="14" t="s">
        <v>2455</v>
      </c>
      <c r="BJ206" s="14" t="s">
        <v>2048</v>
      </c>
      <c r="BK206" s="14" t="s">
        <v>2048</v>
      </c>
      <c r="BL206" s="14" t="s">
        <v>2064</v>
      </c>
      <c r="BM206" s="14" t="s">
        <v>72</v>
      </c>
      <c r="BN206" s="14" t="s">
        <v>72</v>
      </c>
      <c r="BO206" s="14" t="s">
        <v>3399</v>
      </c>
      <c r="BP206" s="14" t="s">
        <v>2457</v>
      </c>
      <c r="BQ206" s="14" t="s">
        <v>2458</v>
      </c>
      <c r="BR206" s="14" t="s">
        <v>2418</v>
      </c>
      <c r="BS206" s="14" t="s">
        <v>2089</v>
      </c>
      <c r="BT206" s="14" t="s">
        <v>2048</v>
      </c>
      <c r="BU206" s="14" t="s">
        <v>2048</v>
      </c>
      <c r="BV206" s="14" t="s">
        <v>2048</v>
      </c>
      <c r="BW206" s="14" t="s">
        <v>2048</v>
      </c>
      <c r="BX206" s="14" t="s">
        <v>72</v>
      </c>
      <c r="BY206" s="14" t="s">
        <v>2048</v>
      </c>
      <c r="BZ206" s="14" t="s">
        <v>2048</v>
      </c>
      <c r="CA206" s="14" t="s">
        <v>2048</v>
      </c>
      <c r="CB206" s="14" t="s">
        <v>2048</v>
      </c>
      <c r="CC206" s="14" t="s">
        <v>2048</v>
      </c>
      <c r="CD206" s="14" t="s">
        <v>2048</v>
      </c>
      <c r="CE206" s="14" t="s">
        <v>2048</v>
      </c>
      <c r="CF206" s="14" t="s">
        <v>2048</v>
      </c>
      <c r="CG206" s="14" t="s">
        <v>2057</v>
      </c>
      <c r="CH206" s="14" t="s">
        <v>2090</v>
      </c>
      <c r="CI206" s="14" t="s">
        <v>2048</v>
      </c>
      <c r="CJ206" s="17"/>
      <c r="CK206" s="17">
        <v>45625</v>
      </c>
      <c r="CL206" s="17">
        <v>45625</v>
      </c>
      <c r="CM206" s="17">
        <v>2958465</v>
      </c>
      <c r="CN206" s="17"/>
      <c r="CO206" s="19">
        <v>0</v>
      </c>
      <c r="CP206" s="19">
        <v>0</v>
      </c>
      <c r="CQ206" s="19">
        <v>0</v>
      </c>
      <c r="CR206" s="19">
        <v>0</v>
      </c>
      <c r="CS206" s="19">
        <v>0</v>
      </c>
      <c r="CT206" s="19">
        <v>0</v>
      </c>
      <c r="CU206" s="19">
        <v>0</v>
      </c>
      <c r="CV206" s="17"/>
      <c r="CW206" s="19">
        <v>0</v>
      </c>
      <c r="CX206" s="17"/>
      <c r="CY206" s="17"/>
      <c r="CZ206" s="19">
        <v>0</v>
      </c>
      <c r="DA206" s="17"/>
      <c r="DB206" s="17"/>
      <c r="DC206" s="19">
        <v>100</v>
      </c>
      <c r="DD206" s="17"/>
      <c r="DE206" s="17">
        <v>2958465</v>
      </c>
      <c r="DF206" s="17"/>
      <c r="DG206" s="17"/>
      <c r="DH206" s="19">
        <v>0</v>
      </c>
      <c r="DI206" s="19">
        <v>0</v>
      </c>
    </row>
    <row r="207" spans="1:113" x14ac:dyDescent="0.2">
      <c r="A207" s="14" t="s">
        <v>2315</v>
      </c>
      <c r="B207" s="16" t="s">
        <v>1414</v>
      </c>
      <c r="C207" s="14" t="s">
        <v>158</v>
      </c>
      <c r="D207" s="14" t="s">
        <v>159</v>
      </c>
      <c r="E207" s="14" t="s">
        <v>158</v>
      </c>
      <c r="F207" s="14" t="s">
        <v>2044</v>
      </c>
      <c r="G207" s="14" t="s">
        <v>2045</v>
      </c>
      <c r="H207" s="14" t="s">
        <v>131</v>
      </c>
      <c r="I207" s="14" t="s">
        <v>132</v>
      </c>
      <c r="J207" s="16">
        <f>COUNTIF($I$3:I207, I207)</f>
        <v>15</v>
      </c>
      <c r="K207" s="14" t="s">
        <v>2048</v>
      </c>
      <c r="L207" s="14" t="s">
        <v>2048</v>
      </c>
      <c r="M207" s="14" t="s">
        <v>2048</v>
      </c>
      <c r="N207" s="14" t="s">
        <v>2048</v>
      </c>
      <c r="O207" s="14" t="s">
        <v>3400</v>
      </c>
      <c r="P207" s="14" t="s">
        <v>3401</v>
      </c>
      <c r="Q207" s="14" t="s">
        <v>72</v>
      </c>
      <c r="R207" s="14" t="s">
        <v>2048</v>
      </c>
      <c r="S207" s="14" t="s">
        <v>2048</v>
      </c>
      <c r="T207" s="14" t="s">
        <v>2048</v>
      </c>
      <c r="U207" s="14" t="s">
        <v>2048</v>
      </c>
      <c r="V207" s="14" t="s">
        <v>2050</v>
      </c>
      <c r="W207" s="14" t="s">
        <v>2048</v>
      </c>
      <c r="X207" s="14" t="s">
        <v>2048</v>
      </c>
      <c r="Y207" s="14" t="s">
        <v>2048</v>
      </c>
      <c r="Z207" s="14" t="s">
        <v>2048</v>
      </c>
      <c r="AA207" s="14" t="s">
        <v>2048</v>
      </c>
      <c r="AB207" s="14" t="s">
        <v>85</v>
      </c>
      <c r="AC207" s="14" t="s">
        <v>86</v>
      </c>
      <c r="AD207" s="14" t="s">
        <v>2442</v>
      </c>
      <c r="AE207" s="14" t="s">
        <v>2443</v>
      </c>
      <c r="AF207" s="14" t="s">
        <v>2056</v>
      </c>
      <c r="AG207" s="14" t="s">
        <v>2056</v>
      </c>
      <c r="AH207" s="14" t="s">
        <v>2055</v>
      </c>
      <c r="AI207" s="14" t="s">
        <v>2057</v>
      </c>
      <c r="AJ207" s="14" t="s">
        <v>87</v>
      </c>
      <c r="AK207" s="14" t="s">
        <v>2048</v>
      </c>
      <c r="AL207" s="14" t="s">
        <v>2048</v>
      </c>
      <c r="AM207" s="14" t="s">
        <v>2048</v>
      </c>
      <c r="AN207" s="14" t="s">
        <v>3370</v>
      </c>
      <c r="AO207" s="17" t="s">
        <v>89</v>
      </c>
      <c r="AP207" s="14" t="s">
        <v>2135</v>
      </c>
      <c r="AQ207" s="14" t="s">
        <v>3402</v>
      </c>
      <c r="AR207" s="14" t="s">
        <v>3403</v>
      </c>
      <c r="AS207" s="14" t="s">
        <v>3404</v>
      </c>
      <c r="AT207" s="14" t="s">
        <v>72</v>
      </c>
      <c r="AU207" s="14" t="s">
        <v>2448</v>
      </c>
      <c r="AV207" s="14" t="s">
        <v>2449</v>
      </c>
      <c r="AW207" s="14" t="s">
        <v>2048</v>
      </c>
      <c r="AX207" s="14" t="s">
        <v>2048</v>
      </c>
      <c r="AY207" s="14" t="s">
        <v>131</v>
      </c>
      <c r="AZ207" s="14" t="s">
        <v>753</v>
      </c>
      <c r="BA207" s="14" t="s">
        <v>3405</v>
      </c>
      <c r="BB207" s="14" t="s">
        <v>2048</v>
      </c>
      <c r="BC207" s="14" t="s">
        <v>2048</v>
      </c>
      <c r="BD207" s="14" t="s">
        <v>2048</v>
      </c>
      <c r="BE207" s="14" t="s">
        <v>2048</v>
      </c>
      <c r="BF207" s="14" t="s">
        <v>2452</v>
      </c>
      <c r="BG207" s="14" t="s">
        <v>2453</v>
      </c>
      <c r="BH207" s="14" t="s">
        <v>2454</v>
      </c>
      <c r="BI207" s="14" t="s">
        <v>2455</v>
      </c>
      <c r="BJ207" s="14" t="s">
        <v>2048</v>
      </c>
      <c r="BK207" s="14" t="s">
        <v>2048</v>
      </c>
      <c r="BL207" s="14" t="s">
        <v>2064</v>
      </c>
      <c r="BM207" s="14" t="s">
        <v>72</v>
      </c>
      <c r="BN207" s="14" t="s">
        <v>72</v>
      </c>
      <c r="BO207" s="14" t="s">
        <v>3406</v>
      </c>
      <c r="BP207" s="14" t="s">
        <v>3375</v>
      </c>
      <c r="BQ207" s="14" t="s">
        <v>3376</v>
      </c>
      <c r="BR207" s="14" t="s">
        <v>2418</v>
      </c>
      <c r="BS207" s="14" t="s">
        <v>2089</v>
      </c>
      <c r="BT207" s="14" t="s">
        <v>2048</v>
      </c>
      <c r="BU207" s="14" t="s">
        <v>2048</v>
      </c>
      <c r="BV207" s="14" t="s">
        <v>2048</v>
      </c>
      <c r="BW207" s="14" t="s">
        <v>2048</v>
      </c>
      <c r="BX207" s="14" t="s">
        <v>72</v>
      </c>
      <c r="BY207" s="14" t="s">
        <v>2048</v>
      </c>
      <c r="BZ207" s="14" t="s">
        <v>2048</v>
      </c>
      <c r="CA207" s="14" t="s">
        <v>2048</v>
      </c>
      <c r="CB207" s="14" t="s">
        <v>2048</v>
      </c>
      <c r="CC207" s="14" t="s">
        <v>2048</v>
      </c>
      <c r="CD207" s="14" t="s">
        <v>2048</v>
      </c>
      <c r="CE207" s="14" t="s">
        <v>2048</v>
      </c>
      <c r="CF207" s="14" t="s">
        <v>2048</v>
      </c>
      <c r="CG207" s="14" t="s">
        <v>2057</v>
      </c>
      <c r="CH207" s="14" t="s">
        <v>2090</v>
      </c>
      <c r="CI207" s="14" t="s">
        <v>2048</v>
      </c>
      <c r="CJ207" s="17"/>
      <c r="CK207" s="17">
        <v>45625</v>
      </c>
      <c r="CL207" s="17">
        <v>45625</v>
      </c>
      <c r="CM207" s="17">
        <v>2958465</v>
      </c>
      <c r="CN207" s="17"/>
      <c r="CO207" s="19">
        <v>0</v>
      </c>
      <c r="CP207" s="19">
        <v>0</v>
      </c>
      <c r="CQ207" s="19">
        <v>0</v>
      </c>
      <c r="CR207" s="19">
        <v>0</v>
      </c>
      <c r="CS207" s="19">
        <v>0</v>
      </c>
      <c r="CT207" s="19">
        <v>0</v>
      </c>
      <c r="CU207" s="19">
        <v>0</v>
      </c>
      <c r="CV207" s="17"/>
      <c r="CW207" s="19">
        <v>0</v>
      </c>
      <c r="CX207" s="17"/>
      <c r="CY207" s="17"/>
      <c r="CZ207" s="19">
        <v>0</v>
      </c>
      <c r="DA207" s="17"/>
      <c r="DB207" s="17"/>
      <c r="DC207" s="19">
        <v>100</v>
      </c>
      <c r="DD207" s="17"/>
      <c r="DE207" s="17">
        <v>2958465</v>
      </c>
      <c r="DF207" s="17"/>
      <c r="DG207" s="17"/>
      <c r="DH207" s="19">
        <v>0</v>
      </c>
      <c r="DI207" s="19">
        <v>0</v>
      </c>
    </row>
    <row r="208" spans="1:113" x14ac:dyDescent="0.2">
      <c r="A208" s="14" t="s">
        <v>2315</v>
      </c>
      <c r="B208" s="16" t="s">
        <v>1416</v>
      </c>
      <c r="C208" s="14" t="s">
        <v>158</v>
      </c>
      <c r="D208" s="14" t="s">
        <v>159</v>
      </c>
      <c r="E208" s="14" t="s">
        <v>158</v>
      </c>
      <c r="F208" s="14" t="s">
        <v>2044</v>
      </c>
      <c r="G208" s="14" t="s">
        <v>2045</v>
      </c>
      <c r="H208" s="14" t="s">
        <v>131</v>
      </c>
      <c r="I208" s="14" t="s">
        <v>132</v>
      </c>
      <c r="J208" s="16">
        <f>COUNTIF($I$3:I208, I208)</f>
        <v>16</v>
      </c>
      <c r="K208" s="14" t="s">
        <v>2048</v>
      </c>
      <c r="L208" s="14" t="s">
        <v>2048</v>
      </c>
      <c r="M208" s="14" t="s">
        <v>2048</v>
      </c>
      <c r="N208" s="14" t="s">
        <v>2048</v>
      </c>
      <c r="O208" s="14" t="s">
        <v>3407</v>
      </c>
      <c r="P208" s="14" t="s">
        <v>3408</v>
      </c>
      <c r="Q208" s="14" t="s">
        <v>72</v>
      </c>
      <c r="R208" s="14" t="s">
        <v>2048</v>
      </c>
      <c r="S208" s="14" t="s">
        <v>2048</v>
      </c>
      <c r="T208" s="14" t="s">
        <v>2048</v>
      </c>
      <c r="U208" s="14" t="s">
        <v>2048</v>
      </c>
      <c r="V208" s="14" t="s">
        <v>2050</v>
      </c>
      <c r="W208" s="14" t="s">
        <v>2048</v>
      </c>
      <c r="X208" s="14" t="s">
        <v>2048</v>
      </c>
      <c r="Y208" s="14" t="s">
        <v>2048</v>
      </c>
      <c r="Z208" s="14" t="s">
        <v>2048</v>
      </c>
      <c r="AA208" s="14" t="s">
        <v>2048</v>
      </c>
      <c r="AB208" s="14" t="s">
        <v>85</v>
      </c>
      <c r="AC208" s="14" t="s">
        <v>86</v>
      </c>
      <c r="AD208" s="14" t="s">
        <v>2442</v>
      </c>
      <c r="AE208" s="14" t="s">
        <v>2443</v>
      </c>
      <c r="AF208" s="14" t="s">
        <v>2056</v>
      </c>
      <c r="AG208" s="14" t="s">
        <v>2056</v>
      </c>
      <c r="AH208" s="14" t="s">
        <v>2055</v>
      </c>
      <c r="AI208" s="14" t="s">
        <v>2057</v>
      </c>
      <c r="AJ208" s="14" t="s">
        <v>87</v>
      </c>
      <c r="AK208" s="14" t="s">
        <v>2048</v>
      </c>
      <c r="AL208" s="14" t="s">
        <v>2048</v>
      </c>
      <c r="AM208" s="14" t="s">
        <v>2048</v>
      </c>
      <c r="AN208" s="14" t="s">
        <v>2443</v>
      </c>
      <c r="AO208" s="17" t="s">
        <v>89</v>
      </c>
      <c r="AP208" s="14" t="s">
        <v>2135</v>
      </c>
      <c r="AQ208" s="14" t="s">
        <v>3409</v>
      </c>
      <c r="AR208" s="14" t="s">
        <v>3410</v>
      </c>
      <c r="AS208" s="14" t="s">
        <v>3411</v>
      </c>
      <c r="AT208" s="14" t="s">
        <v>72</v>
      </c>
      <c r="AU208" s="14" t="s">
        <v>2448</v>
      </c>
      <c r="AV208" s="14" t="s">
        <v>2449</v>
      </c>
      <c r="AW208" s="14" t="s">
        <v>2048</v>
      </c>
      <c r="AX208" s="14" t="s">
        <v>2048</v>
      </c>
      <c r="AY208" s="14" t="s">
        <v>131</v>
      </c>
      <c r="AZ208" s="14" t="s">
        <v>318</v>
      </c>
      <c r="BA208" s="14" t="s">
        <v>3357</v>
      </c>
      <c r="BB208" s="14" t="s">
        <v>2048</v>
      </c>
      <c r="BC208" s="14" t="s">
        <v>2048</v>
      </c>
      <c r="BD208" s="14" t="s">
        <v>2048</v>
      </c>
      <c r="BE208" s="14" t="s">
        <v>2048</v>
      </c>
      <c r="BF208" s="14" t="s">
        <v>2452</v>
      </c>
      <c r="BG208" s="14" t="s">
        <v>2453</v>
      </c>
      <c r="BH208" s="14" t="s">
        <v>2454</v>
      </c>
      <c r="BI208" s="14" t="s">
        <v>2455</v>
      </c>
      <c r="BJ208" s="14" t="s">
        <v>2048</v>
      </c>
      <c r="BK208" s="14" t="s">
        <v>2518</v>
      </c>
      <c r="BL208" s="14" t="s">
        <v>2064</v>
      </c>
      <c r="BM208" s="14" t="s">
        <v>72</v>
      </c>
      <c r="BN208" s="14" t="s">
        <v>72</v>
      </c>
      <c r="BO208" s="14" t="s">
        <v>3412</v>
      </c>
      <c r="BP208" s="14" t="s">
        <v>2457</v>
      </c>
      <c r="BQ208" s="14" t="s">
        <v>2458</v>
      </c>
      <c r="BR208" s="14" t="s">
        <v>2418</v>
      </c>
      <c r="BS208" s="14" t="s">
        <v>2089</v>
      </c>
      <c r="BT208" s="14" t="s">
        <v>2048</v>
      </c>
      <c r="BU208" s="14" t="s">
        <v>2048</v>
      </c>
      <c r="BV208" s="14" t="s">
        <v>2048</v>
      </c>
      <c r="BW208" s="14" t="s">
        <v>2048</v>
      </c>
      <c r="BX208" s="14" t="s">
        <v>72</v>
      </c>
      <c r="BY208" s="14" t="s">
        <v>2048</v>
      </c>
      <c r="BZ208" s="14" t="s">
        <v>2048</v>
      </c>
      <c r="CA208" s="14" t="s">
        <v>2048</v>
      </c>
      <c r="CB208" s="14" t="s">
        <v>2048</v>
      </c>
      <c r="CC208" s="14" t="s">
        <v>2048</v>
      </c>
      <c r="CD208" s="14" t="s">
        <v>2048</v>
      </c>
      <c r="CE208" s="14" t="s">
        <v>2048</v>
      </c>
      <c r="CF208" s="14" t="s">
        <v>2048</v>
      </c>
      <c r="CG208" s="14" t="s">
        <v>2057</v>
      </c>
      <c r="CH208" s="14" t="s">
        <v>2090</v>
      </c>
      <c r="CI208" s="14" t="s">
        <v>2048</v>
      </c>
      <c r="CJ208" s="17"/>
      <c r="CK208" s="17">
        <v>45625</v>
      </c>
      <c r="CL208" s="17">
        <v>45625</v>
      </c>
      <c r="CM208" s="17">
        <v>2958465</v>
      </c>
      <c r="CN208" s="17"/>
      <c r="CO208" s="19">
        <v>0</v>
      </c>
      <c r="CP208" s="19">
        <v>0</v>
      </c>
      <c r="CQ208" s="19">
        <v>0</v>
      </c>
      <c r="CR208" s="19">
        <v>0</v>
      </c>
      <c r="CS208" s="19">
        <v>0</v>
      </c>
      <c r="CT208" s="19">
        <v>0</v>
      </c>
      <c r="CU208" s="19">
        <v>0</v>
      </c>
      <c r="CV208" s="17"/>
      <c r="CW208" s="19">
        <v>0</v>
      </c>
      <c r="CX208" s="17"/>
      <c r="CY208" s="17"/>
      <c r="CZ208" s="19">
        <v>0</v>
      </c>
      <c r="DA208" s="17"/>
      <c r="DB208" s="17"/>
      <c r="DC208" s="19">
        <v>100</v>
      </c>
      <c r="DD208" s="17"/>
      <c r="DE208" s="17">
        <v>2958465</v>
      </c>
      <c r="DF208" s="17"/>
      <c r="DG208" s="17"/>
      <c r="DH208" s="19">
        <v>0</v>
      </c>
      <c r="DI208" s="19">
        <v>0</v>
      </c>
    </row>
    <row r="209" spans="1:113" x14ac:dyDescent="0.2">
      <c r="A209" s="14" t="s">
        <v>2315</v>
      </c>
      <c r="B209" s="16" t="s">
        <v>828</v>
      </c>
      <c r="C209" s="14" t="s">
        <v>158</v>
      </c>
      <c r="D209" s="14" t="s">
        <v>159</v>
      </c>
      <c r="E209" s="14" t="s">
        <v>158</v>
      </c>
      <c r="F209" s="14" t="s">
        <v>2044</v>
      </c>
      <c r="G209" s="14" t="s">
        <v>2045</v>
      </c>
      <c r="H209" s="14" t="s">
        <v>131</v>
      </c>
      <c r="I209" s="14" t="s">
        <v>132</v>
      </c>
      <c r="J209" s="16">
        <f>COUNTIF($I$3:I209, I209)</f>
        <v>17</v>
      </c>
      <c r="K209" s="14" t="s">
        <v>2048</v>
      </c>
      <c r="L209" s="14" t="s">
        <v>2048</v>
      </c>
      <c r="M209" s="14" t="s">
        <v>2048</v>
      </c>
      <c r="N209" s="14" t="s">
        <v>2048</v>
      </c>
      <c r="O209" s="14" t="s">
        <v>3413</v>
      </c>
      <c r="P209" s="14" t="s">
        <v>830</v>
      </c>
      <c r="Q209" s="14" t="s">
        <v>72</v>
      </c>
      <c r="R209" s="14" t="s">
        <v>2048</v>
      </c>
      <c r="S209" s="14" t="s">
        <v>2048</v>
      </c>
      <c r="T209" s="14" t="s">
        <v>2048</v>
      </c>
      <c r="U209" s="14" t="s">
        <v>2048</v>
      </c>
      <c r="V209" s="14" t="s">
        <v>2050</v>
      </c>
      <c r="W209" s="14" t="s">
        <v>2048</v>
      </c>
      <c r="X209" s="14" t="s">
        <v>2048</v>
      </c>
      <c r="Y209" s="14" t="s">
        <v>2048</v>
      </c>
      <c r="Z209" s="14" t="s">
        <v>2048</v>
      </c>
      <c r="AA209" s="14" t="s">
        <v>2048</v>
      </c>
      <c r="AB209" s="14" t="s">
        <v>85</v>
      </c>
      <c r="AC209" s="14" t="s">
        <v>86</v>
      </c>
      <c r="AD209" s="14" t="s">
        <v>2442</v>
      </c>
      <c r="AE209" s="14" t="s">
        <v>2443</v>
      </c>
      <c r="AF209" s="14" t="s">
        <v>2056</v>
      </c>
      <c r="AG209" s="14" t="s">
        <v>2056</v>
      </c>
      <c r="AH209" s="14" t="s">
        <v>2055</v>
      </c>
      <c r="AI209" s="14" t="s">
        <v>2057</v>
      </c>
      <c r="AJ209" s="14" t="s">
        <v>87</v>
      </c>
      <c r="AK209" s="14" t="s">
        <v>2048</v>
      </c>
      <c r="AL209" s="14" t="s">
        <v>2048</v>
      </c>
      <c r="AM209" s="14" t="s">
        <v>2584</v>
      </c>
      <c r="AN209" s="14" t="s">
        <v>2443</v>
      </c>
      <c r="AO209" s="17" t="s">
        <v>89</v>
      </c>
      <c r="AP209" s="14" t="s">
        <v>2135</v>
      </c>
      <c r="AQ209" s="14" t="s">
        <v>3414</v>
      </c>
      <c r="AR209" s="14" t="s">
        <v>3415</v>
      </c>
      <c r="AS209" s="14" t="s">
        <v>3416</v>
      </c>
      <c r="AT209" s="14" t="s">
        <v>72</v>
      </c>
      <c r="AU209" s="14" t="s">
        <v>2448</v>
      </c>
      <c r="AV209" s="14" t="s">
        <v>2449</v>
      </c>
      <c r="AW209" s="14" t="s">
        <v>2048</v>
      </c>
      <c r="AX209" s="14" t="s">
        <v>2048</v>
      </c>
      <c r="AY209" s="14" t="s">
        <v>131</v>
      </c>
      <c r="AZ209" s="14" t="s">
        <v>829</v>
      </c>
      <c r="BA209" s="14" t="s">
        <v>3417</v>
      </c>
      <c r="BB209" s="14" t="s">
        <v>2048</v>
      </c>
      <c r="BC209" s="14" t="s">
        <v>2048</v>
      </c>
      <c r="BD209" s="14" t="s">
        <v>2048</v>
      </c>
      <c r="BE209" s="14" t="s">
        <v>2048</v>
      </c>
      <c r="BF209" s="14" t="s">
        <v>2452</v>
      </c>
      <c r="BG209" s="14" t="s">
        <v>2453</v>
      </c>
      <c r="BH209" s="14" t="s">
        <v>2454</v>
      </c>
      <c r="BI209" s="14" t="s">
        <v>2455</v>
      </c>
      <c r="BJ209" s="14" t="s">
        <v>2048</v>
      </c>
      <c r="BK209" s="14" t="s">
        <v>2048</v>
      </c>
      <c r="BL209" s="14" t="s">
        <v>2064</v>
      </c>
      <c r="BM209" s="14" t="s">
        <v>72</v>
      </c>
      <c r="BN209" s="14" t="s">
        <v>72</v>
      </c>
      <c r="BO209" s="14" t="s">
        <v>3418</v>
      </c>
      <c r="BP209" s="14" t="s">
        <v>2457</v>
      </c>
      <c r="BQ209" s="14" t="s">
        <v>2458</v>
      </c>
      <c r="BR209" s="14" t="s">
        <v>2418</v>
      </c>
      <c r="BS209" s="14" t="s">
        <v>2089</v>
      </c>
      <c r="BT209" s="14" t="s">
        <v>2048</v>
      </c>
      <c r="BU209" s="14" t="s">
        <v>2048</v>
      </c>
      <c r="BV209" s="14" t="s">
        <v>2048</v>
      </c>
      <c r="BW209" s="14" t="s">
        <v>2048</v>
      </c>
      <c r="BX209" s="14" t="s">
        <v>72</v>
      </c>
      <c r="BY209" s="14" t="s">
        <v>2048</v>
      </c>
      <c r="BZ209" s="14" t="s">
        <v>2048</v>
      </c>
      <c r="CA209" s="14" t="s">
        <v>2048</v>
      </c>
      <c r="CB209" s="14" t="s">
        <v>2048</v>
      </c>
      <c r="CC209" s="14" t="s">
        <v>2048</v>
      </c>
      <c r="CD209" s="14" t="s">
        <v>2048</v>
      </c>
      <c r="CE209" s="14" t="s">
        <v>2048</v>
      </c>
      <c r="CF209" s="14" t="s">
        <v>2048</v>
      </c>
      <c r="CG209" s="14" t="s">
        <v>2057</v>
      </c>
      <c r="CH209" s="14" t="s">
        <v>2090</v>
      </c>
      <c r="CI209" s="14" t="s">
        <v>2048</v>
      </c>
      <c r="CJ209" s="17"/>
      <c r="CK209" s="17">
        <v>45625</v>
      </c>
      <c r="CL209" s="17">
        <v>45625</v>
      </c>
      <c r="CM209" s="17">
        <v>2958465</v>
      </c>
      <c r="CN209" s="17"/>
      <c r="CO209" s="19">
        <v>0</v>
      </c>
      <c r="CP209" s="19">
        <v>0</v>
      </c>
      <c r="CQ209" s="19">
        <v>0</v>
      </c>
      <c r="CR209" s="19">
        <v>0</v>
      </c>
      <c r="CS209" s="19">
        <v>0</v>
      </c>
      <c r="CT209" s="19">
        <v>0</v>
      </c>
      <c r="CU209" s="19">
        <v>0</v>
      </c>
      <c r="CV209" s="17"/>
      <c r="CW209" s="19">
        <v>0</v>
      </c>
      <c r="CX209" s="17"/>
      <c r="CY209" s="17"/>
      <c r="CZ209" s="19">
        <v>0</v>
      </c>
      <c r="DA209" s="17"/>
      <c r="DB209" s="17"/>
      <c r="DC209" s="19">
        <v>100</v>
      </c>
      <c r="DD209" s="17"/>
      <c r="DE209" s="17">
        <v>2958465</v>
      </c>
      <c r="DF209" s="17"/>
      <c r="DG209" s="17"/>
      <c r="DH209" s="19">
        <v>0</v>
      </c>
      <c r="DI209" s="19">
        <v>0</v>
      </c>
    </row>
    <row r="210" spans="1:113" x14ac:dyDescent="0.2">
      <c r="A210" s="14" t="s">
        <v>2315</v>
      </c>
      <c r="B210" s="16" t="s">
        <v>134</v>
      </c>
      <c r="C210" s="14" t="s">
        <v>158</v>
      </c>
      <c r="D210" s="14" t="s">
        <v>159</v>
      </c>
      <c r="E210" s="14" t="s">
        <v>158</v>
      </c>
      <c r="F210" s="14" t="s">
        <v>2044</v>
      </c>
      <c r="G210" s="14" t="s">
        <v>2045</v>
      </c>
      <c r="H210" s="14" t="s">
        <v>131</v>
      </c>
      <c r="I210" s="14" t="s">
        <v>132</v>
      </c>
      <c r="J210" s="16">
        <f>COUNTIF($I$3:I210, I210)</f>
        <v>18</v>
      </c>
      <c r="K210" s="14" t="s">
        <v>2048</v>
      </c>
      <c r="L210" s="14" t="s">
        <v>2048</v>
      </c>
      <c r="M210" s="14" t="s">
        <v>2048</v>
      </c>
      <c r="N210" s="14" t="s">
        <v>2048</v>
      </c>
      <c r="O210" s="14" t="s">
        <v>3419</v>
      </c>
      <c r="P210" s="14" t="s">
        <v>136</v>
      </c>
      <c r="Q210" s="14" t="s">
        <v>72</v>
      </c>
      <c r="R210" s="14" t="s">
        <v>2048</v>
      </c>
      <c r="S210" s="14" t="s">
        <v>2048</v>
      </c>
      <c r="T210" s="14" t="s">
        <v>2048</v>
      </c>
      <c r="U210" s="14" t="s">
        <v>2048</v>
      </c>
      <c r="V210" s="14" t="s">
        <v>2050</v>
      </c>
      <c r="W210" s="14" t="s">
        <v>2048</v>
      </c>
      <c r="X210" s="14" t="s">
        <v>2048</v>
      </c>
      <c r="Y210" s="14" t="s">
        <v>2048</v>
      </c>
      <c r="Z210" s="14" t="s">
        <v>2048</v>
      </c>
      <c r="AA210" s="14" t="s">
        <v>2048</v>
      </c>
      <c r="AB210" s="14" t="s">
        <v>85</v>
      </c>
      <c r="AC210" s="14" t="s">
        <v>86</v>
      </c>
      <c r="AD210" s="14" t="s">
        <v>2442</v>
      </c>
      <c r="AE210" s="14" t="s">
        <v>2443</v>
      </c>
      <c r="AF210" s="14" t="s">
        <v>2055</v>
      </c>
      <c r="AG210" s="14" t="s">
        <v>2056</v>
      </c>
      <c r="AH210" s="14" t="s">
        <v>2055</v>
      </c>
      <c r="AI210" s="14" t="s">
        <v>2057</v>
      </c>
      <c r="AJ210" s="14" t="s">
        <v>87</v>
      </c>
      <c r="AK210" s="14" t="s">
        <v>2048</v>
      </c>
      <c r="AL210" s="14" t="s">
        <v>2048</v>
      </c>
      <c r="AM210" s="14" t="s">
        <v>2048</v>
      </c>
      <c r="AN210" s="14" t="s">
        <v>2443</v>
      </c>
      <c r="AO210" s="17" t="s">
        <v>89</v>
      </c>
      <c r="AP210" s="14" t="s">
        <v>2135</v>
      </c>
      <c r="AQ210" s="14" t="s">
        <v>3420</v>
      </c>
      <c r="AR210" s="14" t="s">
        <v>3421</v>
      </c>
      <c r="AS210" s="14" t="s">
        <v>3422</v>
      </c>
      <c r="AT210" s="14" t="s">
        <v>72</v>
      </c>
      <c r="AU210" s="14" t="s">
        <v>2448</v>
      </c>
      <c r="AV210" s="14" t="s">
        <v>2449</v>
      </c>
      <c r="AW210" s="14" t="s">
        <v>2048</v>
      </c>
      <c r="AX210" s="14" t="s">
        <v>2048</v>
      </c>
      <c r="AY210" s="14" t="s">
        <v>131</v>
      </c>
      <c r="AZ210" s="14" t="s">
        <v>135</v>
      </c>
      <c r="BA210" s="14" t="s">
        <v>2945</v>
      </c>
      <c r="BB210" s="14" t="s">
        <v>2048</v>
      </c>
      <c r="BC210" s="14" t="s">
        <v>2048</v>
      </c>
      <c r="BD210" s="14" t="s">
        <v>2048</v>
      </c>
      <c r="BE210" s="14" t="s">
        <v>2048</v>
      </c>
      <c r="BF210" s="14" t="s">
        <v>2946</v>
      </c>
      <c r="BG210" s="14" t="s">
        <v>2947</v>
      </c>
      <c r="BH210" s="14" t="s">
        <v>2948</v>
      </c>
      <c r="BI210" s="14" t="s">
        <v>2455</v>
      </c>
      <c r="BJ210" s="14" t="s">
        <v>2048</v>
      </c>
      <c r="BK210" s="14" t="s">
        <v>2518</v>
      </c>
      <c r="BL210" s="14" t="s">
        <v>2064</v>
      </c>
      <c r="BM210" s="14" t="s">
        <v>72</v>
      </c>
      <c r="BN210" s="14" t="s">
        <v>72</v>
      </c>
      <c r="BO210" s="14" t="s">
        <v>3423</v>
      </c>
      <c r="BP210" s="14" t="s">
        <v>2457</v>
      </c>
      <c r="BQ210" s="14" t="s">
        <v>2458</v>
      </c>
      <c r="BR210" s="14" t="s">
        <v>2418</v>
      </c>
      <c r="BS210" s="14" t="s">
        <v>2089</v>
      </c>
      <c r="BT210" s="14" t="s">
        <v>2048</v>
      </c>
      <c r="BU210" s="14" t="s">
        <v>2048</v>
      </c>
      <c r="BV210" s="14" t="s">
        <v>2048</v>
      </c>
      <c r="BW210" s="14" t="s">
        <v>2048</v>
      </c>
      <c r="BX210" s="14" t="s">
        <v>72</v>
      </c>
      <c r="BY210" s="14" t="s">
        <v>2048</v>
      </c>
      <c r="BZ210" s="14" t="s">
        <v>2048</v>
      </c>
      <c r="CA210" s="14" t="s">
        <v>2048</v>
      </c>
      <c r="CB210" s="14" t="s">
        <v>2048</v>
      </c>
      <c r="CC210" s="14" t="s">
        <v>2048</v>
      </c>
      <c r="CD210" s="14" t="s">
        <v>2048</v>
      </c>
      <c r="CE210" s="14" t="s">
        <v>2048</v>
      </c>
      <c r="CF210" s="14" t="s">
        <v>2048</v>
      </c>
      <c r="CG210" s="14" t="s">
        <v>2057</v>
      </c>
      <c r="CH210" s="14" t="s">
        <v>2090</v>
      </c>
      <c r="CI210" s="14" t="s">
        <v>2048</v>
      </c>
      <c r="CJ210" s="17"/>
      <c r="CK210" s="17">
        <v>45625</v>
      </c>
      <c r="CL210" s="17">
        <v>45625</v>
      </c>
      <c r="CM210" s="17">
        <v>2958465</v>
      </c>
      <c r="CN210" s="17"/>
      <c r="CO210" s="19">
        <v>0</v>
      </c>
      <c r="CP210" s="19">
        <v>0</v>
      </c>
      <c r="CQ210" s="19">
        <v>0</v>
      </c>
      <c r="CR210" s="19">
        <v>0</v>
      </c>
      <c r="CS210" s="19">
        <v>0</v>
      </c>
      <c r="CT210" s="19">
        <v>0</v>
      </c>
      <c r="CU210" s="19">
        <v>0</v>
      </c>
      <c r="CV210" s="17"/>
      <c r="CW210" s="19">
        <v>0</v>
      </c>
      <c r="CX210" s="17"/>
      <c r="CY210" s="17"/>
      <c r="CZ210" s="19">
        <v>0</v>
      </c>
      <c r="DA210" s="17"/>
      <c r="DB210" s="17"/>
      <c r="DC210" s="19">
        <v>100</v>
      </c>
      <c r="DD210" s="17"/>
      <c r="DE210" s="17">
        <v>2958465</v>
      </c>
      <c r="DF210" s="17"/>
      <c r="DG210" s="17"/>
      <c r="DH210" s="19">
        <v>0</v>
      </c>
      <c r="DI210" s="19">
        <v>0</v>
      </c>
    </row>
    <row r="211" spans="1:113" x14ac:dyDescent="0.2">
      <c r="A211" s="14" t="s">
        <v>2315</v>
      </c>
      <c r="B211" s="16" t="s">
        <v>317</v>
      </c>
      <c r="C211" s="14" t="s">
        <v>158</v>
      </c>
      <c r="D211" s="14" t="s">
        <v>159</v>
      </c>
      <c r="E211" s="14" t="s">
        <v>158</v>
      </c>
      <c r="F211" s="14" t="s">
        <v>2044</v>
      </c>
      <c r="G211" s="14" t="s">
        <v>2045</v>
      </c>
      <c r="H211" s="14" t="s">
        <v>131</v>
      </c>
      <c r="I211" s="14" t="s">
        <v>132</v>
      </c>
      <c r="J211" s="16">
        <f>COUNTIF($I$3:I211, I211)</f>
        <v>19</v>
      </c>
      <c r="K211" s="14" t="s">
        <v>2048</v>
      </c>
      <c r="L211" s="14" t="s">
        <v>2048</v>
      </c>
      <c r="M211" s="14" t="s">
        <v>2048</v>
      </c>
      <c r="N211" s="14" t="s">
        <v>2048</v>
      </c>
      <c r="O211" s="14" t="s">
        <v>3424</v>
      </c>
      <c r="P211" s="14" t="s">
        <v>319</v>
      </c>
      <c r="Q211" s="14" t="s">
        <v>72</v>
      </c>
      <c r="R211" s="14" t="s">
        <v>2048</v>
      </c>
      <c r="S211" s="14" t="s">
        <v>2048</v>
      </c>
      <c r="T211" s="14" t="s">
        <v>2048</v>
      </c>
      <c r="U211" s="14" t="s">
        <v>2048</v>
      </c>
      <c r="V211" s="14" t="s">
        <v>2050</v>
      </c>
      <c r="W211" s="14" t="s">
        <v>2048</v>
      </c>
      <c r="X211" s="14" t="s">
        <v>2048</v>
      </c>
      <c r="Y211" s="14" t="s">
        <v>2048</v>
      </c>
      <c r="Z211" s="14" t="s">
        <v>2048</v>
      </c>
      <c r="AA211" s="14" t="s">
        <v>2048</v>
      </c>
      <c r="AB211" s="14" t="s">
        <v>85</v>
      </c>
      <c r="AC211" s="14" t="s">
        <v>86</v>
      </c>
      <c r="AD211" s="14" t="s">
        <v>2442</v>
      </c>
      <c r="AE211" s="14" t="s">
        <v>2443</v>
      </c>
      <c r="AF211" s="14" t="s">
        <v>2055</v>
      </c>
      <c r="AG211" s="14" t="s">
        <v>2056</v>
      </c>
      <c r="AH211" s="14" t="s">
        <v>2055</v>
      </c>
      <c r="AI211" s="14" t="s">
        <v>2057</v>
      </c>
      <c r="AJ211" s="14" t="s">
        <v>87</v>
      </c>
      <c r="AK211" s="14" t="s">
        <v>2048</v>
      </c>
      <c r="AL211" s="14" t="s">
        <v>2048</v>
      </c>
      <c r="AM211" s="14" t="s">
        <v>2584</v>
      </c>
      <c r="AN211" s="14" t="s">
        <v>2443</v>
      </c>
      <c r="AO211" s="17" t="s">
        <v>89</v>
      </c>
      <c r="AP211" s="14" t="s">
        <v>2135</v>
      </c>
      <c r="AQ211" s="14" t="s">
        <v>3425</v>
      </c>
      <c r="AR211" s="14" t="s">
        <v>3426</v>
      </c>
      <c r="AS211" s="14" t="s">
        <v>3427</v>
      </c>
      <c r="AT211" s="14" t="s">
        <v>2048</v>
      </c>
      <c r="AU211" s="14" t="s">
        <v>2448</v>
      </c>
      <c r="AV211" s="14" t="s">
        <v>2449</v>
      </c>
      <c r="AW211" s="14" t="s">
        <v>2048</v>
      </c>
      <c r="AX211" s="14" t="s">
        <v>2048</v>
      </c>
      <c r="AY211" s="14" t="s">
        <v>131</v>
      </c>
      <c r="AZ211" s="14" t="s">
        <v>318</v>
      </c>
      <c r="BA211" s="14" t="s">
        <v>3357</v>
      </c>
      <c r="BB211" s="14" t="s">
        <v>2048</v>
      </c>
      <c r="BC211" s="14" t="s">
        <v>2048</v>
      </c>
      <c r="BD211" s="14" t="s">
        <v>2048</v>
      </c>
      <c r="BE211" s="14" t="s">
        <v>2048</v>
      </c>
      <c r="BF211" s="14" t="s">
        <v>2452</v>
      </c>
      <c r="BG211" s="14" t="s">
        <v>2453</v>
      </c>
      <c r="BH211" s="14" t="s">
        <v>2454</v>
      </c>
      <c r="BI211" s="14" t="s">
        <v>2455</v>
      </c>
      <c r="BJ211" s="14" t="s">
        <v>2048</v>
      </c>
      <c r="BK211" s="14" t="s">
        <v>2048</v>
      </c>
      <c r="BL211" s="14" t="s">
        <v>2064</v>
      </c>
      <c r="BM211" s="14" t="s">
        <v>72</v>
      </c>
      <c r="BN211" s="14" t="s">
        <v>72</v>
      </c>
      <c r="BO211" s="14" t="s">
        <v>3428</v>
      </c>
      <c r="BP211" s="14" t="s">
        <v>2457</v>
      </c>
      <c r="BQ211" s="14" t="s">
        <v>2458</v>
      </c>
      <c r="BR211" s="14" t="s">
        <v>2418</v>
      </c>
      <c r="BS211" s="14" t="s">
        <v>2089</v>
      </c>
      <c r="BT211" s="14" t="s">
        <v>2048</v>
      </c>
      <c r="BU211" s="14" t="s">
        <v>2048</v>
      </c>
      <c r="BV211" s="14" t="s">
        <v>2048</v>
      </c>
      <c r="BW211" s="14" t="s">
        <v>2048</v>
      </c>
      <c r="BX211" s="14" t="s">
        <v>72</v>
      </c>
      <c r="BY211" s="14" t="s">
        <v>2048</v>
      </c>
      <c r="BZ211" s="14" t="s">
        <v>2048</v>
      </c>
      <c r="CA211" s="14" t="s">
        <v>2048</v>
      </c>
      <c r="CB211" s="14" t="s">
        <v>2048</v>
      </c>
      <c r="CC211" s="14" t="s">
        <v>2048</v>
      </c>
      <c r="CD211" s="14" t="s">
        <v>2048</v>
      </c>
      <c r="CE211" s="14" t="s">
        <v>2048</v>
      </c>
      <c r="CF211" s="14" t="s">
        <v>2048</v>
      </c>
      <c r="CG211" s="14" t="s">
        <v>2057</v>
      </c>
      <c r="CH211" s="14" t="s">
        <v>2090</v>
      </c>
      <c r="CI211" s="14" t="s">
        <v>2048</v>
      </c>
      <c r="CJ211" s="17"/>
      <c r="CK211" s="17">
        <v>45625</v>
      </c>
      <c r="CL211" s="17">
        <v>45625</v>
      </c>
      <c r="CM211" s="17">
        <v>2958465</v>
      </c>
      <c r="CN211" s="17"/>
      <c r="CO211" s="19">
        <v>0</v>
      </c>
      <c r="CP211" s="19">
        <v>0</v>
      </c>
      <c r="CQ211" s="19">
        <v>0</v>
      </c>
      <c r="CR211" s="19">
        <v>0</v>
      </c>
      <c r="CS211" s="19">
        <v>0</v>
      </c>
      <c r="CT211" s="19">
        <v>0</v>
      </c>
      <c r="CU211" s="19">
        <v>0</v>
      </c>
      <c r="CV211" s="17"/>
      <c r="CW211" s="19">
        <v>0</v>
      </c>
      <c r="CX211" s="17"/>
      <c r="CY211" s="17"/>
      <c r="CZ211" s="19">
        <v>0</v>
      </c>
      <c r="DA211" s="17"/>
      <c r="DB211" s="17"/>
      <c r="DC211" s="19">
        <v>100</v>
      </c>
      <c r="DD211" s="17"/>
      <c r="DE211" s="17">
        <v>2958465</v>
      </c>
      <c r="DF211" s="17"/>
      <c r="DG211" s="17"/>
      <c r="DH211" s="19">
        <v>0</v>
      </c>
      <c r="DI211" s="19">
        <v>0</v>
      </c>
    </row>
    <row r="212" spans="1:113" x14ac:dyDescent="0.2">
      <c r="A212" s="14" t="s">
        <v>2315</v>
      </c>
      <c r="B212" s="16" t="s">
        <v>1005</v>
      </c>
      <c r="C212" s="14" t="s">
        <v>158</v>
      </c>
      <c r="D212" s="14" t="s">
        <v>159</v>
      </c>
      <c r="E212" s="14" t="s">
        <v>158</v>
      </c>
      <c r="F212" s="14" t="s">
        <v>2044</v>
      </c>
      <c r="G212" s="14" t="s">
        <v>2045</v>
      </c>
      <c r="H212" s="14" t="s">
        <v>308</v>
      </c>
      <c r="I212" s="14" t="s">
        <v>309</v>
      </c>
      <c r="J212" s="16">
        <f>COUNTIF($I$3:I212, I212)</f>
        <v>8</v>
      </c>
      <c r="K212" s="14" t="s">
        <v>2048</v>
      </c>
      <c r="L212" s="14" t="s">
        <v>2048</v>
      </c>
      <c r="M212" s="14" t="s">
        <v>2048</v>
      </c>
      <c r="N212" s="14" t="s">
        <v>2048</v>
      </c>
      <c r="O212" s="14" t="s">
        <v>72</v>
      </c>
      <c r="P212" s="14" t="s">
        <v>72</v>
      </c>
      <c r="Q212" s="14" t="s">
        <v>72</v>
      </c>
      <c r="R212" s="14" t="s">
        <v>2048</v>
      </c>
      <c r="S212" s="14" t="s">
        <v>2048</v>
      </c>
      <c r="T212" s="14" t="s">
        <v>2048</v>
      </c>
      <c r="U212" s="14" t="s">
        <v>2048</v>
      </c>
      <c r="V212" s="14" t="s">
        <v>2050</v>
      </c>
      <c r="W212" s="14" t="s">
        <v>2048</v>
      </c>
      <c r="X212" s="14" t="s">
        <v>2048</v>
      </c>
      <c r="Y212" s="14" t="s">
        <v>2048</v>
      </c>
      <c r="Z212" s="14" t="s">
        <v>2048</v>
      </c>
      <c r="AA212" s="14" t="s">
        <v>2048</v>
      </c>
      <c r="AB212" s="14" t="s">
        <v>85</v>
      </c>
      <c r="AC212" s="14" t="s">
        <v>86</v>
      </c>
      <c r="AD212" s="14" t="s">
        <v>2132</v>
      </c>
      <c r="AE212" s="14" t="s">
        <v>2133</v>
      </c>
      <c r="AF212" s="14" t="s">
        <v>2055</v>
      </c>
      <c r="AG212" s="14" t="s">
        <v>2055</v>
      </c>
      <c r="AH212" s="14" t="s">
        <v>2055</v>
      </c>
      <c r="AI212" s="14" t="s">
        <v>2057</v>
      </c>
      <c r="AJ212" s="14" t="s">
        <v>87</v>
      </c>
      <c r="AK212" s="14" t="s">
        <v>2048</v>
      </c>
      <c r="AL212" s="14" t="s">
        <v>2048</v>
      </c>
      <c r="AM212" s="14" t="s">
        <v>2048</v>
      </c>
      <c r="AN212" s="14" t="s">
        <v>2751</v>
      </c>
      <c r="AO212" s="17" t="s">
        <v>89</v>
      </c>
      <c r="AP212" s="14" t="s">
        <v>2135</v>
      </c>
      <c r="AQ212" s="14" t="s">
        <v>971</v>
      </c>
      <c r="AR212" s="14" t="s">
        <v>2060</v>
      </c>
      <c r="AS212" s="14" t="s">
        <v>2048</v>
      </c>
      <c r="AT212" s="14" t="s">
        <v>72</v>
      </c>
      <c r="AU212" s="14" t="s">
        <v>2652</v>
      </c>
      <c r="AV212" s="14" t="s">
        <v>2653</v>
      </c>
      <c r="AW212" s="14" t="s">
        <v>2048</v>
      </c>
      <c r="AX212" s="14" t="s">
        <v>2048</v>
      </c>
      <c r="AY212" s="14" t="s">
        <v>308</v>
      </c>
      <c r="AZ212" s="14" t="s">
        <v>310</v>
      </c>
      <c r="BA212" s="14" t="s">
        <v>2654</v>
      </c>
      <c r="BB212" s="14" t="s">
        <v>2048</v>
      </c>
      <c r="BC212" s="14" t="s">
        <v>2048</v>
      </c>
      <c r="BD212" s="14" t="s">
        <v>2048</v>
      </c>
      <c r="BE212" s="14" t="s">
        <v>2048</v>
      </c>
      <c r="BF212" s="14" t="s">
        <v>2048</v>
      </c>
      <c r="BG212" s="14" t="s">
        <v>2048</v>
      </c>
      <c r="BH212" s="14" t="s">
        <v>2655</v>
      </c>
      <c r="BI212" s="14" t="s">
        <v>2656</v>
      </c>
      <c r="BJ212" s="14" t="s">
        <v>2048</v>
      </c>
      <c r="BK212" s="14" t="s">
        <v>2048</v>
      </c>
      <c r="BL212" s="14" t="s">
        <v>2064</v>
      </c>
      <c r="BM212" s="14" t="s">
        <v>72</v>
      </c>
      <c r="BN212" s="14" t="s">
        <v>72</v>
      </c>
      <c r="BO212" s="14" t="s">
        <v>2048</v>
      </c>
      <c r="BP212" s="14" t="s">
        <v>2048</v>
      </c>
      <c r="BQ212" s="14" t="s">
        <v>2048</v>
      </c>
      <c r="BR212" s="14" t="s">
        <v>2418</v>
      </c>
      <c r="BS212" s="14" t="s">
        <v>2089</v>
      </c>
      <c r="BT212" s="14" t="s">
        <v>2048</v>
      </c>
      <c r="BU212" s="14" t="s">
        <v>2048</v>
      </c>
      <c r="BV212" s="14" t="s">
        <v>2048</v>
      </c>
      <c r="BW212" s="14" t="s">
        <v>2048</v>
      </c>
      <c r="BX212" s="14" t="s">
        <v>72</v>
      </c>
      <c r="BY212" s="14" t="s">
        <v>2048</v>
      </c>
      <c r="BZ212" s="14" t="s">
        <v>2048</v>
      </c>
      <c r="CA212" s="14" t="s">
        <v>2048</v>
      </c>
      <c r="CB212" s="14" t="s">
        <v>2048</v>
      </c>
      <c r="CC212" s="14" t="s">
        <v>2048</v>
      </c>
      <c r="CD212" s="14" t="s">
        <v>2048</v>
      </c>
      <c r="CE212" s="14" t="s">
        <v>2048</v>
      </c>
      <c r="CF212" s="14" t="s">
        <v>2048</v>
      </c>
      <c r="CG212" s="14" t="s">
        <v>2057</v>
      </c>
      <c r="CH212" s="14" t="s">
        <v>2090</v>
      </c>
      <c r="CI212" s="14" t="s">
        <v>2048</v>
      </c>
      <c r="CJ212" s="17"/>
      <c r="CK212" s="17">
        <v>45652</v>
      </c>
      <c r="CL212" s="17">
        <v>45652</v>
      </c>
      <c r="CM212" s="17">
        <v>2958465</v>
      </c>
      <c r="CN212" s="17"/>
      <c r="CO212" s="19">
        <v>0</v>
      </c>
      <c r="CP212" s="19">
        <v>0</v>
      </c>
      <c r="CQ212" s="19">
        <v>0</v>
      </c>
      <c r="CR212" s="19">
        <v>0</v>
      </c>
      <c r="CS212" s="19">
        <v>0</v>
      </c>
      <c r="CT212" s="19">
        <v>0</v>
      </c>
      <c r="CU212" s="19">
        <v>0</v>
      </c>
      <c r="CV212" s="17"/>
      <c r="CW212" s="19">
        <v>0</v>
      </c>
      <c r="CX212" s="17"/>
      <c r="CY212" s="17"/>
      <c r="CZ212" s="19">
        <v>0</v>
      </c>
      <c r="DA212" s="17"/>
      <c r="DB212" s="17"/>
      <c r="DC212" s="19">
        <v>100</v>
      </c>
      <c r="DD212" s="17"/>
      <c r="DE212" s="17">
        <v>2958465</v>
      </c>
      <c r="DF212" s="17"/>
      <c r="DG212" s="17"/>
      <c r="DH212" s="19">
        <v>0</v>
      </c>
      <c r="DI212" s="19">
        <v>0</v>
      </c>
    </row>
    <row r="213" spans="1:113" x14ac:dyDescent="0.2">
      <c r="A213" s="14" t="s">
        <v>2315</v>
      </c>
      <c r="B213" s="16" t="s">
        <v>1332</v>
      </c>
      <c r="C213" s="14" t="s">
        <v>158</v>
      </c>
      <c r="D213" s="14" t="s">
        <v>159</v>
      </c>
      <c r="E213" s="14" t="s">
        <v>158</v>
      </c>
      <c r="F213" s="14" t="s">
        <v>2044</v>
      </c>
      <c r="G213" s="14" t="s">
        <v>2045</v>
      </c>
      <c r="H213" s="14" t="s">
        <v>81</v>
      </c>
      <c r="I213" s="14" t="s">
        <v>82</v>
      </c>
      <c r="J213" s="16">
        <f>COUNTIF($I$3:I213, I213)</f>
        <v>18</v>
      </c>
      <c r="K213" s="14" t="s">
        <v>2048</v>
      </c>
      <c r="L213" s="14" t="s">
        <v>2048</v>
      </c>
      <c r="M213" s="14" t="s">
        <v>2048</v>
      </c>
      <c r="N213" s="14" t="s">
        <v>2048</v>
      </c>
      <c r="O213" s="14" t="s">
        <v>3429</v>
      </c>
      <c r="P213" s="14" t="s">
        <v>3430</v>
      </c>
      <c r="Q213" s="14" t="s">
        <v>72</v>
      </c>
      <c r="R213" s="14" t="s">
        <v>2048</v>
      </c>
      <c r="S213" s="14" t="s">
        <v>2048</v>
      </c>
      <c r="T213" s="14" t="s">
        <v>2048</v>
      </c>
      <c r="U213" s="14" t="s">
        <v>2048</v>
      </c>
      <c r="V213" s="14" t="s">
        <v>2050</v>
      </c>
      <c r="W213" s="14" t="s">
        <v>2048</v>
      </c>
      <c r="X213" s="14" t="s">
        <v>2048</v>
      </c>
      <c r="Y213" s="14" t="s">
        <v>2048</v>
      </c>
      <c r="Z213" s="14" t="s">
        <v>2048</v>
      </c>
      <c r="AA213" s="14" t="s">
        <v>2048</v>
      </c>
      <c r="AB213" s="14" t="s">
        <v>85</v>
      </c>
      <c r="AC213" s="14" t="s">
        <v>86</v>
      </c>
      <c r="AD213" s="14" t="s">
        <v>2411</v>
      </c>
      <c r="AE213" s="14" t="s">
        <v>2412</v>
      </c>
      <c r="AF213" s="14" t="s">
        <v>2055</v>
      </c>
      <c r="AG213" s="14" t="s">
        <v>2055</v>
      </c>
      <c r="AH213" s="14" t="s">
        <v>2055</v>
      </c>
      <c r="AI213" s="14" t="s">
        <v>2057</v>
      </c>
      <c r="AJ213" s="14" t="s">
        <v>87</v>
      </c>
      <c r="AK213" s="14" t="s">
        <v>2048</v>
      </c>
      <c r="AL213" s="14" t="s">
        <v>2048</v>
      </c>
      <c r="AM213" s="14" t="s">
        <v>2413</v>
      </c>
      <c r="AN213" s="14" t="s">
        <v>2207</v>
      </c>
      <c r="AO213" s="17" t="s">
        <v>89</v>
      </c>
      <c r="AP213" s="14" t="s">
        <v>2135</v>
      </c>
      <c r="AQ213" s="14" t="s">
        <v>3431</v>
      </c>
      <c r="AR213" s="14" t="s">
        <v>3432</v>
      </c>
      <c r="AS213" s="14" t="s">
        <v>3433</v>
      </c>
      <c r="AT213" s="14" t="s">
        <v>72</v>
      </c>
      <c r="AU213" s="14" t="s">
        <v>2268</v>
      </c>
      <c r="AV213" s="14" t="s">
        <v>2269</v>
      </c>
      <c r="AW213" s="14" t="s">
        <v>2048</v>
      </c>
      <c r="AX213" s="14" t="s">
        <v>2048</v>
      </c>
      <c r="AY213" s="14" t="s">
        <v>81</v>
      </c>
      <c r="AZ213" s="14" t="s">
        <v>174</v>
      </c>
      <c r="BA213" s="14" t="s">
        <v>2493</v>
      </c>
      <c r="BB213" s="14" t="s">
        <v>2048</v>
      </c>
      <c r="BC213" s="14" t="s">
        <v>2048</v>
      </c>
      <c r="BD213" s="14" t="s">
        <v>2271</v>
      </c>
      <c r="BE213" s="14" t="s">
        <v>2272</v>
      </c>
      <c r="BF213" s="14" t="s">
        <v>2271</v>
      </c>
      <c r="BG213" s="14" t="s">
        <v>2272</v>
      </c>
      <c r="BH213" s="14" t="s">
        <v>2273</v>
      </c>
      <c r="BI213" s="14" t="s">
        <v>2218</v>
      </c>
      <c r="BJ213" s="14" t="s">
        <v>2048</v>
      </c>
      <c r="BK213" s="14" t="s">
        <v>2048</v>
      </c>
      <c r="BL213" s="14" t="s">
        <v>2064</v>
      </c>
      <c r="BM213" s="14" t="s">
        <v>72</v>
      </c>
      <c r="BN213" s="14" t="s">
        <v>72</v>
      </c>
      <c r="BO213" s="14" t="s">
        <v>3434</v>
      </c>
      <c r="BP213" s="14" t="s">
        <v>2219</v>
      </c>
      <c r="BQ213" s="14" t="s">
        <v>2220</v>
      </c>
      <c r="BR213" s="14" t="s">
        <v>2418</v>
      </c>
      <c r="BS213" s="14" t="s">
        <v>2089</v>
      </c>
      <c r="BT213" s="14" t="s">
        <v>2048</v>
      </c>
      <c r="BU213" s="14" t="s">
        <v>2048</v>
      </c>
      <c r="BV213" s="14" t="s">
        <v>2048</v>
      </c>
      <c r="BW213" s="14" t="s">
        <v>2048</v>
      </c>
      <c r="BX213" s="14" t="s">
        <v>72</v>
      </c>
      <c r="BY213" s="14" t="s">
        <v>2048</v>
      </c>
      <c r="BZ213" s="14" t="s">
        <v>2048</v>
      </c>
      <c r="CA213" s="14" t="s">
        <v>2048</v>
      </c>
      <c r="CB213" s="14" t="s">
        <v>2048</v>
      </c>
      <c r="CC213" s="14" t="s">
        <v>2048</v>
      </c>
      <c r="CD213" s="14" t="s">
        <v>2048</v>
      </c>
      <c r="CE213" s="14" t="s">
        <v>2048</v>
      </c>
      <c r="CF213" s="14" t="s">
        <v>2048</v>
      </c>
      <c r="CG213" s="14" t="s">
        <v>2057</v>
      </c>
      <c r="CH213" s="14" t="s">
        <v>2090</v>
      </c>
      <c r="CI213" s="14" t="s">
        <v>2048</v>
      </c>
      <c r="CJ213" s="17"/>
      <c r="CK213" s="17">
        <v>45652</v>
      </c>
      <c r="CL213" s="17">
        <v>45652</v>
      </c>
      <c r="CM213" s="17">
        <v>2958465</v>
      </c>
      <c r="CN213" s="17"/>
      <c r="CO213" s="19">
        <v>0</v>
      </c>
      <c r="CP213" s="19">
        <v>0</v>
      </c>
      <c r="CQ213" s="19">
        <v>0</v>
      </c>
      <c r="CR213" s="19">
        <v>0</v>
      </c>
      <c r="CS213" s="19">
        <v>0</v>
      </c>
      <c r="CT213" s="19">
        <v>0</v>
      </c>
      <c r="CU213" s="19">
        <v>0</v>
      </c>
      <c r="CV213" s="17"/>
      <c r="CW213" s="19">
        <v>0</v>
      </c>
      <c r="CX213" s="17"/>
      <c r="CY213" s="17"/>
      <c r="CZ213" s="19">
        <v>0</v>
      </c>
      <c r="DA213" s="17"/>
      <c r="DB213" s="17"/>
      <c r="DC213" s="19">
        <v>100</v>
      </c>
      <c r="DD213" s="17"/>
      <c r="DE213" s="17">
        <v>2958465</v>
      </c>
      <c r="DF213" s="17"/>
      <c r="DG213" s="17"/>
      <c r="DH213" s="19">
        <v>0</v>
      </c>
      <c r="DI213" s="19">
        <v>0</v>
      </c>
    </row>
    <row r="214" spans="1:113" x14ac:dyDescent="0.2">
      <c r="A214" s="14" t="s">
        <v>2315</v>
      </c>
      <c r="B214" s="16" t="s">
        <v>1750</v>
      </c>
      <c r="C214" s="14" t="s">
        <v>158</v>
      </c>
      <c r="D214" s="14" t="s">
        <v>159</v>
      </c>
      <c r="E214" s="14" t="s">
        <v>158</v>
      </c>
      <c r="F214" s="14" t="s">
        <v>2044</v>
      </c>
      <c r="G214" s="14" t="s">
        <v>2045</v>
      </c>
      <c r="H214" s="14" t="s">
        <v>204</v>
      </c>
      <c r="I214" s="14" t="s">
        <v>205</v>
      </c>
      <c r="J214" s="16">
        <f>COUNTIF($I$3:I214, I214)</f>
        <v>46</v>
      </c>
      <c r="K214" s="14" t="s">
        <v>2048</v>
      </c>
      <c r="L214" s="14" t="s">
        <v>2048</v>
      </c>
      <c r="M214" s="14" t="s">
        <v>2048</v>
      </c>
      <c r="N214" s="14" t="s">
        <v>2048</v>
      </c>
      <c r="O214" s="14" t="s">
        <v>3435</v>
      </c>
      <c r="P214" s="14" t="s">
        <v>3436</v>
      </c>
      <c r="Q214" s="14" t="s">
        <v>72</v>
      </c>
      <c r="R214" s="14" t="s">
        <v>2048</v>
      </c>
      <c r="S214" s="14" t="s">
        <v>2048</v>
      </c>
      <c r="T214" s="14" t="s">
        <v>2048</v>
      </c>
      <c r="U214" s="14" t="s">
        <v>2048</v>
      </c>
      <c r="V214" s="14" t="s">
        <v>2050</v>
      </c>
      <c r="W214" s="14" t="s">
        <v>2048</v>
      </c>
      <c r="X214" s="14" t="s">
        <v>2048</v>
      </c>
      <c r="Y214" s="14" t="s">
        <v>2048</v>
      </c>
      <c r="Z214" s="14" t="s">
        <v>2048</v>
      </c>
      <c r="AA214" s="14" t="s">
        <v>2048</v>
      </c>
      <c r="AB214" s="14" t="s">
        <v>85</v>
      </c>
      <c r="AC214" s="14" t="s">
        <v>86</v>
      </c>
      <c r="AD214" s="14" t="s">
        <v>77</v>
      </c>
      <c r="AE214" s="14" t="s">
        <v>2054</v>
      </c>
      <c r="AF214" s="14" t="s">
        <v>2055</v>
      </c>
      <c r="AG214" s="14" t="s">
        <v>2055</v>
      </c>
      <c r="AH214" s="14" t="s">
        <v>2055</v>
      </c>
      <c r="AI214" s="14" t="s">
        <v>2057</v>
      </c>
      <c r="AJ214" s="14" t="s">
        <v>87</v>
      </c>
      <c r="AK214" s="14" t="s">
        <v>2048</v>
      </c>
      <c r="AL214" s="14" t="s">
        <v>2048</v>
      </c>
      <c r="AM214" s="14" t="s">
        <v>2048</v>
      </c>
      <c r="AN214" s="14" t="s">
        <v>3437</v>
      </c>
      <c r="AO214" s="17" t="s">
        <v>89</v>
      </c>
      <c r="AP214" s="14" t="s">
        <v>2135</v>
      </c>
      <c r="AQ214" s="14" t="s">
        <v>2059</v>
      </c>
      <c r="AR214" s="14" t="s">
        <v>2060</v>
      </c>
      <c r="AS214" s="14" t="s">
        <v>2048</v>
      </c>
      <c r="AT214" s="14" t="s">
        <v>72</v>
      </c>
      <c r="AU214" s="14" t="s">
        <v>2337</v>
      </c>
      <c r="AV214" s="14" t="s">
        <v>2338</v>
      </c>
      <c r="AW214" s="14" t="s">
        <v>2048</v>
      </c>
      <c r="AX214" s="14" t="s">
        <v>2048</v>
      </c>
      <c r="AY214" s="14" t="s">
        <v>204</v>
      </c>
      <c r="AZ214" s="14" t="s">
        <v>1628</v>
      </c>
      <c r="BA214" s="14" t="s">
        <v>2361</v>
      </c>
      <c r="BB214" s="14" t="s">
        <v>2048</v>
      </c>
      <c r="BC214" s="14" t="s">
        <v>2048</v>
      </c>
      <c r="BD214" s="14" t="s">
        <v>2325</v>
      </c>
      <c r="BE214" s="14" t="s">
        <v>2326</v>
      </c>
      <c r="BF214" s="14" t="s">
        <v>2340</v>
      </c>
      <c r="BG214" s="14" t="s">
        <v>2341</v>
      </c>
      <c r="BH214" s="14" t="s">
        <v>2362</v>
      </c>
      <c r="BI214" s="14" t="s">
        <v>2287</v>
      </c>
      <c r="BJ214" s="14" t="s">
        <v>2048</v>
      </c>
      <c r="BK214" s="14" t="s">
        <v>2048</v>
      </c>
      <c r="BL214" s="14" t="s">
        <v>2064</v>
      </c>
      <c r="BM214" s="14" t="s">
        <v>72</v>
      </c>
      <c r="BN214" s="14" t="s">
        <v>72</v>
      </c>
      <c r="BO214" s="14" t="s">
        <v>3438</v>
      </c>
      <c r="BP214" s="14" t="s">
        <v>2048</v>
      </c>
      <c r="BQ214" s="14" t="s">
        <v>2048</v>
      </c>
      <c r="BR214" s="14" t="s">
        <v>2418</v>
      </c>
      <c r="BS214" s="14" t="s">
        <v>2089</v>
      </c>
      <c r="BT214" s="14" t="s">
        <v>2048</v>
      </c>
      <c r="BU214" s="14" t="s">
        <v>2048</v>
      </c>
      <c r="BV214" s="14" t="s">
        <v>2048</v>
      </c>
      <c r="BW214" s="14" t="s">
        <v>2048</v>
      </c>
      <c r="BX214" s="14" t="s">
        <v>72</v>
      </c>
      <c r="BY214" s="14" t="s">
        <v>2048</v>
      </c>
      <c r="BZ214" s="14" t="s">
        <v>2048</v>
      </c>
      <c r="CA214" s="14" t="s">
        <v>2048</v>
      </c>
      <c r="CB214" s="14" t="s">
        <v>2048</v>
      </c>
      <c r="CC214" s="14" t="s">
        <v>2048</v>
      </c>
      <c r="CD214" s="14" t="s">
        <v>2048</v>
      </c>
      <c r="CE214" s="14" t="s">
        <v>2048</v>
      </c>
      <c r="CF214" s="14" t="s">
        <v>2048</v>
      </c>
      <c r="CG214" s="14" t="s">
        <v>2057</v>
      </c>
      <c r="CH214" s="14" t="s">
        <v>2090</v>
      </c>
      <c r="CI214" s="14" t="s">
        <v>2048</v>
      </c>
      <c r="CJ214" s="17"/>
      <c r="CK214" s="17">
        <v>45652</v>
      </c>
      <c r="CL214" s="17">
        <v>45652</v>
      </c>
      <c r="CM214" s="17">
        <v>2958465</v>
      </c>
      <c r="CN214" s="17"/>
      <c r="CO214" s="19">
        <v>0</v>
      </c>
      <c r="CP214" s="19">
        <v>0</v>
      </c>
      <c r="CQ214" s="19">
        <v>0</v>
      </c>
      <c r="CR214" s="19">
        <v>0</v>
      </c>
      <c r="CS214" s="19">
        <v>0</v>
      </c>
      <c r="CT214" s="19">
        <v>0</v>
      </c>
      <c r="CU214" s="19">
        <v>0</v>
      </c>
      <c r="CV214" s="17"/>
      <c r="CW214" s="19">
        <v>0</v>
      </c>
      <c r="CX214" s="17"/>
      <c r="CY214" s="17"/>
      <c r="CZ214" s="19">
        <v>0</v>
      </c>
      <c r="DA214" s="17"/>
      <c r="DB214" s="17"/>
      <c r="DC214" s="19">
        <v>100</v>
      </c>
      <c r="DD214" s="17"/>
      <c r="DE214" s="17">
        <v>2958465</v>
      </c>
      <c r="DF214" s="17"/>
      <c r="DG214" s="17"/>
      <c r="DH214" s="19">
        <v>0</v>
      </c>
      <c r="DI214" s="19">
        <v>0</v>
      </c>
    </row>
    <row r="215" spans="1:113" x14ac:dyDescent="0.2">
      <c r="A215" s="14" t="s">
        <v>2315</v>
      </c>
      <c r="B215" s="16" t="s">
        <v>940</v>
      </c>
      <c r="C215" s="14" t="s">
        <v>158</v>
      </c>
      <c r="D215" s="14" t="s">
        <v>159</v>
      </c>
      <c r="E215" s="14" t="s">
        <v>158</v>
      </c>
      <c r="F215" s="14" t="s">
        <v>2044</v>
      </c>
      <c r="G215" s="14" t="s">
        <v>2045</v>
      </c>
      <c r="H215" s="14" t="s">
        <v>102</v>
      </c>
      <c r="I215" s="14" t="s">
        <v>103</v>
      </c>
      <c r="J215" s="16">
        <f>COUNTIF($I$3:I215, I215)</f>
        <v>47</v>
      </c>
      <c r="K215" s="14" t="s">
        <v>2048</v>
      </c>
      <c r="L215" s="14" t="s">
        <v>2048</v>
      </c>
      <c r="M215" s="14" t="s">
        <v>2048</v>
      </c>
      <c r="N215" s="14" t="s">
        <v>2048</v>
      </c>
      <c r="O215" s="14" t="s">
        <v>3439</v>
      </c>
      <c r="P215" s="14" t="s">
        <v>72</v>
      </c>
      <c r="Q215" s="14" t="s">
        <v>72</v>
      </c>
      <c r="R215" s="14" t="s">
        <v>2048</v>
      </c>
      <c r="S215" s="14" t="s">
        <v>2048</v>
      </c>
      <c r="T215" s="14" t="s">
        <v>2422</v>
      </c>
      <c r="U215" s="14" t="s">
        <v>2049</v>
      </c>
      <c r="V215" s="14" t="s">
        <v>2050</v>
      </c>
      <c r="W215" s="14" t="s">
        <v>2048</v>
      </c>
      <c r="X215" s="14" t="s">
        <v>2048</v>
      </c>
      <c r="Y215" s="14" t="s">
        <v>2048</v>
      </c>
      <c r="Z215" s="14" t="s">
        <v>2048</v>
      </c>
      <c r="AA215" s="14" t="s">
        <v>2048</v>
      </c>
      <c r="AB215" s="14" t="s">
        <v>380</v>
      </c>
      <c r="AC215" s="14" t="s">
        <v>381</v>
      </c>
      <c r="AD215" s="14" t="s">
        <v>2072</v>
      </c>
      <c r="AE215" s="14" t="s">
        <v>2073</v>
      </c>
      <c r="AF215" s="14" t="s">
        <v>2056</v>
      </c>
      <c r="AG215" s="14" t="s">
        <v>2056</v>
      </c>
      <c r="AH215" s="14" t="s">
        <v>2055</v>
      </c>
      <c r="AI215" s="14" t="s">
        <v>2057</v>
      </c>
      <c r="AJ215" s="14" t="s">
        <v>87</v>
      </c>
      <c r="AK215" s="14" t="s">
        <v>2048</v>
      </c>
      <c r="AL215" s="14" t="s">
        <v>2048</v>
      </c>
      <c r="AM215" s="14" t="s">
        <v>2048</v>
      </c>
      <c r="AN215" s="14" t="s">
        <v>2525</v>
      </c>
      <c r="AO215" s="17" t="s">
        <v>89</v>
      </c>
      <c r="AP215" s="14" t="s">
        <v>3440</v>
      </c>
      <c r="AQ215" s="14" t="s">
        <v>2059</v>
      </c>
      <c r="AR215" s="14" t="s">
        <v>3441</v>
      </c>
      <c r="AS215" s="14" t="s">
        <v>3442</v>
      </c>
      <c r="AT215" s="14" t="s">
        <v>2048</v>
      </c>
      <c r="AU215" s="14" t="s">
        <v>2526</v>
      </c>
      <c r="AV215" s="14" t="s">
        <v>2527</v>
      </c>
      <c r="AW215" s="14" t="s">
        <v>2048</v>
      </c>
      <c r="AX215" s="14" t="s">
        <v>2048</v>
      </c>
      <c r="AY215" s="14" t="s">
        <v>102</v>
      </c>
      <c r="AZ215" s="14" t="s">
        <v>696</v>
      </c>
      <c r="BA215" s="14" t="s">
        <v>2528</v>
      </c>
      <c r="BB215" s="14" t="s">
        <v>2048</v>
      </c>
      <c r="BC215" s="14" t="s">
        <v>2048</v>
      </c>
      <c r="BD215" s="14" t="s">
        <v>2080</v>
      </c>
      <c r="BE215" s="14" t="s">
        <v>2081</v>
      </c>
      <c r="BF215" s="14" t="s">
        <v>2529</v>
      </c>
      <c r="BG215" s="14" t="s">
        <v>2530</v>
      </c>
      <c r="BH215" s="14" t="s">
        <v>2531</v>
      </c>
      <c r="BI215" s="14" t="s">
        <v>2085</v>
      </c>
      <c r="BJ215" s="14" t="s">
        <v>2048</v>
      </c>
      <c r="BK215" s="14" t="s">
        <v>2048</v>
      </c>
      <c r="BL215" s="14" t="s">
        <v>2064</v>
      </c>
      <c r="BM215" s="14" t="s">
        <v>72</v>
      </c>
      <c r="BN215" s="14" t="s">
        <v>72</v>
      </c>
      <c r="BO215" s="14" t="s">
        <v>3443</v>
      </c>
      <c r="BP215" s="14" t="s">
        <v>3444</v>
      </c>
      <c r="BQ215" s="14" t="s">
        <v>3445</v>
      </c>
      <c r="BR215" s="14" t="s">
        <v>2418</v>
      </c>
      <c r="BS215" s="14" t="s">
        <v>2089</v>
      </c>
      <c r="BT215" s="14" t="s">
        <v>2048</v>
      </c>
      <c r="BU215" s="14" t="s">
        <v>2048</v>
      </c>
      <c r="BV215" s="14" t="s">
        <v>2048</v>
      </c>
      <c r="BW215" s="14" t="s">
        <v>2048</v>
      </c>
      <c r="BX215" s="14" t="s">
        <v>2048</v>
      </c>
      <c r="BY215" s="14" t="s">
        <v>2048</v>
      </c>
      <c r="BZ215" s="14" t="s">
        <v>2048</v>
      </c>
      <c r="CA215" s="14" t="s">
        <v>2048</v>
      </c>
      <c r="CB215" s="14" t="s">
        <v>2048</v>
      </c>
      <c r="CC215" s="14" t="s">
        <v>2048</v>
      </c>
      <c r="CD215" s="14" t="s">
        <v>2048</v>
      </c>
      <c r="CE215" s="14" t="s">
        <v>2048</v>
      </c>
      <c r="CF215" s="14" t="s">
        <v>2048</v>
      </c>
      <c r="CG215" s="14" t="s">
        <v>2057</v>
      </c>
      <c r="CH215" s="14" t="s">
        <v>2090</v>
      </c>
      <c r="CI215" s="14" t="s">
        <v>2048</v>
      </c>
      <c r="CJ215" s="17"/>
      <c r="CK215" s="17">
        <v>45463</v>
      </c>
      <c r="CL215" s="17">
        <v>45463</v>
      </c>
      <c r="CM215" s="17">
        <v>2958465</v>
      </c>
      <c r="CN215" s="17"/>
      <c r="CO215" s="19">
        <v>0</v>
      </c>
      <c r="CP215" s="19">
        <v>0</v>
      </c>
      <c r="CQ215" s="19">
        <v>0</v>
      </c>
      <c r="CR215" s="19">
        <v>0</v>
      </c>
      <c r="CS215" s="19">
        <v>0</v>
      </c>
      <c r="CT215" s="19">
        <v>0</v>
      </c>
      <c r="CU215" s="19">
        <v>0</v>
      </c>
      <c r="CV215" s="17"/>
      <c r="CW215" s="20">
        <v>13155</v>
      </c>
      <c r="CX215" s="17">
        <v>45730</v>
      </c>
      <c r="CY215" s="17"/>
      <c r="CZ215" s="19">
        <v>0</v>
      </c>
      <c r="DA215" s="17"/>
      <c r="DB215" s="17"/>
      <c r="DC215" s="19">
        <v>100</v>
      </c>
      <c r="DD215" s="17"/>
      <c r="DE215" s="17">
        <v>2958465</v>
      </c>
      <c r="DF215" s="17"/>
      <c r="DG215" s="17"/>
      <c r="DH215" s="19">
        <v>0</v>
      </c>
      <c r="DI215" s="19">
        <v>0</v>
      </c>
    </row>
    <row r="216" spans="1:113" x14ac:dyDescent="0.2">
      <c r="A216" s="14" t="s">
        <v>2315</v>
      </c>
      <c r="B216" s="16" t="s">
        <v>3446</v>
      </c>
      <c r="C216" s="14" t="s">
        <v>158</v>
      </c>
      <c r="D216" s="14" t="s">
        <v>159</v>
      </c>
      <c r="E216" s="14" t="s">
        <v>158</v>
      </c>
      <c r="F216" s="14" t="s">
        <v>2044</v>
      </c>
      <c r="G216" s="14" t="s">
        <v>2045</v>
      </c>
      <c r="H216" s="14" t="s">
        <v>102</v>
      </c>
      <c r="I216" s="14" t="s">
        <v>103</v>
      </c>
      <c r="J216" s="16">
        <f>COUNTIF($I$3:I216, I216)</f>
        <v>48</v>
      </c>
      <c r="K216" s="14" t="s">
        <v>2048</v>
      </c>
      <c r="L216" s="14" t="s">
        <v>2048</v>
      </c>
      <c r="M216" s="14" t="s">
        <v>2048</v>
      </c>
      <c r="N216" s="14" t="s">
        <v>2048</v>
      </c>
      <c r="O216" s="14" t="s">
        <v>3447</v>
      </c>
      <c r="P216" s="14" t="s">
        <v>72</v>
      </c>
      <c r="Q216" s="14" t="s">
        <v>72</v>
      </c>
      <c r="R216" s="14" t="s">
        <v>2048</v>
      </c>
      <c r="S216" s="14" t="s">
        <v>2048</v>
      </c>
      <c r="T216" s="14" t="s">
        <v>2422</v>
      </c>
      <c r="U216" s="14" t="s">
        <v>2049</v>
      </c>
      <c r="V216" s="14" t="s">
        <v>2050</v>
      </c>
      <c r="W216" s="14" t="s">
        <v>2048</v>
      </c>
      <c r="X216" s="14" t="s">
        <v>2048</v>
      </c>
      <c r="Y216" s="14" t="s">
        <v>2048</v>
      </c>
      <c r="Z216" s="14" t="s">
        <v>2048</v>
      </c>
      <c r="AA216" s="14" t="s">
        <v>2048</v>
      </c>
      <c r="AB216" s="14" t="s">
        <v>380</v>
      </c>
      <c r="AC216" s="14" t="s">
        <v>381</v>
      </c>
      <c r="AD216" s="14" t="s">
        <v>2072</v>
      </c>
      <c r="AE216" s="14" t="s">
        <v>2073</v>
      </c>
      <c r="AF216" s="14" t="s">
        <v>2056</v>
      </c>
      <c r="AG216" s="14" t="s">
        <v>2056</v>
      </c>
      <c r="AH216" s="14" t="s">
        <v>2055</v>
      </c>
      <c r="AI216" s="14" t="s">
        <v>2057</v>
      </c>
      <c r="AJ216" s="14" t="s">
        <v>87</v>
      </c>
      <c r="AK216" s="14" t="s">
        <v>2048</v>
      </c>
      <c r="AL216" s="14" t="s">
        <v>2048</v>
      </c>
      <c r="AM216" s="14" t="s">
        <v>2048</v>
      </c>
      <c r="AN216" s="14" t="s">
        <v>2525</v>
      </c>
      <c r="AO216" s="17" t="s">
        <v>89</v>
      </c>
      <c r="AP216" s="14" t="s">
        <v>3440</v>
      </c>
      <c r="AQ216" s="14" t="s">
        <v>2059</v>
      </c>
      <c r="AR216" s="14" t="s">
        <v>3448</v>
      </c>
      <c r="AS216" s="14" t="s">
        <v>3449</v>
      </c>
      <c r="AT216" s="14" t="s">
        <v>2048</v>
      </c>
      <c r="AU216" s="14" t="s">
        <v>2526</v>
      </c>
      <c r="AV216" s="14" t="s">
        <v>2527</v>
      </c>
      <c r="AW216" s="14" t="s">
        <v>2048</v>
      </c>
      <c r="AX216" s="14" t="s">
        <v>2048</v>
      </c>
      <c r="AY216" s="14" t="s">
        <v>102</v>
      </c>
      <c r="AZ216" s="14" t="s">
        <v>696</v>
      </c>
      <c r="BA216" s="14" t="s">
        <v>2528</v>
      </c>
      <c r="BB216" s="14" t="s">
        <v>2048</v>
      </c>
      <c r="BC216" s="14" t="s">
        <v>2048</v>
      </c>
      <c r="BD216" s="14" t="s">
        <v>2080</v>
      </c>
      <c r="BE216" s="14" t="s">
        <v>2081</v>
      </c>
      <c r="BF216" s="14" t="s">
        <v>2529</v>
      </c>
      <c r="BG216" s="14" t="s">
        <v>2530</v>
      </c>
      <c r="BH216" s="14" t="s">
        <v>2531</v>
      </c>
      <c r="BI216" s="14" t="s">
        <v>2085</v>
      </c>
      <c r="BJ216" s="14" t="s">
        <v>2048</v>
      </c>
      <c r="BK216" s="14" t="s">
        <v>2048</v>
      </c>
      <c r="BL216" s="14" t="s">
        <v>2064</v>
      </c>
      <c r="BM216" s="14" t="s">
        <v>72</v>
      </c>
      <c r="BN216" s="14" t="s">
        <v>72</v>
      </c>
      <c r="BO216" s="14" t="s">
        <v>3450</v>
      </c>
      <c r="BP216" s="14" t="s">
        <v>3444</v>
      </c>
      <c r="BQ216" s="14" t="s">
        <v>3445</v>
      </c>
      <c r="BR216" s="14" t="s">
        <v>2418</v>
      </c>
      <c r="BS216" s="14" t="s">
        <v>2089</v>
      </c>
      <c r="BT216" s="14" t="s">
        <v>2048</v>
      </c>
      <c r="BU216" s="14" t="s">
        <v>2048</v>
      </c>
      <c r="BV216" s="14" t="s">
        <v>2048</v>
      </c>
      <c r="BW216" s="14" t="s">
        <v>2048</v>
      </c>
      <c r="BX216" s="14" t="s">
        <v>2048</v>
      </c>
      <c r="BY216" s="14" t="s">
        <v>2048</v>
      </c>
      <c r="BZ216" s="14" t="s">
        <v>2048</v>
      </c>
      <c r="CA216" s="14" t="s">
        <v>2048</v>
      </c>
      <c r="CB216" s="14" t="s">
        <v>2048</v>
      </c>
      <c r="CC216" s="14" t="s">
        <v>2048</v>
      </c>
      <c r="CD216" s="14" t="s">
        <v>2048</v>
      </c>
      <c r="CE216" s="14" t="s">
        <v>2048</v>
      </c>
      <c r="CF216" s="14" t="s">
        <v>2048</v>
      </c>
      <c r="CG216" s="14" t="s">
        <v>2057</v>
      </c>
      <c r="CH216" s="14" t="s">
        <v>2090</v>
      </c>
      <c r="CI216" s="14" t="s">
        <v>2048</v>
      </c>
      <c r="CJ216" s="17"/>
      <c r="CK216" s="17">
        <v>45463</v>
      </c>
      <c r="CL216" s="17">
        <v>45463</v>
      </c>
      <c r="CM216" s="17">
        <v>2958465</v>
      </c>
      <c r="CN216" s="17"/>
      <c r="CO216" s="19">
        <v>0</v>
      </c>
      <c r="CP216" s="19">
        <v>0</v>
      </c>
      <c r="CQ216" s="19">
        <v>0</v>
      </c>
      <c r="CR216" s="19">
        <v>0</v>
      </c>
      <c r="CS216" s="19">
        <v>0</v>
      </c>
      <c r="CT216" s="19">
        <v>0</v>
      </c>
      <c r="CU216" s="19">
        <v>0</v>
      </c>
      <c r="CV216" s="17"/>
      <c r="CW216" s="20">
        <v>11290</v>
      </c>
      <c r="CX216" s="17">
        <v>45730</v>
      </c>
      <c r="CY216" s="17"/>
      <c r="CZ216" s="19">
        <v>0</v>
      </c>
      <c r="DA216" s="17"/>
      <c r="DB216" s="17"/>
      <c r="DC216" s="19">
        <v>100</v>
      </c>
      <c r="DD216" s="17"/>
      <c r="DE216" s="17">
        <v>2958465</v>
      </c>
      <c r="DF216" s="17"/>
      <c r="DG216" s="17"/>
      <c r="DH216" s="19">
        <v>0</v>
      </c>
      <c r="DI216" s="19">
        <v>0</v>
      </c>
    </row>
    <row r="217" spans="1:113" x14ac:dyDescent="0.2">
      <c r="A217" s="14" t="s">
        <v>2315</v>
      </c>
      <c r="B217" s="16" t="s">
        <v>3451</v>
      </c>
      <c r="C217" s="14" t="s">
        <v>158</v>
      </c>
      <c r="D217" s="14" t="s">
        <v>159</v>
      </c>
      <c r="E217" s="14" t="s">
        <v>158</v>
      </c>
      <c r="F217" s="14" t="s">
        <v>2044</v>
      </c>
      <c r="G217" s="14" t="s">
        <v>2045</v>
      </c>
      <c r="H217" s="14" t="s">
        <v>102</v>
      </c>
      <c r="I217" s="14" t="s">
        <v>103</v>
      </c>
      <c r="J217" s="16">
        <f>COUNTIF($I$3:I217, I217)</f>
        <v>49</v>
      </c>
      <c r="K217" s="14" t="s">
        <v>2048</v>
      </c>
      <c r="L217" s="14" t="s">
        <v>2048</v>
      </c>
      <c r="M217" s="14" t="s">
        <v>2048</v>
      </c>
      <c r="N217" s="14" t="s">
        <v>2048</v>
      </c>
      <c r="O217" s="14" t="s">
        <v>3452</v>
      </c>
      <c r="P217" s="14" t="s">
        <v>72</v>
      </c>
      <c r="Q217" s="14" t="s">
        <v>72</v>
      </c>
      <c r="R217" s="14" t="s">
        <v>2048</v>
      </c>
      <c r="S217" s="14" t="s">
        <v>2048</v>
      </c>
      <c r="T217" s="14" t="s">
        <v>2422</v>
      </c>
      <c r="U217" s="14" t="s">
        <v>2049</v>
      </c>
      <c r="V217" s="14" t="s">
        <v>2050</v>
      </c>
      <c r="W217" s="14" t="s">
        <v>2048</v>
      </c>
      <c r="X217" s="14" t="s">
        <v>2048</v>
      </c>
      <c r="Y217" s="14" t="s">
        <v>2048</v>
      </c>
      <c r="Z217" s="14" t="s">
        <v>2048</v>
      </c>
      <c r="AA217" s="14" t="s">
        <v>2048</v>
      </c>
      <c r="AB217" s="14" t="s">
        <v>380</v>
      </c>
      <c r="AC217" s="14" t="s">
        <v>381</v>
      </c>
      <c r="AD217" s="14" t="s">
        <v>2072</v>
      </c>
      <c r="AE217" s="14" t="s">
        <v>2073</v>
      </c>
      <c r="AF217" s="14" t="s">
        <v>2056</v>
      </c>
      <c r="AG217" s="14" t="s">
        <v>2056</v>
      </c>
      <c r="AH217" s="14" t="s">
        <v>2055</v>
      </c>
      <c r="AI217" s="14" t="s">
        <v>2057</v>
      </c>
      <c r="AJ217" s="14" t="s">
        <v>87</v>
      </c>
      <c r="AK217" s="14" t="s">
        <v>2048</v>
      </c>
      <c r="AL217" s="14" t="s">
        <v>2048</v>
      </c>
      <c r="AM217" s="14" t="s">
        <v>2048</v>
      </c>
      <c r="AN217" s="14" t="s">
        <v>2525</v>
      </c>
      <c r="AO217" s="17" t="s">
        <v>89</v>
      </c>
      <c r="AP217" s="14" t="s">
        <v>3440</v>
      </c>
      <c r="AQ217" s="14" t="s">
        <v>2059</v>
      </c>
      <c r="AR217" s="14" t="s">
        <v>3453</v>
      </c>
      <c r="AS217" s="14" t="s">
        <v>3454</v>
      </c>
      <c r="AT217" s="14" t="s">
        <v>2048</v>
      </c>
      <c r="AU217" s="14" t="s">
        <v>2526</v>
      </c>
      <c r="AV217" s="14" t="s">
        <v>2527</v>
      </c>
      <c r="AW217" s="14" t="s">
        <v>2048</v>
      </c>
      <c r="AX217" s="14" t="s">
        <v>2048</v>
      </c>
      <c r="AY217" s="14" t="s">
        <v>102</v>
      </c>
      <c r="AZ217" s="14" t="s">
        <v>696</v>
      </c>
      <c r="BA217" s="14" t="s">
        <v>2528</v>
      </c>
      <c r="BB217" s="14" t="s">
        <v>2048</v>
      </c>
      <c r="BC217" s="14" t="s">
        <v>2048</v>
      </c>
      <c r="BD217" s="14" t="s">
        <v>2080</v>
      </c>
      <c r="BE217" s="14" t="s">
        <v>2081</v>
      </c>
      <c r="BF217" s="14" t="s">
        <v>2529</v>
      </c>
      <c r="BG217" s="14" t="s">
        <v>2530</v>
      </c>
      <c r="BH217" s="14" t="s">
        <v>2531</v>
      </c>
      <c r="BI217" s="14" t="s">
        <v>2085</v>
      </c>
      <c r="BJ217" s="14" t="s">
        <v>2048</v>
      </c>
      <c r="BK217" s="14" t="s">
        <v>2048</v>
      </c>
      <c r="BL217" s="14" t="s">
        <v>2064</v>
      </c>
      <c r="BM217" s="14" t="s">
        <v>72</v>
      </c>
      <c r="BN217" s="14" t="s">
        <v>72</v>
      </c>
      <c r="BO217" s="14" t="s">
        <v>3455</v>
      </c>
      <c r="BP217" s="14" t="s">
        <v>3444</v>
      </c>
      <c r="BQ217" s="14" t="s">
        <v>3445</v>
      </c>
      <c r="BR217" s="14" t="s">
        <v>2418</v>
      </c>
      <c r="BS217" s="14" t="s">
        <v>2089</v>
      </c>
      <c r="BT217" s="14" t="s">
        <v>2048</v>
      </c>
      <c r="BU217" s="14" t="s">
        <v>2048</v>
      </c>
      <c r="BV217" s="14" t="s">
        <v>2048</v>
      </c>
      <c r="BW217" s="14" t="s">
        <v>2048</v>
      </c>
      <c r="BX217" s="14" t="s">
        <v>2048</v>
      </c>
      <c r="BY217" s="14" t="s">
        <v>2048</v>
      </c>
      <c r="BZ217" s="14" t="s">
        <v>2048</v>
      </c>
      <c r="CA217" s="14" t="s">
        <v>2048</v>
      </c>
      <c r="CB217" s="14" t="s">
        <v>2048</v>
      </c>
      <c r="CC217" s="14" t="s">
        <v>2048</v>
      </c>
      <c r="CD217" s="14" t="s">
        <v>2048</v>
      </c>
      <c r="CE217" s="14" t="s">
        <v>2048</v>
      </c>
      <c r="CF217" s="14" t="s">
        <v>2048</v>
      </c>
      <c r="CG217" s="14" t="s">
        <v>2057</v>
      </c>
      <c r="CH217" s="14" t="s">
        <v>2090</v>
      </c>
      <c r="CI217" s="14" t="s">
        <v>2048</v>
      </c>
      <c r="CJ217" s="17"/>
      <c r="CK217" s="17">
        <v>45463</v>
      </c>
      <c r="CL217" s="17">
        <v>45463</v>
      </c>
      <c r="CM217" s="17">
        <v>2958465</v>
      </c>
      <c r="CN217" s="17"/>
      <c r="CO217" s="19">
        <v>0</v>
      </c>
      <c r="CP217" s="19">
        <v>0</v>
      </c>
      <c r="CQ217" s="19">
        <v>0</v>
      </c>
      <c r="CR217" s="19">
        <v>0</v>
      </c>
      <c r="CS217" s="19">
        <v>0</v>
      </c>
      <c r="CT217" s="19">
        <v>0</v>
      </c>
      <c r="CU217" s="19">
        <v>0</v>
      </c>
      <c r="CV217" s="17"/>
      <c r="CW217" s="20">
        <v>9942</v>
      </c>
      <c r="CX217" s="17">
        <v>45730</v>
      </c>
      <c r="CY217" s="17"/>
      <c r="CZ217" s="19">
        <v>0</v>
      </c>
      <c r="DA217" s="17"/>
      <c r="DB217" s="17"/>
      <c r="DC217" s="19">
        <v>100</v>
      </c>
      <c r="DD217" s="17"/>
      <c r="DE217" s="17">
        <v>2958465</v>
      </c>
      <c r="DF217" s="17"/>
      <c r="DG217" s="17"/>
      <c r="DH217" s="19">
        <v>0</v>
      </c>
      <c r="DI217" s="19">
        <v>0</v>
      </c>
    </row>
    <row r="218" spans="1:113" x14ac:dyDescent="0.2">
      <c r="A218" s="14" t="s">
        <v>2315</v>
      </c>
      <c r="B218" s="16" t="s">
        <v>1401</v>
      </c>
      <c r="C218" s="14" t="s">
        <v>158</v>
      </c>
      <c r="D218" s="14" t="s">
        <v>159</v>
      </c>
      <c r="E218" s="14" t="s">
        <v>158</v>
      </c>
      <c r="F218" s="14" t="s">
        <v>2044</v>
      </c>
      <c r="G218" s="14" t="s">
        <v>2045</v>
      </c>
      <c r="H218" s="14" t="s">
        <v>119</v>
      </c>
      <c r="I218" s="14" t="s">
        <v>120</v>
      </c>
      <c r="J218" s="16">
        <f>COUNTIF($I$3:I218, I218)</f>
        <v>27</v>
      </c>
      <c r="K218" s="14" t="s">
        <v>2048</v>
      </c>
      <c r="L218" s="14" t="s">
        <v>2048</v>
      </c>
      <c r="M218" s="14" t="s">
        <v>2048</v>
      </c>
      <c r="N218" s="14" t="s">
        <v>2048</v>
      </c>
      <c r="O218" s="14" t="s">
        <v>3456</v>
      </c>
      <c r="P218" s="14" t="s">
        <v>3457</v>
      </c>
      <c r="Q218" s="14" t="s">
        <v>2048</v>
      </c>
      <c r="R218" s="14" t="s">
        <v>2048</v>
      </c>
      <c r="S218" s="14" t="s">
        <v>2048</v>
      </c>
      <c r="T218" s="14" t="s">
        <v>2048</v>
      </c>
      <c r="U218" s="14" t="s">
        <v>2048</v>
      </c>
      <c r="V218" s="14" t="s">
        <v>2050</v>
      </c>
      <c r="W218" s="14" t="s">
        <v>2048</v>
      </c>
      <c r="X218" s="14" t="s">
        <v>2048</v>
      </c>
      <c r="Y218" s="14" t="s">
        <v>2048</v>
      </c>
      <c r="Z218" s="14" t="s">
        <v>2048</v>
      </c>
      <c r="AA218" s="14" t="s">
        <v>2048</v>
      </c>
      <c r="AB218" s="14" t="s">
        <v>140</v>
      </c>
      <c r="AC218" s="14" t="s">
        <v>151</v>
      </c>
      <c r="AD218" s="14" t="s">
        <v>2132</v>
      </c>
      <c r="AE218" s="14" t="s">
        <v>2133</v>
      </c>
      <c r="AF218" s="14" t="s">
        <v>2055</v>
      </c>
      <c r="AG218" s="14" t="s">
        <v>2055</v>
      </c>
      <c r="AH218" s="14" t="s">
        <v>2055</v>
      </c>
      <c r="AI218" s="14" t="s">
        <v>2057</v>
      </c>
      <c r="AJ218" s="14" t="s">
        <v>87</v>
      </c>
      <c r="AK218" s="14" t="s">
        <v>2048</v>
      </c>
      <c r="AL218" s="14" t="s">
        <v>2048</v>
      </c>
      <c r="AM218" s="14" t="s">
        <v>2048</v>
      </c>
      <c r="AN218" s="14" t="s">
        <v>2374</v>
      </c>
      <c r="AO218" s="17" t="s">
        <v>89</v>
      </c>
      <c r="AP218" s="14" t="s">
        <v>2135</v>
      </c>
      <c r="AQ218" s="14" t="s">
        <v>3458</v>
      </c>
      <c r="AR218" s="14" t="s">
        <v>2060</v>
      </c>
      <c r="AS218" s="14" t="s">
        <v>2048</v>
      </c>
      <c r="AT218" s="14" t="s">
        <v>72</v>
      </c>
      <c r="AU218" s="14" t="s">
        <v>2376</v>
      </c>
      <c r="AV218" s="14" t="s">
        <v>2377</v>
      </c>
      <c r="AW218" s="14" t="s">
        <v>2048</v>
      </c>
      <c r="AX218" s="14" t="s">
        <v>2048</v>
      </c>
      <c r="AY218" s="14" t="s">
        <v>119</v>
      </c>
      <c r="AZ218" s="14" t="s">
        <v>501</v>
      </c>
      <c r="BA218" s="14" t="s">
        <v>2621</v>
      </c>
      <c r="BB218" s="14" t="s">
        <v>2048</v>
      </c>
      <c r="BC218" s="14" t="s">
        <v>2048</v>
      </c>
      <c r="BD218" s="14" t="s">
        <v>2379</v>
      </c>
      <c r="BE218" s="14" t="s">
        <v>2622</v>
      </c>
      <c r="BF218" s="14" t="s">
        <v>2048</v>
      </c>
      <c r="BG218" s="14" t="s">
        <v>2048</v>
      </c>
      <c r="BH218" s="14" t="s">
        <v>2381</v>
      </c>
      <c r="BI218" s="14" t="s">
        <v>2382</v>
      </c>
      <c r="BJ218" s="14" t="s">
        <v>2048</v>
      </c>
      <c r="BK218" s="14" t="s">
        <v>2048</v>
      </c>
      <c r="BL218" s="14" t="s">
        <v>2064</v>
      </c>
      <c r="BM218" s="14" t="s">
        <v>72</v>
      </c>
      <c r="BN218" s="14" t="s">
        <v>72</v>
      </c>
      <c r="BO218" s="14" t="s">
        <v>3459</v>
      </c>
      <c r="BP218" s="14" t="s">
        <v>2048</v>
      </c>
      <c r="BQ218" s="14" t="s">
        <v>2048</v>
      </c>
      <c r="BR218" s="14" t="s">
        <v>2331</v>
      </c>
      <c r="BS218" s="14" t="s">
        <v>2131</v>
      </c>
      <c r="BT218" s="14" t="s">
        <v>2048</v>
      </c>
      <c r="BU218" s="14" t="s">
        <v>2048</v>
      </c>
      <c r="BV218" s="14" t="s">
        <v>2048</v>
      </c>
      <c r="BW218" s="14" t="s">
        <v>2048</v>
      </c>
      <c r="BX218" s="14" t="s">
        <v>72</v>
      </c>
      <c r="BY218" s="14" t="s">
        <v>2048</v>
      </c>
      <c r="BZ218" s="14" t="s">
        <v>2048</v>
      </c>
      <c r="CA218" s="14" t="s">
        <v>2048</v>
      </c>
      <c r="CB218" s="14" t="s">
        <v>2048</v>
      </c>
      <c r="CC218" s="14" t="s">
        <v>2048</v>
      </c>
      <c r="CD218" s="14" t="s">
        <v>2048</v>
      </c>
      <c r="CE218" s="14" t="s">
        <v>2048</v>
      </c>
      <c r="CF218" s="14" t="s">
        <v>2048</v>
      </c>
      <c r="CG218" s="14" t="s">
        <v>2068</v>
      </c>
      <c r="CH218" s="14" t="s">
        <v>2069</v>
      </c>
      <c r="CI218" s="14" t="s">
        <v>2048</v>
      </c>
      <c r="CJ218" s="17"/>
      <c r="CK218" s="17">
        <v>45622</v>
      </c>
      <c r="CL218" s="17">
        <v>45622</v>
      </c>
      <c r="CM218" s="17">
        <v>2958465</v>
      </c>
      <c r="CN218" s="17"/>
      <c r="CO218" s="19">
        <v>0</v>
      </c>
      <c r="CP218" s="19">
        <v>0</v>
      </c>
      <c r="CQ218" s="19">
        <v>0</v>
      </c>
      <c r="CR218" s="19">
        <v>0</v>
      </c>
      <c r="CS218" s="19">
        <v>0</v>
      </c>
      <c r="CT218" s="19">
        <v>0</v>
      </c>
      <c r="CU218" s="19">
        <v>0</v>
      </c>
      <c r="CV218" s="17"/>
      <c r="CW218" s="19">
        <v>0</v>
      </c>
      <c r="CX218" s="17"/>
      <c r="CY218" s="17">
        <v>47083</v>
      </c>
      <c r="CZ218" s="19">
        <v>0</v>
      </c>
      <c r="DA218" s="17"/>
      <c r="DB218" s="17"/>
      <c r="DC218" s="19">
        <v>100</v>
      </c>
      <c r="DD218" s="17"/>
      <c r="DE218" s="17">
        <v>2958465</v>
      </c>
      <c r="DF218" s="17"/>
      <c r="DG218" s="17"/>
      <c r="DH218" s="19">
        <v>0</v>
      </c>
      <c r="DI218" s="19">
        <v>0</v>
      </c>
    </row>
    <row r="219" spans="1:113" x14ac:dyDescent="0.2">
      <c r="A219" s="14" t="s">
        <v>2315</v>
      </c>
      <c r="B219" s="16" t="s">
        <v>224</v>
      </c>
      <c r="C219" s="14" t="s">
        <v>158</v>
      </c>
      <c r="D219" s="14" t="s">
        <v>159</v>
      </c>
      <c r="E219" s="14" t="s">
        <v>158</v>
      </c>
      <c r="F219" s="14" t="s">
        <v>2044</v>
      </c>
      <c r="G219" s="14" t="s">
        <v>2045</v>
      </c>
      <c r="H219" s="14" t="s">
        <v>119</v>
      </c>
      <c r="I219" s="14" t="s">
        <v>120</v>
      </c>
      <c r="J219" s="16">
        <f>COUNTIF($I$3:I219, I219)</f>
        <v>28</v>
      </c>
      <c r="K219" s="14" t="s">
        <v>2048</v>
      </c>
      <c r="L219" s="14" t="s">
        <v>2048</v>
      </c>
      <c r="M219" s="14" t="s">
        <v>2048</v>
      </c>
      <c r="N219" s="14" t="s">
        <v>2048</v>
      </c>
      <c r="O219" s="14" t="s">
        <v>3460</v>
      </c>
      <c r="P219" s="14" t="s">
        <v>226</v>
      </c>
      <c r="Q219" s="14" t="s">
        <v>2048</v>
      </c>
      <c r="R219" s="14" t="s">
        <v>2048</v>
      </c>
      <c r="S219" s="14" t="s">
        <v>2048</v>
      </c>
      <c r="T219" s="14" t="s">
        <v>2048</v>
      </c>
      <c r="U219" s="14" t="s">
        <v>2048</v>
      </c>
      <c r="V219" s="14" t="s">
        <v>2050</v>
      </c>
      <c r="W219" s="14" t="s">
        <v>2048</v>
      </c>
      <c r="X219" s="14" t="s">
        <v>2048</v>
      </c>
      <c r="Y219" s="14" t="s">
        <v>2048</v>
      </c>
      <c r="Z219" s="14" t="s">
        <v>2048</v>
      </c>
      <c r="AA219" s="14" t="s">
        <v>2048</v>
      </c>
      <c r="AB219" s="14" t="s">
        <v>140</v>
      </c>
      <c r="AC219" s="14" t="s">
        <v>151</v>
      </c>
      <c r="AD219" s="14" t="s">
        <v>2132</v>
      </c>
      <c r="AE219" s="14" t="s">
        <v>2133</v>
      </c>
      <c r="AF219" s="14" t="s">
        <v>2055</v>
      </c>
      <c r="AG219" s="14" t="s">
        <v>2055</v>
      </c>
      <c r="AH219" s="14" t="s">
        <v>2055</v>
      </c>
      <c r="AI219" s="14" t="s">
        <v>2057</v>
      </c>
      <c r="AJ219" s="14" t="s">
        <v>87</v>
      </c>
      <c r="AK219" s="14" t="s">
        <v>2048</v>
      </c>
      <c r="AL219" s="14" t="s">
        <v>2048</v>
      </c>
      <c r="AM219" s="14" t="s">
        <v>2048</v>
      </c>
      <c r="AN219" s="14" t="s">
        <v>3461</v>
      </c>
      <c r="AO219" s="17" t="s">
        <v>89</v>
      </c>
      <c r="AP219" s="14" t="s">
        <v>2135</v>
      </c>
      <c r="AQ219" s="14" t="s">
        <v>3462</v>
      </c>
      <c r="AR219" s="14" t="s">
        <v>3463</v>
      </c>
      <c r="AS219" s="14" t="s">
        <v>3464</v>
      </c>
      <c r="AT219" s="14" t="s">
        <v>72</v>
      </c>
      <c r="AU219" s="14" t="s">
        <v>2635</v>
      </c>
      <c r="AV219" s="14" t="s">
        <v>2636</v>
      </c>
      <c r="AW219" s="14" t="s">
        <v>2048</v>
      </c>
      <c r="AX219" s="14" t="s">
        <v>2048</v>
      </c>
      <c r="AY219" s="14" t="s">
        <v>119</v>
      </c>
      <c r="AZ219" s="14" t="s">
        <v>225</v>
      </c>
      <c r="BA219" s="14" t="s">
        <v>3465</v>
      </c>
      <c r="BB219" s="14" t="s">
        <v>2048</v>
      </c>
      <c r="BC219" s="14" t="s">
        <v>2048</v>
      </c>
      <c r="BD219" s="14" t="s">
        <v>2433</v>
      </c>
      <c r="BE219" s="14" t="s">
        <v>2434</v>
      </c>
      <c r="BF219" s="14" t="s">
        <v>3466</v>
      </c>
      <c r="BG219" s="14" t="s">
        <v>3467</v>
      </c>
      <c r="BH219" s="14" t="s">
        <v>3092</v>
      </c>
      <c r="BI219" s="14" t="s">
        <v>2287</v>
      </c>
      <c r="BJ219" s="14" t="s">
        <v>2048</v>
      </c>
      <c r="BK219" s="14" t="s">
        <v>2048</v>
      </c>
      <c r="BL219" s="14" t="s">
        <v>2064</v>
      </c>
      <c r="BM219" s="14" t="s">
        <v>72</v>
      </c>
      <c r="BN219" s="14" t="s">
        <v>72</v>
      </c>
      <c r="BO219" s="14" t="s">
        <v>3468</v>
      </c>
      <c r="BP219" s="14" t="s">
        <v>3469</v>
      </c>
      <c r="BQ219" s="14" t="s">
        <v>3461</v>
      </c>
      <c r="BR219" s="14" t="s">
        <v>2331</v>
      </c>
      <c r="BS219" s="14" t="s">
        <v>2131</v>
      </c>
      <c r="BT219" s="14" t="s">
        <v>2048</v>
      </c>
      <c r="BU219" s="14" t="s">
        <v>2048</v>
      </c>
      <c r="BV219" s="14" t="s">
        <v>2048</v>
      </c>
      <c r="BW219" s="14" t="s">
        <v>2048</v>
      </c>
      <c r="BX219" s="14" t="s">
        <v>72</v>
      </c>
      <c r="BY219" s="14" t="s">
        <v>2048</v>
      </c>
      <c r="BZ219" s="14" t="s">
        <v>2048</v>
      </c>
      <c r="CA219" s="14" t="s">
        <v>2048</v>
      </c>
      <c r="CB219" s="14" t="s">
        <v>2048</v>
      </c>
      <c r="CC219" s="14" t="s">
        <v>2048</v>
      </c>
      <c r="CD219" s="14" t="s">
        <v>2048</v>
      </c>
      <c r="CE219" s="14" t="s">
        <v>2048</v>
      </c>
      <c r="CF219" s="14" t="s">
        <v>2048</v>
      </c>
      <c r="CG219" s="14" t="s">
        <v>2068</v>
      </c>
      <c r="CH219" s="14" t="s">
        <v>2069</v>
      </c>
      <c r="CI219" s="14" t="s">
        <v>2048</v>
      </c>
      <c r="CJ219" s="17"/>
      <c r="CK219" s="17">
        <v>45622</v>
      </c>
      <c r="CL219" s="17">
        <v>45622</v>
      </c>
      <c r="CM219" s="17">
        <v>2958465</v>
      </c>
      <c r="CN219" s="17"/>
      <c r="CO219" s="19">
        <v>0</v>
      </c>
      <c r="CP219" s="19">
        <v>0</v>
      </c>
      <c r="CQ219" s="19">
        <v>0</v>
      </c>
      <c r="CR219" s="19">
        <v>0</v>
      </c>
      <c r="CS219" s="19">
        <v>0</v>
      </c>
      <c r="CT219" s="19">
        <v>0</v>
      </c>
      <c r="CU219" s="19">
        <v>0</v>
      </c>
      <c r="CV219" s="17"/>
      <c r="CW219" s="19">
        <v>0</v>
      </c>
      <c r="CX219" s="17"/>
      <c r="CY219" s="17">
        <v>47083</v>
      </c>
      <c r="CZ219" s="19">
        <v>0</v>
      </c>
      <c r="DA219" s="17"/>
      <c r="DB219" s="17"/>
      <c r="DC219" s="19">
        <v>100</v>
      </c>
      <c r="DD219" s="17"/>
      <c r="DE219" s="17">
        <v>2958465</v>
      </c>
      <c r="DF219" s="17"/>
      <c r="DG219" s="17"/>
      <c r="DH219" s="19">
        <v>0</v>
      </c>
      <c r="DI219" s="19">
        <v>0</v>
      </c>
    </row>
    <row r="220" spans="1:113" x14ac:dyDescent="0.2">
      <c r="A220" s="14" t="s">
        <v>2315</v>
      </c>
      <c r="B220" s="16" t="s">
        <v>3470</v>
      </c>
      <c r="C220" s="14" t="s">
        <v>158</v>
      </c>
      <c r="D220" s="14" t="s">
        <v>159</v>
      </c>
      <c r="E220" s="14" t="s">
        <v>158</v>
      </c>
      <c r="F220" s="14" t="s">
        <v>2044</v>
      </c>
      <c r="G220" s="14" t="s">
        <v>2045</v>
      </c>
      <c r="H220" s="14" t="s">
        <v>2763</v>
      </c>
      <c r="I220" s="14" t="s">
        <v>2764</v>
      </c>
      <c r="J220" s="16">
        <f>COUNTIF($I$3:I220, I220)</f>
        <v>2</v>
      </c>
      <c r="K220" s="14" t="s">
        <v>2048</v>
      </c>
      <c r="L220" s="14" t="s">
        <v>2048</v>
      </c>
      <c r="M220" s="14" t="s">
        <v>2048</v>
      </c>
      <c r="N220" s="14" t="s">
        <v>2048</v>
      </c>
      <c r="O220" s="14" t="s">
        <v>72</v>
      </c>
      <c r="P220" s="14" t="s">
        <v>72</v>
      </c>
      <c r="Q220" s="14" t="s">
        <v>72</v>
      </c>
      <c r="R220" s="14" t="s">
        <v>2048</v>
      </c>
      <c r="S220" s="14" t="s">
        <v>2048</v>
      </c>
      <c r="T220" s="14" t="s">
        <v>2422</v>
      </c>
      <c r="U220" s="14" t="s">
        <v>2049</v>
      </c>
      <c r="V220" s="14" t="s">
        <v>2050</v>
      </c>
      <c r="W220" s="14" t="s">
        <v>2048</v>
      </c>
      <c r="X220" s="14" t="s">
        <v>2048</v>
      </c>
      <c r="Y220" s="14" t="s">
        <v>2048</v>
      </c>
      <c r="Z220" s="14" t="s">
        <v>2048</v>
      </c>
      <c r="AA220" s="14" t="s">
        <v>2048</v>
      </c>
      <c r="AB220" s="14" t="s">
        <v>380</v>
      </c>
      <c r="AC220" s="14" t="s">
        <v>381</v>
      </c>
      <c r="AD220" s="14" t="s">
        <v>2765</v>
      </c>
      <c r="AE220" s="14" t="s">
        <v>2766</v>
      </c>
      <c r="AF220" s="14" t="s">
        <v>2055</v>
      </c>
      <c r="AG220" s="14" t="s">
        <v>2056</v>
      </c>
      <c r="AH220" s="14" t="s">
        <v>2055</v>
      </c>
      <c r="AI220" s="14" t="s">
        <v>2057</v>
      </c>
      <c r="AJ220" s="14" t="s">
        <v>87</v>
      </c>
      <c r="AK220" s="14" t="s">
        <v>2048</v>
      </c>
      <c r="AL220" s="14" t="s">
        <v>2048</v>
      </c>
      <c r="AM220" s="14" t="s">
        <v>2048</v>
      </c>
      <c r="AN220" s="14" t="s">
        <v>3471</v>
      </c>
      <c r="AO220" s="17" t="s">
        <v>89</v>
      </c>
      <c r="AP220" s="14" t="s">
        <v>3472</v>
      </c>
      <c r="AQ220" s="14" t="s">
        <v>2059</v>
      </c>
      <c r="AR220" s="14" t="s">
        <v>2060</v>
      </c>
      <c r="AS220" s="14" t="s">
        <v>2048</v>
      </c>
      <c r="AT220" s="14" t="s">
        <v>2048</v>
      </c>
      <c r="AU220" s="14" t="s">
        <v>2062</v>
      </c>
      <c r="AV220" s="14" t="s">
        <v>2063</v>
      </c>
      <c r="AW220" s="14" t="s">
        <v>2048</v>
      </c>
      <c r="AX220" s="14" t="s">
        <v>2048</v>
      </c>
      <c r="AY220" s="14" t="s">
        <v>2763</v>
      </c>
      <c r="AZ220" s="14" t="s">
        <v>312</v>
      </c>
      <c r="BA220" s="14" t="s">
        <v>2048</v>
      </c>
      <c r="BB220" s="14" t="s">
        <v>2048</v>
      </c>
      <c r="BC220" s="14" t="s">
        <v>2048</v>
      </c>
      <c r="BD220" s="14" t="s">
        <v>2048</v>
      </c>
      <c r="BE220" s="14" t="s">
        <v>2048</v>
      </c>
      <c r="BF220" s="14" t="s">
        <v>2048</v>
      </c>
      <c r="BG220" s="14" t="s">
        <v>2048</v>
      </c>
      <c r="BH220" s="14" t="s">
        <v>2048</v>
      </c>
      <c r="BI220" s="14" t="s">
        <v>2048</v>
      </c>
      <c r="BJ220" s="14" t="s">
        <v>2048</v>
      </c>
      <c r="BK220" s="14" t="s">
        <v>2048</v>
      </c>
      <c r="BL220" s="14" t="s">
        <v>2064</v>
      </c>
      <c r="BM220" s="14" t="s">
        <v>72</v>
      </c>
      <c r="BN220" s="14" t="s">
        <v>72</v>
      </c>
      <c r="BO220" s="14" t="s">
        <v>2048</v>
      </c>
      <c r="BP220" s="14" t="s">
        <v>2048</v>
      </c>
      <c r="BQ220" s="14" t="s">
        <v>2048</v>
      </c>
      <c r="BR220" s="14" t="s">
        <v>2331</v>
      </c>
      <c r="BS220" s="14" t="s">
        <v>2131</v>
      </c>
      <c r="BT220" s="14" t="s">
        <v>2048</v>
      </c>
      <c r="BU220" s="14" t="s">
        <v>2048</v>
      </c>
      <c r="BV220" s="14" t="s">
        <v>2048</v>
      </c>
      <c r="BW220" s="14" t="s">
        <v>2048</v>
      </c>
      <c r="BX220" s="14" t="s">
        <v>2048</v>
      </c>
      <c r="BY220" s="14" t="s">
        <v>2048</v>
      </c>
      <c r="BZ220" s="14" t="s">
        <v>2048</v>
      </c>
      <c r="CA220" s="14" t="s">
        <v>2048</v>
      </c>
      <c r="CB220" s="14" t="s">
        <v>2048</v>
      </c>
      <c r="CC220" s="14" t="s">
        <v>2048</v>
      </c>
      <c r="CD220" s="14" t="s">
        <v>2048</v>
      </c>
      <c r="CE220" s="14" t="s">
        <v>2048</v>
      </c>
      <c r="CF220" s="14" t="s">
        <v>2048</v>
      </c>
      <c r="CG220" s="14" t="s">
        <v>2057</v>
      </c>
      <c r="CH220" s="14" t="s">
        <v>2090</v>
      </c>
      <c r="CI220" s="14" t="s">
        <v>2048</v>
      </c>
      <c r="CJ220" s="17"/>
      <c r="CK220" s="17">
        <v>45588</v>
      </c>
      <c r="CL220" s="17">
        <v>45588</v>
      </c>
      <c r="CM220" s="17">
        <v>2958465</v>
      </c>
      <c r="CN220" s="17"/>
      <c r="CO220" s="19">
        <v>0</v>
      </c>
      <c r="CP220" s="19">
        <v>0</v>
      </c>
      <c r="CQ220" s="19">
        <v>0</v>
      </c>
      <c r="CR220" s="19">
        <v>0</v>
      </c>
      <c r="CS220" s="19">
        <v>0</v>
      </c>
      <c r="CT220" s="19">
        <v>0</v>
      </c>
      <c r="CU220" s="19">
        <v>0</v>
      </c>
      <c r="CV220" s="17"/>
      <c r="CW220" s="19">
        <v>0</v>
      </c>
      <c r="CX220" s="17"/>
      <c r="CY220" s="17"/>
      <c r="CZ220" s="19">
        <v>0</v>
      </c>
      <c r="DA220" s="17"/>
      <c r="DB220" s="17"/>
      <c r="DC220" s="19">
        <v>100</v>
      </c>
      <c r="DD220" s="17"/>
      <c r="DE220" s="17">
        <v>2958465</v>
      </c>
      <c r="DF220" s="17"/>
      <c r="DG220" s="17"/>
      <c r="DH220" s="19">
        <v>0</v>
      </c>
      <c r="DI220" s="19">
        <v>0</v>
      </c>
    </row>
    <row r="221" spans="1:113" x14ac:dyDescent="0.2">
      <c r="A221" s="14" t="s">
        <v>2315</v>
      </c>
      <c r="B221" s="16" t="s">
        <v>1789</v>
      </c>
      <c r="C221" s="14" t="s">
        <v>158</v>
      </c>
      <c r="D221" s="14" t="s">
        <v>159</v>
      </c>
      <c r="E221" s="14" t="s">
        <v>158</v>
      </c>
      <c r="F221" s="14" t="s">
        <v>2044</v>
      </c>
      <c r="G221" s="14" t="s">
        <v>2045</v>
      </c>
      <c r="H221" s="14" t="s">
        <v>204</v>
      </c>
      <c r="I221" s="14" t="s">
        <v>205</v>
      </c>
      <c r="J221" s="16">
        <f>COUNTIF($I$3:I221, I221)</f>
        <v>47</v>
      </c>
      <c r="K221" s="14" t="s">
        <v>2048</v>
      </c>
      <c r="L221" s="14" t="s">
        <v>2048</v>
      </c>
      <c r="M221" s="14" t="s">
        <v>2048</v>
      </c>
      <c r="N221" s="14" t="s">
        <v>2048</v>
      </c>
      <c r="O221" s="14" t="s">
        <v>3473</v>
      </c>
      <c r="P221" s="14" t="s">
        <v>3474</v>
      </c>
      <c r="Q221" s="14" t="s">
        <v>2048</v>
      </c>
      <c r="R221" s="14" t="s">
        <v>2048</v>
      </c>
      <c r="S221" s="14" t="s">
        <v>2048</v>
      </c>
      <c r="T221" s="14" t="s">
        <v>2048</v>
      </c>
      <c r="U221" s="14" t="s">
        <v>2048</v>
      </c>
      <c r="V221" s="14" t="s">
        <v>2050</v>
      </c>
      <c r="W221" s="14" t="s">
        <v>2048</v>
      </c>
      <c r="X221" s="14" t="s">
        <v>2048</v>
      </c>
      <c r="Y221" s="14" t="s">
        <v>2048</v>
      </c>
      <c r="Z221" s="14" t="s">
        <v>2048</v>
      </c>
      <c r="AA221" s="14" t="s">
        <v>2048</v>
      </c>
      <c r="AB221" s="14" t="s">
        <v>140</v>
      </c>
      <c r="AC221" s="14" t="s">
        <v>151</v>
      </c>
      <c r="AD221" s="14" t="s">
        <v>77</v>
      </c>
      <c r="AE221" s="14" t="s">
        <v>2054</v>
      </c>
      <c r="AF221" s="14" t="s">
        <v>2055</v>
      </c>
      <c r="AG221" s="14" t="s">
        <v>2055</v>
      </c>
      <c r="AH221" s="14" t="s">
        <v>2055</v>
      </c>
      <c r="AI221" s="14" t="s">
        <v>2057</v>
      </c>
      <c r="AJ221" s="14" t="s">
        <v>87</v>
      </c>
      <c r="AK221" s="14" t="s">
        <v>2048</v>
      </c>
      <c r="AL221" s="14" t="s">
        <v>2048</v>
      </c>
      <c r="AM221" s="14" t="s">
        <v>2048</v>
      </c>
      <c r="AN221" s="14" t="s">
        <v>2318</v>
      </c>
      <c r="AO221" s="17" t="s">
        <v>89</v>
      </c>
      <c r="AP221" s="14" t="s">
        <v>2135</v>
      </c>
      <c r="AQ221" s="14" t="s">
        <v>2059</v>
      </c>
      <c r="AR221" s="14" t="s">
        <v>3475</v>
      </c>
      <c r="AS221" s="14" t="s">
        <v>3476</v>
      </c>
      <c r="AT221" s="14" t="s">
        <v>72</v>
      </c>
      <c r="AU221" s="14" t="s">
        <v>2350</v>
      </c>
      <c r="AV221" s="14" t="s">
        <v>2351</v>
      </c>
      <c r="AW221" s="14" t="s">
        <v>2048</v>
      </c>
      <c r="AX221" s="14" t="s">
        <v>2048</v>
      </c>
      <c r="AY221" s="14" t="s">
        <v>204</v>
      </c>
      <c r="AZ221" s="14" t="s">
        <v>232</v>
      </c>
      <c r="BA221" s="14" t="s">
        <v>2324</v>
      </c>
      <c r="BB221" s="14" t="s">
        <v>2048</v>
      </c>
      <c r="BC221" s="14" t="s">
        <v>2048</v>
      </c>
      <c r="BD221" s="14" t="s">
        <v>2325</v>
      </c>
      <c r="BE221" s="14" t="s">
        <v>2326</v>
      </c>
      <c r="BF221" s="14" t="s">
        <v>2325</v>
      </c>
      <c r="BG221" s="14" t="s">
        <v>2326</v>
      </c>
      <c r="BH221" s="14" t="s">
        <v>2327</v>
      </c>
      <c r="BI221" s="14" t="s">
        <v>2287</v>
      </c>
      <c r="BJ221" s="14" t="s">
        <v>2048</v>
      </c>
      <c r="BK221" s="14" t="s">
        <v>2048</v>
      </c>
      <c r="BL221" s="14" t="s">
        <v>2064</v>
      </c>
      <c r="BM221" s="14" t="s">
        <v>72</v>
      </c>
      <c r="BN221" s="14" t="s">
        <v>72</v>
      </c>
      <c r="BO221" s="14" t="s">
        <v>3477</v>
      </c>
      <c r="BP221" s="14" t="s">
        <v>2329</v>
      </c>
      <c r="BQ221" s="14" t="s">
        <v>2330</v>
      </c>
      <c r="BR221" s="14" t="s">
        <v>2331</v>
      </c>
      <c r="BS221" s="14" t="s">
        <v>2131</v>
      </c>
      <c r="BT221" s="14" t="s">
        <v>2048</v>
      </c>
      <c r="BU221" s="14" t="s">
        <v>2048</v>
      </c>
      <c r="BV221" s="14" t="s">
        <v>2048</v>
      </c>
      <c r="BW221" s="14" t="s">
        <v>2048</v>
      </c>
      <c r="BX221" s="14" t="s">
        <v>72</v>
      </c>
      <c r="BY221" s="14" t="s">
        <v>2048</v>
      </c>
      <c r="BZ221" s="14" t="s">
        <v>2048</v>
      </c>
      <c r="CA221" s="14" t="s">
        <v>2048</v>
      </c>
      <c r="CB221" s="14" t="s">
        <v>2048</v>
      </c>
      <c r="CC221" s="14" t="s">
        <v>2048</v>
      </c>
      <c r="CD221" s="14" t="s">
        <v>2048</v>
      </c>
      <c r="CE221" s="14" t="s">
        <v>2048</v>
      </c>
      <c r="CF221" s="14" t="s">
        <v>2048</v>
      </c>
      <c r="CG221" s="14" t="s">
        <v>2068</v>
      </c>
      <c r="CH221" s="14" t="s">
        <v>2069</v>
      </c>
      <c r="CI221" s="14" t="s">
        <v>2048</v>
      </c>
      <c r="CJ221" s="17"/>
      <c r="CK221" s="17">
        <v>45638</v>
      </c>
      <c r="CL221" s="17">
        <v>45638</v>
      </c>
      <c r="CM221" s="17">
        <v>2958465</v>
      </c>
      <c r="CN221" s="17"/>
      <c r="CO221" s="19">
        <v>0</v>
      </c>
      <c r="CP221" s="19">
        <v>0</v>
      </c>
      <c r="CQ221" s="19">
        <v>0</v>
      </c>
      <c r="CR221" s="19">
        <v>0</v>
      </c>
      <c r="CS221" s="19">
        <v>0</v>
      </c>
      <c r="CT221" s="19">
        <v>0</v>
      </c>
      <c r="CU221" s="19">
        <v>0</v>
      </c>
      <c r="CV221" s="17"/>
      <c r="CW221" s="19">
        <v>0</v>
      </c>
      <c r="CX221" s="17"/>
      <c r="CY221" s="17"/>
      <c r="CZ221" s="19">
        <v>0</v>
      </c>
      <c r="DA221" s="17"/>
      <c r="DB221" s="17"/>
      <c r="DC221" s="19">
        <v>100</v>
      </c>
      <c r="DD221" s="17"/>
      <c r="DE221" s="17">
        <v>2958465</v>
      </c>
      <c r="DF221" s="17"/>
      <c r="DG221" s="17"/>
      <c r="DH221" s="19">
        <v>0</v>
      </c>
      <c r="DI221" s="19">
        <v>0</v>
      </c>
    </row>
    <row r="222" spans="1:113" x14ac:dyDescent="0.2">
      <c r="A222" s="14" t="s">
        <v>2315</v>
      </c>
      <c r="B222" s="16" t="s">
        <v>1826</v>
      </c>
      <c r="C222" s="14" t="s">
        <v>158</v>
      </c>
      <c r="D222" s="14" t="s">
        <v>159</v>
      </c>
      <c r="E222" s="14" t="s">
        <v>158</v>
      </c>
      <c r="F222" s="14" t="s">
        <v>2044</v>
      </c>
      <c r="G222" s="14" t="s">
        <v>2045</v>
      </c>
      <c r="H222" s="14" t="s">
        <v>204</v>
      </c>
      <c r="I222" s="14" t="s">
        <v>205</v>
      </c>
      <c r="J222" s="16">
        <f>COUNTIF($I$3:I222, I222)</f>
        <v>48</v>
      </c>
      <c r="K222" s="14" t="s">
        <v>2048</v>
      </c>
      <c r="L222" s="14" t="s">
        <v>2048</v>
      </c>
      <c r="M222" s="14" t="s">
        <v>2048</v>
      </c>
      <c r="N222" s="14" t="s">
        <v>2048</v>
      </c>
      <c r="O222" s="14" t="s">
        <v>3478</v>
      </c>
      <c r="P222" s="14" t="s">
        <v>3479</v>
      </c>
      <c r="Q222" s="14" t="s">
        <v>2048</v>
      </c>
      <c r="R222" s="14" t="s">
        <v>2048</v>
      </c>
      <c r="S222" s="14" t="s">
        <v>2048</v>
      </c>
      <c r="T222" s="14" t="s">
        <v>2048</v>
      </c>
      <c r="U222" s="14" t="s">
        <v>2048</v>
      </c>
      <c r="V222" s="14" t="s">
        <v>2050</v>
      </c>
      <c r="W222" s="14" t="s">
        <v>2048</v>
      </c>
      <c r="X222" s="14" t="s">
        <v>2048</v>
      </c>
      <c r="Y222" s="14" t="s">
        <v>2048</v>
      </c>
      <c r="Z222" s="14" t="s">
        <v>2048</v>
      </c>
      <c r="AA222" s="14" t="s">
        <v>2048</v>
      </c>
      <c r="AB222" s="14" t="s">
        <v>140</v>
      </c>
      <c r="AC222" s="14" t="s">
        <v>151</v>
      </c>
      <c r="AD222" s="14" t="s">
        <v>77</v>
      </c>
      <c r="AE222" s="14" t="s">
        <v>2054</v>
      </c>
      <c r="AF222" s="14" t="s">
        <v>2055</v>
      </c>
      <c r="AG222" s="14" t="s">
        <v>2055</v>
      </c>
      <c r="AH222" s="14" t="s">
        <v>2055</v>
      </c>
      <c r="AI222" s="14" t="s">
        <v>2057</v>
      </c>
      <c r="AJ222" s="14" t="s">
        <v>87</v>
      </c>
      <c r="AK222" s="14" t="s">
        <v>2048</v>
      </c>
      <c r="AL222" s="14" t="s">
        <v>2048</v>
      </c>
      <c r="AM222" s="14" t="s">
        <v>2048</v>
      </c>
      <c r="AN222" s="14" t="s">
        <v>2358</v>
      </c>
      <c r="AO222" s="17" t="s">
        <v>89</v>
      </c>
      <c r="AP222" s="14" t="s">
        <v>2135</v>
      </c>
      <c r="AQ222" s="14" t="s">
        <v>2059</v>
      </c>
      <c r="AR222" s="14" t="s">
        <v>3480</v>
      </c>
      <c r="AS222" s="14" t="s">
        <v>3481</v>
      </c>
      <c r="AT222" s="14" t="s">
        <v>72</v>
      </c>
      <c r="AU222" s="14" t="s">
        <v>2337</v>
      </c>
      <c r="AV222" s="14" t="s">
        <v>2338</v>
      </c>
      <c r="AW222" s="14" t="s">
        <v>2048</v>
      </c>
      <c r="AX222" s="14" t="s">
        <v>2048</v>
      </c>
      <c r="AY222" s="14" t="s">
        <v>204</v>
      </c>
      <c r="AZ222" s="14" t="s">
        <v>1628</v>
      </c>
      <c r="BA222" s="14" t="s">
        <v>2361</v>
      </c>
      <c r="BB222" s="14" t="s">
        <v>2048</v>
      </c>
      <c r="BC222" s="14" t="s">
        <v>2048</v>
      </c>
      <c r="BD222" s="14" t="s">
        <v>2325</v>
      </c>
      <c r="BE222" s="14" t="s">
        <v>2326</v>
      </c>
      <c r="BF222" s="14" t="s">
        <v>2340</v>
      </c>
      <c r="BG222" s="14" t="s">
        <v>2341</v>
      </c>
      <c r="BH222" s="14" t="s">
        <v>2362</v>
      </c>
      <c r="BI222" s="14" t="s">
        <v>2287</v>
      </c>
      <c r="BJ222" s="14" t="s">
        <v>2048</v>
      </c>
      <c r="BK222" s="14" t="s">
        <v>2048</v>
      </c>
      <c r="BL222" s="14" t="s">
        <v>2064</v>
      </c>
      <c r="BM222" s="14" t="s">
        <v>72</v>
      </c>
      <c r="BN222" s="14" t="s">
        <v>72</v>
      </c>
      <c r="BO222" s="14" t="s">
        <v>3482</v>
      </c>
      <c r="BP222" s="14" t="s">
        <v>2364</v>
      </c>
      <c r="BQ222" s="14" t="s">
        <v>2365</v>
      </c>
      <c r="BR222" s="14" t="s">
        <v>2331</v>
      </c>
      <c r="BS222" s="14" t="s">
        <v>2131</v>
      </c>
      <c r="BT222" s="14" t="s">
        <v>2048</v>
      </c>
      <c r="BU222" s="14" t="s">
        <v>2048</v>
      </c>
      <c r="BV222" s="14" t="s">
        <v>2048</v>
      </c>
      <c r="BW222" s="14" t="s">
        <v>2048</v>
      </c>
      <c r="BX222" s="14" t="s">
        <v>72</v>
      </c>
      <c r="BY222" s="14" t="s">
        <v>2048</v>
      </c>
      <c r="BZ222" s="14" t="s">
        <v>2048</v>
      </c>
      <c r="CA222" s="14" t="s">
        <v>2048</v>
      </c>
      <c r="CB222" s="14" t="s">
        <v>2048</v>
      </c>
      <c r="CC222" s="14" t="s">
        <v>2048</v>
      </c>
      <c r="CD222" s="14" t="s">
        <v>2048</v>
      </c>
      <c r="CE222" s="14" t="s">
        <v>2048</v>
      </c>
      <c r="CF222" s="14" t="s">
        <v>2048</v>
      </c>
      <c r="CG222" s="14" t="s">
        <v>2068</v>
      </c>
      <c r="CH222" s="14" t="s">
        <v>2069</v>
      </c>
      <c r="CI222" s="14" t="s">
        <v>2048</v>
      </c>
      <c r="CJ222" s="17"/>
      <c r="CK222" s="17">
        <v>45638</v>
      </c>
      <c r="CL222" s="17">
        <v>45638</v>
      </c>
      <c r="CM222" s="17">
        <v>2958465</v>
      </c>
      <c r="CN222" s="17"/>
      <c r="CO222" s="19">
        <v>0</v>
      </c>
      <c r="CP222" s="19">
        <v>0</v>
      </c>
      <c r="CQ222" s="19">
        <v>0</v>
      </c>
      <c r="CR222" s="19">
        <v>0</v>
      </c>
      <c r="CS222" s="19">
        <v>0</v>
      </c>
      <c r="CT222" s="19">
        <v>0</v>
      </c>
      <c r="CU222" s="19">
        <v>0</v>
      </c>
      <c r="CV222" s="17"/>
      <c r="CW222" s="19">
        <v>0</v>
      </c>
      <c r="CX222" s="17"/>
      <c r="CY222" s="17"/>
      <c r="CZ222" s="19">
        <v>0</v>
      </c>
      <c r="DA222" s="17"/>
      <c r="DB222" s="17"/>
      <c r="DC222" s="19">
        <v>100</v>
      </c>
      <c r="DD222" s="17"/>
      <c r="DE222" s="17">
        <v>2958465</v>
      </c>
      <c r="DF222" s="17"/>
      <c r="DG222" s="17"/>
      <c r="DH222" s="19">
        <v>0</v>
      </c>
      <c r="DI222" s="19">
        <v>0</v>
      </c>
    </row>
    <row r="223" spans="1:113" x14ac:dyDescent="0.2">
      <c r="A223" s="14" t="s">
        <v>2315</v>
      </c>
      <c r="B223" s="16" t="s">
        <v>935</v>
      </c>
      <c r="C223" s="14" t="s">
        <v>158</v>
      </c>
      <c r="D223" s="14" t="s">
        <v>159</v>
      </c>
      <c r="E223" s="14" t="s">
        <v>158</v>
      </c>
      <c r="F223" s="14" t="s">
        <v>2044</v>
      </c>
      <c r="G223" s="14" t="s">
        <v>2045</v>
      </c>
      <c r="H223" s="14" t="s">
        <v>81</v>
      </c>
      <c r="I223" s="14" t="s">
        <v>82</v>
      </c>
      <c r="J223" s="16">
        <f>COUNTIF($I$3:I223, I223)</f>
        <v>19</v>
      </c>
      <c r="K223" s="14" t="s">
        <v>2048</v>
      </c>
      <c r="L223" s="14" t="s">
        <v>2048</v>
      </c>
      <c r="M223" s="14" t="s">
        <v>2048</v>
      </c>
      <c r="N223" s="14" t="s">
        <v>2048</v>
      </c>
      <c r="O223" s="14" t="s">
        <v>3483</v>
      </c>
      <c r="P223" s="14" t="s">
        <v>936</v>
      </c>
      <c r="Q223" s="14" t="s">
        <v>72</v>
      </c>
      <c r="R223" s="14" t="s">
        <v>2048</v>
      </c>
      <c r="S223" s="14" t="s">
        <v>2048</v>
      </c>
      <c r="T223" s="14" t="s">
        <v>2048</v>
      </c>
      <c r="U223" s="14" t="s">
        <v>2048</v>
      </c>
      <c r="V223" s="14" t="s">
        <v>2050</v>
      </c>
      <c r="W223" s="14" t="s">
        <v>2048</v>
      </c>
      <c r="X223" s="14" t="s">
        <v>2048</v>
      </c>
      <c r="Y223" s="14" t="s">
        <v>2048</v>
      </c>
      <c r="Z223" s="14" t="s">
        <v>2048</v>
      </c>
      <c r="AA223" s="14" t="s">
        <v>2048</v>
      </c>
      <c r="AB223" s="14" t="s">
        <v>140</v>
      </c>
      <c r="AC223" s="14" t="s">
        <v>151</v>
      </c>
      <c r="AD223" s="14" t="s">
        <v>2411</v>
      </c>
      <c r="AE223" s="14" t="s">
        <v>2412</v>
      </c>
      <c r="AF223" s="14" t="s">
        <v>2055</v>
      </c>
      <c r="AG223" s="14" t="s">
        <v>2055</v>
      </c>
      <c r="AH223" s="14" t="s">
        <v>2055</v>
      </c>
      <c r="AI223" s="14" t="s">
        <v>2057</v>
      </c>
      <c r="AJ223" s="14" t="s">
        <v>87</v>
      </c>
      <c r="AK223" s="14" t="s">
        <v>2048</v>
      </c>
      <c r="AL223" s="14" t="s">
        <v>2048</v>
      </c>
      <c r="AM223" s="14" t="s">
        <v>2048</v>
      </c>
      <c r="AN223" s="14" t="s">
        <v>2207</v>
      </c>
      <c r="AO223" s="17" t="s">
        <v>89</v>
      </c>
      <c r="AP223" s="14" t="s">
        <v>2135</v>
      </c>
      <c r="AQ223" s="14" t="s">
        <v>3484</v>
      </c>
      <c r="AR223" s="14" t="s">
        <v>3485</v>
      </c>
      <c r="AS223" s="14" t="s">
        <v>3486</v>
      </c>
      <c r="AT223" s="14" t="s">
        <v>72</v>
      </c>
      <c r="AU223" s="14" t="s">
        <v>2268</v>
      </c>
      <c r="AV223" s="14" t="s">
        <v>2269</v>
      </c>
      <c r="AW223" s="14" t="s">
        <v>2048</v>
      </c>
      <c r="AX223" s="14" t="s">
        <v>2048</v>
      </c>
      <c r="AY223" s="14" t="s">
        <v>81</v>
      </c>
      <c r="AZ223" s="14" t="s">
        <v>164</v>
      </c>
      <c r="BA223" s="14" t="s">
        <v>2769</v>
      </c>
      <c r="BB223" s="14" t="s">
        <v>2048</v>
      </c>
      <c r="BC223" s="14" t="s">
        <v>2048</v>
      </c>
      <c r="BD223" s="14" t="s">
        <v>2271</v>
      </c>
      <c r="BE223" s="14" t="s">
        <v>2272</v>
      </c>
      <c r="BF223" s="14" t="s">
        <v>2271</v>
      </c>
      <c r="BG223" s="14" t="s">
        <v>2272</v>
      </c>
      <c r="BH223" s="14" t="s">
        <v>2273</v>
      </c>
      <c r="BI223" s="14" t="s">
        <v>2218</v>
      </c>
      <c r="BJ223" s="14" t="s">
        <v>2048</v>
      </c>
      <c r="BK223" s="14" t="s">
        <v>2048</v>
      </c>
      <c r="BL223" s="14" t="s">
        <v>2064</v>
      </c>
      <c r="BM223" s="14" t="s">
        <v>72</v>
      </c>
      <c r="BN223" s="14" t="s">
        <v>72</v>
      </c>
      <c r="BO223" s="14" t="s">
        <v>3487</v>
      </c>
      <c r="BP223" s="14" t="s">
        <v>2048</v>
      </c>
      <c r="BQ223" s="14" t="s">
        <v>2048</v>
      </c>
      <c r="BR223" s="14" t="s">
        <v>2331</v>
      </c>
      <c r="BS223" s="14" t="s">
        <v>2131</v>
      </c>
      <c r="BT223" s="14" t="s">
        <v>2048</v>
      </c>
      <c r="BU223" s="14" t="s">
        <v>2048</v>
      </c>
      <c r="BV223" s="14" t="s">
        <v>2048</v>
      </c>
      <c r="BW223" s="14" t="s">
        <v>2048</v>
      </c>
      <c r="BX223" s="14" t="s">
        <v>72</v>
      </c>
      <c r="BY223" s="14" t="s">
        <v>2048</v>
      </c>
      <c r="BZ223" s="14" t="s">
        <v>72</v>
      </c>
      <c r="CA223" s="14" t="s">
        <v>2048</v>
      </c>
      <c r="CB223" s="14" t="s">
        <v>2048</v>
      </c>
      <c r="CC223" s="14" t="s">
        <v>2048</v>
      </c>
      <c r="CD223" s="14" t="s">
        <v>2048</v>
      </c>
      <c r="CE223" s="14" t="s">
        <v>2048</v>
      </c>
      <c r="CF223" s="14" t="s">
        <v>2048</v>
      </c>
      <c r="CG223" s="14" t="s">
        <v>2068</v>
      </c>
      <c r="CH223" s="14" t="s">
        <v>2069</v>
      </c>
      <c r="CI223" s="14" t="s">
        <v>2048</v>
      </c>
      <c r="CJ223" s="17"/>
      <c r="CK223" s="17">
        <v>45630</v>
      </c>
      <c r="CL223" s="17">
        <v>45630</v>
      </c>
      <c r="CM223" s="17">
        <v>2958465</v>
      </c>
      <c r="CN223" s="17"/>
      <c r="CO223" s="19">
        <v>0</v>
      </c>
      <c r="CP223" s="19">
        <v>0</v>
      </c>
      <c r="CQ223" s="19">
        <v>0</v>
      </c>
      <c r="CR223" s="19">
        <v>0</v>
      </c>
      <c r="CS223" s="19">
        <v>0</v>
      </c>
      <c r="CT223" s="19">
        <v>0</v>
      </c>
      <c r="CU223" s="19">
        <v>0</v>
      </c>
      <c r="CV223" s="17"/>
      <c r="CW223" s="19">
        <v>0</v>
      </c>
      <c r="CX223" s="17"/>
      <c r="CY223" s="17">
        <v>47091</v>
      </c>
      <c r="CZ223" s="19">
        <v>0</v>
      </c>
      <c r="DA223" s="17"/>
      <c r="DB223" s="17"/>
      <c r="DC223" s="19">
        <v>100</v>
      </c>
      <c r="DD223" s="17"/>
      <c r="DE223" s="17">
        <v>2958465</v>
      </c>
      <c r="DF223" s="17"/>
      <c r="DG223" s="17"/>
      <c r="DH223" s="19">
        <v>0</v>
      </c>
      <c r="DI223" s="19">
        <v>0</v>
      </c>
    </row>
    <row r="224" spans="1:113" x14ac:dyDescent="0.2">
      <c r="A224" s="14" t="s">
        <v>2315</v>
      </c>
      <c r="B224" s="16" t="s">
        <v>1828</v>
      </c>
      <c r="C224" s="14" t="s">
        <v>158</v>
      </c>
      <c r="D224" s="14" t="s">
        <v>159</v>
      </c>
      <c r="E224" s="14" t="s">
        <v>158</v>
      </c>
      <c r="F224" s="14" t="s">
        <v>2044</v>
      </c>
      <c r="G224" s="14" t="s">
        <v>2045</v>
      </c>
      <c r="H224" s="14" t="s">
        <v>204</v>
      </c>
      <c r="I224" s="14" t="s">
        <v>205</v>
      </c>
      <c r="J224" s="16">
        <f>COUNTIF($I$3:I224, I224)</f>
        <v>49</v>
      </c>
      <c r="K224" s="14" t="s">
        <v>2048</v>
      </c>
      <c r="L224" s="14" t="s">
        <v>2048</v>
      </c>
      <c r="M224" s="14" t="s">
        <v>2048</v>
      </c>
      <c r="N224" s="14" t="s">
        <v>2048</v>
      </c>
      <c r="O224" s="14" t="s">
        <v>3488</v>
      </c>
      <c r="P224" s="14" t="s">
        <v>3489</v>
      </c>
      <c r="Q224" s="14" t="s">
        <v>72</v>
      </c>
      <c r="R224" s="14" t="s">
        <v>2048</v>
      </c>
      <c r="S224" s="14" t="s">
        <v>2048</v>
      </c>
      <c r="T224" s="14" t="s">
        <v>2048</v>
      </c>
      <c r="U224" s="14" t="s">
        <v>2048</v>
      </c>
      <c r="V224" s="14" t="s">
        <v>2050</v>
      </c>
      <c r="W224" s="14" t="s">
        <v>2048</v>
      </c>
      <c r="X224" s="14" t="s">
        <v>2048</v>
      </c>
      <c r="Y224" s="14" t="s">
        <v>2048</v>
      </c>
      <c r="Z224" s="14" t="s">
        <v>2048</v>
      </c>
      <c r="AA224" s="14" t="s">
        <v>2048</v>
      </c>
      <c r="AB224" s="14" t="s">
        <v>140</v>
      </c>
      <c r="AC224" s="14" t="s">
        <v>151</v>
      </c>
      <c r="AD224" s="14" t="s">
        <v>77</v>
      </c>
      <c r="AE224" s="14" t="s">
        <v>2054</v>
      </c>
      <c r="AF224" s="14" t="s">
        <v>2055</v>
      </c>
      <c r="AG224" s="14" t="s">
        <v>2055</v>
      </c>
      <c r="AH224" s="14" t="s">
        <v>2055</v>
      </c>
      <c r="AI224" s="14" t="s">
        <v>2057</v>
      </c>
      <c r="AJ224" s="14" t="s">
        <v>87</v>
      </c>
      <c r="AK224" s="14" t="s">
        <v>2048</v>
      </c>
      <c r="AL224" s="14" t="s">
        <v>2048</v>
      </c>
      <c r="AM224" s="14" t="s">
        <v>2048</v>
      </c>
      <c r="AN224" s="14" t="s">
        <v>2318</v>
      </c>
      <c r="AO224" s="17" t="s">
        <v>89</v>
      </c>
      <c r="AP224" s="14" t="s">
        <v>2135</v>
      </c>
      <c r="AQ224" s="14" t="s">
        <v>2059</v>
      </c>
      <c r="AR224" s="14" t="s">
        <v>2405</v>
      </c>
      <c r="AS224" s="14" t="s">
        <v>2406</v>
      </c>
      <c r="AT224" s="14" t="s">
        <v>72</v>
      </c>
      <c r="AU224" s="14" t="s">
        <v>2350</v>
      </c>
      <c r="AV224" s="14" t="s">
        <v>2351</v>
      </c>
      <c r="AW224" s="14" t="s">
        <v>2048</v>
      </c>
      <c r="AX224" s="14" t="s">
        <v>2048</v>
      </c>
      <c r="AY224" s="14" t="s">
        <v>204</v>
      </c>
      <c r="AZ224" s="14" t="s">
        <v>1385</v>
      </c>
      <c r="BA224" s="14" t="s">
        <v>2407</v>
      </c>
      <c r="BB224" s="14" t="s">
        <v>2048</v>
      </c>
      <c r="BC224" s="14" t="s">
        <v>2048</v>
      </c>
      <c r="BD224" s="14" t="s">
        <v>2325</v>
      </c>
      <c r="BE224" s="14" t="s">
        <v>2326</v>
      </c>
      <c r="BF224" s="14" t="s">
        <v>2325</v>
      </c>
      <c r="BG224" s="14" t="s">
        <v>2326</v>
      </c>
      <c r="BH224" s="14" t="s">
        <v>2327</v>
      </c>
      <c r="BI224" s="14" t="s">
        <v>2287</v>
      </c>
      <c r="BJ224" s="14" t="s">
        <v>2048</v>
      </c>
      <c r="BK224" s="14" t="s">
        <v>2048</v>
      </c>
      <c r="BL224" s="14" t="s">
        <v>2064</v>
      </c>
      <c r="BM224" s="14" t="s">
        <v>72</v>
      </c>
      <c r="BN224" s="14" t="s">
        <v>72</v>
      </c>
      <c r="BO224" s="14" t="s">
        <v>3490</v>
      </c>
      <c r="BP224" s="14" t="s">
        <v>2329</v>
      </c>
      <c r="BQ224" s="14" t="s">
        <v>2330</v>
      </c>
      <c r="BR224" s="14" t="s">
        <v>2331</v>
      </c>
      <c r="BS224" s="14" t="s">
        <v>2131</v>
      </c>
      <c r="BT224" s="14" t="s">
        <v>2048</v>
      </c>
      <c r="BU224" s="14" t="s">
        <v>2048</v>
      </c>
      <c r="BV224" s="14" t="s">
        <v>2048</v>
      </c>
      <c r="BW224" s="14" t="s">
        <v>2048</v>
      </c>
      <c r="BX224" s="14" t="s">
        <v>72</v>
      </c>
      <c r="BY224" s="14" t="s">
        <v>2048</v>
      </c>
      <c r="BZ224" s="14" t="s">
        <v>2048</v>
      </c>
      <c r="CA224" s="14" t="s">
        <v>2048</v>
      </c>
      <c r="CB224" s="14" t="s">
        <v>2048</v>
      </c>
      <c r="CC224" s="14" t="s">
        <v>2048</v>
      </c>
      <c r="CD224" s="14" t="s">
        <v>2048</v>
      </c>
      <c r="CE224" s="14" t="s">
        <v>2048</v>
      </c>
      <c r="CF224" s="14" t="s">
        <v>2048</v>
      </c>
      <c r="CG224" s="14" t="s">
        <v>2068</v>
      </c>
      <c r="CH224" s="14" t="s">
        <v>2069</v>
      </c>
      <c r="CI224" s="14" t="s">
        <v>2048</v>
      </c>
      <c r="CJ224" s="17"/>
      <c r="CK224" s="17">
        <v>45637</v>
      </c>
      <c r="CL224" s="17">
        <v>45637</v>
      </c>
      <c r="CM224" s="17">
        <v>2958465</v>
      </c>
      <c r="CN224" s="17"/>
      <c r="CO224" s="19">
        <v>0</v>
      </c>
      <c r="CP224" s="19">
        <v>0</v>
      </c>
      <c r="CQ224" s="19">
        <v>0</v>
      </c>
      <c r="CR224" s="19">
        <v>0</v>
      </c>
      <c r="CS224" s="19">
        <v>0</v>
      </c>
      <c r="CT224" s="19">
        <v>0</v>
      </c>
      <c r="CU224" s="19">
        <v>0</v>
      </c>
      <c r="CV224" s="17"/>
      <c r="CW224" s="19">
        <v>0</v>
      </c>
      <c r="CX224" s="17"/>
      <c r="CY224" s="17"/>
      <c r="CZ224" s="19">
        <v>0</v>
      </c>
      <c r="DA224" s="17"/>
      <c r="DB224" s="17"/>
      <c r="DC224" s="19">
        <v>100</v>
      </c>
      <c r="DD224" s="17"/>
      <c r="DE224" s="17">
        <v>2958465</v>
      </c>
      <c r="DF224" s="17"/>
      <c r="DG224" s="17"/>
      <c r="DH224" s="19">
        <v>0</v>
      </c>
      <c r="DI224" s="19">
        <v>0</v>
      </c>
    </row>
    <row r="225" spans="1:113" x14ac:dyDescent="0.2">
      <c r="A225" s="14" t="s">
        <v>2315</v>
      </c>
      <c r="B225" s="16" t="s">
        <v>1818</v>
      </c>
      <c r="C225" s="14" t="s">
        <v>158</v>
      </c>
      <c r="D225" s="14" t="s">
        <v>159</v>
      </c>
      <c r="E225" s="14" t="s">
        <v>158</v>
      </c>
      <c r="F225" s="14" t="s">
        <v>2044</v>
      </c>
      <c r="G225" s="14" t="s">
        <v>2045</v>
      </c>
      <c r="H225" s="14" t="s">
        <v>204</v>
      </c>
      <c r="I225" s="14" t="s">
        <v>205</v>
      </c>
      <c r="J225" s="16">
        <f>COUNTIF($I$3:I225, I225)</f>
        <v>50</v>
      </c>
      <c r="K225" s="14" t="s">
        <v>2048</v>
      </c>
      <c r="L225" s="14" t="s">
        <v>2048</v>
      </c>
      <c r="M225" s="14" t="s">
        <v>2048</v>
      </c>
      <c r="N225" s="14" t="s">
        <v>2048</v>
      </c>
      <c r="O225" s="14" t="s">
        <v>3491</v>
      </c>
      <c r="P225" s="14" t="s">
        <v>3492</v>
      </c>
      <c r="Q225" s="14" t="s">
        <v>72</v>
      </c>
      <c r="R225" s="14" t="s">
        <v>2048</v>
      </c>
      <c r="S225" s="14" t="s">
        <v>2048</v>
      </c>
      <c r="T225" s="14" t="s">
        <v>2048</v>
      </c>
      <c r="U225" s="14" t="s">
        <v>2048</v>
      </c>
      <c r="V225" s="14" t="s">
        <v>2050</v>
      </c>
      <c r="W225" s="14" t="s">
        <v>2048</v>
      </c>
      <c r="X225" s="14" t="s">
        <v>2048</v>
      </c>
      <c r="Y225" s="14" t="s">
        <v>2048</v>
      </c>
      <c r="Z225" s="14" t="s">
        <v>2048</v>
      </c>
      <c r="AA225" s="14" t="s">
        <v>2048</v>
      </c>
      <c r="AB225" s="14" t="s">
        <v>140</v>
      </c>
      <c r="AC225" s="14" t="s">
        <v>151</v>
      </c>
      <c r="AD225" s="14" t="s">
        <v>77</v>
      </c>
      <c r="AE225" s="14" t="s">
        <v>2054</v>
      </c>
      <c r="AF225" s="14" t="s">
        <v>2055</v>
      </c>
      <c r="AG225" s="14" t="s">
        <v>2055</v>
      </c>
      <c r="AH225" s="14" t="s">
        <v>2055</v>
      </c>
      <c r="AI225" s="14" t="s">
        <v>2057</v>
      </c>
      <c r="AJ225" s="14" t="s">
        <v>87</v>
      </c>
      <c r="AK225" s="14" t="s">
        <v>2048</v>
      </c>
      <c r="AL225" s="14" t="s">
        <v>2048</v>
      </c>
      <c r="AM225" s="14" t="s">
        <v>2048</v>
      </c>
      <c r="AN225" s="14" t="s">
        <v>3493</v>
      </c>
      <c r="AO225" s="17" t="s">
        <v>89</v>
      </c>
      <c r="AP225" s="14" t="s">
        <v>2135</v>
      </c>
      <c r="AQ225" s="14" t="s">
        <v>2059</v>
      </c>
      <c r="AR225" s="14" t="s">
        <v>3494</v>
      </c>
      <c r="AS225" s="14" t="s">
        <v>3495</v>
      </c>
      <c r="AT225" s="14" t="s">
        <v>72</v>
      </c>
      <c r="AU225" s="14" t="s">
        <v>2337</v>
      </c>
      <c r="AV225" s="14" t="s">
        <v>2338</v>
      </c>
      <c r="AW225" s="14" t="s">
        <v>2048</v>
      </c>
      <c r="AX225" s="14" t="s">
        <v>2048</v>
      </c>
      <c r="AY225" s="14" t="s">
        <v>204</v>
      </c>
      <c r="AZ225" s="14" t="s">
        <v>1628</v>
      </c>
      <c r="BA225" s="14" t="s">
        <v>2361</v>
      </c>
      <c r="BB225" s="14" t="s">
        <v>2048</v>
      </c>
      <c r="BC225" s="14" t="s">
        <v>2048</v>
      </c>
      <c r="BD225" s="14" t="s">
        <v>2325</v>
      </c>
      <c r="BE225" s="14" t="s">
        <v>2326</v>
      </c>
      <c r="BF225" s="14" t="s">
        <v>2340</v>
      </c>
      <c r="BG225" s="14" t="s">
        <v>2341</v>
      </c>
      <c r="BH225" s="14" t="s">
        <v>2362</v>
      </c>
      <c r="BI225" s="14" t="s">
        <v>2287</v>
      </c>
      <c r="BJ225" s="14" t="s">
        <v>2048</v>
      </c>
      <c r="BK225" s="14" t="s">
        <v>2048</v>
      </c>
      <c r="BL225" s="14" t="s">
        <v>2064</v>
      </c>
      <c r="BM225" s="14" t="s">
        <v>72</v>
      </c>
      <c r="BN225" s="14" t="s">
        <v>72</v>
      </c>
      <c r="BO225" s="14" t="s">
        <v>3496</v>
      </c>
      <c r="BP225" s="14" t="s">
        <v>2329</v>
      </c>
      <c r="BQ225" s="14" t="s">
        <v>2330</v>
      </c>
      <c r="BR225" s="14" t="s">
        <v>2331</v>
      </c>
      <c r="BS225" s="14" t="s">
        <v>2131</v>
      </c>
      <c r="BT225" s="14" t="s">
        <v>2048</v>
      </c>
      <c r="BU225" s="14" t="s">
        <v>2048</v>
      </c>
      <c r="BV225" s="14" t="s">
        <v>2048</v>
      </c>
      <c r="BW225" s="14" t="s">
        <v>2048</v>
      </c>
      <c r="BX225" s="14" t="s">
        <v>72</v>
      </c>
      <c r="BY225" s="14" t="s">
        <v>2048</v>
      </c>
      <c r="BZ225" s="14" t="s">
        <v>2048</v>
      </c>
      <c r="CA225" s="14" t="s">
        <v>2048</v>
      </c>
      <c r="CB225" s="14" t="s">
        <v>2048</v>
      </c>
      <c r="CC225" s="14" t="s">
        <v>2048</v>
      </c>
      <c r="CD225" s="14" t="s">
        <v>2048</v>
      </c>
      <c r="CE225" s="14" t="s">
        <v>2048</v>
      </c>
      <c r="CF225" s="14" t="s">
        <v>2048</v>
      </c>
      <c r="CG225" s="14" t="s">
        <v>2068</v>
      </c>
      <c r="CH225" s="14" t="s">
        <v>2069</v>
      </c>
      <c r="CI225" s="14" t="s">
        <v>2048</v>
      </c>
      <c r="CJ225" s="17"/>
      <c r="CK225" s="17">
        <v>45637</v>
      </c>
      <c r="CL225" s="17">
        <v>45637</v>
      </c>
      <c r="CM225" s="17">
        <v>2958465</v>
      </c>
      <c r="CN225" s="17"/>
      <c r="CO225" s="19">
        <v>0</v>
      </c>
      <c r="CP225" s="19">
        <v>0</v>
      </c>
      <c r="CQ225" s="19">
        <v>0</v>
      </c>
      <c r="CR225" s="19">
        <v>0</v>
      </c>
      <c r="CS225" s="19">
        <v>0</v>
      </c>
      <c r="CT225" s="19">
        <v>0</v>
      </c>
      <c r="CU225" s="19">
        <v>0</v>
      </c>
      <c r="CV225" s="17"/>
      <c r="CW225" s="19">
        <v>0</v>
      </c>
      <c r="CX225" s="17"/>
      <c r="CY225" s="17"/>
      <c r="CZ225" s="19">
        <v>0</v>
      </c>
      <c r="DA225" s="17"/>
      <c r="DB225" s="17"/>
      <c r="DC225" s="19">
        <v>100</v>
      </c>
      <c r="DD225" s="17"/>
      <c r="DE225" s="17">
        <v>2958465</v>
      </c>
      <c r="DF225" s="17"/>
      <c r="DG225" s="17"/>
      <c r="DH225" s="19">
        <v>0</v>
      </c>
      <c r="DI225" s="19">
        <v>0</v>
      </c>
    </row>
    <row r="226" spans="1:113" x14ac:dyDescent="0.2">
      <c r="A226" s="14" t="s">
        <v>2315</v>
      </c>
      <c r="B226" s="16" t="s">
        <v>1838</v>
      </c>
      <c r="C226" s="14" t="s">
        <v>158</v>
      </c>
      <c r="D226" s="14" t="s">
        <v>159</v>
      </c>
      <c r="E226" s="14" t="s">
        <v>158</v>
      </c>
      <c r="F226" s="14" t="s">
        <v>2044</v>
      </c>
      <c r="G226" s="14" t="s">
        <v>2045</v>
      </c>
      <c r="H226" s="14" t="s">
        <v>204</v>
      </c>
      <c r="I226" s="14" t="s">
        <v>205</v>
      </c>
      <c r="J226" s="16">
        <f>COUNTIF($I$3:I226, I226)</f>
        <v>51</v>
      </c>
      <c r="K226" s="14" t="s">
        <v>2048</v>
      </c>
      <c r="L226" s="14" t="s">
        <v>2048</v>
      </c>
      <c r="M226" s="14" t="s">
        <v>2048</v>
      </c>
      <c r="N226" s="14" t="s">
        <v>2048</v>
      </c>
      <c r="O226" s="14" t="s">
        <v>3497</v>
      </c>
      <c r="P226" s="14" t="s">
        <v>3498</v>
      </c>
      <c r="Q226" s="14" t="s">
        <v>72</v>
      </c>
      <c r="R226" s="14" t="s">
        <v>2048</v>
      </c>
      <c r="S226" s="14" t="s">
        <v>2048</v>
      </c>
      <c r="T226" s="14" t="s">
        <v>2048</v>
      </c>
      <c r="U226" s="14" t="s">
        <v>2048</v>
      </c>
      <c r="V226" s="14" t="s">
        <v>2050</v>
      </c>
      <c r="W226" s="14" t="s">
        <v>2048</v>
      </c>
      <c r="X226" s="14" t="s">
        <v>2048</v>
      </c>
      <c r="Y226" s="14" t="s">
        <v>2048</v>
      </c>
      <c r="Z226" s="14" t="s">
        <v>2048</v>
      </c>
      <c r="AA226" s="14" t="s">
        <v>2048</v>
      </c>
      <c r="AB226" s="14" t="s">
        <v>140</v>
      </c>
      <c r="AC226" s="14" t="s">
        <v>151</v>
      </c>
      <c r="AD226" s="14" t="s">
        <v>2132</v>
      </c>
      <c r="AE226" s="14" t="s">
        <v>2133</v>
      </c>
      <c r="AF226" s="14" t="s">
        <v>2055</v>
      </c>
      <c r="AG226" s="14" t="s">
        <v>2055</v>
      </c>
      <c r="AH226" s="14" t="s">
        <v>2055</v>
      </c>
      <c r="AI226" s="14" t="s">
        <v>2057</v>
      </c>
      <c r="AJ226" s="14" t="s">
        <v>87</v>
      </c>
      <c r="AK226" s="14" t="s">
        <v>2048</v>
      </c>
      <c r="AL226" s="14" t="s">
        <v>2048</v>
      </c>
      <c r="AM226" s="14" t="s">
        <v>2048</v>
      </c>
      <c r="AN226" s="14" t="s">
        <v>2374</v>
      </c>
      <c r="AO226" s="17" t="s">
        <v>89</v>
      </c>
      <c r="AP226" s="14" t="s">
        <v>2135</v>
      </c>
      <c r="AQ226" s="14" t="s">
        <v>236</v>
      </c>
      <c r="AR226" s="14" t="s">
        <v>2060</v>
      </c>
      <c r="AS226" s="14" t="s">
        <v>2048</v>
      </c>
      <c r="AT226" s="14" t="s">
        <v>72</v>
      </c>
      <c r="AU226" s="14" t="s">
        <v>2376</v>
      </c>
      <c r="AV226" s="14" t="s">
        <v>2377</v>
      </c>
      <c r="AW226" s="14" t="s">
        <v>2048</v>
      </c>
      <c r="AX226" s="14" t="s">
        <v>2048</v>
      </c>
      <c r="AY226" s="14" t="s">
        <v>204</v>
      </c>
      <c r="AZ226" s="14" t="s">
        <v>230</v>
      </c>
      <c r="BA226" s="14" t="s">
        <v>2378</v>
      </c>
      <c r="BB226" s="14" t="s">
        <v>2048</v>
      </c>
      <c r="BC226" s="14" t="s">
        <v>2048</v>
      </c>
      <c r="BD226" s="14" t="s">
        <v>2379</v>
      </c>
      <c r="BE226" s="14" t="s">
        <v>2380</v>
      </c>
      <c r="BF226" s="14" t="s">
        <v>2048</v>
      </c>
      <c r="BG226" s="14" t="s">
        <v>2048</v>
      </c>
      <c r="BH226" s="14" t="s">
        <v>2381</v>
      </c>
      <c r="BI226" s="14" t="s">
        <v>2382</v>
      </c>
      <c r="BJ226" s="14" t="s">
        <v>2048</v>
      </c>
      <c r="BK226" s="14" t="s">
        <v>2048</v>
      </c>
      <c r="BL226" s="14" t="s">
        <v>2064</v>
      </c>
      <c r="BM226" s="14" t="s">
        <v>72</v>
      </c>
      <c r="BN226" s="14" t="s">
        <v>72</v>
      </c>
      <c r="BO226" s="14" t="s">
        <v>3499</v>
      </c>
      <c r="BP226" s="14" t="s">
        <v>2048</v>
      </c>
      <c r="BQ226" s="14" t="s">
        <v>2048</v>
      </c>
      <c r="BR226" s="14" t="s">
        <v>2331</v>
      </c>
      <c r="BS226" s="14" t="s">
        <v>2131</v>
      </c>
      <c r="BT226" s="14" t="s">
        <v>2048</v>
      </c>
      <c r="BU226" s="14" t="s">
        <v>2048</v>
      </c>
      <c r="BV226" s="14" t="s">
        <v>2048</v>
      </c>
      <c r="BW226" s="14" t="s">
        <v>2048</v>
      </c>
      <c r="BX226" s="14" t="s">
        <v>72</v>
      </c>
      <c r="BY226" s="14" t="s">
        <v>2048</v>
      </c>
      <c r="BZ226" s="14" t="s">
        <v>2048</v>
      </c>
      <c r="CA226" s="14" t="s">
        <v>2048</v>
      </c>
      <c r="CB226" s="14" t="s">
        <v>2048</v>
      </c>
      <c r="CC226" s="14" t="s">
        <v>2048</v>
      </c>
      <c r="CD226" s="14" t="s">
        <v>2048</v>
      </c>
      <c r="CE226" s="14" t="s">
        <v>2048</v>
      </c>
      <c r="CF226" s="14" t="s">
        <v>2048</v>
      </c>
      <c r="CG226" s="14" t="s">
        <v>2068</v>
      </c>
      <c r="CH226" s="14" t="s">
        <v>2069</v>
      </c>
      <c r="CI226" s="14" t="s">
        <v>2048</v>
      </c>
      <c r="CJ226" s="17"/>
      <c r="CK226" s="17">
        <v>45637</v>
      </c>
      <c r="CL226" s="17">
        <v>45637</v>
      </c>
      <c r="CM226" s="17">
        <v>2958465</v>
      </c>
      <c r="CN226" s="17"/>
      <c r="CO226" s="19">
        <v>0</v>
      </c>
      <c r="CP226" s="19">
        <v>0</v>
      </c>
      <c r="CQ226" s="19">
        <v>0</v>
      </c>
      <c r="CR226" s="19">
        <v>0</v>
      </c>
      <c r="CS226" s="19">
        <v>0</v>
      </c>
      <c r="CT226" s="19">
        <v>0</v>
      </c>
      <c r="CU226" s="19">
        <v>0</v>
      </c>
      <c r="CV226" s="17"/>
      <c r="CW226" s="19">
        <v>0</v>
      </c>
      <c r="CX226" s="17"/>
      <c r="CY226" s="17"/>
      <c r="CZ226" s="19">
        <v>0</v>
      </c>
      <c r="DA226" s="17"/>
      <c r="DB226" s="17"/>
      <c r="DC226" s="19">
        <v>100</v>
      </c>
      <c r="DD226" s="17"/>
      <c r="DE226" s="17">
        <v>2958465</v>
      </c>
      <c r="DF226" s="17"/>
      <c r="DG226" s="17"/>
      <c r="DH226" s="19">
        <v>0</v>
      </c>
      <c r="DI226" s="19">
        <v>0</v>
      </c>
    </row>
    <row r="227" spans="1:113" x14ac:dyDescent="0.2">
      <c r="A227" s="14" t="s">
        <v>2315</v>
      </c>
      <c r="B227" s="16" t="s">
        <v>1773</v>
      </c>
      <c r="C227" s="14" t="s">
        <v>158</v>
      </c>
      <c r="D227" s="14" t="s">
        <v>159</v>
      </c>
      <c r="E227" s="14" t="s">
        <v>158</v>
      </c>
      <c r="F227" s="14" t="s">
        <v>2044</v>
      </c>
      <c r="G227" s="14" t="s">
        <v>2045</v>
      </c>
      <c r="H227" s="14" t="s">
        <v>204</v>
      </c>
      <c r="I227" s="14" t="s">
        <v>205</v>
      </c>
      <c r="J227" s="16">
        <f>COUNTIF($I$3:I227, I227)</f>
        <v>52</v>
      </c>
      <c r="K227" s="14" t="s">
        <v>2048</v>
      </c>
      <c r="L227" s="14" t="s">
        <v>2048</v>
      </c>
      <c r="M227" s="14" t="s">
        <v>2048</v>
      </c>
      <c r="N227" s="14" t="s">
        <v>2048</v>
      </c>
      <c r="O227" s="14" t="s">
        <v>3500</v>
      </c>
      <c r="P227" s="14" t="s">
        <v>3501</v>
      </c>
      <c r="Q227" s="14" t="s">
        <v>72</v>
      </c>
      <c r="R227" s="14" t="s">
        <v>2048</v>
      </c>
      <c r="S227" s="14" t="s">
        <v>2048</v>
      </c>
      <c r="T227" s="14" t="s">
        <v>2048</v>
      </c>
      <c r="U227" s="14" t="s">
        <v>2048</v>
      </c>
      <c r="V227" s="14" t="s">
        <v>2050</v>
      </c>
      <c r="W227" s="14" t="s">
        <v>2048</v>
      </c>
      <c r="X227" s="14" t="s">
        <v>2048</v>
      </c>
      <c r="Y227" s="14" t="s">
        <v>2048</v>
      </c>
      <c r="Z227" s="14" t="s">
        <v>2048</v>
      </c>
      <c r="AA227" s="14" t="s">
        <v>2048</v>
      </c>
      <c r="AB227" s="14" t="s">
        <v>140</v>
      </c>
      <c r="AC227" s="14" t="s">
        <v>151</v>
      </c>
      <c r="AD227" s="14" t="s">
        <v>77</v>
      </c>
      <c r="AE227" s="14" t="s">
        <v>2054</v>
      </c>
      <c r="AF227" s="14" t="s">
        <v>2055</v>
      </c>
      <c r="AG227" s="14" t="s">
        <v>2055</v>
      </c>
      <c r="AH227" s="14" t="s">
        <v>2055</v>
      </c>
      <c r="AI227" s="14" t="s">
        <v>2057</v>
      </c>
      <c r="AJ227" s="14" t="s">
        <v>87</v>
      </c>
      <c r="AK227" s="14" t="s">
        <v>2048</v>
      </c>
      <c r="AL227" s="14" t="s">
        <v>2048</v>
      </c>
      <c r="AM227" s="14" t="s">
        <v>2048</v>
      </c>
      <c r="AN227" s="14" t="s">
        <v>2318</v>
      </c>
      <c r="AO227" s="17" t="s">
        <v>89</v>
      </c>
      <c r="AP227" s="14" t="s">
        <v>2135</v>
      </c>
      <c r="AQ227" s="14" t="s">
        <v>3502</v>
      </c>
      <c r="AR227" s="14" t="s">
        <v>2796</v>
      </c>
      <c r="AS227" s="14" t="s">
        <v>2797</v>
      </c>
      <c r="AT227" s="14" t="s">
        <v>72</v>
      </c>
      <c r="AU227" s="14" t="s">
        <v>2796</v>
      </c>
      <c r="AV227" s="14" t="s">
        <v>2797</v>
      </c>
      <c r="AW227" s="14" t="s">
        <v>2048</v>
      </c>
      <c r="AX227" s="14" t="s">
        <v>2048</v>
      </c>
      <c r="AY227" s="14" t="s">
        <v>204</v>
      </c>
      <c r="AZ227" s="14" t="s">
        <v>232</v>
      </c>
      <c r="BA227" s="14" t="s">
        <v>2324</v>
      </c>
      <c r="BB227" s="14" t="s">
        <v>2048</v>
      </c>
      <c r="BC227" s="14" t="s">
        <v>2048</v>
      </c>
      <c r="BD227" s="14" t="s">
        <v>2325</v>
      </c>
      <c r="BE227" s="14" t="s">
        <v>2326</v>
      </c>
      <c r="BF227" s="14" t="s">
        <v>2325</v>
      </c>
      <c r="BG227" s="14" t="s">
        <v>2326</v>
      </c>
      <c r="BH227" s="14" t="s">
        <v>2327</v>
      </c>
      <c r="BI227" s="14" t="s">
        <v>2287</v>
      </c>
      <c r="BJ227" s="14" t="s">
        <v>2048</v>
      </c>
      <c r="BK227" s="14" t="s">
        <v>2048</v>
      </c>
      <c r="BL227" s="14" t="s">
        <v>2064</v>
      </c>
      <c r="BM227" s="14" t="s">
        <v>72</v>
      </c>
      <c r="BN227" s="14" t="s">
        <v>72</v>
      </c>
      <c r="BO227" s="14" t="s">
        <v>3503</v>
      </c>
      <c r="BP227" s="14" t="s">
        <v>2329</v>
      </c>
      <c r="BQ227" s="14" t="s">
        <v>2330</v>
      </c>
      <c r="BR227" s="14" t="s">
        <v>2331</v>
      </c>
      <c r="BS227" s="14" t="s">
        <v>2131</v>
      </c>
      <c r="BT227" s="14" t="s">
        <v>2048</v>
      </c>
      <c r="BU227" s="14" t="s">
        <v>2048</v>
      </c>
      <c r="BV227" s="14" t="s">
        <v>2048</v>
      </c>
      <c r="BW227" s="14" t="s">
        <v>2048</v>
      </c>
      <c r="BX227" s="14" t="s">
        <v>72</v>
      </c>
      <c r="BY227" s="14" t="s">
        <v>2048</v>
      </c>
      <c r="BZ227" s="14" t="s">
        <v>2048</v>
      </c>
      <c r="CA227" s="14" t="s">
        <v>2048</v>
      </c>
      <c r="CB227" s="14" t="s">
        <v>2048</v>
      </c>
      <c r="CC227" s="14" t="s">
        <v>2048</v>
      </c>
      <c r="CD227" s="14" t="s">
        <v>2048</v>
      </c>
      <c r="CE227" s="14" t="s">
        <v>2048</v>
      </c>
      <c r="CF227" s="14" t="s">
        <v>2048</v>
      </c>
      <c r="CG227" s="14" t="s">
        <v>2068</v>
      </c>
      <c r="CH227" s="14" t="s">
        <v>2069</v>
      </c>
      <c r="CI227" s="14" t="s">
        <v>2048</v>
      </c>
      <c r="CJ227" s="17"/>
      <c r="CK227" s="17">
        <v>45637</v>
      </c>
      <c r="CL227" s="17">
        <v>45637</v>
      </c>
      <c r="CM227" s="17">
        <v>2958465</v>
      </c>
      <c r="CN227" s="17"/>
      <c r="CO227" s="19">
        <v>0</v>
      </c>
      <c r="CP227" s="19">
        <v>0</v>
      </c>
      <c r="CQ227" s="19">
        <v>0</v>
      </c>
      <c r="CR227" s="19">
        <v>0</v>
      </c>
      <c r="CS227" s="19">
        <v>0</v>
      </c>
      <c r="CT227" s="19">
        <v>0</v>
      </c>
      <c r="CU227" s="19">
        <v>0</v>
      </c>
      <c r="CV227" s="17"/>
      <c r="CW227" s="19">
        <v>0</v>
      </c>
      <c r="CX227" s="17"/>
      <c r="CY227" s="17"/>
      <c r="CZ227" s="19">
        <v>0</v>
      </c>
      <c r="DA227" s="17"/>
      <c r="DB227" s="17"/>
      <c r="DC227" s="19">
        <v>100</v>
      </c>
      <c r="DD227" s="17"/>
      <c r="DE227" s="17">
        <v>2958465</v>
      </c>
      <c r="DF227" s="17"/>
      <c r="DG227" s="17"/>
      <c r="DH227" s="19">
        <v>0</v>
      </c>
      <c r="DI227" s="19">
        <v>0</v>
      </c>
    </row>
    <row r="228" spans="1:113" x14ac:dyDescent="0.2">
      <c r="A228" s="14" t="s">
        <v>2315</v>
      </c>
      <c r="B228" s="16" t="s">
        <v>1777</v>
      </c>
      <c r="C228" s="14" t="s">
        <v>158</v>
      </c>
      <c r="D228" s="14" t="s">
        <v>159</v>
      </c>
      <c r="E228" s="14" t="s">
        <v>158</v>
      </c>
      <c r="F228" s="14" t="s">
        <v>2044</v>
      </c>
      <c r="G228" s="14" t="s">
        <v>2045</v>
      </c>
      <c r="H228" s="14" t="s">
        <v>204</v>
      </c>
      <c r="I228" s="14" t="s">
        <v>205</v>
      </c>
      <c r="J228" s="16">
        <f>COUNTIF($I$3:I228, I228)</f>
        <v>53</v>
      </c>
      <c r="K228" s="14" t="s">
        <v>2048</v>
      </c>
      <c r="L228" s="14" t="s">
        <v>2048</v>
      </c>
      <c r="M228" s="14" t="s">
        <v>2048</v>
      </c>
      <c r="N228" s="14" t="s">
        <v>2048</v>
      </c>
      <c r="O228" s="14" t="s">
        <v>3504</v>
      </c>
      <c r="P228" s="14" t="s">
        <v>3505</v>
      </c>
      <c r="Q228" s="14" t="s">
        <v>72</v>
      </c>
      <c r="R228" s="14" t="s">
        <v>2048</v>
      </c>
      <c r="S228" s="14" t="s">
        <v>2048</v>
      </c>
      <c r="T228" s="14" t="s">
        <v>2048</v>
      </c>
      <c r="U228" s="14" t="s">
        <v>2048</v>
      </c>
      <c r="V228" s="14" t="s">
        <v>2050</v>
      </c>
      <c r="W228" s="14" t="s">
        <v>2048</v>
      </c>
      <c r="X228" s="14" t="s">
        <v>2048</v>
      </c>
      <c r="Y228" s="14" t="s">
        <v>2048</v>
      </c>
      <c r="Z228" s="14" t="s">
        <v>2048</v>
      </c>
      <c r="AA228" s="14" t="s">
        <v>2048</v>
      </c>
      <c r="AB228" s="14" t="s">
        <v>140</v>
      </c>
      <c r="AC228" s="14" t="s">
        <v>151</v>
      </c>
      <c r="AD228" s="14" t="s">
        <v>77</v>
      </c>
      <c r="AE228" s="14" t="s">
        <v>2054</v>
      </c>
      <c r="AF228" s="14" t="s">
        <v>2055</v>
      </c>
      <c r="AG228" s="14" t="s">
        <v>2055</v>
      </c>
      <c r="AH228" s="14" t="s">
        <v>2055</v>
      </c>
      <c r="AI228" s="14" t="s">
        <v>2057</v>
      </c>
      <c r="AJ228" s="14" t="s">
        <v>87</v>
      </c>
      <c r="AK228" s="14" t="s">
        <v>2048</v>
      </c>
      <c r="AL228" s="14" t="s">
        <v>2048</v>
      </c>
      <c r="AM228" s="14" t="s">
        <v>2048</v>
      </c>
      <c r="AN228" s="14" t="s">
        <v>2318</v>
      </c>
      <c r="AO228" s="17" t="s">
        <v>89</v>
      </c>
      <c r="AP228" s="14" t="s">
        <v>2135</v>
      </c>
      <c r="AQ228" s="14" t="s">
        <v>2059</v>
      </c>
      <c r="AR228" s="14" t="s">
        <v>3506</v>
      </c>
      <c r="AS228" s="14" t="s">
        <v>3507</v>
      </c>
      <c r="AT228" s="14" t="s">
        <v>72</v>
      </c>
      <c r="AU228" s="14" t="s">
        <v>2321</v>
      </c>
      <c r="AV228" s="14" t="s">
        <v>2322</v>
      </c>
      <c r="AW228" s="14" t="s">
        <v>2048</v>
      </c>
      <c r="AX228" s="14" t="s">
        <v>2048</v>
      </c>
      <c r="AY228" s="14" t="s">
        <v>204</v>
      </c>
      <c r="AZ228" s="14" t="s">
        <v>2323</v>
      </c>
      <c r="BA228" s="14" t="s">
        <v>2324</v>
      </c>
      <c r="BB228" s="14" t="s">
        <v>2048</v>
      </c>
      <c r="BC228" s="14" t="s">
        <v>2048</v>
      </c>
      <c r="BD228" s="14" t="s">
        <v>2325</v>
      </c>
      <c r="BE228" s="14" t="s">
        <v>2326</v>
      </c>
      <c r="BF228" s="14" t="s">
        <v>2325</v>
      </c>
      <c r="BG228" s="14" t="s">
        <v>2326</v>
      </c>
      <c r="BH228" s="14" t="s">
        <v>2327</v>
      </c>
      <c r="BI228" s="14" t="s">
        <v>2287</v>
      </c>
      <c r="BJ228" s="14" t="s">
        <v>2048</v>
      </c>
      <c r="BK228" s="14" t="s">
        <v>2048</v>
      </c>
      <c r="BL228" s="14" t="s">
        <v>2064</v>
      </c>
      <c r="BM228" s="14" t="s">
        <v>72</v>
      </c>
      <c r="BN228" s="14" t="s">
        <v>72</v>
      </c>
      <c r="BO228" s="14" t="s">
        <v>3508</v>
      </c>
      <c r="BP228" s="14" t="s">
        <v>2329</v>
      </c>
      <c r="BQ228" s="14" t="s">
        <v>2330</v>
      </c>
      <c r="BR228" s="14" t="s">
        <v>2331</v>
      </c>
      <c r="BS228" s="14" t="s">
        <v>2131</v>
      </c>
      <c r="BT228" s="14" t="s">
        <v>2048</v>
      </c>
      <c r="BU228" s="14" t="s">
        <v>2048</v>
      </c>
      <c r="BV228" s="14" t="s">
        <v>2048</v>
      </c>
      <c r="BW228" s="14" t="s">
        <v>2048</v>
      </c>
      <c r="BX228" s="14" t="s">
        <v>72</v>
      </c>
      <c r="BY228" s="14" t="s">
        <v>2048</v>
      </c>
      <c r="BZ228" s="14" t="s">
        <v>2048</v>
      </c>
      <c r="CA228" s="14" t="s">
        <v>2048</v>
      </c>
      <c r="CB228" s="14" t="s">
        <v>2048</v>
      </c>
      <c r="CC228" s="14" t="s">
        <v>2048</v>
      </c>
      <c r="CD228" s="14" t="s">
        <v>2048</v>
      </c>
      <c r="CE228" s="14" t="s">
        <v>2048</v>
      </c>
      <c r="CF228" s="14" t="s">
        <v>2048</v>
      </c>
      <c r="CG228" s="14" t="s">
        <v>2068</v>
      </c>
      <c r="CH228" s="14" t="s">
        <v>2069</v>
      </c>
      <c r="CI228" s="14" t="s">
        <v>2048</v>
      </c>
      <c r="CJ228" s="17"/>
      <c r="CK228" s="17">
        <v>45637</v>
      </c>
      <c r="CL228" s="17">
        <v>45637</v>
      </c>
      <c r="CM228" s="17">
        <v>2958465</v>
      </c>
      <c r="CN228" s="17"/>
      <c r="CO228" s="19">
        <v>0</v>
      </c>
      <c r="CP228" s="19">
        <v>0</v>
      </c>
      <c r="CQ228" s="19">
        <v>0</v>
      </c>
      <c r="CR228" s="19">
        <v>0</v>
      </c>
      <c r="CS228" s="19">
        <v>0</v>
      </c>
      <c r="CT228" s="19">
        <v>0</v>
      </c>
      <c r="CU228" s="19">
        <v>0</v>
      </c>
      <c r="CV228" s="17"/>
      <c r="CW228" s="19">
        <v>0</v>
      </c>
      <c r="CX228" s="17"/>
      <c r="CY228" s="17"/>
      <c r="CZ228" s="19">
        <v>0</v>
      </c>
      <c r="DA228" s="17"/>
      <c r="DB228" s="17"/>
      <c r="DC228" s="19">
        <v>100</v>
      </c>
      <c r="DD228" s="17"/>
      <c r="DE228" s="17">
        <v>2958465</v>
      </c>
      <c r="DF228" s="17"/>
      <c r="DG228" s="17"/>
      <c r="DH228" s="19">
        <v>0</v>
      </c>
      <c r="DI228" s="19">
        <v>0</v>
      </c>
    </row>
    <row r="229" spans="1:113" x14ac:dyDescent="0.2">
      <c r="A229" s="14" t="s">
        <v>2315</v>
      </c>
      <c r="B229" s="16" t="s">
        <v>1775</v>
      </c>
      <c r="C229" s="14" t="s">
        <v>158</v>
      </c>
      <c r="D229" s="14" t="s">
        <v>159</v>
      </c>
      <c r="E229" s="14" t="s">
        <v>158</v>
      </c>
      <c r="F229" s="14" t="s">
        <v>2044</v>
      </c>
      <c r="G229" s="14" t="s">
        <v>2045</v>
      </c>
      <c r="H229" s="14" t="s">
        <v>204</v>
      </c>
      <c r="I229" s="14" t="s">
        <v>205</v>
      </c>
      <c r="J229" s="16">
        <f>COUNTIF($I$3:I229, I229)</f>
        <v>54</v>
      </c>
      <c r="K229" s="14" t="s">
        <v>2048</v>
      </c>
      <c r="L229" s="14" t="s">
        <v>2048</v>
      </c>
      <c r="M229" s="14" t="s">
        <v>2048</v>
      </c>
      <c r="N229" s="14" t="s">
        <v>2048</v>
      </c>
      <c r="O229" s="14" t="s">
        <v>3509</v>
      </c>
      <c r="P229" s="14" t="s">
        <v>3510</v>
      </c>
      <c r="Q229" s="14" t="s">
        <v>72</v>
      </c>
      <c r="R229" s="14" t="s">
        <v>2048</v>
      </c>
      <c r="S229" s="14" t="s">
        <v>2048</v>
      </c>
      <c r="T229" s="14" t="s">
        <v>2048</v>
      </c>
      <c r="U229" s="14" t="s">
        <v>2048</v>
      </c>
      <c r="V229" s="14" t="s">
        <v>2050</v>
      </c>
      <c r="W229" s="14" t="s">
        <v>2048</v>
      </c>
      <c r="X229" s="14" t="s">
        <v>2048</v>
      </c>
      <c r="Y229" s="14" t="s">
        <v>2048</v>
      </c>
      <c r="Z229" s="14" t="s">
        <v>2048</v>
      </c>
      <c r="AA229" s="14" t="s">
        <v>2048</v>
      </c>
      <c r="AB229" s="14" t="s">
        <v>140</v>
      </c>
      <c r="AC229" s="14" t="s">
        <v>151</v>
      </c>
      <c r="AD229" s="14" t="s">
        <v>77</v>
      </c>
      <c r="AE229" s="14" t="s">
        <v>2054</v>
      </c>
      <c r="AF229" s="14" t="s">
        <v>2055</v>
      </c>
      <c r="AG229" s="14" t="s">
        <v>2055</v>
      </c>
      <c r="AH229" s="14" t="s">
        <v>2055</v>
      </c>
      <c r="AI229" s="14" t="s">
        <v>2057</v>
      </c>
      <c r="AJ229" s="14" t="s">
        <v>87</v>
      </c>
      <c r="AK229" s="14" t="s">
        <v>2048</v>
      </c>
      <c r="AL229" s="14" t="s">
        <v>2048</v>
      </c>
      <c r="AM229" s="14" t="s">
        <v>2048</v>
      </c>
      <c r="AN229" s="14" t="s">
        <v>2318</v>
      </c>
      <c r="AO229" s="17" t="s">
        <v>89</v>
      </c>
      <c r="AP229" s="14" t="s">
        <v>2135</v>
      </c>
      <c r="AQ229" s="14" t="s">
        <v>2059</v>
      </c>
      <c r="AR229" s="14" t="s">
        <v>2821</v>
      </c>
      <c r="AS229" s="14" t="s">
        <v>2822</v>
      </c>
      <c r="AT229" s="14" t="s">
        <v>72</v>
      </c>
      <c r="AU229" s="14" t="s">
        <v>2350</v>
      </c>
      <c r="AV229" s="14" t="s">
        <v>2351</v>
      </c>
      <c r="AW229" s="14" t="s">
        <v>2048</v>
      </c>
      <c r="AX229" s="14" t="s">
        <v>2048</v>
      </c>
      <c r="AY229" s="14" t="s">
        <v>204</v>
      </c>
      <c r="AZ229" s="14" t="s">
        <v>232</v>
      </c>
      <c r="BA229" s="14" t="s">
        <v>2324</v>
      </c>
      <c r="BB229" s="14" t="s">
        <v>2048</v>
      </c>
      <c r="BC229" s="14" t="s">
        <v>2048</v>
      </c>
      <c r="BD229" s="14" t="s">
        <v>2325</v>
      </c>
      <c r="BE229" s="14" t="s">
        <v>2326</v>
      </c>
      <c r="BF229" s="14" t="s">
        <v>2325</v>
      </c>
      <c r="BG229" s="14" t="s">
        <v>2326</v>
      </c>
      <c r="BH229" s="14" t="s">
        <v>2327</v>
      </c>
      <c r="BI229" s="14" t="s">
        <v>2287</v>
      </c>
      <c r="BJ229" s="14" t="s">
        <v>2048</v>
      </c>
      <c r="BK229" s="14" t="s">
        <v>2048</v>
      </c>
      <c r="BL229" s="14" t="s">
        <v>2064</v>
      </c>
      <c r="BM229" s="14" t="s">
        <v>72</v>
      </c>
      <c r="BN229" s="14" t="s">
        <v>72</v>
      </c>
      <c r="BO229" s="14" t="s">
        <v>3511</v>
      </c>
      <c r="BP229" s="14" t="s">
        <v>2329</v>
      </c>
      <c r="BQ229" s="14" t="s">
        <v>2330</v>
      </c>
      <c r="BR229" s="14" t="s">
        <v>2331</v>
      </c>
      <c r="BS229" s="14" t="s">
        <v>2131</v>
      </c>
      <c r="BT229" s="14" t="s">
        <v>2048</v>
      </c>
      <c r="BU229" s="14" t="s">
        <v>2048</v>
      </c>
      <c r="BV229" s="14" t="s">
        <v>2048</v>
      </c>
      <c r="BW229" s="14" t="s">
        <v>2048</v>
      </c>
      <c r="BX229" s="14" t="s">
        <v>72</v>
      </c>
      <c r="BY229" s="14" t="s">
        <v>2048</v>
      </c>
      <c r="BZ229" s="14" t="s">
        <v>2048</v>
      </c>
      <c r="CA229" s="14" t="s">
        <v>2048</v>
      </c>
      <c r="CB229" s="14" t="s">
        <v>2048</v>
      </c>
      <c r="CC229" s="14" t="s">
        <v>2048</v>
      </c>
      <c r="CD229" s="14" t="s">
        <v>2048</v>
      </c>
      <c r="CE229" s="14" t="s">
        <v>2048</v>
      </c>
      <c r="CF229" s="14" t="s">
        <v>2048</v>
      </c>
      <c r="CG229" s="14" t="s">
        <v>2068</v>
      </c>
      <c r="CH229" s="14" t="s">
        <v>2069</v>
      </c>
      <c r="CI229" s="14" t="s">
        <v>2048</v>
      </c>
      <c r="CJ229" s="17"/>
      <c r="CK229" s="17">
        <v>45637</v>
      </c>
      <c r="CL229" s="17">
        <v>45637</v>
      </c>
      <c r="CM229" s="17">
        <v>2958465</v>
      </c>
      <c r="CN229" s="17"/>
      <c r="CO229" s="19">
        <v>0</v>
      </c>
      <c r="CP229" s="19">
        <v>0</v>
      </c>
      <c r="CQ229" s="19">
        <v>0</v>
      </c>
      <c r="CR229" s="19">
        <v>0</v>
      </c>
      <c r="CS229" s="19">
        <v>0</v>
      </c>
      <c r="CT229" s="19">
        <v>0</v>
      </c>
      <c r="CU229" s="19">
        <v>0</v>
      </c>
      <c r="CV229" s="17"/>
      <c r="CW229" s="19">
        <v>0</v>
      </c>
      <c r="CX229" s="17"/>
      <c r="CY229" s="17"/>
      <c r="CZ229" s="19">
        <v>0</v>
      </c>
      <c r="DA229" s="17"/>
      <c r="DB229" s="17"/>
      <c r="DC229" s="19">
        <v>100</v>
      </c>
      <c r="DD229" s="17"/>
      <c r="DE229" s="17">
        <v>2958465</v>
      </c>
      <c r="DF229" s="17"/>
      <c r="DG229" s="17"/>
      <c r="DH229" s="19">
        <v>0</v>
      </c>
      <c r="DI229" s="19">
        <v>0</v>
      </c>
    </row>
    <row r="230" spans="1:113" x14ac:dyDescent="0.2">
      <c r="A230" s="14" t="s">
        <v>2315</v>
      </c>
      <c r="B230" s="16" t="s">
        <v>1815</v>
      </c>
      <c r="C230" s="14" t="s">
        <v>158</v>
      </c>
      <c r="D230" s="14" t="s">
        <v>159</v>
      </c>
      <c r="E230" s="14" t="s">
        <v>158</v>
      </c>
      <c r="F230" s="14" t="s">
        <v>2044</v>
      </c>
      <c r="G230" s="14" t="s">
        <v>2045</v>
      </c>
      <c r="H230" s="14" t="s">
        <v>204</v>
      </c>
      <c r="I230" s="14" t="s">
        <v>205</v>
      </c>
      <c r="J230" s="16">
        <f>COUNTIF($I$3:I230, I230)</f>
        <v>55</v>
      </c>
      <c r="K230" s="14" t="s">
        <v>2048</v>
      </c>
      <c r="L230" s="14" t="s">
        <v>2048</v>
      </c>
      <c r="M230" s="14" t="s">
        <v>2048</v>
      </c>
      <c r="N230" s="14" t="s">
        <v>2048</v>
      </c>
      <c r="O230" s="14" t="s">
        <v>3512</v>
      </c>
      <c r="P230" s="14" t="s">
        <v>3513</v>
      </c>
      <c r="Q230" s="14" t="s">
        <v>72</v>
      </c>
      <c r="R230" s="14" t="s">
        <v>2048</v>
      </c>
      <c r="S230" s="14" t="s">
        <v>2048</v>
      </c>
      <c r="T230" s="14" t="s">
        <v>2048</v>
      </c>
      <c r="U230" s="14" t="s">
        <v>2048</v>
      </c>
      <c r="V230" s="14" t="s">
        <v>2050</v>
      </c>
      <c r="W230" s="14" t="s">
        <v>2048</v>
      </c>
      <c r="X230" s="14" t="s">
        <v>2048</v>
      </c>
      <c r="Y230" s="14" t="s">
        <v>2048</v>
      </c>
      <c r="Z230" s="14" t="s">
        <v>2048</v>
      </c>
      <c r="AA230" s="14" t="s">
        <v>2048</v>
      </c>
      <c r="AB230" s="14" t="s">
        <v>140</v>
      </c>
      <c r="AC230" s="14" t="s">
        <v>151</v>
      </c>
      <c r="AD230" s="14" t="s">
        <v>77</v>
      </c>
      <c r="AE230" s="14" t="s">
        <v>2054</v>
      </c>
      <c r="AF230" s="14" t="s">
        <v>2055</v>
      </c>
      <c r="AG230" s="14" t="s">
        <v>2055</v>
      </c>
      <c r="AH230" s="14" t="s">
        <v>2055</v>
      </c>
      <c r="AI230" s="14" t="s">
        <v>2057</v>
      </c>
      <c r="AJ230" s="14" t="s">
        <v>87</v>
      </c>
      <c r="AK230" s="14" t="s">
        <v>2048</v>
      </c>
      <c r="AL230" s="14" t="s">
        <v>2048</v>
      </c>
      <c r="AM230" s="14" t="s">
        <v>2048</v>
      </c>
      <c r="AN230" s="14" t="s">
        <v>2318</v>
      </c>
      <c r="AO230" s="17" t="s">
        <v>89</v>
      </c>
      <c r="AP230" s="14" t="s">
        <v>2135</v>
      </c>
      <c r="AQ230" s="14" t="s">
        <v>2059</v>
      </c>
      <c r="AR230" s="14" t="s">
        <v>3514</v>
      </c>
      <c r="AS230" s="14" t="s">
        <v>3515</v>
      </c>
      <c r="AT230" s="14" t="s">
        <v>72</v>
      </c>
      <c r="AU230" s="14" t="s">
        <v>2386</v>
      </c>
      <c r="AV230" s="14" t="s">
        <v>2387</v>
      </c>
      <c r="AW230" s="14" t="s">
        <v>2048</v>
      </c>
      <c r="AX230" s="14" t="s">
        <v>2048</v>
      </c>
      <c r="AY230" s="14" t="s">
        <v>204</v>
      </c>
      <c r="AZ230" s="14" t="s">
        <v>2323</v>
      </c>
      <c r="BA230" s="14" t="s">
        <v>2324</v>
      </c>
      <c r="BB230" s="14" t="s">
        <v>2048</v>
      </c>
      <c r="BC230" s="14" t="s">
        <v>2048</v>
      </c>
      <c r="BD230" s="14" t="s">
        <v>2325</v>
      </c>
      <c r="BE230" s="14" t="s">
        <v>2326</v>
      </c>
      <c r="BF230" s="14" t="s">
        <v>2325</v>
      </c>
      <c r="BG230" s="14" t="s">
        <v>2326</v>
      </c>
      <c r="BH230" s="14" t="s">
        <v>2327</v>
      </c>
      <c r="BI230" s="14" t="s">
        <v>2287</v>
      </c>
      <c r="BJ230" s="14" t="s">
        <v>2048</v>
      </c>
      <c r="BK230" s="14" t="s">
        <v>2048</v>
      </c>
      <c r="BL230" s="14" t="s">
        <v>2064</v>
      </c>
      <c r="BM230" s="14" t="s">
        <v>72</v>
      </c>
      <c r="BN230" s="14" t="s">
        <v>72</v>
      </c>
      <c r="BO230" s="14" t="s">
        <v>3516</v>
      </c>
      <c r="BP230" s="14" t="s">
        <v>2329</v>
      </c>
      <c r="BQ230" s="14" t="s">
        <v>2330</v>
      </c>
      <c r="BR230" s="14" t="s">
        <v>2331</v>
      </c>
      <c r="BS230" s="14" t="s">
        <v>2131</v>
      </c>
      <c r="BT230" s="14" t="s">
        <v>2048</v>
      </c>
      <c r="BU230" s="14" t="s">
        <v>2048</v>
      </c>
      <c r="BV230" s="14" t="s">
        <v>2048</v>
      </c>
      <c r="BW230" s="14" t="s">
        <v>2048</v>
      </c>
      <c r="BX230" s="14" t="s">
        <v>72</v>
      </c>
      <c r="BY230" s="14" t="s">
        <v>2048</v>
      </c>
      <c r="BZ230" s="14" t="s">
        <v>2048</v>
      </c>
      <c r="CA230" s="14" t="s">
        <v>2048</v>
      </c>
      <c r="CB230" s="14" t="s">
        <v>2048</v>
      </c>
      <c r="CC230" s="14" t="s">
        <v>2048</v>
      </c>
      <c r="CD230" s="14" t="s">
        <v>2048</v>
      </c>
      <c r="CE230" s="14" t="s">
        <v>2048</v>
      </c>
      <c r="CF230" s="14" t="s">
        <v>2048</v>
      </c>
      <c r="CG230" s="14" t="s">
        <v>2068</v>
      </c>
      <c r="CH230" s="14" t="s">
        <v>2069</v>
      </c>
      <c r="CI230" s="14" t="s">
        <v>2048</v>
      </c>
      <c r="CJ230" s="17"/>
      <c r="CK230" s="17">
        <v>45637</v>
      </c>
      <c r="CL230" s="17">
        <v>45637</v>
      </c>
      <c r="CM230" s="17">
        <v>2958465</v>
      </c>
      <c r="CN230" s="17"/>
      <c r="CO230" s="19">
        <v>0</v>
      </c>
      <c r="CP230" s="19">
        <v>0</v>
      </c>
      <c r="CQ230" s="19">
        <v>0</v>
      </c>
      <c r="CR230" s="19">
        <v>0</v>
      </c>
      <c r="CS230" s="19">
        <v>0</v>
      </c>
      <c r="CT230" s="19">
        <v>0</v>
      </c>
      <c r="CU230" s="19">
        <v>0</v>
      </c>
      <c r="CV230" s="17"/>
      <c r="CW230" s="19">
        <v>0</v>
      </c>
      <c r="CX230" s="17"/>
      <c r="CY230" s="17"/>
      <c r="CZ230" s="19">
        <v>0</v>
      </c>
      <c r="DA230" s="17"/>
      <c r="DB230" s="17"/>
      <c r="DC230" s="19">
        <v>100</v>
      </c>
      <c r="DD230" s="17"/>
      <c r="DE230" s="17">
        <v>2958465</v>
      </c>
      <c r="DF230" s="17"/>
      <c r="DG230" s="17"/>
      <c r="DH230" s="19">
        <v>0</v>
      </c>
      <c r="DI230" s="19">
        <v>0</v>
      </c>
    </row>
    <row r="231" spans="1:113" x14ac:dyDescent="0.2">
      <c r="A231" s="14"/>
      <c r="B231" s="16" t="s">
        <v>339</v>
      </c>
      <c r="C231" s="14" t="s">
        <v>158</v>
      </c>
      <c r="D231" s="14" t="s">
        <v>159</v>
      </c>
      <c r="E231" s="14" t="s">
        <v>158</v>
      </c>
      <c r="F231" s="14" t="s">
        <v>2044</v>
      </c>
      <c r="G231" s="14" t="s">
        <v>2045</v>
      </c>
      <c r="H231" s="14" t="s">
        <v>336</v>
      </c>
      <c r="I231" s="14" t="s">
        <v>337</v>
      </c>
      <c r="J231" s="16">
        <f>COUNTIF($I$3:I231, I231)</f>
        <v>14</v>
      </c>
      <c r="K231" s="14" t="s">
        <v>2048</v>
      </c>
      <c r="L231" s="14" t="s">
        <v>2048</v>
      </c>
      <c r="M231" s="14" t="s">
        <v>2048</v>
      </c>
      <c r="N231" s="14"/>
      <c r="O231" s="14" t="s">
        <v>3517</v>
      </c>
      <c r="P231" s="14" t="s">
        <v>72</v>
      </c>
      <c r="Q231" s="14" t="s">
        <v>72</v>
      </c>
      <c r="R231" s="14" t="s">
        <v>2048</v>
      </c>
      <c r="S231" s="14"/>
      <c r="T231" s="14" t="s">
        <v>200</v>
      </c>
      <c r="U231" s="14" t="s">
        <v>2049</v>
      </c>
      <c r="V231" s="14" t="s">
        <v>2050</v>
      </c>
      <c r="W231" s="14" t="s">
        <v>2051</v>
      </c>
      <c r="X231" s="14" t="s">
        <v>2048</v>
      </c>
      <c r="Y231" s="14" t="s">
        <v>2048</v>
      </c>
      <c r="Z231" s="14" t="s">
        <v>2048</v>
      </c>
      <c r="AA231" s="14" t="s">
        <v>2048</v>
      </c>
      <c r="AB231" s="14" t="s">
        <v>85</v>
      </c>
      <c r="AC231" s="14" t="s">
        <v>340</v>
      </c>
      <c r="AD231" s="14" t="s">
        <v>2132</v>
      </c>
      <c r="AE231" s="14" t="s">
        <v>2133</v>
      </c>
      <c r="AF231" s="14" t="s">
        <v>2055</v>
      </c>
      <c r="AG231" s="14" t="s">
        <v>2055</v>
      </c>
      <c r="AH231" s="14" t="s">
        <v>2055</v>
      </c>
      <c r="AI231" s="14" t="s">
        <v>2057</v>
      </c>
      <c r="AJ231" s="14" t="s">
        <v>87</v>
      </c>
      <c r="AK231" s="14" t="s">
        <v>2048</v>
      </c>
      <c r="AL231" s="14" t="s">
        <v>2048</v>
      </c>
      <c r="AM231" s="14" t="s">
        <v>2048</v>
      </c>
      <c r="AN231" s="14" t="s">
        <v>3518</v>
      </c>
      <c r="AO231" s="17" t="s">
        <v>89</v>
      </c>
      <c r="AP231" s="14" t="s">
        <v>172</v>
      </c>
      <c r="AQ231" s="14" t="s">
        <v>2059</v>
      </c>
      <c r="AR231" s="14" t="s">
        <v>3519</v>
      </c>
      <c r="AS231" s="14" t="s">
        <v>3520</v>
      </c>
      <c r="AT231" s="14" t="s">
        <v>2105</v>
      </c>
      <c r="AU231" s="14" t="s">
        <v>3519</v>
      </c>
      <c r="AV231" s="14" t="s">
        <v>3520</v>
      </c>
      <c r="AW231" s="14" t="s">
        <v>2048</v>
      </c>
      <c r="AX231" s="14" t="s">
        <v>2048</v>
      </c>
      <c r="AY231" s="14" t="s">
        <v>336</v>
      </c>
      <c r="AZ231" s="14" t="s">
        <v>341</v>
      </c>
      <c r="BA231" s="14" t="s">
        <v>3521</v>
      </c>
      <c r="BB231" s="14" t="s">
        <v>2048</v>
      </c>
      <c r="BC231" s="14" t="s">
        <v>2061</v>
      </c>
      <c r="BD231" s="14" t="s">
        <v>2080</v>
      </c>
      <c r="BE231" s="14" t="s">
        <v>2081</v>
      </c>
      <c r="BF231" s="14" t="s">
        <v>3522</v>
      </c>
      <c r="BG231" s="14" t="s">
        <v>3523</v>
      </c>
      <c r="BH231" s="14" t="s">
        <v>3524</v>
      </c>
      <c r="BI231" s="14" t="s">
        <v>2085</v>
      </c>
      <c r="BJ231" s="14" t="s">
        <v>2051</v>
      </c>
      <c r="BK231" s="14" t="s">
        <v>2048</v>
      </c>
      <c r="BL231" s="14" t="s">
        <v>2064</v>
      </c>
      <c r="BM231" s="14" t="s">
        <v>72</v>
      </c>
      <c r="BN231" s="14" t="s">
        <v>72</v>
      </c>
      <c r="BO231" s="14" t="s">
        <v>3525</v>
      </c>
      <c r="BP231" s="14" t="s">
        <v>3526</v>
      </c>
      <c r="BQ231" s="14" t="s">
        <v>3527</v>
      </c>
      <c r="BR231" s="14" t="s">
        <v>172</v>
      </c>
      <c r="BS231" s="14" t="s">
        <v>2131</v>
      </c>
      <c r="BT231" s="14" t="s">
        <v>2048</v>
      </c>
      <c r="BU231" s="14" t="s">
        <v>2048</v>
      </c>
      <c r="BV231" s="14" t="s">
        <v>2048</v>
      </c>
      <c r="BW231" s="14" t="s">
        <v>2051</v>
      </c>
      <c r="BX231" s="14" t="s">
        <v>2048</v>
      </c>
      <c r="BY231" s="14" t="s">
        <v>2048</v>
      </c>
      <c r="BZ231" s="14" t="s">
        <v>2048</v>
      </c>
      <c r="CA231" s="14" t="s">
        <v>2048</v>
      </c>
      <c r="CB231" s="14" t="s">
        <v>2048</v>
      </c>
      <c r="CC231" s="14" t="s">
        <v>2048</v>
      </c>
      <c r="CD231" s="14" t="s">
        <v>2048</v>
      </c>
      <c r="CE231" s="14" t="s">
        <v>2048</v>
      </c>
      <c r="CF231" s="14" t="s">
        <v>2048</v>
      </c>
      <c r="CG231" s="14" t="s">
        <v>2068</v>
      </c>
      <c r="CH231" s="14" t="s">
        <v>2069</v>
      </c>
      <c r="CI231" s="14" t="s">
        <v>2048</v>
      </c>
      <c r="CJ231" s="17"/>
      <c r="CK231" s="17">
        <v>43435</v>
      </c>
      <c r="CL231" s="17">
        <v>43435</v>
      </c>
      <c r="CM231" s="17">
        <v>2958465</v>
      </c>
      <c r="CN231" s="17"/>
      <c r="CO231" s="19">
        <v>0</v>
      </c>
      <c r="CP231" s="19">
        <v>0</v>
      </c>
      <c r="CQ231" s="19">
        <v>0</v>
      </c>
      <c r="CR231" s="19">
        <v>0</v>
      </c>
      <c r="CS231" s="19">
        <v>0</v>
      </c>
      <c r="CT231" s="19">
        <v>0</v>
      </c>
      <c r="CU231" s="19">
        <v>0</v>
      </c>
      <c r="CV231" s="17"/>
      <c r="CW231" s="19">
        <v>0</v>
      </c>
      <c r="CX231" s="17"/>
      <c r="CY231" s="17"/>
      <c r="CZ231" s="19">
        <v>0</v>
      </c>
      <c r="DA231" s="17"/>
      <c r="DB231" s="17"/>
      <c r="DC231" s="19">
        <v>100</v>
      </c>
      <c r="DD231" s="17"/>
      <c r="DE231" s="17">
        <v>2958465</v>
      </c>
      <c r="DF231" s="17"/>
      <c r="DG231" s="17"/>
      <c r="DH231" s="19">
        <v>0</v>
      </c>
      <c r="DI231" s="19">
        <v>0</v>
      </c>
    </row>
    <row r="232" spans="1:113" x14ac:dyDescent="0.2">
      <c r="A232" s="14"/>
      <c r="B232" s="16" t="s">
        <v>346</v>
      </c>
      <c r="C232" s="14" t="s">
        <v>158</v>
      </c>
      <c r="D232" s="14" t="s">
        <v>159</v>
      </c>
      <c r="E232" s="14" t="s">
        <v>158</v>
      </c>
      <c r="F232" s="14" t="s">
        <v>2044</v>
      </c>
      <c r="G232" s="14" t="s">
        <v>2045</v>
      </c>
      <c r="H232" s="14" t="s">
        <v>190</v>
      </c>
      <c r="I232" s="14" t="s">
        <v>191</v>
      </c>
      <c r="J232" s="16">
        <f>COUNTIF($I$3:I232, I232)</f>
        <v>14</v>
      </c>
      <c r="K232" s="14" t="s">
        <v>2048</v>
      </c>
      <c r="L232" s="14" t="s">
        <v>2048</v>
      </c>
      <c r="M232" s="14" t="s">
        <v>2048</v>
      </c>
      <c r="N232" s="14"/>
      <c r="O232" s="14" t="s">
        <v>3528</v>
      </c>
      <c r="P232" s="14" t="s">
        <v>347</v>
      </c>
      <c r="Q232" s="14" t="s">
        <v>72</v>
      </c>
      <c r="R232" s="14" t="s">
        <v>2048</v>
      </c>
      <c r="S232" s="14"/>
      <c r="T232" s="14" t="s">
        <v>200</v>
      </c>
      <c r="U232" s="14" t="s">
        <v>2049</v>
      </c>
      <c r="V232" s="14" t="s">
        <v>2050</v>
      </c>
      <c r="W232" s="14" t="s">
        <v>2051</v>
      </c>
      <c r="X232" s="14" t="s">
        <v>2048</v>
      </c>
      <c r="Y232" s="14" t="s">
        <v>2048</v>
      </c>
      <c r="Z232" s="14" t="s">
        <v>2048</v>
      </c>
      <c r="AA232" s="14" t="s">
        <v>2048</v>
      </c>
      <c r="AB232" s="14" t="s">
        <v>85</v>
      </c>
      <c r="AC232" s="14" t="s">
        <v>340</v>
      </c>
      <c r="AD232" s="14" t="s">
        <v>2132</v>
      </c>
      <c r="AE232" s="14" t="s">
        <v>2133</v>
      </c>
      <c r="AF232" s="14" t="s">
        <v>2055</v>
      </c>
      <c r="AG232" s="14" t="s">
        <v>2055</v>
      </c>
      <c r="AH232" s="14" t="s">
        <v>2055</v>
      </c>
      <c r="AI232" s="14" t="s">
        <v>2057</v>
      </c>
      <c r="AJ232" s="14" t="s">
        <v>87</v>
      </c>
      <c r="AK232" s="14" t="s">
        <v>2048</v>
      </c>
      <c r="AL232" s="14" t="s">
        <v>2048</v>
      </c>
      <c r="AM232" s="14" t="s">
        <v>2048</v>
      </c>
      <c r="AN232" s="14" t="s">
        <v>2318</v>
      </c>
      <c r="AO232" s="17" t="s">
        <v>89</v>
      </c>
      <c r="AP232" s="14" t="s">
        <v>77</v>
      </c>
      <c r="AQ232" s="14" t="s">
        <v>2059</v>
      </c>
      <c r="AR232" s="14" t="s">
        <v>3529</v>
      </c>
      <c r="AS232" s="14" t="s">
        <v>3530</v>
      </c>
      <c r="AT232" s="14" t="s">
        <v>2061</v>
      </c>
      <c r="AU232" s="14" t="s">
        <v>2430</v>
      </c>
      <c r="AV232" s="14" t="s">
        <v>2431</v>
      </c>
      <c r="AW232" s="14" t="s">
        <v>2048</v>
      </c>
      <c r="AX232" s="14" t="s">
        <v>2048</v>
      </c>
      <c r="AY232" s="14" t="s">
        <v>190</v>
      </c>
      <c r="AZ232" s="14" t="s">
        <v>345</v>
      </c>
      <c r="BA232" s="14" t="s">
        <v>3063</v>
      </c>
      <c r="BB232" s="14" t="s">
        <v>2048</v>
      </c>
      <c r="BC232" s="14" t="s">
        <v>2061</v>
      </c>
      <c r="BD232" s="14" t="s">
        <v>2433</v>
      </c>
      <c r="BE232" s="14" t="s">
        <v>2434</v>
      </c>
      <c r="BF232" s="14" t="s">
        <v>2048</v>
      </c>
      <c r="BG232" s="14" t="s">
        <v>2048</v>
      </c>
      <c r="BH232" s="14" t="s">
        <v>3064</v>
      </c>
      <c r="BI232" s="14" t="s">
        <v>2287</v>
      </c>
      <c r="BJ232" s="14" t="s">
        <v>2051</v>
      </c>
      <c r="BK232" s="14" t="s">
        <v>2048</v>
      </c>
      <c r="BL232" s="14" t="s">
        <v>2064</v>
      </c>
      <c r="BM232" s="14" t="s">
        <v>72</v>
      </c>
      <c r="BN232" s="14" t="s">
        <v>72</v>
      </c>
      <c r="BO232" s="14" t="s">
        <v>2048</v>
      </c>
      <c r="BP232" s="14" t="s">
        <v>2457</v>
      </c>
      <c r="BQ232" s="14" t="s">
        <v>2458</v>
      </c>
      <c r="BR232" s="14" t="s">
        <v>172</v>
      </c>
      <c r="BS232" s="14" t="s">
        <v>2131</v>
      </c>
      <c r="BT232" s="14" t="s">
        <v>2048</v>
      </c>
      <c r="BU232" s="14" t="s">
        <v>2048</v>
      </c>
      <c r="BV232" s="14" t="s">
        <v>2048</v>
      </c>
      <c r="BW232" s="14" t="s">
        <v>2051</v>
      </c>
      <c r="BX232" s="14" t="s">
        <v>72</v>
      </c>
      <c r="BY232" s="14" t="s">
        <v>2048</v>
      </c>
      <c r="BZ232" s="14" t="s">
        <v>2048</v>
      </c>
      <c r="CA232" s="14" t="s">
        <v>2048</v>
      </c>
      <c r="CB232" s="14" t="s">
        <v>2048</v>
      </c>
      <c r="CC232" s="14" t="s">
        <v>2048</v>
      </c>
      <c r="CD232" s="14" t="s">
        <v>2048</v>
      </c>
      <c r="CE232" s="14" t="s">
        <v>2048</v>
      </c>
      <c r="CF232" s="14" t="s">
        <v>2048</v>
      </c>
      <c r="CG232" s="14" t="s">
        <v>2068</v>
      </c>
      <c r="CH232" s="14" t="s">
        <v>2069</v>
      </c>
      <c r="CI232" s="14" t="s">
        <v>2048</v>
      </c>
      <c r="CJ232" s="17"/>
      <c r="CK232" s="17">
        <v>43140</v>
      </c>
      <c r="CL232" s="17">
        <v>45489</v>
      </c>
      <c r="CM232" s="17">
        <v>2958465</v>
      </c>
      <c r="CN232" s="17"/>
      <c r="CO232" s="19">
        <v>0</v>
      </c>
      <c r="CP232" s="19">
        <v>0</v>
      </c>
      <c r="CQ232" s="19">
        <v>0</v>
      </c>
      <c r="CR232" s="19">
        <v>0</v>
      </c>
      <c r="CS232" s="19">
        <v>0</v>
      </c>
      <c r="CT232" s="19">
        <v>0</v>
      </c>
      <c r="CU232" s="19">
        <v>0</v>
      </c>
      <c r="CV232" s="17"/>
      <c r="CW232" s="19">
        <v>0</v>
      </c>
      <c r="CX232" s="17"/>
      <c r="CY232" s="17"/>
      <c r="CZ232" s="19">
        <v>0</v>
      </c>
      <c r="DA232" s="17"/>
      <c r="DB232" s="17"/>
      <c r="DC232" s="19">
        <v>100</v>
      </c>
      <c r="DD232" s="17"/>
      <c r="DE232" s="17">
        <v>2958465</v>
      </c>
      <c r="DF232" s="17"/>
      <c r="DG232" s="17"/>
      <c r="DH232" s="19">
        <v>0</v>
      </c>
      <c r="DI232" s="19">
        <v>0</v>
      </c>
    </row>
    <row r="233" spans="1:113" x14ac:dyDescent="0.2">
      <c r="A233" s="14"/>
      <c r="B233" s="16" t="s">
        <v>1421</v>
      </c>
      <c r="C233" s="14" t="s">
        <v>158</v>
      </c>
      <c r="D233" s="14" t="s">
        <v>159</v>
      </c>
      <c r="E233" s="14" t="s">
        <v>158</v>
      </c>
      <c r="F233" s="14" t="s">
        <v>2044</v>
      </c>
      <c r="G233" s="14" t="s">
        <v>2045</v>
      </c>
      <c r="H233" s="14" t="s">
        <v>336</v>
      </c>
      <c r="I233" s="14" t="s">
        <v>337</v>
      </c>
      <c r="J233" s="16">
        <f>COUNTIF($I$3:I233, I233)</f>
        <v>15</v>
      </c>
      <c r="K233" s="14" t="s">
        <v>2048</v>
      </c>
      <c r="L233" s="14" t="s">
        <v>2048</v>
      </c>
      <c r="M233" s="14" t="s">
        <v>2048</v>
      </c>
      <c r="N233" s="14"/>
      <c r="O233" s="14" t="s">
        <v>3531</v>
      </c>
      <c r="P233" s="14" t="s">
        <v>72</v>
      </c>
      <c r="Q233" s="14" t="s">
        <v>72</v>
      </c>
      <c r="R233" s="14" t="s">
        <v>2048</v>
      </c>
      <c r="S233" s="14"/>
      <c r="T233" s="14" t="s">
        <v>200</v>
      </c>
      <c r="U233" s="14" t="s">
        <v>2049</v>
      </c>
      <c r="V233" s="14" t="s">
        <v>2050</v>
      </c>
      <c r="W233" s="14" t="s">
        <v>2051</v>
      </c>
      <c r="X233" s="14" t="s">
        <v>2048</v>
      </c>
      <c r="Y233" s="14" t="s">
        <v>2048</v>
      </c>
      <c r="Z233" s="14" t="s">
        <v>2048</v>
      </c>
      <c r="AA233" s="14" t="s">
        <v>2048</v>
      </c>
      <c r="AB233" s="14" t="s">
        <v>85</v>
      </c>
      <c r="AC233" s="14" t="s">
        <v>340</v>
      </c>
      <c r="AD233" s="14" t="s">
        <v>2132</v>
      </c>
      <c r="AE233" s="14" t="s">
        <v>2133</v>
      </c>
      <c r="AF233" s="14" t="s">
        <v>2055</v>
      </c>
      <c r="AG233" s="14" t="s">
        <v>2055</v>
      </c>
      <c r="AH233" s="14" t="s">
        <v>2055</v>
      </c>
      <c r="AI233" s="14" t="s">
        <v>2057</v>
      </c>
      <c r="AJ233" s="14" t="s">
        <v>87</v>
      </c>
      <c r="AK233" s="14" t="s">
        <v>2048</v>
      </c>
      <c r="AL233" s="14" t="s">
        <v>2048</v>
      </c>
      <c r="AM233" s="14" t="s">
        <v>2048</v>
      </c>
      <c r="AN233" s="14" t="s">
        <v>3518</v>
      </c>
      <c r="AO233" s="17" t="s">
        <v>89</v>
      </c>
      <c r="AP233" s="14" t="s">
        <v>172</v>
      </c>
      <c r="AQ233" s="14" t="s">
        <v>3532</v>
      </c>
      <c r="AR233" s="14" t="s">
        <v>2060</v>
      </c>
      <c r="AS233" s="14" t="s">
        <v>2048</v>
      </c>
      <c r="AT233" s="14" t="s">
        <v>2061</v>
      </c>
      <c r="AU233" s="14" t="s">
        <v>3519</v>
      </c>
      <c r="AV233" s="14" t="s">
        <v>3520</v>
      </c>
      <c r="AW233" s="14" t="s">
        <v>2048</v>
      </c>
      <c r="AX233" s="14" t="s">
        <v>2048</v>
      </c>
      <c r="AY233" s="14" t="s">
        <v>336</v>
      </c>
      <c r="AZ233" s="14" t="s">
        <v>341</v>
      </c>
      <c r="BA233" s="14" t="s">
        <v>3521</v>
      </c>
      <c r="BB233" s="14" t="s">
        <v>2048</v>
      </c>
      <c r="BC233" s="14" t="s">
        <v>2061</v>
      </c>
      <c r="BD233" s="14" t="s">
        <v>2080</v>
      </c>
      <c r="BE233" s="14" t="s">
        <v>2081</v>
      </c>
      <c r="BF233" s="14" t="s">
        <v>3522</v>
      </c>
      <c r="BG233" s="14" t="s">
        <v>3523</v>
      </c>
      <c r="BH233" s="14" t="s">
        <v>3524</v>
      </c>
      <c r="BI233" s="14" t="s">
        <v>2085</v>
      </c>
      <c r="BJ233" s="14" t="s">
        <v>2051</v>
      </c>
      <c r="BK233" s="14" t="s">
        <v>2048</v>
      </c>
      <c r="BL233" s="14" t="s">
        <v>2064</v>
      </c>
      <c r="BM233" s="14" t="s">
        <v>72</v>
      </c>
      <c r="BN233" s="14" t="s">
        <v>72</v>
      </c>
      <c r="BO233" s="14" t="s">
        <v>3533</v>
      </c>
      <c r="BP233" s="14" t="s">
        <v>2048</v>
      </c>
      <c r="BQ233" s="14" t="s">
        <v>2048</v>
      </c>
      <c r="BR233" s="14" t="s">
        <v>172</v>
      </c>
      <c r="BS233" s="14" t="s">
        <v>2131</v>
      </c>
      <c r="BT233" s="14" t="s">
        <v>2048</v>
      </c>
      <c r="BU233" s="14" t="s">
        <v>2048</v>
      </c>
      <c r="BV233" s="14" t="s">
        <v>2048</v>
      </c>
      <c r="BW233" s="14" t="s">
        <v>2051</v>
      </c>
      <c r="BX233" s="14" t="s">
        <v>2048</v>
      </c>
      <c r="BY233" s="14" t="s">
        <v>2048</v>
      </c>
      <c r="BZ233" s="14" t="s">
        <v>2048</v>
      </c>
      <c r="CA233" s="14" t="s">
        <v>2048</v>
      </c>
      <c r="CB233" s="14" t="s">
        <v>2048</v>
      </c>
      <c r="CC233" s="14" t="s">
        <v>2048</v>
      </c>
      <c r="CD233" s="14" t="s">
        <v>2048</v>
      </c>
      <c r="CE233" s="14" t="s">
        <v>2048</v>
      </c>
      <c r="CF233" s="14" t="s">
        <v>2048</v>
      </c>
      <c r="CG233" s="14" t="s">
        <v>2068</v>
      </c>
      <c r="CH233" s="14" t="s">
        <v>2069</v>
      </c>
      <c r="CI233" s="14" t="s">
        <v>2048</v>
      </c>
      <c r="CJ233" s="17"/>
      <c r="CK233" s="17">
        <v>43435</v>
      </c>
      <c r="CL233" s="17">
        <v>43435</v>
      </c>
      <c r="CM233" s="17">
        <v>2958465</v>
      </c>
      <c r="CN233" s="17"/>
      <c r="CO233" s="19">
        <v>0</v>
      </c>
      <c r="CP233" s="19">
        <v>0</v>
      </c>
      <c r="CQ233" s="19">
        <v>0</v>
      </c>
      <c r="CR233" s="19">
        <v>0</v>
      </c>
      <c r="CS233" s="19">
        <v>0</v>
      </c>
      <c r="CT233" s="19">
        <v>0</v>
      </c>
      <c r="CU233" s="19">
        <v>0</v>
      </c>
      <c r="CV233" s="17"/>
      <c r="CW233" s="19">
        <v>0</v>
      </c>
      <c r="CX233" s="17"/>
      <c r="CY233" s="17"/>
      <c r="CZ233" s="19">
        <v>0</v>
      </c>
      <c r="DA233" s="17"/>
      <c r="DB233" s="17"/>
      <c r="DC233" s="19">
        <v>100</v>
      </c>
      <c r="DD233" s="17"/>
      <c r="DE233" s="17">
        <v>2958465</v>
      </c>
      <c r="DF233" s="17"/>
      <c r="DG233" s="17"/>
      <c r="DH233" s="19">
        <v>0</v>
      </c>
      <c r="DI233" s="19">
        <v>0</v>
      </c>
    </row>
    <row r="234" spans="1:113" x14ac:dyDescent="0.2">
      <c r="A234" s="14"/>
      <c r="B234" s="16" t="s">
        <v>3534</v>
      </c>
      <c r="C234" s="14" t="s">
        <v>158</v>
      </c>
      <c r="D234" s="14" t="s">
        <v>159</v>
      </c>
      <c r="E234" s="14" t="s">
        <v>158</v>
      </c>
      <c r="F234" s="14" t="s">
        <v>2044</v>
      </c>
      <c r="G234" s="14" t="s">
        <v>2045</v>
      </c>
      <c r="H234" s="14" t="s">
        <v>190</v>
      </c>
      <c r="I234" s="14" t="s">
        <v>191</v>
      </c>
      <c r="J234" s="16">
        <f>COUNTIF($I$3:I234, I234)</f>
        <v>15</v>
      </c>
      <c r="K234" s="14" t="s">
        <v>2048</v>
      </c>
      <c r="L234" s="14" t="s">
        <v>2048</v>
      </c>
      <c r="M234" s="14" t="s">
        <v>2048</v>
      </c>
      <c r="N234" s="14"/>
      <c r="O234" s="14" t="s">
        <v>3535</v>
      </c>
      <c r="P234" s="14" t="s">
        <v>3536</v>
      </c>
      <c r="Q234" s="14" t="s">
        <v>72</v>
      </c>
      <c r="R234" s="14" t="s">
        <v>2048</v>
      </c>
      <c r="S234" s="14"/>
      <c r="T234" s="14" t="s">
        <v>200</v>
      </c>
      <c r="U234" s="14" t="s">
        <v>2049</v>
      </c>
      <c r="V234" s="14" t="s">
        <v>2050</v>
      </c>
      <c r="W234" s="14" t="s">
        <v>2051</v>
      </c>
      <c r="X234" s="14" t="s">
        <v>2048</v>
      </c>
      <c r="Y234" s="14" t="s">
        <v>2048</v>
      </c>
      <c r="Z234" s="14" t="s">
        <v>2048</v>
      </c>
      <c r="AA234" s="14" t="s">
        <v>2048</v>
      </c>
      <c r="AB234" s="14" t="s">
        <v>2452</v>
      </c>
      <c r="AC234" s="14" t="s">
        <v>3537</v>
      </c>
      <c r="AD234" s="14" t="s">
        <v>2132</v>
      </c>
      <c r="AE234" s="14" t="s">
        <v>2133</v>
      </c>
      <c r="AF234" s="14" t="s">
        <v>2055</v>
      </c>
      <c r="AG234" s="14" t="s">
        <v>2055</v>
      </c>
      <c r="AH234" s="14" t="s">
        <v>2055</v>
      </c>
      <c r="AI234" s="14" t="s">
        <v>2057</v>
      </c>
      <c r="AJ234" s="14" t="s">
        <v>87</v>
      </c>
      <c r="AK234" s="14" t="s">
        <v>2048</v>
      </c>
      <c r="AL234" s="14" t="s">
        <v>2048</v>
      </c>
      <c r="AM234" s="14" t="s">
        <v>2048</v>
      </c>
      <c r="AN234" s="14" t="s">
        <v>2751</v>
      </c>
      <c r="AO234" s="17" t="s">
        <v>89</v>
      </c>
      <c r="AP234" s="14" t="s">
        <v>159</v>
      </c>
      <c r="AQ234" s="14" t="s">
        <v>2059</v>
      </c>
      <c r="AR234" s="14" t="s">
        <v>2060</v>
      </c>
      <c r="AS234" s="14" t="s">
        <v>2048</v>
      </c>
      <c r="AT234" s="14" t="s">
        <v>2105</v>
      </c>
      <c r="AU234" s="14" t="s">
        <v>2430</v>
      </c>
      <c r="AV234" s="14" t="s">
        <v>2431</v>
      </c>
      <c r="AW234" s="14" t="s">
        <v>2048</v>
      </c>
      <c r="AX234" s="14" t="s">
        <v>2048</v>
      </c>
      <c r="AY234" s="14" t="s">
        <v>190</v>
      </c>
      <c r="AZ234" s="14" t="s">
        <v>518</v>
      </c>
      <c r="BA234" s="14" t="s">
        <v>2432</v>
      </c>
      <c r="BB234" s="14" t="s">
        <v>2048</v>
      </c>
      <c r="BC234" s="14" t="s">
        <v>2061</v>
      </c>
      <c r="BD234" s="14" t="s">
        <v>2433</v>
      </c>
      <c r="BE234" s="14" t="s">
        <v>2434</v>
      </c>
      <c r="BF234" s="14" t="s">
        <v>2435</v>
      </c>
      <c r="BG234" s="14" t="s">
        <v>2436</v>
      </c>
      <c r="BH234" s="14" t="s">
        <v>2437</v>
      </c>
      <c r="BI234" s="14" t="s">
        <v>2287</v>
      </c>
      <c r="BJ234" s="14" t="s">
        <v>2051</v>
      </c>
      <c r="BK234" s="14" t="s">
        <v>2048</v>
      </c>
      <c r="BL234" s="14" t="s">
        <v>2064</v>
      </c>
      <c r="BM234" s="14" t="s">
        <v>72</v>
      </c>
      <c r="BN234" s="14" t="s">
        <v>72</v>
      </c>
      <c r="BO234" s="14" t="s">
        <v>3538</v>
      </c>
      <c r="BP234" s="14" t="s">
        <v>2048</v>
      </c>
      <c r="BQ234" s="14" t="s">
        <v>2048</v>
      </c>
      <c r="BR234" s="14" t="s">
        <v>159</v>
      </c>
      <c r="BS234" s="14" t="s">
        <v>2089</v>
      </c>
      <c r="BT234" s="14" t="s">
        <v>2048</v>
      </c>
      <c r="BU234" s="14" t="s">
        <v>2048</v>
      </c>
      <c r="BV234" s="14" t="s">
        <v>2048</v>
      </c>
      <c r="BW234" s="14" t="s">
        <v>2051</v>
      </c>
      <c r="BX234" s="14" t="s">
        <v>2048</v>
      </c>
      <c r="BY234" s="14" t="s">
        <v>2048</v>
      </c>
      <c r="BZ234" s="14" t="s">
        <v>2048</v>
      </c>
      <c r="CA234" s="14" t="s">
        <v>2048</v>
      </c>
      <c r="CB234" s="14" t="s">
        <v>2048</v>
      </c>
      <c r="CC234" s="14" t="s">
        <v>2048</v>
      </c>
      <c r="CD234" s="14" t="s">
        <v>2048</v>
      </c>
      <c r="CE234" s="14" t="s">
        <v>2048</v>
      </c>
      <c r="CF234" s="14" t="s">
        <v>2048</v>
      </c>
      <c r="CG234" s="14" t="s">
        <v>2121</v>
      </c>
      <c r="CH234" s="14" t="s">
        <v>2122</v>
      </c>
      <c r="CI234" s="14" t="s">
        <v>2048</v>
      </c>
      <c r="CJ234" s="17"/>
      <c r="CK234" s="17">
        <v>43899</v>
      </c>
      <c r="CL234" s="17">
        <v>45422</v>
      </c>
      <c r="CM234" s="17">
        <v>2958465</v>
      </c>
      <c r="CN234" s="17"/>
      <c r="CO234" s="19">
        <v>0</v>
      </c>
      <c r="CP234" s="19">
        <v>0</v>
      </c>
      <c r="CQ234" s="19">
        <v>0</v>
      </c>
      <c r="CR234" s="19">
        <v>0</v>
      </c>
      <c r="CS234" s="19">
        <v>0</v>
      </c>
      <c r="CT234" s="19">
        <v>0</v>
      </c>
      <c r="CU234" s="19">
        <v>0</v>
      </c>
      <c r="CV234" s="17"/>
      <c r="CW234" s="19">
        <v>0</v>
      </c>
      <c r="CX234" s="17"/>
      <c r="CY234" s="17"/>
      <c r="CZ234" s="19">
        <v>0</v>
      </c>
      <c r="DA234" s="17"/>
      <c r="DB234" s="17"/>
      <c r="DC234" s="19">
        <v>100</v>
      </c>
      <c r="DD234" s="17"/>
      <c r="DE234" s="17">
        <v>2958465</v>
      </c>
      <c r="DF234" s="17"/>
      <c r="DG234" s="17"/>
      <c r="DH234" s="19">
        <v>0</v>
      </c>
      <c r="DI234" s="19">
        <v>0</v>
      </c>
    </row>
    <row r="235" spans="1:113" x14ac:dyDescent="0.2">
      <c r="A235" s="14" t="s">
        <v>2315</v>
      </c>
      <c r="B235" s="16" t="s">
        <v>1053</v>
      </c>
      <c r="C235" s="14" t="s">
        <v>158</v>
      </c>
      <c r="D235" s="14" t="s">
        <v>159</v>
      </c>
      <c r="E235" s="14" t="s">
        <v>158</v>
      </c>
      <c r="F235" s="14" t="s">
        <v>2044</v>
      </c>
      <c r="G235" s="14" t="s">
        <v>2045</v>
      </c>
      <c r="H235" s="14" t="s">
        <v>1050</v>
      </c>
      <c r="I235" s="14" t="s">
        <v>1051</v>
      </c>
      <c r="J235" s="16">
        <f>COUNTIF($I$3:I235, I235)</f>
        <v>1</v>
      </c>
      <c r="K235" s="14" t="s">
        <v>2048</v>
      </c>
      <c r="L235" s="14" t="s">
        <v>2048</v>
      </c>
      <c r="M235" s="14" t="s">
        <v>2048</v>
      </c>
      <c r="N235" s="14" t="s">
        <v>2048</v>
      </c>
      <c r="O235" s="14" t="s">
        <v>3539</v>
      </c>
      <c r="P235" s="14" t="s">
        <v>1055</v>
      </c>
      <c r="Q235" s="14" t="s">
        <v>72</v>
      </c>
      <c r="R235" s="14" t="s">
        <v>2048</v>
      </c>
      <c r="S235" s="14" t="s">
        <v>2048</v>
      </c>
      <c r="T235" s="14" t="s">
        <v>2048</v>
      </c>
      <c r="U235" s="14" t="s">
        <v>2048</v>
      </c>
      <c r="V235" s="14" t="s">
        <v>2050</v>
      </c>
      <c r="W235" s="14" t="s">
        <v>2048</v>
      </c>
      <c r="X235" s="14" t="s">
        <v>2048</v>
      </c>
      <c r="Y235" s="14" t="s">
        <v>2048</v>
      </c>
      <c r="Z235" s="14" t="s">
        <v>2048</v>
      </c>
      <c r="AA235" s="14" t="s">
        <v>2048</v>
      </c>
      <c r="AB235" s="14" t="s">
        <v>85</v>
      </c>
      <c r="AC235" s="14" t="s">
        <v>86</v>
      </c>
      <c r="AD235" s="14" t="s">
        <v>2132</v>
      </c>
      <c r="AE235" s="14" t="s">
        <v>2133</v>
      </c>
      <c r="AF235" s="14" t="s">
        <v>2056</v>
      </c>
      <c r="AG235" s="14" t="s">
        <v>2056</v>
      </c>
      <c r="AH235" s="14" t="s">
        <v>2055</v>
      </c>
      <c r="AI235" s="14" t="s">
        <v>2057</v>
      </c>
      <c r="AJ235" s="14" t="s">
        <v>87</v>
      </c>
      <c r="AK235" s="14" t="s">
        <v>2048</v>
      </c>
      <c r="AL235" s="14" t="s">
        <v>2048</v>
      </c>
      <c r="AM235" s="14" t="s">
        <v>2048</v>
      </c>
      <c r="AN235" s="14" t="s">
        <v>3540</v>
      </c>
      <c r="AO235" s="17" t="s">
        <v>547</v>
      </c>
      <c r="AP235" s="14" t="s">
        <v>2422</v>
      </c>
      <c r="AQ235" s="14" t="s">
        <v>3541</v>
      </c>
      <c r="AR235" s="14" t="s">
        <v>3542</v>
      </c>
      <c r="AS235" s="14" t="s">
        <v>3543</v>
      </c>
      <c r="AT235" s="14" t="s">
        <v>72</v>
      </c>
      <c r="AU235" s="14" t="s">
        <v>2561</v>
      </c>
      <c r="AV235" s="14" t="s">
        <v>2562</v>
      </c>
      <c r="AW235" s="14" t="s">
        <v>2048</v>
      </c>
      <c r="AX235" s="14" t="s">
        <v>2048</v>
      </c>
      <c r="AY235" s="14" t="s">
        <v>1050</v>
      </c>
      <c r="AZ235" s="14" t="s">
        <v>1054</v>
      </c>
      <c r="BA235" s="14" t="s">
        <v>3544</v>
      </c>
      <c r="BB235" s="14" t="s">
        <v>2048</v>
      </c>
      <c r="BC235" s="14" t="s">
        <v>2048</v>
      </c>
      <c r="BD235" s="14" t="s">
        <v>2282</v>
      </c>
      <c r="BE235" s="14" t="s">
        <v>2283</v>
      </c>
      <c r="BF235" s="14" t="s">
        <v>3545</v>
      </c>
      <c r="BG235" s="14" t="s">
        <v>3546</v>
      </c>
      <c r="BH235" s="14" t="s">
        <v>3547</v>
      </c>
      <c r="BI235" s="14" t="s">
        <v>2287</v>
      </c>
      <c r="BJ235" s="14" t="s">
        <v>2048</v>
      </c>
      <c r="BK235" s="14" t="s">
        <v>2048</v>
      </c>
      <c r="BL235" s="14" t="s">
        <v>2064</v>
      </c>
      <c r="BM235" s="14" t="s">
        <v>72</v>
      </c>
      <c r="BN235" s="14" t="s">
        <v>72</v>
      </c>
      <c r="BO235" s="14" t="s">
        <v>3548</v>
      </c>
      <c r="BP235" s="14" t="s">
        <v>3549</v>
      </c>
      <c r="BQ235" s="14" t="s">
        <v>3550</v>
      </c>
      <c r="BR235" s="14" t="s">
        <v>2418</v>
      </c>
      <c r="BS235" s="14" t="s">
        <v>2089</v>
      </c>
      <c r="BT235" s="14" t="s">
        <v>2048</v>
      </c>
      <c r="BU235" s="14" t="s">
        <v>2048</v>
      </c>
      <c r="BV235" s="14" t="s">
        <v>2048</v>
      </c>
      <c r="BW235" s="14" t="s">
        <v>2048</v>
      </c>
      <c r="BX235" s="14" t="s">
        <v>72</v>
      </c>
      <c r="BY235" s="14" t="s">
        <v>2048</v>
      </c>
      <c r="BZ235" s="14" t="s">
        <v>2048</v>
      </c>
      <c r="CA235" s="14" t="s">
        <v>2048</v>
      </c>
      <c r="CB235" s="14" t="s">
        <v>2048</v>
      </c>
      <c r="CC235" s="14" t="s">
        <v>2048</v>
      </c>
      <c r="CD235" s="14" t="s">
        <v>2048</v>
      </c>
      <c r="CE235" s="14" t="s">
        <v>2048</v>
      </c>
      <c r="CF235" s="14" t="s">
        <v>2048</v>
      </c>
      <c r="CG235" s="14" t="s">
        <v>2057</v>
      </c>
      <c r="CH235" s="14" t="s">
        <v>2090</v>
      </c>
      <c r="CI235" s="14" t="s">
        <v>2048</v>
      </c>
      <c r="CJ235" s="17"/>
      <c r="CK235" s="17">
        <v>45671</v>
      </c>
      <c r="CL235" s="17">
        <v>45671</v>
      </c>
      <c r="CM235" s="17">
        <v>2958465</v>
      </c>
      <c r="CN235" s="17"/>
      <c r="CO235" s="19">
        <v>0</v>
      </c>
      <c r="CP235" s="19">
        <v>0</v>
      </c>
      <c r="CQ235" s="19">
        <v>0</v>
      </c>
      <c r="CR235" s="19">
        <v>0</v>
      </c>
      <c r="CS235" s="19">
        <v>0</v>
      </c>
      <c r="CT235" s="19">
        <v>0</v>
      </c>
      <c r="CU235" s="19">
        <v>0</v>
      </c>
      <c r="CV235" s="17"/>
      <c r="CW235" s="19">
        <v>0</v>
      </c>
      <c r="CX235" s="17"/>
      <c r="CY235" s="17"/>
      <c r="CZ235" s="19">
        <v>0</v>
      </c>
      <c r="DA235" s="17"/>
      <c r="DB235" s="17"/>
      <c r="DC235" s="19">
        <v>100</v>
      </c>
      <c r="DD235" s="17"/>
      <c r="DE235" s="17">
        <v>2958465</v>
      </c>
      <c r="DF235" s="17"/>
      <c r="DG235" s="17"/>
      <c r="DH235" s="19">
        <v>0</v>
      </c>
      <c r="DI235" s="19">
        <v>0</v>
      </c>
    </row>
    <row r="236" spans="1:113" x14ac:dyDescent="0.2">
      <c r="A236" s="14" t="s">
        <v>2315</v>
      </c>
      <c r="B236" s="16" t="s">
        <v>1061</v>
      </c>
      <c r="C236" s="14" t="s">
        <v>158</v>
      </c>
      <c r="D236" s="14" t="s">
        <v>159</v>
      </c>
      <c r="E236" s="14" t="s">
        <v>158</v>
      </c>
      <c r="F236" s="14" t="s">
        <v>2044</v>
      </c>
      <c r="G236" s="14" t="s">
        <v>2045</v>
      </c>
      <c r="H236" s="14" t="s">
        <v>1050</v>
      </c>
      <c r="I236" s="14" t="s">
        <v>1051</v>
      </c>
      <c r="J236" s="16">
        <f>COUNTIF($I$3:I236, I236)</f>
        <v>2</v>
      </c>
      <c r="K236" s="14" t="s">
        <v>2048</v>
      </c>
      <c r="L236" s="14" t="s">
        <v>2048</v>
      </c>
      <c r="M236" s="14" t="s">
        <v>2048</v>
      </c>
      <c r="N236" s="14" t="s">
        <v>2048</v>
      </c>
      <c r="O236" s="14" t="s">
        <v>3551</v>
      </c>
      <c r="P236" s="14" t="s">
        <v>1062</v>
      </c>
      <c r="Q236" s="14" t="s">
        <v>72</v>
      </c>
      <c r="R236" s="14" t="s">
        <v>2048</v>
      </c>
      <c r="S236" s="14" t="s">
        <v>2048</v>
      </c>
      <c r="T236" s="14" t="s">
        <v>2048</v>
      </c>
      <c r="U236" s="14" t="s">
        <v>2048</v>
      </c>
      <c r="V236" s="14" t="s">
        <v>2050</v>
      </c>
      <c r="W236" s="14" t="s">
        <v>2048</v>
      </c>
      <c r="X236" s="14" t="s">
        <v>2048</v>
      </c>
      <c r="Y236" s="14" t="s">
        <v>2048</v>
      </c>
      <c r="Z236" s="14" t="s">
        <v>2048</v>
      </c>
      <c r="AA236" s="14" t="s">
        <v>2048</v>
      </c>
      <c r="AB236" s="14" t="s">
        <v>85</v>
      </c>
      <c r="AC236" s="14" t="s">
        <v>86</v>
      </c>
      <c r="AD236" s="14" t="s">
        <v>2132</v>
      </c>
      <c r="AE236" s="14" t="s">
        <v>2133</v>
      </c>
      <c r="AF236" s="14" t="s">
        <v>2056</v>
      </c>
      <c r="AG236" s="14" t="s">
        <v>2056</v>
      </c>
      <c r="AH236" s="14" t="s">
        <v>2055</v>
      </c>
      <c r="AI236" s="14" t="s">
        <v>2057</v>
      </c>
      <c r="AJ236" s="14" t="s">
        <v>87</v>
      </c>
      <c r="AK236" s="14" t="s">
        <v>2048</v>
      </c>
      <c r="AL236" s="14" t="s">
        <v>2048</v>
      </c>
      <c r="AM236" s="14" t="s">
        <v>2048</v>
      </c>
      <c r="AN236" s="14" t="s">
        <v>3540</v>
      </c>
      <c r="AO236" s="17" t="s">
        <v>547</v>
      </c>
      <c r="AP236" s="14" t="s">
        <v>2422</v>
      </c>
      <c r="AQ236" s="14" t="s">
        <v>3552</v>
      </c>
      <c r="AR236" s="14" t="s">
        <v>3553</v>
      </c>
      <c r="AS236" s="14" t="s">
        <v>3554</v>
      </c>
      <c r="AT236" s="14" t="s">
        <v>72</v>
      </c>
      <c r="AU236" s="14" t="s">
        <v>2561</v>
      </c>
      <c r="AV236" s="14" t="s">
        <v>2562</v>
      </c>
      <c r="AW236" s="14" t="s">
        <v>2048</v>
      </c>
      <c r="AX236" s="14" t="s">
        <v>2048</v>
      </c>
      <c r="AY236" s="14" t="s">
        <v>1050</v>
      </c>
      <c r="AZ236" s="14" t="s">
        <v>1054</v>
      </c>
      <c r="BA236" s="14" t="s">
        <v>3544</v>
      </c>
      <c r="BB236" s="14" t="s">
        <v>2048</v>
      </c>
      <c r="BC236" s="14" t="s">
        <v>2048</v>
      </c>
      <c r="BD236" s="14" t="s">
        <v>2282</v>
      </c>
      <c r="BE236" s="14" t="s">
        <v>2283</v>
      </c>
      <c r="BF236" s="14" t="s">
        <v>3545</v>
      </c>
      <c r="BG236" s="14" t="s">
        <v>3546</v>
      </c>
      <c r="BH236" s="14" t="s">
        <v>3547</v>
      </c>
      <c r="BI236" s="14" t="s">
        <v>2287</v>
      </c>
      <c r="BJ236" s="14" t="s">
        <v>2048</v>
      </c>
      <c r="BK236" s="14" t="s">
        <v>2048</v>
      </c>
      <c r="BL236" s="14" t="s">
        <v>2064</v>
      </c>
      <c r="BM236" s="14" t="s">
        <v>72</v>
      </c>
      <c r="BN236" s="14" t="s">
        <v>72</v>
      </c>
      <c r="BO236" s="14" t="s">
        <v>3555</v>
      </c>
      <c r="BP236" s="14" t="s">
        <v>2048</v>
      </c>
      <c r="BQ236" s="14" t="s">
        <v>2048</v>
      </c>
      <c r="BR236" s="14" t="s">
        <v>2418</v>
      </c>
      <c r="BS236" s="14" t="s">
        <v>2089</v>
      </c>
      <c r="BT236" s="14" t="s">
        <v>2048</v>
      </c>
      <c r="BU236" s="14" t="s">
        <v>2048</v>
      </c>
      <c r="BV236" s="14" t="s">
        <v>2048</v>
      </c>
      <c r="BW236" s="14" t="s">
        <v>2048</v>
      </c>
      <c r="BX236" s="14" t="s">
        <v>72</v>
      </c>
      <c r="BY236" s="14" t="s">
        <v>2048</v>
      </c>
      <c r="BZ236" s="14" t="s">
        <v>2048</v>
      </c>
      <c r="CA236" s="14" t="s">
        <v>2048</v>
      </c>
      <c r="CB236" s="14" t="s">
        <v>2048</v>
      </c>
      <c r="CC236" s="14" t="s">
        <v>2048</v>
      </c>
      <c r="CD236" s="14" t="s">
        <v>2048</v>
      </c>
      <c r="CE236" s="14" t="s">
        <v>2048</v>
      </c>
      <c r="CF236" s="14" t="s">
        <v>2048</v>
      </c>
      <c r="CG236" s="14" t="s">
        <v>2057</v>
      </c>
      <c r="CH236" s="14" t="s">
        <v>2090</v>
      </c>
      <c r="CI236" s="14" t="s">
        <v>2048</v>
      </c>
      <c r="CJ236" s="17"/>
      <c r="CK236" s="17">
        <v>45671</v>
      </c>
      <c r="CL236" s="17">
        <v>45671</v>
      </c>
      <c r="CM236" s="17">
        <v>2958465</v>
      </c>
      <c r="CN236" s="17"/>
      <c r="CO236" s="19">
        <v>0</v>
      </c>
      <c r="CP236" s="19">
        <v>0</v>
      </c>
      <c r="CQ236" s="19">
        <v>0</v>
      </c>
      <c r="CR236" s="19">
        <v>0</v>
      </c>
      <c r="CS236" s="19">
        <v>0</v>
      </c>
      <c r="CT236" s="19">
        <v>0</v>
      </c>
      <c r="CU236" s="19">
        <v>0</v>
      </c>
      <c r="CV236" s="17"/>
      <c r="CW236" s="19">
        <v>0</v>
      </c>
      <c r="CX236" s="17"/>
      <c r="CY236" s="17"/>
      <c r="CZ236" s="19">
        <v>0</v>
      </c>
      <c r="DA236" s="17"/>
      <c r="DB236" s="17"/>
      <c r="DC236" s="19">
        <v>100</v>
      </c>
      <c r="DD236" s="17"/>
      <c r="DE236" s="17">
        <v>2958465</v>
      </c>
      <c r="DF236" s="17"/>
      <c r="DG236" s="17"/>
      <c r="DH236" s="19">
        <v>0</v>
      </c>
      <c r="DI236" s="19">
        <v>0</v>
      </c>
    </row>
    <row r="237" spans="1:113" x14ac:dyDescent="0.2">
      <c r="A237" s="14" t="s">
        <v>2315</v>
      </c>
      <c r="B237" s="16" t="s">
        <v>1379</v>
      </c>
      <c r="C237" s="14" t="s">
        <v>158</v>
      </c>
      <c r="D237" s="14" t="s">
        <v>159</v>
      </c>
      <c r="E237" s="14" t="s">
        <v>158</v>
      </c>
      <c r="F237" s="14" t="s">
        <v>2044</v>
      </c>
      <c r="G237" s="14" t="s">
        <v>2045</v>
      </c>
      <c r="H237" s="14" t="s">
        <v>1050</v>
      </c>
      <c r="I237" s="14" t="s">
        <v>1051</v>
      </c>
      <c r="J237" s="16">
        <f>COUNTIF($I$3:I237, I237)</f>
        <v>3</v>
      </c>
      <c r="K237" s="14" t="s">
        <v>2048</v>
      </c>
      <c r="L237" s="14" t="s">
        <v>2048</v>
      </c>
      <c r="M237" s="14" t="s">
        <v>2048</v>
      </c>
      <c r="N237" s="14" t="s">
        <v>2048</v>
      </c>
      <c r="O237" s="14" t="s">
        <v>3556</v>
      </c>
      <c r="P237" s="14" t="s">
        <v>3557</v>
      </c>
      <c r="Q237" s="14" t="s">
        <v>72</v>
      </c>
      <c r="R237" s="14" t="s">
        <v>2048</v>
      </c>
      <c r="S237" s="14" t="s">
        <v>2048</v>
      </c>
      <c r="T237" s="14" t="s">
        <v>2048</v>
      </c>
      <c r="U237" s="14" t="s">
        <v>2048</v>
      </c>
      <c r="V237" s="14" t="s">
        <v>2050</v>
      </c>
      <c r="W237" s="14" t="s">
        <v>2048</v>
      </c>
      <c r="X237" s="14" t="s">
        <v>2048</v>
      </c>
      <c r="Y237" s="14" t="s">
        <v>2048</v>
      </c>
      <c r="Z237" s="14" t="s">
        <v>2048</v>
      </c>
      <c r="AA237" s="14" t="s">
        <v>2048</v>
      </c>
      <c r="AB237" s="14" t="s">
        <v>85</v>
      </c>
      <c r="AC237" s="14" t="s">
        <v>86</v>
      </c>
      <c r="AD237" s="14" t="s">
        <v>2132</v>
      </c>
      <c r="AE237" s="14" t="s">
        <v>2133</v>
      </c>
      <c r="AF237" s="14" t="s">
        <v>2056</v>
      </c>
      <c r="AG237" s="14" t="s">
        <v>2056</v>
      </c>
      <c r="AH237" s="14" t="s">
        <v>2055</v>
      </c>
      <c r="AI237" s="14" t="s">
        <v>2057</v>
      </c>
      <c r="AJ237" s="14" t="s">
        <v>87</v>
      </c>
      <c r="AK237" s="14" t="s">
        <v>2048</v>
      </c>
      <c r="AL237" s="14" t="s">
        <v>2048</v>
      </c>
      <c r="AM237" s="14" t="s">
        <v>2048</v>
      </c>
      <c r="AN237" s="14" t="s">
        <v>3540</v>
      </c>
      <c r="AO237" s="17" t="s">
        <v>547</v>
      </c>
      <c r="AP237" s="14" t="s">
        <v>2422</v>
      </c>
      <c r="AQ237" s="14" t="s">
        <v>3558</v>
      </c>
      <c r="AR237" s="14" t="s">
        <v>3559</v>
      </c>
      <c r="AS237" s="14" t="s">
        <v>3560</v>
      </c>
      <c r="AT237" s="14" t="s">
        <v>72</v>
      </c>
      <c r="AU237" s="14" t="s">
        <v>2561</v>
      </c>
      <c r="AV237" s="14" t="s">
        <v>2562</v>
      </c>
      <c r="AW237" s="14" t="s">
        <v>2048</v>
      </c>
      <c r="AX237" s="14" t="s">
        <v>2048</v>
      </c>
      <c r="AY237" s="14" t="s">
        <v>1050</v>
      </c>
      <c r="AZ237" s="14" t="s">
        <v>1054</v>
      </c>
      <c r="BA237" s="14" t="s">
        <v>3544</v>
      </c>
      <c r="BB237" s="14" t="s">
        <v>2048</v>
      </c>
      <c r="BC237" s="14" t="s">
        <v>2048</v>
      </c>
      <c r="BD237" s="14" t="s">
        <v>2282</v>
      </c>
      <c r="BE237" s="14" t="s">
        <v>2283</v>
      </c>
      <c r="BF237" s="14" t="s">
        <v>3545</v>
      </c>
      <c r="BG237" s="14" t="s">
        <v>3546</v>
      </c>
      <c r="BH237" s="14" t="s">
        <v>3547</v>
      </c>
      <c r="BI237" s="14" t="s">
        <v>2287</v>
      </c>
      <c r="BJ237" s="14" t="s">
        <v>2048</v>
      </c>
      <c r="BK237" s="14" t="s">
        <v>2518</v>
      </c>
      <c r="BL237" s="14" t="s">
        <v>2064</v>
      </c>
      <c r="BM237" s="14" t="s">
        <v>72</v>
      </c>
      <c r="BN237" s="14" t="s">
        <v>72</v>
      </c>
      <c r="BO237" s="14" t="s">
        <v>3561</v>
      </c>
      <c r="BP237" s="14" t="s">
        <v>3549</v>
      </c>
      <c r="BQ237" s="14" t="s">
        <v>3550</v>
      </c>
      <c r="BR237" s="14" t="s">
        <v>2418</v>
      </c>
      <c r="BS237" s="14" t="s">
        <v>2089</v>
      </c>
      <c r="BT237" s="14" t="s">
        <v>2048</v>
      </c>
      <c r="BU237" s="14" t="s">
        <v>2048</v>
      </c>
      <c r="BV237" s="14" t="s">
        <v>2048</v>
      </c>
      <c r="BW237" s="14" t="s">
        <v>2048</v>
      </c>
      <c r="BX237" s="14" t="s">
        <v>72</v>
      </c>
      <c r="BY237" s="14" t="s">
        <v>2048</v>
      </c>
      <c r="BZ237" s="14" t="s">
        <v>2048</v>
      </c>
      <c r="CA237" s="14" t="s">
        <v>2048</v>
      </c>
      <c r="CB237" s="14" t="s">
        <v>2048</v>
      </c>
      <c r="CC237" s="14" t="s">
        <v>2048</v>
      </c>
      <c r="CD237" s="14" t="s">
        <v>2048</v>
      </c>
      <c r="CE237" s="14" t="s">
        <v>2048</v>
      </c>
      <c r="CF237" s="14" t="s">
        <v>2048</v>
      </c>
      <c r="CG237" s="14" t="s">
        <v>2057</v>
      </c>
      <c r="CH237" s="14" t="s">
        <v>2090</v>
      </c>
      <c r="CI237" s="14" t="s">
        <v>2048</v>
      </c>
      <c r="CJ237" s="17"/>
      <c r="CK237" s="17">
        <v>45671</v>
      </c>
      <c r="CL237" s="17">
        <v>45671</v>
      </c>
      <c r="CM237" s="17">
        <v>2958465</v>
      </c>
      <c r="CN237" s="17"/>
      <c r="CO237" s="19">
        <v>0</v>
      </c>
      <c r="CP237" s="19">
        <v>0</v>
      </c>
      <c r="CQ237" s="19">
        <v>0</v>
      </c>
      <c r="CR237" s="19">
        <v>0</v>
      </c>
      <c r="CS237" s="19">
        <v>0</v>
      </c>
      <c r="CT237" s="19">
        <v>0</v>
      </c>
      <c r="CU237" s="19">
        <v>0</v>
      </c>
      <c r="CV237" s="17"/>
      <c r="CW237" s="19">
        <v>0</v>
      </c>
      <c r="CX237" s="17"/>
      <c r="CY237" s="17"/>
      <c r="CZ237" s="19">
        <v>0</v>
      </c>
      <c r="DA237" s="17"/>
      <c r="DB237" s="17"/>
      <c r="DC237" s="19">
        <v>100</v>
      </c>
      <c r="DD237" s="17"/>
      <c r="DE237" s="17">
        <v>2958465</v>
      </c>
      <c r="DF237" s="17"/>
      <c r="DG237" s="17"/>
      <c r="DH237" s="19">
        <v>0</v>
      </c>
      <c r="DI237" s="19">
        <v>0</v>
      </c>
    </row>
    <row r="238" spans="1:113" x14ac:dyDescent="0.2">
      <c r="A238" s="14" t="s">
        <v>2315</v>
      </c>
      <c r="B238" s="16" t="s">
        <v>1769</v>
      </c>
      <c r="C238" s="14" t="s">
        <v>158</v>
      </c>
      <c r="D238" s="14" t="s">
        <v>159</v>
      </c>
      <c r="E238" s="14" t="s">
        <v>158</v>
      </c>
      <c r="F238" s="14" t="s">
        <v>2044</v>
      </c>
      <c r="G238" s="14" t="s">
        <v>2045</v>
      </c>
      <c r="H238" s="14" t="s">
        <v>2763</v>
      </c>
      <c r="I238" s="14" t="s">
        <v>2764</v>
      </c>
      <c r="J238" s="16">
        <f>COUNTIF($I$3:I238, I238)</f>
        <v>3</v>
      </c>
      <c r="K238" s="14" t="s">
        <v>2048</v>
      </c>
      <c r="L238" s="14" t="s">
        <v>2048</v>
      </c>
      <c r="M238" s="14" t="s">
        <v>2048</v>
      </c>
      <c r="N238" s="14" t="s">
        <v>2048</v>
      </c>
      <c r="O238" s="14" t="s">
        <v>72</v>
      </c>
      <c r="P238" s="14" t="s">
        <v>72</v>
      </c>
      <c r="Q238" s="14" t="s">
        <v>72</v>
      </c>
      <c r="R238" s="14" t="s">
        <v>2048</v>
      </c>
      <c r="S238" s="14" t="s">
        <v>2048</v>
      </c>
      <c r="T238" s="14" t="s">
        <v>2048</v>
      </c>
      <c r="U238" s="14" t="s">
        <v>2048</v>
      </c>
      <c r="V238" s="14" t="s">
        <v>2050</v>
      </c>
      <c r="W238" s="14" t="s">
        <v>2048</v>
      </c>
      <c r="X238" s="14" t="s">
        <v>2048</v>
      </c>
      <c r="Y238" s="14" t="s">
        <v>2048</v>
      </c>
      <c r="Z238" s="14" t="s">
        <v>2048</v>
      </c>
      <c r="AA238" s="14" t="s">
        <v>2048</v>
      </c>
      <c r="AB238" s="14" t="s">
        <v>85</v>
      </c>
      <c r="AC238" s="14" t="s">
        <v>86</v>
      </c>
      <c r="AD238" s="14" t="s">
        <v>2765</v>
      </c>
      <c r="AE238" s="14" t="s">
        <v>2766</v>
      </c>
      <c r="AF238" s="14" t="s">
        <v>2055</v>
      </c>
      <c r="AG238" s="14" t="s">
        <v>2055</v>
      </c>
      <c r="AH238" s="14" t="s">
        <v>2055</v>
      </c>
      <c r="AI238" s="14" t="s">
        <v>2057</v>
      </c>
      <c r="AJ238" s="14" t="s">
        <v>87</v>
      </c>
      <c r="AK238" s="14" t="s">
        <v>2048</v>
      </c>
      <c r="AL238" s="14" t="s">
        <v>2048</v>
      </c>
      <c r="AM238" s="14" t="s">
        <v>2048</v>
      </c>
      <c r="AN238" s="14" t="s">
        <v>3562</v>
      </c>
      <c r="AO238" s="17" t="s">
        <v>547</v>
      </c>
      <c r="AP238" s="14" t="s">
        <v>2422</v>
      </c>
      <c r="AQ238" s="14" t="s">
        <v>2059</v>
      </c>
      <c r="AR238" s="14" t="s">
        <v>2060</v>
      </c>
      <c r="AS238" s="14" t="s">
        <v>2048</v>
      </c>
      <c r="AT238" s="14" t="s">
        <v>72</v>
      </c>
      <c r="AU238" s="14" t="s">
        <v>2062</v>
      </c>
      <c r="AV238" s="14" t="s">
        <v>2063</v>
      </c>
      <c r="AW238" s="14" t="s">
        <v>2048</v>
      </c>
      <c r="AX238" s="14" t="s">
        <v>2048</v>
      </c>
      <c r="AY238" s="14" t="s">
        <v>2763</v>
      </c>
      <c r="AZ238" s="14" t="s">
        <v>312</v>
      </c>
      <c r="BA238" s="14" t="s">
        <v>2048</v>
      </c>
      <c r="BB238" s="14" t="s">
        <v>2048</v>
      </c>
      <c r="BC238" s="14" t="s">
        <v>2048</v>
      </c>
      <c r="BD238" s="14" t="s">
        <v>2048</v>
      </c>
      <c r="BE238" s="14" t="s">
        <v>2048</v>
      </c>
      <c r="BF238" s="14" t="s">
        <v>2048</v>
      </c>
      <c r="BG238" s="14" t="s">
        <v>2048</v>
      </c>
      <c r="BH238" s="14" t="s">
        <v>2048</v>
      </c>
      <c r="BI238" s="14" t="s">
        <v>2048</v>
      </c>
      <c r="BJ238" s="14" t="s">
        <v>2048</v>
      </c>
      <c r="BK238" s="14" t="s">
        <v>2048</v>
      </c>
      <c r="BL238" s="14" t="s">
        <v>2064</v>
      </c>
      <c r="BM238" s="14" t="s">
        <v>72</v>
      </c>
      <c r="BN238" s="14" t="s">
        <v>72</v>
      </c>
      <c r="BO238" s="14" t="s">
        <v>2048</v>
      </c>
      <c r="BP238" s="14" t="s">
        <v>2048</v>
      </c>
      <c r="BQ238" s="14" t="s">
        <v>2048</v>
      </c>
      <c r="BR238" s="14" t="s">
        <v>2418</v>
      </c>
      <c r="BS238" s="14" t="s">
        <v>2089</v>
      </c>
      <c r="BT238" s="14" t="s">
        <v>2048</v>
      </c>
      <c r="BU238" s="14" t="s">
        <v>2048</v>
      </c>
      <c r="BV238" s="14" t="s">
        <v>2048</v>
      </c>
      <c r="BW238" s="14" t="s">
        <v>2048</v>
      </c>
      <c r="BX238" s="14" t="s">
        <v>72</v>
      </c>
      <c r="BY238" s="14" t="s">
        <v>2048</v>
      </c>
      <c r="BZ238" s="14" t="s">
        <v>2048</v>
      </c>
      <c r="CA238" s="14" t="s">
        <v>2048</v>
      </c>
      <c r="CB238" s="14" t="s">
        <v>2048</v>
      </c>
      <c r="CC238" s="14" t="s">
        <v>2048</v>
      </c>
      <c r="CD238" s="14" t="s">
        <v>2048</v>
      </c>
      <c r="CE238" s="14" t="s">
        <v>2048</v>
      </c>
      <c r="CF238" s="14" t="s">
        <v>2048</v>
      </c>
      <c r="CG238" s="14" t="s">
        <v>2057</v>
      </c>
      <c r="CH238" s="14" t="s">
        <v>2090</v>
      </c>
      <c r="CI238" s="14" t="s">
        <v>2048</v>
      </c>
      <c r="CJ238" s="17"/>
      <c r="CK238" s="17">
        <v>45673</v>
      </c>
      <c r="CL238" s="17">
        <v>45673</v>
      </c>
      <c r="CM238" s="17">
        <v>2958465</v>
      </c>
      <c r="CN238" s="17"/>
      <c r="CO238" s="19">
        <v>0</v>
      </c>
      <c r="CP238" s="19">
        <v>0</v>
      </c>
      <c r="CQ238" s="19">
        <v>0</v>
      </c>
      <c r="CR238" s="19">
        <v>0</v>
      </c>
      <c r="CS238" s="19">
        <v>0</v>
      </c>
      <c r="CT238" s="19">
        <v>0</v>
      </c>
      <c r="CU238" s="19">
        <v>0</v>
      </c>
      <c r="CV238" s="17"/>
      <c r="CW238" s="19">
        <v>0</v>
      </c>
      <c r="CX238" s="17"/>
      <c r="CY238" s="17"/>
      <c r="CZ238" s="19">
        <v>0</v>
      </c>
      <c r="DA238" s="17"/>
      <c r="DB238" s="17"/>
      <c r="DC238" s="19">
        <v>100</v>
      </c>
      <c r="DD238" s="17"/>
      <c r="DE238" s="17">
        <v>2958465</v>
      </c>
      <c r="DF238" s="17"/>
      <c r="DG238" s="17"/>
      <c r="DH238" s="19">
        <v>0</v>
      </c>
      <c r="DI238" s="19">
        <v>0</v>
      </c>
    </row>
    <row r="239" spans="1:113" x14ac:dyDescent="0.2">
      <c r="A239" s="14" t="s">
        <v>2315</v>
      </c>
      <c r="B239" s="16" t="s">
        <v>3563</v>
      </c>
      <c r="C239" s="14" t="s">
        <v>158</v>
      </c>
      <c r="D239" s="14" t="s">
        <v>159</v>
      </c>
      <c r="E239" s="14" t="s">
        <v>158</v>
      </c>
      <c r="F239" s="14" t="s">
        <v>2044</v>
      </c>
      <c r="G239" s="14" t="s">
        <v>2045</v>
      </c>
      <c r="H239" s="14" t="s">
        <v>102</v>
      </c>
      <c r="I239" s="14" t="s">
        <v>103</v>
      </c>
      <c r="J239" s="16">
        <f>COUNTIF($I$3:I239, I239)</f>
        <v>50</v>
      </c>
      <c r="K239" s="14" t="s">
        <v>2048</v>
      </c>
      <c r="L239" s="14" t="s">
        <v>2048</v>
      </c>
      <c r="M239" s="14" t="s">
        <v>2048</v>
      </c>
      <c r="N239" s="14" t="s">
        <v>2048</v>
      </c>
      <c r="O239" s="14" t="s">
        <v>3564</v>
      </c>
      <c r="P239" s="14" t="s">
        <v>3565</v>
      </c>
      <c r="Q239" s="14" t="s">
        <v>72</v>
      </c>
      <c r="R239" s="14" t="s">
        <v>2048</v>
      </c>
      <c r="S239" s="14" t="s">
        <v>2048</v>
      </c>
      <c r="T239" s="14" t="s">
        <v>2422</v>
      </c>
      <c r="U239" s="14" t="s">
        <v>2049</v>
      </c>
      <c r="V239" s="14" t="s">
        <v>2050</v>
      </c>
      <c r="W239" s="14" t="s">
        <v>2048</v>
      </c>
      <c r="X239" s="14" t="s">
        <v>2048</v>
      </c>
      <c r="Y239" s="14" t="s">
        <v>2048</v>
      </c>
      <c r="Z239" s="14" t="s">
        <v>2048</v>
      </c>
      <c r="AA239" s="14" t="s">
        <v>2048</v>
      </c>
      <c r="AB239" s="14" t="s">
        <v>140</v>
      </c>
      <c r="AC239" s="14" t="s">
        <v>151</v>
      </c>
      <c r="AD239" s="14" t="s">
        <v>77</v>
      </c>
      <c r="AE239" s="14" t="s">
        <v>2054</v>
      </c>
      <c r="AF239" s="14" t="s">
        <v>2055</v>
      </c>
      <c r="AG239" s="14" t="s">
        <v>2055</v>
      </c>
      <c r="AH239" s="14" t="s">
        <v>2055</v>
      </c>
      <c r="AI239" s="14" t="s">
        <v>2057</v>
      </c>
      <c r="AJ239" s="14" t="s">
        <v>87</v>
      </c>
      <c r="AK239" s="14" t="s">
        <v>2048</v>
      </c>
      <c r="AL239" s="14" t="s">
        <v>2048</v>
      </c>
      <c r="AM239" s="14" t="s">
        <v>2048</v>
      </c>
      <c r="AN239" s="14" t="s">
        <v>3566</v>
      </c>
      <c r="AO239" s="17" t="s">
        <v>547</v>
      </c>
      <c r="AP239" s="14" t="s">
        <v>2422</v>
      </c>
      <c r="AQ239" s="14" t="s">
        <v>2059</v>
      </c>
      <c r="AR239" s="14" t="s">
        <v>3567</v>
      </c>
      <c r="AS239" s="14" t="s">
        <v>3568</v>
      </c>
      <c r="AT239" s="14" t="s">
        <v>2048</v>
      </c>
      <c r="AU239" s="14" t="s">
        <v>3569</v>
      </c>
      <c r="AV239" s="14" t="s">
        <v>3570</v>
      </c>
      <c r="AW239" s="14" t="s">
        <v>2048</v>
      </c>
      <c r="AX239" s="14" t="s">
        <v>2048</v>
      </c>
      <c r="AY239" s="14" t="s">
        <v>102</v>
      </c>
      <c r="AZ239" s="14" t="s">
        <v>104</v>
      </c>
      <c r="BA239" s="14" t="s">
        <v>3571</v>
      </c>
      <c r="BB239" s="14" t="s">
        <v>2048</v>
      </c>
      <c r="BC239" s="14" t="s">
        <v>2048</v>
      </c>
      <c r="BD239" s="14" t="s">
        <v>2282</v>
      </c>
      <c r="BE239" s="14" t="s">
        <v>2782</v>
      </c>
      <c r="BF239" s="14" t="s">
        <v>2783</v>
      </c>
      <c r="BG239" s="14" t="s">
        <v>2784</v>
      </c>
      <c r="BH239" s="14" t="s">
        <v>3572</v>
      </c>
      <c r="BI239" s="14" t="s">
        <v>2287</v>
      </c>
      <c r="BJ239" s="14" t="s">
        <v>2048</v>
      </c>
      <c r="BK239" s="14" t="s">
        <v>2048</v>
      </c>
      <c r="BL239" s="14" t="s">
        <v>2064</v>
      </c>
      <c r="BM239" s="14" t="s">
        <v>72</v>
      </c>
      <c r="BN239" s="14" t="s">
        <v>72</v>
      </c>
      <c r="BO239" s="14" t="s">
        <v>3573</v>
      </c>
      <c r="BP239" s="14" t="s">
        <v>3574</v>
      </c>
      <c r="BQ239" s="14" t="s">
        <v>3575</v>
      </c>
      <c r="BR239" s="14" t="s">
        <v>2331</v>
      </c>
      <c r="BS239" s="14" t="s">
        <v>2131</v>
      </c>
      <c r="BT239" s="14" t="s">
        <v>2048</v>
      </c>
      <c r="BU239" s="14" t="s">
        <v>2048</v>
      </c>
      <c r="BV239" s="14" t="s">
        <v>2048</v>
      </c>
      <c r="BW239" s="14" t="s">
        <v>2048</v>
      </c>
      <c r="BX239" s="14" t="s">
        <v>72</v>
      </c>
      <c r="BY239" s="14" t="s">
        <v>2048</v>
      </c>
      <c r="BZ239" s="14" t="s">
        <v>2048</v>
      </c>
      <c r="CA239" s="14" t="s">
        <v>2048</v>
      </c>
      <c r="CB239" s="14" t="s">
        <v>2048</v>
      </c>
      <c r="CC239" s="14" t="s">
        <v>2048</v>
      </c>
      <c r="CD239" s="14" t="s">
        <v>2048</v>
      </c>
      <c r="CE239" s="14" t="s">
        <v>2048</v>
      </c>
      <c r="CF239" s="14" t="s">
        <v>2048</v>
      </c>
      <c r="CG239" s="14" t="s">
        <v>2068</v>
      </c>
      <c r="CH239" s="14" t="s">
        <v>2069</v>
      </c>
      <c r="CI239" s="14" t="s">
        <v>2048</v>
      </c>
      <c r="CJ239" s="17"/>
      <c r="CK239" s="17">
        <v>45681</v>
      </c>
      <c r="CL239" s="17">
        <v>45681</v>
      </c>
      <c r="CM239" s="17">
        <v>2958465</v>
      </c>
      <c r="CN239" s="17"/>
      <c r="CO239" s="19">
        <v>0</v>
      </c>
      <c r="CP239" s="19">
        <v>0</v>
      </c>
      <c r="CQ239" s="19">
        <v>0</v>
      </c>
      <c r="CR239" s="19">
        <v>0</v>
      </c>
      <c r="CS239" s="19">
        <v>0</v>
      </c>
      <c r="CT239" s="19">
        <v>0</v>
      </c>
      <c r="CU239" s="19">
        <v>0</v>
      </c>
      <c r="CV239" s="17"/>
      <c r="CW239" s="19">
        <v>0</v>
      </c>
      <c r="CX239" s="17"/>
      <c r="CY239" s="17"/>
      <c r="CZ239" s="19">
        <v>0</v>
      </c>
      <c r="DA239" s="17"/>
      <c r="DB239" s="17"/>
      <c r="DC239" s="19">
        <v>100</v>
      </c>
      <c r="DD239" s="17"/>
      <c r="DE239" s="17">
        <v>2958465</v>
      </c>
      <c r="DF239" s="17"/>
      <c r="DG239" s="17"/>
      <c r="DH239" s="19">
        <v>0</v>
      </c>
      <c r="DI239" s="19">
        <v>0</v>
      </c>
    </row>
    <row r="240" spans="1:113" x14ac:dyDescent="0.2">
      <c r="A240" s="14" t="s">
        <v>2315</v>
      </c>
      <c r="B240" s="16" t="s">
        <v>545</v>
      </c>
      <c r="C240" s="14" t="s">
        <v>158</v>
      </c>
      <c r="D240" s="14" t="s">
        <v>159</v>
      </c>
      <c r="E240" s="14" t="s">
        <v>158</v>
      </c>
      <c r="F240" s="14" t="s">
        <v>2044</v>
      </c>
      <c r="G240" s="14" t="s">
        <v>2045</v>
      </c>
      <c r="H240" s="14" t="s">
        <v>542</v>
      </c>
      <c r="I240" s="14" t="s">
        <v>543</v>
      </c>
      <c r="J240" s="16">
        <f>COUNTIF($I$3:I240, I240)</f>
        <v>1</v>
      </c>
      <c r="K240" s="14" t="s">
        <v>2048</v>
      </c>
      <c r="L240" s="14" t="s">
        <v>2048</v>
      </c>
      <c r="M240" s="14" t="s">
        <v>2048</v>
      </c>
      <c r="N240" s="14" t="s">
        <v>2048</v>
      </c>
      <c r="O240" s="14" t="s">
        <v>3576</v>
      </c>
      <c r="P240" s="14" t="s">
        <v>548</v>
      </c>
      <c r="Q240" s="14" t="s">
        <v>72</v>
      </c>
      <c r="R240" s="14" t="s">
        <v>2048</v>
      </c>
      <c r="S240" s="14" t="s">
        <v>2048</v>
      </c>
      <c r="T240" s="14" t="s">
        <v>2422</v>
      </c>
      <c r="U240" s="14" t="s">
        <v>2049</v>
      </c>
      <c r="V240" s="14" t="s">
        <v>2050</v>
      </c>
      <c r="W240" s="14" t="s">
        <v>2048</v>
      </c>
      <c r="X240" s="14" t="s">
        <v>2048</v>
      </c>
      <c r="Y240" s="14" t="s">
        <v>2048</v>
      </c>
      <c r="Z240" s="14" t="s">
        <v>2048</v>
      </c>
      <c r="AA240" s="14" t="s">
        <v>2048</v>
      </c>
      <c r="AB240" s="14" t="s">
        <v>85</v>
      </c>
      <c r="AC240" s="14" t="s">
        <v>114</v>
      </c>
      <c r="AD240" s="14" t="s">
        <v>2045</v>
      </c>
      <c r="AE240" s="14" t="s">
        <v>3577</v>
      </c>
      <c r="AF240" s="14" t="s">
        <v>2056</v>
      </c>
      <c r="AG240" s="14" t="s">
        <v>2055</v>
      </c>
      <c r="AH240" s="14" t="s">
        <v>2055</v>
      </c>
      <c r="AI240" s="14" t="s">
        <v>2057</v>
      </c>
      <c r="AJ240" s="14" t="s">
        <v>87</v>
      </c>
      <c r="AK240" s="14" t="s">
        <v>2048</v>
      </c>
      <c r="AL240" s="14" t="s">
        <v>2048</v>
      </c>
      <c r="AM240" s="14" t="s">
        <v>2584</v>
      </c>
      <c r="AN240" s="14" t="s">
        <v>3577</v>
      </c>
      <c r="AO240" s="17" t="s">
        <v>547</v>
      </c>
      <c r="AP240" s="14" t="s">
        <v>2422</v>
      </c>
      <c r="AQ240" s="14" t="s">
        <v>3578</v>
      </c>
      <c r="AR240" s="14" t="s">
        <v>3579</v>
      </c>
      <c r="AS240" s="14" t="s">
        <v>3580</v>
      </c>
      <c r="AT240" s="14" t="s">
        <v>72</v>
      </c>
      <c r="AU240" s="14" t="s">
        <v>3581</v>
      </c>
      <c r="AV240" s="14" t="s">
        <v>3582</v>
      </c>
      <c r="AW240" s="14" t="s">
        <v>2048</v>
      </c>
      <c r="AX240" s="14" t="s">
        <v>2048</v>
      </c>
      <c r="AY240" s="14" t="s">
        <v>542</v>
      </c>
      <c r="AZ240" s="14" t="s">
        <v>546</v>
      </c>
      <c r="BA240" s="14" t="s">
        <v>3583</v>
      </c>
      <c r="BB240" s="14" t="s">
        <v>2048</v>
      </c>
      <c r="BC240" s="14" t="s">
        <v>2048</v>
      </c>
      <c r="BD240" s="14" t="s">
        <v>2710</v>
      </c>
      <c r="BE240" s="14" t="s">
        <v>3584</v>
      </c>
      <c r="BF240" s="14" t="s">
        <v>3585</v>
      </c>
      <c r="BG240" s="14" t="s">
        <v>3586</v>
      </c>
      <c r="BH240" s="14" t="s">
        <v>3587</v>
      </c>
      <c r="BI240" s="14" t="s">
        <v>2287</v>
      </c>
      <c r="BJ240" s="14" t="s">
        <v>2048</v>
      </c>
      <c r="BK240" s="14" t="s">
        <v>2048</v>
      </c>
      <c r="BL240" s="14" t="s">
        <v>2064</v>
      </c>
      <c r="BM240" s="14" t="s">
        <v>72</v>
      </c>
      <c r="BN240" s="14" t="s">
        <v>72</v>
      </c>
      <c r="BO240" s="14" t="s">
        <v>3588</v>
      </c>
      <c r="BP240" s="14" t="s">
        <v>3589</v>
      </c>
      <c r="BQ240" s="14" t="s">
        <v>3577</v>
      </c>
      <c r="BR240" s="14" t="s">
        <v>2418</v>
      </c>
      <c r="BS240" s="14" t="s">
        <v>2089</v>
      </c>
      <c r="BT240" s="14" t="s">
        <v>2048</v>
      </c>
      <c r="BU240" s="14" t="s">
        <v>2048</v>
      </c>
      <c r="BV240" s="14" t="s">
        <v>2048</v>
      </c>
      <c r="BW240" s="14" t="s">
        <v>2048</v>
      </c>
      <c r="BX240" s="14" t="s">
        <v>72</v>
      </c>
      <c r="BY240" s="14" t="s">
        <v>2048</v>
      </c>
      <c r="BZ240" s="14" t="s">
        <v>2048</v>
      </c>
      <c r="CA240" s="14" t="s">
        <v>2048</v>
      </c>
      <c r="CB240" s="14" t="s">
        <v>2048</v>
      </c>
      <c r="CC240" s="14" t="s">
        <v>2048</v>
      </c>
      <c r="CD240" s="14" t="s">
        <v>2048</v>
      </c>
      <c r="CE240" s="14" t="s">
        <v>2048</v>
      </c>
      <c r="CF240" s="14" t="s">
        <v>2048</v>
      </c>
      <c r="CG240" s="14" t="s">
        <v>2057</v>
      </c>
      <c r="CH240" s="14" t="s">
        <v>2090</v>
      </c>
      <c r="CI240" s="14" t="s">
        <v>2048</v>
      </c>
      <c r="CJ240" s="17"/>
      <c r="CK240" s="17">
        <v>45674</v>
      </c>
      <c r="CL240" s="17">
        <v>45674</v>
      </c>
      <c r="CM240" s="17">
        <v>2958465</v>
      </c>
      <c r="CN240" s="17"/>
      <c r="CO240" s="19">
        <v>0</v>
      </c>
      <c r="CP240" s="19">
        <v>0</v>
      </c>
      <c r="CQ240" s="19">
        <v>0</v>
      </c>
      <c r="CR240" s="19">
        <v>0</v>
      </c>
      <c r="CS240" s="19">
        <v>0</v>
      </c>
      <c r="CT240" s="19">
        <v>0</v>
      </c>
      <c r="CU240" s="19">
        <v>0</v>
      </c>
      <c r="CV240" s="17"/>
      <c r="CW240" s="19">
        <v>0</v>
      </c>
      <c r="CX240" s="17"/>
      <c r="CY240" s="17"/>
      <c r="CZ240" s="19">
        <v>0</v>
      </c>
      <c r="DA240" s="17"/>
      <c r="DB240" s="17"/>
      <c r="DC240" s="19">
        <v>100</v>
      </c>
      <c r="DD240" s="17"/>
      <c r="DE240" s="17">
        <v>2958465</v>
      </c>
      <c r="DF240" s="17"/>
      <c r="DG240" s="17"/>
      <c r="DH240" s="19">
        <v>0</v>
      </c>
      <c r="DI240" s="19">
        <v>0</v>
      </c>
    </row>
    <row r="241" spans="1:113" x14ac:dyDescent="0.2">
      <c r="A241" s="14" t="s">
        <v>2315</v>
      </c>
      <c r="B241" s="16" t="s">
        <v>3590</v>
      </c>
      <c r="C241" s="14" t="s">
        <v>158</v>
      </c>
      <c r="D241" s="14" t="s">
        <v>159</v>
      </c>
      <c r="E241" s="14" t="s">
        <v>158</v>
      </c>
      <c r="F241" s="14" t="s">
        <v>2044</v>
      </c>
      <c r="G241" s="14" t="s">
        <v>2045</v>
      </c>
      <c r="H241" s="14" t="s">
        <v>204</v>
      </c>
      <c r="I241" s="14" t="s">
        <v>205</v>
      </c>
      <c r="J241" s="16">
        <f>COUNTIF($I$3:I241, I241)</f>
        <v>56</v>
      </c>
      <c r="K241" s="14" t="s">
        <v>2048</v>
      </c>
      <c r="L241" s="14" t="s">
        <v>2048</v>
      </c>
      <c r="M241" s="14" t="s">
        <v>2048</v>
      </c>
      <c r="N241" s="14" t="s">
        <v>2048</v>
      </c>
      <c r="O241" s="14" t="s">
        <v>72</v>
      </c>
      <c r="P241" s="14" t="s">
        <v>72</v>
      </c>
      <c r="Q241" s="14" t="s">
        <v>72</v>
      </c>
      <c r="R241" s="14" t="s">
        <v>2048</v>
      </c>
      <c r="S241" s="14" t="s">
        <v>2048</v>
      </c>
      <c r="T241" s="14" t="s">
        <v>2422</v>
      </c>
      <c r="U241" s="14" t="s">
        <v>2049</v>
      </c>
      <c r="V241" s="14" t="s">
        <v>2050</v>
      </c>
      <c r="W241" s="14" t="s">
        <v>2048</v>
      </c>
      <c r="X241" s="14" t="s">
        <v>2048</v>
      </c>
      <c r="Y241" s="14" t="s">
        <v>2048</v>
      </c>
      <c r="Z241" s="14" t="s">
        <v>2048</v>
      </c>
      <c r="AA241" s="14" t="s">
        <v>2048</v>
      </c>
      <c r="AB241" s="14" t="s">
        <v>3591</v>
      </c>
      <c r="AC241" s="14" t="s">
        <v>3592</v>
      </c>
      <c r="AD241" s="14" t="s">
        <v>2129</v>
      </c>
      <c r="AE241" s="14" t="s">
        <v>2130</v>
      </c>
      <c r="AF241" s="14" t="s">
        <v>2055</v>
      </c>
      <c r="AG241" s="14" t="s">
        <v>2055</v>
      </c>
      <c r="AH241" s="14" t="s">
        <v>2055</v>
      </c>
      <c r="AI241" s="14" t="s">
        <v>2057</v>
      </c>
      <c r="AJ241" s="14" t="s">
        <v>87</v>
      </c>
      <c r="AK241" s="14" t="s">
        <v>2048</v>
      </c>
      <c r="AL241" s="14" t="s">
        <v>2048</v>
      </c>
      <c r="AM241" s="14" t="s">
        <v>2048</v>
      </c>
      <c r="AN241" s="14" t="s">
        <v>2048</v>
      </c>
      <c r="AO241" s="17" t="s">
        <v>547</v>
      </c>
      <c r="AP241" s="14" t="s">
        <v>2535</v>
      </c>
      <c r="AQ241" s="14" t="s">
        <v>3593</v>
      </c>
      <c r="AR241" s="14" t="s">
        <v>3594</v>
      </c>
      <c r="AS241" s="14" t="s">
        <v>3595</v>
      </c>
      <c r="AT241" s="14" t="s">
        <v>2048</v>
      </c>
      <c r="AU241" s="14" t="s">
        <v>3594</v>
      </c>
      <c r="AV241" s="14" t="s">
        <v>3595</v>
      </c>
      <c r="AW241" s="14" t="s">
        <v>2048</v>
      </c>
      <c r="AX241" s="14" t="s">
        <v>2048</v>
      </c>
      <c r="AY241" s="14" t="s">
        <v>204</v>
      </c>
      <c r="AZ241" s="14" t="s">
        <v>3596</v>
      </c>
      <c r="BA241" s="14" t="s">
        <v>3597</v>
      </c>
      <c r="BB241" s="14" t="s">
        <v>2048</v>
      </c>
      <c r="BC241" s="14" t="s">
        <v>2048</v>
      </c>
      <c r="BD241" s="14" t="s">
        <v>3598</v>
      </c>
      <c r="BE241" s="14" t="s">
        <v>3599</v>
      </c>
      <c r="BF241" s="14" t="s">
        <v>3598</v>
      </c>
      <c r="BG241" s="14" t="s">
        <v>3599</v>
      </c>
      <c r="BH241" s="14" t="s">
        <v>2655</v>
      </c>
      <c r="BI241" s="14" t="s">
        <v>3600</v>
      </c>
      <c r="BJ241" s="14" t="s">
        <v>2048</v>
      </c>
      <c r="BK241" s="14" t="s">
        <v>2048</v>
      </c>
      <c r="BL241" s="14" t="s">
        <v>2064</v>
      </c>
      <c r="BM241" s="14" t="s">
        <v>72</v>
      </c>
      <c r="BN241" s="14" t="s">
        <v>72</v>
      </c>
      <c r="BO241" s="14" t="s">
        <v>2048</v>
      </c>
      <c r="BP241" s="14" t="s">
        <v>3601</v>
      </c>
      <c r="BQ241" s="14" t="s">
        <v>3602</v>
      </c>
      <c r="BR241" s="14" t="s">
        <v>2331</v>
      </c>
      <c r="BS241" s="14" t="s">
        <v>2131</v>
      </c>
      <c r="BT241" s="14" t="s">
        <v>2048</v>
      </c>
      <c r="BU241" s="14" t="s">
        <v>2048</v>
      </c>
      <c r="BV241" s="14" t="s">
        <v>2048</v>
      </c>
      <c r="BW241" s="14" t="s">
        <v>2048</v>
      </c>
      <c r="BX241" s="14" t="s">
        <v>72</v>
      </c>
      <c r="BY241" s="14" t="s">
        <v>2048</v>
      </c>
      <c r="BZ241" s="14" t="s">
        <v>2048</v>
      </c>
      <c r="CA241" s="14" t="s">
        <v>2048</v>
      </c>
      <c r="CB241" s="14" t="s">
        <v>2048</v>
      </c>
      <c r="CC241" s="14" t="s">
        <v>2048</v>
      </c>
      <c r="CD241" s="14" t="s">
        <v>2048</v>
      </c>
      <c r="CE241" s="14" t="s">
        <v>2048</v>
      </c>
      <c r="CF241" s="14" t="s">
        <v>2048</v>
      </c>
      <c r="CG241" s="14" t="s">
        <v>3603</v>
      </c>
      <c r="CH241" s="14" t="s">
        <v>3604</v>
      </c>
      <c r="CI241" s="14" t="s">
        <v>2048</v>
      </c>
      <c r="CJ241" s="17"/>
      <c r="CK241" s="17">
        <v>45842</v>
      </c>
      <c r="CL241" s="17">
        <v>45842</v>
      </c>
      <c r="CM241" s="17">
        <v>2958465</v>
      </c>
      <c r="CN241" s="17"/>
      <c r="CO241" s="19">
        <v>0</v>
      </c>
      <c r="CP241" s="19">
        <v>0</v>
      </c>
      <c r="CQ241" s="19">
        <v>0</v>
      </c>
      <c r="CR241" s="19">
        <v>0</v>
      </c>
      <c r="CS241" s="19">
        <v>0</v>
      </c>
      <c r="CT241" s="19">
        <v>0</v>
      </c>
      <c r="CU241" s="19">
        <v>0</v>
      </c>
      <c r="CV241" s="17"/>
      <c r="CW241" s="19">
        <v>0</v>
      </c>
      <c r="CX241" s="17"/>
      <c r="CY241" s="17"/>
      <c r="CZ241" s="19">
        <v>0</v>
      </c>
      <c r="DA241" s="17"/>
      <c r="DB241" s="17"/>
      <c r="DC241" s="19">
        <v>100</v>
      </c>
      <c r="DD241" s="17"/>
      <c r="DE241" s="17">
        <v>2958465</v>
      </c>
      <c r="DF241" s="17"/>
      <c r="DG241" s="17"/>
      <c r="DH241" s="19">
        <v>0</v>
      </c>
      <c r="DI241" s="19">
        <v>0</v>
      </c>
    </row>
    <row r="242" spans="1:113" x14ac:dyDescent="0.2">
      <c r="A242" s="14"/>
      <c r="B242" s="16" t="s">
        <v>3605</v>
      </c>
      <c r="C242" s="14" t="s">
        <v>158</v>
      </c>
      <c r="D242" s="14" t="s">
        <v>159</v>
      </c>
      <c r="E242" s="14" t="s">
        <v>158</v>
      </c>
      <c r="F242" s="14" t="s">
        <v>2044</v>
      </c>
      <c r="G242" s="14" t="s">
        <v>2045</v>
      </c>
      <c r="H242" s="14" t="s">
        <v>204</v>
      </c>
      <c r="I242" s="14" t="s">
        <v>205</v>
      </c>
      <c r="J242" s="16">
        <f>COUNTIF($I$3:I242, I242)</f>
        <v>57</v>
      </c>
      <c r="K242" s="14" t="s">
        <v>2048</v>
      </c>
      <c r="L242" s="14" t="s">
        <v>2048</v>
      </c>
      <c r="M242" s="14" t="s">
        <v>2048</v>
      </c>
      <c r="N242" s="14"/>
      <c r="O242" s="14" t="s">
        <v>3606</v>
      </c>
      <c r="P242" s="14" t="s">
        <v>3607</v>
      </c>
      <c r="Q242" s="14" t="s">
        <v>72</v>
      </c>
      <c r="R242" s="14" t="s">
        <v>2048</v>
      </c>
      <c r="S242" s="14"/>
      <c r="T242" s="14" t="s">
        <v>200</v>
      </c>
      <c r="U242" s="14" t="s">
        <v>2049</v>
      </c>
      <c r="V242" s="14" t="s">
        <v>2050</v>
      </c>
      <c r="W242" s="14" t="s">
        <v>2051</v>
      </c>
      <c r="X242" s="14" t="s">
        <v>2048</v>
      </c>
      <c r="Y242" s="14" t="s">
        <v>2048</v>
      </c>
      <c r="Z242" s="14" t="s">
        <v>2048</v>
      </c>
      <c r="AA242" s="14" t="s">
        <v>2048</v>
      </c>
      <c r="AB242" s="14" t="s">
        <v>2452</v>
      </c>
      <c r="AC242" s="14" t="s">
        <v>3537</v>
      </c>
      <c r="AD242" s="14" t="s">
        <v>77</v>
      </c>
      <c r="AE242" s="14" t="s">
        <v>2054</v>
      </c>
      <c r="AF242" s="14" t="s">
        <v>2055</v>
      </c>
      <c r="AG242" s="14" t="s">
        <v>2055</v>
      </c>
      <c r="AH242" s="14" t="s">
        <v>2055</v>
      </c>
      <c r="AI242" s="14" t="s">
        <v>2057</v>
      </c>
      <c r="AJ242" s="14" t="s">
        <v>87</v>
      </c>
      <c r="AK242" s="14" t="s">
        <v>2048</v>
      </c>
      <c r="AL242" s="14" t="s">
        <v>2048</v>
      </c>
      <c r="AM242" s="14" t="s">
        <v>2048</v>
      </c>
      <c r="AN242" s="14" t="s">
        <v>3608</v>
      </c>
      <c r="AO242" s="17" t="s">
        <v>547</v>
      </c>
      <c r="AP242" s="14" t="s">
        <v>172</v>
      </c>
      <c r="AQ242" s="14" t="s">
        <v>2059</v>
      </c>
      <c r="AR242" s="14" t="s">
        <v>2060</v>
      </c>
      <c r="AS242" s="14" t="s">
        <v>2048</v>
      </c>
      <c r="AT242" s="14" t="s">
        <v>2061</v>
      </c>
      <c r="AU242" s="14" t="s">
        <v>2796</v>
      </c>
      <c r="AV242" s="14" t="s">
        <v>2797</v>
      </c>
      <c r="AW242" s="14" t="s">
        <v>2048</v>
      </c>
      <c r="AX242" s="14" t="s">
        <v>2048</v>
      </c>
      <c r="AY242" s="14" t="s">
        <v>204</v>
      </c>
      <c r="AZ242" s="14" t="s">
        <v>232</v>
      </c>
      <c r="BA242" s="14" t="s">
        <v>2324</v>
      </c>
      <c r="BB242" s="14" t="s">
        <v>2048</v>
      </c>
      <c r="BC242" s="14" t="s">
        <v>2061</v>
      </c>
      <c r="BD242" s="14" t="s">
        <v>2325</v>
      </c>
      <c r="BE242" s="14" t="s">
        <v>2326</v>
      </c>
      <c r="BF242" s="14" t="s">
        <v>2325</v>
      </c>
      <c r="BG242" s="14" t="s">
        <v>2326</v>
      </c>
      <c r="BH242" s="14" t="s">
        <v>2327</v>
      </c>
      <c r="BI242" s="14" t="s">
        <v>2287</v>
      </c>
      <c r="BJ242" s="14" t="s">
        <v>2051</v>
      </c>
      <c r="BK242" s="14" t="s">
        <v>2048</v>
      </c>
      <c r="BL242" s="14" t="s">
        <v>2064</v>
      </c>
      <c r="BM242" s="14" t="s">
        <v>72</v>
      </c>
      <c r="BN242" s="14" t="s">
        <v>72</v>
      </c>
      <c r="BO242" s="14" t="s">
        <v>3609</v>
      </c>
      <c r="BP242" s="14" t="s">
        <v>2048</v>
      </c>
      <c r="BQ242" s="14" t="s">
        <v>2048</v>
      </c>
      <c r="BR242" s="14" t="s">
        <v>159</v>
      </c>
      <c r="BS242" s="14" t="s">
        <v>2089</v>
      </c>
      <c r="BT242" s="14" t="s">
        <v>2048</v>
      </c>
      <c r="BU242" s="14" t="s">
        <v>2048</v>
      </c>
      <c r="BV242" s="14" t="s">
        <v>2048</v>
      </c>
      <c r="BW242" s="14" t="s">
        <v>2051</v>
      </c>
      <c r="BX242" s="14" t="s">
        <v>2048</v>
      </c>
      <c r="BY242" s="14" t="s">
        <v>2048</v>
      </c>
      <c r="BZ242" s="14" t="s">
        <v>2048</v>
      </c>
      <c r="CA242" s="14" t="s">
        <v>2048</v>
      </c>
      <c r="CB242" s="14" t="s">
        <v>2048</v>
      </c>
      <c r="CC242" s="14" t="s">
        <v>2048</v>
      </c>
      <c r="CD242" s="14" t="s">
        <v>2048</v>
      </c>
      <c r="CE242" s="14" t="s">
        <v>2048</v>
      </c>
      <c r="CF242" s="14" t="s">
        <v>2048</v>
      </c>
      <c r="CG242" s="14" t="s">
        <v>2121</v>
      </c>
      <c r="CH242" s="14" t="s">
        <v>2122</v>
      </c>
      <c r="CI242" s="14" t="s">
        <v>2048</v>
      </c>
      <c r="CJ242" s="17"/>
      <c r="CK242" s="17">
        <v>44357</v>
      </c>
      <c r="CL242" s="17">
        <v>45757</v>
      </c>
      <c r="CM242" s="17">
        <v>2958465</v>
      </c>
      <c r="CN242" s="17"/>
      <c r="CO242" s="19">
        <v>0</v>
      </c>
      <c r="CP242" s="19">
        <v>0</v>
      </c>
      <c r="CQ242" s="19">
        <v>0</v>
      </c>
      <c r="CR242" s="19">
        <v>0</v>
      </c>
      <c r="CS242" s="19">
        <v>0</v>
      </c>
      <c r="CT242" s="19">
        <v>0</v>
      </c>
      <c r="CU242" s="19">
        <v>0</v>
      </c>
      <c r="CV242" s="17"/>
      <c r="CW242" s="19">
        <v>0</v>
      </c>
      <c r="CX242" s="17"/>
      <c r="CY242" s="17"/>
      <c r="CZ242" s="19">
        <v>0</v>
      </c>
      <c r="DA242" s="17"/>
      <c r="DB242" s="17"/>
      <c r="DC242" s="19">
        <v>100</v>
      </c>
      <c r="DD242" s="17"/>
      <c r="DE242" s="17">
        <v>2958465</v>
      </c>
      <c r="DF242" s="17"/>
      <c r="DG242" s="17"/>
      <c r="DH242" s="19">
        <v>0</v>
      </c>
      <c r="DI242" s="19">
        <v>0</v>
      </c>
    </row>
  </sheetData>
  <pageMargins left="0.78740157499999996" right="0.78740157499999996" top="0.984251969" bottom="0.984251969" header="0.4921259845" footer="0.492125984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4F76-7B2E-4093-AC78-D07D033A189E}">
  <dimension ref="A1:DM267"/>
  <sheetViews>
    <sheetView topLeftCell="BT1" zoomScaleNormal="100" workbookViewId="0">
      <selection activeCell="O127" sqref="O127"/>
    </sheetView>
  </sheetViews>
  <sheetFormatPr baseColWidth="10" defaultColWidth="10.85546875" defaultRowHeight="12.75" x14ac:dyDescent="0.2"/>
  <cols>
    <col min="1" max="10" width="10.85546875" style="1"/>
    <col min="11" max="11" width="37.140625" style="1" customWidth="1"/>
    <col min="12" max="12" width="10.85546875" style="1"/>
    <col min="13" max="13" width="29" style="1" bestFit="1" customWidth="1"/>
    <col min="14" max="24" width="10.85546875" style="1"/>
    <col min="25" max="25" width="20.7109375" style="1" customWidth="1"/>
    <col min="26" max="60" width="10.85546875" style="1"/>
    <col min="61" max="61" width="24.140625" style="1" customWidth="1"/>
    <col min="62" max="112" width="10.85546875" style="1"/>
    <col min="113" max="113" width="14.42578125" style="1" customWidth="1"/>
    <col min="114" max="16384" width="10.85546875" style="1"/>
  </cols>
  <sheetData>
    <row r="1" spans="1:117" x14ac:dyDescent="0.2">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c r="AF1" s="1">
        <v>31</v>
      </c>
      <c r="AG1" s="1">
        <v>32</v>
      </c>
      <c r="AH1" s="1">
        <v>33</v>
      </c>
      <c r="AI1" s="1">
        <v>34</v>
      </c>
      <c r="AJ1" s="1">
        <v>35</v>
      </c>
      <c r="AK1" s="1">
        <v>36</v>
      </c>
      <c r="AL1" s="1">
        <v>37</v>
      </c>
      <c r="AM1" s="1">
        <v>38</v>
      </c>
      <c r="AN1" s="1">
        <v>39</v>
      </c>
      <c r="AO1" s="1">
        <v>40</v>
      </c>
      <c r="AP1" s="1">
        <v>41</v>
      </c>
      <c r="AQ1" s="1">
        <v>42</v>
      </c>
      <c r="AR1" s="1">
        <v>43</v>
      </c>
      <c r="AS1" s="1">
        <v>44</v>
      </c>
      <c r="AT1" s="1">
        <v>45</v>
      </c>
      <c r="AU1" s="1">
        <v>46</v>
      </c>
      <c r="AV1" s="1">
        <v>47</v>
      </c>
      <c r="AW1" s="1">
        <v>48</v>
      </c>
      <c r="AX1" s="1">
        <v>49</v>
      </c>
      <c r="AY1" s="1">
        <v>50</v>
      </c>
      <c r="AZ1" s="1">
        <v>51</v>
      </c>
      <c r="BA1" s="1">
        <v>52</v>
      </c>
      <c r="BB1" s="1">
        <v>53</v>
      </c>
      <c r="BC1" s="1">
        <v>54</v>
      </c>
      <c r="BD1" s="1">
        <v>55</v>
      </c>
      <c r="BE1" s="1">
        <v>56</v>
      </c>
      <c r="BF1" s="1">
        <v>57</v>
      </c>
      <c r="BG1" s="1">
        <v>58</v>
      </c>
      <c r="BH1" s="1">
        <v>59</v>
      </c>
      <c r="BI1" s="1">
        <v>60</v>
      </c>
      <c r="BJ1" s="1">
        <v>61</v>
      </c>
      <c r="BK1" s="1">
        <v>62</v>
      </c>
      <c r="BL1" s="1">
        <v>63</v>
      </c>
      <c r="BM1" s="1">
        <v>64</v>
      </c>
      <c r="BN1" s="1">
        <v>65</v>
      </c>
      <c r="BO1" s="1">
        <v>66</v>
      </c>
      <c r="BP1" s="1">
        <v>67</v>
      </c>
      <c r="BQ1" s="1">
        <v>68</v>
      </c>
      <c r="BR1" s="1">
        <v>69</v>
      </c>
      <c r="BS1" s="1">
        <v>70</v>
      </c>
      <c r="BT1" s="1">
        <v>71</v>
      </c>
      <c r="BU1" s="1">
        <v>72</v>
      </c>
      <c r="BV1" s="1">
        <v>73</v>
      </c>
      <c r="BW1" s="1">
        <v>74</v>
      </c>
      <c r="BX1" s="1">
        <v>75</v>
      </c>
      <c r="BY1" s="1">
        <v>76</v>
      </c>
      <c r="BZ1" s="1">
        <v>77</v>
      </c>
      <c r="CA1" s="1">
        <v>78</v>
      </c>
      <c r="CB1" s="1">
        <v>79</v>
      </c>
      <c r="CC1" s="1">
        <v>80</v>
      </c>
      <c r="CD1" s="1">
        <v>81</v>
      </c>
      <c r="CE1" s="1">
        <v>82</v>
      </c>
      <c r="CF1" s="1">
        <v>83</v>
      </c>
      <c r="CG1" s="1">
        <v>84</v>
      </c>
      <c r="CH1" s="1">
        <v>85</v>
      </c>
      <c r="CI1" s="1">
        <v>86</v>
      </c>
      <c r="CJ1" s="1">
        <v>87</v>
      </c>
      <c r="CK1" s="1">
        <v>88</v>
      </c>
      <c r="CL1" s="1">
        <v>89</v>
      </c>
      <c r="CM1" s="1">
        <v>90</v>
      </c>
      <c r="CN1" s="1">
        <v>91</v>
      </c>
      <c r="CO1" s="1">
        <v>92</v>
      </c>
      <c r="CP1" s="1">
        <v>93</v>
      </c>
      <c r="CQ1" s="1">
        <v>94</v>
      </c>
      <c r="CR1" s="1">
        <v>95</v>
      </c>
      <c r="CS1" s="1">
        <v>96</v>
      </c>
      <c r="CT1" s="1">
        <v>97</v>
      </c>
      <c r="CU1" s="1">
        <v>98</v>
      </c>
      <c r="CV1" s="1">
        <v>99</v>
      </c>
      <c r="CW1" s="1">
        <v>100</v>
      </c>
      <c r="CX1" s="1">
        <v>101</v>
      </c>
      <c r="CY1" s="1">
        <v>102</v>
      </c>
      <c r="CZ1" s="1">
        <v>103</v>
      </c>
      <c r="DA1" s="1">
        <v>104</v>
      </c>
      <c r="DB1" s="1">
        <v>105</v>
      </c>
      <c r="DC1" s="1">
        <v>106</v>
      </c>
      <c r="DD1" s="1">
        <v>107</v>
      </c>
      <c r="DE1" s="1">
        <v>108</v>
      </c>
      <c r="DF1" s="1">
        <v>109</v>
      </c>
      <c r="DG1" s="1">
        <v>110</v>
      </c>
      <c r="DH1" s="1">
        <v>111</v>
      </c>
      <c r="DI1" s="1">
        <v>112</v>
      </c>
      <c r="DJ1" s="1">
        <v>113</v>
      </c>
      <c r="DK1" s="1">
        <v>114</v>
      </c>
      <c r="DL1" s="1">
        <v>115</v>
      </c>
      <c r="DM1" s="1">
        <v>116</v>
      </c>
    </row>
    <row r="2" spans="1:117" s="13" customFormat="1" x14ac:dyDescent="0.2">
      <c r="A2" s="12" t="s">
        <v>1943</v>
      </c>
      <c r="B2" s="12" t="s">
        <v>1944</v>
      </c>
      <c r="C2" s="12" t="s">
        <v>17</v>
      </c>
      <c r="D2" s="12" t="s">
        <v>18</v>
      </c>
      <c r="E2" s="12" t="s">
        <v>19</v>
      </c>
      <c r="F2" s="12" t="s">
        <v>20</v>
      </c>
      <c r="G2" s="38" t="s">
        <v>22</v>
      </c>
      <c r="H2" s="12" t="s">
        <v>25</v>
      </c>
      <c r="I2" s="12" t="s">
        <v>1120</v>
      </c>
      <c r="J2" s="12" t="s">
        <v>27</v>
      </c>
      <c r="K2" s="12" t="s">
        <v>28</v>
      </c>
      <c r="L2" s="12" t="s">
        <v>29</v>
      </c>
      <c r="M2" s="12" t="s">
        <v>30</v>
      </c>
      <c r="N2" s="12"/>
      <c r="O2" s="39"/>
      <c r="P2" s="39"/>
      <c r="Q2" s="39"/>
      <c r="R2" s="12" t="s">
        <v>1945</v>
      </c>
      <c r="S2" s="12" t="s">
        <v>1946</v>
      </c>
      <c r="T2" s="12" t="s">
        <v>1947</v>
      </c>
      <c r="U2" s="12" t="s">
        <v>1948</v>
      </c>
      <c r="V2" s="12" t="s">
        <v>1949</v>
      </c>
      <c r="W2" s="12" t="s">
        <v>1950</v>
      </c>
      <c r="X2" s="12" t="s">
        <v>1951</v>
      </c>
      <c r="Y2" s="12" t="s">
        <v>1952</v>
      </c>
      <c r="Z2" s="12" t="s">
        <v>1953</v>
      </c>
      <c r="AA2" s="12" t="s">
        <v>1954</v>
      </c>
      <c r="AB2" s="12" t="s">
        <v>1955</v>
      </c>
      <c r="AC2" s="12" t="s">
        <v>1956</v>
      </c>
      <c r="AD2" s="12" t="s">
        <v>1957</v>
      </c>
      <c r="AE2" s="12" t="s">
        <v>1958</v>
      </c>
      <c r="AF2" s="12" t="s">
        <v>1959</v>
      </c>
      <c r="AG2" s="12" t="s">
        <v>1960</v>
      </c>
      <c r="AH2" s="12" t="s">
        <v>1961</v>
      </c>
      <c r="AI2" s="12" t="s">
        <v>1962</v>
      </c>
      <c r="AJ2" s="12" t="s">
        <v>1963</v>
      </c>
      <c r="AK2" s="12" t="s">
        <v>1964</v>
      </c>
      <c r="AL2" s="12" t="s">
        <v>1965</v>
      </c>
      <c r="AM2" s="12" t="s">
        <v>1966</v>
      </c>
      <c r="AN2" s="12" t="s">
        <v>1967</v>
      </c>
      <c r="AO2" s="12" t="s">
        <v>1968</v>
      </c>
      <c r="AP2" s="12" t="s">
        <v>1969</v>
      </c>
      <c r="AQ2" s="12" t="s">
        <v>1970</v>
      </c>
      <c r="AR2" s="12" t="s">
        <v>1971</v>
      </c>
      <c r="AS2" s="12" t="s">
        <v>1972</v>
      </c>
      <c r="AT2" s="12" t="s">
        <v>1973</v>
      </c>
      <c r="AU2" s="12" t="s">
        <v>1974</v>
      </c>
      <c r="AV2" s="12" t="s">
        <v>1975</v>
      </c>
      <c r="AW2" s="12" t="s">
        <v>1976</v>
      </c>
      <c r="AX2" s="12" t="s">
        <v>1977</v>
      </c>
      <c r="AY2" s="12" t="s">
        <v>1978</v>
      </c>
      <c r="AZ2" s="12" t="s">
        <v>1979</v>
      </c>
      <c r="BA2" s="12" t="s">
        <v>1980</v>
      </c>
      <c r="BB2" s="12" t="s">
        <v>1981</v>
      </c>
      <c r="BC2" s="12" t="s">
        <v>1982</v>
      </c>
      <c r="BD2" s="12" t="s">
        <v>31</v>
      </c>
      <c r="BE2" s="12" t="s">
        <v>1983</v>
      </c>
      <c r="BF2" s="12" t="s">
        <v>1984</v>
      </c>
      <c r="BG2" s="12" t="s">
        <v>1985</v>
      </c>
      <c r="BH2" s="12" t="s">
        <v>1986</v>
      </c>
      <c r="BI2" s="12" t="s">
        <v>1987</v>
      </c>
      <c r="BJ2" s="12" t="s">
        <v>1988</v>
      </c>
      <c r="BK2" s="12" t="s">
        <v>1989</v>
      </c>
      <c r="BL2" s="12" t="s">
        <v>1990</v>
      </c>
      <c r="BM2" s="12" t="s">
        <v>1991</v>
      </c>
      <c r="BN2" s="12" t="s">
        <v>1992</v>
      </c>
      <c r="BO2" s="12" t="s">
        <v>1993</v>
      </c>
      <c r="BP2" s="12" t="s">
        <v>1994</v>
      </c>
      <c r="BQ2" s="12" t="s">
        <v>1995</v>
      </c>
      <c r="BR2" s="12" t="s">
        <v>1996</v>
      </c>
      <c r="BS2" s="12" t="s">
        <v>1997</v>
      </c>
      <c r="BT2" s="12" t="s">
        <v>1998</v>
      </c>
      <c r="BU2" s="12" t="s">
        <v>1999</v>
      </c>
      <c r="BV2" s="12" t="s">
        <v>2000</v>
      </c>
      <c r="BW2" s="12" t="s">
        <v>2001</v>
      </c>
      <c r="BX2" s="12" t="s">
        <v>2002</v>
      </c>
      <c r="BY2" s="12" t="s">
        <v>2003</v>
      </c>
      <c r="BZ2" s="12" t="s">
        <v>2004</v>
      </c>
      <c r="CA2" s="12" t="s">
        <v>2005</v>
      </c>
      <c r="CB2" s="12" t="s">
        <v>2006</v>
      </c>
      <c r="CC2" s="12" t="s">
        <v>2007</v>
      </c>
      <c r="CD2" s="12" t="s">
        <v>2008</v>
      </c>
      <c r="CE2" s="12" t="s">
        <v>2009</v>
      </c>
      <c r="CF2" s="12" t="s">
        <v>2010</v>
      </c>
      <c r="CG2" s="12" t="s">
        <v>2011</v>
      </c>
      <c r="CH2" s="12" t="s">
        <v>2012</v>
      </c>
      <c r="CI2" s="12" t="s">
        <v>2013</v>
      </c>
      <c r="CJ2" s="12" t="s">
        <v>2014</v>
      </c>
      <c r="CK2" s="12" t="s">
        <v>2015</v>
      </c>
      <c r="CL2" s="12" t="s">
        <v>2016</v>
      </c>
      <c r="CM2" s="12" t="s">
        <v>2017</v>
      </c>
      <c r="CN2" s="12" t="s">
        <v>2018</v>
      </c>
      <c r="CO2" s="12" t="s">
        <v>2019</v>
      </c>
      <c r="CP2" s="12" t="s">
        <v>2020</v>
      </c>
      <c r="CR2" s="12" t="s">
        <v>2021</v>
      </c>
      <c r="CS2" s="12" t="s">
        <v>2022</v>
      </c>
      <c r="CT2" s="12" t="s">
        <v>2023</v>
      </c>
      <c r="CU2" s="12" t="s">
        <v>2024</v>
      </c>
      <c r="CV2" s="12" t="s">
        <v>2025</v>
      </c>
      <c r="CW2" s="12" t="s">
        <v>2026</v>
      </c>
      <c r="CX2" s="12" t="s">
        <v>2027</v>
      </c>
      <c r="CY2" s="12" t="s">
        <v>2028</v>
      </c>
      <c r="CZ2" s="12" t="s">
        <v>2029</v>
      </c>
      <c r="DA2" s="12" t="s">
        <v>2030</v>
      </c>
      <c r="DB2" s="12" t="s">
        <v>2031</v>
      </c>
      <c r="DC2" s="12" t="s">
        <v>2032</v>
      </c>
      <c r="DD2" s="12" t="s">
        <v>2033</v>
      </c>
      <c r="DE2" s="12" t="s">
        <v>2034</v>
      </c>
      <c r="DF2" s="12" t="s">
        <v>2035</v>
      </c>
      <c r="DG2" s="12" t="s">
        <v>2036</v>
      </c>
      <c r="DH2" s="12" t="s">
        <v>2037</v>
      </c>
      <c r="DI2" s="12" t="s">
        <v>2038</v>
      </c>
      <c r="DJ2" s="12" t="s">
        <v>2039</v>
      </c>
      <c r="DK2" s="12" t="s">
        <v>2040</v>
      </c>
      <c r="DL2" s="12" t="s">
        <v>2041</v>
      </c>
      <c r="DM2" s="12" t="s">
        <v>2042</v>
      </c>
    </row>
    <row r="3" spans="1:117" x14ac:dyDescent="0.2">
      <c r="A3" s="14" t="s">
        <v>3610</v>
      </c>
      <c r="B3" s="14" t="s">
        <v>1122</v>
      </c>
      <c r="C3" s="14" t="s">
        <v>1034</v>
      </c>
      <c r="D3" s="14" t="s">
        <v>200</v>
      </c>
      <c r="E3" s="14" t="s">
        <v>201</v>
      </c>
      <c r="F3" s="14" t="s">
        <v>76</v>
      </c>
      <c r="G3" s="17">
        <v>44979</v>
      </c>
      <c r="H3" s="14" t="s">
        <v>77</v>
      </c>
      <c r="I3" s="14" t="s">
        <v>78</v>
      </c>
      <c r="J3" s="14" t="s">
        <v>524</v>
      </c>
      <c r="K3" s="14" t="s">
        <v>1123</v>
      </c>
      <c r="L3" s="14" t="s">
        <v>1124</v>
      </c>
      <c r="M3" s="14" t="s">
        <v>1125</v>
      </c>
      <c r="N3" s="16">
        <f>COUNTIF($M$3:M3, M3)</f>
        <v>1</v>
      </c>
      <c r="O3" s="16" t="e" cm="1">
        <f t="array" ref="O3">INDEX('[2]ALTA 20242025'!$B$2:$B$241, MATCH(1, ('[2]ALTA 20242025'!$I$2:$I$241=M3)*('[2]ALTA 20242025'!$J$2:$J$241=N3), 0))</f>
        <v>#N/A</v>
      </c>
      <c r="P3" s="16"/>
      <c r="Q3" s="16"/>
      <c r="R3" s="14" t="s">
        <v>2048</v>
      </c>
      <c r="S3" s="14" t="s">
        <v>2048</v>
      </c>
      <c r="T3" s="14" t="s">
        <v>2048</v>
      </c>
      <c r="U3" s="14" t="s">
        <v>2048</v>
      </c>
      <c r="V3" s="14" t="s">
        <v>3611</v>
      </c>
      <c r="W3" s="14" t="s">
        <v>3611</v>
      </c>
      <c r="X3" s="14" t="s">
        <v>3611</v>
      </c>
      <c r="Y3" s="14" t="s">
        <v>2048</v>
      </c>
      <c r="Z3" s="14" t="s">
        <v>2048</v>
      </c>
      <c r="AA3" s="14" t="s">
        <v>2422</v>
      </c>
      <c r="AB3" s="14" t="s">
        <v>2049</v>
      </c>
      <c r="AC3" s="14" t="s">
        <v>2050</v>
      </c>
      <c r="AD3" s="14" t="s">
        <v>3612</v>
      </c>
      <c r="AE3" s="14" t="s">
        <v>3613</v>
      </c>
      <c r="AF3" s="14" t="s">
        <v>3614</v>
      </c>
      <c r="AG3" s="14" t="s">
        <v>2048</v>
      </c>
      <c r="AH3" s="14" t="s">
        <v>2048</v>
      </c>
      <c r="AI3" s="14" t="s">
        <v>2129</v>
      </c>
      <c r="AJ3" s="14" t="s">
        <v>2130</v>
      </c>
      <c r="AK3" s="14" t="s">
        <v>2055</v>
      </c>
      <c r="AL3" s="14" t="s">
        <v>2055</v>
      </c>
      <c r="AM3" s="14" t="s">
        <v>2055</v>
      </c>
      <c r="AN3" s="14" t="s">
        <v>2068</v>
      </c>
      <c r="AO3" s="14" t="s">
        <v>2048</v>
      </c>
      <c r="AP3" s="14" t="s">
        <v>2048</v>
      </c>
      <c r="AQ3" s="14" t="s">
        <v>2048</v>
      </c>
      <c r="AR3" s="14" t="s">
        <v>2048</v>
      </c>
      <c r="AS3" s="14" t="s">
        <v>3615</v>
      </c>
      <c r="AT3" s="14" t="s">
        <v>3191</v>
      </c>
      <c r="AU3" s="14" t="s">
        <v>2059</v>
      </c>
      <c r="AV3" s="14" t="s">
        <v>2060</v>
      </c>
      <c r="AW3" s="14" t="s">
        <v>2048</v>
      </c>
      <c r="AX3" s="14" t="s">
        <v>2048</v>
      </c>
      <c r="AY3" s="14" t="s">
        <v>3616</v>
      </c>
      <c r="AZ3" s="14" t="s">
        <v>3617</v>
      </c>
      <c r="BA3" s="14" t="s">
        <v>2048</v>
      </c>
      <c r="BB3" s="14" t="s">
        <v>2048</v>
      </c>
      <c r="BC3" s="14" t="s">
        <v>3618</v>
      </c>
      <c r="BD3" s="14" t="s">
        <v>312</v>
      </c>
      <c r="BE3" s="14" t="s">
        <v>2048</v>
      </c>
      <c r="BF3" s="14" t="s">
        <v>2048</v>
      </c>
      <c r="BG3" s="14" t="s">
        <v>2048</v>
      </c>
      <c r="BH3" s="14" t="s">
        <v>2048</v>
      </c>
      <c r="BI3" s="14" t="s">
        <v>2048</v>
      </c>
      <c r="BJ3" s="14" t="s">
        <v>2048</v>
      </c>
      <c r="BK3" s="14" t="s">
        <v>2048</v>
      </c>
      <c r="BL3" s="14" t="s">
        <v>2048</v>
      </c>
      <c r="BM3" s="14" t="s">
        <v>2048</v>
      </c>
      <c r="BN3" s="14" t="s">
        <v>2048</v>
      </c>
      <c r="BO3" s="14" t="s">
        <v>2048</v>
      </c>
      <c r="BP3" s="14" t="s">
        <v>2064</v>
      </c>
      <c r="BQ3" s="14" t="s">
        <v>72</v>
      </c>
      <c r="BR3" s="14" t="s">
        <v>72</v>
      </c>
      <c r="BS3" s="14" t="s">
        <v>3619</v>
      </c>
      <c r="BT3" s="14" t="s">
        <v>2048</v>
      </c>
      <c r="BU3" s="14" t="s">
        <v>2048</v>
      </c>
      <c r="BV3" s="14" t="s">
        <v>2331</v>
      </c>
      <c r="BW3" s="14" t="s">
        <v>2131</v>
      </c>
      <c r="BX3" s="14" t="s">
        <v>72</v>
      </c>
      <c r="BY3" s="14" t="s">
        <v>2048</v>
      </c>
      <c r="BZ3" s="14" t="s">
        <v>2048</v>
      </c>
      <c r="CA3" s="14" t="s">
        <v>2048</v>
      </c>
      <c r="CB3" s="14" t="s">
        <v>72</v>
      </c>
      <c r="CC3" s="14" t="s">
        <v>2048</v>
      </c>
      <c r="CD3" s="14" t="s">
        <v>72</v>
      </c>
      <c r="CE3" s="14" t="s">
        <v>2048</v>
      </c>
      <c r="CF3" s="14" t="s">
        <v>2048</v>
      </c>
      <c r="CG3" s="14" t="s">
        <v>2048</v>
      </c>
      <c r="CH3" s="14" t="s">
        <v>2048</v>
      </c>
      <c r="CI3" s="14" t="s">
        <v>2048</v>
      </c>
      <c r="CJ3" s="14" t="s">
        <v>2048</v>
      </c>
      <c r="CK3" s="14" t="s">
        <v>3603</v>
      </c>
      <c r="CL3" s="14" t="s">
        <v>3604</v>
      </c>
      <c r="CM3" s="14" t="s">
        <v>2048</v>
      </c>
      <c r="CN3" s="17"/>
      <c r="CO3" s="17">
        <v>43518</v>
      </c>
      <c r="CP3" s="17">
        <v>43518</v>
      </c>
      <c r="CR3" s="17">
        <v>45050</v>
      </c>
      <c r="CS3" s="19">
        <v>48</v>
      </c>
      <c r="CT3" s="19">
        <v>0</v>
      </c>
      <c r="CU3" s="19">
        <v>558.6</v>
      </c>
      <c r="CV3" s="19">
        <v>0</v>
      </c>
      <c r="CW3" s="19">
        <v>558.6</v>
      </c>
      <c r="CX3" s="19">
        <v>675.91</v>
      </c>
      <c r="CY3" s="19">
        <v>0</v>
      </c>
      <c r="CZ3" s="17"/>
      <c r="DA3" s="19">
        <v>0</v>
      </c>
      <c r="DB3" s="17"/>
      <c r="DC3" s="17"/>
      <c r="DD3" s="19">
        <v>0</v>
      </c>
      <c r="DE3" s="17"/>
      <c r="DF3" s="17"/>
      <c r="DG3" s="19">
        <v>100</v>
      </c>
      <c r="DH3" s="17"/>
      <c r="DI3" s="17">
        <v>44979</v>
      </c>
      <c r="DJ3" s="17"/>
      <c r="DK3" s="17"/>
      <c r="DL3" s="19">
        <v>0</v>
      </c>
      <c r="DM3" s="19">
        <v>0</v>
      </c>
    </row>
    <row r="4" spans="1:117" x14ac:dyDescent="0.2">
      <c r="A4" s="14" t="s">
        <v>3610</v>
      </c>
      <c r="B4" s="14" t="s">
        <v>1126</v>
      </c>
      <c r="C4" s="14" t="s">
        <v>73</v>
      </c>
      <c r="D4" s="14" t="s">
        <v>172</v>
      </c>
      <c r="E4" s="14" t="s">
        <v>1127</v>
      </c>
      <c r="F4" s="14" t="s">
        <v>76</v>
      </c>
      <c r="G4" s="17">
        <v>45037</v>
      </c>
      <c r="H4" s="14" t="s">
        <v>77</v>
      </c>
      <c r="I4" s="14" t="s">
        <v>78</v>
      </c>
      <c r="J4" s="14" t="s">
        <v>85</v>
      </c>
      <c r="K4" s="14" t="s">
        <v>732</v>
      </c>
      <c r="L4" s="14" t="s">
        <v>1128</v>
      </c>
      <c r="M4" s="14" t="s">
        <v>1129</v>
      </c>
      <c r="N4" s="16">
        <f>COUNTIF($M$3:M4, M4)</f>
        <v>1</v>
      </c>
      <c r="O4" s="16" t="e" cm="1">
        <f t="array" ref="O4">INDEX('[2]ALTA 20242025'!$B$2:$B$241, MATCH(1, ('[2]ALTA 20242025'!$I$2:$I$241=M4)*('[2]ALTA 20242025'!$J$2:$J$241=N4), 0))</f>
        <v>#N/A</v>
      </c>
      <c r="P4" s="16"/>
      <c r="Q4" s="16"/>
      <c r="R4" s="14" t="s">
        <v>2048</v>
      </c>
      <c r="S4" s="14" t="s">
        <v>2048</v>
      </c>
      <c r="T4" s="14" t="s">
        <v>2048</v>
      </c>
      <c r="U4" s="14" t="s">
        <v>2048</v>
      </c>
      <c r="V4" s="14" t="s">
        <v>3620</v>
      </c>
      <c r="W4" s="14" t="s">
        <v>72</v>
      </c>
      <c r="X4" s="14" t="s">
        <v>72</v>
      </c>
      <c r="Y4" s="14" t="s">
        <v>3621</v>
      </c>
      <c r="Z4" s="14" t="s">
        <v>2048</v>
      </c>
      <c r="AA4" s="14" t="s">
        <v>2422</v>
      </c>
      <c r="AB4" s="14" t="s">
        <v>2049</v>
      </c>
      <c r="AC4" s="14" t="s">
        <v>2050</v>
      </c>
      <c r="AD4" s="14" t="s">
        <v>2048</v>
      </c>
      <c r="AE4" s="14" t="s">
        <v>2048</v>
      </c>
      <c r="AF4" s="14" t="s">
        <v>2048</v>
      </c>
      <c r="AG4" s="14" t="s">
        <v>200</v>
      </c>
      <c r="AH4" s="14" t="s">
        <v>3622</v>
      </c>
      <c r="AI4" s="14" t="s">
        <v>2129</v>
      </c>
      <c r="AJ4" s="14" t="s">
        <v>2130</v>
      </c>
      <c r="AK4" s="14" t="s">
        <v>2055</v>
      </c>
      <c r="AL4" s="14" t="s">
        <v>2055</v>
      </c>
      <c r="AM4" s="14" t="s">
        <v>2055</v>
      </c>
      <c r="AN4" s="14" t="s">
        <v>2068</v>
      </c>
      <c r="AO4" s="14" t="s">
        <v>2048</v>
      </c>
      <c r="AP4" s="14" t="s">
        <v>2048</v>
      </c>
      <c r="AQ4" s="14" t="s">
        <v>2048</v>
      </c>
      <c r="AR4" s="14" t="s">
        <v>2558</v>
      </c>
      <c r="AS4" s="14" t="s">
        <v>3623</v>
      </c>
      <c r="AT4" s="14" t="s">
        <v>2208</v>
      </c>
      <c r="AU4" s="14" t="s">
        <v>3624</v>
      </c>
      <c r="AV4" s="14" t="s">
        <v>3625</v>
      </c>
      <c r="AW4" s="14" t="s">
        <v>3626</v>
      </c>
      <c r="AX4" s="14" t="s">
        <v>2048</v>
      </c>
      <c r="AY4" s="14" t="s">
        <v>2561</v>
      </c>
      <c r="AZ4" s="14" t="s">
        <v>2562</v>
      </c>
      <c r="BA4" s="14" t="s">
        <v>3627</v>
      </c>
      <c r="BB4" s="14" t="s">
        <v>2048</v>
      </c>
      <c r="BC4" s="14" t="s">
        <v>1128</v>
      </c>
      <c r="BD4" s="14" t="s">
        <v>1130</v>
      </c>
      <c r="BE4" s="14" t="s">
        <v>3628</v>
      </c>
      <c r="BF4" s="14" t="s">
        <v>2048</v>
      </c>
      <c r="BG4" s="14" t="s">
        <v>2048</v>
      </c>
      <c r="BH4" s="14" t="s">
        <v>2282</v>
      </c>
      <c r="BI4" s="14" t="s">
        <v>2283</v>
      </c>
      <c r="BJ4" s="14" t="s">
        <v>3629</v>
      </c>
      <c r="BK4" s="14" t="s">
        <v>3546</v>
      </c>
      <c r="BL4" s="14" t="s">
        <v>3630</v>
      </c>
      <c r="BM4" s="14" t="s">
        <v>2287</v>
      </c>
      <c r="BN4" s="14" t="s">
        <v>2048</v>
      </c>
      <c r="BO4" s="14" t="s">
        <v>2048</v>
      </c>
      <c r="BP4" s="14" t="s">
        <v>2064</v>
      </c>
      <c r="BQ4" s="14" t="s">
        <v>72</v>
      </c>
      <c r="BR4" s="14" t="s">
        <v>72</v>
      </c>
      <c r="BS4" s="14" t="s">
        <v>2048</v>
      </c>
      <c r="BT4" s="14" t="s">
        <v>2568</v>
      </c>
      <c r="BU4" s="14" t="s">
        <v>2558</v>
      </c>
      <c r="BV4" s="14" t="s">
        <v>2418</v>
      </c>
      <c r="BW4" s="14" t="s">
        <v>2089</v>
      </c>
      <c r="BX4" s="14" t="s">
        <v>2048</v>
      </c>
      <c r="BY4" s="14" t="s">
        <v>2048</v>
      </c>
      <c r="BZ4" s="14" t="s">
        <v>2048</v>
      </c>
      <c r="CA4" s="14" t="s">
        <v>2048</v>
      </c>
      <c r="CB4" s="14" t="s">
        <v>72</v>
      </c>
      <c r="CC4" s="14" t="s">
        <v>2048</v>
      </c>
      <c r="CD4" s="14" t="s">
        <v>2048</v>
      </c>
      <c r="CE4" s="14" t="s">
        <v>2048</v>
      </c>
      <c r="CF4" s="14" t="s">
        <v>2048</v>
      </c>
      <c r="CG4" s="14" t="s">
        <v>2048</v>
      </c>
      <c r="CH4" s="14" t="s">
        <v>2048</v>
      </c>
      <c r="CI4" s="14" t="s">
        <v>2048</v>
      </c>
      <c r="CJ4" s="14" t="s">
        <v>2048</v>
      </c>
      <c r="CK4" s="14" t="s">
        <v>2057</v>
      </c>
      <c r="CL4" s="14" t="s">
        <v>2090</v>
      </c>
      <c r="CM4" s="14" t="s">
        <v>2048</v>
      </c>
      <c r="CN4" s="17"/>
      <c r="CO4" s="17">
        <v>44159</v>
      </c>
      <c r="CP4" s="17">
        <v>44159</v>
      </c>
      <c r="CR4" s="17">
        <v>45037</v>
      </c>
      <c r="CS4" s="19">
        <v>5</v>
      </c>
      <c r="CT4" s="19">
        <v>0</v>
      </c>
      <c r="CU4" s="19">
        <v>333.13</v>
      </c>
      <c r="CV4" s="19">
        <v>0</v>
      </c>
      <c r="CW4" s="19">
        <v>333.13</v>
      </c>
      <c r="CX4" s="19">
        <v>403.09</v>
      </c>
      <c r="CY4" s="19">
        <v>0</v>
      </c>
      <c r="CZ4" s="17"/>
      <c r="DA4" s="20">
        <v>171636</v>
      </c>
      <c r="DB4" s="17">
        <v>44896</v>
      </c>
      <c r="DC4" s="17"/>
      <c r="DD4" s="19">
        <v>0</v>
      </c>
      <c r="DE4" s="17"/>
      <c r="DF4" s="17"/>
      <c r="DG4" s="19">
        <v>100</v>
      </c>
      <c r="DH4" s="17"/>
      <c r="DI4" s="17">
        <v>45107</v>
      </c>
      <c r="DJ4" s="17"/>
      <c r="DK4" s="17"/>
      <c r="DL4" s="19">
        <v>0</v>
      </c>
      <c r="DM4" s="19">
        <v>0</v>
      </c>
    </row>
    <row r="5" spans="1:117" x14ac:dyDescent="0.2">
      <c r="A5" s="14" t="s">
        <v>3610</v>
      </c>
      <c r="B5" s="14" t="s">
        <v>1131</v>
      </c>
      <c r="C5" s="14" t="s">
        <v>885</v>
      </c>
      <c r="D5" s="14" t="s">
        <v>161</v>
      </c>
      <c r="E5" s="14" t="s">
        <v>886</v>
      </c>
      <c r="F5" s="14" t="s">
        <v>171</v>
      </c>
      <c r="G5" s="17">
        <v>45062</v>
      </c>
      <c r="H5" s="14" t="s">
        <v>172</v>
      </c>
      <c r="I5" s="14" t="s">
        <v>78</v>
      </c>
      <c r="J5" s="14" t="s">
        <v>1132</v>
      </c>
      <c r="K5" s="14" t="s">
        <v>1133</v>
      </c>
      <c r="L5" s="14" t="s">
        <v>1134</v>
      </c>
      <c r="M5" s="14" t="s">
        <v>1135</v>
      </c>
      <c r="N5" s="16">
        <f>COUNTIF($M$3:M5, M5)</f>
        <v>1</v>
      </c>
      <c r="O5" s="16" t="e" cm="1">
        <f t="array" ref="O5">INDEX('[2]ALTA 20242025'!$B$2:$B$241, MATCH(1, ('[2]ALTA 20242025'!$I$2:$I$241=M5)*('[2]ALTA 20242025'!$J$2:$J$241=N5), 0))</f>
        <v>#N/A</v>
      </c>
      <c r="P5" s="16"/>
      <c r="Q5" s="16"/>
      <c r="R5" s="14" t="s">
        <v>2048</v>
      </c>
      <c r="S5" s="14" t="s">
        <v>2048</v>
      </c>
      <c r="T5" s="14" t="s">
        <v>2048</v>
      </c>
      <c r="U5" s="14" t="s">
        <v>2048</v>
      </c>
      <c r="V5" s="14" t="s">
        <v>72</v>
      </c>
      <c r="W5" s="14" t="s">
        <v>72</v>
      </c>
      <c r="X5" s="14" t="s">
        <v>72</v>
      </c>
      <c r="Y5" s="14" t="s">
        <v>2048</v>
      </c>
      <c r="Z5" s="14" t="s">
        <v>2048</v>
      </c>
      <c r="AA5" s="14" t="s">
        <v>2422</v>
      </c>
      <c r="AB5" s="14" t="s">
        <v>2049</v>
      </c>
      <c r="AC5" s="14" t="s">
        <v>2048</v>
      </c>
      <c r="AD5" s="14" t="s">
        <v>2048</v>
      </c>
      <c r="AE5" s="14" t="s">
        <v>2048</v>
      </c>
      <c r="AF5" s="14" t="s">
        <v>2048</v>
      </c>
      <c r="AG5" s="14" t="s">
        <v>2048</v>
      </c>
      <c r="AH5" s="14" t="s">
        <v>2048</v>
      </c>
      <c r="AI5" s="14" t="s">
        <v>2129</v>
      </c>
      <c r="AJ5" s="14" t="s">
        <v>2130</v>
      </c>
      <c r="AK5" s="14" t="s">
        <v>2055</v>
      </c>
      <c r="AL5" s="14" t="s">
        <v>2055</v>
      </c>
      <c r="AM5" s="14" t="s">
        <v>2055</v>
      </c>
      <c r="AN5" s="14" t="s">
        <v>2068</v>
      </c>
      <c r="AO5" s="14" t="s">
        <v>2048</v>
      </c>
      <c r="AP5" s="14" t="s">
        <v>2048</v>
      </c>
      <c r="AQ5" s="14" t="s">
        <v>2048</v>
      </c>
      <c r="AR5" s="14" t="s">
        <v>2048</v>
      </c>
      <c r="AS5" s="14" t="s">
        <v>2048</v>
      </c>
      <c r="AT5" s="14" t="s">
        <v>2048</v>
      </c>
      <c r="AU5" s="14" t="s">
        <v>2059</v>
      </c>
      <c r="AV5" s="14" t="s">
        <v>2060</v>
      </c>
      <c r="AW5" s="14" t="s">
        <v>2048</v>
      </c>
      <c r="AX5" s="14" t="s">
        <v>2048</v>
      </c>
      <c r="AY5" s="14" t="s">
        <v>3631</v>
      </c>
      <c r="AZ5" s="14" t="s">
        <v>3632</v>
      </c>
      <c r="BA5" s="14" t="s">
        <v>2048</v>
      </c>
      <c r="BB5" s="14" t="s">
        <v>2048</v>
      </c>
      <c r="BC5" s="14" t="s">
        <v>1134</v>
      </c>
      <c r="BD5" s="14" t="s">
        <v>1136</v>
      </c>
      <c r="BE5" s="14" t="s">
        <v>3633</v>
      </c>
      <c r="BF5" s="14" t="s">
        <v>2048</v>
      </c>
      <c r="BG5" s="14" t="s">
        <v>2048</v>
      </c>
      <c r="BH5" s="14" t="s">
        <v>2080</v>
      </c>
      <c r="BI5" s="14" t="s">
        <v>2081</v>
      </c>
      <c r="BJ5" s="14" t="s">
        <v>3634</v>
      </c>
      <c r="BK5" s="14" t="s">
        <v>3635</v>
      </c>
      <c r="BL5" s="14" t="s">
        <v>3636</v>
      </c>
      <c r="BM5" s="14" t="s">
        <v>2085</v>
      </c>
      <c r="BN5" s="14" t="s">
        <v>2048</v>
      </c>
      <c r="BO5" s="14" t="s">
        <v>2048</v>
      </c>
      <c r="BP5" s="14" t="s">
        <v>2064</v>
      </c>
      <c r="BQ5" s="14" t="s">
        <v>2048</v>
      </c>
      <c r="BR5" s="14" t="s">
        <v>2048</v>
      </c>
      <c r="BS5" s="14" t="s">
        <v>2048</v>
      </c>
      <c r="BT5" s="14" t="s">
        <v>2048</v>
      </c>
      <c r="BU5" s="14" t="s">
        <v>2048</v>
      </c>
      <c r="BV5" s="14" t="s">
        <v>2066</v>
      </c>
      <c r="BW5" s="14" t="s">
        <v>2067</v>
      </c>
      <c r="BX5" s="14" t="s">
        <v>2048</v>
      </c>
      <c r="BY5" s="14" t="s">
        <v>2048</v>
      </c>
      <c r="BZ5" s="14" t="s">
        <v>2048</v>
      </c>
      <c r="CA5" s="14" t="s">
        <v>2048</v>
      </c>
      <c r="CB5" s="14" t="s">
        <v>2048</v>
      </c>
      <c r="CC5" s="14" t="s">
        <v>2048</v>
      </c>
      <c r="CD5" s="14" t="s">
        <v>2048</v>
      </c>
      <c r="CE5" s="14" t="s">
        <v>2048</v>
      </c>
      <c r="CF5" s="14" t="s">
        <v>2048</v>
      </c>
      <c r="CG5" s="14" t="s">
        <v>2048</v>
      </c>
      <c r="CH5" s="14" t="s">
        <v>2048</v>
      </c>
      <c r="CI5" s="14" t="s">
        <v>2048</v>
      </c>
      <c r="CJ5" s="14" t="s">
        <v>2048</v>
      </c>
      <c r="CK5" s="14" t="s">
        <v>3637</v>
      </c>
      <c r="CL5" s="14" t="s">
        <v>3638</v>
      </c>
      <c r="CM5" s="14" t="s">
        <v>2048</v>
      </c>
      <c r="CN5" s="17"/>
      <c r="CO5" s="17">
        <v>39091</v>
      </c>
      <c r="CP5" s="17">
        <v>43879</v>
      </c>
      <c r="CR5" s="17">
        <v>45062</v>
      </c>
      <c r="CS5" s="19">
        <v>0</v>
      </c>
      <c r="CT5" s="19">
        <v>0</v>
      </c>
      <c r="CU5" s="19">
        <v>0</v>
      </c>
      <c r="CV5" s="19">
        <v>0</v>
      </c>
      <c r="CW5" s="19">
        <v>0</v>
      </c>
      <c r="CX5" s="19">
        <v>0</v>
      </c>
      <c r="CY5" s="19">
        <v>0</v>
      </c>
      <c r="CZ5" s="17"/>
      <c r="DA5" s="19">
        <v>0</v>
      </c>
      <c r="DB5" s="17"/>
      <c r="DC5" s="17"/>
      <c r="DD5" s="19">
        <v>0</v>
      </c>
      <c r="DE5" s="17"/>
      <c r="DF5" s="17"/>
      <c r="DG5" s="19">
        <v>100</v>
      </c>
      <c r="DH5" s="17"/>
      <c r="DI5" s="17">
        <v>2958465</v>
      </c>
      <c r="DJ5" s="17"/>
      <c r="DK5" s="17"/>
      <c r="DL5" s="19">
        <v>0</v>
      </c>
      <c r="DM5" s="19">
        <v>0</v>
      </c>
    </row>
    <row r="6" spans="1:117" x14ac:dyDescent="0.2">
      <c r="A6" s="14" t="s">
        <v>3610</v>
      </c>
      <c r="B6" s="14" t="s">
        <v>1137</v>
      </c>
      <c r="C6" s="14" t="s">
        <v>158</v>
      </c>
      <c r="D6" s="14" t="s">
        <v>159</v>
      </c>
      <c r="E6" s="14" t="s">
        <v>158</v>
      </c>
      <c r="F6" s="14" t="s">
        <v>171</v>
      </c>
      <c r="G6" s="17">
        <v>45079</v>
      </c>
      <c r="H6" s="14" t="s">
        <v>172</v>
      </c>
      <c r="I6" s="14" t="s">
        <v>78</v>
      </c>
      <c r="J6" s="14" t="s">
        <v>359</v>
      </c>
      <c r="K6" s="14" t="s">
        <v>1138</v>
      </c>
      <c r="L6" s="14" t="s">
        <v>1139</v>
      </c>
      <c r="M6" s="14" t="s">
        <v>1140</v>
      </c>
      <c r="N6" s="16">
        <f>COUNTIF($M$3:M6, M6)</f>
        <v>1</v>
      </c>
      <c r="O6" s="16" t="e" cm="1">
        <f t="array" ref="O6">INDEX('[2]ALTA 20242025'!$B$2:$B$241, MATCH(1, ('[2]ALTA 20242025'!$I$2:$I$241=M6)*('[2]ALTA 20242025'!$J$2:$J$241=N6), 0))</f>
        <v>#N/A</v>
      </c>
      <c r="P6" s="16"/>
      <c r="Q6" s="16"/>
      <c r="R6" s="14" t="s">
        <v>2048</v>
      </c>
      <c r="S6" s="14" t="s">
        <v>2048</v>
      </c>
      <c r="T6" s="14" t="s">
        <v>2048</v>
      </c>
      <c r="U6" s="14" t="s">
        <v>2048</v>
      </c>
      <c r="V6" s="14" t="s">
        <v>72</v>
      </c>
      <c r="W6" s="14" t="s">
        <v>72</v>
      </c>
      <c r="X6" s="14" t="s">
        <v>72</v>
      </c>
      <c r="Y6" s="14" t="s">
        <v>2048</v>
      </c>
      <c r="Z6" s="14" t="s">
        <v>2048</v>
      </c>
      <c r="AA6" s="14" t="s">
        <v>2422</v>
      </c>
      <c r="AB6" s="14" t="s">
        <v>2049</v>
      </c>
      <c r="AC6" s="14" t="s">
        <v>2050</v>
      </c>
      <c r="AD6" s="14" t="s">
        <v>2048</v>
      </c>
      <c r="AE6" s="14" t="s">
        <v>2048</v>
      </c>
      <c r="AF6" s="14" t="s">
        <v>2048</v>
      </c>
      <c r="AG6" s="14" t="s">
        <v>2048</v>
      </c>
      <c r="AH6" s="14" t="s">
        <v>2048</v>
      </c>
      <c r="AI6" s="14" t="s">
        <v>77</v>
      </c>
      <c r="AJ6" s="14" t="s">
        <v>2054</v>
      </c>
      <c r="AK6" s="14" t="s">
        <v>2055</v>
      </c>
      <c r="AL6" s="14" t="s">
        <v>2055</v>
      </c>
      <c r="AM6" s="14" t="s">
        <v>2055</v>
      </c>
      <c r="AN6" s="14" t="s">
        <v>2068</v>
      </c>
      <c r="AO6" s="14" t="s">
        <v>2048</v>
      </c>
      <c r="AP6" s="14" t="s">
        <v>2048</v>
      </c>
      <c r="AQ6" s="14" t="s">
        <v>2048</v>
      </c>
      <c r="AR6" s="14" t="s">
        <v>3639</v>
      </c>
      <c r="AS6" s="14" t="s">
        <v>3640</v>
      </c>
      <c r="AT6" s="14" t="s">
        <v>2331</v>
      </c>
      <c r="AU6" s="14" t="s">
        <v>2059</v>
      </c>
      <c r="AV6" s="14" t="s">
        <v>2060</v>
      </c>
      <c r="AW6" s="14" t="s">
        <v>2048</v>
      </c>
      <c r="AX6" s="14" t="s">
        <v>2048</v>
      </c>
      <c r="AY6" s="14" t="s">
        <v>3641</v>
      </c>
      <c r="AZ6" s="14" t="s">
        <v>3642</v>
      </c>
      <c r="BA6" s="14" t="s">
        <v>2048</v>
      </c>
      <c r="BB6" s="14" t="s">
        <v>2048</v>
      </c>
      <c r="BC6" s="14" t="s">
        <v>3643</v>
      </c>
      <c r="BD6" s="14" t="s">
        <v>312</v>
      </c>
      <c r="BE6" s="14" t="s">
        <v>2048</v>
      </c>
      <c r="BF6" s="14" t="s">
        <v>2048</v>
      </c>
      <c r="BG6" s="14" t="s">
        <v>2048</v>
      </c>
      <c r="BH6" s="14" t="s">
        <v>2048</v>
      </c>
      <c r="BI6" s="14" t="s">
        <v>2048</v>
      </c>
      <c r="BJ6" s="14" t="s">
        <v>2048</v>
      </c>
      <c r="BK6" s="14" t="s">
        <v>2048</v>
      </c>
      <c r="BL6" s="14" t="s">
        <v>2048</v>
      </c>
      <c r="BM6" s="14" t="s">
        <v>2048</v>
      </c>
      <c r="BN6" s="14" t="s">
        <v>2048</v>
      </c>
      <c r="BO6" s="14" t="s">
        <v>2048</v>
      </c>
      <c r="BP6" s="14" t="s">
        <v>2064</v>
      </c>
      <c r="BQ6" s="14" t="s">
        <v>72</v>
      </c>
      <c r="BR6" s="14" t="s">
        <v>72</v>
      </c>
      <c r="BS6" s="14" t="s">
        <v>2048</v>
      </c>
      <c r="BT6" s="14" t="s">
        <v>2048</v>
      </c>
      <c r="BU6" s="14" t="s">
        <v>2048</v>
      </c>
      <c r="BV6" s="14" t="s">
        <v>2418</v>
      </c>
      <c r="BW6" s="14" t="s">
        <v>2089</v>
      </c>
      <c r="BX6" s="14" t="s">
        <v>2048</v>
      </c>
      <c r="BY6" s="14" t="s">
        <v>2048</v>
      </c>
      <c r="BZ6" s="14" t="s">
        <v>2048</v>
      </c>
      <c r="CA6" s="14" t="s">
        <v>2048</v>
      </c>
      <c r="CB6" s="14" t="s">
        <v>72</v>
      </c>
      <c r="CC6" s="14" t="s">
        <v>2048</v>
      </c>
      <c r="CD6" s="14" t="s">
        <v>2048</v>
      </c>
      <c r="CE6" s="14" t="s">
        <v>2048</v>
      </c>
      <c r="CF6" s="14" t="s">
        <v>2048</v>
      </c>
      <c r="CG6" s="14" t="s">
        <v>2048</v>
      </c>
      <c r="CH6" s="14" t="s">
        <v>2048</v>
      </c>
      <c r="CI6" s="14" t="s">
        <v>2048</v>
      </c>
      <c r="CJ6" s="14" t="s">
        <v>2048</v>
      </c>
      <c r="CK6" s="14" t="s">
        <v>2121</v>
      </c>
      <c r="CL6" s="14" t="s">
        <v>2122</v>
      </c>
      <c r="CM6" s="14" t="s">
        <v>2048</v>
      </c>
      <c r="CN6" s="17"/>
      <c r="CO6" s="17">
        <v>39192</v>
      </c>
      <c r="CP6" s="17">
        <v>40274</v>
      </c>
      <c r="CR6" s="17">
        <v>45079</v>
      </c>
      <c r="CS6" s="19">
        <v>0</v>
      </c>
      <c r="CT6" s="19">
        <v>0</v>
      </c>
      <c r="CU6" s="19">
        <v>0</v>
      </c>
      <c r="CV6" s="19">
        <v>0</v>
      </c>
      <c r="CW6" s="19">
        <v>0</v>
      </c>
      <c r="CX6" s="19">
        <v>0</v>
      </c>
      <c r="CY6" s="19">
        <v>0</v>
      </c>
      <c r="CZ6" s="17"/>
      <c r="DA6" s="19">
        <v>0</v>
      </c>
      <c r="DB6" s="17"/>
      <c r="DC6" s="17"/>
      <c r="DD6" s="19">
        <v>0</v>
      </c>
      <c r="DE6" s="17"/>
      <c r="DF6" s="17"/>
      <c r="DG6" s="19">
        <v>100</v>
      </c>
      <c r="DH6" s="17"/>
      <c r="DI6" s="17">
        <v>2958465</v>
      </c>
      <c r="DJ6" s="17"/>
      <c r="DK6" s="17"/>
      <c r="DL6" s="19">
        <v>0</v>
      </c>
      <c r="DM6" s="19">
        <v>0</v>
      </c>
    </row>
    <row r="7" spans="1:117" x14ac:dyDescent="0.2">
      <c r="A7" s="14" t="s">
        <v>3610</v>
      </c>
      <c r="B7" s="14" t="s">
        <v>1282</v>
      </c>
      <c r="C7" s="14" t="s">
        <v>73</v>
      </c>
      <c r="D7" s="14" t="s">
        <v>74</v>
      </c>
      <c r="E7" s="14" t="s">
        <v>75</v>
      </c>
      <c r="F7" s="14" t="s">
        <v>76</v>
      </c>
      <c r="G7" s="17">
        <v>44958</v>
      </c>
      <c r="H7" s="14" t="s">
        <v>77</v>
      </c>
      <c r="I7" s="14" t="s">
        <v>78</v>
      </c>
      <c r="J7" s="14" t="s">
        <v>380</v>
      </c>
      <c r="K7" s="14" t="s">
        <v>787</v>
      </c>
      <c r="L7" s="14" t="s">
        <v>102</v>
      </c>
      <c r="M7" s="14" t="s">
        <v>103</v>
      </c>
      <c r="N7" s="16">
        <f>COUNTIF($M$3:M7, M7)</f>
        <v>1</v>
      </c>
      <c r="O7" s="16" t="str" cm="1">
        <f t="array" ref="O7">INDEX('[2]ALTA 20242025'!$B$2:$B$241, MATCH(1, ('[2]ALTA 20242025'!$I$2:$I$241=M7)*('[2]ALTA 20242025'!$J$2:$J$241=N7), 0))</f>
        <v>3219MHW</v>
      </c>
      <c r="P7" s="16"/>
      <c r="Q7" s="16"/>
      <c r="R7" s="14" t="s">
        <v>2048</v>
      </c>
      <c r="S7" s="14" t="s">
        <v>2048</v>
      </c>
      <c r="T7" s="14" t="s">
        <v>2048</v>
      </c>
      <c r="U7" s="14" t="s">
        <v>2048</v>
      </c>
      <c r="V7" s="14" t="s">
        <v>72</v>
      </c>
      <c r="W7" s="14" t="s">
        <v>72</v>
      </c>
      <c r="X7" s="14" t="s">
        <v>72</v>
      </c>
      <c r="Y7" s="14" t="s">
        <v>3644</v>
      </c>
      <c r="Z7" s="14" t="s">
        <v>2048</v>
      </c>
      <c r="AA7" s="14" t="s">
        <v>2422</v>
      </c>
      <c r="AB7" s="14" t="s">
        <v>2049</v>
      </c>
      <c r="AC7" s="14" t="s">
        <v>2050</v>
      </c>
      <c r="AD7" s="14" t="s">
        <v>2048</v>
      </c>
      <c r="AE7" s="14" t="s">
        <v>2048</v>
      </c>
      <c r="AF7" s="14" t="s">
        <v>2048</v>
      </c>
      <c r="AG7" s="14" t="s">
        <v>2048</v>
      </c>
      <c r="AH7" s="14" t="s">
        <v>2048</v>
      </c>
      <c r="AI7" s="14" t="s">
        <v>2129</v>
      </c>
      <c r="AJ7" s="14" t="s">
        <v>2130</v>
      </c>
      <c r="AK7" s="14" t="s">
        <v>2055</v>
      </c>
      <c r="AL7" s="14" t="s">
        <v>2055</v>
      </c>
      <c r="AM7" s="14" t="s">
        <v>2055</v>
      </c>
      <c r="AN7" s="14" t="s">
        <v>2068</v>
      </c>
      <c r="AO7" s="14" t="s">
        <v>2048</v>
      </c>
      <c r="AP7" s="14" t="s">
        <v>2048</v>
      </c>
      <c r="AQ7" s="14" t="s">
        <v>2048</v>
      </c>
      <c r="AR7" s="14" t="s">
        <v>2074</v>
      </c>
      <c r="AS7" s="14" t="s">
        <v>108</v>
      </c>
      <c r="AT7" s="14" t="s">
        <v>3191</v>
      </c>
      <c r="AU7" s="14" t="s">
        <v>2059</v>
      </c>
      <c r="AV7" s="14" t="s">
        <v>2060</v>
      </c>
      <c r="AW7" s="14" t="s">
        <v>2048</v>
      </c>
      <c r="AX7" s="14" t="s">
        <v>2048</v>
      </c>
      <c r="AY7" s="14" t="s">
        <v>2118</v>
      </c>
      <c r="AZ7" s="14" t="s">
        <v>2119</v>
      </c>
      <c r="BA7" s="14" t="s">
        <v>2048</v>
      </c>
      <c r="BB7" s="14" t="s">
        <v>2048</v>
      </c>
      <c r="BC7" s="14" t="s">
        <v>102</v>
      </c>
      <c r="BD7" s="14" t="s">
        <v>440</v>
      </c>
      <c r="BE7" s="14" t="s">
        <v>2079</v>
      </c>
      <c r="BF7" s="14" t="s">
        <v>2048</v>
      </c>
      <c r="BG7" s="14" t="s">
        <v>2048</v>
      </c>
      <c r="BH7" s="14" t="s">
        <v>2080</v>
      </c>
      <c r="BI7" s="14" t="s">
        <v>2081</v>
      </c>
      <c r="BJ7" s="14" t="s">
        <v>2082</v>
      </c>
      <c r="BK7" s="14" t="s">
        <v>2083</v>
      </c>
      <c r="BL7" s="14" t="s">
        <v>2084</v>
      </c>
      <c r="BM7" s="14" t="s">
        <v>2085</v>
      </c>
      <c r="BN7" s="14" t="s">
        <v>2048</v>
      </c>
      <c r="BO7" s="14" t="s">
        <v>2518</v>
      </c>
      <c r="BP7" s="14" t="s">
        <v>2064</v>
      </c>
      <c r="BQ7" s="14" t="s">
        <v>72</v>
      </c>
      <c r="BR7" s="14" t="s">
        <v>72</v>
      </c>
      <c r="BS7" s="14" t="s">
        <v>2048</v>
      </c>
      <c r="BT7" s="14" t="s">
        <v>2048</v>
      </c>
      <c r="BU7" s="14" t="s">
        <v>2048</v>
      </c>
      <c r="BV7" s="14" t="s">
        <v>2418</v>
      </c>
      <c r="BW7" s="14" t="s">
        <v>2089</v>
      </c>
      <c r="BX7" s="14" t="s">
        <v>2048</v>
      </c>
      <c r="BY7" s="14" t="s">
        <v>2048</v>
      </c>
      <c r="BZ7" s="14" t="s">
        <v>2048</v>
      </c>
      <c r="CA7" s="14" t="s">
        <v>2048</v>
      </c>
      <c r="CB7" s="14" t="s">
        <v>72</v>
      </c>
      <c r="CC7" s="14" t="s">
        <v>2048</v>
      </c>
      <c r="CD7" s="14" t="s">
        <v>2048</v>
      </c>
      <c r="CE7" s="14" t="s">
        <v>2048</v>
      </c>
      <c r="CF7" s="14" t="s">
        <v>2048</v>
      </c>
      <c r="CG7" s="14" t="s">
        <v>2048</v>
      </c>
      <c r="CH7" s="14" t="s">
        <v>2048</v>
      </c>
      <c r="CI7" s="14" t="s">
        <v>2048</v>
      </c>
      <c r="CJ7" s="14" t="s">
        <v>2048</v>
      </c>
      <c r="CK7" s="14" t="s">
        <v>2057</v>
      </c>
      <c r="CL7" s="14" t="s">
        <v>2090</v>
      </c>
      <c r="CM7" s="14" t="s">
        <v>2048</v>
      </c>
      <c r="CN7" s="17"/>
      <c r="CO7" s="17">
        <v>44958</v>
      </c>
      <c r="CP7" s="17">
        <v>44958</v>
      </c>
      <c r="CR7" s="17">
        <v>44958</v>
      </c>
      <c r="CS7" s="19">
        <v>0</v>
      </c>
      <c r="CT7" s="19">
        <v>0</v>
      </c>
      <c r="CU7" s="19">
        <v>398.9</v>
      </c>
      <c r="CV7" s="19">
        <v>0</v>
      </c>
      <c r="CW7" s="19">
        <v>398.9</v>
      </c>
      <c r="CX7" s="19">
        <v>482.67</v>
      </c>
      <c r="CY7" s="19">
        <v>0</v>
      </c>
      <c r="CZ7" s="17"/>
      <c r="DA7" s="19">
        <v>0</v>
      </c>
      <c r="DB7" s="17"/>
      <c r="DC7" s="17"/>
      <c r="DD7" s="19">
        <v>0</v>
      </c>
      <c r="DE7" s="17"/>
      <c r="DF7" s="17"/>
      <c r="DG7" s="19">
        <v>100</v>
      </c>
      <c r="DH7" s="17"/>
      <c r="DI7" s="17">
        <v>45291</v>
      </c>
      <c r="DJ7" s="17"/>
      <c r="DK7" s="17"/>
      <c r="DL7" s="19">
        <v>0</v>
      </c>
      <c r="DM7" s="19">
        <v>0</v>
      </c>
    </row>
    <row r="8" spans="1:117" x14ac:dyDescent="0.2">
      <c r="A8" s="14" t="s">
        <v>3610</v>
      </c>
      <c r="B8" s="14" t="s">
        <v>751</v>
      </c>
      <c r="C8" s="14" t="s">
        <v>129</v>
      </c>
      <c r="D8" s="14" t="s">
        <v>74</v>
      </c>
      <c r="E8" s="14" t="s">
        <v>75</v>
      </c>
      <c r="F8" s="14" t="s">
        <v>76</v>
      </c>
      <c r="G8" s="17">
        <v>44964</v>
      </c>
      <c r="H8" s="14" t="s">
        <v>77</v>
      </c>
      <c r="I8" s="14" t="s">
        <v>78</v>
      </c>
      <c r="J8" s="14" t="s">
        <v>85</v>
      </c>
      <c r="K8" s="14" t="s">
        <v>752</v>
      </c>
      <c r="L8" s="14" t="s">
        <v>131</v>
      </c>
      <c r="M8" s="14" t="s">
        <v>132</v>
      </c>
      <c r="N8" s="16">
        <f>COUNTIF($M$3:M8, M8)</f>
        <v>1</v>
      </c>
      <c r="O8" s="16" t="str" cm="1">
        <f t="array" ref="O8">INDEX('[2]ALTA 20242025'!$B$2:$B$241, MATCH(1, ('[2]ALTA 20242025'!$I$2:$I$241=M8)*('[2]ALTA 20242025'!$J$2:$J$241=N8), 0))</f>
        <v>0682MWF</v>
      </c>
      <c r="P8" s="16"/>
      <c r="Q8" s="16"/>
      <c r="R8" s="14" t="s">
        <v>2048</v>
      </c>
      <c r="S8" s="14" t="s">
        <v>2048</v>
      </c>
      <c r="T8" s="14" t="s">
        <v>2048</v>
      </c>
      <c r="U8" s="14" t="s">
        <v>2048</v>
      </c>
      <c r="V8" s="14" t="s">
        <v>3645</v>
      </c>
      <c r="W8" s="14" t="s">
        <v>3646</v>
      </c>
      <c r="X8" s="14" t="s">
        <v>3646</v>
      </c>
      <c r="Y8" s="14" t="s">
        <v>3647</v>
      </c>
      <c r="Z8" s="14" t="s">
        <v>2048</v>
      </c>
      <c r="AA8" s="14" t="s">
        <v>2422</v>
      </c>
      <c r="AB8" s="14" t="s">
        <v>2049</v>
      </c>
      <c r="AC8" s="14" t="s">
        <v>2050</v>
      </c>
      <c r="AD8" s="14" t="s">
        <v>2048</v>
      </c>
      <c r="AE8" s="14" t="s">
        <v>2048</v>
      </c>
      <c r="AF8" s="14" t="s">
        <v>2048</v>
      </c>
      <c r="AG8" s="14" t="s">
        <v>200</v>
      </c>
      <c r="AH8" s="14" t="s">
        <v>3622</v>
      </c>
      <c r="AI8" s="14" t="s">
        <v>2442</v>
      </c>
      <c r="AJ8" s="14" t="s">
        <v>2443</v>
      </c>
      <c r="AK8" s="14" t="s">
        <v>2056</v>
      </c>
      <c r="AL8" s="14" t="s">
        <v>2056</v>
      </c>
      <c r="AM8" s="14" t="s">
        <v>2055</v>
      </c>
      <c r="AN8" s="14" t="s">
        <v>2068</v>
      </c>
      <c r="AO8" s="14" t="s">
        <v>2048</v>
      </c>
      <c r="AP8" s="14" t="s">
        <v>2048</v>
      </c>
      <c r="AQ8" s="14" t="s">
        <v>2048</v>
      </c>
      <c r="AR8" s="14" t="s">
        <v>2508</v>
      </c>
      <c r="AS8" s="14" t="s">
        <v>3648</v>
      </c>
      <c r="AT8" s="14" t="s">
        <v>3472</v>
      </c>
      <c r="AU8" s="14" t="s">
        <v>2059</v>
      </c>
      <c r="AV8" s="14" t="s">
        <v>3649</v>
      </c>
      <c r="AW8" s="14" t="s">
        <v>3650</v>
      </c>
      <c r="AX8" s="14" t="s">
        <v>2048</v>
      </c>
      <c r="AY8" s="14" t="s">
        <v>2448</v>
      </c>
      <c r="AZ8" s="14" t="s">
        <v>2449</v>
      </c>
      <c r="BA8" s="14" t="s">
        <v>2048</v>
      </c>
      <c r="BB8" s="14" t="s">
        <v>2048</v>
      </c>
      <c r="BC8" s="14" t="s">
        <v>131</v>
      </c>
      <c r="BD8" s="14" t="s">
        <v>753</v>
      </c>
      <c r="BE8" s="14" t="s">
        <v>3405</v>
      </c>
      <c r="BF8" s="14" t="s">
        <v>2048</v>
      </c>
      <c r="BG8" s="14" t="s">
        <v>2048</v>
      </c>
      <c r="BH8" s="14" t="s">
        <v>2048</v>
      </c>
      <c r="BI8" s="14" t="s">
        <v>2048</v>
      </c>
      <c r="BJ8" s="14" t="s">
        <v>2452</v>
      </c>
      <c r="BK8" s="14" t="s">
        <v>2453</v>
      </c>
      <c r="BL8" s="14" t="s">
        <v>2454</v>
      </c>
      <c r="BM8" s="14" t="s">
        <v>2455</v>
      </c>
      <c r="BN8" s="14" t="s">
        <v>2048</v>
      </c>
      <c r="BO8" s="14" t="s">
        <v>2048</v>
      </c>
      <c r="BP8" s="14" t="s">
        <v>2064</v>
      </c>
      <c r="BQ8" s="14" t="s">
        <v>72</v>
      </c>
      <c r="BR8" s="14" t="s">
        <v>72</v>
      </c>
      <c r="BS8" s="14" t="s">
        <v>2048</v>
      </c>
      <c r="BT8" s="14" t="s">
        <v>3375</v>
      </c>
      <c r="BU8" s="14" t="s">
        <v>3376</v>
      </c>
      <c r="BV8" s="14" t="s">
        <v>2418</v>
      </c>
      <c r="BW8" s="14" t="s">
        <v>2089</v>
      </c>
      <c r="BX8" s="14" t="s">
        <v>2048</v>
      </c>
      <c r="BY8" s="14" t="s">
        <v>2048</v>
      </c>
      <c r="BZ8" s="14" t="s">
        <v>2048</v>
      </c>
      <c r="CA8" s="14" t="s">
        <v>2048</v>
      </c>
      <c r="CB8" s="14" t="s">
        <v>2048</v>
      </c>
      <c r="CC8" s="14" t="s">
        <v>2048</v>
      </c>
      <c r="CD8" s="14" t="s">
        <v>2048</v>
      </c>
      <c r="CE8" s="14" t="s">
        <v>2048</v>
      </c>
      <c r="CF8" s="14" t="s">
        <v>2048</v>
      </c>
      <c r="CG8" s="14" t="s">
        <v>2048</v>
      </c>
      <c r="CH8" s="14" t="s">
        <v>2048</v>
      </c>
      <c r="CI8" s="14" t="s">
        <v>2048</v>
      </c>
      <c r="CJ8" s="14" t="s">
        <v>2048</v>
      </c>
      <c r="CK8" s="14" t="s">
        <v>3651</v>
      </c>
      <c r="CL8" s="14" t="s">
        <v>3652</v>
      </c>
      <c r="CM8" s="14" t="s">
        <v>2048</v>
      </c>
      <c r="CN8" s="17"/>
      <c r="CO8" s="17">
        <v>44861</v>
      </c>
      <c r="CP8" s="17">
        <v>44861</v>
      </c>
      <c r="CR8" s="17">
        <v>44964</v>
      </c>
      <c r="CS8" s="19">
        <v>0</v>
      </c>
      <c r="CT8" s="19">
        <v>0</v>
      </c>
      <c r="CU8" s="19">
        <v>870</v>
      </c>
      <c r="CV8" s="19">
        <v>0</v>
      </c>
      <c r="CW8" s="19">
        <v>870</v>
      </c>
      <c r="CX8" s="20">
        <v>1052.7</v>
      </c>
      <c r="CY8" s="19">
        <v>0</v>
      </c>
      <c r="CZ8" s="17"/>
      <c r="DA8" s="19">
        <v>0</v>
      </c>
      <c r="DB8" s="17"/>
      <c r="DC8" s="17"/>
      <c r="DD8" s="19">
        <v>0</v>
      </c>
      <c r="DE8" s="17"/>
      <c r="DF8" s="17"/>
      <c r="DG8" s="19">
        <v>50</v>
      </c>
      <c r="DH8" s="17"/>
      <c r="DI8" s="17">
        <v>45016</v>
      </c>
      <c r="DJ8" s="17"/>
      <c r="DK8" s="17"/>
      <c r="DL8" s="19">
        <v>0</v>
      </c>
      <c r="DM8" s="19">
        <v>0</v>
      </c>
    </row>
    <row r="9" spans="1:117" x14ac:dyDescent="0.2">
      <c r="A9" s="14" t="s">
        <v>3610</v>
      </c>
      <c r="B9" s="14" t="s">
        <v>917</v>
      </c>
      <c r="C9" s="14" t="s">
        <v>129</v>
      </c>
      <c r="D9" s="14" t="s">
        <v>74</v>
      </c>
      <c r="E9" s="14" t="s">
        <v>75</v>
      </c>
      <c r="F9" s="14" t="s">
        <v>76</v>
      </c>
      <c r="G9" s="17">
        <v>44966</v>
      </c>
      <c r="H9" s="14" t="s">
        <v>77</v>
      </c>
      <c r="I9" s="14" t="s">
        <v>78</v>
      </c>
      <c r="J9" s="14" t="s">
        <v>79</v>
      </c>
      <c r="K9" s="14" t="s">
        <v>918</v>
      </c>
      <c r="L9" s="14" t="s">
        <v>131</v>
      </c>
      <c r="M9" s="14" t="s">
        <v>132</v>
      </c>
      <c r="N9" s="16">
        <f>COUNTIF($M$3:M9, M9)</f>
        <v>2</v>
      </c>
      <c r="O9" s="16" t="str" cm="1">
        <f t="array" ref="O9">INDEX('[2]ALTA 20242025'!$B$2:$B$241, MATCH(1, ('[2]ALTA 20242025'!$I$2:$I$241=M9)*('[2]ALTA 20242025'!$J$2:$J$241=N9), 0))</f>
        <v>5665MWP</v>
      </c>
      <c r="P9" s="16"/>
      <c r="Q9" s="16"/>
      <c r="R9" s="14" t="s">
        <v>2048</v>
      </c>
      <c r="S9" s="14" t="s">
        <v>2048</v>
      </c>
      <c r="T9" s="14" t="s">
        <v>2048</v>
      </c>
      <c r="U9" s="14" t="s">
        <v>2048</v>
      </c>
      <c r="V9" s="14" t="s">
        <v>3645</v>
      </c>
      <c r="W9" s="14" t="s">
        <v>3653</v>
      </c>
      <c r="X9" s="14" t="s">
        <v>3653</v>
      </c>
      <c r="Y9" s="14" t="s">
        <v>3654</v>
      </c>
      <c r="Z9" s="14" t="s">
        <v>2048</v>
      </c>
      <c r="AA9" s="14" t="s">
        <v>2422</v>
      </c>
      <c r="AB9" s="14" t="s">
        <v>2049</v>
      </c>
      <c r="AC9" s="14" t="s">
        <v>2050</v>
      </c>
      <c r="AD9" s="14" t="s">
        <v>2048</v>
      </c>
      <c r="AE9" s="14" t="s">
        <v>2048</v>
      </c>
      <c r="AF9" s="14" t="s">
        <v>2048</v>
      </c>
      <c r="AG9" s="14" t="s">
        <v>200</v>
      </c>
      <c r="AH9" s="14" t="s">
        <v>3622</v>
      </c>
      <c r="AI9" s="14" t="s">
        <v>2129</v>
      </c>
      <c r="AJ9" s="14" t="s">
        <v>2130</v>
      </c>
      <c r="AK9" s="14" t="s">
        <v>2055</v>
      </c>
      <c r="AL9" s="14" t="s">
        <v>2055</v>
      </c>
      <c r="AM9" s="14" t="s">
        <v>2055</v>
      </c>
      <c r="AN9" s="14" t="s">
        <v>2068</v>
      </c>
      <c r="AO9" s="14" t="s">
        <v>2048</v>
      </c>
      <c r="AP9" s="14" t="s">
        <v>2048</v>
      </c>
      <c r="AQ9" s="14" t="s">
        <v>2048</v>
      </c>
      <c r="AR9" s="14" t="s">
        <v>2443</v>
      </c>
      <c r="AS9" s="14" t="s">
        <v>3648</v>
      </c>
      <c r="AT9" s="14" t="s">
        <v>3655</v>
      </c>
      <c r="AU9" s="14" t="s">
        <v>3656</v>
      </c>
      <c r="AV9" s="14" t="s">
        <v>2060</v>
      </c>
      <c r="AW9" s="14" t="s">
        <v>2048</v>
      </c>
      <c r="AX9" s="14" t="s">
        <v>72</v>
      </c>
      <c r="AY9" s="14" t="s">
        <v>2448</v>
      </c>
      <c r="AZ9" s="14" t="s">
        <v>2449</v>
      </c>
      <c r="BA9" s="14" t="s">
        <v>2048</v>
      </c>
      <c r="BB9" s="14" t="s">
        <v>2048</v>
      </c>
      <c r="BC9" s="14" t="s">
        <v>131</v>
      </c>
      <c r="BD9" s="14" t="s">
        <v>133</v>
      </c>
      <c r="BE9" s="14" t="s">
        <v>3657</v>
      </c>
      <c r="BF9" s="14" t="s">
        <v>2048</v>
      </c>
      <c r="BG9" s="14" t="s">
        <v>2048</v>
      </c>
      <c r="BH9" s="14" t="s">
        <v>2048</v>
      </c>
      <c r="BI9" s="14" t="s">
        <v>2048</v>
      </c>
      <c r="BJ9" s="14" t="s">
        <v>2452</v>
      </c>
      <c r="BK9" s="14" t="s">
        <v>2453</v>
      </c>
      <c r="BL9" s="14" t="s">
        <v>2454</v>
      </c>
      <c r="BM9" s="14" t="s">
        <v>2455</v>
      </c>
      <c r="BN9" s="14" t="s">
        <v>2048</v>
      </c>
      <c r="BO9" s="14" t="s">
        <v>2518</v>
      </c>
      <c r="BP9" s="14" t="s">
        <v>2064</v>
      </c>
      <c r="BQ9" s="14" t="s">
        <v>72</v>
      </c>
      <c r="BR9" s="14" t="s">
        <v>72</v>
      </c>
      <c r="BS9" s="14" t="s">
        <v>2048</v>
      </c>
      <c r="BT9" s="14" t="s">
        <v>2048</v>
      </c>
      <c r="BU9" s="14" t="s">
        <v>2048</v>
      </c>
      <c r="BV9" s="14" t="s">
        <v>2418</v>
      </c>
      <c r="BW9" s="14" t="s">
        <v>2089</v>
      </c>
      <c r="BX9" s="14" t="s">
        <v>2048</v>
      </c>
      <c r="BY9" s="14" t="s">
        <v>2048</v>
      </c>
      <c r="BZ9" s="14" t="s">
        <v>2048</v>
      </c>
      <c r="CA9" s="14" t="s">
        <v>2048</v>
      </c>
      <c r="CB9" s="14" t="s">
        <v>2048</v>
      </c>
      <c r="CC9" s="14" t="s">
        <v>2048</v>
      </c>
      <c r="CD9" s="14" t="s">
        <v>2048</v>
      </c>
      <c r="CE9" s="14" t="s">
        <v>2048</v>
      </c>
      <c r="CF9" s="14" t="s">
        <v>2048</v>
      </c>
      <c r="CG9" s="14" t="s">
        <v>2048</v>
      </c>
      <c r="CH9" s="14" t="s">
        <v>2048</v>
      </c>
      <c r="CI9" s="14" t="s">
        <v>2048</v>
      </c>
      <c r="CJ9" s="14" t="s">
        <v>2048</v>
      </c>
      <c r="CK9" s="14" t="s">
        <v>2121</v>
      </c>
      <c r="CL9" s="14" t="s">
        <v>2122</v>
      </c>
      <c r="CM9" s="14" t="s">
        <v>2048</v>
      </c>
      <c r="CN9" s="17"/>
      <c r="CO9" s="17">
        <v>44260</v>
      </c>
      <c r="CP9" s="17">
        <v>44260</v>
      </c>
      <c r="CR9" s="17">
        <v>44966</v>
      </c>
      <c r="CS9" s="19">
        <v>0</v>
      </c>
      <c r="CT9" s="19">
        <v>0</v>
      </c>
      <c r="CU9" s="19">
        <v>600</v>
      </c>
      <c r="CV9" s="19">
        <v>0</v>
      </c>
      <c r="CW9" s="19">
        <v>600</v>
      </c>
      <c r="CX9" s="19">
        <v>726</v>
      </c>
      <c r="CY9" s="19">
        <v>0</v>
      </c>
      <c r="CZ9" s="17"/>
      <c r="DA9" s="19">
        <v>0</v>
      </c>
      <c r="DB9" s="17"/>
      <c r="DC9" s="17"/>
      <c r="DD9" s="19">
        <v>0</v>
      </c>
      <c r="DE9" s="17"/>
      <c r="DF9" s="17"/>
      <c r="DG9" s="19">
        <v>100</v>
      </c>
      <c r="DH9" s="17"/>
      <c r="DI9" s="17">
        <v>44926</v>
      </c>
      <c r="DJ9" s="17"/>
      <c r="DK9" s="17"/>
      <c r="DL9" s="19">
        <v>0</v>
      </c>
      <c r="DM9" s="19">
        <v>0</v>
      </c>
    </row>
    <row r="10" spans="1:117" x14ac:dyDescent="0.2">
      <c r="A10" s="14" t="s">
        <v>3610</v>
      </c>
      <c r="B10" s="14" t="s">
        <v>1047</v>
      </c>
      <c r="C10" s="14" t="s">
        <v>158</v>
      </c>
      <c r="D10" s="14" t="s">
        <v>159</v>
      </c>
      <c r="E10" s="14" t="s">
        <v>158</v>
      </c>
      <c r="F10" s="14" t="s">
        <v>171</v>
      </c>
      <c r="G10" s="17">
        <v>45124</v>
      </c>
      <c r="H10" s="14" t="s">
        <v>172</v>
      </c>
      <c r="I10" s="14" t="s">
        <v>78</v>
      </c>
      <c r="J10" s="14" t="s">
        <v>1048</v>
      </c>
      <c r="K10" s="14" t="s">
        <v>1049</v>
      </c>
      <c r="L10" s="14" t="s">
        <v>1050</v>
      </c>
      <c r="M10" s="14" t="s">
        <v>1051</v>
      </c>
      <c r="N10" s="16">
        <f>COUNTIF($M$3:M10, M10)</f>
        <v>1</v>
      </c>
      <c r="O10" s="16" t="str" cm="1">
        <f t="array" ref="O10">INDEX('[2]ALTA 20242025'!$B$2:$B$241, MATCH(1, ('[2]ALTA 20242025'!$I$2:$I$241=M10)*('[2]ALTA 20242025'!$J$2:$J$241=N10), 0))</f>
        <v>1954MXT</v>
      </c>
      <c r="P10" s="16"/>
      <c r="Q10" s="16"/>
      <c r="R10" s="14" t="s">
        <v>2048</v>
      </c>
      <c r="S10" s="14" t="s">
        <v>2048</v>
      </c>
      <c r="T10" s="14" t="s">
        <v>2048</v>
      </c>
      <c r="U10" s="14" t="s">
        <v>2048</v>
      </c>
      <c r="V10" s="14" t="s">
        <v>3658</v>
      </c>
      <c r="W10" s="14" t="s">
        <v>72</v>
      </c>
      <c r="X10" s="14" t="s">
        <v>72</v>
      </c>
      <c r="Y10" s="14" t="s">
        <v>2048</v>
      </c>
      <c r="Z10" s="14" t="s">
        <v>2048</v>
      </c>
      <c r="AA10" s="14" t="s">
        <v>2422</v>
      </c>
      <c r="AB10" s="14" t="s">
        <v>2049</v>
      </c>
      <c r="AC10" s="14" t="s">
        <v>2050</v>
      </c>
      <c r="AD10" s="14" t="s">
        <v>2048</v>
      </c>
      <c r="AE10" s="14" t="s">
        <v>2048</v>
      </c>
      <c r="AF10" s="14" t="s">
        <v>2048</v>
      </c>
      <c r="AG10" s="14" t="s">
        <v>2048</v>
      </c>
      <c r="AH10" s="14" t="s">
        <v>2048</v>
      </c>
      <c r="AI10" s="14" t="s">
        <v>2132</v>
      </c>
      <c r="AJ10" s="14" t="s">
        <v>2133</v>
      </c>
      <c r="AK10" s="14" t="s">
        <v>2055</v>
      </c>
      <c r="AL10" s="14" t="s">
        <v>2055</v>
      </c>
      <c r="AM10" s="14" t="s">
        <v>2055</v>
      </c>
      <c r="AN10" s="14" t="s">
        <v>2068</v>
      </c>
      <c r="AO10" s="14" t="s">
        <v>2048</v>
      </c>
      <c r="AP10" s="14" t="s">
        <v>2048</v>
      </c>
      <c r="AQ10" s="14" t="s">
        <v>2048</v>
      </c>
      <c r="AR10" s="14" t="s">
        <v>3659</v>
      </c>
      <c r="AS10" s="14" t="s">
        <v>2048</v>
      </c>
      <c r="AT10" s="14" t="s">
        <v>2048</v>
      </c>
      <c r="AU10" s="14" t="s">
        <v>2059</v>
      </c>
      <c r="AV10" s="14" t="s">
        <v>3660</v>
      </c>
      <c r="AW10" s="14" t="s">
        <v>3661</v>
      </c>
      <c r="AX10" s="14" t="s">
        <v>2048</v>
      </c>
      <c r="AY10" s="14" t="s">
        <v>3662</v>
      </c>
      <c r="AZ10" s="14" t="s">
        <v>3663</v>
      </c>
      <c r="BA10" s="14" t="s">
        <v>3664</v>
      </c>
      <c r="BB10" s="14" t="s">
        <v>2048</v>
      </c>
      <c r="BC10" s="14" t="s">
        <v>1050</v>
      </c>
      <c r="BD10" s="14" t="s">
        <v>1052</v>
      </c>
      <c r="BE10" s="14" t="s">
        <v>3665</v>
      </c>
      <c r="BF10" s="14" t="s">
        <v>2048</v>
      </c>
      <c r="BG10" s="14" t="s">
        <v>2048</v>
      </c>
      <c r="BH10" s="14" t="s">
        <v>2271</v>
      </c>
      <c r="BI10" s="14" t="s">
        <v>3666</v>
      </c>
      <c r="BJ10" s="14" t="s">
        <v>2271</v>
      </c>
      <c r="BK10" s="14" t="s">
        <v>3666</v>
      </c>
      <c r="BL10" s="14" t="s">
        <v>3667</v>
      </c>
      <c r="BM10" s="14" t="s">
        <v>3668</v>
      </c>
      <c r="BN10" s="14" t="s">
        <v>2048</v>
      </c>
      <c r="BO10" s="14" t="s">
        <v>2048</v>
      </c>
      <c r="BP10" s="14" t="s">
        <v>2064</v>
      </c>
      <c r="BQ10" s="14" t="s">
        <v>72</v>
      </c>
      <c r="BR10" s="14" t="s">
        <v>72</v>
      </c>
      <c r="BS10" s="14" t="s">
        <v>3669</v>
      </c>
      <c r="BT10" s="14" t="s">
        <v>3670</v>
      </c>
      <c r="BU10" s="14" t="s">
        <v>3671</v>
      </c>
      <c r="BV10" s="14" t="s">
        <v>2535</v>
      </c>
      <c r="BW10" s="14" t="s">
        <v>3672</v>
      </c>
      <c r="BX10" s="14" t="s">
        <v>2048</v>
      </c>
      <c r="BY10" s="14" t="s">
        <v>2048</v>
      </c>
      <c r="BZ10" s="14" t="s">
        <v>2048</v>
      </c>
      <c r="CA10" s="14" t="s">
        <v>2048</v>
      </c>
      <c r="CB10" s="14" t="s">
        <v>2048</v>
      </c>
      <c r="CC10" s="14" t="s">
        <v>2048</v>
      </c>
      <c r="CD10" s="14" t="s">
        <v>2048</v>
      </c>
      <c r="CE10" s="14" t="s">
        <v>2048</v>
      </c>
      <c r="CF10" s="14" t="s">
        <v>2048</v>
      </c>
      <c r="CG10" s="14" t="s">
        <v>2048</v>
      </c>
      <c r="CH10" s="14" t="s">
        <v>2048</v>
      </c>
      <c r="CI10" s="14" t="s">
        <v>2048</v>
      </c>
      <c r="CJ10" s="14" t="s">
        <v>2048</v>
      </c>
      <c r="CK10" s="14" t="s">
        <v>3651</v>
      </c>
      <c r="CL10" s="14" t="s">
        <v>3652</v>
      </c>
      <c r="CM10" s="14" t="s">
        <v>2048</v>
      </c>
      <c r="CN10" s="17"/>
      <c r="CO10" s="17">
        <v>43475</v>
      </c>
      <c r="CP10" s="17">
        <v>43475</v>
      </c>
      <c r="CR10" s="17">
        <v>45124</v>
      </c>
      <c r="CS10" s="19">
        <v>0</v>
      </c>
      <c r="CT10" s="19">
        <v>0</v>
      </c>
      <c r="CU10" s="19">
        <v>0</v>
      </c>
      <c r="CV10" s="19">
        <v>0</v>
      </c>
      <c r="CW10" s="19">
        <v>0</v>
      </c>
      <c r="CX10" s="19">
        <v>0</v>
      </c>
      <c r="CY10" s="19">
        <v>0</v>
      </c>
      <c r="CZ10" s="17"/>
      <c r="DA10" s="20">
        <v>54530</v>
      </c>
      <c r="DB10" s="17">
        <v>43555</v>
      </c>
      <c r="DC10" s="17"/>
      <c r="DD10" s="19">
        <v>0</v>
      </c>
      <c r="DE10" s="17"/>
      <c r="DF10" s="17"/>
      <c r="DG10" s="19">
        <v>100</v>
      </c>
      <c r="DH10" s="17"/>
      <c r="DI10" s="17">
        <v>45199</v>
      </c>
      <c r="DJ10" s="17"/>
      <c r="DK10" s="17"/>
      <c r="DL10" s="19">
        <v>0</v>
      </c>
      <c r="DM10" s="19">
        <v>0</v>
      </c>
    </row>
    <row r="11" spans="1:117" x14ac:dyDescent="0.2">
      <c r="A11" s="14" t="s">
        <v>3610</v>
      </c>
      <c r="B11" s="14" t="s">
        <v>1059</v>
      </c>
      <c r="C11" s="14" t="s">
        <v>158</v>
      </c>
      <c r="D11" s="14" t="s">
        <v>159</v>
      </c>
      <c r="E11" s="14" t="s">
        <v>158</v>
      </c>
      <c r="F11" s="14" t="s">
        <v>171</v>
      </c>
      <c r="G11" s="17">
        <v>45124</v>
      </c>
      <c r="H11" s="14" t="s">
        <v>172</v>
      </c>
      <c r="I11" s="14" t="s">
        <v>78</v>
      </c>
      <c r="J11" s="14" t="s">
        <v>887</v>
      </c>
      <c r="K11" s="14" t="s">
        <v>1060</v>
      </c>
      <c r="L11" s="14" t="s">
        <v>1050</v>
      </c>
      <c r="M11" s="14" t="s">
        <v>1051</v>
      </c>
      <c r="N11" s="16">
        <f>COUNTIF($M$3:M11, M11)</f>
        <v>2</v>
      </c>
      <c r="O11" s="16" t="str" cm="1">
        <f t="array" ref="O11">INDEX('[2]ALTA 20242025'!$B$2:$B$241, MATCH(1, ('[2]ALTA 20242025'!$I$2:$I$241=M11)*('[2]ALTA 20242025'!$J$2:$J$241=N11), 0))</f>
        <v>1970MXT</v>
      </c>
      <c r="P11" s="16"/>
      <c r="Q11" s="16"/>
      <c r="R11" s="14" t="s">
        <v>2048</v>
      </c>
      <c r="S11" s="14" t="s">
        <v>2048</v>
      </c>
      <c r="T11" s="14" t="s">
        <v>2048</v>
      </c>
      <c r="U11" s="14" t="s">
        <v>2048</v>
      </c>
      <c r="V11" s="14" t="s">
        <v>3673</v>
      </c>
      <c r="W11" s="14" t="s">
        <v>72</v>
      </c>
      <c r="X11" s="14" t="s">
        <v>72</v>
      </c>
      <c r="Y11" s="14" t="s">
        <v>2048</v>
      </c>
      <c r="Z11" s="14" t="s">
        <v>2048</v>
      </c>
      <c r="AA11" s="14" t="s">
        <v>2422</v>
      </c>
      <c r="AB11" s="14" t="s">
        <v>2049</v>
      </c>
      <c r="AC11" s="14" t="s">
        <v>2050</v>
      </c>
      <c r="AD11" s="14" t="s">
        <v>2048</v>
      </c>
      <c r="AE11" s="14" t="s">
        <v>2048</v>
      </c>
      <c r="AF11" s="14" t="s">
        <v>2048</v>
      </c>
      <c r="AG11" s="14" t="s">
        <v>2048</v>
      </c>
      <c r="AH11" s="14" t="s">
        <v>2048</v>
      </c>
      <c r="AI11" s="14" t="s">
        <v>2132</v>
      </c>
      <c r="AJ11" s="14" t="s">
        <v>2133</v>
      </c>
      <c r="AK11" s="14" t="s">
        <v>2055</v>
      </c>
      <c r="AL11" s="14" t="s">
        <v>2055</v>
      </c>
      <c r="AM11" s="14" t="s">
        <v>2055</v>
      </c>
      <c r="AN11" s="14" t="s">
        <v>2068</v>
      </c>
      <c r="AO11" s="14" t="s">
        <v>2048</v>
      </c>
      <c r="AP11" s="14" t="s">
        <v>2048</v>
      </c>
      <c r="AQ11" s="14" t="s">
        <v>2048</v>
      </c>
      <c r="AR11" s="14" t="s">
        <v>2048</v>
      </c>
      <c r="AS11" s="14" t="s">
        <v>2048</v>
      </c>
      <c r="AT11" s="14" t="s">
        <v>2048</v>
      </c>
      <c r="AU11" s="14" t="s">
        <v>2048</v>
      </c>
      <c r="AV11" s="14" t="s">
        <v>3674</v>
      </c>
      <c r="AW11" s="14" t="s">
        <v>3675</v>
      </c>
      <c r="AX11" s="14" t="s">
        <v>72</v>
      </c>
      <c r="AY11" s="14" t="s">
        <v>3662</v>
      </c>
      <c r="AZ11" s="14" t="s">
        <v>3663</v>
      </c>
      <c r="BA11" s="14" t="s">
        <v>2048</v>
      </c>
      <c r="BB11" s="14" t="s">
        <v>2048</v>
      </c>
      <c r="BC11" s="14" t="s">
        <v>1050</v>
      </c>
      <c r="BD11" s="14" t="s">
        <v>1052</v>
      </c>
      <c r="BE11" s="14" t="s">
        <v>3665</v>
      </c>
      <c r="BF11" s="14" t="s">
        <v>2048</v>
      </c>
      <c r="BG11" s="14" t="s">
        <v>2048</v>
      </c>
      <c r="BH11" s="14" t="s">
        <v>2271</v>
      </c>
      <c r="BI11" s="14" t="s">
        <v>3666</v>
      </c>
      <c r="BJ11" s="14" t="s">
        <v>2271</v>
      </c>
      <c r="BK11" s="14" t="s">
        <v>3666</v>
      </c>
      <c r="BL11" s="14" t="s">
        <v>3667</v>
      </c>
      <c r="BM11" s="14" t="s">
        <v>3668</v>
      </c>
      <c r="BN11" s="14" t="s">
        <v>2048</v>
      </c>
      <c r="BO11" s="14" t="s">
        <v>2048</v>
      </c>
      <c r="BP11" s="14" t="s">
        <v>2064</v>
      </c>
      <c r="BQ11" s="14" t="s">
        <v>72</v>
      </c>
      <c r="BR11" s="14" t="s">
        <v>72</v>
      </c>
      <c r="BS11" s="14" t="s">
        <v>3676</v>
      </c>
      <c r="BT11" s="14" t="s">
        <v>3670</v>
      </c>
      <c r="BU11" s="14" t="s">
        <v>3671</v>
      </c>
      <c r="BV11" s="14" t="s">
        <v>2535</v>
      </c>
      <c r="BW11" s="14" t="s">
        <v>3672</v>
      </c>
      <c r="BX11" s="14" t="s">
        <v>2048</v>
      </c>
      <c r="BY11" s="14" t="s">
        <v>2048</v>
      </c>
      <c r="BZ11" s="14" t="s">
        <v>2048</v>
      </c>
      <c r="CA11" s="14" t="s">
        <v>2048</v>
      </c>
      <c r="CB11" s="14" t="s">
        <v>2048</v>
      </c>
      <c r="CC11" s="14" t="s">
        <v>2048</v>
      </c>
      <c r="CD11" s="14" t="s">
        <v>2048</v>
      </c>
      <c r="CE11" s="14" t="s">
        <v>2048</v>
      </c>
      <c r="CF11" s="14" t="s">
        <v>2048</v>
      </c>
      <c r="CG11" s="14" t="s">
        <v>2048</v>
      </c>
      <c r="CH11" s="14" t="s">
        <v>2048</v>
      </c>
      <c r="CI11" s="14" t="s">
        <v>2048</v>
      </c>
      <c r="CJ11" s="14" t="s">
        <v>2048</v>
      </c>
      <c r="CK11" s="14" t="s">
        <v>3651</v>
      </c>
      <c r="CL11" s="14" t="s">
        <v>3652</v>
      </c>
      <c r="CM11" s="14" t="s">
        <v>2048</v>
      </c>
      <c r="CN11" s="17"/>
      <c r="CO11" s="17">
        <v>43601</v>
      </c>
      <c r="CP11" s="17">
        <v>43601</v>
      </c>
      <c r="CR11" s="17">
        <v>45124</v>
      </c>
      <c r="CS11" s="19">
        <v>0</v>
      </c>
      <c r="CT11" s="19">
        <v>0</v>
      </c>
      <c r="CU11" s="19">
        <v>0</v>
      </c>
      <c r="CV11" s="19">
        <v>0</v>
      </c>
      <c r="CW11" s="19">
        <v>0</v>
      </c>
      <c r="CX11" s="19">
        <v>0</v>
      </c>
      <c r="CY11" s="19">
        <v>0</v>
      </c>
      <c r="CZ11" s="17"/>
      <c r="DA11" s="19">
        <v>0</v>
      </c>
      <c r="DB11" s="17"/>
      <c r="DC11" s="17"/>
      <c r="DD11" s="19">
        <v>0</v>
      </c>
      <c r="DE11" s="17"/>
      <c r="DF11" s="17"/>
      <c r="DG11" s="19">
        <v>100</v>
      </c>
      <c r="DH11" s="17"/>
      <c r="DI11" s="17">
        <v>45199</v>
      </c>
      <c r="DJ11" s="17"/>
      <c r="DK11" s="17"/>
      <c r="DL11" s="19">
        <v>0</v>
      </c>
      <c r="DM11" s="19">
        <v>0</v>
      </c>
    </row>
    <row r="12" spans="1:117" x14ac:dyDescent="0.2">
      <c r="A12" s="14" t="s">
        <v>3610</v>
      </c>
      <c r="B12" s="14" t="s">
        <v>1377</v>
      </c>
      <c r="C12" s="14" t="s">
        <v>158</v>
      </c>
      <c r="D12" s="14" t="s">
        <v>159</v>
      </c>
      <c r="E12" s="14" t="s">
        <v>158</v>
      </c>
      <c r="F12" s="14" t="s">
        <v>171</v>
      </c>
      <c r="G12" s="17">
        <v>45124</v>
      </c>
      <c r="H12" s="14" t="s">
        <v>172</v>
      </c>
      <c r="I12" s="14" t="s">
        <v>78</v>
      </c>
      <c r="J12" s="14" t="s">
        <v>1185</v>
      </c>
      <c r="K12" s="14" t="s">
        <v>1378</v>
      </c>
      <c r="L12" s="14" t="s">
        <v>1050</v>
      </c>
      <c r="M12" s="14" t="s">
        <v>1051</v>
      </c>
      <c r="N12" s="16">
        <f>COUNTIF($M$3:M12, M12)</f>
        <v>3</v>
      </c>
      <c r="O12" s="16" t="str" cm="1">
        <f t="array" ref="O12">INDEX('[2]ALTA 20242025'!$B$2:$B$241, MATCH(1, ('[2]ALTA 20242025'!$I$2:$I$241=M12)*('[2]ALTA 20242025'!$J$2:$J$241=N12), 0))</f>
        <v>1976MXT</v>
      </c>
      <c r="P12" s="16"/>
      <c r="Q12" s="16"/>
      <c r="R12" s="14" t="s">
        <v>2048</v>
      </c>
      <c r="S12" s="14" t="s">
        <v>2048</v>
      </c>
      <c r="T12" s="14" t="s">
        <v>2048</v>
      </c>
      <c r="U12" s="14" t="s">
        <v>2048</v>
      </c>
      <c r="V12" s="14" t="s">
        <v>3677</v>
      </c>
      <c r="W12" s="14" t="s">
        <v>2048</v>
      </c>
      <c r="X12" s="14" t="s">
        <v>2048</v>
      </c>
      <c r="Y12" s="14" t="s">
        <v>2048</v>
      </c>
      <c r="Z12" s="14" t="s">
        <v>2048</v>
      </c>
      <c r="AA12" s="14" t="s">
        <v>2048</v>
      </c>
      <c r="AB12" s="14" t="s">
        <v>2048</v>
      </c>
      <c r="AC12" s="14" t="s">
        <v>3678</v>
      </c>
      <c r="AD12" s="14" t="s">
        <v>2048</v>
      </c>
      <c r="AE12" s="14" t="s">
        <v>2048</v>
      </c>
      <c r="AF12" s="14" t="s">
        <v>2048</v>
      </c>
      <c r="AG12" s="14" t="s">
        <v>2048</v>
      </c>
      <c r="AH12" s="14" t="s">
        <v>2048</v>
      </c>
      <c r="AI12" s="14" t="s">
        <v>2132</v>
      </c>
      <c r="AJ12" s="14" t="s">
        <v>2133</v>
      </c>
      <c r="AK12" s="14" t="s">
        <v>2055</v>
      </c>
      <c r="AL12" s="14" t="s">
        <v>2055</v>
      </c>
      <c r="AM12" s="14" t="s">
        <v>2055</v>
      </c>
      <c r="AN12" s="14" t="s">
        <v>2068</v>
      </c>
      <c r="AO12" s="14" t="s">
        <v>2048</v>
      </c>
      <c r="AP12" s="14" t="s">
        <v>2048</v>
      </c>
      <c r="AQ12" s="14" t="s">
        <v>2048</v>
      </c>
      <c r="AR12" s="14" t="s">
        <v>2048</v>
      </c>
      <c r="AS12" s="14" t="s">
        <v>2048</v>
      </c>
      <c r="AT12" s="14" t="s">
        <v>2048</v>
      </c>
      <c r="AU12" s="14" t="s">
        <v>3679</v>
      </c>
      <c r="AV12" s="14" t="s">
        <v>2060</v>
      </c>
      <c r="AW12" s="14" t="s">
        <v>2048</v>
      </c>
      <c r="AX12" s="14" t="s">
        <v>72</v>
      </c>
      <c r="AY12" s="14" t="s">
        <v>3662</v>
      </c>
      <c r="AZ12" s="14" t="s">
        <v>3663</v>
      </c>
      <c r="BA12" s="14" t="s">
        <v>2048</v>
      </c>
      <c r="BB12" s="14" t="s">
        <v>2048</v>
      </c>
      <c r="BC12" s="14" t="s">
        <v>1050</v>
      </c>
      <c r="BD12" s="14" t="s">
        <v>1052</v>
      </c>
      <c r="BE12" s="14" t="s">
        <v>3665</v>
      </c>
      <c r="BF12" s="14" t="s">
        <v>2048</v>
      </c>
      <c r="BG12" s="14" t="s">
        <v>2048</v>
      </c>
      <c r="BH12" s="14" t="s">
        <v>2271</v>
      </c>
      <c r="BI12" s="14" t="s">
        <v>3666</v>
      </c>
      <c r="BJ12" s="14" t="s">
        <v>2271</v>
      </c>
      <c r="BK12" s="14" t="s">
        <v>3666</v>
      </c>
      <c r="BL12" s="14" t="s">
        <v>3667</v>
      </c>
      <c r="BM12" s="14" t="s">
        <v>3668</v>
      </c>
      <c r="BN12" s="14" t="s">
        <v>2048</v>
      </c>
      <c r="BO12" s="14" t="s">
        <v>2518</v>
      </c>
      <c r="BP12" s="14" t="s">
        <v>2064</v>
      </c>
      <c r="BQ12" s="14" t="s">
        <v>72</v>
      </c>
      <c r="BR12" s="14" t="s">
        <v>72</v>
      </c>
      <c r="BS12" s="14" t="s">
        <v>2048</v>
      </c>
      <c r="BT12" s="14" t="s">
        <v>2048</v>
      </c>
      <c r="BU12" s="14" t="s">
        <v>2048</v>
      </c>
      <c r="BV12" s="14" t="s">
        <v>2862</v>
      </c>
      <c r="BW12" s="14" t="s">
        <v>3680</v>
      </c>
      <c r="BX12" s="14" t="s">
        <v>2048</v>
      </c>
      <c r="BY12" s="14" t="s">
        <v>2048</v>
      </c>
      <c r="BZ12" s="14" t="s">
        <v>2048</v>
      </c>
      <c r="CA12" s="14" t="s">
        <v>2048</v>
      </c>
      <c r="CB12" s="14" t="s">
        <v>2048</v>
      </c>
      <c r="CC12" s="14" t="s">
        <v>2048</v>
      </c>
      <c r="CD12" s="14" t="s">
        <v>2048</v>
      </c>
      <c r="CE12" s="14" t="s">
        <v>2048</v>
      </c>
      <c r="CF12" s="14" t="s">
        <v>2048</v>
      </c>
      <c r="CG12" s="14" t="s">
        <v>2048</v>
      </c>
      <c r="CH12" s="14" t="s">
        <v>2048</v>
      </c>
      <c r="CI12" s="14" t="s">
        <v>2048</v>
      </c>
      <c r="CJ12" s="14" t="s">
        <v>2048</v>
      </c>
      <c r="CK12" s="14" t="s">
        <v>2208</v>
      </c>
      <c r="CL12" s="14" t="s">
        <v>3681</v>
      </c>
      <c r="CM12" s="14" t="s">
        <v>2048</v>
      </c>
      <c r="CN12" s="17"/>
      <c r="CO12" s="17">
        <v>41393</v>
      </c>
      <c r="CP12" s="17">
        <v>41393</v>
      </c>
      <c r="CR12" s="17">
        <v>45124</v>
      </c>
      <c r="CS12" s="19">
        <v>0</v>
      </c>
      <c r="CT12" s="19">
        <v>0</v>
      </c>
      <c r="CU12" s="19">
        <v>0</v>
      </c>
      <c r="CV12" s="19">
        <v>0</v>
      </c>
      <c r="CW12" s="19">
        <v>0</v>
      </c>
      <c r="CX12" s="19">
        <v>0</v>
      </c>
      <c r="CY12" s="19">
        <v>0</v>
      </c>
      <c r="CZ12" s="17"/>
      <c r="DA12" s="19">
        <v>0</v>
      </c>
      <c r="DB12" s="17"/>
      <c r="DC12" s="17"/>
      <c r="DD12" s="19">
        <v>0</v>
      </c>
      <c r="DE12" s="17"/>
      <c r="DF12" s="17"/>
      <c r="DG12" s="19">
        <v>100</v>
      </c>
      <c r="DH12" s="17"/>
      <c r="DI12" s="17">
        <v>45199</v>
      </c>
      <c r="DJ12" s="17"/>
      <c r="DK12" s="17"/>
      <c r="DL12" s="19">
        <v>0</v>
      </c>
      <c r="DM12" s="19">
        <v>0</v>
      </c>
    </row>
    <row r="13" spans="1:117" x14ac:dyDescent="0.2">
      <c r="A13" s="14" t="s">
        <v>3610</v>
      </c>
      <c r="B13" s="14" t="s">
        <v>791</v>
      </c>
      <c r="C13" s="14" t="s">
        <v>158</v>
      </c>
      <c r="D13" s="14" t="s">
        <v>159</v>
      </c>
      <c r="E13" s="14" t="s">
        <v>158</v>
      </c>
      <c r="F13" s="14" t="s">
        <v>171</v>
      </c>
      <c r="G13" s="17">
        <v>44971</v>
      </c>
      <c r="H13" s="14" t="s">
        <v>172</v>
      </c>
      <c r="I13" s="14" t="s">
        <v>78</v>
      </c>
      <c r="J13" s="14" t="s">
        <v>380</v>
      </c>
      <c r="K13" s="14" t="s">
        <v>792</v>
      </c>
      <c r="L13" s="14" t="s">
        <v>131</v>
      </c>
      <c r="M13" s="14" t="s">
        <v>132</v>
      </c>
      <c r="N13" s="16">
        <f>COUNTIF($M$3:M13, M13)</f>
        <v>3</v>
      </c>
      <c r="O13" s="16" t="str" cm="1">
        <f t="array" ref="O13">INDEX('[2]ALTA 20242025'!$B$2:$B$241, MATCH(1, ('[2]ALTA 20242025'!$I$2:$I$241=M13)*('[2]ALTA 20242025'!$J$2:$J$241=N13), 0))</f>
        <v>6005MWV</v>
      </c>
      <c r="P13" s="16"/>
      <c r="Q13" s="16"/>
      <c r="R13" s="14" t="s">
        <v>2048</v>
      </c>
      <c r="S13" s="14" t="s">
        <v>2048</v>
      </c>
      <c r="T13" s="14" t="s">
        <v>2048</v>
      </c>
      <c r="U13" s="14" t="s">
        <v>2048</v>
      </c>
      <c r="V13" s="14" t="s">
        <v>72</v>
      </c>
      <c r="W13" s="14" t="s">
        <v>72</v>
      </c>
      <c r="X13" s="14" t="s">
        <v>72</v>
      </c>
      <c r="Y13" s="14" t="s">
        <v>2048</v>
      </c>
      <c r="Z13" s="14" t="s">
        <v>2048</v>
      </c>
      <c r="AA13" s="14" t="s">
        <v>2422</v>
      </c>
      <c r="AB13" s="14" t="s">
        <v>2049</v>
      </c>
      <c r="AC13" s="14" t="s">
        <v>2050</v>
      </c>
      <c r="AD13" s="14" t="s">
        <v>2048</v>
      </c>
      <c r="AE13" s="14" t="s">
        <v>2048</v>
      </c>
      <c r="AF13" s="14" t="s">
        <v>2048</v>
      </c>
      <c r="AG13" s="14" t="s">
        <v>2048</v>
      </c>
      <c r="AH13" s="14" t="s">
        <v>2048</v>
      </c>
      <c r="AI13" s="14" t="s">
        <v>2132</v>
      </c>
      <c r="AJ13" s="14" t="s">
        <v>2133</v>
      </c>
      <c r="AK13" s="14" t="s">
        <v>2055</v>
      </c>
      <c r="AL13" s="14" t="s">
        <v>2055</v>
      </c>
      <c r="AM13" s="14" t="s">
        <v>2055</v>
      </c>
      <c r="AN13" s="14" t="s">
        <v>2068</v>
      </c>
      <c r="AO13" s="14" t="s">
        <v>2048</v>
      </c>
      <c r="AP13" s="14" t="s">
        <v>2048</v>
      </c>
      <c r="AQ13" s="14" t="s">
        <v>2048</v>
      </c>
      <c r="AR13" s="14" t="s">
        <v>3084</v>
      </c>
      <c r="AS13" s="14" t="s">
        <v>3682</v>
      </c>
      <c r="AT13" s="14" t="s">
        <v>2208</v>
      </c>
      <c r="AU13" s="14" t="s">
        <v>2059</v>
      </c>
      <c r="AV13" s="14" t="s">
        <v>3683</v>
      </c>
      <c r="AW13" s="14" t="s">
        <v>3684</v>
      </c>
      <c r="AX13" s="14" t="s">
        <v>2048</v>
      </c>
      <c r="AY13" s="14" t="s">
        <v>2448</v>
      </c>
      <c r="AZ13" s="14" t="s">
        <v>2449</v>
      </c>
      <c r="BA13" s="14" t="s">
        <v>2048</v>
      </c>
      <c r="BB13" s="14" t="s">
        <v>2048</v>
      </c>
      <c r="BC13" s="14" t="s">
        <v>131</v>
      </c>
      <c r="BD13" s="14" t="s">
        <v>793</v>
      </c>
      <c r="BE13" s="14" t="s">
        <v>3685</v>
      </c>
      <c r="BF13" s="14" t="s">
        <v>2048</v>
      </c>
      <c r="BG13" s="14" t="s">
        <v>2048</v>
      </c>
      <c r="BH13" s="14" t="s">
        <v>2048</v>
      </c>
      <c r="BI13" s="14" t="s">
        <v>2048</v>
      </c>
      <c r="BJ13" s="14" t="s">
        <v>2452</v>
      </c>
      <c r="BK13" s="14" t="s">
        <v>2453</v>
      </c>
      <c r="BL13" s="14" t="s">
        <v>2454</v>
      </c>
      <c r="BM13" s="14" t="s">
        <v>2455</v>
      </c>
      <c r="BN13" s="14" t="s">
        <v>2048</v>
      </c>
      <c r="BO13" s="14" t="s">
        <v>2048</v>
      </c>
      <c r="BP13" s="14" t="s">
        <v>2064</v>
      </c>
      <c r="BQ13" s="14" t="s">
        <v>72</v>
      </c>
      <c r="BR13" s="14" t="s">
        <v>72</v>
      </c>
      <c r="BS13" s="14" t="s">
        <v>2048</v>
      </c>
      <c r="BT13" s="14" t="s">
        <v>2929</v>
      </c>
      <c r="BU13" s="14" t="s">
        <v>2930</v>
      </c>
      <c r="BV13" s="14" t="s">
        <v>2535</v>
      </c>
      <c r="BW13" s="14" t="s">
        <v>3672</v>
      </c>
      <c r="BX13" s="14" t="s">
        <v>2048</v>
      </c>
      <c r="BY13" s="14" t="s">
        <v>2048</v>
      </c>
      <c r="BZ13" s="14" t="s">
        <v>2048</v>
      </c>
      <c r="CA13" s="14" t="s">
        <v>2048</v>
      </c>
      <c r="CB13" s="14" t="s">
        <v>72</v>
      </c>
      <c r="CC13" s="14" t="s">
        <v>2048</v>
      </c>
      <c r="CD13" s="14" t="s">
        <v>2048</v>
      </c>
      <c r="CE13" s="14" t="s">
        <v>2048</v>
      </c>
      <c r="CF13" s="14" t="s">
        <v>2048</v>
      </c>
      <c r="CG13" s="14" t="s">
        <v>2048</v>
      </c>
      <c r="CH13" s="14" t="s">
        <v>2048</v>
      </c>
      <c r="CI13" s="14" t="s">
        <v>2048</v>
      </c>
      <c r="CJ13" s="14" t="s">
        <v>2048</v>
      </c>
      <c r="CK13" s="14" t="s">
        <v>3651</v>
      </c>
      <c r="CL13" s="14" t="s">
        <v>3652</v>
      </c>
      <c r="CM13" s="14" t="s">
        <v>2048</v>
      </c>
      <c r="CN13" s="17"/>
      <c r="CO13" s="17">
        <v>39031</v>
      </c>
      <c r="CP13" s="17">
        <v>41638</v>
      </c>
      <c r="CR13" s="17">
        <v>44971</v>
      </c>
      <c r="CS13" s="19">
        <v>0</v>
      </c>
      <c r="CT13" s="19">
        <v>0</v>
      </c>
      <c r="CU13" s="19">
        <v>0</v>
      </c>
      <c r="CV13" s="19">
        <v>0</v>
      </c>
      <c r="CW13" s="19">
        <v>0</v>
      </c>
      <c r="CX13" s="19">
        <v>0</v>
      </c>
      <c r="CY13" s="19">
        <v>0</v>
      </c>
      <c r="CZ13" s="17"/>
      <c r="DA13" s="19">
        <v>0</v>
      </c>
      <c r="DB13" s="17"/>
      <c r="DC13" s="17"/>
      <c r="DD13" s="19">
        <v>0</v>
      </c>
      <c r="DE13" s="17"/>
      <c r="DF13" s="17"/>
      <c r="DG13" s="19">
        <v>100</v>
      </c>
      <c r="DH13" s="17"/>
      <c r="DI13" s="17">
        <v>2958465</v>
      </c>
      <c r="DJ13" s="17"/>
      <c r="DK13" s="17"/>
      <c r="DL13" s="19">
        <v>0</v>
      </c>
      <c r="DM13" s="19">
        <v>0</v>
      </c>
    </row>
    <row r="14" spans="1:117" x14ac:dyDescent="0.2">
      <c r="A14" s="14" t="s">
        <v>3610</v>
      </c>
      <c r="B14" s="14" t="s">
        <v>893</v>
      </c>
      <c r="C14" s="14" t="s">
        <v>73</v>
      </c>
      <c r="D14" s="14" t="s">
        <v>200</v>
      </c>
      <c r="E14" s="14" t="s">
        <v>201</v>
      </c>
      <c r="F14" s="14" t="s">
        <v>76</v>
      </c>
      <c r="G14" s="17">
        <v>45169</v>
      </c>
      <c r="H14" s="14" t="s">
        <v>77</v>
      </c>
      <c r="I14" s="14" t="s">
        <v>78</v>
      </c>
      <c r="J14" s="14" t="s">
        <v>359</v>
      </c>
      <c r="K14" s="14" t="s">
        <v>894</v>
      </c>
      <c r="L14" s="14" t="s">
        <v>584</v>
      </c>
      <c r="M14" s="14" t="s">
        <v>585</v>
      </c>
      <c r="N14" s="16">
        <f>COUNTIF($M$3:M14, M14)</f>
        <v>1</v>
      </c>
      <c r="O14" s="16" t="str" cm="1">
        <f t="array" ref="O14">INDEX('[2]ALTA 20242025'!$B$2:$B$241, MATCH(1, ('[2]ALTA 20242025'!$I$2:$I$241=M14)*('[2]ALTA 20242025'!$J$2:$J$241=N14), 0))</f>
        <v>3157MXJ</v>
      </c>
      <c r="P14" s="16"/>
      <c r="Q14" s="16"/>
      <c r="R14" s="14" t="s">
        <v>2048</v>
      </c>
      <c r="S14" s="14" t="s">
        <v>2048</v>
      </c>
      <c r="T14" s="14" t="s">
        <v>2048</v>
      </c>
      <c r="U14" s="14" t="s">
        <v>2048</v>
      </c>
      <c r="V14" s="14" t="s">
        <v>3686</v>
      </c>
      <c r="W14" s="14" t="s">
        <v>3687</v>
      </c>
      <c r="X14" s="14" t="s">
        <v>3688</v>
      </c>
      <c r="Y14" s="14" t="s">
        <v>3689</v>
      </c>
      <c r="Z14" s="14" t="s">
        <v>2048</v>
      </c>
      <c r="AA14" s="14" t="s">
        <v>2422</v>
      </c>
      <c r="AB14" s="14" t="s">
        <v>2049</v>
      </c>
      <c r="AC14" s="14" t="s">
        <v>2050</v>
      </c>
      <c r="AD14" s="14" t="s">
        <v>3690</v>
      </c>
      <c r="AE14" s="14" t="s">
        <v>3613</v>
      </c>
      <c r="AF14" s="14" t="s">
        <v>3614</v>
      </c>
      <c r="AG14" s="14" t="s">
        <v>200</v>
      </c>
      <c r="AH14" s="14" t="s">
        <v>3622</v>
      </c>
      <c r="AI14" s="14" t="s">
        <v>159</v>
      </c>
      <c r="AJ14" s="14" t="s">
        <v>585</v>
      </c>
      <c r="AK14" s="14" t="s">
        <v>2055</v>
      </c>
      <c r="AL14" s="14" t="s">
        <v>2056</v>
      </c>
      <c r="AM14" s="14" t="s">
        <v>2055</v>
      </c>
      <c r="AN14" s="14" t="s">
        <v>2068</v>
      </c>
      <c r="AO14" s="14" t="s">
        <v>2048</v>
      </c>
      <c r="AP14" s="14" t="s">
        <v>2048</v>
      </c>
      <c r="AQ14" s="14" t="s">
        <v>3691</v>
      </c>
      <c r="AR14" s="14" t="s">
        <v>3692</v>
      </c>
      <c r="AS14" s="14" t="s">
        <v>3693</v>
      </c>
      <c r="AT14" s="14" t="s">
        <v>2422</v>
      </c>
      <c r="AU14" s="14" t="s">
        <v>3694</v>
      </c>
      <c r="AV14" s="14" t="s">
        <v>3695</v>
      </c>
      <c r="AW14" s="14" t="s">
        <v>3696</v>
      </c>
      <c r="AX14" s="14" t="s">
        <v>2048</v>
      </c>
      <c r="AY14" s="14" t="s">
        <v>3697</v>
      </c>
      <c r="AZ14" s="14" t="s">
        <v>3698</v>
      </c>
      <c r="BA14" s="14" t="s">
        <v>3664</v>
      </c>
      <c r="BB14" s="14" t="s">
        <v>2048</v>
      </c>
      <c r="BC14" s="14" t="s">
        <v>584</v>
      </c>
      <c r="BD14" s="14" t="s">
        <v>895</v>
      </c>
      <c r="BE14" s="14" t="s">
        <v>3699</v>
      </c>
      <c r="BF14" s="14" t="s">
        <v>2048</v>
      </c>
      <c r="BG14" s="14" t="s">
        <v>2048</v>
      </c>
      <c r="BH14" s="14" t="s">
        <v>2080</v>
      </c>
      <c r="BI14" s="14" t="s">
        <v>2081</v>
      </c>
      <c r="BJ14" s="14" t="s">
        <v>3700</v>
      </c>
      <c r="BK14" s="14" t="s">
        <v>3701</v>
      </c>
      <c r="BL14" s="14" t="s">
        <v>3702</v>
      </c>
      <c r="BM14" s="14" t="s">
        <v>2085</v>
      </c>
      <c r="BN14" s="14" t="s">
        <v>2048</v>
      </c>
      <c r="BO14" s="14" t="s">
        <v>2518</v>
      </c>
      <c r="BP14" s="14" t="s">
        <v>2064</v>
      </c>
      <c r="BQ14" s="14" t="s">
        <v>72</v>
      </c>
      <c r="BR14" s="14" t="s">
        <v>72</v>
      </c>
      <c r="BS14" s="14" t="s">
        <v>2048</v>
      </c>
      <c r="BT14" s="14" t="s">
        <v>3703</v>
      </c>
      <c r="BU14" s="14" t="s">
        <v>3704</v>
      </c>
      <c r="BV14" s="14" t="s">
        <v>2535</v>
      </c>
      <c r="BW14" s="14" t="s">
        <v>3672</v>
      </c>
      <c r="BX14" s="14" t="s">
        <v>2048</v>
      </c>
      <c r="BY14" s="14" t="s">
        <v>2048</v>
      </c>
      <c r="BZ14" s="14" t="s">
        <v>2048</v>
      </c>
      <c r="CA14" s="14" t="s">
        <v>2048</v>
      </c>
      <c r="CB14" s="14" t="s">
        <v>72</v>
      </c>
      <c r="CC14" s="14" t="s">
        <v>2048</v>
      </c>
      <c r="CD14" s="14" t="s">
        <v>2048</v>
      </c>
      <c r="CE14" s="14" t="s">
        <v>2048</v>
      </c>
      <c r="CF14" s="14" t="s">
        <v>2048</v>
      </c>
      <c r="CG14" s="14" t="s">
        <v>2048</v>
      </c>
      <c r="CH14" s="14" t="s">
        <v>2048</v>
      </c>
      <c r="CI14" s="14" t="s">
        <v>2048</v>
      </c>
      <c r="CJ14" s="14" t="s">
        <v>2048</v>
      </c>
      <c r="CK14" s="14" t="s">
        <v>3651</v>
      </c>
      <c r="CL14" s="14" t="s">
        <v>3652</v>
      </c>
      <c r="CM14" s="14" t="s">
        <v>2048</v>
      </c>
      <c r="CN14" s="17"/>
      <c r="CO14" s="17">
        <v>42747</v>
      </c>
      <c r="CP14" s="17">
        <v>42747</v>
      </c>
      <c r="CR14" s="17">
        <v>45169</v>
      </c>
      <c r="CS14" s="19">
        <v>80</v>
      </c>
      <c r="CT14" s="19">
        <v>0</v>
      </c>
      <c r="CU14" s="19">
        <v>627.22</v>
      </c>
      <c r="CV14" s="19">
        <v>0</v>
      </c>
      <c r="CW14" s="19">
        <v>627.22</v>
      </c>
      <c r="CX14" s="19">
        <v>758.94</v>
      </c>
      <c r="CY14" s="19">
        <v>0</v>
      </c>
      <c r="CZ14" s="17"/>
      <c r="DA14" s="20">
        <v>62113</v>
      </c>
      <c r="DB14" s="17">
        <v>43555</v>
      </c>
      <c r="DC14" s="17"/>
      <c r="DD14" s="19">
        <v>0</v>
      </c>
      <c r="DE14" s="17"/>
      <c r="DF14" s="17"/>
      <c r="DG14" s="19">
        <v>100</v>
      </c>
      <c r="DH14" s="17"/>
      <c r="DI14" s="17">
        <v>45199</v>
      </c>
      <c r="DJ14" s="17"/>
      <c r="DK14" s="17"/>
      <c r="DL14" s="19">
        <v>0</v>
      </c>
      <c r="DM14" s="19">
        <v>0</v>
      </c>
    </row>
    <row r="15" spans="1:117" x14ac:dyDescent="0.2">
      <c r="A15" s="14" t="s">
        <v>3610</v>
      </c>
      <c r="B15" s="14" t="s">
        <v>1142</v>
      </c>
      <c r="C15" s="14" t="s">
        <v>1143</v>
      </c>
      <c r="D15" s="14" t="s">
        <v>74</v>
      </c>
      <c r="E15" s="14" t="s">
        <v>75</v>
      </c>
      <c r="F15" s="14" t="s">
        <v>76</v>
      </c>
      <c r="G15" s="17">
        <v>45169</v>
      </c>
      <c r="H15" s="14" t="s">
        <v>77</v>
      </c>
      <c r="I15" s="14" t="s">
        <v>78</v>
      </c>
      <c r="J15" s="14" t="s">
        <v>887</v>
      </c>
      <c r="K15" s="14" t="s">
        <v>1144</v>
      </c>
      <c r="L15" s="14" t="s">
        <v>1050</v>
      </c>
      <c r="M15" s="14" t="s">
        <v>1051</v>
      </c>
      <c r="N15" s="16">
        <f>COUNTIF($M$3:M15, M15)</f>
        <v>4</v>
      </c>
      <c r="O15" s="16" t="e" cm="1">
        <f t="array" ref="O15">INDEX('[2]ALTA 20242025'!$B$2:$B$241, MATCH(1, ('[2]ALTA 20242025'!$I$2:$I$241=M15)*('[2]ALTA 20242025'!$J$2:$J$241=N15), 0))</f>
        <v>#N/A</v>
      </c>
      <c r="P15" s="16"/>
      <c r="Q15" s="16"/>
      <c r="R15" s="14" t="s">
        <v>2048</v>
      </c>
      <c r="S15" s="14" t="s">
        <v>2048</v>
      </c>
      <c r="T15" s="14" t="s">
        <v>2048</v>
      </c>
      <c r="U15" s="14" t="s">
        <v>2048</v>
      </c>
      <c r="V15" s="14" t="s">
        <v>3705</v>
      </c>
      <c r="W15" s="14" t="s">
        <v>72</v>
      </c>
      <c r="X15" s="14" t="s">
        <v>72</v>
      </c>
      <c r="Y15" s="14" t="s">
        <v>3706</v>
      </c>
      <c r="Z15" s="14" t="s">
        <v>2048</v>
      </c>
      <c r="AA15" s="14" t="s">
        <v>2422</v>
      </c>
      <c r="AB15" s="14" t="s">
        <v>2049</v>
      </c>
      <c r="AC15" s="14" t="s">
        <v>2050</v>
      </c>
      <c r="AD15" s="14" t="s">
        <v>2048</v>
      </c>
      <c r="AE15" s="14" t="s">
        <v>2048</v>
      </c>
      <c r="AF15" s="14" t="s">
        <v>2048</v>
      </c>
      <c r="AG15" s="14" t="s">
        <v>200</v>
      </c>
      <c r="AH15" s="14" t="s">
        <v>3622</v>
      </c>
      <c r="AI15" s="14" t="s">
        <v>2129</v>
      </c>
      <c r="AJ15" s="14" t="s">
        <v>2130</v>
      </c>
      <c r="AK15" s="14" t="s">
        <v>2055</v>
      </c>
      <c r="AL15" s="14" t="s">
        <v>2055</v>
      </c>
      <c r="AM15" s="14" t="s">
        <v>2055</v>
      </c>
      <c r="AN15" s="14" t="s">
        <v>2068</v>
      </c>
      <c r="AO15" s="14" t="s">
        <v>2048</v>
      </c>
      <c r="AP15" s="14" t="s">
        <v>2048</v>
      </c>
      <c r="AQ15" s="14" t="s">
        <v>2048</v>
      </c>
      <c r="AR15" s="14" t="s">
        <v>2048</v>
      </c>
      <c r="AS15" s="14" t="s">
        <v>2048</v>
      </c>
      <c r="AT15" s="14" t="s">
        <v>2048</v>
      </c>
      <c r="AU15" s="14" t="s">
        <v>2059</v>
      </c>
      <c r="AV15" s="14" t="s">
        <v>2060</v>
      </c>
      <c r="AW15" s="14" t="s">
        <v>2048</v>
      </c>
      <c r="AX15" s="14" t="s">
        <v>2048</v>
      </c>
      <c r="AY15" s="14" t="s">
        <v>3662</v>
      </c>
      <c r="AZ15" s="14" t="s">
        <v>3663</v>
      </c>
      <c r="BA15" s="14" t="s">
        <v>3627</v>
      </c>
      <c r="BB15" s="14" t="s">
        <v>2048</v>
      </c>
      <c r="BC15" s="14" t="s">
        <v>1050</v>
      </c>
      <c r="BD15" s="14" t="s">
        <v>1145</v>
      </c>
      <c r="BE15" s="14" t="s">
        <v>3707</v>
      </c>
      <c r="BF15" s="14" t="s">
        <v>2048</v>
      </c>
      <c r="BG15" s="14" t="s">
        <v>2048</v>
      </c>
      <c r="BH15" s="14" t="s">
        <v>2271</v>
      </c>
      <c r="BI15" s="14" t="s">
        <v>3666</v>
      </c>
      <c r="BJ15" s="14" t="s">
        <v>2271</v>
      </c>
      <c r="BK15" s="14" t="s">
        <v>3666</v>
      </c>
      <c r="BL15" s="14" t="s">
        <v>3667</v>
      </c>
      <c r="BM15" s="14" t="s">
        <v>3668</v>
      </c>
      <c r="BN15" s="14" t="s">
        <v>2048</v>
      </c>
      <c r="BO15" s="14" t="s">
        <v>2048</v>
      </c>
      <c r="BP15" s="14" t="s">
        <v>2064</v>
      </c>
      <c r="BQ15" s="14" t="s">
        <v>72</v>
      </c>
      <c r="BR15" s="14" t="s">
        <v>72</v>
      </c>
      <c r="BS15" s="14" t="s">
        <v>2048</v>
      </c>
      <c r="BT15" s="14" t="s">
        <v>2048</v>
      </c>
      <c r="BU15" s="14" t="s">
        <v>2048</v>
      </c>
      <c r="BV15" s="14" t="s">
        <v>2535</v>
      </c>
      <c r="BW15" s="14" t="s">
        <v>3672</v>
      </c>
      <c r="BX15" s="14" t="s">
        <v>2048</v>
      </c>
      <c r="BY15" s="14" t="s">
        <v>2048</v>
      </c>
      <c r="BZ15" s="14" t="s">
        <v>2048</v>
      </c>
      <c r="CA15" s="14" t="s">
        <v>2048</v>
      </c>
      <c r="CB15" s="14" t="s">
        <v>72</v>
      </c>
      <c r="CC15" s="14" t="s">
        <v>2048</v>
      </c>
      <c r="CD15" s="14" t="s">
        <v>2048</v>
      </c>
      <c r="CE15" s="14" t="s">
        <v>2048</v>
      </c>
      <c r="CF15" s="14" t="s">
        <v>2048</v>
      </c>
      <c r="CG15" s="14" t="s">
        <v>2048</v>
      </c>
      <c r="CH15" s="14" t="s">
        <v>2048</v>
      </c>
      <c r="CI15" s="14" t="s">
        <v>2048</v>
      </c>
      <c r="CJ15" s="14" t="s">
        <v>2048</v>
      </c>
      <c r="CK15" s="14" t="s">
        <v>3651</v>
      </c>
      <c r="CL15" s="14" t="s">
        <v>3652</v>
      </c>
      <c r="CM15" s="14" t="s">
        <v>2048</v>
      </c>
      <c r="CN15" s="17"/>
      <c r="CO15" s="17">
        <v>44756</v>
      </c>
      <c r="CP15" s="17">
        <v>44756</v>
      </c>
      <c r="CR15" s="17">
        <v>45169</v>
      </c>
      <c r="CS15" s="19">
        <v>0</v>
      </c>
      <c r="CT15" s="19">
        <v>0</v>
      </c>
      <c r="CU15" s="20">
        <v>3800</v>
      </c>
      <c r="CV15" s="19">
        <v>0</v>
      </c>
      <c r="CW15" s="20">
        <v>3800</v>
      </c>
      <c r="CX15" s="20">
        <v>4598</v>
      </c>
      <c r="CY15" s="19">
        <v>0</v>
      </c>
      <c r="CZ15" s="17"/>
      <c r="DA15" s="20">
        <v>647090</v>
      </c>
      <c r="DB15" s="17">
        <v>45565</v>
      </c>
      <c r="DC15" s="17"/>
      <c r="DD15" s="19">
        <v>0</v>
      </c>
      <c r="DE15" s="17"/>
      <c r="DF15" s="17"/>
      <c r="DG15" s="19">
        <v>100</v>
      </c>
      <c r="DH15" s="17"/>
      <c r="DI15" s="17">
        <v>45565</v>
      </c>
      <c r="DJ15" s="17"/>
      <c r="DK15" s="17"/>
      <c r="DL15" s="19">
        <v>0</v>
      </c>
      <c r="DM15" s="19">
        <v>0</v>
      </c>
    </row>
    <row r="16" spans="1:117" x14ac:dyDescent="0.2">
      <c r="A16" s="14" t="s">
        <v>3610</v>
      </c>
      <c r="B16" s="14" t="s">
        <v>530</v>
      </c>
      <c r="C16" s="14" t="s">
        <v>158</v>
      </c>
      <c r="D16" s="14" t="s">
        <v>159</v>
      </c>
      <c r="E16" s="14" t="s">
        <v>158</v>
      </c>
      <c r="F16" s="14" t="s">
        <v>171</v>
      </c>
      <c r="G16" s="17">
        <v>44972</v>
      </c>
      <c r="H16" s="14" t="s">
        <v>172</v>
      </c>
      <c r="I16" s="14" t="s">
        <v>78</v>
      </c>
      <c r="J16" s="14" t="s">
        <v>531</v>
      </c>
      <c r="K16" s="14" t="s">
        <v>532</v>
      </c>
      <c r="L16" s="14" t="s">
        <v>190</v>
      </c>
      <c r="M16" s="14" t="s">
        <v>191</v>
      </c>
      <c r="N16" s="16">
        <f>COUNTIF($M$3:M16, M16)</f>
        <v>1</v>
      </c>
      <c r="O16" s="16" t="str" cm="1">
        <f t="array" ref="O16">INDEX('[2]ALTA 20242025'!$B$2:$B$241, MATCH(1, ('[2]ALTA 20242025'!$I$2:$I$241=M16)*('[2]ALTA 20242025'!$J$2:$J$241=N16), 0))</f>
        <v>0679MWF</v>
      </c>
      <c r="P16" s="16"/>
      <c r="Q16" s="16"/>
      <c r="R16" s="14" t="s">
        <v>3708</v>
      </c>
      <c r="S16" s="14" t="s">
        <v>3709</v>
      </c>
      <c r="T16" s="14" t="s">
        <v>2048</v>
      </c>
      <c r="U16" s="14" t="s">
        <v>2048</v>
      </c>
      <c r="V16" s="14" t="s">
        <v>72</v>
      </c>
      <c r="W16" s="14" t="s">
        <v>72</v>
      </c>
      <c r="X16" s="14" t="s">
        <v>72</v>
      </c>
      <c r="Y16" s="14" t="s">
        <v>2048</v>
      </c>
      <c r="Z16" s="14" t="s">
        <v>2048</v>
      </c>
      <c r="AA16" s="14" t="s">
        <v>2422</v>
      </c>
      <c r="AB16" s="14" t="s">
        <v>2049</v>
      </c>
      <c r="AC16" s="14" t="s">
        <v>2050</v>
      </c>
      <c r="AD16" s="14" t="s">
        <v>2048</v>
      </c>
      <c r="AE16" s="14" t="s">
        <v>2048</v>
      </c>
      <c r="AF16" s="14" t="s">
        <v>2048</v>
      </c>
      <c r="AG16" s="14" t="s">
        <v>2048</v>
      </c>
      <c r="AH16" s="14" t="s">
        <v>2048</v>
      </c>
      <c r="AI16" s="14" t="s">
        <v>2132</v>
      </c>
      <c r="AJ16" s="14" t="s">
        <v>2133</v>
      </c>
      <c r="AK16" s="14" t="s">
        <v>2055</v>
      </c>
      <c r="AL16" s="14" t="s">
        <v>2055</v>
      </c>
      <c r="AM16" s="14" t="s">
        <v>2055</v>
      </c>
      <c r="AN16" s="14" t="s">
        <v>2068</v>
      </c>
      <c r="AO16" s="14" t="s">
        <v>2048</v>
      </c>
      <c r="AP16" s="14" t="s">
        <v>2048</v>
      </c>
      <c r="AQ16" s="14" t="s">
        <v>2048</v>
      </c>
      <c r="AR16" s="14" t="s">
        <v>2508</v>
      </c>
      <c r="AS16" s="14" t="s">
        <v>3710</v>
      </c>
      <c r="AT16" s="14" t="s">
        <v>2418</v>
      </c>
      <c r="AU16" s="14" t="s">
        <v>2059</v>
      </c>
      <c r="AV16" s="14" t="s">
        <v>2060</v>
      </c>
      <c r="AW16" s="14" t="s">
        <v>2048</v>
      </c>
      <c r="AX16" s="14" t="s">
        <v>2048</v>
      </c>
      <c r="AY16" s="14" t="s">
        <v>2430</v>
      </c>
      <c r="AZ16" s="14" t="s">
        <v>2431</v>
      </c>
      <c r="BA16" s="14" t="s">
        <v>2048</v>
      </c>
      <c r="BB16" s="14" t="s">
        <v>2048</v>
      </c>
      <c r="BC16" s="14" t="s">
        <v>190</v>
      </c>
      <c r="BD16" s="14" t="s">
        <v>533</v>
      </c>
      <c r="BE16" s="14" t="s">
        <v>3711</v>
      </c>
      <c r="BF16" s="14" t="s">
        <v>2048</v>
      </c>
      <c r="BG16" s="14" t="s">
        <v>2048</v>
      </c>
      <c r="BH16" s="14" t="s">
        <v>2433</v>
      </c>
      <c r="BI16" s="14" t="s">
        <v>2434</v>
      </c>
      <c r="BJ16" s="14" t="s">
        <v>2435</v>
      </c>
      <c r="BK16" s="14" t="s">
        <v>2436</v>
      </c>
      <c r="BL16" s="14" t="s">
        <v>2437</v>
      </c>
      <c r="BM16" s="14" t="s">
        <v>2287</v>
      </c>
      <c r="BN16" s="14" t="s">
        <v>2048</v>
      </c>
      <c r="BO16" s="14" t="s">
        <v>2048</v>
      </c>
      <c r="BP16" s="14" t="s">
        <v>2064</v>
      </c>
      <c r="BQ16" s="14" t="s">
        <v>72</v>
      </c>
      <c r="BR16" s="14" t="s">
        <v>72</v>
      </c>
      <c r="BS16" s="14" t="s">
        <v>3712</v>
      </c>
      <c r="BT16" s="14" t="s">
        <v>2048</v>
      </c>
      <c r="BU16" s="14" t="s">
        <v>2048</v>
      </c>
      <c r="BV16" s="14" t="s">
        <v>2535</v>
      </c>
      <c r="BW16" s="14" t="s">
        <v>3672</v>
      </c>
      <c r="BX16" s="14" t="s">
        <v>72</v>
      </c>
      <c r="BY16" s="14" t="s">
        <v>2048</v>
      </c>
      <c r="BZ16" s="14" t="s">
        <v>2048</v>
      </c>
      <c r="CA16" s="14" t="s">
        <v>2048</v>
      </c>
      <c r="CB16" s="14" t="s">
        <v>72</v>
      </c>
      <c r="CC16" s="14" t="s">
        <v>2048</v>
      </c>
      <c r="CD16" s="14" t="s">
        <v>2048</v>
      </c>
      <c r="CE16" s="14" t="s">
        <v>2048</v>
      </c>
      <c r="CF16" s="14" t="s">
        <v>2048</v>
      </c>
      <c r="CG16" s="14" t="s">
        <v>2048</v>
      </c>
      <c r="CH16" s="14" t="s">
        <v>2048</v>
      </c>
      <c r="CI16" s="14" t="s">
        <v>2048</v>
      </c>
      <c r="CJ16" s="14" t="s">
        <v>2048</v>
      </c>
      <c r="CK16" s="14" t="s">
        <v>3651</v>
      </c>
      <c r="CL16" s="14" t="s">
        <v>3652</v>
      </c>
      <c r="CM16" s="14" t="s">
        <v>2048</v>
      </c>
      <c r="CN16" s="17">
        <v>44378</v>
      </c>
      <c r="CO16" s="17">
        <v>35926</v>
      </c>
      <c r="CP16" s="17">
        <v>35926</v>
      </c>
      <c r="CR16" s="17">
        <v>44972</v>
      </c>
      <c r="CS16" s="19">
        <v>0</v>
      </c>
      <c r="CT16" s="19">
        <v>0</v>
      </c>
      <c r="CU16" s="19">
        <v>0</v>
      </c>
      <c r="CV16" s="19">
        <v>0</v>
      </c>
      <c r="CW16" s="19">
        <v>0</v>
      </c>
      <c r="CX16" s="19">
        <v>0</v>
      </c>
      <c r="CY16" s="19">
        <v>0</v>
      </c>
      <c r="CZ16" s="17"/>
      <c r="DA16" s="19">
        <v>0</v>
      </c>
      <c r="DB16" s="17"/>
      <c r="DC16" s="17">
        <v>44714</v>
      </c>
      <c r="DD16" s="19">
        <v>0</v>
      </c>
      <c r="DE16" s="17"/>
      <c r="DF16" s="17"/>
      <c r="DG16" s="19">
        <v>100</v>
      </c>
      <c r="DH16" s="17"/>
      <c r="DI16" s="17">
        <v>2958465</v>
      </c>
      <c r="DJ16" s="17"/>
      <c r="DK16" s="17"/>
      <c r="DL16" s="19">
        <v>0</v>
      </c>
      <c r="DM16" s="19">
        <v>0</v>
      </c>
    </row>
    <row r="17" spans="1:117" x14ac:dyDescent="0.2">
      <c r="A17" s="14" t="s">
        <v>3610</v>
      </c>
      <c r="B17" s="14" t="s">
        <v>156</v>
      </c>
      <c r="C17" s="14" t="s">
        <v>158</v>
      </c>
      <c r="D17" s="14" t="s">
        <v>159</v>
      </c>
      <c r="E17" s="14" t="s">
        <v>158</v>
      </c>
      <c r="F17" s="14" t="s">
        <v>160</v>
      </c>
      <c r="G17" s="17">
        <v>44974</v>
      </c>
      <c r="H17" s="14" t="s">
        <v>161</v>
      </c>
      <c r="I17" s="14" t="s">
        <v>71</v>
      </c>
      <c r="J17" s="14" t="s">
        <v>162</v>
      </c>
      <c r="K17" s="14" t="s">
        <v>163</v>
      </c>
      <c r="L17" s="14" t="s">
        <v>81</v>
      </c>
      <c r="M17" s="14" t="s">
        <v>82</v>
      </c>
      <c r="N17" s="16">
        <f>COUNTIF($M$3:M17, M17)</f>
        <v>1</v>
      </c>
      <c r="O17" s="16" t="str" cm="1">
        <f t="array" ref="O17">INDEX('[2]ALTA 20242025'!$B$2:$B$241, MATCH(1, ('[2]ALTA 20242025'!$I$2:$I$241=M17)*('[2]ALTA 20242025'!$J$2:$J$241=N17), 0))</f>
        <v>1406KDP</v>
      </c>
      <c r="P17" s="16"/>
      <c r="Q17" s="16"/>
      <c r="R17" s="14" t="s">
        <v>2048</v>
      </c>
      <c r="S17" s="14" t="s">
        <v>2048</v>
      </c>
      <c r="T17" s="14" t="s">
        <v>2048</v>
      </c>
      <c r="U17" s="14" t="s">
        <v>2048</v>
      </c>
      <c r="V17" s="14" t="s">
        <v>3713</v>
      </c>
      <c r="W17" s="14" t="s">
        <v>72</v>
      </c>
      <c r="X17" s="14" t="s">
        <v>72</v>
      </c>
      <c r="Y17" s="14" t="s">
        <v>2048</v>
      </c>
      <c r="Z17" s="14" t="s">
        <v>2048</v>
      </c>
      <c r="AA17" s="14" t="s">
        <v>2422</v>
      </c>
      <c r="AB17" s="14" t="s">
        <v>2049</v>
      </c>
      <c r="AC17" s="14" t="s">
        <v>2050</v>
      </c>
      <c r="AD17" s="14" t="s">
        <v>2048</v>
      </c>
      <c r="AE17" s="14" t="s">
        <v>2048</v>
      </c>
      <c r="AF17" s="14" t="s">
        <v>2048</v>
      </c>
      <c r="AG17" s="14" t="s">
        <v>2048</v>
      </c>
      <c r="AH17" s="14" t="s">
        <v>2048</v>
      </c>
      <c r="AI17" s="14" t="s">
        <v>2129</v>
      </c>
      <c r="AJ17" s="14" t="s">
        <v>2130</v>
      </c>
      <c r="AK17" s="14" t="s">
        <v>2055</v>
      </c>
      <c r="AL17" s="14" t="s">
        <v>2055</v>
      </c>
      <c r="AM17" s="14" t="s">
        <v>2055</v>
      </c>
      <c r="AN17" s="14" t="s">
        <v>3714</v>
      </c>
      <c r="AO17" s="14" t="s">
        <v>2048</v>
      </c>
      <c r="AP17" s="14" t="s">
        <v>2048</v>
      </c>
      <c r="AQ17" s="14" t="s">
        <v>2048</v>
      </c>
      <c r="AR17" s="14" t="s">
        <v>2207</v>
      </c>
      <c r="AS17" s="14" t="s">
        <v>3693</v>
      </c>
      <c r="AT17" s="14" t="s">
        <v>2135</v>
      </c>
      <c r="AU17" s="14" t="s">
        <v>2059</v>
      </c>
      <c r="AV17" s="14" t="s">
        <v>2060</v>
      </c>
      <c r="AW17" s="14" t="s">
        <v>2048</v>
      </c>
      <c r="AX17" s="14" t="s">
        <v>2048</v>
      </c>
      <c r="AY17" s="14" t="s">
        <v>2268</v>
      </c>
      <c r="AZ17" s="14" t="s">
        <v>2269</v>
      </c>
      <c r="BA17" s="14" t="s">
        <v>3664</v>
      </c>
      <c r="BB17" s="14" t="s">
        <v>2048</v>
      </c>
      <c r="BC17" s="14" t="s">
        <v>81</v>
      </c>
      <c r="BD17" s="14" t="s">
        <v>164</v>
      </c>
      <c r="BE17" s="14" t="s">
        <v>2769</v>
      </c>
      <c r="BF17" s="14" t="s">
        <v>2048</v>
      </c>
      <c r="BG17" s="14" t="s">
        <v>2048</v>
      </c>
      <c r="BH17" s="14" t="s">
        <v>2271</v>
      </c>
      <c r="BI17" s="14" t="s">
        <v>2272</v>
      </c>
      <c r="BJ17" s="14" t="s">
        <v>2271</v>
      </c>
      <c r="BK17" s="14" t="s">
        <v>2272</v>
      </c>
      <c r="BL17" s="14" t="s">
        <v>2273</v>
      </c>
      <c r="BM17" s="14" t="s">
        <v>2218</v>
      </c>
      <c r="BN17" s="14" t="s">
        <v>2048</v>
      </c>
      <c r="BO17" s="14" t="s">
        <v>2048</v>
      </c>
      <c r="BP17" s="14" t="s">
        <v>2064</v>
      </c>
      <c r="BQ17" s="14" t="s">
        <v>72</v>
      </c>
      <c r="BR17" s="14" t="s">
        <v>72</v>
      </c>
      <c r="BS17" s="14" t="s">
        <v>3715</v>
      </c>
      <c r="BT17" s="14" t="s">
        <v>2048</v>
      </c>
      <c r="BU17" s="14" t="s">
        <v>2048</v>
      </c>
      <c r="BV17" s="14" t="s">
        <v>3191</v>
      </c>
      <c r="BW17" s="14" t="s">
        <v>3192</v>
      </c>
      <c r="BX17" s="14" t="s">
        <v>2048</v>
      </c>
      <c r="BY17" s="14" t="s">
        <v>2048</v>
      </c>
      <c r="BZ17" s="14" t="s">
        <v>2048</v>
      </c>
      <c r="CA17" s="14" t="s">
        <v>2048</v>
      </c>
      <c r="CB17" s="14" t="s">
        <v>2048</v>
      </c>
      <c r="CC17" s="14" t="s">
        <v>2048</v>
      </c>
      <c r="CD17" s="14" t="s">
        <v>2048</v>
      </c>
      <c r="CE17" s="14" t="s">
        <v>2048</v>
      </c>
      <c r="CF17" s="14" t="s">
        <v>2048</v>
      </c>
      <c r="CG17" s="14" t="s">
        <v>2048</v>
      </c>
      <c r="CH17" s="14" t="s">
        <v>2048</v>
      </c>
      <c r="CI17" s="14" t="s">
        <v>2048</v>
      </c>
      <c r="CJ17" s="14" t="s">
        <v>2048</v>
      </c>
      <c r="CK17" s="14" t="s">
        <v>3193</v>
      </c>
      <c r="CL17" s="14" t="s">
        <v>3194</v>
      </c>
      <c r="CM17" s="14" t="s">
        <v>2048</v>
      </c>
      <c r="CN17" s="17"/>
      <c r="CO17" s="17">
        <v>43073</v>
      </c>
      <c r="CP17" s="17">
        <v>43073</v>
      </c>
      <c r="CR17" s="17">
        <v>44974</v>
      </c>
      <c r="CS17" s="19">
        <v>0</v>
      </c>
      <c r="CT17" s="19">
        <v>0</v>
      </c>
      <c r="CU17" s="19">
        <v>0</v>
      </c>
      <c r="CV17" s="19">
        <v>0</v>
      </c>
      <c r="CW17" s="19">
        <v>0</v>
      </c>
      <c r="CX17" s="19">
        <v>0</v>
      </c>
      <c r="CY17" s="19">
        <v>0</v>
      </c>
      <c r="CZ17" s="17"/>
      <c r="DA17" s="20">
        <v>8861</v>
      </c>
      <c r="DB17" s="17">
        <v>43555</v>
      </c>
      <c r="DC17" s="17"/>
      <c r="DD17" s="19">
        <v>0</v>
      </c>
      <c r="DE17" s="17"/>
      <c r="DF17" s="17"/>
      <c r="DG17" s="19">
        <v>100</v>
      </c>
      <c r="DH17" s="17"/>
      <c r="DI17" s="17">
        <v>2958465</v>
      </c>
      <c r="DJ17" s="17"/>
      <c r="DK17" s="17"/>
      <c r="DL17" s="19">
        <v>0</v>
      </c>
      <c r="DM17" s="19">
        <v>0</v>
      </c>
    </row>
    <row r="18" spans="1:117" x14ac:dyDescent="0.2">
      <c r="A18" s="14" t="s">
        <v>3610</v>
      </c>
      <c r="B18" s="14" t="s">
        <v>438</v>
      </c>
      <c r="C18" s="14" t="s">
        <v>725</v>
      </c>
      <c r="D18" s="14" t="s">
        <v>74</v>
      </c>
      <c r="E18" s="14" t="s">
        <v>75</v>
      </c>
      <c r="F18" s="14" t="s">
        <v>76</v>
      </c>
      <c r="G18" s="17">
        <v>44984</v>
      </c>
      <c r="H18" s="14" t="s">
        <v>77</v>
      </c>
      <c r="I18" s="14" t="s">
        <v>78</v>
      </c>
      <c r="J18" s="14" t="s">
        <v>85</v>
      </c>
      <c r="K18" s="14" t="s">
        <v>439</v>
      </c>
      <c r="L18" s="14" t="s">
        <v>102</v>
      </c>
      <c r="M18" s="14" t="s">
        <v>103</v>
      </c>
      <c r="N18" s="16">
        <f>COUNTIF($M$3:M18, M18)</f>
        <v>2</v>
      </c>
      <c r="O18" s="16" t="str" cm="1">
        <f t="array" ref="O18">INDEX('[2]ALTA 20242025'!$B$2:$B$241, MATCH(1, ('[2]ALTA 20242025'!$I$2:$I$241=M18)*('[2]ALTA 20242025'!$J$2:$J$241=N18), 0))</f>
        <v>3201MHW</v>
      </c>
      <c r="P18" s="16"/>
      <c r="Q18" s="16"/>
      <c r="R18" s="14" t="s">
        <v>2048</v>
      </c>
      <c r="S18" s="14" t="s">
        <v>2048</v>
      </c>
      <c r="T18" s="14" t="s">
        <v>2048</v>
      </c>
      <c r="U18" s="14" t="s">
        <v>2048</v>
      </c>
      <c r="V18" s="14" t="s">
        <v>72</v>
      </c>
      <c r="W18" s="14" t="s">
        <v>72</v>
      </c>
      <c r="X18" s="14" t="s">
        <v>72</v>
      </c>
      <c r="Y18" s="14" t="s">
        <v>2048</v>
      </c>
      <c r="Z18" s="14" t="s">
        <v>2048</v>
      </c>
      <c r="AA18" s="14" t="s">
        <v>2422</v>
      </c>
      <c r="AB18" s="14" t="s">
        <v>2049</v>
      </c>
      <c r="AC18" s="14" t="s">
        <v>2050</v>
      </c>
      <c r="AD18" s="14" t="s">
        <v>2048</v>
      </c>
      <c r="AE18" s="14" t="s">
        <v>2048</v>
      </c>
      <c r="AF18" s="14" t="s">
        <v>2048</v>
      </c>
      <c r="AG18" s="14" t="s">
        <v>2048</v>
      </c>
      <c r="AH18" s="14" t="s">
        <v>2048</v>
      </c>
      <c r="AI18" s="14" t="s">
        <v>2129</v>
      </c>
      <c r="AJ18" s="14" t="s">
        <v>2130</v>
      </c>
      <c r="AK18" s="14" t="s">
        <v>2055</v>
      </c>
      <c r="AL18" s="14" t="s">
        <v>2055</v>
      </c>
      <c r="AM18" s="14" t="s">
        <v>2055</v>
      </c>
      <c r="AN18" s="14" t="s">
        <v>2068</v>
      </c>
      <c r="AO18" s="14" t="s">
        <v>2048</v>
      </c>
      <c r="AP18" s="14" t="s">
        <v>2048</v>
      </c>
      <c r="AQ18" s="14" t="s">
        <v>2048</v>
      </c>
      <c r="AR18" s="14" t="s">
        <v>3716</v>
      </c>
      <c r="AS18" s="14" t="s">
        <v>108</v>
      </c>
      <c r="AT18" s="14" t="s">
        <v>3191</v>
      </c>
      <c r="AU18" s="14" t="s">
        <v>2059</v>
      </c>
      <c r="AV18" s="14" t="s">
        <v>2118</v>
      </c>
      <c r="AW18" s="14" t="s">
        <v>2119</v>
      </c>
      <c r="AX18" s="14" t="s">
        <v>2048</v>
      </c>
      <c r="AY18" s="14" t="s">
        <v>3717</v>
      </c>
      <c r="AZ18" s="14" t="s">
        <v>3718</v>
      </c>
      <c r="BA18" s="14" t="s">
        <v>2048</v>
      </c>
      <c r="BB18" s="14" t="s">
        <v>2048</v>
      </c>
      <c r="BC18" s="14" t="s">
        <v>102</v>
      </c>
      <c r="BD18" s="14" t="s">
        <v>440</v>
      </c>
      <c r="BE18" s="14" t="s">
        <v>2079</v>
      </c>
      <c r="BF18" s="14" t="s">
        <v>2048</v>
      </c>
      <c r="BG18" s="14" t="s">
        <v>2048</v>
      </c>
      <c r="BH18" s="14" t="s">
        <v>2080</v>
      </c>
      <c r="BI18" s="14" t="s">
        <v>2081</v>
      </c>
      <c r="BJ18" s="14" t="s">
        <v>2082</v>
      </c>
      <c r="BK18" s="14" t="s">
        <v>2083</v>
      </c>
      <c r="BL18" s="14" t="s">
        <v>2084</v>
      </c>
      <c r="BM18" s="14" t="s">
        <v>2085</v>
      </c>
      <c r="BN18" s="14" t="s">
        <v>2048</v>
      </c>
      <c r="BO18" s="14" t="s">
        <v>2048</v>
      </c>
      <c r="BP18" s="14" t="s">
        <v>2064</v>
      </c>
      <c r="BQ18" s="14" t="s">
        <v>72</v>
      </c>
      <c r="BR18" s="14" t="s">
        <v>72</v>
      </c>
      <c r="BS18" s="14" t="s">
        <v>2048</v>
      </c>
      <c r="BT18" s="14" t="s">
        <v>2087</v>
      </c>
      <c r="BU18" s="14" t="s">
        <v>2088</v>
      </c>
      <c r="BV18" s="14" t="s">
        <v>2331</v>
      </c>
      <c r="BW18" s="14" t="s">
        <v>2131</v>
      </c>
      <c r="BX18" s="14" t="s">
        <v>2048</v>
      </c>
      <c r="BY18" s="14" t="s">
        <v>2048</v>
      </c>
      <c r="BZ18" s="14" t="s">
        <v>2048</v>
      </c>
      <c r="CA18" s="14" t="s">
        <v>2048</v>
      </c>
      <c r="CB18" s="14" t="s">
        <v>72</v>
      </c>
      <c r="CC18" s="14" t="s">
        <v>2048</v>
      </c>
      <c r="CD18" s="14" t="s">
        <v>2048</v>
      </c>
      <c r="CE18" s="14" t="s">
        <v>2048</v>
      </c>
      <c r="CF18" s="14" t="s">
        <v>2048</v>
      </c>
      <c r="CG18" s="14" t="s">
        <v>2048</v>
      </c>
      <c r="CH18" s="14" t="s">
        <v>2048</v>
      </c>
      <c r="CI18" s="14" t="s">
        <v>2048</v>
      </c>
      <c r="CJ18" s="14" t="s">
        <v>2048</v>
      </c>
      <c r="CK18" s="14" t="s">
        <v>2068</v>
      </c>
      <c r="CL18" s="14" t="s">
        <v>2069</v>
      </c>
      <c r="CM18" s="14" t="s">
        <v>2048</v>
      </c>
      <c r="CN18" s="17"/>
      <c r="CO18" s="17">
        <v>44958</v>
      </c>
      <c r="CP18" s="17">
        <v>44958</v>
      </c>
      <c r="CR18" s="17">
        <v>44984</v>
      </c>
      <c r="CS18" s="19">
        <v>0</v>
      </c>
      <c r="CT18" s="19">
        <v>0</v>
      </c>
      <c r="CU18" s="19">
        <v>350</v>
      </c>
      <c r="CV18" s="19">
        <v>0</v>
      </c>
      <c r="CW18" s="19">
        <v>350</v>
      </c>
      <c r="CX18" s="19">
        <v>423.5</v>
      </c>
      <c r="CY18" s="19">
        <v>0</v>
      </c>
      <c r="CZ18" s="17"/>
      <c r="DA18" s="19">
        <v>0</v>
      </c>
      <c r="DB18" s="17"/>
      <c r="DC18" s="17"/>
      <c r="DD18" s="19">
        <v>0</v>
      </c>
      <c r="DE18" s="17"/>
      <c r="DF18" s="17"/>
      <c r="DG18" s="19">
        <v>100</v>
      </c>
      <c r="DH18" s="17"/>
      <c r="DI18" s="17">
        <v>45291</v>
      </c>
      <c r="DJ18" s="17"/>
      <c r="DK18" s="17"/>
      <c r="DL18" s="19">
        <v>0</v>
      </c>
      <c r="DM18" s="19">
        <v>0</v>
      </c>
    </row>
    <row r="19" spans="1:117" x14ac:dyDescent="0.2">
      <c r="A19" s="14" t="s">
        <v>3610</v>
      </c>
      <c r="B19" s="14" t="s">
        <v>445</v>
      </c>
      <c r="C19" s="14" t="s">
        <v>725</v>
      </c>
      <c r="D19" s="14" t="s">
        <v>74</v>
      </c>
      <c r="E19" s="14" t="s">
        <v>75</v>
      </c>
      <c r="F19" s="14" t="s">
        <v>76</v>
      </c>
      <c r="G19" s="17">
        <v>44984</v>
      </c>
      <c r="H19" s="14" t="s">
        <v>77</v>
      </c>
      <c r="I19" s="14" t="s">
        <v>78</v>
      </c>
      <c r="J19" s="14" t="s">
        <v>85</v>
      </c>
      <c r="K19" s="14" t="s">
        <v>439</v>
      </c>
      <c r="L19" s="14" t="s">
        <v>102</v>
      </c>
      <c r="M19" s="14" t="s">
        <v>103</v>
      </c>
      <c r="N19" s="16">
        <f>COUNTIF($M$3:M19, M19)</f>
        <v>3</v>
      </c>
      <c r="O19" s="16" t="str" cm="1">
        <f t="array" ref="O19">INDEX('[2]ALTA 20242025'!$B$2:$B$241, MATCH(1, ('[2]ALTA 20242025'!$I$2:$I$241=M19)*('[2]ALTA 20242025'!$J$2:$J$241=N19), 0))</f>
        <v>3192MHW</v>
      </c>
      <c r="P19" s="16"/>
      <c r="Q19" s="16"/>
      <c r="R19" s="14" t="s">
        <v>2048</v>
      </c>
      <c r="S19" s="14" t="s">
        <v>2048</v>
      </c>
      <c r="T19" s="14" t="s">
        <v>2048</v>
      </c>
      <c r="U19" s="14" t="s">
        <v>2048</v>
      </c>
      <c r="V19" s="14" t="s">
        <v>72</v>
      </c>
      <c r="W19" s="14" t="s">
        <v>72</v>
      </c>
      <c r="X19" s="14" t="s">
        <v>72</v>
      </c>
      <c r="Y19" s="14" t="s">
        <v>2048</v>
      </c>
      <c r="Z19" s="14" t="s">
        <v>2048</v>
      </c>
      <c r="AA19" s="14" t="s">
        <v>2422</v>
      </c>
      <c r="AB19" s="14" t="s">
        <v>2049</v>
      </c>
      <c r="AC19" s="14" t="s">
        <v>2050</v>
      </c>
      <c r="AD19" s="14" t="s">
        <v>2048</v>
      </c>
      <c r="AE19" s="14" t="s">
        <v>2048</v>
      </c>
      <c r="AF19" s="14" t="s">
        <v>2048</v>
      </c>
      <c r="AG19" s="14" t="s">
        <v>2048</v>
      </c>
      <c r="AH19" s="14" t="s">
        <v>2048</v>
      </c>
      <c r="AI19" s="14" t="s">
        <v>2129</v>
      </c>
      <c r="AJ19" s="14" t="s">
        <v>2130</v>
      </c>
      <c r="AK19" s="14" t="s">
        <v>2055</v>
      </c>
      <c r="AL19" s="14" t="s">
        <v>2055</v>
      </c>
      <c r="AM19" s="14" t="s">
        <v>2055</v>
      </c>
      <c r="AN19" s="14" t="s">
        <v>2068</v>
      </c>
      <c r="AO19" s="14" t="s">
        <v>2048</v>
      </c>
      <c r="AP19" s="14" t="s">
        <v>2048</v>
      </c>
      <c r="AQ19" s="14" t="s">
        <v>2048</v>
      </c>
      <c r="AR19" s="14" t="s">
        <v>3719</v>
      </c>
      <c r="AS19" s="14" t="s">
        <v>108</v>
      </c>
      <c r="AT19" s="14" t="s">
        <v>3191</v>
      </c>
      <c r="AU19" s="14" t="s">
        <v>2059</v>
      </c>
      <c r="AV19" s="14" t="s">
        <v>2077</v>
      </c>
      <c r="AW19" s="14" t="s">
        <v>2078</v>
      </c>
      <c r="AX19" s="14" t="s">
        <v>2048</v>
      </c>
      <c r="AY19" s="14" t="s">
        <v>3717</v>
      </c>
      <c r="AZ19" s="14" t="s">
        <v>3718</v>
      </c>
      <c r="BA19" s="14" t="s">
        <v>2048</v>
      </c>
      <c r="BB19" s="14" t="s">
        <v>2048</v>
      </c>
      <c r="BC19" s="14" t="s">
        <v>102</v>
      </c>
      <c r="BD19" s="14" t="s">
        <v>440</v>
      </c>
      <c r="BE19" s="14" t="s">
        <v>2079</v>
      </c>
      <c r="BF19" s="14" t="s">
        <v>2048</v>
      </c>
      <c r="BG19" s="14" t="s">
        <v>2048</v>
      </c>
      <c r="BH19" s="14" t="s">
        <v>2080</v>
      </c>
      <c r="BI19" s="14" t="s">
        <v>2081</v>
      </c>
      <c r="BJ19" s="14" t="s">
        <v>2082</v>
      </c>
      <c r="BK19" s="14" t="s">
        <v>2083</v>
      </c>
      <c r="BL19" s="14" t="s">
        <v>2084</v>
      </c>
      <c r="BM19" s="14" t="s">
        <v>2085</v>
      </c>
      <c r="BN19" s="14" t="s">
        <v>2048</v>
      </c>
      <c r="BO19" s="14" t="s">
        <v>2048</v>
      </c>
      <c r="BP19" s="14" t="s">
        <v>2064</v>
      </c>
      <c r="BQ19" s="14" t="s">
        <v>72</v>
      </c>
      <c r="BR19" s="14" t="s">
        <v>72</v>
      </c>
      <c r="BS19" s="14" t="s">
        <v>2048</v>
      </c>
      <c r="BT19" s="14" t="s">
        <v>3720</v>
      </c>
      <c r="BU19" s="14" t="s">
        <v>3719</v>
      </c>
      <c r="BV19" s="14" t="s">
        <v>2331</v>
      </c>
      <c r="BW19" s="14" t="s">
        <v>2131</v>
      </c>
      <c r="BX19" s="14" t="s">
        <v>2048</v>
      </c>
      <c r="BY19" s="14" t="s">
        <v>2048</v>
      </c>
      <c r="BZ19" s="14" t="s">
        <v>2048</v>
      </c>
      <c r="CA19" s="14" t="s">
        <v>2048</v>
      </c>
      <c r="CB19" s="14" t="s">
        <v>72</v>
      </c>
      <c r="CC19" s="14" t="s">
        <v>2048</v>
      </c>
      <c r="CD19" s="14" t="s">
        <v>2048</v>
      </c>
      <c r="CE19" s="14" t="s">
        <v>2048</v>
      </c>
      <c r="CF19" s="14" t="s">
        <v>2048</v>
      </c>
      <c r="CG19" s="14" t="s">
        <v>2048</v>
      </c>
      <c r="CH19" s="14" t="s">
        <v>2048</v>
      </c>
      <c r="CI19" s="14" t="s">
        <v>2048</v>
      </c>
      <c r="CJ19" s="14" t="s">
        <v>2048</v>
      </c>
      <c r="CK19" s="14" t="s">
        <v>2068</v>
      </c>
      <c r="CL19" s="14" t="s">
        <v>2069</v>
      </c>
      <c r="CM19" s="14" t="s">
        <v>2048</v>
      </c>
      <c r="CN19" s="17"/>
      <c r="CO19" s="17">
        <v>44958</v>
      </c>
      <c r="CP19" s="17">
        <v>44958</v>
      </c>
      <c r="CR19" s="17">
        <v>44984</v>
      </c>
      <c r="CS19" s="19">
        <v>0</v>
      </c>
      <c r="CT19" s="19">
        <v>0</v>
      </c>
      <c r="CU19" s="19">
        <v>350</v>
      </c>
      <c r="CV19" s="19">
        <v>0</v>
      </c>
      <c r="CW19" s="19">
        <v>350</v>
      </c>
      <c r="CX19" s="19">
        <v>423.5</v>
      </c>
      <c r="CY19" s="19">
        <v>0</v>
      </c>
      <c r="CZ19" s="17"/>
      <c r="DA19" s="19">
        <v>0</v>
      </c>
      <c r="DB19" s="17"/>
      <c r="DC19" s="17"/>
      <c r="DD19" s="19">
        <v>0</v>
      </c>
      <c r="DE19" s="17"/>
      <c r="DF19" s="17"/>
      <c r="DG19" s="19">
        <v>100</v>
      </c>
      <c r="DH19" s="17"/>
      <c r="DI19" s="17">
        <v>45291</v>
      </c>
      <c r="DJ19" s="17"/>
      <c r="DK19" s="17"/>
      <c r="DL19" s="19">
        <v>0</v>
      </c>
      <c r="DM19" s="19">
        <v>0</v>
      </c>
    </row>
    <row r="20" spans="1:117" x14ac:dyDescent="0.2">
      <c r="A20" s="14" t="s">
        <v>3610</v>
      </c>
      <c r="B20" s="14" t="s">
        <v>615</v>
      </c>
      <c r="C20" s="14" t="s">
        <v>73</v>
      </c>
      <c r="D20" s="14" t="s">
        <v>200</v>
      </c>
      <c r="E20" s="14" t="s">
        <v>201</v>
      </c>
      <c r="F20" s="14" t="s">
        <v>76</v>
      </c>
      <c r="G20" s="17">
        <v>44986</v>
      </c>
      <c r="H20" s="14" t="s">
        <v>77</v>
      </c>
      <c r="I20" s="14" t="s">
        <v>78</v>
      </c>
      <c r="J20" s="14" t="s">
        <v>359</v>
      </c>
      <c r="K20" s="14" t="s">
        <v>604</v>
      </c>
      <c r="L20" s="14" t="s">
        <v>119</v>
      </c>
      <c r="M20" s="14" t="s">
        <v>120</v>
      </c>
      <c r="N20" s="16">
        <f>COUNTIF($M$3:M20, M20)</f>
        <v>1</v>
      </c>
      <c r="O20" s="16" t="str" cm="1">
        <f t="array" ref="O20">INDEX('[2]ALTA 20242025'!$B$2:$B$241, MATCH(1, ('[2]ALTA 20242025'!$I$2:$I$241=M20)*('[2]ALTA 20242025'!$J$2:$J$241=N20), 0))</f>
        <v>2704MXG</v>
      </c>
      <c r="P20" s="16"/>
      <c r="Q20" s="16"/>
      <c r="R20" s="14" t="s">
        <v>2048</v>
      </c>
      <c r="S20" s="14" t="s">
        <v>2048</v>
      </c>
      <c r="T20" s="14" t="s">
        <v>2048</v>
      </c>
      <c r="U20" s="14" t="s">
        <v>2048</v>
      </c>
      <c r="V20" s="14" t="s">
        <v>3721</v>
      </c>
      <c r="W20" s="14" t="s">
        <v>3722</v>
      </c>
      <c r="X20" s="14" t="s">
        <v>3723</v>
      </c>
      <c r="Y20" s="14" t="s">
        <v>3724</v>
      </c>
      <c r="Z20" s="14" t="s">
        <v>2048</v>
      </c>
      <c r="AA20" s="14" t="s">
        <v>2422</v>
      </c>
      <c r="AB20" s="14" t="s">
        <v>2049</v>
      </c>
      <c r="AC20" s="14" t="s">
        <v>2050</v>
      </c>
      <c r="AD20" s="14" t="s">
        <v>3725</v>
      </c>
      <c r="AE20" s="14" t="s">
        <v>3613</v>
      </c>
      <c r="AF20" s="14" t="s">
        <v>3614</v>
      </c>
      <c r="AG20" s="14" t="s">
        <v>2048</v>
      </c>
      <c r="AH20" s="14" t="s">
        <v>2048</v>
      </c>
      <c r="AI20" s="14" t="s">
        <v>2132</v>
      </c>
      <c r="AJ20" s="14" t="s">
        <v>2133</v>
      </c>
      <c r="AK20" s="14" t="s">
        <v>2055</v>
      </c>
      <c r="AL20" s="14" t="s">
        <v>2055</v>
      </c>
      <c r="AM20" s="14" t="s">
        <v>2055</v>
      </c>
      <c r="AN20" s="14" t="s">
        <v>2068</v>
      </c>
      <c r="AO20" s="14" t="s">
        <v>2048</v>
      </c>
      <c r="AP20" s="14" t="s">
        <v>2048</v>
      </c>
      <c r="AQ20" s="14" t="s">
        <v>2048</v>
      </c>
      <c r="AR20" s="14" t="s">
        <v>2374</v>
      </c>
      <c r="AS20" s="14" t="s">
        <v>3726</v>
      </c>
      <c r="AT20" s="14" t="s">
        <v>3655</v>
      </c>
      <c r="AU20" s="14" t="s">
        <v>3727</v>
      </c>
      <c r="AV20" s="14" t="s">
        <v>3728</v>
      </c>
      <c r="AW20" s="14" t="s">
        <v>3729</v>
      </c>
      <c r="AX20" s="14" t="s">
        <v>2048</v>
      </c>
      <c r="AY20" s="14" t="s">
        <v>2376</v>
      </c>
      <c r="AZ20" s="14" t="s">
        <v>2377</v>
      </c>
      <c r="BA20" s="14" t="s">
        <v>3627</v>
      </c>
      <c r="BB20" s="14" t="s">
        <v>2048</v>
      </c>
      <c r="BC20" s="14" t="s">
        <v>119</v>
      </c>
      <c r="BD20" s="14" t="s">
        <v>501</v>
      </c>
      <c r="BE20" s="14" t="s">
        <v>2621</v>
      </c>
      <c r="BF20" s="14" t="s">
        <v>2048</v>
      </c>
      <c r="BG20" s="14" t="s">
        <v>2048</v>
      </c>
      <c r="BH20" s="14" t="s">
        <v>2379</v>
      </c>
      <c r="BI20" s="14" t="s">
        <v>2622</v>
      </c>
      <c r="BJ20" s="14" t="s">
        <v>2048</v>
      </c>
      <c r="BK20" s="14" t="s">
        <v>2048</v>
      </c>
      <c r="BL20" s="14" t="s">
        <v>2381</v>
      </c>
      <c r="BM20" s="14" t="s">
        <v>2382</v>
      </c>
      <c r="BN20" s="14" t="s">
        <v>2048</v>
      </c>
      <c r="BO20" s="14" t="s">
        <v>2048</v>
      </c>
      <c r="BP20" s="14" t="s">
        <v>2064</v>
      </c>
      <c r="BQ20" s="14" t="s">
        <v>72</v>
      </c>
      <c r="BR20" s="14" t="s">
        <v>72</v>
      </c>
      <c r="BS20" s="14" t="s">
        <v>2048</v>
      </c>
      <c r="BT20" s="14" t="s">
        <v>2719</v>
      </c>
      <c r="BU20" s="14" t="s">
        <v>2720</v>
      </c>
      <c r="BV20" s="14" t="s">
        <v>2331</v>
      </c>
      <c r="BW20" s="14" t="s">
        <v>2131</v>
      </c>
      <c r="BX20" s="14" t="s">
        <v>2048</v>
      </c>
      <c r="BY20" s="14" t="s">
        <v>2048</v>
      </c>
      <c r="BZ20" s="14" t="s">
        <v>2048</v>
      </c>
      <c r="CA20" s="14" t="s">
        <v>2048</v>
      </c>
      <c r="CB20" s="14" t="s">
        <v>72</v>
      </c>
      <c r="CC20" s="14" t="s">
        <v>2048</v>
      </c>
      <c r="CD20" s="14" t="s">
        <v>2048</v>
      </c>
      <c r="CE20" s="14" t="s">
        <v>2048</v>
      </c>
      <c r="CF20" s="14" t="s">
        <v>2048</v>
      </c>
      <c r="CG20" s="14" t="s">
        <v>2048</v>
      </c>
      <c r="CH20" s="14" t="s">
        <v>2048</v>
      </c>
      <c r="CI20" s="14" t="s">
        <v>2048</v>
      </c>
      <c r="CJ20" s="14" t="s">
        <v>2048</v>
      </c>
      <c r="CK20" s="14" t="s">
        <v>2068</v>
      </c>
      <c r="CL20" s="14" t="s">
        <v>2069</v>
      </c>
      <c r="CM20" s="14" t="s">
        <v>2048</v>
      </c>
      <c r="CN20" s="17"/>
      <c r="CO20" s="17">
        <v>43160</v>
      </c>
      <c r="CP20" s="17">
        <v>43160</v>
      </c>
      <c r="CR20" s="17">
        <v>44965</v>
      </c>
      <c r="CS20" s="19">
        <v>60</v>
      </c>
      <c r="CT20" s="19">
        <v>0</v>
      </c>
      <c r="CU20" s="19">
        <v>185.73</v>
      </c>
      <c r="CV20" s="19">
        <v>0</v>
      </c>
      <c r="CW20" s="19">
        <v>185.73</v>
      </c>
      <c r="CX20" s="19">
        <v>224.73</v>
      </c>
      <c r="CY20" s="19">
        <v>0</v>
      </c>
      <c r="CZ20" s="17"/>
      <c r="DA20" s="20">
        <v>42962</v>
      </c>
      <c r="DB20" s="17">
        <v>44985</v>
      </c>
      <c r="DC20" s="17"/>
      <c r="DD20" s="19">
        <v>0</v>
      </c>
      <c r="DE20" s="17"/>
      <c r="DF20" s="17"/>
      <c r="DG20" s="19">
        <v>100</v>
      </c>
      <c r="DH20" s="17"/>
      <c r="DI20" s="17">
        <v>45291</v>
      </c>
      <c r="DJ20" s="17"/>
      <c r="DK20" s="17"/>
      <c r="DL20" s="19">
        <v>0</v>
      </c>
      <c r="DM20" s="19">
        <v>0</v>
      </c>
    </row>
    <row r="21" spans="1:117" x14ac:dyDescent="0.2">
      <c r="A21" s="14" t="s">
        <v>3610</v>
      </c>
      <c r="B21" s="14" t="s">
        <v>1065</v>
      </c>
      <c r="C21" s="14" t="s">
        <v>158</v>
      </c>
      <c r="D21" s="14" t="s">
        <v>159</v>
      </c>
      <c r="E21" s="14" t="s">
        <v>158</v>
      </c>
      <c r="F21" s="14" t="s">
        <v>171</v>
      </c>
      <c r="G21" s="17">
        <v>44994</v>
      </c>
      <c r="H21" s="14" t="s">
        <v>172</v>
      </c>
      <c r="I21" s="14" t="s">
        <v>78</v>
      </c>
      <c r="J21" s="14" t="s">
        <v>1066</v>
      </c>
      <c r="K21" s="14" t="s">
        <v>1067</v>
      </c>
      <c r="L21" s="14" t="s">
        <v>102</v>
      </c>
      <c r="M21" s="14" t="s">
        <v>103</v>
      </c>
      <c r="N21" s="16">
        <f>COUNTIF($M$3:M21, M21)</f>
        <v>4</v>
      </c>
      <c r="O21" s="16" t="str" cm="1">
        <f t="array" ref="O21">INDEX('[2]ALTA 20242025'!$B$2:$B$241, MATCH(1, ('[2]ALTA 20242025'!$I$2:$I$241=M21)*('[2]ALTA 20242025'!$J$2:$J$241=N21), 0))</f>
        <v>3140MHW</v>
      </c>
      <c r="P21" s="16"/>
      <c r="Q21" s="16"/>
      <c r="R21" s="14" t="s">
        <v>2048</v>
      </c>
      <c r="S21" s="14" t="s">
        <v>2048</v>
      </c>
      <c r="T21" s="14" t="s">
        <v>2048</v>
      </c>
      <c r="U21" s="14" t="s">
        <v>2048</v>
      </c>
      <c r="V21" s="14" t="s">
        <v>3677</v>
      </c>
      <c r="W21" s="14" t="s">
        <v>3730</v>
      </c>
      <c r="X21" s="14" t="s">
        <v>2048</v>
      </c>
      <c r="Y21" s="14" t="s">
        <v>2048</v>
      </c>
      <c r="Z21" s="14" t="s">
        <v>2048</v>
      </c>
      <c r="AA21" s="14" t="s">
        <v>2422</v>
      </c>
      <c r="AB21" s="14" t="s">
        <v>2049</v>
      </c>
      <c r="AC21" s="14" t="s">
        <v>3678</v>
      </c>
      <c r="AD21" s="14" t="s">
        <v>2048</v>
      </c>
      <c r="AE21" s="14" t="s">
        <v>2048</v>
      </c>
      <c r="AF21" s="14" t="s">
        <v>2048</v>
      </c>
      <c r="AG21" s="14" t="s">
        <v>2048</v>
      </c>
      <c r="AH21" s="14" t="s">
        <v>2048</v>
      </c>
      <c r="AI21" s="14" t="s">
        <v>2072</v>
      </c>
      <c r="AJ21" s="14" t="s">
        <v>2073</v>
      </c>
      <c r="AK21" s="14" t="s">
        <v>2056</v>
      </c>
      <c r="AL21" s="14" t="s">
        <v>2056</v>
      </c>
      <c r="AM21" s="14" t="s">
        <v>2056</v>
      </c>
      <c r="AN21" s="14" t="s">
        <v>2068</v>
      </c>
      <c r="AO21" s="14" t="s">
        <v>2048</v>
      </c>
      <c r="AP21" s="14" t="s">
        <v>2048</v>
      </c>
      <c r="AQ21" s="14" t="s">
        <v>2048</v>
      </c>
      <c r="AR21" s="14" t="s">
        <v>2048</v>
      </c>
      <c r="AS21" s="14" t="s">
        <v>2048</v>
      </c>
      <c r="AT21" s="14" t="s">
        <v>2048</v>
      </c>
      <c r="AU21" s="14" t="s">
        <v>2048</v>
      </c>
      <c r="AV21" s="14" t="s">
        <v>3731</v>
      </c>
      <c r="AW21" s="14" t="s">
        <v>3732</v>
      </c>
      <c r="AX21" s="14" t="s">
        <v>72</v>
      </c>
      <c r="AY21" s="14" t="s">
        <v>2881</v>
      </c>
      <c r="AZ21" s="14" t="s">
        <v>2882</v>
      </c>
      <c r="BA21" s="14" t="s">
        <v>3664</v>
      </c>
      <c r="BB21" s="14" t="s">
        <v>2048</v>
      </c>
      <c r="BC21" s="14" t="s">
        <v>102</v>
      </c>
      <c r="BD21" s="14" t="s">
        <v>579</v>
      </c>
      <c r="BE21" s="14" t="s">
        <v>3302</v>
      </c>
      <c r="BF21" s="14" t="s">
        <v>2048</v>
      </c>
      <c r="BG21" s="14" t="s">
        <v>2048</v>
      </c>
      <c r="BH21" s="14" t="s">
        <v>2282</v>
      </c>
      <c r="BI21" s="14" t="s">
        <v>2782</v>
      </c>
      <c r="BJ21" s="14" t="s">
        <v>2783</v>
      </c>
      <c r="BK21" s="14" t="s">
        <v>2784</v>
      </c>
      <c r="BL21" s="14" t="s">
        <v>2884</v>
      </c>
      <c r="BM21" s="14" t="s">
        <v>2287</v>
      </c>
      <c r="BN21" s="14" t="s">
        <v>2048</v>
      </c>
      <c r="BO21" s="14" t="s">
        <v>2048</v>
      </c>
      <c r="BP21" s="14" t="s">
        <v>2064</v>
      </c>
      <c r="BQ21" s="14" t="s">
        <v>2048</v>
      </c>
      <c r="BR21" s="14" t="s">
        <v>2048</v>
      </c>
      <c r="BS21" s="14" t="s">
        <v>2048</v>
      </c>
      <c r="BT21" s="14" t="s">
        <v>3310</v>
      </c>
      <c r="BU21" s="14" t="s">
        <v>3311</v>
      </c>
      <c r="BV21" s="14" t="s">
        <v>2418</v>
      </c>
      <c r="BW21" s="14" t="s">
        <v>2089</v>
      </c>
      <c r="BX21" s="14" t="s">
        <v>2048</v>
      </c>
      <c r="BY21" s="14" t="s">
        <v>2048</v>
      </c>
      <c r="BZ21" s="14" t="s">
        <v>2048</v>
      </c>
      <c r="CA21" s="14" t="s">
        <v>2048</v>
      </c>
      <c r="CB21" s="14" t="s">
        <v>2048</v>
      </c>
      <c r="CC21" s="14" t="s">
        <v>2048</v>
      </c>
      <c r="CD21" s="14" t="s">
        <v>2048</v>
      </c>
      <c r="CE21" s="14" t="s">
        <v>2048</v>
      </c>
      <c r="CF21" s="14" t="s">
        <v>2048</v>
      </c>
      <c r="CG21" s="14" t="s">
        <v>2048</v>
      </c>
      <c r="CH21" s="14" t="s">
        <v>2048</v>
      </c>
      <c r="CI21" s="14" t="s">
        <v>2048</v>
      </c>
      <c r="CJ21" s="14" t="s">
        <v>2048</v>
      </c>
      <c r="CK21" s="14" t="s">
        <v>2121</v>
      </c>
      <c r="CL21" s="14" t="s">
        <v>2122</v>
      </c>
      <c r="CM21" s="14" t="s">
        <v>2048</v>
      </c>
      <c r="CN21" s="17"/>
      <c r="CO21" s="17">
        <v>36161</v>
      </c>
      <c r="CP21" s="17">
        <v>36161</v>
      </c>
      <c r="CR21" s="17">
        <v>44998</v>
      </c>
      <c r="CS21" s="19">
        <v>0</v>
      </c>
      <c r="CT21" s="19">
        <v>0</v>
      </c>
      <c r="CU21" s="19">
        <v>0</v>
      </c>
      <c r="CV21" s="19">
        <v>0</v>
      </c>
      <c r="CW21" s="19">
        <v>0</v>
      </c>
      <c r="CX21" s="19">
        <v>0</v>
      </c>
      <c r="CY21" s="19">
        <v>0</v>
      </c>
      <c r="CZ21" s="17"/>
      <c r="DA21" s="20">
        <v>135692</v>
      </c>
      <c r="DB21" s="17">
        <v>43496</v>
      </c>
      <c r="DC21" s="17"/>
      <c r="DD21" s="19">
        <v>0</v>
      </c>
      <c r="DE21" s="17"/>
      <c r="DF21" s="17"/>
      <c r="DG21" s="19">
        <v>100</v>
      </c>
      <c r="DH21" s="17"/>
      <c r="DI21" s="17">
        <v>2958465</v>
      </c>
      <c r="DJ21" s="17"/>
      <c r="DK21" s="17"/>
      <c r="DL21" s="19">
        <v>0</v>
      </c>
      <c r="DM21" s="19">
        <v>0</v>
      </c>
    </row>
    <row r="22" spans="1:117" x14ac:dyDescent="0.2">
      <c r="A22" s="14" t="s">
        <v>3610</v>
      </c>
      <c r="B22" s="14" t="s">
        <v>603</v>
      </c>
      <c r="C22" s="14" t="s">
        <v>73</v>
      </c>
      <c r="D22" s="14" t="s">
        <v>200</v>
      </c>
      <c r="E22" s="14" t="s">
        <v>201</v>
      </c>
      <c r="F22" s="14" t="s">
        <v>76</v>
      </c>
      <c r="G22" s="17">
        <v>44998</v>
      </c>
      <c r="H22" s="14" t="s">
        <v>77</v>
      </c>
      <c r="I22" s="14" t="s">
        <v>78</v>
      </c>
      <c r="J22" s="14" t="s">
        <v>359</v>
      </c>
      <c r="K22" s="14" t="s">
        <v>604</v>
      </c>
      <c r="L22" s="14" t="s">
        <v>204</v>
      </c>
      <c r="M22" s="14" t="s">
        <v>205</v>
      </c>
      <c r="N22" s="16">
        <f>COUNTIF($M$3:M22, M22)</f>
        <v>1</v>
      </c>
      <c r="O22" s="16" t="str" cm="1">
        <f t="array" ref="O22">INDEX('[2]ALTA 20242025'!$B$2:$B$241, MATCH(1, ('[2]ALTA 20242025'!$I$2:$I$241=M22)*('[2]ALTA 20242025'!$J$2:$J$241=N22), 0))</f>
        <v>0176MWZ</v>
      </c>
      <c r="P22" s="16"/>
      <c r="Q22" s="16"/>
      <c r="R22" s="14" t="s">
        <v>2048</v>
      </c>
      <c r="S22" s="14" t="s">
        <v>2048</v>
      </c>
      <c r="T22" s="14" t="s">
        <v>2048</v>
      </c>
      <c r="U22" s="14" t="s">
        <v>2048</v>
      </c>
      <c r="V22" s="14" t="s">
        <v>3721</v>
      </c>
      <c r="W22" s="14" t="s">
        <v>3733</v>
      </c>
      <c r="X22" s="14" t="s">
        <v>3723</v>
      </c>
      <c r="Y22" s="14" t="s">
        <v>3734</v>
      </c>
      <c r="Z22" s="14" t="s">
        <v>2048</v>
      </c>
      <c r="AA22" s="14" t="s">
        <v>2422</v>
      </c>
      <c r="AB22" s="14" t="s">
        <v>2049</v>
      </c>
      <c r="AC22" s="14" t="s">
        <v>2050</v>
      </c>
      <c r="AD22" s="14" t="s">
        <v>3725</v>
      </c>
      <c r="AE22" s="14" t="s">
        <v>3613</v>
      </c>
      <c r="AF22" s="14" t="s">
        <v>3614</v>
      </c>
      <c r="AG22" s="14" t="s">
        <v>2048</v>
      </c>
      <c r="AH22" s="14" t="s">
        <v>2048</v>
      </c>
      <c r="AI22" s="14" t="s">
        <v>2132</v>
      </c>
      <c r="AJ22" s="14" t="s">
        <v>2133</v>
      </c>
      <c r="AK22" s="14" t="s">
        <v>2055</v>
      </c>
      <c r="AL22" s="14" t="s">
        <v>2055</v>
      </c>
      <c r="AM22" s="14" t="s">
        <v>2055</v>
      </c>
      <c r="AN22" s="14" t="s">
        <v>2068</v>
      </c>
      <c r="AO22" s="14" t="s">
        <v>2048</v>
      </c>
      <c r="AP22" s="14" t="s">
        <v>2048</v>
      </c>
      <c r="AQ22" s="14" t="s">
        <v>2048</v>
      </c>
      <c r="AR22" s="14" t="s">
        <v>2374</v>
      </c>
      <c r="AS22" s="14" t="s">
        <v>3726</v>
      </c>
      <c r="AT22" s="14" t="s">
        <v>3655</v>
      </c>
      <c r="AU22" s="14" t="s">
        <v>3735</v>
      </c>
      <c r="AV22" s="14" t="s">
        <v>3736</v>
      </c>
      <c r="AW22" s="14" t="s">
        <v>3737</v>
      </c>
      <c r="AX22" s="14" t="s">
        <v>2048</v>
      </c>
      <c r="AY22" s="14" t="s">
        <v>2376</v>
      </c>
      <c r="AZ22" s="14" t="s">
        <v>2377</v>
      </c>
      <c r="BA22" s="14" t="s">
        <v>2048</v>
      </c>
      <c r="BB22" s="14" t="s">
        <v>2048</v>
      </c>
      <c r="BC22" s="14" t="s">
        <v>204</v>
      </c>
      <c r="BD22" s="14" t="s">
        <v>230</v>
      </c>
      <c r="BE22" s="14" t="s">
        <v>2378</v>
      </c>
      <c r="BF22" s="14" t="s">
        <v>2048</v>
      </c>
      <c r="BG22" s="14" t="s">
        <v>2048</v>
      </c>
      <c r="BH22" s="14" t="s">
        <v>2379</v>
      </c>
      <c r="BI22" s="14" t="s">
        <v>2380</v>
      </c>
      <c r="BJ22" s="14" t="s">
        <v>2048</v>
      </c>
      <c r="BK22" s="14" t="s">
        <v>2048</v>
      </c>
      <c r="BL22" s="14" t="s">
        <v>2381</v>
      </c>
      <c r="BM22" s="14" t="s">
        <v>2382</v>
      </c>
      <c r="BN22" s="14" t="s">
        <v>2048</v>
      </c>
      <c r="BO22" s="14" t="s">
        <v>2048</v>
      </c>
      <c r="BP22" s="14" t="s">
        <v>2064</v>
      </c>
      <c r="BQ22" s="14" t="s">
        <v>72</v>
      </c>
      <c r="BR22" s="14" t="s">
        <v>72</v>
      </c>
      <c r="BS22" s="14" t="s">
        <v>2048</v>
      </c>
      <c r="BT22" s="14" t="s">
        <v>2719</v>
      </c>
      <c r="BU22" s="14" t="s">
        <v>2720</v>
      </c>
      <c r="BV22" s="14" t="s">
        <v>2331</v>
      </c>
      <c r="BW22" s="14" t="s">
        <v>2131</v>
      </c>
      <c r="BX22" s="14" t="s">
        <v>2048</v>
      </c>
      <c r="BY22" s="14" t="s">
        <v>2048</v>
      </c>
      <c r="BZ22" s="14" t="s">
        <v>2048</v>
      </c>
      <c r="CA22" s="14" t="s">
        <v>2048</v>
      </c>
      <c r="CB22" s="14" t="s">
        <v>2048</v>
      </c>
      <c r="CC22" s="14" t="s">
        <v>2048</v>
      </c>
      <c r="CD22" s="14" t="s">
        <v>2048</v>
      </c>
      <c r="CE22" s="14" t="s">
        <v>2048</v>
      </c>
      <c r="CF22" s="14" t="s">
        <v>2048</v>
      </c>
      <c r="CG22" s="14" t="s">
        <v>2048</v>
      </c>
      <c r="CH22" s="14" t="s">
        <v>2048</v>
      </c>
      <c r="CI22" s="14" t="s">
        <v>2048</v>
      </c>
      <c r="CJ22" s="14" t="s">
        <v>2048</v>
      </c>
      <c r="CK22" s="14" t="s">
        <v>2068</v>
      </c>
      <c r="CL22" s="14" t="s">
        <v>2069</v>
      </c>
      <c r="CM22" s="14" t="s">
        <v>2048</v>
      </c>
      <c r="CN22" s="17"/>
      <c r="CO22" s="17">
        <v>43172</v>
      </c>
      <c r="CP22" s="17">
        <v>43172</v>
      </c>
      <c r="CR22" s="17">
        <v>44964</v>
      </c>
      <c r="CS22" s="19">
        <v>60</v>
      </c>
      <c r="CT22" s="19">
        <v>0</v>
      </c>
      <c r="CU22" s="19">
        <v>185.73</v>
      </c>
      <c r="CV22" s="19">
        <v>0</v>
      </c>
      <c r="CW22" s="19">
        <v>185.73</v>
      </c>
      <c r="CX22" s="19">
        <v>224.73</v>
      </c>
      <c r="CY22" s="19">
        <v>0</v>
      </c>
      <c r="CZ22" s="17"/>
      <c r="DA22" s="19">
        <v>0</v>
      </c>
      <c r="DB22" s="17"/>
      <c r="DC22" s="17"/>
      <c r="DD22" s="19">
        <v>0</v>
      </c>
      <c r="DE22" s="17"/>
      <c r="DF22" s="17"/>
      <c r="DG22" s="19">
        <v>100</v>
      </c>
      <c r="DH22" s="17"/>
      <c r="DI22" s="17">
        <v>45291</v>
      </c>
      <c r="DJ22" s="17"/>
      <c r="DK22" s="17"/>
      <c r="DL22" s="19">
        <v>0</v>
      </c>
      <c r="DM22" s="19">
        <v>0</v>
      </c>
    </row>
    <row r="23" spans="1:117" x14ac:dyDescent="0.2">
      <c r="A23" s="14" t="s">
        <v>3610</v>
      </c>
      <c r="B23" s="14" t="s">
        <v>583</v>
      </c>
      <c r="C23" s="14" t="s">
        <v>73</v>
      </c>
      <c r="D23" s="14" t="s">
        <v>200</v>
      </c>
      <c r="E23" s="14" t="s">
        <v>201</v>
      </c>
      <c r="F23" s="14" t="s">
        <v>76</v>
      </c>
      <c r="G23" s="17">
        <v>45001</v>
      </c>
      <c r="H23" s="14" t="s">
        <v>77</v>
      </c>
      <c r="I23" s="14" t="s">
        <v>78</v>
      </c>
      <c r="J23" s="14" t="s">
        <v>359</v>
      </c>
      <c r="K23" s="14" t="s">
        <v>578</v>
      </c>
      <c r="L23" s="14" t="s">
        <v>584</v>
      </c>
      <c r="M23" s="14" t="s">
        <v>585</v>
      </c>
      <c r="N23" s="16">
        <f>COUNTIF($M$3:M23, M23)</f>
        <v>2</v>
      </c>
      <c r="O23" s="16" t="str" cm="1">
        <f t="array" ref="O23">INDEX('[2]ALTA 20242025'!$B$2:$B$241, MATCH(1, ('[2]ALTA 20242025'!$I$2:$I$241=M23)*('[2]ALTA 20242025'!$J$2:$J$241=N23), 0))</f>
        <v>3191MXJ</v>
      </c>
      <c r="P23" s="16"/>
      <c r="Q23" s="16"/>
      <c r="R23" s="14" t="s">
        <v>3738</v>
      </c>
      <c r="S23" s="14" t="s">
        <v>3739</v>
      </c>
      <c r="T23" s="14" t="s">
        <v>2048</v>
      </c>
      <c r="U23" s="14" t="s">
        <v>2048</v>
      </c>
      <c r="V23" s="14" t="s">
        <v>3740</v>
      </c>
      <c r="W23" s="14" t="s">
        <v>3741</v>
      </c>
      <c r="X23" s="14" t="s">
        <v>3742</v>
      </c>
      <c r="Y23" s="14" t="s">
        <v>3743</v>
      </c>
      <c r="Z23" s="14" t="s">
        <v>2048</v>
      </c>
      <c r="AA23" s="14" t="s">
        <v>2422</v>
      </c>
      <c r="AB23" s="14" t="s">
        <v>2049</v>
      </c>
      <c r="AC23" s="14" t="s">
        <v>2050</v>
      </c>
      <c r="AD23" s="14" t="s">
        <v>3612</v>
      </c>
      <c r="AE23" s="14" t="s">
        <v>3613</v>
      </c>
      <c r="AF23" s="14" t="s">
        <v>3614</v>
      </c>
      <c r="AG23" s="14" t="s">
        <v>200</v>
      </c>
      <c r="AH23" s="14" t="s">
        <v>3622</v>
      </c>
      <c r="AI23" s="14" t="s">
        <v>2132</v>
      </c>
      <c r="AJ23" s="14" t="s">
        <v>2133</v>
      </c>
      <c r="AK23" s="14" t="s">
        <v>2056</v>
      </c>
      <c r="AL23" s="14" t="s">
        <v>2055</v>
      </c>
      <c r="AM23" s="14" t="s">
        <v>2055</v>
      </c>
      <c r="AN23" s="14" t="s">
        <v>2068</v>
      </c>
      <c r="AO23" s="14" t="s">
        <v>2048</v>
      </c>
      <c r="AP23" s="14" t="s">
        <v>2048</v>
      </c>
      <c r="AQ23" s="14" t="s">
        <v>2048</v>
      </c>
      <c r="AR23" s="14" t="s">
        <v>3744</v>
      </c>
      <c r="AS23" s="14" t="s">
        <v>3745</v>
      </c>
      <c r="AT23" s="14" t="s">
        <v>2048</v>
      </c>
      <c r="AU23" s="14" t="s">
        <v>3746</v>
      </c>
      <c r="AV23" s="14" t="s">
        <v>3747</v>
      </c>
      <c r="AW23" s="14" t="s">
        <v>3748</v>
      </c>
      <c r="AX23" s="14" t="s">
        <v>72</v>
      </c>
      <c r="AY23" s="14" t="s">
        <v>3749</v>
      </c>
      <c r="AZ23" s="14" t="s">
        <v>3750</v>
      </c>
      <c r="BA23" s="14" t="s">
        <v>3664</v>
      </c>
      <c r="BB23" s="14" t="s">
        <v>2048</v>
      </c>
      <c r="BC23" s="14" t="s">
        <v>584</v>
      </c>
      <c r="BD23" s="14" t="s">
        <v>586</v>
      </c>
      <c r="BE23" s="14" t="s">
        <v>3751</v>
      </c>
      <c r="BF23" s="14" t="s">
        <v>2048</v>
      </c>
      <c r="BG23" s="14" t="s">
        <v>2048</v>
      </c>
      <c r="BH23" s="14" t="s">
        <v>2602</v>
      </c>
      <c r="BI23" s="14" t="s">
        <v>3752</v>
      </c>
      <c r="BJ23" s="14" t="s">
        <v>3753</v>
      </c>
      <c r="BK23" s="14" t="s">
        <v>3754</v>
      </c>
      <c r="BL23" s="14" t="s">
        <v>3755</v>
      </c>
      <c r="BM23" s="14" t="s">
        <v>2287</v>
      </c>
      <c r="BN23" s="14" t="s">
        <v>2048</v>
      </c>
      <c r="BO23" s="14" t="s">
        <v>2048</v>
      </c>
      <c r="BP23" s="14" t="s">
        <v>2064</v>
      </c>
      <c r="BQ23" s="14" t="s">
        <v>72</v>
      </c>
      <c r="BR23" s="14" t="s">
        <v>72</v>
      </c>
      <c r="BS23" s="14" t="s">
        <v>2048</v>
      </c>
      <c r="BT23" s="14" t="s">
        <v>3756</v>
      </c>
      <c r="BU23" s="14" t="s">
        <v>2606</v>
      </c>
      <c r="BV23" s="14" t="s">
        <v>2418</v>
      </c>
      <c r="BW23" s="14" t="s">
        <v>2089</v>
      </c>
      <c r="BX23" s="14" t="s">
        <v>2048</v>
      </c>
      <c r="BY23" s="14" t="s">
        <v>2048</v>
      </c>
      <c r="BZ23" s="14" t="s">
        <v>2048</v>
      </c>
      <c r="CA23" s="14" t="s">
        <v>2048</v>
      </c>
      <c r="CB23" s="14" t="s">
        <v>2048</v>
      </c>
      <c r="CC23" s="14" t="s">
        <v>2048</v>
      </c>
      <c r="CD23" s="14" t="s">
        <v>2048</v>
      </c>
      <c r="CE23" s="14" t="s">
        <v>2048</v>
      </c>
      <c r="CF23" s="14" t="s">
        <v>2048</v>
      </c>
      <c r="CG23" s="14" t="s">
        <v>2048</v>
      </c>
      <c r="CH23" s="14" t="s">
        <v>2048</v>
      </c>
      <c r="CI23" s="14" t="s">
        <v>2048</v>
      </c>
      <c r="CJ23" s="14" t="s">
        <v>2048</v>
      </c>
      <c r="CK23" s="14" t="s">
        <v>2057</v>
      </c>
      <c r="CL23" s="14" t="s">
        <v>2090</v>
      </c>
      <c r="CM23" s="14" t="s">
        <v>2048</v>
      </c>
      <c r="CN23" s="17">
        <v>44958</v>
      </c>
      <c r="CO23" s="17">
        <v>42445</v>
      </c>
      <c r="CP23" s="17">
        <v>42445</v>
      </c>
      <c r="CR23" s="17">
        <v>45223</v>
      </c>
      <c r="CS23" s="19">
        <v>84</v>
      </c>
      <c r="CT23" s="19">
        <v>0</v>
      </c>
      <c r="CU23" s="19">
        <v>182.07</v>
      </c>
      <c r="CV23" s="19">
        <v>0</v>
      </c>
      <c r="CW23" s="19">
        <v>182.07</v>
      </c>
      <c r="CX23" s="19">
        <v>220.3</v>
      </c>
      <c r="CY23" s="19">
        <v>0</v>
      </c>
      <c r="CZ23" s="17"/>
      <c r="DA23" s="20">
        <v>37328</v>
      </c>
      <c r="DB23" s="17">
        <v>43555</v>
      </c>
      <c r="DC23" s="17"/>
      <c r="DD23" s="19">
        <v>0</v>
      </c>
      <c r="DE23" s="17"/>
      <c r="DF23" s="17"/>
      <c r="DG23" s="19">
        <v>100</v>
      </c>
      <c r="DH23" s="17"/>
      <c r="DI23" s="17">
        <v>45291</v>
      </c>
      <c r="DJ23" s="17"/>
      <c r="DK23" s="17"/>
      <c r="DL23" s="19">
        <v>0</v>
      </c>
      <c r="DM23" s="19">
        <v>0</v>
      </c>
    </row>
    <row r="24" spans="1:117" x14ac:dyDescent="0.2">
      <c r="A24" s="14" t="s">
        <v>3610</v>
      </c>
      <c r="B24" s="14" t="s">
        <v>673</v>
      </c>
      <c r="C24" s="14" t="s">
        <v>73</v>
      </c>
      <c r="D24" s="14" t="s">
        <v>200</v>
      </c>
      <c r="E24" s="14" t="s">
        <v>201</v>
      </c>
      <c r="F24" s="14" t="s">
        <v>76</v>
      </c>
      <c r="G24" s="17">
        <v>45008</v>
      </c>
      <c r="H24" s="14" t="s">
        <v>77</v>
      </c>
      <c r="I24" s="14" t="s">
        <v>674</v>
      </c>
      <c r="J24" s="14" t="s">
        <v>359</v>
      </c>
      <c r="K24" s="14" t="s">
        <v>675</v>
      </c>
      <c r="L24" s="14" t="s">
        <v>204</v>
      </c>
      <c r="M24" s="14" t="s">
        <v>205</v>
      </c>
      <c r="N24" s="16">
        <f>COUNTIF($M$3:M24, M24)</f>
        <v>2</v>
      </c>
      <c r="O24" s="16" t="str" cm="1">
        <f t="array" ref="O24">INDEX('[2]ALTA 20242025'!$B$2:$B$241, MATCH(1, ('[2]ALTA 20242025'!$I$2:$I$241=M24)*('[2]ALTA 20242025'!$J$2:$J$241=N24), 0))</f>
        <v>0178MWZ</v>
      </c>
      <c r="P24" s="16"/>
      <c r="Q24" s="16"/>
      <c r="R24" s="14" t="s">
        <v>2048</v>
      </c>
      <c r="S24" s="14" t="s">
        <v>2048</v>
      </c>
      <c r="T24" s="14" t="s">
        <v>2048</v>
      </c>
      <c r="U24" s="14" t="s">
        <v>2048</v>
      </c>
      <c r="V24" s="14" t="s">
        <v>3757</v>
      </c>
      <c r="W24" s="14" t="s">
        <v>3758</v>
      </c>
      <c r="X24" s="14" t="s">
        <v>3723</v>
      </c>
      <c r="Y24" s="14" t="s">
        <v>3759</v>
      </c>
      <c r="Z24" s="14" t="s">
        <v>2048</v>
      </c>
      <c r="AA24" s="14" t="s">
        <v>2422</v>
      </c>
      <c r="AB24" s="14" t="s">
        <v>2049</v>
      </c>
      <c r="AC24" s="14" t="s">
        <v>2050</v>
      </c>
      <c r="AD24" s="14" t="s">
        <v>3725</v>
      </c>
      <c r="AE24" s="14" t="s">
        <v>3613</v>
      </c>
      <c r="AF24" s="14" t="s">
        <v>3614</v>
      </c>
      <c r="AG24" s="14" t="s">
        <v>200</v>
      </c>
      <c r="AH24" s="14" t="s">
        <v>3622</v>
      </c>
      <c r="AI24" s="14" t="s">
        <v>2129</v>
      </c>
      <c r="AJ24" s="14" t="s">
        <v>2130</v>
      </c>
      <c r="AK24" s="14" t="s">
        <v>2055</v>
      </c>
      <c r="AL24" s="14" t="s">
        <v>2055</v>
      </c>
      <c r="AM24" s="14" t="s">
        <v>2055</v>
      </c>
      <c r="AN24" s="14" t="s">
        <v>3603</v>
      </c>
      <c r="AO24" s="14" t="s">
        <v>2048</v>
      </c>
      <c r="AP24" s="14" t="s">
        <v>2048</v>
      </c>
      <c r="AQ24" s="14" t="s">
        <v>2048</v>
      </c>
      <c r="AR24" s="14" t="s">
        <v>2048</v>
      </c>
      <c r="AS24" s="14" t="s">
        <v>2048</v>
      </c>
      <c r="AT24" s="14" t="s">
        <v>2048</v>
      </c>
      <c r="AU24" s="14" t="s">
        <v>2059</v>
      </c>
      <c r="AV24" s="14" t="s">
        <v>2060</v>
      </c>
      <c r="AW24" s="14" t="s">
        <v>2048</v>
      </c>
      <c r="AX24" s="14" t="s">
        <v>2048</v>
      </c>
      <c r="AY24" s="14" t="s">
        <v>2350</v>
      </c>
      <c r="AZ24" s="14" t="s">
        <v>2351</v>
      </c>
      <c r="BA24" s="14" t="s">
        <v>3664</v>
      </c>
      <c r="BB24" s="14" t="s">
        <v>2048</v>
      </c>
      <c r="BC24" s="14" t="s">
        <v>204</v>
      </c>
      <c r="BD24" s="14" t="s">
        <v>232</v>
      </c>
      <c r="BE24" s="14" t="s">
        <v>2324</v>
      </c>
      <c r="BF24" s="14" t="s">
        <v>2048</v>
      </c>
      <c r="BG24" s="14" t="s">
        <v>2048</v>
      </c>
      <c r="BH24" s="14" t="s">
        <v>2325</v>
      </c>
      <c r="BI24" s="14" t="s">
        <v>2326</v>
      </c>
      <c r="BJ24" s="14" t="s">
        <v>2325</v>
      </c>
      <c r="BK24" s="14" t="s">
        <v>2326</v>
      </c>
      <c r="BL24" s="14" t="s">
        <v>2327</v>
      </c>
      <c r="BM24" s="14" t="s">
        <v>2287</v>
      </c>
      <c r="BN24" s="14" t="s">
        <v>2048</v>
      </c>
      <c r="BO24" s="14" t="s">
        <v>2048</v>
      </c>
      <c r="BP24" s="14" t="s">
        <v>2064</v>
      </c>
      <c r="BQ24" s="14" t="s">
        <v>72</v>
      </c>
      <c r="BR24" s="14" t="s">
        <v>72</v>
      </c>
      <c r="BS24" s="14" t="s">
        <v>3760</v>
      </c>
      <c r="BT24" s="14" t="s">
        <v>2048</v>
      </c>
      <c r="BU24" s="14" t="s">
        <v>2048</v>
      </c>
      <c r="BV24" s="14" t="s">
        <v>2331</v>
      </c>
      <c r="BW24" s="14" t="s">
        <v>2131</v>
      </c>
      <c r="BX24" s="14" t="s">
        <v>2048</v>
      </c>
      <c r="BY24" s="14" t="s">
        <v>2048</v>
      </c>
      <c r="BZ24" s="14" t="s">
        <v>2048</v>
      </c>
      <c r="CA24" s="14" t="s">
        <v>2048</v>
      </c>
      <c r="CB24" s="14" t="s">
        <v>2048</v>
      </c>
      <c r="CC24" s="14" t="s">
        <v>2048</v>
      </c>
      <c r="CD24" s="14" t="s">
        <v>2048</v>
      </c>
      <c r="CE24" s="14" t="s">
        <v>2048</v>
      </c>
      <c r="CF24" s="14" t="s">
        <v>2048</v>
      </c>
      <c r="CG24" s="14" t="s">
        <v>2048</v>
      </c>
      <c r="CH24" s="14" t="s">
        <v>2048</v>
      </c>
      <c r="CI24" s="14" t="s">
        <v>2048</v>
      </c>
      <c r="CJ24" s="14" t="s">
        <v>2048</v>
      </c>
      <c r="CK24" s="14" t="s">
        <v>3714</v>
      </c>
      <c r="CL24" s="14" t="s">
        <v>3761</v>
      </c>
      <c r="CM24" s="14" t="s">
        <v>2048</v>
      </c>
      <c r="CN24" s="17"/>
      <c r="CO24" s="17">
        <v>43182</v>
      </c>
      <c r="CP24" s="17">
        <v>43182</v>
      </c>
      <c r="CR24" s="17">
        <v>45048</v>
      </c>
      <c r="CS24" s="19">
        <v>60</v>
      </c>
      <c r="CT24" s="19">
        <v>0</v>
      </c>
      <c r="CU24" s="19">
        <v>247.64</v>
      </c>
      <c r="CV24" s="19">
        <v>0</v>
      </c>
      <c r="CW24" s="19">
        <v>247.64</v>
      </c>
      <c r="CX24" s="19">
        <v>299.64</v>
      </c>
      <c r="CY24" s="19">
        <v>0</v>
      </c>
      <c r="CZ24" s="17"/>
      <c r="DA24" s="20">
        <v>17911</v>
      </c>
      <c r="DB24" s="17">
        <v>43555</v>
      </c>
      <c r="DC24" s="17"/>
      <c r="DD24" s="19">
        <v>0</v>
      </c>
      <c r="DE24" s="17"/>
      <c r="DF24" s="17"/>
      <c r="DG24" s="19">
        <v>100</v>
      </c>
      <c r="DH24" s="17"/>
      <c r="DI24" s="17">
        <v>45291</v>
      </c>
      <c r="DJ24" s="17"/>
      <c r="DK24" s="17"/>
      <c r="DL24" s="19">
        <v>0</v>
      </c>
      <c r="DM24" s="19">
        <v>0</v>
      </c>
    </row>
    <row r="25" spans="1:117" x14ac:dyDescent="0.2">
      <c r="A25" s="14" t="s">
        <v>3610</v>
      </c>
      <c r="B25" s="14" t="s">
        <v>627</v>
      </c>
      <c r="C25" s="14" t="s">
        <v>73</v>
      </c>
      <c r="D25" s="14" t="s">
        <v>200</v>
      </c>
      <c r="E25" s="14" t="s">
        <v>201</v>
      </c>
      <c r="F25" s="14" t="s">
        <v>76</v>
      </c>
      <c r="G25" s="17">
        <v>45016</v>
      </c>
      <c r="H25" s="14" t="s">
        <v>77</v>
      </c>
      <c r="I25" s="14" t="s">
        <v>78</v>
      </c>
      <c r="J25" s="14" t="s">
        <v>359</v>
      </c>
      <c r="K25" s="14" t="s">
        <v>604</v>
      </c>
      <c r="L25" s="14" t="s">
        <v>336</v>
      </c>
      <c r="M25" s="14" t="s">
        <v>337</v>
      </c>
      <c r="N25" s="16">
        <f>COUNTIF($M$3:M25, M25)</f>
        <v>1</v>
      </c>
      <c r="O25" s="16" t="str" cm="1">
        <f t="array" ref="O25">INDEX('[2]ALTA 20242025'!$B$2:$B$241, MATCH(1, ('[2]ALTA 20242025'!$I$2:$I$241=M25)*('[2]ALTA 20242025'!$J$2:$J$241=N25), 0))</f>
        <v>5566KSD</v>
      </c>
      <c r="P25" s="16"/>
      <c r="Q25" s="16"/>
      <c r="R25" s="14" t="s">
        <v>131</v>
      </c>
      <c r="S25" s="14" t="s">
        <v>132</v>
      </c>
      <c r="T25" s="14" t="s">
        <v>2048</v>
      </c>
      <c r="U25" s="14" t="s">
        <v>2048</v>
      </c>
      <c r="V25" s="14" t="s">
        <v>3762</v>
      </c>
      <c r="W25" s="14" t="s">
        <v>3763</v>
      </c>
      <c r="X25" s="14" t="s">
        <v>3764</v>
      </c>
      <c r="Y25" s="14" t="s">
        <v>3765</v>
      </c>
      <c r="Z25" s="14" t="s">
        <v>2048</v>
      </c>
      <c r="AA25" s="14" t="s">
        <v>2422</v>
      </c>
      <c r="AB25" s="14" t="s">
        <v>2049</v>
      </c>
      <c r="AC25" s="14" t="s">
        <v>2050</v>
      </c>
      <c r="AD25" s="14" t="s">
        <v>3690</v>
      </c>
      <c r="AE25" s="14" t="s">
        <v>3613</v>
      </c>
      <c r="AF25" s="14" t="s">
        <v>3614</v>
      </c>
      <c r="AG25" s="14" t="s">
        <v>200</v>
      </c>
      <c r="AH25" s="14" t="s">
        <v>3622</v>
      </c>
      <c r="AI25" s="14" t="s">
        <v>2132</v>
      </c>
      <c r="AJ25" s="14" t="s">
        <v>2133</v>
      </c>
      <c r="AK25" s="14" t="s">
        <v>2055</v>
      </c>
      <c r="AL25" s="14" t="s">
        <v>2056</v>
      </c>
      <c r="AM25" s="14" t="s">
        <v>2055</v>
      </c>
      <c r="AN25" s="14" t="s">
        <v>2068</v>
      </c>
      <c r="AO25" s="14" t="s">
        <v>2048</v>
      </c>
      <c r="AP25" s="14" t="s">
        <v>2048</v>
      </c>
      <c r="AQ25" s="14" t="s">
        <v>2048</v>
      </c>
      <c r="AR25" s="14" t="s">
        <v>3766</v>
      </c>
      <c r="AS25" s="14" t="s">
        <v>3726</v>
      </c>
      <c r="AT25" s="14" t="s">
        <v>3767</v>
      </c>
      <c r="AU25" s="14" t="s">
        <v>2059</v>
      </c>
      <c r="AV25" s="14" t="s">
        <v>3768</v>
      </c>
      <c r="AW25" s="14" t="s">
        <v>3769</v>
      </c>
      <c r="AX25" s="14" t="s">
        <v>2048</v>
      </c>
      <c r="AY25" s="14" t="s">
        <v>2376</v>
      </c>
      <c r="AZ25" s="14" t="s">
        <v>2377</v>
      </c>
      <c r="BA25" s="14" t="s">
        <v>2048</v>
      </c>
      <c r="BB25" s="14" t="s">
        <v>2048</v>
      </c>
      <c r="BC25" s="14" t="s">
        <v>336</v>
      </c>
      <c r="BD25" s="14" t="s">
        <v>628</v>
      </c>
      <c r="BE25" s="14" t="s">
        <v>3770</v>
      </c>
      <c r="BF25" s="14" t="s">
        <v>2048</v>
      </c>
      <c r="BG25" s="14" t="s">
        <v>2048</v>
      </c>
      <c r="BH25" s="14" t="s">
        <v>2379</v>
      </c>
      <c r="BI25" s="14" t="s">
        <v>2622</v>
      </c>
      <c r="BJ25" s="14" t="s">
        <v>3174</v>
      </c>
      <c r="BK25" s="14" t="s">
        <v>3771</v>
      </c>
      <c r="BL25" s="14" t="s">
        <v>3772</v>
      </c>
      <c r="BM25" s="14" t="s">
        <v>2382</v>
      </c>
      <c r="BN25" s="14" t="s">
        <v>2048</v>
      </c>
      <c r="BO25" s="14" t="s">
        <v>2518</v>
      </c>
      <c r="BP25" s="14" t="s">
        <v>2064</v>
      </c>
      <c r="BQ25" s="14" t="s">
        <v>72</v>
      </c>
      <c r="BR25" s="14" t="s">
        <v>72</v>
      </c>
      <c r="BS25" s="14" t="s">
        <v>3773</v>
      </c>
      <c r="BT25" s="14" t="s">
        <v>2719</v>
      </c>
      <c r="BU25" s="14" t="s">
        <v>2720</v>
      </c>
      <c r="BV25" s="14" t="s">
        <v>2331</v>
      </c>
      <c r="BW25" s="14" t="s">
        <v>2131</v>
      </c>
      <c r="BX25" s="14" t="s">
        <v>2048</v>
      </c>
      <c r="BY25" s="14" t="s">
        <v>2048</v>
      </c>
      <c r="BZ25" s="14" t="s">
        <v>2048</v>
      </c>
      <c r="CA25" s="14" t="s">
        <v>2048</v>
      </c>
      <c r="CB25" s="14" t="s">
        <v>2048</v>
      </c>
      <c r="CC25" s="14" t="s">
        <v>2048</v>
      </c>
      <c r="CD25" s="14" t="s">
        <v>2048</v>
      </c>
      <c r="CE25" s="14" t="s">
        <v>2048</v>
      </c>
      <c r="CF25" s="14" t="s">
        <v>2048</v>
      </c>
      <c r="CG25" s="14" t="s">
        <v>2048</v>
      </c>
      <c r="CH25" s="14" t="s">
        <v>2048</v>
      </c>
      <c r="CI25" s="14" t="s">
        <v>2048</v>
      </c>
      <c r="CJ25" s="14" t="s">
        <v>2048</v>
      </c>
      <c r="CK25" s="14" t="s">
        <v>2068</v>
      </c>
      <c r="CL25" s="14" t="s">
        <v>2069</v>
      </c>
      <c r="CM25" s="14" t="s">
        <v>2048</v>
      </c>
      <c r="CN25" s="17">
        <v>44805</v>
      </c>
      <c r="CO25" s="17">
        <v>43343</v>
      </c>
      <c r="CP25" s="17">
        <v>43343</v>
      </c>
      <c r="CR25" s="17">
        <v>45020</v>
      </c>
      <c r="CS25" s="19">
        <v>55</v>
      </c>
      <c r="CT25" s="19">
        <v>0</v>
      </c>
      <c r="CU25" s="19">
        <v>197.23</v>
      </c>
      <c r="CV25" s="19">
        <v>0</v>
      </c>
      <c r="CW25" s="19">
        <v>197.23</v>
      </c>
      <c r="CX25" s="19">
        <v>238.65</v>
      </c>
      <c r="CY25" s="19">
        <v>0</v>
      </c>
      <c r="CZ25" s="17"/>
      <c r="DA25" s="19">
        <v>0</v>
      </c>
      <c r="DB25" s="17"/>
      <c r="DC25" s="17"/>
      <c r="DD25" s="19">
        <v>0</v>
      </c>
      <c r="DE25" s="17"/>
      <c r="DF25" s="17"/>
      <c r="DG25" s="19">
        <v>100</v>
      </c>
      <c r="DH25" s="17"/>
      <c r="DI25" s="17">
        <v>45016</v>
      </c>
      <c r="DJ25" s="17"/>
      <c r="DK25" s="17"/>
      <c r="DL25" s="19">
        <v>0</v>
      </c>
      <c r="DM25" s="19">
        <v>0</v>
      </c>
    </row>
    <row r="26" spans="1:117" x14ac:dyDescent="0.2">
      <c r="A26" s="14" t="s">
        <v>3610</v>
      </c>
      <c r="B26" s="14" t="s">
        <v>1391</v>
      </c>
      <c r="C26" s="14" t="s">
        <v>158</v>
      </c>
      <c r="D26" s="14" t="s">
        <v>159</v>
      </c>
      <c r="E26" s="14" t="s">
        <v>158</v>
      </c>
      <c r="F26" s="14" t="s">
        <v>171</v>
      </c>
      <c r="G26" s="17">
        <v>45016</v>
      </c>
      <c r="H26" s="14" t="s">
        <v>172</v>
      </c>
      <c r="I26" s="14" t="s">
        <v>78</v>
      </c>
      <c r="J26" s="14" t="s">
        <v>1338</v>
      </c>
      <c r="K26" s="14" t="s">
        <v>1338</v>
      </c>
      <c r="L26" s="14" t="s">
        <v>131</v>
      </c>
      <c r="M26" s="14" t="s">
        <v>132</v>
      </c>
      <c r="N26" s="16">
        <f>COUNTIF($M$3:M26, M26)</f>
        <v>4</v>
      </c>
      <c r="O26" s="16" t="str" cm="1">
        <f t="array" ref="O26">INDEX('[2]ALTA 20242025'!$B$2:$B$241, MATCH(1, ('[2]ALTA 20242025'!$I$2:$I$241=M26)*('[2]ALTA 20242025'!$J$2:$J$241=N26), 0))</f>
        <v>6019MWV</v>
      </c>
      <c r="P26" s="16"/>
      <c r="Q26" s="16"/>
      <c r="R26" s="14" t="s">
        <v>2048</v>
      </c>
      <c r="S26" s="14" t="s">
        <v>2048</v>
      </c>
      <c r="T26" s="14" t="s">
        <v>2048</v>
      </c>
      <c r="U26" s="14" t="s">
        <v>2048</v>
      </c>
      <c r="V26" s="14" t="s">
        <v>72</v>
      </c>
      <c r="W26" s="14" t="s">
        <v>72</v>
      </c>
      <c r="X26" s="14" t="s">
        <v>72</v>
      </c>
      <c r="Y26" s="14" t="s">
        <v>2048</v>
      </c>
      <c r="Z26" s="14" t="s">
        <v>2048</v>
      </c>
      <c r="AA26" s="14" t="s">
        <v>2422</v>
      </c>
      <c r="AB26" s="14" t="s">
        <v>2049</v>
      </c>
      <c r="AC26" s="14" t="s">
        <v>2050</v>
      </c>
      <c r="AD26" s="14" t="s">
        <v>2048</v>
      </c>
      <c r="AE26" s="14" t="s">
        <v>2048</v>
      </c>
      <c r="AF26" s="14" t="s">
        <v>2048</v>
      </c>
      <c r="AG26" s="14" t="s">
        <v>2048</v>
      </c>
      <c r="AH26" s="14" t="s">
        <v>2048</v>
      </c>
      <c r="AI26" s="14" t="s">
        <v>2129</v>
      </c>
      <c r="AJ26" s="14" t="s">
        <v>2130</v>
      </c>
      <c r="AK26" s="14" t="s">
        <v>2055</v>
      </c>
      <c r="AL26" s="14" t="s">
        <v>2055</v>
      </c>
      <c r="AM26" s="14" t="s">
        <v>2055</v>
      </c>
      <c r="AN26" s="14" t="s">
        <v>2068</v>
      </c>
      <c r="AO26" s="14" t="s">
        <v>2048</v>
      </c>
      <c r="AP26" s="14" t="s">
        <v>2048</v>
      </c>
      <c r="AQ26" s="14" t="s">
        <v>2048</v>
      </c>
      <c r="AR26" s="14" t="s">
        <v>2048</v>
      </c>
      <c r="AS26" s="14" t="s">
        <v>2048</v>
      </c>
      <c r="AT26" s="14" t="s">
        <v>2048</v>
      </c>
      <c r="AU26" s="14" t="s">
        <v>2059</v>
      </c>
      <c r="AV26" s="14" t="s">
        <v>3384</v>
      </c>
      <c r="AW26" s="14" t="s">
        <v>3385</v>
      </c>
      <c r="AX26" s="14" t="s">
        <v>72</v>
      </c>
      <c r="AY26" s="14" t="s">
        <v>2448</v>
      </c>
      <c r="AZ26" s="14" t="s">
        <v>2449</v>
      </c>
      <c r="BA26" s="14" t="s">
        <v>2048</v>
      </c>
      <c r="BB26" s="14" t="s">
        <v>2048</v>
      </c>
      <c r="BC26" s="14" t="s">
        <v>131</v>
      </c>
      <c r="BD26" s="14" t="s">
        <v>610</v>
      </c>
      <c r="BE26" s="14" t="s">
        <v>3364</v>
      </c>
      <c r="BF26" s="14" t="s">
        <v>2048</v>
      </c>
      <c r="BG26" s="14" t="s">
        <v>2048</v>
      </c>
      <c r="BH26" s="14" t="s">
        <v>2048</v>
      </c>
      <c r="BI26" s="14" t="s">
        <v>2048</v>
      </c>
      <c r="BJ26" s="14" t="s">
        <v>2452</v>
      </c>
      <c r="BK26" s="14" t="s">
        <v>2453</v>
      </c>
      <c r="BL26" s="14" t="s">
        <v>2454</v>
      </c>
      <c r="BM26" s="14" t="s">
        <v>2455</v>
      </c>
      <c r="BN26" s="14" t="s">
        <v>2048</v>
      </c>
      <c r="BO26" s="14" t="s">
        <v>2048</v>
      </c>
      <c r="BP26" s="14" t="s">
        <v>2064</v>
      </c>
      <c r="BQ26" s="14" t="s">
        <v>72</v>
      </c>
      <c r="BR26" s="14" t="s">
        <v>72</v>
      </c>
      <c r="BS26" s="14" t="s">
        <v>2048</v>
      </c>
      <c r="BT26" s="14" t="s">
        <v>3388</v>
      </c>
      <c r="BU26" s="14" t="s">
        <v>2585</v>
      </c>
      <c r="BV26" s="14" t="s">
        <v>2066</v>
      </c>
      <c r="BW26" s="14" t="s">
        <v>2067</v>
      </c>
      <c r="BX26" s="14" t="s">
        <v>2048</v>
      </c>
      <c r="BY26" s="14" t="s">
        <v>2048</v>
      </c>
      <c r="BZ26" s="14" t="s">
        <v>2048</v>
      </c>
      <c r="CA26" s="14" t="s">
        <v>2048</v>
      </c>
      <c r="CB26" s="14" t="s">
        <v>2048</v>
      </c>
      <c r="CC26" s="14" t="s">
        <v>2048</v>
      </c>
      <c r="CD26" s="14" t="s">
        <v>2048</v>
      </c>
      <c r="CE26" s="14" t="s">
        <v>2048</v>
      </c>
      <c r="CF26" s="14" t="s">
        <v>2048</v>
      </c>
      <c r="CG26" s="14" t="s">
        <v>2048</v>
      </c>
      <c r="CH26" s="14" t="s">
        <v>2048</v>
      </c>
      <c r="CI26" s="14" t="s">
        <v>2048</v>
      </c>
      <c r="CJ26" s="14" t="s">
        <v>2048</v>
      </c>
      <c r="CK26" s="14" t="s">
        <v>3774</v>
      </c>
      <c r="CL26" s="14" t="s">
        <v>413</v>
      </c>
      <c r="CM26" s="14" t="s">
        <v>2048</v>
      </c>
      <c r="CN26" s="17"/>
      <c r="CO26" s="17">
        <v>44136</v>
      </c>
      <c r="CP26" s="17">
        <v>44136</v>
      </c>
      <c r="CR26" s="17">
        <v>45016</v>
      </c>
      <c r="CS26" s="19">
        <v>0</v>
      </c>
      <c r="CT26" s="19">
        <v>0</v>
      </c>
      <c r="CU26" s="19">
        <v>0</v>
      </c>
      <c r="CV26" s="19">
        <v>0</v>
      </c>
      <c r="CW26" s="19">
        <v>0</v>
      </c>
      <c r="CX26" s="19">
        <v>0</v>
      </c>
      <c r="CY26" s="19">
        <v>0</v>
      </c>
      <c r="CZ26" s="17"/>
      <c r="DA26" s="19">
        <v>0</v>
      </c>
      <c r="DB26" s="17"/>
      <c r="DC26" s="17"/>
      <c r="DD26" s="19">
        <v>0</v>
      </c>
      <c r="DE26" s="17"/>
      <c r="DF26" s="17"/>
      <c r="DG26" s="19">
        <v>50</v>
      </c>
      <c r="DH26" s="17"/>
      <c r="DI26" s="17">
        <v>2958465</v>
      </c>
      <c r="DJ26" s="17"/>
      <c r="DK26" s="17"/>
      <c r="DL26" s="19">
        <v>0</v>
      </c>
      <c r="DM26" s="19">
        <v>0</v>
      </c>
    </row>
    <row r="27" spans="1:117" x14ac:dyDescent="0.2">
      <c r="A27" s="14" t="s">
        <v>3610</v>
      </c>
      <c r="B27" s="14" t="s">
        <v>1147</v>
      </c>
      <c r="C27" s="14" t="s">
        <v>158</v>
      </c>
      <c r="D27" s="14" t="s">
        <v>159</v>
      </c>
      <c r="E27" s="14" t="s">
        <v>158</v>
      </c>
      <c r="F27" s="14" t="s">
        <v>171</v>
      </c>
      <c r="G27" s="17">
        <v>45245</v>
      </c>
      <c r="H27" s="14" t="s">
        <v>172</v>
      </c>
      <c r="I27" s="14" t="s">
        <v>78</v>
      </c>
      <c r="J27" s="14" t="s">
        <v>524</v>
      </c>
      <c r="K27" s="14" t="s">
        <v>1148</v>
      </c>
      <c r="L27" s="14" t="s">
        <v>1139</v>
      </c>
      <c r="M27" s="14" t="s">
        <v>1140</v>
      </c>
      <c r="N27" s="16">
        <f>COUNTIF($M$3:M27, M27)</f>
        <v>2</v>
      </c>
      <c r="O27" s="16" t="e" cm="1">
        <f t="array" ref="O27">INDEX('[2]ALTA 20242025'!$B$2:$B$241, MATCH(1, ('[2]ALTA 20242025'!$I$2:$I$241=M27)*('[2]ALTA 20242025'!$J$2:$J$241=N27), 0))</f>
        <v>#N/A</v>
      </c>
      <c r="P27" s="16"/>
      <c r="Q27" s="16"/>
      <c r="R27" s="14" t="s">
        <v>2048</v>
      </c>
      <c r="S27" s="14" t="s">
        <v>2048</v>
      </c>
      <c r="T27" s="14" t="s">
        <v>2048</v>
      </c>
      <c r="U27" s="14" t="s">
        <v>2048</v>
      </c>
      <c r="V27" s="14" t="s">
        <v>72</v>
      </c>
      <c r="W27" s="14" t="s">
        <v>72</v>
      </c>
      <c r="X27" s="14" t="s">
        <v>72</v>
      </c>
      <c r="Y27" s="14" t="s">
        <v>2048</v>
      </c>
      <c r="Z27" s="14" t="s">
        <v>2048</v>
      </c>
      <c r="AA27" s="14" t="s">
        <v>2422</v>
      </c>
      <c r="AB27" s="14" t="s">
        <v>2049</v>
      </c>
      <c r="AC27" s="14" t="s">
        <v>2050</v>
      </c>
      <c r="AD27" s="14" t="s">
        <v>2048</v>
      </c>
      <c r="AE27" s="14" t="s">
        <v>2048</v>
      </c>
      <c r="AF27" s="14" t="s">
        <v>2048</v>
      </c>
      <c r="AG27" s="14" t="s">
        <v>2048</v>
      </c>
      <c r="AH27" s="14" t="s">
        <v>2048</v>
      </c>
      <c r="AI27" s="14" t="s">
        <v>77</v>
      </c>
      <c r="AJ27" s="14" t="s">
        <v>2054</v>
      </c>
      <c r="AK27" s="14" t="s">
        <v>2055</v>
      </c>
      <c r="AL27" s="14" t="s">
        <v>2055</v>
      </c>
      <c r="AM27" s="14" t="s">
        <v>2055</v>
      </c>
      <c r="AN27" s="14" t="s">
        <v>2068</v>
      </c>
      <c r="AO27" s="14" t="s">
        <v>2048</v>
      </c>
      <c r="AP27" s="14" t="s">
        <v>2048</v>
      </c>
      <c r="AQ27" s="14" t="s">
        <v>3775</v>
      </c>
      <c r="AR27" s="14" t="s">
        <v>3639</v>
      </c>
      <c r="AS27" s="14" t="s">
        <v>3776</v>
      </c>
      <c r="AT27" s="14" t="s">
        <v>2135</v>
      </c>
      <c r="AU27" s="14" t="s">
        <v>2059</v>
      </c>
      <c r="AV27" s="14" t="s">
        <v>2060</v>
      </c>
      <c r="AW27" s="14" t="s">
        <v>2048</v>
      </c>
      <c r="AX27" s="14" t="s">
        <v>2048</v>
      </c>
      <c r="AY27" s="14" t="s">
        <v>3641</v>
      </c>
      <c r="AZ27" s="14" t="s">
        <v>3642</v>
      </c>
      <c r="BA27" s="14" t="s">
        <v>2048</v>
      </c>
      <c r="BB27" s="14" t="s">
        <v>2048</v>
      </c>
      <c r="BC27" s="14" t="s">
        <v>3643</v>
      </c>
      <c r="BD27" s="14" t="s">
        <v>312</v>
      </c>
      <c r="BE27" s="14" t="s">
        <v>2048</v>
      </c>
      <c r="BF27" s="14" t="s">
        <v>2048</v>
      </c>
      <c r="BG27" s="14" t="s">
        <v>2048</v>
      </c>
      <c r="BH27" s="14" t="s">
        <v>2048</v>
      </c>
      <c r="BI27" s="14" t="s">
        <v>2048</v>
      </c>
      <c r="BJ27" s="14" t="s">
        <v>2048</v>
      </c>
      <c r="BK27" s="14" t="s">
        <v>2048</v>
      </c>
      <c r="BL27" s="14" t="s">
        <v>2048</v>
      </c>
      <c r="BM27" s="14" t="s">
        <v>2048</v>
      </c>
      <c r="BN27" s="14" t="s">
        <v>2048</v>
      </c>
      <c r="BO27" s="14" t="s">
        <v>2518</v>
      </c>
      <c r="BP27" s="14" t="s">
        <v>2064</v>
      </c>
      <c r="BQ27" s="14" t="s">
        <v>72</v>
      </c>
      <c r="BR27" s="14" t="s">
        <v>72</v>
      </c>
      <c r="BS27" s="14" t="s">
        <v>3777</v>
      </c>
      <c r="BT27" s="14" t="s">
        <v>2048</v>
      </c>
      <c r="BU27" s="14" t="s">
        <v>2048</v>
      </c>
      <c r="BV27" s="14" t="s">
        <v>2535</v>
      </c>
      <c r="BW27" s="14" t="s">
        <v>3672</v>
      </c>
      <c r="BX27" s="14" t="s">
        <v>2048</v>
      </c>
      <c r="BY27" s="14" t="s">
        <v>2048</v>
      </c>
      <c r="BZ27" s="14" t="s">
        <v>2048</v>
      </c>
      <c r="CA27" s="14" t="s">
        <v>2048</v>
      </c>
      <c r="CB27" s="14" t="s">
        <v>72</v>
      </c>
      <c r="CC27" s="14" t="s">
        <v>2048</v>
      </c>
      <c r="CD27" s="14" t="s">
        <v>2048</v>
      </c>
      <c r="CE27" s="14" t="s">
        <v>2048</v>
      </c>
      <c r="CF27" s="14" t="s">
        <v>2048</v>
      </c>
      <c r="CG27" s="14" t="s">
        <v>2048</v>
      </c>
      <c r="CH27" s="14" t="s">
        <v>2048</v>
      </c>
      <c r="CI27" s="14" t="s">
        <v>2048</v>
      </c>
      <c r="CJ27" s="14" t="s">
        <v>2048</v>
      </c>
      <c r="CK27" s="14" t="s">
        <v>3651</v>
      </c>
      <c r="CL27" s="14" t="s">
        <v>3652</v>
      </c>
      <c r="CM27" s="14" t="s">
        <v>2048</v>
      </c>
      <c r="CN27" s="17"/>
      <c r="CO27" s="17">
        <v>44418</v>
      </c>
      <c r="CP27" s="17">
        <v>44537</v>
      </c>
      <c r="CR27" s="17">
        <v>45245</v>
      </c>
      <c r="CS27" s="19">
        <v>0</v>
      </c>
      <c r="CT27" s="19">
        <v>0</v>
      </c>
      <c r="CU27" s="19">
        <v>0</v>
      </c>
      <c r="CV27" s="19">
        <v>0</v>
      </c>
      <c r="CW27" s="19">
        <v>0</v>
      </c>
      <c r="CX27" s="19">
        <v>0</v>
      </c>
      <c r="CY27" s="19">
        <v>0</v>
      </c>
      <c r="CZ27" s="17"/>
      <c r="DA27" s="19">
        <v>0</v>
      </c>
      <c r="DB27" s="17"/>
      <c r="DC27" s="17"/>
      <c r="DD27" s="19">
        <v>0</v>
      </c>
      <c r="DE27" s="17"/>
      <c r="DF27" s="17"/>
      <c r="DG27" s="19">
        <v>100</v>
      </c>
      <c r="DH27" s="17"/>
      <c r="DI27" s="17">
        <v>2958465</v>
      </c>
      <c r="DJ27" s="17"/>
      <c r="DK27" s="17"/>
      <c r="DL27" s="19">
        <v>0</v>
      </c>
      <c r="DM27" s="19">
        <v>0</v>
      </c>
    </row>
    <row r="28" spans="1:117" x14ac:dyDescent="0.2">
      <c r="A28" s="14" t="s">
        <v>3610</v>
      </c>
      <c r="B28" s="14" t="s">
        <v>1150</v>
      </c>
      <c r="C28" s="14" t="s">
        <v>158</v>
      </c>
      <c r="D28" s="14" t="s">
        <v>159</v>
      </c>
      <c r="E28" s="14" t="s">
        <v>158</v>
      </c>
      <c r="F28" s="14" t="s">
        <v>171</v>
      </c>
      <c r="G28" s="17">
        <v>45245</v>
      </c>
      <c r="H28" s="14" t="s">
        <v>172</v>
      </c>
      <c r="I28" s="14" t="s">
        <v>78</v>
      </c>
      <c r="J28" s="14" t="s">
        <v>85</v>
      </c>
      <c r="K28" s="14" t="s">
        <v>1151</v>
      </c>
      <c r="L28" s="14" t="s">
        <v>1139</v>
      </c>
      <c r="M28" s="14" t="s">
        <v>1140</v>
      </c>
      <c r="N28" s="16">
        <f>COUNTIF($M$3:M28, M28)</f>
        <v>3</v>
      </c>
      <c r="O28" s="16" t="e" cm="1">
        <f t="array" ref="O28">INDEX('[2]ALTA 20242025'!$B$2:$B$241, MATCH(1, ('[2]ALTA 20242025'!$I$2:$I$241=M28)*('[2]ALTA 20242025'!$J$2:$J$241=N28), 0))</f>
        <v>#N/A</v>
      </c>
      <c r="P28" s="16"/>
      <c r="Q28" s="16"/>
      <c r="R28" s="14" t="s">
        <v>2048</v>
      </c>
      <c r="S28" s="14" t="s">
        <v>2048</v>
      </c>
      <c r="T28" s="14" t="s">
        <v>2048</v>
      </c>
      <c r="U28" s="14" t="s">
        <v>2048</v>
      </c>
      <c r="V28" s="14" t="s">
        <v>72</v>
      </c>
      <c r="W28" s="14" t="s">
        <v>72</v>
      </c>
      <c r="X28" s="14" t="s">
        <v>72</v>
      </c>
      <c r="Y28" s="14" t="s">
        <v>2048</v>
      </c>
      <c r="Z28" s="14" t="s">
        <v>2048</v>
      </c>
      <c r="AA28" s="14" t="s">
        <v>2422</v>
      </c>
      <c r="AB28" s="14" t="s">
        <v>2049</v>
      </c>
      <c r="AC28" s="14" t="s">
        <v>2050</v>
      </c>
      <c r="AD28" s="14" t="s">
        <v>2048</v>
      </c>
      <c r="AE28" s="14" t="s">
        <v>2048</v>
      </c>
      <c r="AF28" s="14" t="s">
        <v>2048</v>
      </c>
      <c r="AG28" s="14" t="s">
        <v>2048</v>
      </c>
      <c r="AH28" s="14" t="s">
        <v>2048</v>
      </c>
      <c r="AI28" s="14" t="s">
        <v>77</v>
      </c>
      <c r="AJ28" s="14" t="s">
        <v>2054</v>
      </c>
      <c r="AK28" s="14" t="s">
        <v>2055</v>
      </c>
      <c r="AL28" s="14" t="s">
        <v>2055</v>
      </c>
      <c r="AM28" s="14" t="s">
        <v>2055</v>
      </c>
      <c r="AN28" s="14" t="s">
        <v>2068</v>
      </c>
      <c r="AO28" s="14" t="s">
        <v>2048</v>
      </c>
      <c r="AP28" s="14" t="s">
        <v>2048</v>
      </c>
      <c r="AQ28" s="14" t="s">
        <v>3778</v>
      </c>
      <c r="AR28" s="14" t="s">
        <v>3639</v>
      </c>
      <c r="AS28" s="14" t="s">
        <v>3779</v>
      </c>
      <c r="AT28" s="14" t="s">
        <v>2418</v>
      </c>
      <c r="AU28" s="14" t="s">
        <v>2059</v>
      </c>
      <c r="AV28" s="14" t="s">
        <v>2060</v>
      </c>
      <c r="AW28" s="14" t="s">
        <v>2048</v>
      </c>
      <c r="AX28" s="14" t="s">
        <v>2048</v>
      </c>
      <c r="AY28" s="14" t="s">
        <v>3641</v>
      </c>
      <c r="AZ28" s="14" t="s">
        <v>3642</v>
      </c>
      <c r="BA28" s="14" t="s">
        <v>2048</v>
      </c>
      <c r="BB28" s="14" t="s">
        <v>2048</v>
      </c>
      <c r="BC28" s="14" t="s">
        <v>3643</v>
      </c>
      <c r="BD28" s="14" t="s">
        <v>312</v>
      </c>
      <c r="BE28" s="14" t="s">
        <v>2048</v>
      </c>
      <c r="BF28" s="14" t="s">
        <v>2048</v>
      </c>
      <c r="BG28" s="14" t="s">
        <v>2048</v>
      </c>
      <c r="BH28" s="14" t="s">
        <v>2048</v>
      </c>
      <c r="BI28" s="14" t="s">
        <v>2048</v>
      </c>
      <c r="BJ28" s="14" t="s">
        <v>2048</v>
      </c>
      <c r="BK28" s="14" t="s">
        <v>2048</v>
      </c>
      <c r="BL28" s="14" t="s">
        <v>2048</v>
      </c>
      <c r="BM28" s="14" t="s">
        <v>2048</v>
      </c>
      <c r="BN28" s="14" t="s">
        <v>2048</v>
      </c>
      <c r="BO28" s="14" t="s">
        <v>2518</v>
      </c>
      <c r="BP28" s="14" t="s">
        <v>2064</v>
      </c>
      <c r="BQ28" s="14" t="s">
        <v>72</v>
      </c>
      <c r="BR28" s="14" t="s">
        <v>72</v>
      </c>
      <c r="BS28" s="14" t="s">
        <v>3780</v>
      </c>
      <c r="BT28" s="14" t="s">
        <v>2048</v>
      </c>
      <c r="BU28" s="14" t="s">
        <v>2048</v>
      </c>
      <c r="BV28" s="14" t="s">
        <v>2535</v>
      </c>
      <c r="BW28" s="14" t="s">
        <v>3672</v>
      </c>
      <c r="BX28" s="14" t="s">
        <v>2048</v>
      </c>
      <c r="BY28" s="14" t="s">
        <v>2048</v>
      </c>
      <c r="BZ28" s="14" t="s">
        <v>2048</v>
      </c>
      <c r="CA28" s="14" t="s">
        <v>2048</v>
      </c>
      <c r="CB28" s="14" t="s">
        <v>72</v>
      </c>
      <c r="CC28" s="14" t="s">
        <v>2048</v>
      </c>
      <c r="CD28" s="14" t="s">
        <v>2048</v>
      </c>
      <c r="CE28" s="14" t="s">
        <v>2048</v>
      </c>
      <c r="CF28" s="14" t="s">
        <v>2048</v>
      </c>
      <c r="CG28" s="14" t="s">
        <v>2048</v>
      </c>
      <c r="CH28" s="14" t="s">
        <v>2048</v>
      </c>
      <c r="CI28" s="14" t="s">
        <v>2048</v>
      </c>
      <c r="CJ28" s="14" t="s">
        <v>2048</v>
      </c>
      <c r="CK28" s="14" t="s">
        <v>3651</v>
      </c>
      <c r="CL28" s="14" t="s">
        <v>3652</v>
      </c>
      <c r="CM28" s="14" t="s">
        <v>2048</v>
      </c>
      <c r="CN28" s="17"/>
      <c r="CO28" s="17">
        <v>38111</v>
      </c>
      <c r="CP28" s="17">
        <v>38111</v>
      </c>
      <c r="CR28" s="17">
        <v>45245</v>
      </c>
      <c r="CS28" s="19">
        <v>0</v>
      </c>
      <c r="CT28" s="19">
        <v>0</v>
      </c>
      <c r="CU28" s="19">
        <v>0</v>
      </c>
      <c r="CV28" s="19">
        <v>0</v>
      </c>
      <c r="CW28" s="19">
        <v>0</v>
      </c>
      <c r="CX28" s="19">
        <v>0</v>
      </c>
      <c r="CY28" s="19">
        <v>0</v>
      </c>
      <c r="CZ28" s="17"/>
      <c r="DA28" s="19">
        <v>0</v>
      </c>
      <c r="DB28" s="17"/>
      <c r="DC28" s="17"/>
      <c r="DD28" s="19">
        <v>0</v>
      </c>
      <c r="DE28" s="17"/>
      <c r="DF28" s="17"/>
      <c r="DG28" s="19">
        <v>100</v>
      </c>
      <c r="DH28" s="17"/>
      <c r="DI28" s="17">
        <v>2958465</v>
      </c>
      <c r="DJ28" s="17"/>
      <c r="DK28" s="17"/>
      <c r="DL28" s="19">
        <v>0</v>
      </c>
      <c r="DM28" s="19">
        <v>0</v>
      </c>
    </row>
    <row r="29" spans="1:117" x14ac:dyDescent="0.2">
      <c r="A29" s="14" t="s">
        <v>3610</v>
      </c>
      <c r="B29" s="14" t="s">
        <v>1153</v>
      </c>
      <c r="C29" s="14" t="s">
        <v>158</v>
      </c>
      <c r="D29" s="14" t="s">
        <v>159</v>
      </c>
      <c r="E29" s="14" t="s">
        <v>158</v>
      </c>
      <c r="F29" s="14" t="s">
        <v>171</v>
      </c>
      <c r="G29" s="17">
        <v>45245</v>
      </c>
      <c r="H29" s="14" t="s">
        <v>172</v>
      </c>
      <c r="I29" s="14" t="s">
        <v>78</v>
      </c>
      <c r="J29" s="14" t="s">
        <v>85</v>
      </c>
      <c r="K29" s="14" t="s">
        <v>1154</v>
      </c>
      <c r="L29" s="14" t="s">
        <v>1139</v>
      </c>
      <c r="M29" s="14" t="s">
        <v>1140</v>
      </c>
      <c r="N29" s="16">
        <f>COUNTIF($M$3:M29, M29)</f>
        <v>4</v>
      </c>
      <c r="O29" s="16" t="e" cm="1">
        <f t="array" ref="O29">INDEX('[2]ALTA 20242025'!$B$2:$B$241, MATCH(1, ('[2]ALTA 20242025'!$I$2:$I$241=M29)*('[2]ALTA 20242025'!$J$2:$J$241=N29), 0))</f>
        <v>#N/A</v>
      </c>
      <c r="P29" s="16"/>
      <c r="Q29" s="16"/>
      <c r="R29" s="14" t="s">
        <v>2048</v>
      </c>
      <c r="S29" s="14" t="s">
        <v>2048</v>
      </c>
      <c r="T29" s="14" t="s">
        <v>2048</v>
      </c>
      <c r="U29" s="14" t="s">
        <v>2048</v>
      </c>
      <c r="V29" s="14" t="s">
        <v>72</v>
      </c>
      <c r="W29" s="14" t="s">
        <v>72</v>
      </c>
      <c r="X29" s="14" t="s">
        <v>72</v>
      </c>
      <c r="Y29" s="14" t="s">
        <v>2048</v>
      </c>
      <c r="Z29" s="14" t="s">
        <v>2048</v>
      </c>
      <c r="AA29" s="14" t="s">
        <v>2422</v>
      </c>
      <c r="AB29" s="14" t="s">
        <v>2049</v>
      </c>
      <c r="AC29" s="14" t="s">
        <v>2050</v>
      </c>
      <c r="AD29" s="14" t="s">
        <v>2048</v>
      </c>
      <c r="AE29" s="14" t="s">
        <v>2048</v>
      </c>
      <c r="AF29" s="14" t="s">
        <v>2048</v>
      </c>
      <c r="AG29" s="14" t="s">
        <v>2048</v>
      </c>
      <c r="AH29" s="14" t="s">
        <v>2048</v>
      </c>
      <c r="AI29" s="14" t="s">
        <v>77</v>
      </c>
      <c r="AJ29" s="14" t="s">
        <v>2054</v>
      </c>
      <c r="AK29" s="14" t="s">
        <v>2055</v>
      </c>
      <c r="AL29" s="14" t="s">
        <v>2055</v>
      </c>
      <c r="AM29" s="14" t="s">
        <v>2055</v>
      </c>
      <c r="AN29" s="14" t="s">
        <v>2068</v>
      </c>
      <c r="AO29" s="14" t="s">
        <v>2048</v>
      </c>
      <c r="AP29" s="14" t="s">
        <v>2048</v>
      </c>
      <c r="AQ29" s="14" t="s">
        <v>3781</v>
      </c>
      <c r="AR29" s="14" t="s">
        <v>3639</v>
      </c>
      <c r="AS29" s="14" t="s">
        <v>3779</v>
      </c>
      <c r="AT29" s="14" t="s">
        <v>3440</v>
      </c>
      <c r="AU29" s="14" t="s">
        <v>2059</v>
      </c>
      <c r="AV29" s="14" t="s">
        <v>2060</v>
      </c>
      <c r="AW29" s="14" t="s">
        <v>2048</v>
      </c>
      <c r="AX29" s="14" t="s">
        <v>2048</v>
      </c>
      <c r="AY29" s="14" t="s">
        <v>3641</v>
      </c>
      <c r="AZ29" s="14" t="s">
        <v>3642</v>
      </c>
      <c r="BA29" s="14" t="s">
        <v>2048</v>
      </c>
      <c r="BB29" s="14" t="s">
        <v>2048</v>
      </c>
      <c r="BC29" s="14" t="s">
        <v>3643</v>
      </c>
      <c r="BD29" s="14" t="s">
        <v>312</v>
      </c>
      <c r="BE29" s="14" t="s">
        <v>2048</v>
      </c>
      <c r="BF29" s="14" t="s">
        <v>2048</v>
      </c>
      <c r="BG29" s="14" t="s">
        <v>2048</v>
      </c>
      <c r="BH29" s="14" t="s">
        <v>2048</v>
      </c>
      <c r="BI29" s="14" t="s">
        <v>2048</v>
      </c>
      <c r="BJ29" s="14" t="s">
        <v>2048</v>
      </c>
      <c r="BK29" s="14" t="s">
        <v>2048</v>
      </c>
      <c r="BL29" s="14" t="s">
        <v>2048</v>
      </c>
      <c r="BM29" s="14" t="s">
        <v>2048</v>
      </c>
      <c r="BN29" s="14" t="s">
        <v>2048</v>
      </c>
      <c r="BO29" s="14" t="s">
        <v>2518</v>
      </c>
      <c r="BP29" s="14" t="s">
        <v>2064</v>
      </c>
      <c r="BQ29" s="14" t="s">
        <v>72</v>
      </c>
      <c r="BR29" s="14" t="s">
        <v>72</v>
      </c>
      <c r="BS29" s="14" t="s">
        <v>3782</v>
      </c>
      <c r="BT29" s="14" t="s">
        <v>2048</v>
      </c>
      <c r="BU29" s="14" t="s">
        <v>2048</v>
      </c>
      <c r="BV29" s="14" t="s">
        <v>2535</v>
      </c>
      <c r="BW29" s="14" t="s">
        <v>3672</v>
      </c>
      <c r="BX29" s="14" t="s">
        <v>2048</v>
      </c>
      <c r="BY29" s="14" t="s">
        <v>2048</v>
      </c>
      <c r="BZ29" s="14" t="s">
        <v>2048</v>
      </c>
      <c r="CA29" s="14" t="s">
        <v>2048</v>
      </c>
      <c r="CB29" s="14" t="s">
        <v>72</v>
      </c>
      <c r="CC29" s="14" t="s">
        <v>2048</v>
      </c>
      <c r="CD29" s="14" t="s">
        <v>2048</v>
      </c>
      <c r="CE29" s="14" t="s">
        <v>2048</v>
      </c>
      <c r="CF29" s="14" t="s">
        <v>2048</v>
      </c>
      <c r="CG29" s="14" t="s">
        <v>2048</v>
      </c>
      <c r="CH29" s="14" t="s">
        <v>2048</v>
      </c>
      <c r="CI29" s="14" t="s">
        <v>2048</v>
      </c>
      <c r="CJ29" s="14" t="s">
        <v>2048</v>
      </c>
      <c r="CK29" s="14" t="s">
        <v>3651</v>
      </c>
      <c r="CL29" s="14" t="s">
        <v>3652</v>
      </c>
      <c r="CM29" s="14" t="s">
        <v>2048</v>
      </c>
      <c r="CN29" s="17"/>
      <c r="CO29" s="17">
        <v>38139</v>
      </c>
      <c r="CP29" s="17">
        <v>38139</v>
      </c>
      <c r="CR29" s="17">
        <v>45245</v>
      </c>
      <c r="CS29" s="19">
        <v>0</v>
      </c>
      <c r="CT29" s="19">
        <v>0</v>
      </c>
      <c r="CU29" s="19">
        <v>0</v>
      </c>
      <c r="CV29" s="19">
        <v>0</v>
      </c>
      <c r="CW29" s="19">
        <v>0</v>
      </c>
      <c r="CX29" s="19">
        <v>0</v>
      </c>
      <c r="CY29" s="19">
        <v>0</v>
      </c>
      <c r="CZ29" s="17"/>
      <c r="DA29" s="19">
        <v>0</v>
      </c>
      <c r="DB29" s="17"/>
      <c r="DC29" s="17"/>
      <c r="DD29" s="19">
        <v>0</v>
      </c>
      <c r="DE29" s="17"/>
      <c r="DF29" s="17"/>
      <c r="DG29" s="19">
        <v>100</v>
      </c>
      <c r="DH29" s="17"/>
      <c r="DI29" s="17">
        <v>2958465</v>
      </c>
      <c r="DJ29" s="17"/>
      <c r="DK29" s="17"/>
      <c r="DL29" s="19">
        <v>0</v>
      </c>
      <c r="DM29" s="19">
        <v>0</v>
      </c>
    </row>
    <row r="30" spans="1:117" x14ac:dyDescent="0.2">
      <c r="A30" s="14" t="s">
        <v>3610</v>
      </c>
      <c r="B30" s="14" t="s">
        <v>1156</v>
      </c>
      <c r="C30" s="14" t="s">
        <v>158</v>
      </c>
      <c r="D30" s="14" t="s">
        <v>159</v>
      </c>
      <c r="E30" s="14" t="s">
        <v>158</v>
      </c>
      <c r="F30" s="14" t="s">
        <v>171</v>
      </c>
      <c r="G30" s="17">
        <v>45245</v>
      </c>
      <c r="H30" s="14" t="s">
        <v>172</v>
      </c>
      <c r="I30" s="14" t="s">
        <v>78</v>
      </c>
      <c r="J30" s="14" t="s">
        <v>887</v>
      </c>
      <c r="K30" s="14" t="s">
        <v>1157</v>
      </c>
      <c r="L30" s="14" t="s">
        <v>1139</v>
      </c>
      <c r="M30" s="14" t="s">
        <v>1140</v>
      </c>
      <c r="N30" s="16">
        <f>COUNTIF($M$3:M30, M30)</f>
        <v>5</v>
      </c>
      <c r="O30" s="16" t="e" cm="1">
        <f t="array" ref="O30">INDEX('[2]ALTA 20242025'!$B$2:$B$241, MATCH(1, ('[2]ALTA 20242025'!$I$2:$I$241=M30)*('[2]ALTA 20242025'!$J$2:$J$241=N30), 0))</f>
        <v>#N/A</v>
      </c>
      <c r="P30" s="16"/>
      <c r="Q30" s="16"/>
      <c r="R30" s="14" t="s">
        <v>2048</v>
      </c>
      <c r="S30" s="14" t="s">
        <v>2048</v>
      </c>
      <c r="T30" s="14" t="s">
        <v>2048</v>
      </c>
      <c r="U30" s="14" t="s">
        <v>2048</v>
      </c>
      <c r="V30" s="14" t="s">
        <v>72</v>
      </c>
      <c r="W30" s="14" t="s">
        <v>72</v>
      </c>
      <c r="X30" s="14" t="s">
        <v>72</v>
      </c>
      <c r="Y30" s="14" t="s">
        <v>2048</v>
      </c>
      <c r="Z30" s="14" t="s">
        <v>2048</v>
      </c>
      <c r="AA30" s="14" t="s">
        <v>2422</v>
      </c>
      <c r="AB30" s="14" t="s">
        <v>2049</v>
      </c>
      <c r="AC30" s="14" t="s">
        <v>2050</v>
      </c>
      <c r="AD30" s="14" t="s">
        <v>2048</v>
      </c>
      <c r="AE30" s="14" t="s">
        <v>2048</v>
      </c>
      <c r="AF30" s="14" t="s">
        <v>2048</v>
      </c>
      <c r="AG30" s="14" t="s">
        <v>2048</v>
      </c>
      <c r="AH30" s="14" t="s">
        <v>2048</v>
      </c>
      <c r="AI30" s="14" t="s">
        <v>77</v>
      </c>
      <c r="AJ30" s="14" t="s">
        <v>2054</v>
      </c>
      <c r="AK30" s="14" t="s">
        <v>2055</v>
      </c>
      <c r="AL30" s="14" t="s">
        <v>2055</v>
      </c>
      <c r="AM30" s="14" t="s">
        <v>2055</v>
      </c>
      <c r="AN30" s="14" t="s">
        <v>2068</v>
      </c>
      <c r="AO30" s="14" t="s">
        <v>2048</v>
      </c>
      <c r="AP30" s="14" t="s">
        <v>2048</v>
      </c>
      <c r="AQ30" s="14" t="s">
        <v>3783</v>
      </c>
      <c r="AR30" s="14" t="s">
        <v>3639</v>
      </c>
      <c r="AS30" s="14" t="s">
        <v>3623</v>
      </c>
      <c r="AT30" s="14" t="s">
        <v>3472</v>
      </c>
      <c r="AU30" s="14" t="s">
        <v>2059</v>
      </c>
      <c r="AV30" s="14" t="s">
        <v>2060</v>
      </c>
      <c r="AW30" s="14" t="s">
        <v>2048</v>
      </c>
      <c r="AX30" s="14" t="s">
        <v>2048</v>
      </c>
      <c r="AY30" s="14" t="s">
        <v>3641</v>
      </c>
      <c r="AZ30" s="14" t="s">
        <v>3642</v>
      </c>
      <c r="BA30" s="14" t="s">
        <v>2048</v>
      </c>
      <c r="BB30" s="14" t="s">
        <v>2048</v>
      </c>
      <c r="BC30" s="14" t="s">
        <v>3643</v>
      </c>
      <c r="BD30" s="14" t="s">
        <v>312</v>
      </c>
      <c r="BE30" s="14" t="s">
        <v>2048</v>
      </c>
      <c r="BF30" s="14" t="s">
        <v>2048</v>
      </c>
      <c r="BG30" s="14" t="s">
        <v>2048</v>
      </c>
      <c r="BH30" s="14" t="s">
        <v>2048</v>
      </c>
      <c r="BI30" s="14" t="s">
        <v>2048</v>
      </c>
      <c r="BJ30" s="14" t="s">
        <v>2048</v>
      </c>
      <c r="BK30" s="14" t="s">
        <v>2048</v>
      </c>
      <c r="BL30" s="14" t="s">
        <v>2048</v>
      </c>
      <c r="BM30" s="14" t="s">
        <v>2048</v>
      </c>
      <c r="BN30" s="14" t="s">
        <v>2048</v>
      </c>
      <c r="BO30" s="14" t="s">
        <v>2518</v>
      </c>
      <c r="BP30" s="14" t="s">
        <v>2064</v>
      </c>
      <c r="BQ30" s="14" t="s">
        <v>72</v>
      </c>
      <c r="BR30" s="14" t="s">
        <v>72</v>
      </c>
      <c r="BS30" s="14" t="s">
        <v>3777</v>
      </c>
      <c r="BT30" s="14" t="s">
        <v>2048</v>
      </c>
      <c r="BU30" s="14" t="s">
        <v>2048</v>
      </c>
      <c r="BV30" s="14" t="s">
        <v>2535</v>
      </c>
      <c r="BW30" s="14" t="s">
        <v>3672</v>
      </c>
      <c r="BX30" s="14" t="s">
        <v>2048</v>
      </c>
      <c r="BY30" s="14" t="s">
        <v>2048</v>
      </c>
      <c r="BZ30" s="14" t="s">
        <v>2048</v>
      </c>
      <c r="CA30" s="14" t="s">
        <v>2048</v>
      </c>
      <c r="CB30" s="14" t="s">
        <v>72</v>
      </c>
      <c r="CC30" s="14" t="s">
        <v>2048</v>
      </c>
      <c r="CD30" s="14" t="s">
        <v>2048</v>
      </c>
      <c r="CE30" s="14" t="s">
        <v>2048</v>
      </c>
      <c r="CF30" s="14" t="s">
        <v>2048</v>
      </c>
      <c r="CG30" s="14" t="s">
        <v>2048</v>
      </c>
      <c r="CH30" s="14" t="s">
        <v>2048</v>
      </c>
      <c r="CI30" s="14" t="s">
        <v>2048</v>
      </c>
      <c r="CJ30" s="14" t="s">
        <v>2048</v>
      </c>
      <c r="CK30" s="14" t="s">
        <v>3651</v>
      </c>
      <c r="CL30" s="14" t="s">
        <v>3652</v>
      </c>
      <c r="CM30" s="14" t="s">
        <v>2048</v>
      </c>
      <c r="CN30" s="17"/>
      <c r="CO30" s="17">
        <v>42026</v>
      </c>
      <c r="CP30" s="17">
        <v>44110</v>
      </c>
      <c r="CR30" s="17">
        <v>45245</v>
      </c>
      <c r="CS30" s="19">
        <v>0</v>
      </c>
      <c r="CT30" s="19">
        <v>0</v>
      </c>
      <c r="CU30" s="19">
        <v>0</v>
      </c>
      <c r="CV30" s="19">
        <v>0</v>
      </c>
      <c r="CW30" s="19">
        <v>0</v>
      </c>
      <c r="CX30" s="19">
        <v>0</v>
      </c>
      <c r="CY30" s="19">
        <v>0</v>
      </c>
      <c r="CZ30" s="17"/>
      <c r="DA30" s="19">
        <v>0</v>
      </c>
      <c r="DB30" s="17"/>
      <c r="DC30" s="17"/>
      <c r="DD30" s="19">
        <v>0</v>
      </c>
      <c r="DE30" s="17"/>
      <c r="DF30" s="17"/>
      <c r="DG30" s="19">
        <v>100</v>
      </c>
      <c r="DH30" s="17"/>
      <c r="DI30" s="17">
        <v>2958465</v>
      </c>
      <c r="DJ30" s="17"/>
      <c r="DK30" s="17"/>
      <c r="DL30" s="19">
        <v>0</v>
      </c>
      <c r="DM30" s="19">
        <v>0</v>
      </c>
    </row>
    <row r="31" spans="1:117" x14ac:dyDescent="0.2">
      <c r="A31" s="14" t="s">
        <v>3610</v>
      </c>
      <c r="B31" s="14" t="s">
        <v>1159</v>
      </c>
      <c r="C31" s="14" t="s">
        <v>158</v>
      </c>
      <c r="D31" s="14" t="s">
        <v>159</v>
      </c>
      <c r="E31" s="14" t="s">
        <v>158</v>
      </c>
      <c r="F31" s="14" t="s">
        <v>171</v>
      </c>
      <c r="G31" s="17">
        <v>45245</v>
      </c>
      <c r="H31" s="14" t="s">
        <v>172</v>
      </c>
      <c r="I31" s="14" t="s">
        <v>78</v>
      </c>
      <c r="J31" s="14" t="s">
        <v>524</v>
      </c>
      <c r="K31" s="14" t="s">
        <v>1160</v>
      </c>
      <c r="L31" s="14" t="s">
        <v>1139</v>
      </c>
      <c r="M31" s="14" t="s">
        <v>1140</v>
      </c>
      <c r="N31" s="16">
        <f>COUNTIF($M$3:M31, M31)</f>
        <v>6</v>
      </c>
      <c r="O31" s="16" t="e" cm="1">
        <f t="array" ref="O31">INDEX('[2]ALTA 20242025'!$B$2:$B$241, MATCH(1, ('[2]ALTA 20242025'!$I$2:$I$241=M31)*('[2]ALTA 20242025'!$J$2:$J$241=N31), 0))</f>
        <v>#N/A</v>
      </c>
      <c r="P31" s="16"/>
      <c r="Q31" s="16"/>
      <c r="R31" s="14" t="s">
        <v>2048</v>
      </c>
      <c r="S31" s="14" t="s">
        <v>2048</v>
      </c>
      <c r="T31" s="14" t="s">
        <v>2048</v>
      </c>
      <c r="U31" s="14" t="s">
        <v>2048</v>
      </c>
      <c r="V31" s="14" t="s">
        <v>72</v>
      </c>
      <c r="W31" s="14" t="s">
        <v>72</v>
      </c>
      <c r="X31" s="14" t="s">
        <v>72</v>
      </c>
      <c r="Y31" s="14" t="s">
        <v>2048</v>
      </c>
      <c r="Z31" s="14" t="s">
        <v>2048</v>
      </c>
      <c r="AA31" s="14" t="s">
        <v>2422</v>
      </c>
      <c r="AB31" s="14" t="s">
        <v>2049</v>
      </c>
      <c r="AC31" s="14" t="s">
        <v>2050</v>
      </c>
      <c r="AD31" s="14" t="s">
        <v>2048</v>
      </c>
      <c r="AE31" s="14" t="s">
        <v>2048</v>
      </c>
      <c r="AF31" s="14" t="s">
        <v>2048</v>
      </c>
      <c r="AG31" s="14" t="s">
        <v>2048</v>
      </c>
      <c r="AH31" s="14" t="s">
        <v>2048</v>
      </c>
      <c r="AI31" s="14" t="s">
        <v>77</v>
      </c>
      <c r="AJ31" s="14" t="s">
        <v>2054</v>
      </c>
      <c r="AK31" s="14" t="s">
        <v>2055</v>
      </c>
      <c r="AL31" s="14" t="s">
        <v>2055</v>
      </c>
      <c r="AM31" s="14" t="s">
        <v>2055</v>
      </c>
      <c r="AN31" s="14" t="s">
        <v>2068</v>
      </c>
      <c r="AO31" s="14" t="s">
        <v>2048</v>
      </c>
      <c r="AP31" s="14" t="s">
        <v>2048</v>
      </c>
      <c r="AQ31" s="14" t="s">
        <v>3784</v>
      </c>
      <c r="AR31" s="14" t="s">
        <v>3639</v>
      </c>
      <c r="AS31" s="14" t="s">
        <v>3785</v>
      </c>
      <c r="AT31" s="14" t="s">
        <v>2418</v>
      </c>
      <c r="AU31" s="14" t="s">
        <v>2059</v>
      </c>
      <c r="AV31" s="14" t="s">
        <v>2060</v>
      </c>
      <c r="AW31" s="14" t="s">
        <v>2048</v>
      </c>
      <c r="AX31" s="14" t="s">
        <v>2048</v>
      </c>
      <c r="AY31" s="14" t="s">
        <v>3641</v>
      </c>
      <c r="AZ31" s="14" t="s">
        <v>3642</v>
      </c>
      <c r="BA31" s="14" t="s">
        <v>2048</v>
      </c>
      <c r="BB31" s="14" t="s">
        <v>2048</v>
      </c>
      <c r="BC31" s="14" t="s">
        <v>3643</v>
      </c>
      <c r="BD31" s="14" t="s">
        <v>312</v>
      </c>
      <c r="BE31" s="14" t="s">
        <v>2048</v>
      </c>
      <c r="BF31" s="14" t="s">
        <v>2048</v>
      </c>
      <c r="BG31" s="14" t="s">
        <v>2048</v>
      </c>
      <c r="BH31" s="14" t="s">
        <v>2048</v>
      </c>
      <c r="BI31" s="14" t="s">
        <v>2048</v>
      </c>
      <c r="BJ31" s="14" t="s">
        <v>2048</v>
      </c>
      <c r="BK31" s="14" t="s">
        <v>2048</v>
      </c>
      <c r="BL31" s="14" t="s">
        <v>2048</v>
      </c>
      <c r="BM31" s="14" t="s">
        <v>2048</v>
      </c>
      <c r="BN31" s="14" t="s">
        <v>2048</v>
      </c>
      <c r="BO31" s="14" t="s">
        <v>2518</v>
      </c>
      <c r="BP31" s="14" t="s">
        <v>2064</v>
      </c>
      <c r="BQ31" s="14" t="s">
        <v>72</v>
      </c>
      <c r="BR31" s="14" t="s">
        <v>72</v>
      </c>
      <c r="BS31" s="14" t="s">
        <v>3780</v>
      </c>
      <c r="BT31" s="14" t="s">
        <v>2048</v>
      </c>
      <c r="BU31" s="14" t="s">
        <v>2048</v>
      </c>
      <c r="BV31" s="14" t="s">
        <v>2535</v>
      </c>
      <c r="BW31" s="14" t="s">
        <v>3672</v>
      </c>
      <c r="BX31" s="14" t="s">
        <v>2048</v>
      </c>
      <c r="BY31" s="14" t="s">
        <v>2048</v>
      </c>
      <c r="BZ31" s="14" t="s">
        <v>2048</v>
      </c>
      <c r="CA31" s="14" t="s">
        <v>2048</v>
      </c>
      <c r="CB31" s="14" t="s">
        <v>72</v>
      </c>
      <c r="CC31" s="14" t="s">
        <v>2048</v>
      </c>
      <c r="CD31" s="14" t="s">
        <v>2048</v>
      </c>
      <c r="CE31" s="14" t="s">
        <v>2048</v>
      </c>
      <c r="CF31" s="14" t="s">
        <v>2048</v>
      </c>
      <c r="CG31" s="14" t="s">
        <v>2048</v>
      </c>
      <c r="CH31" s="14" t="s">
        <v>2048</v>
      </c>
      <c r="CI31" s="14" t="s">
        <v>2048</v>
      </c>
      <c r="CJ31" s="14" t="s">
        <v>2048</v>
      </c>
      <c r="CK31" s="14" t="s">
        <v>3651</v>
      </c>
      <c r="CL31" s="14" t="s">
        <v>3652</v>
      </c>
      <c r="CM31" s="14" t="s">
        <v>2048</v>
      </c>
      <c r="CN31" s="17"/>
      <c r="CO31" s="17">
        <v>38098</v>
      </c>
      <c r="CP31" s="17">
        <v>42152</v>
      </c>
      <c r="CR31" s="17">
        <v>45245</v>
      </c>
      <c r="CS31" s="19">
        <v>0</v>
      </c>
      <c r="CT31" s="19">
        <v>0</v>
      </c>
      <c r="CU31" s="19">
        <v>0</v>
      </c>
      <c r="CV31" s="19">
        <v>0</v>
      </c>
      <c r="CW31" s="19">
        <v>0</v>
      </c>
      <c r="CX31" s="19">
        <v>0</v>
      </c>
      <c r="CY31" s="19">
        <v>0</v>
      </c>
      <c r="CZ31" s="17"/>
      <c r="DA31" s="19">
        <v>0</v>
      </c>
      <c r="DB31" s="17"/>
      <c r="DC31" s="17"/>
      <c r="DD31" s="19">
        <v>0</v>
      </c>
      <c r="DE31" s="17"/>
      <c r="DF31" s="17"/>
      <c r="DG31" s="19">
        <v>100</v>
      </c>
      <c r="DH31" s="17"/>
      <c r="DI31" s="17">
        <v>2958465</v>
      </c>
      <c r="DJ31" s="17"/>
      <c r="DK31" s="17"/>
      <c r="DL31" s="19">
        <v>0</v>
      </c>
      <c r="DM31" s="19">
        <v>0</v>
      </c>
    </row>
    <row r="32" spans="1:117" x14ac:dyDescent="0.2">
      <c r="A32" s="14" t="s">
        <v>3610</v>
      </c>
      <c r="B32" s="14" t="s">
        <v>1162</v>
      </c>
      <c r="C32" s="14" t="s">
        <v>158</v>
      </c>
      <c r="D32" s="14" t="s">
        <v>159</v>
      </c>
      <c r="E32" s="14" t="s">
        <v>158</v>
      </c>
      <c r="F32" s="14" t="s">
        <v>171</v>
      </c>
      <c r="G32" s="17">
        <v>45245</v>
      </c>
      <c r="H32" s="14" t="s">
        <v>172</v>
      </c>
      <c r="I32" s="14" t="s">
        <v>78</v>
      </c>
      <c r="J32" s="14" t="s">
        <v>524</v>
      </c>
      <c r="K32" s="14" t="s">
        <v>1163</v>
      </c>
      <c r="L32" s="14" t="s">
        <v>1139</v>
      </c>
      <c r="M32" s="14" t="s">
        <v>1140</v>
      </c>
      <c r="N32" s="16">
        <f>COUNTIF($M$3:M32, M32)</f>
        <v>7</v>
      </c>
      <c r="O32" s="16" t="e" cm="1">
        <f t="array" ref="O32">INDEX('[2]ALTA 20242025'!$B$2:$B$241, MATCH(1, ('[2]ALTA 20242025'!$I$2:$I$241=M32)*('[2]ALTA 20242025'!$J$2:$J$241=N32), 0))</f>
        <v>#N/A</v>
      </c>
      <c r="P32" s="16"/>
      <c r="Q32" s="16"/>
      <c r="R32" s="14" t="s">
        <v>2048</v>
      </c>
      <c r="S32" s="14" t="s">
        <v>2048</v>
      </c>
      <c r="T32" s="14" t="s">
        <v>2048</v>
      </c>
      <c r="U32" s="14" t="s">
        <v>2048</v>
      </c>
      <c r="V32" s="14" t="s">
        <v>72</v>
      </c>
      <c r="W32" s="14" t="s">
        <v>72</v>
      </c>
      <c r="X32" s="14" t="s">
        <v>72</v>
      </c>
      <c r="Y32" s="14" t="s">
        <v>2048</v>
      </c>
      <c r="Z32" s="14" t="s">
        <v>2048</v>
      </c>
      <c r="AA32" s="14" t="s">
        <v>2422</v>
      </c>
      <c r="AB32" s="14" t="s">
        <v>2049</v>
      </c>
      <c r="AC32" s="14" t="s">
        <v>2050</v>
      </c>
      <c r="AD32" s="14" t="s">
        <v>2048</v>
      </c>
      <c r="AE32" s="14" t="s">
        <v>2048</v>
      </c>
      <c r="AF32" s="14" t="s">
        <v>2048</v>
      </c>
      <c r="AG32" s="14" t="s">
        <v>2048</v>
      </c>
      <c r="AH32" s="14" t="s">
        <v>2048</v>
      </c>
      <c r="AI32" s="14" t="s">
        <v>77</v>
      </c>
      <c r="AJ32" s="14" t="s">
        <v>2054</v>
      </c>
      <c r="AK32" s="14" t="s">
        <v>2055</v>
      </c>
      <c r="AL32" s="14" t="s">
        <v>2055</v>
      </c>
      <c r="AM32" s="14" t="s">
        <v>2055</v>
      </c>
      <c r="AN32" s="14" t="s">
        <v>2068</v>
      </c>
      <c r="AO32" s="14" t="s">
        <v>2048</v>
      </c>
      <c r="AP32" s="14" t="s">
        <v>2048</v>
      </c>
      <c r="AQ32" s="14" t="s">
        <v>3786</v>
      </c>
      <c r="AR32" s="14" t="s">
        <v>3639</v>
      </c>
      <c r="AS32" s="14" t="s">
        <v>3623</v>
      </c>
      <c r="AT32" s="14" t="s">
        <v>3440</v>
      </c>
      <c r="AU32" s="14" t="s">
        <v>2059</v>
      </c>
      <c r="AV32" s="14" t="s">
        <v>2060</v>
      </c>
      <c r="AW32" s="14" t="s">
        <v>2048</v>
      </c>
      <c r="AX32" s="14" t="s">
        <v>2048</v>
      </c>
      <c r="AY32" s="14" t="s">
        <v>3641</v>
      </c>
      <c r="AZ32" s="14" t="s">
        <v>3642</v>
      </c>
      <c r="BA32" s="14" t="s">
        <v>2048</v>
      </c>
      <c r="BB32" s="14" t="s">
        <v>2048</v>
      </c>
      <c r="BC32" s="14" t="s">
        <v>3643</v>
      </c>
      <c r="BD32" s="14" t="s">
        <v>312</v>
      </c>
      <c r="BE32" s="14" t="s">
        <v>2048</v>
      </c>
      <c r="BF32" s="14" t="s">
        <v>2048</v>
      </c>
      <c r="BG32" s="14" t="s">
        <v>2048</v>
      </c>
      <c r="BH32" s="14" t="s">
        <v>2048</v>
      </c>
      <c r="BI32" s="14" t="s">
        <v>2048</v>
      </c>
      <c r="BJ32" s="14" t="s">
        <v>2048</v>
      </c>
      <c r="BK32" s="14" t="s">
        <v>2048</v>
      </c>
      <c r="BL32" s="14" t="s">
        <v>2048</v>
      </c>
      <c r="BM32" s="14" t="s">
        <v>2048</v>
      </c>
      <c r="BN32" s="14" t="s">
        <v>2048</v>
      </c>
      <c r="BO32" s="14" t="s">
        <v>2518</v>
      </c>
      <c r="BP32" s="14" t="s">
        <v>2064</v>
      </c>
      <c r="BQ32" s="14" t="s">
        <v>72</v>
      </c>
      <c r="BR32" s="14" t="s">
        <v>72</v>
      </c>
      <c r="BS32" s="14" t="s">
        <v>3777</v>
      </c>
      <c r="BT32" s="14" t="s">
        <v>2048</v>
      </c>
      <c r="BU32" s="14" t="s">
        <v>2048</v>
      </c>
      <c r="BV32" s="14" t="s">
        <v>2535</v>
      </c>
      <c r="BW32" s="14" t="s">
        <v>3672</v>
      </c>
      <c r="BX32" s="14" t="s">
        <v>2048</v>
      </c>
      <c r="BY32" s="14" t="s">
        <v>2048</v>
      </c>
      <c r="BZ32" s="14" t="s">
        <v>2048</v>
      </c>
      <c r="CA32" s="14" t="s">
        <v>2048</v>
      </c>
      <c r="CB32" s="14" t="s">
        <v>72</v>
      </c>
      <c r="CC32" s="14" t="s">
        <v>2048</v>
      </c>
      <c r="CD32" s="14" t="s">
        <v>2048</v>
      </c>
      <c r="CE32" s="14" t="s">
        <v>2048</v>
      </c>
      <c r="CF32" s="14" t="s">
        <v>2048</v>
      </c>
      <c r="CG32" s="14" t="s">
        <v>2048</v>
      </c>
      <c r="CH32" s="14" t="s">
        <v>2048</v>
      </c>
      <c r="CI32" s="14" t="s">
        <v>2048</v>
      </c>
      <c r="CJ32" s="14" t="s">
        <v>2048</v>
      </c>
      <c r="CK32" s="14" t="s">
        <v>3651</v>
      </c>
      <c r="CL32" s="14" t="s">
        <v>3652</v>
      </c>
      <c r="CM32" s="14" t="s">
        <v>2048</v>
      </c>
      <c r="CN32" s="17"/>
      <c r="CO32" s="17">
        <v>42055</v>
      </c>
      <c r="CP32" s="17">
        <v>44000</v>
      </c>
      <c r="CR32" s="17">
        <v>45245</v>
      </c>
      <c r="CS32" s="19">
        <v>0</v>
      </c>
      <c r="CT32" s="19">
        <v>0</v>
      </c>
      <c r="CU32" s="19">
        <v>0</v>
      </c>
      <c r="CV32" s="19">
        <v>0</v>
      </c>
      <c r="CW32" s="19">
        <v>0</v>
      </c>
      <c r="CX32" s="19">
        <v>0</v>
      </c>
      <c r="CY32" s="19">
        <v>0</v>
      </c>
      <c r="CZ32" s="17"/>
      <c r="DA32" s="19">
        <v>0</v>
      </c>
      <c r="DB32" s="17"/>
      <c r="DC32" s="17"/>
      <c r="DD32" s="19">
        <v>0</v>
      </c>
      <c r="DE32" s="17"/>
      <c r="DF32" s="17"/>
      <c r="DG32" s="19">
        <v>100</v>
      </c>
      <c r="DH32" s="17"/>
      <c r="DI32" s="17">
        <v>2958465</v>
      </c>
      <c r="DJ32" s="17"/>
      <c r="DK32" s="17"/>
      <c r="DL32" s="19">
        <v>0</v>
      </c>
      <c r="DM32" s="19">
        <v>0</v>
      </c>
    </row>
    <row r="33" spans="1:117" x14ac:dyDescent="0.2">
      <c r="A33" s="14" t="s">
        <v>3610</v>
      </c>
      <c r="B33" s="14" t="s">
        <v>1165</v>
      </c>
      <c r="C33" s="14" t="s">
        <v>1034</v>
      </c>
      <c r="D33" s="14" t="s">
        <v>200</v>
      </c>
      <c r="E33" s="14" t="s">
        <v>201</v>
      </c>
      <c r="F33" s="14" t="s">
        <v>171</v>
      </c>
      <c r="G33" s="17">
        <v>45245</v>
      </c>
      <c r="H33" s="14" t="s">
        <v>172</v>
      </c>
      <c r="I33" s="14" t="s">
        <v>78</v>
      </c>
      <c r="J33" s="14" t="s">
        <v>524</v>
      </c>
      <c r="K33" s="14" t="s">
        <v>1166</v>
      </c>
      <c r="L33" s="14" t="s">
        <v>1139</v>
      </c>
      <c r="M33" s="14" t="s">
        <v>1140</v>
      </c>
      <c r="N33" s="16">
        <f>COUNTIF($M$3:M33, M33)</f>
        <v>8</v>
      </c>
      <c r="O33" s="16" t="e" cm="1">
        <f t="array" ref="O33">INDEX('[2]ALTA 20242025'!$B$2:$B$241, MATCH(1, ('[2]ALTA 20242025'!$I$2:$I$241=M33)*('[2]ALTA 20242025'!$J$2:$J$241=N33), 0))</f>
        <v>#N/A</v>
      </c>
      <c r="P33" s="16"/>
      <c r="Q33" s="16"/>
      <c r="R33" s="14" t="s">
        <v>2048</v>
      </c>
      <c r="S33" s="14" t="s">
        <v>2048</v>
      </c>
      <c r="T33" s="14" t="s">
        <v>2048</v>
      </c>
      <c r="U33" s="14" t="s">
        <v>2048</v>
      </c>
      <c r="V33" s="14" t="s">
        <v>3645</v>
      </c>
      <c r="W33" s="14" t="s">
        <v>3787</v>
      </c>
      <c r="X33" s="14" t="s">
        <v>3787</v>
      </c>
      <c r="Y33" s="14" t="s">
        <v>2048</v>
      </c>
      <c r="Z33" s="14" t="s">
        <v>2048</v>
      </c>
      <c r="AA33" s="14" t="s">
        <v>2422</v>
      </c>
      <c r="AB33" s="14" t="s">
        <v>2049</v>
      </c>
      <c r="AC33" s="14" t="s">
        <v>2050</v>
      </c>
      <c r="AD33" s="14" t="s">
        <v>3788</v>
      </c>
      <c r="AE33" s="14" t="s">
        <v>3613</v>
      </c>
      <c r="AF33" s="14" t="s">
        <v>3614</v>
      </c>
      <c r="AG33" s="14" t="s">
        <v>2048</v>
      </c>
      <c r="AH33" s="14" t="s">
        <v>2048</v>
      </c>
      <c r="AI33" s="14" t="s">
        <v>2129</v>
      </c>
      <c r="AJ33" s="14" t="s">
        <v>2130</v>
      </c>
      <c r="AK33" s="14" t="s">
        <v>2055</v>
      </c>
      <c r="AL33" s="14" t="s">
        <v>2055</v>
      </c>
      <c r="AM33" s="14" t="s">
        <v>2055</v>
      </c>
      <c r="AN33" s="14" t="s">
        <v>2068</v>
      </c>
      <c r="AO33" s="14" t="s">
        <v>2048</v>
      </c>
      <c r="AP33" s="14" t="s">
        <v>2048</v>
      </c>
      <c r="AQ33" s="14" t="s">
        <v>2048</v>
      </c>
      <c r="AR33" s="14" t="s">
        <v>3639</v>
      </c>
      <c r="AS33" s="14" t="s">
        <v>3648</v>
      </c>
      <c r="AT33" s="14" t="s">
        <v>3655</v>
      </c>
      <c r="AU33" s="14" t="s">
        <v>2059</v>
      </c>
      <c r="AV33" s="14" t="s">
        <v>2060</v>
      </c>
      <c r="AW33" s="14" t="s">
        <v>2048</v>
      </c>
      <c r="AX33" s="14" t="s">
        <v>2048</v>
      </c>
      <c r="AY33" s="14" t="s">
        <v>3641</v>
      </c>
      <c r="AZ33" s="14" t="s">
        <v>3642</v>
      </c>
      <c r="BA33" s="14" t="s">
        <v>2048</v>
      </c>
      <c r="BB33" s="14" t="s">
        <v>2048</v>
      </c>
      <c r="BC33" s="14" t="s">
        <v>3643</v>
      </c>
      <c r="BD33" s="14" t="s">
        <v>312</v>
      </c>
      <c r="BE33" s="14" t="s">
        <v>2048</v>
      </c>
      <c r="BF33" s="14" t="s">
        <v>2048</v>
      </c>
      <c r="BG33" s="14" t="s">
        <v>2048</v>
      </c>
      <c r="BH33" s="14" t="s">
        <v>2048</v>
      </c>
      <c r="BI33" s="14" t="s">
        <v>2048</v>
      </c>
      <c r="BJ33" s="14" t="s">
        <v>2048</v>
      </c>
      <c r="BK33" s="14" t="s">
        <v>2048</v>
      </c>
      <c r="BL33" s="14" t="s">
        <v>2048</v>
      </c>
      <c r="BM33" s="14" t="s">
        <v>2048</v>
      </c>
      <c r="BN33" s="14" t="s">
        <v>2048</v>
      </c>
      <c r="BO33" s="14" t="s">
        <v>2518</v>
      </c>
      <c r="BP33" s="14" t="s">
        <v>2064</v>
      </c>
      <c r="BQ33" s="14" t="s">
        <v>72</v>
      </c>
      <c r="BR33" s="14" t="s">
        <v>72</v>
      </c>
      <c r="BS33" s="14" t="s">
        <v>2048</v>
      </c>
      <c r="BT33" s="14" t="s">
        <v>2048</v>
      </c>
      <c r="BU33" s="14" t="s">
        <v>2048</v>
      </c>
      <c r="BV33" s="14" t="s">
        <v>2331</v>
      </c>
      <c r="BW33" s="14" t="s">
        <v>2131</v>
      </c>
      <c r="BX33" s="14" t="s">
        <v>72</v>
      </c>
      <c r="BY33" s="14" t="s">
        <v>2048</v>
      </c>
      <c r="BZ33" s="14" t="s">
        <v>2048</v>
      </c>
      <c r="CA33" s="14" t="s">
        <v>2048</v>
      </c>
      <c r="CB33" s="14" t="s">
        <v>72</v>
      </c>
      <c r="CC33" s="14" t="s">
        <v>2048</v>
      </c>
      <c r="CD33" s="14" t="s">
        <v>2048</v>
      </c>
      <c r="CE33" s="14" t="s">
        <v>2048</v>
      </c>
      <c r="CF33" s="14" t="s">
        <v>2048</v>
      </c>
      <c r="CG33" s="14" t="s">
        <v>2048</v>
      </c>
      <c r="CH33" s="14" t="s">
        <v>2048</v>
      </c>
      <c r="CI33" s="14" t="s">
        <v>2048</v>
      </c>
      <c r="CJ33" s="14" t="s">
        <v>2048</v>
      </c>
      <c r="CK33" s="14" t="s">
        <v>3603</v>
      </c>
      <c r="CL33" s="14" t="s">
        <v>3604</v>
      </c>
      <c r="CM33" s="14" t="s">
        <v>2048</v>
      </c>
      <c r="CN33" s="17"/>
      <c r="CO33" s="17">
        <v>44650</v>
      </c>
      <c r="CP33" s="17">
        <v>44650</v>
      </c>
      <c r="CR33" s="17">
        <v>45245</v>
      </c>
      <c r="CS33" s="19">
        <v>48</v>
      </c>
      <c r="CT33" s="19">
        <v>0</v>
      </c>
      <c r="CU33" s="19">
        <v>969.93</v>
      </c>
      <c r="CV33" s="19">
        <v>0</v>
      </c>
      <c r="CW33" s="19">
        <v>969.93</v>
      </c>
      <c r="CX33" s="20">
        <v>1173.6199999999999</v>
      </c>
      <c r="CY33" s="19">
        <v>0</v>
      </c>
      <c r="CZ33" s="17"/>
      <c r="DA33" s="19">
        <v>0</v>
      </c>
      <c r="DB33" s="17"/>
      <c r="DC33" s="17"/>
      <c r="DD33" s="19">
        <v>0</v>
      </c>
      <c r="DE33" s="17"/>
      <c r="DF33" s="17"/>
      <c r="DG33" s="19">
        <v>100</v>
      </c>
      <c r="DH33" s="17"/>
      <c r="DI33" s="17">
        <v>46111</v>
      </c>
      <c r="DJ33" s="17"/>
      <c r="DK33" s="17"/>
      <c r="DL33" s="19">
        <v>0</v>
      </c>
      <c r="DM33" s="19">
        <v>0</v>
      </c>
    </row>
    <row r="34" spans="1:117" x14ac:dyDescent="0.2">
      <c r="A34" s="14" t="s">
        <v>3610</v>
      </c>
      <c r="B34" s="14" t="s">
        <v>1168</v>
      </c>
      <c r="C34" s="14" t="s">
        <v>158</v>
      </c>
      <c r="D34" s="14" t="s">
        <v>159</v>
      </c>
      <c r="E34" s="14" t="s">
        <v>158</v>
      </c>
      <c r="F34" s="14" t="s">
        <v>171</v>
      </c>
      <c r="G34" s="17">
        <v>45245</v>
      </c>
      <c r="H34" s="14" t="s">
        <v>172</v>
      </c>
      <c r="I34" s="14" t="s">
        <v>78</v>
      </c>
      <c r="J34" s="14" t="s">
        <v>887</v>
      </c>
      <c r="K34" s="14" t="s">
        <v>1157</v>
      </c>
      <c r="L34" s="14" t="s">
        <v>1139</v>
      </c>
      <c r="M34" s="14" t="s">
        <v>1140</v>
      </c>
      <c r="N34" s="16">
        <f>COUNTIF($M$3:M34, M34)</f>
        <v>9</v>
      </c>
      <c r="O34" s="16" t="e" cm="1">
        <f t="array" ref="O34">INDEX('[2]ALTA 20242025'!$B$2:$B$241, MATCH(1, ('[2]ALTA 20242025'!$I$2:$I$241=M34)*('[2]ALTA 20242025'!$J$2:$J$241=N34), 0))</f>
        <v>#N/A</v>
      </c>
      <c r="P34" s="16"/>
      <c r="Q34" s="16"/>
      <c r="R34" s="14" t="s">
        <v>2048</v>
      </c>
      <c r="S34" s="14" t="s">
        <v>2048</v>
      </c>
      <c r="T34" s="14" t="s">
        <v>2048</v>
      </c>
      <c r="U34" s="14" t="s">
        <v>2048</v>
      </c>
      <c r="V34" s="14" t="s">
        <v>72</v>
      </c>
      <c r="W34" s="14" t="s">
        <v>72</v>
      </c>
      <c r="X34" s="14" t="s">
        <v>72</v>
      </c>
      <c r="Y34" s="14" t="s">
        <v>2048</v>
      </c>
      <c r="Z34" s="14" t="s">
        <v>2048</v>
      </c>
      <c r="AA34" s="14" t="s">
        <v>2422</v>
      </c>
      <c r="AB34" s="14" t="s">
        <v>2049</v>
      </c>
      <c r="AC34" s="14" t="s">
        <v>2050</v>
      </c>
      <c r="AD34" s="14" t="s">
        <v>2048</v>
      </c>
      <c r="AE34" s="14" t="s">
        <v>2048</v>
      </c>
      <c r="AF34" s="14" t="s">
        <v>2048</v>
      </c>
      <c r="AG34" s="14" t="s">
        <v>2048</v>
      </c>
      <c r="AH34" s="14" t="s">
        <v>2048</v>
      </c>
      <c r="AI34" s="14" t="s">
        <v>77</v>
      </c>
      <c r="AJ34" s="14" t="s">
        <v>2054</v>
      </c>
      <c r="AK34" s="14" t="s">
        <v>2055</v>
      </c>
      <c r="AL34" s="14" t="s">
        <v>2055</v>
      </c>
      <c r="AM34" s="14" t="s">
        <v>2055</v>
      </c>
      <c r="AN34" s="14" t="s">
        <v>2068</v>
      </c>
      <c r="AO34" s="14" t="s">
        <v>2048</v>
      </c>
      <c r="AP34" s="14" t="s">
        <v>2048</v>
      </c>
      <c r="AQ34" s="14" t="s">
        <v>3789</v>
      </c>
      <c r="AR34" s="14" t="s">
        <v>3639</v>
      </c>
      <c r="AS34" s="14" t="s">
        <v>3776</v>
      </c>
      <c r="AT34" s="14" t="s">
        <v>2208</v>
      </c>
      <c r="AU34" s="14" t="s">
        <v>2059</v>
      </c>
      <c r="AV34" s="14" t="s">
        <v>2060</v>
      </c>
      <c r="AW34" s="14" t="s">
        <v>2048</v>
      </c>
      <c r="AX34" s="14" t="s">
        <v>2048</v>
      </c>
      <c r="AY34" s="14" t="s">
        <v>3641</v>
      </c>
      <c r="AZ34" s="14" t="s">
        <v>3642</v>
      </c>
      <c r="BA34" s="14" t="s">
        <v>2048</v>
      </c>
      <c r="BB34" s="14" t="s">
        <v>2048</v>
      </c>
      <c r="BC34" s="14" t="s">
        <v>3643</v>
      </c>
      <c r="BD34" s="14" t="s">
        <v>312</v>
      </c>
      <c r="BE34" s="14" t="s">
        <v>2048</v>
      </c>
      <c r="BF34" s="14" t="s">
        <v>2048</v>
      </c>
      <c r="BG34" s="14" t="s">
        <v>2048</v>
      </c>
      <c r="BH34" s="14" t="s">
        <v>2048</v>
      </c>
      <c r="BI34" s="14" t="s">
        <v>2048</v>
      </c>
      <c r="BJ34" s="14" t="s">
        <v>2048</v>
      </c>
      <c r="BK34" s="14" t="s">
        <v>2048</v>
      </c>
      <c r="BL34" s="14" t="s">
        <v>2048</v>
      </c>
      <c r="BM34" s="14" t="s">
        <v>2048</v>
      </c>
      <c r="BN34" s="14" t="s">
        <v>2048</v>
      </c>
      <c r="BO34" s="14" t="s">
        <v>2518</v>
      </c>
      <c r="BP34" s="14" t="s">
        <v>2064</v>
      </c>
      <c r="BQ34" s="14" t="s">
        <v>72</v>
      </c>
      <c r="BR34" s="14" t="s">
        <v>72</v>
      </c>
      <c r="BS34" s="14" t="s">
        <v>3777</v>
      </c>
      <c r="BT34" s="14" t="s">
        <v>2048</v>
      </c>
      <c r="BU34" s="14" t="s">
        <v>2048</v>
      </c>
      <c r="BV34" s="14" t="s">
        <v>2535</v>
      </c>
      <c r="BW34" s="14" t="s">
        <v>3672</v>
      </c>
      <c r="BX34" s="14" t="s">
        <v>2048</v>
      </c>
      <c r="BY34" s="14" t="s">
        <v>2048</v>
      </c>
      <c r="BZ34" s="14" t="s">
        <v>2048</v>
      </c>
      <c r="CA34" s="14" t="s">
        <v>2048</v>
      </c>
      <c r="CB34" s="14" t="s">
        <v>72</v>
      </c>
      <c r="CC34" s="14" t="s">
        <v>2048</v>
      </c>
      <c r="CD34" s="14" t="s">
        <v>2048</v>
      </c>
      <c r="CE34" s="14" t="s">
        <v>2048</v>
      </c>
      <c r="CF34" s="14" t="s">
        <v>2048</v>
      </c>
      <c r="CG34" s="14" t="s">
        <v>2048</v>
      </c>
      <c r="CH34" s="14" t="s">
        <v>2048</v>
      </c>
      <c r="CI34" s="14" t="s">
        <v>2048</v>
      </c>
      <c r="CJ34" s="14" t="s">
        <v>2048</v>
      </c>
      <c r="CK34" s="14" t="s">
        <v>3651</v>
      </c>
      <c r="CL34" s="14" t="s">
        <v>3652</v>
      </c>
      <c r="CM34" s="14" t="s">
        <v>2048</v>
      </c>
      <c r="CN34" s="17"/>
      <c r="CO34" s="17">
        <v>43045</v>
      </c>
      <c r="CP34" s="17">
        <v>44516</v>
      </c>
      <c r="CR34" s="17">
        <v>45245</v>
      </c>
      <c r="CS34" s="19">
        <v>0</v>
      </c>
      <c r="CT34" s="19">
        <v>0</v>
      </c>
      <c r="CU34" s="19">
        <v>0</v>
      </c>
      <c r="CV34" s="19">
        <v>0</v>
      </c>
      <c r="CW34" s="19">
        <v>0</v>
      </c>
      <c r="CX34" s="19">
        <v>0</v>
      </c>
      <c r="CY34" s="19">
        <v>0</v>
      </c>
      <c r="CZ34" s="17"/>
      <c r="DA34" s="19">
        <v>0</v>
      </c>
      <c r="DB34" s="17"/>
      <c r="DC34" s="17"/>
      <c r="DD34" s="19">
        <v>0</v>
      </c>
      <c r="DE34" s="17"/>
      <c r="DF34" s="17"/>
      <c r="DG34" s="19">
        <v>100</v>
      </c>
      <c r="DH34" s="17"/>
      <c r="DI34" s="17">
        <v>2958465</v>
      </c>
      <c r="DJ34" s="17"/>
      <c r="DK34" s="17"/>
      <c r="DL34" s="19">
        <v>0</v>
      </c>
      <c r="DM34" s="19">
        <v>0</v>
      </c>
    </row>
    <row r="35" spans="1:117" x14ac:dyDescent="0.2">
      <c r="A35" s="14" t="s">
        <v>3610</v>
      </c>
      <c r="B35" s="14" t="s">
        <v>1170</v>
      </c>
      <c r="C35" s="14" t="s">
        <v>158</v>
      </c>
      <c r="D35" s="14" t="s">
        <v>159</v>
      </c>
      <c r="E35" s="14" t="s">
        <v>158</v>
      </c>
      <c r="F35" s="14" t="s">
        <v>171</v>
      </c>
      <c r="G35" s="17">
        <v>45245</v>
      </c>
      <c r="H35" s="14" t="s">
        <v>172</v>
      </c>
      <c r="I35" s="14" t="s">
        <v>78</v>
      </c>
      <c r="J35" s="14" t="s">
        <v>524</v>
      </c>
      <c r="K35" s="14" t="s">
        <v>1171</v>
      </c>
      <c r="L35" s="14" t="s">
        <v>1139</v>
      </c>
      <c r="M35" s="14" t="s">
        <v>1140</v>
      </c>
      <c r="N35" s="16">
        <f>COUNTIF($M$3:M35, M35)</f>
        <v>10</v>
      </c>
      <c r="O35" s="16" t="e" cm="1">
        <f t="array" ref="O35">INDEX('[2]ALTA 20242025'!$B$2:$B$241, MATCH(1, ('[2]ALTA 20242025'!$I$2:$I$241=M35)*('[2]ALTA 20242025'!$J$2:$J$241=N35), 0))</f>
        <v>#N/A</v>
      </c>
      <c r="P35" s="16"/>
      <c r="Q35" s="16"/>
      <c r="R35" s="14" t="s">
        <v>2048</v>
      </c>
      <c r="S35" s="14" t="s">
        <v>2048</v>
      </c>
      <c r="T35" s="14" t="s">
        <v>2048</v>
      </c>
      <c r="U35" s="14" t="s">
        <v>2048</v>
      </c>
      <c r="V35" s="14" t="s">
        <v>72</v>
      </c>
      <c r="W35" s="14" t="s">
        <v>72</v>
      </c>
      <c r="X35" s="14" t="s">
        <v>72</v>
      </c>
      <c r="Y35" s="14" t="s">
        <v>2048</v>
      </c>
      <c r="Z35" s="14" t="s">
        <v>2048</v>
      </c>
      <c r="AA35" s="14" t="s">
        <v>2422</v>
      </c>
      <c r="AB35" s="14" t="s">
        <v>2049</v>
      </c>
      <c r="AC35" s="14" t="s">
        <v>2050</v>
      </c>
      <c r="AD35" s="14" t="s">
        <v>2048</v>
      </c>
      <c r="AE35" s="14" t="s">
        <v>2048</v>
      </c>
      <c r="AF35" s="14" t="s">
        <v>2048</v>
      </c>
      <c r="AG35" s="14" t="s">
        <v>2048</v>
      </c>
      <c r="AH35" s="14" t="s">
        <v>2048</v>
      </c>
      <c r="AI35" s="14" t="s">
        <v>77</v>
      </c>
      <c r="AJ35" s="14" t="s">
        <v>2054</v>
      </c>
      <c r="AK35" s="14" t="s">
        <v>2055</v>
      </c>
      <c r="AL35" s="14" t="s">
        <v>2055</v>
      </c>
      <c r="AM35" s="14" t="s">
        <v>2055</v>
      </c>
      <c r="AN35" s="14" t="s">
        <v>2068</v>
      </c>
      <c r="AO35" s="14" t="s">
        <v>2048</v>
      </c>
      <c r="AP35" s="14" t="s">
        <v>2048</v>
      </c>
      <c r="AQ35" s="14" t="s">
        <v>3790</v>
      </c>
      <c r="AR35" s="14" t="s">
        <v>3639</v>
      </c>
      <c r="AS35" s="14" t="s">
        <v>3791</v>
      </c>
      <c r="AT35" s="14" t="s">
        <v>2535</v>
      </c>
      <c r="AU35" s="14" t="s">
        <v>2059</v>
      </c>
      <c r="AV35" s="14" t="s">
        <v>2060</v>
      </c>
      <c r="AW35" s="14" t="s">
        <v>2048</v>
      </c>
      <c r="AX35" s="14" t="s">
        <v>2048</v>
      </c>
      <c r="AY35" s="14" t="s">
        <v>3641</v>
      </c>
      <c r="AZ35" s="14" t="s">
        <v>3642</v>
      </c>
      <c r="BA35" s="14" t="s">
        <v>2048</v>
      </c>
      <c r="BB35" s="14" t="s">
        <v>2048</v>
      </c>
      <c r="BC35" s="14" t="s">
        <v>3643</v>
      </c>
      <c r="BD35" s="14" t="s">
        <v>312</v>
      </c>
      <c r="BE35" s="14" t="s">
        <v>2048</v>
      </c>
      <c r="BF35" s="14" t="s">
        <v>2048</v>
      </c>
      <c r="BG35" s="14" t="s">
        <v>2048</v>
      </c>
      <c r="BH35" s="14" t="s">
        <v>2048</v>
      </c>
      <c r="BI35" s="14" t="s">
        <v>2048</v>
      </c>
      <c r="BJ35" s="14" t="s">
        <v>2048</v>
      </c>
      <c r="BK35" s="14" t="s">
        <v>2048</v>
      </c>
      <c r="BL35" s="14" t="s">
        <v>2048</v>
      </c>
      <c r="BM35" s="14" t="s">
        <v>2048</v>
      </c>
      <c r="BN35" s="14" t="s">
        <v>2048</v>
      </c>
      <c r="BO35" s="14" t="s">
        <v>2518</v>
      </c>
      <c r="BP35" s="14" t="s">
        <v>2064</v>
      </c>
      <c r="BQ35" s="14" t="s">
        <v>72</v>
      </c>
      <c r="BR35" s="14" t="s">
        <v>72</v>
      </c>
      <c r="BS35" s="14" t="s">
        <v>3792</v>
      </c>
      <c r="BT35" s="14" t="s">
        <v>2048</v>
      </c>
      <c r="BU35" s="14" t="s">
        <v>2048</v>
      </c>
      <c r="BV35" s="14" t="s">
        <v>2535</v>
      </c>
      <c r="BW35" s="14" t="s">
        <v>3672</v>
      </c>
      <c r="BX35" s="14" t="s">
        <v>2048</v>
      </c>
      <c r="BY35" s="14" t="s">
        <v>2048</v>
      </c>
      <c r="BZ35" s="14" t="s">
        <v>2048</v>
      </c>
      <c r="CA35" s="14" t="s">
        <v>2048</v>
      </c>
      <c r="CB35" s="14" t="s">
        <v>72</v>
      </c>
      <c r="CC35" s="14" t="s">
        <v>2048</v>
      </c>
      <c r="CD35" s="14" t="s">
        <v>2048</v>
      </c>
      <c r="CE35" s="14" t="s">
        <v>2048</v>
      </c>
      <c r="CF35" s="14" t="s">
        <v>2048</v>
      </c>
      <c r="CG35" s="14" t="s">
        <v>2048</v>
      </c>
      <c r="CH35" s="14" t="s">
        <v>2048</v>
      </c>
      <c r="CI35" s="14" t="s">
        <v>2048</v>
      </c>
      <c r="CJ35" s="14" t="s">
        <v>2048</v>
      </c>
      <c r="CK35" s="14" t="s">
        <v>3651</v>
      </c>
      <c r="CL35" s="14" t="s">
        <v>3652</v>
      </c>
      <c r="CM35" s="14" t="s">
        <v>2048</v>
      </c>
      <c r="CN35" s="17"/>
      <c r="CO35" s="17">
        <v>37811</v>
      </c>
      <c r="CP35" s="17">
        <v>37811</v>
      </c>
      <c r="CR35" s="17">
        <v>45245</v>
      </c>
      <c r="CS35" s="19">
        <v>0</v>
      </c>
      <c r="CT35" s="19">
        <v>0</v>
      </c>
      <c r="CU35" s="19">
        <v>0</v>
      </c>
      <c r="CV35" s="19">
        <v>0</v>
      </c>
      <c r="CW35" s="19">
        <v>0</v>
      </c>
      <c r="CX35" s="19">
        <v>0</v>
      </c>
      <c r="CY35" s="19">
        <v>0</v>
      </c>
      <c r="CZ35" s="17"/>
      <c r="DA35" s="19">
        <v>0</v>
      </c>
      <c r="DB35" s="17"/>
      <c r="DC35" s="17"/>
      <c r="DD35" s="19">
        <v>0</v>
      </c>
      <c r="DE35" s="17"/>
      <c r="DF35" s="17"/>
      <c r="DG35" s="19">
        <v>100</v>
      </c>
      <c r="DH35" s="17"/>
      <c r="DI35" s="17">
        <v>2958465</v>
      </c>
      <c r="DJ35" s="17"/>
      <c r="DK35" s="17"/>
      <c r="DL35" s="19">
        <v>0</v>
      </c>
      <c r="DM35" s="19">
        <v>0</v>
      </c>
    </row>
    <row r="36" spans="1:117" x14ac:dyDescent="0.2">
      <c r="A36" s="14" t="s">
        <v>3610</v>
      </c>
      <c r="B36" s="14" t="s">
        <v>680</v>
      </c>
      <c r="C36" s="14" t="s">
        <v>73</v>
      </c>
      <c r="D36" s="14" t="s">
        <v>200</v>
      </c>
      <c r="E36" s="14" t="s">
        <v>201</v>
      </c>
      <c r="F36" s="14" t="s">
        <v>76</v>
      </c>
      <c r="G36" s="17">
        <v>45021</v>
      </c>
      <c r="H36" s="14" t="s">
        <v>77</v>
      </c>
      <c r="I36" s="14" t="s">
        <v>674</v>
      </c>
      <c r="J36" s="14" t="s">
        <v>359</v>
      </c>
      <c r="K36" s="14" t="s">
        <v>675</v>
      </c>
      <c r="L36" s="14" t="s">
        <v>204</v>
      </c>
      <c r="M36" s="14" t="s">
        <v>205</v>
      </c>
      <c r="N36" s="16">
        <f>COUNTIF($M$3:M36, M36)</f>
        <v>3</v>
      </c>
      <c r="O36" s="16" t="str" cm="1">
        <f t="array" ref="O36">INDEX('[2]ALTA 20242025'!$B$2:$B$241, MATCH(1, ('[2]ALTA 20242025'!$I$2:$I$241=M36)*('[2]ALTA 20242025'!$J$2:$J$241=N36), 0))</f>
        <v>0182MWZ</v>
      </c>
      <c r="P36" s="16"/>
      <c r="Q36" s="16"/>
      <c r="R36" s="14" t="s">
        <v>2048</v>
      </c>
      <c r="S36" s="14" t="s">
        <v>2048</v>
      </c>
      <c r="T36" s="14" t="s">
        <v>2048</v>
      </c>
      <c r="U36" s="14" t="s">
        <v>2048</v>
      </c>
      <c r="V36" s="14" t="s">
        <v>3793</v>
      </c>
      <c r="W36" s="14" t="s">
        <v>3794</v>
      </c>
      <c r="X36" s="14" t="s">
        <v>3723</v>
      </c>
      <c r="Y36" s="14" t="s">
        <v>3795</v>
      </c>
      <c r="Z36" s="14" t="s">
        <v>2048</v>
      </c>
      <c r="AA36" s="14" t="s">
        <v>2422</v>
      </c>
      <c r="AB36" s="14" t="s">
        <v>2049</v>
      </c>
      <c r="AC36" s="14" t="s">
        <v>2050</v>
      </c>
      <c r="AD36" s="14" t="s">
        <v>3796</v>
      </c>
      <c r="AE36" s="14" t="s">
        <v>3613</v>
      </c>
      <c r="AF36" s="14" t="s">
        <v>3614</v>
      </c>
      <c r="AG36" s="14" t="s">
        <v>2048</v>
      </c>
      <c r="AH36" s="14" t="s">
        <v>2048</v>
      </c>
      <c r="AI36" s="14" t="s">
        <v>2132</v>
      </c>
      <c r="AJ36" s="14" t="s">
        <v>2133</v>
      </c>
      <c r="AK36" s="14" t="s">
        <v>2055</v>
      </c>
      <c r="AL36" s="14" t="s">
        <v>2055</v>
      </c>
      <c r="AM36" s="14" t="s">
        <v>2055</v>
      </c>
      <c r="AN36" s="14" t="s">
        <v>3603</v>
      </c>
      <c r="AO36" s="14" t="s">
        <v>2048</v>
      </c>
      <c r="AP36" s="14" t="s">
        <v>2048</v>
      </c>
      <c r="AQ36" s="14" t="s">
        <v>2048</v>
      </c>
      <c r="AR36" s="14" t="s">
        <v>2278</v>
      </c>
      <c r="AS36" s="14" t="s">
        <v>3615</v>
      </c>
      <c r="AT36" s="14" t="s">
        <v>2331</v>
      </c>
      <c r="AU36" s="14" t="s">
        <v>3797</v>
      </c>
      <c r="AV36" s="14" t="s">
        <v>3798</v>
      </c>
      <c r="AW36" s="14" t="s">
        <v>3799</v>
      </c>
      <c r="AX36" s="14" t="s">
        <v>2048</v>
      </c>
      <c r="AY36" s="14" t="s">
        <v>3800</v>
      </c>
      <c r="AZ36" s="14" t="s">
        <v>3801</v>
      </c>
      <c r="BA36" s="14" t="s">
        <v>2048</v>
      </c>
      <c r="BB36" s="14" t="s">
        <v>2048</v>
      </c>
      <c r="BC36" s="14" t="s">
        <v>204</v>
      </c>
      <c r="BD36" s="14" t="s">
        <v>682</v>
      </c>
      <c r="BE36" s="14" t="s">
        <v>3802</v>
      </c>
      <c r="BF36" s="14" t="s">
        <v>2048</v>
      </c>
      <c r="BG36" s="14" t="s">
        <v>2048</v>
      </c>
      <c r="BH36" s="14" t="s">
        <v>3803</v>
      </c>
      <c r="BI36" s="14" t="s">
        <v>3804</v>
      </c>
      <c r="BJ36" s="14" t="s">
        <v>2048</v>
      </c>
      <c r="BK36" s="14" t="s">
        <v>2048</v>
      </c>
      <c r="BL36" s="14" t="s">
        <v>3805</v>
      </c>
      <c r="BM36" s="14" t="s">
        <v>2287</v>
      </c>
      <c r="BN36" s="14" t="s">
        <v>2048</v>
      </c>
      <c r="BO36" s="14" t="s">
        <v>2048</v>
      </c>
      <c r="BP36" s="14" t="s">
        <v>2064</v>
      </c>
      <c r="BQ36" s="14" t="s">
        <v>72</v>
      </c>
      <c r="BR36" s="14" t="s">
        <v>72</v>
      </c>
      <c r="BS36" s="14" t="s">
        <v>2048</v>
      </c>
      <c r="BT36" s="14" t="s">
        <v>2329</v>
      </c>
      <c r="BU36" s="14" t="s">
        <v>2330</v>
      </c>
      <c r="BV36" s="14" t="s">
        <v>2331</v>
      </c>
      <c r="BW36" s="14" t="s">
        <v>2131</v>
      </c>
      <c r="BX36" s="14" t="s">
        <v>2048</v>
      </c>
      <c r="BY36" s="14" t="s">
        <v>2048</v>
      </c>
      <c r="BZ36" s="14" t="s">
        <v>2048</v>
      </c>
      <c r="CA36" s="14" t="s">
        <v>2048</v>
      </c>
      <c r="CB36" s="14" t="s">
        <v>72</v>
      </c>
      <c r="CC36" s="14" t="s">
        <v>2048</v>
      </c>
      <c r="CD36" s="14" t="s">
        <v>2048</v>
      </c>
      <c r="CE36" s="14" t="s">
        <v>2048</v>
      </c>
      <c r="CF36" s="14" t="s">
        <v>2048</v>
      </c>
      <c r="CG36" s="14" t="s">
        <v>2048</v>
      </c>
      <c r="CH36" s="14" t="s">
        <v>2048</v>
      </c>
      <c r="CI36" s="14" t="s">
        <v>2048</v>
      </c>
      <c r="CJ36" s="14" t="s">
        <v>2048</v>
      </c>
      <c r="CK36" s="14" t="s">
        <v>2068</v>
      </c>
      <c r="CL36" s="14" t="s">
        <v>2069</v>
      </c>
      <c r="CM36" s="14" t="s">
        <v>2048</v>
      </c>
      <c r="CN36" s="17"/>
      <c r="CO36" s="17">
        <v>43560</v>
      </c>
      <c r="CP36" s="17">
        <v>43560</v>
      </c>
      <c r="CR36" s="17">
        <v>44965</v>
      </c>
      <c r="CS36" s="19">
        <v>48</v>
      </c>
      <c r="CT36" s="19">
        <v>0</v>
      </c>
      <c r="CU36" s="19">
        <v>285.74</v>
      </c>
      <c r="CV36" s="19">
        <v>0</v>
      </c>
      <c r="CW36" s="19">
        <v>285.74</v>
      </c>
      <c r="CX36" s="19">
        <v>345.75</v>
      </c>
      <c r="CY36" s="19">
        <v>0</v>
      </c>
      <c r="CZ36" s="17"/>
      <c r="DA36" s="19">
        <v>0</v>
      </c>
      <c r="DB36" s="17"/>
      <c r="DC36" s="17"/>
      <c r="DD36" s="19">
        <v>0</v>
      </c>
      <c r="DE36" s="17"/>
      <c r="DF36" s="17"/>
      <c r="DG36" s="19">
        <v>100</v>
      </c>
      <c r="DH36" s="17"/>
      <c r="DI36" s="17">
        <v>45291</v>
      </c>
      <c r="DJ36" s="17"/>
      <c r="DK36" s="17"/>
      <c r="DL36" s="19">
        <v>0</v>
      </c>
      <c r="DM36" s="19">
        <v>0</v>
      </c>
    </row>
    <row r="37" spans="1:117" x14ac:dyDescent="0.2">
      <c r="A37" s="14" t="s">
        <v>3610</v>
      </c>
      <c r="B37" s="14" t="s">
        <v>1173</v>
      </c>
      <c r="C37" s="14" t="s">
        <v>158</v>
      </c>
      <c r="D37" s="14" t="s">
        <v>159</v>
      </c>
      <c r="E37" s="14" t="s">
        <v>158</v>
      </c>
      <c r="F37" s="14" t="s">
        <v>171</v>
      </c>
      <c r="G37" s="17">
        <v>45245</v>
      </c>
      <c r="H37" s="14" t="s">
        <v>172</v>
      </c>
      <c r="I37" s="14" t="s">
        <v>78</v>
      </c>
      <c r="J37" s="14" t="s">
        <v>85</v>
      </c>
      <c r="K37" s="14" t="s">
        <v>1174</v>
      </c>
      <c r="L37" s="14" t="s">
        <v>1139</v>
      </c>
      <c r="M37" s="14" t="s">
        <v>1140</v>
      </c>
      <c r="N37" s="16">
        <f>COUNTIF($M$3:M37, M37)</f>
        <v>11</v>
      </c>
      <c r="O37" s="16" t="e" cm="1">
        <f t="array" ref="O37">INDEX('[2]ALTA 20242025'!$B$2:$B$241, MATCH(1, ('[2]ALTA 20242025'!$I$2:$I$241=M37)*('[2]ALTA 20242025'!$J$2:$J$241=N37), 0))</f>
        <v>#N/A</v>
      </c>
      <c r="P37" s="16"/>
      <c r="Q37" s="16"/>
      <c r="R37" s="14" t="s">
        <v>2048</v>
      </c>
      <c r="S37" s="14" t="s">
        <v>2048</v>
      </c>
      <c r="T37" s="14" t="s">
        <v>2048</v>
      </c>
      <c r="U37" s="14" t="s">
        <v>2048</v>
      </c>
      <c r="V37" s="14" t="s">
        <v>72</v>
      </c>
      <c r="W37" s="14" t="s">
        <v>72</v>
      </c>
      <c r="X37" s="14" t="s">
        <v>72</v>
      </c>
      <c r="Y37" s="14" t="s">
        <v>2048</v>
      </c>
      <c r="Z37" s="14" t="s">
        <v>2048</v>
      </c>
      <c r="AA37" s="14" t="s">
        <v>2422</v>
      </c>
      <c r="AB37" s="14" t="s">
        <v>2049</v>
      </c>
      <c r="AC37" s="14" t="s">
        <v>2050</v>
      </c>
      <c r="AD37" s="14" t="s">
        <v>2048</v>
      </c>
      <c r="AE37" s="14" t="s">
        <v>2048</v>
      </c>
      <c r="AF37" s="14" t="s">
        <v>2048</v>
      </c>
      <c r="AG37" s="14" t="s">
        <v>2048</v>
      </c>
      <c r="AH37" s="14" t="s">
        <v>2048</v>
      </c>
      <c r="AI37" s="14" t="s">
        <v>77</v>
      </c>
      <c r="AJ37" s="14" t="s">
        <v>2054</v>
      </c>
      <c r="AK37" s="14" t="s">
        <v>2055</v>
      </c>
      <c r="AL37" s="14" t="s">
        <v>2055</v>
      </c>
      <c r="AM37" s="14" t="s">
        <v>2055</v>
      </c>
      <c r="AN37" s="14" t="s">
        <v>2068</v>
      </c>
      <c r="AO37" s="14" t="s">
        <v>2048</v>
      </c>
      <c r="AP37" s="14" t="s">
        <v>2048</v>
      </c>
      <c r="AQ37" s="14" t="s">
        <v>3806</v>
      </c>
      <c r="AR37" s="14" t="s">
        <v>3639</v>
      </c>
      <c r="AS37" s="14" t="s">
        <v>3623</v>
      </c>
      <c r="AT37" s="14" t="s">
        <v>3440</v>
      </c>
      <c r="AU37" s="14" t="s">
        <v>2059</v>
      </c>
      <c r="AV37" s="14" t="s">
        <v>2060</v>
      </c>
      <c r="AW37" s="14" t="s">
        <v>2048</v>
      </c>
      <c r="AX37" s="14" t="s">
        <v>2048</v>
      </c>
      <c r="AY37" s="14" t="s">
        <v>3641</v>
      </c>
      <c r="AZ37" s="14" t="s">
        <v>3642</v>
      </c>
      <c r="BA37" s="14" t="s">
        <v>2048</v>
      </c>
      <c r="BB37" s="14" t="s">
        <v>2048</v>
      </c>
      <c r="BC37" s="14" t="s">
        <v>3643</v>
      </c>
      <c r="BD37" s="14" t="s">
        <v>312</v>
      </c>
      <c r="BE37" s="14" t="s">
        <v>2048</v>
      </c>
      <c r="BF37" s="14" t="s">
        <v>2048</v>
      </c>
      <c r="BG37" s="14" t="s">
        <v>2048</v>
      </c>
      <c r="BH37" s="14" t="s">
        <v>2048</v>
      </c>
      <c r="BI37" s="14" t="s">
        <v>2048</v>
      </c>
      <c r="BJ37" s="14" t="s">
        <v>2048</v>
      </c>
      <c r="BK37" s="14" t="s">
        <v>2048</v>
      </c>
      <c r="BL37" s="14" t="s">
        <v>2048</v>
      </c>
      <c r="BM37" s="14" t="s">
        <v>2048</v>
      </c>
      <c r="BN37" s="14" t="s">
        <v>2048</v>
      </c>
      <c r="BO37" s="14" t="s">
        <v>2518</v>
      </c>
      <c r="BP37" s="14" t="s">
        <v>2064</v>
      </c>
      <c r="BQ37" s="14" t="s">
        <v>72</v>
      </c>
      <c r="BR37" s="14" t="s">
        <v>72</v>
      </c>
      <c r="BS37" s="14" t="s">
        <v>3807</v>
      </c>
      <c r="BT37" s="14" t="s">
        <v>2048</v>
      </c>
      <c r="BU37" s="14" t="s">
        <v>2048</v>
      </c>
      <c r="BV37" s="14" t="s">
        <v>2535</v>
      </c>
      <c r="BW37" s="14" t="s">
        <v>3672</v>
      </c>
      <c r="BX37" s="14" t="s">
        <v>2048</v>
      </c>
      <c r="BY37" s="14" t="s">
        <v>2048</v>
      </c>
      <c r="BZ37" s="14" t="s">
        <v>2048</v>
      </c>
      <c r="CA37" s="14" t="s">
        <v>2048</v>
      </c>
      <c r="CB37" s="14" t="s">
        <v>72</v>
      </c>
      <c r="CC37" s="14" t="s">
        <v>2048</v>
      </c>
      <c r="CD37" s="14" t="s">
        <v>2048</v>
      </c>
      <c r="CE37" s="14" t="s">
        <v>2048</v>
      </c>
      <c r="CF37" s="14" t="s">
        <v>2048</v>
      </c>
      <c r="CG37" s="14" t="s">
        <v>2048</v>
      </c>
      <c r="CH37" s="14" t="s">
        <v>2048</v>
      </c>
      <c r="CI37" s="14" t="s">
        <v>2048</v>
      </c>
      <c r="CJ37" s="14" t="s">
        <v>2048</v>
      </c>
      <c r="CK37" s="14" t="s">
        <v>3651</v>
      </c>
      <c r="CL37" s="14" t="s">
        <v>3652</v>
      </c>
      <c r="CM37" s="14" t="s">
        <v>2048</v>
      </c>
      <c r="CN37" s="17"/>
      <c r="CO37" s="17">
        <v>42573</v>
      </c>
      <c r="CP37" s="17">
        <v>43994</v>
      </c>
      <c r="CR37" s="17">
        <v>45245</v>
      </c>
      <c r="CS37" s="19">
        <v>0</v>
      </c>
      <c r="CT37" s="19">
        <v>0</v>
      </c>
      <c r="CU37" s="19">
        <v>0</v>
      </c>
      <c r="CV37" s="19">
        <v>0</v>
      </c>
      <c r="CW37" s="19">
        <v>0</v>
      </c>
      <c r="CX37" s="19">
        <v>0</v>
      </c>
      <c r="CY37" s="19">
        <v>0</v>
      </c>
      <c r="CZ37" s="17"/>
      <c r="DA37" s="19">
        <v>0</v>
      </c>
      <c r="DB37" s="17"/>
      <c r="DC37" s="17"/>
      <c r="DD37" s="19">
        <v>0</v>
      </c>
      <c r="DE37" s="17"/>
      <c r="DF37" s="17"/>
      <c r="DG37" s="19">
        <v>100</v>
      </c>
      <c r="DH37" s="17"/>
      <c r="DI37" s="17">
        <v>2958465</v>
      </c>
      <c r="DJ37" s="17"/>
      <c r="DK37" s="17"/>
      <c r="DL37" s="19">
        <v>0</v>
      </c>
      <c r="DM37" s="19">
        <v>0</v>
      </c>
    </row>
    <row r="38" spans="1:117" x14ac:dyDescent="0.2">
      <c r="A38" s="14" t="s">
        <v>3610</v>
      </c>
      <c r="B38" s="14" t="s">
        <v>1176</v>
      </c>
      <c r="C38" s="14" t="s">
        <v>158</v>
      </c>
      <c r="D38" s="14" t="s">
        <v>159</v>
      </c>
      <c r="E38" s="14" t="s">
        <v>158</v>
      </c>
      <c r="F38" s="14" t="s">
        <v>171</v>
      </c>
      <c r="G38" s="17">
        <v>45245</v>
      </c>
      <c r="H38" s="14" t="s">
        <v>172</v>
      </c>
      <c r="I38" s="14" t="s">
        <v>78</v>
      </c>
      <c r="J38" s="14" t="s">
        <v>1177</v>
      </c>
      <c r="K38" s="14" t="s">
        <v>1178</v>
      </c>
      <c r="L38" s="14" t="s">
        <v>1139</v>
      </c>
      <c r="M38" s="14" t="s">
        <v>1140</v>
      </c>
      <c r="N38" s="16">
        <f>COUNTIF($M$3:M38, M38)</f>
        <v>12</v>
      </c>
      <c r="O38" s="16" t="e" cm="1">
        <f t="array" ref="O38">INDEX('[2]ALTA 20242025'!$B$2:$B$241, MATCH(1, ('[2]ALTA 20242025'!$I$2:$I$241=M38)*('[2]ALTA 20242025'!$J$2:$J$241=N38), 0))</f>
        <v>#N/A</v>
      </c>
      <c r="P38" s="16"/>
      <c r="Q38" s="16"/>
      <c r="R38" s="14" t="s">
        <v>2048</v>
      </c>
      <c r="S38" s="14" t="s">
        <v>2048</v>
      </c>
      <c r="T38" s="14" t="s">
        <v>2048</v>
      </c>
      <c r="U38" s="14" t="s">
        <v>2048</v>
      </c>
      <c r="V38" s="14" t="s">
        <v>72</v>
      </c>
      <c r="W38" s="14" t="s">
        <v>72</v>
      </c>
      <c r="X38" s="14" t="s">
        <v>72</v>
      </c>
      <c r="Y38" s="14" t="s">
        <v>2048</v>
      </c>
      <c r="Z38" s="14" t="s">
        <v>2048</v>
      </c>
      <c r="AA38" s="14" t="s">
        <v>2422</v>
      </c>
      <c r="AB38" s="14" t="s">
        <v>2049</v>
      </c>
      <c r="AC38" s="14" t="s">
        <v>2050</v>
      </c>
      <c r="AD38" s="14" t="s">
        <v>2048</v>
      </c>
      <c r="AE38" s="14" t="s">
        <v>2048</v>
      </c>
      <c r="AF38" s="14" t="s">
        <v>2048</v>
      </c>
      <c r="AG38" s="14" t="s">
        <v>2048</v>
      </c>
      <c r="AH38" s="14" t="s">
        <v>2048</v>
      </c>
      <c r="AI38" s="14" t="s">
        <v>77</v>
      </c>
      <c r="AJ38" s="14" t="s">
        <v>2054</v>
      </c>
      <c r="AK38" s="14" t="s">
        <v>2055</v>
      </c>
      <c r="AL38" s="14" t="s">
        <v>2056</v>
      </c>
      <c r="AM38" s="14" t="s">
        <v>2055</v>
      </c>
      <c r="AN38" s="14" t="s">
        <v>2068</v>
      </c>
      <c r="AO38" s="14" t="s">
        <v>2048</v>
      </c>
      <c r="AP38" s="14" t="s">
        <v>2048</v>
      </c>
      <c r="AQ38" s="14" t="s">
        <v>2048</v>
      </c>
      <c r="AR38" s="14" t="s">
        <v>3639</v>
      </c>
      <c r="AS38" s="14" t="s">
        <v>3693</v>
      </c>
      <c r="AT38" s="14" t="s">
        <v>2331</v>
      </c>
      <c r="AU38" s="14" t="s">
        <v>2059</v>
      </c>
      <c r="AV38" s="14" t="s">
        <v>2060</v>
      </c>
      <c r="AW38" s="14" t="s">
        <v>2048</v>
      </c>
      <c r="AX38" s="14" t="s">
        <v>2048</v>
      </c>
      <c r="AY38" s="14" t="s">
        <v>3641</v>
      </c>
      <c r="AZ38" s="14" t="s">
        <v>3642</v>
      </c>
      <c r="BA38" s="14" t="s">
        <v>2048</v>
      </c>
      <c r="BB38" s="14" t="s">
        <v>2048</v>
      </c>
      <c r="BC38" s="14" t="s">
        <v>3643</v>
      </c>
      <c r="BD38" s="14" t="s">
        <v>312</v>
      </c>
      <c r="BE38" s="14" t="s">
        <v>2048</v>
      </c>
      <c r="BF38" s="14" t="s">
        <v>2048</v>
      </c>
      <c r="BG38" s="14" t="s">
        <v>2048</v>
      </c>
      <c r="BH38" s="14" t="s">
        <v>2048</v>
      </c>
      <c r="BI38" s="14" t="s">
        <v>2048</v>
      </c>
      <c r="BJ38" s="14" t="s">
        <v>2048</v>
      </c>
      <c r="BK38" s="14" t="s">
        <v>2048</v>
      </c>
      <c r="BL38" s="14" t="s">
        <v>2048</v>
      </c>
      <c r="BM38" s="14" t="s">
        <v>2048</v>
      </c>
      <c r="BN38" s="14" t="s">
        <v>2048</v>
      </c>
      <c r="BO38" s="14" t="s">
        <v>2048</v>
      </c>
      <c r="BP38" s="14" t="s">
        <v>2064</v>
      </c>
      <c r="BQ38" s="14" t="s">
        <v>72</v>
      </c>
      <c r="BR38" s="14" t="s">
        <v>72</v>
      </c>
      <c r="BS38" s="14" t="s">
        <v>2048</v>
      </c>
      <c r="BT38" s="14" t="s">
        <v>2048</v>
      </c>
      <c r="BU38" s="14" t="s">
        <v>2048</v>
      </c>
      <c r="BV38" s="14" t="s">
        <v>3472</v>
      </c>
      <c r="BW38" s="14" t="s">
        <v>3808</v>
      </c>
      <c r="BX38" s="14" t="s">
        <v>2048</v>
      </c>
      <c r="BY38" s="14" t="s">
        <v>2048</v>
      </c>
      <c r="BZ38" s="14" t="s">
        <v>2048</v>
      </c>
      <c r="CA38" s="14" t="s">
        <v>2048</v>
      </c>
      <c r="CB38" s="14" t="s">
        <v>72</v>
      </c>
      <c r="CC38" s="14" t="s">
        <v>2048</v>
      </c>
      <c r="CD38" s="14" t="s">
        <v>2048</v>
      </c>
      <c r="CE38" s="14" t="s">
        <v>2048</v>
      </c>
      <c r="CF38" s="14" t="s">
        <v>2048</v>
      </c>
      <c r="CG38" s="14" t="s">
        <v>2048</v>
      </c>
      <c r="CH38" s="14" t="s">
        <v>2048</v>
      </c>
      <c r="CI38" s="14" t="s">
        <v>2048</v>
      </c>
      <c r="CJ38" s="14" t="s">
        <v>2048</v>
      </c>
      <c r="CK38" s="14" t="s">
        <v>3774</v>
      </c>
      <c r="CL38" s="14" t="s">
        <v>413</v>
      </c>
      <c r="CM38" s="14" t="s">
        <v>2048</v>
      </c>
      <c r="CN38" s="17"/>
      <c r="CO38" s="17">
        <v>38811</v>
      </c>
      <c r="CP38" s="17">
        <v>42830</v>
      </c>
      <c r="CR38" s="17">
        <v>45245</v>
      </c>
      <c r="CS38" s="19">
        <v>0</v>
      </c>
      <c r="CT38" s="19">
        <v>0</v>
      </c>
      <c r="CU38" s="19">
        <v>0</v>
      </c>
      <c r="CV38" s="19">
        <v>0</v>
      </c>
      <c r="CW38" s="19">
        <v>0</v>
      </c>
      <c r="CX38" s="19">
        <v>0</v>
      </c>
      <c r="CY38" s="19">
        <v>0</v>
      </c>
      <c r="CZ38" s="17"/>
      <c r="DA38" s="19">
        <v>0</v>
      </c>
      <c r="DB38" s="17"/>
      <c r="DC38" s="17"/>
      <c r="DD38" s="19">
        <v>0</v>
      </c>
      <c r="DE38" s="17"/>
      <c r="DF38" s="17"/>
      <c r="DG38" s="19">
        <v>100</v>
      </c>
      <c r="DH38" s="17"/>
      <c r="DI38" s="17">
        <v>2958465</v>
      </c>
      <c r="DJ38" s="17"/>
      <c r="DK38" s="17"/>
      <c r="DL38" s="19">
        <v>0</v>
      </c>
      <c r="DM38" s="19">
        <v>0</v>
      </c>
    </row>
    <row r="39" spans="1:117" x14ac:dyDescent="0.2">
      <c r="A39" s="14" t="s">
        <v>3610</v>
      </c>
      <c r="B39" s="14" t="s">
        <v>1180</v>
      </c>
      <c r="C39" s="14" t="s">
        <v>158</v>
      </c>
      <c r="D39" s="14" t="s">
        <v>159</v>
      </c>
      <c r="E39" s="14" t="s">
        <v>158</v>
      </c>
      <c r="F39" s="14" t="s">
        <v>171</v>
      </c>
      <c r="G39" s="17">
        <v>45245</v>
      </c>
      <c r="H39" s="14" t="s">
        <v>172</v>
      </c>
      <c r="I39" s="14" t="s">
        <v>78</v>
      </c>
      <c r="J39" s="14" t="s">
        <v>1181</v>
      </c>
      <c r="K39" s="14" t="s">
        <v>1182</v>
      </c>
      <c r="L39" s="14" t="s">
        <v>1139</v>
      </c>
      <c r="M39" s="14" t="s">
        <v>1140</v>
      </c>
      <c r="N39" s="16">
        <f>COUNTIF($M$3:M39, M39)</f>
        <v>13</v>
      </c>
      <c r="O39" s="16" t="e" cm="1">
        <f t="array" ref="O39">INDEX('[2]ALTA 20242025'!$B$2:$B$241, MATCH(1, ('[2]ALTA 20242025'!$I$2:$I$241=M39)*('[2]ALTA 20242025'!$J$2:$J$241=N39), 0))</f>
        <v>#N/A</v>
      </c>
      <c r="P39" s="16"/>
      <c r="Q39" s="16"/>
      <c r="R39" s="14" t="s">
        <v>2048</v>
      </c>
      <c r="S39" s="14" t="s">
        <v>2048</v>
      </c>
      <c r="T39" s="14" t="s">
        <v>2048</v>
      </c>
      <c r="U39" s="14" t="s">
        <v>2048</v>
      </c>
      <c r="V39" s="14" t="s">
        <v>72</v>
      </c>
      <c r="W39" s="14" t="s">
        <v>72</v>
      </c>
      <c r="X39" s="14" t="s">
        <v>72</v>
      </c>
      <c r="Y39" s="14" t="s">
        <v>2048</v>
      </c>
      <c r="Z39" s="14" t="s">
        <v>2048</v>
      </c>
      <c r="AA39" s="14" t="s">
        <v>2422</v>
      </c>
      <c r="AB39" s="14" t="s">
        <v>2049</v>
      </c>
      <c r="AC39" s="14" t="s">
        <v>2050</v>
      </c>
      <c r="AD39" s="14" t="s">
        <v>2048</v>
      </c>
      <c r="AE39" s="14" t="s">
        <v>2048</v>
      </c>
      <c r="AF39" s="14" t="s">
        <v>2048</v>
      </c>
      <c r="AG39" s="14" t="s">
        <v>2048</v>
      </c>
      <c r="AH39" s="14" t="s">
        <v>2048</v>
      </c>
      <c r="AI39" s="14" t="s">
        <v>77</v>
      </c>
      <c r="AJ39" s="14" t="s">
        <v>2054</v>
      </c>
      <c r="AK39" s="14" t="s">
        <v>2055</v>
      </c>
      <c r="AL39" s="14" t="s">
        <v>2055</v>
      </c>
      <c r="AM39" s="14" t="s">
        <v>2055</v>
      </c>
      <c r="AN39" s="14" t="s">
        <v>2068</v>
      </c>
      <c r="AO39" s="14" t="s">
        <v>2048</v>
      </c>
      <c r="AP39" s="14" t="s">
        <v>2048</v>
      </c>
      <c r="AQ39" s="14" t="s">
        <v>2048</v>
      </c>
      <c r="AR39" s="14" t="s">
        <v>3639</v>
      </c>
      <c r="AS39" s="14" t="s">
        <v>3726</v>
      </c>
      <c r="AT39" s="14" t="s">
        <v>2535</v>
      </c>
      <c r="AU39" s="14" t="s">
        <v>2059</v>
      </c>
      <c r="AV39" s="14" t="s">
        <v>2060</v>
      </c>
      <c r="AW39" s="14" t="s">
        <v>2048</v>
      </c>
      <c r="AX39" s="14" t="s">
        <v>2048</v>
      </c>
      <c r="AY39" s="14" t="s">
        <v>3641</v>
      </c>
      <c r="AZ39" s="14" t="s">
        <v>3642</v>
      </c>
      <c r="BA39" s="14" t="s">
        <v>2048</v>
      </c>
      <c r="BB39" s="14" t="s">
        <v>2048</v>
      </c>
      <c r="BC39" s="14" t="s">
        <v>3643</v>
      </c>
      <c r="BD39" s="14" t="s">
        <v>312</v>
      </c>
      <c r="BE39" s="14" t="s">
        <v>2048</v>
      </c>
      <c r="BF39" s="14" t="s">
        <v>2048</v>
      </c>
      <c r="BG39" s="14" t="s">
        <v>2048</v>
      </c>
      <c r="BH39" s="14" t="s">
        <v>2048</v>
      </c>
      <c r="BI39" s="14" t="s">
        <v>2048</v>
      </c>
      <c r="BJ39" s="14" t="s">
        <v>2048</v>
      </c>
      <c r="BK39" s="14" t="s">
        <v>2048</v>
      </c>
      <c r="BL39" s="14" t="s">
        <v>2048</v>
      </c>
      <c r="BM39" s="14" t="s">
        <v>2048</v>
      </c>
      <c r="BN39" s="14" t="s">
        <v>2048</v>
      </c>
      <c r="BO39" s="14" t="s">
        <v>2518</v>
      </c>
      <c r="BP39" s="14" t="s">
        <v>2064</v>
      </c>
      <c r="BQ39" s="14" t="s">
        <v>72</v>
      </c>
      <c r="BR39" s="14" t="s">
        <v>72</v>
      </c>
      <c r="BS39" s="14" t="s">
        <v>2048</v>
      </c>
      <c r="BT39" s="14" t="s">
        <v>2048</v>
      </c>
      <c r="BU39" s="14" t="s">
        <v>2048</v>
      </c>
      <c r="BV39" s="14" t="s">
        <v>2535</v>
      </c>
      <c r="BW39" s="14" t="s">
        <v>3672</v>
      </c>
      <c r="BX39" s="14" t="s">
        <v>2048</v>
      </c>
      <c r="BY39" s="14" t="s">
        <v>2048</v>
      </c>
      <c r="BZ39" s="14" t="s">
        <v>2048</v>
      </c>
      <c r="CA39" s="14" t="s">
        <v>2048</v>
      </c>
      <c r="CB39" s="14" t="s">
        <v>72</v>
      </c>
      <c r="CC39" s="14" t="s">
        <v>2048</v>
      </c>
      <c r="CD39" s="14" t="s">
        <v>2048</v>
      </c>
      <c r="CE39" s="14" t="s">
        <v>2048</v>
      </c>
      <c r="CF39" s="14" t="s">
        <v>2048</v>
      </c>
      <c r="CG39" s="14" t="s">
        <v>2048</v>
      </c>
      <c r="CH39" s="14" t="s">
        <v>2048</v>
      </c>
      <c r="CI39" s="14" t="s">
        <v>2048</v>
      </c>
      <c r="CJ39" s="14" t="s">
        <v>2048</v>
      </c>
      <c r="CK39" s="14" t="s">
        <v>2208</v>
      </c>
      <c r="CL39" s="14" t="s">
        <v>3681</v>
      </c>
      <c r="CM39" s="14" t="s">
        <v>2048</v>
      </c>
      <c r="CN39" s="17"/>
      <c r="CO39" s="17">
        <v>43304</v>
      </c>
      <c r="CP39" s="17">
        <v>43304</v>
      </c>
      <c r="CR39" s="17">
        <v>45245</v>
      </c>
      <c r="CS39" s="19">
        <v>0</v>
      </c>
      <c r="CT39" s="19">
        <v>0</v>
      </c>
      <c r="CU39" s="19">
        <v>0</v>
      </c>
      <c r="CV39" s="19">
        <v>0</v>
      </c>
      <c r="CW39" s="19">
        <v>0</v>
      </c>
      <c r="CX39" s="19">
        <v>0</v>
      </c>
      <c r="CY39" s="19">
        <v>0</v>
      </c>
      <c r="CZ39" s="17"/>
      <c r="DA39" s="19">
        <v>0</v>
      </c>
      <c r="DB39" s="17"/>
      <c r="DC39" s="17"/>
      <c r="DD39" s="19">
        <v>0</v>
      </c>
      <c r="DE39" s="17"/>
      <c r="DF39" s="17"/>
      <c r="DG39" s="19">
        <v>100</v>
      </c>
      <c r="DH39" s="17"/>
      <c r="DI39" s="17">
        <v>2958465</v>
      </c>
      <c r="DJ39" s="17"/>
      <c r="DK39" s="17"/>
      <c r="DL39" s="19">
        <v>0</v>
      </c>
      <c r="DM39" s="19">
        <v>0</v>
      </c>
    </row>
    <row r="40" spans="1:117" x14ac:dyDescent="0.2">
      <c r="A40" s="14" t="s">
        <v>3610</v>
      </c>
      <c r="B40" s="14" t="s">
        <v>1184</v>
      </c>
      <c r="C40" s="14" t="s">
        <v>158</v>
      </c>
      <c r="D40" s="14" t="s">
        <v>159</v>
      </c>
      <c r="E40" s="14" t="s">
        <v>158</v>
      </c>
      <c r="F40" s="14" t="s">
        <v>171</v>
      </c>
      <c r="G40" s="17">
        <v>45245</v>
      </c>
      <c r="H40" s="14" t="s">
        <v>172</v>
      </c>
      <c r="I40" s="14" t="s">
        <v>78</v>
      </c>
      <c r="J40" s="14" t="s">
        <v>1185</v>
      </c>
      <c r="K40" s="14" t="s">
        <v>1186</v>
      </c>
      <c r="L40" s="14" t="s">
        <v>1139</v>
      </c>
      <c r="M40" s="14" t="s">
        <v>1140</v>
      </c>
      <c r="N40" s="16">
        <f>COUNTIF($M$3:M40, M40)</f>
        <v>14</v>
      </c>
      <c r="O40" s="16" t="e" cm="1">
        <f t="array" ref="O40">INDEX('[2]ALTA 20242025'!$B$2:$B$241, MATCH(1, ('[2]ALTA 20242025'!$I$2:$I$241=M40)*('[2]ALTA 20242025'!$J$2:$J$241=N40), 0))</f>
        <v>#N/A</v>
      </c>
      <c r="P40" s="16"/>
      <c r="Q40" s="16"/>
      <c r="R40" s="14" t="s">
        <v>2048</v>
      </c>
      <c r="S40" s="14" t="s">
        <v>2048</v>
      </c>
      <c r="T40" s="14" t="s">
        <v>2048</v>
      </c>
      <c r="U40" s="14" t="s">
        <v>2048</v>
      </c>
      <c r="V40" s="14" t="s">
        <v>72</v>
      </c>
      <c r="W40" s="14" t="s">
        <v>72</v>
      </c>
      <c r="X40" s="14" t="s">
        <v>72</v>
      </c>
      <c r="Y40" s="14" t="s">
        <v>2048</v>
      </c>
      <c r="Z40" s="14" t="s">
        <v>2048</v>
      </c>
      <c r="AA40" s="14" t="s">
        <v>2422</v>
      </c>
      <c r="AB40" s="14" t="s">
        <v>2049</v>
      </c>
      <c r="AC40" s="14" t="s">
        <v>2050</v>
      </c>
      <c r="AD40" s="14" t="s">
        <v>2048</v>
      </c>
      <c r="AE40" s="14" t="s">
        <v>2048</v>
      </c>
      <c r="AF40" s="14" t="s">
        <v>2048</v>
      </c>
      <c r="AG40" s="14" t="s">
        <v>2048</v>
      </c>
      <c r="AH40" s="14" t="s">
        <v>2048</v>
      </c>
      <c r="AI40" s="14" t="s">
        <v>77</v>
      </c>
      <c r="AJ40" s="14" t="s">
        <v>2054</v>
      </c>
      <c r="AK40" s="14" t="s">
        <v>2055</v>
      </c>
      <c r="AL40" s="14" t="s">
        <v>2055</v>
      </c>
      <c r="AM40" s="14" t="s">
        <v>2055</v>
      </c>
      <c r="AN40" s="14" t="s">
        <v>2068</v>
      </c>
      <c r="AO40" s="14" t="s">
        <v>2048</v>
      </c>
      <c r="AP40" s="14" t="s">
        <v>2048</v>
      </c>
      <c r="AQ40" s="14" t="s">
        <v>2048</v>
      </c>
      <c r="AR40" s="14" t="s">
        <v>3639</v>
      </c>
      <c r="AS40" s="14" t="s">
        <v>3779</v>
      </c>
      <c r="AT40" s="14" t="s">
        <v>2418</v>
      </c>
      <c r="AU40" s="14" t="s">
        <v>2059</v>
      </c>
      <c r="AV40" s="14" t="s">
        <v>2060</v>
      </c>
      <c r="AW40" s="14" t="s">
        <v>2048</v>
      </c>
      <c r="AX40" s="14" t="s">
        <v>2048</v>
      </c>
      <c r="AY40" s="14" t="s">
        <v>3641</v>
      </c>
      <c r="AZ40" s="14" t="s">
        <v>3642</v>
      </c>
      <c r="BA40" s="14" t="s">
        <v>2048</v>
      </c>
      <c r="BB40" s="14" t="s">
        <v>2048</v>
      </c>
      <c r="BC40" s="14" t="s">
        <v>3643</v>
      </c>
      <c r="BD40" s="14" t="s">
        <v>312</v>
      </c>
      <c r="BE40" s="14" t="s">
        <v>2048</v>
      </c>
      <c r="BF40" s="14" t="s">
        <v>2048</v>
      </c>
      <c r="BG40" s="14" t="s">
        <v>2048</v>
      </c>
      <c r="BH40" s="14" t="s">
        <v>2048</v>
      </c>
      <c r="BI40" s="14" t="s">
        <v>2048</v>
      </c>
      <c r="BJ40" s="14" t="s">
        <v>2048</v>
      </c>
      <c r="BK40" s="14" t="s">
        <v>2048</v>
      </c>
      <c r="BL40" s="14" t="s">
        <v>2048</v>
      </c>
      <c r="BM40" s="14" t="s">
        <v>2048</v>
      </c>
      <c r="BN40" s="14" t="s">
        <v>2048</v>
      </c>
      <c r="BO40" s="14" t="s">
        <v>2518</v>
      </c>
      <c r="BP40" s="14" t="s">
        <v>2064</v>
      </c>
      <c r="BQ40" s="14" t="s">
        <v>72</v>
      </c>
      <c r="BR40" s="14" t="s">
        <v>72</v>
      </c>
      <c r="BS40" s="14" t="s">
        <v>2048</v>
      </c>
      <c r="BT40" s="14" t="s">
        <v>2048</v>
      </c>
      <c r="BU40" s="14" t="s">
        <v>2048</v>
      </c>
      <c r="BV40" s="14" t="s">
        <v>2535</v>
      </c>
      <c r="BW40" s="14" t="s">
        <v>3672</v>
      </c>
      <c r="BX40" s="14" t="s">
        <v>2048</v>
      </c>
      <c r="BY40" s="14" t="s">
        <v>2048</v>
      </c>
      <c r="BZ40" s="14" t="s">
        <v>2048</v>
      </c>
      <c r="CA40" s="14" t="s">
        <v>2048</v>
      </c>
      <c r="CB40" s="14" t="s">
        <v>72</v>
      </c>
      <c r="CC40" s="14" t="s">
        <v>2048</v>
      </c>
      <c r="CD40" s="14" t="s">
        <v>2048</v>
      </c>
      <c r="CE40" s="14" t="s">
        <v>2048</v>
      </c>
      <c r="CF40" s="14" t="s">
        <v>2048</v>
      </c>
      <c r="CG40" s="14" t="s">
        <v>2048</v>
      </c>
      <c r="CH40" s="14" t="s">
        <v>2048</v>
      </c>
      <c r="CI40" s="14" t="s">
        <v>2048</v>
      </c>
      <c r="CJ40" s="14" t="s">
        <v>2048</v>
      </c>
      <c r="CK40" s="14" t="s">
        <v>2208</v>
      </c>
      <c r="CL40" s="14" t="s">
        <v>3681</v>
      </c>
      <c r="CM40" s="14" t="s">
        <v>2048</v>
      </c>
      <c r="CN40" s="17"/>
      <c r="CO40" s="17">
        <v>38134</v>
      </c>
      <c r="CP40" s="17">
        <v>38134</v>
      </c>
      <c r="CR40" s="17">
        <v>45245</v>
      </c>
      <c r="CS40" s="19">
        <v>0</v>
      </c>
      <c r="CT40" s="19">
        <v>0</v>
      </c>
      <c r="CU40" s="19">
        <v>0</v>
      </c>
      <c r="CV40" s="19">
        <v>0</v>
      </c>
      <c r="CW40" s="19">
        <v>0</v>
      </c>
      <c r="CX40" s="19">
        <v>0</v>
      </c>
      <c r="CY40" s="19">
        <v>0</v>
      </c>
      <c r="CZ40" s="17"/>
      <c r="DA40" s="19">
        <v>0</v>
      </c>
      <c r="DB40" s="17"/>
      <c r="DC40" s="17"/>
      <c r="DD40" s="19">
        <v>0</v>
      </c>
      <c r="DE40" s="17"/>
      <c r="DF40" s="17"/>
      <c r="DG40" s="19">
        <v>100</v>
      </c>
      <c r="DH40" s="17"/>
      <c r="DI40" s="17">
        <v>2958465</v>
      </c>
      <c r="DJ40" s="17"/>
      <c r="DK40" s="17"/>
      <c r="DL40" s="19">
        <v>0</v>
      </c>
      <c r="DM40" s="19">
        <v>0</v>
      </c>
    </row>
    <row r="41" spans="1:117" x14ac:dyDescent="0.2">
      <c r="A41" s="14" t="s">
        <v>3610</v>
      </c>
      <c r="B41" s="14" t="s">
        <v>1188</v>
      </c>
      <c r="C41" s="14" t="s">
        <v>158</v>
      </c>
      <c r="D41" s="14" t="s">
        <v>159</v>
      </c>
      <c r="E41" s="14" t="s">
        <v>158</v>
      </c>
      <c r="F41" s="14" t="s">
        <v>171</v>
      </c>
      <c r="G41" s="17">
        <v>45245</v>
      </c>
      <c r="H41" s="14" t="s">
        <v>172</v>
      </c>
      <c r="I41" s="14" t="s">
        <v>78</v>
      </c>
      <c r="J41" s="14" t="s">
        <v>1189</v>
      </c>
      <c r="K41" s="14" t="s">
        <v>1190</v>
      </c>
      <c r="L41" s="14" t="s">
        <v>1139</v>
      </c>
      <c r="M41" s="14" t="s">
        <v>1140</v>
      </c>
      <c r="N41" s="16">
        <f>COUNTIF($M$3:M41, M41)</f>
        <v>15</v>
      </c>
      <c r="O41" s="16" t="e" cm="1">
        <f t="array" ref="O41">INDEX('[2]ALTA 20242025'!$B$2:$B$241, MATCH(1, ('[2]ALTA 20242025'!$I$2:$I$241=M41)*('[2]ALTA 20242025'!$J$2:$J$241=N41), 0))</f>
        <v>#N/A</v>
      </c>
      <c r="P41" s="16"/>
      <c r="Q41" s="16"/>
      <c r="R41" s="14" t="s">
        <v>2048</v>
      </c>
      <c r="S41" s="14" t="s">
        <v>2048</v>
      </c>
      <c r="T41" s="14" t="s">
        <v>2048</v>
      </c>
      <c r="U41" s="14" t="s">
        <v>2048</v>
      </c>
      <c r="V41" s="14" t="s">
        <v>72</v>
      </c>
      <c r="W41" s="14" t="s">
        <v>72</v>
      </c>
      <c r="X41" s="14" t="s">
        <v>72</v>
      </c>
      <c r="Y41" s="14" t="s">
        <v>2048</v>
      </c>
      <c r="Z41" s="14" t="s">
        <v>2048</v>
      </c>
      <c r="AA41" s="14" t="s">
        <v>2422</v>
      </c>
      <c r="AB41" s="14" t="s">
        <v>2049</v>
      </c>
      <c r="AC41" s="14" t="s">
        <v>2050</v>
      </c>
      <c r="AD41" s="14" t="s">
        <v>2048</v>
      </c>
      <c r="AE41" s="14" t="s">
        <v>2048</v>
      </c>
      <c r="AF41" s="14" t="s">
        <v>2048</v>
      </c>
      <c r="AG41" s="14" t="s">
        <v>2048</v>
      </c>
      <c r="AH41" s="14" t="s">
        <v>2048</v>
      </c>
      <c r="AI41" s="14" t="s">
        <v>77</v>
      </c>
      <c r="AJ41" s="14" t="s">
        <v>2054</v>
      </c>
      <c r="AK41" s="14" t="s">
        <v>2055</v>
      </c>
      <c r="AL41" s="14" t="s">
        <v>2055</v>
      </c>
      <c r="AM41" s="14" t="s">
        <v>2055</v>
      </c>
      <c r="AN41" s="14" t="s">
        <v>2068</v>
      </c>
      <c r="AO41" s="14" t="s">
        <v>2048</v>
      </c>
      <c r="AP41" s="14" t="s">
        <v>2048</v>
      </c>
      <c r="AQ41" s="14" t="s">
        <v>2048</v>
      </c>
      <c r="AR41" s="14" t="s">
        <v>3639</v>
      </c>
      <c r="AS41" s="14" t="s">
        <v>3623</v>
      </c>
      <c r="AT41" s="14" t="s">
        <v>3767</v>
      </c>
      <c r="AU41" s="14" t="s">
        <v>2059</v>
      </c>
      <c r="AV41" s="14" t="s">
        <v>2060</v>
      </c>
      <c r="AW41" s="14" t="s">
        <v>2048</v>
      </c>
      <c r="AX41" s="14" t="s">
        <v>2048</v>
      </c>
      <c r="AY41" s="14" t="s">
        <v>3641</v>
      </c>
      <c r="AZ41" s="14" t="s">
        <v>3642</v>
      </c>
      <c r="BA41" s="14" t="s">
        <v>2048</v>
      </c>
      <c r="BB41" s="14" t="s">
        <v>2048</v>
      </c>
      <c r="BC41" s="14" t="s">
        <v>3643</v>
      </c>
      <c r="BD41" s="14" t="s">
        <v>312</v>
      </c>
      <c r="BE41" s="14" t="s">
        <v>2048</v>
      </c>
      <c r="BF41" s="14" t="s">
        <v>2048</v>
      </c>
      <c r="BG41" s="14" t="s">
        <v>2048</v>
      </c>
      <c r="BH41" s="14" t="s">
        <v>2048</v>
      </c>
      <c r="BI41" s="14" t="s">
        <v>2048</v>
      </c>
      <c r="BJ41" s="14" t="s">
        <v>2048</v>
      </c>
      <c r="BK41" s="14" t="s">
        <v>2048</v>
      </c>
      <c r="BL41" s="14" t="s">
        <v>2048</v>
      </c>
      <c r="BM41" s="14" t="s">
        <v>2048</v>
      </c>
      <c r="BN41" s="14" t="s">
        <v>2048</v>
      </c>
      <c r="BO41" s="14" t="s">
        <v>2518</v>
      </c>
      <c r="BP41" s="14" t="s">
        <v>2064</v>
      </c>
      <c r="BQ41" s="14" t="s">
        <v>72</v>
      </c>
      <c r="BR41" s="14" t="s">
        <v>72</v>
      </c>
      <c r="BS41" s="14" t="s">
        <v>2048</v>
      </c>
      <c r="BT41" s="14" t="s">
        <v>2048</v>
      </c>
      <c r="BU41" s="14" t="s">
        <v>2048</v>
      </c>
      <c r="BV41" s="14" t="s">
        <v>2535</v>
      </c>
      <c r="BW41" s="14" t="s">
        <v>3672</v>
      </c>
      <c r="BX41" s="14" t="s">
        <v>2048</v>
      </c>
      <c r="BY41" s="14" t="s">
        <v>2048</v>
      </c>
      <c r="BZ41" s="14" t="s">
        <v>2048</v>
      </c>
      <c r="CA41" s="14" t="s">
        <v>2048</v>
      </c>
      <c r="CB41" s="14" t="s">
        <v>72</v>
      </c>
      <c r="CC41" s="14" t="s">
        <v>2048</v>
      </c>
      <c r="CD41" s="14" t="s">
        <v>2048</v>
      </c>
      <c r="CE41" s="14" t="s">
        <v>2048</v>
      </c>
      <c r="CF41" s="14" t="s">
        <v>2048</v>
      </c>
      <c r="CG41" s="14" t="s">
        <v>2048</v>
      </c>
      <c r="CH41" s="14" t="s">
        <v>2048</v>
      </c>
      <c r="CI41" s="14" t="s">
        <v>2048</v>
      </c>
      <c r="CJ41" s="14" t="s">
        <v>2048</v>
      </c>
      <c r="CK41" s="14" t="s">
        <v>2208</v>
      </c>
      <c r="CL41" s="14" t="s">
        <v>3681</v>
      </c>
      <c r="CM41" s="14" t="s">
        <v>2048</v>
      </c>
      <c r="CN41" s="17"/>
      <c r="CO41" s="17">
        <v>38450</v>
      </c>
      <c r="CP41" s="17">
        <v>44064</v>
      </c>
      <c r="CR41" s="17">
        <v>45245</v>
      </c>
      <c r="CS41" s="19">
        <v>0</v>
      </c>
      <c r="CT41" s="19">
        <v>0</v>
      </c>
      <c r="CU41" s="19">
        <v>0</v>
      </c>
      <c r="CV41" s="19">
        <v>0</v>
      </c>
      <c r="CW41" s="19">
        <v>0</v>
      </c>
      <c r="CX41" s="19">
        <v>0</v>
      </c>
      <c r="CY41" s="19">
        <v>0</v>
      </c>
      <c r="CZ41" s="17"/>
      <c r="DA41" s="19">
        <v>0</v>
      </c>
      <c r="DB41" s="17"/>
      <c r="DC41" s="17"/>
      <c r="DD41" s="19">
        <v>0</v>
      </c>
      <c r="DE41" s="17"/>
      <c r="DF41" s="17"/>
      <c r="DG41" s="19">
        <v>100</v>
      </c>
      <c r="DH41" s="17"/>
      <c r="DI41" s="17">
        <v>2958465</v>
      </c>
      <c r="DJ41" s="17"/>
      <c r="DK41" s="17"/>
      <c r="DL41" s="19">
        <v>0</v>
      </c>
      <c r="DM41" s="19">
        <v>0</v>
      </c>
    </row>
    <row r="42" spans="1:117" x14ac:dyDescent="0.2">
      <c r="A42" s="14" t="s">
        <v>3610</v>
      </c>
      <c r="B42" s="14" t="s">
        <v>1192</v>
      </c>
      <c r="C42" s="14" t="s">
        <v>158</v>
      </c>
      <c r="D42" s="14" t="s">
        <v>159</v>
      </c>
      <c r="E42" s="14" t="s">
        <v>158</v>
      </c>
      <c r="F42" s="14" t="s">
        <v>171</v>
      </c>
      <c r="G42" s="17">
        <v>45245</v>
      </c>
      <c r="H42" s="14" t="s">
        <v>172</v>
      </c>
      <c r="I42" s="14" t="s">
        <v>78</v>
      </c>
      <c r="J42" s="14" t="s">
        <v>1193</v>
      </c>
      <c r="K42" s="14" t="s">
        <v>1194</v>
      </c>
      <c r="L42" s="14" t="s">
        <v>1139</v>
      </c>
      <c r="M42" s="14" t="s">
        <v>1140</v>
      </c>
      <c r="N42" s="16">
        <f>COUNTIF($M$3:M42, M42)</f>
        <v>16</v>
      </c>
      <c r="O42" s="16" t="e" cm="1">
        <f t="array" ref="O42">INDEX('[2]ALTA 20242025'!$B$2:$B$241, MATCH(1, ('[2]ALTA 20242025'!$I$2:$I$241=M42)*('[2]ALTA 20242025'!$J$2:$J$241=N42), 0))</f>
        <v>#N/A</v>
      </c>
      <c r="P42" s="16"/>
      <c r="Q42" s="16"/>
      <c r="R42" s="14" t="s">
        <v>2048</v>
      </c>
      <c r="S42" s="14" t="s">
        <v>2048</v>
      </c>
      <c r="T42" s="14" t="s">
        <v>2048</v>
      </c>
      <c r="U42" s="14" t="s">
        <v>2048</v>
      </c>
      <c r="V42" s="14" t="s">
        <v>72</v>
      </c>
      <c r="W42" s="14" t="s">
        <v>72</v>
      </c>
      <c r="X42" s="14" t="s">
        <v>72</v>
      </c>
      <c r="Y42" s="14" t="s">
        <v>2048</v>
      </c>
      <c r="Z42" s="14" t="s">
        <v>2048</v>
      </c>
      <c r="AA42" s="14" t="s">
        <v>2422</v>
      </c>
      <c r="AB42" s="14" t="s">
        <v>2049</v>
      </c>
      <c r="AC42" s="14" t="s">
        <v>2050</v>
      </c>
      <c r="AD42" s="14" t="s">
        <v>2048</v>
      </c>
      <c r="AE42" s="14" t="s">
        <v>2048</v>
      </c>
      <c r="AF42" s="14" t="s">
        <v>2048</v>
      </c>
      <c r="AG42" s="14" t="s">
        <v>2048</v>
      </c>
      <c r="AH42" s="14" t="s">
        <v>2048</v>
      </c>
      <c r="AI42" s="14" t="s">
        <v>77</v>
      </c>
      <c r="AJ42" s="14" t="s">
        <v>2054</v>
      </c>
      <c r="AK42" s="14" t="s">
        <v>2055</v>
      </c>
      <c r="AL42" s="14" t="s">
        <v>2055</v>
      </c>
      <c r="AM42" s="14" t="s">
        <v>2055</v>
      </c>
      <c r="AN42" s="14" t="s">
        <v>2068</v>
      </c>
      <c r="AO42" s="14" t="s">
        <v>2048</v>
      </c>
      <c r="AP42" s="14" t="s">
        <v>2048</v>
      </c>
      <c r="AQ42" s="14" t="s">
        <v>2048</v>
      </c>
      <c r="AR42" s="14" t="s">
        <v>3639</v>
      </c>
      <c r="AS42" s="14" t="s">
        <v>3776</v>
      </c>
      <c r="AT42" s="14" t="s">
        <v>2535</v>
      </c>
      <c r="AU42" s="14" t="s">
        <v>2059</v>
      </c>
      <c r="AV42" s="14" t="s">
        <v>2060</v>
      </c>
      <c r="AW42" s="14" t="s">
        <v>2048</v>
      </c>
      <c r="AX42" s="14" t="s">
        <v>2048</v>
      </c>
      <c r="AY42" s="14" t="s">
        <v>3641</v>
      </c>
      <c r="AZ42" s="14" t="s">
        <v>3642</v>
      </c>
      <c r="BA42" s="14" t="s">
        <v>2048</v>
      </c>
      <c r="BB42" s="14" t="s">
        <v>2048</v>
      </c>
      <c r="BC42" s="14" t="s">
        <v>3643</v>
      </c>
      <c r="BD42" s="14" t="s">
        <v>312</v>
      </c>
      <c r="BE42" s="14" t="s">
        <v>2048</v>
      </c>
      <c r="BF42" s="14" t="s">
        <v>2048</v>
      </c>
      <c r="BG42" s="14" t="s">
        <v>2048</v>
      </c>
      <c r="BH42" s="14" t="s">
        <v>2048</v>
      </c>
      <c r="BI42" s="14" t="s">
        <v>2048</v>
      </c>
      <c r="BJ42" s="14" t="s">
        <v>2048</v>
      </c>
      <c r="BK42" s="14" t="s">
        <v>2048</v>
      </c>
      <c r="BL42" s="14" t="s">
        <v>2048</v>
      </c>
      <c r="BM42" s="14" t="s">
        <v>2048</v>
      </c>
      <c r="BN42" s="14" t="s">
        <v>2048</v>
      </c>
      <c r="BO42" s="14" t="s">
        <v>2518</v>
      </c>
      <c r="BP42" s="14" t="s">
        <v>2064</v>
      </c>
      <c r="BQ42" s="14" t="s">
        <v>72</v>
      </c>
      <c r="BR42" s="14" t="s">
        <v>72</v>
      </c>
      <c r="BS42" s="14" t="s">
        <v>2048</v>
      </c>
      <c r="BT42" s="14" t="s">
        <v>2048</v>
      </c>
      <c r="BU42" s="14" t="s">
        <v>2048</v>
      </c>
      <c r="BV42" s="14" t="s">
        <v>2535</v>
      </c>
      <c r="BW42" s="14" t="s">
        <v>3672</v>
      </c>
      <c r="BX42" s="14" t="s">
        <v>2048</v>
      </c>
      <c r="BY42" s="14" t="s">
        <v>2048</v>
      </c>
      <c r="BZ42" s="14" t="s">
        <v>2048</v>
      </c>
      <c r="CA42" s="14" t="s">
        <v>2048</v>
      </c>
      <c r="CB42" s="14" t="s">
        <v>72</v>
      </c>
      <c r="CC42" s="14" t="s">
        <v>2048</v>
      </c>
      <c r="CD42" s="14" t="s">
        <v>2048</v>
      </c>
      <c r="CE42" s="14" t="s">
        <v>2048</v>
      </c>
      <c r="CF42" s="14" t="s">
        <v>2048</v>
      </c>
      <c r="CG42" s="14" t="s">
        <v>2048</v>
      </c>
      <c r="CH42" s="14" t="s">
        <v>2048</v>
      </c>
      <c r="CI42" s="14" t="s">
        <v>2048</v>
      </c>
      <c r="CJ42" s="14" t="s">
        <v>2048</v>
      </c>
      <c r="CK42" s="14" t="s">
        <v>2208</v>
      </c>
      <c r="CL42" s="14" t="s">
        <v>3681</v>
      </c>
      <c r="CM42" s="14" t="s">
        <v>2048</v>
      </c>
      <c r="CN42" s="17"/>
      <c r="CO42" s="17">
        <v>41758</v>
      </c>
      <c r="CP42" s="17">
        <v>44393</v>
      </c>
      <c r="CR42" s="17">
        <v>45245</v>
      </c>
      <c r="CS42" s="19">
        <v>0</v>
      </c>
      <c r="CT42" s="19">
        <v>0</v>
      </c>
      <c r="CU42" s="19">
        <v>0</v>
      </c>
      <c r="CV42" s="19">
        <v>0</v>
      </c>
      <c r="CW42" s="19">
        <v>0</v>
      </c>
      <c r="CX42" s="19">
        <v>0</v>
      </c>
      <c r="CY42" s="19">
        <v>0</v>
      </c>
      <c r="CZ42" s="17"/>
      <c r="DA42" s="19">
        <v>0</v>
      </c>
      <c r="DB42" s="17"/>
      <c r="DC42" s="17"/>
      <c r="DD42" s="19">
        <v>0</v>
      </c>
      <c r="DE42" s="17"/>
      <c r="DF42" s="17"/>
      <c r="DG42" s="19">
        <v>100</v>
      </c>
      <c r="DH42" s="17"/>
      <c r="DI42" s="17">
        <v>2958465</v>
      </c>
      <c r="DJ42" s="17"/>
      <c r="DK42" s="17"/>
      <c r="DL42" s="19">
        <v>0</v>
      </c>
      <c r="DM42" s="19">
        <v>0</v>
      </c>
    </row>
    <row r="43" spans="1:117" x14ac:dyDescent="0.2">
      <c r="A43" s="14" t="s">
        <v>3610</v>
      </c>
      <c r="B43" s="14" t="s">
        <v>1196</v>
      </c>
      <c r="C43" s="14" t="s">
        <v>158</v>
      </c>
      <c r="D43" s="14" t="s">
        <v>159</v>
      </c>
      <c r="E43" s="14" t="s">
        <v>158</v>
      </c>
      <c r="F43" s="14" t="s">
        <v>171</v>
      </c>
      <c r="G43" s="17">
        <v>45245</v>
      </c>
      <c r="H43" s="14" t="s">
        <v>172</v>
      </c>
      <c r="I43" s="14" t="s">
        <v>78</v>
      </c>
      <c r="J43" s="14" t="s">
        <v>1193</v>
      </c>
      <c r="K43" s="14" t="s">
        <v>1197</v>
      </c>
      <c r="L43" s="14" t="s">
        <v>1139</v>
      </c>
      <c r="M43" s="14" t="s">
        <v>1140</v>
      </c>
      <c r="N43" s="16">
        <f>COUNTIF($M$3:M43, M43)</f>
        <v>17</v>
      </c>
      <c r="O43" s="16" t="e" cm="1">
        <f t="array" ref="O43">INDEX('[2]ALTA 20242025'!$B$2:$B$241, MATCH(1, ('[2]ALTA 20242025'!$I$2:$I$241=M43)*('[2]ALTA 20242025'!$J$2:$J$241=N43), 0))</f>
        <v>#N/A</v>
      </c>
      <c r="P43" s="16"/>
      <c r="Q43" s="16"/>
      <c r="R43" s="14" t="s">
        <v>2048</v>
      </c>
      <c r="S43" s="14" t="s">
        <v>2048</v>
      </c>
      <c r="T43" s="14" t="s">
        <v>2048</v>
      </c>
      <c r="U43" s="14" t="s">
        <v>2048</v>
      </c>
      <c r="V43" s="14" t="s">
        <v>72</v>
      </c>
      <c r="W43" s="14" t="s">
        <v>72</v>
      </c>
      <c r="X43" s="14" t="s">
        <v>72</v>
      </c>
      <c r="Y43" s="14" t="s">
        <v>2048</v>
      </c>
      <c r="Z43" s="14" t="s">
        <v>2048</v>
      </c>
      <c r="AA43" s="14" t="s">
        <v>2422</v>
      </c>
      <c r="AB43" s="14" t="s">
        <v>2049</v>
      </c>
      <c r="AC43" s="14" t="s">
        <v>2050</v>
      </c>
      <c r="AD43" s="14" t="s">
        <v>2048</v>
      </c>
      <c r="AE43" s="14" t="s">
        <v>2048</v>
      </c>
      <c r="AF43" s="14" t="s">
        <v>2048</v>
      </c>
      <c r="AG43" s="14" t="s">
        <v>2048</v>
      </c>
      <c r="AH43" s="14" t="s">
        <v>2048</v>
      </c>
      <c r="AI43" s="14" t="s">
        <v>77</v>
      </c>
      <c r="AJ43" s="14" t="s">
        <v>2054</v>
      </c>
      <c r="AK43" s="14" t="s">
        <v>2055</v>
      </c>
      <c r="AL43" s="14" t="s">
        <v>2055</v>
      </c>
      <c r="AM43" s="14" t="s">
        <v>2055</v>
      </c>
      <c r="AN43" s="14" t="s">
        <v>2068</v>
      </c>
      <c r="AO43" s="14" t="s">
        <v>2048</v>
      </c>
      <c r="AP43" s="14" t="s">
        <v>2048</v>
      </c>
      <c r="AQ43" s="14" t="s">
        <v>2048</v>
      </c>
      <c r="AR43" s="14" t="s">
        <v>3639</v>
      </c>
      <c r="AS43" s="14" t="s">
        <v>3682</v>
      </c>
      <c r="AT43" s="14" t="s">
        <v>2422</v>
      </c>
      <c r="AU43" s="14" t="s">
        <v>2059</v>
      </c>
      <c r="AV43" s="14" t="s">
        <v>2060</v>
      </c>
      <c r="AW43" s="14" t="s">
        <v>2048</v>
      </c>
      <c r="AX43" s="14" t="s">
        <v>2048</v>
      </c>
      <c r="AY43" s="14" t="s">
        <v>3641</v>
      </c>
      <c r="AZ43" s="14" t="s">
        <v>3642</v>
      </c>
      <c r="BA43" s="14" t="s">
        <v>2048</v>
      </c>
      <c r="BB43" s="14" t="s">
        <v>2048</v>
      </c>
      <c r="BC43" s="14" t="s">
        <v>3643</v>
      </c>
      <c r="BD43" s="14" t="s">
        <v>312</v>
      </c>
      <c r="BE43" s="14" t="s">
        <v>2048</v>
      </c>
      <c r="BF43" s="14" t="s">
        <v>2048</v>
      </c>
      <c r="BG43" s="14" t="s">
        <v>2048</v>
      </c>
      <c r="BH43" s="14" t="s">
        <v>2048</v>
      </c>
      <c r="BI43" s="14" t="s">
        <v>2048</v>
      </c>
      <c r="BJ43" s="14" t="s">
        <v>2048</v>
      </c>
      <c r="BK43" s="14" t="s">
        <v>2048</v>
      </c>
      <c r="BL43" s="14" t="s">
        <v>2048</v>
      </c>
      <c r="BM43" s="14" t="s">
        <v>2048</v>
      </c>
      <c r="BN43" s="14" t="s">
        <v>2048</v>
      </c>
      <c r="BO43" s="14" t="s">
        <v>2518</v>
      </c>
      <c r="BP43" s="14" t="s">
        <v>2064</v>
      </c>
      <c r="BQ43" s="14" t="s">
        <v>72</v>
      </c>
      <c r="BR43" s="14" t="s">
        <v>72</v>
      </c>
      <c r="BS43" s="14" t="s">
        <v>2048</v>
      </c>
      <c r="BT43" s="14" t="s">
        <v>2048</v>
      </c>
      <c r="BU43" s="14" t="s">
        <v>2048</v>
      </c>
      <c r="BV43" s="14" t="s">
        <v>2535</v>
      </c>
      <c r="BW43" s="14" t="s">
        <v>3672</v>
      </c>
      <c r="BX43" s="14" t="s">
        <v>2048</v>
      </c>
      <c r="BY43" s="14" t="s">
        <v>2048</v>
      </c>
      <c r="BZ43" s="14" t="s">
        <v>2048</v>
      </c>
      <c r="CA43" s="14" t="s">
        <v>2048</v>
      </c>
      <c r="CB43" s="14" t="s">
        <v>72</v>
      </c>
      <c r="CC43" s="14" t="s">
        <v>2048</v>
      </c>
      <c r="CD43" s="14" t="s">
        <v>2048</v>
      </c>
      <c r="CE43" s="14" t="s">
        <v>2048</v>
      </c>
      <c r="CF43" s="14" t="s">
        <v>2048</v>
      </c>
      <c r="CG43" s="14" t="s">
        <v>2048</v>
      </c>
      <c r="CH43" s="14" t="s">
        <v>2048</v>
      </c>
      <c r="CI43" s="14" t="s">
        <v>2048</v>
      </c>
      <c r="CJ43" s="14" t="s">
        <v>2048</v>
      </c>
      <c r="CK43" s="14" t="s">
        <v>2208</v>
      </c>
      <c r="CL43" s="14" t="s">
        <v>3681</v>
      </c>
      <c r="CM43" s="14" t="s">
        <v>2048</v>
      </c>
      <c r="CN43" s="17"/>
      <c r="CO43" s="17">
        <v>38721</v>
      </c>
      <c r="CP43" s="17">
        <v>38721</v>
      </c>
      <c r="CR43" s="17">
        <v>45245</v>
      </c>
      <c r="CS43" s="19">
        <v>0</v>
      </c>
      <c r="CT43" s="19">
        <v>0</v>
      </c>
      <c r="CU43" s="19">
        <v>0</v>
      </c>
      <c r="CV43" s="19">
        <v>0</v>
      </c>
      <c r="CW43" s="19">
        <v>0</v>
      </c>
      <c r="CX43" s="19">
        <v>0</v>
      </c>
      <c r="CY43" s="19">
        <v>0</v>
      </c>
      <c r="CZ43" s="17"/>
      <c r="DA43" s="19">
        <v>0</v>
      </c>
      <c r="DB43" s="17"/>
      <c r="DC43" s="17"/>
      <c r="DD43" s="19">
        <v>0</v>
      </c>
      <c r="DE43" s="17"/>
      <c r="DF43" s="17"/>
      <c r="DG43" s="19">
        <v>100</v>
      </c>
      <c r="DH43" s="17"/>
      <c r="DI43" s="17">
        <v>2958465</v>
      </c>
      <c r="DJ43" s="17"/>
      <c r="DK43" s="17"/>
      <c r="DL43" s="19">
        <v>0</v>
      </c>
      <c r="DM43" s="19">
        <v>0</v>
      </c>
    </row>
    <row r="44" spans="1:117" x14ac:dyDescent="0.2">
      <c r="A44" s="14" t="s">
        <v>3610</v>
      </c>
      <c r="B44" s="14" t="s">
        <v>1199</v>
      </c>
      <c r="C44" s="14" t="s">
        <v>158</v>
      </c>
      <c r="D44" s="14" t="s">
        <v>159</v>
      </c>
      <c r="E44" s="14" t="s">
        <v>158</v>
      </c>
      <c r="F44" s="14" t="s">
        <v>171</v>
      </c>
      <c r="G44" s="17">
        <v>45245</v>
      </c>
      <c r="H44" s="14" t="s">
        <v>172</v>
      </c>
      <c r="I44" s="14" t="s">
        <v>78</v>
      </c>
      <c r="J44" s="14" t="s">
        <v>1189</v>
      </c>
      <c r="K44" s="14" t="s">
        <v>1200</v>
      </c>
      <c r="L44" s="14" t="s">
        <v>1139</v>
      </c>
      <c r="M44" s="14" t="s">
        <v>1140</v>
      </c>
      <c r="N44" s="16">
        <f>COUNTIF($M$3:M44, M44)</f>
        <v>18</v>
      </c>
      <c r="O44" s="16" t="e" cm="1">
        <f t="array" ref="O44">INDEX('[2]ALTA 20242025'!$B$2:$B$241, MATCH(1, ('[2]ALTA 20242025'!$I$2:$I$241=M44)*('[2]ALTA 20242025'!$J$2:$J$241=N44), 0))</f>
        <v>#N/A</v>
      </c>
      <c r="P44" s="16"/>
      <c r="Q44" s="16"/>
      <c r="R44" s="14" t="s">
        <v>2048</v>
      </c>
      <c r="S44" s="14" t="s">
        <v>2048</v>
      </c>
      <c r="T44" s="14" t="s">
        <v>2048</v>
      </c>
      <c r="U44" s="14" t="s">
        <v>2048</v>
      </c>
      <c r="V44" s="14" t="s">
        <v>72</v>
      </c>
      <c r="W44" s="14" t="s">
        <v>72</v>
      </c>
      <c r="X44" s="14" t="s">
        <v>72</v>
      </c>
      <c r="Y44" s="14" t="s">
        <v>2048</v>
      </c>
      <c r="Z44" s="14" t="s">
        <v>2048</v>
      </c>
      <c r="AA44" s="14" t="s">
        <v>2422</v>
      </c>
      <c r="AB44" s="14" t="s">
        <v>2049</v>
      </c>
      <c r="AC44" s="14" t="s">
        <v>2050</v>
      </c>
      <c r="AD44" s="14" t="s">
        <v>2048</v>
      </c>
      <c r="AE44" s="14" t="s">
        <v>2048</v>
      </c>
      <c r="AF44" s="14" t="s">
        <v>2048</v>
      </c>
      <c r="AG44" s="14" t="s">
        <v>2048</v>
      </c>
      <c r="AH44" s="14" t="s">
        <v>2048</v>
      </c>
      <c r="AI44" s="14" t="s">
        <v>77</v>
      </c>
      <c r="AJ44" s="14" t="s">
        <v>2054</v>
      </c>
      <c r="AK44" s="14" t="s">
        <v>2055</v>
      </c>
      <c r="AL44" s="14" t="s">
        <v>2055</v>
      </c>
      <c r="AM44" s="14" t="s">
        <v>2055</v>
      </c>
      <c r="AN44" s="14" t="s">
        <v>2068</v>
      </c>
      <c r="AO44" s="14" t="s">
        <v>2048</v>
      </c>
      <c r="AP44" s="14" t="s">
        <v>2048</v>
      </c>
      <c r="AQ44" s="14" t="s">
        <v>2048</v>
      </c>
      <c r="AR44" s="14" t="s">
        <v>3639</v>
      </c>
      <c r="AS44" s="14" t="s">
        <v>3809</v>
      </c>
      <c r="AT44" s="14" t="s">
        <v>3472</v>
      </c>
      <c r="AU44" s="14" t="s">
        <v>2059</v>
      </c>
      <c r="AV44" s="14" t="s">
        <v>2060</v>
      </c>
      <c r="AW44" s="14" t="s">
        <v>2048</v>
      </c>
      <c r="AX44" s="14" t="s">
        <v>2048</v>
      </c>
      <c r="AY44" s="14" t="s">
        <v>3641</v>
      </c>
      <c r="AZ44" s="14" t="s">
        <v>3642</v>
      </c>
      <c r="BA44" s="14" t="s">
        <v>2048</v>
      </c>
      <c r="BB44" s="14" t="s">
        <v>2048</v>
      </c>
      <c r="BC44" s="14" t="s">
        <v>3643</v>
      </c>
      <c r="BD44" s="14" t="s">
        <v>312</v>
      </c>
      <c r="BE44" s="14" t="s">
        <v>2048</v>
      </c>
      <c r="BF44" s="14" t="s">
        <v>2048</v>
      </c>
      <c r="BG44" s="14" t="s">
        <v>2048</v>
      </c>
      <c r="BH44" s="14" t="s">
        <v>2048</v>
      </c>
      <c r="BI44" s="14" t="s">
        <v>2048</v>
      </c>
      <c r="BJ44" s="14" t="s">
        <v>2048</v>
      </c>
      <c r="BK44" s="14" t="s">
        <v>2048</v>
      </c>
      <c r="BL44" s="14" t="s">
        <v>2048</v>
      </c>
      <c r="BM44" s="14" t="s">
        <v>2048</v>
      </c>
      <c r="BN44" s="14" t="s">
        <v>2048</v>
      </c>
      <c r="BO44" s="14" t="s">
        <v>2518</v>
      </c>
      <c r="BP44" s="14" t="s">
        <v>2064</v>
      </c>
      <c r="BQ44" s="14" t="s">
        <v>72</v>
      </c>
      <c r="BR44" s="14" t="s">
        <v>72</v>
      </c>
      <c r="BS44" s="14" t="s">
        <v>2048</v>
      </c>
      <c r="BT44" s="14" t="s">
        <v>2048</v>
      </c>
      <c r="BU44" s="14" t="s">
        <v>2048</v>
      </c>
      <c r="BV44" s="14" t="s">
        <v>2535</v>
      </c>
      <c r="BW44" s="14" t="s">
        <v>3672</v>
      </c>
      <c r="BX44" s="14" t="s">
        <v>2048</v>
      </c>
      <c r="BY44" s="14" t="s">
        <v>2048</v>
      </c>
      <c r="BZ44" s="14" t="s">
        <v>2048</v>
      </c>
      <c r="CA44" s="14" t="s">
        <v>2048</v>
      </c>
      <c r="CB44" s="14" t="s">
        <v>72</v>
      </c>
      <c r="CC44" s="14" t="s">
        <v>2048</v>
      </c>
      <c r="CD44" s="14" t="s">
        <v>2048</v>
      </c>
      <c r="CE44" s="14" t="s">
        <v>2048</v>
      </c>
      <c r="CF44" s="14" t="s">
        <v>2048</v>
      </c>
      <c r="CG44" s="14" t="s">
        <v>2048</v>
      </c>
      <c r="CH44" s="14" t="s">
        <v>2048</v>
      </c>
      <c r="CI44" s="14" t="s">
        <v>2048</v>
      </c>
      <c r="CJ44" s="14" t="s">
        <v>2048</v>
      </c>
      <c r="CK44" s="14" t="s">
        <v>2208</v>
      </c>
      <c r="CL44" s="14" t="s">
        <v>3681</v>
      </c>
      <c r="CM44" s="14" t="s">
        <v>2048</v>
      </c>
      <c r="CN44" s="17"/>
      <c r="CO44" s="17">
        <v>36830</v>
      </c>
      <c r="CP44" s="17">
        <v>36830</v>
      </c>
      <c r="CR44" s="17">
        <v>45245</v>
      </c>
      <c r="CS44" s="19">
        <v>0</v>
      </c>
      <c r="CT44" s="19">
        <v>0</v>
      </c>
      <c r="CU44" s="19">
        <v>0</v>
      </c>
      <c r="CV44" s="19">
        <v>0</v>
      </c>
      <c r="CW44" s="19">
        <v>0</v>
      </c>
      <c r="CX44" s="19">
        <v>0</v>
      </c>
      <c r="CY44" s="19">
        <v>0</v>
      </c>
      <c r="CZ44" s="17"/>
      <c r="DA44" s="19">
        <v>0</v>
      </c>
      <c r="DB44" s="17"/>
      <c r="DC44" s="17"/>
      <c r="DD44" s="19">
        <v>0</v>
      </c>
      <c r="DE44" s="17"/>
      <c r="DF44" s="17"/>
      <c r="DG44" s="19">
        <v>100</v>
      </c>
      <c r="DH44" s="17"/>
      <c r="DI44" s="17">
        <v>2958465</v>
      </c>
      <c r="DJ44" s="17"/>
      <c r="DK44" s="17"/>
      <c r="DL44" s="19">
        <v>0</v>
      </c>
      <c r="DM44" s="19">
        <v>0</v>
      </c>
    </row>
    <row r="45" spans="1:117" x14ac:dyDescent="0.2">
      <c r="A45" s="14" t="s">
        <v>3610</v>
      </c>
      <c r="B45" s="14" t="s">
        <v>1202</v>
      </c>
      <c r="C45" s="14" t="s">
        <v>158</v>
      </c>
      <c r="D45" s="14" t="s">
        <v>159</v>
      </c>
      <c r="E45" s="14" t="s">
        <v>158</v>
      </c>
      <c r="F45" s="14" t="s">
        <v>171</v>
      </c>
      <c r="G45" s="17">
        <v>45245</v>
      </c>
      <c r="H45" s="14" t="s">
        <v>172</v>
      </c>
      <c r="I45" s="14" t="s">
        <v>78</v>
      </c>
      <c r="J45" s="14" t="s">
        <v>1203</v>
      </c>
      <c r="K45" s="14" t="s">
        <v>1204</v>
      </c>
      <c r="L45" s="14" t="s">
        <v>1139</v>
      </c>
      <c r="M45" s="14" t="s">
        <v>1140</v>
      </c>
      <c r="N45" s="16">
        <f>COUNTIF($M$3:M45, M45)</f>
        <v>19</v>
      </c>
      <c r="O45" s="16" t="e" cm="1">
        <f t="array" ref="O45">INDEX('[2]ALTA 20242025'!$B$2:$B$241, MATCH(1, ('[2]ALTA 20242025'!$I$2:$I$241=M45)*('[2]ALTA 20242025'!$J$2:$J$241=N45), 0))</f>
        <v>#N/A</v>
      </c>
      <c r="P45" s="16"/>
      <c r="Q45" s="16"/>
      <c r="R45" s="14" t="s">
        <v>2048</v>
      </c>
      <c r="S45" s="14" t="s">
        <v>2048</v>
      </c>
      <c r="T45" s="14" t="s">
        <v>2048</v>
      </c>
      <c r="U45" s="14" t="s">
        <v>2048</v>
      </c>
      <c r="V45" s="14" t="s">
        <v>72</v>
      </c>
      <c r="W45" s="14" t="s">
        <v>72</v>
      </c>
      <c r="X45" s="14" t="s">
        <v>72</v>
      </c>
      <c r="Y45" s="14" t="s">
        <v>2048</v>
      </c>
      <c r="Z45" s="14" t="s">
        <v>2048</v>
      </c>
      <c r="AA45" s="14" t="s">
        <v>2422</v>
      </c>
      <c r="AB45" s="14" t="s">
        <v>2049</v>
      </c>
      <c r="AC45" s="14" t="s">
        <v>2050</v>
      </c>
      <c r="AD45" s="14" t="s">
        <v>2048</v>
      </c>
      <c r="AE45" s="14" t="s">
        <v>2048</v>
      </c>
      <c r="AF45" s="14" t="s">
        <v>2048</v>
      </c>
      <c r="AG45" s="14" t="s">
        <v>2048</v>
      </c>
      <c r="AH45" s="14" t="s">
        <v>2048</v>
      </c>
      <c r="AI45" s="14" t="s">
        <v>77</v>
      </c>
      <c r="AJ45" s="14" t="s">
        <v>2054</v>
      </c>
      <c r="AK45" s="14" t="s">
        <v>2055</v>
      </c>
      <c r="AL45" s="14" t="s">
        <v>2055</v>
      </c>
      <c r="AM45" s="14" t="s">
        <v>2055</v>
      </c>
      <c r="AN45" s="14" t="s">
        <v>2068</v>
      </c>
      <c r="AO45" s="14" t="s">
        <v>2048</v>
      </c>
      <c r="AP45" s="14" t="s">
        <v>2048</v>
      </c>
      <c r="AQ45" s="14" t="s">
        <v>3810</v>
      </c>
      <c r="AR45" s="14" t="s">
        <v>3639</v>
      </c>
      <c r="AS45" s="14" t="s">
        <v>3811</v>
      </c>
      <c r="AT45" s="14" t="s">
        <v>2422</v>
      </c>
      <c r="AU45" s="14" t="s">
        <v>2059</v>
      </c>
      <c r="AV45" s="14" t="s">
        <v>2060</v>
      </c>
      <c r="AW45" s="14" t="s">
        <v>2048</v>
      </c>
      <c r="AX45" s="14" t="s">
        <v>2048</v>
      </c>
      <c r="AY45" s="14" t="s">
        <v>3641</v>
      </c>
      <c r="AZ45" s="14" t="s">
        <v>3642</v>
      </c>
      <c r="BA45" s="14" t="s">
        <v>2048</v>
      </c>
      <c r="BB45" s="14" t="s">
        <v>2048</v>
      </c>
      <c r="BC45" s="14" t="s">
        <v>3643</v>
      </c>
      <c r="BD45" s="14" t="s">
        <v>312</v>
      </c>
      <c r="BE45" s="14" t="s">
        <v>2048</v>
      </c>
      <c r="BF45" s="14" t="s">
        <v>2048</v>
      </c>
      <c r="BG45" s="14" t="s">
        <v>2048</v>
      </c>
      <c r="BH45" s="14" t="s">
        <v>2048</v>
      </c>
      <c r="BI45" s="14" t="s">
        <v>2048</v>
      </c>
      <c r="BJ45" s="14" t="s">
        <v>2048</v>
      </c>
      <c r="BK45" s="14" t="s">
        <v>2048</v>
      </c>
      <c r="BL45" s="14" t="s">
        <v>2048</v>
      </c>
      <c r="BM45" s="14" t="s">
        <v>2048</v>
      </c>
      <c r="BN45" s="14" t="s">
        <v>2048</v>
      </c>
      <c r="BO45" s="14" t="s">
        <v>2518</v>
      </c>
      <c r="BP45" s="14" t="s">
        <v>2064</v>
      </c>
      <c r="BQ45" s="14" t="s">
        <v>72</v>
      </c>
      <c r="BR45" s="14" t="s">
        <v>72</v>
      </c>
      <c r="BS45" s="14" t="s">
        <v>3780</v>
      </c>
      <c r="BT45" s="14" t="s">
        <v>2048</v>
      </c>
      <c r="BU45" s="14" t="s">
        <v>2048</v>
      </c>
      <c r="BV45" s="14" t="s">
        <v>2535</v>
      </c>
      <c r="BW45" s="14" t="s">
        <v>3672</v>
      </c>
      <c r="BX45" s="14" t="s">
        <v>2048</v>
      </c>
      <c r="BY45" s="14" t="s">
        <v>2048</v>
      </c>
      <c r="BZ45" s="14" t="s">
        <v>2048</v>
      </c>
      <c r="CA45" s="14" t="s">
        <v>2048</v>
      </c>
      <c r="CB45" s="14" t="s">
        <v>72</v>
      </c>
      <c r="CC45" s="14" t="s">
        <v>2048</v>
      </c>
      <c r="CD45" s="14" t="s">
        <v>2048</v>
      </c>
      <c r="CE45" s="14" t="s">
        <v>2048</v>
      </c>
      <c r="CF45" s="14" t="s">
        <v>2048</v>
      </c>
      <c r="CG45" s="14" t="s">
        <v>2048</v>
      </c>
      <c r="CH45" s="14" t="s">
        <v>2048</v>
      </c>
      <c r="CI45" s="14" t="s">
        <v>2048</v>
      </c>
      <c r="CJ45" s="14" t="s">
        <v>2048</v>
      </c>
      <c r="CK45" s="14" t="s">
        <v>3651</v>
      </c>
      <c r="CL45" s="14" t="s">
        <v>3652</v>
      </c>
      <c r="CM45" s="14" t="s">
        <v>2048</v>
      </c>
      <c r="CN45" s="17"/>
      <c r="CO45" s="17">
        <v>32874</v>
      </c>
      <c r="CP45" s="17">
        <v>32874</v>
      </c>
      <c r="CR45" s="17">
        <v>45245</v>
      </c>
      <c r="CS45" s="19">
        <v>0</v>
      </c>
      <c r="CT45" s="19">
        <v>0</v>
      </c>
      <c r="CU45" s="19">
        <v>0</v>
      </c>
      <c r="CV45" s="19">
        <v>0</v>
      </c>
      <c r="CW45" s="19">
        <v>0</v>
      </c>
      <c r="CX45" s="19">
        <v>0</v>
      </c>
      <c r="CY45" s="19">
        <v>0</v>
      </c>
      <c r="CZ45" s="17"/>
      <c r="DA45" s="19">
        <v>0</v>
      </c>
      <c r="DB45" s="17"/>
      <c r="DC45" s="17"/>
      <c r="DD45" s="19">
        <v>0</v>
      </c>
      <c r="DE45" s="17"/>
      <c r="DF45" s="17"/>
      <c r="DG45" s="19">
        <v>100</v>
      </c>
      <c r="DH45" s="17"/>
      <c r="DI45" s="17">
        <v>2958465</v>
      </c>
      <c r="DJ45" s="17"/>
      <c r="DK45" s="17"/>
      <c r="DL45" s="19">
        <v>0</v>
      </c>
      <c r="DM45" s="19">
        <v>0</v>
      </c>
    </row>
    <row r="46" spans="1:117" x14ac:dyDescent="0.2">
      <c r="A46" s="14" t="s">
        <v>3610</v>
      </c>
      <c r="B46" s="14" t="s">
        <v>1206</v>
      </c>
      <c r="C46" s="14" t="s">
        <v>158</v>
      </c>
      <c r="D46" s="14" t="s">
        <v>159</v>
      </c>
      <c r="E46" s="14" t="s">
        <v>158</v>
      </c>
      <c r="F46" s="14" t="s">
        <v>171</v>
      </c>
      <c r="G46" s="17">
        <v>45245</v>
      </c>
      <c r="H46" s="14" t="s">
        <v>172</v>
      </c>
      <c r="I46" s="14" t="s">
        <v>78</v>
      </c>
      <c r="J46" s="14" t="s">
        <v>1189</v>
      </c>
      <c r="K46" s="14" t="s">
        <v>1207</v>
      </c>
      <c r="L46" s="14" t="s">
        <v>1139</v>
      </c>
      <c r="M46" s="14" t="s">
        <v>1140</v>
      </c>
      <c r="N46" s="16">
        <f>COUNTIF($M$3:M46, M46)</f>
        <v>20</v>
      </c>
      <c r="O46" s="16" t="e" cm="1">
        <f t="array" ref="O46">INDEX('[2]ALTA 20242025'!$B$2:$B$241, MATCH(1, ('[2]ALTA 20242025'!$I$2:$I$241=M46)*('[2]ALTA 20242025'!$J$2:$J$241=N46), 0))</f>
        <v>#N/A</v>
      </c>
      <c r="P46" s="16"/>
      <c r="Q46" s="16"/>
      <c r="R46" s="14" t="s">
        <v>2048</v>
      </c>
      <c r="S46" s="14" t="s">
        <v>2048</v>
      </c>
      <c r="T46" s="14" t="s">
        <v>2048</v>
      </c>
      <c r="U46" s="14" t="s">
        <v>2048</v>
      </c>
      <c r="V46" s="14" t="s">
        <v>72</v>
      </c>
      <c r="W46" s="14" t="s">
        <v>72</v>
      </c>
      <c r="X46" s="14" t="s">
        <v>72</v>
      </c>
      <c r="Y46" s="14" t="s">
        <v>2048</v>
      </c>
      <c r="Z46" s="14" t="s">
        <v>2048</v>
      </c>
      <c r="AA46" s="14" t="s">
        <v>2422</v>
      </c>
      <c r="AB46" s="14" t="s">
        <v>2049</v>
      </c>
      <c r="AC46" s="14" t="s">
        <v>2050</v>
      </c>
      <c r="AD46" s="14" t="s">
        <v>2048</v>
      </c>
      <c r="AE46" s="14" t="s">
        <v>2048</v>
      </c>
      <c r="AF46" s="14" t="s">
        <v>2048</v>
      </c>
      <c r="AG46" s="14" t="s">
        <v>2048</v>
      </c>
      <c r="AH46" s="14" t="s">
        <v>2048</v>
      </c>
      <c r="AI46" s="14" t="s">
        <v>77</v>
      </c>
      <c r="AJ46" s="14" t="s">
        <v>2054</v>
      </c>
      <c r="AK46" s="14" t="s">
        <v>2055</v>
      </c>
      <c r="AL46" s="14" t="s">
        <v>2055</v>
      </c>
      <c r="AM46" s="14" t="s">
        <v>2055</v>
      </c>
      <c r="AN46" s="14" t="s">
        <v>2068</v>
      </c>
      <c r="AO46" s="14" t="s">
        <v>2048</v>
      </c>
      <c r="AP46" s="14" t="s">
        <v>2048</v>
      </c>
      <c r="AQ46" s="14" t="s">
        <v>2048</v>
      </c>
      <c r="AR46" s="14" t="s">
        <v>3639</v>
      </c>
      <c r="AS46" s="14" t="s">
        <v>3812</v>
      </c>
      <c r="AT46" s="14" t="s">
        <v>3472</v>
      </c>
      <c r="AU46" s="14" t="s">
        <v>2059</v>
      </c>
      <c r="AV46" s="14" t="s">
        <v>2060</v>
      </c>
      <c r="AW46" s="14" t="s">
        <v>2048</v>
      </c>
      <c r="AX46" s="14" t="s">
        <v>2048</v>
      </c>
      <c r="AY46" s="14" t="s">
        <v>3641</v>
      </c>
      <c r="AZ46" s="14" t="s">
        <v>3642</v>
      </c>
      <c r="BA46" s="14" t="s">
        <v>2048</v>
      </c>
      <c r="BB46" s="14" t="s">
        <v>2048</v>
      </c>
      <c r="BC46" s="14" t="s">
        <v>3643</v>
      </c>
      <c r="BD46" s="14" t="s">
        <v>312</v>
      </c>
      <c r="BE46" s="14" t="s">
        <v>2048</v>
      </c>
      <c r="BF46" s="14" t="s">
        <v>2048</v>
      </c>
      <c r="BG46" s="14" t="s">
        <v>2048</v>
      </c>
      <c r="BH46" s="14" t="s">
        <v>2048</v>
      </c>
      <c r="BI46" s="14" t="s">
        <v>2048</v>
      </c>
      <c r="BJ46" s="14" t="s">
        <v>2048</v>
      </c>
      <c r="BK46" s="14" t="s">
        <v>2048</v>
      </c>
      <c r="BL46" s="14" t="s">
        <v>2048</v>
      </c>
      <c r="BM46" s="14" t="s">
        <v>2048</v>
      </c>
      <c r="BN46" s="14" t="s">
        <v>2048</v>
      </c>
      <c r="BO46" s="14" t="s">
        <v>2518</v>
      </c>
      <c r="BP46" s="14" t="s">
        <v>2064</v>
      </c>
      <c r="BQ46" s="14" t="s">
        <v>72</v>
      </c>
      <c r="BR46" s="14" t="s">
        <v>72</v>
      </c>
      <c r="BS46" s="14" t="s">
        <v>2048</v>
      </c>
      <c r="BT46" s="14" t="s">
        <v>2048</v>
      </c>
      <c r="BU46" s="14" t="s">
        <v>2048</v>
      </c>
      <c r="BV46" s="14" t="s">
        <v>2535</v>
      </c>
      <c r="BW46" s="14" t="s">
        <v>3672</v>
      </c>
      <c r="BX46" s="14" t="s">
        <v>2048</v>
      </c>
      <c r="BY46" s="14" t="s">
        <v>2048</v>
      </c>
      <c r="BZ46" s="14" t="s">
        <v>2048</v>
      </c>
      <c r="CA46" s="14" t="s">
        <v>2048</v>
      </c>
      <c r="CB46" s="14" t="s">
        <v>72</v>
      </c>
      <c r="CC46" s="14" t="s">
        <v>2048</v>
      </c>
      <c r="CD46" s="14" t="s">
        <v>2048</v>
      </c>
      <c r="CE46" s="14" t="s">
        <v>2048</v>
      </c>
      <c r="CF46" s="14" t="s">
        <v>2048</v>
      </c>
      <c r="CG46" s="14" t="s">
        <v>2048</v>
      </c>
      <c r="CH46" s="14" t="s">
        <v>2048</v>
      </c>
      <c r="CI46" s="14" t="s">
        <v>2048</v>
      </c>
      <c r="CJ46" s="14" t="s">
        <v>2048</v>
      </c>
      <c r="CK46" s="14" t="s">
        <v>2208</v>
      </c>
      <c r="CL46" s="14" t="s">
        <v>3681</v>
      </c>
      <c r="CM46" s="14" t="s">
        <v>2048</v>
      </c>
      <c r="CN46" s="17"/>
      <c r="CO46" s="17">
        <v>35720</v>
      </c>
      <c r="CP46" s="17">
        <v>35720</v>
      </c>
      <c r="CR46" s="17">
        <v>45245</v>
      </c>
      <c r="CS46" s="19">
        <v>0</v>
      </c>
      <c r="CT46" s="19">
        <v>0</v>
      </c>
      <c r="CU46" s="19">
        <v>0</v>
      </c>
      <c r="CV46" s="19">
        <v>0</v>
      </c>
      <c r="CW46" s="19">
        <v>0</v>
      </c>
      <c r="CX46" s="19">
        <v>0</v>
      </c>
      <c r="CY46" s="19">
        <v>0</v>
      </c>
      <c r="CZ46" s="17"/>
      <c r="DA46" s="19">
        <v>0</v>
      </c>
      <c r="DB46" s="17"/>
      <c r="DC46" s="17"/>
      <c r="DD46" s="19">
        <v>0</v>
      </c>
      <c r="DE46" s="17"/>
      <c r="DF46" s="17"/>
      <c r="DG46" s="19">
        <v>100</v>
      </c>
      <c r="DH46" s="17"/>
      <c r="DI46" s="17">
        <v>2958465</v>
      </c>
      <c r="DJ46" s="17"/>
      <c r="DK46" s="17"/>
      <c r="DL46" s="19">
        <v>0</v>
      </c>
      <c r="DM46" s="19">
        <v>0</v>
      </c>
    </row>
    <row r="47" spans="1:117" x14ac:dyDescent="0.2">
      <c r="A47" s="14" t="s">
        <v>3610</v>
      </c>
      <c r="B47" s="14" t="s">
        <v>1209</v>
      </c>
      <c r="C47" s="14" t="s">
        <v>158</v>
      </c>
      <c r="D47" s="14" t="s">
        <v>159</v>
      </c>
      <c r="E47" s="14" t="s">
        <v>158</v>
      </c>
      <c r="F47" s="14" t="s">
        <v>171</v>
      </c>
      <c r="G47" s="17">
        <v>45245</v>
      </c>
      <c r="H47" s="14" t="s">
        <v>172</v>
      </c>
      <c r="I47" s="14" t="s">
        <v>78</v>
      </c>
      <c r="J47" s="14" t="s">
        <v>1210</v>
      </c>
      <c r="K47" s="14" t="s">
        <v>1211</v>
      </c>
      <c r="L47" s="14" t="s">
        <v>1139</v>
      </c>
      <c r="M47" s="14" t="s">
        <v>1140</v>
      </c>
      <c r="N47" s="16">
        <f>COUNTIF($M$3:M47, M47)</f>
        <v>21</v>
      </c>
      <c r="O47" s="16" t="e" cm="1">
        <f t="array" ref="O47">INDEX('[2]ALTA 20242025'!$B$2:$B$241, MATCH(1, ('[2]ALTA 20242025'!$I$2:$I$241=M47)*('[2]ALTA 20242025'!$J$2:$J$241=N47), 0))</f>
        <v>#N/A</v>
      </c>
      <c r="P47" s="16"/>
      <c r="Q47" s="16"/>
      <c r="R47" s="14" t="s">
        <v>2048</v>
      </c>
      <c r="S47" s="14" t="s">
        <v>2048</v>
      </c>
      <c r="T47" s="14" t="s">
        <v>2048</v>
      </c>
      <c r="U47" s="14" t="s">
        <v>2048</v>
      </c>
      <c r="V47" s="14" t="s">
        <v>72</v>
      </c>
      <c r="W47" s="14" t="s">
        <v>72</v>
      </c>
      <c r="X47" s="14" t="s">
        <v>72</v>
      </c>
      <c r="Y47" s="14" t="s">
        <v>2048</v>
      </c>
      <c r="Z47" s="14" t="s">
        <v>2048</v>
      </c>
      <c r="AA47" s="14" t="s">
        <v>2422</v>
      </c>
      <c r="AB47" s="14" t="s">
        <v>2049</v>
      </c>
      <c r="AC47" s="14" t="s">
        <v>2050</v>
      </c>
      <c r="AD47" s="14" t="s">
        <v>2048</v>
      </c>
      <c r="AE47" s="14" t="s">
        <v>2048</v>
      </c>
      <c r="AF47" s="14" t="s">
        <v>2048</v>
      </c>
      <c r="AG47" s="14" t="s">
        <v>2048</v>
      </c>
      <c r="AH47" s="14" t="s">
        <v>2048</v>
      </c>
      <c r="AI47" s="14" t="s">
        <v>77</v>
      </c>
      <c r="AJ47" s="14" t="s">
        <v>2054</v>
      </c>
      <c r="AK47" s="14" t="s">
        <v>2055</v>
      </c>
      <c r="AL47" s="14" t="s">
        <v>2056</v>
      </c>
      <c r="AM47" s="14" t="s">
        <v>2055</v>
      </c>
      <c r="AN47" s="14" t="s">
        <v>2068</v>
      </c>
      <c r="AO47" s="14" t="s">
        <v>2048</v>
      </c>
      <c r="AP47" s="14" t="s">
        <v>2048</v>
      </c>
      <c r="AQ47" s="14" t="s">
        <v>2048</v>
      </c>
      <c r="AR47" s="14" t="s">
        <v>3639</v>
      </c>
      <c r="AS47" s="14" t="s">
        <v>3813</v>
      </c>
      <c r="AT47" s="14" t="s">
        <v>3191</v>
      </c>
      <c r="AU47" s="14" t="s">
        <v>2059</v>
      </c>
      <c r="AV47" s="14" t="s">
        <v>2060</v>
      </c>
      <c r="AW47" s="14" t="s">
        <v>2048</v>
      </c>
      <c r="AX47" s="14" t="s">
        <v>2048</v>
      </c>
      <c r="AY47" s="14" t="s">
        <v>3641</v>
      </c>
      <c r="AZ47" s="14" t="s">
        <v>3642</v>
      </c>
      <c r="BA47" s="14" t="s">
        <v>2048</v>
      </c>
      <c r="BB47" s="14" t="s">
        <v>2048</v>
      </c>
      <c r="BC47" s="14" t="s">
        <v>3643</v>
      </c>
      <c r="BD47" s="14" t="s">
        <v>312</v>
      </c>
      <c r="BE47" s="14" t="s">
        <v>2048</v>
      </c>
      <c r="BF47" s="14" t="s">
        <v>2048</v>
      </c>
      <c r="BG47" s="14" t="s">
        <v>2048</v>
      </c>
      <c r="BH47" s="14" t="s">
        <v>2048</v>
      </c>
      <c r="BI47" s="14" t="s">
        <v>2048</v>
      </c>
      <c r="BJ47" s="14" t="s">
        <v>2048</v>
      </c>
      <c r="BK47" s="14" t="s">
        <v>2048</v>
      </c>
      <c r="BL47" s="14" t="s">
        <v>2048</v>
      </c>
      <c r="BM47" s="14" t="s">
        <v>2048</v>
      </c>
      <c r="BN47" s="14" t="s">
        <v>2048</v>
      </c>
      <c r="BO47" s="14" t="s">
        <v>2048</v>
      </c>
      <c r="BP47" s="14" t="s">
        <v>2064</v>
      </c>
      <c r="BQ47" s="14" t="s">
        <v>72</v>
      </c>
      <c r="BR47" s="14" t="s">
        <v>72</v>
      </c>
      <c r="BS47" s="14" t="s">
        <v>2048</v>
      </c>
      <c r="BT47" s="14" t="s">
        <v>2048</v>
      </c>
      <c r="BU47" s="14" t="s">
        <v>2048</v>
      </c>
      <c r="BV47" s="14" t="s">
        <v>3472</v>
      </c>
      <c r="BW47" s="14" t="s">
        <v>3808</v>
      </c>
      <c r="BX47" s="14" t="s">
        <v>2048</v>
      </c>
      <c r="BY47" s="14" t="s">
        <v>2048</v>
      </c>
      <c r="BZ47" s="14" t="s">
        <v>2048</v>
      </c>
      <c r="CA47" s="14" t="s">
        <v>2048</v>
      </c>
      <c r="CB47" s="14" t="s">
        <v>72</v>
      </c>
      <c r="CC47" s="14" t="s">
        <v>2048</v>
      </c>
      <c r="CD47" s="14" t="s">
        <v>2048</v>
      </c>
      <c r="CE47" s="14" t="s">
        <v>2048</v>
      </c>
      <c r="CF47" s="14" t="s">
        <v>2048</v>
      </c>
      <c r="CG47" s="14" t="s">
        <v>2048</v>
      </c>
      <c r="CH47" s="14" t="s">
        <v>2048</v>
      </c>
      <c r="CI47" s="14" t="s">
        <v>2048</v>
      </c>
      <c r="CJ47" s="14" t="s">
        <v>2048</v>
      </c>
      <c r="CK47" s="14" t="s">
        <v>3637</v>
      </c>
      <c r="CL47" s="14" t="s">
        <v>3638</v>
      </c>
      <c r="CM47" s="14" t="s">
        <v>2048</v>
      </c>
      <c r="CN47" s="17"/>
      <c r="CO47" s="17">
        <v>36209</v>
      </c>
      <c r="CP47" s="17">
        <v>36209</v>
      </c>
      <c r="CR47" s="17">
        <v>45245</v>
      </c>
      <c r="CS47" s="19">
        <v>0</v>
      </c>
      <c r="CT47" s="19">
        <v>0</v>
      </c>
      <c r="CU47" s="19">
        <v>0</v>
      </c>
      <c r="CV47" s="19">
        <v>0</v>
      </c>
      <c r="CW47" s="19">
        <v>0</v>
      </c>
      <c r="CX47" s="19">
        <v>0</v>
      </c>
      <c r="CY47" s="19">
        <v>0</v>
      </c>
      <c r="CZ47" s="17"/>
      <c r="DA47" s="19">
        <v>0</v>
      </c>
      <c r="DB47" s="17"/>
      <c r="DC47" s="17"/>
      <c r="DD47" s="19">
        <v>0</v>
      </c>
      <c r="DE47" s="17"/>
      <c r="DF47" s="17"/>
      <c r="DG47" s="19">
        <v>100</v>
      </c>
      <c r="DH47" s="17"/>
      <c r="DI47" s="17">
        <v>2958465</v>
      </c>
      <c r="DJ47" s="17"/>
      <c r="DK47" s="17"/>
      <c r="DL47" s="19">
        <v>0</v>
      </c>
      <c r="DM47" s="19">
        <v>0</v>
      </c>
    </row>
    <row r="48" spans="1:117" x14ac:dyDescent="0.2">
      <c r="A48" s="14" t="s">
        <v>3610</v>
      </c>
      <c r="B48" s="14" t="s">
        <v>1213</v>
      </c>
      <c r="C48" s="14" t="s">
        <v>885</v>
      </c>
      <c r="D48" s="14" t="s">
        <v>161</v>
      </c>
      <c r="E48" s="14" t="s">
        <v>886</v>
      </c>
      <c r="F48" s="14" t="s">
        <v>171</v>
      </c>
      <c r="G48" s="17">
        <v>45247</v>
      </c>
      <c r="H48" s="14" t="s">
        <v>172</v>
      </c>
      <c r="I48" s="14" t="s">
        <v>71</v>
      </c>
      <c r="J48" s="14" t="s">
        <v>887</v>
      </c>
      <c r="K48" s="14" t="s">
        <v>1214</v>
      </c>
      <c r="L48" s="14" t="s">
        <v>1050</v>
      </c>
      <c r="M48" s="14" t="s">
        <v>1051</v>
      </c>
      <c r="N48" s="16">
        <f>COUNTIF($M$3:M48, M48)</f>
        <v>5</v>
      </c>
      <c r="O48" s="16" t="e" cm="1">
        <f t="array" ref="O48">INDEX('[2]ALTA 20242025'!$B$2:$B$241, MATCH(1, ('[2]ALTA 20242025'!$I$2:$I$241=M48)*('[2]ALTA 20242025'!$J$2:$J$241=N48), 0))</f>
        <v>#N/A</v>
      </c>
      <c r="P48" s="16"/>
      <c r="Q48" s="16"/>
      <c r="R48" s="14" t="s">
        <v>2048</v>
      </c>
      <c r="S48" s="14" t="s">
        <v>2048</v>
      </c>
      <c r="T48" s="14" t="s">
        <v>2048</v>
      </c>
      <c r="U48" s="14" t="s">
        <v>2048</v>
      </c>
      <c r="V48" s="14" t="s">
        <v>3677</v>
      </c>
      <c r="W48" s="14" t="s">
        <v>2048</v>
      </c>
      <c r="X48" s="14" t="s">
        <v>2048</v>
      </c>
      <c r="Y48" s="14" t="s">
        <v>2048</v>
      </c>
      <c r="Z48" s="14" t="s">
        <v>2048</v>
      </c>
      <c r="AA48" s="14" t="s">
        <v>2422</v>
      </c>
      <c r="AB48" s="14" t="s">
        <v>2049</v>
      </c>
      <c r="AC48" s="14" t="s">
        <v>3678</v>
      </c>
      <c r="AD48" s="14" t="s">
        <v>2048</v>
      </c>
      <c r="AE48" s="14" t="s">
        <v>2048</v>
      </c>
      <c r="AF48" s="14" t="s">
        <v>2048</v>
      </c>
      <c r="AG48" s="14" t="s">
        <v>2048</v>
      </c>
      <c r="AH48" s="14" t="s">
        <v>2048</v>
      </c>
      <c r="AI48" s="14" t="s">
        <v>2132</v>
      </c>
      <c r="AJ48" s="14" t="s">
        <v>2133</v>
      </c>
      <c r="AK48" s="14" t="s">
        <v>2048</v>
      </c>
      <c r="AL48" s="14" t="s">
        <v>2048</v>
      </c>
      <c r="AM48" s="14" t="s">
        <v>2048</v>
      </c>
      <c r="AN48" s="14" t="s">
        <v>3714</v>
      </c>
      <c r="AO48" s="14" t="s">
        <v>2048</v>
      </c>
      <c r="AP48" s="14" t="s">
        <v>2048</v>
      </c>
      <c r="AQ48" s="14" t="s">
        <v>3814</v>
      </c>
      <c r="AR48" s="14" t="s">
        <v>2048</v>
      </c>
      <c r="AS48" s="14" t="s">
        <v>2048</v>
      </c>
      <c r="AT48" s="14" t="s">
        <v>2048</v>
      </c>
      <c r="AU48" s="14" t="s">
        <v>2048</v>
      </c>
      <c r="AV48" s="14" t="s">
        <v>2060</v>
      </c>
      <c r="AW48" s="14" t="s">
        <v>2048</v>
      </c>
      <c r="AX48" s="14" t="s">
        <v>2048</v>
      </c>
      <c r="AY48" s="14" t="s">
        <v>3662</v>
      </c>
      <c r="AZ48" s="14" t="s">
        <v>3663</v>
      </c>
      <c r="BA48" s="14" t="s">
        <v>3627</v>
      </c>
      <c r="BB48" s="14" t="s">
        <v>2048</v>
      </c>
      <c r="BC48" s="14" t="s">
        <v>1050</v>
      </c>
      <c r="BD48" s="14" t="s">
        <v>1145</v>
      </c>
      <c r="BE48" s="14" t="s">
        <v>3707</v>
      </c>
      <c r="BF48" s="14" t="s">
        <v>2048</v>
      </c>
      <c r="BG48" s="14" t="s">
        <v>2048</v>
      </c>
      <c r="BH48" s="14" t="s">
        <v>2271</v>
      </c>
      <c r="BI48" s="14" t="s">
        <v>3666</v>
      </c>
      <c r="BJ48" s="14" t="s">
        <v>2271</v>
      </c>
      <c r="BK48" s="14" t="s">
        <v>3666</v>
      </c>
      <c r="BL48" s="14" t="s">
        <v>3667</v>
      </c>
      <c r="BM48" s="14" t="s">
        <v>3668</v>
      </c>
      <c r="BN48" s="14" t="s">
        <v>2048</v>
      </c>
      <c r="BO48" s="14" t="s">
        <v>2518</v>
      </c>
      <c r="BP48" s="14" t="s">
        <v>2064</v>
      </c>
      <c r="BQ48" s="14" t="s">
        <v>2048</v>
      </c>
      <c r="BR48" s="14" t="s">
        <v>2048</v>
      </c>
      <c r="BS48" s="14" t="s">
        <v>3815</v>
      </c>
      <c r="BT48" s="14" t="s">
        <v>2048</v>
      </c>
      <c r="BU48" s="14" t="s">
        <v>2048</v>
      </c>
      <c r="BV48" s="14" t="s">
        <v>2535</v>
      </c>
      <c r="BW48" s="14" t="s">
        <v>3672</v>
      </c>
      <c r="BX48" s="14" t="s">
        <v>2048</v>
      </c>
      <c r="BY48" s="14" t="s">
        <v>2048</v>
      </c>
      <c r="BZ48" s="14" t="s">
        <v>2048</v>
      </c>
      <c r="CA48" s="14" t="s">
        <v>2048</v>
      </c>
      <c r="CB48" s="14" t="s">
        <v>2048</v>
      </c>
      <c r="CC48" s="14" t="s">
        <v>2048</v>
      </c>
      <c r="CD48" s="14" t="s">
        <v>2048</v>
      </c>
      <c r="CE48" s="14" t="s">
        <v>2048</v>
      </c>
      <c r="CF48" s="14" t="s">
        <v>2048</v>
      </c>
      <c r="CG48" s="14" t="s">
        <v>2048</v>
      </c>
      <c r="CH48" s="14" t="s">
        <v>2048</v>
      </c>
      <c r="CI48" s="14" t="s">
        <v>2048</v>
      </c>
      <c r="CJ48" s="14" t="s">
        <v>2048</v>
      </c>
      <c r="CK48" s="14" t="s">
        <v>3651</v>
      </c>
      <c r="CL48" s="14" t="s">
        <v>3652</v>
      </c>
      <c r="CM48" s="14" t="s">
        <v>2048</v>
      </c>
      <c r="CN48" s="17"/>
      <c r="CO48" s="17">
        <v>36891</v>
      </c>
      <c r="CP48" s="17">
        <v>36891</v>
      </c>
      <c r="CR48" s="17">
        <v>45247</v>
      </c>
      <c r="CS48" s="19">
        <v>0</v>
      </c>
      <c r="CT48" s="19">
        <v>0</v>
      </c>
      <c r="CU48" s="19">
        <v>0</v>
      </c>
      <c r="CV48" s="19">
        <v>0</v>
      </c>
      <c r="CW48" s="19">
        <v>0</v>
      </c>
      <c r="CX48" s="19">
        <v>0</v>
      </c>
      <c r="CY48" s="19">
        <v>0</v>
      </c>
      <c r="CZ48" s="17"/>
      <c r="DA48" s="20">
        <v>989134</v>
      </c>
      <c r="DB48" s="17">
        <v>45107</v>
      </c>
      <c r="DC48" s="17"/>
      <c r="DD48" s="19">
        <v>0</v>
      </c>
      <c r="DE48" s="17"/>
      <c r="DF48" s="17"/>
      <c r="DG48" s="19">
        <v>100</v>
      </c>
      <c r="DH48" s="17"/>
      <c r="DI48" s="17">
        <v>2958465</v>
      </c>
      <c r="DJ48" s="17"/>
      <c r="DK48" s="17"/>
      <c r="DL48" s="19">
        <v>0</v>
      </c>
      <c r="DM48" s="19">
        <v>0</v>
      </c>
    </row>
    <row r="49" spans="1:117" x14ac:dyDescent="0.2">
      <c r="A49" s="14" t="s">
        <v>3610</v>
      </c>
      <c r="B49" s="14" t="s">
        <v>1216</v>
      </c>
      <c r="C49" s="14" t="s">
        <v>73</v>
      </c>
      <c r="D49" s="14" t="s">
        <v>200</v>
      </c>
      <c r="E49" s="14" t="s">
        <v>201</v>
      </c>
      <c r="F49" s="14" t="s">
        <v>76</v>
      </c>
      <c r="G49" s="17">
        <v>45024</v>
      </c>
      <c r="H49" s="14" t="s">
        <v>77</v>
      </c>
      <c r="I49" s="14" t="s">
        <v>78</v>
      </c>
      <c r="J49" s="14" t="s">
        <v>359</v>
      </c>
      <c r="K49" s="14" t="s">
        <v>360</v>
      </c>
      <c r="L49" s="14" t="s">
        <v>584</v>
      </c>
      <c r="M49" s="14" t="s">
        <v>585</v>
      </c>
      <c r="N49" s="16">
        <f>COUNTIF($M$3:M49, M49)</f>
        <v>3</v>
      </c>
      <c r="O49" s="16" t="e" cm="1">
        <f t="array" ref="O49">INDEX('[2]ALTA 20242025'!$B$2:$B$241, MATCH(1, ('[2]ALTA 20242025'!$I$2:$I$241=M49)*('[2]ALTA 20242025'!$J$2:$J$241=N49), 0))</f>
        <v>#N/A</v>
      </c>
      <c r="P49" s="16"/>
      <c r="Q49" s="16"/>
      <c r="R49" s="14" t="s">
        <v>2048</v>
      </c>
      <c r="S49" s="14" t="s">
        <v>2048</v>
      </c>
      <c r="T49" s="14" t="s">
        <v>2048</v>
      </c>
      <c r="U49" s="14" t="s">
        <v>2048</v>
      </c>
      <c r="V49" s="14" t="s">
        <v>3816</v>
      </c>
      <c r="W49" s="14" t="s">
        <v>3817</v>
      </c>
      <c r="X49" s="14" t="s">
        <v>3818</v>
      </c>
      <c r="Y49" s="14" t="s">
        <v>3819</v>
      </c>
      <c r="Z49" s="14" t="s">
        <v>2048</v>
      </c>
      <c r="AA49" s="14" t="s">
        <v>2422</v>
      </c>
      <c r="AB49" s="14" t="s">
        <v>2049</v>
      </c>
      <c r="AC49" s="14" t="s">
        <v>2050</v>
      </c>
      <c r="AD49" s="14" t="s">
        <v>3820</v>
      </c>
      <c r="AE49" s="14" t="s">
        <v>3613</v>
      </c>
      <c r="AF49" s="14" t="s">
        <v>3614</v>
      </c>
      <c r="AG49" s="14" t="s">
        <v>200</v>
      </c>
      <c r="AH49" s="14" t="s">
        <v>3622</v>
      </c>
      <c r="AI49" s="14" t="s">
        <v>3472</v>
      </c>
      <c r="AJ49" s="14" t="s">
        <v>3821</v>
      </c>
      <c r="AK49" s="14" t="s">
        <v>2055</v>
      </c>
      <c r="AL49" s="14" t="s">
        <v>2055</v>
      </c>
      <c r="AM49" s="14" t="s">
        <v>2055</v>
      </c>
      <c r="AN49" s="14" t="s">
        <v>2068</v>
      </c>
      <c r="AO49" s="14" t="s">
        <v>2048</v>
      </c>
      <c r="AP49" s="14" t="s">
        <v>2048</v>
      </c>
      <c r="AQ49" s="14" t="s">
        <v>2048</v>
      </c>
      <c r="AR49" s="14" t="s">
        <v>2048</v>
      </c>
      <c r="AS49" s="14" t="s">
        <v>3615</v>
      </c>
      <c r="AT49" s="14" t="s">
        <v>2331</v>
      </c>
      <c r="AU49" s="14" t="s">
        <v>3822</v>
      </c>
      <c r="AV49" s="14" t="s">
        <v>3823</v>
      </c>
      <c r="AW49" s="14" t="s">
        <v>3824</v>
      </c>
      <c r="AX49" s="14" t="s">
        <v>2048</v>
      </c>
      <c r="AY49" s="14" t="s">
        <v>3823</v>
      </c>
      <c r="AZ49" s="14" t="s">
        <v>3824</v>
      </c>
      <c r="BA49" s="14" t="s">
        <v>2048</v>
      </c>
      <c r="BB49" s="14" t="s">
        <v>2048</v>
      </c>
      <c r="BC49" s="14" t="s">
        <v>584</v>
      </c>
      <c r="BD49" s="14" t="s">
        <v>1217</v>
      </c>
      <c r="BE49" s="14" t="s">
        <v>3825</v>
      </c>
      <c r="BF49" s="14" t="s">
        <v>2048</v>
      </c>
      <c r="BG49" s="14" t="s">
        <v>2048</v>
      </c>
      <c r="BH49" s="14" t="s">
        <v>2602</v>
      </c>
      <c r="BI49" s="14" t="s">
        <v>3752</v>
      </c>
      <c r="BJ49" s="14" t="s">
        <v>3826</v>
      </c>
      <c r="BK49" s="14" t="s">
        <v>3827</v>
      </c>
      <c r="BL49" s="14" t="s">
        <v>3828</v>
      </c>
      <c r="BM49" s="14" t="s">
        <v>2287</v>
      </c>
      <c r="BN49" s="14" t="s">
        <v>2048</v>
      </c>
      <c r="BO49" s="14" t="s">
        <v>2048</v>
      </c>
      <c r="BP49" s="14" t="s">
        <v>2064</v>
      </c>
      <c r="BQ49" s="14" t="s">
        <v>72</v>
      </c>
      <c r="BR49" s="14" t="s">
        <v>72</v>
      </c>
      <c r="BS49" s="14" t="s">
        <v>2048</v>
      </c>
      <c r="BT49" s="14" t="s">
        <v>3829</v>
      </c>
      <c r="BU49" s="14" t="s">
        <v>3830</v>
      </c>
      <c r="BV49" s="14" t="s">
        <v>2331</v>
      </c>
      <c r="BW49" s="14" t="s">
        <v>2131</v>
      </c>
      <c r="BX49" s="14" t="s">
        <v>2048</v>
      </c>
      <c r="BY49" s="14" t="s">
        <v>2048</v>
      </c>
      <c r="BZ49" s="14" t="s">
        <v>2048</v>
      </c>
      <c r="CA49" s="14" t="s">
        <v>2048</v>
      </c>
      <c r="CB49" s="14" t="s">
        <v>72</v>
      </c>
      <c r="CC49" s="14" t="s">
        <v>2048</v>
      </c>
      <c r="CD49" s="14" t="s">
        <v>2048</v>
      </c>
      <c r="CE49" s="14" t="s">
        <v>2048</v>
      </c>
      <c r="CF49" s="14" t="s">
        <v>2048</v>
      </c>
      <c r="CG49" s="14" t="s">
        <v>2048</v>
      </c>
      <c r="CH49" s="14" t="s">
        <v>2048</v>
      </c>
      <c r="CI49" s="14" t="s">
        <v>2048</v>
      </c>
      <c r="CJ49" s="14" t="s">
        <v>2048</v>
      </c>
      <c r="CK49" s="14" t="s">
        <v>3714</v>
      </c>
      <c r="CL49" s="14" t="s">
        <v>3761</v>
      </c>
      <c r="CM49" s="14" t="s">
        <v>2048</v>
      </c>
      <c r="CN49" s="17"/>
      <c r="CO49" s="17">
        <v>43563</v>
      </c>
      <c r="CP49" s="17">
        <v>43563</v>
      </c>
      <c r="CR49" s="17">
        <v>45036</v>
      </c>
      <c r="CS49" s="19">
        <v>48</v>
      </c>
      <c r="CT49" s="19">
        <v>0</v>
      </c>
      <c r="CU49" s="19">
        <v>307.2</v>
      </c>
      <c r="CV49" s="19">
        <v>0</v>
      </c>
      <c r="CW49" s="19">
        <v>307.2</v>
      </c>
      <c r="CX49" s="19">
        <v>371.71</v>
      </c>
      <c r="CY49" s="19">
        <v>0</v>
      </c>
      <c r="CZ49" s="17"/>
      <c r="DA49" s="19">
        <v>0</v>
      </c>
      <c r="DB49" s="17"/>
      <c r="DC49" s="17"/>
      <c r="DD49" s="19">
        <v>0</v>
      </c>
      <c r="DE49" s="17"/>
      <c r="DF49" s="17"/>
      <c r="DG49" s="19">
        <v>100</v>
      </c>
      <c r="DH49" s="17"/>
      <c r="DI49" s="17">
        <v>45291</v>
      </c>
      <c r="DJ49" s="17"/>
      <c r="DK49" s="17"/>
      <c r="DL49" s="19">
        <v>0</v>
      </c>
      <c r="DM49" s="19">
        <v>0</v>
      </c>
    </row>
    <row r="50" spans="1:117" x14ac:dyDescent="0.2">
      <c r="A50" s="14" t="s">
        <v>3610</v>
      </c>
      <c r="B50" s="14" t="s">
        <v>358</v>
      </c>
      <c r="C50" s="14" t="s">
        <v>73</v>
      </c>
      <c r="D50" s="14" t="s">
        <v>200</v>
      </c>
      <c r="E50" s="14" t="s">
        <v>201</v>
      </c>
      <c r="F50" s="14" t="s">
        <v>76</v>
      </c>
      <c r="G50" s="17">
        <v>45039</v>
      </c>
      <c r="H50" s="14" t="s">
        <v>77</v>
      </c>
      <c r="I50" s="14" t="s">
        <v>78</v>
      </c>
      <c r="J50" s="14" t="s">
        <v>359</v>
      </c>
      <c r="K50" s="14" t="s">
        <v>360</v>
      </c>
      <c r="L50" s="14" t="s">
        <v>131</v>
      </c>
      <c r="M50" s="14" t="s">
        <v>132</v>
      </c>
      <c r="N50" s="16">
        <f>COUNTIF($M$3:M50, M50)</f>
        <v>5</v>
      </c>
      <c r="O50" s="16" t="str" cm="1">
        <f t="array" ref="O50">INDEX('[2]ALTA 20242025'!$B$2:$B$241, MATCH(1, ('[2]ALTA 20242025'!$I$2:$I$241=M50)*('[2]ALTA 20242025'!$J$2:$J$241=N50), 0))</f>
        <v>6022MWV</v>
      </c>
      <c r="P50" s="16"/>
      <c r="Q50" s="16"/>
      <c r="R50" s="14" t="s">
        <v>2048</v>
      </c>
      <c r="S50" s="14" t="s">
        <v>2048</v>
      </c>
      <c r="T50" s="14" t="s">
        <v>2048</v>
      </c>
      <c r="U50" s="14" t="s">
        <v>2048</v>
      </c>
      <c r="V50" s="14" t="s">
        <v>3831</v>
      </c>
      <c r="W50" s="14" t="s">
        <v>3832</v>
      </c>
      <c r="X50" s="14" t="s">
        <v>3764</v>
      </c>
      <c r="Y50" s="14" t="s">
        <v>3833</v>
      </c>
      <c r="Z50" s="14" t="s">
        <v>2048</v>
      </c>
      <c r="AA50" s="14" t="s">
        <v>2422</v>
      </c>
      <c r="AB50" s="14" t="s">
        <v>2049</v>
      </c>
      <c r="AC50" s="14" t="s">
        <v>2050</v>
      </c>
      <c r="AD50" s="14" t="s">
        <v>3834</v>
      </c>
      <c r="AE50" s="14" t="s">
        <v>3613</v>
      </c>
      <c r="AF50" s="14" t="s">
        <v>3614</v>
      </c>
      <c r="AG50" s="14" t="s">
        <v>2048</v>
      </c>
      <c r="AH50" s="14" t="s">
        <v>2048</v>
      </c>
      <c r="AI50" s="14" t="s">
        <v>2442</v>
      </c>
      <c r="AJ50" s="14" t="s">
        <v>2443</v>
      </c>
      <c r="AK50" s="14" t="s">
        <v>2055</v>
      </c>
      <c r="AL50" s="14" t="s">
        <v>2056</v>
      </c>
      <c r="AM50" s="14" t="s">
        <v>2055</v>
      </c>
      <c r="AN50" s="14" t="s">
        <v>2068</v>
      </c>
      <c r="AO50" s="14" t="s">
        <v>2048</v>
      </c>
      <c r="AP50" s="14" t="s">
        <v>2048</v>
      </c>
      <c r="AQ50" s="14" t="s">
        <v>2048</v>
      </c>
      <c r="AR50" s="14" t="s">
        <v>2048</v>
      </c>
      <c r="AS50" s="14" t="s">
        <v>3615</v>
      </c>
      <c r="AT50" s="14" t="s">
        <v>2331</v>
      </c>
      <c r="AU50" s="14" t="s">
        <v>2059</v>
      </c>
      <c r="AV50" s="14" t="s">
        <v>3835</v>
      </c>
      <c r="AW50" s="14" t="s">
        <v>3836</v>
      </c>
      <c r="AX50" s="14" t="s">
        <v>2048</v>
      </c>
      <c r="AY50" s="14" t="s">
        <v>2448</v>
      </c>
      <c r="AZ50" s="14" t="s">
        <v>2449</v>
      </c>
      <c r="BA50" s="14" t="s">
        <v>2048</v>
      </c>
      <c r="BB50" s="14" t="s">
        <v>2048</v>
      </c>
      <c r="BC50" s="14" t="s">
        <v>131</v>
      </c>
      <c r="BD50" s="14" t="s">
        <v>133</v>
      </c>
      <c r="BE50" s="14" t="s">
        <v>3657</v>
      </c>
      <c r="BF50" s="14" t="s">
        <v>2048</v>
      </c>
      <c r="BG50" s="14" t="s">
        <v>2048</v>
      </c>
      <c r="BH50" s="14" t="s">
        <v>2048</v>
      </c>
      <c r="BI50" s="14" t="s">
        <v>2048</v>
      </c>
      <c r="BJ50" s="14" t="s">
        <v>2452</v>
      </c>
      <c r="BK50" s="14" t="s">
        <v>2453</v>
      </c>
      <c r="BL50" s="14" t="s">
        <v>2454</v>
      </c>
      <c r="BM50" s="14" t="s">
        <v>2455</v>
      </c>
      <c r="BN50" s="14" t="s">
        <v>2048</v>
      </c>
      <c r="BO50" s="14" t="s">
        <v>2518</v>
      </c>
      <c r="BP50" s="14" t="s">
        <v>2064</v>
      </c>
      <c r="BQ50" s="14" t="s">
        <v>72</v>
      </c>
      <c r="BR50" s="14" t="s">
        <v>72</v>
      </c>
      <c r="BS50" s="14" t="s">
        <v>2048</v>
      </c>
      <c r="BT50" s="14" t="s">
        <v>2929</v>
      </c>
      <c r="BU50" s="14" t="s">
        <v>2930</v>
      </c>
      <c r="BV50" s="14" t="s">
        <v>2331</v>
      </c>
      <c r="BW50" s="14" t="s">
        <v>2131</v>
      </c>
      <c r="BX50" s="14" t="s">
        <v>2048</v>
      </c>
      <c r="BY50" s="14" t="s">
        <v>2048</v>
      </c>
      <c r="BZ50" s="14" t="s">
        <v>2048</v>
      </c>
      <c r="CA50" s="14" t="s">
        <v>2048</v>
      </c>
      <c r="CB50" s="14" t="s">
        <v>72</v>
      </c>
      <c r="CC50" s="14" t="s">
        <v>2048</v>
      </c>
      <c r="CD50" s="14" t="s">
        <v>2048</v>
      </c>
      <c r="CE50" s="14" t="s">
        <v>2048</v>
      </c>
      <c r="CF50" s="14" t="s">
        <v>2048</v>
      </c>
      <c r="CG50" s="14" t="s">
        <v>2048</v>
      </c>
      <c r="CH50" s="14" t="s">
        <v>2048</v>
      </c>
      <c r="CI50" s="14" t="s">
        <v>2048</v>
      </c>
      <c r="CJ50" s="14" t="s">
        <v>2048</v>
      </c>
      <c r="CK50" s="14" t="s">
        <v>3714</v>
      </c>
      <c r="CL50" s="14" t="s">
        <v>3761</v>
      </c>
      <c r="CM50" s="14" t="s">
        <v>2048</v>
      </c>
      <c r="CN50" s="17"/>
      <c r="CO50" s="17">
        <v>43578</v>
      </c>
      <c r="CP50" s="17">
        <v>43578</v>
      </c>
      <c r="CR50" s="17">
        <v>44980</v>
      </c>
      <c r="CS50" s="19">
        <v>48</v>
      </c>
      <c r="CT50" s="19">
        <v>0</v>
      </c>
      <c r="CU50" s="19">
        <v>277.83</v>
      </c>
      <c r="CV50" s="19">
        <v>0</v>
      </c>
      <c r="CW50" s="19">
        <v>277.83</v>
      </c>
      <c r="CX50" s="19">
        <v>336.17</v>
      </c>
      <c r="CY50" s="19">
        <v>0</v>
      </c>
      <c r="CZ50" s="17"/>
      <c r="DA50" s="19">
        <v>0</v>
      </c>
      <c r="DB50" s="17"/>
      <c r="DC50" s="17"/>
      <c r="DD50" s="19">
        <v>0</v>
      </c>
      <c r="DE50" s="17"/>
      <c r="DF50" s="17"/>
      <c r="DG50" s="19">
        <v>100</v>
      </c>
      <c r="DH50" s="17"/>
      <c r="DI50" s="17">
        <v>45039</v>
      </c>
      <c r="DJ50" s="17"/>
      <c r="DK50" s="17"/>
      <c r="DL50" s="19">
        <v>0</v>
      </c>
      <c r="DM50" s="19">
        <v>0</v>
      </c>
    </row>
    <row r="51" spans="1:117" x14ac:dyDescent="0.2">
      <c r="A51" s="14" t="s">
        <v>3610</v>
      </c>
      <c r="B51" s="14" t="s">
        <v>609</v>
      </c>
      <c r="C51" s="14" t="s">
        <v>73</v>
      </c>
      <c r="D51" s="14" t="s">
        <v>200</v>
      </c>
      <c r="E51" s="14" t="s">
        <v>201</v>
      </c>
      <c r="F51" s="14" t="s">
        <v>76</v>
      </c>
      <c r="G51" s="17">
        <v>45039</v>
      </c>
      <c r="H51" s="14" t="s">
        <v>77</v>
      </c>
      <c r="I51" s="14" t="s">
        <v>78</v>
      </c>
      <c r="J51" s="14" t="s">
        <v>359</v>
      </c>
      <c r="K51" s="14" t="s">
        <v>604</v>
      </c>
      <c r="L51" s="14" t="s">
        <v>131</v>
      </c>
      <c r="M51" s="14" t="s">
        <v>132</v>
      </c>
      <c r="N51" s="16">
        <f>COUNTIF($M$3:M51, M51)</f>
        <v>6</v>
      </c>
      <c r="O51" s="16" t="str" cm="1">
        <f t="array" ref="O51">INDEX('[2]ALTA 20242025'!$B$2:$B$241, MATCH(1, ('[2]ALTA 20242025'!$I$2:$I$241=M51)*('[2]ALTA 20242025'!$J$2:$J$241=N51), 0))</f>
        <v>6033MWV</v>
      </c>
      <c r="P51" s="16"/>
      <c r="Q51" s="16"/>
      <c r="R51" s="14" t="s">
        <v>2048</v>
      </c>
      <c r="S51" s="14" t="s">
        <v>2048</v>
      </c>
      <c r="T51" s="14" t="s">
        <v>2048</v>
      </c>
      <c r="U51" s="14" t="s">
        <v>2048</v>
      </c>
      <c r="V51" s="14" t="s">
        <v>3837</v>
      </c>
      <c r="W51" s="14" t="s">
        <v>3838</v>
      </c>
      <c r="X51" s="14" t="s">
        <v>3764</v>
      </c>
      <c r="Y51" s="14" t="s">
        <v>3839</v>
      </c>
      <c r="Z51" s="14" t="s">
        <v>2048</v>
      </c>
      <c r="AA51" s="14" t="s">
        <v>2422</v>
      </c>
      <c r="AB51" s="14" t="s">
        <v>2049</v>
      </c>
      <c r="AC51" s="14" t="s">
        <v>2050</v>
      </c>
      <c r="AD51" s="14" t="s">
        <v>3788</v>
      </c>
      <c r="AE51" s="14" t="s">
        <v>3613</v>
      </c>
      <c r="AF51" s="14" t="s">
        <v>3614</v>
      </c>
      <c r="AG51" s="14" t="s">
        <v>2048</v>
      </c>
      <c r="AH51" s="14" t="s">
        <v>2048</v>
      </c>
      <c r="AI51" s="14" t="s">
        <v>2129</v>
      </c>
      <c r="AJ51" s="14" t="s">
        <v>2130</v>
      </c>
      <c r="AK51" s="14" t="s">
        <v>2055</v>
      </c>
      <c r="AL51" s="14" t="s">
        <v>2056</v>
      </c>
      <c r="AM51" s="14" t="s">
        <v>2055</v>
      </c>
      <c r="AN51" s="14" t="s">
        <v>2068</v>
      </c>
      <c r="AO51" s="14" t="s">
        <v>2048</v>
      </c>
      <c r="AP51" s="14" t="s">
        <v>2048</v>
      </c>
      <c r="AQ51" s="14" t="s">
        <v>2048</v>
      </c>
      <c r="AR51" s="14" t="s">
        <v>2048</v>
      </c>
      <c r="AS51" s="14" t="s">
        <v>3726</v>
      </c>
      <c r="AT51" s="14" t="s">
        <v>2331</v>
      </c>
      <c r="AU51" s="14" t="s">
        <v>2059</v>
      </c>
      <c r="AV51" s="14" t="s">
        <v>3840</v>
      </c>
      <c r="AW51" s="14" t="s">
        <v>3841</v>
      </c>
      <c r="AX51" s="14" t="s">
        <v>2048</v>
      </c>
      <c r="AY51" s="14" t="s">
        <v>2448</v>
      </c>
      <c r="AZ51" s="14" t="s">
        <v>2449</v>
      </c>
      <c r="BA51" s="14" t="s">
        <v>2048</v>
      </c>
      <c r="BB51" s="14" t="s">
        <v>2048</v>
      </c>
      <c r="BC51" s="14" t="s">
        <v>131</v>
      </c>
      <c r="BD51" s="14" t="s">
        <v>610</v>
      </c>
      <c r="BE51" s="14" t="s">
        <v>3364</v>
      </c>
      <c r="BF51" s="14" t="s">
        <v>2048</v>
      </c>
      <c r="BG51" s="14" t="s">
        <v>2048</v>
      </c>
      <c r="BH51" s="14" t="s">
        <v>2048</v>
      </c>
      <c r="BI51" s="14" t="s">
        <v>2048</v>
      </c>
      <c r="BJ51" s="14" t="s">
        <v>2452</v>
      </c>
      <c r="BK51" s="14" t="s">
        <v>2453</v>
      </c>
      <c r="BL51" s="14" t="s">
        <v>2454</v>
      </c>
      <c r="BM51" s="14" t="s">
        <v>2455</v>
      </c>
      <c r="BN51" s="14" t="s">
        <v>2048</v>
      </c>
      <c r="BO51" s="14" t="s">
        <v>2518</v>
      </c>
      <c r="BP51" s="14" t="s">
        <v>2064</v>
      </c>
      <c r="BQ51" s="14" t="s">
        <v>72</v>
      </c>
      <c r="BR51" s="14" t="s">
        <v>72</v>
      </c>
      <c r="BS51" s="14" t="s">
        <v>2048</v>
      </c>
      <c r="BT51" s="14" t="s">
        <v>3842</v>
      </c>
      <c r="BU51" s="14" t="s">
        <v>2585</v>
      </c>
      <c r="BV51" s="14" t="s">
        <v>2331</v>
      </c>
      <c r="BW51" s="14" t="s">
        <v>2131</v>
      </c>
      <c r="BX51" s="14" t="s">
        <v>2048</v>
      </c>
      <c r="BY51" s="14" t="s">
        <v>2048</v>
      </c>
      <c r="BZ51" s="14" t="s">
        <v>2048</v>
      </c>
      <c r="CA51" s="14" t="s">
        <v>2048</v>
      </c>
      <c r="CB51" s="14" t="s">
        <v>2048</v>
      </c>
      <c r="CC51" s="14" t="s">
        <v>2048</v>
      </c>
      <c r="CD51" s="14" t="s">
        <v>2048</v>
      </c>
      <c r="CE51" s="14" t="s">
        <v>2048</v>
      </c>
      <c r="CF51" s="14" t="s">
        <v>2048</v>
      </c>
      <c r="CG51" s="14" t="s">
        <v>2048</v>
      </c>
      <c r="CH51" s="14" t="s">
        <v>2048</v>
      </c>
      <c r="CI51" s="14" t="s">
        <v>2048</v>
      </c>
      <c r="CJ51" s="14" t="s">
        <v>2048</v>
      </c>
      <c r="CK51" s="14" t="s">
        <v>2068</v>
      </c>
      <c r="CL51" s="14" t="s">
        <v>2069</v>
      </c>
      <c r="CM51" s="14" t="s">
        <v>2048</v>
      </c>
      <c r="CN51" s="17"/>
      <c r="CO51" s="17">
        <v>43213</v>
      </c>
      <c r="CP51" s="17">
        <v>43213</v>
      </c>
      <c r="CR51" s="17">
        <v>44964</v>
      </c>
      <c r="CS51" s="19">
        <v>60</v>
      </c>
      <c r="CT51" s="19">
        <v>0</v>
      </c>
      <c r="CU51" s="19">
        <v>200.42</v>
      </c>
      <c r="CV51" s="19">
        <v>0</v>
      </c>
      <c r="CW51" s="19">
        <v>200.42</v>
      </c>
      <c r="CX51" s="19">
        <v>242.51</v>
      </c>
      <c r="CY51" s="19">
        <v>0</v>
      </c>
      <c r="CZ51" s="17"/>
      <c r="DA51" s="19">
        <v>0</v>
      </c>
      <c r="DB51" s="17"/>
      <c r="DC51" s="17"/>
      <c r="DD51" s="19">
        <v>0</v>
      </c>
      <c r="DE51" s="17"/>
      <c r="DF51" s="17"/>
      <c r="DG51" s="19">
        <v>50</v>
      </c>
      <c r="DH51" s="17"/>
      <c r="DI51" s="17">
        <v>45291</v>
      </c>
      <c r="DJ51" s="17"/>
      <c r="DK51" s="17"/>
      <c r="DL51" s="19">
        <v>0</v>
      </c>
      <c r="DM51" s="19">
        <v>0</v>
      </c>
    </row>
    <row r="52" spans="1:117" x14ac:dyDescent="0.2">
      <c r="A52" s="14" t="s">
        <v>3610</v>
      </c>
      <c r="B52" s="14" t="s">
        <v>385</v>
      </c>
      <c r="C52" s="14" t="s">
        <v>73</v>
      </c>
      <c r="D52" s="14" t="s">
        <v>200</v>
      </c>
      <c r="E52" s="14" t="s">
        <v>201</v>
      </c>
      <c r="F52" s="14" t="s">
        <v>76</v>
      </c>
      <c r="G52" s="17">
        <v>45045</v>
      </c>
      <c r="H52" s="14" t="s">
        <v>77</v>
      </c>
      <c r="I52" s="14" t="s">
        <v>78</v>
      </c>
      <c r="J52" s="14" t="s">
        <v>359</v>
      </c>
      <c r="K52" s="14" t="s">
        <v>360</v>
      </c>
      <c r="L52" s="14" t="s">
        <v>119</v>
      </c>
      <c r="M52" s="14" t="s">
        <v>120</v>
      </c>
      <c r="N52" s="16">
        <f>COUNTIF($M$3:M52, M52)</f>
        <v>2</v>
      </c>
      <c r="O52" s="16" t="str" cm="1">
        <f t="array" ref="O52">INDEX('[2]ALTA 20242025'!$B$2:$B$241, MATCH(1, ('[2]ALTA 20242025'!$I$2:$I$241=M52)*('[2]ALTA 20242025'!$J$2:$J$241=N52), 0))</f>
        <v>2705MXG</v>
      </c>
      <c r="P52" s="16"/>
      <c r="Q52" s="16"/>
      <c r="R52" s="14" t="s">
        <v>336</v>
      </c>
      <c r="S52" s="14" t="s">
        <v>337</v>
      </c>
      <c r="T52" s="14" t="s">
        <v>2048</v>
      </c>
      <c r="U52" s="14" t="s">
        <v>2048</v>
      </c>
      <c r="V52" s="14" t="s">
        <v>3843</v>
      </c>
      <c r="W52" s="14" t="s">
        <v>3844</v>
      </c>
      <c r="X52" s="14" t="s">
        <v>3845</v>
      </c>
      <c r="Y52" s="14" t="s">
        <v>3846</v>
      </c>
      <c r="Z52" s="14" t="s">
        <v>2048</v>
      </c>
      <c r="AA52" s="14" t="s">
        <v>2422</v>
      </c>
      <c r="AB52" s="14" t="s">
        <v>2049</v>
      </c>
      <c r="AC52" s="14" t="s">
        <v>2050</v>
      </c>
      <c r="AD52" s="14" t="s">
        <v>3690</v>
      </c>
      <c r="AE52" s="14" t="s">
        <v>3613</v>
      </c>
      <c r="AF52" s="14" t="s">
        <v>3614</v>
      </c>
      <c r="AG52" s="14" t="s">
        <v>200</v>
      </c>
      <c r="AH52" s="14" t="s">
        <v>3622</v>
      </c>
      <c r="AI52" s="14" t="s">
        <v>3472</v>
      </c>
      <c r="AJ52" s="14" t="s">
        <v>3821</v>
      </c>
      <c r="AK52" s="14" t="s">
        <v>2055</v>
      </c>
      <c r="AL52" s="14" t="s">
        <v>2055</v>
      </c>
      <c r="AM52" s="14" t="s">
        <v>2055</v>
      </c>
      <c r="AN52" s="14" t="s">
        <v>2068</v>
      </c>
      <c r="AO52" s="14" t="s">
        <v>2048</v>
      </c>
      <c r="AP52" s="14" t="s">
        <v>2048</v>
      </c>
      <c r="AQ52" s="14" t="s">
        <v>2048</v>
      </c>
      <c r="AR52" s="14" t="s">
        <v>3847</v>
      </c>
      <c r="AS52" s="14" t="s">
        <v>3615</v>
      </c>
      <c r="AT52" s="14" t="s">
        <v>2331</v>
      </c>
      <c r="AU52" s="14" t="s">
        <v>3848</v>
      </c>
      <c r="AV52" s="14" t="s">
        <v>3849</v>
      </c>
      <c r="AW52" s="14" t="s">
        <v>3850</v>
      </c>
      <c r="AX52" s="14" t="s">
        <v>2048</v>
      </c>
      <c r="AY52" s="14" t="s">
        <v>3849</v>
      </c>
      <c r="AZ52" s="14" t="s">
        <v>3850</v>
      </c>
      <c r="BA52" s="14" t="s">
        <v>3851</v>
      </c>
      <c r="BB52" s="14" t="s">
        <v>2048</v>
      </c>
      <c r="BC52" s="14" t="s">
        <v>119</v>
      </c>
      <c r="BD52" s="14" t="s">
        <v>386</v>
      </c>
      <c r="BE52" s="14" t="s">
        <v>3852</v>
      </c>
      <c r="BF52" s="14" t="s">
        <v>2048</v>
      </c>
      <c r="BG52" s="14" t="s">
        <v>2048</v>
      </c>
      <c r="BH52" s="14" t="s">
        <v>2433</v>
      </c>
      <c r="BI52" s="14" t="s">
        <v>2434</v>
      </c>
      <c r="BJ52" s="14" t="s">
        <v>2515</v>
      </c>
      <c r="BK52" s="14" t="s">
        <v>3853</v>
      </c>
      <c r="BL52" s="14" t="s">
        <v>3854</v>
      </c>
      <c r="BM52" s="14" t="s">
        <v>2287</v>
      </c>
      <c r="BN52" s="14" t="s">
        <v>2048</v>
      </c>
      <c r="BO52" s="14" t="s">
        <v>2048</v>
      </c>
      <c r="BP52" s="14" t="s">
        <v>2064</v>
      </c>
      <c r="BQ52" s="14" t="s">
        <v>2048</v>
      </c>
      <c r="BR52" s="14" t="s">
        <v>72</v>
      </c>
      <c r="BS52" s="14" t="s">
        <v>2048</v>
      </c>
      <c r="BT52" s="14" t="s">
        <v>3855</v>
      </c>
      <c r="BU52" s="14" t="s">
        <v>3370</v>
      </c>
      <c r="BV52" s="14" t="s">
        <v>2331</v>
      </c>
      <c r="BW52" s="14" t="s">
        <v>2131</v>
      </c>
      <c r="BX52" s="14" t="s">
        <v>2048</v>
      </c>
      <c r="BY52" s="14" t="s">
        <v>2048</v>
      </c>
      <c r="BZ52" s="14" t="s">
        <v>72</v>
      </c>
      <c r="CA52" s="14" t="s">
        <v>3856</v>
      </c>
      <c r="CB52" s="14" t="s">
        <v>72</v>
      </c>
      <c r="CC52" s="14" t="s">
        <v>2048</v>
      </c>
      <c r="CD52" s="14" t="s">
        <v>2048</v>
      </c>
      <c r="CE52" s="14" t="s">
        <v>2048</v>
      </c>
      <c r="CF52" s="14" t="s">
        <v>2048</v>
      </c>
      <c r="CG52" s="14" t="s">
        <v>2048</v>
      </c>
      <c r="CH52" s="14" t="s">
        <v>2048</v>
      </c>
      <c r="CI52" s="14" t="s">
        <v>2048</v>
      </c>
      <c r="CJ52" s="14" t="s">
        <v>2048</v>
      </c>
      <c r="CK52" s="14" t="s">
        <v>3714</v>
      </c>
      <c r="CL52" s="14" t="s">
        <v>3761</v>
      </c>
      <c r="CM52" s="14" t="s">
        <v>2048</v>
      </c>
      <c r="CN52" s="17">
        <v>44013</v>
      </c>
      <c r="CO52" s="17">
        <v>43584</v>
      </c>
      <c r="CP52" s="17">
        <v>43584</v>
      </c>
      <c r="CR52" s="17">
        <v>45036</v>
      </c>
      <c r="CS52" s="19">
        <v>48</v>
      </c>
      <c r="CT52" s="19">
        <v>0</v>
      </c>
      <c r="CU52" s="19">
        <v>269.07</v>
      </c>
      <c r="CV52" s="19">
        <v>0</v>
      </c>
      <c r="CW52" s="19">
        <v>269.07</v>
      </c>
      <c r="CX52" s="19">
        <v>325.57</v>
      </c>
      <c r="CY52" s="19">
        <v>0</v>
      </c>
      <c r="CZ52" s="17"/>
      <c r="DA52" s="20">
        <v>36083</v>
      </c>
      <c r="DB52" s="17">
        <v>45078</v>
      </c>
      <c r="DC52" s="17"/>
      <c r="DD52" s="19">
        <v>0</v>
      </c>
      <c r="DE52" s="17"/>
      <c r="DF52" s="17"/>
      <c r="DG52" s="19">
        <v>100</v>
      </c>
      <c r="DH52" s="17"/>
      <c r="DI52" s="17">
        <v>45291</v>
      </c>
      <c r="DJ52" s="17"/>
      <c r="DK52" s="17"/>
      <c r="DL52" s="19">
        <v>0</v>
      </c>
      <c r="DM52" s="19">
        <v>0</v>
      </c>
    </row>
    <row r="53" spans="1:117" x14ac:dyDescent="0.2">
      <c r="A53" s="14" t="s">
        <v>3610</v>
      </c>
      <c r="B53" s="14" t="s">
        <v>737</v>
      </c>
      <c r="C53" s="14" t="s">
        <v>73</v>
      </c>
      <c r="D53" s="14" t="s">
        <v>74</v>
      </c>
      <c r="E53" s="14" t="s">
        <v>75</v>
      </c>
      <c r="F53" s="14" t="s">
        <v>76</v>
      </c>
      <c r="G53" s="17">
        <v>45057</v>
      </c>
      <c r="H53" s="14" t="s">
        <v>77</v>
      </c>
      <c r="I53" s="14" t="s">
        <v>78</v>
      </c>
      <c r="J53" s="14" t="s">
        <v>738</v>
      </c>
      <c r="K53" s="14" t="s">
        <v>739</v>
      </c>
      <c r="L53" s="14" t="s">
        <v>102</v>
      </c>
      <c r="M53" s="14" t="s">
        <v>103</v>
      </c>
      <c r="N53" s="16">
        <f>COUNTIF($M$3:M53, M53)</f>
        <v>5</v>
      </c>
      <c r="O53" s="16" t="str" cm="1">
        <f t="array" ref="O53">INDEX('[2]ALTA 20242025'!$B$2:$B$241, MATCH(1, ('[2]ALTA 20242025'!$I$2:$I$241=M53)*('[2]ALTA 20242025'!$J$2:$J$241=N53), 0))</f>
        <v>4564MHF</v>
      </c>
      <c r="P53" s="16"/>
      <c r="Q53" s="16"/>
      <c r="R53" s="14" t="s">
        <v>2048</v>
      </c>
      <c r="S53" s="14" t="s">
        <v>2048</v>
      </c>
      <c r="T53" s="14" t="s">
        <v>2048</v>
      </c>
      <c r="U53" s="14" t="s">
        <v>2048</v>
      </c>
      <c r="V53" s="14" t="s">
        <v>3857</v>
      </c>
      <c r="W53" s="14" t="s">
        <v>3858</v>
      </c>
      <c r="X53" s="14" t="s">
        <v>3859</v>
      </c>
      <c r="Y53" s="14" t="s">
        <v>3860</v>
      </c>
      <c r="Z53" s="14" t="s">
        <v>2048</v>
      </c>
      <c r="AA53" s="14" t="s">
        <v>2422</v>
      </c>
      <c r="AB53" s="14" t="s">
        <v>2049</v>
      </c>
      <c r="AC53" s="14" t="s">
        <v>2050</v>
      </c>
      <c r="AD53" s="14" t="s">
        <v>2048</v>
      </c>
      <c r="AE53" s="14" t="s">
        <v>2048</v>
      </c>
      <c r="AF53" s="14" t="s">
        <v>2048</v>
      </c>
      <c r="AG53" s="14" t="s">
        <v>2048</v>
      </c>
      <c r="AH53" s="14" t="s">
        <v>2048</v>
      </c>
      <c r="AI53" s="14" t="s">
        <v>2129</v>
      </c>
      <c r="AJ53" s="14" t="s">
        <v>2130</v>
      </c>
      <c r="AK53" s="14" t="s">
        <v>2055</v>
      </c>
      <c r="AL53" s="14" t="s">
        <v>2055</v>
      </c>
      <c r="AM53" s="14" t="s">
        <v>2055</v>
      </c>
      <c r="AN53" s="14" t="s">
        <v>2068</v>
      </c>
      <c r="AO53" s="14" t="s">
        <v>2048</v>
      </c>
      <c r="AP53" s="14" t="s">
        <v>2048</v>
      </c>
      <c r="AQ53" s="14" t="s">
        <v>2048</v>
      </c>
      <c r="AR53" s="14" t="s">
        <v>3861</v>
      </c>
      <c r="AS53" s="14" t="s">
        <v>108</v>
      </c>
      <c r="AT53" s="14" t="s">
        <v>3191</v>
      </c>
      <c r="AU53" s="14" t="s">
        <v>3862</v>
      </c>
      <c r="AV53" s="14" t="s">
        <v>3863</v>
      </c>
      <c r="AW53" s="14" t="s">
        <v>3864</v>
      </c>
      <c r="AX53" s="14" t="s">
        <v>72</v>
      </c>
      <c r="AY53" s="14" t="s">
        <v>3865</v>
      </c>
      <c r="AZ53" s="14" t="s">
        <v>3866</v>
      </c>
      <c r="BA53" s="14" t="s">
        <v>2048</v>
      </c>
      <c r="BB53" s="14" t="s">
        <v>2048</v>
      </c>
      <c r="BC53" s="14" t="s">
        <v>102</v>
      </c>
      <c r="BD53" s="14" t="s">
        <v>740</v>
      </c>
      <c r="BE53" s="14" t="s">
        <v>3867</v>
      </c>
      <c r="BF53" s="14" t="s">
        <v>2048</v>
      </c>
      <c r="BG53" s="14" t="s">
        <v>2048</v>
      </c>
      <c r="BH53" s="14" t="s">
        <v>2282</v>
      </c>
      <c r="BI53" s="14" t="s">
        <v>2782</v>
      </c>
      <c r="BJ53" s="14" t="s">
        <v>2783</v>
      </c>
      <c r="BK53" s="14" t="s">
        <v>2784</v>
      </c>
      <c r="BL53" s="14" t="s">
        <v>2785</v>
      </c>
      <c r="BM53" s="14" t="s">
        <v>2287</v>
      </c>
      <c r="BN53" s="14" t="s">
        <v>2048</v>
      </c>
      <c r="BO53" s="14" t="s">
        <v>2048</v>
      </c>
      <c r="BP53" s="14" t="s">
        <v>2064</v>
      </c>
      <c r="BQ53" s="14" t="s">
        <v>72</v>
      </c>
      <c r="BR53" s="14" t="s">
        <v>72</v>
      </c>
      <c r="BS53" s="14" t="s">
        <v>3862</v>
      </c>
      <c r="BT53" s="14" t="s">
        <v>3868</v>
      </c>
      <c r="BU53" s="14" t="s">
        <v>3869</v>
      </c>
      <c r="BV53" s="14" t="s">
        <v>3440</v>
      </c>
      <c r="BW53" s="14" t="s">
        <v>3870</v>
      </c>
      <c r="BX53" s="14" t="s">
        <v>2048</v>
      </c>
      <c r="BY53" s="14" t="s">
        <v>2048</v>
      </c>
      <c r="BZ53" s="14" t="s">
        <v>2048</v>
      </c>
      <c r="CA53" s="14" t="s">
        <v>2048</v>
      </c>
      <c r="CB53" s="14" t="s">
        <v>2048</v>
      </c>
      <c r="CC53" s="14" t="s">
        <v>2048</v>
      </c>
      <c r="CD53" s="14" t="s">
        <v>2048</v>
      </c>
      <c r="CE53" s="14" t="s">
        <v>2048</v>
      </c>
      <c r="CF53" s="14" t="s">
        <v>2048</v>
      </c>
      <c r="CG53" s="14" t="s">
        <v>2048</v>
      </c>
      <c r="CH53" s="14" t="s">
        <v>2048</v>
      </c>
      <c r="CI53" s="14" t="s">
        <v>2048</v>
      </c>
      <c r="CJ53" s="14" t="s">
        <v>2048</v>
      </c>
      <c r="CK53" s="14" t="s">
        <v>3871</v>
      </c>
      <c r="CL53" s="14" t="s">
        <v>3872</v>
      </c>
      <c r="CM53" s="14" t="s">
        <v>2048</v>
      </c>
      <c r="CN53" s="17"/>
      <c r="CO53" s="17">
        <v>44974</v>
      </c>
      <c r="CP53" s="17">
        <v>44974</v>
      </c>
      <c r="CR53" s="17">
        <v>45057</v>
      </c>
      <c r="CS53" s="19">
        <v>3</v>
      </c>
      <c r="CT53" s="19">
        <v>0</v>
      </c>
      <c r="CU53" s="19">
        <v>633.95000000000005</v>
      </c>
      <c r="CV53" s="19">
        <v>0</v>
      </c>
      <c r="CW53" s="19">
        <v>633.95000000000005</v>
      </c>
      <c r="CX53" s="19">
        <v>767.08</v>
      </c>
      <c r="CY53" s="19">
        <v>0</v>
      </c>
      <c r="CZ53" s="17"/>
      <c r="DA53" s="19">
        <v>0</v>
      </c>
      <c r="DB53" s="17"/>
      <c r="DC53" s="17"/>
      <c r="DD53" s="19">
        <v>0</v>
      </c>
      <c r="DE53" s="17"/>
      <c r="DF53" s="17"/>
      <c r="DG53" s="19">
        <v>100</v>
      </c>
      <c r="DH53" s="17"/>
      <c r="DI53" s="17">
        <v>45107</v>
      </c>
      <c r="DJ53" s="17"/>
      <c r="DK53" s="17"/>
      <c r="DL53" s="19">
        <v>0</v>
      </c>
      <c r="DM53" s="19">
        <v>0</v>
      </c>
    </row>
    <row r="54" spans="1:117" x14ac:dyDescent="0.2">
      <c r="A54" s="14" t="s">
        <v>3610</v>
      </c>
      <c r="B54" s="14" t="s">
        <v>1219</v>
      </c>
      <c r="C54" s="14" t="s">
        <v>1143</v>
      </c>
      <c r="D54" s="14" t="s">
        <v>74</v>
      </c>
      <c r="E54" s="14" t="s">
        <v>75</v>
      </c>
      <c r="F54" s="14" t="s">
        <v>76</v>
      </c>
      <c r="G54" s="17">
        <v>45260</v>
      </c>
      <c r="H54" s="14" t="s">
        <v>77</v>
      </c>
      <c r="I54" s="14" t="s">
        <v>78</v>
      </c>
      <c r="J54" s="14" t="s">
        <v>1203</v>
      </c>
      <c r="K54" s="14" t="s">
        <v>1049</v>
      </c>
      <c r="L54" s="14" t="s">
        <v>1050</v>
      </c>
      <c r="M54" s="14" t="s">
        <v>1051</v>
      </c>
      <c r="N54" s="16">
        <f>COUNTIF($M$3:M54, M54)</f>
        <v>6</v>
      </c>
      <c r="O54" s="16" t="e" cm="1">
        <f t="array" ref="O54">INDEX('[2]ALTA 20242025'!$B$2:$B$241, MATCH(1, ('[2]ALTA 20242025'!$I$2:$I$241=M54)*('[2]ALTA 20242025'!$J$2:$J$241=N54), 0))</f>
        <v>#N/A</v>
      </c>
      <c r="P54" s="16"/>
      <c r="Q54" s="16"/>
      <c r="R54" s="14" t="s">
        <v>2048</v>
      </c>
      <c r="S54" s="14" t="s">
        <v>2048</v>
      </c>
      <c r="T54" s="14" t="s">
        <v>2048</v>
      </c>
      <c r="U54" s="14" t="s">
        <v>2048</v>
      </c>
      <c r="V54" s="14" t="s">
        <v>3873</v>
      </c>
      <c r="W54" s="14" t="s">
        <v>72</v>
      </c>
      <c r="X54" s="14" t="s">
        <v>72</v>
      </c>
      <c r="Y54" s="14" t="s">
        <v>3874</v>
      </c>
      <c r="Z54" s="14" t="s">
        <v>2048</v>
      </c>
      <c r="AA54" s="14" t="s">
        <v>2422</v>
      </c>
      <c r="AB54" s="14" t="s">
        <v>2049</v>
      </c>
      <c r="AC54" s="14" t="s">
        <v>2050</v>
      </c>
      <c r="AD54" s="14" t="s">
        <v>2048</v>
      </c>
      <c r="AE54" s="14" t="s">
        <v>2048</v>
      </c>
      <c r="AF54" s="14" t="s">
        <v>2048</v>
      </c>
      <c r="AG54" s="14" t="s">
        <v>200</v>
      </c>
      <c r="AH54" s="14" t="s">
        <v>3622</v>
      </c>
      <c r="AI54" s="14" t="s">
        <v>2129</v>
      </c>
      <c r="AJ54" s="14" t="s">
        <v>2130</v>
      </c>
      <c r="AK54" s="14" t="s">
        <v>2055</v>
      </c>
      <c r="AL54" s="14" t="s">
        <v>2055</v>
      </c>
      <c r="AM54" s="14" t="s">
        <v>2055</v>
      </c>
      <c r="AN54" s="14" t="s">
        <v>2068</v>
      </c>
      <c r="AO54" s="14" t="s">
        <v>2048</v>
      </c>
      <c r="AP54" s="14" t="s">
        <v>2048</v>
      </c>
      <c r="AQ54" s="14" t="s">
        <v>2048</v>
      </c>
      <c r="AR54" s="14" t="s">
        <v>2048</v>
      </c>
      <c r="AS54" s="14" t="s">
        <v>3776</v>
      </c>
      <c r="AT54" s="14" t="s">
        <v>2535</v>
      </c>
      <c r="AU54" s="14" t="s">
        <v>2059</v>
      </c>
      <c r="AV54" s="14" t="s">
        <v>2060</v>
      </c>
      <c r="AW54" s="14" t="s">
        <v>2048</v>
      </c>
      <c r="AX54" s="14" t="s">
        <v>2048</v>
      </c>
      <c r="AY54" s="14" t="s">
        <v>2561</v>
      </c>
      <c r="AZ54" s="14" t="s">
        <v>2562</v>
      </c>
      <c r="BA54" s="14" t="s">
        <v>2048</v>
      </c>
      <c r="BB54" s="14" t="s">
        <v>2048</v>
      </c>
      <c r="BC54" s="14" t="s">
        <v>1050</v>
      </c>
      <c r="BD54" s="14" t="s">
        <v>1220</v>
      </c>
      <c r="BE54" s="14" t="s">
        <v>3875</v>
      </c>
      <c r="BF54" s="14" t="s">
        <v>2048</v>
      </c>
      <c r="BG54" s="14" t="s">
        <v>2048</v>
      </c>
      <c r="BH54" s="14" t="s">
        <v>2271</v>
      </c>
      <c r="BI54" s="14" t="s">
        <v>3666</v>
      </c>
      <c r="BJ54" s="14" t="s">
        <v>2271</v>
      </c>
      <c r="BK54" s="14" t="s">
        <v>3666</v>
      </c>
      <c r="BL54" s="14" t="s">
        <v>3667</v>
      </c>
      <c r="BM54" s="14" t="s">
        <v>3668</v>
      </c>
      <c r="BN54" s="14" t="s">
        <v>2048</v>
      </c>
      <c r="BO54" s="14" t="s">
        <v>2048</v>
      </c>
      <c r="BP54" s="14" t="s">
        <v>2064</v>
      </c>
      <c r="BQ54" s="14" t="s">
        <v>72</v>
      </c>
      <c r="BR54" s="14" t="s">
        <v>72</v>
      </c>
      <c r="BS54" s="14" t="s">
        <v>2048</v>
      </c>
      <c r="BT54" s="14" t="s">
        <v>2048</v>
      </c>
      <c r="BU54" s="14" t="s">
        <v>2048</v>
      </c>
      <c r="BV54" s="14" t="s">
        <v>2535</v>
      </c>
      <c r="BW54" s="14" t="s">
        <v>3672</v>
      </c>
      <c r="BX54" s="14" t="s">
        <v>2048</v>
      </c>
      <c r="BY54" s="14" t="s">
        <v>2048</v>
      </c>
      <c r="BZ54" s="14" t="s">
        <v>2048</v>
      </c>
      <c r="CA54" s="14" t="s">
        <v>2048</v>
      </c>
      <c r="CB54" s="14" t="s">
        <v>2048</v>
      </c>
      <c r="CC54" s="14" t="s">
        <v>2048</v>
      </c>
      <c r="CD54" s="14" t="s">
        <v>2048</v>
      </c>
      <c r="CE54" s="14" t="s">
        <v>2048</v>
      </c>
      <c r="CF54" s="14" t="s">
        <v>2048</v>
      </c>
      <c r="CG54" s="14" t="s">
        <v>2048</v>
      </c>
      <c r="CH54" s="14" t="s">
        <v>2048</v>
      </c>
      <c r="CI54" s="14" t="s">
        <v>2048</v>
      </c>
      <c r="CJ54" s="14" t="s">
        <v>2048</v>
      </c>
      <c r="CK54" s="14" t="s">
        <v>3651</v>
      </c>
      <c r="CL54" s="14" t="s">
        <v>3652</v>
      </c>
      <c r="CM54" s="14" t="s">
        <v>2048</v>
      </c>
      <c r="CN54" s="17"/>
      <c r="CO54" s="17">
        <v>44664</v>
      </c>
      <c r="CP54" s="17">
        <v>44664</v>
      </c>
      <c r="CR54" s="17">
        <v>45260</v>
      </c>
      <c r="CS54" s="19">
        <v>19</v>
      </c>
      <c r="CT54" s="19">
        <v>0</v>
      </c>
      <c r="CU54" s="20">
        <v>4250</v>
      </c>
      <c r="CV54" s="19">
        <v>0</v>
      </c>
      <c r="CW54" s="20">
        <v>4250</v>
      </c>
      <c r="CX54" s="20">
        <v>5142.5</v>
      </c>
      <c r="CY54" s="19">
        <v>0</v>
      </c>
      <c r="CZ54" s="17"/>
      <c r="DA54" s="19">
        <v>0</v>
      </c>
      <c r="DB54" s="17"/>
      <c r="DC54" s="17"/>
      <c r="DD54" s="19">
        <v>0</v>
      </c>
      <c r="DE54" s="17"/>
      <c r="DF54" s="17"/>
      <c r="DG54" s="19">
        <v>100</v>
      </c>
      <c r="DH54" s="17"/>
      <c r="DI54" s="17">
        <v>44926</v>
      </c>
      <c r="DJ54" s="17"/>
      <c r="DK54" s="17"/>
      <c r="DL54" s="19">
        <v>0</v>
      </c>
      <c r="DM54" s="19">
        <v>0</v>
      </c>
    </row>
    <row r="55" spans="1:117" x14ac:dyDescent="0.2">
      <c r="A55" s="14" t="s">
        <v>3610</v>
      </c>
      <c r="B55" s="14" t="s">
        <v>1222</v>
      </c>
      <c r="C55" s="14" t="s">
        <v>158</v>
      </c>
      <c r="D55" s="14" t="s">
        <v>159</v>
      </c>
      <c r="E55" s="14" t="s">
        <v>158</v>
      </c>
      <c r="F55" s="14" t="s">
        <v>171</v>
      </c>
      <c r="G55" s="17">
        <v>45090</v>
      </c>
      <c r="H55" s="14" t="s">
        <v>172</v>
      </c>
      <c r="I55" s="14" t="s">
        <v>78</v>
      </c>
      <c r="J55" s="14" t="s">
        <v>1203</v>
      </c>
      <c r="K55" s="14" t="s">
        <v>1049</v>
      </c>
      <c r="L55" s="14" t="s">
        <v>1050</v>
      </c>
      <c r="M55" s="14" t="s">
        <v>1051</v>
      </c>
      <c r="N55" s="16">
        <f>COUNTIF($M$3:M55, M55)</f>
        <v>7</v>
      </c>
      <c r="O55" s="16" t="e" cm="1">
        <f t="array" ref="O55">INDEX('[2]ALTA 20242025'!$B$2:$B$241, MATCH(1, ('[2]ALTA 20242025'!$I$2:$I$241=M55)*('[2]ALTA 20242025'!$J$2:$J$241=N55), 0))</f>
        <v>#N/A</v>
      </c>
      <c r="P55" s="16"/>
      <c r="Q55" s="16"/>
      <c r="R55" s="14" t="s">
        <v>2048</v>
      </c>
      <c r="S55" s="14" t="s">
        <v>2048</v>
      </c>
      <c r="T55" s="14" t="s">
        <v>2048</v>
      </c>
      <c r="U55" s="14" t="s">
        <v>2048</v>
      </c>
      <c r="V55" s="14" t="s">
        <v>3677</v>
      </c>
      <c r="W55" s="14" t="s">
        <v>2048</v>
      </c>
      <c r="X55" s="14" t="s">
        <v>2048</v>
      </c>
      <c r="Y55" s="14" t="s">
        <v>2048</v>
      </c>
      <c r="Z55" s="14" t="s">
        <v>2048</v>
      </c>
      <c r="AA55" s="14" t="s">
        <v>2422</v>
      </c>
      <c r="AB55" s="14" t="s">
        <v>2049</v>
      </c>
      <c r="AC55" s="14" t="s">
        <v>3678</v>
      </c>
      <c r="AD55" s="14" t="s">
        <v>2048</v>
      </c>
      <c r="AE55" s="14" t="s">
        <v>2048</v>
      </c>
      <c r="AF55" s="14" t="s">
        <v>2048</v>
      </c>
      <c r="AG55" s="14" t="s">
        <v>2048</v>
      </c>
      <c r="AH55" s="14" t="s">
        <v>2048</v>
      </c>
      <c r="AI55" s="14" t="s">
        <v>2132</v>
      </c>
      <c r="AJ55" s="14" t="s">
        <v>2133</v>
      </c>
      <c r="AK55" s="14" t="s">
        <v>2048</v>
      </c>
      <c r="AL55" s="14" t="s">
        <v>2048</v>
      </c>
      <c r="AM55" s="14" t="s">
        <v>2048</v>
      </c>
      <c r="AN55" s="14" t="s">
        <v>2068</v>
      </c>
      <c r="AO55" s="14" t="s">
        <v>2048</v>
      </c>
      <c r="AP55" s="14" t="s">
        <v>2048</v>
      </c>
      <c r="AQ55" s="14" t="s">
        <v>2048</v>
      </c>
      <c r="AR55" s="14" t="s">
        <v>2048</v>
      </c>
      <c r="AS55" s="14" t="s">
        <v>2048</v>
      </c>
      <c r="AT55" s="14" t="s">
        <v>2048</v>
      </c>
      <c r="AU55" s="14" t="s">
        <v>2048</v>
      </c>
      <c r="AV55" s="14" t="s">
        <v>3876</v>
      </c>
      <c r="AW55" s="14" t="s">
        <v>3877</v>
      </c>
      <c r="AX55" s="14" t="s">
        <v>72</v>
      </c>
      <c r="AY55" s="14" t="s">
        <v>3662</v>
      </c>
      <c r="AZ55" s="14" t="s">
        <v>3663</v>
      </c>
      <c r="BA55" s="14" t="s">
        <v>3627</v>
      </c>
      <c r="BB55" s="14" t="s">
        <v>2048</v>
      </c>
      <c r="BC55" s="14" t="s">
        <v>1050</v>
      </c>
      <c r="BD55" s="14" t="s">
        <v>1145</v>
      </c>
      <c r="BE55" s="14" t="s">
        <v>3707</v>
      </c>
      <c r="BF55" s="14" t="s">
        <v>2048</v>
      </c>
      <c r="BG55" s="14" t="s">
        <v>2048</v>
      </c>
      <c r="BH55" s="14" t="s">
        <v>2271</v>
      </c>
      <c r="BI55" s="14" t="s">
        <v>3666</v>
      </c>
      <c r="BJ55" s="14" t="s">
        <v>2271</v>
      </c>
      <c r="BK55" s="14" t="s">
        <v>3666</v>
      </c>
      <c r="BL55" s="14" t="s">
        <v>3667</v>
      </c>
      <c r="BM55" s="14" t="s">
        <v>3668</v>
      </c>
      <c r="BN55" s="14" t="s">
        <v>2048</v>
      </c>
      <c r="BO55" s="14" t="s">
        <v>2518</v>
      </c>
      <c r="BP55" s="14" t="s">
        <v>2064</v>
      </c>
      <c r="BQ55" s="14" t="s">
        <v>2048</v>
      </c>
      <c r="BR55" s="14" t="s">
        <v>2048</v>
      </c>
      <c r="BS55" s="14" t="s">
        <v>3878</v>
      </c>
      <c r="BT55" s="14" t="s">
        <v>3879</v>
      </c>
      <c r="BU55" s="14" t="s">
        <v>3671</v>
      </c>
      <c r="BV55" s="14" t="s">
        <v>2535</v>
      </c>
      <c r="BW55" s="14" t="s">
        <v>3672</v>
      </c>
      <c r="BX55" s="14" t="s">
        <v>2048</v>
      </c>
      <c r="BY55" s="14" t="s">
        <v>2048</v>
      </c>
      <c r="BZ55" s="14" t="s">
        <v>2048</v>
      </c>
      <c r="CA55" s="14" t="s">
        <v>2048</v>
      </c>
      <c r="CB55" s="14" t="s">
        <v>2048</v>
      </c>
      <c r="CC55" s="14" t="s">
        <v>2048</v>
      </c>
      <c r="CD55" s="14" t="s">
        <v>2048</v>
      </c>
      <c r="CE55" s="14" t="s">
        <v>2048</v>
      </c>
      <c r="CF55" s="14" t="s">
        <v>2048</v>
      </c>
      <c r="CG55" s="14" t="s">
        <v>2048</v>
      </c>
      <c r="CH55" s="14" t="s">
        <v>2048</v>
      </c>
      <c r="CI55" s="14" t="s">
        <v>2048</v>
      </c>
      <c r="CJ55" s="14" t="s">
        <v>2048</v>
      </c>
      <c r="CK55" s="14" t="s">
        <v>3651</v>
      </c>
      <c r="CL55" s="14" t="s">
        <v>3652</v>
      </c>
      <c r="CM55" s="14" t="s">
        <v>2048</v>
      </c>
      <c r="CN55" s="17"/>
      <c r="CO55" s="17">
        <v>40038</v>
      </c>
      <c r="CP55" s="17">
        <v>40038</v>
      </c>
      <c r="CR55" s="17">
        <v>45090</v>
      </c>
      <c r="CS55" s="19">
        <v>0</v>
      </c>
      <c r="CT55" s="19">
        <v>0</v>
      </c>
      <c r="CU55" s="19">
        <v>0</v>
      </c>
      <c r="CV55" s="19">
        <v>0</v>
      </c>
      <c r="CW55" s="19">
        <v>0</v>
      </c>
      <c r="CX55" s="19">
        <v>0</v>
      </c>
      <c r="CY55" s="19">
        <v>0</v>
      </c>
      <c r="CZ55" s="17"/>
      <c r="DA55" s="20">
        <v>12568</v>
      </c>
      <c r="DB55" s="17">
        <v>45382</v>
      </c>
      <c r="DC55" s="17"/>
      <c r="DD55" s="19">
        <v>0</v>
      </c>
      <c r="DE55" s="17"/>
      <c r="DF55" s="17"/>
      <c r="DG55" s="19">
        <v>50</v>
      </c>
      <c r="DH55" s="17"/>
      <c r="DI55" s="17">
        <v>2958465</v>
      </c>
      <c r="DJ55" s="17"/>
      <c r="DK55" s="17"/>
      <c r="DL55" s="19">
        <v>0</v>
      </c>
      <c r="DM55" s="19">
        <v>0</v>
      </c>
    </row>
    <row r="56" spans="1:117" x14ac:dyDescent="0.2">
      <c r="A56" s="14" t="s">
        <v>3610</v>
      </c>
      <c r="B56" s="14" t="s">
        <v>811</v>
      </c>
      <c r="C56" s="14" t="s">
        <v>725</v>
      </c>
      <c r="D56" s="14" t="s">
        <v>74</v>
      </c>
      <c r="E56" s="14" t="s">
        <v>75</v>
      </c>
      <c r="F56" s="14" t="s">
        <v>76</v>
      </c>
      <c r="G56" s="17">
        <v>45107</v>
      </c>
      <c r="H56" s="14" t="s">
        <v>77</v>
      </c>
      <c r="I56" s="14" t="s">
        <v>78</v>
      </c>
      <c r="J56" s="14" t="s">
        <v>79</v>
      </c>
      <c r="K56" s="14" t="s">
        <v>812</v>
      </c>
      <c r="L56" s="14" t="s">
        <v>102</v>
      </c>
      <c r="M56" s="14" t="s">
        <v>103</v>
      </c>
      <c r="N56" s="16">
        <f>COUNTIF($M$3:M56, M56)</f>
        <v>6</v>
      </c>
      <c r="O56" s="16" t="str" cm="1">
        <f t="array" ref="O56">INDEX('[2]ALTA 20242025'!$B$2:$B$241, MATCH(1, ('[2]ALTA 20242025'!$I$2:$I$241=M56)*('[2]ALTA 20242025'!$J$2:$J$241=N56), 0))</f>
        <v>0404MGW</v>
      </c>
      <c r="P56" s="16"/>
      <c r="Q56" s="16"/>
      <c r="R56" s="14" t="s">
        <v>2048</v>
      </c>
      <c r="S56" s="14" t="s">
        <v>2048</v>
      </c>
      <c r="T56" s="14" t="s">
        <v>2048</v>
      </c>
      <c r="U56" s="14" t="s">
        <v>2048</v>
      </c>
      <c r="V56" s="14" t="s">
        <v>72</v>
      </c>
      <c r="W56" s="14" t="s">
        <v>3880</v>
      </c>
      <c r="X56" s="14" t="s">
        <v>3881</v>
      </c>
      <c r="Y56" s="14" t="s">
        <v>3882</v>
      </c>
      <c r="Z56" s="14" t="s">
        <v>2048</v>
      </c>
      <c r="AA56" s="14" t="s">
        <v>2422</v>
      </c>
      <c r="AB56" s="14" t="s">
        <v>2049</v>
      </c>
      <c r="AC56" s="14" t="s">
        <v>2050</v>
      </c>
      <c r="AD56" s="14" t="s">
        <v>2048</v>
      </c>
      <c r="AE56" s="14" t="s">
        <v>2048</v>
      </c>
      <c r="AF56" s="14" t="s">
        <v>2048</v>
      </c>
      <c r="AG56" s="14" t="s">
        <v>2048</v>
      </c>
      <c r="AH56" s="14" t="s">
        <v>2048</v>
      </c>
      <c r="AI56" s="14" t="s">
        <v>2129</v>
      </c>
      <c r="AJ56" s="14" t="s">
        <v>2130</v>
      </c>
      <c r="AK56" s="14" t="s">
        <v>2055</v>
      </c>
      <c r="AL56" s="14" t="s">
        <v>2055</v>
      </c>
      <c r="AM56" s="14" t="s">
        <v>2055</v>
      </c>
      <c r="AN56" s="14" t="s">
        <v>2068</v>
      </c>
      <c r="AO56" s="14" t="s">
        <v>2048</v>
      </c>
      <c r="AP56" s="14" t="s">
        <v>2048</v>
      </c>
      <c r="AQ56" s="14" t="s">
        <v>2048</v>
      </c>
      <c r="AR56" s="14" t="s">
        <v>2074</v>
      </c>
      <c r="AS56" s="14" t="s">
        <v>108</v>
      </c>
      <c r="AT56" s="14" t="s">
        <v>3191</v>
      </c>
      <c r="AU56" s="14" t="s">
        <v>2059</v>
      </c>
      <c r="AV56" s="14" t="s">
        <v>2060</v>
      </c>
      <c r="AW56" s="14" t="s">
        <v>2048</v>
      </c>
      <c r="AX56" s="14" t="s">
        <v>2048</v>
      </c>
      <c r="AY56" s="14" t="s">
        <v>2118</v>
      </c>
      <c r="AZ56" s="14" t="s">
        <v>2119</v>
      </c>
      <c r="BA56" s="14" t="s">
        <v>2048</v>
      </c>
      <c r="BB56" s="14" t="s">
        <v>2048</v>
      </c>
      <c r="BC56" s="14" t="s">
        <v>102</v>
      </c>
      <c r="BD56" s="14" t="s">
        <v>440</v>
      </c>
      <c r="BE56" s="14" t="s">
        <v>2079</v>
      </c>
      <c r="BF56" s="14" t="s">
        <v>2048</v>
      </c>
      <c r="BG56" s="14" t="s">
        <v>2048</v>
      </c>
      <c r="BH56" s="14" t="s">
        <v>2080</v>
      </c>
      <c r="BI56" s="14" t="s">
        <v>2081</v>
      </c>
      <c r="BJ56" s="14" t="s">
        <v>2082</v>
      </c>
      <c r="BK56" s="14" t="s">
        <v>2083</v>
      </c>
      <c r="BL56" s="14" t="s">
        <v>2084</v>
      </c>
      <c r="BM56" s="14" t="s">
        <v>2085</v>
      </c>
      <c r="BN56" s="14" t="s">
        <v>2048</v>
      </c>
      <c r="BO56" s="14" t="s">
        <v>2518</v>
      </c>
      <c r="BP56" s="14" t="s">
        <v>2064</v>
      </c>
      <c r="BQ56" s="14" t="s">
        <v>72</v>
      </c>
      <c r="BR56" s="14" t="s">
        <v>72</v>
      </c>
      <c r="BS56" s="14" t="s">
        <v>2048</v>
      </c>
      <c r="BT56" s="14" t="s">
        <v>2048</v>
      </c>
      <c r="BU56" s="14" t="s">
        <v>2048</v>
      </c>
      <c r="BV56" s="14" t="s">
        <v>2418</v>
      </c>
      <c r="BW56" s="14" t="s">
        <v>2089</v>
      </c>
      <c r="BX56" s="14" t="s">
        <v>2048</v>
      </c>
      <c r="BY56" s="14" t="s">
        <v>2048</v>
      </c>
      <c r="BZ56" s="14" t="s">
        <v>2048</v>
      </c>
      <c r="CA56" s="14" t="s">
        <v>2048</v>
      </c>
      <c r="CB56" s="14" t="s">
        <v>72</v>
      </c>
      <c r="CC56" s="14" t="s">
        <v>2048</v>
      </c>
      <c r="CD56" s="14" t="s">
        <v>2048</v>
      </c>
      <c r="CE56" s="14" t="s">
        <v>2048</v>
      </c>
      <c r="CF56" s="14" t="s">
        <v>2048</v>
      </c>
      <c r="CG56" s="14" t="s">
        <v>2048</v>
      </c>
      <c r="CH56" s="14" t="s">
        <v>2048</v>
      </c>
      <c r="CI56" s="14" t="s">
        <v>2048</v>
      </c>
      <c r="CJ56" s="14" t="s">
        <v>2048</v>
      </c>
      <c r="CK56" s="14" t="s">
        <v>2057</v>
      </c>
      <c r="CL56" s="14" t="s">
        <v>2090</v>
      </c>
      <c r="CM56" s="14" t="s">
        <v>2048</v>
      </c>
      <c r="CN56" s="17"/>
      <c r="CO56" s="17">
        <v>44958</v>
      </c>
      <c r="CP56" s="17">
        <v>44958</v>
      </c>
      <c r="CR56" s="17">
        <v>45111</v>
      </c>
      <c r="CS56" s="19">
        <v>0</v>
      </c>
      <c r="CT56" s="19">
        <v>0</v>
      </c>
      <c r="CU56" s="19">
        <v>398.9</v>
      </c>
      <c r="CV56" s="19">
        <v>0</v>
      </c>
      <c r="CW56" s="19">
        <v>398.9</v>
      </c>
      <c r="CX56" s="19">
        <v>482.67</v>
      </c>
      <c r="CY56" s="19">
        <v>0</v>
      </c>
      <c r="CZ56" s="17"/>
      <c r="DA56" s="19">
        <v>0</v>
      </c>
      <c r="DB56" s="17"/>
      <c r="DC56" s="17"/>
      <c r="DD56" s="19">
        <v>0</v>
      </c>
      <c r="DE56" s="17"/>
      <c r="DF56" s="17"/>
      <c r="DG56" s="19">
        <v>100</v>
      </c>
      <c r="DH56" s="17"/>
      <c r="DI56" s="17">
        <v>45291</v>
      </c>
      <c r="DJ56" s="17"/>
      <c r="DK56" s="17"/>
      <c r="DL56" s="19">
        <v>0</v>
      </c>
      <c r="DM56" s="19">
        <v>0</v>
      </c>
    </row>
    <row r="57" spans="1:117" x14ac:dyDescent="0.2">
      <c r="A57" s="14" t="s">
        <v>3610</v>
      </c>
      <c r="B57" s="14" t="s">
        <v>724</v>
      </c>
      <c r="C57" s="14" t="s">
        <v>725</v>
      </c>
      <c r="D57" s="14" t="s">
        <v>74</v>
      </c>
      <c r="E57" s="14" t="s">
        <v>75</v>
      </c>
      <c r="F57" s="14" t="s">
        <v>76</v>
      </c>
      <c r="G57" s="17">
        <v>45107</v>
      </c>
      <c r="H57" s="14" t="s">
        <v>77</v>
      </c>
      <c r="I57" s="14" t="s">
        <v>78</v>
      </c>
      <c r="J57" s="14" t="s">
        <v>726</v>
      </c>
      <c r="K57" s="14" t="s">
        <v>727</v>
      </c>
      <c r="L57" s="14" t="s">
        <v>102</v>
      </c>
      <c r="M57" s="14" t="s">
        <v>103</v>
      </c>
      <c r="N57" s="16">
        <f>COUNTIF($M$3:M57, M57)</f>
        <v>7</v>
      </c>
      <c r="O57" s="16" t="str" cm="1">
        <f t="array" ref="O57">INDEX('[2]ALTA 20242025'!$B$2:$B$241, MATCH(1, ('[2]ALTA 20242025'!$I$2:$I$241=M57)*('[2]ALTA 20242025'!$J$2:$J$241=N57), 0))</f>
        <v>0408MGW</v>
      </c>
      <c r="P57" s="16"/>
      <c r="Q57" s="16"/>
      <c r="R57" s="14" t="s">
        <v>2048</v>
      </c>
      <c r="S57" s="14" t="s">
        <v>2048</v>
      </c>
      <c r="T57" s="14" t="s">
        <v>2048</v>
      </c>
      <c r="U57" s="14" t="s">
        <v>2048</v>
      </c>
      <c r="V57" s="14" t="s">
        <v>72</v>
      </c>
      <c r="W57" s="14" t="s">
        <v>3883</v>
      </c>
      <c r="X57" s="14" t="s">
        <v>3881</v>
      </c>
      <c r="Y57" s="14" t="s">
        <v>3884</v>
      </c>
      <c r="Z57" s="14" t="s">
        <v>2048</v>
      </c>
      <c r="AA57" s="14" t="s">
        <v>2422</v>
      </c>
      <c r="AB57" s="14" t="s">
        <v>2049</v>
      </c>
      <c r="AC57" s="14" t="s">
        <v>2050</v>
      </c>
      <c r="AD57" s="14" t="s">
        <v>2048</v>
      </c>
      <c r="AE57" s="14" t="s">
        <v>2048</v>
      </c>
      <c r="AF57" s="14" t="s">
        <v>2048</v>
      </c>
      <c r="AG57" s="14" t="s">
        <v>2048</v>
      </c>
      <c r="AH57" s="14" t="s">
        <v>2048</v>
      </c>
      <c r="AI57" s="14" t="s">
        <v>2129</v>
      </c>
      <c r="AJ57" s="14" t="s">
        <v>2130</v>
      </c>
      <c r="AK57" s="14" t="s">
        <v>2055</v>
      </c>
      <c r="AL57" s="14" t="s">
        <v>2055</v>
      </c>
      <c r="AM57" s="14" t="s">
        <v>2055</v>
      </c>
      <c r="AN57" s="14" t="s">
        <v>2068</v>
      </c>
      <c r="AO57" s="14" t="s">
        <v>2048</v>
      </c>
      <c r="AP57" s="14" t="s">
        <v>2048</v>
      </c>
      <c r="AQ57" s="14" t="s">
        <v>2048</v>
      </c>
      <c r="AR57" s="14" t="s">
        <v>2074</v>
      </c>
      <c r="AS57" s="14" t="s">
        <v>108</v>
      </c>
      <c r="AT57" s="14" t="s">
        <v>3191</v>
      </c>
      <c r="AU57" s="14" t="s">
        <v>2059</v>
      </c>
      <c r="AV57" s="14" t="s">
        <v>2060</v>
      </c>
      <c r="AW57" s="14" t="s">
        <v>2048</v>
      </c>
      <c r="AX57" s="14" t="s">
        <v>2048</v>
      </c>
      <c r="AY57" s="14" t="s">
        <v>2118</v>
      </c>
      <c r="AZ57" s="14" t="s">
        <v>2119</v>
      </c>
      <c r="BA57" s="14" t="s">
        <v>2048</v>
      </c>
      <c r="BB57" s="14" t="s">
        <v>2048</v>
      </c>
      <c r="BC57" s="14" t="s">
        <v>102</v>
      </c>
      <c r="BD57" s="14" t="s">
        <v>440</v>
      </c>
      <c r="BE57" s="14" t="s">
        <v>2079</v>
      </c>
      <c r="BF57" s="14" t="s">
        <v>2048</v>
      </c>
      <c r="BG57" s="14" t="s">
        <v>2048</v>
      </c>
      <c r="BH57" s="14" t="s">
        <v>2080</v>
      </c>
      <c r="BI57" s="14" t="s">
        <v>2081</v>
      </c>
      <c r="BJ57" s="14" t="s">
        <v>2082</v>
      </c>
      <c r="BK57" s="14" t="s">
        <v>2083</v>
      </c>
      <c r="BL57" s="14" t="s">
        <v>2084</v>
      </c>
      <c r="BM57" s="14" t="s">
        <v>2085</v>
      </c>
      <c r="BN57" s="14" t="s">
        <v>2048</v>
      </c>
      <c r="BO57" s="14" t="s">
        <v>2518</v>
      </c>
      <c r="BP57" s="14" t="s">
        <v>2064</v>
      </c>
      <c r="BQ57" s="14" t="s">
        <v>72</v>
      </c>
      <c r="BR57" s="14" t="s">
        <v>72</v>
      </c>
      <c r="BS57" s="14" t="s">
        <v>2048</v>
      </c>
      <c r="BT57" s="14" t="s">
        <v>2048</v>
      </c>
      <c r="BU57" s="14" t="s">
        <v>2048</v>
      </c>
      <c r="BV57" s="14" t="s">
        <v>2418</v>
      </c>
      <c r="BW57" s="14" t="s">
        <v>2089</v>
      </c>
      <c r="BX57" s="14" t="s">
        <v>2048</v>
      </c>
      <c r="BY57" s="14" t="s">
        <v>2048</v>
      </c>
      <c r="BZ57" s="14" t="s">
        <v>2048</v>
      </c>
      <c r="CA57" s="14" t="s">
        <v>2048</v>
      </c>
      <c r="CB57" s="14" t="s">
        <v>72</v>
      </c>
      <c r="CC57" s="14" t="s">
        <v>2048</v>
      </c>
      <c r="CD57" s="14" t="s">
        <v>2048</v>
      </c>
      <c r="CE57" s="14" t="s">
        <v>2048</v>
      </c>
      <c r="CF57" s="14" t="s">
        <v>2048</v>
      </c>
      <c r="CG57" s="14" t="s">
        <v>2048</v>
      </c>
      <c r="CH57" s="14" t="s">
        <v>2048</v>
      </c>
      <c r="CI57" s="14" t="s">
        <v>2048</v>
      </c>
      <c r="CJ57" s="14" t="s">
        <v>2048</v>
      </c>
      <c r="CK57" s="14" t="s">
        <v>2057</v>
      </c>
      <c r="CL57" s="14" t="s">
        <v>2090</v>
      </c>
      <c r="CM57" s="14" t="s">
        <v>2048</v>
      </c>
      <c r="CN57" s="17"/>
      <c r="CO57" s="17">
        <v>44958</v>
      </c>
      <c r="CP57" s="17">
        <v>44958</v>
      </c>
      <c r="CR57" s="17">
        <v>45107</v>
      </c>
      <c r="CS57" s="19">
        <v>0</v>
      </c>
      <c r="CT57" s="19">
        <v>0</v>
      </c>
      <c r="CU57" s="19">
        <v>398.9</v>
      </c>
      <c r="CV57" s="19">
        <v>0</v>
      </c>
      <c r="CW57" s="19">
        <v>398.9</v>
      </c>
      <c r="CX57" s="19">
        <v>482.67</v>
      </c>
      <c r="CY57" s="19">
        <v>0</v>
      </c>
      <c r="CZ57" s="17"/>
      <c r="DA57" s="19">
        <v>0</v>
      </c>
      <c r="DB57" s="17"/>
      <c r="DC57" s="17"/>
      <c r="DD57" s="19">
        <v>0</v>
      </c>
      <c r="DE57" s="17"/>
      <c r="DF57" s="17"/>
      <c r="DG57" s="19">
        <v>100</v>
      </c>
      <c r="DH57" s="17"/>
      <c r="DI57" s="17">
        <v>45291</v>
      </c>
      <c r="DJ57" s="17"/>
      <c r="DK57" s="17"/>
      <c r="DL57" s="19">
        <v>0</v>
      </c>
      <c r="DM57" s="19">
        <v>0</v>
      </c>
    </row>
    <row r="58" spans="1:117" x14ac:dyDescent="0.2">
      <c r="A58" s="14" t="s">
        <v>3610</v>
      </c>
      <c r="B58" s="14" t="s">
        <v>1224</v>
      </c>
      <c r="C58" s="14" t="s">
        <v>158</v>
      </c>
      <c r="D58" s="14" t="s">
        <v>159</v>
      </c>
      <c r="E58" s="14" t="s">
        <v>158</v>
      </c>
      <c r="F58" s="14" t="s">
        <v>171</v>
      </c>
      <c r="G58" s="17">
        <v>45124</v>
      </c>
      <c r="H58" s="14" t="s">
        <v>172</v>
      </c>
      <c r="I58" s="14" t="s">
        <v>78</v>
      </c>
      <c r="J58" s="14" t="s">
        <v>1048</v>
      </c>
      <c r="K58" s="14" t="s">
        <v>1225</v>
      </c>
      <c r="L58" s="14" t="s">
        <v>1050</v>
      </c>
      <c r="M58" s="14" t="s">
        <v>1051</v>
      </c>
      <c r="N58" s="16">
        <f>COUNTIF($M$3:M58, M58)</f>
        <v>8</v>
      </c>
      <c r="O58" s="16" t="e" cm="1">
        <f t="array" ref="O58">INDEX('[2]ALTA 20242025'!$B$2:$B$241, MATCH(1, ('[2]ALTA 20242025'!$I$2:$I$241=M58)*('[2]ALTA 20242025'!$J$2:$J$241=N58), 0))</f>
        <v>#N/A</v>
      </c>
      <c r="P58" s="16"/>
      <c r="Q58" s="16"/>
      <c r="R58" s="14" t="s">
        <v>2048</v>
      </c>
      <c r="S58" s="14" t="s">
        <v>2048</v>
      </c>
      <c r="T58" s="14" t="s">
        <v>2048</v>
      </c>
      <c r="U58" s="14" t="s">
        <v>2048</v>
      </c>
      <c r="V58" s="14" t="s">
        <v>3677</v>
      </c>
      <c r="W58" s="14" t="s">
        <v>2048</v>
      </c>
      <c r="X58" s="14" t="s">
        <v>2048</v>
      </c>
      <c r="Y58" s="14" t="s">
        <v>2048</v>
      </c>
      <c r="Z58" s="14" t="s">
        <v>2048</v>
      </c>
      <c r="AA58" s="14" t="s">
        <v>2048</v>
      </c>
      <c r="AB58" s="14" t="s">
        <v>2048</v>
      </c>
      <c r="AC58" s="14" t="s">
        <v>3678</v>
      </c>
      <c r="AD58" s="14" t="s">
        <v>2048</v>
      </c>
      <c r="AE58" s="14" t="s">
        <v>2048</v>
      </c>
      <c r="AF58" s="14" t="s">
        <v>2048</v>
      </c>
      <c r="AG58" s="14" t="s">
        <v>2048</v>
      </c>
      <c r="AH58" s="14" t="s">
        <v>2048</v>
      </c>
      <c r="AI58" s="14" t="s">
        <v>2132</v>
      </c>
      <c r="AJ58" s="14" t="s">
        <v>2133</v>
      </c>
      <c r="AK58" s="14" t="s">
        <v>2055</v>
      </c>
      <c r="AL58" s="14" t="s">
        <v>2056</v>
      </c>
      <c r="AM58" s="14" t="s">
        <v>2055</v>
      </c>
      <c r="AN58" s="14" t="s">
        <v>2068</v>
      </c>
      <c r="AO58" s="14" t="s">
        <v>2048</v>
      </c>
      <c r="AP58" s="14" t="s">
        <v>2048</v>
      </c>
      <c r="AQ58" s="14" t="s">
        <v>2048</v>
      </c>
      <c r="AR58" s="14" t="s">
        <v>2048</v>
      </c>
      <c r="AS58" s="14" t="s">
        <v>2048</v>
      </c>
      <c r="AT58" s="14" t="s">
        <v>2048</v>
      </c>
      <c r="AU58" s="14" t="s">
        <v>3679</v>
      </c>
      <c r="AV58" s="14" t="s">
        <v>3674</v>
      </c>
      <c r="AW58" s="14" t="s">
        <v>3675</v>
      </c>
      <c r="AX58" s="14" t="s">
        <v>72</v>
      </c>
      <c r="AY58" s="14" t="s">
        <v>3662</v>
      </c>
      <c r="AZ58" s="14" t="s">
        <v>3663</v>
      </c>
      <c r="BA58" s="14" t="s">
        <v>3664</v>
      </c>
      <c r="BB58" s="14" t="s">
        <v>2048</v>
      </c>
      <c r="BC58" s="14" t="s">
        <v>1050</v>
      </c>
      <c r="BD58" s="14" t="s">
        <v>1145</v>
      </c>
      <c r="BE58" s="14" t="s">
        <v>3707</v>
      </c>
      <c r="BF58" s="14" t="s">
        <v>2048</v>
      </c>
      <c r="BG58" s="14" t="s">
        <v>2048</v>
      </c>
      <c r="BH58" s="14" t="s">
        <v>2271</v>
      </c>
      <c r="BI58" s="14" t="s">
        <v>3666</v>
      </c>
      <c r="BJ58" s="14" t="s">
        <v>2271</v>
      </c>
      <c r="BK58" s="14" t="s">
        <v>3666</v>
      </c>
      <c r="BL58" s="14" t="s">
        <v>3667</v>
      </c>
      <c r="BM58" s="14" t="s">
        <v>3668</v>
      </c>
      <c r="BN58" s="14" t="s">
        <v>2048</v>
      </c>
      <c r="BO58" s="14" t="s">
        <v>2048</v>
      </c>
      <c r="BP58" s="14" t="s">
        <v>2064</v>
      </c>
      <c r="BQ58" s="14" t="s">
        <v>72</v>
      </c>
      <c r="BR58" s="14" t="s">
        <v>72</v>
      </c>
      <c r="BS58" s="14" t="s">
        <v>2048</v>
      </c>
      <c r="BT58" s="14" t="s">
        <v>3670</v>
      </c>
      <c r="BU58" s="14" t="s">
        <v>3671</v>
      </c>
      <c r="BV58" s="14" t="s">
        <v>2535</v>
      </c>
      <c r="BW58" s="14" t="s">
        <v>3672</v>
      </c>
      <c r="BX58" s="14" t="s">
        <v>2048</v>
      </c>
      <c r="BY58" s="14" t="s">
        <v>2048</v>
      </c>
      <c r="BZ58" s="14" t="s">
        <v>2048</v>
      </c>
      <c r="CA58" s="14" t="s">
        <v>2048</v>
      </c>
      <c r="CB58" s="14" t="s">
        <v>2048</v>
      </c>
      <c r="CC58" s="14" t="s">
        <v>2048</v>
      </c>
      <c r="CD58" s="14" t="s">
        <v>2048</v>
      </c>
      <c r="CE58" s="14" t="s">
        <v>2048</v>
      </c>
      <c r="CF58" s="14" t="s">
        <v>2048</v>
      </c>
      <c r="CG58" s="14" t="s">
        <v>2048</v>
      </c>
      <c r="CH58" s="14" t="s">
        <v>2048</v>
      </c>
      <c r="CI58" s="14" t="s">
        <v>2048</v>
      </c>
      <c r="CJ58" s="14" t="s">
        <v>2048</v>
      </c>
      <c r="CK58" s="14" t="s">
        <v>3651</v>
      </c>
      <c r="CL58" s="14" t="s">
        <v>3652</v>
      </c>
      <c r="CM58" s="14" t="s">
        <v>2048</v>
      </c>
      <c r="CN58" s="17"/>
      <c r="CO58" s="17">
        <v>39623</v>
      </c>
      <c r="CP58" s="17">
        <v>41393</v>
      </c>
      <c r="CR58" s="17">
        <v>45124</v>
      </c>
      <c r="CS58" s="19">
        <v>0</v>
      </c>
      <c r="CT58" s="19">
        <v>0</v>
      </c>
      <c r="CU58" s="19">
        <v>0</v>
      </c>
      <c r="CV58" s="19">
        <v>0</v>
      </c>
      <c r="CW58" s="19">
        <v>0</v>
      </c>
      <c r="CX58" s="19">
        <v>0</v>
      </c>
      <c r="CY58" s="19">
        <v>0</v>
      </c>
      <c r="CZ58" s="17"/>
      <c r="DA58" s="20">
        <v>665017</v>
      </c>
      <c r="DB58" s="17">
        <v>43555</v>
      </c>
      <c r="DC58" s="17"/>
      <c r="DD58" s="19">
        <v>0</v>
      </c>
      <c r="DE58" s="17"/>
      <c r="DF58" s="17"/>
      <c r="DG58" s="19">
        <v>100</v>
      </c>
      <c r="DH58" s="17"/>
      <c r="DI58" s="17">
        <v>45199</v>
      </c>
      <c r="DJ58" s="17"/>
      <c r="DK58" s="17"/>
      <c r="DL58" s="19">
        <v>0</v>
      </c>
      <c r="DM58" s="19">
        <v>0</v>
      </c>
    </row>
    <row r="59" spans="1:117" x14ac:dyDescent="0.2">
      <c r="A59" s="14" t="s">
        <v>3610</v>
      </c>
      <c r="B59" s="14" t="s">
        <v>1227</v>
      </c>
      <c r="C59" s="14" t="s">
        <v>158</v>
      </c>
      <c r="D59" s="14" t="s">
        <v>159</v>
      </c>
      <c r="E59" s="14" t="s">
        <v>158</v>
      </c>
      <c r="F59" s="14" t="s">
        <v>171</v>
      </c>
      <c r="G59" s="17">
        <v>45124</v>
      </c>
      <c r="H59" s="14" t="s">
        <v>172</v>
      </c>
      <c r="I59" s="14" t="s">
        <v>78</v>
      </c>
      <c r="J59" s="14" t="s">
        <v>1203</v>
      </c>
      <c r="K59" s="14" t="s">
        <v>1049</v>
      </c>
      <c r="L59" s="14" t="s">
        <v>1050</v>
      </c>
      <c r="M59" s="14" t="s">
        <v>1051</v>
      </c>
      <c r="N59" s="16">
        <f>COUNTIF($M$3:M59, M59)</f>
        <v>9</v>
      </c>
      <c r="O59" s="16" t="e" cm="1">
        <f t="array" ref="O59">INDEX('[2]ALTA 20242025'!$B$2:$B$241, MATCH(1, ('[2]ALTA 20242025'!$I$2:$I$241=M59)*('[2]ALTA 20242025'!$J$2:$J$241=N59), 0))</f>
        <v>#N/A</v>
      </c>
      <c r="P59" s="16"/>
      <c r="Q59" s="16"/>
      <c r="R59" s="14" t="s">
        <v>2048</v>
      </c>
      <c r="S59" s="14" t="s">
        <v>2048</v>
      </c>
      <c r="T59" s="14" t="s">
        <v>2048</v>
      </c>
      <c r="U59" s="14" t="s">
        <v>2048</v>
      </c>
      <c r="V59" s="14" t="s">
        <v>3658</v>
      </c>
      <c r="W59" s="14" t="s">
        <v>72</v>
      </c>
      <c r="X59" s="14" t="s">
        <v>72</v>
      </c>
      <c r="Y59" s="14" t="s">
        <v>2048</v>
      </c>
      <c r="Z59" s="14" t="s">
        <v>2048</v>
      </c>
      <c r="AA59" s="14" t="s">
        <v>2422</v>
      </c>
      <c r="AB59" s="14" t="s">
        <v>2049</v>
      </c>
      <c r="AC59" s="14" t="s">
        <v>2050</v>
      </c>
      <c r="AD59" s="14" t="s">
        <v>2048</v>
      </c>
      <c r="AE59" s="14" t="s">
        <v>2048</v>
      </c>
      <c r="AF59" s="14" t="s">
        <v>2048</v>
      </c>
      <c r="AG59" s="14" t="s">
        <v>2048</v>
      </c>
      <c r="AH59" s="14" t="s">
        <v>2048</v>
      </c>
      <c r="AI59" s="14" t="s">
        <v>2132</v>
      </c>
      <c r="AJ59" s="14" t="s">
        <v>2133</v>
      </c>
      <c r="AK59" s="14" t="s">
        <v>2055</v>
      </c>
      <c r="AL59" s="14" t="s">
        <v>2055</v>
      </c>
      <c r="AM59" s="14" t="s">
        <v>2055</v>
      </c>
      <c r="AN59" s="14" t="s">
        <v>2068</v>
      </c>
      <c r="AO59" s="14" t="s">
        <v>2048</v>
      </c>
      <c r="AP59" s="14" t="s">
        <v>2048</v>
      </c>
      <c r="AQ59" s="14" t="s">
        <v>2048</v>
      </c>
      <c r="AR59" s="14" t="s">
        <v>3659</v>
      </c>
      <c r="AS59" s="14" t="s">
        <v>2048</v>
      </c>
      <c r="AT59" s="14" t="s">
        <v>2048</v>
      </c>
      <c r="AU59" s="14" t="s">
        <v>2059</v>
      </c>
      <c r="AV59" s="14" t="s">
        <v>3885</v>
      </c>
      <c r="AW59" s="14" t="s">
        <v>3886</v>
      </c>
      <c r="AX59" s="14" t="s">
        <v>2048</v>
      </c>
      <c r="AY59" s="14" t="s">
        <v>3662</v>
      </c>
      <c r="AZ59" s="14" t="s">
        <v>3663</v>
      </c>
      <c r="BA59" s="14" t="s">
        <v>3664</v>
      </c>
      <c r="BB59" s="14" t="s">
        <v>2048</v>
      </c>
      <c r="BC59" s="14" t="s">
        <v>1050</v>
      </c>
      <c r="BD59" s="14" t="s">
        <v>1052</v>
      </c>
      <c r="BE59" s="14" t="s">
        <v>3665</v>
      </c>
      <c r="BF59" s="14" t="s">
        <v>2048</v>
      </c>
      <c r="BG59" s="14" t="s">
        <v>2048</v>
      </c>
      <c r="BH59" s="14" t="s">
        <v>2271</v>
      </c>
      <c r="BI59" s="14" t="s">
        <v>3666</v>
      </c>
      <c r="BJ59" s="14" t="s">
        <v>2271</v>
      </c>
      <c r="BK59" s="14" t="s">
        <v>3666</v>
      </c>
      <c r="BL59" s="14" t="s">
        <v>3667</v>
      </c>
      <c r="BM59" s="14" t="s">
        <v>3668</v>
      </c>
      <c r="BN59" s="14" t="s">
        <v>2048</v>
      </c>
      <c r="BO59" s="14" t="s">
        <v>2048</v>
      </c>
      <c r="BP59" s="14" t="s">
        <v>2064</v>
      </c>
      <c r="BQ59" s="14" t="s">
        <v>72</v>
      </c>
      <c r="BR59" s="14" t="s">
        <v>72</v>
      </c>
      <c r="BS59" s="14" t="s">
        <v>3887</v>
      </c>
      <c r="BT59" s="14" t="s">
        <v>3670</v>
      </c>
      <c r="BU59" s="14" t="s">
        <v>3671</v>
      </c>
      <c r="BV59" s="14" t="s">
        <v>2535</v>
      </c>
      <c r="BW59" s="14" t="s">
        <v>3672</v>
      </c>
      <c r="BX59" s="14" t="s">
        <v>2048</v>
      </c>
      <c r="BY59" s="14" t="s">
        <v>2048</v>
      </c>
      <c r="BZ59" s="14" t="s">
        <v>2048</v>
      </c>
      <c r="CA59" s="14" t="s">
        <v>2048</v>
      </c>
      <c r="CB59" s="14" t="s">
        <v>2048</v>
      </c>
      <c r="CC59" s="14" t="s">
        <v>2048</v>
      </c>
      <c r="CD59" s="14" t="s">
        <v>2048</v>
      </c>
      <c r="CE59" s="14" t="s">
        <v>2048</v>
      </c>
      <c r="CF59" s="14" t="s">
        <v>2048</v>
      </c>
      <c r="CG59" s="14" t="s">
        <v>2048</v>
      </c>
      <c r="CH59" s="14" t="s">
        <v>2048</v>
      </c>
      <c r="CI59" s="14" t="s">
        <v>2048</v>
      </c>
      <c r="CJ59" s="14" t="s">
        <v>2048</v>
      </c>
      <c r="CK59" s="14" t="s">
        <v>3651</v>
      </c>
      <c r="CL59" s="14" t="s">
        <v>3652</v>
      </c>
      <c r="CM59" s="14" t="s">
        <v>2048</v>
      </c>
      <c r="CN59" s="17"/>
      <c r="CO59" s="17">
        <v>42234</v>
      </c>
      <c r="CP59" s="17">
        <v>43439</v>
      </c>
      <c r="CR59" s="17">
        <v>45124</v>
      </c>
      <c r="CS59" s="19">
        <v>0</v>
      </c>
      <c r="CT59" s="19">
        <v>0</v>
      </c>
      <c r="CU59" s="19">
        <v>0</v>
      </c>
      <c r="CV59" s="19">
        <v>0</v>
      </c>
      <c r="CW59" s="19">
        <v>0</v>
      </c>
      <c r="CX59" s="19">
        <v>0</v>
      </c>
      <c r="CY59" s="19">
        <v>0</v>
      </c>
      <c r="CZ59" s="17"/>
      <c r="DA59" s="20">
        <v>66200</v>
      </c>
      <c r="DB59" s="17">
        <v>43555</v>
      </c>
      <c r="DC59" s="17"/>
      <c r="DD59" s="19">
        <v>0</v>
      </c>
      <c r="DE59" s="17"/>
      <c r="DF59" s="17"/>
      <c r="DG59" s="19">
        <v>100</v>
      </c>
      <c r="DH59" s="17"/>
      <c r="DI59" s="17">
        <v>45199</v>
      </c>
      <c r="DJ59" s="17"/>
      <c r="DK59" s="17"/>
      <c r="DL59" s="19">
        <v>0</v>
      </c>
      <c r="DM59" s="19">
        <v>0</v>
      </c>
    </row>
    <row r="60" spans="1:117" x14ac:dyDescent="0.2">
      <c r="A60" s="14" t="s">
        <v>3610</v>
      </c>
      <c r="B60" s="14" t="s">
        <v>1100</v>
      </c>
      <c r="C60" s="14" t="s">
        <v>1034</v>
      </c>
      <c r="D60" s="14" t="s">
        <v>200</v>
      </c>
      <c r="E60" s="14" t="s">
        <v>201</v>
      </c>
      <c r="F60" s="14" t="s">
        <v>76</v>
      </c>
      <c r="G60" s="17">
        <v>45124</v>
      </c>
      <c r="H60" s="14" t="s">
        <v>77</v>
      </c>
      <c r="I60" s="14" t="s">
        <v>78</v>
      </c>
      <c r="J60" s="14" t="s">
        <v>524</v>
      </c>
      <c r="K60" s="14" t="s">
        <v>1101</v>
      </c>
      <c r="L60" s="14" t="s">
        <v>102</v>
      </c>
      <c r="M60" s="14" t="s">
        <v>103</v>
      </c>
      <c r="N60" s="16">
        <f>COUNTIF($M$3:M60, M60)</f>
        <v>8</v>
      </c>
      <c r="O60" s="16" t="str" cm="1">
        <f t="array" ref="O60">INDEX('[2]ALTA 20242025'!$B$2:$B$241, MATCH(1, ('[2]ALTA 20242025'!$I$2:$I$241=M60)*('[2]ALTA 20242025'!$J$2:$J$241=N60), 0))</f>
        <v>0477MGW</v>
      </c>
      <c r="P60" s="16"/>
      <c r="Q60" s="16"/>
      <c r="R60" s="14" t="s">
        <v>2048</v>
      </c>
      <c r="S60" s="14" t="s">
        <v>2048</v>
      </c>
      <c r="T60" s="14" t="s">
        <v>2048</v>
      </c>
      <c r="U60" s="14" t="s">
        <v>2048</v>
      </c>
      <c r="V60" s="14" t="s">
        <v>72</v>
      </c>
      <c r="W60" s="14" t="s">
        <v>3888</v>
      </c>
      <c r="X60" s="14" t="s">
        <v>3889</v>
      </c>
      <c r="Y60" s="14" t="s">
        <v>3890</v>
      </c>
      <c r="Z60" s="14" t="s">
        <v>2048</v>
      </c>
      <c r="AA60" s="14" t="s">
        <v>2422</v>
      </c>
      <c r="AB60" s="14" t="s">
        <v>2049</v>
      </c>
      <c r="AC60" s="14" t="s">
        <v>2050</v>
      </c>
      <c r="AD60" s="14" t="s">
        <v>3891</v>
      </c>
      <c r="AE60" s="14" t="s">
        <v>3613</v>
      </c>
      <c r="AF60" s="14" t="s">
        <v>3614</v>
      </c>
      <c r="AG60" s="14" t="s">
        <v>2048</v>
      </c>
      <c r="AH60" s="14" t="s">
        <v>2048</v>
      </c>
      <c r="AI60" s="14" t="s">
        <v>2129</v>
      </c>
      <c r="AJ60" s="14" t="s">
        <v>2130</v>
      </c>
      <c r="AK60" s="14" t="s">
        <v>2055</v>
      </c>
      <c r="AL60" s="14" t="s">
        <v>2055</v>
      </c>
      <c r="AM60" s="14" t="s">
        <v>2055</v>
      </c>
      <c r="AN60" s="14" t="s">
        <v>2068</v>
      </c>
      <c r="AO60" s="14" t="s">
        <v>2048</v>
      </c>
      <c r="AP60" s="14" t="s">
        <v>2048</v>
      </c>
      <c r="AQ60" s="14" t="s">
        <v>2048</v>
      </c>
      <c r="AR60" s="14" t="s">
        <v>2048</v>
      </c>
      <c r="AS60" s="14" t="s">
        <v>3615</v>
      </c>
      <c r="AT60" s="14" t="s">
        <v>2535</v>
      </c>
      <c r="AU60" s="14" t="s">
        <v>2059</v>
      </c>
      <c r="AV60" s="14" t="s">
        <v>3892</v>
      </c>
      <c r="AW60" s="14" t="s">
        <v>3893</v>
      </c>
      <c r="AX60" s="14" t="s">
        <v>2048</v>
      </c>
      <c r="AY60" s="14" t="s">
        <v>3892</v>
      </c>
      <c r="AZ60" s="14" t="s">
        <v>3893</v>
      </c>
      <c r="BA60" s="14" t="s">
        <v>2048</v>
      </c>
      <c r="BB60" s="14" t="s">
        <v>2048</v>
      </c>
      <c r="BC60" s="14" t="s">
        <v>102</v>
      </c>
      <c r="BD60" s="14" t="s">
        <v>1102</v>
      </c>
      <c r="BE60" s="14" t="s">
        <v>3894</v>
      </c>
      <c r="BF60" s="14" t="s">
        <v>2048</v>
      </c>
      <c r="BG60" s="14" t="s">
        <v>2048</v>
      </c>
      <c r="BH60" s="14" t="s">
        <v>3598</v>
      </c>
      <c r="BI60" s="14" t="s">
        <v>3599</v>
      </c>
      <c r="BJ60" s="14" t="s">
        <v>2048</v>
      </c>
      <c r="BK60" s="14" t="s">
        <v>2048</v>
      </c>
      <c r="BL60" s="14" t="s">
        <v>3895</v>
      </c>
      <c r="BM60" s="14" t="s">
        <v>3600</v>
      </c>
      <c r="BN60" s="14" t="s">
        <v>2048</v>
      </c>
      <c r="BO60" s="14" t="s">
        <v>2518</v>
      </c>
      <c r="BP60" s="14" t="s">
        <v>2064</v>
      </c>
      <c r="BQ60" s="14" t="s">
        <v>72</v>
      </c>
      <c r="BR60" s="14" t="s">
        <v>72</v>
      </c>
      <c r="BS60" s="14" t="s">
        <v>2048</v>
      </c>
      <c r="BT60" s="14" t="s">
        <v>3896</v>
      </c>
      <c r="BU60" s="14" t="s">
        <v>3897</v>
      </c>
      <c r="BV60" s="14" t="s">
        <v>2331</v>
      </c>
      <c r="BW60" s="14" t="s">
        <v>2131</v>
      </c>
      <c r="BX60" s="14" t="s">
        <v>2048</v>
      </c>
      <c r="BY60" s="14" t="s">
        <v>2048</v>
      </c>
      <c r="BZ60" s="14" t="s">
        <v>2048</v>
      </c>
      <c r="CA60" s="14" t="s">
        <v>2048</v>
      </c>
      <c r="CB60" s="14" t="s">
        <v>72</v>
      </c>
      <c r="CC60" s="14" t="s">
        <v>2048</v>
      </c>
      <c r="CD60" s="14" t="s">
        <v>72</v>
      </c>
      <c r="CE60" s="14" t="s">
        <v>2048</v>
      </c>
      <c r="CF60" s="14" t="s">
        <v>2048</v>
      </c>
      <c r="CG60" s="14" t="s">
        <v>2048</v>
      </c>
      <c r="CH60" s="14" t="s">
        <v>2048</v>
      </c>
      <c r="CI60" s="14" t="s">
        <v>2048</v>
      </c>
      <c r="CJ60" s="14" t="s">
        <v>2048</v>
      </c>
      <c r="CK60" s="14" t="s">
        <v>3603</v>
      </c>
      <c r="CL60" s="14" t="s">
        <v>3604</v>
      </c>
      <c r="CM60" s="14" t="s">
        <v>2048</v>
      </c>
      <c r="CN60" s="17"/>
      <c r="CO60" s="17">
        <v>43663</v>
      </c>
      <c r="CP60" s="17">
        <v>43663</v>
      </c>
      <c r="CR60" s="17">
        <v>45149</v>
      </c>
      <c r="CS60" s="19">
        <v>48</v>
      </c>
      <c r="CT60" s="19">
        <v>0</v>
      </c>
      <c r="CU60" s="19">
        <v>533.91</v>
      </c>
      <c r="CV60" s="19">
        <v>0</v>
      </c>
      <c r="CW60" s="19">
        <v>533.91</v>
      </c>
      <c r="CX60" s="19">
        <v>646.03</v>
      </c>
      <c r="CY60" s="19">
        <v>0</v>
      </c>
      <c r="CZ60" s="17"/>
      <c r="DA60" s="19">
        <v>0</v>
      </c>
      <c r="DB60" s="17"/>
      <c r="DC60" s="17"/>
      <c r="DD60" s="19">
        <v>0</v>
      </c>
      <c r="DE60" s="17"/>
      <c r="DF60" s="17"/>
      <c r="DG60" s="19">
        <v>100</v>
      </c>
      <c r="DH60" s="17"/>
      <c r="DI60" s="17">
        <v>45199</v>
      </c>
      <c r="DJ60" s="17"/>
      <c r="DK60" s="17"/>
      <c r="DL60" s="19">
        <v>0</v>
      </c>
      <c r="DM60" s="19">
        <v>0</v>
      </c>
    </row>
    <row r="61" spans="1:117" x14ac:dyDescent="0.2">
      <c r="A61" s="14" t="s">
        <v>3610</v>
      </c>
      <c r="B61" s="14" t="s">
        <v>1087</v>
      </c>
      <c r="C61" s="14" t="s">
        <v>1034</v>
      </c>
      <c r="D61" s="14" t="s">
        <v>200</v>
      </c>
      <c r="E61" s="14" t="s">
        <v>201</v>
      </c>
      <c r="F61" s="14" t="s">
        <v>76</v>
      </c>
      <c r="G61" s="17">
        <v>45124</v>
      </c>
      <c r="H61" s="14" t="s">
        <v>77</v>
      </c>
      <c r="I61" s="14" t="s">
        <v>78</v>
      </c>
      <c r="J61" s="14" t="s">
        <v>524</v>
      </c>
      <c r="K61" s="14" t="s">
        <v>1089</v>
      </c>
      <c r="L61" s="14" t="s">
        <v>119</v>
      </c>
      <c r="M61" s="14" t="s">
        <v>120</v>
      </c>
      <c r="N61" s="16">
        <f>COUNTIF($M$3:M61, M61)</f>
        <v>3</v>
      </c>
      <c r="O61" s="16" t="str" cm="1">
        <f t="array" ref="O61">INDEX('[2]ALTA 20242025'!$B$2:$B$241, MATCH(1, ('[2]ALTA 20242025'!$I$2:$I$241=M61)*('[2]ALTA 20242025'!$J$2:$J$241=N61), 0))</f>
        <v>2717MXG</v>
      </c>
      <c r="P61" s="16"/>
      <c r="Q61" s="16"/>
      <c r="R61" s="14" t="s">
        <v>2048</v>
      </c>
      <c r="S61" s="14" t="s">
        <v>2048</v>
      </c>
      <c r="T61" s="14" t="s">
        <v>2048</v>
      </c>
      <c r="U61" s="14" t="s">
        <v>2048</v>
      </c>
      <c r="V61" s="14" t="s">
        <v>1940</v>
      </c>
      <c r="W61" s="14" t="s">
        <v>3898</v>
      </c>
      <c r="X61" s="14" t="s">
        <v>3898</v>
      </c>
      <c r="Y61" s="14" t="s">
        <v>3899</v>
      </c>
      <c r="Z61" s="14" t="s">
        <v>2048</v>
      </c>
      <c r="AA61" s="14" t="s">
        <v>2422</v>
      </c>
      <c r="AB61" s="14" t="s">
        <v>2049</v>
      </c>
      <c r="AC61" s="14" t="s">
        <v>2050</v>
      </c>
      <c r="AD61" s="14" t="s">
        <v>3612</v>
      </c>
      <c r="AE61" s="14" t="s">
        <v>3613</v>
      </c>
      <c r="AF61" s="14" t="s">
        <v>3614</v>
      </c>
      <c r="AG61" s="14" t="s">
        <v>2048</v>
      </c>
      <c r="AH61" s="14" t="s">
        <v>2048</v>
      </c>
      <c r="AI61" s="14" t="s">
        <v>2129</v>
      </c>
      <c r="AJ61" s="14" t="s">
        <v>2130</v>
      </c>
      <c r="AK61" s="14" t="s">
        <v>2055</v>
      </c>
      <c r="AL61" s="14" t="s">
        <v>2055</v>
      </c>
      <c r="AM61" s="14" t="s">
        <v>2055</v>
      </c>
      <c r="AN61" s="14" t="s">
        <v>2068</v>
      </c>
      <c r="AO61" s="14" t="s">
        <v>2048</v>
      </c>
      <c r="AP61" s="14" t="s">
        <v>2048</v>
      </c>
      <c r="AQ61" s="14" t="s">
        <v>2048</v>
      </c>
      <c r="AR61" s="14" t="s">
        <v>2048</v>
      </c>
      <c r="AS61" s="14" t="s">
        <v>3745</v>
      </c>
      <c r="AT61" s="14" t="s">
        <v>2135</v>
      </c>
      <c r="AU61" s="14" t="s">
        <v>3900</v>
      </c>
      <c r="AV61" s="14" t="s">
        <v>3901</v>
      </c>
      <c r="AW61" s="14" t="s">
        <v>3902</v>
      </c>
      <c r="AX61" s="14" t="s">
        <v>2048</v>
      </c>
      <c r="AY61" s="14" t="s">
        <v>3901</v>
      </c>
      <c r="AZ61" s="14" t="s">
        <v>3902</v>
      </c>
      <c r="BA61" s="14" t="s">
        <v>3664</v>
      </c>
      <c r="BB61" s="14" t="s">
        <v>2048</v>
      </c>
      <c r="BC61" s="14" t="s">
        <v>119</v>
      </c>
      <c r="BD61" s="14" t="s">
        <v>1041</v>
      </c>
      <c r="BE61" s="14" t="s">
        <v>3903</v>
      </c>
      <c r="BF61" s="14" t="s">
        <v>2048</v>
      </c>
      <c r="BG61" s="14" t="s">
        <v>2048</v>
      </c>
      <c r="BH61" s="14" t="s">
        <v>3598</v>
      </c>
      <c r="BI61" s="14" t="s">
        <v>3599</v>
      </c>
      <c r="BJ61" s="14" t="s">
        <v>3904</v>
      </c>
      <c r="BK61" s="14" t="s">
        <v>3905</v>
      </c>
      <c r="BL61" s="14" t="s">
        <v>3906</v>
      </c>
      <c r="BM61" s="14" t="s">
        <v>3600</v>
      </c>
      <c r="BN61" s="14" t="s">
        <v>2048</v>
      </c>
      <c r="BO61" s="14" t="s">
        <v>2518</v>
      </c>
      <c r="BP61" s="14" t="s">
        <v>2064</v>
      </c>
      <c r="BQ61" s="14" t="s">
        <v>72</v>
      </c>
      <c r="BR61" s="14" t="s">
        <v>72</v>
      </c>
      <c r="BS61" s="14" t="s">
        <v>2048</v>
      </c>
      <c r="BT61" s="14" t="s">
        <v>3907</v>
      </c>
      <c r="BU61" s="14" t="s">
        <v>3908</v>
      </c>
      <c r="BV61" s="14" t="s">
        <v>2331</v>
      </c>
      <c r="BW61" s="14" t="s">
        <v>2131</v>
      </c>
      <c r="BX61" s="14" t="s">
        <v>2048</v>
      </c>
      <c r="BY61" s="14" t="s">
        <v>2048</v>
      </c>
      <c r="BZ61" s="14" t="s">
        <v>72</v>
      </c>
      <c r="CA61" s="14" t="s">
        <v>3909</v>
      </c>
      <c r="CB61" s="14" t="s">
        <v>72</v>
      </c>
      <c r="CC61" s="14" t="s">
        <v>2048</v>
      </c>
      <c r="CD61" s="14" t="s">
        <v>72</v>
      </c>
      <c r="CE61" s="14" t="s">
        <v>2048</v>
      </c>
      <c r="CF61" s="14" t="s">
        <v>2048</v>
      </c>
      <c r="CG61" s="14" t="s">
        <v>2048</v>
      </c>
      <c r="CH61" s="14" t="s">
        <v>2048</v>
      </c>
      <c r="CI61" s="14" t="s">
        <v>2048</v>
      </c>
      <c r="CJ61" s="14" t="s">
        <v>2048</v>
      </c>
      <c r="CK61" s="14" t="s">
        <v>3603</v>
      </c>
      <c r="CL61" s="14" t="s">
        <v>3604</v>
      </c>
      <c r="CM61" s="14" t="s">
        <v>2048</v>
      </c>
      <c r="CN61" s="17"/>
      <c r="CO61" s="17">
        <v>42725</v>
      </c>
      <c r="CP61" s="17">
        <v>42725</v>
      </c>
      <c r="CR61" s="17">
        <v>45077</v>
      </c>
      <c r="CS61" s="19">
        <v>79</v>
      </c>
      <c r="CT61" s="19">
        <v>0</v>
      </c>
      <c r="CU61" s="19">
        <v>542.04</v>
      </c>
      <c r="CV61" s="19">
        <v>0</v>
      </c>
      <c r="CW61" s="19">
        <v>542.04</v>
      </c>
      <c r="CX61" s="19">
        <v>655.87</v>
      </c>
      <c r="CY61" s="19">
        <v>0</v>
      </c>
      <c r="CZ61" s="17"/>
      <c r="DA61" s="20">
        <v>26400</v>
      </c>
      <c r="DB61" s="17">
        <v>43555</v>
      </c>
      <c r="DC61" s="17"/>
      <c r="DD61" s="19">
        <v>0</v>
      </c>
      <c r="DE61" s="17"/>
      <c r="DF61" s="17"/>
      <c r="DG61" s="19">
        <v>100</v>
      </c>
      <c r="DH61" s="17"/>
      <c r="DI61" s="17">
        <v>45046</v>
      </c>
      <c r="DJ61" s="17"/>
      <c r="DK61" s="17"/>
      <c r="DL61" s="19">
        <v>0</v>
      </c>
      <c r="DM61" s="19">
        <v>0</v>
      </c>
    </row>
    <row r="62" spans="1:117" x14ac:dyDescent="0.2">
      <c r="A62" s="14" t="s">
        <v>3610</v>
      </c>
      <c r="B62" s="14" t="s">
        <v>1033</v>
      </c>
      <c r="C62" s="14" t="s">
        <v>1034</v>
      </c>
      <c r="D62" s="14" t="s">
        <v>200</v>
      </c>
      <c r="E62" s="14" t="s">
        <v>201</v>
      </c>
      <c r="F62" s="14" t="s">
        <v>76</v>
      </c>
      <c r="G62" s="17">
        <v>45140</v>
      </c>
      <c r="H62" s="14" t="s">
        <v>77</v>
      </c>
      <c r="I62" s="14" t="s">
        <v>202</v>
      </c>
      <c r="J62" s="14" t="s">
        <v>416</v>
      </c>
      <c r="K62" s="14" t="s">
        <v>1035</v>
      </c>
      <c r="L62" s="14" t="s">
        <v>119</v>
      </c>
      <c r="M62" s="14" t="s">
        <v>120</v>
      </c>
      <c r="N62" s="16">
        <f>COUNTIF($M$3:M62, M62)</f>
        <v>4</v>
      </c>
      <c r="O62" s="16" t="str" cm="1">
        <f t="array" ref="O62">INDEX('[2]ALTA 20242025'!$B$2:$B$241, MATCH(1, ('[2]ALTA 20242025'!$I$2:$I$241=M62)*('[2]ALTA 20242025'!$J$2:$J$241=N62), 0))</f>
        <v>2720MWP</v>
      </c>
      <c r="P62" s="16"/>
      <c r="Q62" s="16"/>
      <c r="R62" s="14" t="s">
        <v>102</v>
      </c>
      <c r="S62" s="14" t="s">
        <v>103</v>
      </c>
      <c r="T62" s="14" t="s">
        <v>2048</v>
      </c>
      <c r="U62" s="14" t="s">
        <v>2048</v>
      </c>
      <c r="V62" s="14" t="s">
        <v>3831</v>
      </c>
      <c r="W62" s="14" t="s">
        <v>3910</v>
      </c>
      <c r="X62" s="14" t="s">
        <v>3910</v>
      </c>
      <c r="Y62" s="14" t="s">
        <v>3911</v>
      </c>
      <c r="Z62" s="14" t="s">
        <v>2048</v>
      </c>
      <c r="AA62" s="14" t="s">
        <v>2422</v>
      </c>
      <c r="AB62" s="14" t="s">
        <v>2049</v>
      </c>
      <c r="AC62" s="14" t="s">
        <v>2050</v>
      </c>
      <c r="AD62" s="14" t="s">
        <v>3725</v>
      </c>
      <c r="AE62" s="14" t="s">
        <v>3613</v>
      </c>
      <c r="AF62" s="14" t="s">
        <v>3614</v>
      </c>
      <c r="AG62" s="14" t="s">
        <v>2048</v>
      </c>
      <c r="AH62" s="14" t="s">
        <v>2048</v>
      </c>
      <c r="AI62" s="14" t="s">
        <v>3472</v>
      </c>
      <c r="AJ62" s="14" t="s">
        <v>3821</v>
      </c>
      <c r="AK62" s="14" t="s">
        <v>2055</v>
      </c>
      <c r="AL62" s="14" t="s">
        <v>2055</v>
      </c>
      <c r="AM62" s="14" t="s">
        <v>2055</v>
      </c>
      <c r="AN62" s="14" t="s">
        <v>2121</v>
      </c>
      <c r="AO62" s="14" t="s">
        <v>2048</v>
      </c>
      <c r="AP62" s="14" t="s">
        <v>2048</v>
      </c>
      <c r="AQ62" s="14" t="s">
        <v>2048</v>
      </c>
      <c r="AR62" s="14" t="s">
        <v>2048</v>
      </c>
      <c r="AS62" s="14" t="s">
        <v>3615</v>
      </c>
      <c r="AT62" s="14" t="s">
        <v>3767</v>
      </c>
      <c r="AU62" s="14" t="s">
        <v>3912</v>
      </c>
      <c r="AV62" s="14" t="s">
        <v>2060</v>
      </c>
      <c r="AW62" s="14" t="s">
        <v>2048</v>
      </c>
      <c r="AX62" s="14" t="s">
        <v>72</v>
      </c>
      <c r="AY62" s="14" t="s">
        <v>3616</v>
      </c>
      <c r="AZ62" s="14" t="s">
        <v>3617</v>
      </c>
      <c r="BA62" s="14" t="s">
        <v>2048</v>
      </c>
      <c r="BB62" s="14" t="s">
        <v>2048</v>
      </c>
      <c r="BC62" s="14" t="s">
        <v>119</v>
      </c>
      <c r="BD62" s="14" t="s">
        <v>776</v>
      </c>
      <c r="BE62" s="14" t="s">
        <v>3913</v>
      </c>
      <c r="BF62" s="14" t="s">
        <v>2048</v>
      </c>
      <c r="BG62" s="14" t="s">
        <v>2048</v>
      </c>
      <c r="BH62" s="14" t="s">
        <v>3598</v>
      </c>
      <c r="BI62" s="14" t="s">
        <v>3599</v>
      </c>
      <c r="BJ62" s="14" t="s">
        <v>3914</v>
      </c>
      <c r="BK62" s="14" t="s">
        <v>3915</v>
      </c>
      <c r="BL62" s="14" t="s">
        <v>3895</v>
      </c>
      <c r="BM62" s="14" t="s">
        <v>3600</v>
      </c>
      <c r="BN62" s="14" t="s">
        <v>2048</v>
      </c>
      <c r="BO62" s="14" t="s">
        <v>2518</v>
      </c>
      <c r="BP62" s="14" t="s">
        <v>2064</v>
      </c>
      <c r="BQ62" s="14" t="s">
        <v>72</v>
      </c>
      <c r="BR62" s="14" t="s">
        <v>72</v>
      </c>
      <c r="BS62" s="14" t="s">
        <v>2048</v>
      </c>
      <c r="BT62" s="14" t="s">
        <v>2048</v>
      </c>
      <c r="BU62" s="14" t="s">
        <v>2048</v>
      </c>
      <c r="BV62" s="14" t="s">
        <v>2331</v>
      </c>
      <c r="BW62" s="14" t="s">
        <v>2131</v>
      </c>
      <c r="BX62" s="14" t="s">
        <v>72</v>
      </c>
      <c r="BY62" s="14" t="s">
        <v>2048</v>
      </c>
      <c r="BZ62" s="14" t="s">
        <v>2048</v>
      </c>
      <c r="CA62" s="14" t="s">
        <v>2048</v>
      </c>
      <c r="CB62" s="14" t="s">
        <v>72</v>
      </c>
      <c r="CC62" s="14" t="s">
        <v>2048</v>
      </c>
      <c r="CD62" s="14" t="s">
        <v>72</v>
      </c>
      <c r="CE62" s="14" t="s">
        <v>2048</v>
      </c>
      <c r="CF62" s="14" t="s">
        <v>2048</v>
      </c>
      <c r="CG62" s="14" t="s">
        <v>2048</v>
      </c>
      <c r="CH62" s="14" t="s">
        <v>2048</v>
      </c>
      <c r="CI62" s="14" t="s">
        <v>2048</v>
      </c>
      <c r="CJ62" s="14" t="s">
        <v>2048</v>
      </c>
      <c r="CK62" s="14" t="s">
        <v>3603</v>
      </c>
      <c r="CL62" s="14" t="s">
        <v>3604</v>
      </c>
      <c r="CM62" s="14" t="s">
        <v>2048</v>
      </c>
      <c r="CN62" s="17">
        <v>44896</v>
      </c>
      <c r="CO62" s="17">
        <v>43679</v>
      </c>
      <c r="CP62" s="17">
        <v>43679</v>
      </c>
      <c r="CR62" s="17">
        <v>45061</v>
      </c>
      <c r="CS62" s="19">
        <v>48</v>
      </c>
      <c r="CT62" s="19">
        <v>0</v>
      </c>
      <c r="CU62" s="19">
        <v>447.5</v>
      </c>
      <c r="CV62" s="19">
        <v>0</v>
      </c>
      <c r="CW62" s="19">
        <v>447.5</v>
      </c>
      <c r="CX62" s="19">
        <v>541.48</v>
      </c>
      <c r="CY62" s="19">
        <v>0</v>
      </c>
      <c r="CZ62" s="17"/>
      <c r="DA62" s="19">
        <v>0</v>
      </c>
      <c r="DB62" s="17"/>
      <c r="DC62" s="17"/>
      <c r="DD62" s="19">
        <v>0</v>
      </c>
      <c r="DE62" s="17"/>
      <c r="DF62" s="17"/>
      <c r="DG62" s="19">
        <v>100</v>
      </c>
      <c r="DH62" s="17"/>
      <c r="DI62" s="17">
        <v>45291</v>
      </c>
      <c r="DJ62" s="17"/>
      <c r="DK62" s="17"/>
      <c r="DL62" s="19">
        <v>0</v>
      </c>
      <c r="DM62" s="19">
        <v>0</v>
      </c>
    </row>
    <row r="63" spans="1:117" x14ac:dyDescent="0.2">
      <c r="A63" s="14" t="s">
        <v>3610</v>
      </c>
      <c r="B63" s="14" t="s">
        <v>1071</v>
      </c>
      <c r="C63" s="14" t="s">
        <v>466</v>
      </c>
      <c r="D63" s="14" t="s">
        <v>200</v>
      </c>
      <c r="E63" s="14" t="s">
        <v>201</v>
      </c>
      <c r="F63" s="14" t="s">
        <v>76</v>
      </c>
      <c r="G63" s="17">
        <v>45169</v>
      </c>
      <c r="H63" s="14" t="s">
        <v>77</v>
      </c>
      <c r="I63" s="14" t="s">
        <v>78</v>
      </c>
      <c r="J63" s="14" t="s">
        <v>467</v>
      </c>
      <c r="K63" s="14" t="s">
        <v>1072</v>
      </c>
      <c r="L63" s="14" t="s">
        <v>960</v>
      </c>
      <c r="M63" s="14" t="s">
        <v>961</v>
      </c>
      <c r="N63" s="16">
        <f>COUNTIF($M$3:M63, M63)</f>
        <v>1</v>
      </c>
      <c r="O63" s="16" t="str" cm="1">
        <f t="array" ref="O63">INDEX('[2]ALTA 20242025'!$B$2:$B$241, MATCH(1, ('[2]ALTA 20242025'!$I$2:$I$241=M63)*('[2]ALTA 20242025'!$J$2:$J$241=N63), 0))</f>
        <v>8873KDN</v>
      </c>
      <c r="P63" s="16"/>
      <c r="Q63" s="16"/>
      <c r="R63" s="14" t="s">
        <v>2048</v>
      </c>
      <c r="S63" s="14" t="s">
        <v>2048</v>
      </c>
      <c r="T63" s="14" t="s">
        <v>2048</v>
      </c>
      <c r="U63" s="14" t="s">
        <v>2048</v>
      </c>
      <c r="V63" s="14" t="s">
        <v>72</v>
      </c>
      <c r="W63" s="14" t="s">
        <v>3916</v>
      </c>
      <c r="X63" s="14" t="s">
        <v>3917</v>
      </c>
      <c r="Y63" s="14" t="s">
        <v>3918</v>
      </c>
      <c r="Z63" s="14" t="s">
        <v>2048</v>
      </c>
      <c r="AA63" s="14" t="s">
        <v>2422</v>
      </c>
      <c r="AB63" s="14" t="s">
        <v>2049</v>
      </c>
      <c r="AC63" s="14" t="s">
        <v>2050</v>
      </c>
      <c r="AD63" s="14" t="s">
        <v>3612</v>
      </c>
      <c r="AE63" s="14" t="s">
        <v>3613</v>
      </c>
      <c r="AF63" s="14" t="s">
        <v>3614</v>
      </c>
      <c r="AG63" s="14" t="s">
        <v>2048</v>
      </c>
      <c r="AH63" s="14" t="s">
        <v>2048</v>
      </c>
      <c r="AI63" s="14" t="s">
        <v>2129</v>
      </c>
      <c r="AJ63" s="14" t="s">
        <v>2130</v>
      </c>
      <c r="AK63" s="14" t="s">
        <v>2055</v>
      </c>
      <c r="AL63" s="14" t="s">
        <v>2055</v>
      </c>
      <c r="AM63" s="14" t="s">
        <v>2055</v>
      </c>
      <c r="AN63" s="14" t="s">
        <v>2068</v>
      </c>
      <c r="AO63" s="14" t="s">
        <v>2048</v>
      </c>
      <c r="AP63" s="14" t="s">
        <v>2048</v>
      </c>
      <c r="AQ63" s="14" t="s">
        <v>2048</v>
      </c>
      <c r="AR63" s="14" t="s">
        <v>2048</v>
      </c>
      <c r="AS63" s="14" t="s">
        <v>3623</v>
      </c>
      <c r="AT63" s="14" t="s">
        <v>3767</v>
      </c>
      <c r="AU63" s="14" t="s">
        <v>2059</v>
      </c>
      <c r="AV63" s="14" t="s">
        <v>3919</v>
      </c>
      <c r="AW63" s="14" t="s">
        <v>3920</v>
      </c>
      <c r="AX63" s="14" t="s">
        <v>2048</v>
      </c>
      <c r="AY63" s="14" t="s">
        <v>3616</v>
      </c>
      <c r="AZ63" s="14" t="s">
        <v>3617</v>
      </c>
      <c r="BA63" s="14" t="s">
        <v>2048</v>
      </c>
      <c r="BB63" s="14" t="s">
        <v>2048</v>
      </c>
      <c r="BC63" s="14" t="s">
        <v>960</v>
      </c>
      <c r="BD63" s="14" t="s">
        <v>1073</v>
      </c>
      <c r="BE63" s="14" t="s">
        <v>3921</v>
      </c>
      <c r="BF63" s="14" t="s">
        <v>2048</v>
      </c>
      <c r="BG63" s="14" t="s">
        <v>2048</v>
      </c>
      <c r="BH63" s="14" t="s">
        <v>2215</v>
      </c>
      <c r="BI63" s="14" t="s">
        <v>2216</v>
      </c>
      <c r="BJ63" s="14" t="s">
        <v>2048</v>
      </c>
      <c r="BK63" s="14" t="s">
        <v>2048</v>
      </c>
      <c r="BL63" s="14" t="s">
        <v>2217</v>
      </c>
      <c r="BM63" s="14" t="s">
        <v>2218</v>
      </c>
      <c r="BN63" s="14" t="s">
        <v>2048</v>
      </c>
      <c r="BO63" s="14" t="s">
        <v>2048</v>
      </c>
      <c r="BP63" s="14" t="s">
        <v>2064</v>
      </c>
      <c r="BQ63" s="14" t="s">
        <v>72</v>
      </c>
      <c r="BR63" s="14" t="s">
        <v>72</v>
      </c>
      <c r="BS63" s="14" t="s">
        <v>2048</v>
      </c>
      <c r="BT63" s="14" t="s">
        <v>3922</v>
      </c>
      <c r="BU63" s="14" t="s">
        <v>3923</v>
      </c>
      <c r="BV63" s="14" t="s">
        <v>2331</v>
      </c>
      <c r="BW63" s="14" t="s">
        <v>2131</v>
      </c>
      <c r="BX63" s="14" t="s">
        <v>2048</v>
      </c>
      <c r="BY63" s="14" t="s">
        <v>2048</v>
      </c>
      <c r="BZ63" s="14" t="s">
        <v>2048</v>
      </c>
      <c r="CA63" s="14" t="s">
        <v>2048</v>
      </c>
      <c r="CB63" s="14" t="s">
        <v>2048</v>
      </c>
      <c r="CC63" s="14" t="s">
        <v>2048</v>
      </c>
      <c r="CD63" s="14" t="s">
        <v>2048</v>
      </c>
      <c r="CE63" s="14" t="s">
        <v>2048</v>
      </c>
      <c r="CF63" s="14" t="s">
        <v>2048</v>
      </c>
      <c r="CG63" s="14" t="s">
        <v>2048</v>
      </c>
      <c r="CH63" s="14" t="s">
        <v>2048</v>
      </c>
      <c r="CI63" s="14" t="s">
        <v>2048</v>
      </c>
      <c r="CJ63" s="14" t="s">
        <v>2048</v>
      </c>
      <c r="CK63" s="14" t="s">
        <v>2068</v>
      </c>
      <c r="CL63" s="14" t="s">
        <v>2069</v>
      </c>
      <c r="CM63" s="14" t="s">
        <v>2048</v>
      </c>
      <c r="CN63" s="17"/>
      <c r="CO63" s="17">
        <v>44026</v>
      </c>
      <c r="CP63" s="17">
        <v>44026</v>
      </c>
      <c r="CR63" s="17">
        <v>45169</v>
      </c>
      <c r="CS63" s="19">
        <v>37</v>
      </c>
      <c r="CT63" s="19">
        <v>0</v>
      </c>
      <c r="CU63" s="19">
        <v>320.33</v>
      </c>
      <c r="CV63" s="19">
        <v>0</v>
      </c>
      <c r="CW63" s="19">
        <v>320.33</v>
      </c>
      <c r="CX63" s="19">
        <v>387.6</v>
      </c>
      <c r="CY63" s="19">
        <v>0</v>
      </c>
      <c r="CZ63" s="17"/>
      <c r="DA63" s="19">
        <v>0</v>
      </c>
      <c r="DB63" s="17"/>
      <c r="DC63" s="17"/>
      <c r="DD63" s="19">
        <v>0</v>
      </c>
      <c r="DE63" s="17"/>
      <c r="DF63" s="17"/>
      <c r="DG63" s="19">
        <v>100</v>
      </c>
      <c r="DH63" s="17"/>
      <c r="DI63" s="17">
        <v>45657</v>
      </c>
      <c r="DJ63" s="17"/>
      <c r="DK63" s="17"/>
      <c r="DL63" s="19">
        <v>0</v>
      </c>
      <c r="DM63" s="19">
        <v>0</v>
      </c>
    </row>
    <row r="64" spans="1:117" x14ac:dyDescent="0.2">
      <c r="A64" s="14" t="s">
        <v>3610</v>
      </c>
      <c r="B64" s="14" t="s">
        <v>598</v>
      </c>
      <c r="C64" s="14" t="s">
        <v>73</v>
      </c>
      <c r="D64" s="14" t="s">
        <v>200</v>
      </c>
      <c r="E64" s="14" t="s">
        <v>201</v>
      </c>
      <c r="F64" s="14" t="s">
        <v>76</v>
      </c>
      <c r="G64" s="17">
        <v>45181</v>
      </c>
      <c r="H64" s="14" t="s">
        <v>77</v>
      </c>
      <c r="I64" s="14" t="s">
        <v>78</v>
      </c>
      <c r="J64" s="14" t="s">
        <v>359</v>
      </c>
      <c r="K64" s="14" t="s">
        <v>593</v>
      </c>
      <c r="L64" s="14" t="s">
        <v>102</v>
      </c>
      <c r="M64" s="14" t="s">
        <v>103</v>
      </c>
      <c r="N64" s="16">
        <f>COUNTIF($M$3:M64, M64)</f>
        <v>9</v>
      </c>
      <c r="O64" s="16" t="str" cm="1">
        <f t="array" ref="O64">INDEX('[2]ALTA 20242025'!$B$2:$B$241, MATCH(1, ('[2]ALTA 20242025'!$I$2:$I$241=M64)*('[2]ALTA 20242025'!$J$2:$J$241=N64), 0))</f>
        <v>0767MJM</v>
      </c>
      <c r="P64" s="16"/>
      <c r="Q64" s="16"/>
      <c r="R64" s="14" t="s">
        <v>2048</v>
      </c>
      <c r="S64" s="14" t="s">
        <v>2048</v>
      </c>
      <c r="T64" s="14" t="s">
        <v>2048</v>
      </c>
      <c r="U64" s="14" t="s">
        <v>2048</v>
      </c>
      <c r="V64" s="14" t="s">
        <v>3924</v>
      </c>
      <c r="W64" s="14" t="s">
        <v>3925</v>
      </c>
      <c r="X64" s="14" t="s">
        <v>3926</v>
      </c>
      <c r="Y64" s="14" t="s">
        <v>3927</v>
      </c>
      <c r="Z64" s="14" t="s">
        <v>2048</v>
      </c>
      <c r="AA64" s="14" t="s">
        <v>2422</v>
      </c>
      <c r="AB64" s="14" t="s">
        <v>2049</v>
      </c>
      <c r="AC64" s="14" t="s">
        <v>2050</v>
      </c>
      <c r="AD64" s="14" t="s">
        <v>3725</v>
      </c>
      <c r="AE64" s="14" t="s">
        <v>3613</v>
      </c>
      <c r="AF64" s="14" t="s">
        <v>3614</v>
      </c>
      <c r="AG64" s="14" t="s">
        <v>200</v>
      </c>
      <c r="AH64" s="14" t="s">
        <v>3622</v>
      </c>
      <c r="AI64" s="14" t="s">
        <v>2072</v>
      </c>
      <c r="AJ64" s="14" t="s">
        <v>2073</v>
      </c>
      <c r="AK64" s="14" t="s">
        <v>2055</v>
      </c>
      <c r="AL64" s="14" t="s">
        <v>2055</v>
      </c>
      <c r="AM64" s="14" t="s">
        <v>2055</v>
      </c>
      <c r="AN64" s="14" t="s">
        <v>2068</v>
      </c>
      <c r="AO64" s="14" t="s">
        <v>2048</v>
      </c>
      <c r="AP64" s="14" t="s">
        <v>2048</v>
      </c>
      <c r="AQ64" s="14" t="s">
        <v>2048</v>
      </c>
      <c r="AR64" s="14" t="s">
        <v>3928</v>
      </c>
      <c r="AS64" s="14" t="s">
        <v>3726</v>
      </c>
      <c r="AT64" s="14" t="s">
        <v>2862</v>
      </c>
      <c r="AU64" s="14" t="s">
        <v>3929</v>
      </c>
      <c r="AV64" s="14" t="s">
        <v>3930</v>
      </c>
      <c r="AW64" s="14" t="s">
        <v>3931</v>
      </c>
      <c r="AX64" s="14" t="s">
        <v>2048</v>
      </c>
      <c r="AY64" s="14" t="s">
        <v>2526</v>
      </c>
      <c r="AZ64" s="14" t="s">
        <v>2527</v>
      </c>
      <c r="BA64" s="14" t="s">
        <v>3664</v>
      </c>
      <c r="BB64" s="14" t="s">
        <v>2048</v>
      </c>
      <c r="BC64" s="14" t="s">
        <v>102</v>
      </c>
      <c r="BD64" s="14" t="s">
        <v>599</v>
      </c>
      <c r="BE64" s="14" t="s">
        <v>3932</v>
      </c>
      <c r="BF64" s="14" t="s">
        <v>2048</v>
      </c>
      <c r="BG64" s="14" t="s">
        <v>2048</v>
      </c>
      <c r="BH64" s="14" t="s">
        <v>2080</v>
      </c>
      <c r="BI64" s="14" t="s">
        <v>2081</v>
      </c>
      <c r="BJ64" s="14" t="s">
        <v>3933</v>
      </c>
      <c r="BK64" s="14" t="s">
        <v>3934</v>
      </c>
      <c r="BL64" s="14" t="s">
        <v>3935</v>
      </c>
      <c r="BM64" s="14" t="s">
        <v>2085</v>
      </c>
      <c r="BN64" s="14" t="s">
        <v>2048</v>
      </c>
      <c r="BO64" s="14" t="s">
        <v>2518</v>
      </c>
      <c r="BP64" s="14" t="s">
        <v>2064</v>
      </c>
      <c r="BQ64" s="14" t="s">
        <v>72</v>
      </c>
      <c r="BR64" s="14" t="s">
        <v>72</v>
      </c>
      <c r="BS64" s="14" t="s">
        <v>2048</v>
      </c>
      <c r="BT64" s="14" t="s">
        <v>3936</v>
      </c>
      <c r="BU64" s="14" t="s">
        <v>3937</v>
      </c>
      <c r="BV64" s="14" t="s">
        <v>2418</v>
      </c>
      <c r="BW64" s="14" t="s">
        <v>2089</v>
      </c>
      <c r="BX64" s="14" t="s">
        <v>2048</v>
      </c>
      <c r="BY64" s="14" t="s">
        <v>2048</v>
      </c>
      <c r="BZ64" s="14" t="s">
        <v>2048</v>
      </c>
      <c r="CA64" s="14" t="s">
        <v>2048</v>
      </c>
      <c r="CB64" s="14" t="s">
        <v>72</v>
      </c>
      <c r="CC64" s="14" t="s">
        <v>2048</v>
      </c>
      <c r="CD64" s="14" t="s">
        <v>2048</v>
      </c>
      <c r="CE64" s="14" t="s">
        <v>2048</v>
      </c>
      <c r="CF64" s="14" t="s">
        <v>2048</v>
      </c>
      <c r="CG64" s="14" t="s">
        <v>2048</v>
      </c>
      <c r="CH64" s="14" t="s">
        <v>2048</v>
      </c>
      <c r="CI64" s="14" t="s">
        <v>2048</v>
      </c>
      <c r="CJ64" s="14" t="s">
        <v>2048</v>
      </c>
      <c r="CK64" s="14" t="s">
        <v>2057</v>
      </c>
      <c r="CL64" s="14" t="s">
        <v>2090</v>
      </c>
      <c r="CM64" s="14" t="s">
        <v>2048</v>
      </c>
      <c r="CN64" s="17"/>
      <c r="CO64" s="17">
        <v>43355</v>
      </c>
      <c r="CP64" s="17">
        <v>43355</v>
      </c>
      <c r="CR64" s="17">
        <v>45225</v>
      </c>
      <c r="CS64" s="19">
        <v>60</v>
      </c>
      <c r="CT64" s="19">
        <v>0</v>
      </c>
      <c r="CU64" s="19">
        <v>213.82</v>
      </c>
      <c r="CV64" s="19">
        <v>0</v>
      </c>
      <c r="CW64" s="19">
        <v>213.82</v>
      </c>
      <c r="CX64" s="19">
        <v>258.72000000000003</v>
      </c>
      <c r="CY64" s="19">
        <v>0</v>
      </c>
      <c r="CZ64" s="17"/>
      <c r="DA64" s="20">
        <v>18405</v>
      </c>
      <c r="DB64" s="17">
        <v>43555</v>
      </c>
      <c r="DC64" s="17"/>
      <c r="DD64" s="19">
        <v>0</v>
      </c>
      <c r="DE64" s="17"/>
      <c r="DF64" s="17"/>
      <c r="DG64" s="19">
        <v>100</v>
      </c>
      <c r="DH64" s="17"/>
      <c r="DI64" s="17">
        <v>45291</v>
      </c>
      <c r="DJ64" s="17"/>
      <c r="DK64" s="17"/>
      <c r="DL64" s="19">
        <v>0</v>
      </c>
      <c r="DM64" s="19">
        <v>0</v>
      </c>
    </row>
    <row r="65" spans="1:117" x14ac:dyDescent="0.2">
      <c r="A65" s="14" t="s">
        <v>3610</v>
      </c>
      <c r="B65" s="14" t="s">
        <v>798</v>
      </c>
      <c r="C65" s="14" t="s">
        <v>725</v>
      </c>
      <c r="D65" s="14" t="s">
        <v>74</v>
      </c>
      <c r="E65" s="14" t="s">
        <v>75</v>
      </c>
      <c r="F65" s="14" t="s">
        <v>76</v>
      </c>
      <c r="G65" s="17">
        <v>45188</v>
      </c>
      <c r="H65" s="14" t="s">
        <v>77</v>
      </c>
      <c r="I65" s="14" t="s">
        <v>78</v>
      </c>
      <c r="J65" s="14" t="s">
        <v>380</v>
      </c>
      <c r="K65" s="14" t="s">
        <v>799</v>
      </c>
      <c r="L65" s="14" t="s">
        <v>102</v>
      </c>
      <c r="M65" s="14" t="s">
        <v>103</v>
      </c>
      <c r="N65" s="16">
        <f>COUNTIF($M$3:M65, M65)</f>
        <v>10</v>
      </c>
      <c r="O65" s="16" t="str" cm="1">
        <f t="array" ref="O65">INDEX('[2]ALTA 20242025'!$B$2:$B$241, MATCH(1, ('[2]ALTA 20242025'!$I$2:$I$241=M65)*('[2]ALTA 20242025'!$J$2:$J$241=N65), 0))</f>
        <v>0777MJM</v>
      </c>
      <c r="P65" s="16"/>
      <c r="Q65" s="16"/>
      <c r="R65" s="14" t="s">
        <v>2048</v>
      </c>
      <c r="S65" s="14" t="s">
        <v>2048</v>
      </c>
      <c r="T65" s="14" t="s">
        <v>2048</v>
      </c>
      <c r="U65" s="14" t="s">
        <v>2048</v>
      </c>
      <c r="V65" s="14" t="s">
        <v>72</v>
      </c>
      <c r="W65" s="14" t="s">
        <v>72</v>
      </c>
      <c r="X65" s="14" t="s">
        <v>72</v>
      </c>
      <c r="Y65" s="14" t="s">
        <v>3938</v>
      </c>
      <c r="Z65" s="14" t="s">
        <v>2048</v>
      </c>
      <c r="AA65" s="14" t="s">
        <v>2048</v>
      </c>
      <c r="AB65" s="14" t="s">
        <v>2048</v>
      </c>
      <c r="AC65" s="14" t="s">
        <v>2050</v>
      </c>
      <c r="AD65" s="14" t="s">
        <v>2048</v>
      </c>
      <c r="AE65" s="14" t="s">
        <v>2048</v>
      </c>
      <c r="AF65" s="14" t="s">
        <v>2048</v>
      </c>
      <c r="AG65" s="14" t="s">
        <v>2048</v>
      </c>
      <c r="AH65" s="14" t="s">
        <v>2048</v>
      </c>
      <c r="AI65" s="14" t="s">
        <v>2129</v>
      </c>
      <c r="AJ65" s="14" t="s">
        <v>2130</v>
      </c>
      <c r="AK65" s="14" t="s">
        <v>2055</v>
      </c>
      <c r="AL65" s="14" t="s">
        <v>2055</v>
      </c>
      <c r="AM65" s="14" t="s">
        <v>2055</v>
      </c>
      <c r="AN65" s="14" t="s">
        <v>2068</v>
      </c>
      <c r="AO65" s="14" t="s">
        <v>2048</v>
      </c>
      <c r="AP65" s="14" t="s">
        <v>2048</v>
      </c>
      <c r="AQ65" s="14" t="s">
        <v>2048</v>
      </c>
      <c r="AR65" s="14" t="s">
        <v>2074</v>
      </c>
      <c r="AS65" s="14" t="s">
        <v>108</v>
      </c>
      <c r="AT65" s="14" t="s">
        <v>3191</v>
      </c>
      <c r="AU65" s="14" t="s">
        <v>2059</v>
      </c>
      <c r="AV65" s="14" t="s">
        <v>2060</v>
      </c>
      <c r="AW65" s="14" t="s">
        <v>2048</v>
      </c>
      <c r="AX65" s="14" t="s">
        <v>72</v>
      </c>
      <c r="AY65" s="14" t="s">
        <v>2118</v>
      </c>
      <c r="AZ65" s="14" t="s">
        <v>2119</v>
      </c>
      <c r="BA65" s="14" t="s">
        <v>2048</v>
      </c>
      <c r="BB65" s="14" t="s">
        <v>2048</v>
      </c>
      <c r="BC65" s="14" t="s">
        <v>102</v>
      </c>
      <c r="BD65" s="14" t="s">
        <v>440</v>
      </c>
      <c r="BE65" s="14" t="s">
        <v>2079</v>
      </c>
      <c r="BF65" s="14" t="s">
        <v>2048</v>
      </c>
      <c r="BG65" s="14" t="s">
        <v>2048</v>
      </c>
      <c r="BH65" s="14" t="s">
        <v>2080</v>
      </c>
      <c r="BI65" s="14" t="s">
        <v>2081</v>
      </c>
      <c r="BJ65" s="14" t="s">
        <v>2082</v>
      </c>
      <c r="BK65" s="14" t="s">
        <v>2083</v>
      </c>
      <c r="BL65" s="14" t="s">
        <v>2084</v>
      </c>
      <c r="BM65" s="14" t="s">
        <v>2085</v>
      </c>
      <c r="BN65" s="14" t="s">
        <v>2048</v>
      </c>
      <c r="BO65" s="14" t="s">
        <v>2518</v>
      </c>
      <c r="BP65" s="14" t="s">
        <v>2064</v>
      </c>
      <c r="BQ65" s="14" t="s">
        <v>72</v>
      </c>
      <c r="BR65" s="14" t="s">
        <v>72</v>
      </c>
      <c r="BS65" s="14" t="s">
        <v>2048</v>
      </c>
      <c r="BT65" s="14" t="s">
        <v>2048</v>
      </c>
      <c r="BU65" s="14" t="s">
        <v>2048</v>
      </c>
      <c r="BV65" s="14" t="s">
        <v>2331</v>
      </c>
      <c r="BW65" s="14" t="s">
        <v>2131</v>
      </c>
      <c r="BX65" s="14" t="s">
        <v>2048</v>
      </c>
      <c r="BY65" s="14" t="s">
        <v>2048</v>
      </c>
      <c r="BZ65" s="14" t="s">
        <v>2048</v>
      </c>
      <c r="CA65" s="14" t="s">
        <v>2048</v>
      </c>
      <c r="CB65" s="14" t="s">
        <v>72</v>
      </c>
      <c r="CC65" s="14" t="s">
        <v>2048</v>
      </c>
      <c r="CD65" s="14" t="s">
        <v>2048</v>
      </c>
      <c r="CE65" s="14" t="s">
        <v>2048</v>
      </c>
      <c r="CF65" s="14" t="s">
        <v>2048</v>
      </c>
      <c r="CG65" s="14" t="s">
        <v>2048</v>
      </c>
      <c r="CH65" s="14" t="s">
        <v>2048</v>
      </c>
      <c r="CI65" s="14" t="s">
        <v>2048</v>
      </c>
      <c r="CJ65" s="14" t="s">
        <v>2048</v>
      </c>
      <c r="CK65" s="14" t="s">
        <v>2057</v>
      </c>
      <c r="CL65" s="14" t="s">
        <v>2090</v>
      </c>
      <c r="CM65" s="14" t="s">
        <v>2048</v>
      </c>
      <c r="CN65" s="17"/>
      <c r="CO65" s="17">
        <v>45017</v>
      </c>
      <c r="CP65" s="17">
        <v>45017</v>
      </c>
      <c r="CR65" s="17">
        <v>45188</v>
      </c>
      <c r="CS65" s="19">
        <v>0</v>
      </c>
      <c r="CT65" s="19">
        <v>0</v>
      </c>
      <c r="CU65" s="19">
        <v>398.9</v>
      </c>
      <c r="CV65" s="19">
        <v>0</v>
      </c>
      <c r="CW65" s="19">
        <v>398.9</v>
      </c>
      <c r="CX65" s="19">
        <v>482.67</v>
      </c>
      <c r="CY65" s="19">
        <v>0</v>
      </c>
      <c r="CZ65" s="17"/>
      <c r="DA65" s="19">
        <v>0</v>
      </c>
      <c r="DB65" s="17"/>
      <c r="DC65" s="17"/>
      <c r="DD65" s="19">
        <v>0</v>
      </c>
      <c r="DE65" s="17"/>
      <c r="DF65" s="17"/>
      <c r="DG65" s="19">
        <v>100</v>
      </c>
      <c r="DH65" s="17"/>
      <c r="DI65" s="17">
        <v>45291</v>
      </c>
      <c r="DJ65" s="17"/>
      <c r="DK65" s="17"/>
      <c r="DL65" s="19">
        <v>0</v>
      </c>
      <c r="DM65" s="19">
        <v>0</v>
      </c>
    </row>
    <row r="66" spans="1:117" x14ac:dyDescent="0.2">
      <c r="A66" s="14" t="s">
        <v>3610</v>
      </c>
      <c r="B66" s="14" t="s">
        <v>786</v>
      </c>
      <c r="C66" s="14" t="s">
        <v>725</v>
      </c>
      <c r="D66" s="14" t="s">
        <v>74</v>
      </c>
      <c r="E66" s="14" t="s">
        <v>75</v>
      </c>
      <c r="F66" s="14" t="s">
        <v>76</v>
      </c>
      <c r="G66" s="17">
        <v>45188</v>
      </c>
      <c r="H66" s="14" t="s">
        <v>77</v>
      </c>
      <c r="I66" s="14" t="s">
        <v>78</v>
      </c>
      <c r="J66" s="14" t="s">
        <v>380</v>
      </c>
      <c r="K66" s="14" t="s">
        <v>787</v>
      </c>
      <c r="L66" s="14" t="s">
        <v>102</v>
      </c>
      <c r="M66" s="14" t="s">
        <v>103</v>
      </c>
      <c r="N66" s="16">
        <f>COUNTIF($M$3:M66, M66)</f>
        <v>11</v>
      </c>
      <c r="O66" s="16" t="str" cm="1">
        <f t="array" ref="O66">INDEX('[2]ALTA 20242025'!$B$2:$B$241, MATCH(1, ('[2]ALTA 20242025'!$I$2:$I$241=M66)*('[2]ALTA 20242025'!$J$2:$J$241=N66), 0))</f>
        <v>0778MJM</v>
      </c>
      <c r="P66" s="16"/>
      <c r="Q66" s="16"/>
      <c r="R66" s="14" t="s">
        <v>2048</v>
      </c>
      <c r="S66" s="14" t="s">
        <v>2048</v>
      </c>
      <c r="T66" s="14" t="s">
        <v>2048</v>
      </c>
      <c r="U66" s="14" t="s">
        <v>2048</v>
      </c>
      <c r="V66" s="14" t="s">
        <v>72</v>
      </c>
      <c r="W66" s="14" t="s">
        <v>3939</v>
      </c>
      <c r="X66" s="14" t="s">
        <v>3881</v>
      </c>
      <c r="Y66" s="14" t="s">
        <v>3940</v>
      </c>
      <c r="Z66" s="14" t="s">
        <v>2048</v>
      </c>
      <c r="AA66" s="14" t="s">
        <v>2422</v>
      </c>
      <c r="AB66" s="14" t="s">
        <v>2049</v>
      </c>
      <c r="AC66" s="14" t="s">
        <v>2050</v>
      </c>
      <c r="AD66" s="14" t="s">
        <v>2048</v>
      </c>
      <c r="AE66" s="14" t="s">
        <v>2048</v>
      </c>
      <c r="AF66" s="14" t="s">
        <v>2048</v>
      </c>
      <c r="AG66" s="14" t="s">
        <v>2048</v>
      </c>
      <c r="AH66" s="14" t="s">
        <v>2048</v>
      </c>
      <c r="AI66" s="14" t="s">
        <v>2129</v>
      </c>
      <c r="AJ66" s="14" t="s">
        <v>2130</v>
      </c>
      <c r="AK66" s="14" t="s">
        <v>2055</v>
      </c>
      <c r="AL66" s="14" t="s">
        <v>2055</v>
      </c>
      <c r="AM66" s="14" t="s">
        <v>2055</v>
      </c>
      <c r="AN66" s="14" t="s">
        <v>2068</v>
      </c>
      <c r="AO66" s="14" t="s">
        <v>2048</v>
      </c>
      <c r="AP66" s="14" t="s">
        <v>2048</v>
      </c>
      <c r="AQ66" s="14" t="s">
        <v>2048</v>
      </c>
      <c r="AR66" s="14" t="s">
        <v>2074</v>
      </c>
      <c r="AS66" s="14" t="s">
        <v>108</v>
      </c>
      <c r="AT66" s="14" t="s">
        <v>3191</v>
      </c>
      <c r="AU66" s="14" t="s">
        <v>2059</v>
      </c>
      <c r="AV66" s="14" t="s">
        <v>2060</v>
      </c>
      <c r="AW66" s="14" t="s">
        <v>2048</v>
      </c>
      <c r="AX66" s="14" t="s">
        <v>2048</v>
      </c>
      <c r="AY66" s="14" t="s">
        <v>2118</v>
      </c>
      <c r="AZ66" s="14" t="s">
        <v>2119</v>
      </c>
      <c r="BA66" s="14" t="s">
        <v>2048</v>
      </c>
      <c r="BB66" s="14" t="s">
        <v>2048</v>
      </c>
      <c r="BC66" s="14" t="s">
        <v>102</v>
      </c>
      <c r="BD66" s="14" t="s">
        <v>440</v>
      </c>
      <c r="BE66" s="14" t="s">
        <v>2079</v>
      </c>
      <c r="BF66" s="14" t="s">
        <v>2048</v>
      </c>
      <c r="BG66" s="14" t="s">
        <v>2048</v>
      </c>
      <c r="BH66" s="14" t="s">
        <v>2080</v>
      </c>
      <c r="BI66" s="14" t="s">
        <v>2081</v>
      </c>
      <c r="BJ66" s="14" t="s">
        <v>2082</v>
      </c>
      <c r="BK66" s="14" t="s">
        <v>2083</v>
      </c>
      <c r="BL66" s="14" t="s">
        <v>2084</v>
      </c>
      <c r="BM66" s="14" t="s">
        <v>2085</v>
      </c>
      <c r="BN66" s="14" t="s">
        <v>2048</v>
      </c>
      <c r="BO66" s="14" t="s">
        <v>2518</v>
      </c>
      <c r="BP66" s="14" t="s">
        <v>2064</v>
      </c>
      <c r="BQ66" s="14" t="s">
        <v>72</v>
      </c>
      <c r="BR66" s="14" t="s">
        <v>72</v>
      </c>
      <c r="BS66" s="14" t="s">
        <v>2048</v>
      </c>
      <c r="BT66" s="14" t="s">
        <v>2048</v>
      </c>
      <c r="BU66" s="14" t="s">
        <v>2048</v>
      </c>
      <c r="BV66" s="14" t="s">
        <v>2418</v>
      </c>
      <c r="BW66" s="14" t="s">
        <v>2089</v>
      </c>
      <c r="BX66" s="14" t="s">
        <v>2048</v>
      </c>
      <c r="BY66" s="14" t="s">
        <v>2048</v>
      </c>
      <c r="BZ66" s="14" t="s">
        <v>2048</v>
      </c>
      <c r="CA66" s="14" t="s">
        <v>2048</v>
      </c>
      <c r="CB66" s="14" t="s">
        <v>72</v>
      </c>
      <c r="CC66" s="14" t="s">
        <v>2048</v>
      </c>
      <c r="CD66" s="14" t="s">
        <v>2048</v>
      </c>
      <c r="CE66" s="14" t="s">
        <v>2048</v>
      </c>
      <c r="CF66" s="14" t="s">
        <v>2048</v>
      </c>
      <c r="CG66" s="14" t="s">
        <v>2048</v>
      </c>
      <c r="CH66" s="14" t="s">
        <v>2048</v>
      </c>
      <c r="CI66" s="14" t="s">
        <v>2048</v>
      </c>
      <c r="CJ66" s="14" t="s">
        <v>2048</v>
      </c>
      <c r="CK66" s="14" t="s">
        <v>2057</v>
      </c>
      <c r="CL66" s="14" t="s">
        <v>2090</v>
      </c>
      <c r="CM66" s="14" t="s">
        <v>2048</v>
      </c>
      <c r="CN66" s="17"/>
      <c r="CO66" s="17">
        <v>44958</v>
      </c>
      <c r="CP66" s="17">
        <v>44958</v>
      </c>
      <c r="CR66" s="17">
        <v>45188</v>
      </c>
      <c r="CS66" s="19">
        <v>0</v>
      </c>
      <c r="CT66" s="19">
        <v>0</v>
      </c>
      <c r="CU66" s="19">
        <v>398.9</v>
      </c>
      <c r="CV66" s="19">
        <v>0</v>
      </c>
      <c r="CW66" s="19">
        <v>398.9</v>
      </c>
      <c r="CX66" s="19">
        <v>482.67</v>
      </c>
      <c r="CY66" s="19">
        <v>0</v>
      </c>
      <c r="CZ66" s="17"/>
      <c r="DA66" s="19">
        <v>0</v>
      </c>
      <c r="DB66" s="17"/>
      <c r="DC66" s="17"/>
      <c r="DD66" s="19">
        <v>0</v>
      </c>
      <c r="DE66" s="17"/>
      <c r="DF66" s="17"/>
      <c r="DG66" s="19">
        <v>100</v>
      </c>
      <c r="DH66" s="17"/>
      <c r="DI66" s="17">
        <v>45291</v>
      </c>
      <c r="DJ66" s="17"/>
      <c r="DK66" s="17"/>
      <c r="DL66" s="19">
        <v>0</v>
      </c>
      <c r="DM66" s="19">
        <v>0</v>
      </c>
    </row>
    <row r="67" spans="1:117" x14ac:dyDescent="0.2">
      <c r="A67" s="14" t="s">
        <v>3610</v>
      </c>
      <c r="B67" s="14" t="s">
        <v>839</v>
      </c>
      <c r="C67" s="14" t="s">
        <v>725</v>
      </c>
      <c r="D67" s="14" t="s">
        <v>74</v>
      </c>
      <c r="E67" s="14" t="s">
        <v>75</v>
      </c>
      <c r="F67" s="14" t="s">
        <v>76</v>
      </c>
      <c r="G67" s="17">
        <v>45188</v>
      </c>
      <c r="H67" s="14" t="s">
        <v>77</v>
      </c>
      <c r="I67" s="14" t="s">
        <v>78</v>
      </c>
      <c r="J67" s="14" t="s">
        <v>79</v>
      </c>
      <c r="K67" s="14" t="s">
        <v>812</v>
      </c>
      <c r="L67" s="14" t="s">
        <v>102</v>
      </c>
      <c r="M67" s="14" t="s">
        <v>103</v>
      </c>
      <c r="N67" s="16">
        <f>COUNTIF($M$3:M67, M67)</f>
        <v>12</v>
      </c>
      <c r="O67" s="16" t="str" cm="1">
        <f t="array" ref="O67">INDEX('[2]ALTA 20242025'!$B$2:$B$241, MATCH(1, ('[2]ALTA 20242025'!$I$2:$I$241=M67)*('[2]ALTA 20242025'!$J$2:$J$241=N67), 0))</f>
        <v>0800MJM</v>
      </c>
      <c r="P67" s="16"/>
      <c r="Q67" s="16"/>
      <c r="R67" s="14" t="s">
        <v>2048</v>
      </c>
      <c r="S67" s="14" t="s">
        <v>2048</v>
      </c>
      <c r="T67" s="14" t="s">
        <v>2048</v>
      </c>
      <c r="U67" s="14" t="s">
        <v>2048</v>
      </c>
      <c r="V67" s="14" t="s">
        <v>72</v>
      </c>
      <c r="W67" s="14" t="s">
        <v>3941</v>
      </c>
      <c r="X67" s="14" t="s">
        <v>3881</v>
      </c>
      <c r="Y67" s="14" t="s">
        <v>3942</v>
      </c>
      <c r="Z67" s="14" t="s">
        <v>2048</v>
      </c>
      <c r="AA67" s="14" t="s">
        <v>2422</v>
      </c>
      <c r="AB67" s="14" t="s">
        <v>2049</v>
      </c>
      <c r="AC67" s="14" t="s">
        <v>2050</v>
      </c>
      <c r="AD67" s="14" t="s">
        <v>2048</v>
      </c>
      <c r="AE67" s="14" t="s">
        <v>2048</v>
      </c>
      <c r="AF67" s="14" t="s">
        <v>2048</v>
      </c>
      <c r="AG67" s="14" t="s">
        <v>2048</v>
      </c>
      <c r="AH67" s="14" t="s">
        <v>2048</v>
      </c>
      <c r="AI67" s="14" t="s">
        <v>2129</v>
      </c>
      <c r="AJ67" s="14" t="s">
        <v>2130</v>
      </c>
      <c r="AK67" s="14" t="s">
        <v>2055</v>
      </c>
      <c r="AL67" s="14" t="s">
        <v>2055</v>
      </c>
      <c r="AM67" s="14" t="s">
        <v>2055</v>
      </c>
      <c r="AN67" s="14" t="s">
        <v>2068</v>
      </c>
      <c r="AO67" s="14" t="s">
        <v>2048</v>
      </c>
      <c r="AP67" s="14" t="s">
        <v>2048</v>
      </c>
      <c r="AQ67" s="14" t="s">
        <v>2048</v>
      </c>
      <c r="AR67" s="14" t="s">
        <v>2074</v>
      </c>
      <c r="AS67" s="14" t="s">
        <v>108</v>
      </c>
      <c r="AT67" s="14" t="s">
        <v>3191</v>
      </c>
      <c r="AU67" s="14" t="s">
        <v>2059</v>
      </c>
      <c r="AV67" s="14" t="s">
        <v>2060</v>
      </c>
      <c r="AW67" s="14" t="s">
        <v>2048</v>
      </c>
      <c r="AX67" s="14" t="s">
        <v>2048</v>
      </c>
      <c r="AY67" s="14" t="s">
        <v>2118</v>
      </c>
      <c r="AZ67" s="14" t="s">
        <v>2119</v>
      </c>
      <c r="BA67" s="14" t="s">
        <v>2048</v>
      </c>
      <c r="BB67" s="14" t="s">
        <v>2048</v>
      </c>
      <c r="BC67" s="14" t="s">
        <v>102</v>
      </c>
      <c r="BD67" s="14" t="s">
        <v>440</v>
      </c>
      <c r="BE67" s="14" t="s">
        <v>2079</v>
      </c>
      <c r="BF67" s="14" t="s">
        <v>2048</v>
      </c>
      <c r="BG67" s="14" t="s">
        <v>2048</v>
      </c>
      <c r="BH67" s="14" t="s">
        <v>2080</v>
      </c>
      <c r="BI67" s="14" t="s">
        <v>2081</v>
      </c>
      <c r="BJ67" s="14" t="s">
        <v>2082</v>
      </c>
      <c r="BK67" s="14" t="s">
        <v>2083</v>
      </c>
      <c r="BL67" s="14" t="s">
        <v>2084</v>
      </c>
      <c r="BM67" s="14" t="s">
        <v>2085</v>
      </c>
      <c r="BN67" s="14" t="s">
        <v>2048</v>
      </c>
      <c r="BO67" s="14" t="s">
        <v>2518</v>
      </c>
      <c r="BP67" s="14" t="s">
        <v>2064</v>
      </c>
      <c r="BQ67" s="14" t="s">
        <v>72</v>
      </c>
      <c r="BR67" s="14" t="s">
        <v>72</v>
      </c>
      <c r="BS67" s="14" t="s">
        <v>2048</v>
      </c>
      <c r="BT67" s="14" t="s">
        <v>2048</v>
      </c>
      <c r="BU67" s="14" t="s">
        <v>2048</v>
      </c>
      <c r="BV67" s="14" t="s">
        <v>2418</v>
      </c>
      <c r="BW67" s="14" t="s">
        <v>2089</v>
      </c>
      <c r="BX67" s="14" t="s">
        <v>2048</v>
      </c>
      <c r="BY67" s="14" t="s">
        <v>2048</v>
      </c>
      <c r="BZ67" s="14" t="s">
        <v>2048</v>
      </c>
      <c r="CA67" s="14" t="s">
        <v>2048</v>
      </c>
      <c r="CB67" s="14" t="s">
        <v>72</v>
      </c>
      <c r="CC67" s="14" t="s">
        <v>2048</v>
      </c>
      <c r="CD67" s="14" t="s">
        <v>2048</v>
      </c>
      <c r="CE67" s="14" t="s">
        <v>2048</v>
      </c>
      <c r="CF67" s="14" t="s">
        <v>2048</v>
      </c>
      <c r="CG67" s="14" t="s">
        <v>2048</v>
      </c>
      <c r="CH67" s="14" t="s">
        <v>2048</v>
      </c>
      <c r="CI67" s="14" t="s">
        <v>2048</v>
      </c>
      <c r="CJ67" s="14" t="s">
        <v>2048</v>
      </c>
      <c r="CK67" s="14" t="s">
        <v>2057</v>
      </c>
      <c r="CL67" s="14" t="s">
        <v>2090</v>
      </c>
      <c r="CM67" s="14" t="s">
        <v>2048</v>
      </c>
      <c r="CN67" s="17"/>
      <c r="CO67" s="17">
        <v>44958</v>
      </c>
      <c r="CP67" s="17">
        <v>44958</v>
      </c>
      <c r="CR67" s="17">
        <v>45188</v>
      </c>
      <c r="CS67" s="19">
        <v>0</v>
      </c>
      <c r="CT67" s="19">
        <v>0</v>
      </c>
      <c r="CU67" s="19">
        <v>398.9</v>
      </c>
      <c r="CV67" s="19">
        <v>0</v>
      </c>
      <c r="CW67" s="19">
        <v>398.9</v>
      </c>
      <c r="CX67" s="19">
        <v>482.67</v>
      </c>
      <c r="CY67" s="19">
        <v>0</v>
      </c>
      <c r="CZ67" s="17"/>
      <c r="DA67" s="19">
        <v>0</v>
      </c>
      <c r="DB67" s="17"/>
      <c r="DC67" s="17"/>
      <c r="DD67" s="19">
        <v>0</v>
      </c>
      <c r="DE67" s="17"/>
      <c r="DF67" s="17"/>
      <c r="DG67" s="19">
        <v>100</v>
      </c>
      <c r="DH67" s="17"/>
      <c r="DI67" s="17">
        <v>45291</v>
      </c>
      <c r="DJ67" s="17"/>
      <c r="DK67" s="17"/>
      <c r="DL67" s="19">
        <v>0</v>
      </c>
      <c r="DM67" s="19">
        <v>0</v>
      </c>
    </row>
    <row r="68" spans="1:117" x14ac:dyDescent="0.2">
      <c r="A68" s="14" t="s">
        <v>3610</v>
      </c>
      <c r="B68" s="14" t="s">
        <v>1229</v>
      </c>
      <c r="C68" s="14" t="s">
        <v>73</v>
      </c>
      <c r="D68" s="14" t="s">
        <v>200</v>
      </c>
      <c r="E68" s="14" t="s">
        <v>201</v>
      </c>
      <c r="F68" s="14" t="s">
        <v>76</v>
      </c>
      <c r="G68" s="17">
        <v>45334</v>
      </c>
      <c r="H68" s="14" t="s">
        <v>77</v>
      </c>
      <c r="I68" s="14" t="s">
        <v>78</v>
      </c>
      <c r="J68" s="14" t="s">
        <v>85</v>
      </c>
      <c r="K68" s="14" t="s">
        <v>1230</v>
      </c>
      <c r="L68" s="14" t="s">
        <v>1231</v>
      </c>
      <c r="M68" s="14" t="s">
        <v>1232</v>
      </c>
      <c r="N68" s="16">
        <f>COUNTIF($M$3:M68, M68)</f>
        <v>1</v>
      </c>
      <c r="O68" s="16" t="e" cm="1">
        <f t="array" ref="O68">INDEX('[2]ALTA 20242025'!$B$2:$B$241, MATCH(1, ('[2]ALTA 20242025'!$I$2:$I$241=M68)*('[2]ALTA 20242025'!$J$2:$J$241=N68), 0))</f>
        <v>#N/A</v>
      </c>
      <c r="P68" s="16"/>
      <c r="Q68" s="16"/>
      <c r="R68" s="14" t="s">
        <v>1235</v>
      </c>
      <c r="S68" s="14" t="s">
        <v>1236</v>
      </c>
      <c r="T68" s="14" t="s">
        <v>2048</v>
      </c>
      <c r="U68" s="14" t="s">
        <v>2048</v>
      </c>
      <c r="V68" s="14" t="s">
        <v>3857</v>
      </c>
      <c r="W68" s="14" t="s">
        <v>3943</v>
      </c>
      <c r="X68" s="14" t="s">
        <v>3944</v>
      </c>
      <c r="Y68" s="14" t="s">
        <v>2048</v>
      </c>
      <c r="Z68" s="14" t="s">
        <v>2048</v>
      </c>
      <c r="AA68" s="14" t="s">
        <v>2422</v>
      </c>
      <c r="AB68" s="14" t="s">
        <v>2049</v>
      </c>
      <c r="AC68" s="14" t="s">
        <v>2050</v>
      </c>
      <c r="AD68" s="14" t="s">
        <v>3725</v>
      </c>
      <c r="AE68" s="14" t="s">
        <v>3613</v>
      </c>
      <c r="AF68" s="14" t="s">
        <v>3614</v>
      </c>
      <c r="AG68" s="14" t="s">
        <v>2048</v>
      </c>
      <c r="AH68" s="14" t="s">
        <v>2048</v>
      </c>
      <c r="AI68" s="14" t="s">
        <v>2129</v>
      </c>
      <c r="AJ68" s="14" t="s">
        <v>2130</v>
      </c>
      <c r="AK68" s="14" t="s">
        <v>2055</v>
      </c>
      <c r="AL68" s="14" t="s">
        <v>2055</v>
      </c>
      <c r="AM68" s="14" t="s">
        <v>2055</v>
      </c>
      <c r="AN68" s="14" t="s">
        <v>2068</v>
      </c>
      <c r="AO68" s="14" t="s">
        <v>2048</v>
      </c>
      <c r="AP68" s="14" t="s">
        <v>2048</v>
      </c>
      <c r="AQ68" s="14" t="s">
        <v>2048</v>
      </c>
      <c r="AR68" s="14" t="s">
        <v>3945</v>
      </c>
      <c r="AS68" s="14" t="s">
        <v>3623</v>
      </c>
      <c r="AT68" s="14" t="s">
        <v>3191</v>
      </c>
      <c r="AU68" s="14" t="s">
        <v>2059</v>
      </c>
      <c r="AV68" s="14" t="s">
        <v>3946</v>
      </c>
      <c r="AW68" s="14" t="s">
        <v>3947</v>
      </c>
      <c r="AX68" s="14" t="s">
        <v>2048</v>
      </c>
      <c r="AY68" s="14" t="s">
        <v>3948</v>
      </c>
      <c r="AZ68" s="14" t="s">
        <v>3949</v>
      </c>
      <c r="BA68" s="14" t="s">
        <v>2048</v>
      </c>
      <c r="BB68" s="14" t="s">
        <v>2048</v>
      </c>
      <c r="BC68" s="14" t="s">
        <v>1235</v>
      </c>
      <c r="BD68" s="14" t="s">
        <v>312</v>
      </c>
      <c r="BE68" s="14" t="s">
        <v>2048</v>
      </c>
      <c r="BF68" s="14" t="s">
        <v>2048</v>
      </c>
      <c r="BG68" s="14" t="s">
        <v>2048</v>
      </c>
      <c r="BH68" s="14" t="s">
        <v>2048</v>
      </c>
      <c r="BI68" s="14" t="s">
        <v>2048</v>
      </c>
      <c r="BJ68" s="14" t="s">
        <v>2048</v>
      </c>
      <c r="BK68" s="14" t="s">
        <v>2048</v>
      </c>
      <c r="BL68" s="14" t="s">
        <v>2048</v>
      </c>
      <c r="BM68" s="14" t="s">
        <v>2048</v>
      </c>
      <c r="BN68" s="14" t="s">
        <v>2048</v>
      </c>
      <c r="BO68" s="14" t="s">
        <v>2518</v>
      </c>
      <c r="BP68" s="14" t="s">
        <v>2064</v>
      </c>
      <c r="BQ68" s="14" t="s">
        <v>72</v>
      </c>
      <c r="BR68" s="14" t="s">
        <v>72</v>
      </c>
      <c r="BS68" s="14" t="s">
        <v>2048</v>
      </c>
      <c r="BT68" s="14" t="s">
        <v>3950</v>
      </c>
      <c r="BU68" s="14" t="s">
        <v>2762</v>
      </c>
      <c r="BV68" s="14" t="s">
        <v>2331</v>
      </c>
      <c r="BW68" s="14" t="s">
        <v>2131</v>
      </c>
      <c r="BX68" s="14" t="s">
        <v>2048</v>
      </c>
      <c r="BY68" s="14" t="s">
        <v>2048</v>
      </c>
      <c r="BZ68" s="14" t="s">
        <v>2048</v>
      </c>
      <c r="CA68" s="14" t="s">
        <v>2048</v>
      </c>
      <c r="CB68" s="14" t="s">
        <v>72</v>
      </c>
      <c r="CC68" s="14" t="s">
        <v>2048</v>
      </c>
      <c r="CD68" s="14" t="s">
        <v>2048</v>
      </c>
      <c r="CE68" s="14" t="s">
        <v>2048</v>
      </c>
      <c r="CF68" s="14" t="s">
        <v>2048</v>
      </c>
      <c r="CG68" s="14" t="s">
        <v>2048</v>
      </c>
      <c r="CH68" s="14" t="s">
        <v>2048</v>
      </c>
      <c r="CI68" s="14" t="s">
        <v>2048</v>
      </c>
      <c r="CJ68" s="14" t="s">
        <v>2048</v>
      </c>
      <c r="CK68" s="14" t="s">
        <v>3714</v>
      </c>
      <c r="CL68" s="14" t="s">
        <v>3761</v>
      </c>
      <c r="CM68" s="14" t="s">
        <v>2048</v>
      </c>
      <c r="CN68" s="17">
        <v>45047</v>
      </c>
      <c r="CO68" s="17">
        <v>43873</v>
      </c>
      <c r="CP68" s="17">
        <v>43873</v>
      </c>
      <c r="CR68" s="17">
        <v>45291</v>
      </c>
      <c r="CS68" s="19">
        <v>48</v>
      </c>
      <c r="CT68" s="19">
        <v>0</v>
      </c>
      <c r="CU68" s="19">
        <v>297.27999999999997</v>
      </c>
      <c r="CV68" s="19">
        <v>0</v>
      </c>
      <c r="CW68" s="19">
        <v>297.27999999999997</v>
      </c>
      <c r="CX68" s="19">
        <v>359.71</v>
      </c>
      <c r="CY68" s="19">
        <v>0</v>
      </c>
      <c r="CZ68" s="17"/>
      <c r="DA68" s="19">
        <v>0</v>
      </c>
      <c r="DB68" s="17"/>
      <c r="DC68" s="17"/>
      <c r="DD68" s="19">
        <v>0</v>
      </c>
      <c r="DE68" s="17"/>
      <c r="DF68" s="17"/>
      <c r="DG68" s="19">
        <v>100</v>
      </c>
      <c r="DH68" s="17"/>
      <c r="DI68" s="17">
        <v>45334</v>
      </c>
      <c r="DJ68" s="17"/>
      <c r="DK68" s="17"/>
      <c r="DL68" s="19">
        <v>0</v>
      </c>
      <c r="DM68" s="19">
        <v>0</v>
      </c>
    </row>
    <row r="69" spans="1:117" x14ac:dyDescent="0.2">
      <c r="A69" s="14" t="s">
        <v>3610</v>
      </c>
      <c r="B69" s="14" t="s">
        <v>1234</v>
      </c>
      <c r="C69" s="14" t="s">
        <v>73</v>
      </c>
      <c r="D69" s="14" t="s">
        <v>200</v>
      </c>
      <c r="E69" s="14" t="s">
        <v>201</v>
      </c>
      <c r="F69" s="14" t="s">
        <v>76</v>
      </c>
      <c r="G69" s="17">
        <v>45336</v>
      </c>
      <c r="H69" s="14" t="s">
        <v>77</v>
      </c>
      <c r="I69" s="14" t="s">
        <v>78</v>
      </c>
      <c r="J69" s="14" t="s">
        <v>85</v>
      </c>
      <c r="K69" s="14" t="s">
        <v>1230</v>
      </c>
      <c r="L69" s="14" t="s">
        <v>1235</v>
      </c>
      <c r="M69" s="14" t="s">
        <v>1236</v>
      </c>
      <c r="N69" s="16">
        <f>COUNTIF($M$3:M69, M69)</f>
        <v>1</v>
      </c>
      <c r="O69" s="16" t="e" cm="1">
        <f t="array" ref="O69">INDEX('[2]ALTA 20242025'!$B$2:$B$241, MATCH(1, ('[2]ALTA 20242025'!$I$2:$I$241=M69)*('[2]ALTA 20242025'!$J$2:$J$241=N69), 0))</f>
        <v>#N/A</v>
      </c>
      <c r="P69" s="16"/>
      <c r="Q69" s="16"/>
      <c r="R69" s="14" t="s">
        <v>2048</v>
      </c>
      <c r="S69" s="14" t="s">
        <v>2048</v>
      </c>
      <c r="T69" s="14" t="s">
        <v>2048</v>
      </c>
      <c r="U69" s="14" t="s">
        <v>2048</v>
      </c>
      <c r="V69" s="14" t="s">
        <v>3857</v>
      </c>
      <c r="W69" s="14" t="s">
        <v>3951</v>
      </c>
      <c r="X69" s="14" t="s">
        <v>3944</v>
      </c>
      <c r="Y69" s="14" t="s">
        <v>2048</v>
      </c>
      <c r="Z69" s="14" t="s">
        <v>2048</v>
      </c>
      <c r="AA69" s="14" t="s">
        <v>2422</v>
      </c>
      <c r="AB69" s="14" t="s">
        <v>2049</v>
      </c>
      <c r="AC69" s="14" t="s">
        <v>2050</v>
      </c>
      <c r="AD69" s="14" t="s">
        <v>3725</v>
      </c>
      <c r="AE69" s="14" t="s">
        <v>3613</v>
      </c>
      <c r="AF69" s="14" t="s">
        <v>3614</v>
      </c>
      <c r="AG69" s="14" t="s">
        <v>2048</v>
      </c>
      <c r="AH69" s="14" t="s">
        <v>2048</v>
      </c>
      <c r="AI69" s="14" t="s">
        <v>2129</v>
      </c>
      <c r="AJ69" s="14" t="s">
        <v>2130</v>
      </c>
      <c r="AK69" s="14" t="s">
        <v>2055</v>
      </c>
      <c r="AL69" s="14" t="s">
        <v>2055</v>
      </c>
      <c r="AM69" s="14" t="s">
        <v>2055</v>
      </c>
      <c r="AN69" s="14" t="s">
        <v>2068</v>
      </c>
      <c r="AO69" s="14" t="s">
        <v>2048</v>
      </c>
      <c r="AP69" s="14" t="s">
        <v>2048</v>
      </c>
      <c r="AQ69" s="14" t="s">
        <v>2048</v>
      </c>
      <c r="AR69" s="14" t="s">
        <v>3945</v>
      </c>
      <c r="AS69" s="14" t="s">
        <v>3623</v>
      </c>
      <c r="AT69" s="14" t="s">
        <v>3191</v>
      </c>
      <c r="AU69" s="14" t="s">
        <v>2059</v>
      </c>
      <c r="AV69" s="14" t="s">
        <v>3952</v>
      </c>
      <c r="AW69" s="14" t="s">
        <v>3953</v>
      </c>
      <c r="AX69" s="14" t="s">
        <v>2048</v>
      </c>
      <c r="AY69" s="14" t="s">
        <v>3948</v>
      </c>
      <c r="AZ69" s="14" t="s">
        <v>3949</v>
      </c>
      <c r="BA69" s="14" t="s">
        <v>2048</v>
      </c>
      <c r="BB69" s="14" t="s">
        <v>2048</v>
      </c>
      <c r="BC69" s="14" t="s">
        <v>1235</v>
      </c>
      <c r="BD69" s="14" t="s">
        <v>312</v>
      </c>
      <c r="BE69" s="14" t="s">
        <v>2048</v>
      </c>
      <c r="BF69" s="14" t="s">
        <v>2048</v>
      </c>
      <c r="BG69" s="14" t="s">
        <v>2048</v>
      </c>
      <c r="BH69" s="14" t="s">
        <v>2048</v>
      </c>
      <c r="BI69" s="14" t="s">
        <v>2048</v>
      </c>
      <c r="BJ69" s="14" t="s">
        <v>2048</v>
      </c>
      <c r="BK69" s="14" t="s">
        <v>2048</v>
      </c>
      <c r="BL69" s="14" t="s">
        <v>2048</v>
      </c>
      <c r="BM69" s="14" t="s">
        <v>2048</v>
      </c>
      <c r="BN69" s="14" t="s">
        <v>2048</v>
      </c>
      <c r="BO69" s="14" t="s">
        <v>2518</v>
      </c>
      <c r="BP69" s="14" t="s">
        <v>2064</v>
      </c>
      <c r="BQ69" s="14" t="s">
        <v>72</v>
      </c>
      <c r="BR69" s="14" t="s">
        <v>72</v>
      </c>
      <c r="BS69" s="14" t="s">
        <v>2048</v>
      </c>
      <c r="BT69" s="14" t="s">
        <v>2817</v>
      </c>
      <c r="BU69" s="14" t="s">
        <v>2818</v>
      </c>
      <c r="BV69" s="14" t="s">
        <v>2331</v>
      </c>
      <c r="BW69" s="14" t="s">
        <v>2131</v>
      </c>
      <c r="BX69" s="14" t="s">
        <v>2048</v>
      </c>
      <c r="BY69" s="14" t="s">
        <v>2048</v>
      </c>
      <c r="BZ69" s="14" t="s">
        <v>2048</v>
      </c>
      <c r="CA69" s="14" t="s">
        <v>2048</v>
      </c>
      <c r="CB69" s="14" t="s">
        <v>72</v>
      </c>
      <c r="CC69" s="14" t="s">
        <v>2048</v>
      </c>
      <c r="CD69" s="14" t="s">
        <v>2048</v>
      </c>
      <c r="CE69" s="14" t="s">
        <v>2048</v>
      </c>
      <c r="CF69" s="14" t="s">
        <v>2048</v>
      </c>
      <c r="CG69" s="14" t="s">
        <v>2048</v>
      </c>
      <c r="CH69" s="14" t="s">
        <v>2048</v>
      </c>
      <c r="CI69" s="14" t="s">
        <v>2048</v>
      </c>
      <c r="CJ69" s="14" t="s">
        <v>2048</v>
      </c>
      <c r="CK69" s="14" t="s">
        <v>3714</v>
      </c>
      <c r="CL69" s="14" t="s">
        <v>3761</v>
      </c>
      <c r="CM69" s="14" t="s">
        <v>2048</v>
      </c>
      <c r="CN69" s="17"/>
      <c r="CO69" s="17">
        <v>43875</v>
      </c>
      <c r="CP69" s="17">
        <v>43875</v>
      </c>
      <c r="CR69" s="17">
        <v>45280</v>
      </c>
      <c r="CS69" s="19">
        <v>48</v>
      </c>
      <c r="CT69" s="19">
        <v>0</v>
      </c>
      <c r="CU69" s="19">
        <v>297.27999999999997</v>
      </c>
      <c r="CV69" s="19">
        <v>0</v>
      </c>
      <c r="CW69" s="19">
        <v>297.27999999999997</v>
      </c>
      <c r="CX69" s="19">
        <v>359.71</v>
      </c>
      <c r="CY69" s="19">
        <v>0</v>
      </c>
      <c r="CZ69" s="17"/>
      <c r="DA69" s="19">
        <v>0</v>
      </c>
      <c r="DB69" s="17"/>
      <c r="DC69" s="17"/>
      <c r="DD69" s="19">
        <v>0</v>
      </c>
      <c r="DE69" s="17"/>
      <c r="DF69" s="17"/>
      <c r="DG69" s="19">
        <v>100</v>
      </c>
      <c r="DH69" s="17"/>
      <c r="DI69" s="17">
        <v>45336</v>
      </c>
      <c r="DJ69" s="17"/>
      <c r="DK69" s="17"/>
      <c r="DL69" s="19">
        <v>0</v>
      </c>
      <c r="DM69" s="19">
        <v>0</v>
      </c>
    </row>
    <row r="70" spans="1:117" x14ac:dyDescent="0.2">
      <c r="A70" s="14" t="s">
        <v>3610</v>
      </c>
      <c r="B70" s="14" t="s">
        <v>424</v>
      </c>
      <c r="C70" s="14" t="s">
        <v>129</v>
      </c>
      <c r="D70" s="14" t="s">
        <v>74</v>
      </c>
      <c r="E70" s="14" t="s">
        <v>75</v>
      </c>
      <c r="F70" s="14" t="s">
        <v>76</v>
      </c>
      <c r="G70" s="17">
        <v>45189</v>
      </c>
      <c r="H70" s="14" t="s">
        <v>77</v>
      </c>
      <c r="I70" s="14" t="s">
        <v>78</v>
      </c>
      <c r="J70" s="14" t="s">
        <v>380</v>
      </c>
      <c r="K70" s="14" t="s">
        <v>426</v>
      </c>
      <c r="L70" s="14" t="s">
        <v>131</v>
      </c>
      <c r="M70" s="14" t="s">
        <v>132</v>
      </c>
      <c r="N70" s="16">
        <f>COUNTIF($M$3:M70, M70)</f>
        <v>7</v>
      </c>
      <c r="O70" s="16" t="str" cm="1">
        <f t="array" ref="O70">INDEX('[2]ALTA 20242025'!$B$2:$B$241, MATCH(1, ('[2]ALTA 20242025'!$I$2:$I$241=M70)*('[2]ALTA 20242025'!$J$2:$J$241=N70), 0))</f>
        <v>6037MWV</v>
      </c>
      <c r="P70" s="16"/>
      <c r="Q70" s="16"/>
      <c r="R70" s="14" t="s">
        <v>2048</v>
      </c>
      <c r="S70" s="14" t="s">
        <v>2048</v>
      </c>
      <c r="T70" s="14" t="s">
        <v>2048</v>
      </c>
      <c r="U70" s="14" t="s">
        <v>2048</v>
      </c>
      <c r="V70" s="14" t="s">
        <v>3954</v>
      </c>
      <c r="W70" s="14" t="s">
        <v>3955</v>
      </c>
      <c r="X70" s="14" t="s">
        <v>3955</v>
      </c>
      <c r="Y70" s="14" t="s">
        <v>3956</v>
      </c>
      <c r="Z70" s="14" t="s">
        <v>2048</v>
      </c>
      <c r="AA70" s="14" t="s">
        <v>2422</v>
      </c>
      <c r="AB70" s="14" t="s">
        <v>2049</v>
      </c>
      <c r="AC70" s="14" t="s">
        <v>2050</v>
      </c>
      <c r="AD70" s="14" t="s">
        <v>2048</v>
      </c>
      <c r="AE70" s="14" t="s">
        <v>2048</v>
      </c>
      <c r="AF70" s="14" t="s">
        <v>2048</v>
      </c>
      <c r="AG70" s="14" t="s">
        <v>2048</v>
      </c>
      <c r="AH70" s="14" t="s">
        <v>2048</v>
      </c>
      <c r="AI70" s="14" t="s">
        <v>2129</v>
      </c>
      <c r="AJ70" s="14" t="s">
        <v>2130</v>
      </c>
      <c r="AK70" s="14" t="s">
        <v>2055</v>
      </c>
      <c r="AL70" s="14" t="s">
        <v>2055</v>
      </c>
      <c r="AM70" s="14" t="s">
        <v>2048</v>
      </c>
      <c r="AN70" s="14" t="s">
        <v>2068</v>
      </c>
      <c r="AO70" s="14" t="s">
        <v>2048</v>
      </c>
      <c r="AP70" s="14" t="s">
        <v>2048</v>
      </c>
      <c r="AQ70" s="14" t="s">
        <v>2048</v>
      </c>
      <c r="AR70" s="14" t="s">
        <v>2443</v>
      </c>
      <c r="AS70" s="14" t="s">
        <v>108</v>
      </c>
      <c r="AT70" s="14" t="s">
        <v>2418</v>
      </c>
      <c r="AU70" s="14" t="s">
        <v>2059</v>
      </c>
      <c r="AV70" s="14" t="s">
        <v>3957</v>
      </c>
      <c r="AW70" s="14" t="s">
        <v>3958</v>
      </c>
      <c r="AX70" s="14" t="s">
        <v>2048</v>
      </c>
      <c r="AY70" s="14" t="s">
        <v>2448</v>
      </c>
      <c r="AZ70" s="14" t="s">
        <v>2449</v>
      </c>
      <c r="BA70" s="14" t="s">
        <v>2048</v>
      </c>
      <c r="BB70" s="14" t="s">
        <v>2048</v>
      </c>
      <c r="BC70" s="14" t="s">
        <v>131</v>
      </c>
      <c r="BD70" s="14" t="s">
        <v>427</v>
      </c>
      <c r="BE70" s="14" t="s">
        <v>3380</v>
      </c>
      <c r="BF70" s="14" t="s">
        <v>2048</v>
      </c>
      <c r="BG70" s="14" t="s">
        <v>2048</v>
      </c>
      <c r="BH70" s="14" t="s">
        <v>2048</v>
      </c>
      <c r="BI70" s="14" t="s">
        <v>2048</v>
      </c>
      <c r="BJ70" s="14" t="s">
        <v>2452</v>
      </c>
      <c r="BK70" s="14" t="s">
        <v>2453</v>
      </c>
      <c r="BL70" s="14" t="s">
        <v>2454</v>
      </c>
      <c r="BM70" s="14" t="s">
        <v>2455</v>
      </c>
      <c r="BN70" s="14" t="s">
        <v>2048</v>
      </c>
      <c r="BO70" s="14" t="s">
        <v>2518</v>
      </c>
      <c r="BP70" s="14" t="s">
        <v>2064</v>
      </c>
      <c r="BQ70" s="14" t="s">
        <v>72</v>
      </c>
      <c r="BR70" s="14" t="s">
        <v>72</v>
      </c>
      <c r="BS70" s="14" t="s">
        <v>2048</v>
      </c>
      <c r="BT70" s="14" t="s">
        <v>2457</v>
      </c>
      <c r="BU70" s="14" t="s">
        <v>2458</v>
      </c>
      <c r="BV70" s="14" t="s">
        <v>2535</v>
      </c>
      <c r="BW70" s="14" t="s">
        <v>3672</v>
      </c>
      <c r="BX70" s="14" t="s">
        <v>2048</v>
      </c>
      <c r="BY70" s="14" t="s">
        <v>2048</v>
      </c>
      <c r="BZ70" s="14" t="s">
        <v>2048</v>
      </c>
      <c r="CA70" s="14" t="s">
        <v>2048</v>
      </c>
      <c r="CB70" s="14" t="s">
        <v>72</v>
      </c>
      <c r="CC70" s="14" t="s">
        <v>2048</v>
      </c>
      <c r="CD70" s="14" t="s">
        <v>2048</v>
      </c>
      <c r="CE70" s="14" t="s">
        <v>2048</v>
      </c>
      <c r="CF70" s="14" t="s">
        <v>2048</v>
      </c>
      <c r="CG70" s="14" t="s">
        <v>2048</v>
      </c>
      <c r="CH70" s="14" t="s">
        <v>2048</v>
      </c>
      <c r="CI70" s="14" t="s">
        <v>2048</v>
      </c>
      <c r="CJ70" s="14" t="s">
        <v>2048</v>
      </c>
      <c r="CK70" s="14" t="s">
        <v>3651</v>
      </c>
      <c r="CL70" s="14" t="s">
        <v>3652</v>
      </c>
      <c r="CM70" s="14" t="s">
        <v>2048</v>
      </c>
      <c r="CN70" s="17"/>
      <c r="CO70" s="17">
        <v>45075</v>
      </c>
      <c r="CP70" s="17">
        <v>45075</v>
      </c>
      <c r="CR70" s="17">
        <v>45189</v>
      </c>
      <c r="CS70" s="19">
        <v>4</v>
      </c>
      <c r="CT70" s="19">
        <v>0</v>
      </c>
      <c r="CU70" s="19">
        <v>770</v>
      </c>
      <c r="CV70" s="19">
        <v>0</v>
      </c>
      <c r="CW70" s="19">
        <v>770</v>
      </c>
      <c r="CX70" s="19">
        <v>931.7</v>
      </c>
      <c r="CY70" s="19">
        <v>0</v>
      </c>
      <c r="CZ70" s="17"/>
      <c r="DA70" s="19">
        <v>0</v>
      </c>
      <c r="DB70" s="17"/>
      <c r="DC70" s="17"/>
      <c r="DD70" s="19">
        <v>0</v>
      </c>
      <c r="DE70" s="17"/>
      <c r="DF70" s="17"/>
      <c r="DG70" s="19">
        <v>100</v>
      </c>
      <c r="DH70" s="17"/>
      <c r="DI70" s="17">
        <v>45291</v>
      </c>
      <c r="DJ70" s="17"/>
      <c r="DK70" s="17"/>
      <c r="DL70" s="19">
        <v>0</v>
      </c>
      <c r="DM70" s="19">
        <v>0</v>
      </c>
    </row>
    <row r="71" spans="1:117" x14ac:dyDescent="0.2">
      <c r="A71" s="14" t="s">
        <v>3610</v>
      </c>
      <c r="B71" s="14" t="s">
        <v>1381</v>
      </c>
      <c r="C71" s="14" t="s">
        <v>413</v>
      </c>
      <c r="D71" s="14" t="s">
        <v>414</v>
      </c>
      <c r="E71" s="14" t="s">
        <v>415</v>
      </c>
      <c r="F71" s="14" t="s">
        <v>171</v>
      </c>
      <c r="G71" s="17">
        <v>45199</v>
      </c>
      <c r="H71" s="14" t="s">
        <v>172</v>
      </c>
      <c r="I71" s="14" t="s">
        <v>71</v>
      </c>
      <c r="J71" s="14" t="s">
        <v>1382</v>
      </c>
      <c r="K71" s="14" t="s">
        <v>1383</v>
      </c>
      <c r="L71" s="14" t="s">
        <v>204</v>
      </c>
      <c r="M71" s="14" t="s">
        <v>205</v>
      </c>
      <c r="N71" s="16">
        <f>COUNTIF($M$3:M71, M71)</f>
        <v>4</v>
      </c>
      <c r="O71" s="16" t="str" cm="1">
        <f t="array" ref="O71">INDEX('[2]ALTA 20242025'!$B$2:$B$241, MATCH(1, ('[2]ALTA 20242025'!$I$2:$I$241=M71)*('[2]ALTA 20242025'!$J$2:$J$241=N71), 0))</f>
        <v>0189MWZ</v>
      </c>
      <c r="P71" s="16"/>
      <c r="Q71" s="16"/>
      <c r="R71" s="14" t="s">
        <v>2048</v>
      </c>
      <c r="S71" s="14" t="s">
        <v>2048</v>
      </c>
      <c r="T71" s="14" t="s">
        <v>2048</v>
      </c>
      <c r="U71" s="14" t="s">
        <v>2048</v>
      </c>
      <c r="V71" s="14" t="s">
        <v>3645</v>
      </c>
      <c r="W71" s="14" t="s">
        <v>72</v>
      </c>
      <c r="X71" s="14" t="s">
        <v>72</v>
      </c>
      <c r="Y71" s="14" t="s">
        <v>2048</v>
      </c>
      <c r="Z71" s="14" t="s">
        <v>2048</v>
      </c>
      <c r="AA71" s="14" t="s">
        <v>2422</v>
      </c>
      <c r="AB71" s="14" t="s">
        <v>2049</v>
      </c>
      <c r="AC71" s="14" t="s">
        <v>2050</v>
      </c>
      <c r="AD71" s="14" t="s">
        <v>2048</v>
      </c>
      <c r="AE71" s="14" t="s">
        <v>2048</v>
      </c>
      <c r="AF71" s="14" t="s">
        <v>2048</v>
      </c>
      <c r="AG71" s="14" t="s">
        <v>2048</v>
      </c>
      <c r="AH71" s="14" t="s">
        <v>2048</v>
      </c>
      <c r="AI71" s="14" t="s">
        <v>2129</v>
      </c>
      <c r="AJ71" s="14" t="s">
        <v>2130</v>
      </c>
      <c r="AK71" s="14" t="s">
        <v>2055</v>
      </c>
      <c r="AL71" s="14" t="s">
        <v>2055</v>
      </c>
      <c r="AM71" s="14" t="s">
        <v>2055</v>
      </c>
      <c r="AN71" s="14" t="s">
        <v>3714</v>
      </c>
      <c r="AO71" s="14" t="s">
        <v>2048</v>
      </c>
      <c r="AP71" s="14" t="s">
        <v>2048</v>
      </c>
      <c r="AQ71" s="14" t="s">
        <v>2048</v>
      </c>
      <c r="AR71" s="14" t="s">
        <v>2048</v>
      </c>
      <c r="AS71" s="14" t="s">
        <v>3648</v>
      </c>
      <c r="AT71" s="14" t="s">
        <v>2422</v>
      </c>
      <c r="AU71" s="14" t="s">
        <v>2059</v>
      </c>
      <c r="AV71" s="14" t="s">
        <v>3959</v>
      </c>
      <c r="AW71" s="14" t="s">
        <v>3960</v>
      </c>
      <c r="AX71" s="14" t="s">
        <v>72</v>
      </c>
      <c r="AY71" s="14" t="s">
        <v>3959</v>
      </c>
      <c r="AZ71" s="14" t="s">
        <v>3960</v>
      </c>
      <c r="BA71" s="14" t="s">
        <v>2048</v>
      </c>
      <c r="BB71" s="14" t="s">
        <v>2048</v>
      </c>
      <c r="BC71" s="14" t="s">
        <v>204</v>
      </c>
      <c r="BD71" s="14" t="s">
        <v>1081</v>
      </c>
      <c r="BE71" s="14" t="s">
        <v>3961</v>
      </c>
      <c r="BF71" s="14" t="s">
        <v>2048</v>
      </c>
      <c r="BG71" s="14" t="s">
        <v>2048</v>
      </c>
      <c r="BH71" s="14" t="s">
        <v>3598</v>
      </c>
      <c r="BI71" s="14" t="s">
        <v>3599</v>
      </c>
      <c r="BJ71" s="14" t="s">
        <v>3598</v>
      </c>
      <c r="BK71" s="14" t="s">
        <v>3599</v>
      </c>
      <c r="BL71" s="14" t="s">
        <v>3962</v>
      </c>
      <c r="BM71" s="14" t="s">
        <v>3600</v>
      </c>
      <c r="BN71" s="14" t="s">
        <v>2048</v>
      </c>
      <c r="BO71" s="14" t="s">
        <v>2048</v>
      </c>
      <c r="BP71" s="14" t="s">
        <v>2064</v>
      </c>
      <c r="BQ71" s="14" t="s">
        <v>72</v>
      </c>
      <c r="BR71" s="14" t="s">
        <v>72</v>
      </c>
      <c r="BS71" s="14" t="s">
        <v>2048</v>
      </c>
      <c r="BT71" s="14" t="s">
        <v>3601</v>
      </c>
      <c r="BU71" s="14" t="s">
        <v>3602</v>
      </c>
      <c r="BV71" s="14" t="s">
        <v>3191</v>
      </c>
      <c r="BW71" s="14" t="s">
        <v>3192</v>
      </c>
      <c r="BX71" s="14" t="s">
        <v>2048</v>
      </c>
      <c r="BY71" s="14" t="s">
        <v>2048</v>
      </c>
      <c r="BZ71" s="14" t="s">
        <v>2048</v>
      </c>
      <c r="CA71" s="14" t="s">
        <v>2048</v>
      </c>
      <c r="CB71" s="14" t="s">
        <v>72</v>
      </c>
      <c r="CC71" s="14" t="s">
        <v>2048</v>
      </c>
      <c r="CD71" s="14" t="s">
        <v>2048</v>
      </c>
      <c r="CE71" s="14" t="s">
        <v>2048</v>
      </c>
      <c r="CF71" s="14" t="s">
        <v>2048</v>
      </c>
      <c r="CG71" s="14" t="s">
        <v>2048</v>
      </c>
      <c r="CH71" s="14" t="s">
        <v>2048</v>
      </c>
      <c r="CI71" s="14" t="s">
        <v>2048</v>
      </c>
      <c r="CJ71" s="14" t="s">
        <v>2048</v>
      </c>
      <c r="CK71" s="14" t="s">
        <v>3193</v>
      </c>
      <c r="CL71" s="14" t="s">
        <v>3194</v>
      </c>
      <c r="CM71" s="14" t="s">
        <v>2048</v>
      </c>
      <c r="CN71" s="17"/>
      <c r="CO71" s="17">
        <v>44562</v>
      </c>
      <c r="CP71" s="17">
        <v>44562</v>
      </c>
      <c r="CR71" s="17">
        <v>45199</v>
      </c>
      <c r="CS71" s="19">
        <v>0</v>
      </c>
      <c r="CT71" s="19">
        <v>0</v>
      </c>
      <c r="CU71" s="19">
        <v>0</v>
      </c>
      <c r="CV71" s="19">
        <v>0</v>
      </c>
      <c r="CW71" s="19">
        <v>0</v>
      </c>
      <c r="CX71" s="19">
        <v>0</v>
      </c>
      <c r="CY71" s="19">
        <v>0</v>
      </c>
      <c r="CZ71" s="17"/>
      <c r="DA71" s="19">
        <v>0</v>
      </c>
      <c r="DB71" s="17"/>
      <c r="DC71" s="17"/>
      <c r="DD71" s="19">
        <v>0</v>
      </c>
      <c r="DE71" s="17"/>
      <c r="DF71" s="17"/>
      <c r="DG71" s="19">
        <v>100</v>
      </c>
      <c r="DH71" s="17"/>
      <c r="DI71" s="17">
        <v>2958465</v>
      </c>
      <c r="DJ71" s="17"/>
      <c r="DK71" s="17"/>
      <c r="DL71" s="19">
        <v>0</v>
      </c>
      <c r="DM71" s="19">
        <v>0</v>
      </c>
    </row>
    <row r="72" spans="1:117" x14ac:dyDescent="0.2">
      <c r="A72" s="14" t="s">
        <v>3610</v>
      </c>
      <c r="B72" s="14" t="s">
        <v>391</v>
      </c>
      <c r="C72" s="14" t="s">
        <v>73</v>
      </c>
      <c r="D72" s="14" t="s">
        <v>200</v>
      </c>
      <c r="E72" s="14" t="s">
        <v>201</v>
      </c>
      <c r="F72" s="14" t="s">
        <v>76</v>
      </c>
      <c r="G72" s="17">
        <v>45208</v>
      </c>
      <c r="H72" s="14" t="s">
        <v>77</v>
      </c>
      <c r="I72" s="14" t="s">
        <v>78</v>
      </c>
      <c r="J72" s="14" t="s">
        <v>359</v>
      </c>
      <c r="K72" s="14" t="s">
        <v>360</v>
      </c>
      <c r="L72" s="14" t="s">
        <v>131</v>
      </c>
      <c r="M72" s="14" t="s">
        <v>132</v>
      </c>
      <c r="N72" s="16">
        <f>COUNTIF($M$3:M72, M72)</f>
        <v>8</v>
      </c>
      <c r="O72" s="16" t="str" cm="1">
        <f t="array" ref="O72">INDEX('[2]ALTA 20242025'!$B$2:$B$241, MATCH(1, ('[2]ALTA 20242025'!$I$2:$I$241=M72)*('[2]ALTA 20242025'!$J$2:$J$241=N72), 0))</f>
        <v>8626MWT</v>
      </c>
      <c r="P72" s="16"/>
      <c r="Q72" s="16"/>
      <c r="R72" s="14" t="s">
        <v>2048</v>
      </c>
      <c r="S72" s="14" t="s">
        <v>2048</v>
      </c>
      <c r="T72" s="14" t="s">
        <v>2048</v>
      </c>
      <c r="U72" s="14" t="s">
        <v>2048</v>
      </c>
      <c r="V72" s="14" t="s">
        <v>3831</v>
      </c>
      <c r="W72" s="14" t="s">
        <v>3963</v>
      </c>
      <c r="X72" s="14" t="s">
        <v>3764</v>
      </c>
      <c r="Y72" s="14" t="s">
        <v>3964</v>
      </c>
      <c r="Z72" s="14" t="s">
        <v>2048</v>
      </c>
      <c r="AA72" s="14" t="s">
        <v>2422</v>
      </c>
      <c r="AB72" s="14" t="s">
        <v>2049</v>
      </c>
      <c r="AC72" s="14" t="s">
        <v>2050</v>
      </c>
      <c r="AD72" s="14" t="s">
        <v>3820</v>
      </c>
      <c r="AE72" s="14" t="s">
        <v>3613</v>
      </c>
      <c r="AF72" s="14" t="s">
        <v>3614</v>
      </c>
      <c r="AG72" s="14" t="s">
        <v>2048</v>
      </c>
      <c r="AH72" s="14" t="s">
        <v>2048</v>
      </c>
      <c r="AI72" s="14" t="s">
        <v>2442</v>
      </c>
      <c r="AJ72" s="14" t="s">
        <v>2443</v>
      </c>
      <c r="AK72" s="14" t="s">
        <v>2055</v>
      </c>
      <c r="AL72" s="14" t="s">
        <v>2056</v>
      </c>
      <c r="AM72" s="14" t="s">
        <v>2055</v>
      </c>
      <c r="AN72" s="14" t="s">
        <v>2068</v>
      </c>
      <c r="AO72" s="14" t="s">
        <v>2048</v>
      </c>
      <c r="AP72" s="14" t="s">
        <v>2048</v>
      </c>
      <c r="AQ72" s="14" t="s">
        <v>2048</v>
      </c>
      <c r="AR72" s="14" t="s">
        <v>2048</v>
      </c>
      <c r="AS72" s="14" t="s">
        <v>3615</v>
      </c>
      <c r="AT72" s="14" t="s">
        <v>3472</v>
      </c>
      <c r="AU72" s="14" t="s">
        <v>3965</v>
      </c>
      <c r="AV72" s="14" t="s">
        <v>3966</v>
      </c>
      <c r="AW72" s="14" t="s">
        <v>3967</v>
      </c>
      <c r="AX72" s="14" t="s">
        <v>2048</v>
      </c>
      <c r="AY72" s="14" t="s">
        <v>2448</v>
      </c>
      <c r="AZ72" s="14" t="s">
        <v>2449</v>
      </c>
      <c r="BA72" s="14" t="s">
        <v>2048</v>
      </c>
      <c r="BB72" s="14" t="s">
        <v>2048</v>
      </c>
      <c r="BC72" s="14" t="s">
        <v>131</v>
      </c>
      <c r="BD72" s="14" t="s">
        <v>392</v>
      </c>
      <c r="BE72" s="14" t="s">
        <v>3968</v>
      </c>
      <c r="BF72" s="14" t="s">
        <v>2048</v>
      </c>
      <c r="BG72" s="14" t="s">
        <v>2048</v>
      </c>
      <c r="BH72" s="14" t="s">
        <v>2048</v>
      </c>
      <c r="BI72" s="14" t="s">
        <v>2048</v>
      </c>
      <c r="BJ72" s="14" t="s">
        <v>2452</v>
      </c>
      <c r="BK72" s="14" t="s">
        <v>2453</v>
      </c>
      <c r="BL72" s="14" t="s">
        <v>2454</v>
      </c>
      <c r="BM72" s="14" t="s">
        <v>2455</v>
      </c>
      <c r="BN72" s="14" t="s">
        <v>2048</v>
      </c>
      <c r="BO72" s="14" t="s">
        <v>2518</v>
      </c>
      <c r="BP72" s="14" t="s">
        <v>2064</v>
      </c>
      <c r="BQ72" s="14" t="s">
        <v>72</v>
      </c>
      <c r="BR72" s="14" t="s">
        <v>72</v>
      </c>
      <c r="BS72" s="14" t="s">
        <v>2048</v>
      </c>
      <c r="BT72" s="14" t="s">
        <v>2457</v>
      </c>
      <c r="BU72" s="14" t="s">
        <v>2458</v>
      </c>
      <c r="BV72" s="14" t="s">
        <v>2331</v>
      </c>
      <c r="BW72" s="14" t="s">
        <v>2131</v>
      </c>
      <c r="BX72" s="14" t="s">
        <v>2048</v>
      </c>
      <c r="BY72" s="14" t="s">
        <v>2048</v>
      </c>
      <c r="BZ72" s="14" t="s">
        <v>2048</v>
      </c>
      <c r="CA72" s="14" t="s">
        <v>2048</v>
      </c>
      <c r="CB72" s="14" t="s">
        <v>72</v>
      </c>
      <c r="CC72" s="14" t="s">
        <v>2048</v>
      </c>
      <c r="CD72" s="14" t="s">
        <v>2048</v>
      </c>
      <c r="CE72" s="14" t="s">
        <v>2048</v>
      </c>
      <c r="CF72" s="14" t="s">
        <v>2048</v>
      </c>
      <c r="CG72" s="14" t="s">
        <v>2048</v>
      </c>
      <c r="CH72" s="14" t="s">
        <v>2048</v>
      </c>
      <c r="CI72" s="14" t="s">
        <v>2048</v>
      </c>
      <c r="CJ72" s="14" t="s">
        <v>2048</v>
      </c>
      <c r="CK72" s="14" t="s">
        <v>3714</v>
      </c>
      <c r="CL72" s="14" t="s">
        <v>3761</v>
      </c>
      <c r="CM72" s="14" t="s">
        <v>2048</v>
      </c>
      <c r="CN72" s="17"/>
      <c r="CO72" s="17">
        <v>43747</v>
      </c>
      <c r="CP72" s="17">
        <v>43747</v>
      </c>
      <c r="CR72" s="17">
        <v>45175</v>
      </c>
      <c r="CS72" s="19">
        <v>48</v>
      </c>
      <c r="CT72" s="19">
        <v>0</v>
      </c>
      <c r="CU72" s="19">
        <v>325.13</v>
      </c>
      <c r="CV72" s="19">
        <v>0</v>
      </c>
      <c r="CW72" s="19">
        <v>325.13</v>
      </c>
      <c r="CX72" s="19">
        <v>393.41</v>
      </c>
      <c r="CY72" s="19">
        <v>0</v>
      </c>
      <c r="CZ72" s="17"/>
      <c r="DA72" s="19">
        <v>0</v>
      </c>
      <c r="DB72" s="17"/>
      <c r="DC72" s="17"/>
      <c r="DD72" s="19">
        <v>0</v>
      </c>
      <c r="DE72" s="17"/>
      <c r="DF72" s="17"/>
      <c r="DG72" s="19">
        <v>100</v>
      </c>
      <c r="DH72" s="17"/>
      <c r="DI72" s="17">
        <v>45291</v>
      </c>
      <c r="DJ72" s="17"/>
      <c r="DK72" s="17"/>
      <c r="DL72" s="19">
        <v>0</v>
      </c>
      <c r="DM72" s="19">
        <v>0</v>
      </c>
    </row>
    <row r="73" spans="1:117" x14ac:dyDescent="0.2">
      <c r="A73" s="14" t="s">
        <v>3610</v>
      </c>
      <c r="B73" s="14" t="s">
        <v>1040</v>
      </c>
      <c r="C73" s="14" t="s">
        <v>1034</v>
      </c>
      <c r="D73" s="14" t="s">
        <v>200</v>
      </c>
      <c r="E73" s="14" t="s">
        <v>201</v>
      </c>
      <c r="F73" s="14" t="s">
        <v>76</v>
      </c>
      <c r="G73" s="17">
        <v>45217</v>
      </c>
      <c r="H73" s="14" t="s">
        <v>77</v>
      </c>
      <c r="I73" s="14" t="s">
        <v>202</v>
      </c>
      <c r="J73" s="14" t="s">
        <v>416</v>
      </c>
      <c r="K73" s="14" t="s">
        <v>1035</v>
      </c>
      <c r="L73" s="14" t="s">
        <v>119</v>
      </c>
      <c r="M73" s="14" t="s">
        <v>120</v>
      </c>
      <c r="N73" s="16">
        <f>COUNTIF($M$3:M73, M73)</f>
        <v>5</v>
      </c>
      <c r="O73" s="16" t="str" cm="1">
        <f t="array" ref="O73">INDEX('[2]ALTA 20242025'!$B$2:$B$241, MATCH(1, ('[2]ALTA 20242025'!$I$2:$I$241=M73)*('[2]ALTA 20242025'!$J$2:$J$241=N73), 0))</f>
        <v>2722MXG</v>
      </c>
      <c r="P73" s="16"/>
      <c r="Q73" s="16"/>
      <c r="R73" s="14" t="s">
        <v>2048</v>
      </c>
      <c r="S73" s="14" t="s">
        <v>2048</v>
      </c>
      <c r="T73" s="14" t="s">
        <v>2048</v>
      </c>
      <c r="U73" s="14" t="s">
        <v>2048</v>
      </c>
      <c r="V73" s="14" t="s">
        <v>3831</v>
      </c>
      <c r="W73" s="14" t="s">
        <v>3910</v>
      </c>
      <c r="X73" s="14" t="s">
        <v>3910</v>
      </c>
      <c r="Y73" s="14" t="s">
        <v>3969</v>
      </c>
      <c r="Z73" s="14" t="s">
        <v>2048</v>
      </c>
      <c r="AA73" s="14" t="s">
        <v>2422</v>
      </c>
      <c r="AB73" s="14" t="s">
        <v>2049</v>
      </c>
      <c r="AC73" s="14" t="s">
        <v>2050</v>
      </c>
      <c r="AD73" s="14" t="s">
        <v>3725</v>
      </c>
      <c r="AE73" s="14" t="s">
        <v>3613</v>
      </c>
      <c r="AF73" s="14" t="s">
        <v>3614</v>
      </c>
      <c r="AG73" s="14" t="s">
        <v>2048</v>
      </c>
      <c r="AH73" s="14" t="s">
        <v>2048</v>
      </c>
      <c r="AI73" s="14" t="s">
        <v>2129</v>
      </c>
      <c r="AJ73" s="14" t="s">
        <v>2130</v>
      </c>
      <c r="AK73" s="14" t="s">
        <v>2055</v>
      </c>
      <c r="AL73" s="14" t="s">
        <v>2055</v>
      </c>
      <c r="AM73" s="14" t="s">
        <v>2055</v>
      </c>
      <c r="AN73" s="14" t="s">
        <v>2121</v>
      </c>
      <c r="AO73" s="14" t="s">
        <v>2048</v>
      </c>
      <c r="AP73" s="14" t="s">
        <v>2048</v>
      </c>
      <c r="AQ73" s="14" t="s">
        <v>2048</v>
      </c>
      <c r="AR73" s="14" t="s">
        <v>2048</v>
      </c>
      <c r="AS73" s="14" t="s">
        <v>3615</v>
      </c>
      <c r="AT73" s="14" t="s">
        <v>3767</v>
      </c>
      <c r="AU73" s="14" t="s">
        <v>3970</v>
      </c>
      <c r="AV73" s="14" t="s">
        <v>3901</v>
      </c>
      <c r="AW73" s="14" t="s">
        <v>3902</v>
      </c>
      <c r="AX73" s="14" t="s">
        <v>2048</v>
      </c>
      <c r="AY73" s="14" t="s">
        <v>3901</v>
      </c>
      <c r="AZ73" s="14" t="s">
        <v>3902</v>
      </c>
      <c r="BA73" s="14" t="s">
        <v>2048</v>
      </c>
      <c r="BB73" s="14" t="s">
        <v>2048</v>
      </c>
      <c r="BC73" s="14" t="s">
        <v>119</v>
      </c>
      <c r="BD73" s="14" t="s">
        <v>1041</v>
      </c>
      <c r="BE73" s="14" t="s">
        <v>3903</v>
      </c>
      <c r="BF73" s="14" t="s">
        <v>2048</v>
      </c>
      <c r="BG73" s="14" t="s">
        <v>2048</v>
      </c>
      <c r="BH73" s="14" t="s">
        <v>3598</v>
      </c>
      <c r="BI73" s="14" t="s">
        <v>3599</v>
      </c>
      <c r="BJ73" s="14" t="s">
        <v>3904</v>
      </c>
      <c r="BK73" s="14" t="s">
        <v>3905</v>
      </c>
      <c r="BL73" s="14" t="s">
        <v>3906</v>
      </c>
      <c r="BM73" s="14" t="s">
        <v>3600</v>
      </c>
      <c r="BN73" s="14" t="s">
        <v>2048</v>
      </c>
      <c r="BO73" s="14" t="s">
        <v>2518</v>
      </c>
      <c r="BP73" s="14" t="s">
        <v>2064</v>
      </c>
      <c r="BQ73" s="14" t="s">
        <v>72</v>
      </c>
      <c r="BR73" s="14" t="s">
        <v>72</v>
      </c>
      <c r="BS73" s="14" t="s">
        <v>2048</v>
      </c>
      <c r="BT73" s="14" t="s">
        <v>3907</v>
      </c>
      <c r="BU73" s="14" t="s">
        <v>3908</v>
      </c>
      <c r="BV73" s="14" t="s">
        <v>2331</v>
      </c>
      <c r="BW73" s="14" t="s">
        <v>2131</v>
      </c>
      <c r="BX73" s="14" t="s">
        <v>72</v>
      </c>
      <c r="BY73" s="14" t="s">
        <v>2048</v>
      </c>
      <c r="BZ73" s="14" t="s">
        <v>2048</v>
      </c>
      <c r="CA73" s="14" t="s">
        <v>2048</v>
      </c>
      <c r="CB73" s="14" t="s">
        <v>72</v>
      </c>
      <c r="CC73" s="14" t="s">
        <v>2048</v>
      </c>
      <c r="CD73" s="14" t="s">
        <v>72</v>
      </c>
      <c r="CE73" s="14" t="s">
        <v>2048</v>
      </c>
      <c r="CF73" s="14" t="s">
        <v>2048</v>
      </c>
      <c r="CG73" s="14" t="s">
        <v>2048</v>
      </c>
      <c r="CH73" s="14" t="s">
        <v>2048</v>
      </c>
      <c r="CI73" s="14" t="s">
        <v>2048</v>
      </c>
      <c r="CJ73" s="14" t="s">
        <v>2048</v>
      </c>
      <c r="CK73" s="14" t="s">
        <v>3603</v>
      </c>
      <c r="CL73" s="14" t="s">
        <v>3604</v>
      </c>
      <c r="CM73" s="14" t="s">
        <v>2048</v>
      </c>
      <c r="CN73" s="17"/>
      <c r="CO73" s="17">
        <v>43695</v>
      </c>
      <c r="CP73" s="17">
        <v>43695</v>
      </c>
      <c r="CR73" s="17">
        <v>45204</v>
      </c>
      <c r="CS73" s="19">
        <v>50</v>
      </c>
      <c r="CT73" s="19">
        <v>0</v>
      </c>
      <c r="CU73" s="19">
        <v>447.5</v>
      </c>
      <c r="CV73" s="19">
        <v>0</v>
      </c>
      <c r="CW73" s="19">
        <v>447.5</v>
      </c>
      <c r="CX73" s="19">
        <v>541.48</v>
      </c>
      <c r="CY73" s="19">
        <v>0</v>
      </c>
      <c r="CZ73" s="17"/>
      <c r="DA73" s="19">
        <v>0</v>
      </c>
      <c r="DB73" s="17"/>
      <c r="DC73" s="17"/>
      <c r="DD73" s="19">
        <v>0</v>
      </c>
      <c r="DE73" s="17"/>
      <c r="DF73" s="17"/>
      <c r="DG73" s="19">
        <v>100</v>
      </c>
      <c r="DH73" s="17"/>
      <c r="DI73" s="17">
        <v>45291</v>
      </c>
      <c r="DJ73" s="17"/>
      <c r="DK73" s="17"/>
      <c r="DL73" s="19">
        <v>0</v>
      </c>
      <c r="DM73" s="19">
        <v>0</v>
      </c>
    </row>
    <row r="74" spans="1:117" x14ac:dyDescent="0.2">
      <c r="A74" s="14" t="s">
        <v>3610</v>
      </c>
      <c r="B74" s="14" t="s">
        <v>907</v>
      </c>
      <c r="C74" s="14" t="s">
        <v>73</v>
      </c>
      <c r="D74" s="14" t="s">
        <v>74</v>
      </c>
      <c r="E74" s="14" t="s">
        <v>75</v>
      </c>
      <c r="F74" s="14" t="s">
        <v>76</v>
      </c>
      <c r="G74" s="17">
        <v>45230</v>
      </c>
      <c r="H74" s="14" t="s">
        <v>77</v>
      </c>
      <c r="I74" s="14" t="s">
        <v>71</v>
      </c>
      <c r="J74" s="14" t="s">
        <v>79</v>
      </c>
      <c r="K74" s="14" t="s">
        <v>879</v>
      </c>
      <c r="L74" s="14" t="s">
        <v>336</v>
      </c>
      <c r="M74" s="14" t="s">
        <v>337</v>
      </c>
      <c r="N74" s="16">
        <f>COUNTIF($M$3:M74, M74)</f>
        <v>2</v>
      </c>
      <c r="O74" s="16" t="str" cm="1">
        <f t="array" ref="O74">INDEX('[2]ALTA 20242025'!$B$2:$B$241, MATCH(1, ('[2]ALTA 20242025'!$I$2:$I$241=M74)*('[2]ALTA 20242025'!$J$2:$J$241=N74), 0))</f>
        <v>9605MMH</v>
      </c>
      <c r="P74" s="16"/>
      <c r="Q74" s="16"/>
      <c r="R74" s="14" t="s">
        <v>2048</v>
      </c>
      <c r="S74" s="14" t="s">
        <v>2048</v>
      </c>
      <c r="T74" s="14" t="s">
        <v>2048</v>
      </c>
      <c r="U74" s="14" t="s">
        <v>2048</v>
      </c>
      <c r="V74" s="14" t="s">
        <v>3971</v>
      </c>
      <c r="W74" s="14" t="s">
        <v>3972</v>
      </c>
      <c r="X74" s="14" t="s">
        <v>3973</v>
      </c>
      <c r="Y74" s="14" t="s">
        <v>3974</v>
      </c>
      <c r="Z74" s="14" t="s">
        <v>2048</v>
      </c>
      <c r="AA74" s="14" t="s">
        <v>2422</v>
      </c>
      <c r="AB74" s="14" t="s">
        <v>2049</v>
      </c>
      <c r="AC74" s="14" t="s">
        <v>2050</v>
      </c>
      <c r="AD74" s="14" t="s">
        <v>2048</v>
      </c>
      <c r="AE74" s="14" t="s">
        <v>2048</v>
      </c>
      <c r="AF74" s="14" t="s">
        <v>2048</v>
      </c>
      <c r="AG74" s="14" t="s">
        <v>200</v>
      </c>
      <c r="AH74" s="14" t="s">
        <v>3622</v>
      </c>
      <c r="AI74" s="14" t="s">
        <v>2129</v>
      </c>
      <c r="AJ74" s="14" t="s">
        <v>2130</v>
      </c>
      <c r="AK74" s="14" t="s">
        <v>2055</v>
      </c>
      <c r="AL74" s="14" t="s">
        <v>2055</v>
      </c>
      <c r="AM74" s="14" t="s">
        <v>2055</v>
      </c>
      <c r="AN74" s="14" t="s">
        <v>3714</v>
      </c>
      <c r="AO74" s="14" t="s">
        <v>2048</v>
      </c>
      <c r="AP74" s="14" t="s">
        <v>2048</v>
      </c>
      <c r="AQ74" s="14" t="s">
        <v>2048</v>
      </c>
      <c r="AR74" s="14" t="s">
        <v>3975</v>
      </c>
      <c r="AS74" s="14" t="s">
        <v>3776</v>
      </c>
      <c r="AT74" s="14" t="s">
        <v>2535</v>
      </c>
      <c r="AU74" s="14" t="s">
        <v>2059</v>
      </c>
      <c r="AV74" s="14" t="s">
        <v>3976</v>
      </c>
      <c r="AW74" s="14" t="s">
        <v>3977</v>
      </c>
      <c r="AX74" s="14" t="s">
        <v>72</v>
      </c>
      <c r="AY74" s="14" t="s">
        <v>3978</v>
      </c>
      <c r="AZ74" s="14" t="s">
        <v>3979</v>
      </c>
      <c r="BA74" s="14" t="s">
        <v>2048</v>
      </c>
      <c r="BB74" s="14" t="s">
        <v>2048</v>
      </c>
      <c r="BC74" s="14" t="s">
        <v>336</v>
      </c>
      <c r="BD74" s="14" t="s">
        <v>880</v>
      </c>
      <c r="BE74" s="14" t="s">
        <v>3980</v>
      </c>
      <c r="BF74" s="14" t="s">
        <v>2048</v>
      </c>
      <c r="BG74" s="14" t="s">
        <v>2048</v>
      </c>
      <c r="BH74" s="14" t="s">
        <v>2379</v>
      </c>
      <c r="BI74" s="14" t="s">
        <v>2622</v>
      </c>
      <c r="BJ74" s="14" t="s">
        <v>3174</v>
      </c>
      <c r="BK74" s="14" t="s">
        <v>3771</v>
      </c>
      <c r="BL74" s="14" t="s">
        <v>3772</v>
      </c>
      <c r="BM74" s="14" t="s">
        <v>2382</v>
      </c>
      <c r="BN74" s="14" t="s">
        <v>2048</v>
      </c>
      <c r="BO74" s="14" t="s">
        <v>2048</v>
      </c>
      <c r="BP74" s="14" t="s">
        <v>2064</v>
      </c>
      <c r="BQ74" s="14" t="s">
        <v>72</v>
      </c>
      <c r="BR74" s="14" t="s">
        <v>72</v>
      </c>
      <c r="BS74" s="14" t="s">
        <v>2048</v>
      </c>
      <c r="BT74" s="14" t="s">
        <v>2719</v>
      </c>
      <c r="BU74" s="14" t="s">
        <v>2720</v>
      </c>
      <c r="BV74" s="14" t="s">
        <v>2331</v>
      </c>
      <c r="BW74" s="14" t="s">
        <v>2131</v>
      </c>
      <c r="BX74" s="14" t="s">
        <v>2048</v>
      </c>
      <c r="BY74" s="14" t="s">
        <v>2048</v>
      </c>
      <c r="BZ74" s="14" t="s">
        <v>2048</v>
      </c>
      <c r="CA74" s="14" t="s">
        <v>2048</v>
      </c>
      <c r="CB74" s="14" t="s">
        <v>72</v>
      </c>
      <c r="CC74" s="14" t="s">
        <v>2048</v>
      </c>
      <c r="CD74" s="14" t="s">
        <v>2048</v>
      </c>
      <c r="CE74" s="14" t="s">
        <v>2048</v>
      </c>
      <c r="CF74" s="14" t="s">
        <v>2048</v>
      </c>
      <c r="CG74" s="14" t="s">
        <v>2048</v>
      </c>
      <c r="CH74" s="14" t="s">
        <v>2048</v>
      </c>
      <c r="CI74" s="14" t="s">
        <v>2048</v>
      </c>
      <c r="CJ74" s="14" t="s">
        <v>2048</v>
      </c>
      <c r="CK74" s="14" t="s">
        <v>2068</v>
      </c>
      <c r="CL74" s="14" t="s">
        <v>2069</v>
      </c>
      <c r="CM74" s="14" t="s">
        <v>2048</v>
      </c>
      <c r="CN74" s="17"/>
      <c r="CO74" s="17">
        <v>44392</v>
      </c>
      <c r="CP74" s="17">
        <v>44392</v>
      </c>
      <c r="CR74" s="17">
        <v>45230</v>
      </c>
      <c r="CS74" s="19">
        <v>0</v>
      </c>
      <c r="CT74" s="19">
        <v>0</v>
      </c>
      <c r="CU74" s="19">
        <v>322.88</v>
      </c>
      <c r="CV74" s="19">
        <v>0</v>
      </c>
      <c r="CW74" s="19">
        <v>322.88</v>
      </c>
      <c r="CX74" s="19">
        <v>390.68</v>
      </c>
      <c r="CY74" s="19">
        <v>0</v>
      </c>
      <c r="CZ74" s="17"/>
      <c r="DA74" s="19">
        <v>0</v>
      </c>
      <c r="DB74" s="17"/>
      <c r="DC74" s="17"/>
      <c r="DD74" s="19">
        <v>0</v>
      </c>
      <c r="DE74" s="17"/>
      <c r="DF74" s="17"/>
      <c r="DG74" s="19">
        <v>100</v>
      </c>
      <c r="DH74" s="17"/>
      <c r="DI74" s="17">
        <v>45291</v>
      </c>
      <c r="DJ74" s="17"/>
      <c r="DK74" s="17"/>
      <c r="DL74" s="19">
        <v>0</v>
      </c>
      <c r="DM74" s="19">
        <v>0</v>
      </c>
    </row>
    <row r="75" spans="1:117" x14ac:dyDescent="0.2">
      <c r="A75" s="14" t="s">
        <v>3610</v>
      </c>
      <c r="B75" s="14" t="s">
        <v>912</v>
      </c>
      <c r="C75" s="14" t="s">
        <v>73</v>
      </c>
      <c r="D75" s="14" t="s">
        <v>74</v>
      </c>
      <c r="E75" s="14" t="s">
        <v>75</v>
      </c>
      <c r="F75" s="14" t="s">
        <v>76</v>
      </c>
      <c r="G75" s="17">
        <v>45233</v>
      </c>
      <c r="H75" s="14" t="s">
        <v>77</v>
      </c>
      <c r="I75" s="14" t="s">
        <v>71</v>
      </c>
      <c r="J75" s="14" t="s">
        <v>79</v>
      </c>
      <c r="K75" s="14" t="s">
        <v>879</v>
      </c>
      <c r="L75" s="14" t="s">
        <v>336</v>
      </c>
      <c r="M75" s="14" t="s">
        <v>337</v>
      </c>
      <c r="N75" s="16">
        <f>COUNTIF($M$3:M75, M75)</f>
        <v>3</v>
      </c>
      <c r="O75" s="16" t="str" cm="1">
        <f t="array" ref="O75">INDEX('[2]ALTA 20242025'!$B$2:$B$241, MATCH(1, ('[2]ALTA 20242025'!$I$2:$I$241=M75)*('[2]ALTA 20242025'!$J$2:$J$241=N75), 0))</f>
        <v>1108KHK</v>
      </c>
      <c r="P75" s="16"/>
      <c r="Q75" s="16"/>
      <c r="R75" s="14" t="s">
        <v>2048</v>
      </c>
      <c r="S75" s="14" t="s">
        <v>2048</v>
      </c>
      <c r="T75" s="14" t="s">
        <v>2048</v>
      </c>
      <c r="U75" s="14" t="s">
        <v>2048</v>
      </c>
      <c r="V75" s="14" t="s">
        <v>3971</v>
      </c>
      <c r="W75" s="14" t="s">
        <v>3972</v>
      </c>
      <c r="X75" s="14" t="s">
        <v>3981</v>
      </c>
      <c r="Y75" s="14" t="s">
        <v>3982</v>
      </c>
      <c r="Z75" s="14" t="s">
        <v>2048</v>
      </c>
      <c r="AA75" s="14" t="s">
        <v>2422</v>
      </c>
      <c r="AB75" s="14" t="s">
        <v>2049</v>
      </c>
      <c r="AC75" s="14" t="s">
        <v>2050</v>
      </c>
      <c r="AD75" s="14" t="s">
        <v>2048</v>
      </c>
      <c r="AE75" s="14" t="s">
        <v>2048</v>
      </c>
      <c r="AF75" s="14" t="s">
        <v>2048</v>
      </c>
      <c r="AG75" s="14" t="s">
        <v>200</v>
      </c>
      <c r="AH75" s="14" t="s">
        <v>3622</v>
      </c>
      <c r="AI75" s="14" t="s">
        <v>2129</v>
      </c>
      <c r="AJ75" s="14" t="s">
        <v>2130</v>
      </c>
      <c r="AK75" s="14" t="s">
        <v>2055</v>
      </c>
      <c r="AL75" s="14" t="s">
        <v>2055</v>
      </c>
      <c r="AM75" s="14" t="s">
        <v>2055</v>
      </c>
      <c r="AN75" s="14" t="s">
        <v>3714</v>
      </c>
      <c r="AO75" s="14" t="s">
        <v>2048</v>
      </c>
      <c r="AP75" s="14" t="s">
        <v>2048</v>
      </c>
      <c r="AQ75" s="14" t="s">
        <v>2048</v>
      </c>
      <c r="AR75" s="14" t="s">
        <v>3975</v>
      </c>
      <c r="AS75" s="14" t="s">
        <v>3776</v>
      </c>
      <c r="AT75" s="14" t="s">
        <v>3767</v>
      </c>
      <c r="AU75" s="14" t="s">
        <v>2059</v>
      </c>
      <c r="AV75" s="14" t="s">
        <v>3983</v>
      </c>
      <c r="AW75" s="14" t="s">
        <v>3984</v>
      </c>
      <c r="AX75" s="14" t="s">
        <v>2048</v>
      </c>
      <c r="AY75" s="14" t="s">
        <v>3978</v>
      </c>
      <c r="AZ75" s="14" t="s">
        <v>3979</v>
      </c>
      <c r="BA75" s="14" t="s">
        <v>2048</v>
      </c>
      <c r="BB75" s="14" t="s">
        <v>2048</v>
      </c>
      <c r="BC75" s="14" t="s">
        <v>336</v>
      </c>
      <c r="BD75" s="14" t="s">
        <v>880</v>
      </c>
      <c r="BE75" s="14" t="s">
        <v>3980</v>
      </c>
      <c r="BF75" s="14" t="s">
        <v>2048</v>
      </c>
      <c r="BG75" s="14" t="s">
        <v>2048</v>
      </c>
      <c r="BH75" s="14" t="s">
        <v>2379</v>
      </c>
      <c r="BI75" s="14" t="s">
        <v>2622</v>
      </c>
      <c r="BJ75" s="14" t="s">
        <v>3174</v>
      </c>
      <c r="BK75" s="14" t="s">
        <v>3771</v>
      </c>
      <c r="BL75" s="14" t="s">
        <v>3772</v>
      </c>
      <c r="BM75" s="14" t="s">
        <v>2382</v>
      </c>
      <c r="BN75" s="14" t="s">
        <v>2048</v>
      </c>
      <c r="BO75" s="14" t="s">
        <v>2048</v>
      </c>
      <c r="BP75" s="14" t="s">
        <v>2064</v>
      </c>
      <c r="BQ75" s="14" t="s">
        <v>72</v>
      </c>
      <c r="BR75" s="14" t="s">
        <v>72</v>
      </c>
      <c r="BS75" s="14" t="s">
        <v>2048</v>
      </c>
      <c r="BT75" s="14" t="s">
        <v>2719</v>
      </c>
      <c r="BU75" s="14" t="s">
        <v>2720</v>
      </c>
      <c r="BV75" s="14" t="s">
        <v>2331</v>
      </c>
      <c r="BW75" s="14" t="s">
        <v>2131</v>
      </c>
      <c r="BX75" s="14" t="s">
        <v>2048</v>
      </c>
      <c r="BY75" s="14" t="s">
        <v>2048</v>
      </c>
      <c r="BZ75" s="14" t="s">
        <v>2048</v>
      </c>
      <c r="CA75" s="14" t="s">
        <v>2048</v>
      </c>
      <c r="CB75" s="14" t="s">
        <v>72</v>
      </c>
      <c r="CC75" s="14" t="s">
        <v>2048</v>
      </c>
      <c r="CD75" s="14" t="s">
        <v>2048</v>
      </c>
      <c r="CE75" s="14" t="s">
        <v>2048</v>
      </c>
      <c r="CF75" s="14" t="s">
        <v>2048</v>
      </c>
      <c r="CG75" s="14" t="s">
        <v>2048</v>
      </c>
      <c r="CH75" s="14" t="s">
        <v>2048</v>
      </c>
      <c r="CI75" s="14" t="s">
        <v>2048</v>
      </c>
      <c r="CJ75" s="14" t="s">
        <v>2048</v>
      </c>
      <c r="CK75" s="14" t="s">
        <v>2068</v>
      </c>
      <c r="CL75" s="14" t="s">
        <v>2069</v>
      </c>
      <c r="CM75" s="14" t="s">
        <v>2048</v>
      </c>
      <c r="CN75" s="17"/>
      <c r="CO75" s="17">
        <v>44411</v>
      </c>
      <c r="CP75" s="17">
        <v>44411</v>
      </c>
      <c r="CR75" s="17">
        <v>45233</v>
      </c>
      <c r="CS75" s="19">
        <v>0</v>
      </c>
      <c r="CT75" s="19">
        <v>0</v>
      </c>
      <c r="CU75" s="19">
        <v>322.88</v>
      </c>
      <c r="CV75" s="19">
        <v>0</v>
      </c>
      <c r="CW75" s="19">
        <v>322.88</v>
      </c>
      <c r="CX75" s="19">
        <v>390.68</v>
      </c>
      <c r="CY75" s="19">
        <v>0</v>
      </c>
      <c r="CZ75" s="17"/>
      <c r="DA75" s="19">
        <v>0</v>
      </c>
      <c r="DB75" s="17"/>
      <c r="DC75" s="17"/>
      <c r="DD75" s="19">
        <v>0</v>
      </c>
      <c r="DE75" s="17"/>
      <c r="DF75" s="17"/>
      <c r="DG75" s="19">
        <v>100</v>
      </c>
      <c r="DH75" s="17"/>
      <c r="DI75" s="17">
        <v>45291</v>
      </c>
      <c r="DJ75" s="17"/>
      <c r="DK75" s="17"/>
      <c r="DL75" s="19">
        <v>0</v>
      </c>
      <c r="DM75" s="19">
        <v>0</v>
      </c>
    </row>
    <row r="76" spans="1:117" x14ac:dyDescent="0.2">
      <c r="A76" s="14" t="s">
        <v>3610</v>
      </c>
      <c r="B76" s="14" t="s">
        <v>1008</v>
      </c>
      <c r="C76" s="14" t="s">
        <v>129</v>
      </c>
      <c r="D76" s="14" t="s">
        <v>74</v>
      </c>
      <c r="E76" s="14" t="s">
        <v>75</v>
      </c>
      <c r="F76" s="14" t="s">
        <v>76</v>
      </c>
      <c r="G76" s="17">
        <v>45245</v>
      </c>
      <c r="H76" s="14" t="s">
        <v>77</v>
      </c>
      <c r="I76" s="14" t="s">
        <v>78</v>
      </c>
      <c r="J76" s="14" t="s">
        <v>380</v>
      </c>
      <c r="K76" s="14" t="s">
        <v>1010</v>
      </c>
      <c r="L76" s="14" t="s">
        <v>131</v>
      </c>
      <c r="M76" s="14" t="s">
        <v>132</v>
      </c>
      <c r="N76" s="16">
        <f>COUNTIF($M$3:M76, M76)</f>
        <v>9</v>
      </c>
      <c r="O76" s="16" t="str" cm="1">
        <f t="array" ref="O76">INDEX('[2]ALTA 20242025'!$B$2:$B$241, MATCH(1, ('[2]ALTA 20242025'!$I$2:$I$241=M76)*('[2]ALTA 20242025'!$J$2:$J$241=N76), 0))</f>
        <v>8627MWT</v>
      </c>
      <c r="P76" s="16"/>
      <c r="Q76" s="16"/>
      <c r="R76" s="14" t="s">
        <v>2048</v>
      </c>
      <c r="S76" s="14" t="s">
        <v>2048</v>
      </c>
      <c r="T76" s="14" t="s">
        <v>2048</v>
      </c>
      <c r="U76" s="14" t="s">
        <v>2048</v>
      </c>
      <c r="V76" s="14" t="s">
        <v>72</v>
      </c>
      <c r="W76" s="14" t="s">
        <v>72</v>
      </c>
      <c r="X76" s="14" t="s">
        <v>3985</v>
      </c>
      <c r="Y76" s="14" t="s">
        <v>3986</v>
      </c>
      <c r="Z76" s="14" t="s">
        <v>2048</v>
      </c>
      <c r="AA76" s="14" t="s">
        <v>2422</v>
      </c>
      <c r="AB76" s="14" t="s">
        <v>2049</v>
      </c>
      <c r="AC76" s="14" t="s">
        <v>2050</v>
      </c>
      <c r="AD76" s="14" t="s">
        <v>2048</v>
      </c>
      <c r="AE76" s="14" t="s">
        <v>2048</v>
      </c>
      <c r="AF76" s="14" t="s">
        <v>2048</v>
      </c>
      <c r="AG76" s="14" t="s">
        <v>200</v>
      </c>
      <c r="AH76" s="14" t="s">
        <v>3622</v>
      </c>
      <c r="AI76" s="14" t="s">
        <v>2129</v>
      </c>
      <c r="AJ76" s="14" t="s">
        <v>2130</v>
      </c>
      <c r="AK76" s="14" t="s">
        <v>2055</v>
      </c>
      <c r="AL76" s="14" t="s">
        <v>2055</v>
      </c>
      <c r="AM76" s="14" t="s">
        <v>2055</v>
      </c>
      <c r="AN76" s="14" t="s">
        <v>2068</v>
      </c>
      <c r="AO76" s="14" t="s">
        <v>2048</v>
      </c>
      <c r="AP76" s="14" t="s">
        <v>2048</v>
      </c>
      <c r="AQ76" s="14" t="s">
        <v>2048</v>
      </c>
      <c r="AR76" s="14" t="s">
        <v>2048</v>
      </c>
      <c r="AS76" s="14" t="s">
        <v>2048</v>
      </c>
      <c r="AT76" s="14" t="s">
        <v>2048</v>
      </c>
      <c r="AU76" s="14" t="s">
        <v>3987</v>
      </c>
      <c r="AV76" s="14" t="s">
        <v>3988</v>
      </c>
      <c r="AW76" s="14" t="s">
        <v>3989</v>
      </c>
      <c r="AX76" s="14" t="s">
        <v>2048</v>
      </c>
      <c r="AY76" s="14" t="s">
        <v>2448</v>
      </c>
      <c r="AZ76" s="14" t="s">
        <v>2449</v>
      </c>
      <c r="BA76" s="14" t="s">
        <v>2048</v>
      </c>
      <c r="BB76" s="14" t="s">
        <v>2048</v>
      </c>
      <c r="BC76" s="14" t="s">
        <v>131</v>
      </c>
      <c r="BD76" s="14" t="s">
        <v>622</v>
      </c>
      <c r="BE76" s="14" t="s">
        <v>2450</v>
      </c>
      <c r="BF76" s="14" t="s">
        <v>3990</v>
      </c>
      <c r="BG76" s="14" t="s">
        <v>2048</v>
      </c>
      <c r="BH76" s="14" t="s">
        <v>2048</v>
      </c>
      <c r="BI76" s="14" t="s">
        <v>2048</v>
      </c>
      <c r="BJ76" s="14" t="s">
        <v>2452</v>
      </c>
      <c r="BK76" s="14" t="s">
        <v>2453</v>
      </c>
      <c r="BL76" s="14" t="s">
        <v>2454</v>
      </c>
      <c r="BM76" s="14" t="s">
        <v>2455</v>
      </c>
      <c r="BN76" s="14" t="s">
        <v>2048</v>
      </c>
      <c r="BO76" s="14" t="s">
        <v>2048</v>
      </c>
      <c r="BP76" s="14" t="s">
        <v>2064</v>
      </c>
      <c r="BQ76" s="14" t="s">
        <v>72</v>
      </c>
      <c r="BR76" s="14" t="s">
        <v>72</v>
      </c>
      <c r="BS76" s="14" t="s">
        <v>2048</v>
      </c>
      <c r="BT76" s="14" t="s">
        <v>2457</v>
      </c>
      <c r="BU76" s="14" t="s">
        <v>2458</v>
      </c>
      <c r="BV76" s="14" t="s">
        <v>3767</v>
      </c>
      <c r="BW76" s="14" t="s">
        <v>3991</v>
      </c>
      <c r="BX76" s="14" t="s">
        <v>2048</v>
      </c>
      <c r="BY76" s="14" t="s">
        <v>2048</v>
      </c>
      <c r="BZ76" s="14" t="s">
        <v>2048</v>
      </c>
      <c r="CA76" s="14" t="s">
        <v>2048</v>
      </c>
      <c r="CB76" s="14" t="s">
        <v>2048</v>
      </c>
      <c r="CC76" s="14" t="s">
        <v>2048</v>
      </c>
      <c r="CD76" s="14" t="s">
        <v>2048</v>
      </c>
      <c r="CE76" s="14" t="s">
        <v>2048</v>
      </c>
      <c r="CF76" s="14" t="s">
        <v>2048</v>
      </c>
      <c r="CG76" s="14" t="s">
        <v>2048</v>
      </c>
      <c r="CH76" s="14" t="s">
        <v>2048</v>
      </c>
      <c r="CI76" s="14" t="s">
        <v>2048</v>
      </c>
      <c r="CJ76" s="14" t="s">
        <v>2048</v>
      </c>
      <c r="CK76" s="14" t="s">
        <v>3651</v>
      </c>
      <c r="CL76" s="14" t="s">
        <v>3652</v>
      </c>
      <c r="CM76" s="14" t="s">
        <v>2048</v>
      </c>
      <c r="CN76" s="17"/>
      <c r="CO76" s="17">
        <v>44069</v>
      </c>
      <c r="CP76" s="17">
        <v>44069</v>
      </c>
      <c r="CR76" s="17">
        <v>45245</v>
      </c>
      <c r="CS76" s="19">
        <v>36</v>
      </c>
      <c r="CT76" s="19">
        <v>0</v>
      </c>
      <c r="CU76" s="19">
        <v>970</v>
      </c>
      <c r="CV76" s="19">
        <v>0</v>
      </c>
      <c r="CW76" s="19">
        <v>970</v>
      </c>
      <c r="CX76" s="20">
        <v>1173.7</v>
      </c>
      <c r="CY76" s="19">
        <v>0</v>
      </c>
      <c r="CZ76" s="17"/>
      <c r="DA76" s="19">
        <v>0</v>
      </c>
      <c r="DB76" s="17"/>
      <c r="DC76" s="17"/>
      <c r="DD76" s="19">
        <v>0</v>
      </c>
      <c r="DE76" s="17"/>
      <c r="DF76" s="17"/>
      <c r="DG76" s="19">
        <v>100</v>
      </c>
      <c r="DH76" s="17"/>
      <c r="DI76" s="17">
        <v>45291</v>
      </c>
      <c r="DJ76" s="17"/>
      <c r="DK76" s="17"/>
      <c r="DL76" s="19">
        <v>0</v>
      </c>
      <c r="DM76" s="19">
        <v>0</v>
      </c>
    </row>
    <row r="77" spans="1:117" x14ac:dyDescent="0.2">
      <c r="A77" s="14" t="s">
        <v>3610</v>
      </c>
      <c r="B77" s="14" t="s">
        <v>560</v>
      </c>
      <c r="C77" s="14" t="s">
        <v>73</v>
      </c>
      <c r="D77" s="14" t="s">
        <v>74</v>
      </c>
      <c r="E77" s="14" t="s">
        <v>75</v>
      </c>
      <c r="F77" s="14" t="s">
        <v>76</v>
      </c>
      <c r="G77" s="17">
        <v>45250</v>
      </c>
      <c r="H77" s="14" t="s">
        <v>77</v>
      </c>
      <c r="I77" s="14" t="s">
        <v>78</v>
      </c>
      <c r="J77" s="14" t="s">
        <v>359</v>
      </c>
      <c r="K77" s="14" t="s">
        <v>461</v>
      </c>
      <c r="L77" s="14" t="s">
        <v>102</v>
      </c>
      <c r="M77" s="14" t="s">
        <v>103</v>
      </c>
      <c r="N77" s="16">
        <f>COUNTIF($M$3:M77, M77)</f>
        <v>13</v>
      </c>
      <c r="O77" s="16" t="str" cm="1">
        <f t="array" ref="O77">INDEX('[2]ALTA 20242025'!$B$2:$B$241, MATCH(1, ('[2]ALTA 20242025'!$I$2:$I$241=M77)*('[2]ALTA 20242025'!$J$2:$J$241=N77), 0))</f>
        <v>2343MGR</v>
      </c>
      <c r="P77" s="16"/>
      <c r="Q77" s="16"/>
      <c r="R77" s="14" t="s">
        <v>2048</v>
      </c>
      <c r="S77" s="14" t="s">
        <v>2048</v>
      </c>
      <c r="T77" s="14" t="s">
        <v>2048</v>
      </c>
      <c r="U77" s="14" t="s">
        <v>2048</v>
      </c>
      <c r="V77" s="14" t="s">
        <v>3992</v>
      </c>
      <c r="W77" s="14" t="s">
        <v>3993</v>
      </c>
      <c r="X77" s="14" t="s">
        <v>3994</v>
      </c>
      <c r="Y77" s="14" t="s">
        <v>3995</v>
      </c>
      <c r="Z77" s="14" t="s">
        <v>2048</v>
      </c>
      <c r="AA77" s="14" t="s">
        <v>2422</v>
      </c>
      <c r="AB77" s="14" t="s">
        <v>2049</v>
      </c>
      <c r="AC77" s="14" t="s">
        <v>2050</v>
      </c>
      <c r="AD77" s="14" t="s">
        <v>2048</v>
      </c>
      <c r="AE77" s="14" t="s">
        <v>2048</v>
      </c>
      <c r="AF77" s="14" t="s">
        <v>2048</v>
      </c>
      <c r="AG77" s="14" t="s">
        <v>2048</v>
      </c>
      <c r="AH77" s="14" t="s">
        <v>2048</v>
      </c>
      <c r="AI77" s="14" t="s">
        <v>2129</v>
      </c>
      <c r="AJ77" s="14" t="s">
        <v>2130</v>
      </c>
      <c r="AK77" s="14" t="s">
        <v>2055</v>
      </c>
      <c r="AL77" s="14" t="s">
        <v>2055</v>
      </c>
      <c r="AM77" s="14" t="s">
        <v>2055</v>
      </c>
      <c r="AN77" s="14" t="s">
        <v>2068</v>
      </c>
      <c r="AO77" s="14" t="s">
        <v>2048</v>
      </c>
      <c r="AP77" s="14" t="s">
        <v>2048</v>
      </c>
      <c r="AQ77" s="14" t="s">
        <v>2048</v>
      </c>
      <c r="AR77" s="14" t="s">
        <v>3996</v>
      </c>
      <c r="AS77" s="14" t="s">
        <v>108</v>
      </c>
      <c r="AT77" s="14" t="s">
        <v>3472</v>
      </c>
      <c r="AU77" s="14" t="s">
        <v>2059</v>
      </c>
      <c r="AV77" s="14" t="s">
        <v>2060</v>
      </c>
      <c r="AW77" s="14" t="s">
        <v>2048</v>
      </c>
      <c r="AX77" s="14" t="s">
        <v>2048</v>
      </c>
      <c r="AY77" s="14" t="s">
        <v>3569</v>
      </c>
      <c r="AZ77" s="14" t="s">
        <v>3570</v>
      </c>
      <c r="BA77" s="14" t="s">
        <v>2048</v>
      </c>
      <c r="BB77" s="14" t="s">
        <v>2048</v>
      </c>
      <c r="BC77" s="14" t="s">
        <v>102</v>
      </c>
      <c r="BD77" s="14" t="s">
        <v>104</v>
      </c>
      <c r="BE77" s="14" t="s">
        <v>3571</v>
      </c>
      <c r="BF77" s="14" t="s">
        <v>2048</v>
      </c>
      <c r="BG77" s="14" t="s">
        <v>2048</v>
      </c>
      <c r="BH77" s="14" t="s">
        <v>2282</v>
      </c>
      <c r="BI77" s="14" t="s">
        <v>2782</v>
      </c>
      <c r="BJ77" s="14" t="s">
        <v>2783</v>
      </c>
      <c r="BK77" s="14" t="s">
        <v>2784</v>
      </c>
      <c r="BL77" s="14" t="s">
        <v>3572</v>
      </c>
      <c r="BM77" s="14" t="s">
        <v>2287</v>
      </c>
      <c r="BN77" s="14" t="s">
        <v>2048</v>
      </c>
      <c r="BO77" s="14" t="s">
        <v>2048</v>
      </c>
      <c r="BP77" s="14" t="s">
        <v>2064</v>
      </c>
      <c r="BQ77" s="14" t="s">
        <v>72</v>
      </c>
      <c r="BR77" s="14" t="s">
        <v>72</v>
      </c>
      <c r="BS77" s="14" t="s">
        <v>2048</v>
      </c>
      <c r="BT77" s="14" t="s">
        <v>2048</v>
      </c>
      <c r="BU77" s="14" t="s">
        <v>2048</v>
      </c>
      <c r="BV77" s="14" t="s">
        <v>2331</v>
      </c>
      <c r="BW77" s="14" t="s">
        <v>2131</v>
      </c>
      <c r="BX77" s="14" t="s">
        <v>2048</v>
      </c>
      <c r="BY77" s="14" t="s">
        <v>2048</v>
      </c>
      <c r="BZ77" s="14" t="s">
        <v>2048</v>
      </c>
      <c r="CA77" s="14" t="s">
        <v>2048</v>
      </c>
      <c r="CB77" s="14" t="s">
        <v>72</v>
      </c>
      <c r="CC77" s="14" t="s">
        <v>2048</v>
      </c>
      <c r="CD77" s="14" t="s">
        <v>2048</v>
      </c>
      <c r="CE77" s="14" t="s">
        <v>2048</v>
      </c>
      <c r="CF77" s="14" t="s">
        <v>2048</v>
      </c>
      <c r="CG77" s="14" t="s">
        <v>2048</v>
      </c>
      <c r="CH77" s="14" t="s">
        <v>2048</v>
      </c>
      <c r="CI77" s="14" t="s">
        <v>2048</v>
      </c>
      <c r="CJ77" s="14" t="s">
        <v>2048</v>
      </c>
      <c r="CK77" s="14" t="s">
        <v>2068</v>
      </c>
      <c r="CL77" s="14" t="s">
        <v>2069</v>
      </c>
      <c r="CM77" s="14" t="s">
        <v>2048</v>
      </c>
      <c r="CN77" s="17"/>
      <c r="CO77" s="17">
        <v>45203</v>
      </c>
      <c r="CP77" s="17">
        <v>45203</v>
      </c>
      <c r="CR77" s="17">
        <v>45250</v>
      </c>
      <c r="CS77" s="19">
        <v>3</v>
      </c>
      <c r="CT77" s="19">
        <v>0</v>
      </c>
      <c r="CU77" s="19">
        <v>377.5</v>
      </c>
      <c r="CV77" s="19">
        <v>0</v>
      </c>
      <c r="CW77" s="19">
        <v>377.5</v>
      </c>
      <c r="CX77" s="19">
        <v>456.78</v>
      </c>
      <c r="CY77" s="19">
        <v>0</v>
      </c>
      <c r="CZ77" s="17"/>
      <c r="DA77" s="19">
        <v>0</v>
      </c>
      <c r="DB77" s="17"/>
      <c r="DC77" s="17"/>
      <c r="DD77" s="19">
        <v>0</v>
      </c>
      <c r="DE77" s="17"/>
      <c r="DF77" s="17"/>
      <c r="DG77" s="19">
        <v>100</v>
      </c>
      <c r="DH77" s="17"/>
      <c r="DI77" s="17">
        <v>45657</v>
      </c>
      <c r="DJ77" s="17"/>
      <c r="DK77" s="17"/>
      <c r="DL77" s="19">
        <v>0</v>
      </c>
      <c r="DM77" s="19">
        <v>0</v>
      </c>
    </row>
    <row r="78" spans="1:117" x14ac:dyDescent="0.2">
      <c r="A78" s="14" t="s">
        <v>3610</v>
      </c>
      <c r="B78" s="14" t="s">
        <v>100</v>
      </c>
      <c r="C78" s="14" t="s">
        <v>73</v>
      </c>
      <c r="D78" s="14" t="s">
        <v>74</v>
      </c>
      <c r="E78" s="14" t="s">
        <v>75</v>
      </c>
      <c r="F78" s="14" t="s">
        <v>76</v>
      </c>
      <c r="G78" s="17">
        <v>45259</v>
      </c>
      <c r="H78" s="14" t="s">
        <v>77</v>
      </c>
      <c r="I78" s="14" t="s">
        <v>78</v>
      </c>
      <c r="J78" s="14" t="s">
        <v>79</v>
      </c>
      <c r="K78" s="14" t="s">
        <v>101</v>
      </c>
      <c r="L78" s="14" t="s">
        <v>102</v>
      </c>
      <c r="M78" s="14" t="s">
        <v>103</v>
      </c>
      <c r="N78" s="16">
        <f>COUNTIF($M$3:M78, M78)</f>
        <v>14</v>
      </c>
      <c r="O78" s="16" t="str" cm="1">
        <f t="array" ref="O78">INDEX('[2]ALTA 20242025'!$B$2:$B$241, MATCH(1, ('[2]ALTA 20242025'!$I$2:$I$241=M78)*('[2]ALTA 20242025'!$J$2:$J$241=N78), 0))</f>
        <v>2340MGR</v>
      </c>
      <c r="P78" s="16"/>
      <c r="Q78" s="16"/>
      <c r="R78" s="14" t="s">
        <v>2048</v>
      </c>
      <c r="S78" s="14" t="s">
        <v>2048</v>
      </c>
      <c r="T78" s="14" t="s">
        <v>2048</v>
      </c>
      <c r="U78" s="14" t="s">
        <v>2048</v>
      </c>
      <c r="V78" s="14" t="s">
        <v>3992</v>
      </c>
      <c r="W78" s="14" t="s">
        <v>3993</v>
      </c>
      <c r="X78" s="14" t="s">
        <v>3997</v>
      </c>
      <c r="Y78" s="14" t="s">
        <v>3998</v>
      </c>
      <c r="Z78" s="14" t="s">
        <v>2048</v>
      </c>
      <c r="AA78" s="14" t="s">
        <v>2422</v>
      </c>
      <c r="AB78" s="14" t="s">
        <v>2049</v>
      </c>
      <c r="AC78" s="14" t="s">
        <v>2050</v>
      </c>
      <c r="AD78" s="14" t="s">
        <v>2048</v>
      </c>
      <c r="AE78" s="14" t="s">
        <v>2048</v>
      </c>
      <c r="AF78" s="14" t="s">
        <v>2048</v>
      </c>
      <c r="AG78" s="14" t="s">
        <v>2048</v>
      </c>
      <c r="AH78" s="14" t="s">
        <v>2048</v>
      </c>
      <c r="AI78" s="14" t="s">
        <v>2129</v>
      </c>
      <c r="AJ78" s="14" t="s">
        <v>2130</v>
      </c>
      <c r="AK78" s="14" t="s">
        <v>2055</v>
      </c>
      <c r="AL78" s="14" t="s">
        <v>2055</v>
      </c>
      <c r="AM78" s="14" t="s">
        <v>2055</v>
      </c>
      <c r="AN78" s="14" t="s">
        <v>2068</v>
      </c>
      <c r="AO78" s="14" t="s">
        <v>2048</v>
      </c>
      <c r="AP78" s="14" t="s">
        <v>2048</v>
      </c>
      <c r="AQ78" s="14" t="s">
        <v>2048</v>
      </c>
      <c r="AR78" s="14" t="s">
        <v>3996</v>
      </c>
      <c r="AS78" s="14" t="s">
        <v>108</v>
      </c>
      <c r="AT78" s="14" t="s">
        <v>3472</v>
      </c>
      <c r="AU78" s="14" t="s">
        <v>2059</v>
      </c>
      <c r="AV78" s="14" t="s">
        <v>2060</v>
      </c>
      <c r="AW78" s="14" t="s">
        <v>2048</v>
      </c>
      <c r="AX78" s="14" t="s">
        <v>72</v>
      </c>
      <c r="AY78" s="14" t="s">
        <v>3569</v>
      </c>
      <c r="AZ78" s="14" t="s">
        <v>3570</v>
      </c>
      <c r="BA78" s="14" t="s">
        <v>2048</v>
      </c>
      <c r="BB78" s="14" t="s">
        <v>2048</v>
      </c>
      <c r="BC78" s="14" t="s">
        <v>102</v>
      </c>
      <c r="BD78" s="14" t="s">
        <v>104</v>
      </c>
      <c r="BE78" s="14" t="s">
        <v>3571</v>
      </c>
      <c r="BF78" s="14" t="s">
        <v>2048</v>
      </c>
      <c r="BG78" s="14" t="s">
        <v>2048</v>
      </c>
      <c r="BH78" s="14" t="s">
        <v>2282</v>
      </c>
      <c r="BI78" s="14" t="s">
        <v>2782</v>
      </c>
      <c r="BJ78" s="14" t="s">
        <v>2783</v>
      </c>
      <c r="BK78" s="14" t="s">
        <v>2784</v>
      </c>
      <c r="BL78" s="14" t="s">
        <v>3572</v>
      </c>
      <c r="BM78" s="14" t="s">
        <v>2287</v>
      </c>
      <c r="BN78" s="14" t="s">
        <v>2048</v>
      </c>
      <c r="BO78" s="14" t="s">
        <v>2048</v>
      </c>
      <c r="BP78" s="14" t="s">
        <v>2064</v>
      </c>
      <c r="BQ78" s="14" t="s">
        <v>72</v>
      </c>
      <c r="BR78" s="14" t="s">
        <v>72</v>
      </c>
      <c r="BS78" s="14" t="s">
        <v>2048</v>
      </c>
      <c r="BT78" s="14" t="s">
        <v>2048</v>
      </c>
      <c r="BU78" s="14" t="s">
        <v>2048</v>
      </c>
      <c r="BV78" s="14" t="s">
        <v>2331</v>
      </c>
      <c r="BW78" s="14" t="s">
        <v>2131</v>
      </c>
      <c r="BX78" s="14" t="s">
        <v>2048</v>
      </c>
      <c r="BY78" s="14" t="s">
        <v>2048</v>
      </c>
      <c r="BZ78" s="14" t="s">
        <v>2048</v>
      </c>
      <c r="CA78" s="14" t="s">
        <v>2048</v>
      </c>
      <c r="CB78" s="14" t="s">
        <v>72</v>
      </c>
      <c r="CC78" s="14" t="s">
        <v>2048</v>
      </c>
      <c r="CD78" s="14" t="s">
        <v>2048</v>
      </c>
      <c r="CE78" s="14" t="s">
        <v>2048</v>
      </c>
      <c r="CF78" s="14" t="s">
        <v>2048</v>
      </c>
      <c r="CG78" s="14" t="s">
        <v>2048</v>
      </c>
      <c r="CH78" s="14" t="s">
        <v>2048</v>
      </c>
      <c r="CI78" s="14" t="s">
        <v>2048</v>
      </c>
      <c r="CJ78" s="14" t="s">
        <v>2048</v>
      </c>
      <c r="CK78" s="14" t="s">
        <v>2068</v>
      </c>
      <c r="CL78" s="14" t="s">
        <v>2069</v>
      </c>
      <c r="CM78" s="14" t="s">
        <v>2048</v>
      </c>
      <c r="CN78" s="17"/>
      <c r="CO78" s="17">
        <v>45202</v>
      </c>
      <c r="CP78" s="17">
        <v>45202</v>
      </c>
      <c r="CR78" s="17">
        <v>45259</v>
      </c>
      <c r="CS78" s="19">
        <v>3</v>
      </c>
      <c r="CT78" s="19">
        <v>0</v>
      </c>
      <c r="CU78" s="19">
        <v>377.5</v>
      </c>
      <c r="CV78" s="19">
        <v>0</v>
      </c>
      <c r="CW78" s="19">
        <v>377.5</v>
      </c>
      <c r="CX78" s="19">
        <v>456.78</v>
      </c>
      <c r="CY78" s="19">
        <v>0</v>
      </c>
      <c r="CZ78" s="17"/>
      <c r="DA78" s="19">
        <v>0</v>
      </c>
      <c r="DB78" s="17"/>
      <c r="DC78" s="17"/>
      <c r="DD78" s="19">
        <v>0</v>
      </c>
      <c r="DE78" s="17"/>
      <c r="DF78" s="17"/>
      <c r="DG78" s="19">
        <v>100</v>
      </c>
      <c r="DH78" s="17"/>
      <c r="DI78" s="17">
        <v>45657</v>
      </c>
      <c r="DJ78" s="17"/>
      <c r="DK78" s="17"/>
      <c r="DL78" s="19">
        <v>0</v>
      </c>
      <c r="DM78" s="19">
        <v>0</v>
      </c>
    </row>
    <row r="79" spans="1:117" x14ac:dyDescent="0.2">
      <c r="A79" s="14" t="s">
        <v>3610</v>
      </c>
      <c r="B79" s="14" t="s">
        <v>1238</v>
      </c>
      <c r="C79" s="14" t="s">
        <v>885</v>
      </c>
      <c r="D79" s="14" t="s">
        <v>161</v>
      </c>
      <c r="E79" s="14" t="s">
        <v>886</v>
      </c>
      <c r="F79" s="14" t="s">
        <v>171</v>
      </c>
      <c r="G79" s="17">
        <v>45382</v>
      </c>
      <c r="H79" s="14" t="s">
        <v>172</v>
      </c>
      <c r="I79" s="14" t="s">
        <v>78</v>
      </c>
      <c r="J79" s="14" t="s">
        <v>140</v>
      </c>
      <c r="K79" s="14" t="s">
        <v>1239</v>
      </c>
      <c r="L79" s="14" t="s">
        <v>1240</v>
      </c>
      <c r="M79" s="14" t="s">
        <v>1241</v>
      </c>
      <c r="N79" s="16">
        <f>COUNTIF($M$3:M79, M79)</f>
        <v>1</v>
      </c>
      <c r="O79" s="16" t="e" cm="1">
        <f t="array" ref="O79">INDEX('[2]ALTA 20242025'!$B$2:$B$241, MATCH(1, ('[2]ALTA 20242025'!$I$2:$I$241=M79)*('[2]ALTA 20242025'!$J$2:$J$241=N79), 0))</f>
        <v>#N/A</v>
      </c>
      <c r="P79" s="16"/>
      <c r="Q79" s="16"/>
      <c r="R79" s="14" t="s">
        <v>2048</v>
      </c>
      <c r="S79" s="14" t="s">
        <v>2048</v>
      </c>
      <c r="T79" s="14" t="s">
        <v>2048</v>
      </c>
      <c r="U79" s="14" t="s">
        <v>2048</v>
      </c>
      <c r="V79" s="14" t="s">
        <v>72</v>
      </c>
      <c r="W79" s="14" t="s">
        <v>72</v>
      </c>
      <c r="X79" s="14" t="s">
        <v>72</v>
      </c>
      <c r="Y79" s="14" t="s">
        <v>2048</v>
      </c>
      <c r="Z79" s="14" t="s">
        <v>2048</v>
      </c>
      <c r="AA79" s="14" t="s">
        <v>2422</v>
      </c>
      <c r="AB79" s="14" t="s">
        <v>2049</v>
      </c>
      <c r="AC79" s="14" t="s">
        <v>2050</v>
      </c>
      <c r="AD79" s="14" t="s">
        <v>2048</v>
      </c>
      <c r="AE79" s="14" t="s">
        <v>2048</v>
      </c>
      <c r="AF79" s="14" t="s">
        <v>2048</v>
      </c>
      <c r="AG79" s="14" t="s">
        <v>2048</v>
      </c>
      <c r="AH79" s="14" t="s">
        <v>2048</v>
      </c>
      <c r="AI79" s="14" t="s">
        <v>2129</v>
      </c>
      <c r="AJ79" s="14" t="s">
        <v>2130</v>
      </c>
      <c r="AK79" s="14" t="s">
        <v>2055</v>
      </c>
      <c r="AL79" s="14" t="s">
        <v>2055</v>
      </c>
      <c r="AM79" s="14" t="s">
        <v>2055</v>
      </c>
      <c r="AN79" s="14" t="s">
        <v>2068</v>
      </c>
      <c r="AO79" s="14" t="s">
        <v>2048</v>
      </c>
      <c r="AP79" s="14" t="s">
        <v>2048</v>
      </c>
      <c r="AQ79" s="14" t="s">
        <v>2048</v>
      </c>
      <c r="AR79" s="14" t="s">
        <v>2048</v>
      </c>
      <c r="AS79" s="14" t="s">
        <v>2048</v>
      </c>
      <c r="AT79" s="14" t="s">
        <v>2048</v>
      </c>
      <c r="AU79" s="14" t="s">
        <v>2059</v>
      </c>
      <c r="AV79" s="14" t="s">
        <v>2060</v>
      </c>
      <c r="AW79" s="14" t="s">
        <v>2048</v>
      </c>
      <c r="AX79" s="14" t="s">
        <v>72</v>
      </c>
      <c r="AY79" s="14" t="s">
        <v>3999</v>
      </c>
      <c r="AZ79" s="14" t="s">
        <v>4000</v>
      </c>
      <c r="BA79" s="14" t="s">
        <v>2048</v>
      </c>
      <c r="BB79" s="14" t="s">
        <v>2048</v>
      </c>
      <c r="BC79" s="14" t="s">
        <v>1240</v>
      </c>
      <c r="BD79" s="14" t="s">
        <v>1242</v>
      </c>
      <c r="BE79" s="14" t="s">
        <v>4001</v>
      </c>
      <c r="BF79" s="14" t="s">
        <v>2048</v>
      </c>
      <c r="BG79" s="14" t="s">
        <v>2048</v>
      </c>
      <c r="BH79" s="14" t="s">
        <v>4002</v>
      </c>
      <c r="BI79" s="14" t="s">
        <v>4003</v>
      </c>
      <c r="BJ79" s="14" t="s">
        <v>2048</v>
      </c>
      <c r="BK79" s="14" t="s">
        <v>2048</v>
      </c>
      <c r="BL79" s="14" t="s">
        <v>4004</v>
      </c>
      <c r="BM79" s="14" t="s">
        <v>2287</v>
      </c>
      <c r="BN79" s="14" t="s">
        <v>2048</v>
      </c>
      <c r="BO79" s="14" t="s">
        <v>2048</v>
      </c>
      <c r="BP79" s="14" t="s">
        <v>2064</v>
      </c>
      <c r="BQ79" s="14" t="s">
        <v>72</v>
      </c>
      <c r="BR79" s="14" t="s">
        <v>72</v>
      </c>
      <c r="BS79" s="14" t="s">
        <v>2048</v>
      </c>
      <c r="BT79" s="14" t="s">
        <v>2048</v>
      </c>
      <c r="BU79" s="14" t="s">
        <v>2048</v>
      </c>
      <c r="BV79" s="14" t="s">
        <v>2331</v>
      </c>
      <c r="BW79" s="14" t="s">
        <v>2131</v>
      </c>
      <c r="BX79" s="14" t="s">
        <v>2048</v>
      </c>
      <c r="BY79" s="14" t="s">
        <v>2048</v>
      </c>
      <c r="BZ79" s="14" t="s">
        <v>2048</v>
      </c>
      <c r="CA79" s="14" t="s">
        <v>2048</v>
      </c>
      <c r="CB79" s="14" t="s">
        <v>2048</v>
      </c>
      <c r="CC79" s="14" t="s">
        <v>2048</v>
      </c>
      <c r="CD79" s="14" t="s">
        <v>2048</v>
      </c>
      <c r="CE79" s="14" t="s">
        <v>2048</v>
      </c>
      <c r="CF79" s="14" t="s">
        <v>2048</v>
      </c>
      <c r="CG79" s="14" t="s">
        <v>2048</v>
      </c>
      <c r="CH79" s="14" t="s">
        <v>2048</v>
      </c>
      <c r="CI79" s="14" t="s">
        <v>2048</v>
      </c>
      <c r="CJ79" s="14" t="s">
        <v>2048</v>
      </c>
      <c r="CK79" s="14" t="s">
        <v>2068</v>
      </c>
      <c r="CL79" s="14" t="s">
        <v>2069</v>
      </c>
      <c r="CM79" s="14" t="s">
        <v>2048</v>
      </c>
      <c r="CN79" s="17"/>
      <c r="CO79" s="17">
        <v>37924</v>
      </c>
      <c r="CP79" s="17">
        <v>44330</v>
      </c>
      <c r="CR79" s="17">
        <v>45382</v>
      </c>
      <c r="CS79" s="19">
        <v>0</v>
      </c>
      <c r="CT79" s="19">
        <v>0</v>
      </c>
      <c r="CU79" s="19">
        <v>0</v>
      </c>
      <c r="CV79" s="19">
        <v>0</v>
      </c>
      <c r="CW79" s="19">
        <v>0</v>
      </c>
      <c r="CX79" s="19">
        <v>0</v>
      </c>
      <c r="CY79" s="19">
        <v>0</v>
      </c>
      <c r="CZ79" s="17"/>
      <c r="DA79" s="19">
        <v>0</v>
      </c>
      <c r="DB79" s="17"/>
      <c r="DC79" s="17"/>
      <c r="DD79" s="19">
        <v>0</v>
      </c>
      <c r="DE79" s="17"/>
      <c r="DF79" s="17"/>
      <c r="DG79" s="19">
        <v>100</v>
      </c>
      <c r="DH79" s="17"/>
      <c r="DI79" s="17">
        <v>2958465</v>
      </c>
      <c r="DJ79" s="17"/>
      <c r="DK79" s="17"/>
      <c r="DL79" s="19">
        <v>0</v>
      </c>
      <c r="DM79" s="19">
        <v>0</v>
      </c>
    </row>
    <row r="80" spans="1:117" x14ac:dyDescent="0.2">
      <c r="A80" s="14" t="s">
        <v>3610</v>
      </c>
      <c r="B80" s="14" t="s">
        <v>552</v>
      </c>
      <c r="C80" s="14" t="s">
        <v>73</v>
      </c>
      <c r="D80" s="14" t="s">
        <v>74</v>
      </c>
      <c r="E80" s="14" t="s">
        <v>75</v>
      </c>
      <c r="F80" s="14" t="s">
        <v>76</v>
      </c>
      <c r="G80" s="17">
        <v>45259</v>
      </c>
      <c r="H80" s="14" t="s">
        <v>77</v>
      </c>
      <c r="I80" s="14" t="s">
        <v>78</v>
      </c>
      <c r="J80" s="14" t="s">
        <v>359</v>
      </c>
      <c r="K80" s="14" t="s">
        <v>461</v>
      </c>
      <c r="L80" s="14" t="s">
        <v>102</v>
      </c>
      <c r="M80" s="14" t="s">
        <v>103</v>
      </c>
      <c r="N80" s="16">
        <f>COUNTIF($M$3:M80, M80)</f>
        <v>15</v>
      </c>
      <c r="O80" s="16" t="str" cm="1">
        <f t="array" ref="O80">INDEX('[2]ALTA 20242025'!$B$2:$B$241, MATCH(1, ('[2]ALTA 20242025'!$I$2:$I$241=M80)*('[2]ALTA 20242025'!$J$2:$J$241=N80), 0))</f>
        <v>8877KDN</v>
      </c>
      <c r="P80" s="16"/>
      <c r="Q80" s="16"/>
      <c r="R80" s="14" t="s">
        <v>2048</v>
      </c>
      <c r="S80" s="14" t="s">
        <v>2048</v>
      </c>
      <c r="T80" s="14" t="s">
        <v>2048</v>
      </c>
      <c r="U80" s="14" t="s">
        <v>2048</v>
      </c>
      <c r="V80" s="14" t="s">
        <v>3992</v>
      </c>
      <c r="W80" s="14" t="s">
        <v>3993</v>
      </c>
      <c r="X80" s="14" t="s">
        <v>4005</v>
      </c>
      <c r="Y80" s="14" t="s">
        <v>4006</v>
      </c>
      <c r="Z80" s="14" t="s">
        <v>2048</v>
      </c>
      <c r="AA80" s="14" t="s">
        <v>2422</v>
      </c>
      <c r="AB80" s="14" t="s">
        <v>2049</v>
      </c>
      <c r="AC80" s="14" t="s">
        <v>2050</v>
      </c>
      <c r="AD80" s="14" t="s">
        <v>2048</v>
      </c>
      <c r="AE80" s="14" t="s">
        <v>2048</v>
      </c>
      <c r="AF80" s="14" t="s">
        <v>2048</v>
      </c>
      <c r="AG80" s="14" t="s">
        <v>2048</v>
      </c>
      <c r="AH80" s="14" t="s">
        <v>2048</v>
      </c>
      <c r="AI80" s="14" t="s">
        <v>2129</v>
      </c>
      <c r="AJ80" s="14" t="s">
        <v>2130</v>
      </c>
      <c r="AK80" s="14" t="s">
        <v>2055</v>
      </c>
      <c r="AL80" s="14" t="s">
        <v>2055</v>
      </c>
      <c r="AM80" s="14" t="s">
        <v>2055</v>
      </c>
      <c r="AN80" s="14" t="s">
        <v>2068</v>
      </c>
      <c r="AO80" s="14" t="s">
        <v>2048</v>
      </c>
      <c r="AP80" s="14" t="s">
        <v>2048</v>
      </c>
      <c r="AQ80" s="14" t="s">
        <v>2048</v>
      </c>
      <c r="AR80" s="14" t="s">
        <v>3996</v>
      </c>
      <c r="AS80" s="14" t="s">
        <v>108</v>
      </c>
      <c r="AT80" s="14" t="s">
        <v>3472</v>
      </c>
      <c r="AU80" s="14" t="s">
        <v>2059</v>
      </c>
      <c r="AV80" s="14" t="s">
        <v>2060</v>
      </c>
      <c r="AW80" s="14" t="s">
        <v>2048</v>
      </c>
      <c r="AX80" s="14" t="s">
        <v>72</v>
      </c>
      <c r="AY80" s="14" t="s">
        <v>3569</v>
      </c>
      <c r="AZ80" s="14" t="s">
        <v>3570</v>
      </c>
      <c r="BA80" s="14" t="s">
        <v>2048</v>
      </c>
      <c r="BB80" s="14" t="s">
        <v>2048</v>
      </c>
      <c r="BC80" s="14" t="s">
        <v>102</v>
      </c>
      <c r="BD80" s="14" t="s">
        <v>104</v>
      </c>
      <c r="BE80" s="14" t="s">
        <v>3571</v>
      </c>
      <c r="BF80" s="14" t="s">
        <v>2048</v>
      </c>
      <c r="BG80" s="14" t="s">
        <v>2048</v>
      </c>
      <c r="BH80" s="14" t="s">
        <v>2282</v>
      </c>
      <c r="BI80" s="14" t="s">
        <v>2782</v>
      </c>
      <c r="BJ80" s="14" t="s">
        <v>2783</v>
      </c>
      <c r="BK80" s="14" t="s">
        <v>2784</v>
      </c>
      <c r="BL80" s="14" t="s">
        <v>3572</v>
      </c>
      <c r="BM80" s="14" t="s">
        <v>2287</v>
      </c>
      <c r="BN80" s="14" t="s">
        <v>2048</v>
      </c>
      <c r="BO80" s="14" t="s">
        <v>2048</v>
      </c>
      <c r="BP80" s="14" t="s">
        <v>2064</v>
      </c>
      <c r="BQ80" s="14" t="s">
        <v>72</v>
      </c>
      <c r="BR80" s="14" t="s">
        <v>72</v>
      </c>
      <c r="BS80" s="14" t="s">
        <v>2048</v>
      </c>
      <c r="BT80" s="14" t="s">
        <v>2048</v>
      </c>
      <c r="BU80" s="14" t="s">
        <v>2048</v>
      </c>
      <c r="BV80" s="14" t="s">
        <v>2331</v>
      </c>
      <c r="BW80" s="14" t="s">
        <v>2131</v>
      </c>
      <c r="BX80" s="14" t="s">
        <v>2048</v>
      </c>
      <c r="BY80" s="14" t="s">
        <v>2048</v>
      </c>
      <c r="BZ80" s="14" t="s">
        <v>2048</v>
      </c>
      <c r="CA80" s="14" t="s">
        <v>2048</v>
      </c>
      <c r="CB80" s="14" t="s">
        <v>72</v>
      </c>
      <c r="CC80" s="14" t="s">
        <v>2048</v>
      </c>
      <c r="CD80" s="14" t="s">
        <v>2048</v>
      </c>
      <c r="CE80" s="14" t="s">
        <v>2048</v>
      </c>
      <c r="CF80" s="14" t="s">
        <v>2048</v>
      </c>
      <c r="CG80" s="14" t="s">
        <v>2048</v>
      </c>
      <c r="CH80" s="14" t="s">
        <v>2048</v>
      </c>
      <c r="CI80" s="14" t="s">
        <v>2048</v>
      </c>
      <c r="CJ80" s="14" t="s">
        <v>2048</v>
      </c>
      <c r="CK80" s="14" t="s">
        <v>2068</v>
      </c>
      <c r="CL80" s="14" t="s">
        <v>2069</v>
      </c>
      <c r="CM80" s="14" t="s">
        <v>2048</v>
      </c>
      <c r="CN80" s="17"/>
      <c r="CO80" s="17">
        <v>45202</v>
      </c>
      <c r="CP80" s="17">
        <v>45202</v>
      </c>
      <c r="CR80" s="17">
        <v>45259</v>
      </c>
      <c r="CS80" s="19">
        <v>3</v>
      </c>
      <c r="CT80" s="19">
        <v>0</v>
      </c>
      <c r="CU80" s="19">
        <v>377.5</v>
      </c>
      <c r="CV80" s="19">
        <v>0</v>
      </c>
      <c r="CW80" s="19">
        <v>377.5</v>
      </c>
      <c r="CX80" s="19">
        <v>456.78</v>
      </c>
      <c r="CY80" s="19">
        <v>0</v>
      </c>
      <c r="CZ80" s="17"/>
      <c r="DA80" s="19">
        <v>0</v>
      </c>
      <c r="DB80" s="17"/>
      <c r="DC80" s="17"/>
      <c r="DD80" s="19">
        <v>0</v>
      </c>
      <c r="DE80" s="17"/>
      <c r="DF80" s="17"/>
      <c r="DG80" s="19">
        <v>100</v>
      </c>
      <c r="DH80" s="17"/>
      <c r="DI80" s="17">
        <v>45657</v>
      </c>
      <c r="DJ80" s="17"/>
      <c r="DK80" s="17"/>
      <c r="DL80" s="19">
        <v>0</v>
      </c>
      <c r="DM80" s="19">
        <v>0</v>
      </c>
    </row>
    <row r="81" spans="1:117" x14ac:dyDescent="0.2">
      <c r="A81" s="14" t="s">
        <v>3610</v>
      </c>
      <c r="B81" s="14" t="s">
        <v>455</v>
      </c>
      <c r="C81" s="14" t="s">
        <v>73</v>
      </c>
      <c r="D81" s="14" t="s">
        <v>74</v>
      </c>
      <c r="E81" s="14" t="s">
        <v>75</v>
      </c>
      <c r="F81" s="14" t="s">
        <v>76</v>
      </c>
      <c r="G81" s="17">
        <v>45259</v>
      </c>
      <c r="H81" s="14" t="s">
        <v>77</v>
      </c>
      <c r="I81" s="14" t="s">
        <v>78</v>
      </c>
      <c r="J81" s="14" t="s">
        <v>85</v>
      </c>
      <c r="K81" s="14" t="s">
        <v>450</v>
      </c>
      <c r="L81" s="14" t="s">
        <v>102</v>
      </c>
      <c r="M81" s="14" t="s">
        <v>103</v>
      </c>
      <c r="N81" s="16">
        <f>COUNTIF($M$3:M81, M81)</f>
        <v>16</v>
      </c>
      <c r="O81" s="16" t="str" cm="1">
        <f t="array" ref="O81">INDEX('[2]ALTA 20242025'!$B$2:$B$241, MATCH(1, ('[2]ALTA 20242025'!$I$2:$I$241=M81)*('[2]ALTA 20242025'!$J$2:$J$241=N81), 0))</f>
        <v>8868KDN</v>
      </c>
      <c r="P81" s="16"/>
      <c r="Q81" s="16"/>
      <c r="R81" s="14" t="s">
        <v>2048</v>
      </c>
      <c r="S81" s="14" t="s">
        <v>2048</v>
      </c>
      <c r="T81" s="14" t="s">
        <v>2048</v>
      </c>
      <c r="U81" s="14" t="s">
        <v>2048</v>
      </c>
      <c r="V81" s="14" t="s">
        <v>3992</v>
      </c>
      <c r="W81" s="14" t="s">
        <v>3993</v>
      </c>
      <c r="X81" s="14" t="s">
        <v>4007</v>
      </c>
      <c r="Y81" s="14" t="s">
        <v>4008</v>
      </c>
      <c r="Z81" s="14" t="s">
        <v>2048</v>
      </c>
      <c r="AA81" s="14" t="s">
        <v>2422</v>
      </c>
      <c r="AB81" s="14" t="s">
        <v>2049</v>
      </c>
      <c r="AC81" s="14" t="s">
        <v>2050</v>
      </c>
      <c r="AD81" s="14" t="s">
        <v>2048</v>
      </c>
      <c r="AE81" s="14" t="s">
        <v>2048</v>
      </c>
      <c r="AF81" s="14" t="s">
        <v>2048</v>
      </c>
      <c r="AG81" s="14" t="s">
        <v>2048</v>
      </c>
      <c r="AH81" s="14" t="s">
        <v>2048</v>
      </c>
      <c r="AI81" s="14" t="s">
        <v>2129</v>
      </c>
      <c r="AJ81" s="14" t="s">
        <v>2130</v>
      </c>
      <c r="AK81" s="14" t="s">
        <v>2055</v>
      </c>
      <c r="AL81" s="14" t="s">
        <v>2055</v>
      </c>
      <c r="AM81" s="14" t="s">
        <v>2055</v>
      </c>
      <c r="AN81" s="14" t="s">
        <v>2068</v>
      </c>
      <c r="AO81" s="14" t="s">
        <v>2048</v>
      </c>
      <c r="AP81" s="14" t="s">
        <v>2048</v>
      </c>
      <c r="AQ81" s="14" t="s">
        <v>2048</v>
      </c>
      <c r="AR81" s="14" t="s">
        <v>3996</v>
      </c>
      <c r="AS81" s="14" t="s">
        <v>108</v>
      </c>
      <c r="AT81" s="14" t="s">
        <v>3472</v>
      </c>
      <c r="AU81" s="14" t="s">
        <v>2059</v>
      </c>
      <c r="AV81" s="14" t="s">
        <v>2060</v>
      </c>
      <c r="AW81" s="14" t="s">
        <v>2048</v>
      </c>
      <c r="AX81" s="14" t="s">
        <v>72</v>
      </c>
      <c r="AY81" s="14" t="s">
        <v>3569</v>
      </c>
      <c r="AZ81" s="14" t="s">
        <v>3570</v>
      </c>
      <c r="BA81" s="14" t="s">
        <v>2048</v>
      </c>
      <c r="BB81" s="14" t="s">
        <v>2048</v>
      </c>
      <c r="BC81" s="14" t="s">
        <v>102</v>
      </c>
      <c r="BD81" s="14" t="s">
        <v>104</v>
      </c>
      <c r="BE81" s="14" t="s">
        <v>3571</v>
      </c>
      <c r="BF81" s="14" t="s">
        <v>2048</v>
      </c>
      <c r="BG81" s="14" t="s">
        <v>2048</v>
      </c>
      <c r="BH81" s="14" t="s">
        <v>2282</v>
      </c>
      <c r="BI81" s="14" t="s">
        <v>2782</v>
      </c>
      <c r="BJ81" s="14" t="s">
        <v>2783</v>
      </c>
      <c r="BK81" s="14" t="s">
        <v>2784</v>
      </c>
      <c r="BL81" s="14" t="s">
        <v>3572</v>
      </c>
      <c r="BM81" s="14" t="s">
        <v>2287</v>
      </c>
      <c r="BN81" s="14" t="s">
        <v>2048</v>
      </c>
      <c r="BO81" s="14" t="s">
        <v>2048</v>
      </c>
      <c r="BP81" s="14" t="s">
        <v>2064</v>
      </c>
      <c r="BQ81" s="14" t="s">
        <v>72</v>
      </c>
      <c r="BR81" s="14" t="s">
        <v>72</v>
      </c>
      <c r="BS81" s="14" t="s">
        <v>2048</v>
      </c>
      <c r="BT81" s="14" t="s">
        <v>2048</v>
      </c>
      <c r="BU81" s="14" t="s">
        <v>2048</v>
      </c>
      <c r="BV81" s="14" t="s">
        <v>2331</v>
      </c>
      <c r="BW81" s="14" t="s">
        <v>2131</v>
      </c>
      <c r="BX81" s="14" t="s">
        <v>2048</v>
      </c>
      <c r="BY81" s="14" t="s">
        <v>2048</v>
      </c>
      <c r="BZ81" s="14" t="s">
        <v>2048</v>
      </c>
      <c r="CA81" s="14" t="s">
        <v>2048</v>
      </c>
      <c r="CB81" s="14" t="s">
        <v>72</v>
      </c>
      <c r="CC81" s="14" t="s">
        <v>2048</v>
      </c>
      <c r="CD81" s="14" t="s">
        <v>2048</v>
      </c>
      <c r="CE81" s="14" t="s">
        <v>2048</v>
      </c>
      <c r="CF81" s="14" t="s">
        <v>2048</v>
      </c>
      <c r="CG81" s="14" t="s">
        <v>2048</v>
      </c>
      <c r="CH81" s="14" t="s">
        <v>2048</v>
      </c>
      <c r="CI81" s="14" t="s">
        <v>2048</v>
      </c>
      <c r="CJ81" s="14" t="s">
        <v>2048</v>
      </c>
      <c r="CK81" s="14" t="s">
        <v>2068</v>
      </c>
      <c r="CL81" s="14" t="s">
        <v>2069</v>
      </c>
      <c r="CM81" s="14" t="s">
        <v>2048</v>
      </c>
      <c r="CN81" s="17"/>
      <c r="CO81" s="17">
        <v>45202</v>
      </c>
      <c r="CP81" s="17">
        <v>45202</v>
      </c>
      <c r="CR81" s="17">
        <v>45259</v>
      </c>
      <c r="CS81" s="19">
        <v>3</v>
      </c>
      <c r="CT81" s="19">
        <v>0</v>
      </c>
      <c r="CU81" s="19">
        <v>377.5</v>
      </c>
      <c r="CV81" s="19">
        <v>0</v>
      </c>
      <c r="CW81" s="19">
        <v>377.5</v>
      </c>
      <c r="CX81" s="19">
        <v>456.78</v>
      </c>
      <c r="CY81" s="19">
        <v>0</v>
      </c>
      <c r="CZ81" s="17"/>
      <c r="DA81" s="19">
        <v>0</v>
      </c>
      <c r="DB81" s="17"/>
      <c r="DC81" s="17"/>
      <c r="DD81" s="19">
        <v>0</v>
      </c>
      <c r="DE81" s="17"/>
      <c r="DF81" s="17"/>
      <c r="DG81" s="19">
        <v>100</v>
      </c>
      <c r="DH81" s="17"/>
      <c r="DI81" s="17">
        <v>45657</v>
      </c>
      <c r="DJ81" s="17"/>
      <c r="DK81" s="17"/>
      <c r="DL81" s="19">
        <v>0</v>
      </c>
      <c r="DM81" s="19">
        <v>0</v>
      </c>
    </row>
    <row r="82" spans="1:117" x14ac:dyDescent="0.2">
      <c r="A82" s="14" t="s">
        <v>3610</v>
      </c>
      <c r="B82" s="14" t="s">
        <v>1244</v>
      </c>
      <c r="C82" s="14" t="s">
        <v>73</v>
      </c>
      <c r="D82" s="14" t="s">
        <v>200</v>
      </c>
      <c r="E82" s="14" t="s">
        <v>201</v>
      </c>
      <c r="F82" s="14" t="s">
        <v>76</v>
      </c>
      <c r="G82" s="17">
        <v>45386</v>
      </c>
      <c r="H82" s="14" t="s">
        <v>77</v>
      </c>
      <c r="I82" s="14" t="s">
        <v>674</v>
      </c>
      <c r="J82" s="14" t="s">
        <v>359</v>
      </c>
      <c r="K82" s="14" t="s">
        <v>1245</v>
      </c>
      <c r="L82" s="14" t="s">
        <v>1124</v>
      </c>
      <c r="M82" s="14" t="s">
        <v>1125</v>
      </c>
      <c r="N82" s="16">
        <f>COUNTIF($M$3:M82, M82)</f>
        <v>2</v>
      </c>
      <c r="O82" s="16" t="e" cm="1">
        <f t="array" ref="O82">INDEX('[2]ALTA 20242025'!$B$2:$B$241, MATCH(1, ('[2]ALTA 20242025'!$I$2:$I$241=M82)*('[2]ALTA 20242025'!$J$2:$J$241=N82), 0))</f>
        <v>#N/A</v>
      </c>
      <c r="P82" s="16"/>
      <c r="Q82" s="16"/>
      <c r="R82" s="14" t="s">
        <v>119</v>
      </c>
      <c r="S82" s="14" t="s">
        <v>120</v>
      </c>
      <c r="T82" s="14" t="s">
        <v>2048</v>
      </c>
      <c r="U82" s="14" t="s">
        <v>2048</v>
      </c>
      <c r="V82" s="14" t="s">
        <v>3757</v>
      </c>
      <c r="W82" s="14" t="s">
        <v>4009</v>
      </c>
      <c r="X82" s="14" t="s">
        <v>4010</v>
      </c>
      <c r="Y82" s="14" t="s">
        <v>4011</v>
      </c>
      <c r="Z82" s="14" t="s">
        <v>2048</v>
      </c>
      <c r="AA82" s="14" t="s">
        <v>2422</v>
      </c>
      <c r="AB82" s="14" t="s">
        <v>2049</v>
      </c>
      <c r="AC82" s="14" t="s">
        <v>2050</v>
      </c>
      <c r="AD82" s="14" t="s">
        <v>3612</v>
      </c>
      <c r="AE82" s="14" t="s">
        <v>3613</v>
      </c>
      <c r="AF82" s="14" t="s">
        <v>3614</v>
      </c>
      <c r="AG82" s="14" t="s">
        <v>2048</v>
      </c>
      <c r="AH82" s="14" t="s">
        <v>2048</v>
      </c>
      <c r="AI82" s="14" t="s">
        <v>2129</v>
      </c>
      <c r="AJ82" s="14" t="s">
        <v>2130</v>
      </c>
      <c r="AK82" s="14" t="s">
        <v>2055</v>
      </c>
      <c r="AL82" s="14" t="s">
        <v>2055</v>
      </c>
      <c r="AM82" s="14" t="s">
        <v>2055</v>
      </c>
      <c r="AN82" s="14" t="s">
        <v>3603</v>
      </c>
      <c r="AO82" s="14" t="s">
        <v>2048</v>
      </c>
      <c r="AP82" s="14" t="s">
        <v>2048</v>
      </c>
      <c r="AQ82" s="14" t="s">
        <v>2048</v>
      </c>
      <c r="AR82" s="14" t="s">
        <v>4012</v>
      </c>
      <c r="AS82" s="14" t="s">
        <v>3726</v>
      </c>
      <c r="AT82" s="14" t="s">
        <v>2208</v>
      </c>
      <c r="AU82" s="14" t="s">
        <v>2059</v>
      </c>
      <c r="AV82" s="14" t="s">
        <v>4013</v>
      </c>
      <c r="AW82" s="14" t="s">
        <v>4014</v>
      </c>
      <c r="AX82" s="14" t="s">
        <v>2048</v>
      </c>
      <c r="AY82" s="14" t="s">
        <v>2048</v>
      </c>
      <c r="AZ82" s="14" t="s">
        <v>2048</v>
      </c>
      <c r="BA82" s="14" t="s">
        <v>2048</v>
      </c>
      <c r="BB82" s="14" t="s">
        <v>2048</v>
      </c>
      <c r="BC82" s="14" t="s">
        <v>119</v>
      </c>
      <c r="BD82" s="14" t="s">
        <v>776</v>
      </c>
      <c r="BE82" s="14" t="s">
        <v>3913</v>
      </c>
      <c r="BF82" s="14" t="s">
        <v>2048</v>
      </c>
      <c r="BG82" s="14" t="s">
        <v>2048</v>
      </c>
      <c r="BH82" s="14" t="s">
        <v>3598</v>
      </c>
      <c r="BI82" s="14" t="s">
        <v>3599</v>
      </c>
      <c r="BJ82" s="14" t="s">
        <v>3914</v>
      </c>
      <c r="BK82" s="14" t="s">
        <v>3915</v>
      </c>
      <c r="BL82" s="14" t="s">
        <v>3895</v>
      </c>
      <c r="BM82" s="14" t="s">
        <v>3600</v>
      </c>
      <c r="BN82" s="14" t="s">
        <v>2048</v>
      </c>
      <c r="BO82" s="14" t="s">
        <v>2518</v>
      </c>
      <c r="BP82" s="14" t="s">
        <v>2064</v>
      </c>
      <c r="BQ82" s="14" t="s">
        <v>72</v>
      </c>
      <c r="BR82" s="14" t="s">
        <v>72</v>
      </c>
      <c r="BS82" s="14" t="s">
        <v>2048</v>
      </c>
      <c r="BT82" s="14" t="s">
        <v>4015</v>
      </c>
      <c r="BU82" s="14" t="s">
        <v>4016</v>
      </c>
      <c r="BV82" s="14" t="s">
        <v>2331</v>
      </c>
      <c r="BW82" s="14" t="s">
        <v>2131</v>
      </c>
      <c r="BX82" s="14" t="s">
        <v>2048</v>
      </c>
      <c r="BY82" s="14" t="s">
        <v>2048</v>
      </c>
      <c r="BZ82" s="14" t="s">
        <v>2048</v>
      </c>
      <c r="CA82" s="14" t="s">
        <v>2048</v>
      </c>
      <c r="CB82" s="14" t="s">
        <v>72</v>
      </c>
      <c r="CC82" s="14" t="s">
        <v>2048</v>
      </c>
      <c r="CD82" s="14" t="s">
        <v>2048</v>
      </c>
      <c r="CE82" s="14" t="s">
        <v>2048</v>
      </c>
      <c r="CF82" s="14" t="s">
        <v>2048</v>
      </c>
      <c r="CG82" s="14" t="s">
        <v>2048</v>
      </c>
      <c r="CH82" s="14" t="s">
        <v>2048</v>
      </c>
      <c r="CI82" s="14" t="s">
        <v>2048</v>
      </c>
      <c r="CJ82" s="14" t="s">
        <v>2048</v>
      </c>
      <c r="CK82" s="14" t="s">
        <v>2068</v>
      </c>
      <c r="CL82" s="14" t="s">
        <v>2069</v>
      </c>
      <c r="CM82" s="14" t="s">
        <v>2048</v>
      </c>
      <c r="CN82" s="17">
        <v>43466</v>
      </c>
      <c r="CO82" s="17">
        <v>43416</v>
      </c>
      <c r="CP82" s="17">
        <v>43416</v>
      </c>
      <c r="CR82" s="17">
        <v>45386</v>
      </c>
      <c r="CS82" s="19">
        <v>65</v>
      </c>
      <c r="CT82" s="19">
        <v>0</v>
      </c>
      <c r="CU82" s="19">
        <v>182.35</v>
      </c>
      <c r="CV82" s="19">
        <v>0</v>
      </c>
      <c r="CW82" s="19">
        <v>182.35</v>
      </c>
      <c r="CX82" s="19">
        <v>220.64</v>
      </c>
      <c r="CY82" s="19">
        <v>0</v>
      </c>
      <c r="CZ82" s="17"/>
      <c r="DA82" s="19">
        <v>0</v>
      </c>
      <c r="DB82" s="17"/>
      <c r="DC82" s="17"/>
      <c r="DD82" s="19">
        <v>0</v>
      </c>
      <c r="DE82" s="17"/>
      <c r="DF82" s="17"/>
      <c r="DG82" s="19">
        <v>100</v>
      </c>
      <c r="DH82" s="17"/>
      <c r="DI82" s="17">
        <v>45291</v>
      </c>
      <c r="DJ82" s="17"/>
      <c r="DK82" s="17"/>
      <c r="DL82" s="19">
        <v>0</v>
      </c>
      <c r="DM82" s="19">
        <v>0</v>
      </c>
    </row>
    <row r="83" spans="1:117" x14ac:dyDescent="0.2">
      <c r="A83" s="14" t="s">
        <v>3610</v>
      </c>
      <c r="B83" s="14" t="s">
        <v>556</v>
      </c>
      <c r="C83" s="14" t="s">
        <v>73</v>
      </c>
      <c r="D83" s="14" t="s">
        <v>74</v>
      </c>
      <c r="E83" s="14" t="s">
        <v>75</v>
      </c>
      <c r="F83" s="14" t="s">
        <v>76</v>
      </c>
      <c r="G83" s="17">
        <v>45259</v>
      </c>
      <c r="H83" s="14" t="s">
        <v>77</v>
      </c>
      <c r="I83" s="14" t="s">
        <v>78</v>
      </c>
      <c r="J83" s="14" t="s">
        <v>359</v>
      </c>
      <c r="K83" s="14" t="s">
        <v>461</v>
      </c>
      <c r="L83" s="14" t="s">
        <v>102</v>
      </c>
      <c r="M83" s="14" t="s">
        <v>103</v>
      </c>
      <c r="N83" s="16">
        <f>COUNTIF($M$3:M83, M83)</f>
        <v>17</v>
      </c>
      <c r="O83" s="16" t="str" cm="1">
        <f t="array" ref="O83">INDEX('[2]ALTA 20242025'!$B$2:$B$241, MATCH(1, ('[2]ALTA 20242025'!$I$2:$I$241=M83)*('[2]ALTA 20242025'!$J$2:$J$241=N83), 0))</f>
        <v>8867KDN</v>
      </c>
      <c r="P83" s="16"/>
      <c r="Q83" s="16"/>
      <c r="R83" s="14" t="s">
        <v>2048</v>
      </c>
      <c r="S83" s="14" t="s">
        <v>2048</v>
      </c>
      <c r="T83" s="14" t="s">
        <v>2048</v>
      </c>
      <c r="U83" s="14" t="s">
        <v>2048</v>
      </c>
      <c r="V83" s="14" t="s">
        <v>3992</v>
      </c>
      <c r="W83" s="14" t="s">
        <v>3993</v>
      </c>
      <c r="X83" s="14" t="s">
        <v>4017</v>
      </c>
      <c r="Y83" s="14" t="s">
        <v>4018</v>
      </c>
      <c r="Z83" s="14" t="s">
        <v>2048</v>
      </c>
      <c r="AA83" s="14" t="s">
        <v>2422</v>
      </c>
      <c r="AB83" s="14" t="s">
        <v>2049</v>
      </c>
      <c r="AC83" s="14" t="s">
        <v>2050</v>
      </c>
      <c r="AD83" s="14" t="s">
        <v>2048</v>
      </c>
      <c r="AE83" s="14" t="s">
        <v>2048</v>
      </c>
      <c r="AF83" s="14" t="s">
        <v>2048</v>
      </c>
      <c r="AG83" s="14" t="s">
        <v>2048</v>
      </c>
      <c r="AH83" s="14" t="s">
        <v>2048</v>
      </c>
      <c r="AI83" s="14" t="s">
        <v>2129</v>
      </c>
      <c r="AJ83" s="14" t="s">
        <v>2130</v>
      </c>
      <c r="AK83" s="14" t="s">
        <v>2055</v>
      </c>
      <c r="AL83" s="14" t="s">
        <v>2055</v>
      </c>
      <c r="AM83" s="14" t="s">
        <v>2055</v>
      </c>
      <c r="AN83" s="14" t="s">
        <v>2068</v>
      </c>
      <c r="AO83" s="14" t="s">
        <v>2048</v>
      </c>
      <c r="AP83" s="14" t="s">
        <v>2048</v>
      </c>
      <c r="AQ83" s="14" t="s">
        <v>2048</v>
      </c>
      <c r="AR83" s="14" t="s">
        <v>3996</v>
      </c>
      <c r="AS83" s="14" t="s">
        <v>108</v>
      </c>
      <c r="AT83" s="14" t="s">
        <v>3472</v>
      </c>
      <c r="AU83" s="14" t="s">
        <v>2059</v>
      </c>
      <c r="AV83" s="14" t="s">
        <v>2060</v>
      </c>
      <c r="AW83" s="14" t="s">
        <v>2048</v>
      </c>
      <c r="AX83" s="14" t="s">
        <v>72</v>
      </c>
      <c r="AY83" s="14" t="s">
        <v>3569</v>
      </c>
      <c r="AZ83" s="14" t="s">
        <v>3570</v>
      </c>
      <c r="BA83" s="14" t="s">
        <v>2048</v>
      </c>
      <c r="BB83" s="14" t="s">
        <v>2048</v>
      </c>
      <c r="BC83" s="14" t="s">
        <v>102</v>
      </c>
      <c r="BD83" s="14" t="s">
        <v>104</v>
      </c>
      <c r="BE83" s="14" t="s">
        <v>3571</v>
      </c>
      <c r="BF83" s="14" t="s">
        <v>2048</v>
      </c>
      <c r="BG83" s="14" t="s">
        <v>2048</v>
      </c>
      <c r="BH83" s="14" t="s">
        <v>2282</v>
      </c>
      <c r="BI83" s="14" t="s">
        <v>2782</v>
      </c>
      <c r="BJ83" s="14" t="s">
        <v>2783</v>
      </c>
      <c r="BK83" s="14" t="s">
        <v>2784</v>
      </c>
      <c r="BL83" s="14" t="s">
        <v>3572</v>
      </c>
      <c r="BM83" s="14" t="s">
        <v>2287</v>
      </c>
      <c r="BN83" s="14" t="s">
        <v>2048</v>
      </c>
      <c r="BO83" s="14" t="s">
        <v>2048</v>
      </c>
      <c r="BP83" s="14" t="s">
        <v>2064</v>
      </c>
      <c r="BQ83" s="14" t="s">
        <v>72</v>
      </c>
      <c r="BR83" s="14" t="s">
        <v>72</v>
      </c>
      <c r="BS83" s="14" t="s">
        <v>2048</v>
      </c>
      <c r="BT83" s="14" t="s">
        <v>2048</v>
      </c>
      <c r="BU83" s="14" t="s">
        <v>2048</v>
      </c>
      <c r="BV83" s="14" t="s">
        <v>2331</v>
      </c>
      <c r="BW83" s="14" t="s">
        <v>2131</v>
      </c>
      <c r="BX83" s="14" t="s">
        <v>2048</v>
      </c>
      <c r="BY83" s="14" t="s">
        <v>2048</v>
      </c>
      <c r="BZ83" s="14" t="s">
        <v>2048</v>
      </c>
      <c r="CA83" s="14" t="s">
        <v>2048</v>
      </c>
      <c r="CB83" s="14" t="s">
        <v>72</v>
      </c>
      <c r="CC83" s="14" t="s">
        <v>2048</v>
      </c>
      <c r="CD83" s="14" t="s">
        <v>2048</v>
      </c>
      <c r="CE83" s="14" t="s">
        <v>2048</v>
      </c>
      <c r="CF83" s="14" t="s">
        <v>2048</v>
      </c>
      <c r="CG83" s="14" t="s">
        <v>2048</v>
      </c>
      <c r="CH83" s="14" t="s">
        <v>2048</v>
      </c>
      <c r="CI83" s="14" t="s">
        <v>2048</v>
      </c>
      <c r="CJ83" s="14" t="s">
        <v>2048</v>
      </c>
      <c r="CK83" s="14" t="s">
        <v>2068</v>
      </c>
      <c r="CL83" s="14" t="s">
        <v>2069</v>
      </c>
      <c r="CM83" s="14" t="s">
        <v>2048</v>
      </c>
      <c r="CN83" s="17"/>
      <c r="CO83" s="17">
        <v>45204</v>
      </c>
      <c r="CP83" s="17">
        <v>45204</v>
      </c>
      <c r="CR83" s="17">
        <v>45259</v>
      </c>
      <c r="CS83" s="19">
        <v>3</v>
      </c>
      <c r="CT83" s="19">
        <v>0</v>
      </c>
      <c r="CU83" s="19">
        <v>377.5</v>
      </c>
      <c r="CV83" s="19">
        <v>0</v>
      </c>
      <c r="CW83" s="19">
        <v>377.5</v>
      </c>
      <c r="CX83" s="19">
        <v>456.78</v>
      </c>
      <c r="CY83" s="19">
        <v>0</v>
      </c>
      <c r="CZ83" s="17"/>
      <c r="DA83" s="19">
        <v>0</v>
      </c>
      <c r="DB83" s="17"/>
      <c r="DC83" s="17"/>
      <c r="DD83" s="19">
        <v>0</v>
      </c>
      <c r="DE83" s="17"/>
      <c r="DF83" s="17"/>
      <c r="DG83" s="19">
        <v>100</v>
      </c>
      <c r="DH83" s="17"/>
      <c r="DI83" s="17">
        <v>45657</v>
      </c>
      <c r="DJ83" s="17"/>
      <c r="DK83" s="17"/>
      <c r="DL83" s="19">
        <v>0</v>
      </c>
      <c r="DM83" s="19">
        <v>0</v>
      </c>
    </row>
    <row r="84" spans="1:117" x14ac:dyDescent="0.2">
      <c r="A84" s="14" t="s">
        <v>3610</v>
      </c>
      <c r="B84" s="14" t="s">
        <v>1247</v>
      </c>
      <c r="C84" s="14" t="s">
        <v>885</v>
      </c>
      <c r="D84" s="14" t="s">
        <v>161</v>
      </c>
      <c r="E84" s="14" t="s">
        <v>886</v>
      </c>
      <c r="F84" s="14" t="s">
        <v>171</v>
      </c>
      <c r="G84" s="17">
        <v>45397</v>
      </c>
      <c r="H84" s="14" t="s">
        <v>172</v>
      </c>
      <c r="I84" s="14" t="s">
        <v>78</v>
      </c>
      <c r="J84" s="14" t="s">
        <v>1248</v>
      </c>
      <c r="K84" s="14" t="s">
        <v>1249</v>
      </c>
      <c r="L84" s="14" t="s">
        <v>1134</v>
      </c>
      <c r="M84" s="14" t="s">
        <v>1135</v>
      </c>
      <c r="N84" s="16">
        <f>COUNTIF($M$3:M84, M84)</f>
        <v>2</v>
      </c>
      <c r="O84" s="16" t="e" cm="1">
        <f t="array" ref="O84">INDEX('[2]ALTA 20242025'!$B$2:$B$241, MATCH(1, ('[2]ALTA 20242025'!$I$2:$I$241=M84)*('[2]ALTA 20242025'!$J$2:$J$241=N84), 0))</f>
        <v>#N/A</v>
      </c>
      <c r="P84" s="16"/>
      <c r="Q84" s="16"/>
      <c r="R84" s="14" t="s">
        <v>2048</v>
      </c>
      <c r="S84" s="14" t="s">
        <v>2048</v>
      </c>
      <c r="T84" s="14" t="s">
        <v>2048</v>
      </c>
      <c r="U84" s="14" t="s">
        <v>2048</v>
      </c>
      <c r="V84" s="14" t="s">
        <v>72</v>
      </c>
      <c r="W84" s="14" t="s">
        <v>72</v>
      </c>
      <c r="X84" s="14" t="s">
        <v>72</v>
      </c>
      <c r="Y84" s="14" t="s">
        <v>2048</v>
      </c>
      <c r="Z84" s="14" t="s">
        <v>2048</v>
      </c>
      <c r="AA84" s="14" t="s">
        <v>2422</v>
      </c>
      <c r="AB84" s="14" t="s">
        <v>2049</v>
      </c>
      <c r="AC84" s="14" t="s">
        <v>2050</v>
      </c>
      <c r="AD84" s="14" t="s">
        <v>2048</v>
      </c>
      <c r="AE84" s="14" t="s">
        <v>2048</v>
      </c>
      <c r="AF84" s="14" t="s">
        <v>2048</v>
      </c>
      <c r="AG84" s="14" t="s">
        <v>2048</v>
      </c>
      <c r="AH84" s="14" t="s">
        <v>2048</v>
      </c>
      <c r="AI84" s="14" t="s">
        <v>2129</v>
      </c>
      <c r="AJ84" s="14" t="s">
        <v>2130</v>
      </c>
      <c r="AK84" s="14" t="s">
        <v>2055</v>
      </c>
      <c r="AL84" s="14" t="s">
        <v>2055</v>
      </c>
      <c r="AM84" s="14" t="s">
        <v>2055</v>
      </c>
      <c r="AN84" s="14" t="s">
        <v>2068</v>
      </c>
      <c r="AO84" s="14" t="s">
        <v>2048</v>
      </c>
      <c r="AP84" s="14" t="s">
        <v>2048</v>
      </c>
      <c r="AQ84" s="14" t="s">
        <v>2048</v>
      </c>
      <c r="AR84" s="14" t="s">
        <v>2048</v>
      </c>
      <c r="AS84" s="14" t="s">
        <v>2048</v>
      </c>
      <c r="AT84" s="14" t="s">
        <v>2048</v>
      </c>
      <c r="AU84" s="14" t="s">
        <v>2059</v>
      </c>
      <c r="AV84" s="14" t="s">
        <v>2060</v>
      </c>
      <c r="AW84" s="14" t="s">
        <v>2048</v>
      </c>
      <c r="AX84" s="14" t="s">
        <v>2048</v>
      </c>
      <c r="AY84" s="14" t="s">
        <v>3631</v>
      </c>
      <c r="AZ84" s="14" t="s">
        <v>3632</v>
      </c>
      <c r="BA84" s="14" t="s">
        <v>2048</v>
      </c>
      <c r="BB84" s="14" t="s">
        <v>2048</v>
      </c>
      <c r="BC84" s="14" t="s">
        <v>1134</v>
      </c>
      <c r="BD84" s="14" t="s">
        <v>1136</v>
      </c>
      <c r="BE84" s="14" t="s">
        <v>3633</v>
      </c>
      <c r="BF84" s="14" t="s">
        <v>2048</v>
      </c>
      <c r="BG84" s="14" t="s">
        <v>2048</v>
      </c>
      <c r="BH84" s="14" t="s">
        <v>2080</v>
      </c>
      <c r="BI84" s="14" t="s">
        <v>2081</v>
      </c>
      <c r="BJ84" s="14" t="s">
        <v>3634</v>
      </c>
      <c r="BK84" s="14" t="s">
        <v>3635</v>
      </c>
      <c r="BL84" s="14" t="s">
        <v>3636</v>
      </c>
      <c r="BM84" s="14" t="s">
        <v>2085</v>
      </c>
      <c r="BN84" s="14" t="s">
        <v>2048</v>
      </c>
      <c r="BO84" s="14" t="s">
        <v>2048</v>
      </c>
      <c r="BP84" s="14" t="s">
        <v>2064</v>
      </c>
      <c r="BQ84" s="14" t="s">
        <v>72</v>
      </c>
      <c r="BR84" s="14" t="s">
        <v>72</v>
      </c>
      <c r="BS84" s="14" t="s">
        <v>2048</v>
      </c>
      <c r="BT84" s="14" t="s">
        <v>2048</v>
      </c>
      <c r="BU84" s="14" t="s">
        <v>2048</v>
      </c>
      <c r="BV84" s="14" t="s">
        <v>2862</v>
      </c>
      <c r="BW84" s="14" t="s">
        <v>3680</v>
      </c>
      <c r="BX84" s="14" t="s">
        <v>2048</v>
      </c>
      <c r="BY84" s="14" t="s">
        <v>2048</v>
      </c>
      <c r="BZ84" s="14" t="s">
        <v>2048</v>
      </c>
      <c r="CA84" s="14" t="s">
        <v>2048</v>
      </c>
      <c r="CB84" s="14" t="s">
        <v>2048</v>
      </c>
      <c r="CC84" s="14" t="s">
        <v>2048</v>
      </c>
      <c r="CD84" s="14" t="s">
        <v>2048</v>
      </c>
      <c r="CE84" s="14" t="s">
        <v>2048</v>
      </c>
      <c r="CF84" s="14" t="s">
        <v>2048</v>
      </c>
      <c r="CG84" s="14" t="s">
        <v>2048</v>
      </c>
      <c r="CH84" s="14" t="s">
        <v>2048</v>
      </c>
      <c r="CI84" s="14" t="s">
        <v>2048</v>
      </c>
      <c r="CJ84" s="14" t="s">
        <v>2048</v>
      </c>
      <c r="CK84" s="14" t="s">
        <v>2208</v>
      </c>
      <c r="CL84" s="14" t="s">
        <v>3681</v>
      </c>
      <c r="CM84" s="14" t="s">
        <v>2048</v>
      </c>
      <c r="CN84" s="17"/>
      <c r="CO84" s="17">
        <v>39161</v>
      </c>
      <c r="CP84" s="17">
        <v>43879</v>
      </c>
      <c r="CR84" s="17">
        <v>45397</v>
      </c>
      <c r="CS84" s="19">
        <v>0</v>
      </c>
      <c r="CT84" s="19">
        <v>0</v>
      </c>
      <c r="CU84" s="19">
        <v>0</v>
      </c>
      <c r="CV84" s="19">
        <v>0</v>
      </c>
      <c r="CW84" s="19">
        <v>0</v>
      </c>
      <c r="CX84" s="19">
        <v>0</v>
      </c>
      <c r="CY84" s="19">
        <v>0</v>
      </c>
      <c r="CZ84" s="17"/>
      <c r="DA84" s="19">
        <v>0</v>
      </c>
      <c r="DB84" s="17"/>
      <c r="DC84" s="17"/>
      <c r="DD84" s="19">
        <v>0</v>
      </c>
      <c r="DE84" s="17"/>
      <c r="DF84" s="17"/>
      <c r="DG84" s="19">
        <v>100</v>
      </c>
      <c r="DH84" s="17"/>
      <c r="DI84" s="17">
        <v>2958465</v>
      </c>
      <c r="DJ84" s="17"/>
      <c r="DK84" s="17"/>
      <c r="DL84" s="19">
        <v>0</v>
      </c>
      <c r="DM84" s="19">
        <v>0</v>
      </c>
    </row>
    <row r="85" spans="1:117" x14ac:dyDescent="0.2">
      <c r="A85" s="14" t="s">
        <v>3610</v>
      </c>
      <c r="B85" s="14" t="s">
        <v>1251</v>
      </c>
      <c r="C85" s="14" t="s">
        <v>885</v>
      </c>
      <c r="D85" s="14" t="s">
        <v>161</v>
      </c>
      <c r="E85" s="14" t="s">
        <v>886</v>
      </c>
      <c r="F85" s="14" t="s">
        <v>171</v>
      </c>
      <c r="G85" s="17">
        <v>45397</v>
      </c>
      <c r="H85" s="14" t="s">
        <v>172</v>
      </c>
      <c r="I85" s="14" t="s">
        <v>78</v>
      </c>
      <c r="J85" s="14" t="s">
        <v>1248</v>
      </c>
      <c r="K85" s="14" t="s">
        <v>1249</v>
      </c>
      <c r="L85" s="14" t="s">
        <v>1134</v>
      </c>
      <c r="M85" s="14" t="s">
        <v>1135</v>
      </c>
      <c r="N85" s="16">
        <f>COUNTIF($M$3:M85, M85)</f>
        <v>3</v>
      </c>
      <c r="O85" s="16" t="e" cm="1">
        <f t="array" ref="O85">INDEX('[2]ALTA 20242025'!$B$2:$B$241, MATCH(1, ('[2]ALTA 20242025'!$I$2:$I$241=M85)*('[2]ALTA 20242025'!$J$2:$J$241=N85), 0))</f>
        <v>#N/A</v>
      </c>
      <c r="P85" s="16"/>
      <c r="Q85" s="16"/>
      <c r="R85" s="14" t="s">
        <v>2048</v>
      </c>
      <c r="S85" s="14" t="s">
        <v>2048</v>
      </c>
      <c r="T85" s="14" t="s">
        <v>2048</v>
      </c>
      <c r="U85" s="14" t="s">
        <v>2048</v>
      </c>
      <c r="V85" s="14" t="s">
        <v>72</v>
      </c>
      <c r="W85" s="14" t="s">
        <v>72</v>
      </c>
      <c r="X85" s="14" t="s">
        <v>72</v>
      </c>
      <c r="Y85" s="14" t="s">
        <v>2048</v>
      </c>
      <c r="Z85" s="14" t="s">
        <v>2048</v>
      </c>
      <c r="AA85" s="14" t="s">
        <v>2422</v>
      </c>
      <c r="AB85" s="14" t="s">
        <v>2049</v>
      </c>
      <c r="AC85" s="14" t="s">
        <v>2050</v>
      </c>
      <c r="AD85" s="14" t="s">
        <v>2048</v>
      </c>
      <c r="AE85" s="14" t="s">
        <v>2048</v>
      </c>
      <c r="AF85" s="14" t="s">
        <v>2048</v>
      </c>
      <c r="AG85" s="14" t="s">
        <v>2048</v>
      </c>
      <c r="AH85" s="14" t="s">
        <v>2048</v>
      </c>
      <c r="AI85" s="14" t="s">
        <v>2129</v>
      </c>
      <c r="AJ85" s="14" t="s">
        <v>2130</v>
      </c>
      <c r="AK85" s="14" t="s">
        <v>2055</v>
      </c>
      <c r="AL85" s="14" t="s">
        <v>2055</v>
      </c>
      <c r="AM85" s="14" t="s">
        <v>2055</v>
      </c>
      <c r="AN85" s="14" t="s">
        <v>2068</v>
      </c>
      <c r="AO85" s="14" t="s">
        <v>2048</v>
      </c>
      <c r="AP85" s="14" t="s">
        <v>2048</v>
      </c>
      <c r="AQ85" s="14" t="s">
        <v>2048</v>
      </c>
      <c r="AR85" s="14" t="s">
        <v>2048</v>
      </c>
      <c r="AS85" s="14" t="s">
        <v>2048</v>
      </c>
      <c r="AT85" s="14" t="s">
        <v>2048</v>
      </c>
      <c r="AU85" s="14" t="s">
        <v>2059</v>
      </c>
      <c r="AV85" s="14" t="s">
        <v>2060</v>
      </c>
      <c r="AW85" s="14" t="s">
        <v>2048</v>
      </c>
      <c r="AX85" s="14" t="s">
        <v>2048</v>
      </c>
      <c r="AY85" s="14" t="s">
        <v>3631</v>
      </c>
      <c r="AZ85" s="14" t="s">
        <v>3632</v>
      </c>
      <c r="BA85" s="14" t="s">
        <v>2048</v>
      </c>
      <c r="BB85" s="14" t="s">
        <v>2048</v>
      </c>
      <c r="BC85" s="14" t="s">
        <v>1134</v>
      </c>
      <c r="BD85" s="14" t="s">
        <v>1136</v>
      </c>
      <c r="BE85" s="14" t="s">
        <v>3633</v>
      </c>
      <c r="BF85" s="14" t="s">
        <v>2048</v>
      </c>
      <c r="BG85" s="14" t="s">
        <v>2048</v>
      </c>
      <c r="BH85" s="14" t="s">
        <v>2080</v>
      </c>
      <c r="BI85" s="14" t="s">
        <v>2081</v>
      </c>
      <c r="BJ85" s="14" t="s">
        <v>3634</v>
      </c>
      <c r="BK85" s="14" t="s">
        <v>3635</v>
      </c>
      <c r="BL85" s="14" t="s">
        <v>3636</v>
      </c>
      <c r="BM85" s="14" t="s">
        <v>2085</v>
      </c>
      <c r="BN85" s="14" t="s">
        <v>2048</v>
      </c>
      <c r="BO85" s="14" t="s">
        <v>2048</v>
      </c>
      <c r="BP85" s="14" t="s">
        <v>2064</v>
      </c>
      <c r="BQ85" s="14" t="s">
        <v>72</v>
      </c>
      <c r="BR85" s="14" t="s">
        <v>72</v>
      </c>
      <c r="BS85" s="14" t="s">
        <v>2048</v>
      </c>
      <c r="BT85" s="14" t="s">
        <v>2048</v>
      </c>
      <c r="BU85" s="14" t="s">
        <v>2048</v>
      </c>
      <c r="BV85" s="14" t="s">
        <v>2862</v>
      </c>
      <c r="BW85" s="14" t="s">
        <v>3680</v>
      </c>
      <c r="BX85" s="14" t="s">
        <v>2048</v>
      </c>
      <c r="BY85" s="14" t="s">
        <v>2048</v>
      </c>
      <c r="BZ85" s="14" t="s">
        <v>2048</v>
      </c>
      <c r="CA85" s="14" t="s">
        <v>2048</v>
      </c>
      <c r="CB85" s="14" t="s">
        <v>2048</v>
      </c>
      <c r="CC85" s="14" t="s">
        <v>2048</v>
      </c>
      <c r="CD85" s="14" t="s">
        <v>2048</v>
      </c>
      <c r="CE85" s="14" t="s">
        <v>2048</v>
      </c>
      <c r="CF85" s="14" t="s">
        <v>2048</v>
      </c>
      <c r="CG85" s="14" t="s">
        <v>2048</v>
      </c>
      <c r="CH85" s="14" t="s">
        <v>2048</v>
      </c>
      <c r="CI85" s="14" t="s">
        <v>2048</v>
      </c>
      <c r="CJ85" s="14" t="s">
        <v>2048</v>
      </c>
      <c r="CK85" s="14" t="s">
        <v>2208</v>
      </c>
      <c r="CL85" s="14" t="s">
        <v>3681</v>
      </c>
      <c r="CM85" s="14" t="s">
        <v>2048</v>
      </c>
      <c r="CN85" s="17"/>
      <c r="CO85" s="17">
        <v>39161</v>
      </c>
      <c r="CP85" s="17">
        <v>43879</v>
      </c>
      <c r="CR85" s="17">
        <v>45397</v>
      </c>
      <c r="CS85" s="19">
        <v>0</v>
      </c>
      <c r="CT85" s="19">
        <v>0</v>
      </c>
      <c r="CU85" s="19">
        <v>0</v>
      </c>
      <c r="CV85" s="19">
        <v>0</v>
      </c>
      <c r="CW85" s="19">
        <v>0</v>
      </c>
      <c r="CX85" s="19">
        <v>0</v>
      </c>
      <c r="CY85" s="19">
        <v>0</v>
      </c>
      <c r="CZ85" s="17"/>
      <c r="DA85" s="19">
        <v>0</v>
      </c>
      <c r="DB85" s="17"/>
      <c r="DC85" s="17"/>
      <c r="DD85" s="19">
        <v>0</v>
      </c>
      <c r="DE85" s="17"/>
      <c r="DF85" s="17"/>
      <c r="DG85" s="19">
        <v>100</v>
      </c>
      <c r="DH85" s="17"/>
      <c r="DI85" s="17">
        <v>2958465</v>
      </c>
      <c r="DJ85" s="17"/>
      <c r="DK85" s="17"/>
      <c r="DL85" s="19">
        <v>0</v>
      </c>
      <c r="DM85" s="19">
        <v>0</v>
      </c>
    </row>
    <row r="86" spans="1:117" x14ac:dyDescent="0.2">
      <c r="A86" s="14" t="s">
        <v>3610</v>
      </c>
      <c r="B86" s="14" t="s">
        <v>112</v>
      </c>
      <c r="C86" s="14" t="s">
        <v>73</v>
      </c>
      <c r="D86" s="14" t="s">
        <v>74</v>
      </c>
      <c r="E86" s="14" t="s">
        <v>75</v>
      </c>
      <c r="F86" s="14" t="s">
        <v>76</v>
      </c>
      <c r="G86" s="17">
        <v>45261</v>
      </c>
      <c r="H86" s="14" t="s">
        <v>77</v>
      </c>
      <c r="I86" s="14" t="s">
        <v>78</v>
      </c>
      <c r="J86" s="14" t="s">
        <v>79</v>
      </c>
      <c r="K86" s="14" t="s">
        <v>101</v>
      </c>
      <c r="L86" s="14" t="s">
        <v>102</v>
      </c>
      <c r="M86" s="14" t="s">
        <v>103</v>
      </c>
      <c r="N86" s="16">
        <f>COUNTIF($M$3:M86, M86)</f>
        <v>18</v>
      </c>
      <c r="O86" s="16" t="str" cm="1">
        <f t="array" ref="O86">INDEX('[2]ALTA 20242025'!$B$2:$B$241, MATCH(1, ('[2]ALTA 20242025'!$I$2:$I$241=M86)*('[2]ALTA 20242025'!$J$2:$J$241=N86), 0))</f>
        <v>1255MJM</v>
      </c>
      <c r="P86" s="16"/>
      <c r="Q86" s="16"/>
      <c r="R86" s="14" t="s">
        <v>2048</v>
      </c>
      <c r="S86" s="14" t="s">
        <v>2048</v>
      </c>
      <c r="T86" s="14" t="s">
        <v>2048</v>
      </c>
      <c r="U86" s="14" t="s">
        <v>2048</v>
      </c>
      <c r="V86" s="14" t="s">
        <v>4019</v>
      </c>
      <c r="W86" s="14" t="s">
        <v>3858</v>
      </c>
      <c r="X86" s="14" t="s">
        <v>4020</v>
      </c>
      <c r="Y86" s="14" t="s">
        <v>4021</v>
      </c>
      <c r="Z86" s="14" t="s">
        <v>2048</v>
      </c>
      <c r="AA86" s="14" t="s">
        <v>2422</v>
      </c>
      <c r="AB86" s="14" t="s">
        <v>2049</v>
      </c>
      <c r="AC86" s="14" t="s">
        <v>2050</v>
      </c>
      <c r="AD86" s="14" t="s">
        <v>2048</v>
      </c>
      <c r="AE86" s="14" t="s">
        <v>2048</v>
      </c>
      <c r="AF86" s="14" t="s">
        <v>2048</v>
      </c>
      <c r="AG86" s="14" t="s">
        <v>2048</v>
      </c>
      <c r="AH86" s="14" t="s">
        <v>2048</v>
      </c>
      <c r="AI86" s="14" t="s">
        <v>2129</v>
      </c>
      <c r="AJ86" s="14" t="s">
        <v>2130</v>
      </c>
      <c r="AK86" s="14" t="s">
        <v>2055</v>
      </c>
      <c r="AL86" s="14" t="s">
        <v>2055</v>
      </c>
      <c r="AM86" s="14" t="s">
        <v>2055</v>
      </c>
      <c r="AN86" s="14" t="s">
        <v>2068</v>
      </c>
      <c r="AO86" s="14" t="s">
        <v>2048</v>
      </c>
      <c r="AP86" s="14" t="s">
        <v>2048</v>
      </c>
      <c r="AQ86" s="14" t="s">
        <v>2048</v>
      </c>
      <c r="AR86" s="14" t="s">
        <v>3996</v>
      </c>
      <c r="AS86" s="14" t="s">
        <v>108</v>
      </c>
      <c r="AT86" s="14" t="s">
        <v>2135</v>
      </c>
      <c r="AU86" s="14" t="s">
        <v>2059</v>
      </c>
      <c r="AV86" s="14" t="s">
        <v>2060</v>
      </c>
      <c r="AW86" s="14" t="s">
        <v>2048</v>
      </c>
      <c r="AX86" s="14" t="s">
        <v>72</v>
      </c>
      <c r="AY86" s="14" t="s">
        <v>3569</v>
      </c>
      <c r="AZ86" s="14" t="s">
        <v>3570</v>
      </c>
      <c r="BA86" s="14" t="s">
        <v>2048</v>
      </c>
      <c r="BB86" s="14" t="s">
        <v>2048</v>
      </c>
      <c r="BC86" s="14" t="s">
        <v>102</v>
      </c>
      <c r="BD86" s="14" t="s">
        <v>104</v>
      </c>
      <c r="BE86" s="14" t="s">
        <v>3571</v>
      </c>
      <c r="BF86" s="14" t="s">
        <v>2048</v>
      </c>
      <c r="BG86" s="14" t="s">
        <v>2048</v>
      </c>
      <c r="BH86" s="14" t="s">
        <v>2282</v>
      </c>
      <c r="BI86" s="14" t="s">
        <v>2782</v>
      </c>
      <c r="BJ86" s="14" t="s">
        <v>2783</v>
      </c>
      <c r="BK86" s="14" t="s">
        <v>2784</v>
      </c>
      <c r="BL86" s="14" t="s">
        <v>3572</v>
      </c>
      <c r="BM86" s="14" t="s">
        <v>2287</v>
      </c>
      <c r="BN86" s="14" t="s">
        <v>2048</v>
      </c>
      <c r="BO86" s="14" t="s">
        <v>2048</v>
      </c>
      <c r="BP86" s="14" t="s">
        <v>2064</v>
      </c>
      <c r="BQ86" s="14" t="s">
        <v>72</v>
      </c>
      <c r="BR86" s="14" t="s">
        <v>72</v>
      </c>
      <c r="BS86" s="14" t="s">
        <v>2048</v>
      </c>
      <c r="BT86" s="14" t="s">
        <v>2048</v>
      </c>
      <c r="BU86" s="14" t="s">
        <v>2048</v>
      </c>
      <c r="BV86" s="14" t="s">
        <v>2331</v>
      </c>
      <c r="BW86" s="14" t="s">
        <v>2131</v>
      </c>
      <c r="BX86" s="14" t="s">
        <v>2048</v>
      </c>
      <c r="BY86" s="14" t="s">
        <v>2048</v>
      </c>
      <c r="BZ86" s="14" t="s">
        <v>2048</v>
      </c>
      <c r="CA86" s="14" t="s">
        <v>2048</v>
      </c>
      <c r="CB86" s="14" t="s">
        <v>72</v>
      </c>
      <c r="CC86" s="14" t="s">
        <v>2048</v>
      </c>
      <c r="CD86" s="14" t="s">
        <v>2048</v>
      </c>
      <c r="CE86" s="14" t="s">
        <v>2048</v>
      </c>
      <c r="CF86" s="14" t="s">
        <v>2048</v>
      </c>
      <c r="CG86" s="14" t="s">
        <v>2048</v>
      </c>
      <c r="CH86" s="14" t="s">
        <v>2048</v>
      </c>
      <c r="CI86" s="14" t="s">
        <v>2048</v>
      </c>
      <c r="CJ86" s="14" t="s">
        <v>2048</v>
      </c>
      <c r="CK86" s="14" t="s">
        <v>2068</v>
      </c>
      <c r="CL86" s="14" t="s">
        <v>2069</v>
      </c>
      <c r="CM86" s="14" t="s">
        <v>2048</v>
      </c>
      <c r="CN86" s="17"/>
      <c r="CO86" s="17">
        <v>45202</v>
      </c>
      <c r="CP86" s="17">
        <v>45202</v>
      </c>
      <c r="CR86" s="17">
        <v>45383</v>
      </c>
      <c r="CS86" s="19">
        <v>1</v>
      </c>
      <c r="CT86" s="19">
        <v>0</v>
      </c>
      <c r="CU86" s="19">
        <v>348</v>
      </c>
      <c r="CV86" s="19">
        <v>0</v>
      </c>
      <c r="CW86" s="19">
        <v>348</v>
      </c>
      <c r="CX86" s="19">
        <v>421.08</v>
      </c>
      <c r="CY86" s="19">
        <v>0</v>
      </c>
      <c r="CZ86" s="17"/>
      <c r="DA86" s="19">
        <v>0</v>
      </c>
      <c r="DB86" s="17"/>
      <c r="DC86" s="17"/>
      <c r="DD86" s="19">
        <v>0</v>
      </c>
      <c r="DE86" s="17"/>
      <c r="DF86" s="17"/>
      <c r="DG86" s="19">
        <v>100</v>
      </c>
      <c r="DH86" s="17"/>
      <c r="DI86" s="17">
        <v>45322</v>
      </c>
      <c r="DJ86" s="17"/>
      <c r="DK86" s="17"/>
      <c r="DL86" s="19">
        <v>0</v>
      </c>
      <c r="DM86" s="19">
        <v>0</v>
      </c>
    </row>
    <row r="87" spans="1:117" x14ac:dyDescent="0.2">
      <c r="A87" s="14" t="s">
        <v>3610</v>
      </c>
      <c r="B87" s="14" t="s">
        <v>878</v>
      </c>
      <c r="C87" s="14" t="s">
        <v>73</v>
      </c>
      <c r="D87" s="14" t="s">
        <v>74</v>
      </c>
      <c r="E87" s="14" t="s">
        <v>75</v>
      </c>
      <c r="F87" s="14" t="s">
        <v>76</v>
      </c>
      <c r="G87" s="17">
        <v>45261</v>
      </c>
      <c r="H87" s="14" t="s">
        <v>77</v>
      </c>
      <c r="I87" s="14" t="s">
        <v>71</v>
      </c>
      <c r="J87" s="14" t="s">
        <v>79</v>
      </c>
      <c r="K87" s="14" t="s">
        <v>879</v>
      </c>
      <c r="L87" s="14" t="s">
        <v>336</v>
      </c>
      <c r="M87" s="14" t="s">
        <v>337</v>
      </c>
      <c r="N87" s="16">
        <f>COUNTIF($M$3:M87, M87)</f>
        <v>4</v>
      </c>
      <c r="O87" s="16" t="str" cm="1">
        <f t="array" ref="O87">INDEX('[2]ALTA 20242025'!$B$2:$B$241, MATCH(1, ('[2]ALTA 20242025'!$I$2:$I$241=M87)*('[2]ALTA 20242025'!$J$2:$J$241=N87), 0))</f>
        <v>1165MSX</v>
      </c>
      <c r="P87" s="16"/>
      <c r="Q87" s="16"/>
      <c r="R87" s="14" t="s">
        <v>2048</v>
      </c>
      <c r="S87" s="14" t="s">
        <v>2048</v>
      </c>
      <c r="T87" s="14" t="s">
        <v>2048</v>
      </c>
      <c r="U87" s="14" t="s">
        <v>2048</v>
      </c>
      <c r="V87" s="14" t="s">
        <v>4022</v>
      </c>
      <c r="W87" s="14" t="s">
        <v>3972</v>
      </c>
      <c r="X87" s="14" t="s">
        <v>4023</v>
      </c>
      <c r="Y87" s="14" t="s">
        <v>4024</v>
      </c>
      <c r="Z87" s="14" t="s">
        <v>2048</v>
      </c>
      <c r="AA87" s="14" t="s">
        <v>2422</v>
      </c>
      <c r="AB87" s="14" t="s">
        <v>2049</v>
      </c>
      <c r="AC87" s="14" t="s">
        <v>2050</v>
      </c>
      <c r="AD87" s="14" t="s">
        <v>2048</v>
      </c>
      <c r="AE87" s="14" t="s">
        <v>2048</v>
      </c>
      <c r="AF87" s="14" t="s">
        <v>2048</v>
      </c>
      <c r="AG87" s="14" t="s">
        <v>200</v>
      </c>
      <c r="AH87" s="14" t="s">
        <v>3622</v>
      </c>
      <c r="AI87" s="14" t="s">
        <v>2129</v>
      </c>
      <c r="AJ87" s="14" t="s">
        <v>2130</v>
      </c>
      <c r="AK87" s="14" t="s">
        <v>2055</v>
      </c>
      <c r="AL87" s="14" t="s">
        <v>2055</v>
      </c>
      <c r="AM87" s="14" t="s">
        <v>2055</v>
      </c>
      <c r="AN87" s="14" t="s">
        <v>3714</v>
      </c>
      <c r="AO87" s="14" t="s">
        <v>2048</v>
      </c>
      <c r="AP87" s="14" t="s">
        <v>2048</v>
      </c>
      <c r="AQ87" s="14" t="s">
        <v>2048</v>
      </c>
      <c r="AR87" s="14" t="s">
        <v>2048</v>
      </c>
      <c r="AS87" s="14" t="s">
        <v>3776</v>
      </c>
      <c r="AT87" s="14" t="s">
        <v>2862</v>
      </c>
      <c r="AU87" s="14" t="s">
        <v>2059</v>
      </c>
      <c r="AV87" s="14" t="s">
        <v>4025</v>
      </c>
      <c r="AW87" s="14" t="s">
        <v>4026</v>
      </c>
      <c r="AX87" s="14" t="s">
        <v>2048</v>
      </c>
      <c r="AY87" s="14" t="s">
        <v>3976</v>
      </c>
      <c r="AZ87" s="14" t="s">
        <v>3977</v>
      </c>
      <c r="BA87" s="14" t="s">
        <v>2048</v>
      </c>
      <c r="BB87" s="14" t="s">
        <v>2048</v>
      </c>
      <c r="BC87" s="14" t="s">
        <v>336</v>
      </c>
      <c r="BD87" s="14" t="s">
        <v>880</v>
      </c>
      <c r="BE87" s="14" t="s">
        <v>3980</v>
      </c>
      <c r="BF87" s="14" t="s">
        <v>2048</v>
      </c>
      <c r="BG87" s="14" t="s">
        <v>2048</v>
      </c>
      <c r="BH87" s="14" t="s">
        <v>2379</v>
      </c>
      <c r="BI87" s="14" t="s">
        <v>2622</v>
      </c>
      <c r="BJ87" s="14" t="s">
        <v>3174</v>
      </c>
      <c r="BK87" s="14" t="s">
        <v>3771</v>
      </c>
      <c r="BL87" s="14" t="s">
        <v>3772</v>
      </c>
      <c r="BM87" s="14" t="s">
        <v>2382</v>
      </c>
      <c r="BN87" s="14" t="s">
        <v>2048</v>
      </c>
      <c r="BO87" s="14" t="s">
        <v>2048</v>
      </c>
      <c r="BP87" s="14" t="s">
        <v>2064</v>
      </c>
      <c r="BQ87" s="14" t="s">
        <v>72</v>
      </c>
      <c r="BR87" s="14" t="s">
        <v>72</v>
      </c>
      <c r="BS87" s="14" t="s">
        <v>2048</v>
      </c>
      <c r="BT87" s="14" t="s">
        <v>2726</v>
      </c>
      <c r="BU87" s="14" t="s">
        <v>2720</v>
      </c>
      <c r="BV87" s="14" t="s">
        <v>2331</v>
      </c>
      <c r="BW87" s="14" t="s">
        <v>2131</v>
      </c>
      <c r="BX87" s="14" t="s">
        <v>2048</v>
      </c>
      <c r="BY87" s="14" t="s">
        <v>2048</v>
      </c>
      <c r="BZ87" s="14" t="s">
        <v>2048</v>
      </c>
      <c r="CA87" s="14" t="s">
        <v>2048</v>
      </c>
      <c r="CB87" s="14" t="s">
        <v>72</v>
      </c>
      <c r="CC87" s="14" t="s">
        <v>2048</v>
      </c>
      <c r="CD87" s="14" t="s">
        <v>2048</v>
      </c>
      <c r="CE87" s="14" t="s">
        <v>2048</v>
      </c>
      <c r="CF87" s="14" t="s">
        <v>2048</v>
      </c>
      <c r="CG87" s="14" t="s">
        <v>2048</v>
      </c>
      <c r="CH87" s="14" t="s">
        <v>2048</v>
      </c>
      <c r="CI87" s="14" t="s">
        <v>2048</v>
      </c>
      <c r="CJ87" s="14" t="s">
        <v>2048</v>
      </c>
      <c r="CK87" s="14" t="s">
        <v>2068</v>
      </c>
      <c r="CL87" s="14" t="s">
        <v>2069</v>
      </c>
      <c r="CM87" s="14" t="s">
        <v>2048</v>
      </c>
      <c r="CN87" s="17"/>
      <c r="CO87" s="17">
        <v>44452</v>
      </c>
      <c r="CP87" s="17">
        <v>44452</v>
      </c>
      <c r="CR87" s="17">
        <v>45261</v>
      </c>
      <c r="CS87" s="19">
        <v>0</v>
      </c>
      <c r="CT87" s="19">
        <v>0</v>
      </c>
      <c r="CU87" s="19">
        <v>322.88</v>
      </c>
      <c r="CV87" s="19">
        <v>0</v>
      </c>
      <c r="CW87" s="19">
        <v>322.88</v>
      </c>
      <c r="CX87" s="19">
        <v>390.68</v>
      </c>
      <c r="CY87" s="19">
        <v>0</v>
      </c>
      <c r="CZ87" s="17"/>
      <c r="DA87" s="19">
        <v>0</v>
      </c>
      <c r="DB87" s="17"/>
      <c r="DC87" s="17"/>
      <c r="DD87" s="19">
        <v>0</v>
      </c>
      <c r="DE87" s="17"/>
      <c r="DF87" s="17"/>
      <c r="DG87" s="19">
        <v>100</v>
      </c>
      <c r="DH87" s="17"/>
      <c r="DI87" s="17">
        <v>45291</v>
      </c>
      <c r="DJ87" s="17"/>
      <c r="DK87" s="17"/>
      <c r="DL87" s="19">
        <v>0</v>
      </c>
      <c r="DM87" s="19">
        <v>0</v>
      </c>
    </row>
    <row r="88" spans="1:117" x14ac:dyDescent="0.2">
      <c r="A88" s="14" t="s">
        <v>3610</v>
      </c>
      <c r="B88" s="14" t="s">
        <v>433</v>
      </c>
      <c r="C88" s="14" t="s">
        <v>73</v>
      </c>
      <c r="D88" s="14" t="s">
        <v>74</v>
      </c>
      <c r="E88" s="14" t="s">
        <v>75</v>
      </c>
      <c r="F88" s="14" t="s">
        <v>76</v>
      </c>
      <c r="G88" s="17">
        <v>45278</v>
      </c>
      <c r="H88" s="14" t="s">
        <v>77</v>
      </c>
      <c r="I88" s="14" t="s">
        <v>78</v>
      </c>
      <c r="J88" s="14" t="s">
        <v>85</v>
      </c>
      <c r="K88" s="14" t="s">
        <v>434</v>
      </c>
      <c r="L88" s="14" t="s">
        <v>102</v>
      </c>
      <c r="M88" s="14" t="s">
        <v>103</v>
      </c>
      <c r="N88" s="16">
        <f>COUNTIF($M$3:M88, M88)</f>
        <v>19</v>
      </c>
      <c r="O88" s="16" t="str" cm="1">
        <f t="array" ref="O88">INDEX('[2]ALTA 20242025'!$B$2:$B$241, MATCH(1, ('[2]ALTA 20242025'!$I$2:$I$241=M88)*('[2]ALTA 20242025'!$J$2:$J$241=N88), 0))</f>
        <v>1256MJM</v>
      </c>
      <c r="P88" s="16"/>
      <c r="Q88" s="16"/>
      <c r="R88" s="14" t="s">
        <v>2048</v>
      </c>
      <c r="S88" s="14" t="s">
        <v>2048</v>
      </c>
      <c r="T88" s="14" t="s">
        <v>2048</v>
      </c>
      <c r="U88" s="14" t="s">
        <v>2048</v>
      </c>
      <c r="V88" s="14" t="s">
        <v>3992</v>
      </c>
      <c r="W88" s="14" t="s">
        <v>3993</v>
      </c>
      <c r="X88" s="14" t="s">
        <v>4027</v>
      </c>
      <c r="Y88" s="14" t="s">
        <v>4028</v>
      </c>
      <c r="Z88" s="14" t="s">
        <v>2048</v>
      </c>
      <c r="AA88" s="14" t="s">
        <v>2422</v>
      </c>
      <c r="AB88" s="14" t="s">
        <v>2049</v>
      </c>
      <c r="AC88" s="14" t="s">
        <v>2050</v>
      </c>
      <c r="AD88" s="14" t="s">
        <v>2048</v>
      </c>
      <c r="AE88" s="14" t="s">
        <v>2048</v>
      </c>
      <c r="AF88" s="14" t="s">
        <v>2048</v>
      </c>
      <c r="AG88" s="14" t="s">
        <v>2048</v>
      </c>
      <c r="AH88" s="14" t="s">
        <v>2048</v>
      </c>
      <c r="AI88" s="14" t="s">
        <v>2129</v>
      </c>
      <c r="AJ88" s="14" t="s">
        <v>2130</v>
      </c>
      <c r="AK88" s="14" t="s">
        <v>2055</v>
      </c>
      <c r="AL88" s="14" t="s">
        <v>2055</v>
      </c>
      <c r="AM88" s="14" t="s">
        <v>2055</v>
      </c>
      <c r="AN88" s="14" t="s">
        <v>2068</v>
      </c>
      <c r="AO88" s="14" t="s">
        <v>2048</v>
      </c>
      <c r="AP88" s="14" t="s">
        <v>2048</v>
      </c>
      <c r="AQ88" s="14" t="s">
        <v>2048</v>
      </c>
      <c r="AR88" s="14" t="s">
        <v>3996</v>
      </c>
      <c r="AS88" s="14" t="s">
        <v>108</v>
      </c>
      <c r="AT88" s="14" t="s">
        <v>3472</v>
      </c>
      <c r="AU88" s="14" t="s">
        <v>2059</v>
      </c>
      <c r="AV88" s="14" t="s">
        <v>2060</v>
      </c>
      <c r="AW88" s="14" t="s">
        <v>2048</v>
      </c>
      <c r="AX88" s="14" t="s">
        <v>72</v>
      </c>
      <c r="AY88" s="14" t="s">
        <v>3569</v>
      </c>
      <c r="AZ88" s="14" t="s">
        <v>3570</v>
      </c>
      <c r="BA88" s="14" t="s">
        <v>2048</v>
      </c>
      <c r="BB88" s="14" t="s">
        <v>2048</v>
      </c>
      <c r="BC88" s="14" t="s">
        <v>102</v>
      </c>
      <c r="BD88" s="14" t="s">
        <v>104</v>
      </c>
      <c r="BE88" s="14" t="s">
        <v>3571</v>
      </c>
      <c r="BF88" s="14" t="s">
        <v>2048</v>
      </c>
      <c r="BG88" s="14" t="s">
        <v>2048</v>
      </c>
      <c r="BH88" s="14" t="s">
        <v>2282</v>
      </c>
      <c r="BI88" s="14" t="s">
        <v>2782</v>
      </c>
      <c r="BJ88" s="14" t="s">
        <v>2783</v>
      </c>
      <c r="BK88" s="14" t="s">
        <v>2784</v>
      </c>
      <c r="BL88" s="14" t="s">
        <v>3572</v>
      </c>
      <c r="BM88" s="14" t="s">
        <v>2287</v>
      </c>
      <c r="BN88" s="14" t="s">
        <v>2048</v>
      </c>
      <c r="BO88" s="14" t="s">
        <v>2048</v>
      </c>
      <c r="BP88" s="14" t="s">
        <v>2064</v>
      </c>
      <c r="BQ88" s="14" t="s">
        <v>72</v>
      </c>
      <c r="BR88" s="14" t="s">
        <v>72</v>
      </c>
      <c r="BS88" s="14" t="s">
        <v>2048</v>
      </c>
      <c r="BT88" s="14" t="s">
        <v>2048</v>
      </c>
      <c r="BU88" s="14" t="s">
        <v>2048</v>
      </c>
      <c r="BV88" s="14" t="s">
        <v>2331</v>
      </c>
      <c r="BW88" s="14" t="s">
        <v>2131</v>
      </c>
      <c r="BX88" s="14" t="s">
        <v>2048</v>
      </c>
      <c r="BY88" s="14" t="s">
        <v>2048</v>
      </c>
      <c r="BZ88" s="14" t="s">
        <v>2048</v>
      </c>
      <c r="CA88" s="14" t="s">
        <v>2048</v>
      </c>
      <c r="CB88" s="14" t="s">
        <v>72</v>
      </c>
      <c r="CC88" s="14" t="s">
        <v>2048</v>
      </c>
      <c r="CD88" s="14" t="s">
        <v>2048</v>
      </c>
      <c r="CE88" s="14" t="s">
        <v>2048</v>
      </c>
      <c r="CF88" s="14" t="s">
        <v>2048</v>
      </c>
      <c r="CG88" s="14" t="s">
        <v>2048</v>
      </c>
      <c r="CH88" s="14" t="s">
        <v>2048</v>
      </c>
      <c r="CI88" s="14" t="s">
        <v>2048</v>
      </c>
      <c r="CJ88" s="14" t="s">
        <v>2048</v>
      </c>
      <c r="CK88" s="14" t="s">
        <v>2068</v>
      </c>
      <c r="CL88" s="14" t="s">
        <v>2069</v>
      </c>
      <c r="CM88" s="14" t="s">
        <v>2048</v>
      </c>
      <c r="CN88" s="17"/>
      <c r="CO88" s="17">
        <v>45202</v>
      </c>
      <c r="CP88" s="17">
        <v>45202</v>
      </c>
      <c r="CR88" s="17">
        <v>45278</v>
      </c>
      <c r="CS88" s="19">
        <v>3</v>
      </c>
      <c r="CT88" s="19">
        <v>0</v>
      </c>
      <c r="CU88" s="19">
        <v>377.5</v>
      </c>
      <c r="CV88" s="19">
        <v>0</v>
      </c>
      <c r="CW88" s="19">
        <v>377.5</v>
      </c>
      <c r="CX88" s="19">
        <v>456.78</v>
      </c>
      <c r="CY88" s="19">
        <v>0</v>
      </c>
      <c r="CZ88" s="17"/>
      <c r="DA88" s="19">
        <v>0</v>
      </c>
      <c r="DB88" s="17"/>
      <c r="DC88" s="17"/>
      <c r="DD88" s="19">
        <v>0</v>
      </c>
      <c r="DE88" s="17"/>
      <c r="DF88" s="17"/>
      <c r="DG88" s="19">
        <v>100</v>
      </c>
      <c r="DH88" s="17"/>
      <c r="DI88" s="17">
        <v>45657</v>
      </c>
      <c r="DJ88" s="17"/>
      <c r="DK88" s="17"/>
      <c r="DL88" s="19">
        <v>0</v>
      </c>
      <c r="DM88" s="19">
        <v>0</v>
      </c>
    </row>
    <row r="89" spans="1:117" x14ac:dyDescent="0.2">
      <c r="A89" s="14" t="s">
        <v>3610</v>
      </c>
      <c r="B89" s="14" t="s">
        <v>1402</v>
      </c>
      <c r="C89" s="14" t="s">
        <v>158</v>
      </c>
      <c r="D89" s="14" t="s">
        <v>159</v>
      </c>
      <c r="E89" s="14" t="s">
        <v>158</v>
      </c>
      <c r="F89" s="14" t="s">
        <v>171</v>
      </c>
      <c r="G89" s="17">
        <v>45279</v>
      </c>
      <c r="H89" s="14" t="s">
        <v>172</v>
      </c>
      <c r="I89" s="14" t="s">
        <v>78</v>
      </c>
      <c r="J89" s="14" t="s">
        <v>1338</v>
      </c>
      <c r="K89" s="14" t="s">
        <v>1338</v>
      </c>
      <c r="L89" s="14" t="s">
        <v>131</v>
      </c>
      <c r="M89" s="14" t="s">
        <v>132</v>
      </c>
      <c r="N89" s="16">
        <f>COUNTIF($M$3:M89, M89)</f>
        <v>10</v>
      </c>
      <c r="O89" s="16" t="str" cm="1">
        <f t="array" ref="O89">INDEX('[2]ALTA 20242025'!$B$2:$B$241, MATCH(1, ('[2]ALTA 20242025'!$I$2:$I$241=M89)*('[2]ALTA 20242025'!$J$2:$J$241=N89), 0))</f>
        <v>8628MWT</v>
      </c>
      <c r="P89" s="16"/>
      <c r="Q89" s="16"/>
      <c r="R89" s="14" t="s">
        <v>2048</v>
      </c>
      <c r="S89" s="14" t="s">
        <v>2048</v>
      </c>
      <c r="T89" s="14" t="s">
        <v>2048</v>
      </c>
      <c r="U89" s="14" t="s">
        <v>2048</v>
      </c>
      <c r="V89" s="14" t="s">
        <v>72</v>
      </c>
      <c r="W89" s="14" t="s">
        <v>72</v>
      </c>
      <c r="X89" s="14" t="s">
        <v>72</v>
      </c>
      <c r="Y89" s="14" t="s">
        <v>2048</v>
      </c>
      <c r="Z89" s="14" t="s">
        <v>2048</v>
      </c>
      <c r="AA89" s="14" t="s">
        <v>2422</v>
      </c>
      <c r="AB89" s="14" t="s">
        <v>2049</v>
      </c>
      <c r="AC89" s="14" t="s">
        <v>2050</v>
      </c>
      <c r="AD89" s="14" t="s">
        <v>2048</v>
      </c>
      <c r="AE89" s="14" t="s">
        <v>2048</v>
      </c>
      <c r="AF89" s="14" t="s">
        <v>2048</v>
      </c>
      <c r="AG89" s="14" t="s">
        <v>2048</v>
      </c>
      <c r="AH89" s="14" t="s">
        <v>2048</v>
      </c>
      <c r="AI89" s="14" t="s">
        <v>2129</v>
      </c>
      <c r="AJ89" s="14" t="s">
        <v>2130</v>
      </c>
      <c r="AK89" s="14" t="s">
        <v>2055</v>
      </c>
      <c r="AL89" s="14" t="s">
        <v>2055</v>
      </c>
      <c r="AM89" s="14" t="s">
        <v>2055</v>
      </c>
      <c r="AN89" s="14" t="s">
        <v>2068</v>
      </c>
      <c r="AO89" s="14" t="s">
        <v>2048</v>
      </c>
      <c r="AP89" s="14" t="s">
        <v>2048</v>
      </c>
      <c r="AQ89" s="14" t="s">
        <v>2048</v>
      </c>
      <c r="AR89" s="14" t="s">
        <v>2048</v>
      </c>
      <c r="AS89" s="14" t="s">
        <v>2048</v>
      </c>
      <c r="AT89" s="14" t="s">
        <v>2048</v>
      </c>
      <c r="AU89" s="14" t="s">
        <v>2048</v>
      </c>
      <c r="AV89" s="14" t="s">
        <v>4029</v>
      </c>
      <c r="AW89" s="14" t="s">
        <v>4030</v>
      </c>
      <c r="AX89" s="14" t="s">
        <v>72</v>
      </c>
      <c r="AY89" s="14" t="s">
        <v>2448</v>
      </c>
      <c r="AZ89" s="14" t="s">
        <v>2449</v>
      </c>
      <c r="BA89" s="14" t="s">
        <v>2048</v>
      </c>
      <c r="BB89" s="14" t="s">
        <v>2048</v>
      </c>
      <c r="BC89" s="14" t="s">
        <v>131</v>
      </c>
      <c r="BD89" s="14" t="s">
        <v>1403</v>
      </c>
      <c r="BE89" s="14" t="s">
        <v>4031</v>
      </c>
      <c r="BF89" s="14" t="s">
        <v>2048</v>
      </c>
      <c r="BG89" s="14" t="s">
        <v>72</v>
      </c>
      <c r="BH89" s="14" t="s">
        <v>2048</v>
      </c>
      <c r="BI89" s="14" t="s">
        <v>2048</v>
      </c>
      <c r="BJ89" s="14" t="s">
        <v>2452</v>
      </c>
      <c r="BK89" s="14" t="s">
        <v>2453</v>
      </c>
      <c r="BL89" s="14" t="s">
        <v>2454</v>
      </c>
      <c r="BM89" s="14" t="s">
        <v>2455</v>
      </c>
      <c r="BN89" s="14" t="s">
        <v>2048</v>
      </c>
      <c r="BO89" s="14" t="s">
        <v>2048</v>
      </c>
      <c r="BP89" s="14" t="s">
        <v>2064</v>
      </c>
      <c r="BQ89" s="14" t="s">
        <v>72</v>
      </c>
      <c r="BR89" s="14" t="s">
        <v>72</v>
      </c>
      <c r="BS89" s="14" t="s">
        <v>2048</v>
      </c>
      <c r="BT89" s="14" t="s">
        <v>4032</v>
      </c>
      <c r="BU89" s="14" t="s">
        <v>4033</v>
      </c>
      <c r="BV89" s="14" t="s">
        <v>2066</v>
      </c>
      <c r="BW89" s="14" t="s">
        <v>2067</v>
      </c>
      <c r="BX89" s="14" t="s">
        <v>2048</v>
      </c>
      <c r="BY89" s="14" t="s">
        <v>2048</v>
      </c>
      <c r="BZ89" s="14" t="s">
        <v>2048</v>
      </c>
      <c r="CA89" s="14" t="s">
        <v>2048</v>
      </c>
      <c r="CB89" s="14" t="s">
        <v>2048</v>
      </c>
      <c r="CC89" s="14" t="s">
        <v>2048</v>
      </c>
      <c r="CD89" s="14" t="s">
        <v>2048</v>
      </c>
      <c r="CE89" s="14" t="s">
        <v>2048</v>
      </c>
      <c r="CF89" s="14" t="s">
        <v>2048</v>
      </c>
      <c r="CG89" s="14" t="s">
        <v>2048</v>
      </c>
      <c r="CH89" s="14" t="s">
        <v>2048</v>
      </c>
      <c r="CI89" s="14" t="s">
        <v>2048</v>
      </c>
      <c r="CJ89" s="14" t="s">
        <v>2048</v>
      </c>
      <c r="CK89" s="14" t="s">
        <v>3774</v>
      </c>
      <c r="CL89" s="14" t="s">
        <v>413</v>
      </c>
      <c r="CM89" s="14" t="s">
        <v>2048</v>
      </c>
      <c r="CN89" s="17"/>
      <c r="CO89" s="17">
        <v>44136</v>
      </c>
      <c r="CP89" s="17">
        <v>44136</v>
      </c>
      <c r="CR89" s="17">
        <v>45279</v>
      </c>
      <c r="CS89" s="19">
        <v>0</v>
      </c>
      <c r="CT89" s="19">
        <v>0</v>
      </c>
      <c r="CU89" s="19">
        <v>0</v>
      </c>
      <c r="CV89" s="19">
        <v>0</v>
      </c>
      <c r="CW89" s="19">
        <v>0</v>
      </c>
      <c r="CX89" s="19">
        <v>0</v>
      </c>
      <c r="CY89" s="19">
        <v>0</v>
      </c>
      <c r="CZ89" s="17"/>
      <c r="DA89" s="19">
        <v>0</v>
      </c>
      <c r="DB89" s="17"/>
      <c r="DC89" s="17"/>
      <c r="DD89" s="19">
        <v>0</v>
      </c>
      <c r="DE89" s="17"/>
      <c r="DF89" s="17"/>
      <c r="DG89" s="19">
        <v>100</v>
      </c>
      <c r="DH89" s="17"/>
      <c r="DI89" s="17">
        <v>2958465</v>
      </c>
      <c r="DJ89" s="17"/>
      <c r="DK89" s="17"/>
      <c r="DL89" s="19">
        <v>0</v>
      </c>
      <c r="DM89" s="19">
        <v>0</v>
      </c>
    </row>
    <row r="90" spans="1:117" x14ac:dyDescent="0.2">
      <c r="A90" s="14" t="s">
        <v>3610</v>
      </c>
      <c r="B90" s="14" t="s">
        <v>768</v>
      </c>
      <c r="C90" s="14" t="s">
        <v>73</v>
      </c>
      <c r="D90" s="14" t="s">
        <v>200</v>
      </c>
      <c r="E90" s="14" t="s">
        <v>201</v>
      </c>
      <c r="F90" s="14" t="s">
        <v>76</v>
      </c>
      <c r="G90" s="17">
        <v>45280</v>
      </c>
      <c r="H90" s="14" t="s">
        <v>77</v>
      </c>
      <c r="I90" s="14" t="s">
        <v>78</v>
      </c>
      <c r="J90" s="14" t="s">
        <v>359</v>
      </c>
      <c r="K90" s="14" t="s">
        <v>769</v>
      </c>
      <c r="L90" s="14" t="s">
        <v>119</v>
      </c>
      <c r="M90" s="14" t="s">
        <v>120</v>
      </c>
      <c r="N90" s="16">
        <f>COUNTIF($M$3:M90, M90)</f>
        <v>6</v>
      </c>
      <c r="O90" s="16" t="str" cm="1">
        <f t="array" ref="O90">INDEX('[2]ALTA 20242025'!$B$2:$B$241, MATCH(1, ('[2]ALTA 20242025'!$I$2:$I$241=M90)*('[2]ALTA 20242025'!$J$2:$J$241=N90), 0))</f>
        <v>2732MWP</v>
      </c>
      <c r="P90" s="16"/>
      <c r="Q90" s="16"/>
      <c r="R90" s="14" t="s">
        <v>2048</v>
      </c>
      <c r="S90" s="14" t="s">
        <v>2048</v>
      </c>
      <c r="T90" s="14" t="s">
        <v>2048</v>
      </c>
      <c r="U90" s="14" t="s">
        <v>2048</v>
      </c>
      <c r="V90" s="14" t="s">
        <v>3831</v>
      </c>
      <c r="W90" s="14" t="s">
        <v>4034</v>
      </c>
      <c r="X90" s="14" t="s">
        <v>4010</v>
      </c>
      <c r="Y90" s="14" t="s">
        <v>4035</v>
      </c>
      <c r="Z90" s="14" t="s">
        <v>2048</v>
      </c>
      <c r="AA90" s="14" t="s">
        <v>2422</v>
      </c>
      <c r="AB90" s="14" t="s">
        <v>2049</v>
      </c>
      <c r="AC90" s="14" t="s">
        <v>2050</v>
      </c>
      <c r="AD90" s="14" t="s">
        <v>3820</v>
      </c>
      <c r="AE90" s="14" t="s">
        <v>3613</v>
      </c>
      <c r="AF90" s="14" t="s">
        <v>3614</v>
      </c>
      <c r="AG90" s="14" t="s">
        <v>2048</v>
      </c>
      <c r="AH90" s="14" t="s">
        <v>2048</v>
      </c>
      <c r="AI90" s="14" t="s">
        <v>3472</v>
      </c>
      <c r="AJ90" s="14" t="s">
        <v>3821</v>
      </c>
      <c r="AK90" s="14" t="s">
        <v>2055</v>
      </c>
      <c r="AL90" s="14" t="s">
        <v>2055</v>
      </c>
      <c r="AM90" s="14" t="s">
        <v>2055</v>
      </c>
      <c r="AN90" s="14" t="s">
        <v>2068</v>
      </c>
      <c r="AO90" s="14" t="s">
        <v>2048</v>
      </c>
      <c r="AP90" s="14" t="s">
        <v>2048</v>
      </c>
      <c r="AQ90" s="14" t="s">
        <v>2048</v>
      </c>
      <c r="AR90" s="14" t="s">
        <v>2048</v>
      </c>
      <c r="AS90" s="14" t="s">
        <v>3615</v>
      </c>
      <c r="AT90" s="14" t="s">
        <v>2135</v>
      </c>
      <c r="AU90" s="14" t="s">
        <v>4036</v>
      </c>
      <c r="AV90" s="14" t="s">
        <v>4037</v>
      </c>
      <c r="AW90" s="14" t="s">
        <v>4038</v>
      </c>
      <c r="AX90" s="14" t="s">
        <v>2048</v>
      </c>
      <c r="AY90" s="14" t="s">
        <v>4037</v>
      </c>
      <c r="AZ90" s="14" t="s">
        <v>4038</v>
      </c>
      <c r="BA90" s="14" t="s">
        <v>3851</v>
      </c>
      <c r="BB90" s="14" t="s">
        <v>2048</v>
      </c>
      <c r="BC90" s="14" t="s">
        <v>119</v>
      </c>
      <c r="BD90" s="14" t="s">
        <v>770</v>
      </c>
      <c r="BE90" s="14" t="s">
        <v>4039</v>
      </c>
      <c r="BF90" s="14" t="s">
        <v>2048</v>
      </c>
      <c r="BG90" s="14" t="s">
        <v>2048</v>
      </c>
      <c r="BH90" s="14" t="s">
        <v>2433</v>
      </c>
      <c r="BI90" s="14" t="s">
        <v>2434</v>
      </c>
      <c r="BJ90" s="14" t="s">
        <v>3018</v>
      </c>
      <c r="BK90" s="14" t="s">
        <v>3019</v>
      </c>
      <c r="BL90" s="14" t="s">
        <v>4040</v>
      </c>
      <c r="BM90" s="14" t="s">
        <v>2287</v>
      </c>
      <c r="BN90" s="14" t="s">
        <v>2048</v>
      </c>
      <c r="BO90" s="14" t="s">
        <v>2048</v>
      </c>
      <c r="BP90" s="14" t="s">
        <v>2064</v>
      </c>
      <c r="BQ90" s="14" t="s">
        <v>72</v>
      </c>
      <c r="BR90" s="14" t="s">
        <v>72</v>
      </c>
      <c r="BS90" s="14" t="s">
        <v>2048</v>
      </c>
      <c r="BT90" s="14" t="s">
        <v>4041</v>
      </c>
      <c r="BU90" s="14" t="s">
        <v>4042</v>
      </c>
      <c r="BV90" s="14" t="s">
        <v>2331</v>
      </c>
      <c r="BW90" s="14" t="s">
        <v>2131</v>
      </c>
      <c r="BX90" s="14" t="s">
        <v>72</v>
      </c>
      <c r="BY90" s="14" t="s">
        <v>2048</v>
      </c>
      <c r="BZ90" s="14" t="s">
        <v>2048</v>
      </c>
      <c r="CA90" s="14" t="s">
        <v>2048</v>
      </c>
      <c r="CB90" s="14" t="s">
        <v>72</v>
      </c>
      <c r="CC90" s="14" t="s">
        <v>2048</v>
      </c>
      <c r="CD90" s="14" t="s">
        <v>72</v>
      </c>
      <c r="CE90" s="14" t="s">
        <v>2048</v>
      </c>
      <c r="CF90" s="14" t="s">
        <v>2048</v>
      </c>
      <c r="CG90" s="14" t="s">
        <v>2048</v>
      </c>
      <c r="CH90" s="14" t="s">
        <v>2048</v>
      </c>
      <c r="CI90" s="14" t="s">
        <v>2048</v>
      </c>
      <c r="CJ90" s="14" t="s">
        <v>2048</v>
      </c>
      <c r="CK90" s="14" t="s">
        <v>3603</v>
      </c>
      <c r="CL90" s="14" t="s">
        <v>3604</v>
      </c>
      <c r="CM90" s="14" t="s">
        <v>2048</v>
      </c>
      <c r="CN90" s="17"/>
      <c r="CO90" s="17">
        <v>43819</v>
      </c>
      <c r="CP90" s="17">
        <v>43819</v>
      </c>
      <c r="CR90" s="17">
        <v>45371</v>
      </c>
      <c r="CS90" s="19">
        <v>48</v>
      </c>
      <c r="CT90" s="19">
        <v>0</v>
      </c>
      <c r="CU90" s="19">
        <v>388.97</v>
      </c>
      <c r="CV90" s="19">
        <v>0</v>
      </c>
      <c r="CW90" s="19">
        <v>388.97</v>
      </c>
      <c r="CX90" s="19">
        <v>470.65</v>
      </c>
      <c r="CY90" s="19">
        <v>0</v>
      </c>
      <c r="CZ90" s="17"/>
      <c r="DA90" s="20">
        <v>99719</v>
      </c>
      <c r="DB90" s="17">
        <v>45413</v>
      </c>
      <c r="DC90" s="17"/>
      <c r="DD90" s="19">
        <v>0</v>
      </c>
      <c r="DE90" s="17"/>
      <c r="DF90" s="17"/>
      <c r="DG90" s="19">
        <v>100</v>
      </c>
      <c r="DH90" s="17"/>
      <c r="DI90" s="17">
        <v>45657</v>
      </c>
      <c r="DJ90" s="17"/>
      <c r="DK90" s="17"/>
      <c r="DL90" s="19">
        <v>0</v>
      </c>
      <c r="DM90" s="19">
        <v>0</v>
      </c>
    </row>
    <row r="91" spans="1:117" x14ac:dyDescent="0.2">
      <c r="A91" s="14" t="s">
        <v>3610</v>
      </c>
      <c r="B91" s="14" t="s">
        <v>1253</v>
      </c>
      <c r="C91" s="14" t="s">
        <v>158</v>
      </c>
      <c r="D91" s="14" t="s">
        <v>159</v>
      </c>
      <c r="E91" s="14" t="s">
        <v>158</v>
      </c>
      <c r="F91" s="14" t="s">
        <v>171</v>
      </c>
      <c r="G91" s="17">
        <v>45427</v>
      </c>
      <c r="H91" s="14" t="s">
        <v>172</v>
      </c>
      <c r="I91" s="14" t="s">
        <v>71</v>
      </c>
      <c r="J91" s="14" t="s">
        <v>1254</v>
      </c>
      <c r="K91" s="14" t="s">
        <v>1255</v>
      </c>
      <c r="L91" s="14" t="s">
        <v>584</v>
      </c>
      <c r="M91" s="14" t="s">
        <v>585</v>
      </c>
      <c r="N91" s="16">
        <f>COUNTIF($M$3:M91, M91)</f>
        <v>4</v>
      </c>
      <c r="O91" s="16" t="e" cm="1">
        <f t="array" ref="O91">INDEX('[2]ALTA 20242025'!$B$2:$B$241, MATCH(1, ('[2]ALTA 20242025'!$I$2:$I$241=M91)*('[2]ALTA 20242025'!$J$2:$J$241=N91), 0))</f>
        <v>#N/A</v>
      </c>
      <c r="P91" s="16"/>
      <c r="Q91" s="16"/>
      <c r="R91" s="14" t="s">
        <v>2048</v>
      </c>
      <c r="S91" s="14" t="s">
        <v>2048</v>
      </c>
      <c r="T91" s="14" t="s">
        <v>2048</v>
      </c>
      <c r="U91" s="14" t="s">
        <v>2048</v>
      </c>
      <c r="V91" s="14" t="s">
        <v>3757</v>
      </c>
      <c r="W91" s="14" t="s">
        <v>2048</v>
      </c>
      <c r="X91" s="14" t="s">
        <v>2048</v>
      </c>
      <c r="Y91" s="14" t="s">
        <v>2048</v>
      </c>
      <c r="Z91" s="14" t="s">
        <v>2048</v>
      </c>
      <c r="AA91" s="14" t="s">
        <v>2422</v>
      </c>
      <c r="AB91" s="14" t="s">
        <v>2049</v>
      </c>
      <c r="AC91" s="14" t="s">
        <v>3678</v>
      </c>
      <c r="AD91" s="14" t="s">
        <v>2048</v>
      </c>
      <c r="AE91" s="14" t="s">
        <v>2048</v>
      </c>
      <c r="AF91" s="14" t="s">
        <v>2048</v>
      </c>
      <c r="AG91" s="14" t="s">
        <v>2048</v>
      </c>
      <c r="AH91" s="14" t="s">
        <v>2048</v>
      </c>
      <c r="AI91" s="14" t="s">
        <v>2129</v>
      </c>
      <c r="AJ91" s="14" t="s">
        <v>2130</v>
      </c>
      <c r="AK91" s="14" t="s">
        <v>2048</v>
      </c>
      <c r="AL91" s="14" t="s">
        <v>2048</v>
      </c>
      <c r="AM91" s="14" t="s">
        <v>2048</v>
      </c>
      <c r="AN91" s="14" t="s">
        <v>3714</v>
      </c>
      <c r="AO91" s="14" t="s">
        <v>2048</v>
      </c>
      <c r="AP91" s="14" t="s">
        <v>2048</v>
      </c>
      <c r="AQ91" s="14" t="s">
        <v>2048</v>
      </c>
      <c r="AR91" s="14" t="s">
        <v>4043</v>
      </c>
      <c r="AS91" s="14" t="s">
        <v>2048</v>
      </c>
      <c r="AT91" s="14" t="s">
        <v>2048</v>
      </c>
      <c r="AU91" s="14" t="s">
        <v>2048</v>
      </c>
      <c r="AV91" s="14" t="s">
        <v>2060</v>
      </c>
      <c r="AW91" s="14" t="s">
        <v>2048</v>
      </c>
      <c r="AX91" s="14" t="s">
        <v>2048</v>
      </c>
      <c r="AY91" s="14" t="s">
        <v>3823</v>
      </c>
      <c r="AZ91" s="14" t="s">
        <v>3824</v>
      </c>
      <c r="BA91" s="14" t="s">
        <v>2048</v>
      </c>
      <c r="BB91" s="14" t="s">
        <v>2048</v>
      </c>
      <c r="BC91" s="14" t="s">
        <v>584</v>
      </c>
      <c r="BD91" s="14" t="s">
        <v>1217</v>
      </c>
      <c r="BE91" s="14" t="s">
        <v>3825</v>
      </c>
      <c r="BF91" s="14" t="s">
        <v>2048</v>
      </c>
      <c r="BG91" s="14" t="s">
        <v>2048</v>
      </c>
      <c r="BH91" s="14" t="s">
        <v>2602</v>
      </c>
      <c r="BI91" s="14" t="s">
        <v>3752</v>
      </c>
      <c r="BJ91" s="14" t="s">
        <v>3826</v>
      </c>
      <c r="BK91" s="14" t="s">
        <v>3827</v>
      </c>
      <c r="BL91" s="14" t="s">
        <v>3828</v>
      </c>
      <c r="BM91" s="14" t="s">
        <v>2287</v>
      </c>
      <c r="BN91" s="14" t="s">
        <v>2048</v>
      </c>
      <c r="BO91" s="14" t="s">
        <v>2048</v>
      </c>
      <c r="BP91" s="14" t="s">
        <v>2064</v>
      </c>
      <c r="BQ91" s="14" t="s">
        <v>2048</v>
      </c>
      <c r="BR91" s="14" t="s">
        <v>2048</v>
      </c>
      <c r="BS91" s="14" t="s">
        <v>2048</v>
      </c>
      <c r="BT91" s="14" t="s">
        <v>2048</v>
      </c>
      <c r="BU91" s="14" t="s">
        <v>2048</v>
      </c>
      <c r="BV91" s="14" t="s">
        <v>2422</v>
      </c>
      <c r="BW91" s="14" t="s">
        <v>4044</v>
      </c>
      <c r="BX91" s="14" t="s">
        <v>2048</v>
      </c>
      <c r="BY91" s="14" t="s">
        <v>2048</v>
      </c>
      <c r="BZ91" s="14" t="s">
        <v>2048</v>
      </c>
      <c r="CA91" s="14" t="s">
        <v>2048</v>
      </c>
      <c r="CB91" s="14" t="s">
        <v>2048</v>
      </c>
      <c r="CC91" s="14" t="s">
        <v>2048</v>
      </c>
      <c r="CD91" s="14" t="s">
        <v>2048</v>
      </c>
      <c r="CE91" s="14" t="s">
        <v>2048</v>
      </c>
      <c r="CF91" s="14" t="s">
        <v>2048</v>
      </c>
      <c r="CG91" s="14" t="s">
        <v>2048</v>
      </c>
      <c r="CH91" s="14" t="s">
        <v>2048</v>
      </c>
      <c r="CI91" s="14" t="s">
        <v>2048</v>
      </c>
      <c r="CJ91" s="14" t="s">
        <v>2048</v>
      </c>
      <c r="CK91" s="14" t="s">
        <v>3193</v>
      </c>
      <c r="CL91" s="14" t="s">
        <v>3194</v>
      </c>
      <c r="CM91" s="14" t="s">
        <v>2048</v>
      </c>
      <c r="CN91" s="17"/>
      <c r="CO91" s="17">
        <v>37956</v>
      </c>
      <c r="CP91" s="17">
        <v>37956</v>
      </c>
      <c r="CR91" s="17">
        <v>45427</v>
      </c>
      <c r="CS91" s="19">
        <v>0</v>
      </c>
      <c r="CT91" s="19">
        <v>0</v>
      </c>
      <c r="CU91" s="19">
        <v>0</v>
      </c>
      <c r="CV91" s="19">
        <v>0</v>
      </c>
      <c r="CW91" s="19">
        <v>0</v>
      </c>
      <c r="CX91" s="19">
        <v>0</v>
      </c>
      <c r="CY91" s="19">
        <v>0</v>
      </c>
      <c r="CZ91" s="17"/>
      <c r="DA91" s="19">
        <v>0</v>
      </c>
      <c r="DB91" s="17"/>
      <c r="DC91" s="17"/>
      <c r="DD91" s="19">
        <v>0</v>
      </c>
      <c r="DE91" s="17"/>
      <c r="DF91" s="17"/>
      <c r="DG91" s="19">
        <v>100</v>
      </c>
      <c r="DH91" s="17"/>
      <c r="DI91" s="17">
        <v>401768</v>
      </c>
      <c r="DJ91" s="17"/>
      <c r="DK91" s="17"/>
      <c r="DL91" s="19">
        <v>0</v>
      </c>
      <c r="DM91" s="19">
        <v>0</v>
      </c>
    </row>
    <row r="92" spans="1:117" x14ac:dyDescent="0.2">
      <c r="A92" s="14" t="s">
        <v>3610</v>
      </c>
      <c r="B92" s="14" t="s">
        <v>781</v>
      </c>
      <c r="C92" s="14" t="s">
        <v>73</v>
      </c>
      <c r="D92" s="14" t="s">
        <v>200</v>
      </c>
      <c r="E92" s="14" t="s">
        <v>201</v>
      </c>
      <c r="F92" s="14" t="s">
        <v>76</v>
      </c>
      <c r="G92" s="17">
        <v>45287</v>
      </c>
      <c r="H92" s="14" t="s">
        <v>77</v>
      </c>
      <c r="I92" s="14" t="s">
        <v>78</v>
      </c>
      <c r="J92" s="14" t="s">
        <v>359</v>
      </c>
      <c r="K92" s="14" t="s">
        <v>769</v>
      </c>
      <c r="L92" s="14" t="s">
        <v>102</v>
      </c>
      <c r="M92" s="14" t="s">
        <v>103</v>
      </c>
      <c r="N92" s="16">
        <f>COUNTIF($M$3:M92, M92)</f>
        <v>20</v>
      </c>
      <c r="O92" s="16" t="str" cm="1">
        <f t="array" ref="O92">INDEX('[2]ALTA 20242025'!$B$2:$B$241, MATCH(1, ('[2]ALTA 20242025'!$I$2:$I$241=M92)*('[2]ALTA 20242025'!$J$2:$J$241=N92), 0))</f>
        <v>1258MJM</v>
      </c>
      <c r="P92" s="16"/>
      <c r="Q92" s="16"/>
      <c r="R92" s="14" t="s">
        <v>2048</v>
      </c>
      <c r="S92" s="14" t="s">
        <v>2048</v>
      </c>
      <c r="T92" s="14" t="s">
        <v>2048</v>
      </c>
      <c r="U92" s="14" t="s">
        <v>2048</v>
      </c>
      <c r="V92" s="14" t="s">
        <v>3831</v>
      </c>
      <c r="W92" s="14" t="s">
        <v>4045</v>
      </c>
      <c r="X92" s="14" t="s">
        <v>3926</v>
      </c>
      <c r="Y92" s="14" t="s">
        <v>4046</v>
      </c>
      <c r="Z92" s="14" t="s">
        <v>2048</v>
      </c>
      <c r="AA92" s="14" t="s">
        <v>2422</v>
      </c>
      <c r="AB92" s="14" t="s">
        <v>2049</v>
      </c>
      <c r="AC92" s="14" t="s">
        <v>2050</v>
      </c>
      <c r="AD92" s="14" t="s">
        <v>3796</v>
      </c>
      <c r="AE92" s="14" t="s">
        <v>3613</v>
      </c>
      <c r="AF92" s="14" t="s">
        <v>3614</v>
      </c>
      <c r="AG92" s="14" t="s">
        <v>2048</v>
      </c>
      <c r="AH92" s="14" t="s">
        <v>2048</v>
      </c>
      <c r="AI92" s="14" t="s">
        <v>3472</v>
      </c>
      <c r="AJ92" s="14" t="s">
        <v>3821</v>
      </c>
      <c r="AK92" s="14" t="s">
        <v>2055</v>
      </c>
      <c r="AL92" s="14" t="s">
        <v>2055</v>
      </c>
      <c r="AM92" s="14" t="s">
        <v>2055</v>
      </c>
      <c r="AN92" s="14" t="s">
        <v>2068</v>
      </c>
      <c r="AO92" s="14" t="s">
        <v>2048</v>
      </c>
      <c r="AP92" s="14" t="s">
        <v>2048</v>
      </c>
      <c r="AQ92" s="14" t="s">
        <v>2048</v>
      </c>
      <c r="AR92" s="14" t="s">
        <v>2048</v>
      </c>
      <c r="AS92" s="14" t="s">
        <v>3615</v>
      </c>
      <c r="AT92" s="14" t="s">
        <v>2135</v>
      </c>
      <c r="AU92" s="14" t="s">
        <v>4047</v>
      </c>
      <c r="AV92" s="14" t="s">
        <v>4048</v>
      </c>
      <c r="AW92" s="14" t="s">
        <v>4049</v>
      </c>
      <c r="AX92" s="14" t="s">
        <v>2048</v>
      </c>
      <c r="AY92" s="14" t="s">
        <v>4048</v>
      </c>
      <c r="AZ92" s="14" t="s">
        <v>4049</v>
      </c>
      <c r="BA92" s="14" t="s">
        <v>2048</v>
      </c>
      <c r="BB92" s="14" t="s">
        <v>2048</v>
      </c>
      <c r="BC92" s="14" t="s">
        <v>102</v>
      </c>
      <c r="BD92" s="14" t="s">
        <v>782</v>
      </c>
      <c r="BE92" s="14" t="s">
        <v>4050</v>
      </c>
      <c r="BF92" s="14" t="s">
        <v>2048</v>
      </c>
      <c r="BG92" s="14" t="s">
        <v>2048</v>
      </c>
      <c r="BH92" s="14" t="s">
        <v>2282</v>
      </c>
      <c r="BI92" s="14" t="s">
        <v>2782</v>
      </c>
      <c r="BJ92" s="14" t="s">
        <v>2048</v>
      </c>
      <c r="BK92" s="14" t="s">
        <v>2048</v>
      </c>
      <c r="BL92" s="14" t="s">
        <v>4051</v>
      </c>
      <c r="BM92" s="14" t="s">
        <v>2287</v>
      </c>
      <c r="BN92" s="14" t="s">
        <v>2048</v>
      </c>
      <c r="BO92" s="14" t="s">
        <v>2048</v>
      </c>
      <c r="BP92" s="14" t="s">
        <v>2064</v>
      </c>
      <c r="BQ92" s="14" t="s">
        <v>72</v>
      </c>
      <c r="BR92" s="14" t="s">
        <v>72</v>
      </c>
      <c r="BS92" s="14" t="s">
        <v>2048</v>
      </c>
      <c r="BT92" s="14" t="s">
        <v>3116</v>
      </c>
      <c r="BU92" s="14" t="s">
        <v>3117</v>
      </c>
      <c r="BV92" s="14" t="s">
        <v>2331</v>
      </c>
      <c r="BW92" s="14" t="s">
        <v>2131</v>
      </c>
      <c r="BX92" s="14" t="s">
        <v>72</v>
      </c>
      <c r="BY92" s="14" t="s">
        <v>2048</v>
      </c>
      <c r="BZ92" s="14" t="s">
        <v>2048</v>
      </c>
      <c r="CA92" s="14" t="s">
        <v>2048</v>
      </c>
      <c r="CB92" s="14" t="s">
        <v>72</v>
      </c>
      <c r="CC92" s="14" t="s">
        <v>2048</v>
      </c>
      <c r="CD92" s="14" t="s">
        <v>72</v>
      </c>
      <c r="CE92" s="14" t="s">
        <v>2048</v>
      </c>
      <c r="CF92" s="14" t="s">
        <v>2048</v>
      </c>
      <c r="CG92" s="14" t="s">
        <v>2048</v>
      </c>
      <c r="CH92" s="14" t="s">
        <v>2048</v>
      </c>
      <c r="CI92" s="14" t="s">
        <v>2048</v>
      </c>
      <c r="CJ92" s="14" t="s">
        <v>2048</v>
      </c>
      <c r="CK92" s="14" t="s">
        <v>3603</v>
      </c>
      <c r="CL92" s="14" t="s">
        <v>3604</v>
      </c>
      <c r="CM92" s="14" t="s">
        <v>2048</v>
      </c>
      <c r="CN92" s="17"/>
      <c r="CO92" s="17">
        <v>43803</v>
      </c>
      <c r="CP92" s="17">
        <v>43803</v>
      </c>
      <c r="CR92" s="17">
        <v>45287</v>
      </c>
      <c r="CS92" s="19">
        <v>48</v>
      </c>
      <c r="CT92" s="19">
        <v>0</v>
      </c>
      <c r="CU92" s="19">
        <v>345.32</v>
      </c>
      <c r="CV92" s="19">
        <v>0</v>
      </c>
      <c r="CW92" s="19">
        <v>345.32</v>
      </c>
      <c r="CX92" s="19">
        <v>417.84</v>
      </c>
      <c r="CY92" s="19">
        <v>0</v>
      </c>
      <c r="CZ92" s="17"/>
      <c r="DA92" s="19">
        <v>0</v>
      </c>
      <c r="DB92" s="17"/>
      <c r="DC92" s="17"/>
      <c r="DD92" s="19">
        <v>0</v>
      </c>
      <c r="DE92" s="17"/>
      <c r="DF92" s="17"/>
      <c r="DG92" s="19">
        <v>100</v>
      </c>
      <c r="DH92" s="17"/>
      <c r="DI92" s="17">
        <v>45291</v>
      </c>
      <c r="DJ92" s="17"/>
      <c r="DK92" s="17"/>
      <c r="DL92" s="19">
        <v>0</v>
      </c>
      <c r="DM92" s="19">
        <v>0</v>
      </c>
    </row>
    <row r="93" spans="1:117" x14ac:dyDescent="0.2">
      <c r="A93" s="14" t="s">
        <v>3610</v>
      </c>
      <c r="B93" s="14" t="s">
        <v>1015</v>
      </c>
      <c r="C93" s="14" t="s">
        <v>129</v>
      </c>
      <c r="D93" s="14" t="s">
        <v>74</v>
      </c>
      <c r="E93" s="14" t="s">
        <v>75</v>
      </c>
      <c r="F93" s="14" t="s">
        <v>76</v>
      </c>
      <c r="G93" s="17">
        <v>45292</v>
      </c>
      <c r="H93" s="14" t="s">
        <v>77</v>
      </c>
      <c r="I93" s="14" t="s">
        <v>78</v>
      </c>
      <c r="J93" s="14" t="s">
        <v>380</v>
      </c>
      <c r="K93" s="14" t="s">
        <v>1016</v>
      </c>
      <c r="L93" s="14" t="s">
        <v>131</v>
      </c>
      <c r="M93" s="14" t="s">
        <v>132</v>
      </c>
      <c r="N93" s="16">
        <f>COUNTIF($M$3:M93, M93)</f>
        <v>11</v>
      </c>
      <c r="O93" s="16" t="str" cm="1">
        <f t="array" ref="O93">INDEX('[2]ALTA 20242025'!$B$2:$B$241, MATCH(1, ('[2]ALTA 20242025'!$I$2:$I$241=M93)*('[2]ALTA 20242025'!$J$2:$J$241=N93), 0))</f>
        <v>8634MWT</v>
      </c>
      <c r="P93" s="16"/>
      <c r="Q93" s="16"/>
      <c r="R93" s="14" t="s">
        <v>2048</v>
      </c>
      <c r="S93" s="14" t="s">
        <v>2048</v>
      </c>
      <c r="T93" s="14" t="s">
        <v>2048</v>
      </c>
      <c r="U93" s="14" t="s">
        <v>2048</v>
      </c>
      <c r="V93" s="14" t="s">
        <v>72</v>
      </c>
      <c r="W93" s="14" t="s">
        <v>72</v>
      </c>
      <c r="X93" s="14" t="s">
        <v>4052</v>
      </c>
      <c r="Y93" s="14" t="s">
        <v>4053</v>
      </c>
      <c r="Z93" s="14" t="s">
        <v>2048</v>
      </c>
      <c r="AA93" s="14" t="s">
        <v>2422</v>
      </c>
      <c r="AB93" s="14" t="s">
        <v>2049</v>
      </c>
      <c r="AC93" s="14" t="s">
        <v>2050</v>
      </c>
      <c r="AD93" s="14" t="s">
        <v>2048</v>
      </c>
      <c r="AE93" s="14" t="s">
        <v>2048</v>
      </c>
      <c r="AF93" s="14" t="s">
        <v>2048</v>
      </c>
      <c r="AG93" s="14" t="s">
        <v>200</v>
      </c>
      <c r="AH93" s="14" t="s">
        <v>3622</v>
      </c>
      <c r="AI93" s="14" t="s">
        <v>2129</v>
      </c>
      <c r="AJ93" s="14" t="s">
        <v>2130</v>
      </c>
      <c r="AK93" s="14" t="s">
        <v>2055</v>
      </c>
      <c r="AL93" s="14" t="s">
        <v>2055</v>
      </c>
      <c r="AM93" s="14" t="s">
        <v>2055</v>
      </c>
      <c r="AN93" s="14" t="s">
        <v>2068</v>
      </c>
      <c r="AO93" s="14" t="s">
        <v>2048</v>
      </c>
      <c r="AP93" s="14" t="s">
        <v>2048</v>
      </c>
      <c r="AQ93" s="14" t="s">
        <v>2048</v>
      </c>
      <c r="AR93" s="14" t="s">
        <v>2443</v>
      </c>
      <c r="AS93" s="14" t="s">
        <v>2048</v>
      </c>
      <c r="AT93" s="14" t="s">
        <v>2048</v>
      </c>
      <c r="AU93" s="14" t="s">
        <v>2059</v>
      </c>
      <c r="AV93" s="14" t="s">
        <v>4054</v>
      </c>
      <c r="AW93" s="14" t="s">
        <v>4055</v>
      </c>
      <c r="AX93" s="14" t="s">
        <v>2048</v>
      </c>
      <c r="AY93" s="14" t="s">
        <v>2448</v>
      </c>
      <c r="AZ93" s="14" t="s">
        <v>2449</v>
      </c>
      <c r="BA93" s="14" t="s">
        <v>2048</v>
      </c>
      <c r="BB93" s="14" t="s">
        <v>2048</v>
      </c>
      <c r="BC93" s="14" t="s">
        <v>131</v>
      </c>
      <c r="BD93" s="14" t="s">
        <v>135</v>
      </c>
      <c r="BE93" s="14" t="s">
        <v>2945</v>
      </c>
      <c r="BF93" s="14" t="s">
        <v>2048</v>
      </c>
      <c r="BG93" s="14" t="s">
        <v>2048</v>
      </c>
      <c r="BH93" s="14" t="s">
        <v>2048</v>
      </c>
      <c r="BI93" s="14" t="s">
        <v>2048</v>
      </c>
      <c r="BJ93" s="14" t="s">
        <v>2946</v>
      </c>
      <c r="BK93" s="14" t="s">
        <v>2947</v>
      </c>
      <c r="BL93" s="14" t="s">
        <v>2948</v>
      </c>
      <c r="BM93" s="14" t="s">
        <v>2455</v>
      </c>
      <c r="BN93" s="14" t="s">
        <v>2048</v>
      </c>
      <c r="BO93" s="14" t="s">
        <v>2518</v>
      </c>
      <c r="BP93" s="14" t="s">
        <v>2064</v>
      </c>
      <c r="BQ93" s="14" t="s">
        <v>72</v>
      </c>
      <c r="BR93" s="14" t="s">
        <v>72</v>
      </c>
      <c r="BS93" s="14" t="s">
        <v>2048</v>
      </c>
      <c r="BT93" s="14" t="s">
        <v>2457</v>
      </c>
      <c r="BU93" s="14" t="s">
        <v>2458</v>
      </c>
      <c r="BV93" s="14" t="s">
        <v>2535</v>
      </c>
      <c r="BW93" s="14" t="s">
        <v>3672</v>
      </c>
      <c r="BX93" s="14" t="s">
        <v>2048</v>
      </c>
      <c r="BY93" s="14" t="s">
        <v>2048</v>
      </c>
      <c r="BZ93" s="14" t="s">
        <v>2048</v>
      </c>
      <c r="CA93" s="14" t="s">
        <v>2048</v>
      </c>
      <c r="CB93" s="14" t="s">
        <v>2048</v>
      </c>
      <c r="CC93" s="14" t="s">
        <v>2048</v>
      </c>
      <c r="CD93" s="14" t="s">
        <v>2048</v>
      </c>
      <c r="CE93" s="14" t="s">
        <v>2048</v>
      </c>
      <c r="CF93" s="14" t="s">
        <v>2048</v>
      </c>
      <c r="CG93" s="14" t="s">
        <v>2048</v>
      </c>
      <c r="CH93" s="14" t="s">
        <v>2048</v>
      </c>
      <c r="CI93" s="14" t="s">
        <v>2048</v>
      </c>
      <c r="CJ93" s="14" t="s">
        <v>2048</v>
      </c>
      <c r="CK93" s="14" t="s">
        <v>3651</v>
      </c>
      <c r="CL93" s="14" t="s">
        <v>3652</v>
      </c>
      <c r="CM93" s="14" t="s">
        <v>2048</v>
      </c>
      <c r="CN93" s="17"/>
      <c r="CO93" s="17">
        <v>44340</v>
      </c>
      <c r="CP93" s="17">
        <v>44340</v>
      </c>
      <c r="CR93" s="17">
        <v>45299</v>
      </c>
      <c r="CS93" s="19">
        <v>0</v>
      </c>
      <c r="CT93" s="19">
        <v>0</v>
      </c>
      <c r="CU93" s="19">
        <v>770</v>
      </c>
      <c r="CV93" s="19">
        <v>0</v>
      </c>
      <c r="CW93" s="19">
        <v>770</v>
      </c>
      <c r="CX93" s="19">
        <v>931.7</v>
      </c>
      <c r="CY93" s="19">
        <v>0</v>
      </c>
      <c r="CZ93" s="17"/>
      <c r="DA93" s="19">
        <v>0</v>
      </c>
      <c r="DB93" s="17"/>
      <c r="DC93" s="17"/>
      <c r="DD93" s="19">
        <v>0</v>
      </c>
      <c r="DE93" s="17"/>
      <c r="DF93" s="17"/>
      <c r="DG93" s="19">
        <v>100</v>
      </c>
      <c r="DH93" s="17"/>
      <c r="DI93" s="17">
        <v>45473</v>
      </c>
      <c r="DJ93" s="17"/>
      <c r="DK93" s="17"/>
      <c r="DL93" s="19">
        <v>0</v>
      </c>
      <c r="DM93" s="19">
        <v>0</v>
      </c>
    </row>
    <row r="94" spans="1:117" x14ac:dyDescent="0.2">
      <c r="A94" s="14" t="s">
        <v>3610</v>
      </c>
      <c r="B94" s="14" t="s">
        <v>633</v>
      </c>
      <c r="C94" s="14" t="s">
        <v>129</v>
      </c>
      <c r="D94" s="14" t="s">
        <v>74</v>
      </c>
      <c r="E94" s="14" t="s">
        <v>75</v>
      </c>
      <c r="F94" s="14" t="s">
        <v>76</v>
      </c>
      <c r="G94" s="17">
        <v>45307</v>
      </c>
      <c r="H94" s="14" t="s">
        <v>77</v>
      </c>
      <c r="I94" s="14" t="s">
        <v>78</v>
      </c>
      <c r="J94" s="14" t="s">
        <v>79</v>
      </c>
      <c r="K94" s="14" t="s">
        <v>634</v>
      </c>
      <c r="L94" s="14" t="s">
        <v>131</v>
      </c>
      <c r="M94" s="14" t="s">
        <v>132</v>
      </c>
      <c r="N94" s="16">
        <f>COUNTIF($M$3:M94, M94)</f>
        <v>12</v>
      </c>
      <c r="O94" s="16" t="str" cm="1">
        <f t="array" ref="O94">INDEX('[2]ALTA 20242025'!$B$2:$B$241, MATCH(1, ('[2]ALTA 20242025'!$I$2:$I$241=M94)*('[2]ALTA 20242025'!$J$2:$J$241=N94), 0))</f>
        <v>8636MWT</v>
      </c>
      <c r="P94" s="16"/>
      <c r="Q94" s="16"/>
      <c r="R94" s="14" t="s">
        <v>2048</v>
      </c>
      <c r="S94" s="14" t="s">
        <v>2048</v>
      </c>
      <c r="T94" s="14" t="s">
        <v>2048</v>
      </c>
      <c r="U94" s="14" t="s">
        <v>2048</v>
      </c>
      <c r="V94" s="14" t="s">
        <v>4056</v>
      </c>
      <c r="W94" s="14" t="s">
        <v>4057</v>
      </c>
      <c r="X94" s="14" t="s">
        <v>4057</v>
      </c>
      <c r="Y94" s="14" t="s">
        <v>4058</v>
      </c>
      <c r="Z94" s="14" t="s">
        <v>2048</v>
      </c>
      <c r="AA94" s="14" t="s">
        <v>2422</v>
      </c>
      <c r="AB94" s="14" t="s">
        <v>2049</v>
      </c>
      <c r="AC94" s="14" t="s">
        <v>2050</v>
      </c>
      <c r="AD94" s="14" t="s">
        <v>2048</v>
      </c>
      <c r="AE94" s="14" t="s">
        <v>2048</v>
      </c>
      <c r="AF94" s="14" t="s">
        <v>2048</v>
      </c>
      <c r="AG94" s="14" t="s">
        <v>2048</v>
      </c>
      <c r="AH94" s="14" t="s">
        <v>2048</v>
      </c>
      <c r="AI94" s="14" t="s">
        <v>2442</v>
      </c>
      <c r="AJ94" s="14" t="s">
        <v>2443</v>
      </c>
      <c r="AK94" s="14" t="s">
        <v>2056</v>
      </c>
      <c r="AL94" s="14" t="s">
        <v>2056</v>
      </c>
      <c r="AM94" s="14" t="s">
        <v>2055</v>
      </c>
      <c r="AN94" s="14" t="s">
        <v>2068</v>
      </c>
      <c r="AO94" s="14" t="s">
        <v>2048</v>
      </c>
      <c r="AP94" s="14" t="s">
        <v>2048</v>
      </c>
      <c r="AQ94" s="14" t="s">
        <v>2048</v>
      </c>
      <c r="AR94" s="14" t="s">
        <v>2443</v>
      </c>
      <c r="AS94" s="14" t="s">
        <v>108</v>
      </c>
      <c r="AT94" s="14" t="s">
        <v>3655</v>
      </c>
      <c r="AU94" s="14" t="s">
        <v>2059</v>
      </c>
      <c r="AV94" s="14" t="s">
        <v>4059</v>
      </c>
      <c r="AW94" s="14" t="s">
        <v>4060</v>
      </c>
      <c r="AX94" s="14" t="s">
        <v>72</v>
      </c>
      <c r="AY94" s="14" t="s">
        <v>2448</v>
      </c>
      <c r="AZ94" s="14" t="s">
        <v>2449</v>
      </c>
      <c r="BA94" s="14" t="s">
        <v>2048</v>
      </c>
      <c r="BB94" s="14" t="s">
        <v>2048</v>
      </c>
      <c r="BC94" s="14" t="s">
        <v>131</v>
      </c>
      <c r="BD94" s="14" t="s">
        <v>635</v>
      </c>
      <c r="BE94" s="14" t="s">
        <v>4061</v>
      </c>
      <c r="BF94" s="14" t="s">
        <v>4062</v>
      </c>
      <c r="BG94" s="14" t="s">
        <v>2048</v>
      </c>
      <c r="BH94" s="14" t="s">
        <v>2048</v>
      </c>
      <c r="BI94" s="14" t="s">
        <v>2048</v>
      </c>
      <c r="BJ94" s="14" t="s">
        <v>2946</v>
      </c>
      <c r="BK94" s="14" t="s">
        <v>2947</v>
      </c>
      <c r="BL94" s="14" t="s">
        <v>2948</v>
      </c>
      <c r="BM94" s="14" t="s">
        <v>2455</v>
      </c>
      <c r="BN94" s="14" t="s">
        <v>2048</v>
      </c>
      <c r="BO94" s="14" t="s">
        <v>2048</v>
      </c>
      <c r="BP94" s="14" t="s">
        <v>2064</v>
      </c>
      <c r="BQ94" s="14" t="s">
        <v>72</v>
      </c>
      <c r="BR94" s="14" t="s">
        <v>72</v>
      </c>
      <c r="BS94" s="14" t="s">
        <v>2048</v>
      </c>
      <c r="BT94" s="14" t="s">
        <v>2457</v>
      </c>
      <c r="BU94" s="14" t="s">
        <v>2458</v>
      </c>
      <c r="BV94" s="14" t="s">
        <v>2418</v>
      </c>
      <c r="BW94" s="14" t="s">
        <v>2089</v>
      </c>
      <c r="BX94" s="14" t="s">
        <v>2048</v>
      </c>
      <c r="BY94" s="14" t="s">
        <v>2048</v>
      </c>
      <c r="BZ94" s="14" t="s">
        <v>2048</v>
      </c>
      <c r="CA94" s="14" t="s">
        <v>2048</v>
      </c>
      <c r="CB94" s="14" t="s">
        <v>2048</v>
      </c>
      <c r="CC94" s="14" t="s">
        <v>2048</v>
      </c>
      <c r="CD94" s="14" t="s">
        <v>2048</v>
      </c>
      <c r="CE94" s="14" t="s">
        <v>2048</v>
      </c>
      <c r="CF94" s="14" t="s">
        <v>2048</v>
      </c>
      <c r="CG94" s="14" t="s">
        <v>2048</v>
      </c>
      <c r="CH94" s="14" t="s">
        <v>2048</v>
      </c>
      <c r="CI94" s="14" t="s">
        <v>2048</v>
      </c>
      <c r="CJ94" s="14" t="s">
        <v>2048</v>
      </c>
      <c r="CK94" s="14" t="s">
        <v>2057</v>
      </c>
      <c r="CL94" s="14" t="s">
        <v>2090</v>
      </c>
      <c r="CM94" s="14" t="s">
        <v>2048</v>
      </c>
      <c r="CN94" s="17"/>
      <c r="CO94" s="17">
        <v>45002</v>
      </c>
      <c r="CP94" s="17">
        <v>45002</v>
      </c>
      <c r="CR94" s="17">
        <v>45307</v>
      </c>
      <c r="CS94" s="19">
        <v>0</v>
      </c>
      <c r="CT94" s="19">
        <v>0</v>
      </c>
      <c r="CU94" s="19">
        <v>600</v>
      </c>
      <c r="CV94" s="19">
        <v>0</v>
      </c>
      <c r="CW94" s="19">
        <v>600</v>
      </c>
      <c r="CX94" s="19">
        <v>726</v>
      </c>
      <c r="CY94" s="19">
        <v>0</v>
      </c>
      <c r="CZ94" s="17"/>
      <c r="DA94" s="19">
        <v>0</v>
      </c>
      <c r="DB94" s="17"/>
      <c r="DC94" s="17"/>
      <c r="DD94" s="19">
        <v>0</v>
      </c>
      <c r="DE94" s="17"/>
      <c r="DF94" s="17"/>
      <c r="DG94" s="19">
        <v>100</v>
      </c>
      <c r="DH94" s="17"/>
      <c r="DI94" s="17">
        <v>45473</v>
      </c>
      <c r="DJ94" s="17"/>
      <c r="DK94" s="17"/>
      <c r="DL94" s="19">
        <v>0</v>
      </c>
      <c r="DM94" s="19">
        <v>0</v>
      </c>
    </row>
    <row r="95" spans="1:117" x14ac:dyDescent="0.2">
      <c r="A95" s="14" t="s">
        <v>3610</v>
      </c>
      <c r="B95" s="14" t="s">
        <v>577</v>
      </c>
      <c r="C95" s="14" t="s">
        <v>73</v>
      </c>
      <c r="D95" s="14" t="s">
        <v>200</v>
      </c>
      <c r="E95" s="14" t="s">
        <v>201</v>
      </c>
      <c r="F95" s="14" t="s">
        <v>76</v>
      </c>
      <c r="G95" s="17">
        <v>45316</v>
      </c>
      <c r="H95" s="14" t="s">
        <v>77</v>
      </c>
      <c r="I95" s="14" t="s">
        <v>78</v>
      </c>
      <c r="J95" s="14" t="s">
        <v>359</v>
      </c>
      <c r="K95" s="14" t="s">
        <v>578</v>
      </c>
      <c r="L95" s="14" t="s">
        <v>102</v>
      </c>
      <c r="M95" s="14" t="s">
        <v>103</v>
      </c>
      <c r="N95" s="16">
        <f>COUNTIF($M$3:M95, M95)</f>
        <v>21</v>
      </c>
      <c r="O95" s="16" t="str" cm="1">
        <f t="array" ref="O95">INDEX('[2]ALTA 20242025'!$B$2:$B$241, MATCH(1, ('[2]ALTA 20242025'!$I$2:$I$241=M95)*('[2]ALTA 20242025'!$J$2:$J$241=N95), 0))</f>
        <v>1261MJM</v>
      </c>
      <c r="P95" s="16"/>
      <c r="Q95" s="16"/>
      <c r="R95" s="14" t="s">
        <v>3738</v>
      </c>
      <c r="S95" s="14" t="s">
        <v>3739</v>
      </c>
      <c r="T95" s="14" t="s">
        <v>2048</v>
      </c>
      <c r="U95" s="14" t="s">
        <v>2048</v>
      </c>
      <c r="V95" s="14" t="s">
        <v>1940</v>
      </c>
      <c r="W95" s="14" t="s">
        <v>4063</v>
      </c>
      <c r="X95" s="14" t="s">
        <v>4064</v>
      </c>
      <c r="Y95" s="14" t="s">
        <v>4065</v>
      </c>
      <c r="Z95" s="14" t="s">
        <v>2048</v>
      </c>
      <c r="AA95" s="14" t="s">
        <v>2422</v>
      </c>
      <c r="AB95" s="14" t="s">
        <v>2049</v>
      </c>
      <c r="AC95" s="14" t="s">
        <v>2050</v>
      </c>
      <c r="AD95" s="14" t="s">
        <v>3725</v>
      </c>
      <c r="AE95" s="14" t="s">
        <v>3613</v>
      </c>
      <c r="AF95" s="14" t="s">
        <v>3614</v>
      </c>
      <c r="AG95" s="14" t="s">
        <v>200</v>
      </c>
      <c r="AH95" s="14" t="s">
        <v>3622</v>
      </c>
      <c r="AI95" s="14" t="s">
        <v>2132</v>
      </c>
      <c r="AJ95" s="14" t="s">
        <v>2133</v>
      </c>
      <c r="AK95" s="14" t="s">
        <v>2056</v>
      </c>
      <c r="AL95" s="14" t="s">
        <v>2055</v>
      </c>
      <c r="AM95" s="14" t="s">
        <v>2055</v>
      </c>
      <c r="AN95" s="14" t="s">
        <v>2068</v>
      </c>
      <c r="AO95" s="14" t="s">
        <v>2048</v>
      </c>
      <c r="AP95" s="14" t="s">
        <v>2048</v>
      </c>
      <c r="AQ95" s="14" t="s">
        <v>2048</v>
      </c>
      <c r="AR95" s="14" t="s">
        <v>4066</v>
      </c>
      <c r="AS95" s="14" t="s">
        <v>3745</v>
      </c>
      <c r="AT95" s="14" t="s">
        <v>2048</v>
      </c>
      <c r="AU95" s="14" t="s">
        <v>4067</v>
      </c>
      <c r="AV95" s="14" t="s">
        <v>2060</v>
      </c>
      <c r="AW95" s="14" t="s">
        <v>2048</v>
      </c>
      <c r="AX95" s="14" t="s">
        <v>72</v>
      </c>
      <c r="AY95" s="14" t="s">
        <v>2881</v>
      </c>
      <c r="AZ95" s="14" t="s">
        <v>2882</v>
      </c>
      <c r="BA95" s="14" t="s">
        <v>3664</v>
      </c>
      <c r="BB95" s="14" t="s">
        <v>2048</v>
      </c>
      <c r="BC95" s="14" t="s">
        <v>102</v>
      </c>
      <c r="BD95" s="14" t="s">
        <v>579</v>
      </c>
      <c r="BE95" s="14" t="s">
        <v>3302</v>
      </c>
      <c r="BF95" s="14" t="s">
        <v>2048</v>
      </c>
      <c r="BG95" s="14" t="s">
        <v>2048</v>
      </c>
      <c r="BH95" s="14" t="s">
        <v>2282</v>
      </c>
      <c r="BI95" s="14" t="s">
        <v>2782</v>
      </c>
      <c r="BJ95" s="14" t="s">
        <v>2783</v>
      </c>
      <c r="BK95" s="14" t="s">
        <v>2784</v>
      </c>
      <c r="BL95" s="14" t="s">
        <v>2884</v>
      </c>
      <c r="BM95" s="14" t="s">
        <v>2287</v>
      </c>
      <c r="BN95" s="14" t="s">
        <v>2048</v>
      </c>
      <c r="BO95" s="14" t="s">
        <v>2048</v>
      </c>
      <c r="BP95" s="14" t="s">
        <v>2064</v>
      </c>
      <c r="BQ95" s="14" t="s">
        <v>72</v>
      </c>
      <c r="BR95" s="14" t="s">
        <v>72</v>
      </c>
      <c r="BS95" s="14" t="s">
        <v>4068</v>
      </c>
      <c r="BT95" s="14" t="s">
        <v>2048</v>
      </c>
      <c r="BU95" s="14" t="s">
        <v>2048</v>
      </c>
      <c r="BV95" s="14" t="s">
        <v>2418</v>
      </c>
      <c r="BW95" s="14" t="s">
        <v>2089</v>
      </c>
      <c r="BX95" s="14" t="s">
        <v>2048</v>
      </c>
      <c r="BY95" s="14" t="s">
        <v>2048</v>
      </c>
      <c r="BZ95" s="14" t="s">
        <v>2048</v>
      </c>
      <c r="CA95" s="14" t="s">
        <v>2048</v>
      </c>
      <c r="CB95" s="14" t="s">
        <v>72</v>
      </c>
      <c r="CC95" s="14" t="s">
        <v>2048</v>
      </c>
      <c r="CD95" s="14" t="s">
        <v>2048</v>
      </c>
      <c r="CE95" s="14" t="s">
        <v>2048</v>
      </c>
      <c r="CF95" s="14" t="s">
        <v>2048</v>
      </c>
      <c r="CG95" s="14" t="s">
        <v>2048</v>
      </c>
      <c r="CH95" s="14" t="s">
        <v>2048</v>
      </c>
      <c r="CI95" s="14" t="s">
        <v>2048</v>
      </c>
      <c r="CJ95" s="14" t="s">
        <v>2048</v>
      </c>
      <c r="CK95" s="14" t="s">
        <v>2057</v>
      </c>
      <c r="CL95" s="14" t="s">
        <v>2090</v>
      </c>
      <c r="CM95" s="14" t="s">
        <v>2048</v>
      </c>
      <c r="CN95" s="17">
        <v>44958</v>
      </c>
      <c r="CO95" s="17">
        <v>42527</v>
      </c>
      <c r="CP95" s="17">
        <v>42527</v>
      </c>
      <c r="CR95" s="17">
        <v>45330</v>
      </c>
      <c r="CS95" s="19">
        <v>92</v>
      </c>
      <c r="CT95" s="19">
        <v>0</v>
      </c>
      <c r="CU95" s="19">
        <v>191.36</v>
      </c>
      <c r="CV95" s="19">
        <v>0</v>
      </c>
      <c r="CW95" s="19">
        <v>191.36</v>
      </c>
      <c r="CX95" s="19">
        <v>231.55</v>
      </c>
      <c r="CY95" s="19">
        <v>0</v>
      </c>
      <c r="CZ95" s="17"/>
      <c r="DA95" s="20">
        <v>36900</v>
      </c>
      <c r="DB95" s="17">
        <v>43555</v>
      </c>
      <c r="DC95" s="17"/>
      <c r="DD95" s="19">
        <v>0</v>
      </c>
      <c r="DE95" s="17"/>
      <c r="DF95" s="17"/>
      <c r="DG95" s="19">
        <v>100</v>
      </c>
      <c r="DH95" s="17"/>
      <c r="DI95" s="17">
        <v>45291</v>
      </c>
      <c r="DJ95" s="17"/>
      <c r="DK95" s="17"/>
      <c r="DL95" s="19">
        <v>0</v>
      </c>
      <c r="DM95" s="19">
        <v>0</v>
      </c>
    </row>
    <row r="96" spans="1:117" x14ac:dyDescent="0.2">
      <c r="A96" s="14" t="s">
        <v>3610</v>
      </c>
      <c r="B96" s="14" t="s">
        <v>1257</v>
      </c>
      <c r="C96" s="14" t="s">
        <v>73</v>
      </c>
      <c r="D96" s="14" t="s">
        <v>200</v>
      </c>
      <c r="E96" s="14" t="s">
        <v>201</v>
      </c>
      <c r="F96" s="14" t="s">
        <v>76</v>
      </c>
      <c r="G96" s="17">
        <v>45457</v>
      </c>
      <c r="H96" s="14" t="s">
        <v>77</v>
      </c>
      <c r="I96" s="14" t="s">
        <v>674</v>
      </c>
      <c r="J96" s="14" t="s">
        <v>359</v>
      </c>
      <c r="K96" s="14" t="s">
        <v>1245</v>
      </c>
      <c r="L96" s="14" t="s">
        <v>1258</v>
      </c>
      <c r="M96" s="14" t="s">
        <v>1259</v>
      </c>
      <c r="N96" s="16">
        <f>COUNTIF($M$3:M96, M96)</f>
        <v>1</v>
      </c>
      <c r="O96" s="16" t="e" cm="1">
        <f t="array" ref="O96">INDEX('[2]ALTA 20242025'!$B$2:$B$241, MATCH(1, ('[2]ALTA 20242025'!$I$2:$I$241=M96)*('[2]ALTA 20242025'!$J$2:$J$241=N96), 0))</f>
        <v>#N/A</v>
      </c>
      <c r="P96" s="16"/>
      <c r="Q96" s="16"/>
      <c r="R96" s="14" t="s">
        <v>2048</v>
      </c>
      <c r="S96" s="14" t="s">
        <v>2048</v>
      </c>
      <c r="T96" s="14" t="s">
        <v>2048</v>
      </c>
      <c r="U96" s="14" t="s">
        <v>2048</v>
      </c>
      <c r="V96" s="14" t="s">
        <v>4069</v>
      </c>
      <c r="W96" s="14" t="s">
        <v>4070</v>
      </c>
      <c r="X96" s="14" t="s">
        <v>4071</v>
      </c>
      <c r="Y96" s="14" t="s">
        <v>4072</v>
      </c>
      <c r="Z96" s="14" t="s">
        <v>2048</v>
      </c>
      <c r="AA96" s="14" t="s">
        <v>2422</v>
      </c>
      <c r="AB96" s="14" t="s">
        <v>2049</v>
      </c>
      <c r="AC96" s="14" t="s">
        <v>2050</v>
      </c>
      <c r="AD96" s="14" t="s">
        <v>3725</v>
      </c>
      <c r="AE96" s="14" t="s">
        <v>3613</v>
      </c>
      <c r="AF96" s="14" t="s">
        <v>3614</v>
      </c>
      <c r="AG96" s="14" t="s">
        <v>200</v>
      </c>
      <c r="AH96" s="14" t="s">
        <v>3622</v>
      </c>
      <c r="AI96" s="14" t="s">
        <v>2132</v>
      </c>
      <c r="AJ96" s="14" t="s">
        <v>2133</v>
      </c>
      <c r="AK96" s="14" t="s">
        <v>2055</v>
      </c>
      <c r="AL96" s="14" t="s">
        <v>2055</v>
      </c>
      <c r="AM96" s="14" t="s">
        <v>2055</v>
      </c>
      <c r="AN96" s="14" t="s">
        <v>3603</v>
      </c>
      <c r="AO96" s="14" t="s">
        <v>2048</v>
      </c>
      <c r="AP96" s="14" t="s">
        <v>2048</v>
      </c>
      <c r="AQ96" s="14" t="s">
        <v>2048</v>
      </c>
      <c r="AR96" s="14" t="s">
        <v>2048</v>
      </c>
      <c r="AS96" s="14" t="s">
        <v>2048</v>
      </c>
      <c r="AT96" s="14" t="s">
        <v>2048</v>
      </c>
      <c r="AU96" s="14" t="s">
        <v>2059</v>
      </c>
      <c r="AV96" s="14" t="s">
        <v>4073</v>
      </c>
      <c r="AW96" s="14" t="s">
        <v>4074</v>
      </c>
      <c r="AX96" s="14" t="s">
        <v>2048</v>
      </c>
      <c r="AY96" s="14" t="s">
        <v>4075</v>
      </c>
      <c r="AZ96" s="14" t="s">
        <v>4076</v>
      </c>
      <c r="BA96" s="14" t="s">
        <v>2048</v>
      </c>
      <c r="BB96" s="14" t="s">
        <v>2048</v>
      </c>
      <c r="BC96" s="14" t="s">
        <v>1258</v>
      </c>
      <c r="BD96" s="14" t="s">
        <v>1260</v>
      </c>
      <c r="BE96" s="14" t="s">
        <v>4077</v>
      </c>
      <c r="BF96" s="14" t="s">
        <v>2048</v>
      </c>
      <c r="BG96" s="14" t="s">
        <v>2048</v>
      </c>
      <c r="BH96" s="14" t="s">
        <v>2866</v>
      </c>
      <c r="BI96" s="14" t="s">
        <v>4078</v>
      </c>
      <c r="BJ96" s="14" t="s">
        <v>4079</v>
      </c>
      <c r="BK96" s="14" t="s">
        <v>4080</v>
      </c>
      <c r="BL96" s="14" t="s">
        <v>4081</v>
      </c>
      <c r="BM96" s="14" t="s">
        <v>2287</v>
      </c>
      <c r="BN96" s="14" t="s">
        <v>2048</v>
      </c>
      <c r="BO96" s="14" t="s">
        <v>2518</v>
      </c>
      <c r="BP96" s="14" t="s">
        <v>2064</v>
      </c>
      <c r="BQ96" s="14" t="s">
        <v>72</v>
      </c>
      <c r="BR96" s="14" t="s">
        <v>72</v>
      </c>
      <c r="BS96" s="14" t="s">
        <v>2048</v>
      </c>
      <c r="BT96" s="14" t="s">
        <v>4082</v>
      </c>
      <c r="BU96" s="14" t="s">
        <v>3095</v>
      </c>
      <c r="BV96" s="14" t="s">
        <v>2331</v>
      </c>
      <c r="BW96" s="14" t="s">
        <v>2131</v>
      </c>
      <c r="BX96" s="14" t="s">
        <v>2048</v>
      </c>
      <c r="BY96" s="14" t="s">
        <v>2048</v>
      </c>
      <c r="BZ96" s="14" t="s">
        <v>2048</v>
      </c>
      <c r="CA96" s="14" t="s">
        <v>2048</v>
      </c>
      <c r="CB96" s="14" t="s">
        <v>2048</v>
      </c>
      <c r="CC96" s="14" t="s">
        <v>2048</v>
      </c>
      <c r="CD96" s="14" t="s">
        <v>2048</v>
      </c>
      <c r="CE96" s="14" t="s">
        <v>2048</v>
      </c>
      <c r="CF96" s="14" t="s">
        <v>2048</v>
      </c>
      <c r="CG96" s="14" t="s">
        <v>2048</v>
      </c>
      <c r="CH96" s="14" t="s">
        <v>2048</v>
      </c>
      <c r="CI96" s="14" t="s">
        <v>2048</v>
      </c>
      <c r="CJ96" s="14" t="s">
        <v>2048</v>
      </c>
      <c r="CK96" s="14" t="s">
        <v>2068</v>
      </c>
      <c r="CL96" s="14" t="s">
        <v>2069</v>
      </c>
      <c r="CM96" s="14" t="s">
        <v>2048</v>
      </c>
      <c r="CN96" s="17"/>
      <c r="CO96" s="17">
        <v>43630</v>
      </c>
      <c r="CP96" s="17">
        <v>43630</v>
      </c>
      <c r="CR96" s="17">
        <v>45677</v>
      </c>
      <c r="CS96" s="19">
        <v>60</v>
      </c>
      <c r="CT96" s="19">
        <v>0</v>
      </c>
      <c r="CU96" s="19">
        <v>203.83</v>
      </c>
      <c r="CV96" s="19">
        <v>0</v>
      </c>
      <c r="CW96" s="19">
        <v>203.83</v>
      </c>
      <c r="CX96" s="19">
        <v>246.63</v>
      </c>
      <c r="CY96" s="19">
        <v>0</v>
      </c>
      <c r="CZ96" s="17"/>
      <c r="DA96" s="19">
        <v>0</v>
      </c>
      <c r="DB96" s="17"/>
      <c r="DC96" s="17"/>
      <c r="DD96" s="19">
        <v>0</v>
      </c>
      <c r="DE96" s="17"/>
      <c r="DF96" s="17"/>
      <c r="DG96" s="19">
        <v>100</v>
      </c>
      <c r="DH96" s="17"/>
      <c r="DI96" s="17">
        <v>46022</v>
      </c>
      <c r="DJ96" s="17"/>
      <c r="DK96" s="17"/>
      <c r="DL96" s="19">
        <v>0</v>
      </c>
      <c r="DM96" s="19">
        <v>0</v>
      </c>
    </row>
    <row r="97" spans="1:117" x14ac:dyDescent="0.2">
      <c r="A97" s="14" t="s">
        <v>3610</v>
      </c>
      <c r="B97" s="14" t="s">
        <v>731</v>
      </c>
      <c r="C97" s="14" t="s">
        <v>73</v>
      </c>
      <c r="D97" s="14" t="s">
        <v>74</v>
      </c>
      <c r="E97" s="14" t="s">
        <v>75</v>
      </c>
      <c r="F97" s="14" t="s">
        <v>76</v>
      </c>
      <c r="G97" s="17">
        <v>45321</v>
      </c>
      <c r="H97" s="14" t="s">
        <v>77</v>
      </c>
      <c r="I97" s="14" t="s">
        <v>78</v>
      </c>
      <c r="J97" s="14" t="s">
        <v>85</v>
      </c>
      <c r="K97" s="14" t="s">
        <v>732</v>
      </c>
      <c r="L97" s="14" t="s">
        <v>81</v>
      </c>
      <c r="M97" s="14" t="s">
        <v>82</v>
      </c>
      <c r="N97" s="16">
        <f>COUNTIF($M$3:M97, M97)</f>
        <v>2</v>
      </c>
      <c r="O97" s="16" t="str" cm="1">
        <f t="array" ref="O97">INDEX('[2]ALTA 20242025'!$B$2:$B$241, MATCH(1, ('[2]ALTA 20242025'!$I$2:$I$241=M97)*('[2]ALTA 20242025'!$J$2:$J$241=N97), 0))</f>
        <v>0650MXH</v>
      </c>
      <c r="P97" s="16"/>
      <c r="Q97" s="16"/>
      <c r="R97" s="14" t="s">
        <v>2048</v>
      </c>
      <c r="S97" s="14" t="s">
        <v>2048</v>
      </c>
      <c r="T97" s="14" t="s">
        <v>2048</v>
      </c>
      <c r="U97" s="14" t="s">
        <v>2048</v>
      </c>
      <c r="V97" s="14" t="s">
        <v>4019</v>
      </c>
      <c r="W97" s="14" t="s">
        <v>72</v>
      </c>
      <c r="X97" s="14" t="s">
        <v>72</v>
      </c>
      <c r="Y97" s="14" t="s">
        <v>4083</v>
      </c>
      <c r="Z97" s="14" t="s">
        <v>2048</v>
      </c>
      <c r="AA97" s="14" t="s">
        <v>2422</v>
      </c>
      <c r="AB97" s="14" t="s">
        <v>2049</v>
      </c>
      <c r="AC97" s="14" t="s">
        <v>2050</v>
      </c>
      <c r="AD97" s="14" t="s">
        <v>2048</v>
      </c>
      <c r="AE97" s="14" t="s">
        <v>2048</v>
      </c>
      <c r="AF97" s="14" t="s">
        <v>2048</v>
      </c>
      <c r="AG97" s="14" t="s">
        <v>2048</v>
      </c>
      <c r="AH97" s="14" t="s">
        <v>2048</v>
      </c>
      <c r="AI97" s="14" t="s">
        <v>2129</v>
      </c>
      <c r="AJ97" s="14" t="s">
        <v>2130</v>
      </c>
      <c r="AK97" s="14" t="s">
        <v>2055</v>
      </c>
      <c r="AL97" s="14" t="s">
        <v>2055</v>
      </c>
      <c r="AM97" s="14" t="s">
        <v>2055</v>
      </c>
      <c r="AN97" s="14" t="s">
        <v>2068</v>
      </c>
      <c r="AO97" s="14" t="s">
        <v>2048</v>
      </c>
      <c r="AP97" s="14" t="s">
        <v>2048</v>
      </c>
      <c r="AQ97" s="14" t="s">
        <v>2048</v>
      </c>
      <c r="AR97" s="14" t="s">
        <v>4084</v>
      </c>
      <c r="AS97" s="14" t="s">
        <v>108</v>
      </c>
      <c r="AT97" s="14" t="s">
        <v>2135</v>
      </c>
      <c r="AU97" s="14" t="s">
        <v>2059</v>
      </c>
      <c r="AV97" s="14" t="s">
        <v>2060</v>
      </c>
      <c r="AW97" s="14" t="s">
        <v>2048</v>
      </c>
      <c r="AX97" s="14" t="s">
        <v>72</v>
      </c>
      <c r="AY97" s="14" t="s">
        <v>4085</v>
      </c>
      <c r="AZ97" s="14" t="s">
        <v>4086</v>
      </c>
      <c r="BA97" s="14" t="s">
        <v>2048</v>
      </c>
      <c r="BB97" s="14" t="s">
        <v>2048</v>
      </c>
      <c r="BC97" s="14" t="s">
        <v>81</v>
      </c>
      <c r="BD97" s="14" t="s">
        <v>83</v>
      </c>
      <c r="BE97" s="14" t="s">
        <v>4087</v>
      </c>
      <c r="BF97" s="14" t="s">
        <v>2048</v>
      </c>
      <c r="BG97" s="14" t="s">
        <v>2048</v>
      </c>
      <c r="BH97" s="14" t="s">
        <v>2743</v>
      </c>
      <c r="BI97" s="14" t="s">
        <v>4088</v>
      </c>
      <c r="BJ97" s="14" t="s">
        <v>2048</v>
      </c>
      <c r="BK97" s="14" t="s">
        <v>2048</v>
      </c>
      <c r="BL97" s="14" t="s">
        <v>4089</v>
      </c>
      <c r="BM97" s="14" t="s">
        <v>2218</v>
      </c>
      <c r="BN97" s="14" t="s">
        <v>2048</v>
      </c>
      <c r="BO97" s="14" t="s">
        <v>2048</v>
      </c>
      <c r="BP97" s="14" t="s">
        <v>2064</v>
      </c>
      <c r="BQ97" s="14" t="s">
        <v>72</v>
      </c>
      <c r="BR97" s="14" t="s">
        <v>72</v>
      </c>
      <c r="BS97" s="14" t="s">
        <v>2048</v>
      </c>
      <c r="BT97" s="14" t="s">
        <v>2048</v>
      </c>
      <c r="BU97" s="14" t="s">
        <v>2048</v>
      </c>
      <c r="BV97" s="14" t="s">
        <v>2418</v>
      </c>
      <c r="BW97" s="14" t="s">
        <v>2089</v>
      </c>
      <c r="BX97" s="14" t="s">
        <v>2048</v>
      </c>
      <c r="BY97" s="14" t="s">
        <v>2048</v>
      </c>
      <c r="BZ97" s="14" t="s">
        <v>2048</v>
      </c>
      <c r="CA97" s="14" t="s">
        <v>2048</v>
      </c>
      <c r="CB97" s="14" t="s">
        <v>2048</v>
      </c>
      <c r="CC97" s="14" t="s">
        <v>2048</v>
      </c>
      <c r="CD97" s="14" t="s">
        <v>2048</v>
      </c>
      <c r="CE97" s="14" t="s">
        <v>2048</v>
      </c>
      <c r="CF97" s="14" t="s">
        <v>2048</v>
      </c>
      <c r="CG97" s="14" t="s">
        <v>2048</v>
      </c>
      <c r="CH97" s="14" t="s">
        <v>2048</v>
      </c>
      <c r="CI97" s="14" t="s">
        <v>2048</v>
      </c>
      <c r="CJ97" s="14" t="s">
        <v>2048</v>
      </c>
      <c r="CK97" s="14" t="s">
        <v>2057</v>
      </c>
      <c r="CL97" s="14" t="s">
        <v>2090</v>
      </c>
      <c r="CM97" s="14" t="s">
        <v>2048</v>
      </c>
      <c r="CN97" s="17"/>
      <c r="CO97" s="17">
        <v>45282</v>
      </c>
      <c r="CP97" s="17">
        <v>45282</v>
      </c>
      <c r="CR97" s="17">
        <v>45321</v>
      </c>
      <c r="CS97" s="19">
        <v>0</v>
      </c>
      <c r="CT97" s="19">
        <v>0</v>
      </c>
      <c r="CU97" s="19">
        <v>348</v>
      </c>
      <c r="CV97" s="19">
        <v>0</v>
      </c>
      <c r="CW97" s="19">
        <v>348</v>
      </c>
      <c r="CX97" s="19">
        <v>421.08</v>
      </c>
      <c r="CY97" s="19">
        <v>0</v>
      </c>
      <c r="CZ97" s="17"/>
      <c r="DA97" s="19">
        <v>0</v>
      </c>
      <c r="DB97" s="17"/>
      <c r="DC97" s="17"/>
      <c r="DD97" s="19">
        <v>0</v>
      </c>
      <c r="DE97" s="17"/>
      <c r="DF97" s="17"/>
      <c r="DG97" s="19">
        <v>100</v>
      </c>
      <c r="DH97" s="17"/>
      <c r="DI97" s="17">
        <v>45322</v>
      </c>
      <c r="DJ97" s="17"/>
      <c r="DK97" s="17"/>
      <c r="DL97" s="19">
        <v>0</v>
      </c>
      <c r="DM97" s="19">
        <v>0</v>
      </c>
    </row>
    <row r="98" spans="1:117" x14ac:dyDescent="0.2">
      <c r="A98" s="14" t="s">
        <v>3610</v>
      </c>
      <c r="B98" s="14" t="s">
        <v>139</v>
      </c>
      <c r="C98" s="14" t="s">
        <v>73</v>
      </c>
      <c r="D98" s="14" t="s">
        <v>74</v>
      </c>
      <c r="E98" s="14" t="s">
        <v>75</v>
      </c>
      <c r="F98" s="14" t="s">
        <v>76</v>
      </c>
      <c r="G98" s="17">
        <v>45321</v>
      </c>
      <c r="H98" s="14" t="s">
        <v>77</v>
      </c>
      <c r="I98" s="14" t="s">
        <v>78</v>
      </c>
      <c r="J98" s="14" t="s">
        <v>140</v>
      </c>
      <c r="K98" s="14" t="s">
        <v>141</v>
      </c>
      <c r="L98" s="14" t="s">
        <v>81</v>
      </c>
      <c r="M98" s="14" t="s">
        <v>82</v>
      </c>
      <c r="N98" s="16">
        <f>COUNTIF($M$3:M98, M98)</f>
        <v>3</v>
      </c>
      <c r="O98" s="16" t="str" cm="1">
        <f t="array" ref="O98">INDEX('[2]ALTA 20242025'!$B$2:$B$241, MATCH(1, ('[2]ALTA 20242025'!$I$2:$I$241=M98)*('[2]ALTA 20242025'!$J$2:$J$241=N98), 0))</f>
        <v>0686MWT</v>
      </c>
      <c r="P98" s="16"/>
      <c r="Q98" s="16"/>
      <c r="R98" s="14" t="s">
        <v>2048</v>
      </c>
      <c r="S98" s="14" t="s">
        <v>2048</v>
      </c>
      <c r="T98" s="14" t="s">
        <v>2048</v>
      </c>
      <c r="U98" s="14" t="s">
        <v>2048</v>
      </c>
      <c r="V98" s="14" t="s">
        <v>4019</v>
      </c>
      <c r="W98" s="14" t="s">
        <v>72</v>
      </c>
      <c r="X98" s="14" t="s">
        <v>72</v>
      </c>
      <c r="Y98" s="14" t="s">
        <v>4090</v>
      </c>
      <c r="Z98" s="14" t="s">
        <v>2048</v>
      </c>
      <c r="AA98" s="14" t="s">
        <v>2422</v>
      </c>
      <c r="AB98" s="14" t="s">
        <v>2049</v>
      </c>
      <c r="AC98" s="14" t="s">
        <v>2050</v>
      </c>
      <c r="AD98" s="14" t="s">
        <v>2048</v>
      </c>
      <c r="AE98" s="14" t="s">
        <v>2048</v>
      </c>
      <c r="AF98" s="14" t="s">
        <v>2048</v>
      </c>
      <c r="AG98" s="14" t="s">
        <v>2048</v>
      </c>
      <c r="AH98" s="14" t="s">
        <v>2048</v>
      </c>
      <c r="AI98" s="14" t="s">
        <v>2129</v>
      </c>
      <c r="AJ98" s="14" t="s">
        <v>2130</v>
      </c>
      <c r="AK98" s="14" t="s">
        <v>2055</v>
      </c>
      <c r="AL98" s="14" t="s">
        <v>2055</v>
      </c>
      <c r="AM98" s="14" t="s">
        <v>2055</v>
      </c>
      <c r="AN98" s="14" t="s">
        <v>2068</v>
      </c>
      <c r="AO98" s="14" t="s">
        <v>2048</v>
      </c>
      <c r="AP98" s="14" t="s">
        <v>2048</v>
      </c>
      <c r="AQ98" s="14" t="s">
        <v>2048</v>
      </c>
      <c r="AR98" s="14" t="s">
        <v>4084</v>
      </c>
      <c r="AS98" s="14" t="s">
        <v>108</v>
      </c>
      <c r="AT98" s="14" t="s">
        <v>2135</v>
      </c>
      <c r="AU98" s="14" t="s">
        <v>2059</v>
      </c>
      <c r="AV98" s="14" t="s">
        <v>2060</v>
      </c>
      <c r="AW98" s="14" t="s">
        <v>2048</v>
      </c>
      <c r="AX98" s="14" t="s">
        <v>2048</v>
      </c>
      <c r="AY98" s="14" t="s">
        <v>4085</v>
      </c>
      <c r="AZ98" s="14" t="s">
        <v>4086</v>
      </c>
      <c r="BA98" s="14" t="s">
        <v>2048</v>
      </c>
      <c r="BB98" s="14" t="s">
        <v>2048</v>
      </c>
      <c r="BC98" s="14" t="s">
        <v>81</v>
      </c>
      <c r="BD98" s="14" t="s">
        <v>83</v>
      </c>
      <c r="BE98" s="14" t="s">
        <v>4087</v>
      </c>
      <c r="BF98" s="14" t="s">
        <v>2048</v>
      </c>
      <c r="BG98" s="14" t="s">
        <v>2048</v>
      </c>
      <c r="BH98" s="14" t="s">
        <v>2743</v>
      </c>
      <c r="BI98" s="14" t="s">
        <v>4088</v>
      </c>
      <c r="BJ98" s="14" t="s">
        <v>2048</v>
      </c>
      <c r="BK98" s="14" t="s">
        <v>2048</v>
      </c>
      <c r="BL98" s="14" t="s">
        <v>4089</v>
      </c>
      <c r="BM98" s="14" t="s">
        <v>2218</v>
      </c>
      <c r="BN98" s="14" t="s">
        <v>2048</v>
      </c>
      <c r="BO98" s="14" t="s">
        <v>2048</v>
      </c>
      <c r="BP98" s="14" t="s">
        <v>2064</v>
      </c>
      <c r="BQ98" s="14" t="s">
        <v>72</v>
      </c>
      <c r="BR98" s="14" t="s">
        <v>72</v>
      </c>
      <c r="BS98" s="14" t="s">
        <v>2048</v>
      </c>
      <c r="BT98" s="14" t="s">
        <v>2048</v>
      </c>
      <c r="BU98" s="14" t="s">
        <v>2048</v>
      </c>
      <c r="BV98" s="14" t="s">
        <v>2331</v>
      </c>
      <c r="BW98" s="14" t="s">
        <v>2131</v>
      </c>
      <c r="BX98" s="14" t="s">
        <v>2048</v>
      </c>
      <c r="BY98" s="14" t="s">
        <v>2048</v>
      </c>
      <c r="BZ98" s="14" t="s">
        <v>2048</v>
      </c>
      <c r="CA98" s="14" t="s">
        <v>2048</v>
      </c>
      <c r="CB98" s="14" t="s">
        <v>2048</v>
      </c>
      <c r="CC98" s="14" t="s">
        <v>2048</v>
      </c>
      <c r="CD98" s="14" t="s">
        <v>2048</v>
      </c>
      <c r="CE98" s="14" t="s">
        <v>2048</v>
      </c>
      <c r="CF98" s="14" t="s">
        <v>2048</v>
      </c>
      <c r="CG98" s="14" t="s">
        <v>2048</v>
      </c>
      <c r="CH98" s="14" t="s">
        <v>2048</v>
      </c>
      <c r="CI98" s="14" t="s">
        <v>2048</v>
      </c>
      <c r="CJ98" s="14" t="s">
        <v>2048</v>
      </c>
      <c r="CK98" s="14" t="s">
        <v>2068</v>
      </c>
      <c r="CL98" s="14" t="s">
        <v>2069</v>
      </c>
      <c r="CM98" s="14" t="s">
        <v>2048</v>
      </c>
      <c r="CN98" s="17"/>
      <c r="CO98" s="17">
        <v>45282</v>
      </c>
      <c r="CP98" s="17">
        <v>45282</v>
      </c>
      <c r="CR98" s="17">
        <v>45321</v>
      </c>
      <c r="CS98" s="19">
        <v>0</v>
      </c>
      <c r="CT98" s="19">
        <v>0</v>
      </c>
      <c r="CU98" s="19">
        <v>348</v>
      </c>
      <c r="CV98" s="19">
        <v>0</v>
      </c>
      <c r="CW98" s="19">
        <v>348</v>
      </c>
      <c r="CX98" s="19">
        <v>421.08</v>
      </c>
      <c r="CY98" s="19">
        <v>0</v>
      </c>
      <c r="CZ98" s="17"/>
      <c r="DA98" s="19">
        <v>0</v>
      </c>
      <c r="DB98" s="17"/>
      <c r="DC98" s="17"/>
      <c r="DD98" s="19">
        <v>0</v>
      </c>
      <c r="DE98" s="17"/>
      <c r="DF98" s="17"/>
      <c r="DG98" s="19">
        <v>100</v>
      </c>
      <c r="DH98" s="17"/>
      <c r="DI98" s="17">
        <v>45322</v>
      </c>
      <c r="DJ98" s="17"/>
      <c r="DK98" s="17"/>
      <c r="DL98" s="19">
        <v>0</v>
      </c>
      <c r="DM98" s="19">
        <v>0</v>
      </c>
    </row>
    <row r="99" spans="1:117" x14ac:dyDescent="0.2">
      <c r="A99" s="14" t="s">
        <v>3610</v>
      </c>
      <c r="B99" s="14" t="s">
        <v>69</v>
      </c>
      <c r="C99" s="14" t="s">
        <v>73</v>
      </c>
      <c r="D99" s="14" t="s">
        <v>74</v>
      </c>
      <c r="E99" s="14" t="s">
        <v>75</v>
      </c>
      <c r="F99" s="14" t="s">
        <v>76</v>
      </c>
      <c r="G99" s="17">
        <v>45322</v>
      </c>
      <c r="H99" s="14" t="s">
        <v>77</v>
      </c>
      <c r="I99" s="14" t="s">
        <v>78</v>
      </c>
      <c r="J99" s="14" t="s">
        <v>79</v>
      </c>
      <c r="K99" s="14" t="s">
        <v>80</v>
      </c>
      <c r="L99" s="14" t="s">
        <v>81</v>
      </c>
      <c r="M99" s="14" t="s">
        <v>82</v>
      </c>
      <c r="N99" s="16">
        <f>COUNTIF($M$3:M99, M99)</f>
        <v>4</v>
      </c>
      <c r="O99" s="16" t="str" cm="1">
        <f t="array" ref="O99">INDEX('[2]ALTA 20242025'!$B$2:$B$241, MATCH(1, ('[2]ALTA 20242025'!$I$2:$I$241=M99)*('[2]ALTA 20242025'!$J$2:$J$241=N99), 0))</f>
        <v>0692MWT</v>
      </c>
      <c r="P99" s="16"/>
      <c r="Q99" s="16"/>
      <c r="R99" s="14" t="s">
        <v>2048</v>
      </c>
      <c r="S99" s="14" t="s">
        <v>2048</v>
      </c>
      <c r="T99" s="14" t="s">
        <v>2048</v>
      </c>
      <c r="U99" s="14" t="s">
        <v>2048</v>
      </c>
      <c r="V99" s="14" t="s">
        <v>4019</v>
      </c>
      <c r="W99" s="14" t="s">
        <v>72</v>
      </c>
      <c r="X99" s="14" t="s">
        <v>72</v>
      </c>
      <c r="Y99" s="14" t="s">
        <v>4091</v>
      </c>
      <c r="Z99" s="14" t="s">
        <v>2048</v>
      </c>
      <c r="AA99" s="14" t="s">
        <v>2422</v>
      </c>
      <c r="AB99" s="14" t="s">
        <v>2049</v>
      </c>
      <c r="AC99" s="14" t="s">
        <v>2048</v>
      </c>
      <c r="AD99" s="14" t="s">
        <v>2048</v>
      </c>
      <c r="AE99" s="14" t="s">
        <v>2048</v>
      </c>
      <c r="AF99" s="14" t="s">
        <v>2048</v>
      </c>
      <c r="AG99" s="14" t="s">
        <v>2048</v>
      </c>
      <c r="AH99" s="14" t="s">
        <v>2048</v>
      </c>
      <c r="AI99" s="14" t="s">
        <v>2129</v>
      </c>
      <c r="AJ99" s="14" t="s">
        <v>2130</v>
      </c>
      <c r="AK99" s="14" t="s">
        <v>2055</v>
      </c>
      <c r="AL99" s="14" t="s">
        <v>2055</v>
      </c>
      <c r="AM99" s="14" t="s">
        <v>2055</v>
      </c>
      <c r="AN99" s="14" t="s">
        <v>2068</v>
      </c>
      <c r="AO99" s="14" t="s">
        <v>2048</v>
      </c>
      <c r="AP99" s="14" t="s">
        <v>2048</v>
      </c>
      <c r="AQ99" s="14" t="s">
        <v>2048</v>
      </c>
      <c r="AR99" s="14" t="s">
        <v>4084</v>
      </c>
      <c r="AS99" s="14" t="s">
        <v>108</v>
      </c>
      <c r="AT99" s="14" t="s">
        <v>2135</v>
      </c>
      <c r="AU99" s="14" t="s">
        <v>2059</v>
      </c>
      <c r="AV99" s="14" t="s">
        <v>2060</v>
      </c>
      <c r="AW99" s="14" t="s">
        <v>2048</v>
      </c>
      <c r="AX99" s="14" t="s">
        <v>72</v>
      </c>
      <c r="AY99" s="14" t="s">
        <v>4085</v>
      </c>
      <c r="AZ99" s="14" t="s">
        <v>4086</v>
      </c>
      <c r="BA99" s="14" t="s">
        <v>2048</v>
      </c>
      <c r="BB99" s="14" t="s">
        <v>2048</v>
      </c>
      <c r="BC99" s="14" t="s">
        <v>81</v>
      </c>
      <c r="BD99" s="14" t="s">
        <v>83</v>
      </c>
      <c r="BE99" s="14" t="s">
        <v>4087</v>
      </c>
      <c r="BF99" s="14" t="s">
        <v>2048</v>
      </c>
      <c r="BG99" s="14" t="s">
        <v>2048</v>
      </c>
      <c r="BH99" s="14" t="s">
        <v>2743</v>
      </c>
      <c r="BI99" s="14" t="s">
        <v>4088</v>
      </c>
      <c r="BJ99" s="14" t="s">
        <v>2048</v>
      </c>
      <c r="BK99" s="14" t="s">
        <v>2048</v>
      </c>
      <c r="BL99" s="14" t="s">
        <v>4089</v>
      </c>
      <c r="BM99" s="14" t="s">
        <v>2218</v>
      </c>
      <c r="BN99" s="14" t="s">
        <v>2048</v>
      </c>
      <c r="BO99" s="14" t="s">
        <v>2048</v>
      </c>
      <c r="BP99" s="14" t="s">
        <v>2064</v>
      </c>
      <c r="BQ99" s="14" t="s">
        <v>2048</v>
      </c>
      <c r="BR99" s="14" t="s">
        <v>2048</v>
      </c>
      <c r="BS99" s="14" t="s">
        <v>2048</v>
      </c>
      <c r="BT99" s="14" t="s">
        <v>2048</v>
      </c>
      <c r="BU99" s="14" t="s">
        <v>2048</v>
      </c>
      <c r="BV99" s="14" t="s">
        <v>2331</v>
      </c>
      <c r="BW99" s="14" t="s">
        <v>2131</v>
      </c>
      <c r="BX99" s="14" t="s">
        <v>2048</v>
      </c>
      <c r="BY99" s="14" t="s">
        <v>2048</v>
      </c>
      <c r="BZ99" s="14" t="s">
        <v>2048</v>
      </c>
      <c r="CA99" s="14" t="s">
        <v>2048</v>
      </c>
      <c r="CB99" s="14" t="s">
        <v>2048</v>
      </c>
      <c r="CC99" s="14" t="s">
        <v>2048</v>
      </c>
      <c r="CD99" s="14" t="s">
        <v>2048</v>
      </c>
      <c r="CE99" s="14" t="s">
        <v>2048</v>
      </c>
      <c r="CF99" s="14" t="s">
        <v>2048</v>
      </c>
      <c r="CG99" s="14" t="s">
        <v>2048</v>
      </c>
      <c r="CH99" s="14" t="s">
        <v>2048</v>
      </c>
      <c r="CI99" s="14" t="s">
        <v>2048</v>
      </c>
      <c r="CJ99" s="14" t="s">
        <v>2048</v>
      </c>
      <c r="CK99" s="14" t="s">
        <v>2068</v>
      </c>
      <c r="CL99" s="14" t="s">
        <v>2069</v>
      </c>
      <c r="CM99" s="14" t="s">
        <v>2048</v>
      </c>
      <c r="CN99" s="17"/>
      <c r="CO99" s="17">
        <v>45286</v>
      </c>
      <c r="CP99" s="17">
        <v>45286</v>
      </c>
      <c r="CR99" s="17">
        <v>45322</v>
      </c>
      <c r="CS99" s="19">
        <v>0</v>
      </c>
      <c r="CT99" s="19">
        <v>0</v>
      </c>
      <c r="CU99" s="19">
        <v>348</v>
      </c>
      <c r="CV99" s="19">
        <v>0</v>
      </c>
      <c r="CW99" s="19">
        <v>348</v>
      </c>
      <c r="CX99" s="19">
        <v>348</v>
      </c>
      <c r="CY99" s="19">
        <v>0</v>
      </c>
      <c r="CZ99" s="17"/>
      <c r="DA99" s="19">
        <v>0</v>
      </c>
      <c r="DB99" s="17"/>
      <c r="DC99" s="17"/>
      <c r="DD99" s="19">
        <v>0</v>
      </c>
      <c r="DE99" s="17"/>
      <c r="DF99" s="17"/>
      <c r="DG99" s="19">
        <v>100</v>
      </c>
      <c r="DH99" s="17"/>
      <c r="DI99" s="17">
        <v>45322</v>
      </c>
      <c r="DJ99" s="17"/>
      <c r="DK99" s="17"/>
      <c r="DL99" s="19">
        <v>0</v>
      </c>
      <c r="DM99" s="19">
        <v>0</v>
      </c>
    </row>
    <row r="100" spans="1:117" x14ac:dyDescent="0.2">
      <c r="A100" s="14" t="s">
        <v>3610</v>
      </c>
      <c r="B100" s="14" t="s">
        <v>1262</v>
      </c>
      <c r="C100" s="14" t="s">
        <v>73</v>
      </c>
      <c r="D100" s="14" t="s">
        <v>200</v>
      </c>
      <c r="E100" s="14" t="s">
        <v>201</v>
      </c>
      <c r="F100" s="14" t="s">
        <v>160</v>
      </c>
      <c r="G100" s="17">
        <v>45476</v>
      </c>
      <c r="H100" s="14" t="s">
        <v>161</v>
      </c>
      <c r="I100" s="14" t="s">
        <v>78</v>
      </c>
      <c r="J100" s="14" t="s">
        <v>359</v>
      </c>
      <c r="K100" s="14" t="s">
        <v>360</v>
      </c>
      <c r="L100" s="14" t="s">
        <v>584</v>
      </c>
      <c r="M100" s="14" t="s">
        <v>585</v>
      </c>
      <c r="N100" s="16">
        <f>COUNTIF($M$3:M100, M100)</f>
        <v>5</v>
      </c>
      <c r="O100" s="16" t="e" cm="1">
        <f t="array" ref="O100">INDEX('[2]ALTA 20242025'!$B$2:$B$241, MATCH(1, ('[2]ALTA 20242025'!$I$2:$I$241=M100)*('[2]ALTA 20242025'!$J$2:$J$241=N100), 0))</f>
        <v>#N/A</v>
      </c>
      <c r="P100" s="16"/>
      <c r="Q100" s="16"/>
      <c r="R100" s="14" t="s">
        <v>2048</v>
      </c>
      <c r="S100" s="14" t="s">
        <v>2048</v>
      </c>
      <c r="T100" s="14" t="s">
        <v>2048</v>
      </c>
      <c r="U100" s="14" t="s">
        <v>2048</v>
      </c>
      <c r="V100" s="14" t="s">
        <v>3831</v>
      </c>
      <c r="W100" s="14" t="s">
        <v>4092</v>
      </c>
      <c r="X100" s="14" t="s">
        <v>3818</v>
      </c>
      <c r="Y100" s="14" t="s">
        <v>4093</v>
      </c>
      <c r="Z100" s="14" t="s">
        <v>2048</v>
      </c>
      <c r="AA100" s="14" t="s">
        <v>2422</v>
      </c>
      <c r="AB100" s="14" t="s">
        <v>2049</v>
      </c>
      <c r="AC100" s="14" t="s">
        <v>2050</v>
      </c>
      <c r="AD100" s="14" t="s">
        <v>3788</v>
      </c>
      <c r="AE100" s="14" t="s">
        <v>3613</v>
      </c>
      <c r="AF100" s="14" t="s">
        <v>3614</v>
      </c>
      <c r="AG100" s="14" t="s">
        <v>200</v>
      </c>
      <c r="AH100" s="14" t="s">
        <v>3622</v>
      </c>
      <c r="AI100" s="14" t="s">
        <v>3472</v>
      </c>
      <c r="AJ100" s="14" t="s">
        <v>3821</v>
      </c>
      <c r="AK100" s="14" t="s">
        <v>2055</v>
      </c>
      <c r="AL100" s="14" t="s">
        <v>2055</v>
      </c>
      <c r="AM100" s="14" t="s">
        <v>2055</v>
      </c>
      <c r="AN100" s="14" t="s">
        <v>2068</v>
      </c>
      <c r="AO100" s="14" t="s">
        <v>2048</v>
      </c>
      <c r="AP100" s="14" t="s">
        <v>2048</v>
      </c>
      <c r="AQ100" s="14" t="s">
        <v>2048</v>
      </c>
      <c r="AR100" s="14" t="s">
        <v>2048</v>
      </c>
      <c r="AS100" s="14" t="s">
        <v>3615</v>
      </c>
      <c r="AT100" s="14" t="s">
        <v>2418</v>
      </c>
      <c r="AU100" s="14" t="s">
        <v>4094</v>
      </c>
      <c r="AV100" s="14" t="s">
        <v>3221</v>
      </c>
      <c r="AW100" s="14" t="s">
        <v>3222</v>
      </c>
      <c r="AX100" s="14" t="s">
        <v>72</v>
      </c>
      <c r="AY100" s="14" t="s">
        <v>3221</v>
      </c>
      <c r="AZ100" s="14" t="s">
        <v>3222</v>
      </c>
      <c r="BA100" s="14" t="s">
        <v>3627</v>
      </c>
      <c r="BB100" s="14" t="s">
        <v>2048</v>
      </c>
      <c r="BC100" s="14" t="s">
        <v>584</v>
      </c>
      <c r="BD100" s="14" t="s">
        <v>1263</v>
      </c>
      <c r="BE100" s="14" t="s">
        <v>4095</v>
      </c>
      <c r="BF100" s="14" t="s">
        <v>2048</v>
      </c>
      <c r="BG100" s="14" t="s">
        <v>2048</v>
      </c>
      <c r="BH100" s="14" t="s">
        <v>2710</v>
      </c>
      <c r="BI100" s="14" t="s">
        <v>2711</v>
      </c>
      <c r="BJ100" s="14" t="s">
        <v>2048</v>
      </c>
      <c r="BK100" s="14" t="s">
        <v>2048</v>
      </c>
      <c r="BL100" s="14" t="s">
        <v>2517</v>
      </c>
      <c r="BM100" s="14" t="s">
        <v>2218</v>
      </c>
      <c r="BN100" s="14" t="s">
        <v>2048</v>
      </c>
      <c r="BO100" s="14" t="s">
        <v>2518</v>
      </c>
      <c r="BP100" s="14" t="s">
        <v>2064</v>
      </c>
      <c r="BQ100" s="14" t="s">
        <v>72</v>
      </c>
      <c r="BR100" s="14" t="s">
        <v>72</v>
      </c>
      <c r="BS100" s="14" t="s">
        <v>2048</v>
      </c>
      <c r="BT100" s="14" t="s">
        <v>2219</v>
      </c>
      <c r="BU100" s="14" t="s">
        <v>2220</v>
      </c>
      <c r="BV100" s="14" t="s">
        <v>2331</v>
      </c>
      <c r="BW100" s="14" t="s">
        <v>2131</v>
      </c>
      <c r="BX100" s="14" t="s">
        <v>2048</v>
      </c>
      <c r="BY100" s="14" t="s">
        <v>2048</v>
      </c>
      <c r="BZ100" s="14" t="s">
        <v>2048</v>
      </c>
      <c r="CA100" s="14" t="s">
        <v>2048</v>
      </c>
      <c r="CB100" s="14" t="s">
        <v>72</v>
      </c>
      <c r="CC100" s="14" t="s">
        <v>2048</v>
      </c>
      <c r="CD100" s="14" t="s">
        <v>72</v>
      </c>
      <c r="CE100" s="14" t="s">
        <v>2048</v>
      </c>
      <c r="CF100" s="14" t="s">
        <v>2048</v>
      </c>
      <c r="CG100" s="14" t="s">
        <v>2048</v>
      </c>
      <c r="CH100" s="14" t="s">
        <v>2048</v>
      </c>
      <c r="CI100" s="14" t="s">
        <v>2048</v>
      </c>
      <c r="CJ100" s="14" t="s">
        <v>2048</v>
      </c>
      <c r="CK100" s="14" t="s">
        <v>3714</v>
      </c>
      <c r="CL100" s="14" t="s">
        <v>3761</v>
      </c>
      <c r="CM100" s="14" t="s">
        <v>2048</v>
      </c>
      <c r="CN100" s="17"/>
      <c r="CO100" s="17">
        <v>43619</v>
      </c>
      <c r="CP100" s="17">
        <v>43619</v>
      </c>
      <c r="CR100" s="17">
        <v>45757</v>
      </c>
      <c r="CS100" s="19">
        <v>61</v>
      </c>
      <c r="CT100" s="19">
        <v>0</v>
      </c>
      <c r="CU100" s="19">
        <v>269.54000000000002</v>
      </c>
      <c r="CV100" s="19">
        <v>0</v>
      </c>
      <c r="CW100" s="19">
        <v>269.54000000000002</v>
      </c>
      <c r="CX100" s="19">
        <v>326.14</v>
      </c>
      <c r="CY100" s="19">
        <v>0</v>
      </c>
      <c r="CZ100" s="17"/>
      <c r="DA100" s="20">
        <v>100000</v>
      </c>
      <c r="DB100" s="17">
        <v>45808</v>
      </c>
      <c r="DC100" s="17"/>
      <c r="DD100" s="19">
        <v>0</v>
      </c>
      <c r="DE100" s="17"/>
      <c r="DF100" s="17"/>
      <c r="DG100" s="19">
        <v>100</v>
      </c>
      <c r="DH100" s="17"/>
      <c r="DI100" s="17">
        <v>46022</v>
      </c>
      <c r="DJ100" s="17"/>
      <c r="DK100" s="17"/>
      <c r="DL100" s="19">
        <v>0</v>
      </c>
      <c r="DM100" s="19">
        <v>0</v>
      </c>
    </row>
    <row r="101" spans="1:117" x14ac:dyDescent="0.2">
      <c r="A101" s="14" t="s">
        <v>3610</v>
      </c>
      <c r="B101" s="14" t="s">
        <v>621</v>
      </c>
      <c r="C101" s="14" t="s">
        <v>73</v>
      </c>
      <c r="D101" s="14" t="s">
        <v>200</v>
      </c>
      <c r="E101" s="14" t="s">
        <v>201</v>
      </c>
      <c r="F101" s="14" t="s">
        <v>76</v>
      </c>
      <c r="G101" s="17">
        <v>45323</v>
      </c>
      <c r="H101" s="14" t="s">
        <v>77</v>
      </c>
      <c r="I101" s="14" t="s">
        <v>78</v>
      </c>
      <c r="J101" s="14" t="s">
        <v>359</v>
      </c>
      <c r="K101" s="14" t="s">
        <v>604</v>
      </c>
      <c r="L101" s="14" t="s">
        <v>131</v>
      </c>
      <c r="M101" s="14" t="s">
        <v>132</v>
      </c>
      <c r="N101" s="16">
        <f>COUNTIF($M$3:M101, M101)</f>
        <v>13</v>
      </c>
      <c r="O101" s="16" t="str" cm="1">
        <f t="array" ref="O101">INDEX('[2]ALTA 20242025'!$B$2:$B$241, MATCH(1, ('[2]ALTA 20242025'!$I$2:$I$241=M101)*('[2]ALTA 20242025'!$J$2:$J$241=N101), 0))</f>
        <v>8637MWT</v>
      </c>
      <c r="P101" s="16"/>
      <c r="Q101" s="16"/>
      <c r="R101" s="14" t="s">
        <v>2048</v>
      </c>
      <c r="S101" s="14" t="s">
        <v>2048</v>
      </c>
      <c r="T101" s="14" t="s">
        <v>2048</v>
      </c>
      <c r="U101" s="14" t="s">
        <v>2048</v>
      </c>
      <c r="V101" s="14" t="s">
        <v>3837</v>
      </c>
      <c r="W101" s="14" t="s">
        <v>72</v>
      </c>
      <c r="X101" s="14" t="s">
        <v>72</v>
      </c>
      <c r="Y101" s="14" t="s">
        <v>4096</v>
      </c>
      <c r="Z101" s="14" t="s">
        <v>2048</v>
      </c>
      <c r="AA101" s="14" t="s">
        <v>2422</v>
      </c>
      <c r="AB101" s="14" t="s">
        <v>2049</v>
      </c>
      <c r="AC101" s="14" t="s">
        <v>2050</v>
      </c>
      <c r="AD101" s="14" t="s">
        <v>3788</v>
      </c>
      <c r="AE101" s="14" t="s">
        <v>3613</v>
      </c>
      <c r="AF101" s="14" t="s">
        <v>3614</v>
      </c>
      <c r="AG101" s="14" t="s">
        <v>2048</v>
      </c>
      <c r="AH101" s="14" t="s">
        <v>2048</v>
      </c>
      <c r="AI101" s="14" t="s">
        <v>2442</v>
      </c>
      <c r="AJ101" s="14" t="s">
        <v>2443</v>
      </c>
      <c r="AK101" s="14" t="s">
        <v>2055</v>
      </c>
      <c r="AL101" s="14" t="s">
        <v>2056</v>
      </c>
      <c r="AM101" s="14" t="s">
        <v>2055</v>
      </c>
      <c r="AN101" s="14" t="s">
        <v>2068</v>
      </c>
      <c r="AO101" s="14" t="s">
        <v>2048</v>
      </c>
      <c r="AP101" s="14" t="s">
        <v>2048</v>
      </c>
      <c r="AQ101" s="14" t="s">
        <v>2048</v>
      </c>
      <c r="AR101" s="14" t="s">
        <v>2048</v>
      </c>
      <c r="AS101" s="14" t="s">
        <v>3726</v>
      </c>
      <c r="AT101" s="14" t="s">
        <v>2535</v>
      </c>
      <c r="AU101" s="14" t="s">
        <v>2059</v>
      </c>
      <c r="AV101" s="14" t="s">
        <v>4097</v>
      </c>
      <c r="AW101" s="14" t="s">
        <v>4098</v>
      </c>
      <c r="AX101" s="14" t="s">
        <v>2048</v>
      </c>
      <c r="AY101" s="14" t="s">
        <v>2448</v>
      </c>
      <c r="AZ101" s="14" t="s">
        <v>2449</v>
      </c>
      <c r="BA101" s="14" t="s">
        <v>2048</v>
      </c>
      <c r="BB101" s="14" t="s">
        <v>2048</v>
      </c>
      <c r="BC101" s="14" t="s">
        <v>131</v>
      </c>
      <c r="BD101" s="14" t="s">
        <v>622</v>
      </c>
      <c r="BE101" s="14" t="s">
        <v>2450</v>
      </c>
      <c r="BF101" s="14" t="s">
        <v>2048</v>
      </c>
      <c r="BG101" s="14" t="s">
        <v>2048</v>
      </c>
      <c r="BH101" s="14" t="s">
        <v>2048</v>
      </c>
      <c r="BI101" s="14" t="s">
        <v>2048</v>
      </c>
      <c r="BJ101" s="14" t="s">
        <v>2452</v>
      </c>
      <c r="BK101" s="14" t="s">
        <v>2453</v>
      </c>
      <c r="BL101" s="14" t="s">
        <v>2454</v>
      </c>
      <c r="BM101" s="14" t="s">
        <v>2455</v>
      </c>
      <c r="BN101" s="14" t="s">
        <v>2048</v>
      </c>
      <c r="BO101" s="14" t="s">
        <v>2518</v>
      </c>
      <c r="BP101" s="14" t="s">
        <v>2064</v>
      </c>
      <c r="BQ101" s="14" t="s">
        <v>72</v>
      </c>
      <c r="BR101" s="14" t="s">
        <v>72</v>
      </c>
      <c r="BS101" s="14" t="s">
        <v>2048</v>
      </c>
      <c r="BT101" s="14" t="s">
        <v>2457</v>
      </c>
      <c r="BU101" s="14" t="s">
        <v>2458</v>
      </c>
      <c r="BV101" s="14" t="s">
        <v>2331</v>
      </c>
      <c r="BW101" s="14" t="s">
        <v>2131</v>
      </c>
      <c r="BX101" s="14" t="s">
        <v>2048</v>
      </c>
      <c r="BY101" s="14" t="s">
        <v>2048</v>
      </c>
      <c r="BZ101" s="14" t="s">
        <v>2048</v>
      </c>
      <c r="CA101" s="14" t="s">
        <v>2048</v>
      </c>
      <c r="CB101" s="14" t="s">
        <v>2048</v>
      </c>
      <c r="CC101" s="14" t="s">
        <v>2048</v>
      </c>
      <c r="CD101" s="14" t="s">
        <v>2048</v>
      </c>
      <c r="CE101" s="14" t="s">
        <v>2048</v>
      </c>
      <c r="CF101" s="14" t="s">
        <v>2048</v>
      </c>
      <c r="CG101" s="14" t="s">
        <v>2048</v>
      </c>
      <c r="CH101" s="14" t="s">
        <v>2048</v>
      </c>
      <c r="CI101" s="14" t="s">
        <v>2048</v>
      </c>
      <c r="CJ101" s="14" t="s">
        <v>2048</v>
      </c>
      <c r="CK101" s="14" t="s">
        <v>2068</v>
      </c>
      <c r="CL101" s="14" t="s">
        <v>2069</v>
      </c>
      <c r="CM101" s="14" t="s">
        <v>2048</v>
      </c>
      <c r="CN101" s="17"/>
      <c r="CO101" s="17">
        <v>43312</v>
      </c>
      <c r="CP101" s="17">
        <v>43312</v>
      </c>
      <c r="CR101" s="17">
        <v>45323</v>
      </c>
      <c r="CS101" s="19">
        <v>66</v>
      </c>
      <c r="CT101" s="19">
        <v>0</v>
      </c>
      <c r="CU101" s="19">
        <v>200.42</v>
      </c>
      <c r="CV101" s="19">
        <v>0</v>
      </c>
      <c r="CW101" s="19">
        <v>200.42</v>
      </c>
      <c r="CX101" s="19">
        <v>242.51</v>
      </c>
      <c r="CY101" s="19">
        <v>0</v>
      </c>
      <c r="CZ101" s="17"/>
      <c r="DA101" s="19">
        <v>0</v>
      </c>
      <c r="DB101" s="17"/>
      <c r="DC101" s="17"/>
      <c r="DD101" s="19">
        <v>0</v>
      </c>
      <c r="DE101" s="17"/>
      <c r="DF101" s="17"/>
      <c r="DG101" s="19">
        <v>100</v>
      </c>
      <c r="DH101" s="17"/>
      <c r="DI101" s="17">
        <v>45657</v>
      </c>
      <c r="DJ101" s="17"/>
      <c r="DK101" s="17"/>
      <c r="DL101" s="19">
        <v>0</v>
      </c>
      <c r="DM101" s="19">
        <v>0</v>
      </c>
    </row>
    <row r="102" spans="1:117" x14ac:dyDescent="0.2">
      <c r="A102" s="14" t="s">
        <v>3610</v>
      </c>
      <c r="B102" s="14" t="s">
        <v>1265</v>
      </c>
      <c r="C102" s="14" t="s">
        <v>73</v>
      </c>
      <c r="D102" s="14" t="s">
        <v>200</v>
      </c>
      <c r="E102" s="14" t="s">
        <v>201</v>
      </c>
      <c r="F102" s="14" t="s">
        <v>76</v>
      </c>
      <c r="G102" s="17">
        <v>45490</v>
      </c>
      <c r="H102" s="14" t="s">
        <v>77</v>
      </c>
      <c r="I102" s="14" t="s">
        <v>78</v>
      </c>
      <c r="J102" s="14" t="s">
        <v>467</v>
      </c>
      <c r="K102" s="14" t="s">
        <v>1266</v>
      </c>
      <c r="L102" s="14" t="s">
        <v>1235</v>
      </c>
      <c r="M102" s="14" t="s">
        <v>1236</v>
      </c>
      <c r="N102" s="16">
        <f>COUNTIF($M$3:M102, M102)</f>
        <v>2</v>
      </c>
      <c r="O102" s="16" t="e" cm="1">
        <f t="array" ref="O102">INDEX('[2]ALTA 20242025'!$B$2:$B$241, MATCH(1, ('[2]ALTA 20242025'!$I$2:$I$241=M102)*('[2]ALTA 20242025'!$J$2:$J$241=N102), 0))</f>
        <v>#N/A</v>
      </c>
      <c r="P102" s="16"/>
      <c r="Q102" s="16"/>
      <c r="R102" s="14" t="s">
        <v>2048</v>
      </c>
      <c r="S102" s="14" t="s">
        <v>2048</v>
      </c>
      <c r="T102" s="14" t="s">
        <v>2048</v>
      </c>
      <c r="U102" s="14" t="s">
        <v>2048</v>
      </c>
      <c r="V102" s="14" t="s">
        <v>3857</v>
      </c>
      <c r="W102" s="14" t="s">
        <v>4099</v>
      </c>
      <c r="X102" s="14" t="s">
        <v>3944</v>
      </c>
      <c r="Y102" s="14" t="s">
        <v>2048</v>
      </c>
      <c r="Z102" s="14" t="s">
        <v>2048</v>
      </c>
      <c r="AA102" s="14" t="s">
        <v>2422</v>
      </c>
      <c r="AB102" s="14" t="s">
        <v>2049</v>
      </c>
      <c r="AC102" s="14" t="s">
        <v>2050</v>
      </c>
      <c r="AD102" s="14" t="s">
        <v>3725</v>
      </c>
      <c r="AE102" s="14" t="s">
        <v>3613</v>
      </c>
      <c r="AF102" s="14" t="s">
        <v>3614</v>
      </c>
      <c r="AG102" s="14" t="s">
        <v>2048</v>
      </c>
      <c r="AH102" s="14" t="s">
        <v>2048</v>
      </c>
      <c r="AI102" s="14" t="s">
        <v>2129</v>
      </c>
      <c r="AJ102" s="14" t="s">
        <v>2130</v>
      </c>
      <c r="AK102" s="14" t="s">
        <v>2055</v>
      </c>
      <c r="AL102" s="14" t="s">
        <v>2055</v>
      </c>
      <c r="AM102" s="14" t="s">
        <v>2055</v>
      </c>
      <c r="AN102" s="14" t="s">
        <v>2068</v>
      </c>
      <c r="AO102" s="14" t="s">
        <v>2048</v>
      </c>
      <c r="AP102" s="14" t="s">
        <v>2048</v>
      </c>
      <c r="AQ102" s="14" t="s">
        <v>2048</v>
      </c>
      <c r="AR102" s="14" t="s">
        <v>3945</v>
      </c>
      <c r="AS102" s="14" t="s">
        <v>3623</v>
      </c>
      <c r="AT102" s="14" t="s">
        <v>3191</v>
      </c>
      <c r="AU102" s="14" t="s">
        <v>2059</v>
      </c>
      <c r="AV102" s="14" t="s">
        <v>4100</v>
      </c>
      <c r="AW102" s="14" t="s">
        <v>4101</v>
      </c>
      <c r="AX102" s="14" t="s">
        <v>2048</v>
      </c>
      <c r="AY102" s="14" t="s">
        <v>3948</v>
      </c>
      <c r="AZ102" s="14" t="s">
        <v>3949</v>
      </c>
      <c r="BA102" s="14" t="s">
        <v>2048</v>
      </c>
      <c r="BB102" s="14" t="s">
        <v>2048</v>
      </c>
      <c r="BC102" s="14" t="s">
        <v>1235</v>
      </c>
      <c r="BD102" s="14" t="s">
        <v>312</v>
      </c>
      <c r="BE102" s="14" t="s">
        <v>2048</v>
      </c>
      <c r="BF102" s="14" t="s">
        <v>2048</v>
      </c>
      <c r="BG102" s="14" t="s">
        <v>2048</v>
      </c>
      <c r="BH102" s="14" t="s">
        <v>2048</v>
      </c>
      <c r="BI102" s="14" t="s">
        <v>2048</v>
      </c>
      <c r="BJ102" s="14" t="s">
        <v>2048</v>
      </c>
      <c r="BK102" s="14" t="s">
        <v>2048</v>
      </c>
      <c r="BL102" s="14" t="s">
        <v>2048</v>
      </c>
      <c r="BM102" s="14" t="s">
        <v>2048</v>
      </c>
      <c r="BN102" s="14" t="s">
        <v>2048</v>
      </c>
      <c r="BO102" s="14" t="s">
        <v>2518</v>
      </c>
      <c r="BP102" s="14" t="s">
        <v>2064</v>
      </c>
      <c r="BQ102" s="14" t="s">
        <v>72</v>
      </c>
      <c r="BR102" s="14" t="s">
        <v>72</v>
      </c>
      <c r="BS102" s="14" t="s">
        <v>2048</v>
      </c>
      <c r="BT102" s="14" t="s">
        <v>4102</v>
      </c>
      <c r="BU102" s="14" t="s">
        <v>3023</v>
      </c>
      <c r="BV102" s="14" t="s">
        <v>2331</v>
      </c>
      <c r="BW102" s="14" t="s">
        <v>2131</v>
      </c>
      <c r="BX102" s="14" t="s">
        <v>2048</v>
      </c>
      <c r="BY102" s="14" t="s">
        <v>2048</v>
      </c>
      <c r="BZ102" s="14" t="s">
        <v>2048</v>
      </c>
      <c r="CA102" s="14" t="s">
        <v>2048</v>
      </c>
      <c r="CB102" s="14" t="s">
        <v>72</v>
      </c>
      <c r="CC102" s="14" t="s">
        <v>2048</v>
      </c>
      <c r="CD102" s="14" t="s">
        <v>2048</v>
      </c>
      <c r="CE102" s="14" t="s">
        <v>2048</v>
      </c>
      <c r="CF102" s="14" t="s">
        <v>2048</v>
      </c>
      <c r="CG102" s="14" t="s">
        <v>2048</v>
      </c>
      <c r="CH102" s="14" t="s">
        <v>2048</v>
      </c>
      <c r="CI102" s="14" t="s">
        <v>2048</v>
      </c>
      <c r="CJ102" s="14" t="s">
        <v>2048</v>
      </c>
      <c r="CK102" s="14" t="s">
        <v>3714</v>
      </c>
      <c r="CL102" s="14" t="s">
        <v>3761</v>
      </c>
      <c r="CM102" s="14" t="s">
        <v>2048</v>
      </c>
      <c r="CN102" s="17"/>
      <c r="CO102" s="17">
        <v>44029</v>
      </c>
      <c r="CP102" s="17">
        <v>44029</v>
      </c>
      <c r="CR102" s="17">
        <v>45478</v>
      </c>
      <c r="CS102" s="19">
        <v>48</v>
      </c>
      <c r="CT102" s="19">
        <v>0</v>
      </c>
      <c r="CU102" s="19">
        <v>296.63</v>
      </c>
      <c r="CV102" s="19">
        <v>0</v>
      </c>
      <c r="CW102" s="19">
        <v>296.63</v>
      </c>
      <c r="CX102" s="19">
        <v>358.92</v>
      </c>
      <c r="CY102" s="19">
        <v>0</v>
      </c>
      <c r="CZ102" s="17"/>
      <c r="DA102" s="19">
        <v>0</v>
      </c>
      <c r="DB102" s="17"/>
      <c r="DC102" s="17"/>
      <c r="DD102" s="19">
        <v>0</v>
      </c>
      <c r="DE102" s="17"/>
      <c r="DF102" s="17"/>
      <c r="DG102" s="19">
        <v>100</v>
      </c>
      <c r="DH102" s="17"/>
      <c r="DI102" s="17">
        <v>45490</v>
      </c>
      <c r="DJ102" s="17"/>
      <c r="DK102" s="17"/>
      <c r="DL102" s="19">
        <v>0</v>
      </c>
      <c r="DM102" s="19">
        <v>0</v>
      </c>
    </row>
    <row r="103" spans="1:117" x14ac:dyDescent="0.2">
      <c r="A103" s="14" t="s">
        <v>3610</v>
      </c>
      <c r="B103" s="14" t="s">
        <v>523</v>
      </c>
      <c r="C103" s="14" t="s">
        <v>158</v>
      </c>
      <c r="D103" s="14" t="s">
        <v>159</v>
      </c>
      <c r="E103" s="14" t="s">
        <v>158</v>
      </c>
      <c r="F103" s="14" t="s">
        <v>171</v>
      </c>
      <c r="G103" s="17">
        <v>45341</v>
      </c>
      <c r="H103" s="14" t="s">
        <v>172</v>
      </c>
      <c r="I103" s="14" t="s">
        <v>78</v>
      </c>
      <c r="J103" s="14" t="s">
        <v>524</v>
      </c>
      <c r="K103" s="14" t="s">
        <v>525</v>
      </c>
      <c r="L103" s="14" t="s">
        <v>190</v>
      </c>
      <c r="M103" s="14" t="s">
        <v>191</v>
      </c>
      <c r="N103" s="16">
        <f>COUNTIF($M$3:M103, M103)</f>
        <v>2</v>
      </c>
      <c r="O103" s="16" t="str" cm="1">
        <f t="array" ref="O103">INDEX('[2]ALTA 20242025'!$B$2:$B$241, MATCH(1, ('[2]ALTA 20242025'!$I$2:$I$241=M103)*('[2]ALTA 20242025'!$J$2:$J$241=N103), 0))</f>
        <v>3256MXH</v>
      </c>
      <c r="P103" s="16"/>
      <c r="Q103" s="16"/>
      <c r="R103" s="14" t="s">
        <v>2048</v>
      </c>
      <c r="S103" s="14" t="s">
        <v>2048</v>
      </c>
      <c r="T103" s="14" t="s">
        <v>2048</v>
      </c>
      <c r="U103" s="14" t="s">
        <v>2048</v>
      </c>
      <c r="V103" s="14" t="s">
        <v>3677</v>
      </c>
      <c r="W103" s="14" t="s">
        <v>2048</v>
      </c>
      <c r="X103" s="14" t="s">
        <v>2048</v>
      </c>
      <c r="Y103" s="14" t="s">
        <v>2048</v>
      </c>
      <c r="Z103" s="14" t="s">
        <v>2048</v>
      </c>
      <c r="AA103" s="14" t="s">
        <v>2422</v>
      </c>
      <c r="AB103" s="14" t="s">
        <v>2049</v>
      </c>
      <c r="AC103" s="14" t="s">
        <v>3678</v>
      </c>
      <c r="AD103" s="14" t="s">
        <v>2048</v>
      </c>
      <c r="AE103" s="14" t="s">
        <v>2048</v>
      </c>
      <c r="AF103" s="14" t="s">
        <v>2048</v>
      </c>
      <c r="AG103" s="14" t="s">
        <v>2048</v>
      </c>
      <c r="AH103" s="14" t="s">
        <v>2048</v>
      </c>
      <c r="AI103" s="14" t="s">
        <v>2132</v>
      </c>
      <c r="AJ103" s="14" t="s">
        <v>2133</v>
      </c>
      <c r="AK103" s="14" t="s">
        <v>2048</v>
      </c>
      <c r="AL103" s="14" t="s">
        <v>2048</v>
      </c>
      <c r="AM103" s="14" t="s">
        <v>2048</v>
      </c>
      <c r="AN103" s="14" t="s">
        <v>2068</v>
      </c>
      <c r="AO103" s="14" t="s">
        <v>2048</v>
      </c>
      <c r="AP103" s="14" t="s">
        <v>2048</v>
      </c>
      <c r="AQ103" s="14" t="s">
        <v>2048</v>
      </c>
      <c r="AR103" s="14" t="s">
        <v>4103</v>
      </c>
      <c r="AS103" s="14" t="s">
        <v>2048</v>
      </c>
      <c r="AT103" s="14" t="s">
        <v>2048</v>
      </c>
      <c r="AU103" s="14" t="s">
        <v>2048</v>
      </c>
      <c r="AV103" s="14" t="s">
        <v>2060</v>
      </c>
      <c r="AW103" s="14" t="s">
        <v>2048</v>
      </c>
      <c r="AX103" s="14" t="s">
        <v>2048</v>
      </c>
      <c r="AY103" s="14" t="s">
        <v>2430</v>
      </c>
      <c r="AZ103" s="14" t="s">
        <v>2431</v>
      </c>
      <c r="BA103" s="14" t="s">
        <v>3627</v>
      </c>
      <c r="BB103" s="14" t="s">
        <v>2048</v>
      </c>
      <c r="BC103" s="14" t="s">
        <v>190</v>
      </c>
      <c r="BD103" s="14" t="s">
        <v>518</v>
      </c>
      <c r="BE103" s="14" t="s">
        <v>2432</v>
      </c>
      <c r="BF103" s="14" t="s">
        <v>2048</v>
      </c>
      <c r="BG103" s="14" t="s">
        <v>2048</v>
      </c>
      <c r="BH103" s="14" t="s">
        <v>2433</v>
      </c>
      <c r="BI103" s="14" t="s">
        <v>2434</v>
      </c>
      <c r="BJ103" s="14" t="s">
        <v>2435</v>
      </c>
      <c r="BK103" s="14" t="s">
        <v>2436</v>
      </c>
      <c r="BL103" s="14" t="s">
        <v>2437</v>
      </c>
      <c r="BM103" s="14" t="s">
        <v>2287</v>
      </c>
      <c r="BN103" s="14" t="s">
        <v>2048</v>
      </c>
      <c r="BO103" s="14" t="s">
        <v>2518</v>
      </c>
      <c r="BP103" s="14" t="s">
        <v>2064</v>
      </c>
      <c r="BQ103" s="14" t="s">
        <v>2048</v>
      </c>
      <c r="BR103" s="14" t="s">
        <v>2048</v>
      </c>
      <c r="BS103" s="14" t="s">
        <v>4104</v>
      </c>
      <c r="BT103" s="14" t="s">
        <v>2048</v>
      </c>
      <c r="BU103" s="14" t="s">
        <v>2048</v>
      </c>
      <c r="BV103" s="14" t="s">
        <v>2535</v>
      </c>
      <c r="BW103" s="14" t="s">
        <v>3672</v>
      </c>
      <c r="BX103" s="14" t="s">
        <v>2048</v>
      </c>
      <c r="BY103" s="14" t="s">
        <v>2048</v>
      </c>
      <c r="BZ103" s="14" t="s">
        <v>2048</v>
      </c>
      <c r="CA103" s="14" t="s">
        <v>2048</v>
      </c>
      <c r="CB103" s="14" t="s">
        <v>2048</v>
      </c>
      <c r="CC103" s="14" t="s">
        <v>2048</v>
      </c>
      <c r="CD103" s="14" t="s">
        <v>2048</v>
      </c>
      <c r="CE103" s="14" t="s">
        <v>2048</v>
      </c>
      <c r="CF103" s="14" t="s">
        <v>2048</v>
      </c>
      <c r="CG103" s="14" t="s">
        <v>2048</v>
      </c>
      <c r="CH103" s="14" t="s">
        <v>2048</v>
      </c>
      <c r="CI103" s="14" t="s">
        <v>2048</v>
      </c>
      <c r="CJ103" s="14" t="s">
        <v>2048</v>
      </c>
      <c r="CK103" s="14" t="s">
        <v>3651</v>
      </c>
      <c r="CL103" s="14" t="s">
        <v>3652</v>
      </c>
      <c r="CM103" s="14" t="s">
        <v>2048</v>
      </c>
      <c r="CN103" s="17"/>
      <c r="CO103" s="17">
        <v>39407</v>
      </c>
      <c r="CP103" s="17">
        <v>39407</v>
      </c>
      <c r="CR103" s="17">
        <v>45341</v>
      </c>
      <c r="CS103" s="19">
        <v>0</v>
      </c>
      <c r="CT103" s="19">
        <v>0</v>
      </c>
      <c r="CU103" s="19">
        <v>0</v>
      </c>
      <c r="CV103" s="19">
        <v>0</v>
      </c>
      <c r="CW103" s="19">
        <v>0</v>
      </c>
      <c r="CX103" s="19">
        <v>0</v>
      </c>
      <c r="CY103" s="19">
        <v>0</v>
      </c>
      <c r="CZ103" s="17"/>
      <c r="DA103" s="20">
        <v>35451</v>
      </c>
      <c r="DB103" s="17">
        <v>45382</v>
      </c>
      <c r="DC103" s="17">
        <v>44735</v>
      </c>
      <c r="DD103" s="19">
        <v>0</v>
      </c>
      <c r="DE103" s="17"/>
      <c r="DF103" s="17"/>
      <c r="DG103" s="19">
        <v>100</v>
      </c>
      <c r="DH103" s="17"/>
      <c r="DI103" s="17">
        <v>2958465</v>
      </c>
      <c r="DJ103" s="17"/>
      <c r="DK103" s="17"/>
      <c r="DL103" s="19">
        <v>0</v>
      </c>
      <c r="DM103" s="19">
        <v>0</v>
      </c>
    </row>
    <row r="104" spans="1:117" x14ac:dyDescent="0.2">
      <c r="A104" s="14" t="s">
        <v>3610</v>
      </c>
      <c r="B104" s="14" t="s">
        <v>1021</v>
      </c>
      <c r="C104" s="14" t="s">
        <v>73</v>
      </c>
      <c r="D104" s="14" t="s">
        <v>74</v>
      </c>
      <c r="E104" s="14" t="s">
        <v>75</v>
      </c>
      <c r="F104" s="14" t="s">
        <v>76</v>
      </c>
      <c r="G104" s="17">
        <v>45345</v>
      </c>
      <c r="H104" s="14" t="s">
        <v>77</v>
      </c>
      <c r="I104" s="14" t="s">
        <v>78</v>
      </c>
      <c r="J104" s="14" t="s">
        <v>359</v>
      </c>
      <c r="K104" s="14" t="s">
        <v>1022</v>
      </c>
      <c r="L104" s="14" t="s">
        <v>336</v>
      </c>
      <c r="M104" s="14" t="s">
        <v>337</v>
      </c>
      <c r="N104" s="16">
        <f>COUNTIF($M$3:M104, M104)</f>
        <v>5</v>
      </c>
      <c r="O104" s="16" t="str" cm="1">
        <f t="array" ref="O104">INDEX('[2]ALTA 20242025'!$B$2:$B$241, MATCH(1, ('[2]ALTA 20242025'!$I$2:$I$241=M104)*('[2]ALTA 20242025'!$J$2:$J$241=N104), 0))</f>
        <v>1177MSX</v>
      </c>
      <c r="P104" s="16"/>
      <c r="Q104" s="16"/>
      <c r="R104" s="14" t="s">
        <v>2048</v>
      </c>
      <c r="S104" s="14" t="s">
        <v>2048</v>
      </c>
      <c r="T104" s="14" t="s">
        <v>2048</v>
      </c>
      <c r="U104" s="14" t="s">
        <v>2048</v>
      </c>
      <c r="V104" s="14" t="s">
        <v>4105</v>
      </c>
      <c r="W104" s="14" t="s">
        <v>3972</v>
      </c>
      <c r="X104" s="14" t="s">
        <v>4106</v>
      </c>
      <c r="Y104" s="14" t="s">
        <v>4107</v>
      </c>
      <c r="Z104" s="14" t="s">
        <v>2048</v>
      </c>
      <c r="AA104" s="14" t="s">
        <v>2422</v>
      </c>
      <c r="AB104" s="14" t="s">
        <v>2049</v>
      </c>
      <c r="AC104" s="14" t="s">
        <v>2050</v>
      </c>
      <c r="AD104" s="14" t="s">
        <v>2048</v>
      </c>
      <c r="AE104" s="14" t="s">
        <v>2048</v>
      </c>
      <c r="AF104" s="14" t="s">
        <v>2048</v>
      </c>
      <c r="AG104" s="14" t="s">
        <v>2048</v>
      </c>
      <c r="AH104" s="14" t="s">
        <v>2048</v>
      </c>
      <c r="AI104" s="14" t="s">
        <v>2132</v>
      </c>
      <c r="AJ104" s="14" t="s">
        <v>2133</v>
      </c>
      <c r="AK104" s="14" t="s">
        <v>2055</v>
      </c>
      <c r="AL104" s="14" t="s">
        <v>2055</v>
      </c>
      <c r="AM104" s="14" t="s">
        <v>2055</v>
      </c>
      <c r="AN104" s="14" t="s">
        <v>2068</v>
      </c>
      <c r="AO104" s="14" t="s">
        <v>2048</v>
      </c>
      <c r="AP104" s="14" t="s">
        <v>2048</v>
      </c>
      <c r="AQ104" s="14" t="s">
        <v>2048</v>
      </c>
      <c r="AR104" s="14" t="s">
        <v>4108</v>
      </c>
      <c r="AS104" s="14" t="s">
        <v>108</v>
      </c>
      <c r="AT104" s="14" t="s">
        <v>3191</v>
      </c>
      <c r="AU104" s="14" t="s">
        <v>2059</v>
      </c>
      <c r="AV104" s="14" t="s">
        <v>4109</v>
      </c>
      <c r="AW104" s="14" t="s">
        <v>4110</v>
      </c>
      <c r="AX104" s="14" t="s">
        <v>2048</v>
      </c>
      <c r="AY104" s="14" t="s">
        <v>3976</v>
      </c>
      <c r="AZ104" s="14" t="s">
        <v>3977</v>
      </c>
      <c r="BA104" s="14" t="s">
        <v>2048</v>
      </c>
      <c r="BB104" s="14" t="s">
        <v>2048</v>
      </c>
      <c r="BC104" s="14" t="s">
        <v>336</v>
      </c>
      <c r="BD104" s="14" t="s">
        <v>880</v>
      </c>
      <c r="BE104" s="14" t="s">
        <v>3980</v>
      </c>
      <c r="BF104" s="14" t="s">
        <v>2048</v>
      </c>
      <c r="BG104" s="14" t="s">
        <v>2048</v>
      </c>
      <c r="BH104" s="14" t="s">
        <v>2379</v>
      </c>
      <c r="BI104" s="14" t="s">
        <v>2622</v>
      </c>
      <c r="BJ104" s="14" t="s">
        <v>3174</v>
      </c>
      <c r="BK104" s="14" t="s">
        <v>3771</v>
      </c>
      <c r="BL104" s="14" t="s">
        <v>3772</v>
      </c>
      <c r="BM104" s="14" t="s">
        <v>2382</v>
      </c>
      <c r="BN104" s="14" t="s">
        <v>2048</v>
      </c>
      <c r="BO104" s="14" t="s">
        <v>2518</v>
      </c>
      <c r="BP104" s="14" t="s">
        <v>2064</v>
      </c>
      <c r="BQ104" s="14" t="s">
        <v>72</v>
      </c>
      <c r="BR104" s="14" t="s">
        <v>72</v>
      </c>
      <c r="BS104" s="14" t="s">
        <v>2048</v>
      </c>
      <c r="BT104" s="14" t="s">
        <v>2726</v>
      </c>
      <c r="BU104" s="14" t="s">
        <v>2720</v>
      </c>
      <c r="BV104" s="14" t="s">
        <v>2331</v>
      </c>
      <c r="BW104" s="14" t="s">
        <v>2131</v>
      </c>
      <c r="BX104" s="14" t="s">
        <v>2048</v>
      </c>
      <c r="BY104" s="14" t="s">
        <v>2048</v>
      </c>
      <c r="BZ104" s="14" t="s">
        <v>2048</v>
      </c>
      <c r="CA104" s="14" t="s">
        <v>2048</v>
      </c>
      <c r="CB104" s="14" t="s">
        <v>72</v>
      </c>
      <c r="CC104" s="14" t="s">
        <v>2048</v>
      </c>
      <c r="CD104" s="14" t="s">
        <v>2048</v>
      </c>
      <c r="CE104" s="14" t="s">
        <v>2048</v>
      </c>
      <c r="CF104" s="14" t="s">
        <v>2048</v>
      </c>
      <c r="CG104" s="14" t="s">
        <v>2048</v>
      </c>
      <c r="CH104" s="14" t="s">
        <v>2048</v>
      </c>
      <c r="CI104" s="14" t="s">
        <v>2048</v>
      </c>
      <c r="CJ104" s="14" t="s">
        <v>2048</v>
      </c>
      <c r="CK104" s="14" t="s">
        <v>2068</v>
      </c>
      <c r="CL104" s="14" t="s">
        <v>2069</v>
      </c>
      <c r="CM104" s="14" t="s">
        <v>2048</v>
      </c>
      <c r="CN104" s="17"/>
      <c r="CO104" s="17">
        <v>44978</v>
      </c>
      <c r="CP104" s="17">
        <v>44978</v>
      </c>
      <c r="CR104" s="17">
        <v>45345</v>
      </c>
      <c r="CS104" s="19">
        <v>24</v>
      </c>
      <c r="CT104" s="19">
        <v>0</v>
      </c>
      <c r="CU104" s="19">
        <v>335.08</v>
      </c>
      <c r="CV104" s="19">
        <v>0</v>
      </c>
      <c r="CW104" s="19">
        <v>335.08</v>
      </c>
      <c r="CX104" s="19">
        <v>405.45</v>
      </c>
      <c r="CY104" s="19">
        <v>0</v>
      </c>
      <c r="CZ104" s="17"/>
      <c r="DA104" s="19">
        <v>0</v>
      </c>
      <c r="DB104" s="17"/>
      <c r="DC104" s="17"/>
      <c r="DD104" s="19">
        <v>0</v>
      </c>
      <c r="DE104" s="17"/>
      <c r="DF104" s="17"/>
      <c r="DG104" s="19">
        <v>100</v>
      </c>
      <c r="DH104" s="17"/>
      <c r="DI104" s="17">
        <v>45657</v>
      </c>
      <c r="DJ104" s="17"/>
      <c r="DK104" s="17"/>
      <c r="DL104" s="19">
        <v>0</v>
      </c>
      <c r="DM104" s="19">
        <v>0</v>
      </c>
    </row>
    <row r="105" spans="1:117" x14ac:dyDescent="0.2">
      <c r="A105" s="14" t="s">
        <v>3610</v>
      </c>
      <c r="B105" s="14" t="s">
        <v>378</v>
      </c>
      <c r="C105" s="14" t="s">
        <v>73</v>
      </c>
      <c r="D105" s="14" t="s">
        <v>200</v>
      </c>
      <c r="E105" s="14" t="s">
        <v>201</v>
      </c>
      <c r="F105" s="14" t="s">
        <v>160</v>
      </c>
      <c r="G105" s="17">
        <v>45348</v>
      </c>
      <c r="H105" s="14" t="s">
        <v>161</v>
      </c>
      <c r="I105" s="14" t="s">
        <v>78</v>
      </c>
      <c r="J105" s="14" t="s">
        <v>359</v>
      </c>
      <c r="K105" s="14" t="s">
        <v>360</v>
      </c>
      <c r="L105" s="14" t="s">
        <v>336</v>
      </c>
      <c r="M105" s="14" t="s">
        <v>337</v>
      </c>
      <c r="N105" s="16">
        <f>COUNTIF($M$3:M105, M105)</f>
        <v>6</v>
      </c>
      <c r="O105" s="16" t="str" cm="1">
        <f t="array" ref="O105">INDEX('[2]ALTA 20242025'!$B$2:$B$241, MATCH(1, ('[2]ALTA 20242025'!$I$2:$I$241=M105)*('[2]ALTA 20242025'!$J$2:$J$241=N105), 0))</f>
        <v>1178MSX</v>
      </c>
      <c r="P105" s="16"/>
      <c r="Q105" s="16"/>
      <c r="R105" s="14" t="s">
        <v>542</v>
      </c>
      <c r="S105" s="14" t="s">
        <v>543</v>
      </c>
      <c r="T105" s="14" t="s">
        <v>2048</v>
      </c>
      <c r="U105" s="14" t="s">
        <v>2048</v>
      </c>
      <c r="V105" s="14" t="s">
        <v>3831</v>
      </c>
      <c r="W105" s="14" t="s">
        <v>4111</v>
      </c>
      <c r="X105" s="14" t="s">
        <v>3764</v>
      </c>
      <c r="Y105" s="14" t="s">
        <v>4112</v>
      </c>
      <c r="Z105" s="14" t="s">
        <v>2048</v>
      </c>
      <c r="AA105" s="14" t="s">
        <v>2422</v>
      </c>
      <c r="AB105" s="14" t="s">
        <v>2049</v>
      </c>
      <c r="AC105" s="14" t="s">
        <v>2050</v>
      </c>
      <c r="AD105" s="14" t="s">
        <v>3820</v>
      </c>
      <c r="AE105" s="14" t="s">
        <v>3613</v>
      </c>
      <c r="AF105" s="14" t="s">
        <v>3614</v>
      </c>
      <c r="AG105" s="14" t="s">
        <v>2048</v>
      </c>
      <c r="AH105" s="14" t="s">
        <v>2048</v>
      </c>
      <c r="AI105" s="14" t="s">
        <v>3472</v>
      </c>
      <c r="AJ105" s="14" t="s">
        <v>3821</v>
      </c>
      <c r="AK105" s="14" t="s">
        <v>2055</v>
      </c>
      <c r="AL105" s="14" t="s">
        <v>2055</v>
      </c>
      <c r="AM105" s="14" t="s">
        <v>2055</v>
      </c>
      <c r="AN105" s="14" t="s">
        <v>2068</v>
      </c>
      <c r="AO105" s="14" t="s">
        <v>2048</v>
      </c>
      <c r="AP105" s="14" t="s">
        <v>2048</v>
      </c>
      <c r="AQ105" s="14" t="s">
        <v>2048</v>
      </c>
      <c r="AR105" s="14" t="s">
        <v>4113</v>
      </c>
      <c r="AS105" s="14" t="s">
        <v>3615</v>
      </c>
      <c r="AT105" s="14" t="s">
        <v>3191</v>
      </c>
      <c r="AU105" s="14" t="s">
        <v>2059</v>
      </c>
      <c r="AV105" s="14" t="s">
        <v>4114</v>
      </c>
      <c r="AW105" s="14" t="s">
        <v>4115</v>
      </c>
      <c r="AX105" s="14" t="s">
        <v>2048</v>
      </c>
      <c r="AY105" s="14" t="s">
        <v>4116</v>
      </c>
      <c r="AZ105" s="14" t="s">
        <v>4117</v>
      </c>
      <c r="BA105" s="14" t="s">
        <v>2048</v>
      </c>
      <c r="BB105" s="14" t="s">
        <v>2048</v>
      </c>
      <c r="BC105" s="14" t="s">
        <v>336</v>
      </c>
      <c r="BD105" s="14" t="s">
        <v>373</v>
      </c>
      <c r="BE105" s="14" t="s">
        <v>4118</v>
      </c>
      <c r="BF105" s="14" t="s">
        <v>2048</v>
      </c>
      <c r="BG105" s="14" t="s">
        <v>2048</v>
      </c>
      <c r="BH105" s="14" t="s">
        <v>3598</v>
      </c>
      <c r="BI105" s="14" t="s">
        <v>3599</v>
      </c>
      <c r="BJ105" s="14" t="s">
        <v>3914</v>
      </c>
      <c r="BK105" s="14" t="s">
        <v>3915</v>
      </c>
      <c r="BL105" s="14" t="s">
        <v>4119</v>
      </c>
      <c r="BM105" s="14" t="s">
        <v>3600</v>
      </c>
      <c r="BN105" s="14" t="s">
        <v>2048</v>
      </c>
      <c r="BO105" s="14" t="s">
        <v>2518</v>
      </c>
      <c r="BP105" s="14" t="s">
        <v>2064</v>
      </c>
      <c r="BQ105" s="14" t="s">
        <v>72</v>
      </c>
      <c r="BR105" s="14" t="s">
        <v>72</v>
      </c>
      <c r="BS105" s="14" t="s">
        <v>2048</v>
      </c>
      <c r="BT105" s="14" t="s">
        <v>4120</v>
      </c>
      <c r="BU105" s="14" t="s">
        <v>4121</v>
      </c>
      <c r="BV105" s="14" t="s">
        <v>2331</v>
      </c>
      <c r="BW105" s="14" t="s">
        <v>2131</v>
      </c>
      <c r="BX105" s="14" t="s">
        <v>2048</v>
      </c>
      <c r="BY105" s="14" t="s">
        <v>2048</v>
      </c>
      <c r="BZ105" s="14" t="s">
        <v>2048</v>
      </c>
      <c r="CA105" s="14" t="s">
        <v>2048</v>
      </c>
      <c r="CB105" s="14" t="s">
        <v>72</v>
      </c>
      <c r="CC105" s="14" t="s">
        <v>2048</v>
      </c>
      <c r="CD105" s="14" t="s">
        <v>2048</v>
      </c>
      <c r="CE105" s="14" t="s">
        <v>2048</v>
      </c>
      <c r="CF105" s="14" t="s">
        <v>2048</v>
      </c>
      <c r="CG105" s="14" t="s">
        <v>2048</v>
      </c>
      <c r="CH105" s="14" t="s">
        <v>2048</v>
      </c>
      <c r="CI105" s="14" t="s">
        <v>2048</v>
      </c>
      <c r="CJ105" s="14" t="s">
        <v>2048</v>
      </c>
      <c r="CK105" s="14" t="s">
        <v>3714</v>
      </c>
      <c r="CL105" s="14" t="s">
        <v>3761</v>
      </c>
      <c r="CM105" s="14" t="s">
        <v>2048</v>
      </c>
      <c r="CN105" s="17">
        <v>44958</v>
      </c>
      <c r="CO105" s="17">
        <v>43522</v>
      </c>
      <c r="CP105" s="17">
        <v>43522</v>
      </c>
      <c r="CR105" s="17">
        <v>44998</v>
      </c>
      <c r="CS105" s="19">
        <v>60</v>
      </c>
      <c r="CT105" s="19">
        <v>0</v>
      </c>
      <c r="CU105" s="19">
        <v>294.64</v>
      </c>
      <c r="CV105" s="19">
        <v>0</v>
      </c>
      <c r="CW105" s="19">
        <v>294.64</v>
      </c>
      <c r="CX105" s="19">
        <v>356.51</v>
      </c>
      <c r="CY105" s="19">
        <v>0</v>
      </c>
      <c r="CZ105" s="17"/>
      <c r="DA105" s="19">
        <v>0</v>
      </c>
      <c r="DB105" s="17"/>
      <c r="DC105" s="17"/>
      <c r="DD105" s="19">
        <v>0</v>
      </c>
      <c r="DE105" s="17"/>
      <c r="DF105" s="17"/>
      <c r="DG105" s="19">
        <v>100</v>
      </c>
      <c r="DH105" s="17"/>
      <c r="DI105" s="17">
        <v>45291</v>
      </c>
      <c r="DJ105" s="17"/>
      <c r="DK105" s="17"/>
      <c r="DL105" s="19">
        <v>0</v>
      </c>
      <c r="DM105" s="19">
        <v>0</v>
      </c>
    </row>
    <row r="106" spans="1:117" x14ac:dyDescent="0.2">
      <c r="A106" s="14" t="s">
        <v>3610</v>
      </c>
      <c r="B106" s="14" t="s">
        <v>592</v>
      </c>
      <c r="C106" s="14" t="s">
        <v>73</v>
      </c>
      <c r="D106" s="14" t="s">
        <v>200</v>
      </c>
      <c r="E106" s="14" t="s">
        <v>201</v>
      </c>
      <c r="F106" s="14" t="s">
        <v>76</v>
      </c>
      <c r="G106" s="17">
        <v>45356</v>
      </c>
      <c r="H106" s="14" t="s">
        <v>77</v>
      </c>
      <c r="I106" s="14" t="s">
        <v>78</v>
      </c>
      <c r="J106" s="14" t="s">
        <v>359</v>
      </c>
      <c r="K106" s="14" t="s">
        <v>593</v>
      </c>
      <c r="L106" s="14" t="s">
        <v>102</v>
      </c>
      <c r="M106" s="14" t="s">
        <v>103</v>
      </c>
      <c r="N106" s="16">
        <f>COUNTIF($M$3:M106, M106)</f>
        <v>22</v>
      </c>
      <c r="O106" s="16" t="str" cm="1">
        <f t="array" ref="O106">INDEX('[2]ALTA 20242025'!$B$2:$B$241, MATCH(1, ('[2]ALTA 20242025'!$I$2:$I$241=M106)*('[2]ALTA 20242025'!$J$2:$J$241=N106), 0))</f>
        <v>2120MFK</v>
      </c>
      <c r="P106" s="16"/>
      <c r="Q106" s="16"/>
      <c r="R106" s="14" t="s">
        <v>2048</v>
      </c>
      <c r="S106" s="14" t="s">
        <v>2048</v>
      </c>
      <c r="T106" s="14" t="s">
        <v>2048</v>
      </c>
      <c r="U106" s="14" t="s">
        <v>2048</v>
      </c>
      <c r="V106" s="14" t="s">
        <v>3837</v>
      </c>
      <c r="W106" s="14" t="s">
        <v>4122</v>
      </c>
      <c r="X106" s="14" t="s">
        <v>3926</v>
      </c>
      <c r="Y106" s="14" t="s">
        <v>4123</v>
      </c>
      <c r="Z106" s="14" t="s">
        <v>2048</v>
      </c>
      <c r="AA106" s="14" t="s">
        <v>2422</v>
      </c>
      <c r="AB106" s="14" t="s">
        <v>2049</v>
      </c>
      <c r="AC106" s="14" t="s">
        <v>2050</v>
      </c>
      <c r="AD106" s="14" t="s">
        <v>3725</v>
      </c>
      <c r="AE106" s="14" t="s">
        <v>3613</v>
      </c>
      <c r="AF106" s="14" t="s">
        <v>3614</v>
      </c>
      <c r="AG106" s="14" t="s">
        <v>200</v>
      </c>
      <c r="AH106" s="14" t="s">
        <v>3622</v>
      </c>
      <c r="AI106" s="14" t="s">
        <v>2072</v>
      </c>
      <c r="AJ106" s="14" t="s">
        <v>2073</v>
      </c>
      <c r="AK106" s="14" t="s">
        <v>2055</v>
      </c>
      <c r="AL106" s="14" t="s">
        <v>2055</v>
      </c>
      <c r="AM106" s="14" t="s">
        <v>2055</v>
      </c>
      <c r="AN106" s="14" t="s">
        <v>2068</v>
      </c>
      <c r="AO106" s="14" t="s">
        <v>2048</v>
      </c>
      <c r="AP106" s="14" t="s">
        <v>2048</v>
      </c>
      <c r="AQ106" s="14" t="s">
        <v>2048</v>
      </c>
      <c r="AR106" s="14" t="s">
        <v>3110</v>
      </c>
      <c r="AS106" s="14" t="s">
        <v>3726</v>
      </c>
      <c r="AT106" s="14" t="s">
        <v>2208</v>
      </c>
      <c r="AU106" s="14" t="s">
        <v>4124</v>
      </c>
      <c r="AV106" s="14" t="s">
        <v>4125</v>
      </c>
      <c r="AW106" s="14" t="s">
        <v>4126</v>
      </c>
      <c r="AX106" s="14" t="s">
        <v>2048</v>
      </c>
      <c r="AY106" s="14" t="s">
        <v>3293</v>
      </c>
      <c r="AZ106" s="14" t="s">
        <v>3294</v>
      </c>
      <c r="BA106" s="14" t="s">
        <v>3664</v>
      </c>
      <c r="BB106" s="14" t="s">
        <v>2048</v>
      </c>
      <c r="BC106" s="14" t="s">
        <v>102</v>
      </c>
      <c r="BD106" s="14" t="s">
        <v>594</v>
      </c>
      <c r="BE106" s="14" t="s">
        <v>4127</v>
      </c>
      <c r="BF106" s="14" t="s">
        <v>2048</v>
      </c>
      <c r="BG106" s="14" t="s">
        <v>2048</v>
      </c>
      <c r="BH106" s="14" t="s">
        <v>2282</v>
      </c>
      <c r="BI106" s="14" t="s">
        <v>2782</v>
      </c>
      <c r="BJ106" s="14" t="s">
        <v>2783</v>
      </c>
      <c r="BK106" s="14" t="s">
        <v>2784</v>
      </c>
      <c r="BL106" s="14" t="s">
        <v>4128</v>
      </c>
      <c r="BM106" s="14" t="s">
        <v>2287</v>
      </c>
      <c r="BN106" s="14" t="s">
        <v>2048</v>
      </c>
      <c r="BO106" s="14" t="s">
        <v>2048</v>
      </c>
      <c r="BP106" s="14" t="s">
        <v>2064</v>
      </c>
      <c r="BQ106" s="14" t="s">
        <v>72</v>
      </c>
      <c r="BR106" s="14" t="s">
        <v>72</v>
      </c>
      <c r="BS106" s="14" t="s">
        <v>2048</v>
      </c>
      <c r="BT106" s="14" t="s">
        <v>3116</v>
      </c>
      <c r="BU106" s="14" t="s">
        <v>3117</v>
      </c>
      <c r="BV106" s="14" t="s">
        <v>2418</v>
      </c>
      <c r="BW106" s="14" t="s">
        <v>2089</v>
      </c>
      <c r="BX106" s="14" t="s">
        <v>2048</v>
      </c>
      <c r="BY106" s="14" t="s">
        <v>2048</v>
      </c>
      <c r="BZ106" s="14" t="s">
        <v>2048</v>
      </c>
      <c r="CA106" s="14" t="s">
        <v>2048</v>
      </c>
      <c r="CB106" s="14" t="s">
        <v>2048</v>
      </c>
      <c r="CC106" s="14" t="s">
        <v>2048</v>
      </c>
      <c r="CD106" s="14" t="s">
        <v>2048</v>
      </c>
      <c r="CE106" s="14" t="s">
        <v>2048</v>
      </c>
      <c r="CF106" s="14" t="s">
        <v>2048</v>
      </c>
      <c r="CG106" s="14" t="s">
        <v>2048</v>
      </c>
      <c r="CH106" s="14" t="s">
        <v>2048</v>
      </c>
      <c r="CI106" s="14" t="s">
        <v>2048</v>
      </c>
      <c r="CJ106" s="14" t="s">
        <v>2048</v>
      </c>
      <c r="CK106" s="14" t="s">
        <v>2057</v>
      </c>
      <c r="CL106" s="14" t="s">
        <v>2090</v>
      </c>
      <c r="CM106" s="14" t="s">
        <v>2048</v>
      </c>
      <c r="CN106" s="17"/>
      <c r="CO106" s="17">
        <v>43416</v>
      </c>
      <c r="CP106" s="17">
        <v>43415</v>
      </c>
      <c r="CR106" s="17">
        <v>45356</v>
      </c>
      <c r="CS106" s="19">
        <v>64</v>
      </c>
      <c r="CT106" s="19">
        <v>0</v>
      </c>
      <c r="CU106" s="19">
        <v>213.82</v>
      </c>
      <c r="CV106" s="19">
        <v>0</v>
      </c>
      <c r="CW106" s="19">
        <v>213.82</v>
      </c>
      <c r="CX106" s="19">
        <v>258.72000000000003</v>
      </c>
      <c r="CY106" s="19">
        <v>0</v>
      </c>
      <c r="CZ106" s="17"/>
      <c r="DA106" s="20">
        <v>8269</v>
      </c>
      <c r="DB106" s="17">
        <v>43555</v>
      </c>
      <c r="DC106" s="17"/>
      <c r="DD106" s="19">
        <v>0</v>
      </c>
      <c r="DE106" s="17"/>
      <c r="DF106" s="17"/>
      <c r="DG106" s="19">
        <v>100</v>
      </c>
      <c r="DH106" s="17"/>
      <c r="DI106" s="17">
        <v>45657</v>
      </c>
      <c r="DJ106" s="17"/>
      <c r="DK106" s="17"/>
      <c r="DL106" s="19">
        <v>0</v>
      </c>
      <c r="DM106" s="19">
        <v>0</v>
      </c>
    </row>
    <row r="107" spans="1:117" x14ac:dyDescent="0.2">
      <c r="A107" s="14" t="s">
        <v>3610</v>
      </c>
      <c r="B107" s="14" t="s">
        <v>570</v>
      </c>
      <c r="C107" s="14" t="s">
        <v>73</v>
      </c>
      <c r="D107" s="14" t="s">
        <v>74</v>
      </c>
      <c r="E107" s="14" t="s">
        <v>75</v>
      </c>
      <c r="F107" s="14" t="s">
        <v>76</v>
      </c>
      <c r="G107" s="17">
        <v>45358</v>
      </c>
      <c r="H107" s="14" t="s">
        <v>77</v>
      </c>
      <c r="I107" s="14" t="s">
        <v>78</v>
      </c>
      <c r="J107" s="14" t="s">
        <v>359</v>
      </c>
      <c r="K107" s="14" t="s">
        <v>571</v>
      </c>
      <c r="L107" s="14" t="s">
        <v>102</v>
      </c>
      <c r="M107" s="14" t="s">
        <v>103</v>
      </c>
      <c r="N107" s="16">
        <f>COUNTIF($M$3:M107, M107)</f>
        <v>23</v>
      </c>
      <c r="O107" s="16" t="str" cm="1">
        <f t="array" ref="O107">INDEX('[2]ALTA 20242025'!$B$2:$B$241, MATCH(1, ('[2]ALTA 20242025'!$I$2:$I$241=M107)*('[2]ALTA 20242025'!$J$2:$J$241=N107), 0))</f>
        <v>2087MJP</v>
      </c>
      <c r="P107" s="16"/>
      <c r="Q107" s="16"/>
      <c r="R107" s="14" t="s">
        <v>2048</v>
      </c>
      <c r="S107" s="14" t="s">
        <v>2048</v>
      </c>
      <c r="T107" s="14" t="s">
        <v>2048</v>
      </c>
      <c r="U107" s="14" t="s">
        <v>2048</v>
      </c>
      <c r="V107" s="14" t="s">
        <v>4129</v>
      </c>
      <c r="W107" s="14" t="s">
        <v>4130</v>
      </c>
      <c r="X107" s="14" t="s">
        <v>3858</v>
      </c>
      <c r="Y107" s="14" t="s">
        <v>4131</v>
      </c>
      <c r="Z107" s="14" t="s">
        <v>2048</v>
      </c>
      <c r="AA107" s="14" t="s">
        <v>2422</v>
      </c>
      <c r="AB107" s="14" t="s">
        <v>2049</v>
      </c>
      <c r="AC107" s="14" t="s">
        <v>2050</v>
      </c>
      <c r="AD107" s="14" t="s">
        <v>2048</v>
      </c>
      <c r="AE107" s="14" t="s">
        <v>2048</v>
      </c>
      <c r="AF107" s="14" t="s">
        <v>2048</v>
      </c>
      <c r="AG107" s="14" t="s">
        <v>2048</v>
      </c>
      <c r="AH107" s="14" t="s">
        <v>2048</v>
      </c>
      <c r="AI107" s="14" t="s">
        <v>2129</v>
      </c>
      <c r="AJ107" s="14" t="s">
        <v>2130</v>
      </c>
      <c r="AK107" s="14" t="s">
        <v>2055</v>
      </c>
      <c r="AL107" s="14" t="s">
        <v>2055</v>
      </c>
      <c r="AM107" s="14" t="s">
        <v>2055</v>
      </c>
      <c r="AN107" s="14" t="s">
        <v>2068</v>
      </c>
      <c r="AO107" s="14" t="s">
        <v>2048</v>
      </c>
      <c r="AP107" s="14" t="s">
        <v>2048</v>
      </c>
      <c r="AQ107" s="14" t="s">
        <v>2048</v>
      </c>
      <c r="AR107" s="14" t="s">
        <v>4132</v>
      </c>
      <c r="AS107" s="14" t="s">
        <v>89</v>
      </c>
      <c r="AT107" s="14" t="s">
        <v>3191</v>
      </c>
      <c r="AU107" s="14" t="s">
        <v>2059</v>
      </c>
      <c r="AV107" s="14" t="s">
        <v>2060</v>
      </c>
      <c r="AW107" s="14" t="s">
        <v>2048</v>
      </c>
      <c r="AX107" s="14" t="s">
        <v>2048</v>
      </c>
      <c r="AY107" s="14" t="s">
        <v>3717</v>
      </c>
      <c r="AZ107" s="14" t="s">
        <v>3718</v>
      </c>
      <c r="BA107" s="14" t="s">
        <v>2048</v>
      </c>
      <c r="BB107" s="14" t="s">
        <v>2048</v>
      </c>
      <c r="BC107" s="14" t="s">
        <v>102</v>
      </c>
      <c r="BD107" s="14" t="s">
        <v>572</v>
      </c>
      <c r="BE107" s="14" t="s">
        <v>4133</v>
      </c>
      <c r="BF107" s="14" t="s">
        <v>2048</v>
      </c>
      <c r="BG107" s="14" t="s">
        <v>2048</v>
      </c>
      <c r="BH107" s="14" t="s">
        <v>2080</v>
      </c>
      <c r="BI107" s="14" t="s">
        <v>2081</v>
      </c>
      <c r="BJ107" s="14" t="s">
        <v>4134</v>
      </c>
      <c r="BK107" s="14" t="s">
        <v>4135</v>
      </c>
      <c r="BL107" s="14" t="s">
        <v>4136</v>
      </c>
      <c r="BM107" s="14" t="s">
        <v>2085</v>
      </c>
      <c r="BN107" s="14" t="s">
        <v>2048</v>
      </c>
      <c r="BO107" s="14" t="s">
        <v>2048</v>
      </c>
      <c r="BP107" s="14" t="s">
        <v>2064</v>
      </c>
      <c r="BQ107" s="14" t="s">
        <v>72</v>
      </c>
      <c r="BR107" s="14" t="s">
        <v>72</v>
      </c>
      <c r="BS107" s="14" t="s">
        <v>2048</v>
      </c>
      <c r="BT107" s="14" t="s">
        <v>2048</v>
      </c>
      <c r="BU107" s="14" t="s">
        <v>2048</v>
      </c>
      <c r="BV107" s="14" t="s">
        <v>2331</v>
      </c>
      <c r="BW107" s="14" t="s">
        <v>2131</v>
      </c>
      <c r="BX107" s="14" t="s">
        <v>2048</v>
      </c>
      <c r="BY107" s="14" t="s">
        <v>2048</v>
      </c>
      <c r="BZ107" s="14" t="s">
        <v>2048</v>
      </c>
      <c r="CA107" s="14" t="s">
        <v>2048</v>
      </c>
      <c r="CB107" s="14" t="s">
        <v>72</v>
      </c>
      <c r="CC107" s="14" t="s">
        <v>2048</v>
      </c>
      <c r="CD107" s="14" t="s">
        <v>2048</v>
      </c>
      <c r="CE107" s="14" t="s">
        <v>2048</v>
      </c>
      <c r="CF107" s="14" t="s">
        <v>2048</v>
      </c>
      <c r="CG107" s="14" t="s">
        <v>2048</v>
      </c>
      <c r="CH107" s="14" t="s">
        <v>2048</v>
      </c>
      <c r="CI107" s="14" t="s">
        <v>2048</v>
      </c>
      <c r="CJ107" s="14" t="s">
        <v>2048</v>
      </c>
      <c r="CK107" s="14" t="s">
        <v>2068</v>
      </c>
      <c r="CL107" s="14" t="s">
        <v>2069</v>
      </c>
      <c r="CM107" s="14" t="s">
        <v>2048</v>
      </c>
      <c r="CN107" s="17"/>
      <c r="CO107" s="17">
        <v>45323</v>
      </c>
      <c r="CP107" s="17">
        <v>45323</v>
      </c>
      <c r="CR107" s="17">
        <v>45358</v>
      </c>
      <c r="CS107" s="19">
        <v>0</v>
      </c>
      <c r="CT107" s="19">
        <v>0</v>
      </c>
      <c r="CU107" s="19">
        <v>377.5</v>
      </c>
      <c r="CV107" s="19">
        <v>0</v>
      </c>
      <c r="CW107" s="19">
        <v>377.5</v>
      </c>
      <c r="CX107" s="19">
        <v>456.78</v>
      </c>
      <c r="CY107" s="19">
        <v>0</v>
      </c>
      <c r="CZ107" s="17"/>
      <c r="DA107" s="19">
        <v>0</v>
      </c>
      <c r="DB107" s="17"/>
      <c r="DC107" s="17"/>
      <c r="DD107" s="19">
        <v>0</v>
      </c>
      <c r="DE107" s="17"/>
      <c r="DF107" s="17"/>
      <c r="DG107" s="19">
        <v>100</v>
      </c>
      <c r="DH107" s="17"/>
      <c r="DI107" s="17">
        <v>45473</v>
      </c>
      <c r="DJ107" s="17"/>
      <c r="DK107" s="17"/>
      <c r="DL107" s="19">
        <v>0</v>
      </c>
      <c r="DM107" s="19">
        <v>0</v>
      </c>
    </row>
    <row r="108" spans="1:117" x14ac:dyDescent="0.2">
      <c r="A108" s="14" t="s">
        <v>3610</v>
      </c>
      <c r="B108" s="14" t="s">
        <v>1268</v>
      </c>
      <c r="C108" s="14" t="s">
        <v>1034</v>
      </c>
      <c r="D108" s="14" t="s">
        <v>200</v>
      </c>
      <c r="E108" s="14" t="s">
        <v>201</v>
      </c>
      <c r="F108" s="14" t="s">
        <v>76</v>
      </c>
      <c r="G108" s="17">
        <v>45518</v>
      </c>
      <c r="H108" s="14" t="s">
        <v>77</v>
      </c>
      <c r="I108" s="14" t="s">
        <v>78</v>
      </c>
      <c r="J108" s="14" t="s">
        <v>1269</v>
      </c>
      <c r="K108" s="14" t="s">
        <v>1270</v>
      </c>
      <c r="L108" s="14" t="s">
        <v>1231</v>
      </c>
      <c r="M108" s="14" t="s">
        <v>1232</v>
      </c>
      <c r="N108" s="16">
        <f>COUNTIF($M$3:M108, M108)</f>
        <v>2</v>
      </c>
      <c r="O108" s="16" t="e" cm="1">
        <f t="array" ref="O108">INDEX('[2]ALTA 20242025'!$B$2:$B$241, MATCH(1, ('[2]ALTA 20242025'!$I$2:$I$241=M108)*('[2]ALTA 20242025'!$J$2:$J$241=N108), 0))</f>
        <v>#N/A</v>
      </c>
      <c r="P108" s="16"/>
      <c r="Q108" s="16"/>
      <c r="R108" s="14" t="s">
        <v>1235</v>
      </c>
      <c r="S108" s="14" t="s">
        <v>1236</v>
      </c>
      <c r="T108" s="14" t="s">
        <v>2048</v>
      </c>
      <c r="U108" s="14" t="s">
        <v>2048</v>
      </c>
      <c r="V108" s="14" t="s">
        <v>3837</v>
      </c>
      <c r="W108" s="14" t="s">
        <v>4137</v>
      </c>
      <c r="X108" s="14" t="s">
        <v>4138</v>
      </c>
      <c r="Y108" s="14" t="s">
        <v>2048</v>
      </c>
      <c r="Z108" s="14" t="s">
        <v>2048</v>
      </c>
      <c r="AA108" s="14" t="s">
        <v>2422</v>
      </c>
      <c r="AB108" s="14" t="s">
        <v>2049</v>
      </c>
      <c r="AC108" s="14" t="s">
        <v>2050</v>
      </c>
      <c r="AD108" s="14" t="s">
        <v>3725</v>
      </c>
      <c r="AE108" s="14" t="s">
        <v>3613</v>
      </c>
      <c r="AF108" s="14" t="s">
        <v>3614</v>
      </c>
      <c r="AG108" s="14" t="s">
        <v>200</v>
      </c>
      <c r="AH108" s="14" t="s">
        <v>3622</v>
      </c>
      <c r="AI108" s="14" t="s">
        <v>2129</v>
      </c>
      <c r="AJ108" s="14" t="s">
        <v>2130</v>
      </c>
      <c r="AK108" s="14" t="s">
        <v>2055</v>
      </c>
      <c r="AL108" s="14" t="s">
        <v>2055</v>
      </c>
      <c r="AM108" s="14" t="s">
        <v>2055</v>
      </c>
      <c r="AN108" s="14" t="s">
        <v>2068</v>
      </c>
      <c r="AO108" s="14" t="s">
        <v>2048</v>
      </c>
      <c r="AP108" s="14" t="s">
        <v>2048</v>
      </c>
      <c r="AQ108" s="14" t="s">
        <v>2048</v>
      </c>
      <c r="AR108" s="14" t="s">
        <v>4139</v>
      </c>
      <c r="AS108" s="14" t="s">
        <v>3726</v>
      </c>
      <c r="AT108" s="14" t="s">
        <v>3767</v>
      </c>
      <c r="AU108" s="14" t="s">
        <v>2059</v>
      </c>
      <c r="AV108" s="14" t="s">
        <v>2060</v>
      </c>
      <c r="AW108" s="14" t="s">
        <v>2048</v>
      </c>
      <c r="AX108" s="14" t="s">
        <v>2048</v>
      </c>
      <c r="AY108" s="14" t="s">
        <v>2062</v>
      </c>
      <c r="AZ108" s="14" t="s">
        <v>2063</v>
      </c>
      <c r="BA108" s="14" t="s">
        <v>2048</v>
      </c>
      <c r="BB108" s="14" t="s">
        <v>2048</v>
      </c>
      <c r="BC108" s="14" t="s">
        <v>1235</v>
      </c>
      <c r="BD108" s="14" t="s">
        <v>312</v>
      </c>
      <c r="BE108" s="14" t="s">
        <v>2048</v>
      </c>
      <c r="BF108" s="14" t="s">
        <v>2048</v>
      </c>
      <c r="BG108" s="14" t="s">
        <v>2048</v>
      </c>
      <c r="BH108" s="14" t="s">
        <v>2048</v>
      </c>
      <c r="BI108" s="14" t="s">
        <v>2048</v>
      </c>
      <c r="BJ108" s="14" t="s">
        <v>2048</v>
      </c>
      <c r="BK108" s="14" t="s">
        <v>2048</v>
      </c>
      <c r="BL108" s="14" t="s">
        <v>2048</v>
      </c>
      <c r="BM108" s="14" t="s">
        <v>2048</v>
      </c>
      <c r="BN108" s="14" t="s">
        <v>2048</v>
      </c>
      <c r="BO108" s="14" t="s">
        <v>2518</v>
      </c>
      <c r="BP108" s="14" t="s">
        <v>2064</v>
      </c>
      <c r="BQ108" s="14" t="s">
        <v>72</v>
      </c>
      <c r="BR108" s="14" t="s">
        <v>72</v>
      </c>
      <c r="BS108" s="14" t="s">
        <v>4140</v>
      </c>
      <c r="BT108" s="14" t="s">
        <v>2048</v>
      </c>
      <c r="BU108" s="14" t="s">
        <v>2048</v>
      </c>
      <c r="BV108" s="14" t="s">
        <v>2331</v>
      </c>
      <c r="BW108" s="14" t="s">
        <v>2131</v>
      </c>
      <c r="BX108" s="14" t="s">
        <v>2048</v>
      </c>
      <c r="BY108" s="14" t="s">
        <v>2048</v>
      </c>
      <c r="BZ108" s="14" t="s">
        <v>2048</v>
      </c>
      <c r="CA108" s="14" t="s">
        <v>2048</v>
      </c>
      <c r="CB108" s="14" t="s">
        <v>2048</v>
      </c>
      <c r="CC108" s="14" t="s">
        <v>2048</v>
      </c>
      <c r="CD108" s="14" t="s">
        <v>72</v>
      </c>
      <c r="CE108" s="14" t="s">
        <v>2048</v>
      </c>
      <c r="CF108" s="14" t="s">
        <v>2048</v>
      </c>
      <c r="CG108" s="14" t="s">
        <v>2048</v>
      </c>
      <c r="CH108" s="14" t="s">
        <v>2048</v>
      </c>
      <c r="CI108" s="14" t="s">
        <v>2048</v>
      </c>
      <c r="CJ108" s="14" t="s">
        <v>2048</v>
      </c>
      <c r="CK108" s="14" t="s">
        <v>3603</v>
      </c>
      <c r="CL108" s="14" t="s">
        <v>3604</v>
      </c>
      <c r="CM108" s="14" t="s">
        <v>2048</v>
      </c>
      <c r="CN108" s="17">
        <v>45108</v>
      </c>
      <c r="CO108" s="17">
        <v>43326</v>
      </c>
      <c r="CP108" s="17">
        <v>43326</v>
      </c>
      <c r="CR108" s="17">
        <v>45824</v>
      </c>
      <c r="CS108" s="19">
        <v>72</v>
      </c>
      <c r="CT108" s="19">
        <v>0</v>
      </c>
      <c r="CU108" s="19">
        <v>687.38</v>
      </c>
      <c r="CV108" s="19">
        <v>0</v>
      </c>
      <c r="CW108" s="19">
        <v>687.38</v>
      </c>
      <c r="CX108" s="19">
        <v>831.73</v>
      </c>
      <c r="CY108" s="19">
        <v>0</v>
      </c>
      <c r="CZ108" s="17"/>
      <c r="DA108" s="20">
        <v>165597</v>
      </c>
      <c r="DB108" s="17"/>
      <c r="DC108" s="17"/>
      <c r="DD108" s="19">
        <v>0</v>
      </c>
      <c r="DE108" s="17"/>
      <c r="DF108" s="17"/>
      <c r="DG108" s="19">
        <v>100</v>
      </c>
      <c r="DH108" s="17"/>
      <c r="DI108" s="17">
        <v>45152</v>
      </c>
      <c r="DJ108" s="17"/>
      <c r="DK108" s="17"/>
      <c r="DL108" s="19">
        <v>0</v>
      </c>
      <c r="DM108" s="19">
        <v>0</v>
      </c>
    </row>
    <row r="109" spans="1:117" x14ac:dyDescent="0.2">
      <c r="A109" s="14" t="s">
        <v>3610</v>
      </c>
      <c r="B109" s="14" t="s">
        <v>659</v>
      </c>
      <c r="C109" s="14" t="s">
        <v>73</v>
      </c>
      <c r="D109" s="14" t="s">
        <v>74</v>
      </c>
      <c r="E109" s="14" t="s">
        <v>75</v>
      </c>
      <c r="F109" s="14" t="s">
        <v>76</v>
      </c>
      <c r="G109" s="17">
        <v>45372</v>
      </c>
      <c r="H109" s="14" t="s">
        <v>77</v>
      </c>
      <c r="I109" s="14" t="s">
        <v>78</v>
      </c>
      <c r="J109" s="14" t="s">
        <v>85</v>
      </c>
      <c r="K109" s="14" t="s">
        <v>642</v>
      </c>
      <c r="L109" s="14" t="s">
        <v>102</v>
      </c>
      <c r="M109" s="14" t="s">
        <v>103</v>
      </c>
      <c r="N109" s="16">
        <f>COUNTIF($M$3:M109, M109)</f>
        <v>24</v>
      </c>
      <c r="O109" s="16" t="str" cm="1">
        <f t="array" ref="O109">INDEX('[2]ALTA 20242025'!$B$2:$B$241, MATCH(1, ('[2]ALTA 20242025'!$I$2:$I$241=M109)*('[2]ALTA 20242025'!$J$2:$J$241=N109), 0))</f>
        <v>2076MJP</v>
      </c>
      <c r="P109" s="16"/>
      <c r="Q109" s="16"/>
      <c r="R109" s="14" t="s">
        <v>2048</v>
      </c>
      <c r="S109" s="14" t="s">
        <v>2048</v>
      </c>
      <c r="T109" s="14" t="s">
        <v>2048</v>
      </c>
      <c r="U109" s="14" t="s">
        <v>2048</v>
      </c>
      <c r="V109" s="14" t="s">
        <v>4141</v>
      </c>
      <c r="W109" s="14" t="s">
        <v>4142</v>
      </c>
      <c r="X109" s="14" t="s">
        <v>3858</v>
      </c>
      <c r="Y109" s="14" t="s">
        <v>4143</v>
      </c>
      <c r="Z109" s="14" t="s">
        <v>2048</v>
      </c>
      <c r="AA109" s="14" t="s">
        <v>2422</v>
      </c>
      <c r="AB109" s="14" t="s">
        <v>2049</v>
      </c>
      <c r="AC109" s="14" t="s">
        <v>2050</v>
      </c>
      <c r="AD109" s="14" t="s">
        <v>2048</v>
      </c>
      <c r="AE109" s="14" t="s">
        <v>2048</v>
      </c>
      <c r="AF109" s="14" t="s">
        <v>2048</v>
      </c>
      <c r="AG109" s="14" t="s">
        <v>2048</v>
      </c>
      <c r="AH109" s="14" t="s">
        <v>2048</v>
      </c>
      <c r="AI109" s="14" t="s">
        <v>2129</v>
      </c>
      <c r="AJ109" s="14" t="s">
        <v>2130</v>
      </c>
      <c r="AK109" s="14" t="s">
        <v>2055</v>
      </c>
      <c r="AL109" s="14" t="s">
        <v>2055</v>
      </c>
      <c r="AM109" s="14" t="s">
        <v>2055</v>
      </c>
      <c r="AN109" s="14" t="s">
        <v>2068</v>
      </c>
      <c r="AO109" s="14" t="s">
        <v>2048</v>
      </c>
      <c r="AP109" s="14" t="s">
        <v>2048</v>
      </c>
      <c r="AQ109" s="14" t="s">
        <v>2048</v>
      </c>
      <c r="AR109" s="14" t="s">
        <v>2877</v>
      </c>
      <c r="AS109" s="14" t="s">
        <v>89</v>
      </c>
      <c r="AT109" s="14" t="s">
        <v>3191</v>
      </c>
      <c r="AU109" s="14" t="s">
        <v>2059</v>
      </c>
      <c r="AV109" s="14" t="s">
        <v>2060</v>
      </c>
      <c r="AW109" s="14" t="s">
        <v>2048</v>
      </c>
      <c r="AX109" s="14" t="s">
        <v>2048</v>
      </c>
      <c r="AY109" s="14" t="s">
        <v>4144</v>
      </c>
      <c r="AZ109" s="14" t="s">
        <v>4145</v>
      </c>
      <c r="BA109" s="14" t="s">
        <v>2048</v>
      </c>
      <c r="BB109" s="14" t="s">
        <v>2048</v>
      </c>
      <c r="BC109" s="14" t="s">
        <v>102</v>
      </c>
      <c r="BD109" s="14" t="s">
        <v>649</v>
      </c>
      <c r="BE109" s="14" t="s">
        <v>2883</v>
      </c>
      <c r="BF109" s="14" t="s">
        <v>2048</v>
      </c>
      <c r="BG109" s="14" t="s">
        <v>2048</v>
      </c>
      <c r="BH109" s="14" t="s">
        <v>2282</v>
      </c>
      <c r="BI109" s="14" t="s">
        <v>2782</v>
      </c>
      <c r="BJ109" s="14" t="s">
        <v>2783</v>
      </c>
      <c r="BK109" s="14" t="s">
        <v>2784</v>
      </c>
      <c r="BL109" s="14" t="s">
        <v>2884</v>
      </c>
      <c r="BM109" s="14" t="s">
        <v>2287</v>
      </c>
      <c r="BN109" s="14" t="s">
        <v>2048</v>
      </c>
      <c r="BO109" s="14" t="s">
        <v>2048</v>
      </c>
      <c r="BP109" s="14" t="s">
        <v>2064</v>
      </c>
      <c r="BQ109" s="14" t="s">
        <v>72</v>
      </c>
      <c r="BR109" s="14" t="s">
        <v>72</v>
      </c>
      <c r="BS109" s="14" t="s">
        <v>2048</v>
      </c>
      <c r="BT109" s="14" t="s">
        <v>2048</v>
      </c>
      <c r="BU109" s="14" t="s">
        <v>2048</v>
      </c>
      <c r="BV109" s="14" t="s">
        <v>2418</v>
      </c>
      <c r="BW109" s="14" t="s">
        <v>2089</v>
      </c>
      <c r="BX109" s="14" t="s">
        <v>2048</v>
      </c>
      <c r="BY109" s="14" t="s">
        <v>2048</v>
      </c>
      <c r="BZ109" s="14" t="s">
        <v>2048</v>
      </c>
      <c r="CA109" s="14" t="s">
        <v>2048</v>
      </c>
      <c r="CB109" s="14" t="s">
        <v>72</v>
      </c>
      <c r="CC109" s="14" t="s">
        <v>2048</v>
      </c>
      <c r="CD109" s="14" t="s">
        <v>2048</v>
      </c>
      <c r="CE109" s="14" t="s">
        <v>2048</v>
      </c>
      <c r="CF109" s="14" t="s">
        <v>2048</v>
      </c>
      <c r="CG109" s="14" t="s">
        <v>2048</v>
      </c>
      <c r="CH109" s="14" t="s">
        <v>2048</v>
      </c>
      <c r="CI109" s="14" t="s">
        <v>2048</v>
      </c>
      <c r="CJ109" s="14" t="s">
        <v>2048</v>
      </c>
      <c r="CK109" s="14" t="s">
        <v>2057</v>
      </c>
      <c r="CL109" s="14" t="s">
        <v>2090</v>
      </c>
      <c r="CM109" s="14" t="s">
        <v>2048</v>
      </c>
      <c r="CN109" s="17"/>
      <c r="CO109" s="17">
        <v>45324</v>
      </c>
      <c r="CP109" s="17">
        <v>45324</v>
      </c>
      <c r="CR109" s="17">
        <v>45372</v>
      </c>
      <c r="CS109" s="19">
        <v>0</v>
      </c>
      <c r="CT109" s="19">
        <v>0</v>
      </c>
      <c r="CU109" s="19">
        <v>427.49</v>
      </c>
      <c r="CV109" s="19">
        <v>0</v>
      </c>
      <c r="CW109" s="19">
        <v>427.49</v>
      </c>
      <c r="CX109" s="19">
        <v>517.26</v>
      </c>
      <c r="CY109" s="19">
        <v>0</v>
      </c>
      <c r="CZ109" s="17"/>
      <c r="DA109" s="19">
        <v>0</v>
      </c>
      <c r="DB109" s="17"/>
      <c r="DC109" s="17"/>
      <c r="DD109" s="19">
        <v>0</v>
      </c>
      <c r="DE109" s="17"/>
      <c r="DF109" s="17"/>
      <c r="DG109" s="19">
        <v>100</v>
      </c>
      <c r="DH109" s="17"/>
      <c r="DI109" s="17">
        <v>45473</v>
      </c>
      <c r="DJ109" s="17"/>
      <c r="DK109" s="17"/>
      <c r="DL109" s="19">
        <v>0</v>
      </c>
      <c r="DM109" s="19">
        <v>0</v>
      </c>
    </row>
    <row r="110" spans="1:117" x14ac:dyDescent="0.2">
      <c r="A110" s="14" t="s">
        <v>3610</v>
      </c>
      <c r="B110" s="14" t="s">
        <v>663</v>
      </c>
      <c r="C110" s="14" t="s">
        <v>73</v>
      </c>
      <c r="D110" s="14" t="s">
        <v>74</v>
      </c>
      <c r="E110" s="14" t="s">
        <v>75</v>
      </c>
      <c r="F110" s="14" t="s">
        <v>76</v>
      </c>
      <c r="G110" s="17">
        <v>45372</v>
      </c>
      <c r="H110" s="14" t="s">
        <v>77</v>
      </c>
      <c r="I110" s="14" t="s">
        <v>78</v>
      </c>
      <c r="J110" s="14" t="s">
        <v>85</v>
      </c>
      <c r="K110" s="14" t="s">
        <v>642</v>
      </c>
      <c r="L110" s="14" t="s">
        <v>102</v>
      </c>
      <c r="M110" s="14" t="s">
        <v>103</v>
      </c>
      <c r="N110" s="16">
        <f>COUNTIF($M$3:M110, M110)</f>
        <v>25</v>
      </c>
      <c r="O110" s="16" t="str" cm="1">
        <f t="array" ref="O110">INDEX('[2]ALTA 20242025'!$B$2:$B$241, MATCH(1, ('[2]ALTA 20242025'!$I$2:$I$241=M110)*('[2]ALTA 20242025'!$J$2:$J$241=N110), 0))</f>
        <v>2062MJP</v>
      </c>
      <c r="P110" s="16"/>
      <c r="Q110" s="16"/>
      <c r="R110" s="14" t="s">
        <v>2048</v>
      </c>
      <c r="S110" s="14" t="s">
        <v>2048</v>
      </c>
      <c r="T110" s="14" t="s">
        <v>2048</v>
      </c>
      <c r="U110" s="14" t="s">
        <v>2048</v>
      </c>
      <c r="V110" s="14" t="s">
        <v>4141</v>
      </c>
      <c r="W110" s="14" t="s">
        <v>4146</v>
      </c>
      <c r="X110" s="14" t="s">
        <v>3858</v>
      </c>
      <c r="Y110" s="14" t="s">
        <v>4147</v>
      </c>
      <c r="Z110" s="14" t="s">
        <v>2048</v>
      </c>
      <c r="AA110" s="14" t="s">
        <v>2422</v>
      </c>
      <c r="AB110" s="14" t="s">
        <v>2049</v>
      </c>
      <c r="AC110" s="14" t="s">
        <v>2050</v>
      </c>
      <c r="AD110" s="14" t="s">
        <v>2048</v>
      </c>
      <c r="AE110" s="14" t="s">
        <v>2048</v>
      </c>
      <c r="AF110" s="14" t="s">
        <v>2048</v>
      </c>
      <c r="AG110" s="14" t="s">
        <v>2048</v>
      </c>
      <c r="AH110" s="14" t="s">
        <v>2048</v>
      </c>
      <c r="AI110" s="14" t="s">
        <v>2129</v>
      </c>
      <c r="AJ110" s="14" t="s">
        <v>2130</v>
      </c>
      <c r="AK110" s="14" t="s">
        <v>2055</v>
      </c>
      <c r="AL110" s="14" t="s">
        <v>2055</v>
      </c>
      <c r="AM110" s="14" t="s">
        <v>2055</v>
      </c>
      <c r="AN110" s="14" t="s">
        <v>2068</v>
      </c>
      <c r="AO110" s="14" t="s">
        <v>2048</v>
      </c>
      <c r="AP110" s="14" t="s">
        <v>2048</v>
      </c>
      <c r="AQ110" s="14" t="s">
        <v>2048</v>
      </c>
      <c r="AR110" s="14" t="s">
        <v>2877</v>
      </c>
      <c r="AS110" s="14" t="s">
        <v>89</v>
      </c>
      <c r="AT110" s="14" t="s">
        <v>3191</v>
      </c>
      <c r="AU110" s="14" t="s">
        <v>2059</v>
      </c>
      <c r="AV110" s="14" t="s">
        <v>2060</v>
      </c>
      <c r="AW110" s="14" t="s">
        <v>2048</v>
      </c>
      <c r="AX110" s="14" t="s">
        <v>2048</v>
      </c>
      <c r="AY110" s="14" t="s">
        <v>4144</v>
      </c>
      <c r="AZ110" s="14" t="s">
        <v>4145</v>
      </c>
      <c r="BA110" s="14" t="s">
        <v>2048</v>
      </c>
      <c r="BB110" s="14" t="s">
        <v>2048</v>
      </c>
      <c r="BC110" s="14" t="s">
        <v>102</v>
      </c>
      <c r="BD110" s="14" t="s">
        <v>649</v>
      </c>
      <c r="BE110" s="14" t="s">
        <v>2883</v>
      </c>
      <c r="BF110" s="14" t="s">
        <v>2048</v>
      </c>
      <c r="BG110" s="14" t="s">
        <v>2048</v>
      </c>
      <c r="BH110" s="14" t="s">
        <v>2282</v>
      </c>
      <c r="BI110" s="14" t="s">
        <v>2782</v>
      </c>
      <c r="BJ110" s="14" t="s">
        <v>2783</v>
      </c>
      <c r="BK110" s="14" t="s">
        <v>2784</v>
      </c>
      <c r="BL110" s="14" t="s">
        <v>2884</v>
      </c>
      <c r="BM110" s="14" t="s">
        <v>2287</v>
      </c>
      <c r="BN110" s="14" t="s">
        <v>2048</v>
      </c>
      <c r="BO110" s="14" t="s">
        <v>2048</v>
      </c>
      <c r="BP110" s="14" t="s">
        <v>2064</v>
      </c>
      <c r="BQ110" s="14" t="s">
        <v>72</v>
      </c>
      <c r="BR110" s="14" t="s">
        <v>72</v>
      </c>
      <c r="BS110" s="14" t="s">
        <v>2048</v>
      </c>
      <c r="BT110" s="14" t="s">
        <v>2048</v>
      </c>
      <c r="BU110" s="14" t="s">
        <v>2048</v>
      </c>
      <c r="BV110" s="14" t="s">
        <v>2418</v>
      </c>
      <c r="BW110" s="14" t="s">
        <v>2089</v>
      </c>
      <c r="BX110" s="14" t="s">
        <v>2048</v>
      </c>
      <c r="BY110" s="14" t="s">
        <v>2048</v>
      </c>
      <c r="BZ110" s="14" t="s">
        <v>2048</v>
      </c>
      <c r="CA110" s="14" t="s">
        <v>2048</v>
      </c>
      <c r="CB110" s="14" t="s">
        <v>72</v>
      </c>
      <c r="CC110" s="14" t="s">
        <v>2048</v>
      </c>
      <c r="CD110" s="14" t="s">
        <v>2048</v>
      </c>
      <c r="CE110" s="14" t="s">
        <v>2048</v>
      </c>
      <c r="CF110" s="14" t="s">
        <v>2048</v>
      </c>
      <c r="CG110" s="14" t="s">
        <v>2048</v>
      </c>
      <c r="CH110" s="14" t="s">
        <v>2048</v>
      </c>
      <c r="CI110" s="14" t="s">
        <v>2048</v>
      </c>
      <c r="CJ110" s="14" t="s">
        <v>2048</v>
      </c>
      <c r="CK110" s="14" t="s">
        <v>2057</v>
      </c>
      <c r="CL110" s="14" t="s">
        <v>2090</v>
      </c>
      <c r="CM110" s="14" t="s">
        <v>2048</v>
      </c>
      <c r="CN110" s="17"/>
      <c r="CO110" s="17">
        <v>45324</v>
      </c>
      <c r="CP110" s="17">
        <v>45324</v>
      </c>
      <c r="CR110" s="17">
        <v>45372</v>
      </c>
      <c r="CS110" s="19">
        <v>0</v>
      </c>
      <c r="CT110" s="19">
        <v>0</v>
      </c>
      <c r="CU110" s="19">
        <v>427.49</v>
      </c>
      <c r="CV110" s="19">
        <v>0</v>
      </c>
      <c r="CW110" s="19">
        <v>427.49</v>
      </c>
      <c r="CX110" s="19">
        <v>517.26</v>
      </c>
      <c r="CY110" s="19">
        <v>0</v>
      </c>
      <c r="CZ110" s="17"/>
      <c r="DA110" s="19">
        <v>0</v>
      </c>
      <c r="DB110" s="17"/>
      <c r="DC110" s="17"/>
      <c r="DD110" s="19">
        <v>0</v>
      </c>
      <c r="DE110" s="17"/>
      <c r="DF110" s="17"/>
      <c r="DG110" s="19">
        <v>100</v>
      </c>
      <c r="DH110" s="17"/>
      <c r="DI110" s="17">
        <v>45473</v>
      </c>
      <c r="DJ110" s="17"/>
      <c r="DK110" s="17"/>
      <c r="DL110" s="19">
        <v>0</v>
      </c>
      <c r="DM110" s="19">
        <v>0</v>
      </c>
    </row>
    <row r="111" spans="1:117" x14ac:dyDescent="0.2">
      <c r="A111" s="14" t="s">
        <v>3610</v>
      </c>
      <c r="B111" s="14" t="s">
        <v>449</v>
      </c>
      <c r="C111" s="14" t="s">
        <v>73</v>
      </c>
      <c r="D111" s="14" t="s">
        <v>74</v>
      </c>
      <c r="E111" s="14" t="s">
        <v>75</v>
      </c>
      <c r="F111" s="14" t="s">
        <v>76</v>
      </c>
      <c r="G111" s="17">
        <v>45372</v>
      </c>
      <c r="H111" s="14" t="s">
        <v>77</v>
      </c>
      <c r="I111" s="14" t="s">
        <v>78</v>
      </c>
      <c r="J111" s="14" t="s">
        <v>85</v>
      </c>
      <c r="K111" s="14" t="s">
        <v>450</v>
      </c>
      <c r="L111" s="14" t="s">
        <v>102</v>
      </c>
      <c r="M111" s="14" t="s">
        <v>103</v>
      </c>
      <c r="N111" s="16">
        <f>COUNTIF($M$3:M111, M111)</f>
        <v>26</v>
      </c>
      <c r="O111" s="16" t="str" cm="1">
        <f t="array" ref="O111">INDEX('[2]ALTA 20242025'!$B$2:$B$241, MATCH(1, ('[2]ALTA 20242025'!$I$2:$I$241=M111)*('[2]ALTA 20242025'!$J$2:$J$241=N111), 0))</f>
        <v>2043MJP</v>
      </c>
      <c r="P111" s="16"/>
      <c r="Q111" s="16"/>
      <c r="R111" s="14" t="s">
        <v>2048</v>
      </c>
      <c r="S111" s="14" t="s">
        <v>2048</v>
      </c>
      <c r="T111" s="14" t="s">
        <v>2048</v>
      </c>
      <c r="U111" s="14" t="s">
        <v>2048</v>
      </c>
      <c r="V111" s="14" t="s">
        <v>3992</v>
      </c>
      <c r="W111" s="14" t="s">
        <v>3993</v>
      </c>
      <c r="X111" s="14" t="s">
        <v>4148</v>
      </c>
      <c r="Y111" s="14" t="s">
        <v>4149</v>
      </c>
      <c r="Z111" s="14" t="s">
        <v>2048</v>
      </c>
      <c r="AA111" s="14" t="s">
        <v>2422</v>
      </c>
      <c r="AB111" s="14" t="s">
        <v>2049</v>
      </c>
      <c r="AC111" s="14" t="s">
        <v>2050</v>
      </c>
      <c r="AD111" s="14" t="s">
        <v>2048</v>
      </c>
      <c r="AE111" s="14" t="s">
        <v>2048</v>
      </c>
      <c r="AF111" s="14" t="s">
        <v>2048</v>
      </c>
      <c r="AG111" s="14" t="s">
        <v>2048</v>
      </c>
      <c r="AH111" s="14" t="s">
        <v>2048</v>
      </c>
      <c r="AI111" s="14" t="s">
        <v>2129</v>
      </c>
      <c r="AJ111" s="14" t="s">
        <v>2130</v>
      </c>
      <c r="AK111" s="14" t="s">
        <v>2055</v>
      </c>
      <c r="AL111" s="14" t="s">
        <v>2055</v>
      </c>
      <c r="AM111" s="14" t="s">
        <v>2055</v>
      </c>
      <c r="AN111" s="14" t="s">
        <v>2068</v>
      </c>
      <c r="AO111" s="14" t="s">
        <v>2048</v>
      </c>
      <c r="AP111" s="14" t="s">
        <v>2048</v>
      </c>
      <c r="AQ111" s="14" t="s">
        <v>2048</v>
      </c>
      <c r="AR111" s="14" t="s">
        <v>3996</v>
      </c>
      <c r="AS111" s="14" t="s">
        <v>108</v>
      </c>
      <c r="AT111" s="14" t="s">
        <v>3472</v>
      </c>
      <c r="AU111" s="14" t="s">
        <v>2059</v>
      </c>
      <c r="AV111" s="14" t="s">
        <v>2060</v>
      </c>
      <c r="AW111" s="14" t="s">
        <v>2048</v>
      </c>
      <c r="AX111" s="14" t="s">
        <v>72</v>
      </c>
      <c r="AY111" s="14" t="s">
        <v>3569</v>
      </c>
      <c r="AZ111" s="14" t="s">
        <v>3570</v>
      </c>
      <c r="BA111" s="14" t="s">
        <v>2048</v>
      </c>
      <c r="BB111" s="14" t="s">
        <v>2048</v>
      </c>
      <c r="BC111" s="14" t="s">
        <v>102</v>
      </c>
      <c r="BD111" s="14" t="s">
        <v>104</v>
      </c>
      <c r="BE111" s="14" t="s">
        <v>3571</v>
      </c>
      <c r="BF111" s="14" t="s">
        <v>2048</v>
      </c>
      <c r="BG111" s="14" t="s">
        <v>2048</v>
      </c>
      <c r="BH111" s="14" t="s">
        <v>2282</v>
      </c>
      <c r="BI111" s="14" t="s">
        <v>2782</v>
      </c>
      <c r="BJ111" s="14" t="s">
        <v>2783</v>
      </c>
      <c r="BK111" s="14" t="s">
        <v>2784</v>
      </c>
      <c r="BL111" s="14" t="s">
        <v>3572</v>
      </c>
      <c r="BM111" s="14" t="s">
        <v>2287</v>
      </c>
      <c r="BN111" s="14" t="s">
        <v>2048</v>
      </c>
      <c r="BO111" s="14" t="s">
        <v>2518</v>
      </c>
      <c r="BP111" s="14" t="s">
        <v>2064</v>
      </c>
      <c r="BQ111" s="14" t="s">
        <v>72</v>
      </c>
      <c r="BR111" s="14" t="s">
        <v>72</v>
      </c>
      <c r="BS111" s="14" t="s">
        <v>2048</v>
      </c>
      <c r="BT111" s="14" t="s">
        <v>2048</v>
      </c>
      <c r="BU111" s="14" t="s">
        <v>2048</v>
      </c>
      <c r="BV111" s="14" t="s">
        <v>2331</v>
      </c>
      <c r="BW111" s="14" t="s">
        <v>2131</v>
      </c>
      <c r="BX111" s="14" t="s">
        <v>2048</v>
      </c>
      <c r="BY111" s="14" t="s">
        <v>2048</v>
      </c>
      <c r="BZ111" s="14" t="s">
        <v>2048</v>
      </c>
      <c r="CA111" s="14" t="s">
        <v>2048</v>
      </c>
      <c r="CB111" s="14" t="s">
        <v>72</v>
      </c>
      <c r="CC111" s="14" t="s">
        <v>2048</v>
      </c>
      <c r="CD111" s="14" t="s">
        <v>2048</v>
      </c>
      <c r="CE111" s="14" t="s">
        <v>2048</v>
      </c>
      <c r="CF111" s="14" t="s">
        <v>2048</v>
      </c>
      <c r="CG111" s="14" t="s">
        <v>2048</v>
      </c>
      <c r="CH111" s="14" t="s">
        <v>2048</v>
      </c>
      <c r="CI111" s="14" t="s">
        <v>2048</v>
      </c>
      <c r="CJ111" s="14" t="s">
        <v>2048</v>
      </c>
      <c r="CK111" s="14" t="s">
        <v>2068</v>
      </c>
      <c r="CL111" s="14" t="s">
        <v>2069</v>
      </c>
      <c r="CM111" s="14" t="s">
        <v>2048</v>
      </c>
      <c r="CN111" s="17"/>
      <c r="CO111" s="17">
        <v>45202</v>
      </c>
      <c r="CP111" s="17">
        <v>45202</v>
      </c>
      <c r="CR111" s="17">
        <v>45372</v>
      </c>
      <c r="CS111" s="19">
        <v>3</v>
      </c>
      <c r="CT111" s="19">
        <v>0</v>
      </c>
      <c r="CU111" s="19">
        <v>348</v>
      </c>
      <c r="CV111" s="19">
        <v>0</v>
      </c>
      <c r="CW111" s="19">
        <v>348</v>
      </c>
      <c r="CX111" s="19">
        <v>421.08</v>
      </c>
      <c r="CY111" s="19">
        <v>0</v>
      </c>
      <c r="CZ111" s="17"/>
      <c r="DA111" s="19">
        <v>0</v>
      </c>
      <c r="DB111" s="17"/>
      <c r="DC111" s="17"/>
      <c r="DD111" s="19">
        <v>0</v>
      </c>
      <c r="DE111" s="17"/>
      <c r="DF111" s="17"/>
      <c r="DG111" s="19">
        <v>100</v>
      </c>
      <c r="DH111" s="17"/>
      <c r="DI111" s="17">
        <v>45657</v>
      </c>
      <c r="DJ111" s="17"/>
      <c r="DK111" s="17"/>
      <c r="DL111" s="19">
        <v>0</v>
      </c>
      <c r="DM111" s="19">
        <v>0</v>
      </c>
    </row>
    <row r="112" spans="1:117" x14ac:dyDescent="0.2">
      <c r="A112" s="14" t="s">
        <v>3610</v>
      </c>
      <c r="B112" s="14" t="s">
        <v>460</v>
      </c>
      <c r="C112" s="14" t="s">
        <v>73</v>
      </c>
      <c r="D112" s="14" t="s">
        <v>74</v>
      </c>
      <c r="E112" s="14" t="s">
        <v>75</v>
      </c>
      <c r="F112" s="14" t="s">
        <v>76</v>
      </c>
      <c r="G112" s="17">
        <v>45382</v>
      </c>
      <c r="H112" s="14" t="s">
        <v>77</v>
      </c>
      <c r="I112" s="14" t="s">
        <v>78</v>
      </c>
      <c r="J112" s="14" t="s">
        <v>359</v>
      </c>
      <c r="K112" s="14" t="s">
        <v>461</v>
      </c>
      <c r="L112" s="14" t="s">
        <v>102</v>
      </c>
      <c r="M112" s="14" t="s">
        <v>103</v>
      </c>
      <c r="N112" s="16">
        <f>COUNTIF($M$3:M112, M112)</f>
        <v>27</v>
      </c>
      <c r="O112" s="16" t="str" cm="1">
        <f t="array" ref="O112">INDEX('[2]ALTA 20242025'!$B$2:$B$241, MATCH(1, ('[2]ALTA 20242025'!$I$2:$I$241=M112)*('[2]ALTA 20242025'!$J$2:$J$241=N112), 0))</f>
        <v>8539MDK</v>
      </c>
      <c r="P112" s="16"/>
      <c r="Q112" s="16"/>
      <c r="R112" s="14" t="s">
        <v>2048</v>
      </c>
      <c r="S112" s="14" t="s">
        <v>2048</v>
      </c>
      <c r="T112" s="14" t="s">
        <v>2048</v>
      </c>
      <c r="U112" s="14" t="s">
        <v>2048</v>
      </c>
      <c r="V112" s="14" t="s">
        <v>3992</v>
      </c>
      <c r="W112" s="14" t="s">
        <v>3993</v>
      </c>
      <c r="X112" s="14" t="s">
        <v>4150</v>
      </c>
      <c r="Y112" s="14" t="s">
        <v>4151</v>
      </c>
      <c r="Z112" s="14" t="s">
        <v>2048</v>
      </c>
      <c r="AA112" s="14" t="s">
        <v>2422</v>
      </c>
      <c r="AB112" s="14" t="s">
        <v>2049</v>
      </c>
      <c r="AC112" s="14" t="s">
        <v>2050</v>
      </c>
      <c r="AD112" s="14" t="s">
        <v>2048</v>
      </c>
      <c r="AE112" s="14" t="s">
        <v>2048</v>
      </c>
      <c r="AF112" s="14" t="s">
        <v>2048</v>
      </c>
      <c r="AG112" s="14" t="s">
        <v>2048</v>
      </c>
      <c r="AH112" s="14" t="s">
        <v>2048</v>
      </c>
      <c r="AI112" s="14" t="s">
        <v>2129</v>
      </c>
      <c r="AJ112" s="14" t="s">
        <v>2130</v>
      </c>
      <c r="AK112" s="14" t="s">
        <v>2055</v>
      </c>
      <c r="AL112" s="14" t="s">
        <v>2055</v>
      </c>
      <c r="AM112" s="14" t="s">
        <v>2055</v>
      </c>
      <c r="AN112" s="14" t="s">
        <v>2068</v>
      </c>
      <c r="AO112" s="14" t="s">
        <v>2048</v>
      </c>
      <c r="AP112" s="14" t="s">
        <v>2048</v>
      </c>
      <c r="AQ112" s="14" t="s">
        <v>2048</v>
      </c>
      <c r="AR112" s="14" t="s">
        <v>3996</v>
      </c>
      <c r="AS112" s="14" t="s">
        <v>108</v>
      </c>
      <c r="AT112" s="14" t="s">
        <v>3472</v>
      </c>
      <c r="AU112" s="14" t="s">
        <v>2059</v>
      </c>
      <c r="AV112" s="14" t="s">
        <v>2060</v>
      </c>
      <c r="AW112" s="14" t="s">
        <v>2048</v>
      </c>
      <c r="AX112" s="14" t="s">
        <v>72</v>
      </c>
      <c r="AY112" s="14" t="s">
        <v>3569</v>
      </c>
      <c r="AZ112" s="14" t="s">
        <v>3570</v>
      </c>
      <c r="BA112" s="14" t="s">
        <v>2048</v>
      </c>
      <c r="BB112" s="14" t="s">
        <v>2048</v>
      </c>
      <c r="BC112" s="14" t="s">
        <v>102</v>
      </c>
      <c r="BD112" s="14" t="s">
        <v>104</v>
      </c>
      <c r="BE112" s="14" t="s">
        <v>3571</v>
      </c>
      <c r="BF112" s="14" t="s">
        <v>2048</v>
      </c>
      <c r="BG112" s="14" t="s">
        <v>2048</v>
      </c>
      <c r="BH112" s="14" t="s">
        <v>2282</v>
      </c>
      <c r="BI112" s="14" t="s">
        <v>2782</v>
      </c>
      <c r="BJ112" s="14" t="s">
        <v>2783</v>
      </c>
      <c r="BK112" s="14" t="s">
        <v>2784</v>
      </c>
      <c r="BL112" s="14" t="s">
        <v>3572</v>
      </c>
      <c r="BM112" s="14" t="s">
        <v>2287</v>
      </c>
      <c r="BN112" s="14" t="s">
        <v>2048</v>
      </c>
      <c r="BO112" s="14" t="s">
        <v>2048</v>
      </c>
      <c r="BP112" s="14" t="s">
        <v>2064</v>
      </c>
      <c r="BQ112" s="14" t="s">
        <v>72</v>
      </c>
      <c r="BR112" s="14" t="s">
        <v>72</v>
      </c>
      <c r="BS112" s="14" t="s">
        <v>2048</v>
      </c>
      <c r="BT112" s="14" t="s">
        <v>2048</v>
      </c>
      <c r="BU112" s="14" t="s">
        <v>2048</v>
      </c>
      <c r="BV112" s="14" t="s">
        <v>2331</v>
      </c>
      <c r="BW112" s="14" t="s">
        <v>2131</v>
      </c>
      <c r="BX112" s="14" t="s">
        <v>2048</v>
      </c>
      <c r="BY112" s="14" t="s">
        <v>2048</v>
      </c>
      <c r="BZ112" s="14" t="s">
        <v>2048</v>
      </c>
      <c r="CA112" s="14" t="s">
        <v>2048</v>
      </c>
      <c r="CB112" s="14" t="s">
        <v>72</v>
      </c>
      <c r="CC112" s="14" t="s">
        <v>2048</v>
      </c>
      <c r="CD112" s="14" t="s">
        <v>2048</v>
      </c>
      <c r="CE112" s="14" t="s">
        <v>2048</v>
      </c>
      <c r="CF112" s="14" t="s">
        <v>2048</v>
      </c>
      <c r="CG112" s="14" t="s">
        <v>2048</v>
      </c>
      <c r="CH112" s="14" t="s">
        <v>2048</v>
      </c>
      <c r="CI112" s="14" t="s">
        <v>2048</v>
      </c>
      <c r="CJ112" s="14" t="s">
        <v>2048</v>
      </c>
      <c r="CK112" s="14" t="s">
        <v>2068</v>
      </c>
      <c r="CL112" s="14" t="s">
        <v>2069</v>
      </c>
      <c r="CM112" s="14" t="s">
        <v>2048</v>
      </c>
      <c r="CN112" s="17"/>
      <c r="CO112" s="17">
        <v>45202</v>
      </c>
      <c r="CP112" s="17">
        <v>45202</v>
      </c>
      <c r="CR112" s="17">
        <v>45265</v>
      </c>
      <c r="CS112" s="19">
        <v>3</v>
      </c>
      <c r="CT112" s="19">
        <v>0</v>
      </c>
      <c r="CU112" s="19">
        <v>377.5</v>
      </c>
      <c r="CV112" s="19">
        <v>0</v>
      </c>
      <c r="CW112" s="19">
        <v>377.5</v>
      </c>
      <c r="CX112" s="19">
        <v>456.78</v>
      </c>
      <c r="CY112" s="19">
        <v>0</v>
      </c>
      <c r="CZ112" s="17"/>
      <c r="DA112" s="19">
        <v>0</v>
      </c>
      <c r="DB112" s="17"/>
      <c r="DC112" s="17"/>
      <c r="DD112" s="19">
        <v>0</v>
      </c>
      <c r="DE112" s="17"/>
      <c r="DF112" s="17"/>
      <c r="DG112" s="19">
        <v>100</v>
      </c>
      <c r="DH112" s="17"/>
      <c r="DI112" s="17">
        <v>45657</v>
      </c>
      <c r="DJ112" s="17"/>
      <c r="DK112" s="17"/>
      <c r="DL112" s="19">
        <v>0</v>
      </c>
      <c r="DM112" s="19">
        <v>0</v>
      </c>
    </row>
    <row r="113" spans="1:117" x14ac:dyDescent="0.2">
      <c r="A113" s="14" t="s">
        <v>3610</v>
      </c>
      <c r="B113" s="14" t="s">
        <v>565</v>
      </c>
      <c r="C113" s="14" t="s">
        <v>73</v>
      </c>
      <c r="D113" s="14" t="s">
        <v>74</v>
      </c>
      <c r="E113" s="14" t="s">
        <v>75</v>
      </c>
      <c r="F113" s="14" t="s">
        <v>76</v>
      </c>
      <c r="G113" s="17">
        <v>45382</v>
      </c>
      <c r="H113" s="14" t="s">
        <v>77</v>
      </c>
      <c r="I113" s="14" t="s">
        <v>78</v>
      </c>
      <c r="J113" s="14" t="s">
        <v>359</v>
      </c>
      <c r="K113" s="14" t="s">
        <v>461</v>
      </c>
      <c r="L113" s="14" t="s">
        <v>102</v>
      </c>
      <c r="M113" s="14" t="s">
        <v>103</v>
      </c>
      <c r="N113" s="16">
        <f>COUNTIF($M$3:M113, M113)</f>
        <v>28</v>
      </c>
      <c r="O113" s="16" t="str" cm="1">
        <f t="array" ref="O113">INDEX('[2]ALTA 20242025'!$B$2:$B$241, MATCH(1, ('[2]ALTA 20242025'!$I$2:$I$241=M113)*('[2]ALTA 20242025'!$J$2:$J$241=N113), 0))</f>
        <v>8533MDK</v>
      </c>
      <c r="P113" s="16"/>
      <c r="Q113" s="16"/>
      <c r="R113" s="14" t="s">
        <v>2048</v>
      </c>
      <c r="S113" s="14" t="s">
        <v>2048</v>
      </c>
      <c r="T113" s="14" t="s">
        <v>2048</v>
      </c>
      <c r="U113" s="14" t="s">
        <v>2048</v>
      </c>
      <c r="V113" s="14" t="s">
        <v>3992</v>
      </c>
      <c r="W113" s="14" t="s">
        <v>3993</v>
      </c>
      <c r="X113" s="14" t="s">
        <v>4152</v>
      </c>
      <c r="Y113" s="14" t="s">
        <v>4153</v>
      </c>
      <c r="Z113" s="14" t="s">
        <v>2048</v>
      </c>
      <c r="AA113" s="14" t="s">
        <v>2422</v>
      </c>
      <c r="AB113" s="14" t="s">
        <v>2049</v>
      </c>
      <c r="AC113" s="14" t="s">
        <v>2050</v>
      </c>
      <c r="AD113" s="14" t="s">
        <v>2048</v>
      </c>
      <c r="AE113" s="14" t="s">
        <v>2048</v>
      </c>
      <c r="AF113" s="14" t="s">
        <v>2048</v>
      </c>
      <c r="AG113" s="14" t="s">
        <v>2048</v>
      </c>
      <c r="AH113" s="14" t="s">
        <v>2048</v>
      </c>
      <c r="AI113" s="14" t="s">
        <v>2129</v>
      </c>
      <c r="AJ113" s="14" t="s">
        <v>2130</v>
      </c>
      <c r="AK113" s="14" t="s">
        <v>2055</v>
      </c>
      <c r="AL113" s="14" t="s">
        <v>2055</v>
      </c>
      <c r="AM113" s="14" t="s">
        <v>2055</v>
      </c>
      <c r="AN113" s="14" t="s">
        <v>2068</v>
      </c>
      <c r="AO113" s="14" t="s">
        <v>2048</v>
      </c>
      <c r="AP113" s="14" t="s">
        <v>2048</v>
      </c>
      <c r="AQ113" s="14" t="s">
        <v>2048</v>
      </c>
      <c r="AR113" s="14" t="s">
        <v>3996</v>
      </c>
      <c r="AS113" s="14" t="s">
        <v>108</v>
      </c>
      <c r="AT113" s="14" t="s">
        <v>3472</v>
      </c>
      <c r="AU113" s="14" t="s">
        <v>2059</v>
      </c>
      <c r="AV113" s="14" t="s">
        <v>2060</v>
      </c>
      <c r="AW113" s="14" t="s">
        <v>2048</v>
      </c>
      <c r="AX113" s="14" t="s">
        <v>72</v>
      </c>
      <c r="AY113" s="14" t="s">
        <v>3569</v>
      </c>
      <c r="AZ113" s="14" t="s">
        <v>3570</v>
      </c>
      <c r="BA113" s="14" t="s">
        <v>2048</v>
      </c>
      <c r="BB113" s="14" t="s">
        <v>2048</v>
      </c>
      <c r="BC113" s="14" t="s">
        <v>102</v>
      </c>
      <c r="BD113" s="14" t="s">
        <v>104</v>
      </c>
      <c r="BE113" s="14" t="s">
        <v>3571</v>
      </c>
      <c r="BF113" s="14" t="s">
        <v>2048</v>
      </c>
      <c r="BG113" s="14" t="s">
        <v>2048</v>
      </c>
      <c r="BH113" s="14" t="s">
        <v>2282</v>
      </c>
      <c r="BI113" s="14" t="s">
        <v>2782</v>
      </c>
      <c r="BJ113" s="14" t="s">
        <v>2783</v>
      </c>
      <c r="BK113" s="14" t="s">
        <v>2784</v>
      </c>
      <c r="BL113" s="14" t="s">
        <v>3572</v>
      </c>
      <c r="BM113" s="14" t="s">
        <v>2287</v>
      </c>
      <c r="BN113" s="14" t="s">
        <v>2048</v>
      </c>
      <c r="BO113" s="14" t="s">
        <v>2048</v>
      </c>
      <c r="BP113" s="14" t="s">
        <v>2064</v>
      </c>
      <c r="BQ113" s="14" t="s">
        <v>72</v>
      </c>
      <c r="BR113" s="14" t="s">
        <v>72</v>
      </c>
      <c r="BS113" s="14" t="s">
        <v>2048</v>
      </c>
      <c r="BT113" s="14" t="s">
        <v>2048</v>
      </c>
      <c r="BU113" s="14" t="s">
        <v>2048</v>
      </c>
      <c r="BV113" s="14" t="s">
        <v>2331</v>
      </c>
      <c r="BW113" s="14" t="s">
        <v>2131</v>
      </c>
      <c r="BX113" s="14" t="s">
        <v>2048</v>
      </c>
      <c r="BY113" s="14" t="s">
        <v>2048</v>
      </c>
      <c r="BZ113" s="14" t="s">
        <v>2048</v>
      </c>
      <c r="CA113" s="14" t="s">
        <v>2048</v>
      </c>
      <c r="CB113" s="14" t="s">
        <v>72</v>
      </c>
      <c r="CC113" s="14" t="s">
        <v>2048</v>
      </c>
      <c r="CD113" s="14" t="s">
        <v>2048</v>
      </c>
      <c r="CE113" s="14" t="s">
        <v>2048</v>
      </c>
      <c r="CF113" s="14" t="s">
        <v>2048</v>
      </c>
      <c r="CG113" s="14" t="s">
        <v>2048</v>
      </c>
      <c r="CH113" s="14" t="s">
        <v>2048</v>
      </c>
      <c r="CI113" s="14" t="s">
        <v>2048</v>
      </c>
      <c r="CJ113" s="14" t="s">
        <v>2048</v>
      </c>
      <c r="CK113" s="14" t="s">
        <v>2068</v>
      </c>
      <c r="CL113" s="14" t="s">
        <v>2069</v>
      </c>
      <c r="CM113" s="14" t="s">
        <v>2048</v>
      </c>
      <c r="CN113" s="17"/>
      <c r="CO113" s="17">
        <v>45202</v>
      </c>
      <c r="CP113" s="17">
        <v>45202</v>
      </c>
      <c r="CR113" s="17">
        <v>45281</v>
      </c>
      <c r="CS113" s="19">
        <v>3</v>
      </c>
      <c r="CT113" s="19">
        <v>0</v>
      </c>
      <c r="CU113" s="19">
        <v>377.5</v>
      </c>
      <c r="CV113" s="19">
        <v>0</v>
      </c>
      <c r="CW113" s="19">
        <v>377.5</v>
      </c>
      <c r="CX113" s="19">
        <v>456.78</v>
      </c>
      <c r="CY113" s="19">
        <v>0</v>
      </c>
      <c r="CZ113" s="17"/>
      <c r="DA113" s="19">
        <v>0</v>
      </c>
      <c r="DB113" s="17"/>
      <c r="DC113" s="17"/>
      <c r="DD113" s="19">
        <v>0</v>
      </c>
      <c r="DE113" s="17"/>
      <c r="DF113" s="17"/>
      <c r="DG113" s="19">
        <v>100</v>
      </c>
      <c r="DH113" s="17"/>
      <c r="DI113" s="17">
        <v>45657</v>
      </c>
      <c r="DJ113" s="17"/>
      <c r="DK113" s="17"/>
      <c r="DL113" s="19">
        <v>0</v>
      </c>
      <c r="DM113" s="19">
        <v>0</v>
      </c>
    </row>
    <row r="114" spans="1:117" x14ac:dyDescent="0.2">
      <c r="A114" s="14" t="s">
        <v>3610</v>
      </c>
      <c r="B114" s="14" t="s">
        <v>411</v>
      </c>
      <c r="C114" s="14" t="s">
        <v>413</v>
      </c>
      <c r="D114" s="14" t="s">
        <v>414</v>
      </c>
      <c r="E114" s="14" t="s">
        <v>415</v>
      </c>
      <c r="F114" s="14" t="s">
        <v>171</v>
      </c>
      <c r="G114" s="17">
        <v>45382</v>
      </c>
      <c r="H114" s="14" t="s">
        <v>172</v>
      </c>
      <c r="I114" s="14" t="s">
        <v>202</v>
      </c>
      <c r="J114" s="14" t="s">
        <v>416</v>
      </c>
      <c r="K114" s="14" t="s">
        <v>417</v>
      </c>
      <c r="L114" s="14" t="s">
        <v>119</v>
      </c>
      <c r="M114" s="14" t="s">
        <v>120</v>
      </c>
      <c r="N114" s="16">
        <f>COUNTIF($M$3:M114, M114)</f>
        <v>7</v>
      </c>
      <c r="O114" s="16" t="str" cm="1">
        <f t="array" ref="O114">INDEX('[2]ALTA 20242025'!$B$2:$B$241, MATCH(1, ('[2]ALTA 20242025'!$I$2:$I$241=M114)*('[2]ALTA 20242025'!$J$2:$J$241=N114), 0))</f>
        <v>2737MXG</v>
      </c>
      <c r="P114" s="16"/>
      <c r="Q114" s="16"/>
      <c r="R114" s="14" t="s">
        <v>3708</v>
      </c>
      <c r="S114" s="14" t="s">
        <v>3709</v>
      </c>
      <c r="T114" s="14" t="s">
        <v>2048</v>
      </c>
      <c r="U114" s="14" t="s">
        <v>2048</v>
      </c>
      <c r="V114" s="14" t="s">
        <v>72</v>
      </c>
      <c r="W114" s="14" t="s">
        <v>72</v>
      </c>
      <c r="X114" s="14" t="s">
        <v>72</v>
      </c>
      <c r="Y114" s="14" t="s">
        <v>2048</v>
      </c>
      <c r="Z114" s="14" t="s">
        <v>2048</v>
      </c>
      <c r="AA114" s="14" t="s">
        <v>2422</v>
      </c>
      <c r="AB114" s="14" t="s">
        <v>2049</v>
      </c>
      <c r="AC114" s="14" t="s">
        <v>2050</v>
      </c>
      <c r="AD114" s="14" t="s">
        <v>2048</v>
      </c>
      <c r="AE114" s="14" t="s">
        <v>2048</v>
      </c>
      <c r="AF114" s="14" t="s">
        <v>2048</v>
      </c>
      <c r="AG114" s="14" t="s">
        <v>2048</v>
      </c>
      <c r="AH114" s="14" t="s">
        <v>2048</v>
      </c>
      <c r="AI114" s="14" t="s">
        <v>2129</v>
      </c>
      <c r="AJ114" s="14" t="s">
        <v>2130</v>
      </c>
      <c r="AK114" s="14" t="s">
        <v>2055</v>
      </c>
      <c r="AL114" s="14" t="s">
        <v>2055</v>
      </c>
      <c r="AM114" s="14" t="s">
        <v>2055</v>
      </c>
      <c r="AN114" s="14" t="s">
        <v>2121</v>
      </c>
      <c r="AO114" s="14" t="s">
        <v>2048</v>
      </c>
      <c r="AP114" s="14" t="s">
        <v>2048</v>
      </c>
      <c r="AQ114" s="14" t="s">
        <v>2048</v>
      </c>
      <c r="AR114" s="14" t="s">
        <v>2048</v>
      </c>
      <c r="AS114" s="14" t="s">
        <v>2048</v>
      </c>
      <c r="AT114" s="14" t="s">
        <v>2048</v>
      </c>
      <c r="AU114" s="14" t="s">
        <v>2059</v>
      </c>
      <c r="AV114" s="14" t="s">
        <v>4154</v>
      </c>
      <c r="AW114" s="14" t="s">
        <v>4155</v>
      </c>
      <c r="AX114" s="14" t="s">
        <v>2048</v>
      </c>
      <c r="AY114" s="14" t="s">
        <v>4156</v>
      </c>
      <c r="AZ114" s="14" t="s">
        <v>4157</v>
      </c>
      <c r="BA114" s="14" t="s">
        <v>2048</v>
      </c>
      <c r="BB114" s="14" t="s">
        <v>2048</v>
      </c>
      <c r="BC114" s="14" t="s">
        <v>119</v>
      </c>
      <c r="BD114" s="14" t="s">
        <v>366</v>
      </c>
      <c r="BE114" s="14" t="s">
        <v>4158</v>
      </c>
      <c r="BF114" s="14" t="s">
        <v>2048</v>
      </c>
      <c r="BG114" s="14" t="s">
        <v>2048</v>
      </c>
      <c r="BH114" s="14" t="s">
        <v>3598</v>
      </c>
      <c r="BI114" s="14" t="s">
        <v>3599</v>
      </c>
      <c r="BJ114" s="14" t="s">
        <v>3914</v>
      </c>
      <c r="BK114" s="14" t="s">
        <v>3915</v>
      </c>
      <c r="BL114" s="14" t="s">
        <v>4119</v>
      </c>
      <c r="BM114" s="14" t="s">
        <v>3600</v>
      </c>
      <c r="BN114" s="14" t="s">
        <v>2048</v>
      </c>
      <c r="BO114" s="14" t="s">
        <v>2048</v>
      </c>
      <c r="BP114" s="14" t="s">
        <v>2064</v>
      </c>
      <c r="BQ114" s="14" t="s">
        <v>72</v>
      </c>
      <c r="BR114" s="14" t="s">
        <v>72</v>
      </c>
      <c r="BS114" s="14" t="s">
        <v>2048</v>
      </c>
      <c r="BT114" s="14" t="s">
        <v>4159</v>
      </c>
      <c r="BU114" s="14" t="s">
        <v>2987</v>
      </c>
      <c r="BV114" s="14" t="s">
        <v>2331</v>
      </c>
      <c r="BW114" s="14" t="s">
        <v>2131</v>
      </c>
      <c r="BX114" s="14" t="s">
        <v>2048</v>
      </c>
      <c r="BY114" s="14" t="s">
        <v>2048</v>
      </c>
      <c r="BZ114" s="14" t="s">
        <v>2048</v>
      </c>
      <c r="CA114" s="14" t="s">
        <v>2048</v>
      </c>
      <c r="CB114" s="14" t="s">
        <v>2048</v>
      </c>
      <c r="CC114" s="14" t="s">
        <v>2048</v>
      </c>
      <c r="CD114" s="14" t="s">
        <v>2048</v>
      </c>
      <c r="CE114" s="14" t="s">
        <v>2048</v>
      </c>
      <c r="CF114" s="14" t="s">
        <v>2048</v>
      </c>
      <c r="CG114" s="14" t="s">
        <v>2048</v>
      </c>
      <c r="CH114" s="14" t="s">
        <v>2048</v>
      </c>
      <c r="CI114" s="14" t="s">
        <v>2048</v>
      </c>
      <c r="CJ114" s="14" t="s">
        <v>2048</v>
      </c>
      <c r="CK114" s="14" t="s">
        <v>3714</v>
      </c>
      <c r="CL114" s="14" t="s">
        <v>3761</v>
      </c>
      <c r="CM114" s="14" t="s">
        <v>2048</v>
      </c>
      <c r="CN114" s="17">
        <v>44348</v>
      </c>
      <c r="CO114" s="17">
        <v>42116</v>
      </c>
      <c r="CP114" s="17">
        <v>42116</v>
      </c>
      <c r="CR114" s="17">
        <v>45382</v>
      </c>
      <c r="CS114" s="19">
        <v>0</v>
      </c>
      <c r="CT114" s="19">
        <v>0</v>
      </c>
      <c r="CU114" s="19">
        <v>0</v>
      </c>
      <c r="CV114" s="19">
        <v>0</v>
      </c>
      <c r="CW114" s="19">
        <v>0</v>
      </c>
      <c r="CX114" s="19">
        <v>0</v>
      </c>
      <c r="CY114" s="19">
        <v>0</v>
      </c>
      <c r="CZ114" s="17"/>
      <c r="DA114" s="19">
        <v>0</v>
      </c>
      <c r="DB114" s="17"/>
      <c r="DC114" s="17"/>
      <c r="DD114" s="19">
        <v>0</v>
      </c>
      <c r="DE114" s="17"/>
      <c r="DF114" s="17"/>
      <c r="DG114" s="19">
        <v>100</v>
      </c>
      <c r="DH114" s="17"/>
      <c r="DI114" s="17">
        <v>2958465</v>
      </c>
      <c r="DJ114" s="17"/>
      <c r="DK114" s="17"/>
      <c r="DL114" s="19">
        <v>0</v>
      </c>
      <c r="DM114" s="19">
        <v>0</v>
      </c>
    </row>
    <row r="115" spans="1:117" x14ac:dyDescent="0.2">
      <c r="A115" s="14" t="s">
        <v>3610</v>
      </c>
      <c r="B115" s="14" t="s">
        <v>95</v>
      </c>
      <c r="C115" s="14" t="s">
        <v>73</v>
      </c>
      <c r="D115" s="14" t="s">
        <v>74</v>
      </c>
      <c r="E115" s="14" t="s">
        <v>75</v>
      </c>
      <c r="F115" s="14" t="s">
        <v>76</v>
      </c>
      <c r="G115" s="17">
        <v>45393</v>
      </c>
      <c r="H115" s="14" t="s">
        <v>77</v>
      </c>
      <c r="I115" s="14" t="s">
        <v>78</v>
      </c>
      <c r="J115" s="14" t="s">
        <v>79</v>
      </c>
      <c r="K115" s="14" t="s">
        <v>80</v>
      </c>
      <c r="L115" s="14" t="s">
        <v>81</v>
      </c>
      <c r="M115" s="14" t="s">
        <v>82</v>
      </c>
      <c r="N115" s="16">
        <f>COUNTIF($M$3:M115, M115)</f>
        <v>5</v>
      </c>
      <c r="O115" s="16" t="str" cm="1">
        <f t="array" ref="O115">INDEX('[2]ALTA 20242025'!$B$2:$B$241, MATCH(1, ('[2]ALTA 20242025'!$I$2:$I$241=M115)*('[2]ALTA 20242025'!$J$2:$J$241=N115), 0))</f>
        <v>0693MWT</v>
      </c>
      <c r="P115" s="16"/>
      <c r="Q115" s="16"/>
      <c r="R115" s="14" t="s">
        <v>2048</v>
      </c>
      <c r="S115" s="14" t="s">
        <v>2048</v>
      </c>
      <c r="T115" s="14" t="s">
        <v>2048</v>
      </c>
      <c r="U115" s="14" t="s">
        <v>2048</v>
      </c>
      <c r="V115" s="14" t="s">
        <v>4019</v>
      </c>
      <c r="W115" s="14" t="s">
        <v>72</v>
      </c>
      <c r="X115" s="14" t="s">
        <v>72</v>
      </c>
      <c r="Y115" s="14" t="s">
        <v>4160</v>
      </c>
      <c r="Z115" s="14" t="s">
        <v>2048</v>
      </c>
      <c r="AA115" s="14" t="s">
        <v>2422</v>
      </c>
      <c r="AB115" s="14" t="s">
        <v>2049</v>
      </c>
      <c r="AC115" s="14" t="s">
        <v>2050</v>
      </c>
      <c r="AD115" s="14" t="s">
        <v>2048</v>
      </c>
      <c r="AE115" s="14" t="s">
        <v>2048</v>
      </c>
      <c r="AF115" s="14" t="s">
        <v>2048</v>
      </c>
      <c r="AG115" s="14" t="s">
        <v>2048</v>
      </c>
      <c r="AH115" s="14" t="s">
        <v>2048</v>
      </c>
      <c r="AI115" s="14" t="s">
        <v>2129</v>
      </c>
      <c r="AJ115" s="14" t="s">
        <v>2130</v>
      </c>
      <c r="AK115" s="14" t="s">
        <v>2055</v>
      </c>
      <c r="AL115" s="14" t="s">
        <v>2055</v>
      </c>
      <c r="AM115" s="14" t="s">
        <v>2055</v>
      </c>
      <c r="AN115" s="14" t="s">
        <v>2068</v>
      </c>
      <c r="AO115" s="14" t="s">
        <v>2048</v>
      </c>
      <c r="AP115" s="14" t="s">
        <v>2048</v>
      </c>
      <c r="AQ115" s="14" t="s">
        <v>2048</v>
      </c>
      <c r="AR115" s="14" t="s">
        <v>4084</v>
      </c>
      <c r="AS115" s="14" t="s">
        <v>108</v>
      </c>
      <c r="AT115" s="14" t="s">
        <v>2135</v>
      </c>
      <c r="AU115" s="14" t="s">
        <v>2059</v>
      </c>
      <c r="AV115" s="14" t="s">
        <v>2060</v>
      </c>
      <c r="AW115" s="14" t="s">
        <v>2048</v>
      </c>
      <c r="AX115" s="14" t="s">
        <v>72</v>
      </c>
      <c r="AY115" s="14" t="s">
        <v>4085</v>
      </c>
      <c r="AZ115" s="14" t="s">
        <v>4086</v>
      </c>
      <c r="BA115" s="14" t="s">
        <v>2048</v>
      </c>
      <c r="BB115" s="14" t="s">
        <v>2048</v>
      </c>
      <c r="BC115" s="14" t="s">
        <v>81</v>
      </c>
      <c r="BD115" s="14" t="s">
        <v>83</v>
      </c>
      <c r="BE115" s="14" t="s">
        <v>4087</v>
      </c>
      <c r="BF115" s="14" t="s">
        <v>2048</v>
      </c>
      <c r="BG115" s="14" t="s">
        <v>2048</v>
      </c>
      <c r="BH115" s="14" t="s">
        <v>2743</v>
      </c>
      <c r="BI115" s="14" t="s">
        <v>4088</v>
      </c>
      <c r="BJ115" s="14" t="s">
        <v>2048</v>
      </c>
      <c r="BK115" s="14" t="s">
        <v>2048</v>
      </c>
      <c r="BL115" s="14" t="s">
        <v>4089</v>
      </c>
      <c r="BM115" s="14" t="s">
        <v>2218</v>
      </c>
      <c r="BN115" s="14" t="s">
        <v>2048</v>
      </c>
      <c r="BO115" s="14" t="s">
        <v>2048</v>
      </c>
      <c r="BP115" s="14" t="s">
        <v>2064</v>
      </c>
      <c r="BQ115" s="14" t="s">
        <v>2048</v>
      </c>
      <c r="BR115" s="14" t="s">
        <v>2048</v>
      </c>
      <c r="BS115" s="14" t="s">
        <v>2048</v>
      </c>
      <c r="BT115" s="14" t="s">
        <v>2048</v>
      </c>
      <c r="BU115" s="14" t="s">
        <v>2048</v>
      </c>
      <c r="BV115" s="14" t="s">
        <v>2331</v>
      </c>
      <c r="BW115" s="14" t="s">
        <v>2131</v>
      </c>
      <c r="BX115" s="14" t="s">
        <v>2048</v>
      </c>
      <c r="BY115" s="14" t="s">
        <v>2048</v>
      </c>
      <c r="BZ115" s="14" t="s">
        <v>2048</v>
      </c>
      <c r="CA115" s="14" t="s">
        <v>2048</v>
      </c>
      <c r="CB115" s="14" t="s">
        <v>2048</v>
      </c>
      <c r="CC115" s="14" t="s">
        <v>2048</v>
      </c>
      <c r="CD115" s="14" t="s">
        <v>2048</v>
      </c>
      <c r="CE115" s="14" t="s">
        <v>2048</v>
      </c>
      <c r="CF115" s="14" t="s">
        <v>2048</v>
      </c>
      <c r="CG115" s="14" t="s">
        <v>2048</v>
      </c>
      <c r="CH115" s="14" t="s">
        <v>2048</v>
      </c>
      <c r="CI115" s="14" t="s">
        <v>2048</v>
      </c>
      <c r="CJ115" s="14" t="s">
        <v>2048</v>
      </c>
      <c r="CK115" s="14" t="s">
        <v>2068</v>
      </c>
      <c r="CL115" s="14" t="s">
        <v>2069</v>
      </c>
      <c r="CM115" s="14" t="s">
        <v>2048</v>
      </c>
      <c r="CN115" s="17"/>
      <c r="CO115" s="17">
        <v>45282</v>
      </c>
      <c r="CP115" s="17">
        <v>45282</v>
      </c>
      <c r="CR115" s="17">
        <v>45393</v>
      </c>
      <c r="CS115" s="19">
        <v>0</v>
      </c>
      <c r="CT115" s="19">
        <v>0</v>
      </c>
      <c r="CU115" s="19">
        <v>348</v>
      </c>
      <c r="CV115" s="19">
        <v>0</v>
      </c>
      <c r="CW115" s="19">
        <v>348</v>
      </c>
      <c r="CX115" s="19">
        <v>421.08</v>
      </c>
      <c r="CY115" s="19">
        <v>0</v>
      </c>
      <c r="CZ115" s="17"/>
      <c r="DA115" s="19">
        <v>0</v>
      </c>
      <c r="DB115" s="17"/>
      <c r="DC115" s="17"/>
      <c r="DD115" s="19">
        <v>0</v>
      </c>
      <c r="DE115" s="17"/>
      <c r="DF115" s="17"/>
      <c r="DG115" s="19">
        <v>100</v>
      </c>
      <c r="DH115" s="17"/>
      <c r="DI115" s="17">
        <v>45382</v>
      </c>
      <c r="DJ115" s="17"/>
      <c r="DK115" s="17"/>
      <c r="DL115" s="19">
        <v>0</v>
      </c>
      <c r="DM115" s="19">
        <v>0</v>
      </c>
    </row>
    <row r="116" spans="1:117" x14ac:dyDescent="0.2">
      <c r="A116" s="14" t="s">
        <v>3610</v>
      </c>
      <c r="B116" s="14" t="s">
        <v>757</v>
      </c>
      <c r="C116" s="14" t="s">
        <v>73</v>
      </c>
      <c r="D116" s="14" t="s">
        <v>74</v>
      </c>
      <c r="E116" s="14" t="s">
        <v>75</v>
      </c>
      <c r="F116" s="14" t="s">
        <v>76</v>
      </c>
      <c r="G116" s="17">
        <v>45406</v>
      </c>
      <c r="H116" s="14" t="s">
        <v>77</v>
      </c>
      <c r="I116" s="14" t="s">
        <v>78</v>
      </c>
      <c r="J116" s="14" t="s">
        <v>85</v>
      </c>
      <c r="K116" s="14" t="s">
        <v>758</v>
      </c>
      <c r="L116" s="14" t="s">
        <v>336</v>
      </c>
      <c r="M116" s="14" t="s">
        <v>337</v>
      </c>
      <c r="N116" s="16">
        <f>COUNTIF($M$3:M116, M116)</f>
        <v>7</v>
      </c>
      <c r="O116" s="16" t="str" cm="1">
        <f t="array" ref="O116">INDEX('[2]ALTA 20242025'!$B$2:$B$241, MATCH(1, ('[2]ALTA 20242025'!$I$2:$I$241=M116)*('[2]ALTA 20242025'!$J$2:$J$241=N116), 0))</f>
        <v>3116MXJ</v>
      </c>
      <c r="P116" s="16"/>
      <c r="Q116" s="16"/>
      <c r="R116" s="14" t="s">
        <v>2048</v>
      </c>
      <c r="S116" s="14" t="s">
        <v>2048</v>
      </c>
      <c r="T116" s="14" t="s">
        <v>2048</v>
      </c>
      <c r="U116" s="14" t="s">
        <v>2048</v>
      </c>
      <c r="V116" s="14" t="s">
        <v>4161</v>
      </c>
      <c r="W116" s="14" t="s">
        <v>3972</v>
      </c>
      <c r="X116" s="14" t="s">
        <v>4162</v>
      </c>
      <c r="Y116" s="14" t="s">
        <v>4163</v>
      </c>
      <c r="Z116" s="14" t="s">
        <v>2048</v>
      </c>
      <c r="AA116" s="14" t="s">
        <v>2422</v>
      </c>
      <c r="AB116" s="14" t="s">
        <v>2049</v>
      </c>
      <c r="AC116" s="14" t="s">
        <v>2050</v>
      </c>
      <c r="AD116" s="14" t="s">
        <v>2048</v>
      </c>
      <c r="AE116" s="14" t="s">
        <v>2048</v>
      </c>
      <c r="AF116" s="14" t="s">
        <v>2048</v>
      </c>
      <c r="AG116" s="14" t="s">
        <v>2048</v>
      </c>
      <c r="AH116" s="14" t="s">
        <v>2048</v>
      </c>
      <c r="AI116" s="14" t="s">
        <v>2129</v>
      </c>
      <c r="AJ116" s="14" t="s">
        <v>2130</v>
      </c>
      <c r="AK116" s="14" t="s">
        <v>2055</v>
      </c>
      <c r="AL116" s="14" t="s">
        <v>2055</v>
      </c>
      <c r="AM116" s="14" t="s">
        <v>2055</v>
      </c>
      <c r="AN116" s="14" t="s">
        <v>2068</v>
      </c>
      <c r="AO116" s="14" t="s">
        <v>2048</v>
      </c>
      <c r="AP116" s="14" t="s">
        <v>2048</v>
      </c>
      <c r="AQ116" s="14" t="s">
        <v>2048</v>
      </c>
      <c r="AR116" s="14" t="s">
        <v>4164</v>
      </c>
      <c r="AS116" s="14" t="s">
        <v>89</v>
      </c>
      <c r="AT116" s="14" t="s">
        <v>3191</v>
      </c>
      <c r="AU116" s="14" t="s">
        <v>2059</v>
      </c>
      <c r="AV116" s="14" t="s">
        <v>4165</v>
      </c>
      <c r="AW116" s="14" t="s">
        <v>4166</v>
      </c>
      <c r="AX116" s="14" t="s">
        <v>72</v>
      </c>
      <c r="AY116" s="14" t="s">
        <v>4156</v>
      </c>
      <c r="AZ116" s="14" t="s">
        <v>4157</v>
      </c>
      <c r="BA116" s="14" t="s">
        <v>2048</v>
      </c>
      <c r="BB116" s="14" t="s">
        <v>2048</v>
      </c>
      <c r="BC116" s="14" t="s">
        <v>336</v>
      </c>
      <c r="BD116" s="14" t="s">
        <v>373</v>
      </c>
      <c r="BE116" s="14" t="s">
        <v>4118</v>
      </c>
      <c r="BF116" s="14" t="s">
        <v>2048</v>
      </c>
      <c r="BG116" s="14" t="s">
        <v>2048</v>
      </c>
      <c r="BH116" s="14" t="s">
        <v>3598</v>
      </c>
      <c r="BI116" s="14" t="s">
        <v>3599</v>
      </c>
      <c r="BJ116" s="14" t="s">
        <v>3914</v>
      </c>
      <c r="BK116" s="14" t="s">
        <v>3915</v>
      </c>
      <c r="BL116" s="14" t="s">
        <v>4119</v>
      </c>
      <c r="BM116" s="14" t="s">
        <v>3600</v>
      </c>
      <c r="BN116" s="14" t="s">
        <v>2048</v>
      </c>
      <c r="BO116" s="14" t="s">
        <v>2048</v>
      </c>
      <c r="BP116" s="14" t="s">
        <v>2064</v>
      </c>
      <c r="BQ116" s="14" t="s">
        <v>72</v>
      </c>
      <c r="BR116" s="14" t="s">
        <v>72</v>
      </c>
      <c r="BS116" s="14" t="s">
        <v>2048</v>
      </c>
      <c r="BT116" s="14" t="s">
        <v>3829</v>
      </c>
      <c r="BU116" s="14" t="s">
        <v>3830</v>
      </c>
      <c r="BV116" s="14" t="s">
        <v>2331</v>
      </c>
      <c r="BW116" s="14" t="s">
        <v>2131</v>
      </c>
      <c r="BX116" s="14" t="s">
        <v>2048</v>
      </c>
      <c r="BY116" s="14" t="s">
        <v>2048</v>
      </c>
      <c r="BZ116" s="14" t="s">
        <v>2048</v>
      </c>
      <c r="CA116" s="14" t="s">
        <v>2048</v>
      </c>
      <c r="CB116" s="14" t="s">
        <v>2048</v>
      </c>
      <c r="CC116" s="14" t="s">
        <v>2048</v>
      </c>
      <c r="CD116" s="14" t="s">
        <v>2048</v>
      </c>
      <c r="CE116" s="14" t="s">
        <v>2048</v>
      </c>
      <c r="CF116" s="14" t="s">
        <v>2048</v>
      </c>
      <c r="CG116" s="14" t="s">
        <v>2048</v>
      </c>
      <c r="CH116" s="14" t="s">
        <v>2048</v>
      </c>
      <c r="CI116" s="14" t="s">
        <v>2048</v>
      </c>
      <c r="CJ116" s="14" t="s">
        <v>2048</v>
      </c>
      <c r="CK116" s="14" t="s">
        <v>3714</v>
      </c>
      <c r="CL116" s="14" t="s">
        <v>3761</v>
      </c>
      <c r="CM116" s="14" t="s">
        <v>2048</v>
      </c>
      <c r="CN116" s="17"/>
      <c r="CO116" s="17">
        <v>45350</v>
      </c>
      <c r="CP116" s="17">
        <v>45350</v>
      </c>
      <c r="CR116" s="17">
        <v>45406</v>
      </c>
      <c r="CS116" s="19">
        <v>0</v>
      </c>
      <c r="CT116" s="19">
        <v>3</v>
      </c>
      <c r="CU116" s="19">
        <v>459.8</v>
      </c>
      <c r="CV116" s="19">
        <v>0</v>
      </c>
      <c r="CW116" s="19">
        <v>459.8</v>
      </c>
      <c r="CX116" s="19">
        <v>556.36</v>
      </c>
      <c r="CY116" s="19">
        <v>0</v>
      </c>
      <c r="CZ116" s="17"/>
      <c r="DA116" s="19">
        <v>0</v>
      </c>
      <c r="DB116" s="17"/>
      <c r="DC116" s="17"/>
      <c r="DD116" s="19">
        <v>0</v>
      </c>
      <c r="DE116" s="17"/>
      <c r="DF116" s="17"/>
      <c r="DG116" s="19">
        <v>100</v>
      </c>
      <c r="DH116" s="17"/>
      <c r="DI116" s="17">
        <v>45657</v>
      </c>
      <c r="DJ116" s="17"/>
      <c r="DK116" s="17"/>
      <c r="DL116" s="19">
        <v>0</v>
      </c>
      <c r="DM116" s="19">
        <v>0</v>
      </c>
    </row>
    <row r="117" spans="1:117" x14ac:dyDescent="0.2">
      <c r="A117" s="14" t="s">
        <v>3610</v>
      </c>
      <c r="B117" s="14" t="s">
        <v>118</v>
      </c>
      <c r="C117" s="14" t="s">
        <v>73</v>
      </c>
      <c r="D117" s="14" t="s">
        <v>74</v>
      </c>
      <c r="E117" s="14" t="s">
        <v>75</v>
      </c>
      <c r="F117" s="14" t="s">
        <v>76</v>
      </c>
      <c r="G117" s="17">
        <v>45414</v>
      </c>
      <c r="H117" s="14" t="s">
        <v>77</v>
      </c>
      <c r="I117" s="14" t="s">
        <v>78</v>
      </c>
      <c r="J117" s="14" t="s">
        <v>79</v>
      </c>
      <c r="K117" s="14" t="s">
        <v>101</v>
      </c>
      <c r="L117" s="14" t="s">
        <v>119</v>
      </c>
      <c r="M117" s="14" t="s">
        <v>120</v>
      </c>
      <c r="N117" s="16">
        <f>COUNTIF($M$3:M117, M117)</f>
        <v>8</v>
      </c>
      <c r="O117" s="16" t="str" cm="1">
        <f t="array" ref="O117">INDEX('[2]ALTA 20242025'!$B$2:$B$241, MATCH(1, ('[2]ALTA 20242025'!$I$2:$I$241=M117)*('[2]ALTA 20242025'!$J$2:$J$241=N117), 0))</f>
        <v>2788MXG</v>
      </c>
      <c r="P117" s="16"/>
      <c r="Q117" s="16"/>
      <c r="R117" s="14" t="s">
        <v>2048</v>
      </c>
      <c r="S117" s="14" t="s">
        <v>2048</v>
      </c>
      <c r="T117" s="14" t="s">
        <v>2048</v>
      </c>
      <c r="U117" s="14" t="s">
        <v>2048</v>
      </c>
      <c r="V117" s="14" t="s">
        <v>4167</v>
      </c>
      <c r="W117" s="14" t="s">
        <v>4168</v>
      </c>
      <c r="X117" s="14" t="s">
        <v>4169</v>
      </c>
      <c r="Y117" s="14" t="s">
        <v>4170</v>
      </c>
      <c r="Z117" s="14" t="s">
        <v>2048</v>
      </c>
      <c r="AA117" s="14" t="s">
        <v>2422</v>
      </c>
      <c r="AB117" s="14" t="s">
        <v>2049</v>
      </c>
      <c r="AC117" s="14" t="s">
        <v>2050</v>
      </c>
      <c r="AD117" s="14" t="s">
        <v>2048</v>
      </c>
      <c r="AE117" s="14" t="s">
        <v>2048</v>
      </c>
      <c r="AF117" s="14" t="s">
        <v>2048</v>
      </c>
      <c r="AG117" s="14" t="s">
        <v>2048</v>
      </c>
      <c r="AH117" s="14" t="s">
        <v>2048</v>
      </c>
      <c r="AI117" s="14" t="s">
        <v>2129</v>
      </c>
      <c r="AJ117" s="14" t="s">
        <v>2130</v>
      </c>
      <c r="AK117" s="14" t="s">
        <v>2055</v>
      </c>
      <c r="AL117" s="14" t="s">
        <v>2055</v>
      </c>
      <c r="AM117" s="14" t="s">
        <v>2055</v>
      </c>
      <c r="AN117" s="14" t="s">
        <v>2068</v>
      </c>
      <c r="AO117" s="14" t="s">
        <v>2048</v>
      </c>
      <c r="AP117" s="14" t="s">
        <v>2048</v>
      </c>
      <c r="AQ117" s="14" t="s">
        <v>2048</v>
      </c>
      <c r="AR117" s="14" t="s">
        <v>4171</v>
      </c>
      <c r="AS117" s="14" t="s">
        <v>89</v>
      </c>
      <c r="AT117" s="14" t="s">
        <v>2331</v>
      </c>
      <c r="AU117" s="14" t="s">
        <v>2059</v>
      </c>
      <c r="AV117" s="14" t="s">
        <v>2060</v>
      </c>
      <c r="AW117" s="14" t="s">
        <v>2048</v>
      </c>
      <c r="AX117" s="14" t="s">
        <v>2048</v>
      </c>
      <c r="AY117" s="14" t="s">
        <v>4172</v>
      </c>
      <c r="AZ117" s="14" t="s">
        <v>4173</v>
      </c>
      <c r="BA117" s="14" t="s">
        <v>2048</v>
      </c>
      <c r="BB117" s="14" t="s">
        <v>2048</v>
      </c>
      <c r="BC117" s="14" t="s">
        <v>119</v>
      </c>
      <c r="BD117" s="14" t="s">
        <v>121</v>
      </c>
      <c r="BE117" s="14" t="s">
        <v>4174</v>
      </c>
      <c r="BF117" s="14" t="s">
        <v>2048</v>
      </c>
      <c r="BG117" s="14" t="s">
        <v>2048</v>
      </c>
      <c r="BH117" s="14" t="s">
        <v>2576</v>
      </c>
      <c r="BI117" s="14" t="s">
        <v>2577</v>
      </c>
      <c r="BJ117" s="14" t="s">
        <v>2578</v>
      </c>
      <c r="BK117" s="14" t="s">
        <v>2579</v>
      </c>
      <c r="BL117" s="14" t="s">
        <v>2580</v>
      </c>
      <c r="BM117" s="14" t="s">
        <v>2287</v>
      </c>
      <c r="BN117" s="14" t="s">
        <v>2048</v>
      </c>
      <c r="BO117" s="14" t="s">
        <v>2048</v>
      </c>
      <c r="BP117" s="14" t="s">
        <v>2064</v>
      </c>
      <c r="BQ117" s="14" t="s">
        <v>72</v>
      </c>
      <c r="BR117" s="14" t="s">
        <v>72</v>
      </c>
      <c r="BS117" s="14" t="s">
        <v>2048</v>
      </c>
      <c r="BT117" s="14" t="s">
        <v>2048</v>
      </c>
      <c r="BU117" s="14" t="s">
        <v>2048</v>
      </c>
      <c r="BV117" s="14" t="s">
        <v>2331</v>
      </c>
      <c r="BW117" s="14" t="s">
        <v>2131</v>
      </c>
      <c r="BX117" s="14" t="s">
        <v>2048</v>
      </c>
      <c r="BY117" s="14" t="s">
        <v>2048</v>
      </c>
      <c r="BZ117" s="14" t="s">
        <v>2048</v>
      </c>
      <c r="CA117" s="14" t="s">
        <v>2048</v>
      </c>
      <c r="CB117" s="14" t="s">
        <v>2048</v>
      </c>
      <c r="CC117" s="14" t="s">
        <v>2048</v>
      </c>
      <c r="CD117" s="14" t="s">
        <v>2048</v>
      </c>
      <c r="CE117" s="14" t="s">
        <v>2048</v>
      </c>
      <c r="CF117" s="14" t="s">
        <v>2048</v>
      </c>
      <c r="CG117" s="14" t="s">
        <v>2048</v>
      </c>
      <c r="CH117" s="14" t="s">
        <v>2048</v>
      </c>
      <c r="CI117" s="14" t="s">
        <v>2048</v>
      </c>
      <c r="CJ117" s="14" t="s">
        <v>2048</v>
      </c>
      <c r="CK117" s="14" t="s">
        <v>2068</v>
      </c>
      <c r="CL117" s="14" t="s">
        <v>2069</v>
      </c>
      <c r="CM117" s="14" t="s">
        <v>2048</v>
      </c>
      <c r="CN117" s="17"/>
      <c r="CO117" s="17">
        <v>45397</v>
      </c>
      <c r="CP117" s="17">
        <v>45397</v>
      </c>
      <c r="CR117" s="17">
        <v>45414</v>
      </c>
      <c r="CS117" s="19">
        <v>0</v>
      </c>
      <c r="CT117" s="19">
        <v>0</v>
      </c>
      <c r="CU117" s="19">
        <v>388.85</v>
      </c>
      <c r="CV117" s="19">
        <v>0</v>
      </c>
      <c r="CW117" s="19">
        <v>388.85</v>
      </c>
      <c r="CX117" s="19">
        <v>470.51</v>
      </c>
      <c r="CY117" s="19">
        <v>0</v>
      </c>
      <c r="CZ117" s="17"/>
      <c r="DA117" s="19">
        <v>0</v>
      </c>
      <c r="DB117" s="17"/>
      <c r="DC117" s="17"/>
      <c r="DD117" s="19">
        <v>0</v>
      </c>
      <c r="DE117" s="17"/>
      <c r="DF117" s="17"/>
      <c r="DG117" s="19">
        <v>100</v>
      </c>
      <c r="DH117" s="17"/>
      <c r="DI117" s="17">
        <v>45657</v>
      </c>
      <c r="DJ117" s="17"/>
      <c r="DK117" s="17"/>
      <c r="DL117" s="19">
        <v>0</v>
      </c>
      <c r="DM117" s="19">
        <v>0</v>
      </c>
    </row>
    <row r="118" spans="1:117" x14ac:dyDescent="0.2">
      <c r="A118" s="14" t="s">
        <v>3610</v>
      </c>
      <c r="B118" s="14" t="s">
        <v>1026</v>
      </c>
      <c r="C118" s="14" t="s">
        <v>73</v>
      </c>
      <c r="D118" s="14" t="s">
        <v>74</v>
      </c>
      <c r="E118" s="14" t="s">
        <v>75</v>
      </c>
      <c r="F118" s="14" t="s">
        <v>76</v>
      </c>
      <c r="G118" s="17">
        <v>45419</v>
      </c>
      <c r="H118" s="14" t="s">
        <v>77</v>
      </c>
      <c r="I118" s="14" t="s">
        <v>78</v>
      </c>
      <c r="J118" s="14" t="s">
        <v>416</v>
      </c>
      <c r="K118" s="14" t="s">
        <v>1028</v>
      </c>
      <c r="L118" s="14" t="s">
        <v>102</v>
      </c>
      <c r="M118" s="14" t="s">
        <v>103</v>
      </c>
      <c r="N118" s="16">
        <f>COUNTIF($M$3:M118, M118)</f>
        <v>29</v>
      </c>
      <c r="O118" s="16" t="str" cm="1">
        <f t="array" ref="O118">INDEX('[2]ALTA 20242025'!$B$2:$B$241, MATCH(1, ('[2]ALTA 20242025'!$I$2:$I$241=M118)*('[2]ALTA 20242025'!$J$2:$J$241=N118), 0))</f>
        <v>1666MGR</v>
      </c>
      <c r="P118" s="16"/>
      <c r="Q118" s="16"/>
      <c r="R118" s="14" t="s">
        <v>119</v>
      </c>
      <c r="S118" s="14" t="s">
        <v>120</v>
      </c>
      <c r="T118" s="14" t="s">
        <v>2048</v>
      </c>
      <c r="U118" s="14" t="s">
        <v>2048</v>
      </c>
      <c r="V118" s="14" t="s">
        <v>4175</v>
      </c>
      <c r="W118" s="14" t="s">
        <v>4176</v>
      </c>
      <c r="X118" s="14" t="s">
        <v>4177</v>
      </c>
      <c r="Y118" s="14" t="s">
        <v>4178</v>
      </c>
      <c r="Z118" s="14" t="s">
        <v>2048</v>
      </c>
      <c r="AA118" s="14" t="s">
        <v>2422</v>
      </c>
      <c r="AB118" s="14" t="s">
        <v>2049</v>
      </c>
      <c r="AC118" s="14" t="s">
        <v>2050</v>
      </c>
      <c r="AD118" s="14" t="s">
        <v>2048</v>
      </c>
      <c r="AE118" s="14" t="s">
        <v>2048</v>
      </c>
      <c r="AF118" s="14" t="s">
        <v>2048</v>
      </c>
      <c r="AG118" s="14" t="s">
        <v>200</v>
      </c>
      <c r="AH118" s="14" t="s">
        <v>3622</v>
      </c>
      <c r="AI118" s="14" t="s">
        <v>2129</v>
      </c>
      <c r="AJ118" s="14" t="s">
        <v>2130</v>
      </c>
      <c r="AK118" s="14" t="s">
        <v>2055</v>
      </c>
      <c r="AL118" s="14" t="s">
        <v>2055</v>
      </c>
      <c r="AM118" s="14" t="s">
        <v>2055</v>
      </c>
      <c r="AN118" s="14" t="s">
        <v>2068</v>
      </c>
      <c r="AO118" s="14" t="s">
        <v>2048</v>
      </c>
      <c r="AP118" s="14" t="s">
        <v>2048</v>
      </c>
      <c r="AQ118" s="14" t="s">
        <v>2048</v>
      </c>
      <c r="AR118" s="14" t="s">
        <v>4179</v>
      </c>
      <c r="AS118" s="14" t="s">
        <v>3693</v>
      </c>
      <c r="AT118" s="14" t="s">
        <v>2862</v>
      </c>
      <c r="AU118" s="14" t="s">
        <v>4180</v>
      </c>
      <c r="AV118" s="14" t="s">
        <v>4181</v>
      </c>
      <c r="AW118" s="14" t="s">
        <v>4182</v>
      </c>
      <c r="AX118" s="14" t="s">
        <v>2048</v>
      </c>
      <c r="AY118" s="14" t="s">
        <v>4183</v>
      </c>
      <c r="AZ118" s="14" t="s">
        <v>4184</v>
      </c>
      <c r="BA118" s="14" t="s">
        <v>3664</v>
      </c>
      <c r="BB118" s="14" t="s">
        <v>2048</v>
      </c>
      <c r="BC118" s="14" t="s">
        <v>102</v>
      </c>
      <c r="BD118" s="14" t="s">
        <v>654</v>
      </c>
      <c r="BE118" s="14" t="s">
        <v>4185</v>
      </c>
      <c r="BF118" s="14" t="s">
        <v>2048</v>
      </c>
      <c r="BG118" s="14" t="s">
        <v>2048</v>
      </c>
      <c r="BH118" s="14" t="s">
        <v>2080</v>
      </c>
      <c r="BI118" s="14" t="s">
        <v>2081</v>
      </c>
      <c r="BJ118" s="14" t="s">
        <v>4186</v>
      </c>
      <c r="BK118" s="14" t="s">
        <v>4187</v>
      </c>
      <c r="BL118" s="14" t="s">
        <v>4188</v>
      </c>
      <c r="BM118" s="14" t="s">
        <v>2085</v>
      </c>
      <c r="BN118" s="14" t="s">
        <v>2048</v>
      </c>
      <c r="BO118" s="14" t="s">
        <v>2518</v>
      </c>
      <c r="BP118" s="14" t="s">
        <v>2064</v>
      </c>
      <c r="BQ118" s="14" t="s">
        <v>72</v>
      </c>
      <c r="BR118" s="14" t="s">
        <v>72</v>
      </c>
      <c r="BS118" s="14" t="s">
        <v>2048</v>
      </c>
      <c r="BT118" s="14" t="s">
        <v>4189</v>
      </c>
      <c r="BU118" s="14" t="s">
        <v>4190</v>
      </c>
      <c r="BV118" s="14" t="s">
        <v>3440</v>
      </c>
      <c r="BW118" s="14" t="s">
        <v>3870</v>
      </c>
      <c r="BX118" s="14" t="s">
        <v>2048</v>
      </c>
      <c r="BY118" s="14" t="s">
        <v>2048</v>
      </c>
      <c r="BZ118" s="14" t="s">
        <v>2048</v>
      </c>
      <c r="CA118" s="14" t="s">
        <v>2048</v>
      </c>
      <c r="CB118" s="14" t="s">
        <v>72</v>
      </c>
      <c r="CC118" s="14" t="s">
        <v>2048</v>
      </c>
      <c r="CD118" s="14" t="s">
        <v>2048</v>
      </c>
      <c r="CE118" s="14" t="s">
        <v>2048</v>
      </c>
      <c r="CF118" s="14" t="s">
        <v>2048</v>
      </c>
      <c r="CG118" s="14" t="s">
        <v>2048</v>
      </c>
      <c r="CH118" s="14" t="s">
        <v>2048</v>
      </c>
      <c r="CI118" s="14" t="s">
        <v>2048</v>
      </c>
      <c r="CJ118" s="14" t="s">
        <v>2048</v>
      </c>
      <c r="CK118" s="14" t="s">
        <v>3472</v>
      </c>
      <c r="CL118" s="14" t="s">
        <v>4191</v>
      </c>
      <c r="CM118" s="14" t="s">
        <v>2048</v>
      </c>
      <c r="CN118" s="17">
        <v>43160</v>
      </c>
      <c r="CO118" s="17">
        <v>42984</v>
      </c>
      <c r="CP118" s="17">
        <v>42984</v>
      </c>
      <c r="CR118" s="17">
        <v>45419</v>
      </c>
      <c r="CS118" s="19">
        <v>0</v>
      </c>
      <c r="CT118" s="19">
        <v>0</v>
      </c>
      <c r="CU118" s="19">
        <v>644.63</v>
      </c>
      <c r="CV118" s="19">
        <v>0</v>
      </c>
      <c r="CW118" s="19">
        <v>644.63</v>
      </c>
      <c r="CX118" s="19">
        <v>780</v>
      </c>
      <c r="CY118" s="19">
        <v>0</v>
      </c>
      <c r="CZ118" s="17"/>
      <c r="DA118" s="20">
        <v>26990</v>
      </c>
      <c r="DB118" s="17">
        <v>43555</v>
      </c>
      <c r="DC118" s="17"/>
      <c r="DD118" s="19">
        <v>0</v>
      </c>
      <c r="DE118" s="17"/>
      <c r="DF118" s="17"/>
      <c r="DG118" s="19">
        <v>100</v>
      </c>
      <c r="DH118" s="17"/>
      <c r="DI118" s="17">
        <v>45657</v>
      </c>
      <c r="DJ118" s="17"/>
      <c r="DK118" s="17"/>
      <c r="DL118" s="19">
        <v>0</v>
      </c>
      <c r="DM118" s="19">
        <v>0</v>
      </c>
    </row>
    <row r="119" spans="1:117" x14ac:dyDescent="0.2">
      <c r="A119" s="14" t="s">
        <v>3610</v>
      </c>
      <c r="B119" s="14" t="s">
        <v>923</v>
      </c>
      <c r="C119" s="14" t="s">
        <v>73</v>
      </c>
      <c r="D119" s="14" t="s">
        <v>200</v>
      </c>
      <c r="E119" s="14" t="s">
        <v>201</v>
      </c>
      <c r="F119" s="14" t="s">
        <v>160</v>
      </c>
      <c r="G119" s="17">
        <v>45419</v>
      </c>
      <c r="H119" s="14" t="s">
        <v>161</v>
      </c>
      <c r="I119" s="14" t="s">
        <v>78</v>
      </c>
      <c r="J119" s="14" t="s">
        <v>79</v>
      </c>
      <c r="K119" s="14" t="s">
        <v>924</v>
      </c>
      <c r="L119" s="14" t="s">
        <v>190</v>
      </c>
      <c r="M119" s="14" t="s">
        <v>191</v>
      </c>
      <c r="N119" s="16">
        <f>COUNTIF($M$3:M119, M119)</f>
        <v>3</v>
      </c>
      <c r="O119" s="16" t="str" cm="1">
        <f t="array" ref="O119">INDEX('[2]ALTA 20242025'!$B$2:$B$241, MATCH(1, ('[2]ALTA 20242025'!$I$2:$I$241=M119)*('[2]ALTA 20242025'!$J$2:$J$241=N119), 0))</f>
        <v>6109MWV</v>
      </c>
      <c r="P119" s="16"/>
      <c r="Q119" s="16"/>
      <c r="R119" s="14" t="s">
        <v>2048</v>
      </c>
      <c r="S119" s="14" t="s">
        <v>2048</v>
      </c>
      <c r="T119" s="14" t="s">
        <v>2048</v>
      </c>
      <c r="U119" s="14" t="s">
        <v>2048</v>
      </c>
      <c r="V119" s="14" t="s">
        <v>4192</v>
      </c>
      <c r="W119" s="14" t="s">
        <v>4193</v>
      </c>
      <c r="X119" s="14" t="s">
        <v>4194</v>
      </c>
      <c r="Y119" s="14" t="s">
        <v>4195</v>
      </c>
      <c r="Z119" s="14" t="s">
        <v>2048</v>
      </c>
      <c r="AA119" s="14" t="s">
        <v>2422</v>
      </c>
      <c r="AB119" s="14" t="s">
        <v>2049</v>
      </c>
      <c r="AC119" s="14" t="s">
        <v>2050</v>
      </c>
      <c r="AD119" s="14" t="s">
        <v>3612</v>
      </c>
      <c r="AE119" s="14" t="s">
        <v>3613</v>
      </c>
      <c r="AF119" s="14" t="s">
        <v>3614</v>
      </c>
      <c r="AG119" s="14" t="s">
        <v>2048</v>
      </c>
      <c r="AH119" s="14" t="s">
        <v>2048</v>
      </c>
      <c r="AI119" s="14" t="s">
        <v>2132</v>
      </c>
      <c r="AJ119" s="14" t="s">
        <v>2133</v>
      </c>
      <c r="AK119" s="14" t="s">
        <v>2055</v>
      </c>
      <c r="AL119" s="14" t="s">
        <v>2055</v>
      </c>
      <c r="AM119" s="14" t="s">
        <v>2055</v>
      </c>
      <c r="AN119" s="14" t="s">
        <v>2068</v>
      </c>
      <c r="AO119" s="14" t="s">
        <v>2048</v>
      </c>
      <c r="AP119" s="14" t="s">
        <v>2048</v>
      </c>
      <c r="AQ119" s="14" t="s">
        <v>4196</v>
      </c>
      <c r="AR119" s="14" t="s">
        <v>2751</v>
      </c>
      <c r="AS119" s="14" t="s">
        <v>3776</v>
      </c>
      <c r="AT119" s="14" t="s">
        <v>3655</v>
      </c>
      <c r="AU119" s="14" t="s">
        <v>4197</v>
      </c>
      <c r="AV119" s="14" t="s">
        <v>3236</v>
      </c>
      <c r="AW119" s="14" t="s">
        <v>3237</v>
      </c>
      <c r="AX119" s="14" t="s">
        <v>2048</v>
      </c>
      <c r="AY119" s="14" t="s">
        <v>2993</v>
      </c>
      <c r="AZ119" s="14" t="s">
        <v>2994</v>
      </c>
      <c r="BA119" s="14" t="s">
        <v>2048</v>
      </c>
      <c r="BB119" s="14" t="s">
        <v>2048</v>
      </c>
      <c r="BC119" s="14" t="s">
        <v>190</v>
      </c>
      <c r="BD119" s="14" t="s">
        <v>477</v>
      </c>
      <c r="BE119" s="14" t="s">
        <v>3238</v>
      </c>
      <c r="BF119" s="14" t="s">
        <v>2048</v>
      </c>
      <c r="BG119" s="14" t="s">
        <v>2048</v>
      </c>
      <c r="BH119" s="14" t="s">
        <v>2433</v>
      </c>
      <c r="BI119" s="14" t="s">
        <v>2434</v>
      </c>
      <c r="BJ119" s="14" t="s">
        <v>2048</v>
      </c>
      <c r="BK119" s="14" t="s">
        <v>2048</v>
      </c>
      <c r="BL119" s="14" t="s">
        <v>3047</v>
      </c>
      <c r="BM119" s="14" t="s">
        <v>2287</v>
      </c>
      <c r="BN119" s="14" t="s">
        <v>2048</v>
      </c>
      <c r="BO119" s="14" t="s">
        <v>2048</v>
      </c>
      <c r="BP119" s="14" t="s">
        <v>2064</v>
      </c>
      <c r="BQ119" s="14" t="s">
        <v>72</v>
      </c>
      <c r="BR119" s="14" t="s">
        <v>72</v>
      </c>
      <c r="BS119" s="14" t="s">
        <v>2048</v>
      </c>
      <c r="BT119" s="14" t="s">
        <v>2986</v>
      </c>
      <c r="BU119" s="14" t="s">
        <v>2987</v>
      </c>
      <c r="BV119" s="14" t="s">
        <v>2418</v>
      </c>
      <c r="BW119" s="14" t="s">
        <v>2089</v>
      </c>
      <c r="BX119" s="14" t="s">
        <v>2048</v>
      </c>
      <c r="BY119" s="14" t="s">
        <v>2048</v>
      </c>
      <c r="BZ119" s="14" t="s">
        <v>2048</v>
      </c>
      <c r="CA119" s="14" t="s">
        <v>2048</v>
      </c>
      <c r="CB119" s="14" t="s">
        <v>72</v>
      </c>
      <c r="CC119" s="14" t="s">
        <v>2048</v>
      </c>
      <c r="CD119" s="14" t="s">
        <v>2048</v>
      </c>
      <c r="CE119" s="14" t="s">
        <v>2048</v>
      </c>
      <c r="CF119" s="14" t="s">
        <v>2048</v>
      </c>
      <c r="CG119" s="14" t="s">
        <v>2048</v>
      </c>
      <c r="CH119" s="14" t="s">
        <v>2048</v>
      </c>
      <c r="CI119" s="14" t="s">
        <v>2048</v>
      </c>
      <c r="CJ119" s="14" t="s">
        <v>2048</v>
      </c>
      <c r="CK119" s="14" t="s">
        <v>2057</v>
      </c>
      <c r="CL119" s="14" t="s">
        <v>2090</v>
      </c>
      <c r="CM119" s="14" t="s">
        <v>2048</v>
      </c>
      <c r="CN119" s="17"/>
      <c r="CO119" s="17">
        <v>44263</v>
      </c>
      <c r="CP119" s="17">
        <v>44263</v>
      </c>
      <c r="CR119" s="17">
        <v>45419</v>
      </c>
      <c r="CS119" s="19">
        <v>48</v>
      </c>
      <c r="CT119" s="19">
        <v>0</v>
      </c>
      <c r="CU119" s="19">
        <v>247.28</v>
      </c>
      <c r="CV119" s="19">
        <v>0</v>
      </c>
      <c r="CW119" s="19">
        <v>247.28</v>
      </c>
      <c r="CX119" s="19">
        <v>299.20999999999998</v>
      </c>
      <c r="CY119" s="19">
        <v>0</v>
      </c>
      <c r="CZ119" s="17"/>
      <c r="DA119" s="19">
        <v>0</v>
      </c>
      <c r="DB119" s="17"/>
      <c r="DC119" s="17"/>
      <c r="DD119" s="19">
        <v>0</v>
      </c>
      <c r="DE119" s="17"/>
      <c r="DF119" s="17"/>
      <c r="DG119" s="19">
        <v>100</v>
      </c>
      <c r="DH119" s="17"/>
      <c r="DI119" s="17">
        <v>46022</v>
      </c>
      <c r="DJ119" s="17"/>
      <c r="DK119" s="17"/>
      <c r="DL119" s="19">
        <v>0</v>
      </c>
      <c r="DM119" s="19">
        <v>0</v>
      </c>
    </row>
    <row r="120" spans="1:117" x14ac:dyDescent="0.2">
      <c r="A120" s="14" t="s">
        <v>3610</v>
      </c>
      <c r="B120" s="14" t="s">
        <v>667</v>
      </c>
      <c r="C120" s="14" t="s">
        <v>73</v>
      </c>
      <c r="D120" s="14" t="s">
        <v>74</v>
      </c>
      <c r="E120" s="14" t="s">
        <v>75</v>
      </c>
      <c r="F120" s="14" t="s">
        <v>76</v>
      </c>
      <c r="G120" s="17">
        <v>45425</v>
      </c>
      <c r="H120" s="14" t="s">
        <v>77</v>
      </c>
      <c r="I120" s="14" t="s">
        <v>78</v>
      </c>
      <c r="J120" s="14" t="s">
        <v>85</v>
      </c>
      <c r="K120" s="14" t="s">
        <v>642</v>
      </c>
      <c r="L120" s="14" t="s">
        <v>102</v>
      </c>
      <c r="M120" s="14" t="s">
        <v>103</v>
      </c>
      <c r="N120" s="16">
        <f>COUNTIF($M$3:M120, M120)</f>
        <v>30</v>
      </c>
      <c r="O120" s="16" t="str" cm="1">
        <f t="array" ref="O120">INDEX('[2]ALTA 20242025'!$B$2:$B$241, MATCH(1, ('[2]ALTA 20242025'!$I$2:$I$241=M120)*('[2]ALTA 20242025'!$J$2:$J$241=N120), 0))</f>
        <v>1667MGR</v>
      </c>
      <c r="P120" s="16"/>
      <c r="Q120" s="16"/>
      <c r="R120" s="14" t="s">
        <v>2048</v>
      </c>
      <c r="S120" s="14" t="s">
        <v>2048</v>
      </c>
      <c r="T120" s="14" t="s">
        <v>2048</v>
      </c>
      <c r="U120" s="14" t="s">
        <v>2048</v>
      </c>
      <c r="V120" s="14" t="s">
        <v>4129</v>
      </c>
      <c r="W120" s="14" t="s">
        <v>4198</v>
      </c>
      <c r="X120" s="14" t="s">
        <v>3858</v>
      </c>
      <c r="Y120" s="14" t="s">
        <v>4199</v>
      </c>
      <c r="Z120" s="14" t="s">
        <v>2048</v>
      </c>
      <c r="AA120" s="14" t="s">
        <v>2422</v>
      </c>
      <c r="AB120" s="14" t="s">
        <v>2049</v>
      </c>
      <c r="AC120" s="14" t="s">
        <v>2050</v>
      </c>
      <c r="AD120" s="14" t="s">
        <v>2048</v>
      </c>
      <c r="AE120" s="14" t="s">
        <v>2048</v>
      </c>
      <c r="AF120" s="14" t="s">
        <v>2048</v>
      </c>
      <c r="AG120" s="14" t="s">
        <v>2048</v>
      </c>
      <c r="AH120" s="14" t="s">
        <v>2048</v>
      </c>
      <c r="AI120" s="14" t="s">
        <v>2129</v>
      </c>
      <c r="AJ120" s="14" t="s">
        <v>2130</v>
      </c>
      <c r="AK120" s="14" t="s">
        <v>2055</v>
      </c>
      <c r="AL120" s="14" t="s">
        <v>2055</v>
      </c>
      <c r="AM120" s="14" t="s">
        <v>2055</v>
      </c>
      <c r="AN120" s="14" t="s">
        <v>2068</v>
      </c>
      <c r="AO120" s="14" t="s">
        <v>2048</v>
      </c>
      <c r="AP120" s="14" t="s">
        <v>2048</v>
      </c>
      <c r="AQ120" s="14" t="s">
        <v>2048</v>
      </c>
      <c r="AR120" s="14" t="s">
        <v>4132</v>
      </c>
      <c r="AS120" s="14" t="s">
        <v>89</v>
      </c>
      <c r="AT120" s="14" t="s">
        <v>3191</v>
      </c>
      <c r="AU120" s="14" t="s">
        <v>2059</v>
      </c>
      <c r="AV120" s="14" t="s">
        <v>2060</v>
      </c>
      <c r="AW120" s="14" t="s">
        <v>2048</v>
      </c>
      <c r="AX120" s="14" t="s">
        <v>2048</v>
      </c>
      <c r="AY120" s="14" t="s">
        <v>3717</v>
      </c>
      <c r="AZ120" s="14" t="s">
        <v>3718</v>
      </c>
      <c r="BA120" s="14" t="s">
        <v>2048</v>
      </c>
      <c r="BB120" s="14" t="s">
        <v>2048</v>
      </c>
      <c r="BC120" s="14" t="s">
        <v>102</v>
      </c>
      <c r="BD120" s="14" t="s">
        <v>572</v>
      </c>
      <c r="BE120" s="14" t="s">
        <v>4133</v>
      </c>
      <c r="BF120" s="14" t="s">
        <v>2048</v>
      </c>
      <c r="BG120" s="14" t="s">
        <v>2048</v>
      </c>
      <c r="BH120" s="14" t="s">
        <v>2080</v>
      </c>
      <c r="BI120" s="14" t="s">
        <v>2081</v>
      </c>
      <c r="BJ120" s="14" t="s">
        <v>4134</v>
      </c>
      <c r="BK120" s="14" t="s">
        <v>4135</v>
      </c>
      <c r="BL120" s="14" t="s">
        <v>4136</v>
      </c>
      <c r="BM120" s="14" t="s">
        <v>2085</v>
      </c>
      <c r="BN120" s="14" t="s">
        <v>2048</v>
      </c>
      <c r="BO120" s="14" t="s">
        <v>2048</v>
      </c>
      <c r="BP120" s="14" t="s">
        <v>2064</v>
      </c>
      <c r="BQ120" s="14" t="s">
        <v>72</v>
      </c>
      <c r="BR120" s="14" t="s">
        <v>72</v>
      </c>
      <c r="BS120" s="14" t="s">
        <v>2048</v>
      </c>
      <c r="BT120" s="14" t="s">
        <v>2048</v>
      </c>
      <c r="BU120" s="14" t="s">
        <v>2048</v>
      </c>
      <c r="BV120" s="14" t="s">
        <v>2418</v>
      </c>
      <c r="BW120" s="14" t="s">
        <v>2089</v>
      </c>
      <c r="BX120" s="14" t="s">
        <v>2048</v>
      </c>
      <c r="BY120" s="14" t="s">
        <v>2048</v>
      </c>
      <c r="BZ120" s="14" t="s">
        <v>2048</v>
      </c>
      <c r="CA120" s="14" t="s">
        <v>2048</v>
      </c>
      <c r="CB120" s="14" t="s">
        <v>72</v>
      </c>
      <c r="CC120" s="14" t="s">
        <v>2048</v>
      </c>
      <c r="CD120" s="14" t="s">
        <v>2048</v>
      </c>
      <c r="CE120" s="14" t="s">
        <v>2048</v>
      </c>
      <c r="CF120" s="14" t="s">
        <v>2048</v>
      </c>
      <c r="CG120" s="14" t="s">
        <v>2048</v>
      </c>
      <c r="CH120" s="14" t="s">
        <v>2048</v>
      </c>
      <c r="CI120" s="14" t="s">
        <v>2048</v>
      </c>
      <c r="CJ120" s="14" t="s">
        <v>2048</v>
      </c>
      <c r="CK120" s="14" t="s">
        <v>2057</v>
      </c>
      <c r="CL120" s="14" t="s">
        <v>2090</v>
      </c>
      <c r="CM120" s="14" t="s">
        <v>2048</v>
      </c>
      <c r="CN120" s="17"/>
      <c r="CO120" s="17">
        <v>45323</v>
      </c>
      <c r="CP120" s="17">
        <v>45323</v>
      </c>
      <c r="CR120" s="17">
        <v>45425</v>
      </c>
      <c r="CS120" s="19">
        <v>0</v>
      </c>
      <c r="CT120" s="19">
        <v>0</v>
      </c>
      <c r="CU120" s="19">
        <v>427.49</v>
      </c>
      <c r="CV120" s="19">
        <v>0</v>
      </c>
      <c r="CW120" s="19">
        <v>427.49</v>
      </c>
      <c r="CX120" s="19">
        <v>517.26</v>
      </c>
      <c r="CY120" s="19">
        <v>0</v>
      </c>
      <c r="CZ120" s="17"/>
      <c r="DA120" s="19">
        <v>0</v>
      </c>
      <c r="DB120" s="17"/>
      <c r="DC120" s="17"/>
      <c r="DD120" s="19">
        <v>0</v>
      </c>
      <c r="DE120" s="17"/>
      <c r="DF120" s="17"/>
      <c r="DG120" s="19">
        <v>100</v>
      </c>
      <c r="DH120" s="17"/>
      <c r="DI120" s="17">
        <v>45473</v>
      </c>
      <c r="DJ120" s="17"/>
      <c r="DK120" s="17"/>
      <c r="DL120" s="19">
        <v>0</v>
      </c>
      <c r="DM120" s="19">
        <v>0</v>
      </c>
    </row>
    <row r="121" spans="1:117" x14ac:dyDescent="0.2">
      <c r="A121" s="14" t="s">
        <v>3610</v>
      </c>
      <c r="B121" s="14" t="s">
        <v>1407</v>
      </c>
      <c r="C121" s="14" t="s">
        <v>158</v>
      </c>
      <c r="D121" s="14" t="s">
        <v>159</v>
      </c>
      <c r="E121" s="14" t="s">
        <v>158</v>
      </c>
      <c r="F121" s="14" t="s">
        <v>171</v>
      </c>
      <c r="G121" s="17">
        <v>45432</v>
      </c>
      <c r="H121" s="14" t="s">
        <v>172</v>
      </c>
      <c r="I121" s="14" t="s">
        <v>78</v>
      </c>
      <c r="J121" s="14" t="s">
        <v>1338</v>
      </c>
      <c r="K121" s="14" t="s">
        <v>1338</v>
      </c>
      <c r="L121" s="14" t="s">
        <v>131</v>
      </c>
      <c r="M121" s="14" t="s">
        <v>132</v>
      </c>
      <c r="N121" s="16">
        <f>COUNTIF($M$3:M121, M121)</f>
        <v>14</v>
      </c>
      <c r="O121" s="16" t="str" cm="1">
        <f t="array" ref="O121">INDEX('[2]ALTA 20242025'!$B$2:$B$241, MATCH(1, ('[2]ALTA 20242025'!$I$2:$I$241=M121)*('[2]ALTA 20242025'!$J$2:$J$241=N121), 0))</f>
        <v>8640MWT</v>
      </c>
      <c r="P121" s="16"/>
      <c r="Q121" s="16"/>
      <c r="R121" s="14" t="s">
        <v>2048</v>
      </c>
      <c r="S121" s="14" t="s">
        <v>2048</v>
      </c>
      <c r="T121" s="14" t="s">
        <v>2048</v>
      </c>
      <c r="U121" s="14" t="s">
        <v>2048</v>
      </c>
      <c r="V121" s="14" t="s">
        <v>72</v>
      </c>
      <c r="W121" s="14" t="s">
        <v>72</v>
      </c>
      <c r="X121" s="14" t="s">
        <v>72</v>
      </c>
      <c r="Y121" s="14" t="s">
        <v>2048</v>
      </c>
      <c r="Z121" s="14" t="s">
        <v>2048</v>
      </c>
      <c r="AA121" s="14" t="s">
        <v>2422</v>
      </c>
      <c r="AB121" s="14" t="s">
        <v>2049</v>
      </c>
      <c r="AC121" s="14" t="s">
        <v>2050</v>
      </c>
      <c r="AD121" s="14" t="s">
        <v>2048</v>
      </c>
      <c r="AE121" s="14" t="s">
        <v>2048</v>
      </c>
      <c r="AF121" s="14" t="s">
        <v>2048</v>
      </c>
      <c r="AG121" s="14" t="s">
        <v>2048</v>
      </c>
      <c r="AH121" s="14" t="s">
        <v>2048</v>
      </c>
      <c r="AI121" s="14" t="s">
        <v>2129</v>
      </c>
      <c r="AJ121" s="14" t="s">
        <v>2130</v>
      </c>
      <c r="AK121" s="14" t="s">
        <v>2055</v>
      </c>
      <c r="AL121" s="14" t="s">
        <v>2055</v>
      </c>
      <c r="AM121" s="14" t="s">
        <v>2055</v>
      </c>
      <c r="AN121" s="14" t="s">
        <v>2068</v>
      </c>
      <c r="AO121" s="14" t="s">
        <v>2048</v>
      </c>
      <c r="AP121" s="14" t="s">
        <v>2048</v>
      </c>
      <c r="AQ121" s="14" t="s">
        <v>2048</v>
      </c>
      <c r="AR121" s="14" t="s">
        <v>2048</v>
      </c>
      <c r="AS121" s="14" t="s">
        <v>3648</v>
      </c>
      <c r="AT121" s="14" t="s">
        <v>2862</v>
      </c>
      <c r="AU121" s="14" t="s">
        <v>2059</v>
      </c>
      <c r="AV121" s="14" t="s">
        <v>4200</v>
      </c>
      <c r="AW121" s="14" t="s">
        <v>4201</v>
      </c>
      <c r="AX121" s="14" t="s">
        <v>72</v>
      </c>
      <c r="AY121" s="14" t="s">
        <v>2448</v>
      </c>
      <c r="AZ121" s="14" t="s">
        <v>2449</v>
      </c>
      <c r="BA121" s="14" t="s">
        <v>2048</v>
      </c>
      <c r="BB121" s="14" t="s">
        <v>2048</v>
      </c>
      <c r="BC121" s="14" t="s">
        <v>131</v>
      </c>
      <c r="BD121" s="14" t="s">
        <v>135</v>
      </c>
      <c r="BE121" s="14" t="s">
        <v>2945</v>
      </c>
      <c r="BF121" s="14" t="s">
        <v>2048</v>
      </c>
      <c r="BG121" s="14" t="s">
        <v>2048</v>
      </c>
      <c r="BH121" s="14" t="s">
        <v>2048</v>
      </c>
      <c r="BI121" s="14" t="s">
        <v>2048</v>
      </c>
      <c r="BJ121" s="14" t="s">
        <v>2946</v>
      </c>
      <c r="BK121" s="14" t="s">
        <v>2947</v>
      </c>
      <c r="BL121" s="14" t="s">
        <v>2948</v>
      </c>
      <c r="BM121" s="14" t="s">
        <v>2455</v>
      </c>
      <c r="BN121" s="14" t="s">
        <v>2048</v>
      </c>
      <c r="BO121" s="14" t="s">
        <v>2048</v>
      </c>
      <c r="BP121" s="14" t="s">
        <v>2064</v>
      </c>
      <c r="BQ121" s="14" t="s">
        <v>72</v>
      </c>
      <c r="BR121" s="14" t="s">
        <v>72</v>
      </c>
      <c r="BS121" s="14" t="s">
        <v>2048</v>
      </c>
      <c r="BT121" s="14" t="s">
        <v>4032</v>
      </c>
      <c r="BU121" s="14" t="s">
        <v>4033</v>
      </c>
      <c r="BV121" s="14" t="s">
        <v>2129</v>
      </c>
      <c r="BW121" s="14" t="s">
        <v>4202</v>
      </c>
      <c r="BX121" s="14" t="s">
        <v>2048</v>
      </c>
      <c r="BY121" s="14" t="s">
        <v>2048</v>
      </c>
      <c r="BZ121" s="14" t="s">
        <v>2048</v>
      </c>
      <c r="CA121" s="14" t="s">
        <v>2048</v>
      </c>
      <c r="CB121" s="14" t="s">
        <v>72</v>
      </c>
      <c r="CC121" s="14" t="s">
        <v>2048</v>
      </c>
      <c r="CD121" s="14" t="s">
        <v>2048</v>
      </c>
      <c r="CE121" s="14" t="s">
        <v>2048</v>
      </c>
      <c r="CF121" s="14" t="s">
        <v>2048</v>
      </c>
      <c r="CG121" s="14" t="s">
        <v>2048</v>
      </c>
      <c r="CH121" s="14" t="s">
        <v>2048</v>
      </c>
      <c r="CI121" s="14" t="s">
        <v>2048</v>
      </c>
      <c r="CJ121" s="14" t="s">
        <v>2048</v>
      </c>
      <c r="CK121" s="14" t="s">
        <v>3774</v>
      </c>
      <c r="CL121" s="14" t="s">
        <v>413</v>
      </c>
      <c r="CM121" s="14" t="s">
        <v>2048</v>
      </c>
      <c r="CN121" s="17"/>
      <c r="CO121" s="17">
        <v>44834</v>
      </c>
      <c r="CP121" s="17">
        <v>44834</v>
      </c>
      <c r="CR121" s="17">
        <v>45432</v>
      </c>
      <c r="CS121" s="19">
        <v>0</v>
      </c>
      <c r="CT121" s="19">
        <v>0</v>
      </c>
      <c r="CU121" s="19">
        <v>0</v>
      </c>
      <c r="CV121" s="19">
        <v>0</v>
      </c>
      <c r="CW121" s="19">
        <v>0</v>
      </c>
      <c r="CX121" s="19">
        <v>0</v>
      </c>
      <c r="CY121" s="19">
        <v>0</v>
      </c>
      <c r="CZ121" s="17"/>
      <c r="DA121" s="19">
        <v>0</v>
      </c>
      <c r="DB121" s="17"/>
      <c r="DC121" s="17"/>
      <c r="DD121" s="19">
        <v>0</v>
      </c>
      <c r="DE121" s="17"/>
      <c r="DF121" s="17"/>
      <c r="DG121" s="19">
        <v>100</v>
      </c>
      <c r="DH121" s="17"/>
      <c r="DI121" s="17">
        <v>2958465</v>
      </c>
      <c r="DJ121" s="17"/>
      <c r="DK121" s="17"/>
      <c r="DL121" s="19">
        <v>0</v>
      </c>
      <c r="DM121" s="19">
        <v>0</v>
      </c>
    </row>
    <row r="122" spans="1:117" x14ac:dyDescent="0.2">
      <c r="A122" s="14" t="s">
        <v>3610</v>
      </c>
      <c r="B122" s="14" t="s">
        <v>647</v>
      </c>
      <c r="C122" s="14" t="s">
        <v>73</v>
      </c>
      <c r="D122" s="14" t="s">
        <v>74</v>
      </c>
      <c r="E122" s="14" t="s">
        <v>75</v>
      </c>
      <c r="F122" s="14" t="s">
        <v>76</v>
      </c>
      <c r="G122" s="17">
        <v>45433</v>
      </c>
      <c r="H122" s="14" t="s">
        <v>77</v>
      </c>
      <c r="I122" s="14" t="s">
        <v>78</v>
      </c>
      <c r="J122" s="14" t="s">
        <v>85</v>
      </c>
      <c r="K122" s="14" t="s">
        <v>642</v>
      </c>
      <c r="L122" s="14" t="s">
        <v>102</v>
      </c>
      <c r="M122" s="14" t="s">
        <v>103</v>
      </c>
      <c r="N122" s="16">
        <f>COUNTIF($M$3:M122, M122)</f>
        <v>31</v>
      </c>
      <c r="O122" s="16" t="str" cm="1">
        <f t="array" ref="O122">INDEX('[2]ALTA 20242025'!$B$2:$B$241, MATCH(1, ('[2]ALTA 20242025'!$I$2:$I$241=M122)*('[2]ALTA 20242025'!$J$2:$J$241=N122), 0))</f>
        <v>1066MWL</v>
      </c>
      <c r="P122" s="16"/>
      <c r="Q122" s="16"/>
      <c r="R122" s="14" t="s">
        <v>2048</v>
      </c>
      <c r="S122" s="14" t="s">
        <v>2048</v>
      </c>
      <c r="T122" s="14" t="s">
        <v>2048</v>
      </c>
      <c r="U122" s="14" t="s">
        <v>2048</v>
      </c>
      <c r="V122" s="14" t="s">
        <v>4129</v>
      </c>
      <c r="W122" s="14" t="s">
        <v>4203</v>
      </c>
      <c r="X122" s="14" t="s">
        <v>3858</v>
      </c>
      <c r="Y122" s="14" t="s">
        <v>4204</v>
      </c>
      <c r="Z122" s="14" t="s">
        <v>2048</v>
      </c>
      <c r="AA122" s="14" t="s">
        <v>2422</v>
      </c>
      <c r="AB122" s="14" t="s">
        <v>2049</v>
      </c>
      <c r="AC122" s="14" t="s">
        <v>2050</v>
      </c>
      <c r="AD122" s="14" t="s">
        <v>2048</v>
      </c>
      <c r="AE122" s="14" t="s">
        <v>2048</v>
      </c>
      <c r="AF122" s="14" t="s">
        <v>2048</v>
      </c>
      <c r="AG122" s="14" t="s">
        <v>2048</v>
      </c>
      <c r="AH122" s="14" t="s">
        <v>2048</v>
      </c>
      <c r="AI122" s="14" t="s">
        <v>2129</v>
      </c>
      <c r="AJ122" s="14" t="s">
        <v>2130</v>
      </c>
      <c r="AK122" s="14" t="s">
        <v>2055</v>
      </c>
      <c r="AL122" s="14" t="s">
        <v>2055</v>
      </c>
      <c r="AM122" s="14" t="s">
        <v>2055</v>
      </c>
      <c r="AN122" s="14" t="s">
        <v>2068</v>
      </c>
      <c r="AO122" s="14" t="s">
        <v>2048</v>
      </c>
      <c r="AP122" s="14" t="s">
        <v>2048</v>
      </c>
      <c r="AQ122" s="14" t="s">
        <v>2048</v>
      </c>
      <c r="AR122" s="14" t="s">
        <v>4132</v>
      </c>
      <c r="AS122" s="14" t="s">
        <v>89</v>
      </c>
      <c r="AT122" s="14" t="s">
        <v>3191</v>
      </c>
      <c r="AU122" s="14" t="s">
        <v>2059</v>
      </c>
      <c r="AV122" s="14" t="s">
        <v>2060</v>
      </c>
      <c r="AW122" s="14" t="s">
        <v>2048</v>
      </c>
      <c r="AX122" s="14" t="s">
        <v>2048</v>
      </c>
      <c r="AY122" s="14" t="s">
        <v>3717</v>
      </c>
      <c r="AZ122" s="14" t="s">
        <v>3718</v>
      </c>
      <c r="BA122" s="14" t="s">
        <v>2048</v>
      </c>
      <c r="BB122" s="14" t="s">
        <v>2048</v>
      </c>
      <c r="BC122" s="14" t="s">
        <v>102</v>
      </c>
      <c r="BD122" s="14" t="s">
        <v>572</v>
      </c>
      <c r="BE122" s="14" t="s">
        <v>4133</v>
      </c>
      <c r="BF122" s="14" t="s">
        <v>2048</v>
      </c>
      <c r="BG122" s="14" t="s">
        <v>2048</v>
      </c>
      <c r="BH122" s="14" t="s">
        <v>2080</v>
      </c>
      <c r="BI122" s="14" t="s">
        <v>2081</v>
      </c>
      <c r="BJ122" s="14" t="s">
        <v>4134</v>
      </c>
      <c r="BK122" s="14" t="s">
        <v>4135</v>
      </c>
      <c r="BL122" s="14" t="s">
        <v>4136</v>
      </c>
      <c r="BM122" s="14" t="s">
        <v>2085</v>
      </c>
      <c r="BN122" s="14" t="s">
        <v>2048</v>
      </c>
      <c r="BO122" s="14" t="s">
        <v>2048</v>
      </c>
      <c r="BP122" s="14" t="s">
        <v>2064</v>
      </c>
      <c r="BQ122" s="14" t="s">
        <v>72</v>
      </c>
      <c r="BR122" s="14" t="s">
        <v>72</v>
      </c>
      <c r="BS122" s="14" t="s">
        <v>2048</v>
      </c>
      <c r="BT122" s="14" t="s">
        <v>2048</v>
      </c>
      <c r="BU122" s="14" t="s">
        <v>2048</v>
      </c>
      <c r="BV122" s="14" t="s">
        <v>2418</v>
      </c>
      <c r="BW122" s="14" t="s">
        <v>2089</v>
      </c>
      <c r="BX122" s="14" t="s">
        <v>2048</v>
      </c>
      <c r="BY122" s="14" t="s">
        <v>2048</v>
      </c>
      <c r="BZ122" s="14" t="s">
        <v>2048</v>
      </c>
      <c r="CA122" s="14" t="s">
        <v>2048</v>
      </c>
      <c r="CB122" s="14" t="s">
        <v>72</v>
      </c>
      <c r="CC122" s="14" t="s">
        <v>2048</v>
      </c>
      <c r="CD122" s="14" t="s">
        <v>2048</v>
      </c>
      <c r="CE122" s="14" t="s">
        <v>2048</v>
      </c>
      <c r="CF122" s="14" t="s">
        <v>2048</v>
      </c>
      <c r="CG122" s="14" t="s">
        <v>2048</v>
      </c>
      <c r="CH122" s="14" t="s">
        <v>2048</v>
      </c>
      <c r="CI122" s="14" t="s">
        <v>2048</v>
      </c>
      <c r="CJ122" s="14" t="s">
        <v>2048</v>
      </c>
      <c r="CK122" s="14" t="s">
        <v>2057</v>
      </c>
      <c r="CL122" s="14" t="s">
        <v>2090</v>
      </c>
      <c r="CM122" s="14" t="s">
        <v>2048</v>
      </c>
      <c r="CN122" s="17"/>
      <c r="CO122" s="17">
        <v>45323</v>
      </c>
      <c r="CP122" s="17">
        <v>45323</v>
      </c>
      <c r="CR122" s="17">
        <v>45433</v>
      </c>
      <c r="CS122" s="19">
        <v>3</v>
      </c>
      <c r="CT122" s="19">
        <v>0</v>
      </c>
      <c r="CU122" s="19">
        <v>427.49</v>
      </c>
      <c r="CV122" s="19">
        <v>0</v>
      </c>
      <c r="CW122" s="19">
        <v>427.49</v>
      </c>
      <c r="CX122" s="19">
        <v>517.26</v>
      </c>
      <c r="CY122" s="19">
        <v>0</v>
      </c>
      <c r="CZ122" s="17"/>
      <c r="DA122" s="19">
        <v>0</v>
      </c>
      <c r="DB122" s="17"/>
      <c r="DC122" s="17"/>
      <c r="DD122" s="19">
        <v>0</v>
      </c>
      <c r="DE122" s="17"/>
      <c r="DF122" s="17"/>
      <c r="DG122" s="19">
        <v>100</v>
      </c>
      <c r="DH122" s="17"/>
      <c r="DI122" s="17">
        <v>45596</v>
      </c>
      <c r="DJ122" s="17"/>
      <c r="DK122" s="17"/>
      <c r="DL122" s="19">
        <v>0</v>
      </c>
      <c r="DM122" s="19">
        <v>0</v>
      </c>
    </row>
    <row r="123" spans="1:117" x14ac:dyDescent="0.2">
      <c r="A123" s="14" t="s">
        <v>3610</v>
      </c>
      <c r="B123" s="14" t="s">
        <v>884</v>
      </c>
      <c r="C123" s="14" t="s">
        <v>885</v>
      </c>
      <c r="D123" s="14" t="s">
        <v>161</v>
      </c>
      <c r="E123" s="14" t="s">
        <v>886</v>
      </c>
      <c r="F123" s="14" t="s">
        <v>171</v>
      </c>
      <c r="G123" s="17">
        <v>45444</v>
      </c>
      <c r="H123" s="14" t="s">
        <v>172</v>
      </c>
      <c r="I123" s="14" t="s">
        <v>78</v>
      </c>
      <c r="J123" s="14" t="s">
        <v>887</v>
      </c>
      <c r="K123" s="14" t="s">
        <v>888</v>
      </c>
      <c r="L123" s="14" t="s">
        <v>102</v>
      </c>
      <c r="M123" s="14" t="s">
        <v>103</v>
      </c>
      <c r="N123" s="16">
        <f>COUNTIF($M$3:M123, M123)</f>
        <v>32</v>
      </c>
      <c r="O123" s="16" t="str" cm="1">
        <f t="array" ref="O123">INDEX('[2]ALTA 20242025'!$B$2:$B$241, MATCH(1, ('[2]ALTA 20242025'!$I$2:$I$241=M123)*('[2]ALTA 20242025'!$J$2:$J$241=N123), 0))</f>
        <v>4073MXK</v>
      </c>
      <c r="P123" s="16"/>
      <c r="Q123" s="16"/>
      <c r="R123" s="14" t="s">
        <v>2048</v>
      </c>
      <c r="S123" s="14" t="s">
        <v>2048</v>
      </c>
      <c r="T123" s="14" t="s">
        <v>2048</v>
      </c>
      <c r="U123" s="14" t="s">
        <v>2048</v>
      </c>
      <c r="V123" s="14" t="s">
        <v>72</v>
      </c>
      <c r="W123" s="14" t="s">
        <v>72</v>
      </c>
      <c r="X123" s="14" t="s">
        <v>72</v>
      </c>
      <c r="Y123" s="14" t="s">
        <v>2048</v>
      </c>
      <c r="Z123" s="14" t="s">
        <v>2048</v>
      </c>
      <c r="AA123" s="14" t="s">
        <v>2422</v>
      </c>
      <c r="AB123" s="14" t="s">
        <v>2049</v>
      </c>
      <c r="AC123" s="14" t="s">
        <v>2050</v>
      </c>
      <c r="AD123" s="14" t="s">
        <v>2048</v>
      </c>
      <c r="AE123" s="14" t="s">
        <v>2048</v>
      </c>
      <c r="AF123" s="14" t="s">
        <v>2048</v>
      </c>
      <c r="AG123" s="14" t="s">
        <v>2048</v>
      </c>
      <c r="AH123" s="14" t="s">
        <v>2048</v>
      </c>
      <c r="AI123" s="14" t="s">
        <v>2072</v>
      </c>
      <c r="AJ123" s="14" t="s">
        <v>2073</v>
      </c>
      <c r="AK123" s="14" t="s">
        <v>2055</v>
      </c>
      <c r="AL123" s="14" t="s">
        <v>2055</v>
      </c>
      <c r="AM123" s="14" t="s">
        <v>2055</v>
      </c>
      <c r="AN123" s="14" t="s">
        <v>2068</v>
      </c>
      <c r="AO123" s="14" t="s">
        <v>2048</v>
      </c>
      <c r="AP123" s="14" t="s">
        <v>2048</v>
      </c>
      <c r="AQ123" s="14" t="s">
        <v>2048</v>
      </c>
      <c r="AR123" s="14" t="s">
        <v>2525</v>
      </c>
      <c r="AS123" s="14" t="s">
        <v>89</v>
      </c>
      <c r="AT123" s="14" t="s">
        <v>3440</v>
      </c>
      <c r="AU123" s="14" t="s">
        <v>2059</v>
      </c>
      <c r="AV123" s="14" t="s">
        <v>2060</v>
      </c>
      <c r="AW123" s="14" t="s">
        <v>2048</v>
      </c>
      <c r="AX123" s="14" t="s">
        <v>2048</v>
      </c>
      <c r="AY123" s="14" t="s">
        <v>2526</v>
      </c>
      <c r="AZ123" s="14" t="s">
        <v>2527</v>
      </c>
      <c r="BA123" s="14" t="s">
        <v>2048</v>
      </c>
      <c r="BB123" s="14" t="s">
        <v>2048</v>
      </c>
      <c r="BC123" s="14" t="s">
        <v>102</v>
      </c>
      <c r="BD123" s="14" t="s">
        <v>696</v>
      </c>
      <c r="BE123" s="14" t="s">
        <v>2528</v>
      </c>
      <c r="BF123" s="14" t="s">
        <v>2048</v>
      </c>
      <c r="BG123" s="14" t="s">
        <v>2048</v>
      </c>
      <c r="BH123" s="14" t="s">
        <v>2080</v>
      </c>
      <c r="BI123" s="14" t="s">
        <v>2081</v>
      </c>
      <c r="BJ123" s="14" t="s">
        <v>2529</v>
      </c>
      <c r="BK123" s="14" t="s">
        <v>2530</v>
      </c>
      <c r="BL123" s="14" t="s">
        <v>2531</v>
      </c>
      <c r="BM123" s="14" t="s">
        <v>2085</v>
      </c>
      <c r="BN123" s="14" t="s">
        <v>2048</v>
      </c>
      <c r="BO123" s="14" t="s">
        <v>2048</v>
      </c>
      <c r="BP123" s="14" t="s">
        <v>2064</v>
      </c>
      <c r="BQ123" s="14" t="s">
        <v>72</v>
      </c>
      <c r="BR123" s="14" t="s">
        <v>72</v>
      </c>
      <c r="BS123" s="14" t="s">
        <v>2048</v>
      </c>
      <c r="BT123" s="14" t="s">
        <v>2048</v>
      </c>
      <c r="BU123" s="14" t="s">
        <v>2048</v>
      </c>
      <c r="BV123" s="14" t="s">
        <v>2535</v>
      </c>
      <c r="BW123" s="14" t="s">
        <v>3672</v>
      </c>
      <c r="BX123" s="14" t="s">
        <v>2048</v>
      </c>
      <c r="BY123" s="14" t="s">
        <v>2048</v>
      </c>
      <c r="BZ123" s="14" t="s">
        <v>2048</v>
      </c>
      <c r="CA123" s="14" t="s">
        <v>2048</v>
      </c>
      <c r="CB123" s="14" t="s">
        <v>72</v>
      </c>
      <c r="CC123" s="14" t="s">
        <v>2048</v>
      </c>
      <c r="CD123" s="14" t="s">
        <v>2048</v>
      </c>
      <c r="CE123" s="14" t="s">
        <v>2048</v>
      </c>
      <c r="CF123" s="14" t="s">
        <v>2048</v>
      </c>
      <c r="CG123" s="14" t="s">
        <v>2048</v>
      </c>
      <c r="CH123" s="14" t="s">
        <v>2048</v>
      </c>
      <c r="CI123" s="14" t="s">
        <v>2048</v>
      </c>
      <c r="CJ123" s="14" t="s">
        <v>2048</v>
      </c>
      <c r="CK123" s="14" t="s">
        <v>3651</v>
      </c>
      <c r="CL123" s="14" t="s">
        <v>3652</v>
      </c>
      <c r="CM123" s="14" t="s">
        <v>2048</v>
      </c>
      <c r="CN123" s="17"/>
      <c r="CO123" s="17">
        <v>38077</v>
      </c>
      <c r="CP123" s="17">
        <v>45444</v>
      </c>
      <c r="CR123" s="17">
        <v>45444</v>
      </c>
      <c r="CS123" s="19">
        <v>0</v>
      </c>
      <c r="CT123" s="19">
        <v>0</v>
      </c>
      <c r="CU123" s="19">
        <v>0</v>
      </c>
      <c r="CV123" s="19">
        <v>0</v>
      </c>
      <c r="CW123" s="19">
        <v>0</v>
      </c>
      <c r="CX123" s="19">
        <v>0</v>
      </c>
      <c r="CY123" s="19">
        <v>0</v>
      </c>
      <c r="CZ123" s="17"/>
      <c r="DA123" s="19">
        <v>0</v>
      </c>
      <c r="DB123" s="17"/>
      <c r="DC123" s="17"/>
      <c r="DD123" s="19">
        <v>0</v>
      </c>
      <c r="DE123" s="17"/>
      <c r="DF123" s="17"/>
      <c r="DG123" s="19">
        <v>100</v>
      </c>
      <c r="DH123" s="17"/>
      <c r="DI123" s="17">
        <v>2958465</v>
      </c>
      <c r="DJ123" s="17"/>
      <c r="DK123" s="17"/>
      <c r="DL123" s="19">
        <v>0</v>
      </c>
      <c r="DM123" s="19">
        <v>0</v>
      </c>
    </row>
    <row r="124" spans="1:117" x14ac:dyDescent="0.2">
      <c r="A124" s="14" t="s">
        <v>3610</v>
      </c>
      <c r="B124" s="14" t="s">
        <v>1272</v>
      </c>
      <c r="C124" s="14" t="s">
        <v>158</v>
      </c>
      <c r="D124" s="14" t="s">
        <v>159</v>
      </c>
      <c r="E124" s="14" t="s">
        <v>158</v>
      </c>
      <c r="F124" s="14" t="s">
        <v>171</v>
      </c>
      <c r="G124" s="17">
        <v>45579</v>
      </c>
      <c r="H124" s="14" t="s">
        <v>172</v>
      </c>
      <c r="I124" s="14" t="s">
        <v>78</v>
      </c>
      <c r="J124" s="14" t="s">
        <v>1273</v>
      </c>
      <c r="K124" s="14" t="s">
        <v>1274</v>
      </c>
      <c r="L124" s="14" t="s">
        <v>584</v>
      </c>
      <c r="M124" s="14" t="s">
        <v>585</v>
      </c>
      <c r="N124" s="16">
        <f>COUNTIF($M$3:M124, M124)</f>
        <v>6</v>
      </c>
      <c r="O124" s="16" t="e" cm="1">
        <f t="array" ref="O124">INDEX('[2]ALTA 20242025'!$B$2:$B$241, MATCH(1, ('[2]ALTA 20242025'!$I$2:$I$241=M124)*('[2]ALTA 20242025'!$J$2:$J$241=N124), 0))</f>
        <v>#N/A</v>
      </c>
      <c r="P124" s="16"/>
      <c r="Q124" s="16"/>
      <c r="R124" s="14" t="s">
        <v>2048</v>
      </c>
      <c r="S124" s="14" t="s">
        <v>2048</v>
      </c>
      <c r="T124" s="14" t="s">
        <v>2048</v>
      </c>
      <c r="U124" s="14" t="s">
        <v>2048</v>
      </c>
      <c r="V124" s="14" t="s">
        <v>4205</v>
      </c>
      <c r="W124" s="14" t="s">
        <v>72</v>
      </c>
      <c r="X124" s="14" t="s">
        <v>72</v>
      </c>
      <c r="Y124" s="14" t="s">
        <v>2048</v>
      </c>
      <c r="Z124" s="14" t="s">
        <v>2048</v>
      </c>
      <c r="AA124" s="14" t="s">
        <v>2422</v>
      </c>
      <c r="AB124" s="14" t="s">
        <v>2049</v>
      </c>
      <c r="AC124" s="14" t="s">
        <v>3678</v>
      </c>
      <c r="AD124" s="14" t="s">
        <v>2048</v>
      </c>
      <c r="AE124" s="14" t="s">
        <v>2048</v>
      </c>
      <c r="AF124" s="14" t="s">
        <v>2048</v>
      </c>
      <c r="AG124" s="14" t="s">
        <v>2048</v>
      </c>
      <c r="AH124" s="14" t="s">
        <v>2048</v>
      </c>
      <c r="AI124" s="14" t="s">
        <v>2129</v>
      </c>
      <c r="AJ124" s="14" t="s">
        <v>2130</v>
      </c>
      <c r="AK124" s="14" t="s">
        <v>2055</v>
      </c>
      <c r="AL124" s="14" t="s">
        <v>2055</v>
      </c>
      <c r="AM124" s="14" t="s">
        <v>2055</v>
      </c>
      <c r="AN124" s="14" t="s">
        <v>2068</v>
      </c>
      <c r="AO124" s="14" t="s">
        <v>2048</v>
      </c>
      <c r="AP124" s="14" t="s">
        <v>2048</v>
      </c>
      <c r="AQ124" s="14" t="s">
        <v>2048</v>
      </c>
      <c r="AR124" s="14" t="s">
        <v>4043</v>
      </c>
      <c r="AS124" s="14" t="s">
        <v>2048</v>
      </c>
      <c r="AT124" s="14" t="s">
        <v>2048</v>
      </c>
      <c r="AU124" s="14" t="s">
        <v>2059</v>
      </c>
      <c r="AV124" s="14" t="s">
        <v>2060</v>
      </c>
      <c r="AW124" s="14" t="s">
        <v>2048</v>
      </c>
      <c r="AX124" s="14" t="s">
        <v>2048</v>
      </c>
      <c r="AY124" s="14" t="s">
        <v>3641</v>
      </c>
      <c r="AZ124" s="14" t="s">
        <v>3642</v>
      </c>
      <c r="BA124" s="14" t="s">
        <v>2048</v>
      </c>
      <c r="BB124" s="14" t="s">
        <v>2048</v>
      </c>
      <c r="BC124" s="14" t="s">
        <v>584</v>
      </c>
      <c r="BD124" s="14" t="s">
        <v>1275</v>
      </c>
      <c r="BE124" s="14" t="s">
        <v>4206</v>
      </c>
      <c r="BF124" s="14" t="s">
        <v>2048</v>
      </c>
      <c r="BG124" s="14" t="s">
        <v>2048</v>
      </c>
      <c r="BH124" s="14" t="s">
        <v>2080</v>
      </c>
      <c r="BI124" s="14" t="s">
        <v>2081</v>
      </c>
      <c r="BJ124" s="14" t="s">
        <v>4207</v>
      </c>
      <c r="BK124" s="14" t="s">
        <v>4208</v>
      </c>
      <c r="BL124" s="14" t="s">
        <v>2186</v>
      </c>
      <c r="BM124" s="14" t="s">
        <v>2085</v>
      </c>
      <c r="BN124" s="14" t="s">
        <v>2048</v>
      </c>
      <c r="BO124" s="14" t="s">
        <v>2518</v>
      </c>
      <c r="BP124" s="14" t="s">
        <v>2064</v>
      </c>
      <c r="BQ124" s="14" t="s">
        <v>72</v>
      </c>
      <c r="BR124" s="14" t="s">
        <v>72</v>
      </c>
      <c r="BS124" s="14" t="s">
        <v>2048</v>
      </c>
      <c r="BT124" s="14" t="s">
        <v>2048</v>
      </c>
      <c r="BU124" s="14" t="s">
        <v>2048</v>
      </c>
      <c r="BV124" s="14" t="s">
        <v>2862</v>
      </c>
      <c r="BW124" s="14" t="s">
        <v>3680</v>
      </c>
      <c r="BX124" s="14" t="s">
        <v>2048</v>
      </c>
      <c r="BY124" s="14" t="s">
        <v>2048</v>
      </c>
      <c r="BZ124" s="14" t="s">
        <v>2048</v>
      </c>
      <c r="CA124" s="14" t="s">
        <v>2048</v>
      </c>
      <c r="CB124" s="14" t="s">
        <v>2048</v>
      </c>
      <c r="CC124" s="14" t="s">
        <v>2048</v>
      </c>
      <c r="CD124" s="14" t="s">
        <v>2048</v>
      </c>
      <c r="CE124" s="14" t="s">
        <v>2048</v>
      </c>
      <c r="CF124" s="14" t="s">
        <v>2048</v>
      </c>
      <c r="CG124" s="14" t="s">
        <v>2048</v>
      </c>
      <c r="CH124" s="14" t="s">
        <v>2048</v>
      </c>
      <c r="CI124" s="14" t="s">
        <v>2048</v>
      </c>
      <c r="CJ124" s="14" t="s">
        <v>2048</v>
      </c>
      <c r="CK124" s="14" t="s">
        <v>2208</v>
      </c>
      <c r="CL124" s="14" t="s">
        <v>3681</v>
      </c>
      <c r="CM124" s="14" t="s">
        <v>2048</v>
      </c>
      <c r="CN124" s="17"/>
      <c r="CO124" s="17">
        <v>42415</v>
      </c>
      <c r="CP124" s="17">
        <v>42415</v>
      </c>
      <c r="CR124" s="17">
        <v>45579</v>
      </c>
      <c r="CS124" s="19">
        <v>0</v>
      </c>
      <c r="CT124" s="19">
        <v>0</v>
      </c>
      <c r="CU124" s="19">
        <v>0</v>
      </c>
      <c r="CV124" s="19">
        <v>0</v>
      </c>
      <c r="CW124" s="19">
        <v>0</v>
      </c>
      <c r="CX124" s="19">
        <v>0</v>
      </c>
      <c r="CY124" s="19">
        <v>0</v>
      </c>
      <c r="CZ124" s="17"/>
      <c r="DA124" s="19">
        <v>0</v>
      </c>
      <c r="DB124" s="17"/>
      <c r="DC124" s="17"/>
      <c r="DD124" s="19">
        <v>0</v>
      </c>
      <c r="DE124" s="17"/>
      <c r="DF124" s="17"/>
      <c r="DG124" s="19">
        <v>100</v>
      </c>
      <c r="DH124" s="17"/>
      <c r="DI124" s="17">
        <v>2958465</v>
      </c>
      <c r="DJ124" s="17"/>
      <c r="DK124" s="17"/>
      <c r="DL124" s="19">
        <v>0</v>
      </c>
      <c r="DM124" s="19">
        <v>0</v>
      </c>
    </row>
    <row r="125" spans="1:117" x14ac:dyDescent="0.2">
      <c r="A125" s="14" t="s">
        <v>3610</v>
      </c>
      <c r="B125" s="14" t="s">
        <v>744</v>
      </c>
      <c r="C125" s="14" t="s">
        <v>73</v>
      </c>
      <c r="D125" s="14" t="s">
        <v>74</v>
      </c>
      <c r="E125" s="14" t="s">
        <v>75</v>
      </c>
      <c r="F125" s="14" t="s">
        <v>76</v>
      </c>
      <c r="G125" s="17">
        <v>45450</v>
      </c>
      <c r="H125" s="14" t="s">
        <v>77</v>
      </c>
      <c r="I125" s="14" t="s">
        <v>78</v>
      </c>
      <c r="J125" s="14" t="s">
        <v>213</v>
      </c>
      <c r="K125" s="14" t="s">
        <v>745</v>
      </c>
      <c r="L125" s="14" t="s">
        <v>336</v>
      </c>
      <c r="M125" s="14" t="s">
        <v>337</v>
      </c>
      <c r="N125" s="16">
        <f>COUNTIF($M$3:M125, M125)</f>
        <v>8</v>
      </c>
      <c r="O125" s="16" t="str" cm="1">
        <f t="array" ref="O125">INDEX('[2]ALTA 20242025'!$B$2:$B$241, MATCH(1, ('[2]ALTA 20242025'!$I$2:$I$241=M125)*('[2]ALTA 20242025'!$J$2:$J$241=N125), 0))</f>
        <v>6439MWV</v>
      </c>
      <c r="P125" s="16"/>
      <c r="Q125" s="16"/>
      <c r="R125" s="14" t="s">
        <v>2048</v>
      </c>
      <c r="S125" s="14" t="s">
        <v>2048</v>
      </c>
      <c r="T125" s="14" t="s">
        <v>2048</v>
      </c>
      <c r="U125" s="14" t="s">
        <v>2048</v>
      </c>
      <c r="V125" s="14" t="s">
        <v>4209</v>
      </c>
      <c r="W125" s="14" t="s">
        <v>3972</v>
      </c>
      <c r="X125" s="14" t="s">
        <v>4210</v>
      </c>
      <c r="Y125" s="14" t="s">
        <v>4211</v>
      </c>
      <c r="Z125" s="14" t="s">
        <v>2048</v>
      </c>
      <c r="AA125" s="14" t="s">
        <v>2422</v>
      </c>
      <c r="AB125" s="14" t="s">
        <v>2049</v>
      </c>
      <c r="AC125" s="14" t="s">
        <v>2050</v>
      </c>
      <c r="AD125" s="14" t="s">
        <v>2048</v>
      </c>
      <c r="AE125" s="14" t="s">
        <v>2048</v>
      </c>
      <c r="AF125" s="14" t="s">
        <v>2048</v>
      </c>
      <c r="AG125" s="14" t="s">
        <v>2048</v>
      </c>
      <c r="AH125" s="14" t="s">
        <v>2048</v>
      </c>
      <c r="AI125" s="14" t="s">
        <v>2129</v>
      </c>
      <c r="AJ125" s="14" t="s">
        <v>2130</v>
      </c>
      <c r="AK125" s="14" t="s">
        <v>2055</v>
      </c>
      <c r="AL125" s="14" t="s">
        <v>2055</v>
      </c>
      <c r="AM125" s="14" t="s">
        <v>2055</v>
      </c>
      <c r="AN125" s="14" t="s">
        <v>2068</v>
      </c>
      <c r="AO125" s="14" t="s">
        <v>2048</v>
      </c>
      <c r="AP125" s="14" t="s">
        <v>2048</v>
      </c>
      <c r="AQ125" s="14" t="s">
        <v>2048</v>
      </c>
      <c r="AR125" s="14" t="s">
        <v>2751</v>
      </c>
      <c r="AS125" s="14" t="s">
        <v>89</v>
      </c>
      <c r="AT125" s="14" t="s">
        <v>2418</v>
      </c>
      <c r="AU125" s="14" t="s">
        <v>2059</v>
      </c>
      <c r="AV125" s="14" t="s">
        <v>4212</v>
      </c>
      <c r="AW125" s="14" t="s">
        <v>4213</v>
      </c>
      <c r="AX125" s="14" t="s">
        <v>2048</v>
      </c>
      <c r="AY125" s="14" t="s">
        <v>4214</v>
      </c>
      <c r="AZ125" s="14" t="s">
        <v>4215</v>
      </c>
      <c r="BA125" s="14" t="s">
        <v>2048</v>
      </c>
      <c r="BB125" s="14" t="s">
        <v>2048</v>
      </c>
      <c r="BC125" s="14" t="s">
        <v>336</v>
      </c>
      <c r="BD125" s="14" t="s">
        <v>746</v>
      </c>
      <c r="BE125" s="14" t="s">
        <v>4216</v>
      </c>
      <c r="BF125" s="14" t="s">
        <v>2048</v>
      </c>
      <c r="BG125" s="14" t="s">
        <v>2048</v>
      </c>
      <c r="BH125" s="14" t="s">
        <v>2080</v>
      </c>
      <c r="BI125" s="14" t="s">
        <v>2081</v>
      </c>
      <c r="BJ125" s="14" t="s">
        <v>4217</v>
      </c>
      <c r="BK125" s="14" t="s">
        <v>4218</v>
      </c>
      <c r="BL125" s="14" t="s">
        <v>2186</v>
      </c>
      <c r="BM125" s="14" t="s">
        <v>2085</v>
      </c>
      <c r="BN125" s="14" t="s">
        <v>2048</v>
      </c>
      <c r="BO125" s="14" t="s">
        <v>2048</v>
      </c>
      <c r="BP125" s="14" t="s">
        <v>2064</v>
      </c>
      <c r="BQ125" s="14" t="s">
        <v>72</v>
      </c>
      <c r="BR125" s="14" t="s">
        <v>72</v>
      </c>
      <c r="BS125" s="14" t="s">
        <v>2048</v>
      </c>
      <c r="BT125" s="14" t="s">
        <v>2986</v>
      </c>
      <c r="BU125" s="14" t="s">
        <v>2987</v>
      </c>
      <c r="BV125" s="14" t="s">
        <v>2331</v>
      </c>
      <c r="BW125" s="14" t="s">
        <v>2131</v>
      </c>
      <c r="BX125" s="14" t="s">
        <v>2048</v>
      </c>
      <c r="BY125" s="14" t="s">
        <v>2048</v>
      </c>
      <c r="BZ125" s="14" t="s">
        <v>2048</v>
      </c>
      <c r="CA125" s="14" t="s">
        <v>2048</v>
      </c>
      <c r="CB125" s="14" t="s">
        <v>72</v>
      </c>
      <c r="CC125" s="14" t="s">
        <v>2048</v>
      </c>
      <c r="CD125" s="14" t="s">
        <v>2048</v>
      </c>
      <c r="CE125" s="14" t="s">
        <v>2048</v>
      </c>
      <c r="CF125" s="14" t="s">
        <v>2048</v>
      </c>
      <c r="CG125" s="14" t="s">
        <v>2048</v>
      </c>
      <c r="CH125" s="14" t="s">
        <v>2048</v>
      </c>
      <c r="CI125" s="14" t="s">
        <v>2048</v>
      </c>
      <c r="CJ125" s="14" t="s">
        <v>2048</v>
      </c>
      <c r="CK125" s="14" t="s">
        <v>3714</v>
      </c>
      <c r="CL125" s="14" t="s">
        <v>3761</v>
      </c>
      <c r="CM125" s="14" t="s">
        <v>2048</v>
      </c>
      <c r="CN125" s="17"/>
      <c r="CO125" s="17">
        <v>45420</v>
      </c>
      <c r="CP125" s="17">
        <v>45420</v>
      </c>
      <c r="CR125" s="17">
        <v>45450</v>
      </c>
      <c r="CS125" s="19">
        <v>0</v>
      </c>
      <c r="CT125" s="19">
        <v>0</v>
      </c>
      <c r="CU125" s="19">
        <v>459.8</v>
      </c>
      <c r="CV125" s="19">
        <v>0</v>
      </c>
      <c r="CW125" s="19">
        <v>459.8</v>
      </c>
      <c r="CX125" s="19">
        <v>556.36</v>
      </c>
      <c r="CY125" s="19">
        <v>0</v>
      </c>
      <c r="CZ125" s="17"/>
      <c r="DA125" s="19">
        <v>0</v>
      </c>
      <c r="DB125" s="17"/>
      <c r="DC125" s="17"/>
      <c r="DD125" s="19">
        <v>0</v>
      </c>
      <c r="DE125" s="17"/>
      <c r="DF125" s="17"/>
      <c r="DG125" s="19">
        <v>100</v>
      </c>
      <c r="DH125" s="17"/>
      <c r="DI125" s="17">
        <v>45473</v>
      </c>
      <c r="DJ125" s="17"/>
      <c r="DK125" s="17"/>
      <c r="DL125" s="19">
        <v>0</v>
      </c>
      <c r="DM125" s="19">
        <v>0</v>
      </c>
    </row>
    <row r="126" spans="1:117" x14ac:dyDescent="0.2">
      <c r="A126" s="14" t="s">
        <v>3610</v>
      </c>
      <c r="B126" s="14" t="s">
        <v>641</v>
      </c>
      <c r="C126" s="14" t="s">
        <v>73</v>
      </c>
      <c r="D126" s="14" t="s">
        <v>74</v>
      </c>
      <c r="E126" s="14" t="s">
        <v>75</v>
      </c>
      <c r="F126" s="14" t="s">
        <v>76</v>
      </c>
      <c r="G126" s="17">
        <v>45468</v>
      </c>
      <c r="H126" s="14" t="s">
        <v>77</v>
      </c>
      <c r="I126" s="14" t="s">
        <v>78</v>
      </c>
      <c r="J126" s="14" t="s">
        <v>85</v>
      </c>
      <c r="K126" s="14" t="s">
        <v>642</v>
      </c>
      <c r="L126" s="14" t="s">
        <v>102</v>
      </c>
      <c r="M126" s="14" t="s">
        <v>103</v>
      </c>
      <c r="N126" s="16">
        <f>COUNTIF($M$3:M126, M126)</f>
        <v>33</v>
      </c>
      <c r="O126" s="16" t="str" cm="1">
        <f t="array" ref="O126">INDEX('[2]ALTA 20242025'!$B$2:$B$241, MATCH(1, ('[2]ALTA 20242025'!$I$2:$I$241=M126)*('[2]ALTA 20242025'!$J$2:$J$241=N126), 0))</f>
        <v>5020MWL</v>
      </c>
      <c r="P126" s="16"/>
      <c r="Q126" s="16"/>
      <c r="R126" s="14" t="s">
        <v>2048</v>
      </c>
      <c r="S126" s="14" t="s">
        <v>2048</v>
      </c>
      <c r="T126" s="14" t="s">
        <v>2048</v>
      </c>
      <c r="U126" s="14" t="s">
        <v>2048</v>
      </c>
      <c r="V126" s="14" t="s">
        <v>4129</v>
      </c>
      <c r="W126" s="14" t="s">
        <v>4219</v>
      </c>
      <c r="X126" s="14" t="s">
        <v>3858</v>
      </c>
      <c r="Y126" s="14" t="s">
        <v>4220</v>
      </c>
      <c r="Z126" s="14" t="s">
        <v>2048</v>
      </c>
      <c r="AA126" s="14" t="s">
        <v>2422</v>
      </c>
      <c r="AB126" s="14" t="s">
        <v>2049</v>
      </c>
      <c r="AC126" s="14" t="s">
        <v>2050</v>
      </c>
      <c r="AD126" s="14" t="s">
        <v>2048</v>
      </c>
      <c r="AE126" s="14" t="s">
        <v>2048</v>
      </c>
      <c r="AF126" s="14" t="s">
        <v>2048</v>
      </c>
      <c r="AG126" s="14" t="s">
        <v>200</v>
      </c>
      <c r="AH126" s="14" t="s">
        <v>3622</v>
      </c>
      <c r="AI126" s="14" t="s">
        <v>2129</v>
      </c>
      <c r="AJ126" s="14" t="s">
        <v>2130</v>
      </c>
      <c r="AK126" s="14" t="s">
        <v>2055</v>
      </c>
      <c r="AL126" s="14" t="s">
        <v>2055</v>
      </c>
      <c r="AM126" s="14" t="s">
        <v>2055</v>
      </c>
      <c r="AN126" s="14" t="s">
        <v>2068</v>
      </c>
      <c r="AO126" s="14" t="s">
        <v>2048</v>
      </c>
      <c r="AP126" s="14" t="s">
        <v>2048</v>
      </c>
      <c r="AQ126" s="14" t="s">
        <v>2048</v>
      </c>
      <c r="AR126" s="14" t="s">
        <v>4132</v>
      </c>
      <c r="AS126" s="14" t="s">
        <v>89</v>
      </c>
      <c r="AT126" s="14" t="s">
        <v>3191</v>
      </c>
      <c r="AU126" s="14" t="s">
        <v>2059</v>
      </c>
      <c r="AV126" s="14" t="s">
        <v>2060</v>
      </c>
      <c r="AW126" s="14" t="s">
        <v>2048</v>
      </c>
      <c r="AX126" s="14" t="s">
        <v>2048</v>
      </c>
      <c r="AY126" s="14" t="s">
        <v>3717</v>
      </c>
      <c r="AZ126" s="14" t="s">
        <v>3718</v>
      </c>
      <c r="BA126" s="14" t="s">
        <v>2048</v>
      </c>
      <c r="BB126" s="14" t="s">
        <v>2048</v>
      </c>
      <c r="BC126" s="14" t="s">
        <v>102</v>
      </c>
      <c r="BD126" s="14" t="s">
        <v>572</v>
      </c>
      <c r="BE126" s="14" t="s">
        <v>4133</v>
      </c>
      <c r="BF126" s="14" t="s">
        <v>2048</v>
      </c>
      <c r="BG126" s="14" t="s">
        <v>2048</v>
      </c>
      <c r="BH126" s="14" t="s">
        <v>2080</v>
      </c>
      <c r="BI126" s="14" t="s">
        <v>2081</v>
      </c>
      <c r="BJ126" s="14" t="s">
        <v>4134</v>
      </c>
      <c r="BK126" s="14" t="s">
        <v>4135</v>
      </c>
      <c r="BL126" s="14" t="s">
        <v>4136</v>
      </c>
      <c r="BM126" s="14" t="s">
        <v>2085</v>
      </c>
      <c r="BN126" s="14" t="s">
        <v>2048</v>
      </c>
      <c r="BO126" s="14" t="s">
        <v>2048</v>
      </c>
      <c r="BP126" s="14" t="s">
        <v>2064</v>
      </c>
      <c r="BQ126" s="14" t="s">
        <v>72</v>
      </c>
      <c r="BR126" s="14" t="s">
        <v>72</v>
      </c>
      <c r="BS126" s="14" t="s">
        <v>2048</v>
      </c>
      <c r="BT126" s="14" t="s">
        <v>2048</v>
      </c>
      <c r="BU126" s="14" t="s">
        <v>2048</v>
      </c>
      <c r="BV126" s="14" t="s">
        <v>2418</v>
      </c>
      <c r="BW126" s="14" t="s">
        <v>2089</v>
      </c>
      <c r="BX126" s="14" t="s">
        <v>2048</v>
      </c>
      <c r="BY126" s="14" t="s">
        <v>2048</v>
      </c>
      <c r="BZ126" s="14" t="s">
        <v>2048</v>
      </c>
      <c r="CA126" s="14" t="s">
        <v>2048</v>
      </c>
      <c r="CB126" s="14" t="s">
        <v>72</v>
      </c>
      <c r="CC126" s="14" t="s">
        <v>2048</v>
      </c>
      <c r="CD126" s="14" t="s">
        <v>2048</v>
      </c>
      <c r="CE126" s="14" t="s">
        <v>2048</v>
      </c>
      <c r="CF126" s="14" t="s">
        <v>2048</v>
      </c>
      <c r="CG126" s="14" t="s">
        <v>2048</v>
      </c>
      <c r="CH126" s="14" t="s">
        <v>2048</v>
      </c>
      <c r="CI126" s="14" t="s">
        <v>2048</v>
      </c>
      <c r="CJ126" s="14" t="s">
        <v>2048</v>
      </c>
      <c r="CK126" s="14" t="s">
        <v>2057</v>
      </c>
      <c r="CL126" s="14" t="s">
        <v>2090</v>
      </c>
      <c r="CM126" s="14" t="s">
        <v>2048</v>
      </c>
      <c r="CN126" s="17"/>
      <c r="CO126" s="17">
        <v>45323</v>
      </c>
      <c r="CP126" s="17">
        <v>45323</v>
      </c>
      <c r="CR126" s="17">
        <v>45468</v>
      </c>
      <c r="CS126" s="19">
        <v>0</v>
      </c>
      <c r="CT126" s="19">
        <v>0</v>
      </c>
      <c r="CU126" s="19">
        <v>427.49</v>
      </c>
      <c r="CV126" s="19">
        <v>0</v>
      </c>
      <c r="CW126" s="19">
        <v>427.49</v>
      </c>
      <c r="CX126" s="19">
        <v>517.26</v>
      </c>
      <c r="CY126" s="19">
        <v>0</v>
      </c>
      <c r="CZ126" s="17"/>
      <c r="DA126" s="19">
        <v>0</v>
      </c>
      <c r="DB126" s="17"/>
      <c r="DC126" s="17"/>
      <c r="DD126" s="19">
        <v>0</v>
      </c>
      <c r="DE126" s="17"/>
      <c r="DF126" s="17"/>
      <c r="DG126" s="19">
        <v>100</v>
      </c>
      <c r="DH126" s="17"/>
      <c r="DI126" s="17">
        <v>45596</v>
      </c>
      <c r="DJ126" s="17"/>
      <c r="DK126" s="17"/>
      <c r="DL126" s="19">
        <v>0</v>
      </c>
      <c r="DM126" s="19">
        <v>0</v>
      </c>
    </row>
    <row r="127" spans="1:117" x14ac:dyDescent="0.2">
      <c r="A127" s="14" t="s">
        <v>3610</v>
      </c>
      <c r="B127" s="14" t="s">
        <v>764</v>
      </c>
      <c r="C127" s="14" t="s">
        <v>73</v>
      </c>
      <c r="D127" s="14" t="s">
        <v>74</v>
      </c>
      <c r="E127" s="14" t="s">
        <v>75</v>
      </c>
      <c r="F127" s="14" t="s">
        <v>76</v>
      </c>
      <c r="G127" s="17">
        <v>45473</v>
      </c>
      <c r="H127" s="14" t="s">
        <v>77</v>
      </c>
      <c r="I127" s="14" t="s">
        <v>78</v>
      </c>
      <c r="J127" s="14" t="s">
        <v>85</v>
      </c>
      <c r="K127" s="14" t="s">
        <v>758</v>
      </c>
      <c r="L127" s="14" t="s">
        <v>308</v>
      </c>
      <c r="M127" s="14" t="s">
        <v>309</v>
      </c>
      <c r="N127" s="16">
        <f>COUNTIF($M$3:M127, M127)</f>
        <v>1</v>
      </c>
      <c r="O127" s="16" t="str" cm="1">
        <f t="array" ref="O127">INDEX('[2]ALTA 20242025'!$B$2:$B$241, MATCH(1, ('[2]ALTA 20242025'!$I$2:$I$241=M127)*('[2]ALTA 20242025'!$J$2:$J$241=N127), 0))</f>
        <v>3103MXJ</v>
      </c>
      <c r="P127" s="16"/>
      <c r="Q127" s="16"/>
      <c r="R127" s="14" t="s">
        <v>2048</v>
      </c>
      <c r="S127" s="14" t="s">
        <v>2048</v>
      </c>
      <c r="T127" s="14" t="s">
        <v>2048</v>
      </c>
      <c r="U127" s="14" t="s">
        <v>2048</v>
      </c>
      <c r="V127" s="14" t="s">
        <v>72</v>
      </c>
      <c r="W127" s="14" t="s">
        <v>4221</v>
      </c>
      <c r="X127" s="14" t="s">
        <v>4222</v>
      </c>
      <c r="Y127" s="14" t="s">
        <v>2048</v>
      </c>
      <c r="Z127" s="14" t="s">
        <v>2048</v>
      </c>
      <c r="AA127" s="14" t="s">
        <v>2422</v>
      </c>
      <c r="AB127" s="14" t="s">
        <v>2049</v>
      </c>
      <c r="AC127" s="14" t="s">
        <v>2050</v>
      </c>
      <c r="AD127" s="14" t="s">
        <v>2048</v>
      </c>
      <c r="AE127" s="14" t="s">
        <v>2048</v>
      </c>
      <c r="AF127" s="14" t="s">
        <v>2048</v>
      </c>
      <c r="AG127" s="14" t="s">
        <v>2048</v>
      </c>
      <c r="AH127" s="14" t="s">
        <v>2048</v>
      </c>
      <c r="AI127" s="14" t="s">
        <v>2129</v>
      </c>
      <c r="AJ127" s="14" t="s">
        <v>2130</v>
      </c>
      <c r="AK127" s="14" t="s">
        <v>2055</v>
      </c>
      <c r="AL127" s="14" t="s">
        <v>2055</v>
      </c>
      <c r="AM127" s="14" t="s">
        <v>2055</v>
      </c>
      <c r="AN127" s="14" t="s">
        <v>2068</v>
      </c>
      <c r="AO127" s="14" t="s">
        <v>2048</v>
      </c>
      <c r="AP127" s="14" t="s">
        <v>2048</v>
      </c>
      <c r="AQ127" s="14" t="s">
        <v>2048</v>
      </c>
      <c r="AR127" s="14" t="s">
        <v>2696</v>
      </c>
      <c r="AS127" s="14" t="s">
        <v>89</v>
      </c>
      <c r="AT127" s="14" t="s">
        <v>2418</v>
      </c>
      <c r="AU127" s="14" t="s">
        <v>2059</v>
      </c>
      <c r="AV127" s="14" t="s">
        <v>2060</v>
      </c>
      <c r="AW127" s="14" t="s">
        <v>2048</v>
      </c>
      <c r="AX127" s="14" t="s">
        <v>2048</v>
      </c>
      <c r="AY127" s="14" t="s">
        <v>2652</v>
      </c>
      <c r="AZ127" s="14" t="s">
        <v>2653</v>
      </c>
      <c r="BA127" s="14" t="s">
        <v>2048</v>
      </c>
      <c r="BB127" s="14" t="s">
        <v>2048</v>
      </c>
      <c r="BC127" s="14" t="s">
        <v>308</v>
      </c>
      <c r="BD127" s="14" t="s">
        <v>312</v>
      </c>
      <c r="BE127" s="14" t="s">
        <v>2048</v>
      </c>
      <c r="BF127" s="14" t="s">
        <v>2048</v>
      </c>
      <c r="BG127" s="14" t="s">
        <v>2048</v>
      </c>
      <c r="BH127" s="14" t="s">
        <v>2048</v>
      </c>
      <c r="BI127" s="14" t="s">
        <v>2048</v>
      </c>
      <c r="BJ127" s="14" t="s">
        <v>2048</v>
      </c>
      <c r="BK127" s="14" t="s">
        <v>2048</v>
      </c>
      <c r="BL127" s="14" t="s">
        <v>2048</v>
      </c>
      <c r="BM127" s="14" t="s">
        <v>2048</v>
      </c>
      <c r="BN127" s="14" t="s">
        <v>2048</v>
      </c>
      <c r="BO127" s="14" t="s">
        <v>2048</v>
      </c>
      <c r="BP127" s="14" t="s">
        <v>2064</v>
      </c>
      <c r="BQ127" s="14" t="s">
        <v>72</v>
      </c>
      <c r="BR127" s="14" t="s">
        <v>72</v>
      </c>
      <c r="BS127" s="14" t="s">
        <v>2048</v>
      </c>
      <c r="BT127" s="14" t="s">
        <v>2048</v>
      </c>
      <c r="BU127" s="14" t="s">
        <v>2048</v>
      </c>
      <c r="BV127" s="14" t="s">
        <v>2331</v>
      </c>
      <c r="BW127" s="14" t="s">
        <v>2131</v>
      </c>
      <c r="BX127" s="14" t="s">
        <v>2048</v>
      </c>
      <c r="BY127" s="14" t="s">
        <v>2048</v>
      </c>
      <c r="BZ127" s="14" t="s">
        <v>2048</v>
      </c>
      <c r="CA127" s="14" t="s">
        <v>2048</v>
      </c>
      <c r="CB127" s="14" t="s">
        <v>2048</v>
      </c>
      <c r="CC127" s="14" t="s">
        <v>2048</v>
      </c>
      <c r="CD127" s="14" t="s">
        <v>2048</v>
      </c>
      <c r="CE127" s="14" t="s">
        <v>2048</v>
      </c>
      <c r="CF127" s="14" t="s">
        <v>2048</v>
      </c>
      <c r="CG127" s="14" t="s">
        <v>2048</v>
      </c>
      <c r="CH127" s="14" t="s">
        <v>2048</v>
      </c>
      <c r="CI127" s="14" t="s">
        <v>2048</v>
      </c>
      <c r="CJ127" s="14" t="s">
        <v>2048</v>
      </c>
      <c r="CK127" s="14" t="s">
        <v>3714</v>
      </c>
      <c r="CL127" s="14" t="s">
        <v>3761</v>
      </c>
      <c r="CM127" s="14" t="s">
        <v>2048</v>
      </c>
      <c r="CN127" s="17"/>
      <c r="CO127" s="17">
        <v>45422</v>
      </c>
      <c r="CP127" s="17">
        <v>45422</v>
      </c>
      <c r="CR127" s="17">
        <v>45478</v>
      </c>
      <c r="CS127" s="19">
        <v>0</v>
      </c>
      <c r="CT127" s="19">
        <v>0</v>
      </c>
      <c r="CU127" s="19">
        <v>459.8</v>
      </c>
      <c r="CV127" s="19">
        <v>0</v>
      </c>
      <c r="CW127" s="19">
        <v>459.8</v>
      </c>
      <c r="CX127" s="19">
        <v>556.36</v>
      </c>
      <c r="CY127" s="19">
        <v>0</v>
      </c>
      <c r="CZ127" s="17"/>
      <c r="DA127" s="19">
        <v>0</v>
      </c>
      <c r="DB127" s="17"/>
      <c r="DC127" s="17"/>
      <c r="DD127" s="19">
        <v>0</v>
      </c>
      <c r="DE127" s="17"/>
      <c r="DF127" s="17"/>
      <c r="DG127" s="19">
        <v>100</v>
      </c>
      <c r="DH127" s="17"/>
      <c r="DI127" s="17">
        <v>45473</v>
      </c>
      <c r="DJ127" s="17"/>
      <c r="DK127" s="17"/>
      <c r="DL127" s="19">
        <v>0</v>
      </c>
      <c r="DM127" s="19">
        <v>0</v>
      </c>
    </row>
    <row r="128" spans="1:117" x14ac:dyDescent="0.2">
      <c r="A128" s="14" t="s">
        <v>3610</v>
      </c>
      <c r="B128" s="14" t="s">
        <v>1413</v>
      </c>
      <c r="C128" s="14" t="s">
        <v>158</v>
      </c>
      <c r="D128" s="14" t="s">
        <v>159</v>
      </c>
      <c r="E128" s="14" t="s">
        <v>158</v>
      </c>
      <c r="F128" s="14" t="s">
        <v>171</v>
      </c>
      <c r="G128" s="17">
        <v>45473</v>
      </c>
      <c r="H128" s="14" t="s">
        <v>172</v>
      </c>
      <c r="I128" s="14" t="s">
        <v>78</v>
      </c>
      <c r="J128" s="14" t="s">
        <v>1338</v>
      </c>
      <c r="K128" s="14" t="s">
        <v>1338</v>
      </c>
      <c r="L128" s="14" t="s">
        <v>131</v>
      </c>
      <c r="M128" s="14" t="s">
        <v>132</v>
      </c>
      <c r="N128" s="16">
        <f>COUNTIF($M$3:M128, M128)</f>
        <v>15</v>
      </c>
      <c r="O128" s="16" t="str" cm="1">
        <f t="array" ref="O128">INDEX('[2]ALTA 20242025'!$B$2:$B$241, MATCH(1, ('[2]ALTA 20242025'!$I$2:$I$241=M128)*('[2]ALTA 20242025'!$J$2:$J$241=N128), 0))</f>
        <v>8642MWT</v>
      </c>
      <c r="P128" s="16"/>
      <c r="Q128" s="16"/>
      <c r="R128" s="14" t="s">
        <v>2048</v>
      </c>
      <c r="S128" s="14" t="s">
        <v>2048</v>
      </c>
      <c r="T128" s="14" t="s">
        <v>2048</v>
      </c>
      <c r="U128" s="14" t="s">
        <v>2048</v>
      </c>
      <c r="V128" s="14" t="s">
        <v>72</v>
      </c>
      <c r="W128" s="14" t="s">
        <v>72</v>
      </c>
      <c r="X128" s="14" t="s">
        <v>72</v>
      </c>
      <c r="Y128" s="14" t="s">
        <v>2048</v>
      </c>
      <c r="Z128" s="14" t="s">
        <v>2048</v>
      </c>
      <c r="AA128" s="14" t="s">
        <v>2422</v>
      </c>
      <c r="AB128" s="14" t="s">
        <v>2049</v>
      </c>
      <c r="AC128" s="14" t="s">
        <v>2050</v>
      </c>
      <c r="AD128" s="14" t="s">
        <v>2048</v>
      </c>
      <c r="AE128" s="14" t="s">
        <v>2048</v>
      </c>
      <c r="AF128" s="14" t="s">
        <v>2048</v>
      </c>
      <c r="AG128" s="14" t="s">
        <v>2048</v>
      </c>
      <c r="AH128" s="14" t="s">
        <v>2048</v>
      </c>
      <c r="AI128" s="14" t="s">
        <v>2129</v>
      </c>
      <c r="AJ128" s="14" t="s">
        <v>2130</v>
      </c>
      <c r="AK128" s="14" t="s">
        <v>2055</v>
      </c>
      <c r="AL128" s="14" t="s">
        <v>2055</v>
      </c>
      <c r="AM128" s="14" t="s">
        <v>2055</v>
      </c>
      <c r="AN128" s="14" t="s">
        <v>2068</v>
      </c>
      <c r="AO128" s="14" t="s">
        <v>2048</v>
      </c>
      <c r="AP128" s="14" t="s">
        <v>2048</v>
      </c>
      <c r="AQ128" s="14" t="s">
        <v>2048</v>
      </c>
      <c r="AR128" s="14" t="s">
        <v>2508</v>
      </c>
      <c r="AS128" s="14" t="s">
        <v>3648</v>
      </c>
      <c r="AT128" s="14" t="s">
        <v>2208</v>
      </c>
      <c r="AU128" s="14" t="s">
        <v>2059</v>
      </c>
      <c r="AV128" s="14" t="s">
        <v>3529</v>
      </c>
      <c r="AW128" s="14" t="s">
        <v>3530</v>
      </c>
      <c r="AX128" s="14" t="s">
        <v>72</v>
      </c>
      <c r="AY128" s="14" t="s">
        <v>2448</v>
      </c>
      <c r="AZ128" s="14" t="s">
        <v>2449</v>
      </c>
      <c r="BA128" s="14" t="s">
        <v>2048</v>
      </c>
      <c r="BB128" s="14" t="s">
        <v>2048</v>
      </c>
      <c r="BC128" s="14" t="s">
        <v>131</v>
      </c>
      <c r="BD128" s="14" t="s">
        <v>1390</v>
      </c>
      <c r="BE128" s="14" t="s">
        <v>4223</v>
      </c>
      <c r="BF128" s="14" t="s">
        <v>2048</v>
      </c>
      <c r="BG128" s="14" t="s">
        <v>2048</v>
      </c>
      <c r="BH128" s="14" t="s">
        <v>2048</v>
      </c>
      <c r="BI128" s="14" t="s">
        <v>2048</v>
      </c>
      <c r="BJ128" s="14" t="s">
        <v>2452</v>
      </c>
      <c r="BK128" s="14" t="s">
        <v>2453</v>
      </c>
      <c r="BL128" s="14" t="s">
        <v>2454</v>
      </c>
      <c r="BM128" s="14" t="s">
        <v>2455</v>
      </c>
      <c r="BN128" s="14" t="s">
        <v>2048</v>
      </c>
      <c r="BO128" s="14" t="s">
        <v>2048</v>
      </c>
      <c r="BP128" s="14" t="s">
        <v>2064</v>
      </c>
      <c r="BQ128" s="14" t="s">
        <v>72</v>
      </c>
      <c r="BR128" s="14" t="s">
        <v>72</v>
      </c>
      <c r="BS128" s="14" t="s">
        <v>2048</v>
      </c>
      <c r="BT128" s="14" t="s">
        <v>2457</v>
      </c>
      <c r="BU128" s="14" t="s">
        <v>2458</v>
      </c>
      <c r="BV128" s="14" t="s">
        <v>2066</v>
      </c>
      <c r="BW128" s="14" t="s">
        <v>2067</v>
      </c>
      <c r="BX128" s="14" t="s">
        <v>2048</v>
      </c>
      <c r="BY128" s="14" t="s">
        <v>2048</v>
      </c>
      <c r="BZ128" s="14" t="s">
        <v>2048</v>
      </c>
      <c r="CA128" s="14" t="s">
        <v>2048</v>
      </c>
      <c r="CB128" s="14" t="s">
        <v>2048</v>
      </c>
      <c r="CC128" s="14" t="s">
        <v>2048</v>
      </c>
      <c r="CD128" s="14" t="s">
        <v>2048</v>
      </c>
      <c r="CE128" s="14" t="s">
        <v>2048</v>
      </c>
      <c r="CF128" s="14" t="s">
        <v>2048</v>
      </c>
      <c r="CG128" s="14" t="s">
        <v>2048</v>
      </c>
      <c r="CH128" s="14" t="s">
        <v>2048</v>
      </c>
      <c r="CI128" s="14" t="s">
        <v>2048</v>
      </c>
      <c r="CJ128" s="14" t="s">
        <v>2048</v>
      </c>
      <c r="CK128" s="14" t="s">
        <v>3774</v>
      </c>
      <c r="CL128" s="14" t="s">
        <v>413</v>
      </c>
      <c r="CM128" s="14" t="s">
        <v>2048</v>
      </c>
      <c r="CN128" s="17"/>
      <c r="CO128" s="17">
        <v>44872</v>
      </c>
      <c r="CP128" s="17">
        <v>44872</v>
      </c>
      <c r="CR128" s="17">
        <v>45473</v>
      </c>
      <c r="CS128" s="19">
        <v>0</v>
      </c>
      <c r="CT128" s="19">
        <v>0</v>
      </c>
      <c r="CU128" s="19">
        <v>0</v>
      </c>
      <c r="CV128" s="19">
        <v>0</v>
      </c>
      <c r="CW128" s="19">
        <v>0</v>
      </c>
      <c r="CX128" s="19">
        <v>0</v>
      </c>
      <c r="CY128" s="19">
        <v>0</v>
      </c>
      <c r="CZ128" s="17"/>
      <c r="DA128" s="19">
        <v>0</v>
      </c>
      <c r="DB128" s="17"/>
      <c r="DC128" s="17"/>
      <c r="DD128" s="19">
        <v>0</v>
      </c>
      <c r="DE128" s="17"/>
      <c r="DF128" s="17"/>
      <c r="DG128" s="19">
        <v>100</v>
      </c>
      <c r="DH128" s="17"/>
      <c r="DI128" s="17">
        <v>45657</v>
      </c>
      <c r="DJ128" s="17"/>
      <c r="DK128" s="17"/>
      <c r="DL128" s="19">
        <v>0</v>
      </c>
      <c r="DM128" s="19">
        <v>0</v>
      </c>
    </row>
    <row r="129" spans="1:117" x14ac:dyDescent="0.2">
      <c r="A129" s="14" t="s">
        <v>3610</v>
      </c>
      <c r="B129" s="14" t="s">
        <v>397</v>
      </c>
      <c r="C129" s="14" t="s">
        <v>73</v>
      </c>
      <c r="D129" s="14" t="s">
        <v>200</v>
      </c>
      <c r="E129" s="14" t="s">
        <v>201</v>
      </c>
      <c r="F129" s="14" t="s">
        <v>76</v>
      </c>
      <c r="G129" s="17">
        <v>45476</v>
      </c>
      <c r="H129" s="14" t="s">
        <v>77</v>
      </c>
      <c r="I129" s="14" t="s">
        <v>78</v>
      </c>
      <c r="J129" s="14" t="s">
        <v>359</v>
      </c>
      <c r="K129" s="14" t="s">
        <v>360</v>
      </c>
      <c r="L129" s="14" t="s">
        <v>119</v>
      </c>
      <c r="M129" s="14" t="s">
        <v>120</v>
      </c>
      <c r="N129" s="16">
        <f>COUNTIF($M$3:M129, M129)</f>
        <v>9</v>
      </c>
      <c r="O129" s="16" t="str" cm="1">
        <f t="array" ref="O129">INDEX('[2]ALTA 20242025'!$B$2:$B$241, MATCH(1, ('[2]ALTA 20242025'!$I$2:$I$241=M129)*('[2]ALTA 20242025'!$J$2:$J$241=N129), 0))</f>
        <v>5360MXF</v>
      </c>
      <c r="P129" s="16"/>
      <c r="Q129" s="16"/>
      <c r="R129" s="14" t="s">
        <v>2048</v>
      </c>
      <c r="S129" s="14" t="s">
        <v>2048</v>
      </c>
      <c r="T129" s="14" t="s">
        <v>2048</v>
      </c>
      <c r="U129" s="14" t="s">
        <v>2048</v>
      </c>
      <c r="V129" s="14" t="s">
        <v>3831</v>
      </c>
      <c r="W129" s="14" t="s">
        <v>4224</v>
      </c>
      <c r="X129" s="14" t="s">
        <v>4010</v>
      </c>
      <c r="Y129" s="14" t="s">
        <v>4225</v>
      </c>
      <c r="Z129" s="14" t="s">
        <v>2048</v>
      </c>
      <c r="AA129" s="14" t="s">
        <v>2422</v>
      </c>
      <c r="AB129" s="14" t="s">
        <v>2049</v>
      </c>
      <c r="AC129" s="14" t="s">
        <v>2050</v>
      </c>
      <c r="AD129" s="14" t="s">
        <v>3690</v>
      </c>
      <c r="AE129" s="14" t="s">
        <v>3613</v>
      </c>
      <c r="AF129" s="14" t="s">
        <v>3614</v>
      </c>
      <c r="AG129" s="14" t="s">
        <v>200</v>
      </c>
      <c r="AH129" s="14" t="s">
        <v>3622</v>
      </c>
      <c r="AI129" s="14" t="s">
        <v>3472</v>
      </c>
      <c r="AJ129" s="14" t="s">
        <v>3821</v>
      </c>
      <c r="AK129" s="14" t="s">
        <v>2055</v>
      </c>
      <c r="AL129" s="14" t="s">
        <v>2055</v>
      </c>
      <c r="AM129" s="14" t="s">
        <v>2055</v>
      </c>
      <c r="AN129" s="14" t="s">
        <v>2068</v>
      </c>
      <c r="AO129" s="14" t="s">
        <v>2048</v>
      </c>
      <c r="AP129" s="14" t="s">
        <v>2048</v>
      </c>
      <c r="AQ129" s="14" t="s">
        <v>2048</v>
      </c>
      <c r="AR129" s="14" t="s">
        <v>4226</v>
      </c>
      <c r="AS129" s="14" t="s">
        <v>3615</v>
      </c>
      <c r="AT129" s="14" t="s">
        <v>2418</v>
      </c>
      <c r="AU129" s="14" t="s">
        <v>4227</v>
      </c>
      <c r="AV129" s="14" t="s">
        <v>4228</v>
      </c>
      <c r="AW129" s="14" t="s">
        <v>4229</v>
      </c>
      <c r="AX129" s="14" t="s">
        <v>72</v>
      </c>
      <c r="AY129" s="14" t="s">
        <v>4228</v>
      </c>
      <c r="AZ129" s="14" t="s">
        <v>4229</v>
      </c>
      <c r="BA129" s="14" t="s">
        <v>2048</v>
      </c>
      <c r="BB129" s="14" t="s">
        <v>2048</v>
      </c>
      <c r="BC129" s="14" t="s">
        <v>119</v>
      </c>
      <c r="BD129" s="14" t="s">
        <v>366</v>
      </c>
      <c r="BE129" s="14" t="s">
        <v>4158</v>
      </c>
      <c r="BF129" s="14" t="s">
        <v>2048</v>
      </c>
      <c r="BG129" s="14" t="s">
        <v>2048</v>
      </c>
      <c r="BH129" s="14" t="s">
        <v>3598</v>
      </c>
      <c r="BI129" s="14" t="s">
        <v>3599</v>
      </c>
      <c r="BJ129" s="14" t="s">
        <v>3914</v>
      </c>
      <c r="BK129" s="14" t="s">
        <v>3915</v>
      </c>
      <c r="BL129" s="14" t="s">
        <v>4119</v>
      </c>
      <c r="BM129" s="14" t="s">
        <v>3600</v>
      </c>
      <c r="BN129" s="14" t="s">
        <v>2048</v>
      </c>
      <c r="BO129" s="14" t="s">
        <v>2048</v>
      </c>
      <c r="BP129" s="14" t="s">
        <v>2064</v>
      </c>
      <c r="BQ129" s="14" t="s">
        <v>72</v>
      </c>
      <c r="BR129" s="14" t="s">
        <v>72</v>
      </c>
      <c r="BS129" s="14" t="s">
        <v>2048</v>
      </c>
      <c r="BT129" s="14" t="s">
        <v>4230</v>
      </c>
      <c r="BU129" s="14" t="s">
        <v>4231</v>
      </c>
      <c r="BV129" s="14" t="s">
        <v>2331</v>
      </c>
      <c r="BW129" s="14" t="s">
        <v>2131</v>
      </c>
      <c r="BX129" s="14" t="s">
        <v>2048</v>
      </c>
      <c r="BY129" s="14" t="s">
        <v>2048</v>
      </c>
      <c r="BZ129" s="14" t="s">
        <v>2048</v>
      </c>
      <c r="CA129" s="14" t="s">
        <v>2048</v>
      </c>
      <c r="CB129" s="14" t="s">
        <v>72</v>
      </c>
      <c r="CC129" s="14" t="s">
        <v>2048</v>
      </c>
      <c r="CD129" s="14" t="s">
        <v>72</v>
      </c>
      <c r="CE129" s="14" t="s">
        <v>2048</v>
      </c>
      <c r="CF129" s="14" t="s">
        <v>2048</v>
      </c>
      <c r="CG129" s="14" t="s">
        <v>2048</v>
      </c>
      <c r="CH129" s="14" t="s">
        <v>2048</v>
      </c>
      <c r="CI129" s="14" t="s">
        <v>2048</v>
      </c>
      <c r="CJ129" s="14" t="s">
        <v>2048</v>
      </c>
      <c r="CK129" s="14" t="s">
        <v>3714</v>
      </c>
      <c r="CL129" s="14" t="s">
        <v>3761</v>
      </c>
      <c r="CM129" s="14" t="s">
        <v>2048</v>
      </c>
      <c r="CN129" s="17"/>
      <c r="CO129" s="17">
        <v>43619</v>
      </c>
      <c r="CP129" s="17">
        <v>43619</v>
      </c>
      <c r="CR129" s="17">
        <v>45681</v>
      </c>
      <c r="CS129" s="19">
        <v>61</v>
      </c>
      <c r="CT129" s="19">
        <v>0</v>
      </c>
      <c r="CU129" s="19">
        <v>262.14</v>
      </c>
      <c r="CV129" s="19">
        <v>0</v>
      </c>
      <c r="CW129" s="19">
        <v>262.14</v>
      </c>
      <c r="CX129" s="19">
        <v>317.19</v>
      </c>
      <c r="CY129" s="19">
        <v>0</v>
      </c>
      <c r="CZ129" s="17"/>
      <c r="DA129" s="19">
        <v>0</v>
      </c>
      <c r="DB129" s="17"/>
      <c r="DC129" s="17"/>
      <c r="DD129" s="19">
        <v>0</v>
      </c>
      <c r="DE129" s="17"/>
      <c r="DF129" s="17"/>
      <c r="DG129" s="19">
        <v>100</v>
      </c>
      <c r="DH129" s="17"/>
      <c r="DI129" s="17">
        <v>46022</v>
      </c>
      <c r="DJ129" s="17"/>
      <c r="DK129" s="17"/>
      <c r="DL129" s="19">
        <v>0</v>
      </c>
      <c r="DM129" s="19">
        <v>0</v>
      </c>
    </row>
    <row r="130" spans="1:117" x14ac:dyDescent="0.2">
      <c r="A130" s="14" t="s">
        <v>3610</v>
      </c>
      <c r="B130" s="14" t="s">
        <v>1277</v>
      </c>
      <c r="C130" s="14" t="s">
        <v>73</v>
      </c>
      <c r="D130" s="14" t="s">
        <v>200</v>
      </c>
      <c r="E130" s="14" t="s">
        <v>201</v>
      </c>
      <c r="F130" s="14" t="s">
        <v>76</v>
      </c>
      <c r="G130" s="17">
        <v>45594</v>
      </c>
      <c r="H130" s="14" t="s">
        <v>77</v>
      </c>
      <c r="I130" s="14" t="s">
        <v>78</v>
      </c>
      <c r="J130" s="14" t="s">
        <v>213</v>
      </c>
      <c r="K130" s="14" t="s">
        <v>237</v>
      </c>
      <c r="L130" s="14" t="s">
        <v>584</v>
      </c>
      <c r="M130" s="14" t="s">
        <v>585</v>
      </c>
      <c r="N130" s="16">
        <f>COUNTIF($M$3:M130, M130)</f>
        <v>7</v>
      </c>
      <c r="O130" s="16" t="e" cm="1">
        <f t="array" ref="O130">INDEX('[2]ALTA 20242025'!$B$2:$B$241, MATCH(1, ('[2]ALTA 20242025'!$I$2:$I$241=M130)*('[2]ALTA 20242025'!$J$2:$J$241=N130), 0))</f>
        <v>#N/A</v>
      </c>
      <c r="P130" s="16"/>
      <c r="Q130" s="16"/>
      <c r="R130" s="14" t="s">
        <v>403</v>
      </c>
      <c r="S130" s="14" t="s">
        <v>404</v>
      </c>
      <c r="T130" s="14" t="s">
        <v>2048</v>
      </c>
      <c r="U130" s="14" t="s">
        <v>2048</v>
      </c>
      <c r="V130" s="14" t="s">
        <v>3620</v>
      </c>
      <c r="W130" s="14" t="s">
        <v>4232</v>
      </c>
      <c r="X130" s="14" t="s">
        <v>4233</v>
      </c>
      <c r="Y130" s="14" t="s">
        <v>4234</v>
      </c>
      <c r="Z130" s="14" t="s">
        <v>2048</v>
      </c>
      <c r="AA130" s="14" t="s">
        <v>2422</v>
      </c>
      <c r="AB130" s="14" t="s">
        <v>2049</v>
      </c>
      <c r="AC130" s="14" t="s">
        <v>2050</v>
      </c>
      <c r="AD130" s="14" t="s">
        <v>3690</v>
      </c>
      <c r="AE130" s="14" t="s">
        <v>3613</v>
      </c>
      <c r="AF130" s="14" t="s">
        <v>3614</v>
      </c>
      <c r="AG130" s="14" t="s">
        <v>2048</v>
      </c>
      <c r="AH130" s="14" t="s">
        <v>2048</v>
      </c>
      <c r="AI130" s="14" t="s">
        <v>159</v>
      </c>
      <c r="AJ130" s="14" t="s">
        <v>585</v>
      </c>
      <c r="AK130" s="14" t="s">
        <v>2055</v>
      </c>
      <c r="AL130" s="14" t="s">
        <v>2055</v>
      </c>
      <c r="AM130" s="14" t="s">
        <v>2055</v>
      </c>
      <c r="AN130" s="14" t="s">
        <v>2068</v>
      </c>
      <c r="AO130" s="14" t="s">
        <v>2048</v>
      </c>
      <c r="AP130" s="14" t="s">
        <v>2048</v>
      </c>
      <c r="AQ130" s="14" t="s">
        <v>2048</v>
      </c>
      <c r="AR130" s="14" t="s">
        <v>4235</v>
      </c>
      <c r="AS130" s="14" t="s">
        <v>3623</v>
      </c>
      <c r="AT130" s="14" t="s">
        <v>3472</v>
      </c>
      <c r="AU130" s="14" t="s">
        <v>4236</v>
      </c>
      <c r="AV130" s="14" t="s">
        <v>4237</v>
      </c>
      <c r="AW130" s="14" t="s">
        <v>4238</v>
      </c>
      <c r="AX130" s="14" t="s">
        <v>72</v>
      </c>
      <c r="AY130" s="14" t="s">
        <v>4237</v>
      </c>
      <c r="AZ130" s="14" t="s">
        <v>4238</v>
      </c>
      <c r="BA130" s="14" t="s">
        <v>2048</v>
      </c>
      <c r="BB130" s="14" t="s">
        <v>2048</v>
      </c>
      <c r="BC130" s="14" t="s">
        <v>584</v>
      </c>
      <c r="BD130" s="14" t="s">
        <v>1278</v>
      </c>
      <c r="BE130" s="14" t="s">
        <v>4239</v>
      </c>
      <c r="BF130" s="14" t="s">
        <v>2048</v>
      </c>
      <c r="BG130" s="14" t="s">
        <v>2048</v>
      </c>
      <c r="BH130" s="14" t="s">
        <v>2602</v>
      </c>
      <c r="BI130" s="14" t="s">
        <v>3752</v>
      </c>
      <c r="BJ130" s="14" t="s">
        <v>2578</v>
      </c>
      <c r="BK130" s="14" t="s">
        <v>4240</v>
      </c>
      <c r="BL130" s="14" t="s">
        <v>4241</v>
      </c>
      <c r="BM130" s="14" t="s">
        <v>2287</v>
      </c>
      <c r="BN130" s="14" t="s">
        <v>2048</v>
      </c>
      <c r="BO130" s="14" t="s">
        <v>2518</v>
      </c>
      <c r="BP130" s="14" t="s">
        <v>2064</v>
      </c>
      <c r="BQ130" s="14" t="s">
        <v>72</v>
      </c>
      <c r="BR130" s="14" t="s">
        <v>72</v>
      </c>
      <c r="BS130" s="14" t="s">
        <v>2048</v>
      </c>
      <c r="BT130" s="14" t="s">
        <v>4242</v>
      </c>
      <c r="BU130" s="14" t="s">
        <v>4235</v>
      </c>
      <c r="BV130" s="14" t="s">
        <v>2331</v>
      </c>
      <c r="BW130" s="14" t="s">
        <v>2131</v>
      </c>
      <c r="BX130" s="14" t="s">
        <v>2048</v>
      </c>
      <c r="BY130" s="14" t="s">
        <v>2048</v>
      </c>
      <c r="BZ130" s="14" t="s">
        <v>2048</v>
      </c>
      <c r="CA130" s="14" t="s">
        <v>2048</v>
      </c>
      <c r="CB130" s="14" t="s">
        <v>72</v>
      </c>
      <c r="CC130" s="14" t="s">
        <v>2048</v>
      </c>
      <c r="CD130" s="14" t="s">
        <v>2048</v>
      </c>
      <c r="CE130" s="14" t="s">
        <v>2048</v>
      </c>
      <c r="CF130" s="14" t="s">
        <v>2048</v>
      </c>
      <c r="CG130" s="14" t="s">
        <v>2048</v>
      </c>
      <c r="CH130" s="14" t="s">
        <v>2048</v>
      </c>
      <c r="CI130" s="14" t="s">
        <v>2048</v>
      </c>
      <c r="CJ130" s="14" t="s">
        <v>2048</v>
      </c>
      <c r="CK130" s="14" t="s">
        <v>2068</v>
      </c>
      <c r="CL130" s="14" t="s">
        <v>2069</v>
      </c>
      <c r="CM130" s="14" t="s">
        <v>2048</v>
      </c>
      <c r="CN130" s="17">
        <v>44896</v>
      </c>
      <c r="CO130" s="17">
        <v>44133</v>
      </c>
      <c r="CP130" s="17">
        <v>44133</v>
      </c>
      <c r="CR130" s="17">
        <v>45483</v>
      </c>
      <c r="CS130" s="19">
        <v>48</v>
      </c>
      <c r="CT130" s="19">
        <v>0</v>
      </c>
      <c r="CU130" s="19">
        <v>186.65</v>
      </c>
      <c r="CV130" s="19">
        <v>0</v>
      </c>
      <c r="CW130" s="19">
        <v>186.65</v>
      </c>
      <c r="CX130" s="19">
        <v>225.85</v>
      </c>
      <c r="CY130" s="19">
        <v>0</v>
      </c>
      <c r="CZ130" s="17"/>
      <c r="DA130" s="19">
        <v>0</v>
      </c>
      <c r="DB130" s="17"/>
      <c r="DC130" s="17"/>
      <c r="DD130" s="19">
        <v>0</v>
      </c>
      <c r="DE130" s="17"/>
      <c r="DF130" s="17"/>
      <c r="DG130" s="19">
        <v>100</v>
      </c>
      <c r="DH130" s="17"/>
      <c r="DI130" s="17">
        <v>45657</v>
      </c>
      <c r="DJ130" s="17"/>
      <c r="DK130" s="17"/>
      <c r="DL130" s="19">
        <v>0</v>
      </c>
      <c r="DM130" s="19">
        <v>0</v>
      </c>
    </row>
    <row r="131" spans="1:117" x14ac:dyDescent="0.2">
      <c r="A131" s="14" t="s">
        <v>3610</v>
      </c>
      <c r="B131" s="14" t="s">
        <v>653</v>
      </c>
      <c r="C131" s="14" t="s">
        <v>73</v>
      </c>
      <c r="D131" s="14" t="s">
        <v>74</v>
      </c>
      <c r="E131" s="14" t="s">
        <v>75</v>
      </c>
      <c r="F131" s="14" t="s">
        <v>76</v>
      </c>
      <c r="G131" s="17">
        <v>45504</v>
      </c>
      <c r="H131" s="14" t="s">
        <v>77</v>
      </c>
      <c r="I131" s="14" t="s">
        <v>78</v>
      </c>
      <c r="J131" s="14" t="s">
        <v>85</v>
      </c>
      <c r="K131" s="14" t="s">
        <v>642</v>
      </c>
      <c r="L131" s="14" t="s">
        <v>102</v>
      </c>
      <c r="M131" s="14" t="s">
        <v>103</v>
      </c>
      <c r="N131" s="16">
        <f>COUNTIF($M$3:M131, M131)</f>
        <v>34</v>
      </c>
      <c r="O131" s="16" t="str" cm="1">
        <f t="array" ref="O131">INDEX('[2]ALTA 20242025'!$B$2:$B$241, MATCH(1, ('[2]ALTA 20242025'!$I$2:$I$241=M131)*('[2]ALTA 20242025'!$J$2:$J$241=N131), 0))</f>
        <v>6398MWV</v>
      </c>
      <c r="P131" s="16"/>
      <c r="Q131" s="16"/>
      <c r="R131" s="14" t="s">
        <v>2048</v>
      </c>
      <c r="S131" s="14" t="s">
        <v>2048</v>
      </c>
      <c r="T131" s="14" t="s">
        <v>2048</v>
      </c>
      <c r="U131" s="14" t="s">
        <v>2048</v>
      </c>
      <c r="V131" s="14" t="s">
        <v>4129</v>
      </c>
      <c r="W131" s="14" t="s">
        <v>4243</v>
      </c>
      <c r="X131" s="14" t="s">
        <v>3858</v>
      </c>
      <c r="Y131" s="14" t="s">
        <v>4244</v>
      </c>
      <c r="Z131" s="14" t="s">
        <v>2048</v>
      </c>
      <c r="AA131" s="14" t="s">
        <v>2422</v>
      </c>
      <c r="AB131" s="14" t="s">
        <v>2049</v>
      </c>
      <c r="AC131" s="14" t="s">
        <v>2050</v>
      </c>
      <c r="AD131" s="14" t="s">
        <v>2048</v>
      </c>
      <c r="AE131" s="14" t="s">
        <v>2048</v>
      </c>
      <c r="AF131" s="14" t="s">
        <v>2048</v>
      </c>
      <c r="AG131" s="14" t="s">
        <v>200</v>
      </c>
      <c r="AH131" s="14" t="s">
        <v>3622</v>
      </c>
      <c r="AI131" s="14" t="s">
        <v>2129</v>
      </c>
      <c r="AJ131" s="14" t="s">
        <v>2130</v>
      </c>
      <c r="AK131" s="14" t="s">
        <v>2055</v>
      </c>
      <c r="AL131" s="14" t="s">
        <v>2055</v>
      </c>
      <c r="AM131" s="14" t="s">
        <v>2055</v>
      </c>
      <c r="AN131" s="14" t="s">
        <v>2068</v>
      </c>
      <c r="AO131" s="14" t="s">
        <v>2048</v>
      </c>
      <c r="AP131" s="14" t="s">
        <v>2048</v>
      </c>
      <c r="AQ131" s="14" t="s">
        <v>2048</v>
      </c>
      <c r="AR131" s="14" t="s">
        <v>4132</v>
      </c>
      <c r="AS131" s="14" t="s">
        <v>89</v>
      </c>
      <c r="AT131" s="14" t="s">
        <v>3191</v>
      </c>
      <c r="AU131" s="14" t="s">
        <v>2059</v>
      </c>
      <c r="AV131" s="14" t="s">
        <v>2060</v>
      </c>
      <c r="AW131" s="14" t="s">
        <v>2048</v>
      </c>
      <c r="AX131" s="14" t="s">
        <v>2048</v>
      </c>
      <c r="AY131" s="14" t="s">
        <v>4183</v>
      </c>
      <c r="AZ131" s="14" t="s">
        <v>4184</v>
      </c>
      <c r="BA131" s="14" t="s">
        <v>2048</v>
      </c>
      <c r="BB131" s="14" t="s">
        <v>2048</v>
      </c>
      <c r="BC131" s="14" t="s">
        <v>102</v>
      </c>
      <c r="BD131" s="14" t="s">
        <v>654</v>
      </c>
      <c r="BE131" s="14" t="s">
        <v>4185</v>
      </c>
      <c r="BF131" s="14" t="s">
        <v>2048</v>
      </c>
      <c r="BG131" s="14" t="s">
        <v>2048</v>
      </c>
      <c r="BH131" s="14" t="s">
        <v>2080</v>
      </c>
      <c r="BI131" s="14" t="s">
        <v>2081</v>
      </c>
      <c r="BJ131" s="14" t="s">
        <v>4186</v>
      </c>
      <c r="BK131" s="14" t="s">
        <v>4187</v>
      </c>
      <c r="BL131" s="14" t="s">
        <v>4188</v>
      </c>
      <c r="BM131" s="14" t="s">
        <v>2085</v>
      </c>
      <c r="BN131" s="14" t="s">
        <v>2048</v>
      </c>
      <c r="BO131" s="14" t="s">
        <v>2048</v>
      </c>
      <c r="BP131" s="14" t="s">
        <v>2064</v>
      </c>
      <c r="BQ131" s="14" t="s">
        <v>72</v>
      </c>
      <c r="BR131" s="14" t="s">
        <v>72</v>
      </c>
      <c r="BS131" s="14" t="s">
        <v>2048</v>
      </c>
      <c r="BT131" s="14" t="s">
        <v>2048</v>
      </c>
      <c r="BU131" s="14" t="s">
        <v>2048</v>
      </c>
      <c r="BV131" s="14" t="s">
        <v>2418</v>
      </c>
      <c r="BW131" s="14" t="s">
        <v>2089</v>
      </c>
      <c r="BX131" s="14" t="s">
        <v>2048</v>
      </c>
      <c r="BY131" s="14" t="s">
        <v>2048</v>
      </c>
      <c r="BZ131" s="14" t="s">
        <v>2048</v>
      </c>
      <c r="CA131" s="14" t="s">
        <v>2048</v>
      </c>
      <c r="CB131" s="14" t="s">
        <v>72</v>
      </c>
      <c r="CC131" s="14" t="s">
        <v>2048</v>
      </c>
      <c r="CD131" s="14" t="s">
        <v>2048</v>
      </c>
      <c r="CE131" s="14" t="s">
        <v>2048</v>
      </c>
      <c r="CF131" s="14" t="s">
        <v>2048</v>
      </c>
      <c r="CG131" s="14" t="s">
        <v>2048</v>
      </c>
      <c r="CH131" s="14" t="s">
        <v>2048</v>
      </c>
      <c r="CI131" s="14" t="s">
        <v>2048</v>
      </c>
      <c r="CJ131" s="14" t="s">
        <v>2048</v>
      </c>
      <c r="CK131" s="14" t="s">
        <v>2057</v>
      </c>
      <c r="CL131" s="14" t="s">
        <v>2090</v>
      </c>
      <c r="CM131" s="14" t="s">
        <v>2048</v>
      </c>
      <c r="CN131" s="17"/>
      <c r="CO131" s="17">
        <v>45323</v>
      </c>
      <c r="CP131" s="17">
        <v>45323</v>
      </c>
      <c r="CR131" s="17">
        <v>45504</v>
      </c>
      <c r="CS131" s="19">
        <v>0</v>
      </c>
      <c r="CT131" s="19">
        <v>0</v>
      </c>
      <c r="CU131" s="19">
        <v>427.49</v>
      </c>
      <c r="CV131" s="19">
        <v>0</v>
      </c>
      <c r="CW131" s="19">
        <v>427.49</v>
      </c>
      <c r="CX131" s="19">
        <v>517.26</v>
      </c>
      <c r="CY131" s="19">
        <v>0</v>
      </c>
      <c r="CZ131" s="17"/>
      <c r="DA131" s="19">
        <v>0</v>
      </c>
      <c r="DB131" s="17"/>
      <c r="DC131" s="17"/>
      <c r="DD131" s="19">
        <v>0</v>
      </c>
      <c r="DE131" s="17"/>
      <c r="DF131" s="17"/>
      <c r="DG131" s="19">
        <v>100</v>
      </c>
      <c r="DH131" s="17"/>
      <c r="DI131" s="17">
        <v>45657</v>
      </c>
      <c r="DJ131" s="17"/>
      <c r="DK131" s="17"/>
      <c r="DL131" s="19">
        <v>0</v>
      </c>
      <c r="DM131" s="19">
        <v>0</v>
      </c>
    </row>
    <row r="132" spans="1:117" x14ac:dyDescent="0.2">
      <c r="A132" s="14" t="s">
        <v>3610</v>
      </c>
      <c r="B132" s="14" t="s">
        <v>687</v>
      </c>
      <c r="C132" s="14" t="s">
        <v>73</v>
      </c>
      <c r="D132" s="14" t="s">
        <v>200</v>
      </c>
      <c r="E132" s="14" t="s">
        <v>201</v>
      </c>
      <c r="F132" s="14" t="s">
        <v>160</v>
      </c>
      <c r="G132" s="17">
        <v>45512</v>
      </c>
      <c r="H132" s="14" t="s">
        <v>161</v>
      </c>
      <c r="I132" s="14" t="s">
        <v>78</v>
      </c>
      <c r="J132" s="14" t="s">
        <v>359</v>
      </c>
      <c r="K132" s="14" t="s">
        <v>688</v>
      </c>
      <c r="L132" s="14" t="s">
        <v>689</v>
      </c>
      <c r="M132" s="14" t="s">
        <v>690</v>
      </c>
      <c r="N132" s="16">
        <f>COUNTIF($M$3:M132, M132)</f>
        <v>1</v>
      </c>
      <c r="O132" s="16" t="str" cm="1">
        <f t="array" ref="O132">INDEX('[2]ALTA 20242025'!$B$2:$B$241, MATCH(1, ('[2]ALTA 20242025'!$I$2:$I$241=M132)*('[2]ALTA 20242025'!$J$2:$J$241=N132), 0))</f>
        <v>1428KDP</v>
      </c>
      <c r="P132" s="16"/>
      <c r="Q132" s="16"/>
      <c r="R132" s="14" t="s">
        <v>2048</v>
      </c>
      <c r="S132" s="14" t="s">
        <v>2048</v>
      </c>
      <c r="T132" s="14" t="s">
        <v>2048</v>
      </c>
      <c r="U132" s="14" t="s">
        <v>2048</v>
      </c>
      <c r="V132" s="14" t="s">
        <v>3831</v>
      </c>
      <c r="W132" s="14" t="s">
        <v>4245</v>
      </c>
      <c r="X132" s="14" t="s">
        <v>4246</v>
      </c>
      <c r="Y132" s="14" t="s">
        <v>4247</v>
      </c>
      <c r="Z132" s="14" t="s">
        <v>2048</v>
      </c>
      <c r="AA132" s="14" t="s">
        <v>2422</v>
      </c>
      <c r="AB132" s="14" t="s">
        <v>2049</v>
      </c>
      <c r="AC132" s="14" t="s">
        <v>2050</v>
      </c>
      <c r="AD132" s="14" t="s">
        <v>3796</v>
      </c>
      <c r="AE132" s="14" t="s">
        <v>3613</v>
      </c>
      <c r="AF132" s="14" t="s">
        <v>3614</v>
      </c>
      <c r="AG132" s="14" t="s">
        <v>200</v>
      </c>
      <c r="AH132" s="14" t="s">
        <v>3622</v>
      </c>
      <c r="AI132" s="14" t="s">
        <v>2132</v>
      </c>
      <c r="AJ132" s="14" t="s">
        <v>2133</v>
      </c>
      <c r="AK132" s="14" t="s">
        <v>2055</v>
      </c>
      <c r="AL132" s="14" t="s">
        <v>2055</v>
      </c>
      <c r="AM132" s="14" t="s">
        <v>2055</v>
      </c>
      <c r="AN132" s="14" t="s">
        <v>2068</v>
      </c>
      <c r="AO132" s="14" t="s">
        <v>2048</v>
      </c>
      <c r="AP132" s="14" t="s">
        <v>2048</v>
      </c>
      <c r="AQ132" s="14" t="s">
        <v>2048</v>
      </c>
      <c r="AR132" s="14" t="s">
        <v>2048</v>
      </c>
      <c r="AS132" s="14" t="s">
        <v>3615</v>
      </c>
      <c r="AT132" s="14" t="s">
        <v>3767</v>
      </c>
      <c r="AU132" s="14" t="s">
        <v>4248</v>
      </c>
      <c r="AV132" s="14" t="s">
        <v>4249</v>
      </c>
      <c r="AW132" s="14" t="s">
        <v>4250</v>
      </c>
      <c r="AX132" s="14" t="s">
        <v>2048</v>
      </c>
      <c r="AY132" s="14" t="s">
        <v>2279</v>
      </c>
      <c r="AZ132" s="14" t="s">
        <v>2280</v>
      </c>
      <c r="BA132" s="14" t="s">
        <v>3627</v>
      </c>
      <c r="BB132" s="14" t="s">
        <v>2048</v>
      </c>
      <c r="BC132" s="14" t="s">
        <v>689</v>
      </c>
      <c r="BD132" s="14" t="s">
        <v>691</v>
      </c>
      <c r="BE132" s="14" t="s">
        <v>2281</v>
      </c>
      <c r="BF132" s="14" t="s">
        <v>2048</v>
      </c>
      <c r="BG132" s="14" t="s">
        <v>2048</v>
      </c>
      <c r="BH132" s="14" t="s">
        <v>2282</v>
      </c>
      <c r="BI132" s="14" t="s">
        <v>2283</v>
      </c>
      <c r="BJ132" s="14" t="s">
        <v>2284</v>
      </c>
      <c r="BK132" s="14" t="s">
        <v>2285</v>
      </c>
      <c r="BL132" s="14" t="s">
        <v>2286</v>
      </c>
      <c r="BM132" s="14" t="s">
        <v>2287</v>
      </c>
      <c r="BN132" s="14" t="s">
        <v>2048</v>
      </c>
      <c r="BO132" s="14" t="s">
        <v>2048</v>
      </c>
      <c r="BP132" s="14" t="s">
        <v>2064</v>
      </c>
      <c r="BQ132" s="14" t="s">
        <v>72</v>
      </c>
      <c r="BR132" s="14" t="s">
        <v>72</v>
      </c>
      <c r="BS132" s="14" t="s">
        <v>4251</v>
      </c>
      <c r="BT132" s="14" t="s">
        <v>2568</v>
      </c>
      <c r="BU132" s="14" t="s">
        <v>2558</v>
      </c>
      <c r="BV132" s="14" t="s">
        <v>2331</v>
      </c>
      <c r="BW132" s="14" t="s">
        <v>2131</v>
      </c>
      <c r="BX132" s="14" t="s">
        <v>2048</v>
      </c>
      <c r="BY132" s="14" t="s">
        <v>2048</v>
      </c>
      <c r="BZ132" s="14" t="s">
        <v>2048</v>
      </c>
      <c r="CA132" s="14" t="s">
        <v>2048</v>
      </c>
      <c r="CB132" s="14" t="s">
        <v>72</v>
      </c>
      <c r="CC132" s="14" t="s">
        <v>2048</v>
      </c>
      <c r="CD132" s="14" t="s">
        <v>2048</v>
      </c>
      <c r="CE132" s="14" t="s">
        <v>2048</v>
      </c>
      <c r="CF132" s="14" t="s">
        <v>2048</v>
      </c>
      <c r="CG132" s="14" t="s">
        <v>2048</v>
      </c>
      <c r="CH132" s="14" t="s">
        <v>2048</v>
      </c>
      <c r="CI132" s="14" t="s">
        <v>2048</v>
      </c>
      <c r="CJ132" s="14" t="s">
        <v>2048</v>
      </c>
      <c r="CK132" s="14" t="s">
        <v>2068</v>
      </c>
      <c r="CL132" s="14" t="s">
        <v>2069</v>
      </c>
      <c r="CM132" s="14" t="s">
        <v>2048</v>
      </c>
      <c r="CN132" s="17"/>
      <c r="CO132" s="17">
        <v>43685</v>
      </c>
      <c r="CP132" s="17">
        <v>43685</v>
      </c>
      <c r="CR132" s="17">
        <v>45639</v>
      </c>
      <c r="CS132" s="19">
        <v>60</v>
      </c>
      <c r="CT132" s="19">
        <v>0</v>
      </c>
      <c r="CU132" s="19">
        <v>304.75</v>
      </c>
      <c r="CV132" s="19">
        <v>0</v>
      </c>
      <c r="CW132" s="19">
        <v>304.75</v>
      </c>
      <c r="CX132" s="19">
        <v>368.75</v>
      </c>
      <c r="CY132" s="19">
        <v>0</v>
      </c>
      <c r="CZ132" s="17"/>
      <c r="DA132" s="20">
        <v>21664403</v>
      </c>
      <c r="DB132" s="17">
        <v>45708</v>
      </c>
      <c r="DC132" s="17"/>
      <c r="DD132" s="19">
        <v>0</v>
      </c>
      <c r="DE132" s="17"/>
      <c r="DF132" s="17"/>
      <c r="DG132" s="19">
        <v>100</v>
      </c>
      <c r="DH132" s="17"/>
      <c r="DI132" s="17">
        <v>46022</v>
      </c>
      <c r="DJ132" s="17"/>
      <c r="DK132" s="17"/>
      <c r="DL132" s="19">
        <v>0</v>
      </c>
      <c r="DM132" s="19">
        <v>0</v>
      </c>
    </row>
    <row r="133" spans="1:117" x14ac:dyDescent="0.2">
      <c r="A133" s="14" t="s">
        <v>3610</v>
      </c>
      <c r="B133" s="14" t="s">
        <v>695</v>
      </c>
      <c r="C133" s="14" t="s">
        <v>73</v>
      </c>
      <c r="D133" s="14" t="s">
        <v>74</v>
      </c>
      <c r="E133" s="14" t="s">
        <v>75</v>
      </c>
      <c r="F133" s="14" t="s">
        <v>76</v>
      </c>
      <c r="G133" s="17">
        <v>45516</v>
      </c>
      <c r="H133" s="14" t="s">
        <v>77</v>
      </c>
      <c r="I133" s="14" t="s">
        <v>78</v>
      </c>
      <c r="J133" s="14" t="s">
        <v>85</v>
      </c>
      <c r="K133" s="14" t="s">
        <v>642</v>
      </c>
      <c r="L133" s="14" t="s">
        <v>102</v>
      </c>
      <c r="M133" s="14" t="s">
        <v>103</v>
      </c>
      <c r="N133" s="16">
        <f>COUNTIF($M$3:M133, M133)</f>
        <v>35</v>
      </c>
      <c r="O133" s="16" t="str" cm="1">
        <f t="array" ref="O133">INDEX('[2]ALTA 20242025'!$B$2:$B$241, MATCH(1, ('[2]ALTA 20242025'!$I$2:$I$241=M133)*('[2]ALTA 20242025'!$J$2:$J$241=N133), 0))</f>
        <v>6445MWV</v>
      </c>
      <c r="P133" s="16"/>
      <c r="Q133" s="16"/>
      <c r="R133" s="14" t="s">
        <v>2048</v>
      </c>
      <c r="S133" s="14" t="s">
        <v>2048</v>
      </c>
      <c r="T133" s="14" t="s">
        <v>2048</v>
      </c>
      <c r="U133" s="14" t="s">
        <v>2048</v>
      </c>
      <c r="V133" s="14" t="s">
        <v>3452</v>
      </c>
      <c r="W133" s="14" t="s">
        <v>3858</v>
      </c>
      <c r="X133" s="14" t="s">
        <v>4252</v>
      </c>
      <c r="Y133" s="14" t="s">
        <v>4253</v>
      </c>
      <c r="Z133" s="14" t="s">
        <v>2048</v>
      </c>
      <c r="AA133" s="14" t="s">
        <v>2422</v>
      </c>
      <c r="AB133" s="14" t="s">
        <v>2049</v>
      </c>
      <c r="AC133" s="14" t="s">
        <v>2050</v>
      </c>
      <c r="AD133" s="14" t="s">
        <v>2048</v>
      </c>
      <c r="AE133" s="14" t="s">
        <v>2048</v>
      </c>
      <c r="AF133" s="14" t="s">
        <v>2048</v>
      </c>
      <c r="AG133" s="14" t="s">
        <v>2048</v>
      </c>
      <c r="AH133" s="14" t="s">
        <v>2048</v>
      </c>
      <c r="AI133" s="14" t="s">
        <v>2129</v>
      </c>
      <c r="AJ133" s="14" t="s">
        <v>2130</v>
      </c>
      <c r="AK133" s="14" t="s">
        <v>2055</v>
      </c>
      <c r="AL133" s="14" t="s">
        <v>2055</v>
      </c>
      <c r="AM133" s="14" t="s">
        <v>2055</v>
      </c>
      <c r="AN133" s="14" t="s">
        <v>2068</v>
      </c>
      <c r="AO133" s="14" t="s">
        <v>2048</v>
      </c>
      <c r="AP133" s="14" t="s">
        <v>2048</v>
      </c>
      <c r="AQ133" s="14" t="s">
        <v>2048</v>
      </c>
      <c r="AR133" s="14" t="s">
        <v>2525</v>
      </c>
      <c r="AS133" s="14" t="s">
        <v>89</v>
      </c>
      <c r="AT133" s="14" t="s">
        <v>3440</v>
      </c>
      <c r="AU133" s="14" t="s">
        <v>2059</v>
      </c>
      <c r="AV133" s="14" t="s">
        <v>2060</v>
      </c>
      <c r="AW133" s="14" t="s">
        <v>2048</v>
      </c>
      <c r="AX133" s="14" t="s">
        <v>2048</v>
      </c>
      <c r="AY133" s="14" t="s">
        <v>2526</v>
      </c>
      <c r="AZ133" s="14" t="s">
        <v>2527</v>
      </c>
      <c r="BA133" s="14" t="s">
        <v>2048</v>
      </c>
      <c r="BB133" s="14" t="s">
        <v>2048</v>
      </c>
      <c r="BC133" s="14" t="s">
        <v>102</v>
      </c>
      <c r="BD133" s="14" t="s">
        <v>696</v>
      </c>
      <c r="BE133" s="14" t="s">
        <v>2528</v>
      </c>
      <c r="BF133" s="14" t="s">
        <v>2048</v>
      </c>
      <c r="BG133" s="14" t="s">
        <v>2048</v>
      </c>
      <c r="BH133" s="14" t="s">
        <v>2080</v>
      </c>
      <c r="BI133" s="14" t="s">
        <v>2081</v>
      </c>
      <c r="BJ133" s="14" t="s">
        <v>2529</v>
      </c>
      <c r="BK133" s="14" t="s">
        <v>2530</v>
      </c>
      <c r="BL133" s="14" t="s">
        <v>2531</v>
      </c>
      <c r="BM133" s="14" t="s">
        <v>2085</v>
      </c>
      <c r="BN133" s="14" t="s">
        <v>2048</v>
      </c>
      <c r="BO133" s="14" t="s">
        <v>2048</v>
      </c>
      <c r="BP133" s="14" t="s">
        <v>2064</v>
      </c>
      <c r="BQ133" s="14" t="s">
        <v>72</v>
      </c>
      <c r="BR133" s="14" t="s">
        <v>72</v>
      </c>
      <c r="BS133" s="14" t="s">
        <v>2048</v>
      </c>
      <c r="BT133" s="14" t="s">
        <v>2048</v>
      </c>
      <c r="BU133" s="14" t="s">
        <v>2048</v>
      </c>
      <c r="BV133" s="14" t="s">
        <v>2418</v>
      </c>
      <c r="BW133" s="14" t="s">
        <v>2089</v>
      </c>
      <c r="BX133" s="14" t="s">
        <v>2048</v>
      </c>
      <c r="BY133" s="14" t="s">
        <v>2048</v>
      </c>
      <c r="BZ133" s="14" t="s">
        <v>2048</v>
      </c>
      <c r="CA133" s="14" t="s">
        <v>2048</v>
      </c>
      <c r="CB133" s="14" t="s">
        <v>72</v>
      </c>
      <c r="CC133" s="14" t="s">
        <v>2048</v>
      </c>
      <c r="CD133" s="14" t="s">
        <v>2048</v>
      </c>
      <c r="CE133" s="14" t="s">
        <v>2048</v>
      </c>
      <c r="CF133" s="14" t="s">
        <v>2048</v>
      </c>
      <c r="CG133" s="14" t="s">
        <v>2048</v>
      </c>
      <c r="CH133" s="14" t="s">
        <v>2048</v>
      </c>
      <c r="CI133" s="14" t="s">
        <v>2048</v>
      </c>
      <c r="CJ133" s="14" t="s">
        <v>2048</v>
      </c>
      <c r="CK133" s="14" t="s">
        <v>2057</v>
      </c>
      <c r="CL133" s="14" t="s">
        <v>2090</v>
      </c>
      <c r="CM133" s="14" t="s">
        <v>2048</v>
      </c>
      <c r="CN133" s="17"/>
      <c r="CO133" s="17">
        <v>45447</v>
      </c>
      <c r="CP133" s="17">
        <v>45447</v>
      </c>
      <c r="CR133" s="17">
        <v>45516</v>
      </c>
      <c r="CS133" s="19">
        <v>0</v>
      </c>
      <c r="CT133" s="19">
        <v>0</v>
      </c>
      <c r="CU133" s="19">
        <v>427.49</v>
      </c>
      <c r="CV133" s="19">
        <v>0</v>
      </c>
      <c r="CW133" s="19">
        <v>427.49</v>
      </c>
      <c r="CX133" s="19">
        <v>517.26</v>
      </c>
      <c r="CY133" s="19">
        <v>0</v>
      </c>
      <c r="CZ133" s="17"/>
      <c r="DA133" s="19">
        <v>0</v>
      </c>
      <c r="DB133" s="17"/>
      <c r="DC133" s="17"/>
      <c r="DD133" s="19">
        <v>0</v>
      </c>
      <c r="DE133" s="17"/>
      <c r="DF133" s="17"/>
      <c r="DG133" s="19">
        <v>100</v>
      </c>
      <c r="DH133" s="17"/>
      <c r="DI133" s="17">
        <v>45657</v>
      </c>
      <c r="DJ133" s="17"/>
      <c r="DK133" s="17"/>
      <c r="DL133" s="19">
        <v>0</v>
      </c>
      <c r="DM133" s="19">
        <v>0</v>
      </c>
    </row>
    <row r="134" spans="1:117" x14ac:dyDescent="0.2">
      <c r="A134" s="14" t="s">
        <v>3610</v>
      </c>
      <c r="B134" s="14" t="s">
        <v>702</v>
      </c>
      <c r="C134" s="14" t="s">
        <v>73</v>
      </c>
      <c r="D134" s="14" t="s">
        <v>74</v>
      </c>
      <c r="E134" s="14" t="s">
        <v>75</v>
      </c>
      <c r="F134" s="14" t="s">
        <v>76</v>
      </c>
      <c r="G134" s="17">
        <v>45516</v>
      </c>
      <c r="H134" s="14" t="s">
        <v>77</v>
      </c>
      <c r="I134" s="14" t="s">
        <v>78</v>
      </c>
      <c r="J134" s="14" t="s">
        <v>85</v>
      </c>
      <c r="K134" s="14" t="s">
        <v>642</v>
      </c>
      <c r="L134" s="14" t="s">
        <v>102</v>
      </c>
      <c r="M134" s="14" t="s">
        <v>103</v>
      </c>
      <c r="N134" s="16">
        <f>COUNTIF($M$3:M134, M134)</f>
        <v>36</v>
      </c>
      <c r="O134" s="16" t="str" cm="1">
        <f t="array" ref="O134">INDEX('[2]ALTA 20242025'!$B$2:$B$241, MATCH(1, ('[2]ALTA 20242025'!$I$2:$I$241=M134)*('[2]ALTA 20242025'!$J$2:$J$241=N134), 0))</f>
        <v>6847MWL</v>
      </c>
      <c r="P134" s="16"/>
      <c r="Q134" s="16"/>
      <c r="R134" s="14" t="s">
        <v>2048</v>
      </c>
      <c r="S134" s="14" t="s">
        <v>2048</v>
      </c>
      <c r="T134" s="14" t="s">
        <v>2048</v>
      </c>
      <c r="U134" s="14" t="s">
        <v>2048</v>
      </c>
      <c r="V134" s="14" t="s">
        <v>3452</v>
      </c>
      <c r="W134" s="14" t="s">
        <v>3858</v>
      </c>
      <c r="X134" s="14" t="s">
        <v>4254</v>
      </c>
      <c r="Y134" s="14" t="s">
        <v>4255</v>
      </c>
      <c r="Z134" s="14" t="s">
        <v>2048</v>
      </c>
      <c r="AA134" s="14" t="s">
        <v>2422</v>
      </c>
      <c r="AB134" s="14" t="s">
        <v>2049</v>
      </c>
      <c r="AC134" s="14" t="s">
        <v>2050</v>
      </c>
      <c r="AD134" s="14" t="s">
        <v>2048</v>
      </c>
      <c r="AE134" s="14" t="s">
        <v>2048</v>
      </c>
      <c r="AF134" s="14" t="s">
        <v>2048</v>
      </c>
      <c r="AG134" s="14" t="s">
        <v>2048</v>
      </c>
      <c r="AH134" s="14" t="s">
        <v>2048</v>
      </c>
      <c r="AI134" s="14" t="s">
        <v>2129</v>
      </c>
      <c r="AJ134" s="14" t="s">
        <v>2130</v>
      </c>
      <c r="AK134" s="14" t="s">
        <v>2055</v>
      </c>
      <c r="AL134" s="14" t="s">
        <v>2055</v>
      </c>
      <c r="AM134" s="14" t="s">
        <v>2055</v>
      </c>
      <c r="AN134" s="14" t="s">
        <v>2068</v>
      </c>
      <c r="AO134" s="14" t="s">
        <v>2048</v>
      </c>
      <c r="AP134" s="14" t="s">
        <v>2048</v>
      </c>
      <c r="AQ134" s="14" t="s">
        <v>2048</v>
      </c>
      <c r="AR134" s="14" t="s">
        <v>2525</v>
      </c>
      <c r="AS134" s="14" t="s">
        <v>89</v>
      </c>
      <c r="AT134" s="14" t="s">
        <v>3440</v>
      </c>
      <c r="AU134" s="14" t="s">
        <v>2059</v>
      </c>
      <c r="AV134" s="14" t="s">
        <v>2060</v>
      </c>
      <c r="AW134" s="14" t="s">
        <v>2048</v>
      </c>
      <c r="AX134" s="14" t="s">
        <v>2048</v>
      </c>
      <c r="AY134" s="14" t="s">
        <v>2526</v>
      </c>
      <c r="AZ134" s="14" t="s">
        <v>2527</v>
      </c>
      <c r="BA134" s="14" t="s">
        <v>2048</v>
      </c>
      <c r="BB134" s="14" t="s">
        <v>2048</v>
      </c>
      <c r="BC134" s="14" t="s">
        <v>102</v>
      </c>
      <c r="BD134" s="14" t="s">
        <v>696</v>
      </c>
      <c r="BE134" s="14" t="s">
        <v>2528</v>
      </c>
      <c r="BF134" s="14" t="s">
        <v>2048</v>
      </c>
      <c r="BG134" s="14" t="s">
        <v>2048</v>
      </c>
      <c r="BH134" s="14" t="s">
        <v>2080</v>
      </c>
      <c r="BI134" s="14" t="s">
        <v>2081</v>
      </c>
      <c r="BJ134" s="14" t="s">
        <v>2529</v>
      </c>
      <c r="BK134" s="14" t="s">
        <v>2530</v>
      </c>
      <c r="BL134" s="14" t="s">
        <v>2531</v>
      </c>
      <c r="BM134" s="14" t="s">
        <v>2085</v>
      </c>
      <c r="BN134" s="14" t="s">
        <v>2048</v>
      </c>
      <c r="BO134" s="14" t="s">
        <v>2048</v>
      </c>
      <c r="BP134" s="14" t="s">
        <v>2064</v>
      </c>
      <c r="BQ134" s="14" t="s">
        <v>72</v>
      </c>
      <c r="BR134" s="14" t="s">
        <v>72</v>
      </c>
      <c r="BS134" s="14" t="s">
        <v>2048</v>
      </c>
      <c r="BT134" s="14" t="s">
        <v>2048</v>
      </c>
      <c r="BU134" s="14" t="s">
        <v>2048</v>
      </c>
      <c r="BV134" s="14" t="s">
        <v>2418</v>
      </c>
      <c r="BW134" s="14" t="s">
        <v>2089</v>
      </c>
      <c r="BX134" s="14" t="s">
        <v>2048</v>
      </c>
      <c r="BY134" s="14" t="s">
        <v>2048</v>
      </c>
      <c r="BZ134" s="14" t="s">
        <v>2048</v>
      </c>
      <c r="CA134" s="14" t="s">
        <v>2048</v>
      </c>
      <c r="CB134" s="14" t="s">
        <v>72</v>
      </c>
      <c r="CC134" s="14" t="s">
        <v>2048</v>
      </c>
      <c r="CD134" s="14" t="s">
        <v>2048</v>
      </c>
      <c r="CE134" s="14" t="s">
        <v>2048</v>
      </c>
      <c r="CF134" s="14" t="s">
        <v>2048</v>
      </c>
      <c r="CG134" s="14" t="s">
        <v>2048</v>
      </c>
      <c r="CH134" s="14" t="s">
        <v>2048</v>
      </c>
      <c r="CI134" s="14" t="s">
        <v>2048</v>
      </c>
      <c r="CJ134" s="14" t="s">
        <v>2048</v>
      </c>
      <c r="CK134" s="14" t="s">
        <v>2057</v>
      </c>
      <c r="CL134" s="14" t="s">
        <v>2090</v>
      </c>
      <c r="CM134" s="14" t="s">
        <v>2048</v>
      </c>
      <c r="CN134" s="17"/>
      <c r="CO134" s="17">
        <v>45447</v>
      </c>
      <c r="CP134" s="17">
        <v>45447</v>
      </c>
      <c r="CR134" s="17">
        <v>45516</v>
      </c>
      <c r="CS134" s="19">
        <v>0</v>
      </c>
      <c r="CT134" s="19">
        <v>0</v>
      </c>
      <c r="CU134" s="19">
        <v>427.49</v>
      </c>
      <c r="CV134" s="19">
        <v>0</v>
      </c>
      <c r="CW134" s="19">
        <v>427.49</v>
      </c>
      <c r="CX134" s="19">
        <v>517.26</v>
      </c>
      <c r="CY134" s="19">
        <v>0</v>
      </c>
      <c r="CZ134" s="17"/>
      <c r="DA134" s="19">
        <v>0</v>
      </c>
      <c r="DB134" s="17"/>
      <c r="DC134" s="17"/>
      <c r="DD134" s="19">
        <v>0</v>
      </c>
      <c r="DE134" s="17"/>
      <c r="DF134" s="17"/>
      <c r="DG134" s="19">
        <v>100</v>
      </c>
      <c r="DH134" s="17"/>
      <c r="DI134" s="17">
        <v>45657</v>
      </c>
      <c r="DJ134" s="17"/>
      <c r="DK134" s="17"/>
      <c r="DL134" s="19">
        <v>0</v>
      </c>
      <c r="DM134" s="19">
        <v>0</v>
      </c>
    </row>
    <row r="135" spans="1:117" x14ac:dyDescent="0.2">
      <c r="A135" s="14" t="s">
        <v>3610</v>
      </c>
      <c r="B135" s="14" t="s">
        <v>707</v>
      </c>
      <c r="C135" s="14" t="s">
        <v>73</v>
      </c>
      <c r="D135" s="14" t="s">
        <v>74</v>
      </c>
      <c r="E135" s="14" t="s">
        <v>75</v>
      </c>
      <c r="F135" s="14" t="s">
        <v>76</v>
      </c>
      <c r="G135" s="17">
        <v>45516</v>
      </c>
      <c r="H135" s="14" t="s">
        <v>77</v>
      </c>
      <c r="I135" s="14" t="s">
        <v>78</v>
      </c>
      <c r="J135" s="14" t="s">
        <v>85</v>
      </c>
      <c r="K135" s="14" t="s">
        <v>642</v>
      </c>
      <c r="L135" s="14" t="s">
        <v>102</v>
      </c>
      <c r="M135" s="14" t="s">
        <v>103</v>
      </c>
      <c r="N135" s="16">
        <f>COUNTIF($M$3:M135, M135)</f>
        <v>37</v>
      </c>
      <c r="O135" s="16" t="str" cm="1">
        <f t="array" ref="O135">INDEX('[2]ALTA 20242025'!$B$2:$B$241, MATCH(1, ('[2]ALTA 20242025'!$I$2:$I$241=M135)*('[2]ALTA 20242025'!$J$2:$J$241=N135), 0))</f>
        <v>8597MWT</v>
      </c>
      <c r="P135" s="16"/>
      <c r="Q135" s="16"/>
      <c r="R135" s="14" t="s">
        <v>2048</v>
      </c>
      <c r="S135" s="14" t="s">
        <v>2048</v>
      </c>
      <c r="T135" s="14" t="s">
        <v>2048</v>
      </c>
      <c r="U135" s="14" t="s">
        <v>2048</v>
      </c>
      <c r="V135" s="14" t="s">
        <v>3452</v>
      </c>
      <c r="W135" s="14" t="s">
        <v>3858</v>
      </c>
      <c r="X135" s="14" t="s">
        <v>4256</v>
      </c>
      <c r="Y135" s="14" t="s">
        <v>4257</v>
      </c>
      <c r="Z135" s="14" t="s">
        <v>2048</v>
      </c>
      <c r="AA135" s="14" t="s">
        <v>2422</v>
      </c>
      <c r="AB135" s="14" t="s">
        <v>2049</v>
      </c>
      <c r="AC135" s="14" t="s">
        <v>2050</v>
      </c>
      <c r="AD135" s="14" t="s">
        <v>2048</v>
      </c>
      <c r="AE135" s="14" t="s">
        <v>2048</v>
      </c>
      <c r="AF135" s="14" t="s">
        <v>2048</v>
      </c>
      <c r="AG135" s="14" t="s">
        <v>2048</v>
      </c>
      <c r="AH135" s="14" t="s">
        <v>2048</v>
      </c>
      <c r="AI135" s="14" t="s">
        <v>2129</v>
      </c>
      <c r="AJ135" s="14" t="s">
        <v>2130</v>
      </c>
      <c r="AK135" s="14" t="s">
        <v>2055</v>
      </c>
      <c r="AL135" s="14" t="s">
        <v>2055</v>
      </c>
      <c r="AM135" s="14" t="s">
        <v>2055</v>
      </c>
      <c r="AN135" s="14" t="s">
        <v>2068</v>
      </c>
      <c r="AO135" s="14" t="s">
        <v>2048</v>
      </c>
      <c r="AP135" s="14" t="s">
        <v>2048</v>
      </c>
      <c r="AQ135" s="14" t="s">
        <v>2048</v>
      </c>
      <c r="AR135" s="14" t="s">
        <v>2525</v>
      </c>
      <c r="AS135" s="14" t="s">
        <v>89</v>
      </c>
      <c r="AT135" s="14" t="s">
        <v>3440</v>
      </c>
      <c r="AU135" s="14" t="s">
        <v>2059</v>
      </c>
      <c r="AV135" s="14" t="s">
        <v>2060</v>
      </c>
      <c r="AW135" s="14" t="s">
        <v>2048</v>
      </c>
      <c r="AX135" s="14" t="s">
        <v>2048</v>
      </c>
      <c r="AY135" s="14" t="s">
        <v>2526</v>
      </c>
      <c r="AZ135" s="14" t="s">
        <v>2527</v>
      </c>
      <c r="BA135" s="14" t="s">
        <v>2048</v>
      </c>
      <c r="BB135" s="14" t="s">
        <v>2048</v>
      </c>
      <c r="BC135" s="14" t="s">
        <v>102</v>
      </c>
      <c r="BD135" s="14" t="s">
        <v>696</v>
      </c>
      <c r="BE135" s="14" t="s">
        <v>2528</v>
      </c>
      <c r="BF135" s="14" t="s">
        <v>2048</v>
      </c>
      <c r="BG135" s="14" t="s">
        <v>2048</v>
      </c>
      <c r="BH135" s="14" t="s">
        <v>2080</v>
      </c>
      <c r="BI135" s="14" t="s">
        <v>2081</v>
      </c>
      <c r="BJ135" s="14" t="s">
        <v>2529</v>
      </c>
      <c r="BK135" s="14" t="s">
        <v>2530</v>
      </c>
      <c r="BL135" s="14" t="s">
        <v>2531</v>
      </c>
      <c r="BM135" s="14" t="s">
        <v>2085</v>
      </c>
      <c r="BN135" s="14" t="s">
        <v>2048</v>
      </c>
      <c r="BO135" s="14" t="s">
        <v>2048</v>
      </c>
      <c r="BP135" s="14" t="s">
        <v>2064</v>
      </c>
      <c r="BQ135" s="14" t="s">
        <v>72</v>
      </c>
      <c r="BR135" s="14" t="s">
        <v>72</v>
      </c>
      <c r="BS135" s="14" t="s">
        <v>2048</v>
      </c>
      <c r="BT135" s="14" t="s">
        <v>2048</v>
      </c>
      <c r="BU135" s="14" t="s">
        <v>2048</v>
      </c>
      <c r="BV135" s="14" t="s">
        <v>2418</v>
      </c>
      <c r="BW135" s="14" t="s">
        <v>2089</v>
      </c>
      <c r="BX135" s="14" t="s">
        <v>2048</v>
      </c>
      <c r="BY135" s="14" t="s">
        <v>2048</v>
      </c>
      <c r="BZ135" s="14" t="s">
        <v>2048</v>
      </c>
      <c r="CA135" s="14" t="s">
        <v>2048</v>
      </c>
      <c r="CB135" s="14" t="s">
        <v>72</v>
      </c>
      <c r="CC135" s="14" t="s">
        <v>2048</v>
      </c>
      <c r="CD135" s="14" t="s">
        <v>2048</v>
      </c>
      <c r="CE135" s="14" t="s">
        <v>2048</v>
      </c>
      <c r="CF135" s="14" t="s">
        <v>2048</v>
      </c>
      <c r="CG135" s="14" t="s">
        <v>2048</v>
      </c>
      <c r="CH135" s="14" t="s">
        <v>2048</v>
      </c>
      <c r="CI135" s="14" t="s">
        <v>2048</v>
      </c>
      <c r="CJ135" s="14" t="s">
        <v>2048</v>
      </c>
      <c r="CK135" s="14" t="s">
        <v>2057</v>
      </c>
      <c r="CL135" s="14" t="s">
        <v>2090</v>
      </c>
      <c r="CM135" s="14" t="s">
        <v>2048</v>
      </c>
      <c r="CN135" s="17"/>
      <c r="CO135" s="17">
        <v>45447</v>
      </c>
      <c r="CP135" s="17">
        <v>45447</v>
      </c>
      <c r="CR135" s="17">
        <v>45516</v>
      </c>
      <c r="CS135" s="19">
        <v>0</v>
      </c>
      <c r="CT135" s="19">
        <v>0</v>
      </c>
      <c r="CU135" s="19">
        <v>427.49</v>
      </c>
      <c r="CV135" s="19">
        <v>0</v>
      </c>
      <c r="CW135" s="19">
        <v>427.49</v>
      </c>
      <c r="CX135" s="19">
        <v>517.26</v>
      </c>
      <c r="CY135" s="19">
        <v>0</v>
      </c>
      <c r="CZ135" s="17"/>
      <c r="DA135" s="19">
        <v>0</v>
      </c>
      <c r="DB135" s="17"/>
      <c r="DC135" s="17"/>
      <c r="DD135" s="19">
        <v>0</v>
      </c>
      <c r="DE135" s="17"/>
      <c r="DF135" s="17"/>
      <c r="DG135" s="19">
        <v>100</v>
      </c>
      <c r="DH135" s="17"/>
      <c r="DI135" s="17">
        <v>45657</v>
      </c>
      <c r="DJ135" s="17"/>
      <c r="DK135" s="17"/>
      <c r="DL135" s="19">
        <v>0</v>
      </c>
      <c r="DM135" s="19">
        <v>0</v>
      </c>
    </row>
    <row r="136" spans="1:117" x14ac:dyDescent="0.2">
      <c r="A136" s="14" t="s">
        <v>3610</v>
      </c>
      <c r="B136" s="14" t="s">
        <v>465</v>
      </c>
      <c r="C136" s="14" t="s">
        <v>466</v>
      </c>
      <c r="D136" s="14" t="s">
        <v>200</v>
      </c>
      <c r="E136" s="14" t="s">
        <v>201</v>
      </c>
      <c r="F136" s="14" t="s">
        <v>76</v>
      </c>
      <c r="G136" s="17">
        <v>45549</v>
      </c>
      <c r="H136" s="14" t="s">
        <v>77</v>
      </c>
      <c r="I136" s="14" t="s">
        <v>78</v>
      </c>
      <c r="J136" s="14" t="s">
        <v>467</v>
      </c>
      <c r="K136" s="14" t="s">
        <v>468</v>
      </c>
      <c r="L136" s="14" t="s">
        <v>469</v>
      </c>
      <c r="M136" s="14" t="s">
        <v>470</v>
      </c>
      <c r="N136" s="16">
        <f>COUNTIF($M$3:M136, M136)</f>
        <v>1</v>
      </c>
      <c r="O136" s="16" t="str" cm="1">
        <f t="array" ref="O136">INDEX('[2]ALTA 20242025'!$B$2:$B$241, MATCH(1, ('[2]ALTA 20242025'!$I$2:$I$241=M136)*('[2]ALTA 20242025'!$J$2:$J$241=N136), 0))</f>
        <v>4621MVB</v>
      </c>
      <c r="P136" s="16"/>
      <c r="Q136" s="16"/>
      <c r="R136" s="14" t="s">
        <v>2048</v>
      </c>
      <c r="S136" s="14" t="s">
        <v>2048</v>
      </c>
      <c r="T136" s="14" t="s">
        <v>2048</v>
      </c>
      <c r="U136" s="14" t="s">
        <v>2048</v>
      </c>
      <c r="V136" s="14" t="s">
        <v>3620</v>
      </c>
      <c r="W136" s="14" t="s">
        <v>4258</v>
      </c>
      <c r="X136" s="14" t="s">
        <v>4259</v>
      </c>
      <c r="Y136" s="14" t="s">
        <v>4260</v>
      </c>
      <c r="Z136" s="14" t="s">
        <v>2048</v>
      </c>
      <c r="AA136" s="14" t="s">
        <v>2422</v>
      </c>
      <c r="AB136" s="14" t="s">
        <v>2049</v>
      </c>
      <c r="AC136" s="14" t="s">
        <v>2050</v>
      </c>
      <c r="AD136" s="14" t="s">
        <v>3612</v>
      </c>
      <c r="AE136" s="14" t="s">
        <v>3613</v>
      </c>
      <c r="AF136" s="14" t="s">
        <v>3614</v>
      </c>
      <c r="AG136" s="14" t="s">
        <v>200</v>
      </c>
      <c r="AH136" s="14" t="s">
        <v>3622</v>
      </c>
      <c r="AI136" s="14" t="s">
        <v>2072</v>
      </c>
      <c r="AJ136" s="14" t="s">
        <v>2073</v>
      </c>
      <c r="AK136" s="14" t="s">
        <v>2056</v>
      </c>
      <c r="AL136" s="14" t="s">
        <v>2056</v>
      </c>
      <c r="AM136" s="14" t="s">
        <v>2055</v>
      </c>
      <c r="AN136" s="14" t="s">
        <v>2068</v>
      </c>
      <c r="AO136" s="14" t="s">
        <v>2048</v>
      </c>
      <c r="AP136" s="14" t="s">
        <v>2048</v>
      </c>
      <c r="AQ136" s="14" t="s">
        <v>2048</v>
      </c>
      <c r="AR136" s="14" t="s">
        <v>3068</v>
      </c>
      <c r="AS136" s="14" t="s">
        <v>3623</v>
      </c>
      <c r="AT136" s="14" t="s">
        <v>2862</v>
      </c>
      <c r="AU136" s="14" t="s">
        <v>2059</v>
      </c>
      <c r="AV136" s="14" t="s">
        <v>2060</v>
      </c>
      <c r="AW136" s="14" t="s">
        <v>2048</v>
      </c>
      <c r="AX136" s="14" t="s">
        <v>2048</v>
      </c>
      <c r="AY136" s="14" t="s">
        <v>2863</v>
      </c>
      <c r="AZ136" s="14" t="s">
        <v>2864</v>
      </c>
      <c r="BA136" s="14" t="s">
        <v>4261</v>
      </c>
      <c r="BB136" s="14" t="s">
        <v>2048</v>
      </c>
      <c r="BC136" s="14" t="s">
        <v>469</v>
      </c>
      <c r="BD136" s="14" t="s">
        <v>471</v>
      </c>
      <c r="BE136" s="14" t="s">
        <v>2865</v>
      </c>
      <c r="BF136" s="14" t="s">
        <v>2048</v>
      </c>
      <c r="BG136" s="14" t="s">
        <v>2048</v>
      </c>
      <c r="BH136" s="14" t="s">
        <v>2866</v>
      </c>
      <c r="BI136" s="14" t="s">
        <v>2867</v>
      </c>
      <c r="BJ136" s="14" t="s">
        <v>2048</v>
      </c>
      <c r="BK136" s="14" t="s">
        <v>2048</v>
      </c>
      <c r="BL136" s="14" t="s">
        <v>2868</v>
      </c>
      <c r="BM136" s="14" t="s">
        <v>2287</v>
      </c>
      <c r="BN136" s="14" t="s">
        <v>2048</v>
      </c>
      <c r="BO136" s="14" t="s">
        <v>2048</v>
      </c>
      <c r="BP136" s="14" t="s">
        <v>2064</v>
      </c>
      <c r="BQ136" s="14" t="s">
        <v>72</v>
      </c>
      <c r="BR136" s="14" t="s">
        <v>72</v>
      </c>
      <c r="BS136" s="14" t="s">
        <v>4262</v>
      </c>
      <c r="BT136" s="14" t="s">
        <v>2048</v>
      </c>
      <c r="BU136" s="14" t="s">
        <v>2048</v>
      </c>
      <c r="BV136" s="14" t="s">
        <v>2331</v>
      </c>
      <c r="BW136" s="14" t="s">
        <v>2131</v>
      </c>
      <c r="BX136" s="14" t="s">
        <v>2048</v>
      </c>
      <c r="BY136" s="14" t="s">
        <v>2048</v>
      </c>
      <c r="BZ136" s="14" t="s">
        <v>2048</v>
      </c>
      <c r="CA136" s="14" t="s">
        <v>2048</v>
      </c>
      <c r="CB136" s="14" t="s">
        <v>72</v>
      </c>
      <c r="CC136" s="14" t="s">
        <v>2048</v>
      </c>
      <c r="CD136" s="14" t="s">
        <v>2048</v>
      </c>
      <c r="CE136" s="14" t="s">
        <v>2048</v>
      </c>
      <c r="CF136" s="14" t="s">
        <v>2048</v>
      </c>
      <c r="CG136" s="14" t="s">
        <v>2048</v>
      </c>
      <c r="CH136" s="14" t="s">
        <v>2048</v>
      </c>
      <c r="CI136" s="14" t="s">
        <v>2048</v>
      </c>
      <c r="CJ136" s="14" t="s">
        <v>2048</v>
      </c>
      <c r="CK136" s="14" t="s">
        <v>2057</v>
      </c>
      <c r="CL136" s="14" t="s">
        <v>2090</v>
      </c>
      <c r="CM136" s="14" t="s">
        <v>2048</v>
      </c>
      <c r="CN136" s="17"/>
      <c r="CO136" s="17">
        <v>44088</v>
      </c>
      <c r="CP136" s="17">
        <v>44088</v>
      </c>
      <c r="CR136" s="17">
        <v>45635</v>
      </c>
      <c r="CS136" s="19">
        <v>48</v>
      </c>
      <c r="CT136" s="19">
        <v>0</v>
      </c>
      <c r="CU136" s="19">
        <v>338.96</v>
      </c>
      <c r="CV136" s="19">
        <v>0</v>
      </c>
      <c r="CW136" s="19">
        <v>338.96</v>
      </c>
      <c r="CX136" s="19">
        <v>410.14</v>
      </c>
      <c r="CY136" s="19">
        <v>0</v>
      </c>
      <c r="CZ136" s="17"/>
      <c r="DA136" s="20">
        <v>48235</v>
      </c>
      <c r="DB136" s="17">
        <v>45504</v>
      </c>
      <c r="DC136" s="17"/>
      <c r="DD136" s="19">
        <v>0</v>
      </c>
      <c r="DE136" s="17"/>
      <c r="DF136" s="17"/>
      <c r="DG136" s="19">
        <v>100</v>
      </c>
      <c r="DH136" s="17"/>
      <c r="DI136" s="17">
        <v>45657</v>
      </c>
      <c r="DJ136" s="17"/>
      <c r="DK136" s="17"/>
      <c r="DL136" s="19">
        <v>0</v>
      </c>
      <c r="DM136" s="19">
        <v>0</v>
      </c>
    </row>
    <row r="137" spans="1:117" x14ac:dyDescent="0.2">
      <c r="A137" s="14" t="s">
        <v>3610</v>
      </c>
      <c r="B137" s="14" t="s">
        <v>1415</v>
      </c>
      <c r="C137" s="14" t="s">
        <v>158</v>
      </c>
      <c r="D137" s="14" t="s">
        <v>159</v>
      </c>
      <c r="E137" s="14" t="s">
        <v>158</v>
      </c>
      <c r="F137" s="14" t="s">
        <v>171</v>
      </c>
      <c r="G137" s="17">
        <v>45551</v>
      </c>
      <c r="H137" s="14" t="s">
        <v>172</v>
      </c>
      <c r="I137" s="14" t="s">
        <v>78</v>
      </c>
      <c r="J137" s="14" t="s">
        <v>1338</v>
      </c>
      <c r="K137" s="14" t="s">
        <v>1338</v>
      </c>
      <c r="L137" s="14" t="s">
        <v>131</v>
      </c>
      <c r="M137" s="14" t="s">
        <v>132</v>
      </c>
      <c r="N137" s="16">
        <f>COUNTIF($M$3:M137, M137)</f>
        <v>16</v>
      </c>
      <c r="O137" s="16" t="str" cm="1">
        <f t="array" ref="O137">INDEX('[2]ALTA 20242025'!$B$2:$B$241, MATCH(1, ('[2]ALTA 20242025'!$I$2:$I$241=M137)*('[2]ALTA 20242025'!$J$2:$J$241=N137), 0))</f>
        <v>8644MWT</v>
      </c>
      <c r="P137" s="16"/>
      <c r="Q137" s="16"/>
      <c r="R137" s="14" t="s">
        <v>2048</v>
      </c>
      <c r="S137" s="14" t="s">
        <v>2048</v>
      </c>
      <c r="T137" s="14" t="s">
        <v>2048</v>
      </c>
      <c r="U137" s="14" t="s">
        <v>2048</v>
      </c>
      <c r="V137" s="14" t="s">
        <v>72</v>
      </c>
      <c r="W137" s="14" t="s">
        <v>72</v>
      </c>
      <c r="X137" s="14" t="s">
        <v>72</v>
      </c>
      <c r="Y137" s="14" t="s">
        <v>2048</v>
      </c>
      <c r="Z137" s="14" t="s">
        <v>2048</v>
      </c>
      <c r="AA137" s="14" t="s">
        <v>2422</v>
      </c>
      <c r="AB137" s="14" t="s">
        <v>2049</v>
      </c>
      <c r="AC137" s="14" t="s">
        <v>2050</v>
      </c>
      <c r="AD137" s="14" t="s">
        <v>2048</v>
      </c>
      <c r="AE137" s="14" t="s">
        <v>2048</v>
      </c>
      <c r="AF137" s="14" t="s">
        <v>2048</v>
      </c>
      <c r="AG137" s="14" t="s">
        <v>2048</v>
      </c>
      <c r="AH137" s="14" t="s">
        <v>2048</v>
      </c>
      <c r="AI137" s="14" t="s">
        <v>2129</v>
      </c>
      <c r="AJ137" s="14" t="s">
        <v>2130</v>
      </c>
      <c r="AK137" s="14" t="s">
        <v>2055</v>
      </c>
      <c r="AL137" s="14" t="s">
        <v>2055</v>
      </c>
      <c r="AM137" s="14" t="s">
        <v>2055</v>
      </c>
      <c r="AN137" s="14" t="s">
        <v>2068</v>
      </c>
      <c r="AO137" s="14" t="s">
        <v>2048</v>
      </c>
      <c r="AP137" s="14" t="s">
        <v>2048</v>
      </c>
      <c r="AQ137" s="14" t="s">
        <v>2048</v>
      </c>
      <c r="AR137" s="14" t="s">
        <v>2048</v>
      </c>
      <c r="AS137" s="14" t="s">
        <v>3623</v>
      </c>
      <c r="AT137" s="14" t="s">
        <v>2208</v>
      </c>
      <c r="AU137" s="14" t="s">
        <v>2059</v>
      </c>
      <c r="AV137" s="14" t="s">
        <v>4263</v>
      </c>
      <c r="AW137" s="14" t="s">
        <v>4264</v>
      </c>
      <c r="AX137" s="14" t="s">
        <v>72</v>
      </c>
      <c r="AY137" s="14" t="s">
        <v>2448</v>
      </c>
      <c r="AZ137" s="14" t="s">
        <v>2449</v>
      </c>
      <c r="BA137" s="14" t="s">
        <v>2048</v>
      </c>
      <c r="BB137" s="14" t="s">
        <v>2048</v>
      </c>
      <c r="BC137" s="14" t="s">
        <v>131</v>
      </c>
      <c r="BD137" s="14" t="s">
        <v>135</v>
      </c>
      <c r="BE137" s="14" t="s">
        <v>2945</v>
      </c>
      <c r="BF137" s="14" t="s">
        <v>2048</v>
      </c>
      <c r="BG137" s="14" t="s">
        <v>2048</v>
      </c>
      <c r="BH137" s="14" t="s">
        <v>2048</v>
      </c>
      <c r="BI137" s="14" t="s">
        <v>2048</v>
      </c>
      <c r="BJ137" s="14" t="s">
        <v>2946</v>
      </c>
      <c r="BK137" s="14" t="s">
        <v>2947</v>
      </c>
      <c r="BL137" s="14" t="s">
        <v>2948</v>
      </c>
      <c r="BM137" s="14" t="s">
        <v>2455</v>
      </c>
      <c r="BN137" s="14" t="s">
        <v>2048</v>
      </c>
      <c r="BO137" s="14" t="s">
        <v>2048</v>
      </c>
      <c r="BP137" s="14" t="s">
        <v>2064</v>
      </c>
      <c r="BQ137" s="14" t="s">
        <v>72</v>
      </c>
      <c r="BR137" s="14" t="s">
        <v>72</v>
      </c>
      <c r="BS137" s="14" t="s">
        <v>2048</v>
      </c>
      <c r="BT137" s="14" t="s">
        <v>2457</v>
      </c>
      <c r="BU137" s="14" t="s">
        <v>2458</v>
      </c>
      <c r="BV137" s="14" t="s">
        <v>2066</v>
      </c>
      <c r="BW137" s="14" t="s">
        <v>2067</v>
      </c>
      <c r="BX137" s="14" t="s">
        <v>2048</v>
      </c>
      <c r="BY137" s="14" t="s">
        <v>2048</v>
      </c>
      <c r="BZ137" s="14" t="s">
        <v>2048</v>
      </c>
      <c r="CA137" s="14" t="s">
        <v>2048</v>
      </c>
      <c r="CB137" s="14" t="s">
        <v>2048</v>
      </c>
      <c r="CC137" s="14" t="s">
        <v>2048</v>
      </c>
      <c r="CD137" s="14" t="s">
        <v>2048</v>
      </c>
      <c r="CE137" s="14" t="s">
        <v>2048</v>
      </c>
      <c r="CF137" s="14" t="s">
        <v>2048</v>
      </c>
      <c r="CG137" s="14" t="s">
        <v>2048</v>
      </c>
      <c r="CH137" s="14" t="s">
        <v>2048</v>
      </c>
      <c r="CI137" s="14" t="s">
        <v>2048</v>
      </c>
      <c r="CJ137" s="14" t="s">
        <v>2048</v>
      </c>
      <c r="CK137" s="14" t="s">
        <v>3774</v>
      </c>
      <c r="CL137" s="14" t="s">
        <v>413</v>
      </c>
      <c r="CM137" s="14" t="s">
        <v>2048</v>
      </c>
      <c r="CN137" s="17"/>
      <c r="CO137" s="17">
        <v>44136</v>
      </c>
      <c r="CP137" s="17">
        <v>44136</v>
      </c>
      <c r="CR137" s="17">
        <v>45551</v>
      </c>
      <c r="CS137" s="19">
        <v>0</v>
      </c>
      <c r="CT137" s="19">
        <v>0</v>
      </c>
      <c r="CU137" s="19">
        <v>0</v>
      </c>
      <c r="CV137" s="19">
        <v>0</v>
      </c>
      <c r="CW137" s="19">
        <v>0</v>
      </c>
      <c r="CX137" s="19">
        <v>0</v>
      </c>
      <c r="CY137" s="19">
        <v>0</v>
      </c>
      <c r="CZ137" s="17"/>
      <c r="DA137" s="19">
        <v>0</v>
      </c>
      <c r="DB137" s="17"/>
      <c r="DC137" s="17"/>
      <c r="DD137" s="19">
        <v>0</v>
      </c>
      <c r="DE137" s="17"/>
      <c r="DF137" s="17"/>
      <c r="DG137" s="19">
        <v>100</v>
      </c>
      <c r="DH137" s="17"/>
      <c r="DI137" s="17">
        <v>2958465</v>
      </c>
      <c r="DJ137" s="17"/>
      <c r="DK137" s="17"/>
      <c r="DL137" s="19">
        <v>0</v>
      </c>
      <c r="DM137" s="19">
        <v>0</v>
      </c>
    </row>
    <row r="138" spans="1:117" x14ac:dyDescent="0.2">
      <c r="A138" s="14" t="s">
        <v>3610</v>
      </c>
      <c r="B138" s="14" t="s">
        <v>365</v>
      </c>
      <c r="C138" s="14" t="s">
        <v>73</v>
      </c>
      <c r="D138" s="14" t="s">
        <v>200</v>
      </c>
      <c r="E138" s="14" t="s">
        <v>201</v>
      </c>
      <c r="F138" s="14" t="s">
        <v>76</v>
      </c>
      <c r="G138" s="17">
        <v>45553</v>
      </c>
      <c r="H138" s="14" t="s">
        <v>77</v>
      </c>
      <c r="I138" s="14" t="s">
        <v>78</v>
      </c>
      <c r="J138" s="14" t="s">
        <v>359</v>
      </c>
      <c r="K138" s="14" t="s">
        <v>360</v>
      </c>
      <c r="L138" s="14" t="s">
        <v>119</v>
      </c>
      <c r="M138" s="14" t="s">
        <v>120</v>
      </c>
      <c r="N138" s="16">
        <f>COUNTIF($M$3:M138, M138)</f>
        <v>10</v>
      </c>
      <c r="O138" s="16" t="str" cm="1">
        <f t="array" ref="O138">INDEX('[2]ALTA 20242025'!$B$2:$B$241, MATCH(1, ('[2]ALTA 20242025'!$I$2:$I$241=M138)*('[2]ALTA 20242025'!$J$2:$J$241=N138), 0))</f>
        <v>6007MWV</v>
      </c>
      <c r="P138" s="16"/>
      <c r="Q138" s="16"/>
      <c r="R138" s="14" t="s">
        <v>204</v>
      </c>
      <c r="S138" s="14" t="s">
        <v>205</v>
      </c>
      <c r="T138" s="14" t="s">
        <v>2048</v>
      </c>
      <c r="U138" s="14" t="s">
        <v>2048</v>
      </c>
      <c r="V138" s="14" t="s">
        <v>4265</v>
      </c>
      <c r="W138" s="14" t="s">
        <v>4266</v>
      </c>
      <c r="X138" s="14" t="s">
        <v>3723</v>
      </c>
      <c r="Y138" s="14" t="s">
        <v>4267</v>
      </c>
      <c r="Z138" s="14" t="s">
        <v>2048</v>
      </c>
      <c r="AA138" s="14" t="s">
        <v>2422</v>
      </c>
      <c r="AB138" s="14" t="s">
        <v>2049</v>
      </c>
      <c r="AC138" s="14" t="s">
        <v>2050</v>
      </c>
      <c r="AD138" s="14" t="s">
        <v>3725</v>
      </c>
      <c r="AE138" s="14" t="s">
        <v>3613</v>
      </c>
      <c r="AF138" s="14" t="s">
        <v>3614</v>
      </c>
      <c r="AG138" s="14" t="s">
        <v>200</v>
      </c>
      <c r="AH138" s="14" t="s">
        <v>3622</v>
      </c>
      <c r="AI138" s="14" t="s">
        <v>3472</v>
      </c>
      <c r="AJ138" s="14" t="s">
        <v>3821</v>
      </c>
      <c r="AK138" s="14" t="s">
        <v>2055</v>
      </c>
      <c r="AL138" s="14" t="s">
        <v>2055</v>
      </c>
      <c r="AM138" s="14" t="s">
        <v>2055</v>
      </c>
      <c r="AN138" s="14" t="s">
        <v>2068</v>
      </c>
      <c r="AO138" s="14" t="s">
        <v>2048</v>
      </c>
      <c r="AP138" s="14" t="s">
        <v>2048</v>
      </c>
      <c r="AQ138" s="14" t="s">
        <v>2048</v>
      </c>
      <c r="AR138" s="14" t="s">
        <v>2048</v>
      </c>
      <c r="AS138" s="14" t="s">
        <v>3615</v>
      </c>
      <c r="AT138" s="14" t="s">
        <v>2862</v>
      </c>
      <c r="AU138" s="14" t="s">
        <v>2059</v>
      </c>
      <c r="AV138" s="14" t="s">
        <v>4268</v>
      </c>
      <c r="AW138" s="14" t="s">
        <v>4269</v>
      </c>
      <c r="AX138" s="14" t="s">
        <v>2048</v>
      </c>
      <c r="AY138" s="14" t="s">
        <v>4156</v>
      </c>
      <c r="AZ138" s="14" t="s">
        <v>4157</v>
      </c>
      <c r="BA138" s="14" t="s">
        <v>2048</v>
      </c>
      <c r="BB138" s="14" t="s">
        <v>2048</v>
      </c>
      <c r="BC138" s="14" t="s">
        <v>119</v>
      </c>
      <c r="BD138" s="14" t="s">
        <v>366</v>
      </c>
      <c r="BE138" s="14" t="s">
        <v>4158</v>
      </c>
      <c r="BF138" s="14" t="s">
        <v>2048</v>
      </c>
      <c r="BG138" s="14" t="s">
        <v>2048</v>
      </c>
      <c r="BH138" s="14" t="s">
        <v>3598</v>
      </c>
      <c r="BI138" s="14" t="s">
        <v>3599</v>
      </c>
      <c r="BJ138" s="14" t="s">
        <v>3914</v>
      </c>
      <c r="BK138" s="14" t="s">
        <v>3915</v>
      </c>
      <c r="BL138" s="14" t="s">
        <v>4119</v>
      </c>
      <c r="BM138" s="14" t="s">
        <v>3600</v>
      </c>
      <c r="BN138" s="14" t="s">
        <v>2048</v>
      </c>
      <c r="BO138" s="14" t="s">
        <v>2048</v>
      </c>
      <c r="BP138" s="14" t="s">
        <v>2064</v>
      </c>
      <c r="BQ138" s="14" t="s">
        <v>72</v>
      </c>
      <c r="BR138" s="14" t="s">
        <v>72</v>
      </c>
      <c r="BS138" s="14" t="s">
        <v>2048</v>
      </c>
      <c r="BT138" s="14" t="s">
        <v>2986</v>
      </c>
      <c r="BU138" s="14" t="s">
        <v>2987</v>
      </c>
      <c r="BV138" s="14" t="s">
        <v>2331</v>
      </c>
      <c r="BW138" s="14" t="s">
        <v>2131</v>
      </c>
      <c r="BX138" s="14" t="s">
        <v>2048</v>
      </c>
      <c r="BY138" s="14" t="s">
        <v>2048</v>
      </c>
      <c r="BZ138" s="14" t="s">
        <v>2048</v>
      </c>
      <c r="CA138" s="14" t="s">
        <v>2048</v>
      </c>
      <c r="CB138" s="14" t="s">
        <v>72</v>
      </c>
      <c r="CC138" s="14" t="s">
        <v>2048</v>
      </c>
      <c r="CD138" s="14" t="s">
        <v>2048</v>
      </c>
      <c r="CE138" s="14" t="s">
        <v>2048</v>
      </c>
      <c r="CF138" s="14" t="s">
        <v>2048</v>
      </c>
      <c r="CG138" s="14" t="s">
        <v>2048</v>
      </c>
      <c r="CH138" s="14" t="s">
        <v>2048</v>
      </c>
      <c r="CI138" s="14" t="s">
        <v>2048</v>
      </c>
      <c r="CJ138" s="14" t="s">
        <v>2048</v>
      </c>
      <c r="CK138" s="14" t="s">
        <v>3714</v>
      </c>
      <c r="CL138" s="14" t="s">
        <v>3761</v>
      </c>
      <c r="CM138" s="14" t="s">
        <v>2048</v>
      </c>
      <c r="CN138" s="17">
        <v>43891</v>
      </c>
      <c r="CO138" s="17">
        <v>43726</v>
      </c>
      <c r="CP138" s="17">
        <v>43726</v>
      </c>
      <c r="CR138" s="17">
        <v>45541</v>
      </c>
      <c r="CS138" s="19">
        <v>60</v>
      </c>
      <c r="CT138" s="19">
        <v>0</v>
      </c>
      <c r="CU138" s="19">
        <v>258.45999999999998</v>
      </c>
      <c r="CV138" s="19">
        <v>0</v>
      </c>
      <c r="CW138" s="19">
        <v>258.45999999999998</v>
      </c>
      <c r="CX138" s="19">
        <v>312.74</v>
      </c>
      <c r="CY138" s="19">
        <v>0</v>
      </c>
      <c r="CZ138" s="17"/>
      <c r="DA138" s="19">
        <v>0</v>
      </c>
      <c r="DB138" s="17"/>
      <c r="DC138" s="17"/>
      <c r="DD138" s="19">
        <v>0</v>
      </c>
      <c r="DE138" s="17"/>
      <c r="DF138" s="17"/>
      <c r="DG138" s="19">
        <v>100</v>
      </c>
      <c r="DH138" s="17"/>
      <c r="DI138" s="17">
        <v>45657</v>
      </c>
      <c r="DJ138" s="17"/>
      <c r="DK138" s="17"/>
      <c r="DL138" s="19">
        <v>0</v>
      </c>
      <c r="DM138" s="19">
        <v>0</v>
      </c>
    </row>
    <row r="139" spans="1:117" x14ac:dyDescent="0.2">
      <c r="A139" s="14" t="s">
        <v>3610</v>
      </c>
      <c r="B139" s="14" t="s">
        <v>855</v>
      </c>
      <c r="C139" s="14" t="s">
        <v>158</v>
      </c>
      <c r="D139" s="14" t="s">
        <v>159</v>
      </c>
      <c r="E139" s="14" t="s">
        <v>158</v>
      </c>
      <c r="F139" s="14" t="s">
        <v>171</v>
      </c>
      <c r="G139" s="17">
        <v>45558</v>
      </c>
      <c r="H139" s="14" t="s">
        <v>172</v>
      </c>
      <c r="I139" s="14" t="s">
        <v>71</v>
      </c>
      <c r="J139" s="14" t="s">
        <v>844</v>
      </c>
      <c r="K139" s="14" t="s">
        <v>845</v>
      </c>
      <c r="L139" s="14" t="s">
        <v>81</v>
      </c>
      <c r="M139" s="14" t="s">
        <v>82</v>
      </c>
      <c r="N139" s="16">
        <f>COUNTIF($M$3:M139, M139)</f>
        <v>6</v>
      </c>
      <c r="O139" s="16" t="str" cm="1">
        <f t="array" ref="O139">INDEX('[2]ALTA 20242025'!$B$2:$B$241, MATCH(1, ('[2]ALTA 20242025'!$I$2:$I$241=M139)*('[2]ALTA 20242025'!$J$2:$J$241=N139), 0))</f>
        <v>0695MWT</v>
      </c>
      <c r="P139" s="16"/>
      <c r="Q139" s="16"/>
      <c r="R139" s="14" t="s">
        <v>2048</v>
      </c>
      <c r="S139" s="14" t="s">
        <v>2048</v>
      </c>
      <c r="T139" s="14" t="s">
        <v>2048</v>
      </c>
      <c r="U139" s="14" t="s">
        <v>2048</v>
      </c>
      <c r="V139" s="14" t="s">
        <v>4270</v>
      </c>
      <c r="W139" s="14" t="s">
        <v>2048</v>
      </c>
      <c r="X139" s="14" t="s">
        <v>2048</v>
      </c>
      <c r="Y139" s="14" t="s">
        <v>2048</v>
      </c>
      <c r="Z139" s="14" t="s">
        <v>2048</v>
      </c>
      <c r="AA139" s="14" t="s">
        <v>2048</v>
      </c>
      <c r="AB139" s="14" t="s">
        <v>2048</v>
      </c>
      <c r="AC139" s="14" t="s">
        <v>3678</v>
      </c>
      <c r="AD139" s="14" t="s">
        <v>2048</v>
      </c>
      <c r="AE139" s="14" t="s">
        <v>2048</v>
      </c>
      <c r="AF139" s="14" t="s">
        <v>2048</v>
      </c>
      <c r="AG139" s="14" t="s">
        <v>2048</v>
      </c>
      <c r="AH139" s="14" t="s">
        <v>2048</v>
      </c>
      <c r="AI139" s="14" t="s">
        <v>2129</v>
      </c>
      <c r="AJ139" s="14" t="s">
        <v>2130</v>
      </c>
      <c r="AK139" s="14" t="s">
        <v>2055</v>
      </c>
      <c r="AL139" s="14" t="s">
        <v>2055</v>
      </c>
      <c r="AM139" s="14" t="s">
        <v>2055</v>
      </c>
      <c r="AN139" s="14" t="s">
        <v>3714</v>
      </c>
      <c r="AO139" s="14" t="s">
        <v>2048</v>
      </c>
      <c r="AP139" s="14" t="s">
        <v>2048</v>
      </c>
      <c r="AQ139" s="14" t="s">
        <v>2048</v>
      </c>
      <c r="AR139" s="14" t="s">
        <v>2207</v>
      </c>
      <c r="AS139" s="14" t="s">
        <v>3785</v>
      </c>
      <c r="AT139" s="14" t="s">
        <v>2331</v>
      </c>
      <c r="AU139" s="14" t="s">
        <v>2048</v>
      </c>
      <c r="AV139" s="14" t="s">
        <v>2060</v>
      </c>
      <c r="AW139" s="14" t="s">
        <v>2048</v>
      </c>
      <c r="AX139" s="14" t="s">
        <v>72</v>
      </c>
      <c r="AY139" s="14" t="s">
        <v>2268</v>
      </c>
      <c r="AZ139" s="14" t="s">
        <v>2269</v>
      </c>
      <c r="BA139" s="14" t="s">
        <v>3664</v>
      </c>
      <c r="BB139" s="14" t="s">
        <v>2048</v>
      </c>
      <c r="BC139" s="14" t="s">
        <v>81</v>
      </c>
      <c r="BD139" s="14" t="s">
        <v>143</v>
      </c>
      <c r="BE139" s="14" t="s">
        <v>2270</v>
      </c>
      <c r="BF139" s="14" t="s">
        <v>2048</v>
      </c>
      <c r="BG139" s="14" t="s">
        <v>2048</v>
      </c>
      <c r="BH139" s="14" t="s">
        <v>2271</v>
      </c>
      <c r="BI139" s="14" t="s">
        <v>2272</v>
      </c>
      <c r="BJ139" s="14" t="s">
        <v>2271</v>
      </c>
      <c r="BK139" s="14" t="s">
        <v>2272</v>
      </c>
      <c r="BL139" s="14" t="s">
        <v>2273</v>
      </c>
      <c r="BM139" s="14" t="s">
        <v>2218</v>
      </c>
      <c r="BN139" s="14" t="s">
        <v>2048</v>
      </c>
      <c r="BO139" s="14" t="s">
        <v>2518</v>
      </c>
      <c r="BP139" s="14" t="s">
        <v>2064</v>
      </c>
      <c r="BQ139" s="14" t="s">
        <v>72</v>
      </c>
      <c r="BR139" s="14" t="s">
        <v>72</v>
      </c>
      <c r="BS139" s="14" t="s">
        <v>4271</v>
      </c>
      <c r="BT139" s="14" t="s">
        <v>2048</v>
      </c>
      <c r="BU139" s="14" t="s">
        <v>2048</v>
      </c>
      <c r="BV139" s="14" t="s">
        <v>3191</v>
      </c>
      <c r="BW139" s="14" t="s">
        <v>3192</v>
      </c>
      <c r="BX139" s="14" t="s">
        <v>2048</v>
      </c>
      <c r="BY139" s="14" t="s">
        <v>2048</v>
      </c>
      <c r="BZ139" s="14" t="s">
        <v>2048</v>
      </c>
      <c r="CA139" s="14" t="s">
        <v>2048</v>
      </c>
      <c r="CB139" s="14" t="s">
        <v>2048</v>
      </c>
      <c r="CC139" s="14" t="s">
        <v>2048</v>
      </c>
      <c r="CD139" s="14" t="s">
        <v>2048</v>
      </c>
      <c r="CE139" s="14" t="s">
        <v>2048</v>
      </c>
      <c r="CF139" s="14" t="s">
        <v>2048</v>
      </c>
      <c r="CG139" s="14" t="s">
        <v>2048</v>
      </c>
      <c r="CH139" s="14" t="s">
        <v>2048</v>
      </c>
      <c r="CI139" s="14" t="s">
        <v>2048</v>
      </c>
      <c r="CJ139" s="14" t="s">
        <v>2048</v>
      </c>
      <c r="CK139" s="14" t="s">
        <v>3193</v>
      </c>
      <c r="CL139" s="14" t="s">
        <v>3194</v>
      </c>
      <c r="CM139" s="14" t="s">
        <v>2048</v>
      </c>
      <c r="CN139" s="17"/>
      <c r="CO139" s="17">
        <v>42122</v>
      </c>
      <c r="CP139" s="17">
        <v>42122</v>
      </c>
      <c r="CR139" s="17">
        <v>45558</v>
      </c>
      <c r="CS139" s="19">
        <v>0</v>
      </c>
      <c r="CT139" s="19">
        <v>0</v>
      </c>
      <c r="CU139" s="19">
        <v>0</v>
      </c>
      <c r="CV139" s="19">
        <v>0</v>
      </c>
      <c r="CW139" s="19">
        <v>0</v>
      </c>
      <c r="CX139" s="19">
        <v>0</v>
      </c>
      <c r="CY139" s="19">
        <v>0</v>
      </c>
      <c r="CZ139" s="17"/>
      <c r="DA139" s="20">
        <v>14486</v>
      </c>
      <c r="DB139" s="17">
        <v>43555</v>
      </c>
      <c r="DC139" s="17">
        <v>43960</v>
      </c>
      <c r="DD139" s="19">
        <v>0</v>
      </c>
      <c r="DE139" s="17"/>
      <c r="DF139" s="17"/>
      <c r="DG139" s="19">
        <v>100</v>
      </c>
      <c r="DH139" s="17"/>
      <c r="DI139" s="17">
        <v>2958465</v>
      </c>
      <c r="DJ139" s="17"/>
      <c r="DK139" s="17"/>
      <c r="DL139" s="19">
        <v>0</v>
      </c>
      <c r="DM139" s="19">
        <v>0</v>
      </c>
    </row>
    <row r="140" spans="1:117" x14ac:dyDescent="0.2">
      <c r="A140" s="14" t="s">
        <v>3610</v>
      </c>
      <c r="B140" s="14" t="s">
        <v>860</v>
      </c>
      <c r="C140" s="14" t="s">
        <v>158</v>
      </c>
      <c r="D140" s="14" t="s">
        <v>159</v>
      </c>
      <c r="E140" s="14" t="s">
        <v>158</v>
      </c>
      <c r="F140" s="14" t="s">
        <v>171</v>
      </c>
      <c r="G140" s="17">
        <v>45561</v>
      </c>
      <c r="H140" s="14" t="s">
        <v>172</v>
      </c>
      <c r="I140" s="14" t="s">
        <v>71</v>
      </c>
      <c r="J140" s="14" t="s">
        <v>844</v>
      </c>
      <c r="K140" s="14" t="s">
        <v>845</v>
      </c>
      <c r="L140" s="14" t="s">
        <v>81</v>
      </c>
      <c r="M140" s="14" t="s">
        <v>82</v>
      </c>
      <c r="N140" s="16">
        <f>COUNTIF($M$3:M140, M140)</f>
        <v>7</v>
      </c>
      <c r="O140" s="16" t="str" cm="1">
        <f t="array" ref="O140">INDEX('[2]ALTA 20242025'!$B$2:$B$241, MATCH(1, ('[2]ALTA 20242025'!$I$2:$I$241=M140)*('[2]ALTA 20242025'!$J$2:$J$241=N140), 0))</f>
        <v>0696MWT</v>
      </c>
      <c r="P140" s="16"/>
      <c r="Q140" s="16"/>
      <c r="R140" s="14" t="s">
        <v>2048</v>
      </c>
      <c r="S140" s="14" t="s">
        <v>2048</v>
      </c>
      <c r="T140" s="14" t="s">
        <v>2048</v>
      </c>
      <c r="U140" s="14" t="s">
        <v>2048</v>
      </c>
      <c r="V140" s="14" t="s">
        <v>4272</v>
      </c>
      <c r="W140" s="14" t="s">
        <v>4273</v>
      </c>
      <c r="X140" s="14" t="s">
        <v>2048</v>
      </c>
      <c r="Y140" s="14" t="s">
        <v>2048</v>
      </c>
      <c r="Z140" s="14" t="s">
        <v>2048</v>
      </c>
      <c r="AA140" s="14" t="s">
        <v>2048</v>
      </c>
      <c r="AB140" s="14" t="s">
        <v>2048</v>
      </c>
      <c r="AC140" s="14" t="s">
        <v>3678</v>
      </c>
      <c r="AD140" s="14" t="s">
        <v>2048</v>
      </c>
      <c r="AE140" s="14" t="s">
        <v>2048</v>
      </c>
      <c r="AF140" s="14" t="s">
        <v>2048</v>
      </c>
      <c r="AG140" s="14" t="s">
        <v>2048</v>
      </c>
      <c r="AH140" s="14" t="s">
        <v>2048</v>
      </c>
      <c r="AI140" s="14" t="s">
        <v>2129</v>
      </c>
      <c r="AJ140" s="14" t="s">
        <v>2130</v>
      </c>
      <c r="AK140" s="14" t="s">
        <v>2055</v>
      </c>
      <c r="AL140" s="14" t="s">
        <v>2055</v>
      </c>
      <c r="AM140" s="14" t="s">
        <v>2055</v>
      </c>
      <c r="AN140" s="14" t="s">
        <v>3714</v>
      </c>
      <c r="AO140" s="14" t="s">
        <v>2048</v>
      </c>
      <c r="AP140" s="14" t="s">
        <v>2048</v>
      </c>
      <c r="AQ140" s="14" t="s">
        <v>2048</v>
      </c>
      <c r="AR140" s="14" t="s">
        <v>2207</v>
      </c>
      <c r="AS140" s="14" t="s">
        <v>4274</v>
      </c>
      <c r="AT140" s="14" t="s">
        <v>2208</v>
      </c>
      <c r="AU140" s="14" t="s">
        <v>2059</v>
      </c>
      <c r="AV140" s="14" t="s">
        <v>2060</v>
      </c>
      <c r="AW140" s="14" t="s">
        <v>2048</v>
      </c>
      <c r="AX140" s="14" t="s">
        <v>2048</v>
      </c>
      <c r="AY140" s="14" t="s">
        <v>2268</v>
      </c>
      <c r="AZ140" s="14" t="s">
        <v>2269</v>
      </c>
      <c r="BA140" s="14" t="s">
        <v>3664</v>
      </c>
      <c r="BB140" s="14" t="s">
        <v>2048</v>
      </c>
      <c r="BC140" s="14" t="s">
        <v>81</v>
      </c>
      <c r="BD140" s="14" t="s">
        <v>143</v>
      </c>
      <c r="BE140" s="14" t="s">
        <v>2270</v>
      </c>
      <c r="BF140" s="14" t="s">
        <v>2048</v>
      </c>
      <c r="BG140" s="14" t="s">
        <v>2048</v>
      </c>
      <c r="BH140" s="14" t="s">
        <v>2271</v>
      </c>
      <c r="BI140" s="14" t="s">
        <v>2272</v>
      </c>
      <c r="BJ140" s="14" t="s">
        <v>2271</v>
      </c>
      <c r="BK140" s="14" t="s">
        <v>2272</v>
      </c>
      <c r="BL140" s="14" t="s">
        <v>2273</v>
      </c>
      <c r="BM140" s="14" t="s">
        <v>2218</v>
      </c>
      <c r="BN140" s="14" t="s">
        <v>2048</v>
      </c>
      <c r="BO140" s="14" t="s">
        <v>2518</v>
      </c>
      <c r="BP140" s="14" t="s">
        <v>2064</v>
      </c>
      <c r="BQ140" s="14" t="s">
        <v>72</v>
      </c>
      <c r="BR140" s="14" t="s">
        <v>72</v>
      </c>
      <c r="BS140" s="14" t="s">
        <v>2048</v>
      </c>
      <c r="BT140" s="14" t="s">
        <v>2048</v>
      </c>
      <c r="BU140" s="14" t="s">
        <v>2048</v>
      </c>
      <c r="BV140" s="14" t="s">
        <v>3191</v>
      </c>
      <c r="BW140" s="14" t="s">
        <v>3192</v>
      </c>
      <c r="BX140" s="14" t="s">
        <v>2048</v>
      </c>
      <c r="BY140" s="14" t="s">
        <v>2048</v>
      </c>
      <c r="BZ140" s="14" t="s">
        <v>2048</v>
      </c>
      <c r="CA140" s="14" t="s">
        <v>2048</v>
      </c>
      <c r="CB140" s="14" t="s">
        <v>2048</v>
      </c>
      <c r="CC140" s="14" t="s">
        <v>2048</v>
      </c>
      <c r="CD140" s="14" t="s">
        <v>2048</v>
      </c>
      <c r="CE140" s="14" t="s">
        <v>2048</v>
      </c>
      <c r="CF140" s="14" t="s">
        <v>2048</v>
      </c>
      <c r="CG140" s="14" t="s">
        <v>2048</v>
      </c>
      <c r="CH140" s="14" t="s">
        <v>2048</v>
      </c>
      <c r="CI140" s="14" t="s">
        <v>2048</v>
      </c>
      <c r="CJ140" s="14" t="s">
        <v>2048</v>
      </c>
      <c r="CK140" s="14" t="s">
        <v>3193</v>
      </c>
      <c r="CL140" s="14" t="s">
        <v>3194</v>
      </c>
      <c r="CM140" s="14" t="s">
        <v>2048</v>
      </c>
      <c r="CN140" s="17"/>
      <c r="CO140" s="17">
        <v>41960</v>
      </c>
      <c r="CP140" s="17">
        <v>41960</v>
      </c>
      <c r="CR140" s="17">
        <v>45561</v>
      </c>
      <c r="CS140" s="19">
        <v>0</v>
      </c>
      <c r="CT140" s="19">
        <v>0</v>
      </c>
      <c r="CU140" s="19">
        <v>0</v>
      </c>
      <c r="CV140" s="19">
        <v>0</v>
      </c>
      <c r="CW140" s="19">
        <v>0</v>
      </c>
      <c r="CX140" s="19">
        <v>0</v>
      </c>
      <c r="CY140" s="19">
        <v>0</v>
      </c>
      <c r="CZ140" s="17"/>
      <c r="DA140" s="20">
        <v>28360</v>
      </c>
      <c r="DB140" s="17">
        <v>43524</v>
      </c>
      <c r="DC140" s="17"/>
      <c r="DD140" s="19">
        <v>0</v>
      </c>
      <c r="DE140" s="17"/>
      <c r="DF140" s="17"/>
      <c r="DG140" s="19">
        <v>100</v>
      </c>
      <c r="DH140" s="17"/>
      <c r="DI140" s="17">
        <v>2958465</v>
      </c>
      <c r="DJ140" s="17"/>
      <c r="DK140" s="17"/>
      <c r="DL140" s="19">
        <v>0</v>
      </c>
      <c r="DM140" s="19">
        <v>0</v>
      </c>
    </row>
    <row r="141" spans="1:117" x14ac:dyDescent="0.2">
      <c r="A141" s="14" t="s">
        <v>3610</v>
      </c>
      <c r="B141" s="14" t="s">
        <v>1280</v>
      </c>
      <c r="C141" s="14" t="s">
        <v>73</v>
      </c>
      <c r="D141" s="14" t="s">
        <v>200</v>
      </c>
      <c r="E141" s="14" t="s">
        <v>201</v>
      </c>
      <c r="F141" s="14" t="s">
        <v>160</v>
      </c>
      <c r="G141" s="17">
        <v>45622</v>
      </c>
      <c r="H141" s="14" t="s">
        <v>161</v>
      </c>
      <c r="I141" s="14" t="s">
        <v>78</v>
      </c>
      <c r="J141" s="14" t="s">
        <v>359</v>
      </c>
      <c r="K141" s="14" t="s">
        <v>769</v>
      </c>
      <c r="L141" s="14" t="s">
        <v>689</v>
      </c>
      <c r="M141" s="14" t="s">
        <v>690</v>
      </c>
      <c r="N141" s="16">
        <f>COUNTIF($M$3:M141, M141)</f>
        <v>2</v>
      </c>
      <c r="O141" s="16" t="e" cm="1">
        <f t="array" ref="O141">INDEX('[2]ALTA 20242025'!$B$2:$B$241, MATCH(1, ('[2]ALTA 20242025'!$I$2:$I$241=M141)*('[2]ALTA 20242025'!$J$2:$J$241=N141), 0))</f>
        <v>#N/A</v>
      </c>
      <c r="P141" s="16"/>
      <c r="Q141" s="16"/>
      <c r="R141" s="14" t="s">
        <v>2048</v>
      </c>
      <c r="S141" s="14" t="s">
        <v>2048</v>
      </c>
      <c r="T141" s="14" t="s">
        <v>2048</v>
      </c>
      <c r="U141" s="14" t="s">
        <v>2048</v>
      </c>
      <c r="V141" s="14" t="s">
        <v>3831</v>
      </c>
      <c r="W141" s="14" t="s">
        <v>4275</v>
      </c>
      <c r="X141" s="14" t="s">
        <v>4246</v>
      </c>
      <c r="Y141" s="14" t="s">
        <v>4276</v>
      </c>
      <c r="Z141" s="14" t="s">
        <v>2048</v>
      </c>
      <c r="AA141" s="14" t="s">
        <v>2422</v>
      </c>
      <c r="AB141" s="14" t="s">
        <v>2049</v>
      </c>
      <c r="AC141" s="14" t="s">
        <v>2050</v>
      </c>
      <c r="AD141" s="14" t="s">
        <v>3834</v>
      </c>
      <c r="AE141" s="14" t="s">
        <v>3613</v>
      </c>
      <c r="AF141" s="14" t="s">
        <v>3614</v>
      </c>
      <c r="AG141" s="14" t="s">
        <v>200</v>
      </c>
      <c r="AH141" s="14" t="s">
        <v>3622</v>
      </c>
      <c r="AI141" s="14" t="s">
        <v>3472</v>
      </c>
      <c r="AJ141" s="14" t="s">
        <v>3821</v>
      </c>
      <c r="AK141" s="14" t="s">
        <v>2055</v>
      </c>
      <c r="AL141" s="14" t="s">
        <v>2055</v>
      </c>
      <c r="AM141" s="14" t="s">
        <v>2055</v>
      </c>
      <c r="AN141" s="14" t="s">
        <v>2068</v>
      </c>
      <c r="AO141" s="14" t="s">
        <v>2048</v>
      </c>
      <c r="AP141" s="14" t="s">
        <v>2048</v>
      </c>
      <c r="AQ141" s="14" t="s">
        <v>2048</v>
      </c>
      <c r="AR141" s="14" t="s">
        <v>2048</v>
      </c>
      <c r="AS141" s="14" t="s">
        <v>3615</v>
      </c>
      <c r="AT141" s="14" t="s">
        <v>2208</v>
      </c>
      <c r="AU141" s="14" t="s">
        <v>4277</v>
      </c>
      <c r="AV141" s="14" t="s">
        <v>4278</v>
      </c>
      <c r="AW141" s="14" t="s">
        <v>4279</v>
      </c>
      <c r="AX141" s="14" t="s">
        <v>2048</v>
      </c>
      <c r="AY141" s="14" t="s">
        <v>4278</v>
      </c>
      <c r="AZ141" s="14" t="s">
        <v>4279</v>
      </c>
      <c r="BA141" s="14" t="s">
        <v>2048</v>
      </c>
      <c r="BB141" s="14" t="s">
        <v>2048</v>
      </c>
      <c r="BC141" s="14" t="s">
        <v>689</v>
      </c>
      <c r="BD141" s="14" t="s">
        <v>691</v>
      </c>
      <c r="BE141" s="14" t="s">
        <v>2281</v>
      </c>
      <c r="BF141" s="14" t="s">
        <v>2048</v>
      </c>
      <c r="BG141" s="14" t="s">
        <v>2048</v>
      </c>
      <c r="BH141" s="14" t="s">
        <v>2282</v>
      </c>
      <c r="BI141" s="14" t="s">
        <v>2283</v>
      </c>
      <c r="BJ141" s="14" t="s">
        <v>2284</v>
      </c>
      <c r="BK141" s="14" t="s">
        <v>2285</v>
      </c>
      <c r="BL141" s="14" t="s">
        <v>2286</v>
      </c>
      <c r="BM141" s="14" t="s">
        <v>2287</v>
      </c>
      <c r="BN141" s="14" t="s">
        <v>2048</v>
      </c>
      <c r="BO141" s="14" t="s">
        <v>2518</v>
      </c>
      <c r="BP141" s="14" t="s">
        <v>2064</v>
      </c>
      <c r="BQ141" s="14" t="s">
        <v>72</v>
      </c>
      <c r="BR141" s="14" t="s">
        <v>72</v>
      </c>
      <c r="BS141" s="14" t="s">
        <v>2048</v>
      </c>
      <c r="BT141" s="14" t="s">
        <v>4280</v>
      </c>
      <c r="BU141" s="14" t="s">
        <v>4281</v>
      </c>
      <c r="BV141" s="14" t="s">
        <v>2331</v>
      </c>
      <c r="BW141" s="14" t="s">
        <v>2131</v>
      </c>
      <c r="BX141" s="14" t="s">
        <v>72</v>
      </c>
      <c r="BY141" s="14" t="s">
        <v>2048</v>
      </c>
      <c r="BZ141" s="14" t="s">
        <v>2048</v>
      </c>
      <c r="CA141" s="14" t="s">
        <v>2048</v>
      </c>
      <c r="CB141" s="14" t="s">
        <v>72</v>
      </c>
      <c r="CC141" s="14" t="s">
        <v>2048</v>
      </c>
      <c r="CD141" s="14" t="s">
        <v>72</v>
      </c>
      <c r="CE141" s="14" t="s">
        <v>2048</v>
      </c>
      <c r="CF141" s="14" t="s">
        <v>2048</v>
      </c>
      <c r="CG141" s="14" t="s">
        <v>2048</v>
      </c>
      <c r="CH141" s="14" t="s">
        <v>2048</v>
      </c>
      <c r="CI141" s="14" t="s">
        <v>2048</v>
      </c>
      <c r="CJ141" s="14" t="s">
        <v>2048</v>
      </c>
      <c r="CK141" s="14" t="s">
        <v>3603</v>
      </c>
      <c r="CL141" s="14" t="s">
        <v>3604</v>
      </c>
      <c r="CM141" s="14" t="s">
        <v>2048</v>
      </c>
      <c r="CN141" s="17"/>
      <c r="CO141" s="17">
        <v>43795</v>
      </c>
      <c r="CP141" s="17">
        <v>43795</v>
      </c>
      <c r="CR141" s="17">
        <v>45740</v>
      </c>
      <c r="CS141" s="19">
        <v>60</v>
      </c>
      <c r="CT141" s="19">
        <v>0</v>
      </c>
      <c r="CU141" s="19">
        <v>336.69</v>
      </c>
      <c r="CV141" s="19">
        <v>0</v>
      </c>
      <c r="CW141" s="19">
        <v>336.69</v>
      </c>
      <c r="CX141" s="19">
        <v>407.39</v>
      </c>
      <c r="CY141" s="19">
        <v>0</v>
      </c>
      <c r="CZ141" s="17"/>
      <c r="DA141" s="19">
        <v>0</v>
      </c>
      <c r="DB141" s="17"/>
      <c r="DC141" s="17"/>
      <c r="DD141" s="19">
        <v>0</v>
      </c>
      <c r="DE141" s="17"/>
      <c r="DF141" s="17"/>
      <c r="DG141" s="19">
        <v>100</v>
      </c>
      <c r="DH141" s="17"/>
      <c r="DI141" s="17">
        <v>46022</v>
      </c>
      <c r="DJ141" s="17"/>
      <c r="DK141" s="17"/>
      <c r="DL141" s="19">
        <v>0</v>
      </c>
      <c r="DM141" s="19">
        <v>0</v>
      </c>
    </row>
    <row r="142" spans="1:117" x14ac:dyDescent="0.2">
      <c r="A142" s="14" t="s">
        <v>3610</v>
      </c>
      <c r="B142" s="14" t="s">
        <v>170</v>
      </c>
      <c r="C142" s="14" t="s">
        <v>158</v>
      </c>
      <c r="D142" s="14" t="s">
        <v>159</v>
      </c>
      <c r="E142" s="14" t="s">
        <v>158</v>
      </c>
      <c r="F142" s="14" t="s">
        <v>171</v>
      </c>
      <c r="G142" s="17">
        <v>45561</v>
      </c>
      <c r="H142" s="14" t="s">
        <v>172</v>
      </c>
      <c r="I142" s="14" t="s">
        <v>71</v>
      </c>
      <c r="J142" s="14" t="s">
        <v>162</v>
      </c>
      <c r="K142" s="14" t="s">
        <v>163</v>
      </c>
      <c r="L142" s="14" t="s">
        <v>81</v>
      </c>
      <c r="M142" s="14" t="s">
        <v>82</v>
      </c>
      <c r="N142" s="16">
        <f>COUNTIF($M$3:M142, M142)</f>
        <v>8</v>
      </c>
      <c r="O142" s="16" t="str" cm="1">
        <f t="array" ref="O142">INDEX('[2]ALTA 20242025'!$B$2:$B$241, MATCH(1, ('[2]ALTA 20242025'!$I$2:$I$241=M142)*('[2]ALTA 20242025'!$J$2:$J$241=N142), 0))</f>
        <v>0699MWT</v>
      </c>
      <c r="P142" s="16"/>
      <c r="Q142" s="16"/>
      <c r="R142" s="14" t="s">
        <v>1258</v>
      </c>
      <c r="S142" s="14" t="s">
        <v>1259</v>
      </c>
      <c r="T142" s="14" t="s">
        <v>2048</v>
      </c>
      <c r="U142" s="14" t="s">
        <v>2048</v>
      </c>
      <c r="V142" s="14" t="s">
        <v>4282</v>
      </c>
      <c r="W142" s="14" t="s">
        <v>72</v>
      </c>
      <c r="X142" s="14" t="s">
        <v>72</v>
      </c>
      <c r="Y142" s="14" t="s">
        <v>2048</v>
      </c>
      <c r="Z142" s="14" t="s">
        <v>2048</v>
      </c>
      <c r="AA142" s="14" t="s">
        <v>2422</v>
      </c>
      <c r="AB142" s="14" t="s">
        <v>2049</v>
      </c>
      <c r="AC142" s="14" t="s">
        <v>3678</v>
      </c>
      <c r="AD142" s="14" t="s">
        <v>2048</v>
      </c>
      <c r="AE142" s="14" t="s">
        <v>2048</v>
      </c>
      <c r="AF142" s="14" t="s">
        <v>2048</v>
      </c>
      <c r="AG142" s="14" t="s">
        <v>2048</v>
      </c>
      <c r="AH142" s="14" t="s">
        <v>2048</v>
      </c>
      <c r="AI142" s="14" t="s">
        <v>2129</v>
      </c>
      <c r="AJ142" s="14" t="s">
        <v>2130</v>
      </c>
      <c r="AK142" s="14" t="s">
        <v>2055</v>
      </c>
      <c r="AL142" s="14" t="s">
        <v>2055</v>
      </c>
      <c r="AM142" s="14" t="s">
        <v>2055</v>
      </c>
      <c r="AN142" s="14" t="s">
        <v>3714</v>
      </c>
      <c r="AO142" s="14" t="s">
        <v>2048</v>
      </c>
      <c r="AP142" s="14" t="s">
        <v>2048</v>
      </c>
      <c r="AQ142" s="14" t="s">
        <v>2048</v>
      </c>
      <c r="AR142" s="14" t="s">
        <v>2207</v>
      </c>
      <c r="AS142" s="14" t="s">
        <v>4274</v>
      </c>
      <c r="AT142" s="14" t="s">
        <v>3767</v>
      </c>
      <c r="AU142" s="14" t="s">
        <v>2059</v>
      </c>
      <c r="AV142" s="14" t="s">
        <v>2060</v>
      </c>
      <c r="AW142" s="14" t="s">
        <v>2048</v>
      </c>
      <c r="AX142" s="14" t="s">
        <v>2048</v>
      </c>
      <c r="AY142" s="14" t="s">
        <v>2268</v>
      </c>
      <c r="AZ142" s="14" t="s">
        <v>2269</v>
      </c>
      <c r="BA142" s="14" t="s">
        <v>2048</v>
      </c>
      <c r="BB142" s="14" t="s">
        <v>2048</v>
      </c>
      <c r="BC142" s="14" t="s">
        <v>81</v>
      </c>
      <c r="BD142" s="14" t="s">
        <v>164</v>
      </c>
      <c r="BE142" s="14" t="s">
        <v>2769</v>
      </c>
      <c r="BF142" s="14" t="s">
        <v>2048</v>
      </c>
      <c r="BG142" s="14" t="s">
        <v>2048</v>
      </c>
      <c r="BH142" s="14" t="s">
        <v>2271</v>
      </c>
      <c r="BI142" s="14" t="s">
        <v>2272</v>
      </c>
      <c r="BJ142" s="14" t="s">
        <v>2271</v>
      </c>
      <c r="BK142" s="14" t="s">
        <v>2272</v>
      </c>
      <c r="BL142" s="14" t="s">
        <v>2273</v>
      </c>
      <c r="BM142" s="14" t="s">
        <v>2218</v>
      </c>
      <c r="BN142" s="14" t="s">
        <v>2048</v>
      </c>
      <c r="BO142" s="14" t="s">
        <v>2048</v>
      </c>
      <c r="BP142" s="14" t="s">
        <v>2064</v>
      </c>
      <c r="BQ142" s="14" t="s">
        <v>72</v>
      </c>
      <c r="BR142" s="14" t="s">
        <v>72</v>
      </c>
      <c r="BS142" s="14" t="s">
        <v>2048</v>
      </c>
      <c r="BT142" s="14" t="s">
        <v>2048</v>
      </c>
      <c r="BU142" s="14" t="s">
        <v>2048</v>
      </c>
      <c r="BV142" s="14" t="s">
        <v>3191</v>
      </c>
      <c r="BW142" s="14" t="s">
        <v>3192</v>
      </c>
      <c r="BX142" s="14" t="s">
        <v>2048</v>
      </c>
      <c r="BY142" s="14" t="s">
        <v>2048</v>
      </c>
      <c r="BZ142" s="14" t="s">
        <v>2048</v>
      </c>
      <c r="CA142" s="14" t="s">
        <v>2048</v>
      </c>
      <c r="CB142" s="14" t="s">
        <v>72</v>
      </c>
      <c r="CC142" s="14" t="s">
        <v>2048</v>
      </c>
      <c r="CD142" s="14" t="s">
        <v>2048</v>
      </c>
      <c r="CE142" s="14" t="s">
        <v>2048</v>
      </c>
      <c r="CF142" s="14" t="s">
        <v>2048</v>
      </c>
      <c r="CG142" s="14" t="s">
        <v>2048</v>
      </c>
      <c r="CH142" s="14" t="s">
        <v>2048</v>
      </c>
      <c r="CI142" s="14" t="s">
        <v>2048</v>
      </c>
      <c r="CJ142" s="14" t="s">
        <v>2048</v>
      </c>
      <c r="CK142" s="14" t="s">
        <v>3193</v>
      </c>
      <c r="CL142" s="14" t="s">
        <v>3194</v>
      </c>
      <c r="CM142" s="14" t="s">
        <v>2048</v>
      </c>
      <c r="CN142" s="17">
        <v>44333</v>
      </c>
      <c r="CO142" s="17">
        <v>41880</v>
      </c>
      <c r="CP142" s="17">
        <v>42641</v>
      </c>
      <c r="CR142" s="17">
        <v>45561</v>
      </c>
      <c r="CS142" s="19">
        <v>0</v>
      </c>
      <c r="CT142" s="19">
        <v>0</v>
      </c>
      <c r="CU142" s="19">
        <v>0</v>
      </c>
      <c r="CV142" s="19">
        <v>0</v>
      </c>
      <c r="CW142" s="19">
        <v>0</v>
      </c>
      <c r="CX142" s="19">
        <v>0</v>
      </c>
      <c r="CY142" s="19">
        <v>0</v>
      </c>
      <c r="CZ142" s="17"/>
      <c r="DA142" s="19">
        <v>0</v>
      </c>
      <c r="DB142" s="17"/>
      <c r="DC142" s="17">
        <v>45380</v>
      </c>
      <c r="DD142" s="19">
        <v>0</v>
      </c>
      <c r="DE142" s="17"/>
      <c r="DF142" s="17"/>
      <c r="DG142" s="19">
        <v>100</v>
      </c>
      <c r="DH142" s="17"/>
      <c r="DI142" s="17">
        <v>2958465</v>
      </c>
      <c r="DJ142" s="17"/>
      <c r="DK142" s="17"/>
      <c r="DL142" s="19">
        <v>0</v>
      </c>
      <c r="DM142" s="19">
        <v>0</v>
      </c>
    </row>
    <row r="143" spans="1:117" x14ac:dyDescent="0.2">
      <c r="A143" s="14" t="s">
        <v>3610</v>
      </c>
      <c r="B143" s="14" t="s">
        <v>178</v>
      </c>
      <c r="C143" s="14" t="s">
        <v>158</v>
      </c>
      <c r="D143" s="14" t="s">
        <v>159</v>
      </c>
      <c r="E143" s="14" t="s">
        <v>158</v>
      </c>
      <c r="F143" s="14" t="s">
        <v>171</v>
      </c>
      <c r="G143" s="17">
        <v>45561</v>
      </c>
      <c r="H143" s="14" t="s">
        <v>172</v>
      </c>
      <c r="I143" s="14" t="s">
        <v>71</v>
      </c>
      <c r="J143" s="14" t="s">
        <v>162</v>
      </c>
      <c r="K143" s="14" t="s">
        <v>163</v>
      </c>
      <c r="L143" s="14" t="s">
        <v>81</v>
      </c>
      <c r="M143" s="14" t="s">
        <v>82</v>
      </c>
      <c r="N143" s="16">
        <f>COUNTIF($M$3:M143, M143)</f>
        <v>9</v>
      </c>
      <c r="O143" s="16" t="str" cm="1">
        <f t="array" ref="O143">INDEX('[2]ALTA 20242025'!$B$2:$B$241, MATCH(1, ('[2]ALTA 20242025'!$I$2:$I$241=M143)*('[2]ALTA 20242025'!$J$2:$J$241=N143), 0))</f>
        <v>0700MWT</v>
      </c>
      <c r="P143" s="16"/>
      <c r="Q143" s="16"/>
      <c r="R143" s="14" t="s">
        <v>960</v>
      </c>
      <c r="S143" s="14" t="s">
        <v>961</v>
      </c>
      <c r="T143" s="14" t="s">
        <v>2048</v>
      </c>
      <c r="U143" s="14" t="s">
        <v>2048</v>
      </c>
      <c r="V143" s="14" t="s">
        <v>4283</v>
      </c>
      <c r="W143" s="14" t="s">
        <v>2048</v>
      </c>
      <c r="X143" s="14" t="s">
        <v>2048</v>
      </c>
      <c r="Y143" s="14" t="s">
        <v>2048</v>
      </c>
      <c r="Z143" s="14" t="s">
        <v>2048</v>
      </c>
      <c r="AA143" s="14" t="s">
        <v>2422</v>
      </c>
      <c r="AB143" s="14" t="s">
        <v>2049</v>
      </c>
      <c r="AC143" s="14" t="s">
        <v>3678</v>
      </c>
      <c r="AD143" s="14" t="s">
        <v>2048</v>
      </c>
      <c r="AE143" s="14" t="s">
        <v>2048</v>
      </c>
      <c r="AF143" s="14" t="s">
        <v>2048</v>
      </c>
      <c r="AG143" s="14" t="s">
        <v>2048</v>
      </c>
      <c r="AH143" s="14" t="s">
        <v>2048</v>
      </c>
      <c r="AI143" s="14" t="s">
        <v>2129</v>
      </c>
      <c r="AJ143" s="14" t="s">
        <v>2130</v>
      </c>
      <c r="AK143" s="14" t="s">
        <v>2048</v>
      </c>
      <c r="AL143" s="14" t="s">
        <v>2048</v>
      </c>
      <c r="AM143" s="14" t="s">
        <v>2048</v>
      </c>
      <c r="AN143" s="14" t="s">
        <v>3714</v>
      </c>
      <c r="AO143" s="14" t="s">
        <v>2048</v>
      </c>
      <c r="AP143" s="14" t="s">
        <v>2048</v>
      </c>
      <c r="AQ143" s="14" t="s">
        <v>2048</v>
      </c>
      <c r="AR143" s="14" t="s">
        <v>2207</v>
      </c>
      <c r="AS143" s="14" t="s">
        <v>4284</v>
      </c>
      <c r="AT143" s="14" t="s">
        <v>3472</v>
      </c>
      <c r="AU143" s="14" t="s">
        <v>2048</v>
      </c>
      <c r="AV143" s="14" t="s">
        <v>2060</v>
      </c>
      <c r="AW143" s="14" t="s">
        <v>2048</v>
      </c>
      <c r="AX143" s="14" t="s">
        <v>2048</v>
      </c>
      <c r="AY143" s="14" t="s">
        <v>2268</v>
      </c>
      <c r="AZ143" s="14" t="s">
        <v>2269</v>
      </c>
      <c r="BA143" s="14" t="s">
        <v>3664</v>
      </c>
      <c r="BB143" s="14" t="s">
        <v>2048</v>
      </c>
      <c r="BC143" s="14" t="s">
        <v>81</v>
      </c>
      <c r="BD143" s="14" t="s">
        <v>164</v>
      </c>
      <c r="BE143" s="14" t="s">
        <v>2769</v>
      </c>
      <c r="BF143" s="14" t="s">
        <v>2048</v>
      </c>
      <c r="BG143" s="14" t="s">
        <v>2048</v>
      </c>
      <c r="BH143" s="14" t="s">
        <v>2271</v>
      </c>
      <c r="BI143" s="14" t="s">
        <v>2272</v>
      </c>
      <c r="BJ143" s="14" t="s">
        <v>2271</v>
      </c>
      <c r="BK143" s="14" t="s">
        <v>2272</v>
      </c>
      <c r="BL143" s="14" t="s">
        <v>2273</v>
      </c>
      <c r="BM143" s="14" t="s">
        <v>2218</v>
      </c>
      <c r="BN143" s="14" t="s">
        <v>2048</v>
      </c>
      <c r="BO143" s="14" t="s">
        <v>2518</v>
      </c>
      <c r="BP143" s="14" t="s">
        <v>2064</v>
      </c>
      <c r="BQ143" s="14" t="s">
        <v>2048</v>
      </c>
      <c r="BR143" s="14" t="s">
        <v>2048</v>
      </c>
      <c r="BS143" s="14" t="s">
        <v>4285</v>
      </c>
      <c r="BT143" s="14" t="s">
        <v>2048</v>
      </c>
      <c r="BU143" s="14" t="s">
        <v>2048</v>
      </c>
      <c r="BV143" s="14" t="s">
        <v>3191</v>
      </c>
      <c r="BW143" s="14" t="s">
        <v>3192</v>
      </c>
      <c r="BX143" s="14" t="s">
        <v>2048</v>
      </c>
      <c r="BY143" s="14" t="s">
        <v>2048</v>
      </c>
      <c r="BZ143" s="14" t="s">
        <v>2048</v>
      </c>
      <c r="CA143" s="14" t="s">
        <v>2048</v>
      </c>
      <c r="CB143" s="14" t="s">
        <v>2048</v>
      </c>
      <c r="CC143" s="14" t="s">
        <v>2048</v>
      </c>
      <c r="CD143" s="14" t="s">
        <v>2048</v>
      </c>
      <c r="CE143" s="14" t="s">
        <v>2048</v>
      </c>
      <c r="CF143" s="14" t="s">
        <v>2048</v>
      </c>
      <c r="CG143" s="14" t="s">
        <v>2048</v>
      </c>
      <c r="CH143" s="14" t="s">
        <v>2048</v>
      </c>
      <c r="CI143" s="14" t="s">
        <v>2048</v>
      </c>
      <c r="CJ143" s="14" t="s">
        <v>2048</v>
      </c>
      <c r="CK143" s="14" t="s">
        <v>3193</v>
      </c>
      <c r="CL143" s="14" t="s">
        <v>3194</v>
      </c>
      <c r="CM143" s="14" t="s">
        <v>2048</v>
      </c>
      <c r="CN143" s="17">
        <v>42817</v>
      </c>
      <c r="CO143" s="17">
        <v>40830</v>
      </c>
      <c r="CP143" s="17">
        <v>40830</v>
      </c>
      <c r="CR143" s="17">
        <v>45594</v>
      </c>
      <c r="CS143" s="19">
        <v>0</v>
      </c>
      <c r="CT143" s="19">
        <v>0</v>
      </c>
      <c r="CU143" s="19">
        <v>0</v>
      </c>
      <c r="CV143" s="19">
        <v>0</v>
      </c>
      <c r="CW143" s="19">
        <v>0</v>
      </c>
      <c r="CX143" s="19">
        <v>0</v>
      </c>
      <c r="CY143" s="19">
        <v>0</v>
      </c>
      <c r="CZ143" s="17"/>
      <c r="DA143" s="20">
        <v>22162</v>
      </c>
      <c r="DB143" s="17">
        <v>43555</v>
      </c>
      <c r="DC143" s="17">
        <v>43830</v>
      </c>
      <c r="DD143" s="19">
        <v>0</v>
      </c>
      <c r="DE143" s="17"/>
      <c r="DF143" s="17"/>
      <c r="DG143" s="19">
        <v>100</v>
      </c>
      <c r="DH143" s="17"/>
      <c r="DI143" s="17">
        <v>2958465</v>
      </c>
      <c r="DJ143" s="17"/>
      <c r="DK143" s="17"/>
      <c r="DL143" s="19">
        <v>0</v>
      </c>
      <c r="DM143" s="19">
        <v>0</v>
      </c>
    </row>
    <row r="144" spans="1:117" x14ac:dyDescent="0.2">
      <c r="A144" s="14" t="s">
        <v>3610</v>
      </c>
      <c r="B144" s="14" t="s">
        <v>184</v>
      </c>
      <c r="C144" s="14" t="s">
        <v>158</v>
      </c>
      <c r="D144" s="14" t="s">
        <v>159</v>
      </c>
      <c r="E144" s="14" t="s">
        <v>158</v>
      </c>
      <c r="F144" s="14" t="s">
        <v>171</v>
      </c>
      <c r="G144" s="17">
        <v>45561</v>
      </c>
      <c r="H144" s="14" t="s">
        <v>172</v>
      </c>
      <c r="I144" s="14" t="s">
        <v>71</v>
      </c>
      <c r="J144" s="14" t="s">
        <v>162</v>
      </c>
      <c r="K144" s="14" t="s">
        <v>163</v>
      </c>
      <c r="L144" s="14" t="s">
        <v>81</v>
      </c>
      <c r="M144" s="14" t="s">
        <v>82</v>
      </c>
      <c r="N144" s="16">
        <f>COUNTIF($M$3:M144, M144)</f>
        <v>10</v>
      </c>
      <c r="O144" s="16" t="str" cm="1">
        <f t="array" ref="O144">INDEX('[2]ALTA 20242025'!$B$2:$B$241, MATCH(1, ('[2]ALTA 20242025'!$I$2:$I$241=M144)*('[2]ALTA 20242025'!$J$2:$J$241=N144), 0))</f>
        <v>0701MWT</v>
      </c>
      <c r="P144" s="16"/>
      <c r="Q144" s="16"/>
      <c r="R144" s="14" t="s">
        <v>2048</v>
      </c>
      <c r="S144" s="14" t="s">
        <v>2048</v>
      </c>
      <c r="T144" s="14" t="s">
        <v>2048</v>
      </c>
      <c r="U144" s="14" t="s">
        <v>2048</v>
      </c>
      <c r="V144" s="14" t="s">
        <v>4286</v>
      </c>
      <c r="W144" s="14" t="s">
        <v>2048</v>
      </c>
      <c r="X144" s="14" t="s">
        <v>2048</v>
      </c>
      <c r="Y144" s="14" t="s">
        <v>2048</v>
      </c>
      <c r="Z144" s="14" t="s">
        <v>2048</v>
      </c>
      <c r="AA144" s="14" t="s">
        <v>2048</v>
      </c>
      <c r="AB144" s="14" t="s">
        <v>2048</v>
      </c>
      <c r="AC144" s="14" t="s">
        <v>3678</v>
      </c>
      <c r="AD144" s="14" t="s">
        <v>2048</v>
      </c>
      <c r="AE144" s="14" t="s">
        <v>2048</v>
      </c>
      <c r="AF144" s="14" t="s">
        <v>2048</v>
      </c>
      <c r="AG144" s="14" t="s">
        <v>2048</v>
      </c>
      <c r="AH144" s="14" t="s">
        <v>2048</v>
      </c>
      <c r="AI144" s="14" t="s">
        <v>2129</v>
      </c>
      <c r="AJ144" s="14" t="s">
        <v>2130</v>
      </c>
      <c r="AK144" s="14" t="s">
        <v>2055</v>
      </c>
      <c r="AL144" s="14" t="s">
        <v>2055</v>
      </c>
      <c r="AM144" s="14" t="s">
        <v>2055</v>
      </c>
      <c r="AN144" s="14" t="s">
        <v>3714</v>
      </c>
      <c r="AO144" s="14" t="s">
        <v>2048</v>
      </c>
      <c r="AP144" s="14" t="s">
        <v>2048</v>
      </c>
      <c r="AQ144" s="14" t="s">
        <v>2048</v>
      </c>
      <c r="AR144" s="14" t="s">
        <v>2207</v>
      </c>
      <c r="AS144" s="14" t="s">
        <v>4287</v>
      </c>
      <c r="AT144" s="14" t="s">
        <v>2331</v>
      </c>
      <c r="AU144" s="14" t="s">
        <v>2048</v>
      </c>
      <c r="AV144" s="14" t="s">
        <v>4288</v>
      </c>
      <c r="AW144" s="14" t="s">
        <v>4289</v>
      </c>
      <c r="AX144" s="14" t="s">
        <v>2048</v>
      </c>
      <c r="AY144" s="14" t="s">
        <v>2268</v>
      </c>
      <c r="AZ144" s="14" t="s">
        <v>2269</v>
      </c>
      <c r="BA144" s="14" t="s">
        <v>3664</v>
      </c>
      <c r="BB144" s="14" t="s">
        <v>2048</v>
      </c>
      <c r="BC144" s="14" t="s">
        <v>81</v>
      </c>
      <c r="BD144" s="14" t="s">
        <v>164</v>
      </c>
      <c r="BE144" s="14" t="s">
        <v>2769</v>
      </c>
      <c r="BF144" s="14" t="s">
        <v>2048</v>
      </c>
      <c r="BG144" s="14" t="s">
        <v>2048</v>
      </c>
      <c r="BH144" s="14" t="s">
        <v>2271</v>
      </c>
      <c r="BI144" s="14" t="s">
        <v>2272</v>
      </c>
      <c r="BJ144" s="14" t="s">
        <v>2271</v>
      </c>
      <c r="BK144" s="14" t="s">
        <v>2272</v>
      </c>
      <c r="BL144" s="14" t="s">
        <v>2273</v>
      </c>
      <c r="BM144" s="14" t="s">
        <v>2218</v>
      </c>
      <c r="BN144" s="14" t="s">
        <v>2048</v>
      </c>
      <c r="BO144" s="14" t="s">
        <v>2048</v>
      </c>
      <c r="BP144" s="14" t="s">
        <v>2064</v>
      </c>
      <c r="BQ144" s="14" t="s">
        <v>72</v>
      </c>
      <c r="BR144" s="14" t="s">
        <v>72</v>
      </c>
      <c r="BS144" s="14" t="s">
        <v>4290</v>
      </c>
      <c r="BT144" s="14" t="s">
        <v>2219</v>
      </c>
      <c r="BU144" s="14" t="s">
        <v>2220</v>
      </c>
      <c r="BV144" s="14" t="s">
        <v>3191</v>
      </c>
      <c r="BW144" s="14" t="s">
        <v>3192</v>
      </c>
      <c r="BX144" s="14" t="s">
        <v>2048</v>
      </c>
      <c r="BY144" s="14" t="s">
        <v>2048</v>
      </c>
      <c r="BZ144" s="14" t="s">
        <v>2048</v>
      </c>
      <c r="CA144" s="14" t="s">
        <v>2048</v>
      </c>
      <c r="CB144" s="14" t="s">
        <v>2048</v>
      </c>
      <c r="CC144" s="14" t="s">
        <v>2048</v>
      </c>
      <c r="CD144" s="14" t="s">
        <v>2048</v>
      </c>
      <c r="CE144" s="14" t="s">
        <v>2048</v>
      </c>
      <c r="CF144" s="14" t="s">
        <v>2048</v>
      </c>
      <c r="CG144" s="14" t="s">
        <v>2048</v>
      </c>
      <c r="CH144" s="14" t="s">
        <v>2048</v>
      </c>
      <c r="CI144" s="14" t="s">
        <v>2048</v>
      </c>
      <c r="CJ144" s="14" t="s">
        <v>2048</v>
      </c>
      <c r="CK144" s="14" t="s">
        <v>3193</v>
      </c>
      <c r="CL144" s="14" t="s">
        <v>3194</v>
      </c>
      <c r="CM144" s="14" t="s">
        <v>2048</v>
      </c>
      <c r="CN144" s="17"/>
      <c r="CO144" s="17">
        <v>41017</v>
      </c>
      <c r="CP144" s="17">
        <v>41017</v>
      </c>
      <c r="CR144" s="17">
        <v>45561</v>
      </c>
      <c r="CS144" s="19">
        <v>0</v>
      </c>
      <c r="CT144" s="19">
        <v>0</v>
      </c>
      <c r="CU144" s="19">
        <v>0</v>
      </c>
      <c r="CV144" s="19">
        <v>0</v>
      </c>
      <c r="CW144" s="19">
        <v>0</v>
      </c>
      <c r="CX144" s="19">
        <v>0</v>
      </c>
      <c r="CY144" s="19">
        <v>0</v>
      </c>
      <c r="CZ144" s="17"/>
      <c r="DA144" s="20">
        <v>35888</v>
      </c>
      <c r="DB144" s="17">
        <v>43555</v>
      </c>
      <c r="DC144" s="17">
        <v>44657</v>
      </c>
      <c r="DD144" s="19">
        <v>0</v>
      </c>
      <c r="DE144" s="17"/>
      <c r="DF144" s="17"/>
      <c r="DG144" s="19">
        <v>100</v>
      </c>
      <c r="DH144" s="17"/>
      <c r="DI144" s="17">
        <v>2958465</v>
      </c>
      <c r="DJ144" s="17"/>
      <c r="DK144" s="17"/>
      <c r="DL144" s="19">
        <v>0</v>
      </c>
      <c r="DM144" s="19">
        <v>0</v>
      </c>
    </row>
    <row r="145" spans="1:117" x14ac:dyDescent="0.2">
      <c r="A145" s="14" t="s">
        <v>3610</v>
      </c>
      <c r="B145" s="14" t="s">
        <v>843</v>
      </c>
      <c r="C145" s="14" t="s">
        <v>158</v>
      </c>
      <c r="D145" s="14" t="s">
        <v>159</v>
      </c>
      <c r="E145" s="14" t="s">
        <v>158</v>
      </c>
      <c r="F145" s="14" t="s">
        <v>171</v>
      </c>
      <c r="G145" s="17">
        <v>45561</v>
      </c>
      <c r="H145" s="14" t="s">
        <v>172</v>
      </c>
      <c r="I145" s="14" t="s">
        <v>71</v>
      </c>
      <c r="J145" s="14" t="s">
        <v>844</v>
      </c>
      <c r="K145" s="14" t="s">
        <v>845</v>
      </c>
      <c r="L145" s="14" t="s">
        <v>81</v>
      </c>
      <c r="M145" s="14" t="s">
        <v>82</v>
      </c>
      <c r="N145" s="16">
        <f>COUNTIF($M$3:M145, M145)</f>
        <v>11</v>
      </c>
      <c r="O145" s="16" t="str" cm="1">
        <f t="array" ref="O145">INDEX('[2]ALTA 20242025'!$B$2:$B$241, MATCH(1, ('[2]ALTA 20242025'!$I$2:$I$241=M145)*('[2]ALTA 20242025'!$J$2:$J$241=N145), 0))</f>
        <v>0773MXH</v>
      </c>
      <c r="P145" s="16"/>
      <c r="Q145" s="16"/>
      <c r="R145" s="14" t="s">
        <v>2048</v>
      </c>
      <c r="S145" s="14" t="s">
        <v>2048</v>
      </c>
      <c r="T145" s="14" t="s">
        <v>2048</v>
      </c>
      <c r="U145" s="14" t="s">
        <v>2048</v>
      </c>
      <c r="V145" s="14" t="s">
        <v>4291</v>
      </c>
      <c r="W145" s="14" t="s">
        <v>2048</v>
      </c>
      <c r="X145" s="14" t="s">
        <v>2048</v>
      </c>
      <c r="Y145" s="14" t="s">
        <v>2048</v>
      </c>
      <c r="Z145" s="14" t="s">
        <v>2048</v>
      </c>
      <c r="AA145" s="14" t="s">
        <v>2048</v>
      </c>
      <c r="AB145" s="14" t="s">
        <v>2048</v>
      </c>
      <c r="AC145" s="14" t="s">
        <v>3678</v>
      </c>
      <c r="AD145" s="14" t="s">
        <v>2048</v>
      </c>
      <c r="AE145" s="14" t="s">
        <v>2048</v>
      </c>
      <c r="AF145" s="14" t="s">
        <v>2048</v>
      </c>
      <c r="AG145" s="14" t="s">
        <v>2048</v>
      </c>
      <c r="AH145" s="14" t="s">
        <v>2048</v>
      </c>
      <c r="AI145" s="14" t="s">
        <v>2129</v>
      </c>
      <c r="AJ145" s="14" t="s">
        <v>2130</v>
      </c>
      <c r="AK145" s="14" t="s">
        <v>2048</v>
      </c>
      <c r="AL145" s="14" t="s">
        <v>2048</v>
      </c>
      <c r="AM145" s="14" t="s">
        <v>2048</v>
      </c>
      <c r="AN145" s="14" t="s">
        <v>3714</v>
      </c>
      <c r="AO145" s="14" t="s">
        <v>2048</v>
      </c>
      <c r="AP145" s="14" t="s">
        <v>2048</v>
      </c>
      <c r="AQ145" s="14" t="s">
        <v>2048</v>
      </c>
      <c r="AR145" s="14" t="s">
        <v>2207</v>
      </c>
      <c r="AS145" s="14" t="s">
        <v>4292</v>
      </c>
      <c r="AT145" s="14" t="s">
        <v>2862</v>
      </c>
      <c r="AU145" s="14" t="s">
        <v>2048</v>
      </c>
      <c r="AV145" s="14" t="s">
        <v>2060</v>
      </c>
      <c r="AW145" s="14" t="s">
        <v>2048</v>
      </c>
      <c r="AX145" s="14" t="s">
        <v>2048</v>
      </c>
      <c r="AY145" s="14" t="s">
        <v>2268</v>
      </c>
      <c r="AZ145" s="14" t="s">
        <v>2269</v>
      </c>
      <c r="BA145" s="14" t="s">
        <v>3664</v>
      </c>
      <c r="BB145" s="14" t="s">
        <v>2048</v>
      </c>
      <c r="BC145" s="14" t="s">
        <v>81</v>
      </c>
      <c r="BD145" s="14" t="s">
        <v>164</v>
      </c>
      <c r="BE145" s="14" t="s">
        <v>2769</v>
      </c>
      <c r="BF145" s="14" t="s">
        <v>2048</v>
      </c>
      <c r="BG145" s="14" t="s">
        <v>2048</v>
      </c>
      <c r="BH145" s="14" t="s">
        <v>2271</v>
      </c>
      <c r="BI145" s="14" t="s">
        <v>2272</v>
      </c>
      <c r="BJ145" s="14" t="s">
        <v>2271</v>
      </c>
      <c r="BK145" s="14" t="s">
        <v>2272</v>
      </c>
      <c r="BL145" s="14" t="s">
        <v>2273</v>
      </c>
      <c r="BM145" s="14" t="s">
        <v>2218</v>
      </c>
      <c r="BN145" s="14" t="s">
        <v>2048</v>
      </c>
      <c r="BO145" s="14" t="s">
        <v>2048</v>
      </c>
      <c r="BP145" s="14" t="s">
        <v>2064</v>
      </c>
      <c r="BQ145" s="14" t="s">
        <v>72</v>
      </c>
      <c r="BR145" s="14" t="s">
        <v>72</v>
      </c>
      <c r="BS145" s="14" t="s">
        <v>4293</v>
      </c>
      <c r="BT145" s="14" t="s">
        <v>2048</v>
      </c>
      <c r="BU145" s="14" t="s">
        <v>2048</v>
      </c>
      <c r="BV145" s="14" t="s">
        <v>3191</v>
      </c>
      <c r="BW145" s="14" t="s">
        <v>3192</v>
      </c>
      <c r="BX145" s="14" t="s">
        <v>2048</v>
      </c>
      <c r="BY145" s="14" t="s">
        <v>2048</v>
      </c>
      <c r="BZ145" s="14" t="s">
        <v>2048</v>
      </c>
      <c r="CA145" s="14" t="s">
        <v>2048</v>
      </c>
      <c r="CB145" s="14" t="s">
        <v>2048</v>
      </c>
      <c r="CC145" s="14" t="s">
        <v>2048</v>
      </c>
      <c r="CD145" s="14" t="s">
        <v>2048</v>
      </c>
      <c r="CE145" s="14" t="s">
        <v>2048</v>
      </c>
      <c r="CF145" s="14" t="s">
        <v>2048</v>
      </c>
      <c r="CG145" s="14" t="s">
        <v>2048</v>
      </c>
      <c r="CH145" s="14" t="s">
        <v>2048</v>
      </c>
      <c r="CI145" s="14" t="s">
        <v>2048</v>
      </c>
      <c r="CJ145" s="14" t="s">
        <v>2048</v>
      </c>
      <c r="CK145" s="14" t="s">
        <v>3193</v>
      </c>
      <c r="CL145" s="14" t="s">
        <v>3194</v>
      </c>
      <c r="CM145" s="14" t="s">
        <v>2048</v>
      </c>
      <c r="CN145" s="17"/>
      <c r="CO145" s="17">
        <v>41544</v>
      </c>
      <c r="CP145" s="17">
        <v>41544</v>
      </c>
      <c r="CR145" s="17">
        <v>45561</v>
      </c>
      <c r="CS145" s="19">
        <v>0</v>
      </c>
      <c r="CT145" s="19">
        <v>0</v>
      </c>
      <c r="CU145" s="19">
        <v>0</v>
      </c>
      <c r="CV145" s="19">
        <v>0</v>
      </c>
      <c r="CW145" s="19">
        <v>0</v>
      </c>
      <c r="CX145" s="19">
        <v>0</v>
      </c>
      <c r="CY145" s="19">
        <v>0</v>
      </c>
      <c r="CZ145" s="17"/>
      <c r="DA145" s="20">
        <v>36835</v>
      </c>
      <c r="DB145" s="17">
        <v>43555</v>
      </c>
      <c r="DC145" s="17"/>
      <c r="DD145" s="19">
        <v>0</v>
      </c>
      <c r="DE145" s="17"/>
      <c r="DF145" s="17"/>
      <c r="DG145" s="19">
        <v>100</v>
      </c>
      <c r="DH145" s="17"/>
      <c r="DI145" s="17">
        <v>2958465</v>
      </c>
      <c r="DJ145" s="17"/>
      <c r="DK145" s="17"/>
      <c r="DL145" s="19">
        <v>0</v>
      </c>
      <c r="DM145" s="19">
        <v>0</v>
      </c>
    </row>
    <row r="146" spans="1:117" x14ac:dyDescent="0.2">
      <c r="A146" s="14" t="s">
        <v>3610</v>
      </c>
      <c r="B146" s="14" t="s">
        <v>475</v>
      </c>
      <c r="C146" s="14" t="s">
        <v>73</v>
      </c>
      <c r="D146" s="14" t="s">
        <v>200</v>
      </c>
      <c r="E146" s="14" t="s">
        <v>201</v>
      </c>
      <c r="F146" s="14" t="s">
        <v>76</v>
      </c>
      <c r="G146" s="17">
        <v>45565</v>
      </c>
      <c r="H146" s="14" t="s">
        <v>77</v>
      </c>
      <c r="I146" s="14" t="s">
        <v>78</v>
      </c>
      <c r="J146" s="14" t="s">
        <v>467</v>
      </c>
      <c r="K146" s="14" t="s">
        <v>476</v>
      </c>
      <c r="L146" s="14" t="s">
        <v>190</v>
      </c>
      <c r="M146" s="14" t="s">
        <v>191</v>
      </c>
      <c r="N146" s="16">
        <f>COUNTIF($M$3:M146, M146)</f>
        <v>4</v>
      </c>
      <c r="O146" s="16" t="str" cm="1">
        <f t="array" ref="O146">INDEX('[2]ALTA 20242025'!$B$2:$B$241, MATCH(1, ('[2]ALTA 20242025'!$I$2:$I$241=M146)*('[2]ALTA 20242025'!$J$2:$J$241=N146), 0))</f>
        <v>6124MWV</v>
      </c>
      <c r="P146" s="16"/>
      <c r="Q146" s="16"/>
      <c r="R146" s="14" t="s">
        <v>584</v>
      </c>
      <c r="S146" s="14" t="s">
        <v>585</v>
      </c>
      <c r="T146" s="14" t="s">
        <v>2048</v>
      </c>
      <c r="U146" s="14" t="s">
        <v>2048</v>
      </c>
      <c r="V146" s="14" t="s">
        <v>4294</v>
      </c>
      <c r="W146" s="14" t="s">
        <v>4295</v>
      </c>
      <c r="X146" s="14" t="s">
        <v>3818</v>
      </c>
      <c r="Y146" s="14" t="s">
        <v>4296</v>
      </c>
      <c r="Z146" s="14" t="s">
        <v>2048</v>
      </c>
      <c r="AA146" s="14" t="s">
        <v>2422</v>
      </c>
      <c r="AB146" s="14" t="s">
        <v>2049</v>
      </c>
      <c r="AC146" s="14" t="s">
        <v>2050</v>
      </c>
      <c r="AD146" s="14" t="s">
        <v>3725</v>
      </c>
      <c r="AE146" s="14" t="s">
        <v>3613</v>
      </c>
      <c r="AF146" s="14" t="s">
        <v>3614</v>
      </c>
      <c r="AG146" s="14" t="s">
        <v>200</v>
      </c>
      <c r="AH146" s="14" t="s">
        <v>3622</v>
      </c>
      <c r="AI146" s="14" t="s">
        <v>2132</v>
      </c>
      <c r="AJ146" s="14" t="s">
        <v>2133</v>
      </c>
      <c r="AK146" s="14" t="s">
        <v>2056</v>
      </c>
      <c r="AL146" s="14" t="s">
        <v>2055</v>
      </c>
      <c r="AM146" s="14" t="s">
        <v>2055</v>
      </c>
      <c r="AN146" s="14" t="s">
        <v>2068</v>
      </c>
      <c r="AO146" s="14" t="s">
        <v>2048</v>
      </c>
      <c r="AP146" s="14" t="s">
        <v>2048</v>
      </c>
      <c r="AQ146" s="14" t="s">
        <v>2048</v>
      </c>
      <c r="AR146" s="14" t="s">
        <v>3023</v>
      </c>
      <c r="AS146" s="14" t="s">
        <v>3693</v>
      </c>
      <c r="AT146" s="14" t="s">
        <v>2535</v>
      </c>
      <c r="AU146" s="14" t="s">
        <v>2059</v>
      </c>
      <c r="AV146" s="14" t="s">
        <v>4297</v>
      </c>
      <c r="AW146" s="14" t="s">
        <v>4298</v>
      </c>
      <c r="AX146" s="14" t="s">
        <v>72</v>
      </c>
      <c r="AY146" s="14" t="s">
        <v>3044</v>
      </c>
      <c r="AZ146" s="14" t="s">
        <v>3045</v>
      </c>
      <c r="BA146" s="14" t="s">
        <v>3664</v>
      </c>
      <c r="BB146" s="14" t="s">
        <v>2048</v>
      </c>
      <c r="BC146" s="14" t="s">
        <v>190</v>
      </c>
      <c r="BD146" s="14" t="s">
        <v>477</v>
      </c>
      <c r="BE146" s="14" t="s">
        <v>3238</v>
      </c>
      <c r="BF146" s="14" t="s">
        <v>2048</v>
      </c>
      <c r="BG146" s="14" t="s">
        <v>2048</v>
      </c>
      <c r="BH146" s="14" t="s">
        <v>2433</v>
      </c>
      <c r="BI146" s="14" t="s">
        <v>2434</v>
      </c>
      <c r="BJ146" s="14" t="s">
        <v>2048</v>
      </c>
      <c r="BK146" s="14" t="s">
        <v>2048</v>
      </c>
      <c r="BL146" s="14" t="s">
        <v>3047</v>
      </c>
      <c r="BM146" s="14" t="s">
        <v>2287</v>
      </c>
      <c r="BN146" s="14" t="s">
        <v>2048</v>
      </c>
      <c r="BO146" s="14" t="s">
        <v>2048</v>
      </c>
      <c r="BP146" s="14" t="s">
        <v>2064</v>
      </c>
      <c r="BQ146" s="14" t="s">
        <v>72</v>
      </c>
      <c r="BR146" s="14" t="s">
        <v>72</v>
      </c>
      <c r="BS146" s="14" t="s">
        <v>2048</v>
      </c>
      <c r="BT146" s="14" t="s">
        <v>2986</v>
      </c>
      <c r="BU146" s="14" t="s">
        <v>2987</v>
      </c>
      <c r="BV146" s="14" t="s">
        <v>2331</v>
      </c>
      <c r="BW146" s="14" t="s">
        <v>2131</v>
      </c>
      <c r="BX146" s="14" t="s">
        <v>2048</v>
      </c>
      <c r="BY146" s="14" t="s">
        <v>2048</v>
      </c>
      <c r="BZ146" s="14" t="s">
        <v>2048</v>
      </c>
      <c r="CA146" s="14" t="s">
        <v>2048</v>
      </c>
      <c r="CB146" s="14" t="s">
        <v>72</v>
      </c>
      <c r="CC146" s="14" t="s">
        <v>2048</v>
      </c>
      <c r="CD146" s="14" t="s">
        <v>2048</v>
      </c>
      <c r="CE146" s="14" t="s">
        <v>2048</v>
      </c>
      <c r="CF146" s="14" t="s">
        <v>2048</v>
      </c>
      <c r="CG146" s="14" t="s">
        <v>2048</v>
      </c>
      <c r="CH146" s="14" t="s">
        <v>2048</v>
      </c>
      <c r="CI146" s="14" t="s">
        <v>2048</v>
      </c>
      <c r="CJ146" s="14" t="s">
        <v>2048</v>
      </c>
      <c r="CK146" s="14" t="s">
        <v>2066</v>
      </c>
      <c r="CL146" s="14" t="s">
        <v>4299</v>
      </c>
      <c r="CM146" s="14" t="s">
        <v>2048</v>
      </c>
      <c r="CN146" s="17">
        <v>45323</v>
      </c>
      <c r="CO146" s="17">
        <v>42923</v>
      </c>
      <c r="CP146" s="17">
        <v>42923</v>
      </c>
      <c r="CR146" s="17">
        <v>45799</v>
      </c>
      <c r="CS146" s="19">
        <v>87</v>
      </c>
      <c r="CT146" s="19">
        <v>0</v>
      </c>
      <c r="CU146" s="19">
        <v>336.89</v>
      </c>
      <c r="CV146" s="19">
        <v>0</v>
      </c>
      <c r="CW146" s="19">
        <v>336.89</v>
      </c>
      <c r="CX146" s="19">
        <v>407.64</v>
      </c>
      <c r="CY146" s="19">
        <v>0</v>
      </c>
      <c r="CZ146" s="17"/>
      <c r="DA146" s="20">
        <v>29550</v>
      </c>
      <c r="DB146" s="17">
        <v>43555</v>
      </c>
      <c r="DC146" s="17">
        <v>46157</v>
      </c>
      <c r="DD146" s="19">
        <v>0</v>
      </c>
      <c r="DE146" s="17"/>
      <c r="DF146" s="17"/>
      <c r="DG146" s="19">
        <v>100</v>
      </c>
      <c r="DH146" s="17"/>
      <c r="DI146" s="17">
        <v>46022</v>
      </c>
      <c r="DJ146" s="17"/>
      <c r="DK146" s="17"/>
      <c r="DL146" s="19">
        <v>0</v>
      </c>
      <c r="DM146" s="19">
        <v>0</v>
      </c>
    </row>
    <row r="147" spans="1:117" x14ac:dyDescent="0.2">
      <c r="A147" s="14" t="s">
        <v>3610</v>
      </c>
      <c r="B147" s="14" t="s">
        <v>147</v>
      </c>
      <c r="C147" s="14" t="s">
        <v>73</v>
      </c>
      <c r="D147" s="14" t="s">
        <v>74</v>
      </c>
      <c r="E147" s="14" t="s">
        <v>75</v>
      </c>
      <c r="F147" s="14" t="s">
        <v>76</v>
      </c>
      <c r="G147" s="17">
        <v>45565</v>
      </c>
      <c r="H147" s="14" t="s">
        <v>77</v>
      </c>
      <c r="I147" s="14" t="s">
        <v>78</v>
      </c>
      <c r="J147" s="14" t="s">
        <v>140</v>
      </c>
      <c r="K147" s="14" t="s">
        <v>148</v>
      </c>
      <c r="L147" s="14" t="s">
        <v>119</v>
      </c>
      <c r="M147" s="14" t="s">
        <v>120</v>
      </c>
      <c r="N147" s="16">
        <f>COUNTIF($M$3:M147, M147)</f>
        <v>11</v>
      </c>
      <c r="O147" s="16" t="str" cm="1">
        <f t="array" ref="O147">INDEX('[2]ALTA 20242025'!$B$2:$B$241, MATCH(1, ('[2]ALTA 20242025'!$I$2:$I$241=M147)*('[2]ALTA 20242025'!$J$2:$J$241=N147), 0))</f>
        <v>6015MWV</v>
      </c>
      <c r="P147" s="16"/>
      <c r="Q147" s="16"/>
      <c r="R147" s="14" t="s">
        <v>2048</v>
      </c>
      <c r="S147" s="14" t="s">
        <v>2048</v>
      </c>
      <c r="T147" s="14" t="s">
        <v>2048</v>
      </c>
      <c r="U147" s="14" t="s">
        <v>2048</v>
      </c>
      <c r="V147" s="14" t="s">
        <v>4300</v>
      </c>
      <c r="W147" s="14" t="s">
        <v>4176</v>
      </c>
      <c r="X147" s="14" t="s">
        <v>4301</v>
      </c>
      <c r="Y147" s="14" t="s">
        <v>4302</v>
      </c>
      <c r="Z147" s="14" t="s">
        <v>2048</v>
      </c>
      <c r="AA147" s="14" t="s">
        <v>2422</v>
      </c>
      <c r="AB147" s="14" t="s">
        <v>2049</v>
      </c>
      <c r="AC147" s="14" t="s">
        <v>2050</v>
      </c>
      <c r="AD147" s="14" t="s">
        <v>2048</v>
      </c>
      <c r="AE147" s="14" t="s">
        <v>2048</v>
      </c>
      <c r="AF147" s="14" t="s">
        <v>2048</v>
      </c>
      <c r="AG147" s="14" t="s">
        <v>200</v>
      </c>
      <c r="AH147" s="14" t="s">
        <v>3622</v>
      </c>
      <c r="AI147" s="14" t="s">
        <v>2129</v>
      </c>
      <c r="AJ147" s="14" t="s">
        <v>2130</v>
      </c>
      <c r="AK147" s="14" t="s">
        <v>2055</v>
      </c>
      <c r="AL147" s="14" t="s">
        <v>2055</v>
      </c>
      <c r="AM147" s="14" t="s">
        <v>2055</v>
      </c>
      <c r="AN147" s="14" t="s">
        <v>2068</v>
      </c>
      <c r="AO147" s="14" t="s">
        <v>2048</v>
      </c>
      <c r="AP147" s="14" t="s">
        <v>2048</v>
      </c>
      <c r="AQ147" s="14" t="s">
        <v>2048</v>
      </c>
      <c r="AR147" s="14" t="s">
        <v>4303</v>
      </c>
      <c r="AS147" s="14" t="s">
        <v>89</v>
      </c>
      <c r="AT147" s="14" t="s">
        <v>3440</v>
      </c>
      <c r="AU147" s="14" t="s">
        <v>2059</v>
      </c>
      <c r="AV147" s="14" t="s">
        <v>2060</v>
      </c>
      <c r="AW147" s="14" t="s">
        <v>2048</v>
      </c>
      <c r="AX147" s="14" t="s">
        <v>2048</v>
      </c>
      <c r="AY147" s="14" t="s">
        <v>2635</v>
      </c>
      <c r="AZ147" s="14" t="s">
        <v>2636</v>
      </c>
      <c r="BA147" s="14" t="s">
        <v>2048</v>
      </c>
      <c r="BB147" s="14" t="s">
        <v>2048</v>
      </c>
      <c r="BC147" s="14" t="s">
        <v>4304</v>
      </c>
      <c r="BD147" s="14" t="s">
        <v>149</v>
      </c>
      <c r="BE147" s="14" t="s">
        <v>4305</v>
      </c>
      <c r="BF147" s="14" t="s">
        <v>2048</v>
      </c>
      <c r="BG147" s="14" t="s">
        <v>2048</v>
      </c>
      <c r="BH147" s="14" t="s">
        <v>2433</v>
      </c>
      <c r="BI147" s="14" t="s">
        <v>2434</v>
      </c>
      <c r="BJ147" s="14" t="s">
        <v>2048</v>
      </c>
      <c r="BK147" s="14" t="s">
        <v>2048</v>
      </c>
      <c r="BL147" s="14" t="s">
        <v>3092</v>
      </c>
      <c r="BM147" s="14" t="s">
        <v>2287</v>
      </c>
      <c r="BN147" s="14" t="s">
        <v>2048</v>
      </c>
      <c r="BO147" s="14" t="s">
        <v>2518</v>
      </c>
      <c r="BP147" s="14" t="s">
        <v>2064</v>
      </c>
      <c r="BQ147" s="14" t="s">
        <v>72</v>
      </c>
      <c r="BR147" s="14" t="s">
        <v>72</v>
      </c>
      <c r="BS147" s="14" t="s">
        <v>2048</v>
      </c>
      <c r="BT147" s="14" t="s">
        <v>2048</v>
      </c>
      <c r="BU147" s="14" t="s">
        <v>2048</v>
      </c>
      <c r="BV147" s="14" t="s">
        <v>2331</v>
      </c>
      <c r="BW147" s="14" t="s">
        <v>2131</v>
      </c>
      <c r="BX147" s="14" t="s">
        <v>2048</v>
      </c>
      <c r="BY147" s="14" t="s">
        <v>2048</v>
      </c>
      <c r="BZ147" s="14" t="s">
        <v>2048</v>
      </c>
      <c r="CA147" s="14" t="s">
        <v>2048</v>
      </c>
      <c r="CB147" s="14" t="s">
        <v>2048</v>
      </c>
      <c r="CC147" s="14" t="s">
        <v>2048</v>
      </c>
      <c r="CD147" s="14" t="s">
        <v>2048</v>
      </c>
      <c r="CE147" s="14" t="s">
        <v>2048</v>
      </c>
      <c r="CF147" s="14" t="s">
        <v>2048</v>
      </c>
      <c r="CG147" s="14" t="s">
        <v>2048</v>
      </c>
      <c r="CH147" s="14" t="s">
        <v>2048</v>
      </c>
      <c r="CI147" s="14" t="s">
        <v>2048</v>
      </c>
      <c r="CJ147" s="14" t="s">
        <v>2048</v>
      </c>
      <c r="CK147" s="14" t="s">
        <v>2068</v>
      </c>
      <c r="CL147" s="14" t="s">
        <v>2069</v>
      </c>
      <c r="CM147" s="14" t="s">
        <v>2048</v>
      </c>
      <c r="CN147" s="17"/>
      <c r="CO147" s="17">
        <v>45451</v>
      </c>
      <c r="CP147" s="17">
        <v>45451</v>
      </c>
      <c r="CR147" s="17">
        <v>45723</v>
      </c>
      <c r="CS147" s="19">
        <v>3</v>
      </c>
      <c r="CT147" s="19">
        <v>0</v>
      </c>
      <c r="CU147" s="19">
        <v>399.74</v>
      </c>
      <c r="CV147" s="19">
        <v>0</v>
      </c>
      <c r="CW147" s="19">
        <v>399.74</v>
      </c>
      <c r="CX147" s="19">
        <v>483.69</v>
      </c>
      <c r="CY147" s="19">
        <v>0</v>
      </c>
      <c r="CZ147" s="17"/>
      <c r="DA147" s="19">
        <v>0</v>
      </c>
      <c r="DB147" s="17"/>
      <c r="DC147" s="17"/>
      <c r="DD147" s="19">
        <v>0</v>
      </c>
      <c r="DE147" s="17"/>
      <c r="DF147" s="17"/>
      <c r="DG147" s="19">
        <v>100</v>
      </c>
      <c r="DH147" s="17"/>
      <c r="DI147" s="17">
        <v>46022</v>
      </c>
      <c r="DJ147" s="17"/>
      <c r="DK147" s="17"/>
      <c r="DL147" s="19">
        <v>0</v>
      </c>
      <c r="DM147" s="19">
        <v>0</v>
      </c>
    </row>
    <row r="148" spans="1:117" x14ac:dyDescent="0.2">
      <c r="A148" s="14" t="s">
        <v>3610</v>
      </c>
      <c r="B148" s="14" t="s">
        <v>1286</v>
      </c>
      <c r="C148" s="14" t="s">
        <v>73</v>
      </c>
      <c r="D148" s="14" t="s">
        <v>200</v>
      </c>
      <c r="E148" s="14" t="s">
        <v>201</v>
      </c>
      <c r="F148" s="14" t="s">
        <v>160</v>
      </c>
      <c r="G148" s="17">
        <v>45627</v>
      </c>
      <c r="H148" s="14" t="s">
        <v>161</v>
      </c>
      <c r="I148" s="14" t="s">
        <v>78</v>
      </c>
      <c r="J148" s="14" t="s">
        <v>467</v>
      </c>
      <c r="K148" s="14" t="s">
        <v>476</v>
      </c>
      <c r="L148" s="14" t="s">
        <v>584</v>
      </c>
      <c r="M148" s="14" t="s">
        <v>585</v>
      </c>
      <c r="N148" s="16">
        <f>COUNTIF($M$3:M148, M148)</f>
        <v>8</v>
      </c>
      <c r="O148" s="16" t="e" cm="1">
        <f t="array" ref="O148">INDEX('[2]ALTA 20242025'!$B$2:$B$241, MATCH(1, ('[2]ALTA 20242025'!$I$2:$I$241=M148)*('[2]ALTA 20242025'!$J$2:$J$241=N148), 0))</f>
        <v>#N/A</v>
      </c>
      <c r="P148" s="16"/>
      <c r="Q148" s="16"/>
      <c r="R148" s="14" t="s">
        <v>119</v>
      </c>
      <c r="S148" s="14" t="s">
        <v>120</v>
      </c>
      <c r="T148" s="14" t="s">
        <v>2048</v>
      </c>
      <c r="U148" s="14" t="s">
        <v>2048</v>
      </c>
      <c r="V148" s="14" t="s">
        <v>3620</v>
      </c>
      <c r="W148" s="14" t="s">
        <v>4306</v>
      </c>
      <c r="X148" s="14" t="s">
        <v>4010</v>
      </c>
      <c r="Y148" s="14" t="s">
        <v>4307</v>
      </c>
      <c r="Z148" s="14" t="s">
        <v>2048</v>
      </c>
      <c r="AA148" s="14" t="s">
        <v>2422</v>
      </c>
      <c r="AB148" s="14" t="s">
        <v>2049</v>
      </c>
      <c r="AC148" s="14" t="s">
        <v>2050</v>
      </c>
      <c r="AD148" s="14" t="s">
        <v>3834</v>
      </c>
      <c r="AE148" s="14" t="s">
        <v>3613</v>
      </c>
      <c r="AF148" s="14" t="s">
        <v>3614</v>
      </c>
      <c r="AG148" s="14" t="s">
        <v>2048</v>
      </c>
      <c r="AH148" s="14" t="s">
        <v>2048</v>
      </c>
      <c r="AI148" s="14" t="s">
        <v>159</v>
      </c>
      <c r="AJ148" s="14" t="s">
        <v>585</v>
      </c>
      <c r="AK148" s="14" t="s">
        <v>2056</v>
      </c>
      <c r="AL148" s="14" t="s">
        <v>2055</v>
      </c>
      <c r="AM148" s="14" t="s">
        <v>2055</v>
      </c>
      <c r="AN148" s="14" t="s">
        <v>2068</v>
      </c>
      <c r="AO148" s="14" t="s">
        <v>2048</v>
      </c>
      <c r="AP148" s="14" t="s">
        <v>2048</v>
      </c>
      <c r="AQ148" s="14" t="s">
        <v>2048</v>
      </c>
      <c r="AR148" s="14" t="s">
        <v>4043</v>
      </c>
      <c r="AS148" s="14" t="s">
        <v>3623</v>
      </c>
      <c r="AT148" s="14" t="s">
        <v>2135</v>
      </c>
      <c r="AU148" s="14" t="s">
        <v>4308</v>
      </c>
      <c r="AV148" s="14" t="s">
        <v>4309</v>
      </c>
      <c r="AW148" s="14" t="s">
        <v>4310</v>
      </c>
      <c r="AX148" s="14" t="s">
        <v>2048</v>
      </c>
      <c r="AY148" s="14" t="s">
        <v>2610</v>
      </c>
      <c r="AZ148" s="14" t="s">
        <v>2611</v>
      </c>
      <c r="BA148" s="14" t="s">
        <v>2048</v>
      </c>
      <c r="BB148" s="14" t="s">
        <v>2048</v>
      </c>
      <c r="BC148" s="14" t="s">
        <v>119</v>
      </c>
      <c r="BD148" s="14" t="s">
        <v>1287</v>
      </c>
      <c r="BE148" s="14" t="s">
        <v>4311</v>
      </c>
      <c r="BF148" s="14" t="s">
        <v>2048</v>
      </c>
      <c r="BG148" s="14" t="s">
        <v>2048</v>
      </c>
      <c r="BH148" s="14" t="s">
        <v>2433</v>
      </c>
      <c r="BI148" s="14" t="s">
        <v>2434</v>
      </c>
      <c r="BJ148" s="14" t="s">
        <v>2613</v>
      </c>
      <c r="BK148" s="14" t="s">
        <v>2614</v>
      </c>
      <c r="BL148" s="14" t="s">
        <v>2615</v>
      </c>
      <c r="BM148" s="14" t="s">
        <v>2287</v>
      </c>
      <c r="BN148" s="14" t="s">
        <v>2048</v>
      </c>
      <c r="BO148" s="14" t="s">
        <v>2048</v>
      </c>
      <c r="BP148" s="14" t="s">
        <v>2064</v>
      </c>
      <c r="BQ148" s="14" t="s">
        <v>72</v>
      </c>
      <c r="BR148" s="14" t="s">
        <v>72</v>
      </c>
      <c r="BS148" s="14" t="s">
        <v>2048</v>
      </c>
      <c r="BT148" s="14" t="s">
        <v>4312</v>
      </c>
      <c r="BU148" s="14" t="s">
        <v>4043</v>
      </c>
      <c r="BV148" s="14" t="s">
        <v>2418</v>
      </c>
      <c r="BW148" s="14" t="s">
        <v>2089</v>
      </c>
      <c r="BX148" s="14" t="s">
        <v>2048</v>
      </c>
      <c r="BY148" s="14" t="s">
        <v>2048</v>
      </c>
      <c r="BZ148" s="14" t="s">
        <v>2048</v>
      </c>
      <c r="CA148" s="14" t="s">
        <v>2048</v>
      </c>
      <c r="CB148" s="14" t="s">
        <v>72</v>
      </c>
      <c r="CC148" s="14" t="s">
        <v>2048</v>
      </c>
      <c r="CD148" s="14" t="s">
        <v>2048</v>
      </c>
      <c r="CE148" s="14" t="s">
        <v>2048</v>
      </c>
      <c r="CF148" s="14" t="s">
        <v>2048</v>
      </c>
      <c r="CG148" s="14" t="s">
        <v>2048</v>
      </c>
      <c r="CH148" s="14" t="s">
        <v>2048</v>
      </c>
      <c r="CI148" s="14" t="s">
        <v>2048</v>
      </c>
      <c r="CJ148" s="14" t="s">
        <v>2048</v>
      </c>
      <c r="CK148" s="14" t="s">
        <v>2066</v>
      </c>
      <c r="CL148" s="14" t="s">
        <v>4299</v>
      </c>
      <c r="CM148" s="14" t="s">
        <v>2048</v>
      </c>
      <c r="CN148" s="17">
        <v>45261</v>
      </c>
      <c r="CO148" s="17">
        <v>44166</v>
      </c>
      <c r="CP148" s="17">
        <v>44166</v>
      </c>
      <c r="CR148" s="17">
        <v>45441</v>
      </c>
      <c r="CS148" s="19">
        <v>48</v>
      </c>
      <c r="CT148" s="19">
        <v>0</v>
      </c>
      <c r="CU148" s="19">
        <v>378.05</v>
      </c>
      <c r="CV148" s="19">
        <v>0</v>
      </c>
      <c r="CW148" s="19">
        <v>378.05</v>
      </c>
      <c r="CX148" s="19">
        <v>457.44</v>
      </c>
      <c r="CY148" s="19">
        <v>0</v>
      </c>
      <c r="CZ148" s="17"/>
      <c r="DA148" s="19">
        <v>0</v>
      </c>
      <c r="DB148" s="17"/>
      <c r="DC148" s="17"/>
      <c r="DD148" s="19">
        <v>0</v>
      </c>
      <c r="DE148" s="17"/>
      <c r="DF148" s="17"/>
      <c r="DG148" s="19">
        <v>100</v>
      </c>
      <c r="DH148" s="17"/>
      <c r="DI148" s="17">
        <v>46022</v>
      </c>
      <c r="DJ148" s="17"/>
      <c r="DK148" s="17"/>
      <c r="DL148" s="19">
        <v>0</v>
      </c>
      <c r="DM148" s="19">
        <v>0</v>
      </c>
    </row>
    <row r="149" spans="1:117" x14ac:dyDescent="0.2">
      <c r="A149" s="14" t="s">
        <v>3610</v>
      </c>
      <c r="B149" s="14" t="s">
        <v>515</v>
      </c>
      <c r="C149" s="14" t="s">
        <v>158</v>
      </c>
      <c r="D149" s="14" t="s">
        <v>159</v>
      </c>
      <c r="E149" s="14" t="s">
        <v>158</v>
      </c>
      <c r="F149" s="14" t="s">
        <v>171</v>
      </c>
      <c r="G149" s="17">
        <v>45574</v>
      </c>
      <c r="H149" s="14" t="s">
        <v>172</v>
      </c>
      <c r="I149" s="14" t="s">
        <v>78</v>
      </c>
      <c r="J149" s="14" t="s">
        <v>85</v>
      </c>
      <c r="K149" s="14" t="s">
        <v>517</v>
      </c>
      <c r="L149" s="14" t="s">
        <v>190</v>
      </c>
      <c r="M149" s="14" t="s">
        <v>191</v>
      </c>
      <c r="N149" s="16">
        <f>COUNTIF($M$3:M149, M149)</f>
        <v>5</v>
      </c>
      <c r="O149" s="16" t="str" cm="1">
        <f t="array" ref="O149">INDEX('[2]ALTA 20242025'!$B$2:$B$241, MATCH(1, ('[2]ALTA 20242025'!$I$2:$I$241=M149)*('[2]ALTA 20242025'!$J$2:$J$241=N149), 0))</f>
        <v>6125MWV</v>
      </c>
      <c r="P149" s="16"/>
      <c r="Q149" s="16"/>
      <c r="R149" s="14" t="s">
        <v>584</v>
      </c>
      <c r="S149" s="14" t="s">
        <v>585</v>
      </c>
      <c r="T149" s="14" t="s">
        <v>2048</v>
      </c>
      <c r="U149" s="14" t="s">
        <v>2048</v>
      </c>
      <c r="V149" s="14" t="s">
        <v>3757</v>
      </c>
      <c r="W149" s="14" t="s">
        <v>2048</v>
      </c>
      <c r="X149" s="14" t="s">
        <v>2048</v>
      </c>
      <c r="Y149" s="14" t="s">
        <v>2048</v>
      </c>
      <c r="Z149" s="14" t="s">
        <v>2048</v>
      </c>
      <c r="AA149" s="14" t="s">
        <v>2422</v>
      </c>
      <c r="AB149" s="14" t="s">
        <v>2049</v>
      </c>
      <c r="AC149" s="14" t="s">
        <v>3678</v>
      </c>
      <c r="AD149" s="14" t="s">
        <v>2048</v>
      </c>
      <c r="AE149" s="14" t="s">
        <v>2048</v>
      </c>
      <c r="AF149" s="14" t="s">
        <v>2048</v>
      </c>
      <c r="AG149" s="14" t="s">
        <v>2048</v>
      </c>
      <c r="AH149" s="14" t="s">
        <v>2048</v>
      </c>
      <c r="AI149" s="14" t="s">
        <v>2132</v>
      </c>
      <c r="AJ149" s="14" t="s">
        <v>2133</v>
      </c>
      <c r="AK149" s="14" t="s">
        <v>2048</v>
      </c>
      <c r="AL149" s="14" t="s">
        <v>2048</v>
      </c>
      <c r="AM149" s="14" t="s">
        <v>2048</v>
      </c>
      <c r="AN149" s="14" t="s">
        <v>2068</v>
      </c>
      <c r="AO149" s="14" t="s">
        <v>2048</v>
      </c>
      <c r="AP149" s="14" t="s">
        <v>2048</v>
      </c>
      <c r="AQ149" s="14" t="s">
        <v>2048</v>
      </c>
      <c r="AR149" s="14" t="s">
        <v>4103</v>
      </c>
      <c r="AS149" s="14" t="s">
        <v>2048</v>
      </c>
      <c r="AT149" s="14" t="s">
        <v>2048</v>
      </c>
      <c r="AU149" s="14" t="s">
        <v>2048</v>
      </c>
      <c r="AV149" s="14" t="s">
        <v>2667</v>
      </c>
      <c r="AW149" s="14" t="s">
        <v>2668</v>
      </c>
      <c r="AX149" s="14" t="s">
        <v>72</v>
      </c>
      <c r="AY149" s="14" t="s">
        <v>2430</v>
      </c>
      <c r="AZ149" s="14" t="s">
        <v>2431</v>
      </c>
      <c r="BA149" s="14" t="s">
        <v>3627</v>
      </c>
      <c r="BB149" s="14" t="s">
        <v>2048</v>
      </c>
      <c r="BC149" s="14" t="s">
        <v>190</v>
      </c>
      <c r="BD149" s="14" t="s">
        <v>518</v>
      </c>
      <c r="BE149" s="14" t="s">
        <v>2432</v>
      </c>
      <c r="BF149" s="14" t="s">
        <v>2048</v>
      </c>
      <c r="BG149" s="14" t="s">
        <v>2048</v>
      </c>
      <c r="BH149" s="14" t="s">
        <v>2433</v>
      </c>
      <c r="BI149" s="14" t="s">
        <v>2434</v>
      </c>
      <c r="BJ149" s="14" t="s">
        <v>2435</v>
      </c>
      <c r="BK149" s="14" t="s">
        <v>2436</v>
      </c>
      <c r="BL149" s="14" t="s">
        <v>2437</v>
      </c>
      <c r="BM149" s="14" t="s">
        <v>2287</v>
      </c>
      <c r="BN149" s="14" t="s">
        <v>2048</v>
      </c>
      <c r="BO149" s="14" t="s">
        <v>2518</v>
      </c>
      <c r="BP149" s="14" t="s">
        <v>2064</v>
      </c>
      <c r="BQ149" s="14" t="s">
        <v>2048</v>
      </c>
      <c r="BR149" s="14" t="s">
        <v>2048</v>
      </c>
      <c r="BS149" s="14" t="s">
        <v>4313</v>
      </c>
      <c r="BT149" s="14" t="s">
        <v>2048</v>
      </c>
      <c r="BU149" s="14" t="s">
        <v>2048</v>
      </c>
      <c r="BV149" s="14" t="s">
        <v>2535</v>
      </c>
      <c r="BW149" s="14" t="s">
        <v>3672</v>
      </c>
      <c r="BX149" s="14" t="s">
        <v>2048</v>
      </c>
      <c r="BY149" s="14" t="s">
        <v>2048</v>
      </c>
      <c r="BZ149" s="14" t="s">
        <v>2048</v>
      </c>
      <c r="CA149" s="14" t="s">
        <v>2048</v>
      </c>
      <c r="CB149" s="14" t="s">
        <v>2048</v>
      </c>
      <c r="CC149" s="14" t="s">
        <v>2048</v>
      </c>
      <c r="CD149" s="14" t="s">
        <v>2048</v>
      </c>
      <c r="CE149" s="14" t="s">
        <v>2048</v>
      </c>
      <c r="CF149" s="14" t="s">
        <v>2048</v>
      </c>
      <c r="CG149" s="14" t="s">
        <v>2048</v>
      </c>
      <c r="CH149" s="14" t="s">
        <v>2048</v>
      </c>
      <c r="CI149" s="14" t="s">
        <v>2048</v>
      </c>
      <c r="CJ149" s="14" t="s">
        <v>2048</v>
      </c>
      <c r="CK149" s="14" t="s">
        <v>3651</v>
      </c>
      <c r="CL149" s="14" t="s">
        <v>3652</v>
      </c>
      <c r="CM149" s="14" t="s">
        <v>2048</v>
      </c>
      <c r="CN149" s="17"/>
      <c r="CO149" s="17">
        <v>39827</v>
      </c>
      <c r="CP149" s="17">
        <v>39827</v>
      </c>
      <c r="CR149" s="17">
        <v>45574</v>
      </c>
      <c r="CS149" s="19">
        <v>0</v>
      </c>
      <c r="CT149" s="19">
        <v>0</v>
      </c>
      <c r="CU149" s="19">
        <v>0</v>
      </c>
      <c r="CV149" s="19">
        <v>0</v>
      </c>
      <c r="CW149" s="19">
        <v>0</v>
      </c>
      <c r="CX149" s="19">
        <v>0</v>
      </c>
      <c r="CY149" s="19">
        <v>0</v>
      </c>
      <c r="CZ149" s="17"/>
      <c r="DA149" s="19">
        <v>11</v>
      </c>
      <c r="DB149" s="17">
        <v>45808</v>
      </c>
      <c r="DC149" s="17">
        <v>44759</v>
      </c>
      <c r="DD149" s="19">
        <v>0</v>
      </c>
      <c r="DE149" s="17"/>
      <c r="DF149" s="17"/>
      <c r="DG149" s="19">
        <v>100</v>
      </c>
      <c r="DH149" s="17"/>
      <c r="DI149" s="17">
        <v>2958465</v>
      </c>
      <c r="DJ149" s="17"/>
      <c r="DK149" s="17"/>
      <c r="DL149" s="19">
        <v>0</v>
      </c>
      <c r="DM149" s="19">
        <v>0</v>
      </c>
    </row>
    <row r="150" spans="1:117" x14ac:dyDescent="0.2">
      <c r="A150" s="14" t="s">
        <v>3610</v>
      </c>
      <c r="B150" s="14" t="s">
        <v>402</v>
      </c>
      <c r="C150" s="14" t="s">
        <v>73</v>
      </c>
      <c r="D150" s="14" t="s">
        <v>200</v>
      </c>
      <c r="E150" s="14" t="s">
        <v>201</v>
      </c>
      <c r="F150" s="14" t="s">
        <v>76</v>
      </c>
      <c r="G150" s="17">
        <v>45576</v>
      </c>
      <c r="H150" s="14" t="s">
        <v>77</v>
      </c>
      <c r="I150" s="14" t="s">
        <v>78</v>
      </c>
      <c r="J150" s="14" t="s">
        <v>359</v>
      </c>
      <c r="K150" s="14" t="s">
        <v>360</v>
      </c>
      <c r="L150" s="14" t="s">
        <v>403</v>
      </c>
      <c r="M150" s="14" t="s">
        <v>404</v>
      </c>
      <c r="N150" s="16">
        <f>COUNTIF($M$3:M150, M150)</f>
        <v>1</v>
      </c>
      <c r="O150" s="16" t="str" cm="1">
        <f t="array" ref="O150">INDEX('[2]ALTA 20242025'!$B$2:$B$241, MATCH(1, ('[2]ALTA 20242025'!$I$2:$I$241=M150)*('[2]ALTA 20242025'!$J$2:$J$241=N150), 0))</f>
        <v>6248MWV</v>
      </c>
      <c r="P150" s="16"/>
      <c r="Q150" s="16"/>
      <c r="R150" s="14" t="s">
        <v>102</v>
      </c>
      <c r="S150" s="14" t="s">
        <v>103</v>
      </c>
      <c r="T150" s="14" t="s">
        <v>2048</v>
      </c>
      <c r="U150" s="14" t="s">
        <v>2048</v>
      </c>
      <c r="V150" s="14" t="s">
        <v>3831</v>
      </c>
      <c r="W150" s="14" t="s">
        <v>4314</v>
      </c>
      <c r="X150" s="14" t="s">
        <v>3926</v>
      </c>
      <c r="Y150" s="14" t="s">
        <v>4315</v>
      </c>
      <c r="Z150" s="14" t="s">
        <v>2048</v>
      </c>
      <c r="AA150" s="14" t="s">
        <v>2422</v>
      </c>
      <c r="AB150" s="14" t="s">
        <v>2049</v>
      </c>
      <c r="AC150" s="14" t="s">
        <v>2050</v>
      </c>
      <c r="AD150" s="14" t="s">
        <v>3834</v>
      </c>
      <c r="AE150" s="14" t="s">
        <v>3613</v>
      </c>
      <c r="AF150" s="14" t="s">
        <v>3614</v>
      </c>
      <c r="AG150" s="14" t="s">
        <v>2048</v>
      </c>
      <c r="AH150" s="14" t="s">
        <v>2048</v>
      </c>
      <c r="AI150" s="14" t="s">
        <v>3472</v>
      </c>
      <c r="AJ150" s="14" t="s">
        <v>3821</v>
      </c>
      <c r="AK150" s="14" t="s">
        <v>2055</v>
      </c>
      <c r="AL150" s="14" t="s">
        <v>2055</v>
      </c>
      <c r="AM150" s="14" t="s">
        <v>2055</v>
      </c>
      <c r="AN150" s="14" t="s">
        <v>2068</v>
      </c>
      <c r="AO150" s="14" t="s">
        <v>2048</v>
      </c>
      <c r="AP150" s="14" t="s">
        <v>2048</v>
      </c>
      <c r="AQ150" s="14" t="s">
        <v>2048</v>
      </c>
      <c r="AR150" s="14" t="s">
        <v>2318</v>
      </c>
      <c r="AS150" s="14" t="s">
        <v>3615</v>
      </c>
      <c r="AT150" s="14" t="s">
        <v>3472</v>
      </c>
      <c r="AU150" s="14" t="s">
        <v>4316</v>
      </c>
      <c r="AV150" s="14" t="s">
        <v>4317</v>
      </c>
      <c r="AW150" s="14" t="s">
        <v>4318</v>
      </c>
      <c r="AX150" s="14" t="s">
        <v>2048</v>
      </c>
      <c r="AY150" s="14" t="s">
        <v>4319</v>
      </c>
      <c r="AZ150" s="14" t="s">
        <v>4320</v>
      </c>
      <c r="BA150" s="14" t="s">
        <v>2048</v>
      </c>
      <c r="BB150" s="14" t="s">
        <v>2048</v>
      </c>
      <c r="BC150" s="14" t="s">
        <v>403</v>
      </c>
      <c r="BD150" s="14" t="s">
        <v>405</v>
      </c>
      <c r="BE150" s="14" t="s">
        <v>4321</v>
      </c>
      <c r="BF150" s="14" t="s">
        <v>2048</v>
      </c>
      <c r="BG150" s="14" t="s">
        <v>2048</v>
      </c>
      <c r="BH150" s="14" t="s">
        <v>2576</v>
      </c>
      <c r="BI150" s="14" t="s">
        <v>2577</v>
      </c>
      <c r="BJ150" s="14" t="s">
        <v>2048</v>
      </c>
      <c r="BK150" s="14" t="s">
        <v>2048</v>
      </c>
      <c r="BL150" s="14" t="s">
        <v>4322</v>
      </c>
      <c r="BM150" s="14" t="s">
        <v>2287</v>
      </c>
      <c r="BN150" s="14" t="s">
        <v>2048</v>
      </c>
      <c r="BO150" s="14" t="s">
        <v>2048</v>
      </c>
      <c r="BP150" s="14" t="s">
        <v>2064</v>
      </c>
      <c r="BQ150" s="14" t="s">
        <v>72</v>
      </c>
      <c r="BR150" s="14" t="s">
        <v>72</v>
      </c>
      <c r="BS150" s="14" t="s">
        <v>2048</v>
      </c>
      <c r="BT150" s="14" t="s">
        <v>2986</v>
      </c>
      <c r="BU150" s="14" t="s">
        <v>2987</v>
      </c>
      <c r="BV150" s="14" t="s">
        <v>2331</v>
      </c>
      <c r="BW150" s="14" t="s">
        <v>2131</v>
      </c>
      <c r="BX150" s="14" t="s">
        <v>2048</v>
      </c>
      <c r="BY150" s="14" t="s">
        <v>2048</v>
      </c>
      <c r="BZ150" s="14" t="s">
        <v>2048</v>
      </c>
      <c r="CA150" s="14" t="s">
        <v>2048</v>
      </c>
      <c r="CB150" s="14" t="s">
        <v>72</v>
      </c>
      <c r="CC150" s="14" t="s">
        <v>2048</v>
      </c>
      <c r="CD150" s="14" t="s">
        <v>2048</v>
      </c>
      <c r="CE150" s="14" t="s">
        <v>2048</v>
      </c>
      <c r="CF150" s="14" t="s">
        <v>2048</v>
      </c>
      <c r="CG150" s="14" t="s">
        <v>2048</v>
      </c>
      <c r="CH150" s="14" t="s">
        <v>2048</v>
      </c>
      <c r="CI150" s="14" t="s">
        <v>2048</v>
      </c>
      <c r="CJ150" s="14" t="s">
        <v>2048</v>
      </c>
      <c r="CK150" s="14" t="s">
        <v>3714</v>
      </c>
      <c r="CL150" s="14" t="s">
        <v>3761</v>
      </c>
      <c r="CM150" s="14" t="s">
        <v>2048</v>
      </c>
      <c r="CN150" s="17">
        <v>45444</v>
      </c>
      <c r="CO150" s="17">
        <v>43749</v>
      </c>
      <c r="CP150" s="17">
        <v>43749</v>
      </c>
      <c r="CR150" s="17">
        <v>45478</v>
      </c>
      <c r="CS150" s="19">
        <v>60</v>
      </c>
      <c r="CT150" s="19">
        <v>0</v>
      </c>
      <c r="CU150" s="19">
        <v>284.98</v>
      </c>
      <c r="CV150" s="19">
        <v>0</v>
      </c>
      <c r="CW150" s="19">
        <v>284.98</v>
      </c>
      <c r="CX150" s="19">
        <v>344.83</v>
      </c>
      <c r="CY150" s="19">
        <v>0</v>
      </c>
      <c r="CZ150" s="17"/>
      <c r="DA150" s="19">
        <v>0</v>
      </c>
      <c r="DB150" s="17"/>
      <c r="DC150" s="17"/>
      <c r="DD150" s="19">
        <v>0</v>
      </c>
      <c r="DE150" s="17"/>
      <c r="DF150" s="17"/>
      <c r="DG150" s="19">
        <v>100</v>
      </c>
      <c r="DH150" s="17"/>
      <c r="DI150" s="17">
        <v>45657</v>
      </c>
      <c r="DJ150" s="17"/>
      <c r="DK150" s="17"/>
      <c r="DL150" s="19">
        <v>0</v>
      </c>
      <c r="DM150" s="19">
        <v>0</v>
      </c>
    </row>
    <row r="151" spans="1:117" x14ac:dyDescent="0.2">
      <c r="A151" s="14" t="s">
        <v>3610</v>
      </c>
      <c r="B151" s="14" t="s">
        <v>372</v>
      </c>
      <c r="C151" s="14" t="s">
        <v>73</v>
      </c>
      <c r="D151" s="14" t="s">
        <v>200</v>
      </c>
      <c r="E151" s="14" t="s">
        <v>201</v>
      </c>
      <c r="F151" s="14" t="s">
        <v>76</v>
      </c>
      <c r="G151" s="17">
        <v>45576</v>
      </c>
      <c r="H151" s="14" t="s">
        <v>77</v>
      </c>
      <c r="I151" s="14" t="s">
        <v>78</v>
      </c>
      <c r="J151" s="14" t="s">
        <v>359</v>
      </c>
      <c r="K151" s="14" t="s">
        <v>360</v>
      </c>
      <c r="L151" s="14" t="s">
        <v>336</v>
      </c>
      <c r="M151" s="14" t="s">
        <v>337</v>
      </c>
      <c r="N151" s="16">
        <f>COUNTIF($M$3:M151, M151)</f>
        <v>9</v>
      </c>
      <c r="O151" s="16" t="str" cm="1">
        <f t="array" ref="O151">INDEX('[2]ALTA 20242025'!$B$2:$B$241, MATCH(1, ('[2]ALTA 20242025'!$I$2:$I$241=M151)*('[2]ALTA 20242025'!$J$2:$J$241=N151), 0))</f>
        <v>6442MWV</v>
      </c>
      <c r="P151" s="16"/>
      <c r="Q151" s="16"/>
      <c r="R151" s="14" t="s">
        <v>2048</v>
      </c>
      <c r="S151" s="14" t="s">
        <v>2048</v>
      </c>
      <c r="T151" s="14" t="s">
        <v>2048</v>
      </c>
      <c r="U151" s="14" t="s">
        <v>2048</v>
      </c>
      <c r="V151" s="14" t="s">
        <v>4323</v>
      </c>
      <c r="W151" s="14" t="s">
        <v>4324</v>
      </c>
      <c r="X151" s="14" t="s">
        <v>3845</v>
      </c>
      <c r="Y151" s="14" t="s">
        <v>4325</v>
      </c>
      <c r="Z151" s="14" t="s">
        <v>2048</v>
      </c>
      <c r="AA151" s="14" t="s">
        <v>2422</v>
      </c>
      <c r="AB151" s="14" t="s">
        <v>2049</v>
      </c>
      <c r="AC151" s="14" t="s">
        <v>2050</v>
      </c>
      <c r="AD151" s="14" t="s">
        <v>3834</v>
      </c>
      <c r="AE151" s="14" t="s">
        <v>3613</v>
      </c>
      <c r="AF151" s="14" t="s">
        <v>3614</v>
      </c>
      <c r="AG151" s="14" t="s">
        <v>2048</v>
      </c>
      <c r="AH151" s="14" t="s">
        <v>2048</v>
      </c>
      <c r="AI151" s="14" t="s">
        <v>3472</v>
      </c>
      <c r="AJ151" s="14" t="s">
        <v>3821</v>
      </c>
      <c r="AK151" s="14" t="s">
        <v>2055</v>
      </c>
      <c r="AL151" s="14" t="s">
        <v>2055</v>
      </c>
      <c r="AM151" s="14" t="s">
        <v>2055</v>
      </c>
      <c r="AN151" s="14" t="s">
        <v>2068</v>
      </c>
      <c r="AO151" s="14" t="s">
        <v>2048</v>
      </c>
      <c r="AP151" s="14" t="s">
        <v>2048</v>
      </c>
      <c r="AQ151" s="14" t="s">
        <v>2048</v>
      </c>
      <c r="AR151" s="14" t="s">
        <v>4326</v>
      </c>
      <c r="AS151" s="14" t="s">
        <v>3726</v>
      </c>
      <c r="AT151" s="14" t="s">
        <v>2208</v>
      </c>
      <c r="AU151" s="14" t="s">
        <v>2059</v>
      </c>
      <c r="AV151" s="14" t="s">
        <v>4327</v>
      </c>
      <c r="AW151" s="14" t="s">
        <v>4328</v>
      </c>
      <c r="AX151" s="14" t="s">
        <v>2048</v>
      </c>
      <c r="AY151" s="14" t="s">
        <v>4156</v>
      </c>
      <c r="AZ151" s="14" t="s">
        <v>4157</v>
      </c>
      <c r="BA151" s="14" t="s">
        <v>2048</v>
      </c>
      <c r="BB151" s="14" t="s">
        <v>2048</v>
      </c>
      <c r="BC151" s="14" t="s">
        <v>336</v>
      </c>
      <c r="BD151" s="14" t="s">
        <v>373</v>
      </c>
      <c r="BE151" s="14" t="s">
        <v>4118</v>
      </c>
      <c r="BF151" s="14" t="s">
        <v>2048</v>
      </c>
      <c r="BG151" s="14" t="s">
        <v>2048</v>
      </c>
      <c r="BH151" s="14" t="s">
        <v>3598</v>
      </c>
      <c r="BI151" s="14" t="s">
        <v>3599</v>
      </c>
      <c r="BJ151" s="14" t="s">
        <v>3914</v>
      </c>
      <c r="BK151" s="14" t="s">
        <v>3915</v>
      </c>
      <c r="BL151" s="14" t="s">
        <v>4119</v>
      </c>
      <c r="BM151" s="14" t="s">
        <v>3600</v>
      </c>
      <c r="BN151" s="14" t="s">
        <v>2048</v>
      </c>
      <c r="BO151" s="14" t="s">
        <v>2048</v>
      </c>
      <c r="BP151" s="14" t="s">
        <v>2064</v>
      </c>
      <c r="BQ151" s="14" t="s">
        <v>72</v>
      </c>
      <c r="BR151" s="14" t="s">
        <v>72</v>
      </c>
      <c r="BS151" s="14" t="s">
        <v>2048</v>
      </c>
      <c r="BT151" s="14" t="s">
        <v>4329</v>
      </c>
      <c r="BU151" s="14" t="s">
        <v>4330</v>
      </c>
      <c r="BV151" s="14" t="s">
        <v>2331</v>
      </c>
      <c r="BW151" s="14" t="s">
        <v>2131</v>
      </c>
      <c r="BX151" s="14" t="s">
        <v>2048</v>
      </c>
      <c r="BY151" s="14" t="s">
        <v>2048</v>
      </c>
      <c r="BZ151" s="14" t="s">
        <v>2048</v>
      </c>
      <c r="CA151" s="14" t="s">
        <v>2048</v>
      </c>
      <c r="CB151" s="14" t="s">
        <v>2048</v>
      </c>
      <c r="CC151" s="14" t="s">
        <v>2048</v>
      </c>
      <c r="CD151" s="14" t="s">
        <v>72</v>
      </c>
      <c r="CE151" s="14" t="s">
        <v>2048</v>
      </c>
      <c r="CF151" s="14" t="s">
        <v>2048</v>
      </c>
      <c r="CG151" s="14" t="s">
        <v>2048</v>
      </c>
      <c r="CH151" s="14" t="s">
        <v>2048</v>
      </c>
      <c r="CI151" s="14" t="s">
        <v>2048</v>
      </c>
      <c r="CJ151" s="14" t="s">
        <v>2048</v>
      </c>
      <c r="CK151" s="14" t="s">
        <v>3714</v>
      </c>
      <c r="CL151" s="14" t="s">
        <v>3761</v>
      </c>
      <c r="CM151" s="14" t="s">
        <v>2048</v>
      </c>
      <c r="CN151" s="17"/>
      <c r="CO151" s="17">
        <v>43749</v>
      </c>
      <c r="CP151" s="17">
        <v>43749</v>
      </c>
      <c r="CR151" s="17">
        <v>45567</v>
      </c>
      <c r="CS151" s="19">
        <v>60</v>
      </c>
      <c r="CT151" s="19">
        <v>0</v>
      </c>
      <c r="CU151" s="19">
        <v>284.98</v>
      </c>
      <c r="CV151" s="19">
        <v>0</v>
      </c>
      <c r="CW151" s="19">
        <v>284.98</v>
      </c>
      <c r="CX151" s="19">
        <v>344.83</v>
      </c>
      <c r="CY151" s="19">
        <v>0</v>
      </c>
      <c r="CZ151" s="17"/>
      <c r="DA151" s="19">
        <v>0</v>
      </c>
      <c r="DB151" s="17"/>
      <c r="DC151" s="17"/>
      <c r="DD151" s="19">
        <v>0</v>
      </c>
      <c r="DE151" s="17"/>
      <c r="DF151" s="17"/>
      <c r="DG151" s="19">
        <v>100</v>
      </c>
      <c r="DH151" s="17"/>
      <c r="DI151" s="17">
        <v>45657</v>
      </c>
      <c r="DJ151" s="17"/>
      <c r="DK151" s="17"/>
      <c r="DL151" s="19">
        <v>0</v>
      </c>
      <c r="DM151" s="19">
        <v>0</v>
      </c>
    </row>
    <row r="152" spans="1:117" x14ac:dyDescent="0.2">
      <c r="A152" s="14" t="s">
        <v>3610</v>
      </c>
      <c r="B152" s="14" t="s">
        <v>1289</v>
      </c>
      <c r="C152" s="14" t="s">
        <v>73</v>
      </c>
      <c r="D152" s="14" t="s">
        <v>200</v>
      </c>
      <c r="E152" s="14" t="s">
        <v>201</v>
      </c>
      <c r="F152" s="14" t="s">
        <v>76</v>
      </c>
      <c r="G152" s="17">
        <v>45637</v>
      </c>
      <c r="H152" s="14" t="s">
        <v>77</v>
      </c>
      <c r="I152" s="14" t="s">
        <v>78</v>
      </c>
      <c r="J152" s="14" t="s">
        <v>467</v>
      </c>
      <c r="K152" s="14" t="s">
        <v>476</v>
      </c>
      <c r="L152" s="14" t="s">
        <v>1290</v>
      </c>
      <c r="M152" s="14" t="s">
        <v>1291</v>
      </c>
      <c r="N152" s="16">
        <f>COUNTIF($M$3:M152, M152)</f>
        <v>1</v>
      </c>
      <c r="O152" s="16" t="e" cm="1">
        <f t="array" ref="O152">INDEX('[2]ALTA 20242025'!$B$2:$B$241, MATCH(1, ('[2]ALTA 20242025'!$I$2:$I$241=M152)*('[2]ALTA 20242025'!$J$2:$J$241=N152), 0))</f>
        <v>#N/A</v>
      </c>
      <c r="P152" s="16"/>
      <c r="Q152" s="16"/>
      <c r="R152" s="14" t="s">
        <v>2048</v>
      </c>
      <c r="S152" s="14" t="s">
        <v>2048</v>
      </c>
      <c r="T152" s="14" t="s">
        <v>2048</v>
      </c>
      <c r="U152" s="14" t="s">
        <v>2048</v>
      </c>
      <c r="V152" s="14" t="s">
        <v>3620</v>
      </c>
      <c r="W152" s="14" t="s">
        <v>4331</v>
      </c>
      <c r="X152" s="14" t="s">
        <v>4332</v>
      </c>
      <c r="Y152" s="14" t="s">
        <v>4333</v>
      </c>
      <c r="Z152" s="14" t="s">
        <v>2048</v>
      </c>
      <c r="AA152" s="14" t="s">
        <v>2422</v>
      </c>
      <c r="AB152" s="14" t="s">
        <v>2049</v>
      </c>
      <c r="AC152" s="14" t="s">
        <v>2050</v>
      </c>
      <c r="AD152" s="14" t="s">
        <v>3788</v>
      </c>
      <c r="AE152" s="14" t="s">
        <v>3613</v>
      </c>
      <c r="AF152" s="14" t="s">
        <v>3614</v>
      </c>
      <c r="AG152" s="14" t="s">
        <v>200</v>
      </c>
      <c r="AH152" s="14" t="s">
        <v>3622</v>
      </c>
      <c r="AI152" s="14" t="s">
        <v>2132</v>
      </c>
      <c r="AJ152" s="14" t="s">
        <v>2133</v>
      </c>
      <c r="AK152" s="14" t="s">
        <v>2056</v>
      </c>
      <c r="AL152" s="14" t="s">
        <v>2055</v>
      </c>
      <c r="AM152" s="14" t="s">
        <v>2055</v>
      </c>
      <c r="AN152" s="14" t="s">
        <v>2068</v>
      </c>
      <c r="AO152" s="14" t="s">
        <v>2048</v>
      </c>
      <c r="AP152" s="14" t="s">
        <v>2048</v>
      </c>
      <c r="AQ152" s="14" t="s">
        <v>4334</v>
      </c>
      <c r="AR152" s="14" t="s">
        <v>1291</v>
      </c>
      <c r="AS152" s="14" t="s">
        <v>3623</v>
      </c>
      <c r="AT152" s="14" t="s">
        <v>2135</v>
      </c>
      <c r="AU152" s="14" t="s">
        <v>4335</v>
      </c>
      <c r="AV152" s="14" t="s">
        <v>4336</v>
      </c>
      <c r="AW152" s="14" t="s">
        <v>4337</v>
      </c>
      <c r="AX152" s="14" t="s">
        <v>72</v>
      </c>
      <c r="AY152" s="14" t="s">
        <v>4249</v>
      </c>
      <c r="AZ152" s="14" t="s">
        <v>4250</v>
      </c>
      <c r="BA152" s="14" t="s">
        <v>2048</v>
      </c>
      <c r="BB152" s="14" t="s">
        <v>2048</v>
      </c>
      <c r="BC152" s="14" t="s">
        <v>1290</v>
      </c>
      <c r="BD152" s="14" t="s">
        <v>1292</v>
      </c>
      <c r="BE152" s="14" t="s">
        <v>4338</v>
      </c>
      <c r="BF152" s="14" t="s">
        <v>2048</v>
      </c>
      <c r="BG152" s="14" t="s">
        <v>2048</v>
      </c>
      <c r="BH152" s="14" t="s">
        <v>2282</v>
      </c>
      <c r="BI152" s="14" t="s">
        <v>2283</v>
      </c>
      <c r="BJ152" s="14" t="s">
        <v>3629</v>
      </c>
      <c r="BK152" s="14" t="s">
        <v>3546</v>
      </c>
      <c r="BL152" s="14" t="s">
        <v>4339</v>
      </c>
      <c r="BM152" s="14" t="s">
        <v>2287</v>
      </c>
      <c r="BN152" s="14" t="s">
        <v>2048</v>
      </c>
      <c r="BO152" s="14" t="s">
        <v>2048</v>
      </c>
      <c r="BP152" s="14" t="s">
        <v>2064</v>
      </c>
      <c r="BQ152" s="14" t="s">
        <v>72</v>
      </c>
      <c r="BR152" s="14" t="s">
        <v>72</v>
      </c>
      <c r="BS152" s="14" t="s">
        <v>2048</v>
      </c>
      <c r="BT152" s="14" t="s">
        <v>4340</v>
      </c>
      <c r="BU152" s="14" t="s">
        <v>1291</v>
      </c>
      <c r="BV152" s="14" t="s">
        <v>2418</v>
      </c>
      <c r="BW152" s="14" t="s">
        <v>2089</v>
      </c>
      <c r="BX152" s="14" t="s">
        <v>2048</v>
      </c>
      <c r="BY152" s="14" t="s">
        <v>2048</v>
      </c>
      <c r="BZ152" s="14" t="s">
        <v>2048</v>
      </c>
      <c r="CA152" s="14" t="s">
        <v>2048</v>
      </c>
      <c r="CB152" s="14" t="s">
        <v>72</v>
      </c>
      <c r="CC152" s="14" t="s">
        <v>2048</v>
      </c>
      <c r="CD152" s="14" t="s">
        <v>2048</v>
      </c>
      <c r="CE152" s="14" t="s">
        <v>2048</v>
      </c>
      <c r="CF152" s="14" t="s">
        <v>2048</v>
      </c>
      <c r="CG152" s="14" t="s">
        <v>2048</v>
      </c>
      <c r="CH152" s="14" t="s">
        <v>2048</v>
      </c>
      <c r="CI152" s="14" t="s">
        <v>2048</v>
      </c>
      <c r="CJ152" s="14" t="s">
        <v>2048</v>
      </c>
      <c r="CK152" s="14" t="s">
        <v>2066</v>
      </c>
      <c r="CL152" s="14" t="s">
        <v>4299</v>
      </c>
      <c r="CM152" s="14" t="s">
        <v>2048</v>
      </c>
      <c r="CN152" s="17"/>
      <c r="CO152" s="17">
        <v>44176</v>
      </c>
      <c r="CP152" s="17">
        <v>44176</v>
      </c>
      <c r="CR152" s="17">
        <v>45828</v>
      </c>
      <c r="CS152" s="19">
        <v>48</v>
      </c>
      <c r="CT152" s="19">
        <v>0</v>
      </c>
      <c r="CU152" s="19">
        <v>408.36</v>
      </c>
      <c r="CV152" s="19">
        <v>0</v>
      </c>
      <c r="CW152" s="19">
        <v>408.36</v>
      </c>
      <c r="CX152" s="19">
        <v>494.12</v>
      </c>
      <c r="CY152" s="19">
        <v>0</v>
      </c>
      <c r="CZ152" s="17"/>
      <c r="DA152" s="19">
        <v>0</v>
      </c>
      <c r="DB152" s="17"/>
      <c r="DC152" s="17"/>
      <c r="DD152" s="19">
        <v>0</v>
      </c>
      <c r="DE152" s="17"/>
      <c r="DF152" s="17"/>
      <c r="DG152" s="19">
        <v>100</v>
      </c>
      <c r="DH152" s="17"/>
      <c r="DI152" s="17">
        <v>46022</v>
      </c>
      <c r="DJ152" s="17"/>
      <c r="DK152" s="17"/>
      <c r="DL152" s="19">
        <v>0</v>
      </c>
      <c r="DM152" s="19">
        <v>0</v>
      </c>
    </row>
    <row r="153" spans="1:117" x14ac:dyDescent="0.2">
      <c r="A153" s="14" t="s">
        <v>3610</v>
      </c>
      <c r="B153" s="14" t="s">
        <v>850</v>
      </c>
      <c r="C153" s="14" t="s">
        <v>158</v>
      </c>
      <c r="D153" s="14" t="s">
        <v>159</v>
      </c>
      <c r="E153" s="14" t="s">
        <v>158</v>
      </c>
      <c r="F153" s="14" t="s">
        <v>171</v>
      </c>
      <c r="G153" s="17">
        <v>45579</v>
      </c>
      <c r="H153" s="14" t="s">
        <v>172</v>
      </c>
      <c r="I153" s="14" t="s">
        <v>71</v>
      </c>
      <c r="J153" s="14" t="s">
        <v>844</v>
      </c>
      <c r="K153" s="14" t="s">
        <v>845</v>
      </c>
      <c r="L153" s="14" t="s">
        <v>81</v>
      </c>
      <c r="M153" s="14" t="s">
        <v>82</v>
      </c>
      <c r="N153" s="16">
        <f>COUNTIF($M$3:M153, M153)</f>
        <v>12</v>
      </c>
      <c r="O153" s="16" t="str" cm="1">
        <f t="array" ref="O153">INDEX('[2]ALTA 20242025'!$B$2:$B$241, MATCH(1, ('[2]ALTA 20242025'!$I$2:$I$241=M153)*('[2]ALTA 20242025'!$J$2:$J$241=N153), 0))</f>
        <v>0823MXH</v>
      </c>
      <c r="P153" s="16"/>
      <c r="Q153" s="16"/>
      <c r="R153" s="14" t="s">
        <v>2048</v>
      </c>
      <c r="S153" s="14" t="s">
        <v>2048</v>
      </c>
      <c r="T153" s="14" t="s">
        <v>2048</v>
      </c>
      <c r="U153" s="14" t="s">
        <v>2048</v>
      </c>
      <c r="V153" s="14" t="s">
        <v>4272</v>
      </c>
      <c r="W153" s="14" t="s">
        <v>2048</v>
      </c>
      <c r="X153" s="14" t="s">
        <v>2048</v>
      </c>
      <c r="Y153" s="14" t="s">
        <v>2048</v>
      </c>
      <c r="Z153" s="14" t="s">
        <v>2048</v>
      </c>
      <c r="AA153" s="14" t="s">
        <v>2048</v>
      </c>
      <c r="AB153" s="14" t="s">
        <v>2048</v>
      </c>
      <c r="AC153" s="14" t="s">
        <v>2048</v>
      </c>
      <c r="AD153" s="14" t="s">
        <v>2048</v>
      </c>
      <c r="AE153" s="14" t="s">
        <v>2048</v>
      </c>
      <c r="AF153" s="14" t="s">
        <v>2048</v>
      </c>
      <c r="AG153" s="14" t="s">
        <v>2048</v>
      </c>
      <c r="AH153" s="14" t="s">
        <v>2048</v>
      </c>
      <c r="AI153" s="14" t="s">
        <v>2129</v>
      </c>
      <c r="AJ153" s="14" t="s">
        <v>2130</v>
      </c>
      <c r="AK153" s="14" t="s">
        <v>2055</v>
      </c>
      <c r="AL153" s="14" t="s">
        <v>2055</v>
      </c>
      <c r="AM153" s="14" t="s">
        <v>2055</v>
      </c>
      <c r="AN153" s="14" t="s">
        <v>3714</v>
      </c>
      <c r="AO153" s="14" t="s">
        <v>2048</v>
      </c>
      <c r="AP153" s="14" t="s">
        <v>2048</v>
      </c>
      <c r="AQ153" s="14" t="s">
        <v>2048</v>
      </c>
      <c r="AR153" s="14" t="s">
        <v>2207</v>
      </c>
      <c r="AS153" s="14" t="s">
        <v>4274</v>
      </c>
      <c r="AT153" s="14" t="s">
        <v>2208</v>
      </c>
      <c r="AU153" s="14" t="s">
        <v>2059</v>
      </c>
      <c r="AV153" s="14" t="s">
        <v>2060</v>
      </c>
      <c r="AW153" s="14" t="s">
        <v>2048</v>
      </c>
      <c r="AX153" s="14" t="s">
        <v>2048</v>
      </c>
      <c r="AY153" s="14" t="s">
        <v>2268</v>
      </c>
      <c r="AZ153" s="14" t="s">
        <v>2269</v>
      </c>
      <c r="BA153" s="14" t="s">
        <v>3664</v>
      </c>
      <c r="BB153" s="14" t="s">
        <v>2048</v>
      </c>
      <c r="BC153" s="14" t="s">
        <v>81</v>
      </c>
      <c r="BD153" s="14" t="s">
        <v>143</v>
      </c>
      <c r="BE153" s="14" t="s">
        <v>2270</v>
      </c>
      <c r="BF153" s="14" t="s">
        <v>2048</v>
      </c>
      <c r="BG153" s="14" t="s">
        <v>2048</v>
      </c>
      <c r="BH153" s="14" t="s">
        <v>2271</v>
      </c>
      <c r="BI153" s="14" t="s">
        <v>2272</v>
      </c>
      <c r="BJ153" s="14" t="s">
        <v>2271</v>
      </c>
      <c r="BK153" s="14" t="s">
        <v>2272</v>
      </c>
      <c r="BL153" s="14" t="s">
        <v>2273</v>
      </c>
      <c r="BM153" s="14" t="s">
        <v>2218</v>
      </c>
      <c r="BN153" s="14" t="s">
        <v>2048</v>
      </c>
      <c r="BO153" s="14" t="s">
        <v>2518</v>
      </c>
      <c r="BP153" s="14" t="s">
        <v>2064</v>
      </c>
      <c r="BQ153" s="14" t="s">
        <v>2048</v>
      </c>
      <c r="BR153" s="14" t="s">
        <v>2048</v>
      </c>
      <c r="BS153" s="14" t="s">
        <v>4341</v>
      </c>
      <c r="BT153" s="14" t="s">
        <v>2048</v>
      </c>
      <c r="BU153" s="14" t="s">
        <v>2048</v>
      </c>
      <c r="BV153" s="14" t="s">
        <v>3191</v>
      </c>
      <c r="BW153" s="14" t="s">
        <v>3192</v>
      </c>
      <c r="BX153" s="14" t="s">
        <v>2048</v>
      </c>
      <c r="BY153" s="14" t="s">
        <v>2048</v>
      </c>
      <c r="BZ153" s="14" t="s">
        <v>2048</v>
      </c>
      <c r="CA153" s="14" t="s">
        <v>2048</v>
      </c>
      <c r="CB153" s="14" t="s">
        <v>2048</v>
      </c>
      <c r="CC153" s="14" t="s">
        <v>2048</v>
      </c>
      <c r="CD153" s="14" t="s">
        <v>2048</v>
      </c>
      <c r="CE153" s="14" t="s">
        <v>2048</v>
      </c>
      <c r="CF153" s="14" t="s">
        <v>2048</v>
      </c>
      <c r="CG153" s="14" t="s">
        <v>2048</v>
      </c>
      <c r="CH153" s="14" t="s">
        <v>2048</v>
      </c>
      <c r="CI153" s="14" t="s">
        <v>2048</v>
      </c>
      <c r="CJ153" s="14" t="s">
        <v>2048</v>
      </c>
      <c r="CK153" s="14" t="s">
        <v>3193</v>
      </c>
      <c r="CL153" s="14" t="s">
        <v>3194</v>
      </c>
      <c r="CM153" s="14" t="s">
        <v>2048</v>
      </c>
      <c r="CN153" s="17"/>
      <c r="CO153" s="17">
        <v>41960</v>
      </c>
      <c r="CP153" s="17">
        <v>41960</v>
      </c>
      <c r="CR153" s="17">
        <v>45579</v>
      </c>
      <c r="CS153" s="19">
        <v>0</v>
      </c>
      <c r="CT153" s="19">
        <v>0</v>
      </c>
      <c r="CU153" s="19">
        <v>0</v>
      </c>
      <c r="CV153" s="19">
        <v>0</v>
      </c>
      <c r="CW153" s="19">
        <v>0</v>
      </c>
      <c r="CX153" s="19">
        <v>0</v>
      </c>
      <c r="CY153" s="19">
        <v>0</v>
      </c>
      <c r="CZ153" s="17"/>
      <c r="DA153" s="20">
        <v>33340</v>
      </c>
      <c r="DB153" s="17">
        <v>43465</v>
      </c>
      <c r="DC153" s="17"/>
      <c r="DD153" s="19">
        <v>0</v>
      </c>
      <c r="DE153" s="17"/>
      <c r="DF153" s="17"/>
      <c r="DG153" s="19">
        <v>100</v>
      </c>
      <c r="DH153" s="17"/>
      <c r="DI153" s="17">
        <v>2958465</v>
      </c>
      <c r="DJ153" s="17"/>
      <c r="DK153" s="17"/>
      <c r="DL153" s="19">
        <v>0</v>
      </c>
      <c r="DM153" s="19">
        <v>0</v>
      </c>
    </row>
    <row r="154" spans="1:117" x14ac:dyDescent="0.2">
      <c r="A154" s="14" t="s">
        <v>3610</v>
      </c>
      <c r="B154" s="14" t="s">
        <v>1094</v>
      </c>
      <c r="C154" s="14" t="s">
        <v>1034</v>
      </c>
      <c r="D154" s="14" t="s">
        <v>200</v>
      </c>
      <c r="E154" s="14" t="s">
        <v>201</v>
      </c>
      <c r="F154" s="14" t="s">
        <v>76</v>
      </c>
      <c r="G154" s="17">
        <v>45588</v>
      </c>
      <c r="H154" s="14" t="s">
        <v>77</v>
      </c>
      <c r="I154" s="14" t="s">
        <v>202</v>
      </c>
      <c r="J154" s="14" t="s">
        <v>524</v>
      </c>
      <c r="K154" s="14" t="s">
        <v>1095</v>
      </c>
      <c r="L154" s="14" t="s">
        <v>204</v>
      </c>
      <c r="M154" s="14" t="s">
        <v>205</v>
      </c>
      <c r="N154" s="16">
        <f>COUNTIF($M$3:M154, M154)</f>
        <v>5</v>
      </c>
      <c r="O154" s="16" t="str" cm="1">
        <f t="array" ref="O154">INDEX('[2]ALTA 20242025'!$B$2:$B$241, MATCH(1, ('[2]ALTA 20242025'!$I$2:$I$241=M154)*('[2]ALTA 20242025'!$J$2:$J$241=N154), 0))</f>
        <v>0190MWZ</v>
      </c>
      <c r="P154" s="16"/>
      <c r="Q154" s="16"/>
      <c r="R154" s="14" t="s">
        <v>584</v>
      </c>
      <c r="S154" s="14" t="s">
        <v>585</v>
      </c>
      <c r="T154" s="14" t="s">
        <v>2048</v>
      </c>
      <c r="U154" s="14" t="s">
        <v>2048</v>
      </c>
      <c r="V154" s="14" t="s">
        <v>3620</v>
      </c>
      <c r="W154" s="14" t="s">
        <v>4342</v>
      </c>
      <c r="X154" s="14" t="s">
        <v>4342</v>
      </c>
      <c r="Y154" s="14" t="s">
        <v>4343</v>
      </c>
      <c r="Z154" s="14" t="s">
        <v>2048</v>
      </c>
      <c r="AA154" s="14" t="s">
        <v>2422</v>
      </c>
      <c r="AB154" s="14" t="s">
        <v>2049</v>
      </c>
      <c r="AC154" s="14" t="s">
        <v>2050</v>
      </c>
      <c r="AD154" s="14" t="s">
        <v>3690</v>
      </c>
      <c r="AE154" s="14" t="s">
        <v>3613</v>
      </c>
      <c r="AF154" s="14" t="s">
        <v>3614</v>
      </c>
      <c r="AG154" s="14" t="s">
        <v>200</v>
      </c>
      <c r="AH154" s="14" t="s">
        <v>3622</v>
      </c>
      <c r="AI154" s="14" t="s">
        <v>3472</v>
      </c>
      <c r="AJ154" s="14" t="s">
        <v>3821</v>
      </c>
      <c r="AK154" s="14" t="s">
        <v>2055</v>
      </c>
      <c r="AL154" s="14" t="s">
        <v>2055</v>
      </c>
      <c r="AM154" s="14" t="s">
        <v>2055</v>
      </c>
      <c r="AN154" s="14" t="s">
        <v>2121</v>
      </c>
      <c r="AO154" s="14" t="s">
        <v>2048</v>
      </c>
      <c r="AP154" s="14" t="s">
        <v>2048</v>
      </c>
      <c r="AQ154" s="14" t="s">
        <v>2048</v>
      </c>
      <c r="AR154" s="14" t="s">
        <v>2048</v>
      </c>
      <c r="AS154" s="14" t="s">
        <v>3623</v>
      </c>
      <c r="AT154" s="14" t="s">
        <v>2208</v>
      </c>
      <c r="AU154" s="14" t="s">
        <v>4344</v>
      </c>
      <c r="AV154" s="14" t="s">
        <v>4345</v>
      </c>
      <c r="AW154" s="14" t="s">
        <v>4346</v>
      </c>
      <c r="AX154" s="14" t="s">
        <v>2048</v>
      </c>
      <c r="AY154" s="14" t="s">
        <v>4345</v>
      </c>
      <c r="AZ154" s="14" t="s">
        <v>4346</v>
      </c>
      <c r="BA154" s="14" t="s">
        <v>2048</v>
      </c>
      <c r="BB154" s="14" t="s">
        <v>2048</v>
      </c>
      <c r="BC154" s="14" t="s">
        <v>204</v>
      </c>
      <c r="BD154" s="14" t="s">
        <v>206</v>
      </c>
      <c r="BE154" s="14" t="s">
        <v>4347</v>
      </c>
      <c r="BF154" s="14" t="s">
        <v>2048</v>
      </c>
      <c r="BG154" s="14" t="s">
        <v>2048</v>
      </c>
      <c r="BH154" s="14" t="s">
        <v>2866</v>
      </c>
      <c r="BI154" s="14" t="s">
        <v>4348</v>
      </c>
      <c r="BJ154" s="14" t="s">
        <v>2048</v>
      </c>
      <c r="BK154" s="14" t="s">
        <v>2048</v>
      </c>
      <c r="BL154" s="14" t="s">
        <v>4349</v>
      </c>
      <c r="BM154" s="14" t="s">
        <v>2287</v>
      </c>
      <c r="BN154" s="14" t="s">
        <v>2048</v>
      </c>
      <c r="BO154" s="14" t="s">
        <v>2518</v>
      </c>
      <c r="BP154" s="14" t="s">
        <v>2064</v>
      </c>
      <c r="BQ154" s="14" t="s">
        <v>72</v>
      </c>
      <c r="BR154" s="14" t="s">
        <v>72</v>
      </c>
      <c r="BS154" s="14" t="s">
        <v>2048</v>
      </c>
      <c r="BT154" s="14" t="s">
        <v>2329</v>
      </c>
      <c r="BU154" s="14" t="s">
        <v>2330</v>
      </c>
      <c r="BV154" s="14" t="s">
        <v>2331</v>
      </c>
      <c r="BW154" s="14" t="s">
        <v>2131</v>
      </c>
      <c r="BX154" s="14" t="s">
        <v>72</v>
      </c>
      <c r="BY154" s="14" t="s">
        <v>2048</v>
      </c>
      <c r="BZ154" s="14" t="s">
        <v>2048</v>
      </c>
      <c r="CA154" s="14" t="s">
        <v>2048</v>
      </c>
      <c r="CB154" s="14" t="s">
        <v>72</v>
      </c>
      <c r="CC154" s="14" t="s">
        <v>2048</v>
      </c>
      <c r="CD154" s="14" t="s">
        <v>72</v>
      </c>
      <c r="CE154" s="14" t="s">
        <v>2048</v>
      </c>
      <c r="CF154" s="14" t="s">
        <v>2048</v>
      </c>
      <c r="CG154" s="14" t="s">
        <v>2048</v>
      </c>
      <c r="CH154" s="14" t="s">
        <v>2048</v>
      </c>
      <c r="CI154" s="14" t="s">
        <v>2048</v>
      </c>
      <c r="CJ154" s="14" t="s">
        <v>2048</v>
      </c>
      <c r="CK154" s="14" t="s">
        <v>3603</v>
      </c>
      <c r="CL154" s="14" t="s">
        <v>3604</v>
      </c>
      <c r="CM154" s="14" t="s">
        <v>2048</v>
      </c>
      <c r="CN154" s="17">
        <v>45474</v>
      </c>
      <c r="CO154" s="17">
        <v>44127</v>
      </c>
      <c r="CP154" s="17">
        <v>44127</v>
      </c>
      <c r="CR154" s="17">
        <v>45776</v>
      </c>
      <c r="CS154" s="19">
        <v>48</v>
      </c>
      <c r="CT154" s="19">
        <v>0</v>
      </c>
      <c r="CU154" s="19">
        <v>539.34</v>
      </c>
      <c r="CV154" s="19">
        <v>0</v>
      </c>
      <c r="CW154" s="19">
        <v>539.34</v>
      </c>
      <c r="CX154" s="19">
        <v>652.6</v>
      </c>
      <c r="CY154" s="19">
        <v>0</v>
      </c>
      <c r="CZ154" s="17"/>
      <c r="DA154" s="19">
        <v>0</v>
      </c>
      <c r="DB154" s="17"/>
      <c r="DC154" s="17"/>
      <c r="DD154" s="19">
        <v>0</v>
      </c>
      <c r="DE154" s="17"/>
      <c r="DF154" s="17"/>
      <c r="DG154" s="19">
        <v>100</v>
      </c>
      <c r="DH154" s="17"/>
      <c r="DI154" s="17">
        <v>45808</v>
      </c>
      <c r="DJ154" s="17"/>
      <c r="DK154" s="17"/>
      <c r="DL154" s="19">
        <v>0</v>
      </c>
      <c r="DM154" s="19">
        <v>0</v>
      </c>
    </row>
    <row r="155" spans="1:117" x14ac:dyDescent="0.2">
      <c r="A155" s="14" t="s">
        <v>3610</v>
      </c>
      <c r="B155" s="14" t="s">
        <v>236</v>
      </c>
      <c r="C155" s="14" t="s">
        <v>73</v>
      </c>
      <c r="D155" s="14" t="s">
        <v>200</v>
      </c>
      <c r="E155" s="14" t="s">
        <v>201</v>
      </c>
      <c r="F155" s="14" t="s">
        <v>76</v>
      </c>
      <c r="G155" s="17">
        <v>45594</v>
      </c>
      <c r="H155" s="14" t="s">
        <v>77</v>
      </c>
      <c r="I155" s="14" t="s">
        <v>78</v>
      </c>
      <c r="J155" s="14" t="s">
        <v>213</v>
      </c>
      <c r="K155" s="14" t="s">
        <v>237</v>
      </c>
      <c r="L155" s="14" t="s">
        <v>204</v>
      </c>
      <c r="M155" s="14" t="s">
        <v>205</v>
      </c>
      <c r="N155" s="16">
        <f>COUNTIF($M$3:M155, M155)</f>
        <v>6</v>
      </c>
      <c r="O155" s="16" t="str" cm="1">
        <f t="array" ref="O155">INDEX('[2]ALTA 20242025'!$B$2:$B$241, MATCH(1, ('[2]ALTA 20242025'!$I$2:$I$241=M155)*('[2]ALTA 20242025'!$J$2:$J$241=N155), 0))</f>
        <v>0191MWZ</v>
      </c>
      <c r="P155" s="16"/>
      <c r="Q155" s="16"/>
      <c r="R155" s="14" t="s">
        <v>119</v>
      </c>
      <c r="S155" s="14" t="s">
        <v>120</v>
      </c>
      <c r="T155" s="14" t="s">
        <v>2048</v>
      </c>
      <c r="U155" s="14" t="s">
        <v>2048</v>
      </c>
      <c r="V155" s="14" t="s">
        <v>3620</v>
      </c>
      <c r="W155" s="14" t="s">
        <v>4350</v>
      </c>
      <c r="X155" s="14" t="s">
        <v>4010</v>
      </c>
      <c r="Y155" s="14" t="s">
        <v>4351</v>
      </c>
      <c r="Z155" s="14" t="s">
        <v>2048</v>
      </c>
      <c r="AA155" s="14" t="s">
        <v>2422</v>
      </c>
      <c r="AB155" s="14" t="s">
        <v>2049</v>
      </c>
      <c r="AC155" s="14" t="s">
        <v>2050</v>
      </c>
      <c r="AD155" s="14" t="s">
        <v>3725</v>
      </c>
      <c r="AE155" s="14" t="s">
        <v>3613</v>
      </c>
      <c r="AF155" s="14" t="s">
        <v>3614</v>
      </c>
      <c r="AG155" s="14" t="s">
        <v>200</v>
      </c>
      <c r="AH155" s="14" t="s">
        <v>3622</v>
      </c>
      <c r="AI155" s="14" t="s">
        <v>2132</v>
      </c>
      <c r="AJ155" s="14" t="s">
        <v>2133</v>
      </c>
      <c r="AK155" s="14" t="s">
        <v>2055</v>
      </c>
      <c r="AL155" s="14" t="s">
        <v>2055</v>
      </c>
      <c r="AM155" s="14" t="s">
        <v>2055</v>
      </c>
      <c r="AN155" s="14" t="s">
        <v>2068</v>
      </c>
      <c r="AO155" s="14" t="s">
        <v>2048</v>
      </c>
      <c r="AP155" s="14" t="s">
        <v>2048</v>
      </c>
      <c r="AQ155" s="14" t="s">
        <v>2048</v>
      </c>
      <c r="AR155" s="14" t="s">
        <v>2374</v>
      </c>
      <c r="AS155" s="14" t="s">
        <v>3623</v>
      </c>
      <c r="AT155" s="14" t="s">
        <v>3472</v>
      </c>
      <c r="AU155" s="14" t="s">
        <v>4352</v>
      </c>
      <c r="AV155" s="14" t="s">
        <v>2060</v>
      </c>
      <c r="AW155" s="14" t="s">
        <v>2048</v>
      </c>
      <c r="AX155" s="14" t="s">
        <v>72</v>
      </c>
      <c r="AY155" s="14" t="s">
        <v>2376</v>
      </c>
      <c r="AZ155" s="14" t="s">
        <v>2377</v>
      </c>
      <c r="BA155" s="14" t="s">
        <v>2048</v>
      </c>
      <c r="BB155" s="14" t="s">
        <v>2048</v>
      </c>
      <c r="BC155" s="14" t="s">
        <v>204</v>
      </c>
      <c r="BD155" s="14" t="s">
        <v>230</v>
      </c>
      <c r="BE155" s="14" t="s">
        <v>2378</v>
      </c>
      <c r="BF155" s="14" t="s">
        <v>2048</v>
      </c>
      <c r="BG155" s="14" t="s">
        <v>2048</v>
      </c>
      <c r="BH155" s="14" t="s">
        <v>2379</v>
      </c>
      <c r="BI155" s="14" t="s">
        <v>2380</v>
      </c>
      <c r="BJ155" s="14" t="s">
        <v>2048</v>
      </c>
      <c r="BK155" s="14" t="s">
        <v>2048</v>
      </c>
      <c r="BL155" s="14" t="s">
        <v>2381</v>
      </c>
      <c r="BM155" s="14" t="s">
        <v>2382</v>
      </c>
      <c r="BN155" s="14" t="s">
        <v>2048</v>
      </c>
      <c r="BO155" s="14" t="s">
        <v>2048</v>
      </c>
      <c r="BP155" s="14" t="s">
        <v>2064</v>
      </c>
      <c r="BQ155" s="14" t="s">
        <v>72</v>
      </c>
      <c r="BR155" s="14" t="s">
        <v>72</v>
      </c>
      <c r="BS155" s="14" t="s">
        <v>2048</v>
      </c>
      <c r="BT155" s="14" t="s">
        <v>2048</v>
      </c>
      <c r="BU155" s="14" t="s">
        <v>2048</v>
      </c>
      <c r="BV155" s="14" t="s">
        <v>2331</v>
      </c>
      <c r="BW155" s="14" t="s">
        <v>2131</v>
      </c>
      <c r="BX155" s="14" t="s">
        <v>2048</v>
      </c>
      <c r="BY155" s="14" t="s">
        <v>2048</v>
      </c>
      <c r="BZ155" s="14" t="s">
        <v>2048</v>
      </c>
      <c r="CA155" s="14" t="s">
        <v>2048</v>
      </c>
      <c r="CB155" s="14" t="s">
        <v>72</v>
      </c>
      <c r="CC155" s="14" t="s">
        <v>2048</v>
      </c>
      <c r="CD155" s="14" t="s">
        <v>2048</v>
      </c>
      <c r="CE155" s="14" t="s">
        <v>2048</v>
      </c>
      <c r="CF155" s="14" t="s">
        <v>2048</v>
      </c>
      <c r="CG155" s="14" t="s">
        <v>2048</v>
      </c>
      <c r="CH155" s="14" t="s">
        <v>2048</v>
      </c>
      <c r="CI155" s="14" t="s">
        <v>2048</v>
      </c>
      <c r="CJ155" s="14" t="s">
        <v>2048</v>
      </c>
      <c r="CK155" s="14" t="s">
        <v>2068</v>
      </c>
      <c r="CL155" s="14" t="s">
        <v>2069</v>
      </c>
      <c r="CM155" s="14" t="s">
        <v>2048</v>
      </c>
      <c r="CN155" s="17">
        <v>45139</v>
      </c>
      <c r="CO155" s="17">
        <v>44133</v>
      </c>
      <c r="CP155" s="17">
        <v>44133</v>
      </c>
      <c r="CR155" s="17">
        <v>45672</v>
      </c>
      <c r="CS155" s="19">
        <v>48</v>
      </c>
      <c r="CT155" s="19">
        <v>0</v>
      </c>
      <c r="CU155" s="19">
        <v>174.93</v>
      </c>
      <c r="CV155" s="19">
        <v>0</v>
      </c>
      <c r="CW155" s="19">
        <v>174.93</v>
      </c>
      <c r="CX155" s="19">
        <v>211.67</v>
      </c>
      <c r="CY155" s="19">
        <v>0</v>
      </c>
      <c r="CZ155" s="17"/>
      <c r="DA155" s="20">
        <v>81639</v>
      </c>
      <c r="DB155" s="17">
        <v>45672</v>
      </c>
      <c r="DC155" s="17"/>
      <c r="DD155" s="19">
        <v>0</v>
      </c>
      <c r="DE155" s="17"/>
      <c r="DF155" s="17"/>
      <c r="DG155" s="19">
        <v>100</v>
      </c>
      <c r="DH155" s="17"/>
      <c r="DI155" s="17">
        <v>46022</v>
      </c>
      <c r="DJ155" s="17"/>
      <c r="DK155" s="17"/>
      <c r="DL155" s="19">
        <v>0</v>
      </c>
      <c r="DM155" s="19">
        <v>0</v>
      </c>
    </row>
    <row r="156" spans="1:117" x14ac:dyDescent="0.2">
      <c r="A156" s="14" t="s">
        <v>3610</v>
      </c>
      <c r="B156" s="14" t="s">
        <v>242</v>
      </c>
      <c r="C156" s="14" t="s">
        <v>73</v>
      </c>
      <c r="D156" s="14" t="s">
        <v>200</v>
      </c>
      <c r="E156" s="14" t="s">
        <v>201</v>
      </c>
      <c r="F156" s="14" t="s">
        <v>76</v>
      </c>
      <c r="G156" s="17">
        <v>45594</v>
      </c>
      <c r="H156" s="14" t="s">
        <v>77</v>
      </c>
      <c r="I156" s="14" t="s">
        <v>78</v>
      </c>
      <c r="J156" s="14" t="s">
        <v>213</v>
      </c>
      <c r="K156" s="14" t="s">
        <v>237</v>
      </c>
      <c r="L156" s="14" t="s">
        <v>119</v>
      </c>
      <c r="M156" s="14" t="s">
        <v>120</v>
      </c>
      <c r="N156" s="16">
        <f>COUNTIF($M$3:M156, M156)</f>
        <v>12</v>
      </c>
      <c r="O156" s="16" t="str" cm="1">
        <f t="array" ref="O156">INDEX('[2]ALTA 20242025'!$B$2:$B$241, MATCH(1, ('[2]ALTA 20242025'!$I$2:$I$241=M156)*('[2]ALTA 20242025'!$J$2:$J$241=N156), 0))</f>
        <v>6028MWV</v>
      </c>
      <c r="P156" s="16"/>
      <c r="Q156" s="16"/>
      <c r="R156" s="14" t="s">
        <v>2048</v>
      </c>
      <c r="S156" s="14" t="s">
        <v>2048</v>
      </c>
      <c r="T156" s="14" t="s">
        <v>2048</v>
      </c>
      <c r="U156" s="14" t="s">
        <v>2048</v>
      </c>
      <c r="V156" s="14" t="s">
        <v>3620</v>
      </c>
      <c r="W156" s="14" t="s">
        <v>4353</v>
      </c>
      <c r="X156" s="14" t="s">
        <v>4010</v>
      </c>
      <c r="Y156" s="14" t="s">
        <v>4354</v>
      </c>
      <c r="Z156" s="14" t="s">
        <v>2048</v>
      </c>
      <c r="AA156" s="14" t="s">
        <v>2422</v>
      </c>
      <c r="AB156" s="14" t="s">
        <v>2049</v>
      </c>
      <c r="AC156" s="14" t="s">
        <v>2050</v>
      </c>
      <c r="AD156" s="14" t="s">
        <v>3725</v>
      </c>
      <c r="AE156" s="14" t="s">
        <v>3613</v>
      </c>
      <c r="AF156" s="14" t="s">
        <v>3614</v>
      </c>
      <c r="AG156" s="14" t="s">
        <v>200</v>
      </c>
      <c r="AH156" s="14" t="s">
        <v>3622</v>
      </c>
      <c r="AI156" s="14" t="s">
        <v>2132</v>
      </c>
      <c r="AJ156" s="14" t="s">
        <v>2133</v>
      </c>
      <c r="AK156" s="14" t="s">
        <v>2055</v>
      </c>
      <c r="AL156" s="14" t="s">
        <v>2055</v>
      </c>
      <c r="AM156" s="14" t="s">
        <v>2055</v>
      </c>
      <c r="AN156" s="14" t="s">
        <v>2068</v>
      </c>
      <c r="AO156" s="14" t="s">
        <v>2048</v>
      </c>
      <c r="AP156" s="14" t="s">
        <v>2048</v>
      </c>
      <c r="AQ156" s="14" t="s">
        <v>2048</v>
      </c>
      <c r="AR156" s="14" t="s">
        <v>3014</v>
      </c>
      <c r="AS156" s="14" t="s">
        <v>3623</v>
      </c>
      <c r="AT156" s="14" t="s">
        <v>3472</v>
      </c>
      <c r="AU156" s="14" t="s">
        <v>4355</v>
      </c>
      <c r="AV156" s="14" t="s">
        <v>3015</v>
      </c>
      <c r="AW156" s="14" t="s">
        <v>3016</v>
      </c>
      <c r="AX156" s="14" t="s">
        <v>2048</v>
      </c>
      <c r="AY156" s="14" t="s">
        <v>3015</v>
      </c>
      <c r="AZ156" s="14" t="s">
        <v>3016</v>
      </c>
      <c r="BA156" s="14" t="s">
        <v>3851</v>
      </c>
      <c r="BB156" s="14" t="s">
        <v>2048</v>
      </c>
      <c r="BC156" s="14" t="s">
        <v>119</v>
      </c>
      <c r="BD156" s="14" t="s">
        <v>243</v>
      </c>
      <c r="BE156" s="14" t="s">
        <v>3017</v>
      </c>
      <c r="BF156" s="14" t="s">
        <v>2048</v>
      </c>
      <c r="BG156" s="14" t="s">
        <v>2048</v>
      </c>
      <c r="BH156" s="14" t="s">
        <v>2433</v>
      </c>
      <c r="BI156" s="14" t="s">
        <v>2434</v>
      </c>
      <c r="BJ156" s="14" t="s">
        <v>3018</v>
      </c>
      <c r="BK156" s="14" t="s">
        <v>3019</v>
      </c>
      <c r="BL156" s="14" t="s">
        <v>3020</v>
      </c>
      <c r="BM156" s="14" t="s">
        <v>2287</v>
      </c>
      <c r="BN156" s="14" t="s">
        <v>2048</v>
      </c>
      <c r="BO156" s="14" t="s">
        <v>2048</v>
      </c>
      <c r="BP156" s="14" t="s">
        <v>2064</v>
      </c>
      <c r="BQ156" s="14" t="s">
        <v>72</v>
      </c>
      <c r="BR156" s="14" t="s">
        <v>72</v>
      </c>
      <c r="BS156" s="14" t="s">
        <v>2048</v>
      </c>
      <c r="BT156" s="14" t="s">
        <v>4356</v>
      </c>
      <c r="BU156" s="14" t="s">
        <v>4357</v>
      </c>
      <c r="BV156" s="14" t="s">
        <v>2331</v>
      </c>
      <c r="BW156" s="14" t="s">
        <v>2131</v>
      </c>
      <c r="BX156" s="14" t="s">
        <v>2048</v>
      </c>
      <c r="BY156" s="14" t="s">
        <v>2048</v>
      </c>
      <c r="BZ156" s="14" t="s">
        <v>72</v>
      </c>
      <c r="CA156" s="14" t="s">
        <v>3856</v>
      </c>
      <c r="CB156" s="14" t="s">
        <v>72</v>
      </c>
      <c r="CC156" s="14" t="s">
        <v>2048</v>
      </c>
      <c r="CD156" s="14" t="s">
        <v>2048</v>
      </c>
      <c r="CE156" s="14" t="s">
        <v>2048</v>
      </c>
      <c r="CF156" s="14" t="s">
        <v>2048</v>
      </c>
      <c r="CG156" s="14" t="s">
        <v>2048</v>
      </c>
      <c r="CH156" s="14" t="s">
        <v>2048</v>
      </c>
      <c r="CI156" s="14" t="s">
        <v>2048</v>
      </c>
      <c r="CJ156" s="14" t="s">
        <v>2048</v>
      </c>
      <c r="CK156" s="14" t="s">
        <v>2068</v>
      </c>
      <c r="CL156" s="14" t="s">
        <v>2069</v>
      </c>
      <c r="CM156" s="14" t="s">
        <v>2048</v>
      </c>
      <c r="CN156" s="17"/>
      <c r="CO156" s="17">
        <v>44133</v>
      </c>
      <c r="CP156" s="17">
        <v>44133</v>
      </c>
      <c r="CR156" s="17">
        <v>45679</v>
      </c>
      <c r="CS156" s="19">
        <v>48</v>
      </c>
      <c r="CT156" s="19">
        <v>0</v>
      </c>
      <c r="CU156" s="19">
        <v>174.93</v>
      </c>
      <c r="CV156" s="19">
        <v>0</v>
      </c>
      <c r="CW156" s="19">
        <v>174.93</v>
      </c>
      <c r="CX156" s="19">
        <v>211.67</v>
      </c>
      <c r="CY156" s="19">
        <v>0</v>
      </c>
      <c r="CZ156" s="17"/>
      <c r="DA156" s="20">
        <v>3690</v>
      </c>
      <c r="DB156" s="17">
        <v>44256</v>
      </c>
      <c r="DC156" s="17"/>
      <c r="DD156" s="19">
        <v>0</v>
      </c>
      <c r="DE156" s="17"/>
      <c r="DF156" s="17"/>
      <c r="DG156" s="19">
        <v>100</v>
      </c>
      <c r="DH156" s="17"/>
      <c r="DI156" s="17">
        <v>46022</v>
      </c>
      <c r="DJ156" s="17"/>
      <c r="DK156" s="17"/>
      <c r="DL156" s="19">
        <v>0</v>
      </c>
      <c r="DM156" s="19">
        <v>0</v>
      </c>
    </row>
    <row r="157" spans="1:117" x14ac:dyDescent="0.2">
      <c r="A157" s="14" t="s">
        <v>3610</v>
      </c>
      <c r="B157" s="14" t="s">
        <v>248</v>
      </c>
      <c r="C157" s="14" t="s">
        <v>73</v>
      </c>
      <c r="D157" s="14" t="s">
        <v>200</v>
      </c>
      <c r="E157" s="14" t="s">
        <v>201</v>
      </c>
      <c r="F157" s="14" t="s">
        <v>160</v>
      </c>
      <c r="G157" s="17">
        <v>45594</v>
      </c>
      <c r="H157" s="14" t="s">
        <v>161</v>
      </c>
      <c r="I157" s="14" t="s">
        <v>78</v>
      </c>
      <c r="J157" s="14" t="s">
        <v>213</v>
      </c>
      <c r="K157" s="14" t="s">
        <v>237</v>
      </c>
      <c r="L157" s="14" t="s">
        <v>119</v>
      </c>
      <c r="M157" s="14" t="s">
        <v>120</v>
      </c>
      <c r="N157" s="16">
        <f>COUNTIF($M$3:M157, M157)</f>
        <v>13</v>
      </c>
      <c r="O157" s="16" t="str" cm="1">
        <f t="array" ref="O157">INDEX('[2]ALTA 20242025'!$B$2:$B$241, MATCH(1, ('[2]ALTA 20242025'!$I$2:$I$241=M157)*('[2]ALTA 20242025'!$J$2:$J$241=N157), 0))</f>
        <v>6029MWV</v>
      </c>
      <c r="P157" s="16"/>
      <c r="Q157" s="16"/>
      <c r="R157" s="14" t="s">
        <v>2048</v>
      </c>
      <c r="S157" s="14" t="s">
        <v>2048</v>
      </c>
      <c r="T157" s="14" t="s">
        <v>2048</v>
      </c>
      <c r="U157" s="14" t="s">
        <v>2048</v>
      </c>
      <c r="V157" s="14" t="s">
        <v>3620</v>
      </c>
      <c r="W157" s="14" t="s">
        <v>4358</v>
      </c>
      <c r="X157" s="14" t="s">
        <v>4010</v>
      </c>
      <c r="Y157" s="14" t="s">
        <v>4359</v>
      </c>
      <c r="Z157" s="14" t="s">
        <v>2048</v>
      </c>
      <c r="AA157" s="14" t="s">
        <v>2422</v>
      </c>
      <c r="AB157" s="14" t="s">
        <v>2049</v>
      </c>
      <c r="AC157" s="14" t="s">
        <v>2050</v>
      </c>
      <c r="AD157" s="14" t="s">
        <v>3788</v>
      </c>
      <c r="AE157" s="14" t="s">
        <v>3613</v>
      </c>
      <c r="AF157" s="14" t="s">
        <v>3614</v>
      </c>
      <c r="AG157" s="14" t="s">
        <v>200</v>
      </c>
      <c r="AH157" s="14" t="s">
        <v>3622</v>
      </c>
      <c r="AI157" s="14" t="s">
        <v>2132</v>
      </c>
      <c r="AJ157" s="14" t="s">
        <v>2133</v>
      </c>
      <c r="AK157" s="14" t="s">
        <v>2055</v>
      </c>
      <c r="AL157" s="14" t="s">
        <v>2055</v>
      </c>
      <c r="AM157" s="14" t="s">
        <v>2055</v>
      </c>
      <c r="AN157" s="14" t="s">
        <v>2068</v>
      </c>
      <c r="AO157" s="14" t="s">
        <v>2048</v>
      </c>
      <c r="AP157" s="14" t="s">
        <v>2048</v>
      </c>
      <c r="AQ157" s="14" t="s">
        <v>2048</v>
      </c>
      <c r="AR157" s="14" t="s">
        <v>4360</v>
      </c>
      <c r="AS157" s="14" t="s">
        <v>3623</v>
      </c>
      <c r="AT157" s="14" t="s">
        <v>3472</v>
      </c>
      <c r="AU157" s="14" t="s">
        <v>4361</v>
      </c>
      <c r="AV157" s="14" t="s">
        <v>4362</v>
      </c>
      <c r="AW157" s="14" t="s">
        <v>4363</v>
      </c>
      <c r="AX157" s="14" t="s">
        <v>2048</v>
      </c>
      <c r="AY157" s="14" t="s">
        <v>4364</v>
      </c>
      <c r="AZ157" s="14" t="s">
        <v>4365</v>
      </c>
      <c r="BA157" s="14" t="s">
        <v>2048</v>
      </c>
      <c r="BB157" s="14" t="s">
        <v>2048</v>
      </c>
      <c r="BC157" s="14" t="s">
        <v>119</v>
      </c>
      <c r="BD157" s="14" t="s">
        <v>250</v>
      </c>
      <c r="BE157" s="14" t="s">
        <v>4366</v>
      </c>
      <c r="BF157" s="14" t="s">
        <v>2048</v>
      </c>
      <c r="BG157" s="14" t="s">
        <v>2048</v>
      </c>
      <c r="BH157" s="14" t="s">
        <v>2433</v>
      </c>
      <c r="BI157" s="14" t="s">
        <v>2434</v>
      </c>
      <c r="BJ157" s="14" t="s">
        <v>4367</v>
      </c>
      <c r="BK157" s="14" t="s">
        <v>4368</v>
      </c>
      <c r="BL157" s="14" t="s">
        <v>4369</v>
      </c>
      <c r="BM157" s="14" t="s">
        <v>2287</v>
      </c>
      <c r="BN157" s="14" t="s">
        <v>2048</v>
      </c>
      <c r="BO157" s="14" t="s">
        <v>2048</v>
      </c>
      <c r="BP157" s="14" t="s">
        <v>2064</v>
      </c>
      <c r="BQ157" s="14" t="s">
        <v>72</v>
      </c>
      <c r="BR157" s="14" t="s">
        <v>72</v>
      </c>
      <c r="BS157" s="14" t="s">
        <v>2048</v>
      </c>
      <c r="BT157" s="14" t="s">
        <v>4370</v>
      </c>
      <c r="BU157" s="14" t="s">
        <v>4371</v>
      </c>
      <c r="BV157" s="14" t="s">
        <v>2331</v>
      </c>
      <c r="BW157" s="14" t="s">
        <v>2131</v>
      </c>
      <c r="BX157" s="14" t="s">
        <v>2048</v>
      </c>
      <c r="BY157" s="14" t="s">
        <v>2048</v>
      </c>
      <c r="BZ157" s="14" t="s">
        <v>2048</v>
      </c>
      <c r="CA157" s="14" t="s">
        <v>2048</v>
      </c>
      <c r="CB157" s="14" t="s">
        <v>72</v>
      </c>
      <c r="CC157" s="14" t="s">
        <v>2048</v>
      </c>
      <c r="CD157" s="14" t="s">
        <v>2048</v>
      </c>
      <c r="CE157" s="14" t="s">
        <v>2048</v>
      </c>
      <c r="CF157" s="14" t="s">
        <v>2048</v>
      </c>
      <c r="CG157" s="14" t="s">
        <v>2048</v>
      </c>
      <c r="CH157" s="14" t="s">
        <v>2048</v>
      </c>
      <c r="CI157" s="14" t="s">
        <v>2048</v>
      </c>
      <c r="CJ157" s="14" t="s">
        <v>2048</v>
      </c>
      <c r="CK157" s="14" t="s">
        <v>2068</v>
      </c>
      <c r="CL157" s="14" t="s">
        <v>2069</v>
      </c>
      <c r="CM157" s="14" t="s">
        <v>2048</v>
      </c>
      <c r="CN157" s="17"/>
      <c r="CO157" s="17">
        <v>44133</v>
      </c>
      <c r="CP157" s="17">
        <v>44133</v>
      </c>
      <c r="CR157" s="17">
        <v>45594</v>
      </c>
      <c r="CS157" s="19">
        <v>48</v>
      </c>
      <c r="CT157" s="19">
        <v>0</v>
      </c>
      <c r="CU157" s="19">
        <v>207.52</v>
      </c>
      <c r="CV157" s="19">
        <v>0</v>
      </c>
      <c r="CW157" s="19">
        <v>207.52</v>
      </c>
      <c r="CX157" s="19">
        <v>251.1</v>
      </c>
      <c r="CY157" s="19">
        <v>0</v>
      </c>
      <c r="CZ157" s="17"/>
      <c r="DA157" s="19">
        <v>0</v>
      </c>
      <c r="DB157" s="17"/>
      <c r="DC157" s="17"/>
      <c r="DD157" s="19">
        <v>0</v>
      </c>
      <c r="DE157" s="17"/>
      <c r="DF157" s="17"/>
      <c r="DG157" s="19">
        <v>100</v>
      </c>
      <c r="DH157" s="17"/>
      <c r="DI157" s="17">
        <v>45777</v>
      </c>
      <c r="DJ157" s="17"/>
      <c r="DK157" s="17"/>
      <c r="DL157" s="19">
        <v>0</v>
      </c>
      <c r="DM157" s="19">
        <v>0</v>
      </c>
    </row>
    <row r="158" spans="1:117" x14ac:dyDescent="0.2">
      <c r="A158" s="14" t="s">
        <v>3610</v>
      </c>
      <c r="B158" s="14" t="s">
        <v>257</v>
      </c>
      <c r="C158" s="14" t="s">
        <v>73</v>
      </c>
      <c r="D158" s="14" t="s">
        <v>200</v>
      </c>
      <c r="E158" s="14" t="s">
        <v>201</v>
      </c>
      <c r="F158" s="14" t="s">
        <v>76</v>
      </c>
      <c r="G158" s="17">
        <v>45594</v>
      </c>
      <c r="H158" s="14" t="s">
        <v>77</v>
      </c>
      <c r="I158" s="14" t="s">
        <v>78</v>
      </c>
      <c r="J158" s="14" t="s">
        <v>213</v>
      </c>
      <c r="K158" s="14" t="s">
        <v>237</v>
      </c>
      <c r="L158" s="14" t="s">
        <v>119</v>
      </c>
      <c r="M158" s="14" t="s">
        <v>120</v>
      </c>
      <c r="N158" s="16">
        <f>COUNTIF($M$3:M158, M158)</f>
        <v>14</v>
      </c>
      <c r="O158" s="16" t="str" cm="1">
        <f t="array" ref="O158">INDEX('[2]ALTA 20242025'!$B$2:$B$241, MATCH(1, ('[2]ALTA 20242025'!$I$2:$I$241=M158)*('[2]ALTA 20242025'!$J$2:$J$241=N158), 0))</f>
        <v>6042MWV</v>
      </c>
      <c r="P158" s="16"/>
      <c r="Q158" s="16"/>
      <c r="R158" s="14" t="s">
        <v>2048</v>
      </c>
      <c r="S158" s="14" t="s">
        <v>2048</v>
      </c>
      <c r="T158" s="14" t="s">
        <v>2048</v>
      </c>
      <c r="U158" s="14" t="s">
        <v>2048</v>
      </c>
      <c r="V158" s="14" t="s">
        <v>3620</v>
      </c>
      <c r="W158" s="14" t="s">
        <v>4372</v>
      </c>
      <c r="X158" s="14" t="s">
        <v>4010</v>
      </c>
      <c r="Y158" s="14" t="s">
        <v>4373</v>
      </c>
      <c r="Z158" s="14" t="s">
        <v>2048</v>
      </c>
      <c r="AA158" s="14" t="s">
        <v>2422</v>
      </c>
      <c r="AB158" s="14" t="s">
        <v>2049</v>
      </c>
      <c r="AC158" s="14" t="s">
        <v>2050</v>
      </c>
      <c r="AD158" s="14" t="s">
        <v>3690</v>
      </c>
      <c r="AE158" s="14" t="s">
        <v>3613</v>
      </c>
      <c r="AF158" s="14" t="s">
        <v>3614</v>
      </c>
      <c r="AG158" s="14" t="s">
        <v>200</v>
      </c>
      <c r="AH158" s="14" t="s">
        <v>3622</v>
      </c>
      <c r="AI158" s="14" t="s">
        <v>2132</v>
      </c>
      <c r="AJ158" s="14" t="s">
        <v>2133</v>
      </c>
      <c r="AK158" s="14" t="s">
        <v>2055</v>
      </c>
      <c r="AL158" s="14" t="s">
        <v>2055</v>
      </c>
      <c r="AM158" s="14" t="s">
        <v>2055</v>
      </c>
      <c r="AN158" s="14" t="s">
        <v>2068</v>
      </c>
      <c r="AO158" s="14" t="s">
        <v>2048</v>
      </c>
      <c r="AP158" s="14" t="s">
        <v>2048</v>
      </c>
      <c r="AQ158" s="14" t="s">
        <v>2048</v>
      </c>
      <c r="AR158" s="14" t="s">
        <v>2048</v>
      </c>
      <c r="AS158" s="14" t="s">
        <v>3623</v>
      </c>
      <c r="AT158" s="14" t="s">
        <v>3472</v>
      </c>
      <c r="AU158" s="14" t="s">
        <v>4374</v>
      </c>
      <c r="AV158" s="14" t="s">
        <v>4375</v>
      </c>
      <c r="AW158" s="14" t="s">
        <v>4376</v>
      </c>
      <c r="AX158" s="14" t="s">
        <v>2048</v>
      </c>
      <c r="AY158" s="14" t="s">
        <v>2993</v>
      </c>
      <c r="AZ158" s="14" t="s">
        <v>2994</v>
      </c>
      <c r="BA158" s="14" t="s">
        <v>3627</v>
      </c>
      <c r="BB158" s="14" t="s">
        <v>2048</v>
      </c>
      <c r="BC158" s="14" t="s">
        <v>119</v>
      </c>
      <c r="BD158" s="14" t="s">
        <v>258</v>
      </c>
      <c r="BE158" s="14" t="s">
        <v>3028</v>
      </c>
      <c r="BF158" s="14" t="s">
        <v>2048</v>
      </c>
      <c r="BG158" s="14" t="s">
        <v>2048</v>
      </c>
      <c r="BH158" s="14" t="s">
        <v>2576</v>
      </c>
      <c r="BI158" s="14" t="s">
        <v>2577</v>
      </c>
      <c r="BJ158" s="14" t="s">
        <v>2961</v>
      </c>
      <c r="BK158" s="14" t="s">
        <v>2962</v>
      </c>
      <c r="BL158" s="14" t="s">
        <v>2963</v>
      </c>
      <c r="BM158" s="14" t="s">
        <v>2287</v>
      </c>
      <c r="BN158" s="14" t="s">
        <v>2048</v>
      </c>
      <c r="BO158" s="14" t="s">
        <v>2048</v>
      </c>
      <c r="BP158" s="14" t="s">
        <v>2064</v>
      </c>
      <c r="BQ158" s="14" t="s">
        <v>72</v>
      </c>
      <c r="BR158" s="14" t="s">
        <v>72</v>
      </c>
      <c r="BS158" s="14" t="s">
        <v>2048</v>
      </c>
      <c r="BT158" s="14" t="s">
        <v>2986</v>
      </c>
      <c r="BU158" s="14" t="s">
        <v>2987</v>
      </c>
      <c r="BV158" s="14" t="s">
        <v>2331</v>
      </c>
      <c r="BW158" s="14" t="s">
        <v>2131</v>
      </c>
      <c r="BX158" s="14" t="s">
        <v>2048</v>
      </c>
      <c r="BY158" s="14" t="s">
        <v>2048</v>
      </c>
      <c r="BZ158" s="14" t="s">
        <v>2048</v>
      </c>
      <c r="CA158" s="14" t="s">
        <v>2048</v>
      </c>
      <c r="CB158" s="14" t="s">
        <v>72</v>
      </c>
      <c r="CC158" s="14" t="s">
        <v>2048</v>
      </c>
      <c r="CD158" s="14" t="s">
        <v>2048</v>
      </c>
      <c r="CE158" s="14" t="s">
        <v>2048</v>
      </c>
      <c r="CF158" s="14" t="s">
        <v>2048</v>
      </c>
      <c r="CG158" s="14" t="s">
        <v>2048</v>
      </c>
      <c r="CH158" s="14" t="s">
        <v>2048</v>
      </c>
      <c r="CI158" s="14" t="s">
        <v>2048</v>
      </c>
      <c r="CJ158" s="14" t="s">
        <v>2048</v>
      </c>
      <c r="CK158" s="14" t="s">
        <v>2068</v>
      </c>
      <c r="CL158" s="14" t="s">
        <v>2069</v>
      </c>
      <c r="CM158" s="14" t="s">
        <v>2048</v>
      </c>
      <c r="CN158" s="17"/>
      <c r="CO158" s="17">
        <v>44133</v>
      </c>
      <c r="CP158" s="17">
        <v>44133</v>
      </c>
      <c r="CR158" s="17">
        <v>45673</v>
      </c>
      <c r="CS158" s="19">
        <v>48</v>
      </c>
      <c r="CT158" s="19">
        <v>0</v>
      </c>
      <c r="CU158" s="19">
        <v>186.65</v>
      </c>
      <c r="CV158" s="19">
        <v>0</v>
      </c>
      <c r="CW158" s="19">
        <v>186.65</v>
      </c>
      <c r="CX158" s="19">
        <v>225.85</v>
      </c>
      <c r="CY158" s="19">
        <v>0</v>
      </c>
      <c r="CZ158" s="17"/>
      <c r="DA158" s="20">
        <v>72412</v>
      </c>
      <c r="DB158" s="17">
        <v>45596</v>
      </c>
      <c r="DC158" s="17"/>
      <c r="DD158" s="19">
        <v>0</v>
      </c>
      <c r="DE158" s="17"/>
      <c r="DF158" s="17"/>
      <c r="DG158" s="19">
        <v>100</v>
      </c>
      <c r="DH158" s="17"/>
      <c r="DI158" s="17">
        <v>45657</v>
      </c>
      <c r="DJ158" s="17"/>
      <c r="DK158" s="17"/>
      <c r="DL158" s="19">
        <v>0</v>
      </c>
      <c r="DM158" s="19">
        <v>0</v>
      </c>
    </row>
    <row r="159" spans="1:117" x14ac:dyDescent="0.2">
      <c r="A159" s="14" t="s">
        <v>3610</v>
      </c>
      <c r="B159" s="14" t="s">
        <v>264</v>
      </c>
      <c r="C159" s="14" t="s">
        <v>73</v>
      </c>
      <c r="D159" s="14" t="s">
        <v>200</v>
      </c>
      <c r="E159" s="14" t="s">
        <v>201</v>
      </c>
      <c r="F159" s="14" t="s">
        <v>76</v>
      </c>
      <c r="G159" s="17">
        <v>45594</v>
      </c>
      <c r="H159" s="14" t="s">
        <v>77</v>
      </c>
      <c r="I159" s="14" t="s">
        <v>78</v>
      </c>
      <c r="J159" s="14" t="s">
        <v>213</v>
      </c>
      <c r="K159" s="14" t="s">
        <v>237</v>
      </c>
      <c r="L159" s="14" t="s">
        <v>119</v>
      </c>
      <c r="M159" s="14" t="s">
        <v>120</v>
      </c>
      <c r="N159" s="16">
        <f>COUNTIF($M$3:M159, M159)</f>
        <v>15</v>
      </c>
      <c r="O159" s="16" t="str" cm="1">
        <f t="array" ref="O159">INDEX('[2]ALTA 20242025'!$B$2:$B$241, MATCH(1, ('[2]ALTA 20242025'!$I$2:$I$241=M159)*('[2]ALTA 20242025'!$J$2:$J$241=N159), 0))</f>
        <v>6046MWV</v>
      </c>
      <c r="P159" s="16"/>
      <c r="Q159" s="16"/>
      <c r="R159" s="14" t="s">
        <v>2048</v>
      </c>
      <c r="S159" s="14" t="s">
        <v>2048</v>
      </c>
      <c r="T159" s="14" t="s">
        <v>2048</v>
      </c>
      <c r="U159" s="14" t="s">
        <v>2048</v>
      </c>
      <c r="V159" s="14" t="s">
        <v>3620</v>
      </c>
      <c r="W159" s="14" t="s">
        <v>4377</v>
      </c>
      <c r="X159" s="14" t="s">
        <v>4010</v>
      </c>
      <c r="Y159" s="14" t="s">
        <v>4378</v>
      </c>
      <c r="Z159" s="14" t="s">
        <v>2048</v>
      </c>
      <c r="AA159" s="14" t="s">
        <v>2422</v>
      </c>
      <c r="AB159" s="14" t="s">
        <v>2049</v>
      </c>
      <c r="AC159" s="14" t="s">
        <v>2050</v>
      </c>
      <c r="AD159" s="14" t="s">
        <v>3690</v>
      </c>
      <c r="AE159" s="14" t="s">
        <v>3613</v>
      </c>
      <c r="AF159" s="14" t="s">
        <v>3614</v>
      </c>
      <c r="AG159" s="14" t="s">
        <v>200</v>
      </c>
      <c r="AH159" s="14" t="s">
        <v>3622</v>
      </c>
      <c r="AI159" s="14" t="s">
        <v>2132</v>
      </c>
      <c r="AJ159" s="14" t="s">
        <v>2133</v>
      </c>
      <c r="AK159" s="14" t="s">
        <v>2055</v>
      </c>
      <c r="AL159" s="14" t="s">
        <v>2055</v>
      </c>
      <c r="AM159" s="14" t="s">
        <v>2055</v>
      </c>
      <c r="AN159" s="14" t="s">
        <v>2068</v>
      </c>
      <c r="AO159" s="14" t="s">
        <v>2048</v>
      </c>
      <c r="AP159" s="14" t="s">
        <v>2048</v>
      </c>
      <c r="AQ159" s="14" t="s">
        <v>2048</v>
      </c>
      <c r="AR159" s="14" t="s">
        <v>3006</v>
      </c>
      <c r="AS159" s="14" t="s">
        <v>3623</v>
      </c>
      <c r="AT159" s="14" t="s">
        <v>3472</v>
      </c>
      <c r="AU159" s="14" t="s">
        <v>4379</v>
      </c>
      <c r="AV159" s="14" t="s">
        <v>4380</v>
      </c>
      <c r="AW159" s="14" t="s">
        <v>4381</v>
      </c>
      <c r="AX159" s="14" t="s">
        <v>2048</v>
      </c>
      <c r="AY159" s="14" t="s">
        <v>2993</v>
      </c>
      <c r="AZ159" s="14" t="s">
        <v>2994</v>
      </c>
      <c r="BA159" s="14" t="s">
        <v>3627</v>
      </c>
      <c r="BB159" s="14" t="s">
        <v>2048</v>
      </c>
      <c r="BC159" s="14" t="s">
        <v>119</v>
      </c>
      <c r="BD159" s="14" t="s">
        <v>265</v>
      </c>
      <c r="BE159" s="14" t="s">
        <v>3007</v>
      </c>
      <c r="BF159" s="14" t="s">
        <v>2048</v>
      </c>
      <c r="BG159" s="14" t="s">
        <v>2048</v>
      </c>
      <c r="BH159" s="14" t="s">
        <v>2576</v>
      </c>
      <c r="BI159" s="14" t="s">
        <v>2577</v>
      </c>
      <c r="BJ159" s="14" t="s">
        <v>2961</v>
      </c>
      <c r="BK159" s="14" t="s">
        <v>2962</v>
      </c>
      <c r="BL159" s="14" t="s">
        <v>3008</v>
      </c>
      <c r="BM159" s="14" t="s">
        <v>2287</v>
      </c>
      <c r="BN159" s="14" t="s">
        <v>2048</v>
      </c>
      <c r="BO159" s="14" t="s">
        <v>2048</v>
      </c>
      <c r="BP159" s="14" t="s">
        <v>2064</v>
      </c>
      <c r="BQ159" s="14" t="s">
        <v>72</v>
      </c>
      <c r="BR159" s="14" t="s">
        <v>72</v>
      </c>
      <c r="BS159" s="14" t="s">
        <v>2048</v>
      </c>
      <c r="BT159" s="14" t="s">
        <v>3207</v>
      </c>
      <c r="BU159" s="14" t="s">
        <v>3006</v>
      </c>
      <c r="BV159" s="14" t="s">
        <v>2331</v>
      </c>
      <c r="BW159" s="14" t="s">
        <v>2131</v>
      </c>
      <c r="BX159" s="14" t="s">
        <v>2048</v>
      </c>
      <c r="BY159" s="14" t="s">
        <v>2048</v>
      </c>
      <c r="BZ159" s="14" t="s">
        <v>72</v>
      </c>
      <c r="CA159" s="14" t="s">
        <v>3856</v>
      </c>
      <c r="CB159" s="14" t="s">
        <v>72</v>
      </c>
      <c r="CC159" s="14" t="s">
        <v>2048</v>
      </c>
      <c r="CD159" s="14" t="s">
        <v>2048</v>
      </c>
      <c r="CE159" s="14" t="s">
        <v>2048</v>
      </c>
      <c r="CF159" s="14" t="s">
        <v>2048</v>
      </c>
      <c r="CG159" s="14" t="s">
        <v>2048</v>
      </c>
      <c r="CH159" s="14" t="s">
        <v>2048</v>
      </c>
      <c r="CI159" s="14" t="s">
        <v>2048</v>
      </c>
      <c r="CJ159" s="14" t="s">
        <v>2048</v>
      </c>
      <c r="CK159" s="14" t="s">
        <v>2068</v>
      </c>
      <c r="CL159" s="14" t="s">
        <v>2069</v>
      </c>
      <c r="CM159" s="14" t="s">
        <v>2048</v>
      </c>
      <c r="CN159" s="17"/>
      <c r="CO159" s="17">
        <v>44133</v>
      </c>
      <c r="CP159" s="17">
        <v>44133</v>
      </c>
      <c r="CR159" s="17">
        <v>45671</v>
      </c>
      <c r="CS159" s="19">
        <v>48</v>
      </c>
      <c r="CT159" s="19">
        <v>0</v>
      </c>
      <c r="CU159" s="19">
        <v>186.65</v>
      </c>
      <c r="CV159" s="19">
        <v>0</v>
      </c>
      <c r="CW159" s="19">
        <v>186.65</v>
      </c>
      <c r="CX159" s="19">
        <v>225.85</v>
      </c>
      <c r="CY159" s="19">
        <v>0</v>
      </c>
      <c r="CZ159" s="17"/>
      <c r="DA159" s="20">
        <v>115374</v>
      </c>
      <c r="DB159" s="17">
        <v>45688</v>
      </c>
      <c r="DC159" s="17"/>
      <c r="DD159" s="19">
        <v>0</v>
      </c>
      <c r="DE159" s="17"/>
      <c r="DF159" s="17"/>
      <c r="DG159" s="19">
        <v>100</v>
      </c>
      <c r="DH159" s="17"/>
      <c r="DI159" s="17">
        <v>46022</v>
      </c>
      <c r="DJ159" s="17"/>
      <c r="DK159" s="17"/>
      <c r="DL159" s="19">
        <v>0</v>
      </c>
      <c r="DM159" s="19">
        <v>0</v>
      </c>
    </row>
    <row r="160" spans="1:117" x14ac:dyDescent="0.2">
      <c r="A160" s="14" t="s">
        <v>3610</v>
      </c>
      <c r="B160" s="14" t="s">
        <v>271</v>
      </c>
      <c r="C160" s="14" t="s">
        <v>73</v>
      </c>
      <c r="D160" s="14" t="s">
        <v>200</v>
      </c>
      <c r="E160" s="14" t="s">
        <v>201</v>
      </c>
      <c r="F160" s="14" t="s">
        <v>76</v>
      </c>
      <c r="G160" s="17">
        <v>45595</v>
      </c>
      <c r="H160" s="14" t="s">
        <v>77</v>
      </c>
      <c r="I160" s="14" t="s">
        <v>78</v>
      </c>
      <c r="J160" s="14" t="s">
        <v>213</v>
      </c>
      <c r="K160" s="14" t="s">
        <v>237</v>
      </c>
      <c r="L160" s="14" t="s">
        <v>81</v>
      </c>
      <c r="M160" s="14" t="s">
        <v>82</v>
      </c>
      <c r="N160" s="16">
        <f>COUNTIF($M$3:M160, M160)</f>
        <v>13</v>
      </c>
      <c r="O160" s="16" t="str" cm="1">
        <f t="array" ref="O160">INDEX('[2]ALTA 20242025'!$B$2:$B$241, MATCH(1, ('[2]ALTA 20242025'!$I$2:$I$241=M160)*('[2]ALTA 20242025'!$J$2:$J$241=N160), 0))</f>
        <v>0971MXH</v>
      </c>
      <c r="P160" s="16"/>
      <c r="Q160" s="16"/>
      <c r="R160" s="14" t="s">
        <v>2048</v>
      </c>
      <c r="S160" s="14" t="s">
        <v>2048</v>
      </c>
      <c r="T160" s="14" t="s">
        <v>2048</v>
      </c>
      <c r="U160" s="14" t="s">
        <v>2048</v>
      </c>
      <c r="V160" s="14" t="s">
        <v>3620</v>
      </c>
      <c r="W160" s="14" t="s">
        <v>4382</v>
      </c>
      <c r="X160" s="14" t="s">
        <v>4383</v>
      </c>
      <c r="Y160" s="14" t="s">
        <v>4384</v>
      </c>
      <c r="Z160" s="14" t="s">
        <v>2048</v>
      </c>
      <c r="AA160" s="14" t="s">
        <v>2422</v>
      </c>
      <c r="AB160" s="14" t="s">
        <v>2049</v>
      </c>
      <c r="AC160" s="14" t="s">
        <v>2050</v>
      </c>
      <c r="AD160" s="14" t="s">
        <v>3796</v>
      </c>
      <c r="AE160" s="14" t="s">
        <v>3613</v>
      </c>
      <c r="AF160" s="14" t="s">
        <v>3614</v>
      </c>
      <c r="AG160" s="14" t="s">
        <v>200</v>
      </c>
      <c r="AH160" s="14" t="s">
        <v>3622</v>
      </c>
      <c r="AI160" s="14" t="s">
        <v>2411</v>
      </c>
      <c r="AJ160" s="14" t="s">
        <v>2412</v>
      </c>
      <c r="AK160" s="14" t="s">
        <v>2055</v>
      </c>
      <c r="AL160" s="14" t="s">
        <v>2055</v>
      </c>
      <c r="AM160" s="14" t="s">
        <v>2055</v>
      </c>
      <c r="AN160" s="14" t="s">
        <v>2068</v>
      </c>
      <c r="AO160" s="14" t="s">
        <v>2048</v>
      </c>
      <c r="AP160" s="14" t="s">
        <v>2048</v>
      </c>
      <c r="AQ160" s="14" t="s">
        <v>2048</v>
      </c>
      <c r="AR160" s="14" t="s">
        <v>2207</v>
      </c>
      <c r="AS160" s="14" t="s">
        <v>3623</v>
      </c>
      <c r="AT160" s="14" t="s">
        <v>3472</v>
      </c>
      <c r="AU160" s="14" t="s">
        <v>4385</v>
      </c>
      <c r="AV160" s="14" t="s">
        <v>2060</v>
      </c>
      <c r="AW160" s="14" t="s">
        <v>2048</v>
      </c>
      <c r="AX160" s="14" t="s">
        <v>72</v>
      </c>
      <c r="AY160" s="14" t="s">
        <v>2268</v>
      </c>
      <c r="AZ160" s="14" t="s">
        <v>2269</v>
      </c>
      <c r="BA160" s="14" t="s">
        <v>3627</v>
      </c>
      <c r="BB160" s="14" t="s">
        <v>2048</v>
      </c>
      <c r="BC160" s="14" t="s">
        <v>81</v>
      </c>
      <c r="BD160" s="14" t="s">
        <v>164</v>
      </c>
      <c r="BE160" s="14" t="s">
        <v>2769</v>
      </c>
      <c r="BF160" s="14" t="s">
        <v>2048</v>
      </c>
      <c r="BG160" s="14" t="s">
        <v>2048</v>
      </c>
      <c r="BH160" s="14" t="s">
        <v>2271</v>
      </c>
      <c r="BI160" s="14" t="s">
        <v>2272</v>
      </c>
      <c r="BJ160" s="14" t="s">
        <v>2271</v>
      </c>
      <c r="BK160" s="14" t="s">
        <v>2272</v>
      </c>
      <c r="BL160" s="14" t="s">
        <v>2273</v>
      </c>
      <c r="BM160" s="14" t="s">
        <v>2218</v>
      </c>
      <c r="BN160" s="14" t="s">
        <v>2048</v>
      </c>
      <c r="BO160" s="14" t="s">
        <v>2048</v>
      </c>
      <c r="BP160" s="14" t="s">
        <v>2064</v>
      </c>
      <c r="BQ160" s="14" t="s">
        <v>72</v>
      </c>
      <c r="BR160" s="14" t="s">
        <v>72</v>
      </c>
      <c r="BS160" s="14" t="s">
        <v>2048</v>
      </c>
      <c r="BT160" s="14" t="s">
        <v>2048</v>
      </c>
      <c r="BU160" s="14" t="s">
        <v>2048</v>
      </c>
      <c r="BV160" s="14" t="s">
        <v>2331</v>
      </c>
      <c r="BW160" s="14" t="s">
        <v>2131</v>
      </c>
      <c r="BX160" s="14" t="s">
        <v>2048</v>
      </c>
      <c r="BY160" s="14" t="s">
        <v>2048</v>
      </c>
      <c r="BZ160" s="14" t="s">
        <v>2048</v>
      </c>
      <c r="CA160" s="14" t="s">
        <v>2048</v>
      </c>
      <c r="CB160" s="14" t="s">
        <v>72</v>
      </c>
      <c r="CC160" s="14" t="s">
        <v>2048</v>
      </c>
      <c r="CD160" s="14" t="s">
        <v>2048</v>
      </c>
      <c r="CE160" s="14" t="s">
        <v>2048</v>
      </c>
      <c r="CF160" s="14" t="s">
        <v>2048</v>
      </c>
      <c r="CG160" s="14" t="s">
        <v>2048</v>
      </c>
      <c r="CH160" s="14" t="s">
        <v>2048</v>
      </c>
      <c r="CI160" s="14" t="s">
        <v>2048</v>
      </c>
      <c r="CJ160" s="14" t="s">
        <v>2048</v>
      </c>
      <c r="CK160" s="14" t="s">
        <v>2068</v>
      </c>
      <c r="CL160" s="14" t="s">
        <v>2069</v>
      </c>
      <c r="CM160" s="14" t="s">
        <v>2048</v>
      </c>
      <c r="CN160" s="17"/>
      <c r="CO160" s="17">
        <v>44134</v>
      </c>
      <c r="CP160" s="17">
        <v>44134</v>
      </c>
      <c r="CR160" s="17">
        <v>45667</v>
      </c>
      <c r="CS160" s="19">
        <v>48</v>
      </c>
      <c r="CT160" s="19">
        <v>0</v>
      </c>
      <c r="CU160" s="19">
        <v>247.94</v>
      </c>
      <c r="CV160" s="19">
        <v>0</v>
      </c>
      <c r="CW160" s="19">
        <v>247.94</v>
      </c>
      <c r="CX160" s="19">
        <v>300.01</v>
      </c>
      <c r="CY160" s="19">
        <v>0</v>
      </c>
      <c r="CZ160" s="17"/>
      <c r="DA160" s="20">
        <v>135823</v>
      </c>
      <c r="DB160" s="17">
        <v>45688</v>
      </c>
      <c r="DC160" s="17"/>
      <c r="DD160" s="19">
        <v>0</v>
      </c>
      <c r="DE160" s="17"/>
      <c r="DF160" s="17"/>
      <c r="DG160" s="19">
        <v>100</v>
      </c>
      <c r="DH160" s="17"/>
      <c r="DI160" s="17">
        <v>45688</v>
      </c>
      <c r="DJ160" s="17"/>
      <c r="DK160" s="17"/>
      <c r="DL160" s="19">
        <v>0</v>
      </c>
      <c r="DM160" s="19">
        <v>0</v>
      </c>
    </row>
    <row r="161" spans="1:117" x14ac:dyDescent="0.2">
      <c r="A161" s="14" t="s">
        <v>3610</v>
      </c>
      <c r="B161" s="14" t="s">
        <v>816</v>
      </c>
      <c r="C161" s="14" t="s">
        <v>73</v>
      </c>
      <c r="D161" s="14" t="s">
        <v>200</v>
      </c>
      <c r="E161" s="14" t="s">
        <v>201</v>
      </c>
      <c r="F161" s="14" t="s">
        <v>76</v>
      </c>
      <c r="G161" s="17">
        <v>45601</v>
      </c>
      <c r="H161" s="14" t="s">
        <v>77</v>
      </c>
      <c r="I161" s="14" t="s">
        <v>78</v>
      </c>
      <c r="J161" s="14" t="s">
        <v>213</v>
      </c>
      <c r="K161" s="14" t="s">
        <v>817</v>
      </c>
      <c r="L161" s="14" t="s">
        <v>119</v>
      </c>
      <c r="M161" s="14" t="s">
        <v>120</v>
      </c>
      <c r="N161" s="16">
        <f>COUNTIF($M$3:M161, M161)</f>
        <v>16</v>
      </c>
      <c r="O161" s="16" t="str" cm="1">
        <f t="array" ref="O161">INDEX('[2]ALTA 20242025'!$B$2:$B$241, MATCH(1, ('[2]ALTA 20242025'!$I$2:$I$241=M161)*('[2]ALTA 20242025'!$J$2:$J$241=N161), 0))</f>
        <v>6055MWV</v>
      </c>
      <c r="P161" s="16"/>
      <c r="Q161" s="16"/>
      <c r="R161" s="14" t="s">
        <v>204</v>
      </c>
      <c r="S161" s="14" t="s">
        <v>205</v>
      </c>
      <c r="T161" s="14" t="s">
        <v>2048</v>
      </c>
      <c r="U161" s="14" t="s">
        <v>2048</v>
      </c>
      <c r="V161" s="14" t="s">
        <v>3620</v>
      </c>
      <c r="W161" s="14" t="s">
        <v>4386</v>
      </c>
      <c r="X161" s="14" t="s">
        <v>4010</v>
      </c>
      <c r="Y161" s="14" t="s">
        <v>4387</v>
      </c>
      <c r="Z161" s="14" t="s">
        <v>2048</v>
      </c>
      <c r="AA161" s="14" t="s">
        <v>2422</v>
      </c>
      <c r="AB161" s="14" t="s">
        <v>2049</v>
      </c>
      <c r="AC161" s="14" t="s">
        <v>2050</v>
      </c>
      <c r="AD161" s="14" t="s">
        <v>3690</v>
      </c>
      <c r="AE161" s="14" t="s">
        <v>3613</v>
      </c>
      <c r="AF161" s="14" t="s">
        <v>3614</v>
      </c>
      <c r="AG161" s="14" t="s">
        <v>200</v>
      </c>
      <c r="AH161" s="14" t="s">
        <v>3622</v>
      </c>
      <c r="AI161" s="14" t="s">
        <v>3472</v>
      </c>
      <c r="AJ161" s="14" t="s">
        <v>3821</v>
      </c>
      <c r="AK161" s="14" t="s">
        <v>2055</v>
      </c>
      <c r="AL161" s="14" t="s">
        <v>2055</v>
      </c>
      <c r="AM161" s="14" t="s">
        <v>2055</v>
      </c>
      <c r="AN161" s="14" t="s">
        <v>2068</v>
      </c>
      <c r="AO161" s="14" t="s">
        <v>2048</v>
      </c>
      <c r="AP161" s="14" t="s">
        <v>2048</v>
      </c>
      <c r="AQ161" s="14" t="s">
        <v>2048</v>
      </c>
      <c r="AR161" s="14" t="s">
        <v>2508</v>
      </c>
      <c r="AS161" s="14" t="s">
        <v>3623</v>
      </c>
      <c r="AT161" s="14" t="s">
        <v>3472</v>
      </c>
      <c r="AU161" s="14" t="s">
        <v>4388</v>
      </c>
      <c r="AV161" s="14" t="s">
        <v>3849</v>
      </c>
      <c r="AW161" s="14" t="s">
        <v>3850</v>
      </c>
      <c r="AX161" s="14" t="s">
        <v>2048</v>
      </c>
      <c r="AY161" s="14" t="s">
        <v>3849</v>
      </c>
      <c r="AZ161" s="14" t="s">
        <v>3850</v>
      </c>
      <c r="BA161" s="14" t="s">
        <v>3851</v>
      </c>
      <c r="BB161" s="14" t="s">
        <v>2048</v>
      </c>
      <c r="BC161" s="14" t="s">
        <v>119</v>
      </c>
      <c r="BD161" s="14" t="s">
        <v>386</v>
      </c>
      <c r="BE161" s="14" t="s">
        <v>3852</v>
      </c>
      <c r="BF161" s="14" t="s">
        <v>2048</v>
      </c>
      <c r="BG161" s="14" t="s">
        <v>2048</v>
      </c>
      <c r="BH161" s="14" t="s">
        <v>2433</v>
      </c>
      <c r="BI161" s="14" t="s">
        <v>2434</v>
      </c>
      <c r="BJ161" s="14" t="s">
        <v>2515</v>
      </c>
      <c r="BK161" s="14" t="s">
        <v>3853</v>
      </c>
      <c r="BL161" s="14" t="s">
        <v>3854</v>
      </c>
      <c r="BM161" s="14" t="s">
        <v>2287</v>
      </c>
      <c r="BN161" s="14" t="s">
        <v>2048</v>
      </c>
      <c r="BO161" s="14" t="s">
        <v>2048</v>
      </c>
      <c r="BP161" s="14" t="s">
        <v>2064</v>
      </c>
      <c r="BQ161" s="14" t="s">
        <v>72</v>
      </c>
      <c r="BR161" s="14" t="s">
        <v>72</v>
      </c>
      <c r="BS161" s="14" t="s">
        <v>2048</v>
      </c>
      <c r="BT161" s="14" t="s">
        <v>3855</v>
      </c>
      <c r="BU161" s="14" t="s">
        <v>3370</v>
      </c>
      <c r="BV161" s="14" t="s">
        <v>2331</v>
      </c>
      <c r="BW161" s="14" t="s">
        <v>2131</v>
      </c>
      <c r="BX161" s="14" t="s">
        <v>2048</v>
      </c>
      <c r="BY161" s="14" t="s">
        <v>2048</v>
      </c>
      <c r="BZ161" s="14" t="s">
        <v>2048</v>
      </c>
      <c r="CA161" s="14" t="s">
        <v>2048</v>
      </c>
      <c r="CB161" s="14" t="s">
        <v>72</v>
      </c>
      <c r="CC161" s="14" t="s">
        <v>2048</v>
      </c>
      <c r="CD161" s="14" t="s">
        <v>72</v>
      </c>
      <c r="CE161" s="14" t="s">
        <v>2048</v>
      </c>
      <c r="CF161" s="14" t="s">
        <v>2048</v>
      </c>
      <c r="CG161" s="14" t="s">
        <v>2048</v>
      </c>
      <c r="CH161" s="14" t="s">
        <v>2048</v>
      </c>
      <c r="CI161" s="14" t="s">
        <v>2048</v>
      </c>
      <c r="CJ161" s="14" t="s">
        <v>2048</v>
      </c>
      <c r="CK161" s="14" t="s">
        <v>3714</v>
      </c>
      <c r="CL161" s="14" t="s">
        <v>3761</v>
      </c>
      <c r="CM161" s="14" t="s">
        <v>2048</v>
      </c>
      <c r="CN161" s="17">
        <v>45078</v>
      </c>
      <c r="CO161" s="17">
        <v>44140</v>
      </c>
      <c r="CP161" s="17">
        <v>44140</v>
      </c>
      <c r="CR161" s="17">
        <v>45812</v>
      </c>
      <c r="CS161" s="19">
        <v>48</v>
      </c>
      <c r="CT161" s="19">
        <v>0</v>
      </c>
      <c r="CU161" s="19">
        <v>228.2</v>
      </c>
      <c r="CV161" s="19">
        <v>0</v>
      </c>
      <c r="CW161" s="19">
        <v>228.2</v>
      </c>
      <c r="CX161" s="19">
        <v>276.12</v>
      </c>
      <c r="CY161" s="19">
        <v>0</v>
      </c>
      <c r="CZ161" s="17"/>
      <c r="DA161" s="20">
        <v>106009</v>
      </c>
      <c r="DB161" s="17">
        <v>45748</v>
      </c>
      <c r="DC161" s="17"/>
      <c r="DD161" s="19">
        <v>0</v>
      </c>
      <c r="DE161" s="17"/>
      <c r="DF161" s="17"/>
      <c r="DG161" s="19">
        <v>100</v>
      </c>
      <c r="DH161" s="17"/>
      <c r="DI161" s="17">
        <v>46022</v>
      </c>
      <c r="DJ161" s="17"/>
      <c r="DK161" s="17"/>
      <c r="DL161" s="19">
        <v>0</v>
      </c>
      <c r="DM161" s="19">
        <v>0</v>
      </c>
    </row>
    <row r="162" spans="1:117" x14ac:dyDescent="0.2">
      <c r="A162" s="14" t="s">
        <v>3610</v>
      </c>
      <c r="B162" s="14" t="s">
        <v>827</v>
      </c>
      <c r="C162" s="14" t="s">
        <v>73</v>
      </c>
      <c r="D162" s="14" t="s">
        <v>200</v>
      </c>
      <c r="E162" s="14" t="s">
        <v>201</v>
      </c>
      <c r="F162" s="14" t="s">
        <v>76</v>
      </c>
      <c r="G162" s="17">
        <v>45601</v>
      </c>
      <c r="H162" s="14" t="s">
        <v>77</v>
      </c>
      <c r="I162" s="14" t="s">
        <v>78</v>
      </c>
      <c r="J162" s="14" t="s">
        <v>213</v>
      </c>
      <c r="K162" s="14" t="s">
        <v>817</v>
      </c>
      <c r="L162" s="14" t="s">
        <v>131</v>
      </c>
      <c r="M162" s="14" t="s">
        <v>132</v>
      </c>
      <c r="N162" s="16">
        <f>COUNTIF($M$3:M162, M162)</f>
        <v>17</v>
      </c>
      <c r="O162" s="16" t="str" cm="1">
        <f t="array" ref="O162">INDEX('[2]ALTA 20242025'!$B$2:$B$241, MATCH(1, ('[2]ALTA 20242025'!$I$2:$I$241=M162)*('[2]ALTA 20242025'!$J$2:$J$241=N162), 0))</f>
        <v>8647MWT</v>
      </c>
      <c r="P162" s="16"/>
      <c r="Q162" s="16"/>
      <c r="R162" s="14" t="s">
        <v>2048</v>
      </c>
      <c r="S162" s="14" t="s">
        <v>2048</v>
      </c>
      <c r="T162" s="14" t="s">
        <v>2048</v>
      </c>
      <c r="U162" s="14" t="s">
        <v>2048</v>
      </c>
      <c r="V162" s="14" t="s">
        <v>3620</v>
      </c>
      <c r="W162" s="14" t="s">
        <v>4389</v>
      </c>
      <c r="X162" s="14" t="s">
        <v>4390</v>
      </c>
      <c r="Y162" s="14" t="s">
        <v>4391</v>
      </c>
      <c r="Z162" s="14" t="s">
        <v>2048</v>
      </c>
      <c r="AA162" s="14" t="s">
        <v>2422</v>
      </c>
      <c r="AB162" s="14" t="s">
        <v>2049</v>
      </c>
      <c r="AC162" s="14" t="s">
        <v>2050</v>
      </c>
      <c r="AD162" s="14" t="s">
        <v>3820</v>
      </c>
      <c r="AE162" s="14" t="s">
        <v>3613</v>
      </c>
      <c r="AF162" s="14" t="s">
        <v>3614</v>
      </c>
      <c r="AG162" s="14" t="s">
        <v>200</v>
      </c>
      <c r="AH162" s="14" t="s">
        <v>3622</v>
      </c>
      <c r="AI162" s="14" t="s">
        <v>2442</v>
      </c>
      <c r="AJ162" s="14" t="s">
        <v>2443</v>
      </c>
      <c r="AK162" s="14" t="s">
        <v>2055</v>
      </c>
      <c r="AL162" s="14" t="s">
        <v>2055</v>
      </c>
      <c r="AM162" s="14" t="s">
        <v>2055</v>
      </c>
      <c r="AN162" s="14" t="s">
        <v>2068</v>
      </c>
      <c r="AO162" s="14" t="s">
        <v>2048</v>
      </c>
      <c r="AP162" s="14" t="s">
        <v>2048</v>
      </c>
      <c r="AQ162" s="14" t="s">
        <v>2048</v>
      </c>
      <c r="AR162" s="14" t="s">
        <v>2048</v>
      </c>
      <c r="AS162" s="14" t="s">
        <v>3623</v>
      </c>
      <c r="AT162" s="14" t="s">
        <v>2208</v>
      </c>
      <c r="AU162" s="14" t="s">
        <v>4392</v>
      </c>
      <c r="AV162" s="14" t="s">
        <v>4172</v>
      </c>
      <c r="AW162" s="14" t="s">
        <v>4173</v>
      </c>
      <c r="AX162" s="14" t="s">
        <v>2048</v>
      </c>
      <c r="AY162" s="14" t="s">
        <v>2448</v>
      </c>
      <c r="AZ162" s="14" t="s">
        <v>2449</v>
      </c>
      <c r="BA162" s="14" t="s">
        <v>2048</v>
      </c>
      <c r="BB162" s="14" t="s">
        <v>2048</v>
      </c>
      <c r="BC162" s="14" t="s">
        <v>131</v>
      </c>
      <c r="BD162" s="14" t="s">
        <v>135</v>
      </c>
      <c r="BE162" s="14" t="s">
        <v>2945</v>
      </c>
      <c r="BF162" s="14" t="s">
        <v>2048</v>
      </c>
      <c r="BG162" s="14" t="s">
        <v>2048</v>
      </c>
      <c r="BH162" s="14" t="s">
        <v>2048</v>
      </c>
      <c r="BI162" s="14" t="s">
        <v>2048</v>
      </c>
      <c r="BJ162" s="14" t="s">
        <v>2946</v>
      </c>
      <c r="BK162" s="14" t="s">
        <v>2947</v>
      </c>
      <c r="BL162" s="14" t="s">
        <v>2948</v>
      </c>
      <c r="BM162" s="14" t="s">
        <v>2455</v>
      </c>
      <c r="BN162" s="14" t="s">
        <v>2048</v>
      </c>
      <c r="BO162" s="14" t="s">
        <v>2048</v>
      </c>
      <c r="BP162" s="14" t="s">
        <v>2064</v>
      </c>
      <c r="BQ162" s="14" t="s">
        <v>72</v>
      </c>
      <c r="BR162" s="14" t="s">
        <v>72</v>
      </c>
      <c r="BS162" s="14" t="s">
        <v>2048</v>
      </c>
      <c r="BT162" s="14" t="s">
        <v>2457</v>
      </c>
      <c r="BU162" s="14" t="s">
        <v>2458</v>
      </c>
      <c r="BV162" s="14" t="s">
        <v>2331</v>
      </c>
      <c r="BW162" s="14" t="s">
        <v>2131</v>
      </c>
      <c r="BX162" s="14" t="s">
        <v>2048</v>
      </c>
      <c r="BY162" s="14" t="s">
        <v>2048</v>
      </c>
      <c r="BZ162" s="14" t="s">
        <v>2048</v>
      </c>
      <c r="CA162" s="14" t="s">
        <v>2048</v>
      </c>
      <c r="CB162" s="14" t="s">
        <v>72</v>
      </c>
      <c r="CC162" s="14" t="s">
        <v>2048</v>
      </c>
      <c r="CD162" s="14" t="s">
        <v>72</v>
      </c>
      <c r="CE162" s="14" t="s">
        <v>2048</v>
      </c>
      <c r="CF162" s="14" t="s">
        <v>2048</v>
      </c>
      <c r="CG162" s="14" t="s">
        <v>2048</v>
      </c>
      <c r="CH162" s="14" t="s">
        <v>2048</v>
      </c>
      <c r="CI162" s="14" t="s">
        <v>2048</v>
      </c>
      <c r="CJ162" s="14" t="s">
        <v>2048</v>
      </c>
      <c r="CK162" s="14" t="s">
        <v>3714</v>
      </c>
      <c r="CL162" s="14" t="s">
        <v>3761</v>
      </c>
      <c r="CM162" s="14" t="s">
        <v>2048</v>
      </c>
      <c r="CN162" s="17"/>
      <c r="CO162" s="17">
        <v>44140</v>
      </c>
      <c r="CP162" s="17">
        <v>44140</v>
      </c>
      <c r="CR162" s="17">
        <v>45799</v>
      </c>
      <c r="CS162" s="19">
        <v>48</v>
      </c>
      <c r="CT162" s="19">
        <v>0</v>
      </c>
      <c r="CU162" s="19">
        <v>308.45</v>
      </c>
      <c r="CV162" s="19">
        <v>0</v>
      </c>
      <c r="CW162" s="19">
        <v>308.45</v>
      </c>
      <c r="CX162" s="19">
        <v>373.22</v>
      </c>
      <c r="CY162" s="19">
        <v>0</v>
      </c>
      <c r="CZ162" s="17"/>
      <c r="DA162" s="19">
        <v>0</v>
      </c>
      <c r="DB162" s="17"/>
      <c r="DC162" s="17"/>
      <c r="DD162" s="19">
        <v>0</v>
      </c>
      <c r="DE162" s="17"/>
      <c r="DF162" s="17"/>
      <c r="DG162" s="19">
        <v>100</v>
      </c>
      <c r="DH162" s="17"/>
      <c r="DI162" s="17">
        <v>46022</v>
      </c>
      <c r="DJ162" s="17"/>
      <c r="DK162" s="17"/>
      <c r="DL162" s="19">
        <v>0</v>
      </c>
      <c r="DM162" s="19">
        <v>0</v>
      </c>
    </row>
    <row r="163" spans="1:117" x14ac:dyDescent="0.2">
      <c r="A163" s="14" t="s">
        <v>3610</v>
      </c>
      <c r="B163" s="14" t="s">
        <v>127</v>
      </c>
      <c r="C163" s="14" t="s">
        <v>129</v>
      </c>
      <c r="D163" s="14" t="s">
        <v>74</v>
      </c>
      <c r="E163" s="14" t="s">
        <v>75</v>
      </c>
      <c r="F163" s="14" t="s">
        <v>76</v>
      </c>
      <c r="G163" s="17">
        <v>45657</v>
      </c>
      <c r="H163" s="14" t="s">
        <v>77</v>
      </c>
      <c r="I163" s="14" t="s">
        <v>78</v>
      </c>
      <c r="J163" s="14" t="s">
        <v>79</v>
      </c>
      <c r="K163" s="14" t="s">
        <v>130</v>
      </c>
      <c r="L163" s="14" t="s">
        <v>131</v>
      </c>
      <c r="M163" s="14" t="s">
        <v>132</v>
      </c>
      <c r="N163" s="16">
        <f>COUNTIF($M$3:M163, M163)</f>
        <v>18</v>
      </c>
      <c r="O163" s="16" t="str" cm="1">
        <f t="array" ref="O163">INDEX('[2]ALTA 20242025'!$B$2:$B$241, MATCH(1, ('[2]ALTA 20242025'!$I$2:$I$241=M163)*('[2]ALTA 20242025'!$J$2:$J$241=N163), 0))</f>
        <v>8651MWT</v>
      </c>
      <c r="P163" s="16"/>
      <c r="Q163" s="16"/>
      <c r="R163" s="14" t="s">
        <v>2048</v>
      </c>
      <c r="S163" s="14" t="s">
        <v>2048</v>
      </c>
      <c r="T163" s="14" t="s">
        <v>2048</v>
      </c>
      <c r="U163" s="14" t="s">
        <v>2048</v>
      </c>
      <c r="V163" s="14" t="s">
        <v>4393</v>
      </c>
      <c r="W163" s="14" t="s">
        <v>4394</v>
      </c>
      <c r="X163" s="14" t="s">
        <v>4394</v>
      </c>
      <c r="Y163" s="14" t="s">
        <v>4395</v>
      </c>
      <c r="Z163" s="14" t="s">
        <v>2048</v>
      </c>
      <c r="AA163" s="14" t="s">
        <v>2422</v>
      </c>
      <c r="AB163" s="14" t="s">
        <v>2049</v>
      </c>
      <c r="AC163" s="14" t="s">
        <v>2050</v>
      </c>
      <c r="AD163" s="14" t="s">
        <v>2048</v>
      </c>
      <c r="AE163" s="14" t="s">
        <v>2048</v>
      </c>
      <c r="AF163" s="14" t="s">
        <v>2048</v>
      </c>
      <c r="AG163" s="14" t="s">
        <v>200</v>
      </c>
      <c r="AH163" s="14" t="s">
        <v>3622</v>
      </c>
      <c r="AI163" s="14" t="s">
        <v>2129</v>
      </c>
      <c r="AJ163" s="14" t="s">
        <v>2130</v>
      </c>
      <c r="AK163" s="14" t="s">
        <v>2055</v>
      </c>
      <c r="AL163" s="14" t="s">
        <v>2055</v>
      </c>
      <c r="AM163" s="14" t="s">
        <v>2055</v>
      </c>
      <c r="AN163" s="14" t="s">
        <v>2068</v>
      </c>
      <c r="AO163" s="14" t="s">
        <v>2048</v>
      </c>
      <c r="AP163" s="14" t="s">
        <v>2048</v>
      </c>
      <c r="AQ163" s="14" t="s">
        <v>2048</v>
      </c>
      <c r="AR163" s="14" t="s">
        <v>2443</v>
      </c>
      <c r="AS163" s="14" t="s">
        <v>108</v>
      </c>
      <c r="AT163" s="14" t="s">
        <v>3655</v>
      </c>
      <c r="AU163" s="14" t="s">
        <v>2059</v>
      </c>
      <c r="AV163" s="14" t="s">
        <v>2060</v>
      </c>
      <c r="AW163" s="14" t="s">
        <v>2048</v>
      </c>
      <c r="AX163" s="14" t="s">
        <v>2048</v>
      </c>
      <c r="AY163" s="14" t="s">
        <v>2448</v>
      </c>
      <c r="AZ163" s="14" t="s">
        <v>2449</v>
      </c>
      <c r="BA163" s="14" t="s">
        <v>2048</v>
      </c>
      <c r="BB163" s="14" t="s">
        <v>2048</v>
      </c>
      <c r="BC163" s="14" t="s">
        <v>131</v>
      </c>
      <c r="BD163" s="14" t="s">
        <v>133</v>
      </c>
      <c r="BE163" s="14" t="s">
        <v>3657</v>
      </c>
      <c r="BF163" s="14" t="s">
        <v>2048</v>
      </c>
      <c r="BG163" s="14" t="s">
        <v>2048</v>
      </c>
      <c r="BH163" s="14" t="s">
        <v>2048</v>
      </c>
      <c r="BI163" s="14" t="s">
        <v>2048</v>
      </c>
      <c r="BJ163" s="14" t="s">
        <v>2452</v>
      </c>
      <c r="BK163" s="14" t="s">
        <v>2453</v>
      </c>
      <c r="BL163" s="14" t="s">
        <v>2454</v>
      </c>
      <c r="BM163" s="14" t="s">
        <v>2455</v>
      </c>
      <c r="BN163" s="14" t="s">
        <v>2048</v>
      </c>
      <c r="BO163" s="14" t="s">
        <v>2518</v>
      </c>
      <c r="BP163" s="14" t="s">
        <v>2064</v>
      </c>
      <c r="BQ163" s="14" t="s">
        <v>72</v>
      </c>
      <c r="BR163" s="14" t="s">
        <v>72</v>
      </c>
      <c r="BS163" s="14" t="s">
        <v>2048</v>
      </c>
      <c r="BT163" s="14" t="s">
        <v>2048</v>
      </c>
      <c r="BU163" s="14" t="s">
        <v>2048</v>
      </c>
      <c r="BV163" s="14" t="s">
        <v>2418</v>
      </c>
      <c r="BW163" s="14" t="s">
        <v>2089</v>
      </c>
      <c r="BX163" s="14" t="s">
        <v>2048</v>
      </c>
      <c r="BY163" s="14" t="s">
        <v>2048</v>
      </c>
      <c r="BZ163" s="14" t="s">
        <v>2048</v>
      </c>
      <c r="CA163" s="14" t="s">
        <v>2048</v>
      </c>
      <c r="CB163" s="14" t="s">
        <v>72</v>
      </c>
      <c r="CC163" s="14" t="s">
        <v>2048</v>
      </c>
      <c r="CD163" s="14" t="s">
        <v>2048</v>
      </c>
      <c r="CE163" s="14" t="s">
        <v>2048</v>
      </c>
      <c r="CF163" s="14" t="s">
        <v>2048</v>
      </c>
      <c r="CG163" s="14" t="s">
        <v>2048</v>
      </c>
      <c r="CH163" s="14" t="s">
        <v>2048</v>
      </c>
      <c r="CI163" s="14" t="s">
        <v>2048</v>
      </c>
      <c r="CJ163" s="14" t="s">
        <v>2048</v>
      </c>
      <c r="CK163" s="14" t="s">
        <v>2121</v>
      </c>
      <c r="CL163" s="14" t="s">
        <v>2122</v>
      </c>
      <c r="CM163" s="14" t="s">
        <v>2048</v>
      </c>
      <c r="CN163" s="17"/>
      <c r="CO163" s="17">
        <v>45447</v>
      </c>
      <c r="CP163" s="17">
        <v>45447</v>
      </c>
      <c r="CR163" s="17">
        <v>45747</v>
      </c>
      <c r="CS163" s="19">
        <v>0</v>
      </c>
      <c r="CT163" s="19">
        <v>0</v>
      </c>
      <c r="CU163" s="19">
        <v>690</v>
      </c>
      <c r="CV163" s="19">
        <v>0</v>
      </c>
      <c r="CW163" s="19">
        <v>690</v>
      </c>
      <c r="CX163" s="19">
        <v>834.9</v>
      </c>
      <c r="CY163" s="19">
        <v>0</v>
      </c>
      <c r="CZ163" s="17"/>
      <c r="DA163" s="19">
        <v>0</v>
      </c>
      <c r="DB163" s="17"/>
      <c r="DC163" s="17"/>
      <c r="DD163" s="19">
        <v>0</v>
      </c>
      <c r="DE163" s="17"/>
      <c r="DF163" s="17"/>
      <c r="DG163" s="19">
        <v>100</v>
      </c>
      <c r="DH163" s="17"/>
      <c r="DI163" s="17">
        <v>46022</v>
      </c>
      <c r="DJ163" s="17"/>
      <c r="DK163" s="17"/>
      <c r="DL163" s="19">
        <v>0</v>
      </c>
      <c r="DM163" s="19">
        <v>0</v>
      </c>
    </row>
    <row r="164" spans="1:117" x14ac:dyDescent="0.2">
      <c r="A164" s="14" t="s">
        <v>3610</v>
      </c>
      <c r="B164" s="14" t="s">
        <v>1294</v>
      </c>
      <c r="C164" s="14" t="s">
        <v>73</v>
      </c>
      <c r="D164" s="14" t="s">
        <v>200</v>
      </c>
      <c r="E164" s="14" t="s">
        <v>201</v>
      </c>
      <c r="F164" s="14" t="s">
        <v>160</v>
      </c>
      <c r="G164" s="17">
        <v>45657</v>
      </c>
      <c r="H164" s="14" t="s">
        <v>161</v>
      </c>
      <c r="I164" s="14" t="s">
        <v>78</v>
      </c>
      <c r="J164" s="14" t="s">
        <v>467</v>
      </c>
      <c r="K164" s="14" t="s">
        <v>500</v>
      </c>
      <c r="L164" s="14" t="s">
        <v>584</v>
      </c>
      <c r="M164" s="14" t="s">
        <v>585</v>
      </c>
      <c r="N164" s="16">
        <f>COUNTIF($M$3:M164, M164)</f>
        <v>9</v>
      </c>
      <c r="O164" s="16" t="e" cm="1">
        <f t="array" ref="O164">INDEX('[2]ALTA 20242025'!$B$2:$B$241, MATCH(1, ('[2]ALTA 20242025'!$I$2:$I$241=M164)*('[2]ALTA 20242025'!$J$2:$J$241=N164), 0))</f>
        <v>#N/A</v>
      </c>
      <c r="P164" s="16"/>
      <c r="Q164" s="16"/>
      <c r="R164" s="14" t="s">
        <v>2048</v>
      </c>
      <c r="S164" s="14" t="s">
        <v>2048</v>
      </c>
      <c r="T164" s="14" t="s">
        <v>2048</v>
      </c>
      <c r="U164" s="14" t="s">
        <v>2048</v>
      </c>
      <c r="V164" s="14" t="s">
        <v>3620</v>
      </c>
      <c r="W164" s="14" t="s">
        <v>4396</v>
      </c>
      <c r="X164" s="14" t="s">
        <v>3818</v>
      </c>
      <c r="Y164" s="14" t="s">
        <v>4397</v>
      </c>
      <c r="Z164" s="14" t="s">
        <v>2048</v>
      </c>
      <c r="AA164" s="14" t="s">
        <v>2422</v>
      </c>
      <c r="AB164" s="14" t="s">
        <v>2049</v>
      </c>
      <c r="AC164" s="14" t="s">
        <v>2050</v>
      </c>
      <c r="AD164" s="14" t="s">
        <v>3690</v>
      </c>
      <c r="AE164" s="14" t="s">
        <v>3613</v>
      </c>
      <c r="AF164" s="14" t="s">
        <v>3614</v>
      </c>
      <c r="AG164" s="14" t="s">
        <v>2048</v>
      </c>
      <c r="AH164" s="14" t="s">
        <v>2048</v>
      </c>
      <c r="AI164" s="14" t="s">
        <v>159</v>
      </c>
      <c r="AJ164" s="14" t="s">
        <v>585</v>
      </c>
      <c r="AK164" s="14" t="s">
        <v>2055</v>
      </c>
      <c r="AL164" s="14" t="s">
        <v>2056</v>
      </c>
      <c r="AM164" s="14" t="s">
        <v>2055</v>
      </c>
      <c r="AN164" s="14" t="s">
        <v>2068</v>
      </c>
      <c r="AO164" s="14" t="s">
        <v>2048</v>
      </c>
      <c r="AP164" s="14" t="s">
        <v>2048</v>
      </c>
      <c r="AQ164" s="14" t="s">
        <v>2048</v>
      </c>
      <c r="AR164" s="14" t="s">
        <v>2207</v>
      </c>
      <c r="AS164" s="14" t="s">
        <v>3623</v>
      </c>
      <c r="AT164" s="14" t="s">
        <v>2135</v>
      </c>
      <c r="AU164" s="14" t="s">
        <v>4398</v>
      </c>
      <c r="AV164" s="14" t="s">
        <v>2211</v>
      </c>
      <c r="AW164" s="14" t="s">
        <v>2212</v>
      </c>
      <c r="AX164" s="14" t="s">
        <v>2048</v>
      </c>
      <c r="AY164" s="14" t="s">
        <v>2211</v>
      </c>
      <c r="AZ164" s="14" t="s">
        <v>2212</v>
      </c>
      <c r="BA164" s="14" t="s">
        <v>3627</v>
      </c>
      <c r="BB164" s="14" t="s">
        <v>2048</v>
      </c>
      <c r="BC164" s="14" t="s">
        <v>584</v>
      </c>
      <c r="BD164" s="14" t="s">
        <v>897</v>
      </c>
      <c r="BE164" s="14" t="s">
        <v>2709</v>
      </c>
      <c r="BF164" s="14" t="s">
        <v>2048</v>
      </c>
      <c r="BG164" s="14" t="s">
        <v>2048</v>
      </c>
      <c r="BH164" s="14" t="s">
        <v>2710</v>
      </c>
      <c r="BI164" s="14" t="s">
        <v>2711</v>
      </c>
      <c r="BJ164" s="14" t="s">
        <v>2048</v>
      </c>
      <c r="BK164" s="14" t="s">
        <v>2048</v>
      </c>
      <c r="BL164" s="14" t="s">
        <v>2217</v>
      </c>
      <c r="BM164" s="14" t="s">
        <v>2218</v>
      </c>
      <c r="BN164" s="14" t="s">
        <v>2048</v>
      </c>
      <c r="BO164" s="14" t="s">
        <v>2048</v>
      </c>
      <c r="BP164" s="14" t="s">
        <v>2064</v>
      </c>
      <c r="BQ164" s="14" t="s">
        <v>72</v>
      </c>
      <c r="BR164" s="14" t="s">
        <v>72</v>
      </c>
      <c r="BS164" s="14" t="s">
        <v>2048</v>
      </c>
      <c r="BT164" s="14" t="s">
        <v>2219</v>
      </c>
      <c r="BU164" s="14" t="s">
        <v>2220</v>
      </c>
      <c r="BV164" s="14" t="s">
        <v>2331</v>
      </c>
      <c r="BW164" s="14" t="s">
        <v>2131</v>
      </c>
      <c r="BX164" s="14" t="s">
        <v>2048</v>
      </c>
      <c r="BY164" s="14" t="s">
        <v>2048</v>
      </c>
      <c r="BZ164" s="14" t="s">
        <v>2048</v>
      </c>
      <c r="CA164" s="14" t="s">
        <v>2048</v>
      </c>
      <c r="CB164" s="14" t="s">
        <v>72</v>
      </c>
      <c r="CC164" s="14" t="s">
        <v>2048</v>
      </c>
      <c r="CD164" s="14" t="s">
        <v>2048</v>
      </c>
      <c r="CE164" s="14" t="s">
        <v>2048</v>
      </c>
      <c r="CF164" s="14" t="s">
        <v>2048</v>
      </c>
      <c r="CG164" s="14" t="s">
        <v>2048</v>
      </c>
      <c r="CH164" s="14" t="s">
        <v>2048</v>
      </c>
      <c r="CI164" s="14" t="s">
        <v>2048</v>
      </c>
      <c r="CJ164" s="14" t="s">
        <v>2048</v>
      </c>
      <c r="CK164" s="14" t="s">
        <v>2129</v>
      </c>
      <c r="CL164" s="14" t="s">
        <v>4399</v>
      </c>
      <c r="CM164" s="14" t="s">
        <v>2048</v>
      </c>
      <c r="CN164" s="17"/>
      <c r="CO164" s="17">
        <v>44196</v>
      </c>
      <c r="CP164" s="17">
        <v>44196</v>
      </c>
      <c r="CR164" s="17">
        <v>45594</v>
      </c>
      <c r="CS164" s="19">
        <v>48</v>
      </c>
      <c r="CT164" s="19">
        <v>0</v>
      </c>
      <c r="CU164" s="19">
        <v>369.08</v>
      </c>
      <c r="CV164" s="19">
        <v>0</v>
      </c>
      <c r="CW164" s="19">
        <v>369.08</v>
      </c>
      <c r="CX164" s="19">
        <v>446.59</v>
      </c>
      <c r="CY164" s="19">
        <v>0</v>
      </c>
      <c r="CZ164" s="17"/>
      <c r="DA164" s="20">
        <v>194162</v>
      </c>
      <c r="DB164" s="17">
        <v>45626</v>
      </c>
      <c r="DC164" s="17"/>
      <c r="DD164" s="19">
        <v>0</v>
      </c>
      <c r="DE164" s="17"/>
      <c r="DF164" s="17"/>
      <c r="DG164" s="19">
        <v>100</v>
      </c>
      <c r="DH164" s="17"/>
      <c r="DI164" s="17">
        <v>45657</v>
      </c>
      <c r="DJ164" s="17"/>
      <c r="DK164" s="17"/>
      <c r="DL164" s="19">
        <v>0</v>
      </c>
      <c r="DM164" s="19">
        <v>0</v>
      </c>
    </row>
    <row r="165" spans="1:117" x14ac:dyDescent="0.2">
      <c r="A165" s="14" t="s">
        <v>3610</v>
      </c>
      <c r="B165" s="14" t="s">
        <v>189</v>
      </c>
      <c r="C165" s="14" t="s">
        <v>158</v>
      </c>
      <c r="D165" s="14" t="s">
        <v>159</v>
      </c>
      <c r="E165" s="14" t="s">
        <v>158</v>
      </c>
      <c r="F165" s="14" t="s">
        <v>171</v>
      </c>
      <c r="G165" s="17">
        <v>45604</v>
      </c>
      <c r="H165" s="14" t="s">
        <v>172</v>
      </c>
      <c r="I165" s="14" t="s">
        <v>71</v>
      </c>
      <c r="J165" s="14" t="s">
        <v>162</v>
      </c>
      <c r="K165" s="14" t="s">
        <v>163</v>
      </c>
      <c r="L165" s="14" t="s">
        <v>190</v>
      </c>
      <c r="M165" s="14" t="s">
        <v>191</v>
      </c>
      <c r="N165" s="16">
        <f>COUNTIF($M$3:M165, M165)</f>
        <v>6</v>
      </c>
      <c r="O165" s="16" t="str" cm="1">
        <f t="array" ref="O165">INDEX('[2]ALTA 20242025'!$B$2:$B$241, MATCH(1, ('[2]ALTA 20242025'!$I$2:$I$241=M165)*('[2]ALTA 20242025'!$J$2:$J$241=N165), 0))</f>
        <v>6126MWV</v>
      </c>
      <c r="P165" s="16"/>
      <c r="Q165" s="16"/>
      <c r="R165" s="14" t="s">
        <v>2048</v>
      </c>
      <c r="S165" s="14" t="s">
        <v>2048</v>
      </c>
      <c r="T165" s="14" t="s">
        <v>2048</v>
      </c>
      <c r="U165" s="14" t="s">
        <v>2048</v>
      </c>
      <c r="V165" s="14" t="s">
        <v>4400</v>
      </c>
      <c r="W165" s="14" t="s">
        <v>72</v>
      </c>
      <c r="X165" s="14" t="s">
        <v>72</v>
      </c>
      <c r="Y165" s="14" t="s">
        <v>2048</v>
      </c>
      <c r="Z165" s="14" t="s">
        <v>2048</v>
      </c>
      <c r="AA165" s="14" t="s">
        <v>2422</v>
      </c>
      <c r="AB165" s="14" t="s">
        <v>2049</v>
      </c>
      <c r="AC165" s="14" t="s">
        <v>2050</v>
      </c>
      <c r="AD165" s="14" t="s">
        <v>2048</v>
      </c>
      <c r="AE165" s="14" t="s">
        <v>2048</v>
      </c>
      <c r="AF165" s="14" t="s">
        <v>2048</v>
      </c>
      <c r="AG165" s="14" t="s">
        <v>2048</v>
      </c>
      <c r="AH165" s="14" t="s">
        <v>2048</v>
      </c>
      <c r="AI165" s="14" t="s">
        <v>2129</v>
      </c>
      <c r="AJ165" s="14" t="s">
        <v>2130</v>
      </c>
      <c r="AK165" s="14" t="s">
        <v>2055</v>
      </c>
      <c r="AL165" s="14" t="s">
        <v>2055</v>
      </c>
      <c r="AM165" s="14" t="s">
        <v>2055</v>
      </c>
      <c r="AN165" s="14" t="s">
        <v>3714</v>
      </c>
      <c r="AO165" s="14" t="s">
        <v>2048</v>
      </c>
      <c r="AP165" s="14" t="s">
        <v>2048</v>
      </c>
      <c r="AQ165" s="14" t="s">
        <v>2048</v>
      </c>
      <c r="AR165" s="14" t="s">
        <v>2318</v>
      </c>
      <c r="AS165" s="14" t="s">
        <v>3693</v>
      </c>
      <c r="AT165" s="14" t="s">
        <v>2862</v>
      </c>
      <c r="AU165" s="14" t="s">
        <v>2059</v>
      </c>
      <c r="AV165" s="14" t="s">
        <v>4401</v>
      </c>
      <c r="AW165" s="14" t="s">
        <v>4402</v>
      </c>
      <c r="AX165" s="14" t="s">
        <v>2048</v>
      </c>
      <c r="AY165" s="14" t="s">
        <v>3044</v>
      </c>
      <c r="AZ165" s="14" t="s">
        <v>3045</v>
      </c>
      <c r="BA165" s="14" t="s">
        <v>3664</v>
      </c>
      <c r="BB165" s="14" t="s">
        <v>2048</v>
      </c>
      <c r="BC165" s="14" t="s">
        <v>190</v>
      </c>
      <c r="BD165" s="14" t="s">
        <v>192</v>
      </c>
      <c r="BE165" s="14" t="s">
        <v>4403</v>
      </c>
      <c r="BF165" s="14" t="s">
        <v>2048</v>
      </c>
      <c r="BG165" s="14" t="s">
        <v>2048</v>
      </c>
      <c r="BH165" s="14" t="s">
        <v>4404</v>
      </c>
      <c r="BI165" s="14" t="s">
        <v>4405</v>
      </c>
      <c r="BJ165" s="14" t="s">
        <v>4406</v>
      </c>
      <c r="BK165" s="14" t="s">
        <v>4407</v>
      </c>
      <c r="BL165" s="14" t="s">
        <v>3047</v>
      </c>
      <c r="BM165" s="14" t="s">
        <v>2287</v>
      </c>
      <c r="BN165" s="14" t="s">
        <v>2048</v>
      </c>
      <c r="BO165" s="14" t="s">
        <v>2048</v>
      </c>
      <c r="BP165" s="14" t="s">
        <v>2064</v>
      </c>
      <c r="BQ165" s="14" t="s">
        <v>72</v>
      </c>
      <c r="BR165" s="14" t="s">
        <v>72</v>
      </c>
      <c r="BS165" s="14" t="s">
        <v>4408</v>
      </c>
      <c r="BT165" s="14" t="s">
        <v>2986</v>
      </c>
      <c r="BU165" s="14" t="s">
        <v>2987</v>
      </c>
      <c r="BV165" s="14" t="s">
        <v>3191</v>
      </c>
      <c r="BW165" s="14" t="s">
        <v>3192</v>
      </c>
      <c r="BX165" s="14" t="s">
        <v>2048</v>
      </c>
      <c r="BY165" s="14" t="s">
        <v>2048</v>
      </c>
      <c r="BZ165" s="14" t="s">
        <v>2048</v>
      </c>
      <c r="CA165" s="14" t="s">
        <v>2048</v>
      </c>
      <c r="CB165" s="14" t="s">
        <v>2048</v>
      </c>
      <c r="CC165" s="14" t="s">
        <v>2048</v>
      </c>
      <c r="CD165" s="14" t="s">
        <v>2048</v>
      </c>
      <c r="CE165" s="14" t="s">
        <v>2048</v>
      </c>
      <c r="CF165" s="14" t="s">
        <v>2048</v>
      </c>
      <c r="CG165" s="14" t="s">
        <v>2048</v>
      </c>
      <c r="CH165" s="14" t="s">
        <v>2048</v>
      </c>
      <c r="CI165" s="14" t="s">
        <v>2048</v>
      </c>
      <c r="CJ165" s="14" t="s">
        <v>2048</v>
      </c>
      <c r="CK165" s="14" t="s">
        <v>3193</v>
      </c>
      <c r="CL165" s="14" t="s">
        <v>3194</v>
      </c>
      <c r="CM165" s="14" t="s">
        <v>2048</v>
      </c>
      <c r="CN165" s="17"/>
      <c r="CO165" s="17">
        <v>42983</v>
      </c>
      <c r="CP165" s="17">
        <v>42983</v>
      </c>
      <c r="CR165" s="17">
        <v>45604</v>
      </c>
      <c r="CS165" s="19">
        <v>0</v>
      </c>
      <c r="CT165" s="19">
        <v>0</v>
      </c>
      <c r="CU165" s="19">
        <v>0</v>
      </c>
      <c r="CV165" s="19">
        <v>0</v>
      </c>
      <c r="CW165" s="19">
        <v>0</v>
      </c>
      <c r="CX165" s="19">
        <v>0</v>
      </c>
      <c r="CY165" s="19">
        <v>0</v>
      </c>
      <c r="CZ165" s="17"/>
      <c r="DA165" s="20">
        <v>19047</v>
      </c>
      <c r="DB165" s="17">
        <v>43555</v>
      </c>
      <c r="DC165" s="17"/>
      <c r="DD165" s="19">
        <v>0</v>
      </c>
      <c r="DE165" s="17"/>
      <c r="DF165" s="17"/>
      <c r="DG165" s="19">
        <v>100</v>
      </c>
      <c r="DH165" s="17"/>
      <c r="DI165" s="17">
        <v>2958465</v>
      </c>
      <c r="DJ165" s="17"/>
      <c r="DK165" s="17"/>
      <c r="DL165" s="19">
        <v>0</v>
      </c>
      <c r="DM165" s="19">
        <v>0</v>
      </c>
    </row>
    <row r="166" spans="1:117" x14ac:dyDescent="0.2">
      <c r="A166" s="14" t="s">
        <v>3610</v>
      </c>
      <c r="B166" s="14" t="s">
        <v>1106</v>
      </c>
      <c r="C166" s="14" t="s">
        <v>1034</v>
      </c>
      <c r="D166" s="14" t="s">
        <v>200</v>
      </c>
      <c r="E166" s="14" t="s">
        <v>201</v>
      </c>
      <c r="F166" s="14" t="s">
        <v>76</v>
      </c>
      <c r="G166" s="17">
        <v>45609</v>
      </c>
      <c r="H166" s="14" t="s">
        <v>77</v>
      </c>
      <c r="I166" s="14" t="s">
        <v>202</v>
      </c>
      <c r="J166" s="14" t="s">
        <v>524</v>
      </c>
      <c r="K166" s="14" t="s">
        <v>1107</v>
      </c>
      <c r="L166" s="14" t="s">
        <v>119</v>
      </c>
      <c r="M166" s="14" t="s">
        <v>120</v>
      </c>
      <c r="N166" s="16">
        <f>COUNTIF($M$3:M166, M166)</f>
        <v>17</v>
      </c>
      <c r="O166" s="16" t="str" cm="1">
        <f t="array" ref="O166">INDEX('[2]ALTA 20242025'!$B$2:$B$241, MATCH(1, ('[2]ALTA 20242025'!$I$2:$I$241=M166)*('[2]ALTA 20242025'!$J$2:$J$241=N166), 0))</f>
        <v>6083MWV</v>
      </c>
      <c r="P166" s="16"/>
      <c r="Q166" s="16"/>
      <c r="R166" s="14" t="s">
        <v>2048</v>
      </c>
      <c r="S166" s="14" t="s">
        <v>2048</v>
      </c>
      <c r="T166" s="14" t="s">
        <v>2048</v>
      </c>
      <c r="U166" s="14" t="s">
        <v>2048</v>
      </c>
      <c r="V166" s="14" t="s">
        <v>3620</v>
      </c>
      <c r="W166" s="14" t="s">
        <v>4409</v>
      </c>
      <c r="X166" s="14" t="s">
        <v>4409</v>
      </c>
      <c r="Y166" s="14" t="s">
        <v>4410</v>
      </c>
      <c r="Z166" s="14" t="s">
        <v>2048</v>
      </c>
      <c r="AA166" s="14" t="s">
        <v>2422</v>
      </c>
      <c r="AB166" s="14" t="s">
        <v>2049</v>
      </c>
      <c r="AC166" s="14" t="s">
        <v>2050</v>
      </c>
      <c r="AD166" s="14" t="s">
        <v>3690</v>
      </c>
      <c r="AE166" s="14" t="s">
        <v>3613</v>
      </c>
      <c r="AF166" s="14" t="s">
        <v>3614</v>
      </c>
      <c r="AG166" s="14" t="s">
        <v>200</v>
      </c>
      <c r="AH166" s="14" t="s">
        <v>3622</v>
      </c>
      <c r="AI166" s="14" t="s">
        <v>2129</v>
      </c>
      <c r="AJ166" s="14" t="s">
        <v>2130</v>
      </c>
      <c r="AK166" s="14" t="s">
        <v>2055</v>
      </c>
      <c r="AL166" s="14" t="s">
        <v>2055</v>
      </c>
      <c r="AM166" s="14" t="s">
        <v>2055</v>
      </c>
      <c r="AN166" s="14" t="s">
        <v>2121</v>
      </c>
      <c r="AO166" s="14" t="s">
        <v>2048</v>
      </c>
      <c r="AP166" s="14" t="s">
        <v>2048</v>
      </c>
      <c r="AQ166" s="14" t="s">
        <v>2048</v>
      </c>
      <c r="AR166" s="14" t="s">
        <v>2048</v>
      </c>
      <c r="AS166" s="14" t="s">
        <v>3623</v>
      </c>
      <c r="AT166" s="14" t="s">
        <v>2208</v>
      </c>
      <c r="AU166" s="14" t="s">
        <v>4411</v>
      </c>
      <c r="AV166" s="14" t="s">
        <v>4412</v>
      </c>
      <c r="AW166" s="14" t="s">
        <v>4413</v>
      </c>
      <c r="AX166" s="14" t="s">
        <v>2048</v>
      </c>
      <c r="AY166" s="14" t="s">
        <v>4412</v>
      </c>
      <c r="AZ166" s="14" t="s">
        <v>4413</v>
      </c>
      <c r="BA166" s="14" t="s">
        <v>3851</v>
      </c>
      <c r="BB166" s="14" t="s">
        <v>2048</v>
      </c>
      <c r="BC166" s="14" t="s">
        <v>119</v>
      </c>
      <c r="BD166" s="14" t="s">
        <v>1108</v>
      </c>
      <c r="BE166" s="14" t="s">
        <v>4414</v>
      </c>
      <c r="BF166" s="14" t="s">
        <v>2048</v>
      </c>
      <c r="BG166" s="14" t="s">
        <v>2048</v>
      </c>
      <c r="BH166" s="14" t="s">
        <v>3598</v>
      </c>
      <c r="BI166" s="14" t="s">
        <v>3599</v>
      </c>
      <c r="BJ166" s="14" t="s">
        <v>3914</v>
      </c>
      <c r="BK166" s="14" t="s">
        <v>3915</v>
      </c>
      <c r="BL166" s="14" t="s">
        <v>4415</v>
      </c>
      <c r="BM166" s="14" t="s">
        <v>3600</v>
      </c>
      <c r="BN166" s="14" t="s">
        <v>2048</v>
      </c>
      <c r="BO166" s="14" t="s">
        <v>2048</v>
      </c>
      <c r="BP166" s="14" t="s">
        <v>2064</v>
      </c>
      <c r="BQ166" s="14" t="s">
        <v>72</v>
      </c>
      <c r="BR166" s="14" t="s">
        <v>72</v>
      </c>
      <c r="BS166" s="14" t="s">
        <v>2048</v>
      </c>
      <c r="BT166" s="14" t="s">
        <v>3601</v>
      </c>
      <c r="BU166" s="14" t="s">
        <v>3602</v>
      </c>
      <c r="BV166" s="14" t="s">
        <v>2331</v>
      </c>
      <c r="BW166" s="14" t="s">
        <v>2131</v>
      </c>
      <c r="BX166" s="14" t="s">
        <v>72</v>
      </c>
      <c r="BY166" s="14" t="s">
        <v>2048</v>
      </c>
      <c r="BZ166" s="14" t="s">
        <v>72</v>
      </c>
      <c r="CA166" s="14" t="s">
        <v>3909</v>
      </c>
      <c r="CB166" s="14" t="s">
        <v>72</v>
      </c>
      <c r="CC166" s="14" t="s">
        <v>2048</v>
      </c>
      <c r="CD166" s="14" t="s">
        <v>72</v>
      </c>
      <c r="CE166" s="14" t="s">
        <v>2048</v>
      </c>
      <c r="CF166" s="14" t="s">
        <v>2048</v>
      </c>
      <c r="CG166" s="14" t="s">
        <v>2048</v>
      </c>
      <c r="CH166" s="14" t="s">
        <v>2048</v>
      </c>
      <c r="CI166" s="14" t="s">
        <v>2048</v>
      </c>
      <c r="CJ166" s="14" t="s">
        <v>2048</v>
      </c>
      <c r="CK166" s="14" t="s">
        <v>3603</v>
      </c>
      <c r="CL166" s="14" t="s">
        <v>3604</v>
      </c>
      <c r="CM166" s="14" t="s">
        <v>2048</v>
      </c>
      <c r="CN166" s="17"/>
      <c r="CO166" s="17">
        <v>44148</v>
      </c>
      <c r="CP166" s="17">
        <v>44148</v>
      </c>
      <c r="CR166" s="17">
        <v>45646</v>
      </c>
      <c r="CS166" s="19">
        <v>48</v>
      </c>
      <c r="CT166" s="19">
        <v>0</v>
      </c>
      <c r="CU166" s="19">
        <v>642.37</v>
      </c>
      <c r="CV166" s="19">
        <v>0</v>
      </c>
      <c r="CW166" s="19">
        <v>642.37</v>
      </c>
      <c r="CX166" s="19">
        <v>777.27</v>
      </c>
      <c r="CY166" s="19">
        <v>0</v>
      </c>
      <c r="CZ166" s="17"/>
      <c r="DA166" s="20">
        <v>27906</v>
      </c>
      <c r="DB166" s="17">
        <v>44593</v>
      </c>
      <c r="DC166" s="17"/>
      <c r="DD166" s="19">
        <v>0</v>
      </c>
      <c r="DE166" s="17"/>
      <c r="DF166" s="17"/>
      <c r="DG166" s="19">
        <v>100</v>
      </c>
      <c r="DH166" s="17"/>
      <c r="DI166" s="17">
        <v>46022</v>
      </c>
      <c r="DJ166" s="17"/>
      <c r="DK166" s="17"/>
      <c r="DL166" s="19">
        <v>0</v>
      </c>
      <c r="DM166" s="19">
        <v>0</v>
      </c>
    </row>
    <row r="167" spans="1:117" x14ac:dyDescent="0.2">
      <c r="A167" s="14" t="s">
        <v>3610</v>
      </c>
      <c r="B167" s="14" t="s">
        <v>1079</v>
      </c>
      <c r="C167" s="14" t="s">
        <v>1034</v>
      </c>
      <c r="D167" s="14" t="s">
        <v>200</v>
      </c>
      <c r="E167" s="14" t="s">
        <v>201</v>
      </c>
      <c r="F167" s="14" t="s">
        <v>76</v>
      </c>
      <c r="G167" s="17">
        <v>45609</v>
      </c>
      <c r="H167" s="14" t="s">
        <v>77</v>
      </c>
      <c r="I167" s="14" t="s">
        <v>202</v>
      </c>
      <c r="J167" s="14" t="s">
        <v>524</v>
      </c>
      <c r="K167" s="14" t="s">
        <v>1080</v>
      </c>
      <c r="L167" s="14" t="s">
        <v>204</v>
      </c>
      <c r="M167" s="14" t="s">
        <v>205</v>
      </c>
      <c r="N167" s="16">
        <f>COUNTIF($M$3:M167, M167)</f>
        <v>7</v>
      </c>
      <c r="O167" s="16" t="str" cm="1">
        <f t="array" ref="O167">INDEX('[2]ALTA 20242025'!$B$2:$B$241, MATCH(1, ('[2]ALTA 20242025'!$I$2:$I$241=M167)*('[2]ALTA 20242025'!$J$2:$J$241=N167), 0))</f>
        <v>0192MWZ</v>
      </c>
      <c r="P167" s="16"/>
      <c r="Q167" s="16"/>
      <c r="R167" s="14" t="s">
        <v>2048</v>
      </c>
      <c r="S167" s="14" t="s">
        <v>2048</v>
      </c>
      <c r="T167" s="14" t="s">
        <v>2048</v>
      </c>
      <c r="U167" s="14" t="s">
        <v>2048</v>
      </c>
      <c r="V167" s="14" t="s">
        <v>3620</v>
      </c>
      <c r="W167" s="14" t="s">
        <v>4416</v>
      </c>
      <c r="X167" s="14" t="s">
        <v>4416</v>
      </c>
      <c r="Y167" s="14" t="s">
        <v>4417</v>
      </c>
      <c r="Z167" s="14" t="s">
        <v>2048</v>
      </c>
      <c r="AA167" s="14" t="s">
        <v>2422</v>
      </c>
      <c r="AB167" s="14" t="s">
        <v>2049</v>
      </c>
      <c r="AC167" s="14" t="s">
        <v>2050</v>
      </c>
      <c r="AD167" s="14" t="s">
        <v>3690</v>
      </c>
      <c r="AE167" s="14" t="s">
        <v>3613</v>
      </c>
      <c r="AF167" s="14" t="s">
        <v>3614</v>
      </c>
      <c r="AG167" s="14" t="s">
        <v>200</v>
      </c>
      <c r="AH167" s="14" t="s">
        <v>3622</v>
      </c>
      <c r="AI167" s="14" t="s">
        <v>2129</v>
      </c>
      <c r="AJ167" s="14" t="s">
        <v>2130</v>
      </c>
      <c r="AK167" s="14" t="s">
        <v>2055</v>
      </c>
      <c r="AL167" s="14" t="s">
        <v>2056</v>
      </c>
      <c r="AM167" s="14" t="s">
        <v>2055</v>
      </c>
      <c r="AN167" s="14" t="s">
        <v>2121</v>
      </c>
      <c r="AO167" s="14" t="s">
        <v>2048</v>
      </c>
      <c r="AP167" s="14" t="s">
        <v>2048</v>
      </c>
      <c r="AQ167" s="14" t="s">
        <v>2048</v>
      </c>
      <c r="AR167" s="14" t="s">
        <v>2048</v>
      </c>
      <c r="AS167" s="14" t="s">
        <v>3623</v>
      </c>
      <c r="AT167" s="14" t="s">
        <v>2208</v>
      </c>
      <c r="AU167" s="14" t="s">
        <v>4418</v>
      </c>
      <c r="AV167" s="14" t="s">
        <v>3959</v>
      </c>
      <c r="AW167" s="14" t="s">
        <v>3960</v>
      </c>
      <c r="AX167" s="14" t="s">
        <v>72</v>
      </c>
      <c r="AY167" s="14" t="s">
        <v>3959</v>
      </c>
      <c r="AZ167" s="14" t="s">
        <v>3960</v>
      </c>
      <c r="BA167" s="14" t="s">
        <v>2048</v>
      </c>
      <c r="BB167" s="14" t="s">
        <v>2048</v>
      </c>
      <c r="BC167" s="14" t="s">
        <v>204</v>
      </c>
      <c r="BD167" s="14" t="s">
        <v>1081</v>
      </c>
      <c r="BE167" s="14" t="s">
        <v>3961</v>
      </c>
      <c r="BF167" s="14" t="s">
        <v>2048</v>
      </c>
      <c r="BG167" s="14" t="s">
        <v>2048</v>
      </c>
      <c r="BH167" s="14" t="s">
        <v>3598</v>
      </c>
      <c r="BI167" s="14" t="s">
        <v>3599</v>
      </c>
      <c r="BJ167" s="14" t="s">
        <v>3598</v>
      </c>
      <c r="BK167" s="14" t="s">
        <v>3599</v>
      </c>
      <c r="BL167" s="14" t="s">
        <v>3962</v>
      </c>
      <c r="BM167" s="14" t="s">
        <v>3600</v>
      </c>
      <c r="BN167" s="14" t="s">
        <v>2048</v>
      </c>
      <c r="BO167" s="14" t="s">
        <v>2048</v>
      </c>
      <c r="BP167" s="14" t="s">
        <v>2064</v>
      </c>
      <c r="BQ167" s="14" t="s">
        <v>72</v>
      </c>
      <c r="BR167" s="14" t="s">
        <v>72</v>
      </c>
      <c r="BS167" s="14" t="s">
        <v>2048</v>
      </c>
      <c r="BT167" s="14" t="s">
        <v>3601</v>
      </c>
      <c r="BU167" s="14" t="s">
        <v>3602</v>
      </c>
      <c r="BV167" s="14" t="s">
        <v>2331</v>
      </c>
      <c r="BW167" s="14" t="s">
        <v>2131</v>
      </c>
      <c r="BX167" s="14" t="s">
        <v>72</v>
      </c>
      <c r="BY167" s="14" t="s">
        <v>2048</v>
      </c>
      <c r="BZ167" s="14" t="s">
        <v>72</v>
      </c>
      <c r="CA167" s="14" t="s">
        <v>3909</v>
      </c>
      <c r="CB167" s="14" t="s">
        <v>72</v>
      </c>
      <c r="CC167" s="14" t="s">
        <v>2048</v>
      </c>
      <c r="CD167" s="14" t="s">
        <v>72</v>
      </c>
      <c r="CE167" s="14" t="s">
        <v>2048</v>
      </c>
      <c r="CF167" s="14" t="s">
        <v>2048</v>
      </c>
      <c r="CG167" s="14" t="s">
        <v>2048</v>
      </c>
      <c r="CH167" s="14" t="s">
        <v>2048</v>
      </c>
      <c r="CI167" s="14" t="s">
        <v>2048</v>
      </c>
      <c r="CJ167" s="14" t="s">
        <v>2048</v>
      </c>
      <c r="CK167" s="14" t="s">
        <v>3603</v>
      </c>
      <c r="CL167" s="14" t="s">
        <v>3604</v>
      </c>
      <c r="CM167" s="14" t="s">
        <v>2048</v>
      </c>
      <c r="CN167" s="17"/>
      <c r="CO167" s="17">
        <v>44148</v>
      </c>
      <c r="CP167" s="17">
        <v>44148</v>
      </c>
      <c r="CR167" s="17">
        <v>45667</v>
      </c>
      <c r="CS167" s="19">
        <v>48</v>
      </c>
      <c r="CT167" s="19">
        <v>0</v>
      </c>
      <c r="CU167" s="19">
        <v>767.25</v>
      </c>
      <c r="CV167" s="19">
        <v>0</v>
      </c>
      <c r="CW167" s="19">
        <v>767.25</v>
      </c>
      <c r="CX167" s="19">
        <v>928.37</v>
      </c>
      <c r="CY167" s="19">
        <v>0</v>
      </c>
      <c r="CZ167" s="17"/>
      <c r="DA167" s="19">
        <v>0</v>
      </c>
      <c r="DB167" s="17"/>
      <c r="DC167" s="17"/>
      <c r="DD167" s="19">
        <v>0</v>
      </c>
      <c r="DE167" s="17"/>
      <c r="DF167" s="17"/>
      <c r="DG167" s="19">
        <v>100</v>
      </c>
      <c r="DH167" s="17"/>
      <c r="DI167" s="17">
        <v>46022</v>
      </c>
      <c r="DJ167" s="17"/>
      <c r="DK167" s="17"/>
      <c r="DL167" s="19">
        <v>0</v>
      </c>
      <c r="DM167" s="19">
        <v>0</v>
      </c>
    </row>
    <row r="168" spans="1:117" x14ac:dyDescent="0.2">
      <c r="A168" s="14" t="s">
        <v>3610</v>
      </c>
      <c r="B168" s="14" t="s">
        <v>822</v>
      </c>
      <c r="C168" s="14" t="s">
        <v>73</v>
      </c>
      <c r="D168" s="14" t="s">
        <v>200</v>
      </c>
      <c r="E168" s="14" t="s">
        <v>201</v>
      </c>
      <c r="F168" s="14" t="s">
        <v>76</v>
      </c>
      <c r="G168" s="17">
        <v>45612</v>
      </c>
      <c r="H168" s="14" t="s">
        <v>77</v>
      </c>
      <c r="I168" s="14" t="s">
        <v>78</v>
      </c>
      <c r="J168" s="14" t="s">
        <v>213</v>
      </c>
      <c r="K168" s="14" t="s">
        <v>817</v>
      </c>
      <c r="L168" s="14" t="s">
        <v>119</v>
      </c>
      <c r="M168" s="14" t="s">
        <v>120</v>
      </c>
      <c r="N168" s="16">
        <f>COUNTIF($M$3:M168, M168)</f>
        <v>18</v>
      </c>
      <c r="O168" s="16" t="str" cm="1">
        <f t="array" ref="O168">INDEX('[2]ALTA 20242025'!$B$2:$B$241, MATCH(1, ('[2]ALTA 20242025'!$I$2:$I$241=M168)*('[2]ALTA 20242025'!$J$2:$J$241=N168), 0))</f>
        <v>6084MWV</v>
      </c>
      <c r="P168" s="16"/>
      <c r="Q168" s="16"/>
      <c r="R168" s="14" t="s">
        <v>2048</v>
      </c>
      <c r="S168" s="14" t="s">
        <v>2048</v>
      </c>
      <c r="T168" s="14" t="s">
        <v>2048</v>
      </c>
      <c r="U168" s="14" t="s">
        <v>2048</v>
      </c>
      <c r="V168" s="14" t="s">
        <v>3620</v>
      </c>
      <c r="W168" s="14" t="s">
        <v>4419</v>
      </c>
      <c r="X168" s="14" t="s">
        <v>4010</v>
      </c>
      <c r="Y168" s="14" t="s">
        <v>4420</v>
      </c>
      <c r="Z168" s="14" t="s">
        <v>2048</v>
      </c>
      <c r="AA168" s="14" t="s">
        <v>2422</v>
      </c>
      <c r="AB168" s="14" t="s">
        <v>2049</v>
      </c>
      <c r="AC168" s="14" t="s">
        <v>2050</v>
      </c>
      <c r="AD168" s="14" t="s">
        <v>3796</v>
      </c>
      <c r="AE168" s="14" t="s">
        <v>3613</v>
      </c>
      <c r="AF168" s="14" t="s">
        <v>3614</v>
      </c>
      <c r="AG168" s="14" t="s">
        <v>200</v>
      </c>
      <c r="AH168" s="14" t="s">
        <v>3622</v>
      </c>
      <c r="AI168" s="14" t="s">
        <v>3472</v>
      </c>
      <c r="AJ168" s="14" t="s">
        <v>3821</v>
      </c>
      <c r="AK168" s="14" t="s">
        <v>2055</v>
      </c>
      <c r="AL168" s="14" t="s">
        <v>2055</v>
      </c>
      <c r="AM168" s="14" t="s">
        <v>2055</v>
      </c>
      <c r="AN168" s="14" t="s">
        <v>2068</v>
      </c>
      <c r="AO168" s="14" t="s">
        <v>2048</v>
      </c>
      <c r="AP168" s="14" t="s">
        <v>2048</v>
      </c>
      <c r="AQ168" s="14" t="s">
        <v>2048</v>
      </c>
      <c r="AR168" s="14" t="s">
        <v>2606</v>
      </c>
      <c r="AS168" s="14" t="s">
        <v>3623</v>
      </c>
      <c r="AT168" s="14" t="s">
        <v>2208</v>
      </c>
      <c r="AU168" s="14" t="s">
        <v>4421</v>
      </c>
      <c r="AV168" s="14" t="s">
        <v>2933</v>
      </c>
      <c r="AW168" s="14" t="s">
        <v>2934</v>
      </c>
      <c r="AX168" s="14" t="s">
        <v>2048</v>
      </c>
      <c r="AY168" s="14" t="s">
        <v>2933</v>
      </c>
      <c r="AZ168" s="14" t="s">
        <v>2934</v>
      </c>
      <c r="BA168" s="14" t="s">
        <v>2048</v>
      </c>
      <c r="BB168" s="14" t="s">
        <v>2048</v>
      </c>
      <c r="BC168" s="14" t="s">
        <v>119</v>
      </c>
      <c r="BD168" s="14" t="s">
        <v>368</v>
      </c>
      <c r="BE168" s="14" t="s">
        <v>2612</v>
      </c>
      <c r="BF168" s="14" t="s">
        <v>2048</v>
      </c>
      <c r="BG168" s="14" t="s">
        <v>2048</v>
      </c>
      <c r="BH168" s="14" t="s">
        <v>2433</v>
      </c>
      <c r="BI168" s="14" t="s">
        <v>2434</v>
      </c>
      <c r="BJ168" s="14" t="s">
        <v>2613</v>
      </c>
      <c r="BK168" s="14" t="s">
        <v>2614</v>
      </c>
      <c r="BL168" s="14" t="s">
        <v>2615</v>
      </c>
      <c r="BM168" s="14" t="s">
        <v>2287</v>
      </c>
      <c r="BN168" s="14" t="s">
        <v>2048</v>
      </c>
      <c r="BO168" s="14" t="s">
        <v>2048</v>
      </c>
      <c r="BP168" s="14" t="s">
        <v>2064</v>
      </c>
      <c r="BQ168" s="14" t="s">
        <v>72</v>
      </c>
      <c r="BR168" s="14" t="s">
        <v>72</v>
      </c>
      <c r="BS168" s="14" t="s">
        <v>2048</v>
      </c>
      <c r="BT168" s="14" t="s">
        <v>3756</v>
      </c>
      <c r="BU168" s="14" t="s">
        <v>2606</v>
      </c>
      <c r="BV168" s="14" t="s">
        <v>2331</v>
      </c>
      <c r="BW168" s="14" t="s">
        <v>2131</v>
      </c>
      <c r="BX168" s="14" t="s">
        <v>2048</v>
      </c>
      <c r="BY168" s="14" t="s">
        <v>2048</v>
      </c>
      <c r="BZ168" s="14" t="s">
        <v>2048</v>
      </c>
      <c r="CA168" s="14" t="s">
        <v>2048</v>
      </c>
      <c r="CB168" s="14" t="s">
        <v>72</v>
      </c>
      <c r="CC168" s="14" t="s">
        <v>2048</v>
      </c>
      <c r="CD168" s="14" t="s">
        <v>72</v>
      </c>
      <c r="CE168" s="14" t="s">
        <v>2048</v>
      </c>
      <c r="CF168" s="14" t="s">
        <v>2048</v>
      </c>
      <c r="CG168" s="14" t="s">
        <v>2048</v>
      </c>
      <c r="CH168" s="14" t="s">
        <v>2048</v>
      </c>
      <c r="CI168" s="14" t="s">
        <v>2048</v>
      </c>
      <c r="CJ168" s="14" t="s">
        <v>2048</v>
      </c>
      <c r="CK168" s="14" t="s">
        <v>3714</v>
      </c>
      <c r="CL168" s="14" t="s">
        <v>3761</v>
      </c>
      <c r="CM168" s="14" t="s">
        <v>2048</v>
      </c>
      <c r="CN168" s="17"/>
      <c r="CO168" s="17">
        <v>44151</v>
      </c>
      <c r="CP168" s="17">
        <v>44151</v>
      </c>
      <c r="CR168" s="17">
        <v>45831</v>
      </c>
      <c r="CS168" s="19">
        <v>48</v>
      </c>
      <c r="CT168" s="19">
        <v>0</v>
      </c>
      <c r="CU168" s="19">
        <v>272.27999999999997</v>
      </c>
      <c r="CV168" s="19">
        <v>0</v>
      </c>
      <c r="CW168" s="19">
        <v>272.27999999999997</v>
      </c>
      <c r="CX168" s="19">
        <v>329.46</v>
      </c>
      <c r="CY168" s="19">
        <v>0</v>
      </c>
      <c r="CZ168" s="17"/>
      <c r="DA168" s="19">
        <v>0</v>
      </c>
      <c r="DB168" s="17"/>
      <c r="DC168" s="17"/>
      <c r="DD168" s="19">
        <v>0</v>
      </c>
      <c r="DE168" s="17"/>
      <c r="DF168" s="17"/>
      <c r="DG168" s="19">
        <v>100</v>
      </c>
      <c r="DH168" s="17"/>
      <c r="DI168" s="17">
        <v>46022</v>
      </c>
      <c r="DJ168" s="17"/>
      <c r="DK168" s="17"/>
      <c r="DL168" s="19">
        <v>0</v>
      </c>
      <c r="DM168" s="19">
        <v>0</v>
      </c>
    </row>
    <row r="169" spans="1:117" x14ac:dyDescent="0.2">
      <c r="A169" s="14" t="s">
        <v>3610</v>
      </c>
      <c r="B169" s="14" t="s">
        <v>300</v>
      </c>
      <c r="C169" s="14" t="s">
        <v>73</v>
      </c>
      <c r="D169" s="14" t="s">
        <v>200</v>
      </c>
      <c r="E169" s="14" t="s">
        <v>201</v>
      </c>
      <c r="F169" s="14" t="s">
        <v>76</v>
      </c>
      <c r="G169" s="17">
        <v>45614</v>
      </c>
      <c r="H169" s="14" t="s">
        <v>77</v>
      </c>
      <c r="I169" s="14" t="s">
        <v>78</v>
      </c>
      <c r="J169" s="14" t="s">
        <v>213</v>
      </c>
      <c r="K169" s="14" t="s">
        <v>237</v>
      </c>
      <c r="L169" s="14" t="s">
        <v>102</v>
      </c>
      <c r="M169" s="14" t="s">
        <v>103</v>
      </c>
      <c r="N169" s="16">
        <f>COUNTIF($M$3:M169, M169)</f>
        <v>38</v>
      </c>
      <c r="O169" s="16" t="str" cm="1">
        <f t="array" ref="O169">INDEX('[2]ALTA 20242025'!$B$2:$B$241, MATCH(1, ('[2]ALTA 20242025'!$I$2:$I$241=M169)*('[2]ALTA 20242025'!$J$2:$J$241=N169), 0))</f>
        <v>8601MWT</v>
      </c>
      <c r="P169" s="16"/>
      <c r="Q169" s="16"/>
      <c r="R169" s="14" t="s">
        <v>2048</v>
      </c>
      <c r="S169" s="14" t="s">
        <v>2048</v>
      </c>
      <c r="T169" s="14" t="s">
        <v>2048</v>
      </c>
      <c r="U169" s="14" t="s">
        <v>2048</v>
      </c>
      <c r="V169" s="14" t="s">
        <v>3620</v>
      </c>
      <c r="W169" s="14" t="s">
        <v>4422</v>
      </c>
      <c r="X169" s="14" t="s">
        <v>3926</v>
      </c>
      <c r="Y169" s="14" t="s">
        <v>4423</v>
      </c>
      <c r="Z169" s="14" t="s">
        <v>2048</v>
      </c>
      <c r="AA169" s="14" t="s">
        <v>2422</v>
      </c>
      <c r="AB169" s="14" t="s">
        <v>2049</v>
      </c>
      <c r="AC169" s="14" t="s">
        <v>2050</v>
      </c>
      <c r="AD169" s="14" t="s">
        <v>3725</v>
      </c>
      <c r="AE169" s="14" t="s">
        <v>3613</v>
      </c>
      <c r="AF169" s="14" t="s">
        <v>3614</v>
      </c>
      <c r="AG169" s="14" t="s">
        <v>200</v>
      </c>
      <c r="AH169" s="14" t="s">
        <v>3622</v>
      </c>
      <c r="AI169" s="14" t="s">
        <v>2072</v>
      </c>
      <c r="AJ169" s="14" t="s">
        <v>2073</v>
      </c>
      <c r="AK169" s="14" t="s">
        <v>2055</v>
      </c>
      <c r="AL169" s="14" t="s">
        <v>2055</v>
      </c>
      <c r="AM169" s="14" t="s">
        <v>2055</v>
      </c>
      <c r="AN169" s="14" t="s">
        <v>2068</v>
      </c>
      <c r="AO169" s="14" t="s">
        <v>2048</v>
      </c>
      <c r="AP169" s="14" t="s">
        <v>2048</v>
      </c>
      <c r="AQ169" s="14" t="s">
        <v>2048</v>
      </c>
      <c r="AR169" s="14" t="s">
        <v>3144</v>
      </c>
      <c r="AS169" s="14" t="s">
        <v>3623</v>
      </c>
      <c r="AT169" s="14" t="s">
        <v>2208</v>
      </c>
      <c r="AU169" s="14" t="s">
        <v>4424</v>
      </c>
      <c r="AV169" s="14" t="s">
        <v>3145</v>
      </c>
      <c r="AW169" s="14" t="s">
        <v>3146</v>
      </c>
      <c r="AX169" s="14" t="s">
        <v>2048</v>
      </c>
      <c r="AY169" s="14" t="s">
        <v>3145</v>
      </c>
      <c r="AZ169" s="14" t="s">
        <v>3146</v>
      </c>
      <c r="BA169" s="14" t="s">
        <v>2048</v>
      </c>
      <c r="BB169" s="14" t="s">
        <v>2048</v>
      </c>
      <c r="BC169" s="14" t="s">
        <v>102</v>
      </c>
      <c r="BD169" s="14" t="s">
        <v>301</v>
      </c>
      <c r="BE169" s="14" t="s">
        <v>3147</v>
      </c>
      <c r="BF169" s="14" t="s">
        <v>2048</v>
      </c>
      <c r="BG169" s="14" t="s">
        <v>2048</v>
      </c>
      <c r="BH169" s="14" t="s">
        <v>2282</v>
      </c>
      <c r="BI169" s="14" t="s">
        <v>2782</v>
      </c>
      <c r="BJ169" s="14" t="s">
        <v>2783</v>
      </c>
      <c r="BK169" s="14" t="s">
        <v>2784</v>
      </c>
      <c r="BL169" s="14" t="s">
        <v>3148</v>
      </c>
      <c r="BM169" s="14" t="s">
        <v>2287</v>
      </c>
      <c r="BN169" s="14" t="s">
        <v>2048</v>
      </c>
      <c r="BO169" s="14" t="s">
        <v>2518</v>
      </c>
      <c r="BP169" s="14" t="s">
        <v>2064</v>
      </c>
      <c r="BQ169" s="14" t="s">
        <v>72</v>
      </c>
      <c r="BR169" s="14" t="s">
        <v>72</v>
      </c>
      <c r="BS169" s="14" t="s">
        <v>4425</v>
      </c>
      <c r="BT169" s="14" t="s">
        <v>3150</v>
      </c>
      <c r="BU169" s="14" t="s">
        <v>3144</v>
      </c>
      <c r="BV169" s="14" t="s">
        <v>2331</v>
      </c>
      <c r="BW169" s="14" t="s">
        <v>2131</v>
      </c>
      <c r="BX169" s="14" t="s">
        <v>2048</v>
      </c>
      <c r="BY169" s="14" t="s">
        <v>2048</v>
      </c>
      <c r="BZ169" s="14" t="s">
        <v>2048</v>
      </c>
      <c r="CA169" s="14" t="s">
        <v>2048</v>
      </c>
      <c r="CB169" s="14" t="s">
        <v>72</v>
      </c>
      <c r="CC169" s="14" t="s">
        <v>2048</v>
      </c>
      <c r="CD169" s="14" t="s">
        <v>2048</v>
      </c>
      <c r="CE169" s="14" t="s">
        <v>2048</v>
      </c>
      <c r="CF169" s="14" t="s">
        <v>2048</v>
      </c>
      <c r="CG169" s="14" t="s">
        <v>2048</v>
      </c>
      <c r="CH169" s="14" t="s">
        <v>2048</v>
      </c>
      <c r="CI169" s="14" t="s">
        <v>2048</v>
      </c>
      <c r="CJ169" s="14" t="s">
        <v>2048</v>
      </c>
      <c r="CK169" s="14" t="s">
        <v>2068</v>
      </c>
      <c r="CL169" s="14" t="s">
        <v>2069</v>
      </c>
      <c r="CM169" s="14" t="s">
        <v>2048</v>
      </c>
      <c r="CN169" s="17"/>
      <c r="CO169" s="17">
        <v>44153</v>
      </c>
      <c r="CP169" s="17">
        <v>44153</v>
      </c>
      <c r="CR169" s="17">
        <v>45692</v>
      </c>
      <c r="CS169" s="19">
        <v>48</v>
      </c>
      <c r="CT169" s="19">
        <v>0</v>
      </c>
      <c r="CU169" s="19">
        <v>174.93</v>
      </c>
      <c r="CV169" s="19">
        <v>0</v>
      </c>
      <c r="CW169" s="19">
        <v>174.93</v>
      </c>
      <c r="CX169" s="19">
        <v>211.67</v>
      </c>
      <c r="CY169" s="19">
        <v>0</v>
      </c>
      <c r="CZ169" s="17"/>
      <c r="DA169" s="20">
        <v>40364</v>
      </c>
      <c r="DB169" s="17">
        <v>45692</v>
      </c>
      <c r="DC169" s="17"/>
      <c r="DD169" s="19">
        <v>0</v>
      </c>
      <c r="DE169" s="17"/>
      <c r="DF169" s="17"/>
      <c r="DG169" s="19">
        <v>100</v>
      </c>
      <c r="DH169" s="17"/>
      <c r="DI169" s="17">
        <v>46022</v>
      </c>
      <c r="DJ169" s="17"/>
      <c r="DK169" s="17"/>
      <c r="DL169" s="19">
        <v>0</v>
      </c>
      <c r="DM169" s="19">
        <v>0</v>
      </c>
    </row>
    <row r="170" spans="1:117" x14ac:dyDescent="0.2">
      <c r="A170" s="14" t="s">
        <v>3610</v>
      </c>
      <c r="B170" s="14" t="s">
        <v>307</v>
      </c>
      <c r="C170" s="14" t="s">
        <v>73</v>
      </c>
      <c r="D170" s="14" t="s">
        <v>200</v>
      </c>
      <c r="E170" s="14" t="s">
        <v>201</v>
      </c>
      <c r="F170" s="14" t="s">
        <v>76</v>
      </c>
      <c r="G170" s="17">
        <v>45614</v>
      </c>
      <c r="H170" s="14" t="s">
        <v>77</v>
      </c>
      <c r="I170" s="14" t="s">
        <v>78</v>
      </c>
      <c r="J170" s="14" t="s">
        <v>213</v>
      </c>
      <c r="K170" s="14" t="s">
        <v>237</v>
      </c>
      <c r="L170" s="14" t="s">
        <v>308</v>
      </c>
      <c r="M170" s="14" t="s">
        <v>309</v>
      </c>
      <c r="N170" s="16">
        <f>COUNTIF($M$3:M170, M170)</f>
        <v>2</v>
      </c>
      <c r="O170" s="16" t="str" cm="1">
        <f t="array" ref="O170">INDEX('[2]ALTA 20242025'!$B$2:$B$241, MATCH(1, ('[2]ALTA 20242025'!$I$2:$I$241=M170)*('[2]ALTA 20242025'!$J$2:$J$241=N170), 0))</f>
        <v>3147MXJ</v>
      </c>
      <c r="P170" s="16"/>
      <c r="Q170" s="16"/>
      <c r="R170" s="14" t="s">
        <v>4426</v>
      </c>
      <c r="S170" s="14" t="s">
        <v>4427</v>
      </c>
      <c r="T170" s="14" t="s">
        <v>2048</v>
      </c>
      <c r="U170" s="14" t="s">
        <v>2048</v>
      </c>
      <c r="V170" s="14" t="s">
        <v>3620</v>
      </c>
      <c r="W170" s="14" t="s">
        <v>4428</v>
      </c>
      <c r="X170" s="14" t="s">
        <v>3926</v>
      </c>
      <c r="Y170" s="14" t="s">
        <v>2048</v>
      </c>
      <c r="Z170" s="14" t="s">
        <v>2048</v>
      </c>
      <c r="AA170" s="14" t="s">
        <v>2422</v>
      </c>
      <c r="AB170" s="14" t="s">
        <v>2049</v>
      </c>
      <c r="AC170" s="14" t="s">
        <v>2050</v>
      </c>
      <c r="AD170" s="14" t="s">
        <v>4429</v>
      </c>
      <c r="AE170" s="14" t="s">
        <v>3613</v>
      </c>
      <c r="AF170" s="14" t="s">
        <v>3614</v>
      </c>
      <c r="AG170" s="14" t="s">
        <v>200</v>
      </c>
      <c r="AH170" s="14" t="s">
        <v>3622</v>
      </c>
      <c r="AI170" s="14" t="s">
        <v>2132</v>
      </c>
      <c r="AJ170" s="14" t="s">
        <v>2133</v>
      </c>
      <c r="AK170" s="14" t="s">
        <v>2055</v>
      </c>
      <c r="AL170" s="14" t="s">
        <v>2055</v>
      </c>
      <c r="AM170" s="14" t="s">
        <v>2055</v>
      </c>
      <c r="AN170" s="14" t="s">
        <v>2068</v>
      </c>
      <c r="AO170" s="14" t="s">
        <v>2048</v>
      </c>
      <c r="AP170" s="14" t="s">
        <v>2048</v>
      </c>
      <c r="AQ170" s="14" t="s">
        <v>2048</v>
      </c>
      <c r="AR170" s="14" t="s">
        <v>4430</v>
      </c>
      <c r="AS170" s="14" t="s">
        <v>3623</v>
      </c>
      <c r="AT170" s="14" t="s">
        <v>2208</v>
      </c>
      <c r="AU170" s="14" t="s">
        <v>4431</v>
      </c>
      <c r="AV170" s="14" t="s">
        <v>2060</v>
      </c>
      <c r="AW170" s="14" t="s">
        <v>2048</v>
      </c>
      <c r="AX170" s="14" t="s">
        <v>72</v>
      </c>
      <c r="AY170" s="14" t="s">
        <v>2652</v>
      </c>
      <c r="AZ170" s="14" t="s">
        <v>2653</v>
      </c>
      <c r="BA170" s="14" t="s">
        <v>2048</v>
      </c>
      <c r="BB170" s="14" t="s">
        <v>2048</v>
      </c>
      <c r="BC170" s="14" t="s">
        <v>308</v>
      </c>
      <c r="BD170" s="14" t="s">
        <v>310</v>
      </c>
      <c r="BE170" s="14" t="s">
        <v>2654</v>
      </c>
      <c r="BF170" s="14" t="s">
        <v>2048</v>
      </c>
      <c r="BG170" s="14" t="s">
        <v>2048</v>
      </c>
      <c r="BH170" s="14" t="s">
        <v>2048</v>
      </c>
      <c r="BI170" s="14" t="s">
        <v>2048</v>
      </c>
      <c r="BJ170" s="14" t="s">
        <v>2048</v>
      </c>
      <c r="BK170" s="14" t="s">
        <v>2048</v>
      </c>
      <c r="BL170" s="14" t="s">
        <v>2655</v>
      </c>
      <c r="BM170" s="14" t="s">
        <v>2656</v>
      </c>
      <c r="BN170" s="14" t="s">
        <v>2048</v>
      </c>
      <c r="BO170" s="14" t="s">
        <v>2048</v>
      </c>
      <c r="BP170" s="14" t="s">
        <v>2064</v>
      </c>
      <c r="BQ170" s="14" t="s">
        <v>72</v>
      </c>
      <c r="BR170" s="14" t="s">
        <v>72</v>
      </c>
      <c r="BS170" s="14" t="s">
        <v>2048</v>
      </c>
      <c r="BT170" s="14" t="s">
        <v>2048</v>
      </c>
      <c r="BU170" s="14" t="s">
        <v>2048</v>
      </c>
      <c r="BV170" s="14" t="s">
        <v>2331</v>
      </c>
      <c r="BW170" s="14" t="s">
        <v>2131</v>
      </c>
      <c r="BX170" s="14" t="s">
        <v>2048</v>
      </c>
      <c r="BY170" s="14" t="s">
        <v>2048</v>
      </c>
      <c r="BZ170" s="14" t="s">
        <v>2048</v>
      </c>
      <c r="CA170" s="14" t="s">
        <v>2048</v>
      </c>
      <c r="CB170" s="14" t="s">
        <v>72</v>
      </c>
      <c r="CC170" s="14" t="s">
        <v>2048</v>
      </c>
      <c r="CD170" s="14" t="s">
        <v>2048</v>
      </c>
      <c r="CE170" s="14" t="s">
        <v>2048</v>
      </c>
      <c r="CF170" s="14" t="s">
        <v>2048</v>
      </c>
      <c r="CG170" s="14" t="s">
        <v>2048</v>
      </c>
      <c r="CH170" s="14" t="s">
        <v>2048</v>
      </c>
      <c r="CI170" s="14" t="s">
        <v>2048</v>
      </c>
      <c r="CJ170" s="14" t="s">
        <v>2048</v>
      </c>
      <c r="CK170" s="14" t="s">
        <v>2068</v>
      </c>
      <c r="CL170" s="14" t="s">
        <v>2069</v>
      </c>
      <c r="CM170" s="14" t="s">
        <v>2048</v>
      </c>
      <c r="CN170" s="17">
        <v>45292</v>
      </c>
      <c r="CO170" s="17">
        <v>44153</v>
      </c>
      <c r="CP170" s="17">
        <v>44153</v>
      </c>
      <c r="CR170" s="17">
        <v>45684</v>
      </c>
      <c r="CS170" s="19">
        <v>48</v>
      </c>
      <c r="CT170" s="19">
        <v>0</v>
      </c>
      <c r="CU170" s="19">
        <v>263.41000000000003</v>
      </c>
      <c r="CV170" s="19">
        <v>0</v>
      </c>
      <c r="CW170" s="19">
        <v>263.41000000000003</v>
      </c>
      <c r="CX170" s="19">
        <v>318.73</v>
      </c>
      <c r="CY170" s="19">
        <v>0</v>
      </c>
      <c r="CZ170" s="17"/>
      <c r="DA170" s="20">
        <v>179555</v>
      </c>
      <c r="DB170" s="17">
        <v>45684</v>
      </c>
      <c r="DC170" s="17"/>
      <c r="DD170" s="19">
        <v>0</v>
      </c>
      <c r="DE170" s="17"/>
      <c r="DF170" s="17"/>
      <c r="DG170" s="19">
        <v>100</v>
      </c>
      <c r="DH170" s="17"/>
      <c r="DI170" s="17">
        <v>45657</v>
      </c>
      <c r="DJ170" s="17"/>
      <c r="DK170" s="17"/>
      <c r="DL170" s="19">
        <v>0</v>
      </c>
      <c r="DM170" s="19">
        <v>0</v>
      </c>
    </row>
    <row r="171" spans="1:117" x14ac:dyDescent="0.2">
      <c r="A171" s="14" t="s">
        <v>3610</v>
      </c>
      <c r="B171" s="14" t="s">
        <v>540</v>
      </c>
      <c r="C171" s="14" t="s">
        <v>158</v>
      </c>
      <c r="D171" s="14" t="s">
        <v>159</v>
      </c>
      <c r="E171" s="14" t="s">
        <v>158</v>
      </c>
      <c r="F171" s="14" t="s">
        <v>171</v>
      </c>
      <c r="G171" s="17">
        <v>45625</v>
      </c>
      <c r="H171" s="14" t="s">
        <v>172</v>
      </c>
      <c r="I171" s="14" t="s">
        <v>71</v>
      </c>
      <c r="J171" s="14" t="s">
        <v>79</v>
      </c>
      <c r="K171" s="14" t="s">
        <v>541</v>
      </c>
      <c r="L171" s="14" t="s">
        <v>542</v>
      </c>
      <c r="M171" s="14" t="s">
        <v>543</v>
      </c>
      <c r="N171" s="16">
        <f>COUNTIF($M$3:M171, M171)</f>
        <v>1</v>
      </c>
      <c r="O171" s="16" t="str" cm="1">
        <f t="array" ref="O171">INDEX('[2]ALTA 20242025'!$B$2:$B$241, MATCH(1, ('[2]ALTA 20242025'!$I$2:$I$241=M171)*('[2]ALTA 20242025'!$J$2:$J$241=N171), 0))</f>
        <v>7151MXV</v>
      </c>
      <c r="P171" s="16"/>
      <c r="Q171" s="16"/>
      <c r="R171" s="14" t="s">
        <v>2048</v>
      </c>
      <c r="S171" s="14" t="s">
        <v>2048</v>
      </c>
      <c r="T171" s="14" t="s">
        <v>2048</v>
      </c>
      <c r="U171" s="14" t="s">
        <v>2048</v>
      </c>
      <c r="V171" s="14" t="s">
        <v>3677</v>
      </c>
      <c r="W171" s="14" t="s">
        <v>2048</v>
      </c>
      <c r="X171" s="14" t="s">
        <v>2048</v>
      </c>
      <c r="Y171" s="14" t="s">
        <v>2048</v>
      </c>
      <c r="Z171" s="14" t="s">
        <v>2048</v>
      </c>
      <c r="AA171" s="14" t="s">
        <v>2422</v>
      </c>
      <c r="AB171" s="14" t="s">
        <v>2049</v>
      </c>
      <c r="AC171" s="14" t="s">
        <v>3678</v>
      </c>
      <c r="AD171" s="14" t="s">
        <v>2048</v>
      </c>
      <c r="AE171" s="14" t="s">
        <v>2048</v>
      </c>
      <c r="AF171" s="14" t="s">
        <v>2048</v>
      </c>
      <c r="AG171" s="14" t="s">
        <v>2048</v>
      </c>
      <c r="AH171" s="14" t="s">
        <v>2048</v>
      </c>
      <c r="AI171" s="14" t="s">
        <v>2129</v>
      </c>
      <c r="AJ171" s="14" t="s">
        <v>2130</v>
      </c>
      <c r="AK171" s="14" t="s">
        <v>2048</v>
      </c>
      <c r="AL171" s="14" t="s">
        <v>2048</v>
      </c>
      <c r="AM171" s="14" t="s">
        <v>2048</v>
      </c>
      <c r="AN171" s="14" t="s">
        <v>3714</v>
      </c>
      <c r="AO171" s="14" t="s">
        <v>2048</v>
      </c>
      <c r="AP171" s="14" t="s">
        <v>2048</v>
      </c>
      <c r="AQ171" s="14" t="s">
        <v>2048</v>
      </c>
      <c r="AR171" s="14" t="s">
        <v>2048</v>
      </c>
      <c r="AS171" s="14" t="s">
        <v>2048</v>
      </c>
      <c r="AT171" s="14" t="s">
        <v>2048</v>
      </c>
      <c r="AU171" s="14" t="s">
        <v>2048</v>
      </c>
      <c r="AV171" s="14" t="s">
        <v>2060</v>
      </c>
      <c r="AW171" s="14" t="s">
        <v>2048</v>
      </c>
      <c r="AX171" s="14" t="s">
        <v>2048</v>
      </c>
      <c r="AY171" s="14" t="s">
        <v>3581</v>
      </c>
      <c r="AZ171" s="14" t="s">
        <v>3582</v>
      </c>
      <c r="BA171" s="14" t="s">
        <v>2048</v>
      </c>
      <c r="BB171" s="14" t="s">
        <v>2048</v>
      </c>
      <c r="BC171" s="14" t="s">
        <v>542</v>
      </c>
      <c r="BD171" s="14" t="s">
        <v>544</v>
      </c>
      <c r="BE171" s="14" t="s">
        <v>4432</v>
      </c>
      <c r="BF171" s="14" t="s">
        <v>2048</v>
      </c>
      <c r="BG171" s="14" t="s">
        <v>2048</v>
      </c>
      <c r="BH171" s="14" t="s">
        <v>2710</v>
      </c>
      <c r="BI171" s="14" t="s">
        <v>3584</v>
      </c>
      <c r="BJ171" s="14" t="s">
        <v>3585</v>
      </c>
      <c r="BK171" s="14" t="s">
        <v>3586</v>
      </c>
      <c r="BL171" s="14" t="s">
        <v>3587</v>
      </c>
      <c r="BM171" s="14" t="s">
        <v>2287</v>
      </c>
      <c r="BN171" s="14" t="s">
        <v>2048</v>
      </c>
      <c r="BO171" s="14" t="s">
        <v>2048</v>
      </c>
      <c r="BP171" s="14" t="s">
        <v>2064</v>
      </c>
      <c r="BQ171" s="14" t="s">
        <v>2048</v>
      </c>
      <c r="BR171" s="14" t="s">
        <v>2048</v>
      </c>
      <c r="BS171" s="14" t="s">
        <v>2048</v>
      </c>
      <c r="BT171" s="14" t="s">
        <v>2048</v>
      </c>
      <c r="BU171" s="14" t="s">
        <v>2048</v>
      </c>
      <c r="BV171" s="14" t="s">
        <v>2422</v>
      </c>
      <c r="BW171" s="14" t="s">
        <v>4044</v>
      </c>
      <c r="BX171" s="14" t="s">
        <v>2048</v>
      </c>
      <c r="BY171" s="14" t="s">
        <v>2048</v>
      </c>
      <c r="BZ171" s="14" t="s">
        <v>2048</v>
      </c>
      <c r="CA171" s="14" t="s">
        <v>2048</v>
      </c>
      <c r="CB171" s="14" t="s">
        <v>2048</v>
      </c>
      <c r="CC171" s="14" t="s">
        <v>2048</v>
      </c>
      <c r="CD171" s="14" t="s">
        <v>2048</v>
      </c>
      <c r="CE171" s="14" t="s">
        <v>2048</v>
      </c>
      <c r="CF171" s="14" t="s">
        <v>2048</v>
      </c>
      <c r="CG171" s="14" t="s">
        <v>2048</v>
      </c>
      <c r="CH171" s="14" t="s">
        <v>2048</v>
      </c>
      <c r="CI171" s="14" t="s">
        <v>2048</v>
      </c>
      <c r="CJ171" s="14" t="s">
        <v>2048</v>
      </c>
      <c r="CK171" s="14" t="s">
        <v>3193</v>
      </c>
      <c r="CL171" s="14" t="s">
        <v>3194</v>
      </c>
      <c r="CM171" s="14" t="s">
        <v>2048</v>
      </c>
      <c r="CN171" s="17"/>
      <c r="CO171" s="17">
        <v>37956</v>
      </c>
      <c r="CP171" s="17">
        <v>37956</v>
      </c>
      <c r="CR171" s="17">
        <v>45625</v>
      </c>
      <c r="CS171" s="19">
        <v>0</v>
      </c>
      <c r="CT171" s="19">
        <v>0</v>
      </c>
      <c r="CU171" s="19">
        <v>0</v>
      </c>
      <c r="CV171" s="19">
        <v>0</v>
      </c>
      <c r="CW171" s="19">
        <v>0</v>
      </c>
      <c r="CX171" s="19">
        <v>0</v>
      </c>
      <c r="CY171" s="19">
        <v>0</v>
      </c>
      <c r="CZ171" s="17"/>
      <c r="DA171" s="19">
        <v>0</v>
      </c>
      <c r="DB171" s="17"/>
      <c r="DC171" s="17"/>
      <c r="DD171" s="19">
        <v>0</v>
      </c>
      <c r="DE171" s="17"/>
      <c r="DF171" s="17"/>
      <c r="DG171" s="19">
        <v>100</v>
      </c>
      <c r="DH171" s="17"/>
      <c r="DI171" s="17">
        <v>45657</v>
      </c>
      <c r="DJ171" s="17"/>
      <c r="DK171" s="17"/>
      <c r="DL171" s="19">
        <v>0</v>
      </c>
      <c r="DM171" s="19">
        <v>0</v>
      </c>
    </row>
    <row r="172" spans="1:117" x14ac:dyDescent="0.2">
      <c r="A172" s="14" t="s">
        <v>3610</v>
      </c>
      <c r="B172" s="14" t="s">
        <v>1296</v>
      </c>
      <c r="C172" s="14" t="s">
        <v>73</v>
      </c>
      <c r="D172" s="14" t="s">
        <v>200</v>
      </c>
      <c r="E172" s="14" t="s">
        <v>201</v>
      </c>
      <c r="F172" s="14" t="s">
        <v>160</v>
      </c>
      <c r="G172" s="17">
        <v>45685</v>
      </c>
      <c r="H172" s="14" t="s">
        <v>161</v>
      </c>
      <c r="I172" s="14" t="s">
        <v>78</v>
      </c>
      <c r="J172" s="14" t="s">
        <v>79</v>
      </c>
      <c r="K172" s="14" t="s">
        <v>924</v>
      </c>
      <c r="L172" s="14" t="s">
        <v>584</v>
      </c>
      <c r="M172" s="14" t="s">
        <v>585</v>
      </c>
      <c r="N172" s="16">
        <f>COUNTIF($M$3:M172, M172)</f>
        <v>10</v>
      </c>
      <c r="O172" s="16" t="e" cm="1">
        <f t="array" ref="O172">INDEX('[2]ALTA 20242025'!$B$2:$B$241, MATCH(1, ('[2]ALTA 20242025'!$I$2:$I$241=M172)*('[2]ALTA 20242025'!$J$2:$J$241=N172), 0))</f>
        <v>#N/A</v>
      </c>
      <c r="P172" s="16"/>
      <c r="Q172" s="16"/>
      <c r="R172" s="14" t="s">
        <v>2048</v>
      </c>
      <c r="S172" s="14" t="s">
        <v>2048</v>
      </c>
      <c r="T172" s="14" t="s">
        <v>2048</v>
      </c>
      <c r="U172" s="14" t="s">
        <v>2048</v>
      </c>
      <c r="V172" s="14" t="s">
        <v>4192</v>
      </c>
      <c r="W172" s="14" t="s">
        <v>4433</v>
      </c>
      <c r="X172" s="14" t="s">
        <v>3818</v>
      </c>
      <c r="Y172" s="14" t="s">
        <v>4434</v>
      </c>
      <c r="Z172" s="14" t="s">
        <v>2048</v>
      </c>
      <c r="AA172" s="14" t="s">
        <v>2422</v>
      </c>
      <c r="AB172" s="14" t="s">
        <v>2049</v>
      </c>
      <c r="AC172" s="14" t="s">
        <v>2050</v>
      </c>
      <c r="AD172" s="14" t="s">
        <v>3796</v>
      </c>
      <c r="AE172" s="14" t="s">
        <v>3613</v>
      </c>
      <c r="AF172" s="14" t="s">
        <v>3614</v>
      </c>
      <c r="AG172" s="14" t="s">
        <v>2048</v>
      </c>
      <c r="AH172" s="14" t="s">
        <v>2048</v>
      </c>
      <c r="AI172" s="14" t="s">
        <v>159</v>
      </c>
      <c r="AJ172" s="14" t="s">
        <v>585</v>
      </c>
      <c r="AK172" s="14" t="s">
        <v>2055</v>
      </c>
      <c r="AL172" s="14" t="s">
        <v>2055</v>
      </c>
      <c r="AM172" s="14" t="s">
        <v>2055</v>
      </c>
      <c r="AN172" s="14" t="s">
        <v>2068</v>
      </c>
      <c r="AO172" s="14" t="s">
        <v>2048</v>
      </c>
      <c r="AP172" s="14" t="s">
        <v>2048</v>
      </c>
      <c r="AQ172" s="14" t="s">
        <v>4196</v>
      </c>
      <c r="AR172" s="14" t="s">
        <v>2756</v>
      </c>
      <c r="AS172" s="14" t="s">
        <v>3776</v>
      </c>
      <c r="AT172" s="14" t="s">
        <v>2422</v>
      </c>
      <c r="AU172" s="14" t="s">
        <v>4435</v>
      </c>
      <c r="AV172" s="14" t="s">
        <v>4436</v>
      </c>
      <c r="AW172" s="14" t="s">
        <v>4437</v>
      </c>
      <c r="AX172" s="14" t="s">
        <v>2048</v>
      </c>
      <c r="AY172" s="14" t="s">
        <v>2740</v>
      </c>
      <c r="AZ172" s="14" t="s">
        <v>2741</v>
      </c>
      <c r="BA172" s="14" t="s">
        <v>3627</v>
      </c>
      <c r="BB172" s="14" t="s">
        <v>2048</v>
      </c>
      <c r="BC172" s="14" t="s">
        <v>584</v>
      </c>
      <c r="BD172" s="14" t="s">
        <v>1297</v>
      </c>
      <c r="BE172" s="14" t="s">
        <v>4438</v>
      </c>
      <c r="BF172" s="14" t="s">
        <v>2048</v>
      </c>
      <c r="BG172" s="14" t="s">
        <v>2048</v>
      </c>
      <c r="BH172" s="14" t="s">
        <v>2743</v>
      </c>
      <c r="BI172" s="14" t="s">
        <v>2744</v>
      </c>
      <c r="BJ172" s="14" t="s">
        <v>3803</v>
      </c>
      <c r="BK172" s="14" t="s">
        <v>4439</v>
      </c>
      <c r="BL172" s="14" t="s">
        <v>4440</v>
      </c>
      <c r="BM172" s="14" t="s">
        <v>2287</v>
      </c>
      <c r="BN172" s="14" t="s">
        <v>2048</v>
      </c>
      <c r="BO172" s="14" t="s">
        <v>2048</v>
      </c>
      <c r="BP172" s="14" t="s">
        <v>2064</v>
      </c>
      <c r="BQ172" s="14" t="s">
        <v>72</v>
      </c>
      <c r="BR172" s="14" t="s">
        <v>72</v>
      </c>
      <c r="BS172" s="14" t="s">
        <v>2048</v>
      </c>
      <c r="BT172" s="14" t="s">
        <v>4441</v>
      </c>
      <c r="BU172" s="14" t="s">
        <v>4442</v>
      </c>
      <c r="BV172" s="14" t="s">
        <v>2418</v>
      </c>
      <c r="BW172" s="14" t="s">
        <v>2089</v>
      </c>
      <c r="BX172" s="14" t="s">
        <v>2048</v>
      </c>
      <c r="BY172" s="14" t="s">
        <v>2048</v>
      </c>
      <c r="BZ172" s="14" t="s">
        <v>2048</v>
      </c>
      <c r="CA172" s="14" t="s">
        <v>2048</v>
      </c>
      <c r="CB172" s="14" t="s">
        <v>72</v>
      </c>
      <c r="CC172" s="14" t="s">
        <v>2048</v>
      </c>
      <c r="CD172" s="14" t="s">
        <v>2048</v>
      </c>
      <c r="CE172" s="14" t="s">
        <v>2048</v>
      </c>
      <c r="CF172" s="14" t="s">
        <v>2048</v>
      </c>
      <c r="CG172" s="14" t="s">
        <v>2048</v>
      </c>
      <c r="CH172" s="14" t="s">
        <v>2048</v>
      </c>
      <c r="CI172" s="14" t="s">
        <v>2048</v>
      </c>
      <c r="CJ172" s="14" t="s">
        <v>2048</v>
      </c>
      <c r="CK172" s="14" t="s">
        <v>2057</v>
      </c>
      <c r="CL172" s="14" t="s">
        <v>2090</v>
      </c>
      <c r="CM172" s="14" t="s">
        <v>2048</v>
      </c>
      <c r="CN172" s="17"/>
      <c r="CO172" s="17">
        <v>44224</v>
      </c>
      <c r="CP172" s="17">
        <v>44224</v>
      </c>
      <c r="CR172" s="17">
        <v>45114</v>
      </c>
      <c r="CS172" s="19">
        <v>48</v>
      </c>
      <c r="CT172" s="19">
        <v>0</v>
      </c>
      <c r="CU172" s="19">
        <v>313.48</v>
      </c>
      <c r="CV172" s="19">
        <v>0</v>
      </c>
      <c r="CW172" s="19">
        <v>313.48</v>
      </c>
      <c r="CX172" s="19">
        <v>379.31</v>
      </c>
      <c r="CY172" s="19">
        <v>0</v>
      </c>
      <c r="CZ172" s="17"/>
      <c r="DA172" s="20">
        <v>76836</v>
      </c>
      <c r="DB172" s="17">
        <v>44926</v>
      </c>
      <c r="DC172" s="17"/>
      <c r="DD172" s="19">
        <v>0</v>
      </c>
      <c r="DE172" s="17"/>
      <c r="DF172" s="17"/>
      <c r="DG172" s="19">
        <v>100</v>
      </c>
      <c r="DH172" s="17"/>
      <c r="DI172" s="17">
        <v>46022</v>
      </c>
      <c r="DJ172" s="17"/>
      <c r="DK172" s="17"/>
      <c r="DL172" s="19">
        <v>0</v>
      </c>
      <c r="DM172" s="19">
        <v>0</v>
      </c>
    </row>
    <row r="173" spans="1:117" x14ac:dyDescent="0.2">
      <c r="A173" s="14" t="s">
        <v>3610</v>
      </c>
      <c r="B173" s="14" t="s">
        <v>212</v>
      </c>
      <c r="C173" s="14" t="s">
        <v>73</v>
      </c>
      <c r="D173" s="14" t="s">
        <v>200</v>
      </c>
      <c r="E173" s="14" t="s">
        <v>201</v>
      </c>
      <c r="F173" s="14" t="s">
        <v>76</v>
      </c>
      <c r="G173" s="17">
        <v>45685</v>
      </c>
      <c r="H173" s="14" t="s">
        <v>77</v>
      </c>
      <c r="I173" s="14" t="s">
        <v>71</v>
      </c>
      <c r="J173" s="14" t="s">
        <v>213</v>
      </c>
      <c r="K173" s="14" t="s">
        <v>214</v>
      </c>
      <c r="L173" s="14" t="s">
        <v>215</v>
      </c>
      <c r="M173" s="14" t="s">
        <v>216</v>
      </c>
      <c r="N173" s="16">
        <f>COUNTIF($M$3:M173, M173)</f>
        <v>1</v>
      </c>
      <c r="O173" s="16" t="str" cm="1">
        <f t="array" ref="O173">INDEX('[2]ALTA 20242025'!$B$2:$B$241, MATCH(1, ('[2]ALTA 20242025'!$I$2:$I$241=M173)*('[2]ALTA 20242025'!$J$2:$J$241=N173), 0))</f>
        <v>6082MWV</v>
      </c>
      <c r="P173" s="16"/>
      <c r="Q173" s="16"/>
      <c r="R173" s="14" t="s">
        <v>2048</v>
      </c>
      <c r="S173" s="14" t="s">
        <v>2048</v>
      </c>
      <c r="T173" s="14" t="s">
        <v>2048</v>
      </c>
      <c r="U173" s="14" t="s">
        <v>2048</v>
      </c>
      <c r="V173" s="14" t="s">
        <v>4192</v>
      </c>
      <c r="W173" s="14" t="s">
        <v>4443</v>
      </c>
      <c r="X173" s="14" t="s">
        <v>4444</v>
      </c>
      <c r="Y173" s="14" t="s">
        <v>4445</v>
      </c>
      <c r="Z173" s="14" t="s">
        <v>2048</v>
      </c>
      <c r="AA173" s="14" t="s">
        <v>2422</v>
      </c>
      <c r="AB173" s="14" t="s">
        <v>2049</v>
      </c>
      <c r="AC173" s="14" t="s">
        <v>2050</v>
      </c>
      <c r="AD173" s="14" t="s">
        <v>3725</v>
      </c>
      <c r="AE173" s="14" t="s">
        <v>3613</v>
      </c>
      <c r="AF173" s="14" t="s">
        <v>3614</v>
      </c>
      <c r="AG173" s="14" t="s">
        <v>200</v>
      </c>
      <c r="AH173" s="14" t="s">
        <v>3622</v>
      </c>
      <c r="AI173" s="14" t="s">
        <v>2132</v>
      </c>
      <c r="AJ173" s="14" t="s">
        <v>2133</v>
      </c>
      <c r="AK173" s="14" t="s">
        <v>2055</v>
      </c>
      <c r="AL173" s="14" t="s">
        <v>2055</v>
      </c>
      <c r="AM173" s="14" t="s">
        <v>2055</v>
      </c>
      <c r="AN173" s="14" t="s">
        <v>3714</v>
      </c>
      <c r="AO173" s="14" t="s">
        <v>2048</v>
      </c>
      <c r="AP173" s="14" t="s">
        <v>2048</v>
      </c>
      <c r="AQ173" s="14" t="s">
        <v>2048</v>
      </c>
      <c r="AR173" s="14" t="s">
        <v>2374</v>
      </c>
      <c r="AS173" s="14" t="s">
        <v>3776</v>
      </c>
      <c r="AT173" s="14" t="s">
        <v>2422</v>
      </c>
      <c r="AU173" s="14" t="s">
        <v>4446</v>
      </c>
      <c r="AV173" s="14" t="s">
        <v>2060</v>
      </c>
      <c r="AW173" s="14" t="s">
        <v>2048</v>
      </c>
      <c r="AX173" s="14" t="s">
        <v>72</v>
      </c>
      <c r="AY173" s="14" t="s">
        <v>2376</v>
      </c>
      <c r="AZ173" s="14" t="s">
        <v>2377</v>
      </c>
      <c r="BA173" s="14" t="s">
        <v>2048</v>
      </c>
      <c r="BB173" s="14" t="s">
        <v>2048</v>
      </c>
      <c r="BC173" s="14" t="s">
        <v>215</v>
      </c>
      <c r="BD173" s="14" t="s">
        <v>217</v>
      </c>
      <c r="BE173" s="14" t="s">
        <v>3000</v>
      </c>
      <c r="BF173" s="14" t="s">
        <v>2048</v>
      </c>
      <c r="BG173" s="14" t="s">
        <v>2048</v>
      </c>
      <c r="BH173" s="14" t="s">
        <v>2379</v>
      </c>
      <c r="BI173" s="14" t="s">
        <v>2622</v>
      </c>
      <c r="BJ173" s="14" t="s">
        <v>2048</v>
      </c>
      <c r="BK173" s="14" t="s">
        <v>2048</v>
      </c>
      <c r="BL173" s="14" t="s">
        <v>2381</v>
      </c>
      <c r="BM173" s="14" t="s">
        <v>2382</v>
      </c>
      <c r="BN173" s="14" t="s">
        <v>2048</v>
      </c>
      <c r="BO173" s="14" t="s">
        <v>2048</v>
      </c>
      <c r="BP173" s="14" t="s">
        <v>2064</v>
      </c>
      <c r="BQ173" s="14" t="s">
        <v>72</v>
      </c>
      <c r="BR173" s="14" t="s">
        <v>72</v>
      </c>
      <c r="BS173" s="14" t="s">
        <v>2048</v>
      </c>
      <c r="BT173" s="14" t="s">
        <v>2048</v>
      </c>
      <c r="BU173" s="14" t="s">
        <v>2048</v>
      </c>
      <c r="BV173" s="14" t="s">
        <v>2331</v>
      </c>
      <c r="BW173" s="14" t="s">
        <v>2131</v>
      </c>
      <c r="BX173" s="14" t="s">
        <v>2048</v>
      </c>
      <c r="BY173" s="14" t="s">
        <v>2048</v>
      </c>
      <c r="BZ173" s="14" t="s">
        <v>2048</v>
      </c>
      <c r="CA173" s="14" t="s">
        <v>2048</v>
      </c>
      <c r="CB173" s="14" t="s">
        <v>72</v>
      </c>
      <c r="CC173" s="14" t="s">
        <v>2048</v>
      </c>
      <c r="CD173" s="14" t="s">
        <v>2048</v>
      </c>
      <c r="CE173" s="14" t="s">
        <v>2048</v>
      </c>
      <c r="CF173" s="14" t="s">
        <v>2048</v>
      </c>
      <c r="CG173" s="14" t="s">
        <v>2048</v>
      </c>
      <c r="CH173" s="14" t="s">
        <v>2048</v>
      </c>
      <c r="CI173" s="14" t="s">
        <v>2048</v>
      </c>
      <c r="CJ173" s="14" t="s">
        <v>2048</v>
      </c>
      <c r="CK173" s="14" t="s">
        <v>2068</v>
      </c>
      <c r="CL173" s="14" t="s">
        <v>2069</v>
      </c>
      <c r="CM173" s="14" t="s">
        <v>2048</v>
      </c>
      <c r="CN173" s="17"/>
      <c r="CO173" s="17">
        <v>44224</v>
      </c>
      <c r="CP173" s="17">
        <v>44224</v>
      </c>
      <c r="CR173" s="17">
        <v>45687</v>
      </c>
      <c r="CS173" s="19">
        <v>48</v>
      </c>
      <c r="CT173" s="19">
        <v>0</v>
      </c>
      <c r="CU173" s="19">
        <v>196.44</v>
      </c>
      <c r="CV173" s="19">
        <v>0</v>
      </c>
      <c r="CW173" s="19">
        <v>196.44</v>
      </c>
      <c r="CX173" s="19">
        <v>237.69</v>
      </c>
      <c r="CY173" s="19">
        <v>0</v>
      </c>
      <c r="CZ173" s="17"/>
      <c r="DA173" s="20">
        <v>50369</v>
      </c>
      <c r="DB173" s="17">
        <v>45687</v>
      </c>
      <c r="DC173" s="17"/>
      <c r="DD173" s="19">
        <v>0</v>
      </c>
      <c r="DE173" s="17"/>
      <c r="DF173" s="17"/>
      <c r="DG173" s="19">
        <v>100</v>
      </c>
      <c r="DH173" s="17"/>
      <c r="DI173" s="17">
        <v>46022</v>
      </c>
      <c r="DJ173" s="17"/>
      <c r="DK173" s="17"/>
      <c r="DL173" s="19">
        <v>0</v>
      </c>
      <c r="DM173" s="19">
        <v>0</v>
      </c>
    </row>
    <row r="174" spans="1:117" x14ac:dyDescent="0.2">
      <c r="A174" s="14" t="s">
        <v>3610</v>
      </c>
      <c r="B174" s="14" t="s">
        <v>482</v>
      </c>
      <c r="C174" s="14" t="s">
        <v>73</v>
      </c>
      <c r="D174" s="14" t="s">
        <v>200</v>
      </c>
      <c r="E174" s="14" t="s">
        <v>201</v>
      </c>
      <c r="F174" s="14" t="s">
        <v>160</v>
      </c>
      <c r="G174" s="17">
        <v>45627</v>
      </c>
      <c r="H174" s="14" t="s">
        <v>161</v>
      </c>
      <c r="I174" s="14" t="s">
        <v>78</v>
      </c>
      <c r="J174" s="14" t="s">
        <v>467</v>
      </c>
      <c r="K174" s="14" t="s">
        <v>476</v>
      </c>
      <c r="L174" s="14" t="s">
        <v>119</v>
      </c>
      <c r="M174" s="14" t="s">
        <v>120</v>
      </c>
      <c r="N174" s="16">
        <f>COUNTIF($M$3:M174, M174)</f>
        <v>19</v>
      </c>
      <c r="O174" s="16" t="str" cm="1">
        <f t="array" ref="O174">INDEX('[2]ALTA 20242025'!$B$2:$B$241, MATCH(1, ('[2]ALTA 20242025'!$I$2:$I$241=M174)*('[2]ALTA 20242025'!$J$2:$J$241=N174), 0))</f>
        <v>6087MWV</v>
      </c>
      <c r="P174" s="16"/>
      <c r="Q174" s="16"/>
      <c r="R174" s="14" t="s">
        <v>2048</v>
      </c>
      <c r="S174" s="14" t="s">
        <v>2048</v>
      </c>
      <c r="T174" s="14" t="s">
        <v>2048</v>
      </c>
      <c r="U174" s="14" t="s">
        <v>2048</v>
      </c>
      <c r="V174" s="14" t="s">
        <v>3620</v>
      </c>
      <c r="W174" s="14" t="s">
        <v>4447</v>
      </c>
      <c r="X174" s="14" t="s">
        <v>4010</v>
      </c>
      <c r="Y174" s="14" t="s">
        <v>4448</v>
      </c>
      <c r="Z174" s="14" t="s">
        <v>2048</v>
      </c>
      <c r="AA174" s="14" t="s">
        <v>2422</v>
      </c>
      <c r="AB174" s="14" t="s">
        <v>2049</v>
      </c>
      <c r="AC174" s="14" t="s">
        <v>2050</v>
      </c>
      <c r="AD174" s="14" t="s">
        <v>3834</v>
      </c>
      <c r="AE174" s="14" t="s">
        <v>3613</v>
      </c>
      <c r="AF174" s="14" t="s">
        <v>3614</v>
      </c>
      <c r="AG174" s="14" t="s">
        <v>200</v>
      </c>
      <c r="AH174" s="14" t="s">
        <v>3622</v>
      </c>
      <c r="AI174" s="14" t="s">
        <v>2132</v>
      </c>
      <c r="AJ174" s="14" t="s">
        <v>2133</v>
      </c>
      <c r="AK174" s="14" t="s">
        <v>2056</v>
      </c>
      <c r="AL174" s="14" t="s">
        <v>2055</v>
      </c>
      <c r="AM174" s="14" t="s">
        <v>2055</v>
      </c>
      <c r="AN174" s="14" t="s">
        <v>2068</v>
      </c>
      <c r="AO174" s="14" t="s">
        <v>2048</v>
      </c>
      <c r="AP174" s="14" t="s">
        <v>2048</v>
      </c>
      <c r="AQ174" s="14" t="s">
        <v>2048</v>
      </c>
      <c r="AR174" s="14" t="s">
        <v>2606</v>
      </c>
      <c r="AS174" s="14" t="s">
        <v>2048</v>
      </c>
      <c r="AT174" s="14" t="s">
        <v>2048</v>
      </c>
      <c r="AU174" s="14" t="s">
        <v>4449</v>
      </c>
      <c r="AV174" s="14" t="s">
        <v>4450</v>
      </c>
      <c r="AW174" s="14" t="s">
        <v>4451</v>
      </c>
      <c r="AX174" s="14" t="s">
        <v>2048</v>
      </c>
      <c r="AY174" s="14" t="s">
        <v>2610</v>
      </c>
      <c r="AZ174" s="14" t="s">
        <v>2611</v>
      </c>
      <c r="BA174" s="14" t="s">
        <v>2048</v>
      </c>
      <c r="BB174" s="14" t="s">
        <v>2048</v>
      </c>
      <c r="BC174" s="14" t="s">
        <v>119</v>
      </c>
      <c r="BD174" s="14" t="s">
        <v>368</v>
      </c>
      <c r="BE174" s="14" t="s">
        <v>2612</v>
      </c>
      <c r="BF174" s="14" t="s">
        <v>2048</v>
      </c>
      <c r="BG174" s="14" t="s">
        <v>2048</v>
      </c>
      <c r="BH174" s="14" t="s">
        <v>2433</v>
      </c>
      <c r="BI174" s="14" t="s">
        <v>2434</v>
      </c>
      <c r="BJ174" s="14" t="s">
        <v>2613</v>
      </c>
      <c r="BK174" s="14" t="s">
        <v>2614</v>
      </c>
      <c r="BL174" s="14" t="s">
        <v>2615</v>
      </c>
      <c r="BM174" s="14" t="s">
        <v>2287</v>
      </c>
      <c r="BN174" s="14" t="s">
        <v>2048</v>
      </c>
      <c r="BO174" s="14" t="s">
        <v>2048</v>
      </c>
      <c r="BP174" s="14" t="s">
        <v>2064</v>
      </c>
      <c r="BQ174" s="14" t="s">
        <v>72</v>
      </c>
      <c r="BR174" s="14" t="s">
        <v>72</v>
      </c>
      <c r="BS174" s="14" t="s">
        <v>2048</v>
      </c>
      <c r="BT174" s="14" t="s">
        <v>2617</v>
      </c>
      <c r="BU174" s="14" t="s">
        <v>2618</v>
      </c>
      <c r="BV174" s="14" t="s">
        <v>2418</v>
      </c>
      <c r="BW174" s="14" t="s">
        <v>2089</v>
      </c>
      <c r="BX174" s="14" t="s">
        <v>2048</v>
      </c>
      <c r="BY174" s="14" t="s">
        <v>2048</v>
      </c>
      <c r="BZ174" s="14" t="s">
        <v>2048</v>
      </c>
      <c r="CA174" s="14" t="s">
        <v>2048</v>
      </c>
      <c r="CB174" s="14" t="s">
        <v>72</v>
      </c>
      <c r="CC174" s="14" t="s">
        <v>2048</v>
      </c>
      <c r="CD174" s="14" t="s">
        <v>2048</v>
      </c>
      <c r="CE174" s="14" t="s">
        <v>2048</v>
      </c>
      <c r="CF174" s="14" t="s">
        <v>2048</v>
      </c>
      <c r="CG174" s="14" t="s">
        <v>2048</v>
      </c>
      <c r="CH174" s="14" t="s">
        <v>2048</v>
      </c>
      <c r="CI174" s="14" t="s">
        <v>2048</v>
      </c>
      <c r="CJ174" s="14" t="s">
        <v>2048</v>
      </c>
      <c r="CK174" s="14" t="s">
        <v>2066</v>
      </c>
      <c r="CL174" s="14" t="s">
        <v>4299</v>
      </c>
      <c r="CM174" s="14" t="s">
        <v>2048</v>
      </c>
      <c r="CN174" s="17"/>
      <c r="CO174" s="17">
        <v>44166</v>
      </c>
      <c r="CP174" s="17">
        <v>44166</v>
      </c>
      <c r="CR174" s="17">
        <v>45581</v>
      </c>
      <c r="CS174" s="19">
        <v>48</v>
      </c>
      <c r="CT174" s="19">
        <v>0</v>
      </c>
      <c r="CU174" s="19">
        <v>410.14</v>
      </c>
      <c r="CV174" s="19">
        <v>0</v>
      </c>
      <c r="CW174" s="19">
        <v>410.14</v>
      </c>
      <c r="CX174" s="19">
        <v>496.27</v>
      </c>
      <c r="CY174" s="19">
        <v>0</v>
      </c>
      <c r="CZ174" s="17"/>
      <c r="DA174" s="19">
        <v>0</v>
      </c>
      <c r="DB174" s="17"/>
      <c r="DC174" s="17"/>
      <c r="DD174" s="19">
        <v>0</v>
      </c>
      <c r="DE174" s="17"/>
      <c r="DF174" s="17"/>
      <c r="DG174" s="19">
        <v>100</v>
      </c>
      <c r="DH174" s="17"/>
      <c r="DI174" s="17">
        <v>46022</v>
      </c>
      <c r="DJ174" s="17"/>
      <c r="DK174" s="17"/>
      <c r="DL174" s="19">
        <v>0</v>
      </c>
      <c r="DM174" s="19">
        <v>0</v>
      </c>
    </row>
    <row r="175" spans="1:117" x14ac:dyDescent="0.2">
      <c r="A175" s="14" t="s">
        <v>3610</v>
      </c>
      <c r="B175" s="14" t="s">
        <v>276</v>
      </c>
      <c r="C175" s="14" t="s">
        <v>73</v>
      </c>
      <c r="D175" s="14" t="s">
        <v>200</v>
      </c>
      <c r="E175" s="14" t="s">
        <v>201</v>
      </c>
      <c r="F175" s="14" t="s">
        <v>76</v>
      </c>
      <c r="G175" s="17">
        <v>45627</v>
      </c>
      <c r="H175" s="14" t="s">
        <v>77</v>
      </c>
      <c r="I175" s="14" t="s">
        <v>78</v>
      </c>
      <c r="J175" s="14" t="s">
        <v>213</v>
      </c>
      <c r="K175" s="14" t="s">
        <v>237</v>
      </c>
      <c r="L175" s="14" t="s">
        <v>204</v>
      </c>
      <c r="M175" s="14" t="s">
        <v>205</v>
      </c>
      <c r="N175" s="16">
        <f>COUNTIF($M$3:M175, M175)</f>
        <v>8</v>
      </c>
      <c r="O175" s="16" t="str" cm="1">
        <f t="array" ref="O175">INDEX('[2]ALTA 20242025'!$B$2:$B$241, MATCH(1, ('[2]ALTA 20242025'!$I$2:$I$241=M175)*('[2]ALTA 20242025'!$J$2:$J$241=N175), 0))</f>
        <v>0199MWZ</v>
      </c>
      <c r="P175" s="16"/>
      <c r="Q175" s="16"/>
      <c r="R175" s="14" t="s">
        <v>2048</v>
      </c>
      <c r="S175" s="14" t="s">
        <v>2048</v>
      </c>
      <c r="T175" s="14" t="s">
        <v>2048</v>
      </c>
      <c r="U175" s="14" t="s">
        <v>2048</v>
      </c>
      <c r="V175" s="14" t="s">
        <v>3620</v>
      </c>
      <c r="W175" s="14" t="s">
        <v>4452</v>
      </c>
      <c r="X175" s="14" t="s">
        <v>3723</v>
      </c>
      <c r="Y175" s="14" t="s">
        <v>4453</v>
      </c>
      <c r="Z175" s="14" t="s">
        <v>2048</v>
      </c>
      <c r="AA175" s="14" t="s">
        <v>2422</v>
      </c>
      <c r="AB175" s="14" t="s">
        <v>2049</v>
      </c>
      <c r="AC175" s="14" t="s">
        <v>2050</v>
      </c>
      <c r="AD175" s="14" t="s">
        <v>3834</v>
      </c>
      <c r="AE175" s="14" t="s">
        <v>3613</v>
      </c>
      <c r="AF175" s="14" t="s">
        <v>3614</v>
      </c>
      <c r="AG175" s="14" t="s">
        <v>200</v>
      </c>
      <c r="AH175" s="14" t="s">
        <v>3622</v>
      </c>
      <c r="AI175" s="14" t="s">
        <v>2132</v>
      </c>
      <c r="AJ175" s="14" t="s">
        <v>2133</v>
      </c>
      <c r="AK175" s="14" t="s">
        <v>2055</v>
      </c>
      <c r="AL175" s="14" t="s">
        <v>2055</v>
      </c>
      <c r="AM175" s="14" t="s">
        <v>2055</v>
      </c>
      <c r="AN175" s="14" t="s">
        <v>2068</v>
      </c>
      <c r="AO175" s="14" t="s">
        <v>2048</v>
      </c>
      <c r="AP175" s="14" t="s">
        <v>2048</v>
      </c>
      <c r="AQ175" s="14" t="s">
        <v>2048</v>
      </c>
      <c r="AR175" s="14" t="s">
        <v>2374</v>
      </c>
      <c r="AS175" s="14" t="s">
        <v>3623</v>
      </c>
      <c r="AT175" s="14" t="s">
        <v>2135</v>
      </c>
      <c r="AU175" s="14" t="s">
        <v>4454</v>
      </c>
      <c r="AV175" s="14" t="s">
        <v>2060</v>
      </c>
      <c r="AW175" s="14" t="s">
        <v>2048</v>
      </c>
      <c r="AX175" s="14" t="s">
        <v>72</v>
      </c>
      <c r="AY175" s="14" t="s">
        <v>2376</v>
      </c>
      <c r="AZ175" s="14" t="s">
        <v>2377</v>
      </c>
      <c r="BA175" s="14" t="s">
        <v>2048</v>
      </c>
      <c r="BB175" s="14" t="s">
        <v>2048</v>
      </c>
      <c r="BC175" s="14" t="s">
        <v>204</v>
      </c>
      <c r="BD175" s="14" t="s">
        <v>230</v>
      </c>
      <c r="BE175" s="14" t="s">
        <v>2378</v>
      </c>
      <c r="BF175" s="14" t="s">
        <v>2048</v>
      </c>
      <c r="BG175" s="14" t="s">
        <v>2048</v>
      </c>
      <c r="BH175" s="14" t="s">
        <v>2379</v>
      </c>
      <c r="BI175" s="14" t="s">
        <v>2380</v>
      </c>
      <c r="BJ175" s="14" t="s">
        <v>2048</v>
      </c>
      <c r="BK175" s="14" t="s">
        <v>2048</v>
      </c>
      <c r="BL175" s="14" t="s">
        <v>2381</v>
      </c>
      <c r="BM175" s="14" t="s">
        <v>2382</v>
      </c>
      <c r="BN175" s="14" t="s">
        <v>2048</v>
      </c>
      <c r="BO175" s="14" t="s">
        <v>2048</v>
      </c>
      <c r="BP175" s="14" t="s">
        <v>2064</v>
      </c>
      <c r="BQ175" s="14" t="s">
        <v>72</v>
      </c>
      <c r="BR175" s="14" t="s">
        <v>72</v>
      </c>
      <c r="BS175" s="14" t="s">
        <v>2048</v>
      </c>
      <c r="BT175" s="14" t="s">
        <v>2048</v>
      </c>
      <c r="BU175" s="14" t="s">
        <v>2048</v>
      </c>
      <c r="BV175" s="14" t="s">
        <v>2331</v>
      </c>
      <c r="BW175" s="14" t="s">
        <v>2131</v>
      </c>
      <c r="BX175" s="14" t="s">
        <v>2048</v>
      </c>
      <c r="BY175" s="14" t="s">
        <v>2048</v>
      </c>
      <c r="BZ175" s="14" t="s">
        <v>2048</v>
      </c>
      <c r="CA175" s="14" t="s">
        <v>2048</v>
      </c>
      <c r="CB175" s="14" t="s">
        <v>72</v>
      </c>
      <c r="CC175" s="14" t="s">
        <v>2048</v>
      </c>
      <c r="CD175" s="14" t="s">
        <v>2048</v>
      </c>
      <c r="CE175" s="14" t="s">
        <v>2048</v>
      </c>
      <c r="CF175" s="14" t="s">
        <v>2048</v>
      </c>
      <c r="CG175" s="14" t="s">
        <v>2048</v>
      </c>
      <c r="CH175" s="14" t="s">
        <v>2048</v>
      </c>
      <c r="CI175" s="14" t="s">
        <v>2048</v>
      </c>
      <c r="CJ175" s="14" t="s">
        <v>2048</v>
      </c>
      <c r="CK175" s="14" t="s">
        <v>2068</v>
      </c>
      <c r="CL175" s="14" t="s">
        <v>2069</v>
      </c>
      <c r="CM175" s="14" t="s">
        <v>2048</v>
      </c>
      <c r="CN175" s="17"/>
      <c r="CO175" s="17">
        <v>44166</v>
      </c>
      <c r="CP175" s="17">
        <v>44166</v>
      </c>
      <c r="CR175" s="17">
        <v>45686</v>
      </c>
      <c r="CS175" s="19">
        <v>48</v>
      </c>
      <c r="CT175" s="19">
        <v>0</v>
      </c>
      <c r="CU175" s="19">
        <v>225.13</v>
      </c>
      <c r="CV175" s="19">
        <v>0</v>
      </c>
      <c r="CW175" s="19">
        <v>225.13</v>
      </c>
      <c r="CX175" s="19">
        <v>272.41000000000003</v>
      </c>
      <c r="CY175" s="19">
        <v>0</v>
      </c>
      <c r="CZ175" s="17"/>
      <c r="DA175" s="19">
        <v>0</v>
      </c>
      <c r="DB175" s="17"/>
      <c r="DC175" s="17"/>
      <c r="DD175" s="19">
        <v>0</v>
      </c>
      <c r="DE175" s="17"/>
      <c r="DF175" s="17"/>
      <c r="DG175" s="19">
        <v>100</v>
      </c>
      <c r="DH175" s="17"/>
      <c r="DI175" s="17">
        <v>46022</v>
      </c>
      <c r="DJ175" s="17"/>
      <c r="DK175" s="17"/>
      <c r="DL175" s="19">
        <v>0</v>
      </c>
      <c r="DM175" s="19">
        <v>0</v>
      </c>
    </row>
    <row r="176" spans="1:117" x14ac:dyDescent="0.2">
      <c r="A176" s="14" t="s">
        <v>3610</v>
      </c>
      <c r="B176" s="14" t="s">
        <v>315</v>
      </c>
      <c r="C176" s="14" t="s">
        <v>73</v>
      </c>
      <c r="D176" s="14" t="s">
        <v>200</v>
      </c>
      <c r="E176" s="14" t="s">
        <v>201</v>
      </c>
      <c r="F176" s="14" t="s">
        <v>76</v>
      </c>
      <c r="G176" s="17">
        <v>45627</v>
      </c>
      <c r="H176" s="14" t="s">
        <v>77</v>
      </c>
      <c r="I176" s="14" t="s">
        <v>78</v>
      </c>
      <c r="J176" s="14" t="s">
        <v>213</v>
      </c>
      <c r="K176" s="14" t="s">
        <v>237</v>
      </c>
      <c r="L176" s="14" t="s">
        <v>131</v>
      </c>
      <c r="M176" s="14" t="s">
        <v>132</v>
      </c>
      <c r="N176" s="16">
        <f>COUNTIF($M$3:M176, M176)</f>
        <v>19</v>
      </c>
      <c r="O176" s="16" t="str" cm="1">
        <f t="array" ref="O176">INDEX('[2]ALTA 20242025'!$B$2:$B$241, MATCH(1, ('[2]ALTA 20242025'!$I$2:$I$241=M176)*('[2]ALTA 20242025'!$J$2:$J$241=N176), 0))</f>
        <v>8658MWT</v>
      </c>
      <c r="P176" s="16"/>
      <c r="Q176" s="16"/>
      <c r="R176" s="14" t="s">
        <v>2048</v>
      </c>
      <c r="S176" s="14" t="s">
        <v>2048</v>
      </c>
      <c r="T176" s="14" t="s">
        <v>2048</v>
      </c>
      <c r="U176" s="14" t="s">
        <v>2048</v>
      </c>
      <c r="V176" s="14" t="s">
        <v>3620</v>
      </c>
      <c r="W176" s="14" t="s">
        <v>4455</v>
      </c>
      <c r="X176" s="14" t="s">
        <v>3764</v>
      </c>
      <c r="Y176" s="14" t="s">
        <v>4456</v>
      </c>
      <c r="Z176" s="14" t="s">
        <v>2048</v>
      </c>
      <c r="AA176" s="14" t="s">
        <v>2422</v>
      </c>
      <c r="AB176" s="14" t="s">
        <v>2049</v>
      </c>
      <c r="AC176" s="14" t="s">
        <v>2050</v>
      </c>
      <c r="AD176" s="14" t="s">
        <v>3725</v>
      </c>
      <c r="AE176" s="14" t="s">
        <v>3613</v>
      </c>
      <c r="AF176" s="14" t="s">
        <v>3614</v>
      </c>
      <c r="AG176" s="14" t="s">
        <v>200</v>
      </c>
      <c r="AH176" s="14" t="s">
        <v>3622</v>
      </c>
      <c r="AI176" s="14" t="s">
        <v>2442</v>
      </c>
      <c r="AJ176" s="14" t="s">
        <v>2443</v>
      </c>
      <c r="AK176" s="14" t="s">
        <v>2055</v>
      </c>
      <c r="AL176" s="14" t="s">
        <v>2055</v>
      </c>
      <c r="AM176" s="14" t="s">
        <v>2055</v>
      </c>
      <c r="AN176" s="14" t="s">
        <v>2068</v>
      </c>
      <c r="AO176" s="14" t="s">
        <v>2048</v>
      </c>
      <c r="AP176" s="14" t="s">
        <v>2048</v>
      </c>
      <c r="AQ176" s="14" t="s">
        <v>2048</v>
      </c>
      <c r="AR176" s="14" t="s">
        <v>2971</v>
      </c>
      <c r="AS176" s="14" t="s">
        <v>3623</v>
      </c>
      <c r="AT176" s="14" t="s">
        <v>2135</v>
      </c>
      <c r="AU176" s="14" t="s">
        <v>4457</v>
      </c>
      <c r="AV176" s="14" t="s">
        <v>2972</v>
      </c>
      <c r="AW176" s="14" t="s">
        <v>2973</v>
      </c>
      <c r="AX176" s="14" t="s">
        <v>2048</v>
      </c>
      <c r="AY176" s="14" t="s">
        <v>2448</v>
      </c>
      <c r="AZ176" s="14" t="s">
        <v>2449</v>
      </c>
      <c r="BA176" s="14" t="s">
        <v>2048</v>
      </c>
      <c r="BB176" s="14" t="s">
        <v>2048</v>
      </c>
      <c r="BC176" s="14" t="s">
        <v>131</v>
      </c>
      <c r="BD176" s="14" t="s">
        <v>316</v>
      </c>
      <c r="BE176" s="14" t="s">
        <v>2921</v>
      </c>
      <c r="BF176" s="14" t="s">
        <v>2048</v>
      </c>
      <c r="BG176" s="14" t="s">
        <v>2048</v>
      </c>
      <c r="BH176" s="14" t="s">
        <v>2048</v>
      </c>
      <c r="BI176" s="14" t="s">
        <v>2048</v>
      </c>
      <c r="BJ176" s="14" t="s">
        <v>2048</v>
      </c>
      <c r="BK176" s="14" t="s">
        <v>2048</v>
      </c>
      <c r="BL176" s="14" t="s">
        <v>2922</v>
      </c>
      <c r="BM176" s="14" t="s">
        <v>2455</v>
      </c>
      <c r="BN176" s="14" t="s">
        <v>2048</v>
      </c>
      <c r="BO176" s="14" t="s">
        <v>2048</v>
      </c>
      <c r="BP176" s="14" t="s">
        <v>2064</v>
      </c>
      <c r="BQ176" s="14" t="s">
        <v>72</v>
      </c>
      <c r="BR176" s="14" t="s">
        <v>72</v>
      </c>
      <c r="BS176" s="14" t="s">
        <v>2048</v>
      </c>
      <c r="BT176" s="14" t="s">
        <v>2457</v>
      </c>
      <c r="BU176" s="14" t="s">
        <v>2458</v>
      </c>
      <c r="BV176" s="14" t="s">
        <v>2331</v>
      </c>
      <c r="BW176" s="14" t="s">
        <v>2131</v>
      </c>
      <c r="BX176" s="14" t="s">
        <v>2048</v>
      </c>
      <c r="BY176" s="14" t="s">
        <v>2048</v>
      </c>
      <c r="BZ176" s="14" t="s">
        <v>2048</v>
      </c>
      <c r="CA176" s="14" t="s">
        <v>2048</v>
      </c>
      <c r="CB176" s="14" t="s">
        <v>72</v>
      </c>
      <c r="CC176" s="14" t="s">
        <v>2048</v>
      </c>
      <c r="CD176" s="14" t="s">
        <v>2048</v>
      </c>
      <c r="CE176" s="14" t="s">
        <v>2048</v>
      </c>
      <c r="CF176" s="14" t="s">
        <v>2048</v>
      </c>
      <c r="CG176" s="14" t="s">
        <v>2048</v>
      </c>
      <c r="CH176" s="14" t="s">
        <v>2048</v>
      </c>
      <c r="CI176" s="14" t="s">
        <v>2048</v>
      </c>
      <c r="CJ176" s="14" t="s">
        <v>2048</v>
      </c>
      <c r="CK176" s="14" t="s">
        <v>2068</v>
      </c>
      <c r="CL176" s="14" t="s">
        <v>2069</v>
      </c>
      <c r="CM176" s="14" t="s">
        <v>2048</v>
      </c>
      <c r="CN176" s="17"/>
      <c r="CO176" s="17">
        <v>44166</v>
      </c>
      <c r="CP176" s="17">
        <v>44166</v>
      </c>
      <c r="CR176" s="17">
        <v>45670</v>
      </c>
      <c r="CS176" s="19">
        <v>48</v>
      </c>
      <c r="CT176" s="19">
        <v>0</v>
      </c>
      <c r="CU176" s="19">
        <v>174.93</v>
      </c>
      <c r="CV176" s="19">
        <v>0</v>
      </c>
      <c r="CW176" s="19">
        <v>174.93</v>
      </c>
      <c r="CX176" s="19">
        <v>211.67</v>
      </c>
      <c r="CY176" s="19">
        <v>0</v>
      </c>
      <c r="CZ176" s="17"/>
      <c r="DA176" s="19">
        <v>0</v>
      </c>
      <c r="DB176" s="17"/>
      <c r="DC176" s="17"/>
      <c r="DD176" s="19">
        <v>0</v>
      </c>
      <c r="DE176" s="17"/>
      <c r="DF176" s="17"/>
      <c r="DG176" s="19">
        <v>100</v>
      </c>
      <c r="DH176" s="17"/>
      <c r="DI176" s="17">
        <v>45657</v>
      </c>
      <c r="DJ176" s="17"/>
      <c r="DK176" s="17"/>
      <c r="DL176" s="19">
        <v>0</v>
      </c>
      <c r="DM176" s="19">
        <v>0</v>
      </c>
    </row>
    <row r="177" spans="1:117" x14ac:dyDescent="0.2">
      <c r="A177" s="14" t="s">
        <v>3610</v>
      </c>
      <c r="B177" s="14" t="s">
        <v>282</v>
      </c>
      <c r="C177" s="14" t="s">
        <v>73</v>
      </c>
      <c r="D177" s="14" t="s">
        <v>200</v>
      </c>
      <c r="E177" s="14" t="s">
        <v>201</v>
      </c>
      <c r="F177" s="14" t="s">
        <v>76</v>
      </c>
      <c r="G177" s="17">
        <v>45627</v>
      </c>
      <c r="H177" s="14" t="s">
        <v>77</v>
      </c>
      <c r="I177" s="14" t="s">
        <v>78</v>
      </c>
      <c r="J177" s="14" t="s">
        <v>213</v>
      </c>
      <c r="K177" s="14" t="s">
        <v>237</v>
      </c>
      <c r="L177" s="14" t="s">
        <v>81</v>
      </c>
      <c r="M177" s="14" t="s">
        <v>82</v>
      </c>
      <c r="N177" s="16">
        <f>COUNTIF($M$3:M177, M177)</f>
        <v>14</v>
      </c>
      <c r="O177" s="16" t="str" cm="1">
        <f t="array" ref="O177">INDEX('[2]ALTA 20242025'!$B$2:$B$241, MATCH(1, ('[2]ALTA 20242025'!$I$2:$I$241=M177)*('[2]ALTA 20242025'!$J$2:$J$241=N177), 0))</f>
        <v>4000MWL</v>
      </c>
      <c r="P177" s="16"/>
      <c r="Q177" s="16"/>
      <c r="R177" s="14" t="s">
        <v>1521</v>
      </c>
      <c r="S177" s="14" t="s">
        <v>1522</v>
      </c>
      <c r="T177" s="14" t="s">
        <v>2048</v>
      </c>
      <c r="U177" s="14" t="s">
        <v>2048</v>
      </c>
      <c r="V177" s="14" t="s">
        <v>3620</v>
      </c>
      <c r="W177" s="14" t="s">
        <v>4458</v>
      </c>
      <c r="X177" s="14" t="s">
        <v>4459</v>
      </c>
      <c r="Y177" s="14" t="s">
        <v>4460</v>
      </c>
      <c r="Z177" s="14" t="s">
        <v>2048</v>
      </c>
      <c r="AA177" s="14" t="s">
        <v>2422</v>
      </c>
      <c r="AB177" s="14" t="s">
        <v>2049</v>
      </c>
      <c r="AC177" s="14" t="s">
        <v>2050</v>
      </c>
      <c r="AD177" s="14" t="s">
        <v>3725</v>
      </c>
      <c r="AE177" s="14" t="s">
        <v>3613</v>
      </c>
      <c r="AF177" s="14" t="s">
        <v>3614</v>
      </c>
      <c r="AG177" s="14" t="s">
        <v>200</v>
      </c>
      <c r="AH177" s="14" t="s">
        <v>3622</v>
      </c>
      <c r="AI177" s="14" t="s">
        <v>2411</v>
      </c>
      <c r="AJ177" s="14" t="s">
        <v>2412</v>
      </c>
      <c r="AK177" s="14" t="s">
        <v>2055</v>
      </c>
      <c r="AL177" s="14" t="s">
        <v>2055</v>
      </c>
      <c r="AM177" s="14" t="s">
        <v>2055</v>
      </c>
      <c r="AN177" s="14" t="s">
        <v>2068</v>
      </c>
      <c r="AO177" s="14" t="s">
        <v>2048</v>
      </c>
      <c r="AP177" s="14" t="s">
        <v>2048</v>
      </c>
      <c r="AQ177" s="14" t="s">
        <v>2048</v>
      </c>
      <c r="AR177" s="14" t="s">
        <v>2207</v>
      </c>
      <c r="AS177" s="14" t="s">
        <v>3623</v>
      </c>
      <c r="AT177" s="14" t="s">
        <v>2135</v>
      </c>
      <c r="AU177" s="14" t="s">
        <v>4461</v>
      </c>
      <c r="AV177" s="14" t="s">
        <v>2486</v>
      </c>
      <c r="AW177" s="14" t="s">
        <v>2487</v>
      </c>
      <c r="AX177" s="14" t="s">
        <v>2048</v>
      </c>
      <c r="AY177" s="14" t="s">
        <v>3154</v>
      </c>
      <c r="AZ177" s="14" t="s">
        <v>3155</v>
      </c>
      <c r="BA177" s="14" t="s">
        <v>3627</v>
      </c>
      <c r="BB177" s="14" t="s">
        <v>2048</v>
      </c>
      <c r="BC177" s="14" t="s">
        <v>81</v>
      </c>
      <c r="BD177" s="14" t="s">
        <v>88</v>
      </c>
      <c r="BE177" s="14" t="s">
        <v>2480</v>
      </c>
      <c r="BF177" s="14" t="s">
        <v>2048</v>
      </c>
      <c r="BG177" s="14" t="s">
        <v>2048</v>
      </c>
      <c r="BH177" s="14" t="s">
        <v>2271</v>
      </c>
      <c r="BI177" s="14" t="s">
        <v>2272</v>
      </c>
      <c r="BJ177" s="14" t="s">
        <v>2271</v>
      </c>
      <c r="BK177" s="14" t="s">
        <v>2272</v>
      </c>
      <c r="BL177" s="14" t="s">
        <v>2273</v>
      </c>
      <c r="BM177" s="14" t="s">
        <v>2218</v>
      </c>
      <c r="BN177" s="14" t="s">
        <v>2048</v>
      </c>
      <c r="BO177" s="14" t="s">
        <v>2048</v>
      </c>
      <c r="BP177" s="14" t="s">
        <v>2064</v>
      </c>
      <c r="BQ177" s="14" t="s">
        <v>72</v>
      </c>
      <c r="BR177" s="14" t="s">
        <v>72</v>
      </c>
      <c r="BS177" s="14" t="s">
        <v>2048</v>
      </c>
      <c r="BT177" s="14" t="s">
        <v>2219</v>
      </c>
      <c r="BU177" s="14" t="s">
        <v>2220</v>
      </c>
      <c r="BV177" s="14" t="s">
        <v>2331</v>
      </c>
      <c r="BW177" s="14" t="s">
        <v>2131</v>
      </c>
      <c r="BX177" s="14" t="s">
        <v>2048</v>
      </c>
      <c r="BY177" s="14" t="s">
        <v>2048</v>
      </c>
      <c r="BZ177" s="14" t="s">
        <v>2048</v>
      </c>
      <c r="CA177" s="14" t="s">
        <v>2048</v>
      </c>
      <c r="CB177" s="14" t="s">
        <v>72</v>
      </c>
      <c r="CC177" s="14" t="s">
        <v>2048</v>
      </c>
      <c r="CD177" s="14" t="s">
        <v>2048</v>
      </c>
      <c r="CE177" s="14" t="s">
        <v>2048</v>
      </c>
      <c r="CF177" s="14" t="s">
        <v>2048</v>
      </c>
      <c r="CG177" s="14" t="s">
        <v>2048</v>
      </c>
      <c r="CH177" s="14" t="s">
        <v>2048</v>
      </c>
      <c r="CI177" s="14" t="s">
        <v>2048</v>
      </c>
      <c r="CJ177" s="14" t="s">
        <v>2048</v>
      </c>
      <c r="CK177" s="14" t="s">
        <v>2068</v>
      </c>
      <c r="CL177" s="14" t="s">
        <v>2069</v>
      </c>
      <c r="CM177" s="14" t="s">
        <v>2048</v>
      </c>
      <c r="CN177" s="17">
        <v>44562</v>
      </c>
      <c r="CO177" s="17">
        <v>44166</v>
      </c>
      <c r="CP177" s="17">
        <v>44166</v>
      </c>
      <c r="CR177" s="17">
        <v>45673</v>
      </c>
      <c r="CS177" s="19">
        <v>48</v>
      </c>
      <c r="CT177" s="19">
        <v>0</v>
      </c>
      <c r="CU177" s="19">
        <v>174.93</v>
      </c>
      <c r="CV177" s="19">
        <v>0</v>
      </c>
      <c r="CW177" s="19">
        <v>174.93</v>
      </c>
      <c r="CX177" s="19">
        <v>211.67</v>
      </c>
      <c r="CY177" s="19">
        <v>0</v>
      </c>
      <c r="CZ177" s="17"/>
      <c r="DA177" s="20">
        <v>873932</v>
      </c>
      <c r="DB177" s="17">
        <v>45657</v>
      </c>
      <c r="DC177" s="17">
        <v>46339</v>
      </c>
      <c r="DD177" s="19">
        <v>0</v>
      </c>
      <c r="DE177" s="17"/>
      <c r="DF177" s="17"/>
      <c r="DG177" s="19">
        <v>100</v>
      </c>
      <c r="DH177" s="17"/>
      <c r="DI177" s="17">
        <v>45657</v>
      </c>
      <c r="DJ177" s="17"/>
      <c r="DK177" s="17"/>
      <c r="DL177" s="19">
        <v>0</v>
      </c>
      <c r="DM177" s="19">
        <v>0</v>
      </c>
    </row>
    <row r="178" spans="1:117" x14ac:dyDescent="0.2">
      <c r="A178" s="14" t="s">
        <v>3610</v>
      </c>
      <c r="B178" s="14" t="s">
        <v>287</v>
      </c>
      <c r="C178" s="14" t="s">
        <v>73</v>
      </c>
      <c r="D178" s="14" t="s">
        <v>200</v>
      </c>
      <c r="E178" s="14" t="s">
        <v>201</v>
      </c>
      <c r="F178" s="14" t="s">
        <v>76</v>
      </c>
      <c r="G178" s="17">
        <v>45627</v>
      </c>
      <c r="H178" s="14" t="s">
        <v>77</v>
      </c>
      <c r="I178" s="14" t="s">
        <v>78</v>
      </c>
      <c r="J178" s="14" t="s">
        <v>213</v>
      </c>
      <c r="K178" s="14" t="s">
        <v>237</v>
      </c>
      <c r="L178" s="14" t="s">
        <v>204</v>
      </c>
      <c r="M178" s="14" t="s">
        <v>205</v>
      </c>
      <c r="N178" s="16">
        <f>COUNTIF($M$3:M178, M178)</f>
        <v>9</v>
      </c>
      <c r="O178" s="16" t="str" cm="1">
        <f t="array" ref="O178">INDEX('[2]ALTA 20242025'!$B$2:$B$241, MATCH(1, ('[2]ALTA 20242025'!$I$2:$I$241=M178)*('[2]ALTA 20242025'!$J$2:$J$241=N178), 0))</f>
        <v>0210MWZ</v>
      </c>
      <c r="P178" s="16"/>
      <c r="Q178" s="16"/>
      <c r="R178" s="14" t="s">
        <v>2048</v>
      </c>
      <c r="S178" s="14" t="s">
        <v>2048</v>
      </c>
      <c r="T178" s="14" t="s">
        <v>2048</v>
      </c>
      <c r="U178" s="14" t="s">
        <v>2048</v>
      </c>
      <c r="V178" s="14" t="s">
        <v>3620</v>
      </c>
      <c r="W178" s="14" t="s">
        <v>4462</v>
      </c>
      <c r="X178" s="14" t="s">
        <v>3723</v>
      </c>
      <c r="Y178" s="14" t="s">
        <v>4463</v>
      </c>
      <c r="Z178" s="14" t="s">
        <v>2048</v>
      </c>
      <c r="AA178" s="14" t="s">
        <v>2422</v>
      </c>
      <c r="AB178" s="14" t="s">
        <v>2049</v>
      </c>
      <c r="AC178" s="14" t="s">
        <v>2050</v>
      </c>
      <c r="AD178" s="14" t="s">
        <v>3725</v>
      </c>
      <c r="AE178" s="14" t="s">
        <v>3613</v>
      </c>
      <c r="AF178" s="14" t="s">
        <v>3614</v>
      </c>
      <c r="AG178" s="14" t="s">
        <v>200</v>
      </c>
      <c r="AH178" s="14" t="s">
        <v>3622</v>
      </c>
      <c r="AI178" s="14" t="s">
        <v>2132</v>
      </c>
      <c r="AJ178" s="14" t="s">
        <v>2133</v>
      </c>
      <c r="AK178" s="14" t="s">
        <v>2055</v>
      </c>
      <c r="AL178" s="14" t="s">
        <v>2055</v>
      </c>
      <c r="AM178" s="14" t="s">
        <v>2055</v>
      </c>
      <c r="AN178" s="14" t="s">
        <v>2068</v>
      </c>
      <c r="AO178" s="14" t="s">
        <v>2048</v>
      </c>
      <c r="AP178" s="14" t="s">
        <v>2048</v>
      </c>
      <c r="AQ178" s="14" t="s">
        <v>2048</v>
      </c>
      <c r="AR178" s="14" t="s">
        <v>2374</v>
      </c>
      <c r="AS178" s="14" t="s">
        <v>3623</v>
      </c>
      <c r="AT178" s="14" t="s">
        <v>2135</v>
      </c>
      <c r="AU178" s="14" t="s">
        <v>4464</v>
      </c>
      <c r="AV178" s="14" t="s">
        <v>2723</v>
      </c>
      <c r="AW178" s="14" t="s">
        <v>2724</v>
      </c>
      <c r="AX178" s="14" t="s">
        <v>2048</v>
      </c>
      <c r="AY178" s="14" t="s">
        <v>2376</v>
      </c>
      <c r="AZ178" s="14" t="s">
        <v>2377</v>
      </c>
      <c r="BA178" s="14" t="s">
        <v>2048</v>
      </c>
      <c r="BB178" s="14" t="s">
        <v>2048</v>
      </c>
      <c r="BC178" s="14" t="s">
        <v>204</v>
      </c>
      <c r="BD178" s="14" t="s">
        <v>230</v>
      </c>
      <c r="BE178" s="14" t="s">
        <v>2378</v>
      </c>
      <c r="BF178" s="14" t="s">
        <v>2048</v>
      </c>
      <c r="BG178" s="14" t="s">
        <v>2048</v>
      </c>
      <c r="BH178" s="14" t="s">
        <v>2379</v>
      </c>
      <c r="BI178" s="14" t="s">
        <v>2380</v>
      </c>
      <c r="BJ178" s="14" t="s">
        <v>2048</v>
      </c>
      <c r="BK178" s="14" t="s">
        <v>2048</v>
      </c>
      <c r="BL178" s="14" t="s">
        <v>2381</v>
      </c>
      <c r="BM178" s="14" t="s">
        <v>2382</v>
      </c>
      <c r="BN178" s="14" t="s">
        <v>2048</v>
      </c>
      <c r="BO178" s="14" t="s">
        <v>2048</v>
      </c>
      <c r="BP178" s="14" t="s">
        <v>2064</v>
      </c>
      <c r="BQ178" s="14" t="s">
        <v>72</v>
      </c>
      <c r="BR178" s="14" t="s">
        <v>72</v>
      </c>
      <c r="BS178" s="14" t="s">
        <v>2048</v>
      </c>
      <c r="BT178" s="14" t="s">
        <v>2726</v>
      </c>
      <c r="BU178" s="14" t="s">
        <v>2720</v>
      </c>
      <c r="BV178" s="14" t="s">
        <v>2331</v>
      </c>
      <c r="BW178" s="14" t="s">
        <v>2131</v>
      </c>
      <c r="BX178" s="14" t="s">
        <v>2048</v>
      </c>
      <c r="BY178" s="14" t="s">
        <v>2048</v>
      </c>
      <c r="BZ178" s="14" t="s">
        <v>2048</v>
      </c>
      <c r="CA178" s="14" t="s">
        <v>2048</v>
      </c>
      <c r="CB178" s="14" t="s">
        <v>72</v>
      </c>
      <c r="CC178" s="14" t="s">
        <v>2048</v>
      </c>
      <c r="CD178" s="14" t="s">
        <v>2048</v>
      </c>
      <c r="CE178" s="14" t="s">
        <v>2048</v>
      </c>
      <c r="CF178" s="14" t="s">
        <v>2048</v>
      </c>
      <c r="CG178" s="14" t="s">
        <v>2048</v>
      </c>
      <c r="CH178" s="14" t="s">
        <v>2048</v>
      </c>
      <c r="CI178" s="14" t="s">
        <v>2048</v>
      </c>
      <c r="CJ178" s="14" t="s">
        <v>2048</v>
      </c>
      <c r="CK178" s="14" t="s">
        <v>2068</v>
      </c>
      <c r="CL178" s="14" t="s">
        <v>2069</v>
      </c>
      <c r="CM178" s="14" t="s">
        <v>2048</v>
      </c>
      <c r="CN178" s="17"/>
      <c r="CO178" s="17">
        <v>44166</v>
      </c>
      <c r="CP178" s="17">
        <v>44166</v>
      </c>
      <c r="CR178" s="17">
        <v>45687</v>
      </c>
      <c r="CS178" s="19">
        <v>48</v>
      </c>
      <c r="CT178" s="19">
        <v>0</v>
      </c>
      <c r="CU178" s="19">
        <v>174.93</v>
      </c>
      <c r="CV178" s="19">
        <v>0</v>
      </c>
      <c r="CW178" s="19">
        <v>174.93</v>
      </c>
      <c r="CX178" s="19">
        <v>211.67</v>
      </c>
      <c r="CY178" s="19">
        <v>0</v>
      </c>
      <c r="CZ178" s="17"/>
      <c r="DA178" s="20">
        <v>94911</v>
      </c>
      <c r="DB178" s="17">
        <v>45687</v>
      </c>
      <c r="DC178" s="17"/>
      <c r="DD178" s="19">
        <v>0</v>
      </c>
      <c r="DE178" s="17"/>
      <c r="DF178" s="17"/>
      <c r="DG178" s="19">
        <v>100</v>
      </c>
      <c r="DH178" s="17"/>
      <c r="DI178" s="17">
        <v>46022</v>
      </c>
      <c r="DJ178" s="17"/>
      <c r="DK178" s="17"/>
      <c r="DL178" s="19">
        <v>0</v>
      </c>
      <c r="DM178" s="19">
        <v>0</v>
      </c>
    </row>
    <row r="179" spans="1:117" x14ac:dyDescent="0.2">
      <c r="A179" s="14" t="s">
        <v>3610</v>
      </c>
      <c r="B179" s="14" t="s">
        <v>1329</v>
      </c>
      <c r="C179" s="14" t="s">
        <v>158</v>
      </c>
      <c r="D179" s="14" t="s">
        <v>159</v>
      </c>
      <c r="E179" s="14" t="s">
        <v>158</v>
      </c>
      <c r="F179" s="14" t="s">
        <v>171</v>
      </c>
      <c r="G179" s="17">
        <v>45630</v>
      </c>
      <c r="H179" s="14" t="s">
        <v>172</v>
      </c>
      <c r="I179" s="14" t="s">
        <v>78</v>
      </c>
      <c r="J179" s="14" t="s">
        <v>1330</v>
      </c>
      <c r="K179" s="14" t="s">
        <v>1331</v>
      </c>
      <c r="L179" s="14" t="s">
        <v>81</v>
      </c>
      <c r="M179" s="14" t="s">
        <v>82</v>
      </c>
      <c r="N179" s="16">
        <f>COUNTIF($M$3:M179, M179)</f>
        <v>15</v>
      </c>
      <c r="O179" s="16" t="str" cm="1">
        <f t="array" ref="O179">INDEX('[2]ALTA 20242025'!$B$2:$B$241, MATCH(1, ('[2]ALTA 20242025'!$I$2:$I$241=M179)*('[2]ALTA 20242025'!$J$2:$J$241=N179), 0))</f>
        <v>4004MWL</v>
      </c>
      <c r="P179" s="16"/>
      <c r="Q179" s="16"/>
      <c r="R179" s="14" t="s">
        <v>2048</v>
      </c>
      <c r="S179" s="14" t="s">
        <v>2048</v>
      </c>
      <c r="T179" s="14" t="s">
        <v>2048</v>
      </c>
      <c r="U179" s="14" t="s">
        <v>2048</v>
      </c>
      <c r="V179" s="14" t="s">
        <v>4465</v>
      </c>
      <c r="W179" s="14" t="s">
        <v>72</v>
      </c>
      <c r="X179" s="14" t="s">
        <v>72</v>
      </c>
      <c r="Y179" s="14" t="s">
        <v>2048</v>
      </c>
      <c r="Z179" s="14" t="s">
        <v>2048</v>
      </c>
      <c r="AA179" s="14" t="s">
        <v>2422</v>
      </c>
      <c r="AB179" s="14" t="s">
        <v>2049</v>
      </c>
      <c r="AC179" s="14" t="s">
        <v>2050</v>
      </c>
      <c r="AD179" s="14" t="s">
        <v>2048</v>
      </c>
      <c r="AE179" s="14" t="s">
        <v>2048</v>
      </c>
      <c r="AF179" s="14" t="s">
        <v>2048</v>
      </c>
      <c r="AG179" s="14" t="s">
        <v>2048</v>
      </c>
      <c r="AH179" s="14" t="s">
        <v>2048</v>
      </c>
      <c r="AI179" s="14" t="s">
        <v>2129</v>
      </c>
      <c r="AJ179" s="14" t="s">
        <v>2130</v>
      </c>
      <c r="AK179" s="14" t="s">
        <v>2055</v>
      </c>
      <c r="AL179" s="14" t="s">
        <v>2055</v>
      </c>
      <c r="AM179" s="14" t="s">
        <v>2055</v>
      </c>
      <c r="AN179" s="14" t="s">
        <v>2068</v>
      </c>
      <c r="AO179" s="14" t="s">
        <v>2048</v>
      </c>
      <c r="AP179" s="14" t="s">
        <v>2048</v>
      </c>
      <c r="AQ179" s="14" t="s">
        <v>2048</v>
      </c>
      <c r="AR179" s="14" t="s">
        <v>2048</v>
      </c>
      <c r="AS179" s="14" t="s">
        <v>3776</v>
      </c>
      <c r="AT179" s="14" t="s">
        <v>2208</v>
      </c>
      <c r="AU179" s="14" t="s">
        <v>2059</v>
      </c>
      <c r="AV179" s="14" t="s">
        <v>2060</v>
      </c>
      <c r="AW179" s="14" t="s">
        <v>2048</v>
      </c>
      <c r="AX179" s="14" t="s">
        <v>2048</v>
      </c>
      <c r="AY179" s="14" t="s">
        <v>2268</v>
      </c>
      <c r="AZ179" s="14" t="s">
        <v>2269</v>
      </c>
      <c r="BA179" s="14" t="s">
        <v>2048</v>
      </c>
      <c r="BB179" s="14" t="s">
        <v>2048</v>
      </c>
      <c r="BC179" s="14" t="s">
        <v>81</v>
      </c>
      <c r="BD179" s="14" t="s">
        <v>164</v>
      </c>
      <c r="BE179" s="14" t="s">
        <v>2769</v>
      </c>
      <c r="BF179" s="14" t="s">
        <v>2048</v>
      </c>
      <c r="BG179" s="14" t="s">
        <v>2048</v>
      </c>
      <c r="BH179" s="14" t="s">
        <v>2271</v>
      </c>
      <c r="BI179" s="14" t="s">
        <v>2272</v>
      </c>
      <c r="BJ179" s="14" t="s">
        <v>2271</v>
      </c>
      <c r="BK179" s="14" t="s">
        <v>2272</v>
      </c>
      <c r="BL179" s="14" t="s">
        <v>2273</v>
      </c>
      <c r="BM179" s="14" t="s">
        <v>2218</v>
      </c>
      <c r="BN179" s="14" t="s">
        <v>2048</v>
      </c>
      <c r="BO179" s="14" t="s">
        <v>2518</v>
      </c>
      <c r="BP179" s="14" t="s">
        <v>2064</v>
      </c>
      <c r="BQ179" s="14" t="s">
        <v>72</v>
      </c>
      <c r="BR179" s="14" t="s">
        <v>72</v>
      </c>
      <c r="BS179" s="14" t="s">
        <v>4466</v>
      </c>
      <c r="BT179" s="14" t="s">
        <v>2048</v>
      </c>
      <c r="BU179" s="14" t="s">
        <v>2048</v>
      </c>
      <c r="BV179" s="14" t="s">
        <v>2862</v>
      </c>
      <c r="BW179" s="14" t="s">
        <v>3680</v>
      </c>
      <c r="BX179" s="14" t="s">
        <v>2048</v>
      </c>
      <c r="BY179" s="14" t="s">
        <v>2048</v>
      </c>
      <c r="BZ179" s="14" t="s">
        <v>2048</v>
      </c>
      <c r="CA179" s="14" t="s">
        <v>2048</v>
      </c>
      <c r="CB179" s="14" t="s">
        <v>72</v>
      </c>
      <c r="CC179" s="14" t="s">
        <v>2048</v>
      </c>
      <c r="CD179" s="14" t="s">
        <v>2048</v>
      </c>
      <c r="CE179" s="14" t="s">
        <v>2048</v>
      </c>
      <c r="CF179" s="14" t="s">
        <v>2048</v>
      </c>
      <c r="CG179" s="14" t="s">
        <v>2048</v>
      </c>
      <c r="CH179" s="14" t="s">
        <v>2048</v>
      </c>
      <c r="CI179" s="14" t="s">
        <v>2048</v>
      </c>
      <c r="CJ179" s="14" t="s">
        <v>2048</v>
      </c>
      <c r="CK179" s="14" t="s">
        <v>2208</v>
      </c>
      <c r="CL179" s="14" t="s">
        <v>3681</v>
      </c>
      <c r="CM179" s="14" t="s">
        <v>2048</v>
      </c>
      <c r="CN179" s="17"/>
      <c r="CO179" s="17">
        <v>44520</v>
      </c>
      <c r="CP179" s="17">
        <v>44520</v>
      </c>
      <c r="CR179" s="17">
        <v>45630</v>
      </c>
      <c r="CS179" s="19">
        <v>0</v>
      </c>
      <c r="CT179" s="19">
        <v>0</v>
      </c>
      <c r="CU179" s="19">
        <v>0</v>
      </c>
      <c r="CV179" s="19">
        <v>0</v>
      </c>
      <c r="CW179" s="19">
        <v>0</v>
      </c>
      <c r="CX179" s="19">
        <v>0</v>
      </c>
      <c r="CY179" s="19">
        <v>0</v>
      </c>
      <c r="CZ179" s="17"/>
      <c r="DA179" s="19">
        <v>0</v>
      </c>
      <c r="DB179" s="17"/>
      <c r="DC179" s="17"/>
      <c r="DD179" s="19">
        <v>0</v>
      </c>
      <c r="DE179" s="17"/>
      <c r="DF179" s="17"/>
      <c r="DG179" s="19">
        <v>100</v>
      </c>
      <c r="DH179" s="17"/>
      <c r="DI179" s="17">
        <v>2958465</v>
      </c>
      <c r="DJ179" s="17"/>
      <c r="DK179" s="17"/>
      <c r="DL179" s="19">
        <v>0</v>
      </c>
      <c r="DM179" s="19">
        <v>0</v>
      </c>
    </row>
    <row r="180" spans="1:117" x14ac:dyDescent="0.2">
      <c r="A180" s="14" t="s">
        <v>3610</v>
      </c>
      <c r="B180" s="14" t="s">
        <v>865</v>
      </c>
      <c r="C180" s="14" t="s">
        <v>866</v>
      </c>
      <c r="D180" s="14" t="s">
        <v>74</v>
      </c>
      <c r="E180" s="14" t="s">
        <v>75</v>
      </c>
      <c r="F180" s="14" t="s">
        <v>76</v>
      </c>
      <c r="G180" s="17">
        <v>45631</v>
      </c>
      <c r="H180" s="14" t="s">
        <v>77</v>
      </c>
      <c r="I180" s="14" t="s">
        <v>78</v>
      </c>
      <c r="J180" s="14" t="s">
        <v>79</v>
      </c>
      <c r="K180" s="14" t="s">
        <v>867</v>
      </c>
      <c r="L180" s="14" t="s">
        <v>336</v>
      </c>
      <c r="M180" s="14" t="s">
        <v>337</v>
      </c>
      <c r="N180" s="16">
        <f>COUNTIF($M$3:M180, M180)</f>
        <v>10</v>
      </c>
      <c r="O180" s="16" t="str" cm="1">
        <f t="array" ref="O180">INDEX('[2]ALTA 20242025'!$B$2:$B$241, MATCH(1, ('[2]ALTA 20242025'!$I$2:$I$241=M180)*('[2]ALTA 20242025'!$J$2:$J$241=N180), 0))</f>
        <v>6444MWV</v>
      </c>
      <c r="P180" s="16"/>
      <c r="Q180" s="16"/>
      <c r="R180" s="14" t="s">
        <v>2048</v>
      </c>
      <c r="S180" s="14" t="s">
        <v>2048</v>
      </c>
      <c r="T180" s="14" t="s">
        <v>2048</v>
      </c>
      <c r="U180" s="14" t="s">
        <v>2048</v>
      </c>
      <c r="V180" s="14" t="s">
        <v>72</v>
      </c>
      <c r="W180" s="14" t="s">
        <v>72</v>
      </c>
      <c r="X180" s="14" t="s">
        <v>4467</v>
      </c>
      <c r="Y180" s="14" t="s">
        <v>2048</v>
      </c>
      <c r="Z180" s="14" t="s">
        <v>2048</v>
      </c>
      <c r="AA180" s="14" t="s">
        <v>2422</v>
      </c>
      <c r="AB180" s="14" t="s">
        <v>2049</v>
      </c>
      <c r="AC180" s="14" t="s">
        <v>2050</v>
      </c>
      <c r="AD180" s="14" t="s">
        <v>2048</v>
      </c>
      <c r="AE180" s="14" t="s">
        <v>2048</v>
      </c>
      <c r="AF180" s="14" t="s">
        <v>2048</v>
      </c>
      <c r="AG180" s="14" t="s">
        <v>2048</v>
      </c>
      <c r="AH180" s="14" t="s">
        <v>2048</v>
      </c>
      <c r="AI180" s="14" t="s">
        <v>2129</v>
      </c>
      <c r="AJ180" s="14" t="s">
        <v>2130</v>
      </c>
      <c r="AK180" s="14" t="s">
        <v>2055</v>
      </c>
      <c r="AL180" s="14" t="s">
        <v>2055</v>
      </c>
      <c r="AM180" s="14" t="s">
        <v>2055</v>
      </c>
      <c r="AN180" s="14" t="s">
        <v>2068</v>
      </c>
      <c r="AO180" s="14" t="s">
        <v>2048</v>
      </c>
      <c r="AP180" s="14" t="s">
        <v>2048</v>
      </c>
      <c r="AQ180" s="14" t="s">
        <v>2048</v>
      </c>
      <c r="AR180" s="14" t="s">
        <v>2048</v>
      </c>
      <c r="AS180" s="14" t="s">
        <v>2048</v>
      </c>
      <c r="AT180" s="14" t="s">
        <v>2048</v>
      </c>
      <c r="AU180" s="14" t="s">
        <v>2059</v>
      </c>
      <c r="AV180" s="14" t="s">
        <v>2060</v>
      </c>
      <c r="AW180" s="14" t="s">
        <v>2048</v>
      </c>
      <c r="AX180" s="14" t="s">
        <v>2048</v>
      </c>
      <c r="AY180" s="14" t="s">
        <v>3122</v>
      </c>
      <c r="AZ180" s="14" t="s">
        <v>3123</v>
      </c>
      <c r="BA180" s="14" t="s">
        <v>2048</v>
      </c>
      <c r="BB180" s="14" t="s">
        <v>2048</v>
      </c>
      <c r="BC180" s="14" t="s">
        <v>336</v>
      </c>
      <c r="BD180" s="14" t="s">
        <v>351</v>
      </c>
      <c r="BE180" s="14" t="s">
        <v>3124</v>
      </c>
      <c r="BF180" s="14" t="s">
        <v>2048</v>
      </c>
      <c r="BG180" s="14" t="s">
        <v>2048</v>
      </c>
      <c r="BH180" s="14" t="s">
        <v>2048</v>
      </c>
      <c r="BI180" s="14" t="s">
        <v>2048</v>
      </c>
      <c r="BJ180" s="14" t="s">
        <v>3125</v>
      </c>
      <c r="BK180" s="14" t="s">
        <v>3126</v>
      </c>
      <c r="BL180" s="14" t="s">
        <v>3127</v>
      </c>
      <c r="BM180" s="14" t="s">
        <v>2287</v>
      </c>
      <c r="BN180" s="14" t="s">
        <v>2048</v>
      </c>
      <c r="BO180" s="14" t="s">
        <v>2048</v>
      </c>
      <c r="BP180" s="14" t="s">
        <v>2064</v>
      </c>
      <c r="BQ180" s="14" t="s">
        <v>72</v>
      </c>
      <c r="BR180" s="14" t="s">
        <v>72</v>
      </c>
      <c r="BS180" s="14" t="s">
        <v>2048</v>
      </c>
      <c r="BT180" s="14" t="s">
        <v>2048</v>
      </c>
      <c r="BU180" s="14" t="s">
        <v>2048</v>
      </c>
      <c r="BV180" s="14" t="s">
        <v>2418</v>
      </c>
      <c r="BW180" s="14" t="s">
        <v>2089</v>
      </c>
      <c r="BX180" s="14" t="s">
        <v>2048</v>
      </c>
      <c r="BY180" s="14" t="s">
        <v>2048</v>
      </c>
      <c r="BZ180" s="14" t="s">
        <v>2048</v>
      </c>
      <c r="CA180" s="14" t="s">
        <v>2048</v>
      </c>
      <c r="CB180" s="14" t="s">
        <v>72</v>
      </c>
      <c r="CC180" s="14" t="s">
        <v>2048</v>
      </c>
      <c r="CD180" s="14" t="s">
        <v>2048</v>
      </c>
      <c r="CE180" s="14" t="s">
        <v>2048</v>
      </c>
      <c r="CF180" s="14" t="s">
        <v>2048</v>
      </c>
      <c r="CG180" s="14" t="s">
        <v>2048</v>
      </c>
      <c r="CH180" s="14" t="s">
        <v>2048</v>
      </c>
      <c r="CI180" s="14" t="s">
        <v>2048</v>
      </c>
      <c r="CJ180" s="14" t="s">
        <v>2048</v>
      </c>
      <c r="CK180" s="14" t="s">
        <v>2057</v>
      </c>
      <c r="CL180" s="14" t="s">
        <v>2090</v>
      </c>
      <c r="CM180" s="14" t="s">
        <v>2048</v>
      </c>
      <c r="CN180" s="17"/>
      <c r="CO180" s="17">
        <v>45541</v>
      </c>
      <c r="CP180" s="17">
        <v>45541</v>
      </c>
      <c r="CR180" s="17">
        <v>45631</v>
      </c>
      <c r="CS180" s="19">
        <v>0</v>
      </c>
      <c r="CT180" s="19">
        <v>0</v>
      </c>
      <c r="CU180" s="19">
        <v>379</v>
      </c>
      <c r="CV180" s="19">
        <v>0</v>
      </c>
      <c r="CW180" s="19">
        <v>379</v>
      </c>
      <c r="CX180" s="19">
        <v>458.59</v>
      </c>
      <c r="CY180" s="19">
        <v>0</v>
      </c>
      <c r="CZ180" s="17"/>
      <c r="DA180" s="19">
        <v>0</v>
      </c>
      <c r="DB180" s="17"/>
      <c r="DC180" s="17"/>
      <c r="DD180" s="19">
        <v>0</v>
      </c>
      <c r="DE180" s="17"/>
      <c r="DF180" s="17"/>
      <c r="DG180" s="19">
        <v>100</v>
      </c>
      <c r="DH180" s="17"/>
      <c r="DI180" s="17">
        <v>46022</v>
      </c>
      <c r="DJ180" s="17"/>
      <c r="DK180" s="17"/>
      <c r="DL180" s="19">
        <v>0</v>
      </c>
      <c r="DM180" s="19">
        <v>0</v>
      </c>
    </row>
    <row r="181" spans="1:117" x14ac:dyDescent="0.2">
      <c r="A181" s="14" t="s">
        <v>3610</v>
      </c>
      <c r="B181" s="14" t="s">
        <v>872</v>
      </c>
      <c r="C181" s="14" t="s">
        <v>866</v>
      </c>
      <c r="D181" s="14" t="s">
        <v>74</v>
      </c>
      <c r="E181" s="14" t="s">
        <v>75</v>
      </c>
      <c r="F181" s="14" t="s">
        <v>76</v>
      </c>
      <c r="G181" s="17">
        <v>45631</v>
      </c>
      <c r="H181" s="14" t="s">
        <v>77</v>
      </c>
      <c r="I181" s="14" t="s">
        <v>78</v>
      </c>
      <c r="J181" s="14" t="s">
        <v>79</v>
      </c>
      <c r="K181" s="14" t="s">
        <v>867</v>
      </c>
      <c r="L181" s="14" t="s">
        <v>336</v>
      </c>
      <c r="M181" s="14" t="s">
        <v>337</v>
      </c>
      <c r="N181" s="16">
        <f>COUNTIF($M$3:M181, M181)</f>
        <v>11</v>
      </c>
      <c r="O181" s="16" t="str" cm="1">
        <f t="array" ref="O181">INDEX('[2]ALTA 20242025'!$B$2:$B$241, MATCH(1, ('[2]ALTA 20242025'!$I$2:$I$241=M181)*('[2]ALTA 20242025'!$J$2:$J$241=N181), 0))</f>
        <v>6558MWV</v>
      </c>
      <c r="P181" s="16"/>
      <c r="Q181" s="16"/>
      <c r="R181" s="14" t="s">
        <v>2048</v>
      </c>
      <c r="S181" s="14" t="s">
        <v>2048</v>
      </c>
      <c r="T181" s="14" t="s">
        <v>2048</v>
      </c>
      <c r="U181" s="14" t="s">
        <v>2048</v>
      </c>
      <c r="V181" s="14" t="s">
        <v>72</v>
      </c>
      <c r="W181" s="14" t="s">
        <v>72</v>
      </c>
      <c r="X181" s="14" t="s">
        <v>4468</v>
      </c>
      <c r="Y181" s="14" t="s">
        <v>2048</v>
      </c>
      <c r="Z181" s="14" t="s">
        <v>2048</v>
      </c>
      <c r="AA181" s="14" t="s">
        <v>2422</v>
      </c>
      <c r="AB181" s="14" t="s">
        <v>2049</v>
      </c>
      <c r="AC181" s="14" t="s">
        <v>2050</v>
      </c>
      <c r="AD181" s="14" t="s">
        <v>2048</v>
      </c>
      <c r="AE181" s="14" t="s">
        <v>2048</v>
      </c>
      <c r="AF181" s="14" t="s">
        <v>2048</v>
      </c>
      <c r="AG181" s="14" t="s">
        <v>2048</v>
      </c>
      <c r="AH181" s="14" t="s">
        <v>2048</v>
      </c>
      <c r="AI181" s="14" t="s">
        <v>2129</v>
      </c>
      <c r="AJ181" s="14" t="s">
        <v>2130</v>
      </c>
      <c r="AK181" s="14" t="s">
        <v>2055</v>
      </c>
      <c r="AL181" s="14" t="s">
        <v>2055</v>
      </c>
      <c r="AM181" s="14" t="s">
        <v>2055</v>
      </c>
      <c r="AN181" s="14" t="s">
        <v>2068</v>
      </c>
      <c r="AO181" s="14" t="s">
        <v>2048</v>
      </c>
      <c r="AP181" s="14" t="s">
        <v>2048</v>
      </c>
      <c r="AQ181" s="14" t="s">
        <v>2048</v>
      </c>
      <c r="AR181" s="14" t="s">
        <v>2048</v>
      </c>
      <c r="AS181" s="14" t="s">
        <v>2048</v>
      </c>
      <c r="AT181" s="14" t="s">
        <v>2048</v>
      </c>
      <c r="AU181" s="14" t="s">
        <v>2059</v>
      </c>
      <c r="AV181" s="14" t="s">
        <v>2060</v>
      </c>
      <c r="AW181" s="14" t="s">
        <v>2048</v>
      </c>
      <c r="AX181" s="14" t="s">
        <v>2048</v>
      </c>
      <c r="AY181" s="14" t="s">
        <v>3122</v>
      </c>
      <c r="AZ181" s="14" t="s">
        <v>3123</v>
      </c>
      <c r="BA181" s="14" t="s">
        <v>2048</v>
      </c>
      <c r="BB181" s="14" t="s">
        <v>2048</v>
      </c>
      <c r="BC181" s="14" t="s">
        <v>336</v>
      </c>
      <c r="BD181" s="14" t="s">
        <v>351</v>
      </c>
      <c r="BE181" s="14" t="s">
        <v>3124</v>
      </c>
      <c r="BF181" s="14" t="s">
        <v>2048</v>
      </c>
      <c r="BG181" s="14" t="s">
        <v>2048</v>
      </c>
      <c r="BH181" s="14" t="s">
        <v>2048</v>
      </c>
      <c r="BI181" s="14" t="s">
        <v>2048</v>
      </c>
      <c r="BJ181" s="14" t="s">
        <v>3125</v>
      </c>
      <c r="BK181" s="14" t="s">
        <v>3126</v>
      </c>
      <c r="BL181" s="14" t="s">
        <v>3127</v>
      </c>
      <c r="BM181" s="14" t="s">
        <v>2287</v>
      </c>
      <c r="BN181" s="14" t="s">
        <v>2048</v>
      </c>
      <c r="BO181" s="14" t="s">
        <v>2048</v>
      </c>
      <c r="BP181" s="14" t="s">
        <v>2064</v>
      </c>
      <c r="BQ181" s="14" t="s">
        <v>72</v>
      </c>
      <c r="BR181" s="14" t="s">
        <v>72</v>
      </c>
      <c r="BS181" s="14" t="s">
        <v>2048</v>
      </c>
      <c r="BT181" s="14" t="s">
        <v>2048</v>
      </c>
      <c r="BU181" s="14" t="s">
        <v>2048</v>
      </c>
      <c r="BV181" s="14" t="s">
        <v>2418</v>
      </c>
      <c r="BW181" s="14" t="s">
        <v>2089</v>
      </c>
      <c r="BX181" s="14" t="s">
        <v>2048</v>
      </c>
      <c r="BY181" s="14" t="s">
        <v>2048</v>
      </c>
      <c r="BZ181" s="14" t="s">
        <v>2048</v>
      </c>
      <c r="CA181" s="14" t="s">
        <v>2048</v>
      </c>
      <c r="CB181" s="14" t="s">
        <v>72</v>
      </c>
      <c r="CC181" s="14" t="s">
        <v>2048</v>
      </c>
      <c r="CD181" s="14" t="s">
        <v>2048</v>
      </c>
      <c r="CE181" s="14" t="s">
        <v>2048</v>
      </c>
      <c r="CF181" s="14" t="s">
        <v>2048</v>
      </c>
      <c r="CG181" s="14" t="s">
        <v>2048</v>
      </c>
      <c r="CH181" s="14" t="s">
        <v>2048</v>
      </c>
      <c r="CI181" s="14" t="s">
        <v>2048</v>
      </c>
      <c r="CJ181" s="14" t="s">
        <v>2048</v>
      </c>
      <c r="CK181" s="14" t="s">
        <v>2057</v>
      </c>
      <c r="CL181" s="14" t="s">
        <v>2090</v>
      </c>
      <c r="CM181" s="14" t="s">
        <v>2048</v>
      </c>
      <c r="CN181" s="17"/>
      <c r="CO181" s="17">
        <v>45541</v>
      </c>
      <c r="CP181" s="17">
        <v>45541</v>
      </c>
      <c r="CR181" s="17"/>
      <c r="CS181" s="19">
        <v>0</v>
      </c>
      <c r="CT181" s="19">
        <v>0</v>
      </c>
      <c r="CU181" s="19">
        <v>379</v>
      </c>
      <c r="CV181" s="19">
        <v>0</v>
      </c>
      <c r="CW181" s="19">
        <v>379</v>
      </c>
      <c r="CX181" s="19">
        <v>458.59</v>
      </c>
      <c r="CY181" s="19">
        <v>0</v>
      </c>
      <c r="CZ181" s="17"/>
      <c r="DA181" s="19">
        <v>0</v>
      </c>
      <c r="DB181" s="17"/>
      <c r="DC181" s="17"/>
      <c r="DD181" s="19">
        <v>0</v>
      </c>
      <c r="DE181" s="17"/>
      <c r="DF181" s="17"/>
      <c r="DG181" s="19">
        <v>100</v>
      </c>
      <c r="DH181" s="17"/>
      <c r="DI181" s="17">
        <v>46022</v>
      </c>
      <c r="DJ181" s="17"/>
      <c r="DK181" s="17"/>
      <c r="DL181" s="19">
        <v>0</v>
      </c>
      <c r="DM181" s="19">
        <v>0</v>
      </c>
    </row>
    <row r="182" spans="1:117" x14ac:dyDescent="0.2">
      <c r="A182" s="14" t="s">
        <v>3610</v>
      </c>
      <c r="B182" s="14" t="s">
        <v>487</v>
      </c>
      <c r="C182" s="14" t="s">
        <v>73</v>
      </c>
      <c r="D182" s="14" t="s">
        <v>200</v>
      </c>
      <c r="E182" s="14" t="s">
        <v>201</v>
      </c>
      <c r="F182" s="14" t="s">
        <v>76</v>
      </c>
      <c r="G182" s="17">
        <v>45637</v>
      </c>
      <c r="H182" s="14" t="s">
        <v>77</v>
      </c>
      <c r="I182" s="14" t="s">
        <v>78</v>
      </c>
      <c r="J182" s="14" t="s">
        <v>467</v>
      </c>
      <c r="K182" s="14" t="s">
        <v>476</v>
      </c>
      <c r="L182" s="14" t="s">
        <v>190</v>
      </c>
      <c r="M182" s="14" t="s">
        <v>191</v>
      </c>
      <c r="N182" s="16">
        <f>COUNTIF($M$3:M182, M182)</f>
        <v>7</v>
      </c>
      <c r="O182" s="16" t="str" cm="1">
        <f t="array" ref="O182">INDEX('[2]ALTA 20242025'!$B$2:$B$241, MATCH(1, ('[2]ALTA 20242025'!$I$2:$I$241=M182)*('[2]ALTA 20242025'!$J$2:$J$241=N182), 0))</f>
        <v>6128MWV</v>
      </c>
      <c r="P182" s="16"/>
      <c r="Q182" s="16"/>
      <c r="R182" s="14" t="s">
        <v>2048</v>
      </c>
      <c r="S182" s="14" t="s">
        <v>2048</v>
      </c>
      <c r="T182" s="14" t="s">
        <v>2048</v>
      </c>
      <c r="U182" s="14" t="s">
        <v>2048</v>
      </c>
      <c r="V182" s="14" t="s">
        <v>3620</v>
      </c>
      <c r="W182" s="14" t="s">
        <v>4469</v>
      </c>
      <c r="X182" s="14" t="s">
        <v>4194</v>
      </c>
      <c r="Y182" s="14" t="s">
        <v>4470</v>
      </c>
      <c r="Z182" s="14" t="s">
        <v>2048</v>
      </c>
      <c r="AA182" s="14" t="s">
        <v>2422</v>
      </c>
      <c r="AB182" s="14" t="s">
        <v>2049</v>
      </c>
      <c r="AC182" s="14" t="s">
        <v>2050</v>
      </c>
      <c r="AD182" s="14" t="s">
        <v>3788</v>
      </c>
      <c r="AE182" s="14" t="s">
        <v>3613</v>
      </c>
      <c r="AF182" s="14" t="s">
        <v>3614</v>
      </c>
      <c r="AG182" s="14" t="s">
        <v>200</v>
      </c>
      <c r="AH182" s="14" t="s">
        <v>3622</v>
      </c>
      <c r="AI182" s="14" t="s">
        <v>2132</v>
      </c>
      <c r="AJ182" s="14" t="s">
        <v>2133</v>
      </c>
      <c r="AK182" s="14" t="s">
        <v>2055</v>
      </c>
      <c r="AL182" s="14" t="s">
        <v>2055</v>
      </c>
      <c r="AM182" s="14" t="s">
        <v>2055</v>
      </c>
      <c r="AN182" s="14" t="s">
        <v>2068</v>
      </c>
      <c r="AO182" s="14" t="s">
        <v>2048</v>
      </c>
      <c r="AP182" s="14" t="s">
        <v>2048</v>
      </c>
      <c r="AQ182" s="14" t="s">
        <v>4196</v>
      </c>
      <c r="AR182" s="14" t="s">
        <v>2207</v>
      </c>
      <c r="AS182" s="14" t="s">
        <v>3623</v>
      </c>
      <c r="AT182" s="14" t="s">
        <v>2135</v>
      </c>
      <c r="AU182" s="14" t="s">
        <v>4471</v>
      </c>
      <c r="AV182" s="14" t="s">
        <v>4472</v>
      </c>
      <c r="AW182" s="14" t="s">
        <v>4473</v>
      </c>
      <c r="AX182" s="14" t="s">
        <v>72</v>
      </c>
      <c r="AY182" s="14" t="s">
        <v>2430</v>
      </c>
      <c r="AZ182" s="14" t="s">
        <v>2431</v>
      </c>
      <c r="BA182" s="14" t="s">
        <v>3627</v>
      </c>
      <c r="BB182" s="14" t="s">
        <v>2048</v>
      </c>
      <c r="BC182" s="14" t="s">
        <v>190</v>
      </c>
      <c r="BD182" s="14" t="s">
        <v>194</v>
      </c>
      <c r="BE182" s="14" t="s">
        <v>2759</v>
      </c>
      <c r="BF182" s="14" t="s">
        <v>2048</v>
      </c>
      <c r="BG182" s="14" t="s">
        <v>2048</v>
      </c>
      <c r="BH182" s="14" t="s">
        <v>2433</v>
      </c>
      <c r="BI182" s="14" t="s">
        <v>2434</v>
      </c>
      <c r="BJ182" s="14" t="s">
        <v>2048</v>
      </c>
      <c r="BK182" s="14" t="s">
        <v>2048</v>
      </c>
      <c r="BL182" s="14" t="s">
        <v>2437</v>
      </c>
      <c r="BM182" s="14" t="s">
        <v>2287</v>
      </c>
      <c r="BN182" s="14" t="s">
        <v>2048</v>
      </c>
      <c r="BO182" s="14" t="s">
        <v>2048</v>
      </c>
      <c r="BP182" s="14" t="s">
        <v>2064</v>
      </c>
      <c r="BQ182" s="14" t="s">
        <v>72</v>
      </c>
      <c r="BR182" s="14" t="s">
        <v>72</v>
      </c>
      <c r="BS182" s="14" t="s">
        <v>2048</v>
      </c>
      <c r="BT182" s="14" t="s">
        <v>2986</v>
      </c>
      <c r="BU182" s="14" t="s">
        <v>2987</v>
      </c>
      <c r="BV182" s="14" t="s">
        <v>2418</v>
      </c>
      <c r="BW182" s="14" t="s">
        <v>2089</v>
      </c>
      <c r="BX182" s="14" t="s">
        <v>2048</v>
      </c>
      <c r="BY182" s="14" t="s">
        <v>2048</v>
      </c>
      <c r="BZ182" s="14" t="s">
        <v>2048</v>
      </c>
      <c r="CA182" s="14" t="s">
        <v>2048</v>
      </c>
      <c r="CB182" s="14" t="s">
        <v>72</v>
      </c>
      <c r="CC182" s="14" t="s">
        <v>2048</v>
      </c>
      <c r="CD182" s="14" t="s">
        <v>2048</v>
      </c>
      <c r="CE182" s="14" t="s">
        <v>2048</v>
      </c>
      <c r="CF182" s="14" t="s">
        <v>2048</v>
      </c>
      <c r="CG182" s="14" t="s">
        <v>2048</v>
      </c>
      <c r="CH182" s="14" t="s">
        <v>2048</v>
      </c>
      <c r="CI182" s="14" t="s">
        <v>2048</v>
      </c>
      <c r="CJ182" s="14" t="s">
        <v>2048</v>
      </c>
      <c r="CK182" s="14" t="s">
        <v>2066</v>
      </c>
      <c r="CL182" s="14" t="s">
        <v>4299</v>
      </c>
      <c r="CM182" s="14" t="s">
        <v>2048</v>
      </c>
      <c r="CN182" s="17"/>
      <c r="CO182" s="17">
        <v>44176</v>
      </c>
      <c r="CP182" s="17">
        <v>44176</v>
      </c>
      <c r="CR182" s="17">
        <v>45838</v>
      </c>
      <c r="CS182" s="19">
        <v>48</v>
      </c>
      <c r="CT182" s="19">
        <v>0</v>
      </c>
      <c r="CU182" s="19">
        <v>389.25</v>
      </c>
      <c r="CV182" s="19">
        <v>0</v>
      </c>
      <c r="CW182" s="19">
        <v>389.25</v>
      </c>
      <c r="CX182" s="19">
        <v>470.99</v>
      </c>
      <c r="CY182" s="19">
        <v>0</v>
      </c>
      <c r="CZ182" s="17"/>
      <c r="DA182" s="20">
        <v>128465</v>
      </c>
      <c r="DB182" s="17">
        <v>45808</v>
      </c>
      <c r="DC182" s="17"/>
      <c r="DD182" s="19">
        <v>0</v>
      </c>
      <c r="DE182" s="17"/>
      <c r="DF182" s="17"/>
      <c r="DG182" s="19">
        <v>100</v>
      </c>
      <c r="DH182" s="17"/>
      <c r="DI182" s="17">
        <v>46022</v>
      </c>
      <c r="DJ182" s="17"/>
      <c r="DK182" s="17"/>
      <c r="DL182" s="19">
        <v>0</v>
      </c>
      <c r="DM182" s="19">
        <v>0</v>
      </c>
    </row>
    <row r="183" spans="1:117" x14ac:dyDescent="0.2">
      <c r="A183" s="14" t="s">
        <v>3610</v>
      </c>
      <c r="B183" s="14" t="s">
        <v>1299</v>
      </c>
      <c r="C183" s="14" t="s">
        <v>73</v>
      </c>
      <c r="D183" s="14" t="s">
        <v>200</v>
      </c>
      <c r="E183" s="14" t="s">
        <v>201</v>
      </c>
      <c r="F183" s="14" t="s">
        <v>160</v>
      </c>
      <c r="G183" s="17">
        <v>45693</v>
      </c>
      <c r="H183" s="14" t="s">
        <v>161</v>
      </c>
      <c r="I183" s="14" t="s">
        <v>78</v>
      </c>
      <c r="J183" s="14" t="s">
        <v>79</v>
      </c>
      <c r="K183" s="14" t="s">
        <v>924</v>
      </c>
      <c r="L183" s="14" t="s">
        <v>584</v>
      </c>
      <c r="M183" s="14" t="s">
        <v>585</v>
      </c>
      <c r="N183" s="16">
        <f>COUNTIF($M$3:M183, M183)</f>
        <v>11</v>
      </c>
      <c r="O183" s="16" t="e" cm="1">
        <f t="array" ref="O183">INDEX('[2]ALTA 20242025'!$B$2:$B$241, MATCH(1, ('[2]ALTA 20242025'!$I$2:$I$241=M183)*('[2]ALTA 20242025'!$J$2:$J$241=N183), 0))</f>
        <v>#N/A</v>
      </c>
      <c r="P183" s="16"/>
      <c r="Q183" s="16"/>
      <c r="R183" s="14" t="s">
        <v>2048</v>
      </c>
      <c r="S183" s="14" t="s">
        <v>2048</v>
      </c>
      <c r="T183" s="14" t="s">
        <v>2048</v>
      </c>
      <c r="U183" s="14" t="s">
        <v>2048</v>
      </c>
      <c r="V183" s="14" t="s">
        <v>4192</v>
      </c>
      <c r="W183" s="14" t="s">
        <v>4474</v>
      </c>
      <c r="X183" s="14" t="s">
        <v>3818</v>
      </c>
      <c r="Y183" s="14" t="s">
        <v>4475</v>
      </c>
      <c r="Z183" s="14" t="s">
        <v>2048</v>
      </c>
      <c r="AA183" s="14" t="s">
        <v>2422</v>
      </c>
      <c r="AB183" s="14" t="s">
        <v>2049</v>
      </c>
      <c r="AC183" s="14" t="s">
        <v>2050</v>
      </c>
      <c r="AD183" s="14" t="s">
        <v>3690</v>
      </c>
      <c r="AE183" s="14" t="s">
        <v>3613</v>
      </c>
      <c r="AF183" s="14" t="s">
        <v>3614</v>
      </c>
      <c r="AG183" s="14" t="s">
        <v>2048</v>
      </c>
      <c r="AH183" s="14" t="s">
        <v>2048</v>
      </c>
      <c r="AI183" s="14" t="s">
        <v>159</v>
      </c>
      <c r="AJ183" s="14" t="s">
        <v>585</v>
      </c>
      <c r="AK183" s="14" t="s">
        <v>2055</v>
      </c>
      <c r="AL183" s="14" t="s">
        <v>2055</v>
      </c>
      <c r="AM183" s="14" t="s">
        <v>2055</v>
      </c>
      <c r="AN183" s="14" t="s">
        <v>2068</v>
      </c>
      <c r="AO183" s="14" t="s">
        <v>2048</v>
      </c>
      <c r="AP183" s="14" t="s">
        <v>2048</v>
      </c>
      <c r="AQ183" s="14" t="s">
        <v>4196</v>
      </c>
      <c r="AR183" s="14" t="s">
        <v>3131</v>
      </c>
      <c r="AS183" s="14" t="s">
        <v>3776</v>
      </c>
      <c r="AT183" s="14" t="s">
        <v>3191</v>
      </c>
      <c r="AU183" s="14" t="s">
        <v>4476</v>
      </c>
      <c r="AV183" s="14" t="s">
        <v>4477</v>
      </c>
      <c r="AW183" s="14" t="s">
        <v>4478</v>
      </c>
      <c r="AX183" s="14" t="s">
        <v>2048</v>
      </c>
      <c r="AY183" s="14" t="s">
        <v>2740</v>
      </c>
      <c r="AZ183" s="14" t="s">
        <v>2741</v>
      </c>
      <c r="BA183" s="14" t="s">
        <v>3627</v>
      </c>
      <c r="BB183" s="14" t="s">
        <v>2048</v>
      </c>
      <c r="BC183" s="14" t="s">
        <v>584</v>
      </c>
      <c r="BD183" s="14" t="s">
        <v>1300</v>
      </c>
      <c r="BE183" s="14" t="s">
        <v>4479</v>
      </c>
      <c r="BF183" s="14" t="s">
        <v>2048</v>
      </c>
      <c r="BG183" s="14" t="s">
        <v>2048</v>
      </c>
      <c r="BH183" s="14" t="s">
        <v>2743</v>
      </c>
      <c r="BI183" s="14" t="s">
        <v>2744</v>
      </c>
      <c r="BJ183" s="14" t="s">
        <v>4480</v>
      </c>
      <c r="BK183" s="14" t="s">
        <v>4481</v>
      </c>
      <c r="BL183" s="14" t="s">
        <v>2747</v>
      </c>
      <c r="BM183" s="14" t="s">
        <v>2287</v>
      </c>
      <c r="BN183" s="14" t="s">
        <v>2048</v>
      </c>
      <c r="BO183" s="14" t="s">
        <v>2048</v>
      </c>
      <c r="BP183" s="14" t="s">
        <v>2064</v>
      </c>
      <c r="BQ183" s="14" t="s">
        <v>72</v>
      </c>
      <c r="BR183" s="14" t="s">
        <v>72</v>
      </c>
      <c r="BS183" s="14" t="s">
        <v>4482</v>
      </c>
      <c r="BT183" s="14" t="s">
        <v>2761</v>
      </c>
      <c r="BU183" s="14" t="s">
        <v>2762</v>
      </c>
      <c r="BV183" s="14" t="s">
        <v>2418</v>
      </c>
      <c r="BW183" s="14" t="s">
        <v>2089</v>
      </c>
      <c r="BX183" s="14" t="s">
        <v>2048</v>
      </c>
      <c r="BY183" s="14" t="s">
        <v>2048</v>
      </c>
      <c r="BZ183" s="14" t="s">
        <v>2048</v>
      </c>
      <c r="CA183" s="14" t="s">
        <v>2048</v>
      </c>
      <c r="CB183" s="14" t="s">
        <v>72</v>
      </c>
      <c r="CC183" s="14" t="s">
        <v>2048</v>
      </c>
      <c r="CD183" s="14" t="s">
        <v>2048</v>
      </c>
      <c r="CE183" s="14" t="s">
        <v>2048</v>
      </c>
      <c r="CF183" s="14" t="s">
        <v>2048</v>
      </c>
      <c r="CG183" s="14" t="s">
        <v>2048</v>
      </c>
      <c r="CH183" s="14" t="s">
        <v>2048</v>
      </c>
      <c r="CI183" s="14" t="s">
        <v>2048</v>
      </c>
      <c r="CJ183" s="14" t="s">
        <v>2048</v>
      </c>
      <c r="CK183" s="14" t="s">
        <v>2057</v>
      </c>
      <c r="CL183" s="14" t="s">
        <v>2090</v>
      </c>
      <c r="CM183" s="14" t="s">
        <v>2048</v>
      </c>
      <c r="CN183" s="17"/>
      <c r="CO183" s="17">
        <v>44232</v>
      </c>
      <c r="CP183" s="17">
        <v>44232</v>
      </c>
      <c r="CR183" s="17">
        <v>45070</v>
      </c>
      <c r="CS183" s="19">
        <v>48</v>
      </c>
      <c r="CT183" s="19">
        <v>0</v>
      </c>
      <c r="CU183" s="19">
        <v>271.07</v>
      </c>
      <c r="CV183" s="19">
        <v>0</v>
      </c>
      <c r="CW183" s="19">
        <v>271.07</v>
      </c>
      <c r="CX183" s="19">
        <v>327.99</v>
      </c>
      <c r="CY183" s="19">
        <v>0</v>
      </c>
      <c r="CZ183" s="17"/>
      <c r="DA183" s="20">
        <v>28130</v>
      </c>
      <c r="DB183" s="17">
        <v>45107</v>
      </c>
      <c r="DC183" s="17"/>
      <c r="DD183" s="19">
        <v>0</v>
      </c>
      <c r="DE183" s="17"/>
      <c r="DF183" s="17"/>
      <c r="DG183" s="19">
        <v>50</v>
      </c>
      <c r="DH183" s="17"/>
      <c r="DI183" s="17">
        <v>46022</v>
      </c>
      <c r="DJ183" s="17"/>
      <c r="DK183" s="17"/>
      <c r="DL183" s="19">
        <v>0</v>
      </c>
      <c r="DM183" s="19">
        <v>0</v>
      </c>
    </row>
    <row r="184" spans="1:117" x14ac:dyDescent="0.2">
      <c r="A184" s="14" t="s">
        <v>3610</v>
      </c>
      <c r="B184" s="14" t="s">
        <v>1302</v>
      </c>
      <c r="C184" s="14" t="s">
        <v>73</v>
      </c>
      <c r="D184" s="14" t="s">
        <v>200</v>
      </c>
      <c r="E184" s="14" t="s">
        <v>201</v>
      </c>
      <c r="F184" s="14" t="s">
        <v>160</v>
      </c>
      <c r="G184" s="17">
        <v>45693</v>
      </c>
      <c r="H184" s="14" t="s">
        <v>161</v>
      </c>
      <c r="I184" s="14" t="s">
        <v>78</v>
      </c>
      <c r="J184" s="14" t="s">
        <v>79</v>
      </c>
      <c r="K184" s="14" t="s">
        <v>924</v>
      </c>
      <c r="L184" s="14" t="s">
        <v>584</v>
      </c>
      <c r="M184" s="14" t="s">
        <v>585</v>
      </c>
      <c r="N184" s="16">
        <f>COUNTIF($M$3:M184, M184)</f>
        <v>12</v>
      </c>
      <c r="O184" s="16" t="e" cm="1">
        <f t="array" ref="O184">INDEX('[2]ALTA 20242025'!$B$2:$B$241, MATCH(1, ('[2]ALTA 20242025'!$I$2:$I$241=M184)*('[2]ALTA 20242025'!$J$2:$J$241=N184), 0))</f>
        <v>#N/A</v>
      </c>
      <c r="P184" s="16"/>
      <c r="Q184" s="16"/>
      <c r="R184" s="14" t="s">
        <v>2048</v>
      </c>
      <c r="S184" s="14" t="s">
        <v>2048</v>
      </c>
      <c r="T184" s="14" t="s">
        <v>2048</v>
      </c>
      <c r="U184" s="14" t="s">
        <v>2048</v>
      </c>
      <c r="V184" s="14" t="s">
        <v>4192</v>
      </c>
      <c r="W184" s="14" t="s">
        <v>4483</v>
      </c>
      <c r="X184" s="14" t="s">
        <v>3818</v>
      </c>
      <c r="Y184" s="14" t="s">
        <v>4484</v>
      </c>
      <c r="Z184" s="14" t="s">
        <v>2048</v>
      </c>
      <c r="AA184" s="14" t="s">
        <v>2422</v>
      </c>
      <c r="AB184" s="14" t="s">
        <v>2049</v>
      </c>
      <c r="AC184" s="14" t="s">
        <v>2050</v>
      </c>
      <c r="AD184" s="14" t="s">
        <v>3834</v>
      </c>
      <c r="AE184" s="14" t="s">
        <v>3613</v>
      </c>
      <c r="AF184" s="14" t="s">
        <v>3614</v>
      </c>
      <c r="AG184" s="14" t="s">
        <v>2048</v>
      </c>
      <c r="AH184" s="14" t="s">
        <v>2048</v>
      </c>
      <c r="AI184" s="14" t="s">
        <v>2506</v>
      </c>
      <c r="AJ184" s="14" t="s">
        <v>2507</v>
      </c>
      <c r="AK184" s="14" t="s">
        <v>2055</v>
      </c>
      <c r="AL184" s="14" t="s">
        <v>2055</v>
      </c>
      <c r="AM184" s="14" t="s">
        <v>2055</v>
      </c>
      <c r="AN184" s="14" t="s">
        <v>2068</v>
      </c>
      <c r="AO184" s="14" t="s">
        <v>2048</v>
      </c>
      <c r="AP184" s="14" t="s">
        <v>2048</v>
      </c>
      <c r="AQ184" s="14" t="s">
        <v>2148</v>
      </c>
      <c r="AR184" s="14" t="s">
        <v>4485</v>
      </c>
      <c r="AS184" s="14" t="s">
        <v>3776</v>
      </c>
      <c r="AT184" s="14" t="s">
        <v>3191</v>
      </c>
      <c r="AU184" s="14" t="s">
        <v>4486</v>
      </c>
      <c r="AV184" s="14" t="s">
        <v>4487</v>
      </c>
      <c r="AW184" s="14" t="s">
        <v>4488</v>
      </c>
      <c r="AX184" s="14" t="s">
        <v>2048</v>
      </c>
      <c r="AY184" s="14" t="s">
        <v>4489</v>
      </c>
      <c r="AZ184" s="14" t="s">
        <v>4490</v>
      </c>
      <c r="BA184" s="14" t="s">
        <v>2048</v>
      </c>
      <c r="BB184" s="14" t="s">
        <v>2048</v>
      </c>
      <c r="BC184" s="14" t="s">
        <v>584</v>
      </c>
      <c r="BD184" s="14" t="s">
        <v>1303</v>
      </c>
      <c r="BE184" s="14" t="s">
        <v>4491</v>
      </c>
      <c r="BF184" s="14" t="s">
        <v>2048</v>
      </c>
      <c r="BG184" s="14" t="s">
        <v>2048</v>
      </c>
      <c r="BH184" s="14" t="s">
        <v>2710</v>
      </c>
      <c r="BI184" s="14" t="s">
        <v>2711</v>
      </c>
      <c r="BJ184" s="14" t="s">
        <v>2048</v>
      </c>
      <c r="BK184" s="14" t="s">
        <v>2048</v>
      </c>
      <c r="BL184" s="14" t="s">
        <v>2517</v>
      </c>
      <c r="BM184" s="14" t="s">
        <v>2218</v>
      </c>
      <c r="BN184" s="14" t="s">
        <v>2048</v>
      </c>
      <c r="BO184" s="14" t="s">
        <v>2048</v>
      </c>
      <c r="BP184" s="14" t="s">
        <v>2064</v>
      </c>
      <c r="BQ184" s="14" t="s">
        <v>72</v>
      </c>
      <c r="BR184" s="14" t="s">
        <v>72</v>
      </c>
      <c r="BS184" s="14" t="s">
        <v>2048</v>
      </c>
      <c r="BT184" s="14" t="s">
        <v>4041</v>
      </c>
      <c r="BU184" s="14" t="s">
        <v>4042</v>
      </c>
      <c r="BV184" s="14" t="s">
        <v>2418</v>
      </c>
      <c r="BW184" s="14" t="s">
        <v>2089</v>
      </c>
      <c r="BX184" s="14" t="s">
        <v>2048</v>
      </c>
      <c r="BY184" s="14" t="s">
        <v>2048</v>
      </c>
      <c r="BZ184" s="14" t="s">
        <v>2048</v>
      </c>
      <c r="CA184" s="14" t="s">
        <v>2048</v>
      </c>
      <c r="CB184" s="14" t="s">
        <v>72</v>
      </c>
      <c r="CC184" s="14" t="s">
        <v>2048</v>
      </c>
      <c r="CD184" s="14" t="s">
        <v>2048</v>
      </c>
      <c r="CE184" s="14" t="s">
        <v>2048</v>
      </c>
      <c r="CF184" s="14" t="s">
        <v>2048</v>
      </c>
      <c r="CG184" s="14" t="s">
        <v>2048</v>
      </c>
      <c r="CH184" s="14" t="s">
        <v>2048</v>
      </c>
      <c r="CI184" s="14" t="s">
        <v>2048</v>
      </c>
      <c r="CJ184" s="14" t="s">
        <v>2048</v>
      </c>
      <c r="CK184" s="14" t="s">
        <v>2057</v>
      </c>
      <c r="CL184" s="14" t="s">
        <v>2090</v>
      </c>
      <c r="CM184" s="14" t="s">
        <v>2048</v>
      </c>
      <c r="CN184" s="17"/>
      <c r="CO184" s="17">
        <v>44232</v>
      </c>
      <c r="CP184" s="17">
        <v>44232</v>
      </c>
      <c r="CR184" s="17">
        <v>44533</v>
      </c>
      <c r="CS184" s="19">
        <v>48</v>
      </c>
      <c r="CT184" s="19">
        <v>0</v>
      </c>
      <c r="CU184" s="19">
        <v>273.11</v>
      </c>
      <c r="CV184" s="19">
        <v>0</v>
      </c>
      <c r="CW184" s="19">
        <v>273.11</v>
      </c>
      <c r="CX184" s="19">
        <v>330.46</v>
      </c>
      <c r="CY184" s="19">
        <v>0</v>
      </c>
      <c r="CZ184" s="17"/>
      <c r="DA184" s="19">
        <v>0</v>
      </c>
      <c r="DB184" s="17"/>
      <c r="DC184" s="17"/>
      <c r="DD184" s="19">
        <v>0</v>
      </c>
      <c r="DE184" s="17"/>
      <c r="DF184" s="17"/>
      <c r="DG184" s="19">
        <v>100</v>
      </c>
      <c r="DH184" s="17"/>
      <c r="DI184" s="17">
        <v>46022</v>
      </c>
      <c r="DJ184" s="17"/>
      <c r="DK184" s="17"/>
      <c r="DL184" s="19">
        <v>0</v>
      </c>
      <c r="DM184" s="19">
        <v>0</v>
      </c>
    </row>
    <row r="185" spans="1:117" x14ac:dyDescent="0.2">
      <c r="A185" s="14" t="s">
        <v>3610</v>
      </c>
      <c r="B185" s="14" t="s">
        <v>499</v>
      </c>
      <c r="C185" s="14" t="s">
        <v>73</v>
      </c>
      <c r="D185" s="14" t="s">
        <v>200</v>
      </c>
      <c r="E185" s="14" t="s">
        <v>201</v>
      </c>
      <c r="F185" s="14" t="s">
        <v>76</v>
      </c>
      <c r="G185" s="17">
        <v>45637</v>
      </c>
      <c r="H185" s="14" t="s">
        <v>77</v>
      </c>
      <c r="I185" s="14" t="s">
        <v>78</v>
      </c>
      <c r="J185" s="14" t="s">
        <v>467</v>
      </c>
      <c r="K185" s="14" t="s">
        <v>500</v>
      </c>
      <c r="L185" s="14" t="s">
        <v>119</v>
      </c>
      <c r="M185" s="14" t="s">
        <v>120</v>
      </c>
      <c r="N185" s="16">
        <f>COUNTIF($M$3:M185, M185)</f>
        <v>20</v>
      </c>
      <c r="O185" s="16" t="str" cm="1">
        <f t="array" ref="O185">INDEX('[2]ALTA 20242025'!$B$2:$B$241, MATCH(1, ('[2]ALTA 20242025'!$I$2:$I$241=M185)*('[2]ALTA 20242025'!$J$2:$J$241=N185), 0))</f>
        <v>6089MWV</v>
      </c>
      <c r="P185" s="16"/>
      <c r="Q185" s="16"/>
      <c r="R185" s="14" t="s">
        <v>2048</v>
      </c>
      <c r="S185" s="14" t="s">
        <v>2048</v>
      </c>
      <c r="T185" s="14" t="s">
        <v>2048</v>
      </c>
      <c r="U185" s="14" t="s">
        <v>2048</v>
      </c>
      <c r="V185" s="14" t="s">
        <v>3620</v>
      </c>
      <c r="W185" s="14" t="s">
        <v>4492</v>
      </c>
      <c r="X185" s="14" t="s">
        <v>4010</v>
      </c>
      <c r="Y185" s="14" t="s">
        <v>4493</v>
      </c>
      <c r="Z185" s="14" t="s">
        <v>2048</v>
      </c>
      <c r="AA185" s="14" t="s">
        <v>2422</v>
      </c>
      <c r="AB185" s="14" t="s">
        <v>2049</v>
      </c>
      <c r="AC185" s="14" t="s">
        <v>2050</v>
      </c>
      <c r="AD185" s="14" t="s">
        <v>3725</v>
      </c>
      <c r="AE185" s="14" t="s">
        <v>3613</v>
      </c>
      <c r="AF185" s="14" t="s">
        <v>3614</v>
      </c>
      <c r="AG185" s="14" t="s">
        <v>200</v>
      </c>
      <c r="AH185" s="14" t="s">
        <v>3622</v>
      </c>
      <c r="AI185" s="14" t="s">
        <v>2132</v>
      </c>
      <c r="AJ185" s="14" t="s">
        <v>2133</v>
      </c>
      <c r="AK185" s="14" t="s">
        <v>2055</v>
      </c>
      <c r="AL185" s="14" t="s">
        <v>2055</v>
      </c>
      <c r="AM185" s="14" t="s">
        <v>2055</v>
      </c>
      <c r="AN185" s="14" t="s">
        <v>2068</v>
      </c>
      <c r="AO185" s="14" t="s">
        <v>2048</v>
      </c>
      <c r="AP185" s="14" t="s">
        <v>2048</v>
      </c>
      <c r="AQ185" s="14" t="s">
        <v>2048</v>
      </c>
      <c r="AR185" s="14" t="s">
        <v>2374</v>
      </c>
      <c r="AS185" s="14" t="s">
        <v>3623</v>
      </c>
      <c r="AT185" s="14" t="s">
        <v>2135</v>
      </c>
      <c r="AU185" s="14" t="s">
        <v>4494</v>
      </c>
      <c r="AV185" s="14" t="s">
        <v>2060</v>
      </c>
      <c r="AW185" s="14" t="s">
        <v>2048</v>
      </c>
      <c r="AX185" s="14" t="s">
        <v>72</v>
      </c>
      <c r="AY185" s="14" t="s">
        <v>2376</v>
      </c>
      <c r="AZ185" s="14" t="s">
        <v>2377</v>
      </c>
      <c r="BA185" s="14" t="s">
        <v>2048</v>
      </c>
      <c r="BB185" s="14" t="s">
        <v>2048</v>
      </c>
      <c r="BC185" s="14" t="s">
        <v>119</v>
      </c>
      <c r="BD185" s="14" t="s">
        <v>501</v>
      </c>
      <c r="BE185" s="14" t="s">
        <v>2621</v>
      </c>
      <c r="BF185" s="14" t="s">
        <v>2048</v>
      </c>
      <c r="BG185" s="14" t="s">
        <v>2048</v>
      </c>
      <c r="BH185" s="14" t="s">
        <v>2379</v>
      </c>
      <c r="BI185" s="14" t="s">
        <v>2622</v>
      </c>
      <c r="BJ185" s="14" t="s">
        <v>2048</v>
      </c>
      <c r="BK185" s="14" t="s">
        <v>2048</v>
      </c>
      <c r="BL185" s="14" t="s">
        <v>2381</v>
      </c>
      <c r="BM185" s="14" t="s">
        <v>2382</v>
      </c>
      <c r="BN185" s="14" t="s">
        <v>2048</v>
      </c>
      <c r="BO185" s="14" t="s">
        <v>2048</v>
      </c>
      <c r="BP185" s="14" t="s">
        <v>2064</v>
      </c>
      <c r="BQ185" s="14" t="s">
        <v>72</v>
      </c>
      <c r="BR185" s="14" t="s">
        <v>72</v>
      </c>
      <c r="BS185" s="14" t="s">
        <v>2048</v>
      </c>
      <c r="BT185" s="14" t="s">
        <v>2048</v>
      </c>
      <c r="BU185" s="14" t="s">
        <v>2048</v>
      </c>
      <c r="BV185" s="14" t="s">
        <v>2331</v>
      </c>
      <c r="BW185" s="14" t="s">
        <v>2131</v>
      </c>
      <c r="BX185" s="14" t="s">
        <v>2048</v>
      </c>
      <c r="BY185" s="14" t="s">
        <v>2048</v>
      </c>
      <c r="BZ185" s="14" t="s">
        <v>2048</v>
      </c>
      <c r="CA185" s="14" t="s">
        <v>2048</v>
      </c>
      <c r="CB185" s="14" t="s">
        <v>72</v>
      </c>
      <c r="CC185" s="14" t="s">
        <v>2048</v>
      </c>
      <c r="CD185" s="14" t="s">
        <v>2048</v>
      </c>
      <c r="CE185" s="14" t="s">
        <v>2048</v>
      </c>
      <c r="CF185" s="14" t="s">
        <v>2048</v>
      </c>
      <c r="CG185" s="14" t="s">
        <v>2048</v>
      </c>
      <c r="CH185" s="14" t="s">
        <v>2048</v>
      </c>
      <c r="CI185" s="14" t="s">
        <v>2048</v>
      </c>
      <c r="CJ185" s="14" t="s">
        <v>2048</v>
      </c>
      <c r="CK185" s="14" t="s">
        <v>2129</v>
      </c>
      <c r="CL185" s="14" t="s">
        <v>4399</v>
      </c>
      <c r="CM185" s="14" t="s">
        <v>2048</v>
      </c>
      <c r="CN185" s="17"/>
      <c r="CO185" s="17">
        <v>44176</v>
      </c>
      <c r="CP185" s="17">
        <v>44176</v>
      </c>
      <c r="CR185" s="17">
        <v>45806</v>
      </c>
      <c r="CS185" s="19">
        <v>48</v>
      </c>
      <c r="CT185" s="19">
        <v>0</v>
      </c>
      <c r="CU185" s="19">
        <v>345.5</v>
      </c>
      <c r="CV185" s="19">
        <v>0</v>
      </c>
      <c r="CW185" s="19">
        <v>345.5</v>
      </c>
      <c r="CX185" s="19">
        <v>418.06</v>
      </c>
      <c r="CY185" s="19">
        <v>0</v>
      </c>
      <c r="CZ185" s="17"/>
      <c r="DA185" s="20">
        <v>96915</v>
      </c>
      <c r="DB185" s="17"/>
      <c r="DC185" s="17"/>
      <c r="DD185" s="19">
        <v>0</v>
      </c>
      <c r="DE185" s="17"/>
      <c r="DF185" s="17"/>
      <c r="DG185" s="19">
        <v>100</v>
      </c>
      <c r="DH185" s="17"/>
      <c r="DI185" s="17">
        <v>46022</v>
      </c>
      <c r="DJ185" s="17"/>
      <c r="DK185" s="17"/>
      <c r="DL185" s="19">
        <v>0</v>
      </c>
      <c r="DM185" s="19">
        <v>0</v>
      </c>
    </row>
    <row r="186" spans="1:117" x14ac:dyDescent="0.2">
      <c r="A186" s="14" t="s">
        <v>3610</v>
      </c>
      <c r="B186" s="14" t="s">
        <v>506</v>
      </c>
      <c r="C186" s="14" t="s">
        <v>73</v>
      </c>
      <c r="D186" s="14" t="s">
        <v>200</v>
      </c>
      <c r="E186" s="14" t="s">
        <v>201</v>
      </c>
      <c r="F186" s="14" t="s">
        <v>76</v>
      </c>
      <c r="G186" s="17">
        <v>45637</v>
      </c>
      <c r="H186" s="14" t="s">
        <v>77</v>
      </c>
      <c r="I186" s="14" t="s">
        <v>78</v>
      </c>
      <c r="J186" s="14" t="s">
        <v>467</v>
      </c>
      <c r="K186" s="14" t="s">
        <v>500</v>
      </c>
      <c r="L186" s="14" t="s">
        <v>215</v>
      </c>
      <c r="M186" s="14" t="s">
        <v>216</v>
      </c>
      <c r="N186" s="16">
        <f>COUNTIF($M$3:M186, M186)</f>
        <v>2</v>
      </c>
      <c r="O186" s="16" t="str" cm="1">
        <f t="array" ref="O186">INDEX('[2]ALTA 20242025'!$B$2:$B$241, MATCH(1, ('[2]ALTA 20242025'!$I$2:$I$241=M186)*('[2]ALTA 20242025'!$J$2:$J$241=N186), 0))</f>
        <v>6245MWV</v>
      </c>
      <c r="P186" s="16"/>
      <c r="Q186" s="16"/>
      <c r="R186" s="14" t="s">
        <v>2048</v>
      </c>
      <c r="S186" s="14" t="s">
        <v>2048</v>
      </c>
      <c r="T186" s="14" t="s">
        <v>2048</v>
      </c>
      <c r="U186" s="14" t="s">
        <v>2048</v>
      </c>
      <c r="V186" s="14" t="s">
        <v>3620</v>
      </c>
      <c r="W186" s="14" t="s">
        <v>4495</v>
      </c>
      <c r="X186" s="14" t="s">
        <v>4444</v>
      </c>
      <c r="Y186" s="14" t="s">
        <v>4496</v>
      </c>
      <c r="Z186" s="14" t="s">
        <v>2048</v>
      </c>
      <c r="AA186" s="14" t="s">
        <v>2422</v>
      </c>
      <c r="AB186" s="14" t="s">
        <v>2049</v>
      </c>
      <c r="AC186" s="14" t="s">
        <v>2050</v>
      </c>
      <c r="AD186" s="14" t="s">
        <v>3690</v>
      </c>
      <c r="AE186" s="14" t="s">
        <v>3613</v>
      </c>
      <c r="AF186" s="14" t="s">
        <v>3614</v>
      </c>
      <c r="AG186" s="14" t="s">
        <v>200</v>
      </c>
      <c r="AH186" s="14" t="s">
        <v>3622</v>
      </c>
      <c r="AI186" s="14" t="s">
        <v>2132</v>
      </c>
      <c r="AJ186" s="14" t="s">
        <v>2133</v>
      </c>
      <c r="AK186" s="14" t="s">
        <v>2055</v>
      </c>
      <c r="AL186" s="14" t="s">
        <v>2055</v>
      </c>
      <c r="AM186" s="14" t="s">
        <v>2055</v>
      </c>
      <c r="AN186" s="14" t="s">
        <v>2068</v>
      </c>
      <c r="AO186" s="14" t="s">
        <v>2048</v>
      </c>
      <c r="AP186" s="14" t="s">
        <v>2048</v>
      </c>
      <c r="AQ186" s="14" t="s">
        <v>2048</v>
      </c>
      <c r="AR186" s="14" t="s">
        <v>2751</v>
      </c>
      <c r="AS186" s="14" t="s">
        <v>3623</v>
      </c>
      <c r="AT186" s="14" t="s">
        <v>2135</v>
      </c>
      <c r="AU186" s="14" t="s">
        <v>4497</v>
      </c>
      <c r="AV186" s="14" t="s">
        <v>4498</v>
      </c>
      <c r="AW186" s="14" t="s">
        <v>4499</v>
      </c>
      <c r="AX186" s="14" t="s">
        <v>2048</v>
      </c>
      <c r="AY186" s="14" t="s">
        <v>4500</v>
      </c>
      <c r="AZ186" s="14" t="s">
        <v>4501</v>
      </c>
      <c r="BA186" s="14" t="s">
        <v>3627</v>
      </c>
      <c r="BB186" s="14" t="s">
        <v>2048</v>
      </c>
      <c r="BC186" s="14" t="s">
        <v>215</v>
      </c>
      <c r="BD186" s="14" t="s">
        <v>507</v>
      </c>
      <c r="BE186" s="14" t="s">
        <v>4502</v>
      </c>
      <c r="BF186" s="14" t="s">
        <v>2048</v>
      </c>
      <c r="BG186" s="14" t="s">
        <v>2048</v>
      </c>
      <c r="BH186" s="14" t="s">
        <v>2682</v>
      </c>
      <c r="BI186" s="14" t="s">
        <v>3080</v>
      </c>
      <c r="BJ186" s="14" t="s">
        <v>2682</v>
      </c>
      <c r="BK186" s="14" t="s">
        <v>3080</v>
      </c>
      <c r="BL186" s="14" t="s">
        <v>2684</v>
      </c>
      <c r="BM186" s="14" t="s">
        <v>2287</v>
      </c>
      <c r="BN186" s="14" t="s">
        <v>2048</v>
      </c>
      <c r="BO186" s="14" t="s">
        <v>2048</v>
      </c>
      <c r="BP186" s="14" t="s">
        <v>2064</v>
      </c>
      <c r="BQ186" s="14" t="s">
        <v>72</v>
      </c>
      <c r="BR186" s="14" t="s">
        <v>72</v>
      </c>
      <c r="BS186" s="14" t="s">
        <v>4503</v>
      </c>
      <c r="BT186" s="14" t="s">
        <v>2329</v>
      </c>
      <c r="BU186" s="14" t="s">
        <v>2330</v>
      </c>
      <c r="BV186" s="14" t="s">
        <v>2331</v>
      </c>
      <c r="BW186" s="14" t="s">
        <v>2131</v>
      </c>
      <c r="BX186" s="14" t="s">
        <v>2048</v>
      </c>
      <c r="BY186" s="14" t="s">
        <v>2048</v>
      </c>
      <c r="BZ186" s="14" t="s">
        <v>2048</v>
      </c>
      <c r="CA186" s="14" t="s">
        <v>2048</v>
      </c>
      <c r="CB186" s="14" t="s">
        <v>72</v>
      </c>
      <c r="CC186" s="14" t="s">
        <v>2048</v>
      </c>
      <c r="CD186" s="14" t="s">
        <v>2048</v>
      </c>
      <c r="CE186" s="14" t="s">
        <v>2048</v>
      </c>
      <c r="CF186" s="14" t="s">
        <v>2048</v>
      </c>
      <c r="CG186" s="14" t="s">
        <v>2048</v>
      </c>
      <c r="CH186" s="14" t="s">
        <v>2048</v>
      </c>
      <c r="CI186" s="14" t="s">
        <v>2048</v>
      </c>
      <c r="CJ186" s="14" t="s">
        <v>2048</v>
      </c>
      <c r="CK186" s="14" t="s">
        <v>2129</v>
      </c>
      <c r="CL186" s="14" t="s">
        <v>4399</v>
      </c>
      <c r="CM186" s="14" t="s">
        <v>2048</v>
      </c>
      <c r="CN186" s="17"/>
      <c r="CO186" s="17">
        <v>44176</v>
      </c>
      <c r="CP186" s="17">
        <v>44176</v>
      </c>
      <c r="CR186" s="17">
        <v>45727</v>
      </c>
      <c r="CS186" s="19">
        <v>48</v>
      </c>
      <c r="CT186" s="19">
        <v>0</v>
      </c>
      <c r="CU186" s="19">
        <v>377.66</v>
      </c>
      <c r="CV186" s="19">
        <v>0</v>
      </c>
      <c r="CW186" s="19">
        <v>377.66</v>
      </c>
      <c r="CX186" s="19">
        <v>456.97</v>
      </c>
      <c r="CY186" s="19">
        <v>0</v>
      </c>
      <c r="CZ186" s="17"/>
      <c r="DA186" s="20">
        <v>94527</v>
      </c>
      <c r="DB186" s="17">
        <v>45716</v>
      </c>
      <c r="DC186" s="17"/>
      <c r="DD186" s="19">
        <v>0</v>
      </c>
      <c r="DE186" s="17"/>
      <c r="DF186" s="17"/>
      <c r="DG186" s="19">
        <v>100</v>
      </c>
      <c r="DH186" s="17"/>
      <c r="DI186" s="17">
        <v>46022</v>
      </c>
      <c r="DJ186" s="17"/>
      <c r="DK186" s="17"/>
      <c r="DL186" s="19">
        <v>0</v>
      </c>
      <c r="DM186" s="19">
        <v>0</v>
      </c>
    </row>
    <row r="187" spans="1:117" x14ac:dyDescent="0.2">
      <c r="A187" s="14" t="s">
        <v>3610</v>
      </c>
      <c r="B187" s="14" t="s">
        <v>1305</v>
      </c>
      <c r="C187" s="14" t="s">
        <v>73</v>
      </c>
      <c r="D187" s="14" t="s">
        <v>200</v>
      </c>
      <c r="E187" s="14" t="s">
        <v>201</v>
      </c>
      <c r="F187" s="14" t="s">
        <v>160</v>
      </c>
      <c r="G187" s="17">
        <v>45696</v>
      </c>
      <c r="H187" s="14" t="s">
        <v>161</v>
      </c>
      <c r="I187" s="14" t="s">
        <v>78</v>
      </c>
      <c r="J187" s="14" t="s">
        <v>79</v>
      </c>
      <c r="K187" s="14" t="s">
        <v>924</v>
      </c>
      <c r="L187" s="14" t="s">
        <v>584</v>
      </c>
      <c r="M187" s="14" t="s">
        <v>585</v>
      </c>
      <c r="N187" s="16">
        <f>COUNTIF($M$3:M187, M187)</f>
        <v>13</v>
      </c>
      <c r="O187" s="16" t="e" cm="1">
        <f t="array" ref="O187">INDEX('[2]ALTA 20242025'!$B$2:$B$241, MATCH(1, ('[2]ALTA 20242025'!$I$2:$I$241=M187)*('[2]ALTA 20242025'!$J$2:$J$241=N187), 0))</f>
        <v>#N/A</v>
      </c>
      <c r="P187" s="16"/>
      <c r="Q187" s="16"/>
      <c r="R187" s="14" t="s">
        <v>2048</v>
      </c>
      <c r="S187" s="14" t="s">
        <v>2048</v>
      </c>
      <c r="T187" s="14" t="s">
        <v>2048</v>
      </c>
      <c r="U187" s="14" t="s">
        <v>2048</v>
      </c>
      <c r="V187" s="14" t="s">
        <v>4192</v>
      </c>
      <c r="W187" s="14" t="s">
        <v>4504</v>
      </c>
      <c r="X187" s="14" t="s">
        <v>3818</v>
      </c>
      <c r="Y187" s="14" t="s">
        <v>4505</v>
      </c>
      <c r="Z187" s="14" t="s">
        <v>2048</v>
      </c>
      <c r="AA187" s="14" t="s">
        <v>2422</v>
      </c>
      <c r="AB187" s="14" t="s">
        <v>2049</v>
      </c>
      <c r="AC187" s="14" t="s">
        <v>2050</v>
      </c>
      <c r="AD187" s="14" t="s">
        <v>4429</v>
      </c>
      <c r="AE187" s="14" t="s">
        <v>3613</v>
      </c>
      <c r="AF187" s="14" t="s">
        <v>3614</v>
      </c>
      <c r="AG187" s="14" t="s">
        <v>200</v>
      </c>
      <c r="AH187" s="14" t="s">
        <v>3622</v>
      </c>
      <c r="AI187" s="14" t="s">
        <v>2506</v>
      </c>
      <c r="AJ187" s="14" t="s">
        <v>2507</v>
      </c>
      <c r="AK187" s="14" t="s">
        <v>2055</v>
      </c>
      <c r="AL187" s="14" t="s">
        <v>2055</v>
      </c>
      <c r="AM187" s="14" t="s">
        <v>2055</v>
      </c>
      <c r="AN187" s="14" t="s">
        <v>2068</v>
      </c>
      <c r="AO187" s="14" t="s">
        <v>2048</v>
      </c>
      <c r="AP187" s="14" t="s">
        <v>2048</v>
      </c>
      <c r="AQ187" s="14" t="s">
        <v>2148</v>
      </c>
      <c r="AR187" s="14" t="s">
        <v>3131</v>
      </c>
      <c r="AS187" s="14" t="s">
        <v>3776</v>
      </c>
      <c r="AT187" s="14" t="s">
        <v>3191</v>
      </c>
      <c r="AU187" s="14" t="s">
        <v>4506</v>
      </c>
      <c r="AV187" s="14" t="s">
        <v>4507</v>
      </c>
      <c r="AW187" s="14" t="s">
        <v>4508</v>
      </c>
      <c r="AX187" s="14" t="s">
        <v>2048</v>
      </c>
      <c r="AY187" s="14" t="s">
        <v>2512</v>
      </c>
      <c r="AZ187" s="14" t="s">
        <v>2513</v>
      </c>
      <c r="BA187" s="14" t="s">
        <v>3627</v>
      </c>
      <c r="BB187" s="14" t="s">
        <v>2048</v>
      </c>
      <c r="BC187" s="14" t="s">
        <v>584</v>
      </c>
      <c r="BD187" s="14" t="s">
        <v>1303</v>
      </c>
      <c r="BE187" s="14" t="s">
        <v>4491</v>
      </c>
      <c r="BF187" s="14" t="s">
        <v>2048</v>
      </c>
      <c r="BG187" s="14" t="s">
        <v>2048</v>
      </c>
      <c r="BH187" s="14" t="s">
        <v>2710</v>
      </c>
      <c r="BI187" s="14" t="s">
        <v>2711</v>
      </c>
      <c r="BJ187" s="14" t="s">
        <v>2048</v>
      </c>
      <c r="BK187" s="14" t="s">
        <v>2048</v>
      </c>
      <c r="BL187" s="14" t="s">
        <v>2517</v>
      </c>
      <c r="BM187" s="14" t="s">
        <v>2218</v>
      </c>
      <c r="BN187" s="14" t="s">
        <v>2048</v>
      </c>
      <c r="BO187" s="14" t="s">
        <v>2048</v>
      </c>
      <c r="BP187" s="14" t="s">
        <v>2064</v>
      </c>
      <c r="BQ187" s="14" t="s">
        <v>72</v>
      </c>
      <c r="BR187" s="14" t="s">
        <v>72</v>
      </c>
      <c r="BS187" s="14" t="s">
        <v>2048</v>
      </c>
      <c r="BT187" s="14" t="s">
        <v>2761</v>
      </c>
      <c r="BU187" s="14" t="s">
        <v>2762</v>
      </c>
      <c r="BV187" s="14" t="s">
        <v>2418</v>
      </c>
      <c r="BW187" s="14" t="s">
        <v>2089</v>
      </c>
      <c r="BX187" s="14" t="s">
        <v>2048</v>
      </c>
      <c r="BY187" s="14" t="s">
        <v>2048</v>
      </c>
      <c r="BZ187" s="14" t="s">
        <v>2048</v>
      </c>
      <c r="CA187" s="14" t="s">
        <v>2048</v>
      </c>
      <c r="CB187" s="14" t="s">
        <v>72</v>
      </c>
      <c r="CC187" s="14" t="s">
        <v>2048</v>
      </c>
      <c r="CD187" s="14" t="s">
        <v>2048</v>
      </c>
      <c r="CE187" s="14" t="s">
        <v>2048</v>
      </c>
      <c r="CF187" s="14" t="s">
        <v>2048</v>
      </c>
      <c r="CG187" s="14" t="s">
        <v>2048</v>
      </c>
      <c r="CH187" s="14" t="s">
        <v>2048</v>
      </c>
      <c r="CI187" s="14" t="s">
        <v>2048</v>
      </c>
      <c r="CJ187" s="14" t="s">
        <v>2048</v>
      </c>
      <c r="CK187" s="14" t="s">
        <v>2057</v>
      </c>
      <c r="CL187" s="14" t="s">
        <v>2090</v>
      </c>
      <c r="CM187" s="14" t="s">
        <v>2048</v>
      </c>
      <c r="CN187" s="17"/>
      <c r="CO187" s="17">
        <v>44235</v>
      </c>
      <c r="CP187" s="17">
        <v>44235</v>
      </c>
      <c r="CR187" s="17">
        <v>45730</v>
      </c>
      <c r="CS187" s="19">
        <v>48</v>
      </c>
      <c r="CT187" s="19">
        <v>0</v>
      </c>
      <c r="CU187" s="19">
        <v>305.47000000000003</v>
      </c>
      <c r="CV187" s="19">
        <v>0</v>
      </c>
      <c r="CW187" s="19">
        <v>305.47000000000003</v>
      </c>
      <c r="CX187" s="19">
        <v>369.62</v>
      </c>
      <c r="CY187" s="19">
        <v>0</v>
      </c>
      <c r="CZ187" s="17"/>
      <c r="DA187" s="20">
        <v>205013</v>
      </c>
      <c r="DB187" s="17">
        <v>45747</v>
      </c>
      <c r="DC187" s="17"/>
      <c r="DD187" s="19">
        <v>0</v>
      </c>
      <c r="DE187" s="17"/>
      <c r="DF187" s="17"/>
      <c r="DG187" s="19">
        <v>100</v>
      </c>
      <c r="DH187" s="17"/>
      <c r="DI187" s="17">
        <v>46022</v>
      </c>
      <c r="DJ187" s="17"/>
      <c r="DK187" s="17"/>
      <c r="DL187" s="19">
        <v>0</v>
      </c>
      <c r="DM187" s="19">
        <v>0</v>
      </c>
    </row>
    <row r="188" spans="1:117" x14ac:dyDescent="0.2">
      <c r="A188" s="14" t="s">
        <v>3610</v>
      </c>
      <c r="B188" s="14" t="s">
        <v>1307</v>
      </c>
      <c r="C188" s="14" t="s">
        <v>73</v>
      </c>
      <c r="D188" s="14" t="s">
        <v>200</v>
      </c>
      <c r="E188" s="14" t="s">
        <v>201</v>
      </c>
      <c r="F188" s="14" t="s">
        <v>160</v>
      </c>
      <c r="G188" s="17">
        <v>45696</v>
      </c>
      <c r="H188" s="14" t="s">
        <v>161</v>
      </c>
      <c r="I188" s="14" t="s">
        <v>78</v>
      </c>
      <c r="J188" s="14" t="s">
        <v>79</v>
      </c>
      <c r="K188" s="14" t="s">
        <v>924</v>
      </c>
      <c r="L188" s="14" t="s">
        <v>1128</v>
      </c>
      <c r="M188" s="14" t="s">
        <v>1129</v>
      </c>
      <c r="N188" s="16">
        <f>COUNTIF($M$3:M188, M188)</f>
        <v>2</v>
      </c>
      <c r="O188" s="16" t="e" cm="1">
        <f t="array" ref="O188">INDEX('[2]ALTA 20242025'!$B$2:$B$241, MATCH(1, ('[2]ALTA 20242025'!$I$2:$I$241=M188)*('[2]ALTA 20242025'!$J$2:$J$241=N188), 0))</f>
        <v>#N/A</v>
      </c>
      <c r="P188" s="16"/>
      <c r="Q188" s="16"/>
      <c r="R188" s="14" t="s">
        <v>2048</v>
      </c>
      <c r="S188" s="14" t="s">
        <v>2048</v>
      </c>
      <c r="T188" s="14" t="s">
        <v>2048</v>
      </c>
      <c r="U188" s="14" t="s">
        <v>2048</v>
      </c>
      <c r="V188" s="14" t="s">
        <v>4192</v>
      </c>
      <c r="W188" s="14" t="s">
        <v>4509</v>
      </c>
      <c r="X188" s="14" t="s">
        <v>4510</v>
      </c>
      <c r="Y188" s="14" t="s">
        <v>4511</v>
      </c>
      <c r="Z188" s="14" t="s">
        <v>2048</v>
      </c>
      <c r="AA188" s="14" t="s">
        <v>2422</v>
      </c>
      <c r="AB188" s="14" t="s">
        <v>2049</v>
      </c>
      <c r="AC188" s="14" t="s">
        <v>2050</v>
      </c>
      <c r="AD188" s="14" t="s">
        <v>4429</v>
      </c>
      <c r="AE188" s="14" t="s">
        <v>3613</v>
      </c>
      <c r="AF188" s="14" t="s">
        <v>3614</v>
      </c>
      <c r="AG188" s="14" t="s">
        <v>2048</v>
      </c>
      <c r="AH188" s="14" t="s">
        <v>2048</v>
      </c>
      <c r="AI188" s="14" t="s">
        <v>4512</v>
      </c>
      <c r="AJ188" s="14" t="s">
        <v>1129</v>
      </c>
      <c r="AK188" s="14" t="s">
        <v>2055</v>
      </c>
      <c r="AL188" s="14" t="s">
        <v>2055</v>
      </c>
      <c r="AM188" s="14" t="s">
        <v>2055</v>
      </c>
      <c r="AN188" s="14" t="s">
        <v>2068</v>
      </c>
      <c r="AO188" s="14" t="s">
        <v>2048</v>
      </c>
      <c r="AP188" s="14" t="s">
        <v>2048</v>
      </c>
      <c r="AQ188" s="14" t="s">
        <v>4513</v>
      </c>
      <c r="AR188" s="14" t="s">
        <v>2048</v>
      </c>
      <c r="AS188" s="14" t="s">
        <v>3776</v>
      </c>
      <c r="AT188" s="14" t="s">
        <v>3191</v>
      </c>
      <c r="AU188" s="14" t="s">
        <v>4514</v>
      </c>
      <c r="AV188" s="14" t="s">
        <v>4515</v>
      </c>
      <c r="AW188" s="14" t="s">
        <v>4516</v>
      </c>
      <c r="AX188" s="14" t="s">
        <v>2048</v>
      </c>
      <c r="AY188" s="14" t="s">
        <v>2561</v>
      </c>
      <c r="AZ188" s="14" t="s">
        <v>2562</v>
      </c>
      <c r="BA188" s="14" t="s">
        <v>3627</v>
      </c>
      <c r="BB188" s="14" t="s">
        <v>2048</v>
      </c>
      <c r="BC188" s="14" t="s">
        <v>1128</v>
      </c>
      <c r="BD188" s="14" t="s">
        <v>1308</v>
      </c>
      <c r="BE188" s="14" t="s">
        <v>4517</v>
      </c>
      <c r="BF188" s="14" t="s">
        <v>2048</v>
      </c>
      <c r="BG188" s="14" t="s">
        <v>2048</v>
      </c>
      <c r="BH188" s="14" t="s">
        <v>2282</v>
      </c>
      <c r="BI188" s="14" t="s">
        <v>2283</v>
      </c>
      <c r="BJ188" s="14" t="s">
        <v>3629</v>
      </c>
      <c r="BK188" s="14" t="s">
        <v>3546</v>
      </c>
      <c r="BL188" s="14" t="s">
        <v>3547</v>
      </c>
      <c r="BM188" s="14" t="s">
        <v>2287</v>
      </c>
      <c r="BN188" s="14" t="s">
        <v>2048</v>
      </c>
      <c r="BO188" s="14" t="s">
        <v>2518</v>
      </c>
      <c r="BP188" s="14" t="s">
        <v>2064</v>
      </c>
      <c r="BQ188" s="14" t="s">
        <v>72</v>
      </c>
      <c r="BR188" s="14" t="s">
        <v>72</v>
      </c>
      <c r="BS188" s="14" t="s">
        <v>2048</v>
      </c>
      <c r="BT188" s="14" t="s">
        <v>2568</v>
      </c>
      <c r="BU188" s="14" t="s">
        <v>2558</v>
      </c>
      <c r="BV188" s="14" t="s">
        <v>2418</v>
      </c>
      <c r="BW188" s="14" t="s">
        <v>2089</v>
      </c>
      <c r="BX188" s="14" t="s">
        <v>2048</v>
      </c>
      <c r="BY188" s="14" t="s">
        <v>2048</v>
      </c>
      <c r="BZ188" s="14" t="s">
        <v>2048</v>
      </c>
      <c r="CA188" s="14" t="s">
        <v>2048</v>
      </c>
      <c r="CB188" s="14" t="s">
        <v>72</v>
      </c>
      <c r="CC188" s="14" t="s">
        <v>2048</v>
      </c>
      <c r="CD188" s="14" t="s">
        <v>2048</v>
      </c>
      <c r="CE188" s="14" t="s">
        <v>2048</v>
      </c>
      <c r="CF188" s="14" t="s">
        <v>2048</v>
      </c>
      <c r="CG188" s="14" t="s">
        <v>2048</v>
      </c>
      <c r="CH188" s="14" t="s">
        <v>2048</v>
      </c>
      <c r="CI188" s="14" t="s">
        <v>2048</v>
      </c>
      <c r="CJ188" s="14" t="s">
        <v>2048</v>
      </c>
      <c r="CK188" s="14" t="s">
        <v>2057</v>
      </c>
      <c r="CL188" s="14" t="s">
        <v>2090</v>
      </c>
      <c r="CM188" s="14" t="s">
        <v>2048</v>
      </c>
      <c r="CN188" s="17"/>
      <c r="CO188" s="17">
        <v>44235</v>
      </c>
      <c r="CP188" s="17">
        <v>44235</v>
      </c>
      <c r="CR188" s="17">
        <v>45546</v>
      </c>
      <c r="CS188" s="19">
        <v>48</v>
      </c>
      <c r="CT188" s="19">
        <v>0</v>
      </c>
      <c r="CU188" s="19">
        <v>330.7</v>
      </c>
      <c r="CV188" s="19">
        <v>0</v>
      </c>
      <c r="CW188" s="19">
        <v>330.7</v>
      </c>
      <c r="CX188" s="19">
        <v>400.15</v>
      </c>
      <c r="CY188" s="19">
        <v>0</v>
      </c>
      <c r="CZ188" s="17"/>
      <c r="DA188" s="20">
        <v>101684</v>
      </c>
      <c r="DB188" s="17">
        <v>45708</v>
      </c>
      <c r="DC188" s="17"/>
      <c r="DD188" s="19">
        <v>0</v>
      </c>
      <c r="DE188" s="17"/>
      <c r="DF188" s="17"/>
      <c r="DG188" s="19">
        <v>100</v>
      </c>
      <c r="DH188" s="17"/>
      <c r="DI188" s="17">
        <v>46022</v>
      </c>
      <c r="DJ188" s="17"/>
      <c r="DK188" s="17"/>
      <c r="DL188" s="19">
        <v>0</v>
      </c>
      <c r="DM188" s="19">
        <v>0</v>
      </c>
    </row>
    <row r="189" spans="1:117" x14ac:dyDescent="0.2">
      <c r="A189" s="14" t="s">
        <v>3610</v>
      </c>
      <c r="B189" s="14" t="s">
        <v>1310</v>
      </c>
      <c r="C189" s="14" t="s">
        <v>73</v>
      </c>
      <c r="D189" s="14" t="s">
        <v>200</v>
      </c>
      <c r="E189" s="14" t="s">
        <v>201</v>
      </c>
      <c r="F189" s="14" t="s">
        <v>76</v>
      </c>
      <c r="G189" s="17">
        <v>45696</v>
      </c>
      <c r="H189" s="14" t="s">
        <v>77</v>
      </c>
      <c r="I189" s="14" t="s">
        <v>78</v>
      </c>
      <c r="J189" s="14" t="s">
        <v>79</v>
      </c>
      <c r="K189" s="14" t="s">
        <v>924</v>
      </c>
      <c r="L189" s="14" t="s">
        <v>584</v>
      </c>
      <c r="M189" s="14" t="s">
        <v>585</v>
      </c>
      <c r="N189" s="16">
        <f>COUNTIF($M$3:M189, M189)</f>
        <v>14</v>
      </c>
      <c r="O189" s="16" t="e" cm="1">
        <f t="array" ref="O189">INDEX('[2]ALTA 20242025'!$B$2:$B$241, MATCH(1, ('[2]ALTA 20242025'!$I$2:$I$241=M189)*('[2]ALTA 20242025'!$J$2:$J$241=N189), 0))</f>
        <v>#N/A</v>
      </c>
      <c r="P189" s="16"/>
      <c r="Q189" s="16"/>
      <c r="R189" s="14" t="s">
        <v>2048</v>
      </c>
      <c r="S189" s="14" t="s">
        <v>2048</v>
      </c>
      <c r="T189" s="14" t="s">
        <v>2048</v>
      </c>
      <c r="U189" s="14" t="s">
        <v>2048</v>
      </c>
      <c r="V189" s="14" t="s">
        <v>4192</v>
      </c>
      <c r="W189" s="14" t="s">
        <v>4518</v>
      </c>
      <c r="X189" s="14" t="s">
        <v>3818</v>
      </c>
      <c r="Y189" s="14" t="s">
        <v>4519</v>
      </c>
      <c r="Z189" s="14" t="s">
        <v>2048</v>
      </c>
      <c r="AA189" s="14" t="s">
        <v>2422</v>
      </c>
      <c r="AB189" s="14" t="s">
        <v>2049</v>
      </c>
      <c r="AC189" s="14" t="s">
        <v>2050</v>
      </c>
      <c r="AD189" s="14" t="s">
        <v>3788</v>
      </c>
      <c r="AE189" s="14" t="s">
        <v>3613</v>
      </c>
      <c r="AF189" s="14" t="s">
        <v>3614</v>
      </c>
      <c r="AG189" s="14" t="s">
        <v>200</v>
      </c>
      <c r="AH189" s="14" t="s">
        <v>3622</v>
      </c>
      <c r="AI189" s="14" t="s">
        <v>159</v>
      </c>
      <c r="AJ189" s="14" t="s">
        <v>585</v>
      </c>
      <c r="AK189" s="14" t="s">
        <v>2056</v>
      </c>
      <c r="AL189" s="14" t="s">
        <v>2055</v>
      </c>
      <c r="AM189" s="14" t="s">
        <v>2055</v>
      </c>
      <c r="AN189" s="14" t="s">
        <v>2068</v>
      </c>
      <c r="AO189" s="14" t="s">
        <v>2048</v>
      </c>
      <c r="AP189" s="14" t="s">
        <v>2048</v>
      </c>
      <c r="AQ189" s="14" t="s">
        <v>2048</v>
      </c>
      <c r="AR189" s="14" t="s">
        <v>4520</v>
      </c>
      <c r="AS189" s="14" t="s">
        <v>3776</v>
      </c>
      <c r="AT189" s="14" t="s">
        <v>3191</v>
      </c>
      <c r="AU189" s="14" t="s">
        <v>4521</v>
      </c>
      <c r="AV189" s="14" t="s">
        <v>4522</v>
      </c>
      <c r="AW189" s="14" t="s">
        <v>4523</v>
      </c>
      <c r="AX189" s="14" t="s">
        <v>2048</v>
      </c>
      <c r="AY189" s="14" t="s">
        <v>3749</v>
      </c>
      <c r="AZ189" s="14" t="s">
        <v>3750</v>
      </c>
      <c r="BA189" s="14" t="s">
        <v>2048</v>
      </c>
      <c r="BB189" s="14" t="s">
        <v>2048</v>
      </c>
      <c r="BC189" s="14" t="s">
        <v>584</v>
      </c>
      <c r="BD189" s="14" t="s">
        <v>1311</v>
      </c>
      <c r="BE189" s="14" t="s">
        <v>4524</v>
      </c>
      <c r="BF189" s="14" t="s">
        <v>2048</v>
      </c>
      <c r="BG189" s="14" t="s">
        <v>2048</v>
      </c>
      <c r="BH189" s="14" t="s">
        <v>2602</v>
      </c>
      <c r="BI189" s="14" t="s">
        <v>3752</v>
      </c>
      <c r="BJ189" s="14" t="s">
        <v>2048</v>
      </c>
      <c r="BK189" s="14" t="s">
        <v>2048</v>
      </c>
      <c r="BL189" s="14" t="s">
        <v>3755</v>
      </c>
      <c r="BM189" s="14" t="s">
        <v>2287</v>
      </c>
      <c r="BN189" s="14" t="s">
        <v>2048</v>
      </c>
      <c r="BO189" s="14" t="s">
        <v>2518</v>
      </c>
      <c r="BP189" s="14" t="s">
        <v>2064</v>
      </c>
      <c r="BQ189" s="14" t="s">
        <v>72</v>
      </c>
      <c r="BR189" s="14" t="s">
        <v>72</v>
      </c>
      <c r="BS189" s="14" t="s">
        <v>2048</v>
      </c>
      <c r="BT189" s="14" t="s">
        <v>4525</v>
      </c>
      <c r="BU189" s="14" t="s">
        <v>4526</v>
      </c>
      <c r="BV189" s="14" t="s">
        <v>2418</v>
      </c>
      <c r="BW189" s="14" t="s">
        <v>2089</v>
      </c>
      <c r="BX189" s="14" t="s">
        <v>2048</v>
      </c>
      <c r="BY189" s="14" t="s">
        <v>2048</v>
      </c>
      <c r="BZ189" s="14" t="s">
        <v>2048</v>
      </c>
      <c r="CA189" s="14" t="s">
        <v>2048</v>
      </c>
      <c r="CB189" s="14" t="s">
        <v>72</v>
      </c>
      <c r="CC189" s="14" t="s">
        <v>2048</v>
      </c>
      <c r="CD189" s="14" t="s">
        <v>2048</v>
      </c>
      <c r="CE189" s="14" t="s">
        <v>2048</v>
      </c>
      <c r="CF189" s="14" t="s">
        <v>2048</v>
      </c>
      <c r="CG189" s="14" t="s">
        <v>2048</v>
      </c>
      <c r="CH189" s="14" t="s">
        <v>2048</v>
      </c>
      <c r="CI189" s="14" t="s">
        <v>2048</v>
      </c>
      <c r="CJ189" s="14" t="s">
        <v>2048</v>
      </c>
      <c r="CK189" s="14" t="s">
        <v>2057</v>
      </c>
      <c r="CL189" s="14" t="s">
        <v>2090</v>
      </c>
      <c r="CM189" s="14" t="s">
        <v>2048</v>
      </c>
      <c r="CN189" s="17"/>
      <c r="CO189" s="17">
        <v>44235</v>
      </c>
      <c r="CP189" s="17">
        <v>44235</v>
      </c>
      <c r="CR189" s="17">
        <v>45758</v>
      </c>
      <c r="CS189" s="19">
        <v>48</v>
      </c>
      <c r="CT189" s="19">
        <v>0</v>
      </c>
      <c r="CU189" s="19">
        <v>257.2</v>
      </c>
      <c r="CV189" s="19">
        <v>0</v>
      </c>
      <c r="CW189" s="19">
        <v>257.2</v>
      </c>
      <c r="CX189" s="19">
        <v>311.20999999999998</v>
      </c>
      <c r="CY189" s="19">
        <v>0</v>
      </c>
      <c r="CZ189" s="17"/>
      <c r="DA189" s="20">
        <v>111050</v>
      </c>
      <c r="DB189" s="17"/>
      <c r="DC189" s="17"/>
      <c r="DD189" s="19">
        <v>0</v>
      </c>
      <c r="DE189" s="17"/>
      <c r="DF189" s="17"/>
      <c r="DG189" s="19">
        <v>100</v>
      </c>
      <c r="DH189" s="17"/>
      <c r="DI189" s="17">
        <v>46022</v>
      </c>
      <c r="DJ189" s="17"/>
      <c r="DK189" s="17"/>
      <c r="DL189" s="19">
        <v>0</v>
      </c>
      <c r="DM189" s="19">
        <v>0</v>
      </c>
    </row>
    <row r="190" spans="1:117" x14ac:dyDescent="0.2">
      <c r="A190" s="14" t="s">
        <v>3610</v>
      </c>
      <c r="B190" s="14" t="s">
        <v>1313</v>
      </c>
      <c r="C190" s="14" t="s">
        <v>73</v>
      </c>
      <c r="D190" s="14" t="s">
        <v>200</v>
      </c>
      <c r="E190" s="14" t="s">
        <v>201</v>
      </c>
      <c r="F190" s="14" t="s">
        <v>76</v>
      </c>
      <c r="G190" s="17">
        <v>45637</v>
      </c>
      <c r="H190" s="14" t="s">
        <v>77</v>
      </c>
      <c r="I190" s="14" t="s">
        <v>78</v>
      </c>
      <c r="J190" s="14" t="s">
        <v>467</v>
      </c>
      <c r="K190" s="14" t="s">
        <v>500</v>
      </c>
      <c r="L190" s="14" t="s">
        <v>215</v>
      </c>
      <c r="M190" s="14" t="s">
        <v>216</v>
      </c>
      <c r="N190" s="16">
        <f>COUNTIF($M$3:M190, M190)</f>
        <v>3</v>
      </c>
      <c r="O190" s="16" t="e" cm="1">
        <f t="array" ref="O190">INDEX('[2]ALTA 20242025'!$B$2:$B$241, MATCH(1, ('[2]ALTA 20242025'!$I$2:$I$241=M190)*('[2]ALTA 20242025'!$J$2:$J$241=N190), 0))</f>
        <v>#N/A</v>
      </c>
      <c r="P190" s="16"/>
      <c r="Q190" s="16"/>
      <c r="R190" s="14" t="s">
        <v>2048</v>
      </c>
      <c r="S190" s="14" t="s">
        <v>2048</v>
      </c>
      <c r="T190" s="14" t="s">
        <v>2048</v>
      </c>
      <c r="U190" s="14" t="s">
        <v>2048</v>
      </c>
      <c r="V190" s="14" t="s">
        <v>3620</v>
      </c>
      <c r="W190" s="14" t="s">
        <v>4527</v>
      </c>
      <c r="X190" s="14" t="s">
        <v>4444</v>
      </c>
      <c r="Y190" s="14" t="s">
        <v>4528</v>
      </c>
      <c r="Z190" s="14" t="s">
        <v>2048</v>
      </c>
      <c r="AA190" s="14" t="s">
        <v>2422</v>
      </c>
      <c r="AB190" s="14" t="s">
        <v>2049</v>
      </c>
      <c r="AC190" s="14" t="s">
        <v>2050</v>
      </c>
      <c r="AD190" s="14" t="s">
        <v>3725</v>
      </c>
      <c r="AE190" s="14" t="s">
        <v>3613</v>
      </c>
      <c r="AF190" s="14" t="s">
        <v>3614</v>
      </c>
      <c r="AG190" s="14" t="s">
        <v>200</v>
      </c>
      <c r="AH190" s="14" t="s">
        <v>3622</v>
      </c>
      <c r="AI190" s="14" t="s">
        <v>2132</v>
      </c>
      <c r="AJ190" s="14" t="s">
        <v>2133</v>
      </c>
      <c r="AK190" s="14" t="s">
        <v>2055</v>
      </c>
      <c r="AL190" s="14" t="s">
        <v>2056</v>
      </c>
      <c r="AM190" s="14" t="s">
        <v>2055</v>
      </c>
      <c r="AN190" s="14" t="s">
        <v>2068</v>
      </c>
      <c r="AO190" s="14" t="s">
        <v>2048</v>
      </c>
      <c r="AP190" s="14" t="s">
        <v>2048</v>
      </c>
      <c r="AQ190" s="14" t="s">
        <v>2048</v>
      </c>
      <c r="AR190" s="14" t="s">
        <v>2751</v>
      </c>
      <c r="AS190" s="14" t="s">
        <v>3623</v>
      </c>
      <c r="AT190" s="14" t="s">
        <v>2135</v>
      </c>
      <c r="AU190" s="14" t="s">
        <v>4529</v>
      </c>
      <c r="AV190" s="14" t="s">
        <v>4500</v>
      </c>
      <c r="AW190" s="14" t="s">
        <v>4501</v>
      </c>
      <c r="AX190" s="14" t="s">
        <v>2048</v>
      </c>
      <c r="AY190" s="14" t="s">
        <v>4500</v>
      </c>
      <c r="AZ190" s="14" t="s">
        <v>4501</v>
      </c>
      <c r="BA190" s="14" t="s">
        <v>3627</v>
      </c>
      <c r="BB190" s="14" t="s">
        <v>2048</v>
      </c>
      <c r="BC190" s="14" t="s">
        <v>215</v>
      </c>
      <c r="BD190" s="14" t="s">
        <v>507</v>
      </c>
      <c r="BE190" s="14" t="s">
        <v>4502</v>
      </c>
      <c r="BF190" s="14" t="s">
        <v>2048</v>
      </c>
      <c r="BG190" s="14" t="s">
        <v>2048</v>
      </c>
      <c r="BH190" s="14" t="s">
        <v>2682</v>
      </c>
      <c r="BI190" s="14" t="s">
        <v>3080</v>
      </c>
      <c r="BJ190" s="14" t="s">
        <v>2682</v>
      </c>
      <c r="BK190" s="14" t="s">
        <v>3080</v>
      </c>
      <c r="BL190" s="14" t="s">
        <v>2684</v>
      </c>
      <c r="BM190" s="14" t="s">
        <v>2287</v>
      </c>
      <c r="BN190" s="14" t="s">
        <v>2048</v>
      </c>
      <c r="BO190" s="14" t="s">
        <v>2048</v>
      </c>
      <c r="BP190" s="14" t="s">
        <v>2064</v>
      </c>
      <c r="BQ190" s="14" t="s">
        <v>72</v>
      </c>
      <c r="BR190" s="14" t="s">
        <v>72</v>
      </c>
      <c r="BS190" s="14" t="s">
        <v>2048</v>
      </c>
      <c r="BT190" s="14" t="s">
        <v>2329</v>
      </c>
      <c r="BU190" s="14" t="s">
        <v>2330</v>
      </c>
      <c r="BV190" s="14" t="s">
        <v>2331</v>
      </c>
      <c r="BW190" s="14" t="s">
        <v>2131</v>
      </c>
      <c r="BX190" s="14" t="s">
        <v>2048</v>
      </c>
      <c r="BY190" s="14" t="s">
        <v>2048</v>
      </c>
      <c r="BZ190" s="14" t="s">
        <v>2048</v>
      </c>
      <c r="CA190" s="14" t="s">
        <v>2048</v>
      </c>
      <c r="CB190" s="14" t="s">
        <v>72</v>
      </c>
      <c r="CC190" s="14" t="s">
        <v>2048</v>
      </c>
      <c r="CD190" s="14" t="s">
        <v>2048</v>
      </c>
      <c r="CE190" s="14" t="s">
        <v>2048</v>
      </c>
      <c r="CF190" s="14" t="s">
        <v>2048</v>
      </c>
      <c r="CG190" s="14" t="s">
        <v>2048</v>
      </c>
      <c r="CH190" s="14" t="s">
        <v>2048</v>
      </c>
      <c r="CI190" s="14" t="s">
        <v>2048</v>
      </c>
      <c r="CJ190" s="14" t="s">
        <v>2048</v>
      </c>
      <c r="CK190" s="14" t="s">
        <v>2129</v>
      </c>
      <c r="CL190" s="14" t="s">
        <v>4399</v>
      </c>
      <c r="CM190" s="14" t="s">
        <v>2048</v>
      </c>
      <c r="CN190" s="17"/>
      <c r="CO190" s="17">
        <v>44176</v>
      </c>
      <c r="CP190" s="17">
        <v>44176</v>
      </c>
      <c r="CR190" s="17">
        <v>45730</v>
      </c>
      <c r="CS190" s="19">
        <v>48</v>
      </c>
      <c r="CT190" s="19">
        <v>0</v>
      </c>
      <c r="CU190" s="19">
        <v>362</v>
      </c>
      <c r="CV190" s="19">
        <v>0</v>
      </c>
      <c r="CW190" s="19">
        <v>362</v>
      </c>
      <c r="CX190" s="19">
        <v>438.02</v>
      </c>
      <c r="CY190" s="19">
        <v>0</v>
      </c>
      <c r="CZ190" s="17"/>
      <c r="DA190" s="20">
        <v>67900</v>
      </c>
      <c r="DB190" s="17">
        <v>45716</v>
      </c>
      <c r="DC190" s="17"/>
      <c r="DD190" s="19">
        <v>0</v>
      </c>
      <c r="DE190" s="17"/>
      <c r="DF190" s="17"/>
      <c r="DG190" s="19">
        <v>100</v>
      </c>
      <c r="DH190" s="17"/>
      <c r="DI190" s="17">
        <v>46022</v>
      </c>
      <c r="DJ190" s="17"/>
      <c r="DK190" s="17"/>
      <c r="DL190" s="19">
        <v>0</v>
      </c>
      <c r="DM190" s="19">
        <v>0</v>
      </c>
    </row>
    <row r="191" spans="1:117" x14ac:dyDescent="0.2">
      <c r="A191" s="14" t="s">
        <v>3610</v>
      </c>
      <c r="B191" s="14" t="s">
        <v>1315</v>
      </c>
      <c r="C191" s="14" t="s">
        <v>73</v>
      </c>
      <c r="D191" s="14" t="s">
        <v>200</v>
      </c>
      <c r="E191" s="14" t="s">
        <v>201</v>
      </c>
      <c r="F191" s="14" t="s">
        <v>171</v>
      </c>
      <c r="G191" s="17">
        <v>45696</v>
      </c>
      <c r="H191" s="14" t="s">
        <v>172</v>
      </c>
      <c r="I191" s="14" t="s">
        <v>78</v>
      </c>
      <c r="J191" s="14" t="s">
        <v>79</v>
      </c>
      <c r="K191" s="14" t="s">
        <v>924</v>
      </c>
      <c r="L191" s="14" t="s">
        <v>584</v>
      </c>
      <c r="M191" s="14" t="s">
        <v>585</v>
      </c>
      <c r="N191" s="16">
        <f>COUNTIF($M$3:M191, M191)</f>
        <v>15</v>
      </c>
      <c r="O191" s="16" t="e" cm="1">
        <f t="array" ref="O191">INDEX('[2]ALTA 20242025'!$B$2:$B$241, MATCH(1, ('[2]ALTA 20242025'!$I$2:$I$241=M191)*('[2]ALTA 20242025'!$J$2:$J$241=N191), 0))</f>
        <v>#N/A</v>
      </c>
      <c r="P191" s="16"/>
      <c r="Q191" s="16"/>
      <c r="R191" s="14" t="s">
        <v>2048</v>
      </c>
      <c r="S191" s="14" t="s">
        <v>2048</v>
      </c>
      <c r="T191" s="14" t="s">
        <v>2048</v>
      </c>
      <c r="U191" s="14" t="s">
        <v>2048</v>
      </c>
      <c r="V191" s="14" t="s">
        <v>4192</v>
      </c>
      <c r="W191" s="14" t="s">
        <v>4530</v>
      </c>
      <c r="X191" s="14" t="s">
        <v>3818</v>
      </c>
      <c r="Y191" s="14" t="s">
        <v>4531</v>
      </c>
      <c r="Z191" s="14" t="s">
        <v>2048</v>
      </c>
      <c r="AA191" s="14" t="s">
        <v>2422</v>
      </c>
      <c r="AB191" s="14" t="s">
        <v>2049</v>
      </c>
      <c r="AC191" s="14" t="s">
        <v>2050</v>
      </c>
      <c r="AD191" s="14" t="s">
        <v>3690</v>
      </c>
      <c r="AE191" s="14" t="s">
        <v>3613</v>
      </c>
      <c r="AF191" s="14" t="s">
        <v>3614</v>
      </c>
      <c r="AG191" s="14" t="s">
        <v>2048</v>
      </c>
      <c r="AH191" s="14" t="s">
        <v>2048</v>
      </c>
      <c r="AI191" s="14" t="s">
        <v>159</v>
      </c>
      <c r="AJ191" s="14" t="s">
        <v>585</v>
      </c>
      <c r="AK191" s="14" t="s">
        <v>2056</v>
      </c>
      <c r="AL191" s="14" t="s">
        <v>2055</v>
      </c>
      <c r="AM191" s="14" t="s">
        <v>2055</v>
      </c>
      <c r="AN191" s="14" t="s">
        <v>2068</v>
      </c>
      <c r="AO191" s="14" t="s">
        <v>2048</v>
      </c>
      <c r="AP191" s="14" t="s">
        <v>2048</v>
      </c>
      <c r="AQ191" s="14" t="s">
        <v>4196</v>
      </c>
      <c r="AR191" s="14" t="s">
        <v>2048</v>
      </c>
      <c r="AS191" s="14" t="s">
        <v>3776</v>
      </c>
      <c r="AT191" s="14" t="s">
        <v>3191</v>
      </c>
      <c r="AU191" s="14" t="s">
        <v>4532</v>
      </c>
      <c r="AV191" s="14" t="s">
        <v>4533</v>
      </c>
      <c r="AW191" s="14" t="s">
        <v>4534</v>
      </c>
      <c r="AX191" s="14" t="s">
        <v>2048</v>
      </c>
      <c r="AY191" s="14" t="s">
        <v>2740</v>
      </c>
      <c r="AZ191" s="14" t="s">
        <v>2741</v>
      </c>
      <c r="BA191" s="14" t="s">
        <v>3627</v>
      </c>
      <c r="BB191" s="14" t="s">
        <v>2048</v>
      </c>
      <c r="BC191" s="14" t="s">
        <v>584</v>
      </c>
      <c r="BD191" s="14" t="s">
        <v>1316</v>
      </c>
      <c r="BE191" s="14" t="s">
        <v>4535</v>
      </c>
      <c r="BF191" s="14" t="s">
        <v>2048</v>
      </c>
      <c r="BG191" s="14" t="s">
        <v>2048</v>
      </c>
      <c r="BH191" s="14" t="s">
        <v>2743</v>
      </c>
      <c r="BI191" s="14" t="s">
        <v>2744</v>
      </c>
      <c r="BJ191" s="14" t="s">
        <v>4480</v>
      </c>
      <c r="BK191" s="14" t="s">
        <v>4481</v>
      </c>
      <c r="BL191" s="14" t="s">
        <v>2747</v>
      </c>
      <c r="BM191" s="14" t="s">
        <v>2287</v>
      </c>
      <c r="BN191" s="14" t="s">
        <v>2048</v>
      </c>
      <c r="BO191" s="14" t="s">
        <v>2048</v>
      </c>
      <c r="BP191" s="14" t="s">
        <v>2064</v>
      </c>
      <c r="BQ191" s="14" t="s">
        <v>72</v>
      </c>
      <c r="BR191" s="14" t="s">
        <v>72</v>
      </c>
      <c r="BS191" s="14" t="s">
        <v>2048</v>
      </c>
      <c r="BT191" s="14" t="s">
        <v>2761</v>
      </c>
      <c r="BU191" s="14" t="s">
        <v>2762</v>
      </c>
      <c r="BV191" s="14" t="s">
        <v>2418</v>
      </c>
      <c r="BW191" s="14" t="s">
        <v>2089</v>
      </c>
      <c r="BX191" s="14" t="s">
        <v>2048</v>
      </c>
      <c r="BY191" s="14" t="s">
        <v>2048</v>
      </c>
      <c r="BZ191" s="14" t="s">
        <v>2048</v>
      </c>
      <c r="CA191" s="14" t="s">
        <v>2048</v>
      </c>
      <c r="CB191" s="14" t="s">
        <v>72</v>
      </c>
      <c r="CC191" s="14" t="s">
        <v>2048</v>
      </c>
      <c r="CD191" s="14" t="s">
        <v>2048</v>
      </c>
      <c r="CE191" s="14" t="s">
        <v>2048</v>
      </c>
      <c r="CF191" s="14" t="s">
        <v>2048</v>
      </c>
      <c r="CG191" s="14" t="s">
        <v>2048</v>
      </c>
      <c r="CH191" s="14" t="s">
        <v>2048</v>
      </c>
      <c r="CI191" s="14" t="s">
        <v>2048</v>
      </c>
      <c r="CJ191" s="14" t="s">
        <v>2048</v>
      </c>
      <c r="CK191" s="14" t="s">
        <v>2057</v>
      </c>
      <c r="CL191" s="14" t="s">
        <v>2090</v>
      </c>
      <c r="CM191" s="14" t="s">
        <v>2048</v>
      </c>
      <c r="CN191" s="17"/>
      <c r="CO191" s="17">
        <v>44235</v>
      </c>
      <c r="CP191" s="17">
        <v>44235</v>
      </c>
      <c r="CR191" s="17">
        <v>45645</v>
      </c>
      <c r="CS191" s="19">
        <v>48</v>
      </c>
      <c r="CT191" s="19">
        <v>0</v>
      </c>
      <c r="CU191" s="19">
        <v>275.39999999999998</v>
      </c>
      <c r="CV191" s="19">
        <v>0</v>
      </c>
      <c r="CW191" s="19">
        <v>275.39999999999998</v>
      </c>
      <c r="CX191" s="19">
        <v>333.23</v>
      </c>
      <c r="CY191" s="19">
        <v>0</v>
      </c>
      <c r="CZ191" s="17"/>
      <c r="DA191" s="20">
        <v>41050</v>
      </c>
      <c r="DB191" s="17">
        <v>45808</v>
      </c>
      <c r="DC191" s="17"/>
      <c r="DD191" s="19">
        <v>0</v>
      </c>
      <c r="DE191" s="17"/>
      <c r="DF191" s="17"/>
      <c r="DG191" s="19">
        <v>100</v>
      </c>
      <c r="DH191" s="17"/>
      <c r="DI191" s="17">
        <v>46022</v>
      </c>
      <c r="DJ191" s="17"/>
      <c r="DK191" s="17"/>
      <c r="DL191" s="19">
        <v>0</v>
      </c>
      <c r="DM191" s="19">
        <v>0</v>
      </c>
    </row>
    <row r="192" spans="1:117" x14ac:dyDescent="0.2">
      <c r="A192" s="14" t="s">
        <v>3610</v>
      </c>
      <c r="B192" s="14" t="s">
        <v>1318</v>
      </c>
      <c r="C192" s="14" t="s">
        <v>73</v>
      </c>
      <c r="D192" s="14" t="s">
        <v>200</v>
      </c>
      <c r="E192" s="14" t="s">
        <v>201</v>
      </c>
      <c r="F192" s="14" t="s">
        <v>160</v>
      </c>
      <c r="G192" s="17">
        <v>45696</v>
      </c>
      <c r="H192" s="14" t="s">
        <v>161</v>
      </c>
      <c r="I192" s="14" t="s">
        <v>78</v>
      </c>
      <c r="J192" s="14" t="s">
        <v>79</v>
      </c>
      <c r="K192" s="14" t="s">
        <v>924</v>
      </c>
      <c r="L192" s="14" t="s">
        <v>584</v>
      </c>
      <c r="M192" s="14" t="s">
        <v>585</v>
      </c>
      <c r="N192" s="16">
        <f>COUNTIF($M$3:M192, M192)</f>
        <v>16</v>
      </c>
      <c r="O192" s="16" t="e" cm="1">
        <f t="array" ref="O192">INDEX('[2]ALTA 20242025'!$B$2:$B$241, MATCH(1, ('[2]ALTA 20242025'!$I$2:$I$241=M192)*('[2]ALTA 20242025'!$J$2:$J$241=N192), 0))</f>
        <v>#N/A</v>
      </c>
      <c r="P192" s="16"/>
      <c r="Q192" s="16"/>
      <c r="R192" s="14" t="s">
        <v>2048</v>
      </c>
      <c r="S192" s="14" t="s">
        <v>2048</v>
      </c>
      <c r="T192" s="14" t="s">
        <v>2048</v>
      </c>
      <c r="U192" s="14" t="s">
        <v>2048</v>
      </c>
      <c r="V192" s="14" t="s">
        <v>4192</v>
      </c>
      <c r="W192" s="14" t="s">
        <v>4536</v>
      </c>
      <c r="X192" s="14" t="s">
        <v>3818</v>
      </c>
      <c r="Y192" s="14" t="s">
        <v>4537</v>
      </c>
      <c r="Z192" s="14" t="s">
        <v>2048</v>
      </c>
      <c r="AA192" s="14" t="s">
        <v>2422</v>
      </c>
      <c r="AB192" s="14" t="s">
        <v>2049</v>
      </c>
      <c r="AC192" s="14" t="s">
        <v>2050</v>
      </c>
      <c r="AD192" s="14" t="s">
        <v>3690</v>
      </c>
      <c r="AE192" s="14" t="s">
        <v>3613</v>
      </c>
      <c r="AF192" s="14" t="s">
        <v>3614</v>
      </c>
      <c r="AG192" s="14" t="s">
        <v>2048</v>
      </c>
      <c r="AH192" s="14" t="s">
        <v>2048</v>
      </c>
      <c r="AI192" s="14" t="s">
        <v>159</v>
      </c>
      <c r="AJ192" s="14" t="s">
        <v>585</v>
      </c>
      <c r="AK192" s="14" t="s">
        <v>2056</v>
      </c>
      <c r="AL192" s="14" t="s">
        <v>2055</v>
      </c>
      <c r="AM192" s="14" t="s">
        <v>2055</v>
      </c>
      <c r="AN192" s="14" t="s">
        <v>2068</v>
      </c>
      <c r="AO192" s="14" t="s">
        <v>2048</v>
      </c>
      <c r="AP192" s="14" t="s">
        <v>2048</v>
      </c>
      <c r="AQ192" s="14" t="s">
        <v>4196</v>
      </c>
      <c r="AR192" s="14" t="s">
        <v>3131</v>
      </c>
      <c r="AS192" s="14" t="s">
        <v>3776</v>
      </c>
      <c r="AT192" s="14" t="s">
        <v>3191</v>
      </c>
      <c r="AU192" s="14" t="s">
        <v>4538</v>
      </c>
      <c r="AV192" s="14" t="s">
        <v>2738</v>
      </c>
      <c r="AW192" s="14" t="s">
        <v>2739</v>
      </c>
      <c r="AX192" s="14" t="s">
        <v>2048</v>
      </c>
      <c r="AY192" s="14" t="s">
        <v>2740</v>
      </c>
      <c r="AZ192" s="14" t="s">
        <v>2741</v>
      </c>
      <c r="BA192" s="14" t="s">
        <v>3627</v>
      </c>
      <c r="BB192" s="14" t="s">
        <v>2048</v>
      </c>
      <c r="BC192" s="14" t="s">
        <v>584</v>
      </c>
      <c r="BD192" s="14" t="s">
        <v>588</v>
      </c>
      <c r="BE192" s="14" t="s">
        <v>2742</v>
      </c>
      <c r="BF192" s="14" t="s">
        <v>2048</v>
      </c>
      <c r="BG192" s="14" t="s">
        <v>2048</v>
      </c>
      <c r="BH192" s="14" t="s">
        <v>2743</v>
      </c>
      <c r="BI192" s="14" t="s">
        <v>2744</v>
      </c>
      <c r="BJ192" s="14" t="s">
        <v>2745</v>
      </c>
      <c r="BK192" s="14" t="s">
        <v>2746</v>
      </c>
      <c r="BL192" s="14" t="s">
        <v>2747</v>
      </c>
      <c r="BM192" s="14" t="s">
        <v>2287</v>
      </c>
      <c r="BN192" s="14" t="s">
        <v>2048</v>
      </c>
      <c r="BO192" s="14" t="s">
        <v>2048</v>
      </c>
      <c r="BP192" s="14" t="s">
        <v>2064</v>
      </c>
      <c r="BQ192" s="14" t="s">
        <v>72</v>
      </c>
      <c r="BR192" s="14" t="s">
        <v>72</v>
      </c>
      <c r="BS192" s="14" t="s">
        <v>2048</v>
      </c>
      <c r="BT192" s="14" t="s">
        <v>2749</v>
      </c>
      <c r="BU192" s="14" t="s">
        <v>2750</v>
      </c>
      <c r="BV192" s="14" t="s">
        <v>2418</v>
      </c>
      <c r="BW192" s="14" t="s">
        <v>2089</v>
      </c>
      <c r="BX192" s="14" t="s">
        <v>2048</v>
      </c>
      <c r="BY192" s="14" t="s">
        <v>2048</v>
      </c>
      <c r="BZ192" s="14" t="s">
        <v>2048</v>
      </c>
      <c r="CA192" s="14" t="s">
        <v>2048</v>
      </c>
      <c r="CB192" s="14" t="s">
        <v>72</v>
      </c>
      <c r="CC192" s="14" t="s">
        <v>2048</v>
      </c>
      <c r="CD192" s="14" t="s">
        <v>2048</v>
      </c>
      <c r="CE192" s="14" t="s">
        <v>2048</v>
      </c>
      <c r="CF192" s="14" t="s">
        <v>2048</v>
      </c>
      <c r="CG192" s="14" t="s">
        <v>2048</v>
      </c>
      <c r="CH192" s="14" t="s">
        <v>2048</v>
      </c>
      <c r="CI192" s="14" t="s">
        <v>2048</v>
      </c>
      <c r="CJ192" s="14" t="s">
        <v>2048</v>
      </c>
      <c r="CK192" s="14" t="s">
        <v>2057</v>
      </c>
      <c r="CL192" s="14" t="s">
        <v>2090</v>
      </c>
      <c r="CM192" s="14" t="s">
        <v>2048</v>
      </c>
      <c r="CN192" s="17"/>
      <c r="CO192" s="17">
        <v>44235</v>
      </c>
      <c r="CP192" s="17">
        <v>44235</v>
      </c>
      <c r="CR192" s="17">
        <v>45510</v>
      </c>
      <c r="CS192" s="19">
        <v>48</v>
      </c>
      <c r="CT192" s="19">
        <v>0</v>
      </c>
      <c r="CU192" s="19">
        <v>275.41000000000003</v>
      </c>
      <c r="CV192" s="19">
        <v>0</v>
      </c>
      <c r="CW192" s="19">
        <v>275.41000000000003</v>
      </c>
      <c r="CX192" s="19">
        <v>333.25</v>
      </c>
      <c r="CY192" s="19">
        <v>0</v>
      </c>
      <c r="CZ192" s="17"/>
      <c r="DA192" s="20">
        <v>4333</v>
      </c>
      <c r="DB192" s="17">
        <v>45716</v>
      </c>
      <c r="DC192" s="17"/>
      <c r="DD192" s="19">
        <v>0</v>
      </c>
      <c r="DE192" s="17"/>
      <c r="DF192" s="17"/>
      <c r="DG192" s="19">
        <v>50</v>
      </c>
      <c r="DH192" s="17"/>
      <c r="DI192" s="17">
        <v>46022</v>
      </c>
      <c r="DJ192" s="17"/>
      <c r="DK192" s="17"/>
      <c r="DL192" s="19">
        <v>0</v>
      </c>
      <c r="DM192" s="19">
        <v>0</v>
      </c>
    </row>
    <row r="193" spans="1:117" x14ac:dyDescent="0.2">
      <c r="A193" s="14" t="s">
        <v>3610</v>
      </c>
      <c r="B193" s="14" t="s">
        <v>293</v>
      </c>
      <c r="C193" s="14" t="s">
        <v>73</v>
      </c>
      <c r="D193" s="14" t="s">
        <v>200</v>
      </c>
      <c r="E193" s="14" t="s">
        <v>201</v>
      </c>
      <c r="F193" s="14" t="s">
        <v>76</v>
      </c>
      <c r="G193" s="17">
        <v>45640</v>
      </c>
      <c r="H193" s="14" t="s">
        <v>77</v>
      </c>
      <c r="I193" s="14" t="s">
        <v>78</v>
      </c>
      <c r="J193" s="14" t="s">
        <v>213</v>
      </c>
      <c r="K193" s="14" t="s">
        <v>237</v>
      </c>
      <c r="L193" s="14" t="s">
        <v>119</v>
      </c>
      <c r="M193" s="14" t="s">
        <v>120</v>
      </c>
      <c r="N193" s="16">
        <f>COUNTIF($M$3:M193, M193)</f>
        <v>21</v>
      </c>
      <c r="O193" s="16" t="str" cm="1">
        <f t="array" ref="O193">INDEX('[2]ALTA 20242025'!$B$2:$B$241, MATCH(1, ('[2]ALTA 20242025'!$I$2:$I$241=M193)*('[2]ALTA 20242025'!$J$2:$J$241=N193), 0))</f>
        <v>6094MWV</v>
      </c>
      <c r="P193" s="16"/>
      <c r="Q193" s="16"/>
      <c r="R193" s="14" t="s">
        <v>2048</v>
      </c>
      <c r="S193" s="14" t="s">
        <v>2048</v>
      </c>
      <c r="T193" s="14" t="s">
        <v>2048</v>
      </c>
      <c r="U193" s="14" t="s">
        <v>2048</v>
      </c>
      <c r="V193" s="14" t="s">
        <v>3620</v>
      </c>
      <c r="W193" s="14" t="s">
        <v>4539</v>
      </c>
      <c r="X193" s="14" t="s">
        <v>4540</v>
      </c>
      <c r="Y193" s="14" t="s">
        <v>4541</v>
      </c>
      <c r="Z193" s="14" t="s">
        <v>2048</v>
      </c>
      <c r="AA193" s="14" t="s">
        <v>2422</v>
      </c>
      <c r="AB193" s="14" t="s">
        <v>2049</v>
      </c>
      <c r="AC193" s="14" t="s">
        <v>2050</v>
      </c>
      <c r="AD193" s="14" t="s">
        <v>3725</v>
      </c>
      <c r="AE193" s="14" t="s">
        <v>3613</v>
      </c>
      <c r="AF193" s="14" t="s">
        <v>3614</v>
      </c>
      <c r="AG193" s="14" t="s">
        <v>200</v>
      </c>
      <c r="AH193" s="14" t="s">
        <v>3622</v>
      </c>
      <c r="AI193" s="14" t="s">
        <v>2132</v>
      </c>
      <c r="AJ193" s="14" t="s">
        <v>2133</v>
      </c>
      <c r="AK193" s="14" t="s">
        <v>2055</v>
      </c>
      <c r="AL193" s="14" t="s">
        <v>2055</v>
      </c>
      <c r="AM193" s="14" t="s">
        <v>2055</v>
      </c>
      <c r="AN193" s="14" t="s">
        <v>2068</v>
      </c>
      <c r="AO193" s="14" t="s">
        <v>2048</v>
      </c>
      <c r="AP193" s="14" t="s">
        <v>2048</v>
      </c>
      <c r="AQ193" s="14" t="s">
        <v>2048</v>
      </c>
      <c r="AR193" s="14" t="s">
        <v>2585</v>
      </c>
      <c r="AS193" s="14" t="s">
        <v>3623</v>
      </c>
      <c r="AT193" s="14" t="s">
        <v>2135</v>
      </c>
      <c r="AU193" s="14" t="s">
        <v>4542</v>
      </c>
      <c r="AV193" s="14" t="s">
        <v>4543</v>
      </c>
      <c r="AW193" s="14" t="s">
        <v>4544</v>
      </c>
      <c r="AX193" s="14" t="s">
        <v>2048</v>
      </c>
      <c r="AY193" s="14" t="s">
        <v>2589</v>
      </c>
      <c r="AZ193" s="14" t="s">
        <v>2590</v>
      </c>
      <c r="BA193" s="14" t="s">
        <v>2048</v>
      </c>
      <c r="BB193" s="14" t="s">
        <v>2048</v>
      </c>
      <c r="BC193" s="14" t="s">
        <v>119</v>
      </c>
      <c r="BD193" s="14" t="s">
        <v>294</v>
      </c>
      <c r="BE193" s="14" t="s">
        <v>2601</v>
      </c>
      <c r="BF193" s="14" t="s">
        <v>2048</v>
      </c>
      <c r="BG193" s="14" t="s">
        <v>2048</v>
      </c>
      <c r="BH193" s="14" t="s">
        <v>2592</v>
      </c>
      <c r="BI193" s="14" t="s">
        <v>2593</v>
      </c>
      <c r="BJ193" s="14" t="s">
        <v>2602</v>
      </c>
      <c r="BK193" s="14" t="s">
        <v>2603</v>
      </c>
      <c r="BL193" s="14" t="s">
        <v>2596</v>
      </c>
      <c r="BM193" s="14" t="s">
        <v>2287</v>
      </c>
      <c r="BN193" s="14" t="s">
        <v>2048</v>
      </c>
      <c r="BO193" s="14" t="s">
        <v>2048</v>
      </c>
      <c r="BP193" s="14" t="s">
        <v>2064</v>
      </c>
      <c r="BQ193" s="14" t="s">
        <v>72</v>
      </c>
      <c r="BR193" s="14" t="s">
        <v>72</v>
      </c>
      <c r="BS193" s="14" t="s">
        <v>2048</v>
      </c>
      <c r="BT193" s="14" t="s">
        <v>4041</v>
      </c>
      <c r="BU193" s="14" t="s">
        <v>4042</v>
      </c>
      <c r="BV193" s="14" t="s">
        <v>2331</v>
      </c>
      <c r="BW193" s="14" t="s">
        <v>2131</v>
      </c>
      <c r="BX193" s="14" t="s">
        <v>2048</v>
      </c>
      <c r="BY193" s="14" t="s">
        <v>2048</v>
      </c>
      <c r="BZ193" s="14" t="s">
        <v>2048</v>
      </c>
      <c r="CA193" s="14" t="s">
        <v>2048</v>
      </c>
      <c r="CB193" s="14" t="s">
        <v>72</v>
      </c>
      <c r="CC193" s="14" t="s">
        <v>2048</v>
      </c>
      <c r="CD193" s="14" t="s">
        <v>2048</v>
      </c>
      <c r="CE193" s="14" t="s">
        <v>2048</v>
      </c>
      <c r="CF193" s="14" t="s">
        <v>2048</v>
      </c>
      <c r="CG193" s="14" t="s">
        <v>2048</v>
      </c>
      <c r="CH193" s="14" t="s">
        <v>2048</v>
      </c>
      <c r="CI193" s="14" t="s">
        <v>2048</v>
      </c>
      <c r="CJ193" s="14" t="s">
        <v>2048</v>
      </c>
      <c r="CK193" s="14" t="s">
        <v>2068</v>
      </c>
      <c r="CL193" s="14" t="s">
        <v>2069</v>
      </c>
      <c r="CM193" s="14" t="s">
        <v>2048</v>
      </c>
      <c r="CN193" s="17"/>
      <c r="CO193" s="17">
        <v>44179</v>
      </c>
      <c r="CP193" s="17">
        <v>44179</v>
      </c>
      <c r="CR193" s="17">
        <v>45680</v>
      </c>
      <c r="CS193" s="19">
        <v>48</v>
      </c>
      <c r="CT193" s="19">
        <v>0</v>
      </c>
      <c r="CU193" s="19">
        <v>174.93</v>
      </c>
      <c r="CV193" s="19">
        <v>0</v>
      </c>
      <c r="CW193" s="19">
        <v>174.93</v>
      </c>
      <c r="CX193" s="19">
        <v>211.67</v>
      </c>
      <c r="CY193" s="19">
        <v>0</v>
      </c>
      <c r="CZ193" s="17"/>
      <c r="DA193" s="19">
        <v>0</v>
      </c>
      <c r="DB193" s="17"/>
      <c r="DC193" s="17"/>
      <c r="DD193" s="19">
        <v>0</v>
      </c>
      <c r="DE193" s="17"/>
      <c r="DF193" s="17"/>
      <c r="DG193" s="19">
        <v>100</v>
      </c>
      <c r="DH193" s="17"/>
      <c r="DI193" s="17">
        <v>45657</v>
      </c>
      <c r="DJ193" s="17"/>
      <c r="DK193" s="17"/>
      <c r="DL193" s="19">
        <v>0</v>
      </c>
      <c r="DM193" s="19">
        <v>0</v>
      </c>
    </row>
    <row r="194" spans="1:117" x14ac:dyDescent="0.2">
      <c r="A194" s="14" t="s">
        <v>3610</v>
      </c>
      <c r="B194" s="14" t="s">
        <v>775</v>
      </c>
      <c r="C194" s="14" t="s">
        <v>73</v>
      </c>
      <c r="D194" s="14" t="s">
        <v>200</v>
      </c>
      <c r="E194" s="14" t="s">
        <v>201</v>
      </c>
      <c r="F194" s="14" t="s">
        <v>76</v>
      </c>
      <c r="G194" s="17">
        <v>45646</v>
      </c>
      <c r="H194" s="14" t="s">
        <v>77</v>
      </c>
      <c r="I194" s="14" t="s">
        <v>78</v>
      </c>
      <c r="J194" s="14" t="s">
        <v>359</v>
      </c>
      <c r="K194" s="14" t="s">
        <v>769</v>
      </c>
      <c r="L194" s="14" t="s">
        <v>119</v>
      </c>
      <c r="M194" s="14" t="s">
        <v>120</v>
      </c>
      <c r="N194" s="16">
        <f>COUNTIF($M$3:M194, M194)</f>
        <v>22</v>
      </c>
      <c r="O194" s="16" t="str" cm="1">
        <f t="array" ref="O194">INDEX('[2]ALTA 20242025'!$B$2:$B$241, MATCH(1, ('[2]ALTA 20242025'!$I$2:$I$241=M194)*('[2]ALTA 20242025'!$J$2:$J$241=N194), 0))</f>
        <v>6097MWV</v>
      </c>
      <c r="P194" s="16"/>
      <c r="Q194" s="16"/>
      <c r="R194" s="14" t="s">
        <v>204</v>
      </c>
      <c r="S194" s="14" t="s">
        <v>205</v>
      </c>
      <c r="T194" s="14" t="s">
        <v>2048</v>
      </c>
      <c r="U194" s="14" t="s">
        <v>2048</v>
      </c>
      <c r="V194" s="14" t="s">
        <v>3831</v>
      </c>
      <c r="W194" s="14" t="s">
        <v>4545</v>
      </c>
      <c r="X194" s="14" t="s">
        <v>4010</v>
      </c>
      <c r="Y194" s="14" t="s">
        <v>4546</v>
      </c>
      <c r="Z194" s="14" t="s">
        <v>2048</v>
      </c>
      <c r="AA194" s="14" t="s">
        <v>2422</v>
      </c>
      <c r="AB194" s="14" t="s">
        <v>2049</v>
      </c>
      <c r="AC194" s="14" t="s">
        <v>2050</v>
      </c>
      <c r="AD194" s="14" t="s">
        <v>3725</v>
      </c>
      <c r="AE194" s="14" t="s">
        <v>3613</v>
      </c>
      <c r="AF194" s="14" t="s">
        <v>3614</v>
      </c>
      <c r="AG194" s="14" t="s">
        <v>200</v>
      </c>
      <c r="AH194" s="14" t="s">
        <v>3622</v>
      </c>
      <c r="AI194" s="14" t="s">
        <v>3472</v>
      </c>
      <c r="AJ194" s="14" t="s">
        <v>3821</v>
      </c>
      <c r="AK194" s="14" t="s">
        <v>2055</v>
      </c>
      <c r="AL194" s="14" t="s">
        <v>2055</v>
      </c>
      <c r="AM194" s="14" t="s">
        <v>2055</v>
      </c>
      <c r="AN194" s="14" t="s">
        <v>2068</v>
      </c>
      <c r="AO194" s="14" t="s">
        <v>2048</v>
      </c>
      <c r="AP194" s="14" t="s">
        <v>2048</v>
      </c>
      <c r="AQ194" s="14" t="s">
        <v>2048</v>
      </c>
      <c r="AR194" s="14" t="s">
        <v>2048</v>
      </c>
      <c r="AS194" s="14" t="s">
        <v>3615</v>
      </c>
      <c r="AT194" s="14" t="s">
        <v>2135</v>
      </c>
      <c r="AU194" s="14" t="s">
        <v>4547</v>
      </c>
      <c r="AV194" s="14" t="s">
        <v>2060</v>
      </c>
      <c r="AW194" s="14" t="s">
        <v>2048</v>
      </c>
      <c r="AX194" s="14" t="s">
        <v>2048</v>
      </c>
      <c r="AY194" s="14" t="s">
        <v>3616</v>
      </c>
      <c r="AZ194" s="14" t="s">
        <v>3617</v>
      </c>
      <c r="BA194" s="14" t="s">
        <v>3627</v>
      </c>
      <c r="BB194" s="14" t="s">
        <v>2048</v>
      </c>
      <c r="BC194" s="14" t="s">
        <v>119</v>
      </c>
      <c r="BD194" s="14" t="s">
        <v>776</v>
      </c>
      <c r="BE194" s="14" t="s">
        <v>3913</v>
      </c>
      <c r="BF194" s="14" t="s">
        <v>2048</v>
      </c>
      <c r="BG194" s="14" t="s">
        <v>2048</v>
      </c>
      <c r="BH194" s="14" t="s">
        <v>3598</v>
      </c>
      <c r="BI194" s="14" t="s">
        <v>3599</v>
      </c>
      <c r="BJ194" s="14" t="s">
        <v>3914</v>
      </c>
      <c r="BK194" s="14" t="s">
        <v>3915</v>
      </c>
      <c r="BL194" s="14" t="s">
        <v>3895</v>
      </c>
      <c r="BM194" s="14" t="s">
        <v>3600</v>
      </c>
      <c r="BN194" s="14" t="s">
        <v>2048</v>
      </c>
      <c r="BO194" s="14" t="s">
        <v>2048</v>
      </c>
      <c r="BP194" s="14" t="s">
        <v>2064</v>
      </c>
      <c r="BQ194" s="14" t="s">
        <v>72</v>
      </c>
      <c r="BR194" s="14" t="s">
        <v>72</v>
      </c>
      <c r="BS194" s="14" t="s">
        <v>4548</v>
      </c>
      <c r="BT194" s="14" t="s">
        <v>2048</v>
      </c>
      <c r="BU194" s="14" t="s">
        <v>2048</v>
      </c>
      <c r="BV194" s="14" t="s">
        <v>2331</v>
      </c>
      <c r="BW194" s="14" t="s">
        <v>2131</v>
      </c>
      <c r="BX194" s="14" t="s">
        <v>2048</v>
      </c>
      <c r="BY194" s="14" t="s">
        <v>2048</v>
      </c>
      <c r="BZ194" s="14" t="s">
        <v>2048</v>
      </c>
      <c r="CA194" s="14" t="s">
        <v>2048</v>
      </c>
      <c r="CB194" s="14" t="s">
        <v>72</v>
      </c>
      <c r="CC194" s="14" t="s">
        <v>2048</v>
      </c>
      <c r="CD194" s="14" t="s">
        <v>72</v>
      </c>
      <c r="CE194" s="14" t="s">
        <v>2048</v>
      </c>
      <c r="CF194" s="14" t="s">
        <v>2048</v>
      </c>
      <c r="CG194" s="14" t="s">
        <v>2048</v>
      </c>
      <c r="CH194" s="14" t="s">
        <v>2048</v>
      </c>
      <c r="CI194" s="14" t="s">
        <v>2048</v>
      </c>
      <c r="CJ194" s="14" t="s">
        <v>2048</v>
      </c>
      <c r="CK194" s="14" t="s">
        <v>3603</v>
      </c>
      <c r="CL194" s="14" t="s">
        <v>3604</v>
      </c>
      <c r="CM194" s="14" t="s">
        <v>2048</v>
      </c>
      <c r="CN194" s="17">
        <v>45658</v>
      </c>
      <c r="CO194" s="17">
        <v>43819</v>
      </c>
      <c r="CP194" s="17">
        <v>43819</v>
      </c>
      <c r="CR194" s="17">
        <v>45798</v>
      </c>
      <c r="CS194" s="19">
        <v>60</v>
      </c>
      <c r="CT194" s="19">
        <v>0</v>
      </c>
      <c r="CU194" s="19">
        <v>284.86</v>
      </c>
      <c r="CV194" s="19">
        <v>0</v>
      </c>
      <c r="CW194" s="19">
        <v>284.86</v>
      </c>
      <c r="CX194" s="19">
        <v>344.68</v>
      </c>
      <c r="CY194" s="19">
        <v>0</v>
      </c>
      <c r="CZ194" s="17"/>
      <c r="DA194" s="20">
        <v>64811</v>
      </c>
      <c r="DB194" s="17">
        <v>45716</v>
      </c>
      <c r="DC194" s="17">
        <v>46007</v>
      </c>
      <c r="DD194" s="19">
        <v>0</v>
      </c>
      <c r="DE194" s="17"/>
      <c r="DF194" s="17"/>
      <c r="DG194" s="19">
        <v>100</v>
      </c>
      <c r="DH194" s="17"/>
      <c r="DI194" s="17">
        <v>46022</v>
      </c>
      <c r="DJ194" s="17"/>
      <c r="DK194" s="17"/>
      <c r="DL194" s="19">
        <v>0</v>
      </c>
      <c r="DM194" s="19">
        <v>0</v>
      </c>
    </row>
    <row r="195" spans="1:117" x14ac:dyDescent="0.2">
      <c r="A195" s="14" t="s">
        <v>3610</v>
      </c>
      <c r="B195" s="14" t="s">
        <v>803</v>
      </c>
      <c r="C195" s="14" t="s">
        <v>73</v>
      </c>
      <c r="D195" s="14" t="s">
        <v>200</v>
      </c>
      <c r="E195" s="14" t="s">
        <v>201</v>
      </c>
      <c r="F195" s="14" t="s">
        <v>76</v>
      </c>
      <c r="G195" s="17">
        <v>45705</v>
      </c>
      <c r="H195" s="14" t="s">
        <v>77</v>
      </c>
      <c r="I195" s="14" t="s">
        <v>78</v>
      </c>
      <c r="J195" s="14" t="s">
        <v>85</v>
      </c>
      <c r="K195" s="14" t="s">
        <v>804</v>
      </c>
      <c r="L195" s="14" t="s">
        <v>336</v>
      </c>
      <c r="M195" s="14" t="s">
        <v>337</v>
      </c>
      <c r="N195" s="16">
        <f>COUNTIF($M$3:M195, M195)</f>
        <v>12</v>
      </c>
      <c r="O195" s="16" t="str" cm="1">
        <f t="array" ref="O195">INDEX('[2]ALTA 20242025'!$B$2:$B$241, MATCH(1, ('[2]ALTA 20242025'!$I$2:$I$241=M195)*('[2]ALTA 20242025'!$J$2:$J$241=N195), 0))</f>
        <v>6559MWV</v>
      </c>
      <c r="P195" s="16"/>
      <c r="Q195" s="16"/>
      <c r="R195" s="14" t="s">
        <v>2048</v>
      </c>
      <c r="S195" s="14" t="s">
        <v>2048</v>
      </c>
      <c r="T195" s="14" t="s">
        <v>2048</v>
      </c>
      <c r="U195" s="14" t="s">
        <v>2048</v>
      </c>
      <c r="V195" s="14" t="s">
        <v>4192</v>
      </c>
      <c r="W195" s="14" t="s">
        <v>4549</v>
      </c>
      <c r="X195" s="14" t="s">
        <v>3845</v>
      </c>
      <c r="Y195" s="14" t="s">
        <v>4550</v>
      </c>
      <c r="Z195" s="14" t="s">
        <v>2048</v>
      </c>
      <c r="AA195" s="14" t="s">
        <v>2422</v>
      </c>
      <c r="AB195" s="14" t="s">
        <v>2049</v>
      </c>
      <c r="AC195" s="14" t="s">
        <v>2050</v>
      </c>
      <c r="AD195" s="14" t="s">
        <v>3820</v>
      </c>
      <c r="AE195" s="14" t="s">
        <v>3613</v>
      </c>
      <c r="AF195" s="14" t="s">
        <v>3614</v>
      </c>
      <c r="AG195" s="14" t="s">
        <v>200</v>
      </c>
      <c r="AH195" s="14" t="s">
        <v>3622</v>
      </c>
      <c r="AI195" s="14" t="s">
        <v>2132</v>
      </c>
      <c r="AJ195" s="14" t="s">
        <v>2133</v>
      </c>
      <c r="AK195" s="14" t="s">
        <v>2055</v>
      </c>
      <c r="AL195" s="14" t="s">
        <v>2055</v>
      </c>
      <c r="AM195" s="14" t="s">
        <v>2055</v>
      </c>
      <c r="AN195" s="14" t="s">
        <v>2068</v>
      </c>
      <c r="AO195" s="14" t="s">
        <v>2048</v>
      </c>
      <c r="AP195" s="14" t="s">
        <v>2048</v>
      </c>
      <c r="AQ195" s="14" t="s">
        <v>4513</v>
      </c>
      <c r="AR195" s="14" t="s">
        <v>2048</v>
      </c>
      <c r="AS195" s="14" t="s">
        <v>3776</v>
      </c>
      <c r="AT195" s="14" t="s">
        <v>3191</v>
      </c>
      <c r="AU195" s="14" t="s">
        <v>4551</v>
      </c>
      <c r="AV195" s="14" t="s">
        <v>4552</v>
      </c>
      <c r="AW195" s="14" t="s">
        <v>4553</v>
      </c>
      <c r="AX195" s="14" t="s">
        <v>2048</v>
      </c>
      <c r="AY195" s="14" t="s">
        <v>2561</v>
      </c>
      <c r="AZ195" s="14" t="s">
        <v>2562</v>
      </c>
      <c r="BA195" s="14" t="s">
        <v>2048</v>
      </c>
      <c r="BB195" s="14" t="s">
        <v>2048</v>
      </c>
      <c r="BC195" s="14" t="s">
        <v>336</v>
      </c>
      <c r="BD195" s="14" t="s">
        <v>805</v>
      </c>
      <c r="BE195" s="14" t="s">
        <v>4554</v>
      </c>
      <c r="BF195" s="14" t="s">
        <v>2048</v>
      </c>
      <c r="BG195" s="14" t="s">
        <v>2048</v>
      </c>
      <c r="BH195" s="14" t="s">
        <v>2433</v>
      </c>
      <c r="BI195" s="14" t="s">
        <v>2434</v>
      </c>
      <c r="BJ195" s="14" t="s">
        <v>4555</v>
      </c>
      <c r="BK195" s="14" t="s">
        <v>4556</v>
      </c>
      <c r="BL195" s="14" t="s">
        <v>3547</v>
      </c>
      <c r="BM195" s="14" t="s">
        <v>2287</v>
      </c>
      <c r="BN195" s="14" t="s">
        <v>2048</v>
      </c>
      <c r="BO195" s="14" t="s">
        <v>2048</v>
      </c>
      <c r="BP195" s="14" t="s">
        <v>2064</v>
      </c>
      <c r="BQ195" s="14" t="s">
        <v>72</v>
      </c>
      <c r="BR195" s="14" t="s">
        <v>72</v>
      </c>
      <c r="BS195" s="14" t="s">
        <v>2048</v>
      </c>
      <c r="BT195" s="14" t="s">
        <v>4557</v>
      </c>
      <c r="BU195" s="14" t="s">
        <v>4558</v>
      </c>
      <c r="BV195" s="14" t="s">
        <v>2331</v>
      </c>
      <c r="BW195" s="14" t="s">
        <v>2131</v>
      </c>
      <c r="BX195" s="14" t="s">
        <v>2048</v>
      </c>
      <c r="BY195" s="14" t="s">
        <v>2048</v>
      </c>
      <c r="BZ195" s="14" t="s">
        <v>2048</v>
      </c>
      <c r="CA195" s="14" t="s">
        <v>2048</v>
      </c>
      <c r="CB195" s="14" t="s">
        <v>72</v>
      </c>
      <c r="CC195" s="14" t="s">
        <v>2048</v>
      </c>
      <c r="CD195" s="14" t="s">
        <v>2048</v>
      </c>
      <c r="CE195" s="14" t="s">
        <v>2048</v>
      </c>
      <c r="CF195" s="14" t="s">
        <v>2048</v>
      </c>
      <c r="CG195" s="14" t="s">
        <v>2048</v>
      </c>
      <c r="CH195" s="14" t="s">
        <v>2048</v>
      </c>
      <c r="CI195" s="14" t="s">
        <v>2048</v>
      </c>
      <c r="CJ195" s="14" t="s">
        <v>2048</v>
      </c>
      <c r="CK195" s="14" t="s">
        <v>4559</v>
      </c>
      <c r="CL195" s="14" t="s">
        <v>4560</v>
      </c>
      <c r="CM195" s="14" t="s">
        <v>2048</v>
      </c>
      <c r="CN195" s="17"/>
      <c r="CO195" s="17">
        <v>44244</v>
      </c>
      <c r="CP195" s="17">
        <v>44244</v>
      </c>
      <c r="CR195" s="17">
        <v>45771</v>
      </c>
      <c r="CS195" s="19">
        <v>48</v>
      </c>
      <c r="CT195" s="19">
        <v>0</v>
      </c>
      <c r="CU195" s="19">
        <v>328.06</v>
      </c>
      <c r="CV195" s="19">
        <v>0</v>
      </c>
      <c r="CW195" s="19">
        <v>328.06</v>
      </c>
      <c r="CX195" s="19">
        <v>396.95</v>
      </c>
      <c r="CY195" s="19">
        <v>0</v>
      </c>
      <c r="CZ195" s="17"/>
      <c r="DA195" s="19">
        <v>0</v>
      </c>
      <c r="DB195" s="17"/>
      <c r="DC195" s="17"/>
      <c r="DD195" s="19">
        <v>0</v>
      </c>
      <c r="DE195" s="17"/>
      <c r="DF195" s="17"/>
      <c r="DG195" s="19">
        <v>100</v>
      </c>
      <c r="DH195" s="17"/>
      <c r="DI195" s="17">
        <v>46022</v>
      </c>
      <c r="DJ195" s="17"/>
      <c r="DK195" s="17"/>
      <c r="DL195" s="19">
        <v>0</v>
      </c>
      <c r="DM195" s="19">
        <v>0</v>
      </c>
    </row>
    <row r="196" spans="1:117" x14ac:dyDescent="0.2">
      <c r="A196" s="14" t="s">
        <v>3610</v>
      </c>
      <c r="B196" s="14" t="s">
        <v>350</v>
      </c>
      <c r="C196" s="14" t="s">
        <v>73</v>
      </c>
      <c r="D196" s="14" t="s">
        <v>200</v>
      </c>
      <c r="E196" s="14" t="s">
        <v>201</v>
      </c>
      <c r="F196" s="14" t="s">
        <v>76</v>
      </c>
      <c r="G196" s="17">
        <v>45647</v>
      </c>
      <c r="H196" s="14" t="s">
        <v>77</v>
      </c>
      <c r="I196" s="14" t="s">
        <v>78</v>
      </c>
      <c r="J196" s="14" t="s">
        <v>213</v>
      </c>
      <c r="K196" s="14" t="s">
        <v>237</v>
      </c>
      <c r="L196" s="14" t="s">
        <v>336</v>
      </c>
      <c r="M196" s="14" t="s">
        <v>337</v>
      </c>
      <c r="N196" s="16">
        <f>COUNTIF($M$3:M196, M196)</f>
        <v>13</v>
      </c>
      <c r="O196" s="16" t="str" cm="1">
        <f t="array" ref="O196">INDEX('[2]ALTA 20242025'!$B$2:$B$241, MATCH(1, ('[2]ALTA 20242025'!$I$2:$I$241=M196)*('[2]ALTA 20242025'!$J$2:$J$241=N196), 0))</f>
        <v>6727LMH</v>
      </c>
      <c r="P196" s="16"/>
      <c r="Q196" s="16"/>
      <c r="R196" s="14" t="s">
        <v>2048</v>
      </c>
      <c r="S196" s="14" t="s">
        <v>2048</v>
      </c>
      <c r="T196" s="14" t="s">
        <v>2048</v>
      </c>
      <c r="U196" s="14" t="s">
        <v>2048</v>
      </c>
      <c r="V196" s="14" t="s">
        <v>3620</v>
      </c>
      <c r="W196" s="14" t="s">
        <v>4561</v>
      </c>
      <c r="X196" s="14" t="s">
        <v>4562</v>
      </c>
      <c r="Y196" s="14" t="s">
        <v>4563</v>
      </c>
      <c r="Z196" s="14" t="s">
        <v>2048</v>
      </c>
      <c r="AA196" s="14" t="s">
        <v>2422</v>
      </c>
      <c r="AB196" s="14" t="s">
        <v>2049</v>
      </c>
      <c r="AC196" s="14" t="s">
        <v>2050</v>
      </c>
      <c r="AD196" s="14" t="s">
        <v>3725</v>
      </c>
      <c r="AE196" s="14" t="s">
        <v>3613</v>
      </c>
      <c r="AF196" s="14" t="s">
        <v>3614</v>
      </c>
      <c r="AG196" s="14" t="s">
        <v>200</v>
      </c>
      <c r="AH196" s="14" t="s">
        <v>3622</v>
      </c>
      <c r="AI196" s="14" t="s">
        <v>2132</v>
      </c>
      <c r="AJ196" s="14" t="s">
        <v>2133</v>
      </c>
      <c r="AK196" s="14" t="s">
        <v>2055</v>
      </c>
      <c r="AL196" s="14" t="s">
        <v>2055</v>
      </c>
      <c r="AM196" s="14" t="s">
        <v>2055</v>
      </c>
      <c r="AN196" s="14" t="s">
        <v>2068</v>
      </c>
      <c r="AO196" s="14" t="s">
        <v>2048</v>
      </c>
      <c r="AP196" s="14" t="s">
        <v>2048</v>
      </c>
      <c r="AQ196" s="14" t="s">
        <v>2048</v>
      </c>
      <c r="AR196" s="14" t="s">
        <v>3119</v>
      </c>
      <c r="AS196" s="14" t="s">
        <v>3623</v>
      </c>
      <c r="AT196" s="14" t="s">
        <v>2135</v>
      </c>
      <c r="AU196" s="14" t="s">
        <v>4564</v>
      </c>
      <c r="AV196" s="14" t="s">
        <v>3120</v>
      </c>
      <c r="AW196" s="14" t="s">
        <v>3121</v>
      </c>
      <c r="AX196" s="14" t="s">
        <v>2048</v>
      </c>
      <c r="AY196" s="14" t="s">
        <v>3122</v>
      </c>
      <c r="AZ196" s="14" t="s">
        <v>3123</v>
      </c>
      <c r="BA196" s="14" t="s">
        <v>2048</v>
      </c>
      <c r="BB196" s="14" t="s">
        <v>2048</v>
      </c>
      <c r="BC196" s="14" t="s">
        <v>336</v>
      </c>
      <c r="BD196" s="14" t="s">
        <v>351</v>
      </c>
      <c r="BE196" s="14" t="s">
        <v>3124</v>
      </c>
      <c r="BF196" s="14" t="s">
        <v>2048</v>
      </c>
      <c r="BG196" s="14" t="s">
        <v>2048</v>
      </c>
      <c r="BH196" s="14" t="s">
        <v>2048</v>
      </c>
      <c r="BI196" s="14" t="s">
        <v>2048</v>
      </c>
      <c r="BJ196" s="14" t="s">
        <v>3125</v>
      </c>
      <c r="BK196" s="14" t="s">
        <v>3126</v>
      </c>
      <c r="BL196" s="14" t="s">
        <v>3127</v>
      </c>
      <c r="BM196" s="14" t="s">
        <v>2287</v>
      </c>
      <c r="BN196" s="14" t="s">
        <v>2048</v>
      </c>
      <c r="BO196" s="14" t="s">
        <v>2048</v>
      </c>
      <c r="BP196" s="14" t="s">
        <v>2064</v>
      </c>
      <c r="BQ196" s="14" t="s">
        <v>72</v>
      </c>
      <c r="BR196" s="14" t="s">
        <v>72</v>
      </c>
      <c r="BS196" s="14" t="s">
        <v>2048</v>
      </c>
      <c r="BT196" s="14" t="s">
        <v>3129</v>
      </c>
      <c r="BU196" s="14" t="s">
        <v>3119</v>
      </c>
      <c r="BV196" s="14" t="s">
        <v>2331</v>
      </c>
      <c r="BW196" s="14" t="s">
        <v>2131</v>
      </c>
      <c r="BX196" s="14" t="s">
        <v>2048</v>
      </c>
      <c r="BY196" s="14" t="s">
        <v>2048</v>
      </c>
      <c r="BZ196" s="14" t="s">
        <v>2048</v>
      </c>
      <c r="CA196" s="14" t="s">
        <v>2048</v>
      </c>
      <c r="CB196" s="14" t="s">
        <v>72</v>
      </c>
      <c r="CC196" s="14" t="s">
        <v>2048</v>
      </c>
      <c r="CD196" s="14" t="s">
        <v>2048</v>
      </c>
      <c r="CE196" s="14" t="s">
        <v>2048</v>
      </c>
      <c r="CF196" s="14" t="s">
        <v>2048</v>
      </c>
      <c r="CG196" s="14" t="s">
        <v>2048</v>
      </c>
      <c r="CH196" s="14" t="s">
        <v>2048</v>
      </c>
      <c r="CI196" s="14" t="s">
        <v>2048</v>
      </c>
      <c r="CJ196" s="14" t="s">
        <v>2048</v>
      </c>
      <c r="CK196" s="14" t="s">
        <v>2068</v>
      </c>
      <c r="CL196" s="14" t="s">
        <v>2069</v>
      </c>
      <c r="CM196" s="14" t="s">
        <v>2048</v>
      </c>
      <c r="CN196" s="17"/>
      <c r="CO196" s="17">
        <v>44186</v>
      </c>
      <c r="CP196" s="17">
        <v>44186</v>
      </c>
      <c r="CR196" s="17">
        <v>45758</v>
      </c>
      <c r="CS196" s="19">
        <v>48</v>
      </c>
      <c r="CT196" s="19">
        <v>0</v>
      </c>
      <c r="CU196" s="19">
        <v>174.93</v>
      </c>
      <c r="CV196" s="19">
        <v>0</v>
      </c>
      <c r="CW196" s="19">
        <v>174.93</v>
      </c>
      <c r="CX196" s="19">
        <v>211.67</v>
      </c>
      <c r="CY196" s="19">
        <v>0</v>
      </c>
      <c r="CZ196" s="17"/>
      <c r="DA196" s="19">
        <v>0</v>
      </c>
      <c r="DB196" s="17"/>
      <c r="DC196" s="17"/>
      <c r="DD196" s="19">
        <v>0</v>
      </c>
      <c r="DE196" s="17"/>
      <c r="DF196" s="17"/>
      <c r="DG196" s="19">
        <v>100</v>
      </c>
      <c r="DH196" s="17"/>
      <c r="DI196" s="17">
        <v>46022</v>
      </c>
      <c r="DJ196" s="17"/>
      <c r="DK196" s="17"/>
      <c r="DL196" s="19">
        <v>0</v>
      </c>
      <c r="DM196" s="19">
        <v>0</v>
      </c>
    </row>
    <row r="197" spans="1:117" x14ac:dyDescent="0.2">
      <c r="A197" s="14" t="s">
        <v>3610</v>
      </c>
      <c r="B197" s="14" t="s">
        <v>492</v>
      </c>
      <c r="C197" s="14" t="s">
        <v>73</v>
      </c>
      <c r="D197" s="14" t="s">
        <v>200</v>
      </c>
      <c r="E197" s="14" t="s">
        <v>201</v>
      </c>
      <c r="F197" s="14" t="s">
        <v>160</v>
      </c>
      <c r="G197" s="17">
        <v>45650</v>
      </c>
      <c r="H197" s="14" t="s">
        <v>161</v>
      </c>
      <c r="I197" s="14" t="s">
        <v>78</v>
      </c>
      <c r="J197" s="14" t="s">
        <v>467</v>
      </c>
      <c r="K197" s="14" t="s">
        <v>476</v>
      </c>
      <c r="L197" s="14" t="s">
        <v>102</v>
      </c>
      <c r="M197" s="14" t="s">
        <v>103</v>
      </c>
      <c r="N197" s="16">
        <f>COUNTIF($M$3:M197, M197)</f>
        <v>39</v>
      </c>
      <c r="O197" s="16" t="str" cm="1">
        <f t="array" ref="O197">INDEX('[2]ALTA 20242025'!$B$2:$B$241, MATCH(1, ('[2]ALTA 20242025'!$I$2:$I$241=M197)*('[2]ALTA 20242025'!$J$2:$J$241=N197), 0))</f>
        <v>8603MWT</v>
      </c>
      <c r="P197" s="16"/>
      <c r="Q197" s="16"/>
      <c r="R197" s="14" t="s">
        <v>4565</v>
      </c>
      <c r="S197" s="14" t="s">
        <v>4566</v>
      </c>
      <c r="T197" s="14" t="s">
        <v>2048</v>
      </c>
      <c r="U197" s="14" t="s">
        <v>2048</v>
      </c>
      <c r="V197" s="14" t="s">
        <v>3620</v>
      </c>
      <c r="W197" s="14" t="s">
        <v>4567</v>
      </c>
      <c r="X197" s="14" t="s">
        <v>4568</v>
      </c>
      <c r="Y197" s="14" t="s">
        <v>4569</v>
      </c>
      <c r="Z197" s="14" t="s">
        <v>2048</v>
      </c>
      <c r="AA197" s="14" t="s">
        <v>2422</v>
      </c>
      <c r="AB197" s="14" t="s">
        <v>2049</v>
      </c>
      <c r="AC197" s="14" t="s">
        <v>2050</v>
      </c>
      <c r="AD197" s="14" t="s">
        <v>3796</v>
      </c>
      <c r="AE197" s="14" t="s">
        <v>3613</v>
      </c>
      <c r="AF197" s="14" t="s">
        <v>3614</v>
      </c>
      <c r="AG197" s="14" t="s">
        <v>200</v>
      </c>
      <c r="AH197" s="14" t="s">
        <v>3622</v>
      </c>
      <c r="AI197" s="14" t="s">
        <v>2072</v>
      </c>
      <c r="AJ197" s="14" t="s">
        <v>2073</v>
      </c>
      <c r="AK197" s="14" t="s">
        <v>2056</v>
      </c>
      <c r="AL197" s="14" t="s">
        <v>2056</v>
      </c>
      <c r="AM197" s="14" t="s">
        <v>2056</v>
      </c>
      <c r="AN197" s="14" t="s">
        <v>2068</v>
      </c>
      <c r="AO197" s="14" t="s">
        <v>2048</v>
      </c>
      <c r="AP197" s="14" t="s">
        <v>2048</v>
      </c>
      <c r="AQ197" s="14" t="s">
        <v>4196</v>
      </c>
      <c r="AR197" s="14" t="s">
        <v>2048</v>
      </c>
      <c r="AS197" s="14" t="s">
        <v>3623</v>
      </c>
      <c r="AT197" s="14" t="s">
        <v>2135</v>
      </c>
      <c r="AU197" s="14" t="s">
        <v>4570</v>
      </c>
      <c r="AV197" s="14" t="s">
        <v>4571</v>
      </c>
      <c r="AW197" s="14" t="s">
        <v>4572</v>
      </c>
      <c r="AX197" s="14" t="s">
        <v>72</v>
      </c>
      <c r="AY197" s="14" t="s">
        <v>2779</v>
      </c>
      <c r="AZ197" s="14" t="s">
        <v>2780</v>
      </c>
      <c r="BA197" s="14" t="s">
        <v>2048</v>
      </c>
      <c r="BB197" s="14" t="s">
        <v>2048</v>
      </c>
      <c r="BC197" s="14" t="s">
        <v>102</v>
      </c>
      <c r="BD197" s="14" t="s">
        <v>493</v>
      </c>
      <c r="BE197" s="14" t="s">
        <v>4573</v>
      </c>
      <c r="BF197" s="14" t="s">
        <v>2048</v>
      </c>
      <c r="BG197" s="14" t="s">
        <v>2048</v>
      </c>
      <c r="BH197" s="14" t="s">
        <v>2282</v>
      </c>
      <c r="BI197" s="14" t="s">
        <v>2782</v>
      </c>
      <c r="BJ197" s="14" t="s">
        <v>2783</v>
      </c>
      <c r="BK197" s="14" t="s">
        <v>2784</v>
      </c>
      <c r="BL197" s="14" t="s">
        <v>2785</v>
      </c>
      <c r="BM197" s="14" t="s">
        <v>2287</v>
      </c>
      <c r="BN197" s="14" t="s">
        <v>2048</v>
      </c>
      <c r="BO197" s="14" t="s">
        <v>2048</v>
      </c>
      <c r="BP197" s="14" t="s">
        <v>2064</v>
      </c>
      <c r="BQ197" s="14" t="s">
        <v>72</v>
      </c>
      <c r="BR197" s="14" t="s">
        <v>72</v>
      </c>
      <c r="BS197" s="14" t="s">
        <v>2048</v>
      </c>
      <c r="BT197" s="14" t="s">
        <v>4574</v>
      </c>
      <c r="BU197" s="14" t="s">
        <v>4575</v>
      </c>
      <c r="BV197" s="14" t="s">
        <v>2418</v>
      </c>
      <c r="BW197" s="14" t="s">
        <v>2089</v>
      </c>
      <c r="BX197" s="14" t="s">
        <v>2048</v>
      </c>
      <c r="BY197" s="14" t="s">
        <v>2048</v>
      </c>
      <c r="BZ197" s="14" t="s">
        <v>2048</v>
      </c>
      <c r="CA197" s="14" t="s">
        <v>2048</v>
      </c>
      <c r="CB197" s="14" t="s">
        <v>72</v>
      </c>
      <c r="CC197" s="14" t="s">
        <v>2048</v>
      </c>
      <c r="CD197" s="14" t="s">
        <v>2048</v>
      </c>
      <c r="CE197" s="14" t="s">
        <v>2048</v>
      </c>
      <c r="CF197" s="14" t="s">
        <v>2048</v>
      </c>
      <c r="CG197" s="14" t="s">
        <v>2048</v>
      </c>
      <c r="CH197" s="14" t="s">
        <v>2048</v>
      </c>
      <c r="CI197" s="14" t="s">
        <v>2048</v>
      </c>
      <c r="CJ197" s="14" t="s">
        <v>2048</v>
      </c>
      <c r="CK197" s="14" t="s">
        <v>2066</v>
      </c>
      <c r="CL197" s="14" t="s">
        <v>4299</v>
      </c>
      <c r="CM197" s="14" t="s">
        <v>2048</v>
      </c>
      <c r="CN197" s="17">
        <v>44743</v>
      </c>
      <c r="CO197" s="17">
        <v>44189</v>
      </c>
      <c r="CP197" s="17">
        <v>44189</v>
      </c>
      <c r="CR197" s="17">
        <v>45603</v>
      </c>
      <c r="CS197" s="19">
        <v>48</v>
      </c>
      <c r="CT197" s="19">
        <v>0</v>
      </c>
      <c r="CU197" s="19">
        <v>439.42</v>
      </c>
      <c r="CV197" s="19">
        <v>0</v>
      </c>
      <c r="CW197" s="19">
        <v>439.42</v>
      </c>
      <c r="CX197" s="19">
        <v>531.70000000000005</v>
      </c>
      <c r="CY197" s="19">
        <v>0</v>
      </c>
      <c r="CZ197" s="17"/>
      <c r="DA197" s="19">
        <v>0</v>
      </c>
      <c r="DB197" s="17"/>
      <c r="DC197" s="17"/>
      <c r="DD197" s="19">
        <v>0</v>
      </c>
      <c r="DE197" s="17"/>
      <c r="DF197" s="17"/>
      <c r="DG197" s="19">
        <v>100</v>
      </c>
      <c r="DH197" s="17"/>
      <c r="DI197" s="17">
        <v>46022</v>
      </c>
      <c r="DJ197" s="17"/>
      <c r="DK197" s="17"/>
      <c r="DL197" s="19">
        <v>0</v>
      </c>
      <c r="DM197" s="19">
        <v>0</v>
      </c>
    </row>
    <row r="198" spans="1:117" x14ac:dyDescent="0.2">
      <c r="A198" s="14" t="s">
        <v>3610</v>
      </c>
      <c r="B198" s="14" t="s">
        <v>712</v>
      </c>
      <c r="C198" s="14" t="s">
        <v>73</v>
      </c>
      <c r="D198" s="14" t="s">
        <v>74</v>
      </c>
      <c r="E198" s="14" t="s">
        <v>75</v>
      </c>
      <c r="F198" s="14" t="s">
        <v>76</v>
      </c>
      <c r="G198" s="17">
        <v>45656</v>
      </c>
      <c r="H198" s="14" t="s">
        <v>77</v>
      </c>
      <c r="I198" s="14" t="s">
        <v>78</v>
      </c>
      <c r="J198" s="14" t="s">
        <v>85</v>
      </c>
      <c r="K198" s="14" t="s">
        <v>642</v>
      </c>
      <c r="L198" s="14" t="s">
        <v>102</v>
      </c>
      <c r="M198" s="14" t="s">
        <v>103</v>
      </c>
      <c r="N198" s="16">
        <f>COUNTIF($M$3:M198, M198)</f>
        <v>40</v>
      </c>
      <c r="O198" s="16" t="str" cm="1">
        <f t="array" ref="O198">INDEX('[2]ALTA 20242025'!$B$2:$B$241, MATCH(1, ('[2]ALTA 20242025'!$I$2:$I$241=M198)*('[2]ALTA 20242025'!$J$2:$J$241=N198), 0))</f>
        <v>8606MWT</v>
      </c>
      <c r="P198" s="16"/>
      <c r="Q198" s="16"/>
      <c r="R198" s="14" t="s">
        <v>2048</v>
      </c>
      <c r="S198" s="14" t="s">
        <v>2048</v>
      </c>
      <c r="T198" s="14" t="s">
        <v>2048</v>
      </c>
      <c r="U198" s="14" t="s">
        <v>2048</v>
      </c>
      <c r="V198" s="14" t="s">
        <v>3452</v>
      </c>
      <c r="W198" s="14" t="s">
        <v>3858</v>
      </c>
      <c r="X198" s="14" t="s">
        <v>4576</v>
      </c>
      <c r="Y198" s="14" t="s">
        <v>4577</v>
      </c>
      <c r="Z198" s="14" t="s">
        <v>2048</v>
      </c>
      <c r="AA198" s="14" t="s">
        <v>2422</v>
      </c>
      <c r="AB198" s="14" t="s">
        <v>2049</v>
      </c>
      <c r="AC198" s="14" t="s">
        <v>2050</v>
      </c>
      <c r="AD198" s="14" t="s">
        <v>2048</v>
      </c>
      <c r="AE198" s="14" t="s">
        <v>2048</v>
      </c>
      <c r="AF198" s="14" t="s">
        <v>2048</v>
      </c>
      <c r="AG198" s="14" t="s">
        <v>2048</v>
      </c>
      <c r="AH198" s="14" t="s">
        <v>2048</v>
      </c>
      <c r="AI198" s="14" t="s">
        <v>2129</v>
      </c>
      <c r="AJ198" s="14" t="s">
        <v>2130</v>
      </c>
      <c r="AK198" s="14" t="s">
        <v>2055</v>
      </c>
      <c r="AL198" s="14" t="s">
        <v>2055</v>
      </c>
      <c r="AM198" s="14" t="s">
        <v>2055</v>
      </c>
      <c r="AN198" s="14" t="s">
        <v>2068</v>
      </c>
      <c r="AO198" s="14" t="s">
        <v>2048</v>
      </c>
      <c r="AP198" s="14" t="s">
        <v>2048</v>
      </c>
      <c r="AQ198" s="14" t="s">
        <v>2048</v>
      </c>
      <c r="AR198" s="14" t="s">
        <v>2525</v>
      </c>
      <c r="AS198" s="14" t="s">
        <v>89</v>
      </c>
      <c r="AT198" s="14" t="s">
        <v>3440</v>
      </c>
      <c r="AU198" s="14" t="s">
        <v>2059</v>
      </c>
      <c r="AV198" s="14" t="s">
        <v>2060</v>
      </c>
      <c r="AW198" s="14" t="s">
        <v>2048</v>
      </c>
      <c r="AX198" s="14" t="s">
        <v>2048</v>
      </c>
      <c r="AY198" s="14" t="s">
        <v>2526</v>
      </c>
      <c r="AZ198" s="14" t="s">
        <v>2527</v>
      </c>
      <c r="BA198" s="14" t="s">
        <v>2048</v>
      </c>
      <c r="BB198" s="14" t="s">
        <v>2048</v>
      </c>
      <c r="BC198" s="14" t="s">
        <v>102</v>
      </c>
      <c r="BD198" s="14" t="s">
        <v>696</v>
      </c>
      <c r="BE198" s="14" t="s">
        <v>2528</v>
      </c>
      <c r="BF198" s="14" t="s">
        <v>2048</v>
      </c>
      <c r="BG198" s="14" t="s">
        <v>2048</v>
      </c>
      <c r="BH198" s="14" t="s">
        <v>2080</v>
      </c>
      <c r="BI198" s="14" t="s">
        <v>2081</v>
      </c>
      <c r="BJ198" s="14" t="s">
        <v>2529</v>
      </c>
      <c r="BK198" s="14" t="s">
        <v>2530</v>
      </c>
      <c r="BL198" s="14" t="s">
        <v>2531</v>
      </c>
      <c r="BM198" s="14" t="s">
        <v>2085</v>
      </c>
      <c r="BN198" s="14" t="s">
        <v>2048</v>
      </c>
      <c r="BO198" s="14" t="s">
        <v>2048</v>
      </c>
      <c r="BP198" s="14" t="s">
        <v>2064</v>
      </c>
      <c r="BQ198" s="14" t="s">
        <v>72</v>
      </c>
      <c r="BR198" s="14" t="s">
        <v>72</v>
      </c>
      <c r="BS198" s="14" t="s">
        <v>2048</v>
      </c>
      <c r="BT198" s="14" t="s">
        <v>2048</v>
      </c>
      <c r="BU198" s="14" t="s">
        <v>2048</v>
      </c>
      <c r="BV198" s="14" t="s">
        <v>2418</v>
      </c>
      <c r="BW198" s="14" t="s">
        <v>2089</v>
      </c>
      <c r="BX198" s="14" t="s">
        <v>2048</v>
      </c>
      <c r="BY198" s="14" t="s">
        <v>2048</v>
      </c>
      <c r="BZ198" s="14" t="s">
        <v>2048</v>
      </c>
      <c r="CA198" s="14" t="s">
        <v>2048</v>
      </c>
      <c r="CB198" s="14" t="s">
        <v>72</v>
      </c>
      <c r="CC198" s="14" t="s">
        <v>2048</v>
      </c>
      <c r="CD198" s="14" t="s">
        <v>2048</v>
      </c>
      <c r="CE198" s="14" t="s">
        <v>2048</v>
      </c>
      <c r="CF198" s="14" t="s">
        <v>2048</v>
      </c>
      <c r="CG198" s="14" t="s">
        <v>2048</v>
      </c>
      <c r="CH198" s="14" t="s">
        <v>2048</v>
      </c>
      <c r="CI198" s="14" t="s">
        <v>2048</v>
      </c>
      <c r="CJ198" s="14" t="s">
        <v>2048</v>
      </c>
      <c r="CK198" s="14" t="s">
        <v>2057</v>
      </c>
      <c r="CL198" s="14" t="s">
        <v>2090</v>
      </c>
      <c r="CM198" s="14" t="s">
        <v>2048</v>
      </c>
      <c r="CN198" s="17"/>
      <c r="CO198" s="17">
        <v>45447</v>
      </c>
      <c r="CP198" s="17">
        <v>45447</v>
      </c>
      <c r="CR198" s="17">
        <v>45656</v>
      </c>
      <c r="CS198" s="19">
        <v>0</v>
      </c>
      <c r="CT198" s="19">
        <v>0</v>
      </c>
      <c r="CU198" s="19">
        <v>427.49</v>
      </c>
      <c r="CV198" s="19">
        <v>0</v>
      </c>
      <c r="CW198" s="19">
        <v>427.49</v>
      </c>
      <c r="CX198" s="19">
        <v>517.26</v>
      </c>
      <c r="CY198" s="19">
        <v>0</v>
      </c>
      <c r="CZ198" s="17"/>
      <c r="DA198" s="19">
        <v>0</v>
      </c>
      <c r="DB198" s="17"/>
      <c r="DC198" s="17"/>
      <c r="DD198" s="19">
        <v>0</v>
      </c>
      <c r="DE198" s="17"/>
      <c r="DF198" s="17"/>
      <c r="DG198" s="19">
        <v>100</v>
      </c>
      <c r="DH198" s="17"/>
      <c r="DI198" s="17">
        <v>45657</v>
      </c>
      <c r="DJ198" s="17"/>
      <c r="DK198" s="17"/>
      <c r="DL198" s="19">
        <v>0</v>
      </c>
      <c r="DM198" s="19">
        <v>0</v>
      </c>
    </row>
    <row r="199" spans="1:117" x14ac:dyDescent="0.2">
      <c r="A199" s="14" t="s">
        <v>3610</v>
      </c>
      <c r="B199" s="14" t="s">
        <v>1320</v>
      </c>
      <c r="C199" s="14" t="s">
        <v>73</v>
      </c>
      <c r="D199" s="14" t="s">
        <v>200</v>
      </c>
      <c r="E199" s="14" t="s">
        <v>201</v>
      </c>
      <c r="F199" s="14" t="s">
        <v>160</v>
      </c>
      <c r="G199" s="17">
        <v>45721</v>
      </c>
      <c r="H199" s="14" t="s">
        <v>161</v>
      </c>
      <c r="I199" s="14" t="s">
        <v>78</v>
      </c>
      <c r="J199" s="14" t="s">
        <v>79</v>
      </c>
      <c r="K199" s="14" t="s">
        <v>924</v>
      </c>
      <c r="L199" s="14" t="s">
        <v>584</v>
      </c>
      <c r="M199" s="14" t="s">
        <v>585</v>
      </c>
      <c r="N199" s="16">
        <f>COUNTIF($M$3:M199, M199)</f>
        <v>17</v>
      </c>
      <c r="O199" s="16" t="e" cm="1">
        <f t="array" ref="O199">INDEX('[2]ALTA 20242025'!$B$2:$B$241, MATCH(1, ('[2]ALTA 20242025'!$I$2:$I$241=M199)*('[2]ALTA 20242025'!$J$2:$J$241=N199), 0))</f>
        <v>#N/A</v>
      </c>
      <c r="P199" s="16"/>
      <c r="Q199" s="16"/>
      <c r="R199" s="14" t="s">
        <v>336</v>
      </c>
      <c r="S199" s="14" t="s">
        <v>337</v>
      </c>
      <c r="T199" s="14" t="s">
        <v>2048</v>
      </c>
      <c r="U199" s="14" t="s">
        <v>2048</v>
      </c>
      <c r="V199" s="14" t="s">
        <v>4192</v>
      </c>
      <c r="W199" s="14" t="s">
        <v>4578</v>
      </c>
      <c r="X199" s="14" t="s">
        <v>3845</v>
      </c>
      <c r="Y199" s="14" t="s">
        <v>4579</v>
      </c>
      <c r="Z199" s="14" t="s">
        <v>2048</v>
      </c>
      <c r="AA199" s="14" t="s">
        <v>2422</v>
      </c>
      <c r="AB199" s="14" t="s">
        <v>2049</v>
      </c>
      <c r="AC199" s="14" t="s">
        <v>2050</v>
      </c>
      <c r="AD199" s="14" t="s">
        <v>3725</v>
      </c>
      <c r="AE199" s="14" t="s">
        <v>3613</v>
      </c>
      <c r="AF199" s="14" t="s">
        <v>3614</v>
      </c>
      <c r="AG199" s="14" t="s">
        <v>2048</v>
      </c>
      <c r="AH199" s="14" t="s">
        <v>2048</v>
      </c>
      <c r="AI199" s="14" t="s">
        <v>159</v>
      </c>
      <c r="AJ199" s="14" t="s">
        <v>585</v>
      </c>
      <c r="AK199" s="14" t="s">
        <v>2055</v>
      </c>
      <c r="AL199" s="14" t="s">
        <v>2056</v>
      </c>
      <c r="AM199" s="14" t="s">
        <v>2055</v>
      </c>
      <c r="AN199" s="14" t="s">
        <v>2068</v>
      </c>
      <c r="AO199" s="14" t="s">
        <v>2048</v>
      </c>
      <c r="AP199" s="14" t="s">
        <v>2048</v>
      </c>
      <c r="AQ199" s="14" t="s">
        <v>4196</v>
      </c>
      <c r="AR199" s="14" t="s">
        <v>2756</v>
      </c>
      <c r="AS199" s="14" t="s">
        <v>3776</v>
      </c>
      <c r="AT199" s="14" t="s">
        <v>3655</v>
      </c>
      <c r="AU199" s="14" t="s">
        <v>4580</v>
      </c>
      <c r="AV199" s="14" t="s">
        <v>4581</v>
      </c>
      <c r="AW199" s="14" t="s">
        <v>4582</v>
      </c>
      <c r="AX199" s="14" t="s">
        <v>2048</v>
      </c>
      <c r="AY199" s="14" t="s">
        <v>2740</v>
      </c>
      <c r="AZ199" s="14" t="s">
        <v>2741</v>
      </c>
      <c r="BA199" s="14" t="s">
        <v>2048</v>
      </c>
      <c r="BB199" s="14" t="s">
        <v>2048</v>
      </c>
      <c r="BC199" s="14" t="s">
        <v>584</v>
      </c>
      <c r="BD199" s="14" t="s">
        <v>1321</v>
      </c>
      <c r="BE199" s="14" t="s">
        <v>4583</v>
      </c>
      <c r="BF199" s="14" t="s">
        <v>2048</v>
      </c>
      <c r="BG199" s="14" t="s">
        <v>2048</v>
      </c>
      <c r="BH199" s="14" t="s">
        <v>2592</v>
      </c>
      <c r="BI199" s="14" t="s">
        <v>4584</v>
      </c>
      <c r="BJ199" s="14" t="s">
        <v>2743</v>
      </c>
      <c r="BK199" s="14" t="s">
        <v>4585</v>
      </c>
      <c r="BL199" s="14" t="s">
        <v>4586</v>
      </c>
      <c r="BM199" s="14" t="s">
        <v>2287</v>
      </c>
      <c r="BN199" s="14" t="s">
        <v>2048</v>
      </c>
      <c r="BO199" s="14" t="s">
        <v>2048</v>
      </c>
      <c r="BP199" s="14" t="s">
        <v>2064</v>
      </c>
      <c r="BQ199" s="14" t="s">
        <v>72</v>
      </c>
      <c r="BR199" s="14" t="s">
        <v>72</v>
      </c>
      <c r="BS199" s="14" t="s">
        <v>2048</v>
      </c>
      <c r="BT199" s="14" t="s">
        <v>4587</v>
      </c>
      <c r="BU199" s="14" t="s">
        <v>4588</v>
      </c>
      <c r="BV199" s="14" t="s">
        <v>2418</v>
      </c>
      <c r="BW199" s="14" t="s">
        <v>2089</v>
      </c>
      <c r="BX199" s="14" t="s">
        <v>2048</v>
      </c>
      <c r="BY199" s="14" t="s">
        <v>2048</v>
      </c>
      <c r="BZ199" s="14" t="s">
        <v>2048</v>
      </c>
      <c r="CA199" s="14" t="s">
        <v>2048</v>
      </c>
      <c r="CB199" s="14" t="s">
        <v>72</v>
      </c>
      <c r="CC199" s="14" t="s">
        <v>2048</v>
      </c>
      <c r="CD199" s="14" t="s">
        <v>2048</v>
      </c>
      <c r="CE199" s="14" t="s">
        <v>2048</v>
      </c>
      <c r="CF199" s="14" t="s">
        <v>2048</v>
      </c>
      <c r="CG199" s="14" t="s">
        <v>2048</v>
      </c>
      <c r="CH199" s="14" t="s">
        <v>2048</v>
      </c>
      <c r="CI199" s="14" t="s">
        <v>2048</v>
      </c>
      <c r="CJ199" s="14" t="s">
        <v>2048</v>
      </c>
      <c r="CK199" s="14" t="s">
        <v>2057</v>
      </c>
      <c r="CL199" s="14" t="s">
        <v>2090</v>
      </c>
      <c r="CM199" s="14" t="s">
        <v>2048</v>
      </c>
      <c r="CN199" s="17">
        <v>44896</v>
      </c>
      <c r="CO199" s="17">
        <v>44260</v>
      </c>
      <c r="CP199" s="17">
        <v>44260</v>
      </c>
      <c r="CR199" s="17">
        <v>45692</v>
      </c>
      <c r="CS199" s="19">
        <v>48</v>
      </c>
      <c r="CT199" s="19">
        <v>0</v>
      </c>
      <c r="CU199" s="19">
        <v>267.29000000000002</v>
      </c>
      <c r="CV199" s="19">
        <v>0</v>
      </c>
      <c r="CW199" s="19">
        <v>267.29000000000002</v>
      </c>
      <c r="CX199" s="19">
        <v>323.42</v>
      </c>
      <c r="CY199" s="19">
        <v>0</v>
      </c>
      <c r="CZ199" s="17"/>
      <c r="DA199" s="19">
        <v>0</v>
      </c>
      <c r="DB199" s="17"/>
      <c r="DC199" s="17"/>
      <c r="DD199" s="19">
        <v>0</v>
      </c>
      <c r="DE199" s="17"/>
      <c r="DF199" s="17"/>
      <c r="DG199" s="19">
        <v>100</v>
      </c>
      <c r="DH199" s="17"/>
      <c r="DI199" s="17">
        <v>46022</v>
      </c>
      <c r="DJ199" s="17"/>
      <c r="DK199" s="17"/>
      <c r="DL199" s="19">
        <v>0</v>
      </c>
      <c r="DM199" s="19">
        <v>0</v>
      </c>
    </row>
    <row r="200" spans="1:117" x14ac:dyDescent="0.2">
      <c r="A200" s="14" t="s">
        <v>3610</v>
      </c>
      <c r="B200" s="14" t="s">
        <v>929</v>
      </c>
      <c r="C200" s="14" t="s">
        <v>73</v>
      </c>
      <c r="D200" s="14" t="s">
        <v>200</v>
      </c>
      <c r="E200" s="14" t="s">
        <v>201</v>
      </c>
      <c r="F200" s="14" t="s">
        <v>160</v>
      </c>
      <c r="G200" s="17">
        <v>45731</v>
      </c>
      <c r="H200" s="14" t="s">
        <v>161</v>
      </c>
      <c r="I200" s="14" t="s">
        <v>78</v>
      </c>
      <c r="J200" s="14" t="s">
        <v>79</v>
      </c>
      <c r="K200" s="14" t="s">
        <v>924</v>
      </c>
      <c r="L200" s="14" t="s">
        <v>119</v>
      </c>
      <c r="M200" s="14" t="s">
        <v>120</v>
      </c>
      <c r="N200" s="16">
        <f>COUNTIF($M$3:M200, M200)</f>
        <v>23</v>
      </c>
      <c r="O200" s="16" t="str" cm="1">
        <f t="array" ref="O200">INDEX('[2]ALTA 20242025'!$B$2:$B$241, MATCH(1, ('[2]ALTA 20242025'!$I$2:$I$241=M200)*('[2]ALTA 20242025'!$J$2:$J$241=N200), 0))</f>
        <v>6102MWV</v>
      </c>
      <c r="P200" s="16"/>
      <c r="Q200" s="16"/>
      <c r="R200" s="14" t="s">
        <v>1531</v>
      </c>
      <c r="S200" s="14" t="s">
        <v>1532</v>
      </c>
      <c r="T200" s="14" t="s">
        <v>2048</v>
      </c>
      <c r="U200" s="14" t="s">
        <v>2048</v>
      </c>
      <c r="V200" s="14" t="s">
        <v>4192</v>
      </c>
      <c r="W200" s="14" t="s">
        <v>4589</v>
      </c>
      <c r="X200" s="14" t="s">
        <v>4590</v>
      </c>
      <c r="Y200" s="14" t="s">
        <v>4591</v>
      </c>
      <c r="Z200" s="14" t="s">
        <v>2048</v>
      </c>
      <c r="AA200" s="14" t="s">
        <v>2422</v>
      </c>
      <c r="AB200" s="14" t="s">
        <v>2049</v>
      </c>
      <c r="AC200" s="14" t="s">
        <v>2050</v>
      </c>
      <c r="AD200" s="14" t="s">
        <v>3820</v>
      </c>
      <c r="AE200" s="14" t="s">
        <v>3613</v>
      </c>
      <c r="AF200" s="14" t="s">
        <v>3614</v>
      </c>
      <c r="AG200" s="14" t="s">
        <v>2048</v>
      </c>
      <c r="AH200" s="14" t="s">
        <v>2048</v>
      </c>
      <c r="AI200" s="14" t="s">
        <v>2132</v>
      </c>
      <c r="AJ200" s="14" t="s">
        <v>2133</v>
      </c>
      <c r="AK200" s="14" t="s">
        <v>2055</v>
      </c>
      <c r="AL200" s="14" t="s">
        <v>2055</v>
      </c>
      <c r="AM200" s="14" t="s">
        <v>2055</v>
      </c>
      <c r="AN200" s="14" t="s">
        <v>2068</v>
      </c>
      <c r="AO200" s="14" t="s">
        <v>2048</v>
      </c>
      <c r="AP200" s="14" t="s">
        <v>2048</v>
      </c>
      <c r="AQ200" s="14" t="s">
        <v>4513</v>
      </c>
      <c r="AR200" s="14" t="s">
        <v>2558</v>
      </c>
      <c r="AS200" s="14" t="s">
        <v>3776</v>
      </c>
      <c r="AT200" s="14" t="s">
        <v>3655</v>
      </c>
      <c r="AU200" s="14" t="s">
        <v>4592</v>
      </c>
      <c r="AV200" s="14" t="s">
        <v>2625</v>
      </c>
      <c r="AW200" s="14" t="s">
        <v>2626</v>
      </c>
      <c r="AX200" s="14" t="s">
        <v>2048</v>
      </c>
      <c r="AY200" s="14" t="s">
        <v>2561</v>
      </c>
      <c r="AZ200" s="14" t="s">
        <v>2562</v>
      </c>
      <c r="BA200" s="14" t="s">
        <v>3627</v>
      </c>
      <c r="BB200" s="14" t="s">
        <v>2048</v>
      </c>
      <c r="BC200" s="14" t="s">
        <v>119</v>
      </c>
      <c r="BD200" s="14" t="s">
        <v>419</v>
      </c>
      <c r="BE200" s="14" t="s">
        <v>2563</v>
      </c>
      <c r="BF200" s="14" t="s">
        <v>2048</v>
      </c>
      <c r="BG200" s="14" t="s">
        <v>2048</v>
      </c>
      <c r="BH200" s="14" t="s">
        <v>2282</v>
      </c>
      <c r="BI200" s="14" t="s">
        <v>2283</v>
      </c>
      <c r="BJ200" s="14" t="s">
        <v>2564</v>
      </c>
      <c r="BK200" s="14" t="s">
        <v>2565</v>
      </c>
      <c r="BL200" s="14" t="s">
        <v>2566</v>
      </c>
      <c r="BM200" s="14" t="s">
        <v>2287</v>
      </c>
      <c r="BN200" s="14" t="s">
        <v>2048</v>
      </c>
      <c r="BO200" s="14" t="s">
        <v>2048</v>
      </c>
      <c r="BP200" s="14" t="s">
        <v>2064</v>
      </c>
      <c r="BQ200" s="14" t="s">
        <v>72</v>
      </c>
      <c r="BR200" s="14" t="s">
        <v>72</v>
      </c>
      <c r="BS200" s="14" t="s">
        <v>2048</v>
      </c>
      <c r="BT200" s="14" t="s">
        <v>2628</v>
      </c>
      <c r="BU200" s="14" t="s">
        <v>2629</v>
      </c>
      <c r="BV200" s="14" t="s">
        <v>2418</v>
      </c>
      <c r="BW200" s="14" t="s">
        <v>2089</v>
      </c>
      <c r="BX200" s="14" t="s">
        <v>2048</v>
      </c>
      <c r="BY200" s="14" t="s">
        <v>2048</v>
      </c>
      <c r="BZ200" s="14" t="s">
        <v>2048</v>
      </c>
      <c r="CA200" s="14" t="s">
        <v>2048</v>
      </c>
      <c r="CB200" s="14" t="s">
        <v>72</v>
      </c>
      <c r="CC200" s="14" t="s">
        <v>2048</v>
      </c>
      <c r="CD200" s="14" t="s">
        <v>2048</v>
      </c>
      <c r="CE200" s="14" t="s">
        <v>2048</v>
      </c>
      <c r="CF200" s="14" t="s">
        <v>2048</v>
      </c>
      <c r="CG200" s="14" t="s">
        <v>2048</v>
      </c>
      <c r="CH200" s="14" t="s">
        <v>2048</v>
      </c>
      <c r="CI200" s="14" t="s">
        <v>2048</v>
      </c>
      <c r="CJ200" s="14" t="s">
        <v>2048</v>
      </c>
      <c r="CK200" s="14" t="s">
        <v>2057</v>
      </c>
      <c r="CL200" s="14" t="s">
        <v>2090</v>
      </c>
      <c r="CM200" s="14" t="s">
        <v>2048</v>
      </c>
      <c r="CN200" s="17">
        <v>44927</v>
      </c>
      <c r="CO200" s="17">
        <v>44270</v>
      </c>
      <c r="CP200" s="17">
        <v>44270</v>
      </c>
      <c r="CR200" s="17">
        <v>45583</v>
      </c>
      <c r="CS200" s="19">
        <v>48</v>
      </c>
      <c r="CT200" s="19">
        <v>0</v>
      </c>
      <c r="CU200" s="19">
        <v>358.41</v>
      </c>
      <c r="CV200" s="19">
        <v>0</v>
      </c>
      <c r="CW200" s="19">
        <v>358.41</v>
      </c>
      <c r="CX200" s="19">
        <v>433.68</v>
      </c>
      <c r="CY200" s="19">
        <v>0</v>
      </c>
      <c r="CZ200" s="17"/>
      <c r="DA200" s="20">
        <v>178200</v>
      </c>
      <c r="DB200" s="17">
        <v>45573</v>
      </c>
      <c r="DC200" s="17"/>
      <c r="DD200" s="19">
        <v>0</v>
      </c>
      <c r="DE200" s="17"/>
      <c r="DF200" s="17"/>
      <c r="DG200" s="19">
        <v>100</v>
      </c>
      <c r="DH200" s="17"/>
      <c r="DI200" s="17">
        <v>46022</v>
      </c>
      <c r="DJ200" s="17"/>
      <c r="DK200" s="17"/>
      <c r="DL200" s="19">
        <v>0</v>
      </c>
      <c r="DM200" s="19">
        <v>0</v>
      </c>
    </row>
    <row r="201" spans="1:117" x14ac:dyDescent="0.2">
      <c r="A201" s="14" t="s">
        <v>3610</v>
      </c>
      <c r="B201" s="14" t="s">
        <v>1323</v>
      </c>
      <c r="C201" s="14" t="s">
        <v>129</v>
      </c>
      <c r="D201" s="14" t="s">
        <v>74</v>
      </c>
      <c r="E201" s="14" t="s">
        <v>75</v>
      </c>
      <c r="F201" s="14" t="s">
        <v>160</v>
      </c>
      <c r="G201" s="17">
        <v>45657</v>
      </c>
      <c r="H201" s="14" t="s">
        <v>161</v>
      </c>
      <c r="I201" s="14" t="s">
        <v>78</v>
      </c>
      <c r="J201" s="14" t="s">
        <v>79</v>
      </c>
      <c r="K201" s="14" t="s">
        <v>918</v>
      </c>
      <c r="L201" s="14" t="s">
        <v>131</v>
      </c>
      <c r="M201" s="14" t="s">
        <v>132</v>
      </c>
      <c r="N201" s="16">
        <f>COUNTIF($M$3:M201, M201)</f>
        <v>20</v>
      </c>
      <c r="O201" s="16" t="e" cm="1">
        <f t="array" ref="O201">INDEX('[2]ALTA 20242025'!$B$2:$B$241, MATCH(1, ('[2]ALTA 20242025'!$I$2:$I$241=M201)*('[2]ALTA 20242025'!$J$2:$J$241=N201), 0))</f>
        <v>#N/A</v>
      </c>
      <c r="P201" s="16"/>
      <c r="Q201" s="16"/>
      <c r="R201" s="14" t="s">
        <v>2048</v>
      </c>
      <c r="S201" s="14" t="s">
        <v>2048</v>
      </c>
      <c r="T201" s="14" t="s">
        <v>2048</v>
      </c>
      <c r="U201" s="14" t="s">
        <v>2048</v>
      </c>
      <c r="V201" s="14" t="s">
        <v>4593</v>
      </c>
      <c r="W201" s="14" t="s">
        <v>4594</v>
      </c>
      <c r="X201" s="14" t="s">
        <v>4594</v>
      </c>
      <c r="Y201" s="14" t="s">
        <v>4595</v>
      </c>
      <c r="Z201" s="14" t="s">
        <v>2048</v>
      </c>
      <c r="AA201" s="14" t="s">
        <v>2422</v>
      </c>
      <c r="AB201" s="14" t="s">
        <v>2049</v>
      </c>
      <c r="AC201" s="14" t="s">
        <v>2050</v>
      </c>
      <c r="AD201" s="14" t="s">
        <v>2048</v>
      </c>
      <c r="AE201" s="14" t="s">
        <v>2048</v>
      </c>
      <c r="AF201" s="14" t="s">
        <v>2048</v>
      </c>
      <c r="AG201" s="14" t="s">
        <v>2048</v>
      </c>
      <c r="AH201" s="14" t="s">
        <v>2048</v>
      </c>
      <c r="AI201" s="14" t="s">
        <v>2442</v>
      </c>
      <c r="AJ201" s="14" t="s">
        <v>2443</v>
      </c>
      <c r="AK201" s="14" t="s">
        <v>2056</v>
      </c>
      <c r="AL201" s="14" t="s">
        <v>2056</v>
      </c>
      <c r="AM201" s="14" t="s">
        <v>2055</v>
      </c>
      <c r="AN201" s="14" t="s">
        <v>2068</v>
      </c>
      <c r="AO201" s="14" t="s">
        <v>2048</v>
      </c>
      <c r="AP201" s="14" t="s">
        <v>2048</v>
      </c>
      <c r="AQ201" s="14" t="s">
        <v>2048</v>
      </c>
      <c r="AR201" s="14" t="s">
        <v>2443</v>
      </c>
      <c r="AS201" s="14" t="s">
        <v>108</v>
      </c>
      <c r="AT201" s="14" t="s">
        <v>2862</v>
      </c>
      <c r="AU201" s="14" t="s">
        <v>1334</v>
      </c>
      <c r="AV201" s="14" t="s">
        <v>4596</v>
      </c>
      <c r="AW201" s="14" t="s">
        <v>4597</v>
      </c>
      <c r="AX201" s="14" t="s">
        <v>2048</v>
      </c>
      <c r="AY201" s="14" t="s">
        <v>2448</v>
      </c>
      <c r="AZ201" s="14" t="s">
        <v>2449</v>
      </c>
      <c r="BA201" s="14" t="s">
        <v>2048</v>
      </c>
      <c r="BB201" s="14" t="s">
        <v>2048</v>
      </c>
      <c r="BC201" s="14" t="s">
        <v>131</v>
      </c>
      <c r="BD201" s="14" t="s">
        <v>135</v>
      </c>
      <c r="BE201" s="14" t="s">
        <v>2945</v>
      </c>
      <c r="BF201" s="14" t="s">
        <v>2048</v>
      </c>
      <c r="BG201" s="14" t="s">
        <v>2048</v>
      </c>
      <c r="BH201" s="14" t="s">
        <v>2048</v>
      </c>
      <c r="BI201" s="14" t="s">
        <v>2048</v>
      </c>
      <c r="BJ201" s="14" t="s">
        <v>2946</v>
      </c>
      <c r="BK201" s="14" t="s">
        <v>2947</v>
      </c>
      <c r="BL201" s="14" t="s">
        <v>2948</v>
      </c>
      <c r="BM201" s="14" t="s">
        <v>2455</v>
      </c>
      <c r="BN201" s="14" t="s">
        <v>2048</v>
      </c>
      <c r="BO201" s="14" t="s">
        <v>2048</v>
      </c>
      <c r="BP201" s="14" t="s">
        <v>2064</v>
      </c>
      <c r="BQ201" s="14" t="s">
        <v>72</v>
      </c>
      <c r="BR201" s="14" t="s">
        <v>72</v>
      </c>
      <c r="BS201" s="14" t="s">
        <v>2048</v>
      </c>
      <c r="BT201" s="14" t="s">
        <v>2457</v>
      </c>
      <c r="BU201" s="14" t="s">
        <v>2458</v>
      </c>
      <c r="BV201" s="14" t="s">
        <v>2418</v>
      </c>
      <c r="BW201" s="14" t="s">
        <v>2089</v>
      </c>
      <c r="BX201" s="14" t="s">
        <v>2048</v>
      </c>
      <c r="BY201" s="14" t="s">
        <v>2048</v>
      </c>
      <c r="BZ201" s="14" t="s">
        <v>2048</v>
      </c>
      <c r="CA201" s="14" t="s">
        <v>2048</v>
      </c>
      <c r="CB201" s="14" t="s">
        <v>2048</v>
      </c>
      <c r="CC201" s="14" t="s">
        <v>2048</v>
      </c>
      <c r="CD201" s="14" t="s">
        <v>2048</v>
      </c>
      <c r="CE201" s="14" t="s">
        <v>2048</v>
      </c>
      <c r="CF201" s="14" t="s">
        <v>2048</v>
      </c>
      <c r="CG201" s="14" t="s">
        <v>2048</v>
      </c>
      <c r="CH201" s="14" t="s">
        <v>2048</v>
      </c>
      <c r="CI201" s="14" t="s">
        <v>2048</v>
      </c>
      <c r="CJ201" s="14" t="s">
        <v>2048</v>
      </c>
      <c r="CK201" s="14" t="s">
        <v>2121</v>
      </c>
      <c r="CL201" s="14" t="s">
        <v>2122</v>
      </c>
      <c r="CM201" s="14" t="s">
        <v>2048</v>
      </c>
      <c r="CN201" s="17"/>
      <c r="CO201" s="17">
        <v>45491</v>
      </c>
      <c r="CP201" s="17">
        <v>45491</v>
      </c>
      <c r="CR201" s="17">
        <v>45670</v>
      </c>
      <c r="CS201" s="19">
        <v>6</v>
      </c>
      <c r="CT201" s="19">
        <v>0</v>
      </c>
      <c r="CU201" s="19">
        <v>690</v>
      </c>
      <c r="CV201" s="19">
        <v>0</v>
      </c>
      <c r="CW201" s="19">
        <v>690</v>
      </c>
      <c r="CX201" s="19">
        <v>834.9</v>
      </c>
      <c r="CY201" s="19">
        <v>0</v>
      </c>
      <c r="CZ201" s="17"/>
      <c r="DA201" s="19">
        <v>0</v>
      </c>
      <c r="DB201" s="17"/>
      <c r="DC201" s="17"/>
      <c r="DD201" s="19">
        <v>0</v>
      </c>
      <c r="DE201" s="17"/>
      <c r="DF201" s="17"/>
      <c r="DG201" s="19">
        <v>100</v>
      </c>
      <c r="DH201" s="17"/>
      <c r="DI201" s="17">
        <v>46022</v>
      </c>
      <c r="DJ201" s="17"/>
      <c r="DK201" s="17"/>
      <c r="DL201" s="19">
        <v>0</v>
      </c>
      <c r="DM201" s="19">
        <v>0</v>
      </c>
    </row>
    <row r="202" spans="1:117" x14ac:dyDescent="0.2">
      <c r="A202" s="14" t="s">
        <v>3610</v>
      </c>
      <c r="B202" s="14" t="s">
        <v>718</v>
      </c>
      <c r="C202" s="14" t="s">
        <v>73</v>
      </c>
      <c r="D202" s="14" t="s">
        <v>74</v>
      </c>
      <c r="E202" s="14" t="s">
        <v>75</v>
      </c>
      <c r="F202" s="14" t="s">
        <v>76</v>
      </c>
      <c r="G202" s="17">
        <v>45657</v>
      </c>
      <c r="H202" s="14" t="s">
        <v>77</v>
      </c>
      <c r="I202" s="14" t="s">
        <v>78</v>
      </c>
      <c r="J202" s="14" t="s">
        <v>85</v>
      </c>
      <c r="K202" s="14" t="s">
        <v>642</v>
      </c>
      <c r="L202" s="14" t="s">
        <v>102</v>
      </c>
      <c r="M202" s="14" t="s">
        <v>103</v>
      </c>
      <c r="N202" s="16">
        <f>COUNTIF($M$3:M202, M202)</f>
        <v>41</v>
      </c>
      <c r="O202" s="16" t="str" cm="1">
        <f t="array" ref="O202">INDEX('[2]ALTA 20242025'!$B$2:$B$241, MATCH(1, ('[2]ALTA 20242025'!$I$2:$I$241=M202)*('[2]ALTA 20242025'!$J$2:$J$241=N202), 0))</f>
        <v>8616MWT</v>
      </c>
      <c r="P202" s="16"/>
      <c r="Q202" s="16"/>
      <c r="R202" s="14" t="s">
        <v>2048</v>
      </c>
      <c r="S202" s="14" t="s">
        <v>2048</v>
      </c>
      <c r="T202" s="14" t="s">
        <v>2048</v>
      </c>
      <c r="U202" s="14" t="s">
        <v>2048</v>
      </c>
      <c r="V202" s="14" t="s">
        <v>4598</v>
      </c>
      <c r="W202" s="14" t="s">
        <v>3858</v>
      </c>
      <c r="X202" s="14" t="s">
        <v>4599</v>
      </c>
      <c r="Y202" s="14" t="s">
        <v>4600</v>
      </c>
      <c r="Z202" s="14" t="s">
        <v>2048</v>
      </c>
      <c r="AA202" s="14" t="s">
        <v>2422</v>
      </c>
      <c r="AB202" s="14" t="s">
        <v>2049</v>
      </c>
      <c r="AC202" s="14" t="s">
        <v>2050</v>
      </c>
      <c r="AD202" s="14" t="s">
        <v>2048</v>
      </c>
      <c r="AE202" s="14" t="s">
        <v>2048</v>
      </c>
      <c r="AF202" s="14" t="s">
        <v>2048</v>
      </c>
      <c r="AG202" s="14" t="s">
        <v>200</v>
      </c>
      <c r="AH202" s="14" t="s">
        <v>3622</v>
      </c>
      <c r="AI202" s="14" t="s">
        <v>2129</v>
      </c>
      <c r="AJ202" s="14" t="s">
        <v>2130</v>
      </c>
      <c r="AK202" s="14" t="s">
        <v>2055</v>
      </c>
      <c r="AL202" s="14" t="s">
        <v>2055</v>
      </c>
      <c r="AM202" s="14" t="s">
        <v>2055</v>
      </c>
      <c r="AN202" s="14" t="s">
        <v>2068</v>
      </c>
      <c r="AO202" s="14" t="s">
        <v>2048</v>
      </c>
      <c r="AP202" s="14" t="s">
        <v>2048</v>
      </c>
      <c r="AQ202" s="14" t="s">
        <v>2048</v>
      </c>
      <c r="AR202" s="14" t="s">
        <v>2877</v>
      </c>
      <c r="AS202" s="14" t="s">
        <v>89</v>
      </c>
      <c r="AT202" s="14" t="s">
        <v>3767</v>
      </c>
      <c r="AU202" s="14" t="s">
        <v>2059</v>
      </c>
      <c r="AV202" s="14" t="s">
        <v>4601</v>
      </c>
      <c r="AW202" s="14" t="s">
        <v>4602</v>
      </c>
      <c r="AX202" s="14" t="s">
        <v>2048</v>
      </c>
      <c r="AY202" s="14" t="s">
        <v>4603</v>
      </c>
      <c r="AZ202" s="14" t="s">
        <v>4604</v>
      </c>
      <c r="BA202" s="14" t="s">
        <v>2048</v>
      </c>
      <c r="BB202" s="14" t="s">
        <v>2048</v>
      </c>
      <c r="BC202" s="14" t="s">
        <v>102</v>
      </c>
      <c r="BD202" s="14" t="s">
        <v>719</v>
      </c>
      <c r="BE202" s="14" t="s">
        <v>4605</v>
      </c>
      <c r="BF202" s="14" t="s">
        <v>2048</v>
      </c>
      <c r="BG202" s="14" t="s">
        <v>2048</v>
      </c>
      <c r="BH202" s="14" t="s">
        <v>2282</v>
      </c>
      <c r="BI202" s="14" t="s">
        <v>2782</v>
      </c>
      <c r="BJ202" s="14" t="s">
        <v>2783</v>
      </c>
      <c r="BK202" s="14" t="s">
        <v>2784</v>
      </c>
      <c r="BL202" s="14" t="s">
        <v>2868</v>
      </c>
      <c r="BM202" s="14" t="s">
        <v>2287</v>
      </c>
      <c r="BN202" s="14" t="s">
        <v>2048</v>
      </c>
      <c r="BO202" s="14" t="s">
        <v>2048</v>
      </c>
      <c r="BP202" s="14" t="s">
        <v>2064</v>
      </c>
      <c r="BQ202" s="14" t="s">
        <v>72</v>
      </c>
      <c r="BR202" s="14" t="s">
        <v>72</v>
      </c>
      <c r="BS202" s="14" t="s">
        <v>2048</v>
      </c>
      <c r="BT202" s="14" t="s">
        <v>2886</v>
      </c>
      <c r="BU202" s="14" t="s">
        <v>2877</v>
      </c>
      <c r="BV202" s="14" t="s">
        <v>2418</v>
      </c>
      <c r="BW202" s="14" t="s">
        <v>2089</v>
      </c>
      <c r="BX202" s="14" t="s">
        <v>2048</v>
      </c>
      <c r="BY202" s="14" t="s">
        <v>2048</v>
      </c>
      <c r="BZ202" s="14" t="s">
        <v>2048</v>
      </c>
      <c r="CA202" s="14" t="s">
        <v>2048</v>
      </c>
      <c r="CB202" s="14" t="s">
        <v>2048</v>
      </c>
      <c r="CC202" s="14" t="s">
        <v>2048</v>
      </c>
      <c r="CD202" s="14" t="s">
        <v>2048</v>
      </c>
      <c r="CE202" s="14" t="s">
        <v>2048</v>
      </c>
      <c r="CF202" s="14" t="s">
        <v>2048</v>
      </c>
      <c r="CG202" s="14" t="s">
        <v>2048</v>
      </c>
      <c r="CH202" s="14" t="s">
        <v>2048</v>
      </c>
      <c r="CI202" s="14" t="s">
        <v>2048</v>
      </c>
      <c r="CJ202" s="14" t="s">
        <v>2048</v>
      </c>
      <c r="CK202" s="14" t="s">
        <v>2057</v>
      </c>
      <c r="CL202" s="14" t="s">
        <v>2090</v>
      </c>
      <c r="CM202" s="14" t="s">
        <v>2048</v>
      </c>
      <c r="CN202" s="17"/>
      <c r="CO202" s="17">
        <v>45505</v>
      </c>
      <c r="CP202" s="17">
        <v>45505</v>
      </c>
      <c r="CR202" s="17">
        <v>45740</v>
      </c>
      <c r="CS202" s="19">
        <v>0</v>
      </c>
      <c r="CT202" s="19">
        <v>0</v>
      </c>
      <c r="CU202" s="19">
        <v>439.46</v>
      </c>
      <c r="CV202" s="19">
        <v>0</v>
      </c>
      <c r="CW202" s="19">
        <v>439.46</v>
      </c>
      <c r="CX202" s="19">
        <v>531.75</v>
      </c>
      <c r="CY202" s="19">
        <v>0</v>
      </c>
      <c r="CZ202" s="17"/>
      <c r="DA202" s="19">
        <v>0</v>
      </c>
      <c r="DB202" s="17"/>
      <c r="DC202" s="17"/>
      <c r="DD202" s="19">
        <v>0</v>
      </c>
      <c r="DE202" s="17"/>
      <c r="DF202" s="17"/>
      <c r="DG202" s="19">
        <v>100</v>
      </c>
      <c r="DH202" s="17"/>
      <c r="DI202" s="17">
        <v>46022</v>
      </c>
      <c r="DJ202" s="17"/>
      <c r="DK202" s="17"/>
      <c r="DL202" s="19">
        <v>0</v>
      </c>
      <c r="DM202" s="19">
        <v>0</v>
      </c>
    </row>
    <row r="203" spans="1:117" x14ac:dyDescent="0.2">
      <c r="A203" s="14" t="s">
        <v>3610</v>
      </c>
      <c r="B203" s="14" t="s">
        <v>901</v>
      </c>
      <c r="C203" s="14" t="s">
        <v>466</v>
      </c>
      <c r="D203" s="14" t="s">
        <v>200</v>
      </c>
      <c r="E203" s="14" t="s">
        <v>201</v>
      </c>
      <c r="F203" s="14" t="s">
        <v>76</v>
      </c>
      <c r="G203" s="17">
        <v>45664</v>
      </c>
      <c r="H203" s="14" t="s">
        <v>77</v>
      </c>
      <c r="I203" s="14" t="s">
        <v>78</v>
      </c>
      <c r="J203" s="14" t="s">
        <v>467</v>
      </c>
      <c r="K203" s="14" t="s">
        <v>902</v>
      </c>
      <c r="L203" s="14" t="s">
        <v>119</v>
      </c>
      <c r="M203" s="14" t="s">
        <v>120</v>
      </c>
      <c r="N203" s="16">
        <f>COUNTIF($M$3:M203, M203)</f>
        <v>24</v>
      </c>
      <c r="O203" s="16" t="str" cm="1">
        <f t="array" ref="O203">INDEX('[2]ALTA 20242025'!$B$2:$B$241, MATCH(1, ('[2]ALTA 20242025'!$I$2:$I$241=M203)*('[2]ALTA 20242025'!$J$2:$J$241=N203), 0))</f>
        <v>6271MXF</v>
      </c>
      <c r="P203" s="16"/>
      <c r="Q203" s="16"/>
      <c r="R203" s="14" t="s">
        <v>2048</v>
      </c>
      <c r="S203" s="14" t="s">
        <v>2048</v>
      </c>
      <c r="T203" s="14" t="s">
        <v>2048</v>
      </c>
      <c r="U203" s="14" t="s">
        <v>2048</v>
      </c>
      <c r="V203" s="14" t="s">
        <v>4192</v>
      </c>
      <c r="W203" s="14" t="s">
        <v>4606</v>
      </c>
      <c r="X203" s="14" t="s">
        <v>4607</v>
      </c>
      <c r="Y203" s="14" t="s">
        <v>4608</v>
      </c>
      <c r="Z203" s="14" t="s">
        <v>2048</v>
      </c>
      <c r="AA203" s="14" t="s">
        <v>2422</v>
      </c>
      <c r="AB203" s="14" t="s">
        <v>2049</v>
      </c>
      <c r="AC203" s="14" t="s">
        <v>2050</v>
      </c>
      <c r="AD203" s="14" t="s">
        <v>3690</v>
      </c>
      <c r="AE203" s="14" t="s">
        <v>3613</v>
      </c>
      <c r="AF203" s="14" t="s">
        <v>3614</v>
      </c>
      <c r="AG203" s="14" t="s">
        <v>2048</v>
      </c>
      <c r="AH203" s="14" t="s">
        <v>2048</v>
      </c>
      <c r="AI203" s="14" t="s">
        <v>2129</v>
      </c>
      <c r="AJ203" s="14" t="s">
        <v>2130</v>
      </c>
      <c r="AK203" s="14" t="s">
        <v>2055</v>
      </c>
      <c r="AL203" s="14" t="s">
        <v>2055</v>
      </c>
      <c r="AM203" s="14" t="s">
        <v>2055</v>
      </c>
      <c r="AN203" s="14" t="s">
        <v>2068</v>
      </c>
      <c r="AO203" s="14" t="s">
        <v>2048</v>
      </c>
      <c r="AP203" s="14" t="s">
        <v>2048</v>
      </c>
      <c r="AQ203" s="14" t="s">
        <v>2048</v>
      </c>
      <c r="AR203" s="14" t="s">
        <v>4609</v>
      </c>
      <c r="AS203" s="14" t="s">
        <v>3776</v>
      </c>
      <c r="AT203" s="14" t="s">
        <v>2422</v>
      </c>
      <c r="AU203" s="14" t="s">
        <v>4610</v>
      </c>
      <c r="AV203" s="14" t="s">
        <v>3616</v>
      </c>
      <c r="AW203" s="14" t="s">
        <v>3617</v>
      </c>
      <c r="AX203" s="14" t="s">
        <v>2048</v>
      </c>
      <c r="AY203" s="14" t="s">
        <v>3616</v>
      </c>
      <c r="AZ203" s="14" t="s">
        <v>3617</v>
      </c>
      <c r="BA203" s="14" t="s">
        <v>2048</v>
      </c>
      <c r="BB203" s="14" t="s">
        <v>2048</v>
      </c>
      <c r="BC203" s="14" t="s">
        <v>119</v>
      </c>
      <c r="BD203" s="14" t="s">
        <v>776</v>
      </c>
      <c r="BE203" s="14" t="s">
        <v>3913</v>
      </c>
      <c r="BF203" s="14" t="s">
        <v>2048</v>
      </c>
      <c r="BG203" s="14" t="s">
        <v>2048</v>
      </c>
      <c r="BH203" s="14" t="s">
        <v>3598</v>
      </c>
      <c r="BI203" s="14" t="s">
        <v>3599</v>
      </c>
      <c r="BJ203" s="14" t="s">
        <v>3914</v>
      </c>
      <c r="BK203" s="14" t="s">
        <v>3915</v>
      </c>
      <c r="BL203" s="14" t="s">
        <v>3895</v>
      </c>
      <c r="BM203" s="14" t="s">
        <v>3600</v>
      </c>
      <c r="BN203" s="14" t="s">
        <v>2048</v>
      </c>
      <c r="BO203" s="14" t="s">
        <v>2048</v>
      </c>
      <c r="BP203" s="14" t="s">
        <v>2064</v>
      </c>
      <c r="BQ203" s="14" t="s">
        <v>72</v>
      </c>
      <c r="BR203" s="14" t="s">
        <v>72</v>
      </c>
      <c r="BS203" s="14" t="s">
        <v>2048</v>
      </c>
      <c r="BT203" s="14" t="s">
        <v>3601</v>
      </c>
      <c r="BU203" s="14" t="s">
        <v>3602</v>
      </c>
      <c r="BV203" s="14" t="s">
        <v>2331</v>
      </c>
      <c r="BW203" s="14" t="s">
        <v>2131</v>
      </c>
      <c r="BX203" s="14" t="s">
        <v>2048</v>
      </c>
      <c r="BY203" s="14" t="s">
        <v>2048</v>
      </c>
      <c r="BZ203" s="14" t="s">
        <v>2048</v>
      </c>
      <c r="CA203" s="14" t="s">
        <v>2048</v>
      </c>
      <c r="CB203" s="14" t="s">
        <v>72</v>
      </c>
      <c r="CC203" s="14" t="s">
        <v>2048</v>
      </c>
      <c r="CD203" s="14" t="s">
        <v>72</v>
      </c>
      <c r="CE203" s="14" t="s">
        <v>2048</v>
      </c>
      <c r="CF203" s="14" t="s">
        <v>2048</v>
      </c>
      <c r="CG203" s="14" t="s">
        <v>2048</v>
      </c>
      <c r="CH203" s="14" t="s">
        <v>2048</v>
      </c>
      <c r="CI203" s="14" t="s">
        <v>2048</v>
      </c>
      <c r="CJ203" s="14" t="s">
        <v>2048</v>
      </c>
      <c r="CK203" s="14" t="s">
        <v>3603</v>
      </c>
      <c r="CL203" s="14" t="s">
        <v>3604</v>
      </c>
      <c r="CM203" s="14" t="s">
        <v>2048</v>
      </c>
      <c r="CN203" s="17"/>
      <c r="CO203" s="17">
        <v>44203</v>
      </c>
      <c r="CP203" s="17">
        <v>44203</v>
      </c>
      <c r="CR203" s="17">
        <v>45680</v>
      </c>
      <c r="CS203" s="19">
        <v>48</v>
      </c>
      <c r="CT203" s="19">
        <v>0</v>
      </c>
      <c r="CU203" s="20">
        <v>1094.8699999999999</v>
      </c>
      <c r="CV203" s="19">
        <v>0</v>
      </c>
      <c r="CW203" s="20">
        <v>1094.8699999999999</v>
      </c>
      <c r="CX203" s="20">
        <v>1324.79</v>
      </c>
      <c r="CY203" s="19">
        <v>0</v>
      </c>
      <c r="CZ203" s="17"/>
      <c r="DA203" s="19">
        <v>0</v>
      </c>
      <c r="DB203" s="17"/>
      <c r="DC203" s="17"/>
      <c r="DD203" s="19">
        <v>0</v>
      </c>
      <c r="DE203" s="17"/>
      <c r="DF203" s="17"/>
      <c r="DG203" s="19">
        <v>100</v>
      </c>
      <c r="DH203" s="17"/>
      <c r="DI203" s="17">
        <v>46022</v>
      </c>
      <c r="DJ203" s="17"/>
      <c r="DK203" s="17"/>
      <c r="DL203" s="19">
        <v>0</v>
      </c>
      <c r="DM203" s="19">
        <v>0</v>
      </c>
    </row>
    <row r="204" spans="1:117" x14ac:dyDescent="0.2">
      <c r="A204" s="14" t="s">
        <v>3610</v>
      </c>
      <c r="B204" s="14" t="s">
        <v>335</v>
      </c>
      <c r="C204" s="14" t="s">
        <v>73</v>
      </c>
      <c r="D204" s="14" t="s">
        <v>200</v>
      </c>
      <c r="E204" s="14" t="s">
        <v>201</v>
      </c>
      <c r="F204" s="14" t="s">
        <v>76</v>
      </c>
      <c r="G204" s="17">
        <v>45676</v>
      </c>
      <c r="H204" s="14" t="s">
        <v>77</v>
      </c>
      <c r="I204" s="14" t="s">
        <v>78</v>
      </c>
      <c r="J204" s="14" t="s">
        <v>213</v>
      </c>
      <c r="K204" s="14" t="s">
        <v>237</v>
      </c>
      <c r="L204" s="14" t="s">
        <v>336</v>
      </c>
      <c r="M204" s="14" t="s">
        <v>337</v>
      </c>
      <c r="N204" s="16">
        <f>COUNTIF($M$3:M204, M204)</f>
        <v>14</v>
      </c>
      <c r="O204" s="16" t="str" cm="1">
        <f t="array" ref="O204">INDEX('[2]ALTA 20242025'!$B$2:$B$241, MATCH(1, ('[2]ALTA 20242025'!$I$2:$I$241=M204)*('[2]ALTA 20242025'!$J$2:$J$241=N204), 0))</f>
        <v>6051KRV</v>
      </c>
      <c r="P204" s="16"/>
      <c r="Q204" s="16"/>
      <c r="R204" s="14" t="s">
        <v>190</v>
      </c>
      <c r="S204" s="14" t="s">
        <v>191</v>
      </c>
      <c r="T204" s="14" t="s">
        <v>2048</v>
      </c>
      <c r="U204" s="14" t="s">
        <v>2048</v>
      </c>
      <c r="V204" s="14" t="s">
        <v>4611</v>
      </c>
      <c r="W204" s="14" t="s">
        <v>4612</v>
      </c>
      <c r="X204" s="14" t="s">
        <v>4613</v>
      </c>
      <c r="Y204" s="14" t="s">
        <v>4614</v>
      </c>
      <c r="Z204" s="14" t="s">
        <v>2048</v>
      </c>
      <c r="AA204" s="14" t="s">
        <v>2422</v>
      </c>
      <c r="AB204" s="14" t="s">
        <v>2049</v>
      </c>
      <c r="AC204" s="14" t="s">
        <v>2050</v>
      </c>
      <c r="AD204" s="14" t="s">
        <v>3725</v>
      </c>
      <c r="AE204" s="14" t="s">
        <v>3613</v>
      </c>
      <c r="AF204" s="14" t="s">
        <v>3614</v>
      </c>
      <c r="AG204" s="14" t="s">
        <v>2048</v>
      </c>
      <c r="AH204" s="14" t="s">
        <v>2048</v>
      </c>
      <c r="AI204" s="14" t="s">
        <v>2132</v>
      </c>
      <c r="AJ204" s="14" t="s">
        <v>2133</v>
      </c>
      <c r="AK204" s="14" t="s">
        <v>2055</v>
      </c>
      <c r="AL204" s="14" t="s">
        <v>2055</v>
      </c>
      <c r="AM204" s="14" t="s">
        <v>2055</v>
      </c>
      <c r="AN204" s="14" t="s">
        <v>2068</v>
      </c>
      <c r="AO204" s="14" t="s">
        <v>2048</v>
      </c>
      <c r="AP204" s="14" t="s">
        <v>2048</v>
      </c>
      <c r="AQ204" s="14" t="s">
        <v>2048</v>
      </c>
      <c r="AR204" s="14" t="s">
        <v>3131</v>
      </c>
      <c r="AS204" s="14" t="s">
        <v>3776</v>
      </c>
      <c r="AT204" s="14" t="s">
        <v>2422</v>
      </c>
      <c r="AU204" s="14" t="s">
        <v>2059</v>
      </c>
      <c r="AV204" s="14" t="s">
        <v>3140</v>
      </c>
      <c r="AW204" s="14" t="s">
        <v>3141</v>
      </c>
      <c r="AX204" s="14" t="s">
        <v>2048</v>
      </c>
      <c r="AY204" s="14" t="s">
        <v>2740</v>
      </c>
      <c r="AZ204" s="14" t="s">
        <v>2741</v>
      </c>
      <c r="BA204" s="14" t="s">
        <v>3627</v>
      </c>
      <c r="BB204" s="14" t="s">
        <v>2048</v>
      </c>
      <c r="BC204" s="14" t="s">
        <v>336</v>
      </c>
      <c r="BD204" s="14" t="s">
        <v>338</v>
      </c>
      <c r="BE204" s="14" t="s">
        <v>3134</v>
      </c>
      <c r="BF204" s="14" t="s">
        <v>2048</v>
      </c>
      <c r="BG204" s="14" t="s">
        <v>2048</v>
      </c>
      <c r="BH204" s="14" t="s">
        <v>3135</v>
      </c>
      <c r="BI204" s="14" t="s">
        <v>3136</v>
      </c>
      <c r="BJ204" s="14" t="s">
        <v>2048</v>
      </c>
      <c r="BK204" s="14" t="s">
        <v>2048</v>
      </c>
      <c r="BL204" s="14" t="s">
        <v>3137</v>
      </c>
      <c r="BM204" s="14" t="s">
        <v>2287</v>
      </c>
      <c r="BN204" s="14" t="s">
        <v>2048</v>
      </c>
      <c r="BO204" s="14" t="s">
        <v>2048</v>
      </c>
      <c r="BP204" s="14" t="s">
        <v>2064</v>
      </c>
      <c r="BQ204" s="14" t="s">
        <v>72</v>
      </c>
      <c r="BR204" s="14" t="s">
        <v>72</v>
      </c>
      <c r="BS204" s="14" t="s">
        <v>2048</v>
      </c>
      <c r="BT204" s="14" t="s">
        <v>2761</v>
      </c>
      <c r="BU204" s="14" t="s">
        <v>2762</v>
      </c>
      <c r="BV204" s="14" t="s">
        <v>2331</v>
      </c>
      <c r="BW204" s="14" t="s">
        <v>2131</v>
      </c>
      <c r="BX204" s="14" t="s">
        <v>2048</v>
      </c>
      <c r="BY204" s="14" t="s">
        <v>2048</v>
      </c>
      <c r="BZ204" s="14" t="s">
        <v>2048</v>
      </c>
      <c r="CA204" s="14" t="s">
        <v>2048</v>
      </c>
      <c r="CB204" s="14" t="s">
        <v>72</v>
      </c>
      <c r="CC204" s="14" t="s">
        <v>2048</v>
      </c>
      <c r="CD204" s="14" t="s">
        <v>2048</v>
      </c>
      <c r="CE204" s="14" t="s">
        <v>2048</v>
      </c>
      <c r="CF204" s="14" t="s">
        <v>2048</v>
      </c>
      <c r="CG204" s="14" t="s">
        <v>2048</v>
      </c>
      <c r="CH204" s="14" t="s">
        <v>2048</v>
      </c>
      <c r="CI204" s="14" t="s">
        <v>2048</v>
      </c>
      <c r="CJ204" s="14" t="s">
        <v>2048</v>
      </c>
      <c r="CK204" s="14" t="s">
        <v>2068</v>
      </c>
      <c r="CL204" s="14" t="s">
        <v>2069</v>
      </c>
      <c r="CM204" s="14" t="s">
        <v>2048</v>
      </c>
      <c r="CN204" s="17">
        <v>44896</v>
      </c>
      <c r="CO204" s="17">
        <v>44215</v>
      </c>
      <c r="CP204" s="17">
        <v>44215</v>
      </c>
      <c r="CR204" s="17">
        <v>45694</v>
      </c>
      <c r="CS204" s="19">
        <v>48</v>
      </c>
      <c r="CT204" s="19">
        <v>0</v>
      </c>
      <c r="CU204" s="19">
        <v>174.93</v>
      </c>
      <c r="CV204" s="19">
        <v>0</v>
      </c>
      <c r="CW204" s="19">
        <v>174.93</v>
      </c>
      <c r="CX204" s="19">
        <v>211.67</v>
      </c>
      <c r="CY204" s="19">
        <v>0</v>
      </c>
      <c r="CZ204" s="17"/>
      <c r="DA204" s="20">
        <v>84530</v>
      </c>
      <c r="DB204" s="17">
        <v>45808</v>
      </c>
      <c r="DC204" s="17"/>
      <c r="DD204" s="19">
        <v>0</v>
      </c>
      <c r="DE204" s="17"/>
      <c r="DF204" s="17"/>
      <c r="DG204" s="19">
        <v>50</v>
      </c>
      <c r="DH204" s="17"/>
      <c r="DI204" s="17">
        <v>46022</v>
      </c>
      <c r="DJ204" s="17"/>
      <c r="DK204" s="17"/>
      <c r="DL204" s="19">
        <v>0</v>
      </c>
      <c r="DM204" s="19">
        <v>0</v>
      </c>
    </row>
    <row r="205" spans="1:117" x14ac:dyDescent="0.2">
      <c r="A205" s="14" t="s">
        <v>3610</v>
      </c>
      <c r="B205" s="14" t="s">
        <v>1325</v>
      </c>
      <c r="C205" s="14" t="s">
        <v>73</v>
      </c>
      <c r="D205" s="14" t="s">
        <v>200</v>
      </c>
      <c r="E205" s="14" t="s">
        <v>201</v>
      </c>
      <c r="F205" s="14" t="s">
        <v>76</v>
      </c>
      <c r="G205" s="17">
        <v>45747</v>
      </c>
      <c r="H205" s="14" t="s">
        <v>77</v>
      </c>
      <c r="I205" s="14" t="s">
        <v>78</v>
      </c>
      <c r="J205" s="14" t="s">
        <v>79</v>
      </c>
      <c r="K205" s="14" t="s">
        <v>924</v>
      </c>
      <c r="L205" s="14" t="s">
        <v>131</v>
      </c>
      <c r="M205" s="14" t="s">
        <v>132</v>
      </c>
      <c r="N205" s="16">
        <f>COUNTIF($M$3:M205, M205)</f>
        <v>21</v>
      </c>
      <c r="O205" s="16" t="e" cm="1">
        <f t="array" ref="O205">INDEX('[2]ALTA 20242025'!$B$2:$B$241, MATCH(1, ('[2]ALTA 20242025'!$I$2:$I$241=M205)*('[2]ALTA 20242025'!$J$2:$J$241=N205), 0))</f>
        <v>#N/A</v>
      </c>
      <c r="P205" s="16"/>
      <c r="Q205" s="16"/>
      <c r="R205" s="14" t="s">
        <v>2048</v>
      </c>
      <c r="S205" s="14" t="s">
        <v>2048</v>
      </c>
      <c r="T205" s="14" t="s">
        <v>2048</v>
      </c>
      <c r="U205" s="14" t="s">
        <v>2048</v>
      </c>
      <c r="V205" s="14" t="s">
        <v>4192</v>
      </c>
      <c r="W205" s="14" t="s">
        <v>4615</v>
      </c>
      <c r="X205" s="14" t="s">
        <v>3764</v>
      </c>
      <c r="Y205" s="14" t="s">
        <v>4616</v>
      </c>
      <c r="Z205" s="14" t="s">
        <v>2048</v>
      </c>
      <c r="AA205" s="14" t="s">
        <v>2422</v>
      </c>
      <c r="AB205" s="14" t="s">
        <v>2049</v>
      </c>
      <c r="AC205" s="14" t="s">
        <v>2050</v>
      </c>
      <c r="AD205" s="14" t="s">
        <v>3612</v>
      </c>
      <c r="AE205" s="14" t="s">
        <v>3613</v>
      </c>
      <c r="AF205" s="14" t="s">
        <v>3614</v>
      </c>
      <c r="AG205" s="14" t="s">
        <v>200</v>
      </c>
      <c r="AH205" s="14" t="s">
        <v>3622</v>
      </c>
      <c r="AI205" s="14" t="s">
        <v>2442</v>
      </c>
      <c r="AJ205" s="14" t="s">
        <v>2443</v>
      </c>
      <c r="AK205" s="14" t="s">
        <v>2055</v>
      </c>
      <c r="AL205" s="14" t="s">
        <v>2056</v>
      </c>
      <c r="AM205" s="14" t="s">
        <v>2055</v>
      </c>
      <c r="AN205" s="14" t="s">
        <v>2068</v>
      </c>
      <c r="AO205" s="14" t="s">
        <v>2048</v>
      </c>
      <c r="AP205" s="14" t="s">
        <v>2048</v>
      </c>
      <c r="AQ205" s="14" t="s">
        <v>2584</v>
      </c>
      <c r="AR205" s="14" t="s">
        <v>2443</v>
      </c>
      <c r="AS205" s="14" t="s">
        <v>3776</v>
      </c>
      <c r="AT205" s="14" t="s">
        <v>3655</v>
      </c>
      <c r="AU205" s="14" t="s">
        <v>4617</v>
      </c>
      <c r="AV205" s="14" t="s">
        <v>3378</v>
      </c>
      <c r="AW205" s="14" t="s">
        <v>3379</v>
      </c>
      <c r="AX205" s="14" t="s">
        <v>2048</v>
      </c>
      <c r="AY205" s="14" t="s">
        <v>2448</v>
      </c>
      <c r="AZ205" s="14" t="s">
        <v>2449</v>
      </c>
      <c r="BA205" s="14" t="s">
        <v>2048</v>
      </c>
      <c r="BB205" s="14" t="s">
        <v>2048</v>
      </c>
      <c r="BC205" s="14" t="s">
        <v>131</v>
      </c>
      <c r="BD205" s="14" t="s">
        <v>427</v>
      </c>
      <c r="BE205" s="14" t="s">
        <v>3380</v>
      </c>
      <c r="BF205" s="14" t="s">
        <v>2048</v>
      </c>
      <c r="BG205" s="14" t="s">
        <v>2048</v>
      </c>
      <c r="BH205" s="14" t="s">
        <v>2048</v>
      </c>
      <c r="BI205" s="14" t="s">
        <v>2048</v>
      </c>
      <c r="BJ205" s="14" t="s">
        <v>2452</v>
      </c>
      <c r="BK205" s="14" t="s">
        <v>2453</v>
      </c>
      <c r="BL205" s="14" t="s">
        <v>2454</v>
      </c>
      <c r="BM205" s="14" t="s">
        <v>2455</v>
      </c>
      <c r="BN205" s="14" t="s">
        <v>2048</v>
      </c>
      <c r="BO205" s="14" t="s">
        <v>2518</v>
      </c>
      <c r="BP205" s="14" t="s">
        <v>2064</v>
      </c>
      <c r="BQ205" s="14" t="s">
        <v>72</v>
      </c>
      <c r="BR205" s="14" t="s">
        <v>72</v>
      </c>
      <c r="BS205" s="14" t="s">
        <v>2048</v>
      </c>
      <c r="BT205" s="14" t="s">
        <v>2457</v>
      </c>
      <c r="BU205" s="14" t="s">
        <v>2458</v>
      </c>
      <c r="BV205" s="14" t="s">
        <v>2418</v>
      </c>
      <c r="BW205" s="14" t="s">
        <v>2089</v>
      </c>
      <c r="BX205" s="14" t="s">
        <v>2048</v>
      </c>
      <c r="BY205" s="14" t="s">
        <v>2048</v>
      </c>
      <c r="BZ205" s="14" t="s">
        <v>2048</v>
      </c>
      <c r="CA205" s="14" t="s">
        <v>2048</v>
      </c>
      <c r="CB205" s="14" t="s">
        <v>72</v>
      </c>
      <c r="CC205" s="14" t="s">
        <v>2048</v>
      </c>
      <c r="CD205" s="14" t="s">
        <v>2048</v>
      </c>
      <c r="CE205" s="14" t="s">
        <v>2048</v>
      </c>
      <c r="CF205" s="14" t="s">
        <v>2048</v>
      </c>
      <c r="CG205" s="14" t="s">
        <v>2048</v>
      </c>
      <c r="CH205" s="14" t="s">
        <v>2048</v>
      </c>
      <c r="CI205" s="14" t="s">
        <v>2048</v>
      </c>
      <c r="CJ205" s="14" t="s">
        <v>2048</v>
      </c>
      <c r="CK205" s="14" t="s">
        <v>2057</v>
      </c>
      <c r="CL205" s="14" t="s">
        <v>2090</v>
      </c>
      <c r="CM205" s="14" t="s">
        <v>2048</v>
      </c>
      <c r="CN205" s="17"/>
      <c r="CO205" s="17">
        <v>44260</v>
      </c>
      <c r="CP205" s="17">
        <v>44260</v>
      </c>
      <c r="CR205" s="17">
        <v>45763</v>
      </c>
      <c r="CS205" s="19">
        <v>48</v>
      </c>
      <c r="CT205" s="19">
        <v>0</v>
      </c>
      <c r="CU205" s="19">
        <v>255.79</v>
      </c>
      <c r="CV205" s="19">
        <v>0</v>
      </c>
      <c r="CW205" s="19">
        <v>255.79</v>
      </c>
      <c r="CX205" s="19">
        <v>309.51</v>
      </c>
      <c r="CY205" s="19">
        <v>0</v>
      </c>
      <c r="CZ205" s="17"/>
      <c r="DA205" s="19">
        <v>0</v>
      </c>
      <c r="DB205" s="17"/>
      <c r="DC205" s="17"/>
      <c r="DD205" s="19">
        <v>0</v>
      </c>
      <c r="DE205" s="17"/>
      <c r="DF205" s="17"/>
      <c r="DG205" s="19">
        <v>100</v>
      </c>
      <c r="DH205" s="17"/>
      <c r="DI205" s="17">
        <v>46022</v>
      </c>
      <c r="DJ205" s="17"/>
      <c r="DK205" s="17"/>
      <c r="DL205" s="19">
        <v>0</v>
      </c>
      <c r="DM205" s="19">
        <v>0</v>
      </c>
    </row>
    <row r="206" spans="1:117" x14ac:dyDescent="0.2">
      <c r="A206" s="14" t="s">
        <v>3610</v>
      </c>
      <c r="B206" s="14" t="s">
        <v>943</v>
      </c>
      <c r="C206" s="14" t="s">
        <v>73</v>
      </c>
      <c r="D206" s="14" t="s">
        <v>200</v>
      </c>
      <c r="E206" s="14" t="s">
        <v>201</v>
      </c>
      <c r="F206" s="14" t="s">
        <v>160</v>
      </c>
      <c r="G206" s="17">
        <v>45752</v>
      </c>
      <c r="H206" s="14" t="s">
        <v>161</v>
      </c>
      <c r="I206" s="14" t="s">
        <v>78</v>
      </c>
      <c r="J206" s="14" t="s">
        <v>79</v>
      </c>
      <c r="K206" s="14" t="s">
        <v>924</v>
      </c>
      <c r="L206" s="14" t="s">
        <v>119</v>
      </c>
      <c r="M206" s="14" t="s">
        <v>120</v>
      </c>
      <c r="N206" s="16">
        <f>COUNTIF($M$3:M206, M206)</f>
        <v>25</v>
      </c>
      <c r="O206" s="16" t="str" cm="1">
        <f t="array" ref="O206">INDEX('[2]ALTA 20242025'!$B$2:$B$241, MATCH(1, ('[2]ALTA 20242025'!$I$2:$I$241=M206)*('[2]ALTA 20242025'!$J$2:$J$241=N206), 0))</f>
        <v>6334MXF</v>
      </c>
      <c r="P206" s="16"/>
      <c r="Q206" s="16"/>
      <c r="R206" s="14" t="s">
        <v>2048</v>
      </c>
      <c r="S206" s="14" t="s">
        <v>2048</v>
      </c>
      <c r="T206" s="14" t="s">
        <v>2048</v>
      </c>
      <c r="U206" s="14" t="s">
        <v>2048</v>
      </c>
      <c r="V206" s="14" t="s">
        <v>4192</v>
      </c>
      <c r="W206" s="14" t="s">
        <v>4618</v>
      </c>
      <c r="X206" s="14" t="s">
        <v>4010</v>
      </c>
      <c r="Y206" s="14" t="s">
        <v>4619</v>
      </c>
      <c r="Z206" s="14" t="s">
        <v>2048</v>
      </c>
      <c r="AA206" s="14" t="s">
        <v>2422</v>
      </c>
      <c r="AB206" s="14" t="s">
        <v>2049</v>
      </c>
      <c r="AC206" s="14" t="s">
        <v>2050</v>
      </c>
      <c r="AD206" s="14" t="s">
        <v>3612</v>
      </c>
      <c r="AE206" s="14" t="s">
        <v>3613</v>
      </c>
      <c r="AF206" s="14" t="s">
        <v>3614</v>
      </c>
      <c r="AG206" s="14" t="s">
        <v>2048</v>
      </c>
      <c r="AH206" s="14" t="s">
        <v>2048</v>
      </c>
      <c r="AI206" s="14" t="s">
        <v>2132</v>
      </c>
      <c r="AJ206" s="14" t="s">
        <v>2133</v>
      </c>
      <c r="AK206" s="14" t="s">
        <v>2056</v>
      </c>
      <c r="AL206" s="14" t="s">
        <v>2055</v>
      </c>
      <c r="AM206" s="14" t="s">
        <v>2055</v>
      </c>
      <c r="AN206" s="14" t="s">
        <v>2068</v>
      </c>
      <c r="AO206" s="14" t="s">
        <v>2048</v>
      </c>
      <c r="AP206" s="14" t="s">
        <v>2048</v>
      </c>
      <c r="AQ206" s="14" t="s">
        <v>2048</v>
      </c>
      <c r="AR206" s="14" t="s">
        <v>2570</v>
      </c>
      <c r="AS206" s="14" t="s">
        <v>3776</v>
      </c>
      <c r="AT206" s="14" t="s">
        <v>2331</v>
      </c>
      <c r="AU206" s="14" t="s">
        <v>4620</v>
      </c>
      <c r="AV206" s="14" t="s">
        <v>2571</v>
      </c>
      <c r="AW206" s="14" t="s">
        <v>2572</v>
      </c>
      <c r="AX206" s="14" t="s">
        <v>72</v>
      </c>
      <c r="AY206" s="14" t="s">
        <v>2573</v>
      </c>
      <c r="AZ206" s="14" t="s">
        <v>2574</v>
      </c>
      <c r="BA206" s="14" t="s">
        <v>2048</v>
      </c>
      <c r="BB206" s="14" t="s">
        <v>2048</v>
      </c>
      <c r="BC206" s="14" t="s">
        <v>119</v>
      </c>
      <c r="BD206" s="14" t="s">
        <v>152</v>
      </c>
      <c r="BE206" s="14" t="s">
        <v>2575</v>
      </c>
      <c r="BF206" s="14" t="s">
        <v>2048</v>
      </c>
      <c r="BG206" s="14" t="s">
        <v>2048</v>
      </c>
      <c r="BH206" s="14" t="s">
        <v>2576</v>
      </c>
      <c r="BI206" s="14" t="s">
        <v>2577</v>
      </c>
      <c r="BJ206" s="14" t="s">
        <v>2578</v>
      </c>
      <c r="BK206" s="14" t="s">
        <v>2579</v>
      </c>
      <c r="BL206" s="14" t="s">
        <v>2580</v>
      </c>
      <c r="BM206" s="14" t="s">
        <v>2287</v>
      </c>
      <c r="BN206" s="14" t="s">
        <v>2048</v>
      </c>
      <c r="BO206" s="14" t="s">
        <v>2048</v>
      </c>
      <c r="BP206" s="14" t="s">
        <v>2064</v>
      </c>
      <c r="BQ206" s="14" t="s">
        <v>72</v>
      </c>
      <c r="BR206" s="14" t="s">
        <v>72</v>
      </c>
      <c r="BS206" s="14" t="s">
        <v>2048</v>
      </c>
      <c r="BT206" s="14" t="s">
        <v>2582</v>
      </c>
      <c r="BU206" s="14" t="s">
        <v>2570</v>
      </c>
      <c r="BV206" s="14" t="s">
        <v>2418</v>
      </c>
      <c r="BW206" s="14" t="s">
        <v>2089</v>
      </c>
      <c r="BX206" s="14" t="s">
        <v>2048</v>
      </c>
      <c r="BY206" s="14" t="s">
        <v>2048</v>
      </c>
      <c r="BZ206" s="14" t="s">
        <v>2048</v>
      </c>
      <c r="CA206" s="14" t="s">
        <v>2048</v>
      </c>
      <c r="CB206" s="14" t="s">
        <v>72</v>
      </c>
      <c r="CC206" s="14" t="s">
        <v>2048</v>
      </c>
      <c r="CD206" s="14" t="s">
        <v>2048</v>
      </c>
      <c r="CE206" s="14" t="s">
        <v>2048</v>
      </c>
      <c r="CF206" s="14" t="s">
        <v>2048</v>
      </c>
      <c r="CG206" s="14" t="s">
        <v>2048</v>
      </c>
      <c r="CH206" s="14" t="s">
        <v>2048</v>
      </c>
      <c r="CI206" s="14" t="s">
        <v>2048</v>
      </c>
      <c r="CJ206" s="14" t="s">
        <v>2048</v>
      </c>
      <c r="CK206" s="14" t="s">
        <v>2057</v>
      </c>
      <c r="CL206" s="14" t="s">
        <v>2090</v>
      </c>
      <c r="CM206" s="14" t="s">
        <v>2048</v>
      </c>
      <c r="CN206" s="17"/>
      <c r="CO206" s="17">
        <v>44291</v>
      </c>
      <c r="CP206" s="17">
        <v>44291</v>
      </c>
      <c r="CR206" s="17">
        <v>45594</v>
      </c>
      <c r="CS206" s="19">
        <v>48</v>
      </c>
      <c r="CT206" s="19">
        <v>0</v>
      </c>
      <c r="CU206" s="19">
        <v>216.28</v>
      </c>
      <c r="CV206" s="19">
        <v>0</v>
      </c>
      <c r="CW206" s="19">
        <v>216.28</v>
      </c>
      <c r="CX206" s="19">
        <v>261.7</v>
      </c>
      <c r="CY206" s="19">
        <v>0</v>
      </c>
      <c r="CZ206" s="17"/>
      <c r="DA206" s="19">
        <v>0</v>
      </c>
      <c r="DB206" s="17"/>
      <c r="DC206" s="17"/>
      <c r="DD206" s="19">
        <v>0</v>
      </c>
      <c r="DE206" s="17"/>
      <c r="DF206" s="17"/>
      <c r="DG206" s="19">
        <v>100</v>
      </c>
      <c r="DH206" s="17"/>
      <c r="DI206" s="17">
        <v>46022</v>
      </c>
      <c r="DJ206" s="17"/>
      <c r="DK206" s="17"/>
      <c r="DL206" s="19">
        <v>0</v>
      </c>
      <c r="DM206" s="19">
        <v>0</v>
      </c>
    </row>
    <row r="207" spans="1:117" x14ac:dyDescent="0.2">
      <c r="A207" s="14" t="s">
        <v>3610</v>
      </c>
      <c r="B207" s="14" t="s">
        <v>322</v>
      </c>
      <c r="C207" s="14" t="s">
        <v>73</v>
      </c>
      <c r="D207" s="14" t="s">
        <v>200</v>
      </c>
      <c r="E207" s="14" t="s">
        <v>201</v>
      </c>
      <c r="F207" s="14" t="s">
        <v>76</v>
      </c>
      <c r="G207" s="17">
        <v>45676</v>
      </c>
      <c r="H207" s="14" t="s">
        <v>77</v>
      </c>
      <c r="I207" s="14" t="s">
        <v>78</v>
      </c>
      <c r="J207" s="14" t="s">
        <v>213</v>
      </c>
      <c r="K207" s="14" t="s">
        <v>237</v>
      </c>
      <c r="L207" s="14" t="s">
        <v>119</v>
      </c>
      <c r="M207" s="14" t="s">
        <v>120</v>
      </c>
      <c r="N207" s="16">
        <f>COUNTIF($M$3:M207, M207)</f>
        <v>26</v>
      </c>
      <c r="O207" s="16" t="str" cm="1">
        <f t="array" ref="O207">INDEX('[2]ALTA 20242025'!$B$2:$B$241, MATCH(1, ('[2]ALTA 20242025'!$I$2:$I$241=M207)*('[2]ALTA 20242025'!$J$2:$J$241=N207), 0))</f>
        <v>6370MXF</v>
      </c>
      <c r="P207" s="16"/>
      <c r="Q207" s="16"/>
      <c r="R207" s="14" t="s">
        <v>2048</v>
      </c>
      <c r="S207" s="14" t="s">
        <v>2048</v>
      </c>
      <c r="T207" s="14" t="s">
        <v>2048</v>
      </c>
      <c r="U207" s="14" t="s">
        <v>2048</v>
      </c>
      <c r="V207" s="14" t="s">
        <v>4192</v>
      </c>
      <c r="W207" s="14" t="s">
        <v>4621</v>
      </c>
      <c r="X207" s="14" t="s">
        <v>4540</v>
      </c>
      <c r="Y207" s="14" t="s">
        <v>4622</v>
      </c>
      <c r="Z207" s="14" t="s">
        <v>2048</v>
      </c>
      <c r="AA207" s="14" t="s">
        <v>2422</v>
      </c>
      <c r="AB207" s="14" t="s">
        <v>2049</v>
      </c>
      <c r="AC207" s="14" t="s">
        <v>2050</v>
      </c>
      <c r="AD207" s="14" t="s">
        <v>3796</v>
      </c>
      <c r="AE207" s="14" t="s">
        <v>3613</v>
      </c>
      <c r="AF207" s="14" t="s">
        <v>3614</v>
      </c>
      <c r="AG207" s="14" t="s">
        <v>2048</v>
      </c>
      <c r="AH207" s="14" t="s">
        <v>2048</v>
      </c>
      <c r="AI207" s="14" t="s">
        <v>2132</v>
      </c>
      <c r="AJ207" s="14" t="s">
        <v>2133</v>
      </c>
      <c r="AK207" s="14" t="s">
        <v>2055</v>
      </c>
      <c r="AL207" s="14" t="s">
        <v>2056</v>
      </c>
      <c r="AM207" s="14" t="s">
        <v>2055</v>
      </c>
      <c r="AN207" s="14" t="s">
        <v>2068</v>
      </c>
      <c r="AO207" s="14" t="s">
        <v>2048</v>
      </c>
      <c r="AP207" s="14" t="s">
        <v>2048</v>
      </c>
      <c r="AQ207" s="14" t="s">
        <v>2048</v>
      </c>
      <c r="AR207" s="14" t="s">
        <v>2585</v>
      </c>
      <c r="AS207" s="14" t="s">
        <v>3776</v>
      </c>
      <c r="AT207" s="14" t="s">
        <v>2422</v>
      </c>
      <c r="AU207" s="14" t="s">
        <v>4623</v>
      </c>
      <c r="AV207" s="14" t="s">
        <v>4624</v>
      </c>
      <c r="AW207" s="14" t="s">
        <v>4625</v>
      </c>
      <c r="AX207" s="14" t="s">
        <v>2048</v>
      </c>
      <c r="AY207" s="14" t="s">
        <v>2589</v>
      </c>
      <c r="AZ207" s="14" t="s">
        <v>2590</v>
      </c>
      <c r="BA207" s="14" t="s">
        <v>2048</v>
      </c>
      <c r="BB207" s="14" t="s">
        <v>2048</v>
      </c>
      <c r="BC207" s="14" t="s">
        <v>119</v>
      </c>
      <c r="BD207" s="14" t="s">
        <v>323</v>
      </c>
      <c r="BE207" s="14" t="s">
        <v>3011</v>
      </c>
      <c r="BF207" s="14" t="s">
        <v>2048</v>
      </c>
      <c r="BG207" s="14" t="s">
        <v>2048</v>
      </c>
      <c r="BH207" s="14" t="s">
        <v>2592</v>
      </c>
      <c r="BI207" s="14" t="s">
        <v>2593</v>
      </c>
      <c r="BJ207" s="14" t="s">
        <v>2594</v>
      </c>
      <c r="BK207" s="14" t="s">
        <v>2595</v>
      </c>
      <c r="BL207" s="14" t="s">
        <v>2596</v>
      </c>
      <c r="BM207" s="14" t="s">
        <v>2287</v>
      </c>
      <c r="BN207" s="14" t="s">
        <v>2048</v>
      </c>
      <c r="BO207" s="14" t="s">
        <v>2048</v>
      </c>
      <c r="BP207" s="14" t="s">
        <v>2064</v>
      </c>
      <c r="BQ207" s="14" t="s">
        <v>72</v>
      </c>
      <c r="BR207" s="14" t="s">
        <v>72</v>
      </c>
      <c r="BS207" s="14" t="s">
        <v>2048</v>
      </c>
      <c r="BT207" s="14" t="s">
        <v>4041</v>
      </c>
      <c r="BU207" s="14" t="s">
        <v>4042</v>
      </c>
      <c r="BV207" s="14" t="s">
        <v>2331</v>
      </c>
      <c r="BW207" s="14" t="s">
        <v>2131</v>
      </c>
      <c r="BX207" s="14" t="s">
        <v>2048</v>
      </c>
      <c r="BY207" s="14" t="s">
        <v>2048</v>
      </c>
      <c r="BZ207" s="14" t="s">
        <v>2048</v>
      </c>
      <c r="CA207" s="14" t="s">
        <v>2048</v>
      </c>
      <c r="CB207" s="14" t="s">
        <v>2048</v>
      </c>
      <c r="CC207" s="14" t="s">
        <v>2048</v>
      </c>
      <c r="CD207" s="14" t="s">
        <v>2048</v>
      </c>
      <c r="CE207" s="14" t="s">
        <v>2048</v>
      </c>
      <c r="CF207" s="14" t="s">
        <v>2048</v>
      </c>
      <c r="CG207" s="14" t="s">
        <v>2048</v>
      </c>
      <c r="CH207" s="14" t="s">
        <v>2048</v>
      </c>
      <c r="CI207" s="14" t="s">
        <v>2048</v>
      </c>
      <c r="CJ207" s="14" t="s">
        <v>2048</v>
      </c>
      <c r="CK207" s="14" t="s">
        <v>2068</v>
      </c>
      <c r="CL207" s="14" t="s">
        <v>2069</v>
      </c>
      <c r="CM207" s="14" t="s">
        <v>2048</v>
      </c>
      <c r="CN207" s="17"/>
      <c r="CO207" s="17">
        <v>44215</v>
      </c>
      <c r="CP207" s="17">
        <v>44215</v>
      </c>
      <c r="CR207" s="17">
        <v>45677</v>
      </c>
      <c r="CS207" s="19">
        <v>48</v>
      </c>
      <c r="CT207" s="19">
        <v>0</v>
      </c>
      <c r="CU207" s="19">
        <v>256.49</v>
      </c>
      <c r="CV207" s="19">
        <v>0</v>
      </c>
      <c r="CW207" s="19">
        <v>256.49</v>
      </c>
      <c r="CX207" s="19">
        <v>310.35000000000002</v>
      </c>
      <c r="CY207" s="19">
        <v>0</v>
      </c>
      <c r="CZ207" s="17"/>
      <c r="DA207" s="19">
        <v>0</v>
      </c>
      <c r="DB207" s="17"/>
      <c r="DC207" s="17"/>
      <c r="DD207" s="19">
        <v>0</v>
      </c>
      <c r="DE207" s="17"/>
      <c r="DF207" s="17"/>
      <c r="DG207" s="19">
        <v>100</v>
      </c>
      <c r="DH207" s="17"/>
      <c r="DI207" s="17">
        <v>46022</v>
      </c>
      <c r="DJ207" s="17"/>
      <c r="DK207" s="17"/>
      <c r="DL207" s="19">
        <v>0</v>
      </c>
      <c r="DM207" s="19">
        <v>0</v>
      </c>
    </row>
    <row r="208" spans="1:117" x14ac:dyDescent="0.2">
      <c r="A208" s="14" t="s">
        <v>3610</v>
      </c>
      <c r="B208" s="14" t="s">
        <v>1327</v>
      </c>
      <c r="C208" s="14" t="s">
        <v>73</v>
      </c>
      <c r="D208" s="14" t="s">
        <v>200</v>
      </c>
      <c r="E208" s="14" t="s">
        <v>201</v>
      </c>
      <c r="F208" s="14" t="s">
        <v>160</v>
      </c>
      <c r="G208" s="17">
        <v>45770</v>
      </c>
      <c r="H208" s="14" t="s">
        <v>161</v>
      </c>
      <c r="I208" s="14" t="s">
        <v>78</v>
      </c>
      <c r="J208" s="14" t="s">
        <v>85</v>
      </c>
      <c r="K208" s="14" t="s">
        <v>752</v>
      </c>
      <c r="L208" s="14" t="s">
        <v>131</v>
      </c>
      <c r="M208" s="14" t="s">
        <v>132</v>
      </c>
      <c r="N208" s="16">
        <f>COUNTIF($M$3:M208, M208)</f>
        <v>22</v>
      </c>
      <c r="O208" s="16" t="e" cm="1">
        <f t="array" ref="O208">INDEX('[2]ALTA 20242025'!$B$2:$B$241, MATCH(1, ('[2]ALTA 20242025'!$I$2:$I$241=M208)*('[2]ALTA 20242025'!$J$2:$J$241=N208), 0))</f>
        <v>#N/A</v>
      </c>
      <c r="P208" s="16"/>
      <c r="Q208" s="16"/>
      <c r="R208" s="14" t="s">
        <v>2048</v>
      </c>
      <c r="S208" s="14" t="s">
        <v>2048</v>
      </c>
      <c r="T208" s="14" t="s">
        <v>2048</v>
      </c>
      <c r="U208" s="14" t="s">
        <v>2048</v>
      </c>
      <c r="V208" s="14" t="s">
        <v>4192</v>
      </c>
      <c r="W208" s="14" t="s">
        <v>4626</v>
      </c>
      <c r="X208" s="14" t="s">
        <v>3764</v>
      </c>
      <c r="Y208" s="14" t="s">
        <v>4627</v>
      </c>
      <c r="Z208" s="14" t="s">
        <v>2048</v>
      </c>
      <c r="AA208" s="14" t="s">
        <v>2422</v>
      </c>
      <c r="AB208" s="14" t="s">
        <v>2049</v>
      </c>
      <c r="AC208" s="14" t="s">
        <v>2050</v>
      </c>
      <c r="AD208" s="14" t="s">
        <v>3612</v>
      </c>
      <c r="AE208" s="14" t="s">
        <v>3613</v>
      </c>
      <c r="AF208" s="14" t="s">
        <v>3614</v>
      </c>
      <c r="AG208" s="14" t="s">
        <v>2048</v>
      </c>
      <c r="AH208" s="14" t="s">
        <v>2048</v>
      </c>
      <c r="AI208" s="14" t="s">
        <v>2442</v>
      </c>
      <c r="AJ208" s="14" t="s">
        <v>2443</v>
      </c>
      <c r="AK208" s="14" t="s">
        <v>2056</v>
      </c>
      <c r="AL208" s="14" t="s">
        <v>2056</v>
      </c>
      <c r="AM208" s="14" t="s">
        <v>2055</v>
      </c>
      <c r="AN208" s="14" t="s">
        <v>2068</v>
      </c>
      <c r="AO208" s="14" t="s">
        <v>2048</v>
      </c>
      <c r="AP208" s="14" t="s">
        <v>2048</v>
      </c>
      <c r="AQ208" s="14" t="s">
        <v>4628</v>
      </c>
      <c r="AR208" s="14" t="s">
        <v>2443</v>
      </c>
      <c r="AS208" s="14" t="s">
        <v>3776</v>
      </c>
      <c r="AT208" s="14" t="s">
        <v>2331</v>
      </c>
      <c r="AU208" s="14" t="s">
        <v>4629</v>
      </c>
      <c r="AV208" s="14" t="s">
        <v>4630</v>
      </c>
      <c r="AW208" s="14" t="s">
        <v>4631</v>
      </c>
      <c r="AX208" s="14" t="s">
        <v>2048</v>
      </c>
      <c r="AY208" s="14" t="s">
        <v>2448</v>
      </c>
      <c r="AZ208" s="14" t="s">
        <v>2449</v>
      </c>
      <c r="BA208" s="14" t="s">
        <v>2048</v>
      </c>
      <c r="BB208" s="14" t="s">
        <v>2048</v>
      </c>
      <c r="BC208" s="14" t="s">
        <v>131</v>
      </c>
      <c r="BD208" s="14" t="s">
        <v>622</v>
      </c>
      <c r="BE208" s="14" t="s">
        <v>2450</v>
      </c>
      <c r="BF208" s="14" t="s">
        <v>3990</v>
      </c>
      <c r="BG208" s="14" t="s">
        <v>2048</v>
      </c>
      <c r="BH208" s="14" t="s">
        <v>2048</v>
      </c>
      <c r="BI208" s="14" t="s">
        <v>2048</v>
      </c>
      <c r="BJ208" s="14" t="s">
        <v>2452</v>
      </c>
      <c r="BK208" s="14" t="s">
        <v>2453</v>
      </c>
      <c r="BL208" s="14" t="s">
        <v>2454</v>
      </c>
      <c r="BM208" s="14" t="s">
        <v>2455</v>
      </c>
      <c r="BN208" s="14" t="s">
        <v>2048</v>
      </c>
      <c r="BO208" s="14" t="s">
        <v>2048</v>
      </c>
      <c r="BP208" s="14" t="s">
        <v>2064</v>
      </c>
      <c r="BQ208" s="14" t="s">
        <v>72</v>
      </c>
      <c r="BR208" s="14" t="s">
        <v>72</v>
      </c>
      <c r="BS208" s="14" t="s">
        <v>2048</v>
      </c>
      <c r="BT208" s="14" t="s">
        <v>4032</v>
      </c>
      <c r="BU208" s="14" t="s">
        <v>4033</v>
      </c>
      <c r="BV208" s="14" t="s">
        <v>2418</v>
      </c>
      <c r="BW208" s="14" t="s">
        <v>2089</v>
      </c>
      <c r="BX208" s="14" t="s">
        <v>2048</v>
      </c>
      <c r="BY208" s="14" t="s">
        <v>2048</v>
      </c>
      <c r="BZ208" s="14" t="s">
        <v>2048</v>
      </c>
      <c r="CA208" s="14" t="s">
        <v>2048</v>
      </c>
      <c r="CB208" s="14" t="s">
        <v>72</v>
      </c>
      <c r="CC208" s="14" t="s">
        <v>2048</v>
      </c>
      <c r="CD208" s="14" t="s">
        <v>2048</v>
      </c>
      <c r="CE208" s="14" t="s">
        <v>2048</v>
      </c>
      <c r="CF208" s="14" t="s">
        <v>2048</v>
      </c>
      <c r="CG208" s="14" t="s">
        <v>2048</v>
      </c>
      <c r="CH208" s="14" t="s">
        <v>2048</v>
      </c>
      <c r="CI208" s="14" t="s">
        <v>2048</v>
      </c>
      <c r="CJ208" s="14" t="s">
        <v>2048</v>
      </c>
      <c r="CK208" s="14" t="s">
        <v>2121</v>
      </c>
      <c r="CL208" s="14" t="s">
        <v>2122</v>
      </c>
      <c r="CM208" s="14" t="s">
        <v>2048</v>
      </c>
      <c r="CN208" s="17"/>
      <c r="CO208" s="17">
        <v>44309</v>
      </c>
      <c r="CP208" s="17">
        <v>44309</v>
      </c>
      <c r="CR208" s="17">
        <v>45594</v>
      </c>
      <c r="CS208" s="19">
        <v>48</v>
      </c>
      <c r="CT208" s="19">
        <v>0</v>
      </c>
      <c r="CU208" s="19">
        <v>451.21</v>
      </c>
      <c r="CV208" s="19">
        <v>0</v>
      </c>
      <c r="CW208" s="19">
        <v>451.21</v>
      </c>
      <c r="CX208" s="19">
        <v>545.96</v>
      </c>
      <c r="CY208" s="19">
        <v>0</v>
      </c>
      <c r="CZ208" s="17"/>
      <c r="DA208" s="19">
        <v>0</v>
      </c>
      <c r="DB208" s="17"/>
      <c r="DC208" s="17"/>
      <c r="DD208" s="19">
        <v>0</v>
      </c>
      <c r="DE208" s="17"/>
      <c r="DF208" s="17"/>
      <c r="DG208" s="19">
        <v>100</v>
      </c>
      <c r="DH208" s="17"/>
      <c r="DI208" s="17">
        <v>46022</v>
      </c>
      <c r="DJ208" s="17"/>
      <c r="DK208" s="17"/>
      <c r="DL208" s="19">
        <v>0</v>
      </c>
      <c r="DM208" s="19">
        <v>0</v>
      </c>
    </row>
    <row r="209" spans="1:117" x14ac:dyDescent="0.2">
      <c r="A209" s="14" t="s">
        <v>3610</v>
      </c>
      <c r="B209" s="14" t="s">
        <v>1399</v>
      </c>
      <c r="C209" s="14" t="s">
        <v>158</v>
      </c>
      <c r="D209" s="14" t="s">
        <v>159</v>
      </c>
      <c r="E209" s="14" t="s">
        <v>158</v>
      </c>
      <c r="F209" s="14" t="s">
        <v>171</v>
      </c>
      <c r="G209" s="17">
        <v>45771</v>
      </c>
      <c r="H209" s="14" t="s">
        <v>172</v>
      </c>
      <c r="I209" s="14" t="s">
        <v>71</v>
      </c>
      <c r="J209" s="14" t="s">
        <v>1338</v>
      </c>
      <c r="K209" s="14" t="s">
        <v>1338</v>
      </c>
      <c r="L209" s="14" t="s">
        <v>119</v>
      </c>
      <c r="M209" s="14" t="s">
        <v>120</v>
      </c>
      <c r="N209" s="16">
        <f>COUNTIF($M$3:M209, M209)</f>
        <v>27</v>
      </c>
      <c r="O209" s="16" t="str" cm="1">
        <f t="array" ref="O209">INDEX('[2]ALTA 20242025'!$B$2:$B$241, MATCH(1, ('[2]ALTA 20242025'!$I$2:$I$241=M209)*('[2]ALTA 20242025'!$J$2:$J$241=N209), 0))</f>
        <v>9049MWN</v>
      </c>
      <c r="P209" s="16"/>
      <c r="Q209" s="16"/>
      <c r="R209" s="14" t="s">
        <v>2048</v>
      </c>
      <c r="S209" s="14" t="s">
        <v>2048</v>
      </c>
      <c r="T209" s="14" t="s">
        <v>2048</v>
      </c>
      <c r="U209" s="14" t="s">
        <v>2048</v>
      </c>
      <c r="V209" s="14" t="s">
        <v>3757</v>
      </c>
      <c r="W209" s="14" t="s">
        <v>3757</v>
      </c>
      <c r="X209" s="14" t="s">
        <v>3757</v>
      </c>
      <c r="Y209" s="14" t="s">
        <v>2048</v>
      </c>
      <c r="Z209" s="14" t="s">
        <v>2048</v>
      </c>
      <c r="AA209" s="14" t="s">
        <v>2048</v>
      </c>
      <c r="AB209" s="14" t="s">
        <v>2048</v>
      </c>
      <c r="AC209" s="14" t="s">
        <v>2050</v>
      </c>
      <c r="AD209" s="14" t="s">
        <v>2048</v>
      </c>
      <c r="AE209" s="14" t="s">
        <v>2048</v>
      </c>
      <c r="AF209" s="14" t="s">
        <v>2048</v>
      </c>
      <c r="AG209" s="14" t="s">
        <v>2048</v>
      </c>
      <c r="AH209" s="14" t="s">
        <v>2048</v>
      </c>
      <c r="AI209" s="14" t="s">
        <v>2129</v>
      </c>
      <c r="AJ209" s="14" t="s">
        <v>2130</v>
      </c>
      <c r="AK209" s="14" t="s">
        <v>2055</v>
      </c>
      <c r="AL209" s="14" t="s">
        <v>2055</v>
      </c>
      <c r="AM209" s="14" t="s">
        <v>2055</v>
      </c>
      <c r="AN209" s="14" t="s">
        <v>3714</v>
      </c>
      <c r="AO209" s="14" t="s">
        <v>2048</v>
      </c>
      <c r="AP209" s="14" t="s">
        <v>2048</v>
      </c>
      <c r="AQ209" s="14" t="s">
        <v>2048</v>
      </c>
      <c r="AR209" s="14" t="s">
        <v>4632</v>
      </c>
      <c r="AS209" s="14" t="s">
        <v>2048</v>
      </c>
      <c r="AT209" s="14" t="s">
        <v>2048</v>
      </c>
      <c r="AU209" s="14" t="s">
        <v>2059</v>
      </c>
      <c r="AV209" s="14" t="s">
        <v>2060</v>
      </c>
      <c r="AW209" s="14" t="s">
        <v>2048</v>
      </c>
      <c r="AX209" s="14" t="s">
        <v>2048</v>
      </c>
      <c r="AY209" s="14" t="s">
        <v>4633</v>
      </c>
      <c r="AZ209" s="14" t="s">
        <v>4634</v>
      </c>
      <c r="BA209" s="14" t="s">
        <v>2048</v>
      </c>
      <c r="BB209" s="14" t="s">
        <v>2048</v>
      </c>
      <c r="BC209" s="14" t="s">
        <v>119</v>
      </c>
      <c r="BD209" s="14" t="s">
        <v>1400</v>
      </c>
      <c r="BE209" s="14" t="s">
        <v>4635</v>
      </c>
      <c r="BF209" s="14" t="s">
        <v>2048</v>
      </c>
      <c r="BG209" s="14" t="s">
        <v>2048</v>
      </c>
      <c r="BH209" s="14" t="s">
        <v>3598</v>
      </c>
      <c r="BI209" s="14" t="s">
        <v>3599</v>
      </c>
      <c r="BJ209" s="14" t="s">
        <v>4636</v>
      </c>
      <c r="BK209" s="14" t="s">
        <v>4637</v>
      </c>
      <c r="BL209" s="14" t="s">
        <v>4638</v>
      </c>
      <c r="BM209" s="14" t="s">
        <v>3600</v>
      </c>
      <c r="BN209" s="14" t="s">
        <v>2048</v>
      </c>
      <c r="BO209" s="14" t="s">
        <v>2048</v>
      </c>
      <c r="BP209" s="14" t="s">
        <v>2064</v>
      </c>
      <c r="BQ209" s="14" t="s">
        <v>72</v>
      </c>
      <c r="BR209" s="14" t="s">
        <v>72</v>
      </c>
      <c r="BS209" s="14" t="s">
        <v>2048</v>
      </c>
      <c r="BT209" s="14" t="s">
        <v>2048</v>
      </c>
      <c r="BU209" s="14" t="s">
        <v>2048</v>
      </c>
      <c r="BV209" s="14" t="s">
        <v>4512</v>
      </c>
      <c r="BW209" s="14" t="s">
        <v>4639</v>
      </c>
      <c r="BX209" s="14" t="s">
        <v>2048</v>
      </c>
      <c r="BY209" s="14" t="s">
        <v>2048</v>
      </c>
      <c r="BZ209" s="14" t="s">
        <v>2048</v>
      </c>
      <c r="CA209" s="14" t="s">
        <v>2048</v>
      </c>
      <c r="CB209" s="14" t="s">
        <v>2048</v>
      </c>
      <c r="CC209" s="14" t="s">
        <v>2048</v>
      </c>
      <c r="CD209" s="14" t="s">
        <v>2048</v>
      </c>
      <c r="CE209" s="14" t="s">
        <v>2048</v>
      </c>
      <c r="CF209" s="14" t="s">
        <v>2048</v>
      </c>
      <c r="CG209" s="14" t="s">
        <v>2048</v>
      </c>
      <c r="CH209" s="14" t="s">
        <v>2048</v>
      </c>
      <c r="CI209" s="14" t="s">
        <v>2048</v>
      </c>
      <c r="CJ209" s="14" t="s">
        <v>2048</v>
      </c>
      <c r="CK209" s="14" t="s">
        <v>3774</v>
      </c>
      <c r="CL209" s="14" t="s">
        <v>413</v>
      </c>
      <c r="CM209" s="14" t="s">
        <v>2048</v>
      </c>
      <c r="CN209" s="17"/>
      <c r="CO209" s="17">
        <v>42736</v>
      </c>
      <c r="CP209" s="17">
        <v>42736</v>
      </c>
      <c r="CR209" s="17">
        <v>45771</v>
      </c>
      <c r="CS209" s="19">
        <v>0</v>
      </c>
      <c r="CT209" s="19">
        <v>0</v>
      </c>
      <c r="CU209" s="19">
        <v>0</v>
      </c>
      <c r="CV209" s="19">
        <v>0</v>
      </c>
      <c r="CW209" s="19">
        <v>0</v>
      </c>
      <c r="CX209" s="19">
        <v>0</v>
      </c>
      <c r="CY209" s="19">
        <v>0</v>
      </c>
      <c r="CZ209" s="17"/>
      <c r="DA209" s="19">
        <v>0</v>
      </c>
      <c r="DB209" s="17"/>
      <c r="DC209" s="17"/>
      <c r="DD209" s="19">
        <v>0</v>
      </c>
      <c r="DE209" s="17"/>
      <c r="DF209" s="17"/>
      <c r="DG209" s="19">
        <v>100</v>
      </c>
      <c r="DH209" s="17"/>
      <c r="DI209" s="17">
        <v>2958465</v>
      </c>
      <c r="DJ209" s="17"/>
      <c r="DK209" s="17"/>
      <c r="DL209" s="19">
        <v>0</v>
      </c>
      <c r="DM209" s="19">
        <v>0</v>
      </c>
    </row>
    <row r="210" spans="1:117" x14ac:dyDescent="0.2">
      <c r="A210" s="14" t="s">
        <v>3610</v>
      </c>
      <c r="B210" s="14" t="s">
        <v>222</v>
      </c>
      <c r="C210" s="14" t="s">
        <v>73</v>
      </c>
      <c r="D210" s="14" t="s">
        <v>200</v>
      </c>
      <c r="E210" s="14" t="s">
        <v>201</v>
      </c>
      <c r="F210" s="14" t="s">
        <v>76</v>
      </c>
      <c r="G210" s="17">
        <v>45676</v>
      </c>
      <c r="H210" s="14" t="s">
        <v>77</v>
      </c>
      <c r="I210" s="14" t="s">
        <v>71</v>
      </c>
      <c r="J210" s="14" t="s">
        <v>213</v>
      </c>
      <c r="K210" s="14" t="s">
        <v>214</v>
      </c>
      <c r="L210" s="14" t="s">
        <v>119</v>
      </c>
      <c r="M210" s="14" t="s">
        <v>120</v>
      </c>
      <c r="N210" s="16">
        <f>COUNTIF($M$3:M210, M210)</f>
        <v>28</v>
      </c>
      <c r="O210" s="16" t="str" cm="1">
        <f t="array" ref="O210">INDEX('[2]ALTA 20242025'!$B$2:$B$241, MATCH(1, ('[2]ALTA 20242025'!$I$2:$I$241=M210)*('[2]ALTA 20242025'!$J$2:$J$241=N210), 0))</f>
        <v>9050MWN</v>
      </c>
      <c r="P210" s="16"/>
      <c r="Q210" s="16"/>
      <c r="R210" s="14" t="s">
        <v>2048</v>
      </c>
      <c r="S210" s="14" t="s">
        <v>2048</v>
      </c>
      <c r="T210" s="14" t="s">
        <v>2048</v>
      </c>
      <c r="U210" s="14" t="s">
        <v>2048</v>
      </c>
      <c r="V210" s="14" t="s">
        <v>4192</v>
      </c>
      <c r="W210" s="14" t="s">
        <v>4640</v>
      </c>
      <c r="X210" s="14" t="s">
        <v>4540</v>
      </c>
      <c r="Y210" s="14" t="s">
        <v>4641</v>
      </c>
      <c r="Z210" s="14" t="s">
        <v>2048</v>
      </c>
      <c r="AA210" s="14" t="s">
        <v>2422</v>
      </c>
      <c r="AB210" s="14" t="s">
        <v>2049</v>
      </c>
      <c r="AC210" s="14" t="s">
        <v>2050</v>
      </c>
      <c r="AD210" s="14" t="s">
        <v>3725</v>
      </c>
      <c r="AE210" s="14" t="s">
        <v>3613</v>
      </c>
      <c r="AF210" s="14" t="s">
        <v>3614</v>
      </c>
      <c r="AG210" s="14" t="s">
        <v>2048</v>
      </c>
      <c r="AH210" s="14" t="s">
        <v>2048</v>
      </c>
      <c r="AI210" s="14" t="s">
        <v>2132</v>
      </c>
      <c r="AJ210" s="14" t="s">
        <v>2133</v>
      </c>
      <c r="AK210" s="14" t="s">
        <v>2055</v>
      </c>
      <c r="AL210" s="14" t="s">
        <v>2055</v>
      </c>
      <c r="AM210" s="14" t="s">
        <v>2055</v>
      </c>
      <c r="AN210" s="14" t="s">
        <v>3714</v>
      </c>
      <c r="AO210" s="14" t="s">
        <v>2048</v>
      </c>
      <c r="AP210" s="14" t="s">
        <v>2048</v>
      </c>
      <c r="AQ210" s="14" t="s">
        <v>2048</v>
      </c>
      <c r="AR210" s="14" t="s">
        <v>2956</v>
      </c>
      <c r="AS210" s="14" t="s">
        <v>3776</v>
      </c>
      <c r="AT210" s="14" t="s">
        <v>2422</v>
      </c>
      <c r="AU210" s="14" t="s">
        <v>4642</v>
      </c>
      <c r="AV210" s="14" t="s">
        <v>4643</v>
      </c>
      <c r="AW210" s="14" t="s">
        <v>4644</v>
      </c>
      <c r="AX210" s="14" t="s">
        <v>2048</v>
      </c>
      <c r="AY210" s="14" t="s">
        <v>2993</v>
      </c>
      <c r="AZ210" s="14" t="s">
        <v>2994</v>
      </c>
      <c r="BA210" s="14" t="s">
        <v>2048</v>
      </c>
      <c r="BB210" s="14" t="s">
        <v>2048</v>
      </c>
      <c r="BC210" s="14" t="s">
        <v>119</v>
      </c>
      <c r="BD210" s="14" t="s">
        <v>223</v>
      </c>
      <c r="BE210" s="14" t="s">
        <v>2960</v>
      </c>
      <c r="BF210" s="14" t="s">
        <v>2048</v>
      </c>
      <c r="BG210" s="14" t="s">
        <v>2048</v>
      </c>
      <c r="BH210" s="14" t="s">
        <v>2576</v>
      </c>
      <c r="BI210" s="14" t="s">
        <v>2577</v>
      </c>
      <c r="BJ210" s="14" t="s">
        <v>2961</v>
      </c>
      <c r="BK210" s="14" t="s">
        <v>2962</v>
      </c>
      <c r="BL210" s="14" t="s">
        <v>2963</v>
      </c>
      <c r="BM210" s="14" t="s">
        <v>2287</v>
      </c>
      <c r="BN210" s="14" t="s">
        <v>2048</v>
      </c>
      <c r="BO210" s="14" t="s">
        <v>2048</v>
      </c>
      <c r="BP210" s="14" t="s">
        <v>2064</v>
      </c>
      <c r="BQ210" s="14" t="s">
        <v>72</v>
      </c>
      <c r="BR210" s="14" t="s">
        <v>72</v>
      </c>
      <c r="BS210" s="14" t="s">
        <v>2048</v>
      </c>
      <c r="BT210" s="14" t="s">
        <v>2986</v>
      </c>
      <c r="BU210" s="14" t="s">
        <v>2987</v>
      </c>
      <c r="BV210" s="14" t="s">
        <v>2331</v>
      </c>
      <c r="BW210" s="14" t="s">
        <v>2131</v>
      </c>
      <c r="BX210" s="14" t="s">
        <v>2048</v>
      </c>
      <c r="BY210" s="14" t="s">
        <v>2048</v>
      </c>
      <c r="BZ210" s="14" t="s">
        <v>2048</v>
      </c>
      <c r="CA210" s="14" t="s">
        <v>2048</v>
      </c>
      <c r="CB210" s="14" t="s">
        <v>72</v>
      </c>
      <c r="CC210" s="14" t="s">
        <v>2048</v>
      </c>
      <c r="CD210" s="14" t="s">
        <v>2048</v>
      </c>
      <c r="CE210" s="14" t="s">
        <v>2048</v>
      </c>
      <c r="CF210" s="14" t="s">
        <v>2048</v>
      </c>
      <c r="CG210" s="14" t="s">
        <v>2048</v>
      </c>
      <c r="CH210" s="14" t="s">
        <v>2048</v>
      </c>
      <c r="CI210" s="14" t="s">
        <v>2048</v>
      </c>
      <c r="CJ210" s="14" t="s">
        <v>2048</v>
      </c>
      <c r="CK210" s="14" t="s">
        <v>2068</v>
      </c>
      <c r="CL210" s="14" t="s">
        <v>2069</v>
      </c>
      <c r="CM210" s="14" t="s">
        <v>2048</v>
      </c>
      <c r="CN210" s="17"/>
      <c r="CO210" s="17">
        <v>44215</v>
      </c>
      <c r="CP210" s="17">
        <v>44215</v>
      </c>
      <c r="CR210" s="17">
        <v>45671</v>
      </c>
      <c r="CS210" s="19">
        <v>48</v>
      </c>
      <c r="CT210" s="19">
        <v>0</v>
      </c>
      <c r="CU210" s="19">
        <v>196.44</v>
      </c>
      <c r="CV210" s="19">
        <v>0</v>
      </c>
      <c r="CW210" s="19">
        <v>196.44</v>
      </c>
      <c r="CX210" s="19">
        <v>237.69</v>
      </c>
      <c r="CY210" s="19">
        <v>0</v>
      </c>
      <c r="CZ210" s="17"/>
      <c r="DA210" s="19">
        <v>0</v>
      </c>
      <c r="DB210" s="17"/>
      <c r="DC210" s="17"/>
      <c r="DD210" s="19">
        <v>0</v>
      </c>
      <c r="DE210" s="17"/>
      <c r="DF210" s="17"/>
      <c r="DG210" s="19">
        <v>40</v>
      </c>
      <c r="DH210" s="17"/>
      <c r="DI210" s="17">
        <v>46022</v>
      </c>
      <c r="DJ210" s="17"/>
      <c r="DK210" s="17"/>
      <c r="DL210" s="19">
        <v>0</v>
      </c>
      <c r="DM210" s="19">
        <v>0</v>
      </c>
    </row>
    <row r="211" spans="1:117" x14ac:dyDescent="0.2">
      <c r="A211" s="14" t="s">
        <v>3610</v>
      </c>
      <c r="B211" s="14" t="s">
        <v>1334</v>
      </c>
      <c r="C211" s="14" t="s">
        <v>73</v>
      </c>
      <c r="D211" s="14" t="s">
        <v>200</v>
      </c>
      <c r="E211" s="14" t="s">
        <v>201</v>
      </c>
      <c r="F211" s="14" t="s">
        <v>160</v>
      </c>
      <c r="G211" s="17">
        <v>45819</v>
      </c>
      <c r="H211" s="14" t="s">
        <v>161</v>
      </c>
      <c r="I211" s="14" t="s">
        <v>78</v>
      </c>
      <c r="J211" s="14" t="s">
        <v>85</v>
      </c>
      <c r="K211" s="14" t="s">
        <v>1335</v>
      </c>
      <c r="L211" s="14" t="s">
        <v>131</v>
      </c>
      <c r="M211" s="14" t="s">
        <v>132</v>
      </c>
      <c r="N211" s="16">
        <f>COUNTIF($M$3:M211, M211)</f>
        <v>23</v>
      </c>
      <c r="O211" s="16" t="e" cm="1">
        <f t="array" ref="O211">INDEX('[2]ALTA 20242025'!$B$2:$B$241, MATCH(1, ('[2]ALTA 20242025'!$I$2:$I$241=M211)*('[2]ALTA 20242025'!$J$2:$J$241=N211), 0))</f>
        <v>#N/A</v>
      </c>
      <c r="P211" s="16"/>
      <c r="Q211" s="16"/>
      <c r="R211" s="14" t="s">
        <v>2048</v>
      </c>
      <c r="S211" s="14" t="s">
        <v>2048</v>
      </c>
      <c r="T211" s="14" t="s">
        <v>2048</v>
      </c>
      <c r="U211" s="14" t="s">
        <v>2048</v>
      </c>
      <c r="V211" s="14" t="s">
        <v>4192</v>
      </c>
      <c r="W211" s="14" t="s">
        <v>4645</v>
      </c>
      <c r="X211" s="14" t="s">
        <v>3764</v>
      </c>
      <c r="Y211" s="14" t="s">
        <v>4646</v>
      </c>
      <c r="Z211" s="14" t="s">
        <v>2048</v>
      </c>
      <c r="AA211" s="14" t="s">
        <v>2422</v>
      </c>
      <c r="AB211" s="14" t="s">
        <v>2049</v>
      </c>
      <c r="AC211" s="14" t="s">
        <v>2050</v>
      </c>
      <c r="AD211" s="14" t="s">
        <v>3725</v>
      </c>
      <c r="AE211" s="14" t="s">
        <v>3613</v>
      </c>
      <c r="AF211" s="14" t="s">
        <v>3614</v>
      </c>
      <c r="AG211" s="14" t="s">
        <v>2048</v>
      </c>
      <c r="AH211" s="14" t="s">
        <v>2048</v>
      </c>
      <c r="AI211" s="14" t="s">
        <v>2442</v>
      </c>
      <c r="AJ211" s="14" t="s">
        <v>2443</v>
      </c>
      <c r="AK211" s="14" t="s">
        <v>2056</v>
      </c>
      <c r="AL211" s="14" t="s">
        <v>2056</v>
      </c>
      <c r="AM211" s="14" t="s">
        <v>2055</v>
      </c>
      <c r="AN211" s="14" t="s">
        <v>2068</v>
      </c>
      <c r="AO211" s="14" t="s">
        <v>2048</v>
      </c>
      <c r="AP211" s="14" t="s">
        <v>2048</v>
      </c>
      <c r="AQ211" s="14" t="s">
        <v>4628</v>
      </c>
      <c r="AR211" s="14" t="s">
        <v>2443</v>
      </c>
      <c r="AS211" s="14" t="s">
        <v>3776</v>
      </c>
      <c r="AT211" s="14" t="s">
        <v>3440</v>
      </c>
      <c r="AU211" s="14" t="s">
        <v>4647</v>
      </c>
      <c r="AV211" s="14" t="s">
        <v>4596</v>
      </c>
      <c r="AW211" s="14" t="s">
        <v>4597</v>
      </c>
      <c r="AX211" s="14" t="s">
        <v>2048</v>
      </c>
      <c r="AY211" s="14" t="s">
        <v>2448</v>
      </c>
      <c r="AZ211" s="14" t="s">
        <v>2449</v>
      </c>
      <c r="BA211" s="14" t="s">
        <v>2048</v>
      </c>
      <c r="BB211" s="14" t="s">
        <v>2048</v>
      </c>
      <c r="BC211" s="14" t="s">
        <v>131</v>
      </c>
      <c r="BD211" s="14" t="s">
        <v>135</v>
      </c>
      <c r="BE211" s="14" t="s">
        <v>2945</v>
      </c>
      <c r="BF211" s="14" t="s">
        <v>2048</v>
      </c>
      <c r="BG211" s="14" t="s">
        <v>2048</v>
      </c>
      <c r="BH211" s="14" t="s">
        <v>2048</v>
      </c>
      <c r="BI211" s="14" t="s">
        <v>2048</v>
      </c>
      <c r="BJ211" s="14" t="s">
        <v>2946</v>
      </c>
      <c r="BK211" s="14" t="s">
        <v>2947</v>
      </c>
      <c r="BL211" s="14" t="s">
        <v>2948</v>
      </c>
      <c r="BM211" s="14" t="s">
        <v>2455</v>
      </c>
      <c r="BN211" s="14" t="s">
        <v>2048</v>
      </c>
      <c r="BO211" s="14" t="s">
        <v>2048</v>
      </c>
      <c r="BP211" s="14" t="s">
        <v>2064</v>
      </c>
      <c r="BQ211" s="14" t="s">
        <v>72</v>
      </c>
      <c r="BR211" s="14" t="s">
        <v>72</v>
      </c>
      <c r="BS211" s="14" t="s">
        <v>2048</v>
      </c>
      <c r="BT211" s="14" t="s">
        <v>2457</v>
      </c>
      <c r="BU211" s="14" t="s">
        <v>2458</v>
      </c>
      <c r="BV211" s="14" t="s">
        <v>2418</v>
      </c>
      <c r="BW211" s="14" t="s">
        <v>2089</v>
      </c>
      <c r="BX211" s="14" t="s">
        <v>2048</v>
      </c>
      <c r="BY211" s="14" t="s">
        <v>2048</v>
      </c>
      <c r="BZ211" s="14" t="s">
        <v>2048</v>
      </c>
      <c r="CA211" s="14" t="s">
        <v>2048</v>
      </c>
      <c r="CB211" s="14" t="s">
        <v>72</v>
      </c>
      <c r="CC211" s="14" t="s">
        <v>2048</v>
      </c>
      <c r="CD211" s="14" t="s">
        <v>2048</v>
      </c>
      <c r="CE211" s="14" t="s">
        <v>2048</v>
      </c>
      <c r="CF211" s="14" t="s">
        <v>2048</v>
      </c>
      <c r="CG211" s="14" t="s">
        <v>2048</v>
      </c>
      <c r="CH211" s="14" t="s">
        <v>2048</v>
      </c>
      <c r="CI211" s="14" t="s">
        <v>2048</v>
      </c>
      <c r="CJ211" s="14" t="s">
        <v>2048</v>
      </c>
      <c r="CK211" s="14" t="s">
        <v>2121</v>
      </c>
      <c r="CL211" s="14" t="s">
        <v>2122</v>
      </c>
      <c r="CM211" s="14" t="s">
        <v>2048</v>
      </c>
      <c r="CN211" s="17"/>
      <c r="CO211" s="17">
        <v>44358</v>
      </c>
      <c r="CP211" s="17">
        <v>44358</v>
      </c>
      <c r="CR211" s="17">
        <v>45428</v>
      </c>
      <c r="CS211" s="19">
        <v>48</v>
      </c>
      <c r="CT211" s="19">
        <v>0</v>
      </c>
      <c r="CU211" s="19">
        <v>407.83</v>
      </c>
      <c r="CV211" s="19">
        <v>0</v>
      </c>
      <c r="CW211" s="19">
        <v>407.83</v>
      </c>
      <c r="CX211" s="19">
        <v>493.47</v>
      </c>
      <c r="CY211" s="19">
        <v>0</v>
      </c>
      <c r="CZ211" s="17"/>
      <c r="DA211" s="19">
        <v>0</v>
      </c>
      <c r="DB211" s="17"/>
      <c r="DC211" s="17"/>
      <c r="DD211" s="19">
        <v>0</v>
      </c>
      <c r="DE211" s="17"/>
      <c r="DF211" s="17"/>
      <c r="DG211" s="19">
        <v>100</v>
      </c>
      <c r="DH211" s="17"/>
      <c r="DI211" s="17">
        <v>46022</v>
      </c>
      <c r="DJ211" s="17"/>
      <c r="DK211" s="17"/>
      <c r="DL211" s="19">
        <v>0</v>
      </c>
      <c r="DM211" s="19">
        <v>0</v>
      </c>
    </row>
    <row r="212" spans="1:117" x14ac:dyDescent="0.2">
      <c r="A212" s="14" t="s">
        <v>3610</v>
      </c>
      <c r="B212" s="14" t="s">
        <v>1337</v>
      </c>
      <c r="C212" s="14" t="s">
        <v>158</v>
      </c>
      <c r="D212" s="14" t="s">
        <v>159</v>
      </c>
      <c r="E212" s="14" t="s">
        <v>158</v>
      </c>
      <c r="F212" s="14" t="s">
        <v>171</v>
      </c>
      <c r="G212" s="17">
        <v>45841</v>
      </c>
      <c r="H212" s="14" t="s">
        <v>172</v>
      </c>
      <c r="I212" s="14" t="s">
        <v>71</v>
      </c>
      <c r="J212" s="14" t="s">
        <v>1338</v>
      </c>
      <c r="K212" s="14" t="s">
        <v>1338</v>
      </c>
      <c r="L212" s="14" t="s">
        <v>1339</v>
      </c>
      <c r="M212" s="14" t="s">
        <v>1340</v>
      </c>
      <c r="N212" s="16">
        <f>COUNTIF($M$3:M212, M212)</f>
        <v>1</v>
      </c>
      <c r="O212" s="16" t="e" cm="1">
        <f t="array" ref="O212">INDEX('[2]ALTA 20242025'!$B$2:$B$241, MATCH(1, ('[2]ALTA 20242025'!$I$2:$I$241=M212)*('[2]ALTA 20242025'!$J$2:$J$241=N212), 0))</f>
        <v>#N/A</v>
      </c>
      <c r="P212" s="16"/>
      <c r="Q212" s="16"/>
      <c r="R212" s="14" t="s">
        <v>336</v>
      </c>
      <c r="S212" s="14" t="s">
        <v>337</v>
      </c>
      <c r="T212" s="14" t="s">
        <v>2048</v>
      </c>
      <c r="U212" s="14" t="s">
        <v>2048</v>
      </c>
      <c r="V212" s="14" t="s">
        <v>72</v>
      </c>
      <c r="W212" s="14" t="s">
        <v>72</v>
      </c>
      <c r="X212" s="14" t="s">
        <v>72</v>
      </c>
      <c r="Y212" s="14" t="s">
        <v>2048</v>
      </c>
      <c r="Z212" s="14" t="s">
        <v>2048</v>
      </c>
      <c r="AA212" s="14" t="s">
        <v>2422</v>
      </c>
      <c r="AB212" s="14" t="s">
        <v>2049</v>
      </c>
      <c r="AC212" s="14" t="s">
        <v>2050</v>
      </c>
      <c r="AD212" s="14" t="s">
        <v>2048</v>
      </c>
      <c r="AE212" s="14" t="s">
        <v>2048</v>
      </c>
      <c r="AF212" s="14" t="s">
        <v>2048</v>
      </c>
      <c r="AG212" s="14" t="s">
        <v>2048</v>
      </c>
      <c r="AH212" s="14" t="s">
        <v>2048</v>
      </c>
      <c r="AI212" s="14" t="s">
        <v>2129</v>
      </c>
      <c r="AJ212" s="14" t="s">
        <v>2130</v>
      </c>
      <c r="AK212" s="14" t="s">
        <v>2055</v>
      </c>
      <c r="AL212" s="14" t="s">
        <v>2055</v>
      </c>
      <c r="AM212" s="14" t="s">
        <v>2055</v>
      </c>
      <c r="AN212" s="14" t="s">
        <v>3714</v>
      </c>
      <c r="AO212" s="14" t="s">
        <v>2048</v>
      </c>
      <c r="AP212" s="14" t="s">
        <v>2048</v>
      </c>
      <c r="AQ212" s="14" t="s">
        <v>2048</v>
      </c>
      <c r="AR212" s="14" t="s">
        <v>4648</v>
      </c>
      <c r="AS212" s="14" t="s">
        <v>547</v>
      </c>
      <c r="AT212" s="14" t="s">
        <v>3191</v>
      </c>
      <c r="AU212" s="14" t="s">
        <v>2059</v>
      </c>
      <c r="AV212" s="14" t="s">
        <v>2060</v>
      </c>
      <c r="AW212" s="14" t="s">
        <v>2048</v>
      </c>
      <c r="AX212" s="14" t="s">
        <v>2048</v>
      </c>
      <c r="AY212" s="14" t="s">
        <v>4649</v>
      </c>
      <c r="AZ212" s="14" t="s">
        <v>4650</v>
      </c>
      <c r="BA212" s="14" t="s">
        <v>2048</v>
      </c>
      <c r="BB212" s="14" t="s">
        <v>2048</v>
      </c>
      <c r="BC212" s="14" t="s">
        <v>1339</v>
      </c>
      <c r="BD212" s="14" t="s">
        <v>1341</v>
      </c>
      <c r="BE212" s="14" t="s">
        <v>4651</v>
      </c>
      <c r="BF212" s="14" t="s">
        <v>2048</v>
      </c>
      <c r="BG212" s="14" t="s">
        <v>2048</v>
      </c>
      <c r="BH212" s="14" t="s">
        <v>2433</v>
      </c>
      <c r="BI212" s="14" t="s">
        <v>2434</v>
      </c>
      <c r="BJ212" s="14" t="s">
        <v>2048</v>
      </c>
      <c r="BK212" s="14" t="s">
        <v>2048</v>
      </c>
      <c r="BL212" s="14" t="s">
        <v>4652</v>
      </c>
      <c r="BM212" s="14" t="s">
        <v>2287</v>
      </c>
      <c r="BN212" s="14" t="s">
        <v>2048</v>
      </c>
      <c r="BO212" s="14" t="s">
        <v>2048</v>
      </c>
      <c r="BP212" s="14" t="s">
        <v>2064</v>
      </c>
      <c r="BQ212" s="14" t="s">
        <v>72</v>
      </c>
      <c r="BR212" s="14" t="s">
        <v>72</v>
      </c>
      <c r="BS212" s="14" t="s">
        <v>2048</v>
      </c>
      <c r="BT212" s="14" t="s">
        <v>2048</v>
      </c>
      <c r="BU212" s="14" t="s">
        <v>2048</v>
      </c>
      <c r="BV212" s="14" t="s">
        <v>2048</v>
      </c>
      <c r="BW212" s="14" t="s">
        <v>2048</v>
      </c>
      <c r="BX212" s="14" t="s">
        <v>72</v>
      </c>
      <c r="BY212" s="14" t="s">
        <v>2048</v>
      </c>
      <c r="BZ212" s="14" t="s">
        <v>2048</v>
      </c>
      <c r="CA212" s="14" t="s">
        <v>2048</v>
      </c>
      <c r="CB212" s="14" t="s">
        <v>72</v>
      </c>
      <c r="CC212" s="14" t="s">
        <v>2048</v>
      </c>
      <c r="CD212" s="14" t="s">
        <v>2048</v>
      </c>
      <c r="CE212" s="14" t="s">
        <v>2048</v>
      </c>
      <c r="CF212" s="14" t="s">
        <v>2048</v>
      </c>
      <c r="CG212" s="14" t="s">
        <v>2048</v>
      </c>
      <c r="CH212" s="14" t="s">
        <v>2048</v>
      </c>
      <c r="CI212" s="14" t="s">
        <v>2048</v>
      </c>
      <c r="CJ212" s="14" t="s">
        <v>2048</v>
      </c>
      <c r="CK212" s="14" t="s">
        <v>3774</v>
      </c>
      <c r="CL212" s="14" t="s">
        <v>413</v>
      </c>
      <c r="CM212" s="14" t="s">
        <v>2048</v>
      </c>
      <c r="CN212" s="17"/>
      <c r="CO212" s="17">
        <v>45712</v>
      </c>
      <c r="CP212" s="17">
        <v>45712</v>
      </c>
      <c r="CR212" s="17"/>
      <c r="CS212" s="19">
        <v>0</v>
      </c>
      <c r="CT212" s="19">
        <v>0</v>
      </c>
      <c r="CU212" s="19">
        <v>0</v>
      </c>
      <c r="CV212" s="19">
        <v>0</v>
      </c>
      <c r="CW212" s="19">
        <v>0</v>
      </c>
      <c r="CX212" s="19">
        <v>0</v>
      </c>
      <c r="CY212" s="19">
        <v>0</v>
      </c>
      <c r="CZ212" s="17"/>
      <c r="DA212" s="19">
        <v>0</v>
      </c>
      <c r="DB212" s="17"/>
      <c r="DC212" s="17"/>
      <c r="DD212" s="19">
        <v>0</v>
      </c>
      <c r="DE212" s="17"/>
      <c r="DF212" s="17"/>
      <c r="DG212" s="19">
        <v>100</v>
      </c>
      <c r="DH212" s="17"/>
      <c r="DI212" s="17">
        <v>2958465</v>
      </c>
      <c r="DJ212" s="17"/>
      <c r="DK212" s="17"/>
      <c r="DL212" s="19">
        <v>0</v>
      </c>
      <c r="DM212" s="19">
        <v>0</v>
      </c>
    </row>
    <row r="213" spans="1:117" x14ac:dyDescent="0.2">
      <c r="A213" s="14" t="s">
        <v>3610</v>
      </c>
      <c r="B213" s="14" t="s">
        <v>1343</v>
      </c>
      <c r="C213" s="14" t="s">
        <v>158</v>
      </c>
      <c r="D213" s="14" t="s">
        <v>159</v>
      </c>
      <c r="E213" s="14" t="s">
        <v>158</v>
      </c>
      <c r="F213" s="14" t="s">
        <v>171</v>
      </c>
      <c r="G213" s="17">
        <v>45841</v>
      </c>
      <c r="H213" s="14" t="s">
        <v>172</v>
      </c>
      <c r="I213" s="14" t="s">
        <v>71</v>
      </c>
      <c r="J213" s="14" t="s">
        <v>1338</v>
      </c>
      <c r="K213" s="14" t="s">
        <v>1338</v>
      </c>
      <c r="L213" s="14" t="s">
        <v>1339</v>
      </c>
      <c r="M213" s="14" t="s">
        <v>1340</v>
      </c>
      <c r="N213" s="16">
        <f>COUNTIF($M$3:M213, M213)</f>
        <v>2</v>
      </c>
      <c r="O213" s="16" t="e" cm="1">
        <f t="array" ref="O213">INDEX('[2]ALTA 20242025'!$B$2:$B$241, MATCH(1, ('[2]ALTA 20242025'!$I$2:$I$241=M213)*('[2]ALTA 20242025'!$J$2:$J$241=N213), 0))</f>
        <v>#N/A</v>
      </c>
      <c r="P213" s="16"/>
      <c r="Q213" s="16"/>
      <c r="R213" s="14" t="s">
        <v>336</v>
      </c>
      <c r="S213" s="14" t="s">
        <v>337</v>
      </c>
      <c r="T213" s="14" t="s">
        <v>2048</v>
      </c>
      <c r="U213" s="14" t="s">
        <v>2048</v>
      </c>
      <c r="V213" s="14" t="s">
        <v>72</v>
      </c>
      <c r="W213" s="14" t="s">
        <v>72</v>
      </c>
      <c r="X213" s="14" t="s">
        <v>72</v>
      </c>
      <c r="Y213" s="14" t="s">
        <v>2048</v>
      </c>
      <c r="Z213" s="14" t="s">
        <v>2048</v>
      </c>
      <c r="AA213" s="14" t="s">
        <v>2422</v>
      </c>
      <c r="AB213" s="14" t="s">
        <v>2049</v>
      </c>
      <c r="AC213" s="14" t="s">
        <v>2050</v>
      </c>
      <c r="AD213" s="14" t="s">
        <v>2048</v>
      </c>
      <c r="AE213" s="14" t="s">
        <v>2048</v>
      </c>
      <c r="AF213" s="14" t="s">
        <v>2048</v>
      </c>
      <c r="AG213" s="14" t="s">
        <v>2048</v>
      </c>
      <c r="AH213" s="14" t="s">
        <v>2048</v>
      </c>
      <c r="AI213" s="14" t="s">
        <v>2129</v>
      </c>
      <c r="AJ213" s="14" t="s">
        <v>2130</v>
      </c>
      <c r="AK213" s="14" t="s">
        <v>2055</v>
      </c>
      <c r="AL213" s="14" t="s">
        <v>2055</v>
      </c>
      <c r="AM213" s="14" t="s">
        <v>2055</v>
      </c>
      <c r="AN213" s="14" t="s">
        <v>3714</v>
      </c>
      <c r="AO213" s="14" t="s">
        <v>2048</v>
      </c>
      <c r="AP213" s="14" t="s">
        <v>2048</v>
      </c>
      <c r="AQ213" s="14" t="s">
        <v>2048</v>
      </c>
      <c r="AR213" s="14" t="s">
        <v>4648</v>
      </c>
      <c r="AS213" s="14" t="s">
        <v>547</v>
      </c>
      <c r="AT213" s="14" t="s">
        <v>3191</v>
      </c>
      <c r="AU213" s="14" t="s">
        <v>2059</v>
      </c>
      <c r="AV213" s="14" t="s">
        <v>2060</v>
      </c>
      <c r="AW213" s="14" t="s">
        <v>2048</v>
      </c>
      <c r="AX213" s="14" t="s">
        <v>2048</v>
      </c>
      <c r="AY213" s="14" t="s">
        <v>4649</v>
      </c>
      <c r="AZ213" s="14" t="s">
        <v>4650</v>
      </c>
      <c r="BA213" s="14" t="s">
        <v>2048</v>
      </c>
      <c r="BB213" s="14" t="s">
        <v>2048</v>
      </c>
      <c r="BC213" s="14" t="s">
        <v>1339</v>
      </c>
      <c r="BD213" s="14" t="s">
        <v>1341</v>
      </c>
      <c r="BE213" s="14" t="s">
        <v>4651</v>
      </c>
      <c r="BF213" s="14" t="s">
        <v>2048</v>
      </c>
      <c r="BG213" s="14" t="s">
        <v>2048</v>
      </c>
      <c r="BH213" s="14" t="s">
        <v>2433</v>
      </c>
      <c r="BI213" s="14" t="s">
        <v>2434</v>
      </c>
      <c r="BJ213" s="14" t="s">
        <v>2048</v>
      </c>
      <c r="BK213" s="14" t="s">
        <v>2048</v>
      </c>
      <c r="BL213" s="14" t="s">
        <v>4652</v>
      </c>
      <c r="BM213" s="14" t="s">
        <v>2287</v>
      </c>
      <c r="BN213" s="14" t="s">
        <v>2048</v>
      </c>
      <c r="BO213" s="14" t="s">
        <v>2048</v>
      </c>
      <c r="BP213" s="14" t="s">
        <v>2064</v>
      </c>
      <c r="BQ213" s="14" t="s">
        <v>72</v>
      </c>
      <c r="BR213" s="14" t="s">
        <v>72</v>
      </c>
      <c r="BS213" s="14" t="s">
        <v>2048</v>
      </c>
      <c r="BT213" s="14" t="s">
        <v>2048</v>
      </c>
      <c r="BU213" s="14" t="s">
        <v>2048</v>
      </c>
      <c r="BV213" s="14" t="s">
        <v>2048</v>
      </c>
      <c r="BW213" s="14" t="s">
        <v>2048</v>
      </c>
      <c r="BX213" s="14" t="s">
        <v>72</v>
      </c>
      <c r="BY213" s="14" t="s">
        <v>2048</v>
      </c>
      <c r="BZ213" s="14" t="s">
        <v>2048</v>
      </c>
      <c r="CA213" s="14" t="s">
        <v>2048</v>
      </c>
      <c r="CB213" s="14" t="s">
        <v>72</v>
      </c>
      <c r="CC213" s="14" t="s">
        <v>2048</v>
      </c>
      <c r="CD213" s="14" t="s">
        <v>2048</v>
      </c>
      <c r="CE213" s="14" t="s">
        <v>2048</v>
      </c>
      <c r="CF213" s="14" t="s">
        <v>2048</v>
      </c>
      <c r="CG213" s="14" t="s">
        <v>2048</v>
      </c>
      <c r="CH213" s="14" t="s">
        <v>2048</v>
      </c>
      <c r="CI213" s="14" t="s">
        <v>2048</v>
      </c>
      <c r="CJ213" s="14" t="s">
        <v>2048</v>
      </c>
      <c r="CK213" s="14" t="s">
        <v>3774</v>
      </c>
      <c r="CL213" s="14" t="s">
        <v>413</v>
      </c>
      <c r="CM213" s="14" t="s">
        <v>2048</v>
      </c>
      <c r="CN213" s="17"/>
      <c r="CO213" s="17">
        <v>45712</v>
      </c>
      <c r="CP213" s="17">
        <v>45712</v>
      </c>
      <c r="CR213" s="17"/>
      <c r="CS213" s="19">
        <v>0</v>
      </c>
      <c r="CT213" s="19">
        <v>0</v>
      </c>
      <c r="CU213" s="19">
        <v>0</v>
      </c>
      <c r="CV213" s="19">
        <v>0</v>
      </c>
      <c r="CW213" s="19">
        <v>0</v>
      </c>
      <c r="CX213" s="19">
        <v>0</v>
      </c>
      <c r="CY213" s="19">
        <v>0</v>
      </c>
      <c r="CZ213" s="17"/>
      <c r="DA213" s="19">
        <v>0</v>
      </c>
      <c r="DB213" s="17"/>
      <c r="DC213" s="17"/>
      <c r="DD213" s="19">
        <v>0</v>
      </c>
      <c r="DE213" s="17"/>
      <c r="DF213" s="17"/>
      <c r="DG213" s="19">
        <v>100</v>
      </c>
      <c r="DH213" s="17"/>
      <c r="DI213" s="17">
        <v>2958465</v>
      </c>
      <c r="DJ213" s="17"/>
      <c r="DK213" s="17"/>
      <c r="DL213" s="19">
        <v>0</v>
      </c>
      <c r="DM213" s="19">
        <v>0</v>
      </c>
    </row>
    <row r="214" spans="1:117" x14ac:dyDescent="0.2">
      <c r="A214" s="14" t="s">
        <v>3610</v>
      </c>
      <c r="B214" s="14" t="s">
        <v>1420</v>
      </c>
      <c r="C214" s="14" t="s">
        <v>158</v>
      </c>
      <c r="D214" s="14" t="s">
        <v>159</v>
      </c>
      <c r="E214" s="14" t="s">
        <v>158</v>
      </c>
      <c r="F214" s="14" t="s">
        <v>171</v>
      </c>
      <c r="G214" s="17">
        <v>45841</v>
      </c>
      <c r="H214" s="14" t="s">
        <v>172</v>
      </c>
      <c r="I214" s="14" t="s">
        <v>71</v>
      </c>
      <c r="J214" s="14" t="s">
        <v>1338</v>
      </c>
      <c r="K214" s="14" t="s">
        <v>1338</v>
      </c>
      <c r="L214" s="14" t="s">
        <v>336</v>
      </c>
      <c r="M214" s="14" t="s">
        <v>337</v>
      </c>
      <c r="N214" s="16">
        <f>COUNTIF($M$3:M214, M214)</f>
        <v>15</v>
      </c>
      <c r="O214" s="16" t="str" cm="1">
        <f t="array" ref="O214">INDEX('[2]ALTA 20242025'!$B$2:$B$241, MATCH(1, ('[2]ALTA 20242025'!$I$2:$I$241=M214)*('[2]ALTA 20242025'!$J$2:$J$241=N214), 0))</f>
        <v>5995KSD</v>
      </c>
      <c r="P214" s="16"/>
      <c r="Q214" s="16"/>
      <c r="R214" s="14" t="s">
        <v>2048</v>
      </c>
      <c r="S214" s="14" t="s">
        <v>2048</v>
      </c>
      <c r="T214" s="14" t="s">
        <v>2048</v>
      </c>
      <c r="U214" s="14" t="s">
        <v>2048</v>
      </c>
      <c r="V214" s="14" t="s">
        <v>72</v>
      </c>
      <c r="W214" s="14" t="s">
        <v>72</v>
      </c>
      <c r="X214" s="14" t="s">
        <v>72</v>
      </c>
      <c r="Y214" s="14" t="s">
        <v>2048</v>
      </c>
      <c r="Z214" s="14" t="s">
        <v>2048</v>
      </c>
      <c r="AA214" s="14" t="s">
        <v>2422</v>
      </c>
      <c r="AB214" s="14" t="s">
        <v>2049</v>
      </c>
      <c r="AC214" s="14" t="s">
        <v>2050</v>
      </c>
      <c r="AD214" s="14" t="s">
        <v>2048</v>
      </c>
      <c r="AE214" s="14" t="s">
        <v>2048</v>
      </c>
      <c r="AF214" s="14" t="s">
        <v>2048</v>
      </c>
      <c r="AG214" s="14" t="s">
        <v>2048</v>
      </c>
      <c r="AH214" s="14" t="s">
        <v>2048</v>
      </c>
      <c r="AI214" s="14" t="s">
        <v>2129</v>
      </c>
      <c r="AJ214" s="14" t="s">
        <v>2130</v>
      </c>
      <c r="AK214" s="14" t="s">
        <v>2055</v>
      </c>
      <c r="AL214" s="14" t="s">
        <v>2055</v>
      </c>
      <c r="AM214" s="14" t="s">
        <v>2055</v>
      </c>
      <c r="AN214" s="14" t="s">
        <v>3714</v>
      </c>
      <c r="AO214" s="14" t="s">
        <v>2048</v>
      </c>
      <c r="AP214" s="14" t="s">
        <v>2048</v>
      </c>
      <c r="AQ214" s="14" t="s">
        <v>2048</v>
      </c>
      <c r="AR214" s="14" t="s">
        <v>4648</v>
      </c>
      <c r="AS214" s="14" t="s">
        <v>547</v>
      </c>
      <c r="AT214" s="14" t="s">
        <v>3191</v>
      </c>
      <c r="AU214" s="14" t="s">
        <v>2059</v>
      </c>
      <c r="AV214" s="14" t="s">
        <v>2060</v>
      </c>
      <c r="AW214" s="14" t="s">
        <v>2048</v>
      </c>
      <c r="AX214" s="14" t="s">
        <v>2048</v>
      </c>
      <c r="AY214" s="14" t="s">
        <v>4649</v>
      </c>
      <c r="AZ214" s="14" t="s">
        <v>4650</v>
      </c>
      <c r="BA214" s="14" t="s">
        <v>2048</v>
      </c>
      <c r="BB214" s="14" t="s">
        <v>2048</v>
      </c>
      <c r="BC214" s="14" t="s">
        <v>336</v>
      </c>
      <c r="BD214" s="14" t="s">
        <v>1346</v>
      </c>
      <c r="BE214" s="14" t="s">
        <v>4653</v>
      </c>
      <c r="BF214" s="14" t="s">
        <v>4654</v>
      </c>
      <c r="BG214" s="14" t="s">
        <v>2048</v>
      </c>
      <c r="BH214" s="14" t="s">
        <v>4655</v>
      </c>
      <c r="BI214" s="14" t="s">
        <v>4656</v>
      </c>
      <c r="BJ214" s="14" t="s">
        <v>4655</v>
      </c>
      <c r="BK214" s="14" t="s">
        <v>4656</v>
      </c>
      <c r="BL214" s="14" t="s">
        <v>3906</v>
      </c>
      <c r="BM214" s="14" t="s">
        <v>2656</v>
      </c>
      <c r="BN214" s="14" t="s">
        <v>2048</v>
      </c>
      <c r="BO214" s="14" t="s">
        <v>2048</v>
      </c>
      <c r="BP214" s="14" t="s">
        <v>2064</v>
      </c>
      <c r="BQ214" s="14" t="s">
        <v>72</v>
      </c>
      <c r="BR214" s="14" t="s">
        <v>72</v>
      </c>
      <c r="BS214" s="14" t="s">
        <v>2048</v>
      </c>
      <c r="BT214" s="14" t="s">
        <v>2048</v>
      </c>
      <c r="BU214" s="14" t="s">
        <v>2048</v>
      </c>
      <c r="BV214" s="14" t="s">
        <v>2048</v>
      </c>
      <c r="BW214" s="14" t="s">
        <v>2048</v>
      </c>
      <c r="BX214" s="14" t="s">
        <v>2048</v>
      </c>
      <c r="BY214" s="14" t="s">
        <v>2048</v>
      </c>
      <c r="BZ214" s="14" t="s">
        <v>2048</v>
      </c>
      <c r="CA214" s="14" t="s">
        <v>2048</v>
      </c>
      <c r="CB214" s="14" t="s">
        <v>2048</v>
      </c>
      <c r="CC214" s="14" t="s">
        <v>2048</v>
      </c>
      <c r="CD214" s="14" t="s">
        <v>2048</v>
      </c>
      <c r="CE214" s="14" t="s">
        <v>2048</v>
      </c>
      <c r="CF214" s="14" t="s">
        <v>2048</v>
      </c>
      <c r="CG214" s="14" t="s">
        <v>2048</v>
      </c>
      <c r="CH214" s="14" t="s">
        <v>2048</v>
      </c>
      <c r="CI214" s="14" t="s">
        <v>2048</v>
      </c>
      <c r="CJ214" s="14" t="s">
        <v>2048</v>
      </c>
      <c r="CK214" s="14" t="s">
        <v>3774</v>
      </c>
      <c r="CL214" s="14" t="s">
        <v>413</v>
      </c>
      <c r="CM214" s="14" t="s">
        <v>2048</v>
      </c>
      <c r="CN214" s="17"/>
      <c r="CO214" s="17">
        <v>45712</v>
      </c>
      <c r="CP214" s="17">
        <v>45712</v>
      </c>
      <c r="CR214" s="17"/>
      <c r="CS214" s="19">
        <v>0</v>
      </c>
      <c r="CT214" s="19">
        <v>0</v>
      </c>
      <c r="CU214" s="19">
        <v>0</v>
      </c>
      <c r="CV214" s="19">
        <v>0</v>
      </c>
      <c r="CW214" s="19">
        <v>0</v>
      </c>
      <c r="CX214" s="19">
        <v>0</v>
      </c>
      <c r="CY214" s="19">
        <v>0</v>
      </c>
      <c r="CZ214" s="17"/>
      <c r="DA214" s="19">
        <v>0</v>
      </c>
      <c r="DB214" s="17"/>
      <c r="DC214" s="17"/>
      <c r="DD214" s="19">
        <v>0</v>
      </c>
      <c r="DE214" s="17"/>
      <c r="DF214" s="17"/>
      <c r="DG214" s="19">
        <v>100</v>
      </c>
      <c r="DH214" s="17"/>
      <c r="DI214" s="17">
        <v>2958465</v>
      </c>
      <c r="DJ214" s="17"/>
      <c r="DK214" s="17"/>
      <c r="DL214" s="19">
        <v>0</v>
      </c>
      <c r="DM214" s="19">
        <v>0</v>
      </c>
    </row>
    <row r="215" spans="1:117" x14ac:dyDescent="0.2">
      <c r="A215" s="14" t="s">
        <v>3610</v>
      </c>
      <c r="B215" s="14" t="s">
        <v>1345</v>
      </c>
      <c r="C215" s="14" t="s">
        <v>158</v>
      </c>
      <c r="D215" s="14" t="s">
        <v>159</v>
      </c>
      <c r="E215" s="14" t="s">
        <v>158</v>
      </c>
      <c r="F215" s="14" t="s">
        <v>171</v>
      </c>
      <c r="G215" s="17">
        <v>45841</v>
      </c>
      <c r="H215" s="14" t="s">
        <v>172</v>
      </c>
      <c r="I215" s="14" t="s">
        <v>71</v>
      </c>
      <c r="J215" s="14" t="s">
        <v>1338</v>
      </c>
      <c r="K215" s="14" t="s">
        <v>1338</v>
      </c>
      <c r="L215" s="14" t="s">
        <v>336</v>
      </c>
      <c r="M215" s="14" t="s">
        <v>337</v>
      </c>
      <c r="N215" s="16">
        <f>COUNTIF($M$3:M215, M215)</f>
        <v>16</v>
      </c>
      <c r="O215" s="16" t="e" cm="1">
        <f t="array" ref="O215">INDEX('[2]ALTA 20242025'!$B$2:$B$241, MATCH(1, ('[2]ALTA 20242025'!$I$2:$I$241=M215)*('[2]ALTA 20242025'!$J$2:$J$241=N215), 0))</f>
        <v>#N/A</v>
      </c>
      <c r="P215" s="16"/>
      <c r="Q215" s="16"/>
      <c r="R215" s="14" t="s">
        <v>2048</v>
      </c>
      <c r="S215" s="14" t="s">
        <v>2048</v>
      </c>
      <c r="T215" s="14" t="s">
        <v>2048</v>
      </c>
      <c r="U215" s="14" t="s">
        <v>2048</v>
      </c>
      <c r="V215" s="14" t="s">
        <v>72</v>
      </c>
      <c r="W215" s="14" t="s">
        <v>72</v>
      </c>
      <c r="X215" s="14" t="s">
        <v>72</v>
      </c>
      <c r="Y215" s="14" t="s">
        <v>2048</v>
      </c>
      <c r="Z215" s="14" t="s">
        <v>2048</v>
      </c>
      <c r="AA215" s="14" t="s">
        <v>2422</v>
      </c>
      <c r="AB215" s="14" t="s">
        <v>2049</v>
      </c>
      <c r="AC215" s="14" t="s">
        <v>2050</v>
      </c>
      <c r="AD215" s="14" t="s">
        <v>2048</v>
      </c>
      <c r="AE215" s="14" t="s">
        <v>2048</v>
      </c>
      <c r="AF215" s="14" t="s">
        <v>2048</v>
      </c>
      <c r="AG215" s="14" t="s">
        <v>2048</v>
      </c>
      <c r="AH215" s="14" t="s">
        <v>2048</v>
      </c>
      <c r="AI215" s="14" t="s">
        <v>2129</v>
      </c>
      <c r="AJ215" s="14" t="s">
        <v>2130</v>
      </c>
      <c r="AK215" s="14" t="s">
        <v>2055</v>
      </c>
      <c r="AL215" s="14" t="s">
        <v>2055</v>
      </c>
      <c r="AM215" s="14" t="s">
        <v>2055</v>
      </c>
      <c r="AN215" s="14" t="s">
        <v>3714</v>
      </c>
      <c r="AO215" s="14" t="s">
        <v>2048</v>
      </c>
      <c r="AP215" s="14" t="s">
        <v>2048</v>
      </c>
      <c r="AQ215" s="14" t="s">
        <v>2048</v>
      </c>
      <c r="AR215" s="14" t="s">
        <v>4648</v>
      </c>
      <c r="AS215" s="14" t="s">
        <v>547</v>
      </c>
      <c r="AT215" s="14" t="s">
        <v>3191</v>
      </c>
      <c r="AU215" s="14" t="s">
        <v>2059</v>
      </c>
      <c r="AV215" s="14" t="s">
        <v>2060</v>
      </c>
      <c r="AW215" s="14" t="s">
        <v>2048</v>
      </c>
      <c r="AX215" s="14" t="s">
        <v>2048</v>
      </c>
      <c r="AY215" s="14" t="s">
        <v>4649</v>
      </c>
      <c r="AZ215" s="14" t="s">
        <v>4650</v>
      </c>
      <c r="BA215" s="14" t="s">
        <v>2048</v>
      </c>
      <c r="BB215" s="14" t="s">
        <v>2048</v>
      </c>
      <c r="BC215" s="14" t="s">
        <v>336</v>
      </c>
      <c r="BD215" s="14" t="s">
        <v>1346</v>
      </c>
      <c r="BE215" s="14" t="s">
        <v>4653</v>
      </c>
      <c r="BF215" s="14" t="s">
        <v>4654</v>
      </c>
      <c r="BG215" s="14" t="s">
        <v>2048</v>
      </c>
      <c r="BH215" s="14" t="s">
        <v>4655</v>
      </c>
      <c r="BI215" s="14" t="s">
        <v>4656</v>
      </c>
      <c r="BJ215" s="14" t="s">
        <v>4655</v>
      </c>
      <c r="BK215" s="14" t="s">
        <v>4656</v>
      </c>
      <c r="BL215" s="14" t="s">
        <v>3906</v>
      </c>
      <c r="BM215" s="14" t="s">
        <v>2656</v>
      </c>
      <c r="BN215" s="14" t="s">
        <v>2048</v>
      </c>
      <c r="BO215" s="14" t="s">
        <v>2048</v>
      </c>
      <c r="BP215" s="14" t="s">
        <v>2064</v>
      </c>
      <c r="BQ215" s="14" t="s">
        <v>72</v>
      </c>
      <c r="BR215" s="14" t="s">
        <v>72</v>
      </c>
      <c r="BS215" s="14" t="s">
        <v>2048</v>
      </c>
      <c r="BT215" s="14" t="s">
        <v>2048</v>
      </c>
      <c r="BU215" s="14" t="s">
        <v>2048</v>
      </c>
      <c r="BV215" s="14" t="s">
        <v>2048</v>
      </c>
      <c r="BW215" s="14" t="s">
        <v>2048</v>
      </c>
      <c r="BX215" s="14" t="s">
        <v>2048</v>
      </c>
      <c r="BY215" s="14" t="s">
        <v>2048</v>
      </c>
      <c r="BZ215" s="14" t="s">
        <v>2048</v>
      </c>
      <c r="CA215" s="14" t="s">
        <v>2048</v>
      </c>
      <c r="CB215" s="14" t="s">
        <v>72</v>
      </c>
      <c r="CC215" s="14" t="s">
        <v>2048</v>
      </c>
      <c r="CD215" s="14" t="s">
        <v>2048</v>
      </c>
      <c r="CE215" s="14" t="s">
        <v>2048</v>
      </c>
      <c r="CF215" s="14" t="s">
        <v>2048</v>
      </c>
      <c r="CG215" s="14" t="s">
        <v>2048</v>
      </c>
      <c r="CH215" s="14" t="s">
        <v>2048</v>
      </c>
      <c r="CI215" s="14" t="s">
        <v>2048</v>
      </c>
      <c r="CJ215" s="14" t="s">
        <v>2048</v>
      </c>
      <c r="CK215" s="14" t="s">
        <v>3774</v>
      </c>
      <c r="CL215" s="14" t="s">
        <v>413</v>
      </c>
      <c r="CM215" s="14" t="s">
        <v>2048</v>
      </c>
      <c r="CN215" s="17"/>
      <c r="CO215" s="17">
        <v>45712</v>
      </c>
      <c r="CP215" s="17">
        <v>45712</v>
      </c>
      <c r="CR215" s="17"/>
      <c r="CS215" s="19">
        <v>0</v>
      </c>
      <c r="CT215" s="19">
        <v>0</v>
      </c>
      <c r="CU215" s="19">
        <v>0</v>
      </c>
      <c r="CV215" s="19">
        <v>0</v>
      </c>
      <c r="CW215" s="19">
        <v>0</v>
      </c>
      <c r="CX215" s="19">
        <v>0</v>
      </c>
      <c r="CY215" s="19">
        <v>0</v>
      </c>
      <c r="CZ215" s="17"/>
      <c r="DA215" s="19">
        <v>0</v>
      </c>
      <c r="DB215" s="17"/>
      <c r="DC215" s="17"/>
      <c r="DD215" s="19">
        <v>0</v>
      </c>
      <c r="DE215" s="17"/>
      <c r="DF215" s="17"/>
      <c r="DG215" s="19">
        <v>100</v>
      </c>
      <c r="DH215" s="17"/>
      <c r="DI215" s="17">
        <v>2958465</v>
      </c>
      <c r="DJ215" s="17"/>
      <c r="DK215" s="17"/>
      <c r="DL215" s="19">
        <v>0</v>
      </c>
      <c r="DM215" s="19">
        <v>0</v>
      </c>
    </row>
    <row r="216" spans="1:117" x14ac:dyDescent="0.2">
      <c r="A216" s="14" t="s">
        <v>3610</v>
      </c>
      <c r="B216" s="14" t="s">
        <v>329</v>
      </c>
      <c r="C216" s="14" t="s">
        <v>73</v>
      </c>
      <c r="D216" s="14" t="s">
        <v>200</v>
      </c>
      <c r="E216" s="14" t="s">
        <v>201</v>
      </c>
      <c r="F216" s="14" t="s">
        <v>76</v>
      </c>
      <c r="G216" s="17">
        <v>45676</v>
      </c>
      <c r="H216" s="14" t="s">
        <v>77</v>
      </c>
      <c r="I216" s="14" t="s">
        <v>78</v>
      </c>
      <c r="J216" s="14" t="s">
        <v>213</v>
      </c>
      <c r="K216" s="14" t="s">
        <v>237</v>
      </c>
      <c r="L216" s="14" t="s">
        <v>190</v>
      </c>
      <c r="M216" s="14" t="s">
        <v>191</v>
      </c>
      <c r="N216" s="16">
        <f>COUNTIF($M$3:M216, M216)</f>
        <v>8</v>
      </c>
      <c r="O216" s="16" t="str" cm="1">
        <f t="array" ref="O216">INDEX('[2]ALTA 20242025'!$B$2:$B$241, MATCH(1, ('[2]ALTA 20242025'!$I$2:$I$241=M216)*('[2]ALTA 20242025'!$J$2:$J$241=N216), 0))</f>
        <v>8249MXG</v>
      </c>
      <c r="P216" s="16"/>
      <c r="Q216" s="16"/>
      <c r="R216" s="14" t="s">
        <v>2048</v>
      </c>
      <c r="S216" s="14" t="s">
        <v>2048</v>
      </c>
      <c r="T216" s="14" t="s">
        <v>2048</v>
      </c>
      <c r="U216" s="14" t="s">
        <v>2048</v>
      </c>
      <c r="V216" s="14" t="s">
        <v>4611</v>
      </c>
      <c r="W216" s="14" t="s">
        <v>4657</v>
      </c>
      <c r="X216" s="14" t="s">
        <v>4613</v>
      </c>
      <c r="Y216" s="14" t="s">
        <v>4658</v>
      </c>
      <c r="Z216" s="14" t="s">
        <v>2048</v>
      </c>
      <c r="AA216" s="14" t="s">
        <v>2422</v>
      </c>
      <c r="AB216" s="14" t="s">
        <v>2049</v>
      </c>
      <c r="AC216" s="14" t="s">
        <v>2050</v>
      </c>
      <c r="AD216" s="14" t="s">
        <v>3725</v>
      </c>
      <c r="AE216" s="14" t="s">
        <v>3613</v>
      </c>
      <c r="AF216" s="14" t="s">
        <v>3614</v>
      </c>
      <c r="AG216" s="14" t="s">
        <v>200</v>
      </c>
      <c r="AH216" s="14" t="s">
        <v>3622</v>
      </c>
      <c r="AI216" s="14" t="s">
        <v>2132</v>
      </c>
      <c r="AJ216" s="14" t="s">
        <v>2133</v>
      </c>
      <c r="AK216" s="14" t="s">
        <v>2055</v>
      </c>
      <c r="AL216" s="14" t="s">
        <v>2055</v>
      </c>
      <c r="AM216" s="14" t="s">
        <v>2055</v>
      </c>
      <c r="AN216" s="14" t="s">
        <v>2068</v>
      </c>
      <c r="AO216" s="14" t="s">
        <v>2048</v>
      </c>
      <c r="AP216" s="14" t="s">
        <v>2048</v>
      </c>
      <c r="AQ216" s="14" t="s">
        <v>2048</v>
      </c>
      <c r="AR216" s="14" t="s">
        <v>2751</v>
      </c>
      <c r="AS216" s="14" t="s">
        <v>3776</v>
      </c>
      <c r="AT216" s="14" t="s">
        <v>2422</v>
      </c>
      <c r="AU216" s="14" t="s">
        <v>2059</v>
      </c>
      <c r="AV216" s="14" t="s">
        <v>3037</v>
      </c>
      <c r="AW216" s="14" t="s">
        <v>3038</v>
      </c>
      <c r="AX216" s="14" t="s">
        <v>2048</v>
      </c>
      <c r="AY216" s="14" t="s">
        <v>2430</v>
      </c>
      <c r="AZ216" s="14" t="s">
        <v>2431</v>
      </c>
      <c r="BA216" s="14" t="s">
        <v>3627</v>
      </c>
      <c r="BB216" s="14" t="s">
        <v>2048</v>
      </c>
      <c r="BC216" s="14" t="s">
        <v>190</v>
      </c>
      <c r="BD216" s="14" t="s">
        <v>194</v>
      </c>
      <c r="BE216" s="14" t="s">
        <v>2759</v>
      </c>
      <c r="BF216" s="14" t="s">
        <v>2048</v>
      </c>
      <c r="BG216" s="14" t="s">
        <v>2048</v>
      </c>
      <c r="BH216" s="14" t="s">
        <v>2433</v>
      </c>
      <c r="BI216" s="14" t="s">
        <v>2434</v>
      </c>
      <c r="BJ216" s="14" t="s">
        <v>2048</v>
      </c>
      <c r="BK216" s="14" t="s">
        <v>2048</v>
      </c>
      <c r="BL216" s="14" t="s">
        <v>2437</v>
      </c>
      <c r="BM216" s="14" t="s">
        <v>2287</v>
      </c>
      <c r="BN216" s="14" t="s">
        <v>2048</v>
      </c>
      <c r="BO216" s="14" t="s">
        <v>2048</v>
      </c>
      <c r="BP216" s="14" t="s">
        <v>2064</v>
      </c>
      <c r="BQ216" s="14" t="s">
        <v>72</v>
      </c>
      <c r="BR216" s="14" t="s">
        <v>72</v>
      </c>
      <c r="BS216" s="14" t="s">
        <v>2048</v>
      </c>
      <c r="BT216" s="14" t="s">
        <v>2986</v>
      </c>
      <c r="BU216" s="14" t="s">
        <v>2987</v>
      </c>
      <c r="BV216" s="14" t="s">
        <v>2331</v>
      </c>
      <c r="BW216" s="14" t="s">
        <v>2131</v>
      </c>
      <c r="BX216" s="14" t="s">
        <v>2048</v>
      </c>
      <c r="BY216" s="14" t="s">
        <v>2048</v>
      </c>
      <c r="BZ216" s="14" t="s">
        <v>2048</v>
      </c>
      <c r="CA216" s="14" t="s">
        <v>2048</v>
      </c>
      <c r="CB216" s="14" t="s">
        <v>2048</v>
      </c>
      <c r="CC216" s="14" t="s">
        <v>2048</v>
      </c>
      <c r="CD216" s="14" t="s">
        <v>2048</v>
      </c>
      <c r="CE216" s="14" t="s">
        <v>2048</v>
      </c>
      <c r="CF216" s="14" t="s">
        <v>2048</v>
      </c>
      <c r="CG216" s="14" t="s">
        <v>2048</v>
      </c>
      <c r="CH216" s="14" t="s">
        <v>2048</v>
      </c>
      <c r="CI216" s="14" t="s">
        <v>2048</v>
      </c>
      <c r="CJ216" s="14" t="s">
        <v>2048</v>
      </c>
      <c r="CK216" s="14" t="s">
        <v>2068</v>
      </c>
      <c r="CL216" s="14" t="s">
        <v>2069</v>
      </c>
      <c r="CM216" s="14" t="s">
        <v>2048</v>
      </c>
      <c r="CN216" s="17"/>
      <c r="CO216" s="17">
        <v>44215</v>
      </c>
      <c r="CP216" s="17">
        <v>44215</v>
      </c>
      <c r="CR216" s="17">
        <v>45693</v>
      </c>
      <c r="CS216" s="19">
        <v>48</v>
      </c>
      <c r="CT216" s="19">
        <v>0</v>
      </c>
      <c r="CU216" s="19">
        <v>174.93</v>
      </c>
      <c r="CV216" s="19">
        <v>0</v>
      </c>
      <c r="CW216" s="19">
        <v>174.93</v>
      </c>
      <c r="CX216" s="19">
        <v>211.67</v>
      </c>
      <c r="CY216" s="19">
        <v>0</v>
      </c>
      <c r="CZ216" s="17"/>
      <c r="DA216" s="20">
        <v>95950</v>
      </c>
      <c r="DB216" s="17">
        <v>45657</v>
      </c>
      <c r="DC216" s="17"/>
      <c r="DD216" s="19">
        <v>0</v>
      </c>
      <c r="DE216" s="17"/>
      <c r="DF216" s="17"/>
      <c r="DG216" s="19">
        <v>100</v>
      </c>
      <c r="DH216" s="17"/>
      <c r="DI216" s="17">
        <v>46022</v>
      </c>
      <c r="DJ216" s="17"/>
      <c r="DK216" s="17"/>
      <c r="DL216" s="19">
        <v>0</v>
      </c>
      <c r="DM216" s="19">
        <v>0</v>
      </c>
    </row>
    <row r="217" spans="1:117" x14ac:dyDescent="0.2">
      <c r="A217" s="14" t="s">
        <v>3610</v>
      </c>
      <c r="B217" s="14" t="s">
        <v>1347</v>
      </c>
      <c r="C217" s="14" t="s">
        <v>73</v>
      </c>
      <c r="D217" s="14" t="s">
        <v>200</v>
      </c>
      <c r="E217" s="14" t="s">
        <v>201</v>
      </c>
      <c r="F217" s="14" t="s">
        <v>76</v>
      </c>
      <c r="G217" s="17">
        <v>45936</v>
      </c>
      <c r="H217" s="14" t="s">
        <v>77</v>
      </c>
      <c r="I217" s="14" t="s">
        <v>674</v>
      </c>
      <c r="J217" s="14" t="s">
        <v>1348</v>
      </c>
      <c r="K217" s="14" t="s">
        <v>1349</v>
      </c>
      <c r="L217" s="14" t="s">
        <v>131</v>
      </c>
      <c r="M217" s="14" t="s">
        <v>132</v>
      </c>
      <c r="N217" s="16">
        <f>COUNTIF($M$3:M217, M217)</f>
        <v>24</v>
      </c>
      <c r="O217" s="16" t="e" cm="1">
        <f t="array" ref="O217">INDEX('[2]ALTA 20242025'!$B$2:$B$241, MATCH(1, ('[2]ALTA 20242025'!$I$2:$I$241=M217)*('[2]ALTA 20242025'!$J$2:$J$241=N217), 0))</f>
        <v>#N/A</v>
      </c>
      <c r="P217" s="16"/>
      <c r="Q217" s="16"/>
      <c r="R217" s="14" t="s">
        <v>2048</v>
      </c>
      <c r="S217" s="14" t="s">
        <v>2048</v>
      </c>
      <c r="T217" s="14" t="s">
        <v>2048</v>
      </c>
      <c r="U217" s="14" t="s">
        <v>2048</v>
      </c>
      <c r="V217" s="14" t="s">
        <v>4192</v>
      </c>
      <c r="W217" s="14" t="s">
        <v>4659</v>
      </c>
      <c r="X217" s="14" t="s">
        <v>3764</v>
      </c>
      <c r="Y217" s="14" t="s">
        <v>4660</v>
      </c>
      <c r="Z217" s="14" t="s">
        <v>2048</v>
      </c>
      <c r="AA217" s="14" t="s">
        <v>2422</v>
      </c>
      <c r="AB217" s="14" t="s">
        <v>2049</v>
      </c>
      <c r="AC217" s="14" t="s">
        <v>2050</v>
      </c>
      <c r="AD217" s="14" t="s">
        <v>3796</v>
      </c>
      <c r="AE217" s="14" t="s">
        <v>3613</v>
      </c>
      <c r="AF217" s="14" t="s">
        <v>3614</v>
      </c>
      <c r="AG217" s="14" t="s">
        <v>2048</v>
      </c>
      <c r="AH217" s="14" t="s">
        <v>2048</v>
      </c>
      <c r="AI217" s="14" t="s">
        <v>2442</v>
      </c>
      <c r="AJ217" s="14" t="s">
        <v>2443</v>
      </c>
      <c r="AK217" s="14" t="s">
        <v>2055</v>
      </c>
      <c r="AL217" s="14" t="s">
        <v>2056</v>
      </c>
      <c r="AM217" s="14" t="s">
        <v>2055</v>
      </c>
      <c r="AN217" s="14" t="s">
        <v>3603</v>
      </c>
      <c r="AO217" s="14" t="s">
        <v>2048</v>
      </c>
      <c r="AP217" s="14" t="s">
        <v>2048</v>
      </c>
      <c r="AQ217" s="14" t="s">
        <v>2048</v>
      </c>
      <c r="AR217" s="14" t="s">
        <v>2443</v>
      </c>
      <c r="AS217" s="14" t="s">
        <v>3776</v>
      </c>
      <c r="AT217" s="14" t="s">
        <v>3472</v>
      </c>
      <c r="AU217" s="14" t="s">
        <v>4661</v>
      </c>
      <c r="AV217" s="14" t="s">
        <v>2919</v>
      </c>
      <c r="AW217" s="14" t="s">
        <v>2920</v>
      </c>
      <c r="AX217" s="14" t="s">
        <v>2048</v>
      </c>
      <c r="AY217" s="14" t="s">
        <v>2448</v>
      </c>
      <c r="AZ217" s="14" t="s">
        <v>2449</v>
      </c>
      <c r="BA217" s="14" t="s">
        <v>2048</v>
      </c>
      <c r="BB217" s="14" t="s">
        <v>2048</v>
      </c>
      <c r="BC217" s="14" t="s">
        <v>131</v>
      </c>
      <c r="BD217" s="14" t="s">
        <v>316</v>
      </c>
      <c r="BE217" s="14" t="s">
        <v>2921</v>
      </c>
      <c r="BF217" s="14" t="s">
        <v>2048</v>
      </c>
      <c r="BG217" s="14" t="s">
        <v>2048</v>
      </c>
      <c r="BH217" s="14" t="s">
        <v>2048</v>
      </c>
      <c r="BI217" s="14" t="s">
        <v>2048</v>
      </c>
      <c r="BJ217" s="14" t="s">
        <v>2048</v>
      </c>
      <c r="BK217" s="14" t="s">
        <v>2048</v>
      </c>
      <c r="BL217" s="14" t="s">
        <v>2922</v>
      </c>
      <c r="BM217" s="14" t="s">
        <v>2455</v>
      </c>
      <c r="BN217" s="14" t="s">
        <v>2048</v>
      </c>
      <c r="BO217" s="14" t="s">
        <v>2518</v>
      </c>
      <c r="BP217" s="14" t="s">
        <v>2064</v>
      </c>
      <c r="BQ217" s="14" t="s">
        <v>72</v>
      </c>
      <c r="BR217" s="14" t="s">
        <v>72</v>
      </c>
      <c r="BS217" s="14" t="s">
        <v>2048</v>
      </c>
      <c r="BT217" s="14" t="s">
        <v>2457</v>
      </c>
      <c r="BU217" s="14" t="s">
        <v>2458</v>
      </c>
      <c r="BV217" s="14" t="s">
        <v>2331</v>
      </c>
      <c r="BW217" s="14" t="s">
        <v>2131</v>
      </c>
      <c r="BX217" s="14" t="s">
        <v>2048</v>
      </c>
      <c r="BY217" s="14" t="s">
        <v>2048</v>
      </c>
      <c r="BZ217" s="14" t="s">
        <v>2048</v>
      </c>
      <c r="CA217" s="14" t="s">
        <v>2048</v>
      </c>
      <c r="CB217" s="14" t="s">
        <v>72</v>
      </c>
      <c r="CC217" s="14" t="s">
        <v>2048</v>
      </c>
      <c r="CD217" s="14" t="s">
        <v>2048</v>
      </c>
      <c r="CE217" s="14" t="s">
        <v>2048</v>
      </c>
      <c r="CF217" s="14" t="s">
        <v>2048</v>
      </c>
      <c r="CG217" s="14" t="s">
        <v>2048</v>
      </c>
      <c r="CH217" s="14" t="s">
        <v>2048</v>
      </c>
      <c r="CI217" s="14" t="s">
        <v>2048</v>
      </c>
      <c r="CJ217" s="14" t="s">
        <v>2048</v>
      </c>
      <c r="CK217" s="14" t="s">
        <v>2068</v>
      </c>
      <c r="CL217" s="14" t="s">
        <v>2069</v>
      </c>
      <c r="CM217" s="14" t="s">
        <v>2048</v>
      </c>
      <c r="CN217" s="17"/>
      <c r="CO217" s="17">
        <v>44475</v>
      </c>
      <c r="CP217" s="17">
        <v>44475</v>
      </c>
      <c r="CR217" s="17">
        <v>45684</v>
      </c>
      <c r="CS217" s="19">
        <v>48</v>
      </c>
      <c r="CT217" s="19">
        <v>0</v>
      </c>
      <c r="CU217" s="19">
        <v>280.39999999999998</v>
      </c>
      <c r="CV217" s="19">
        <v>0</v>
      </c>
      <c r="CW217" s="19">
        <v>280.39999999999998</v>
      </c>
      <c r="CX217" s="19">
        <v>339.28</v>
      </c>
      <c r="CY217" s="19">
        <v>0</v>
      </c>
      <c r="CZ217" s="17"/>
      <c r="DA217" s="19">
        <v>0</v>
      </c>
      <c r="DB217" s="17"/>
      <c r="DC217" s="17"/>
      <c r="DD217" s="19">
        <v>0</v>
      </c>
      <c r="DE217" s="17"/>
      <c r="DF217" s="17"/>
      <c r="DG217" s="19">
        <v>100</v>
      </c>
      <c r="DH217" s="17"/>
      <c r="DI217" s="17">
        <v>46022</v>
      </c>
      <c r="DJ217" s="17"/>
      <c r="DK217" s="17"/>
      <c r="DL217" s="19">
        <v>0</v>
      </c>
      <c r="DM217" s="19">
        <v>0</v>
      </c>
    </row>
    <row r="218" spans="1:117" x14ac:dyDescent="0.2">
      <c r="A218" s="14" t="s">
        <v>3610</v>
      </c>
      <c r="B218" s="14" t="s">
        <v>1350</v>
      </c>
      <c r="C218" s="14" t="s">
        <v>73</v>
      </c>
      <c r="D218" s="14" t="s">
        <v>200</v>
      </c>
      <c r="E218" s="14" t="s">
        <v>201</v>
      </c>
      <c r="F218" s="14" t="s">
        <v>160</v>
      </c>
      <c r="G218" s="17">
        <v>45979</v>
      </c>
      <c r="H218" s="14" t="s">
        <v>161</v>
      </c>
      <c r="I218" s="14" t="s">
        <v>78</v>
      </c>
      <c r="J218" s="14" t="s">
        <v>85</v>
      </c>
      <c r="K218" s="14" t="s">
        <v>1351</v>
      </c>
      <c r="L218" s="14" t="s">
        <v>119</v>
      </c>
      <c r="M218" s="14" t="s">
        <v>120</v>
      </c>
      <c r="N218" s="16">
        <f>COUNTIF($M$3:M218, M218)</f>
        <v>29</v>
      </c>
      <c r="O218" s="16" t="e" cm="1">
        <f t="array" ref="O218">INDEX('[2]ALTA 20242025'!$B$2:$B$241, MATCH(1, ('[2]ALTA 20242025'!$I$2:$I$241=M218)*('[2]ALTA 20242025'!$J$2:$J$241=N218), 0))</f>
        <v>#N/A</v>
      </c>
      <c r="P218" s="16"/>
      <c r="Q218" s="16"/>
      <c r="R218" s="14" t="s">
        <v>1531</v>
      </c>
      <c r="S218" s="14" t="s">
        <v>1532</v>
      </c>
      <c r="T218" s="14" t="s">
        <v>2048</v>
      </c>
      <c r="U218" s="14" t="s">
        <v>2048</v>
      </c>
      <c r="V218" s="14" t="s">
        <v>4662</v>
      </c>
      <c r="W218" s="14" t="s">
        <v>4663</v>
      </c>
      <c r="X218" s="14" t="s">
        <v>4590</v>
      </c>
      <c r="Y218" s="14" t="s">
        <v>4664</v>
      </c>
      <c r="Z218" s="14" t="s">
        <v>2048</v>
      </c>
      <c r="AA218" s="14" t="s">
        <v>2422</v>
      </c>
      <c r="AB218" s="14" t="s">
        <v>2049</v>
      </c>
      <c r="AC218" s="14" t="s">
        <v>2050</v>
      </c>
      <c r="AD218" s="14" t="s">
        <v>3690</v>
      </c>
      <c r="AE218" s="14" t="s">
        <v>3613</v>
      </c>
      <c r="AF218" s="14" t="s">
        <v>3614</v>
      </c>
      <c r="AG218" s="14" t="s">
        <v>2048</v>
      </c>
      <c r="AH218" s="14" t="s">
        <v>2048</v>
      </c>
      <c r="AI218" s="14" t="s">
        <v>3472</v>
      </c>
      <c r="AJ218" s="14" t="s">
        <v>3821</v>
      </c>
      <c r="AK218" s="14" t="s">
        <v>2055</v>
      </c>
      <c r="AL218" s="14" t="s">
        <v>2055</v>
      </c>
      <c r="AM218" s="14" t="s">
        <v>2055</v>
      </c>
      <c r="AN218" s="14" t="s">
        <v>2068</v>
      </c>
      <c r="AO218" s="14" t="s">
        <v>2048</v>
      </c>
      <c r="AP218" s="14" t="s">
        <v>2048</v>
      </c>
      <c r="AQ218" s="14" t="s">
        <v>2048</v>
      </c>
      <c r="AR218" s="14" t="s">
        <v>2048</v>
      </c>
      <c r="AS218" s="14" t="s">
        <v>3623</v>
      </c>
      <c r="AT218" s="14" t="s">
        <v>2208</v>
      </c>
      <c r="AU218" s="14" t="s">
        <v>2059</v>
      </c>
      <c r="AV218" s="14" t="s">
        <v>4665</v>
      </c>
      <c r="AW218" s="14" t="s">
        <v>4666</v>
      </c>
      <c r="AX218" s="14" t="s">
        <v>2048</v>
      </c>
      <c r="AY218" s="14" t="s">
        <v>2561</v>
      </c>
      <c r="AZ218" s="14" t="s">
        <v>2562</v>
      </c>
      <c r="BA218" s="14" t="s">
        <v>3627</v>
      </c>
      <c r="BB218" s="14" t="s">
        <v>2048</v>
      </c>
      <c r="BC218" s="14" t="s">
        <v>119</v>
      </c>
      <c r="BD218" s="14" t="s">
        <v>617</v>
      </c>
      <c r="BE218" s="14" t="s">
        <v>2563</v>
      </c>
      <c r="BF218" s="14" t="s">
        <v>2048</v>
      </c>
      <c r="BG218" s="14" t="s">
        <v>2048</v>
      </c>
      <c r="BH218" s="14" t="s">
        <v>2282</v>
      </c>
      <c r="BI218" s="14" t="s">
        <v>2283</v>
      </c>
      <c r="BJ218" s="14" t="s">
        <v>2564</v>
      </c>
      <c r="BK218" s="14" t="s">
        <v>2565</v>
      </c>
      <c r="BL218" s="14" t="s">
        <v>2566</v>
      </c>
      <c r="BM218" s="14" t="s">
        <v>2287</v>
      </c>
      <c r="BN218" s="14" t="s">
        <v>2048</v>
      </c>
      <c r="BO218" s="14" t="s">
        <v>2048</v>
      </c>
      <c r="BP218" s="14" t="s">
        <v>2064</v>
      </c>
      <c r="BQ218" s="14" t="s">
        <v>72</v>
      </c>
      <c r="BR218" s="14" t="s">
        <v>72</v>
      </c>
      <c r="BS218" s="14" t="s">
        <v>2048</v>
      </c>
      <c r="BT218" s="14" t="s">
        <v>2568</v>
      </c>
      <c r="BU218" s="14" t="s">
        <v>2558</v>
      </c>
      <c r="BV218" s="14" t="s">
        <v>2331</v>
      </c>
      <c r="BW218" s="14" t="s">
        <v>2131</v>
      </c>
      <c r="BX218" s="14" t="s">
        <v>2048</v>
      </c>
      <c r="BY218" s="14" t="s">
        <v>2048</v>
      </c>
      <c r="BZ218" s="14" t="s">
        <v>2048</v>
      </c>
      <c r="CA218" s="14" t="s">
        <v>2048</v>
      </c>
      <c r="CB218" s="14" t="s">
        <v>72</v>
      </c>
      <c r="CC218" s="14" t="s">
        <v>2048</v>
      </c>
      <c r="CD218" s="14" t="s">
        <v>72</v>
      </c>
      <c r="CE218" s="14" t="s">
        <v>2048</v>
      </c>
      <c r="CF218" s="14" t="s">
        <v>2048</v>
      </c>
      <c r="CG218" s="14" t="s">
        <v>2048</v>
      </c>
      <c r="CH218" s="14" t="s">
        <v>2048</v>
      </c>
      <c r="CI218" s="14" t="s">
        <v>2048</v>
      </c>
      <c r="CJ218" s="14" t="s">
        <v>2048</v>
      </c>
      <c r="CK218" s="14" t="s">
        <v>3603</v>
      </c>
      <c r="CL218" s="14" t="s">
        <v>3604</v>
      </c>
      <c r="CM218" s="14" t="s">
        <v>2048</v>
      </c>
      <c r="CN218" s="17">
        <v>44927</v>
      </c>
      <c r="CO218" s="17">
        <v>44153</v>
      </c>
      <c r="CP218" s="17">
        <v>44153</v>
      </c>
      <c r="CR218" s="17">
        <v>45460</v>
      </c>
      <c r="CS218" s="19">
        <v>60</v>
      </c>
      <c r="CT218" s="19">
        <v>0</v>
      </c>
      <c r="CU218" s="19">
        <v>314.58</v>
      </c>
      <c r="CV218" s="19">
        <v>0</v>
      </c>
      <c r="CW218" s="19">
        <v>314.58</v>
      </c>
      <c r="CX218" s="19">
        <v>380.64</v>
      </c>
      <c r="CY218" s="19">
        <v>0</v>
      </c>
      <c r="CZ218" s="17"/>
      <c r="DA218" s="20">
        <v>122621</v>
      </c>
      <c r="DB218" s="17">
        <v>45496</v>
      </c>
      <c r="DC218" s="17"/>
      <c r="DD218" s="19">
        <v>0</v>
      </c>
      <c r="DE218" s="17"/>
      <c r="DF218" s="17"/>
      <c r="DG218" s="19">
        <v>100</v>
      </c>
      <c r="DH218" s="17"/>
      <c r="DI218" s="17">
        <v>46022</v>
      </c>
      <c r="DJ218" s="17"/>
      <c r="DK218" s="17"/>
      <c r="DL218" s="19">
        <v>0</v>
      </c>
      <c r="DM218" s="19">
        <v>0</v>
      </c>
    </row>
    <row r="219" spans="1:117" x14ac:dyDescent="0.2">
      <c r="A219" s="14" t="s">
        <v>3610</v>
      </c>
      <c r="B219" s="14" t="s">
        <v>833</v>
      </c>
      <c r="C219" s="14" t="s">
        <v>73</v>
      </c>
      <c r="D219" s="14" t="s">
        <v>200</v>
      </c>
      <c r="E219" s="14" t="s">
        <v>201</v>
      </c>
      <c r="F219" s="14" t="s">
        <v>76</v>
      </c>
      <c r="G219" s="17">
        <v>45684</v>
      </c>
      <c r="H219" s="14" t="s">
        <v>77</v>
      </c>
      <c r="I219" s="14" t="s">
        <v>78</v>
      </c>
      <c r="J219" s="14" t="s">
        <v>213</v>
      </c>
      <c r="K219" s="14" t="s">
        <v>817</v>
      </c>
      <c r="L219" s="14" t="s">
        <v>102</v>
      </c>
      <c r="M219" s="14" t="s">
        <v>103</v>
      </c>
      <c r="N219" s="16">
        <f>COUNTIF($M$3:M219, M219)</f>
        <v>42</v>
      </c>
      <c r="O219" s="16" t="str" cm="1">
        <f t="array" ref="O219">INDEX('[2]ALTA 20242025'!$B$2:$B$241, MATCH(1, ('[2]ALTA 20242025'!$I$2:$I$241=M219)*('[2]ALTA 20242025'!$J$2:$J$241=N219), 0))</f>
        <v>8617MWT</v>
      </c>
      <c r="P219" s="16"/>
      <c r="Q219" s="16"/>
      <c r="R219" s="14" t="s">
        <v>2048</v>
      </c>
      <c r="S219" s="14" t="s">
        <v>2048</v>
      </c>
      <c r="T219" s="14" t="s">
        <v>2048</v>
      </c>
      <c r="U219" s="14" t="s">
        <v>2048</v>
      </c>
      <c r="V219" s="14" t="s">
        <v>4192</v>
      </c>
      <c r="W219" s="14" t="s">
        <v>4667</v>
      </c>
      <c r="X219" s="14" t="s">
        <v>3926</v>
      </c>
      <c r="Y219" s="14" t="s">
        <v>4668</v>
      </c>
      <c r="Z219" s="14" t="s">
        <v>2048</v>
      </c>
      <c r="AA219" s="14" t="s">
        <v>2422</v>
      </c>
      <c r="AB219" s="14" t="s">
        <v>2049</v>
      </c>
      <c r="AC219" s="14" t="s">
        <v>2050</v>
      </c>
      <c r="AD219" s="14" t="s">
        <v>3690</v>
      </c>
      <c r="AE219" s="14" t="s">
        <v>3613</v>
      </c>
      <c r="AF219" s="14" t="s">
        <v>3614</v>
      </c>
      <c r="AG219" s="14" t="s">
        <v>200</v>
      </c>
      <c r="AH219" s="14" t="s">
        <v>3622</v>
      </c>
      <c r="AI219" s="14" t="s">
        <v>3472</v>
      </c>
      <c r="AJ219" s="14" t="s">
        <v>3821</v>
      </c>
      <c r="AK219" s="14" t="s">
        <v>2055</v>
      </c>
      <c r="AL219" s="14" t="s">
        <v>2055</v>
      </c>
      <c r="AM219" s="14" t="s">
        <v>2055</v>
      </c>
      <c r="AN219" s="14" t="s">
        <v>2068</v>
      </c>
      <c r="AO219" s="14" t="s">
        <v>2048</v>
      </c>
      <c r="AP219" s="14" t="s">
        <v>2048</v>
      </c>
      <c r="AQ219" s="14" t="s">
        <v>2048</v>
      </c>
      <c r="AR219" s="14" t="s">
        <v>2048</v>
      </c>
      <c r="AS219" s="14" t="s">
        <v>3776</v>
      </c>
      <c r="AT219" s="14" t="s">
        <v>2422</v>
      </c>
      <c r="AU219" s="14" t="s">
        <v>4669</v>
      </c>
      <c r="AV219" s="14" t="s">
        <v>2863</v>
      </c>
      <c r="AW219" s="14" t="s">
        <v>2864</v>
      </c>
      <c r="AX219" s="14" t="s">
        <v>2048</v>
      </c>
      <c r="AY219" s="14" t="s">
        <v>4048</v>
      </c>
      <c r="AZ219" s="14" t="s">
        <v>4049</v>
      </c>
      <c r="BA219" s="14" t="s">
        <v>2048</v>
      </c>
      <c r="BB219" s="14" t="s">
        <v>2048</v>
      </c>
      <c r="BC219" s="14" t="s">
        <v>102</v>
      </c>
      <c r="BD219" s="14" t="s">
        <v>782</v>
      </c>
      <c r="BE219" s="14" t="s">
        <v>4050</v>
      </c>
      <c r="BF219" s="14" t="s">
        <v>2048</v>
      </c>
      <c r="BG219" s="14" t="s">
        <v>2048</v>
      </c>
      <c r="BH219" s="14" t="s">
        <v>2282</v>
      </c>
      <c r="BI219" s="14" t="s">
        <v>2782</v>
      </c>
      <c r="BJ219" s="14" t="s">
        <v>2048</v>
      </c>
      <c r="BK219" s="14" t="s">
        <v>2048</v>
      </c>
      <c r="BL219" s="14" t="s">
        <v>4051</v>
      </c>
      <c r="BM219" s="14" t="s">
        <v>2287</v>
      </c>
      <c r="BN219" s="14" t="s">
        <v>2048</v>
      </c>
      <c r="BO219" s="14" t="s">
        <v>2518</v>
      </c>
      <c r="BP219" s="14" t="s">
        <v>2064</v>
      </c>
      <c r="BQ219" s="14" t="s">
        <v>72</v>
      </c>
      <c r="BR219" s="14" t="s">
        <v>72</v>
      </c>
      <c r="BS219" s="14" t="s">
        <v>2048</v>
      </c>
      <c r="BT219" s="14" t="s">
        <v>3116</v>
      </c>
      <c r="BU219" s="14" t="s">
        <v>3117</v>
      </c>
      <c r="BV219" s="14" t="s">
        <v>2331</v>
      </c>
      <c r="BW219" s="14" t="s">
        <v>2131</v>
      </c>
      <c r="BX219" s="14" t="s">
        <v>2048</v>
      </c>
      <c r="BY219" s="14" t="s">
        <v>2048</v>
      </c>
      <c r="BZ219" s="14" t="s">
        <v>2048</v>
      </c>
      <c r="CA219" s="14" t="s">
        <v>2048</v>
      </c>
      <c r="CB219" s="14" t="s">
        <v>72</v>
      </c>
      <c r="CC219" s="14" t="s">
        <v>2048</v>
      </c>
      <c r="CD219" s="14" t="s">
        <v>72</v>
      </c>
      <c r="CE219" s="14" t="s">
        <v>2048</v>
      </c>
      <c r="CF219" s="14" t="s">
        <v>2048</v>
      </c>
      <c r="CG219" s="14" t="s">
        <v>2048</v>
      </c>
      <c r="CH219" s="14" t="s">
        <v>2048</v>
      </c>
      <c r="CI219" s="14" t="s">
        <v>2048</v>
      </c>
      <c r="CJ219" s="14" t="s">
        <v>2048</v>
      </c>
      <c r="CK219" s="14" t="s">
        <v>3714</v>
      </c>
      <c r="CL219" s="14" t="s">
        <v>3761</v>
      </c>
      <c r="CM219" s="14" t="s">
        <v>2048</v>
      </c>
      <c r="CN219" s="17"/>
      <c r="CO219" s="17">
        <v>44223</v>
      </c>
      <c r="CP219" s="17">
        <v>44223</v>
      </c>
      <c r="CR219" s="17">
        <v>45748</v>
      </c>
      <c r="CS219" s="19">
        <v>48</v>
      </c>
      <c r="CT219" s="19">
        <v>0</v>
      </c>
      <c r="CU219" s="19">
        <v>228.2</v>
      </c>
      <c r="CV219" s="19">
        <v>0</v>
      </c>
      <c r="CW219" s="19">
        <v>228.2</v>
      </c>
      <c r="CX219" s="19">
        <v>276.12</v>
      </c>
      <c r="CY219" s="19">
        <v>0</v>
      </c>
      <c r="CZ219" s="17"/>
      <c r="DA219" s="19">
        <v>0</v>
      </c>
      <c r="DB219" s="17"/>
      <c r="DC219" s="17"/>
      <c r="DD219" s="19">
        <v>0</v>
      </c>
      <c r="DE219" s="17"/>
      <c r="DF219" s="17"/>
      <c r="DG219" s="19">
        <v>100</v>
      </c>
      <c r="DH219" s="17"/>
      <c r="DI219" s="17">
        <v>46022</v>
      </c>
      <c r="DJ219" s="17"/>
      <c r="DK219" s="17"/>
      <c r="DL219" s="19">
        <v>0</v>
      </c>
      <c r="DM219" s="19">
        <v>0</v>
      </c>
    </row>
    <row r="220" spans="1:117" x14ac:dyDescent="0.2">
      <c r="A220" s="165" t="s">
        <v>3610</v>
      </c>
      <c r="B220" s="165" t="s">
        <v>1353</v>
      </c>
      <c r="C220" s="165" t="s">
        <v>73</v>
      </c>
      <c r="D220" s="165" t="s">
        <v>200</v>
      </c>
      <c r="E220" s="165" t="s">
        <v>201</v>
      </c>
      <c r="F220" s="165" t="s">
        <v>76</v>
      </c>
      <c r="G220" s="22">
        <v>45993</v>
      </c>
      <c r="H220" s="165" t="s">
        <v>77</v>
      </c>
      <c r="I220" s="165" t="s">
        <v>78</v>
      </c>
      <c r="J220" s="165" t="s">
        <v>85</v>
      </c>
      <c r="K220" s="165" t="s">
        <v>1354</v>
      </c>
      <c r="L220" s="165" t="s">
        <v>119</v>
      </c>
      <c r="M220" s="165" t="s">
        <v>120</v>
      </c>
      <c r="N220" s="48">
        <f>COUNTIF($M$3:M220, M220)</f>
        <v>30</v>
      </c>
      <c r="O220" s="48" t="e" cm="1">
        <f t="array" ref="O220">INDEX('[2]ALTA 20242025'!$B$2:$B$241, MATCH(1, ('[2]ALTA 20242025'!$I$2:$I$241=M220)*('[2]ALTA 20242025'!$J$2:$J$241=N220), 0))</f>
        <v>#N/A</v>
      </c>
      <c r="P220" s="48"/>
      <c r="Q220" s="48"/>
      <c r="R220" s="165" t="s">
        <v>2048</v>
      </c>
      <c r="S220" s="165" t="s">
        <v>2048</v>
      </c>
      <c r="T220" s="165" t="s">
        <v>2048</v>
      </c>
      <c r="U220" s="165" t="s">
        <v>2048</v>
      </c>
      <c r="V220" s="165" t="s">
        <v>3620</v>
      </c>
      <c r="W220" s="165" t="s">
        <v>4670</v>
      </c>
      <c r="X220" s="165" t="s">
        <v>4671</v>
      </c>
      <c r="Y220" s="165" t="s">
        <v>4672</v>
      </c>
      <c r="Z220" s="165" t="s">
        <v>2048</v>
      </c>
      <c r="AA220" s="165" t="s">
        <v>2422</v>
      </c>
      <c r="AB220" s="165" t="s">
        <v>2049</v>
      </c>
      <c r="AC220" s="165" t="s">
        <v>2050</v>
      </c>
      <c r="AD220" s="165" t="s">
        <v>3690</v>
      </c>
      <c r="AE220" s="165" t="s">
        <v>3613</v>
      </c>
      <c r="AF220" s="165" t="s">
        <v>3614</v>
      </c>
      <c r="AG220" s="165" t="s">
        <v>2048</v>
      </c>
      <c r="AH220" s="165" t="s">
        <v>2048</v>
      </c>
      <c r="AI220" s="165" t="s">
        <v>3472</v>
      </c>
      <c r="AJ220" s="165" t="s">
        <v>3821</v>
      </c>
      <c r="AK220" s="165" t="s">
        <v>2055</v>
      </c>
      <c r="AL220" s="165" t="s">
        <v>2055</v>
      </c>
      <c r="AM220" s="165" t="s">
        <v>2055</v>
      </c>
      <c r="AN220" s="165" t="s">
        <v>2068</v>
      </c>
      <c r="AO220" s="165" t="s">
        <v>2048</v>
      </c>
      <c r="AP220" s="165" t="s">
        <v>2048</v>
      </c>
      <c r="AQ220" s="165" t="s">
        <v>2048</v>
      </c>
      <c r="AR220" s="165" t="s">
        <v>2048</v>
      </c>
      <c r="AS220" s="165" t="s">
        <v>3623</v>
      </c>
      <c r="AT220" s="165" t="s">
        <v>2135</v>
      </c>
      <c r="AU220" s="165" t="s">
        <v>4673</v>
      </c>
      <c r="AV220" s="165" t="s">
        <v>4674</v>
      </c>
      <c r="AW220" s="165" t="s">
        <v>4675</v>
      </c>
      <c r="AX220" s="165" t="s">
        <v>2048</v>
      </c>
      <c r="AY220" s="165" t="s">
        <v>4674</v>
      </c>
      <c r="AZ220" s="165" t="s">
        <v>4675</v>
      </c>
      <c r="BA220" s="165" t="s">
        <v>3627</v>
      </c>
      <c r="BB220" s="165" t="s">
        <v>2048</v>
      </c>
      <c r="BC220" s="165" t="s">
        <v>119</v>
      </c>
      <c r="BD220" s="165" t="s">
        <v>1355</v>
      </c>
      <c r="BE220" s="165" t="s">
        <v>4676</v>
      </c>
      <c r="BF220" s="165" t="s">
        <v>2048</v>
      </c>
      <c r="BG220" s="165" t="s">
        <v>2048</v>
      </c>
      <c r="BH220" s="165" t="s">
        <v>3598</v>
      </c>
      <c r="BI220" s="165" t="s">
        <v>3599</v>
      </c>
      <c r="BJ220" s="165" t="s">
        <v>3914</v>
      </c>
      <c r="BK220" s="165" t="s">
        <v>3915</v>
      </c>
      <c r="BL220" s="165" t="s">
        <v>4677</v>
      </c>
      <c r="BM220" s="165" t="s">
        <v>3600</v>
      </c>
      <c r="BN220" s="165" t="s">
        <v>2048</v>
      </c>
      <c r="BO220" s="165" t="s">
        <v>2518</v>
      </c>
      <c r="BP220" s="165" t="s">
        <v>2064</v>
      </c>
      <c r="BQ220" s="165" t="s">
        <v>72</v>
      </c>
      <c r="BR220" s="165" t="s">
        <v>72</v>
      </c>
      <c r="BS220" s="165" t="s">
        <v>2048</v>
      </c>
      <c r="BT220" s="165" t="s">
        <v>3601</v>
      </c>
      <c r="BU220" s="165" t="s">
        <v>3602</v>
      </c>
      <c r="BV220" s="165" t="s">
        <v>2331</v>
      </c>
      <c r="BW220" s="165" t="s">
        <v>2131</v>
      </c>
      <c r="BX220" s="165" t="s">
        <v>72</v>
      </c>
      <c r="BY220" s="165" t="s">
        <v>2048</v>
      </c>
      <c r="BZ220" s="165" t="s">
        <v>2048</v>
      </c>
      <c r="CA220" s="165" t="s">
        <v>2048</v>
      </c>
      <c r="CB220" s="165" t="s">
        <v>72</v>
      </c>
      <c r="CC220" s="165" t="s">
        <v>2048</v>
      </c>
      <c r="CD220" s="165" t="s">
        <v>72</v>
      </c>
      <c r="CE220" s="165" t="s">
        <v>2048</v>
      </c>
      <c r="CF220" s="165" t="s">
        <v>2048</v>
      </c>
      <c r="CG220" s="165" t="s">
        <v>2048</v>
      </c>
      <c r="CH220" s="165" t="s">
        <v>2048</v>
      </c>
      <c r="CI220" s="165" t="s">
        <v>2048</v>
      </c>
      <c r="CJ220" s="165" t="s">
        <v>2048</v>
      </c>
      <c r="CK220" s="165" t="s">
        <v>3603</v>
      </c>
      <c r="CL220" s="165" t="s">
        <v>3604</v>
      </c>
      <c r="CM220" s="165" t="s">
        <v>2048</v>
      </c>
      <c r="CN220" s="22"/>
      <c r="CO220" s="22">
        <v>44167</v>
      </c>
      <c r="CP220" s="22">
        <v>44167</v>
      </c>
      <c r="CR220" s="22">
        <v>45791</v>
      </c>
      <c r="CS220" s="50">
        <v>60</v>
      </c>
      <c r="CT220" s="50">
        <v>0</v>
      </c>
      <c r="CU220" s="50">
        <v>335.05</v>
      </c>
      <c r="CV220" s="50">
        <v>0</v>
      </c>
      <c r="CW220" s="50">
        <v>335.05</v>
      </c>
      <c r="CX220" s="50">
        <v>405.41</v>
      </c>
      <c r="CY220" s="50">
        <v>0</v>
      </c>
      <c r="CZ220" s="22"/>
      <c r="DA220" s="166">
        <v>87175</v>
      </c>
      <c r="DB220" s="22">
        <v>45808</v>
      </c>
      <c r="DC220" s="22"/>
      <c r="DD220" s="50">
        <v>0</v>
      </c>
      <c r="DE220" s="22"/>
      <c r="DF220" s="22"/>
      <c r="DG220" s="50">
        <v>100</v>
      </c>
      <c r="DH220" s="22"/>
      <c r="DI220" s="22">
        <v>45808</v>
      </c>
      <c r="DJ220" s="22"/>
      <c r="DK220" s="22"/>
      <c r="DL220" s="50">
        <v>0</v>
      </c>
      <c r="DM220" s="50">
        <v>0</v>
      </c>
    </row>
    <row r="221" spans="1:117" x14ac:dyDescent="0.2">
      <c r="A221" s="167" t="s">
        <v>3610</v>
      </c>
      <c r="B221" s="167" t="s">
        <v>1359</v>
      </c>
      <c r="C221" s="167" t="s">
        <v>73</v>
      </c>
      <c r="D221" s="167" t="s">
        <v>200</v>
      </c>
      <c r="E221" s="167" t="s">
        <v>201</v>
      </c>
      <c r="F221" s="167" t="s">
        <v>76</v>
      </c>
      <c r="G221" s="168">
        <v>45685</v>
      </c>
      <c r="H221" s="167" t="s">
        <v>77</v>
      </c>
      <c r="I221" s="167" t="s">
        <v>71</v>
      </c>
      <c r="J221" s="167" t="s">
        <v>213</v>
      </c>
      <c r="K221" s="167" t="s">
        <v>214</v>
      </c>
      <c r="L221" s="167" t="s">
        <v>336</v>
      </c>
      <c r="M221" s="167" t="s">
        <v>337</v>
      </c>
      <c r="N221" s="169">
        <f>COUNTIF($M$3:M221, M221)</f>
        <v>17</v>
      </c>
      <c r="O221" s="169" t="e" cm="1">
        <f t="array" ref="O221">INDEX('[2]ALTA 20242025'!$B$2:$B$241, MATCH(1, ('[2]ALTA 20242025'!$I$2:$I$241=M221)*('[2]ALTA 20242025'!$J$2:$J$241=N221), 0))</f>
        <v>#N/A</v>
      </c>
      <c r="P221" s="169"/>
      <c r="Q221" s="169"/>
      <c r="R221" s="167" t="s">
        <v>584</v>
      </c>
      <c r="S221" s="167" t="s">
        <v>585</v>
      </c>
      <c r="T221" s="167" t="s">
        <v>2048</v>
      </c>
      <c r="U221" s="167" t="s">
        <v>2048</v>
      </c>
      <c r="V221" s="167" t="s">
        <v>4192</v>
      </c>
      <c r="W221" s="167" t="s">
        <v>4678</v>
      </c>
      <c r="X221" s="167" t="s">
        <v>3818</v>
      </c>
      <c r="Y221" s="167" t="s">
        <v>4679</v>
      </c>
      <c r="Z221" s="167" t="s">
        <v>2048</v>
      </c>
      <c r="AA221" s="167" t="s">
        <v>2422</v>
      </c>
      <c r="AB221" s="167" t="s">
        <v>2049</v>
      </c>
      <c r="AC221" s="167" t="s">
        <v>2050</v>
      </c>
      <c r="AD221" s="167" t="s">
        <v>3690</v>
      </c>
      <c r="AE221" s="167" t="s">
        <v>3613</v>
      </c>
      <c r="AF221" s="167" t="s">
        <v>3614</v>
      </c>
      <c r="AG221" s="167" t="s">
        <v>200</v>
      </c>
      <c r="AH221" s="167" t="s">
        <v>3622</v>
      </c>
      <c r="AI221" s="167" t="s">
        <v>159</v>
      </c>
      <c r="AJ221" s="167" t="s">
        <v>585</v>
      </c>
      <c r="AK221" s="167" t="s">
        <v>2055</v>
      </c>
      <c r="AL221" s="167" t="s">
        <v>2055</v>
      </c>
      <c r="AM221" s="167" t="s">
        <v>2055</v>
      </c>
      <c r="AN221" s="167" t="s">
        <v>3714</v>
      </c>
      <c r="AO221" s="167" t="s">
        <v>2048</v>
      </c>
      <c r="AP221" s="167" t="s">
        <v>2048</v>
      </c>
      <c r="AQ221" s="167" t="s">
        <v>2048</v>
      </c>
      <c r="AR221" s="167" t="s">
        <v>3131</v>
      </c>
      <c r="AS221" s="167" t="s">
        <v>3776</v>
      </c>
      <c r="AT221" s="167" t="s">
        <v>2422</v>
      </c>
      <c r="AU221" s="167" t="s">
        <v>4680</v>
      </c>
      <c r="AV221" s="167" t="s">
        <v>3132</v>
      </c>
      <c r="AW221" s="167" t="s">
        <v>3133</v>
      </c>
      <c r="AX221" s="167" t="s">
        <v>2048</v>
      </c>
      <c r="AY221" s="167" t="s">
        <v>2740</v>
      </c>
      <c r="AZ221" s="167" t="s">
        <v>2741</v>
      </c>
      <c r="BA221" s="167" t="s">
        <v>3627</v>
      </c>
      <c r="BB221" s="167" t="s">
        <v>2048</v>
      </c>
      <c r="BC221" s="167" t="s">
        <v>336</v>
      </c>
      <c r="BD221" s="167" t="s">
        <v>338</v>
      </c>
      <c r="BE221" s="167" t="s">
        <v>3134</v>
      </c>
      <c r="BF221" s="167" t="s">
        <v>2048</v>
      </c>
      <c r="BG221" s="167" t="s">
        <v>2048</v>
      </c>
      <c r="BH221" s="167" t="s">
        <v>3135</v>
      </c>
      <c r="BI221" s="167" t="s">
        <v>3136</v>
      </c>
      <c r="BJ221" s="167" t="s">
        <v>2048</v>
      </c>
      <c r="BK221" s="167" t="s">
        <v>2048</v>
      </c>
      <c r="BL221" s="167" t="s">
        <v>3137</v>
      </c>
      <c r="BM221" s="167" t="s">
        <v>2287</v>
      </c>
      <c r="BN221" s="167" t="s">
        <v>2048</v>
      </c>
      <c r="BO221" s="167" t="s">
        <v>2048</v>
      </c>
      <c r="BP221" s="167" t="s">
        <v>2064</v>
      </c>
      <c r="BQ221" s="167" t="s">
        <v>72</v>
      </c>
      <c r="BR221" s="167" t="s">
        <v>72</v>
      </c>
      <c r="BS221" s="167" t="s">
        <v>2048</v>
      </c>
      <c r="BT221" s="167" t="s">
        <v>2761</v>
      </c>
      <c r="BU221" s="167" t="s">
        <v>2762</v>
      </c>
      <c r="BV221" s="167" t="s">
        <v>2331</v>
      </c>
      <c r="BW221" s="167" t="s">
        <v>2131</v>
      </c>
      <c r="BX221" s="167" t="s">
        <v>2048</v>
      </c>
      <c r="BY221" s="167" t="s">
        <v>2048</v>
      </c>
      <c r="BZ221" s="167" t="s">
        <v>2048</v>
      </c>
      <c r="CA221" s="167" t="s">
        <v>2048</v>
      </c>
      <c r="CB221" s="167" t="s">
        <v>72</v>
      </c>
      <c r="CC221" s="167" t="s">
        <v>2048</v>
      </c>
      <c r="CD221" s="167" t="s">
        <v>2048</v>
      </c>
      <c r="CE221" s="167" t="s">
        <v>2048</v>
      </c>
      <c r="CF221" s="167" t="s">
        <v>2048</v>
      </c>
      <c r="CG221" s="167" t="s">
        <v>2048</v>
      </c>
      <c r="CH221" s="167" t="s">
        <v>2048</v>
      </c>
      <c r="CI221" s="167" t="s">
        <v>2048</v>
      </c>
      <c r="CJ221" s="167" t="s">
        <v>2048</v>
      </c>
      <c r="CK221" s="167" t="s">
        <v>2068</v>
      </c>
      <c r="CL221" s="167" t="s">
        <v>2069</v>
      </c>
      <c r="CM221" s="167" t="s">
        <v>2048</v>
      </c>
      <c r="CN221" s="168">
        <v>45292</v>
      </c>
      <c r="CO221" s="168">
        <v>44224</v>
      </c>
      <c r="CP221" s="168">
        <v>44224</v>
      </c>
      <c r="CQ221" s="170"/>
      <c r="CR221" s="168">
        <v>45730</v>
      </c>
      <c r="CS221" s="170">
        <v>48</v>
      </c>
      <c r="CT221" s="170">
        <v>0</v>
      </c>
      <c r="CU221" s="170">
        <v>203.36</v>
      </c>
      <c r="CV221" s="170">
        <v>0</v>
      </c>
      <c r="CW221" s="170">
        <v>203.36</v>
      </c>
      <c r="CX221" s="170">
        <v>246.07</v>
      </c>
      <c r="CY221" s="170">
        <v>0</v>
      </c>
      <c r="CZ221" s="168"/>
      <c r="DA221" s="171">
        <v>17648</v>
      </c>
      <c r="DB221" s="168">
        <v>44804</v>
      </c>
      <c r="DC221" s="168"/>
      <c r="DD221" s="170">
        <v>0</v>
      </c>
      <c r="DE221" s="168"/>
      <c r="DF221" s="168"/>
      <c r="DG221" s="170">
        <v>50</v>
      </c>
      <c r="DH221" s="168"/>
      <c r="DI221" s="168">
        <v>46022</v>
      </c>
      <c r="DJ221" s="168"/>
      <c r="DK221" s="168"/>
      <c r="DL221" s="170">
        <v>0</v>
      </c>
      <c r="DM221" s="170">
        <v>0</v>
      </c>
    </row>
    <row r="222" spans="1:117" x14ac:dyDescent="0.2">
      <c r="A222" s="33" t="s">
        <v>3610</v>
      </c>
      <c r="B222" s="33" t="s">
        <v>948</v>
      </c>
      <c r="C222" s="33" t="s">
        <v>73</v>
      </c>
      <c r="D222" s="33" t="s">
        <v>200</v>
      </c>
      <c r="E222" s="33" t="s">
        <v>201</v>
      </c>
      <c r="F222" s="33" t="s">
        <v>160</v>
      </c>
      <c r="G222" s="34">
        <v>45685</v>
      </c>
      <c r="H222" s="33" t="s">
        <v>161</v>
      </c>
      <c r="I222" s="33" t="s">
        <v>78</v>
      </c>
      <c r="J222" s="33" t="s">
        <v>79</v>
      </c>
      <c r="K222" s="33" t="s">
        <v>924</v>
      </c>
      <c r="L222" s="33" t="s">
        <v>190</v>
      </c>
      <c r="M222" s="33" t="s">
        <v>191</v>
      </c>
      <c r="N222" s="93">
        <f>COUNTIF($M$3:M222, M222)</f>
        <v>9</v>
      </c>
      <c r="O222" s="93" t="str" cm="1">
        <f t="array" ref="O222">INDEX('[2]ALTA 20242025'!$B$2:$B$241, MATCH(1, ('[2]ALTA 20242025'!$I$2:$I$241=M222)*('[2]ALTA 20242025'!$J$2:$J$241=N222), 0))</f>
        <v>8349MXG</v>
      </c>
      <c r="P222" s="40"/>
      <c r="Q222" s="40"/>
      <c r="R222" s="33" t="s">
        <v>2048</v>
      </c>
      <c r="S222" s="33" t="s">
        <v>2048</v>
      </c>
      <c r="T222" s="33" t="s">
        <v>2048</v>
      </c>
      <c r="U222" s="33" t="s">
        <v>2048</v>
      </c>
      <c r="V222" s="33" t="s">
        <v>4192</v>
      </c>
      <c r="W222" s="33" t="s">
        <v>4681</v>
      </c>
      <c r="X222" s="33" t="s">
        <v>4194</v>
      </c>
      <c r="Y222" s="33" t="s">
        <v>4682</v>
      </c>
      <c r="Z222" s="33" t="s">
        <v>2048</v>
      </c>
      <c r="AA222" s="33" t="s">
        <v>2422</v>
      </c>
      <c r="AB222" s="33" t="s">
        <v>2049</v>
      </c>
      <c r="AC222" s="33" t="s">
        <v>2050</v>
      </c>
      <c r="AD222" s="33" t="s">
        <v>3690</v>
      </c>
      <c r="AE222" s="33" t="s">
        <v>3613</v>
      </c>
      <c r="AF222" s="33" t="s">
        <v>3614</v>
      </c>
      <c r="AG222" s="33" t="s">
        <v>200</v>
      </c>
      <c r="AH222" s="33" t="s">
        <v>3622</v>
      </c>
      <c r="AI222" s="33" t="s">
        <v>2132</v>
      </c>
      <c r="AJ222" s="33" t="s">
        <v>2133</v>
      </c>
      <c r="AK222" s="33" t="s">
        <v>2055</v>
      </c>
      <c r="AL222" s="33" t="s">
        <v>2055</v>
      </c>
      <c r="AM222" s="33" t="s">
        <v>2055</v>
      </c>
      <c r="AN222" s="33" t="s">
        <v>2068</v>
      </c>
      <c r="AO222" s="33" t="s">
        <v>2048</v>
      </c>
      <c r="AP222" s="33" t="s">
        <v>2048</v>
      </c>
      <c r="AQ222" s="33" t="s">
        <v>2048</v>
      </c>
      <c r="AR222" s="33" t="s">
        <v>2751</v>
      </c>
      <c r="AS222" s="33" t="s">
        <v>3776</v>
      </c>
      <c r="AT222" s="33" t="s">
        <v>2422</v>
      </c>
      <c r="AU222" s="33" t="s">
        <v>4683</v>
      </c>
      <c r="AV222" s="33" t="s">
        <v>3231</v>
      </c>
      <c r="AW222" s="33" t="s">
        <v>3232</v>
      </c>
      <c r="AX222" s="33" t="s">
        <v>2048</v>
      </c>
      <c r="AY222" s="33" t="s">
        <v>2430</v>
      </c>
      <c r="AZ222" s="33" t="s">
        <v>2431</v>
      </c>
      <c r="BA222" s="33" t="s">
        <v>3627</v>
      </c>
      <c r="BB222" s="33" t="s">
        <v>2048</v>
      </c>
      <c r="BC222" s="33" t="s">
        <v>190</v>
      </c>
      <c r="BD222" s="33" t="s">
        <v>194</v>
      </c>
      <c r="BE222" s="33" t="s">
        <v>2759</v>
      </c>
      <c r="BF222" s="33" t="s">
        <v>2048</v>
      </c>
      <c r="BG222" s="33" t="s">
        <v>2048</v>
      </c>
      <c r="BH222" s="33" t="s">
        <v>2433</v>
      </c>
      <c r="BI222" s="33" t="s">
        <v>2434</v>
      </c>
      <c r="BJ222" s="33" t="s">
        <v>2048</v>
      </c>
      <c r="BK222" s="33" t="s">
        <v>2048</v>
      </c>
      <c r="BL222" s="33" t="s">
        <v>2437</v>
      </c>
      <c r="BM222" s="33" t="s">
        <v>2287</v>
      </c>
      <c r="BN222" s="33" t="s">
        <v>2048</v>
      </c>
      <c r="BO222" s="33" t="s">
        <v>2048</v>
      </c>
      <c r="BP222" s="33" t="s">
        <v>2064</v>
      </c>
      <c r="BQ222" s="33" t="s">
        <v>72</v>
      </c>
      <c r="BR222" s="33" t="s">
        <v>72</v>
      </c>
      <c r="BS222" s="33" t="s">
        <v>2048</v>
      </c>
      <c r="BT222" s="33" t="s">
        <v>2986</v>
      </c>
      <c r="BU222" s="33" t="s">
        <v>2987</v>
      </c>
      <c r="BV222" s="33" t="s">
        <v>2418</v>
      </c>
      <c r="BW222" s="33" t="s">
        <v>2089</v>
      </c>
      <c r="BX222" s="33" t="s">
        <v>2048</v>
      </c>
      <c r="BY222" s="33" t="s">
        <v>2048</v>
      </c>
      <c r="BZ222" s="33" t="s">
        <v>2048</v>
      </c>
      <c r="CA222" s="33" t="s">
        <v>2048</v>
      </c>
      <c r="CB222" s="33" t="s">
        <v>72</v>
      </c>
      <c r="CC222" s="33" t="s">
        <v>2048</v>
      </c>
      <c r="CD222" s="33" t="s">
        <v>2048</v>
      </c>
      <c r="CE222" s="33" t="s">
        <v>2048</v>
      </c>
      <c r="CF222" s="33" t="s">
        <v>2048</v>
      </c>
      <c r="CG222" s="33" t="s">
        <v>2048</v>
      </c>
      <c r="CH222" s="33" t="s">
        <v>2048</v>
      </c>
      <c r="CI222" s="33" t="s">
        <v>2048</v>
      </c>
      <c r="CJ222" s="33" t="s">
        <v>2048</v>
      </c>
      <c r="CK222" s="33" t="s">
        <v>2057</v>
      </c>
      <c r="CL222" s="33" t="s">
        <v>2090</v>
      </c>
      <c r="CM222" s="33" t="s">
        <v>2048</v>
      </c>
      <c r="CN222" s="34"/>
      <c r="CO222" s="34">
        <v>44224</v>
      </c>
      <c r="CP222" s="34">
        <v>44224</v>
      </c>
      <c r="CR222" s="34">
        <v>45693</v>
      </c>
      <c r="CS222" s="1">
        <v>48</v>
      </c>
      <c r="CT222" s="1">
        <v>0</v>
      </c>
      <c r="CU222" s="1">
        <v>240.08</v>
      </c>
      <c r="CV222" s="1">
        <v>0</v>
      </c>
      <c r="CW222" s="1">
        <v>240.08</v>
      </c>
      <c r="CX222" s="1">
        <v>290.5</v>
      </c>
      <c r="CY222" s="1">
        <v>0</v>
      </c>
      <c r="CZ222" s="34"/>
      <c r="DA222" s="35">
        <v>440249</v>
      </c>
      <c r="DB222" s="34">
        <v>45777</v>
      </c>
      <c r="DC222" s="34"/>
      <c r="DD222" s="1">
        <v>0</v>
      </c>
      <c r="DE222" s="34"/>
      <c r="DF222" s="34"/>
      <c r="DG222" s="1">
        <v>100</v>
      </c>
      <c r="DH222" s="34"/>
      <c r="DI222" s="34">
        <v>46022</v>
      </c>
      <c r="DJ222" s="34"/>
      <c r="DK222" s="34"/>
      <c r="DL222" s="1">
        <v>0</v>
      </c>
      <c r="DM222" s="1">
        <v>0</v>
      </c>
    </row>
    <row r="223" spans="1:117" x14ac:dyDescent="0.2">
      <c r="A223" s="33" t="s">
        <v>3610</v>
      </c>
      <c r="B223" s="33" t="s">
        <v>934</v>
      </c>
      <c r="C223" s="33" t="s">
        <v>73</v>
      </c>
      <c r="D223" s="33" t="s">
        <v>200</v>
      </c>
      <c r="E223" s="33" t="s">
        <v>201</v>
      </c>
      <c r="F223" s="33" t="s">
        <v>76</v>
      </c>
      <c r="G223" s="34">
        <v>45685</v>
      </c>
      <c r="H223" s="33" t="s">
        <v>77</v>
      </c>
      <c r="I223" s="33" t="s">
        <v>78</v>
      </c>
      <c r="J223" s="33" t="s">
        <v>79</v>
      </c>
      <c r="K223" s="33" t="s">
        <v>924</v>
      </c>
      <c r="L223" s="33" t="s">
        <v>81</v>
      </c>
      <c r="M223" s="33" t="s">
        <v>82</v>
      </c>
      <c r="N223" s="48">
        <f>COUNTIF($M$3:M223, M223)</f>
        <v>16</v>
      </c>
      <c r="O223" s="48" t="str" cm="1">
        <f t="array" ref="O223">INDEX('[2]ALTA 20242025'!$B$2:$B$241, MATCH(1, ('[2]ALTA 20242025'!$I$2:$I$241=M223)*('[2]ALTA 20242025'!$J$2:$J$241=N223), 0))</f>
        <v>6492MWV</v>
      </c>
      <c r="P223" s="40"/>
      <c r="Q223" s="40"/>
      <c r="R223" s="33" t="s">
        <v>2048</v>
      </c>
      <c r="S223" s="33" t="s">
        <v>2048</v>
      </c>
      <c r="T223" s="33" t="s">
        <v>2048</v>
      </c>
      <c r="U223" s="33" t="s">
        <v>2048</v>
      </c>
      <c r="V223" s="33" t="s">
        <v>4192</v>
      </c>
      <c r="W223" s="33" t="s">
        <v>4684</v>
      </c>
      <c r="X223" s="33" t="s">
        <v>4383</v>
      </c>
      <c r="Y223" s="33" t="s">
        <v>4685</v>
      </c>
      <c r="Z223" s="33" t="s">
        <v>2048</v>
      </c>
      <c r="AA223" s="33" t="s">
        <v>2422</v>
      </c>
      <c r="AB223" s="33" t="s">
        <v>2049</v>
      </c>
      <c r="AC223" s="33" t="s">
        <v>2050</v>
      </c>
      <c r="AD223" s="33" t="s">
        <v>3612</v>
      </c>
      <c r="AE223" s="33" t="s">
        <v>3613</v>
      </c>
      <c r="AF223" s="33" t="s">
        <v>3614</v>
      </c>
      <c r="AG223" s="33" t="s">
        <v>200</v>
      </c>
      <c r="AH223" s="33" t="s">
        <v>3622</v>
      </c>
      <c r="AI223" s="33" t="s">
        <v>2411</v>
      </c>
      <c r="AJ223" s="33" t="s">
        <v>2412</v>
      </c>
      <c r="AK223" s="33" t="s">
        <v>2055</v>
      </c>
      <c r="AL223" s="33" t="s">
        <v>2055</v>
      </c>
      <c r="AM223" s="33" t="s">
        <v>2055</v>
      </c>
      <c r="AN223" s="33" t="s">
        <v>2068</v>
      </c>
      <c r="AO223" s="33" t="s">
        <v>2048</v>
      </c>
      <c r="AP223" s="33" t="s">
        <v>2048</v>
      </c>
      <c r="AQ223" s="33" t="s">
        <v>2048</v>
      </c>
      <c r="AR223" s="33" t="s">
        <v>2207</v>
      </c>
      <c r="AS223" s="33" t="s">
        <v>3776</v>
      </c>
      <c r="AT223" s="33" t="s">
        <v>2422</v>
      </c>
      <c r="AU223" s="33" t="s">
        <v>4686</v>
      </c>
      <c r="AV223" s="33" t="s">
        <v>2521</v>
      </c>
      <c r="AW223" s="33" t="s">
        <v>2522</v>
      </c>
      <c r="AX223" s="33" t="s">
        <v>2048</v>
      </c>
      <c r="AY223" s="33" t="s">
        <v>2268</v>
      </c>
      <c r="AZ223" s="33" t="s">
        <v>2269</v>
      </c>
      <c r="BA223" s="33" t="s">
        <v>3627</v>
      </c>
      <c r="BB223" s="33" t="s">
        <v>2048</v>
      </c>
      <c r="BC223" s="33" t="s">
        <v>81</v>
      </c>
      <c r="BD223" s="33" t="s">
        <v>174</v>
      </c>
      <c r="BE223" s="33" t="s">
        <v>2493</v>
      </c>
      <c r="BF223" s="33" t="s">
        <v>2048</v>
      </c>
      <c r="BG223" s="33" t="s">
        <v>2048</v>
      </c>
      <c r="BH223" s="33" t="s">
        <v>2271</v>
      </c>
      <c r="BI223" s="33" t="s">
        <v>2272</v>
      </c>
      <c r="BJ223" s="33" t="s">
        <v>2271</v>
      </c>
      <c r="BK223" s="33" t="s">
        <v>2272</v>
      </c>
      <c r="BL223" s="33" t="s">
        <v>2273</v>
      </c>
      <c r="BM223" s="33" t="s">
        <v>2218</v>
      </c>
      <c r="BN223" s="33" t="s">
        <v>2048</v>
      </c>
      <c r="BO223" s="33" t="s">
        <v>2518</v>
      </c>
      <c r="BP223" s="33" t="s">
        <v>2064</v>
      </c>
      <c r="BQ223" s="33" t="s">
        <v>72</v>
      </c>
      <c r="BR223" s="33" t="s">
        <v>72</v>
      </c>
      <c r="BS223" s="33" t="s">
        <v>2048</v>
      </c>
      <c r="BT223" s="33" t="s">
        <v>2219</v>
      </c>
      <c r="BU223" s="33" t="s">
        <v>2220</v>
      </c>
      <c r="BV223" s="33" t="s">
        <v>2418</v>
      </c>
      <c r="BW223" s="33" t="s">
        <v>2089</v>
      </c>
      <c r="BX223" s="33" t="s">
        <v>2048</v>
      </c>
      <c r="BY223" s="33" t="s">
        <v>2048</v>
      </c>
      <c r="BZ223" s="33" t="s">
        <v>2048</v>
      </c>
      <c r="CA223" s="33" t="s">
        <v>2048</v>
      </c>
      <c r="CB223" s="33" t="s">
        <v>72</v>
      </c>
      <c r="CC223" s="33" t="s">
        <v>2048</v>
      </c>
      <c r="CD223" s="33" t="s">
        <v>2048</v>
      </c>
      <c r="CE223" s="33" t="s">
        <v>2048</v>
      </c>
      <c r="CF223" s="33" t="s">
        <v>2048</v>
      </c>
      <c r="CG223" s="33" t="s">
        <v>2048</v>
      </c>
      <c r="CH223" s="33" t="s">
        <v>2048</v>
      </c>
      <c r="CI223" s="33" t="s">
        <v>2048</v>
      </c>
      <c r="CJ223" s="33" t="s">
        <v>2048</v>
      </c>
      <c r="CK223" s="33" t="s">
        <v>2057</v>
      </c>
      <c r="CL223" s="33" t="s">
        <v>2090</v>
      </c>
      <c r="CM223" s="33" t="s">
        <v>2048</v>
      </c>
      <c r="CN223" s="34"/>
      <c r="CO223" s="34">
        <v>44224</v>
      </c>
      <c r="CP223" s="34">
        <v>44224</v>
      </c>
      <c r="CR223" s="34">
        <v>45751</v>
      </c>
      <c r="CS223" s="1">
        <v>48</v>
      </c>
      <c r="CT223" s="1">
        <v>0</v>
      </c>
      <c r="CU223" s="1">
        <v>216.27</v>
      </c>
      <c r="CV223" s="1">
        <v>0</v>
      </c>
      <c r="CW223" s="1">
        <v>216.27</v>
      </c>
      <c r="CX223" s="1">
        <v>261.69</v>
      </c>
      <c r="CY223" s="1">
        <v>0</v>
      </c>
      <c r="CZ223" s="34"/>
      <c r="DA223" s="35">
        <v>73330</v>
      </c>
      <c r="DB223" s="34">
        <v>45716</v>
      </c>
      <c r="DC223" s="34">
        <v>46378</v>
      </c>
      <c r="DD223" s="1">
        <v>0</v>
      </c>
      <c r="DE223" s="34"/>
      <c r="DF223" s="34"/>
      <c r="DG223" s="1">
        <v>100</v>
      </c>
      <c r="DH223" s="34"/>
      <c r="DI223" s="34">
        <v>46022</v>
      </c>
      <c r="DJ223" s="34"/>
      <c r="DK223" s="34"/>
      <c r="DL223" s="1">
        <v>0</v>
      </c>
      <c r="DM223" s="1">
        <v>0</v>
      </c>
    </row>
    <row r="224" spans="1:117" x14ac:dyDescent="0.2">
      <c r="A224" s="167" t="s">
        <v>3610</v>
      </c>
      <c r="B224" s="167" t="s">
        <v>1386</v>
      </c>
      <c r="C224" s="167" t="s">
        <v>73</v>
      </c>
      <c r="D224" s="167" t="s">
        <v>200</v>
      </c>
      <c r="E224" s="167" t="s">
        <v>201</v>
      </c>
      <c r="F224" s="167" t="s">
        <v>76</v>
      </c>
      <c r="G224" s="168">
        <v>45687</v>
      </c>
      <c r="H224" s="167" t="s">
        <v>77</v>
      </c>
      <c r="I224" s="167" t="s">
        <v>78</v>
      </c>
      <c r="J224" s="167" t="s">
        <v>359</v>
      </c>
      <c r="K224" s="167" t="s">
        <v>1387</v>
      </c>
      <c r="L224" s="167" t="s">
        <v>119</v>
      </c>
      <c r="M224" s="167" t="s">
        <v>120</v>
      </c>
      <c r="N224" s="169">
        <f>COUNTIF($M$3:M224, M224)</f>
        <v>31</v>
      </c>
      <c r="O224" s="169" t="e" cm="1">
        <f t="array" ref="O224">INDEX('[2]ALTA 20242025'!$B$2:$B$241, MATCH(1, ('[2]ALTA 20242025'!$I$2:$I$241=M224)*('[2]ALTA 20242025'!$J$2:$J$241=N224), 0))</f>
        <v>#N/A</v>
      </c>
      <c r="P224" s="169"/>
      <c r="Q224" s="169"/>
      <c r="R224" s="167" t="s">
        <v>584</v>
      </c>
      <c r="S224" s="167" t="s">
        <v>585</v>
      </c>
      <c r="T224" s="167" t="s">
        <v>2048</v>
      </c>
      <c r="U224" s="167" t="s">
        <v>2048</v>
      </c>
      <c r="V224" s="167" t="s">
        <v>3620</v>
      </c>
      <c r="W224" s="167" t="s">
        <v>4687</v>
      </c>
      <c r="X224" s="167" t="s">
        <v>3845</v>
      </c>
      <c r="Y224" s="167" t="s">
        <v>4688</v>
      </c>
      <c r="Z224" s="167" t="s">
        <v>2048</v>
      </c>
      <c r="AA224" s="167" t="s">
        <v>2422</v>
      </c>
      <c r="AB224" s="167" t="s">
        <v>2049</v>
      </c>
      <c r="AC224" s="167" t="s">
        <v>2050</v>
      </c>
      <c r="AD224" s="167" t="s">
        <v>3725</v>
      </c>
      <c r="AE224" s="167" t="s">
        <v>3613</v>
      </c>
      <c r="AF224" s="167" t="s">
        <v>3614</v>
      </c>
      <c r="AG224" s="167" t="s">
        <v>200</v>
      </c>
      <c r="AH224" s="167" t="s">
        <v>3622</v>
      </c>
      <c r="AI224" s="167" t="s">
        <v>3472</v>
      </c>
      <c r="AJ224" s="167" t="s">
        <v>3821</v>
      </c>
      <c r="AK224" s="167" t="s">
        <v>2055</v>
      </c>
      <c r="AL224" s="167" t="s">
        <v>2055</v>
      </c>
      <c r="AM224" s="167" t="s">
        <v>2055</v>
      </c>
      <c r="AN224" s="167" t="s">
        <v>2068</v>
      </c>
      <c r="AO224" s="167" t="s">
        <v>2048</v>
      </c>
      <c r="AP224" s="167" t="s">
        <v>2048</v>
      </c>
      <c r="AQ224" s="167" t="s">
        <v>2048</v>
      </c>
      <c r="AR224" s="167" t="s">
        <v>4689</v>
      </c>
      <c r="AS224" s="167" t="s">
        <v>3623</v>
      </c>
      <c r="AT224" s="167" t="s">
        <v>2422</v>
      </c>
      <c r="AU224" s="167" t="s">
        <v>768</v>
      </c>
      <c r="AV224" s="167" t="s">
        <v>4037</v>
      </c>
      <c r="AW224" s="167" t="s">
        <v>4038</v>
      </c>
      <c r="AX224" s="167" t="s">
        <v>2048</v>
      </c>
      <c r="AY224" s="167" t="s">
        <v>4037</v>
      </c>
      <c r="AZ224" s="167" t="s">
        <v>4038</v>
      </c>
      <c r="BA224" s="167" t="s">
        <v>2048</v>
      </c>
      <c r="BB224" s="167" t="s">
        <v>2048</v>
      </c>
      <c r="BC224" s="167" t="s">
        <v>119</v>
      </c>
      <c r="BD224" s="167" t="s">
        <v>770</v>
      </c>
      <c r="BE224" s="167" t="s">
        <v>4039</v>
      </c>
      <c r="BF224" s="167" t="s">
        <v>2048</v>
      </c>
      <c r="BG224" s="167" t="s">
        <v>2048</v>
      </c>
      <c r="BH224" s="167" t="s">
        <v>2433</v>
      </c>
      <c r="BI224" s="167" t="s">
        <v>2434</v>
      </c>
      <c r="BJ224" s="167" t="s">
        <v>3018</v>
      </c>
      <c r="BK224" s="167" t="s">
        <v>3019</v>
      </c>
      <c r="BL224" s="167" t="s">
        <v>4040</v>
      </c>
      <c r="BM224" s="167" t="s">
        <v>2287</v>
      </c>
      <c r="BN224" s="167" t="s">
        <v>2048</v>
      </c>
      <c r="BO224" s="167" t="s">
        <v>2048</v>
      </c>
      <c r="BP224" s="167" t="s">
        <v>2064</v>
      </c>
      <c r="BQ224" s="167" t="s">
        <v>72</v>
      </c>
      <c r="BR224" s="167" t="s">
        <v>72</v>
      </c>
      <c r="BS224" s="167" t="s">
        <v>2048</v>
      </c>
      <c r="BT224" s="167" t="s">
        <v>4041</v>
      </c>
      <c r="BU224" s="167" t="s">
        <v>4042</v>
      </c>
      <c r="BV224" s="167" t="s">
        <v>2331</v>
      </c>
      <c r="BW224" s="167" t="s">
        <v>2131</v>
      </c>
      <c r="BX224" s="167" t="s">
        <v>2048</v>
      </c>
      <c r="BY224" s="167" t="s">
        <v>2048</v>
      </c>
      <c r="BZ224" s="167" t="s">
        <v>2048</v>
      </c>
      <c r="CA224" s="167" t="s">
        <v>2048</v>
      </c>
      <c r="CB224" s="167" t="s">
        <v>72</v>
      </c>
      <c r="CC224" s="167" t="s">
        <v>2048</v>
      </c>
      <c r="CD224" s="167" t="s">
        <v>72</v>
      </c>
      <c r="CE224" s="167" t="s">
        <v>2048</v>
      </c>
      <c r="CF224" s="167" t="s">
        <v>2048</v>
      </c>
      <c r="CG224" s="167" t="s">
        <v>2048</v>
      </c>
      <c r="CH224" s="167" t="s">
        <v>2048</v>
      </c>
      <c r="CI224" s="167" t="s">
        <v>2048</v>
      </c>
      <c r="CJ224" s="167" t="s">
        <v>2048</v>
      </c>
      <c r="CK224" s="167" t="s">
        <v>3603</v>
      </c>
      <c r="CL224" s="167" t="s">
        <v>3604</v>
      </c>
      <c r="CM224" s="167" t="s">
        <v>2048</v>
      </c>
      <c r="CN224" s="168">
        <v>45383</v>
      </c>
      <c r="CO224" s="168">
        <v>43860</v>
      </c>
      <c r="CP224" s="168">
        <v>43860</v>
      </c>
      <c r="CQ224" s="170"/>
      <c r="CR224" s="168">
        <v>45798</v>
      </c>
      <c r="CS224" s="170">
        <v>60</v>
      </c>
      <c r="CT224" s="170">
        <v>0</v>
      </c>
      <c r="CU224" s="170">
        <v>345.03</v>
      </c>
      <c r="CV224" s="170">
        <v>0</v>
      </c>
      <c r="CW224" s="170">
        <v>345.03</v>
      </c>
      <c r="CX224" s="170">
        <v>417.49</v>
      </c>
      <c r="CY224" s="170">
        <v>0</v>
      </c>
      <c r="CZ224" s="168"/>
      <c r="DA224" s="170">
        <v>0</v>
      </c>
      <c r="DB224" s="168"/>
      <c r="DC224" s="168"/>
      <c r="DD224" s="170">
        <v>0</v>
      </c>
      <c r="DE224" s="168"/>
      <c r="DF224" s="168"/>
      <c r="DG224" s="170">
        <v>100</v>
      </c>
      <c r="DH224" s="168"/>
      <c r="DI224" s="168">
        <v>46022</v>
      </c>
      <c r="DJ224" s="168"/>
      <c r="DK224" s="168"/>
      <c r="DL224" s="170">
        <v>0</v>
      </c>
      <c r="DM224" s="170">
        <v>0</v>
      </c>
    </row>
    <row r="225" spans="1:117" x14ac:dyDescent="0.2">
      <c r="A225" s="33" t="s">
        <v>3610</v>
      </c>
      <c r="B225" s="33" t="s">
        <v>953</v>
      </c>
      <c r="C225" s="33" t="s">
        <v>73</v>
      </c>
      <c r="D225" s="33" t="s">
        <v>200</v>
      </c>
      <c r="E225" s="33" t="s">
        <v>201</v>
      </c>
      <c r="F225" s="33" t="s">
        <v>160</v>
      </c>
      <c r="G225" s="34">
        <v>45689</v>
      </c>
      <c r="H225" s="33" t="s">
        <v>161</v>
      </c>
      <c r="I225" s="33" t="s">
        <v>78</v>
      </c>
      <c r="J225" s="33" t="s">
        <v>79</v>
      </c>
      <c r="K225" s="33" t="s">
        <v>924</v>
      </c>
      <c r="L225" s="33" t="s">
        <v>190</v>
      </c>
      <c r="M225" s="33" t="s">
        <v>191</v>
      </c>
      <c r="N225" s="93">
        <f>COUNTIF($M$3:M225, M225)</f>
        <v>10</v>
      </c>
      <c r="O225" s="93" t="str" cm="1">
        <f t="array" ref="O225">INDEX('[2]ALTA 20242025'!$B$2:$B$241, MATCH(1, ('[2]ALTA 20242025'!$I$2:$I$241=M225)*('[2]ALTA 20242025'!$J$2:$J$241=N225), 0))</f>
        <v>8387MXG</v>
      </c>
      <c r="P225" s="40"/>
      <c r="Q225" s="40"/>
      <c r="R225" s="33" t="s">
        <v>2048</v>
      </c>
      <c r="S225" s="33" t="s">
        <v>2048</v>
      </c>
      <c r="T225" s="33" t="s">
        <v>2048</v>
      </c>
      <c r="U225" s="33" t="s">
        <v>2048</v>
      </c>
      <c r="V225" s="33" t="s">
        <v>4192</v>
      </c>
      <c r="W225" s="33" t="s">
        <v>4690</v>
      </c>
      <c r="X225" s="33" t="s">
        <v>4194</v>
      </c>
      <c r="Y225" s="33" t="s">
        <v>4691</v>
      </c>
      <c r="Z225" s="33" t="s">
        <v>2048</v>
      </c>
      <c r="AA225" s="33" t="s">
        <v>2422</v>
      </c>
      <c r="AB225" s="33" t="s">
        <v>2049</v>
      </c>
      <c r="AC225" s="33" t="s">
        <v>2050</v>
      </c>
      <c r="AD225" s="33" t="s">
        <v>4429</v>
      </c>
      <c r="AE225" s="33" t="s">
        <v>3613</v>
      </c>
      <c r="AF225" s="33" t="s">
        <v>3614</v>
      </c>
      <c r="AG225" s="33" t="s">
        <v>2048</v>
      </c>
      <c r="AH225" s="33" t="s">
        <v>2048</v>
      </c>
      <c r="AI225" s="33" t="s">
        <v>2132</v>
      </c>
      <c r="AJ225" s="33" t="s">
        <v>2133</v>
      </c>
      <c r="AK225" s="33" t="s">
        <v>2056</v>
      </c>
      <c r="AL225" s="33" t="s">
        <v>2055</v>
      </c>
      <c r="AM225" s="33" t="s">
        <v>2055</v>
      </c>
      <c r="AN225" s="33" t="s">
        <v>2068</v>
      </c>
      <c r="AO225" s="33" t="s">
        <v>2048</v>
      </c>
      <c r="AP225" s="33" t="s">
        <v>2048</v>
      </c>
      <c r="AQ225" s="33" t="s">
        <v>4196</v>
      </c>
      <c r="AR225" s="33" t="s">
        <v>2756</v>
      </c>
      <c r="AS225" s="33" t="s">
        <v>3776</v>
      </c>
      <c r="AT225" s="33" t="s">
        <v>3191</v>
      </c>
      <c r="AU225" s="33" t="s">
        <v>4692</v>
      </c>
      <c r="AV225" s="33" t="s">
        <v>4693</v>
      </c>
      <c r="AW225" s="33" t="s">
        <v>4694</v>
      </c>
      <c r="AX225" s="33" t="s">
        <v>72</v>
      </c>
      <c r="AY225" s="33" t="s">
        <v>2430</v>
      </c>
      <c r="AZ225" s="33" t="s">
        <v>2431</v>
      </c>
      <c r="BA225" s="33" t="s">
        <v>3627</v>
      </c>
      <c r="BB225" s="33" t="s">
        <v>2048</v>
      </c>
      <c r="BC225" s="33" t="s">
        <v>190</v>
      </c>
      <c r="BD225" s="33" t="s">
        <v>194</v>
      </c>
      <c r="BE225" s="33" t="s">
        <v>2759</v>
      </c>
      <c r="BF225" s="33" t="s">
        <v>2048</v>
      </c>
      <c r="BG225" s="33" t="s">
        <v>2048</v>
      </c>
      <c r="BH225" s="33" t="s">
        <v>2433</v>
      </c>
      <c r="BI225" s="33" t="s">
        <v>2434</v>
      </c>
      <c r="BJ225" s="33" t="s">
        <v>2048</v>
      </c>
      <c r="BK225" s="33" t="s">
        <v>2048</v>
      </c>
      <c r="BL225" s="33" t="s">
        <v>2437</v>
      </c>
      <c r="BM225" s="33" t="s">
        <v>2287</v>
      </c>
      <c r="BN225" s="33" t="s">
        <v>2048</v>
      </c>
      <c r="BO225" s="33" t="s">
        <v>2518</v>
      </c>
      <c r="BP225" s="33" t="s">
        <v>2064</v>
      </c>
      <c r="BQ225" s="33" t="s">
        <v>72</v>
      </c>
      <c r="BR225" s="33" t="s">
        <v>72</v>
      </c>
      <c r="BS225" s="33" t="s">
        <v>4695</v>
      </c>
      <c r="BT225" s="33" t="s">
        <v>3950</v>
      </c>
      <c r="BU225" s="33" t="s">
        <v>2762</v>
      </c>
      <c r="BV225" s="33" t="s">
        <v>2418</v>
      </c>
      <c r="BW225" s="33" t="s">
        <v>2089</v>
      </c>
      <c r="BX225" s="33" t="s">
        <v>2048</v>
      </c>
      <c r="BY225" s="33" t="s">
        <v>2048</v>
      </c>
      <c r="BZ225" s="33" t="s">
        <v>2048</v>
      </c>
      <c r="CA225" s="33" t="s">
        <v>2048</v>
      </c>
      <c r="CB225" s="33" t="s">
        <v>72</v>
      </c>
      <c r="CC225" s="33" t="s">
        <v>2048</v>
      </c>
      <c r="CD225" s="33" t="s">
        <v>2048</v>
      </c>
      <c r="CE225" s="33" t="s">
        <v>2048</v>
      </c>
      <c r="CF225" s="33" t="s">
        <v>2048</v>
      </c>
      <c r="CG225" s="33" t="s">
        <v>2048</v>
      </c>
      <c r="CH225" s="33" t="s">
        <v>2048</v>
      </c>
      <c r="CI225" s="33" t="s">
        <v>2048</v>
      </c>
      <c r="CJ225" s="33" t="s">
        <v>2048</v>
      </c>
      <c r="CK225" s="33" t="s">
        <v>2057</v>
      </c>
      <c r="CL225" s="33" t="s">
        <v>2090</v>
      </c>
      <c r="CM225" s="33" t="s">
        <v>2048</v>
      </c>
      <c r="CN225" s="34"/>
      <c r="CO225" s="34">
        <v>44228</v>
      </c>
      <c r="CP225" s="34">
        <v>44228</v>
      </c>
      <c r="CR225" s="34">
        <v>45119</v>
      </c>
      <c r="CS225" s="1">
        <v>48</v>
      </c>
      <c r="CT225" s="1">
        <v>0</v>
      </c>
      <c r="CU225" s="1">
        <v>334.48</v>
      </c>
      <c r="CV225" s="1">
        <v>0</v>
      </c>
      <c r="CW225" s="1">
        <v>334.48</v>
      </c>
      <c r="CX225" s="1">
        <v>404.72</v>
      </c>
      <c r="CY225" s="1">
        <v>0</v>
      </c>
      <c r="CZ225" s="34"/>
      <c r="DA225" s="35">
        <v>64245</v>
      </c>
      <c r="DB225" s="34">
        <v>45504</v>
      </c>
      <c r="DC225" s="34"/>
      <c r="DD225" s="1">
        <v>0</v>
      </c>
      <c r="DE225" s="34"/>
      <c r="DF225" s="34"/>
      <c r="DG225" s="1">
        <v>100</v>
      </c>
      <c r="DH225" s="34"/>
      <c r="DI225" s="34">
        <v>46022</v>
      </c>
      <c r="DJ225" s="34"/>
      <c r="DK225" s="34"/>
      <c r="DL225" s="1">
        <v>0</v>
      </c>
      <c r="DM225" s="1">
        <v>0</v>
      </c>
    </row>
    <row r="226" spans="1:117" x14ac:dyDescent="0.2">
      <c r="A226" s="33" t="s">
        <v>3610</v>
      </c>
      <c r="B226" s="33" t="s">
        <v>229</v>
      </c>
      <c r="C226" s="33" t="s">
        <v>73</v>
      </c>
      <c r="D226" s="33" t="s">
        <v>200</v>
      </c>
      <c r="E226" s="33" t="s">
        <v>201</v>
      </c>
      <c r="F226" s="33" t="s">
        <v>76</v>
      </c>
      <c r="G226" s="34">
        <v>45689</v>
      </c>
      <c r="H226" s="33" t="s">
        <v>77</v>
      </c>
      <c r="I226" s="33" t="s">
        <v>71</v>
      </c>
      <c r="J226" s="33" t="s">
        <v>213</v>
      </c>
      <c r="K226" s="33" t="s">
        <v>214</v>
      </c>
      <c r="L226" s="33" t="s">
        <v>204</v>
      </c>
      <c r="M226" s="33" t="s">
        <v>205</v>
      </c>
      <c r="N226" s="16">
        <f>COUNTIF($M$3:M226, M226)</f>
        <v>10</v>
      </c>
      <c r="O226" s="16" t="str" cm="1">
        <f t="array" ref="O226">INDEX('[2]ALTA 20242025'!$B$2:$B$241, MATCH(1, ('[2]ALTA 20242025'!$I$2:$I$241=M226)*('[2]ALTA 20242025'!$J$2:$J$241=N226), 0))</f>
        <v>0213MWZ</v>
      </c>
      <c r="P226" s="40"/>
      <c r="Q226" s="40"/>
      <c r="R226" s="33" t="s">
        <v>2048</v>
      </c>
      <c r="S226" s="33" t="s">
        <v>2048</v>
      </c>
      <c r="T226" s="33" t="s">
        <v>2048</v>
      </c>
      <c r="U226" s="33" t="s">
        <v>2048</v>
      </c>
      <c r="V226" s="33" t="s">
        <v>4192</v>
      </c>
      <c r="W226" s="33" t="s">
        <v>4696</v>
      </c>
      <c r="X226" s="33" t="s">
        <v>3723</v>
      </c>
      <c r="Y226" s="33" t="s">
        <v>4697</v>
      </c>
      <c r="Z226" s="33" t="s">
        <v>2048</v>
      </c>
      <c r="AA226" s="33" t="s">
        <v>2422</v>
      </c>
      <c r="AB226" s="33" t="s">
        <v>2049</v>
      </c>
      <c r="AC226" s="33" t="s">
        <v>2050</v>
      </c>
      <c r="AD226" s="33" t="s">
        <v>3725</v>
      </c>
      <c r="AE226" s="33" t="s">
        <v>3613</v>
      </c>
      <c r="AF226" s="33" t="s">
        <v>3614</v>
      </c>
      <c r="AG226" s="33" t="s">
        <v>2048</v>
      </c>
      <c r="AH226" s="33" t="s">
        <v>2048</v>
      </c>
      <c r="AI226" s="33" t="s">
        <v>2132</v>
      </c>
      <c r="AJ226" s="33" t="s">
        <v>2133</v>
      </c>
      <c r="AK226" s="33" t="s">
        <v>2055</v>
      </c>
      <c r="AL226" s="33" t="s">
        <v>2055</v>
      </c>
      <c r="AM226" s="33" t="s">
        <v>2055</v>
      </c>
      <c r="AN226" s="33" t="s">
        <v>3714</v>
      </c>
      <c r="AO226" s="33" t="s">
        <v>2048</v>
      </c>
      <c r="AP226" s="33" t="s">
        <v>2048</v>
      </c>
      <c r="AQ226" s="33" t="s">
        <v>2048</v>
      </c>
      <c r="AR226" s="33" t="s">
        <v>2318</v>
      </c>
      <c r="AS226" s="33" t="s">
        <v>3776</v>
      </c>
      <c r="AT226" s="33" t="s">
        <v>2422</v>
      </c>
      <c r="AU226" s="33" t="s">
        <v>4698</v>
      </c>
      <c r="AV226" s="33" t="s">
        <v>2060</v>
      </c>
      <c r="AW226" s="33" t="s">
        <v>2048</v>
      </c>
      <c r="AX226" s="33" t="s">
        <v>72</v>
      </c>
      <c r="AY226" s="33" t="s">
        <v>2376</v>
      </c>
      <c r="AZ226" s="33" t="s">
        <v>2377</v>
      </c>
      <c r="BA226" s="33" t="s">
        <v>2048</v>
      </c>
      <c r="BB226" s="33" t="s">
        <v>2048</v>
      </c>
      <c r="BC226" s="33" t="s">
        <v>204</v>
      </c>
      <c r="BD226" s="33" t="s">
        <v>230</v>
      </c>
      <c r="BE226" s="33" t="s">
        <v>2378</v>
      </c>
      <c r="BF226" s="33" t="s">
        <v>2048</v>
      </c>
      <c r="BG226" s="33" t="s">
        <v>2048</v>
      </c>
      <c r="BH226" s="33" t="s">
        <v>2379</v>
      </c>
      <c r="BI226" s="33" t="s">
        <v>2380</v>
      </c>
      <c r="BJ226" s="33" t="s">
        <v>2048</v>
      </c>
      <c r="BK226" s="33" t="s">
        <v>2048</v>
      </c>
      <c r="BL226" s="33" t="s">
        <v>2381</v>
      </c>
      <c r="BM226" s="33" t="s">
        <v>2382</v>
      </c>
      <c r="BN226" s="33" t="s">
        <v>2048</v>
      </c>
      <c r="BO226" s="33" t="s">
        <v>2048</v>
      </c>
      <c r="BP226" s="33" t="s">
        <v>2064</v>
      </c>
      <c r="BQ226" s="33" t="s">
        <v>72</v>
      </c>
      <c r="BR226" s="33" t="s">
        <v>72</v>
      </c>
      <c r="BS226" s="33" t="s">
        <v>2048</v>
      </c>
      <c r="BT226" s="33" t="s">
        <v>2048</v>
      </c>
      <c r="BU226" s="33" t="s">
        <v>2048</v>
      </c>
      <c r="BV226" s="33" t="s">
        <v>2331</v>
      </c>
      <c r="BW226" s="33" t="s">
        <v>2131</v>
      </c>
      <c r="BX226" s="33" t="s">
        <v>2048</v>
      </c>
      <c r="BY226" s="33" t="s">
        <v>2048</v>
      </c>
      <c r="BZ226" s="33" t="s">
        <v>2048</v>
      </c>
      <c r="CA226" s="33" t="s">
        <v>2048</v>
      </c>
      <c r="CB226" s="33" t="s">
        <v>72</v>
      </c>
      <c r="CC226" s="33" t="s">
        <v>2048</v>
      </c>
      <c r="CD226" s="33" t="s">
        <v>2048</v>
      </c>
      <c r="CE226" s="33" t="s">
        <v>2048</v>
      </c>
      <c r="CF226" s="33" t="s">
        <v>2048</v>
      </c>
      <c r="CG226" s="33" t="s">
        <v>2048</v>
      </c>
      <c r="CH226" s="33" t="s">
        <v>2048</v>
      </c>
      <c r="CI226" s="33" t="s">
        <v>2048</v>
      </c>
      <c r="CJ226" s="33" t="s">
        <v>2048</v>
      </c>
      <c r="CK226" s="33" t="s">
        <v>2068</v>
      </c>
      <c r="CL226" s="33" t="s">
        <v>2069</v>
      </c>
      <c r="CM226" s="33" t="s">
        <v>2048</v>
      </c>
      <c r="CN226" s="34"/>
      <c r="CO226" s="34">
        <v>44224</v>
      </c>
      <c r="CP226" s="34">
        <v>44224</v>
      </c>
      <c r="CR226" s="34">
        <v>45671</v>
      </c>
      <c r="CS226" s="1">
        <v>48</v>
      </c>
      <c r="CT226" s="1">
        <v>0</v>
      </c>
      <c r="CU226" s="1">
        <v>196.44</v>
      </c>
      <c r="CV226" s="1">
        <v>0</v>
      </c>
      <c r="CW226" s="1">
        <v>196.44</v>
      </c>
      <c r="CX226" s="1">
        <v>237.69</v>
      </c>
      <c r="CY226" s="1">
        <v>0</v>
      </c>
      <c r="CZ226" s="34"/>
      <c r="DA226" s="1">
        <v>0</v>
      </c>
      <c r="DB226" s="34"/>
      <c r="DC226" s="34"/>
      <c r="DD226" s="1">
        <v>0</v>
      </c>
      <c r="DE226" s="34"/>
      <c r="DF226" s="34"/>
      <c r="DG226" s="1">
        <v>100</v>
      </c>
      <c r="DH226" s="34"/>
      <c r="DI226" s="34">
        <v>46022</v>
      </c>
      <c r="DJ226" s="34"/>
      <c r="DK226" s="34"/>
      <c r="DL226" s="1">
        <v>0</v>
      </c>
      <c r="DM226" s="1">
        <v>0</v>
      </c>
    </row>
    <row r="227" spans="1:117" x14ac:dyDescent="0.2">
      <c r="A227" s="33" t="s">
        <v>3610</v>
      </c>
      <c r="B227" s="33" t="s">
        <v>959</v>
      </c>
      <c r="C227" s="33" t="s">
        <v>73</v>
      </c>
      <c r="D227" s="33" t="s">
        <v>200</v>
      </c>
      <c r="E227" s="33" t="s">
        <v>201</v>
      </c>
      <c r="F227" s="33" t="s">
        <v>160</v>
      </c>
      <c r="G227" s="34">
        <v>45689</v>
      </c>
      <c r="H227" s="33" t="s">
        <v>161</v>
      </c>
      <c r="I227" s="33" t="s">
        <v>78</v>
      </c>
      <c r="J227" s="33" t="s">
        <v>79</v>
      </c>
      <c r="K227" s="33" t="s">
        <v>924</v>
      </c>
      <c r="L227" s="33" t="s">
        <v>960</v>
      </c>
      <c r="M227" s="33" t="s">
        <v>961</v>
      </c>
      <c r="N227" s="16">
        <f>COUNTIF($M$3:M227, M227)</f>
        <v>2</v>
      </c>
      <c r="O227" s="16" t="str" cm="1">
        <f t="array" ref="O227">INDEX('[2]ALTA 20242025'!$B$2:$B$241, MATCH(1, ('[2]ALTA 20242025'!$I$2:$I$241=M227)*('[2]ALTA 20242025'!$J$2:$J$241=N227), 0))</f>
        <v>0677MWF</v>
      </c>
      <c r="P227" s="40"/>
      <c r="Q227" s="40"/>
      <c r="R227" s="33" t="s">
        <v>190</v>
      </c>
      <c r="S227" s="33" t="s">
        <v>191</v>
      </c>
      <c r="T227" s="33" t="s">
        <v>2048</v>
      </c>
      <c r="U227" s="33" t="s">
        <v>2048</v>
      </c>
      <c r="V227" s="33" t="s">
        <v>4192</v>
      </c>
      <c r="W227" s="33" t="s">
        <v>4699</v>
      </c>
      <c r="X227" s="33" t="s">
        <v>4194</v>
      </c>
      <c r="Y227" s="33" t="s">
        <v>4700</v>
      </c>
      <c r="Z227" s="33" t="s">
        <v>2048</v>
      </c>
      <c r="AA227" s="33" t="s">
        <v>2422</v>
      </c>
      <c r="AB227" s="33" t="s">
        <v>2049</v>
      </c>
      <c r="AC227" s="33" t="s">
        <v>2050</v>
      </c>
      <c r="AD227" s="33" t="s">
        <v>3788</v>
      </c>
      <c r="AE227" s="33" t="s">
        <v>3613</v>
      </c>
      <c r="AF227" s="33" t="s">
        <v>3614</v>
      </c>
      <c r="AG227" s="33" t="s">
        <v>2048</v>
      </c>
      <c r="AH227" s="33" t="s">
        <v>2048</v>
      </c>
      <c r="AI227" s="33" t="s">
        <v>2132</v>
      </c>
      <c r="AJ227" s="33" t="s">
        <v>2133</v>
      </c>
      <c r="AK227" s="33" t="s">
        <v>2055</v>
      </c>
      <c r="AL227" s="33" t="s">
        <v>2055</v>
      </c>
      <c r="AM227" s="33" t="s">
        <v>2055</v>
      </c>
      <c r="AN227" s="33" t="s">
        <v>2068</v>
      </c>
      <c r="AO227" s="33" t="s">
        <v>2048</v>
      </c>
      <c r="AP227" s="33" t="s">
        <v>2048</v>
      </c>
      <c r="AQ227" s="33" t="s">
        <v>2048</v>
      </c>
      <c r="AR227" s="33" t="s">
        <v>2207</v>
      </c>
      <c r="AS227" s="33" t="s">
        <v>3776</v>
      </c>
      <c r="AT227" s="33" t="s">
        <v>3191</v>
      </c>
      <c r="AU227" s="33" t="s">
        <v>4701</v>
      </c>
      <c r="AV227" s="33" t="s">
        <v>4702</v>
      </c>
      <c r="AW227" s="33" t="s">
        <v>4703</v>
      </c>
      <c r="AX227" s="33" t="s">
        <v>2048</v>
      </c>
      <c r="AY227" s="33" t="s">
        <v>4704</v>
      </c>
      <c r="AZ227" s="33" t="s">
        <v>4705</v>
      </c>
      <c r="BA227" s="33" t="s">
        <v>3627</v>
      </c>
      <c r="BB227" s="33" t="s">
        <v>2048</v>
      </c>
      <c r="BC227" s="33" t="s">
        <v>960</v>
      </c>
      <c r="BD227" s="33" t="s">
        <v>962</v>
      </c>
      <c r="BE227" s="33" t="s">
        <v>3223</v>
      </c>
      <c r="BF227" s="33" t="s">
        <v>2048</v>
      </c>
      <c r="BG227" s="33" t="s">
        <v>2048</v>
      </c>
      <c r="BH227" s="33" t="s">
        <v>3215</v>
      </c>
      <c r="BI227" s="33" t="s">
        <v>3216</v>
      </c>
      <c r="BJ227" s="33" t="s">
        <v>3215</v>
      </c>
      <c r="BK227" s="33" t="s">
        <v>3216</v>
      </c>
      <c r="BL227" s="33" t="s">
        <v>2517</v>
      </c>
      <c r="BM227" s="33" t="s">
        <v>2218</v>
      </c>
      <c r="BN227" s="33" t="s">
        <v>2048</v>
      </c>
      <c r="BO227" s="33" t="s">
        <v>2048</v>
      </c>
      <c r="BP227" s="33" t="s">
        <v>2064</v>
      </c>
      <c r="BQ227" s="33" t="s">
        <v>72</v>
      </c>
      <c r="BR227" s="33" t="s">
        <v>72</v>
      </c>
      <c r="BS227" s="33" t="s">
        <v>2048</v>
      </c>
      <c r="BT227" s="33" t="s">
        <v>2219</v>
      </c>
      <c r="BU227" s="33" t="s">
        <v>2220</v>
      </c>
      <c r="BV227" s="33" t="s">
        <v>2418</v>
      </c>
      <c r="BW227" s="33" t="s">
        <v>2089</v>
      </c>
      <c r="BX227" s="33" t="s">
        <v>2048</v>
      </c>
      <c r="BY227" s="33" t="s">
        <v>2048</v>
      </c>
      <c r="BZ227" s="33" t="s">
        <v>2048</v>
      </c>
      <c r="CA227" s="33" t="s">
        <v>2048</v>
      </c>
      <c r="CB227" s="33" t="s">
        <v>72</v>
      </c>
      <c r="CC227" s="33" t="s">
        <v>2048</v>
      </c>
      <c r="CD227" s="33" t="s">
        <v>2048</v>
      </c>
      <c r="CE227" s="33" t="s">
        <v>2048</v>
      </c>
      <c r="CF227" s="33" t="s">
        <v>2048</v>
      </c>
      <c r="CG227" s="33" t="s">
        <v>2048</v>
      </c>
      <c r="CH227" s="33" t="s">
        <v>2048</v>
      </c>
      <c r="CI227" s="33" t="s">
        <v>2048</v>
      </c>
      <c r="CJ227" s="33" t="s">
        <v>2048</v>
      </c>
      <c r="CK227" s="33" t="s">
        <v>2057</v>
      </c>
      <c r="CL227" s="33" t="s">
        <v>2090</v>
      </c>
      <c r="CM227" s="33" t="s">
        <v>2048</v>
      </c>
      <c r="CN227" s="34">
        <v>44562</v>
      </c>
      <c r="CO227" s="34">
        <v>44228</v>
      </c>
      <c r="CP227" s="34">
        <v>44228</v>
      </c>
      <c r="CR227" s="34">
        <v>45602</v>
      </c>
      <c r="CS227" s="1">
        <v>48</v>
      </c>
      <c r="CT227" s="1">
        <v>0</v>
      </c>
      <c r="CU227" s="1">
        <v>252.86</v>
      </c>
      <c r="CV227" s="1">
        <v>0</v>
      </c>
      <c r="CW227" s="1">
        <v>252.86</v>
      </c>
      <c r="CX227" s="1">
        <v>305.95999999999998</v>
      </c>
      <c r="CY227" s="1">
        <v>0</v>
      </c>
      <c r="CZ227" s="34"/>
      <c r="DA227" s="35">
        <v>1000</v>
      </c>
      <c r="DB227" s="34">
        <v>45808</v>
      </c>
      <c r="DC227" s="34"/>
      <c r="DD227" s="1">
        <v>0</v>
      </c>
      <c r="DE227" s="34"/>
      <c r="DF227" s="34"/>
      <c r="DG227" s="1">
        <v>100</v>
      </c>
      <c r="DH227" s="34"/>
      <c r="DI227" s="34">
        <v>46022</v>
      </c>
      <c r="DJ227" s="34"/>
      <c r="DK227" s="34"/>
      <c r="DL227" s="1">
        <v>0</v>
      </c>
      <c r="DM227" s="1">
        <v>0</v>
      </c>
    </row>
    <row r="228" spans="1:117" x14ac:dyDescent="0.2">
      <c r="A228" s="33" t="s">
        <v>3610</v>
      </c>
      <c r="B228" s="33" t="s">
        <v>967</v>
      </c>
      <c r="C228" s="33" t="s">
        <v>73</v>
      </c>
      <c r="D228" s="33" t="s">
        <v>200</v>
      </c>
      <c r="E228" s="33" t="s">
        <v>201</v>
      </c>
      <c r="F228" s="33" t="s">
        <v>76</v>
      </c>
      <c r="G228" s="34">
        <v>45689</v>
      </c>
      <c r="H228" s="33" t="s">
        <v>77</v>
      </c>
      <c r="I228" s="33" t="s">
        <v>78</v>
      </c>
      <c r="J228" s="33" t="s">
        <v>79</v>
      </c>
      <c r="K228" s="33" t="s">
        <v>924</v>
      </c>
      <c r="L228" s="33" t="s">
        <v>308</v>
      </c>
      <c r="M228" s="33" t="s">
        <v>309</v>
      </c>
      <c r="N228" s="16">
        <f>COUNTIF($M$3:M228, M228)</f>
        <v>3</v>
      </c>
      <c r="O228" s="16" t="str" cm="1">
        <f t="array" ref="O228">INDEX('[2]ALTA 20242025'!$B$2:$B$241, MATCH(1, ('[2]ALTA 20242025'!$I$2:$I$241=M228)*('[2]ALTA 20242025'!$J$2:$J$241=N228), 0))</f>
        <v>3154MXJ</v>
      </c>
      <c r="P228" s="40"/>
      <c r="Q228" s="40"/>
      <c r="R228" s="33" t="s">
        <v>584</v>
      </c>
      <c r="S228" s="33" t="s">
        <v>585</v>
      </c>
      <c r="T228" s="33" t="s">
        <v>2048</v>
      </c>
      <c r="U228" s="33" t="s">
        <v>2048</v>
      </c>
      <c r="V228" s="33" t="s">
        <v>4192</v>
      </c>
      <c r="W228" s="33" t="s">
        <v>4706</v>
      </c>
      <c r="X228" s="33" t="s">
        <v>3818</v>
      </c>
      <c r="Y228" s="33" t="s">
        <v>2048</v>
      </c>
      <c r="Z228" s="33" t="s">
        <v>2048</v>
      </c>
      <c r="AA228" s="33" t="s">
        <v>2422</v>
      </c>
      <c r="AB228" s="33" t="s">
        <v>2049</v>
      </c>
      <c r="AC228" s="33" t="s">
        <v>2050</v>
      </c>
      <c r="AD228" s="33" t="s">
        <v>3796</v>
      </c>
      <c r="AE228" s="33" t="s">
        <v>3613</v>
      </c>
      <c r="AF228" s="33" t="s">
        <v>3614</v>
      </c>
      <c r="AG228" s="33" t="s">
        <v>200</v>
      </c>
      <c r="AH228" s="33" t="s">
        <v>3622</v>
      </c>
      <c r="AI228" s="33" t="s">
        <v>2132</v>
      </c>
      <c r="AJ228" s="33" t="s">
        <v>2133</v>
      </c>
      <c r="AK228" s="33" t="s">
        <v>2055</v>
      </c>
      <c r="AL228" s="33" t="s">
        <v>2055</v>
      </c>
      <c r="AM228" s="33" t="s">
        <v>2055</v>
      </c>
      <c r="AN228" s="33" t="s">
        <v>2068</v>
      </c>
      <c r="AO228" s="33" t="s">
        <v>2048</v>
      </c>
      <c r="AP228" s="33" t="s">
        <v>2048</v>
      </c>
      <c r="AQ228" s="33" t="s">
        <v>2048</v>
      </c>
      <c r="AR228" s="33" t="s">
        <v>2048</v>
      </c>
      <c r="AS228" s="33" t="s">
        <v>3776</v>
      </c>
      <c r="AT228" s="33" t="s">
        <v>3191</v>
      </c>
      <c r="AU228" s="33" t="s">
        <v>4707</v>
      </c>
      <c r="AV228" s="33" t="s">
        <v>2060</v>
      </c>
      <c r="AW228" s="33" t="s">
        <v>2048</v>
      </c>
      <c r="AX228" s="33" t="s">
        <v>72</v>
      </c>
      <c r="AY228" s="33" t="s">
        <v>2652</v>
      </c>
      <c r="AZ228" s="33" t="s">
        <v>2653</v>
      </c>
      <c r="BA228" s="33" t="s">
        <v>3627</v>
      </c>
      <c r="BB228" s="33" t="s">
        <v>2048</v>
      </c>
      <c r="BC228" s="33" t="s">
        <v>308</v>
      </c>
      <c r="BD228" s="33" t="s">
        <v>310</v>
      </c>
      <c r="BE228" s="33" t="s">
        <v>2654</v>
      </c>
      <c r="BF228" s="33" t="s">
        <v>2048</v>
      </c>
      <c r="BG228" s="33" t="s">
        <v>2048</v>
      </c>
      <c r="BH228" s="33" t="s">
        <v>2048</v>
      </c>
      <c r="BI228" s="33" t="s">
        <v>2048</v>
      </c>
      <c r="BJ228" s="33" t="s">
        <v>2048</v>
      </c>
      <c r="BK228" s="33" t="s">
        <v>2048</v>
      </c>
      <c r="BL228" s="33" t="s">
        <v>2655</v>
      </c>
      <c r="BM228" s="33" t="s">
        <v>2656</v>
      </c>
      <c r="BN228" s="33" t="s">
        <v>2048</v>
      </c>
      <c r="BO228" s="33" t="s">
        <v>2518</v>
      </c>
      <c r="BP228" s="33" t="s">
        <v>2064</v>
      </c>
      <c r="BQ228" s="33" t="s">
        <v>72</v>
      </c>
      <c r="BR228" s="33" t="s">
        <v>72</v>
      </c>
      <c r="BS228" s="33" t="s">
        <v>2048</v>
      </c>
      <c r="BT228" s="33" t="s">
        <v>2048</v>
      </c>
      <c r="BU228" s="33" t="s">
        <v>2048</v>
      </c>
      <c r="BV228" s="33" t="s">
        <v>2418</v>
      </c>
      <c r="BW228" s="33" t="s">
        <v>2089</v>
      </c>
      <c r="BX228" s="33" t="s">
        <v>2048</v>
      </c>
      <c r="BY228" s="33" t="s">
        <v>2048</v>
      </c>
      <c r="BZ228" s="33" t="s">
        <v>2048</v>
      </c>
      <c r="CA228" s="33" t="s">
        <v>2048</v>
      </c>
      <c r="CB228" s="33" t="s">
        <v>72</v>
      </c>
      <c r="CC228" s="33" t="s">
        <v>2048</v>
      </c>
      <c r="CD228" s="33" t="s">
        <v>2048</v>
      </c>
      <c r="CE228" s="33" t="s">
        <v>2048</v>
      </c>
      <c r="CF228" s="33" t="s">
        <v>2048</v>
      </c>
      <c r="CG228" s="33" t="s">
        <v>2048</v>
      </c>
      <c r="CH228" s="33" t="s">
        <v>2048</v>
      </c>
      <c r="CI228" s="33" t="s">
        <v>2048</v>
      </c>
      <c r="CJ228" s="33" t="s">
        <v>2048</v>
      </c>
      <c r="CK228" s="33" t="s">
        <v>2057</v>
      </c>
      <c r="CL228" s="33" t="s">
        <v>2090</v>
      </c>
      <c r="CM228" s="33" t="s">
        <v>2048</v>
      </c>
      <c r="CN228" s="34">
        <v>44531</v>
      </c>
      <c r="CO228" s="34">
        <v>44228</v>
      </c>
      <c r="CP228" s="34">
        <v>44228</v>
      </c>
      <c r="CR228" s="34">
        <v>45772</v>
      </c>
      <c r="CS228" s="1">
        <v>48</v>
      </c>
      <c r="CT228" s="1">
        <v>0</v>
      </c>
      <c r="CU228" s="1">
        <v>282.48</v>
      </c>
      <c r="CV228" s="1">
        <v>0</v>
      </c>
      <c r="CW228" s="1">
        <v>282.48</v>
      </c>
      <c r="CX228" s="1">
        <v>341.8</v>
      </c>
      <c r="CY228" s="1">
        <v>0</v>
      </c>
      <c r="CZ228" s="34"/>
      <c r="DA228" s="35">
        <v>35435</v>
      </c>
      <c r="DB228" s="34">
        <v>44530</v>
      </c>
      <c r="DC228" s="34"/>
      <c r="DD228" s="1">
        <v>0</v>
      </c>
      <c r="DE228" s="34"/>
      <c r="DF228" s="34"/>
      <c r="DG228" s="1">
        <v>100</v>
      </c>
      <c r="DH228" s="34"/>
      <c r="DI228" s="34">
        <v>46022</v>
      </c>
      <c r="DJ228" s="34"/>
      <c r="DK228" s="34"/>
      <c r="DL228" s="1">
        <v>0</v>
      </c>
      <c r="DM228" s="1">
        <v>0</v>
      </c>
    </row>
    <row r="229" spans="1:117" x14ac:dyDescent="0.2">
      <c r="A229" s="33" t="s">
        <v>3610</v>
      </c>
      <c r="B229" s="33" t="s">
        <v>971</v>
      </c>
      <c r="C229" s="33" t="s">
        <v>73</v>
      </c>
      <c r="D229" s="33" t="s">
        <v>200</v>
      </c>
      <c r="E229" s="33" t="s">
        <v>201</v>
      </c>
      <c r="F229" s="33" t="s">
        <v>160</v>
      </c>
      <c r="G229" s="34">
        <v>45689</v>
      </c>
      <c r="H229" s="33" t="s">
        <v>161</v>
      </c>
      <c r="I229" s="33" t="s">
        <v>78</v>
      </c>
      <c r="J229" s="33" t="s">
        <v>79</v>
      </c>
      <c r="K229" s="33" t="s">
        <v>924</v>
      </c>
      <c r="L229" s="33" t="s">
        <v>308</v>
      </c>
      <c r="M229" s="33" t="s">
        <v>309</v>
      </c>
      <c r="N229" s="16">
        <f>COUNTIF($M$3:M229, M229)</f>
        <v>4</v>
      </c>
      <c r="O229" s="16" t="str" cm="1">
        <f t="array" ref="O229">INDEX('[2]ALTA 20242025'!$B$2:$B$241, MATCH(1, ('[2]ALTA 20242025'!$I$2:$I$241=M229)*('[2]ALTA 20242025'!$J$2:$J$241=N229), 0))</f>
        <v>3178MXJ</v>
      </c>
      <c r="P229" s="40"/>
      <c r="Q229" s="40"/>
      <c r="R229" s="33" t="s">
        <v>2048</v>
      </c>
      <c r="S229" s="33" t="s">
        <v>2048</v>
      </c>
      <c r="T229" s="33" t="s">
        <v>2048</v>
      </c>
      <c r="U229" s="33" t="s">
        <v>2048</v>
      </c>
      <c r="V229" s="33" t="s">
        <v>4192</v>
      </c>
      <c r="W229" s="33" t="s">
        <v>4708</v>
      </c>
      <c r="X229" s="33" t="s">
        <v>3818</v>
      </c>
      <c r="Y229" s="33" t="s">
        <v>2048</v>
      </c>
      <c r="Z229" s="33" t="s">
        <v>2048</v>
      </c>
      <c r="AA229" s="33" t="s">
        <v>2422</v>
      </c>
      <c r="AB229" s="33" t="s">
        <v>2049</v>
      </c>
      <c r="AC229" s="33" t="s">
        <v>2050</v>
      </c>
      <c r="AD229" s="33" t="s">
        <v>3788</v>
      </c>
      <c r="AE229" s="33" t="s">
        <v>3613</v>
      </c>
      <c r="AF229" s="33" t="s">
        <v>3614</v>
      </c>
      <c r="AG229" s="33" t="s">
        <v>200</v>
      </c>
      <c r="AH229" s="33" t="s">
        <v>3622</v>
      </c>
      <c r="AI229" s="33" t="s">
        <v>2132</v>
      </c>
      <c r="AJ229" s="33" t="s">
        <v>2133</v>
      </c>
      <c r="AK229" s="33" t="s">
        <v>2056</v>
      </c>
      <c r="AL229" s="33" t="s">
        <v>2055</v>
      </c>
      <c r="AM229" s="33" t="s">
        <v>2055</v>
      </c>
      <c r="AN229" s="33" t="s">
        <v>2068</v>
      </c>
      <c r="AO229" s="33" t="s">
        <v>2048</v>
      </c>
      <c r="AP229" s="33" t="s">
        <v>2048</v>
      </c>
      <c r="AQ229" s="33" t="s">
        <v>2048</v>
      </c>
      <c r="AR229" s="33" t="s">
        <v>2751</v>
      </c>
      <c r="AS229" s="33" t="s">
        <v>3776</v>
      </c>
      <c r="AT229" s="33" t="s">
        <v>3191</v>
      </c>
      <c r="AU229" s="33" t="s">
        <v>4709</v>
      </c>
      <c r="AV229" s="33" t="s">
        <v>2060</v>
      </c>
      <c r="AW229" s="33" t="s">
        <v>2048</v>
      </c>
      <c r="AX229" s="33" t="s">
        <v>72</v>
      </c>
      <c r="AY229" s="33" t="s">
        <v>2652</v>
      </c>
      <c r="AZ229" s="33" t="s">
        <v>2653</v>
      </c>
      <c r="BA229" s="33" t="s">
        <v>2048</v>
      </c>
      <c r="BB229" s="33" t="s">
        <v>2048</v>
      </c>
      <c r="BC229" s="33" t="s">
        <v>308</v>
      </c>
      <c r="BD229" s="33" t="s">
        <v>310</v>
      </c>
      <c r="BE229" s="33" t="s">
        <v>2654</v>
      </c>
      <c r="BF229" s="33" t="s">
        <v>2048</v>
      </c>
      <c r="BG229" s="33" t="s">
        <v>2048</v>
      </c>
      <c r="BH229" s="33" t="s">
        <v>2048</v>
      </c>
      <c r="BI229" s="33" t="s">
        <v>2048</v>
      </c>
      <c r="BJ229" s="33" t="s">
        <v>2048</v>
      </c>
      <c r="BK229" s="33" t="s">
        <v>2048</v>
      </c>
      <c r="BL229" s="33" t="s">
        <v>2655</v>
      </c>
      <c r="BM229" s="33" t="s">
        <v>2656</v>
      </c>
      <c r="BN229" s="33" t="s">
        <v>2048</v>
      </c>
      <c r="BO229" s="33" t="s">
        <v>2048</v>
      </c>
      <c r="BP229" s="33" t="s">
        <v>2064</v>
      </c>
      <c r="BQ229" s="33" t="s">
        <v>72</v>
      </c>
      <c r="BR229" s="33" t="s">
        <v>72</v>
      </c>
      <c r="BS229" s="33" t="s">
        <v>2048</v>
      </c>
      <c r="BT229" s="33" t="s">
        <v>2048</v>
      </c>
      <c r="BU229" s="33" t="s">
        <v>2048</v>
      </c>
      <c r="BV229" s="33" t="s">
        <v>2418</v>
      </c>
      <c r="BW229" s="33" t="s">
        <v>2089</v>
      </c>
      <c r="BX229" s="33" t="s">
        <v>2048</v>
      </c>
      <c r="BY229" s="33" t="s">
        <v>2048</v>
      </c>
      <c r="BZ229" s="33" t="s">
        <v>2048</v>
      </c>
      <c r="CA229" s="33" t="s">
        <v>2048</v>
      </c>
      <c r="CB229" s="33" t="s">
        <v>72</v>
      </c>
      <c r="CC229" s="33" t="s">
        <v>2048</v>
      </c>
      <c r="CD229" s="33" t="s">
        <v>2048</v>
      </c>
      <c r="CE229" s="33" t="s">
        <v>2048</v>
      </c>
      <c r="CF229" s="33" t="s">
        <v>2048</v>
      </c>
      <c r="CG229" s="33" t="s">
        <v>2048</v>
      </c>
      <c r="CH229" s="33" t="s">
        <v>2048</v>
      </c>
      <c r="CI229" s="33" t="s">
        <v>2048</v>
      </c>
      <c r="CJ229" s="33" t="s">
        <v>2048</v>
      </c>
      <c r="CK229" s="33" t="s">
        <v>2057</v>
      </c>
      <c r="CL229" s="33" t="s">
        <v>2090</v>
      </c>
      <c r="CM229" s="33" t="s">
        <v>2048</v>
      </c>
      <c r="CN229" s="34">
        <v>44652</v>
      </c>
      <c r="CO229" s="34">
        <v>44228</v>
      </c>
      <c r="CP229" s="34">
        <v>44228</v>
      </c>
      <c r="CR229" s="34">
        <v>45594</v>
      </c>
      <c r="CS229" s="1">
        <v>48</v>
      </c>
      <c r="CT229" s="1">
        <v>0</v>
      </c>
      <c r="CU229" s="1">
        <v>257.2</v>
      </c>
      <c r="CV229" s="1">
        <v>0</v>
      </c>
      <c r="CW229" s="1">
        <v>257.2</v>
      </c>
      <c r="CX229" s="1">
        <v>311.20999999999998</v>
      </c>
      <c r="CY229" s="1">
        <v>0</v>
      </c>
      <c r="CZ229" s="34"/>
      <c r="DA229" s="1">
        <v>0</v>
      </c>
      <c r="DB229" s="34"/>
      <c r="DC229" s="34"/>
      <c r="DD229" s="1">
        <v>0</v>
      </c>
      <c r="DE229" s="34"/>
      <c r="DF229" s="34"/>
      <c r="DG229" s="1">
        <v>100</v>
      </c>
      <c r="DH229" s="34"/>
      <c r="DI229" s="34">
        <v>46022</v>
      </c>
      <c r="DJ229" s="34"/>
      <c r="DK229" s="34"/>
      <c r="DL229" s="1">
        <v>0</v>
      </c>
      <c r="DM229" s="1">
        <v>0</v>
      </c>
    </row>
    <row r="230" spans="1:117" x14ac:dyDescent="0.2">
      <c r="A230" s="33" t="s">
        <v>3610</v>
      </c>
      <c r="B230" s="33" t="s">
        <v>975</v>
      </c>
      <c r="C230" s="33" t="s">
        <v>73</v>
      </c>
      <c r="D230" s="33" t="s">
        <v>200</v>
      </c>
      <c r="E230" s="33" t="s">
        <v>201</v>
      </c>
      <c r="F230" s="33" t="s">
        <v>160</v>
      </c>
      <c r="G230" s="34">
        <v>45693</v>
      </c>
      <c r="H230" s="33" t="s">
        <v>161</v>
      </c>
      <c r="I230" s="33" t="s">
        <v>78</v>
      </c>
      <c r="J230" s="33" t="s">
        <v>79</v>
      </c>
      <c r="K230" s="33" t="s">
        <v>924</v>
      </c>
      <c r="L230" s="33" t="s">
        <v>308</v>
      </c>
      <c r="M230" s="33" t="s">
        <v>309</v>
      </c>
      <c r="N230" s="16">
        <f>COUNTIF($M$3:M230, M230)</f>
        <v>5</v>
      </c>
      <c r="O230" s="16" t="str" cm="1">
        <f t="array" ref="O230">INDEX('[2]ALTA 20242025'!$B$2:$B$241, MATCH(1, ('[2]ALTA 20242025'!$I$2:$I$241=M230)*('[2]ALTA 20242025'!$J$2:$J$241=N230), 0))</f>
        <v>3186MXJ</v>
      </c>
      <c r="P230" s="40"/>
      <c r="Q230" s="40"/>
      <c r="R230" s="33" t="s">
        <v>336</v>
      </c>
      <c r="S230" s="33" t="s">
        <v>337</v>
      </c>
      <c r="T230" s="33" t="s">
        <v>2048</v>
      </c>
      <c r="U230" s="33" t="s">
        <v>2048</v>
      </c>
      <c r="V230" s="33" t="s">
        <v>4192</v>
      </c>
      <c r="W230" s="33" t="s">
        <v>4710</v>
      </c>
      <c r="X230" s="33" t="s">
        <v>3845</v>
      </c>
      <c r="Y230" s="33" t="s">
        <v>2048</v>
      </c>
      <c r="Z230" s="33" t="s">
        <v>2048</v>
      </c>
      <c r="AA230" s="33" t="s">
        <v>2422</v>
      </c>
      <c r="AB230" s="33" t="s">
        <v>2049</v>
      </c>
      <c r="AC230" s="33" t="s">
        <v>2050</v>
      </c>
      <c r="AD230" s="33" t="s">
        <v>3690</v>
      </c>
      <c r="AE230" s="33" t="s">
        <v>3613</v>
      </c>
      <c r="AF230" s="33" t="s">
        <v>3614</v>
      </c>
      <c r="AG230" s="33" t="s">
        <v>2048</v>
      </c>
      <c r="AH230" s="33" t="s">
        <v>2048</v>
      </c>
      <c r="AI230" s="33" t="s">
        <v>2132</v>
      </c>
      <c r="AJ230" s="33" t="s">
        <v>2133</v>
      </c>
      <c r="AK230" s="33" t="s">
        <v>2055</v>
      </c>
      <c r="AL230" s="33" t="s">
        <v>2055</v>
      </c>
      <c r="AM230" s="33" t="s">
        <v>2055</v>
      </c>
      <c r="AN230" s="33" t="s">
        <v>2068</v>
      </c>
      <c r="AO230" s="33" t="s">
        <v>2048</v>
      </c>
      <c r="AP230" s="33" t="s">
        <v>2048</v>
      </c>
      <c r="AQ230" s="33" t="s">
        <v>2048</v>
      </c>
      <c r="AR230" s="33" t="s">
        <v>2696</v>
      </c>
      <c r="AS230" s="33" t="s">
        <v>3776</v>
      </c>
      <c r="AT230" s="33" t="s">
        <v>3191</v>
      </c>
      <c r="AU230" s="33" t="s">
        <v>4711</v>
      </c>
      <c r="AV230" s="33" t="s">
        <v>2060</v>
      </c>
      <c r="AW230" s="33" t="s">
        <v>2048</v>
      </c>
      <c r="AX230" s="33" t="s">
        <v>72</v>
      </c>
      <c r="AY230" s="33" t="s">
        <v>2652</v>
      </c>
      <c r="AZ230" s="33" t="s">
        <v>2653</v>
      </c>
      <c r="BA230" s="33" t="s">
        <v>2048</v>
      </c>
      <c r="BB230" s="33" t="s">
        <v>2048</v>
      </c>
      <c r="BC230" s="33" t="s">
        <v>308</v>
      </c>
      <c r="BD230" s="33" t="s">
        <v>310</v>
      </c>
      <c r="BE230" s="33" t="s">
        <v>2654</v>
      </c>
      <c r="BF230" s="33" t="s">
        <v>2048</v>
      </c>
      <c r="BG230" s="33" t="s">
        <v>2048</v>
      </c>
      <c r="BH230" s="33" t="s">
        <v>2048</v>
      </c>
      <c r="BI230" s="33" t="s">
        <v>2048</v>
      </c>
      <c r="BJ230" s="33" t="s">
        <v>2048</v>
      </c>
      <c r="BK230" s="33" t="s">
        <v>2048</v>
      </c>
      <c r="BL230" s="33" t="s">
        <v>2655</v>
      </c>
      <c r="BM230" s="33" t="s">
        <v>2656</v>
      </c>
      <c r="BN230" s="33" t="s">
        <v>2048</v>
      </c>
      <c r="BO230" s="33" t="s">
        <v>2048</v>
      </c>
      <c r="BP230" s="33" t="s">
        <v>2064</v>
      </c>
      <c r="BQ230" s="33" t="s">
        <v>72</v>
      </c>
      <c r="BR230" s="33" t="s">
        <v>72</v>
      </c>
      <c r="BS230" s="33" t="s">
        <v>2048</v>
      </c>
      <c r="BT230" s="33" t="s">
        <v>2048</v>
      </c>
      <c r="BU230" s="33" t="s">
        <v>2048</v>
      </c>
      <c r="BV230" s="33" t="s">
        <v>2418</v>
      </c>
      <c r="BW230" s="33" t="s">
        <v>2089</v>
      </c>
      <c r="BX230" s="33" t="s">
        <v>2048</v>
      </c>
      <c r="BY230" s="33" t="s">
        <v>2048</v>
      </c>
      <c r="BZ230" s="33" t="s">
        <v>2048</v>
      </c>
      <c r="CA230" s="33" t="s">
        <v>2048</v>
      </c>
      <c r="CB230" s="33" t="s">
        <v>72</v>
      </c>
      <c r="CC230" s="33" t="s">
        <v>2048</v>
      </c>
      <c r="CD230" s="33" t="s">
        <v>2048</v>
      </c>
      <c r="CE230" s="33" t="s">
        <v>2048</v>
      </c>
      <c r="CF230" s="33" t="s">
        <v>2048</v>
      </c>
      <c r="CG230" s="33" t="s">
        <v>2048</v>
      </c>
      <c r="CH230" s="33" t="s">
        <v>2048</v>
      </c>
      <c r="CI230" s="33" t="s">
        <v>2048</v>
      </c>
      <c r="CJ230" s="33" t="s">
        <v>2048</v>
      </c>
      <c r="CK230" s="33" t="s">
        <v>2057</v>
      </c>
      <c r="CL230" s="33" t="s">
        <v>2090</v>
      </c>
      <c r="CM230" s="33" t="s">
        <v>2048</v>
      </c>
      <c r="CN230" s="34">
        <v>44835</v>
      </c>
      <c r="CO230" s="34">
        <v>44232</v>
      </c>
      <c r="CP230" s="34">
        <v>44232</v>
      </c>
      <c r="CR230" s="34">
        <v>45653</v>
      </c>
      <c r="CS230" s="1">
        <v>48</v>
      </c>
      <c r="CT230" s="1">
        <v>0</v>
      </c>
      <c r="CU230" s="1">
        <v>240.08</v>
      </c>
      <c r="CV230" s="1">
        <v>0</v>
      </c>
      <c r="CW230" s="1">
        <v>240.08</v>
      </c>
      <c r="CX230" s="1">
        <v>290.5</v>
      </c>
      <c r="CY230" s="1">
        <v>0</v>
      </c>
      <c r="CZ230" s="34"/>
      <c r="DA230" s="1">
        <v>0</v>
      </c>
      <c r="DB230" s="34"/>
      <c r="DC230" s="34"/>
      <c r="DD230" s="1">
        <v>0</v>
      </c>
      <c r="DE230" s="34"/>
      <c r="DF230" s="34"/>
      <c r="DG230" s="1">
        <v>100</v>
      </c>
      <c r="DH230" s="34"/>
      <c r="DI230" s="34">
        <v>46022</v>
      </c>
      <c r="DJ230" s="34"/>
      <c r="DK230" s="34"/>
      <c r="DL230" s="1">
        <v>0</v>
      </c>
      <c r="DM230" s="1">
        <v>0</v>
      </c>
    </row>
    <row r="231" spans="1:117" x14ac:dyDescent="0.2">
      <c r="A231" s="33" t="s">
        <v>3610</v>
      </c>
      <c r="B231" s="33" t="s">
        <v>979</v>
      </c>
      <c r="C231" s="33" t="s">
        <v>73</v>
      </c>
      <c r="D231" s="33" t="s">
        <v>200</v>
      </c>
      <c r="E231" s="33" t="s">
        <v>201</v>
      </c>
      <c r="F231" s="33" t="s">
        <v>76</v>
      </c>
      <c r="G231" s="34">
        <v>45696</v>
      </c>
      <c r="H231" s="33" t="s">
        <v>77</v>
      </c>
      <c r="I231" s="33" t="s">
        <v>78</v>
      </c>
      <c r="J231" s="33" t="s">
        <v>79</v>
      </c>
      <c r="K231" s="33" t="s">
        <v>924</v>
      </c>
      <c r="L231" s="33" t="s">
        <v>308</v>
      </c>
      <c r="M231" s="33" t="s">
        <v>309</v>
      </c>
      <c r="N231" s="48">
        <f>COUNTIF($M$3:M231, M231)</f>
        <v>6</v>
      </c>
      <c r="O231" s="48" t="str" cm="1">
        <f t="array" ref="O231">INDEX('[2]ALTA 20242025'!$B$2:$B$241, MATCH(1, ('[2]ALTA 20242025'!$I$2:$I$241=M231)*('[2]ALTA 20242025'!$J$2:$J$241=N231), 0))</f>
        <v>3214MXJ</v>
      </c>
      <c r="P231" s="40"/>
      <c r="Q231" s="40"/>
      <c r="R231" s="33" t="s">
        <v>584</v>
      </c>
      <c r="S231" s="33" t="s">
        <v>585</v>
      </c>
      <c r="T231" s="33" t="s">
        <v>2048</v>
      </c>
      <c r="U231" s="33" t="s">
        <v>2048</v>
      </c>
      <c r="V231" s="33" t="s">
        <v>4192</v>
      </c>
      <c r="W231" s="33" t="s">
        <v>4712</v>
      </c>
      <c r="X231" s="33" t="s">
        <v>3818</v>
      </c>
      <c r="Y231" s="33" t="s">
        <v>2048</v>
      </c>
      <c r="Z231" s="33" t="s">
        <v>2048</v>
      </c>
      <c r="AA231" s="33" t="s">
        <v>2422</v>
      </c>
      <c r="AB231" s="33" t="s">
        <v>2049</v>
      </c>
      <c r="AC231" s="33" t="s">
        <v>2050</v>
      </c>
      <c r="AD231" s="33" t="s">
        <v>3690</v>
      </c>
      <c r="AE231" s="33" t="s">
        <v>3613</v>
      </c>
      <c r="AF231" s="33" t="s">
        <v>3614</v>
      </c>
      <c r="AG231" s="33" t="s">
        <v>2048</v>
      </c>
      <c r="AH231" s="33" t="s">
        <v>2048</v>
      </c>
      <c r="AI231" s="33" t="s">
        <v>2132</v>
      </c>
      <c r="AJ231" s="33" t="s">
        <v>2133</v>
      </c>
      <c r="AK231" s="33" t="s">
        <v>2056</v>
      </c>
      <c r="AL231" s="33" t="s">
        <v>2055</v>
      </c>
      <c r="AM231" s="33" t="s">
        <v>2055</v>
      </c>
      <c r="AN231" s="33" t="s">
        <v>2068</v>
      </c>
      <c r="AO231" s="33" t="s">
        <v>2048</v>
      </c>
      <c r="AP231" s="33" t="s">
        <v>2048</v>
      </c>
      <c r="AQ231" s="33" t="s">
        <v>2048</v>
      </c>
      <c r="AR231" s="33" t="s">
        <v>2696</v>
      </c>
      <c r="AS231" s="33" t="s">
        <v>3776</v>
      </c>
      <c r="AT231" s="33" t="s">
        <v>3191</v>
      </c>
      <c r="AU231" s="33" t="s">
        <v>4713</v>
      </c>
      <c r="AV231" s="33" t="s">
        <v>2060</v>
      </c>
      <c r="AW231" s="33" t="s">
        <v>2048</v>
      </c>
      <c r="AX231" s="33" t="s">
        <v>72</v>
      </c>
      <c r="AY231" s="33" t="s">
        <v>2652</v>
      </c>
      <c r="AZ231" s="33" t="s">
        <v>2653</v>
      </c>
      <c r="BA231" s="33" t="s">
        <v>2048</v>
      </c>
      <c r="BB231" s="33" t="s">
        <v>2048</v>
      </c>
      <c r="BC231" s="33" t="s">
        <v>584</v>
      </c>
      <c r="BD231" s="33" t="s">
        <v>980</v>
      </c>
      <c r="BE231" s="33" t="s">
        <v>4714</v>
      </c>
      <c r="BF231" s="33" t="s">
        <v>2048</v>
      </c>
      <c r="BG231" s="33" t="s">
        <v>2048</v>
      </c>
      <c r="BH231" s="33" t="s">
        <v>2602</v>
      </c>
      <c r="BI231" s="33" t="s">
        <v>3752</v>
      </c>
      <c r="BJ231" s="33" t="s">
        <v>2613</v>
      </c>
      <c r="BK231" s="33" t="s">
        <v>2893</v>
      </c>
      <c r="BL231" s="33" t="s">
        <v>3755</v>
      </c>
      <c r="BM231" s="33" t="s">
        <v>2287</v>
      </c>
      <c r="BN231" s="33" t="s">
        <v>2048</v>
      </c>
      <c r="BO231" s="33" t="s">
        <v>2518</v>
      </c>
      <c r="BP231" s="33" t="s">
        <v>2064</v>
      </c>
      <c r="BQ231" s="33" t="s">
        <v>72</v>
      </c>
      <c r="BR231" s="33" t="s">
        <v>72</v>
      </c>
      <c r="BS231" s="33" t="s">
        <v>2048</v>
      </c>
      <c r="BT231" s="33" t="s">
        <v>2048</v>
      </c>
      <c r="BU231" s="33" t="s">
        <v>2048</v>
      </c>
      <c r="BV231" s="33" t="s">
        <v>2418</v>
      </c>
      <c r="BW231" s="33" t="s">
        <v>2089</v>
      </c>
      <c r="BX231" s="33" t="s">
        <v>2048</v>
      </c>
      <c r="BY231" s="33" t="s">
        <v>2048</v>
      </c>
      <c r="BZ231" s="33" t="s">
        <v>2048</v>
      </c>
      <c r="CA231" s="33" t="s">
        <v>2048</v>
      </c>
      <c r="CB231" s="33" t="s">
        <v>72</v>
      </c>
      <c r="CC231" s="33" t="s">
        <v>2048</v>
      </c>
      <c r="CD231" s="33" t="s">
        <v>2048</v>
      </c>
      <c r="CE231" s="33" t="s">
        <v>2048</v>
      </c>
      <c r="CF231" s="33" t="s">
        <v>2048</v>
      </c>
      <c r="CG231" s="33" t="s">
        <v>2048</v>
      </c>
      <c r="CH231" s="33" t="s">
        <v>2048</v>
      </c>
      <c r="CI231" s="33" t="s">
        <v>2048</v>
      </c>
      <c r="CJ231" s="33" t="s">
        <v>2048</v>
      </c>
      <c r="CK231" s="33" t="s">
        <v>2057</v>
      </c>
      <c r="CL231" s="33" t="s">
        <v>2090</v>
      </c>
      <c r="CM231" s="33" t="s">
        <v>2048</v>
      </c>
      <c r="CN231" s="34">
        <v>45413</v>
      </c>
      <c r="CO231" s="34">
        <v>44235</v>
      </c>
      <c r="CP231" s="34">
        <v>44235</v>
      </c>
      <c r="CR231" s="34">
        <v>45762</v>
      </c>
      <c r="CS231" s="1">
        <v>48</v>
      </c>
      <c r="CT231" s="1">
        <v>0</v>
      </c>
      <c r="CU231" s="1">
        <v>244.41</v>
      </c>
      <c r="CV231" s="1">
        <v>0</v>
      </c>
      <c r="CW231" s="1">
        <v>244.41</v>
      </c>
      <c r="CX231" s="1">
        <v>295.74</v>
      </c>
      <c r="CY231" s="1">
        <v>0</v>
      </c>
      <c r="CZ231" s="34"/>
      <c r="DA231" s="1">
        <v>0</v>
      </c>
      <c r="DB231" s="34"/>
      <c r="DC231" s="34"/>
      <c r="DD231" s="1">
        <v>0</v>
      </c>
      <c r="DE231" s="34"/>
      <c r="DF231" s="34"/>
      <c r="DG231" s="1">
        <v>100</v>
      </c>
      <c r="DH231" s="34"/>
      <c r="DI231" s="34">
        <v>46022</v>
      </c>
      <c r="DJ231" s="34"/>
      <c r="DK231" s="34"/>
      <c r="DL231" s="1">
        <v>0</v>
      </c>
      <c r="DM231" s="1">
        <v>0</v>
      </c>
    </row>
    <row r="232" spans="1:117" x14ac:dyDescent="0.2">
      <c r="A232" s="167" t="s">
        <v>3610</v>
      </c>
      <c r="B232" s="167" t="s">
        <v>1422</v>
      </c>
      <c r="C232" s="167" t="s">
        <v>73</v>
      </c>
      <c r="D232" s="167" t="s">
        <v>200</v>
      </c>
      <c r="E232" s="167" t="s">
        <v>201</v>
      </c>
      <c r="F232" s="167" t="s">
        <v>76</v>
      </c>
      <c r="G232" s="168">
        <v>45696</v>
      </c>
      <c r="H232" s="167" t="s">
        <v>77</v>
      </c>
      <c r="I232" s="167" t="s">
        <v>78</v>
      </c>
      <c r="J232" s="167" t="s">
        <v>79</v>
      </c>
      <c r="K232" s="167" t="s">
        <v>924</v>
      </c>
      <c r="L232" s="167" t="s">
        <v>119</v>
      </c>
      <c r="M232" s="167" t="s">
        <v>120</v>
      </c>
      <c r="N232" s="169">
        <f>COUNTIF($M$3:M232, M232)</f>
        <v>32</v>
      </c>
      <c r="O232" s="169" t="e" cm="1">
        <f t="array" ref="O232">INDEX('[2]ALTA 20242025'!$B$2:$B$241, MATCH(1, ('[2]ALTA 20242025'!$I$2:$I$241=M232)*('[2]ALTA 20242025'!$J$2:$J$241=N232), 0))</f>
        <v>#N/A</v>
      </c>
      <c r="P232" s="169"/>
      <c r="Q232" s="169"/>
      <c r="R232" s="167" t="s">
        <v>1531</v>
      </c>
      <c r="S232" s="167" t="s">
        <v>1532</v>
      </c>
      <c r="T232" s="167" t="s">
        <v>2048</v>
      </c>
      <c r="U232" s="167" t="s">
        <v>2048</v>
      </c>
      <c r="V232" s="167" t="s">
        <v>4192</v>
      </c>
      <c r="W232" s="167" t="s">
        <v>4715</v>
      </c>
      <c r="X232" s="167" t="s">
        <v>4590</v>
      </c>
      <c r="Y232" s="167" t="s">
        <v>4716</v>
      </c>
      <c r="Z232" s="167" t="s">
        <v>2048</v>
      </c>
      <c r="AA232" s="167" t="s">
        <v>2422</v>
      </c>
      <c r="AB232" s="167" t="s">
        <v>2049</v>
      </c>
      <c r="AC232" s="167" t="s">
        <v>2050</v>
      </c>
      <c r="AD232" s="167" t="s">
        <v>3612</v>
      </c>
      <c r="AE232" s="167" t="s">
        <v>3613</v>
      </c>
      <c r="AF232" s="167" t="s">
        <v>3614</v>
      </c>
      <c r="AG232" s="167" t="s">
        <v>200</v>
      </c>
      <c r="AH232" s="167" t="s">
        <v>3622</v>
      </c>
      <c r="AI232" s="167" t="s">
        <v>2132</v>
      </c>
      <c r="AJ232" s="167" t="s">
        <v>2133</v>
      </c>
      <c r="AK232" s="167" t="s">
        <v>2055</v>
      </c>
      <c r="AL232" s="167" t="s">
        <v>2055</v>
      </c>
      <c r="AM232" s="167" t="s">
        <v>2055</v>
      </c>
      <c r="AN232" s="167" t="s">
        <v>2068</v>
      </c>
      <c r="AO232" s="167" t="s">
        <v>2048</v>
      </c>
      <c r="AP232" s="167" t="s">
        <v>2048</v>
      </c>
      <c r="AQ232" s="167" t="s">
        <v>4717</v>
      </c>
      <c r="AR232" s="167" t="s">
        <v>2558</v>
      </c>
      <c r="AS232" s="167" t="s">
        <v>3776</v>
      </c>
      <c r="AT232" s="167" t="s">
        <v>3191</v>
      </c>
      <c r="AU232" s="167" t="s">
        <v>4718</v>
      </c>
      <c r="AV232" s="167" t="s">
        <v>2559</v>
      </c>
      <c r="AW232" s="167" t="s">
        <v>2560</v>
      </c>
      <c r="AX232" s="167" t="s">
        <v>72</v>
      </c>
      <c r="AY232" s="167" t="s">
        <v>2561</v>
      </c>
      <c r="AZ232" s="167" t="s">
        <v>2562</v>
      </c>
      <c r="BA232" s="167" t="s">
        <v>3627</v>
      </c>
      <c r="BB232" s="167" t="s">
        <v>2048</v>
      </c>
      <c r="BC232" s="167" t="s">
        <v>119</v>
      </c>
      <c r="BD232" s="167" t="s">
        <v>617</v>
      </c>
      <c r="BE232" s="167" t="s">
        <v>2563</v>
      </c>
      <c r="BF232" s="167" t="s">
        <v>2048</v>
      </c>
      <c r="BG232" s="167" t="s">
        <v>2048</v>
      </c>
      <c r="BH232" s="167" t="s">
        <v>2282</v>
      </c>
      <c r="BI232" s="167" t="s">
        <v>2283</v>
      </c>
      <c r="BJ232" s="167" t="s">
        <v>2564</v>
      </c>
      <c r="BK232" s="167" t="s">
        <v>2565</v>
      </c>
      <c r="BL232" s="167" t="s">
        <v>2566</v>
      </c>
      <c r="BM232" s="167" t="s">
        <v>2287</v>
      </c>
      <c r="BN232" s="167" t="s">
        <v>2048</v>
      </c>
      <c r="BO232" s="167" t="s">
        <v>2048</v>
      </c>
      <c r="BP232" s="167" t="s">
        <v>2064</v>
      </c>
      <c r="BQ232" s="167" t="s">
        <v>72</v>
      </c>
      <c r="BR232" s="167" t="s">
        <v>72</v>
      </c>
      <c r="BS232" s="167" t="s">
        <v>2048</v>
      </c>
      <c r="BT232" s="167" t="s">
        <v>2568</v>
      </c>
      <c r="BU232" s="167" t="s">
        <v>2558</v>
      </c>
      <c r="BV232" s="167" t="s">
        <v>2418</v>
      </c>
      <c r="BW232" s="167" t="s">
        <v>2089</v>
      </c>
      <c r="BX232" s="167" t="s">
        <v>2048</v>
      </c>
      <c r="BY232" s="167" t="s">
        <v>2048</v>
      </c>
      <c r="BZ232" s="167" t="s">
        <v>2048</v>
      </c>
      <c r="CA232" s="167" t="s">
        <v>2048</v>
      </c>
      <c r="CB232" s="167" t="s">
        <v>72</v>
      </c>
      <c r="CC232" s="167" t="s">
        <v>2048</v>
      </c>
      <c r="CD232" s="167" t="s">
        <v>2048</v>
      </c>
      <c r="CE232" s="167" t="s">
        <v>2048</v>
      </c>
      <c r="CF232" s="167" t="s">
        <v>2048</v>
      </c>
      <c r="CG232" s="167" t="s">
        <v>2048</v>
      </c>
      <c r="CH232" s="167" t="s">
        <v>2048</v>
      </c>
      <c r="CI232" s="167" t="s">
        <v>2048</v>
      </c>
      <c r="CJ232" s="167" t="s">
        <v>2048</v>
      </c>
      <c r="CK232" s="167" t="s">
        <v>2057</v>
      </c>
      <c r="CL232" s="167" t="s">
        <v>2090</v>
      </c>
      <c r="CM232" s="167" t="s">
        <v>2048</v>
      </c>
      <c r="CN232" s="168">
        <v>44927</v>
      </c>
      <c r="CO232" s="168">
        <v>44235</v>
      </c>
      <c r="CP232" s="168">
        <v>44235</v>
      </c>
      <c r="CQ232" s="170"/>
      <c r="CR232" s="168">
        <v>45748</v>
      </c>
      <c r="CS232" s="170">
        <v>48</v>
      </c>
      <c r="CT232" s="170">
        <v>0</v>
      </c>
      <c r="CU232" s="170">
        <v>225.97</v>
      </c>
      <c r="CV232" s="170">
        <v>0</v>
      </c>
      <c r="CW232" s="170">
        <v>225.97</v>
      </c>
      <c r="CX232" s="170">
        <v>273.42</v>
      </c>
      <c r="CY232" s="170">
        <v>0</v>
      </c>
      <c r="CZ232" s="168"/>
      <c r="DA232" s="171">
        <v>73061</v>
      </c>
      <c r="DB232" s="168">
        <v>45708</v>
      </c>
      <c r="DC232" s="168"/>
      <c r="DD232" s="170">
        <v>0</v>
      </c>
      <c r="DE232" s="168"/>
      <c r="DF232" s="168"/>
      <c r="DG232" s="170">
        <v>100</v>
      </c>
      <c r="DH232" s="168"/>
      <c r="DI232" s="168">
        <v>46022</v>
      </c>
      <c r="DJ232" s="168"/>
      <c r="DK232" s="168"/>
      <c r="DL232" s="170">
        <v>0</v>
      </c>
      <c r="DM232" s="170">
        <v>0</v>
      </c>
    </row>
    <row r="233" spans="1:117" x14ac:dyDescent="0.2">
      <c r="A233" s="33" t="s">
        <v>3610</v>
      </c>
      <c r="B233" s="33" t="s">
        <v>344</v>
      </c>
      <c r="C233" s="33" t="s">
        <v>73</v>
      </c>
      <c r="D233" s="33" t="s">
        <v>200</v>
      </c>
      <c r="E233" s="33" t="s">
        <v>201</v>
      </c>
      <c r="F233" s="33" t="s">
        <v>160</v>
      </c>
      <c r="G233" s="34">
        <v>45698</v>
      </c>
      <c r="H233" s="33" t="s">
        <v>161</v>
      </c>
      <c r="I233" s="33" t="s">
        <v>78</v>
      </c>
      <c r="J233" s="33" t="s">
        <v>213</v>
      </c>
      <c r="K233" s="33" t="s">
        <v>237</v>
      </c>
      <c r="L233" s="33" t="s">
        <v>190</v>
      </c>
      <c r="M233" s="33" t="s">
        <v>191</v>
      </c>
      <c r="N233" s="160">
        <f>COUNTIF($M$3:M233, M233)</f>
        <v>11</v>
      </c>
      <c r="O233" s="160" t="str" cm="1">
        <f t="array" ref="O233">INDEX('[2]ALTA 20242025'!$B$2:$B$241, MATCH(1, ('[2]ALTA 20242025'!$I$2:$I$241=M233)*('[2]ALTA 20242025'!$J$2:$J$241=N233), 0))</f>
        <v>8392MXG</v>
      </c>
      <c r="P233" s="40"/>
      <c r="Q233" s="40"/>
      <c r="R233" s="33" t="s">
        <v>204</v>
      </c>
      <c r="S233" s="33" t="s">
        <v>205</v>
      </c>
      <c r="T233" s="33" t="s">
        <v>2048</v>
      </c>
      <c r="U233" s="33" t="s">
        <v>2048</v>
      </c>
      <c r="V233" s="33" t="s">
        <v>3620</v>
      </c>
      <c r="W233" s="33" t="s">
        <v>4719</v>
      </c>
      <c r="X233" s="33" t="s">
        <v>3926</v>
      </c>
      <c r="Y233" s="33" t="s">
        <v>4720</v>
      </c>
      <c r="Z233" s="33" t="s">
        <v>2048</v>
      </c>
      <c r="AA233" s="33" t="s">
        <v>2422</v>
      </c>
      <c r="AB233" s="33" t="s">
        <v>2049</v>
      </c>
      <c r="AC233" s="33" t="s">
        <v>2050</v>
      </c>
      <c r="AD233" s="33" t="s">
        <v>3725</v>
      </c>
      <c r="AE233" s="33" t="s">
        <v>3613</v>
      </c>
      <c r="AF233" s="33" t="s">
        <v>3614</v>
      </c>
      <c r="AG233" s="33" t="s">
        <v>2048</v>
      </c>
      <c r="AH233" s="33" t="s">
        <v>2048</v>
      </c>
      <c r="AI233" s="33" t="s">
        <v>2132</v>
      </c>
      <c r="AJ233" s="33" t="s">
        <v>2133</v>
      </c>
      <c r="AK233" s="33" t="s">
        <v>2055</v>
      </c>
      <c r="AL233" s="33" t="s">
        <v>2055</v>
      </c>
      <c r="AM233" s="33" t="s">
        <v>2055</v>
      </c>
      <c r="AN233" s="33" t="s">
        <v>2068</v>
      </c>
      <c r="AO233" s="33" t="s">
        <v>2048</v>
      </c>
      <c r="AP233" s="33" t="s">
        <v>2048</v>
      </c>
      <c r="AQ233" s="33" t="s">
        <v>2048</v>
      </c>
      <c r="AR233" s="33" t="s">
        <v>3060</v>
      </c>
      <c r="AS233" s="33" t="s">
        <v>3623</v>
      </c>
      <c r="AT233" s="33" t="s">
        <v>2135</v>
      </c>
      <c r="AU233" s="33" t="s">
        <v>4721</v>
      </c>
      <c r="AV233" s="33" t="s">
        <v>3061</v>
      </c>
      <c r="AW233" s="33" t="s">
        <v>3062</v>
      </c>
      <c r="AX233" s="33" t="s">
        <v>2048</v>
      </c>
      <c r="AY233" s="33" t="s">
        <v>2430</v>
      </c>
      <c r="AZ233" s="33" t="s">
        <v>2431</v>
      </c>
      <c r="BA233" s="33" t="s">
        <v>2048</v>
      </c>
      <c r="BB233" s="33" t="s">
        <v>2048</v>
      </c>
      <c r="BC233" s="33" t="s">
        <v>190</v>
      </c>
      <c r="BD233" s="33" t="s">
        <v>345</v>
      </c>
      <c r="BE233" s="33" t="s">
        <v>3063</v>
      </c>
      <c r="BF233" s="33" t="s">
        <v>2048</v>
      </c>
      <c r="BG233" s="33" t="s">
        <v>2048</v>
      </c>
      <c r="BH233" s="33" t="s">
        <v>2433</v>
      </c>
      <c r="BI233" s="33" t="s">
        <v>2434</v>
      </c>
      <c r="BJ233" s="33" t="s">
        <v>2048</v>
      </c>
      <c r="BK233" s="33" t="s">
        <v>2048</v>
      </c>
      <c r="BL233" s="33" t="s">
        <v>3064</v>
      </c>
      <c r="BM233" s="33" t="s">
        <v>2287</v>
      </c>
      <c r="BN233" s="33" t="s">
        <v>2048</v>
      </c>
      <c r="BO233" s="33" t="s">
        <v>2518</v>
      </c>
      <c r="BP233" s="33" t="s">
        <v>2064</v>
      </c>
      <c r="BQ233" s="33" t="s">
        <v>72</v>
      </c>
      <c r="BR233" s="33" t="s">
        <v>72</v>
      </c>
      <c r="BS233" s="33" t="s">
        <v>2048</v>
      </c>
      <c r="BT233" s="33" t="s">
        <v>2986</v>
      </c>
      <c r="BU233" s="33" t="s">
        <v>2987</v>
      </c>
      <c r="BV233" s="33" t="s">
        <v>2331</v>
      </c>
      <c r="BW233" s="33" t="s">
        <v>2131</v>
      </c>
      <c r="BX233" s="33" t="s">
        <v>2048</v>
      </c>
      <c r="BY233" s="33" t="s">
        <v>2048</v>
      </c>
      <c r="BZ233" s="33" t="s">
        <v>2048</v>
      </c>
      <c r="CA233" s="33" t="s">
        <v>2048</v>
      </c>
      <c r="CB233" s="33" t="s">
        <v>72</v>
      </c>
      <c r="CC233" s="33" t="s">
        <v>2048</v>
      </c>
      <c r="CD233" s="33" t="s">
        <v>2048</v>
      </c>
      <c r="CE233" s="33" t="s">
        <v>2048</v>
      </c>
      <c r="CF233" s="33" t="s">
        <v>2048</v>
      </c>
      <c r="CG233" s="33" t="s">
        <v>2048</v>
      </c>
      <c r="CH233" s="33" t="s">
        <v>2048</v>
      </c>
      <c r="CI233" s="33" t="s">
        <v>2048</v>
      </c>
      <c r="CJ233" s="33" t="s">
        <v>2048</v>
      </c>
      <c r="CK233" s="33" t="s">
        <v>2068</v>
      </c>
      <c r="CL233" s="33" t="s">
        <v>2069</v>
      </c>
      <c r="CM233" s="33" t="s">
        <v>2048</v>
      </c>
      <c r="CN233" s="34">
        <v>45474</v>
      </c>
      <c r="CO233" s="34">
        <v>44237</v>
      </c>
      <c r="CP233" s="34">
        <v>44237</v>
      </c>
      <c r="CR233" s="34">
        <v>45594</v>
      </c>
      <c r="CS233" s="1">
        <v>48</v>
      </c>
      <c r="CT233" s="1">
        <v>0</v>
      </c>
      <c r="CU233" s="1">
        <v>174.93</v>
      </c>
      <c r="CV233" s="1">
        <v>0</v>
      </c>
      <c r="CW233" s="1">
        <v>174.93</v>
      </c>
      <c r="CX233" s="1">
        <v>211.67</v>
      </c>
      <c r="CY233" s="1">
        <v>0</v>
      </c>
      <c r="CZ233" s="34"/>
      <c r="DA233" s="1">
        <v>0</v>
      </c>
      <c r="DB233" s="34"/>
      <c r="DC233" s="34"/>
      <c r="DD233" s="1">
        <v>0</v>
      </c>
      <c r="DE233" s="34"/>
      <c r="DF233" s="34"/>
      <c r="DG233" s="1">
        <v>100</v>
      </c>
      <c r="DH233" s="34"/>
      <c r="DI233" s="34">
        <v>45716</v>
      </c>
      <c r="DJ233" s="34"/>
      <c r="DK233" s="34"/>
      <c r="DL233" s="1">
        <v>0</v>
      </c>
      <c r="DM233" s="1">
        <v>0</v>
      </c>
    </row>
    <row r="234" spans="1:117" x14ac:dyDescent="0.2">
      <c r="A234" s="167" t="s">
        <v>3610</v>
      </c>
      <c r="B234" s="167" t="s">
        <v>1432</v>
      </c>
      <c r="C234" s="167" t="s">
        <v>73</v>
      </c>
      <c r="D234" s="167" t="s">
        <v>200</v>
      </c>
      <c r="E234" s="167" t="s">
        <v>201</v>
      </c>
      <c r="F234" s="167" t="s">
        <v>76</v>
      </c>
      <c r="G234" s="168">
        <v>45699</v>
      </c>
      <c r="H234" s="167" t="s">
        <v>77</v>
      </c>
      <c r="I234" s="167" t="s">
        <v>78</v>
      </c>
      <c r="J234" s="167" t="s">
        <v>79</v>
      </c>
      <c r="K234" s="167" t="s">
        <v>924</v>
      </c>
      <c r="L234" s="167" t="s">
        <v>336</v>
      </c>
      <c r="M234" s="167" t="s">
        <v>337</v>
      </c>
      <c r="N234" s="169">
        <f>COUNTIF($M$3:M234, M234)</f>
        <v>18</v>
      </c>
      <c r="O234" s="169" t="e" cm="1">
        <f t="array" ref="O234">INDEX('[2]ALTA 20242025'!$B$2:$B$241, MATCH(1, ('[2]ALTA 20242025'!$I$2:$I$241=M234)*('[2]ALTA 20242025'!$J$2:$J$241=N234), 0))</f>
        <v>#N/A</v>
      </c>
      <c r="P234" s="169"/>
      <c r="Q234" s="169"/>
      <c r="R234" s="167" t="s">
        <v>2048</v>
      </c>
      <c r="S234" s="167" t="s">
        <v>2048</v>
      </c>
      <c r="T234" s="167" t="s">
        <v>2048</v>
      </c>
      <c r="U234" s="167" t="s">
        <v>2048</v>
      </c>
      <c r="V234" s="167" t="s">
        <v>4192</v>
      </c>
      <c r="W234" s="167" t="s">
        <v>4722</v>
      </c>
      <c r="X234" s="167" t="s">
        <v>3845</v>
      </c>
      <c r="Y234" s="167" t="s">
        <v>4723</v>
      </c>
      <c r="Z234" s="167" t="s">
        <v>2048</v>
      </c>
      <c r="AA234" s="167" t="s">
        <v>2422</v>
      </c>
      <c r="AB234" s="167" t="s">
        <v>2049</v>
      </c>
      <c r="AC234" s="167" t="s">
        <v>2050</v>
      </c>
      <c r="AD234" s="167" t="s">
        <v>3612</v>
      </c>
      <c r="AE234" s="167" t="s">
        <v>3613</v>
      </c>
      <c r="AF234" s="167" t="s">
        <v>3614</v>
      </c>
      <c r="AG234" s="167" t="s">
        <v>200</v>
      </c>
      <c r="AH234" s="167" t="s">
        <v>3622</v>
      </c>
      <c r="AI234" s="167" t="s">
        <v>2132</v>
      </c>
      <c r="AJ234" s="167" t="s">
        <v>2133</v>
      </c>
      <c r="AK234" s="167" t="s">
        <v>2056</v>
      </c>
      <c r="AL234" s="167" t="s">
        <v>2056</v>
      </c>
      <c r="AM234" s="167" t="s">
        <v>2055</v>
      </c>
      <c r="AN234" s="167" t="s">
        <v>2068</v>
      </c>
      <c r="AO234" s="167" t="s">
        <v>2048</v>
      </c>
      <c r="AP234" s="167" t="s">
        <v>2048</v>
      </c>
      <c r="AQ234" s="167" t="s">
        <v>2048</v>
      </c>
      <c r="AR234" s="167" t="s">
        <v>4724</v>
      </c>
      <c r="AS234" s="167" t="s">
        <v>3776</v>
      </c>
      <c r="AT234" s="167" t="s">
        <v>3191</v>
      </c>
      <c r="AU234" s="167" t="s">
        <v>4725</v>
      </c>
      <c r="AV234" s="167" t="s">
        <v>2667</v>
      </c>
      <c r="AW234" s="167" t="s">
        <v>2668</v>
      </c>
      <c r="AX234" s="167" t="s">
        <v>72</v>
      </c>
      <c r="AY234" s="167" t="s">
        <v>2669</v>
      </c>
      <c r="AZ234" s="167" t="s">
        <v>2670</v>
      </c>
      <c r="BA234" s="167" t="s">
        <v>2048</v>
      </c>
      <c r="BB234" s="167" t="s">
        <v>2048</v>
      </c>
      <c r="BC234" s="167" t="s">
        <v>336</v>
      </c>
      <c r="BD234" s="167" t="s">
        <v>760</v>
      </c>
      <c r="BE234" s="167" t="s">
        <v>2671</v>
      </c>
      <c r="BF234" s="167" t="s">
        <v>2048</v>
      </c>
      <c r="BG234" s="167" t="s">
        <v>2048</v>
      </c>
      <c r="BH234" s="167" t="s">
        <v>2080</v>
      </c>
      <c r="BI234" s="167" t="s">
        <v>2081</v>
      </c>
      <c r="BJ234" s="167" t="s">
        <v>2672</v>
      </c>
      <c r="BK234" s="167" t="s">
        <v>2673</v>
      </c>
      <c r="BL234" s="167" t="s">
        <v>2674</v>
      </c>
      <c r="BM234" s="167" t="s">
        <v>2085</v>
      </c>
      <c r="BN234" s="167" t="s">
        <v>2048</v>
      </c>
      <c r="BO234" s="167" t="s">
        <v>2048</v>
      </c>
      <c r="BP234" s="167" t="s">
        <v>2064</v>
      </c>
      <c r="BQ234" s="167" t="s">
        <v>72</v>
      </c>
      <c r="BR234" s="167" t="s">
        <v>72</v>
      </c>
      <c r="BS234" s="167" t="s">
        <v>2048</v>
      </c>
      <c r="BT234" s="167" t="s">
        <v>2048</v>
      </c>
      <c r="BU234" s="167" t="s">
        <v>2048</v>
      </c>
      <c r="BV234" s="167" t="s">
        <v>2418</v>
      </c>
      <c r="BW234" s="167" t="s">
        <v>2089</v>
      </c>
      <c r="BX234" s="167" t="s">
        <v>2048</v>
      </c>
      <c r="BY234" s="167" t="s">
        <v>2048</v>
      </c>
      <c r="BZ234" s="167" t="s">
        <v>2048</v>
      </c>
      <c r="CA234" s="167" t="s">
        <v>2048</v>
      </c>
      <c r="CB234" s="167" t="s">
        <v>72</v>
      </c>
      <c r="CC234" s="167" t="s">
        <v>2048</v>
      </c>
      <c r="CD234" s="167" t="s">
        <v>72</v>
      </c>
      <c r="CE234" s="167" t="s">
        <v>2048</v>
      </c>
      <c r="CF234" s="167" t="s">
        <v>2048</v>
      </c>
      <c r="CG234" s="167" t="s">
        <v>2048</v>
      </c>
      <c r="CH234" s="167" t="s">
        <v>2048</v>
      </c>
      <c r="CI234" s="167" t="s">
        <v>2048</v>
      </c>
      <c r="CJ234" s="167" t="s">
        <v>2048</v>
      </c>
      <c r="CK234" s="167" t="s">
        <v>2057</v>
      </c>
      <c r="CL234" s="167" t="s">
        <v>2090</v>
      </c>
      <c r="CM234" s="167" t="s">
        <v>2048</v>
      </c>
      <c r="CN234" s="168"/>
      <c r="CO234" s="168">
        <v>44238</v>
      </c>
      <c r="CP234" s="168">
        <v>44238</v>
      </c>
      <c r="CQ234" s="170"/>
      <c r="CR234" s="168">
        <v>45761</v>
      </c>
      <c r="CS234" s="170">
        <v>48</v>
      </c>
      <c r="CT234" s="170">
        <v>0</v>
      </c>
      <c r="CU234" s="170">
        <v>228.93</v>
      </c>
      <c r="CV234" s="170">
        <v>0</v>
      </c>
      <c r="CW234" s="170">
        <v>228.93</v>
      </c>
      <c r="CX234" s="170">
        <v>277.01</v>
      </c>
      <c r="CY234" s="170">
        <v>0</v>
      </c>
      <c r="CZ234" s="168"/>
      <c r="DA234" s="170">
        <v>0</v>
      </c>
      <c r="DB234" s="168"/>
      <c r="DC234" s="168"/>
      <c r="DD234" s="170">
        <v>0</v>
      </c>
      <c r="DE234" s="168"/>
      <c r="DF234" s="168"/>
      <c r="DG234" s="170">
        <v>100</v>
      </c>
      <c r="DH234" s="168"/>
      <c r="DI234" s="168">
        <v>46022</v>
      </c>
      <c r="DJ234" s="168"/>
      <c r="DK234" s="168"/>
      <c r="DL234" s="170">
        <v>0</v>
      </c>
      <c r="DM234" s="170">
        <v>0</v>
      </c>
    </row>
    <row r="235" spans="1:117" x14ac:dyDescent="0.2">
      <c r="A235" s="33" t="s">
        <v>3610</v>
      </c>
      <c r="B235" s="33" t="s">
        <v>984</v>
      </c>
      <c r="C235" s="33" t="s">
        <v>73</v>
      </c>
      <c r="D235" s="33" t="s">
        <v>200</v>
      </c>
      <c r="E235" s="33" t="s">
        <v>201</v>
      </c>
      <c r="F235" s="33" t="s">
        <v>160</v>
      </c>
      <c r="G235" s="34">
        <v>45711</v>
      </c>
      <c r="H235" s="33" t="s">
        <v>161</v>
      </c>
      <c r="I235" s="33" t="s">
        <v>78</v>
      </c>
      <c r="J235" s="33" t="s">
        <v>79</v>
      </c>
      <c r="K235" s="33" t="s">
        <v>924</v>
      </c>
      <c r="L235" s="33" t="s">
        <v>985</v>
      </c>
      <c r="M235" s="33" t="s">
        <v>986</v>
      </c>
      <c r="N235" s="93">
        <f>COUNTIF($M$3:M235, M235)</f>
        <v>1</v>
      </c>
      <c r="O235" s="93" t="str" cm="1">
        <f t="array" ref="O235">INDEX('[2]ALTA 20242025'!$B$2:$B$241, MATCH(1, ('[2]ALTA 20242025'!$I$2:$I$241=M235)*('[2]ALTA 20242025'!$J$2:$J$241=N235), 0))</f>
        <v>5230MXL</v>
      </c>
      <c r="P235" s="40"/>
      <c r="Q235" s="40"/>
      <c r="R235" s="33" t="s">
        <v>2048</v>
      </c>
      <c r="S235" s="33" t="s">
        <v>2048</v>
      </c>
      <c r="T235" s="33" t="s">
        <v>2048</v>
      </c>
      <c r="U235" s="33" t="s">
        <v>2048</v>
      </c>
      <c r="V235" s="33" t="s">
        <v>4192</v>
      </c>
      <c r="W235" s="33" t="s">
        <v>4726</v>
      </c>
      <c r="X235" s="33" t="s">
        <v>4727</v>
      </c>
      <c r="Y235" s="33" t="s">
        <v>4728</v>
      </c>
      <c r="Z235" s="33" t="s">
        <v>2048</v>
      </c>
      <c r="AA235" s="33" t="s">
        <v>2422</v>
      </c>
      <c r="AB235" s="33" t="s">
        <v>2049</v>
      </c>
      <c r="AC235" s="33" t="s">
        <v>2050</v>
      </c>
      <c r="AD235" s="33" t="s">
        <v>3788</v>
      </c>
      <c r="AE235" s="33" t="s">
        <v>3613</v>
      </c>
      <c r="AF235" s="33" t="s">
        <v>3614</v>
      </c>
      <c r="AG235" s="33" t="s">
        <v>2048</v>
      </c>
      <c r="AH235" s="33" t="s">
        <v>2048</v>
      </c>
      <c r="AI235" s="33" t="s">
        <v>77</v>
      </c>
      <c r="AJ235" s="33" t="s">
        <v>2054</v>
      </c>
      <c r="AK235" s="33" t="s">
        <v>2056</v>
      </c>
      <c r="AL235" s="33" t="s">
        <v>2056</v>
      </c>
      <c r="AM235" s="33" t="s">
        <v>2055</v>
      </c>
      <c r="AN235" s="33" t="s">
        <v>2068</v>
      </c>
      <c r="AO235" s="33" t="s">
        <v>2048</v>
      </c>
      <c r="AP235" s="33" t="s">
        <v>2048</v>
      </c>
      <c r="AQ235" s="33" t="s">
        <v>2048</v>
      </c>
      <c r="AR235" s="33" t="s">
        <v>2888</v>
      </c>
      <c r="AS235" s="33" t="s">
        <v>3776</v>
      </c>
      <c r="AT235" s="33" t="s">
        <v>3191</v>
      </c>
      <c r="AU235" s="33" t="s">
        <v>4729</v>
      </c>
      <c r="AV235" s="33" t="s">
        <v>4730</v>
      </c>
      <c r="AW235" s="33" t="s">
        <v>4731</v>
      </c>
      <c r="AX235" s="33" t="s">
        <v>2048</v>
      </c>
      <c r="AY235" s="33" t="s">
        <v>2610</v>
      </c>
      <c r="AZ235" s="33" t="s">
        <v>2611</v>
      </c>
      <c r="BA235" s="33" t="s">
        <v>2048</v>
      </c>
      <c r="BB235" s="33" t="s">
        <v>2048</v>
      </c>
      <c r="BC235" s="33" t="s">
        <v>985</v>
      </c>
      <c r="BD235" s="33" t="s">
        <v>987</v>
      </c>
      <c r="BE235" s="33" t="s">
        <v>2891</v>
      </c>
      <c r="BF235" s="33" t="s">
        <v>2048</v>
      </c>
      <c r="BG235" s="33" t="s">
        <v>2048</v>
      </c>
      <c r="BH235" s="33" t="s">
        <v>2602</v>
      </c>
      <c r="BI235" s="33" t="s">
        <v>2892</v>
      </c>
      <c r="BJ235" s="33" t="s">
        <v>2613</v>
      </c>
      <c r="BK235" s="33" t="s">
        <v>2893</v>
      </c>
      <c r="BL235" s="33" t="s">
        <v>2615</v>
      </c>
      <c r="BM235" s="33" t="s">
        <v>2287</v>
      </c>
      <c r="BN235" s="33" t="s">
        <v>2048</v>
      </c>
      <c r="BO235" s="33" t="s">
        <v>2518</v>
      </c>
      <c r="BP235" s="33" t="s">
        <v>2064</v>
      </c>
      <c r="BQ235" s="33" t="s">
        <v>72</v>
      </c>
      <c r="BR235" s="33" t="s">
        <v>72</v>
      </c>
      <c r="BS235" s="33" t="s">
        <v>2048</v>
      </c>
      <c r="BT235" s="33" t="s">
        <v>2617</v>
      </c>
      <c r="BU235" s="33" t="s">
        <v>2618</v>
      </c>
      <c r="BV235" s="33" t="s">
        <v>2418</v>
      </c>
      <c r="BW235" s="33" t="s">
        <v>2089</v>
      </c>
      <c r="BX235" s="33" t="s">
        <v>2048</v>
      </c>
      <c r="BY235" s="33" t="s">
        <v>2048</v>
      </c>
      <c r="BZ235" s="33" t="s">
        <v>2048</v>
      </c>
      <c r="CA235" s="33" t="s">
        <v>2048</v>
      </c>
      <c r="CB235" s="33" t="s">
        <v>72</v>
      </c>
      <c r="CC235" s="33" t="s">
        <v>2048</v>
      </c>
      <c r="CD235" s="33" t="s">
        <v>2048</v>
      </c>
      <c r="CE235" s="33" t="s">
        <v>2048</v>
      </c>
      <c r="CF235" s="33" t="s">
        <v>2048</v>
      </c>
      <c r="CG235" s="33" t="s">
        <v>2048</v>
      </c>
      <c r="CH235" s="33" t="s">
        <v>2048</v>
      </c>
      <c r="CI235" s="33" t="s">
        <v>2048</v>
      </c>
      <c r="CJ235" s="33" t="s">
        <v>2048</v>
      </c>
      <c r="CK235" s="33" t="s">
        <v>2057</v>
      </c>
      <c r="CL235" s="33" t="s">
        <v>2090</v>
      </c>
      <c r="CM235" s="33" t="s">
        <v>2048</v>
      </c>
      <c r="CN235" s="34"/>
      <c r="CO235" s="34">
        <v>44250</v>
      </c>
      <c r="CP235" s="34">
        <v>44250</v>
      </c>
      <c r="CR235" s="34">
        <v>45615</v>
      </c>
      <c r="CS235" s="1">
        <v>48</v>
      </c>
      <c r="CT235" s="1">
        <v>0</v>
      </c>
      <c r="CU235" s="1">
        <v>265.52</v>
      </c>
      <c r="CV235" s="1">
        <v>0</v>
      </c>
      <c r="CW235" s="1">
        <v>265.52</v>
      </c>
      <c r="CX235" s="1">
        <v>321.27999999999997</v>
      </c>
      <c r="CY235" s="1">
        <v>0</v>
      </c>
      <c r="CZ235" s="34"/>
      <c r="DA235" s="1">
        <v>0</v>
      </c>
      <c r="DB235" s="34"/>
      <c r="DC235" s="34"/>
      <c r="DD235" s="1">
        <v>0</v>
      </c>
      <c r="DE235" s="34"/>
      <c r="DF235" s="34"/>
      <c r="DG235" s="1">
        <v>100</v>
      </c>
      <c r="DH235" s="34"/>
      <c r="DI235" s="34">
        <v>46022</v>
      </c>
      <c r="DJ235" s="34"/>
      <c r="DK235" s="34"/>
      <c r="DL235" s="1">
        <v>0</v>
      </c>
      <c r="DM235" s="1">
        <v>0</v>
      </c>
    </row>
    <row r="236" spans="1:117" x14ac:dyDescent="0.2">
      <c r="A236" s="33" t="s">
        <v>3610</v>
      </c>
      <c r="B236" s="33" t="s">
        <v>992</v>
      </c>
      <c r="C236" s="33" t="s">
        <v>73</v>
      </c>
      <c r="D236" s="33" t="s">
        <v>200</v>
      </c>
      <c r="E236" s="33" t="s">
        <v>201</v>
      </c>
      <c r="F236" s="33" t="s">
        <v>76</v>
      </c>
      <c r="G236" s="34">
        <v>45716</v>
      </c>
      <c r="H236" s="33" t="s">
        <v>77</v>
      </c>
      <c r="I236" s="33" t="s">
        <v>78</v>
      </c>
      <c r="J236" s="33" t="s">
        <v>79</v>
      </c>
      <c r="K236" s="33" t="s">
        <v>924</v>
      </c>
      <c r="L236" s="33" t="s">
        <v>102</v>
      </c>
      <c r="M236" s="33" t="s">
        <v>103</v>
      </c>
      <c r="N236" s="48">
        <f>COUNTIF($M$3:M236, M236)</f>
        <v>43</v>
      </c>
      <c r="O236" s="48" t="str" cm="1">
        <f t="array" ref="O236">INDEX('[2]ALTA 20242025'!$B$2:$B$241, MATCH(1, ('[2]ALTA 20242025'!$I$2:$I$241=M236)*('[2]ALTA 20242025'!$J$2:$J$241=N236), 0))</f>
        <v>8618MWT</v>
      </c>
      <c r="P236" s="40"/>
      <c r="Q236" s="40"/>
      <c r="R236" s="33" t="s">
        <v>2048</v>
      </c>
      <c r="S236" s="33" t="s">
        <v>2048</v>
      </c>
      <c r="T236" s="33" t="s">
        <v>2048</v>
      </c>
      <c r="U236" s="33" t="s">
        <v>2048</v>
      </c>
      <c r="V236" s="33" t="s">
        <v>4192</v>
      </c>
      <c r="W236" s="33" t="s">
        <v>4732</v>
      </c>
      <c r="X236" s="33" t="s">
        <v>3926</v>
      </c>
      <c r="Y236" s="33" t="s">
        <v>4733</v>
      </c>
      <c r="Z236" s="33" t="s">
        <v>2048</v>
      </c>
      <c r="AA236" s="33" t="s">
        <v>2422</v>
      </c>
      <c r="AB236" s="33" t="s">
        <v>2049</v>
      </c>
      <c r="AC236" s="33" t="s">
        <v>2050</v>
      </c>
      <c r="AD236" s="33" t="s">
        <v>3690</v>
      </c>
      <c r="AE236" s="33" t="s">
        <v>3613</v>
      </c>
      <c r="AF236" s="33" t="s">
        <v>3614</v>
      </c>
      <c r="AG236" s="33" t="s">
        <v>200</v>
      </c>
      <c r="AH236" s="33" t="s">
        <v>3622</v>
      </c>
      <c r="AI236" s="33" t="s">
        <v>2072</v>
      </c>
      <c r="AJ236" s="33" t="s">
        <v>2073</v>
      </c>
      <c r="AK236" s="33" t="s">
        <v>2055</v>
      </c>
      <c r="AL236" s="33" t="s">
        <v>2055</v>
      </c>
      <c r="AM236" s="33" t="s">
        <v>2055</v>
      </c>
      <c r="AN236" s="33" t="s">
        <v>2068</v>
      </c>
      <c r="AO236" s="33" t="s">
        <v>2048</v>
      </c>
      <c r="AP236" s="33" t="s">
        <v>2048</v>
      </c>
      <c r="AQ236" s="33" t="s">
        <v>2048</v>
      </c>
      <c r="AR236" s="33" t="s">
        <v>3144</v>
      </c>
      <c r="AS236" s="33" t="s">
        <v>3776</v>
      </c>
      <c r="AT236" s="33" t="s">
        <v>3191</v>
      </c>
      <c r="AU236" s="33" t="s">
        <v>4734</v>
      </c>
      <c r="AV236" s="33" t="s">
        <v>4735</v>
      </c>
      <c r="AW236" s="33" t="s">
        <v>4736</v>
      </c>
      <c r="AX236" s="33" t="s">
        <v>2048</v>
      </c>
      <c r="AY236" s="33" t="s">
        <v>2779</v>
      </c>
      <c r="AZ236" s="33" t="s">
        <v>2780</v>
      </c>
      <c r="BA236" s="33" t="s">
        <v>2048</v>
      </c>
      <c r="BB236" s="33" t="s">
        <v>2048</v>
      </c>
      <c r="BC236" s="33" t="s">
        <v>102</v>
      </c>
      <c r="BD236" s="33" t="s">
        <v>993</v>
      </c>
      <c r="BE236" s="33" t="s">
        <v>4737</v>
      </c>
      <c r="BF236" s="33" t="s">
        <v>2048</v>
      </c>
      <c r="BG236" s="33" t="s">
        <v>2048</v>
      </c>
      <c r="BH236" s="33" t="s">
        <v>2282</v>
      </c>
      <c r="BI236" s="33" t="s">
        <v>2782</v>
      </c>
      <c r="BJ236" s="33" t="s">
        <v>2783</v>
      </c>
      <c r="BK236" s="33" t="s">
        <v>2784</v>
      </c>
      <c r="BL236" s="33" t="s">
        <v>2785</v>
      </c>
      <c r="BM236" s="33" t="s">
        <v>2287</v>
      </c>
      <c r="BN236" s="33" t="s">
        <v>2048</v>
      </c>
      <c r="BO236" s="33" t="s">
        <v>2518</v>
      </c>
      <c r="BP236" s="33" t="s">
        <v>2064</v>
      </c>
      <c r="BQ236" s="33" t="s">
        <v>72</v>
      </c>
      <c r="BR236" s="33" t="s">
        <v>72</v>
      </c>
      <c r="BS236" s="33" t="s">
        <v>2048</v>
      </c>
      <c r="BT236" s="33" t="s">
        <v>4738</v>
      </c>
      <c r="BU236" s="33" t="s">
        <v>4739</v>
      </c>
      <c r="BV236" s="33" t="s">
        <v>2418</v>
      </c>
      <c r="BW236" s="33" t="s">
        <v>2089</v>
      </c>
      <c r="BX236" s="33" t="s">
        <v>2048</v>
      </c>
      <c r="BY236" s="33" t="s">
        <v>2048</v>
      </c>
      <c r="BZ236" s="33" t="s">
        <v>2048</v>
      </c>
      <c r="CA236" s="33" t="s">
        <v>2048</v>
      </c>
      <c r="CB236" s="33" t="s">
        <v>2048</v>
      </c>
      <c r="CC236" s="33" t="s">
        <v>2048</v>
      </c>
      <c r="CD236" s="33" t="s">
        <v>2048</v>
      </c>
      <c r="CE236" s="33" t="s">
        <v>2048</v>
      </c>
      <c r="CF236" s="33" t="s">
        <v>2048</v>
      </c>
      <c r="CG236" s="33" t="s">
        <v>2048</v>
      </c>
      <c r="CH236" s="33" t="s">
        <v>2048</v>
      </c>
      <c r="CI236" s="33" t="s">
        <v>2048</v>
      </c>
      <c r="CJ236" s="33" t="s">
        <v>2048</v>
      </c>
      <c r="CK236" s="33" t="s">
        <v>2057</v>
      </c>
      <c r="CL236" s="33" t="s">
        <v>2090</v>
      </c>
      <c r="CM236" s="33" t="s">
        <v>2048</v>
      </c>
      <c r="CN236" s="34"/>
      <c r="CO236" s="34">
        <v>44228</v>
      </c>
      <c r="CP236" s="34">
        <v>44228</v>
      </c>
      <c r="CR236" s="34">
        <v>45743</v>
      </c>
      <c r="CS236" s="1">
        <v>48</v>
      </c>
      <c r="CT236" s="1">
        <v>0</v>
      </c>
      <c r="CU236" s="1">
        <v>240.08</v>
      </c>
      <c r="CV236" s="1">
        <v>0</v>
      </c>
      <c r="CW236" s="1">
        <v>240.08</v>
      </c>
      <c r="CX236" s="1">
        <v>290.5</v>
      </c>
      <c r="CY236" s="1">
        <v>0</v>
      </c>
      <c r="CZ236" s="34"/>
      <c r="DA236" s="1">
        <v>0</v>
      </c>
      <c r="DB236" s="34"/>
      <c r="DC236" s="34"/>
      <c r="DD236" s="1">
        <v>0</v>
      </c>
      <c r="DE236" s="34"/>
      <c r="DF236" s="34"/>
      <c r="DG236" s="1">
        <v>100</v>
      </c>
      <c r="DH236" s="34"/>
      <c r="DI236" s="34">
        <v>46022</v>
      </c>
      <c r="DJ236" s="34"/>
      <c r="DK236" s="34"/>
      <c r="DL236" s="1">
        <v>0</v>
      </c>
      <c r="DM236" s="1">
        <v>0</v>
      </c>
    </row>
    <row r="237" spans="1:117" x14ac:dyDescent="0.2">
      <c r="A237" s="167" t="s">
        <v>3610</v>
      </c>
      <c r="B237" s="167" t="s">
        <v>1452</v>
      </c>
      <c r="C237" s="167" t="s">
        <v>73</v>
      </c>
      <c r="D237" s="167" t="s">
        <v>200</v>
      </c>
      <c r="E237" s="167" t="s">
        <v>201</v>
      </c>
      <c r="F237" s="167" t="s">
        <v>76</v>
      </c>
      <c r="G237" s="168">
        <v>45721</v>
      </c>
      <c r="H237" s="167" t="s">
        <v>77</v>
      </c>
      <c r="I237" s="167" t="s">
        <v>78</v>
      </c>
      <c r="J237" s="167" t="s">
        <v>79</v>
      </c>
      <c r="K237" s="167" t="s">
        <v>924</v>
      </c>
      <c r="L237" s="167" t="s">
        <v>119</v>
      </c>
      <c r="M237" s="167" t="s">
        <v>120</v>
      </c>
      <c r="N237" s="169">
        <f>COUNTIF($M$3:M237, M237)</f>
        <v>33</v>
      </c>
      <c r="O237" s="169" t="e" cm="1">
        <f t="array" ref="O237">INDEX('[2]ALTA 20242025'!$B$2:$B$241, MATCH(1, ('[2]ALTA 20242025'!$I$2:$I$241=M237)*('[2]ALTA 20242025'!$J$2:$J$241=N237), 0))</f>
        <v>#N/A</v>
      </c>
      <c r="P237" s="169"/>
      <c r="Q237" s="169"/>
      <c r="R237" s="167" t="s">
        <v>2048</v>
      </c>
      <c r="S237" s="167" t="s">
        <v>2048</v>
      </c>
      <c r="T237" s="167" t="s">
        <v>2048</v>
      </c>
      <c r="U237" s="167" t="s">
        <v>2048</v>
      </c>
      <c r="V237" s="167" t="s">
        <v>4192</v>
      </c>
      <c r="W237" s="167" t="s">
        <v>4740</v>
      </c>
      <c r="X237" s="167" t="s">
        <v>4010</v>
      </c>
      <c r="Y237" s="167" t="s">
        <v>4741</v>
      </c>
      <c r="Z237" s="167" t="s">
        <v>2048</v>
      </c>
      <c r="AA237" s="167" t="s">
        <v>2422</v>
      </c>
      <c r="AB237" s="167" t="s">
        <v>2049</v>
      </c>
      <c r="AC237" s="167" t="s">
        <v>2050</v>
      </c>
      <c r="AD237" s="167" t="s">
        <v>3612</v>
      </c>
      <c r="AE237" s="167" t="s">
        <v>3613</v>
      </c>
      <c r="AF237" s="167" t="s">
        <v>3614</v>
      </c>
      <c r="AG237" s="167" t="s">
        <v>2048</v>
      </c>
      <c r="AH237" s="167" t="s">
        <v>2048</v>
      </c>
      <c r="AI237" s="167" t="s">
        <v>2132</v>
      </c>
      <c r="AJ237" s="167" t="s">
        <v>2133</v>
      </c>
      <c r="AK237" s="167" t="s">
        <v>2055</v>
      </c>
      <c r="AL237" s="167" t="s">
        <v>2055</v>
      </c>
      <c r="AM237" s="167" t="s">
        <v>2055</v>
      </c>
      <c r="AN237" s="167" t="s">
        <v>2068</v>
      </c>
      <c r="AO237" s="167" t="s">
        <v>2048</v>
      </c>
      <c r="AP237" s="167" t="s">
        <v>2048</v>
      </c>
      <c r="AQ237" s="167" t="s">
        <v>4196</v>
      </c>
      <c r="AR237" s="167" t="s">
        <v>2048</v>
      </c>
      <c r="AS237" s="167" t="s">
        <v>2048</v>
      </c>
      <c r="AT237" s="167" t="s">
        <v>2048</v>
      </c>
      <c r="AU237" s="167" t="s">
        <v>4742</v>
      </c>
      <c r="AV237" s="167" t="s">
        <v>4743</v>
      </c>
      <c r="AW237" s="167" t="s">
        <v>4744</v>
      </c>
      <c r="AX237" s="167" t="s">
        <v>2048</v>
      </c>
      <c r="AY237" s="167" t="s">
        <v>2993</v>
      </c>
      <c r="AZ237" s="167" t="s">
        <v>2994</v>
      </c>
      <c r="BA237" s="167" t="s">
        <v>2048</v>
      </c>
      <c r="BB237" s="167" t="s">
        <v>2048</v>
      </c>
      <c r="BC237" s="167" t="s">
        <v>119</v>
      </c>
      <c r="BD237" s="167" t="s">
        <v>1453</v>
      </c>
      <c r="BE237" s="167" t="s">
        <v>4745</v>
      </c>
      <c r="BF237" s="167" t="s">
        <v>2048</v>
      </c>
      <c r="BG237" s="167" t="s">
        <v>2048</v>
      </c>
      <c r="BH237" s="167" t="s">
        <v>2576</v>
      </c>
      <c r="BI237" s="167" t="s">
        <v>2577</v>
      </c>
      <c r="BJ237" s="167" t="s">
        <v>2961</v>
      </c>
      <c r="BK237" s="167" t="s">
        <v>2962</v>
      </c>
      <c r="BL237" s="167" t="s">
        <v>2963</v>
      </c>
      <c r="BM237" s="167" t="s">
        <v>2287</v>
      </c>
      <c r="BN237" s="167" t="s">
        <v>2048</v>
      </c>
      <c r="BO237" s="167" t="s">
        <v>2048</v>
      </c>
      <c r="BP237" s="167" t="s">
        <v>2064</v>
      </c>
      <c r="BQ237" s="167" t="s">
        <v>72</v>
      </c>
      <c r="BR237" s="167" t="s">
        <v>72</v>
      </c>
      <c r="BS237" s="167" t="s">
        <v>2048</v>
      </c>
      <c r="BT237" s="167" t="s">
        <v>2986</v>
      </c>
      <c r="BU237" s="167" t="s">
        <v>2987</v>
      </c>
      <c r="BV237" s="167" t="s">
        <v>2418</v>
      </c>
      <c r="BW237" s="167" t="s">
        <v>2089</v>
      </c>
      <c r="BX237" s="167" t="s">
        <v>2048</v>
      </c>
      <c r="BY237" s="167" t="s">
        <v>2048</v>
      </c>
      <c r="BZ237" s="167" t="s">
        <v>2048</v>
      </c>
      <c r="CA237" s="167" t="s">
        <v>2048</v>
      </c>
      <c r="CB237" s="167" t="s">
        <v>72</v>
      </c>
      <c r="CC237" s="167" t="s">
        <v>2048</v>
      </c>
      <c r="CD237" s="167" t="s">
        <v>2048</v>
      </c>
      <c r="CE237" s="167" t="s">
        <v>2048</v>
      </c>
      <c r="CF237" s="167" t="s">
        <v>2048</v>
      </c>
      <c r="CG237" s="167" t="s">
        <v>2048</v>
      </c>
      <c r="CH237" s="167" t="s">
        <v>2048</v>
      </c>
      <c r="CI237" s="167" t="s">
        <v>2048</v>
      </c>
      <c r="CJ237" s="167" t="s">
        <v>2048</v>
      </c>
      <c r="CK237" s="167" t="s">
        <v>2057</v>
      </c>
      <c r="CL237" s="167" t="s">
        <v>2090</v>
      </c>
      <c r="CM237" s="167" t="s">
        <v>2048</v>
      </c>
      <c r="CN237" s="168"/>
      <c r="CO237" s="168">
        <v>44260</v>
      </c>
      <c r="CP237" s="168">
        <v>44260</v>
      </c>
      <c r="CQ237" s="170"/>
      <c r="CR237" s="168">
        <v>45478</v>
      </c>
      <c r="CS237" s="170">
        <v>48</v>
      </c>
      <c r="CT237" s="170">
        <v>48</v>
      </c>
      <c r="CU237" s="170">
        <v>247.28</v>
      </c>
      <c r="CV237" s="170">
        <v>0</v>
      </c>
      <c r="CW237" s="170">
        <v>247.28</v>
      </c>
      <c r="CX237" s="170">
        <v>299.20999999999998</v>
      </c>
      <c r="CY237" s="170">
        <v>0</v>
      </c>
      <c r="CZ237" s="168"/>
      <c r="DA237" s="170">
        <v>0</v>
      </c>
      <c r="DB237" s="168"/>
      <c r="DC237" s="168"/>
      <c r="DD237" s="170">
        <v>0</v>
      </c>
      <c r="DE237" s="168"/>
      <c r="DF237" s="168"/>
      <c r="DG237" s="170">
        <v>100</v>
      </c>
      <c r="DH237" s="168"/>
      <c r="DI237" s="168">
        <v>46022</v>
      </c>
      <c r="DJ237" s="168"/>
      <c r="DK237" s="168"/>
      <c r="DL237" s="170">
        <v>0</v>
      </c>
      <c r="DM237" s="170">
        <v>0</v>
      </c>
    </row>
    <row r="238" spans="1:117" x14ac:dyDescent="0.2">
      <c r="A238" s="33" t="s">
        <v>3610</v>
      </c>
      <c r="B238" s="33" t="s">
        <v>998</v>
      </c>
      <c r="C238" s="33" t="s">
        <v>73</v>
      </c>
      <c r="D238" s="33" t="s">
        <v>200</v>
      </c>
      <c r="E238" s="33" t="s">
        <v>201</v>
      </c>
      <c r="F238" s="33" t="s">
        <v>160</v>
      </c>
      <c r="G238" s="34">
        <v>45731</v>
      </c>
      <c r="H238" s="33" t="s">
        <v>161</v>
      </c>
      <c r="I238" s="33" t="s">
        <v>78</v>
      </c>
      <c r="J238" s="33" t="s">
        <v>79</v>
      </c>
      <c r="K238" s="33" t="s">
        <v>924</v>
      </c>
      <c r="L238" s="33" t="s">
        <v>102</v>
      </c>
      <c r="M238" s="33" t="s">
        <v>103</v>
      </c>
      <c r="N238" s="93">
        <f>COUNTIF($M$3:M238, M238)</f>
        <v>44</v>
      </c>
      <c r="O238" s="93" t="str" cm="1">
        <f t="array" ref="O238">INDEX('[2]ALTA 20242025'!$B$2:$B$241, MATCH(1, ('[2]ALTA 20242025'!$I$2:$I$241=M238)*('[2]ALTA 20242025'!$J$2:$J$241=N238), 0))</f>
        <v>8619MWT</v>
      </c>
      <c r="P238" s="40"/>
      <c r="Q238" s="40"/>
      <c r="R238" s="33" t="s">
        <v>2048</v>
      </c>
      <c r="S238" s="33" t="s">
        <v>2048</v>
      </c>
      <c r="T238" s="33" t="s">
        <v>2048</v>
      </c>
      <c r="U238" s="33" t="s">
        <v>2048</v>
      </c>
      <c r="V238" s="33" t="s">
        <v>4192</v>
      </c>
      <c r="W238" s="33" t="s">
        <v>4746</v>
      </c>
      <c r="X238" s="33" t="s">
        <v>3926</v>
      </c>
      <c r="Y238" s="33" t="s">
        <v>4747</v>
      </c>
      <c r="Z238" s="33" t="s">
        <v>2048</v>
      </c>
      <c r="AA238" s="33" t="s">
        <v>2422</v>
      </c>
      <c r="AB238" s="33" t="s">
        <v>2049</v>
      </c>
      <c r="AC238" s="33" t="s">
        <v>2050</v>
      </c>
      <c r="AD238" s="33" t="s">
        <v>3834</v>
      </c>
      <c r="AE238" s="33" t="s">
        <v>3613</v>
      </c>
      <c r="AF238" s="33" t="s">
        <v>3614</v>
      </c>
      <c r="AG238" s="33" t="s">
        <v>2048</v>
      </c>
      <c r="AH238" s="33" t="s">
        <v>2048</v>
      </c>
      <c r="AI238" s="33" t="s">
        <v>2072</v>
      </c>
      <c r="AJ238" s="33" t="s">
        <v>2073</v>
      </c>
      <c r="AK238" s="33" t="s">
        <v>2056</v>
      </c>
      <c r="AL238" s="33" t="s">
        <v>2056</v>
      </c>
      <c r="AM238" s="33" t="s">
        <v>2055</v>
      </c>
      <c r="AN238" s="33" t="s">
        <v>2068</v>
      </c>
      <c r="AO238" s="33" t="s">
        <v>2048</v>
      </c>
      <c r="AP238" s="33" t="s">
        <v>2048</v>
      </c>
      <c r="AQ238" s="33" t="s">
        <v>2048</v>
      </c>
      <c r="AR238" s="33" t="s">
        <v>2775</v>
      </c>
      <c r="AS238" s="33" t="s">
        <v>3776</v>
      </c>
      <c r="AT238" s="33" t="s">
        <v>3655</v>
      </c>
      <c r="AU238" s="33" t="s">
        <v>4748</v>
      </c>
      <c r="AV238" s="33" t="s">
        <v>2777</v>
      </c>
      <c r="AW238" s="33" t="s">
        <v>2778</v>
      </c>
      <c r="AX238" s="33" t="s">
        <v>2048</v>
      </c>
      <c r="AY238" s="33" t="s">
        <v>2779</v>
      </c>
      <c r="AZ238" s="33" t="s">
        <v>2780</v>
      </c>
      <c r="BA238" s="33" t="s">
        <v>2048</v>
      </c>
      <c r="BB238" s="33" t="s">
        <v>2048</v>
      </c>
      <c r="BC238" s="33" t="s">
        <v>102</v>
      </c>
      <c r="BD238" s="33" t="s">
        <v>669</v>
      </c>
      <c r="BE238" s="33" t="s">
        <v>2781</v>
      </c>
      <c r="BF238" s="33" t="s">
        <v>2048</v>
      </c>
      <c r="BG238" s="33" t="s">
        <v>2048</v>
      </c>
      <c r="BH238" s="33" t="s">
        <v>2282</v>
      </c>
      <c r="BI238" s="33" t="s">
        <v>2782</v>
      </c>
      <c r="BJ238" s="33" t="s">
        <v>2783</v>
      </c>
      <c r="BK238" s="33" t="s">
        <v>2784</v>
      </c>
      <c r="BL238" s="33" t="s">
        <v>2785</v>
      </c>
      <c r="BM238" s="33" t="s">
        <v>2287</v>
      </c>
      <c r="BN238" s="33" t="s">
        <v>2048</v>
      </c>
      <c r="BO238" s="33" t="s">
        <v>2048</v>
      </c>
      <c r="BP238" s="33" t="s">
        <v>2064</v>
      </c>
      <c r="BQ238" s="33" t="s">
        <v>72</v>
      </c>
      <c r="BR238" s="33" t="s">
        <v>72</v>
      </c>
      <c r="BS238" s="33" t="s">
        <v>2048</v>
      </c>
      <c r="BT238" s="33" t="s">
        <v>2787</v>
      </c>
      <c r="BU238" s="33" t="s">
        <v>2775</v>
      </c>
      <c r="BV238" s="33" t="s">
        <v>2418</v>
      </c>
      <c r="BW238" s="33" t="s">
        <v>2089</v>
      </c>
      <c r="BX238" s="33" t="s">
        <v>2048</v>
      </c>
      <c r="BY238" s="33" t="s">
        <v>2048</v>
      </c>
      <c r="BZ238" s="33" t="s">
        <v>2048</v>
      </c>
      <c r="CA238" s="33" t="s">
        <v>2048</v>
      </c>
      <c r="CB238" s="33" t="s">
        <v>72</v>
      </c>
      <c r="CC238" s="33" t="s">
        <v>2048</v>
      </c>
      <c r="CD238" s="33" t="s">
        <v>2048</v>
      </c>
      <c r="CE238" s="33" t="s">
        <v>2048</v>
      </c>
      <c r="CF238" s="33" t="s">
        <v>2048</v>
      </c>
      <c r="CG238" s="33" t="s">
        <v>2048</v>
      </c>
      <c r="CH238" s="33" t="s">
        <v>2048</v>
      </c>
      <c r="CI238" s="33" t="s">
        <v>2048</v>
      </c>
      <c r="CJ238" s="33" t="s">
        <v>2048</v>
      </c>
      <c r="CK238" s="33" t="s">
        <v>2057</v>
      </c>
      <c r="CL238" s="33" t="s">
        <v>2090</v>
      </c>
      <c r="CM238" s="33" t="s">
        <v>2048</v>
      </c>
      <c r="CN238" s="34"/>
      <c r="CO238" s="34">
        <v>44270</v>
      </c>
      <c r="CP238" s="34">
        <v>44270</v>
      </c>
      <c r="CR238" s="34">
        <v>45471</v>
      </c>
      <c r="CS238" s="1">
        <v>48</v>
      </c>
      <c r="CT238" s="1">
        <v>0</v>
      </c>
      <c r="CU238" s="1">
        <v>279.82</v>
      </c>
      <c r="CV238" s="1">
        <v>0</v>
      </c>
      <c r="CW238" s="1">
        <v>279.82</v>
      </c>
      <c r="CX238" s="1">
        <v>338.58</v>
      </c>
      <c r="CY238" s="1">
        <v>0</v>
      </c>
      <c r="CZ238" s="34"/>
      <c r="DA238" s="1">
        <v>0</v>
      </c>
      <c r="DB238" s="34"/>
      <c r="DC238" s="34"/>
      <c r="DD238" s="1">
        <v>0</v>
      </c>
      <c r="DE238" s="34"/>
      <c r="DF238" s="34"/>
      <c r="DG238" s="1">
        <v>100</v>
      </c>
      <c r="DH238" s="34"/>
      <c r="DI238" s="34">
        <v>46022</v>
      </c>
      <c r="DJ238" s="34"/>
      <c r="DK238" s="34"/>
      <c r="DL238" s="1">
        <v>0</v>
      </c>
      <c r="DM238" s="1">
        <v>0</v>
      </c>
    </row>
    <row r="239" spans="1:117" x14ac:dyDescent="0.2">
      <c r="A239" s="33" t="s">
        <v>3610</v>
      </c>
      <c r="B239" s="33" t="s">
        <v>939</v>
      </c>
      <c r="C239" s="33" t="s">
        <v>73</v>
      </c>
      <c r="D239" s="33" t="s">
        <v>200</v>
      </c>
      <c r="E239" s="33" t="s">
        <v>201</v>
      </c>
      <c r="F239" s="33" t="s">
        <v>76</v>
      </c>
      <c r="G239" s="34">
        <v>45747</v>
      </c>
      <c r="H239" s="33" t="s">
        <v>77</v>
      </c>
      <c r="I239" s="33" t="s">
        <v>78</v>
      </c>
      <c r="J239" s="33" t="s">
        <v>79</v>
      </c>
      <c r="K239" s="33" t="s">
        <v>924</v>
      </c>
      <c r="L239" s="33" t="s">
        <v>102</v>
      </c>
      <c r="M239" s="33" t="s">
        <v>103</v>
      </c>
      <c r="N239" s="16">
        <f>COUNTIF($M$3:M239, M239)</f>
        <v>45</v>
      </c>
      <c r="O239" s="16" t="str" cm="1">
        <f t="array" ref="O239">INDEX('[2]ALTA 20242025'!$B$2:$B$241, MATCH(1, ('[2]ALTA 20242025'!$I$2:$I$241=M239)*('[2]ALTA 20242025'!$J$2:$J$241=N239), 0))</f>
        <v>8624MWT</v>
      </c>
      <c r="P239" s="40"/>
      <c r="Q239" s="40"/>
      <c r="R239" s="33" t="s">
        <v>2048</v>
      </c>
      <c r="S239" s="33" t="s">
        <v>2048</v>
      </c>
      <c r="T239" s="33" t="s">
        <v>2048</v>
      </c>
      <c r="U239" s="33" t="s">
        <v>2048</v>
      </c>
      <c r="V239" s="33" t="s">
        <v>4192</v>
      </c>
      <c r="W239" s="33" t="s">
        <v>4749</v>
      </c>
      <c r="X239" s="33" t="s">
        <v>3926</v>
      </c>
      <c r="Y239" s="33" t="s">
        <v>4750</v>
      </c>
      <c r="Z239" s="33" t="s">
        <v>2048</v>
      </c>
      <c r="AA239" s="33" t="s">
        <v>2422</v>
      </c>
      <c r="AB239" s="33" t="s">
        <v>2049</v>
      </c>
      <c r="AC239" s="33" t="s">
        <v>2050</v>
      </c>
      <c r="AD239" s="33" t="s">
        <v>3788</v>
      </c>
      <c r="AE239" s="33" t="s">
        <v>3613</v>
      </c>
      <c r="AF239" s="33" t="s">
        <v>3614</v>
      </c>
      <c r="AG239" s="33" t="s">
        <v>200</v>
      </c>
      <c r="AH239" s="33" t="s">
        <v>3622</v>
      </c>
      <c r="AI239" s="33" t="s">
        <v>2072</v>
      </c>
      <c r="AJ239" s="33" t="s">
        <v>2073</v>
      </c>
      <c r="AK239" s="33" t="s">
        <v>2055</v>
      </c>
      <c r="AL239" s="33" t="s">
        <v>2056</v>
      </c>
      <c r="AM239" s="33" t="s">
        <v>2055</v>
      </c>
      <c r="AN239" s="33" t="s">
        <v>2068</v>
      </c>
      <c r="AO239" s="33" t="s">
        <v>2048</v>
      </c>
      <c r="AP239" s="33" t="s">
        <v>2048</v>
      </c>
      <c r="AQ239" s="33" t="s">
        <v>2048</v>
      </c>
      <c r="AR239" s="33" t="s">
        <v>3318</v>
      </c>
      <c r="AS239" s="33" t="s">
        <v>3776</v>
      </c>
      <c r="AT239" s="33" t="s">
        <v>3655</v>
      </c>
      <c r="AU239" s="33" t="s">
        <v>4751</v>
      </c>
      <c r="AV239" s="33" t="s">
        <v>3319</v>
      </c>
      <c r="AW239" s="33" t="s">
        <v>3320</v>
      </c>
      <c r="AX239" s="33" t="s">
        <v>2048</v>
      </c>
      <c r="AY239" s="33" t="s">
        <v>2881</v>
      </c>
      <c r="AZ239" s="33" t="s">
        <v>2882</v>
      </c>
      <c r="BA239" s="33" t="s">
        <v>2048</v>
      </c>
      <c r="BB239" s="33" t="s">
        <v>2048</v>
      </c>
      <c r="BC239" s="33" t="s">
        <v>102</v>
      </c>
      <c r="BD239" s="33" t="s">
        <v>495</v>
      </c>
      <c r="BE239" s="33" t="s">
        <v>3321</v>
      </c>
      <c r="BF239" s="33" t="s">
        <v>2048</v>
      </c>
      <c r="BG239" s="33" t="s">
        <v>2048</v>
      </c>
      <c r="BH239" s="33" t="s">
        <v>2282</v>
      </c>
      <c r="BI239" s="33" t="s">
        <v>2782</v>
      </c>
      <c r="BJ239" s="33" t="s">
        <v>2783</v>
      </c>
      <c r="BK239" s="33" t="s">
        <v>2784</v>
      </c>
      <c r="BL239" s="33" t="s">
        <v>2884</v>
      </c>
      <c r="BM239" s="33" t="s">
        <v>2287</v>
      </c>
      <c r="BN239" s="33" t="s">
        <v>2048</v>
      </c>
      <c r="BO239" s="33" t="s">
        <v>2048</v>
      </c>
      <c r="BP239" s="33" t="s">
        <v>2064</v>
      </c>
      <c r="BQ239" s="33" t="s">
        <v>2048</v>
      </c>
      <c r="BR239" s="33" t="s">
        <v>2048</v>
      </c>
      <c r="BS239" s="33" t="s">
        <v>2048</v>
      </c>
      <c r="BT239" s="33" t="s">
        <v>3323</v>
      </c>
      <c r="BU239" s="33" t="s">
        <v>3324</v>
      </c>
      <c r="BV239" s="33" t="s">
        <v>2418</v>
      </c>
      <c r="BW239" s="33" t="s">
        <v>2089</v>
      </c>
      <c r="BX239" s="33" t="s">
        <v>2048</v>
      </c>
      <c r="BY239" s="33" t="s">
        <v>2048</v>
      </c>
      <c r="BZ239" s="33" t="s">
        <v>2048</v>
      </c>
      <c r="CA239" s="33" t="s">
        <v>2048</v>
      </c>
      <c r="CB239" s="33" t="s">
        <v>2048</v>
      </c>
      <c r="CC239" s="33" t="s">
        <v>2048</v>
      </c>
      <c r="CD239" s="33" t="s">
        <v>2048</v>
      </c>
      <c r="CE239" s="33" t="s">
        <v>2048</v>
      </c>
      <c r="CF239" s="33" t="s">
        <v>2048</v>
      </c>
      <c r="CG239" s="33" t="s">
        <v>2048</v>
      </c>
      <c r="CH239" s="33" t="s">
        <v>2048</v>
      </c>
      <c r="CI239" s="33" t="s">
        <v>2048</v>
      </c>
      <c r="CJ239" s="33" t="s">
        <v>2048</v>
      </c>
      <c r="CK239" s="33" t="s">
        <v>2057</v>
      </c>
      <c r="CL239" s="33" t="s">
        <v>2090</v>
      </c>
      <c r="CM239" s="33" t="s">
        <v>2048</v>
      </c>
      <c r="CN239" s="34"/>
      <c r="CO239" s="34">
        <v>44263</v>
      </c>
      <c r="CP239" s="34">
        <v>44263</v>
      </c>
      <c r="CR239" s="34">
        <v>45755</v>
      </c>
      <c r="CS239" s="1">
        <v>48</v>
      </c>
      <c r="CT239" s="1">
        <v>0</v>
      </c>
      <c r="CU239" s="1">
        <v>265.52</v>
      </c>
      <c r="CV239" s="1">
        <v>0</v>
      </c>
      <c r="CW239" s="1">
        <v>265.52</v>
      </c>
      <c r="CX239" s="1">
        <v>321.27999999999997</v>
      </c>
      <c r="CY239" s="1">
        <v>0</v>
      </c>
      <c r="CZ239" s="34"/>
      <c r="DA239" s="1">
        <v>0</v>
      </c>
      <c r="DB239" s="34"/>
      <c r="DC239" s="34"/>
      <c r="DD239" s="1">
        <v>0</v>
      </c>
      <c r="DE239" s="34"/>
      <c r="DF239" s="34"/>
      <c r="DG239" s="1">
        <v>100</v>
      </c>
      <c r="DH239" s="34"/>
      <c r="DI239" s="34">
        <v>46022</v>
      </c>
      <c r="DJ239" s="34"/>
      <c r="DK239" s="34"/>
      <c r="DL239" s="1">
        <v>0</v>
      </c>
      <c r="DM239" s="1">
        <v>0</v>
      </c>
    </row>
    <row r="240" spans="1:117" x14ac:dyDescent="0.2">
      <c r="A240" s="33" t="s">
        <v>3610</v>
      </c>
      <c r="B240" s="33" t="s">
        <v>1003</v>
      </c>
      <c r="C240" s="33" t="s">
        <v>73</v>
      </c>
      <c r="D240" s="33" t="s">
        <v>200</v>
      </c>
      <c r="E240" s="33" t="s">
        <v>201</v>
      </c>
      <c r="F240" s="33" t="s">
        <v>76</v>
      </c>
      <c r="G240" s="34">
        <v>45747</v>
      </c>
      <c r="H240" s="33" t="s">
        <v>77</v>
      </c>
      <c r="I240" s="33" t="s">
        <v>78</v>
      </c>
      <c r="J240" s="33" t="s">
        <v>79</v>
      </c>
      <c r="K240" s="33" t="s">
        <v>924</v>
      </c>
      <c r="L240" s="33" t="s">
        <v>308</v>
      </c>
      <c r="M240" s="33" t="s">
        <v>309</v>
      </c>
      <c r="N240" s="16">
        <f>COUNTIF($M$3:M240, M240)</f>
        <v>7</v>
      </c>
      <c r="O240" s="16" t="str" cm="1">
        <f t="array" ref="O240">INDEX('[2]ALTA 20242025'!$B$2:$B$241, MATCH(1, ('[2]ALTA 20242025'!$I$2:$I$241=M240)*('[2]ALTA 20242025'!$J$2:$J$241=N240), 0))</f>
        <v>3246MXJ</v>
      </c>
      <c r="P240" s="40"/>
      <c r="Q240" s="40"/>
      <c r="R240" s="33" t="s">
        <v>336</v>
      </c>
      <c r="S240" s="33" t="s">
        <v>337</v>
      </c>
      <c r="T240" s="33" t="s">
        <v>2048</v>
      </c>
      <c r="U240" s="33" t="s">
        <v>2048</v>
      </c>
      <c r="V240" s="33" t="s">
        <v>4192</v>
      </c>
      <c r="W240" s="33" t="s">
        <v>4752</v>
      </c>
      <c r="X240" s="33" t="s">
        <v>3845</v>
      </c>
      <c r="Y240" s="33" t="s">
        <v>2048</v>
      </c>
      <c r="Z240" s="33" t="s">
        <v>2048</v>
      </c>
      <c r="AA240" s="33" t="s">
        <v>2422</v>
      </c>
      <c r="AB240" s="33" t="s">
        <v>2049</v>
      </c>
      <c r="AC240" s="33" t="s">
        <v>2050</v>
      </c>
      <c r="AD240" s="33" t="s">
        <v>3788</v>
      </c>
      <c r="AE240" s="33" t="s">
        <v>3613</v>
      </c>
      <c r="AF240" s="33" t="s">
        <v>3614</v>
      </c>
      <c r="AG240" s="33" t="s">
        <v>200</v>
      </c>
      <c r="AH240" s="33" t="s">
        <v>3622</v>
      </c>
      <c r="AI240" s="33" t="s">
        <v>2132</v>
      </c>
      <c r="AJ240" s="33" t="s">
        <v>2133</v>
      </c>
      <c r="AK240" s="33" t="s">
        <v>2056</v>
      </c>
      <c r="AL240" s="33" t="s">
        <v>2056</v>
      </c>
      <c r="AM240" s="33" t="s">
        <v>2055</v>
      </c>
      <c r="AN240" s="33" t="s">
        <v>2068</v>
      </c>
      <c r="AO240" s="33" t="s">
        <v>2048</v>
      </c>
      <c r="AP240" s="33" t="s">
        <v>2048</v>
      </c>
      <c r="AQ240" s="33" t="s">
        <v>2048</v>
      </c>
      <c r="AR240" s="33" t="s">
        <v>2696</v>
      </c>
      <c r="AS240" s="33" t="s">
        <v>3776</v>
      </c>
      <c r="AT240" s="33" t="s">
        <v>3655</v>
      </c>
      <c r="AU240" s="33" t="s">
        <v>4753</v>
      </c>
      <c r="AV240" s="33" t="s">
        <v>2060</v>
      </c>
      <c r="AW240" s="33" t="s">
        <v>2048</v>
      </c>
      <c r="AX240" s="33" t="s">
        <v>2048</v>
      </c>
      <c r="AY240" s="33" t="s">
        <v>2652</v>
      </c>
      <c r="AZ240" s="33" t="s">
        <v>2653</v>
      </c>
      <c r="BA240" s="33" t="s">
        <v>2048</v>
      </c>
      <c r="BB240" s="33" t="s">
        <v>2048</v>
      </c>
      <c r="BC240" s="33" t="s">
        <v>336</v>
      </c>
      <c r="BD240" s="33" t="s">
        <v>1004</v>
      </c>
      <c r="BE240" s="33" t="s">
        <v>4754</v>
      </c>
      <c r="BF240" s="33" t="s">
        <v>2048</v>
      </c>
      <c r="BG240" s="33" t="s">
        <v>2048</v>
      </c>
      <c r="BH240" s="33" t="s">
        <v>2080</v>
      </c>
      <c r="BI240" s="33" t="s">
        <v>2081</v>
      </c>
      <c r="BJ240" s="33" t="s">
        <v>4755</v>
      </c>
      <c r="BK240" s="33" t="s">
        <v>4756</v>
      </c>
      <c r="BL240" s="33" t="s">
        <v>4757</v>
      </c>
      <c r="BM240" s="33" t="s">
        <v>2085</v>
      </c>
      <c r="BN240" s="33" t="s">
        <v>2048</v>
      </c>
      <c r="BO240" s="33" t="s">
        <v>2518</v>
      </c>
      <c r="BP240" s="33" t="s">
        <v>2064</v>
      </c>
      <c r="BQ240" s="33" t="s">
        <v>72</v>
      </c>
      <c r="BR240" s="33" t="s">
        <v>72</v>
      </c>
      <c r="BS240" s="33" t="s">
        <v>2048</v>
      </c>
      <c r="BT240" s="33" t="s">
        <v>2048</v>
      </c>
      <c r="BU240" s="33" t="s">
        <v>2048</v>
      </c>
      <c r="BV240" s="33" t="s">
        <v>2418</v>
      </c>
      <c r="BW240" s="33" t="s">
        <v>2089</v>
      </c>
      <c r="BX240" s="33" t="s">
        <v>2048</v>
      </c>
      <c r="BY240" s="33" t="s">
        <v>2048</v>
      </c>
      <c r="BZ240" s="33" t="s">
        <v>2048</v>
      </c>
      <c r="CA240" s="33" t="s">
        <v>2048</v>
      </c>
      <c r="CB240" s="33" t="s">
        <v>72</v>
      </c>
      <c r="CC240" s="33" t="s">
        <v>2048</v>
      </c>
      <c r="CD240" s="33" t="s">
        <v>2048</v>
      </c>
      <c r="CE240" s="33" t="s">
        <v>2048</v>
      </c>
      <c r="CF240" s="33" t="s">
        <v>2048</v>
      </c>
      <c r="CG240" s="33" t="s">
        <v>2048</v>
      </c>
      <c r="CH240" s="33" t="s">
        <v>2048</v>
      </c>
      <c r="CI240" s="33" t="s">
        <v>2048</v>
      </c>
      <c r="CJ240" s="33" t="s">
        <v>2048</v>
      </c>
      <c r="CK240" s="33" t="s">
        <v>2057</v>
      </c>
      <c r="CL240" s="33" t="s">
        <v>2090</v>
      </c>
      <c r="CM240" s="33" t="s">
        <v>2048</v>
      </c>
      <c r="CN240" s="34">
        <v>44866</v>
      </c>
      <c r="CO240" s="34">
        <v>44266</v>
      </c>
      <c r="CP240" s="34">
        <v>44266</v>
      </c>
      <c r="CR240" s="34">
        <v>45762</v>
      </c>
      <c r="CS240" s="1">
        <v>48</v>
      </c>
      <c r="CT240" s="1">
        <v>0</v>
      </c>
      <c r="CU240" s="1">
        <v>265.52</v>
      </c>
      <c r="CV240" s="1">
        <v>0</v>
      </c>
      <c r="CW240" s="1">
        <v>265.52</v>
      </c>
      <c r="CX240" s="1">
        <v>321.27999999999997</v>
      </c>
      <c r="CY240" s="1">
        <v>0</v>
      </c>
      <c r="CZ240" s="34"/>
      <c r="DA240" s="1">
        <v>0</v>
      </c>
      <c r="DB240" s="34"/>
      <c r="DC240" s="34"/>
      <c r="DD240" s="1">
        <v>0</v>
      </c>
      <c r="DE240" s="34"/>
      <c r="DF240" s="34"/>
      <c r="DG240" s="1">
        <v>100</v>
      </c>
      <c r="DH240" s="34"/>
      <c r="DI240" s="34">
        <v>46022</v>
      </c>
      <c r="DJ240" s="34"/>
      <c r="DK240" s="34"/>
      <c r="DL240" s="1">
        <v>0</v>
      </c>
      <c r="DM240" s="1">
        <v>0</v>
      </c>
    </row>
    <row r="241" spans="1:117" x14ac:dyDescent="0.2">
      <c r="A241" s="33" t="s">
        <v>3610</v>
      </c>
      <c r="B241" s="33" t="s">
        <v>1503</v>
      </c>
      <c r="C241" s="33" t="s">
        <v>73</v>
      </c>
      <c r="D241" s="33" t="s">
        <v>200</v>
      </c>
      <c r="E241" s="33" t="s">
        <v>201</v>
      </c>
      <c r="F241" s="33" t="s">
        <v>76</v>
      </c>
      <c r="G241" s="34">
        <v>45747</v>
      </c>
      <c r="H241" s="33" t="s">
        <v>77</v>
      </c>
      <c r="I241" s="33" t="s">
        <v>78</v>
      </c>
      <c r="J241" s="33" t="s">
        <v>79</v>
      </c>
      <c r="K241" s="33" t="s">
        <v>924</v>
      </c>
      <c r="L241" s="33" t="s">
        <v>308</v>
      </c>
      <c r="M241" s="33" t="s">
        <v>309</v>
      </c>
      <c r="N241" s="16">
        <f>COUNTIF($M$3:M241, M241)</f>
        <v>8</v>
      </c>
      <c r="O241" s="16" t="str" cm="1">
        <f t="array" ref="O241">INDEX('[2]ALTA 20242025'!$B$2:$B$241, MATCH(1, ('[2]ALTA 20242025'!$I$2:$I$241=M241)*('[2]ALTA 20242025'!$J$2:$J$241=N241), 0))</f>
        <v>8711MXK</v>
      </c>
      <c r="P241" s="40"/>
      <c r="Q241" s="40"/>
      <c r="R241" s="33" t="s">
        <v>336</v>
      </c>
      <c r="S241" s="33" t="s">
        <v>337</v>
      </c>
      <c r="T241" s="33" t="s">
        <v>2048</v>
      </c>
      <c r="U241" s="33" t="s">
        <v>2048</v>
      </c>
      <c r="V241" s="33" t="s">
        <v>4192</v>
      </c>
      <c r="W241" s="33" t="s">
        <v>4758</v>
      </c>
      <c r="X241" s="33" t="s">
        <v>3845</v>
      </c>
      <c r="Y241" s="33" t="s">
        <v>2048</v>
      </c>
      <c r="Z241" s="33" t="s">
        <v>2048</v>
      </c>
      <c r="AA241" s="33" t="s">
        <v>2422</v>
      </c>
      <c r="AB241" s="33" t="s">
        <v>2049</v>
      </c>
      <c r="AC241" s="33" t="s">
        <v>2050</v>
      </c>
      <c r="AD241" s="33" t="s">
        <v>3788</v>
      </c>
      <c r="AE241" s="33" t="s">
        <v>3613</v>
      </c>
      <c r="AF241" s="33" t="s">
        <v>3614</v>
      </c>
      <c r="AG241" s="33" t="s">
        <v>200</v>
      </c>
      <c r="AH241" s="33" t="s">
        <v>3622</v>
      </c>
      <c r="AI241" s="33" t="s">
        <v>2132</v>
      </c>
      <c r="AJ241" s="33" t="s">
        <v>2133</v>
      </c>
      <c r="AK241" s="33" t="s">
        <v>2056</v>
      </c>
      <c r="AL241" s="33" t="s">
        <v>2056</v>
      </c>
      <c r="AM241" s="33" t="s">
        <v>2055</v>
      </c>
      <c r="AN241" s="33" t="s">
        <v>2068</v>
      </c>
      <c r="AO241" s="33" t="s">
        <v>2048</v>
      </c>
      <c r="AP241" s="33" t="s">
        <v>2048</v>
      </c>
      <c r="AQ241" s="33" t="s">
        <v>2048</v>
      </c>
      <c r="AR241" s="33" t="s">
        <v>2696</v>
      </c>
      <c r="AS241" s="33" t="s">
        <v>3776</v>
      </c>
      <c r="AT241" s="33" t="s">
        <v>3655</v>
      </c>
      <c r="AU241" s="33" t="s">
        <v>4759</v>
      </c>
      <c r="AV241" s="33" t="s">
        <v>2060</v>
      </c>
      <c r="AW241" s="33" t="s">
        <v>2048</v>
      </c>
      <c r="AX241" s="33" t="s">
        <v>72</v>
      </c>
      <c r="AY241" s="33" t="s">
        <v>2652</v>
      </c>
      <c r="AZ241" s="33" t="s">
        <v>2653</v>
      </c>
      <c r="BA241" s="33" t="s">
        <v>2048</v>
      </c>
      <c r="BB241" s="33" t="s">
        <v>2048</v>
      </c>
      <c r="BC241" s="33" t="s">
        <v>336</v>
      </c>
      <c r="BD241" s="33" t="s">
        <v>1504</v>
      </c>
      <c r="BE241" s="33" t="s">
        <v>4760</v>
      </c>
      <c r="BF241" s="33" t="s">
        <v>2048</v>
      </c>
      <c r="BG241" s="33" t="s">
        <v>2048</v>
      </c>
      <c r="BH241" s="33" t="s">
        <v>2080</v>
      </c>
      <c r="BI241" s="33" t="s">
        <v>2081</v>
      </c>
      <c r="BJ241" s="33" t="s">
        <v>4761</v>
      </c>
      <c r="BK241" s="33" t="s">
        <v>4762</v>
      </c>
      <c r="BL241" s="33" t="s">
        <v>4757</v>
      </c>
      <c r="BM241" s="33" t="s">
        <v>2085</v>
      </c>
      <c r="BN241" s="33" t="s">
        <v>2048</v>
      </c>
      <c r="BO241" s="33" t="s">
        <v>2518</v>
      </c>
      <c r="BP241" s="33" t="s">
        <v>2064</v>
      </c>
      <c r="BQ241" s="33" t="s">
        <v>72</v>
      </c>
      <c r="BR241" s="33" t="s">
        <v>72</v>
      </c>
      <c r="BS241" s="33" t="s">
        <v>2048</v>
      </c>
      <c r="BT241" s="33" t="s">
        <v>2048</v>
      </c>
      <c r="BU241" s="33" t="s">
        <v>2048</v>
      </c>
      <c r="BV241" s="33" t="s">
        <v>2418</v>
      </c>
      <c r="BW241" s="33" t="s">
        <v>2089</v>
      </c>
      <c r="BX241" s="33" t="s">
        <v>2048</v>
      </c>
      <c r="BY241" s="33" t="s">
        <v>2048</v>
      </c>
      <c r="BZ241" s="33" t="s">
        <v>2048</v>
      </c>
      <c r="CA241" s="33" t="s">
        <v>2048</v>
      </c>
      <c r="CB241" s="33" t="s">
        <v>72</v>
      </c>
      <c r="CC241" s="33" t="s">
        <v>2048</v>
      </c>
      <c r="CD241" s="33" t="s">
        <v>2048</v>
      </c>
      <c r="CE241" s="33" t="s">
        <v>2048</v>
      </c>
      <c r="CF241" s="33" t="s">
        <v>2048</v>
      </c>
      <c r="CG241" s="33" t="s">
        <v>2048</v>
      </c>
      <c r="CH241" s="33" t="s">
        <v>2048</v>
      </c>
      <c r="CI241" s="33" t="s">
        <v>2048</v>
      </c>
      <c r="CJ241" s="33" t="s">
        <v>2048</v>
      </c>
      <c r="CK241" s="33" t="s">
        <v>2057</v>
      </c>
      <c r="CL241" s="33" t="s">
        <v>2090</v>
      </c>
      <c r="CM241" s="33" t="s">
        <v>2048</v>
      </c>
      <c r="CN241" s="34">
        <v>44866</v>
      </c>
      <c r="CO241" s="34">
        <v>44266</v>
      </c>
      <c r="CP241" s="34">
        <v>44266</v>
      </c>
      <c r="CR241" s="34">
        <v>45762</v>
      </c>
      <c r="CS241" s="1">
        <v>48</v>
      </c>
      <c r="CT241" s="1">
        <v>0</v>
      </c>
      <c r="CU241" s="1">
        <v>265.52</v>
      </c>
      <c r="CV241" s="1">
        <v>0</v>
      </c>
      <c r="CW241" s="1">
        <v>265.52</v>
      </c>
      <c r="CX241" s="1">
        <v>321.27999999999997</v>
      </c>
      <c r="CY241" s="1">
        <v>0</v>
      </c>
      <c r="CZ241" s="34"/>
      <c r="DA241" s="1">
        <v>0</v>
      </c>
      <c r="DB241" s="34"/>
      <c r="DC241" s="34"/>
      <c r="DD241" s="1">
        <v>0</v>
      </c>
      <c r="DE241" s="34"/>
      <c r="DF241" s="34"/>
      <c r="DG241" s="1">
        <v>100</v>
      </c>
      <c r="DH241" s="34"/>
      <c r="DI241" s="34">
        <v>44865</v>
      </c>
      <c r="DJ241" s="34"/>
      <c r="DK241" s="34"/>
      <c r="DL241" s="1">
        <v>0</v>
      </c>
      <c r="DM241" s="1">
        <v>0</v>
      </c>
    </row>
    <row r="242" spans="1:117" x14ac:dyDescent="0.2">
      <c r="A242" s="33" t="s">
        <v>3610</v>
      </c>
      <c r="B242" s="33" t="s">
        <v>1517</v>
      </c>
      <c r="C242" s="33" t="s">
        <v>73</v>
      </c>
      <c r="D242" s="33" t="s">
        <v>200</v>
      </c>
      <c r="E242" s="33" t="s">
        <v>201</v>
      </c>
      <c r="F242" s="33" t="s">
        <v>160</v>
      </c>
      <c r="G242" s="34">
        <v>45755</v>
      </c>
      <c r="H242" s="33" t="s">
        <v>161</v>
      </c>
      <c r="I242" s="33" t="s">
        <v>78</v>
      </c>
      <c r="J242" s="33" t="s">
        <v>79</v>
      </c>
      <c r="K242" s="33" t="s">
        <v>924</v>
      </c>
      <c r="L242" s="33" t="s">
        <v>102</v>
      </c>
      <c r="M242" s="33" t="s">
        <v>103</v>
      </c>
      <c r="N242" s="16">
        <f>COUNTIF($M$3:M242, M242)</f>
        <v>46</v>
      </c>
      <c r="O242" s="16" t="str" cm="1">
        <f t="array" ref="O242">INDEX('[2]ALTA 20242025'!$B$2:$B$241, MATCH(1, ('[2]ALTA 20242025'!$I$2:$I$241=M242)*('[2]ALTA 20242025'!$J$2:$J$241=N242), 0))</f>
        <v>8625MWT</v>
      </c>
      <c r="P242" s="40"/>
      <c r="Q242" s="40"/>
      <c r="R242" s="33" t="s">
        <v>131</v>
      </c>
      <c r="S242" s="33" t="s">
        <v>132</v>
      </c>
      <c r="T242" s="33" t="s">
        <v>2048</v>
      </c>
      <c r="U242" s="33" t="s">
        <v>2048</v>
      </c>
      <c r="V242" s="33" t="s">
        <v>4763</v>
      </c>
      <c r="W242" s="33" t="s">
        <v>4764</v>
      </c>
      <c r="X242" s="33" t="s">
        <v>3764</v>
      </c>
      <c r="Y242" s="33" t="s">
        <v>4765</v>
      </c>
      <c r="Z242" s="33" t="s">
        <v>2048</v>
      </c>
      <c r="AA242" s="33" t="s">
        <v>2422</v>
      </c>
      <c r="AB242" s="33" t="s">
        <v>2049</v>
      </c>
      <c r="AC242" s="33" t="s">
        <v>2050</v>
      </c>
      <c r="AD242" s="33" t="s">
        <v>3788</v>
      </c>
      <c r="AE242" s="33" t="s">
        <v>3613</v>
      </c>
      <c r="AF242" s="33" t="s">
        <v>3614</v>
      </c>
      <c r="AG242" s="33" t="s">
        <v>2048</v>
      </c>
      <c r="AH242" s="33" t="s">
        <v>2048</v>
      </c>
      <c r="AI242" s="33" t="s">
        <v>2072</v>
      </c>
      <c r="AJ242" s="33" t="s">
        <v>2073</v>
      </c>
      <c r="AK242" s="33" t="s">
        <v>2055</v>
      </c>
      <c r="AL242" s="33" t="s">
        <v>2056</v>
      </c>
      <c r="AM242" s="33" t="s">
        <v>2055</v>
      </c>
      <c r="AN242" s="33" t="s">
        <v>2068</v>
      </c>
      <c r="AO242" s="33" t="s">
        <v>2048</v>
      </c>
      <c r="AP242" s="33" t="s">
        <v>2048</v>
      </c>
      <c r="AQ242" s="33" t="s">
        <v>2048</v>
      </c>
      <c r="AR242" s="33" t="s">
        <v>2278</v>
      </c>
      <c r="AS242" s="33" t="s">
        <v>3776</v>
      </c>
      <c r="AT242" s="33" t="s">
        <v>2331</v>
      </c>
      <c r="AU242" s="33" t="s">
        <v>2059</v>
      </c>
      <c r="AV242" s="33" t="s">
        <v>4766</v>
      </c>
      <c r="AW242" s="33" t="s">
        <v>4767</v>
      </c>
      <c r="AX242" s="33" t="s">
        <v>2048</v>
      </c>
      <c r="AY242" s="33" t="s">
        <v>4768</v>
      </c>
      <c r="AZ242" s="33" t="s">
        <v>4769</v>
      </c>
      <c r="BA242" s="33" t="s">
        <v>2048</v>
      </c>
      <c r="BB242" s="33" t="s">
        <v>2048</v>
      </c>
      <c r="BC242" s="33" t="s">
        <v>102</v>
      </c>
      <c r="BD242" s="33" t="s">
        <v>1518</v>
      </c>
      <c r="BE242" s="33" t="s">
        <v>4770</v>
      </c>
      <c r="BF242" s="33" t="s">
        <v>2048</v>
      </c>
      <c r="BG242" s="33" t="s">
        <v>2048</v>
      </c>
      <c r="BH242" s="33" t="s">
        <v>2282</v>
      </c>
      <c r="BI242" s="33" t="s">
        <v>2782</v>
      </c>
      <c r="BJ242" s="33" t="s">
        <v>2783</v>
      </c>
      <c r="BK242" s="33" t="s">
        <v>2784</v>
      </c>
      <c r="BL242" s="33" t="s">
        <v>3296</v>
      </c>
      <c r="BM242" s="33" t="s">
        <v>2287</v>
      </c>
      <c r="BN242" s="33" t="s">
        <v>2048</v>
      </c>
      <c r="BO242" s="33" t="s">
        <v>2048</v>
      </c>
      <c r="BP242" s="33" t="s">
        <v>2064</v>
      </c>
      <c r="BQ242" s="33" t="s">
        <v>72</v>
      </c>
      <c r="BR242" s="33" t="s">
        <v>72</v>
      </c>
      <c r="BS242" s="33" t="s">
        <v>2048</v>
      </c>
      <c r="BT242" s="33" t="s">
        <v>4771</v>
      </c>
      <c r="BU242" s="33" t="s">
        <v>4772</v>
      </c>
      <c r="BV242" s="33" t="s">
        <v>2418</v>
      </c>
      <c r="BW242" s="33" t="s">
        <v>2089</v>
      </c>
      <c r="BX242" s="33" t="s">
        <v>2048</v>
      </c>
      <c r="BY242" s="33" t="s">
        <v>2048</v>
      </c>
      <c r="BZ242" s="33" t="s">
        <v>2048</v>
      </c>
      <c r="CA242" s="33" t="s">
        <v>2048</v>
      </c>
      <c r="CB242" s="33" t="s">
        <v>72</v>
      </c>
      <c r="CC242" s="33" t="s">
        <v>2048</v>
      </c>
      <c r="CD242" s="33" t="s">
        <v>2048</v>
      </c>
      <c r="CE242" s="33" t="s">
        <v>2048</v>
      </c>
      <c r="CF242" s="33" t="s">
        <v>2048</v>
      </c>
      <c r="CG242" s="33" t="s">
        <v>2048</v>
      </c>
      <c r="CH242" s="33" t="s">
        <v>2048</v>
      </c>
      <c r="CI242" s="33" t="s">
        <v>2048</v>
      </c>
      <c r="CJ242" s="33" t="s">
        <v>2048</v>
      </c>
      <c r="CK242" s="33" t="s">
        <v>2057</v>
      </c>
      <c r="CL242" s="33" t="s">
        <v>2090</v>
      </c>
      <c r="CM242" s="33" t="s">
        <v>2048</v>
      </c>
      <c r="CN242" s="34">
        <v>45261</v>
      </c>
      <c r="CO242" s="34">
        <v>44294</v>
      </c>
      <c r="CP242" s="34">
        <v>44294</v>
      </c>
      <c r="CR242" s="34">
        <v>45665</v>
      </c>
      <c r="CS242" s="1">
        <v>45</v>
      </c>
      <c r="CT242" s="1">
        <v>0</v>
      </c>
      <c r="CU242" s="1">
        <v>262.27</v>
      </c>
      <c r="CV242" s="1">
        <v>0</v>
      </c>
      <c r="CW242" s="1">
        <v>262.27</v>
      </c>
      <c r="CX242" s="1">
        <v>317.35000000000002</v>
      </c>
      <c r="CY242" s="1">
        <v>0</v>
      </c>
      <c r="CZ242" s="34"/>
      <c r="DA242" s="1">
        <v>0</v>
      </c>
      <c r="DB242" s="34"/>
      <c r="DC242" s="34"/>
      <c r="DD242" s="1">
        <v>0</v>
      </c>
      <c r="DE242" s="34"/>
      <c r="DF242" s="34"/>
      <c r="DG242" s="1">
        <v>100</v>
      </c>
      <c r="DH242" s="34"/>
      <c r="DI242" s="34">
        <v>46022</v>
      </c>
      <c r="DJ242" s="34"/>
      <c r="DK242" s="34"/>
      <c r="DL242" s="1">
        <v>0</v>
      </c>
      <c r="DM242" s="1">
        <v>0</v>
      </c>
    </row>
    <row r="243" spans="1:117" x14ac:dyDescent="0.2">
      <c r="A243" s="33" t="s">
        <v>3610</v>
      </c>
      <c r="B243" s="33" t="s">
        <v>1535</v>
      </c>
      <c r="C243" s="33" t="s">
        <v>73</v>
      </c>
      <c r="D243" s="33" t="s">
        <v>200</v>
      </c>
      <c r="E243" s="33" t="s">
        <v>201</v>
      </c>
      <c r="F243" s="33" t="s">
        <v>160</v>
      </c>
      <c r="G243" s="34">
        <v>45819</v>
      </c>
      <c r="H243" s="33" t="s">
        <v>161</v>
      </c>
      <c r="I243" s="33" t="s">
        <v>78</v>
      </c>
      <c r="J243" s="33" t="s">
        <v>213</v>
      </c>
      <c r="K243" s="33" t="s">
        <v>237</v>
      </c>
      <c r="L243" s="33" t="s">
        <v>102</v>
      </c>
      <c r="M243" s="33" t="s">
        <v>103</v>
      </c>
      <c r="N243" s="16">
        <f>COUNTIF($M$3:M243, M243)</f>
        <v>47</v>
      </c>
      <c r="O243" s="16" t="str" cm="1">
        <f t="array" ref="O243">INDEX('[2]ALTA 20242025'!$B$2:$B$241, MATCH(1, ('[2]ALTA 20242025'!$I$2:$I$241=M243)*('[2]ALTA 20242025'!$J$2:$J$241=N243), 0))</f>
        <v>8994MSH</v>
      </c>
      <c r="P243" s="40"/>
      <c r="Q243" s="40"/>
      <c r="R243" s="33" t="s">
        <v>2048</v>
      </c>
      <c r="S243" s="33" t="s">
        <v>2048</v>
      </c>
      <c r="T243" s="33" t="s">
        <v>2048</v>
      </c>
      <c r="U243" s="33" t="s">
        <v>2048</v>
      </c>
      <c r="V243" s="33" t="s">
        <v>4192</v>
      </c>
      <c r="W243" s="33" t="s">
        <v>4773</v>
      </c>
      <c r="X243" s="33" t="s">
        <v>3926</v>
      </c>
      <c r="Y243" s="33" t="s">
        <v>4774</v>
      </c>
      <c r="Z243" s="33" t="s">
        <v>2048</v>
      </c>
      <c r="AA243" s="33" t="s">
        <v>2422</v>
      </c>
      <c r="AB243" s="33" t="s">
        <v>2049</v>
      </c>
      <c r="AC243" s="33" t="s">
        <v>2050</v>
      </c>
      <c r="AD243" s="33" t="s">
        <v>3788</v>
      </c>
      <c r="AE243" s="33" t="s">
        <v>3613</v>
      </c>
      <c r="AF243" s="33" t="s">
        <v>3614</v>
      </c>
      <c r="AG243" s="33" t="s">
        <v>2048</v>
      </c>
      <c r="AH243" s="33" t="s">
        <v>2048</v>
      </c>
      <c r="AI243" s="33" t="s">
        <v>2072</v>
      </c>
      <c r="AJ243" s="33" t="s">
        <v>2073</v>
      </c>
      <c r="AK243" s="33" t="s">
        <v>2055</v>
      </c>
      <c r="AL243" s="33" t="s">
        <v>2055</v>
      </c>
      <c r="AM243" s="33" t="s">
        <v>2055</v>
      </c>
      <c r="AN243" s="33" t="s">
        <v>2068</v>
      </c>
      <c r="AO243" s="33" t="s">
        <v>2048</v>
      </c>
      <c r="AP243" s="33" t="s">
        <v>2048</v>
      </c>
      <c r="AQ243" s="33" t="s">
        <v>2048</v>
      </c>
      <c r="AR243" s="33" t="s">
        <v>2226</v>
      </c>
      <c r="AS243" s="33" t="s">
        <v>3776</v>
      </c>
      <c r="AT243" s="33" t="s">
        <v>3440</v>
      </c>
      <c r="AU243" s="33" t="s">
        <v>4775</v>
      </c>
      <c r="AV243" s="33" t="s">
        <v>4776</v>
      </c>
      <c r="AW243" s="33" t="s">
        <v>4777</v>
      </c>
      <c r="AX243" s="33" t="s">
        <v>2048</v>
      </c>
      <c r="AY243" s="33" t="s">
        <v>4776</v>
      </c>
      <c r="AZ243" s="33" t="s">
        <v>4777</v>
      </c>
      <c r="BA243" s="33" t="s">
        <v>2048</v>
      </c>
      <c r="BB243" s="33" t="s">
        <v>2048</v>
      </c>
      <c r="BC243" s="33" t="s">
        <v>102</v>
      </c>
      <c r="BD243" s="33" t="s">
        <v>1536</v>
      </c>
      <c r="BE243" s="33" t="s">
        <v>4778</v>
      </c>
      <c r="BF243" s="33" t="s">
        <v>2048</v>
      </c>
      <c r="BG243" s="33" t="s">
        <v>2048</v>
      </c>
      <c r="BH243" s="33" t="s">
        <v>2080</v>
      </c>
      <c r="BI243" s="33" t="s">
        <v>2081</v>
      </c>
      <c r="BJ243" s="33" t="s">
        <v>2048</v>
      </c>
      <c r="BK243" s="33" t="s">
        <v>2048</v>
      </c>
      <c r="BL243" s="33" t="s">
        <v>2531</v>
      </c>
      <c r="BM243" s="33" t="s">
        <v>2085</v>
      </c>
      <c r="BN243" s="33" t="s">
        <v>2048</v>
      </c>
      <c r="BO243" s="33" t="s">
        <v>2048</v>
      </c>
      <c r="BP243" s="33" t="s">
        <v>2064</v>
      </c>
      <c r="BQ243" s="33" t="s">
        <v>72</v>
      </c>
      <c r="BR243" s="33" t="s">
        <v>72</v>
      </c>
      <c r="BS243" s="33" t="s">
        <v>2048</v>
      </c>
      <c r="BT243" s="33" t="s">
        <v>4779</v>
      </c>
      <c r="BU243" s="33" t="s">
        <v>4780</v>
      </c>
      <c r="BV243" s="33" t="s">
        <v>2331</v>
      </c>
      <c r="BW243" s="33" t="s">
        <v>2131</v>
      </c>
      <c r="BX243" s="33" t="s">
        <v>2048</v>
      </c>
      <c r="BY243" s="33" t="s">
        <v>2048</v>
      </c>
      <c r="BZ243" s="33" t="s">
        <v>2048</v>
      </c>
      <c r="CA243" s="33" t="s">
        <v>2048</v>
      </c>
      <c r="CB243" s="33" t="s">
        <v>72</v>
      </c>
      <c r="CC243" s="33" t="s">
        <v>2048</v>
      </c>
      <c r="CD243" s="33" t="s">
        <v>2048</v>
      </c>
      <c r="CE243" s="33" t="s">
        <v>2048</v>
      </c>
      <c r="CF243" s="33" t="s">
        <v>2048</v>
      </c>
      <c r="CG243" s="33" t="s">
        <v>2048</v>
      </c>
      <c r="CH243" s="33" t="s">
        <v>2048</v>
      </c>
      <c r="CI243" s="33" t="s">
        <v>2048</v>
      </c>
      <c r="CJ243" s="33" t="s">
        <v>2048</v>
      </c>
      <c r="CK243" s="33" t="s">
        <v>2068</v>
      </c>
      <c r="CL243" s="33" t="s">
        <v>2069</v>
      </c>
      <c r="CM243" s="33" t="s">
        <v>2048</v>
      </c>
      <c r="CN243" s="34"/>
      <c r="CO243" s="34">
        <v>44358</v>
      </c>
      <c r="CP243" s="34">
        <v>44358</v>
      </c>
      <c r="CR243" s="34">
        <v>44665</v>
      </c>
      <c r="CS243" s="1">
        <v>48</v>
      </c>
      <c r="CT243" s="1">
        <v>0</v>
      </c>
      <c r="CU243" s="1">
        <v>239.82</v>
      </c>
      <c r="CV243" s="1">
        <v>0</v>
      </c>
      <c r="CW243" s="1">
        <v>239.82</v>
      </c>
      <c r="CX243" s="1">
        <v>290.18</v>
      </c>
      <c r="CY243" s="1">
        <v>0</v>
      </c>
      <c r="CZ243" s="34"/>
      <c r="DA243" s="1">
        <v>0</v>
      </c>
      <c r="DB243" s="34"/>
      <c r="DC243" s="34"/>
      <c r="DD243" s="1">
        <v>0</v>
      </c>
      <c r="DE243" s="34"/>
      <c r="DF243" s="34"/>
      <c r="DG243" s="1">
        <v>100</v>
      </c>
      <c r="DH243" s="34"/>
      <c r="DI243" s="34">
        <v>46022</v>
      </c>
      <c r="DJ243" s="34"/>
      <c r="DK243" s="34"/>
      <c r="DL243" s="1">
        <v>0</v>
      </c>
      <c r="DM243" s="1">
        <v>0</v>
      </c>
    </row>
    <row r="244" spans="1:117" x14ac:dyDescent="0.2">
      <c r="A244" s="33" t="s">
        <v>3610</v>
      </c>
      <c r="B244" s="33" t="s">
        <v>198</v>
      </c>
      <c r="C244" s="33" t="s">
        <v>73</v>
      </c>
      <c r="D244" s="33" t="s">
        <v>200</v>
      </c>
      <c r="E244" s="33" t="s">
        <v>201</v>
      </c>
      <c r="F244" s="33" t="s">
        <v>76</v>
      </c>
      <c r="G244" s="34">
        <v>45875</v>
      </c>
      <c r="H244" s="33" t="s">
        <v>77</v>
      </c>
      <c r="I244" s="33" t="s">
        <v>202</v>
      </c>
      <c r="J244" s="33" t="s">
        <v>85</v>
      </c>
      <c r="K244" s="33" t="s">
        <v>203</v>
      </c>
      <c r="L244" s="33" t="s">
        <v>204</v>
      </c>
      <c r="M244" s="33" t="s">
        <v>205</v>
      </c>
      <c r="N244" s="16">
        <f>COUNTIF($M$3:M244, M244)</f>
        <v>11</v>
      </c>
      <c r="O244" s="16" t="str" cm="1">
        <f t="array" ref="O244">INDEX('[2]ALTA 20242025'!$B$2:$B$241, MATCH(1, ('[2]ALTA 20242025'!$I$2:$I$241=M244)*('[2]ALTA 20242025'!$J$2:$J$241=N244), 0))</f>
        <v>0224MWZ</v>
      </c>
      <c r="P244" s="40"/>
      <c r="Q244" s="40"/>
      <c r="R244" s="33" t="s">
        <v>2048</v>
      </c>
      <c r="S244" s="33" t="s">
        <v>2048</v>
      </c>
      <c r="T244" s="33" t="s">
        <v>2048</v>
      </c>
      <c r="U244" s="33" t="s">
        <v>2048</v>
      </c>
      <c r="V244" s="33" t="s">
        <v>4192</v>
      </c>
      <c r="W244" s="33" t="s">
        <v>4781</v>
      </c>
      <c r="X244" s="33" t="s">
        <v>3723</v>
      </c>
      <c r="Y244" s="33" t="s">
        <v>4782</v>
      </c>
      <c r="Z244" s="33" t="s">
        <v>2048</v>
      </c>
      <c r="AA244" s="33" t="s">
        <v>2422</v>
      </c>
      <c r="AB244" s="33" t="s">
        <v>2049</v>
      </c>
      <c r="AC244" s="33" t="s">
        <v>2050</v>
      </c>
      <c r="AD244" s="33" t="s">
        <v>3834</v>
      </c>
      <c r="AE244" s="33" t="s">
        <v>3613</v>
      </c>
      <c r="AF244" s="33" t="s">
        <v>3614</v>
      </c>
      <c r="AG244" s="33" t="s">
        <v>2048</v>
      </c>
      <c r="AH244" s="33" t="s">
        <v>2048</v>
      </c>
      <c r="AI244" s="33" t="s">
        <v>3472</v>
      </c>
      <c r="AJ244" s="33" t="s">
        <v>3821</v>
      </c>
      <c r="AK244" s="33" t="s">
        <v>2055</v>
      </c>
      <c r="AL244" s="33" t="s">
        <v>2055</v>
      </c>
      <c r="AM244" s="33" t="s">
        <v>2055</v>
      </c>
      <c r="AN244" s="33" t="s">
        <v>2121</v>
      </c>
      <c r="AO244" s="33" t="s">
        <v>2048</v>
      </c>
      <c r="AP244" s="33" t="s">
        <v>2048</v>
      </c>
      <c r="AQ244" s="33" t="s">
        <v>2048</v>
      </c>
      <c r="AR244" s="33" t="s">
        <v>2318</v>
      </c>
      <c r="AS244" s="33" t="s">
        <v>3776</v>
      </c>
      <c r="AT244" s="33" t="s">
        <v>3767</v>
      </c>
      <c r="AU244" s="33" t="s">
        <v>4783</v>
      </c>
      <c r="AV244" s="33" t="s">
        <v>4784</v>
      </c>
      <c r="AW244" s="33" t="s">
        <v>4785</v>
      </c>
      <c r="AX244" s="33" t="s">
        <v>2048</v>
      </c>
      <c r="AY244" s="33" t="s">
        <v>4784</v>
      </c>
      <c r="AZ244" s="33" t="s">
        <v>4785</v>
      </c>
      <c r="BA244" s="33" t="s">
        <v>2048</v>
      </c>
      <c r="BB244" s="33" t="s">
        <v>2048</v>
      </c>
      <c r="BC244" s="33" t="s">
        <v>204</v>
      </c>
      <c r="BD244" s="33" t="s">
        <v>206</v>
      </c>
      <c r="BE244" s="33" t="s">
        <v>4347</v>
      </c>
      <c r="BF244" s="33" t="s">
        <v>2048</v>
      </c>
      <c r="BG244" s="33" t="s">
        <v>2048</v>
      </c>
      <c r="BH244" s="33" t="s">
        <v>2866</v>
      </c>
      <c r="BI244" s="33" t="s">
        <v>4348</v>
      </c>
      <c r="BJ244" s="33" t="s">
        <v>2048</v>
      </c>
      <c r="BK244" s="33" t="s">
        <v>2048</v>
      </c>
      <c r="BL244" s="33" t="s">
        <v>4349</v>
      </c>
      <c r="BM244" s="33" t="s">
        <v>2287</v>
      </c>
      <c r="BN244" s="33" t="s">
        <v>2048</v>
      </c>
      <c r="BO244" s="33" t="s">
        <v>2048</v>
      </c>
      <c r="BP244" s="33" t="s">
        <v>2064</v>
      </c>
      <c r="BQ244" s="33" t="s">
        <v>72</v>
      </c>
      <c r="BR244" s="33" t="s">
        <v>72</v>
      </c>
      <c r="BS244" s="33" t="s">
        <v>2048</v>
      </c>
      <c r="BT244" s="33" t="s">
        <v>2329</v>
      </c>
      <c r="BU244" s="33" t="s">
        <v>2330</v>
      </c>
      <c r="BV244" s="33" t="s">
        <v>2331</v>
      </c>
      <c r="BW244" s="33" t="s">
        <v>2131</v>
      </c>
      <c r="BX244" s="33" t="s">
        <v>72</v>
      </c>
      <c r="BY244" s="33" t="s">
        <v>2048</v>
      </c>
      <c r="BZ244" s="33" t="s">
        <v>2048</v>
      </c>
      <c r="CA244" s="33" t="s">
        <v>2048</v>
      </c>
      <c r="CB244" s="33" t="s">
        <v>72</v>
      </c>
      <c r="CC244" s="33" t="s">
        <v>2048</v>
      </c>
      <c r="CD244" s="33" t="s">
        <v>72</v>
      </c>
      <c r="CE244" s="33" t="s">
        <v>2048</v>
      </c>
      <c r="CF244" s="33" t="s">
        <v>2048</v>
      </c>
      <c r="CG244" s="33" t="s">
        <v>2048</v>
      </c>
      <c r="CH244" s="33" t="s">
        <v>2048</v>
      </c>
      <c r="CI244" s="33" t="s">
        <v>2048</v>
      </c>
      <c r="CJ244" s="33" t="s">
        <v>2048</v>
      </c>
      <c r="CK244" s="33" t="s">
        <v>3603</v>
      </c>
      <c r="CL244" s="33" t="s">
        <v>3604</v>
      </c>
      <c r="CM244" s="33" t="s">
        <v>2048</v>
      </c>
      <c r="CN244" s="34"/>
      <c r="CO244" s="34">
        <v>44414</v>
      </c>
      <c r="CP244" s="34">
        <v>44414</v>
      </c>
      <c r="CR244" s="34">
        <v>45812</v>
      </c>
      <c r="CS244" s="1">
        <v>48</v>
      </c>
      <c r="CT244" s="1">
        <v>0</v>
      </c>
      <c r="CU244" s="1">
        <v>321.64999999999998</v>
      </c>
      <c r="CV244" s="1">
        <v>0</v>
      </c>
      <c r="CW244" s="1">
        <v>321.64999999999998</v>
      </c>
      <c r="CX244" s="1">
        <v>389.2</v>
      </c>
      <c r="CY244" s="1">
        <v>0</v>
      </c>
      <c r="CZ244" s="34"/>
      <c r="DA244" s="1">
        <v>0</v>
      </c>
      <c r="DB244" s="34"/>
      <c r="DC244" s="34"/>
      <c r="DD244" s="1">
        <v>0</v>
      </c>
      <c r="DE244" s="34"/>
      <c r="DF244" s="34"/>
      <c r="DG244" s="1">
        <v>100</v>
      </c>
      <c r="DH244" s="34"/>
      <c r="DI244" s="34">
        <v>46022</v>
      </c>
      <c r="DJ244" s="34"/>
      <c r="DK244" s="34"/>
      <c r="DL244" s="1">
        <v>0</v>
      </c>
      <c r="DM244" s="1">
        <v>0</v>
      </c>
    </row>
    <row r="245" spans="1:117" x14ac:dyDescent="0.2">
      <c r="A245" s="33" t="s">
        <v>3610</v>
      </c>
      <c r="B245" s="33" t="s">
        <v>1553</v>
      </c>
      <c r="C245" s="33" t="s">
        <v>73</v>
      </c>
      <c r="D245" s="33" t="s">
        <v>200</v>
      </c>
      <c r="E245" s="33" t="s">
        <v>201</v>
      </c>
      <c r="F245" s="33" t="s">
        <v>76</v>
      </c>
      <c r="G245" s="34">
        <v>45992</v>
      </c>
      <c r="H245" s="33" t="s">
        <v>77</v>
      </c>
      <c r="I245" s="33" t="s">
        <v>78</v>
      </c>
      <c r="J245" s="33" t="s">
        <v>85</v>
      </c>
      <c r="K245" s="33" t="s">
        <v>1354</v>
      </c>
      <c r="L245" s="33" t="s">
        <v>102</v>
      </c>
      <c r="M245" s="33" t="s">
        <v>103</v>
      </c>
      <c r="N245" s="16">
        <f>COUNTIF($M$3:M245, M245)</f>
        <v>48</v>
      </c>
      <c r="O245" s="16" t="str" cm="1">
        <f t="array" ref="O245">INDEX('[2]ALTA 20242025'!$B$2:$B$241, MATCH(1, ('[2]ALTA 20242025'!$I$2:$I$241=M245)*('[2]ALTA 20242025'!$J$2:$J$241=N245), 0))</f>
        <v>8998MSH</v>
      </c>
      <c r="P245" s="40"/>
      <c r="Q245" s="40"/>
      <c r="R245" s="33" t="s">
        <v>119</v>
      </c>
      <c r="S245" s="33" t="s">
        <v>120</v>
      </c>
      <c r="T245" s="33" t="s">
        <v>2048</v>
      </c>
      <c r="U245" s="33" t="s">
        <v>2048</v>
      </c>
      <c r="V245" s="33" t="s">
        <v>3620</v>
      </c>
      <c r="W245" s="33" t="s">
        <v>4786</v>
      </c>
      <c r="X245" s="33" t="s">
        <v>3818</v>
      </c>
      <c r="Y245" s="33" t="s">
        <v>4787</v>
      </c>
      <c r="Z245" s="33" t="s">
        <v>2048</v>
      </c>
      <c r="AA245" s="33" t="s">
        <v>2422</v>
      </c>
      <c r="AB245" s="33" t="s">
        <v>2049</v>
      </c>
      <c r="AC245" s="33" t="s">
        <v>2050</v>
      </c>
      <c r="AD245" s="33" t="s">
        <v>3690</v>
      </c>
      <c r="AE245" s="33" t="s">
        <v>3613</v>
      </c>
      <c r="AF245" s="33" t="s">
        <v>3614</v>
      </c>
      <c r="AG245" s="33" t="s">
        <v>2048</v>
      </c>
      <c r="AH245" s="33" t="s">
        <v>2048</v>
      </c>
      <c r="AI245" s="33" t="s">
        <v>3472</v>
      </c>
      <c r="AJ245" s="33" t="s">
        <v>3821</v>
      </c>
      <c r="AK245" s="33" t="s">
        <v>2055</v>
      </c>
      <c r="AL245" s="33" t="s">
        <v>2056</v>
      </c>
      <c r="AM245" s="33" t="s">
        <v>2055</v>
      </c>
      <c r="AN245" s="33" t="s">
        <v>2068</v>
      </c>
      <c r="AO245" s="33" t="s">
        <v>2048</v>
      </c>
      <c r="AP245" s="33" t="s">
        <v>2048</v>
      </c>
      <c r="AQ245" s="33" t="s">
        <v>2048</v>
      </c>
      <c r="AR245" s="33" t="s">
        <v>3337</v>
      </c>
      <c r="AS245" s="33" t="s">
        <v>3623</v>
      </c>
      <c r="AT245" s="33" t="s">
        <v>2135</v>
      </c>
      <c r="AU245" s="33" t="s">
        <v>781</v>
      </c>
      <c r="AV245" s="33" t="s">
        <v>4048</v>
      </c>
      <c r="AW245" s="33" t="s">
        <v>4049</v>
      </c>
      <c r="AX245" s="33" t="s">
        <v>72</v>
      </c>
      <c r="AY245" s="33" t="s">
        <v>4048</v>
      </c>
      <c r="AZ245" s="33" t="s">
        <v>4049</v>
      </c>
      <c r="BA245" s="33" t="s">
        <v>3627</v>
      </c>
      <c r="BB245" s="33" t="s">
        <v>2048</v>
      </c>
      <c r="BC245" s="33" t="s">
        <v>102</v>
      </c>
      <c r="BD245" s="33" t="s">
        <v>782</v>
      </c>
      <c r="BE245" s="33" t="s">
        <v>4050</v>
      </c>
      <c r="BF245" s="33" t="s">
        <v>2048</v>
      </c>
      <c r="BG245" s="33" t="s">
        <v>2048</v>
      </c>
      <c r="BH245" s="33" t="s">
        <v>2282</v>
      </c>
      <c r="BI245" s="33" t="s">
        <v>2782</v>
      </c>
      <c r="BJ245" s="33" t="s">
        <v>2048</v>
      </c>
      <c r="BK245" s="33" t="s">
        <v>2048</v>
      </c>
      <c r="BL245" s="33" t="s">
        <v>4051</v>
      </c>
      <c r="BM245" s="33" t="s">
        <v>2287</v>
      </c>
      <c r="BN245" s="33" t="s">
        <v>2048</v>
      </c>
      <c r="BO245" s="33" t="s">
        <v>2048</v>
      </c>
      <c r="BP245" s="33" t="s">
        <v>2064</v>
      </c>
      <c r="BQ245" s="33" t="s">
        <v>72</v>
      </c>
      <c r="BR245" s="33" t="s">
        <v>72</v>
      </c>
      <c r="BS245" s="33" t="s">
        <v>2048</v>
      </c>
      <c r="BT245" s="33" t="s">
        <v>3116</v>
      </c>
      <c r="BU245" s="33" t="s">
        <v>3117</v>
      </c>
      <c r="BV245" s="33" t="s">
        <v>2331</v>
      </c>
      <c r="BW245" s="33" t="s">
        <v>2131</v>
      </c>
      <c r="BX245" s="33" t="s">
        <v>72</v>
      </c>
      <c r="BY245" s="33" t="s">
        <v>2048</v>
      </c>
      <c r="BZ245" s="33" t="s">
        <v>2048</v>
      </c>
      <c r="CA245" s="33" t="s">
        <v>2048</v>
      </c>
      <c r="CB245" s="33" t="s">
        <v>72</v>
      </c>
      <c r="CC245" s="33" t="s">
        <v>2048</v>
      </c>
      <c r="CD245" s="33" t="s">
        <v>72</v>
      </c>
      <c r="CE245" s="33" t="s">
        <v>2048</v>
      </c>
      <c r="CF245" s="33" t="s">
        <v>2048</v>
      </c>
      <c r="CG245" s="33" t="s">
        <v>2048</v>
      </c>
      <c r="CH245" s="33" t="s">
        <v>2048</v>
      </c>
      <c r="CI245" s="33" t="s">
        <v>2048</v>
      </c>
      <c r="CJ245" s="33" t="s">
        <v>2048</v>
      </c>
      <c r="CK245" s="33" t="s">
        <v>3603</v>
      </c>
      <c r="CL245" s="33" t="s">
        <v>3604</v>
      </c>
      <c r="CM245" s="33" t="s">
        <v>2048</v>
      </c>
      <c r="CN245" s="34">
        <v>45261</v>
      </c>
      <c r="CO245" s="34">
        <v>44166</v>
      </c>
      <c r="CP245" s="34">
        <v>44166</v>
      </c>
      <c r="CR245" s="34">
        <v>45842</v>
      </c>
      <c r="CS245" s="1">
        <v>60</v>
      </c>
      <c r="CT245" s="1">
        <v>0</v>
      </c>
      <c r="CU245" s="1">
        <v>342</v>
      </c>
      <c r="CV245" s="1">
        <v>0</v>
      </c>
      <c r="CW245" s="1">
        <v>342</v>
      </c>
      <c r="CX245" s="1">
        <v>413.82</v>
      </c>
      <c r="CY245" s="1">
        <v>0</v>
      </c>
      <c r="CZ245" s="34"/>
      <c r="DA245" s="35">
        <v>96183</v>
      </c>
      <c r="DB245" s="34">
        <v>45260</v>
      </c>
      <c r="DC245" s="34"/>
      <c r="DD245" s="1">
        <v>0</v>
      </c>
      <c r="DE245" s="34"/>
      <c r="DF245" s="34"/>
      <c r="DG245" s="1">
        <v>100</v>
      </c>
      <c r="DH245" s="34"/>
      <c r="DI245" s="34">
        <v>46022</v>
      </c>
      <c r="DJ245" s="34"/>
      <c r="DK245" s="34"/>
      <c r="DL245" s="1">
        <v>0</v>
      </c>
      <c r="DM245" s="1">
        <v>0</v>
      </c>
    </row>
    <row r="256" spans="1:117" x14ac:dyDescent="0.2">
      <c r="G256" s="361"/>
    </row>
    <row r="257" spans="7:7" x14ac:dyDescent="0.2">
      <c r="G257" s="362"/>
    </row>
    <row r="258" spans="7:7" x14ac:dyDescent="0.2">
      <c r="G258" s="362"/>
    </row>
    <row r="259" spans="7:7" x14ac:dyDescent="0.2">
      <c r="G259" s="362"/>
    </row>
    <row r="260" spans="7:7" x14ac:dyDescent="0.2">
      <c r="G260" s="362"/>
    </row>
    <row r="261" spans="7:7" x14ac:dyDescent="0.2">
      <c r="G261" s="362"/>
    </row>
    <row r="262" spans="7:7" x14ac:dyDescent="0.2">
      <c r="G262" s="362"/>
    </row>
    <row r="263" spans="7:7" x14ac:dyDescent="0.2">
      <c r="G263" s="362"/>
    </row>
    <row r="264" spans="7:7" x14ac:dyDescent="0.2">
      <c r="G264" s="362"/>
    </row>
    <row r="265" spans="7:7" x14ac:dyDescent="0.2">
      <c r="G265" s="362"/>
    </row>
    <row r="266" spans="7:7" x14ac:dyDescent="0.2">
      <c r="G266" s="362"/>
    </row>
    <row r="267" spans="7:7" x14ac:dyDescent="0.2">
      <c r="G267" s="362"/>
    </row>
  </sheetData>
  <autoFilter ref="A2:DM245" xr:uid="{E649ACA7-1F56-44F6-B498-897733E4903D}">
    <sortState xmlns:xlrd2="http://schemas.microsoft.com/office/spreadsheetml/2017/richdata2" ref="A3:DM245">
      <sortCondition ref="G2:G245"/>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CCFD1EF76E784A899DE4A3199E72A9" ma:contentTypeVersion="21" ma:contentTypeDescription="Create a new document." ma:contentTypeScope="" ma:versionID="bf02af822ef9a67acf33702a269d9e81">
  <xsd:schema xmlns:xsd="http://www.w3.org/2001/XMLSchema" xmlns:xs="http://www.w3.org/2001/XMLSchema" xmlns:p="http://schemas.microsoft.com/office/2006/metadata/properties" xmlns:ns1="http://schemas.microsoft.com/sharepoint/v3" xmlns:ns2="d48b12a8-1da8-46a8-abab-97784faf6732" xmlns:ns3="29aba813-7558-4c9f-bdb5-f443033e1e31" targetNamespace="http://schemas.microsoft.com/office/2006/metadata/properties" ma:root="true" ma:fieldsID="cb38a02a62ce38422164f8c226087474" ns1:_="" ns2:_="" ns3:_="">
    <xsd:import namespace="http://schemas.microsoft.com/sharepoint/v3"/>
    <xsd:import namespace="d48b12a8-1da8-46a8-abab-97784faf6732"/>
    <xsd:import namespace="29aba813-7558-4c9f-bdb5-f443033e1e3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RecapTraining"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8b12a8-1da8-46a8-abab-97784faf6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3a2a1f7-382b-4147-b512-bbba2e6460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RecapTraining" ma:index="26" nillable="true" ma:displayName="Recap Training" ma:description="https://teams.microsoft.com/l/meetingrecap?driveId=b%21DkkFh4jdlkGW-3X8k4rB6oGDupIXYexJgSFhHjfrvpNm8OWOf9StQ5hmtJPsS3wG&amp;driveItemId=01YPFPHVN3IVVTGI2KPBA3J36RVKXQO4J2&amp;sitePath=https%3A%2F%2Factcommodities-my.sharepoint.com%2F%3Av%3A%2Fp%2Fibaso%2FEbtFazMjSnhBtO_Rqq8HcToB5xHpWcY9FdNduG3nOkpv3Q&amp;fileUrl=https%3A%2F%2Factcommodities-my.sharepoint.com%2Fpersonal%2Fibaso_actcommodities_com%2FDocuments%2FOpnamen%2FTRADE%2520RECAP%2520-%2520Trainning-20251022_092133-Meeting%2520Recording.mp4%3Fweb%3D1&amp;iCalUid=040000008200E00074C5B7101A82E00800000000ADC919C7B341DC01000000000000000010000000DD84AA155DD097419033AE9C32BC23D1&amp;threadId=19%3Ameeting_MjY5Zjg3NDItNmU2ZS00ZjY0LTgwZWUtOTA3OGVkNjZmMGI3%40thread.v2&amp;organizerId=752d3670-0d2a-4e82-a769-126f8c4b6c92&amp;tenantId=e30c25ee-7400-479f-ae89-e5d36e23011b&amp;callId=dc686271-0db6-4187-9a33-53272539751f&amp;threadType=Meeting&amp;meetingType=Scheduled&amp;subType=RecapSharingLink_RecapCore" ma:format="Hyperlink" ma:internalName="RecapTraining">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9aba813-7558-4c9f-bdb5-f443033e1e3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2ed7ff8-8534-4714-b26d-3680da6f9d0d}" ma:internalName="TaxCatchAll" ma:showField="CatchAllData" ma:web="29aba813-7558-4c9f-bdb5-f443033e1e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8b12a8-1da8-46a8-abab-97784faf6732">
      <Terms xmlns="http://schemas.microsoft.com/office/infopath/2007/PartnerControls"/>
    </lcf76f155ced4ddcb4097134ff3c332f>
    <TaxCatchAll xmlns="29aba813-7558-4c9f-bdb5-f443033e1e31" xsi:nil="true"/>
    <_ip_UnifiedCompliancePolicyUIAction xmlns="http://schemas.microsoft.com/sharepoint/v3" xsi:nil="true"/>
    <_ip_UnifiedCompliancePolicyProperties xmlns="http://schemas.microsoft.com/sharepoint/v3" xsi:nil="true"/>
    <RecapTraining xmlns="d48b12a8-1da8-46a8-abab-97784faf6732">
      <Url xsi:nil="true"/>
      <Description xsi:nil="true"/>
    </RecapTraining>
  </documentManagement>
</p:properties>
</file>

<file path=customXml/itemProps1.xml><?xml version="1.0" encoding="utf-8"?>
<ds:datastoreItem xmlns:ds="http://schemas.openxmlformats.org/officeDocument/2006/customXml" ds:itemID="{FD2A5DBC-6FDF-4695-A6EA-46B2B6F719F3}">
  <ds:schemaRefs>
    <ds:schemaRef ds:uri="http://schemas.microsoft.com/sharepoint/v3/contenttype/forms"/>
  </ds:schemaRefs>
</ds:datastoreItem>
</file>

<file path=customXml/itemProps2.xml><?xml version="1.0" encoding="utf-8"?>
<ds:datastoreItem xmlns:ds="http://schemas.openxmlformats.org/officeDocument/2006/customXml" ds:itemID="{2BB66D5F-B4B9-4490-8DCE-F216F31D5200}"/>
</file>

<file path=customXml/itemProps3.xml><?xml version="1.0" encoding="utf-8"?>
<ds:datastoreItem xmlns:ds="http://schemas.openxmlformats.org/officeDocument/2006/customXml" ds:itemID="{DA41D307-A5ED-4A66-9C9D-4032D1B184C9}">
  <ds:schemaRefs>
    <ds:schemaRef ds:uri="http://schemas.microsoft.com/office/2006/metadata/properties"/>
    <ds:schemaRef ds:uri="http://schemas.microsoft.com/office/infopath/2007/PartnerControls"/>
    <ds:schemaRef ds:uri="d48b12a8-1da8-46a8-abab-97784faf6732"/>
    <ds:schemaRef ds:uri="29aba813-7558-4c9f-bdb5-f443033e1e31"/>
    <ds:schemaRef ds:uri="http://schemas.microsoft.com/sharepoint/v3"/>
  </ds:schemaRefs>
</ds:datastoreItem>
</file>

<file path=docMetadata/LabelInfo.xml><?xml version="1.0" encoding="utf-8"?>
<clbl:labelList xmlns:clbl="http://schemas.microsoft.com/office/2020/mipLabelMetadata">
  <clbl:label id="{7acdd116-a279-4fbd-809b-10105d780b1f}" enabled="1" method="Standard" siteId="{e30c25ee-7400-479f-ae89-e5d36e2301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AE GF  (2)</vt:lpstr>
      <vt:lpstr>AE GF </vt:lpstr>
      <vt:lpstr>RESUMEN ACT</vt:lpstr>
      <vt:lpstr>datos anexos</vt:lpstr>
      <vt:lpstr>DATOS Acuerdo GF</vt:lpstr>
      <vt:lpstr>TABLA SOC CAE</vt:lpstr>
      <vt:lpstr>Hoja2</vt:lpstr>
      <vt:lpstr>SUSTITUCIONES </vt:lpstr>
      <vt:lpstr>ALTA 20242025</vt:lpstr>
      <vt:lpstr>BAJA2022202320242025</vt:lpstr>
      <vt:lpstr>RawData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Miguel Salazar Calderon</dc:creator>
  <cp:keywords/>
  <dc:description/>
  <cp:lastModifiedBy>Manuel Simarro Pachon</cp:lastModifiedBy>
  <cp:revision/>
  <dcterms:created xsi:type="dcterms:W3CDTF">2025-09-16T14:58:19Z</dcterms:created>
  <dcterms:modified xsi:type="dcterms:W3CDTF">2026-07-21T13:49:29Z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a0f30a-e9a8-420c-a961-7005dd615d36_Enabled">
    <vt:lpwstr>true</vt:lpwstr>
  </property>
  <property fmtid="{D5CDD505-2E9C-101B-9397-08002B2CF9AE}" pid="3" name="MSIP_Label_19a0f30a-e9a8-420c-a961-7005dd615d36_SetDate">
    <vt:lpwstr>2025-09-26T11:24:51Z</vt:lpwstr>
  </property>
  <property fmtid="{D5CDD505-2E9C-101B-9397-08002B2CF9AE}" pid="4" name="MSIP_Label_19a0f30a-e9a8-420c-a961-7005dd615d36_Method">
    <vt:lpwstr>Standard</vt:lpwstr>
  </property>
  <property fmtid="{D5CDD505-2E9C-101B-9397-08002B2CF9AE}" pid="5" name="MSIP_Label_19a0f30a-e9a8-420c-a961-7005dd615d36_Name">
    <vt:lpwstr>C2.1 - Internal</vt:lpwstr>
  </property>
  <property fmtid="{D5CDD505-2E9C-101B-9397-08002B2CF9AE}" pid="6" name="MSIP_Label_19a0f30a-e9a8-420c-a961-7005dd615d36_SiteId">
    <vt:lpwstr>fffad414-b6a3-4f32-a9bd-42d28fc811f1</vt:lpwstr>
  </property>
  <property fmtid="{D5CDD505-2E9C-101B-9397-08002B2CF9AE}" pid="7" name="MSIP_Label_19a0f30a-e9a8-420c-a961-7005dd615d36_ActionId">
    <vt:lpwstr>609fa0e3-90c0-4c1c-b3d4-d7f8b063693b</vt:lpwstr>
  </property>
  <property fmtid="{D5CDD505-2E9C-101B-9397-08002B2CF9AE}" pid="8" name="MSIP_Label_19a0f30a-e9a8-420c-a961-7005dd615d36_ContentBits">
    <vt:lpwstr>2</vt:lpwstr>
  </property>
  <property fmtid="{D5CDD505-2E9C-101B-9397-08002B2CF9AE}" pid="9" name="MSIP_Label_19a0f30a-e9a8-420c-a961-7005dd615d36_Tag">
    <vt:lpwstr>10, 3, 0, 1</vt:lpwstr>
  </property>
  <property fmtid="{D5CDD505-2E9C-101B-9397-08002B2CF9AE}" pid="10" name="ContentTypeId">
    <vt:lpwstr>0x010100E9CCFD1EF76E784A899DE4A3199E72A9</vt:lpwstr>
  </property>
  <property fmtid="{D5CDD505-2E9C-101B-9397-08002B2CF9AE}" pid="11" name="MediaServiceImageTags">
    <vt:lpwstr/>
  </property>
</Properties>
</file>